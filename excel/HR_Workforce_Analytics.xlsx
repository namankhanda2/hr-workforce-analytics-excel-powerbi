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aw Data" sheetId="2" state="visible" r:id="rId2"/>
    <sheet name="Clean Data" sheetId="3" state="visible" r:id="rId3"/>
    <sheet name="Insights" sheetId="4" state="visible" r:id="rId4"/>
    <sheet name="Dashboard" sheetId="5" state="visible" r:id="rId5"/>
  </sheets>
  <definedNames>
    <definedName name="_xlnm._FilterDatabase" localSheetId="1" hidden="1">'Raw Data'!$A$1:$U$3011</definedName>
    <definedName name="_xlnm._FilterDatabase" localSheetId="2" hidden="1">'Clean Data'!$A$1:$W$3001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F3864"/>
    </font>
    <font>
      <b val="1"/>
      <color rgb="00FFFFFF"/>
      <sz val="11"/>
    </font>
    <font>
      <b val="1"/>
      <color rgb="001F3864"/>
      <sz val="12"/>
    </font>
    <font>
      <b val="1"/>
      <color rgb="00FFFFFF"/>
    </font>
    <font>
      <b val="1"/>
      <color rgb="00FFFFFF"/>
      <sz val="20"/>
    </font>
    <font>
      <i val="1"/>
      <color rgb="002E75B6"/>
    </font>
    <font>
      <b val="1"/>
      <color rgb="00FFFFFF"/>
      <sz val="10"/>
    </font>
    <font>
      <b val="1"/>
      <color rgb="001F3864"/>
      <sz val="1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6" fontId="0" fillId="0" borderId="1" pivotButton="0" quotePrefix="0" xfId="0"/>
    <xf numFmtId="0" fontId="5" fillId="2" borderId="1" pivotButton="0" quotePrefix="0" xfId="0"/>
    <xf numFmtId="0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'Insights'!B2</f>
            </strRef>
          </tx>
          <spPr>
            <a:ln>
              <a:prstDash val="solid"/>
            </a:ln>
          </spPr>
          <cat>
            <numRef>
              <f>'Insights'!$A$3:$A$11</f>
            </numRef>
          </cat>
          <val>
            <numRef>
              <f>'Insights'!$B$3:$B$11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Hires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'Insights'!B26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'Insights'!$A$27:$A$32</f>
            </numRef>
          </cat>
          <val>
            <numRef>
              <f>'Insights'!$B$27:$B$32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Departures by Exit Reason</a:t>
            </a:r>
          </a:p>
        </rich>
      </tx>
    </title>
    <plotArea>
      <pieChart>
        <varyColors val="1"/>
        <ser>
          <idx val="0"/>
          <order val="0"/>
          <tx>
            <strRef>
              <f>'Insights'!B37</f>
            </strRef>
          </tx>
          <spPr>
            <a:ln>
              <a:prstDash val="solid"/>
            </a:ln>
          </spPr>
          <cat>
            <numRef>
              <f>'Insights'!$A$38:$A$42</f>
            </numRef>
          </cat>
          <val>
            <numRef>
              <f>'Insights'!$B$38:$B$42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Headcount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'Insights'!B2</f>
            </strRef>
          </tx>
          <spPr>
            <a:ln>
              <a:prstDash val="solid"/>
            </a:ln>
          </spPr>
          <cat>
            <numRef>
              <f>'Insights'!$A$3:$A$11</f>
            </numRef>
          </cat>
          <val>
            <numRef>
              <f>'Insights'!$B$3:$B$11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Hires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'Insights'!B26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'Insights'!$A$27:$A$32</f>
            </numRef>
          </cat>
          <val>
            <numRef>
              <f>'Insights'!$B$27:$B$32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15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50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9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leanData" displayName="tCleanData" ref="A1:W3001" headerRowCount="1">
  <autoFilter ref="A1:W3001"/>
  <tableColumns count="23">
    <tableColumn id="1" name="EmployeeID"/>
    <tableColumn id="2" name="Gender"/>
    <tableColumn id="3" name="Age"/>
    <tableColumn id="4" name="MaritalStatus"/>
    <tableColumn id="5" name="Education"/>
    <tableColumn id="6" name="Department"/>
    <tableColumn id="7" name="JobRole"/>
    <tableColumn id="8" name="JobLevel"/>
    <tableColumn id="9" name="OfficeLocation"/>
    <tableColumn id="10" name="EmploymentType"/>
    <tableColumn id="11" name="HireDate"/>
    <tableColumn id="12" name="ExitDate"/>
    <tableColumn id="13" name="IsActive"/>
    <tableColumn id="14" name="ExitReason"/>
    <tableColumn id="15" name="SalaryAnnual"/>
    <tableColumn id="16" name="BonusPct"/>
    <tableColumn id="17" name="PerformanceRating"/>
    <tableColumn id="18" name="SatisfactionScore"/>
    <tableColumn id="19" name="TenureMonths"/>
    <tableColumn id="20" name="AbsenteeDays"/>
    <tableColumn id="21" name="AgeBand"/>
    <tableColumn id="22" name="SalaryBand"/>
    <tableColumn id="23" name="Attrition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1:C2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0" customWidth="1" min="3" max="3"/>
  </cols>
  <sheetData>
    <row r="1">
      <c r="B1" s="1" t="inlineStr">
        <is>
          <t>HR Workforce Analytics - Excel + Power BI Project</t>
        </is>
      </c>
    </row>
    <row r="2">
      <c r="B2" s="2" t="inlineStr">
        <is>
          <t>What is this?</t>
        </is>
      </c>
      <c r="C2" s="3" t="inlineStr">
        <is>
          <t>Synthetic HR data for 3,000 employees analysed end-to-end in Excel, then handed to Power BI.</t>
        </is>
      </c>
    </row>
    <row r="3">
      <c r="B3" s="2" t="inlineStr">
        <is>
          <t>Sheets</t>
        </is>
      </c>
      <c r="C3" s="3" t="inlineStr">
        <is>
          <t>Raw Data -&gt; Clean Data -&gt; Insights -&gt; Dashboard. Review in that order.</t>
        </is>
      </c>
    </row>
    <row r="4">
      <c r="B4" s="2" t="inlineStr">
        <is>
          <t>Raw Data</t>
        </is>
      </c>
      <c r="C4" s="3" t="inlineStr">
        <is>
          <t>As-collected file: duplicates, blank salary/department, gender typos, salary outliers, age typos.</t>
        </is>
      </c>
    </row>
    <row r="5">
      <c r="B5" s="2" t="inlineStr">
        <is>
          <t>Clean Data</t>
        </is>
      </c>
      <c r="C5" s="3" t="inlineStr">
        <is>
          <t>Quality fixes applied; derived columns use live Excel formulas (IFS). Exported as Excel Table tCleanData for one-click Power BI import.</t>
        </is>
      </c>
    </row>
    <row r="6">
      <c r="B6" s="2" t="inlineStr">
        <is>
          <t>Insights</t>
        </is>
      </c>
      <c r="C6" s="3" t="inlineStr">
        <is>
          <t>Pivot-style summaries built from SUMIFS / COUNTIFS / AVERAGEIFS + native Excel charts.</t>
        </is>
      </c>
    </row>
    <row r="7">
      <c r="B7" s="2" t="inlineStr">
        <is>
          <t>Dashboard</t>
        </is>
      </c>
      <c r="C7" s="3" t="inlineStr">
        <is>
          <t>KPI cards, charts and findings for the HR manager.</t>
        </is>
      </c>
    </row>
    <row r="8">
      <c r="B8" s="2" t="inlineStr">
        <is>
          <t>Power BI</t>
        </is>
      </c>
      <c r="C8" s="3" t="inlineStr">
        <is>
          <t>Power BI-ready star schema (DimEmployee, DimDate, FactEmploymentEvents, FactCompensation) sits in data/powerbi/. See powerbi/PowerBI_Build_Guide.md.</t>
        </is>
      </c>
    </row>
    <row r="10">
      <c r="B10" s="2" t="inlineStr">
        <is>
          <t>Cleaning log</t>
        </is>
      </c>
      <c r="C10" s="3" t="inlineStr">
        <is>
          <t>3010 raw rows scanned -&gt; 3000 clean rows. What was fixed:</t>
        </is>
      </c>
    </row>
    <row r="11">
      <c r="C11" t="inlineStr">
        <is>
          <t>* 10 duplicate employee rows removed</t>
        </is>
      </c>
    </row>
    <row r="12">
      <c r="C12" t="inlineStr">
        <is>
          <t>* blank SalaryAnnual rows removed (unusable for compensation analytics)</t>
        </is>
      </c>
    </row>
    <row r="13">
      <c r="C13" t="inlineStr">
        <is>
          <t>* blank Department rows removed</t>
        </is>
      </c>
    </row>
    <row r="14">
      <c r="C14" t="inlineStr">
        <is>
          <t>* 'Unknown' + lower-case Gender values normalised; bad values removed</t>
        </is>
      </c>
    </row>
    <row r="15">
      <c r="C15" t="inlineStr">
        <is>
          <t>* salary outliers (&gt;$500k) excluded</t>
        </is>
      </c>
    </row>
    <row r="16">
      <c r="C16" t="inlineStr">
        <is>
          <t>* Age typos (200+) excluded</t>
        </is>
      </c>
    </row>
    <row r="17">
      <c r="C17" t="inlineStr">
        <is>
          <t>* derived columns AgeBand, SalaryBand, AttritionStatus added (live Excel formulas)</t>
        </is>
      </c>
    </row>
    <row r="19">
      <c r="B19" s="2" t="inlineStr">
        <is>
          <t>Headline numbers</t>
        </is>
      </c>
    </row>
    <row r="20">
      <c r="B20" t="inlineStr">
        <is>
          <t>Total employees</t>
        </is>
      </c>
      <c r="C20" t="n">
        <v>3000</v>
      </c>
    </row>
    <row r="21">
      <c r="B21" t="inlineStr">
        <is>
          <t>Active</t>
        </is>
      </c>
      <c r="C21" t="n">
        <v>2381</v>
      </c>
    </row>
    <row r="22">
      <c r="B22" t="inlineStr">
        <is>
          <t>Attrition rate</t>
        </is>
      </c>
      <c r="C22" t="inlineStr">
        <is>
          <t>20.6%</t>
        </is>
      </c>
    </row>
  </sheetData>
  <mergeCells count="8">
    <mergeCell ref="C8"/>
    <mergeCell ref="C4"/>
    <mergeCell ref="C3"/>
    <mergeCell ref="C7"/>
    <mergeCell ref="C6"/>
    <mergeCell ref="C10"/>
    <mergeCell ref="C2"/>
    <mergeCell ref="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U3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11" max="11"/>
    <col width="12" customWidth="1" min="12" max="12"/>
    <col width="10" customWidth="1" min="13" max="13"/>
    <col width="25" customWidth="1" min="14" max="14"/>
    <col width="13" customWidth="1" min="15" max="15"/>
    <col width="10" customWidth="1" min="16" max="16"/>
    <col width="22" customWidth="1" min="21" max="21"/>
  </cols>
  <sheetData>
    <row r="1">
      <c r="A1" s="4" t="inlineStr">
        <is>
          <t>EmployeeID</t>
        </is>
      </c>
      <c r="B1" s="4" t="inlineStr">
        <is>
          <t>Gender</t>
        </is>
      </c>
      <c r="C1" s="4" t="inlineStr">
        <is>
          <t>Age</t>
        </is>
      </c>
      <c r="D1" s="4" t="inlineStr">
        <is>
          <t>MaritalStatus</t>
        </is>
      </c>
      <c r="E1" s="4" t="inlineStr">
        <is>
          <t>Education</t>
        </is>
      </c>
      <c r="F1" s="4" t="inlineStr">
        <is>
          <t>Department</t>
        </is>
      </c>
      <c r="G1" s="4" t="inlineStr">
        <is>
          <t>JobRole</t>
        </is>
      </c>
      <c r="H1" s="4" t="inlineStr">
        <is>
          <t>JobLevel</t>
        </is>
      </c>
      <c r="I1" s="4" t="inlineStr">
        <is>
          <t>OfficeLocation</t>
        </is>
      </c>
      <c r="J1" s="4" t="inlineStr">
        <is>
          <t>EmploymentType</t>
        </is>
      </c>
      <c r="K1" s="4" t="inlineStr">
        <is>
          <t>HireDate</t>
        </is>
      </c>
      <c r="L1" s="4" t="inlineStr">
        <is>
          <t>ExitDate</t>
        </is>
      </c>
      <c r="M1" s="4" t="inlineStr">
        <is>
          <t>IsActive</t>
        </is>
      </c>
      <c r="N1" s="4" t="inlineStr">
        <is>
          <t>ExitReason</t>
        </is>
      </c>
      <c r="O1" s="4" t="inlineStr">
        <is>
          <t>SalaryAnnual</t>
        </is>
      </c>
      <c r="P1" s="4" t="inlineStr">
        <is>
          <t>BonusPct</t>
        </is>
      </c>
      <c r="Q1" s="4" t="inlineStr">
        <is>
          <t>PerformanceRating</t>
        </is>
      </c>
      <c r="R1" s="4" t="inlineStr">
        <is>
          <t>SatisfactionScore</t>
        </is>
      </c>
      <c r="S1" s="4" t="inlineStr">
        <is>
          <t>TenureMonths</t>
        </is>
      </c>
      <c r="T1" s="4" t="inlineStr">
        <is>
          <t>AbsenteeDays</t>
        </is>
      </c>
      <c r="U1" s="4" t="inlineStr">
        <is>
          <t>Quality Flag</t>
        </is>
      </c>
    </row>
    <row r="2">
      <c r="A2" s="5" t="inlineStr">
        <is>
          <t>E02861</t>
        </is>
      </c>
      <c r="B2" s="5" t="inlineStr">
        <is>
          <t>Male</t>
        </is>
      </c>
      <c r="C2" s="6" t="inlineStr">
        <is>
          <t>35</t>
        </is>
      </c>
      <c r="D2" s="5" t="inlineStr">
        <is>
          <t>Married</t>
        </is>
      </c>
      <c r="E2" s="5" t="inlineStr">
        <is>
          <t>Master</t>
        </is>
      </c>
      <c r="F2" s="5" t="inlineStr">
        <is>
          <t>Finance</t>
        </is>
      </c>
      <c r="G2" s="5" t="inlineStr">
        <is>
          <t>Credit Analyst</t>
        </is>
      </c>
      <c r="H2" s="5" t="inlineStr">
        <is>
          <t>2</t>
        </is>
      </c>
      <c r="I2" s="5" t="inlineStr">
        <is>
          <t>Bengaluru</t>
        </is>
      </c>
      <c r="J2" s="5" t="inlineStr">
        <is>
          <t>Full-Time</t>
        </is>
      </c>
      <c r="K2" s="7" t="n">
        <v>44445</v>
      </c>
      <c r="L2" s="7" t="n">
        <v>44559</v>
      </c>
      <c r="M2" s="5" t="inlineStr">
        <is>
          <t>No</t>
        </is>
      </c>
      <c r="N2" s="5" t="inlineStr">
        <is>
          <t>Resigned</t>
        </is>
      </c>
      <c r="O2" s="8" t="inlineStr">
        <is>
          <t>74500</t>
        </is>
      </c>
      <c r="P2" s="5" t="inlineStr">
        <is>
          <t>10</t>
        </is>
      </c>
      <c r="Q2" s="5" t="inlineStr">
        <is>
          <t>2</t>
        </is>
      </c>
      <c r="R2" s="5" t="inlineStr">
        <is>
          <t>6</t>
        </is>
      </c>
      <c r="S2" s="5" t="inlineStr">
        <is>
          <t>3</t>
        </is>
      </c>
      <c r="T2" s="5" t="inlineStr">
        <is>
          <t>9</t>
        </is>
      </c>
      <c r="U2" s="5" t="inlineStr">
        <is>
          <t>OK</t>
        </is>
      </c>
    </row>
    <row r="3">
      <c r="A3" s="5" t="inlineStr">
        <is>
          <t>E02721</t>
        </is>
      </c>
      <c r="B3" s="5" t="inlineStr">
        <is>
          <t>Female</t>
        </is>
      </c>
      <c r="C3" s="6" t="inlineStr">
        <is>
          <t>38</t>
        </is>
      </c>
      <c r="D3" s="5" t="inlineStr">
        <is>
          <t>Single</t>
        </is>
      </c>
      <c r="E3" s="5" t="inlineStr">
        <is>
          <t>Bachelor</t>
        </is>
      </c>
      <c r="F3" s="5" t="inlineStr">
        <is>
          <t>IT</t>
        </is>
      </c>
      <c r="G3" s="5" t="inlineStr">
        <is>
          <t>Data Analyst</t>
        </is>
      </c>
      <c r="H3" s="5" t="inlineStr">
        <is>
          <t>3</t>
        </is>
      </c>
      <c r="I3" s="5" t="inlineStr">
        <is>
          <t>Mumbai</t>
        </is>
      </c>
      <c r="J3" s="5" t="inlineStr">
        <is>
          <t>Full-Time</t>
        </is>
      </c>
      <c r="K3" s="7" t="n">
        <v>44688</v>
      </c>
      <c r="L3" s="7" t="n">
        <v>44833</v>
      </c>
      <c r="M3" s="5" t="inlineStr">
        <is>
          <t>No</t>
        </is>
      </c>
      <c r="N3" s="5" t="inlineStr">
        <is>
          <t>Resigned</t>
        </is>
      </c>
      <c r="O3" s="8" t="inlineStr">
        <is>
          <t>138000</t>
        </is>
      </c>
      <c r="P3" s="5" t="inlineStr">
        <is>
          <t>5</t>
        </is>
      </c>
      <c r="Q3" s="5" t="inlineStr">
        <is>
          <t>3</t>
        </is>
      </c>
      <c r="R3" s="5" t="inlineStr">
        <is>
          <t>8</t>
        </is>
      </c>
      <c r="S3" s="5" t="inlineStr">
        <is>
          <t>4</t>
        </is>
      </c>
      <c r="T3" s="5" t="inlineStr">
        <is>
          <t>0</t>
        </is>
      </c>
      <c r="U3" s="5" t="inlineStr">
        <is>
          <t>OK</t>
        </is>
      </c>
    </row>
    <row r="4">
      <c r="A4" s="5" t="inlineStr">
        <is>
          <t>E01877</t>
        </is>
      </c>
      <c r="B4" s="5" t="inlineStr">
        <is>
          <t>Male</t>
        </is>
      </c>
      <c r="C4" s="6" t="inlineStr">
        <is>
          <t>26</t>
        </is>
      </c>
      <c r="D4" s="5" t="inlineStr">
        <is>
          <t>Married</t>
        </is>
      </c>
      <c r="E4" s="5" t="inlineStr">
        <is>
          <t>High School</t>
        </is>
      </c>
      <c r="F4" s="5" t="inlineStr">
        <is>
          <t>Finance</t>
        </is>
      </c>
      <c r="G4" s="5" t="inlineStr">
        <is>
          <t>Credit Analyst</t>
        </is>
      </c>
      <c r="H4" s="5" t="inlineStr">
        <is>
          <t>1</t>
        </is>
      </c>
      <c r="I4" s="5" t="inlineStr">
        <is>
          <t>Hyderabad</t>
        </is>
      </c>
      <c r="J4" s="5" t="inlineStr">
        <is>
          <t>Full-Time</t>
        </is>
      </c>
      <c r="K4" s="7" t="n">
        <v>44357</v>
      </c>
      <c r="L4" s="7" t="inlineStr"/>
      <c r="M4" s="5" t="inlineStr">
        <is>
          <t>Yes</t>
        </is>
      </c>
      <c r="N4" s="5" t="inlineStr"/>
      <c r="O4" s="8" t="inlineStr">
        <is>
          <t>78000</t>
        </is>
      </c>
      <c r="P4" s="5" t="inlineStr">
        <is>
          <t>10</t>
        </is>
      </c>
      <c r="Q4" s="5" t="inlineStr">
        <is>
          <t>3</t>
        </is>
      </c>
      <c r="R4" s="5" t="inlineStr">
        <is>
          <t>9</t>
        </is>
      </c>
      <c r="S4" s="5" t="inlineStr">
        <is>
          <t>55</t>
        </is>
      </c>
      <c r="T4" s="5" t="inlineStr">
        <is>
          <t>3</t>
        </is>
      </c>
      <c r="U4" s="5" t="inlineStr">
        <is>
          <t>OK</t>
        </is>
      </c>
    </row>
    <row r="5">
      <c r="A5" s="5" t="inlineStr">
        <is>
          <t>E01954</t>
        </is>
      </c>
      <c r="B5" s="5" t="inlineStr">
        <is>
          <t>Male</t>
        </is>
      </c>
      <c r="C5" s="6" t="inlineStr">
        <is>
          <t>28</t>
        </is>
      </c>
      <c r="D5" s="5" t="inlineStr">
        <is>
          <t>Married</t>
        </is>
      </c>
      <c r="E5" s="5" t="inlineStr">
        <is>
          <t>High School</t>
        </is>
      </c>
      <c r="F5" s="5" t="inlineStr">
        <is>
          <t>Human Resources</t>
        </is>
      </c>
      <c r="G5" s="5" t="inlineStr">
        <is>
          <t>Recruiter</t>
        </is>
      </c>
      <c r="H5" s="5" t="inlineStr">
        <is>
          <t>3</t>
        </is>
      </c>
      <c r="I5" s="5" t="inlineStr">
        <is>
          <t>Bengaluru</t>
        </is>
      </c>
      <c r="J5" s="5" t="inlineStr">
        <is>
          <t>Full-Time</t>
        </is>
      </c>
      <c r="K5" s="7" t="n">
        <v>45814</v>
      </c>
      <c r="L5" s="7" t="inlineStr"/>
      <c r="M5" s="5" t="inlineStr">
        <is>
          <t>Yes</t>
        </is>
      </c>
      <c r="N5" s="5" t="inlineStr"/>
      <c r="O5" s="8" t="inlineStr">
        <is>
          <t>90000</t>
        </is>
      </c>
      <c r="P5" s="5" t="inlineStr">
        <is>
          <t>10</t>
        </is>
      </c>
      <c r="Q5" s="5" t="inlineStr">
        <is>
          <t>5</t>
        </is>
      </c>
      <c r="R5" s="5" t="inlineStr">
        <is>
          <t>5</t>
        </is>
      </c>
      <c r="S5" s="5" t="inlineStr">
        <is>
          <t>6</t>
        </is>
      </c>
      <c r="T5" s="5" t="inlineStr">
        <is>
          <t>5</t>
        </is>
      </c>
      <c r="U5" s="5" t="inlineStr">
        <is>
          <t>OK</t>
        </is>
      </c>
    </row>
    <row r="6">
      <c r="A6" s="5" t="inlineStr">
        <is>
          <t>E00129</t>
        </is>
      </c>
      <c r="B6" s="5" t="inlineStr">
        <is>
          <t>Female</t>
        </is>
      </c>
      <c r="C6" s="6" t="inlineStr">
        <is>
          <t>34</t>
        </is>
      </c>
      <c r="D6" s="5" t="inlineStr">
        <is>
          <t>Married</t>
        </is>
      </c>
      <c r="E6" s="5" t="inlineStr">
        <is>
          <t>PhD</t>
        </is>
      </c>
      <c r="F6" s="5" t="inlineStr">
        <is>
          <t>Sales</t>
        </is>
      </c>
      <c r="G6" s="5" t="inlineStr">
        <is>
          <t>Business Development</t>
        </is>
      </c>
      <c r="H6" s="5" t="inlineStr">
        <is>
          <t>1</t>
        </is>
      </c>
      <c r="I6" s="5" t="inlineStr">
        <is>
          <t>Mumbai</t>
        </is>
      </c>
      <c r="J6" s="5" t="inlineStr">
        <is>
          <t>Full-Time</t>
        </is>
      </c>
      <c r="K6" s="7" t="n">
        <v>45352</v>
      </c>
      <c r="L6" s="7" t="n">
        <v>45411</v>
      </c>
      <c r="M6" s="5" t="inlineStr">
        <is>
          <t>No</t>
        </is>
      </c>
      <c r="N6" s="5" t="inlineStr">
        <is>
          <t>Layoff</t>
        </is>
      </c>
      <c r="O6" s="8" t="inlineStr">
        <is>
          <t>73000</t>
        </is>
      </c>
      <c r="P6" s="5" t="inlineStr">
        <is>
          <t>0</t>
        </is>
      </c>
      <c r="Q6" s="5" t="inlineStr">
        <is>
          <t>4</t>
        </is>
      </c>
      <c r="R6" s="5" t="inlineStr">
        <is>
          <t>4</t>
        </is>
      </c>
      <c r="S6" s="5" t="inlineStr">
        <is>
          <t>1</t>
        </is>
      </c>
      <c r="T6" s="5" t="inlineStr">
        <is>
          <t>11</t>
        </is>
      </c>
      <c r="U6" s="5" t="inlineStr">
        <is>
          <t>OK</t>
        </is>
      </c>
    </row>
    <row r="7">
      <c r="A7" s="5" t="inlineStr">
        <is>
          <t>E00138</t>
        </is>
      </c>
      <c r="B7" s="5" t="inlineStr">
        <is>
          <t>Male</t>
        </is>
      </c>
      <c r="C7" s="6" t="inlineStr">
        <is>
          <t>32</t>
        </is>
      </c>
      <c r="D7" s="5" t="inlineStr">
        <is>
          <t>Married</t>
        </is>
      </c>
      <c r="E7" s="5" t="inlineStr">
        <is>
          <t>Master</t>
        </is>
      </c>
      <c r="F7" s="5" t="inlineStr">
        <is>
          <t>Sales</t>
        </is>
      </c>
      <c r="G7" s="5" t="inlineStr">
        <is>
          <t>Sales Executive</t>
        </is>
      </c>
      <c r="H7" s="5" t="inlineStr">
        <is>
          <t>3</t>
        </is>
      </c>
      <c r="I7" s="5" t="inlineStr">
        <is>
          <t>Delhi</t>
        </is>
      </c>
      <c r="J7" s="5" t="inlineStr">
        <is>
          <t>Full-Time</t>
        </is>
      </c>
      <c r="K7" s="7" t="n">
        <v>44395</v>
      </c>
      <c r="L7" s="7" t="inlineStr"/>
      <c r="M7" s="5" t="inlineStr">
        <is>
          <t>Yes</t>
        </is>
      </c>
      <c r="N7" s="5" t="inlineStr"/>
      <c r="O7" s="8" t="inlineStr">
        <is>
          <t>102500</t>
        </is>
      </c>
      <c r="P7" s="5" t="inlineStr">
        <is>
          <t>0</t>
        </is>
      </c>
      <c r="Q7" s="5" t="inlineStr">
        <is>
          <t>5</t>
        </is>
      </c>
      <c r="R7" s="5" t="inlineStr">
        <is>
          <t>1</t>
        </is>
      </c>
      <c r="S7" s="5" t="inlineStr">
        <is>
          <t>54</t>
        </is>
      </c>
      <c r="T7" s="5" t="inlineStr">
        <is>
          <t>13</t>
        </is>
      </c>
      <c r="U7" s="5" t="inlineStr">
        <is>
          <t>OK</t>
        </is>
      </c>
    </row>
    <row r="8">
      <c r="A8" s="5" t="inlineStr">
        <is>
          <t>E02149</t>
        </is>
      </c>
      <c r="B8" s="5" t="inlineStr">
        <is>
          <t>male</t>
        </is>
      </c>
      <c r="C8" s="6" t="inlineStr">
        <is>
          <t>30</t>
        </is>
      </c>
      <c r="D8" s="5" t="inlineStr">
        <is>
          <t>Single</t>
        </is>
      </c>
      <c r="E8" s="5" t="inlineStr">
        <is>
          <t>Bachelor</t>
        </is>
      </c>
      <c r="F8" s="5" t="inlineStr">
        <is>
          <t>IT</t>
        </is>
      </c>
      <c r="G8" s="5" t="inlineStr">
        <is>
          <t>Software Engineer</t>
        </is>
      </c>
      <c r="H8" s="5" t="inlineStr">
        <is>
          <t>3</t>
        </is>
      </c>
      <c r="I8" s="5" t="inlineStr">
        <is>
          <t>Bengaluru</t>
        </is>
      </c>
      <c r="J8" s="5" t="inlineStr">
        <is>
          <t>Full-Time</t>
        </is>
      </c>
      <c r="K8" s="7" t="n">
        <v>44519</v>
      </c>
      <c r="L8" s="7" t="inlineStr"/>
      <c r="M8" s="5" t="inlineStr">
        <is>
          <t>Yes</t>
        </is>
      </c>
      <c r="N8" s="5" t="inlineStr"/>
      <c r="O8" s="8" t="inlineStr">
        <is>
          <t>107000</t>
        </is>
      </c>
      <c r="P8" s="5" t="inlineStr">
        <is>
          <t>0</t>
        </is>
      </c>
      <c r="Q8" s="5" t="inlineStr">
        <is>
          <t>5</t>
        </is>
      </c>
      <c r="R8" s="5" t="inlineStr">
        <is>
          <t>6</t>
        </is>
      </c>
      <c r="S8" s="5" t="inlineStr">
        <is>
          <t>50</t>
        </is>
      </c>
      <c r="T8" s="5" t="inlineStr">
        <is>
          <t>9</t>
        </is>
      </c>
      <c r="U8" s="5" t="inlineStr">
        <is>
          <t>OK</t>
        </is>
      </c>
    </row>
    <row r="9">
      <c r="A9" s="5" t="inlineStr">
        <is>
          <t>E02093</t>
        </is>
      </c>
      <c r="B9" s="5" t="inlineStr">
        <is>
          <t>Male</t>
        </is>
      </c>
      <c r="C9" s="6" t="inlineStr">
        <is>
          <t>42</t>
        </is>
      </c>
      <c r="D9" s="5" t="inlineStr">
        <is>
          <t>Married</t>
        </is>
      </c>
      <c r="E9" s="5" t="inlineStr">
        <is>
          <t>PhD</t>
        </is>
      </c>
      <c r="F9" s="5" t="inlineStr">
        <is>
          <t>Sales</t>
        </is>
      </c>
      <c r="G9" s="5" t="inlineStr">
        <is>
          <t>Account Executive</t>
        </is>
      </c>
      <c r="H9" s="5" t="inlineStr">
        <is>
          <t>5</t>
        </is>
      </c>
      <c r="I9" s="5" t="inlineStr">
        <is>
          <t>Mumbai</t>
        </is>
      </c>
      <c r="J9" s="5" t="inlineStr">
        <is>
          <t>Full-Time</t>
        </is>
      </c>
      <c r="K9" s="7" t="n">
        <v>44270</v>
      </c>
      <c r="L9" s="7" t="inlineStr"/>
      <c r="M9" s="5" t="inlineStr">
        <is>
          <t>Yes</t>
        </is>
      </c>
      <c r="N9" s="5" t="inlineStr"/>
      <c r="O9" s="8" t="inlineStr">
        <is>
          <t>109000</t>
        </is>
      </c>
      <c r="P9" s="5" t="inlineStr">
        <is>
          <t>0</t>
        </is>
      </c>
      <c r="Q9" s="5" t="inlineStr">
        <is>
          <t>3</t>
        </is>
      </c>
      <c r="R9" s="5" t="inlineStr">
        <is>
          <t>2</t>
        </is>
      </c>
      <c r="S9" s="5" t="inlineStr">
        <is>
          <t>58</t>
        </is>
      </c>
      <c r="T9" s="5" t="inlineStr">
        <is>
          <t>11</t>
        </is>
      </c>
      <c r="U9" s="5" t="inlineStr">
        <is>
          <t>OK</t>
        </is>
      </c>
    </row>
    <row r="10">
      <c r="A10" s="5" t="inlineStr">
        <is>
          <t>E01810</t>
        </is>
      </c>
      <c r="B10" s="5" t="inlineStr">
        <is>
          <t>Male</t>
        </is>
      </c>
      <c r="C10" s="6" t="inlineStr">
        <is>
          <t>28</t>
        </is>
      </c>
      <c r="D10" s="5" t="inlineStr">
        <is>
          <t>Married</t>
        </is>
      </c>
      <c r="E10" s="5" t="inlineStr">
        <is>
          <t>Diploma</t>
        </is>
      </c>
      <c r="F10" s="5" t="inlineStr">
        <is>
          <t>Finance</t>
        </is>
      </c>
      <c r="G10" s="5" t="inlineStr">
        <is>
          <t>Financial Analyst</t>
        </is>
      </c>
      <c r="H10" s="5" t="inlineStr">
        <is>
          <t>3</t>
        </is>
      </c>
      <c r="I10" s="5" t="inlineStr">
        <is>
          <t>Mumbai</t>
        </is>
      </c>
      <c r="J10" s="5" t="inlineStr">
        <is>
          <t>Full-Time</t>
        </is>
      </c>
      <c r="K10" s="7" t="n">
        <v>44964</v>
      </c>
      <c r="L10" s="7" t="inlineStr"/>
      <c r="M10" s="5" t="inlineStr">
        <is>
          <t>Yes</t>
        </is>
      </c>
      <c r="N10" s="5" t="inlineStr"/>
      <c r="O10" s="8" t="inlineStr">
        <is>
          <t>85000</t>
        </is>
      </c>
      <c r="P10" s="5" t="inlineStr">
        <is>
          <t>0</t>
        </is>
      </c>
      <c r="Q10" s="5" t="inlineStr">
        <is>
          <t>3</t>
        </is>
      </c>
      <c r="R10" s="5" t="inlineStr">
        <is>
          <t>6</t>
        </is>
      </c>
      <c r="S10" s="5" t="inlineStr">
        <is>
          <t>35</t>
        </is>
      </c>
      <c r="T10" s="5" t="inlineStr">
        <is>
          <t>8</t>
        </is>
      </c>
      <c r="U10" s="5" t="inlineStr">
        <is>
          <t>OK</t>
        </is>
      </c>
    </row>
    <row r="11">
      <c r="A11" s="5" t="inlineStr">
        <is>
          <t>E02706</t>
        </is>
      </c>
      <c r="B11" s="5" t="inlineStr">
        <is>
          <t>Female</t>
        </is>
      </c>
      <c r="C11" s="6" t="inlineStr">
        <is>
          <t>42</t>
        </is>
      </c>
      <c r="D11" s="5" t="inlineStr">
        <is>
          <t>Married</t>
        </is>
      </c>
      <c r="E11" s="5" t="inlineStr">
        <is>
          <t>PhD</t>
        </is>
      </c>
      <c r="F11" s="5" t="inlineStr">
        <is>
          <t>Operations</t>
        </is>
      </c>
      <c r="G11" s="5" t="inlineStr">
        <is>
          <t>Operations Analyst</t>
        </is>
      </c>
      <c r="H11" s="5" t="inlineStr">
        <is>
          <t>6</t>
        </is>
      </c>
      <c r="I11" s="5" t="inlineStr">
        <is>
          <t>Remote</t>
        </is>
      </c>
      <c r="J11" s="5" t="inlineStr">
        <is>
          <t>Full-Time</t>
        </is>
      </c>
      <c r="K11" s="7" t="n">
        <v>44190</v>
      </c>
      <c r="L11" s="7" t="inlineStr"/>
      <c r="M11" s="5" t="inlineStr">
        <is>
          <t>Yes</t>
        </is>
      </c>
      <c r="N11" s="5" t="inlineStr"/>
      <c r="O11" s="8" t="inlineStr">
        <is>
          <t>122000</t>
        </is>
      </c>
      <c r="P11" s="5" t="inlineStr">
        <is>
          <t>15</t>
        </is>
      </c>
      <c r="Q11" s="5" t="inlineStr">
        <is>
          <t>3</t>
        </is>
      </c>
      <c r="R11" s="5" t="inlineStr">
        <is>
          <t>5</t>
        </is>
      </c>
      <c r="S11" s="5" t="inlineStr">
        <is>
          <t>61</t>
        </is>
      </c>
      <c r="T11" s="5" t="inlineStr">
        <is>
          <t>3</t>
        </is>
      </c>
      <c r="U11" s="5" t="inlineStr">
        <is>
          <t>OK</t>
        </is>
      </c>
    </row>
    <row r="12">
      <c r="A12" s="5" t="inlineStr">
        <is>
          <t>E02698</t>
        </is>
      </c>
      <c r="B12" s="5" t="inlineStr">
        <is>
          <t>Female</t>
        </is>
      </c>
      <c r="C12" s="6" t="inlineStr">
        <is>
          <t>27</t>
        </is>
      </c>
      <c r="D12" s="5" t="inlineStr">
        <is>
          <t>Married</t>
        </is>
      </c>
      <c r="E12" s="5" t="inlineStr">
        <is>
          <t>Master</t>
        </is>
      </c>
      <c r="F12" s="5" t="inlineStr">
        <is>
          <t>IT</t>
        </is>
      </c>
      <c r="G12" s="5" t="inlineStr">
        <is>
          <t>IT Support</t>
        </is>
      </c>
      <c r="H12" s="5" t="inlineStr">
        <is>
          <t>1</t>
        </is>
      </c>
      <c r="I12" s="5" t="inlineStr">
        <is>
          <t>Delhi</t>
        </is>
      </c>
      <c r="J12" s="5" t="inlineStr">
        <is>
          <t>Full-Time</t>
        </is>
      </c>
      <c r="K12" s="7" t="n">
        <v>46001</v>
      </c>
      <c r="L12" s="7" t="inlineStr"/>
      <c r="M12" s="5" t="inlineStr">
        <is>
          <t>Yes</t>
        </is>
      </c>
      <c r="N12" s="5" t="inlineStr"/>
      <c r="O12" s="8" t="inlineStr">
        <is>
          <t>108500</t>
        </is>
      </c>
      <c r="P12" s="5" t="inlineStr">
        <is>
          <t>0</t>
        </is>
      </c>
      <c r="Q12" s="5" t="inlineStr">
        <is>
          <t>4</t>
        </is>
      </c>
      <c r="R12" s="5" t="inlineStr">
        <is>
          <t>7</t>
        </is>
      </c>
      <c r="S12" s="5" t="inlineStr">
        <is>
          <t>1</t>
        </is>
      </c>
      <c r="T12" s="5" t="inlineStr">
        <is>
          <t>2</t>
        </is>
      </c>
      <c r="U12" s="5" t="inlineStr">
        <is>
          <t>OK</t>
        </is>
      </c>
    </row>
    <row r="13">
      <c r="A13" s="5" t="inlineStr">
        <is>
          <t>E01469</t>
        </is>
      </c>
      <c r="B13" s="5" t="inlineStr">
        <is>
          <t>Male</t>
        </is>
      </c>
      <c r="C13" s="6" t="inlineStr">
        <is>
          <t>31</t>
        </is>
      </c>
      <c r="D13" s="5" t="inlineStr">
        <is>
          <t>Married</t>
        </is>
      </c>
      <c r="E13" s="5" t="inlineStr">
        <is>
          <t>Diploma</t>
        </is>
      </c>
      <c r="F13" s="5" t="inlineStr">
        <is>
          <t>Marketing</t>
        </is>
      </c>
      <c r="G13" s="5" t="inlineStr">
        <is>
          <t>Content Writer</t>
        </is>
      </c>
      <c r="H13" s="5" t="inlineStr">
        <is>
          <t>3</t>
        </is>
      </c>
      <c r="I13" s="5" t="inlineStr">
        <is>
          <t>Delhi</t>
        </is>
      </c>
      <c r="J13" s="5" t="inlineStr">
        <is>
          <t>Full-Time</t>
        </is>
      </c>
      <c r="K13" s="7" t="n">
        <v>44264</v>
      </c>
      <c r="L13" s="7" t="inlineStr"/>
      <c r="M13" s="5" t="inlineStr">
        <is>
          <t>Yes</t>
        </is>
      </c>
      <c r="N13" s="5" t="inlineStr"/>
      <c r="O13" s="8" t="inlineStr">
        <is>
          <t>91000</t>
        </is>
      </c>
      <c r="P13" s="5" t="inlineStr">
        <is>
          <t>15</t>
        </is>
      </c>
      <c r="Q13" s="5" t="inlineStr">
        <is>
          <t>3</t>
        </is>
      </c>
      <c r="R13" s="5" t="inlineStr">
        <is>
          <t>3</t>
        </is>
      </c>
      <c r="S13" s="5" t="inlineStr">
        <is>
          <t>58</t>
        </is>
      </c>
      <c r="T13" s="5" t="inlineStr">
        <is>
          <t>8</t>
        </is>
      </c>
      <c r="U13" s="5" t="inlineStr">
        <is>
          <t>OK</t>
        </is>
      </c>
    </row>
    <row r="14">
      <c r="A14" s="5" t="inlineStr">
        <is>
          <t>E01727</t>
        </is>
      </c>
      <c r="B14" s="5" t="inlineStr">
        <is>
          <t>Male</t>
        </is>
      </c>
      <c r="C14" s="6" t="inlineStr">
        <is>
          <t>34</t>
        </is>
      </c>
      <c r="D14" s="5" t="inlineStr">
        <is>
          <t>Married</t>
        </is>
      </c>
      <c r="E14" s="5" t="inlineStr">
        <is>
          <t>Diploma</t>
        </is>
      </c>
      <c r="F14" s="5" t="inlineStr">
        <is>
          <t>Human Resources</t>
        </is>
      </c>
      <c r="G14" s="5" t="inlineStr">
        <is>
          <t>HR Analyst</t>
        </is>
      </c>
      <c r="H14" s="5" t="inlineStr">
        <is>
          <t>3</t>
        </is>
      </c>
      <c r="I14" s="5" t="inlineStr">
        <is>
          <t>Bengaluru</t>
        </is>
      </c>
      <c r="J14" s="5" t="inlineStr">
        <is>
          <t>Full-Time</t>
        </is>
      </c>
      <c r="K14" s="7" t="n">
        <v>45876</v>
      </c>
      <c r="L14" s="7" t="n">
        <v>45928</v>
      </c>
      <c r="M14" s="5" t="inlineStr">
        <is>
          <t>No</t>
        </is>
      </c>
      <c r="N14" s="5" t="inlineStr">
        <is>
          <t>Retirement</t>
        </is>
      </c>
      <c r="O14" s="8" t="inlineStr">
        <is>
          <t>83500</t>
        </is>
      </c>
      <c r="P14" s="5" t="inlineStr">
        <is>
          <t>0</t>
        </is>
      </c>
      <c r="Q14" s="5" t="inlineStr">
        <is>
          <t>5</t>
        </is>
      </c>
      <c r="R14" s="5" t="inlineStr">
        <is>
          <t>8</t>
        </is>
      </c>
      <c r="S14" s="5" t="inlineStr">
        <is>
          <t>1</t>
        </is>
      </c>
      <c r="T14" s="5" t="inlineStr">
        <is>
          <t>4</t>
        </is>
      </c>
      <c r="U14" s="5" t="inlineStr">
        <is>
          <t>OK</t>
        </is>
      </c>
    </row>
    <row r="15">
      <c r="A15" s="5" t="inlineStr">
        <is>
          <t>E00711</t>
        </is>
      </c>
      <c r="B15" s="5" t="inlineStr">
        <is>
          <t>Male</t>
        </is>
      </c>
      <c r="C15" s="6" t="inlineStr">
        <is>
          <t>34</t>
        </is>
      </c>
      <c r="D15" s="5" t="inlineStr">
        <is>
          <t>Single</t>
        </is>
      </c>
      <c r="E15" s="5" t="inlineStr">
        <is>
          <t>PhD</t>
        </is>
      </c>
      <c r="F15" s="5" t="inlineStr">
        <is>
          <t>Operations</t>
        </is>
      </c>
      <c r="G15" s="5" t="inlineStr">
        <is>
          <t>Quality Analyst</t>
        </is>
      </c>
      <c r="H15" s="5" t="inlineStr">
        <is>
          <t>2</t>
        </is>
      </c>
      <c r="I15" s="5" t="inlineStr">
        <is>
          <t>Hyderabad</t>
        </is>
      </c>
      <c r="J15" s="5" t="inlineStr">
        <is>
          <t>Full-Time</t>
        </is>
      </c>
      <c r="K15" s="7" t="n">
        <v>45327</v>
      </c>
      <c r="L15" s="7" t="inlineStr"/>
      <c r="M15" s="5" t="inlineStr">
        <is>
          <t>Yes</t>
        </is>
      </c>
      <c r="N15" s="5" t="inlineStr"/>
      <c r="O15" s="8" t="inlineStr">
        <is>
          <t>88000</t>
        </is>
      </c>
      <c r="P15" s="5" t="inlineStr">
        <is>
          <t>5</t>
        </is>
      </c>
      <c r="Q15" s="5" t="inlineStr">
        <is>
          <t>3</t>
        </is>
      </c>
      <c r="R15" s="5" t="inlineStr">
        <is>
          <t>4</t>
        </is>
      </c>
      <c r="S15" s="5" t="inlineStr">
        <is>
          <t>23</t>
        </is>
      </c>
      <c r="T15" s="5" t="inlineStr">
        <is>
          <t>0</t>
        </is>
      </c>
      <c r="U15" s="5" t="inlineStr">
        <is>
          <t>OK</t>
        </is>
      </c>
    </row>
    <row r="16">
      <c r="A16" s="5" t="inlineStr">
        <is>
          <t>E02942</t>
        </is>
      </c>
      <c r="B16" s="5" t="inlineStr">
        <is>
          <t>Male</t>
        </is>
      </c>
      <c r="C16" s="6" t="inlineStr">
        <is>
          <t>26</t>
        </is>
      </c>
      <c r="D16" s="5" t="inlineStr">
        <is>
          <t>Single</t>
        </is>
      </c>
      <c r="E16" s="5" t="inlineStr">
        <is>
          <t>PhD</t>
        </is>
      </c>
      <c r="F16" s="5" t="inlineStr">
        <is>
          <t>Marketing</t>
        </is>
      </c>
      <c r="G16" s="5" t="inlineStr">
        <is>
          <t>Content Writer</t>
        </is>
      </c>
      <c r="H16" s="5" t="inlineStr">
        <is>
          <t>1</t>
        </is>
      </c>
      <c r="I16" s="5" t="inlineStr">
        <is>
          <t>Chennai</t>
        </is>
      </c>
      <c r="J16" s="5" t="inlineStr">
        <is>
          <t>Full-Time</t>
        </is>
      </c>
      <c r="K16" s="7" t="n">
        <v>43903</v>
      </c>
      <c r="L16" s="7" t="inlineStr"/>
      <c r="M16" s="5" t="inlineStr">
        <is>
          <t>Yes</t>
        </is>
      </c>
      <c r="N16" s="5" t="inlineStr"/>
      <c r="O16" s="8" t="inlineStr">
        <is>
          <t>66000</t>
        </is>
      </c>
      <c r="P16" s="5" t="inlineStr">
        <is>
          <t>0</t>
        </is>
      </c>
      <c r="Q16" s="5" t="inlineStr">
        <is>
          <t>5</t>
        </is>
      </c>
      <c r="R16" s="5" t="inlineStr">
        <is>
          <t>4</t>
        </is>
      </c>
      <c r="S16" s="5" t="inlineStr">
        <is>
          <t>70</t>
        </is>
      </c>
      <c r="T16" s="5" t="inlineStr">
        <is>
          <t>5</t>
        </is>
      </c>
      <c r="U16" s="5" t="inlineStr">
        <is>
          <t>OK</t>
        </is>
      </c>
    </row>
    <row r="17">
      <c r="A17" s="5" t="inlineStr">
        <is>
          <t>E01887</t>
        </is>
      </c>
      <c r="B17" s="5" t="inlineStr">
        <is>
          <t>Female</t>
        </is>
      </c>
      <c r="C17" s="6" t="inlineStr">
        <is>
          <t>36</t>
        </is>
      </c>
      <c r="D17" s="5" t="inlineStr">
        <is>
          <t>Divorced</t>
        </is>
      </c>
      <c r="E17" s="5" t="inlineStr">
        <is>
          <t>High School</t>
        </is>
      </c>
      <c r="F17" s="5" t="inlineStr">
        <is>
          <t>Research &amp; Development</t>
        </is>
      </c>
      <c r="G17" s="5" t="inlineStr">
        <is>
          <t>Research Scientist</t>
        </is>
      </c>
      <c r="H17" s="5" t="inlineStr">
        <is>
          <t>4</t>
        </is>
      </c>
      <c r="I17" s="5" t="inlineStr">
        <is>
          <t>Remote</t>
        </is>
      </c>
      <c r="J17" s="5" t="inlineStr">
        <is>
          <t>Full-Time</t>
        </is>
      </c>
      <c r="K17" s="7" t="n">
        <v>44237</v>
      </c>
      <c r="L17" s="7" t="inlineStr"/>
      <c r="M17" s="5" t="inlineStr">
        <is>
          <t>Yes</t>
        </is>
      </c>
      <c r="N17" s="5" t="inlineStr"/>
      <c r="O17" s="8" t="inlineStr">
        <is>
          <t>230500</t>
        </is>
      </c>
      <c r="P17" s="5" t="inlineStr">
        <is>
          <t>0</t>
        </is>
      </c>
      <c r="Q17" s="5" t="inlineStr">
        <is>
          <t>3</t>
        </is>
      </c>
      <c r="R17" s="5" t="inlineStr">
        <is>
          <t>8</t>
        </is>
      </c>
      <c r="S17" s="5" t="inlineStr">
        <is>
          <t>59</t>
        </is>
      </c>
      <c r="T17" s="5" t="inlineStr">
        <is>
          <t>17</t>
        </is>
      </c>
      <c r="U17" s="5" t="inlineStr">
        <is>
          <t>OK</t>
        </is>
      </c>
    </row>
    <row r="18">
      <c r="A18" s="5" t="inlineStr">
        <is>
          <t>E01441</t>
        </is>
      </c>
      <c r="B18" s="5" t="inlineStr">
        <is>
          <t>Male</t>
        </is>
      </c>
      <c r="C18" s="6" t="inlineStr">
        <is>
          <t>34</t>
        </is>
      </c>
      <c r="D18" s="5" t="inlineStr">
        <is>
          <t>Single</t>
        </is>
      </c>
      <c r="E18" s="5" t="inlineStr">
        <is>
          <t>High School</t>
        </is>
      </c>
      <c r="F18" s="5" t="inlineStr">
        <is>
          <t>Marketing</t>
        </is>
      </c>
      <c r="G18" s="5" t="inlineStr">
        <is>
          <t>Content Writer</t>
        </is>
      </c>
      <c r="H18" s="5" t="inlineStr">
        <is>
          <t>4</t>
        </is>
      </c>
      <c r="I18" s="5" t="inlineStr">
        <is>
          <t>Remote</t>
        </is>
      </c>
      <c r="J18" s="5" t="inlineStr">
        <is>
          <t>Full-Time</t>
        </is>
      </c>
      <c r="K18" s="7" t="n">
        <v>45670</v>
      </c>
      <c r="L18" s="7" t="n">
        <v>45738</v>
      </c>
      <c r="M18" s="5" t="inlineStr">
        <is>
          <t>No</t>
        </is>
      </c>
      <c r="N18" s="5" t="inlineStr">
        <is>
          <t>Resigned</t>
        </is>
      </c>
      <c r="O18" s="8" t="inlineStr">
        <is>
          <t>118500</t>
        </is>
      </c>
      <c r="P18" s="5" t="inlineStr">
        <is>
          <t>0</t>
        </is>
      </c>
      <c r="Q18" s="5" t="inlineStr">
        <is>
          <t>2</t>
        </is>
      </c>
      <c r="R18" s="5" t="inlineStr">
        <is>
          <t>2</t>
        </is>
      </c>
      <c r="S18" s="5" t="inlineStr">
        <is>
          <t>2</t>
        </is>
      </c>
      <c r="T18" s="5" t="inlineStr">
        <is>
          <t>2</t>
        </is>
      </c>
      <c r="U18" s="5" t="inlineStr">
        <is>
          <t>OK</t>
        </is>
      </c>
    </row>
    <row r="19">
      <c r="A19" s="5" t="inlineStr">
        <is>
          <t>E02533</t>
        </is>
      </c>
      <c r="B19" s="5" t="inlineStr">
        <is>
          <t>Male</t>
        </is>
      </c>
      <c r="C19" s="6" t="inlineStr">
        <is>
          <t>36</t>
        </is>
      </c>
      <c r="D19" s="5" t="inlineStr">
        <is>
          <t>Married</t>
        </is>
      </c>
      <c r="E19" s="5" t="inlineStr">
        <is>
          <t>High School</t>
        </is>
      </c>
      <c r="F19" s="5" t="inlineStr">
        <is>
          <t>Finance</t>
        </is>
      </c>
      <c r="G19" s="5" t="inlineStr">
        <is>
          <t>Credit Analyst</t>
        </is>
      </c>
      <c r="H19" s="5" t="inlineStr">
        <is>
          <t>6</t>
        </is>
      </c>
      <c r="I19" s="5" t="inlineStr">
        <is>
          <t>Hyderabad</t>
        </is>
      </c>
      <c r="J19" s="5" t="inlineStr">
        <is>
          <t>Full-Time</t>
        </is>
      </c>
      <c r="K19" s="7" t="n">
        <v>45536</v>
      </c>
      <c r="L19" s="7" t="inlineStr"/>
      <c r="M19" s="5" t="inlineStr">
        <is>
          <t>Yes</t>
        </is>
      </c>
      <c r="N19" s="5" t="inlineStr"/>
      <c r="O19" s="8" t="inlineStr">
        <is>
          <t>140000</t>
        </is>
      </c>
      <c r="P19" s="5" t="inlineStr">
        <is>
          <t>10</t>
        </is>
      </c>
      <c r="Q19" s="5" t="inlineStr">
        <is>
          <t>3</t>
        </is>
      </c>
      <c r="R19" s="5" t="inlineStr">
        <is>
          <t>6</t>
        </is>
      </c>
      <c r="S19" s="5" t="inlineStr">
        <is>
          <t>16</t>
        </is>
      </c>
      <c r="T19" s="5" t="inlineStr">
        <is>
          <t>1</t>
        </is>
      </c>
      <c r="U19" s="5" t="inlineStr">
        <is>
          <t>OK</t>
        </is>
      </c>
    </row>
    <row r="20">
      <c r="A20" s="5" t="inlineStr">
        <is>
          <t>E02649</t>
        </is>
      </c>
      <c r="B20" s="5" t="inlineStr">
        <is>
          <t>Female</t>
        </is>
      </c>
      <c r="C20" s="6" t="inlineStr">
        <is>
          <t>27</t>
        </is>
      </c>
      <c r="D20" s="5" t="inlineStr">
        <is>
          <t>Married</t>
        </is>
      </c>
      <c r="E20" s="5" t="inlineStr">
        <is>
          <t>PhD</t>
        </is>
      </c>
      <c r="F20" s="5" t="inlineStr">
        <is>
          <t>Customer Support</t>
        </is>
      </c>
      <c r="G20" s="5" t="inlineStr">
        <is>
          <t>Escalation Specialist</t>
        </is>
      </c>
      <c r="H20" s="5" t="inlineStr">
        <is>
          <t>2</t>
        </is>
      </c>
      <c r="I20" s="5" t="inlineStr">
        <is>
          <t>Mumbai</t>
        </is>
      </c>
      <c r="J20" s="5" t="inlineStr">
        <is>
          <t>Full-Time</t>
        </is>
      </c>
      <c r="K20" s="7" t="n">
        <v>45837</v>
      </c>
      <c r="L20" s="7" t="n">
        <v>45943</v>
      </c>
      <c r="M20" s="5" t="inlineStr">
        <is>
          <t>No</t>
        </is>
      </c>
      <c r="N20" s="5" t="inlineStr">
        <is>
          <t>Retirement</t>
        </is>
      </c>
      <c r="O20" s="8" t="inlineStr">
        <is>
          <t>50000</t>
        </is>
      </c>
      <c r="P20" s="5" t="inlineStr">
        <is>
          <t>0</t>
        </is>
      </c>
      <c r="Q20" s="5" t="inlineStr">
        <is>
          <t>2</t>
        </is>
      </c>
      <c r="R20" s="5" t="inlineStr">
        <is>
          <t>8</t>
        </is>
      </c>
      <c r="S20" s="5" t="inlineStr">
        <is>
          <t>3</t>
        </is>
      </c>
      <c r="T20" s="5" t="inlineStr">
        <is>
          <t>8</t>
        </is>
      </c>
      <c r="U20" s="5" t="inlineStr">
        <is>
          <t>OK</t>
        </is>
      </c>
    </row>
    <row r="21">
      <c r="A21" s="5" t="inlineStr">
        <is>
          <t>E00789</t>
        </is>
      </c>
      <c r="B21" s="5" t="inlineStr">
        <is>
          <t>Male</t>
        </is>
      </c>
      <c r="C21" s="6" t="inlineStr">
        <is>
          <t>28</t>
        </is>
      </c>
      <c r="D21" s="5" t="inlineStr">
        <is>
          <t>Married</t>
        </is>
      </c>
      <c r="E21" s="5" t="inlineStr">
        <is>
          <t>Bachelor</t>
        </is>
      </c>
      <c r="F21" s="5" t="inlineStr">
        <is>
          <t>Customer Support</t>
        </is>
      </c>
      <c r="G21" s="5" t="inlineStr">
        <is>
          <t>Support Agent</t>
        </is>
      </c>
      <c r="H21" s="5" t="inlineStr">
        <is>
          <t>1</t>
        </is>
      </c>
      <c r="I21" s="5" t="inlineStr">
        <is>
          <t>Bengaluru</t>
        </is>
      </c>
      <c r="J21" s="5" t="inlineStr">
        <is>
          <t>Part-Time</t>
        </is>
      </c>
      <c r="K21" s="7" t="n">
        <v>44157</v>
      </c>
      <c r="L21" s="7" t="inlineStr"/>
      <c r="M21" s="5" t="inlineStr">
        <is>
          <t>Yes</t>
        </is>
      </c>
      <c r="N21" s="5" t="inlineStr"/>
      <c r="O21" s="8" t="inlineStr">
        <is>
          <t>46000</t>
        </is>
      </c>
      <c r="P21" s="5" t="inlineStr">
        <is>
          <t>0</t>
        </is>
      </c>
      <c r="Q21" s="5" t="inlineStr">
        <is>
          <t>3</t>
        </is>
      </c>
      <c r="R21" s="5" t="inlineStr">
        <is>
          <t>6</t>
        </is>
      </c>
      <c r="S21" s="5" t="inlineStr">
        <is>
          <t>62</t>
        </is>
      </c>
      <c r="T21" s="5" t="inlineStr">
        <is>
          <t>0</t>
        </is>
      </c>
      <c r="U21" s="5" t="inlineStr">
        <is>
          <t>OK</t>
        </is>
      </c>
    </row>
    <row r="22">
      <c r="A22" s="5" t="inlineStr">
        <is>
          <t>E02693</t>
        </is>
      </c>
      <c r="B22" s="5" t="inlineStr">
        <is>
          <t>Male</t>
        </is>
      </c>
      <c r="C22" s="6" t="inlineStr">
        <is>
          <t>29</t>
        </is>
      </c>
      <c r="D22" s="5" t="inlineStr">
        <is>
          <t>Single</t>
        </is>
      </c>
      <c r="E22" s="5" t="inlineStr">
        <is>
          <t>PhD</t>
        </is>
      </c>
      <c r="F22" s="5" t="inlineStr">
        <is>
          <t>Research &amp; Development</t>
        </is>
      </c>
      <c r="G22" s="5" t="inlineStr">
        <is>
          <t>Research Scientist</t>
        </is>
      </c>
      <c r="H22" s="5" t="inlineStr">
        <is>
          <t>4</t>
        </is>
      </c>
      <c r="I22" s="5" t="inlineStr">
        <is>
          <t>Chennai</t>
        </is>
      </c>
      <c r="J22" s="5" t="inlineStr">
        <is>
          <t>Full-Time</t>
        </is>
      </c>
      <c r="K22" s="7" t="n">
        <v>44579</v>
      </c>
      <c r="L22" s="7" t="inlineStr"/>
      <c r="M22" s="5" t="inlineStr">
        <is>
          <t>Yes</t>
        </is>
      </c>
      <c r="N22" s="5" t="inlineStr"/>
      <c r="O22" s="8" t="inlineStr">
        <is>
          <t>192500</t>
        </is>
      </c>
      <c r="P22" s="5" t="inlineStr">
        <is>
          <t>0</t>
        </is>
      </c>
      <c r="Q22" s="5" t="inlineStr">
        <is>
          <t>3</t>
        </is>
      </c>
      <c r="R22" s="5" t="inlineStr">
        <is>
          <t>8</t>
        </is>
      </c>
      <c r="S22" s="5" t="inlineStr">
        <is>
          <t>48</t>
        </is>
      </c>
      <c r="T22" s="5" t="inlineStr">
        <is>
          <t>4</t>
        </is>
      </c>
      <c r="U22" s="5" t="inlineStr">
        <is>
          <t>OK</t>
        </is>
      </c>
    </row>
    <row r="23">
      <c r="A23" s="5" t="inlineStr">
        <is>
          <t>E02594</t>
        </is>
      </c>
      <c r="B23" s="5" t="inlineStr">
        <is>
          <t>Female</t>
        </is>
      </c>
      <c r="C23" s="6" t="inlineStr">
        <is>
          <t>29</t>
        </is>
      </c>
      <c r="D23" s="5" t="inlineStr">
        <is>
          <t>Married</t>
        </is>
      </c>
      <c r="E23" s="5" t="inlineStr">
        <is>
          <t>Master</t>
        </is>
      </c>
      <c r="F23" s="5" t="inlineStr">
        <is>
          <t>IT</t>
        </is>
      </c>
      <c r="G23" s="5" t="inlineStr">
        <is>
          <t>DevOps Engineer</t>
        </is>
      </c>
      <c r="H23" s="5" t="inlineStr">
        <is>
          <t>2</t>
        </is>
      </c>
      <c r="I23" s="5" t="inlineStr">
        <is>
          <t>Mumbai</t>
        </is>
      </c>
      <c r="J23" s="5" t="inlineStr">
        <is>
          <t>Full-Time</t>
        </is>
      </c>
      <c r="K23" s="7" t="n">
        <v>45970</v>
      </c>
      <c r="L23" s="7" t="inlineStr"/>
      <c r="M23" s="5" t="inlineStr">
        <is>
          <t>Yes</t>
        </is>
      </c>
      <c r="N23" s="5" t="inlineStr"/>
      <c r="O23" s="8" t="inlineStr">
        <is>
          <t>148000</t>
        </is>
      </c>
      <c r="P23" s="5" t="inlineStr">
        <is>
          <t>10</t>
        </is>
      </c>
      <c r="Q23" s="5" t="inlineStr">
        <is>
          <t>4</t>
        </is>
      </c>
      <c r="R23" s="5" t="inlineStr">
        <is>
          <t>6</t>
        </is>
      </c>
      <c r="S23" s="5" t="inlineStr">
        <is>
          <t>1</t>
        </is>
      </c>
      <c r="T23" s="5" t="inlineStr">
        <is>
          <t>0</t>
        </is>
      </c>
      <c r="U23" s="5" t="inlineStr">
        <is>
          <t>OK</t>
        </is>
      </c>
    </row>
    <row r="24">
      <c r="A24" s="5" t="inlineStr">
        <is>
          <t>E00888</t>
        </is>
      </c>
      <c r="B24" s="5" t="inlineStr">
        <is>
          <t>Female</t>
        </is>
      </c>
      <c r="C24" s="6" t="inlineStr">
        <is>
          <t>26</t>
        </is>
      </c>
      <c r="D24" s="5" t="inlineStr">
        <is>
          <t>Married</t>
        </is>
      </c>
      <c r="E24" s="5" t="inlineStr">
        <is>
          <t>PhD</t>
        </is>
      </c>
      <c r="F24" s="5" t="inlineStr">
        <is>
          <t>Customer Support</t>
        </is>
      </c>
      <c r="G24" s="5" t="inlineStr">
        <is>
          <t>Escalation Specialist</t>
        </is>
      </c>
      <c r="H24" s="5" t="inlineStr">
        <is>
          <t>2</t>
        </is>
      </c>
      <c r="I24" s="5" t="inlineStr">
        <is>
          <t>Bengaluru</t>
        </is>
      </c>
      <c r="J24" s="5" t="inlineStr">
        <is>
          <t>Part-Time</t>
        </is>
      </c>
      <c r="K24" s="7" t="n">
        <v>45589</v>
      </c>
      <c r="L24" s="7" t="n">
        <v>45644</v>
      </c>
      <c r="M24" s="5" t="inlineStr">
        <is>
          <t>No</t>
        </is>
      </c>
      <c r="N24" s="5" t="inlineStr">
        <is>
          <t>Resigned</t>
        </is>
      </c>
      <c r="O24" s="8" t="inlineStr">
        <is>
          <t>61500</t>
        </is>
      </c>
      <c r="P24" s="5" t="inlineStr">
        <is>
          <t>5</t>
        </is>
      </c>
      <c r="Q24" s="5" t="inlineStr">
        <is>
          <t>5</t>
        </is>
      </c>
      <c r="R24" s="5" t="inlineStr">
        <is>
          <t>5</t>
        </is>
      </c>
      <c r="S24" s="5" t="inlineStr">
        <is>
          <t>1</t>
        </is>
      </c>
      <c r="T24" s="5" t="inlineStr">
        <is>
          <t>9</t>
        </is>
      </c>
      <c r="U24" s="5" t="inlineStr">
        <is>
          <t>OK</t>
        </is>
      </c>
    </row>
    <row r="25">
      <c r="A25" s="5" t="inlineStr">
        <is>
          <t>E00593</t>
        </is>
      </c>
      <c r="B25" s="5" t="inlineStr">
        <is>
          <t>Female</t>
        </is>
      </c>
      <c r="C25" s="6" t="inlineStr">
        <is>
          <t>32</t>
        </is>
      </c>
      <c r="D25" s="5" t="inlineStr">
        <is>
          <t>Married</t>
        </is>
      </c>
      <c r="E25" s="5" t="inlineStr">
        <is>
          <t>PhD</t>
        </is>
      </c>
      <c r="F25" s="5" t="inlineStr">
        <is>
          <t>Finance</t>
        </is>
      </c>
      <c r="G25" s="5" t="inlineStr">
        <is>
          <t>Accountant</t>
        </is>
      </c>
      <c r="H25" s="5" t="inlineStr">
        <is>
          <t>1</t>
        </is>
      </c>
      <c r="I25" s="5" t="inlineStr">
        <is>
          <t>Bengaluru</t>
        </is>
      </c>
      <c r="J25" s="5" t="inlineStr">
        <is>
          <t>Full-Time</t>
        </is>
      </c>
      <c r="K25" s="7" t="n">
        <v>45452</v>
      </c>
      <c r="L25" s="7" t="inlineStr"/>
      <c r="M25" s="5" t="inlineStr">
        <is>
          <t>Yes</t>
        </is>
      </c>
      <c r="N25" s="5" t="inlineStr"/>
      <c r="O25" s="8" t="inlineStr">
        <is>
          <t>81500</t>
        </is>
      </c>
      <c r="P25" s="5" t="inlineStr">
        <is>
          <t>15</t>
        </is>
      </c>
      <c r="Q25" s="5" t="inlineStr">
        <is>
          <t>4</t>
        </is>
      </c>
      <c r="R25" s="5" t="inlineStr">
        <is>
          <t>6</t>
        </is>
      </c>
      <c r="S25" s="5" t="inlineStr">
        <is>
          <t>19</t>
        </is>
      </c>
      <c r="T25" s="5" t="inlineStr">
        <is>
          <t>9</t>
        </is>
      </c>
      <c r="U25" s="5" t="inlineStr">
        <is>
          <t>OK</t>
        </is>
      </c>
    </row>
    <row r="26">
      <c r="A26" s="5" t="inlineStr">
        <is>
          <t>E01107</t>
        </is>
      </c>
      <c r="B26" s="5" t="inlineStr">
        <is>
          <t>male</t>
        </is>
      </c>
      <c r="C26" s="6" t="inlineStr">
        <is>
          <t>30</t>
        </is>
      </c>
      <c r="D26" s="5" t="inlineStr">
        <is>
          <t>Married</t>
        </is>
      </c>
      <c r="E26" s="5" t="inlineStr">
        <is>
          <t>Diploma</t>
        </is>
      </c>
      <c r="F26" s="5" t="inlineStr">
        <is>
          <t>IT</t>
        </is>
      </c>
      <c r="G26" s="5" t="inlineStr">
        <is>
          <t>IT Support</t>
        </is>
      </c>
      <c r="H26" s="5" t="inlineStr">
        <is>
          <t>1</t>
        </is>
      </c>
      <c r="I26" s="5" t="inlineStr">
        <is>
          <t>Bengaluru</t>
        </is>
      </c>
      <c r="J26" s="5" t="inlineStr">
        <is>
          <t>Full-Time</t>
        </is>
      </c>
      <c r="K26" s="7" t="n">
        <v>45797</v>
      </c>
      <c r="L26" s="7" t="inlineStr"/>
      <c r="M26" s="5" t="inlineStr">
        <is>
          <t>Yes</t>
        </is>
      </c>
      <c r="N26" s="5" t="inlineStr"/>
      <c r="O26" s="8" t="inlineStr">
        <is>
          <t>96500</t>
        </is>
      </c>
      <c r="P26" s="5" t="inlineStr">
        <is>
          <t>0</t>
        </is>
      </c>
      <c r="Q26" s="5" t="inlineStr">
        <is>
          <t>4</t>
        </is>
      </c>
      <c r="R26" s="5" t="inlineStr">
        <is>
          <t>8</t>
        </is>
      </c>
      <c r="S26" s="5" t="inlineStr">
        <is>
          <t>7</t>
        </is>
      </c>
      <c r="T26" s="5" t="inlineStr">
        <is>
          <t>8</t>
        </is>
      </c>
      <c r="U26" s="5" t="inlineStr">
        <is>
          <t>OK</t>
        </is>
      </c>
    </row>
    <row r="27">
      <c r="A27" s="5" t="inlineStr">
        <is>
          <t>E01361</t>
        </is>
      </c>
      <c r="B27" s="5" t="inlineStr">
        <is>
          <t>male</t>
        </is>
      </c>
      <c r="C27" s="6" t="inlineStr">
        <is>
          <t>30</t>
        </is>
      </c>
      <c r="D27" s="5" t="inlineStr">
        <is>
          <t>Married</t>
        </is>
      </c>
      <c r="E27" s="5" t="inlineStr">
        <is>
          <t>Bachelor</t>
        </is>
      </c>
      <c r="F27" s="5" t="inlineStr">
        <is>
          <t>IT</t>
        </is>
      </c>
      <c r="G27" s="5" t="inlineStr">
        <is>
          <t>DevOps Engineer</t>
        </is>
      </c>
      <c r="H27" s="5" t="inlineStr">
        <is>
          <t>1</t>
        </is>
      </c>
      <c r="I27" s="5" t="inlineStr">
        <is>
          <t>Remote</t>
        </is>
      </c>
      <c r="J27" s="5" t="inlineStr">
        <is>
          <t>Full-Time</t>
        </is>
      </c>
      <c r="K27" s="7" t="n">
        <v>44960</v>
      </c>
      <c r="L27" s="7" t="inlineStr"/>
      <c r="M27" s="5" t="inlineStr">
        <is>
          <t>Yes</t>
        </is>
      </c>
      <c r="N27" s="5" t="inlineStr"/>
      <c r="O27" s="8" t="inlineStr">
        <is>
          <t>92500</t>
        </is>
      </c>
      <c r="P27" s="5" t="inlineStr">
        <is>
          <t>10</t>
        </is>
      </c>
      <c r="Q27" s="5" t="inlineStr">
        <is>
          <t>4</t>
        </is>
      </c>
      <c r="R27" s="5" t="inlineStr">
        <is>
          <t>4</t>
        </is>
      </c>
      <c r="S27" s="5" t="inlineStr">
        <is>
          <t>35</t>
        </is>
      </c>
      <c r="T27" s="5" t="inlineStr">
        <is>
          <t>2</t>
        </is>
      </c>
      <c r="U27" s="5" t="inlineStr">
        <is>
          <t>OK</t>
        </is>
      </c>
    </row>
    <row r="28">
      <c r="A28" s="5" t="inlineStr">
        <is>
          <t>E02576</t>
        </is>
      </c>
      <c r="B28" s="5" t="inlineStr">
        <is>
          <t>Male</t>
        </is>
      </c>
      <c r="C28" s="6" t="inlineStr">
        <is>
          <t>45</t>
        </is>
      </c>
      <c r="D28" s="5" t="inlineStr">
        <is>
          <t>Married</t>
        </is>
      </c>
      <c r="E28" s="5" t="inlineStr">
        <is>
          <t>PhD</t>
        </is>
      </c>
      <c r="F28" s="5" t="inlineStr">
        <is>
          <t>Customer Support</t>
        </is>
      </c>
      <c r="G28" s="5" t="inlineStr">
        <is>
          <t>Support Lead</t>
        </is>
      </c>
      <c r="H28" s="5" t="inlineStr">
        <is>
          <t>7</t>
        </is>
      </c>
      <c r="I28" s="5" t="inlineStr">
        <is>
          <t>Mumbai</t>
        </is>
      </c>
      <c r="J28" s="5" t="inlineStr">
        <is>
          <t>Full-Time</t>
        </is>
      </c>
      <c r="K28" s="7" t="n">
        <v>44969</v>
      </c>
      <c r="L28" s="7" t="n">
        <v>45107</v>
      </c>
      <c r="M28" s="5" t="inlineStr">
        <is>
          <t>No</t>
        </is>
      </c>
      <c r="N28" s="5" t="inlineStr">
        <is>
          <t>Resigned</t>
        </is>
      </c>
      <c r="O28" s="8" t="inlineStr">
        <is>
          <t>108500</t>
        </is>
      </c>
      <c r="P28" s="5" t="inlineStr">
        <is>
          <t>0</t>
        </is>
      </c>
      <c r="Q28" s="5" t="inlineStr">
        <is>
          <t>5</t>
        </is>
      </c>
      <c r="R28" s="5" t="inlineStr">
        <is>
          <t>6</t>
        </is>
      </c>
      <c r="S28" s="5" t="inlineStr">
        <is>
          <t>4</t>
        </is>
      </c>
      <c r="T28" s="5" t="inlineStr">
        <is>
          <t>0</t>
        </is>
      </c>
      <c r="U28" s="5" t="inlineStr">
        <is>
          <t>OK</t>
        </is>
      </c>
    </row>
    <row r="29">
      <c r="A29" s="5" t="inlineStr">
        <is>
          <t>E00606</t>
        </is>
      </c>
      <c r="B29" s="5" t="inlineStr">
        <is>
          <t>Male</t>
        </is>
      </c>
      <c r="C29" s="6" t="inlineStr">
        <is>
          <t>36</t>
        </is>
      </c>
      <c r="D29" s="5" t="inlineStr">
        <is>
          <t>Married</t>
        </is>
      </c>
      <c r="E29" s="5" t="inlineStr">
        <is>
          <t>Diploma</t>
        </is>
      </c>
      <c r="F29" s="5" t="inlineStr">
        <is>
          <t>IT</t>
        </is>
      </c>
      <c r="G29" s="5" t="inlineStr">
        <is>
          <t>Data Analyst</t>
        </is>
      </c>
      <c r="H29" s="5" t="inlineStr">
        <is>
          <t>5</t>
        </is>
      </c>
      <c r="I29" s="5" t="inlineStr">
        <is>
          <t>Delhi</t>
        </is>
      </c>
      <c r="J29" s="5" t="inlineStr">
        <is>
          <t>Full-Time</t>
        </is>
      </c>
      <c r="K29" s="7" t="n">
        <v>43924</v>
      </c>
      <c r="L29" s="7" t="inlineStr"/>
      <c r="M29" s="5" t="inlineStr">
        <is>
          <t>Yes</t>
        </is>
      </c>
      <c r="N29" s="5" t="inlineStr"/>
      <c r="O29" s="8" t="inlineStr">
        <is>
          <t>180000</t>
        </is>
      </c>
      <c r="P29" s="5" t="inlineStr">
        <is>
          <t>10</t>
        </is>
      </c>
      <c r="Q29" s="5" t="inlineStr">
        <is>
          <t>4</t>
        </is>
      </c>
      <c r="R29" s="5" t="inlineStr">
        <is>
          <t>4</t>
        </is>
      </c>
      <c r="S29" s="5" t="inlineStr">
        <is>
          <t>69</t>
        </is>
      </c>
      <c r="T29" s="5" t="inlineStr">
        <is>
          <t>8</t>
        </is>
      </c>
      <c r="U29" s="5" t="inlineStr">
        <is>
          <t>OK</t>
        </is>
      </c>
    </row>
    <row r="30">
      <c r="A30" s="5" t="inlineStr">
        <is>
          <t>E00464</t>
        </is>
      </c>
      <c r="B30" s="5" t="inlineStr">
        <is>
          <t>female</t>
        </is>
      </c>
      <c r="C30" s="6" t="inlineStr">
        <is>
          <t>35</t>
        </is>
      </c>
      <c r="D30" s="5" t="inlineStr">
        <is>
          <t>Married</t>
        </is>
      </c>
      <c r="E30" s="5" t="inlineStr">
        <is>
          <t>Bachelor</t>
        </is>
      </c>
      <c r="F30" s="5" t="inlineStr">
        <is>
          <t>Finance</t>
        </is>
      </c>
      <c r="G30" s="5" t="inlineStr">
        <is>
          <t>Financial Analyst</t>
        </is>
      </c>
      <c r="H30" s="5" t="inlineStr">
        <is>
          <t>2</t>
        </is>
      </c>
      <c r="I30" s="5" t="inlineStr">
        <is>
          <t>Hyderabad</t>
        </is>
      </c>
      <c r="J30" s="5" t="inlineStr">
        <is>
          <t>Full-Time</t>
        </is>
      </c>
      <c r="K30" s="7" t="n">
        <v>45723</v>
      </c>
      <c r="L30" s="7" t="n">
        <v>45820</v>
      </c>
      <c r="M30" s="5" t="inlineStr">
        <is>
          <t>No</t>
        </is>
      </c>
      <c r="N30" s="5" t="inlineStr">
        <is>
          <t>Layoff</t>
        </is>
      </c>
      <c r="O30" s="8" t="inlineStr">
        <is>
          <t>95000</t>
        </is>
      </c>
      <c r="P30" s="5" t="inlineStr">
        <is>
          <t>20</t>
        </is>
      </c>
      <c r="Q30" s="5" t="inlineStr">
        <is>
          <t>5</t>
        </is>
      </c>
      <c r="R30" s="5" t="inlineStr">
        <is>
          <t>4</t>
        </is>
      </c>
      <c r="S30" s="5" t="inlineStr">
        <is>
          <t>3</t>
        </is>
      </c>
      <c r="T30" s="5" t="inlineStr">
        <is>
          <t>7</t>
        </is>
      </c>
      <c r="U30" s="5" t="inlineStr">
        <is>
          <t>OK</t>
        </is>
      </c>
    </row>
    <row r="31">
      <c r="A31" s="5" t="inlineStr">
        <is>
          <t>E01683</t>
        </is>
      </c>
      <c r="B31" s="5" t="inlineStr">
        <is>
          <t>Female</t>
        </is>
      </c>
      <c r="C31" s="6" t="inlineStr">
        <is>
          <t>24</t>
        </is>
      </c>
      <c r="D31" s="5" t="inlineStr">
        <is>
          <t>Married</t>
        </is>
      </c>
      <c r="E31" s="5" t="inlineStr">
        <is>
          <t>High School</t>
        </is>
      </c>
      <c r="F31" s="5" t="inlineStr">
        <is>
          <t>Operations</t>
        </is>
      </c>
      <c r="G31" s="5" t="inlineStr">
        <is>
          <t>Quality Analyst</t>
        </is>
      </c>
      <c r="H31" s="5" t="inlineStr">
        <is>
          <t>1</t>
        </is>
      </c>
      <c r="I31" s="5" t="inlineStr">
        <is>
          <t>Delhi</t>
        </is>
      </c>
      <c r="J31" s="5" t="inlineStr">
        <is>
          <t>Full-Time</t>
        </is>
      </c>
      <c r="K31" s="7" t="n">
        <v>44895</v>
      </c>
      <c r="L31" s="7" t="inlineStr"/>
      <c r="M31" s="5" t="inlineStr">
        <is>
          <t>Yes</t>
        </is>
      </c>
      <c r="N31" s="5" t="inlineStr"/>
      <c r="O31" s="8" t="inlineStr">
        <is>
          <t>73500</t>
        </is>
      </c>
      <c r="P31" s="5" t="inlineStr">
        <is>
          <t>10</t>
        </is>
      </c>
      <c r="Q31" s="5" t="inlineStr">
        <is>
          <t>4</t>
        </is>
      </c>
      <c r="R31" s="5" t="inlineStr">
        <is>
          <t>4</t>
        </is>
      </c>
      <c r="S31" s="5" t="inlineStr">
        <is>
          <t>37</t>
        </is>
      </c>
      <c r="T31" s="5" t="inlineStr">
        <is>
          <t>6</t>
        </is>
      </c>
      <c r="U31" s="5" t="inlineStr">
        <is>
          <t>OK</t>
        </is>
      </c>
    </row>
    <row r="32">
      <c r="A32" s="5" t="inlineStr">
        <is>
          <t>E00403</t>
        </is>
      </c>
      <c r="B32" s="5" t="inlineStr">
        <is>
          <t>Male</t>
        </is>
      </c>
      <c r="C32" s="6" t="inlineStr">
        <is>
          <t>27</t>
        </is>
      </c>
      <c r="D32" s="5" t="inlineStr">
        <is>
          <t>Single</t>
        </is>
      </c>
      <c r="E32" s="5" t="inlineStr">
        <is>
          <t>Bachelor</t>
        </is>
      </c>
      <c r="F32" s="5" t="inlineStr">
        <is>
          <t>Customer Support</t>
        </is>
      </c>
      <c r="G32" s="5" t="inlineStr">
        <is>
          <t>Escalation Specialist</t>
        </is>
      </c>
      <c r="H32" s="5" t="inlineStr">
        <is>
          <t>2</t>
        </is>
      </c>
      <c r="I32" s="5" t="inlineStr">
        <is>
          <t>Chennai</t>
        </is>
      </c>
      <c r="J32" s="5" t="inlineStr">
        <is>
          <t>Full-Time</t>
        </is>
      </c>
      <c r="K32" s="7" t="n">
        <v>43832</v>
      </c>
      <c r="L32" s="7" t="n">
        <v>43921</v>
      </c>
      <c r="M32" s="5" t="inlineStr">
        <is>
          <t>No</t>
        </is>
      </c>
      <c r="N32" s="5" t="inlineStr">
        <is>
          <t>Resigned</t>
        </is>
      </c>
      <c r="O32" s="8" t="inlineStr">
        <is>
          <t>81000</t>
        </is>
      </c>
      <c r="P32" s="5" t="inlineStr">
        <is>
          <t>5</t>
        </is>
      </c>
      <c r="Q32" s="5" t="inlineStr">
        <is>
          <t>3</t>
        </is>
      </c>
      <c r="R32" s="5" t="inlineStr">
        <is>
          <t>7</t>
        </is>
      </c>
      <c r="S32" s="5" t="inlineStr">
        <is>
          <t>2</t>
        </is>
      </c>
      <c r="T32" s="5" t="inlineStr">
        <is>
          <t>0</t>
        </is>
      </c>
      <c r="U32" s="5" t="inlineStr">
        <is>
          <t>OK</t>
        </is>
      </c>
    </row>
    <row r="33">
      <c r="A33" s="5" t="inlineStr">
        <is>
          <t>E01313</t>
        </is>
      </c>
      <c r="B33" s="5" t="inlineStr">
        <is>
          <t>Female</t>
        </is>
      </c>
      <c r="C33" s="6" t="inlineStr">
        <is>
          <t>28</t>
        </is>
      </c>
      <c r="D33" s="5" t="inlineStr">
        <is>
          <t>Married</t>
        </is>
      </c>
      <c r="E33" s="5" t="inlineStr">
        <is>
          <t>High School</t>
        </is>
      </c>
      <c r="F33" s="5" t="inlineStr">
        <is>
          <t>Finance</t>
        </is>
      </c>
      <c r="G33" s="5" t="inlineStr">
        <is>
          <t>Credit Analyst</t>
        </is>
      </c>
      <c r="H33" s="5" t="inlineStr">
        <is>
          <t>1</t>
        </is>
      </c>
      <c r="I33" s="5" t="inlineStr">
        <is>
          <t>Bengaluru</t>
        </is>
      </c>
      <c r="J33" s="5" t="inlineStr">
        <is>
          <t>Full-Time</t>
        </is>
      </c>
      <c r="K33" s="7" t="n">
        <v>44040</v>
      </c>
      <c r="L33" s="7" t="inlineStr"/>
      <c r="M33" s="5" t="inlineStr">
        <is>
          <t>Yes</t>
        </is>
      </c>
      <c r="N33" s="5" t="inlineStr"/>
      <c r="O33" s="8" t="inlineStr">
        <is>
          <t>91500</t>
        </is>
      </c>
      <c r="P33" s="5" t="inlineStr">
        <is>
          <t>0</t>
        </is>
      </c>
      <c r="Q33" s="5" t="inlineStr">
        <is>
          <t>4</t>
        </is>
      </c>
      <c r="R33" s="5" t="inlineStr">
        <is>
          <t>6</t>
        </is>
      </c>
      <c r="S33" s="5" t="inlineStr">
        <is>
          <t>66</t>
        </is>
      </c>
      <c r="T33" s="5" t="inlineStr">
        <is>
          <t>7</t>
        </is>
      </c>
      <c r="U33" s="5" t="inlineStr">
        <is>
          <t>OK</t>
        </is>
      </c>
    </row>
    <row r="34">
      <c r="A34" s="5" t="inlineStr">
        <is>
          <t>E02754</t>
        </is>
      </c>
      <c r="B34" s="5" t="inlineStr">
        <is>
          <t>Female</t>
        </is>
      </c>
      <c r="C34" s="6" t="inlineStr">
        <is>
          <t>35</t>
        </is>
      </c>
      <c r="D34" s="5" t="inlineStr">
        <is>
          <t>Single</t>
        </is>
      </c>
      <c r="E34" s="5" t="inlineStr">
        <is>
          <t>Diploma</t>
        </is>
      </c>
      <c r="F34" s="5" t="inlineStr">
        <is>
          <t>IT</t>
        </is>
      </c>
      <c r="G34" s="5" t="inlineStr">
        <is>
          <t>Data Analyst</t>
        </is>
      </c>
      <c r="H34" s="5" t="inlineStr">
        <is>
          <t>3</t>
        </is>
      </c>
      <c r="I34" s="5" t="inlineStr">
        <is>
          <t>Hyderabad</t>
        </is>
      </c>
      <c r="J34" s="5" t="inlineStr">
        <is>
          <t>Part-Time</t>
        </is>
      </c>
      <c r="K34" s="7" t="n">
        <v>44775</v>
      </c>
      <c r="L34" s="7" t="inlineStr"/>
      <c r="M34" s="5" t="inlineStr">
        <is>
          <t>Yes</t>
        </is>
      </c>
      <c r="N34" s="5" t="inlineStr"/>
      <c r="O34" s="8" t="inlineStr">
        <is>
          <t>177000</t>
        </is>
      </c>
      <c r="P34" s="5" t="inlineStr">
        <is>
          <t>0</t>
        </is>
      </c>
      <c r="Q34" s="5" t="inlineStr">
        <is>
          <t>5</t>
        </is>
      </c>
      <c r="R34" s="5" t="inlineStr">
        <is>
          <t>5</t>
        </is>
      </c>
      <c r="S34" s="5" t="inlineStr">
        <is>
          <t>41</t>
        </is>
      </c>
      <c r="T34" s="5" t="inlineStr">
        <is>
          <t>2</t>
        </is>
      </c>
      <c r="U34" s="5" t="inlineStr">
        <is>
          <t>OK</t>
        </is>
      </c>
    </row>
    <row r="35">
      <c r="A35" s="5" t="inlineStr">
        <is>
          <t>E02887</t>
        </is>
      </c>
      <c r="B35" s="5" t="inlineStr">
        <is>
          <t>Male</t>
        </is>
      </c>
      <c r="C35" s="6" t="inlineStr">
        <is>
          <t>28</t>
        </is>
      </c>
      <c r="D35" s="5" t="inlineStr">
        <is>
          <t>Married</t>
        </is>
      </c>
      <c r="E35" s="5" t="inlineStr">
        <is>
          <t>High School</t>
        </is>
      </c>
      <c r="F35" s="5" t="inlineStr">
        <is>
          <t>Research &amp; Development</t>
        </is>
      </c>
      <c r="G35" s="5" t="inlineStr">
        <is>
          <t>Product Engineer</t>
        </is>
      </c>
      <c r="H35" s="5" t="inlineStr">
        <is>
          <t>3</t>
        </is>
      </c>
      <c r="I35" s="5" t="inlineStr">
        <is>
          <t>Delhi</t>
        </is>
      </c>
      <c r="J35" s="5" t="inlineStr">
        <is>
          <t>Full-Time</t>
        </is>
      </c>
      <c r="K35" s="7" t="n">
        <v>44727</v>
      </c>
      <c r="L35" s="7" t="inlineStr"/>
      <c r="M35" s="5" t="inlineStr">
        <is>
          <t>Yes</t>
        </is>
      </c>
      <c r="N35" s="5" t="inlineStr"/>
      <c r="O35" s="8" t="inlineStr">
        <is>
          <t>184500</t>
        </is>
      </c>
      <c r="P35" s="5" t="inlineStr">
        <is>
          <t>5</t>
        </is>
      </c>
      <c r="Q35" s="5" t="inlineStr">
        <is>
          <t>4</t>
        </is>
      </c>
      <c r="R35" s="5" t="inlineStr">
        <is>
          <t>5</t>
        </is>
      </c>
      <c r="S35" s="5" t="inlineStr">
        <is>
          <t>43</t>
        </is>
      </c>
      <c r="T35" s="5" t="inlineStr">
        <is>
          <t>6</t>
        </is>
      </c>
      <c r="U35" s="5" t="inlineStr">
        <is>
          <t>OK</t>
        </is>
      </c>
    </row>
    <row r="36">
      <c r="A36" s="5" t="inlineStr">
        <is>
          <t>E01898</t>
        </is>
      </c>
      <c r="B36" s="5" t="inlineStr">
        <is>
          <t>Female</t>
        </is>
      </c>
      <c r="C36" s="6" t="inlineStr">
        <is>
          <t>39</t>
        </is>
      </c>
      <c r="D36" s="5" t="inlineStr">
        <is>
          <t>Single</t>
        </is>
      </c>
      <c r="E36" s="5" t="inlineStr">
        <is>
          <t>High School</t>
        </is>
      </c>
      <c r="F36" s="5" t="inlineStr">
        <is>
          <t>Operations</t>
        </is>
      </c>
      <c r="G36" s="5" t="inlineStr">
        <is>
          <t>Logistics Coordinator</t>
        </is>
      </c>
      <c r="H36" s="5" t="inlineStr">
        <is>
          <t>4</t>
        </is>
      </c>
      <c r="I36" s="5" t="inlineStr">
        <is>
          <t>Bengaluru</t>
        </is>
      </c>
      <c r="J36" s="5" t="inlineStr">
        <is>
          <t>Full-Time</t>
        </is>
      </c>
      <c r="K36" s="7" t="n">
        <v>45251</v>
      </c>
      <c r="L36" s="7" t="inlineStr"/>
      <c r="M36" s="5" t="inlineStr">
        <is>
          <t>Yes</t>
        </is>
      </c>
      <c r="N36" s="5" t="inlineStr"/>
      <c r="O36" s="8" t="inlineStr">
        <is>
          <t>103500</t>
        </is>
      </c>
      <c r="P36" s="5" t="inlineStr">
        <is>
          <t>15</t>
        </is>
      </c>
      <c r="Q36" s="5" t="inlineStr">
        <is>
          <t>3</t>
        </is>
      </c>
      <c r="R36" s="5" t="inlineStr">
        <is>
          <t>5</t>
        </is>
      </c>
      <c r="S36" s="5" t="inlineStr">
        <is>
          <t>25</t>
        </is>
      </c>
      <c r="T36" s="5" t="inlineStr">
        <is>
          <t>9</t>
        </is>
      </c>
      <c r="U36" s="5" t="inlineStr">
        <is>
          <t>OK</t>
        </is>
      </c>
    </row>
    <row r="37">
      <c r="A37" s="5" t="inlineStr">
        <is>
          <t>E00058</t>
        </is>
      </c>
      <c r="B37" s="5" t="inlineStr">
        <is>
          <t>male</t>
        </is>
      </c>
      <c r="C37" s="6" t="inlineStr">
        <is>
          <t>26</t>
        </is>
      </c>
      <c r="D37" s="5" t="inlineStr">
        <is>
          <t>Married</t>
        </is>
      </c>
      <c r="E37" s="5" t="inlineStr">
        <is>
          <t>PhD</t>
        </is>
      </c>
      <c r="F37" s="5" t="inlineStr">
        <is>
          <t>Finance</t>
        </is>
      </c>
      <c r="G37" s="5" t="inlineStr">
        <is>
          <t>Credit Analyst</t>
        </is>
      </c>
      <c r="H37" s="5" t="inlineStr">
        <is>
          <t>1</t>
        </is>
      </c>
      <c r="I37" s="5" t="inlineStr">
        <is>
          <t>Chennai</t>
        </is>
      </c>
      <c r="J37" s="5" t="inlineStr">
        <is>
          <t>Full-Time</t>
        </is>
      </c>
      <c r="K37" s="7" t="n">
        <v>45024</v>
      </c>
      <c r="L37" s="7" t="inlineStr"/>
      <c r="M37" s="5" t="inlineStr">
        <is>
          <t>Yes</t>
        </is>
      </c>
      <c r="N37" s="5" t="inlineStr"/>
      <c r="O37" s="8" t="inlineStr">
        <is>
          <t>67500</t>
        </is>
      </c>
      <c r="P37" s="5" t="inlineStr">
        <is>
          <t>10</t>
        </is>
      </c>
      <c r="Q37" s="5" t="inlineStr">
        <is>
          <t>1</t>
        </is>
      </c>
      <c r="R37" s="5" t="inlineStr">
        <is>
          <t>6</t>
        </is>
      </c>
      <c r="S37" s="5" t="inlineStr">
        <is>
          <t>33</t>
        </is>
      </c>
      <c r="T37" s="5" t="inlineStr">
        <is>
          <t>4</t>
        </is>
      </c>
      <c r="U37" s="5" t="inlineStr">
        <is>
          <t>OK</t>
        </is>
      </c>
    </row>
    <row r="38">
      <c r="A38" s="5" t="inlineStr">
        <is>
          <t>E01466</t>
        </is>
      </c>
      <c r="B38" s="5" t="inlineStr">
        <is>
          <t>Female</t>
        </is>
      </c>
      <c r="C38" s="6" t="inlineStr">
        <is>
          <t>28</t>
        </is>
      </c>
      <c r="D38" s="5" t="inlineStr">
        <is>
          <t>Married</t>
        </is>
      </c>
      <c r="E38" s="5" t="inlineStr">
        <is>
          <t>High School</t>
        </is>
      </c>
      <c r="F38" s="5" t="inlineStr">
        <is>
          <t>Marketing</t>
        </is>
      </c>
      <c r="G38" s="5" t="inlineStr">
        <is>
          <t>Marketing Analyst</t>
        </is>
      </c>
      <c r="H38" s="5" t="inlineStr">
        <is>
          <t>1</t>
        </is>
      </c>
      <c r="I38" s="5" t="inlineStr">
        <is>
          <t>Remote</t>
        </is>
      </c>
      <c r="J38" s="5" t="inlineStr">
        <is>
          <t>Full-Time</t>
        </is>
      </c>
      <c r="K38" s="7" t="n">
        <v>45741</v>
      </c>
      <c r="L38" s="7" t="inlineStr"/>
      <c r="M38" s="5" t="inlineStr">
        <is>
          <t>Yes</t>
        </is>
      </c>
      <c r="N38" s="5" t="inlineStr"/>
      <c r="O38" s="8" t="inlineStr">
        <is>
          <t>83500</t>
        </is>
      </c>
      <c r="P38" s="5" t="inlineStr">
        <is>
          <t>0</t>
        </is>
      </c>
      <c r="Q38" s="5" t="inlineStr">
        <is>
          <t>4</t>
        </is>
      </c>
      <c r="R38" s="5" t="inlineStr">
        <is>
          <t>5</t>
        </is>
      </c>
      <c r="S38" s="5" t="inlineStr">
        <is>
          <t>9</t>
        </is>
      </c>
      <c r="T38" s="5" t="inlineStr">
        <is>
          <t>0</t>
        </is>
      </c>
      <c r="U38" s="5" t="inlineStr">
        <is>
          <t>OK</t>
        </is>
      </c>
    </row>
    <row r="39">
      <c r="A39" s="5" t="inlineStr">
        <is>
          <t>E02415</t>
        </is>
      </c>
      <c r="B39" s="5" t="inlineStr">
        <is>
          <t>Female</t>
        </is>
      </c>
      <c r="C39" s="6" t="inlineStr">
        <is>
          <t>32</t>
        </is>
      </c>
      <c r="D39" s="5" t="inlineStr">
        <is>
          <t>Divorced</t>
        </is>
      </c>
      <c r="E39" s="5" t="inlineStr">
        <is>
          <t>Diploma</t>
        </is>
      </c>
      <c r="F39" s="5" t="inlineStr">
        <is>
          <t>Sales</t>
        </is>
      </c>
      <c r="G39" s="5" t="inlineStr">
        <is>
          <t>Business Development</t>
        </is>
      </c>
      <c r="H39" s="5" t="inlineStr">
        <is>
          <t>2</t>
        </is>
      </c>
      <c r="I39" s="5" t="inlineStr">
        <is>
          <t>Hyderabad</t>
        </is>
      </c>
      <c r="J39" s="5" t="inlineStr">
        <is>
          <t>Full-Time</t>
        </is>
      </c>
      <c r="K39" s="7" t="n">
        <v>45155</v>
      </c>
      <c r="L39" s="7" t="n">
        <v>45260</v>
      </c>
      <c r="M39" s="5" t="inlineStr">
        <is>
          <t>No</t>
        </is>
      </c>
      <c r="N39" s="5" t="inlineStr">
        <is>
          <t>Retirement</t>
        </is>
      </c>
      <c r="O39" s="8" t="inlineStr">
        <is>
          <t>122500</t>
        </is>
      </c>
      <c r="P39" s="5" t="inlineStr">
        <is>
          <t>5</t>
        </is>
      </c>
      <c r="Q39" s="5" t="inlineStr">
        <is>
          <t>4</t>
        </is>
      </c>
      <c r="R39" s="5" t="inlineStr">
        <is>
          <t>6</t>
        </is>
      </c>
      <c r="S39" s="5" t="inlineStr">
        <is>
          <t>3</t>
        </is>
      </c>
      <c r="T39" s="5" t="inlineStr">
        <is>
          <t>8</t>
        </is>
      </c>
      <c r="U39" s="5" t="inlineStr">
        <is>
          <t>OK</t>
        </is>
      </c>
    </row>
    <row r="40">
      <c r="A40" s="5" t="inlineStr">
        <is>
          <t>E00167</t>
        </is>
      </c>
      <c r="B40" s="5" t="inlineStr">
        <is>
          <t>Male</t>
        </is>
      </c>
      <c r="C40" s="6" t="inlineStr">
        <is>
          <t>37</t>
        </is>
      </c>
      <c r="D40" s="5" t="inlineStr">
        <is>
          <t>Single</t>
        </is>
      </c>
      <c r="E40" s="5" t="inlineStr">
        <is>
          <t>High School</t>
        </is>
      </c>
      <c r="F40" s="5" t="inlineStr">
        <is>
          <t>Marketing</t>
        </is>
      </c>
      <c r="G40" s="5" t="inlineStr">
        <is>
          <t>SEO Specialist</t>
        </is>
      </c>
      <c r="H40" s="5" t="inlineStr">
        <is>
          <t>4</t>
        </is>
      </c>
      <c r="I40" s="5" t="inlineStr">
        <is>
          <t>Hyderabad</t>
        </is>
      </c>
      <c r="J40" s="5" t="inlineStr">
        <is>
          <t>Contract</t>
        </is>
      </c>
      <c r="K40" s="7" t="n">
        <v>45253</v>
      </c>
      <c r="L40" s="7" t="n">
        <v>45395</v>
      </c>
      <c r="M40" s="5" t="inlineStr">
        <is>
          <t>No</t>
        </is>
      </c>
      <c r="N40" s="5" t="inlineStr">
        <is>
          <t>Resigned</t>
        </is>
      </c>
      <c r="O40" s="8" t="inlineStr">
        <is>
          <t>127000</t>
        </is>
      </c>
      <c r="P40" s="5" t="inlineStr">
        <is>
          <t>5</t>
        </is>
      </c>
      <c r="Q40" s="5" t="inlineStr">
        <is>
          <t>3</t>
        </is>
      </c>
      <c r="R40" s="5" t="inlineStr">
        <is>
          <t>7</t>
        </is>
      </c>
      <c r="S40" s="5" t="inlineStr">
        <is>
          <t>4</t>
        </is>
      </c>
      <c r="T40" s="5" t="inlineStr">
        <is>
          <t>12</t>
        </is>
      </c>
      <c r="U40" s="5" t="inlineStr">
        <is>
          <t>OK</t>
        </is>
      </c>
    </row>
    <row r="41">
      <c r="A41" s="5" t="inlineStr">
        <is>
          <t>E01489</t>
        </is>
      </c>
      <c r="B41" s="5" t="inlineStr">
        <is>
          <t>Male</t>
        </is>
      </c>
      <c r="C41" s="6" t="inlineStr">
        <is>
          <t>33</t>
        </is>
      </c>
      <c r="D41" s="5" t="inlineStr">
        <is>
          <t>Single</t>
        </is>
      </c>
      <c r="E41" s="5" t="inlineStr">
        <is>
          <t>Bachelor</t>
        </is>
      </c>
      <c r="F41" s="5" t="inlineStr">
        <is>
          <t>IT</t>
        </is>
      </c>
      <c r="G41" s="5" t="inlineStr">
        <is>
          <t>Software Engineer</t>
        </is>
      </c>
      <c r="H41" s="5" t="inlineStr">
        <is>
          <t>1</t>
        </is>
      </c>
      <c r="I41" s="5" t="inlineStr">
        <is>
          <t>Delhi</t>
        </is>
      </c>
      <c r="J41" s="5" t="inlineStr">
        <is>
          <t>Full-Time</t>
        </is>
      </c>
      <c r="K41" s="7" t="n">
        <v>45473</v>
      </c>
      <c r="L41" s="7" t="inlineStr"/>
      <c r="M41" s="5" t="inlineStr">
        <is>
          <t>Yes</t>
        </is>
      </c>
      <c r="N41" s="5" t="inlineStr"/>
      <c r="O41" s="8" t="inlineStr">
        <is>
          <t>90000</t>
        </is>
      </c>
      <c r="P41" s="5" t="inlineStr">
        <is>
          <t>0</t>
        </is>
      </c>
      <c r="Q41" s="5" t="inlineStr">
        <is>
          <t>2</t>
        </is>
      </c>
      <c r="R41" s="5" t="inlineStr">
        <is>
          <t>10</t>
        </is>
      </c>
      <c r="S41" s="5" t="inlineStr">
        <is>
          <t>18</t>
        </is>
      </c>
      <c r="T41" s="5" t="inlineStr">
        <is>
          <t>13</t>
        </is>
      </c>
      <c r="U41" s="5" t="inlineStr">
        <is>
          <t>OK</t>
        </is>
      </c>
    </row>
    <row r="42">
      <c r="A42" s="5" t="inlineStr">
        <is>
          <t>E00105</t>
        </is>
      </c>
      <c r="B42" s="5" t="inlineStr">
        <is>
          <t>Female</t>
        </is>
      </c>
      <c r="C42" s="6" t="inlineStr">
        <is>
          <t>33</t>
        </is>
      </c>
      <c r="D42" s="5" t="inlineStr">
        <is>
          <t>Married</t>
        </is>
      </c>
      <c r="E42" s="5" t="inlineStr">
        <is>
          <t>PhD</t>
        </is>
      </c>
      <c r="F42" s="5" t="inlineStr">
        <is>
          <t>Operations</t>
        </is>
      </c>
      <c r="G42" s="5" t="inlineStr">
        <is>
          <t>Logistics Coordinator</t>
        </is>
      </c>
      <c r="H42" s="5" t="inlineStr">
        <is>
          <t>2</t>
        </is>
      </c>
      <c r="I42" s="5" t="inlineStr">
        <is>
          <t>Mumbai</t>
        </is>
      </c>
      <c r="J42" s="5" t="inlineStr">
        <is>
          <t>Full-Time</t>
        </is>
      </c>
      <c r="K42" s="7" t="n">
        <v>45480</v>
      </c>
      <c r="L42" s="7" t="inlineStr"/>
      <c r="M42" s="5" t="inlineStr">
        <is>
          <t>Yes</t>
        </is>
      </c>
      <c r="N42" s="5" t="inlineStr"/>
      <c r="O42" s="8" t="inlineStr">
        <is>
          <t>104000</t>
        </is>
      </c>
      <c r="P42" s="5" t="inlineStr">
        <is>
          <t>0</t>
        </is>
      </c>
      <c r="Q42" s="5" t="inlineStr">
        <is>
          <t>5</t>
        </is>
      </c>
      <c r="R42" s="5" t="inlineStr">
        <is>
          <t>8</t>
        </is>
      </c>
      <c r="S42" s="5" t="inlineStr">
        <is>
          <t>18</t>
        </is>
      </c>
      <c r="T42" s="5" t="inlineStr">
        <is>
          <t>8</t>
        </is>
      </c>
      <c r="U42" s="5" t="inlineStr">
        <is>
          <t>OK</t>
        </is>
      </c>
    </row>
    <row r="43">
      <c r="A43" s="5" t="inlineStr">
        <is>
          <t>E02239</t>
        </is>
      </c>
      <c r="B43" s="5" t="inlineStr">
        <is>
          <t>Female</t>
        </is>
      </c>
      <c r="C43" s="6" t="inlineStr">
        <is>
          <t>29</t>
        </is>
      </c>
      <c r="D43" s="5" t="inlineStr">
        <is>
          <t>Married</t>
        </is>
      </c>
      <c r="E43" s="5" t="inlineStr">
        <is>
          <t>Bachelor</t>
        </is>
      </c>
      <c r="F43" s="5" t="inlineStr">
        <is>
          <t>Operations</t>
        </is>
      </c>
      <c r="G43" s="5" t="inlineStr">
        <is>
          <t>Operations Analyst</t>
        </is>
      </c>
      <c r="H43" s="5" t="inlineStr">
        <is>
          <t>1</t>
        </is>
      </c>
      <c r="I43" s="5" t="inlineStr">
        <is>
          <t>Delhi</t>
        </is>
      </c>
      <c r="J43" s="5" t="inlineStr">
        <is>
          <t>Full-Time</t>
        </is>
      </c>
      <c r="K43" s="7" t="n">
        <v>45400</v>
      </c>
      <c r="L43" s="7" t="inlineStr"/>
      <c r="M43" s="5" t="inlineStr">
        <is>
          <t>Yes</t>
        </is>
      </c>
      <c r="N43" s="5" t="inlineStr"/>
      <c r="O43" s="8" t="inlineStr">
        <is>
          <t>59000</t>
        </is>
      </c>
      <c r="P43" s="5" t="inlineStr">
        <is>
          <t>15</t>
        </is>
      </c>
      <c r="Q43" s="5" t="inlineStr">
        <is>
          <t>2</t>
        </is>
      </c>
      <c r="R43" s="5" t="inlineStr">
        <is>
          <t>3</t>
        </is>
      </c>
      <c r="S43" s="5" t="inlineStr">
        <is>
          <t>20</t>
        </is>
      </c>
      <c r="T43" s="5" t="inlineStr">
        <is>
          <t>5</t>
        </is>
      </c>
      <c r="U43" s="5" t="inlineStr">
        <is>
          <t>OK</t>
        </is>
      </c>
    </row>
    <row r="44">
      <c r="A44" s="5" t="inlineStr">
        <is>
          <t>E00509</t>
        </is>
      </c>
      <c r="B44" s="5" t="inlineStr">
        <is>
          <t>Female</t>
        </is>
      </c>
      <c r="C44" s="6" t="inlineStr">
        <is>
          <t>36</t>
        </is>
      </c>
      <c r="D44" s="5" t="inlineStr">
        <is>
          <t>Single</t>
        </is>
      </c>
      <c r="E44" s="5" t="inlineStr">
        <is>
          <t>Bachelor</t>
        </is>
      </c>
      <c r="F44" s="5" t="inlineStr">
        <is>
          <t>Research &amp; Development</t>
        </is>
      </c>
      <c r="G44" s="5" t="inlineStr">
        <is>
          <t>Research Scientist</t>
        </is>
      </c>
      <c r="H44" s="5" t="inlineStr">
        <is>
          <t>6</t>
        </is>
      </c>
      <c r="I44" s="5" t="inlineStr">
        <is>
          <t>Mumbai</t>
        </is>
      </c>
      <c r="J44" s="5" t="inlineStr">
        <is>
          <t>Full-Time</t>
        </is>
      </c>
      <c r="K44" s="7" t="n">
        <v>45970</v>
      </c>
      <c r="L44" s="7" t="n">
        <v>45985</v>
      </c>
      <c r="M44" s="5" t="inlineStr">
        <is>
          <t>No</t>
        </is>
      </c>
      <c r="N44" s="5" t="inlineStr">
        <is>
          <t>Resigned</t>
        </is>
      </c>
      <c r="O44" s="8" t="inlineStr">
        <is>
          <t>228500</t>
        </is>
      </c>
      <c r="P44" s="5" t="inlineStr">
        <is>
          <t>5</t>
        </is>
      </c>
      <c r="Q44" s="5" t="inlineStr">
        <is>
          <t>4</t>
        </is>
      </c>
      <c r="R44" s="5" t="inlineStr">
        <is>
          <t>7</t>
        </is>
      </c>
      <c r="S44" s="5" t="inlineStr">
        <is>
          <t>1</t>
        </is>
      </c>
      <c r="T44" s="5" t="inlineStr">
        <is>
          <t>5</t>
        </is>
      </c>
      <c r="U44" s="5" t="inlineStr">
        <is>
          <t>OK</t>
        </is>
      </c>
    </row>
    <row r="45">
      <c r="A45" s="5" t="inlineStr">
        <is>
          <t>E01992</t>
        </is>
      </c>
      <c r="B45" s="5" t="inlineStr">
        <is>
          <t>Female</t>
        </is>
      </c>
      <c r="C45" s="6" t="inlineStr">
        <is>
          <t>27</t>
        </is>
      </c>
      <c r="D45" s="5" t="inlineStr">
        <is>
          <t>Married</t>
        </is>
      </c>
      <c r="E45" s="5" t="inlineStr">
        <is>
          <t>PhD</t>
        </is>
      </c>
      <c r="F45" s="5" t="inlineStr">
        <is>
          <t>Research &amp; Development</t>
        </is>
      </c>
      <c r="G45" s="5" t="inlineStr">
        <is>
          <t>Research Scientist</t>
        </is>
      </c>
      <c r="H45" s="5" t="inlineStr">
        <is>
          <t>1</t>
        </is>
      </c>
      <c r="I45" s="5" t="inlineStr">
        <is>
          <t>Bengaluru</t>
        </is>
      </c>
      <c r="J45" s="5" t="inlineStr">
        <is>
          <t>Full-Time</t>
        </is>
      </c>
      <c r="K45" s="7" t="n">
        <v>45648</v>
      </c>
      <c r="L45" s="7" t="n">
        <v>45703</v>
      </c>
      <c r="M45" s="5" t="inlineStr">
        <is>
          <t>No</t>
        </is>
      </c>
      <c r="N45" s="5" t="inlineStr">
        <is>
          <t>Resigned</t>
        </is>
      </c>
      <c r="O45" s="8" t="inlineStr">
        <is>
          <t>161500</t>
        </is>
      </c>
      <c r="P45" s="5" t="inlineStr">
        <is>
          <t>0</t>
        </is>
      </c>
      <c r="Q45" s="5" t="inlineStr">
        <is>
          <t>4</t>
        </is>
      </c>
      <c r="R45" s="5" t="inlineStr">
        <is>
          <t>1</t>
        </is>
      </c>
      <c r="S45" s="5" t="inlineStr">
        <is>
          <t>1</t>
        </is>
      </c>
      <c r="T45" s="5" t="inlineStr">
        <is>
          <t>5</t>
        </is>
      </c>
      <c r="U45" s="5" t="inlineStr">
        <is>
          <t>OK</t>
        </is>
      </c>
    </row>
    <row r="46">
      <c r="A46" s="5" t="inlineStr">
        <is>
          <t>E01381</t>
        </is>
      </c>
      <c r="B46" s="5" t="inlineStr">
        <is>
          <t>Male</t>
        </is>
      </c>
      <c r="C46" s="6" t="inlineStr">
        <is>
          <t>31</t>
        </is>
      </c>
      <c r="D46" s="5" t="inlineStr">
        <is>
          <t>Married</t>
        </is>
      </c>
      <c r="E46" s="5" t="inlineStr">
        <is>
          <t>PhD</t>
        </is>
      </c>
      <c r="F46" s="5" t="inlineStr">
        <is>
          <t>Operations</t>
        </is>
      </c>
      <c r="G46" s="5" t="inlineStr">
        <is>
          <t>Operations Analyst</t>
        </is>
      </c>
      <c r="H46" s="5" t="inlineStr">
        <is>
          <t>1</t>
        </is>
      </c>
      <c r="I46" s="5" t="inlineStr">
        <is>
          <t>Hyderabad</t>
        </is>
      </c>
      <c r="J46" s="5" t="inlineStr">
        <is>
          <t>Full-Time</t>
        </is>
      </c>
      <c r="K46" s="7" t="n">
        <v>45699</v>
      </c>
      <c r="L46" s="7" t="n">
        <v>45842</v>
      </c>
      <c r="M46" s="5" t="inlineStr">
        <is>
          <t>No</t>
        </is>
      </c>
      <c r="N46" s="5" t="inlineStr">
        <is>
          <t>Resigned</t>
        </is>
      </c>
      <c r="O46" s="8" t="inlineStr">
        <is>
          <t>81500</t>
        </is>
      </c>
      <c r="P46" s="5" t="inlineStr">
        <is>
          <t>5</t>
        </is>
      </c>
      <c r="Q46" s="5" t="inlineStr">
        <is>
          <t>3</t>
        </is>
      </c>
      <c r="R46" s="5" t="inlineStr">
        <is>
          <t>3</t>
        </is>
      </c>
      <c r="S46" s="5" t="inlineStr">
        <is>
          <t>4</t>
        </is>
      </c>
      <c r="T46" s="5" t="inlineStr">
        <is>
          <t>1</t>
        </is>
      </c>
      <c r="U46" s="5" t="inlineStr">
        <is>
          <t>OK</t>
        </is>
      </c>
    </row>
    <row r="47">
      <c r="A47" s="5" t="inlineStr">
        <is>
          <t>E02298</t>
        </is>
      </c>
      <c r="B47" s="5" t="inlineStr">
        <is>
          <t>Female</t>
        </is>
      </c>
      <c r="C47" s="6" t="inlineStr">
        <is>
          <t>34</t>
        </is>
      </c>
      <c r="D47" s="5" t="inlineStr">
        <is>
          <t>Single</t>
        </is>
      </c>
      <c r="E47" s="5" t="inlineStr">
        <is>
          <t>Diploma</t>
        </is>
      </c>
      <c r="F47" s="5" t="inlineStr">
        <is>
          <t>Human Resources</t>
        </is>
      </c>
      <c r="G47" s="5" t="inlineStr">
        <is>
          <t>Recruiter</t>
        </is>
      </c>
      <c r="H47" s="5" t="inlineStr">
        <is>
          <t>2</t>
        </is>
      </c>
      <c r="I47" s="5" t="inlineStr">
        <is>
          <t>Delhi</t>
        </is>
      </c>
      <c r="J47" s="5" t="inlineStr">
        <is>
          <t>Full-Time</t>
        </is>
      </c>
      <c r="K47" s="7" t="n">
        <v>45185</v>
      </c>
      <c r="L47" s="7" t="inlineStr"/>
      <c r="M47" s="5" t="inlineStr">
        <is>
          <t>Yes</t>
        </is>
      </c>
      <c r="N47" s="5" t="inlineStr"/>
      <c r="O47" s="8" t="inlineStr">
        <is>
          <t>109000</t>
        </is>
      </c>
      <c r="P47" s="5" t="inlineStr">
        <is>
          <t>15</t>
        </is>
      </c>
      <c r="Q47" s="5" t="inlineStr">
        <is>
          <t>3</t>
        </is>
      </c>
      <c r="R47" s="5" t="inlineStr">
        <is>
          <t>8</t>
        </is>
      </c>
      <c r="S47" s="5" t="inlineStr">
        <is>
          <t>27</t>
        </is>
      </c>
      <c r="T47" s="5" t="inlineStr">
        <is>
          <t>12</t>
        </is>
      </c>
      <c r="U47" s="5" t="inlineStr">
        <is>
          <t>OK</t>
        </is>
      </c>
    </row>
    <row r="48">
      <c r="A48" s="5" t="inlineStr">
        <is>
          <t>E00930</t>
        </is>
      </c>
      <c r="B48" s="5" t="inlineStr">
        <is>
          <t>Female</t>
        </is>
      </c>
      <c r="C48" s="6" t="inlineStr">
        <is>
          <t>31</t>
        </is>
      </c>
      <c r="D48" s="5" t="inlineStr">
        <is>
          <t>Single</t>
        </is>
      </c>
      <c r="E48" s="5" t="inlineStr">
        <is>
          <t>Master</t>
        </is>
      </c>
      <c r="F48" s="5" t="inlineStr">
        <is>
          <t>Sales</t>
        </is>
      </c>
      <c r="G48" s="5" t="inlineStr">
        <is>
          <t>Sales Executive</t>
        </is>
      </c>
      <c r="H48" s="5" t="inlineStr">
        <is>
          <t>1</t>
        </is>
      </c>
      <c r="I48" s="5" t="inlineStr">
        <is>
          <t>Hyderabad</t>
        </is>
      </c>
      <c r="J48" s="5" t="inlineStr">
        <is>
          <t>Full-Time</t>
        </is>
      </c>
      <c r="K48" s="7" t="n">
        <v>45498</v>
      </c>
      <c r="L48" s="7" t="inlineStr"/>
      <c r="M48" s="5" t="inlineStr">
        <is>
          <t>Yes</t>
        </is>
      </c>
      <c r="N48" s="5" t="inlineStr"/>
      <c r="O48" s="8" t="inlineStr">
        <is>
          <t>64500</t>
        </is>
      </c>
      <c r="P48" s="5" t="inlineStr">
        <is>
          <t>15</t>
        </is>
      </c>
      <c r="Q48" s="5" t="inlineStr">
        <is>
          <t>4</t>
        </is>
      </c>
      <c r="R48" s="5" t="inlineStr">
        <is>
          <t>6</t>
        </is>
      </c>
      <c r="S48" s="5" t="inlineStr">
        <is>
          <t>17</t>
        </is>
      </c>
      <c r="T48" s="5" t="inlineStr">
        <is>
          <t>6</t>
        </is>
      </c>
      <c r="U48" s="5" t="inlineStr">
        <is>
          <t>OK</t>
        </is>
      </c>
    </row>
    <row r="49">
      <c r="A49" s="5" t="inlineStr">
        <is>
          <t>E01544</t>
        </is>
      </c>
      <c r="B49" s="5" t="inlineStr">
        <is>
          <t>Male</t>
        </is>
      </c>
      <c r="C49" s="6" t="inlineStr">
        <is>
          <t>23</t>
        </is>
      </c>
      <c r="D49" s="5" t="inlineStr">
        <is>
          <t>Married</t>
        </is>
      </c>
      <c r="E49" s="5" t="inlineStr">
        <is>
          <t>High School</t>
        </is>
      </c>
      <c r="F49" s="5" t="inlineStr">
        <is>
          <t>Operations</t>
        </is>
      </c>
      <c r="G49" s="5" t="inlineStr">
        <is>
          <t>Quality Analyst</t>
        </is>
      </c>
      <c r="H49" s="5" t="inlineStr">
        <is>
          <t>1</t>
        </is>
      </c>
      <c r="I49" s="5" t="inlineStr">
        <is>
          <t>Remote</t>
        </is>
      </c>
      <c r="J49" s="5" t="inlineStr">
        <is>
          <t>Full-Time</t>
        </is>
      </c>
      <c r="K49" s="7" t="n">
        <v>44830</v>
      </c>
      <c r="L49" s="7" t="inlineStr"/>
      <c r="M49" s="5" t="inlineStr">
        <is>
          <t>Yes</t>
        </is>
      </c>
      <c r="N49" s="5" t="inlineStr"/>
      <c r="O49" s="8" t="inlineStr">
        <is>
          <t>95000</t>
        </is>
      </c>
      <c r="P49" s="5" t="inlineStr">
        <is>
          <t>0</t>
        </is>
      </c>
      <c r="Q49" s="5" t="inlineStr">
        <is>
          <t>3</t>
        </is>
      </c>
      <c r="R49" s="5" t="inlineStr">
        <is>
          <t>8</t>
        </is>
      </c>
      <c r="S49" s="5" t="inlineStr">
        <is>
          <t>39</t>
        </is>
      </c>
      <c r="T49" s="5" t="inlineStr">
        <is>
          <t>7</t>
        </is>
      </c>
      <c r="U49" s="5" t="inlineStr">
        <is>
          <t>OK</t>
        </is>
      </c>
    </row>
    <row r="50">
      <c r="A50" s="5" t="inlineStr">
        <is>
          <t>E01657</t>
        </is>
      </c>
      <c r="B50" s="5" t="inlineStr">
        <is>
          <t>Male</t>
        </is>
      </c>
      <c r="C50" s="6" t="inlineStr">
        <is>
          <t>30</t>
        </is>
      </c>
      <c r="D50" s="5" t="inlineStr">
        <is>
          <t>Married</t>
        </is>
      </c>
      <c r="E50" s="5" t="inlineStr">
        <is>
          <t>PhD</t>
        </is>
      </c>
      <c r="F50" s="5" t="inlineStr">
        <is>
          <t>Human Resources</t>
        </is>
      </c>
      <c r="G50" s="5" t="inlineStr">
        <is>
          <t>HR Generalist</t>
        </is>
      </c>
      <c r="H50" s="5" t="inlineStr">
        <is>
          <t>2</t>
        </is>
      </c>
      <c r="I50" s="5" t="inlineStr">
        <is>
          <t>Delhi</t>
        </is>
      </c>
      <c r="J50" s="5" t="inlineStr">
        <is>
          <t>Full-Time</t>
        </is>
      </c>
      <c r="K50" s="7" t="n">
        <v>45764</v>
      </c>
      <c r="L50" s="7" t="inlineStr"/>
      <c r="M50" s="5" t="inlineStr">
        <is>
          <t>Yes</t>
        </is>
      </c>
      <c r="N50" s="5" t="inlineStr"/>
      <c r="O50" s="8" t="inlineStr">
        <is>
          <t>100500</t>
        </is>
      </c>
      <c r="P50" s="5" t="inlineStr">
        <is>
          <t>0</t>
        </is>
      </c>
      <c r="Q50" s="5" t="inlineStr">
        <is>
          <t>5</t>
        </is>
      </c>
      <c r="R50" s="5" t="inlineStr">
        <is>
          <t>4</t>
        </is>
      </c>
      <c r="S50" s="5" t="inlineStr">
        <is>
          <t>8</t>
        </is>
      </c>
      <c r="T50" s="5" t="inlineStr">
        <is>
          <t>7</t>
        </is>
      </c>
      <c r="U50" s="5" t="inlineStr">
        <is>
          <t>OK</t>
        </is>
      </c>
    </row>
    <row r="51">
      <c r="A51" s="5" t="inlineStr">
        <is>
          <t>E00892</t>
        </is>
      </c>
      <c r="B51" s="5" t="inlineStr">
        <is>
          <t>Female</t>
        </is>
      </c>
      <c r="C51" s="6" t="inlineStr">
        <is>
          <t>32</t>
        </is>
      </c>
      <c r="D51" s="5" t="inlineStr">
        <is>
          <t>Married</t>
        </is>
      </c>
      <c r="E51" s="5" t="inlineStr">
        <is>
          <t>Diploma</t>
        </is>
      </c>
      <c r="F51" s="5" t="inlineStr">
        <is>
          <t>Human Resources</t>
        </is>
      </c>
      <c r="G51" s="5" t="inlineStr">
        <is>
          <t>HR Analyst</t>
        </is>
      </c>
      <c r="H51" s="5" t="inlineStr">
        <is>
          <t>2</t>
        </is>
      </c>
      <c r="I51" s="5" t="inlineStr">
        <is>
          <t>Mumbai</t>
        </is>
      </c>
      <c r="J51" s="5" t="inlineStr">
        <is>
          <t>Full-Time</t>
        </is>
      </c>
      <c r="K51" s="7" t="n">
        <v>45725</v>
      </c>
      <c r="L51" s="7" t="n">
        <v>45817</v>
      </c>
      <c r="M51" s="5" t="inlineStr">
        <is>
          <t>No</t>
        </is>
      </c>
      <c r="N51" s="5" t="inlineStr">
        <is>
          <t>Resigned</t>
        </is>
      </c>
      <c r="O51" s="8" t="inlineStr">
        <is>
          <t>79000</t>
        </is>
      </c>
      <c r="P51" s="5" t="inlineStr">
        <is>
          <t>20</t>
        </is>
      </c>
      <c r="Q51" s="5" t="inlineStr">
        <is>
          <t>4</t>
        </is>
      </c>
      <c r="R51" s="5" t="inlineStr">
        <is>
          <t>7</t>
        </is>
      </c>
      <c r="S51" s="5" t="inlineStr">
        <is>
          <t>3</t>
        </is>
      </c>
      <c r="T51" s="5" t="inlineStr">
        <is>
          <t>16</t>
        </is>
      </c>
      <c r="U51" s="5" t="inlineStr">
        <is>
          <t>OK</t>
        </is>
      </c>
    </row>
    <row r="52">
      <c r="A52" s="5" t="inlineStr">
        <is>
          <t>E00755</t>
        </is>
      </c>
      <c r="B52" s="5" t="inlineStr">
        <is>
          <t>Male</t>
        </is>
      </c>
      <c r="C52" s="6" t="inlineStr">
        <is>
          <t>36</t>
        </is>
      </c>
      <c r="D52" s="5" t="inlineStr">
        <is>
          <t>Divorced</t>
        </is>
      </c>
      <c r="E52" s="5" t="inlineStr">
        <is>
          <t>Master</t>
        </is>
      </c>
      <c r="F52" s="5" t="inlineStr">
        <is>
          <t>IT</t>
        </is>
      </c>
      <c r="G52" s="5" t="inlineStr">
        <is>
          <t>Data Analyst</t>
        </is>
      </c>
      <c r="H52" s="5" t="inlineStr">
        <is>
          <t>2</t>
        </is>
      </c>
      <c r="I52" s="5" t="inlineStr">
        <is>
          <t>Remote</t>
        </is>
      </c>
      <c r="J52" s="5" t="inlineStr">
        <is>
          <t>Full-Time</t>
        </is>
      </c>
      <c r="K52" s="7" t="n">
        <v>45720</v>
      </c>
      <c r="L52" s="7" t="inlineStr"/>
      <c r="M52" s="5" t="inlineStr">
        <is>
          <t>Yes</t>
        </is>
      </c>
      <c r="N52" s="5" t="inlineStr"/>
      <c r="O52" s="8" t="inlineStr">
        <is>
          <t>99000</t>
        </is>
      </c>
      <c r="P52" s="5" t="inlineStr">
        <is>
          <t>10</t>
        </is>
      </c>
      <c r="Q52" s="5" t="inlineStr">
        <is>
          <t>3</t>
        </is>
      </c>
      <c r="R52" s="5" t="inlineStr">
        <is>
          <t>6</t>
        </is>
      </c>
      <c r="S52" s="5" t="inlineStr">
        <is>
          <t>10</t>
        </is>
      </c>
      <c r="T52" s="5" t="inlineStr">
        <is>
          <t>8</t>
        </is>
      </c>
      <c r="U52" s="5" t="inlineStr">
        <is>
          <t>OK</t>
        </is>
      </c>
    </row>
    <row r="53">
      <c r="A53" s="5" t="inlineStr">
        <is>
          <t>E02890</t>
        </is>
      </c>
      <c r="B53" s="5" t="inlineStr">
        <is>
          <t>Female</t>
        </is>
      </c>
      <c r="C53" s="6" t="inlineStr">
        <is>
          <t>34</t>
        </is>
      </c>
      <c r="D53" s="5" t="inlineStr">
        <is>
          <t>Married</t>
        </is>
      </c>
      <c r="E53" s="5" t="inlineStr">
        <is>
          <t>Diploma</t>
        </is>
      </c>
      <c r="F53" s="5" t="inlineStr">
        <is>
          <t>Customer Support</t>
        </is>
      </c>
      <c r="G53" s="5" t="inlineStr">
        <is>
          <t>Escalation Specialist</t>
        </is>
      </c>
      <c r="H53" s="5" t="inlineStr">
        <is>
          <t>5</t>
        </is>
      </c>
      <c r="I53" s="5" t="inlineStr">
        <is>
          <t>Delhi</t>
        </is>
      </c>
      <c r="J53" s="5" t="inlineStr">
        <is>
          <t>Full-Time</t>
        </is>
      </c>
      <c r="K53" s="7" t="n">
        <v>45645</v>
      </c>
      <c r="L53" s="7" t="inlineStr"/>
      <c r="M53" s="5" t="inlineStr">
        <is>
          <t>Yes</t>
        </is>
      </c>
      <c r="N53" s="5" t="inlineStr"/>
      <c r="O53" s="8" t="inlineStr">
        <is>
          <t>109500</t>
        </is>
      </c>
      <c r="P53" s="5" t="inlineStr">
        <is>
          <t>5</t>
        </is>
      </c>
      <c r="Q53" s="5" t="inlineStr">
        <is>
          <t>4</t>
        </is>
      </c>
      <c r="R53" s="5" t="inlineStr">
        <is>
          <t>4</t>
        </is>
      </c>
      <c r="S53" s="5" t="inlineStr">
        <is>
          <t>12</t>
        </is>
      </c>
      <c r="T53" s="5" t="inlineStr">
        <is>
          <t>16</t>
        </is>
      </c>
      <c r="U53" s="5" t="inlineStr">
        <is>
          <t>OK</t>
        </is>
      </c>
    </row>
    <row r="54">
      <c r="A54" s="5" t="inlineStr">
        <is>
          <t>E00373</t>
        </is>
      </c>
      <c r="B54" s="5" t="inlineStr">
        <is>
          <t>Female</t>
        </is>
      </c>
      <c r="C54" s="6" t="inlineStr">
        <is>
          <t>30</t>
        </is>
      </c>
      <c r="D54" s="5" t="inlineStr">
        <is>
          <t>Married</t>
        </is>
      </c>
      <c r="E54" s="5" t="inlineStr">
        <is>
          <t>Diploma</t>
        </is>
      </c>
      <c r="F54" s="5" t="inlineStr">
        <is>
          <t>Human Resources</t>
        </is>
      </c>
      <c r="G54" s="5" t="inlineStr">
        <is>
          <t>Recruiter</t>
        </is>
      </c>
      <c r="H54" s="5" t="inlineStr">
        <is>
          <t>1</t>
        </is>
      </c>
      <c r="I54" s="5" t="inlineStr">
        <is>
          <t>Mumbai</t>
        </is>
      </c>
      <c r="J54" s="5" t="inlineStr">
        <is>
          <t>Full-Time</t>
        </is>
      </c>
      <c r="K54" s="7" t="n">
        <v>44102</v>
      </c>
      <c r="L54" s="7" t="inlineStr"/>
      <c r="M54" s="5" t="inlineStr">
        <is>
          <t>Yes</t>
        </is>
      </c>
      <c r="N54" s="5" t="inlineStr"/>
      <c r="O54" s="8" t="inlineStr">
        <is>
          <t>71500</t>
        </is>
      </c>
      <c r="P54" s="5" t="inlineStr">
        <is>
          <t>20</t>
        </is>
      </c>
      <c r="Q54" s="5" t="inlineStr">
        <is>
          <t>5</t>
        </is>
      </c>
      <c r="R54" s="5" t="inlineStr">
        <is>
          <t>8</t>
        </is>
      </c>
      <c r="S54" s="5" t="inlineStr">
        <is>
          <t>64</t>
        </is>
      </c>
      <c r="T54" s="5" t="inlineStr">
        <is>
          <t>15</t>
        </is>
      </c>
      <c r="U54" s="5" t="inlineStr">
        <is>
          <t>OK</t>
        </is>
      </c>
    </row>
    <row r="55">
      <c r="A55" s="5" t="inlineStr">
        <is>
          <t>E01588</t>
        </is>
      </c>
      <c r="B55" s="5" t="inlineStr">
        <is>
          <t>Female</t>
        </is>
      </c>
      <c r="C55" s="6" t="inlineStr">
        <is>
          <t>37</t>
        </is>
      </c>
      <c r="D55" s="5" t="inlineStr">
        <is>
          <t>Married</t>
        </is>
      </c>
      <c r="E55" s="5" t="inlineStr">
        <is>
          <t>Master</t>
        </is>
      </c>
      <c r="F55" s="5" t="inlineStr">
        <is>
          <t>Sales</t>
        </is>
      </c>
      <c r="G55" s="5" t="inlineStr">
        <is>
          <t>Sales Executive</t>
        </is>
      </c>
      <c r="H55" s="5" t="inlineStr">
        <is>
          <t>4</t>
        </is>
      </c>
      <c r="I55" s="5" t="inlineStr">
        <is>
          <t>Mumbai</t>
        </is>
      </c>
      <c r="J55" s="5" t="inlineStr">
        <is>
          <t>Contract</t>
        </is>
      </c>
      <c r="K55" s="7" t="n">
        <v>44592</v>
      </c>
      <c r="L55" s="7" t="n">
        <v>44637</v>
      </c>
      <c r="M55" s="5" t="inlineStr">
        <is>
          <t>No</t>
        </is>
      </c>
      <c r="N55" s="5" t="inlineStr">
        <is>
          <t>Resigned</t>
        </is>
      </c>
      <c r="O55" s="8" t="inlineStr">
        <is>
          <t>140000</t>
        </is>
      </c>
      <c r="P55" s="5" t="inlineStr">
        <is>
          <t>20</t>
        </is>
      </c>
      <c r="Q55" s="5" t="inlineStr">
        <is>
          <t>4</t>
        </is>
      </c>
      <c r="R55" s="5" t="inlineStr">
        <is>
          <t>3</t>
        </is>
      </c>
      <c r="S55" s="5" t="inlineStr">
        <is>
          <t>1</t>
        </is>
      </c>
      <c r="T55" s="5" t="inlineStr">
        <is>
          <t>3</t>
        </is>
      </c>
      <c r="U55" s="5" t="inlineStr">
        <is>
          <t>OK</t>
        </is>
      </c>
    </row>
    <row r="56">
      <c r="A56" s="5" t="inlineStr">
        <is>
          <t>E01664</t>
        </is>
      </c>
      <c r="B56" s="5" t="inlineStr">
        <is>
          <t>Male</t>
        </is>
      </c>
      <c r="C56" s="6" t="inlineStr">
        <is>
          <t>30</t>
        </is>
      </c>
      <c r="D56" s="5" t="inlineStr">
        <is>
          <t>Married</t>
        </is>
      </c>
      <c r="E56" s="5" t="inlineStr">
        <is>
          <t>High School</t>
        </is>
      </c>
      <c r="F56" s="5" t="inlineStr">
        <is>
          <t>Finance</t>
        </is>
      </c>
      <c r="G56" s="5" t="inlineStr">
        <is>
          <t>Financial Analyst</t>
        </is>
      </c>
      <c r="H56" s="5" t="inlineStr">
        <is>
          <t>2</t>
        </is>
      </c>
      <c r="I56" s="5" t="inlineStr">
        <is>
          <t>Hyderabad</t>
        </is>
      </c>
      <c r="J56" s="5" t="inlineStr">
        <is>
          <t>Part-Time</t>
        </is>
      </c>
      <c r="K56" s="7" t="n">
        <v>44953</v>
      </c>
      <c r="L56" s="7" t="inlineStr"/>
      <c r="M56" s="5" t="inlineStr">
        <is>
          <t>Yes</t>
        </is>
      </c>
      <c r="N56" s="5" t="inlineStr"/>
      <c r="O56" s="8" t="inlineStr">
        <is>
          <t>84500</t>
        </is>
      </c>
      <c r="P56" s="5" t="inlineStr">
        <is>
          <t>0</t>
        </is>
      </c>
      <c r="Q56" s="5" t="inlineStr">
        <is>
          <t>4</t>
        </is>
      </c>
      <c r="R56" s="5" t="inlineStr">
        <is>
          <t>6</t>
        </is>
      </c>
      <c r="S56" s="5" t="inlineStr">
        <is>
          <t>35</t>
        </is>
      </c>
      <c r="T56" s="5" t="inlineStr">
        <is>
          <t>8</t>
        </is>
      </c>
      <c r="U56" s="5" t="inlineStr">
        <is>
          <t>OK</t>
        </is>
      </c>
    </row>
    <row r="57">
      <c r="A57" s="5" t="inlineStr">
        <is>
          <t>E00391</t>
        </is>
      </c>
      <c r="B57" s="5" t="inlineStr">
        <is>
          <t>Female</t>
        </is>
      </c>
      <c r="C57" s="6" t="inlineStr">
        <is>
          <t>34</t>
        </is>
      </c>
      <c r="D57" s="5" t="inlineStr">
        <is>
          <t>Married</t>
        </is>
      </c>
      <c r="E57" s="5" t="inlineStr">
        <is>
          <t>Bachelor</t>
        </is>
      </c>
      <c r="F57" s="5" t="inlineStr">
        <is>
          <t>Marketing</t>
        </is>
      </c>
      <c r="G57" s="5" t="inlineStr">
        <is>
          <t>SEO Specialist</t>
        </is>
      </c>
      <c r="H57" s="5" t="inlineStr">
        <is>
          <t>3</t>
        </is>
      </c>
      <c r="I57" s="5" t="inlineStr">
        <is>
          <t>Hyderabad</t>
        </is>
      </c>
      <c r="J57" s="5" t="inlineStr">
        <is>
          <t>Full-Time</t>
        </is>
      </c>
      <c r="K57" s="7" t="n">
        <v>45082</v>
      </c>
      <c r="L57" s="7" t="inlineStr"/>
      <c r="M57" s="5" t="inlineStr">
        <is>
          <t>Yes</t>
        </is>
      </c>
      <c r="N57" s="5" t="inlineStr"/>
      <c r="O57" s="8" t="inlineStr">
        <is>
          <t>103000</t>
        </is>
      </c>
      <c r="P57" s="5" t="inlineStr">
        <is>
          <t>10</t>
        </is>
      </c>
      <c r="Q57" s="5" t="inlineStr">
        <is>
          <t>3</t>
        </is>
      </c>
      <c r="R57" s="5" t="inlineStr">
        <is>
          <t>4</t>
        </is>
      </c>
      <c r="S57" s="5" t="inlineStr">
        <is>
          <t>31</t>
        </is>
      </c>
      <c r="T57" s="5" t="inlineStr">
        <is>
          <t>12</t>
        </is>
      </c>
      <c r="U57" s="5" t="inlineStr">
        <is>
          <t>OK</t>
        </is>
      </c>
    </row>
    <row r="58">
      <c r="A58" s="5" t="inlineStr">
        <is>
          <t>E01734</t>
        </is>
      </c>
      <c r="B58" s="5" t="inlineStr">
        <is>
          <t>Male</t>
        </is>
      </c>
      <c r="C58" s="6" t="inlineStr">
        <is>
          <t>31</t>
        </is>
      </c>
      <c r="D58" s="5" t="inlineStr">
        <is>
          <t>Married</t>
        </is>
      </c>
      <c r="E58" s="5" t="inlineStr">
        <is>
          <t>Bachelor</t>
        </is>
      </c>
      <c r="F58" s="5" t="inlineStr">
        <is>
          <t>Finance</t>
        </is>
      </c>
      <c r="G58" s="5" t="inlineStr">
        <is>
          <t>Accountant</t>
        </is>
      </c>
      <c r="H58" s="5" t="inlineStr">
        <is>
          <t>2</t>
        </is>
      </c>
      <c r="I58" s="5" t="inlineStr">
        <is>
          <t>Mumbai</t>
        </is>
      </c>
      <c r="J58" s="5" t="inlineStr">
        <is>
          <t>Full-Time</t>
        </is>
      </c>
      <c r="K58" s="7" t="n">
        <v>45114</v>
      </c>
      <c r="L58" s="7" t="inlineStr"/>
      <c r="M58" s="5" t="inlineStr">
        <is>
          <t>Yes</t>
        </is>
      </c>
      <c r="N58" s="5" t="inlineStr"/>
      <c r="O58" s="8" t="inlineStr">
        <is>
          <t>129000</t>
        </is>
      </c>
      <c r="P58" s="5" t="inlineStr">
        <is>
          <t>0</t>
        </is>
      </c>
      <c r="Q58" s="5" t="inlineStr">
        <is>
          <t>5</t>
        </is>
      </c>
      <c r="R58" s="5" t="inlineStr">
        <is>
          <t>7</t>
        </is>
      </c>
      <c r="S58" s="5" t="inlineStr">
        <is>
          <t>30</t>
        </is>
      </c>
      <c r="T58" s="5" t="inlineStr">
        <is>
          <t>7</t>
        </is>
      </c>
      <c r="U58" s="5" t="inlineStr">
        <is>
          <t>OK</t>
        </is>
      </c>
    </row>
    <row r="59">
      <c r="A59" s="5" t="inlineStr">
        <is>
          <t>E01067</t>
        </is>
      </c>
      <c r="B59" s="5" t="inlineStr">
        <is>
          <t>Male</t>
        </is>
      </c>
      <c r="C59" s="6" t="inlineStr">
        <is>
          <t>27</t>
        </is>
      </c>
      <c r="D59" s="5" t="inlineStr">
        <is>
          <t>Married</t>
        </is>
      </c>
      <c r="E59" s="5" t="inlineStr">
        <is>
          <t>PhD</t>
        </is>
      </c>
      <c r="F59" s="5" t="inlineStr">
        <is>
          <t>Sales</t>
        </is>
      </c>
      <c r="G59" s="5" t="inlineStr">
        <is>
          <t>Business Development</t>
        </is>
      </c>
      <c r="H59" s="5" t="inlineStr">
        <is>
          <t>2</t>
        </is>
      </c>
      <c r="I59" s="5" t="inlineStr">
        <is>
          <t>Bengaluru</t>
        </is>
      </c>
      <c r="J59" s="5" t="inlineStr">
        <is>
          <t>Full-Time</t>
        </is>
      </c>
      <c r="K59" s="7" t="n">
        <v>45394</v>
      </c>
      <c r="L59" s="7" t="inlineStr"/>
      <c r="M59" s="5" t="inlineStr">
        <is>
          <t>Yes</t>
        </is>
      </c>
      <c r="N59" s="5" t="inlineStr"/>
      <c r="O59" s="8" t="inlineStr">
        <is>
          <t>108000</t>
        </is>
      </c>
      <c r="P59" s="5" t="inlineStr">
        <is>
          <t>5</t>
        </is>
      </c>
      <c r="Q59" s="5" t="inlineStr">
        <is>
          <t>4</t>
        </is>
      </c>
      <c r="R59" s="5" t="inlineStr">
        <is>
          <t>5</t>
        </is>
      </c>
      <c r="S59" s="5" t="inlineStr">
        <is>
          <t>20</t>
        </is>
      </c>
      <c r="T59" s="5" t="inlineStr">
        <is>
          <t>0</t>
        </is>
      </c>
      <c r="U59" s="5" t="inlineStr">
        <is>
          <t>OK</t>
        </is>
      </c>
    </row>
    <row r="60">
      <c r="A60" s="5" t="inlineStr">
        <is>
          <t>E02130</t>
        </is>
      </c>
      <c r="B60" s="5" t="inlineStr">
        <is>
          <t>Male</t>
        </is>
      </c>
      <c r="C60" s="6" t="inlineStr">
        <is>
          <t>39</t>
        </is>
      </c>
      <c r="D60" s="5" t="inlineStr">
        <is>
          <t>Married</t>
        </is>
      </c>
      <c r="E60" s="5" t="inlineStr">
        <is>
          <t>Diploma</t>
        </is>
      </c>
      <c r="F60" s="5" t="inlineStr">
        <is>
          <t>Operations</t>
        </is>
      </c>
      <c r="G60" s="5" t="inlineStr">
        <is>
          <t>Operations Analyst</t>
        </is>
      </c>
      <c r="H60" s="5" t="inlineStr">
        <is>
          <t>4</t>
        </is>
      </c>
      <c r="I60" s="5" t="inlineStr">
        <is>
          <t>Mumbai</t>
        </is>
      </c>
      <c r="J60" s="5" t="inlineStr">
        <is>
          <t>Full-Time</t>
        </is>
      </c>
      <c r="K60" s="7" t="n">
        <v>44870</v>
      </c>
      <c r="L60" s="7" t="inlineStr"/>
      <c r="M60" s="5" t="inlineStr">
        <is>
          <t>Yes</t>
        </is>
      </c>
      <c r="N60" s="5" t="inlineStr"/>
      <c r="O60" s="8" t="inlineStr">
        <is>
          <t>109000</t>
        </is>
      </c>
      <c r="P60" s="5" t="inlineStr">
        <is>
          <t>0</t>
        </is>
      </c>
      <c r="Q60" s="5" t="inlineStr">
        <is>
          <t>4</t>
        </is>
      </c>
      <c r="R60" s="5" t="inlineStr">
        <is>
          <t>5</t>
        </is>
      </c>
      <c r="S60" s="5" t="inlineStr">
        <is>
          <t>38</t>
        </is>
      </c>
      <c r="T60" s="5" t="inlineStr">
        <is>
          <t>17</t>
        </is>
      </c>
      <c r="U60" s="5" t="inlineStr">
        <is>
          <t>OK</t>
        </is>
      </c>
    </row>
    <row r="61">
      <c r="A61" s="5" t="inlineStr">
        <is>
          <t>E00113</t>
        </is>
      </c>
      <c r="B61" s="5" t="inlineStr">
        <is>
          <t>Female</t>
        </is>
      </c>
      <c r="C61" s="6" t="inlineStr">
        <is>
          <t>29</t>
        </is>
      </c>
      <c r="D61" s="5" t="inlineStr">
        <is>
          <t>Single</t>
        </is>
      </c>
      <c r="E61" s="5" t="inlineStr">
        <is>
          <t>High School</t>
        </is>
      </c>
      <c r="F61" s="5" t="inlineStr">
        <is>
          <t>Finance</t>
        </is>
      </c>
      <c r="G61" s="5" t="inlineStr">
        <is>
          <t>Credit Analyst</t>
        </is>
      </c>
      <c r="H61" s="5" t="inlineStr">
        <is>
          <t>4</t>
        </is>
      </c>
      <c r="I61" s="5" t="inlineStr">
        <is>
          <t>Mumbai</t>
        </is>
      </c>
      <c r="J61" s="5" t="inlineStr">
        <is>
          <t>Full-Time</t>
        </is>
      </c>
      <c r="K61" s="7" t="n">
        <v>45313</v>
      </c>
      <c r="L61" s="7" t="inlineStr"/>
      <c r="M61" s="5" t="inlineStr">
        <is>
          <t>Yes</t>
        </is>
      </c>
      <c r="N61" s="5" t="inlineStr"/>
      <c r="O61" s="8" t="inlineStr">
        <is>
          <t>145500</t>
        </is>
      </c>
      <c r="P61" s="5" t="inlineStr">
        <is>
          <t>15</t>
        </is>
      </c>
      <c r="Q61" s="5" t="inlineStr">
        <is>
          <t>3</t>
        </is>
      </c>
      <c r="R61" s="5" t="inlineStr">
        <is>
          <t>8</t>
        </is>
      </c>
      <c r="S61" s="5" t="inlineStr">
        <is>
          <t>23</t>
        </is>
      </c>
      <c r="T61" s="5" t="inlineStr">
        <is>
          <t>0</t>
        </is>
      </c>
      <c r="U61" s="5" t="inlineStr">
        <is>
          <t>OK</t>
        </is>
      </c>
    </row>
    <row r="62">
      <c r="A62" s="5" t="inlineStr">
        <is>
          <t>E00989</t>
        </is>
      </c>
      <c r="B62" s="5" t="inlineStr">
        <is>
          <t>Male</t>
        </is>
      </c>
      <c r="C62" s="6" t="inlineStr">
        <is>
          <t>37</t>
        </is>
      </c>
      <c r="D62" s="5" t="inlineStr">
        <is>
          <t>Single</t>
        </is>
      </c>
      <c r="E62" s="5" t="inlineStr">
        <is>
          <t>High School</t>
        </is>
      </c>
      <c r="F62" s="5" t="inlineStr">
        <is>
          <t>Marketing</t>
        </is>
      </c>
      <c r="G62" s="5" t="inlineStr">
        <is>
          <t>Content Writer</t>
        </is>
      </c>
      <c r="H62" s="5" t="inlineStr">
        <is>
          <t>5</t>
        </is>
      </c>
      <c r="I62" s="5" t="inlineStr">
        <is>
          <t>Mumbai</t>
        </is>
      </c>
      <c r="J62" s="5" t="inlineStr">
        <is>
          <t>Contract</t>
        </is>
      </c>
      <c r="K62" s="7" t="n">
        <v>45984</v>
      </c>
      <c r="L62" s="7" t="inlineStr"/>
      <c r="M62" s="5" t="inlineStr">
        <is>
          <t>Yes</t>
        </is>
      </c>
      <c r="N62" s="5" t="inlineStr"/>
      <c r="O62" s="8" t="inlineStr">
        <is>
          <t>100000</t>
        </is>
      </c>
      <c r="P62" s="5" t="inlineStr">
        <is>
          <t>10</t>
        </is>
      </c>
      <c r="Q62" s="5" t="inlineStr">
        <is>
          <t>4</t>
        </is>
      </c>
      <c r="R62" s="5" t="inlineStr">
        <is>
          <t>5</t>
        </is>
      </c>
      <c r="S62" s="5" t="inlineStr">
        <is>
          <t>1</t>
        </is>
      </c>
      <c r="T62" s="5" t="inlineStr">
        <is>
          <t>0</t>
        </is>
      </c>
      <c r="U62" s="5" t="inlineStr">
        <is>
          <t>OK</t>
        </is>
      </c>
    </row>
    <row r="63">
      <c r="A63" s="5" t="inlineStr">
        <is>
          <t>E00671</t>
        </is>
      </c>
      <c r="B63" s="5" t="inlineStr">
        <is>
          <t>female</t>
        </is>
      </c>
      <c r="C63" s="6" t="inlineStr">
        <is>
          <t>35</t>
        </is>
      </c>
      <c r="D63" s="5" t="inlineStr">
        <is>
          <t>Married</t>
        </is>
      </c>
      <c r="E63" s="5" t="inlineStr">
        <is>
          <t>High School</t>
        </is>
      </c>
      <c r="F63" s="5" t="inlineStr">
        <is>
          <t>Customer Support</t>
        </is>
      </c>
      <c r="G63" s="5" t="inlineStr">
        <is>
          <t>Escalation Specialist</t>
        </is>
      </c>
      <c r="H63" s="5" t="inlineStr">
        <is>
          <t>3</t>
        </is>
      </c>
      <c r="I63" s="5" t="inlineStr">
        <is>
          <t>Bengaluru</t>
        </is>
      </c>
      <c r="J63" s="5" t="inlineStr">
        <is>
          <t>Contract</t>
        </is>
      </c>
      <c r="K63" s="7" t="n">
        <v>45072</v>
      </c>
      <c r="L63" s="7" t="inlineStr"/>
      <c r="M63" s="5" t="inlineStr">
        <is>
          <t>Yes</t>
        </is>
      </c>
      <c r="N63" s="5" t="inlineStr"/>
      <c r="O63" s="8" t="inlineStr">
        <is>
          <t>66500</t>
        </is>
      </c>
      <c r="P63" s="5" t="inlineStr">
        <is>
          <t>0</t>
        </is>
      </c>
      <c r="Q63" s="5" t="inlineStr">
        <is>
          <t>4</t>
        </is>
      </c>
      <c r="R63" s="5" t="inlineStr">
        <is>
          <t>4</t>
        </is>
      </c>
      <c r="S63" s="5" t="inlineStr">
        <is>
          <t>31</t>
        </is>
      </c>
      <c r="T63" s="5" t="inlineStr">
        <is>
          <t>0</t>
        </is>
      </c>
      <c r="U63" s="5" t="inlineStr">
        <is>
          <t>OK</t>
        </is>
      </c>
    </row>
    <row r="64">
      <c r="A64" s="5" t="inlineStr">
        <is>
          <t>E01591</t>
        </is>
      </c>
      <c r="B64" s="5" t="inlineStr">
        <is>
          <t>Male</t>
        </is>
      </c>
      <c r="C64" s="6" t="inlineStr">
        <is>
          <t>26</t>
        </is>
      </c>
      <c r="D64" s="5" t="inlineStr">
        <is>
          <t>Single</t>
        </is>
      </c>
      <c r="E64" s="5" t="inlineStr">
        <is>
          <t>High School</t>
        </is>
      </c>
      <c r="F64" s="5" t="inlineStr">
        <is>
          <t>Sales</t>
        </is>
      </c>
      <c r="G64" s="5" t="inlineStr">
        <is>
          <t>Account Executive</t>
        </is>
      </c>
      <c r="H64" s="5" t="inlineStr">
        <is>
          <t>2</t>
        </is>
      </c>
      <c r="I64" s="5" t="inlineStr">
        <is>
          <t>Mumbai</t>
        </is>
      </c>
      <c r="J64" s="5" t="inlineStr">
        <is>
          <t>Part-Time</t>
        </is>
      </c>
      <c r="K64" s="7" t="n">
        <v>44974</v>
      </c>
      <c r="L64" s="7" t="inlineStr"/>
      <c r="M64" s="5" t="inlineStr">
        <is>
          <t>Yes</t>
        </is>
      </c>
      <c r="N64" s="5" t="inlineStr"/>
      <c r="O64" s="8" t="inlineStr">
        <is>
          <t>107000</t>
        </is>
      </c>
      <c r="P64" s="5" t="inlineStr">
        <is>
          <t>0</t>
        </is>
      </c>
      <c r="Q64" s="5" t="inlineStr">
        <is>
          <t>3</t>
        </is>
      </c>
      <c r="R64" s="5" t="inlineStr">
        <is>
          <t>6</t>
        </is>
      </c>
      <c r="S64" s="5" t="inlineStr">
        <is>
          <t>34</t>
        </is>
      </c>
      <c r="T64" s="5" t="inlineStr">
        <is>
          <t>2</t>
        </is>
      </c>
      <c r="U64" s="5" t="inlineStr">
        <is>
          <t>OK</t>
        </is>
      </c>
    </row>
    <row r="65">
      <c r="A65" s="5" t="inlineStr">
        <is>
          <t>E02793</t>
        </is>
      </c>
      <c r="B65" s="5" t="inlineStr">
        <is>
          <t>Male</t>
        </is>
      </c>
      <c r="C65" s="6" t="inlineStr">
        <is>
          <t>34</t>
        </is>
      </c>
      <c r="D65" s="5" t="inlineStr">
        <is>
          <t>Single</t>
        </is>
      </c>
      <c r="E65" s="5" t="inlineStr">
        <is>
          <t>High School</t>
        </is>
      </c>
      <c r="F65" s="5" t="inlineStr">
        <is>
          <t>Research &amp; Development</t>
        </is>
      </c>
      <c r="G65" s="5" t="inlineStr">
        <is>
          <t>Research Scientist</t>
        </is>
      </c>
      <c r="H65" s="5" t="inlineStr">
        <is>
          <t>2</t>
        </is>
      </c>
      <c r="I65" s="5" t="inlineStr">
        <is>
          <t>Mumbai</t>
        </is>
      </c>
      <c r="J65" s="5" t="inlineStr">
        <is>
          <t>Full-Time</t>
        </is>
      </c>
      <c r="K65" s="7" t="n">
        <v>45156</v>
      </c>
      <c r="L65" s="7" t="inlineStr"/>
      <c r="M65" s="5" t="inlineStr">
        <is>
          <t>Yes</t>
        </is>
      </c>
      <c r="N65" s="5" t="inlineStr"/>
      <c r="O65" s="8" t="inlineStr">
        <is>
          <t>182000</t>
        </is>
      </c>
      <c r="P65" s="5" t="inlineStr">
        <is>
          <t>0</t>
        </is>
      </c>
      <c r="Q65" s="5" t="inlineStr">
        <is>
          <t>4</t>
        </is>
      </c>
      <c r="R65" s="5" t="inlineStr">
        <is>
          <t>6</t>
        </is>
      </c>
      <c r="S65" s="5" t="inlineStr">
        <is>
          <t>28</t>
        </is>
      </c>
      <c r="T65" s="5" t="inlineStr">
        <is>
          <t>6</t>
        </is>
      </c>
      <c r="U65" s="5" t="inlineStr">
        <is>
          <t>OK</t>
        </is>
      </c>
    </row>
    <row r="66">
      <c r="A66" s="5" t="inlineStr">
        <is>
          <t>E01121</t>
        </is>
      </c>
      <c r="B66" s="5" t="inlineStr">
        <is>
          <t>male</t>
        </is>
      </c>
      <c r="C66" s="6" t="inlineStr">
        <is>
          <t>33</t>
        </is>
      </c>
      <c r="D66" s="5" t="inlineStr">
        <is>
          <t>Single</t>
        </is>
      </c>
      <c r="E66" s="5" t="inlineStr">
        <is>
          <t>High School</t>
        </is>
      </c>
      <c r="F66" s="5" t="inlineStr">
        <is>
          <t>Research &amp; Development</t>
        </is>
      </c>
      <c r="G66" s="5" t="inlineStr">
        <is>
          <t>Product Engineer</t>
        </is>
      </c>
      <c r="H66" s="5" t="inlineStr">
        <is>
          <t>4</t>
        </is>
      </c>
      <c r="I66" s="5" t="inlineStr">
        <is>
          <t>Mumbai</t>
        </is>
      </c>
      <c r="J66" s="5" t="inlineStr">
        <is>
          <t>Full-Time</t>
        </is>
      </c>
      <c r="K66" s="7" t="n">
        <v>44691</v>
      </c>
      <c r="L66" s="7" t="n">
        <v>44764</v>
      </c>
      <c r="M66" s="5" t="inlineStr">
        <is>
          <t>No</t>
        </is>
      </c>
      <c r="N66" s="5" t="inlineStr">
        <is>
          <t>Performance / Termination</t>
        </is>
      </c>
      <c r="O66" s="8" t="inlineStr">
        <is>
          <t>183500</t>
        </is>
      </c>
      <c r="P66" s="5" t="inlineStr">
        <is>
          <t>0</t>
        </is>
      </c>
      <c r="Q66" s="5" t="inlineStr">
        <is>
          <t>3</t>
        </is>
      </c>
      <c r="R66" s="5" t="inlineStr">
        <is>
          <t>5</t>
        </is>
      </c>
      <c r="S66" s="5" t="inlineStr">
        <is>
          <t>2</t>
        </is>
      </c>
      <c r="T66" s="5" t="inlineStr">
        <is>
          <t>6</t>
        </is>
      </c>
      <c r="U66" s="5" t="inlineStr">
        <is>
          <t>OK</t>
        </is>
      </c>
    </row>
    <row r="67">
      <c r="A67" s="5" t="inlineStr">
        <is>
          <t>E02355</t>
        </is>
      </c>
      <c r="B67" s="5" t="inlineStr">
        <is>
          <t>Male</t>
        </is>
      </c>
      <c r="C67" s="6" t="inlineStr">
        <is>
          <t>42</t>
        </is>
      </c>
      <c r="D67" s="5" t="inlineStr">
        <is>
          <t>Married</t>
        </is>
      </c>
      <c r="E67" s="5" t="inlineStr">
        <is>
          <t>Master</t>
        </is>
      </c>
      <c r="F67" s="5" t="inlineStr">
        <is>
          <t>Sales</t>
        </is>
      </c>
      <c r="G67" s="5" t="inlineStr">
        <is>
          <t>Business Development</t>
        </is>
      </c>
      <c r="H67" s="5" t="inlineStr">
        <is>
          <t>5</t>
        </is>
      </c>
      <c r="I67" s="5" t="inlineStr">
        <is>
          <t>Remote</t>
        </is>
      </c>
      <c r="J67" s="5" t="inlineStr">
        <is>
          <t>Full-Time</t>
        </is>
      </c>
      <c r="K67" s="7" t="n">
        <v>45842</v>
      </c>
      <c r="L67" s="7" t="inlineStr"/>
      <c r="M67" s="5" t="inlineStr">
        <is>
          <t>Yes</t>
        </is>
      </c>
      <c r="N67" s="5" t="inlineStr"/>
      <c r="O67" s="8" t="inlineStr">
        <is>
          <t>136000</t>
        </is>
      </c>
      <c r="P67" s="5" t="inlineStr">
        <is>
          <t>20</t>
        </is>
      </c>
      <c r="Q67" s="5" t="inlineStr">
        <is>
          <t>4</t>
        </is>
      </c>
      <c r="R67" s="5" t="inlineStr">
        <is>
          <t>7</t>
        </is>
      </c>
      <c r="S67" s="5" t="inlineStr">
        <is>
          <t>6</t>
        </is>
      </c>
      <c r="T67" s="5" t="inlineStr">
        <is>
          <t>4</t>
        </is>
      </c>
      <c r="U67" s="5" t="inlineStr">
        <is>
          <t>OK</t>
        </is>
      </c>
    </row>
    <row r="68">
      <c r="A68" s="5" t="inlineStr">
        <is>
          <t>E02170</t>
        </is>
      </c>
      <c r="B68" s="5" t="inlineStr">
        <is>
          <t>male</t>
        </is>
      </c>
      <c r="C68" s="6" t="inlineStr">
        <is>
          <t>39</t>
        </is>
      </c>
      <c r="D68" s="5" t="inlineStr">
        <is>
          <t>Single</t>
        </is>
      </c>
      <c r="E68" s="5" t="inlineStr">
        <is>
          <t>Master</t>
        </is>
      </c>
      <c r="F68" s="5" t="inlineStr">
        <is>
          <t>Operations</t>
        </is>
      </c>
      <c r="G68" s="5" t="inlineStr">
        <is>
          <t>Operations Analyst</t>
        </is>
      </c>
      <c r="H68" s="5" t="inlineStr">
        <is>
          <t>6</t>
        </is>
      </c>
      <c r="I68" s="5" t="inlineStr">
        <is>
          <t>Remote</t>
        </is>
      </c>
      <c r="J68" s="5" t="inlineStr">
        <is>
          <t>Full-Time</t>
        </is>
      </c>
      <c r="K68" s="7" t="n">
        <v>44588</v>
      </c>
      <c r="L68" s="7" t="n">
        <v>44640</v>
      </c>
      <c r="M68" s="5" t="inlineStr">
        <is>
          <t>No</t>
        </is>
      </c>
      <c r="N68" s="5" t="inlineStr">
        <is>
          <t>Performance / Termination</t>
        </is>
      </c>
      <c r="O68" s="8" t="inlineStr">
        <is>
          <t>152500</t>
        </is>
      </c>
      <c r="P68" s="5" t="inlineStr">
        <is>
          <t>0</t>
        </is>
      </c>
      <c r="Q68" s="5" t="inlineStr">
        <is>
          <t>1</t>
        </is>
      </c>
      <c r="R68" s="5" t="inlineStr">
        <is>
          <t>7</t>
        </is>
      </c>
      <c r="S68" s="5" t="inlineStr">
        <is>
          <t>1</t>
        </is>
      </c>
      <c r="T68" s="5" t="inlineStr">
        <is>
          <t>12</t>
        </is>
      </c>
      <c r="U68" s="5" t="inlineStr">
        <is>
          <t>OK</t>
        </is>
      </c>
    </row>
    <row r="69">
      <c r="A69" s="5" t="inlineStr">
        <is>
          <t>E00857</t>
        </is>
      </c>
      <c r="B69" s="5" t="inlineStr">
        <is>
          <t>Female</t>
        </is>
      </c>
      <c r="C69" s="6" t="inlineStr">
        <is>
          <t>38</t>
        </is>
      </c>
      <c r="D69" s="5" t="inlineStr">
        <is>
          <t>Single</t>
        </is>
      </c>
      <c r="E69" s="5" t="inlineStr">
        <is>
          <t>PhD</t>
        </is>
      </c>
      <c r="F69" s="5" t="inlineStr">
        <is>
          <t>Human Resources</t>
        </is>
      </c>
      <c r="G69" s="5" t="inlineStr">
        <is>
          <t>Recruiter</t>
        </is>
      </c>
      <c r="H69" s="5" t="inlineStr">
        <is>
          <t>3</t>
        </is>
      </c>
      <c r="I69" s="5" t="inlineStr">
        <is>
          <t>Remote</t>
        </is>
      </c>
      <c r="J69" s="5" t="inlineStr">
        <is>
          <t>Full-Time</t>
        </is>
      </c>
      <c r="K69" s="7" t="n">
        <v>44003</v>
      </c>
      <c r="L69" s="7" t="inlineStr"/>
      <c r="M69" s="5" t="inlineStr">
        <is>
          <t>Yes</t>
        </is>
      </c>
      <c r="N69" s="5" t="inlineStr"/>
      <c r="O69" s="8" t="inlineStr">
        <is>
          <t>88500</t>
        </is>
      </c>
      <c r="P69" s="5" t="inlineStr">
        <is>
          <t>5</t>
        </is>
      </c>
      <c r="Q69" s="5" t="inlineStr">
        <is>
          <t>4</t>
        </is>
      </c>
      <c r="R69" s="5" t="inlineStr">
        <is>
          <t>6</t>
        </is>
      </c>
      <c r="S69" s="5" t="inlineStr">
        <is>
          <t>67</t>
        </is>
      </c>
      <c r="T69" s="5" t="inlineStr">
        <is>
          <t>4</t>
        </is>
      </c>
      <c r="U69" s="5" t="inlineStr">
        <is>
          <t>OK</t>
        </is>
      </c>
    </row>
    <row r="70">
      <c r="A70" s="5" t="inlineStr">
        <is>
          <t>E01047</t>
        </is>
      </c>
      <c r="B70" s="5" t="inlineStr">
        <is>
          <t>Male</t>
        </is>
      </c>
      <c r="C70" s="6" t="inlineStr">
        <is>
          <t>33</t>
        </is>
      </c>
      <c r="D70" s="5" t="inlineStr">
        <is>
          <t>Married</t>
        </is>
      </c>
      <c r="E70" s="5" t="inlineStr">
        <is>
          <t>Master</t>
        </is>
      </c>
      <c r="F70" s="5" t="inlineStr">
        <is>
          <t>Customer Support</t>
        </is>
      </c>
      <c r="G70" s="5" t="inlineStr">
        <is>
          <t>Escalation Specialist</t>
        </is>
      </c>
      <c r="H70" s="5" t="inlineStr">
        <is>
          <t>2</t>
        </is>
      </c>
      <c r="I70" s="5" t="inlineStr">
        <is>
          <t>Mumbai</t>
        </is>
      </c>
      <c r="J70" s="5" t="inlineStr">
        <is>
          <t>Full-Time</t>
        </is>
      </c>
      <c r="K70" s="7" t="n">
        <v>45702</v>
      </c>
      <c r="L70" s="7" t="n">
        <v>45847</v>
      </c>
      <c r="M70" s="5" t="inlineStr">
        <is>
          <t>No</t>
        </is>
      </c>
      <c r="N70" s="5" t="inlineStr">
        <is>
          <t>Resigned</t>
        </is>
      </c>
      <c r="O70" s="8" t="inlineStr">
        <is>
          <t>80000</t>
        </is>
      </c>
      <c r="P70" s="5" t="inlineStr">
        <is>
          <t>0</t>
        </is>
      </c>
      <c r="Q70" s="5" t="inlineStr">
        <is>
          <t>3</t>
        </is>
      </c>
      <c r="R70" s="5" t="inlineStr">
        <is>
          <t>5</t>
        </is>
      </c>
      <c r="S70" s="5" t="inlineStr">
        <is>
          <t>4</t>
        </is>
      </c>
      <c r="T70" s="5" t="inlineStr">
        <is>
          <t>10</t>
        </is>
      </c>
      <c r="U70" s="5" t="inlineStr">
        <is>
          <t>OK</t>
        </is>
      </c>
    </row>
    <row r="71">
      <c r="A71" s="5" t="inlineStr">
        <is>
          <t>E02986</t>
        </is>
      </c>
      <c r="B71" s="5" t="inlineStr">
        <is>
          <t>Female</t>
        </is>
      </c>
      <c r="C71" s="6" t="inlineStr">
        <is>
          <t>38</t>
        </is>
      </c>
      <c r="D71" s="5" t="inlineStr">
        <is>
          <t>Married</t>
        </is>
      </c>
      <c r="E71" s="5" t="inlineStr">
        <is>
          <t>High School</t>
        </is>
      </c>
      <c r="F71" s="5" t="inlineStr">
        <is>
          <t>Finance</t>
        </is>
      </c>
      <c r="G71" s="5" t="inlineStr">
        <is>
          <t>Credit Analyst</t>
        </is>
      </c>
      <c r="H71" s="5" t="inlineStr">
        <is>
          <t>3</t>
        </is>
      </c>
      <c r="I71" s="5" t="inlineStr">
        <is>
          <t>Remote</t>
        </is>
      </c>
      <c r="J71" s="5" t="inlineStr">
        <is>
          <t>Full-Time</t>
        </is>
      </c>
      <c r="K71" s="7" t="n">
        <v>44891</v>
      </c>
      <c r="L71" s="7" t="inlineStr"/>
      <c r="M71" s="5" t="inlineStr">
        <is>
          <t>Yes</t>
        </is>
      </c>
      <c r="N71" s="5" t="inlineStr"/>
      <c r="O71" s="8" t="inlineStr">
        <is>
          <t>124000</t>
        </is>
      </c>
      <c r="P71" s="5" t="inlineStr">
        <is>
          <t>10</t>
        </is>
      </c>
      <c r="Q71" s="5" t="inlineStr">
        <is>
          <t>5</t>
        </is>
      </c>
      <c r="R71" s="5" t="inlineStr">
        <is>
          <t>4</t>
        </is>
      </c>
      <c r="S71" s="5" t="inlineStr">
        <is>
          <t>37</t>
        </is>
      </c>
      <c r="T71" s="5" t="inlineStr">
        <is>
          <t>9</t>
        </is>
      </c>
      <c r="U71" s="5" t="inlineStr">
        <is>
          <t>OK</t>
        </is>
      </c>
    </row>
    <row r="72">
      <c r="A72" s="5" t="inlineStr">
        <is>
          <t>E02011</t>
        </is>
      </c>
      <c r="B72" s="5" t="inlineStr">
        <is>
          <t>Male</t>
        </is>
      </c>
      <c r="C72" s="6" t="inlineStr">
        <is>
          <t>29</t>
        </is>
      </c>
      <c r="D72" s="5" t="inlineStr">
        <is>
          <t>Married</t>
        </is>
      </c>
      <c r="E72" s="5" t="inlineStr">
        <is>
          <t>Master</t>
        </is>
      </c>
      <c r="F72" s="5" t="inlineStr">
        <is>
          <t>Research &amp; Development</t>
        </is>
      </c>
      <c r="G72" s="5" t="inlineStr">
        <is>
          <t>Product Engineer</t>
        </is>
      </c>
      <c r="H72" s="5" t="inlineStr">
        <is>
          <t>3</t>
        </is>
      </c>
      <c r="I72" s="5" t="inlineStr">
        <is>
          <t>Delhi</t>
        </is>
      </c>
      <c r="J72" s="5" t="inlineStr">
        <is>
          <t>Full-Time</t>
        </is>
      </c>
      <c r="K72" s="7" t="n">
        <v>44752</v>
      </c>
      <c r="L72" s="7" t="inlineStr"/>
      <c r="M72" s="5" t="inlineStr">
        <is>
          <t>Yes</t>
        </is>
      </c>
      <c r="N72" s="5" t="inlineStr"/>
      <c r="O72" s="8" t="inlineStr">
        <is>
          <t>138000</t>
        </is>
      </c>
      <c r="P72" s="5" t="inlineStr">
        <is>
          <t>5</t>
        </is>
      </c>
      <c r="Q72" s="5" t="inlineStr">
        <is>
          <t>1</t>
        </is>
      </c>
      <c r="R72" s="5" t="inlineStr">
        <is>
          <t>8</t>
        </is>
      </c>
      <c r="S72" s="5" t="inlineStr">
        <is>
          <t>42</t>
        </is>
      </c>
      <c r="T72" s="5" t="inlineStr">
        <is>
          <t>9</t>
        </is>
      </c>
      <c r="U72" s="5" t="inlineStr">
        <is>
          <t>OK</t>
        </is>
      </c>
    </row>
    <row r="73">
      <c r="A73" s="5" t="inlineStr">
        <is>
          <t>E01048</t>
        </is>
      </c>
      <c r="B73" s="5" t="inlineStr">
        <is>
          <t>Female</t>
        </is>
      </c>
      <c r="C73" s="6" t="inlineStr">
        <is>
          <t>31</t>
        </is>
      </c>
      <c r="D73" s="5" t="inlineStr">
        <is>
          <t>Single</t>
        </is>
      </c>
      <c r="E73" s="5" t="inlineStr">
        <is>
          <t>Bachelor</t>
        </is>
      </c>
      <c r="F73" s="5" t="inlineStr">
        <is>
          <t>Customer Support</t>
        </is>
      </c>
      <c r="G73" s="5" t="inlineStr">
        <is>
          <t>Support Agent</t>
        </is>
      </c>
      <c r="H73" s="5" t="inlineStr">
        <is>
          <t>1</t>
        </is>
      </c>
      <c r="I73" s="5" t="inlineStr">
        <is>
          <t>Bengaluru</t>
        </is>
      </c>
      <c r="J73" s="5" t="inlineStr">
        <is>
          <t>Full-Time</t>
        </is>
      </c>
      <c r="K73" s="7" t="n">
        <v>44137</v>
      </c>
      <c r="L73" s="7" t="inlineStr"/>
      <c r="M73" s="5" t="inlineStr">
        <is>
          <t>Yes</t>
        </is>
      </c>
      <c r="N73" s="5" t="inlineStr"/>
      <c r="O73" s="8" t="inlineStr">
        <is>
          <t>65000</t>
        </is>
      </c>
      <c r="P73" s="5" t="inlineStr">
        <is>
          <t>0</t>
        </is>
      </c>
      <c r="Q73" s="5" t="inlineStr">
        <is>
          <t>4</t>
        </is>
      </c>
      <c r="R73" s="5" t="inlineStr">
        <is>
          <t>6</t>
        </is>
      </c>
      <c r="S73" s="5" t="inlineStr">
        <is>
          <t>62</t>
        </is>
      </c>
      <c r="T73" s="5" t="inlineStr">
        <is>
          <t>0</t>
        </is>
      </c>
      <c r="U73" s="5" t="inlineStr">
        <is>
          <t>OK</t>
        </is>
      </c>
    </row>
    <row r="74">
      <c r="A74" s="5" t="inlineStr">
        <is>
          <t>E00932</t>
        </is>
      </c>
      <c r="B74" s="5" t="inlineStr">
        <is>
          <t>Female</t>
        </is>
      </c>
      <c r="C74" s="6" t="inlineStr">
        <is>
          <t>29</t>
        </is>
      </c>
      <c r="D74" s="5" t="inlineStr">
        <is>
          <t>Single</t>
        </is>
      </c>
      <c r="E74" s="5" t="inlineStr">
        <is>
          <t>High School</t>
        </is>
      </c>
      <c r="F74" s="5" t="inlineStr">
        <is>
          <t>IT</t>
        </is>
      </c>
      <c r="G74" s="5" t="inlineStr">
        <is>
          <t>Data Analyst</t>
        </is>
      </c>
      <c r="H74" s="5" t="inlineStr">
        <is>
          <t>1</t>
        </is>
      </c>
      <c r="I74" s="5" t="inlineStr">
        <is>
          <t>Delhi</t>
        </is>
      </c>
      <c r="J74" s="5" t="inlineStr">
        <is>
          <t>Full-Time</t>
        </is>
      </c>
      <c r="K74" s="7" t="n">
        <v>44820</v>
      </c>
      <c r="L74" s="7" t="n">
        <v>44944</v>
      </c>
      <c r="M74" s="5" t="inlineStr">
        <is>
          <t>No</t>
        </is>
      </c>
      <c r="N74" s="5" t="inlineStr">
        <is>
          <t>Resigned</t>
        </is>
      </c>
      <c r="O74" s="8" t="inlineStr">
        <is>
          <t>147500</t>
        </is>
      </c>
      <c r="P74" s="5" t="inlineStr">
        <is>
          <t>0</t>
        </is>
      </c>
      <c r="Q74" s="5" t="inlineStr">
        <is>
          <t>3</t>
        </is>
      </c>
      <c r="R74" s="5" t="inlineStr">
        <is>
          <t>9</t>
        </is>
      </c>
      <c r="S74" s="5" t="inlineStr">
        <is>
          <t>4</t>
        </is>
      </c>
      <c r="T74" s="5" t="inlineStr">
        <is>
          <t>11</t>
        </is>
      </c>
      <c r="U74" s="5" t="inlineStr">
        <is>
          <t>OK</t>
        </is>
      </c>
    </row>
    <row r="75">
      <c r="A75" s="5" t="inlineStr">
        <is>
          <t>E00634</t>
        </is>
      </c>
      <c r="B75" s="5" t="inlineStr">
        <is>
          <t>Male</t>
        </is>
      </c>
      <c r="C75" s="6" t="inlineStr">
        <is>
          <t>28</t>
        </is>
      </c>
      <c r="D75" s="5" t="inlineStr">
        <is>
          <t>Married</t>
        </is>
      </c>
      <c r="E75" s="5" t="inlineStr">
        <is>
          <t>Diploma</t>
        </is>
      </c>
      <c r="F75" s="5" t="inlineStr">
        <is>
          <t>Sales</t>
        </is>
      </c>
      <c r="G75" s="5" t="inlineStr">
        <is>
          <t>Account Executive</t>
        </is>
      </c>
      <c r="H75" s="5" t="inlineStr">
        <is>
          <t>2</t>
        </is>
      </c>
      <c r="I75" s="5" t="inlineStr">
        <is>
          <t>Delhi</t>
        </is>
      </c>
      <c r="J75" s="5" t="inlineStr">
        <is>
          <t>Full-Time</t>
        </is>
      </c>
      <c r="K75" s="7" t="n">
        <v>43935</v>
      </c>
      <c r="L75" s="7" t="inlineStr"/>
      <c r="M75" s="5" t="inlineStr">
        <is>
          <t>Yes</t>
        </is>
      </c>
      <c r="N75" s="5" t="inlineStr"/>
      <c r="O75" s="8" t="inlineStr">
        <is>
          <t>98500</t>
        </is>
      </c>
      <c r="P75" s="5" t="inlineStr">
        <is>
          <t>10</t>
        </is>
      </c>
      <c r="Q75" s="5" t="inlineStr">
        <is>
          <t>3</t>
        </is>
      </c>
      <c r="R75" s="5" t="inlineStr">
        <is>
          <t>6</t>
        </is>
      </c>
      <c r="S75" s="5" t="inlineStr">
        <is>
          <t>69</t>
        </is>
      </c>
      <c r="T75" s="5" t="inlineStr">
        <is>
          <t>2</t>
        </is>
      </c>
      <c r="U75" s="5" t="inlineStr">
        <is>
          <t>OK</t>
        </is>
      </c>
    </row>
    <row r="76">
      <c r="A76" s="5" t="inlineStr">
        <is>
          <t>E00582</t>
        </is>
      </c>
      <c r="B76" s="5" t="inlineStr">
        <is>
          <t>Male</t>
        </is>
      </c>
      <c r="C76" s="6" t="inlineStr">
        <is>
          <t>38</t>
        </is>
      </c>
      <c r="D76" s="5" t="inlineStr">
        <is>
          <t>Divorced</t>
        </is>
      </c>
      <c r="E76" s="5" t="inlineStr">
        <is>
          <t>Master</t>
        </is>
      </c>
      <c r="F76" s="5" t="inlineStr">
        <is>
          <t>Research &amp; Development</t>
        </is>
      </c>
      <c r="G76" s="5" t="inlineStr">
        <is>
          <t>Research Scientist</t>
        </is>
      </c>
      <c r="H76" s="5" t="inlineStr">
        <is>
          <t>5</t>
        </is>
      </c>
      <c r="I76" s="5" t="inlineStr">
        <is>
          <t>Delhi</t>
        </is>
      </c>
      <c r="J76" s="5" t="inlineStr">
        <is>
          <t>Full-Time</t>
        </is>
      </c>
      <c r="K76" s="7" t="n">
        <v>45425</v>
      </c>
      <c r="L76" s="7" t="inlineStr"/>
      <c r="M76" s="5" t="inlineStr">
        <is>
          <t>Yes</t>
        </is>
      </c>
      <c r="N76" s="5" t="inlineStr"/>
      <c r="O76" s="8" t="inlineStr">
        <is>
          <t>238500</t>
        </is>
      </c>
      <c r="P76" s="5" t="inlineStr">
        <is>
          <t>0</t>
        </is>
      </c>
      <c r="Q76" s="5" t="inlineStr">
        <is>
          <t>5</t>
        </is>
      </c>
      <c r="R76" s="5" t="inlineStr">
        <is>
          <t>6</t>
        </is>
      </c>
      <c r="S76" s="5" t="inlineStr">
        <is>
          <t>19</t>
        </is>
      </c>
      <c r="T76" s="5" t="inlineStr">
        <is>
          <t>9</t>
        </is>
      </c>
      <c r="U76" s="5" t="inlineStr">
        <is>
          <t>OK</t>
        </is>
      </c>
    </row>
    <row r="77">
      <c r="A77" s="5" t="inlineStr">
        <is>
          <t>E02414</t>
        </is>
      </c>
      <c r="B77" s="5" t="inlineStr">
        <is>
          <t>Male</t>
        </is>
      </c>
      <c r="C77" s="6" t="inlineStr">
        <is>
          <t>41</t>
        </is>
      </c>
      <c r="D77" s="5" t="inlineStr">
        <is>
          <t>Single</t>
        </is>
      </c>
      <c r="E77" s="5" t="inlineStr">
        <is>
          <t>Master</t>
        </is>
      </c>
      <c r="F77" s="5" t="inlineStr">
        <is>
          <t>Finance</t>
        </is>
      </c>
      <c r="G77" s="5" t="inlineStr">
        <is>
          <t>Credit Analyst</t>
        </is>
      </c>
      <c r="H77" s="5" t="inlineStr">
        <is>
          <t>5</t>
        </is>
      </c>
      <c r="I77" s="5" t="inlineStr">
        <is>
          <t>Hyderabad</t>
        </is>
      </c>
      <c r="J77" s="5" t="inlineStr">
        <is>
          <t>Full-Time</t>
        </is>
      </c>
      <c r="K77" s="7" t="n">
        <v>45284</v>
      </c>
      <c r="L77" s="7" t="inlineStr"/>
      <c r="M77" s="5" t="inlineStr">
        <is>
          <t>Yes</t>
        </is>
      </c>
      <c r="N77" s="5" t="inlineStr"/>
      <c r="O77" s="8" t="inlineStr">
        <is>
          <t>153000</t>
        </is>
      </c>
      <c r="P77" s="5" t="inlineStr">
        <is>
          <t>10</t>
        </is>
      </c>
      <c r="Q77" s="5" t="inlineStr">
        <is>
          <t>2</t>
        </is>
      </c>
      <c r="R77" s="5" t="inlineStr">
        <is>
          <t>7</t>
        </is>
      </c>
      <c r="S77" s="5" t="inlineStr">
        <is>
          <t>24</t>
        </is>
      </c>
      <c r="T77" s="5" t="inlineStr">
        <is>
          <t>3</t>
        </is>
      </c>
      <c r="U77" s="5" t="inlineStr">
        <is>
          <t>OK</t>
        </is>
      </c>
    </row>
    <row r="78">
      <c r="A78" s="5" t="inlineStr">
        <is>
          <t>E00290</t>
        </is>
      </c>
      <c r="B78" s="5" t="inlineStr">
        <is>
          <t>Female</t>
        </is>
      </c>
      <c r="C78" s="6" t="inlineStr">
        <is>
          <t>31</t>
        </is>
      </c>
      <c r="D78" s="5" t="inlineStr">
        <is>
          <t>Married</t>
        </is>
      </c>
      <c r="E78" s="5" t="inlineStr">
        <is>
          <t>High School</t>
        </is>
      </c>
      <c r="F78" s="5" t="inlineStr">
        <is>
          <t>Finance</t>
        </is>
      </c>
      <c r="G78" s="5" t="inlineStr">
        <is>
          <t>Financial Analyst</t>
        </is>
      </c>
      <c r="H78" s="5" t="inlineStr">
        <is>
          <t>4</t>
        </is>
      </c>
      <c r="I78" s="5" t="inlineStr">
        <is>
          <t>Hyderabad</t>
        </is>
      </c>
      <c r="J78" s="5" t="inlineStr">
        <is>
          <t>Full-Time</t>
        </is>
      </c>
      <c r="K78" s="7" t="n">
        <v>45222</v>
      </c>
      <c r="L78" s="7" t="inlineStr"/>
      <c r="M78" s="5" t="inlineStr">
        <is>
          <t>Yes</t>
        </is>
      </c>
      <c r="N78" s="5" t="inlineStr"/>
      <c r="O78" s="8" t="inlineStr">
        <is>
          <t>149500</t>
        </is>
      </c>
      <c r="P78" s="5" t="inlineStr">
        <is>
          <t>0</t>
        </is>
      </c>
      <c r="Q78" s="5" t="inlineStr">
        <is>
          <t>2</t>
        </is>
      </c>
      <c r="R78" s="5" t="inlineStr">
        <is>
          <t>7</t>
        </is>
      </c>
      <c r="S78" s="5" t="inlineStr">
        <is>
          <t>26</t>
        </is>
      </c>
      <c r="T78" s="5" t="inlineStr">
        <is>
          <t>6</t>
        </is>
      </c>
      <c r="U78" s="5" t="inlineStr">
        <is>
          <t>OK</t>
        </is>
      </c>
    </row>
    <row r="79">
      <c r="A79" s="5" t="inlineStr">
        <is>
          <t>E00971</t>
        </is>
      </c>
      <c r="B79" s="5" t="inlineStr">
        <is>
          <t>Female</t>
        </is>
      </c>
      <c r="C79" s="6" t="inlineStr">
        <is>
          <t>39</t>
        </is>
      </c>
      <c r="D79" s="5" t="inlineStr">
        <is>
          <t>Single</t>
        </is>
      </c>
      <c r="E79" s="5" t="inlineStr">
        <is>
          <t>High School</t>
        </is>
      </c>
      <c r="F79" s="5" t="inlineStr">
        <is>
          <t>Sales</t>
        </is>
      </c>
      <c r="G79" s="5" t="inlineStr">
        <is>
          <t>Business Development</t>
        </is>
      </c>
      <c r="H79" s="5" t="inlineStr">
        <is>
          <t>4</t>
        </is>
      </c>
      <c r="I79" s="5" t="inlineStr">
        <is>
          <t>Remote</t>
        </is>
      </c>
      <c r="J79" s="5" t="inlineStr">
        <is>
          <t>Full-Time</t>
        </is>
      </c>
      <c r="K79" s="7" t="n">
        <v>44511</v>
      </c>
      <c r="L79" s="7" t="inlineStr"/>
      <c r="M79" s="5" t="inlineStr">
        <is>
          <t>Yes</t>
        </is>
      </c>
      <c r="N79" s="5" t="inlineStr"/>
      <c r="O79" s="8" t="inlineStr">
        <is>
          <t>91000</t>
        </is>
      </c>
      <c r="P79" s="5" t="inlineStr">
        <is>
          <t>0</t>
        </is>
      </c>
      <c r="Q79" s="5" t="inlineStr">
        <is>
          <t>4</t>
        </is>
      </c>
      <c r="R79" s="5" t="inlineStr">
        <is>
          <t>6</t>
        </is>
      </c>
      <c r="S79" s="5" t="inlineStr">
        <is>
          <t>50</t>
        </is>
      </c>
      <c r="T79" s="5" t="inlineStr">
        <is>
          <t>13</t>
        </is>
      </c>
      <c r="U79" s="5" t="inlineStr">
        <is>
          <t>OK</t>
        </is>
      </c>
    </row>
    <row r="80">
      <c r="A80" s="5" t="inlineStr">
        <is>
          <t>E01555</t>
        </is>
      </c>
      <c r="B80" s="5" t="inlineStr">
        <is>
          <t>Female</t>
        </is>
      </c>
      <c r="C80" s="6" t="inlineStr">
        <is>
          <t>33</t>
        </is>
      </c>
      <c r="D80" s="5" t="inlineStr">
        <is>
          <t>Married</t>
        </is>
      </c>
      <c r="E80" s="5" t="inlineStr">
        <is>
          <t>Diploma</t>
        </is>
      </c>
      <c r="F80" s="5" t="inlineStr">
        <is>
          <t>Human Resources</t>
        </is>
      </c>
      <c r="G80" s="5" t="inlineStr">
        <is>
          <t>HR Analyst</t>
        </is>
      </c>
      <c r="H80" s="5" t="inlineStr">
        <is>
          <t>3</t>
        </is>
      </c>
      <c r="I80" s="5" t="inlineStr">
        <is>
          <t>Hyderabad</t>
        </is>
      </c>
      <c r="J80" s="5" t="inlineStr">
        <is>
          <t>Full-Time</t>
        </is>
      </c>
      <c r="K80" s="7" t="n">
        <v>46006</v>
      </c>
      <c r="L80" s="7" t="inlineStr"/>
      <c r="M80" s="5" t="inlineStr">
        <is>
          <t>Yes</t>
        </is>
      </c>
      <c r="N80" s="5" t="inlineStr"/>
      <c r="O80" s="8" t="inlineStr">
        <is>
          <t>93500</t>
        </is>
      </c>
      <c r="P80" s="5" t="inlineStr">
        <is>
          <t>0</t>
        </is>
      </c>
      <c r="Q80" s="5" t="inlineStr">
        <is>
          <t>5</t>
        </is>
      </c>
      <c r="R80" s="5" t="inlineStr">
        <is>
          <t>9</t>
        </is>
      </c>
      <c r="S80" s="5" t="inlineStr">
        <is>
          <t>1</t>
        </is>
      </c>
      <c r="T80" s="5" t="inlineStr">
        <is>
          <t>2</t>
        </is>
      </c>
      <c r="U80" s="5" t="inlineStr">
        <is>
          <t>OK</t>
        </is>
      </c>
    </row>
    <row r="81">
      <c r="A81" s="5" t="inlineStr">
        <is>
          <t>E01938</t>
        </is>
      </c>
      <c r="B81" s="5" t="inlineStr">
        <is>
          <t>Male</t>
        </is>
      </c>
      <c r="C81" s="6" t="inlineStr">
        <is>
          <t>37</t>
        </is>
      </c>
      <c r="D81" s="5" t="inlineStr">
        <is>
          <t>Married</t>
        </is>
      </c>
      <c r="E81" s="5" t="inlineStr">
        <is>
          <t>High School</t>
        </is>
      </c>
      <c r="F81" s="5" t="inlineStr">
        <is>
          <t>Operations</t>
        </is>
      </c>
      <c r="G81" s="5" t="inlineStr">
        <is>
          <t>Logistics Coordinator</t>
        </is>
      </c>
      <c r="H81" s="5" t="inlineStr">
        <is>
          <t>4</t>
        </is>
      </c>
      <c r="I81" s="5" t="inlineStr">
        <is>
          <t>Bengaluru</t>
        </is>
      </c>
      <c r="J81" s="5" t="inlineStr">
        <is>
          <t>Full-Time</t>
        </is>
      </c>
      <c r="K81" s="7" t="n">
        <v>45616</v>
      </c>
      <c r="L81" s="7" t="inlineStr"/>
      <c r="M81" s="5" t="inlineStr">
        <is>
          <t>Yes</t>
        </is>
      </c>
      <c r="N81" s="5" t="inlineStr"/>
      <c r="O81" s="8" t="inlineStr">
        <is>
          <t>127000</t>
        </is>
      </c>
      <c r="P81" s="5" t="inlineStr">
        <is>
          <t>5</t>
        </is>
      </c>
      <c r="Q81" s="5" t="inlineStr">
        <is>
          <t>5</t>
        </is>
      </c>
      <c r="R81" s="5" t="inlineStr">
        <is>
          <t>6</t>
        </is>
      </c>
      <c r="S81" s="5" t="inlineStr">
        <is>
          <t>13</t>
        </is>
      </c>
      <c r="T81" s="5" t="inlineStr">
        <is>
          <t>0</t>
        </is>
      </c>
      <c r="U81" s="5" t="inlineStr">
        <is>
          <t>OK</t>
        </is>
      </c>
    </row>
    <row r="82">
      <c r="A82" s="5" t="inlineStr">
        <is>
          <t>E01097</t>
        </is>
      </c>
      <c r="B82" s="5" t="inlineStr">
        <is>
          <t>Male</t>
        </is>
      </c>
      <c r="C82" s="6" t="inlineStr">
        <is>
          <t>30</t>
        </is>
      </c>
      <c r="D82" s="5" t="inlineStr">
        <is>
          <t>Married</t>
        </is>
      </c>
      <c r="E82" s="5" t="inlineStr">
        <is>
          <t>Master</t>
        </is>
      </c>
      <c r="F82" s="5" t="inlineStr">
        <is>
          <t>IT</t>
        </is>
      </c>
      <c r="G82" s="5" t="inlineStr">
        <is>
          <t>DevOps Engineer</t>
        </is>
      </c>
      <c r="H82" s="5" t="inlineStr">
        <is>
          <t>1</t>
        </is>
      </c>
      <c r="I82" s="5" t="inlineStr">
        <is>
          <t>Bengaluru</t>
        </is>
      </c>
      <c r="J82" s="5" t="inlineStr">
        <is>
          <t>Full-Time</t>
        </is>
      </c>
      <c r="K82" s="7" t="n">
        <v>44360</v>
      </c>
      <c r="L82" s="7" t="inlineStr"/>
      <c r="M82" s="5" t="inlineStr">
        <is>
          <t>Yes</t>
        </is>
      </c>
      <c r="N82" s="5" t="inlineStr"/>
      <c r="O82" s="8" t="inlineStr">
        <is>
          <t>147500</t>
        </is>
      </c>
      <c r="P82" s="5" t="inlineStr">
        <is>
          <t>0</t>
        </is>
      </c>
      <c r="Q82" s="5" t="inlineStr">
        <is>
          <t>5</t>
        </is>
      </c>
      <c r="R82" s="5" t="inlineStr">
        <is>
          <t>2</t>
        </is>
      </c>
      <c r="S82" s="5" t="inlineStr">
        <is>
          <t>55</t>
        </is>
      </c>
      <c r="T82" s="5" t="inlineStr">
        <is>
          <t>0</t>
        </is>
      </c>
      <c r="U82" s="5" t="inlineStr">
        <is>
          <t>OK</t>
        </is>
      </c>
    </row>
    <row r="83">
      <c r="A83" s="5" t="inlineStr">
        <is>
          <t>E02181</t>
        </is>
      </c>
      <c r="B83" s="5" t="inlineStr">
        <is>
          <t>Female</t>
        </is>
      </c>
      <c r="C83" s="6" t="inlineStr">
        <is>
          <t>35</t>
        </is>
      </c>
      <c r="D83" s="5" t="inlineStr">
        <is>
          <t>Married</t>
        </is>
      </c>
      <c r="E83" s="5" t="inlineStr">
        <is>
          <t>PhD</t>
        </is>
      </c>
      <c r="F83" s="5" t="inlineStr">
        <is>
          <t>Sales</t>
        </is>
      </c>
      <c r="G83" s="5" t="inlineStr">
        <is>
          <t>Sales Executive</t>
        </is>
      </c>
      <c r="H83" s="5" t="inlineStr">
        <is>
          <t>3</t>
        </is>
      </c>
      <c r="I83" s="5" t="inlineStr">
        <is>
          <t>Remote</t>
        </is>
      </c>
      <c r="J83" s="5" t="inlineStr">
        <is>
          <t>Full-Time</t>
        </is>
      </c>
      <c r="K83" s="7" t="n">
        <v>44978</v>
      </c>
      <c r="L83" s="7" t="inlineStr"/>
      <c r="M83" s="5" t="inlineStr">
        <is>
          <t>Yes</t>
        </is>
      </c>
      <c r="N83" s="5" t="inlineStr"/>
      <c r="O83" s="8" t="inlineStr">
        <is>
          <t>109500</t>
        </is>
      </c>
      <c r="P83" s="5" t="inlineStr">
        <is>
          <t>0</t>
        </is>
      </c>
      <c r="Q83" s="5" t="inlineStr">
        <is>
          <t>4</t>
        </is>
      </c>
      <c r="R83" s="5" t="inlineStr">
        <is>
          <t>6</t>
        </is>
      </c>
      <c r="S83" s="5" t="inlineStr">
        <is>
          <t>34</t>
        </is>
      </c>
      <c r="T83" s="5" t="inlineStr">
        <is>
          <t>20</t>
        </is>
      </c>
      <c r="U83" s="5" t="inlineStr">
        <is>
          <t>OK</t>
        </is>
      </c>
    </row>
    <row r="84">
      <c r="A84" s="5" t="inlineStr">
        <is>
          <t>E01702</t>
        </is>
      </c>
      <c r="B84" s="5" t="inlineStr">
        <is>
          <t>Male</t>
        </is>
      </c>
      <c r="C84" s="6" t="inlineStr">
        <is>
          <t>37</t>
        </is>
      </c>
      <c r="D84" s="5" t="inlineStr">
        <is>
          <t>Married</t>
        </is>
      </c>
      <c r="E84" s="5" t="inlineStr">
        <is>
          <t>PhD</t>
        </is>
      </c>
      <c r="F84" s="5" t="inlineStr"/>
      <c r="G84" s="5" t="inlineStr">
        <is>
          <t>Content Writer</t>
        </is>
      </c>
      <c r="H84" s="5" t="inlineStr">
        <is>
          <t>3</t>
        </is>
      </c>
      <c r="I84" s="5" t="inlineStr">
        <is>
          <t>Hyderabad</t>
        </is>
      </c>
      <c r="J84" s="5" t="inlineStr">
        <is>
          <t>Full-Time</t>
        </is>
      </c>
      <c r="K84" s="7" t="n">
        <v>44574</v>
      </c>
      <c r="L84" s="7" t="inlineStr"/>
      <c r="M84" s="5" t="inlineStr">
        <is>
          <t>Yes</t>
        </is>
      </c>
      <c r="N84" s="5" t="inlineStr"/>
      <c r="O84" s="8" t="inlineStr">
        <is>
          <t>71000</t>
        </is>
      </c>
      <c r="P84" s="5" t="inlineStr">
        <is>
          <t>20</t>
        </is>
      </c>
      <c r="Q84" s="5" t="inlineStr">
        <is>
          <t>3</t>
        </is>
      </c>
      <c r="R84" s="5" t="inlineStr">
        <is>
          <t>6</t>
        </is>
      </c>
      <c r="S84" s="5" t="inlineStr">
        <is>
          <t>48</t>
        </is>
      </c>
      <c r="T84" s="5" t="inlineStr">
        <is>
          <t>4</t>
        </is>
      </c>
      <c r="U84" s="5" t="inlineStr">
        <is>
          <t>Blank department</t>
        </is>
      </c>
    </row>
    <row r="85">
      <c r="A85" s="5" t="inlineStr">
        <is>
          <t>E00690</t>
        </is>
      </c>
      <c r="B85" s="5" t="inlineStr">
        <is>
          <t>Female</t>
        </is>
      </c>
      <c r="C85" s="6" t="inlineStr">
        <is>
          <t>29</t>
        </is>
      </c>
      <c r="D85" s="5" t="inlineStr">
        <is>
          <t>Married</t>
        </is>
      </c>
      <c r="E85" s="5" t="inlineStr">
        <is>
          <t>Diploma</t>
        </is>
      </c>
      <c r="F85" s="5" t="inlineStr">
        <is>
          <t>Operations</t>
        </is>
      </c>
      <c r="G85" s="5" t="inlineStr">
        <is>
          <t>Quality Analyst</t>
        </is>
      </c>
      <c r="H85" s="5" t="inlineStr">
        <is>
          <t>2</t>
        </is>
      </c>
      <c r="I85" s="5" t="inlineStr">
        <is>
          <t>Remote</t>
        </is>
      </c>
      <c r="J85" s="5" t="inlineStr">
        <is>
          <t>Full-Time</t>
        </is>
      </c>
      <c r="K85" s="7" t="n">
        <v>43846</v>
      </c>
      <c r="L85" s="7" t="inlineStr"/>
      <c r="M85" s="5" t="inlineStr">
        <is>
          <t>Yes</t>
        </is>
      </c>
      <c r="N85" s="5" t="inlineStr"/>
      <c r="O85" s="8" t="inlineStr">
        <is>
          <t>110000</t>
        </is>
      </c>
      <c r="P85" s="5" t="inlineStr">
        <is>
          <t>5</t>
        </is>
      </c>
      <c r="Q85" s="5" t="inlineStr">
        <is>
          <t>2</t>
        </is>
      </c>
      <c r="R85" s="5" t="inlineStr">
        <is>
          <t>7</t>
        </is>
      </c>
      <c r="S85" s="5" t="inlineStr">
        <is>
          <t>72</t>
        </is>
      </c>
      <c r="T85" s="5" t="inlineStr">
        <is>
          <t>0</t>
        </is>
      </c>
      <c r="U85" s="5" t="inlineStr">
        <is>
          <t>OK</t>
        </is>
      </c>
    </row>
    <row r="86">
      <c r="A86" s="5" t="inlineStr">
        <is>
          <t>E02904</t>
        </is>
      </c>
      <c r="B86" s="5" t="inlineStr">
        <is>
          <t>Female</t>
        </is>
      </c>
      <c r="C86" s="6" t="inlineStr">
        <is>
          <t>30</t>
        </is>
      </c>
      <c r="D86" s="5" t="inlineStr">
        <is>
          <t>Married</t>
        </is>
      </c>
      <c r="E86" s="5" t="inlineStr">
        <is>
          <t>Master</t>
        </is>
      </c>
      <c r="F86" s="5" t="inlineStr">
        <is>
          <t>Research &amp; Development</t>
        </is>
      </c>
      <c r="G86" s="5" t="inlineStr">
        <is>
          <t>Research Scientist</t>
        </is>
      </c>
      <c r="H86" s="5" t="inlineStr">
        <is>
          <t>3</t>
        </is>
      </c>
      <c r="I86" s="5" t="inlineStr">
        <is>
          <t>Hyderabad</t>
        </is>
      </c>
      <c r="J86" s="5" t="inlineStr">
        <is>
          <t>Full-Time</t>
        </is>
      </c>
      <c r="K86" s="7" t="n">
        <v>45244</v>
      </c>
      <c r="L86" s="7" t="n">
        <v>45338</v>
      </c>
      <c r="M86" s="5" t="inlineStr">
        <is>
          <t>No</t>
        </is>
      </c>
      <c r="N86" s="5" t="inlineStr">
        <is>
          <t>Relocation</t>
        </is>
      </c>
      <c r="O86" s="8" t="inlineStr">
        <is>
          <t>122000</t>
        </is>
      </c>
      <c r="P86" s="5" t="inlineStr">
        <is>
          <t>0</t>
        </is>
      </c>
      <c r="Q86" s="5" t="inlineStr">
        <is>
          <t>4</t>
        </is>
      </c>
      <c r="R86" s="5" t="inlineStr">
        <is>
          <t>2</t>
        </is>
      </c>
      <c r="S86" s="5" t="inlineStr">
        <is>
          <t>3</t>
        </is>
      </c>
      <c r="T86" s="5" t="inlineStr">
        <is>
          <t>0</t>
        </is>
      </c>
      <c r="U86" s="5" t="inlineStr">
        <is>
          <t>OK</t>
        </is>
      </c>
    </row>
    <row r="87">
      <c r="A87" s="5" t="inlineStr">
        <is>
          <t>E01828</t>
        </is>
      </c>
      <c r="B87" s="5" t="inlineStr">
        <is>
          <t>Female</t>
        </is>
      </c>
      <c r="C87" s="6" t="inlineStr">
        <is>
          <t>30</t>
        </is>
      </c>
      <c r="D87" s="5" t="inlineStr">
        <is>
          <t>Married</t>
        </is>
      </c>
      <c r="E87" s="5" t="inlineStr">
        <is>
          <t>Master</t>
        </is>
      </c>
      <c r="F87" s="5" t="inlineStr">
        <is>
          <t>Human Resources</t>
        </is>
      </c>
      <c r="G87" s="5" t="inlineStr">
        <is>
          <t>Recruiter</t>
        </is>
      </c>
      <c r="H87" s="5" t="inlineStr">
        <is>
          <t>4</t>
        </is>
      </c>
      <c r="I87" s="5" t="inlineStr">
        <is>
          <t>Remote</t>
        </is>
      </c>
      <c r="J87" s="5" t="inlineStr">
        <is>
          <t>Full-Time</t>
        </is>
      </c>
      <c r="K87" s="7" t="n">
        <v>45563</v>
      </c>
      <c r="L87" s="7" t="inlineStr"/>
      <c r="M87" s="5" t="inlineStr">
        <is>
          <t>Yes</t>
        </is>
      </c>
      <c r="N87" s="5" t="inlineStr"/>
      <c r="O87" s="8" t="inlineStr">
        <is>
          <t>104500</t>
        </is>
      </c>
      <c r="P87" s="5" t="inlineStr">
        <is>
          <t>0</t>
        </is>
      </c>
      <c r="Q87" s="5" t="inlineStr">
        <is>
          <t>3</t>
        </is>
      </c>
      <c r="R87" s="5" t="inlineStr">
        <is>
          <t>6</t>
        </is>
      </c>
      <c r="S87" s="5" t="inlineStr">
        <is>
          <t>15</t>
        </is>
      </c>
      <c r="T87" s="5" t="inlineStr">
        <is>
          <t>0</t>
        </is>
      </c>
      <c r="U87" s="5" t="inlineStr">
        <is>
          <t>OK</t>
        </is>
      </c>
    </row>
    <row r="88">
      <c r="A88" s="5" t="inlineStr">
        <is>
          <t>E00709</t>
        </is>
      </c>
      <c r="B88" s="5" t="inlineStr">
        <is>
          <t>Female</t>
        </is>
      </c>
      <c r="C88" s="6" t="inlineStr">
        <is>
          <t>34</t>
        </is>
      </c>
      <c r="D88" s="5" t="inlineStr">
        <is>
          <t>Single</t>
        </is>
      </c>
      <c r="E88" s="5" t="inlineStr">
        <is>
          <t>Diploma</t>
        </is>
      </c>
      <c r="F88" s="5" t="inlineStr">
        <is>
          <t>Operations</t>
        </is>
      </c>
      <c r="G88" s="5" t="inlineStr">
        <is>
          <t>Logistics Coordinator</t>
        </is>
      </c>
      <c r="H88" s="5" t="inlineStr">
        <is>
          <t>3</t>
        </is>
      </c>
      <c r="I88" s="5" t="inlineStr">
        <is>
          <t>Hyderabad</t>
        </is>
      </c>
      <c r="J88" s="5" t="inlineStr">
        <is>
          <t>Full-Time</t>
        </is>
      </c>
      <c r="K88" s="7" t="n">
        <v>45274</v>
      </c>
      <c r="L88" s="7" t="inlineStr"/>
      <c r="M88" s="5" t="inlineStr">
        <is>
          <t>Yes</t>
        </is>
      </c>
      <c r="N88" s="5" t="inlineStr"/>
      <c r="O88" s="8" t="inlineStr">
        <is>
          <t>81500</t>
        </is>
      </c>
      <c r="P88" s="5" t="inlineStr">
        <is>
          <t>0</t>
        </is>
      </c>
      <c r="Q88" s="5" t="inlineStr">
        <is>
          <t>5</t>
        </is>
      </c>
      <c r="R88" s="5" t="inlineStr">
        <is>
          <t>6</t>
        </is>
      </c>
      <c r="S88" s="5" t="inlineStr">
        <is>
          <t>24</t>
        </is>
      </c>
      <c r="T88" s="5" t="inlineStr">
        <is>
          <t>7</t>
        </is>
      </c>
      <c r="U88" s="5" t="inlineStr">
        <is>
          <t>OK</t>
        </is>
      </c>
    </row>
    <row r="89">
      <c r="A89" s="5" t="inlineStr">
        <is>
          <t>E02232</t>
        </is>
      </c>
      <c r="B89" s="5" t="inlineStr">
        <is>
          <t>Male</t>
        </is>
      </c>
      <c r="C89" s="6" t="inlineStr">
        <is>
          <t>31</t>
        </is>
      </c>
      <c r="D89" s="5" t="inlineStr">
        <is>
          <t>Married</t>
        </is>
      </c>
      <c r="E89" s="5" t="inlineStr">
        <is>
          <t>High School</t>
        </is>
      </c>
      <c r="F89" s="5" t="inlineStr">
        <is>
          <t>IT</t>
        </is>
      </c>
      <c r="G89" s="5" t="inlineStr">
        <is>
          <t>IT Support</t>
        </is>
      </c>
      <c r="H89" s="5" t="inlineStr">
        <is>
          <t>5</t>
        </is>
      </c>
      <c r="I89" s="5" t="inlineStr">
        <is>
          <t>Mumbai</t>
        </is>
      </c>
      <c r="J89" s="5" t="inlineStr">
        <is>
          <t>Full-Time</t>
        </is>
      </c>
      <c r="K89" s="7" t="n">
        <v>45463</v>
      </c>
      <c r="L89" s="7" t="inlineStr"/>
      <c r="M89" s="5" t="inlineStr">
        <is>
          <t>Yes</t>
        </is>
      </c>
      <c r="N89" s="5" t="inlineStr"/>
      <c r="O89" s="8" t="inlineStr">
        <is>
          <t>172000</t>
        </is>
      </c>
      <c r="P89" s="5" t="inlineStr">
        <is>
          <t>0</t>
        </is>
      </c>
      <c r="Q89" s="5" t="inlineStr">
        <is>
          <t>3</t>
        </is>
      </c>
      <c r="R89" s="5" t="inlineStr">
        <is>
          <t>4</t>
        </is>
      </c>
      <c r="S89" s="5" t="inlineStr">
        <is>
          <t>18</t>
        </is>
      </c>
      <c r="T89" s="5" t="inlineStr">
        <is>
          <t>0</t>
        </is>
      </c>
      <c r="U89" s="5" t="inlineStr">
        <is>
          <t>OK</t>
        </is>
      </c>
    </row>
    <row r="90">
      <c r="A90" s="5" t="inlineStr">
        <is>
          <t>E01610</t>
        </is>
      </c>
      <c r="B90" s="5" t="inlineStr">
        <is>
          <t>Male</t>
        </is>
      </c>
      <c r="C90" s="6" t="inlineStr">
        <is>
          <t>31</t>
        </is>
      </c>
      <c r="D90" s="5" t="inlineStr">
        <is>
          <t>Married</t>
        </is>
      </c>
      <c r="E90" s="5" t="inlineStr">
        <is>
          <t>Master</t>
        </is>
      </c>
      <c r="F90" s="5" t="inlineStr">
        <is>
          <t>Finance</t>
        </is>
      </c>
      <c r="G90" s="5" t="inlineStr">
        <is>
          <t>Financial Analyst</t>
        </is>
      </c>
      <c r="H90" s="5" t="inlineStr">
        <is>
          <t>4</t>
        </is>
      </c>
      <c r="I90" s="5" t="inlineStr">
        <is>
          <t>Mumbai</t>
        </is>
      </c>
      <c r="J90" s="5" t="inlineStr">
        <is>
          <t>Full-Time</t>
        </is>
      </c>
      <c r="K90" s="7" t="n">
        <v>44538</v>
      </c>
      <c r="L90" s="7" t="inlineStr"/>
      <c r="M90" s="5" t="inlineStr">
        <is>
          <t>Yes</t>
        </is>
      </c>
      <c r="N90" s="5" t="inlineStr"/>
      <c r="O90" s="8" t="inlineStr">
        <is>
          <t>104500</t>
        </is>
      </c>
      <c r="P90" s="5" t="inlineStr">
        <is>
          <t>5</t>
        </is>
      </c>
      <c r="Q90" s="5" t="inlineStr">
        <is>
          <t>5</t>
        </is>
      </c>
      <c r="R90" s="5" t="inlineStr">
        <is>
          <t>6</t>
        </is>
      </c>
      <c r="S90" s="5" t="inlineStr">
        <is>
          <t>49</t>
        </is>
      </c>
      <c r="T90" s="5" t="inlineStr">
        <is>
          <t>6</t>
        </is>
      </c>
      <c r="U90" s="5" t="inlineStr">
        <is>
          <t>OK</t>
        </is>
      </c>
    </row>
    <row r="91">
      <c r="A91" s="5" t="inlineStr">
        <is>
          <t>E00467</t>
        </is>
      </c>
      <c r="B91" s="5" t="inlineStr">
        <is>
          <t>Male</t>
        </is>
      </c>
      <c r="C91" s="6" t="inlineStr">
        <is>
          <t>30</t>
        </is>
      </c>
      <c r="D91" s="5" t="inlineStr">
        <is>
          <t>Married</t>
        </is>
      </c>
      <c r="E91" s="5" t="inlineStr">
        <is>
          <t>Bachelor</t>
        </is>
      </c>
      <c r="F91" s="5" t="inlineStr">
        <is>
          <t>IT</t>
        </is>
      </c>
      <c r="G91" s="5" t="inlineStr">
        <is>
          <t>IT Support</t>
        </is>
      </c>
      <c r="H91" s="5" t="inlineStr">
        <is>
          <t>4</t>
        </is>
      </c>
      <c r="I91" s="5" t="inlineStr">
        <is>
          <t>Bengaluru</t>
        </is>
      </c>
      <c r="J91" s="5" t="inlineStr">
        <is>
          <t>Full-Time</t>
        </is>
      </c>
      <c r="K91" s="7" t="n">
        <v>44647</v>
      </c>
      <c r="L91" s="7" t="inlineStr"/>
      <c r="M91" s="5" t="inlineStr">
        <is>
          <t>Yes</t>
        </is>
      </c>
      <c r="N91" s="5" t="inlineStr"/>
      <c r="O91" s="8" t="inlineStr">
        <is>
          <t>159000</t>
        </is>
      </c>
      <c r="P91" s="5" t="inlineStr">
        <is>
          <t>5</t>
        </is>
      </c>
      <c r="Q91" s="5" t="inlineStr">
        <is>
          <t>4</t>
        </is>
      </c>
      <c r="R91" s="5" t="inlineStr">
        <is>
          <t>7</t>
        </is>
      </c>
      <c r="S91" s="5" t="inlineStr">
        <is>
          <t>45</t>
        </is>
      </c>
      <c r="T91" s="5" t="inlineStr">
        <is>
          <t>13</t>
        </is>
      </c>
      <c r="U91" s="5" t="inlineStr">
        <is>
          <t>OK</t>
        </is>
      </c>
    </row>
    <row r="92">
      <c r="A92" s="5" t="inlineStr">
        <is>
          <t>E02014</t>
        </is>
      </c>
      <c r="B92" s="5" t="inlineStr">
        <is>
          <t>Male</t>
        </is>
      </c>
      <c r="C92" s="6" t="inlineStr">
        <is>
          <t>38</t>
        </is>
      </c>
      <c r="D92" s="5" t="inlineStr">
        <is>
          <t>Married</t>
        </is>
      </c>
      <c r="E92" s="5" t="inlineStr">
        <is>
          <t>Master</t>
        </is>
      </c>
      <c r="F92" s="5" t="inlineStr">
        <is>
          <t>IT</t>
        </is>
      </c>
      <c r="G92" s="5" t="inlineStr">
        <is>
          <t>DevOps Engineer</t>
        </is>
      </c>
      <c r="H92" s="5" t="inlineStr">
        <is>
          <t>3</t>
        </is>
      </c>
      <c r="I92" s="5" t="inlineStr">
        <is>
          <t>Remote</t>
        </is>
      </c>
      <c r="J92" s="5" t="inlineStr">
        <is>
          <t>Full-Time</t>
        </is>
      </c>
      <c r="K92" s="7" t="n">
        <v>45785</v>
      </c>
      <c r="L92" s="7" t="inlineStr"/>
      <c r="M92" s="5" t="inlineStr">
        <is>
          <t>Yes</t>
        </is>
      </c>
      <c r="N92" s="5" t="inlineStr"/>
      <c r="O92" s="8" t="inlineStr">
        <is>
          <t>124000</t>
        </is>
      </c>
      <c r="P92" s="5" t="inlineStr">
        <is>
          <t>5</t>
        </is>
      </c>
      <c r="Q92" s="5" t="inlineStr">
        <is>
          <t>5</t>
        </is>
      </c>
      <c r="R92" s="5" t="inlineStr">
        <is>
          <t>6</t>
        </is>
      </c>
      <c r="S92" s="5" t="inlineStr">
        <is>
          <t>7</t>
        </is>
      </c>
      <c r="T92" s="5" t="inlineStr">
        <is>
          <t>9</t>
        </is>
      </c>
      <c r="U92" s="5" t="inlineStr">
        <is>
          <t>OK</t>
        </is>
      </c>
    </row>
    <row r="93">
      <c r="A93" s="5" t="inlineStr">
        <is>
          <t>E01835</t>
        </is>
      </c>
      <c r="B93" s="5" t="inlineStr">
        <is>
          <t>Male</t>
        </is>
      </c>
      <c r="C93" s="6" t="inlineStr">
        <is>
          <t>35</t>
        </is>
      </c>
      <c r="D93" s="5" t="inlineStr">
        <is>
          <t>Single</t>
        </is>
      </c>
      <c r="E93" s="5" t="inlineStr">
        <is>
          <t>High School</t>
        </is>
      </c>
      <c r="F93" s="5" t="inlineStr">
        <is>
          <t>Marketing</t>
        </is>
      </c>
      <c r="G93" s="5" t="inlineStr">
        <is>
          <t>SEO Specialist</t>
        </is>
      </c>
      <c r="H93" s="5" t="inlineStr">
        <is>
          <t>4</t>
        </is>
      </c>
      <c r="I93" s="5" t="inlineStr">
        <is>
          <t>Bengaluru</t>
        </is>
      </c>
      <c r="J93" s="5" t="inlineStr">
        <is>
          <t>Full-Time</t>
        </is>
      </c>
      <c r="K93" s="7" t="n">
        <v>44857</v>
      </c>
      <c r="L93" s="7" t="inlineStr"/>
      <c r="M93" s="5" t="inlineStr">
        <is>
          <t>Yes</t>
        </is>
      </c>
      <c r="N93" s="5" t="inlineStr"/>
      <c r="O93" s="8" t="inlineStr">
        <is>
          <t>95500</t>
        </is>
      </c>
      <c r="P93" s="5" t="inlineStr">
        <is>
          <t>15</t>
        </is>
      </c>
      <c r="Q93" s="5" t="inlineStr">
        <is>
          <t>5</t>
        </is>
      </c>
      <c r="R93" s="5" t="inlineStr">
        <is>
          <t>5</t>
        </is>
      </c>
      <c r="S93" s="5" t="inlineStr">
        <is>
          <t>38</t>
        </is>
      </c>
      <c r="T93" s="5" t="inlineStr">
        <is>
          <t>4</t>
        </is>
      </c>
      <c r="U93" s="5" t="inlineStr">
        <is>
          <t>OK</t>
        </is>
      </c>
    </row>
    <row r="94">
      <c r="A94" s="5" t="inlineStr">
        <is>
          <t>E02830</t>
        </is>
      </c>
      <c r="B94" s="5" t="inlineStr">
        <is>
          <t>Female</t>
        </is>
      </c>
      <c r="C94" s="6" t="inlineStr">
        <is>
          <t>40</t>
        </is>
      </c>
      <c r="D94" s="5" t="inlineStr">
        <is>
          <t>Married</t>
        </is>
      </c>
      <c r="E94" s="5" t="inlineStr">
        <is>
          <t>Master</t>
        </is>
      </c>
      <c r="F94" s="5" t="inlineStr">
        <is>
          <t>IT</t>
        </is>
      </c>
      <c r="G94" s="5" t="inlineStr">
        <is>
          <t>Data Analyst</t>
        </is>
      </c>
      <c r="H94" s="5" t="inlineStr">
        <is>
          <t>7</t>
        </is>
      </c>
      <c r="I94" s="5" t="inlineStr">
        <is>
          <t>Bengaluru</t>
        </is>
      </c>
      <c r="J94" s="5" t="inlineStr">
        <is>
          <t>Full-Time</t>
        </is>
      </c>
      <c r="K94" s="7" t="n">
        <v>44830</v>
      </c>
      <c r="L94" s="7" t="inlineStr"/>
      <c r="M94" s="5" t="inlineStr">
        <is>
          <t>Yes</t>
        </is>
      </c>
      <c r="N94" s="5" t="inlineStr"/>
      <c r="O94" s="8" t="inlineStr">
        <is>
          <t>208000</t>
        </is>
      </c>
      <c r="P94" s="5" t="inlineStr">
        <is>
          <t>20</t>
        </is>
      </c>
      <c r="Q94" s="5" t="inlineStr">
        <is>
          <t>5</t>
        </is>
      </c>
      <c r="R94" s="5" t="inlineStr">
        <is>
          <t>3</t>
        </is>
      </c>
      <c r="S94" s="5" t="inlineStr">
        <is>
          <t>39</t>
        </is>
      </c>
      <c r="T94" s="5" t="inlineStr">
        <is>
          <t>0</t>
        </is>
      </c>
      <c r="U94" s="5" t="inlineStr">
        <is>
          <t>OK</t>
        </is>
      </c>
    </row>
    <row r="95">
      <c r="A95" s="5" t="inlineStr">
        <is>
          <t>E01668</t>
        </is>
      </c>
      <c r="B95" s="5" t="inlineStr">
        <is>
          <t>Male</t>
        </is>
      </c>
      <c r="C95" s="6" t="inlineStr">
        <is>
          <t>40</t>
        </is>
      </c>
      <c r="D95" s="5" t="inlineStr">
        <is>
          <t>Married</t>
        </is>
      </c>
      <c r="E95" s="5" t="inlineStr">
        <is>
          <t>Bachelor</t>
        </is>
      </c>
      <c r="F95" s="5" t="inlineStr">
        <is>
          <t>Human Resources</t>
        </is>
      </c>
      <c r="G95" s="5" t="inlineStr">
        <is>
          <t>Recruiter</t>
        </is>
      </c>
      <c r="H95" s="5" t="inlineStr">
        <is>
          <t>6</t>
        </is>
      </c>
      <c r="I95" s="5" t="inlineStr">
        <is>
          <t>Mumbai</t>
        </is>
      </c>
      <c r="J95" s="5" t="inlineStr">
        <is>
          <t>Full-Time</t>
        </is>
      </c>
      <c r="K95" s="7" t="n">
        <v>44391</v>
      </c>
      <c r="L95" s="7" t="inlineStr"/>
      <c r="M95" s="5" t="inlineStr">
        <is>
          <t>Yes</t>
        </is>
      </c>
      <c r="N95" s="5" t="inlineStr"/>
      <c r="O95" s="8" t="inlineStr">
        <is>
          <t>164500</t>
        </is>
      </c>
      <c r="P95" s="5" t="inlineStr">
        <is>
          <t>10</t>
        </is>
      </c>
      <c r="Q95" s="5" t="inlineStr">
        <is>
          <t>4</t>
        </is>
      </c>
      <c r="R95" s="5" t="inlineStr">
        <is>
          <t>10</t>
        </is>
      </c>
      <c r="S95" s="5" t="inlineStr">
        <is>
          <t>54</t>
        </is>
      </c>
      <c r="T95" s="5" t="inlineStr">
        <is>
          <t>13</t>
        </is>
      </c>
      <c r="U95" s="5" t="inlineStr">
        <is>
          <t>OK</t>
        </is>
      </c>
    </row>
    <row r="96">
      <c r="A96" s="5" t="inlineStr">
        <is>
          <t>E01586</t>
        </is>
      </c>
      <c r="B96" s="5" t="inlineStr">
        <is>
          <t>Female</t>
        </is>
      </c>
      <c r="C96" s="6" t="inlineStr">
        <is>
          <t>37</t>
        </is>
      </c>
      <c r="D96" s="5" t="inlineStr">
        <is>
          <t>Married</t>
        </is>
      </c>
      <c r="E96" s="5" t="inlineStr">
        <is>
          <t>High School</t>
        </is>
      </c>
      <c r="F96" s="5" t="inlineStr">
        <is>
          <t>Sales</t>
        </is>
      </c>
      <c r="G96" s="5" t="inlineStr">
        <is>
          <t>Sales Executive</t>
        </is>
      </c>
      <c r="H96" s="5" t="inlineStr">
        <is>
          <t>3</t>
        </is>
      </c>
      <c r="I96" s="5" t="inlineStr">
        <is>
          <t>Delhi</t>
        </is>
      </c>
      <c r="J96" s="5" t="inlineStr">
        <is>
          <t>Full-Time</t>
        </is>
      </c>
      <c r="K96" s="7" t="n">
        <v>45332</v>
      </c>
      <c r="L96" s="7" t="inlineStr"/>
      <c r="M96" s="5" t="inlineStr">
        <is>
          <t>Yes</t>
        </is>
      </c>
      <c r="N96" s="5" t="inlineStr"/>
      <c r="O96" s="8" t="inlineStr">
        <is>
          <t>112000</t>
        </is>
      </c>
      <c r="P96" s="5" t="inlineStr">
        <is>
          <t>5</t>
        </is>
      </c>
      <c r="Q96" s="5" t="inlineStr">
        <is>
          <t>4</t>
        </is>
      </c>
      <c r="R96" s="5" t="inlineStr">
        <is>
          <t>4</t>
        </is>
      </c>
      <c r="S96" s="5" t="inlineStr">
        <is>
          <t>23</t>
        </is>
      </c>
      <c r="T96" s="5" t="inlineStr">
        <is>
          <t>1</t>
        </is>
      </c>
      <c r="U96" s="5" t="inlineStr">
        <is>
          <t>OK</t>
        </is>
      </c>
    </row>
    <row r="97">
      <c r="A97" s="5" t="inlineStr">
        <is>
          <t>E01470</t>
        </is>
      </c>
      <c r="B97" s="5" t="inlineStr">
        <is>
          <t>Male</t>
        </is>
      </c>
      <c r="C97" s="6" t="inlineStr">
        <is>
          <t>25</t>
        </is>
      </c>
      <c r="D97" s="5" t="inlineStr">
        <is>
          <t>Single</t>
        </is>
      </c>
      <c r="E97" s="5" t="inlineStr">
        <is>
          <t>PhD</t>
        </is>
      </c>
      <c r="F97" s="5" t="inlineStr">
        <is>
          <t>Customer Support</t>
        </is>
      </c>
      <c r="G97" s="5" t="inlineStr">
        <is>
          <t>Support Agent</t>
        </is>
      </c>
      <c r="H97" s="5" t="inlineStr">
        <is>
          <t>2</t>
        </is>
      </c>
      <c r="I97" s="5" t="inlineStr">
        <is>
          <t>Mumbai</t>
        </is>
      </c>
      <c r="J97" s="5" t="inlineStr">
        <is>
          <t>Full-Time</t>
        </is>
      </c>
      <c r="K97" s="7" t="n">
        <v>44303</v>
      </c>
      <c r="L97" s="7" t="n">
        <v>44444</v>
      </c>
      <c r="M97" s="5" t="inlineStr">
        <is>
          <t>No</t>
        </is>
      </c>
      <c r="N97" s="5" t="inlineStr">
        <is>
          <t>Resigned</t>
        </is>
      </c>
      <c r="O97" s="8" t="inlineStr">
        <is>
          <t>60500</t>
        </is>
      </c>
      <c r="P97" s="5" t="inlineStr">
        <is>
          <t>0</t>
        </is>
      </c>
      <c r="Q97" s="5" t="inlineStr">
        <is>
          <t>3</t>
        </is>
      </c>
      <c r="R97" s="5" t="inlineStr">
        <is>
          <t>7</t>
        </is>
      </c>
      <c r="S97" s="5" t="inlineStr">
        <is>
          <t>4</t>
        </is>
      </c>
      <c r="T97" s="5" t="inlineStr">
        <is>
          <t>7</t>
        </is>
      </c>
      <c r="U97" s="5" t="inlineStr">
        <is>
          <t>OK</t>
        </is>
      </c>
    </row>
    <row r="98">
      <c r="A98" s="5" t="inlineStr">
        <is>
          <t>E00323</t>
        </is>
      </c>
      <c r="B98" s="5" t="inlineStr">
        <is>
          <t>Male</t>
        </is>
      </c>
      <c r="C98" s="6" t="inlineStr">
        <is>
          <t>31</t>
        </is>
      </c>
      <c r="D98" s="5" t="inlineStr">
        <is>
          <t>Married</t>
        </is>
      </c>
      <c r="E98" s="5" t="inlineStr">
        <is>
          <t>Master</t>
        </is>
      </c>
      <c r="F98" s="5" t="inlineStr">
        <is>
          <t>Marketing</t>
        </is>
      </c>
      <c r="G98" s="5" t="inlineStr">
        <is>
          <t>Content Writer</t>
        </is>
      </c>
      <c r="H98" s="5" t="inlineStr">
        <is>
          <t>1</t>
        </is>
      </c>
      <c r="I98" s="5" t="inlineStr">
        <is>
          <t>Delhi</t>
        </is>
      </c>
      <c r="J98" s="5" t="inlineStr">
        <is>
          <t>Part-Time</t>
        </is>
      </c>
      <c r="K98" s="7" t="n">
        <v>44499</v>
      </c>
      <c r="L98" s="7" t="inlineStr"/>
      <c r="M98" s="5" t="inlineStr">
        <is>
          <t>Yes</t>
        </is>
      </c>
      <c r="N98" s="5" t="inlineStr"/>
      <c r="O98" s="8" t="inlineStr">
        <is>
          <t>89500</t>
        </is>
      </c>
      <c r="P98" s="5" t="inlineStr">
        <is>
          <t>0</t>
        </is>
      </c>
      <c r="Q98" s="5" t="inlineStr">
        <is>
          <t>5</t>
        </is>
      </c>
      <c r="R98" s="5" t="inlineStr">
        <is>
          <t>5</t>
        </is>
      </c>
      <c r="S98" s="5" t="inlineStr">
        <is>
          <t>50</t>
        </is>
      </c>
      <c r="T98" s="5" t="inlineStr">
        <is>
          <t>22</t>
        </is>
      </c>
      <c r="U98" s="5" t="inlineStr">
        <is>
          <t>OK</t>
        </is>
      </c>
    </row>
    <row r="99">
      <c r="A99" s="5" t="inlineStr">
        <is>
          <t>E02033</t>
        </is>
      </c>
      <c r="B99" s="5" t="inlineStr">
        <is>
          <t>Male</t>
        </is>
      </c>
      <c r="C99" s="6" t="inlineStr">
        <is>
          <t>34</t>
        </is>
      </c>
      <c r="D99" s="5" t="inlineStr">
        <is>
          <t>Divorced</t>
        </is>
      </c>
      <c r="E99" s="5" t="inlineStr">
        <is>
          <t>Master</t>
        </is>
      </c>
      <c r="F99" s="5" t="inlineStr">
        <is>
          <t>Customer Support</t>
        </is>
      </c>
      <c r="G99" s="5" t="inlineStr">
        <is>
          <t>Escalation Specialist</t>
        </is>
      </c>
      <c r="H99" s="5" t="inlineStr">
        <is>
          <t>3</t>
        </is>
      </c>
      <c r="I99" s="5" t="inlineStr">
        <is>
          <t>Chennai</t>
        </is>
      </c>
      <c r="J99" s="5" t="inlineStr">
        <is>
          <t>Full-Time</t>
        </is>
      </c>
      <c r="K99" s="7" t="n">
        <v>44685</v>
      </c>
      <c r="L99" s="7" t="inlineStr"/>
      <c r="M99" s="5" t="inlineStr">
        <is>
          <t>Yes</t>
        </is>
      </c>
      <c r="N99" s="5" t="inlineStr"/>
      <c r="O99" s="8" t="inlineStr">
        <is>
          <t>74000</t>
        </is>
      </c>
      <c r="P99" s="5" t="inlineStr">
        <is>
          <t>0</t>
        </is>
      </c>
      <c r="Q99" s="5" t="inlineStr">
        <is>
          <t>3</t>
        </is>
      </c>
      <c r="R99" s="5" t="inlineStr">
        <is>
          <t>7</t>
        </is>
      </c>
      <c r="S99" s="5" t="inlineStr">
        <is>
          <t>44</t>
        </is>
      </c>
      <c r="T99" s="5" t="inlineStr">
        <is>
          <t>2</t>
        </is>
      </c>
      <c r="U99" s="5" t="inlineStr">
        <is>
          <t>OK</t>
        </is>
      </c>
    </row>
    <row r="100">
      <c r="A100" s="5" t="inlineStr">
        <is>
          <t>E00670</t>
        </is>
      </c>
      <c r="B100" s="5" t="inlineStr">
        <is>
          <t>Female</t>
        </is>
      </c>
      <c r="C100" s="6" t="inlineStr">
        <is>
          <t>35</t>
        </is>
      </c>
      <c r="D100" s="5" t="inlineStr">
        <is>
          <t>Married</t>
        </is>
      </c>
      <c r="E100" s="5" t="inlineStr">
        <is>
          <t>Master</t>
        </is>
      </c>
      <c r="F100" s="5" t="inlineStr">
        <is>
          <t>Operations</t>
        </is>
      </c>
      <c r="G100" s="5" t="inlineStr">
        <is>
          <t>Logistics Coordinator</t>
        </is>
      </c>
      <c r="H100" s="5" t="inlineStr">
        <is>
          <t>4</t>
        </is>
      </c>
      <c r="I100" s="5" t="inlineStr">
        <is>
          <t>Hyderabad</t>
        </is>
      </c>
      <c r="J100" s="5" t="inlineStr">
        <is>
          <t>Full-Time</t>
        </is>
      </c>
      <c r="K100" s="7" t="n">
        <v>45268</v>
      </c>
      <c r="L100" s="7" t="inlineStr"/>
      <c r="M100" s="5" t="inlineStr">
        <is>
          <t>Yes</t>
        </is>
      </c>
      <c r="N100" s="5" t="inlineStr"/>
      <c r="O100" s="8" t="inlineStr">
        <is>
          <t>113500</t>
        </is>
      </c>
      <c r="P100" s="5" t="inlineStr">
        <is>
          <t>15</t>
        </is>
      </c>
      <c r="Q100" s="5" t="inlineStr">
        <is>
          <t>5</t>
        </is>
      </c>
      <c r="R100" s="5" t="inlineStr">
        <is>
          <t>3</t>
        </is>
      </c>
      <c r="S100" s="5" t="inlineStr">
        <is>
          <t>25</t>
        </is>
      </c>
      <c r="T100" s="5" t="inlineStr">
        <is>
          <t>3</t>
        </is>
      </c>
      <c r="U100" s="5" t="inlineStr">
        <is>
          <t>OK</t>
        </is>
      </c>
    </row>
    <row r="101">
      <c r="A101" s="5" t="inlineStr">
        <is>
          <t>E02467</t>
        </is>
      </c>
      <c r="B101" s="5" t="inlineStr">
        <is>
          <t>Male</t>
        </is>
      </c>
      <c r="C101" s="6" t="inlineStr">
        <is>
          <t>38</t>
        </is>
      </c>
      <c r="D101" s="5" t="inlineStr">
        <is>
          <t>Single</t>
        </is>
      </c>
      <c r="E101" s="5" t="inlineStr">
        <is>
          <t>Bachelor</t>
        </is>
      </c>
      <c r="F101" s="5" t="inlineStr">
        <is>
          <t>Operations</t>
        </is>
      </c>
      <c r="G101" s="5" t="inlineStr">
        <is>
          <t>Operations Analyst</t>
        </is>
      </c>
      <c r="H101" s="5" t="inlineStr">
        <is>
          <t>4</t>
        </is>
      </c>
      <c r="I101" s="5" t="inlineStr">
        <is>
          <t>Remote</t>
        </is>
      </c>
      <c r="J101" s="5" t="inlineStr">
        <is>
          <t>Contract</t>
        </is>
      </c>
      <c r="K101" s="7" t="n">
        <v>45262</v>
      </c>
      <c r="L101" s="7" t="n">
        <v>45400</v>
      </c>
      <c r="M101" s="5" t="inlineStr">
        <is>
          <t>No</t>
        </is>
      </c>
      <c r="N101" s="5" t="inlineStr">
        <is>
          <t>Resigned</t>
        </is>
      </c>
      <c r="O101" s="8" t="inlineStr">
        <is>
          <t>128500</t>
        </is>
      </c>
      <c r="P101" s="5" t="inlineStr">
        <is>
          <t>10</t>
        </is>
      </c>
      <c r="Q101" s="5" t="inlineStr">
        <is>
          <t>4</t>
        </is>
      </c>
      <c r="R101" s="5" t="inlineStr">
        <is>
          <t>8</t>
        </is>
      </c>
      <c r="S101" s="5" t="inlineStr">
        <is>
          <t>4</t>
        </is>
      </c>
      <c r="T101" s="5" t="inlineStr">
        <is>
          <t>7</t>
        </is>
      </c>
      <c r="U101" s="5" t="inlineStr">
        <is>
          <t>OK</t>
        </is>
      </c>
    </row>
    <row r="102">
      <c r="A102" s="5" t="inlineStr">
        <is>
          <t>E01741</t>
        </is>
      </c>
      <c r="B102" s="5" t="inlineStr">
        <is>
          <t>Male</t>
        </is>
      </c>
      <c r="C102" s="6" t="inlineStr">
        <is>
          <t>38</t>
        </is>
      </c>
      <c r="D102" s="5" t="inlineStr">
        <is>
          <t>Married</t>
        </is>
      </c>
      <c r="E102" s="5" t="inlineStr">
        <is>
          <t>Master</t>
        </is>
      </c>
      <c r="F102" s="5" t="inlineStr">
        <is>
          <t>Customer Support</t>
        </is>
      </c>
      <c r="G102" s="5" t="inlineStr">
        <is>
          <t>Support Lead</t>
        </is>
      </c>
      <c r="H102" s="5" t="inlineStr">
        <is>
          <t>5</t>
        </is>
      </c>
      <c r="I102" s="5" t="inlineStr">
        <is>
          <t>Remote</t>
        </is>
      </c>
      <c r="J102" s="5" t="inlineStr">
        <is>
          <t>Full-Time</t>
        </is>
      </c>
      <c r="K102" s="7" t="n">
        <v>43930</v>
      </c>
      <c r="L102" s="7" t="inlineStr"/>
      <c r="M102" s="5" t="inlineStr">
        <is>
          <t>Yes</t>
        </is>
      </c>
      <c r="N102" s="5" t="inlineStr"/>
      <c r="O102" s="8" t="inlineStr">
        <is>
          <t>103500</t>
        </is>
      </c>
      <c r="P102" s="5" t="inlineStr">
        <is>
          <t>15</t>
        </is>
      </c>
      <c r="Q102" s="5" t="inlineStr">
        <is>
          <t>3</t>
        </is>
      </c>
      <c r="R102" s="5" t="inlineStr">
        <is>
          <t>10</t>
        </is>
      </c>
      <c r="S102" s="5" t="inlineStr">
        <is>
          <t>69</t>
        </is>
      </c>
      <c r="T102" s="5" t="inlineStr">
        <is>
          <t>6</t>
        </is>
      </c>
      <c r="U102" s="5" t="inlineStr">
        <is>
          <t>OK</t>
        </is>
      </c>
    </row>
    <row r="103">
      <c r="A103" s="5" t="inlineStr">
        <is>
          <t>E02156</t>
        </is>
      </c>
      <c r="B103" s="5" t="inlineStr">
        <is>
          <t>Female</t>
        </is>
      </c>
      <c r="C103" s="6" t="inlineStr">
        <is>
          <t>33</t>
        </is>
      </c>
      <c r="D103" s="5" t="inlineStr">
        <is>
          <t>Married</t>
        </is>
      </c>
      <c r="E103" s="5" t="inlineStr">
        <is>
          <t>Diploma</t>
        </is>
      </c>
      <c r="F103" s="5" t="inlineStr">
        <is>
          <t>Sales</t>
        </is>
      </c>
      <c r="G103" s="5" t="inlineStr">
        <is>
          <t>Business Development</t>
        </is>
      </c>
      <c r="H103" s="5" t="inlineStr">
        <is>
          <t>2</t>
        </is>
      </c>
      <c r="I103" s="5" t="inlineStr">
        <is>
          <t>Chennai</t>
        </is>
      </c>
      <c r="J103" s="5" t="inlineStr">
        <is>
          <t>Full-Time</t>
        </is>
      </c>
      <c r="K103" s="7" t="n">
        <v>44711</v>
      </c>
      <c r="L103" s="7" t="n">
        <v>44768</v>
      </c>
      <c r="M103" s="5" t="inlineStr">
        <is>
          <t>No</t>
        </is>
      </c>
      <c r="N103" s="5" t="inlineStr">
        <is>
          <t>Retirement</t>
        </is>
      </c>
      <c r="O103" s="8" t="inlineStr">
        <is>
          <t>92500</t>
        </is>
      </c>
      <c r="P103" s="5" t="inlineStr">
        <is>
          <t>10</t>
        </is>
      </c>
      <c r="Q103" s="5" t="inlineStr">
        <is>
          <t>5</t>
        </is>
      </c>
      <c r="R103" s="5" t="inlineStr">
        <is>
          <t>4</t>
        </is>
      </c>
      <c r="S103" s="5" t="inlineStr">
        <is>
          <t>1</t>
        </is>
      </c>
      <c r="T103" s="5" t="inlineStr">
        <is>
          <t>2</t>
        </is>
      </c>
      <c r="U103" s="5" t="inlineStr">
        <is>
          <t>OK</t>
        </is>
      </c>
    </row>
    <row r="104">
      <c r="A104" s="5" t="inlineStr">
        <is>
          <t>E01504</t>
        </is>
      </c>
      <c r="B104" s="5" t="inlineStr">
        <is>
          <t>Female</t>
        </is>
      </c>
      <c r="C104" s="6" t="inlineStr">
        <is>
          <t>40</t>
        </is>
      </c>
      <c r="D104" s="5" t="inlineStr">
        <is>
          <t>Married</t>
        </is>
      </c>
      <c r="E104" s="5" t="inlineStr">
        <is>
          <t>Master</t>
        </is>
      </c>
      <c r="F104" s="5" t="inlineStr">
        <is>
          <t>Operations</t>
        </is>
      </c>
      <c r="G104" s="5" t="inlineStr">
        <is>
          <t>Logistics Coordinator</t>
        </is>
      </c>
      <c r="H104" s="5" t="inlineStr">
        <is>
          <t>5</t>
        </is>
      </c>
      <c r="I104" s="5" t="inlineStr">
        <is>
          <t>Bengaluru</t>
        </is>
      </c>
      <c r="J104" s="5" t="inlineStr">
        <is>
          <t>Full-Time</t>
        </is>
      </c>
      <c r="K104" s="7" t="n">
        <v>44882</v>
      </c>
      <c r="L104" s="7" t="inlineStr"/>
      <c r="M104" s="5" t="inlineStr">
        <is>
          <t>Yes</t>
        </is>
      </c>
      <c r="N104" s="5" t="inlineStr"/>
      <c r="O104" s="8" t="inlineStr">
        <is>
          <t>116500</t>
        </is>
      </c>
      <c r="P104" s="5" t="inlineStr">
        <is>
          <t>0</t>
        </is>
      </c>
      <c r="Q104" s="5" t="inlineStr">
        <is>
          <t>5</t>
        </is>
      </c>
      <c r="R104" s="5" t="inlineStr">
        <is>
          <t>8</t>
        </is>
      </c>
      <c r="S104" s="5" t="inlineStr">
        <is>
          <t>38</t>
        </is>
      </c>
      <c r="T104" s="5" t="inlineStr">
        <is>
          <t>5</t>
        </is>
      </c>
      <c r="U104" s="5" t="inlineStr">
        <is>
          <t>OK</t>
        </is>
      </c>
    </row>
    <row r="105">
      <c r="A105" s="5" t="inlineStr">
        <is>
          <t>E02192</t>
        </is>
      </c>
      <c r="B105" s="5" t="inlineStr">
        <is>
          <t>Female</t>
        </is>
      </c>
      <c r="C105" s="6" t="inlineStr">
        <is>
          <t>38</t>
        </is>
      </c>
      <c r="D105" s="5" t="inlineStr">
        <is>
          <t>Divorced</t>
        </is>
      </c>
      <c r="E105" s="5" t="inlineStr">
        <is>
          <t>Diploma</t>
        </is>
      </c>
      <c r="F105" s="5" t="inlineStr">
        <is>
          <t>Customer Support</t>
        </is>
      </c>
      <c r="G105" s="5" t="inlineStr">
        <is>
          <t>Escalation Specialist</t>
        </is>
      </c>
      <c r="H105" s="5" t="inlineStr">
        <is>
          <t>3</t>
        </is>
      </c>
      <c r="I105" s="5" t="inlineStr">
        <is>
          <t>Hyderabad</t>
        </is>
      </c>
      <c r="J105" s="5" t="inlineStr">
        <is>
          <t>Full-Time</t>
        </is>
      </c>
      <c r="K105" s="7" t="n">
        <v>44400</v>
      </c>
      <c r="L105" s="7" t="n">
        <v>44452</v>
      </c>
      <c r="M105" s="5" t="inlineStr">
        <is>
          <t>No</t>
        </is>
      </c>
      <c r="N105" s="5" t="inlineStr">
        <is>
          <t>Resigned</t>
        </is>
      </c>
      <c r="O105" s="8" t="inlineStr">
        <is>
          <t>81000</t>
        </is>
      </c>
      <c r="P105" s="5" t="inlineStr">
        <is>
          <t>5</t>
        </is>
      </c>
      <c r="Q105" s="5" t="inlineStr">
        <is>
          <t>3</t>
        </is>
      </c>
      <c r="R105" s="5" t="inlineStr">
        <is>
          <t>5</t>
        </is>
      </c>
      <c r="S105" s="5" t="inlineStr">
        <is>
          <t>1</t>
        </is>
      </c>
      <c r="T105" s="5" t="inlineStr">
        <is>
          <t>5</t>
        </is>
      </c>
      <c r="U105" s="5" t="inlineStr">
        <is>
          <t>OK</t>
        </is>
      </c>
    </row>
    <row r="106">
      <c r="A106" s="5" t="inlineStr">
        <is>
          <t>E00076</t>
        </is>
      </c>
      <c r="B106" s="5" t="inlineStr">
        <is>
          <t>Female</t>
        </is>
      </c>
      <c r="C106" s="6" t="inlineStr">
        <is>
          <t>29</t>
        </is>
      </c>
      <c r="D106" s="5" t="inlineStr">
        <is>
          <t>Married</t>
        </is>
      </c>
      <c r="E106" s="5" t="inlineStr">
        <is>
          <t>PhD</t>
        </is>
      </c>
      <c r="F106" s="5" t="inlineStr">
        <is>
          <t>Marketing</t>
        </is>
      </c>
      <c r="G106" s="5" t="inlineStr">
        <is>
          <t>Content Writer</t>
        </is>
      </c>
      <c r="H106" s="5" t="inlineStr">
        <is>
          <t>2</t>
        </is>
      </c>
      <c r="I106" s="5" t="inlineStr">
        <is>
          <t>Mumbai</t>
        </is>
      </c>
      <c r="J106" s="5" t="inlineStr">
        <is>
          <t>Full-Time</t>
        </is>
      </c>
      <c r="K106" s="7" t="n">
        <v>44862</v>
      </c>
      <c r="L106" s="7" t="inlineStr"/>
      <c r="M106" s="5" t="inlineStr">
        <is>
          <t>Yes</t>
        </is>
      </c>
      <c r="N106" s="5" t="inlineStr"/>
      <c r="O106" s="8" t="inlineStr">
        <is>
          <t>74000</t>
        </is>
      </c>
      <c r="P106" s="5" t="inlineStr">
        <is>
          <t>5</t>
        </is>
      </c>
      <c r="Q106" s="5" t="inlineStr">
        <is>
          <t>3</t>
        </is>
      </c>
      <c r="R106" s="5" t="inlineStr">
        <is>
          <t>9</t>
        </is>
      </c>
      <c r="S106" s="5" t="inlineStr">
        <is>
          <t>38</t>
        </is>
      </c>
      <c r="T106" s="5" t="inlineStr">
        <is>
          <t>2</t>
        </is>
      </c>
      <c r="U106" s="5" t="inlineStr">
        <is>
          <t>OK</t>
        </is>
      </c>
    </row>
    <row r="107">
      <c r="A107" s="5" t="inlineStr">
        <is>
          <t>E00836</t>
        </is>
      </c>
      <c r="B107" s="5" t="inlineStr">
        <is>
          <t>Male</t>
        </is>
      </c>
      <c r="C107" s="6" t="inlineStr">
        <is>
          <t>29</t>
        </is>
      </c>
      <c r="D107" s="5" t="inlineStr">
        <is>
          <t>Married</t>
        </is>
      </c>
      <c r="E107" s="5" t="inlineStr">
        <is>
          <t>High School</t>
        </is>
      </c>
      <c r="F107" s="5" t="inlineStr">
        <is>
          <t>Marketing</t>
        </is>
      </c>
      <c r="G107" s="5" t="inlineStr">
        <is>
          <t>Marketing Analyst</t>
        </is>
      </c>
      <c r="H107" s="5" t="inlineStr">
        <is>
          <t>2</t>
        </is>
      </c>
      <c r="I107" s="5" t="inlineStr">
        <is>
          <t>Remote</t>
        </is>
      </c>
      <c r="J107" s="5" t="inlineStr">
        <is>
          <t>Full-Time</t>
        </is>
      </c>
      <c r="K107" s="7" t="n">
        <v>44151</v>
      </c>
      <c r="L107" s="7" t="inlineStr"/>
      <c r="M107" s="5" t="inlineStr">
        <is>
          <t>Yes</t>
        </is>
      </c>
      <c r="N107" s="5" t="inlineStr"/>
      <c r="O107" s="8" t="inlineStr">
        <is>
          <t>80000</t>
        </is>
      </c>
      <c r="P107" s="5" t="inlineStr">
        <is>
          <t>0</t>
        </is>
      </c>
      <c r="Q107" s="5" t="inlineStr">
        <is>
          <t>5</t>
        </is>
      </c>
      <c r="R107" s="5" t="inlineStr">
        <is>
          <t>8</t>
        </is>
      </c>
      <c r="S107" s="5" t="inlineStr">
        <is>
          <t>62</t>
        </is>
      </c>
      <c r="T107" s="5" t="inlineStr">
        <is>
          <t>3</t>
        </is>
      </c>
      <c r="U107" s="5" t="inlineStr">
        <is>
          <t>OK</t>
        </is>
      </c>
    </row>
    <row r="108">
      <c r="A108" s="5" t="inlineStr">
        <is>
          <t>E01380</t>
        </is>
      </c>
      <c r="B108" s="5" t="inlineStr">
        <is>
          <t>Female</t>
        </is>
      </c>
      <c r="C108" s="6" t="inlineStr">
        <is>
          <t>38</t>
        </is>
      </c>
      <c r="D108" s="5" t="inlineStr">
        <is>
          <t>Married</t>
        </is>
      </c>
      <c r="E108" s="5" t="inlineStr">
        <is>
          <t>PhD</t>
        </is>
      </c>
      <c r="F108" s="5" t="inlineStr">
        <is>
          <t>Research &amp; Development</t>
        </is>
      </c>
      <c r="G108" s="5" t="inlineStr">
        <is>
          <t>Data Scientist</t>
        </is>
      </c>
      <c r="H108" s="5" t="inlineStr">
        <is>
          <t>3</t>
        </is>
      </c>
      <c r="I108" s="5" t="inlineStr">
        <is>
          <t>Bengaluru</t>
        </is>
      </c>
      <c r="J108" s="5" t="inlineStr">
        <is>
          <t>Full-Time</t>
        </is>
      </c>
      <c r="K108" s="7" t="n">
        <v>44216</v>
      </c>
      <c r="L108" s="7" t="inlineStr"/>
      <c r="M108" s="5" t="inlineStr">
        <is>
          <t>Yes</t>
        </is>
      </c>
      <c r="N108" s="5" t="inlineStr"/>
      <c r="O108" s="8" t="inlineStr">
        <is>
          <t>193500</t>
        </is>
      </c>
      <c r="P108" s="5" t="inlineStr">
        <is>
          <t>5</t>
        </is>
      </c>
      <c r="Q108" s="5" t="inlineStr">
        <is>
          <t>4</t>
        </is>
      </c>
      <c r="R108" s="5" t="inlineStr">
        <is>
          <t>7</t>
        </is>
      </c>
      <c r="S108" s="5" t="inlineStr">
        <is>
          <t>60</t>
        </is>
      </c>
      <c r="T108" s="5" t="inlineStr">
        <is>
          <t>2</t>
        </is>
      </c>
      <c r="U108" s="5" t="inlineStr">
        <is>
          <t>OK</t>
        </is>
      </c>
    </row>
    <row r="109">
      <c r="A109" s="5" t="inlineStr">
        <is>
          <t>E01170</t>
        </is>
      </c>
      <c r="B109" s="5" t="inlineStr">
        <is>
          <t>Female</t>
        </is>
      </c>
      <c r="C109" s="6" t="inlineStr">
        <is>
          <t>27</t>
        </is>
      </c>
      <c r="D109" s="5" t="inlineStr">
        <is>
          <t>Married</t>
        </is>
      </c>
      <c r="E109" s="5" t="inlineStr">
        <is>
          <t>PhD</t>
        </is>
      </c>
      <c r="F109" s="5" t="inlineStr">
        <is>
          <t>IT</t>
        </is>
      </c>
      <c r="G109" s="5" t="inlineStr">
        <is>
          <t>Software Engineer</t>
        </is>
      </c>
      <c r="H109" s="5" t="inlineStr">
        <is>
          <t>3</t>
        </is>
      </c>
      <c r="I109" s="5" t="inlineStr">
        <is>
          <t>Chennai</t>
        </is>
      </c>
      <c r="J109" s="5" t="inlineStr">
        <is>
          <t>Full-Time</t>
        </is>
      </c>
      <c r="K109" s="7" t="n">
        <v>45539</v>
      </c>
      <c r="L109" s="7" t="inlineStr"/>
      <c r="M109" s="5" t="inlineStr">
        <is>
          <t>Yes</t>
        </is>
      </c>
      <c r="N109" s="5" t="inlineStr"/>
      <c r="O109" s="8" t="inlineStr">
        <is>
          <t>152500</t>
        </is>
      </c>
      <c r="P109" s="5" t="inlineStr">
        <is>
          <t>10</t>
        </is>
      </c>
      <c r="Q109" s="5" t="inlineStr">
        <is>
          <t>3</t>
        </is>
      </c>
      <c r="R109" s="5" t="inlineStr">
        <is>
          <t>5</t>
        </is>
      </c>
      <c r="S109" s="5" t="inlineStr">
        <is>
          <t>16</t>
        </is>
      </c>
      <c r="T109" s="5" t="inlineStr">
        <is>
          <t>9</t>
        </is>
      </c>
      <c r="U109" s="5" t="inlineStr">
        <is>
          <t>OK</t>
        </is>
      </c>
    </row>
    <row r="110">
      <c r="A110" s="5" t="inlineStr">
        <is>
          <t>E00123</t>
        </is>
      </c>
      <c r="B110" s="5" t="inlineStr">
        <is>
          <t>Female</t>
        </is>
      </c>
      <c r="C110" s="6" t="inlineStr">
        <is>
          <t>29</t>
        </is>
      </c>
      <c r="D110" s="5" t="inlineStr">
        <is>
          <t>Single</t>
        </is>
      </c>
      <c r="E110" s="5" t="inlineStr">
        <is>
          <t>High School</t>
        </is>
      </c>
      <c r="F110" s="5" t="inlineStr">
        <is>
          <t>Sales</t>
        </is>
      </c>
      <c r="G110" s="5" t="inlineStr">
        <is>
          <t>Sales Executive</t>
        </is>
      </c>
      <c r="H110" s="5" t="inlineStr">
        <is>
          <t>3</t>
        </is>
      </c>
      <c r="I110" s="5" t="inlineStr">
        <is>
          <t>Delhi</t>
        </is>
      </c>
      <c r="J110" s="5" t="inlineStr">
        <is>
          <t>Full-Time</t>
        </is>
      </c>
      <c r="K110" s="7" t="n">
        <v>44013</v>
      </c>
      <c r="L110" s="7" t="inlineStr"/>
      <c r="M110" s="5" t="inlineStr">
        <is>
          <t>Yes</t>
        </is>
      </c>
      <c r="N110" s="5" t="inlineStr"/>
      <c r="O110" s="8" t="inlineStr">
        <is>
          <t>102000</t>
        </is>
      </c>
      <c r="P110" s="5" t="inlineStr">
        <is>
          <t>0</t>
        </is>
      </c>
      <c r="Q110" s="5" t="inlineStr">
        <is>
          <t>5</t>
        </is>
      </c>
      <c r="R110" s="5" t="inlineStr">
        <is>
          <t>8</t>
        </is>
      </c>
      <c r="S110" s="5" t="inlineStr">
        <is>
          <t>66</t>
        </is>
      </c>
      <c r="T110" s="5" t="inlineStr">
        <is>
          <t>7</t>
        </is>
      </c>
      <c r="U110" s="5" t="inlineStr">
        <is>
          <t>OK</t>
        </is>
      </c>
    </row>
    <row r="111">
      <c r="A111" s="5" t="inlineStr">
        <is>
          <t>E00102</t>
        </is>
      </c>
      <c r="B111" s="5" t="inlineStr">
        <is>
          <t>Male</t>
        </is>
      </c>
      <c r="C111" s="6" t="inlineStr">
        <is>
          <t>41</t>
        </is>
      </c>
      <c r="D111" s="5" t="inlineStr">
        <is>
          <t>Married</t>
        </is>
      </c>
      <c r="E111" s="5" t="inlineStr">
        <is>
          <t>High School</t>
        </is>
      </c>
      <c r="F111" s="5" t="inlineStr">
        <is>
          <t>IT</t>
        </is>
      </c>
      <c r="G111" s="5" t="inlineStr">
        <is>
          <t>IT Support</t>
        </is>
      </c>
      <c r="H111" s="5" t="inlineStr">
        <is>
          <t>7</t>
        </is>
      </c>
      <c r="I111" s="5" t="inlineStr">
        <is>
          <t>Chennai</t>
        </is>
      </c>
      <c r="J111" s="5" t="inlineStr">
        <is>
          <t>Part-Time</t>
        </is>
      </c>
      <c r="K111" s="7" t="n">
        <v>45428</v>
      </c>
      <c r="L111" s="7" t="inlineStr"/>
      <c r="M111" s="5" t="inlineStr">
        <is>
          <t>Yes</t>
        </is>
      </c>
      <c r="N111" s="5" t="inlineStr"/>
      <c r="O111" s="8" t="inlineStr">
        <is>
          <t>185500</t>
        </is>
      </c>
      <c r="P111" s="5" t="inlineStr">
        <is>
          <t>0</t>
        </is>
      </c>
      <c r="Q111" s="5" t="inlineStr">
        <is>
          <t>4</t>
        </is>
      </c>
      <c r="R111" s="5" t="inlineStr">
        <is>
          <t>5</t>
        </is>
      </c>
      <c r="S111" s="5" t="inlineStr">
        <is>
          <t>19</t>
        </is>
      </c>
      <c r="T111" s="5" t="inlineStr">
        <is>
          <t>10</t>
        </is>
      </c>
      <c r="U111" s="5" t="inlineStr">
        <is>
          <t>OK</t>
        </is>
      </c>
    </row>
    <row r="112">
      <c r="A112" s="5" t="inlineStr">
        <is>
          <t>E02558</t>
        </is>
      </c>
      <c r="B112" s="5" t="inlineStr">
        <is>
          <t>Male</t>
        </is>
      </c>
      <c r="C112" s="6" t="inlineStr">
        <is>
          <t>31</t>
        </is>
      </c>
      <c r="D112" s="5" t="inlineStr">
        <is>
          <t>Married</t>
        </is>
      </c>
      <c r="E112" s="5" t="inlineStr">
        <is>
          <t>Diploma</t>
        </is>
      </c>
      <c r="F112" s="5" t="inlineStr">
        <is>
          <t>Sales</t>
        </is>
      </c>
      <c r="G112" s="5" t="inlineStr">
        <is>
          <t>Account Executive</t>
        </is>
      </c>
      <c r="H112" s="5" t="inlineStr">
        <is>
          <t>3</t>
        </is>
      </c>
      <c r="I112" s="5" t="inlineStr">
        <is>
          <t>Mumbai</t>
        </is>
      </c>
      <c r="J112" s="5" t="inlineStr">
        <is>
          <t>Full-Time</t>
        </is>
      </c>
      <c r="K112" s="7" t="n">
        <v>43853</v>
      </c>
      <c r="L112" s="7" t="inlineStr"/>
      <c r="M112" s="5" t="inlineStr">
        <is>
          <t>Yes</t>
        </is>
      </c>
      <c r="N112" s="5" t="inlineStr"/>
      <c r="O112" s="8" t="inlineStr">
        <is>
          <t>90500</t>
        </is>
      </c>
      <c r="P112" s="5" t="inlineStr">
        <is>
          <t>10</t>
        </is>
      </c>
      <c r="Q112" s="5" t="inlineStr">
        <is>
          <t>3</t>
        </is>
      </c>
      <c r="R112" s="5" t="inlineStr">
        <is>
          <t>4</t>
        </is>
      </c>
      <c r="S112" s="5" t="inlineStr">
        <is>
          <t>72</t>
        </is>
      </c>
      <c r="T112" s="5" t="inlineStr">
        <is>
          <t>2</t>
        </is>
      </c>
      <c r="U112" s="5" t="inlineStr">
        <is>
          <t>OK</t>
        </is>
      </c>
    </row>
    <row r="113">
      <c r="A113" s="5" t="inlineStr">
        <is>
          <t>E01920</t>
        </is>
      </c>
      <c r="B113" s="5" t="inlineStr">
        <is>
          <t>Male</t>
        </is>
      </c>
      <c r="C113" s="6" t="inlineStr">
        <is>
          <t>38</t>
        </is>
      </c>
      <c r="D113" s="5" t="inlineStr">
        <is>
          <t>Married</t>
        </is>
      </c>
      <c r="E113" s="5" t="inlineStr">
        <is>
          <t>Master</t>
        </is>
      </c>
      <c r="F113" s="5" t="inlineStr">
        <is>
          <t>Finance</t>
        </is>
      </c>
      <c r="G113" s="5" t="inlineStr">
        <is>
          <t>Accountant</t>
        </is>
      </c>
      <c r="H113" s="5" t="inlineStr">
        <is>
          <t>3</t>
        </is>
      </c>
      <c r="I113" s="5" t="inlineStr">
        <is>
          <t>Delhi</t>
        </is>
      </c>
      <c r="J113" s="5" t="inlineStr">
        <is>
          <t>Full-Time</t>
        </is>
      </c>
      <c r="K113" s="7" t="n">
        <v>44632</v>
      </c>
      <c r="L113" s="7" t="inlineStr"/>
      <c r="M113" s="5" t="inlineStr">
        <is>
          <t>Yes</t>
        </is>
      </c>
      <c r="N113" s="5" t="inlineStr"/>
      <c r="O113" s="8" t="inlineStr">
        <is>
          <t>112000</t>
        </is>
      </c>
      <c r="P113" s="5" t="inlineStr">
        <is>
          <t>15</t>
        </is>
      </c>
      <c r="Q113" s="5" t="inlineStr">
        <is>
          <t>3</t>
        </is>
      </c>
      <c r="R113" s="5" t="inlineStr">
        <is>
          <t>5</t>
        </is>
      </c>
      <c r="S113" s="5" t="inlineStr">
        <is>
          <t>46</t>
        </is>
      </c>
      <c r="T113" s="5" t="inlineStr">
        <is>
          <t>4</t>
        </is>
      </c>
      <c r="U113" s="5" t="inlineStr">
        <is>
          <t>OK</t>
        </is>
      </c>
    </row>
    <row r="114">
      <c r="A114" s="5" t="inlineStr">
        <is>
          <t>E01758</t>
        </is>
      </c>
      <c r="B114" s="5" t="inlineStr">
        <is>
          <t>Female</t>
        </is>
      </c>
      <c r="C114" s="6" t="inlineStr">
        <is>
          <t>34</t>
        </is>
      </c>
      <c r="D114" s="5" t="inlineStr">
        <is>
          <t>Married</t>
        </is>
      </c>
      <c r="E114" s="5" t="inlineStr">
        <is>
          <t>Master</t>
        </is>
      </c>
      <c r="F114" s="5" t="inlineStr">
        <is>
          <t>IT</t>
        </is>
      </c>
      <c r="G114" s="5" t="inlineStr">
        <is>
          <t>IT Support</t>
        </is>
      </c>
      <c r="H114" s="5" t="inlineStr">
        <is>
          <t>3</t>
        </is>
      </c>
      <c r="I114" s="5" t="inlineStr">
        <is>
          <t>Bengaluru</t>
        </is>
      </c>
      <c r="J114" s="5" t="inlineStr">
        <is>
          <t>Full-Time</t>
        </is>
      </c>
      <c r="K114" s="7" t="n">
        <v>44711</v>
      </c>
      <c r="L114" s="7" t="inlineStr"/>
      <c r="M114" s="5" t="inlineStr">
        <is>
          <t>Yes</t>
        </is>
      </c>
      <c r="N114" s="5" t="inlineStr"/>
      <c r="O114" s="8" t="inlineStr">
        <is>
          <t>128500</t>
        </is>
      </c>
      <c r="P114" s="5" t="inlineStr">
        <is>
          <t>5</t>
        </is>
      </c>
      <c r="Q114" s="5" t="inlineStr">
        <is>
          <t>3</t>
        </is>
      </c>
      <c r="R114" s="5" t="inlineStr">
        <is>
          <t>4</t>
        </is>
      </c>
      <c r="S114" s="5" t="inlineStr">
        <is>
          <t>43</t>
        </is>
      </c>
      <c r="T114" s="5" t="inlineStr">
        <is>
          <t>10</t>
        </is>
      </c>
      <c r="U114" s="5" t="inlineStr">
        <is>
          <t>OK</t>
        </is>
      </c>
    </row>
    <row r="115">
      <c r="A115" s="5" t="inlineStr">
        <is>
          <t>E01299</t>
        </is>
      </c>
      <c r="B115" s="5" t="inlineStr">
        <is>
          <t>Female</t>
        </is>
      </c>
      <c r="C115" s="6" t="inlineStr">
        <is>
          <t>34</t>
        </is>
      </c>
      <c r="D115" s="5" t="inlineStr">
        <is>
          <t>Married</t>
        </is>
      </c>
      <c r="E115" s="5" t="inlineStr">
        <is>
          <t>High School</t>
        </is>
      </c>
      <c r="F115" s="5" t="inlineStr">
        <is>
          <t>Operations</t>
        </is>
      </c>
      <c r="G115" s="5" t="inlineStr">
        <is>
          <t>Quality Analyst</t>
        </is>
      </c>
      <c r="H115" s="5" t="inlineStr">
        <is>
          <t>4</t>
        </is>
      </c>
      <c r="I115" s="5" t="inlineStr">
        <is>
          <t>Remote</t>
        </is>
      </c>
      <c r="J115" s="5" t="inlineStr">
        <is>
          <t>Full-Time</t>
        </is>
      </c>
      <c r="K115" s="7" t="n">
        <v>44395</v>
      </c>
      <c r="L115" s="7" t="inlineStr"/>
      <c r="M115" s="5" t="inlineStr">
        <is>
          <t>Yes</t>
        </is>
      </c>
      <c r="N115" s="5" t="inlineStr"/>
      <c r="O115" s="8" t="inlineStr">
        <is>
          <t>141000</t>
        </is>
      </c>
      <c r="P115" s="5" t="inlineStr">
        <is>
          <t>0</t>
        </is>
      </c>
      <c r="Q115" s="5" t="inlineStr">
        <is>
          <t>5</t>
        </is>
      </c>
      <c r="R115" s="5" t="inlineStr">
        <is>
          <t>10</t>
        </is>
      </c>
      <c r="S115" s="5" t="inlineStr">
        <is>
          <t>54</t>
        </is>
      </c>
      <c r="T115" s="5" t="inlineStr">
        <is>
          <t>0</t>
        </is>
      </c>
      <c r="U115" s="5" t="inlineStr">
        <is>
          <t>OK</t>
        </is>
      </c>
    </row>
    <row r="116">
      <c r="A116" s="5" t="inlineStr">
        <is>
          <t>E00685</t>
        </is>
      </c>
      <c r="B116" s="5" t="inlineStr">
        <is>
          <t>Male</t>
        </is>
      </c>
      <c r="C116" s="6" t="inlineStr">
        <is>
          <t>32</t>
        </is>
      </c>
      <c r="D116" s="5" t="inlineStr">
        <is>
          <t>Married</t>
        </is>
      </c>
      <c r="E116" s="5" t="inlineStr">
        <is>
          <t>Bachelor</t>
        </is>
      </c>
      <c r="F116" s="5" t="inlineStr">
        <is>
          <t>Finance</t>
        </is>
      </c>
      <c r="G116" s="5" t="inlineStr">
        <is>
          <t>Accountant</t>
        </is>
      </c>
      <c r="H116" s="5" t="inlineStr">
        <is>
          <t>1</t>
        </is>
      </c>
      <c r="I116" s="5" t="inlineStr">
        <is>
          <t>Chennai</t>
        </is>
      </c>
      <c r="J116" s="5" t="inlineStr">
        <is>
          <t>Full-Time</t>
        </is>
      </c>
      <c r="K116" s="7" t="n">
        <v>43907</v>
      </c>
      <c r="L116" s="7" t="inlineStr"/>
      <c r="M116" s="5" t="inlineStr">
        <is>
          <t>Yes</t>
        </is>
      </c>
      <c r="N116" s="5" t="inlineStr"/>
      <c r="O116" s="8" t="inlineStr">
        <is>
          <t>105000</t>
        </is>
      </c>
      <c r="P116" s="5" t="inlineStr">
        <is>
          <t>5</t>
        </is>
      </c>
      <c r="Q116" s="5" t="inlineStr">
        <is>
          <t>4</t>
        </is>
      </c>
      <c r="R116" s="5" t="inlineStr">
        <is>
          <t>6</t>
        </is>
      </c>
      <c r="S116" s="5" t="inlineStr">
        <is>
          <t>70</t>
        </is>
      </c>
      <c r="T116" s="5" t="inlineStr">
        <is>
          <t>5</t>
        </is>
      </c>
      <c r="U116" s="5" t="inlineStr">
        <is>
          <t>OK</t>
        </is>
      </c>
    </row>
    <row r="117">
      <c r="A117" s="5" t="inlineStr">
        <is>
          <t>E02214</t>
        </is>
      </c>
      <c r="B117" s="5" t="inlineStr">
        <is>
          <t>Female</t>
        </is>
      </c>
      <c r="C117" s="6" t="inlineStr">
        <is>
          <t>35</t>
        </is>
      </c>
      <c r="D117" s="5" t="inlineStr">
        <is>
          <t>Married</t>
        </is>
      </c>
      <c r="E117" s="5" t="inlineStr">
        <is>
          <t>Diploma</t>
        </is>
      </c>
      <c r="F117" s="5" t="inlineStr">
        <is>
          <t>Finance</t>
        </is>
      </c>
      <c r="G117" s="5" t="inlineStr">
        <is>
          <t>Credit Analyst</t>
        </is>
      </c>
      <c r="H117" s="5" t="inlineStr">
        <is>
          <t>2</t>
        </is>
      </c>
      <c r="I117" s="5" t="inlineStr">
        <is>
          <t>Chennai</t>
        </is>
      </c>
      <c r="J117" s="5" t="inlineStr">
        <is>
          <t>Full-Time</t>
        </is>
      </c>
      <c r="K117" s="7" t="n">
        <v>44266</v>
      </c>
      <c r="L117" s="7" t="inlineStr"/>
      <c r="M117" s="5" t="inlineStr">
        <is>
          <t>Yes</t>
        </is>
      </c>
      <c r="N117" s="5" t="inlineStr"/>
      <c r="O117" s="8" t="inlineStr">
        <is>
          <t>104000</t>
        </is>
      </c>
      <c r="P117" s="5" t="inlineStr">
        <is>
          <t>15</t>
        </is>
      </c>
      <c r="Q117" s="5" t="inlineStr">
        <is>
          <t>3</t>
        </is>
      </c>
      <c r="R117" s="5" t="inlineStr">
        <is>
          <t>5</t>
        </is>
      </c>
      <c r="S117" s="5" t="inlineStr">
        <is>
          <t>58</t>
        </is>
      </c>
      <c r="T117" s="5" t="inlineStr">
        <is>
          <t>5</t>
        </is>
      </c>
      <c r="U117" s="5" t="inlineStr">
        <is>
          <t>OK</t>
        </is>
      </c>
    </row>
    <row r="118">
      <c r="A118" s="5" t="inlineStr">
        <is>
          <t>E02459</t>
        </is>
      </c>
      <c r="B118" s="5" t="inlineStr">
        <is>
          <t>Female</t>
        </is>
      </c>
      <c r="C118" s="6" t="inlineStr">
        <is>
          <t>30</t>
        </is>
      </c>
      <c r="D118" s="5" t="inlineStr">
        <is>
          <t>Married</t>
        </is>
      </c>
      <c r="E118" s="5" t="inlineStr">
        <is>
          <t>PhD</t>
        </is>
      </c>
      <c r="F118" s="5" t="inlineStr">
        <is>
          <t>Research &amp; Development</t>
        </is>
      </c>
      <c r="G118" s="5" t="inlineStr">
        <is>
          <t>Product Engineer</t>
        </is>
      </c>
      <c r="H118" s="5" t="inlineStr">
        <is>
          <t>3</t>
        </is>
      </c>
      <c r="I118" s="5" t="inlineStr">
        <is>
          <t>Hyderabad</t>
        </is>
      </c>
      <c r="J118" s="5" t="inlineStr">
        <is>
          <t>Full-Time</t>
        </is>
      </c>
      <c r="K118" s="7" t="n">
        <v>45588</v>
      </c>
      <c r="L118" s="7" t="inlineStr"/>
      <c r="M118" s="5" t="inlineStr">
        <is>
          <t>Yes</t>
        </is>
      </c>
      <c r="N118" s="5" t="inlineStr"/>
      <c r="O118" s="8" t="inlineStr">
        <is>
          <t>209000</t>
        </is>
      </c>
      <c r="P118" s="5" t="inlineStr">
        <is>
          <t>0</t>
        </is>
      </c>
      <c r="Q118" s="5" t="inlineStr">
        <is>
          <t>5</t>
        </is>
      </c>
      <c r="R118" s="5" t="inlineStr">
        <is>
          <t>9</t>
        </is>
      </c>
      <c r="S118" s="5" t="inlineStr">
        <is>
          <t>14</t>
        </is>
      </c>
      <c r="T118" s="5" t="inlineStr">
        <is>
          <t>1</t>
        </is>
      </c>
      <c r="U118" s="5" t="inlineStr">
        <is>
          <t>OK</t>
        </is>
      </c>
    </row>
    <row r="119">
      <c r="A119" s="5" t="inlineStr">
        <is>
          <t>E00718</t>
        </is>
      </c>
      <c r="B119" s="5" t="inlineStr">
        <is>
          <t>Female</t>
        </is>
      </c>
      <c r="C119" s="6" t="inlineStr">
        <is>
          <t>28</t>
        </is>
      </c>
      <c r="D119" s="5" t="inlineStr">
        <is>
          <t>Single</t>
        </is>
      </c>
      <c r="E119" s="5" t="inlineStr">
        <is>
          <t>Diploma</t>
        </is>
      </c>
      <c r="F119" s="5" t="inlineStr">
        <is>
          <t>Marketing</t>
        </is>
      </c>
      <c r="G119" s="5" t="inlineStr">
        <is>
          <t>Marketing Analyst</t>
        </is>
      </c>
      <c r="H119" s="5" t="inlineStr">
        <is>
          <t>2</t>
        </is>
      </c>
      <c r="I119" s="5" t="inlineStr">
        <is>
          <t>Hyderabad</t>
        </is>
      </c>
      <c r="J119" s="5" t="inlineStr">
        <is>
          <t>Full-Time</t>
        </is>
      </c>
      <c r="K119" s="7" t="n">
        <v>44772</v>
      </c>
      <c r="L119" s="7" t="inlineStr"/>
      <c r="M119" s="5" t="inlineStr">
        <is>
          <t>Yes</t>
        </is>
      </c>
      <c r="N119" s="5" t="inlineStr"/>
      <c r="O119" s="8" t="inlineStr">
        <is>
          <t>99500</t>
        </is>
      </c>
      <c r="P119" s="5" t="inlineStr">
        <is>
          <t>0</t>
        </is>
      </c>
      <c r="Q119" s="5" t="inlineStr">
        <is>
          <t>3</t>
        </is>
      </c>
      <c r="R119" s="5" t="inlineStr">
        <is>
          <t>4</t>
        </is>
      </c>
      <c r="S119" s="5" t="inlineStr">
        <is>
          <t>41</t>
        </is>
      </c>
      <c r="T119" s="5" t="inlineStr">
        <is>
          <t>6</t>
        </is>
      </c>
      <c r="U119" s="5" t="inlineStr">
        <is>
          <t>OK</t>
        </is>
      </c>
    </row>
    <row r="120">
      <c r="A120" s="5" t="inlineStr">
        <is>
          <t>E02007</t>
        </is>
      </c>
      <c r="B120" s="5" t="inlineStr">
        <is>
          <t>Female</t>
        </is>
      </c>
      <c r="C120" s="6" t="inlineStr">
        <is>
          <t>35</t>
        </is>
      </c>
      <c r="D120" s="5" t="inlineStr">
        <is>
          <t>Divorced</t>
        </is>
      </c>
      <c r="E120" s="5" t="inlineStr">
        <is>
          <t>Diploma</t>
        </is>
      </c>
      <c r="F120" s="5" t="inlineStr">
        <is>
          <t>Operations</t>
        </is>
      </c>
      <c r="G120" s="5" t="inlineStr">
        <is>
          <t>Operations Analyst</t>
        </is>
      </c>
      <c r="H120" s="5" t="inlineStr">
        <is>
          <t>2</t>
        </is>
      </c>
      <c r="I120" s="5" t="inlineStr">
        <is>
          <t>Mumbai</t>
        </is>
      </c>
      <c r="J120" s="5" t="inlineStr">
        <is>
          <t>Full-Time</t>
        </is>
      </c>
      <c r="K120" s="7" t="n">
        <v>44599</v>
      </c>
      <c r="L120" s="7" t="inlineStr"/>
      <c r="M120" s="5" t="inlineStr">
        <is>
          <t>Yes</t>
        </is>
      </c>
      <c r="N120" s="5" t="inlineStr"/>
      <c r="O120" s="8" t="inlineStr">
        <is>
          <t>94500</t>
        </is>
      </c>
      <c r="P120" s="5" t="inlineStr">
        <is>
          <t>5</t>
        </is>
      </c>
      <c r="Q120" s="5" t="inlineStr">
        <is>
          <t>3</t>
        </is>
      </c>
      <c r="R120" s="5" t="inlineStr">
        <is>
          <t>4</t>
        </is>
      </c>
      <c r="S120" s="5" t="inlineStr">
        <is>
          <t>47</t>
        </is>
      </c>
      <c r="T120" s="5" t="inlineStr">
        <is>
          <t>11</t>
        </is>
      </c>
      <c r="U120" s="5" t="inlineStr">
        <is>
          <t>OK</t>
        </is>
      </c>
    </row>
    <row r="121">
      <c r="A121" s="5" t="inlineStr">
        <is>
          <t>E00150</t>
        </is>
      </c>
      <c r="B121" s="5" t="inlineStr">
        <is>
          <t>Male</t>
        </is>
      </c>
      <c r="C121" s="6" t="inlineStr">
        <is>
          <t>30</t>
        </is>
      </c>
      <c r="D121" s="5" t="inlineStr">
        <is>
          <t>Single</t>
        </is>
      </c>
      <c r="E121" s="5" t="inlineStr">
        <is>
          <t>PhD</t>
        </is>
      </c>
      <c r="F121" s="5" t="inlineStr">
        <is>
          <t>Human Resources</t>
        </is>
      </c>
      <c r="G121" s="5" t="inlineStr">
        <is>
          <t>Recruiter</t>
        </is>
      </c>
      <c r="H121" s="5" t="inlineStr">
        <is>
          <t>1</t>
        </is>
      </c>
      <c r="I121" s="5" t="inlineStr">
        <is>
          <t>Mumbai</t>
        </is>
      </c>
      <c r="J121" s="5" t="inlineStr">
        <is>
          <t>Full-Time</t>
        </is>
      </c>
      <c r="K121" s="7" t="n">
        <v>46005</v>
      </c>
      <c r="L121" s="7" t="inlineStr"/>
      <c r="M121" s="5" t="inlineStr">
        <is>
          <t>Yes</t>
        </is>
      </c>
      <c r="N121" s="5" t="inlineStr"/>
      <c r="O121" s="8" t="inlineStr">
        <is>
          <t>66500</t>
        </is>
      </c>
      <c r="P121" s="5" t="inlineStr">
        <is>
          <t>0</t>
        </is>
      </c>
      <c r="Q121" s="5" t="inlineStr">
        <is>
          <t>5</t>
        </is>
      </c>
      <c r="R121" s="5" t="inlineStr">
        <is>
          <t>5</t>
        </is>
      </c>
      <c r="S121" s="5" t="inlineStr">
        <is>
          <t>1</t>
        </is>
      </c>
      <c r="T121" s="5" t="inlineStr">
        <is>
          <t>16</t>
        </is>
      </c>
      <c r="U121" s="5" t="inlineStr">
        <is>
          <t>OK</t>
        </is>
      </c>
    </row>
    <row r="122">
      <c r="A122" s="5" t="inlineStr">
        <is>
          <t>E02753</t>
        </is>
      </c>
      <c r="B122" s="5" t="inlineStr">
        <is>
          <t>Male</t>
        </is>
      </c>
      <c r="C122" s="6" t="inlineStr">
        <is>
          <t>28</t>
        </is>
      </c>
      <c r="D122" s="5" t="inlineStr">
        <is>
          <t>Single</t>
        </is>
      </c>
      <c r="E122" s="5" t="inlineStr">
        <is>
          <t>Diploma</t>
        </is>
      </c>
      <c r="F122" s="5" t="inlineStr">
        <is>
          <t>Operations</t>
        </is>
      </c>
      <c r="G122" s="5" t="inlineStr">
        <is>
          <t>Logistics Coordinator</t>
        </is>
      </c>
      <c r="H122" s="5" t="inlineStr">
        <is>
          <t>1</t>
        </is>
      </c>
      <c r="I122" s="5" t="inlineStr">
        <is>
          <t>Bengaluru</t>
        </is>
      </c>
      <c r="J122" s="5" t="inlineStr">
        <is>
          <t>Full-Time</t>
        </is>
      </c>
      <c r="K122" s="7" t="n">
        <v>45906</v>
      </c>
      <c r="L122" s="7" t="n">
        <v>45988</v>
      </c>
      <c r="M122" s="5" t="inlineStr">
        <is>
          <t>No</t>
        </is>
      </c>
      <c r="N122" s="5" t="inlineStr">
        <is>
          <t>Performance / Termination</t>
        </is>
      </c>
      <c r="O122" s="8" t="inlineStr">
        <is>
          <t>89000</t>
        </is>
      </c>
      <c r="P122" s="5" t="inlineStr">
        <is>
          <t>0</t>
        </is>
      </c>
      <c r="Q122" s="5" t="inlineStr">
        <is>
          <t>4</t>
        </is>
      </c>
      <c r="R122" s="5" t="inlineStr">
        <is>
          <t>6</t>
        </is>
      </c>
      <c r="S122" s="5" t="inlineStr">
        <is>
          <t>2</t>
        </is>
      </c>
      <c r="T122" s="5" t="inlineStr">
        <is>
          <t>8</t>
        </is>
      </c>
      <c r="U122" s="5" t="inlineStr">
        <is>
          <t>OK</t>
        </is>
      </c>
    </row>
    <row r="123">
      <c r="A123" s="5" t="inlineStr">
        <is>
          <t>E00465</t>
        </is>
      </c>
      <c r="B123" s="5" t="inlineStr">
        <is>
          <t>Male</t>
        </is>
      </c>
      <c r="C123" s="6" t="inlineStr">
        <is>
          <t>36</t>
        </is>
      </c>
      <c r="D123" s="5" t="inlineStr">
        <is>
          <t>Single</t>
        </is>
      </c>
      <c r="E123" s="5" t="inlineStr">
        <is>
          <t>PhD</t>
        </is>
      </c>
      <c r="F123" s="5" t="inlineStr">
        <is>
          <t>Sales</t>
        </is>
      </c>
      <c r="G123" s="5" t="inlineStr">
        <is>
          <t>Account Executive</t>
        </is>
      </c>
      <c r="H123" s="5" t="inlineStr">
        <is>
          <t>3</t>
        </is>
      </c>
      <c r="I123" s="5" t="inlineStr">
        <is>
          <t>Bengaluru</t>
        </is>
      </c>
      <c r="J123" s="5" t="inlineStr">
        <is>
          <t>Full-Time</t>
        </is>
      </c>
      <c r="K123" s="7" t="n">
        <v>45012</v>
      </c>
      <c r="L123" s="7" t="inlineStr"/>
      <c r="M123" s="5" t="inlineStr">
        <is>
          <t>Yes</t>
        </is>
      </c>
      <c r="N123" s="5" t="inlineStr"/>
      <c r="O123" s="8" t="inlineStr">
        <is>
          <t>81000</t>
        </is>
      </c>
      <c r="P123" s="5" t="inlineStr">
        <is>
          <t>10</t>
        </is>
      </c>
      <c r="Q123" s="5" t="inlineStr">
        <is>
          <t>3</t>
        </is>
      </c>
      <c r="R123" s="5" t="inlineStr">
        <is>
          <t>7</t>
        </is>
      </c>
      <c r="S123" s="5" t="inlineStr">
        <is>
          <t>33</t>
        </is>
      </c>
      <c r="T123" s="5" t="inlineStr">
        <is>
          <t>0</t>
        </is>
      </c>
      <c r="U123" s="5" t="inlineStr">
        <is>
          <t>OK</t>
        </is>
      </c>
    </row>
    <row r="124">
      <c r="A124" s="5" t="inlineStr">
        <is>
          <t>E01301</t>
        </is>
      </c>
      <c r="B124" s="5" t="inlineStr">
        <is>
          <t>Female</t>
        </is>
      </c>
      <c r="C124" s="6" t="inlineStr">
        <is>
          <t>27</t>
        </is>
      </c>
      <c r="D124" s="5" t="inlineStr">
        <is>
          <t>Single</t>
        </is>
      </c>
      <c r="E124" s="5" t="inlineStr">
        <is>
          <t>High School</t>
        </is>
      </c>
      <c r="F124" s="5" t="inlineStr">
        <is>
          <t>IT</t>
        </is>
      </c>
      <c r="G124" s="5" t="inlineStr">
        <is>
          <t>Data Analyst</t>
        </is>
      </c>
      <c r="H124" s="5" t="inlineStr">
        <is>
          <t>1</t>
        </is>
      </c>
      <c r="I124" s="5" t="inlineStr">
        <is>
          <t>Remote</t>
        </is>
      </c>
      <c r="J124" s="5" t="inlineStr">
        <is>
          <t>Full-Time</t>
        </is>
      </c>
      <c r="K124" s="7" t="n">
        <v>44444</v>
      </c>
      <c r="L124" s="7" t="n">
        <v>44533</v>
      </c>
      <c r="M124" s="5" t="inlineStr">
        <is>
          <t>No</t>
        </is>
      </c>
      <c r="N124" s="5" t="inlineStr">
        <is>
          <t>Resigned</t>
        </is>
      </c>
      <c r="O124" s="8" t="inlineStr">
        <is>
          <t>92000</t>
        </is>
      </c>
      <c r="P124" s="5" t="inlineStr">
        <is>
          <t>0</t>
        </is>
      </c>
      <c r="Q124" s="5" t="inlineStr">
        <is>
          <t>3</t>
        </is>
      </c>
      <c r="R124" s="5" t="inlineStr">
        <is>
          <t>9</t>
        </is>
      </c>
      <c r="S124" s="5" t="inlineStr">
        <is>
          <t>2</t>
        </is>
      </c>
      <c r="T124" s="5" t="inlineStr">
        <is>
          <t>5</t>
        </is>
      </c>
      <c r="U124" s="5" t="inlineStr">
        <is>
          <t>OK</t>
        </is>
      </c>
    </row>
    <row r="125">
      <c r="A125" s="5" t="inlineStr">
        <is>
          <t>E01233</t>
        </is>
      </c>
      <c r="B125" s="5" t="inlineStr">
        <is>
          <t>Male</t>
        </is>
      </c>
      <c r="C125" s="6" t="inlineStr">
        <is>
          <t>37</t>
        </is>
      </c>
      <c r="D125" s="5" t="inlineStr">
        <is>
          <t>Married</t>
        </is>
      </c>
      <c r="E125" s="5" t="inlineStr">
        <is>
          <t>Bachelor</t>
        </is>
      </c>
      <c r="F125" s="5" t="inlineStr">
        <is>
          <t>Human Resources</t>
        </is>
      </c>
      <c r="G125" s="5" t="inlineStr">
        <is>
          <t>HR Analyst</t>
        </is>
      </c>
      <c r="H125" s="5" t="inlineStr">
        <is>
          <t>3</t>
        </is>
      </c>
      <c r="I125" s="5" t="inlineStr">
        <is>
          <t>Delhi</t>
        </is>
      </c>
      <c r="J125" s="5" t="inlineStr">
        <is>
          <t>Full-Time</t>
        </is>
      </c>
      <c r="K125" s="7" t="n">
        <v>45209</v>
      </c>
      <c r="L125" s="7" t="inlineStr"/>
      <c r="M125" s="5" t="inlineStr">
        <is>
          <t>Yes</t>
        </is>
      </c>
      <c r="N125" s="5" t="inlineStr"/>
      <c r="O125" s="8" t="inlineStr">
        <is>
          <t>105000</t>
        </is>
      </c>
      <c r="P125" s="5" t="inlineStr">
        <is>
          <t>0</t>
        </is>
      </c>
      <c r="Q125" s="5" t="inlineStr">
        <is>
          <t>4</t>
        </is>
      </c>
      <c r="R125" s="5" t="inlineStr">
        <is>
          <t>7</t>
        </is>
      </c>
      <c r="S125" s="5" t="inlineStr">
        <is>
          <t>27</t>
        </is>
      </c>
      <c r="T125" s="5" t="inlineStr">
        <is>
          <t>6</t>
        </is>
      </c>
      <c r="U125" s="5" t="inlineStr">
        <is>
          <t>OK</t>
        </is>
      </c>
    </row>
    <row r="126">
      <c r="A126" s="5" t="inlineStr">
        <is>
          <t>E02992</t>
        </is>
      </c>
      <c r="B126" s="5" t="inlineStr">
        <is>
          <t>Male</t>
        </is>
      </c>
      <c r="C126" s="6" t="inlineStr">
        <is>
          <t>28</t>
        </is>
      </c>
      <c r="D126" s="5" t="inlineStr">
        <is>
          <t>Married</t>
        </is>
      </c>
      <c r="E126" s="5" t="inlineStr">
        <is>
          <t>PhD</t>
        </is>
      </c>
      <c r="F126" s="5" t="inlineStr">
        <is>
          <t>IT</t>
        </is>
      </c>
      <c r="G126" s="5" t="inlineStr">
        <is>
          <t>DevOps Engineer</t>
        </is>
      </c>
      <c r="H126" s="5" t="inlineStr">
        <is>
          <t>3</t>
        </is>
      </c>
      <c r="I126" s="5" t="inlineStr">
        <is>
          <t>Chennai</t>
        </is>
      </c>
      <c r="J126" s="5" t="inlineStr">
        <is>
          <t>Full-Time</t>
        </is>
      </c>
      <c r="K126" s="7" t="n">
        <v>44660</v>
      </c>
      <c r="L126" s="7" t="inlineStr"/>
      <c r="M126" s="5" t="inlineStr">
        <is>
          <t>Yes</t>
        </is>
      </c>
      <c r="N126" s="5" t="inlineStr"/>
      <c r="O126" s="8" t="inlineStr">
        <is>
          <t>165000</t>
        </is>
      </c>
      <c r="P126" s="5" t="inlineStr">
        <is>
          <t>0</t>
        </is>
      </c>
      <c r="Q126" s="5" t="inlineStr">
        <is>
          <t>2</t>
        </is>
      </c>
      <c r="R126" s="5" t="inlineStr">
        <is>
          <t>8</t>
        </is>
      </c>
      <c r="S126" s="5" t="inlineStr">
        <is>
          <t>45</t>
        </is>
      </c>
      <c r="T126" s="5" t="inlineStr">
        <is>
          <t>7</t>
        </is>
      </c>
      <c r="U126" s="5" t="inlineStr">
        <is>
          <t>OK</t>
        </is>
      </c>
    </row>
    <row r="127">
      <c r="A127" s="5" t="inlineStr">
        <is>
          <t>E01010</t>
        </is>
      </c>
      <c r="B127" s="5" t="inlineStr">
        <is>
          <t>Female</t>
        </is>
      </c>
      <c r="C127" s="6" t="inlineStr">
        <is>
          <t>32</t>
        </is>
      </c>
      <c r="D127" s="5" t="inlineStr">
        <is>
          <t>Single</t>
        </is>
      </c>
      <c r="E127" s="5" t="inlineStr">
        <is>
          <t>Master</t>
        </is>
      </c>
      <c r="F127" s="5" t="inlineStr">
        <is>
          <t>Sales</t>
        </is>
      </c>
      <c r="G127" s="5" t="inlineStr">
        <is>
          <t>Account Executive</t>
        </is>
      </c>
      <c r="H127" s="5" t="inlineStr">
        <is>
          <t>2</t>
        </is>
      </c>
      <c r="I127" s="5" t="inlineStr">
        <is>
          <t>Mumbai</t>
        </is>
      </c>
      <c r="J127" s="5" t="inlineStr">
        <is>
          <t>Full-Time</t>
        </is>
      </c>
      <c r="K127" s="7" t="n">
        <v>45987</v>
      </c>
      <c r="L127" s="7" t="n">
        <v>46002</v>
      </c>
      <c r="M127" s="5" t="inlineStr">
        <is>
          <t>No</t>
        </is>
      </c>
      <c r="N127" s="5" t="inlineStr">
        <is>
          <t>Resigned</t>
        </is>
      </c>
      <c r="O127" s="8" t="inlineStr">
        <is>
          <t>80500</t>
        </is>
      </c>
      <c r="P127" s="5" t="inlineStr">
        <is>
          <t>5</t>
        </is>
      </c>
      <c r="Q127" s="5" t="inlineStr">
        <is>
          <t>3</t>
        </is>
      </c>
      <c r="R127" s="5" t="inlineStr">
        <is>
          <t>6</t>
        </is>
      </c>
      <c r="S127" s="5" t="inlineStr">
        <is>
          <t>1</t>
        </is>
      </c>
      <c r="T127" s="5" t="inlineStr">
        <is>
          <t>11</t>
        </is>
      </c>
      <c r="U127" s="5" t="inlineStr">
        <is>
          <t>OK</t>
        </is>
      </c>
    </row>
    <row r="128">
      <c r="A128" s="5" t="inlineStr">
        <is>
          <t>E01383</t>
        </is>
      </c>
      <c r="B128" s="5" t="inlineStr">
        <is>
          <t>Male</t>
        </is>
      </c>
      <c r="C128" s="6" t="inlineStr">
        <is>
          <t>33</t>
        </is>
      </c>
      <c r="D128" s="5" t="inlineStr">
        <is>
          <t>Single</t>
        </is>
      </c>
      <c r="E128" s="5" t="inlineStr">
        <is>
          <t>Diploma</t>
        </is>
      </c>
      <c r="F128" s="5" t="inlineStr">
        <is>
          <t>Finance</t>
        </is>
      </c>
      <c r="G128" s="5" t="inlineStr">
        <is>
          <t>Accountant</t>
        </is>
      </c>
      <c r="H128" s="5" t="inlineStr">
        <is>
          <t>5</t>
        </is>
      </c>
      <c r="I128" s="5" t="inlineStr">
        <is>
          <t>Chennai</t>
        </is>
      </c>
      <c r="J128" s="5" t="inlineStr">
        <is>
          <t>Full-Time</t>
        </is>
      </c>
      <c r="K128" s="7" t="n">
        <v>45281</v>
      </c>
      <c r="L128" s="7" t="inlineStr"/>
      <c r="M128" s="5" t="inlineStr">
        <is>
          <t>Yes</t>
        </is>
      </c>
      <c r="N128" s="5" t="inlineStr"/>
      <c r="O128" s="8" t="inlineStr">
        <is>
          <t>135000</t>
        </is>
      </c>
      <c r="P128" s="5" t="inlineStr">
        <is>
          <t>0</t>
        </is>
      </c>
      <c r="Q128" s="5" t="inlineStr">
        <is>
          <t>2</t>
        </is>
      </c>
      <c r="R128" s="5" t="inlineStr">
        <is>
          <t>5</t>
        </is>
      </c>
      <c r="S128" s="5" t="inlineStr">
        <is>
          <t>24</t>
        </is>
      </c>
      <c r="T128" s="5" t="inlineStr">
        <is>
          <t>6</t>
        </is>
      </c>
      <c r="U128" s="5" t="inlineStr">
        <is>
          <t>OK</t>
        </is>
      </c>
    </row>
    <row r="129">
      <c r="A129" s="5" t="inlineStr">
        <is>
          <t>E02997</t>
        </is>
      </c>
      <c r="B129" s="5" t="inlineStr">
        <is>
          <t>Male</t>
        </is>
      </c>
      <c r="C129" s="6" t="inlineStr">
        <is>
          <t>43</t>
        </is>
      </c>
      <c r="D129" s="5" t="inlineStr">
        <is>
          <t>Married</t>
        </is>
      </c>
      <c r="E129" s="5" t="inlineStr">
        <is>
          <t>Diploma</t>
        </is>
      </c>
      <c r="F129" s="5" t="inlineStr">
        <is>
          <t>Sales</t>
        </is>
      </c>
      <c r="G129" s="5" t="inlineStr">
        <is>
          <t>Sales Executive</t>
        </is>
      </c>
      <c r="H129" s="5" t="inlineStr">
        <is>
          <t>6</t>
        </is>
      </c>
      <c r="I129" s="5" t="inlineStr">
        <is>
          <t>Delhi</t>
        </is>
      </c>
      <c r="J129" s="5" t="inlineStr">
        <is>
          <t>Full-Time</t>
        </is>
      </c>
      <c r="K129" s="7" t="n">
        <v>45046</v>
      </c>
      <c r="L129" s="7" t="inlineStr"/>
      <c r="M129" s="5" t="inlineStr">
        <is>
          <t>Yes</t>
        </is>
      </c>
      <c r="N129" s="5" t="inlineStr"/>
      <c r="O129" s="8" t="inlineStr">
        <is>
          <t>184500</t>
        </is>
      </c>
      <c r="P129" s="5" t="inlineStr">
        <is>
          <t>10</t>
        </is>
      </c>
      <c r="Q129" s="5" t="inlineStr">
        <is>
          <t>5</t>
        </is>
      </c>
      <c r="R129" s="5" t="inlineStr">
        <is>
          <t>8</t>
        </is>
      </c>
      <c r="S129" s="5" t="inlineStr">
        <is>
          <t>32</t>
        </is>
      </c>
      <c r="T129" s="5" t="inlineStr">
        <is>
          <t>0</t>
        </is>
      </c>
      <c r="U129" s="5" t="inlineStr">
        <is>
          <t>OK</t>
        </is>
      </c>
    </row>
    <row r="130">
      <c r="A130" s="5" t="inlineStr">
        <is>
          <t>E00988</t>
        </is>
      </c>
      <c r="B130" s="5" t="inlineStr">
        <is>
          <t>Female</t>
        </is>
      </c>
      <c r="C130" s="6" t="inlineStr">
        <is>
          <t>30</t>
        </is>
      </c>
      <c r="D130" s="5" t="inlineStr">
        <is>
          <t>Married</t>
        </is>
      </c>
      <c r="E130" s="5" t="inlineStr">
        <is>
          <t>Bachelor</t>
        </is>
      </c>
      <c r="F130" s="5" t="inlineStr">
        <is>
          <t>Finance</t>
        </is>
      </c>
      <c r="G130" s="5" t="inlineStr">
        <is>
          <t>Credit Analyst</t>
        </is>
      </c>
      <c r="H130" s="5" t="inlineStr">
        <is>
          <t>2</t>
        </is>
      </c>
      <c r="I130" s="5" t="inlineStr">
        <is>
          <t>Delhi</t>
        </is>
      </c>
      <c r="J130" s="5" t="inlineStr">
        <is>
          <t>Full-Time</t>
        </is>
      </c>
      <c r="K130" s="7" t="n">
        <v>44281</v>
      </c>
      <c r="L130" s="7" t="inlineStr"/>
      <c r="M130" s="5" t="inlineStr">
        <is>
          <t>Yes</t>
        </is>
      </c>
      <c r="N130" s="5" t="inlineStr"/>
      <c r="O130" s="8" t="inlineStr">
        <is>
          <t>110500</t>
        </is>
      </c>
      <c r="P130" s="5" t="inlineStr">
        <is>
          <t>10</t>
        </is>
      </c>
      <c r="Q130" s="5" t="inlineStr">
        <is>
          <t>5</t>
        </is>
      </c>
      <c r="R130" s="5" t="inlineStr">
        <is>
          <t>6</t>
        </is>
      </c>
      <c r="S130" s="5" t="inlineStr">
        <is>
          <t>58</t>
        </is>
      </c>
      <c r="T130" s="5" t="inlineStr">
        <is>
          <t>0</t>
        </is>
      </c>
      <c r="U130" s="5" t="inlineStr">
        <is>
          <t>OK</t>
        </is>
      </c>
    </row>
    <row r="131">
      <c r="A131" s="5" t="inlineStr">
        <is>
          <t>E01071</t>
        </is>
      </c>
      <c r="B131" s="5" t="inlineStr">
        <is>
          <t>Female</t>
        </is>
      </c>
      <c r="C131" s="6" t="inlineStr">
        <is>
          <t>26</t>
        </is>
      </c>
      <c r="D131" s="5" t="inlineStr">
        <is>
          <t>Single</t>
        </is>
      </c>
      <c r="E131" s="5" t="inlineStr">
        <is>
          <t>Master</t>
        </is>
      </c>
      <c r="F131" s="5" t="inlineStr">
        <is>
          <t>Customer Support</t>
        </is>
      </c>
      <c r="G131" s="5" t="inlineStr">
        <is>
          <t>Support Agent</t>
        </is>
      </c>
      <c r="H131" s="5" t="inlineStr">
        <is>
          <t>2</t>
        </is>
      </c>
      <c r="I131" s="5" t="inlineStr">
        <is>
          <t>Hyderabad</t>
        </is>
      </c>
      <c r="J131" s="5" t="inlineStr">
        <is>
          <t>Full-Time</t>
        </is>
      </c>
      <c r="K131" s="7" t="n">
        <v>44527</v>
      </c>
      <c r="L131" s="7" t="inlineStr"/>
      <c r="M131" s="5" t="inlineStr">
        <is>
          <t>Yes</t>
        </is>
      </c>
      <c r="N131" s="5" t="inlineStr"/>
      <c r="O131" s="8" t="inlineStr">
        <is>
          <t>58000</t>
        </is>
      </c>
      <c r="P131" s="5" t="inlineStr">
        <is>
          <t>10</t>
        </is>
      </c>
      <c r="Q131" s="5" t="inlineStr">
        <is>
          <t>5</t>
        </is>
      </c>
      <c r="R131" s="5" t="inlineStr">
        <is>
          <t>6</t>
        </is>
      </c>
      <c r="S131" s="5" t="inlineStr">
        <is>
          <t>49</t>
        </is>
      </c>
      <c r="T131" s="5" t="inlineStr">
        <is>
          <t>0</t>
        </is>
      </c>
      <c r="U131" s="5" t="inlineStr">
        <is>
          <t>OK</t>
        </is>
      </c>
    </row>
    <row r="132">
      <c r="A132" s="5" t="inlineStr">
        <is>
          <t>E02291</t>
        </is>
      </c>
      <c r="B132" s="5" t="inlineStr">
        <is>
          <t>female</t>
        </is>
      </c>
      <c r="C132" s="6" t="inlineStr">
        <is>
          <t>35</t>
        </is>
      </c>
      <c r="D132" s="5" t="inlineStr">
        <is>
          <t>Single</t>
        </is>
      </c>
      <c r="E132" s="5" t="inlineStr">
        <is>
          <t>Master</t>
        </is>
      </c>
      <c r="F132" s="5" t="inlineStr">
        <is>
          <t>Customer Support</t>
        </is>
      </c>
      <c r="G132" s="5" t="inlineStr">
        <is>
          <t>Support Lead</t>
        </is>
      </c>
      <c r="H132" s="5" t="inlineStr">
        <is>
          <t>2</t>
        </is>
      </c>
      <c r="I132" s="5" t="inlineStr">
        <is>
          <t>Delhi</t>
        </is>
      </c>
      <c r="J132" s="5" t="inlineStr">
        <is>
          <t>Full-Time</t>
        </is>
      </c>
      <c r="K132" s="7" t="n">
        <v>45535</v>
      </c>
      <c r="L132" s="7" t="inlineStr"/>
      <c r="M132" s="5" t="inlineStr">
        <is>
          <t>Yes</t>
        </is>
      </c>
      <c r="N132" s="5" t="inlineStr"/>
      <c r="O132" s="8" t="inlineStr">
        <is>
          <t>83500</t>
        </is>
      </c>
      <c r="P132" s="5" t="inlineStr">
        <is>
          <t>10</t>
        </is>
      </c>
      <c r="Q132" s="5" t="inlineStr">
        <is>
          <t>4</t>
        </is>
      </c>
      <c r="R132" s="5" t="inlineStr">
        <is>
          <t>4</t>
        </is>
      </c>
      <c r="S132" s="5" t="inlineStr">
        <is>
          <t>16</t>
        </is>
      </c>
      <c r="T132" s="5" t="inlineStr">
        <is>
          <t>20</t>
        </is>
      </c>
      <c r="U132" s="5" t="inlineStr">
        <is>
          <t>OK</t>
        </is>
      </c>
    </row>
    <row r="133">
      <c r="A133" s="5" t="inlineStr">
        <is>
          <t>E02048</t>
        </is>
      </c>
      <c r="B133" s="5" t="inlineStr">
        <is>
          <t>Male</t>
        </is>
      </c>
      <c r="C133" s="6" t="inlineStr">
        <is>
          <t>35</t>
        </is>
      </c>
      <c r="D133" s="5" t="inlineStr">
        <is>
          <t>Married</t>
        </is>
      </c>
      <c r="E133" s="5" t="inlineStr">
        <is>
          <t>Master</t>
        </is>
      </c>
      <c r="F133" s="5" t="inlineStr">
        <is>
          <t>Research &amp; Development</t>
        </is>
      </c>
      <c r="G133" s="5" t="inlineStr">
        <is>
          <t>Product Engineer</t>
        </is>
      </c>
      <c r="H133" s="5" t="inlineStr">
        <is>
          <t>7</t>
        </is>
      </c>
      <c r="I133" s="5" t="inlineStr">
        <is>
          <t>Mumbai</t>
        </is>
      </c>
      <c r="J133" s="5" t="inlineStr">
        <is>
          <t>Full-Time</t>
        </is>
      </c>
      <c r="K133" s="7" t="n">
        <v>44802</v>
      </c>
      <c r="L133" s="7" t="inlineStr"/>
      <c r="M133" s="5" t="inlineStr">
        <is>
          <t>Yes</t>
        </is>
      </c>
      <c r="N133" s="5" t="inlineStr"/>
      <c r="O133" s="8" t="inlineStr">
        <is>
          <t>303000</t>
        </is>
      </c>
      <c r="P133" s="5" t="inlineStr">
        <is>
          <t>10</t>
        </is>
      </c>
      <c r="Q133" s="5" t="inlineStr">
        <is>
          <t>3</t>
        </is>
      </c>
      <c r="R133" s="5" t="inlineStr">
        <is>
          <t>6</t>
        </is>
      </c>
      <c r="S133" s="5" t="inlineStr">
        <is>
          <t>40</t>
        </is>
      </c>
      <c r="T133" s="5" t="inlineStr">
        <is>
          <t>5</t>
        </is>
      </c>
      <c r="U133" s="5" t="inlineStr">
        <is>
          <t>OK</t>
        </is>
      </c>
    </row>
    <row r="134">
      <c r="A134" s="5" t="inlineStr">
        <is>
          <t>E02396</t>
        </is>
      </c>
      <c r="B134" s="5" t="inlineStr">
        <is>
          <t>Female</t>
        </is>
      </c>
      <c r="C134" s="6" t="inlineStr">
        <is>
          <t>30</t>
        </is>
      </c>
      <c r="D134" s="5" t="inlineStr">
        <is>
          <t>Single</t>
        </is>
      </c>
      <c r="E134" s="5" t="inlineStr">
        <is>
          <t>PhD</t>
        </is>
      </c>
      <c r="F134" s="5" t="inlineStr">
        <is>
          <t>Sales</t>
        </is>
      </c>
      <c r="G134" s="5" t="inlineStr">
        <is>
          <t>Account Executive</t>
        </is>
      </c>
      <c r="H134" s="5" t="inlineStr">
        <is>
          <t>3</t>
        </is>
      </c>
      <c r="I134" s="5" t="inlineStr">
        <is>
          <t>Delhi</t>
        </is>
      </c>
      <c r="J134" s="5" t="inlineStr">
        <is>
          <t>Full-Time</t>
        </is>
      </c>
      <c r="K134" s="7" t="n">
        <v>45431</v>
      </c>
      <c r="L134" s="7" t="inlineStr"/>
      <c r="M134" s="5" t="inlineStr">
        <is>
          <t>Yes</t>
        </is>
      </c>
      <c r="N134" s="5" t="inlineStr"/>
      <c r="O134" s="8" t="inlineStr">
        <is>
          <t>80000</t>
        </is>
      </c>
      <c r="P134" s="5" t="inlineStr">
        <is>
          <t>5</t>
        </is>
      </c>
      <c r="Q134" s="5" t="inlineStr">
        <is>
          <t>3</t>
        </is>
      </c>
      <c r="R134" s="5" t="inlineStr">
        <is>
          <t>2</t>
        </is>
      </c>
      <c r="S134" s="5" t="inlineStr">
        <is>
          <t>19</t>
        </is>
      </c>
      <c r="T134" s="5" t="inlineStr">
        <is>
          <t>10</t>
        </is>
      </c>
      <c r="U134" s="5" t="inlineStr">
        <is>
          <t>OK</t>
        </is>
      </c>
    </row>
    <row r="135">
      <c r="A135" s="5" t="inlineStr">
        <is>
          <t>E02560</t>
        </is>
      </c>
      <c r="B135" s="5" t="inlineStr">
        <is>
          <t>Female</t>
        </is>
      </c>
      <c r="C135" s="6" t="inlineStr">
        <is>
          <t>31</t>
        </is>
      </c>
      <c r="D135" s="5" t="inlineStr">
        <is>
          <t>Divorced</t>
        </is>
      </c>
      <c r="E135" s="5" t="inlineStr">
        <is>
          <t>High School</t>
        </is>
      </c>
      <c r="F135" s="5" t="inlineStr">
        <is>
          <t>Customer Support</t>
        </is>
      </c>
      <c r="G135" s="5" t="inlineStr">
        <is>
          <t>Support Lead</t>
        </is>
      </c>
      <c r="H135" s="5" t="inlineStr">
        <is>
          <t>4</t>
        </is>
      </c>
      <c r="I135" s="5" t="inlineStr">
        <is>
          <t>Chennai</t>
        </is>
      </c>
      <c r="J135" s="5" t="inlineStr">
        <is>
          <t>Full-Time</t>
        </is>
      </c>
      <c r="K135" s="7" t="n">
        <v>45574</v>
      </c>
      <c r="L135" s="7" t="n">
        <v>45639</v>
      </c>
      <c r="M135" s="5" t="inlineStr">
        <is>
          <t>No</t>
        </is>
      </c>
      <c r="N135" s="5" t="inlineStr">
        <is>
          <t>Resigned</t>
        </is>
      </c>
      <c r="O135" s="8" t="inlineStr">
        <is>
          <t>91500</t>
        </is>
      </c>
      <c r="P135" s="5" t="inlineStr">
        <is>
          <t>0</t>
        </is>
      </c>
      <c r="Q135" s="5" t="inlineStr">
        <is>
          <t>2</t>
        </is>
      </c>
      <c r="R135" s="5" t="inlineStr">
        <is>
          <t>8</t>
        </is>
      </c>
      <c r="S135" s="5" t="inlineStr">
        <is>
          <t>2</t>
        </is>
      </c>
      <c r="T135" s="5" t="inlineStr">
        <is>
          <t>7</t>
        </is>
      </c>
      <c r="U135" s="5" t="inlineStr">
        <is>
          <t>OK</t>
        </is>
      </c>
    </row>
    <row r="136">
      <c r="A136" s="5" t="inlineStr">
        <is>
          <t>E01597</t>
        </is>
      </c>
      <c r="B136" s="5" t="inlineStr">
        <is>
          <t>Male</t>
        </is>
      </c>
      <c r="C136" s="6" t="inlineStr">
        <is>
          <t>38</t>
        </is>
      </c>
      <c r="D136" s="5" t="inlineStr">
        <is>
          <t>Married</t>
        </is>
      </c>
      <c r="E136" s="5" t="inlineStr">
        <is>
          <t>Diploma</t>
        </is>
      </c>
      <c r="F136" s="5" t="inlineStr">
        <is>
          <t>Customer Support</t>
        </is>
      </c>
      <c r="G136" s="5" t="inlineStr">
        <is>
          <t>Support Lead</t>
        </is>
      </c>
      <c r="H136" s="5" t="inlineStr">
        <is>
          <t>6</t>
        </is>
      </c>
      <c r="I136" s="5" t="inlineStr">
        <is>
          <t>Chennai</t>
        </is>
      </c>
      <c r="J136" s="5" t="inlineStr">
        <is>
          <t>Part-Time</t>
        </is>
      </c>
      <c r="K136" s="7" t="n">
        <v>45875</v>
      </c>
      <c r="L136" s="7" t="n">
        <v>45915</v>
      </c>
      <c r="M136" s="5" t="inlineStr">
        <is>
          <t>No</t>
        </is>
      </c>
      <c r="N136" s="5" t="inlineStr">
        <is>
          <t>Retirement</t>
        </is>
      </c>
      <c r="O136" s="8" t="inlineStr">
        <is>
          <t>108000</t>
        </is>
      </c>
      <c r="P136" s="5" t="inlineStr">
        <is>
          <t>0</t>
        </is>
      </c>
      <c r="Q136" s="5" t="inlineStr">
        <is>
          <t>3</t>
        </is>
      </c>
      <c r="R136" s="5" t="inlineStr">
        <is>
          <t>7</t>
        </is>
      </c>
      <c r="S136" s="5" t="inlineStr">
        <is>
          <t>1</t>
        </is>
      </c>
      <c r="T136" s="5" t="inlineStr">
        <is>
          <t>12</t>
        </is>
      </c>
      <c r="U136" s="5" t="inlineStr">
        <is>
          <t>OK</t>
        </is>
      </c>
    </row>
    <row r="137">
      <c r="A137" s="5" t="inlineStr">
        <is>
          <t>E02950</t>
        </is>
      </c>
      <c r="B137" s="5" t="inlineStr">
        <is>
          <t>Female</t>
        </is>
      </c>
      <c r="C137" s="6" t="inlineStr">
        <is>
          <t>29</t>
        </is>
      </c>
      <c r="D137" s="5" t="inlineStr">
        <is>
          <t>Married</t>
        </is>
      </c>
      <c r="E137" s="5" t="inlineStr">
        <is>
          <t>Diploma</t>
        </is>
      </c>
      <c r="F137" s="5" t="inlineStr">
        <is>
          <t>Research &amp; Development</t>
        </is>
      </c>
      <c r="G137" s="5" t="inlineStr">
        <is>
          <t>Research Scientist</t>
        </is>
      </c>
      <c r="H137" s="5" t="inlineStr">
        <is>
          <t>4</t>
        </is>
      </c>
      <c r="I137" s="5" t="inlineStr">
        <is>
          <t>Remote</t>
        </is>
      </c>
      <c r="J137" s="5" t="inlineStr">
        <is>
          <t>Full-Time</t>
        </is>
      </c>
      <c r="K137" s="7" t="n">
        <v>43913</v>
      </c>
      <c r="L137" s="7" t="inlineStr"/>
      <c r="M137" s="5" t="inlineStr">
        <is>
          <t>Yes</t>
        </is>
      </c>
      <c r="N137" s="5" t="inlineStr"/>
      <c r="O137" s="8" t="inlineStr">
        <is>
          <t>186500</t>
        </is>
      </c>
      <c r="P137" s="5" t="inlineStr">
        <is>
          <t>15</t>
        </is>
      </c>
      <c r="Q137" s="5" t="inlineStr">
        <is>
          <t>3</t>
        </is>
      </c>
      <c r="R137" s="5" t="inlineStr">
        <is>
          <t>7</t>
        </is>
      </c>
      <c r="S137" s="5" t="inlineStr">
        <is>
          <t>70</t>
        </is>
      </c>
      <c r="T137" s="5" t="inlineStr">
        <is>
          <t>0</t>
        </is>
      </c>
      <c r="U137" s="5" t="inlineStr">
        <is>
          <t>OK</t>
        </is>
      </c>
    </row>
    <row r="138">
      <c r="A138" s="5" t="inlineStr">
        <is>
          <t>E01917</t>
        </is>
      </c>
      <c r="B138" s="5" t="inlineStr">
        <is>
          <t>Male</t>
        </is>
      </c>
      <c r="C138" s="6" t="inlineStr">
        <is>
          <t>27</t>
        </is>
      </c>
      <c r="D138" s="5" t="inlineStr">
        <is>
          <t>Married</t>
        </is>
      </c>
      <c r="E138" s="5" t="inlineStr">
        <is>
          <t>High School</t>
        </is>
      </c>
      <c r="F138" s="5" t="inlineStr">
        <is>
          <t>Operations</t>
        </is>
      </c>
      <c r="G138" s="5" t="inlineStr">
        <is>
          <t>Operations Analyst</t>
        </is>
      </c>
      <c r="H138" s="5" t="inlineStr">
        <is>
          <t>2</t>
        </is>
      </c>
      <c r="I138" s="5" t="inlineStr">
        <is>
          <t>Bengaluru</t>
        </is>
      </c>
      <c r="J138" s="5" t="inlineStr">
        <is>
          <t>Full-Time</t>
        </is>
      </c>
      <c r="K138" s="7" t="n">
        <v>44327</v>
      </c>
      <c r="L138" s="7" t="inlineStr"/>
      <c r="M138" s="5" t="inlineStr">
        <is>
          <t>Yes</t>
        </is>
      </c>
      <c r="N138" s="5" t="inlineStr"/>
      <c r="O138" s="8" t="inlineStr">
        <is>
          <t>80000</t>
        </is>
      </c>
      <c r="P138" s="5" t="inlineStr">
        <is>
          <t>0</t>
        </is>
      </c>
      <c r="Q138" s="5" t="inlineStr">
        <is>
          <t>5</t>
        </is>
      </c>
      <c r="R138" s="5" t="inlineStr">
        <is>
          <t>6</t>
        </is>
      </c>
      <c r="S138" s="5" t="inlineStr">
        <is>
          <t>56</t>
        </is>
      </c>
      <c r="T138" s="5" t="inlineStr">
        <is>
          <t>2</t>
        </is>
      </c>
      <c r="U138" s="5" t="inlineStr">
        <is>
          <t>OK</t>
        </is>
      </c>
    </row>
    <row r="139">
      <c r="A139" s="5" t="inlineStr">
        <is>
          <t>E01603</t>
        </is>
      </c>
      <c r="B139" s="5" t="inlineStr">
        <is>
          <t>Female</t>
        </is>
      </c>
      <c r="C139" s="6" t="inlineStr">
        <is>
          <t>25</t>
        </is>
      </c>
      <c r="D139" s="5" t="inlineStr">
        <is>
          <t>Married</t>
        </is>
      </c>
      <c r="E139" s="5" t="inlineStr">
        <is>
          <t>Bachelor</t>
        </is>
      </c>
      <c r="F139" s="5" t="inlineStr">
        <is>
          <t>Operations</t>
        </is>
      </c>
      <c r="G139" s="5" t="inlineStr">
        <is>
          <t>Logistics Coordinator</t>
        </is>
      </c>
      <c r="H139" s="5" t="inlineStr">
        <is>
          <t>2</t>
        </is>
      </c>
      <c r="I139" s="5" t="inlineStr">
        <is>
          <t>Hyderabad</t>
        </is>
      </c>
      <c r="J139" s="5" t="inlineStr">
        <is>
          <t>Part-Time</t>
        </is>
      </c>
      <c r="K139" s="7" t="n">
        <v>44446</v>
      </c>
      <c r="L139" s="7" t="inlineStr"/>
      <c r="M139" s="5" t="inlineStr">
        <is>
          <t>Yes</t>
        </is>
      </c>
      <c r="N139" s="5" t="inlineStr"/>
      <c r="O139" s="8" t="inlineStr">
        <is>
          <t>98500</t>
        </is>
      </c>
      <c r="P139" s="5" t="inlineStr">
        <is>
          <t>5</t>
        </is>
      </c>
      <c r="Q139" s="5" t="inlineStr">
        <is>
          <t>2</t>
        </is>
      </c>
      <c r="R139" s="5" t="inlineStr">
        <is>
          <t>6</t>
        </is>
      </c>
      <c r="S139" s="5" t="inlineStr">
        <is>
          <t>52</t>
        </is>
      </c>
      <c r="T139" s="5" t="inlineStr">
        <is>
          <t>4</t>
        </is>
      </c>
      <c r="U139" s="5" t="inlineStr">
        <is>
          <t>OK</t>
        </is>
      </c>
    </row>
    <row r="140">
      <c r="A140" s="5" t="inlineStr">
        <is>
          <t>E01720</t>
        </is>
      </c>
      <c r="B140" s="5" t="inlineStr">
        <is>
          <t>Male</t>
        </is>
      </c>
      <c r="C140" s="6" t="inlineStr">
        <is>
          <t>34</t>
        </is>
      </c>
      <c r="D140" s="5" t="inlineStr">
        <is>
          <t>Single</t>
        </is>
      </c>
      <c r="E140" s="5" t="inlineStr">
        <is>
          <t>Bachelor</t>
        </is>
      </c>
      <c r="F140" s="5" t="inlineStr">
        <is>
          <t>Finance</t>
        </is>
      </c>
      <c r="G140" s="5" t="inlineStr">
        <is>
          <t>Financial Analyst</t>
        </is>
      </c>
      <c r="H140" s="5" t="inlineStr">
        <is>
          <t>4</t>
        </is>
      </c>
      <c r="I140" s="5" t="inlineStr">
        <is>
          <t>Remote</t>
        </is>
      </c>
      <c r="J140" s="5" t="inlineStr">
        <is>
          <t>Full-Time</t>
        </is>
      </c>
      <c r="K140" s="7" t="n">
        <v>45458</v>
      </c>
      <c r="L140" s="7" t="inlineStr"/>
      <c r="M140" s="5" t="inlineStr">
        <is>
          <t>Yes</t>
        </is>
      </c>
      <c r="N140" s="5" t="inlineStr"/>
      <c r="O140" s="8" t="inlineStr">
        <is>
          <t>151500</t>
        </is>
      </c>
      <c r="P140" s="5" t="inlineStr">
        <is>
          <t>20</t>
        </is>
      </c>
      <c r="Q140" s="5" t="inlineStr">
        <is>
          <t>3</t>
        </is>
      </c>
      <c r="R140" s="5" t="inlineStr">
        <is>
          <t>9</t>
        </is>
      </c>
      <c r="S140" s="5" t="inlineStr">
        <is>
          <t>18</t>
        </is>
      </c>
      <c r="T140" s="5" t="inlineStr">
        <is>
          <t>9</t>
        </is>
      </c>
      <c r="U140" s="5" t="inlineStr">
        <is>
          <t>OK</t>
        </is>
      </c>
    </row>
    <row r="141">
      <c r="A141" s="5" t="inlineStr">
        <is>
          <t>E01199</t>
        </is>
      </c>
      <c r="B141" s="5" t="inlineStr">
        <is>
          <t>Male</t>
        </is>
      </c>
      <c r="C141" s="6" t="inlineStr">
        <is>
          <t>33</t>
        </is>
      </c>
      <c r="D141" s="5" t="inlineStr">
        <is>
          <t>Married</t>
        </is>
      </c>
      <c r="E141" s="5" t="inlineStr">
        <is>
          <t>High School</t>
        </is>
      </c>
      <c r="F141" s="5" t="inlineStr">
        <is>
          <t>Human Resources</t>
        </is>
      </c>
      <c r="G141" s="5" t="inlineStr">
        <is>
          <t>Recruiter</t>
        </is>
      </c>
      <c r="H141" s="5" t="inlineStr">
        <is>
          <t>3</t>
        </is>
      </c>
      <c r="I141" s="5" t="inlineStr">
        <is>
          <t>Delhi</t>
        </is>
      </c>
      <c r="J141" s="5" t="inlineStr">
        <is>
          <t>Full-Time</t>
        </is>
      </c>
      <c r="K141" s="7" t="n">
        <v>45396</v>
      </c>
      <c r="L141" s="7" t="inlineStr"/>
      <c r="M141" s="5" t="inlineStr">
        <is>
          <t>Yes</t>
        </is>
      </c>
      <c r="N141" s="5" t="inlineStr"/>
      <c r="O141" s="8" t="inlineStr">
        <is>
          <t>106000</t>
        </is>
      </c>
      <c r="P141" s="5" t="inlineStr">
        <is>
          <t>5</t>
        </is>
      </c>
      <c r="Q141" s="5" t="inlineStr">
        <is>
          <t>3</t>
        </is>
      </c>
      <c r="R141" s="5" t="inlineStr">
        <is>
          <t>5</t>
        </is>
      </c>
      <c r="S141" s="5" t="inlineStr">
        <is>
          <t>20</t>
        </is>
      </c>
      <c r="T141" s="5" t="inlineStr">
        <is>
          <t>7</t>
        </is>
      </c>
      <c r="U141" s="5" t="inlineStr">
        <is>
          <t>OK</t>
        </is>
      </c>
    </row>
    <row r="142">
      <c r="A142" s="5" t="inlineStr">
        <is>
          <t>E02337</t>
        </is>
      </c>
      <c r="B142" s="5" t="inlineStr">
        <is>
          <t>Male</t>
        </is>
      </c>
      <c r="C142" s="6" t="inlineStr">
        <is>
          <t>24</t>
        </is>
      </c>
      <c r="D142" s="5" t="inlineStr">
        <is>
          <t>Married</t>
        </is>
      </c>
      <c r="E142" s="5" t="inlineStr">
        <is>
          <t>PhD</t>
        </is>
      </c>
      <c r="F142" s="5" t="inlineStr">
        <is>
          <t>Operations</t>
        </is>
      </c>
      <c r="G142" s="5" t="inlineStr">
        <is>
          <t>Quality Analyst</t>
        </is>
      </c>
      <c r="H142" s="5" t="inlineStr">
        <is>
          <t>1</t>
        </is>
      </c>
      <c r="I142" s="5" t="inlineStr">
        <is>
          <t>Remote</t>
        </is>
      </c>
      <c r="J142" s="5" t="inlineStr">
        <is>
          <t>Full-Time</t>
        </is>
      </c>
      <c r="K142" s="7" t="n">
        <v>44295</v>
      </c>
      <c r="L142" s="7" t="inlineStr"/>
      <c r="M142" s="5" t="inlineStr">
        <is>
          <t>Yes</t>
        </is>
      </c>
      <c r="N142" s="5" t="inlineStr"/>
      <c r="O142" s="8" t="inlineStr">
        <is>
          <t>66500</t>
        </is>
      </c>
      <c r="P142" s="5" t="inlineStr">
        <is>
          <t>0</t>
        </is>
      </c>
      <c r="Q142" s="5" t="inlineStr">
        <is>
          <t>4</t>
        </is>
      </c>
      <c r="R142" s="5" t="inlineStr">
        <is>
          <t>8</t>
        </is>
      </c>
      <c r="S142" s="5" t="inlineStr">
        <is>
          <t>57</t>
        </is>
      </c>
      <c r="T142" s="5" t="inlineStr">
        <is>
          <t>0</t>
        </is>
      </c>
      <c r="U142" s="5" t="inlineStr">
        <is>
          <t>OK</t>
        </is>
      </c>
    </row>
    <row r="143">
      <c r="A143" s="5" t="inlineStr">
        <is>
          <t>E02330</t>
        </is>
      </c>
      <c r="B143" s="5" t="inlineStr">
        <is>
          <t>Female</t>
        </is>
      </c>
      <c r="C143" s="6" t="inlineStr">
        <is>
          <t>37</t>
        </is>
      </c>
      <c r="D143" s="5" t="inlineStr">
        <is>
          <t>Single</t>
        </is>
      </c>
      <c r="E143" s="5" t="inlineStr">
        <is>
          <t>High School</t>
        </is>
      </c>
      <c r="F143" s="5" t="inlineStr">
        <is>
          <t>Operations</t>
        </is>
      </c>
      <c r="G143" s="5" t="inlineStr">
        <is>
          <t>Logistics Coordinator</t>
        </is>
      </c>
      <c r="H143" s="5" t="inlineStr">
        <is>
          <t>5</t>
        </is>
      </c>
      <c r="I143" s="5" t="inlineStr">
        <is>
          <t>Delhi</t>
        </is>
      </c>
      <c r="J143" s="5" t="inlineStr">
        <is>
          <t>Part-Time</t>
        </is>
      </c>
      <c r="K143" s="7" t="n">
        <v>44321</v>
      </c>
      <c r="L143" s="7" t="n">
        <v>44427</v>
      </c>
      <c r="M143" s="5" t="inlineStr">
        <is>
          <t>No</t>
        </is>
      </c>
      <c r="N143" s="5" t="inlineStr">
        <is>
          <t>Retirement</t>
        </is>
      </c>
      <c r="O143" s="8" t="inlineStr">
        <is>
          <t>136500</t>
        </is>
      </c>
      <c r="P143" s="5" t="inlineStr">
        <is>
          <t>5</t>
        </is>
      </c>
      <c r="Q143" s="5" t="inlineStr">
        <is>
          <t>3</t>
        </is>
      </c>
      <c r="R143" s="5" t="inlineStr">
        <is>
          <t>5</t>
        </is>
      </c>
      <c r="S143" s="5" t="inlineStr">
        <is>
          <t>3</t>
        </is>
      </c>
      <c r="T143" s="5" t="inlineStr">
        <is>
          <t>5</t>
        </is>
      </c>
      <c r="U143" s="5" t="inlineStr">
        <is>
          <t>OK</t>
        </is>
      </c>
    </row>
    <row r="144">
      <c r="A144" s="5" t="inlineStr">
        <is>
          <t>E00137</t>
        </is>
      </c>
      <c r="B144" s="5" t="inlineStr">
        <is>
          <t>Female</t>
        </is>
      </c>
      <c r="C144" s="6" t="inlineStr">
        <is>
          <t>36</t>
        </is>
      </c>
      <c r="D144" s="5" t="inlineStr">
        <is>
          <t>Married</t>
        </is>
      </c>
      <c r="E144" s="5" t="inlineStr">
        <is>
          <t>Bachelor</t>
        </is>
      </c>
      <c r="F144" s="5" t="inlineStr">
        <is>
          <t>IT</t>
        </is>
      </c>
      <c r="G144" s="5" t="inlineStr">
        <is>
          <t>DevOps Engineer</t>
        </is>
      </c>
      <c r="H144" s="5" t="inlineStr">
        <is>
          <t>2</t>
        </is>
      </c>
      <c r="I144" s="5" t="inlineStr">
        <is>
          <t>Hyderabad</t>
        </is>
      </c>
      <c r="J144" s="5" t="inlineStr">
        <is>
          <t>Full-Time</t>
        </is>
      </c>
      <c r="K144" s="7" t="n">
        <v>44409</v>
      </c>
      <c r="L144" s="7" t="inlineStr"/>
      <c r="M144" s="5" t="inlineStr">
        <is>
          <t>Yes</t>
        </is>
      </c>
      <c r="N144" s="5" t="inlineStr"/>
      <c r="O144" s="8" t="inlineStr">
        <is>
          <t>97500</t>
        </is>
      </c>
      <c r="P144" s="5" t="inlineStr">
        <is>
          <t>0</t>
        </is>
      </c>
      <c r="Q144" s="5" t="inlineStr">
        <is>
          <t>4</t>
        </is>
      </c>
      <c r="R144" s="5" t="inlineStr">
        <is>
          <t>5</t>
        </is>
      </c>
      <c r="S144" s="5" t="inlineStr">
        <is>
          <t>53</t>
        </is>
      </c>
      <c r="T144" s="5" t="inlineStr">
        <is>
          <t>10</t>
        </is>
      </c>
      <c r="U144" s="5" t="inlineStr">
        <is>
          <t>OK</t>
        </is>
      </c>
    </row>
    <row r="145">
      <c r="A145" s="5" t="inlineStr">
        <is>
          <t>E01679</t>
        </is>
      </c>
      <c r="B145" s="5" t="inlineStr">
        <is>
          <t>Male</t>
        </is>
      </c>
      <c r="C145" s="6" t="inlineStr">
        <is>
          <t>27</t>
        </is>
      </c>
      <c r="D145" s="5" t="inlineStr">
        <is>
          <t>Single</t>
        </is>
      </c>
      <c r="E145" s="5" t="inlineStr">
        <is>
          <t>Diploma</t>
        </is>
      </c>
      <c r="F145" s="5" t="inlineStr">
        <is>
          <t>Operations</t>
        </is>
      </c>
      <c r="G145" s="5" t="inlineStr">
        <is>
          <t>Quality Analyst</t>
        </is>
      </c>
      <c r="H145" s="5" t="inlineStr">
        <is>
          <t>3</t>
        </is>
      </c>
      <c r="I145" s="5" t="inlineStr">
        <is>
          <t>Hyderabad</t>
        </is>
      </c>
      <c r="J145" s="5" t="inlineStr">
        <is>
          <t>Full-Time</t>
        </is>
      </c>
      <c r="K145" s="7" t="n">
        <v>44260</v>
      </c>
      <c r="L145" s="7" t="n">
        <v>44373</v>
      </c>
      <c r="M145" s="5" t="inlineStr">
        <is>
          <t>No</t>
        </is>
      </c>
      <c r="N145" s="5" t="inlineStr">
        <is>
          <t>Layoff</t>
        </is>
      </c>
      <c r="O145" s="8" t="inlineStr">
        <is>
          <t>83000</t>
        </is>
      </c>
      <c r="P145" s="5" t="inlineStr">
        <is>
          <t>10</t>
        </is>
      </c>
      <c r="Q145" s="5" t="inlineStr">
        <is>
          <t>4</t>
        </is>
      </c>
      <c r="R145" s="5" t="inlineStr">
        <is>
          <t>5</t>
        </is>
      </c>
      <c r="S145" s="5" t="inlineStr">
        <is>
          <t>3</t>
        </is>
      </c>
      <c r="T145" s="5" t="inlineStr">
        <is>
          <t>9</t>
        </is>
      </c>
      <c r="U145" s="5" t="inlineStr">
        <is>
          <t>OK</t>
        </is>
      </c>
    </row>
    <row r="146">
      <c r="A146" s="5" t="inlineStr">
        <is>
          <t>E01515</t>
        </is>
      </c>
      <c r="B146" s="5" t="inlineStr">
        <is>
          <t>Female</t>
        </is>
      </c>
      <c r="C146" s="6" t="inlineStr">
        <is>
          <t>31</t>
        </is>
      </c>
      <c r="D146" s="5" t="inlineStr">
        <is>
          <t>Single</t>
        </is>
      </c>
      <c r="E146" s="5" t="inlineStr">
        <is>
          <t>Bachelor</t>
        </is>
      </c>
      <c r="F146" s="5" t="inlineStr">
        <is>
          <t>Marketing</t>
        </is>
      </c>
      <c r="G146" s="5" t="inlineStr">
        <is>
          <t>Content Writer</t>
        </is>
      </c>
      <c r="H146" s="5" t="inlineStr">
        <is>
          <t>5</t>
        </is>
      </c>
      <c r="I146" s="5" t="inlineStr">
        <is>
          <t>Bengaluru</t>
        </is>
      </c>
      <c r="J146" s="5" t="inlineStr">
        <is>
          <t>Full-Time</t>
        </is>
      </c>
      <c r="K146" s="7" t="n">
        <v>44763</v>
      </c>
      <c r="L146" s="7" t="inlineStr"/>
      <c r="M146" s="5" t="inlineStr">
        <is>
          <t>Yes</t>
        </is>
      </c>
      <c r="N146" s="5" t="inlineStr"/>
      <c r="O146" s="8" t="inlineStr">
        <is>
          <t>86500</t>
        </is>
      </c>
      <c r="P146" s="5" t="inlineStr">
        <is>
          <t>0</t>
        </is>
      </c>
      <c r="Q146" s="5" t="inlineStr">
        <is>
          <t>5</t>
        </is>
      </c>
      <c r="R146" s="5" t="inlineStr">
        <is>
          <t>5</t>
        </is>
      </c>
      <c r="S146" s="5" t="inlineStr">
        <is>
          <t>41</t>
        </is>
      </c>
      <c r="T146" s="5" t="inlineStr">
        <is>
          <t>8</t>
        </is>
      </c>
      <c r="U146" s="5" t="inlineStr">
        <is>
          <t>OK</t>
        </is>
      </c>
    </row>
    <row r="147">
      <c r="A147" s="5" t="inlineStr">
        <is>
          <t>E00858</t>
        </is>
      </c>
      <c r="B147" s="5" t="inlineStr">
        <is>
          <t>Male</t>
        </is>
      </c>
      <c r="C147" s="6" t="inlineStr">
        <is>
          <t>26</t>
        </is>
      </c>
      <c r="D147" s="5" t="inlineStr">
        <is>
          <t>Married</t>
        </is>
      </c>
      <c r="E147" s="5" t="inlineStr">
        <is>
          <t>Bachelor</t>
        </is>
      </c>
      <c r="F147" s="5" t="inlineStr">
        <is>
          <t>Human Resources</t>
        </is>
      </c>
      <c r="G147" s="5" t="inlineStr">
        <is>
          <t>HR Generalist</t>
        </is>
      </c>
      <c r="H147" s="5" t="inlineStr">
        <is>
          <t>2</t>
        </is>
      </c>
      <c r="I147" s="5" t="inlineStr">
        <is>
          <t>Bengaluru</t>
        </is>
      </c>
      <c r="J147" s="5" t="inlineStr">
        <is>
          <t>Full-Time</t>
        </is>
      </c>
      <c r="K147" s="7" t="n">
        <v>43839</v>
      </c>
      <c r="L147" s="7" t="inlineStr"/>
      <c r="M147" s="5" t="inlineStr">
        <is>
          <t>Yes</t>
        </is>
      </c>
      <c r="N147" s="5" t="inlineStr"/>
      <c r="O147" s="8" t="inlineStr"/>
      <c r="P147" s="5" t="inlineStr">
        <is>
          <t>5</t>
        </is>
      </c>
      <c r="Q147" s="5" t="inlineStr">
        <is>
          <t>4</t>
        </is>
      </c>
      <c r="R147" s="5" t="inlineStr">
        <is>
          <t>7</t>
        </is>
      </c>
      <c r="S147" s="5" t="inlineStr">
        <is>
          <t>72</t>
        </is>
      </c>
      <c r="T147" s="5" t="inlineStr">
        <is>
          <t>3</t>
        </is>
      </c>
      <c r="U147" s="5" t="inlineStr">
        <is>
          <t>Blank salary</t>
        </is>
      </c>
    </row>
    <row r="148">
      <c r="A148" s="5" t="inlineStr">
        <is>
          <t>E02939</t>
        </is>
      </c>
      <c r="B148" s="5" t="inlineStr">
        <is>
          <t>Male</t>
        </is>
      </c>
      <c r="C148" s="6" t="inlineStr">
        <is>
          <t>31</t>
        </is>
      </c>
      <c r="D148" s="5" t="inlineStr">
        <is>
          <t>Married</t>
        </is>
      </c>
      <c r="E148" s="5" t="inlineStr">
        <is>
          <t>PhD</t>
        </is>
      </c>
      <c r="F148" s="5" t="inlineStr">
        <is>
          <t>Finance</t>
        </is>
      </c>
      <c r="G148" s="5" t="inlineStr">
        <is>
          <t>Credit Analyst</t>
        </is>
      </c>
      <c r="H148" s="5" t="inlineStr">
        <is>
          <t>5</t>
        </is>
      </c>
      <c r="I148" s="5" t="inlineStr">
        <is>
          <t>Mumbai</t>
        </is>
      </c>
      <c r="J148" s="5" t="inlineStr">
        <is>
          <t>Part-Time</t>
        </is>
      </c>
      <c r="K148" s="7" t="n">
        <v>45635</v>
      </c>
      <c r="L148" s="7" t="inlineStr"/>
      <c r="M148" s="5" t="inlineStr">
        <is>
          <t>Yes</t>
        </is>
      </c>
      <c r="N148" s="5" t="inlineStr"/>
      <c r="O148" s="8" t="inlineStr">
        <is>
          <t>142000</t>
        </is>
      </c>
      <c r="P148" s="5" t="inlineStr">
        <is>
          <t>5</t>
        </is>
      </c>
      <c r="Q148" s="5" t="inlineStr">
        <is>
          <t>4</t>
        </is>
      </c>
      <c r="R148" s="5" t="inlineStr">
        <is>
          <t>6</t>
        </is>
      </c>
      <c r="S148" s="5" t="inlineStr">
        <is>
          <t>12</t>
        </is>
      </c>
      <c r="T148" s="5" t="inlineStr">
        <is>
          <t>11</t>
        </is>
      </c>
      <c r="U148" s="5" t="inlineStr">
        <is>
          <t>OK</t>
        </is>
      </c>
    </row>
    <row r="149">
      <c r="A149" s="5" t="inlineStr">
        <is>
          <t>E00312</t>
        </is>
      </c>
      <c r="B149" s="5" t="inlineStr">
        <is>
          <t>Male</t>
        </is>
      </c>
      <c r="C149" s="6" t="inlineStr">
        <is>
          <t>42</t>
        </is>
      </c>
      <c r="D149" s="5" t="inlineStr">
        <is>
          <t>Single</t>
        </is>
      </c>
      <c r="E149" s="5" t="inlineStr">
        <is>
          <t>PhD</t>
        </is>
      </c>
      <c r="F149" s="5" t="inlineStr">
        <is>
          <t>Operations</t>
        </is>
      </c>
      <c r="G149" s="5" t="inlineStr">
        <is>
          <t>Operations Analyst</t>
        </is>
      </c>
      <c r="H149" s="5" t="inlineStr">
        <is>
          <t>6</t>
        </is>
      </c>
      <c r="I149" s="5" t="inlineStr">
        <is>
          <t>Mumbai</t>
        </is>
      </c>
      <c r="J149" s="5" t="inlineStr">
        <is>
          <t>Full-Time</t>
        </is>
      </c>
      <c r="K149" s="7" t="n">
        <v>44549</v>
      </c>
      <c r="L149" s="7" t="inlineStr"/>
      <c r="M149" s="5" t="inlineStr">
        <is>
          <t>Yes</t>
        </is>
      </c>
      <c r="N149" s="5" t="inlineStr"/>
      <c r="O149" s="8" t="inlineStr">
        <is>
          <t>114500</t>
        </is>
      </c>
      <c r="P149" s="5" t="inlineStr">
        <is>
          <t>5</t>
        </is>
      </c>
      <c r="Q149" s="5" t="inlineStr">
        <is>
          <t>3</t>
        </is>
      </c>
      <c r="R149" s="5" t="inlineStr">
        <is>
          <t>6</t>
        </is>
      </c>
      <c r="S149" s="5" t="inlineStr">
        <is>
          <t>49</t>
        </is>
      </c>
      <c r="T149" s="5" t="inlineStr">
        <is>
          <t>6</t>
        </is>
      </c>
      <c r="U149" s="5" t="inlineStr">
        <is>
          <t>OK</t>
        </is>
      </c>
    </row>
    <row r="150">
      <c r="A150" s="5" t="inlineStr">
        <is>
          <t>E01216</t>
        </is>
      </c>
      <c r="B150" s="5" t="inlineStr">
        <is>
          <t>Female</t>
        </is>
      </c>
      <c r="C150" s="6" t="inlineStr">
        <is>
          <t>31</t>
        </is>
      </c>
      <c r="D150" s="5" t="inlineStr">
        <is>
          <t>Married</t>
        </is>
      </c>
      <c r="E150" s="5" t="inlineStr">
        <is>
          <t>Master</t>
        </is>
      </c>
      <c r="F150" s="5" t="inlineStr">
        <is>
          <t>IT</t>
        </is>
      </c>
      <c r="G150" s="5" t="inlineStr">
        <is>
          <t>Data Analyst</t>
        </is>
      </c>
      <c r="H150" s="5" t="inlineStr">
        <is>
          <t>1</t>
        </is>
      </c>
      <c r="I150" s="5" t="inlineStr">
        <is>
          <t>Mumbai</t>
        </is>
      </c>
      <c r="J150" s="5" t="inlineStr">
        <is>
          <t>Full-Time</t>
        </is>
      </c>
      <c r="K150" s="7" t="n">
        <v>46006</v>
      </c>
      <c r="L150" s="7" t="inlineStr"/>
      <c r="M150" s="5" t="inlineStr">
        <is>
          <t>Yes</t>
        </is>
      </c>
      <c r="N150" s="5" t="inlineStr"/>
      <c r="O150" s="8" t="inlineStr">
        <is>
          <t>84500</t>
        </is>
      </c>
      <c r="P150" s="5" t="inlineStr">
        <is>
          <t>0</t>
        </is>
      </c>
      <c r="Q150" s="5" t="inlineStr">
        <is>
          <t>4</t>
        </is>
      </c>
      <c r="R150" s="5" t="inlineStr">
        <is>
          <t>6</t>
        </is>
      </c>
      <c r="S150" s="5" t="inlineStr">
        <is>
          <t>1</t>
        </is>
      </c>
      <c r="T150" s="5" t="inlineStr">
        <is>
          <t>7</t>
        </is>
      </c>
      <c r="U150" s="5" t="inlineStr">
        <is>
          <t>OK</t>
        </is>
      </c>
    </row>
    <row r="151">
      <c r="A151" s="5" t="inlineStr">
        <is>
          <t>E02614</t>
        </is>
      </c>
      <c r="B151" s="5" t="inlineStr">
        <is>
          <t>Male</t>
        </is>
      </c>
      <c r="C151" s="6" t="inlineStr">
        <is>
          <t>33</t>
        </is>
      </c>
      <c r="D151" s="5" t="inlineStr">
        <is>
          <t>Single</t>
        </is>
      </c>
      <c r="E151" s="5" t="inlineStr">
        <is>
          <t>Master</t>
        </is>
      </c>
      <c r="F151" s="5" t="inlineStr">
        <is>
          <t>Customer Support</t>
        </is>
      </c>
      <c r="G151" s="5" t="inlineStr">
        <is>
          <t>Support Lead</t>
        </is>
      </c>
      <c r="H151" s="5" t="inlineStr">
        <is>
          <t>3</t>
        </is>
      </c>
      <c r="I151" s="5" t="inlineStr">
        <is>
          <t>Remote</t>
        </is>
      </c>
      <c r="J151" s="5" t="inlineStr">
        <is>
          <t>Full-Time</t>
        </is>
      </c>
      <c r="K151" s="7" t="n">
        <v>44876</v>
      </c>
      <c r="L151" s="7" t="inlineStr"/>
      <c r="M151" s="5" t="inlineStr">
        <is>
          <t>Yes</t>
        </is>
      </c>
      <c r="N151" s="5" t="inlineStr"/>
      <c r="O151" s="8" t="inlineStr">
        <is>
          <t>82000</t>
        </is>
      </c>
      <c r="P151" s="5" t="inlineStr">
        <is>
          <t>5</t>
        </is>
      </c>
      <c r="Q151" s="5" t="inlineStr">
        <is>
          <t>3</t>
        </is>
      </c>
      <c r="R151" s="5" t="inlineStr">
        <is>
          <t>7</t>
        </is>
      </c>
      <c r="S151" s="5" t="inlineStr">
        <is>
          <t>38</t>
        </is>
      </c>
      <c r="T151" s="5" t="inlineStr">
        <is>
          <t>6</t>
        </is>
      </c>
      <c r="U151" s="5" t="inlineStr">
        <is>
          <t>OK</t>
        </is>
      </c>
    </row>
    <row r="152">
      <c r="A152" s="5" t="inlineStr">
        <is>
          <t>E00636</t>
        </is>
      </c>
      <c r="B152" s="5" t="inlineStr">
        <is>
          <t>Male</t>
        </is>
      </c>
      <c r="C152" s="6" t="inlineStr">
        <is>
          <t>29</t>
        </is>
      </c>
      <c r="D152" s="5" t="inlineStr">
        <is>
          <t>Married</t>
        </is>
      </c>
      <c r="E152" s="5" t="inlineStr">
        <is>
          <t>Diploma</t>
        </is>
      </c>
      <c r="F152" s="5" t="inlineStr">
        <is>
          <t>Operations</t>
        </is>
      </c>
      <c r="G152" s="5" t="inlineStr">
        <is>
          <t>Logistics Coordinator</t>
        </is>
      </c>
      <c r="H152" s="5" t="inlineStr">
        <is>
          <t>4</t>
        </is>
      </c>
      <c r="I152" s="5" t="inlineStr">
        <is>
          <t>Remote</t>
        </is>
      </c>
      <c r="J152" s="5" t="inlineStr">
        <is>
          <t>Full-Time</t>
        </is>
      </c>
      <c r="K152" s="7" t="n">
        <v>44125</v>
      </c>
      <c r="L152" s="7" t="inlineStr"/>
      <c r="M152" s="5" t="inlineStr">
        <is>
          <t>Yes</t>
        </is>
      </c>
      <c r="N152" s="5" t="inlineStr"/>
      <c r="O152" s="8" t="inlineStr">
        <is>
          <t>108500</t>
        </is>
      </c>
      <c r="P152" s="5" t="inlineStr">
        <is>
          <t>0</t>
        </is>
      </c>
      <c r="Q152" s="5" t="inlineStr">
        <is>
          <t>4</t>
        </is>
      </c>
      <c r="R152" s="5" t="inlineStr">
        <is>
          <t>6</t>
        </is>
      </c>
      <c r="S152" s="5" t="inlineStr">
        <is>
          <t>63</t>
        </is>
      </c>
      <c r="T152" s="5" t="inlineStr">
        <is>
          <t>8</t>
        </is>
      </c>
      <c r="U152" s="5" t="inlineStr">
        <is>
          <t>OK</t>
        </is>
      </c>
    </row>
    <row r="153">
      <c r="A153" s="5" t="inlineStr">
        <is>
          <t>E00491</t>
        </is>
      </c>
      <c r="B153" s="5" t="inlineStr">
        <is>
          <t>Male</t>
        </is>
      </c>
      <c r="C153" s="6" t="inlineStr">
        <is>
          <t>30</t>
        </is>
      </c>
      <c r="D153" s="5" t="inlineStr">
        <is>
          <t>Married</t>
        </is>
      </c>
      <c r="E153" s="5" t="inlineStr">
        <is>
          <t>Bachelor</t>
        </is>
      </c>
      <c r="F153" s="5" t="inlineStr">
        <is>
          <t>Sales</t>
        </is>
      </c>
      <c r="G153" s="5" t="inlineStr">
        <is>
          <t>Account Executive</t>
        </is>
      </c>
      <c r="H153" s="5" t="inlineStr">
        <is>
          <t>2</t>
        </is>
      </c>
      <c r="I153" s="5" t="inlineStr">
        <is>
          <t>Chennai</t>
        </is>
      </c>
      <c r="J153" s="5" t="inlineStr">
        <is>
          <t>Full-Time</t>
        </is>
      </c>
      <c r="K153" s="7" t="n">
        <v>45048</v>
      </c>
      <c r="L153" s="7" t="inlineStr"/>
      <c r="M153" s="5" t="inlineStr">
        <is>
          <t>Yes</t>
        </is>
      </c>
      <c r="N153" s="5" t="inlineStr"/>
      <c r="O153" s="8" t="inlineStr">
        <is>
          <t>92000</t>
        </is>
      </c>
      <c r="P153" s="5" t="inlineStr">
        <is>
          <t>10</t>
        </is>
      </c>
      <c r="Q153" s="5" t="inlineStr">
        <is>
          <t>4</t>
        </is>
      </c>
      <c r="R153" s="5" t="inlineStr">
        <is>
          <t>5</t>
        </is>
      </c>
      <c r="S153" s="5" t="inlineStr">
        <is>
          <t>32</t>
        </is>
      </c>
      <c r="T153" s="5" t="inlineStr">
        <is>
          <t>2</t>
        </is>
      </c>
      <c r="U153" s="5" t="inlineStr">
        <is>
          <t>OK</t>
        </is>
      </c>
    </row>
    <row r="154">
      <c r="A154" s="5" t="inlineStr">
        <is>
          <t>E01656</t>
        </is>
      </c>
      <c r="B154" s="5" t="inlineStr">
        <is>
          <t>Female</t>
        </is>
      </c>
      <c r="C154" s="6" t="inlineStr">
        <is>
          <t>30</t>
        </is>
      </c>
      <c r="D154" s="5" t="inlineStr">
        <is>
          <t>Married</t>
        </is>
      </c>
      <c r="E154" s="5" t="inlineStr">
        <is>
          <t>Diploma</t>
        </is>
      </c>
      <c r="F154" s="5" t="inlineStr">
        <is>
          <t>Customer Support</t>
        </is>
      </c>
      <c r="G154" s="5" t="inlineStr">
        <is>
          <t>Support Agent</t>
        </is>
      </c>
      <c r="H154" s="5" t="inlineStr">
        <is>
          <t>2</t>
        </is>
      </c>
      <c r="I154" s="5" t="inlineStr">
        <is>
          <t>Bengaluru</t>
        </is>
      </c>
      <c r="J154" s="5" t="inlineStr">
        <is>
          <t>Full-Time</t>
        </is>
      </c>
      <c r="K154" s="7" t="n">
        <v>45470</v>
      </c>
      <c r="L154" s="7" t="inlineStr"/>
      <c r="M154" s="5" t="inlineStr">
        <is>
          <t>Yes</t>
        </is>
      </c>
      <c r="N154" s="5" t="inlineStr"/>
      <c r="O154" s="8" t="inlineStr">
        <is>
          <t>64000</t>
        </is>
      </c>
      <c r="P154" s="5" t="inlineStr">
        <is>
          <t>10</t>
        </is>
      </c>
      <c r="Q154" s="5" t="inlineStr">
        <is>
          <t>2</t>
        </is>
      </c>
      <c r="R154" s="5" t="inlineStr">
        <is>
          <t>4</t>
        </is>
      </c>
      <c r="S154" s="5" t="inlineStr">
        <is>
          <t>18</t>
        </is>
      </c>
      <c r="T154" s="5" t="inlineStr">
        <is>
          <t>9</t>
        </is>
      </c>
      <c r="U154" s="5" t="inlineStr">
        <is>
          <t>OK</t>
        </is>
      </c>
    </row>
    <row r="155">
      <c r="A155" s="5" t="inlineStr">
        <is>
          <t>E01177</t>
        </is>
      </c>
      <c r="B155" s="5" t="inlineStr">
        <is>
          <t>male</t>
        </is>
      </c>
      <c r="C155" s="6" t="inlineStr">
        <is>
          <t>250</t>
        </is>
      </c>
      <c r="D155" s="5" t="inlineStr">
        <is>
          <t>Single</t>
        </is>
      </c>
      <c r="E155" s="5" t="inlineStr">
        <is>
          <t>Diploma</t>
        </is>
      </c>
      <c r="F155" s="5" t="inlineStr">
        <is>
          <t>Marketing</t>
        </is>
      </c>
      <c r="G155" s="5" t="inlineStr">
        <is>
          <t>SEO Specialist</t>
        </is>
      </c>
      <c r="H155" s="5" t="inlineStr">
        <is>
          <t>2</t>
        </is>
      </c>
      <c r="I155" s="5" t="inlineStr">
        <is>
          <t>Bengaluru</t>
        </is>
      </c>
      <c r="J155" s="5" t="inlineStr">
        <is>
          <t>Full-Time</t>
        </is>
      </c>
      <c r="K155" s="7" t="n">
        <v>45775</v>
      </c>
      <c r="L155" s="7" t="inlineStr"/>
      <c r="M155" s="5" t="inlineStr">
        <is>
          <t>Yes</t>
        </is>
      </c>
      <c r="N155" s="5" t="inlineStr"/>
      <c r="O155" s="8" t="inlineStr">
        <is>
          <t>103500</t>
        </is>
      </c>
      <c r="P155" s="5" t="inlineStr">
        <is>
          <t>10</t>
        </is>
      </c>
      <c r="Q155" s="5" t="inlineStr">
        <is>
          <t>3</t>
        </is>
      </c>
      <c r="R155" s="5" t="inlineStr">
        <is>
          <t>2</t>
        </is>
      </c>
      <c r="S155" s="5" t="inlineStr">
        <is>
          <t>8</t>
        </is>
      </c>
      <c r="T155" s="5" t="inlineStr">
        <is>
          <t>2</t>
        </is>
      </c>
      <c r="U155" s="5" t="inlineStr">
        <is>
          <t>Age typo</t>
        </is>
      </c>
    </row>
    <row r="156">
      <c r="A156" s="5" t="inlineStr">
        <is>
          <t>E02713</t>
        </is>
      </c>
      <c r="B156" s="5" t="inlineStr">
        <is>
          <t>Female</t>
        </is>
      </c>
      <c r="C156" s="6" t="inlineStr">
        <is>
          <t>28</t>
        </is>
      </c>
      <c r="D156" s="5" t="inlineStr">
        <is>
          <t>Married</t>
        </is>
      </c>
      <c r="E156" s="5" t="inlineStr">
        <is>
          <t>PhD</t>
        </is>
      </c>
      <c r="F156" s="5" t="inlineStr">
        <is>
          <t>Sales</t>
        </is>
      </c>
      <c r="G156" s="5" t="inlineStr">
        <is>
          <t>Account Executive</t>
        </is>
      </c>
      <c r="H156" s="5" t="inlineStr">
        <is>
          <t>1</t>
        </is>
      </c>
      <c r="I156" s="5" t="inlineStr">
        <is>
          <t>Delhi</t>
        </is>
      </c>
      <c r="J156" s="5" t="inlineStr">
        <is>
          <t>Full-Time</t>
        </is>
      </c>
      <c r="K156" s="7" t="n">
        <v>44328</v>
      </c>
      <c r="L156" s="7" t="inlineStr"/>
      <c r="M156" s="5" t="inlineStr">
        <is>
          <t>Yes</t>
        </is>
      </c>
      <c r="N156" s="5" t="inlineStr"/>
      <c r="O156" s="8" t="inlineStr">
        <is>
          <t>70500</t>
        </is>
      </c>
      <c r="P156" s="5" t="inlineStr">
        <is>
          <t>0</t>
        </is>
      </c>
      <c r="Q156" s="5" t="inlineStr">
        <is>
          <t>3</t>
        </is>
      </c>
      <c r="R156" s="5" t="inlineStr">
        <is>
          <t>6</t>
        </is>
      </c>
      <c r="S156" s="5" t="inlineStr">
        <is>
          <t>56</t>
        </is>
      </c>
      <c r="T156" s="5" t="inlineStr">
        <is>
          <t>0</t>
        </is>
      </c>
      <c r="U156" s="5" t="inlineStr">
        <is>
          <t>OK</t>
        </is>
      </c>
    </row>
    <row r="157">
      <c r="A157" s="5" t="inlineStr">
        <is>
          <t>E01432</t>
        </is>
      </c>
      <c r="B157" s="5" t="inlineStr">
        <is>
          <t>Female</t>
        </is>
      </c>
      <c r="C157" s="6" t="inlineStr">
        <is>
          <t>24</t>
        </is>
      </c>
      <c r="D157" s="5" t="inlineStr">
        <is>
          <t>Married</t>
        </is>
      </c>
      <c r="E157" s="5" t="inlineStr">
        <is>
          <t>Master</t>
        </is>
      </c>
      <c r="F157" s="5" t="inlineStr">
        <is>
          <t>Research &amp; Development</t>
        </is>
      </c>
      <c r="G157" s="5" t="inlineStr">
        <is>
          <t>Product Engineer</t>
        </is>
      </c>
      <c r="H157" s="5" t="inlineStr">
        <is>
          <t>1</t>
        </is>
      </c>
      <c r="I157" s="5" t="inlineStr">
        <is>
          <t>Hyderabad</t>
        </is>
      </c>
      <c r="J157" s="5" t="inlineStr">
        <is>
          <t>Full-Time</t>
        </is>
      </c>
      <c r="K157" s="7" t="n">
        <v>45645</v>
      </c>
      <c r="L157" s="7" t="inlineStr"/>
      <c r="M157" s="5" t="inlineStr">
        <is>
          <t>Yes</t>
        </is>
      </c>
      <c r="N157" s="5" t="inlineStr"/>
      <c r="O157" s="8" t="inlineStr">
        <is>
          <t>122500</t>
        </is>
      </c>
      <c r="P157" s="5" t="inlineStr">
        <is>
          <t>0</t>
        </is>
      </c>
      <c r="Q157" s="5" t="inlineStr">
        <is>
          <t>3</t>
        </is>
      </c>
      <c r="R157" s="5" t="inlineStr">
        <is>
          <t>6</t>
        </is>
      </c>
      <c r="S157" s="5" t="inlineStr">
        <is>
          <t>12</t>
        </is>
      </c>
      <c r="T157" s="5" t="inlineStr">
        <is>
          <t>6</t>
        </is>
      </c>
      <c r="U157" s="5" t="inlineStr">
        <is>
          <t>OK</t>
        </is>
      </c>
    </row>
    <row r="158">
      <c r="A158" s="5" t="inlineStr">
        <is>
          <t>E00745</t>
        </is>
      </c>
      <c r="B158" s="5" t="inlineStr">
        <is>
          <t>Female</t>
        </is>
      </c>
      <c r="C158" s="6" t="inlineStr">
        <is>
          <t>46</t>
        </is>
      </c>
      <c r="D158" s="5" t="inlineStr">
        <is>
          <t>Single</t>
        </is>
      </c>
      <c r="E158" s="5" t="inlineStr">
        <is>
          <t>Diploma</t>
        </is>
      </c>
      <c r="F158" s="5" t="inlineStr">
        <is>
          <t>Operations</t>
        </is>
      </c>
      <c r="G158" s="5" t="inlineStr">
        <is>
          <t>Operations Analyst</t>
        </is>
      </c>
      <c r="H158" s="5" t="inlineStr">
        <is>
          <t>7</t>
        </is>
      </c>
      <c r="I158" s="5" t="inlineStr">
        <is>
          <t>Chennai</t>
        </is>
      </c>
      <c r="J158" s="5" t="inlineStr">
        <is>
          <t>Full-Time</t>
        </is>
      </c>
      <c r="K158" s="7" t="n">
        <v>44637</v>
      </c>
      <c r="L158" s="7" t="inlineStr"/>
      <c r="M158" s="5" t="inlineStr">
        <is>
          <t>Yes</t>
        </is>
      </c>
      <c r="N158" s="5" t="inlineStr"/>
      <c r="O158" s="8" t="inlineStr">
        <is>
          <t>120000</t>
        </is>
      </c>
      <c r="P158" s="5" t="inlineStr">
        <is>
          <t>10</t>
        </is>
      </c>
      <c r="Q158" s="5" t="inlineStr">
        <is>
          <t>4</t>
        </is>
      </c>
      <c r="R158" s="5" t="inlineStr">
        <is>
          <t>7</t>
        </is>
      </c>
      <c r="S158" s="5" t="inlineStr">
        <is>
          <t>46</t>
        </is>
      </c>
      <c r="T158" s="5" t="inlineStr">
        <is>
          <t>8</t>
        </is>
      </c>
      <c r="U158" s="5" t="inlineStr">
        <is>
          <t>OK</t>
        </is>
      </c>
    </row>
    <row r="159">
      <c r="A159" s="5" t="inlineStr">
        <is>
          <t>E01344</t>
        </is>
      </c>
      <c r="B159" s="5" t="inlineStr">
        <is>
          <t>Male</t>
        </is>
      </c>
      <c r="C159" s="6" t="inlineStr">
        <is>
          <t>35</t>
        </is>
      </c>
      <c r="D159" s="5" t="inlineStr">
        <is>
          <t>Married</t>
        </is>
      </c>
      <c r="E159" s="5" t="inlineStr">
        <is>
          <t>Diploma</t>
        </is>
      </c>
      <c r="F159" s="5" t="inlineStr">
        <is>
          <t>Research &amp; Development</t>
        </is>
      </c>
      <c r="G159" s="5" t="inlineStr">
        <is>
          <t>Product Engineer</t>
        </is>
      </c>
      <c r="H159" s="5" t="inlineStr">
        <is>
          <t>2</t>
        </is>
      </c>
      <c r="I159" s="5" t="inlineStr">
        <is>
          <t>Mumbai</t>
        </is>
      </c>
      <c r="J159" s="5" t="inlineStr">
        <is>
          <t>Full-Time</t>
        </is>
      </c>
      <c r="K159" s="7" t="n">
        <v>45088</v>
      </c>
      <c r="L159" s="7" t="n">
        <v>45197</v>
      </c>
      <c r="M159" s="5" t="inlineStr">
        <is>
          <t>No</t>
        </is>
      </c>
      <c r="N159" s="5" t="inlineStr">
        <is>
          <t>Resigned</t>
        </is>
      </c>
      <c r="O159" s="8" t="inlineStr">
        <is>
          <t>171000</t>
        </is>
      </c>
      <c r="P159" s="5" t="inlineStr">
        <is>
          <t>5</t>
        </is>
      </c>
      <c r="Q159" s="5" t="inlineStr">
        <is>
          <t>4</t>
        </is>
      </c>
      <c r="R159" s="5" t="inlineStr">
        <is>
          <t>6</t>
        </is>
      </c>
      <c r="S159" s="5" t="inlineStr">
        <is>
          <t>3</t>
        </is>
      </c>
      <c r="T159" s="5" t="inlineStr">
        <is>
          <t>3</t>
        </is>
      </c>
      <c r="U159" s="5" t="inlineStr">
        <is>
          <t>OK</t>
        </is>
      </c>
    </row>
    <row r="160">
      <c r="A160" s="5" t="inlineStr">
        <is>
          <t>E00803</t>
        </is>
      </c>
      <c r="B160" s="5" t="inlineStr">
        <is>
          <t>Female</t>
        </is>
      </c>
      <c r="C160" s="6" t="inlineStr">
        <is>
          <t>37</t>
        </is>
      </c>
      <c r="D160" s="5" t="inlineStr">
        <is>
          <t>Married</t>
        </is>
      </c>
      <c r="E160" s="5" t="inlineStr">
        <is>
          <t>High School</t>
        </is>
      </c>
      <c r="F160" s="5" t="inlineStr">
        <is>
          <t>Operations</t>
        </is>
      </c>
      <c r="G160" s="5" t="inlineStr">
        <is>
          <t>Logistics Coordinator</t>
        </is>
      </c>
      <c r="H160" s="5" t="inlineStr">
        <is>
          <t>4</t>
        </is>
      </c>
      <c r="I160" s="5" t="inlineStr">
        <is>
          <t>Remote</t>
        </is>
      </c>
      <c r="J160" s="5" t="inlineStr">
        <is>
          <t>Full-Time</t>
        </is>
      </c>
      <c r="K160" s="7" t="n">
        <v>44326</v>
      </c>
      <c r="L160" s="7" t="inlineStr"/>
      <c r="M160" s="5" t="inlineStr">
        <is>
          <t>Yes</t>
        </is>
      </c>
      <c r="N160" s="5" t="inlineStr"/>
      <c r="O160" s="8" t="inlineStr">
        <is>
          <t>117500</t>
        </is>
      </c>
      <c r="P160" s="5" t="inlineStr">
        <is>
          <t>20</t>
        </is>
      </c>
      <c r="Q160" s="5" t="inlineStr">
        <is>
          <t>2</t>
        </is>
      </c>
      <c r="R160" s="5" t="inlineStr">
        <is>
          <t>6</t>
        </is>
      </c>
      <c r="S160" s="5" t="inlineStr">
        <is>
          <t>56</t>
        </is>
      </c>
      <c r="T160" s="5" t="inlineStr">
        <is>
          <t>3</t>
        </is>
      </c>
      <c r="U160" s="5" t="inlineStr">
        <is>
          <t>OK</t>
        </is>
      </c>
    </row>
    <row r="161">
      <c r="A161" s="5" t="inlineStr">
        <is>
          <t>E02449</t>
        </is>
      </c>
      <c r="B161" s="5" t="inlineStr">
        <is>
          <t>Female</t>
        </is>
      </c>
      <c r="C161" s="6" t="inlineStr">
        <is>
          <t>28</t>
        </is>
      </c>
      <c r="D161" s="5" t="inlineStr">
        <is>
          <t>Married</t>
        </is>
      </c>
      <c r="E161" s="5" t="inlineStr">
        <is>
          <t>Diploma</t>
        </is>
      </c>
      <c r="F161" s="5" t="inlineStr">
        <is>
          <t>Operations</t>
        </is>
      </c>
      <c r="G161" s="5" t="inlineStr">
        <is>
          <t>Operations Analyst</t>
        </is>
      </c>
      <c r="H161" s="5" t="inlineStr">
        <is>
          <t>2</t>
        </is>
      </c>
      <c r="I161" s="5" t="inlineStr">
        <is>
          <t>Chennai</t>
        </is>
      </c>
      <c r="J161" s="5" t="inlineStr">
        <is>
          <t>Full-Time</t>
        </is>
      </c>
      <c r="K161" s="7" t="n">
        <v>44529</v>
      </c>
      <c r="L161" s="7" t="n">
        <v>44610</v>
      </c>
      <c r="M161" s="5" t="inlineStr">
        <is>
          <t>No</t>
        </is>
      </c>
      <c r="N161" s="5" t="inlineStr">
        <is>
          <t>Resigned</t>
        </is>
      </c>
      <c r="O161" s="8" t="inlineStr">
        <is>
          <t>83500</t>
        </is>
      </c>
      <c r="P161" s="5" t="inlineStr">
        <is>
          <t>0</t>
        </is>
      </c>
      <c r="Q161" s="5" t="inlineStr">
        <is>
          <t>3</t>
        </is>
      </c>
      <c r="R161" s="5" t="inlineStr">
        <is>
          <t>9</t>
        </is>
      </c>
      <c r="S161" s="5" t="inlineStr">
        <is>
          <t>2</t>
        </is>
      </c>
      <c r="T161" s="5" t="inlineStr">
        <is>
          <t>3</t>
        </is>
      </c>
      <c r="U161" s="5" t="inlineStr">
        <is>
          <t>OK</t>
        </is>
      </c>
    </row>
    <row r="162">
      <c r="A162" s="5" t="inlineStr">
        <is>
          <t>E01187</t>
        </is>
      </c>
      <c r="B162" s="5" t="inlineStr">
        <is>
          <t>Male</t>
        </is>
      </c>
      <c r="C162" s="6" t="inlineStr">
        <is>
          <t>34</t>
        </is>
      </c>
      <c r="D162" s="5" t="inlineStr">
        <is>
          <t>Married</t>
        </is>
      </c>
      <c r="E162" s="5" t="inlineStr">
        <is>
          <t>Bachelor</t>
        </is>
      </c>
      <c r="F162" s="5" t="inlineStr">
        <is>
          <t>Sales</t>
        </is>
      </c>
      <c r="G162" s="5" t="inlineStr">
        <is>
          <t>Sales Executive</t>
        </is>
      </c>
      <c r="H162" s="5" t="inlineStr">
        <is>
          <t>4</t>
        </is>
      </c>
      <c r="I162" s="5" t="inlineStr">
        <is>
          <t>Mumbai</t>
        </is>
      </c>
      <c r="J162" s="5" t="inlineStr">
        <is>
          <t>Full-Time</t>
        </is>
      </c>
      <c r="K162" s="7" t="n">
        <v>45661</v>
      </c>
      <c r="L162" s="7" t="n">
        <v>45770</v>
      </c>
      <c r="M162" s="5" t="inlineStr">
        <is>
          <t>No</t>
        </is>
      </c>
      <c r="N162" s="5" t="inlineStr">
        <is>
          <t>Resigned</t>
        </is>
      </c>
      <c r="O162" s="8" t="inlineStr">
        <is>
          <t>114000</t>
        </is>
      </c>
      <c r="P162" s="5" t="inlineStr">
        <is>
          <t>10</t>
        </is>
      </c>
      <c r="Q162" s="5" t="inlineStr">
        <is>
          <t>4</t>
        </is>
      </c>
      <c r="R162" s="5" t="inlineStr">
        <is>
          <t>8</t>
        </is>
      </c>
      <c r="S162" s="5" t="inlineStr">
        <is>
          <t>3</t>
        </is>
      </c>
      <c r="T162" s="5" t="inlineStr">
        <is>
          <t>7</t>
        </is>
      </c>
      <c r="U162" s="5" t="inlineStr">
        <is>
          <t>OK</t>
        </is>
      </c>
    </row>
    <row r="163">
      <c r="A163" s="5" t="inlineStr">
        <is>
          <t>E02921</t>
        </is>
      </c>
      <c r="B163" s="5" t="inlineStr">
        <is>
          <t>Female</t>
        </is>
      </c>
      <c r="C163" s="6" t="inlineStr">
        <is>
          <t>33</t>
        </is>
      </c>
      <c r="D163" s="5" t="inlineStr">
        <is>
          <t>Divorced</t>
        </is>
      </c>
      <c r="E163" s="5" t="inlineStr">
        <is>
          <t>Bachelor</t>
        </is>
      </c>
      <c r="F163" s="5" t="inlineStr">
        <is>
          <t>IT</t>
        </is>
      </c>
      <c r="G163" s="5" t="inlineStr">
        <is>
          <t>IT Support</t>
        </is>
      </c>
      <c r="H163" s="5" t="inlineStr">
        <is>
          <t>3</t>
        </is>
      </c>
      <c r="I163" s="5" t="inlineStr">
        <is>
          <t>Remote</t>
        </is>
      </c>
      <c r="J163" s="5" t="inlineStr">
        <is>
          <t>Full-Time</t>
        </is>
      </c>
      <c r="K163" s="7" t="n">
        <v>44257</v>
      </c>
      <c r="L163" s="7" t="inlineStr"/>
      <c r="M163" s="5" t="inlineStr">
        <is>
          <t>Yes</t>
        </is>
      </c>
      <c r="N163" s="5" t="inlineStr"/>
      <c r="O163" s="8" t="inlineStr">
        <is>
          <t>183500</t>
        </is>
      </c>
      <c r="P163" s="5" t="inlineStr">
        <is>
          <t>5</t>
        </is>
      </c>
      <c r="Q163" s="5" t="inlineStr">
        <is>
          <t>3</t>
        </is>
      </c>
      <c r="R163" s="5" t="inlineStr">
        <is>
          <t>8</t>
        </is>
      </c>
      <c r="S163" s="5" t="inlineStr">
        <is>
          <t>58</t>
        </is>
      </c>
      <c r="T163" s="5" t="inlineStr">
        <is>
          <t>2</t>
        </is>
      </c>
      <c r="U163" s="5" t="inlineStr">
        <is>
          <t>OK</t>
        </is>
      </c>
    </row>
    <row r="164">
      <c r="A164" s="5" t="inlineStr">
        <is>
          <t>E00307</t>
        </is>
      </c>
      <c r="B164" s="5" t="inlineStr">
        <is>
          <t>Female</t>
        </is>
      </c>
      <c r="C164" s="6" t="inlineStr">
        <is>
          <t>27</t>
        </is>
      </c>
      <c r="D164" s="5" t="inlineStr">
        <is>
          <t>Divorced</t>
        </is>
      </c>
      <c r="E164" s="5" t="inlineStr">
        <is>
          <t>PhD</t>
        </is>
      </c>
      <c r="F164" s="5" t="inlineStr">
        <is>
          <t>Marketing</t>
        </is>
      </c>
      <c r="G164" s="5" t="inlineStr">
        <is>
          <t>Content Writer</t>
        </is>
      </c>
      <c r="H164" s="5" t="inlineStr">
        <is>
          <t>3</t>
        </is>
      </c>
      <c r="I164" s="5" t="inlineStr">
        <is>
          <t>Mumbai</t>
        </is>
      </c>
      <c r="J164" s="5" t="inlineStr">
        <is>
          <t>Full-Time</t>
        </is>
      </c>
      <c r="K164" s="7" t="n">
        <v>45783</v>
      </c>
      <c r="L164" s="7" t="inlineStr"/>
      <c r="M164" s="5" t="inlineStr">
        <is>
          <t>Yes</t>
        </is>
      </c>
      <c r="N164" s="5" t="inlineStr"/>
      <c r="O164" s="8" t="inlineStr">
        <is>
          <t>67500</t>
        </is>
      </c>
      <c r="P164" s="5" t="inlineStr">
        <is>
          <t>5</t>
        </is>
      </c>
      <c r="Q164" s="5" t="inlineStr">
        <is>
          <t>5</t>
        </is>
      </c>
      <c r="R164" s="5" t="inlineStr">
        <is>
          <t>7</t>
        </is>
      </c>
      <c r="S164" s="5" t="inlineStr">
        <is>
          <t>7</t>
        </is>
      </c>
      <c r="T164" s="5" t="inlineStr">
        <is>
          <t>0</t>
        </is>
      </c>
      <c r="U164" s="5" t="inlineStr">
        <is>
          <t>OK</t>
        </is>
      </c>
    </row>
    <row r="165">
      <c r="A165" s="5" t="inlineStr">
        <is>
          <t>E02591</t>
        </is>
      </c>
      <c r="B165" s="5" t="inlineStr">
        <is>
          <t>Male</t>
        </is>
      </c>
      <c r="C165" s="6" t="inlineStr">
        <is>
          <t>23</t>
        </is>
      </c>
      <c r="D165" s="5" t="inlineStr">
        <is>
          <t>Married</t>
        </is>
      </c>
      <c r="E165" s="5" t="inlineStr">
        <is>
          <t>Diploma</t>
        </is>
      </c>
      <c r="F165" s="5" t="inlineStr">
        <is>
          <t>Marketing</t>
        </is>
      </c>
      <c r="G165" s="5" t="inlineStr">
        <is>
          <t>Marketing Analyst</t>
        </is>
      </c>
      <c r="H165" s="5" t="inlineStr">
        <is>
          <t>1</t>
        </is>
      </c>
      <c r="I165" s="5" t="inlineStr">
        <is>
          <t>Chennai</t>
        </is>
      </c>
      <c r="J165" s="5" t="inlineStr">
        <is>
          <t>Part-Time</t>
        </is>
      </c>
      <c r="K165" s="7" t="n">
        <v>45102</v>
      </c>
      <c r="L165" s="7" t="n">
        <v>45145</v>
      </c>
      <c r="M165" s="5" t="inlineStr">
        <is>
          <t>No</t>
        </is>
      </c>
      <c r="N165" s="5" t="inlineStr">
        <is>
          <t>Resigned</t>
        </is>
      </c>
      <c r="O165" s="8" t="inlineStr">
        <is>
          <t>61500</t>
        </is>
      </c>
      <c r="P165" s="5" t="inlineStr">
        <is>
          <t>0</t>
        </is>
      </c>
      <c r="Q165" s="5" t="inlineStr">
        <is>
          <t>4</t>
        </is>
      </c>
      <c r="R165" s="5" t="inlineStr">
        <is>
          <t>7</t>
        </is>
      </c>
      <c r="S165" s="5" t="inlineStr">
        <is>
          <t>1</t>
        </is>
      </c>
      <c r="T165" s="5" t="inlineStr">
        <is>
          <t>4</t>
        </is>
      </c>
      <c r="U165" s="5" t="inlineStr">
        <is>
          <t>OK</t>
        </is>
      </c>
    </row>
    <row r="166">
      <c r="A166" s="5" t="inlineStr">
        <is>
          <t>E02339</t>
        </is>
      </c>
      <c r="B166" s="5" t="inlineStr">
        <is>
          <t>Male</t>
        </is>
      </c>
      <c r="C166" s="6" t="inlineStr">
        <is>
          <t>25</t>
        </is>
      </c>
      <c r="D166" s="5" t="inlineStr">
        <is>
          <t>Married</t>
        </is>
      </c>
      <c r="E166" s="5" t="inlineStr">
        <is>
          <t>Master</t>
        </is>
      </c>
      <c r="F166" s="5" t="inlineStr">
        <is>
          <t>Research &amp; Development</t>
        </is>
      </c>
      <c r="G166" s="5" t="inlineStr">
        <is>
          <t>Research Scientist</t>
        </is>
      </c>
      <c r="H166" s="5" t="inlineStr">
        <is>
          <t>2</t>
        </is>
      </c>
      <c r="I166" s="5" t="inlineStr">
        <is>
          <t>Bengaluru</t>
        </is>
      </c>
      <c r="J166" s="5" t="inlineStr">
        <is>
          <t>Full-Time</t>
        </is>
      </c>
      <c r="K166" s="7" t="n">
        <v>44992</v>
      </c>
      <c r="L166" s="7" t="inlineStr"/>
      <c r="M166" s="5" t="inlineStr">
        <is>
          <t>Yes</t>
        </is>
      </c>
      <c r="N166" s="5" t="inlineStr"/>
      <c r="O166" s="8" t="inlineStr">
        <is>
          <t>177000</t>
        </is>
      </c>
      <c r="P166" s="5" t="inlineStr">
        <is>
          <t>5</t>
        </is>
      </c>
      <c r="Q166" s="5" t="inlineStr">
        <is>
          <t>4</t>
        </is>
      </c>
      <c r="R166" s="5" t="inlineStr">
        <is>
          <t>7</t>
        </is>
      </c>
      <c r="S166" s="5" t="inlineStr">
        <is>
          <t>34</t>
        </is>
      </c>
      <c r="T166" s="5" t="inlineStr">
        <is>
          <t>0</t>
        </is>
      </c>
      <c r="U166" s="5" t="inlineStr">
        <is>
          <t>OK</t>
        </is>
      </c>
    </row>
    <row r="167">
      <c r="A167" s="5" t="inlineStr">
        <is>
          <t>E00519</t>
        </is>
      </c>
      <c r="B167" s="5" t="inlineStr">
        <is>
          <t>Female</t>
        </is>
      </c>
      <c r="C167" s="6" t="inlineStr">
        <is>
          <t>36</t>
        </is>
      </c>
      <c r="D167" s="5" t="inlineStr">
        <is>
          <t>Married</t>
        </is>
      </c>
      <c r="E167" s="5" t="inlineStr">
        <is>
          <t>Bachelor</t>
        </is>
      </c>
      <c r="F167" s="5" t="inlineStr">
        <is>
          <t>Sales</t>
        </is>
      </c>
      <c r="G167" s="5" t="inlineStr">
        <is>
          <t>Business Development</t>
        </is>
      </c>
      <c r="H167" s="5" t="inlineStr">
        <is>
          <t>5</t>
        </is>
      </c>
      <c r="I167" s="5" t="inlineStr">
        <is>
          <t>Hyderabad</t>
        </is>
      </c>
      <c r="J167" s="5" t="inlineStr">
        <is>
          <t>Full-Time</t>
        </is>
      </c>
      <c r="K167" s="7" t="n">
        <v>44853</v>
      </c>
      <c r="L167" s="7" t="inlineStr"/>
      <c r="M167" s="5" t="inlineStr">
        <is>
          <t>Yes</t>
        </is>
      </c>
      <c r="N167" s="5" t="inlineStr"/>
      <c r="O167" s="8" t="inlineStr">
        <is>
          <t>144500</t>
        </is>
      </c>
      <c r="P167" s="5" t="inlineStr">
        <is>
          <t>20</t>
        </is>
      </c>
      <c r="Q167" s="5" t="inlineStr">
        <is>
          <t>4</t>
        </is>
      </c>
      <c r="R167" s="5" t="inlineStr">
        <is>
          <t>7</t>
        </is>
      </c>
      <c r="S167" s="5" t="inlineStr">
        <is>
          <t>38</t>
        </is>
      </c>
      <c r="T167" s="5" t="inlineStr">
        <is>
          <t>15</t>
        </is>
      </c>
      <c r="U167" s="5" t="inlineStr">
        <is>
          <t>OK</t>
        </is>
      </c>
    </row>
    <row r="168">
      <c r="A168" s="5" t="inlineStr">
        <is>
          <t>E00914</t>
        </is>
      </c>
      <c r="B168" s="5" t="inlineStr">
        <is>
          <t>Male</t>
        </is>
      </c>
      <c r="C168" s="6" t="inlineStr">
        <is>
          <t>32</t>
        </is>
      </c>
      <c r="D168" s="5" t="inlineStr">
        <is>
          <t>Divorced</t>
        </is>
      </c>
      <c r="E168" s="5" t="inlineStr">
        <is>
          <t>Diploma</t>
        </is>
      </c>
      <c r="F168" s="5" t="inlineStr">
        <is>
          <t>Research &amp; Development</t>
        </is>
      </c>
      <c r="G168" s="5" t="inlineStr">
        <is>
          <t>Data Scientist</t>
        </is>
      </c>
      <c r="H168" s="5" t="inlineStr">
        <is>
          <t>2</t>
        </is>
      </c>
      <c r="I168" s="5" t="inlineStr">
        <is>
          <t>Hyderabad</t>
        </is>
      </c>
      <c r="J168" s="5" t="inlineStr">
        <is>
          <t>Contract</t>
        </is>
      </c>
      <c r="K168" s="7" t="n">
        <v>45520</v>
      </c>
      <c r="L168" s="7" t="n">
        <v>45624</v>
      </c>
      <c r="M168" s="5" t="inlineStr">
        <is>
          <t>No</t>
        </is>
      </c>
      <c r="N168" s="5" t="inlineStr">
        <is>
          <t>Retirement</t>
        </is>
      </c>
      <c r="O168" s="8" t="inlineStr">
        <is>
          <t>164000</t>
        </is>
      </c>
      <c r="P168" s="5" t="inlineStr">
        <is>
          <t>5</t>
        </is>
      </c>
      <c r="Q168" s="5" t="inlineStr">
        <is>
          <t>4</t>
        </is>
      </c>
      <c r="R168" s="5" t="inlineStr">
        <is>
          <t>6</t>
        </is>
      </c>
      <c r="S168" s="5" t="inlineStr">
        <is>
          <t>3</t>
        </is>
      </c>
      <c r="T168" s="5" t="inlineStr">
        <is>
          <t>6</t>
        </is>
      </c>
      <c r="U168" s="5" t="inlineStr">
        <is>
          <t>OK</t>
        </is>
      </c>
    </row>
    <row r="169">
      <c r="A169" s="5" t="inlineStr">
        <is>
          <t>E00840</t>
        </is>
      </c>
      <c r="B169" s="5" t="inlineStr">
        <is>
          <t>Male</t>
        </is>
      </c>
      <c r="C169" s="6" t="inlineStr">
        <is>
          <t>23</t>
        </is>
      </c>
      <c r="D169" s="5" t="inlineStr">
        <is>
          <t>Married</t>
        </is>
      </c>
      <c r="E169" s="5" t="inlineStr">
        <is>
          <t>PhD</t>
        </is>
      </c>
      <c r="F169" s="5" t="inlineStr">
        <is>
          <t>Finance</t>
        </is>
      </c>
      <c r="G169" s="5" t="inlineStr">
        <is>
          <t>Financial Analyst</t>
        </is>
      </c>
      <c r="H169" s="5" t="inlineStr">
        <is>
          <t>1</t>
        </is>
      </c>
      <c r="I169" s="5" t="inlineStr">
        <is>
          <t>Mumbai</t>
        </is>
      </c>
      <c r="J169" s="5" t="inlineStr">
        <is>
          <t>Full-Time</t>
        </is>
      </c>
      <c r="K169" s="7" t="n">
        <v>45123</v>
      </c>
      <c r="L169" s="7" t="n">
        <v>45186</v>
      </c>
      <c r="M169" s="5" t="inlineStr">
        <is>
          <t>No</t>
        </is>
      </c>
      <c r="N169" s="5" t="inlineStr">
        <is>
          <t>Resigned</t>
        </is>
      </c>
      <c r="O169" s="8" t="inlineStr">
        <is>
          <t>72000</t>
        </is>
      </c>
      <c r="P169" s="5" t="inlineStr">
        <is>
          <t>10</t>
        </is>
      </c>
      <c r="Q169" s="5" t="inlineStr">
        <is>
          <t>3</t>
        </is>
      </c>
      <c r="R169" s="5" t="inlineStr">
        <is>
          <t>3</t>
        </is>
      </c>
      <c r="S169" s="5" t="inlineStr">
        <is>
          <t>2</t>
        </is>
      </c>
      <c r="T169" s="5" t="inlineStr">
        <is>
          <t>8</t>
        </is>
      </c>
      <c r="U169" s="5" t="inlineStr">
        <is>
          <t>OK</t>
        </is>
      </c>
    </row>
    <row r="170">
      <c r="A170" s="5" t="inlineStr">
        <is>
          <t>E02922</t>
        </is>
      </c>
      <c r="B170" s="5" t="inlineStr">
        <is>
          <t>Female</t>
        </is>
      </c>
      <c r="C170" s="6" t="inlineStr">
        <is>
          <t>27</t>
        </is>
      </c>
      <c r="D170" s="5" t="inlineStr">
        <is>
          <t>Married</t>
        </is>
      </c>
      <c r="E170" s="5" t="inlineStr">
        <is>
          <t>High School</t>
        </is>
      </c>
      <c r="F170" s="5" t="inlineStr">
        <is>
          <t>Operations</t>
        </is>
      </c>
      <c r="G170" s="5" t="inlineStr">
        <is>
          <t>Logistics Coordinator</t>
        </is>
      </c>
      <c r="H170" s="5" t="inlineStr">
        <is>
          <t>2</t>
        </is>
      </c>
      <c r="I170" s="5" t="inlineStr">
        <is>
          <t>Bengaluru</t>
        </is>
      </c>
      <c r="J170" s="5" t="inlineStr">
        <is>
          <t>Full-Time</t>
        </is>
      </c>
      <c r="K170" s="7" t="n">
        <v>44911</v>
      </c>
      <c r="L170" s="7" t="n">
        <v>45048</v>
      </c>
      <c r="M170" s="5" t="inlineStr">
        <is>
          <t>No</t>
        </is>
      </c>
      <c r="N170" s="5" t="inlineStr">
        <is>
          <t>Retirement</t>
        </is>
      </c>
      <c r="O170" s="8" t="inlineStr">
        <is>
          <t>64000</t>
        </is>
      </c>
      <c r="P170" s="5" t="inlineStr">
        <is>
          <t>10</t>
        </is>
      </c>
      <c r="Q170" s="5" t="inlineStr">
        <is>
          <t>4</t>
        </is>
      </c>
      <c r="R170" s="5" t="inlineStr">
        <is>
          <t>7</t>
        </is>
      </c>
      <c r="S170" s="5" t="inlineStr">
        <is>
          <t>4</t>
        </is>
      </c>
      <c r="T170" s="5" t="inlineStr">
        <is>
          <t>8</t>
        </is>
      </c>
      <c r="U170" s="5" t="inlineStr">
        <is>
          <t>OK</t>
        </is>
      </c>
    </row>
    <row r="171">
      <c r="A171" s="5" t="inlineStr">
        <is>
          <t>E00845</t>
        </is>
      </c>
      <c r="B171" s="5" t="inlineStr">
        <is>
          <t>Male</t>
        </is>
      </c>
      <c r="C171" s="6" t="inlineStr">
        <is>
          <t>37</t>
        </is>
      </c>
      <c r="D171" s="5" t="inlineStr">
        <is>
          <t>Married</t>
        </is>
      </c>
      <c r="E171" s="5" t="inlineStr">
        <is>
          <t>Master</t>
        </is>
      </c>
      <c r="F171" s="5" t="inlineStr">
        <is>
          <t>Marketing</t>
        </is>
      </c>
      <c r="G171" s="5" t="inlineStr">
        <is>
          <t>Marketing Analyst</t>
        </is>
      </c>
      <c r="H171" s="5" t="inlineStr">
        <is>
          <t>3</t>
        </is>
      </c>
      <c r="I171" s="5" t="inlineStr">
        <is>
          <t>Hyderabad</t>
        </is>
      </c>
      <c r="J171" s="5" t="inlineStr">
        <is>
          <t>Full-Time</t>
        </is>
      </c>
      <c r="K171" s="7" t="n">
        <v>45570</v>
      </c>
      <c r="L171" s="7" t="inlineStr"/>
      <c r="M171" s="5" t="inlineStr">
        <is>
          <t>Yes</t>
        </is>
      </c>
      <c r="N171" s="5" t="inlineStr"/>
      <c r="O171" s="8" t="inlineStr">
        <is>
          <t>110500</t>
        </is>
      </c>
      <c r="P171" s="5" t="inlineStr">
        <is>
          <t>0</t>
        </is>
      </c>
      <c r="Q171" s="5" t="inlineStr">
        <is>
          <t>3</t>
        </is>
      </c>
      <c r="R171" s="5" t="inlineStr">
        <is>
          <t>6</t>
        </is>
      </c>
      <c r="S171" s="5" t="inlineStr">
        <is>
          <t>15</t>
        </is>
      </c>
      <c r="T171" s="5" t="inlineStr">
        <is>
          <t>2</t>
        </is>
      </c>
      <c r="U171" s="5" t="inlineStr">
        <is>
          <t>OK</t>
        </is>
      </c>
    </row>
    <row r="172">
      <c r="A172" s="5" t="inlineStr">
        <is>
          <t>E00538</t>
        </is>
      </c>
      <c r="B172" s="5" t="inlineStr">
        <is>
          <t>Female</t>
        </is>
      </c>
      <c r="C172" s="6" t="inlineStr">
        <is>
          <t>38</t>
        </is>
      </c>
      <c r="D172" s="5" t="inlineStr">
        <is>
          <t>Married</t>
        </is>
      </c>
      <c r="E172" s="5" t="inlineStr">
        <is>
          <t>Bachelor</t>
        </is>
      </c>
      <c r="F172" s="5" t="inlineStr">
        <is>
          <t>Research &amp; Development</t>
        </is>
      </c>
      <c r="G172" s="5" t="inlineStr">
        <is>
          <t>Product Engineer</t>
        </is>
      </c>
      <c r="H172" s="5" t="inlineStr">
        <is>
          <t>3</t>
        </is>
      </c>
      <c r="I172" s="5" t="inlineStr">
        <is>
          <t>Remote</t>
        </is>
      </c>
      <c r="J172" s="5" t="inlineStr">
        <is>
          <t>Full-Time</t>
        </is>
      </c>
      <c r="K172" s="7" t="n">
        <v>45974</v>
      </c>
      <c r="L172" s="7" t="inlineStr"/>
      <c r="M172" s="5" t="inlineStr">
        <is>
          <t>Yes</t>
        </is>
      </c>
      <c r="N172" s="5" t="inlineStr"/>
      <c r="O172" s="8" t="inlineStr">
        <is>
          <t>123500</t>
        </is>
      </c>
      <c r="P172" s="5" t="inlineStr">
        <is>
          <t>0</t>
        </is>
      </c>
      <c r="Q172" s="5" t="inlineStr">
        <is>
          <t>5</t>
        </is>
      </c>
      <c r="R172" s="5" t="inlineStr">
        <is>
          <t>4</t>
        </is>
      </c>
      <c r="S172" s="5" t="inlineStr">
        <is>
          <t>1</t>
        </is>
      </c>
      <c r="T172" s="5" t="inlineStr">
        <is>
          <t>8</t>
        </is>
      </c>
      <c r="U172" s="5" t="inlineStr">
        <is>
          <t>OK</t>
        </is>
      </c>
    </row>
    <row r="173">
      <c r="A173" s="5" t="inlineStr">
        <is>
          <t>E01289</t>
        </is>
      </c>
      <c r="B173" s="5" t="inlineStr">
        <is>
          <t>Male</t>
        </is>
      </c>
      <c r="C173" s="6" t="inlineStr">
        <is>
          <t>28</t>
        </is>
      </c>
      <c r="D173" s="5" t="inlineStr">
        <is>
          <t>Married</t>
        </is>
      </c>
      <c r="E173" s="5" t="inlineStr">
        <is>
          <t>Master</t>
        </is>
      </c>
      <c r="F173" s="5" t="inlineStr">
        <is>
          <t>IT</t>
        </is>
      </c>
      <c r="G173" s="5" t="inlineStr">
        <is>
          <t>IT Support</t>
        </is>
      </c>
      <c r="H173" s="5" t="inlineStr">
        <is>
          <t>3</t>
        </is>
      </c>
      <c r="I173" s="5" t="inlineStr">
        <is>
          <t>Chennai</t>
        </is>
      </c>
      <c r="J173" s="5" t="inlineStr">
        <is>
          <t>Full-Time</t>
        </is>
      </c>
      <c r="K173" s="7" t="n">
        <v>45363</v>
      </c>
      <c r="L173" s="7" t="inlineStr"/>
      <c r="M173" s="5" t="inlineStr">
        <is>
          <t>Yes</t>
        </is>
      </c>
      <c r="N173" s="5" t="inlineStr"/>
      <c r="O173" s="8" t="inlineStr">
        <is>
          <t>112000</t>
        </is>
      </c>
      <c r="P173" s="5" t="inlineStr">
        <is>
          <t>0</t>
        </is>
      </c>
      <c r="Q173" s="5" t="inlineStr">
        <is>
          <t>5</t>
        </is>
      </c>
      <c r="R173" s="5" t="inlineStr">
        <is>
          <t>7</t>
        </is>
      </c>
      <c r="S173" s="5" t="inlineStr">
        <is>
          <t>21</t>
        </is>
      </c>
      <c r="T173" s="5" t="inlineStr">
        <is>
          <t>2</t>
        </is>
      </c>
      <c r="U173" s="5" t="inlineStr">
        <is>
          <t>OK</t>
        </is>
      </c>
    </row>
    <row r="174">
      <c r="A174" s="5" t="inlineStr">
        <is>
          <t>E00131</t>
        </is>
      </c>
      <c r="B174" s="5" t="inlineStr">
        <is>
          <t>Male</t>
        </is>
      </c>
      <c r="C174" s="6" t="inlineStr">
        <is>
          <t>34</t>
        </is>
      </c>
      <c r="D174" s="5" t="inlineStr">
        <is>
          <t>Married</t>
        </is>
      </c>
      <c r="E174" s="5" t="inlineStr">
        <is>
          <t>Bachelor</t>
        </is>
      </c>
      <c r="F174" s="5" t="inlineStr">
        <is>
          <t>Operations</t>
        </is>
      </c>
      <c r="G174" s="5" t="inlineStr">
        <is>
          <t>Logistics Coordinator</t>
        </is>
      </c>
      <c r="H174" s="5" t="inlineStr">
        <is>
          <t>2</t>
        </is>
      </c>
      <c r="I174" s="5" t="inlineStr">
        <is>
          <t>Remote</t>
        </is>
      </c>
      <c r="J174" s="5" t="inlineStr">
        <is>
          <t>Full-Time</t>
        </is>
      </c>
      <c r="K174" s="7" t="n">
        <v>45030</v>
      </c>
      <c r="L174" s="7" t="inlineStr"/>
      <c r="M174" s="5" t="inlineStr">
        <is>
          <t>Yes</t>
        </is>
      </c>
      <c r="N174" s="5" t="inlineStr"/>
      <c r="O174" s="8" t="inlineStr">
        <is>
          <t>100000</t>
        </is>
      </c>
      <c r="P174" s="5" t="inlineStr">
        <is>
          <t>15</t>
        </is>
      </c>
      <c r="Q174" s="5" t="inlineStr">
        <is>
          <t>3</t>
        </is>
      </c>
      <c r="R174" s="5" t="inlineStr">
        <is>
          <t>4</t>
        </is>
      </c>
      <c r="S174" s="5" t="inlineStr">
        <is>
          <t>33</t>
        </is>
      </c>
      <c r="T174" s="5" t="inlineStr">
        <is>
          <t>12</t>
        </is>
      </c>
      <c r="U174" s="5" t="inlineStr">
        <is>
          <t>OK</t>
        </is>
      </c>
    </row>
    <row r="175">
      <c r="A175" s="5" t="inlineStr">
        <is>
          <t>E00277</t>
        </is>
      </c>
      <c r="B175" s="5" t="inlineStr">
        <is>
          <t>Male</t>
        </is>
      </c>
      <c r="C175" s="6" t="inlineStr">
        <is>
          <t>31</t>
        </is>
      </c>
      <c r="D175" s="5" t="inlineStr">
        <is>
          <t>Married</t>
        </is>
      </c>
      <c r="E175" s="5" t="inlineStr">
        <is>
          <t>Master</t>
        </is>
      </c>
      <c r="F175" s="5" t="inlineStr">
        <is>
          <t>Finance</t>
        </is>
      </c>
      <c r="G175" s="5" t="inlineStr">
        <is>
          <t>Credit Analyst</t>
        </is>
      </c>
      <c r="H175" s="5" t="inlineStr">
        <is>
          <t>3</t>
        </is>
      </c>
      <c r="I175" s="5" t="inlineStr">
        <is>
          <t>Hyderabad</t>
        </is>
      </c>
      <c r="J175" s="5" t="inlineStr">
        <is>
          <t>Full-Time</t>
        </is>
      </c>
      <c r="K175" s="7" t="n">
        <v>44228</v>
      </c>
      <c r="L175" s="7" t="inlineStr"/>
      <c r="M175" s="5" t="inlineStr">
        <is>
          <t>Yes</t>
        </is>
      </c>
      <c r="N175" s="5" t="inlineStr"/>
      <c r="O175" s="8" t="inlineStr">
        <is>
          <t>83500</t>
        </is>
      </c>
      <c r="P175" s="5" t="inlineStr">
        <is>
          <t>5</t>
        </is>
      </c>
      <c r="Q175" s="5" t="inlineStr">
        <is>
          <t>2</t>
        </is>
      </c>
      <c r="R175" s="5" t="inlineStr">
        <is>
          <t>7</t>
        </is>
      </c>
      <c r="S175" s="5" t="inlineStr">
        <is>
          <t>59</t>
        </is>
      </c>
      <c r="T175" s="5" t="inlineStr">
        <is>
          <t>0</t>
        </is>
      </c>
      <c r="U175" s="5" t="inlineStr">
        <is>
          <t>OK</t>
        </is>
      </c>
    </row>
    <row r="176">
      <c r="A176" s="5" t="inlineStr">
        <is>
          <t>E01397</t>
        </is>
      </c>
      <c r="B176" s="5" t="inlineStr">
        <is>
          <t>Male</t>
        </is>
      </c>
      <c r="C176" s="6" t="inlineStr">
        <is>
          <t>29</t>
        </is>
      </c>
      <c r="D176" s="5" t="inlineStr">
        <is>
          <t>Married</t>
        </is>
      </c>
      <c r="E176" s="5" t="inlineStr">
        <is>
          <t>PhD</t>
        </is>
      </c>
      <c r="F176" s="5" t="inlineStr">
        <is>
          <t>Research &amp; Development</t>
        </is>
      </c>
      <c r="G176" s="5" t="inlineStr">
        <is>
          <t>Research Scientist</t>
        </is>
      </c>
      <c r="H176" s="5" t="inlineStr">
        <is>
          <t>1</t>
        </is>
      </c>
      <c r="I176" s="5" t="inlineStr">
        <is>
          <t>Remote</t>
        </is>
      </c>
      <c r="J176" s="5" t="inlineStr">
        <is>
          <t>Full-Time</t>
        </is>
      </c>
      <c r="K176" s="7" t="n">
        <v>45665</v>
      </c>
      <c r="L176" s="7" t="inlineStr"/>
      <c r="M176" s="5" t="inlineStr">
        <is>
          <t>Yes</t>
        </is>
      </c>
      <c r="N176" s="5" t="inlineStr"/>
      <c r="O176" s="8" t="inlineStr">
        <is>
          <t>151500</t>
        </is>
      </c>
      <c r="P176" s="5" t="inlineStr">
        <is>
          <t>5</t>
        </is>
      </c>
      <c r="Q176" s="5" t="inlineStr">
        <is>
          <t>4</t>
        </is>
      </c>
      <c r="R176" s="5" t="inlineStr">
        <is>
          <t>5</t>
        </is>
      </c>
      <c r="S176" s="5" t="inlineStr">
        <is>
          <t>11</t>
        </is>
      </c>
      <c r="T176" s="5" t="inlineStr">
        <is>
          <t>6</t>
        </is>
      </c>
      <c r="U176" s="5" t="inlineStr">
        <is>
          <t>OK</t>
        </is>
      </c>
    </row>
    <row r="177">
      <c r="A177" s="5" t="inlineStr">
        <is>
          <t>E02892</t>
        </is>
      </c>
      <c r="B177" s="5" t="inlineStr">
        <is>
          <t>Female</t>
        </is>
      </c>
      <c r="C177" s="6" t="inlineStr">
        <is>
          <t>25</t>
        </is>
      </c>
      <c r="D177" s="5" t="inlineStr">
        <is>
          <t>Married</t>
        </is>
      </c>
      <c r="E177" s="5" t="inlineStr">
        <is>
          <t>PhD</t>
        </is>
      </c>
      <c r="F177" s="5" t="inlineStr">
        <is>
          <t>Human Resources</t>
        </is>
      </c>
      <c r="G177" s="5" t="inlineStr">
        <is>
          <t>Recruiter</t>
        </is>
      </c>
      <c r="H177" s="5" t="inlineStr">
        <is>
          <t>1</t>
        </is>
      </c>
      <c r="I177" s="5" t="inlineStr">
        <is>
          <t>Remote</t>
        </is>
      </c>
      <c r="J177" s="5" t="inlineStr">
        <is>
          <t>Full-Time</t>
        </is>
      </c>
      <c r="K177" s="7" t="n">
        <v>44347</v>
      </c>
      <c r="L177" s="7" t="inlineStr"/>
      <c r="M177" s="5" t="inlineStr">
        <is>
          <t>Yes</t>
        </is>
      </c>
      <c r="N177" s="5" t="inlineStr"/>
      <c r="O177" s="8" t="inlineStr">
        <is>
          <t>58500</t>
        </is>
      </c>
      <c r="P177" s="5" t="inlineStr">
        <is>
          <t>15</t>
        </is>
      </c>
      <c r="Q177" s="5" t="inlineStr">
        <is>
          <t>3</t>
        </is>
      </c>
      <c r="R177" s="5" t="inlineStr">
        <is>
          <t>7</t>
        </is>
      </c>
      <c r="S177" s="5" t="inlineStr">
        <is>
          <t>55</t>
        </is>
      </c>
      <c r="T177" s="5" t="inlineStr">
        <is>
          <t>13</t>
        </is>
      </c>
      <c r="U177" s="5" t="inlineStr">
        <is>
          <t>OK</t>
        </is>
      </c>
    </row>
    <row r="178">
      <c r="A178" s="5" t="inlineStr">
        <is>
          <t>E02320</t>
        </is>
      </c>
      <c r="B178" s="5" t="inlineStr">
        <is>
          <t>Female</t>
        </is>
      </c>
      <c r="C178" s="6" t="inlineStr">
        <is>
          <t>35</t>
        </is>
      </c>
      <c r="D178" s="5" t="inlineStr">
        <is>
          <t>Married</t>
        </is>
      </c>
      <c r="E178" s="5" t="inlineStr">
        <is>
          <t>Bachelor</t>
        </is>
      </c>
      <c r="F178" s="5" t="inlineStr">
        <is>
          <t>IT</t>
        </is>
      </c>
      <c r="G178" s="5" t="inlineStr">
        <is>
          <t>Software Engineer</t>
        </is>
      </c>
      <c r="H178" s="5" t="inlineStr">
        <is>
          <t>3</t>
        </is>
      </c>
      <c r="I178" s="5" t="inlineStr">
        <is>
          <t>Remote</t>
        </is>
      </c>
      <c r="J178" s="5" t="inlineStr">
        <is>
          <t>Full-Time</t>
        </is>
      </c>
      <c r="K178" s="7" t="n">
        <v>45386</v>
      </c>
      <c r="L178" s="7" t="inlineStr"/>
      <c r="M178" s="5" t="inlineStr">
        <is>
          <t>Yes</t>
        </is>
      </c>
      <c r="N178" s="5" t="inlineStr"/>
      <c r="O178" s="8" t="inlineStr">
        <is>
          <t>164500</t>
        </is>
      </c>
      <c r="P178" s="5" t="inlineStr">
        <is>
          <t>15</t>
        </is>
      </c>
      <c r="Q178" s="5" t="inlineStr">
        <is>
          <t>5</t>
        </is>
      </c>
      <c r="R178" s="5" t="inlineStr">
        <is>
          <t>5</t>
        </is>
      </c>
      <c r="S178" s="5" t="inlineStr">
        <is>
          <t>21</t>
        </is>
      </c>
      <c r="T178" s="5" t="inlineStr">
        <is>
          <t>1</t>
        </is>
      </c>
      <c r="U178" s="5" t="inlineStr">
        <is>
          <t>OK</t>
        </is>
      </c>
    </row>
    <row r="179">
      <c r="A179" s="5" t="inlineStr">
        <is>
          <t>E00340</t>
        </is>
      </c>
      <c r="B179" s="5" t="inlineStr">
        <is>
          <t>Female</t>
        </is>
      </c>
      <c r="C179" s="6" t="inlineStr">
        <is>
          <t>32</t>
        </is>
      </c>
      <c r="D179" s="5" t="inlineStr">
        <is>
          <t>Single</t>
        </is>
      </c>
      <c r="E179" s="5" t="inlineStr">
        <is>
          <t>PhD</t>
        </is>
      </c>
      <c r="F179" s="5" t="inlineStr">
        <is>
          <t>Customer Support</t>
        </is>
      </c>
      <c r="G179" s="5" t="inlineStr">
        <is>
          <t>Support Agent</t>
        </is>
      </c>
      <c r="H179" s="5" t="inlineStr">
        <is>
          <t>3</t>
        </is>
      </c>
      <c r="I179" s="5" t="inlineStr">
        <is>
          <t>Hyderabad</t>
        </is>
      </c>
      <c r="J179" s="5" t="inlineStr">
        <is>
          <t>Full-Time</t>
        </is>
      </c>
      <c r="K179" s="7" t="n">
        <v>44274</v>
      </c>
      <c r="L179" s="7" t="inlineStr"/>
      <c r="M179" s="5" t="inlineStr">
        <is>
          <t>Yes</t>
        </is>
      </c>
      <c r="N179" s="5" t="inlineStr"/>
      <c r="O179" s="8" t="inlineStr">
        <is>
          <t>88500</t>
        </is>
      </c>
      <c r="P179" s="5" t="inlineStr">
        <is>
          <t>5</t>
        </is>
      </c>
      <c r="Q179" s="5" t="inlineStr">
        <is>
          <t>5</t>
        </is>
      </c>
      <c r="R179" s="5" t="inlineStr">
        <is>
          <t>8</t>
        </is>
      </c>
      <c r="S179" s="5" t="inlineStr">
        <is>
          <t>58</t>
        </is>
      </c>
      <c r="T179" s="5" t="inlineStr">
        <is>
          <t>12</t>
        </is>
      </c>
      <c r="U179" s="5" t="inlineStr">
        <is>
          <t>OK</t>
        </is>
      </c>
    </row>
    <row r="180">
      <c r="A180" s="5" t="inlineStr">
        <is>
          <t>E02773</t>
        </is>
      </c>
      <c r="B180" s="5" t="inlineStr">
        <is>
          <t>Male</t>
        </is>
      </c>
      <c r="C180" s="6" t="inlineStr">
        <is>
          <t>33</t>
        </is>
      </c>
      <c r="D180" s="5" t="inlineStr">
        <is>
          <t>Married</t>
        </is>
      </c>
      <c r="E180" s="5" t="inlineStr">
        <is>
          <t>Diploma</t>
        </is>
      </c>
      <c r="F180" s="5" t="inlineStr">
        <is>
          <t>Finance</t>
        </is>
      </c>
      <c r="G180" s="5" t="inlineStr">
        <is>
          <t>Credit Analyst</t>
        </is>
      </c>
      <c r="H180" s="5" t="inlineStr">
        <is>
          <t>1</t>
        </is>
      </c>
      <c r="I180" s="5" t="inlineStr">
        <is>
          <t>Delhi</t>
        </is>
      </c>
      <c r="J180" s="5" t="inlineStr">
        <is>
          <t>Full-Time</t>
        </is>
      </c>
      <c r="K180" s="7" t="n">
        <v>45934</v>
      </c>
      <c r="L180" s="7" t="inlineStr"/>
      <c r="M180" s="5" t="inlineStr">
        <is>
          <t>Yes</t>
        </is>
      </c>
      <c r="N180" s="5" t="inlineStr"/>
      <c r="O180" s="8" t="inlineStr">
        <is>
          <t>104500</t>
        </is>
      </c>
      <c r="P180" s="5" t="inlineStr">
        <is>
          <t>10</t>
        </is>
      </c>
      <c r="Q180" s="5" t="inlineStr">
        <is>
          <t>5</t>
        </is>
      </c>
      <c r="R180" s="5" t="inlineStr">
        <is>
          <t>6</t>
        </is>
      </c>
      <c r="S180" s="5" t="inlineStr">
        <is>
          <t>2</t>
        </is>
      </c>
      <c r="T180" s="5" t="inlineStr">
        <is>
          <t>14</t>
        </is>
      </c>
      <c r="U180" s="5" t="inlineStr">
        <is>
          <t>OK</t>
        </is>
      </c>
    </row>
    <row r="181">
      <c r="A181" s="5" t="inlineStr">
        <is>
          <t>E02625</t>
        </is>
      </c>
      <c r="B181" s="5" t="inlineStr">
        <is>
          <t>Female</t>
        </is>
      </c>
      <c r="C181" s="6" t="inlineStr">
        <is>
          <t>31</t>
        </is>
      </c>
      <c r="D181" s="5" t="inlineStr">
        <is>
          <t>Single</t>
        </is>
      </c>
      <c r="E181" s="5" t="inlineStr">
        <is>
          <t>Bachelor</t>
        </is>
      </c>
      <c r="F181" s="5" t="inlineStr">
        <is>
          <t>Sales</t>
        </is>
      </c>
      <c r="G181" s="5" t="inlineStr">
        <is>
          <t>Sales Executive</t>
        </is>
      </c>
      <c r="H181" s="5" t="inlineStr">
        <is>
          <t>2</t>
        </is>
      </c>
      <c r="I181" s="5" t="inlineStr">
        <is>
          <t>Bengaluru</t>
        </is>
      </c>
      <c r="J181" s="5" t="inlineStr">
        <is>
          <t>Full-Time</t>
        </is>
      </c>
      <c r="K181" s="7" t="n">
        <v>44392</v>
      </c>
      <c r="L181" s="7" t="inlineStr"/>
      <c r="M181" s="5" t="inlineStr">
        <is>
          <t>Yes</t>
        </is>
      </c>
      <c r="N181" s="5" t="inlineStr"/>
      <c r="O181" s="8" t="inlineStr">
        <is>
          <t>120500</t>
        </is>
      </c>
      <c r="P181" s="5" t="inlineStr">
        <is>
          <t>5</t>
        </is>
      </c>
      <c r="Q181" s="5" t="inlineStr">
        <is>
          <t>1</t>
        </is>
      </c>
      <c r="R181" s="5" t="inlineStr">
        <is>
          <t>7</t>
        </is>
      </c>
      <c r="S181" s="5" t="inlineStr">
        <is>
          <t>54</t>
        </is>
      </c>
      <c r="T181" s="5" t="inlineStr">
        <is>
          <t>11</t>
        </is>
      </c>
      <c r="U181" s="5" t="inlineStr">
        <is>
          <t>OK</t>
        </is>
      </c>
    </row>
    <row r="182">
      <c r="A182" s="5" t="inlineStr">
        <is>
          <t>E01077</t>
        </is>
      </c>
      <c r="B182" s="5" t="inlineStr">
        <is>
          <t>Female</t>
        </is>
      </c>
      <c r="C182" s="6" t="inlineStr">
        <is>
          <t>31</t>
        </is>
      </c>
      <c r="D182" s="5" t="inlineStr">
        <is>
          <t>Married</t>
        </is>
      </c>
      <c r="E182" s="5" t="inlineStr">
        <is>
          <t>Master</t>
        </is>
      </c>
      <c r="F182" s="5" t="inlineStr">
        <is>
          <t>Research &amp; Development</t>
        </is>
      </c>
      <c r="G182" s="5" t="inlineStr">
        <is>
          <t>Data Scientist</t>
        </is>
      </c>
      <c r="H182" s="5" t="inlineStr">
        <is>
          <t>1</t>
        </is>
      </c>
      <c r="I182" s="5" t="inlineStr">
        <is>
          <t>Remote</t>
        </is>
      </c>
      <c r="J182" s="5" t="inlineStr">
        <is>
          <t>Full-Time</t>
        </is>
      </c>
      <c r="K182" s="7" t="n">
        <v>45036</v>
      </c>
      <c r="L182" s="7" t="n">
        <v>45130</v>
      </c>
      <c r="M182" s="5" t="inlineStr">
        <is>
          <t>No</t>
        </is>
      </c>
      <c r="N182" s="5" t="inlineStr">
        <is>
          <t>Resigned</t>
        </is>
      </c>
      <c r="O182" s="8" t="inlineStr">
        <is>
          <t>124000</t>
        </is>
      </c>
      <c r="P182" s="5" t="inlineStr">
        <is>
          <t>5</t>
        </is>
      </c>
      <c r="Q182" s="5" t="inlineStr">
        <is>
          <t>3</t>
        </is>
      </c>
      <c r="R182" s="5" t="inlineStr">
        <is>
          <t>9</t>
        </is>
      </c>
      <c r="S182" s="5" t="inlineStr">
        <is>
          <t>3</t>
        </is>
      </c>
      <c r="T182" s="5" t="inlineStr">
        <is>
          <t>0</t>
        </is>
      </c>
      <c r="U182" s="5" t="inlineStr">
        <is>
          <t>OK</t>
        </is>
      </c>
    </row>
    <row r="183">
      <c r="A183" s="5" t="inlineStr">
        <is>
          <t>E00654</t>
        </is>
      </c>
      <c r="B183" s="5" t="inlineStr">
        <is>
          <t>Male</t>
        </is>
      </c>
      <c r="C183" s="6" t="inlineStr">
        <is>
          <t>31</t>
        </is>
      </c>
      <c r="D183" s="5" t="inlineStr">
        <is>
          <t>Married</t>
        </is>
      </c>
      <c r="E183" s="5" t="inlineStr">
        <is>
          <t>Master</t>
        </is>
      </c>
      <c r="F183" s="5" t="inlineStr">
        <is>
          <t>Customer Support</t>
        </is>
      </c>
      <c r="G183" s="5" t="inlineStr">
        <is>
          <t>Support Lead</t>
        </is>
      </c>
      <c r="H183" s="5" t="inlineStr">
        <is>
          <t>1</t>
        </is>
      </c>
      <c r="I183" s="5" t="inlineStr">
        <is>
          <t>Mumbai</t>
        </is>
      </c>
      <c r="J183" s="5" t="inlineStr">
        <is>
          <t>Full-Time</t>
        </is>
      </c>
      <c r="K183" s="7" t="n">
        <v>45295</v>
      </c>
      <c r="L183" s="7" t="n">
        <v>45358</v>
      </c>
      <c r="M183" s="5" t="inlineStr">
        <is>
          <t>No</t>
        </is>
      </c>
      <c r="N183" s="5" t="inlineStr">
        <is>
          <t>Resigned</t>
        </is>
      </c>
      <c r="O183" s="8" t="inlineStr">
        <is>
          <t>70000</t>
        </is>
      </c>
      <c r="P183" s="5" t="inlineStr">
        <is>
          <t>5</t>
        </is>
      </c>
      <c r="Q183" s="5" t="inlineStr">
        <is>
          <t>2</t>
        </is>
      </c>
      <c r="R183" s="5" t="inlineStr">
        <is>
          <t>6</t>
        </is>
      </c>
      <c r="S183" s="5" t="inlineStr">
        <is>
          <t>2</t>
        </is>
      </c>
      <c r="T183" s="5" t="inlineStr">
        <is>
          <t>5</t>
        </is>
      </c>
      <c r="U183" s="5" t="inlineStr">
        <is>
          <t>OK</t>
        </is>
      </c>
    </row>
    <row r="184">
      <c r="A184" s="5" t="inlineStr">
        <is>
          <t>E02497</t>
        </is>
      </c>
      <c r="B184" s="5" t="inlineStr">
        <is>
          <t>Male</t>
        </is>
      </c>
      <c r="C184" s="6" t="inlineStr">
        <is>
          <t>26</t>
        </is>
      </c>
      <c r="D184" s="5" t="inlineStr">
        <is>
          <t>Married</t>
        </is>
      </c>
      <c r="E184" s="5" t="inlineStr">
        <is>
          <t>High School</t>
        </is>
      </c>
      <c r="F184" s="5" t="inlineStr">
        <is>
          <t>Operations</t>
        </is>
      </c>
      <c r="G184" s="5" t="inlineStr">
        <is>
          <t>Logistics Coordinator</t>
        </is>
      </c>
      <c r="H184" s="5" t="inlineStr">
        <is>
          <t>1</t>
        </is>
      </c>
      <c r="I184" s="5" t="inlineStr">
        <is>
          <t>Remote</t>
        </is>
      </c>
      <c r="J184" s="5" t="inlineStr">
        <is>
          <t>Full-Time</t>
        </is>
      </c>
      <c r="K184" s="7" t="n">
        <v>45313</v>
      </c>
      <c r="L184" s="7" t="n">
        <v>45347</v>
      </c>
      <c r="M184" s="5" t="inlineStr">
        <is>
          <t>No</t>
        </is>
      </c>
      <c r="N184" s="5" t="inlineStr">
        <is>
          <t>Relocation</t>
        </is>
      </c>
      <c r="O184" s="8" t="inlineStr">
        <is>
          <t>85000</t>
        </is>
      </c>
      <c r="P184" s="5" t="inlineStr">
        <is>
          <t>0</t>
        </is>
      </c>
      <c r="Q184" s="5" t="inlineStr">
        <is>
          <t>4</t>
        </is>
      </c>
      <c r="R184" s="5" t="inlineStr">
        <is>
          <t>4</t>
        </is>
      </c>
      <c r="S184" s="5" t="inlineStr">
        <is>
          <t>1</t>
        </is>
      </c>
      <c r="T184" s="5" t="inlineStr">
        <is>
          <t>10</t>
        </is>
      </c>
      <c r="U184" s="5" t="inlineStr">
        <is>
          <t>OK</t>
        </is>
      </c>
    </row>
    <row r="185">
      <c r="A185" s="5" t="inlineStr">
        <is>
          <t>E00850</t>
        </is>
      </c>
      <c r="B185" s="5" t="inlineStr">
        <is>
          <t>Male</t>
        </is>
      </c>
      <c r="C185" s="6" t="inlineStr">
        <is>
          <t>31</t>
        </is>
      </c>
      <c r="D185" s="5" t="inlineStr">
        <is>
          <t>Married</t>
        </is>
      </c>
      <c r="E185" s="5" t="inlineStr">
        <is>
          <t>Diploma</t>
        </is>
      </c>
      <c r="F185" s="5" t="inlineStr">
        <is>
          <t>Operations</t>
        </is>
      </c>
      <c r="G185" s="5" t="inlineStr">
        <is>
          <t>Quality Analyst</t>
        </is>
      </c>
      <c r="H185" s="5" t="inlineStr">
        <is>
          <t>4</t>
        </is>
      </c>
      <c r="I185" s="5" t="inlineStr">
        <is>
          <t>Bengaluru</t>
        </is>
      </c>
      <c r="J185" s="5" t="inlineStr">
        <is>
          <t>Full-Time</t>
        </is>
      </c>
      <c r="K185" s="7" t="n">
        <v>44782</v>
      </c>
      <c r="L185" s="7" t="inlineStr"/>
      <c r="M185" s="5" t="inlineStr">
        <is>
          <t>Yes</t>
        </is>
      </c>
      <c r="N185" s="5" t="inlineStr"/>
      <c r="O185" s="8" t="inlineStr">
        <is>
          <t>116500</t>
        </is>
      </c>
      <c r="P185" s="5" t="inlineStr">
        <is>
          <t>15</t>
        </is>
      </c>
      <c r="Q185" s="5" t="inlineStr">
        <is>
          <t>5</t>
        </is>
      </c>
      <c r="R185" s="5" t="inlineStr">
        <is>
          <t>6</t>
        </is>
      </c>
      <c r="S185" s="5" t="inlineStr">
        <is>
          <t>41</t>
        </is>
      </c>
      <c r="T185" s="5" t="inlineStr">
        <is>
          <t>0</t>
        </is>
      </c>
      <c r="U185" s="5" t="inlineStr">
        <is>
          <t>OK</t>
        </is>
      </c>
    </row>
    <row r="186">
      <c r="A186" s="5" t="inlineStr">
        <is>
          <t>E02121</t>
        </is>
      </c>
      <c r="B186" s="5" t="inlineStr">
        <is>
          <t>Male</t>
        </is>
      </c>
      <c r="C186" s="6" t="inlineStr">
        <is>
          <t>38</t>
        </is>
      </c>
      <c r="D186" s="5" t="inlineStr">
        <is>
          <t>Married</t>
        </is>
      </c>
      <c r="E186" s="5" t="inlineStr">
        <is>
          <t>Diploma</t>
        </is>
      </c>
      <c r="F186" s="5" t="inlineStr">
        <is>
          <t>Finance</t>
        </is>
      </c>
      <c r="G186" s="5" t="inlineStr">
        <is>
          <t>Credit Analyst</t>
        </is>
      </c>
      <c r="H186" s="5" t="inlineStr">
        <is>
          <t>4</t>
        </is>
      </c>
      <c r="I186" s="5" t="inlineStr">
        <is>
          <t>Hyderabad</t>
        </is>
      </c>
      <c r="J186" s="5" t="inlineStr">
        <is>
          <t>Contract</t>
        </is>
      </c>
      <c r="K186" s="7" t="n">
        <v>44585</v>
      </c>
      <c r="L186" s="7" t="inlineStr"/>
      <c r="M186" s="5" t="inlineStr">
        <is>
          <t>Yes</t>
        </is>
      </c>
      <c r="N186" s="5" t="inlineStr"/>
      <c r="O186" s="8" t="inlineStr">
        <is>
          <t>161000</t>
        </is>
      </c>
      <c r="P186" s="5" t="inlineStr">
        <is>
          <t>0</t>
        </is>
      </c>
      <c r="Q186" s="5" t="inlineStr">
        <is>
          <t>4</t>
        </is>
      </c>
      <c r="R186" s="5" t="inlineStr">
        <is>
          <t>6</t>
        </is>
      </c>
      <c r="S186" s="5" t="inlineStr">
        <is>
          <t>47</t>
        </is>
      </c>
      <c r="T186" s="5" t="inlineStr">
        <is>
          <t>10</t>
        </is>
      </c>
      <c r="U186" s="5" t="inlineStr">
        <is>
          <t>OK</t>
        </is>
      </c>
    </row>
    <row r="187">
      <c r="A187" s="5" t="inlineStr">
        <is>
          <t>E01924</t>
        </is>
      </c>
      <c r="B187" s="5" t="inlineStr">
        <is>
          <t>Male</t>
        </is>
      </c>
      <c r="C187" s="6" t="inlineStr">
        <is>
          <t>32</t>
        </is>
      </c>
      <c r="D187" s="5" t="inlineStr">
        <is>
          <t>Married</t>
        </is>
      </c>
      <c r="E187" s="5" t="inlineStr">
        <is>
          <t>Bachelor</t>
        </is>
      </c>
      <c r="F187" s="5" t="inlineStr">
        <is>
          <t>Finance</t>
        </is>
      </c>
      <c r="G187" s="5" t="inlineStr">
        <is>
          <t>Accountant</t>
        </is>
      </c>
      <c r="H187" s="5" t="inlineStr">
        <is>
          <t>3</t>
        </is>
      </c>
      <c r="I187" s="5" t="inlineStr">
        <is>
          <t>Remote</t>
        </is>
      </c>
      <c r="J187" s="5" t="inlineStr">
        <is>
          <t>Full-Time</t>
        </is>
      </c>
      <c r="K187" s="7" t="n">
        <v>44649</v>
      </c>
      <c r="L187" s="7" t="inlineStr"/>
      <c r="M187" s="5" t="inlineStr">
        <is>
          <t>Yes</t>
        </is>
      </c>
      <c r="N187" s="5" t="inlineStr"/>
      <c r="O187" s="8" t="inlineStr">
        <is>
          <t>135500</t>
        </is>
      </c>
      <c r="P187" s="5" t="inlineStr">
        <is>
          <t>10</t>
        </is>
      </c>
      <c r="Q187" s="5" t="inlineStr">
        <is>
          <t>2</t>
        </is>
      </c>
      <c r="R187" s="5" t="inlineStr">
        <is>
          <t>4</t>
        </is>
      </c>
      <c r="S187" s="5" t="inlineStr">
        <is>
          <t>45</t>
        </is>
      </c>
      <c r="T187" s="5" t="inlineStr">
        <is>
          <t>6</t>
        </is>
      </c>
      <c r="U187" s="5" t="inlineStr">
        <is>
          <t>OK</t>
        </is>
      </c>
    </row>
    <row r="188">
      <c r="A188" s="5" t="inlineStr">
        <is>
          <t>E01486</t>
        </is>
      </c>
      <c r="B188" s="5" t="inlineStr">
        <is>
          <t>Unknown</t>
        </is>
      </c>
      <c r="C188" s="6" t="inlineStr">
        <is>
          <t>38</t>
        </is>
      </c>
      <c r="D188" s="5" t="inlineStr">
        <is>
          <t>Married</t>
        </is>
      </c>
      <c r="E188" s="5" t="inlineStr">
        <is>
          <t>Master</t>
        </is>
      </c>
      <c r="F188" s="5" t="inlineStr">
        <is>
          <t>Sales</t>
        </is>
      </c>
      <c r="G188" s="5" t="inlineStr">
        <is>
          <t>Account Executive</t>
        </is>
      </c>
      <c r="H188" s="5" t="inlineStr">
        <is>
          <t>4</t>
        </is>
      </c>
      <c r="I188" s="5" t="inlineStr">
        <is>
          <t>Mumbai</t>
        </is>
      </c>
      <c r="J188" s="5" t="inlineStr">
        <is>
          <t>Full-Time</t>
        </is>
      </c>
      <c r="K188" s="7" t="n">
        <v>44012</v>
      </c>
      <c r="L188" s="7" t="inlineStr"/>
      <c r="M188" s="5" t="inlineStr">
        <is>
          <t>Yes</t>
        </is>
      </c>
      <c r="N188" s="5" t="inlineStr"/>
      <c r="O188" s="8" t="inlineStr">
        <is>
          <t>139500</t>
        </is>
      </c>
      <c r="P188" s="5" t="inlineStr">
        <is>
          <t>5</t>
        </is>
      </c>
      <c r="Q188" s="5" t="inlineStr">
        <is>
          <t>5</t>
        </is>
      </c>
      <c r="R188" s="5" t="inlineStr">
        <is>
          <t>6</t>
        </is>
      </c>
      <c r="S188" s="5" t="inlineStr">
        <is>
          <t>67</t>
        </is>
      </c>
      <c r="T188" s="5" t="inlineStr">
        <is>
          <t>8</t>
        </is>
      </c>
      <c r="U188" s="5" t="inlineStr">
        <is>
          <t>Bad gender</t>
        </is>
      </c>
    </row>
    <row r="189">
      <c r="A189" s="5" t="inlineStr">
        <is>
          <t>E00194</t>
        </is>
      </c>
      <c r="B189" s="5" t="inlineStr">
        <is>
          <t>Male</t>
        </is>
      </c>
      <c r="C189" s="6" t="inlineStr">
        <is>
          <t>36</t>
        </is>
      </c>
      <c r="D189" s="5" t="inlineStr">
        <is>
          <t>Married</t>
        </is>
      </c>
      <c r="E189" s="5" t="inlineStr">
        <is>
          <t>Master</t>
        </is>
      </c>
      <c r="F189" s="5" t="inlineStr">
        <is>
          <t>Human Resources</t>
        </is>
      </c>
      <c r="G189" s="5" t="inlineStr">
        <is>
          <t>HR Analyst</t>
        </is>
      </c>
      <c r="H189" s="5" t="inlineStr">
        <is>
          <t>5</t>
        </is>
      </c>
      <c r="I189" s="5" t="inlineStr">
        <is>
          <t>Chennai</t>
        </is>
      </c>
      <c r="J189" s="5" t="inlineStr">
        <is>
          <t>Full-Time</t>
        </is>
      </c>
      <c r="K189" s="7" t="n">
        <v>45459</v>
      </c>
      <c r="L189" s="7" t="inlineStr"/>
      <c r="M189" s="5" t="inlineStr">
        <is>
          <t>Yes</t>
        </is>
      </c>
      <c r="N189" s="5" t="inlineStr"/>
      <c r="O189" s="8" t="inlineStr">
        <is>
          <t>95500</t>
        </is>
      </c>
      <c r="P189" s="5" t="inlineStr">
        <is>
          <t>10</t>
        </is>
      </c>
      <c r="Q189" s="5" t="inlineStr">
        <is>
          <t>3</t>
        </is>
      </c>
      <c r="R189" s="5" t="inlineStr">
        <is>
          <t>5</t>
        </is>
      </c>
      <c r="S189" s="5" t="inlineStr">
        <is>
          <t>18</t>
        </is>
      </c>
      <c r="T189" s="5" t="inlineStr">
        <is>
          <t>2</t>
        </is>
      </c>
      <c r="U189" s="5" t="inlineStr">
        <is>
          <t>OK</t>
        </is>
      </c>
    </row>
    <row r="190">
      <c r="A190" s="5" t="inlineStr">
        <is>
          <t>E00771</t>
        </is>
      </c>
      <c r="B190" s="5" t="inlineStr">
        <is>
          <t>Female</t>
        </is>
      </c>
      <c r="C190" s="6" t="inlineStr">
        <is>
          <t>39</t>
        </is>
      </c>
      <c r="D190" s="5" t="inlineStr">
        <is>
          <t>Married</t>
        </is>
      </c>
      <c r="E190" s="5" t="inlineStr">
        <is>
          <t>High School</t>
        </is>
      </c>
      <c r="F190" s="5" t="inlineStr">
        <is>
          <t>IT</t>
        </is>
      </c>
      <c r="G190" s="5" t="inlineStr">
        <is>
          <t>DevOps Engineer</t>
        </is>
      </c>
      <c r="H190" s="5" t="inlineStr">
        <is>
          <t>7</t>
        </is>
      </c>
      <c r="I190" s="5" t="inlineStr">
        <is>
          <t>Hyderabad</t>
        </is>
      </c>
      <c r="J190" s="5" t="inlineStr">
        <is>
          <t>Full-Time</t>
        </is>
      </c>
      <c r="K190" s="7" t="n">
        <v>45462</v>
      </c>
      <c r="L190" s="7" t="inlineStr"/>
      <c r="M190" s="5" t="inlineStr">
        <is>
          <t>Yes</t>
        </is>
      </c>
      <c r="N190" s="5" t="inlineStr"/>
      <c r="O190" s="8" t="inlineStr">
        <is>
          <t>180000</t>
        </is>
      </c>
      <c r="P190" s="5" t="inlineStr">
        <is>
          <t>10</t>
        </is>
      </c>
      <c r="Q190" s="5" t="inlineStr">
        <is>
          <t>5</t>
        </is>
      </c>
      <c r="R190" s="5" t="inlineStr">
        <is>
          <t>4</t>
        </is>
      </c>
      <c r="S190" s="5" t="inlineStr">
        <is>
          <t>18</t>
        </is>
      </c>
      <c r="T190" s="5" t="inlineStr">
        <is>
          <t>6</t>
        </is>
      </c>
      <c r="U190" s="5" t="inlineStr">
        <is>
          <t>OK</t>
        </is>
      </c>
    </row>
    <row r="191">
      <c r="A191" s="5" t="inlineStr">
        <is>
          <t>E00191</t>
        </is>
      </c>
      <c r="B191" s="5" t="inlineStr">
        <is>
          <t>Female</t>
        </is>
      </c>
      <c r="C191" s="6" t="inlineStr">
        <is>
          <t>34</t>
        </is>
      </c>
      <c r="D191" s="5" t="inlineStr">
        <is>
          <t>Married</t>
        </is>
      </c>
      <c r="E191" s="5" t="inlineStr">
        <is>
          <t>PhD</t>
        </is>
      </c>
      <c r="F191" s="5" t="inlineStr">
        <is>
          <t>IT</t>
        </is>
      </c>
      <c r="G191" s="5" t="inlineStr">
        <is>
          <t>Software Engineer</t>
        </is>
      </c>
      <c r="H191" s="5" t="inlineStr">
        <is>
          <t>1</t>
        </is>
      </c>
      <c r="I191" s="5" t="inlineStr">
        <is>
          <t>Chennai</t>
        </is>
      </c>
      <c r="J191" s="5" t="inlineStr">
        <is>
          <t>Full-Time</t>
        </is>
      </c>
      <c r="K191" s="7" t="n">
        <v>44197</v>
      </c>
      <c r="L191" s="7" t="inlineStr"/>
      <c r="M191" s="5" t="inlineStr">
        <is>
          <t>Yes</t>
        </is>
      </c>
      <c r="N191" s="5" t="inlineStr"/>
      <c r="O191" s="8" t="inlineStr">
        <is>
          <t>85000</t>
        </is>
      </c>
      <c r="P191" s="5" t="inlineStr">
        <is>
          <t>0</t>
        </is>
      </c>
      <c r="Q191" s="5" t="inlineStr">
        <is>
          <t>5</t>
        </is>
      </c>
      <c r="R191" s="5" t="inlineStr">
        <is>
          <t>3</t>
        </is>
      </c>
      <c r="S191" s="5" t="inlineStr">
        <is>
          <t>60</t>
        </is>
      </c>
      <c r="T191" s="5" t="inlineStr">
        <is>
          <t>14</t>
        </is>
      </c>
      <c r="U191" s="5" t="inlineStr">
        <is>
          <t>OK</t>
        </is>
      </c>
    </row>
    <row r="192">
      <c r="A192" s="5" t="inlineStr">
        <is>
          <t>E01661</t>
        </is>
      </c>
      <c r="B192" s="5" t="inlineStr">
        <is>
          <t>Male</t>
        </is>
      </c>
      <c r="C192" s="6" t="inlineStr">
        <is>
          <t>34</t>
        </is>
      </c>
      <c r="D192" s="5" t="inlineStr">
        <is>
          <t>Married</t>
        </is>
      </c>
      <c r="E192" s="5" t="inlineStr">
        <is>
          <t>Diploma</t>
        </is>
      </c>
      <c r="F192" s="5" t="inlineStr">
        <is>
          <t>Finance</t>
        </is>
      </c>
      <c r="G192" s="5" t="inlineStr">
        <is>
          <t>Financial Analyst</t>
        </is>
      </c>
      <c r="H192" s="5" t="inlineStr">
        <is>
          <t>2</t>
        </is>
      </c>
      <c r="I192" s="5" t="inlineStr">
        <is>
          <t>Delhi</t>
        </is>
      </c>
      <c r="J192" s="5" t="inlineStr">
        <is>
          <t>Full-Time</t>
        </is>
      </c>
      <c r="K192" s="7" t="n">
        <v>44444</v>
      </c>
      <c r="L192" s="7" t="inlineStr"/>
      <c r="M192" s="5" t="inlineStr">
        <is>
          <t>Yes</t>
        </is>
      </c>
      <c r="N192" s="5" t="inlineStr"/>
      <c r="O192" s="8" t="inlineStr">
        <is>
          <t>126500</t>
        </is>
      </c>
      <c r="P192" s="5" t="inlineStr">
        <is>
          <t>15</t>
        </is>
      </c>
      <c r="Q192" s="5" t="inlineStr">
        <is>
          <t>2</t>
        </is>
      </c>
      <c r="R192" s="5" t="inlineStr">
        <is>
          <t>5</t>
        </is>
      </c>
      <c r="S192" s="5" t="inlineStr">
        <is>
          <t>52</t>
        </is>
      </c>
      <c r="T192" s="5" t="inlineStr">
        <is>
          <t>15</t>
        </is>
      </c>
      <c r="U192" s="5" t="inlineStr">
        <is>
          <t>OK</t>
        </is>
      </c>
    </row>
    <row r="193">
      <c r="A193" s="5" t="inlineStr">
        <is>
          <t>E00660</t>
        </is>
      </c>
      <c r="B193" s="5" t="inlineStr">
        <is>
          <t>Female</t>
        </is>
      </c>
      <c r="C193" s="6" t="inlineStr">
        <is>
          <t>45</t>
        </is>
      </c>
      <c r="D193" s="5" t="inlineStr">
        <is>
          <t>Married</t>
        </is>
      </c>
      <c r="E193" s="5" t="inlineStr">
        <is>
          <t>PhD</t>
        </is>
      </c>
      <c r="F193" s="5" t="inlineStr">
        <is>
          <t>Research &amp; Development</t>
        </is>
      </c>
      <c r="G193" s="5" t="inlineStr">
        <is>
          <t>Product Engineer</t>
        </is>
      </c>
      <c r="H193" s="5" t="inlineStr">
        <is>
          <t>7</t>
        </is>
      </c>
      <c r="I193" s="5" t="inlineStr">
        <is>
          <t>Chennai</t>
        </is>
      </c>
      <c r="J193" s="5" t="inlineStr">
        <is>
          <t>Full-Time</t>
        </is>
      </c>
      <c r="K193" s="7" t="n">
        <v>45071</v>
      </c>
      <c r="L193" s="7" t="inlineStr"/>
      <c r="M193" s="5" t="inlineStr">
        <is>
          <t>Yes</t>
        </is>
      </c>
      <c r="N193" s="5" t="inlineStr"/>
      <c r="O193" s="8" t="inlineStr">
        <is>
          <t>247500</t>
        </is>
      </c>
      <c r="P193" s="5" t="inlineStr">
        <is>
          <t>20</t>
        </is>
      </c>
      <c r="Q193" s="5" t="inlineStr">
        <is>
          <t>3</t>
        </is>
      </c>
      <c r="R193" s="5" t="inlineStr">
        <is>
          <t>3</t>
        </is>
      </c>
      <c r="S193" s="5" t="inlineStr">
        <is>
          <t>31</t>
        </is>
      </c>
      <c r="T193" s="5" t="inlineStr">
        <is>
          <t>10</t>
        </is>
      </c>
      <c r="U193" s="5" t="inlineStr">
        <is>
          <t>OK</t>
        </is>
      </c>
    </row>
    <row r="194">
      <c r="A194" s="5" t="inlineStr">
        <is>
          <t>E02946</t>
        </is>
      </c>
      <c r="B194" s="5" t="inlineStr">
        <is>
          <t>Male</t>
        </is>
      </c>
      <c r="C194" s="6" t="inlineStr">
        <is>
          <t>34</t>
        </is>
      </c>
      <c r="D194" s="5" t="inlineStr">
        <is>
          <t>Married</t>
        </is>
      </c>
      <c r="E194" s="5" t="inlineStr">
        <is>
          <t>Bachelor</t>
        </is>
      </c>
      <c r="F194" s="5" t="inlineStr">
        <is>
          <t>Human Resources</t>
        </is>
      </c>
      <c r="G194" s="5" t="inlineStr">
        <is>
          <t>HR Generalist</t>
        </is>
      </c>
      <c r="H194" s="5" t="inlineStr">
        <is>
          <t>3</t>
        </is>
      </c>
      <c r="I194" s="5" t="inlineStr">
        <is>
          <t>Bengaluru</t>
        </is>
      </c>
      <c r="J194" s="5" t="inlineStr">
        <is>
          <t>Full-Time</t>
        </is>
      </c>
      <c r="K194" s="7" t="n">
        <v>44422</v>
      </c>
      <c r="L194" s="7" t="inlineStr"/>
      <c r="M194" s="5" t="inlineStr">
        <is>
          <t>Yes</t>
        </is>
      </c>
      <c r="N194" s="5" t="inlineStr"/>
      <c r="O194" s="8" t="inlineStr">
        <is>
          <t>112500</t>
        </is>
      </c>
      <c r="P194" s="5" t="inlineStr">
        <is>
          <t>10</t>
        </is>
      </c>
      <c r="Q194" s="5" t="inlineStr">
        <is>
          <t>3</t>
        </is>
      </c>
      <c r="R194" s="5" t="inlineStr">
        <is>
          <t>9</t>
        </is>
      </c>
      <c r="S194" s="5" t="inlineStr">
        <is>
          <t>53</t>
        </is>
      </c>
      <c r="T194" s="5" t="inlineStr">
        <is>
          <t>14</t>
        </is>
      </c>
      <c r="U194" s="5" t="inlineStr">
        <is>
          <t>OK</t>
        </is>
      </c>
    </row>
    <row r="195">
      <c r="A195" s="5" t="inlineStr">
        <is>
          <t>E02056</t>
        </is>
      </c>
      <c r="B195" s="5" t="inlineStr">
        <is>
          <t>Female</t>
        </is>
      </c>
      <c r="C195" s="6" t="inlineStr">
        <is>
          <t>23</t>
        </is>
      </c>
      <c r="D195" s="5" t="inlineStr">
        <is>
          <t>Married</t>
        </is>
      </c>
      <c r="E195" s="5" t="inlineStr">
        <is>
          <t>Diploma</t>
        </is>
      </c>
      <c r="F195" s="5" t="inlineStr">
        <is>
          <t>Finance</t>
        </is>
      </c>
      <c r="G195" s="5" t="inlineStr">
        <is>
          <t>Accountant</t>
        </is>
      </c>
      <c r="H195" s="5" t="inlineStr">
        <is>
          <t>1</t>
        </is>
      </c>
      <c r="I195" s="5" t="inlineStr">
        <is>
          <t>Bengaluru</t>
        </is>
      </c>
      <c r="J195" s="5" t="inlineStr">
        <is>
          <t>Full-Time</t>
        </is>
      </c>
      <c r="K195" s="7" t="n">
        <v>44254</v>
      </c>
      <c r="L195" s="7" t="inlineStr"/>
      <c r="M195" s="5" t="inlineStr">
        <is>
          <t>Yes</t>
        </is>
      </c>
      <c r="N195" s="5" t="inlineStr"/>
      <c r="O195" s="8" t="inlineStr">
        <is>
          <t>84000</t>
        </is>
      </c>
      <c r="P195" s="5" t="inlineStr">
        <is>
          <t>10</t>
        </is>
      </c>
      <c r="Q195" s="5" t="inlineStr">
        <is>
          <t>4</t>
        </is>
      </c>
      <c r="R195" s="5" t="inlineStr">
        <is>
          <t>2</t>
        </is>
      </c>
      <c r="S195" s="5" t="inlineStr">
        <is>
          <t>58</t>
        </is>
      </c>
      <c r="T195" s="5" t="inlineStr">
        <is>
          <t>10</t>
        </is>
      </c>
      <c r="U195" s="5" t="inlineStr">
        <is>
          <t>OK</t>
        </is>
      </c>
    </row>
    <row r="196">
      <c r="A196" s="5" t="inlineStr">
        <is>
          <t>E00646</t>
        </is>
      </c>
      <c r="B196" s="5" t="inlineStr">
        <is>
          <t>Unknown</t>
        </is>
      </c>
      <c r="C196" s="6" t="inlineStr">
        <is>
          <t>34</t>
        </is>
      </c>
      <c r="D196" s="5" t="inlineStr">
        <is>
          <t>Single</t>
        </is>
      </c>
      <c r="E196" s="5" t="inlineStr">
        <is>
          <t>High School</t>
        </is>
      </c>
      <c r="F196" s="5" t="inlineStr">
        <is>
          <t>Operations</t>
        </is>
      </c>
      <c r="G196" s="5" t="inlineStr">
        <is>
          <t>Quality Analyst</t>
        </is>
      </c>
      <c r="H196" s="5" t="inlineStr">
        <is>
          <t>2</t>
        </is>
      </c>
      <c r="I196" s="5" t="inlineStr">
        <is>
          <t>Mumbai</t>
        </is>
      </c>
      <c r="J196" s="5" t="inlineStr">
        <is>
          <t>Full-Time</t>
        </is>
      </c>
      <c r="K196" s="7" t="n">
        <v>43835</v>
      </c>
      <c r="L196" s="7" t="inlineStr"/>
      <c r="M196" s="5" t="inlineStr">
        <is>
          <t>Yes</t>
        </is>
      </c>
      <c r="N196" s="5" t="inlineStr"/>
      <c r="O196" s="8" t="inlineStr">
        <is>
          <t>101000</t>
        </is>
      </c>
      <c r="P196" s="5" t="inlineStr">
        <is>
          <t>5</t>
        </is>
      </c>
      <c r="Q196" s="5" t="inlineStr">
        <is>
          <t>3</t>
        </is>
      </c>
      <c r="R196" s="5" t="inlineStr">
        <is>
          <t>8</t>
        </is>
      </c>
      <c r="S196" s="5" t="inlineStr">
        <is>
          <t>72</t>
        </is>
      </c>
      <c r="T196" s="5" t="inlineStr">
        <is>
          <t>3</t>
        </is>
      </c>
      <c r="U196" s="5" t="inlineStr">
        <is>
          <t>Bad gender</t>
        </is>
      </c>
    </row>
    <row r="197">
      <c r="A197" s="5" t="inlineStr">
        <is>
          <t>E02632</t>
        </is>
      </c>
      <c r="B197" s="5" t="inlineStr">
        <is>
          <t>Male</t>
        </is>
      </c>
      <c r="C197" s="6" t="inlineStr">
        <is>
          <t>38</t>
        </is>
      </c>
      <c r="D197" s="5" t="inlineStr">
        <is>
          <t>Married</t>
        </is>
      </c>
      <c r="E197" s="5" t="inlineStr">
        <is>
          <t>Master</t>
        </is>
      </c>
      <c r="F197" s="5" t="inlineStr">
        <is>
          <t>Customer Support</t>
        </is>
      </c>
      <c r="G197" s="5" t="inlineStr">
        <is>
          <t>Support Lead</t>
        </is>
      </c>
      <c r="H197" s="5" t="inlineStr">
        <is>
          <t>5</t>
        </is>
      </c>
      <c r="I197" s="5" t="inlineStr">
        <is>
          <t>Delhi</t>
        </is>
      </c>
      <c r="J197" s="5" t="inlineStr">
        <is>
          <t>Contract</t>
        </is>
      </c>
      <c r="K197" s="7" t="n">
        <v>44967</v>
      </c>
      <c r="L197" s="7" t="inlineStr"/>
      <c r="M197" s="5" t="inlineStr">
        <is>
          <t>Yes</t>
        </is>
      </c>
      <c r="N197" s="5" t="inlineStr"/>
      <c r="O197" s="8" t="inlineStr">
        <is>
          <t>103500</t>
        </is>
      </c>
      <c r="P197" s="5" t="inlineStr">
        <is>
          <t>0</t>
        </is>
      </c>
      <c r="Q197" s="5" t="inlineStr">
        <is>
          <t>3</t>
        </is>
      </c>
      <c r="R197" s="5" t="inlineStr">
        <is>
          <t>6</t>
        </is>
      </c>
      <c r="S197" s="5" t="inlineStr">
        <is>
          <t>35</t>
        </is>
      </c>
      <c r="T197" s="5" t="inlineStr">
        <is>
          <t>4</t>
        </is>
      </c>
      <c r="U197" s="5" t="inlineStr">
        <is>
          <t>OK</t>
        </is>
      </c>
    </row>
    <row r="198">
      <c r="A198" s="5" t="inlineStr">
        <is>
          <t>E02131</t>
        </is>
      </c>
      <c r="B198" s="5" t="inlineStr">
        <is>
          <t>Female</t>
        </is>
      </c>
      <c r="C198" s="6" t="inlineStr">
        <is>
          <t>29</t>
        </is>
      </c>
      <c r="D198" s="5" t="inlineStr">
        <is>
          <t>Married</t>
        </is>
      </c>
      <c r="E198" s="5" t="inlineStr">
        <is>
          <t>Master</t>
        </is>
      </c>
      <c r="F198" s="5" t="inlineStr">
        <is>
          <t>Operations</t>
        </is>
      </c>
      <c r="G198" s="5" t="inlineStr">
        <is>
          <t>Quality Analyst</t>
        </is>
      </c>
      <c r="H198" s="5" t="inlineStr">
        <is>
          <t>1</t>
        </is>
      </c>
      <c r="I198" s="5" t="inlineStr">
        <is>
          <t>Chennai</t>
        </is>
      </c>
      <c r="J198" s="5" t="inlineStr">
        <is>
          <t>Full-Time</t>
        </is>
      </c>
      <c r="K198" s="7" t="n">
        <v>45574</v>
      </c>
      <c r="L198" s="7" t="n">
        <v>45698</v>
      </c>
      <c r="M198" s="5" t="inlineStr">
        <is>
          <t>No</t>
        </is>
      </c>
      <c r="N198" s="5" t="inlineStr">
        <is>
          <t>Resigned</t>
        </is>
      </c>
      <c r="O198" s="8" t="inlineStr">
        <is>
          <t>91500</t>
        </is>
      </c>
      <c r="P198" s="5" t="inlineStr">
        <is>
          <t>0</t>
        </is>
      </c>
      <c r="Q198" s="5" t="inlineStr">
        <is>
          <t>4</t>
        </is>
      </c>
      <c r="R198" s="5" t="inlineStr">
        <is>
          <t>7</t>
        </is>
      </c>
      <c r="S198" s="5" t="inlineStr">
        <is>
          <t>4</t>
        </is>
      </c>
      <c r="T198" s="5" t="inlineStr">
        <is>
          <t>6</t>
        </is>
      </c>
      <c r="U198" s="5" t="inlineStr">
        <is>
          <t>OK</t>
        </is>
      </c>
    </row>
    <row r="199">
      <c r="A199" s="5" t="inlineStr">
        <is>
          <t>E00966</t>
        </is>
      </c>
      <c r="B199" s="5" t="inlineStr">
        <is>
          <t>Male</t>
        </is>
      </c>
      <c r="C199" s="6" t="inlineStr">
        <is>
          <t>29</t>
        </is>
      </c>
      <c r="D199" s="5" t="inlineStr">
        <is>
          <t>Married</t>
        </is>
      </c>
      <c r="E199" s="5" t="inlineStr">
        <is>
          <t>Master</t>
        </is>
      </c>
      <c r="F199" s="5" t="inlineStr">
        <is>
          <t>Sales</t>
        </is>
      </c>
      <c r="G199" s="5" t="inlineStr">
        <is>
          <t>Account Executive</t>
        </is>
      </c>
      <c r="H199" s="5" t="inlineStr">
        <is>
          <t>1</t>
        </is>
      </c>
      <c r="I199" s="5" t="inlineStr">
        <is>
          <t>Chennai</t>
        </is>
      </c>
      <c r="J199" s="5" t="inlineStr">
        <is>
          <t>Contract</t>
        </is>
      </c>
      <c r="K199" s="7" t="n">
        <v>44580</v>
      </c>
      <c r="L199" s="7" t="inlineStr"/>
      <c r="M199" s="5" t="inlineStr">
        <is>
          <t>Yes</t>
        </is>
      </c>
      <c r="N199" s="5" t="inlineStr"/>
      <c r="O199" s="8" t="inlineStr">
        <is>
          <t>91500</t>
        </is>
      </c>
      <c r="P199" s="5" t="inlineStr">
        <is>
          <t>0</t>
        </is>
      </c>
      <c r="Q199" s="5" t="inlineStr">
        <is>
          <t>3</t>
        </is>
      </c>
      <c r="R199" s="5" t="inlineStr">
        <is>
          <t>1</t>
        </is>
      </c>
      <c r="S199" s="5" t="inlineStr">
        <is>
          <t>48</t>
        </is>
      </c>
      <c r="T199" s="5" t="inlineStr">
        <is>
          <t>5</t>
        </is>
      </c>
      <c r="U199" s="5" t="inlineStr">
        <is>
          <t>OK</t>
        </is>
      </c>
    </row>
    <row r="200">
      <c r="A200" s="5" t="inlineStr">
        <is>
          <t>E00954</t>
        </is>
      </c>
      <c r="B200" s="5" t="inlineStr">
        <is>
          <t>Female</t>
        </is>
      </c>
      <c r="C200" s="6" t="inlineStr">
        <is>
          <t>36</t>
        </is>
      </c>
      <c r="D200" s="5" t="inlineStr">
        <is>
          <t>Single</t>
        </is>
      </c>
      <c r="E200" s="5" t="inlineStr">
        <is>
          <t>Diploma</t>
        </is>
      </c>
      <c r="F200" s="5" t="inlineStr">
        <is>
          <t>Marketing</t>
        </is>
      </c>
      <c r="G200" s="5" t="inlineStr">
        <is>
          <t>Marketing Analyst</t>
        </is>
      </c>
      <c r="H200" s="5" t="inlineStr">
        <is>
          <t>3</t>
        </is>
      </c>
      <c r="I200" s="5" t="inlineStr">
        <is>
          <t>Bengaluru</t>
        </is>
      </c>
      <c r="J200" s="5" t="inlineStr">
        <is>
          <t>Part-Time</t>
        </is>
      </c>
      <c r="K200" s="7" t="n">
        <v>45474</v>
      </c>
      <c r="L200" s="7" t="inlineStr"/>
      <c r="M200" s="5" t="inlineStr">
        <is>
          <t>Yes</t>
        </is>
      </c>
      <c r="N200" s="5" t="inlineStr"/>
      <c r="O200" s="8" t="inlineStr">
        <is>
          <t>66500</t>
        </is>
      </c>
      <c r="P200" s="5" t="inlineStr">
        <is>
          <t>0</t>
        </is>
      </c>
      <c r="Q200" s="5" t="inlineStr">
        <is>
          <t>4</t>
        </is>
      </c>
      <c r="R200" s="5" t="inlineStr">
        <is>
          <t>7</t>
        </is>
      </c>
      <c r="S200" s="5" t="inlineStr">
        <is>
          <t>18</t>
        </is>
      </c>
      <c r="T200" s="5" t="inlineStr">
        <is>
          <t>11</t>
        </is>
      </c>
      <c r="U200" s="5" t="inlineStr">
        <is>
          <t>OK</t>
        </is>
      </c>
    </row>
    <row r="201">
      <c r="A201" s="5" t="inlineStr">
        <is>
          <t>E01830</t>
        </is>
      </c>
      <c r="B201" s="5" t="inlineStr">
        <is>
          <t>Male</t>
        </is>
      </c>
      <c r="C201" s="6" t="inlineStr">
        <is>
          <t>36</t>
        </is>
      </c>
      <c r="D201" s="5" t="inlineStr">
        <is>
          <t>Married</t>
        </is>
      </c>
      <c r="E201" s="5" t="inlineStr">
        <is>
          <t>Bachelor</t>
        </is>
      </c>
      <c r="F201" s="5" t="inlineStr">
        <is>
          <t>Operations</t>
        </is>
      </c>
      <c r="G201" s="5" t="inlineStr">
        <is>
          <t>Quality Analyst</t>
        </is>
      </c>
      <c r="H201" s="5" t="inlineStr">
        <is>
          <t>2</t>
        </is>
      </c>
      <c r="I201" s="5" t="inlineStr">
        <is>
          <t>Remote</t>
        </is>
      </c>
      <c r="J201" s="5" t="inlineStr">
        <is>
          <t>Part-Time</t>
        </is>
      </c>
      <c r="K201" s="7" t="n">
        <v>45854</v>
      </c>
      <c r="L201" s="7" t="n">
        <v>45909</v>
      </c>
      <c r="M201" s="5" t="inlineStr">
        <is>
          <t>No</t>
        </is>
      </c>
      <c r="N201" s="5" t="inlineStr">
        <is>
          <t>Retirement</t>
        </is>
      </c>
      <c r="O201" s="8" t="inlineStr">
        <is>
          <t>75000</t>
        </is>
      </c>
      <c r="P201" s="5" t="inlineStr">
        <is>
          <t>10</t>
        </is>
      </c>
      <c r="Q201" s="5" t="inlineStr">
        <is>
          <t>4</t>
        </is>
      </c>
      <c r="R201" s="5" t="inlineStr">
        <is>
          <t>5</t>
        </is>
      </c>
      <c r="S201" s="5" t="inlineStr">
        <is>
          <t>1</t>
        </is>
      </c>
      <c r="T201" s="5" t="inlineStr">
        <is>
          <t>7</t>
        </is>
      </c>
      <c r="U201" s="5" t="inlineStr">
        <is>
          <t>OK</t>
        </is>
      </c>
    </row>
    <row r="202">
      <c r="A202" s="5" t="inlineStr">
        <is>
          <t>E00750</t>
        </is>
      </c>
      <c r="B202" s="5" t="inlineStr">
        <is>
          <t>Female</t>
        </is>
      </c>
      <c r="C202" s="6" t="inlineStr">
        <is>
          <t>28</t>
        </is>
      </c>
      <c r="D202" s="5" t="inlineStr">
        <is>
          <t>Married</t>
        </is>
      </c>
      <c r="E202" s="5" t="inlineStr">
        <is>
          <t>Master</t>
        </is>
      </c>
      <c r="F202" s="5" t="inlineStr">
        <is>
          <t>Finance</t>
        </is>
      </c>
      <c r="G202" s="5" t="inlineStr">
        <is>
          <t>Credit Analyst</t>
        </is>
      </c>
      <c r="H202" s="5" t="inlineStr">
        <is>
          <t>1</t>
        </is>
      </c>
      <c r="I202" s="5" t="inlineStr">
        <is>
          <t>Remote</t>
        </is>
      </c>
      <c r="J202" s="5" t="inlineStr">
        <is>
          <t>Full-Time</t>
        </is>
      </c>
      <c r="K202" s="7" t="n">
        <v>44315</v>
      </c>
      <c r="L202" s="7" t="inlineStr"/>
      <c r="M202" s="5" t="inlineStr">
        <is>
          <t>Yes</t>
        </is>
      </c>
      <c r="N202" s="5" t="inlineStr"/>
      <c r="O202" s="8" t="inlineStr">
        <is>
          <t>96500</t>
        </is>
      </c>
      <c r="P202" s="5" t="inlineStr">
        <is>
          <t>10</t>
        </is>
      </c>
      <c r="Q202" s="5" t="inlineStr">
        <is>
          <t>4</t>
        </is>
      </c>
      <c r="R202" s="5" t="inlineStr">
        <is>
          <t>4</t>
        </is>
      </c>
      <c r="S202" s="5" t="inlineStr">
        <is>
          <t>56</t>
        </is>
      </c>
      <c r="T202" s="5" t="inlineStr">
        <is>
          <t>0</t>
        </is>
      </c>
      <c r="U202" s="5" t="inlineStr">
        <is>
          <t>OK</t>
        </is>
      </c>
    </row>
    <row r="203">
      <c r="A203" s="5" t="inlineStr">
        <is>
          <t>E02059</t>
        </is>
      </c>
      <c r="B203" s="5" t="inlineStr">
        <is>
          <t>Female</t>
        </is>
      </c>
      <c r="C203" s="6" t="inlineStr">
        <is>
          <t>31</t>
        </is>
      </c>
      <c r="D203" s="5" t="inlineStr">
        <is>
          <t>Married</t>
        </is>
      </c>
      <c r="E203" s="5" t="inlineStr">
        <is>
          <t>Bachelor</t>
        </is>
      </c>
      <c r="F203" s="5" t="inlineStr">
        <is>
          <t>Marketing</t>
        </is>
      </c>
      <c r="G203" s="5" t="inlineStr">
        <is>
          <t>Marketing Analyst</t>
        </is>
      </c>
      <c r="H203" s="5" t="inlineStr">
        <is>
          <t>4</t>
        </is>
      </c>
      <c r="I203" s="5" t="inlineStr">
        <is>
          <t>Remote</t>
        </is>
      </c>
      <c r="J203" s="5" t="inlineStr">
        <is>
          <t>Full-Time</t>
        </is>
      </c>
      <c r="K203" s="7" t="n">
        <v>44494</v>
      </c>
      <c r="L203" s="7" t="inlineStr"/>
      <c r="M203" s="5" t="inlineStr">
        <is>
          <t>Yes</t>
        </is>
      </c>
      <c r="N203" s="5" t="inlineStr"/>
      <c r="O203" s="8" t="inlineStr">
        <is>
          <t>78500</t>
        </is>
      </c>
      <c r="P203" s="5" t="inlineStr">
        <is>
          <t>10</t>
        </is>
      </c>
      <c r="Q203" s="5" t="inlineStr">
        <is>
          <t>3</t>
        </is>
      </c>
      <c r="R203" s="5" t="inlineStr">
        <is>
          <t>5</t>
        </is>
      </c>
      <c r="S203" s="5" t="inlineStr">
        <is>
          <t>50</t>
        </is>
      </c>
      <c r="T203" s="5" t="inlineStr">
        <is>
          <t>0</t>
        </is>
      </c>
      <c r="U203" s="5" t="inlineStr">
        <is>
          <t>OK</t>
        </is>
      </c>
    </row>
    <row r="204">
      <c r="A204" s="5" t="inlineStr">
        <is>
          <t>E02762</t>
        </is>
      </c>
      <c r="B204" s="5" t="inlineStr">
        <is>
          <t>Male</t>
        </is>
      </c>
      <c r="C204" s="6" t="inlineStr">
        <is>
          <t>30</t>
        </is>
      </c>
      <c r="D204" s="5" t="inlineStr">
        <is>
          <t>Single</t>
        </is>
      </c>
      <c r="E204" s="5" t="inlineStr">
        <is>
          <t>Master</t>
        </is>
      </c>
      <c r="F204" s="5" t="inlineStr">
        <is>
          <t>Research &amp; Development</t>
        </is>
      </c>
      <c r="G204" s="5" t="inlineStr">
        <is>
          <t>Product Engineer</t>
        </is>
      </c>
      <c r="H204" s="5" t="inlineStr">
        <is>
          <t>2</t>
        </is>
      </c>
      <c r="I204" s="5" t="inlineStr">
        <is>
          <t>Remote</t>
        </is>
      </c>
      <c r="J204" s="5" t="inlineStr">
        <is>
          <t>Full-Time</t>
        </is>
      </c>
      <c r="K204" s="7" t="n">
        <v>43921</v>
      </c>
      <c r="L204" s="7" t="inlineStr"/>
      <c r="M204" s="5" t="inlineStr">
        <is>
          <t>Yes</t>
        </is>
      </c>
      <c r="N204" s="5" t="inlineStr"/>
      <c r="O204" s="8" t="inlineStr">
        <is>
          <t>161000</t>
        </is>
      </c>
      <c r="P204" s="5" t="inlineStr">
        <is>
          <t>5</t>
        </is>
      </c>
      <c r="Q204" s="5" t="inlineStr">
        <is>
          <t>4</t>
        </is>
      </c>
      <c r="R204" s="5" t="inlineStr">
        <is>
          <t>6</t>
        </is>
      </c>
      <c r="S204" s="5" t="inlineStr">
        <is>
          <t>70</t>
        </is>
      </c>
      <c r="T204" s="5" t="inlineStr">
        <is>
          <t>3</t>
        </is>
      </c>
      <c r="U204" s="5" t="inlineStr">
        <is>
          <t>OK</t>
        </is>
      </c>
    </row>
    <row r="205">
      <c r="A205" s="5" t="inlineStr">
        <is>
          <t>E01793</t>
        </is>
      </c>
      <c r="B205" s="5" t="inlineStr">
        <is>
          <t>Male</t>
        </is>
      </c>
      <c r="C205" s="6" t="inlineStr">
        <is>
          <t>31</t>
        </is>
      </c>
      <c r="D205" s="5" t="inlineStr">
        <is>
          <t>Married</t>
        </is>
      </c>
      <c r="E205" s="5" t="inlineStr">
        <is>
          <t>Master</t>
        </is>
      </c>
      <c r="F205" s="5" t="inlineStr">
        <is>
          <t>Operations</t>
        </is>
      </c>
      <c r="G205" s="5" t="inlineStr">
        <is>
          <t>Quality Analyst</t>
        </is>
      </c>
      <c r="H205" s="5" t="inlineStr">
        <is>
          <t>2</t>
        </is>
      </c>
      <c r="I205" s="5" t="inlineStr">
        <is>
          <t>Chennai</t>
        </is>
      </c>
      <c r="J205" s="5" t="inlineStr">
        <is>
          <t>Full-Time</t>
        </is>
      </c>
      <c r="K205" s="7" t="n">
        <v>45438</v>
      </c>
      <c r="L205" s="7" t="inlineStr"/>
      <c r="M205" s="5" t="inlineStr">
        <is>
          <t>Yes</t>
        </is>
      </c>
      <c r="N205" s="5" t="inlineStr"/>
      <c r="O205" s="8" t="inlineStr">
        <is>
          <t>78500</t>
        </is>
      </c>
      <c r="P205" s="5" t="inlineStr">
        <is>
          <t>10</t>
        </is>
      </c>
      <c r="Q205" s="5" t="inlineStr">
        <is>
          <t>4</t>
        </is>
      </c>
      <c r="R205" s="5" t="inlineStr">
        <is>
          <t>7</t>
        </is>
      </c>
      <c r="S205" s="5" t="inlineStr">
        <is>
          <t>19</t>
        </is>
      </c>
      <c r="T205" s="5" t="inlineStr">
        <is>
          <t>0</t>
        </is>
      </c>
      <c r="U205" s="5" t="inlineStr">
        <is>
          <t>OK</t>
        </is>
      </c>
    </row>
    <row r="206">
      <c r="A206" s="5" t="inlineStr">
        <is>
          <t>E02037</t>
        </is>
      </c>
      <c r="B206" s="5" t="inlineStr">
        <is>
          <t>Female</t>
        </is>
      </c>
      <c r="C206" s="6" t="inlineStr">
        <is>
          <t>32</t>
        </is>
      </c>
      <c r="D206" s="5" t="inlineStr">
        <is>
          <t>Single</t>
        </is>
      </c>
      <c r="E206" s="5" t="inlineStr">
        <is>
          <t>PhD</t>
        </is>
      </c>
      <c r="F206" s="5" t="inlineStr">
        <is>
          <t>Customer Support</t>
        </is>
      </c>
      <c r="G206" s="5" t="inlineStr">
        <is>
          <t>Escalation Specialist</t>
        </is>
      </c>
      <c r="H206" s="5" t="inlineStr">
        <is>
          <t>4</t>
        </is>
      </c>
      <c r="I206" s="5" t="inlineStr">
        <is>
          <t>Hyderabad</t>
        </is>
      </c>
      <c r="J206" s="5" t="inlineStr">
        <is>
          <t>Full-Time</t>
        </is>
      </c>
      <c r="K206" s="7" t="n">
        <v>45888</v>
      </c>
      <c r="L206" s="7" t="inlineStr"/>
      <c r="M206" s="5" t="inlineStr">
        <is>
          <t>Yes</t>
        </is>
      </c>
      <c r="N206" s="5" t="inlineStr"/>
      <c r="O206" s="8" t="inlineStr">
        <is>
          <t>67500</t>
        </is>
      </c>
      <c r="P206" s="5" t="inlineStr">
        <is>
          <t>5</t>
        </is>
      </c>
      <c r="Q206" s="5" t="inlineStr">
        <is>
          <t>5</t>
        </is>
      </c>
      <c r="R206" s="5" t="inlineStr">
        <is>
          <t>6</t>
        </is>
      </c>
      <c r="S206" s="5" t="inlineStr">
        <is>
          <t>4</t>
        </is>
      </c>
      <c r="T206" s="5" t="inlineStr">
        <is>
          <t>11</t>
        </is>
      </c>
      <c r="U206" s="5" t="inlineStr">
        <is>
          <t>OK</t>
        </is>
      </c>
    </row>
    <row r="207">
      <c r="A207" s="5" t="inlineStr">
        <is>
          <t>E02458</t>
        </is>
      </c>
      <c r="B207" s="5" t="inlineStr">
        <is>
          <t>Female</t>
        </is>
      </c>
      <c r="C207" s="6" t="inlineStr">
        <is>
          <t>40</t>
        </is>
      </c>
      <c r="D207" s="5" t="inlineStr">
        <is>
          <t>Single</t>
        </is>
      </c>
      <c r="E207" s="5" t="inlineStr">
        <is>
          <t>Master</t>
        </is>
      </c>
      <c r="F207" s="5" t="inlineStr">
        <is>
          <t>Customer Support</t>
        </is>
      </c>
      <c r="G207" s="5" t="inlineStr">
        <is>
          <t>Support Agent</t>
        </is>
      </c>
      <c r="H207" s="5" t="inlineStr">
        <is>
          <t>6</t>
        </is>
      </c>
      <c r="I207" s="5" t="inlineStr">
        <is>
          <t>Remote</t>
        </is>
      </c>
      <c r="J207" s="5" t="inlineStr">
        <is>
          <t>Contract</t>
        </is>
      </c>
      <c r="K207" s="7" t="n">
        <v>45170</v>
      </c>
      <c r="L207" s="7" t="inlineStr"/>
      <c r="M207" s="5" t="inlineStr">
        <is>
          <t>Yes</t>
        </is>
      </c>
      <c r="N207" s="5" t="inlineStr"/>
      <c r="O207" s="8" t="inlineStr">
        <is>
          <t>71500</t>
        </is>
      </c>
      <c r="P207" s="5" t="inlineStr">
        <is>
          <t>10</t>
        </is>
      </c>
      <c r="Q207" s="5" t="inlineStr">
        <is>
          <t>4</t>
        </is>
      </c>
      <c r="R207" s="5" t="inlineStr">
        <is>
          <t>4</t>
        </is>
      </c>
      <c r="S207" s="5" t="inlineStr">
        <is>
          <t>28</t>
        </is>
      </c>
      <c r="T207" s="5" t="inlineStr">
        <is>
          <t>9</t>
        </is>
      </c>
      <c r="U207" s="5" t="inlineStr">
        <is>
          <t>OK</t>
        </is>
      </c>
    </row>
    <row r="208">
      <c r="A208" s="5" t="inlineStr">
        <is>
          <t>E01112</t>
        </is>
      </c>
      <c r="B208" s="5" t="inlineStr">
        <is>
          <t>Male</t>
        </is>
      </c>
      <c r="C208" s="6" t="inlineStr">
        <is>
          <t>34</t>
        </is>
      </c>
      <c r="D208" s="5" t="inlineStr">
        <is>
          <t>Married</t>
        </is>
      </c>
      <c r="E208" s="5" t="inlineStr">
        <is>
          <t>Bachelor</t>
        </is>
      </c>
      <c r="F208" s="5" t="inlineStr">
        <is>
          <t>IT</t>
        </is>
      </c>
      <c r="G208" s="5" t="inlineStr">
        <is>
          <t>Data Analyst</t>
        </is>
      </c>
      <c r="H208" s="5" t="inlineStr">
        <is>
          <t>3</t>
        </is>
      </c>
      <c r="I208" s="5" t="inlineStr">
        <is>
          <t>Hyderabad</t>
        </is>
      </c>
      <c r="J208" s="5" t="inlineStr">
        <is>
          <t>Full-Time</t>
        </is>
      </c>
      <c r="K208" s="7" t="n">
        <v>44593</v>
      </c>
      <c r="L208" s="7" t="inlineStr"/>
      <c r="M208" s="5" t="inlineStr">
        <is>
          <t>Yes</t>
        </is>
      </c>
      <c r="N208" s="5" t="inlineStr"/>
      <c r="O208" s="8" t="inlineStr">
        <is>
          <t>127500</t>
        </is>
      </c>
      <c r="P208" s="5" t="inlineStr">
        <is>
          <t>5</t>
        </is>
      </c>
      <c r="Q208" s="5" t="inlineStr">
        <is>
          <t>4</t>
        </is>
      </c>
      <c r="R208" s="5" t="inlineStr">
        <is>
          <t>4</t>
        </is>
      </c>
      <c r="S208" s="5" t="inlineStr">
        <is>
          <t>47</t>
        </is>
      </c>
      <c r="T208" s="5" t="inlineStr">
        <is>
          <t>1</t>
        </is>
      </c>
      <c r="U208" s="5" t="inlineStr">
        <is>
          <t>OK</t>
        </is>
      </c>
    </row>
    <row r="209">
      <c r="A209" s="5" t="inlineStr">
        <is>
          <t>E01817</t>
        </is>
      </c>
      <c r="B209" s="5" t="inlineStr">
        <is>
          <t>Male</t>
        </is>
      </c>
      <c r="C209" s="6" t="inlineStr">
        <is>
          <t>28</t>
        </is>
      </c>
      <c r="D209" s="5" t="inlineStr">
        <is>
          <t>Married</t>
        </is>
      </c>
      <c r="E209" s="5" t="inlineStr">
        <is>
          <t>High School</t>
        </is>
      </c>
      <c r="F209" s="5" t="inlineStr">
        <is>
          <t>IT</t>
        </is>
      </c>
      <c r="G209" s="5" t="inlineStr">
        <is>
          <t>IT Support</t>
        </is>
      </c>
      <c r="H209" s="5" t="inlineStr">
        <is>
          <t>3</t>
        </is>
      </c>
      <c r="I209" s="5" t="inlineStr">
        <is>
          <t>Remote</t>
        </is>
      </c>
      <c r="J209" s="5" t="inlineStr">
        <is>
          <t>Full-Time</t>
        </is>
      </c>
      <c r="K209" s="7" t="n">
        <v>44270</v>
      </c>
      <c r="L209" s="7" t="inlineStr"/>
      <c r="M209" s="5" t="inlineStr">
        <is>
          <t>Yes</t>
        </is>
      </c>
      <c r="N209" s="5" t="inlineStr"/>
      <c r="O209" s="8" t="inlineStr">
        <is>
          <t>189500</t>
        </is>
      </c>
      <c r="P209" s="5" t="inlineStr">
        <is>
          <t>0</t>
        </is>
      </c>
      <c r="Q209" s="5" t="inlineStr">
        <is>
          <t>3</t>
        </is>
      </c>
      <c r="R209" s="5" t="inlineStr">
        <is>
          <t>6</t>
        </is>
      </c>
      <c r="S209" s="5" t="inlineStr">
        <is>
          <t>58</t>
        </is>
      </c>
      <c r="T209" s="5" t="inlineStr">
        <is>
          <t>6</t>
        </is>
      </c>
      <c r="U209" s="5" t="inlineStr">
        <is>
          <t>OK</t>
        </is>
      </c>
    </row>
    <row r="210">
      <c r="A210" s="5" t="inlineStr">
        <is>
          <t>E00688</t>
        </is>
      </c>
      <c r="B210" s="5" t="inlineStr">
        <is>
          <t>Male</t>
        </is>
      </c>
      <c r="C210" s="6" t="inlineStr">
        <is>
          <t>29</t>
        </is>
      </c>
      <c r="D210" s="5" t="inlineStr">
        <is>
          <t>Married</t>
        </is>
      </c>
      <c r="E210" s="5" t="inlineStr">
        <is>
          <t>PhD</t>
        </is>
      </c>
      <c r="F210" s="5" t="inlineStr">
        <is>
          <t>Marketing</t>
        </is>
      </c>
      <c r="G210" s="5" t="inlineStr">
        <is>
          <t>Marketing Analyst</t>
        </is>
      </c>
      <c r="H210" s="5" t="inlineStr">
        <is>
          <t>1</t>
        </is>
      </c>
      <c r="I210" s="5" t="inlineStr">
        <is>
          <t>Delhi</t>
        </is>
      </c>
      <c r="J210" s="5" t="inlineStr">
        <is>
          <t>Full-Time</t>
        </is>
      </c>
      <c r="K210" s="7" t="n">
        <v>45928</v>
      </c>
      <c r="L210" s="7" t="inlineStr"/>
      <c r="M210" s="5" t="inlineStr">
        <is>
          <t>Yes</t>
        </is>
      </c>
      <c r="N210" s="5" t="inlineStr"/>
      <c r="O210" s="8" t="inlineStr">
        <is>
          <t>51000</t>
        </is>
      </c>
      <c r="P210" s="5" t="inlineStr">
        <is>
          <t>10</t>
        </is>
      </c>
      <c r="Q210" s="5" t="inlineStr">
        <is>
          <t>3</t>
        </is>
      </c>
      <c r="R210" s="5" t="inlineStr">
        <is>
          <t>6</t>
        </is>
      </c>
      <c r="S210" s="5" t="inlineStr">
        <is>
          <t>3</t>
        </is>
      </c>
      <c r="T210" s="5" t="inlineStr">
        <is>
          <t>0</t>
        </is>
      </c>
      <c r="U210" s="5" t="inlineStr">
        <is>
          <t>OK</t>
        </is>
      </c>
    </row>
    <row r="211">
      <c r="A211" s="5" t="inlineStr">
        <is>
          <t>E01049</t>
        </is>
      </c>
      <c r="B211" s="5" t="inlineStr">
        <is>
          <t>Male</t>
        </is>
      </c>
      <c r="C211" s="6" t="inlineStr">
        <is>
          <t>36</t>
        </is>
      </c>
      <c r="D211" s="5" t="inlineStr">
        <is>
          <t>Single</t>
        </is>
      </c>
      <c r="E211" s="5" t="inlineStr">
        <is>
          <t>High School</t>
        </is>
      </c>
      <c r="F211" s="5" t="inlineStr">
        <is>
          <t>Marketing</t>
        </is>
      </c>
      <c r="G211" s="5" t="inlineStr">
        <is>
          <t>Content Writer</t>
        </is>
      </c>
      <c r="H211" s="5" t="inlineStr">
        <is>
          <t>3</t>
        </is>
      </c>
      <c r="I211" s="5" t="inlineStr">
        <is>
          <t>Chennai</t>
        </is>
      </c>
      <c r="J211" s="5" t="inlineStr">
        <is>
          <t>Full-Time</t>
        </is>
      </c>
      <c r="K211" s="7" t="n">
        <v>44028</v>
      </c>
      <c r="L211" s="7" t="inlineStr"/>
      <c r="M211" s="5" t="inlineStr">
        <is>
          <t>Yes</t>
        </is>
      </c>
      <c r="N211" s="5" t="inlineStr"/>
      <c r="O211" s="8" t="inlineStr">
        <is>
          <t>100000</t>
        </is>
      </c>
      <c r="P211" s="5" t="inlineStr">
        <is>
          <t>15</t>
        </is>
      </c>
      <c r="Q211" s="5" t="inlineStr">
        <is>
          <t>3</t>
        </is>
      </c>
      <c r="R211" s="5" t="inlineStr">
        <is>
          <t>7</t>
        </is>
      </c>
      <c r="S211" s="5" t="inlineStr">
        <is>
          <t>66</t>
        </is>
      </c>
      <c r="T211" s="5" t="inlineStr">
        <is>
          <t>0</t>
        </is>
      </c>
      <c r="U211" s="5" t="inlineStr">
        <is>
          <t>OK</t>
        </is>
      </c>
    </row>
    <row r="212">
      <c r="A212" s="5" t="inlineStr">
        <is>
          <t>E01914</t>
        </is>
      </c>
      <c r="B212" s="5" t="inlineStr">
        <is>
          <t>Female</t>
        </is>
      </c>
      <c r="C212" s="6" t="inlineStr">
        <is>
          <t>34</t>
        </is>
      </c>
      <c r="D212" s="5" t="inlineStr">
        <is>
          <t>Married</t>
        </is>
      </c>
      <c r="E212" s="5" t="inlineStr">
        <is>
          <t>Master</t>
        </is>
      </c>
      <c r="F212" s="5" t="inlineStr">
        <is>
          <t>Marketing</t>
        </is>
      </c>
      <c r="G212" s="5" t="inlineStr">
        <is>
          <t>SEO Specialist</t>
        </is>
      </c>
      <c r="H212" s="5" t="inlineStr">
        <is>
          <t>6</t>
        </is>
      </c>
      <c r="I212" s="5" t="inlineStr">
        <is>
          <t>Remote</t>
        </is>
      </c>
      <c r="J212" s="5" t="inlineStr">
        <is>
          <t>Full-Time</t>
        </is>
      </c>
      <c r="K212" s="7" t="n">
        <v>45262</v>
      </c>
      <c r="L212" s="7" t="inlineStr"/>
      <c r="M212" s="5" t="inlineStr">
        <is>
          <t>Yes</t>
        </is>
      </c>
      <c r="N212" s="5" t="inlineStr"/>
      <c r="O212" s="8" t="inlineStr">
        <is>
          <t>153500</t>
        </is>
      </c>
      <c r="P212" s="5" t="inlineStr">
        <is>
          <t>0</t>
        </is>
      </c>
      <c r="Q212" s="5" t="inlineStr">
        <is>
          <t>3</t>
        </is>
      </c>
      <c r="R212" s="5" t="inlineStr">
        <is>
          <t>3</t>
        </is>
      </c>
      <c r="S212" s="5" t="inlineStr">
        <is>
          <t>25</t>
        </is>
      </c>
      <c r="T212" s="5" t="inlineStr">
        <is>
          <t>12</t>
        </is>
      </c>
      <c r="U212" s="5" t="inlineStr">
        <is>
          <t>OK</t>
        </is>
      </c>
    </row>
    <row r="213">
      <c r="A213" s="5" t="inlineStr">
        <is>
          <t>E02902</t>
        </is>
      </c>
      <c r="B213" s="5" t="inlineStr">
        <is>
          <t>Male</t>
        </is>
      </c>
      <c r="C213" s="6" t="inlineStr">
        <is>
          <t>33</t>
        </is>
      </c>
      <c r="D213" s="5" t="inlineStr">
        <is>
          <t>Married</t>
        </is>
      </c>
      <c r="E213" s="5" t="inlineStr">
        <is>
          <t>PhD</t>
        </is>
      </c>
      <c r="F213" s="5" t="inlineStr">
        <is>
          <t>Research &amp; Development</t>
        </is>
      </c>
      <c r="G213" s="5" t="inlineStr">
        <is>
          <t>Product Engineer</t>
        </is>
      </c>
      <c r="H213" s="5" t="inlineStr">
        <is>
          <t>4</t>
        </is>
      </c>
      <c r="I213" s="5" t="inlineStr">
        <is>
          <t>Hyderabad</t>
        </is>
      </c>
      <c r="J213" s="5" t="inlineStr">
        <is>
          <t>Full-Time</t>
        </is>
      </c>
      <c r="K213" s="7" t="n">
        <v>45269</v>
      </c>
      <c r="L213" s="7" t="inlineStr"/>
      <c r="M213" s="5" t="inlineStr">
        <is>
          <t>Yes</t>
        </is>
      </c>
      <c r="N213" s="5" t="inlineStr"/>
      <c r="O213" s="8" t="inlineStr">
        <is>
          <t>139000</t>
        </is>
      </c>
      <c r="P213" s="5" t="inlineStr">
        <is>
          <t>15</t>
        </is>
      </c>
      <c r="Q213" s="5" t="inlineStr">
        <is>
          <t>3</t>
        </is>
      </c>
      <c r="R213" s="5" t="inlineStr">
        <is>
          <t>5</t>
        </is>
      </c>
      <c r="S213" s="5" t="inlineStr">
        <is>
          <t>25</t>
        </is>
      </c>
      <c r="T213" s="5" t="inlineStr">
        <is>
          <t>11</t>
        </is>
      </c>
      <c r="U213" s="5" t="inlineStr">
        <is>
          <t>OK</t>
        </is>
      </c>
    </row>
    <row r="214">
      <c r="A214" s="5" t="inlineStr">
        <is>
          <t>E02105</t>
        </is>
      </c>
      <c r="B214" s="5" t="inlineStr">
        <is>
          <t>Female</t>
        </is>
      </c>
      <c r="C214" s="6" t="inlineStr">
        <is>
          <t>25</t>
        </is>
      </c>
      <c r="D214" s="5" t="inlineStr">
        <is>
          <t>Single</t>
        </is>
      </c>
      <c r="E214" s="5" t="inlineStr">
        <is>
          <t>High School</t>
        </is>
      </c>
      <c r="F214" s="5" t="inlineStr">
        <is>
          <t>Operations</t>
        </is>
      </c>
      <c r="G214" s="5" t="inlineStr">
        <is>
          <t>Operations Analyst</t>
        </is>
      </c>
      <c r="H214" s="5" t="inlineStr">
        <is>
          <t>2</t>
        </is>
      </c>
      <c r="I214" s="5" t="inlineStr">
        <is>
          <t>Mumbai</t>
        </is>
      </c>
      <c r="J214" s="5" t="inlineStr">
        <is>
          <t>Full-Time</t>
        </is>
      </c>
      <c r="K214" s="7" t="n">
        <v>44885</v>
      </c>
      <c r="L214" s="7" t="inlineStr"/>
      <c r="M214" s="5" t="inlineStr">
        <is>
          <t>Yes</t>
        </is>
      </c>
      <c r="N214" s="5" t="inlineStr"/>
      <c r="O214" s="8" t="inlineStr">
        <is>
          <t>85000</t>
        </is>
      </c>
      <c r="P214" s="5" t="inlineStr">
        <is>
          <t>15</t>
        </is>
      </c>
      <c r="Q214" s="5" t="inlineStr">
        <is>
          <t>3</t>
        </is>
      </c>
      <c r="R214" s="5" t="inlineStr">
        <is>
          <t>8</t>
        </is>
      </c>
      <c r="S214" s="5" t="inlineStr">
        <is>
          <t>37</t>
        </is>
      </c>
      <c r="T214" s="5" t="inlineStr">
        <is>
          <t>2</t>
        </is>
      </c>
      <c r="U214" s="5" t="inlineStr">
        <is>
          <t>OK</t>
        </is>
      </c>
    </row>
    <row r="215">
      <c r="A215" s="5" t="inlineStr">
        <is>
          <t>E02177</t>
        </is>
      </c>
      <c r="B215" s="5" t="inlineStr">
        <is>
          <t>Female</t>
        </is>
      </c>
      <c r="C215" s="6" t="inlineStr">
        <is>
          <t>36</t>
        </is>
      </c>
      <c r="D215" s="5" t="inlineStr">
        <is>
          <t>Single</t>
        </is>
      </c>
      <c r="E215" s="5" t="inlineStr">
        <is>
          <t>Diploma</t>
        </is>
      </c>
      <c r="F215" s="5" t="inlineStr">
        <is>
          <t>Operations</t>
        </is>
      </c>
      <c r="G215" s="5" t="inlineStr">
        <is>
          <t>Logistics Coordinator</t>
        </is>
      </c>
      <c r="H215" s="5" t="inlineStr">
        <is>
          <t>2</t>
        </is>
      </c>
      <c r="I215" s="5" t="inlineStr">
        <is>
          <t>Bengaluru</t>
        </is>
      </c>
      <c r="J215" s="5" t="inlineStr">
        <is>
          <t>Full-Time</t>
        </is>
      </c>
      <c r="K215" s="7" t="n">
        <v>43936</v>
      </c>
      <c r="L215" s="7" t="n">
        <v>43995</v>
      </c>
      <c r="M215" s="5" t="inlineStr">
        <is>
          <t>No</t>
        </is>
      </c>
      <c r="N215" s="5" t="inlineStr">
        <is>
          <t>Layoff</t>
        </is>
      </c>
      <c r="O215" s="8" t="inlineStr">
        <is>
          <t>86500</t>
        </is>
      </c>
      <c r="P215" s="5" t="inlineStr">
        <is>
          <t>0</t>
        </is>
      </c>
      <c r="Q215" s="5" t="inlineStr">
        <is>
          <t>5</t>
        </is>
      </c>
      <c r="R215" s="5" t="inlineStr">
        <is>
          <t>5</t>
        </is>
      </c>
      <c r="S215" s="5" t="inlineStr">
        <is>
          <t>1</t>
        </is>
      </c>
      <c r="T215" s="5" t="inlineStr">
        <is>
          <t>6</t>
        </is>
      </c>
      <c r="U215" s="5" t="inlineStr">
        <is>
          <t>OK</t>
        </is>
      </c>
    </row>
    <row r="216">
      <c r="A216" s="5" t="inlineStr">
        <is>
          <t>E02789</t>
        </is>
      </c>
      <c r="B216" s="5" t="inlineStr">
        <is>
          <t>Male</t>
        </is>
      </c>
      <c r="C216" s="6" t="inlineStr">
        <is>
          <t>32</t>
        </is>
      </c>
      <c r="D216" s="5" t="inlineStr">
        <is>
          <t>Single</t>
        </is>
      </c>
      <c r="E216" s="5" t="inlineStr">
        <is>
          <t>PhD</t>
        </is>
      </c>
      <c r="F216" s="5" t="inlineStr">
        <is>
          <t>Sales</t>
        </is>
      </c>
      <c r="G216" s="5" t="inlineStr">
        <is>
          <t>Business Development</t>
        </is>
      </c>
      <c r="H216" s="5" t="inlineStr">
        <is>
          <t>4</t>
        </is>
      </c>
      <c r="I216" s="5" t="inlineStr">
        <is>
          <t>Remote</t>
        </is>
      </c>
      <c r="J216" s="5" t="inlineStr">
        <is>
          <t>Full-Time</t>
        </is>
      </c>
      <c r="K216" s="7" t="n">
        <v>45937</v>
      </c>
      <c r="L216" s="7" t="inlineStr"/>
      <c r="M216" s="5" t="inlineStr">
        <is>
          <t>Yes</t>
        </is>
      </c>
      <c r="N216" s="5" t="inlineStr"/>
      <c r="O216" s="8" t="inlineStr">
        <is>
          <t>135500</t>
        </is>
      </c>
      <c r="P216" s="5" t="inlineStr">
        <is>
          <t>5</t>
        </is>
      </c>
      <c r="Q216" s="5" t="inlineStr">
        <is>
          <t>5</t>
        </is>
      </c>
      <c r="R216" s="5" t="inlineStr">
        <is>
          <t>8</t>
        </is>
      </c>
      <c r="S216" s="5" t="inlineStr">
        <is>
          <t>2</t>
        </is>
      </c>
      <c r="T216" s="5" t="inlineStr">
        <is>
          <t>0</t>
        </is>
      </c>
      <c r="U216" s="5" t="inlineStr">
        <is>
          <t>OK</t>
        </is>
      </c>
    </row>
    <row r="217">
      <c r="A217" s="5" t="inlineStr">
        <is>
          <t>E02335</t>
        </is>
      </c>
      <c r="B217" s="5" t="inlineStr">
        <is>
          <t>Male</t>
        </is>
      </c>
      <c r="C217" s="6" t="inlineStr">
        <is>
          <t>29</t>
        </is>
      </c>
      <c r="D217" s="5" t="inlineStr">
        <is>
          <t>Married</t>
        </is>
      </c>
      <c r="E217" s="5" t="inlineStr">
        <is>
          <t>PhD</t>
        </is>
      </c>
      <c r="F217" s="5" t="inlineStr">
        <is>
          <t>IT</t>
        </is>
      </c>
      <c r="G217" s="5" t="inlineStr">
        <is>
          <t>DevOps Engineer</t>
        </is>
      </c>
      <c r="H217" s="5" t="inlineStr">
        <is>
          <t>4</t>
        </is>
      </c>
      <c r="I217" s="5" t="inlineStr">
        <is>
          <t>Bengaluru</t>
        </is>
      </c>
      <c r="J217" s="5" t="inlineStr">
        <is>
          <t>Full-Time</t>
        </is>
      </c>
      <c r="K217" s="7" t="n">
        <v>45040</v>
      </c>
      <c r="L217" s="7" t="inlineStr"/>
      <c r="M217" s="5" t="inlineStr">
        <is>
          <t>Yes</t>
        </is>
      </c>
      <c r="N217" s="5" t="inlineStr"/>
      <c r="O217" s="8" t="inlineStr">
        <is>
          <t>129000</t>
        </is>
      </c>
      <c r="P217" s="5" t="inlineStr">
        <is>
          <t>5</t>
        </is>
      </c>
      <c r="Q217" s="5" t="inlineStr">
        <is>
          <t>3</t>
        </is>
      </c>
      <c r="R217" s="5" t="inlineStr">
        <is>
          <t>6</t>
        </is>
      </c>
      <c r="S217" s="5" t="inlineStr">
        <is>
          <t>32</t>
        </is>
      </c>
      <c r="T217" s="5" t="inlineStr">
        <is>
          <t>6</t>
        </is>
      </c>
      <c r="U217" s="5" t="inlineStr">
        <is>
          <t>OK</t>
        </is>
      </c>
    </row>
    <row r="218">
      <c r="A218" s="5" t="inlineStr">
        <is>
          <t>E00666</t>
        </is>
      </c>
      <c r="B218" s="5" t="inlineStr">
        <is>
          <t>Male</t>
        </is>
      </c>
      <c r="C218" s="6" t="inlineStr">
        <is>
          <t>37</t>
        </is>
      </c>
      <c r="D218" s="5" t="inlineStr">
        <is>
          <t>Married</t>
        </is>
      </c>
      <c r="E218" s="5" t="inlineStr">
        <is>
          <t>PhD</t>
        </is>
      </c>
      <c r="F218" s="5" t="inlineStr">
        <is>
          <t>Customer Support</t>
        </is>
      </c>
      <c r="G218" s="5" t="inlineStr">
        <is>
          <t>Support Agent</t>
        </is>
      </c>
      <c r="H218" s="5" t="inlineStr">
        <is>
          <t>6</t>
        </is>
      </c>
      <c r="I218" s="5" t="inlineStr">
        <is>
          <t>Delhi</t>
        </is>
      </c>
      <c r="J218" s="5" t="inlineStr">
        <is>
          <t>Full-Time</t>
        </is>
      </c>
      <c r="K218" s="7" t="n">
        <v>44801</v>
      </c>
      <c r="L218" s="7" t="n">
        <v>44916</v>
      </c>
      <c r="M218" s="5" t="inlineStr">
        <is>
          <t>No</t>
        </is>
      </c>
      <c r="N218" s="5" t="inlineStr">
        <is>
          <t>Resigned</t>
        </is>
      </c>
      <c r="O218" s="8" t="inlineStr">
        <is>
          <t>112500</t>
        </is>
      </c>
      <c r="P218" s="5" t="inlineStr">
        <is>
          <t>10</t>
        </is>
      </c>
      <c r="Q218" s="5" t="inlineStr">
        <is>
          <t>3</t>
        </is>
      </c>
      <c r="R218" s="5" t="inlineStr">
        <is>
          <t>7</t>
        </is>
      </c>
      <c r="S218" s="5" t="inlineStr">
        <is>
          <t>3</t>
        </is>
      </c>
      <c r="T218" s="5" t="inlineStr">
        <is>
          <t>3</t>
        </is>
      </c>
      <c r="U218" s="5" t="inlineStr">
        <is>
          <t>OK</t>
        </is>
      </c>
    </row>
    <row r="219">
      <c r="A219" s="5" t="inlineStr">
        <is>
          <t>E01609</t>
        </is>
      </c>
      <c r="B219" s="5" t="inlineStr">
        <is>
          <t>Female</t>
        </is>
      </c>
      <c r="C219" s="6" t="inlineStr">
        <is>
          <t>32</t>
        </is>
      </c>
      <c r="D219" s="5" t="inlineStr">
        <is>
          <t>Married</t>
        </is>
      </c>
      <c r="E219" s="5" t="inlineStr">
        <is>
          <t>Master</t>
        </is>
      </c>
      <c r="F219" s="5" t="inlineStr">
        <is>
          <t>Research &amp; Development</t>
        </is>
      </c>
      <c r="G219" s="5" t="inlineStr">
        <is>
          <t>Research Scientist</t>
        </is>
      </c>
      <c r="H219" s="5" t="inlineStr">
        <is>
          <t>4</t>
        </is>
      </c>
      <c r="I219" s="5" t="inlineStr">
        <is>
          <t>Remote</t>
        </is>
      </c>
      <c r="J219" s="5" t="inlineStr">
        <is>
          <t>Full-Time</t>
        </is>
      </c>
      <c r="K219" s="7" t="n">
        <v>44434</v>
      </c>
      <c r="L219" s="7" t="inlineStr"/>
      <c r="M219" s="5" t="inlineStr">
        <is>
          <t>Yes</t>
        </is>
      </c>
      <c r="N219" s="5" t="inlineStr"/>
      <c r="O219" s="8" t="inlineStr">
        <is>
          <t>142000</t>
        </is>
      </c>
      <c r="P219" s="5" t="inlineStr">
        <is>
          <t>10</t>
        </is>
      </c>
      <c r="Q219" s="5" t="inlineStr">
        <is>
          <t>2</t>
        </is>
      </c>
      <c r="R219" s="5" t="inlineStr">
        <is>
          <t>5</t>
        </is>
      </c>
      <c r="S219" s="5" t="inlineStr">
        <is>
          <t>52</t>
        </is>
      </c>
      <c r="T219" s="5" t="inlineStr">
        <is>
          <t>5</t>
        </is>
      </c>
      <c r="U219" s="5" t="inlineStr">
        <is>
          <t>OK</t>
        </is>
      </c>
    </row>
    <row r="220">
      <c r="A220" s="5" t="inlineStr">
        <is>
          <t>E01460</t>
        </is>
      </c>
      <c r="B220" s="5" t="inlineStr">
        <is>
          <t>Male</t>
        </is>
      </c>
      <c r="C220" s="6" t="inlineStr">
        <is>
          <t>41</t>
        </is>
      </c>
      <c r="D220" s="5" t="inlineStr">
        <is>
          <t>Married</t>
        </is>
      </c>
      <c r="E220" s="5" t="inlineStr">
        <is>
          <t>Master</t>
        </is>
      </c>
      <c r="F220" s="5" t="inlineStr">
        <is>
          <t>Research &amp; Development</t>
        </is>
      </c>
      <c r="G220" s="5" t="inlineStr">
        <is>
          <t>Product Engineer</t>
        </is>
      </c>
      <c r="H220" s="5" t="inlineStr">
        <is>
          <t>5</t>
        </is>
      </c>
      <c r="I220" s="5" t="inlineStr">
        <is>
          <t>Delhi</t>
        </is>
      </c>
      <c r="J220" s="5" t="inlineStr">
        <is>
          <t>Part-Time</t>
        </is>
      </c>
      <c r="K220" s="7" t="n">
        <v>44495</v>
      </c>
      <c r="L220" s="7" t="inlineStr"/>
      <c r="M220" s="5" t="inlineStr">
        <is>
          <t>Yes</t>
        </is>
      </c>
      <c r="N220" s="5" t="inlineStr"/>
      <c r="O220" s="8" t="inlineStr">
        <is>
          <t>178000</t>
        </is>
      </c>
      <c r="P220" s="5" t="inlineStr">
        <is>
          <t>0</t>
        </is>
      </c>
      <c r="Q220" s="5" t="inlineStr">
        <is>
          <t>3</t>
        </is>
      </c>
      <c r="R220" s="5" t="inlineStr">
        <is>
          <t>4</t>
        </is>
      </c>
      <c r="S220" s="5" t="inlineStr">
        <is>
          <t>50</t>
        </is>
      </c>
      <c r="T220" s="5" t="inlineStr">
        <is>
          <t>7</t>
        </is>
      </c>
      <c r="U220" s="5" t="inlineStr">
        <is>
          <t>OK</t>
        </is>
      </c>
    </row>
    <row r="221">
      <c r="A221" s="5" t="inlineStr">
        <is>
          <t>E00152</t>
        </is>
      </c>
      <c r="B221" s="5" t="inlineStr">
        <is>
          <t>Female</t>
        </is>
      </c>
      <c r="C221" s="6" t="inlineStr">
        <is>
          <t>38</t>
        </is>
      </c>
      <c r="D221" s="5" t="inlineStr">
        <is>
          <t>Single</t>
        </is>
      </c>
      <c r="E221" s="5" t="inlineStr">
        <is>
          <t>High School</t>
        </is>
      </c>
      <c r="F221" s="5" t="inlineStr">
        <is>
          <t>Operations</t>
        </is>
      </c>
      <c r="G221" s="5" t="inlineStr">
        <is>
          <t>Quality Analyst</t>
        </is>
      </c>
      <c r="H221" s="5" t="inlineStr">
        <is>
          <t>5</t>
        </is>
      </c>
      <c r="I221" s="5" t="inlineStr">
        <is>
          <t>Chennai</t>
        </is>
      </c>
      <c r="J221" s="5" t="inlineStr">
        <is>
          <t>Full-Time</t>
        </is>
      </c>
      <c r="K221" s="7" t="n">
        <v>44938</v>
      </c>
      <c r="L221" s="7" t="inlineStr"/>
      <c r="M221" s="5" t="inlineStr">
        <is>
          <t>Yes</t>
        </is>
      </c>
      <c r="N221" s="5" t="inlineStr"/>
      <c r="O221" s="8" t="inlineStr">
        <is>
          <t>148000</t>
        </is>
      </c>
      <c r="P221" s="5" t="inlineStr">
        <is>
          <t>10</t>
        </is>
      </c>
      <c r="Q221" s="5" t="inlineStr">
        <is>
          <t>4</t>
        </is>
      </c>
      <c r="R221" s="5" t="inlineStr">
        <is>
          <t>6</t>
        </is>
      </c>
      <c r="S221" s="5" t="inlineStr">
        <is>
          <t>36</t>
        </is>
      </c>
      <c r="T221" s="5" t="inlineStr">
        <is>
          <t>15</t>
        </is>
      </c>
      <c r="U221" s="5" t="inlineStr">
        <is>
          <t>OK</t>
        </is>
      </c>
    </row>
    <row r="222">
      <c r="A222" s="5" t="inlineStr">
        <is>
          <t>E02454</t>
        </is>
      </c>
      <c r="B222" s="5" t="inlineStr">
        <is>
          <t>Female</t>
        </is>
      </c>
      <c r="C222" s="6" t="inlineStr">
        <is>
          <t>36</t>
        </is>
      </c>
      <c r="D222" s="5" t="inlineStr">
        <is>
          <t>Married</t>
        </is>
      </c>
      <c r="E222" s="5" t="inlineStr">
        <is>
          <t>High School</t>
        </is>
      </c>
      <c r="F222" s="5" t="inlineStr">
        <is>
          <t>Operations</t>
        </is>
      </c>
      <c r="G222" s="5" t="inlineStr">
        <is>
          <t>Logistics Coordinator</t>
        </is>
      </c>
      <c r="H222" s="5" t="inlineStr">
        <is>
          <t>4</t>
        </is>
      </c>
      <c r="I222" s="5" t="inlineStr">
        <is>
          <t>Hyderabad</t>
        </is>
      </c>
      <c r="J222" s="5" t="inlineStr">
        <is>
          <t>Full-Time</t>
        </is>
      </c>
      <c r="K222" s="7" t="n">
        <v>45662</v>
      </c>
      <c r="L222" s="7" t="inlineStr"/>
      <c r="M222" s="5" t="inlineStr">
        <is>
          <t>Yes</t>
        </is>
      </c>
      <c r="N222" s="5" t="inlineStr"/>
      <c r="O222" s="8" t="inlineStr">
        <is>
          <t>82500</t>
        </is>
      </c>
      <c r="P222" s="5" t="inlineStr">
        <is>
          <t>15</t>
        </is>
      </c>
      <c r="Q222" s="5" t="inlineStr">
        <is>
          <t>5</t>
        </is>
      </c>
      <c r="R222" s="5" t="inlineStr">
        <is>
          <t>5</t>
        </is>
      </c>
      <c r="S222" s="5" t="inlineStr">
        <is>
          <t>12</t>
        </is>
      </c>
      <c r="T222" s="5" t="inlineStr">
        <is>
          <t>16</t>
        </is>
      </c>
      <c r="U222" s="5" t="inlineStr">
        <is>
          <t>OK</t>
        </is>
      </c>
    </row>
    <row r="223">
      <c r="A223" s="5" t="inlineStr">
        <is>
          <t>E01713</t>
        </is>
      </c>
      <c r="B223" s="5" t="inlineStr">
        <is>
          <t>Female</t>
        </is>
      </c>
      <c r="C223" s="6" t="inlineStr">
        <is>
          <t>29</t>
        </is>
      </c>
      <c r="D223" s="5" t="inlineStr">
        <is>
          <t>Married</t>
        </is>
      </c>
      <c r="E223" s="5" t="inlineStr">
        <is>
          <t>Master</t>
        </is>
      </c>
      <c r="F223" s="5" t="inlineStr">
        <is>
          <t>Sales</t>
        </is>
      </c>
      <c r="G223" s="5" t="inlineStr">
        <is>
          <t>Sales Executive</t>
        </is>
      </c>
      <c r="H223" s="5" t="inlineStr">
        <is>
          <t>4</t>
        </is>
      </c>
      <c r="I223" s="5" t="inlineStr">
        <is>
          <t>Chennai</t>
        </is>
      </c>
      <c r="J223" s="5" t="inlineStr">
        <is>
          <t>Full-Time</t>
        </is>
      </c>
      <c r="K223" s="7" t="n">
        <v>43839</v>
      </c>
      <c r="L223" s="7" t="inlineStr"/>
      <c r="M223" s="5" t="inlineStr">
        <is>
          <t>Yes</t>
        </is>
      </c>
      <c r="N223" s="5" t="inlineStr"/>
      <c r="O223" s="8" t="inlineStr">
        <is>
          <t>127500</t>
        </is>
      </c>
      <c r="P223" s="5" t="inlineStr">
        <is>
          <t>10</t>
        </is>
      </c>
      <c r="Q223" s="5" t="inlineStr">
        <is>
          <t>5</t>
        </is>
      </c>
      <c r="R223" s="5" t="inlineStr">
        <is>
          <t>7</t>
        </is>
      </c>
      <c r="S223" s="5" t="inlineStr">
        <is>
          <t>72</t>
        </is>
      </c>
      <c r="T223" s="5" t="inlineStr">
        <is>
          <t>0</t>
        </is>
      </c>
      <c r="U223" s="5" t="inlineStr">
        <is>
          <t>OK</t>
        </is>
      </c>
    </row>
    <row r="224">
      <c r="A224" s="5" t="inlineStr">
        <is>
          <t>E00238</t>
        </is>
      </c>
      <c r="B224" s="5" t="inlineStr">
        <is>
          <t>Female</t>
        </is>
      </c>
      <c r="C224" s="6" t="inlineStr">
        <is>
          <t>33</t>
        </is>
      </c>
      <c r="D224" s="5" t="inlineStr">
        <is>
          <t>Single</t>
        </is>
      </c>
      <c r="E224" s="5" t="inlineStr">
        <is>
          <t>Bachelor</t>
        </is>
      </c>
      <c r="F224" s="5" t="inlineStr">
        <is>
          <t>Sales</t>
        </is>
      </c>
      <c r="G224" s="5" t="inlineStr">
        <is>
          <t>Account Executive</t>
        </is>
      </c>
      <c r="H224" s="5" t="inlineStr">
        <is>
          <t>3</t>
        </is>
      </c>
      <c r="I224" s="5" t="inlineStr">
        <is>
          <t>Delhi</t>
        </is>
      </c>
      <c r="J224" s="5" t="inlineStr">
        <is>
          <t>Full-Time</t>
        </is>
      </c>
      <c r="K224" s="7" t="n">
        <v>45676</v>
      </c>
      <c r="L224" s="7" t="inlineStr"/>
      <c r="M224" s="5" t="inlineStr">
        <is>
          <t>Yes</t>
        </is>
      </c>
      <c r="N224" s="5" t="inlineStr"/>
      <c r="O224" s="8" t="inlineStr">
        <is>
          <t>118000</t>
        </is>
      </c>
      <c r="P224" s="5" t="inlineStr">
        <is>
          <t>20</t>
        </is>
      </c>
      <c r="Q224" s="5" t="inlineStr">
        <is>
          <t>3</t>
        </is>
      </c>
      <c r="R224" s="5" t="inlineStr">
        <is>
          <t>7</t>
        </is>
      </c>
      <c r="S224" s="5" t="inlineStr">
        <is>
          <t>11</t>
        </is>
      </c>
      <c r="T224" s="5" t="inlineStr">
        <is>
          <t>6</t>
        </is>
      </c>
      <c r="U224" s="5" t="inlineStr">
        <is>
          <t>OK</t>
        </is>
      </c>
    </row>
    <row r="225">
      <c r="A225" s="5" t="inlineStr">
        <is>
          <t>E01065</t>
        </is>
      </c>
      <c r="B225" s="5" t="inlineStr">
        <is>
          <t>Female</t>
        </is>
      </c>
      <c r="C225" s="6" t="inlineStr">
        <is>
          <t>23</t>
        </is>
      </c>
      <c r="D225" s="5" t="inlineStr">
        <is>
          <t>Single</t>
        </is>
      </c>
      <c r="E225" s="5" t="inlineStr">
        <is>
          <t>Bachelor</t>
        </is>
      </c>
      <c r="F225" s="5" t="inlineStr">
        <is>
          <t>Operations</t>
        </is>
      </c>
      <c r="G225" s="5" t="inlineStr">
        <is>
          <t>Logistics Coordinator</t>
        </is>
      </c>
      <c r="H225" s="5" t="inlineStr">
        <is>
          <t>1</t>
        </is>
      </c>
      <c r="I225" s="5" t="inlineStr">
        <is>
          <t>Mumbai</t>
        </is>
      </c>
      <c r="J225" s="5" t="inlineStr">
        <is>
          <t>Full-Time</t>
        </is>
      </c>
      <c r="K225" s="7" t="n">
        <v>44226</v>
      </c>
      <c r="L225" s="7" t="inlineStr"/>
      <c r="M225" s="5" t="inlineStr">
        <is>
          <t>Yes</t>
        </is>
      </c>
      <c r="N225" s="5" t="inlineStr"/>
      <c r="O225" s="8" t="inlineStr">
        <is>
          <t>87000</t>
        </is>
      </c>
      <c r="P225" s="5" t="inlineStr">
        <is>
          <t>5</t>
        </is>
      </c>
      <c r="Q225" s="5" t="inlineStr">
        <is>
          <t>3</t>
        </is>
      </c>
      <c r="R225" s="5" t="inlineStr">
        <is>
          <t>6</t>
        </is>
      </c>
      <c r="S225" s="5" t="inlineStr">
        <is>
          <t>59</t>
        </is>
      </c>
      <c r="T225" s="5" t="inlineStr">
        <is>
          <t>2</t>
        </is>
      </c>
      <c r="U225" s="5" t="inlineStr">
        <is>
          <t>OK</t>
        </is>
      </c>
    </row>
    <row r="226">
      <c r="A226" s="5" t="inlineStr">
        <is>
          <t>E01980</t>
        </is>
      </c>
      <c r="B226" s="5" t="inlineStr">
        <is>
          <t>Male</t>
        </is>
      </c>
      <c r="C226" s="6" t="inlineStr">
        <is>
          <t>26</t>
        </is>
      </c>
      <c r="D226" s="5" t="inlineStr">
        <is>
          <t>Single</t>
        </is>
      </c>
      <c r="E226" s="5" t="inlineStr">
        <is>
          <t>PhD</t>
        </is>
      </c>
      <c r="F226" s="5" t="inlineStr">
        <is>
          <t>Marketing</t>
        </is>
      </c>
      <c r="G226" s="5" t="inlineStr">
        <is>
          <t>Marketing Analyst</t>
        </is>
      </c>
      <c r="H226" s="5" t="inlineStr">
        <is>
          <t>1</t>
        </is>
      </c>
      <c r="I226" s="5" t="inlineStr">
        <is>
          <t>Mumbai</t>
        </is>
      </c>
      <c r="J226" s="5" t="inlineStr">
        <is>
          <t>Full-Time</t>
        </is>
      </c>
      <c r="K226" s="7" t="n">
        <v>45239</v>
      </c>
      <c r="L226" s="7" t="n">
        <v>45313</v>
      </c>
      <c r="M226" s="5" t="inlineStr">
        <is>
          <t>No</t>
        </is>
      </c>
      <c r="N226" s="5" t="inlineStr">
        <is>
          <t>Resigned</t>
        </is>
      </c>
      <c r="O226" s="8" t="inlineStr">
        <is>
          <t>86500</t>
        </is>
      </c>
      <c r="P226" s="5" t="inlineStr">
        <is>
          <t>0</t>
        </is>
      </c>
      <c r="Q226" s="5" t="inlineStr">
        <is>
          <t>4</t>
        </is>
      </c>
      <c r="R226" s="5" t="inlineStr">
        <is>
          <t>6</t>
        </is>
      </c>
      <c r="S226" s="5" t="inlineStr">
        <is>
          <t>2</t>
        </is>
      </c>
      <c r="T226" s="5" t="inlineStr">
        <is>
          <t>0</t>
        </is>
      </c>
      <c r="U226" s="5" t="inlineStr">
        <is>
          <t>OK</t>
        </is>
      </c>
    </row>
    <row r="227">
      <c r="A227" s="5" t="inlineStr">
        <is>
          <t>E01705</t>
        </is>
      </c>
      <c r="B227" s="5" t="inlineStr">
        <is>
          <t>Male</t>
        </is>
      </c>
      <c r="C227" s="6" t="inlineStr">
        <is>
          <t>34</t>
        </is>
      </c>
      <c r="D227" s="5" t="inlineStr">
        <is>
          <t>Married</t>
        </is>
      </c>
      <c r="E227" s="5" t="inlineStr">
        <is>
          <t>High School</t>
        </is>
      </c>
      <c r="F227" s="5" t="inlineStr">
        <is>
          <t>Sales</t>
        </is>
      </c>
      <c r="G227" s="5" t="inlineStr">
        <is>
          <t>Business Development</t>
        </is>
      </c>
      <c r="H227" s="5" t="inlineStr">
        <is>
          <t>4</t>
        </is>
      </c>
      <c r="I227" s="5" t="inlineStr">
        <is>
          <t>Delhi</t>
        </is>
      </c>
      <c r="J227" s="5" t="inlineStr">
        <is>
          <t>Full-Time</t>
        </is>
      </c>
      <c r="K227" s="7" t="n">
        <v>45767</v>
      </c>
      <c r="L227" s="7" t="n">
        <v>45900</v>
      </c>
      <c r="M227" s="5" t="inlineStr">
        <is>
          <t>No</t>
        </is>
      </c>
      <c r="N227" s="5" t="inlineStr">
        <is>
          <t>Layoff</t>
        </is>
      </c>
      <c r="O227" s="8" t="inlineStr">
        <is>
          <t>104500</t>
        </is>
      </c>
      <c r="P227" s="5" t="inlineStr">
        <is>
          <t>10</t>
        </is>
      </c>
      <c r="Q227" s="5" t="inlineStr">
        <is>
          <t>5</t>
        </is>
      </c>
      <c r="R227" s="5" t="inlineStr">
        <is>
          <t>4</t>
        </is>
      </c>
      <c r="S227" s="5" t="inlineStr">
        <is>
          <t>4</t>
        </is>
      </c>
      <c r="T227" s="5" t="inlineStr">
        <is>
          <t>0</t>
        </is>
      </c>
      <c r="U227" s="5" t="inlineStr">
        <is>
          <t>OK</t>
        </is>
      </c>
    </row>
    <row r="228">
      <c r="A228" s="5" t="inlineStr">
        <is>
          <t>E00200</t>
        </is>
      </c>
      <c r="B228" s="5" t="inlineStr">
        <is>
          <t>Female</t>
        </is>
      </c>
      <c r="C228" s="6" t="inlineStr">
        <is>
          <t>26</t>
        </is>
      </c>
      <c r="D228" s="5" t="inlineStr">
        <is>
          <t>Single</t>
        </is>
      </c>
      <c r="E228" s="5" t="inlineStr">
        <is>
          <t>Diploma</t>
        </is>
      </c>
      <c r="F228" s="5" t="inlineStr">
        <is>
          <t>Operations</t>
        </is>
      </c>
      <c r="G228" s="5" t="inlineStr">
        <is>
          <t>Logistics Coordinator</t>
        </is>
      </c>
      <c r="H228" s="5" t="inlineStr">
        <is>
          <t>1</t>
        </is>
      </c>
      <c r="I228" s="5" t="inlineStr">
        <is>
          <t>Mumbai</t>
        </is>
      </c>
      <c r="J228" s="5" t="inlineStr">
        <is>
          <t>Full-Time</t>
        </is>
      </c>
      <c r="K228" s="7" t="n">
        <v>45037</v>
      </c>
      <c r="L228" s="7" t="n">
        <v>45159</v>
      </c>
      <c r="M228" s="5" t="inlineStr">
        <is>
          <t>No</t>
        </is>
      </c>
      <c r="N228" s="5" t="inlineStr">
        <is>
          <t>Resigned</t>
        </is>
      </c>
      <c r="O228" s="8" t="inlineStr">
        <is>
          <t>60000</t>
        </is>
      </c>
      <c r="P228" s="5" t="inlineStr">
        <is>
          <t>5</t>
        </is>
      </c>
      <c r="Q228" s="5" t="inlineStr">
        <is>
          <t>3</t>
        </is>
      </c>
      <c r="R228" s="5" t="inlineStr">
        <is>
          <t>6</t>
        </is>
      </c>
      <c r="S228" s="5" t="inlineStr">
        <is>
          <t>4</t>
        </is>
      </c>
      <c r="T228" s="5" t="inlineStr">
        <is>
          <t>0</t>
        </is>
      </c>
      <c r="U228" s="5" t="inlineStr">
        <is>
          <t>OK</t>
        </is>
      </c>
    </row>
    <row r="229">
      <c r="A229" s="5" t="inlineStr">
        <is>
          <t>E00358</t>
        </is>
      </c>
      <c r="B229" s="5" t="inlineStr">
        <is>
          <t>Female</t>
        </is>
      </c>
      <c r="C229" s="6" t="inlineStr">
        <is>
          <t>28</t>
        </is>
      </c>
      <c r="D229" s="5" t="inlineStr">
        <is>
          <t>Married</t>
        </is>
      </c>
      <c r="E229" s="5" t="inlineStr">
        <is>
          <t>Diploma</t>
        </is>
      </c>
      <c r="F229" s="5" t="inlineStr">
        <is>
          <t>Sales</t>
        </is>
      </c>
      <c r="G229" s="5" t="inlineStr">
        <is>
          <t>Business Development</t>
        </is>
      </c>
      <c r="H229" s="5" t="inlineStr">
        <is>
          <t>1</t>
        </is>
      </c>
      <c r="I229" s="5" t="inlineStr">
        <is>
          <t>Remote</t>
        </is>
      </c>
      <c r="J229" s="5" t="inlineStr">
        <is>
          <t>Full-Time</t>
        </is>
      </c>
      <c r="K229" s="7" t="n">
        <v>44713</v>
      </c>
      <c r="L229" s="7" t="inlineStr"/>
      <c r="M229" s="5" t="inlineStr">
        <is>
          <t>Yes</t>
        </is>
      </c>
      <c r="N229" s="5" t="inlineStr"/>
      <c r="O229" s="8" t="inlineStr">
        <is>
          <t>102000</t>
        </is>
      </c>
      <c r="P229" s="5" t="inlineStr">
        <is>
          <t>5</t>
        </is>
      </c>
      <c r="Q229" s="5" t="inlineStr">
        <is>
          <t>5</t>
        </is>
      </c>
      <c r="R229" s="5" t="inlineStr">
        <is>
          <t>6</t>
        </is>
      </c>
      <c r="S229" s="5" t="inlineStr">
        <is>
          <t>43</t>
        </is>
      </c>
      <c r="T229" s="5" t="inlineStr">
        <is>
          <t>14</t>
        </is>
      </c>
      <c r="U229" s="5" t="inlineStr">
        <is>
          <t>OK</t>
        </is>
      </c>
    </row>
    <row r="230">
      <c r="A230" s="5" t="inlineStr">
        <is>
          <t>E01358</t>
        </is>
      </c>
      <c r="B230" s="5" t="inlineStr">
        <is>
          <t>Male</t>
        </is>
      </c>
      <c r="C230" s="6" t="inlineStr">
        <is>
          <t>43</t>
        </is>
      </c>
      <c r="D230" s="5" t="inlineStr">
        <is>
          <t>Married</t>
        </is>
      </c>
      <c r="E230" s="5" t="inlineStr">
        <is>
          <t>High School</t>
        </is>
      </c>
      <c r="F230" s="5" t="inlineStr">
        <is>
          <t>IT</t>
        </is>
      </c>
      <c r="G230" s="5" t="inlineStr">
        <is>
          <t>Software Engineer</t>
        </is>
      </c>
      <c r="H230" s="5" t="inlineStr">
        <is>
          <t>6</t>
        </is>
      </c>
      <c r="I230" s="5" t="inlineStr">
        <is>
          <t>Chennai</t>
        </is>
      </c>
      <c r="J230" s="5" t="inlineStr">
        <is>
          <t>Full-Time</t>
        </is>
      </c>
      <c r="K230" s="7" t="n">
        <v>45707</v>
      </c>
      <c r="L230" s="7" t="inlineStr"/>
      <c r="M230" s="5" t="inlineStr">
        <is>
          <t>Yes</t>
        </is>
      </c>
      <c r="N230" s="5" t="inlineStr"/>
      <c r="O230" s="8" t="inlineStr">
        <is>
          <t>159500</t>
        </is>
      </c>
      <c r="P230" s="5" t="inlineStr">
        <is>
          <t>0</t>
        </is>
      </c>
      <c r="Q230" s="5" t="inlineStr">
        <is>
          <t>3</t>
        </is>
      </c>
      <c r="R230" s="5" t="inlineStr">
        <is>
          <t>6</t>
        </is>
      </c>
      <c r="S230" s="5" t="inlineStr">
        <is>
          <t>10</t>
        </is>
      </c>
      <c r="T230" s="5" t="inlineStr">
        <is>
          <t>16</t>
        </is>
      </c>
      <c r="U230" s="5" t="inlineStr">
        <is>
          <t>OK</t>
        </is>
      </c>
    </row>
    <row r="231">
      <c r="A231" s="5" t="inlineStr">
        <is>
          <t>E02537</t>
        </is>
      </c>
      <c r="B231" s="5" t="inlineStr">
        <is>
          <t>Female</t>
        </is>
      </c>
      <c r="C231" s="6" t="inlineStr">
        <is>
          <t>26</t>
        </is>
      </c>
      <c r="D231" s="5" t="inlineStr">
        <is>
          <t>Single</t>
        </is>
      </c>
      <c r="E231" s="5" t="inlineStr">
        <is>
          <t>Master</t>
        </is>
      </c>
      <c r="F231" s="5" t="inlineStr">
        <is>
          <t>Operations</t>
        </is>
      </c>
      <c r="G231" s="5" t="inlineStr">
        <is>
          <t>Quality Analyst</t>
        </is>
      </c>
      <c r="H231" s="5" t="inlineStr">
        <is>
          <t>1</t>
        </is>
      </c>
      <c r="I231" s="5" t="inlineStr">
        <is>
          <t>Bengaluru</t>
        </is>
      </c>
      <c r="J231" s="5" t="inlineStr">
        <is>
          <t>Full-Time</t>
        </is>
      </c>
      <c r="K231" s="7" t="n">
        <v>44052</v>
      </c>
      <c r="L231" s="7" t="inlineStr"/>
      <c r="M231" s="5" t="inlineStr">
        <is>
          <t>Yes</t>
        </is>
      </c>
      <c r="N231" s="5" t="inlineStr"/>
      <c r="O231" s="8" t="inlineStr">
        <is>
          <t>55000</t>
        </is>
      </c>
      <c r="P231" s="5" t="inlineStr">
        <is>
          <t>5</t>
        </is>
      </c>
      <c r="Q231" s="5" t="inlineStr">
        <is>
          <t>5</t>
        </is>
      </c>
      <c r="R231" s="5" t="inlineStr">
        <is>
          <t>6</t>
        </is>
      </c>
      <c r="S231" s="5" t="inlineStr">
        <is>
          <t>65</t>
        </is>
      </c>
      <c r="T231" s="5" t="inlineStr">
        <is>
          <t>10</t>
        </is>
      </c>
      <c r="U231" s="5" t="inlineStr">
        <is>
          <t>OK</t>
        </is>
      </c>
    </row>
    <row r="232">
      <c r="A232" s="5" t="inlineStr">
        <is>
          <t>E00522</t>
        </is>
      </c>
      <c r="B232" s="5" t="inlineStr">
        <is>
          <t>Male</t>
        </is>
      </c>
      <c r="C232" s="6" t="inlineStr">
        <is>
          <t>34</t>
        </is>
      </c>
      <c r="D232" s="5" t="inlineStr">
        <is>
          <t>Married</t>
        </is>
      </c>
      <c r="E232" s="5" t="inlineStr">
        <is>
          <t>PhD</t>
        </is>
      </c>
      <c r="F232" s="5" t="inlineStr">
        <is>
          <t>Operations</t>
        </is>
      </c>
      <c r="G232" s="5" t="inlineStr">
        <is>
          <t>Logistics Coordinator</t>
        </is>
      </c>
      <c r="H232" s="5" t="inlineStr">
        <is>
          <t>4</t>
        </is>
      </c>
      <c r="I232" s="5" t="inlineStr">
        <is>
          <t>Bengaluru</t>
        </is>
      </c>
      <c r="J232" s="5" t="inlineStr">
        <is>
          <t>Full-Time</t>
        </is>
      </c>
      <c r="K232" s="7" t="n">
        <v>44794</v>
      </c>
      <c r="L232" s="7" t="inlineStr"/>
      <c r="M232" s="5" t="inlineStr">
        <is>
          <t>Yes</t>
        </is>
      </c>
      <c r="N232" s="5" t="inlineStr"/>
      <c r="O232" s="8" t="inlineStr">
        <is>
          <t>123500</t>
        </is>
      </c>
      <c r="P232" s="5" t="inlineStr">
        <is>
          <t>0</t>
        </is>
      </c>
      <c r="Q232" s="5" t="inlineStr">
        <is>
          <t>5</t>
        </is>
      </c>
      <c r="R232" s="5" t="inlineStr">
        <is>
          <t>6</t>
        </is>
      </c>
      <c r="S232" s="5" t="inlineStr">
        <is>
          <t>40</t>
        </is>
      </c>
      <c r="T232" s="5" t="inlineStr">
        <is>
          <t>0</t>
        </is>
      </c>
      <c r="U232" s="5" t="inlineStr">
        <is>
          <t>OK</t>
        </is>
      </c>
    </row>
    <row r="233">
      <c r="A233" s="5" t="inlineStr">
        <is>
          <t>E01074</t>
        </is>
      </c>
      <c r="B233" s="5" t="inlineStr">
        <is>
          <t>Male</t>
        </is>
      </c>
      <c r="C233" s="6" t="inlineStr">
        <is>
          <t>34</t>
        </is>
      </c>
      <c r="D233" s="5" t="inlineStr">
        <is>
          <t>Divorced</t>
        </is>
      </c>
      <c r="E233" s="5" t="inlineStr">
        <is>
          <t>Master</t>
        </is>
      </c>
      <c r="F233" s="5" t="inlineStr">
        <is>
          <t>Customer Support</t>
        </is>
      </c>
      <c r="G233" s="5" t="inlineStr">
        <is>
          <t>Support Lead</t>
        </is>
      </c>
      <c r="H233" s="5" t="inlineStr">
        <is>
          <t>3</t>
        </is>
      </c>
      <c r="I233" s="5" t="inlineStr">
        <is>
          <t>Delhi</t>
        </is>
      </c>
      <c r="J233" s="5" t="inlineStr">
        <is>
          <t>Full-Time</t>
        </is>
      </c>
      <c r="K233" s="7" t="n">
        <v>44459</v>
      </c>
      <c r="L233" s="7" t="inlineStr"/>
      <c r="M233" s="5" t="inlineStr">
        <is>
          <t>Yes</t>
        </is>
      </c>
      <c r="N233" s="5" t="inlineStr"/>
      <c r="O233" s="8" t="inlineStr">
        <is>
          <t>58500</t>
        </is>
      </c>
      <c r="P233" s="5" t="inlineStr">
        <is>
          <t>10</t>
        </is>
      </c>
      <c r="Q233" s="5" t="inlineStr">
        <is>
          <t>4</t>
        </is>
      </c>
      <c r="R233" s="5" t="inlineStr">
        <is>
          <t>10</t>
        </is>
      </c>
      <c r="S233" s="5" t="inlineStr">
        <is>
          <t>52</t>
        </is>
      </c>
      <c r="T233" s="5" t="inlineStr">
        <is>
          <t>20</t>
        </is>
      </c>
      <c r="U233" s="5" t="inlineStr">
        <is>
          <t>OK</t>
        </is>
      </c>
    </row>
    <row r="234">
      <c r="A234" s="5" t="inlineStr">
        <is>
          <t>E00508</t>
        </is>
      </c>
      <c r="B234" s="5" t="inlineStr">
        <is>
          <t>Male</t>
        </is>
      </c>
      <c r="C234" s="6" t="inlineStr">
        <is>
          <t>210</t>
        </is>
      </c>
      <c r="D234" s="5" t="inlineStr">
        <is>
          <t>Married</t>
        </is>
      </c>
      <c r="E234" s="5" t="inlineStr">
        <is>
          <t>Bachelor</t>
        </is>
      </c>
      <c r="F234" s="5" t="inlineStr">
        <is>
          <t>Customer Support</t>
        </is>
      </c>
      <c r="G234" s="5" t="inlineStr">
        <is>
          <t>Support Agent</t>
        </is>
      </c>
      <c r="H234" s="5" t="inlineStr">
        <is>
          <t>4</t>
        </is>
      </c>
      <c r="I234" s="5" t="inlineStr">
        <is>
          <t>Delhi</t>
        </is>
      </c>
      <c r="J234" s="5" t="inlineStr">
        <is>
          <t>Full-Time</t>
        </is>
      </c>
      <c r="K234" s="7" t="n">
        <v>44960</v>
      </c>
      <c r="L234" s="7" t="inlineStr"/>
      <c r="M234" s="5" t="inlineStr">
        <is>
          <t>Yes</t>
        </is>
      </c>
      <c r="N234" s="5" t="inlineStr"/>
      <c r="O234" s="8" t="inlineStr">
        <is>
          <t>74000</t>
        </is>
      </c>
      <c r="P234" s="5" t="inlineStr">
        <is>
          <t>5</t>
        </is>
      </c>
      <c r="Q234" s="5" t="inlineStr">
        <is>
          <t>3</t>
        </is>
      </c>
      <c r="R234" s="5" t="inlineStr">
        <is>
          <t>7</t>
        </is>
      </c>
      <c r="S234" s="5" t="inlineStr">
        <is>
          <t>35</t>
        </is>
      </c>
      <c r="T234" s="5" t="inlineStr">
        <is>
          <t>5</t>
        </is>
      </c>
      <c r="U234" s="5" t="inlineStr">
        <is>
          <t>Age typo</t>
        </is>
      </c>
    </row>
    <row r="235">
      <c r="A235" s="5" t="inlineStr">
        <is>
          <t>E01794</t>
        </is>
      </c>
      <c r="B235" s="5" t="inlineStr">
        <is>
          <t>Female</t>
        </is>
      </c>
      <c r="C235" s="6" t="inlineStr">
        <is>
          <t>38</t>
        </is>
      </c>
      <c r="D235" s="5" t="inlineStr">
        <is>
          <t>Single</t>
        </is>
      </c>
      <c r="E235" s="5" t="inlineStr">
        <is>
          <t>Bachelor</t>
        </is>
      </c>
      <c r="F235" s="5" t="inlineStr">
        <is>
          <t>Human Resources</t>
        </is>
      </c>
      <c r="G235" s="5" t="inlineStr">
        <is>
          <t>Recruiter</t>
        </is>
      </c>
      <c r="H235" s="5" t="inlineStr">
        <is>
          <t>3</t>
        </is>
      </c>
      <c r="I235" s="5" t="inlineStr">
        <is>
          <t>Hyderabad</t>
        </is>
      </c>
      <c r="J235" s="5" t="inlineStr">
        <is>
          <t>Part-Time</t>
        </is>
      </c>
      <c r="K235" s="7" t="n">
        <v>45942</v>
      </c>
      <c r="L235" s="7" t="inlineStr"/>
      <c r="M235" s="5" t="inlineStr">
        <is>
          <t>Yes</t>
        </is>
      </c>
      <c r="N235" s="5" t="inlineStr"/>
      <c r="O235" s="8" t="inlineStr">
        <is>
          <t>112000</t>
        </is>
      </c>
      <c r="P235" s="5" t="inlineStr">
        <is>
          <t>5</t>
        </is>
      </c>
      <c r="Q235" s="5" t="inlineStr">
        <is>
          <t>4</t>
        </is>
      </c>
      <c r="R235" s="5" t="inlineStr">
        <is>
          <t>5</t>
        </is>
      </c>
      <c r="S235" s="5" t="inlineStr">
        <is>
          <t>2</t>
        </is>
      </c>
      <c r="T235" s="5" t="inlineStr">
        <is>
          <t>0</t>
        </is>
      </c>
      <c r="U235" s="5" t="inlineStr">
        <is>
          <t>OK</t>
        </is>
      </c>
    </row>
    <row r="236">
      <c r="A236" s="5" t="inlineStr">
        <is>
          <t>E02990</t>
        </is>
      </c>
      <c r="B236" s="5" t="inlineStr">
        <is>
          <t>Female</t>
        </is>
      </c>
      <c r="C236" s="6" t="inlineStr">
        <is>
          <t>27</t>
        </is>
      </c>
      <c r="D236" s="5" t="inlineStr">
        <is>
          <t>Single</t>
        </is>
      </c>
      <c r="E236" s="5" t="inlineStr">
        <is>
          <t>PhD</t>
        </is>
      </c>
      <c r="F236" s="5" t="inlineStr">
        <is>
          <t>Customer Support</t>
        </is>
      </c>
      <c r="G236" s="5" t="inlineStr">
        <is>
          <t>Support Agent</t>
        </is>
      </c>
      <c r="H236" s="5" t="inlineStr">
        <is>
          <t>3</t>
        </is>
      </c>
      <c r="I236" s="5" t="inlineStr">
        <is>
          <t>Bengaluru</t>
        </is>
      </c>
      <c r="J236" s="5" t="inlineStr">
        <is>
          <t>Full-Time</t>
        </is>
      </c>
      <c r="K236" s="7" t="n">
        <v>45242</v>
      </c>
      <c r="L236" s="7" t="inlineStr"/>
      <c r="M236" s="5" t="inlineStr">
        <is>
          <t>Yes</t>
        </is>
      </c>
      <c r="N236" s="5" t="inlineStr"/>
      <c r="O236" s="8" t="inlineStr">
        <is>
          <t>95500</t>
        </is>
      </c>
      <c r="P236" s="5" t="inlineStr">
        <is>
          <t>0</t>
        </is>
      </c>
      <c r="Q236" s="5" t="inlineStr">
        <is>
          <t>3</t>
        </is>
      </c>
      <c r="R236" s="5" t="inlineStr">
        <is>
          <t>6</t>
        </is>
      </c>
      <c r="S236" s="5" t="inlineStr">
        <is>
          <t>26</t>
        </is>
      </c>
      <c r="T236" s="5" t="inlineStr">
        <is>
          <t>22</t>
        </is>
      </c>
      <c r="U236" s="5" t="inlineStr">
        <is>
          <t>OK</t>
        </is>
      </c>
    </row>
    <row r="237">
      <c r="A237" s="5" t="inlineStr">
        <is>
          <t>E02027</t>
        </is>
      </c>
      <c r="B237" s="5" t="inlineStr">
        <is>
          <t>Male</t>
        </is>
      </c>
      <c r="C237" s="6" t="inlineStr">
        <is>
          <t>39</t>
        </is>
      </c>
      <c r="D237" s="5" t="inlineStr">
        <is>
          <t>Married</t>
        </is>
      </c>
      <c r="E237" s="5" t="inlineStr">
        <is>
          <t>Master</t>
        </is>
      </c>
      <c r="F237" s="5" t="inlineStr">
        <is>
          <t>Finance</t>
        </is>
      </c>
      <c r="G237" s="5" t="inlineStr">
        <is>
          <t>Financial Analyst</t>
        </is>
      </c>
      <c r="H237" s="5" t="inlineStr">
        <is>
          <t>5</t>
        </is>
      </c>
      <c r="I237" s="5" t="inlineStr">
        <is>
          <t>Remote</t>
        </is>
      </c>
      <c r="J237" s="5" t="inlineStr">
        <is>
          <t>Full-Time</t>
        </is>
      </c>
      <c r="K237" s="7" t="n">
        <v>44118</v>
      </c>
      <c r="L237" s="7" t="n">
        <v>44196</v>
      </c>
      <c r="M237" s="5" t="inlineStr">
        <is>
          <t>No</t>
        </is>
      </c>
      <c r="N237" s="5" t="inlineStr">
        <is>
          <t>Resigned</t>
        </is>
      </c>
      <c r="O237" s="8" t="inlineStr">
        <is>
          <t>163000</t>
        </is>
      </c>
      <c r="P237" s="5" t="inlineStr">
        <is>
          <t>10</t>
        </is>
      </c>
      <c r="Q237" s="5" t="inlineStr">
        <is>
          <t>5</t>
        </is>
      </c>
      <c r="R237" s="5" t="inlineStr">
        <is>
          <t>7</t>
        </is>
      </c>
      <c r="S237" s="5" t="inlineStr">
        <is>
          <t>2</t>
        </is>
      </c>
      <c r="T237" s="5" t="inlineStr">
        <is>
          <t>6</t>
        </is>
      </c>
      <c r="U237" s="5" t="inlineStr">
        <is>
          <t>OK</t>
        </is>
      </c>
    </row>
    <row r="238">
      <c r="A238" s="5" t="inlineStr">
        <is>
          <t>E00228</t>
        </is>
      </c>
      <c r="B238" s="5" t="inlineStr">
        <is>
          <t>Female</t>
        </is>
      </c>
      <c r="C238" s="6" t="inlineStr">
        <is>
          <t>36</t>
        </is>
      </c>
      <c r="D238" s="5" t="inlineStr">
        <is>
          <t>Married</t>
        </is>
      </c>
      <c r="E238" s="5" t="inlineStr">
        <is>
          <t>High School</t>
        </is>
      </c>
      <c r="F238" s="5" t="inlineStr">
        <is>
          <t>Customer Support</t>
        </is>
      </c>
      <c r="G238" s="5" t="inlineStr">
        <is>
          <t>Support Lead</t>
        </is>
      </c>
      <c r="H238" s="5" t="inlineStr">
        <is>
          <t>3</t>
        </is>
      </c>
      <c r="I238" s="5" t="inlineStr">
        <is>
          <t>Delhi</t>
        </is>
      </c>
      <c r="J238" s="5" t="inlineStr">
        <is>
          <t>Full-Time</t>
        </is>
      </c>
      <c r="K238" s="7" t="n">
        <v>45574</v>
      </c>
      <c r="L238" s="7" t="inlineStr"/>
      <c r="M238" s="5" t="inlineStr">
        <is>
          <t>Yes</t>
        </is>
      </c>
      <c r="N238" s="5" t="inlineStr"/>
      <c r="O238" s="8" t="inlineStr">
        <is>
          <t>75000</t>
        </is>
      </c>
      <c r="P238" s="5" t="inlineStr">
        <is>
          <t>5</t>
        </is>
      </c>
      <c r="Q238" s="5" t="inlineStr">
        <is>
          <t>4</t>
        </is>
      </c>
      <c r="R238" s="5" t="inlineStr">
        <is>
          <t>7</t>
        </is>
      </c>
      <c r="S238" s="5" t="inlineStr">
        <is>
          <t>14</t>
        </is>
      </c>
      <c r="T238" s="5" t="inlineStr">
        <is>
          <t>6</t>
        </is>
      </c>
      <c r="U238" s="5" t="inlineStr">
        <is>
          <t>OK</t>
        </is>
      </c>
    </row>
    <row r="239">
      <c r="A239" s="5" t="inlineStr">
        <is>
          <t>E02019</t>
        </is>
      </c>
      <c r="B239" s="5" t="inlineStr">
        <is>
          <t>Female</t>
        </is>
      </c>
      <c r="C239" s="6" t="inlineStr">
        <is>
          <t>33</t>
        </is>
      </c>
      <c r="D239" s="5" t="inlineStr">
        <is>
          <t>Married</t>
        </is>
      </c>
      <c r="E239" s="5" t="inlineStr">
        <is>
          <t>Diploma</t>
        </is>
      </c>
      <c r="F239" s="5" t="inlineStr">
        <is>
          <t>Marketing</t>
        </is>
      </c>
      <c r="G239" s="5" t="inlineStr">
        <is>
          <t>Marketing Analyst</t>
        </is>
      </c>
      <c r="H239" s="5" t="inlineStr">
        <is>
          <t>2</t>
        </is>
      </c>
      <c r="I239" s="5" t="inlineStr">
        <is>
          <t>Delhi</t>
        </is>
      </c>
      <c r="J239" s="5" t="inlineStr">
        <is>
          <t>Part-Time</t>
        </is>
      </c>
      <c r="K239" s="7" t="n">
        <v>44339</v>
      </c>
      <c r="L239" s="7" t="inlineStr"/>
      <c r="M239" s="5" t="inlineStr">
        <is>
          <t>Yes</t>
        </is>
      </c>
      <c r="N239" s="5" t="inlineStr"/>
      <c r="O239" s="8" t="inlineStr">
        <is>
          <t>74500</t>
        </is>
      </c>
      <c r="P239" s="5" t="inlineStr">
        <is>
          <t>5</t>
        </is>
      </c>
      <c r="Q239" s="5" t="inlineStr">
        <is>
          <t>5</t>
        </is>
      </c>
      <c r="R239" s="5" t="inlineStr">
        <is>
          <t>3</t>
        </is>
      </c>
      <c r="S239" s="5" t="inlineStr">
        <is>
          <t>56</t>
        </is>
      </c>
      <c r="T239" s="5" t="inlineStr">
        <is>
          <t>4</t>
        </is>
      </c>
      <c r="U239" s="5" t="inlineStr">
        <is>
          <t>OK</t>
        </is>
      </c>
    </row>
    <row r="240">
      <c r="A240" s="5" t="inlineStr">
        <is>
          <t>E01398</t>
        </is>
      </c>
      <c r="B240" s="5" t="inlineStr">
        <is>
          <t>Male</t>
        </is>
      </c>
      <c r="C240" s="6" t="inlineStr">
        <is>
          <t>27</t>
        </is>
      </c>
      <c r="D240" s="5" t="inlineStr">
        <is>
          <t>Married</t>
        </is>
      </c>
      <c r="E240" s="5" t="inlineStr">
        <is>
          <t>PhD</t>
        </is>
      </c>
      <c r="F240" s="5" t="inlineStr">
        <is>
          <t>Marketing</t>
        </is>
      </c>
      <c r="G240" s="5" t="inlineStr">
        <is>
          <t>Marketing Analyst</t>
        </is>
      </c>
      <c r="H240" s="5" t="inlineStr">
        <is>
          <t>3</t>
        </is>
      </c>
      <c r="I240" s="5" t="inlineStr">
        <is>
          <t>Hyderabad</t>
        </is>
      </c>
      <c r="J240" s="5" t="inlineStr">
        <is>
          <t>Full-Time</t>
        </is>
      </c>
      <c r="K240" s="7" t="n">
        <v>45434</v>
      </c>
      <c r="L240" s="7" t="inlineStr"/>
      <c r="M240" s="5" t="inlineStr">
        <is>
          <t>Yes</t>
        </is>
      </c>
      <c r="N240" s="5" t="inlineStr"/>
      <c r="O240" s="8" t="inlineStr">
        <is>
          <t>83500</t>
        </is>
      </c>
      <c r="P240" s="5" t="inlineStr">
        <is>
          <t>0</t>
        </is>
      </c>
      <c r="Q240" s="5" t="inlineStr">
        <is>
          <t>3</t>
        </is>
      </c>
      <c r="R240" s="5" t="inlineStr">
        <is>
          <t>6</t>
        </is>
      </c>
      <c r="S240" s="5" t="inlineStr">
        <is>
          <t>19</t>
        </is>
      </c>
      <c r="T240" s="5" t="inlineStr">
        <is>
          <t>1</t>
        </is>
      </c>
      <c r="U240" s="5" t="inlineStr">
        <is>
          <t>OK</t>
        </is>
      </c>
    </row>
    <row r="241">
      <c r="A241" s="5" t="inlineStr">
        <is>
          <t>E02575</t>
        </is>
      </c>
      <c r="B241" s="5" t="inlineStr">
        <is>
          <t>Male</t>
        </is>
      </c>
      <c r="C241" s="6" t="inlineStr">
        <is>
          <t>34</t>
        </is>
      </c>
      <c r="D241" s="5" t="inlineStr">
        <is>
          <t>Single</t>
        </is>
      </c>
      <c r="E241" s="5" t="inlineStr">
        <is>
          <t>PhD</t>
        </is>
      </c>
      <c r="F241" s="5" t="inlineStr">
        <is>
          <t>Research &amp; Development</t>
        </is>
      </c>
      <c r="G241" s="5" t="inlineStr">
        <is>
          <t>Product Engineer</t>
        </is>
      </c>
      <c r="H241" s="5" t="inlineStr">
        <is>
          <t>5</t>
        </is>
      </c>
      <c r="I241" s="5" t="inlineStr">
        <is>
          <t>Chennai</t>
        </is>
      </c>
      <c r="J241" s="5" t="inlineStr">
        <is>
          <t>Full-Time</t>
        </is>
      </c>
      <c r="K241" s="7" t="n">
        <v>44323</v>
      </c>
      <c r="L241" s="7" t="inlineStr"/>
      <c r="M241" s="5" t="inlineStr">
        <is>
          <t>Yes</t>
        </is>
      </c>
      <c r="N241" s="5" t="inlineStr"/>
      <c r="O241" s="8" t="inlineStr">
        <is>
          <t>151500</t>
        </is>
      </c>
      <c r="P241" s="5" t="inlineStr">
        <is>
          <t>0</t>
        </is>
      </c>
      <c r="Q241" s="5" t="inlineStr">
        <is>
          <t>5</t>
        </is>
      </c>
      <c r="R241" s="5" t="inlineStr">
        <is>
          <t>8</t>
        </is>
      </c>
      <c r="S241" s="5" t="inlineStr">
        <is>
          <t>56</t>
        </is>
      </c>
      <c r="T241" s="5" t="inlineStr">
        <is>
          <t>12</t>
        </is>
      </c>
      <c r="U241" s="5" t="inlineStr">
        <is>
          <t>OK</t>
        </is>
      </c>
    </row>
    <row r="242">
      <c r="A242" s="5" t="inlineStr">
        <is>
          <t>E00055</t>
        </is>
      </c>
      <c r="B242" s="5" t="inlineStr">
        <is>
          <t>Male</t>
        </is>
      </c>
      <c r="C242" s="6" t="inlineStr">
        <is>
          <t>32</t>
        </is>
      </c>
      <c r="D242" s="5" t="inlineStr">
        <is>
          <t>Married</t>
        </is>
      </c>
      <c r="E242" s="5" t="inlineStr">
        <is>
          <t>Master</t>
        </is>
      </c>
      <c r="F242" s="5" t="inlineStr">
        <is>
          <t>Customer Support</t>
        </is>
      </c>
      <c r="G242" s="5" t="inlineStr">
        <is>
          <t>Escalation Specialist</t>
        </is>
      </c>
      <c r="H242" s="5" t="inlineStr">
        <is>
          <t>3</t>
        </is>
      </c>
      <c r="I242" s="5" t="inlineStr">
        <is>
          <t>Hyderabad</t>
        </is>
      </c>
      <c r="J242" s="5" t="inlineStr">
        <is>
          <t>Full-Time</t>
        </is>
      </c>
      <c r="K242" s="7" t="n">
        <v>44925</v>
      </c>
      <c r="L242" s="7" t="n">
        <v>45044</v>
      </c>
      <c r="M242" s="5" t="inlineStr">
        <is>
          <t>No</t>
        </is>
      </c>
      <c r="N242" s="5" t="inlineStr">
        <is>
          <t>Resigned</t>
        </is>
      </c>
      <c r="O242" s="8" t="inlineStr">
        <is>
          <t>69000</t>
        </is>
      </c>
      <c r="P242" s="5" t="inlineStr">
        <is>
          <t>0</t>
        </is>
      </c>
      <c r="Q242" s="5" t="inlineStr">
        <is>
          <t>4</t>
        </is>
      </c>
      <c r="R242" s="5" t="inlineStr">
        <is>
          <t>2</t>
        </is>
      </c>
      <c r="S242" s="5" t="inlineStr">
        <is>
          <t>3</t>
        </is>
      </c>
      <c r="T242" s="5" t="inlineStr">
        <is>
          <t>4</t>
        </is>
      </c>
      <c r="U242" s="5" t="inlineStr">
        <is>
          <t>OK</t>
        </is>
      </c>
    </row>
    <row r="243">
      <c r="A243" s="5" t="inlineStr">
        <is>
          <t>E02949</t>
        </is>
      </c>
      <c r="B243" s="5" t="inlineStr">
        <is>
          <t>Unknown</t>
        </is>
      </c>
      <c r="C243" s="6" t="inlineStr">
        <is>
          <t>30</t>
        </is>
      </c>
      <c r="D243" s="5" t="inlineStr">
        <is>
          <t>Single</t>
        </is>
      </c>
      <c r="E243" s="5" t="inlineStr">
        <is>
          <t>Diploma</t>
        </is>
      </c>
      <c r="F243" s="5" t="inlineStr">
        <is>
          <t>Marketing</t>
        </is>
      </c>
      <c r="G243" s="5" t="inlineStr">
        <is>
          <t>Marketing Analyst</t>
        </is>
      </c>
      <c r="H243" s="5" t="inlineStr">
        <is>
          <t>2</t>
        </is>
      </c>
      <c r="I243" s="5" t="inlineStr">
        <is>
          <t>Bengaluru</t>
        </is>
      </c>
      <c r="J243" s="5" t="inlineStr">
        <is>
          <t>Full-Time</t>
        </is>
      </c>
      <c r="K243" s="7" t="n">
        <v>45473</v>
      </c>
      <c r="L243" s="7" t="inlineStr"/>
      <c r="M243" s="5" t="inlineStr">
        <is>
          <t>Yes</t>
        </is>
      </c>
      <c r="N243" s="5" t="inlineStr"/>
      <c r="O243" s="8" t="inlineStr">
        <is>
          <t>85500</t>
        </is>
      </c>
      <c r="P243" s="5" t="inlineStr">
        <is>
          <t>5</t>
        </is>
      </c>
      <c r="Q243" s="5" t="inlineStr">
        <is>
          <t>3</t>
        </is>
      </c>
      <c r="R243" s="5" t="inlineStr">
        <is>
          <t>6</t>
        </is>
      </c>
      <c r="S243" s="5" t="inlineStr">
        <is>
          <t>18</t>
        </is>
      </c>
      <c r="T243" s="5" t="inlineStr">
        <is>
          <t>4</t>
        </is>
      </c>
      <c r="U243" s="5" t="inlineStr">
        <is>
          <t>Bad gender</t>
        </is>
      </c>
    </row>
    <row r="244">
      <c r="A244" s="5" t="inlineStr">
        <is>
          <t>E01519</t>
        </is>
      </c>
      <c r="B244" s="5" t="inlineStr">
        <is>
          <t>Female</t>
        </is>
      </c>
      <c r="C244" s="6" t="inlineStr">
        <is>
          <t>33</t>
        </is>
      </c>
      <c r="D244" s="5" t="inlineStr">
        <is>
          <t>Married</t>
        </is>
      </c>
      <c r="E244" s="5" t="inlineStr">
        <is>
          <t>High School</t>
        </is>
      </c>
      <c r="F244" s="5" t="inlineStr">
        <is>
          <t>Customer Support</t>
        </is>
      </c>
      <c r="G244" s="5" t="inlineStr">
        <is>
          <t>Support Agent</t>
        </is>
      </c>
      <c r="H244" s="5" t="inlineStr">
        <is>
          <t>2</t>
        </is>
      </c>
      <c r="I244" s="5" t="inlineStr">
        <is>
          <t>Chennai</t>
        </is>
      </c>
      <c r="J244" s="5" t="inlineStr">
        <is>
          <t>Full-Time</t>
        </is>
      </c>
      <c r="K244" s="7" t="n">
        <v>43950</v>
      </c>
      <c r="L244" s="7" t="n">
        <v>44044</v>
      </c>
      <c r="M244" s="5" t="inlineStr">
        <is>
          <t>No</t>
        </is>
      </c>
      <c r="N244" s="5" t="inlineStr">
        <is>
          <t>Resigned</t>
        </is>
      </c>
      <c r="O244" s="8" t="inlineStr">
        <is>
          <t>76000</t>
        </is>
      </c>
      <c r="P244" s="5" t="inlineStr">
        <is>
          <t>5</t>
        </is>
      </c>
      <c r="Q244" s="5" t="inlineStr">
        <is>
          <t>5</t>
        </is>
      </c>
      <c r="R244" s="5" t="inlineStr">
        <is>
          <t>8</t>
        </is>
      </c>
      <c r="S244" s="5" t="inlineStr">
        <is>
          <t>3</t>
        </is>
      </c>
      <c r="T244" s="5" t="inlineStr">
        <is>
          <t>5</t>
        </is>
      </c>
      <c r="U244" s="5" t="inlineStr">
        <is>
          <t>OK</t>
        </is>
      </c>
    </row>
    <row r="245">
      <c r="A245" s="5" t="inlineStr">
        <is>
          <t>E00462</t>
        </is>
      </c>
      <c r="B245" s="5" t="inlineStr">
        <is>
          <t>Female</t>
        </is>
      </c>
      <c r="C245" s="6" t="inlineStr">
        <is>
          <t>31</t>
        </is>
      </c>
      <c r="D245" s="5" t="inlineStr">
        <is>
          <t>Married</t>
        </is>
      </c>
      <c r="E245" s="5" t="inlineStr">
        <is>
          <t>PhD</t>
        </is>
      </c>
      <c r="F245" s="5" t="inlineStr">
        <is>
          <t>IT</t>
        </is>
      </c>
      <c r="G245" s="5" t="inlineStr">
        <is>
          <t>Data Analyst</t>
        </is>
      </c>
      <c r="H245" s="5" t="inlineStr">
        <is>
          <t>3</t>
        </is>
      </c>
      <c r="I245" s="5" t="inlineStr">
        <is>
          <t>Chennai</t>
        </is>
      </c>
      <c r="J245" s="5" t="inlineStr">
        <is>
          <t>Full-Time</t>
        </is>
      </c>
      <c r="K245" s="7" t="n">
        <v>44780</v>
      </c>
      <c r="L245" s="7" t="inlineStr"/>
      <c r="M245" s="5" t="inlineStr">
        <is>
          <t>Yes</t>
        </is>
      </c>
      <c r="N245" s="5" t="inlineStr"/>
      <c r="O245" s="8" t="inlineStr">
        <is>
          <t>139500</t>
        </is>
      </c>
      <c r="P245" s="5" t="inlineStr">
        <is>
          <t>20</t>
        </is>
      </c>
      <c r="Q245" s="5" t="inlineStr">
        <is>
          <t>2</t>
        </is>
      </c>
      <c r="R245" s="5" t="inlineStr">
        <is>
          <t>3</t>
        </is>
      </c>
      <c r="S245" s="5" t="inlineStr">
        <is>
          <t>41</t>
        </is>
      </c>
      <c r="T245" s="5" t="inlineStr">
        <is>
          <t>10</t>
        </is>
      </c>
      <c r="U245" s="5" t="inlineStr">
        <is>
          <t>OK</t>
        </is>
      </c>
    </row>
    <row r="246">
      <c r="A246" s="5" t="inlineStr">
        <is>
          <t>E02218</t>
        </is>
      </c>
      <c r="B246" s="5" t="inlineStr">
        <is>
          <t>Male</t>
        </is>
      </c>
      <c r="C246" s="6" t="inlineStr">
        <is>
          <t>26</t>
        </is>
      </c>
      <c r="D246" s="5" t="inlineStr">
        <is>
          <t>Married</t>
        </is>
      </c>
      <c r="E246" s="5" t="inlineStr">
        <is>
          <t>Master</t>
        </is>
      </c>
      <c r="F246" s="5" t="inlineStr">
        <is>
          <t>Sales</t>
        </is>
      </c>
      <c r="G246" s="5" t="inlineStr">
        <is>
          <t>Sales Executive</t>
        </is>
      </c>
      <c r="H246" s="5" t="inlineStr">
        <is>
          <t>2</t>
        </is>
      </c>
      <c r="I246" s="5" t="inlineStr">
        <is>
          <t>Chennai</t>
        </is>
      </c>
      <c r="J246" s="5" t="inlineStr">
        <is>
          <t>Full-Time</t>
        </is>
      </c>
      <c r="K246" s="7" t="n">
        <v>44673</v>
      </c>
      <c r="L246" s="7" t="inlineStr"/>
      <c r="M246" s="5" t="inlineStr">
        <is>
          <t>Yes</t>
        </is>
      </c>
      <c r="N246" s="5" t="inlineStr"/>
      <c r="O246" s="8" t="inlineStr">
        <is>
          <t>82000</t>
        </is>
      </c>
      <c r="P246" s="5" t="inlineStr">
        <is>
          <t>5</t>
        </is>
      </c>
      <c r="Q246" s="5" t="inlineStr">
        <is>
          <t>4</t>
        </is>
      </c>
      <c r="R246" s="5" t="inlineStr">
        <is>
          <t>5</t>
        </is>
      </c>
      <c r="S246" s="5" t="inlineStr">
        <is>
          <t>44</t>
        </is>
      </c>
      <c r="T246" s="5" t="inlineStr">
        <is>
          <t>0</t>
        </is>
      </c>
      <c r="U246" s="5" t="inlineStr">
        <is>
          <t>OK</t>
        </is>
      </c>
    </row>
    <row r="247">
      <c r="A247" s="5" t="inlineStr">
        <is>
          <t>E00090</t>
        </is>
      </c>
      <c r="B247" s="5" t="inlineStr">
        <is>
          <t>Male</t>
        </is>
      </c>
      <c r="C247" s="6" t="inlineStr">
        <is>
          <t>30</t>
        </is>
      </c>
      <c r="D247" s="5" t="inlineStr">
        <is>
          <t>Married</t>
        </is>
      </c>
      <c r="E247" s="5" t="inlineStr">
        <is>
          <t>High School</t>
        </is>
      </c>
      <c r="F247" s="5" t="inlineStr">
        <is>
          <t>Finance</t>
        </is>
      </c>
      <c r="G247" s="5" t="inlineStr">
        <is>
          <t>Credit Analyst</t>
        </is>
      </c>
      <c r="H247" s="5" t="inlineStr">
        <is>
          <t>2</t>
        </is>
      </c>
      <c r="I247" s="5" t="inlineStr">
        <is>
          <t>Hyderabad</t>
        </is>
      </c>
      <c r="J247" s="5" t="inlineStr">
        <is>
          <t>Full-Time</t>
        </is>
      </c>
      <c r="K247" s="7" t="n">
        <v>45587</v>
      </c>
      <c r="L247" s="7" t="inlineStr"/>
      <c r="M247" s="5" t="inlineStr">
        <is>
          <t>Yes</t>
        </is>
      </c>
      <c r="N247" s="5" t="inlineStr"/>
      <c r="O247" s="8" t="inlineStr">
        <is>
          <t>120000</t>
        </is>
      </c>
      <c r="P247" s="5" t="inlineStr">
        <is>
          <t>5</t>
        </is>
      </c>
      <c r="Q247" s="5" t="inlineStr">
        <is>
          <t>3</t>
        </is>
      </c>
      <c r="R247" s="5" t="inlineStr">
        <is>
          <t>8</t>
        </is>
      </c>
      <c r="S247" s="5" t="inlineStr">
        <is>
          <t>14</t>
        </is>
      </c>
      <c r="T247" s="5" t="inlineStr">
        <is>
          <t>3</t>
        </is>
      </c>
      <c r="U247" s="5" t="inlineStr">
        <is>
          <t>OK</t>
        </is>
      </c>
    </row>
    <row r="248">
      <c r="A248" s="5" t="inlineStr">
        <is>
          <t>E00885</t>
        </is>
      </c>
      <c r="B248" s="5" t="inlineStr">
        <is>
          <t>Unknown</t>
        </is>
      </c>
      <c r="C248" s="6" t="inlineStr">
        <is>
          <t>25</t>
        </is>
      </c>
      <c r="D248" s="5" t="inlineStr">
        <is>
          <t>Married</t>
        </is>
      </c>
      <c r="E248" s="5" t="inlineStr">
        <is>
          <t>High School</t>
        </is>
      </c>
      <c r="F248" s="5" t="inlineStr">
        <is>
          <t>Sales</t>
        </is>
      </c>
      <c r="G248" s="5" t="inlineStr">
        <is>
          <t>Business Development</t>
        </is>
      </c>
      <c r="H248" s="5" t="inlineStr">
        <is>
          <t>2</t>
        </is>
      </c>
      <c r="I248" s="5" t="inlineStr">
        <is>
          <t>Bengaluru</t>
        </is>
      </c>
      <c r="J248" s="5" t="inlineStr">
        <is>
          <t>Full-Time</t>
        </is>
      </c>
      <c r="K248" s="7" t="n">
        <v>45063</v>
      </c>
      <c r="L248" s="7" t="inlineStr"/>
      <c r="M248" s="5" t="inlineStr">
        <is>
          <t>Yes</t>
        </is>
      </c>
      <c r="N248" s="5" t="inlineStr"/>
      <c r="O248" s="8" t="inlineStr">
        <is>
          <t>93000</t>
        </is>
      </c>
      <c r="P248" s="5" t="inlineStr">
        <is>
          <t>0</t>
        </is>
      </c>
      <c r="Q248" s="5" t="inlineStr">
        <is>
          <t>5</t>
        </is>
      </c>
      <c r="R248" s="5" t="inlineStr">
        <is>
          <t>4</t>
        </is>
      </c>
      <c r="S248" s="5" t="inlineStr">
        <is>
          <t>31</t>
        </is>
      </c>
      <c r="T248" s="5" t="inlineStr">
        <is>
          <t>2</t>
        </is>
      </c>
      <c r="U248" s="5" t="inlineStr">
        <is>
          <t>Bad gender</t>
        </is>
      </c>
    </row>
    <row r="249">
      <c r="A249" s="5" t="inlineStr">
        <is>
          <t>E02261</t>
        </is>
      </c>
      <c r="B249" s="5" t="inlineStr">
        <is>
          <t>Female</t>
        </is>
      </c>
      <c r="C249" s="6" t="inlineStr">
        <is>
          <t>37</t>
        </is>
      </c>
      <c r="D249" s="5" t="inlineStr">
        <is>
          <t>Married</t>
        </is>
      </c>
      <c r="E249" s="5" t="inlineStr">
        <is>
          <t>PhD</t>
        </is>
      </c>
      <c r="F249" s="5" t="inlineStr">
        <is>
          <t>Customer Support</t>
        </is>
      </c>
      <c r="G249" s="5" t="inlineStr">
        <is>
          <t>Escalation Specialist</t>
        </is>
      </c>
      <c r="H249" s="5" t="inlineStr">
        <is>
          <t>4</t>
        </is>
      </c>
      <c r="I249" s="5" t="inlineStr">
        <is>
          <t>Remote</t>
        </is>
      </c>
      <c r="J249" s="5" t="inlineStr">
        <is>
          <t>Full-Time</t>
        </is>
      </c>
      <c r="K249" s="7" t="n">
        <v>44498</v>
      </c>
      <c r="L249" s="7" t="n">
        <v>44576</v>
      </c>
      <c r="M249" s="5" t="inlineStr">
        <is>
          <t>No</t>
        </is>
      </c>
      <c r="N249" s="5" t="inlineStr">
        <is>
          <t>Resigned</t>
        </is>
      </c>
      <c r="O249" s="8" t="inlineStr">
        <is>
          <t>97500</t>
        </is>
      </c>
      <c r="P249" s="5" t="inlineStr">
        <is>
          <t>5</t>
        </is>
      </c>
      <c r="Q249" s="5" t="inlineStr">
        <is>
          <t>3</t>
        </is>
      </c>
      <c r="R249" s="5" t="inlineStr">
        <is>
          <t>9</t>
        </is>
      </c>
      <c r="S249" s="5" t="inlineStr">
        <is>
          <t>2</t>
        </is>
      </c>
      <c r="T249" s="5" t="inlineStr">
        <is>
          <t>0</t>
        </is>
      </c>
      <c r="U249" s="5" t="inlineStr">
        <is>
          <t>OK</t>
        </is>
      </c>
    </row>
    <row r="250">
      <c r="A250" s="5" t="inlineStr">
        <is>
          <t>E01871</t>
        </is>
      </c>
      <c r="B250" s="5" t="inlineStr">
        <is>
          <t>Female</t>
        </is>
      </c>
      <c r="C250" s="6" t="inlineStr">
        <is>
          <t>29</t>
        </is>
      </c>
      <c r="D250" s="5" t="inlineStr">
        <is>
          <t>Married</t>
        </is>
      </c>
      <c r="E250" s="5" t="inlineStr">
        <is>
          <t>Diploma</t>
        </is>
      </c>
      <c r="F250" s="5" t="inlineStr">
        <is>
          <t>Finance</t>
        </is>
      </c>
      <c r="G250" s="5" t="inlineStr">
        <is>
          <t>Credit Analyst</t>
        </is>
      </c>
      <c r="H250" s="5" t="inlineStr">
        <is>
          <t>1</t>
        </is>
      </c>
      <c r="I250" s="5" t="inlineStr">
        <is>
          <t>Bengaluru</t>
        </is>
      </c>
      <c r="J250" s="5" t="inlineStr">
        <is>
          <t>Full-Time</t>
        </is>
      </c>
      <c r="K250" s="7" t="n">
        <v>43933</v>
      </c>
      <c r="L250" s="7" t="inlineStr"/>
      <c r="M250" s="5" t="inlineStr">
        <is>
          <t>Yes</t>
        </is>
      </c>
      <c r="N250" s="5" t="inlineStr"/>
      <c r="O250" s="8" t="inlineStr">
        <is>
          <t>71000</t>
        </is>
      </c>
      <c r="P250" s="5" t="inlineStr">
        <is>
          <t>5</t>
        </is>
      </c>
      <c r="Q250" s="5" t="inlineStr">
        <is>
          <t>5</t>
        </is>
      </c>
      <c r="R250" s="5" t="inlineStr">
        <is>
          <t>5</t>
        </is>
      </c>
      <c r="S250" s="5" t="inlineStr">
        <is>
          <t>69</t>
        </is>
      </c>
      <c r="T250" s="5" t="inlineStr">
        <is>
          <t>2</t>
        </is>
      </c>
      <c r="U250" s="5" t="inlineStr">
        <is>
          <t>OK</t>
        </is>
      </c>
    </row>
    <row r="251">
      <c r="A251" s="5" t="inlineStr">
        <is>
          <t>E02883</t>
        </is>
      </c>
      <c r="B251" s="5" t="inlineStr">
        <is>
          <t>Female</t>
        </is>
      </c>
      <c r="C251" s="6" t="inlineStr">
        <is>
          <t>37</t>
        </is>
      </c>
      <c r="D251" s="5" t="inlineStr">
        <is>
          <t>Married</t>
        </is>
      </c>
      <c r="E251" s="5" t="inlineStr">
        <is>
          <t>Bachelor</t>
        </is>
      </c>
      <c r="F251" s="5" t="inlineStr">
        <is>
          <t>Finance</t>
        </is>
      </c>
      <c r="G251" s="5" t="inlineStr">
        <is>
          <t>Accountant</t>
        </is>
      </c>
      <c r="H251" s="5" t="inlineStr">
        <is>
          <t>3</t>
        </is>
      </c>
      <c r="I251" s="5" t="inlineStr">
        <is>
          <t>Bengaluru</t>
        </is>
      </c>
      <c r="J251" s="5" t="inlineStr">
        <is>
          <t>Full-Time</t>
        </is>
      </c>
      <c r="K251" s="7" t="n">
        <v>45974</v>
      </c>
      <c r="L251" s="7" t="inlineStr"/>
      <c r="M251" s="5" t="inlineStr">
        <is>
          <t>Yes</t>
        </is>
      </c>
      <c r="N251" s="5" t="inlineStr"/>
      <c r="O251" s="8" t="inlineStr">
        <is>
          <t>93500</t>
        </is>
      </c>
      <c r="P251" s="5" t="inlineStr">
        <is>
          <t>0</t>
        </is>
      </c>
      <c r="Q251" s="5" t="inlineStr">
        <is>
          <t>4</t>
        </is>
      </c>
      <c r="R251" s="5" t="inlineStr">
        <is>
          <t>6</t>
        </is>
      </c>
      <c r="S251" s="5" t="inlineStr">
        <is>
          <t>1</t>
        </is>
      </c>
      <c r="T251" s="5" t="inlineStr">
        <is>
          <t>5</t>
        </is>
      </c>
      <c r="U251" s="5" t="inlineStr">
        <is>
          <t>OK</t>
        </is>
      </c>
    </row>
    <row r="252">
      <c r="A252" s="5" t="inlineStr">
        <is>
          <t>E02186</t>
        </is>
      </c>
      <c r="B252" s="5" t="inlineStr">
        <is>
          <t>Female</t>
        </is>
      </c>
      <c r="C252" s="6" t="inlineStr">
        <is>
          <t>34</t>
        </is>
      </c>
      <c r="D252" s="5" t="inlineStr">
        <is>
          <t>Married</t>
        </is>
      </c>
      <c r="E252" s="5" t="inlineStr">
        <is>
          <t>PhD</t>
        </is>
      </c>
      <c r="F252" s="5" t="inlineStr">
        <is>
          <t>Marketing</t>
        </is>
      </c>
      <c r="G252" s="5" t="inlineStr">
        <is>
          <t>Marketing Analyst</t>
        </is>
      </c>
      <c r="H252" s="5" t="inlineStr">
        <is>
          <t>4</t>
        </is>
      </c>
      <c r="I252" s="5" t="inlineStr">
        <is>
          <t>Hyderabad</t>
        </is>
      </c>
      <c r="J252" s="5" t="inlineStr">
        <is>
          <t>Full-Time</t>
        </is>
      </c>
      <c r="K252" s="7" t="n">
        <v>43935</v>
      </c>
      <c r="L252" s="7" t="inlineStr"/>
      <c r="M252" s="5" t="inlineStr">
        <is>
          <t>Yes</t>
        </is>
      </c>
      <c r="N252" s="5" t="inlineStr"/>
      <c r="O252" s="8" t="inlineStr">
        <is>
          <t>92500</t>
        </is>
      </c>
      <c r="P252" s="5" t="inlineStr">
        <is>
          <t>15</t>
        </is>
      </c>
      <c r="Q252" s="5" t="inlineStr">
        <is>
          <t>5</t>
        </is>
      </c>
      <c r="R252" s="5" t="inlineStr">
        <is>
          <t>6</t>
        </is>
      </c>
      <c r="S252" s="5" t="inlineStr">
        <is>
          <t>69</t>
        </is>
      </c>
      <c r="T252" s="5" t="inlineStr">
        <is>
          <t>0</t>
        </is>
      </c>
      <c r="U252" s="5" t="inlineStr">
        <is>
          <t>OK</t>
        </is>
      </c>
    </row>
    <row r="253">
      <c r="A253" s="5" t="inlineStr">
        <is>
          <t>E01367</t>
        </is>
      </c>
      <c r="B253" s="5" t="inlineStr">
        <is>
          <t>Female</t>
        </is>
      </c>
      <c r="C253" s="6" t="inlineStr">
        <is>
          <t>36</t>
        </is>
      </c>
      <c r="D253" s="5" t="inlineStr">
        <is>
          <t>Married</t>
        </is>
      </c>
      <c r="E253" s="5" t="inlineStr">
        <is>
          <t>PhD</t>
        </is>
      </c>
      <c r="F253" s="5" t="inlineStr">
        <is>
          <t>Executive</t>
        </is>
      </c>
      <c r="G253" s="5" t="inlineStr">
        <is>
          <t>CEO</t>
        </is>
      </c>
      <c r="H253" s="5" t="inlineStr">
        <is>
          <t>3</t>
        </is>
      </c>
      <c r="I253" s="5" t="inlineStr">
        <is>
          <t>Mumbai</t>
        </is>
      </c>
      <c r="J253" s="5" t="inlineStr">
        <is>
          <t>Full-Time</t>
        </is>
      </c>
      <c r="K253" s="7" t="n">
        <v>45824</v>
      </c>
      <c r="L253" s="7" t="inlineStr"/>
      <c r="M253" s="5" t="inlineStr">
        <is>
          <t>Yes</t>
        </is>
      </c>
      <c r="N253" s="5" t="inlineStr"/>
      <c r="O253" s="8" t="inlineStr">
        <is>
          <t>305500</t>
        </is>
      </c>
      <c r="P253" s="5" t="inlineStr">
        <is>
          <t>5</t>
        </is>
      </c>
      <c r="Q253" s="5" t="inlineStr">
        <is>
          <t>3</t>
        </is>
      </c>
      <c r="R253" s="5" t="inlineStr">
        <is>
          <t>6</t>
        </is>
      </c>
      <c r="S253" s="5" t="inlineStr">
        <is>
          <t>6</t>
        </is>
      </c>
      <c r="T253" s="5" t="inlineStr">
        <is>
          <t>4</t>
        </is>
      </c>
      <c r="U253" s="5" t="inlineStr">
        <is>
          <t>OK</t>
        </is>
      </c>
    </row>
    <row r="254">
      <c r="A254" s="5" t="inlineStr">
        <is>
          <t>E01235</t>
        </is>
      </c>
      <c r="B254" s="5" t="inlineStr">
        <is>
          <t>Male</t>
        </is>
      </c>
      <c r="C254" s="6" t="inlineStr">
        <is>
          <t>40</t>
        </is>
      </c>
      <c r="D254" s="5" t="inlineStr">
        <is>
          <t>Single</t>
        </is>
      </c>
      <c r="E254" s="5" t="inlineStr">
        <is>
          <t>Master</t>
        </is>
      </c>
      <c r="F254" s="5" t="inlineStr">
        <is>
          <t>Finance</t>
        </is>
      </c>
      <c r="G254" s="5" t="inlineStr">
        <is>
          <t>Credit Analyst</t>
        </is>
      </c>
      <c r="H254" s="5" t="inlineStr">
        <is>
          <t>4</t>
        </is>
      </c>
      <c r="I254" s="5" t="inlineStr">
        <is>
          <t>Bengaluru</t>
        </is>
      </c>
      <c r="J254" s="5" t="inlineStr">
        <is>
          <t>Full-Time</t>
        </is>
      </c>
      <c r="K254" s="7" t="n">
        <v>45498</v>
      </c>
      <c r="L254" s="7" t="inlineStr"/>
      <c r="M254" s="5" t="inlineStr">
        <is>
          <t>Yes</t>
        </is>
      </c>
      <c r="N254" s="5" t="inlineStr"/>
      <c r="O254" s="8" t="inlineStr">
        <is>
          <t>128000</t>
        </is>
      </c>
      <c r="P254" s="5" t="inlineStr">
        <is>
          <t>0</t>
        </is>
      </c>
      <c r="Q254" s="5" t="inlineStr">
        <is>
          <t>4</t>
        </is>
      </c>
      <c r="R254" s="5" t="inlineStr">
        <is>
          <t>7</t>
        </is>
      </c>
      <c r="S254" s="5" t="inlineStr">
        <is>
          <t>17</t>
        </is>
      </c>
      <c r="T254" s="5" t="inlineStr">
        <is>
          <t>0</t>
        </is>
      </c>
      <c r="U254" s="5" t="inlineStr">
        <is>
          <t>OK</t>
        </is>
      </c>
    </row>
    <row r="255">
      <c r="A255" s="5" t="inlineStr">
        <is>
          <t>E01464</t>
        </is>
      </c>
      <c r="B255" s="5" t="inlineStr">
        <is>
          <t>Female</t>
        </is>
      </c>
      <c r="C255" s="6" t="inlineStr">
        <is>
          <t>32</t>
        </is>
      </c>
      <c r="D255" s="5" t="inlineStr">
        <is>
          <t>Single</t>
        </is>
      </c>
      <c r="E255" s="5" t="inlineStr">
        <is>
          <t>Master</t>
        </is>
      </c>
      <c r="F255" s="5" t="inlineStr">
        <is>
          <t>Marketing</t>
        </is>
      </c>
      <c r="G255" s="5" t="inlineStr">
        <is>
          <t>Content Writer</t>
        </is>
      </c>
      <c r="H255" s="5" t="inlineStr">
        <is>
          <t>1</t>
        </is>
      </c>
      <c r="I255" s="5" t="inlineStr">
        <is>
          <t>Bengaluru</t>
        </is>
      </c>
      <c r="J255" s="5" t="inlineStr">
        <is>
          <t>Full-Time</t>
        </is>
      </c>
      <c r="K255" s="7" t="n">
        <v>44778</v>
      </c>
      <c r="L255" s="7" t="n">
        <v>44912</v>
      </c>
      <c r="M255" s="5" t="inlineStr">
        <is>
          <t>No</t>
        </is>
      </c>
      <c r="N255" s="5" t="inlineStr">
        <is>
          <t>Relocation</t>
        </is>
      </c>
      <c r="O255" s="8" t="inlineStr">
        <is>
          <t>56500</t>
        </is>
      </c>
      <c r="P255" s="5" t="inlineStr">
        <is>
          <t>0</t>
        </is>
      </c>
      <c r="Q255" s="5" t="inlineStr">
        <is>
          <t>3</t>
        </is>
      </c>
      <c r="R255" s="5" t="inlineStr">
        <is>
          <t>4</t>
        </is>
      </c>
      <c r="S255" s="5" t="inlineStr">
        <is>
          <t>4</t>
        </is>
      </c>
      <c r="T255" s="5" t="inlineStr">
        <is>
          <t>10</t>
        </is>
      </c>
      <c r="U255" s="5" t="inlineStr">
        <is>
          <t>OK</t>
        </is>
      </c>
    </row>
    <row r="256">
      <c r="A256" s="5" t="inlineStr">
        <is>
          <t>E01327</t>
        </is>
      </c>
      <c r="B256" s="5" t="inlineStr">
        <is>
          <t>Female</t>
        </is>
      </c>
      <c r="C256" s="6" t="inlineStr">
        <is>
          <t>31</t>
        </is>
      </c>
      <c r="D256" s="5" t="inlineStr">
        <is>
          <t>Single</t>
        </is>
      </c>
      <c r="E256" s="5" t="inlineStr">
        <is>
          <t>High School</t>
        </is>
      </c>
      <c r="F256" s="5" t="inlineStr">
        <is>
          <t>Finance</t>
        </is>
      </c>
      <c r="G256" s="5" t="inlineStr">
        <is>
          <t>Accountant</t>
        </is>
      </c>
      <c r="H256" s="5" t="inlineStr">
        <is>
          <t>5</t>
        </is>
      </c>
      <c r="I256" s="5" t="inlineStr">
        <is>
          <t>Delhi</t>
        </is>
      </c>
      <c r="J256" s="5" t="inlineStr">
        <is>
          <t>Full-Time</t>
        </is>
      </c>
      <c r="K256" s="7" t="n">
        <v>44257</v>
      </c>
      <c r="L256" s="7" t="inlineStr"/>
      <c r="M256" s="5" t="inlineStr">
        <is>
          <t>Yes</t>
        </is>
      </c>
      <c r="N256" s="5" t="inlineStr"/>
      <c r="O256" s="8" t="inlineStr">
        <is>
          <t>108000</t>
        </is>
      </c>
      <c r="P256" s="5" t="inlineStr">
        <is>
          <t>0</t>
        </is>
      </c>
      <c r="Q256" s="5" t="inlineStr">
        <is>
          <t>3</t>
        </is>
      </c>
      <c r="R256" s="5" t="inlineStr">
        <is>
          <t>5</t>
        </is>
      </c>
      <c r="S256" s="5" t="inlineStr">
        <is>
          <t>58</t>
        </is>
      </c>
      <c r="T256" s="5" t="inlineStr">
        <is>
          <t>12</t>
        </is>
      </c>
      <c r="U256" s="5" t="inlineStr">
        <is>
          <t>OK</t>
        </is>
      </c>
    </row>
    <row r="257">
      <c r="A257" s="5" t="inlineStr">
        <is>
          <t>E02844</t>
        </is>
      </c>
      <c r="B257" s="5" t="inlineStr">
        <is>
          <t>Male</t>
        </is>
      </c>
      <c r="C257" s="6" t="inlineStr">
        <is>
          <t>30</t>
        </is>
      </c>
      <c r="D257" s="5" t="inlineStr">
        <is>
          <t>Married</t>
        </is>
      </c>
      <c r="E257" s="5" t="inlineStr">
        <is>
          <t>Master</t>
        </is>
      </c>
      <c r="F257" s="5" t="inlineStr">
        <is>
          <t>Customer Support</t>
        </is>
      </c>
      <c r="G257" s="5" t="inlineStr">
        <is>
          <t>Support Agent</t>
        </is>
      </c>
      <c r="H257" s="5" t="inlineStr">
        <is>
          <t>2</t>
        </is>
      </c>
      <c r="I257" s="5" t="inlineStr">
        <is>
          <t>Hyderabad</t>
        </is>
      </c>
      <c r="J257" s="5" t="inlineStr">
        <is>
          <t>Full-Time</t>
        </is>
      </c>
      <c r="K257" s="7" t="n">
        <v>45650</v>
      </c>
      <c r="L257" s="7" t="inlineStr"/>
      <c r="M257" s="5" t="inlineStr">
        <is>
          <t>Yes</t>
        </is>
      </c>
      <c r="N257" s="5" t="inlineStr"/>
      <c r="O257" s="8" t="inlineStr">
        <is>
          <t>62500</t>
        </is>
      </c>
      <c r="P257" s="5" t="inlineStr">
        <is>
          <t>0</t>
        </is>
      </c>
      <c r="Q257" s="5" t="inlineStr">
        <is>
          <t>3</t>
        </is>
      </c>
      <c r="R257" s="5" t="inlineStr">
        <is>
          <t>7</t>
        </is>
      </c>
      <c r="S257" s="5" t="inlineStr">
        <is>
          <t>12</t>
        </is>
      </c>
      <c r="T257" s="5" t="inlineStr">
        <is>
          <t>6</t>
        </is>
      </c>
      <c r="U257" s="5" t="inlineStr">
        <is>
          <t>OK</t>
        </is>
      </c>
    </row>
    <row r="258">
      <c r="A258" s="5" t="inlineStr">
        <is>
          <t>E00644</t>
        </is>
      </c>
      <c r="B258" s="5" t="inlineStr">
        <is>
          <t>Male</t>
        </is>
      </c>
      <c r="C258" s="6" t="inlineStr">
        <is>
          <t>27</t>
        </is>
      </c>
      <c r="D258" s="5" t="inlineStr">
        <is>
          <t>Married</t>
        </is>
      </c>
      <c r="E258" s="5" t="inlineStr">
        <is>
          <t>Diploma</t>
        </is>
      </c>
      <c r="F258" s="5" t="inlineStr">
        <is>
          <t>IT</t>
        </is>
      </c>
      <c r="G258" s="5" t="inlineStr">
        <is>
          <t>Data Analyst</t>
        </is>
      </c>
      <c r="H258" s="5" t="inlineStr">
        <is>
          <t>3</t>
        </is>
      </c>
      <c r="I258" s="5" t="inlineStr">
        <is>
          <t>Bengaluru</t>
        </is>
      </c>
      <c r="J258" s="5" t="inlineStr">
        <is>
          <t>Part-Time</t>
        </is>
      </c>
      <c r="K258" s="7" t="n">
        <v>45760</v>
      </c>
      <c r="L258" s="7" t="inlineStr"/>
      <c r="M258" s="5" t="inlineStr">
        <is>
          <t>Yes</t>
        </is>
      </c>
      <c r="N258" s="5" t="inlineStr"/>
      <c r="O258" s="8" t="inlineStr">
        <is>
          <t>118500</t>
        </is>
      </c>
      <c r="P258" s="5" t="inlineStr">
        <is>
          <t>5</t>
        </is>
      </c>
      <c r="Q258" s="5" t="inlineStr">
        <is>
          <t>4</t>
        </is>
      </c>
      <c r="R258" s="5" t="inlineStr">
        <is>
          <t>9</t>
        </is>
      </c>
      <c r="S258" s="5" t="inlineStr">
        <is>
          <t>8</t>
        </is>
      </c>
      <c r="T258" s="5" t="inlineStr">
        <is>
          <t>8</t>
        </is>
      </c>
      <c r="U258" s="5" t="inlineStr">
        <is>
          <t>OK</t>
        </is>
      </c>
    </row>
    <row r="259">
      <c r="A259" s="5" t="inlineStr">
        <is>
          <t>E02821</t>
        </is>
      </c>
      <c r="B259" s="5" t="inlineStr">
        <is>
          <t>Male</t>
        </is>
      </c>
      <c r="C259" s="6" t="inlineStr">
        <is>
          <t>34</t>
        </is>
      </c>
      <c r="D259" s="5" t="inlineStr">
        <is>
          <t>Single</t>
        </is>
      </c>
      <c r="E259" s="5" t="inlineStr">
        <is>
          <t>High School</t>
        </is>
      </c>
      <c r="F259" s="5" t="inlineStr">
        <is>
          <t>IT</t>
        </is>
      </c>
      <c r="G259" s="5" t="inlineStr">
        <is>
          <t>Software Engineer</t>
        </is>
      </c>
      <c r="H259" s="5" t="inlineStr">
        <is>
          <t>2</t>
        </is>
      </c>
      <c r="I259" s="5" t="inlineStr">
        <is>
          <t>Chennai</t>
        </is>
      </c>
      <c r="J259" s="5" t="inlineStr">
        <is>
          <t>Part-Time</t>
        </is>
      </c>
      <c r="K259" s="7" t="n">
        <v>46011</v>
      </c>
      <c r="L259" s="7" t="inlineStr"/>
      <c r="M259" s="5" t="inlineStr">
        <is>
          <t>Yes</t>
        </is>
      </c>
      <c r="N259" s="5" t="inlineStr"/>
      <c r="O259" s="8" t="inlineStr">
        <is>
          <t>149000</t>
        </is>
      </c>
      <c r="P259" s="5" t="inlineStr">
        <is>
          <t>0</t>
        </is>
      </c>
      <c r="Q259" s="5" t="inlineStr">
        <is>
          <t>5</t>
        </is>
      </c>
      <c r="R259" s="5" t="inlineStr">
        <is>
          <t>6</t>
        </is>
      </c>
      <c r="S259" s="5" t="inlineStr">
        <is>
          <t>1</t>
        </is>
      </c>
      <c r="T259" s="5" t="inlineStr">
        <is>
          <t>9</t>
        </is>
      </c>
      <c r="U259" s="5" t="inlineStr">
        <is>
          <t>OK</t>
        </is>
      </c>
    </row>
    <row r="260">
      <c r="A260" s="5" t="inlineStr">
        <is>
          <t>E02116</t>
        </is>
      </c>
      <c r="B260" s="5" t="inlineStr">
        <is>
          <t>Male</t>
        </is>
      </c>
      <c r="C260" s="6" t="inlineStr">
        <is>
          <t>32</t>
        </is>
      </c>
      <c r="D260" s="5" t="inlineStr">
        <is>
          <t>Divorced</t>
        </is>
      </c>
      <c r="E260" s="5" t="inlineStr">
        <is>
          <t>PhD</t>
        </is>
      </c>
      <c r="F260" s="5" t="inlineStr">
        <is>
          <t>Sales</t>
        </is>
      </c>
      <c r="G260" s="5" t="inlineStr">
        <is>
          <t>Sales Executive</t>
        </is>
      </c>
      <c r="H260" s="5" t="inlineStr">
        <is>
          <t>3</t>
        </is>
      </c>
      <c r="I260" s="5" t="inlineStr">
        <is>
          <t>Delhi</t>
        </is>
      </c>
      <c r="J260" s="5" t="inlineStr">
        <is>
          <t>Full-Time</t>
        </is>
      </c>
      <c r="K260" s="7" t="n">
        <v>44310</v>
      </c>
      <c r="L260" s="7" t="inlineStr"/>
      <c r="M260" s="5" t="inlineStr">
        <is>
          <t>Yes</t>
        </is>
      </c>
      <c r="N260" s="5" t="inlineStr"/>
      <c r="O260" s="8" t="inlineStr">
        <is>
          <t>101500</t>
        </is>
      </c>
      <c r="P260" s="5" t="inlineStr">
        <is>
          <t>0</t>
        </is>
      </c>
      <c r="Q260" s="5" t="inlineStr">
        <is>
          <t>4</t>
        </is>
      </c>
      <c r="R260" s="5" t="inlineStr">
        <is>
          <t>3</t>
        </is>
      </c>
      <c r="S260" s="5" t="inlineStr">
        <is>
          <t>57</t>
        </is>
      </c>
      <c r="T260" s="5" t="inlineStr">
        <is>
          <t>3</t>
        </is>
      </c>
      <c r="U260" s="5" t="inlineStr">
        <is>
          <t>OK</t>
        </is>
      </c>
    </row>
    <row r="261">
      <c r="A261" s="5" t="inlineStr">
        <is>
          <t>E02848</t>
        </is>
      </c>
      <c r="B261" s="5" t="inlineStr">
        <is>
          <t>Male</t>
        </is>
      </c>
      <c r="C261" s="6" t="inlineStr">
        <is>
          <t>38</t>
        </is>
      </c>
      <c r="D261" s="5" t="inlineStr">
        <is>
          <t>Married</t>
        </is>
      </c>
      <c r="E261" s="5" t="inlineStr">
        <is>
          <t>High School</t>
        </is>
      </c>
      <c r="F261" s="5" t="inlineStr">
        <is>
          <t>Finance</t>
        </is>
      </c>
      <c r="G261" s="5" t="inlineStr">
        <is>
          <t>Accountant</t>
        </is>
      </c>
      <c r="H261" s="5" t="inlineStr">
        <is>
          <t>5</t>
        </is>
      </c>
      <c r="I261" s="5" t="inlineStr">
        <is>
          <t>Bengaluru</t>
        </is>
      </c>
      <c r="J261" s="5" t="inlineStr">
        <is>
          <t>Full-Time</t>
        </is>
      </c>
      <c r="K261" s="7" t="n">
        <v>44273</v>
      </c>
      <c r="L261" s="7" t="inlineStr"/>
      <c r="M261" s="5" t="inlineStr">
        <is>
          <t>Yes</t>
        </is>
      </c>
      <c r="N261" s="5" t="inlineStr"/>
      <c r="O261" s="8" t="inlineStr">
        <is>
          <t>117500</t>
        </is>
      </c>
      <c r="P261" s="5" t="inlineStr">
        <is>
          <t>5</t>
        </is>
      </c>
      <c r="Q261" s="5" t="inlineStr">
        <is>
          <t>3</t>
        </is>
      </c>
      <c r="R261" s="5" t="inlineStr">
        <is>
          <t>8</t>
        </is>
      </c>
      <c r="S261" s="5" t="inlineStr">
        <is>
          <t>58</t>
        </is>
      </c>
      <c r="T261" s="5" t="inlineStr">
        <is>
          <t>2</t>
        </is>
      </c>
      <c r="U261" s="5" t="inlineStr">
        <is>
          <t>OK</t>
        </is>
      </c>
    </row>
    <row r="262">
      <c r="A262" s="5" t="inlineStr">
        <is>
          <t>E01418</t>
        </is>
      </c>
      <c r="B262" s="5" t="inlineStr">
        <is>
          <t>Female</t>
        </is>
      </c>
      <c r="C262" s="6" t="inlineStr">
        <is>
          <t>31</t>
        </is>
      </c>
      <c r="D262" s="5" t="inlineStr">
        <is>
          <t>Married</t>
        </is>
      </c>
      <c r="E262" s="5" t="inlineStr">
        <is>
          <t>High School</t>
        </is>
      </c>
      <c r="F262" s="5" t="inlineStr">
        <is>
          <t>IT</t>
        </is>
      </c>
      <c r="G262" s="5" t="inlineStr">
        <is>
          <t>Data Analyst</t>
        </is>
      </c>
      <c r="H262" s="5" t="inlineStr">
        <is>
          <t>3</t>
        </is>
      </c>
      <c r="I262" s="5" t="inlineStr">
        <is>
          <t>Remote</t>
        </is>
      </c>
      <c r="J262" s="5" t="inlineStr">
        <is>
          <t>Full-Time</t>
        </is>
      </c>
      <c r="K262" s="7" t="n">
        <v>44005</v>
      </c>
      <c r="L262" s="7" t="inlineStr"/>
      <c r="M262" s="5" t="inlineStr">
        <is>
          <t>Yes</t>
        </is>
      </c>
      <c r="N262" s="5" t="inlineStr"/>
      <c r="O262" s="8" t="inlineStr">
        <is>
          <t>173500</t>
        </is>
      </c>
      <c r="P262" s="5" t="inlineStr">
        <is>
          <t>0</t>
        </is>
      </c>
      <c r="Q262" s="5" t="inlineStr">
        <is>
          <t>5</t>
        </is>
      </c>
      <c r="R262" s="5" t="inlineStr">
        <is>
          <t>7</t>
        </is>
      </c>
      <c r="S262" s="5" t="inlineStr">
        <is>
          <t>67</t>
        </is>
      </c>
      <c r="T262" s="5" t="inlineStr">
        <is>
          <t>8</t>
        </is>
      </c>
      <c r="U262" s="5" t="inlineStr">
        <is>
          <t>OK</t>
        </is>
      </c>
    </row>
    <row r="263">
      <c r="A263" s="5" t="inlineStr">
        <is>
          <t>E00752</t>
        </is>
      </c>
      <c r="B263" s="5" t="inlineStr">
        <is>
          <t>Female</t>
        </is>
      </c>
      <c r="C263" s="6" t="inlineStr">
        <is>
          <t>29</t>
        </is>
      </c>
      <c r="D263" s="5" t="inlineStr">
        <is>
          <t>Single</t>
        </is>
      </c>
      <c r="E263" s="5" t="inlineStr">
        <is>
          <t>Diploma</t>
        </is>
      </c>
      <c r="F263" s="5" t="inlineStr">
        <is>
          <t>Sales</t>
        </is>
      </c>
      <c r="G263" s="5" t="inlineStr">
        <is>
          <t>Sales Executive</t>
        </is>
      </c>
      <c r="H263" s="5" t="inlineStr">
        <is>
          <t>4</t>
        </is>
      </c>
      <c r="I263" s="5" t="inlineStr">
        <is>
          <t>Bengaluru</t>
        </is>
      </c>
      <c r="J263" s="5" t="inlineStr">
        <is>
          <t>Full-Time</t>
        </is>
      </c>
      <c r="K263" s="7" t="n">
        <v>44646</v>
      </c>
      <c r="L263" s="7" t="inlineStr"/>
      <c r="M263" s="5" t="inlineStr">
        <is>
          <t>Yes</t>
        </is>
      </c>
      <c r="N263" s="5" t="inlineStr"/>
      <c r="O263" s="8" t="inlineStr">
        <is>
          <t>150000</t>
        </is>
      </c>
      <c r="P263" s="5" t="inlineStr">
        <is>
          <t>10</t>
        </is>
      </c>
      <c r="Q263" s="5" t="inlineStr">
        <is>
          <t>4</t>
        </is>
      </c>
      <c r="R263" s="5" t="inlineStr">
        <is>
          <t>6</t>
        </is>
      </c>
      <c r="S263" s="5" t="inlineStr">
        <is>
          <t>45</t>
        </is>
      </c>
      <c r="T263" s="5" t="inlineStr">
        <is>
          <t>0</t>
        </is>
      </c>
      <c r="U263" s="5" t="inlineStr">
        <is>
          <t>OK</t>
        </is>
      </c>
    </row>
    <row r="264">
      <c r="A264" s="5" t="inlineStr">
        <is>
          <t>E02751</t>
        </is>
      </c>
      <c r="B264" s="5" t="inlineStr">
        <is>
          <t>Female</t>
        </is>
      </c>
      <c r="C264" s="6" t="inlineStr">
        <is>
          <t>30</t>
        </is>
      </c>
      <c r="D264" s="5" t="inlineStr">
        <is>
          <t>Married</t>
        </is>
      </c>
      <c r="E264" s="5" t="inlineStr">
        <is>
          <t>High School</t>
        </is>
      </c>
      <c r="F264" s="5" t="inlineStr">
        <is>
          <t>Customer Support</t>
        </is>
      </c>
      <c r="G264" s="5" t="inlineStr">
        <is>
          <t>Support Agent</t>
        </is>
      </c>
      <c r="H264" s="5" t="inlineStr">
        <is>
          <t>2</t>
        </is>
      </c>
      <c r="I264" s="5" t="inlineStr">
        <is>
          <t>Delhi</t>
        </is>
      </c>
      <c r="J264" s="5" t="inlineStr">
        <is>
          <t>Full-Time</t>
        </is>
      </c>
      <c r="K264" s="7" t="n">
        <v>45639</v>
      </c>
      <c r="L264" s="7" t="n">
        <v>45779</v>
      </c>
      <c r="M264" s="5" t="inlineStr">
        <is>
          <t>No</t>
        </is>
      </c>
      <c r="N264" s="5" t="inlineStr">
        <is>
          <t>Relocation</t>
        </is>
      </c>
      <c r="O264" s="8" t="inlineStr">
        <is>
          <t>53000</t>
        </is>
      </c>
      <c r="P264" s="5" t="inlineStr">
        <is>
          <t>5</t>
        </is>
      </c>
      <c r="Q264" s="5" t="inlineStr">
        <is>
          <t>2</t>
        </is>
      </c>
      <c r="R264" s="5" t="inlineStr">
        <is>
          <t>8</t>
        </is>
      </c>
      <c r="S264" s="5" t="inlineStr">
        <is>
          <t>4</t>
        </is>
      </c>
      <c r="T264" s="5" t="inlineStr">
        <is>
          <t>10</t>
        </is>
      </c>
      <c r="U264" s="5" t="inlineStr">
        <is>
          <t>OK</t>
        </is>
      </c>
    </row>
    <row r="265">
      <c r="A265" s="5" t="inlineStr">
        <is>
          <t>E01323</t>
        </is>
      </c>
      <c r="B265" s="5" t="inlineStr">
        <is>
          <t>Male</t>
        </is>
      </c>
      <c r="C265" s="6" t="inlineStr">
        <is>
          <t>28</t>
        </is>
      </c>
      <c r="D265" s="5" t="inlineStr">
        <is>
          <t>Married</t>
        </is>
      </c>
      <c r="E265" s="5" t="inlineStr">
        <is>
          <t>High School</t>
        </is>
      </c>
      <c r="F265" s="5" t="inlineStr">
        <is>
          <t>Customer Support</t>
        </is>
      </c>
      <c r="G265" s="5" t="inlineStr">
        <is>
          <t>Support Agent</t>
        </is>
      </c>
      <c r="H265" s="5" t="inlineStr">
        <is>
          <t>2</t>
        </is>
      </c>
      <c r="I265" s="5" t="inlineStr">
        <is>
          <t>Remote</t>
        </is>
      </c>
      <c r="J265" s="5" t="inlineStr">
        <is>
          <t>Full-Time</t>
        </is>
      </c>
      <c r="K265" s="7" t="n">
        <v>44781</v>
      </c>
      <c r="L265" s="7" t="n">
        <v>44889</v>
      </c>
      <c r="M265" s="5" t="inlineStr">
        <is>
          <t>No</t>
        </is>
      </c>
      <c r="N265" s="5" t="inlineStr">
        <is>
          <t>Resigned</t>
        </is>
      </c>
      <c r="O265" s="8" t="inlineStr">
        <is>
          <t>57000</t>
        </is>
      </c>
      <c r="P265" s="5" t="inlineStr">
        <is>
          <t>0</t>
        </is>
      </c>
      <c r="Q265" s="5" t="inlineStr">
        <is>
          <t>5</t>
        </is>
      </c>
      <c r="R265" s="5" t="inlineStr">
        <is>
          <t>6</t>
        </is>
      </c>
      <c r="S265" s="5" t="inlineStr">
        <is>
          <t>3</t>
        </is>
      </c>
      <c r="T265" s="5" t="inlineStr">
        <is>
          <t>7</t>
        </is>
      </c>
      <c r="U265" s="5" t="inlineStr">
        <is>
          <t>OK</t>
        </is>
      </c>
    </row>
    <row r="266">
      <c r="A266" s="5" t="inlineStr">
        <is>
          <t>E00021</t>
        </is>
      </c>
      <c r="B266" s="5" t="inlineStr">
        <is>
          <t>Male</t>
        </is>
      </c>
      <c r="C266" s="6" t="inlineStr">
        <is>
          <t>34</t>
        </is>
      </c>
      <c r="D266" s="5" t="inlineStr">
        <is>
          <t>Married</t>
        </is>
      </c>
      <c r="E266" s="5" t="inlineStr">
        <is>
          <t>Master</t>
        </is>
      </c>
      <c r="F266" s="5" t="inlineStr">
        <is>
          <t>Operations</t>
        </is>
      </c>
      <c r="G266" s="5" t="inlineStr">
        <is>
          <t>Logistics Coordinator</t>
        </is>
      </c>
      <c r="H266" s="5" t="inlineStr">
        <is>
          <t>1</t>
        </is>
      </c>
      <c r="I266" s="5" t="inlineStr">
        <is>
          <t>Bengaluru</t>
        </is>
      </c>
      <c r="J266" s="5" t="inlineStr">
        <is>
          <t>Full-Time</t>
        </is>
      </c>
      <c r="K266" s="7" t="n">
        <v>44861</v>
      </c>
      <c r="L266" s="7" t="inlineStr"/>
      <c r="M266" s="5" t="inlineStr">
        <is>
          <t>Yes</t>
        </is>
      </c>
      <c r="N266" s="5" t="inlineStr"/>
      <c r="O266" s="8" t="inlineStr">
        <is>
          <t>96500</t>
        </is>
      </c>
      <c r="P266" s="5" t="inlineStr">
        <is>
          <t>10</t>
        </is>
      </c>
      <c r="Q266" s="5" t="inlineStr">
        <is>
          <t>3</t>
        </is>
      </c>
      <c r="R266" s="5" t="inlineStr">
        <is>
          <t>9</t>
        </is>
      </c>
      <c r="S266" s="5" t="inlineStr">
        <is>
          <t>38</t>
        </is>
      </c>
      <c r="T266" s="5" t="inlineStr">
        <is>
          <t>7</t>
        </is>
      </c>
      <c r="U266" s="5" t="inlineStr">
        <is>
          <t>OK</t>
        </is>
      </c>
    </row>
    <row r="267">
      <c r="A267" s="5" t="inlineStr">
        <is>
          <t>E02778</t>
        </is>
      </c>
      <c r="B267" s="5" t="inlineStr">
        <is>
          <t>Male</t>
        </is>
      </c>
      <c r="C267" s="6" t="inlineStr">
        <is>
          <t>25</t>
        </is>
      </c>
      <c r="D267" s="5" t="inlineStr">
        <is>
          <t>Single</t>
        </is>
      </c>
      <c r="E267" s="5" t="inlineStr">
        <is>
          <t>Master</t>
        </is>
      </c>
      <c r="F267" s="5" t="inlineStr">
        <is>
          <t>Research &amp; Development</t>
        </is>
      </c>
      <c r="G267" s="5" t="inlineStr">
        <is>
          <t>Product Engineer</t>
        </is>
      </c>
      <c r="H267" s="5" t="inlineStr">
        <is>
          <t>2</t>
        </is>
      </c>
      <c r="I267" s="5" t="inlineStr">
        <is>
          <t>Hyderabad</t>
        </is>
      </c>
      <c r="J267" s="5" t="inlineStr">
        <is>
          <t>Full-Time</t>
        </is>
      </c>
      <c r="K267" s="7" t="n">
        <v>43894</v>
      </c>
      <c r="L267" s="7" t="inlineStr"/>
      <c r="M267" s="5" t="inlineStr">
        <is>
          <t>Yes</t>
        </is>
      </c>
      <c r="N267" s="5" t="inlineStr"/>
      <c r="O267" s="8" t="inlineStr">
        <is>
          <t>161500</t>
        </is>
      </c>
      <c r="P267" s="5" t="inlineStr">
        <is>
          <t>0</t>
        </is>
      </c>
      <c r="Q267" s="5" t="inlineStr">
        <is>
          <t>4</t>
        </is>
      </c>
      <c r="R267" s="5" t="inlineStr">
        <is>
          <t>5</t>
        </is>
      </c>
      <c r="S267" s="5" t="inlineStr">
        <is>
          <t>70</t>
        </is>
      </c>
      <c r="T267" s="5" t="inlineStr">
        <is>
          <t>9</t>
        </is>
      </c>
      <c r="U267" s="5" t="inlineStr">
        <is>
          <t>OK</t>
        </is>
      </c>
    </row>
    <row r="268">
      <c r="A268" s="5" t="inlineStr">
        <is>
          <t>E02120</t>
        </is>
      </c>
      <c r="B268" s="5" t="inlineStr">
        <is>
          <t>Unknown</t>
        </is>
      </c>
      <c r="C268" s="6" t="inlineStr">
        <is>
          <t>34</t>
        </is>
      </c>
      <c r="D268" s="5" t="inlineStr">
        <is>
          <t>Single</t>
        </is>
      </c>
      <c r="E268" s="5" t="inlineStr">
        <is>
          <t>Bachelor</t>
        </is>
      </c>
      <c r="F268" s="5" t="inlineStr">
        <is>
          <t>Human Resources</t>
        </is>
      </c>
      <c r="G268" s="5" t="inlineStr">
        <is>
          <t>HR Analyst</t>
        </is>
      </c>
      <c r="H268" s="5" t="inlineStr">
        <is>
          <t>1</t>
        </is>
      </c>
      <c r="I268" s="5" t="inlineStr">
        <is>
          <t>Chennai</t>
        </is>
      </c>
      <c r="J268" s="5" t="inlineStr">
        <is>
          <t>Full-Time</t>
        </is>
      </c>
      <c r="K268" s="7" t="n">
        <v>44967</v>
      </c>
      <c r="L268" s="7" t="inlineStr"/>
      <c r="M268" s="5" t="inlineStr">
        <is>
          <t>Yes</t>
        </is>
      </c>
      <c r="N268" s="5" t="inlineStr"/>
      <c r="O268" s="8" t="inlineStr">
        <is>
          <t>68500</t>
        </is>
      </c>
      <c r="P268" s="5" t="inlineStr">
        <is>
          <t>10</t>
        </is>
      </c>
      <c r="Q268" s="5" t="inlineStr">
        <is>
          <t>4</t>
        </is>
      </c>
      <c r="R268" s="5" t="inlineStr">
        <is>
          <t>6</t>
        </is>
      </c>
      <c r="S268" s="5" t="inlineStr">
        <is>
          <t>35</t>
        </is>
      </c>
      <c r="T268" s="5" t="inlineStr">
        <is>
          <t>15</t>
        </is>
      </c>
      <c r="U268" s="5" t="inlineStr">
        <is>
          <t>Bad gender</t>
        </is>
      </c>
    </row>
    <row r="269">
      <c r="A269" s="5" t="inlineStr">
        <is>
          <t>E02670</t>
        </is>
      </c>
      <c r="B269" s="5" t="inlineStr">
        <is>
          <t>Female</t>
        </is>
      </c>
      <c r="C269" s="6" t="inlineStr">
        <is>
          <t>30</t>
        </is>
      </c>
      <c r="D269" s="5" t="inlineStr">
        <is>
          <t>Single</t>
        </is>
      </c>
      <c r="E269" s="5" t="inlineStr">
        <is>
          <t>Diploma</t>
        </is>
      </c>
      <c r="F269" s="5" t="inlineStr">
        <is>
          <t>Marketing</t>
        </is>
      </c>
      <c r="G269" s="5" t="inlineStr">
        <is>
          <t>Marketing Analyst</t>
        </is>
      </c>
      <c r="H269" s="5" t="inlineStr">
        <is>
          <t>2</t>
        </is>
      </c>
      <c r="I269" s="5" t="inlineStr">
        <is>
          <t>Chennai</t>
        </is>
      </c>
      <c r="J269" s="5" t="inlineStr">
        <is>
          <t>Full-Time</t>
        </is>
      </c>
      <c r="K269" s="7" t="n">
        <v>45368</v>
      </c>
      <c r="L269" s="7" t="inlineStr"/>
      <c r="M269" s="5" t="inlineStr">
        <is>
          <t>Yes</t>
        </is>
      </c>
      <c r="N269" s="5" t="inlineStr"/>
      <c r="O269" s="8" t="inlineStr">
        <is>
          <t>63500</t>
        </is>
      </c>
      <c r="P269" s="5" t="inlineStr">
        <is>
          <t>10</t>
        </is>
      </c>
      <c r="Q269" s="5" t="inlineStr">
        <is>
          <t>3</t>
        </is>
      </c>
      <c r="R269" s="5" t="inlineStr">
        <is>
          <t>6</t>
        </is>
      </c>
      <c r="S269" s="5" t="inlineStr">
        <is>
          <t>21</t>
        </is>
      </c>
      <c r="T269" s="5" t="inlineStr">
        <is>
          <t>7</t>
        </is>
      </c>
      <c r="U269" s="5" t="inlineStr">
        <is>
          <t>OK</t>
        </is>
      </c>
    </row>
    <row r="270">
      <c r="A270" s="5" t="inlineStr">
        <is>
          <t>E01282</t>
        </is>
      </c>
      <c r="B270" s="5" t="inlineStr">
        <is>
          <t>Male</t>
        </is>
      </c>
      <c r="C270" s="6" t="inlineStr">
        <is>
          <t>28</t>
        </is>
      </c>
      <c r="D270" s="5" t="inlineStr">
        <is>
          <t>Single</t>
        </is>
      </c>
      <c r="E270" s="5" t="inlineStr">
        <is>
          <t>PhD</t>
        </is>
      </c>
      <c r="F270" s="5" t="inlineStr">
        <is>
          <t>Marketing</t>
        </is>
      </c>
      <c r="G270" s="5" t="inlineStr">
        <is>
          <t>SEO Specialist</t>
        </is>
      </c>
      <c r="H270" s="5" t="inlineStr">
        <is>
          <t>2</t>
        </is>
      </c>
      <c r="I270" s="5" t="inlineStr">
        <is>
          <t>Remote</t>
        </is>
      </c>
      <c r="J270" s="5" t="inlineStr">
        <is>
          <t>Full-Time</t>
        </is>
      </c>
      <c r="K270" s="7" t="n">
        <v>43970</v>
      </c>
      <c r="L270" s="7" t="inlineStr"/>
      <c r="M270" s="5" t="inlineStr">
        <is>
          <t>Yes</t>
        </is>
      </c>
      <c r="N270" s="5" t="inlineStr"/>
      <c r="O270" s="8" t="inlineStr">
        <is>
          <t>85000</t>
        </is>
      </c>
      <c r="P270" s="5" t="inlineStr">
        <is>
          <t>10</t>
        </is>
      </c>
      <c r="Q270" s="5" t="inlineStr">
        <is>
          <t>4</t>
        </is>
      </c>
      <c r="R270" s="5" t="inlineStr">
        <is>
          <t>3</t>
        </is>
      </c>
      <c r="S270" s="5" t="inlineStr">
        <is>
          <t>68</t>
        </is>
      </c>
      <c r="T270" s="5" t="inlineStr">
        <is>
          <t>6</t>
        </is>
      </c>
      <c r="U270" s="5" t="inlineStr">
        <is>
          <t>OK</t>
        </is>
      </c>
    </row>
    <row r="271">
      <c r="A271" s="5" t="inlineStr">
        <is>
          <t>E01328</t>
        </is>
      </c>
      <c r="B271" s="5" t="inlineStr">
        <is>
          <t>Female</t>
        </is>
      </c>
      <c r="C271" s="6" t="inlineStr">
        <is>
          <t>29</t>
        </is>
      </c>
      <c r="D271" s="5" t="inlineStr">
        <is>
          <t>Married</t>
        </is>
      </c>
      <c r="E271" s="5" t="inlineStr">
        <is>
          <t>Master</t>
        </is>
      </c>
      <c r="F271" s="5" t="inlineStr">
        <is>
          <t>Marketing</t>
        </is>
      </c>
      <c r="G271" s="5" t="inlineStr">
        <is>
          <t>Marketing Analyst</t>
        </is>
      </c>
      <c r="H271" s="5" t="inlineStr">
        <is>
          <t>2</t>
        </is>
      </c>
      <c r="I271" s="5" t="inlineStr">
        <is>
          <t>Hyderabad</t>
        </is>
      </c>
      <c r="J271" s="5" t="inlineStr">
        <is>
          <t>Full-Time</t>
        </is>
      </c>
      <c r="K271" s="7" t="n">
        <v>45728</v>
      </c>
      <c r="L271" s="7" t="inlineStr"/>
      <c r="M271" s="5" t="inlineStr">
        <is>
          <t>Yes</t>
        </is>
      </c>
      <c r="N271" s="5" t="inlineStr"/>
      <c r="O271" s="8" t="inlineStr">
        <is>
          <t>60500</t>
        </is>
      </c>
      <c r="P271" s="5" t="inlineStr">
        <is>
          <t>0</t>
        </is>
      </c>
      <c r="Q271" s="5" t="inlineStr">
        <is>
          <t>4</t>
        </is>
      </c>
      <c r="R271" s="5" t="inlineStr">
        <is>
          <t>5</t>
        </is>
      </c>
      <c r="S271" s="5" t="inlineStr">
        <is>
          <t>9</t>
        </is>
      </c>
      <c r="T271" s="5" t="inlineStr">
        <is>
          <t>10</t>
        </is>
      </c>
      <c r="U271" s="5" t="inlineStr">
        <is>
          <t>OK</t>
        </is>
      </c>
    </row>
    <row r="272">
      <c r="A272" s="5" t="inlineStr">
        <is>
          <t>E02315</t>
        </is>
      </c>
      <c r="B272" s="5" t="inlineStr">
        <is>
          <t>Female</t>
        </is>
      </c>
      <c r="C272" s="6" t="inlineStr">
        <is>
          <t>37</t>
        </is>
      </c>
      <c r="D272" s="5" t="inlineStr">
        <is>
          <t>Married</t>
        </is>
      </c>
      <c r="E272" s="5" t="inlineStr">
        <is>
          <t>Master</t>
        </is>
      </c>
      <c r="F272" s="5" t="inlineStr">
        <is>
          <t>IT</t>
        </is>
      </c>
      <c r="G272" s="5" t="inlineStr">
        <is>
          <t>IT Support</t>
        </is>
      </c>
      <c r="H272" s="5" t="inlineStr">
        <is>
          <t>5</t>
        </is>
      </c>
      <c r="I272" s="5" t="inlineStr">
        <is>
          <t>Hyderabad</t>
        </is>
      </c>
      <c r="J272" s="5" t="inlineStr">
        <is>
          <t>Full-Time</t>
        </is>
      </c>
      <c r="K272" s="7" t="n">
        <v>43911</v>
      </c>
      <c r="L272" s="7" t="inlineStr"/>
      <c r="M272" s="5" t="inlineStr">
        <is>
          <t>Yes</t>
        </is>
      </c>
      <c r="N272" s="5" t="inlineStr"/>
      <c r="O272" s="8" t="inlineStr">
        <is>
          <t>133500</t>
        </is>
      </c>
      <c r="P272" s="5" t="inlineStr">
        <is>
          <t>5</t>
        </is>
      </c>
      <c r="Q272" s="5" t="inlineStr">
        <is>
          <t>4</t>
        </is>
      </c>
      <c r="R272" s="5" t="inlineStr">
        <is>
          <t>6</t>
        </is>
      </c>
      <c r="S272" s="5" t="inlineStr">
        <is>
          <t>70</t>
        </is>
      </c>
      <c r="T272" s="5" t="inlineStr">
        <is>
          <t>0</t>
        </is>
      </c>
      <c r="U272" s="5" t="inlineStr">
        <is>
          <t>OK</t>
        </is>
      </c>
    </row>
    <row r="273">
      <c r="A273" s="5" t="inlineStr">
        <is>
          <t>E00066</t>
        </is>
      </c>
      <c r="B273" s="5" t="inlineStr">
        <is>
          <t>Female</t>
        </is>
      </c>
      <c r="C273" s="6" t="inlineStr">
        <is>
          <t>24</t>
        </is>
      </c>
      <c r="D273" s="5" t="inlineStr">
        <is>
          <t>Married</t>
        </is>
      </c>
      <c r="E273" s="5" t="inlineStr">
        <is>
          <t>Bachelor</t>
        </is>
      </c>
      <c r="F273" s="5" t="inlineStr">
        <is>
          <t>IT</t>
        </is>
      </c>
      <c r="G273" s="5" t="inlineStr">
        <is>
          <t>DevOps Engineer</t>
        </is>
      </c>
      <c r="H273" s="5" t="inlineStr">
        <is>
          <t>1</t>
        </is>
      </c>
      <c r="I273" s="5" t="inlineStr">
        <is>
          <t>Hyderabad</t>
        </is>
      </c>
      <c r="J273" s="5" t="inlineStr">
        <is>
          <t>Full-Time</t>
        </is>
      </c>
      <c r="K273" s="7" t="n">
        <v>45483</v>
      </c>
      <c r="L273" s="7" t="inlineStr"/>
      <c r="M273" s="5" t="inlineStr">
        <is>
          <t>Yes</t>
        </is>
      </c>
      <c r="N273" s="5" t="inlineStr"/>
      <c r="O273" s="8" t="inlineStr">
        <is>
          <t>96000</t>
        </is>
      </c>
      <c r="P273" s="5" t="inlineStr">
        <is>
          <t>5</t>
        </is>
      </c>
      <c r="Q273" s="5" t="inlineStr">
        <is>
          <t>3</t>
        </is>
      </c>
      <c r="R273" s="5" t="inlineStr">
        <is>
          <t>7</t>
        </is>
      </c>
      <c r="S273" s="5" t="inlineStr">
        <is>
          <t>17</t>
        </is>
      </c>
      <c r="T273" s="5" t="inlineStr">
        <is>
          <t>9</t>
        </is>
      </c>
      <c r="U273" s="5" t="inlineStr">
        <is>
          <t>OK</t>
        </is>
      </c>
    </row>
    <row r="274">
      <c r="A274" s="5" t="inlineStr">
        <is>
          <t>E02857</t>
        </is>
      </c>
      <c r="B274" s="5" t="inlineStr">
        <is>
          <t>Male</t>
        </is>
      </c>
      <c r="C274" s="6" t="inlineStr">
        <is>
          <t>23</t>
        </is>
      </c>
      <c r="D274" s="5" t="inlineStr">
        <is>
          <t>Divorced</t>
        </is>
      </c>
      <c r="E274" s="5" t="inlineStr">
        <is>
          <t>High School</t>
        </is>
      </c>
      <c r="F274" s="5" t="inlineStr">
        <is>
          <t>Customer Support</t>
        </is>
      </c>
      <c r="G274" s="5" t="inlineStr">
        <is>
          <t>Support Agent</t>
        </is>
      </c>
      <c r="H274" s="5" t="inlineStr">
        <is>
          <t>1</t>
        </is>
      </c>
      <c r="I274" s="5" t="inlineStr">
        <is>
          <t>Remote</t>
        </is>
      </c>
      <c r="J274" s="5" t="inlineStr">
        <is>
          <t>Full-Time</t>
        </is>
      </c>
      <c r="K274" s="7" t="n">
        <v>45955</v>
      </c>
      <c r="L274" s="7" t="inlineStr"/>
      <c r="M274" s="5" t="inlineStr">
        <is>
          <t>Yes</t>
        </is>
      </c>
      <c r="N274" s="5" t="inlineStr"/>
      <c r="O274" s="8" t="inlineStr">
        <is>
          <t>46500</t>
        </is>
      </c>
      <c r="P274" s="5" t="inlineStr">
        <is>
          <t>0</t>
        </is>
      </c>
      <c r="Q274" s="5" t="inlineStr">
        <is>
          <t>4</t>
        </is>
      </c>
      <c r="R274" s="5" t="inlineStr">
        <is>
          <t>5</t>
        </is>
      </c>
      <c r="S274" s="5" t="inlineStr">
        <is>
          <t>2</t>
        </is>
      </c>
      <c r="T274" s="5" t="inlineStr">
        <is>
          <t>11</t>
        </is>
      </c>
      <c r="U274" s="5" t="inlineStr">
        <is>
          <t>OK</t>
        </is>
      </c>
    </row>
    <row r="275">
      <c r="A275" s="5" t="inlineStr">
        <is>
          <t>E01680</t>
        </is>
      </c>
      <c r="B275" s="5" t="inlineStr">
        <is>
          <t>Female</t>
        </is>
      </c>
      <c r="C275" s="6" t="inlineStr">
        <is>
          <t>33</t>
        </is>
      </c>
      <c r="D275" s="5" t="inlineStr">
        <is>
          <t>Married</t>
        </is>
      </c>
      <c r="E275" s="5" t="inlineStr">
        <is>
          <t>High School</t>
        </is>
      </c>
      <c r="F275" s="5" t="inlineStr">
        <is>
          <t>Finance</t>
        </is>
      </c>
      <c r="G275" s="5" t="inlineStr">
        <is>
          <t>Credit Analyst</t>
        </is>
      </c>
      <c r="H275" s="5" t="inlineStr">
        <is>
          <t>1</t>
        </is>
      </c>
      <c r="I275" s="5" t="inlineStr">
        <is>
          <t>Remote</t>
        </is>
      </c>
      <c r="J275" s="5" t="inlineStr">
        <is>
          <t>Full-Time</t>
        </is>
      </c>
      <c r="K275" s="7" t="n">
        <v>43960</v>
      </c>
      <c r="L275" s="7" t="inlineStr"/>
      <c r="M275" s="5" t="inlineStr">
        <is>
          <t>Yes</t>
        </is>
      </c>
      <c r="N275" s="5" t="inlineStr"/>
      <c r="O275" s="8" t="inlineStr">
        <is>
          <t>99000</t>
        </is>
      </c>
      <c r="P275" s="5" t="inlineStr">
        <is>
          <t>5</t>
        </is>
      </c>
      <c r="Q275" s="5" t="inlineStr">
        <is>
          <t>2</t>
        </is>
      </c>
      <c r="R275" s="5" t="inlineStr">
        <is>
          <t>6</t>
        </is>
      </c>
      <c r="S275" s="5" t="inlineStr">
        <is>
          <t>68</t>
        </is>
      </c>
      <c r="T275" s="5" t="inlineStr">
        <is>
          <t>0</t>
        </is>
      </c>
      <c r="U275" s="5" t="inlineStr">
        <is>
          <t>OK</t>
        </is>
      </c>
    </row>
    <row r="276">
      <c r="A276" s="5" t="inlineStr">
        <is>
          <t>E00823</t>
        </is>
      </c>
      <c r="B276" s="5" t="inlineStr">
        <is>
          <t>Female</t>
        </is>
      </c>
      <c r="C276" s="6" t="inlineStr">
        <is>
          <t>35</t>
        </is>
      </c>
      <c r="D276" s="5" t="inlineStr">
        <is>
          <t>Married</t>
        </is>
      </c>
      <c r="E276" s="5" t="inlineStr">
        <is>
          <t>PhD</t>
        </is>
      </c>
      <c r="F276" s="5" t="inlineStr">
        <is>
          <t>Human Resources</t>
        </is>
      </c>
      <c r="G276" s="5" t="inlineStr">
        <is>
          <t>HR Analyst</t>
        </is>
      </c>
      <c r="H276" s="5" t="inlineStr">
        <is>
          <t>2</t>
        </is>
      </c>
      <c r="I276" s="5" t="inlineStr">
        <is>
          <t>Remote</t>
        </is>
      </c>
      <c r="J276" s="5" t="inlineStr">
        <is>
          <t>Full-Time</t>
        </is>
      </c>
      <c r="K276" s="7" t="n">
        <v>44313</v>
      </c>
      <c r="L276" s="7" t="inlineStr"/>
      <c r="M276" s="5" t="inlineStr">
        <is>
          <t>Yes</t>
        </is>
      </c>
      <c r="N276" s="5" t="inlineStr"/>
      <c r="O276" s="8" t="inlineStr">
        <is>
          <t>76500</t>
        </is>
      </c>
      <c r="P276" s="5" t="inlineStr">
        <is>
          <t>5</t>
        </is>
      </c>
      <c r="Q276" s="5" t="inlineStr">
        <is>
          <t>2</t>
        </is>
      </c>
      <c r="R276" s="5" t="inlineStr">
        <is>
          <t>5</t>
        </is>
      </c>
      <c r="S276" s="5" t="inlineStr">
        <is>
          <t>56</t>
        </is>
      </c>
      <c r="T276" s="5" t="inlineStr">
        <is>
          <t>21</t>
        </is>
      </c>
      <c r="U276" s="5" t="inlineStr">
        <is>
          <t>OK</t>
        </is>
      </c>
    </row>
    <row r="277">
      <c r="A277" s="5" t="inlineStr">
        <is>
          <t>E01425</t>
        </is>
      </c>
      <c r="B277" s="5" t="inlineStr">
        <is>
          <t>Male</t>
        </is>
      </c>
      <c r="C277" s="6" t="inlineStr">
        <is>
          <t>34</t>
        </is>
      </c>
      <c r="D277" s="5" t="inlineStr">
        <is>
          <t>Married</t>
        </is>
      </c>
      <c r="E277" s="5" t="inlineStr">
        <is>
          <t>High School</t>
        </is>
      </c>
      <c r="F277" s="5" t="inlineStr">
        <is>
          <t>IT</t>
        </is>
      </c>
      <c r="G277" s="5" t="inlineStr">
        <is>
          <t>Data Analyst</t>
        </is>
      </c>
      <c r="H277" s="5" t="inlineStr">
        <is>
          <t>1</t>
        </is>
      </c>
      <c r="I277" s="5" t="inlineStr">
        <is>
          <t>Hyderabad</t>
        </is>
      </c>
      <c r="J277" s="5" t="inlineStr">
        <is>
          <t>Full-Time</t>
        </is>
      </c>
      <c r="K277" s="7" t="n">
        <v>45302</v>
      </c>
      <c r="L277" s="7" t="inlineStr"/>
      <c r="M277" s="5" t="inlineStr">
        <is>
          <t>Yes</t>
        </is>
      </c>
      <c r="N277" s="5" t="inlineStr"/>
      <c r="O277" s="8" t="inlineStr">
        <is>
          <t>140000</t>
        </is>
      </c>
      <c r="P277" s="5" t="inlineStr">
        <is>
          <t>10</t>
        </is>
      </c>
      <c r="Q277" s="5" t="inlineStr">
        <is>
          <t>3</t>
        </is>
      </c>
      <c r="R277" s="5" t="inlineStr">
        <is>
          <t>8</t>
        </is>
      </c>
      <c r="S277" s="5" t="inlineStr">
        <is>
          <t>24</t>
        </is>
      </c>
      <c r="T277" s="5" t="inlineStr">
        <is>
          <t>7</t>
        </is>
      </c>
      <c r="U277" s="5" t="inlineStr">
        <is>
          <t>OK</t>
        </is>
      </c>
    </row>
    <row r="278">
      <c r="A278" s="5" t="inlineStr">
        <is>
          <t>E00825</t>
        </is>
      </c>
      <c r="B278" s="5" t="inlineStr">
        <is>
          <t>Female</t>
        </is>
      </c>
      <c r="C278" s="6" t="inlineStr">
        <is>
          <t>36</t>
        </is>
      </c>
      <c r="D278" s="5" t="inlineStr">
        <is>
          <t>Married</t>
        </is>
      </c>
      <c r="E278" s="5" t="inlineStr">
        <is>
          <t>Bachelor</t>
        </is>
      </c>
      <c r="F278" s="5" t="inlineStr">
        <is>
          <t>Customer Support</t>
        </is>
      </c>
      <c r="G278" s="5" t="inlineStr">
        <is>
          <t>Support Agent</t>
        </is>
      </c>
      <c r="H278" s="5" t="inlineStr">
        <is>
          <t>2</t>
        </is>
      </c>
      <c r="I278" s="5" t="inlineStr">
        <is>
          <t>Delhi</t>
        </is>
      </c>
      <c r="J278" s="5" t="inlineStr">
        <is>
          <t>Full-Time</t>
        </is>
      </c>
      <c r="K278" s="7" t="n">
        <v>45236</v>
      </c>
      <c r="L278" s="7" t="inlineStr"/>
      <c r="M278" s="5" t="inlineStr">
        <is>
          <t>Yes</t>
        </is>
      </c>
      <c r="N278" s="5" t="inlineStr"/>
      <c r="O278" s="8" t="inlineStr">
        <is>
          <t>76500</t>
        </is>
      </c>
      <c r="P278" s="5" t="inlineStr">
        <is>
          <t>15</t>
        </is>
      </c>
      <c r="Q278" s="5" t="inlineStr">
        <is>
          <t>2</t>
        </is>
      </c>
      <c r="R278" s="5" t="inlineStr">
        <is>
          <t>2</t>
        </is>
      </c>
      <c r="S278" s="5" t="inlineStr">
        <is>
          <t>26</t>
        </is>
      </c>
      <c r="T278" s="5" t="inlineStr">
        <is>
          <t>3</t>
        </is>
      </c>
      <c r="U278" s="5" t="inlineStr">
        <is>
          <t>OK</t>
        </is>
      </c>
    </row>
    <row r="279">
      <c r="A279" s="5" t="inlineStr">
        <is>
          <t>E01309</t>
        </is>
      </c>
      <c r="B279" s="5" t="inlineStr">
        <is>
          <t>Female</t>
        </is>
      </c>
      <c r="C279" s="6" t="inlineStr">
        <is>
          <t>30</t>
        </is>
      </c>
      <c r="D279" s="5" t="inlineStr">
        <is>
          <t>Married</t>
        </is>
      </c>
      <c r="E279" s="5" t="inlineStr">
        <is>
          <t>Bachelor</t>
        </is>
      </c>
      <c r="F279" s="5" t="inlineStr">
        <is>
          <t>Finance</t>
        </is>
      </c>
      <c r="G279" s="5" t="inlineStr">
        <is>
          <t>Credit Analyst</t>
        </is>
      </c>
      <c r="H279" s="5" t="inlineStr">
        <is>
          <t>2</t>
        </is>
      </c>
      <c r="I279" s="5" t="inlineStr">
        <is>
          <t>Mumbai</t>
        </is>
      </c>
      <c r="J279" s="5" t="inlineStr">
        <is>
          <t>Full-Time</t>
        </is>
      </c>
      <c r="K279" s="7" t="n">
        <v>44259</v>
      </c>
      <c r="L279" s="7" t="inlineStr"/>
      <c r="M279" s="5" t="inlineStr">
        <is>
          <t>Yes</t>
        </is>
      </c>
      <c r="N279" s="5" t="inlineStr"/>
      <c r="O279" s="8" t="inlineStr">
        <is>
          <t>118000</t>
        </is>
      </c>
      <c r="P279" s="5" t="inlineStr">
        <is>
          <t>10</t>
        </is>
      </c>
      <c r="Q279" s="5" t="inlineStr">
        <is>
          <t>5</t>
        </is>
      </c>
      <c r="R279" s="5" t="inlineStr">
        <is>
          <t>6</t>
        </is>
      </c>
      <c r="S279" s="5" t="inlineStr">
        <is>
          <t>58</t>
        </is>
      </c>
      <c r="T279" s="5" t="inlineStr">
        <is>
          <t>4</t>
        </is>
      </c>
      <c r="U279" s="5" t="inlineStr">
        <is>
          <t>OK</t>
        </is>
      </c>
    </row>
    <row r="280">
      <c r="A280" s="5" t="inlineStr">
        <is>
          <t>E01526</t>
        </is>
      </c>
      <c r="B280" s="5" t="inlineStr">
        <is>
          <t>Female</t>
        </is>
      </c>
      <c r="C280" s="6" t="inlineStr">
        <is>
          <t>33</t>
        </is>
      </c>
      <c r="D280" s="5" t="inlineStr">
        <is>
          <t>Married</t>
        </is>
      </c>
      <c r="E280" s="5" t="inlineStr">
        <is>
          <t>High School</t>
        </is>
      </c>
      <c r="F280" s="5" t="inlineStr">
        <is>
          <t>Customer Support</t>
        </is>
      </c>
      <c r="G280" s="5" t="inlineStr">
        <is>
          <t>Support Lead</t>
        </is>
      </c>
      <c r="H280" s="5" t="inlineStr">
        <is>
          <t>3</t>
        </is>
      </c>
      <c r="I280" s="5" t="inlineStr">
        <is>
          <t>Hyderabad</t>
        </is>
      </c>
      <c r="J280" s="5" t="inlineStr">
        <is>
          <t>Full-Time</t>
        </is>
      </c>
      <c r="K280" s="7" t="n">
        <v>45671</v>
      </c>
      <c r="L280" s="7" t="n">
        <v>45711</v>
      </c>
      <c r="M280" s="5" t="inlineStr">
        <is>
          <t>No</t>
        </is>
      </c>
      <c r="N280" s="5" t="inlineStr">
        <is>
          <t>Layoff</t>
        </is>
      </c>
      <c r="O280" s="8" t="inlineStr">
        <is>
          <t>76000</t>
        </is>
      </c>
      <c r="P280" s="5" t="inlineStr">
        <is>
          <t>0</t>
        </is>
      </c>
      <c r="Q280" s="5" t="inlineStr">
        <is>
          <t>4</t>
        </is>
      </c>
      <c r="R280" s="5" t="inlineStr">
        <is>
          <t>9</t>
        </is>
      </c>
      <c r="S280" s="5" t="inlineStr">
        <is>
          <t>1</t>
        </is>
      </c>
      <c r="T280" s="5" t="inlineStr">
        <is>
          <t>10</t>
        </is>
      </c>
      <c r="U280" s="5" t="inlineStr">
        <is>
          <t>OK</t>
        </is>
      </c>
    </row>
    <row r="281">
      <c r="A281" s="5" t="inlineStr">
        <is>
          <t>E02441</t>
        </is>
      </c>
      <c r="B281" s="5" t="inlineStr">
        <is>
          <t>Male</t>
        </is>
      </c>
      <c r="C281" s="6" t="inlineStr">
        <is>
          <t>36</t>
        </is>
      </c>
      <c r="D281" s="5" t="inlineStr">
        <is>
          <t>Married</t>
        </is>
      </c>
      <c r="E281" s="5" t="inlineStr">
        <is>
          <t>Master</t>
        </is>
      </c>
      <c r="F281" s="5" t="inlineStr">
        <is>
          <t>Operations</t>
        </is>
      </c>
      <c r="G281" s="5" t="inlineStr">
        <is>
          <t>Operations Analyst</t>
        </is>
      </c>
      <c r="H281" s="5" t="inlineStr">
        <is>
          <t>3</t>
        </is>
      </c>
      <c r="I281" s="5" t="inlineStr">
        <is>
          <t>Hyderabad</t>
        </is>
      </c>
      <c r="J281" s="5" t="inlineStr">
        <is>
          <t>Full-Time</t>
        </is>
      </c>
      <c r="K281" s="7" t="n">
        <v>45047</v>
      </c>
      <c r="L281" s="7" t="inlineStr"/>
      <c r="M281" s="5" t="inlineStr">
        <is>
          <t>Yes</t>
        </is>
      </c>
      <c r="N281" s="5" t="inlineStr"/>
      <c r="O281" s="8" t="inlineStr">
        <is>
          <t>78000</t>
        </is>
      </c>
      <c r="P281" s="5" t="inlineStr">
        <is>
          <t>5</t>
        </is>
      </c>
      <c r="Q281" s="5" t="inlineStr">
        <is>
          <t>2</t>
        </is>
      </c>
      <c r="R281" s="5" t="inlineStr">
        <is>
          <t>6</t>
        </is>
      </c>
      <c r="S281" s="5" t="inlineStr">
        <is>
          <t>32</t>
        </is>
      </c>
      <c r="T281" s="5" t="inlineStr">
        <is>
          <t>5</t>
        </is>
      </c>
      <c r="U281" s="5" t="inlineStr">
        <is>
          <t>OK</t>
        </is>
      </c>
    </row>
    <row r="282">
      <c r="A282" s="5" t="inlineStr">
        <is>
          <t>E02780</t>
        </is>
      </c>
      <c r="B282" s="5" t="inlineStr">
        <is>
          <t>Female</t>
        </is>
      </c>
      <c r="C282" s="6" t="inlineStr">
        <is>
          <t>32</t>
        </is>
      </c>
      <c r="D282" s="5" t="inlineStr">
        <is>
          <t>Married</t>
        </is>
      </c>
      <c r="E282" s="5" t="inlineStr">
        <is>
          <t>PhD</t>
        </is>
      </c>
      <c r="F282" s="5" t="inlineStr">
        <is>
          <t>Sales</t>
        </is>
      </c>
      <c r="G282" s="5" t="inlineStr">
        <is>
          <t>Business Development</t>
        </is>
      </c>
      <c r="H282" s="5" t="inlineStr">
        <is>
          <t>3</t>
        </is>
      </c>
      <c r="I282" s="5" t="inlineStr">
        <is>
          <t>Remote</t>
        </is>
      </c>
      <c r="J282" s="5" t="inlineStr">
        <is>
          <t>Full-Time</t>
        </is>
      </c>
      <c r="K282" s="7" t="n">
        <v>45875</v>
      </c>
      <c r="L282" s="7" t="n">
        <v>45937</v>
      </c>
      <c r="M282" s="5" t="inlineStr">
        <is>
          <t>No</t>
        </is>
      </c>
      <c r="N282" s="5" t="inlineStr">
        <is>
          <t>Resigned</t>
        </is>
      </c>
      <c r="O282" s="8" t="inlineStr">
        <is>
          <t>129000</t>
        </is>
      </c>
      <c r="P282" s="5" t="inlineStr">
        <is>
          <t>10</t>
        </is>
      </c>
      <c r="Q282" s="5" t="inlineStr">
        <is>
          <t>2</t>
        </is>
      </c>
      <c r="R282" s="5" t="inlineStr">
        <is>
          <t>7</t>
        </is>
      </c>
      <c r="S282" s="5" t="inlineStr">
        <is>
          <t>2</t>
        </is>
      </c>
      <c r="T282" s="5" t="inlineStr">
        <is>
          <t>3</t>
        </is>
      </c>
      <c r="U282" s="5" t="inlineStr">
        <is>
          <t>OK</t>
        </is>
      </c>
    </row>
    <row r="283">
      <c r="A283" s="5" t="inlineStr">
        <is>
          <t>E02897</t>
        </is>
      </c>
      <c r="B283" s="5" t="inlineStr">
        <is>
          <t>Female</t>
        </is>
      </c>
      <c r="C283" s="6" t="inlineStr">
        <is>
          <t>32</t>
        </is>
      </c>
      <c r="D283" s="5" t="inlineStr">
        <is>
          <t>Married</t>
        </is>
      </c>
      <c r="E283" s="5" t="inlineStr">
        <is>
          <t>Bachelor</t>
        </is>
      </c>
      <c r="F283" s="5" t="inlineStr">
        <is>
          <t>Sales</t>
        </is>
      </c>
      <c r="G283" s="5" t="inlineStr">
        <is>
          <t>Business Development</t>
        </is>
      </c>
      <c r="H283" s="5" t="inlineStr">
        <is>
          <t>3</t>
        </is>
      </c>
      <c r="I283" s="5" t="inlineStr">
        <is>
          <t>Remote</t>
        </is>
      </c>
      <c r="J283" s="5" t="inlineStr">
        <is>
          <t>Full-Time</t>
        </is>
      </c>
      <c r="K283" s="7" t="n">
        <v>43940</v>
      </c>
      <c r="L283" s="7" t="inlineStr"/>
      <c r="M283" s="5" t="inlineStr">
        <is>
          <t>Yes</t>
        </is>
      </c>
      <c r="N283" s="5" t="inlineStr"/>
      <c r="O283" s="8" t="inlineStr">
        <is>
          <t>99000</t>
        </is>
      </c>
      <c r="P283" s="5" t="inlineStr">
        <is>
          <t>5</t>
        </is>
      </c>
      <c r="Q283" s="5" t="inlineStr">
        <is>
          <t>4</t>
        </is>
      </c>
      <c r="R283" s="5" t="inlineStr">
        <is>
          <t>4</t>
        </is>
      </c>
      <c r="S283" s="5" t="inlineStr">
        <is>
          <t>69</t>
        </is>
      </c>
      <c r="T283" s="5" t="inlineStr">
        <is>
          <t>5</t>
        </is>
      </c>
      <c r="U283" s="5" t="inlineStr">
        <is>
          <t>OK</t>
        </is>
      </c>
    </row>
    <row r="284">
      <c r="A284" s="5" t="inlineStr">
        <is>
          <t>E01886</t>
        </is>
      </c>
      <c r="B284" s="5" t="inlineStr">
        <is>
          <t>Male</t>
        </is>
      </c>
      <c r="C284" s="6" t="inlineStr">
        <is>
          <t>33</t>
        </is>
      </c>
      <c r="D284" s="5" t="inlineStr">
        <is>
          <t>Single</t>
        </is>
      </c>
      <c r="E284" s="5" t="inlineStr">
        <is>
          <t>Diploma</t>
        </is>
      </c>
      <c r="F284" s="5" t="inlineStr">
        <is>
          <t>Sales</t>
        </is>
      </c>
      <c r="G284" s="5" t="inlineStr">
        <is>
          <t>Business Development</t>
        </is>
      </c>
      <c r="H284" s="5" t="inlineStr">
        <is>
          <t>3</t>
        </is>
      </c>
      <c r="I284" s="5" t="inlineStr">
        <is>
          <t>Delhi</t>
        </is>
      </c>
      <c r="J284" s="5" t="inlineStr">
        <is>
          <t>Full-Time</t>
        </is>
      </c>
      <c r="K284" s="7" t="n">
        <v>45467</v>
      </c>
      <c r="L284" s="7" t="inlineStr"/>
      <c r="M284" s="5" t="inlineStr">
        <is>
          <t>Yes</t>
        </is>
      </c>
      <c r="N284" s="5" t="inlineStr"/>
      <c r="O284" s="8" t="inlineStr">
        <is>
          <t>97500</t>
        </is>
      </c>
      <c r="P284" s="5" t="inlineStr">
        <is>
          <t>5</t>
        </is>
      </c>
      <c r="Q284" s="5" t="inlineStr">
        <is>
          <t>3</t>
        </is>
      </c>
      <c r="R284" s="5" t="inlineStr">
        <is>
          <t>5</t>
        </is>
      </c>
      <c r="S284" s="5" t="inlineStr">
        <is>
          <t>18</t>
        </is>
      </c>
      <c r="T284" s="5" t="inlineStr">
        <is>
          <t>9</t>
        </is>
      </c>
      <c r="U284" s="5" t="inlineStr">
        <is>
          <t>OK</t>
        </is>
      </c>
    </row>
    <row r="285">
      <c r="A285" s="5" t="inlineStr">
        <is>
          <t>E01116</t>
        </is>
      </c>
      <c r="B285" s="5" t="inlineStr">
        <is>
          <t>Female</t>
        </is>
      </c>
      <c r="C285" s="6" t="inlineStr">
        <is>
          <t>30</t>
        </is>
      </c>
      <c r="D285" s="5" t="inlineStr">
        <is>
          <t>Married</t>
        </is>
      </c>
      <c r="E285" s="5" t="inlineStr">
        <is>
          <t>Diploma</t>
        </is>
      </c>
      <c r="F285" s="5" t="inlineStr">
        <is>
          <t>Operations</t>
        </is>
      </c>
      <c r="G285" s="5" t="inlineStr">
        <is>
          <t>Quality Analyst</t>
        </is>
      </c>
      <c r="H285" s="5" t="inlineStr">
        <is>
          <t>2</t>
        </is>
      </c>
      <c r="I285" s="5" t="inlineStr">
        <is>
          <t>Remote</t>
        </is>
      </c>
      <c r="J285" s="5" t="inlineStr">
        <is>
          <t>Full-Time</t>
        </is>
      </c>
      <c r="K285" s="7" t="n">
        <v>44926</v>
      </c>
      <c r="L285" s="7" t="inlineStr"/>
      <c r="M285" s="5" t="inlineStr">
        <is>
          <t>Yes</t>
        </is>
      </c>
      <c r="N285" s="5" t="inlineStr"/>
      <c r="O285" s="8" t="inlineStr">
        <is>
          <t>94500</t>
        </is>
      </c>
      <c r="P285" s="5" t="inlineStr">
        <is>
          <t>0</t>
        </is>
      </c>
      <c r="Q285" s="5" t="inlineStr">
        <is>
          <t>5</t>
        </is>
      </c>
      <c r="R285" s="5" t="inlineStr">
        <is>
          <t>9</t>
        </is>
      </c>
      <c r="S285" s="5" t="inlineStr">
        <is>
          <t>36</t>
        </is>
      </c>
      <c r="T285" s="5" t="inlineStr">
        <is>
          <t>9</t>
        </is>
      </c>
      <c r="U285" s="5" t="inlineStr">
        <is>
          <t>OK</t>
        </is>
      </c>
    </row>
    <row r="286">
      <c r="A286" s="5" t="inlineStr">
        <is>
          <t>E00223</t>
        </is>
      </c>
      <c r="B286" s="5" t="inlineStr">
        <is>
          <t>Female</t>
        </is>
      </c>
      <c r="C286" s="6" t="inlineStr">
        <is>
          <t>29</t>
        </is>
      </c>
      <c r="D286" s="5" t="inlineStr">
        <is>
          <t>Married</t>
        </is>
      </c>
      <c r="E286" s="5" t="inlineStr">
        <is>
          <t>PhD</t>
        </is>
      </c>
      <c r="F286" s="5" t="inlineStr">
        <is>
          <t>Marketing</t>
        </is>
      </c>
      <c r="G286" s="5" t="inlineStr">
        <is>
          <t>Marketing Analyst</t>
        </is>
      </c>
      <c r="H286" s="5" t="inlineStr">
        <is>
          <t>3</t>
        </is>
      </c>
      <c r="I286" s="5" t="inlineStr">
        <is>
          <t>Hyderabad</t>
        </is>
      </c>
      <c r="J286" s="5" t="inlineStr">
        <is>
          <t>Full-Time</t>
        </is>
      </c>
      <c r="K286" s="7" t="n">
        <v>44467</v>
      </c>
      <c r="L286" s="7" t="inlineStr"/>
      <c r="M286" s="5" t="inlineStr">
        <is>
          <t>Yes</t>
        </is>
      </c>
      <c r="N286" s="5" t="inlineStr"/>
      <c r="O286" s="8" t="inlineStr">
        <is>
          <t>82000</t>
        </is>
      </c>
      <c r="P286" s="5" t="inlineStr">
        <is>
          <t>10</t>
        </is>
      </c>
      <c r="Q286" s="5" t="inlineStr">
        <is>
          <t>5</t>
        </is>
      </c>
      <c r="R286" s="5" t="inlineStr">
        <is>
          <t>8</t>
        </is>
      </c>
      <c r="S286" s="5" t="inlineStr">
        <is>
          <t>51</t>
        </is>
      </c>
      <c r="T286" s="5" t="inlineStr">
        <is>
          <t>10</t>
        </is>
      </c>
      <c r="U286" s="5" t="inlineStr">
        <is>
          <t>OK</t>
        </is>
      </c>
    </row>
    <row r="287">
      <c r="A287" s="5" t="inlineStr">
        <is>
          <t>E00179</t>
        </is>
      </c>
      <c r="B287" s="5" t="inlineStr">
        <is>
          <t>Female</t>
        </is>
      </c>
      <c r="C287" s="6" t="inlineStr">
        <is>
          <t>26</t>
        </is>
      </c>
      <c r="D287" s="5" t="inlineStr">
        <is>
          <t>Single</t>
        </is>
      </c>
      <c r="E287" s="5" t="inlineStr">
        <is>
          <t>PhD</t>
        </is>
      </c>
      <c r="F287" s="5" t="inlineStr">
        <is>
          <t>IT</t>
        </is>
      </c>
      <c r="G287" s="5" t="inlineStr">
        <is>
          <t>Data Analyst</t>
        </is>
      </c>
      <c r="H287" s="5" t="inlineStr">
        <is>
          <t>2</t>
        </is>
      </c>
      <c r="I287" s="5" t="inlineStr">
        <is>
          <t>Delhi</t>
        </is>
      </c>
      <c r="J287" s="5" t="inlineStr">
        <is>
          <t>Full-Time</t>
        </is>
      </c>
      <c r="K287" s="7" t="n">
        <v>44863</v>
      </c>
      <c r="L287" s="7" t="inlineStr"/>
      <c r="M287" s="5" t="inlineStr">
        <is>
          <t>Yes</t>
        </is>
      </c>
      <c r="N287" s="5" t="inlineStr"/>
      <c r="O287" s="8" t="inlineStr">
        <is>
          <t>163000</t>
        </is>
      </c>
      <c r="P287" s="5" t="inlineStr">
        <is>
          <t>0</t>
        </is>
      </c>
      <c r="Q287" s="5" t="inlineStr">
        <is>
          <t>4</t>
        </is>
      </c>
      <c r="R287" s="5" t="inlineStr">
        <is>
          <t>8</t>
        </is>
      </c>
      <c r="S287" s="5" t="inlineStr">
        <is>
          <t>38</t>
        </is>
      </c>
      <c r="T287" s="5" t="inlineStr">
        <is>
          <t>7</t>
        </is>
      </c>
      <c r="U287" s="5" t="inlineStr">
        <is>
          <t>OK</t>
        </is>
      </c>
    </row>
    <row r="288">
      <c r="A288" s="5" t="inlineStr">
        <is>
          <t>E02998</t>
        </is>
      </c>
      <c r="B288" s="5" t="inlineStr">
        <is>
          <t>Female</t>
        </is>
      </c>
      <c r="C288" s="6" t="inlineStr">
        <is>
          <t>37</t>
        </is>
      </c>
      <c r="D288" s="5" t="inlineStr">
        <is>
          <t>Married</t>
        </is>
      </c>
      <c r="E288" s="5" t="inlineStr">
        <is>
          <t>Diploma</t>
        </is>
      </c>
      <c r="F288" s="5" t="inlineStr">
        <is>
          <t>Customer Support</t>
        </is>
      </c>
      <c r="G288" s="5" t="inlineStr">
        <is>
          <t>Escalation Specialist</t>
        </is>
      </c>
      <c r="H288" s="5" t="inlineStr">
        <is>
          <t>4</t>
        </is>
      </c>
      <c r="I288" s="5" t="inlineStr">
        <is>
          <t>Hyderabad</t>
        </is>
      </c>
      <c r="J288" s="5" t="inlineStr">
        <is>
          <t>Full-Time</t>
        </is>
      </c>
      <c r="K288" s="7" t="n">
        <v>44031</v>
      </c>
      <c r="L288" s="7" t="inlineStr"/>
      <c r="M288" s="5" t="inlineStr">
        <is>
          <t>Yes</t>
        </is>
      </c>
      <c r="N288" s="5" t="inlineStr"/>
      <c r="O288" s="8" t="inlineStr">
        <is>
          <t>94500</t>
        </is>
      </c>
      <c r="P288" s="5" t="inlineStr">
        <is>
          <t>20</t>
        </is>
      </c>
      <c r="Q288" s="5" t="inlineStr">
        <is>
          <t>3</t>
        </is>
      </c>
      <c r="R288" s="5" t="inlineStr">
        <is>
          <t>8</t>
        </is>
      </c>
      <c r="S288" s="5" t="inlineStr">
        <is>
          <t>66</t>
        </is>
      </c>
      <c r="T288" s="5" t="inlineStr">
        <is>
          <t>0</t>
        </is>
      </c>
      <c r="U288" s="5" t="inlineStr">
        <is>
          <t>OK</t>
        </is>
      </c>
    </row>
    <row r="289">
      <c r="A289" s="5" t="inlineStr">
        <is>
          <t>E02168</t>
        </is>
      </c>
      <c r="B289" s="5" t="inlineStr">
        <is>
          <t>Male</t>
        </is>
      </c>
      <c r="C289" s="6" t="inlineStr">
        <is>
          <t>40</t>
        </is>
      </c>
      <c r="D289" s="5" t="inlineStr">
        <is>
          <t>Single</t>
        </is>
      </c>
      <c r="E289" s="5" t="inlineStr">
        <is>
          <t>High School</t>
        </is>
      </c>
      <c r="F289" s="5" t="inlineStr">
        <is>
          <t>Customer Support</t>
        </is>
      </c>
      <c r="G289" s="5" t="inlineStr">
        <is>
          <t>Support Agent</t>
        </is>
      </c>
      <c r="H289" s="5" t="inlineStr">
        <is>
          <t>5</t>
        </is>
      </c>
      <c r="I289" s="5" t="inlineStr">
        <is>
          <t>Remote</t>
        </is>
      </c>
      <c r="J289" s="5" t="inlineStr">
        <is>
          <t>Full-Time</t>
        </is>
      </c>
      <c r="K289" s="7" t="n">
        <v>45701</v>
      </c>
      <c r="L289" s="7" t="inlineStr"/>
      <c r="M289" s="5" t="inlineStr">
        <is>
          <t>Yes</t>
        </is>
      </c>
      <c r="N289" s="5" t="inlineStr"/>
      <c r="O289" s="8" t="inlineStr">
        <is>
          <t>96000</t>
        </is>
      </c>
      <c r="P289" s="5" t="inlineStr">
        <is>
          <t>0</t>
        </is>
      </c>
      <c r="Q289" s="5" t="inlineStr">
        <is>
          <t>4</t>
        </is>
      </c>
      <c r="R289" s="5" t="inlineStr">
        <is>
          <t>4</t>
        </is>
      </c>
      <c r="S289" s="5" t="inlineStr">
        <is>
          <t>10</t>
        </is>
      </c>
      <c r="T289" s="5" t="inlineStr">
        <is>
          <t>12</t>
        </is>
      </c>
      <c r="U289" s="5" t="inlineStr">
        <is>
          <t>OK</t>
        </is>
      </c>
    </row>
    <row r="290">
      <c r="A290" s="5" t="inlineStr">
        <is>
          <t>E00506</t>
        </is>
      </c>
      <c r="B290" s="5" t="inlineStr">
        <is>
          <t>Female</t>
        </is>
      </c>
      <c r="C290" s="6" t="inlineStr">
        <is>
          <t>36</t>
        </is>
      </c>
      <c r="D290" s="5" t="inlineStr">
        <is>
          <t>Single</t>
        </is>
      </c>
      <c r="E290" s="5" t="inlineStr">
        <is>
          <t>Diploma</t>
        </is>
      </c>
      <c r="F290" s="5" t="inlineStr">
        <is>
          <t>Operations</t>
        </is>
      </c>
      <c r="G290" s="5" t="inlineStr">
        <is>
          <t>Logistics Coordinator</t>
        </is>
      </c>
      <c r="H290" s="5" t="inlineStr">
        <is>
          <t>4</t>
        </is>
      </c>
      <c r="I290" s="5" t="inlineStr">
        <is>
          <t>Delhi</t>
        </is>
      </c>
      <c r="J290" s="5" t="inlineStr">
        <is>
          <t>Full-Time</t>
        </is>
      </c>
      <c r="K290" s="7" t="n">
        <v>43986</v>
      </c>
      <c r="L290" s="7" t="inlineStr"/>
      <c r="M290" s="5" t="inlineStr">
        <is>
          <t>Yes</t>
        </is>
      </c>
      <c r="N290" s="5" t="inlineStr"/>
      <c r="O290" s="8" t="inlineStr">
        <is>
          <t>88000</t>
        </is>
      </c>
      <c r="P290" s="5" t="inlineStr">
        <is>
          <t>5</t>
        </is>
      </c>
      <c r="Q290" s="5" t="inlineStr">
        <is>
          <t>4</t>
        </is>
      </c>
      <c r="R290" s="5" t="inlineStr">
        <is>
          <t>7</t>
        </is>
      </c>
      <c r="S290" s="5" t="inlineStr">
        <is>
          <t>67</t>
        </is>
      </c>
      <c r="T290" s="5" t="inlineStr">
        <is>
          <t>1</t>
        </is>
      </c>
      <c r="U290" s="5" t="inlineStr">
        <is>
          <t>OK</t>
        </is>
      </c>
    </row>
    <row r="291">
      <c r="A291" s="5" t="inlineStr">
        <is>
          <t>E01950</t>
        </is>
      </c>
      <c r="B291" s="5" t="inlineStr">
        <is>
          <t>Male</t>
        </is>
      </c>
      <c r="C291" s="6" t="inlineStr">
        <is>
          <t>38</t>
        </is>
      </c>
      <c r="D291" s="5" t="inlineStr">
        <is>
          <t>Single</t>
        </is>
      </c>
      <c r="E291" s="5" t="inlineStr">
        <is>
          <t>Master</t>
        </is>
      </c>
      <c r="F291" s="5" t="inlineStr">
        <is>
          <t>Research &amp; Development</t>
        </is>
      </c>
      <c r="G291" s="5" t="inlineStr">
        <is>
          <t>Research Scientist</t>
        </is>
      </c>
      <c r="H291" s="5" t="inlineStr">
        <is>
          <t>6</t>
        </is>
      </c>
      <c r="I291" s="5" t="inlineStr">
        <is>
          <t>Chennai</t>
        </is>
      </c>
      <c r="J291" s="5" t="inlineStr">
        <is>
          <t>Full-Time</t>
        </is>
      </c>
      <c r="K291" s="7" t="n">
        <v>44280</v>
      </c>
      <c r="L291" s="7" t="inlineStr"/>
      <c r="M291" s="5" t="inlineStr">
        <is>
          <t>Yes</t>
        </is>
      </c>
      <c r="N291" s="5" t="inlineStr"/>
      <c r="O291" s="8" t="inlineStr">
        <is>
          <t>267000</t>
        </is>
      </c>
      <c r="P291" s="5" t="inlineStr">
        <is>
          <t>0</t>
        </is>
      </c>
      <c r="Q291" s="5" t="inlineStr">
        <is>
          <t>5</t>
        </is>
      </c>
      <c r="R291" s="5" t="inlineStr">
        <is>
          <t>7</t>
        </is>
      </c>
      <c r="S291" s="5" t="inlineStr">
        <is>
          <t>58</t>
        </is>
      </c>
      <c r="T291" s="5" t="inlineStr">
        <is>
          <t>15</t>
        </is>
      </c>
      <c r="U291" s="5" t="inlineStr">
        <is>
          <t>OK</t>
        </is>
      </c>
    </row>
    <row r="292">
      <c r="A292" s="5" t="inlineStr">
        <is>
          <t>E01196</t>
        </is>
      </c>
      <c r="B292" s="5" t="inlineStr">
        <is>
          <t>Male</t>
        </is>
      </c>
      <c r="C292" s="6" t="inlineStr">
        <is>
          <t>43</t>
        </is>
      </c>
      <c r="D292" s="5" t="inlineStr">
        <is>
          <t>Married</t>
        </is>
      </c>
      <c r="E292" s="5" t="inlineStr">
        <is>
          <t>Diploma</t>
        </is>
      </c>
      <c r="F292" s="5" t="inlineStr">
        <is>
          <t>Operations</t>
        </is>
      </c>
      <c r="G292" s="5" t="inlineStr">
        <is>
          <t>Operations Analyst</t>
        </is>
      </c>
      <c r="H292" s="5" t="inlineStr">
        <is>
          <t>6</t>
        </is>
      </c>
      <c r="I292" s="5" t="inlineStr">
        <is>
          <t>Remote</t>
        </is>
      </c>
      <c r="J292" s="5" t="inlineStr">
        <is>
          <t>Full-Time</t>
        </is>
      </c>
      <c r="K292" s="7" t="n">
        <v>45534</v>
      </c>
      <c r="L292" s="7" t="n">
        <v>45583</v>
      </c>
      <c r="M292" s="5" t="inlineStr">
        <is>
          <t>No</t>
        </is>
      </c>
      <c r="N292" s="5" t="inlineStr">
        <is>
          <t>Retirement</t>
        </is>
      </c>
      <c r="O292" s="8" t="inlineStr">
        <is>
          <t>143000</t>
        </is>
      </c>
      <c r="P292" s="5" t="inlineStr">
        <is>
          <t>10</t>
        </is>
      </c>
      <c r="Q292" s="5" t="inlineStr">
        <is>
          <t>1</t>
        </is>
      </c>
      <c r="R292" s="5" t="inlineStr">
        <is>
          <t>10</t>
        </is>
      </c>
      <c r="S292" s="5" t="inlineStr">
        <is>
          <t>1</t>
        </is>
      </c>
      <c r="T292" s="5" t="inlineStr">
        <is>
          <t>10</t>
        </is>
      </c>
      <c r="U292" s="5" t="inlineStr">
        <is>
          <t>OK</t>
        </is>
      </c>
    </row>
    <row r="293">
      <c r="A293" s="5" t="inlineStr">
        <is>
          <t>E02013</t>
        </is>
      </c>
      <c r="B293" s="5" t="inlineStr">
        <is>
          <t>Male</t>
        </is>
      </c>
      <c r="C293" s="6" t="inlineStr">
        <is>
          <t>34</t>
        </is>
      </c>
      <c r="D293" s="5" t="inlineStr">
        <is>
          <t>Married</t>
        </is>
      </c>
      <c r="E293" s="5" t="inlineStr">
        <is>
          <t>High School</t>
        </is>
      </c>
      <c r="F293" s="5" t="inlineStr">
        <is>
          <t>Finance</t>
        </is>
      </c>
      <c r="G293" s="5" t="inlineStr">
        <is>
          <t>Credit Analyst</t>
        </is>
      </c>
      <c r="H293" s="5" t="inlineStr">
        <is>
          <t>3</t>
        </is>
      </c>
      <c r="I293" s="5" t="inlineStr">
        <is>
          <t>Remote</t>
        </is>
      </c>
      <c r="J293" s="5" t="inlineStr">
        <is>
          <t>Full-Time</t>
        </is>
      </c>
      <c r="K293" s="7" t="n">
        <v>45696</v>
      </c>
      <c r="L293" s="7" t="inlineStr"/>
      <c r="M293" s="5" t="inlineStr">
        <is>
          <t>Yes</t>
        </is>
      </c>
      <c r="N293" s="5" t="inlineStr"/>
      <c r="O293" s="8" t="inlineStr">
        <is>
          <t>93000</t>
        </is>
      </c>
      <c r="P293" s="5" t="inlineStr">
        <is>
          <t>10</t>
        </is>
      </c>
      <c r="Q293" s="5" t="inlineStr">
        <is>
          <t>3</t>
        </is>
      </c>
      <c r="R293" s="5" t="inlineStr">
        <is>
          <t>4</t>
        </is>
      </c>
      <c r="S293" s="5" t="inlineStr">
        <is>
          <t>10</t>
        </is>
      </c>
      <c r="T293" s="5" t="inlineStr">
        <is>
          <t>13</t>
        </is>
      </c>
      <c r="U293" s="5" t="inlineStr">
        <is>
          <t>OK</t>
        </is>
      </c>
    </row>
    <row r="294">
      <c r="A294" s="5" t="inlineStr">
        <is>
          <t>E02929</t>
        </is>
      </c>
      <c r="B294" s="5" t="inlineStr">
        <is>
          <t>Female</t>
        </is>
      </c>
      <c r="C294" s="6" t="inlineStr">
        <is>
          <t>30</t>
        </is>
      </c>
      <c r="D294" s="5" t="inlineStr">
        <is>
          <t>Single</t>
        </is>
      </c>
      <c r="E294" s="5" t="inlineStr">
        <is>
          <t>Diploma</t>
        </is>
      </c>
      <c r="F294" s="5" t="inlineStr">
        <is>
          <t>Sales</t>
        </is>
      </c>
      <c r="G294" s="5" t="inlineStr">
        <is>
          <t>Sales Executive</t>
        </is>
      </c>
      <c r="H294" s="5" t="inlineStr">
        <is>
          <t>2</t>
        </is>
      </c>
      <c r="I294" s="5" t="inlineStr">
        <is>
          <t>Chennai</t>
        </is>
      </c>
      <c r="J294" s="5" t="inlineStr">
        <is>
          <t>Full-Time</t>
        </is>
      </c>
      <c r="K294" s="7" t="n">
        <v>44133</v>
      </c>
      <c r="L294" s="7" t="inlineStr"/>
      <c r="M294" s="5" t="inlineStr">
        <is>
          <t>Yes</t>
        </is>
      </c>
      <c r="N294" s="5" t="inlineStr"/>
      <c r="O294" s="8" t="inlineStr">
        <is>
          <t>69000</t>
        </is>
      </c>
      <c r="P294" s="5" t="inlineStr">
        <is>
          <t>20</t>
        </is>
      </c>
      <c r="Q294" s="5" t="inlineStr">
        <is>
          <t>4</t>
        </is>
      </c>
      <c r="R294" s="5" t="inlineStr">
        <is>
          <t>6</t>
        </is>
      </c>
      <c r="S294" s="5" t="inlineStr">
        <is>
          <t>62</t>
        </is>
      </c>
      <c r="T294" s="5" t="inlineStr">
        <is>
          <t>0</t>
        </is>
      </c>
      <c r="U294" s="5" t="inlineStr">
        <is>
          <t>OK</t>
        </is>
      </c>
    </row>
    <row r="295">
      <c r="A295" s="5" t="inlineStr">
        <is>
          <t>E01297</t>
        </is>
      </c>
      <c r="B295" s="5" t="inlineStr">
        <is>
          <t>Female</t>
        </is>
      </c>
      <c r="C295" s="6" t="inlineStr">
        <is>
          <t>32</t>
        </is>
      </c>
      <c r="D295" s="5" t="inlineStr">
        <is>
          <t>Single</t>
        </is>
      </c>
      <c r="E295" s="5" t="inlineStr">
        <is>
          <t>Diploma</t>
        </is>
      </c>
      <c r="F295" s="5" t="inlineStr">
        <is>
          <t>Human Resources</t>
        </is>
      </c>
      <c r="G295" s="5" t="inlineStr">
        <is>
          <t>HR Generalist</t>
        </is>
      </c>
      <c r="H295" s="5" t="inlineStr">
        <is>
          <t>3</t>
        </is>
      </c>
      <c r="I295" s="5" t="inlineStr">
        <is>
          <t>Delhi</t>
        </is>
      </c>
      <c r="J295" s="5" t="inlineStr">
        <is>
          <t>Full-Time</t>
        </is>
      </c>
      <c r="K295" s="7" t="n">
        <v>44759</v>
      </c>
      <c r="L295" s="7" t="inlineStr"/>
      <c r="M295" s="5" t="inlineStr">
        <is>
          <t>Yes</t>
        </is>
      </c>
      <c r="N295" s="5" t="inlineStr"/>
      <c r="O295" s="8" t="inlineStr">
        <is>
          <t>111000</t>
        </is>
      </c>
      <c r="P295" s="5" t="inlineStr">
        <is>
          <t>15</t>
        </is>
      </c>
      <c r="Q295" s="5" t="inlineStr">
        <is>
          <t>4</t>
        </is>
      </c>
      <c r="R295" s="5" t="inlineStr">
        <is>
          <t>4</t>
        </is>
      </c>
      <c r="S295" s="5" t="inlineStr">
        <is>
          <t>42</t>
        </is>
      </c>
      <c r="T295" s="5" t="inlineStr">
        <is>
          <t>0</t>
        </is>
      </c>
      <c r="U295" s="5" t="inlineStr">
        <is>
          <t>OK</t>
        </is>
      </c>
    </row>
    <row r="296">
      <c r="A296" s="5" t="inlineStr">
        <is>
          <t>E02655</t>
        </is>
      </c>
      <c r="B296" s="5" t="inlineStr">
        <is>
          <t>Male</t>
        </is>
      </c>
      <c r="C296" s="6" t="inlineStr">
        <is>
          <t>34</t>
        </is>
      </c>
      <c r="D296" s="5" t="inlineStr">
        <is>
          <t>Single</t>
        </is>
      </c>
      <c r="E296" s="5" t="inlineStr">
        <is>
          <t>Master</t>
        </is>
      </c>
      <c r="F296" s="5" t="inlineStr">
        <is>
          <t>Human Resources</t>
        </is>
      </c>
      <c r="G296" s="5" t="inlineStr">
        <is>
          <t>Recruiter</t>
        </is>
      </c>
      <c r="H296" s="5" t="inlineStr">
        <is>
          <t>1</t>
        </is>
      </c>
      <c r="I296" s="5" t="inlineStr">
        <is>
          <t>Delhi</t>
        </is>
      </c>
      <c r="J296" s="5" t="inlineStr">
        <is>
          <t>Full-Time</t>
        </is>
      </c>
      <c r="K296" s="7" t="n">
        <v>45597</v>
      </c>
      <c r="L296" s="7" t="inlineStr"/>
      <c r="M296" s="5" t="inlineStr">
        <is>
          <t>Yes</t>
        </is>
      </c>
      <c r="N296" s="5" t="inlineStr"/>
      <c r="O296" s="8" t="inlineStr">
        <is>
          <t>81500</t>
        </is>
      </c>
      <c r="P296" s="5" t="inlineStr">
        <is>
          <t>10</t>
        </is>
      </c>
      <c r="Q296" s="5" t="inlineStr">
        <is>
          <t>5</t>
        </is>
      </c>
      <c r="R296" s="5" t="inlineStr">
        <is>
          <t>3</t>
        </is>
      </c>
      <c r="S296" s="5" t="inlineStr">
        <is>
          <t>14</t>
        </is>
      </c>
      <c r="T296" s="5" t="inlineStr">
        <is>
          <t>0</t>
        </is>
      </c>
      <c r="U296" s="5" t="inlineStr">
        <is>
          <t>OK</t>
        </is>
      </c>
    </row>
    <row r="297">
      <c r="A297" s="5" t="inlineStr">
        <is>
          <t>E00631</t>
        </is>
      </c>
      <c r="B297" s="5" t="inlineStr">
        <is>
          <t>Female</t>
        </is>
      </c>
      <c r="C297" s="6" t="inlineStr">
        <is>
          <t>27</t>
        </is>
      </c>
      <c r="D297" s="5" t="inlineStr">
        <is>
          <t>Married</t>
        </is>
      </c>
      <c r="E297" s="5" t="inlineStr">
        <is>
          <t>Diploma</t>
        </is>
      </c>
      <c r="F297" s="5" t="inlineStr">
        <is>
          <t>Finance</t>
        </is>
      </c>
      <c r="G297" s="5" t="inlineStr">
        <is>
          <t>Credit Analyst</t>
        </is>
      </c>
      <c r="H297" s="5" t="inlineStr">
        <is>
          <t>1</t>
        </is>
      </c>
      <c r="I297" s="5" t="inlineStr">
        <is>
          <t>Delhi</t>
        </is>
      </c>
      <c r="J297" s="5" t="inlineStr">
        <is>
          <t>Full-Time</t>
        </is>
      </c>
      <c r="K297" s="7" t="n">
        <v>44951</v>
      </c>
      <c r="L297" s="7" t="inlineStr"/>
      <c r="M297" s="5" t="inlineStr">
        <is>
          <t>Yes</t>
        </is>
      </c>
      <c r="N297" s="5" t="inlineStr"/>
      <c r="O297" s="8" t="inlineStr">
        <is>
          <t>76000</t>
        </is>
      </c>
      <c r="P297" s="5" t="inlineStr">
        <is>
          <t>0</t>
        </is>
      </c>
      <c r="Q297" s="5" t="inlineStr">
        <is>
          <t>3</t>
        </is>
      </c>
      <c r="R297" s="5" t="inlineStr">
        <is>
          <t>9</t>
        </is>
      </c>
      <c r="S297" s="5" t="inlineStr">
        <is>
          <t>35</t>
        </is>
      </c>
      <c r="T297" s="5" t="inlineStr">
        <is>
          <t>2</t>
        </is>
      </c>
      <c r="U297" s="5" t="inlineStr">
        <is>
          <t>OK</t>
        </is>
      </c>
    </row>
    <row r="298">
      <c r="A298" s="5" t="inlineStr">
        <is>
          <t>E00148</t>
        </is>
      </c>
      <c r="B298" s="5" t="inlineStr">
        <is>
          <t>Male</t>
        </is>
      </c>
      <c r="C298" s="6" t="inlineStr">
        <is>
          <t>34</t>
        </is>
      </c>
      <c r="D298" s="5" t="inlineStr">
        <is>
          <t>Married</t>
        </is>
      </c>
      <c r="E298" s="5" t="inlineStr">
        <is>
          <t>Master</t>
        </is>
      </c>
      <c r="F298" s="5" t="inlineStr">
        <is>
          <t>Human Resources</t>
        </is>
      </c>
      <c r="G298" s="5" t="inlineStr">
        <is>
          <t>HR Generalist</t>
        </is>
      </c>
      <c r="H298" s="5" t="inlineStr">
        <is>
          <t>3</t>
        </is>
      </c>
      <c r="I298" s="5" t="inlineStr">
        <is>
          <t>Hyderabad</t>
        </is>
      </c>
      <c r="J298" s="5" t="inlineStr">
        <is>
          <t>Full-Time</t>
        </is>
      </c>
      <c r="K298" s="7" t="n">
        <v>44649</v>
      </c>
      <c r="L298" s="7" t="inlineStr"/>
      <c r="M298" s="5" t="inlineStr">
        <is>
          <t>Yes</t>
        </is>
      </c>
      <c r="N298" s="5" t="inlineStr"/>
      <c r="O298" s="8" t="inlineStr">
        <is>
          <t>97000</t>
        </is>
      </c>
      <c r="P298" s="5" t="inlineStr">
        <is>
          <t>0</t>
        </is>
      </c>
      <c r="Q298" s="5" t="inlineStr">
        <is>
          <t>3</t>
        </is>
      </c>
      <c r="R298" s="5" t="inlineStr">
        <is>
          <t>6</t>
        </is>
      </c>
      <c r="S298" s="5" t="inlineStr">
        <is>
          <t>45</t>
        </is>
      </c>
      <c r="T298" s="5" t="inlineStr">
        <is>
          <t>7</t>
        </is>
      </c>
      <c r="U298" s="5" t="inlineStr">
        <is>
          <t>OK</t>
        </is>
      </c>
    </row>
    <row r="299">
      <c r="A299" s="5" t="inlineStr">
        <is>
          <t>E00935</t>
        </is>
      </c>
      <c r="B299" s="5" t="inlineStr">
        <is>
          <t>Male</t>
        </is>
      </c>
      <c r="C299" s="6" t="inlineStr">
        <is>
          <t>26</t>
        </is>
      </c>
      <c r="D299" s="5" t="inlineStr">
        <is>
          <t>Married</t>
        </is>
      </c>
      <c r="E299" s="5" t="inlineStr">
        <is>
          <t>Bachelor</t>
        </is>
      </c>
      <c r="F299" s="5" t="inlineStr">
        <is>
          <t>Operations</t>
        </is>
      </c>
      <c r="G299" s="5" t="inlineStr">
        <is>
          <t>Logistics Coordinator</t>
        </is>
      </c>
      <c r="H299" s="5" t="inlineStr">
        <is>
          <t>2</t>
        </is>
      </c>
      <c r="I299" s="5" t="inlineStr">
        <is>
          <t>Remote</t>
        </is>
      </c>
      <c r="J299" s="5" t="inlineStr">
        <is>
          <t>Full-Time</t>
        </is>
      </c>
      <c r="K299" s="7" t="n">
        <v>44508</v>
      </c>
      <c r="L299" s="7" t="n">
        <v>44600</v>
      </c>
      <c r="M299" s="5" t="inlineStr">
        <is>
          <t>No</t>
        </is>
      </c>
      <c r="N299" s="5" t="inlineStr">
        <is>
          <t>Resigned</t>
        </is>
      </c>
      <c r="O299" s="8" t="inlineStr">
        <is>
          <t>71000</t>
        </is>
      </c>
      <c r="P299" s="5" t="inlineStr">
        <is>
          <t>5</t>
        </is>
      </c>
      <c r="Q299" s="5" t="inlineStr">
        <is>
          <t>3</t>
        </is>
      </c>
      <c r="R299" s="5" t="inlineStr">
        <is>
          <t>8</t>
        </is>
      </c>
      <c r="S299" s="5" t="inlineStr">
        <is>
          <t>3</t>
        </is>
      </c>
      <c r="T299" s="5" t="inlineStr">
        <is>
          <t>0</t>
        </is>
      </c>
      <c r="U299" s="5" t="inlineStr">
        <is>
          <t>OK</t>
        </is>
      </c>
    </row>
    <row r="300">
      <c r="A300" s="5" t="inlineStr">
        <is>
          <t>E02139</t>
        </is>
      </c>
      <c r="B300" s="5" t="inlineStr">
        <is>
          <t>Female</t>
        </is>
      </c>
      <c r="C300" s="6" t="inlineStr">
        <is>
          <t>31</t>
        </is>
      </c>
      <c r="D300" s="5" t="inlineStr">
        <is>
          <t>Married</t>
        </is>
      </c>
      <c r="E300" s="5" t="inlineStr">
        <is>
          <t>PhD</t>
        </is>
      </c>
      <c r="F300" s="5" t="inlineStr">
        <is>
          <t>Human Resources</t>
        </is>
      </c>
      <c r="G300" s="5" t="inlineStr">
        <is>
          <t>HR Generalist</t>
        </is>
      </c>
      <c r="H300" s="5" t="inlineStr">
        <is>
          <t>3</t>
        </is>
      </c>
      <c r="I300" s="5" t="inlineStr">
        <is>
          <t>Hyderabad</t>
        </is>
      </c>
      <c r="J300" s="5" t="inlineStr">
        <is>
          <t>Contract</t>
        </is>
      </c>
      <c r="K300" s="7" t="n">
        <v>44791</v>
      </c>
      <c r="L300" s="7" t="inlineStr"/>
      <c r="M300" s="5" t="inlineStr">
        <is>
          <t>Yes</t>
        </is>
      </c>
      <c r="N300" s="5" t="inlineStr"/>
      <c r="O300" s="8" t="inlineStr">
        <is>
          <t>99000</t>
        </is>
      </c>
      <c r="P300" s="5" t="inlineStr">
        <is>
          <t>0</t>
        </is>
      </c>
      <c r="Q300" s="5" t="inlineStr">
        <is>
          <t>2</t>
        </is>
      </c>
      <c r="R300" s="5" t="inlineStr">
        <is>
          <t>4</t>
        </is>
      </c>
      <c r="S300" s="5" t="inlineStr">
        <is>
          <t>41</t>
        </is>
      </c>
      <c r="T300" s="5" t="inlineStr">
        <is>
          <t>4</t>
        </is>
      </c>
      <c r="U300" s="5" t="inlineStr">
        <is>
          <t>OK</t>
        </is>
      </c>
    </row>
    <row r="301">
      <c r="A301" s="5" t="inlineStr">
        <is>
          <t>E01634</t>
        </is>
      </c>
      <c r="B301" s="5" t="inlineStr">
        <is>
          <t>Male</t>
        </is>
      </c>
      <c r="C301" s="6" t="inlineStr">
        <is>
          <t>29</t>
        </is>
      </c>
      <c r="D301" s="5" t="inlineStr">
        <is>
          <t>Married</t>
        </is>
      </c>
      <c r="E301" s="5" t="inlineStr">
        <is>
          <t>PhD</t>
        </is>
      </c>
      <c r="F301" s="5" t="inlineStr">
        <is>
          <t>Human Resources</t>
        </is>
      </c>
      <c r="G301" s="5" t="inlineStr">
        <is>
          <t>Recruiter</t>
        </is>
      </c>
      <c r="H301" s="5" t="inlineStr">
        <is>
          <t>1</t>
        </is>
      </c>
      <c r="I301" s="5" t="inlineStr">
        <is>
          <t>Delhi</t>
        </is>
      </c>
      <c r="J301" s="5" t="inlineStr">
        <is>
          <t>Full-Time</t>
        </is>
      </c>
      <c r="K301" s="7" t="n">
        <v>45762</v>
      </c>
      <c r="L301" s="7" t="inlineStr"/>
      <c r="M301" s="5" t="inlineStr">
        <is>
          <t>Yes</t>
        </is>
      </c>
      <c r="N301" s="5" t="inlineStr"/>
      <c r="O301" s="8" t="inlineStr">
        <is>
          <t>60500</t>
        </is>
      </c>
      <c r="P301" s="5" t="inlineStr">
        <is>
          <t>15</t>
        </is>
      </c>
      <c r="Q301" s="5" t="inlineStr">
        <is>
          <t>4</t>
        </is>
      </c>
      <c r="R301" s="5" t="inlineStr">
        <is>
          <t>5</t>
        </is>
      </c>
      <c r="S301" s="5" t="inlineStr">
        <is>
          <t>8</t>
        </is>
      </c>
      <c r="T301" s="5" t="inlineStr">
        <is>
          <t>3</t>
        </is>
      </c>
      <c r="U301" s="5" t="inlineStr">
        <is>
          <t>OK</t>
        </is>
      </c>
    </row>
    <row r="302">
      <c r="A302" s="5" t="inlineStr">
        <is>
          <t>E02837</t>
        </is>
      </c>
      <c r="B302" s="5" t="inlineStr">
        <is>
          <t>Female</t>
        </is>
      </c>
      <c r="C302" s="6" t="inlineStr">
        <is>
          <t>33</t>
        </is>
      </c>
      <c r="D302" s="5" t="inlineStr">
        <is>
          <t>Married</t>
        </is>
      </c>
      <c r="E302" s="5" t="inlineStr">
        <is>
          <t>PhD</t>
        </is>
      </c>
      <c r="F302" s="5" t="inlineStr">
        <is>
          <t>Finance</t>
        </is>
      </c>
      <c r="G302" s="5" t="inlineStr">
        <is>
          <t>Credit Analyst</t>
        </is>
      </c>
      <c r="H302" s="5" t="inlineStr">
        <is>
          <t>5</t>
        </is>
      </c>
      <c r="I302" s="5" t="inlineStr">
        <is>
          <t>Chennai</t>
        </is>
      </c>
      <c r="J302" s="5" t="inlineStr">
        <is>
          <t>Full-Time</t>
        </is>
      </c>
      <c r="K302" s="7" t="n">
        <v>44008</v>
      </c>
      <c r="L302" s="7" t="inlineStr"/>
      <c r="M302" s="5" t="inlineStr">
        <is>
          <t>Yes</t>
        </is>
      </c>
      <c r="N302" s="5" t="inlineStr"/>
      <c r="O302" s="8" t="inlineStr">
        <is>
          <t>170000</t>
        </is>
      </c>
      <c r="P302" s="5" t="inlineStr">
        <is>
          <t>20</t>
        </is>
      </c>
      <c r="Q302" s="5" t="inlineStr">
        <is>
          <t>3</t>
        </is>
      </c>
      <c r="R302" s="5" t="inlineStr">
        <is>
          <t>5</t>
        </is>
      </c>
      <c r="S302" s="5" t="inlineStr">
        <is>
          <t>67</t>
        </is>
      </c>
      <c r="T302" s="5" t="inlineStr">
        <is>
          <t>0</t>
        </is>
      </c>
      <c r="U302" s="5" t="inlineStr">
        <is>
          <t>OK</t>
        </is>
      </c>
    </row>
    <row r="303">
      <c r="A303" s="5" t="inlineStr">
        <is>
          <t>E00357</t>
        </is>
      </c>
      <c r="B303" s="5" t="inlineStr">
        <is>
          <t>Male</t>
        </is>
      </c>
      <c r="C303" s="6" t="inlineStr">
        <is>
          <t>32</t>
        </is>
      </c>
      <c r="D303" s="5" t="inlineStr">
        <is>
          <t>Married</t>
        </is>
      </c>
      <c r="E303" s="5" t="inlineStr">
        <is>
          <t>High School</t>
        </is>
      </c>
      <c r="F303" s="5" t="inlineStr">
        <is>
          <t>Marketing</t>
        </is>
      </c>
      <c r="G303" s="5" t="inlineStr">
        <is>
          <t>Marketing Analyst</t>
        </is>
      </c>
      <c r="H303" s="5" t="inlineStr">
        <is>
          <t>5</t>
        </is>
      </c>
      <c r="I303" s="5" t="inlineStr">
        <is>
          <t>Delhi</t>
        </is>
      </c>
      <c r="J303" s="5" t="inlineStr">
        <is>
          <t>Full-Time</t>
        </is>
      </c>
      <c r="K303" s="7" t="n">
        <v>43831</v>
      </c>
      <c r="L303" s="7" t="n">
        <v>43908</v>
      </c>
      <c r="M303" s="5" t="inlineStr">
        <is>
          <t>No</t>
        </is>
      </c>
      <c r="N303" s="5" t="inlineStr">
        <is>
          <t>Resigned</t>
        </is>
      </c>
      <c r="O303" s="8" t="inlineStr">
        <is>
          <t>82000</t>
        </is>
      </c>
      <c r="P303" s="5" t="inlineStr">
        <is>
          <t>5</t>
        </is>
      </c>
      <c r="Q303" s="5" t="inlineStr">
        <is>
          <t>4</t>
        </is>
      </c>
      <c r="R303" s="5" t="inlineStr">
        <is>
          <t>8</t>
        </is>
      </c>
      <c r="S303" s="5" t="inlineStr">
        <is>
          <t>2</t>
        </is>
      </c>
      <c r="T303" s="5" t="inlineStr">
        <is>
          <t>0</t>
        </is>
      </c>
      <c r="U303" s="5" t="inlineStr">
        <is>
          <t>OK</t>
        </is>
      </c>
    </row>
    <row r="304">
      <c r="A304" s="5" t="inlineStr">
        <is>
          <t>E01348</t>
        </is>
      </c>
      <c r="B304" s="5" t="inlineStr">
        <is>
          <t>Male</t>
        </is>
      </c>
      <c r="C304" s="6" t="inlineStr">
        <is>
          <t>33</t>
        </is>
      </c>
      <c r="D304" s="5" t="inlineStr">
        <is>
          <t>Divorced</t>
        </is>
      </c>
      <c r="E304" s="5" t="inlineStr">
        <is>
          <t>Master</t>
        </is>
      </c>
      <c r="F304" s="5" t="inlineStr">
        <is>
          <t>Customer Support</t>
        </is>
      </c>
      <c r="G304" s="5" t="inlineStr">
        <is>
          <t>Escalation Specialist</t>
        </is>
      </c>
      <c r="H304" s="5" t="inlineStr">
        <is>
          <t>1</t>
        </is>
      </c>
      <c r="I304" s="5" t="inlineStr">
        <is>
          <t>Hyderabad</t>
        </is>
      </c>
      <c r="J304" s="5" t="inlineStr">
        <is>
          <t>Full-Time</t>
        </is>
      </c>
      <c r="K304" s="7" t="n">
        <v>45883</v>
      </c>
      <c r="L304" s="7" t="n">
        <v>46019</v>
      </c>
      <c r="M304" s="5" t="inlineStr">
        <is>
          <t>No</t>
        </is>
      </c>
      <c r="N304" s="5" t="inlineStr">
        <is>
          <t>Resigned</t>
        </is>
      </c>
      <c r="O304" s="8" t="inlineStr">
        <is>
          <t>65000</t>
        </is>
      </c>
      <c r="P304" s="5" t="inlineStr">
        <is>
          <t>0</t>
        </is>
      </c>
      <c r="Q304" s="5" t="inlineStr">
        <is>
          <t>3</t>
        </is>
      </c>
      <c r="R304" s="5" t="inlineStr">
        <is>
          <t>6</t>
        </is>
      </c>
      <c r="S304" s="5" t="inlineStr">
        <is>
          <t>4</t>
        </is>
      </c>
      <c r="T304" s="5" t="inlineStr">
        <is>
          <t>14</t>
        </is>
      </c>
      <c r="U304" s="5" t="inlineStr">
        <is>
          <t>OK</t>
        </is>
      </c>
    </row>
    <row r="305">
      <c r="A305" s="5" t="inlineStr">
        <is>
          <t>E00747</t>
        </is>
      </c>
      <c r="B305" s="5" t="inlineStr">
        <is>
          <t>Male</t>
        </is>
      </c>
      <c r="C305" s="6" t="inlineStr">
        <is>
          <t>36</t>
        </is>
      </c>
      <c r="D305" s="5" t="inlineStr">
        <is>
          <t>Single</t>
        </is>
      </c>
      <c r="E305" s="5" t="inlineStr">
        <is>
          <t>PhD</t>
        </is>
      </c>
      <c r="F305" s="5" t="inlineStr">
        <is>
          <t>Customer Support</t>
        </is>
      </c>
      <c r="G305" s="5" t="inlineStr">
        <is>
          <t>Support Agent</t>
        </is>
      </c>
      <c r="H305" s="5" t="inlineStr">
        <is>
          <t>2</t>
        </is>
      </c>
      <c r="I305" s="5" t="inlineStr">
        <is>
          <t>Mumbai</t>
        </is>
      </c>
      <c r="J305" s="5" t="inlineStr">
        <is>
          <t>Full-Time</t>
        </is>
      </c>
      <c r="K305" s="7" t="n">
        <v>45443</v>
      </c>
      <c r="L305" s="7" t="inlineStr"/>
      <c r="M305" s="5" t="inlineStr">
        <is>
          <t>Yes</t>
        </is>
      </c>
      <c r="N305" s="5" t="inlineStr"/>
      <c r="O305" s="8" t="inlineStr">
        <is>
          <t>51500</t>
        </is>
      </c>
      <c r="P305" s="5" t="inlineStr">
        <is>
          <t>0</t>
        </is>
      </c>
      <c r="Q305" s="5" t="inlineStr">
        <is>
          <t>4</t>
        </is>
      </c>
      <c r="R305" s="5" t="inlineStr">
        <is>
          <t>5</t>
        </is>
      </c>
      <c r="S305" s="5" t="inlineStr">
        <is>
          <t>19</t>
        </is>
      </c>
      <c r="T305" s="5" t="inlineStr">
        <is>
          <t>10</t>
        </is>
      </c>
      <c r="U305" s="5" t="inlineStr">
        <is>
          <t>OK</t>
        </is>
      </c>
    </row>
    <row r="306">
      <c r="A306" s="5" t="inlineStr">
        <is>
          <t>E01158</t>
        </is>
      </c>
      <c r="B306" s="5" t="inlineStr">
        <is>
          <t>Female</t>
        </is>
      </c>
      <c r="C306" s="6" t="inlineStr">
        <is>
          <t>33</t>
        </is>
      </c>
      <c r="D306" s="5" t="inlineStr">
        <is>
          <t>Divorced</t>
        </is>
      </c>
      <c r="E306" s="5" t="inlineStr">
        <is>
          <t>Bachelor</t>
        </is>
      </c>
      <c r="F306" s="5" t="inlineStr">
        <is>
          <t>Sales</t>
        </is>
      </c>
      <c r="G306" s="5" t="inlineStr">
        <is>
          <t>Business Development</t>
        </is>
      </c>
      <c r="H306" s="5" t="inlineStr">
        <is>
          <t>4</t>
        </is>
      </c>
      <c r="I306" s="5" t="inlineStr">
        <is>
          <t>Remote</t>
        </is>
      </c>
      <c r="J306" s="5" t="inlineStr">
        <is>
          <t>Full-Time</t>
        </is>
      </c>
      <c r="K306" s="7" t="n">
        <v>45795</v>
      </c>
      <c r="L306" s="7" t="inlineStr"/>
      <c r="M306" s="5" t="inlineStr">
        <is>
          <t>Yes</t>
        </is>
      </c>
      <c r="N306" s="5" t="inlineStr"/>
      <c r="O306" s="8" t="inlineStr">
        <is>
          <t>135000</t>
        </is>
      </c>
      <c r="P306" s="5" t="inlineStr">
        <is>
          <t>15</t>
        </is>
      </c>
      <c r="Q306" s="5" t="inlineStr">
        <is>
          <t>2</t>
        </is>
      </c>
      <c r="R306" s="5" t="inlineStr">
        <is>
          <t>9</t>
        </is>
      </c>
      <c r="S306" s="5" t="inlineStr">
        <is>
          <t>7</t>
        </is>
      </c>
      <c r="T306" s="5" t="inlineStr">
        <is>
          <t>9</t>
        </is>
      </c>
      <c r="U306" s="5" t="inlineStr">
        <is>
          <t>OK</t>
        </is>
      </c>
    </row>
    <row r="307">
      <c r="A307" s="5" t="inlineStr">
        <is>
          <t>E01169</t>
        </is>
      </c>
      <c r="B307" s="5" t="inlineStr">
        <is>
          <t>Male</t>
        </is>
      </c>
      <c r="C307" s="6" t="inlineStr">
        <is>
          <t>27</t>
        </is>
      </c>
      <c r="D307" s="5" t="inlineStr">
        <is>
          <t>Married</t>
        </is>
      </c>
      <c r="E307" s="5" t="inlineStr">
        <is>
          <t>Bachelor</t>
        </is>
      </c>
      <c r="F307" s="5" t="inlineStr">
        <is>
          <t>Finance</t>
        </is>
      </c>
      <c r="G307" s="5" t="inlineStr">
        <is>
          <t>Credit Analyst</t>
        </is>
      </c>
      <c r="H307" s="5" t="inlineStr">
        <is>
          <t>2</t>
        </is>
      </c>
      <c r="I307" s="5" t="inlineStr">
        <is>
          <t>Chennai</t>
        </is>
      </c>
      <c r="J307" s="5" t="inlineStr">
        <is>
          <t>Full-Time</t>
        </is>
      </c>
      <c r="K307" s="7" t="n">
        <v>45168</v>
      </c>
      <c r="L307" s="7" t="n">
        <v>45302</v>
      </c>
      <c r="M307" s="5" t="inlineStr">
        <is>
          <t>No</t>
        </is>
      </c>
      <c r="N307" s="5" t="inlineStr">
        <is>
          <t>Resigned</t>
        </is>
      </c>
      <c r="O307" s="8" t="inlineStr">
        <is>
          <t>119000</t>
        </is>
      </c>
      <c r="P307" s="5" t="inlineStr">
        <is>
          <t>0</t>
        </is>
      </c>
      <c r="Q307" s="5" t="inlineStr">
        <is>
          <t>4</t>
        </is>
      </c>
      <c r="R307" s="5" t="inlineStr">
        <is>
          <t>5</t>
        </is>
      </c>
      <c r="S307" s="5" t="inlineStr">
        <is>
          <t>4</t>
        </is>
      </c>
      <c r="T307" s="5" t="inlineStr">
        <is>
          <t>7</t>
        </is>
      </c>
      <c r="U307" s="5" t="inlineStr">
        <is>
          <t>OK</t>
        </is>
      </c>
    </row>
    <row r="308">
      <c r="A308" s="5" t="inlineStr">
        <is>
          <t>E01549</t>
        </is>
      </c>
      <c r="B308" s="5" t="inlineStr">
        <is>
          <t>Female</t>
        </is>
      </c>
      <c r="C308" s="6" t="inlineStr">
        <is>
          <t>26</t>
        </is>
      </c>
      <c r="D308" s="5" t="inlineStr">
        <is>
          <t>Single</t>
        </is>
      </c>
      <c r="E308" s="5" t="inlineStr">
        <is>
          <t>High School</t>
        </is>
      </c>
      <c r="F308" s="5" t="inlineStr">
        <is>
          <t>Human Resources</t>
        </is>
      </c>
      <c r="G308" s="5" t="inlineStr">
        <is>
          <t>HR Generalist</t>
        </is>
      </c>
      <c r="H308" s="5" t="inlineStr">
        <is>
          <t>1</t>
        </is>
      </c>
      <c r="I308" s="5" t="inlineStr">
        <is>
          <t>Chennai</t>
        </is>
      </c>
      <c r="J308" s="5" t="inlineStr">
        <is>
          <t>Full-Time</t>
        </is>
      </c>
      <c r="K308" s="7" t="n">
        <v>45866</v>
      </c>
      <c r="L308" s="7" t="inlineStr"/>
      <c r="M308" s="5" t="inlineStr">
        <is>
          <t>Yes</t>
        </is>
      </c>
      <c r="N308" s="5" t="inlineStr"/>
      <c r="O308" s="8" t="inlineStr">
        <is>
          <t>78500</t>
        </is>
      </c>
      <c r="P308" s="5" t="inlineStr">
        <is>
          <t>5</t>
        </is>
      </c>
      <c r="Q308" s="5" t="inlineStr">
        <is>
          <t>4</t>
        </is>
      </c>
      <c r="R308" s="5" t="inlineStr">
        <is>
          <t>6</t>
        </is>
      </c>
      <c r="S308" s="5" t="inlineStr">
        <is>
          <t>5</t>
        </is>
      </c>
      <c r="T308" s="5" t="inlineStr">
        <is>
          <t>6</t>
        </is>
      </c>
      <c r="U308" s="5" t="inlineStr">
        <is>
          <t>OK</t>
        </is>
      </c>
    </row>
    <row r="309">
      <c r="A309" s="5" t="inlineStr">
        <is>
          <t>E01463</t>
        </is>
      </c>
      <c r="B309" s="5" t="inlineStr">
        <is>
          <t>Male</t>
        </is>
      </c>
      <c r="C309" s="6" t="inlineStr">
        <is>
          <t>35</t>
        </is>
      </c>
      <c r="D309" s="5" t="inlineStr">
        <is>
          <t>Single</t>
        </is>
      </c>
      <c r="E309" s="5" t="inlineStr">
        <is>
          <t>Diploma</t>
        </is>
      </c>
      <c r="F309" s="5" t="inlineStr">
        <is>
          <t>Operations</t>
        </is>
      </c>
      <c r="G309" s="5" t="inlineStr">
        <is>
          <t>Logistics Coordinator</t>
        </is>
      </c>
      <c r="H309" s="5" t="inlineStr">
        <is>
          <t>5</t>
        </is>
      </c>
      <c r="I309" s="5" t="inlineStr">
        <is>
          <t>Delhi</t>
        </is>
      </c>
      <c r="J309" s="5" t="inlineStr">
        <is>
          <t>Full-Time</t>
        </is>
      </c>
      <c r="K309" s="7" t="n">
        <v>43937</v>
      </c>
      <c r="L309" s="7" t="inlineStr"/>
      <c r="M309" s="5" t="inlineStr">
        <is>
          <t>Yes</t>
        </is>
      </c>
      <c r="N309" s="5" t="inlineStr"/>
      <c r="O309" s="8" t="inlineStr">
        <is>
          <t>88500</t>
        </is>
      </c>
      <c r="P309" s="5" t="inlineStr">
        <is>
          <t>0</t>
        </is>
      </c>
      <c r="Q309" s="5" t="inlineStr">
        <is>
          <t>4</t>
        </is>
      </c>
      <c r="R309" s="5" t="inlineStr">
        <is>
          <t>6</t>
        </is>
      </c>
      <c r="S309" s="5" t="inlineStr">
        <is>
          <t>69</t>
        </is>
      </c>
      <c r="T309" s="5" t="inlineStr">
        <is>
          <t>6</t>
        </is>
      </c>
      <c r="U309" s="5" t="inlineStr">
        <is>
          <t>OK</t>
        </is>
      </c>
    </row>
    <row r="310">
      <c r="A310" s="5" t="inlineStr">
        <is>
          <t>E00678</t>
        </is>
      </c>
      <c r="B310" s="5" t="inlineStr">
        <is>
          <t>Male</t>
        </is>
      </c>
      <c r="C310" s="6" t="inlineStr">
        <is>
          <t>26</t>
        </is>
      </c>
      <c r="D310" s="5" t="inlineStr">
        <is>
          <t>Married</t>
        </is>
      </c>
      <c r="E310" s="5" t="inlineStr">
        <is>
          <t>PhD</t>
        </is>
      </c>
      <c r="F310" s="5" t="inlineStr">
        <is>
          <t>Sales</t>
        </is>
      </c>
      <c r="G310" s="5" t="inlineStr">
        <is>
          <t>Account Executive</t>
        </is>
      </c>
      <c r="H310" s="5" t="inlineStr">
        <is>
          <t>1</t>
        </is>
      </c>
      <c r="I310" s="5" t="inlineStr">
        <is>
          <t>Hyderabad</t>
        </is>
      </c>
      <c r="J310" s="5" t="inlineStr">
        <is>
          <t>Contract</t>
        </is>
      </c>
      <c r="K310" s="7" t="n">
        <v>44072</v>
      </c>
      <c r="L310" s="7" t="n">
        <v>44155</v>
      </c>
      <c r="M310" s="5" t="inlineStr">
        <is>
          <t>No</t>
        </is>
      </c>
      <c r="N310" s="5" t="inlineStr">
        <is>
          <t>Resigned</t>
        </is>
      </c>
      <c r="O310" s="8" t="inlineStr">
        <is>
          <t>70000</t>
        </is>
      </c>
      <c r="P310" s="5" t="inlineStr">
        <is>
          <t>0</t>
        </is>
      </c>
      <c r="Q310" s="5" t="inlineStr">
        <is>
          <t>4</t>
        </is>
      </c>
      <c r="R310" s="5" t="inlineStr">
        <is>
          <t>5</t>
        </is>
      </c>
      <c r="S310" s="5" t="inlineStr">
        <is>
          <t>2</t>
        </is>
      </c>
      <c r="T310" s="5" t="inlineStr">
        <is>
          <t>7</t>
        </is>
      </c>
      <c r="U310" s="5" t="inlineStr">
        <is>
          <t>OK</t>
        </is>
      </c>
    </row>
    <row r="311">
      <c r="A311" s="5" t="inlineStr">
        <is>
          <t>E01815</t>
        </is>
      </c>
      <c r="B311" s="5" t="inlineStr">
        <is>
          <t>female</t>
        </is>
      </c>
      <c r="C311" s="6" t="inlineStr">
        <is>
          <t>32</t>
        </is>
      </c>
      <c r="D311" s="5" t="inlineStr">
        <is>
          <t>Married</t>
        </is>
      </c>
      <c r="E311" s="5" t="inlineStr">
        <is>
          <t>Master</t>
        </is>
      </c>
      <c r="F311" s="5" t="inlineStr">
        <is>
          <t>Finance</t>
        </is>
      </c>
      <c r="G311" s="5" t="inlineStr">
        <is>
          <t>Financial Analyst</t>
        </is>
      </c>
      <c r="H311" s="5" t="inlineStr">
        <is>
          <t>2</t>
        </is>
      </c>
      <c r="I311" s="5" t="inlineStr">
        <is>
          <t>Chennai</t>
        </is>
      </c>
      <c r="J311" s="5" t="inlineStr">
        <is>
          <t>Full-Time</t>
        </is>
      </c>
      <c r="K311" s="7" t="n">
        <v>45447</v>
      </c>
      <c r="L311" s="7" t="inlineStr"/>
      <c r="M311" s="5" t="inlineStr">
        <is>
          <t>Yes</t>
        </is>
      </c>
      <c r="N311" s="5" t="inlineStr"/>
      <c r="O311" s="8" t="inlineStr">
        <is>
          <t>125000</t>
        </is>
      </c>
      <c r="P311" s="5" t="inlineStr">
        <is>
          <t>20</t>
        </is>
      </c>
      <c r="Q311" s="5" t="inlineStr">
        <is>
          <t>3</t>
        </is>
      </c>
      <c r="R311" s="5" t="inlineStr">
        <is>
          <t>5</t>
        </is>
      </c>
      <c r="S311" s="5" t="inlineStr">
        <is>
          <t>19</t>
        </is>
      </c>
      <c r="T311" s="5" t="inlineStr">
        <is>
          <t>0</t>
        </is>
      </c>
      <c r="U311" s="5" t="inlineStr">
        <is>
          <t>OK</t>
        </is>
      </c>
    </row>
    <row r="312">
      <c r="A312" s="5" t="inlineStr">
        <is>
          <t>E02906</t>
        </is>
      </c>
      <c r="B312" s="5" t="inlineStr">
        <is>
          <t>Male</t>
        </is>
      </c>
      <c r="C312" s="6" t="inlineStr">
        <is>
          <t>34</t>
        </is>
      </c>
      <c r="D312" s="5" t="inlineStr">
        <is>
          <t>Divorced</t>
        </is>
      </c>
      <c r="E312" s="5" t="inlineStr">
        <is>
          <t>Master</t>
        </is>
      </c>
      <c r="F312" s="5" t="inlineStr">
        <is>
          <t>Finance</t>
        </is>
      </c>
      <c r="G312" s="5" t="inlineStr">
        <is>
          <t>Accountant</t>
        </is>
      </c>
      <c r="H312" s="5" t="inlineStr">
        <is>
          <t>3</t>
        </is>
      </c>
      <c r="I312" s="5" t="inlineStr">
        <is>
          <t>Remote</t>
        </is>
      </c>
      <c r="J312" s="5" t="inlineStr">
        <is>
          <t>Full-Time</t>
        </is>
      </c>
      <c r="K312" s="7" t="n">
        <v>45742</v>
      </c>
      <c r="L312" s="7" t="inlineStr"/>
      <c r="M312" s="5" t="inlineStr">
        <is>
          <t>Yes</t>
        </is>
      </c>
      <c r="N312" s="5" t="inlineStr"/>
      <c r="O312" s="8" t="inlineStr">
        <is>
          <t>117500</t>
        </is>
      </c>
      <c r="P312" s="5" t="inlineStr">
        <is>
          <t>0</t>
        </is>
      </c>
      <c r="Q312" s="5" t="inlineStr">
        <is>
          <t>5</t>
        </is>
      </c>
      <c r="R312" s="5" t="inlineStr">
        <is>
          <t>5</t>
        </is>
      </c>
      <c r="S312" s="5" t="inlineStr">
        <is>
          <t>9</t>
        </is>
      </c>
      <c r="T312" s="5" t="inlineStr">
        <is>
          <t>8</t>
        </is>
      </c>
      <c r="U312" s="5" t="inlineStr">
        <is>
          <t>OK</t>
        </is>
      </c>
    </row>
    <row r="313">
      <c r="A313" s="5" t="inlineStr">
        <is>
          <t>E01423</t>
        </is>
      </c>
      <c r="B313" s="5" t="inlineStr">
        <is>
          <t>Male</t>
        </is>
      </c>
      <c r="C313" s="6" t="inlineStr">
        <is>
          <t>28</t>
        </is>
      </c>
      <c r="D313" s="5" t="inlineStr">
        <is>
          <t>Married</t>
        </is>
      </c>
      <c r="E313" s="5" t="inlineStr">
        <is>
          <t>PhD</t>
        </is>
      </c>
      <c r="F313" s="5" t="inlineStr">
        <is>
          <t>Sales</t>
        </is>
      </c>
      <c r="G313" s="5" t="inlineStr">
        <is>
          <t>Account Executive</t>
        </is>
      </c>
      <c r="H313" s="5" t="inlineStr">
        <is>
          <t>3</t>
        </is>
      </c>
      <c r="I313" s="5" t="inlineStr">
        <is>
          <t>Bengaluru</t>
        </is>
      </c>
      <c r="J313" s="5" t="inlineStr">
        <is>
          <t>Full-Time</t>
        </is>
      </c>
      <c r="K313" s="7" t="n">
        <v>44088</v>
      </c>
      <c r="L313" s="7" t="inlineStr"/>
      <c r="M313" s="5" t="inlineStr">
        <is>
          <t>Yes</t>
        </is>
      </c>
      <c r="N313" s="5" t="inlineStr"/>
      <c r="O313" s="8" t="inlineStr">
        <is>
          <t>83000</t>
        </is>
      </c>
      <c r="P313" s="5" t="inlineStr">
        <is>
          <t>5</t>
        </is>
      </c>
      <c r="Q313" s="5" t="inlineStr">
        <is>
          <t>3</t>
        </is>
      </c>
      <c r="R313" s="5" t="inlineStr">
        <is>
          <t>5</t>
        </is>
      </c>
      <c r="S313" s="5" t="inlineStr">
        <is>
          <t>64</t>
        </is>
      </c>
      <c r="T313" s="5" t="inlineStr">
        <is>
          <t>11</t>
        </is>
      </c>
      <c r="U313" s="5" t="inlineStr">
        <is>
          <t>OK</t>
        </is>
      </c>
    </row>
    <row r="314">
      <c r="A314" s="5" t="inlineStr">
        <is>
          <t>E02816</t>
        </is>
      </c>
      <c r="B314" s="5" t="inlineStr">
        <is>
          <t>Female</t>
        </is>
      </c>
      <c r="C314" s="6" t="inlineStr">
        <is>
          <t>38</t>
        </is>
      </c>
      <c r="D314" s="5" t="inlineStr">
        <is>
          <t>Married</t>
        </is>
      </c>
      <c r="E314" s="5" t="inlineStr">
        <is>
          <t>High School</t>
        </is>
      </c>
      <c r="F314" s="5" t="inlineStr">
        <is>
          <t>IT</t>
        </is>
      </c>
      <c r="G314" s="5" t="inlineStr">
        <is>
          <t>Data Analyst</t>
        </is>
      </c>
      <c r="H314" s="5" t="inlineStr">
        <is>
          <t>6</t>
        </is>
      </c>
      <c r="I314" s="5" t="inlineStr">
        <is>
          <t>Bengaluru</t>
        </is>
      </c>
      <c r="J314" s="5" t="inlineStr">
        <is>
          <t>Full-Time</t>
        </is>
      </c>
      <c r="K314" s="7" t="n">
        <v>45221</v>
      </c>
      <c r="L314" s="7" t="inlineStr"/>
      <c r="M314" s="5" t="inlineStr">
        <is>
          <t>Yes</t>
        </is>
      </c>
      <c r="N314" s="5" t="inlineStr"/>
      <c r="O314" s="8" t="inlineStr">
        <is>
          <t>203500</t>
        </is>
      </c>
      <c r="P314" s="5" t="inlineStr">
        <is>
          <t>5</t>
        </is>
      </c>
      <c r="Q314" s="5" t="inlineStr">
        <is>
          <t>4</t>
        </is>
      </c>
      <c r="R314" s="5" t="inlineStr">
        <is>
          <t>7</t>
        </is>
      </c>
      <c r="S314" s="5" t="inlineStr">
        <is>
          <t>26</t>
        </is>
      </c>
      <c r="T314" s="5" t="inlineStr">
        <is>
          <t>12</t>
        </is>
      </c>
      <c r="U314" s="5" t="inlineStr">
        <is>
          <t>OK</t>
        </is>
      </c>
    </row>
    <row r="315">
      <c r="A315" s="5" t="inlineStr">
        <is>
          <t>E00728</t>
        </is>
      </c>
      <c r="B315" s="5" t="inlineStr">
        <is>
          <t>Male</t>
        </is>
      </c>
      <c r="C315" s="6" t="inlineStr">
        <is>
          <t>28</t>
        </is>
      </c>
      <c r="D315" s="5" t="inlineStr">
        <is>
          <t>Married</t>
        </is>
      </c>
      <c r="E315" s="5" t="inlineStr">
        <is>
          <t>Master</t>
        </is>
      </c>
      <c r="F315" s="5" t="inlineStr">
        <is>
          <t>Human Resources</t>
        </is>
      </c>
      <c r="G315" s="5" t="inlineStr">
        <is>
          <t>HR Analyst</t>
        </is>
      </c>
      <c r="H315" s="5" t="inlineStr">
        <is>
          <t>2</t>
        </is>
      </c>
      <c r="I315" s="5" t="inlineStr">
        <is>
          <t>Mumbai</t>
        </is>
      </c>
      <c r="J315" s="5" t="inlineStr">
        <is>
          <t>Part-Time</t>
        </is>
      </c>
      <c r="K315" s="7" t="n">
        <v>44747</v>
      </c>
      <c r="L315" s="7" t="n">
        <v>44835</v>
      </c>
      <c r="M315" s="5" t="inlineStr">
        <is>
          <t>No</t>
        </is>
      </c>
      <c r="N315" s="5" t="inlineStr">
        <is>
          <t>Relocation</t>
        </is>
      </c>
      <c r="O315" s="8" t="inlineStr">
        <is>
          <t>92500</t>
        </is>
      </c>
      <c r="P315" s="5" t="inlineStr">
        <is>
          <t>0</t>
        </is>
      </c>
      <c r="Q315" s="5" t="inlineStr">
        <is>
          <t>4</t>
        </is>
      </c>
      <c r="R315" s="5" t="inlineStr">
        <is>
          <t>4</t>
        </is>
      </c>
      <c r="S315" s="5" t="inlineStr">
        <is>
          <t>2</t>
        </is>
      </c>
      <c r="T315" s="5" t="inlineStr">
        <is>
          <t>1</t>
        </is>
      </c>
      <c r="U315" s="5" t="inlineStr">
        <is>
          <t>OK</t>
        </is>
      </c>
    </row>
    <row r="316">
      <c r="A316" s="5" t="inlineStr">
        <is>
          <t>E02851</t>
        </is>
      </c>
      <c r="B316" s="5" t="inlineStr">
        <is>
          <t>Male</t>
        </is>
      </c>
      <c r="C316" s="6" t="inlineStr">
        <is>
          <t>30</t>
        </is>
      </c>
      <c r="D316" s="5" t="inlineStr">
        <is>
          <t>Divorced</t>
        </is>
      </c>
      <c r="E316" s="5" t="inlineStr">
        <is>
          <t>PhD</t>
        </is>
      </c>
      <c r="F316" s="5" t="inlineStr">
        <is>
          <t>Human Resources</t>
        </is>
      </c>
      <c r="G316" s="5" t="inlineStr">
        <is>
          <t>HR Analyst</t>
        </is>
      </c>
      <c r="H316" s="5" t="inlineStr">
        <is>
          <t>2</t>
        </is>
      </c>
      <c r="I316" s="5" t="inlineStr">
        <is>
          <t>Delhi</t>
        </is>
      </c>
      <c r="J316" s="5" t="inlineStr">
        <is>
          <t>Full-Time</t>
        </is>
      </c>
      <c r="K316" s="7" t="n">
        <v>45525</v>
      </c>
      <c r="L316" s="7" t="n">
        <v>45646</v>
      </c>
      <c r="M316" s="5" t="inlineStr">
        <is>
          <t>No</t>
        </is>
      </c>
      <c r="N316" s="5" t="inlineStr">
        <is>
          <t>Resigned</t>
        </is>
      </c>
      <c r="O316" s="8" t="inlineStr">
        <is>
          <t>93500</t>
        </is>
      </c>
      <c r="P316" s="5" t="inlineStr">
        <is>
          <t>5</t>
        </is>
      </c>
      <c r="Q316" s="5" t="inlineStr">
        <is>
          <t>5</t>
        </is>
      </c>
      <c r="R316" s="5" t="inlineStr">
        <is>
          <t>4</t>
        </is>
      </c>
      <c r="S316" s="5" t="inlineStr">
        <is>
          <t>4</t>
        </is>
      </c>
      <c r="T316" s="5" t="inlineStr">
        <is>
          <t>6</t>
        </is>
      </c>
      <c r="U316" s="5" t="inlineStr">
        <is>
          <t>OK</t>
        </is>
      </c>
    </row>
    <row r="317">
      <c r="A317" s="5" t="inlineStr">
        <is>
          <t>E00413</t>
        </is>
      </c>
      <c r="B317" s="5" t="inlineStr">
        <is>
          <t>Male</t>
        </is>
      </c>
      <c r="C317" s="6" t="inlineStr">
        <is>
          <t>30</t>
        </is>
      </c>
      <c r="D317" s="5" t="inlineStr">
        <is>
          <t>Married</t>
        </is>
      </c>
      <c r="E317" s="5" t="inlineStr">
        <is>
          <t>Master</t>
        </is>
      </c>
      <c r="F317" s="5" t="inlineStr">
        <is>
          <t>Operations</t>
        </is>
      </c>
      <c r="G317" s="5" t="inlineStr">
        <is>
          <t>Operations Analyst</t>
        </is>
      </c>
      <c r="H317" s="5" t="inlineStr">
        <is>
          <t>3</t>
        </is>
      </c>
      <c r="I317" s="5" t="inlineStr">
        <is>
          <t>Delhi</t>
        </is>
      </c>
      <c r="J317" s="5" t="inlineStr">
        <is>
          <t>Full-Time</t>
        </is>
      </c>
      <c r="K317" s="7" t="n">
        <v>44543</v>
      </c>
      <c r="L317" s="7" t="inlineStr"/>
      <c r="M317" s="5" t="inlineStr">
        <is>
          <t>Yes</t>
        </is>
      </c>
      <c r="N317" s="5" t="inlineStr"/>
      <c r="O317" s="8" t="inlineStr">
        <is>
          <t>83000</t>
        </is>
      </c>
      <c r="P317" s="5" t="inlineStr">
        <is>
          <t>5</t>
        </is>
      </c>
      <c r="Q317" s="5" t="inlineStr">
        <is>
          <t>5</t>
        </is>
      </c>
      <c r="R317" s="5" t="inlineStr">
        <is>
          <t>6</t>
        </is>
      </c>
      <c r="S317" s="5" t="inlineStr">
        <is>
          <t>49</t>
        </is>
      </c>
      <c r="T317" s="5" t="inlineStr">
        <is>
          <t>3</t>
        </is>
      </c>
      <c r="U317" s="5" t="inlineStr">
        <is>
          <t>OK</t>
        </is>
      </c>
    </row>
    <row r="318">
      <c r="A318" s="5" t="inlineStr">
        <is>
          <t>E01208</t>
        </is>
      </c>
      <c r="B318" s="5" t="inlineStr">
        <is>
          <t>Female</t>
        </is>
      </c>
      <c r="C318" s="6" t="inlineStr">
        <is>
          <t>31</t>
        </is>
      </c>
      <c r="D318" s="5" t="inlineStr">
        <is>
          <t>Single</t>
        </is>
      </c>
      <c r="E318" s="5" t="inlineStr">
        <is>
          <t>High School</t>
        </is>
      </c>
      <c r="F318" s="5" t="inlineStr">
        <is>
          <t>Operations</t>
        </is>
      </c>
      <c r="G318" s="5" t="inlineStr">
        <is>
          <t>Quality Analyst</t>
        </is>
      </c>
      <c r="H318" s="5" t="inlineStr">
        <is>
          <t>4</t>
        </is>
      </c>
      <c r="I318" s="5" t="inlineStr">
        <is>
          <t>Chennai</t>
        </is>
      </c>
      <c r="J318" s="5" t="inlineStr">
        <is>
          <t>Full-Time</t>
        </is>
      </c>
      <c r="K318" s="7" t="n">
        <v>44272</v>
      </c>
      <c r="L318" s="7" t="n">
        <v>44404</v>
      </c>
      <c r="M318" s="5" t="inlineStr">
        <is>
          <t>No</t>
        </is>
      </c>
      <c r="N318" s="5" t="inlineStr">
        <is>
          <t>Resigned</t>
        </is>
      </c>
      <c r="O318" s="8" t="inlineStr">
        <is>
          <t>82500</t>
        </is>
      </c>
      <c r="P318" s="5" t="inlineStr">
        <is>
          <t>10</t>
        </is>
      </c>
      <c r="Q318" s="5" t="inlineStr">
        <is>
          <t>3</t>
        </is>
      </c>
      <c r="R318" s="5" t="inlineStr">
        <is>
          <t>5</t>
        </is>
      </c>
      <c r="S318" s="5" t="inlineStr">
        <is>
          <t>4</t>
        </is>
      </c>
      <c r="T318" s="5" t="inlineStr">
        <is>
          <t>6</t>
        </is>
      </c>
      <c r="U318" s="5" t="inlineStr">
        <is>
          <t>OK</t>
        </is>
      </c>
    </row>
    <row r="319">
      <c r="A319" s="5" t="inlineStr">
        <is>
          <t>E01115</t>
        </is>
      </c>
      <c r="B319" s="5" t="inlineStr">
        <is>
          <t>Male</t>
        </is>
      </c>
      <c r="C319" s="6" t="inlineStr">
        <is>
          <t>41</t>
        </is>
      </c>
      <c r="D319" s="5" t="inlineStr">
        <is>
          <t>Married</t>
        </is>
      </c>
      <c r="E319" s="5" t="inlineStr">
        <is>
          <t>Diploma</t>
        </is>
      </c>
      <c r="F319" s="5" t="inlineStr">
        <is>
          <t>Customer Support</t>
        </is>
      </c>
      <c r="G319" s="5" t="inlineStr">
        <is>
          <t>Escalation Specialist</t>
        </is>
      </c>
      <c r="H319" s="5" t="inlineStr">
        <is>
          <t>7</t>
        </is>
      </c>
      <c r="I319" s="5" t="inlineStr">
        <is>
          <t>Bengaluru</t>
        </is>
      </c>
      <c r="J319" s="5" t="inlineStr">
        <is>
          <t>Full-Time</t>
        </is>
      </c>
      <c r="K319" s="7" t="n">
        <v>45602</v>
      </c>
      <c r="L319" s="7" t="n">
        <v>45733</v>
      </c>
      <c r="M319" s="5" t="inlineStr">
        <is>
          <t>No</t>
        </is>
      </c>
      <c r="N319" s="5" t="inlineStr">
        <is>
          <t>Performance / Termination</t>
        </is>
      </c>
      <c r="O319" s="8" t="inlineStr">
        <is>
          <t>113500</t>
        </is>
      </c>
      <c r="P319" s="5" t="inlineStr">
        <is>
          <t>0</t>
        </is>
      </c>
      <c r="Q319" s="5" t="inlineStr">
        <is>
          <t>3</t>
        </is>
      </c>
      <c r="R319" s="5" t="inlineStr">
        <is>
          <t>7</t>
        </is>
      </c>
      <c r="S319" s="5" t="inlineStr">
        <is>
          <t>4</t>
        </is>
      </c>
      <c r="T319" s="5" t="inlineStr">
        <is>
          <t>1</t>
        </is>
      </c>
      <c r="U319" s="5" t="inlineStr">
        <is>
          <t>OK</t>
        </is>
      </c>
    </row>
    <row r="320">
      <c r="A320" s="5" t="inlineStr">
        <is>
          <t>E02413</t>
        </is>
      </c>
      <c r="B320" s="5" t="inlineStr">
        <is>
          <t>Female</t>
        </is>
      </c>
      <c r="C320" s="6" t="inlineStr">
        <is>
          <t>24</t>
        </is>
      </c>
      <c r="D320" s="5" t="inlineStr">
        <is>
          <t>Married</t>
        </is>
      </c>
      <c r="E320" s="5" t="inlineStr">
        <is>
          <t>Diploma</t>
        </is>
      </c>
      <c r="F320" s="5" t="inlineStr">
        <is>
          <t>Customer Support</t>
        </is>
      </c>
      <c r="G320" s="5" t="inlineStr">
        <is>
          <t>Support Agent</t>
        </is>
      </c>
      <c r="H320" s="5" t="inlineStr">
        <is>
          <t>1</t>
        </is>
      </c>
      <c r="I320" s="5" t="inlineStr">
        <is>
          <t>Hyderabad</t>
        </is>
      </c>
      <c r="J320" s="5" t="inlineStr">
        <is>
          <t>Full-Time</t>
        </is>
      </c>
      <c r="K320" s="7" t="n">
        <v>45265</v>
      </c>
      <c r="L320" s="7" t="inlineStr"/>
      <c r="M320" s="5" t="inlineStr">
        <is>
          <t>Yes</t>
        </is>
      </c>
      <c r="N320" s="5" t="inlineStr"/>
      <c r="O320" s="8" t="inlineStr">
        <is>
          <t>64000</t>
        </is>
      </c>
      <c r="P320" s="5" t="inlineStr">
        <is>
          <t>0</t>
        </is>
      </c>
      <c r="Q320" s="5" t="inlineStr">
        <is>
          <t>1</t>
        </is>
      </c>
      <c r="R320" s="5" t="inlineStr">
        <is>
          <t>8</t>
        </is>
      </c>
      <c r="S320" s="5" t="inlineStr">
        <is>
          <t>25</t>
        </is>
      </c>
      <c r="T320" s="5" t="inlineStr">
        <is>
          <t>8</t>
        </is>
      </c>
      <c r="U320" s="5" t="inlineStr">
        <is>
          <t>OK</t>
        </is>
      </c>
    </row>
    <row r="321">
      <c r="A321" s="5" t="inlineStr">
        <is>
          <t>E01930</t>
        </is>
      </c>
      <c r="B321" s="5" t="inlineStr">
        <is>
          <t>Male</t>
        </is>
      </c>
      <c r="C321" s="6" t="inlineStr">
        <is>
          <t>32</t>
        </is>
      </c>
      <c r="D321" s="5" t="inlineStr">
        <is>
          <t>Married</t>
        </is>
      </c>
      <c r="E321" s="5" t="inlineStr">
        <is>
          <t>PhD</t>
        </is>
      </c>
      <c r="F321" s="5" t="inlineStr">
        <is>
          <t>Customer Support</t>
        </is>
      </c>
      <c r="G321" s="5" t="inlineStr">
        <is>
          <t>Support Agent</t>
        </is>
      </c>
      <c r="H321" s="5" t="inlineStr">
        <is>
          <t>2</t>
        </is>
      </c>
      <c r="I321" s="5" t="inlineStr">
        <is>
          <t>Chennai</t>
        </is>
      </c>
      <c r="J321" s="5" t="inlineStr">
        <is>
          <t>Part-Time</t>
        </is>
      </c>
      <c r="K321" s="7" t="n">
        <v>45237</v>
      </c>
      <c r="L321" s="7" t="n">
        <v>45369</v>
      </c>
      <c r="M321" s="5" t="inlineStr">
        <is>
          <t>No</t>
        </is>
      </c>
      <c r="N321" s="5" t="inlineStr">
        <is>
          <t>Resigned</t>
        </is>
      </c>
      <c r="O321" s="8" t="inlineStr">
        <is>
          <t>53500</t>
        </is>
      </c>
      <c r="P321" s="5" t="inlineStr">
        <is>
          <t>10</t>
        </is>
      </c>
      <c r="Q321" s="5" t="inlineStr">
        <is>
          <t>3</t>
        </is>
      </c>
      <c r="R321" s="5" t="inlineStr">
        <is>
          <t>7</t>
        </is>
      </c>
      <c r="S321" s="5" t="inlineStr">
        <is>
          <t>4</t>
        </is>
      </c>
      <c r="T321" s="5" t="inlineStr">
        <is>
          <t>3</t>
        </is>
      </c>
      <c r="U321" s="5" t="inlineStr">
        <is>
          <t>OK</t>
        </is>
      </c>
    </row>
    <row r="322">
      <c r="A322" s="5" t="inlineStr">
        <is>
          <t>E00983</t>
        </is>
      </c>
      <c r="B322" s="5" t="inlineStr">
        <is>
          <t>male</t>
        </is>
      </c>
      <c r="C322" s="6" t="inlineStr">
        <is>
          <t>27</t>
        </is>
      </c>
      <c r="D322" s="5" t="inlineStr">
        <is>
          <t>Single</t>
        </is>
      </c>
      <c r="E322" s="5" t="inlineStr">
        <is>
          <t>Bachelor</t>
        </is>
      </c>
      <c r="F322" s="5" t="inlineStr">
        <is>
          <t>Sales</t>
        </is>
      </c>
      <c r="G322" s="5" t="inlineStr">
        <is>
          <t>Account Executive</t>
        </is>
      </c>
      <c r="H322" s="5" t="inlineStr">
        <is>
          <t>3</t>
        </is>
      </c>
      <c r="I322" s="5" t="inlineStr">
        <is>
          <t>Remote</t>
        </is>
      </c>
      <c r="J322" s="5" t="inlineStr">
        <is>
          <t>Full-Time</t>
        </is>
      </c>
      <c r="K322" s="7" t="n">
        <v>44072</v>
      </c>
      <c r="L322" s="7" t="inlineStr"/>
      <c r="M322" s="5" t="inlineStr">
        <is>
          <t>Yes</t>
        </is>
      </c>
      <c r="N322" s="5" t="inlineStr"/>
      <c r="O322" s="8" t="inlineStr">
        <is>
          <t>138500</t>
        </is>
      </c>
      <c r="P322" s="5" t="inlineStr">
        <is>
          <t>5</t>
        </is>
      </c>
      <c r="Q322" s="5" t="inlineStr">
        <is>
          <t>5</t>
        </is>
      </c>
      <c r="R322" s="5" t="inlineStr">
        <is>
          <t>6</t>
        </is>
      </c>
      <c r="S322" s="5" t="inlineStr">
        <is>
          <t>65</t>
        </is>
      </c>
      <c r="T322" s="5" t="inlineStr">
        <is>
          <t>8</t>
        </is>
      </c>
      <c r="U322" s="5" t="inlineStr">
        <is>
          <t>OK</t>
        </is>
      </c>
    </row>
    <row r="323">
      <c r="A323" s="5" t="inlineStr">
        <is>
          <t>E02273</t>
        </is>
      </c>
      <c r="B323" s="5" t="inlineStr">
        <is>
          <t>Female</t>
        </is>
      </c>
      <c r="C323" s="6" t="inlineStr">
        <is>
          <t>34</t>
        </is>
      </c>
      <c r="D323" s="5" t="inlineStr">
        <is>
          <t>Single</t>
        </is>
      </c>
      <c r="E323" s="5" t="inlineStr">
        <is>
          <t>Diploma</t>
        </is>
      </c>
      <c r="F323" s="5" t="inlineStr">
        <is>
          <t>Research &amp; Development</t>
        </is>
      </c>
      <c r="G323" s="5" t="inlineStr">
        <is>
          <t>Research Scientist</t>
        </is>
      </c>
      <c r="H323" s="5" t="inlineStr">
        <is>
          <t>2</t>
        </is>
      </c>
      <c r="I323" s="5" t="inlineStr">
        <is>
          <t>Bengaluru</t>
        </is>
      </c>
      <c r="J323" s="5" t="inlineStr">
        <is>
          <t>Full-Time</t>
        </is>
      </c>
      <c r="K323" s="7" t="n">
        <v>44649</v>
      </c>
      <c r="L323" s="7" t="n">
        <v>44693</v>
      </c>
      <c r="M323" s="5" t="inlineStr">
        <is>
          <t>No</t>
        </is>
      </c>
      <c r="N323" s="5" t="inlineStr">
        <is>
          <t>Retirement</t>
        </is>
      </c>
      <c r="O323" s="8" t="inlineStr">
        <is>
          <t>125500</t>
        </is>
      </c>
      <c r="P323" s="5" t="inlineStr">
        <is>
          <t>15</t>
        </is>
      </c>
      <c r="Q323" s="5" t="inlineStr">
        <is>
          <t>3</t>
        </is>
      </c>
      <c r="R323" s="5" t="inlineStr">
        <is>
          <t>2</t>
        </is>
      </c>
      <c r="S323" s="5" t="inlineStr">
        <is>
          <t>1</t>
        </is>
      </c>
      <c r="T323" s="5" t="inlineStr">
        <is>
          <t>12</t>
        </is>
      </c>
      <c r="U323" s="5" t="inlineStr">
        <is>
          <t>OK</t>
        </is>
      </c>
    </row>
    <row r="324">
      <c r="A324" s="5" t="inlineStr">
        <is>
          <t>E02280</t>
        </is>
      </c>
      <c r="B324" s="5" t="inlineStr">
        <is>
          <t>Male</t>
        </is>
      </c>
      <c r="C324" s="6" t="inlineStr">
        <is>
          <t>33</t>
        </is>
      </c>
      <c r="D324" s="5" t="inlineStr">
        <is>
          <t>Married</t>
        </is>
      </c>
      <c r="E324" s="5" t="inlineStr">
        <is>
          <t>Diploma</t>
        </is>
      </c>
      <c r="F324" s="5" t="inlineStr">
        <is>
          <t>Customer Support</t>
        </is>
      </c>
      <c r="G324" s="5" t="inlineStr">
        <is>
          <t>Support Lead</t>
        </is>
      </c>
      <c r="H324" s="5" t="inlineStr">
        <is>
          <t>4</t>
        </is>
      </c>
      <c r="I324" s="5" t="inlineStr">
        <is>
          <t>Delhi</t>
        </is>
      </c>
      <c r="J324" s="5" t="inlineStr">
        <is>
          <t>Full-Time</t>
        </is>
      </c>
      <c r="K324" s="7" t="n">
        <v>45556</v>
      </c>
      <c r="L324" s="7" t="n">
        <v>45609</v>
      </c>
      <c r="M324" s="5" t="inlineStr">
        <is>
          <t>No</t>
        </is>
      </c>
      <c r="N324" s="5" t="inlineStr">
        <is>
          <t>Performance / Termination</t>
        </is>
      </c>
      <c r="O324" s="8" t="inlineStr">
        <is>
          <t>99000</t>
        </is>
      </c>
      <c r="P324" s="5" t="inlineStr">
        <is>
          <t>5</t>
        </is>
      </c>
      <c r="Q324" s="5" t="inlineStr">
        <is>
          <t>5</t>
        </is>
      </c>
      <c r="R324" s="5" t="inlineStr">
        <is>
          <t>6</t>
        </is>
      </c>
      <c r="S324" s="5" t="inlineStr">
        <is>
          <t>1</t>
        </is>
      </c>
      <c r="T324" s="5" t="inlineStr">
        <is>
          <t>13</t>
        </is>
      </c>
      <c r="U324" s="5" t="inlineStr">
        <is>
          <t>OK</t>
        </is>
      </c>
    </row>
    <row r="325">
      <c r="A325" s="5" t="inlineStr">
        <is>
          <t>E01195</t>
        </is>
      </c>
      <c r="B325" s="5" t="inlineStr">
        <is>
          <t>Male</t>
        </is>
      </c>
      <c r="C325" s="6" t="inlineStr">
        <is>
          <t>37</t>
        </is>
      </c>
      <c r="D325" s="5" t="inlineStr">
        <is>
          <t>Married</t>
        </is>
      </c>
      <c r="E325" s="5" t="inlineStr">
        <is>
          <t>Bachelor</t>
        </is>
      </c>
      <c r="F325" s="5" t="inlineStr">
        <is>
          <t>Customer Support</t>
        </is>
      </c>
      <c r="G325" s="5" t="inlineStr">
        <is>
          <t>Escalation Specialist</t>
        </is>
      </c>
      <c r="H325" s="5" t="inlineStr">
        <is>
          <t>3</t>
        </is>
      </c>
      <c r="I325" s="5" t="inlineStr">
        <is>
          <t>Delhi</t>
        </is>
      </c>
      <c r="J325" s="5" t="inlineStr">
        <is>
          <t>Part-Time</t>
        </is>
      </c>
      <c r="K325" s="7" t="n">
        <v>44336</v>
      </c>
      <c r="L325" s="7" t="inlineStr"/>
      <c r="M325" s="5" t="inlineStr">
        <is>
          <t>Yes</t>
        </is>
      </c>
      <c r="N325" s="5" t="inlineStr"/>
      <c r="O325" s="8" t="inlineStr">
        <is>
          <t>70000</t>
        </is>
      </c>
      <c r="P325" s="5" t="inlineStr">
        <is>
          <t>0</t>
        </is>
      </c>
      <c r="Q325" s="5" t="inlineStr">
        <is>
          <t>3</t>
        </is>
      </c>
      <c r="R325" s="5" t="inlineStr">
        <is>
          <t>5</t>
        </is>
      </c>
      <c r="S325" s="5" t="inlineStr">
        <is>
          <t>56</t>
        </is>
      </c>
      <c r="T325" s="5" t="inlineStr">
        <is>
          <t>10</t>
        </is>
      </c>
      <c r="U325" s="5" t="inlineStr">
        <is>
          <t>OK</t>
        </is>
      </c>
    </row>
    <row r="326">
      <c r="A326" s="5" t="inlineStr">
        <is>
          <t>E01712</t>
        </is>
      </c>
      <c r="B326" s="5" t="inlineStr">
        <is>
          <t>Male</t>
        </is>
      </c>
      <c r="C326" s="6" t="inlineStr">
        <is>
          <t>33</t>
        </is>
      </c>
      <c r="D326" s="5" t="inlineStr">
        <is>
          <t>Married</t>
        </is>
      </c>
      <c r="E326" s="5" t="inlineStr">
        <is>
          <t>Master</t>
        </is>
      </c>
      <c r="F326" s="5" t="inlineStr">
        <is>
          <t>Customer Support</t>
        </is>
      </c>
      <c r="G326" s="5" t="inlineStr">
        <is>
          <t>Escalation Specialist</t>
        </is>
      </c>
      <c r="H326" s="5" t="inlineStr">
        <is>
          <t>3</t>
        </is>
      </c>
      <c r="I326" s="5" t="inlineStr">
        <is>
          <t>Delhi</t>
        </is>
      </c>
      <c r="J326" s="5" t="inlineStr">
        <is>
          <t>Full-Time</t>
        </is>
      </c>
      <c r="K326" s="7" t="n">
        <v>44192</v>
      </c>
      <c r="L326" s="7" t="inlineStr"/>
      <c r="M326" s="5" t="inlineStr">
        <is>
          <t>Yes</t>
        </is>
      </c>
      <c r="N326" s="5" t="inlineStr"/>
      <c r="O326" s="8" t="inlineStr">
        <is>
          <t>91500</t>
        </is>
      </c>
      <c r="P326" s="5" t="inlineStr">
        <is>
          <t>15</t>
        </is>
      </c>
      <c r="Q326" s="5" t="inlineStr">
        <is>
          <t>3</t>
        </is>
      </c>
      <c r="R326" s="5" t="inlineStr">
        <is>
          <t>4</t>
        </is>
      </c>
      <c r="S326" s="5" t="inlineStr">
        <is>
          <t>61</t>
        </is>
      </c>
      <c r="T326" s="5" t="inlineStr">
        <is>
          <t>5</t>
        </is>
      </c>
      <c r="U326" s="5" t="inlineStr">
        <is>
          <t>OK</t>
        </is>
      </c>
    </row>
    <row r="327">
      <c r="A327" s="5" t="inlineStr">
        <is>
          <t>E00514</t>
        </is>
      </c>
      <c r="B327" s="5" t="inlineStr">
        <is>
          <t>male</t>
        </is>
      </c>
      <c r="C327" s="6" t="inlineStr">
        <is>
          <t>24</t>
        </is>
      </c>
      <c r="D327" s="5" t="inlineStr">
        <is>
          <t>Married</t>
        </is>
      </c>
      <c r="E327" s="5" t="inlineStr">
        <is>
          <t>Diploma</t>
        </is>
      </c>
      <c r="F327" s="5" t="inlineStr">
        <is>
          <t>Research &amp; Development</t>
        </is>
      </c>
      <c r="G327" s="5" t="inlineStr">
        <is>
          <t>Data Scientist</t>
        </is>
      </c>
      <c r="H327" s="5" t="inlineStr">
        <is>
          <t>1</t>
        </is>
      </c>
      <c r="I327" s="5" t="inlineStr">
        <is>
          <t>Mumbai</t>
        </is>
      </c>
      <c r="J327" s="5" t="inlineStr">
        <is>
          <t>Full-Time</t>
        </is>
      </c>
      <c r="K327" s="7" t="n">
        <v>44069</v>
      </c>
      <c r="L327" s="7" t="inlineStr"/>
      <c r="M327" s="5" t="inlineStr">
        <is>
          <t>Yes</t>
        </is>
      </c>
      <c r="N327" s="5" t="inlineStr"/>
      <c r="O327" s="8" t="inlineStr">
        <is>
          <t>153000</t>
        </is>
      </c>
      <c r="P327" s="5" t="inlineStr">
        <is>
          <t>15</t>
        </is>
      </c>
      <c r="Q327" s="5" t="inlineStr">
        <is>
          <t>5</t>
        </is>
      </c>
      <c r="R327" s="5" t="inlineStr">
        <is>
          <t>8</t>
        </is>
      </c>
      <c r="S327" s="5" t="inlineStr">
        <is>
          <t>65</t>
        </is>
      </c>
      <c r="T327" s="5" t="inlineStr">
        <is>
          <t>6</t>
        </is>
      </c>
      <c r="U327" s="5" t="inlineStr">
        <is>
          <t>OK</t>
        </is>
      </c>
    </row>
    <row r="328">
      <c r="A328" s="5" t="inlineStr">
        <is>
          <t>E02271</t>
        </is>
      </c>
      <c r="B328" s="5" t="inlineStr">
        <is>
          <t>Female</t>
        </is>
      </c>
      <c r="C328" s="6" t="inlineStr">
        <is>
          <t>33</t>
        </is>
      </c>
      <c r="D328" s="5" t="inlineStr">
        <is>
          <t>Married</t>
        </is>
      </c>
      <c r="E328" s="5" t="inlineStr">
        <is>
          <t>Diploma</t>
        </is>
      </c>
      <c r="F328" s="5" t="inlineStr">
        <is>
          <t>IT</t>
        </is>
      </c>
      <c r="G328" s="5" t="inlineStr">
        <is>
          <t>Data Analyst</t>
        </is>
      </c>
      <c r="H328" s="5" t="inlineStr">
        <is>
          <t>6</t>
        </is>
      </c>
      <c r="I328" s="5" t="inlineStr">
        <is>
          <t>Delhi</t>
        </is>
      </c>
      <c r="J328" s="5" t="inlineStr">
        <is>
          <t>Full-Time</t>
        </is>
      </c>
      <c r="K328" s="7" t="n">
        <v>45496</v>
      </c>
      <c r="L328" s="7" t="inlineStr"/>
      <c r="M328" s="5" t="inlineStr">
        <is>
          <t>Yes</t>
        </is>
      </c>
      <c r="N328" s="5" t="inlineStr"/>
      <c r="O328" s="8" t="inlineStr">
        <is>
          <t>254000</t>
        </is>
      </c>
      <c r="P328" s="5" t="inlineStr">
        <is>
          <t>0</t>
        </is>
      </c>
      <c r="Q328" s="5" t="inlineStr">
        <is>
          <t>4</t>
        </is>
      </c>
      <c r="R328" s="5" t="inlineStr">
        <is>
          <t>5</t>
        </is>
      </c>
      <c r="S328" s="5" t="inlineStr">
        <is>
          <t>17</t>
        </is>
      </c>
      <c r="T328" s="5" t="inlineStr">
        <is>
          <t>0</t>
        </is>
      </c>
      <c r="U328" s="5" t="inlineStr">
        <is>
          <t>OK</t>
        </is>
      </c>
    </row>
    <row r="329">
      <c r="A329" s="5" t="inlineStr">
        <is>
          <t>E00235</t>
        </is>
      </c>
      <c r="B329" s="5" t="inlineStr">
        <is>
          <t>Female</t>
        </is>
      </c>
      <c r="C329" s="6" t="inlineStr">
        <is>
          <t>26</t>
        </is>
      </c>
      <c r="D329" s="5" t="inlineStr">
        <is>
          <t>Married</t>
        </is>
      </c>
      <c r="E329" s="5" t="inlineStr">
        <is>
          <t>Bachelor</t>
        </is>
      </c>
      <c r="F329" s="5" t="inlineStr">
        <is>
          <t>Marketing</t>
        </is>
      </c>
      <c r="G329" s="5" t="inlineStr">
        <is>
          <t>Marketing Analyst</t>
        </is>
      </c>
      <c r="H329" s="5" t="inlineStr">
        <is>
          <t>2</t>
        </is>
      </c>
      <c r="I329" s="5" t="inlineStr">
        <is>
          <t>Remote</t>
        </is>
      </c>
      <c r="J329" s="5" t="inlineStr">
        <is>
          <t>Full-Time</t>
        </is>
      </c>
      <c r="K329" s="7" t="n">
        <v>44545</v>
      </c>
      <c r="L329" s="7" t="n">
        <v>44579</v>
      </c>
      <c r="M329" s="5" t="inlineStr">
        <is>
          <t>No</t>
        </is>
      </c>
      <c r="N329" s="5" t="inlineStr">
        <is>
          <t>Retirement</t>
        </is>
      </c>
      <c r="O329" s="8" t="inlineStr">
        <is>
          <t>100000</t>
        </is>
      </c>
      <c r="P329" s="5" t="inlineStr">
        <is>
          <t>0</t>
        </is>
      </c>
      <c r="Q329" s="5" t="inlineStr">
        <is>
          <t>3</t>
        </is>
      </c>
      <c r="R329" s="5" t="inlineStr">
        <is>
          <t>8</t>
        </is>
      </c>
      <c r="S329" s="5" t="inlineStr">
        <is>
          <t>1</t>
        </is>
      </c>
      <c r="T329" s="5" t="inlineStr">
        <is>
          <t>1</t>
        </is>
      </c>
      <c r="U329" s="5" t="inlineStr">
        <is>
          <t>OK</t>
        </is>
      </c>
    </row>
    <row r="330">
      <c r="A330" s="5" t="inlineStr">
        <is>
          <t>E02297</t>
        </is>
      </c>
      <c r="B330" s="5" t="inlineStr">
        <is>
          <t>Male</t>
        </is>
      </c>
      <c r="C330" s="6" t="inlineStr">
        <is>
          <t>34</t>
        </is>
      </c>
      <c r="D330" s="5" t="inlineStr">
        <is>
          <t>Married</t>
        </is>
      </c>
      <c r="E330" s="5" t="inlineStr">
        <is>
          <t>Bachelor</t>
        </is>
      </c>
      <c r="F330" s="5" t="inlineStr">
        <is>
          <t>Sales</t>
        </is>
      </c>
      <c r="G330" s="5" t="inlineStr">
        <is>
          <t>Sales Executive</t>
        </is>
      </c>
      <c r="H330" s="5" t="inlineStr">
        <is>
          <t>3</t>
        </is>
      </c>
      <c r="I330" s="5" t="inlineStr">
        <is>
          <t>Chennai</t>
        </is>
      </c>
      <c r="J330" s="5" t="inlineStr">
        <is>
          <t>Part-Time</t>
        </is>
      </c>
      <c r="K330" s="7" t="n">
        <v>44119</v>
      </c>
      <c r="L330" s="7" t="inlineStr"/>
      <c r="M330" s="5" t="inlineStr">
        <is>
          <t>Yes</t>
        </is>
      </c>
      <c r="N330" s="5" t="inlineStr"/>
      <c r="O330" s="8" t="inlineStr">
        <is>
          <t>112000</t>
        </is>
      </c>
      <c r="P330" s="5" t="inlineStr">
        <is>
          <t>15</t>
        </is>
      </c>
      <c r="Q330" s="5" t="inlineStr">
        <is>
          <t>2</t>
        </is>
      </c>
      <c r="R330" s="5" t="inlineStr">
        <is>
          <t>7</t>
        </is>
      </c>
      <c r="S330" s="5" t="inlineStr">
        <is>
          <t>63</t>
        </is>
      </c>
      <c r="T330" s="5" t="inlineStr">
        <is>
          <t>0</t>
        </is>
      </c>
      <c r="U330" s="5" t="inlineStr">
        <is>
          <t>OK</t>
        </is>
      </c>
    </row>
    <row r="331">
      <c r="A331" s="5" t="inlineStr">
        <is>
          <t>E00545</t>
        </is>
      </c>
      <c r="B331" s="5" t="inlineStr">
        <is>
          <t>Male</t>
        </is>
      </c>
      <c r="C331" s="6" t="inlineStr">
        <is>
          <t>33</t>
        </is>
      </c>
      <c r="D331" s="5" t="inlineStr">
        <is>
          <t>Divorced</t>
        </is>
      </c>
      <c r="E331" s="5" t="inlineStr">
        <is>
          <t>Bachelor</t>
        </is>
      </c>
      <c r="F331" s="5" t="inlineStr">
        <is>
          <t>Customer Support</t>
        </is>
      </c>
      <c r="G331" s="5" t="inlineStr">
        <is>
          <t>Escalation Specialist</t>
        </is>
      </c>
      <c r="H331" s="5" t="inlineStr">
        <is>
          <t>4</t>
        </is>
      </c>
      <c r="I331" s="5" t="inlineStr">
        <is>
          <t>Chennai</t>
        </is>
      </c>
      <c r="J331" s="5" t="inlineStr">
        <is>
          <t>Full-Time</t>
        </is>
      </c>
      <c r="K331" s="7" t="n">
        <v>44007</v>
      </c>
      <c r="L331" s="7" t="n">
        <v>44124</v>
      </c>
      <c r="M331" s="5" t="inlineStr">
        <is>
          <t>No</t>
        </is>
      </c>
      <c r="N331" s="5" t="inlineStr">
        <is>
          <t>Retirement</t>
        </is>
      </c>
      <c r="O331" s="8" t="inlineStr">
        <is>
          <t>102500</t>
        </is>
      </c>
      <c r="P331" s="5" t="inlineStr">
        <is>
          <t>10</t>
        </is>
      </c>
      <c r="Q331" s="5" t="inlineStr">
        <is>
          <t>3</t>
        </is>
      </c>
      <c r="R331" s="5" t="inlineStr">
        <is>
          <t>7</t>
        </is>
      </c>
      <c r="S331" s="5" t="inlineStr">
        <is>
          <t>3</t>
        </is>
      </c>
      <c r="T331" s="5" t="inlineStr">
        <is>
          <t>4</t>
        </is>
      </c>
      <c r="U331" s="5" t="inlineStr">
        <is>
          <t>OK</t>
        </is>
      </c>
    </row>
    <row r="332">
      <c r="A332" s="5" t="inlineStr">
        <is>
          <t>E00209</t>
        </is>
      </c>
      <c r="B332" s="5" t="inlineStr">
        <is>
          <t>Male</t>
        </is>
      </c>
      <c r="C332" s="6" t="inlineStr">
        <is>
          <t>31</t>
        </is>
      </c>
      <c r="D332" s="5" t="inlineStr">
        <is>
          <t>Single</t>
        </is>
      </c>
      <c r="E332" s="5" t="inlineStr">
        <is>
          <t>Master</t>
        </is>
      </c>
      <c r="F332" s="5" t="inlineStr">
        <is>
          <t>Operations</t>
        </is>
      </c>
      <c r="G332" s="5" t="inlineStr">
        <is>
          <t>Operations Analyst</t>
        </is>
      </c>
      <c r="H332" s="5" t="inlineStr">
        <is>
          <t>1</t>
        </is>
      </c>
      <c r="I332" s="5" t="inlineStr">
        <is>
          <t>Mumbai</t>
        </is>
      </c>
      <c r="J332" s="5" t="inlineStr">
        <is>
          <t>Contract</t>
        </is>
      </c>
      <c r="K332" s="7" t="n">
        <v>43976</v>
      </c>
      <c r="L332" s="7" t="inlineStr"/>
      <c r="M332" s="5" t="inlineStr">
        <is>
          <t>Yes</t>
        </is>
      </c>
      <c r="N332" s="5" t="inlineStr"/>
      <c r="O332" s="8" t="inlineStr">
        <is>
          <t>82500</t>
        </is>
      </c>
      <c r="P332" s="5" t="inlineStr">
        <is>
          <t>5</t>
        </is>
      </c>
      <c r="Q332" s="5" t="inlineStr">
        <is>
          <t>4</t>
        </is>
      </c>
      <c r="R332" s="5" t="inlineStr">
        <is>
          <t>4</t>
        </is>
      </c>
      <c r="S332" s="5" t="inlineStr">
        <is>
          <t>68</t>
        </is>
      </c>
      <c r="T332" s="5" t="inlineStr">
        <is>
          <t>5</t>
        </is>
      </c>
      <c r="U332" s="5" t="inlineStr">
        <is>
          <t>OK</t>
        </is>
      </c>
    </row>
    <row r="333">
      <c r="A333" s="5" t="inlineStr">
        <is>
          <t>E00156</t>
        </is>
      </c>
      <c r="B333" s="5" t="inlineStr">
        <is>
          <t>Female</t>
        </is>
      </c>
      <c r="C333" s="6" t="inlineStr">
        <is>
          <t>27</t>
        </is>
      </c>
      <c r="D333" s="5" t="inlineStr">
        <is>
          <t>Married</t>
        </is>
      </c>
      <c r="E333" s="5" t="inlineStr">
        <is>
          <t>PhD</t>
        </is>
      </c>
      <c r="F333" s="5" t="inlineStr">
        <is>
          <t>Operations</t>
        </is>
      </c>
      <c r="G333" s="5" t="inlineStr">
        <is>
          <t>Quality Analyst</t>
        </is>
      </c>
      <c r="H333" s="5" t="inlineStr">
        <is>
          <t>3</t>
        </is>
      </c>
      <c r="I333" s="5" t="inlineStr">
        <is>
          <t>Bengaluru</t>
        </is>
      </c>
      <c r="J333" s="5" t="inlineStr">
        <is>
          <t>Full-Time</t>
        </is>
      </c>
      <c r="K333" s="7" t="n">
        <v>44794</v>
      </c>
      <c r="L333" s="7" t="inlineStr"/>
      <c r="M333" s="5" t="inlineStr">
        <is>
          <t>Yes</t>
        </is>
      </c>
      <c r="N333" s="5" t="inlineStr"/>
      <c r="O333" s="8" t="inlineStr">
        <is>
          <t>79000</t>
        </is>
      </c>
      <c r="P333" s="5" t="inlineStr">
        <is>
          <t>10</t>
        </is>
      </c>
      <c r="Q333" s="5" t="inlineStr">
        <is>
          <t>3</t>
        </is>
      </c>
      <c r="R333" s="5" t="inlineStr">
        <is>
          <t>6</t>
        </is>
      </c>
      <c r="S333" s="5" t="inlineStr">
        <is>
          <t>40</t>
        </is>
      </c>
      <c r="T333" s="5" t="inlineStr">
        <is>
          <t>4</t>
        </is>
      </c>
      <c r="U333" s="5" t="inlineStr">
        <is>
          <t>OK</t>
        </is>
      </c>
    </row>
    <row r="334">
      <c r="A334" s="5" t="inlineStr">
        <is>
          <t>E01640</t>
        </is>
      </c>
      <c r="B334" s="5" t="inlineStr">
        <is>
          <t>Male</t>
        </is>
      </c>
      <c r="C334" s="6" t="inlineStr">
        <is>
          <t>28</t>
        </is>
      </c>
      <c r="D334" s="5" t="inlineStr">
        <is>
          <t>Divorced</t>
        </is>
      </c>
      <c r="E334" s="5" t="inlineStr">
        <is>
          <t>High School</t>
        </is>
      </c>
      <c r="F334" s="5" t="inlineStr">
        <is>
          <t>Customer Support</t>
        </is>
      </c>
      <c r="G334" s="5" t="inlineStr">
        <is>
          <t>Escalation Specialist</t>
        </is>
      </c>
      <c r="H334" s="5" t="inlineStr">
        <is>
          <t>3</t>
        </is>
      </c>
      <c r="I334" s="5" t="inlineStr">
        <is>
          <t>Remote</t>
        </is>
      </c>
      <c r="J334" s="5" t="inlineStr">
        <is>
          <t>Contract</t>
        </is>
      </c>
      <c r="K334" s="7" t="n">
        <v>45011</v>
      </c>
      <c r="L334" s="7" t="inlineStr"/>
      <c r="M334" s="5" t="inlineStr">
        <is>
          <t>Yes</t>
        </is>
      </c>
      <c r="N334" s="5" t="inlineStr"/>
      <c r="O334" s="8" t="inlineStr">
        <is>
          <t>74000</t>
        </is>
      </c>
      <c r="P334" s="5" t="inlineStr">
        <is>
          <t>0</t>
        </is>
      </c>
      <c r="Q334" s="5" t="inlineStr">
        <is>
          <t>5</t>
        </is>
      </c>
      <c r="R334" s="5" t="inlineStr">
        <is>
          <t>5</t>
        </is>
      </c>
      <c r="S334" s="5" t="inlineStr">
        <is>
          <t>33</t>
        </is>
      </c>
      <c r="T334" s="5" t="inlineStr">
        <is>
          <t>9</t>
        </is>
      </c>
      <c r="U334" s="5" t="inlineStr">
        <is>
          <t>OK</t>
        </is>
      </c>
    </row>
    <row r="335">
      <c r="A335" s="5" t="inlineStr">
        <is>
          <t>E02369</t>
        </is>
      </c>
      <c r="B335" s="5" t="inlineStr">
        <is>
          <t>Female</t>
        </is>
      </c>
      <c r="C335" s="6" t="inlineStr">
        <is>
          <t>39</t>
        </is>
      </c>
      <c r="D335" s="5" t="inlineStr">
        <is>
          <t>Single</t>
        </is>
      </c>
      <c r="E335" s="5" t="inlineStr">
        <is>
          <t>Bachelor</t>
        </is>
      </c>
      <c r="F335" s="5" t="inlineStr">
        <is>
          <t>Operations</t>
        </is>
      </c>
      <c r="G335" s="5" t="inlineStr">
        <is>
          <t>Quality Analyst</t>
        </is>
      </c>
      <c r="H335" s="5" t="inlineStr">
        <is>
          <t>4</t>
        </is>
      </c>
      <c r="I335" s="5" t="inlineStr">
        <is>
          <t>Remote</t>
        </is>
      </c>
      <c r="J335" s="5" t="inlineStr">
        <is>
          <t>Full-Time</t>
        </is>
      </c>
      <c r="K335" s="7" t="n">
        <v>43989</v>
      </c>
      <c r="L335" s="7" t="n">
        <v>44127</v>
      </c>
      <c r="M335" s="5" t="inlineStr">
        <is>
          <t>No</t>
        </is>
      </c>
      <c r="N335" s="5" t="inlineStr">
        <is>
          <t>Performance / Termination</t>
        </is>
      </c>
      <c r="O335" s="8" t="inlineStr">
        <is>
          <t>132000</t>
        </is>
      </c>
      <c r="P335" s="5" t="inlineStr">
        <is>
          <t>15</t>
        </is>
      </c>
      <c r="Q335" s="5" t="inlineStr">
        <is>
          <t>5</t>
        </is>
      </c>
      <c r="R335" s="5" t="inlineStr">
        <is>
          <t>4</t>
        </is>
      </c>
      <c r="S335" s="5" t="inlineStr">
        <is>
          <t>4</t>
        </is>
      </c>
      <c r="T335" s="5" t="inlineStr">
        <is>
          <t>14</t>
        </is>
      </c>
      <c r="U335" s="5" t="inlineStr">
        <is>
          <t>OK</t>
        </is>
      </c>
    </row>
    <row r="336">
      <c r="A336" s="5" t="inlineStr">
        <is>
          <t>E01968</t>
        </is>
      </c>
      <c r="B336" s="5" t="inlineStr">
        <is>
          <t>Female</t>
        </is>
      </c>
      <c r="C336" s="6" t="inlineStr">
        <is>
          <t>39</t>
        </is>
      </c>
      <c r="D336" s="5" t="inlineStr">
        <is>
          <t>Single</t>
        </is>
      </c>
      <c r="E336" s="5" t="inlineStr">
        <is>
          <t>High School</t>
        </is>
      </c>
      <c r="F336" s="5" t="inlineStr">
        <is>
          <t>Research &amp; Development</t>
        </is>
      </c>
      <c r="G336" s="5" t="inlineStr">
        <is>
          <t>Product Engineer</t>
        </is>
      </c>
      <c r="H336" s="5" t="inlineStr">
        <is>
          <t>6</t>
        </is>
      </c>
      <c r="I336" s="5" t="inlineStr">
        <is>
          <t>Remote</t>
        </is>
      </c>
      <c r="J336" s="5" t="inlineStr">
        <is>
          <t>Full-Time</t>
        </is>
      </c>
      <c r="K336" s="7" t="n">
        <v>44928</v>
      </c>
      <c r="L336" s="7" t="inlineStr"/>
      <c r="M336" s="5" t="inlineStr">
        <is>
          <t>Yes</t>
        </is>
      </c>
      <c r="N336" s="5" t="inlineStr"/>
      <c r="O336" s="8" t="inlineStr">
        <is>
          <t>257000</t>
        </is>
      </c>
      <c r="P336" s="5" t="inlineStr">
        <is>
          <t>15</t>
        </is>
      </c>
      <c r="Q336" s="5" t="inlineStr">
        <is>
          <t>5</t>
        </is>
      </c>
      <c r="R336" s="5" t="inlineStr">
        <is>
          <t>6</t>
        </is>
      </c>
      <c r="S336" s="5" t="inlineStr">
        <is>
          <t>36</t>
        </is>
      </c>
      <c r="T336" s="5" t="inlineStr">
        <is>
          <t>12</t>
        </is>
      </c>
      <c r="U336" s="5" t="inlineStr">
        <is>
          <t>OK</t>
        </is>
      </c>
    </row>
    <row r="337">
      <c r="A337" s="5" t="inlineStr">
        <is>
          <t>E02268</t>
        </is>
      </c>
      <c r="B337" s="5" t="inlineStr">
        <is>
          <t>Female</t>
        </is>
      </c>
      <c r="C337" s="6" t="inlineStr">
        <is>
          <t>32</t>
        </is>
      </c>
      <c r="D337" s="5" t="inlineStr">
        <is>
          <t>Married</t>
        </is>
      </c>
      <c r="E337" s="5" t="inlineStr">
        <is>
          <t>Diploma</t>
        </is>
      </c>
      <c r="F337" s="5" t="inlineStr">
        <is>
          <t>Finance</t>
        </is>
      </c>
      <c r="G337" s="5" t="inlineStr">
        <is>
          <t>Credit Analyst</t>
        </is>
      </c>
      <c r="H337" s="5" t="inlineStr">
        <is>
          <t>1</t>
        </is>
      </c>
      <c r="I337" s="5" t="inlineStr">
        <is>
          <t>Remote</t>
        </is>
      </c>
      <c r="J337" s="5" t="inlineStr">
        <is>
          <t>Full-Time</t>
        </is>
      </c>
      <c r="K337" s="7" t="n">
        <v>45223</v>
      </c>
      <c r="L337" s="7" t="n">
        <v>45367</v>
      </c>
      <c r="M337" s="5" t="inlineStr">
        <is>
          <t>No</t>
        </is>
      </c>
      <c r="N337" s="5" t="inlineStr">
        <is>
          <t>Resigned</t>
        </is>
      </c>
      <c r="O337" s="8" t="inlineStr">
        <is>
          <t>98500</t>
        </is>
      </c>
      <c r="P337" s="5" t="inlineStr">
        <is>
          <t>0</t>
        </is>
      </c>
      <c r="Q337" s="5" t="inlineStr">
        <is>
          <t>3</t>
        </is>
      </c>
      <c r="R337" s="5" t="inlineStr">
        <is>
          <t>6</t>
        </is>
      </c>
      <c r="S337" s="5" t="inlineStr">
        <is>
          <t>4</t>
        </is>
      </c>
      <c r="T337" s="5" t="inlineStr">
        <is>
          <t>4</t>
        </is>
      </c>
      <c r="U337" s="5" t="inlineStr">
        <is>
          <t>OK</t>
        </is>
      </c>
    </row>
    <row r="338">
      <c r="A338" s="5" t="inlineStr">
        <is>
          <t>E00595</t>
        </is>
      </c>
      <c r="B338" s="5" t="inlineStr">
        <is>
          <t>Male</t>
        </is>
      </c>
      <c r="C338" s="6" t="inlineStr">
        <is>
          <t>24</t>
        </is>
      </c>
      <c r="D338" s="5" t="inlineStr">
        <is>
          <t>Single</t>
        </is>
      </c>
      <c r="E338" s="5" t="inlineStr">
        <is>
          <t>High School</t>
        </is>
      </c>
      <c r="F338" s="5" t="inlineStr">
        <is>
          <t>Marketing</t>
        </is>
      </c>
      <c r="G338" s="5" t="inlineStr">
        <is>
          <t>SEO Specialist</t>
        </is>
      </c>
      <c r="H338" s="5" t="inlineStr">
        <is>
          <t>1</t>
        </is>
      </c>
      <c r="I338" s="5" t="inlineStr">
        <is>
          <t>Delhi</t>
        </is>
      </c>
      <c r="J338" s="5" t="inlineStr">
        <is>
          <t>Full-Time</t>
        </is>
      </c>
      <c r="K338" s="7" t="n">
        <v>45076</v>
      </c>
      <c r="L338" s="7" t="inlineStr"/>
      <c r="M338" s="5" t="inlineStr">
        <is>
          <t>Yes</t>
        </is>
      </c>
      <c r="N338" s="5" t="inlineStr"/>
      <c r="O338" s="8" t="inlineStr">
        <is>
          <t>51000</t>
        </is>
      </c>
      <c r="P338" s="5" t="inlineStr">
        <is>
          <t>0</t>
        </is>
      </c>
      <c r="Q338" s="5" t="inlineStr">
        <is>
          <t>3</t>
        </is>
      </c>
      <c r="R338" s="5" t="inlineStr">
        <is>
          <t>7</t>
        </is>
      </c>
      <c r="S338" s="5" t="inlineStr">
        <is>
          <t>31</t>
        </is>
      </c>
      <c r="T338" s="5" t="inlineStr">
        <is>
          <t>5</t>
        </is>
      </c>
      <c r="U338" s="5" t="inlineStr">
        <is>
          <t>OK</t>
        </is>
      </c>
    </row>
    <row r="339">
      <c r="A339" s="5" t="inlineStr">
        <is>
          <t>E02770</t>
        </is>
      </c>
      <c r="B339" s="5" t="inlineStr">
        <is>
          <t>Male</t>
        </is>
      </c>
      <c r="C339" s="6" t="inlineStr">
        <is>
          <t>23</t>
        </is>
      </c>
      <c r="D339" s="5" t="inlineStr">
        <is>
          <t>Married</t>
        </is>
      </c>
      <c r="E339" s="5" t="inlineStr">
        <is>
          <t>Diploma</t>
        </is>
      </c>
      <c r="F339" s="5" t="inlineStr">
        <is>
          <t>Finance</t>
        </is>
      </c>
      <c r="G339" s="5" t="inlineStr">
        <is>
          <t>Credit Analyst</t>
        </is>
      </c>
      <c r="H339" s="5" t="inlineStr">
        <is>
          <t>1</t>
        </is>
      </c>
      <c r="I339" s="5" t="inlineStr">
        <is>
          <t>Remote</t>
        </is>
      </c>
      <c r="J339" s="5" t="inlineStr">
        <is>
          <t>Full-Time</t>
        </is>
      </c>
      <c r="K339" s="7" t="n">
        <v>44548</v>
      </c>
      <c r="L339" s="7" t="inlineStr"/>
      <c r="M339" s="5" t="inlineStr">
        <is>
          <t>Yes</t>
        </is>
      </c>
      <c r="N339" s="5" t="inlineStr"/>
      <c r="O339" s="8" t="inlineStr">
        <is>
          <t>69000</t>
        </is>
      </c>
      <c r="P339" s="5" t="inlineStr">
        <is>
          <t>10</t>
        </is>
      </c>
      <c r="Q339" s="5" t="inlineStr">
        <is>
          <t>2</t>
        </is>
      </c>
      <c r="R339" s="5" t="inlineStr">
        <is>
          <t>2</t>
        </is>
      </c>
      <c r="S339" s="5" t="inlineStr">
        <is>
          <t>49</t>
        </is>
      </c>
      <c r="T339" s="5" t="inlineStr">
        <is>
          <t>14</t>
        </is>
      </c>
      <c r="U339" s="5" t="inlineStr">
        <is>
          <t>OK</t>
        </is>
      </c>
    </row>
    <row r="340">
      <c r="A340" s="5" t="inlineStr">
        <is>
          <t>E02444</t>
        </is>
      </c>
      <c r="B340" s="5" t="inlineStr">
        <is>
          <t>Female</t>
        </is>
      </c>
      <c r="C340" s="6" t="inlineStr">
        <is>
          <t>38</t>
        </is>
      </c>
      <c r="D340" s="5" t="inlineStr">
        <is>
          <t>Married</t>
        </is>
      </c>
      <c r="E340" s="5" t="inlineStr">
        <is>
          <t>Master</t>
        </is>
      </c>
      <c r="F340" s="5" t="inlineStr">
        <is>
          <t>Executive</t>
        </is>
      </c>
      <c r="G340" s="5" t="inlineStr">
        <is>
          <t>COO</t>
        </is>
      </c>
      <c r="H340" s="5" t="inlineStr">
        <is>
          <t>5</t>
        </is>
      </c>
      <c r="I340" s="5" t="inlineStr">
        <is>
          <t>Mumbai</t>
        </is>
      </c>
      <c r="J340" s="5" t="inlineStr">
        <is>
          <t>Full-Time</t>
        </is>
      </c>
      <c r="K340" s="7" t="n">
        <v>44757</v>
      </c>
      <c r="L340" s="7" t="inlineStr"/>
      <c r="M340" s="5" t="inlineStr">
        <is>
          <t>Yes</t>
        </is>
      </c>
      <c r="N340" s="5" t="inlineStr"/>
      <c r="O340" s="8" t="inlineStr">
        <is>
          <t>399000</t>
        </is>
      </c>
      <c r="P340" s="5" t="inlineStr">
        <is>
          <t>0</t>
        </is>
      </c>
      <c r="Q340" s="5" t="inlineStr">
        <is>
          <t>4</t>
        </is>
      </c>
      <c r="R340" s="5" t="inlineStr">
        <is>
          <t>9</t>
        </is>
      </c>
      <c r="S340" s="5" t="inlineStr">
        <is>
          <t>42</t>
        </is>
      </c>
      <c r="T340" s="5" t="inlineStr">
        <is>
          <t>1</t>
        </is>
      </c>
      <c r="U340" s="5" t="inlineStr">
        <is>
          <t>OK</t>
        </is>
      </c>
    </row>
    <row r="341">
      <c r="A341" s="5" t="inlineStr">
        <is>
          <t>E01617</t>
        </is>
      </c>
      <c r="B341" s="5" t="inlineStr">
        <is>
          <t>Male</t>
        </is>
      </c>
      <c r="C341" s="6" t="inlineStr">
        <is>
          <t>41</t>
        </is>
      </c>
      <c r="D341" s="5" t="inlineStr">
        <is>
          <t>Married</t>
        </is>
      </c>
      <c r="E341" s="5" t="inlineStr">
        <is>
          <t>High School</t>
        </is>
      </c>
      <c r="F341" s="5" t="inlineStr">
        <is>
          <t>Operations</t>
        </is>
      </c>
      <c r="G341" s="5" t="inlineStr">
        <is>
          <t>Quality Analyst</t>
        </is>
      </c>
      <c r="H341" s="5" t="inlineStr">
        <is>
          <t>7</t>
        </is>
      </c>
      <c r="I341" s="5" t="inlineStr">
        <is>
          <t>Bengaluru</t>
        </is>
      </c>
      <c r="J341" s="5" t="inlineStr">
        <is>
          <t>Full-Time</t>
        </is>
      </c>
      <c r="K341" s="7" t="n">
        <v>44168</v>
      </c>
      <c r="L341" s="7" t="n">
        <v>44317</v>
      </c>
      <c r="M341" s="5" t="inlineStr">
        <is>
          <t>No</t>
        </is>
      </c>
      <c r="N341" s="5" t="inlineStr">
        <is>
          <t>Performance / Termination</t>
        </is>
      </c>
      <c r="O341" s="8" t="inlineStr">
        <is>
          <t>157000</t>
        </is>
      </c>
      <c r="P341" s="5" t="inlineStr">
        <is>
          <t>0</t>
        </is>
      </c>
      <c r="Q341" s="5" t="inlineStr">
        <is>
          <t>3</t>
        </is>
      </c>
      <c r="R341" s="5" t="inlineStr">
        <is>
          <t>3</t>
        </is>
      </c>
      <c r="S341" s="5" t="inlineStr">
        <is>
          <t>4</t>
        </is>
      </c>
      <c r="T341" s="5" t="inlineStr">
        <is>
          <t>12</t>
        </is>
      </c>
      <c r="U341" s="5" t="inlineStr">
        <is>
          <t>OK</t>
        </is>
      </c>
    </row>
    <row r="342">
      <c r="A342" s="5" t="inlineStr">
        <is>
          <t>E01652</t>
        </is>
      </c>
      <c r="B342" s="5" t="inlineStr">
        <is>
          <t>Male</t>
        </is>
      </c>
      <c r="C342" s="6" t="inlineStr">
        <is>
          <t>30</t>
        </is>
      </c>
      <c r="D342" s="5" t="inlineStr">
        <is>
          <t>Married</t>
        </is>
      </c>
      <c r="E342" s="5" t="inlineStr">
        <is>
          <t>High School</t>
        </is>
      </c>
      <c r="F342" s="5" t="inlineStr">
        <is>
          <t>Customer Support</t>
        </is>
      </c>
      <c r="G342" s="5" t="inlineStr">
        <is>
          <t>Escalation Specialist</t>
        </is>
      </c>
      <c r="H342" s="5" t="inlineStr">
        <is>
          <t>2</t>
        </is>
      </c>
      <c r="I342" s="5" t="inlineStr">
        <is>
          <t>Bengaluru</t>
        </is>
      </c>
      <c r="J342" s="5" t="inlineStr">
        <is>
          <t>Full-Time</t>
        </is>
      </c>
      <c r="K342" s="7" t="n">
        <v>44233</v>
      </c>
      <c r="L342" s="7" t="inlineStr"/>
      <c r="M342" s="5" t="inlineStr">
        <is>
          <t>Yes</t>
        </is>
      </c>
      <c r="N342" s="5" t="inlineStr"/>
      <c r="O342" s="8" t="inlineStr">
        <is>
          <t>55500</t>
        </is>
      </c>
      <c r="P342" s="5" t="inlineStr">
        <is>
          <t>15</t>
        </is>
      </c>
      <c r="Q342" s="5" t="inlineStr">
        <is>
          <t>3</t>
        </is>
      </c>
      <c r="R342" s="5" t="inlineStr">
        <is>
          <t>2</t>
        </is>
      </c>
      <c r="S342" s="5" t="inlineStr">
        <is>
          <t>59</t>
        </is>
      </c>
      <c r="T342" s="5" t="inlineStr">
        <is>
          <t>3</t>
        </is>
      </c>
      <c r="U342" s="5" t="inlineStr">
        <is>
          <t>OK</t>
        </is>
      </c>
    </row>
    <row r="343">
      <c r="A343" s="5" t="inlineStr">
        <is>
          <t>E01446</t>
        </is>
      </c>
      <c r="B343" s="5" t="inlineStr">
        <is>
          <t>Female</t>
        </is>
      </c>
      <c r="C343" s="6" t="inlineStr">
        <is>
          <t>28</t>
        </is>
      </c>
      <c r="D343" s="5" t="inlineStr">
        <is>
          <t>Married</t>
        </is>
      </c>
      <c r="E343" s="5" t="inlineStr">
        <is>
          <t>Master</t>
        </is>
      </c>
      <c r="F343" s="5" t="inlineStr">
        <is>
          <t>Operations</t>
        </is>
      </c>
      <c r="G343" s="5" t="inlineStr">
        <is>
          <t>Operations Analyst</t>
        </is>
      </c>
      <c r="H343" s="5" t="inlineStr">
        <is>
          <t>3</t>
        </is>
      </c>
      <c r="I343" s="5" t="inlineStr">
        <is>
          <t>Mumbai</t>
        </is>
      </c>
      <c r="J343" s="5" t="inlineStr">
        <is>
          <t>Full-Time</t>
        </is>
      </c>
      <c r="K343" s="7" t="n">
        <v>44834</v>
      </c>
      <c r="L343" s="7" t="inlineStr"/>
      <c r="M343" s="5" t="inlineStr">
        <is>
          <t>Yes</t>
        </is>
      </c>
      <c r="N343" s="5" t="inlineStr"/>
      <c r="O343" s="8" t="inlineStr">
        <is>
          <t>105000</t>
        </is>
      </c>
      <c r="P343" s="5" t="inlineStr">
        <is>
          <t>5</t>
        </is>
      </c>
      <c r="Q343" s="5" t="inlineStr">
        <is>
          <t>4</t>
        </is>
      </c>
      <c r="R343" s="5" t="inlineStr">
        <is>
          <t>6</t>
        </is>
      </c>
      <c r="S343" s="5" t="inlineStr">
        <is>
          <t>39</t>
        </is>
      </c>
      <c r="T343" s="5" t="inlineStr">
        <is>
          <t>2</t>
        </is>
      </c>
      <c r="U343" s="5" t="inlineStr">
        <is>
          <t>OK</t>
        </is>
      </c>
    </row>
    <row r="344">
      <c r="A344" s="5" t="inlineStr">
        <is>
          <t>E00621</t>
        </is>
      </c>
      <c r="B344" s="5" t="inlineStr">
        <is>
          <t>Female</t>
        </is>
      </c>
      <c r="C344" s="6" t="inlineStr">
        <is>
          <t>35</t>
        </is>
      </c>
      <c r="D344" s="5" t="inlineStr">
        <is>
          <t>Married</t>
        </is>
      </c>
      <c r="E344" s="5" t="inlineStr">
        <is>
          <t>Master</t>
        </is>
      </c>
      <c r="F344" s="5" t="inlineStr">
        <is>
          <t>Human Resources</t>
        </is>
      </c>
      <c r="G344" s="5" t="inlineStr">
        <is>
          <t>HR Generalist</t>
        </is>
      </c>
      <c r="H344" s="5" t="inlineStr">
        <is>
          <t>3</t>
        </is>
      </c>
      <c r="I344" s="5" t="inlineStr">
        <is>
          <t>Hyderabad</t>
        </is>
      </c>
      <c r="J344" s="5" t="inlineStr">
        <is>
          <t>Full-Time</t>
        </is>
      </c>
      <c r="K344" s="7" t="n">
        <v>44269</v>
      </c>
      <c r="L344" s="7" t="inlineStr"/>
      <c r="M344" s="5" t="inlineStr">
        <is>
          <t>Yes</t>
        </is>
      </c>
      <c r="N344" s="5" t="inlineStr"/>
      <c r="O344" s="8" t="inlineStr">
        <is>
          <t>94000</t>
        </is>
      </c>
      <c r="P344" s="5" t="inlineStr">
        <is>
          <t>10</t>
        </is>
      </c>
      <c r="Q344" s="5" t="inlineStr">
        <is>
          <t>4</t>
        </is>
      </c>
      <c r="R344" s="5" t="inlineStr">
        <is>
          <t>6</t>
        </is>
      </c>
      <c r="S344" s="5" t="inlineStr">
        <is>
          <t>58</t>
        </is>
      </c>
      <c r="T344" s="5" t="inlineStr">
        <is>
          <t>5</t>
        </is>
      </c>
      <c r="U344" s="5" t="inlineStr">
        <is>
          <t>OK</t>
        </is>
      </c>
    </row>
    <row r="345">
      <c r="A345" s="5" t="inlineStr">
        <is>
          <t>E00549</t>
        </is>
      </c>
      <c r="B345" s="5" t="inlineStr">
        <is>
          <t>Female</t>
        </is>
      </c>
      <c r="C345" s="6" t="inlineStr">
        <is>
          <t>40</t>
        </is>
      </c>
      <c r="D345" s="5" t="inlineStr">
        <is>
          <t>Married</t>
        </is>
      </c>
      <c r="E345" s="5" t="inlineStr">
        <is>
          <t>Bachelor</t>
        </is>
      </c>
      <c r="F345" s="5" t="inlineStr">
        <is>
          <t>Sales</t>
        </is>
      </c>
      <c r="G345" s="5" t="inlineStr">
        <is>
          <t>Business Development</t>
        </is>
      </c>
      <c r="H345" s="5" t="inlineStr">
        <is>
          <t>4</t>
        </is>
      </c>
      <c r="I345" s="5" t="inlineStr">
        <is>
          <t>Bengaluru</t>
        </is>
      </c>
      <c r="J345" s="5" t="inlineStr">
        <is>
          <t>Full-Time</t>
        </is>
      </c>
      <c r="K345" s="7" t="n">
        <v>44551</v>
      </c>
      <c r="L345" s="7" t="inlineStr"/>
      <c r="M345" s="5" t="inlineStr">
        <is>
          <t>Yes</t>
        </is>
      </c>
      <c r="N345" s="5" t="inlineStr"/>
      <c r="O345" s="8" t="inlineStr">
        <is>
          <t>104000</t>
        </is>
      </c>
      <c r="P345" s="5" t="inlineStr">
        <is>
          <t>20</t>
        </is>
      </c>
      <c r="Q345" s="5" t="inlineStr">
        <is>
          <t>3</t>
        </is>
      </c>
      <c r="R345" s="5" t="inlineStr">
        <is>
          <t>7</t>
        </is>
      </c>
      <c r="S345" s="5" t="inlineStr">
        <is>
          <t>49</t>
        </is>
      </c>
      <c r="T345" s="5" t="inlineStr">
        <is>
          <t>0</t>
        </is>
      </c>
      <c r="U345" s="5" t="inlineStr">
        <is>
          <t>OK</t>
        </is>
      </c>
    </row>
    <row r="346">
      <c r="A346" s="5" t="inlineStr">
        <is>
          <t>E00870</t>
        </is>
      </c>
      <c r="B346" s="5" t="inlineStr">
        <is>
          <t>Male</t>
        </is>
      </c>
      <c r="C346" s="6" t="inlineStr">
        <is>
          <t>32</t>
        </is>
      </c>
      <c r="D346" s="5" t="inlineStr">
        <is>
          <t>Married</t>
        </is>
      </c>
      <c r="E346" s="5" t="inlineStr">
        <is>
          <t>High School</t>
        </is>
      </c>
      <c r="F346" s="5" t="inlineStr">
        <is>
          <t>Finance</t>
        </is>
      </c>
      <c r="G346" s="5" t="inlineStr">
        <is>
          <t>Financial Analyst</t>
        </is>
      </c>
      <c r="H346" s="5" t="inlineStr">
        <is>
          <t>2</t>
        </is>
      </c>
      <c r="I346" s="5" t="inlineStr">
        <is>
          <t>Remote</t>
        </is>
      </c>
      <c r="J346" s="5" t="inlineStr">
        <is>
          <t>Contract</t>
        </is>
      </c>
      <c r="K346" s="7" t="n">
        <v>44624</v>
      </c>
      <c r="L346" s="7" t="n">
        <v>44746</v>
      </c>
      <c r="M346" s="5" t="inlineStr">
        <is>
          <t>No</t>
        </is>
      </c>
      <c r="N346" s="5" t="inlineStr">
        <is>
          <t>Performance / Termination</t>
        </is>
      </c>
      <c r="O346" s="8" t="inlineStr">
        <is>
          <t>999999</t>
        </is>
      </c>
      <c r="P346" s="5" t="inlineStr">
        <is>
          <t>5</t>
        </is>
      </c>
      <c r="Q346" s="5" t="inlineStr">
        <is>
          <t>4</t>
        </is>
      </c>
      <c r="R346" s="5" t="inlineStr">
        <is>
          <t>5</t>
        </is>
      </c>
      <c r="S346" s="5" t="inlineStr">
        <is>
          <t>4</t>
        </is>
      </c>
      <c r="T346" s="5" t="inlineStr">
        <is>
          <t>2</t>
        </is>
      </c>
      <c r="U346" s="5" t="inlineStr">
        <is>
          <t>Outlier salary</t>
        </is>
      </c>
    </row>
    <row r="347">
      <c r="A347" s="5" t="inlineStr">
        <is>
          <t>E00586</t>
        </is>
      </c>
      <c r="B347" s="5" t="inlineStr">
        <is>
          <t>Male</t>
        </is>
      </c>
      <c r="C347" s="6" t="inlineStr">
        <is>
          <t>32</t>
        </is>
      </c>
      <c r="D347" s="5" t="inlineStr">
        <is>
          <t>Married</t>
        </is>
      </c>
      <c r="E347" s="5" t="inlineStr">
        <is>
          <t>High School</t>
        </is>
      </c>
      <c r="F347" s="5" t="inlineStr">
        <is>
          <t>IT</t>
        </is>
      </c>
      <c r="G347" s="5" t="inlineStr">
        <is>
          <t>Software Engineer</t>
        </is>
      </c>
      <c r="H347" s="5" t="inlineStr">
        <is>
          <t>2</t>
        </is>
      </c>
      <c r="I347" s="5" t="inlineStr">
        <is>
          <t>Delhi</t>
        </is>
      </c>
      <c r="J347" s="5" t="inlineStr">
        <is>
          <t>Full-Time</t>
        </is>
      </c>
      <c r="K347" s="7" t="n">
        <v>44446</v>
      </c>
      <c r="L347" s="7" t="inlineStr"/>
      <c r="M347" s="5" t="inlineStr">
        <is>
          <t>Yes</t>
        </is>
      </c>
      <c r="N347" s="5" t="inlineStr"/>
      <c r="O347" s="8" t="inlineStr">
        <is>
          <t>126000</t>
        </is>
      </c>
      <c r="P347" s="5" t="inlineStr">
        <is>
          <t>0</t>
        </is>
      </c>
      <c r="Q347" s="5" t="inlineStr">
        <is>
          <t>4</t>
        </is>
      </c>
      <c r="R347" s="5" t="inlineStr">
        <is>
          <t>4</t>
        </is>
      </c>
      <c r="S347" s="5" t="inlineStr">
        <is>
          <t>52</t>
        </is>
      </c>
      <c r="T347" s="5" t="inlineStr">
        <is>
          <t>15</t>
        </is>
      </c>
      <c r="U347" s="5" t="inlineStr">
        <is>
          <t>OK</t>
        </is>
      </c>
    </row>
    <row r="348">
      <c r="A348" s="5" t="inlineStr">
        <is>
          <t>E00956</t>
        </is>
      </c>
      <c r="B348" s="5" t="inlineStr">
        <is>
          <t>Male</t>
        </is>
      </c>
      <c r="C348" s="6" t="inlineStr">
        <is>
          <t>41</t>
        </is>
      </c>
      <c r="D348" s="5" t="inlineStr">
        <is>
          <t>Married</t>
        </is>
      </c>
      <c r="E348" s="5" t="inlineStr">
        <is>
          <t>Diploma</t>
        </is>
      </c>
      <c r="F348" s="5" t="inlineStr"/>
      <c r="G348" s="5" t="inlineStr">
        <is>
          <t>Business Development</t>
        </is>
      </c>
      <c r="H348" s="5" t="inlineStr">
        <is>
          <t>5</t>
        </is>
      </c>
      <c r="I348" s="5" t="inlineStr">
        <is>
          <t>Delhi</t>
        </is>
      </c>
      <c r="J348" s="5" t="inlineStr">
        <is>
          <t>Full-Time</t>
        </is>
      </c>
      <c r="K348" s="7" t="n">
        <v>45030</v>
      </c>
      <c r="L348" s="7" t="inlineStr"/>
      <c r="M348" s="5" t="inlineStr">
        <is>
          <t>Yes</t>
        </is>
      </c>
      <c r="N348" s="5" t="inlineStr"/>
      <c r="O348" s="8" t="inlineStr">
        <is>
          <t>166000</t>
        </is>
      </c>
      <c r="P348" s="5" t="inlineStr">
        <is>
          <t>5</t>
        </is>
      </c>
      <c r="Q348" s="5" t="inlineStr">
        <is>
          <t>2</t>
        </is>
      </c>
      <c r="R348" s="5" t="inlineStr">
        <is>
          <t>5</t>
        </is>
      </c>
      <c r="S348" s="5" t="inlineStr">
        <is>
          <t>33</t>
        </is>
      </c>
      <c r="T348" s="5" t="inlineStr">
        <is>
          <t>6</t>
        </is>
      </c>
      <c r="U348" s="5" t="inlineStr">
        <is>
          <t>Blank department</t>
        </is>
      </c>
    </row>
    <row r="349">
      <c r="A349" s="5" t="inlineStr">
        <is>
          <t>E00957</t>
        </is>
      </c>
      <c r="B349" s="5" t="inlineStr">
        <is>
          <t>Unknown</t>
        </is>
      </c>
      <c r="C349" s="6" t="inlineStr">
        <is>
          <t>41</t>
        </is>
      </c>
      <c r="D349" s="5" t="inlineStr">
        <is>
          <t>Single</t>
        </is>
      </c>
      <c r="E349" s="5" t="inlineStr">
        <is>
          <t>Diploma</t>
        </is>
      </c>
      <c r="F349" s="5" t="inlineStr">
        <is>
          <t>Human Resources</t>
        </is>
      </c>
      <c r="G349" s="5" t="inlineStr">
        <is>
          <t>HR Generalist</t>
        </is>
      </c>
      <c r="H349" s="5" t="inlineStr">
        <is>
          <t>5</t>
        </is>
      </c>
      <c r="I349" s="5" t="inlineStr">
        <is>
          <t>Delhi</t>
        </is>
      </c>
      <c r="J349" s="5" t="inlineStr">
        <is>
          <t>Full-Time</t>
        </is>
      </c>
      <c r="K349" s="7" t="n">
        <v>44278</v>
      </c>
      <c r="L349" s="7" t="inlineStr"/>
      <c r="M349" s="5" t="inlineStr">
        <is>
          <t>Yes</t>
        </is>
      </c>
      <c r="N349" s="5" t="inlineStr"/>
      <c r="O349" s="8" t="inlineStr">
        <is>
          <t>88500</t>
        </is>
      </c>
      <c r="P349" s="5" t="inlineStr">
        <is>
          <t>5</t>
        </is>
      </c>
      <c r="Q349" s="5" t="inlineStr">
        <is>
          <t>4</t>
        </is>
      </c>
      <c r="R349" s="5" t="inlineStr">
        <is>
          <t>8</t>
        </is>
      </c>
      <c r="S349" s="5" t="inlineStr">
        <is>
          <t>58</t>
        </is>
      </c>
      <c r="T349" s="5" t="inlineStr">
        <is>
          <t>0</t>
        </is>
      </c>
      <c r="U349" s="5" t="inlineStr">
        <is>
          <t>Bad gender</t>
        </is>
      </c>
    </row>
    <row r="350">
      <c r="A350" s="5" t="inlineStr">
        <is>
          <t>E01670</t>
        </is>
      </c>
      <c r="B350" s="5" t="inlineStr">
        <is>
          <t>Female</t>
        </is>
      </c>
      <c r="C350" s="6" t="inlineStr">
        <is>
          <t>34</t>
        </is>
      </c>
      <c r="D350" s="5" t="inlineStr">
        <is>
          <t>Married</t>
        </is>
      </c>
      <c r="E350" s="5" t="inlineStr">
        <is>
          <t>High School</t>
        </is>
      </c>
      <c r="F350" s="5" t="inlineStr">
        <is>
          <t>Operations</t>
        </is>
      </c>
      <c r="G350" s="5" t="inlineStr">
        <is>
          <t>Quality Analyst</t>
        </is>
      </c>
      <c r="H350" s="5" t="inlineStr">
        <is>
          <t>3</t>
        </is>
      </c>
      <c r="I350" s="5" t="inlineStr">
        <is>
          <t>Bengaluru</t>
        </is>
      </c>
      <c r="J350" s="5" t="inlineStr">
        <is>
          <t>Full-Time</t>
        </is>
      </c>
      <c r="K350" s="7" t="n">
        <v>45427</v>
      </c>
      <c r="L350" s="7" t="inlineStr"/>
      <c r="M350" s="5" t="inlineStr">
        <is>
          <t>Yes</t>
        </is>
      </c>
      <c r="N350" s="5" t="inlineStr"/>
      <c r="O350" s="8" t="inlineStr">
        <is>
          <t>82000</t>
        </is>
      </c>
      <c r="P350" s="5" t="inlineStr">
        <is>
          <t>0</t>
        </is>
      </c>
      <c r="Q350" s="5" t="inlineStr">
        <is>
          <t>4</t>
        </is>
      </c>
      <c r="R350" s="5" t="inlineStr">
        <is>
          <t>7</t>
        </is>
      </c>
      <c r="S350" s="5" t="inlineStr">
        <is>
          <t>19</t>
        </is>
      </c>
      <c r="T350" s="5" t="inlineStr">
        <is>
          <t>9</t>
        </is>
      </c>
      <c r="U350" s="5" t="inlineStr">
        <is>
          <t>OK</t>
        </is>
      </c>
    </row>
    <row r="351">
      <c r="A351" s="5" t="inlineStr">
        <is>
          <t>E02719</t>
        </is>
      </c>
      <c r="B351" s="5" t="inlineStr">
        <is>
          <t>Female</t>
        </is>
      </c>
      <c r="C351" s="6" t="inlineStr">
        <is>
          <t>34</t>
        </is>
      </c>
      <c r="D351" s="5" t="inlineStr">
        <is>
          <t>Married</t>
        </is>
      </c>
      <c r="E351" s="5" t="inlineStr">
        <is>
          <t>Bachelor</t>
        </is>
      </c>
      <c r="F351" s="5" t="inlineStr">
        <is>
          <t>IT</t>
        </is>
      </c>
      <c r="G351" s="5" t="inlineStr">
        <is>
          <t>Data Analyst</t>
        </is>
      </c>
      <c r="H351" s="5" t="inlineStr">
        <is>
          <t>1</t>
        </is>
      </c>
      <c r="I351" s="5" t="inlineStr">
        <is>
          <t>Chennai</t>
        </is>
      </c>
      <c r="J351" s="5" t="inlineStr">
        <is>
          <t>Full-Time</t>
        </is>
      </c>
      <c r="K351" s="7" t="n">
        <v>43873</v>
      </c>
      <c r="L351" s="7" t="inlineStr"/>
      <c r="M351" s="5" t="inlineStr">
        <is>
          <t>Yes</t>
        </is>
      </c>
      <c r="N351" s="5" t="inlineStr"/>
      <c r="O351" s="8" t="inlineStr">
        <is>
          <t>129500</t>
        </is>
      </c>
      <c r="P351" s="5" t="inlineStr">
        <is>
          <t>5</t>
        </is>
      </c>
      <c r="Q351" s="5" t="inlineStr">
        <is>
          <t>3</t>
        </is>
      </c>
      <c r="R351" s="5" t="inlineStr">
        <is>
          <t>8</t>
        </is>
      </c>
      <c r="S351" s="5" t="inlineStr">
        <is>
          <t>71</t>
        </is>
      </c>
      <c r="T351" s="5" t="inlineStr">
        <is>
          <t>8</t>
        </is>
      </c>
      <c r="U351" s="5" t="inlineStr">
        <is>
          <t>OK</t>
        </is>
      </c>
    </row>
    <row r="352">
      <c r="A352" s="5" t="inlineStr">
        <is>
          <t>E00333</t>
        </is>
      </c>
      <c r="B352" s="5" t="inlineStr">
        <is>
          <t>Male</t>
        </is>
      </c>
      <c r="C352" s="6" t="inlineStr">
        <is>
          <t>32</t>
        </is>
      </c>
      <c r="D352" s="5" t="inlineStr">
        <is>
          <t>Married</t>
        </is>
      </c>
      <c r="E352" s="5" t="inlineStr">
        <is>
          <t>High School</t>
        </is>
      </c>
      <c r="F352" s="5" t="inlineStr">
        <is>
          <t>IT</t>
        </is>
      </c>
      <c r="G352" s="5" t="inlineStr">
        <is>
          <t>IT Support</t>
        </is>
      </c>
      <c r="H352" s="5" t="inlineStr">
        <is>
          <t>4</t>
        </is>
      </c>
      <c r="I352" s="5" t="inlineStr">
        <is>
          <t>Bengaluru</t>
        </is>
      </c>
      <c r="J352" s="5" t="inlineStr">
        <is>
          <t>Full-Time</t>
        </is>
      </c>
      <c r="K352" s="7" t="n">
        <v>45150</v>
      </c>
      <c r="L352" s="7" t="inlineStr"/>
      <c r="M352" s="5" t="inlineStr">
        <is>
          <t>Yes</t>
        </is>
      </c>
      <c r="N352" s="5" t="inlineStr"/>
      <c r="O352" s="8" t="inlineStr">
        <is>
          <t>186000</t>
        </is>
      </c>
      <c r="P352" s="5" t="inlineStr">
        <is>
          <t>0</t>
        </is>
      </c>
      <c r="Q352" s="5" t="inlineStr">
        <is>
          <t>3</t>
        </is>
      </c>
      <c r="R352" s="5" t="inlineStr">
        <is>
          <t>5</t>
        </is>
      </c>
      <c r="S352" s="5" t="inlineStr">
        <is>
          <t>29</t>
        </is>
      </c>
      <c r="T352" s="5" t="inlineStr">
        <is>
          <t>12</t>
        </is>
      </c>
      <c r="U352" s="5" t="inlineStr">
        <is>
          <t>OK</t>
        </is>
      </c>
    </row>
    <row r="353">
      <c r="A353" s="5" t="inlineStr">
        <is>
          <t>E00394</t>
        </is>
      </c>
      <c r="B353" s="5" t="inlineStr">
        <is>
          <t>Male</t>
        </is>
      </c>
      <c r="C353" s="6" t="inlineStr">
        <is>
          <t>32</t>
        </is>
      </c>
      <c r="D353" s="5" t="inlineStr">
        <is>
          <t>Married</t>
        </is>
      </c>
      <c r="E353" s="5" t="inlineStr">
        <is>
          <t>Diploma</t>
        </is>
      </c>
      <c r="F353" s="5" t="inlineStr">
        <is>
          <t>IT</t>
        </is>
      </c>
      <c r="G353" s="5" t="inlineStr">
        <is>
          <t>Software Engineer</t>
        </is>
      </c>
      <c r="H353" s="5" t="inlineStr">
        <is>
          <t>4</t>
        </is>
      </c>
      <c r="I353" s="5" t="inlineStr">
        <is>
          <t>Mumbai</t>
        </is>
      </c>
      <c r="J353" s="5" t="inlineStr">
        <is>
          <t>Full-Time</t>
        </is>
      </c>
      <c r="K353" s="7" t="n">
        <v>45556</v>
      </c>
      <c r="L353" s="7" t="inlineStr"/>
      <c r="M353" s="5" t="inlineStr">
        <is>
          <t>Yes</t>
        </is>
      </c>
      <c r="N353" s="5" t="inlineStr"/>
      <c r="O353" s="8" t="inlineStr">
        <is>
          <t>126000</t>
        </is>
      </c>
      <c r="P353" s="5" t="inlineStr">
        <is>
          <t>20</t>
        </is>
      </c>
      <c r="Q353" s="5" t="inlineStr">
        <is>
          <t>3</t>
        </is>
      </c>
      <c r="R353" s="5" t="inlineStr">
        <is>
          <t>4</t>
        </is>
      </c>
      <c r="S353" s="5" t="inlineStr">
        <is>
          <t>15</t>
        </is>
      </c>
      <c r="T353" s="5" t="inlineStr">
        <is>
          <t>0</t>
        </is>
      </c>
      <c r="U353" s="5" t="inlineStr">
        <is>
          <t>OK</t>
        </is>
      </c>
    </row>
    <row r="354">
      <c r="A354" s="5" t="inlineStr">
        <is>
          <t>E02402</t>
        </is>
      </c>
      <c r="B354" s="5" t="inlineStr">
        <is>
          <t>Female</t>
        </is>
      </c>
      <c r="C354" s="6" t="inlineStr">
        <is>
          <t>30</t>
        </is>
      </c>
      <c r="D354" s="5" t="inlineStr">
        <is>
          <t>Married</t>
        </is>
      </c>
      <c r="E354" s="5" t="inlineStr">
        <is>
          <t>PhD</t>
        </is>
      </c>
      <c r="F354" s="5" t="inlineStr">
        <is>
          <t>Customer Support</t>
        </is>
      </c>
      <c r="G354" s="5" t="inlineStr">
        <is>
          <t>Escalation Specialist</t>
        </is>
      </c>
      <c r="H354" s="5" t="inlineStr">
        <is>
          <t>4</t>
        </is>
      </c>
      <c r="I354" s="5" t="inlineStr">
        <is>
          <t>Mumbai</t>
        </is>
      </c>
      <c r="J354" s="5" t="inlineStr">
        <is>
          <t>Full-Time</t>
        </is>
      </c>
      <c r="K354" s="7" t="n">
        <v>45924</v>
      </c>
      <c r="L354" s="7" t="inlineStr"/>
      <c r="M354" s="5" t="inlineStr">
        <is>
          <t>Yes</t>
        </is>
      </c>
      <c r="N354" s="5" t="inlineStr"/>
      <c r="O354" s="8" t="inlineStr">
        <is>
          <t>81000</t>
        </is>
      </c>
      <c r="P354" s="5" t="inlineStr">
        <is>
          <t>10</t>
        </is>
      </c>
      <c r="Q354" s="5" t="inlineStr">
        <is>
          <t>5</t>
        </is>
      </c>
      <c r="R354" s="5" t="inlineStr">
        <is>
          <t>6</t>
        </is>
      </c>
      <c r="S354" s="5" t="inlineStr">
        <is>
          <t>3</t>
        </is>
      </c>
      <c r="T354" s="5" t="inlineStr">
        <is>
          <t>0</t>
        </is>
      </c>
      <c r="U354" s="5" t="inlineStr">
        <is>
          <t>OK</t>
        </is>
      </c>
    </row>
    <row r="355">
      <c r="A355" s="5" t="inlineStr">
        <is>
          <t>E01804</t>
        </is>
      </c>
      <c r="B355" s="5" t="inlineStr">
        <is>
          <t>Female</t>
        </is>
      </c>
      <c r="C355" s="6" t="inlineStr">
        <is>
          <t>33</t>
        </is>
      </c>
      <c r="D355" s="5" t="inlineStr">
        <is>
          <t>Married</t>
        </is>
      </c>
      <c r="E355" s="5" t="inlineStr">
        <is>
          <t>Diploma</t>
        </is>
      </c>
      <c r="F355" s="5" t="inlineStr">
        <is>
          <t>Sales</t>
        </is>
      </c>
      <c r="G355" s="5" t="inlineStr">
        <is>
          <t>Business Development</t>
        </is>
      </c>
      <c r="H355" s="5" t="inlineStr">
        <is>
          <t>1</t>
        </is>
      </c>
      <c r="I355" s="5" t="inlineStr">
        <is>
          <t>Remote</t>
        </is>
      </c>
      <c r="J355" s="5" t="inlineStr">
        <is>
          <t>Full-Time</t>
        </is>
      </c>
      <c r="K355" s="7" t="n">
        <v>44203</v>
      </c>
      <c r="L355" s="7" t="inlineStr"/>
      <c r="M355" s="5" t="inlineStr">
        <is>
          <t>Yes</t>
        </is>
      </c>
      <c r="N355" s="5" t="inlineStr"/>
      <c r="O355" s="8" t="inlineStr">
        <is>
          <t>95000</t>
        </is>
      </c>
      <c r="P355" s="5" t="inlineStr">
        <is>
          <t>15</t>
        </is>
      </c>
      <c r="Q355" s="5" t="inlineStr">
        <is>
          <t>4</t>
        </is>
      </c>
      <c r="R355" s="5" t="inlineStr">
        <is>
          <t>7</t>
        </is>
      </c>
      <c r="S355" s="5" t="inlineStr">
        <is>
          <t>60</t>
        </is>
      </c>
      <c r="T355" s="5" t="inlineStr">
        <is>
          <t>5</t>
        </is>
      </c>
      <c r="U355" s="5" t="inlineStr">
        <is>
          <t>OK</t>
        </is>
      </c>
    </row>
    <row r="356">
      <c r="A356" s="5" t="inlineStr">
        <is>
          <t>E02815</t>
        </is>
      </c>
      <c r="B356" s="5" t="inlineStr">
        <is>
          <t>Female</t>
        </is>
      </c>
      <c r="C356" s="6" t="inlineStr">
        <is>
          <t>27</t>
        </is>
      </c>
      <c r="D356" s="5" t="inlineStr">
        <is>
          <t>Married</t>
        </is>
      </c>
      <c r="E356" s="5" t="inlineStr">
        <is>
          <t>PhD</t>
        </is>
      </c>
      <c r="F356" s="5" t="inlineStr">
        <is>
          <t>Sales</t>
        </is>
      </c>
      <c r="G356" s="5" t="inlineStr">
        <is>
          <t>Account Executive</t>
        </is>
      </c>
      <c r="H356" s="5" t="inlineStr">
        <is>
          <t>3</t>
        </is>
      </c>
      <c r="I356" s="5" t="inlineStr">
        <is>
          <t>Mumbai</t>
        </is>
      </c>
      <c r="J356" s="5" t="inlineStr">
        <is>
          <t>Full-Time</t>
        </is>
      </c>
      <c r="K356" s="7" t="n">
        <v>45680</v>
      </c>
      <c r="L356" s="7" t="inlineStr"/>
      <c r="M356" s="5" t="inlineStr">
        <is>
          <t>Yes</t>
        </is>
      </c>
      <c r="N356" s="5" t="inlineStr"/>
      <c r="O356" s="8" t="inlineStr">
        <is>
          <t>129000</t>
        </is>
      </c>
      <c r="P356" s="5" t="inlineStr">
        <is>
          <t>10</t>
        </is>
      </c>
      <c r="Q356" s="5" t="inlineStr">
        <is>
          <t>4</t>
        </is>
      </c>
      <c r="R356" s="5" t="inlineStr">
        <is>
          <t>8</t>
        </is>
      </c>
      <c r="S356" s="5" t="inlineStr">
        <is>
          <t>11</t>
        </is>
      </c>
      <c r="T356" s="5" t="inlineStr">
        <is>
          <t>12</t>
        </is>
      </c>
      <c r="U356" s="5" t="inlineStr">
        <is>
          <t>OK</t>
        </is>
      </c>
    </row>
    <row r="357">
      <c r="A357" s="5" t="inlineStr">
        <is>
          <t>E00320</t>
        </is>
      </c>
      <c r="B357" s="5" t="inlineStr">
        <is>
          <t>Male</t>
        </is>
      </c>
      <c r="C357" s="6" t="inlineStr">
        <is>
          <t>33</t>
        </is>
      </c>
      <c r="D357" s="5" t="inlineStr">
        <is>
          <t>Married</t>
        </is>
      </c>
      <c r="E357" s="5" t="inlineStr">
        <is>
          <t>Diploma</t>
        </is>
      </c>
      <c r="F357" s="5" t="inlineStr">
        <is>
          <t>Marketing</t>
        </is>
      </c>
      <c r="G357" s="5" t="inlineStr">
        <is>
          <t>SEO Specialist</t>
        </is>
      </c>
      <c r="H357" s="5" t="inlineStr">
        <is>
          <t>4</t>
        </is>
      </c>
      <c r="I357" s="5" t="inlineStr">
        <is>
          <t>Delhi</t>
        </is>
      </c>
      <c r="J357" s="5" t="inlineStr">
        <is>
          <t>Full-Time</t>
        </is>
      </c>
      <c r="K357" s="7" t="n">
        <v>45688</v>
      </c>
      <c r="L357" s="7" t="inlineStr"/>
      <c r="M357" s="5" t="inlineStr">
        <is>
          <t>Yes</t>
        </is>
      </c>
      <c r="N357" s="5" t="inlineStr"/>
      <c r="O357" s="8" t="inlineStr">
        <is>
          <t>124500</t>
        </is>
      </c>
      <c r="P357" s="5" t="inlineStr">
        <is>
          <t>0</t>
        </is>
      </c>
      <c r="Q357" s="5" t="inlineStr">
        <is>
          <t>4</t>
        </is>
      </c>
      <c r="R357" s="5" t="inlineStr">
        <is>
          <t>6</t>
        </is>
      </c>
      <c r="S357" s="5" t="inlineStr">
        <is>
          <t>11</t>
        </is>
      </c>
      <c r="T357" s="5" t="inlineStr">
        <is>
          <t>12</t>
        </is>
      </c>
      <c r="U357" s="5" t="inlineStr">
        <is>
          <t>OK</t>
        </is>
      </c>
    </row>
    <row r="358">
      <c r="A358" s="5" t="inlineStr">
        <is>
          <t>E01844</t>
        </is>
      </c>
      <c r="B358" s="5" t="inlineStr">
        <is>
          <t>Female</t>
        </is>
      </c>
      <c r="C358" s="6" t="inlineStr">
        <is>
          <t>36</t>
        </is>
      </c>
      <c r="D358" s="5" t="inlineStr">
        <is>
          <t>Married</t>
        </is>
      </c>
      <c r="E358" s="5" t="inlineStr">
        <is>
          <t>Master</t>
        </is>
      </c>
      <c r="F358" s="5" t="inlineStr">
        <is>
          <t>Operations</t>
        </is>
      </c>
      <c r="G358" s="5" t="inlineStr">
        <is>
          <t>Logistics Coordinator</t>
        </is>
      </c>
      <c r="H358" s="5" t="inlineStr">
        <is>
          <t>7</t>
        </is>
      </c>
      <c r="I358" s="5" t="inlineStr">
        <is>
          <t>Mumbai</t>
        </is>
      </c>
      <c r="J358" s="5" t="inlineStr">
        <is>
          <t>Full-Time</t>
        </is>
      </c>
      <c r="K358" s="7" t="n">
        <v>45318</v>
      </c>
      <c r="L358" s="7" t="inlineStr"/>
      <c r="M358" s="5" t="inlineStr">
        <is>
          <t>Yes</t>
        </is>
      </c>
      <c r="N358" s="5" t="inlineStr"/>
      <c r="O358" s="8" t="inlineStr">
        <is>
          <t>166000</t>
        </is>
      </c>
      <c r="P358" s="5" t="inlineStr">
        <is>
          <t>10</t>
        </is>
      </c>
      <c r="Q358" s="5" t="inlineStr">
        <is>
          <t>3</t>
        </is>
      </c>
      <c r="R358" s="5" t="inlineStr">
        <is>
          <t>8</t>
        </is>
      </c>
      <c r="S358" s="5" t="inlineStr">
        <is>
          <t>23</t>
        </is>
      </c>
      <c r="T358" s="5" t="inlineStr">
        <is>
          <t>0</t>
        </is>
      </c>
      <c r="U358" s="5" t="inlineStr">
        <is>
          <t>OK</t>
        </is>
      </c>
    </row>
    <row r="359">
      <c r="A359" s="5" t="inlineStr">
        <is>
          <t>E01127</t>
        </is>
      </c>
      <c r="B359" s="5" t="inlineStr">
        <is>
          <t>Male</t>
        </is>
      </c>
      <c r="C359" s="6" t="inlineStr">
        <is>
          <t>32</t>
        </is>
      </c>
      <c r="D359" s="5" t="inlineStr">
        <is>
          <t>Divorced</t>
        </is>
      </c>
      <c r="E359" s="5" t="inlineStr">
        <is>
          <t>Master</t>
        </is>
      </c>
      <c r="F359" s="5" t="inlineStr">
        <is>
          <t>Finance</t>
        </is>
      </c>
      <c r="G359" s="5" t="inlineStr">
        <is>
          <t>Accountant</t>
        </is>
      </c>
      <c r="H359" s="5" t="inlineStr">
        <is>
          <t>3</t>
        </is>
      </c>
      <c r="I359" s="5" t="inlineStr">
        <is>
          <t>Hyderabad</t>
        </is>
      </c>
      <c r="J359" s="5" t="inlineStr">
        <is>
          <t>Full-Time</t>
        </is>
      </c>
      <c r="K359" s="7" t="n">
        <v>45675</v>
      </c>
      <c r="L359" s="7" t="n">
        <v>45773</v>
      </c>
      <c r="M359" s="5" t="inlineStr">
        <is>
          <t>No</t>
        </is>
      </c>
      <c r="N359" s="5" t="inlineStr">
        <is>
          <t>Performance / Termination</t>
        </is>
      </c>
      <c r="O359" s="8" t="inlineStr">
        <is>
          <t>137500</t>
        </is>
      </c>
      <c r="P359" s="5" t="inlineStr">
        <is>
          <t>15</t>
        </is>
      </c>
      <c r="Q359" s="5" t="inlineStr">
        <is>
          <t>3</t>
        </is>
      </c>
      <c r="R359" s="5" t="inlineStr">
        <is>
          <t>7</t>
        </is>
      </c>
      <c r="S359" s="5" t="inlineStr">
        <is>
          <t>3</t>
        </is>
      </c>
      <c r="T359" s="5" t="inlineStr">
        <is>
          <t>9</t>
        </is>
      </c>
      <c r="U359" s="5" t="inlineStr">
        <is>
          <t>OK</t>
        </is>
      </c>
    </row>
    <row r="360">
      <c r="A360" s="5" t="inlineStr">
        <is>
          <t>E00864</t>
        </is>
      </c>
      <c r="B360" s="5" t="inlineStr">
        <is>
          <t>Male</t>
        </is>
      </c>
      <c r="C360" s="6" t="inlineStr">
        <is>
          <t>31</t>
        </is>
      </c>
      <c r="D360" s="5" t="inlineStr">
        <is>
          <t>Single</t>
        </is>
      </c>
      <c r="E360" s="5" t="inlineStr">
        <is>
          <t>PhD</t>
        </is>
      </c>
      <c r="F360" s="5" t="inlineStr">
        <is>
          <t>Research &amp; Development</t>
        </is>
      </c>
      <c r="G360" s="5" t="inlineStr">
        <is>
          <t>Product Engineer</t>
        </is>
      </c>
      <c r="H360" s="5" t="inlineStr">
        <is>
          <t>3</t>
        </is>
      </c>
      <c r="I360" s="5" t="inlineStr">
        <is>
          <t>Bengaluru</t>
        </is>
      </c>
      <c r="J360" s="5" t="inlineStr">
        <is>
          <t>Full-Time</t>
        </is>
      </c>
      <c r="K360" s="7" t="n">
        <v>44685</v>
      </c>
      <c r="L360" s="7" t="inlineStr"/>
      <c r="M360" s="5" t="inlineStr">
        <is>
          <t>Yes</t>
        </is>
      </c>
      <c r="N360" s="5" t="inlineStr"/>
      <c r="O360" s="8" t="inlineStr">
        <is>
          <t>177500</t>
        </is>
      </c>
      <c r="P360" s="5" t="inlineStr">
        <is>
          <t>0</t>
        </is>
      </c>
      <c r="Q360" s="5" t="inlineStr">
        <is>
          <t>4</t>
        </is>
      </c>
      <c r="R360" s="5" t="inlineStr">
        <is>
          <t>6</t>
        </is>
      </c>
      <c r="S360" s="5" t="inlineStr">
        <is>
          <t>44</t>
        </is>
      </c>
      <c r="T360" s="5" t="inlineStr">
        <is>
          <t>10</t>
        </is>
      </c>
      <c r="U360" s="5" t="inlineStr">
        <is>
          <t>OK</t>
        </is>
      </c>
    </row>
    <row r="361">
      <c r="A361" s="5" t="inlineStr">
        <is>
          <t>E02919</t>
        </is>
      </c>
      <c r="B361" s="5" t="inlineStr">
        <is>
          <t>Female</t>
        </is>
      </c>
      <c r="C361" s="6" t="inlineStr">
        <is>
          <t>26</t>
        </is>
      </c>
      <c r="D361" s="5" t="inlineStr">
        <is>
          <t>Married</t>
        </is>
      </c>
      <c r="E361" s="5" t="inlineStr">
        <is>
          <t>High School</t>
        </is>
      </c>
      <c r="F361" s="5" t="inlineStr">
        <is>
          <t>Customer Support</t>
        </is>
      </c>
      <c r="G361" s="5" t="inlineStr">
        <is>
          <t>Escalation Specialist</t>
        </is>
      </c>
      <c r="H361" s="5" t="inlineStr">
        <is>
          <t>2</t>
        </is>
      </c>
      <c r="I361" s="5" t="inlineStr">
        <is>
          <t>Bengaluru</t>
        </is>
      </c>
      <c r="J361" s="5" t="inlineStr">
        <is>
          <t>Full-Time</t>
        </is>
      </c>
      <c r="K361" s="7" t="n">
        <v>43848</v>
      </c>
      <c r="L361" s="7" t="inlineStr"/>
      <c r="M361" s="5" t="inlineStr">
        <is>
          <t>Yes</t>
        </is>
      </c>
      <c r="N361" s="5" t="inlineStr"/>
      <c r="O361" s="8" t="inlineStr">
        <is>
          <t>55500</t>
        </is>
      </c>
      <c r="P361" s="5" t="inlineStr">
        <is>
          <t>0</t>
        </is>
      </c>
      <c r="Q361" s="5" t="inlineStr">
        <is>
          <t>4</t>
        </is>
      </c>
      <c r="R361" s="5" t="inlineStr">
        <is>
          <t>4</t>
        </is>
      </c>
      <c r="S361" s="5" t="inlineStr">
        <is>
          <t>72</t>
        </is>
      </c>
      <c r="T361" s="5" t="inlineStr">
        <is>
          <t>10</t>
        </is>
      </c>
      <c r="U361" s="5" t="inlineStr">
        <is>
          <t>OK</t>
        </is>
      </c>
    </row>
    <row r="362">
      <c r="A362" s="5" t="inlineStr">
        <is>
          <t>E02717</t>
        </is>
      </c>
      <c r="B362" s="5" t="inlineStr">
        <is>
          <t>Female</t>
        </is>
      </c>
      <c r="C362" s="6" t="inlineStr">
        <is>
          <t>25</t>
        </is>
      </c>
      <c r="D362" s="5" t="inlineStr">
        <is>
          <t>Married</t>
        </is>
      </c>
      <c r="E362" s="5" t="inlineStr">
        <is>
          <t>Diploma</t>
        </is>
      </c>
      <c r="F362" s="5" t="inlineStr">
        <is>
          <t>Operations</t>
        </is>
      </c>
      <c r="G362" s="5" t="inlineStr">
        <is>
          <t>Operations Analyst</t>
        </is>
      </c>
      <c r="H362" s="5" t="inlineStr">
        <is>
          <t>2</t>
        </is>
      </c>
      <c r="I362" s="5" t="inlineStr">
        <is>
          <t>Mumbai</t>
        </is>
      </c>
      <c r="J362" s="5" t="inlineStr">
        <is>
          <t>Full-Time</t>
        </is>
      </c>
      <c r="K362" s="7" t="n">
        <v>45982</v>
      </c>
      <c r="L362" s="7" t="n">
        <v>45997</v>
      </c>
      <c r="M362" s="5" t="inlineStr">
        <is>
          <t>No</t>
        </is>
      </c>
      <c r="N362" s="5" t="inlineStr">
        <is>
          <t>Resigned</t>
        </is>
      </c>
      <c r="O362" s="8" t="inlineStr">
        <is>
          <t>110000</t>
        </is>
      </c>
      <c r="P362" s="5" t="inlineStr">
        <is>
          <t>0</t>
        </is>
      </c>
      <c r="Q362" s="5" t="inlineStr">
        <is>
          <t>2</t>
        </is>
      </c>
      <c r="R362" s="5" t="inlineStr">
        <is>
          <t>5</t>
        </is>
      </c>
      <c r="S362" s="5" t="inlineStr">
        <is>
          <t>1</t>
        </is>
      </c>
      <c r="T362" s="5" t="inlineStr">
        <is>
          <t>6</t>
        </is>
      </c>
      <c r="U362" s="5" t="inlineStr">
        <is>
          <t>OK</t>
        </is>
      </c>
    </row>
    <row r="363">
      <c r="A363" s="5" t="inlineStr">
        <is>
          <t>E02989</t>
        </is>
      </c>
      <c r="B363" s="5" t="inlineStr">
        <is>
          <t>Male</t>
        </is>
      </c>
      <c r="C363" s="6" t="inlineStr">
        <is>
          <t>26</t>
        </is>
      </c>
      <c r="D363" s="5" t="inlineStr">
        <is>
          <t>Married</t>
        </is>
      </c>
      <c r="E363" s="5" t="inlineStr">
        <is>
          <t>PhD</t>
        </is>
      </c>
      <c r="F363" s="5" t="inlineStr">
        <is>
          <t>IT</t>
        </is>
      </c>
      <c r="G363" s="5" t="inlineStr">
        <is>
          <t>IT Support</t>
        </is>
      </c>
      <c r="H363" s="5" t="inlineStr">
        <is>
          <t>1</t>
        </is>
      </c>
      <c r="I363" s="5" t="inlineStr">
        <is>
          <t>Bengaluru</t>
        </is>
      </c>
      <c r="J363" s="5" t="inlineStr">
        <is>
          <t>Full-Time</t>
        </is>
      </c>
      <c r="K363" s="7" t="n">
        <v>45762</v>
      </c>
      <c r="L363" s="7" t="n">
        <v>45879</v>
      </c>
      <c r="M363" s="5" t="inlineStr">
        <is>
          <t>No</t>
        </is>
      </c>
      <c r="N363" s="5" t="inlineStr">
        <is>
          <t>Resigned</t>
        </is>
      </c>
      <c r="O363" s="8" t="inlineStr">
        <is>
          <t>83500</t>
        </is>
      </c>
      <c r="P363" s="5" t="inlineStr">
        <is>
          <t>5</t>
        </is>
      </c>
      <c r="Q363" s="5" t="inlineStr">
        <is>
          <t>3</t>
        </is>
      </c>
      <c r="R363" s="5" t="inlineStr">
        <is>
          <t>5</t>
        </is>
      </c>
      <c r="S363" s="5" t="inlineStr">
        <is>
          <t>3</t>
        </is>
      </c>
      <c r="T363" s="5" t="inlineStr">
        <is>
          <t>12</t>
        </is>
      </c>
      <c r="U363" s="5" t="inlineStr">
        <is>
          <t>OK</t>
        </is>
      </c>
    </row>
    <row r="364">
      <c r="A364" s="5" t="inlineStr">
        <is>
          <t>E00691</t>
        </is>
      </c>
      <c r="B364" s="5" t="inlineStr">
        <is>
          <t>Female</t>
        </is>
      </c>
      <c r="C364" s="6" t="inlineStr">
        <is>
          <t>46</t>
        </is>
      </c>
      <c r="D364" s="5" t="inlineStr">
        <is>
          <t>Married</t>
        </is>
      </c>
      <c r="E364" s="5" t="inlineStr">
        <is>
          <t>Bachelor</t>
        </is>
      </c>
      <c r="F364" s="5" t="inlineStr">
        <is>
          <t>Sales</t>
        </is>
      </c>
      <c r="G364" s="5" t="inlineStr">
        <is>
          <t>Account Executive</t>
        </is>
      </c>
      <c r="H364" s="5" t="inlineStr">
        <is>
          <t>7</t>
        </is>
      </c>
      <c r="I364" s="5" t="inlineStr">
        <is>
          <t>Mumbai</t>
        </is>
      </c>
      <c r="J364" s="5" t="inlineStr">
        <is>
          <t>Full-Time</t>
        </is>
      </c>
      <c r="K364" s="7" t="n">
        <v>45072</v>
      </c>
      <c r="L364" s="7" t="inlineStr"/>
      <c r="M364" s="5" t="inlineStr">
        <is>
          <t>Yes</t>
        </is>
      </c>
      <c r="N364" s="5" t="inlineStr"/>
      <c r="O364" s="8" t="inlineStr">
        <is>
          <t>180500</t>
        </is>
      </c>
      <c r="P364" s="5" t="inlineStr">
        <is>
          <t>5</t>
        </is>
      </c>
      <c r="Q364" s="5" t="inlineStr">
        <is>
          <t>3</t>
        </is>
      </c>
      <c r="R364" s="5" t="inlineStr">
        <is>
          <t>7</t>
        </is>
      </c>
      <c r="S364" s="5" t="inlineStr">
        <is>
          <t>31</t>
        </is>
      </c>
      <c r="T364" s="5" t="inlineStr">
        <is>
          <t>17</t>
        </is>
      </c>
      <c r="U364" s="5" t="inlineStr">
        <is>
          <t>OK</t>
        </is>
      </c>
    </row>
    <row r="365">
      <c r="A365" s="5" t="inlineStr">
        <is>
          <t>E02382</t>
        </is>
      </c>
      <c r="B365" s="5" t="inlineStr">
        <is>
          <t>Male</t>
        </is>
      </c>
      <c r="C365" s="6" t="inlineStr">
        <is>
          <t>31</t>
        </is>
      </c>
      <c r="D365" s="5" t="inlineStr">
        <is>
          <t>Married</t>
        </is>
      </c>
      <c r="E365" s="5" t="inlineStr">
        <is>
          <t>High School</t>
        </is>
      </c>
      <c r="F365" s="5" t="inlineStr">
        <is>
          <t>Research &amp; Development</t>
        </is>
      </c>
      <c r="G365" s="5" t="inlineStr">
        <is>
          <t>Data Scientist</t>
        </is>
      </c>
      <c r="H365" s="5" t="inlineStr">
        <is>
          <t>3</t>
        </is>
      </c>
      <c r="I365" s="5" t="inlineStr">
        <is>
          <t>Mumbai</t>
        </is>
      </c>
      <c r="J365" s="5" t="inlineStr">
        <is>
          <t>Full-Time</t>
        </is>
      </c>
      <c r="K365" s="7" t="n">
        <v>44701</v>
      </c>
      <c r="L365" s="7" t="inlineStr"/>
      <c r="M365" s="5" t="inlineStr">
        <is>
          <t>Yes</t>
        </is>
      </c>
      <c r="N365" s="5" t="inlineStr"/>
      <c r="O365" s="8" t="inlineStr">
        <is>
          <t>137500</t>
        </is>
      </c>
      <c r="P365" s="5" t="inlineStr">
        <is>
          <t>10</t>
        </is>
      </c>
      <c r="Q365" s="5" t="inlineStr">
        <is>
          <t>5</t>
        </is>
      </c>
      <c r="R365" s="5" t="inlineStr">
        <is>
          <t>9</t>
        </is>
      </c>
      <c r="S365" s="5" t="inlineStr">
        <is>
          <t>44</t>
        </is>
      </c>
      <c r="T365" s="5" t="inlineStr">
        <is>
          <t>7</t>
        </is>
      </c>
      <c r="U365" s="5" t="inlineStr">
        <is>
          <t>OK</t>
        </is>
      </c>
    </row>
    <row r="366">
      <c r="A366" s="5" t="inlineStr">
        <is>
          <t>E01752</t>
        </is>
      </c>
      <c r="B366" s="5" t="inlineStr">
        <is>
          <t>Male</t>
        </is>
      </c>
      <c r="C366" s="6" t="inlineStr">
        <is>
          <t>43</t>
        </is>
      </c>
      <c r="D366" s="5" t="inlineStr">
        <is>
          <t>Married</t>
        </is>
      </c>
      <c r="E366" s="5" t="inlineStr">
        <is>
          <t>Master</t>
        </is>
      </c>
      <c r="F366" s="5" t="inlineStr">
        <is>
          <t>Human Resources</t>
        </is>
      </c>
      <c r="G366" s="5" t="inlineStr">
        <is>
          <t>HR Generalist</t>
        </is>
      </c>
      <c r="H366" s="5" t="inlineStr">
        <is>
          <t>6</t>
        </is>
      </c>
      <c r="I366" s="5" t="inlineStr">
        <is>
          <t>Mumbai</t>
        </is>
      </c>
      <c r="J366" s="5" t="inlineStr">
        <is>
          <t>Full-Time</t>
        </is>
      </c>
      <c r="K366" s="7" t="n">
        <v>43894</v>
      </c>
      <c r="L366" s="7" t="inlineStr"/>
      <c r="M366" s="5" t="inlineStr">
        <is>
          <t>Yes</t>
        </is>
      </c>
      <c r="N366" s="5" t="inlineStr"/>
      <c r="O366" s="8" t="inlineStr">
        <is>
          <t>133500</t>
        </is>
      </c>
      <c r="P366" s="5" t="inlineStr">
        <is>
          <t>0</t>
        </is>
      </c>
      <c r="Q366" s="5" t="inlineStr">
        <is>
          <t>4</t>
        </is>
      </c>
      <c r="R366" s="5" t="inlineStr">
        <is>
          <t>3</t>
        </is>
      </c>
      <c r="S366" s="5" t="inlineStr">
        <is>
          <t>70</t>
        </is>
      </c>
      <c r="T366" s="5" t="inlineStr">
        <is>
          <t>3</t>
        </is>
      </c>
      <c r="U366" s="5" t="inlineStr">
        <is>
          <t>OK</t>
        </is>
      </c>
    </row>
    <row r="367">
      <c r="A367" s="5" t="inlineStr">
        <is>
          <t>E01037</t>
        </is>
      </c>
      <c r="B367" s="5" t="inlineStr">
        <is>
          <t>Female</t>
        </is>
      </c>
      <c r="C367" s="6" t="inlineStr">
        <is>
          <t>37</t>
        </is>
      </c>
      <c r="D367" s="5" t="inlineStr">
        <is>
          <t>Married</t>
        </is>
      </c>
      <c r="E367" s="5" t="inlineStr">
        <is>
          <t>Master</t>
        </is>
      </c>
      <c r="F367" s="5" t="inlineStr">
        <is>
          <t>Operations</t>
        </is>
      </c>
      <c r="G367" s="5" t="inlineStr">
        <is>
          <t>Operations Analyst</t>
        </is>
      </c>
      <c r="H367" s="5" t="inlineStr">
        <is>
          <t>5</t>
        </is>
      </c>
      <c r="I367" s="5" t="inlineStr">
        <is>
          <t>Hyderabad</t>
        </is>
      </c>
      <c r="J367" s="5" t="inlineStr">
        <is>
          <t>Contract</t>
        </is>
      </c>
      <c r="K367" s="7" t="n">
        <v>45815</v>
      </c>
      <c r="L367" s="7" t="n">
        <v>45896</v>
      </c>
      <c r="M367" s="5" t="inlineStr">
        <is>
          <t>No</t>
        </is>
      </c>
      <c r="N367" s="5" t="inlineStr">
        <is>
          <t>Retirement</t>
        </is>
      </c>
      <c r="O367" s="8" t="inlineStr">
        <is>
          <t>135000</t>
        </is>
      </c>
      <c r="P367" s="5" t="inlineStr">
        <is>
          <t>5</t>
        </is>
      </c>
      <c r="Q367" s="5" t="inlineStr">
        <is>
          <t>5</t>
        </is>
      </c>
      <c r="R367" s="5" t="inlineStr">
        <is>
          <t>7</t>
        </is>
      </c>
      <c r="S367" s="5" t="inlineStr">
        <is>
          <t>2</t>
        </is>
      </c>
      <c r="T367" s="5" t="inlineStr">
        <is>
          <t>12</t>
        </is>
      </c>
      <c r="U367" s="5" t="inlineStr">
        <is>
          <t>OK</t>
        </is>
      </c>
    </row>
    <row r="368">
      <c r="A368" s="5" t="inlineStr">
        <is>
          <t>E02855</t>
        </is>
      </c>
      <c r="B368" s="5" t="inlineStr">
        <is>
          <t>Female</t>
        </is>
      </c>
      <c r="C368" s="6" t="inlineStr">
        <is>
          <t>29</t>
        </is>
      </c>
      <c r="D368" s="5" t="inlineStr">
        <is>
          <t>Married</t>
        </is>
      </c>
      <c r="E368" s="5" t="inlineStr">
        <is>
          <t>Diploma</t>
        </is>
      </c>
      <c r="F368" s="5" t="inlineStr">
        <is>
          <t>Marketing</t>
        </is>
      </c>
      <c r="G368" s="5" t="inlineStr">
        <is>
          <t>Marketing Analyst</t>
        </is>
      </c>
      <c r="H368" s="5" t="inlineStr">
        <is>
          <t>3</t>
        </is>
      </c>
      <c r="I368" s="5" t="inlineStr">
        <is>
          <t>Mumbai</t>
        </is>
      </c>
      <c r="J368" s="5" t="inlineStr">
        <is>
          <t>Full-Time</t>
        </is>
      </c>
      <c r="K368" s="7" t="n">
        <v>45797</v>
      </c>
      <c r="L368" s="7" t="inlineStr"/>
      <c r="M368" s="5" t="inlineStr">
        <is>
          <t>Yes</t>
        </is>
      </c>
      <c r="N368" s="5" t="inlineStr"/>
      <c r="O368" s="8" t="inlineStr">
        <is>
          <t>105000</t>
        </is>
      </c>
      <c r="P368" s="5" t="inlineStr">
        <is>
          <t>5</t>
        </is>
      </c>
      <c r="Q368" s="5" t="inlineStr">
        <is>
          <t>3</t>
        </is>
      </c>
      <c r="R368" s="5" t="inlineStr">
        <is>
          <t>4</t>
        </is>
      </c>
      <c r="S368" s="5" t="inlineStr">
        <is>
          <t>7</t>
        </is>
      </c>
      <c r="T368" s="5" t="inlineStr">
        <is>
          <t>7</t>
        </is>
      </c>
      <c r="U368" s="5" t="inlineStr">
        <is>
          <t>OK</t>
        </is>
      </c>
    </row>
    <row r="369">
      <c r="A369" s="5" t="inlineStr">
        <is>
          <t>E02898</t>
        </is>
      </c>
      <c r="B369" s="5" t="inlineStr">
        <is>
          <t>Male</t>
        </is>
      </c>
      <c r="C369" s="6" t="inlineStr">
        <is>
          <t>29</t>
        </is>
      </c>
      <c r="D369" s="5" t="inlineStr">
        <is>
          <t>Single</t>
        </is>
      </c>
      <c r="E369" s="5" t="inlineStr">
        <is>
          <t>High School</t>
        </is>
      </c>
      <c r="F369" s="5" t="inlineStr">
        <is>
          <t>Customer Support</t>
        </is>
      </c>
      <c r="G369" s="5" t="inlineStr">
        <is>
          <t>Escalation Specialist</t>
        </is>
      </c>
      <c r="H369" s="5" t="inlineStr">
        <is>
          <t>4</t>
        </is>
      </c>
      <c r="I369" s="5" t="inlineStr">
        <is>
          <t>Hyderabad</t>
        </is>
      </c>
      <c r="J369" s="5" t="inlineStr">
        <is>
          <t>Full-Time</t>
        </is>
      </c>
      <c r="K369" s="7" t="n">
        <v>45675</v>
      </c>
      <c r="L369" s="7" t="n">
        <v>45726</v>
      </c>
      <c r="M369" s="5" t="inlineStr">
        <is>
          <t>No</t>
        </is>
      </c>
      <c r="N369" s="5" t="inlineStr">
        <is>
          <t>Resigned</t>
        </is>
      </c>
      <c r="O369" s="8" t="inlineStr">
        <is>
          <t>59500</t>
        </is>
      </c>
      <c r="P369" s="5" t="inlineStr">
        <is>
          <t>0</t>
        </is>
      </c>
      <c r="Q369" s="5" t="inlineStr">
        <is>
          <t>3</t>
        </is>
      </c>
      <c r="R369" s="5" t="inlineStr">
        <is>
          <t>3</t>
        </is>
      </c>
      <c r="S369" s="5" t="inlineStr">
        <is>
          <t>1</t>
        </is>
      </c>
      <c r="T369" s="5" t="inlineStr">
        <is>
          <t>12</t>
        </is>
      </c>
      <c r="U369" s="5" t="inlineStr">
        <is>
          <t>OK</t>
        </is>
      </c>
    </row>
    <row r="370">
      <c r="A370" s="5" t="inlineStr">
        <is>
          <t>E00796</t>
        </is>
      </c>
      <c r="B370" s="5" t="inlineStr">
        <is>
          <t>Female</t>
        </is>
      </c>
      <c r="C370" s="6" t="inlineStr">
        <is>
          <t>32</t>
        </is>
      </c>
      <c r="D370" s="5" t="inlineStr">
        <is>
          <t>Married</t>
        </is>
      </c>
      <c r="E370" s="5" t="inlineStr">
        <is>
          <t>PhD</t>
        </is>
      </c>
      <c r="F370" s="5" t="inlineStr">
        <is>
          <t>Marketing</t>
        </is>
      </c>
      <c r="G370" s="5" t="inlineStr">
        <is>
          <t>SEO Specialist</t>
        </is>
      </c>
      <c r="H370" s="5" t="inlineStr">
        <is>
          <t>5</t>
        </is>
      </c>
      <c r="I370" s="5" t="inlineStr">
        <is>
          <t>Chennai</t>
        </is>
      </c>
      <c r="J370" s="5" t="inlineStr">
        <is>
          <t>Full-Time</t>
        </is>
      </c>
      <c r="K370" s="7" t="n">
        <v>45359</v>
      </c>
      <c r="L370" s="7" t="inlineStr"/>
      <c r="M370" s="5" t="inlineStr">
        <is>
          <t>Yes</t>
        </is>
      </c>
      <c r="N370" s="5" t="inlineStr"/>
      <c r="O370" s="8" t="inlineStr">
        <is>
          <t>130000</t>
        </is>
      </c>
      <c r="P370" s="5" t="inlineStr">
        <is>
          <t>0</t>
        </is>
      </c>
      <c r="Q370" s="5" t="inlineStr">
        <is>
          <t>4</t>
        </is>
      </c>
      <c r="R370" s="5" t="inlineStr">
        <is>
          <t>6</t>
        </is>
      </c>
      <c r="S370" s="5" t="inlineStr">
        <is>
          <t>22</t>
        </is>
      </c>
      <c r="T370" s="5" t="inlineStr">
        <is>
          <t>7</t>
        </is>
      </c>
      <c r="U370" s="5" t="inlineStr">
        <is>
          <t>OK</t>
        </is>
      </c>
    </row>
    <row r="371">
      <c r="A371" s="5" t="inlineStr">
        <is>
          <t>E00700</t>
        </is>
      </c>
      <c r="B371" s="5" t="inlineStr">
        <is>
          <t>male</t>
        </is>
      </c>
      <c r="C371" s="6" t="inlineStr">
        <is>
          <t>28</t>
        </is>
      </c>
      <c r="D371" s="5" t="inlineStr">
        <is>
          <t>Married</t>
        </is>
      </c>
      <c r="E371" s="5" t="inlineStr">
        <is>
          <t>PhD</t>
        </is>
      </c>
      <c r="F371" s="5" t="inlineStr">
        <is>
          <t>Sales</t>
        </is>
      </c>
      <c r="G371" s="5" t="inlineStr">
        <is>
          <t>Business Development</t>
        </is>
      </c>
      <c r="H371" s="5" t="inlineStr">
        <is>
          <t>2</t>
        </is>
      </c>
      <c r="I371" s="5" t="inlineStr">
        <is>
          <t>Chennai</t>
        </is>
      </c>
      <c r="J371" s="5" t="inlineStr">
        <is>
          <t>Full-Time</t>
        </is>
      </c>
      <c r="K371" s="7" t="n">
        <v>45502</v>
      </c>
      <c r="L371" s="7" t="inlineStr"/>
      <c r="M371" s="5" t="inlineStr">
        <is>
          <t>Yes</t>
        </is>
      </c>
      <c r="N371" s="5" t="inlineStr"/>
      <c r="O371" s="8" t="inlineStr">
        <is>
          <t>102000</t>
        </is>
      </c>
      <c r="P371" s="5" t="inlineStr">
        <is>
          <t>0</t>
        </is>
      </c>
      <c r="Q371" s="5" t="inlineStr">
        <is>
          <t>4</t>
        </is>
      </c>
      <c r="R371" s="5" t="inlineStr">
        <is>
          <t>4</t>
        </is>
      </c>
      <c r="S371" s="5" t="inlineStr">
        <is>
          <t>17</t>
        </is>
      </c>
      <c r="T371" s="5" t="inlineStr">
        <is>
          <t>0</t>
        </is>
      </c>
      <c r="U371" s="5" t="inlineStr">
        <is>
          <t>OK</t>
        </is>
      </c>
    </row>
    <row r="372">
      <c r="A372" s="5" t="inlineStr">
        <is>
          <t>E02047</t>
        </is>
      </c>
      <c r="B372" s="5" t="inlineStr">
        <is>
          <t>Female</t>
        </is>
      </c>
      <c r="C372" s="6" t="inlineStr">
        <is>
          <t>28</t>
        </is>
      </c>
      <c r="D372" s="5" t="inlineStr">
        <is>
          <t>Married</t>
        </is>
      </c>
      <c r="E372" s="5" t="inlineStr">
        <is>
          <t>High School</t>
        </is>
      </c>
      <c r="F372" s="5" t="inlineStr">
        <is>
          <t>Research &amp; Development</t>
        </is>
      </c>
      <c r="G372" s="5" t="inlineStr">
        <is>
          <t>Product Engineer</t>
        </is>
      </c>
      <c r="H372" s="5" t="inlineStr">
        <is>
          <t>3</t>
        </is>
      </c>
      <c r="I372" s="5" t="inlineStr">
        <is>
          <t>Bengaluru</t>
        </is>
      </c>
      <c r="J372" s="5" t="inlineStr">
        <is>
          <t>Full-Time</t>
        </is>
      </c>
      <c r="K372" s="7" t="n">
        <v>43991</v>
      </c>
      <c r="L372" s="7" t="inlineStr"/>
      <c r="M372" s="5" t="inlineStr">
        <is>
          <t>Yes</t>
        </is>
      </c>
      <c r="N372" s="5" t="inlineStr"/>
      <c r="O372" s="8" t="inlineStr">
        <is>
          <t>182000</t>
        </is>
      </c>
      <c r="P372" s="5" t="inlineStr">
        <is>
          <t>5</t>
        </is>
      </c>
      <c r="Q372" s="5" t="inlineStr">
        <is>
          <t>3</t>
        </is>
      </c>
      <c r="R372" s="5" t="inlineStr">
        <is>
          <t>6</t>
        </is>
      </c>
      <c r="S372" s="5" t="inlineStr">
        <is>
          <t>67</t>
        </is>
      </c>
      <c r="T372" s="5" t="inlineStr">
        <is>
          <t>9</t>
        </is>
      </c>
      <c r="U372" s="5" t="inlineStr">
        <is>
          <t>OK</t>
        </is>
      </c>
    </row>
    <row r="373">
      <c r="A373" s="5" t="inlineStr">
        <is>
          <t>E00624</t>
        </is>
      </c>
      <c r="B373" s="5" t="inlineStr">
        <is>
          <t>Male</t>
        </is>
      </c>
      <c r="C373" s="6" t="inlineStr">
        <is>
          <t>30</t>
        </is>
      </c>
      <c r="D373" s="5" t="inlineStr">
        <is>
          <t>Married</t>
        </is>
      </c>
      <c r="E373" s="5" t="inlineStr">
        <is>
          <t>Bachelor</t>
        </is>
      </c>
      <c r="F373" s="5" t="inlineStr">
        <is>
          <t>Human Resources</t>
        </is>
      </c>
      <c r="G373" s="5" t="inlineStr">
        <is>
          <t>Recruiter</t>
        </is>
      </c>
      <c r="H373" s="5" t="inlineStr">
        <is>
          <t>1</t>
        </is>
      </c>
      <c r="I373" s="5" t="inlineStr">
        <is>
          <t>Hyderabad</t>
        </is>
      </c>
      <c r="J373" s="5" t="inlineStr">
        <is>
          <t>Full-Time</t>
        </is>
      </c>
      <c r="K373" s="7" t="n">
        <v>44076</v>
      </c>
      <c r="L373" s="7" t="n">
        <v>44169</v>
      </c>
      <c r="M373" s="5" t="inlineStr">
        <is>
          <t>No</t>
        </is>
      </c>
      <c r="N373" s="5" t="inlineStr">
        <is>
          <t>Retirement</t>
        </is>
      </c>
      <c r="O373" s="8" t="inlineStr">
        <is>
          <t>62500</t>
        </is>
      </c>
      <c r="P373" s="5" t="inlineStr">
        <is>
          <t>5</t>
        </is>
      </c>
      <c r="Q373" s="5" t="inlineStr">
        <is>
          <t>5</t>
        </is>
      </c>
      <c r="R373" s="5" t="inlineStr">
        <is>
          <t>7</t>
        </is>
      </c>
      <c r="S373" s="5" t="inlineStr">
        <is>
          <t>3</t>
        </is>
      </c>
      <c r="T373" s="5" t="inlineStr">
        <is>
          <t>3</t>
        </is>
      </c>
      <c r="U373" s="5" t="inlineStr">
        <is>
          <t>OK</t>
        </is>
      </c>
    </row>
    <row r="374">
      <c r="A374" s="5" t="inlineStr">
        <is>
          <t>E01181</t>
        </is>
      </c>
      <c r="B374" s="5" t="inlineStr">
        <is>
          <t>Female</t>
        </is>
      </c>
      <c r="C374" s="6" t="inlineStr">
        <is>
          <t>30</t>
        </is>
      </c>
      <c r="D374" s="5" t="inlineStr">
        <is>
          <t>Single</t>
        </is>
      </c>
      <c r="E374" s="5" t="inlineStr">
        <is>
          <t>High School</t>
        </is>
      </c>
      <c r="F374" s="5" t="inlineStr">
        <is>
          <t>Research &amp; Development</t>
        </is>
      </c>
      <c r="G374" s="5" t="inlineStr">
        <is>
          <t>Data Scientist</t>
        </is>
      </c>
      <c r="H374" s="5" t="inlineStr">
        <is>
          <t>3</t>
        </is>
      </c>
      <c r="I374" s="5" t="inlineStr">
        <is>
          <t>Chennai</t>
        </is>
      </c>
      <c r="J374" s="5" t="inlineStr">
        <is>
          <t>Full-Time</t>
        </is>
      </c>
      <c r="K374" s="7" t="n">
        <v>44443</v>
      </c>
      <c r="L374" s="7" t="inlineStr"/>
      <c r="M374" s="5" t="inlineStr">
        <is>
          <t>Yes</t>
        </is>
      </c>
      <c r="N374" s="5" t="inlineStr"/>
      <c r="O374" s="8" t="inlineStr">
        <is>
          <t>151000</t>
        </is>
      </c>
      <c r="P374" s="5" t="inlineStr">
        <is>
          <t>5</t>
        </is>
      </c>
      <c r="Q374" s="5" t="inlineStr">
        <is>
          <t>5</t>
        </is>
      </c>
      <c r="R374" s="5" t="inlineStr">
        <is>
          <t>8</t>
        </is>
      </c>
      <c r="S374" s="5" t="inlineStr">
        <is>
          <t>52</t>
        </is>
      </c>
      <c r="T374" s="5" t="inlineStr">
        <is>
          <t>3</t>
        </is>
      </c>
      <c r="U374" s="5" t="inlineStr">
        <is>
          <t>OK</t>
        </is>
      </c>
    </row>
    <row r="375">
      <c r="A375" s="5" t="inlineStr">
        <is>
          <t>E01732</t>
        </is>
      </c>
      <c r="B375" s="5" t="inlineStr">
        <is>
          <t>Female</t>
        </is>
      </c>
      <c r="C375" s="6" t="inlineStr">
        <is>
          <t>32</t>
        </is>
      </c>
      <c r="D375" s="5" t="inlineStr">
        <is>
          <t>Married</t>
        </is>
      </c>
      <c r="E375" s="5" t="inlineStr">
        <is>
          <t>Diploma</t>
        </is>
      </c>
      <c r="F375" s="5" t="inlineStr">
        <is>
          <t>Research &amp; Development</t>
        </is>
      </c>
      <c r="G375" s="5" t="inlineStr">
        <is>
          <t>Research Scientist</t>
        </is>
      </c>
      <c r="H375" s="5" t="inlineStr">
        <is>
          <t>5</t>
        </is>
      </c>
      <c r="I375" s="5" t="inlineStr">
        <is>
          <t>Delhi</t>
        </is>
      </c>
      <c r="J375" s="5" t="inlineStr">
        <is>
          <t>Full-Time</t>
        </is>
      </c>
      <c r="K375" s="7" t="n">
        <v>45723</v>
      </c>
      <c r="L375" s="7" t="inlineStr"/>
      <c r="M375" s="5" t="inlineStr">
        <is>
          <t>Yes</t>
        </is>
      </c>
      <c r="N375" s="5" t="inlineStr"/>
      <c r="O375" s="8" t="inlineStr">
        <is>
          <t>181000</t>
        </is>
      </c>
      <c r="P375" s="5" t="inlineStr">
        <is>
          <t>0</t>
        </is>
      </c>
      <c r="Q375" s="5" t="inlineStr">
        <is>
          <t>4</t>
        </is>
      </c>
      <c r="R375" s="5" t="inlineStr">
        <is>
          <t>5</t>
        </is>
      </c>
      <c r="S375" s="5" t="inlineStr">
        <is>
          <t>9</t>
        </is>
      </c>
      <c r="T375" s="5" t="inlineStr">
        <is>
          <t>6</t>
        </is>
      </c>
      <c r="U375" s="5" t="inlineStr">
        <is>
          <t>OK</t>
        </is>
      </c>
    </row>
    <row r="376">
      <c r="A376" s="5" t="inlineStr">
        <is>
          <t>E02628</t>
        </is>
      </c>
      <c r="B376" s="5" t="inlineStr">
        <is>
          <t>Male</t>
        </is>
      </c>
      <c r="C376" s="6" t="inlineStr">
        <is>
          <t>28</t>
        </is>
      </c>
      <c r="D376" s="5" t="inlineStr">
        <is>
          <t>Married</t>
        </is>
      </c>
      <c r="E376" s="5" t="inlineStr">
        <is>
          <t>Diploma</t>
        </is>
      </c>
      <c r="F376" s="5" t="inlineStr">
        <is>
          <t>Sales</t>
        </is>
      </c>
      <c r="G376" s="5" t="inlineStr">
        <is>
          <t>Sales Executive</t>
        </is>
      </c>
      <c r="H376" s="5" t="inlineStr">
        <is>
          <t>3</t>
        </is>
      </c>
      <c r="I376" s="5" t="inlineStr">
        <is>
          <t>Mumbai</t>
        </is>
      </c>
      <c r="J376" s="5" t="inlineStr">
        <is>
          <t>Full-Time</t>
        </is>
      </c>
      <c r="K376" s="7" t="n">
        <v>45775</v>
      </c>
      <c r="L376" s="7" t="n">
        <v>45908</v>
      </c>
      <c r="M376" s="5" t="inlineStr">
        <is>
          <t>No</t>
        </is>
      </c>
      <c r="N376" s="5" t="inlineStr">
        <is>
          <t>Retirement</t>
        </is>
      </c>
      <c r="O376" s="8" t="inlineStr">
        <is>
          <t>127500</t>
        </is>
      </c>
      <c r="P376" s="5" t="inlineStr">
        <is>
          <t>5</t>
        </is>
      </c>
      <c r="Q376" s="5" t="inlineStr">
        <is>
          <t>4</t>
        </is>
      </c>
      <c r="R376" s="5" t="inlineStr">
        <is>
          <t>6</t>
        </is>
      </c>
      <c r="S376" s="5" t="inlineStr">
        <is>
          <t>4</t>
        </is>
      </c>
      <c r="T376" s="5" t="inlineStr">
        <is>
          <t>6</t>
        </is>
      </c>
      <c r="U376" s="5" t="inlineStr">
        <is>
          <t>OK</t>
        </is>
      </c>
    </row>
    <row r="377">
      <c r="A377" s="5" t="inlineStr">
        <is>
          <t>E01933</t>
        </is>
      </c>
      <c r="B377" s="5" t="inlineStr">
        <is>
          <t>Male</t>
        </is>
      </c>
      <c r="C377" s="6" t="inlineStr">
        <is>
          <t>40</t>
        </is>
      </c>
      <c r="D377" s="5" t="inlineStr">
        <is>
          <t>Married</t>
        </is>
      </c>
      <c r="E377" s="5" t="inlineStr">
        <is>
          <t>Master</t>
        </is>
      </c>
      <c r="F377" s="5" t="inlineStr">
        <is>
          <t>Sales</t>
        </is>
      </c>
      <c r="G377" s="5" t="inlineStr">
        <is>
          <t>Business Development</t>
        </is>
      </c>
      <c r="H377" s="5" t="inlineStr">
        <is>
          <t>5</t>
        </is>
      </c>
      <c r="I377" s="5" t="inlineStr">
        <is>
          <t>Mumbai</t>
        </is>
      </c>
      <c r="J377" s="5" t="inlineStr">
        <is>
          <t>Full-Time</t>
        </is>
      </c>
      <c r="K377" s="7" t="n">
        <v>44351</v>
      </c>
      <c r="L377" s="7" t="inlineStr"/>
      <c r="M377" s="5" t="inlineStr">
        <is>
          <t>Yes</t>
        </is>
      </c>
      <c r="N377" s="5" t="inlineStr"/>
      <c r="O377" s="8" t="inlineStr">
        <is>
          <t>167500</t>
        </is>
      </c>
      <c r="P377" s="5" t="inlineStr">
        <is>
          <t>20</t>
        </is>
      </c>
      <c r="Q377" s="5" t="inlineStr">
        <is>
          <t>4</t>
        </is>
      </c>
      <c r="R377" s="5" t="inlineStr">
        <is>
          <t>5</t>
        </is>
      </c>
      <c r="S377" s="5" t="inlineStr">
        <is>
          <t>55</t>
        </is>
      </c>
      <c r="T377" s="5" t="inlineStr">
        <is>
          <t>5</t>
        </is>
      </c>
      <c r="U377" s="5" t="inlineStr">
        <is>
          <t>OK</t>
        </is>
      </c>
    </row>
    <row r="378">
      <c r="A378" s="5" t="inlineStr">
        <is>
          <t>E01651</t>
        </is>
      </c>
      <c r="B378" s="5" t="inlineStr">
        <is>
          <t>Male</t>
        </is>
      </c>
      <c r="C378" s="6" t="inlineStr">
        <is>
          <t>34</t>
        </is>
      </c>
      <c r="D378" s="5" t="inlineStr">
        <is>
          <t>Single</t>
        </is>
      </c>
      <c r="E378" s="5" t="inlineStr">
        <is>
          <t>Diploma</t>
        </is>
      </c>
      <c r="F378" s="5" t="inlineStr">
        <is>
          <t>Customer Support</t>
        </is>
      </c>
      <c r="G378" s="5" t="inlineStr">
        <is>
          <t>Escalation Specialist</t>
        </is>
      </c>
      <c r="H378" s="5" t="inlineStr">
        <is>
          <t>6</t>
        </is>
      </c>
      <c r="I378" s="5" t="inlineStr">
        <is>
          <t>Remote</t>
        </is>
      </c>
      <c r="J378" s="5" t="inlineStr">
        <is>
          <t>Full-Time</t>
        </is>
      </c>
      <c r="K378" s="7" t="n">
        <v>45985</v>
      </c>
      <c r="L378" s="7" t="inlineStr"/>
      <c r="M378" s="5" t="inlineStr">
        <is>
          <t>Yes</t>
        </is>
      </c>
      <c r="N378" s="5" t="inlineStr"/>
      <c r="O378" s="8" t="inlineStr">
        <is>
          <t>112500</t>
        </is>
      </c>
      <c r="P378" s="5" t="inlineStr">
        <is>
          <t>0</t>
        </is>
      </c>
      <c r="Q378" s="5" t="inlineStr">
        <is>
          <t>2</t>
        </is>
      </c>
      <c r="R378" s="5" t="inlineStr">
        <is>
          <t>7</t>
        </is>
      </c>
      <c r="S378" s="5" t="inlineStr">
        <is>
          <t>1</t>
        </is>
      </c>
      <c r="T378" s="5" t="inlineStr">
        <is>
          <t>0</t>
        </is>
      </c>
      <c r="U378" s="5" t="inlineStr">
        <is>
          <t>OK</t>
        </is>
      </c>
    </row>
    <row r="379">
      <c r="A379" s="5" t="inlineStr">
        <is>
          <t>E02440</t>
        </is>
      </c>
      <c r="B379" s="5" t="inlineStr">
        <is>
          <t>Male</t>
        </is>
      </c>
      <c r="C379" s="6" t="inlineStr">
        <is>
          <t>38</t>
        </is>
      </c>
      <c r="D379" s="5" t="inlineStr">
        <is>
          <t>Single</t>
        </is>
      </c>
      <c r="E379" s="5" t="inlineStr">
        <is>
          <t>Diploma</t>
        </is>
      </c>
      <c r="F379" s="5" t="inlineStr">
        <is>
          <t>Human Resources</t>
        </is>
      </c>
      <c r="G379" s="5" t="inlineStr">
        <is>
          <t>Recruiter</t>
        </is>
      </c>
      <c r="H379" s="5" t="inlineStr">
        <is>
          <t>3</t>
        </is>
      </c>
      <c r="I379" s="5" t="inlineStr">
        <is>
          <t>Delhi</t>
        </is>
      </c>
      <c r="J379" s="5" t="inlineStr">
        <is>
          <t>Full-Time</t>
        </is>
      </c>
      <c r="K379" s="7" t="n">
        <v>44151</v>
      </c>
      <c r="L379" s="7" t="inlineStr"/>
      <c r="M379" s="5" t="inlineStr">
        <is>
          <t>Yes</t>
        </is>
      </c>
      <c r="N379" s="5" t="inlineStr"/>
      <c r="O379" s="8" t="inlineStr">
        <is>
          <t>122500</t>
        </is>
      </c>
      <c r="P379" s="5" t="inlineStr">
        <is>
          <t>0</t>
        </is>
      </c>
      <c r="Q379" s="5" t="inlineStr">
        <is>
          <t>4</t>
        </is>
      </c>
      <c r="R379" s="5" t="inlineStr">
        <is>
          <t>8</t>
        </is>
      </c>
      <c r="S379" s="5" t="inlineStr">
        <is>
          <t>62</t>
        </is>
      </c>
      <c r="T379" s="5" t="inlineStr">
        <is>
          <t>4</t>
        </is>
      </c>
      <c r="U379" s="5" t="inlineStr">
        <is>
          <t>OK</t>
        </is>
      </c>
    </row>
    <row r="380">
      <c r="A380" s="5" t="inlineStr">
        <is>
          <t>E00790</t>
        </is>
      </c>
      <c r="B380" s="5" t="inlineStr">
        <is>
          <t>Female</t>
        </is>
      </c>
      <c r="C380" s="6" t="inlineStr">
        <is>
          <t>29</t>
        </is>
      </c>
      <c r="D380" s="5" t="inlineStr">
        <is>
          <t>Single</t>
        </is>
      </c>
      <c r="E380" s="5" t="inlineStr">
        <is>
          <t>Diploma</t>
        </is>
      </c>
      <c r="F380" s="5" t="inlineStr">
        <is>
          <t>Marketing</t>
        </is>
      </c>
      <c r="G380" s="5" t="inlineStr">
        <is>
          <t>SEO Specialist</t>
        </is>
      </c>
      <c r="H380" s="5" t="inlineStr">
        <is>
          <t>2</t>
        </is>
      </c>
      <c r="I380" s="5" t="inlineStr">
        <is>
          <t>Chennai</t>
        </is>
      </c>
      <c r="J380" s="5" t="inlineStr">
        <is>
          <t>Full-Time</t>
        </is>
      </c>
      <c r="K380" s="7" t="n">
        <v>44245</v>
      </c>
      <c r="L380" s="7" t="inlineStr"/>
      <c r="M380" s="5" t="inlineStr">
        <is>
          <t>Yes</t>
        </is>
      </c>
      <c r="N380" s="5" t="inlineStr"/>
      <c r="O380" s="8" t="inlineStr">
        <is>
          <t>72000</t>
        </is>
      </c>
      <c r="P380" s="5" t="inlineStr">
        <is>
          <t>5</t>
        </is>
      </c>
      <c r="Q380" s="5" t="inlineStr">
        <is>
          <t>2</t>
        </is>
      </c>
      <c r="R380" s="5" t="inlineStr">
        <is>
          <t>6</t>
        </is>
      </c>
      <c r="S380" s="5" t="inlineStr">
        <is>
          <t>59</t>
        </is>
      </c>
      <c r="T380" s="5" t="inlineStr">
        <is>
          <t>0</t>
        </is>
      </c>
      <c r="U380" s="5" t="inlineStr">
        <is>
          <t>OK</t>
        </is>
      </c>
    </row>
    <row r="381">
      <c r="A381" s="5" t="inlineStr">
        <is>
          <t>E02100</t>
        </is>
      </c>
      <c r="B381" s="5" t="inlineStr">
        <is>
          <t>Male</t>
        </is>
      </c>
      <c r="C381" s="6" t="inlineStr">
        <is>
          <t>28</t>
        </is>
      </c>
      <c r="D381" s="5" t="inlineStr">
        <is>
          <t>Married</t>
        </is>
      </c>
      <c r="E381" s="5" t="inlineStr">
        <is>
          <t>High School</t>
        </is>
      </c>
      <c r="F381" s="5" t="inlineStr">
        <is>
          <t>Customer Support</t>
        </is>
      </c>
      <c r="G381" s="5" t="inlineStr">
        <is>
          <t>Support Lead</t>
        </is>
      </c>
      <c r="H381" s="5" t="inlineStr">
        <is>
          <t>2</t>
        </is>
      </c>
      <c r="I381" s="5" t="inlineStr">
        <is>
          <t>Mumbai</t>
        </is>
      </c>
      <c r="J381" s="5" t="inlineStr">
        <is>
          <t>Full-Time</t>
        </is>
      </c>
      <c r="K381" s="7" t="n">
        <v>44969</v>
      </c>
      <c r="L381" s="7" t="inlineStr"/>
      <c r="M381" s="5" t="inlineStr">
        <is>
          <t>Yes</t>
        </is>
      </c>
      <c r="N381" s="5" t="inlineStr"/>
      <c r="O381" s="8" t="inlineStr">
        <is>
          <t>64500</t>
        </is>
      </c>
      <c r="P381" s="5" t="inlineStr">
        <is>
          <t>5</t>
        </is>
      </c>
      <c r="Q381" s="5" t="inlineStr">
        <is>
          <t>4</t>
        </is>
      </c>
      <c r="R381" s="5" t="inlineStr">
        <is>
          <t>4</t>
        </is>
      </c>
      <c r="S381" s="5" t="inlineStr">
        <is>
          <t>35</t>
        </is>
      </c>
      <c r="T381" s="5" t="inlineStr">
        <is>
          <t>0</t>
        </is>
      </c>
      <c r="U381" s="5" t="inlineStr">
        <is>
          <t>OK</t>
        </is>
      </c>
    </row>
    <row r="382">
      <c r="A382" s="5" t="inlineStr">
        <is>
          <t>E01560</t>
        </is>
      </c>
      <c r="B382" s="5" t="inlineStr">
        <is>
          <t>Male</t>
        </is>
      </c>
      <c r="C382" s="6" t="inlineStr">
        <is>
          <t>34</t>
        </is>
      </c>
      <c r="D382" s="5" t="inlineStr">
        <is>
          <t>Married</t>
        </is>
      </c>
      <c r="E382" s="5" t="inlineStr">
        <is>
          <t>Bachelor</t>
        </is>
      </c>
      <c r="F382" s="5" t="inlineStr">
        <is>
          <t>Human Resources</t>
        </is>
      </c>
      <c r="G382" s="5" t="inlineStr">
        <is>
          <t>Recruiter</t>
        </is>
      </c>
      <c r="H382" s="5" t="inlineStr">
        <is>
          <t>2</t>
        </is>
      </c>
      <c r="I382" s="5" t="inlineStr">
        <is>
          <t>Chennai</t>
        </is>
      </c>
      <c r="J382" s="5" t="inlineStr">
        <is>
          <t>Full-Time</t>
        </is>
      </c>
      <c r="K382" s="7" t="n">
        <v>45076</v>
      </c>
      <c r="L382" s="7" t="inlineStr"/>
      <c r="M382" s="5" t="inlineStr">
        <is>
          <t>Yes</t>
        </is>
      </c>
      <c r="N382" s="5" t="inlineStr"/>
      <c r="O382" s="8" t="inlineStr">
        <is>
          <t>89500</t>
        </is>
      </c>
      <c r="P382" s="5" t="inlineStr">
        <is>
          <t>0</t>
        </is>
      </c>
      <c r="Q382" s="5" t="inlineStr">
        <is>
          <t>5</t>
        </is>
      </c>
      <c r="R382" s="5" t="inlineStr">
        <is>
          <t>5</t>
        </is>
      </c>
      <c r="S382" s="5" t="inlineStr">
        <is>
          <t>31</t>
        </is>
      </c>
      <c r="T382" s="5" t="inlineStr">
        <is>
          <t>12</t>
        </is>
      </c>
      <c r="U382" s="5" t="inlineStr">
        <is>
          <t>OK</t>
        </is>
      </c>
    </row>
    <row r="383">
      <c r="A383" s="5" t="inlineStr">
        <is>
          <t>E01502</t>
        </is>
      </c>
      <c r="B383" s="5" t="inlineStr">
        <is>
          <t>Male</t>
        </is>
      </c>
      <c r="C383" s="6" t="inlineStr">
        <is>
          <t>38</t>
        </is>
      </c>
      <c r="D383" s="5" t="inlineStr">
        <is>
          <t>Single</t>
        </is>
      </c>
      <c r="E383" s="5" t="inlineStr">
        <is>
          <t>Bachelor</t>
        </is>
      </c>
      <c r="F383" s="5" t="inlineStr">
        <is>
          <t>Sales</t>
        </is>
      </c>
      <c r="G383" s="5" t="inlineStr">
        <is>
          <t>Business Development</t>
        </is>
      </c>
      <c r="H383" s="5" t="inlineStr">
        <is>
          <t>4</t>
        </is>
      </c>
      <c r="I383" s="5" t="inlineStr">
        <is>
          <t>Chennai</t>
        </is>
      </c>
      <c r="J383" s="5" t="inlineStr">
        <is>
          <t>Full-Time</t>
        </is>
      </c>
      <c r="K383" s="7" t="n">
        <v>44858</v>
      </c>
      <c r="L383" s="7" t="inlineStr"/>
      <c r="M383" s="5" t="inlineStr">
        <is>
          <t>Yes</t>
        </is>
      </c>
      <c r="N383" s="5" t="inlineStr"/>
      <c r="O383" s="8" t="inlineStr">
        <is>
          <t>140000</t>
        </is>
      </c>
      <c r="P383" s="5" t="inlineStr">
        <is>
          <t>5</t>
        </is>
      </c>
      <c r="Q383" s="5" t="inlineStr">
        <is>
          <t>5</t>
        </is>
      </c>
      <c r="R383" s="5" t="inlineStr">
        <is>
          <t>8</t>
        </is>
      </c>
      <c r="S383" s="5" t="inlineStr">
        <is>
          <t>38</t>
        </is>
      </c>
      <c r="T383" s="5" t="inlineStr">
        <is>
          <t>0</t>
        </is>
      </c>
      <c r="U383" s="5" t="inlineStr">
        <is>
          <t>OK</t>
        </is>
      </c>
    </row>
    <row r="384">
      <c r="A384" s="5" t="inlineStr">
        <is>
          <t>E00281</t>
        </is>
      </c>
      <c r="B384" s="5" t="inlineStr">
        <is>
          <t>Female</t>
        </is>
      </c>
      <c r="C384" s="6" t="inlineStr">
        <is>
          <t>34</t>
        </is>
      </c>
      <c r="D384" s="5" t="inlineStr">
        <is>
          <t>Single</t>
        </is>
      </c>
      <c r="E384" s="5" t="inlineStr">
        <is>
          <t>High School</t>
        </is>
      </c>
      <c r="F384" s="5" t="inlineStr">
        <is>
          <t>Operations</t>
        </is>
      </c>
      <c r="G384" s="5" t="inlineStr">
        <is>
          <t>Logistics Coordinator</t>
        </is>
      </c>
      <c r="H384" s="5" t="inlineStr">
        <is>
          <t>1</t>
        </is>
      </c>
      <c r="I384" s="5" t="inlineStr">
        <is>
          <t>Chennai</t>
        </is>
      </c>
      <c r="J384" s="5" t="inlineStr">
        <is>
          <t>Full-Time</t>
        </is>
      </c>
      <c r="K384" s="7" t="n">
        <v>45328</v>
      </c>
      <c r="L384" s="7" t="inlineStr"/>
      <c r="M384" s="5" t="inlineStr">
        <is>
          <t>Yes</t>
        </is>
      </c>
      <c r="N384" s="5" t="inlineStr"/>
      <c r="O384" s="8" t="inlineStr">
        <is>
          <t>95500</t>
        </is>
      </c>
      <c r="P384" s="5" t="inlineStr">
        <is>
          <t>20</t>
        </is>
      </c>
      <c r="Q384" s="5" t="inlineStr">
        <is>
          <t>4</t>
        </is>
      </c>
      <c r="R384" s="5" t="inlineStr">
        <is>
          <t>6</t>
        </is>
      </c>
      <c r="S384" s="5" t="inlineStr">
        <is>
          <t>23</t>
        </is>
      </c>
      <c r="T384" s="5" t="inlineStr">
        <is>
          <t>19</t>
        </is>
      </c>
      <c r="U384" s="5" t="inlineStr">
        <is>
          <t>OK</t>
        </is>
      </c>
    </row>
    <row r="385">
      <c r="A385" s="5" t="inlineStr">
        <is>
          <t>E02380</t>
        </is>
      </c>
      <c r="B385" s="5" t="inlineStr">
        <is>
          <t>Male</t>
        </is>
      </c>
      <c r="C385" s="6" t="inlineStr">
        <is>
          <t>41</t>
        </is>
      </c>
      <c r="D385" s="5" t="inlineStr">
        <is>
          <t>Single</t>
        </is>
      </c>
      <c r="E385" s="5" t="inlineStr">
        <is>
          <t>High School</t>
        </is>
      </c>
      <c r="F385" s="5" t="inlineStr">
        <is>
          <t>Finance</t>
        </is>
      </c>
      <c r="G385" s="5" t="inlineStr">
        <is>
          <t>Credit Analyst</t>
        </is>
      </c>
      <c r="H385" s="5" t="inlineStr">
        <is>
          <t>5</t>
        </is>
      </c>
      <c r="I385" s="5" t="inlineStr">
        <is>
          <t>Bengaluru</t>
        </is>
      </c>
      <c r="J385" s="5" t="inlineStr">
        <is>
          <t>Full-Time</t>
        </is>
      </c>
      <c r="K385" s="7" t="n">
        <v>44350</v>
      </c>
      <c r="L385" s="7" t="inlineStr"/>
      <c r="M385" s="5" t="inlineStr">
        <is>
          <t>Yes</t>
        </is>
      </c>
      <c r="N385" s="5" t="inlineStr"/>
      <c r="O385" s="8" t="inlineStr">
        <is>
          <t>105500</t>
        </is>
      </c>
      <c r="P385" s="5" t="inlineStr">
        <is>
          <t>0</t>
        </is>
      </c>
      <c r="Q385" s="5" t="inlineStr">
        <is>
          <t>4</t>
        </is>
      </c>
      <c r="R385" s="5" t="inlineStr">
        <is>
          <t>4</t>
        </is>
      </c>
      <c r="S385" s="5" t="inlineStr">
        <is>
          <t>55</t>
        </is>
      </c>
      <c r="T385" s="5" t="inlineStr">
        <is>
          <t>4</t>
        </is>
      </c>
      <c r="U385" s="5" t="inlineStr">
        <is>
          <t>OK</t>
        </is>
      </c>
    </row>
    <row r="386">
      <c r="A386" s="5" t="inlineStr">
        <is>
          <t>E01704</t>
        </is>
      </c>
      <c r="B386" s="5" t="inlineStr">
        <is>
          <t>Male</t>
        </is>
      </c>
      <c r="C386" s="6" t="inlineStr">
        <is>
          <t>34</t>
        </is>
      </c>
      <c r="D386" s="5" t="inlineStr">
        <is>
          <t>Married</t>
        </is>
      </c>
      <c r="E386" s="5" t="inlineStr">
        <is>
          <t>Bachelor</t>
        </is>
      </c>
      <c r="F386" s="5" t="inlineStr">
        <is>
          <t>Research &amp; Development</t>
        </is>
      </c>
      <c r="G386" s="5" t="inlineStr">
        <is>
          <t>Research Scientist</t>
        </is>
      </c>
      <c r="H386" s="5" t="inlineStr">
        <is>
          <t>1</t>
        </is>
      </c>
      <c r="I386" s="5" t="inlineStr">
        <is>
          <t>Hyderabad</t>
        </is>
      </c>
      <c r="J386" s="5" t="inlineStr">
        <is>
          <t>Full-Time</t>
        </is>
      </c>
      <c r="K386" s="7" t="n">
        <v>44761</v>
      </c>
      <c r="L386" s="7" t="n">
        <v>44886</v>
      </c>
      <c r="M386" s="5" t="inlineStr">
        <is>
          <t>No</t>
        </is>
      </c>
      <c r="N386" s="5" t="inlineStr">
        <is>
          <t>Resigned</t>
        </is>
      </c>
      <c r="O386" s="8" t="inlineStr">
        <is>
          <t>158500</t>
        </is>
      </c>
      <c r="P386" s="5" t="inlineStr">
        <is>
          <t>10</t>
        </is>
      </c>
      <c r="Q386" s="5" t="inlineStr">
        <is>
          <t>5</t>
        </is>
      </c>
      <c r="R386" s="5" t="inlineStr">
        <is>
          <t>8</t>
        </is>
      </c>
      <c r="S386" s="5" t="inlineStr">
        <is>
          <t>4</t>
        </is>
      </c>
      <c r="T386" s="5" t="inlineStr">
        <is>
          <t>14</t>
        </is>
      </c>
      <c r="U386" s="5" t="inlineStr">
        <is>
          <t>OK</t>
        </is>
      </c>
    </row>
    <row r="387">
      <c r="A387" s="5" t="inlineStr">
        <is>
          <t>E02878</t>
        </is>
      </c>
      <c r="B387" s="5" t="inlineStr">
        <is>
          <t>Female</t>
        </is>
      </c>
      <c r="C387" s="6" t="inlineStr">
        <is>
          <t>33</t>
        </is>
      </c>
      <c r="D387" s="5" t="inlineStr">
        <is>
          <t>Married</t>
        </is>
      </c>
      <c r="E387" s="5" t="inlineStr">
        <is>
          <t>Bachelor</t>
        </is>
      </c>
      <c r="F387" s="5" t="inlineStr">
        <is>
          <t>Customer Support</t>
        </is>
      </c>
      <c r="G387" s="5" t="inlineStr">
        <is>
          <t>Support Lead</t>
        </is>
      </c>
      <c r="H387" s="5" t="inlineStr">
        <is>
          <t>4</t>
        </is>
      </c>
      <c r="I387" s="5" t="inlineStr">
        <is>
          <t>Delhi</t>
        </is>
      </c>
      <c r="J387" s="5" t="inlineStr">
        <is>
          <t>Full-Time</t>
        </is>
      </c>
      <c r="K387" s="7" t="n">
        <v>44766</v>
      </c>
      <c r="L387" s="7" t="inlineStr"/>
      <c r="M387" s="5" t="inlineStr">
        <is>
          <t>Yes</t>
        </is>
      </c>
      <c r="N387" s="5" t="inlineStr"/>
      <c r="O387" s="8" t="inlineStr">
        <is>
          <t>69000</t>
        </is>
      </c>
      <c r="P387" s="5" t="inlineStr">
        <is>
          <t>0</t>
        </is>
      </c>
      <c r="Q387" s="5" t="inlineStr">
        <is>
          <t>3</t>
        </is>
      </c>
      <c r="R387" s="5" t="inlineStr">
        <is>
          <t>8</t>
        </is>
      </c>
      <c r="S387" s="5" t="inlineStr">
        <is>
          <t>41</t>
        </is>
      </c>
      <c r="T387" s="5" t="inlineStr">
        <is>
          <t>8</t>
        </is>
      </c>
      <c r="U387" s="5" t="inlineStr">
        <is>
          <t>OK</t>
        </is>
      </c>
    </row>
    <row r="388">
      <c r="A388" s="5" t="inlineStr">
        <is>
          <t>E00762</t>
        </is>
      </c>
      <c r="B388" s="5" t="inlineStr">
        <is>
          <t>Male</t>
        </is>
      </c>
      <c r="C388" s="6" t="inlineStr">
        <is>
          <t>30</t>
        </is>
      </c>
      <c r="D388" s="5" t="inlineStr">
        <is>
          <t>Divorced</t>
        </is>
      </c>
      <c r="E388" s="5" t="inlineStr">
        <is>
          <t>High School</t>
        </is>
      </c>
      <c r="F388" s="5" t="inlineStr">
        <is>
          <t>Finance</t>
        </is>
      </c>
      <c r="G388" s="5" t="inlineStr">
        <is>
          <t>Credit Analyst</t>
        </is>
      </c>
      <c r="H388" s="5" t="inlineStr">
        <is>
          <t>3</t>
        </is>
      </c>
      <c r="I388" s="5" t="inlineStr">
        <is>
          <t>Bengaluru</t>
        </is>
      </c>
      <c r="J388" s="5" t="inlineStr">
        <is>
          <t>Full-Time</t>
        </is>
      </c>
      <c r="K388" s="7" t="n">
        <v>44704</v>
      </c>
      <c r="L388" s="7" t="inlineStr"/>
      <c r="M388" s="5" t="inlineStr">
        <is>
          <t>Yes</t>
        </is>
      </c>
      <c r="N388" s="5" t="inlineStr"/>
      <c r="O388" s="8" t="inlineStr">
        <is>
          <t>108000</t>
        </is>
      </c>
      <c r="P388" s="5" t="inlineStr">
        <is>
          <t>20</t>
        </is>
      </c>
      <c r="Q388" s="5" t="inlineStr">
        <is>
          <t>3</t>
        </is>
      </c>
      <c r="R388" s="5" t="inlineStr">
        <is>
          <t>4</t>
        </is>
      </c>
      <c r="S388" s="5" t="inlineStr">
        <is>
          <t>43</t>
        </is>
      </c>
      <c r="T388" s="5" t="inlineStr">
        <is>
          <t>4</t>
        </is>
      </c>
      <c r="U388" s="5" t="inlineStr">
        <is>
          <t>OK</t>
        </is>
      </c>
    </row>
    <row r="389">
      <c r="A389" s="5" t="inlineStr">
        <is>
          <t>E00407</t>
        </is>
      </c>
      <c r="B389" s="5" t="inlineStr">
        <is>
          <t>Male</t>
        </is>
      </c>
      <c r="C389" s="6" t="inlineStr">
        <is>
          <t>40</t>
        </is>
      </c>
      <c r="D389" s="5" t="inlineStr">
        <is>
          <t>Single</t>
        </is>
      </c>
      <c r="E389" s="5" t="inlineStr">
        <is>
          <t>Bachelor</t>
        </is>
      </c>
      <c r="F389" s="5" t="inlineStr">
        <is>
          <t>Human Resources</t>
        </is>
      </c>
      <c r="G389" s="5" t="inlineStr">
        <is>
          <t>HR Generalist</t>
        </is>
      </c>
      <c r="H389" s="5" t="inlineStr">
        <is>
          <t>4</t>
        </is>
      </c>
      <c r="I389" s="5" t="inlineStr">
        <is>
          <t>Chennai</t>
        </is>
      </c>
      <c r="J389" s="5" t="inlineStr">
        <is>
          <t>Full-Time</t>
        </is>
      </c>
      <c r="K389" s="7" t="n">
        <v>45243</v>
      </c>
      <c r="L389" s="7" t="inlineStr"/>
      <c r="M389" s="5" t="inlineStr">
        <is>
          <t>Yes</t>
        </is>
      </c>
      <c r="N389" s="5" t="inlineStr"/>
      <c r="O389" s="8" t="inlineStr">
        <is>
          <t>132500</t>
        </is>
      </c>
      <c r="P389" s="5" t="inlineStr">
        <is>
          <t>15</t>
        </is>
      </c>
      <c r="Q389" s="5" t="inlineStr">
        <is>
          <t>3</t>
        </is>
      </c>
      <c r="R389" s="5" t="inlineStr">
        <is>
          <t>5</t>
        </is>
      </c>
      <c r="S389" s="5" t="inlineStr">
        <is>
          <t>25</t>
        </is>
      </c>
      <c r="T389" s="5" t="inlineStr">
        <is>
          <t>4</t>
        </is>
      </c>
      <c r="U389" s="5" t="inlineStr">
        <is>
          <t>OK</t>
        </is>
      </c>
    </row>
    <row r="390">
      <c r="A390" s="5" t="inlineStr">
        <is>
          <t>E00655</t>
        </is>
      </c>
      <c r="B390" s="5" t="inlineStr">
        <is>
          <t>Male</t>
        </is>
      </c>
      <c r="C390" s="6" t="inlineStr">
        <is>
          <t>33</t>
        </is>
      </c>
      <c r="D390" s="5" t="inlineStr">
        <is>
          <t>Married</t>
        </is>
      </c>
      <c r="E390" s="5" t="inlineStr">
        <is>
          <t>Master</t>
        </is>
      </c>
      <c r="F390" s="5" t="inlineStr">
        <is>
          <t>Marketing</t>
        </is>
      </c>
      <c r="G390" s="5" t="inlineStr">
        <is>
          <t>SEO Specialist</t>
        </is>
      </c>
      <c r="H390" s="5" t="inlineStr">
        <is>
          <t>3</t>
        </is>
      </c>
      <c r="I390" s="5" t="inlineStr">
        <is>
          <t>Chennai</t>
        </is>
      </c>
      <c r="J390" s="5" t="inlineStr">
        <is>
          <t>Full-Time</t>
        </is>
      </c>
      <c r="K390" s="7" t="n">
        <v>45424</v>
      </c>
      <c r="L390" s="7" t="inlineStr"/>
      <c r="M390" s="5" t="inlineStr">
        <is>
          <t>Yes</t>
        </is>
      </c>
      <c r="N390" s="5" t="inlineStr"/>
      <c r="O390" s="8" t="inlineStr">
        <is>
          <t>71000</t>
        </is>
      </c>
      <c r="P390" s="5" t="inlineStr">
        <is>
          <t>10</t>
        </is>
      </c>
      <c r="Q390" s="5" t="inlineStr">
        <is>
          <t>2</t>
        </is>
      </c>
      <c r="R390" s="5" t="inlineStr">
        <is>
          <t>1</t>
        </is>
      </c>
      <c r="S390" s="5" t="inlineStr">
        <is>
          <t>19</t>
        </is>
      </c>
      <c r="T390" s="5" t="inlineStr">
        <is>
          <t>0</t>
        </is>
      </c>
      <c r="U390" s="5" t="inlineStr">
        <is>
          <t>OK</t>
        </is>
      </c>
    </row>
    <row r="391">
      <c r="A391" s="5" t="inlineStr">
        <is>
          <t>E01921</t>
        </is>
      </c>
      <c r="B391" s="5" t="inlineStr">
        <is>
          <t>Female</t>
        </is>
      </c>
      <c r="C391" s="6" t="inlineStr">
        <is>
          <t>40</t>
        </is>
      </c>
      <c r="D391" s="5" t="inlineStr">
        <is>
          <t>Single</t>
        </is>
      </c>
      <c r="E391" s="5" t="inlineStr">
        <is>
          <t>Master</t>
        </is>
      </c>
      <c r="F391" s="5" t="inlineStr">
        <is>
          <t>Finance</t>
        </is>
      </c>
      <c r="G391" s="5" t="inlineStr">
        <is>
          <t>Accountant</t>
        </is>
      </c>
      <c r="H391" s="5" t="inlineStr">
        <is>
          <t>7</t>
        </is>
      </c>
      <c r="I391" s="5" t="inlineStr">
        <is>
          <t>Bengaluru</t>
        </is>
      </c>
      <c r="J391" s="5" t="inlineStr">
        <is>
          <t>Full-Time</t>
        </is>
      </c>
      <c r="K391" s="7" t="n">
        <v>45832</v>
      </c>
      <c r="L391" s="7" t="inlineStr"/>
      <c r="M391" s="5" t="inlineStr">
        <is>
          <t>Yes</t>
        </is>
      </c>
      <c r="N391" s="5" t="inlineStr"/>
      <c r="O391" s="8" t="inlineStr">
        <is>
          <t>204500</t>
        </is>
      </c>
      <c r="P391" s="5" t="inlineStr">
        <is>
          <t>15</t>
        </is>
      </c>
      <c r="Q391" s="5" t="inlineStr">
        <is>
          <t>1</t>
        </is>
      </c>
      <c r="R391" s="5" t="inlineStr">
        <is>
          <t>5</t>
        </is>
      </c>
      <c r="S391" s="5" t="inlineStr">
        <is>
          <t>6</t>
        </is>
      </c>
      <c r="T391" s="5" t="inlineStr">
        <is>
          <t>0</t>
        </is>
      </c>
      <c r="U391" s="5" t="inlineStr">
        <is>
          <t>OK</t>
        </is>
      </c>
    </row>
    <row r="392">
      <c r="A392" s="5" t="inlineStr">
        <is>
          <t>E01816</t>
        </is>
      </c>
      <c r="B392" s="5" t="inlineStr">
        <is>
          <t>Female</t>
        </is>
      </c>
      <c r="C392" s="6" t="inlineStr">
        <is>
          <t>210</t>
        </is>
      </c>
      <c r="D392" s="5" t="inlineStr">
        <is>
          <t>Married</t>
        </is>
      </c>
      <c r="E392" s="5" t="inlineStr">
        <is>
          <t>Bachelor</t>
        </is>
      </c>
      <c r="F392" s="5" t="inlineStr">
        <is>
          <t>Sales</t>
        </is>
      </c>
      <c r="G392" s="5" t="inlineStr">
        <is>
          <t>Sales Executive</t>
        </is>
      </c>
      <c r="H392" s="5" t="inlineStr">
        <is>
          <t>1</t>
        </is>
      </c>
      <c r="I392" s="5" t="inlineStr">
        <is>
          <t>Chennai</t>
        </is>
      </c>
      <c r="J392" s="5" t="inlineStr">
        <is>
          <t>Full-Time</t>
        </is>
      </c>
      <c r="K392" s="7" t="n">
        <v>45507</v>
      </c>
      <c r="L392" s="7" t="inlineStr"/>
      <c r="M392" s="5" t="inlineStr">
        <is>
          <t>Yes</t>
        </is>
      </c>
      <c r="N392" s="5" t="inlineStr"/>
      <c r="O392" s="8" t="inlineStr">
        <is>
          <t>96000</t>
        </is>
      </c>
      <c r="P392" s="5" t="inlineStr">
        <is>
          <t>0</t>
        </is>
      </c>
      <c r="Q392" s="5" t="inlineStr">
        <is>
          <t>4</t>
        </is>
      </c>
      <c r="R392" s="5" t="inlineStr">
        <is>
          <t>4</t>
        </is>
      </c>
      <c r="S392" s="5" t="inlineStr">
        <is>
          <t>17</t>
        </is>
      </c>
      <c r="T392" s="5" t="inlineStr">
        <is>
          <t>16</t>
        </is>
      </c>
      <c r="U392" s="5" t="inlineStr">
        <is>
          <t>Age typo</t>
        </is>
      </c>
    </row>
    <row r="393">
      <c r="A393" s="5" t="inlineStr">
        <is>
          <t>E01676</t>
        </is>
      </c>
      <c r="B393" s="5" t="inlineStr">
        <is>
          <t>Female</t>
        </is>
      </c>
      <c r="C393" s="6" t="inlineStr">
        <is>
          <t>36</t>
        </is>
      </c>
      <c r="D393" s="5" t="inlineStr">
        <is>
          <t>Single</t>
        </is>
      </c>
      <c r="E393" s="5" t="inlineStr">
        <is>
          <t>Master</t>
        </is>
      </c>
      <c r="F393" s="5" t="inlineStr">
        <is>
          <t>Operations</t>
        </is>
      </c>
      <c r="G393" s="5" t="inlineStr">
        <is>
          <t>Operations Analyst</t>
        </is>
      </c>
      <c r="H393" s="5" t="inlineStr">
        <is>
          <t>5</t>
        </is>
      </c>
      <c r="I393" s="5" t="inlineStr">
        <is>
          <t>Chennai</t>
        </is>
      </c>
      <c r="J393" s="5" t="inlineStr">
        <is>
          <t>Full-Time</t>
        </is>
      </c>
      <c r="K393" s="7" t="n">
        <v>44389</v>
      </c>
      <c r="L393" s="7" t="n">
        <v>44429</v>
      </c>
      <c r="M393" s="5" t="inlineStr">
        <is>
          <t>No</t>
        </is>
      </c>
      <c r="N393" s="5" t="inlineStr">
        <is>
          <t>Resigned</t>
        </is>
      </c>
      <c r="O393" s="8" t="inlineStr">
        <is>
          <t>135000</t>
        </is>
      </c>
      <c r="P393" s="5" t="inlineStr">
        <is>
          <t>0</t>
        </is>
      </c>
      <c r="Q393" s="5" t="inlineStr">
        <is>
          <t>3</t>
        </is>
      </c>
      <c r="R393" s="5" t="inlineStr">
        <is>
          <t>6</t>
        </is>
      </c>
      <c r="S393" s="5" t="inlineStr">
        <is>
          <t>1</t>
        </is>
      </c>
      <c r="T393" s="5" t="inlineStr">
        <is>
          <t>10</t>
        </is>
      </c>
      <c r="U393" s="5" t="inlineStr">
        <is>
          <t>OK</t>
        </is>
      </c>
    </row>
    <row r="394">
      <c r="A394" s="5" t="inlineStr">
        <is>
          <t>E01845</t>
        </is>
      </c>
      <c r="B394" s="5" t="inlineStr">
        <is>
          <t>Female</t>
        </is>
      </c>
      <c r="C394" s="6" t="inlineStr">
        <is>
          <t>33</t>
        </is>
      </c>
      <c r="D394" s="5" t="inlineStr">
        <is>
          <t>Married</t>
        </is>
      </c>
      <c r="E394" s="5" t="inlineStr">
        <is>
          <t>Diploma</t>
        </is>
      </c>
      <c r="F394" s="5" t="inlineStr">
        <is>
          <t>Customer Support</t>
        </is>
      </c>
      <c r="G394" s="5" t="inlineStr">
        <is>
          <t>Support Lead</t>
        </is>
      </c>
      <c r="H394" s="5" t="inlineStr">
        <is>
          <t>6</t>
        </is>
      </c>
      <c r="I394" s="5" t="inlineStr">
        <is>
          <t>Hyderabad</t>
        </is>
      </c>
      <c r="J394" s="5" t="inlineStr">
        <is>
          <t>Full-Time</t>
        </is>
      </c>
      <c r="K394" s="7" t="n">
        <v>46006</v>
      </c>
      <c r="L394" s="7" t="inlineStr"/>
      <c r="M394" s="5" t="inlineStr">
        <is>
          <t>Yes</t>
        </is>
      </c>
      <c r="N394" s="5" t="inlineStr"/>
      <c r="O394" s="8" t="inlineStr">
        <is>
          <t>109500</t>
        </is>
      </c>
      <c r="P394" s="5" t="inlineStr">
        <is>
          <t>20</t>
        </is>
      </c>
      <c r="Q394" s="5" t="inlineStr">
        <is>
          <t>3</t>
        </is>
      </c>
      <c r="R394" s="5" t="inlineStr">
        <is>
          <t>7</t>
        </is>
      </c>
      <c r="S394" s="5" t="inlineStr">
        <is>
          <t>1</t>
        </is>
      </c>
      <c r="T394" s="5" t="inlineStr">
        <is>
          <t>2</t>
        </is>
      </c>
      <c r="U394" s="5" t="inlineStr">
        <is>
          <t>OK</t>
        </is>
      </c>
    </row>
    <row r="395">
      <c r="A395" s="5" t="inlineStr">
        <is>
          <t>E01912</t>
        </is>
      </c>
      <c r="B395" s="5" t="inlineStr">
        <is>
          <t>Female</t>
        </is>
      </c>
      <c r="C395" s="6" t="inlineStr">
        <is>
          <t>36</t>
        </is>
      </c>
      <c r="D395" s="5" t="inlineStr">
        <is>
          <t>Single</t>
        </is>
      </c>
      <c r="E395" s="5" t="inlineStr">
        <is>
          <t>High School</t>
        </is>
      </c>
      <c r="F395" s="5" t="inlineStr">
        <is>
          <t>IT</t>
        </is>
      </c>
      <c r="G395" s="5" t="inlineStr">
        <is>
          <t>DevOps Engineer</t>
        </is>
      </c>
      <c r="H395" s="5" t="inlineStr">
        <is>
          <t>2</t>
        </is>
      </c>
      <c r="I395" s="5" t="inlineStr">
        <is>
          <t>Hyderabad</t>
        </is>
      </c>
      <c r="J395" s="5" t="inlineStr">
        <is>
          <t>Full-Time</t>
        </is>
      </c>
      <c r="K395" s="7" t="n">
        <v>45599</v>
      </c>
      <c r="L395" s="7" t="inlineStr"/>
      <c r="M395" s="5" t="inlineStr">
        <is>
          <t>Yes</t>
        </is>
      </c>
      <c r="N395" s="5" t="inlineStr"/>
      <c r="O395" s="8" t="inlineStr">
        <is>
          <t>119000</t>
        </is>
      </c>
      <c r="P395" s="5" t="inlineStr">
        <is>
          <t>5</t>
        </is>
      </c>
      <c r="Q395" s="5" t="inlineStr">
        <is>
          <t>5</t>
        </is>
      </c>
      <c r="R395" s="5" t="inlineStr">
        <is>
          <t>8</t>
        </is>
      </c>
      <c r="S395" s="5" t="inlineStr">
        <is>
          <t>14</t>
        </is>
      </c>
      <c r="T395" s="5" t="inlineStr">
        <is>
          <t>11</t>
        </is>
      </c>
      <c r="U395" s="5" t="inlineStr">
        <is>
          <t>OK</t>
        </is>
      </c>
    </row>
    <row r="396">
      <c r="A396" s="5" t="inlineStr">
        <is>
          <t>E01516</t>
        </is>
      </c>
      <c r="B396" s="5" t="inlineStr">
        <is>
          <t>Female</t>
        </is>
      </c>
      <c r="C396" s="6" t="inlineStr">
        <is>
          <t>37</t>
        </is>
      </c>
      <c r="D396" s="5" t="inlineStr">
        <is>
          <t>Married</t>
        </is>
      </c>
      <c r="E396" s="5" t="inlineStr">
        <is>
          <t>Diploma</t>
        </is>
      </c>
      <c r="F396" s="5" t="inlineStr">
        <is>
          <t>Research &amp; Development</t>
        </is>
      </c>
      <c r="G396" s="5" t="inlineStr">
        <is>
          <t>Product Engineer</t>
        </is>
      </c>
      <c r="H396" s="5" t="inlineStr">
        <is>
          <t>6</t>
        </is>
      </c>
      <c r="I396" s="5" t="inlineStr">
        <is>
          <t>Remote</t>
        </is>
      </c>
      <c r="J396" s="5" t="inlineStr">
        <is>
          <t>Part-Time</t>
        </is>
      </c>
      <c r="K396" s="7" t="n">
        <v>46002</v>
      </c>
      <c r="L396" s="7" t="inlineStr"/>
      <c r="M396" s="5" t="inlineStr">
        <is>
          <t>Yes</t>
        </is>
      </c>
      <c r="N396" s="5" t="inlineStr"/>
      <c r="O396" s="8" t="inlineStr">
        <is>
          <t>185500</t>
        </is>
      </c>
      <c r="P396" s="5" t="inlineStr">
        <is>
          <t>0</t>
        </is>
      </c>
      <c r="Q396" s="5" t="inlineStr">
        <is>
          <t>2</t>
        </is>
      </c>
      <c r="R396" s="5" t="inlineStr">
        <is>
          <t>9</t>
        </is>
      </c>
      <c r="S396" s="5" t="inlineStr">
        <is>
          <t>1</t>
        </is>
      </c>
      <c r="T396" s="5" t="inlineStr">
        <is>
          <t>4</t>
        </is>
      </c>
      <c r="U396" s="5" t="inlineStr">
        <is>
          <t>OK</t>
        </is>
      </c>
    </row>
    <row r="397">
      <c r="A397" s="5" t="inlineStr">
        <is>
          <t>E02743</t>
        </is>
      </c>
      <c r="B397" s="5" t="inlineStr">
        <is>
          <t>Female</t>
        </is>
      </c>
      <c r="C397" s="6" t="inlineStr">
        <is>
          <t>32</t>
        </is>
      </c>
      <c r="D397" s="5" t="inlineStr">
        <is>
          <t>Divorced</t>
        </is>
      </c>
      <c r="E397" s="5" t="inlineStr">
        <is>
          <t>PhD</t>
        </is>
      </c>
      <c r="F397" s="5" t="inlineStr">
        <is>
          <t>Sales</t>
        </is>
      </c>
      <c r="G397" s="5" t="inlineStr">
        <is>
          <t>Sales Executive</t>
        </is>
      </c>
      <c r="H397" s="5" t="inlineStr">
        <is>
          <t>3</t>
        </is>
      </c>
      <c r="I397" s="5" t="inlineStr">
        <is>
          <t>Mumbai</t>
        </is>
      </c>
      <c r="J397" s="5" t="inlineStr">
        <is>
          <t>Full-Time</t>
        </is>
      </c>
      <c r="K397" s="7" t="n">
        <v>45309</v>
      </c>
      <c r="L397" s="7" t="inlineStr"/>
      <c r="M397" s="5" t="inlineStr">
        <is>
          <t>Yes</t>
        </is>
      </c>
      <c r="N397" s="5" t="inlineStr"/>
      <c r="O397" s="8" t="inlineStr">
        <is>
          <t>102000</t>
        </is>
      </c>
      <c r="P397" s="5" t="inlineStr">
        <is>
          <t>5</t>
        </is>
      </c>
      <c r="Q397" s="5" t="inlineStr">
        <is>
          <t>3</t>
        </is>
      </c>
      <c r="R397" s="5" t="inlineStr">
        <is>
          <t>5</t>
        </is>
      </c>
      <c r="S397" s="5" t="inlineStr">
        <is>
          <t>23</t>
        </is>
      </c>
      <c r="T397" s="5" t="inlineStr">
        <is>
          <t>6</t>
        </is>
      </c>
      <c r="U397" s="5" t="inlineStr">
        <is>
          <t>OK</t>
        </is>
      </c>
    </row>
    <row r="398">
      <c r="A398" s="5" t="inlineStr">
        <is>
          <t>E02287</t>
        </is>
      </c>
      <c r="B398" s="5" t="inlineStr">
        <is>
          <t>Male</t>
        </is>
      </c>
      <c r="C398" s="6" t="inlineStr">
        <is>
          <t>30</t>
        </is>
      </c>
      <c r="D398" s="5" t="inlineStr">
        <is>
          <t>Single</t>
        </is>
      </c>
      <c r="E398" s="5" t="inlineStr">
        <is>
          <t>Diploma</t>
        </is>
      </c>
      <c r="F398" s="5" t="inlineStr">
        <is>
          <t>Research &amp; Development</t>
        </is>
      </c>
      <c r="G398" s="5" t="inlineStr">
        <is>
          <t>Research Scientist</t>
        </is>
      </c>
      <c r="H398" s="5" t="inlineStr">
        <is>
          <t>3</t>
        </is>
      </c>
      <c r="I398" s="5" t="inlineStr">
        <is>
          <t>Hyderabad</t>
        </is>
      </c>
      <c r="J398" s="5" t="inlineStr">
        <is>
          <t>Full-Time</t>
        </is>
      </c>
      <c r="K398" s="7" t="n">
        <v>45590</v>
      </c>
      <c r="L398" s="7" t="inlineStr"/>
      <c r="M398" s="5" t="inlineStr">
        <is>
          <t>Yes</t>
        </is>
      </c>
      <c r="N398" s="5" t="inlineStr"/>
      <c r="O398" s="8" t="inlineStr">
        <is>
          <t>171000</t>
        </is>
      </c>
      <c r="P398" s="5" t="inlineStr">
        <is>
          <t>10</t>
        </is>
      </c>
      <c r="Q398" s="5" t="inlineStr">
        <is>
          <t>5</t>
        </is>
      </c>
      <c r="R398" s="5" t="inlineStr">
        <is>
          <t>9</t>
        </is>
      </c>
      <c r="S398" s="5" t="inlineStr">
        <is>
          <t>14</t>
        </is>
      </c>
      <c r="T398" s="5" t="inlineStr">
        <is>
          <t>7</t>
        </is>
      </c>
      <c r="U398" s="5" t="inlineStr">
        <is>
          <t>OK</t>
        </is>
      </c>
    </row>
    <row r="399">
      <c r="A399" s="5" t="inlineStr">
        <is>
          <t>E02666</t>
        </is>
      </c>
      <c r="B399" s="5" t="inlineStr">
        <is>
          <t>Unknown</t>
        </is>
      </c>
      <c r="C399" s="6" t="inlineStr">
        <is>
          <t>25</t>
        </is>
      </c>
      <c r="D399" s="5" t="inlineStr">
        <is>
          <t>Divorced</t>
        </is>
      </c>
      <c r="E399" s="5" t="inlineStr">
        <is>
          <t>PhD</t>
        </is>
      </c>
      <c r="F399" s="5" t="inlineStr">
        <is>
          <t>Sales</t>
        </is>
      </c>
      <c r="G399" s="5" t="inlineStr">
        <is>
          <t>Sales Executive</t>
        </is>
      </c>
      <c r="H399" s="5" t="inlineStr">
        <is>
          <t>2</t>
        </is>
      </c>
      <c r="I399" s="5" t="inlineStr">
        <is>
          <t>Mumbai</t>
        </is>
      </c>
      <c r="J399" s="5" t="inlineStr">
        <is>
          <t>Full-Time</t>
        </is>
      </c>
      <c r="K399" s="7" t="n">
        <v>44362</v>
      </c>
      <c r="L399" s="7" t="n">
        <v>44453</v>
      </c>
      <c r="M399" s="5" t="inlineStr">
        <is>
          <t>No</t>
        </is>
      </c>
      <c r="N399" s="5" t="inlineStr">
        <is>
          <t>Resigned</t>
        </is>
      </c>
      <c r="O399" s="8" t="inlineStr">
        <is>
          <t>119500</t>
        </is>
      </c>
      <c r="P399" s="5" t="inlineStr">
        <is>
          <t>0</t>
        </is>
      </c>
      <c r="Q399" s="5" t="inlineStr">
        <is>
          <t>2</t>
        </is>
      </c>
      <c r="R399" s="5" t="inlineStr">
        <is>
          <t>7</t>
        </is>
      </c>
      <c r="S399" s="5" t="inlineStr">
        <is>
          <t>3</t>
        </is>
      </c>
      <c r="T399" s="5" t="inlineStr">
        <is>
          <t>0</t>
        </is>
      </c>
      <c r="U399" s="5" t="inlineStr">
        <is>
          <t>Bad gender</t>
        </is>
      </c>
    </row>
    <row r="400">
      <c r="A400" s="5" t="inlineStr">
        <is>
          <t>E02303</t>
        </is>
      </c>
      <c r="B400" s="5" t="inlineStr">
        <is>
          <t>Female</t>
        </is>
      </c>
      <c r="C400" s="6" t="inlineStr">
        <is>
          <t>36</t>
        </is>
      </c>
      <c r="D400" s="5" t="inlineStr">
        <is>
          <t>Married</t>
        </is>
      </c>
      <c r="E400" s="5" t="inlineStr">
        <is>
          <t>Bachelor</t>
        </is>
      </c>
      <c r="F400" s="5" t="inlineStr">
        <is>
          <t>Operations</t>
        </is>
      </c>
      <c r="G400" s="5" t="inlineStr">
        <is>
          <t>Operations Analyst</t>
        </is>
      </c>
      <c r="H400" s="5" t="inlineStr">
        <is>
          <t>3</t>
        </is>
      </c>
      <c r="I400" s="5" t="inlineStr">
        <is>
          <t>Delhi</t>
        </is>
      </c>
      <c r="J400" s="5" t="inlineStr">
        <is>
          <t>Full-Time</t>
        </is>
      </c>
      <c r="K400" s="7" t="n">
        <v>44885</v>
      </c>
      <c r="L400" s="7" t="inlineStr"/>
      <c r="M400" s="5" t="inlineStr">
        <is>
          <t>Yes</t>
        </is>
      </c>
      <c r="N400" s="5" t="inlineStr"/>
      <c r="O400" s="8" t="inlineStr">
        <is>
          <t>114500</t>
        </is>
      </c>
      <c r="P400" s="5" t="inlineStr">
        <is>
          <t>0</t>
        </is>
      </c>
      <c r="Q400" s="5" t="inlineStr">
        <is>
          <t>2</t>
        </is>
      </c>
      <c r="R400" s="5" t="inlineStr">
        <is>
          <t>5</t>
        </is>
      </c>
      <c r="S400" s="5" t="inlineStr">
        <is>
          <t>37</t>
        </is>
      </c>
      <c r="T400" s="5" t="inlineStr">
        <is>
          <t>5</t>
        </is>
      </c>
      <c r="U400" s="5" t="inlineStr">
        <is>
          <t>OK</t>
        </is>
      </c>
    </row>
    <row r="401">
      <c r="A401" s="5" t="inlineStr">
        <is>
          <t>E02746</t>
        </is>
      </c>
      <c r="B401" s="5" t="inlineStr">
        <is>
          <t>Male</t>
        </is>
      </c>
      <c r="C401" s="6" t="inlineStr">
        <is>
          <t>31</t>
        </is>
      </c>
      <c r="D401" s="5" t="inlineStr">
        <is>
          <t>Married</t>
        </is>
      </c>
      <c r="E401" s="5" t="inlineStr">
        <is>
          <t>Master</t>
        </is>
      </c>
      <c r="F401" s="5" t="inlineStr">
        <is>
          <t>Finance</t>
        </is>
      </c>
      <c r="G401" s="5" t="inlineStr">
        <is>
          <t>Financial Analyst</t>
        </is>
      </c>
      <c r="H401" s="5" t="inlineStr">
        <is>
          <t>3</t>
        </is>
      </c>
      <c r="I401" s="5" t="inlineStr">
        <is>
          <t>Delhi</t>
        </is>
      </c>
      <c r="J401" s="5" t="inlineStr">
        <is>
          <t>Full-Time</t>
        </is>
      </c>
      <c r="K401" s="7" t="n">
        <v>44122</v>
      </c>
      <c r="L401" s="7" t="inlineStr"/>
      <c r="M401" s="5" t="inlineStr">
        <is>
          <t>Yes</t>
        </is>
      </c>
      <c r="N401" s="5" t="inlineStr"/>
      <c r="O401" s="8" t="inlineStr">
        <is>
          <t>114000</t>
        </is>
      </c>
      <c r="P401" s="5" t="inlineStr">
        <is>
          <t>5</t>
        </is>
      </c>
      <c r="Q401" s="5" t="inlineStr">
        <is>
          <t>3</t>
        </is>
      </c>
      <c r="R401" s="5" t="inlineStr">
        <is>
          <t>5</t>
        </is>
      </c>
      <c r="S401" s="5" t="inlineStr">
        <is>
          <t>63</t>
        </is>
      </c>
      <c r="T401" s="5" t="inlineStr">
        <is>
          <t>0</t>
        </is>
      </c>
      <c r="U401" s="5" t="inlineStr">
        <is>
          <t>OK</t>
        </is>
      </c>
    </row>
    <row r="402">
      <c r="A402" s="5" t="inlineStr">
        <is>
          <t>E00699</t>
        </is>
      </c>
      <c r="B402" s="5" t="inlineStr">
        <is>
          <t>Female</t>
        </is>
      </c>
      <c r="C402" s="6" t="inlineStr">
        <is>
          <t>34</t>
        </is>
      </c>
      <c r="D402" s="5" t="inlineStr">
        <is>
          <t>Married</t>
        </is>
      </c>
      <c r="E402" s="5" t="inlineStr">
        <is>
          <t>Diploma</t>
        </is>
      </c>
      <c r="F402" s="5" t="inlineStr">
        <is>
          <t>Marketing</t>
        </is>
      </c>
      <c r="G402" s="5" t="inlineStr">
        <is>
          <t>Content Writer</t>
        </is>
      </c>
      <c r="H402" s="5" t="inlineStr">
        <is>
          <t>4</t>
        </is>
      </c>
      <c r="I402" s="5" t="inlineStr">
        <is>
          <t>Delhi</t>
        </is>
      </c>
      <c r="J402" s="5" t="inlineStr">
        <is>
          <t>Contract</t>
        </is>
      </c>
      <c r="K402" s="7" t="n">
        <v>44619</v>
      </c>
      <c r="L402" s="7" t="n">
        <v>44657</v>
      </c>
      <c r="M402" s="5" t="inlineStr">
        <is>
          <t>No</t>
        </is>
      </c>
      <c r="N402" s="5" t="inlineStr">
        <is>
          <t>Resigned</t>
        </is>
      </c>
      <c r="O402" s="8" t="inlineStr">
        <is>
          <t>87500</t>
        </is>
      </c>
      <c r="P402" s="5" t="inlineStr">
        <is>
          <t>10</t>
        </is>
      </c>
      <c r="Q402" s="5" t="inlineStr">
        <is>
          <t>3</t>
        </is>
      </c>
      <c r="R402" s="5" t="inlineStr">
        <is>
          <t>7</t>
        </is>
      </c>
      <c r="S402" s="5" t="inlineStr">
        <is>
          <t>1</t>
        </is>
      </c>
      <c r="T402" s="5" t="inlineStr">
        <is>
          <t>9</t>
        </is>
      </c>
      <c r="U402" s="5" t="inlineStr">
        <is>
          <t>OK</t>
        </is>
      </c>
    </row>
    <row r="403">
      <c r="A403" s="5" t="inlineStr">
        <is>
          <t>E01096</t>
        </is>
      </c>
      <c r="B403" s="5" t="inlineStr">
        <is>
          <t>Female</t>
        </is>
      </c>
      <c r="C403" s="6" t="inlineStr">
        <is>
          <t>34</t>
        </is>
      </c>
      <c r="D403" s="5" t="inlineStr">
        <is>
          <t>Divorced</t>
        </is>
      </c>
      <c r="E403" s="5" t="inlineStr">
        <is>
          <t>High School</t>
        </is>
      </c>
      <c r="F403" s="5" t="inlineStr">
        <is>
          <t>Sales</t>
        </is>
      </c>
      <c r="G403" s="5" t="inlineStr">
        <is>
          <t>Sales Executive</t>
        </is>
      </c>
      <c r="H403" s="5" t="inlineStr">
        <is>
          <t>5</t>
        </is>
      </c>
      <c r="I403" s="5" t="inlineStr">
        <is>
          <t>Mumbai</t>
        </is>
      </c>
      <c r="J403" s="5" t="inlineStr">
        <is>
          <t>Full-Time</t>
        </is>
      </c>
      <c r="K403" s="7" t="n">
        <v>44186</v>
      </c>
      <c r="L403" s="7" t="inlineStr"/>
      <c r="M403" s="5" t="inlineStr">
        <is>
          <t>Yes</t>
        </is>
      </c>
      <c r="N403" s="5" t="inlineStr"/>
      <c r="O403" s="8" t="inlineStr">
        <is>
          <t>166000</t>
        </is>
      </c>
      <c r="P403" s="5" t="inlineStr">
        <is>
          <t>5</t>
        </is>
      </c>
      <c r="Q403" s="5" t="inlineStr">
        <is>
          <t>5</t>
        </is>
      </c>
      <c r="R403" s="5" t="inlineStr">
        <is>
          <t>8</t>
        </is>
      </c>
      <c r="S403" s="5" t="inlineStr">
        <is>
          <t>61</t>
        </is>
      </c>
      <c r="T403" s="5" t="inlineStr">
        <is>
          <t>10</t>
        </is>
      </c>
      <c r="U403" s="5" t="inlineStr">
        <is>
          <t>OK</t>
        </is>
      </c>
    </row>
    <row r="404">
      <c r="A404" s="5" t="inlineStr">
        <is>
          <t>E02631</t>
        </is>
      </c>
      <c r="B404" s="5" t="inlineStr">
        <is>
          <t>Male</t>
        </is>
      </c>
      <c r="C404" s="6" t="inlineStr">
        <is>
          <t>32</t>
        </is>
      </c>
      <c r="D404" s="5" t="inlineStr">
        <is>
          <t>Single</t>
        </is>
      </c>
      <c r="E404" s="5" t="inlineStr">
        <is>
          <t>PhD</t>
        </is>
      </c>
      <c r="F404" s="5" t="inlineStr">
        <is>
          <t>Research &amp; Development</t>
        </is>
      </c>
      <c r="G404" s="5" t="inlineStr">
        <is>
          <t>Data Scientist</t>
        </is>
      </c>
      <c r="H404" s="5" t="inlineStr">
        <is>
          <t>3</t>
        </is>
      </c>
      <c r="I404" s="5" t="inlineStr">
        <is>
          <t>Mumbai</t>
        </is>
      </c>
      <c r="J404" s="5" t="inlineStr">
        <is>
          <t>Full-Time</t>
        </is>
      </c>
      <c r="K404" s="7" t="n">
        <v>43950</v>
      </c>
      <c r="L404" s="7" t="inlineStr"/>
      <c r="M404" s="5" t="inlineStr">
        <is>
          <t>Yes</t>
        </is>
      </c>
      <c r="N404" s="5" t="inlineStr"/>
      <c r="O404" s="8" t="inlineStr">
        <is>
          <t>190000</t>
        </is>
      </c>
      <c r="P404" s="5" t="inlineStr">
        <is>
          <t>10</t>
        </is>
      </c>
      <c r="Q404" s="5" t="inlineStr">
        <is>
          <t>2</t>
        </is>
      </c>
      <c r="R404" s="5" t="inlineStr">
        <is>
          <t>8</t>
        </is>
      </c>
      <c r="S404" s="5" t="inlineStr">
        <is>
          <t>69</t>
        </is>
      </c>
      <c r="T404" s="5" t="inlineStr">
        <is>
          <t>7</t>
        </is>
      </c>
      <c r="U404" s="5" t="inlineStr">
        <is>
          <t>OK</t>
        </is>
      </c>
    </row>
    <row r="405">
      <c r="A405" s="5" t="inlineStr">
        <is>
          <t>E00643</t>
        </is>
      </c>
      <c r="B405" s="5" t="inlineStr">
        <is>
          <t>Male</t>
        </is>
      </c>
      <c r="C405" s="6" t="inlineStr">
        <is>
          <t>38</t>
        </is>
      </c>
      <c r="D405" s="5" t="inlineStr">
        <is>
          <t>Married</t>
        </is>
      </c>
      <c r="E405" s="5" t="inlineStr">
        <is>
          <t>Diploma</t>
        </is>
      </c>
      <c r="F405" s="5" t="inlineStr">
        <is>
          <t>Operations</t>
        </is>
      </c>
      <c r="G405" s="5" t="inlineStr">
        <is>
          <t>Operations Analyst</t>
        </is>
      </c>
      <c r="H405" s="5" t="inlineStr">
        <is>
          <t>6</t>
        </is>
      </c>
      <c r="I405" s="5" t="inlineStr">
        <is>
          <t>Delhi</t>
        </is>
      </c>
      <c r="J405" s="5" t="inlineStr">
        <is>
          <t>Contract</t>
        </is>
      </c>
      <c r="K405" s="7" t="n">
        <v>45926</v>
      </c>
      <c r="L405" s="7" t="inlineStr"/>
      <c r="M405" s="5" t="inlineStr">
        <is>
          <t>Yes</t>
        </is>
      </c>
      <c r="N405" s="5" t="inlineStr"/>
      <c r="O405" s="8" t="inlineStr">
        <is>
          <t>120500</t>
        </is>
      </c>
      <c r="P405" s="5" t="inlineStr">
        <is>
          <t>0</t>
        </is>
      </c>
      <c r="Q405" s="5" t="inlineStr">
        <is>
          <t>5</t>
        </is>
      </c>
      <c r="R405" s="5" t="inlineStr">
        <is>
          <t>8</t>
        </is>
      </c>
      <c r="S405" s="5" t="inlineStr">
        <is>
          <t>3</t>
        </is>
      </c>
      <c r="T405" s="5" t="inlineStr">
        <is>
          <t>5</t>
        </is>
      </c>
      <c r="U405" s="5" t="inlineStr">
        <is>
          <t>OK</t>
        </is>
      </c>
    </row>
    <row r="406">
      <c r="A406" s="5" t="inlineStr">
        <is>
          <t>E00074</t>
        </is>
      </c>
      <c r="B406" s="5" t="inlineStr">
        <is>
          <t>Male</t>
        </is>
      </c>
      <c r="C406" s="6" t="inlineStr">
        <is>
          <t>27</t>
        </is>
      </c>
      <c r="D406" s="5" t="inlineStr">
        <is>
          <t>Married</t>
        </is>
      </c>
      <c r="E406" s="5" t="inlineStr">
        <is>
          <t>Bachelor</t>
        </is>
      </c>
      <c r="F406" s="5" t="inlineStr">
        <is>
          <t>IT</t>
        </is>
      </c>
      <c r="G406" s="5" t="inlineStr">
        <is>
          <t>Software Engineer</t>
        </is>
      </c>
      <c r="H406" s="5" t="inlineStr">
        <is>
          <t>2</t>
        </is>
      </c>
      <c r="I406" s="5" t="inlineStr">
        <is>
          <t>Delhi</t>
        </is>
      </c>
      <c r="J406" s="5" t="inlineStr">
        <is>
          <t>Full-Time</t>
        </is>
      </c>
      <c r="K406" s="7" t="n">
        <v>45977</v>
      </c>
      <c r="L406" s="7" t="n">
        <v>45992</v>
      </c>
      <c r="M406" s="5" t="inlineStr">
        <is>
          <t>No</t>
        </is>
      </c>
      <c r="N406" s="5" t="inlineStr">
        <is>
          <t>Retirement</t>
        </is>
      </c>
      <c r="O406" s="8" t="inlineStr">
        <is>
          <t>153000</t>
        </is>
      </c>
      <c r="P406" s="5" t="inlineStr">
        <is>
          <t>5</t>
        </is>
      </c>
      <c r="Q406" s="5" t="inlineStr">
        <is>
          <t>1</t>
        </is>
      </c>
      <c r="R406" s="5" t="inlineStr">
        <is>
          <t>8</t>
        </is>
      </c>
      <c r="S406" s="5" t="inlineStr">
        <is>
          <t>1</t>
        </is>
      </c>
      <c r="T406" s="5" t="inlineStr">
        <is>
          <t>12</t>
        </is>
      </c>
      <c r="U406" s="5" t="inlineStr">
        <is>
          <t>OK</t>
        </is>
      </c>
    </row>
    <row r="407">
      <c r="A407" s="5" t="inlineStr">
        <is>
          <t>E02457</t>
        </is>
      </c>
      <c r="B407" s="5" t="inlineStr">
        <is>
          <t>Female</t>
        </is>
      </c>
      <c r="C407" s="6" t="inlineStr">
        <is>
          <t>32</t>
        </is>
      </c>
      <c r="D407" s="5" t="inlineStr">
        <is>
          <t>Single</t>
        </is>
      </c>
      <c r="E407" s="5" t="inlineStr">
        <is>
          <t>Master</t>
        </is>
      </c>
      <c r="F407" s="5" t="inlineStr">
        <is>
          <t>Customer Support</t>
        </is>
      </c>
      <c r="G407" s="5" t="inlineStr">
        <is>
          <t>Escalation Specialist</t>
        </is>
      </c>
      <c r="H407" s="5" t="inlineStr">
        <is>
          <t>3</t>
        </is>
      </c>
      <c r="I407" s="5" t="inlineStr">
        <is>
          <t>Hyderabad</t>
        </is>
      </c>
      <c r="J407" s="5" t="inlineStr">
        <is>
          <t>Full-Time</t>
        </is>
      </c>
      <c r="K407" s="7" t="n">
        <v>45513</v>
      </c>
      <c r="L407" s="7" t="inlineStr"/>
      <c r="M407" s="5" t="inlineStr">
        <is>
          <t>Yes</t>
        </is>
      </c>
      <c r="N407" s="5" t="inlineStr"/>
      <c r="O407" s="8" t="inlineStr">
        <is>
          <t>64000</t>
        </is>
      </c>
      <c r="P407" s="5" t="inlineStr">
        <is>
          <t>0</t>
        </is>
      </c>
      <c r="Q407" s="5" t="inlineStr">
        <is>
          <t>5</t>
        </is>
      </c>
      <c r="R407" s="5" t="inlineStr">
        <is>
          <t>6</t>
        </is>
      </c>
      <c r="S407" s="5" t="inlineStr">
        <is>
          <t>16</t>
        </is>
      </c>
      <c r="T407" s="5" t="inlineStr">
        <is>
          <t>3</t>
        </is>
      </c>
      <c r="U407" s="5" t="inlineStr">
        <is>
          <t>OK</t>
        </is>
      </c>
    </row>
    <row r="408">
      <c r="A408" s="5" t="inlineStr">
        <is>
          <t>E01909</t>
        </is>
      </c>
      <c r="B408" s="5" t="inlineStr">
        <is>
          <t>Female</t>
        </is>
      </c>
      <c r="C408" s="6" t="inlineStr">
        <is>
          <t>28</t>
        </is>
      </c>
      <c r="D408" s="5" t="inlineStr">
        <is>
          <t>Married</t>
        </is>
      </c>
      <c r="E408" s="5" t="inlineStr">
        <is>
          <t>Bachelor</t>
        </is>
      </c>
      <c r="F408" s="5" t="inlineStr">
        <is>
          <t>Operations</t>
        </is>
      </c>
      <c r="G408" s="5" t="inlineStr">
        <is>
          <t>Logistics Coordinator</t>
        </is>
      </c>
      <c r="H408" s="5" t="inlineStr">
        <is>
          <t>2</t>
        </is>
      </c>
      <c r="I408" s="5" t="inlineStr">
        <is>
          <t>Chennai</t>
        </is>
      </c>
      <c r="J408" s="5" t="inlineStr">
        <is>
          <t>Full-Time</t>
        </is>
      </c>
      <c r="K408" s="7" t="n">
        <v>44386</v>
      </c>
      <c r="L408" s="7" t="n">
        <v>44450</v>
      </c>
      <c r="M408" s="5" t="inlineStr">
        <is>
          <t>No</t>
        </is>
      </c>
      <c r="N408" s="5" t="inlineStr">
        <is>
          <t>Resigned</t>
        </is>
      </c>
      <c r="O408" s="8" t="inlineStr">
        <is>
          <t>70000</t>
        </is>
      </c>
      <c r="P408" s="5" t="inlineStr">
        <is>
          <t>0</t>
        </is>
      </c>
      <c r="Q408" s="5" t="inlineStr">
        <is>
          <t>3</t>
        </is>
      </c>
      <c r="R408" s="5" t="inlineStr">
        <is>
          <t>5</t>
        </is>
      </c>
      <c r="S408" s="5" t="inlineStr">
        <is>
          <t>2</t>
        </is>
      </c>
      <c r="T408" s="5" t="inlineStr">
        <is>
          <t>0</t>
        </is>
      </c>
      <c r="U408" s="5" t="inlineStr">
        <is>
          <t>OK</t>
        </is>
      </c>
    </row>
    <row r="409">
      <c r="A409" s="5" t="inlineStr">
        <is>
          <t>E02579</t>
        </is>
      </c>
      <c r="B409" s="5" t="inlineStr">
        <is>
          <t>Unknown</t>
        </is>
      </c>
      <c r="C409" s="6" t="inlineStr">
        <is>
          <t>46</t>
        </is>
      </c>
      <c r="D409" s="5" t="inlineStr">
        <is>
          <t>Married</t>
        </is>
      </c>
      <c r="E409" s="5" t="inlineStr">
        <is>
          <t>High School</t>
        </is>
      </c>
      <c r="F409" s="5" t="inlineStr">
        <is>
          <t>IT</t>
        </is>
      </c>
      <c r="G409" s="5" t="inlineStr">
        <is>
          <t>IT Support</t>
        </is>
      </c>
      <c r="H409" s="5" t="inlineStr">
        <is>
          <t>7</t>
        </is>
      </c>
      <c r="I409" s="5" t="inlineStr">
        <is>
          <t>Hyderabad</t>
        </is>
      </c>
      <c r="J409" s="5" t="inlineStr">
        <is>
          <t>Full-Time</t>
        </is>
      </c>
      <c r="K409" s="7" t="n">
        <v>45115</v>
      </c>
      <c r="L409" s="7" t="inlineStr"/>
      <c r="M409" s="5" t="inlineStr">
        <is>
          <t>Yes</t>
        </is>
      </c>
      <c r="N409" s="5" t="inlineStr"/>
      <c r="O409" s="8" t="inlineStr">
        <is>
          <t>229000</t>
        </is>
      </c>
      <c r="P409" s="5" t="inlineStr">
        <is>
          <t>10</t>
        </is>
      </c>
      <c r="Q409" s="5" t="inlineStr">
        <is>
          <t>3</t>
        </is>
      </c>
      <c r="R409" s="5" t="inlineStr">
        <is>
          <t>3</t>
        </is>
      </c>
      <c r="S409" s="5" t="inlineStr">
        <is>
          <t>30</t>
        </is>
      </c>
      <c r="T409" s="5" t="inlineStr">
        <is>
          <t>13</t>
        </is>
      </c>
      <c r="U409" s="5" t="inlineStr">
        <is>
          <t>Bad gender</t>
        </is>
      </c>
    </row>
    <row r="410">
      <c r="A410" s="5" t="inlineStr">
        <is>
          <t>E02788</t>
        </is>
      </c>
      <c r="B410" s="5" t="inlineStr">
        <is>
          <t>Female</t>
        </is>
      </c>
      <c r="C410" s="6" t="inlineStr">
        <is>
          <t>33</t>
        </is>
      </c>
      <c r="D410" s="5" t="inlineStr">
        <is>
          <t>Single</t>
        </is>
      </c>
      <c r="E410" s="5" t="inlineStr">
        <is>
          <t>High School</t>
        </is>
      </c>
      <c r="F410" s="5" t="inlineStr">
        <is>
          <t>Human Resources</t>
        </is>
      </c>
      <c r="G410" s="5" t="inlineStr">
        <is>
          <t>HR Analyst</t>
        </is>
      </c>
      <c r="H410" s="5" t="inlineStr">
        <is>
          <t>3</t>
        </is>
      </c>
      <c r="I410" s="5" t="inlineStr">
        <is>
          <t>Hyderabad</t>
        </is>
      </c>
      <c r="J410" s="5" t="inlineStr">
        <is>
          <t>Full-Time</t>
        </is>
      </c>
      <c r="K410" s="7" t="n">
        <v>43995</v>
      </c>
      <c r="L410" s="7" t="inlineStr"/>
      <c r="M410" s="5" t="inlineStr">
        <is>
          <t>Yes</t>
        </is>
      </c>
      <c r="N410" s="5" t="inlineStr"/>
      <c r="O410" s="8" t="inlineStr">
        <is>
          <t>93000</t>
        </is>
      </c>
      <c r="P410" s="5" t="inlineStr">
        <is>
          <t>10</t>
        </is>
      </c>
      <c r="Q410" s="5" t="inlineStr">
        <is>
          <t>2</t>
        </is>
      </c>
      <c r="R410" s="5" t="inlineStr">
        <is>
          <t>9</t>
        </is>
      </c>
      <c r="S410" s="5" t="inlineStr">
        <is>
          <t>67</t>
        </is>
      </c>
      <c r="T410" s="5" t="inlineStr">
        <is>
          <t>14</t>
        </is>
      </c>
      <c r="U410" s="5" t="inlineStr">
        <is>
          <t>OK</t>
        </is>
      </c>
    </row>
    <row r="411">
      <c r="A411" s="5" t="inlineStr">
        <is>
          <t>E02178</t>
        </is>
      </c>
      <c r="B411" s="5" t="inlineStr">
        <is>
          <t>Male</t>
        </is>
      </c>
      <c r="C411" s="6" t="inlineStr">
        <is>
          <t>36</t>
        </is>
      </c>
      <c r="D411" s="5" t="inlineStr">
        <is>
          <t>Divorced</t>
        </is>
      </c>
      <c r="E411" s="5" t="inlineStr">
        <is>
          <t>High School</t>
        </is>
      </c>
      <c r="F411" s="5" t="inlineStr">
        <is>
          <t>Human Resources</t>
        </is>
      </c>
      <c r="G411" s="5" t="inlineStr">
        <is>
          <t>Recruiter</t>
        </is>
      </c>
      <c r="H411" s="5" t="inlineStr">
        <is>
          <t>3</t>
        </is>
      </c>
      <c r="I411" s="5" t="inlineStr">
        <is>
          <t>Mumbai</t>
        </is>
      </c>
      <c r="J411" s="5" t="inlineStr">
        <is>
          <t>Full-Time</t>
        </is>
      </c>
      <c r="K411" s="7" t="n">
        <v>44531</v>
      </c>
      <c r="L411" s="7" t="inlineStr"/>
      <c r="M411" s="5" t="inlineStr">
        <is>
          <t>Yes</t>
        </is>
      </c>
      <c r="N411" s="5" t="inlineStr"/>
      <c r="O411" s="8" t="inlineStr">
        <is>
          <t>80000</t>
        </is>
      </c>
      <c r="P411" s="5" t="inlineStr">
        <is>
          <t>20</t>
        </is>
      </c>
      <c r="Q411" s="5" t="inlineStr">
        <is>
          <t>3</t>
        </is>
      </c>
      <c r="R411" s="5" t="inlineStr">
        <is>
          <t>9</t>
        </is>
      </c>
      <c r="S411" s="5" t="inlineStr">
        <is>
          <t>49</t>
        </is>
      </c>
      <c r="T411" s="5" t="inlineStr">
        <is>
          <t>7</t>
        </is>
      </c>
      <c r="U411" s="5" t="inlineStr">
        <is>
          <t>OK</t>
        </is>
      </c>
    </row>
    <row r="412">
      <c r="A412" s="5" t="inlineStr">
        <is>
          <t>E01667</t>
        </is>
      </c>
      <c r="B412" s="5" t="inlineStr">
        <is>
          <t>Female</t>
        </is>
      </c>
      <c r="C412" s="6" t="inlineStr">
        <is>
          <t>25</t>
        </is>
      </c>
      <c r="D412" s="5" t="inlineStr">
        <is>
          <t>Married</t>
        </is>
      </c>
      <c r="E412" s="5" t="inlineStr">
        <is>
          <t>PhD</t>
        </is>
      </c>
      <c r="F412" s="5" t="inlineStr">
        <is>
          <t>IT</t>
        </is>
      </c>
      <c r="G412" s="5" t="inlineStr">
        <is>
          <t>Data Analyst</t>
        </is>
      </c>
      <c r="H412" s="5" t="inlineStr">
        <is>
          <t>2</t>
        </is>
      </c>
      <c r="I412" s="5" t="inlineStr">
        <is>
          <t>Chennai</t>
        </is>
      </c>
      <c r="J412" s="5" t="inlineStr">
        <is>
          <t>Full-Time</t>
        </is>
      </c>
      <c r="K412" s="7" t="n">
        <v>45264</v>
      </c>
      <c r="L412" s="7" t="inlineStr"/>
      <c r="M412" s="5" t="inlineStr">
        <is>
          <t>Yes</t>
        </is>
      </c>
      <c r="N412" s="5" t="inlineStr"/>
      <c r="O412" s="8" t="inlineStr">
        <is>
          <t>101500</t>
        </is>
      </c>
      <c r="P412" s="5" t="inlineStr">
        <is>
          <t>15</t>
        </is>
      </c>
      <c r="Q412" s="5" t="inlineStr">
        <is>
          <t>2</t>
        </is>
      </c>
      <c r="R412" s="5" t="inlineStr">
        <is>
          <t>6</t>
        </is>
      </c>
      <c r="S412" s="5" t="inlineStr">
        <is>
          <t>25</t>
        </is>
      </c>
      <c r="T412" s="5" t="inlineStr">
        <is>
          <t>1</t>
        </is>
      </c>
      <c r="U412" s="5" t="inlineStr">
        <is>
          <t>OK</t>
        </is>
      </c>
    </row>
    <row r="413">
      <c r="A413" s="5" t="inlineStr">
        <is>
          <t>E01789</t>
        </is>
      </c>
      <c r="B413" s="5" t="inlineStr">
        <is>
          <t>Male</t>
        </is>
      </c>
      <c r="C413" s="6" t="inlineStr">
        <is>
          <t>34</t>
        </is>
      </c>
      <c r="D413" s="5" t="inlineStr">
        <is>
          <t>Married</t>
        </is>
      </c>
      <c r="E413" s="5" t="inlineStr">
        <is>
          <t>Master</t>
        </is>
      </c>
      <c r="F413" s="5" t="inlineStr">
        <is>
          <t>Sales</t>
        </is>
      </c>
      <c r="G413" s="5" t="inlineStr">
        <is>
          <t>Sales Executive</t>
        </is>
      </c>
      <c r="H413" s="5" t="inlineStr">
        <is>
          <t>6</t>
        </is>
      </c>
      <c r="I413" s="5" t="inlineStr">
        <is>
          <t>Hyderabad</t>
        </is>
      </c>
      <c r="J413" s="5" t="inlineStr">
        <is>
          <t>Full-Time</t>
        </is>
      </c>
      <c r="K413" s="7" t="n">
        <v>45791</v>
      </c>
      <c r="L413" s="7" t="inlineStr"/>
      <c r="M413" s="5" t="inlineStr">
        <is>
          <t>Yes</t>
        </is>
      </c>
      <c r="N413" s="5" t="inlineStr"/>
      <c r="O413" s="8" t="inlineStr">
        <is>
          <t>131500</t>
        </is>
      </c>
      <c r="P413" s="5" t="inlineStr">
        <is>
          <t>5</t>
        </is>
      </c>
      <c r="Q413" s="5" t="inlineStr">
        <is>
          <t>3</t>
        </is>
      </c>
      <c r="R413" s="5" t="inlineStr">
        <is>
          <t>4</t>
        </is>
      </c>
      <c r="S413" s="5" t="inlineStr">
        <is>
          <t>7</t>
        </is>
      </c>
      <c r="T413" s="5" t="inlineStr">
        <is>
          <t>7</t>
        </is>
      </c>
      <c r="U413" s="5" t="inlineStr">
        <is>
          <t>OK</t>
        </is>
      </c>
    </row>
    <row r="414">
      <c r="A414" s="5" t="inlineStr">
        <is>
          <t>E02791</t>
        </is>
      </c>
      <c r="B414" s="5" t="inlineStr">
        <is>
          <t>Male</t>
        </is>
      </c>
      <c r="C414" s="6" t="inlineStr">
        <is>
          <t>33</t>
        </is>
      </c>
      <c r="D414" s="5" t="inlineStr">
        <is>
          <t>Married</t>
        </is>
      </c>
      <c r="E414" s="5" t="inlineStr">
        <is>
          <t>PhD</t>
        </is>
      </c>
      <c r="F414" s="5" t="inlineStr">
        <is>
          <t>Marketing</t>
        </is>
      </c>
      <c r="G414" s="5" t="inlineStr">
        <is>
          <t>Content Writer</t>
        </is>
      </c>
      <c r="H414" s="5" t="inlineStr">
        <is>
          <t>1</t>
        </is>
      </c>
      <c r="I414" s="5" t="inlineStr">
        <is>
          <t>Mumbai</t>
        </is>
      </c>
      <c r="J414" s="5" t="inlineStr">
        <is>
          <t>Full-Time</t>
        </is>
      </c>
      <c r="K414" s="7" t="n">
        <v>45808</v>
      </c>
      <c r="L414" s="7" t="inlineStr"/>
      <c r="M414" s="5" t="inlineStr">
        <is>
          <t>Yes</t>
        </is>
      </c>
      <c r="N414" s="5" t="inlineStr"/>
      <c r="O414" s="8" t="inlineStr">
        <is>
          <t>75000</t>
        </is>
      </c>
      <c r="P414" s="5" t="inlineStr">
        <is>
          <t>5</t>
        </is>
      </c>
      <c r="Q414" s="5" t="inlineStr">
        <is>
          <t>3</t>
        </is>
      </c>
      <c r="R414" s="5" t="inlineStr">
        <is>
          <t>7</t>
        </is>
      </c>
      <c r="S414" s="5" t="inlineStr">
        <is>
          <t>7</t>
        </is>
      </c>
      <c r="T414" s="5" t="inlineStr">
        <is>
          <t>6</t>
        </is>
      </c>
      <c r="U414" s="5" t="inlineStr">
        <is>
          <t>OK</t>
        </is>
      </c>
    </row>
    <row r="415">
      <c r="A415" s="5" t="inlineStr">
        <is>
          <t>E02409</t>
        </is>
      </c>
      <c r="B415" s="5" t="inlineStr">
        <is>
          <t>Male</t>
        </is>
      </c>
      <c r="C415" s="6" t="inlineStr">
        <is>
          <t>34</t>
        </is>
      </c>
      <c r="D415" s="5" t="inlineStr">
        <is>
          <t>Married</t>
        </is>
      </c>
      <c r="E415" s="5" t="inlineStr">
        <is>
          <t>Master</t>
        </is>
      </c>
      <c r="F415" s="5" t="inlineStr">
        <is>
          <t>Customer Support</t>
        </is>
      </c>
      <c r="G415" s="5" t="inlineStr">
        <is>
          <t>Escalation Specialist</t>
        </is>
      </c>
      <c r="H415" s="5" t="inlineStr">
        <is>
          <t>3</t>
        </is>
      </c>
      <c r="I415" s="5" t="inlineStr">
        <is>
          <t>Remote</t>
        </is>
      </c>
      <c r="J415" s="5" t="inlineStr">
        <is>
          <t>Full-Time</t>
        </is>
      </c>
      <c r="K415" s="7" t="n">
        <v>45169</v>
      </c>
      <c r="L415" s="7" t="inlineStr"/>
      <c r="M415" s="5" t="inlineStr">
        <is>
          <t>Yes</t>
        </is>
      </c>
      <c r="N415" s="5" t="inlineStr"/>
      <c r="O415" s="8" t="inlineStr">
        <is>
          <t>89500</t>
        </is>
      </c>
      <c r="P415" s="5" t="inlineStr">
        <is>
          <t>0</t>
        </is>
      </c>
      <c r="Q415" s="5" t="inlineStr">
        <is>
          <t>5</t>
        </is>
      </c>
      <c r="R415" s="5" t="inlineStr">
        <is>
          <t>7</t>
        </is>
      </c>
      <c r="S415" s="5" t="inlineStr">
        <is>
          <t>28</t>
        </is>
      </c>
      <c r="T415" s="5" t="inlineStr">
        <is>
          <t>0</t>
        </is>
      </c>
      <c r="U415" s="5" t="inlineStr">
        <is>
          <t>OK</t>
        </is>
      </c>
    </row>
    <row r="416">
      <c r="A416" s="5" t="inlineStr">
        <is>
          <t>E00440</t>
        </is>
      </c>
      <c r="B416" s="5" t="inlineStr">
        <is>
          <t>Male</t>
        </is>
      </c>
      <c r="C416" s="6" t="inlineStr">
        <is>
          <t>44</t>
        </is>
      </c>
      <c r="D416" s="5" t="inlineStr">
        <is>
          <t>Single</t>
        </is>
      </c>
      <c r="E416" s="5" t="inlineStr">
        <is>
          <t>Master</t>
        </is>
      </c>
      <c r="F416" s="5" t="inlineStr">
        <is>
          <t>Customer Support</t>
        </is>
      </c>
      <c r="G416" s="5" t="inlineStr">
        <is>
          <t>Support Agent</t>
        </is>
      </c>
      <c r="H416" s="5" t="inlineStr">
        <is>
          <t>6</t>
        </is>
      </c>
      <c r="I416" s="5" t="inlineStr">
        <is>
          <t>Bengaluru</t>
        </is>
      </c>
      <c r="J416" s="5" t="inlineStr">
        <is>
          <t>Contract</t>
        </is>
      </c>
      <c r="K416" s="7" t="n">
        <v>44866</v>
      </c>
      <c r="L416" s="7" t="inlineStr"/>
      <c r="M416" s="5" t="inlineStr">
        <is>
          <t>Yes</t>
        </is>
      </c>
      <c r="N416" s="5" t="inlineStr"/>
      <c r="O416" s="8" t="inlineStr">
        <is>
          <t>108500</t>
        </is>
      </c>
      <c r="P416" s="5" t="inlineStr">
        <is>
          <t>5</t>
        </is>
      </c>
      <c r="Q416" s="5" t="inlineStr">
        <is>
          <t>2</t>
        </is>
      </c>
      <c r="R416" s="5" t="inlineStr">
        <is>
          <t>6</t>
        </is>
      </c>
      <c r="S416" s="5" t="inlineStr">
        <is>
          <t>38</t>
        </is>
      </c>
      <c r="T416" s="5" t="inlineStr">
        <is>
          <t>0</t>
        </is>
      </c>
      <c r="U416" s="5" t="inlineStr">
        <is>
          <t>OK</t>
        </is>
      </c>
    </row>
    <row r="417">
      <c r="A417" s="5" t="inlineStr">
        <is>
          <t>E00275</t>
        </is>
      </c>
      <c r="B417" s="5" t="inlineStr">
        <is>
          <t>Female</t>
        </is>
      </c>
      <c r="C417" s="6" t="inlineStr">
        <is>
          <t>30</t>
        </is>
      </c>
      <c r="D417" s="5" t="inlineStr">
        <is>
          <t>Single</t>
        </is>
      </c>
      <c r="E417" s="5" t="inlineStr">
        <is>
          <t>Diploma</t>
        </is>
      </c>
      <c r="F417" s="5" t="inlineStr">
        <is>
          <t>IT</t>
        </is>
      </c>
      <c r="G417" s="5" t="inlineStr">
        <is>
          <t>Data Analyst</t>
        </is>
      </c>
      <c r="H417" s="5" t="inlineStr">
        <is>
          <t>2</t>
        </is>
      </c>
      <c r="I417" s="5" t="inlineStr">
        <is>
          <t>Hyderabad</t>
        </is>
      </c>
      <c r="J417" s="5" t="inlineStr">
        <is>
          <t>Full-Time</t>
        </is>
      </c>
      <c r="K417" s="7" t="n">
        <v>44602</v>
      </c>
      <c r="L417" s="7" t="inlineStr"/>
      <c r="M417" s="5" t="inlineStr">
        <is>
          <t>Yes</t>
        </is>
      </c>
      <c r="N417" s="5" t="inlineStr"/>
      <c r="O417" s="8" t="inlineStr">
        <is>
          <t>146000</t>
        </is>
      </c>
      <c r="P417" s="5" t="inlineStr">
        <is>
          <t>0</t>
        </is>
      </c>
      <c r="Q417" s="5" t="inlineStr">
        <is>
          <t>4</t>
        </is>
      </c>
      <c r="R417" s="5" t="inlineStr">
        <is>
          <t>3</t>
        </is>
      </c>
      <c r="S417" s="5" t="inlineStr">
        <is>
          <t>47</t>
        </is>
      </c>
      <c r="T417" s="5" t="inlineStr">
        <is>
          <t>11</t>
        </is>
      </c>
      <c r="U417" s="5" t="inlineStr">
        <is>
          <t>OK</t>
        </is>
      </c>
    </row>
    <row r="418">
      <c r="A418" s="5" t="inlineStr">
        <is>
          <t>E00620</t>
        </is>
      </c>
      <c r="B418" s="5" t="inlineStr">
        <is>
          <t>Female</t>
        </is>
      </c>
      <c r="C418" s="6" t="inlineStr">
        <is>
          <t>29</t>
        </is>
      </c>
      <c r="D418" s="5" t="inlineStr">
        <is>
          <t>Married</t>
        </is>
      </c>
      <c r="E418" s="5" t="inlineStr">
        <is>
          <t>High School</t>
        </is>
      </c>
      <c r="F418" s="5" t="inlineStr">
        <is>
          <t>Operations</t>
        </is>
      </c>
      <c r="G418" s="5" t="inlineStr">
        <is>
          <t>Operations Analyst</t>
        </is>
      </c>
      <c r="H418" s="5" t="inlineStr">
        <is>
          <t>2</t>
        </is>
      </c>
      <c r="I418" s="5" t="inlineStr">
        <is>
          <t>Remote</t>
        </is>
      </c>
      <c r="J418" s="5" t="inlineStr">
        <is>
          <t>Full-Time</t>
        </is>
      </c>
      <c r="K418" s="7" t="n">
        <v>45042</v>
      </c>
      <c r="L418" s="7" t="n">
        <v>45117</v>
      </c>
      <c r="M418" s="5" t="inlineStr">
        <is>
          <t>No</t>
        </is>
      </c>
      <c r="N418" s="5" t="inlineStr">
        <is>
          <t>Retirement</t>
        </is>
      </c>
      <c r="O418" s="8" t="inlineStr">
        <is>
          <t>112500</t>
        </is>
      </c>
      <c r="P418" s="5" t="inlineStr">
        <is>
          <t>0</t>
        </is>
      </c>
      <c r="Q418" s="5" t="inlineStr">
        <is>
          <t>3</t>
        </is>
      </c>
      <c r="R418" s="5" t="inlineStr">
        <is>
          <t>6</t>
        </is>
      </c>
      <c r="S418" s="5" t="inlineStr">
        <is>
          <t>2</t>
        </is>
      </c>
      <c r="T418" s="5" t="inlineStr">
        <is>
          <t>17</t>
        </is>
      </c>
      <c r="U418" s="5" t="inlineStr">
        <is>
          <t>OK</t>
        </is>
      </c>
    </row>
    <row r="419">
      <c r="A419" s="5" t="inlineStr">
        <is>
          <t>E02316</t>
        </is>
      </c>
      <c r="B419" s="5" t="inlineStr">
        <is>
          <t>Female</t>
        </is>
      </c>
      <c r="C419" s="6" t="inlineStr">
        <is>
          <t>35</t>
        </is>
      </c>
      <c r="D419" s="5" t="inlineStr">
        <is>
          <t>Divorced</t>
        </is>
      </c>
      <c r="E419" s="5" t="inlineStr">
        <is>
          <t>Bachelor</t>
        </is>
      </c>
      <c r="F419" s="5" t="inlineStr">
        <is>
          <t>Finance</t>
        </is>
      </c>
      <c r="G419" s="5" t="inlineStr">
        <is>
          <t>Financial Analyst</t>
        </is>
      </c>
      <c r="H419" s="5" t="inlineStr">
        <is>
          <t>3</t>
        </is>
      </c>
      <c r="I419" s="5" t="inlineStr">
        <is>
          <t>Hyderabad</t>
        </is>
      </c>
      <c r="J419" s="5" t="inlineStr">
        <is>
          <t>Full-Time</t>
        </is>
      </c>
      <c r="K419" s="7" t="n">
        <v>45872</v>
      </c>
      <c r="L419" s="7" t="inlineStr"/>
      <c r="M419" s="5" t="inlineStr">
        <is>
          <t>Yes</t>
        </is>
      </c>
      <c r="N419" s="5" t="inlineStr"/>
      <c r="O419" s="8" t="inlineStr">
        <is>
          <t>123500</t>
        </is>
      </c>
      <c r="P419" s="5" t="inlineStr">
        <is>
          <t>0</t>
        </is>
      </c>
      <c r="Q419" s="5" t="inlineStr">
        <is>
          <t>4</t>
        </is>
      </c>
      <c r="R419" s="5" t="inlineStr">
        <is>
          <t>6</t>
        </is>
      </c>
      <c r="S419" s="5" t="inlineStr">
        <is>
          <t>5</t>
        </is>
      </c>
      <c r="T419" s="5" t="inlineStr">
        <is>
          <t>3</t>
        </is>
      </c>
      <c r="U419" s="5" t="inlineStr">
        <is>
          <t>OK</t>
        </is>
      </c>
    </row>
    <row r="420">
      <c r="A420" s="5" t="inlineStr">
        <is>
          <t>E01639</t>
        </is>
      </c>
      <c r="B420" s="5" t="inlineStr">
        <is>
          <t>Male</t>
        </is>
      </c>
      <c r="C420" s="6" t="inlineStr">
        <is>
          <t>37</t>
        </is>
      </c>
      <c r="D420" s="5" t="inlineStr">
        <is>
          <t>Single</t>
        </is>
      </c>
      <c r="E420" s="5" t="inlineStr">
        <is>
          <t>Bachelor</t>
        </is>
      </c>
      <c r="F420" s="5" t="inlineStr">
        <is>
          <t>Research &amp; Development</t>
        </is>
      </c>
      <c r="G420" s="5" t="inlineStr">
        <is>
          <t>Data Scientist</t>
        </is>
      </c>
      <c r="H420" s="5" t="inlineStr">
        <is>
          <t>5</t>
        </is>
      </c>
      <c r="I420" s="5" t="inlineStr">
        <is>
          <t>Bengaluru</t>
        </is>
      </c>
      <c r="J420" s="5" t="inlineStr">
        <is>
          <t>Full-Time</t>
        </is>
      </c>
      <c r="K420" s="7" t="n">
        <v>45268</v>
      </c>
      <c r="L420" s="7" t="n">
        <v>45305</v>
      </c>
      <c r="M420" s="5" t="inlineStr">
        <is>
          <t>No</t>
        </is>
      </c>
      <c r="N420" s="5" t="inlineStr">
        <is>
          <t>Resigned</t>
        </is>
      </c>
      <c r="O420" s="8" t="inlineStr">
        <is>
          <t>203000</t>
        </is>
      </c>
      <c r="P420" s="5" t="inlineStr">
        <is>
          <t>20</t>
        </is>
      </c>
      <c r="Q420" s="5" t="inlineStr">
        <is>
          <t>3</t>
        </is>
      </c>
      <c r="R420" s="5" t="inlineStr">
        <is>
          <t>8</t>
        </is>
      </c>
      <c r="S420" s="5" t="inlineStr">
        <is>
          <t>1</t>
        </is>
      </c>
      <c r="T420" s="5" t="inlineStr">
        <is>
          <t>11</t>
        </is>
      </c>
      <c r="U420" s="5" t="inlineStr">
        <is>
          <t>OK</t>
        </is>
      </c>
    </row>
    <row r="421">
      <c r="A421" s="5" t="inlineStr">
        <is>
          <t>E00132</t>
        </is>
      </c>
      <c r="B421" s="5" t="inlineStr">
        <is>
          <t>Male</t>
        </is>
      </c>
      <c r="C421" s="6" t="inlineStr">
        <is>
          <t>27</t>
        </is>
      </c>
      <c r="D421" s="5" t="inlineStr">
        <is>
          <t>Married</t>
        </is>
      </c>
      <c r="E421" s="5" t="inlineStr">
        <is>
          <t>Diploma</t>
        </is>
      </c>
      <c r="F421" s="5" t="inlineStr">
        <is>
          <t>IT</t>
        </is>
      </c>
      <c r="G421" s="5" t="inlineStr">
        <is>
          <t>DevOps Engineer</t>
        </is>
      </c>
      <c r="H421" s="5" t="inlineStr">
        <is>
          <t>3</t>
        </is>
      </c>
      <c r="I421" s="5" t="inlineStr">
        <is>
          <t>Hyderabad</t>
        </is>
      </c>
      <c r="J421" s="5" t="inlineStr">
        <is>
          <t>Full-Time</t>
        </is>
      </c>
      <c r="K421" s="7" t="n">
        <v>45966</v>
      </c>
      <c r="L421" s="7" t="inlineStr"/>
      <c r="M421" s="5" t="inlineStr">
        <is>
          <t>Yes</t>
        </is>
      </c>
      <c r="N421" s="5" t="inlineStr"/>
      <c r="O421" s="8" t="inlineStr">
        <is>
          <t>143000</t>
        </is>
      </c>
      <c r="P421" s="5" t="inlineStr">
        <is>
          <t>0</t>
        </is>
      </c>
      <c r="Q421" s="5" t="inlineStr">
        <is>
          <t>3</t>
        </is>
      </c>
      <c r="R421" s="5" t="inlineStr">
        <is>
          <t>6</t>
        </is>
      </c>
      <c r="S421" s="5" t="inlineStr">
        <is>
          <t>1</t>
        </is>
      </c>
      <c r="T421" s="5" t="inlineStr">
        <is>
          <t>3</t>
        </is>
      </c>
      <c r="U421" s="5" t="inlineStr">
        <is>
          <t>OK</t>
        </is>
      </c>
    </row>
    <row r="422">
      <c r="A422" s="5" t="inlineStr">
        <is>
          <t>E00177</t>
        </is>
      </c>
      <c r="B422" s="5" t="inlineStr">
        <is>
          <t>Male</t>
        </is>
      </c>
      <c r="C422" s="6" t="inlineStr">
        <is>
          <t>34</t>
        </is>
      </c>
      <c r="D422" s="5" t="inlineStr">
        <is>
          <t>Single</t>
        </is>
      </c>
      <c r="E422" s="5" t="inlineStr">
        <is>
          <t>High School</t>
        </is>
      </c>
      <c r="F422" s="5" t="inlineStr">
        <is>
          <t>Customer Support</t>
        </is>
      </c>
      <c r="G422" s="5" t="inlineStr">
        <is>
          <t>Support Lead</t>
        </is>
      </c>
      <c r="H422" s="5" t="inlineStr">
        <is>
          <t>3</t>
        </is>
      </c>
      <c r="I422" s="5" t="inlineStr">
        <is>
          <t>Chennai</t>
        </is>
      </c>
      <c r="J422" s="5" t="inlineStr">
        <is>
          <t>Part-Time</t>
        </is>
      </c>
      <c r="K422" s="7" t="n">
        <v>44694</v>
      </c>
      <c r="L422" s="7" t="inlineStr"/>
      <c r="M422" s="5" t="inlineStr">
        <is>
          <t>Yes</t>
        </is>
      </c>
      <c r="N422" s="5" t="inlineStr"/>
      <c r="O422" s="8" t="inlineStr">
        <is>
          <t>84500</t>
        </is>
      </c>
      <c r="P422" s="5" t="inlineStr">
        <is>
          <t>5</t>
        </is>
      </c>
      <c r="Q422" s="5" t="inlineStr">
        <is>
          <t>3</t>
        </is>
      </c>
      <c r="R422" s="5" t="inlineStr">
        <is>
          <t>5</t>
        </is>
      </c>
      <c r="S422" s="5" t="inlineStr">
        <is>
          <t>44</t>
        </is>
      </c>
      <c r="T422" s="5" t="inlineStr">
        <is>
          <t>8</t>
        </is>
      </c>
      <c r="U422" s="5" t="inlineStr">
        <is>
          <t>OK</t>
        </is>
      </c>
    </row>
    <row r="423">
      <c r="A423" s="5" t="inlineStr">
        <is>
          <t>E00181</t>
        </is>
      </c>
      <c r="B423" s="5" t="inlineStr">
        <is>
          <t>Female</t>
        </is>
      </c>
      <c r="C423" s="6" t="inlineStr">
        <is>
          <t>29</t>
        </is>
      </c>
      <c r="D423" s="5" t="inlineStr">
        <is>
          <t>Married</t>
        </is>
      </c>
      <c r="E423" s="5" t="inlineStr">
        <is>
          <t>Bachelor</t>
        </is>
      </c>
      <c r="F423" s="5" t="inlineStr">
        <is>
          <t>Human Resources</t>
        </is>
      </c>
      <c r="G423" s="5" t="inlineStr">
        <is>
          <t>HR Analyst</t>
        </is>
      </c>
      <c r="H423" s="5" t="inlineStr">
        <is>
          <t>1</t>
        </is>
      </c>
      <c r="I423" s="5" t="inlineStr">
        <is>
          <t>Chennai</t>
        </is>
      </c>
      <c r="J423" s="5" t="inlineStr">
        <is>
          <t>Full-Time</t>
        </is>
      </c>
      <c r="K423" s="7" t="n">
        <v>45457</v>
      </c>
      <c r="L423" s="7" t="inlineStr"/>
      <c r="M423" s="5" t="inlineStr">
        <is>
          <t>Yes</t>
        </is>
      </c>
      <c r="N423" s="5" t="inlineStr"/>
      <c r="O423" s="8" t="inlineStr">
        <is>
          <t>89000</t>
        </is>
      </c>
      <c r="P423" s="5" t="inlineStr">
        <is>
          <t>0</t>
        </is>
      </c>
      <c r="Q423" s="5" t="inlineStr">
        <is>
          <t>4</t>
        </is>
      </c>
      <c r="R423" s="5" t="inlineStr">
        <is>
          <t>6</t>
        </is>
      </c>
      <c r="S423" s="5" t="inlineStr">
        <is>
          <t>18</t>
        </is>
      </c>
      <c r="T423" s="5" t="inlineStr">
        <is>
          <t>9</t>
        </is>
      </c>
      <c r="U423" s="5" t="inlineStr">
        <is>
          <t>OK</t>
        </is>
      </c>
    </row>
    <row r="424">
      <c r="A424" s="5" t="inlineStr">
        <is>
          <t>E01885</t>
        </is>
      </c>
      <c r="B424" s="5" t="inlineStr">
        <is>
          <t>Female</t>
        </is>
      </c>
      <c r="C424" s="6" t="inlineStr">
        <is>
          <t>33</t>
        </is>
      </c>
      <c r="D424" s="5" t="inlineStr">
        <is>
          <t>Married</t>
        </is>
      </c>
      <c r="E424" s="5" t="inlineStr">
        <is>
          <t>High School</t>
        </is>
      </c>
      <c r="F424" s="5" t="inlineStr">
        <is>
          <t>Customer Support</t>
        </is>
      </c>
      <c r="G424" s="5" t="inlineStr">
        <is>
          <t>Support Agent</t>
        </is>
      </c>
      <c r="H424" s="5" t="inlineStr">
        <is>
          <t>4</t>
        </is>
      </c>
      <c r="I424" s="5" t="inlineStr">
        <is>
          <t>Mumbai</t>
        </is>
      </c>
      <c r="J424" s="5" t="inlineStr">
        <is>
          <t>Full-Time</t>
        </is>
      </c>
      <c r="K424" s="7" t="n">
        <v>45003</v>
      </c>
      <c r="L424" s="7" t="inlineStr"/>
      <c r="M424" s="5" t="inlineStr">
        <is>
          <t>Yes</t>
        </is>
      </c>
      <c r="N424" s="5" t="inlineStr"/>
      <c r="O424" s="8" t="inlineStr">
        <is>
          <t>88000</t>
        </is>
      </c>
      <c r="P424" s="5" t="inlineStr">
        <is>
          <t>10</t>
        </is>
      </c>
      <c r="Q424" s="5" t="inlineStr">
        <is>
          <t>4</t>
        </is>
      </c>
      <c r="R424" s="5" t="inlineStr">
        <is>
          <t>6</t>
        </is>
      </c>
      <c r="S424" s="5" t="inlineStr">
        <is>
          <t>33</t>
        </is>
      </c>
      <c r="T424" s="5" t="inlineStr">
        <is>
          <t>7</t>
        </is>
      </c>
      <c r="U424" s="5" t="inlineStr">
        <is>
          <t>OK</t>
        </is>
      </c>
    </row>
    <row r="425">
      <c r="A425" s="5" t="inlineStr">
        <is>
          <t>E00428</t>
        </is>
      </c>
      <c r="B425" s="5" t="inlineStr">
        <is>
          <t>Female</t>
        </is>
      </c>
      <c r="C425" s="6" t="inlineStr">
        <is>
          <t>27</t>
        </is>
      </c>
      <c r="D425" s="5" t="inlineStr">
        <is>
          <t>Married</t>
        </is>
      </c>
      <c r="E425" s="5" t="inlineStr">
        <is>
          <t>PhD</t>
        </is>
      </c>
      <c r="F425" s="5" t="inlineStr">
        <is>
          <t>IT</t>
        </is>
      </c>
      <c r="G425" s="5" t="inlineStr">
        <is>
          <t>Software Engineer</t>
        </is>
      </c>
      <c r="H425" s="5" t="inlineStr">
        <is>
          <t>2</t>
        </is>
      </c>
      <c r="I425" s="5" t="inlineStr">
        <is>
          <t>Hyderabad</t>
        </is>
      </c>
      <c r="J425" s="5" t="inlineStr">
        <is>
          <t>Full-Time</t>
        </is>
      </c>
      <c r="K425" s="7" t="n">
        <v>44859</v>
      </c>
      <c r="L425" s="7" t="n">
        <v>44992</v>
      </c>
      <c r="M425" s="5" t="inlineStr">
        <is>
          <t>No</t>
        </is>
      </c>
      <c r="N425" s="5" t="inlineStr">
        <is>
          <t>Layoff</t>
        </is>
      </c>
      <c r="O425" s="8" t="inlineStr">
        <is>
          <t>99500</t>
        </is>
      </c>
      <c r="P425" s="5" t="inlineStr">
        <is>
          <t>0</t>
        </is>
      </c>
      <c r="Q425" s="5" t="inlineStr">
        <is>
          <t>5</t>
        </is>
      </c>
      <c r="R425" s="5" t="inlineStr">
        <is>
          <t>6</t>
        </is>
      </c>
      <c r="S425" s="5" t="inlineStr">
        <is>
          <t>4</t>
        </is>
      </c>
      <c r="T425" s="5" t="inlineStr">
        <is>
          <t>0</t>
        </is>
      </c>
      <c r="U425" s="5" t="inlineStr">
        <is>
          <t>OK</t>
        </is>
      </c>
    </row>
    <row r="426">
      <c r="A426" s="5" t="inlineStr">
        <is>
          <t>E01971</t>
        </is>
      </c>
      <c r="B426" s="5" t="inlineStr">
        <is>
          <t>Female</t>
        </is>
      </c>
      <c r="C426" s="6" t="inlineStr">
        <is>
          <t>24</t>
        </is>
      </c>
      <c r="D426" s="5" t="inlineStr">
        <is>
          <t>Married</t>
        </is>
      </c>
      <c r="E426" s="5" t="inlineStr">
        <is>
          <t>High School</t>
        </is>
      </c>
      <c r="F426" s="5" t="inlineStr">
        <is>
          <t>IT</t>
        </is>
      </c>
      <c r="G426" s="5" t="inlineStr">
        <is>
          <t>DevOps Engineer</t>
        </is>
      </c>
      <c r="H426" s="5" t="inlineStr">
        <is>
          <t>1</t>
        </is>
      </c>
      <c r="I426" s="5" t="inlineStr">
        <is>
          <t>Bengaluru</t>
        </is>
      </c>
      <c r="J426" s="5" t="inlineStr">
        <is>
          <t>Part-Time</t>
        </is>
      </c>
      <c r="K426" s="7" t="n">
        <v>44656</v>
      </c>
      <c r="L426" s="7" t="inlineStr"/>
      <c r="M426" s="5" t="inlineStr">
        <is>
          <t>Yes</t>
        </is>
      </c>
      <c r="N426" s="5" t="inlineStr"/>
      <c r="O426" s="8" t="inlineStr">
        <is>
          <t>83000</t>
        </is>
      </c>
      <c r="P426" s="5" t="inlineStr">
        <is>
          <t>15</t>
        </is>
      </c>
      <c r="Q426" s="5" t="inlineStr">
        <is>
          <t>5</t>
        </is>
      </c>
      <c r="R426" s="5" t="inlineStr">
        <is>
          <t>8</t>
        </is>
      </c>
      <c r="S426" s="5" t="inlineStr">
        <is>
          <t>45</t>
        </is>
      </c>
      <c r="T426" s="5" t="inlineStr">
        <is>
          <t>3</t>
        </is>
      </c>
      <c r="U426" s="5" t="inlineStr">
        <is>
          <t>OK</t>
        </is>
      </c>
    </row>
    <row r="427">
      <c r="A427" s="5" t="inlineStr">
        <is>
          <t>E00579</t>
        </is>
      </c>
      <c r="B427" s="5" t="inlineStr">
        <is>
          <t>Male</t>
        </is>
      </c>
      <c r="C427" s="6" t="inlineStr">
        <is>
          <t>31</t>
        </is>
      </c>
      <c r="D427" s="5" t="inlineStr">
        <is>
          <t>Married</t>
        </is>
      </c>
      <c r="E427" s="5" t="inlineStr">
        <is>
          <t>Diploma</t>
        </is>
      </c>
      <c r="F427" s="5" t="inlineStr">
        <is>
          <t>Human Resources</t>
        </is>
      </c>
      <c r="G427" s="5" t="inlineStr">
        <is>
          <t>HR Generalist</t>
        </is>
      </c>
      <c r="H427" s="5" t="inlineStr">
        <is>
          <t>1</t>
        </is>
      </c>
      <c r="I427" s="5" t="inlineStr">
        <is>
          <t>Mumbai</t>
        </is>
      </c>
      <c r="J427" s="5" t="inlineStr">
        <is>
          <t>Full-Time</t>
        </is>
      </c>
      <c r="K427" s="7" t="n">
        <v>43860</v>
      </c>
      <c r="L427" s="7" t="inlineStr"/>
      <c r="M427" s="5" t="inlineStr">
        <is>
          <t>Yes</t>
        </is>
      </c>
      <c r="N427" s="5" t="inlineStr"/>
      <c r="O427" s="8" t="inlineStr">
        <is>
          <t>83000</t>
        </is>
      </c>
      <c r="P427" s="5" t="inlineStr">
        <is>
          <t>10</t>
        </is>
      </c>
      <c r="Q427" s="5" t="inlineStr">
        <is>
          <t>2</t>
        </is>
      </c>
      <c r="R427" s="5" t="inlineStr">
        <is>
          <t>5</t>
        </is>
      </c>
      <c r="S427" s="5" t="inlineStr">
        <is>
          <t>72</t>
        </is>
      </c>
      <c r="T427" s="5" t="inlineStr">
        <is>
          <t>5</t>
        </is>
      </c>
      <c r="U427" s="5" t="inlineStr">
        <is>
          <t>OK</t>
        </is>
      </c>
    </row>
    <row r="428">
      <c r="A428" s="5" t="inlineStr">
        <is>
          <t>E01543</t>
        </is>
      </c>
      <c r="B428" s="5" t="inlineStr">
        <is>
          <t>Male</t>
        </is>
      </c>
      <c r="C428" s="6" t="inlineStr">
        <is>
          <t>30</t>
        </is>
      </c>
      <c r="D428" s="5" t="inlineStr">
        <is>
          <t>Married</t>
        </is>
      </c>
      <c r="E428" s="5" t="inlineStr">
        <is>
          <t>Master</t>
        </is>
      </c>
      <c r="F428" s="5" t="inlineStr">
        <is>
          <t>Customer Support</t>
        </is>
      </c>
      <c r="G428" s="5" t="inlineStr">
        <is>
          <t>Escalation Specialist</t>
        </is>
      </c>
      <c r="H428" s="5" t="inlineStr">
        <is>
          <t>1</t>
        </is>
      </c>
      <c r="I428" s="5" t="inlineStr">
        <is>
          <t>Mumbai</t>
        </is>
      </c>
      <c r="J428" s="5" t="inlineStr">
        <is>
          <t>Full-Time</t>
        </is>
      </c>
      <c r="K428" s="7" t="n">
        <v>44104</v>
      </c>
      <c r="L428" s="7" t="inlineStr"/>
      <c r="M428" s="5" t="inlineStr">
        <is>
          <t>Yes</t>
        </is>
      </c>
      <c r="N428" s="5" t="inlineStr"/>
      <c r="O428" s="8" t="inlineStr">
        <is>
          <t>64500</t>
        </is>
      </c>
      <c r="P428" s="5" t="inlineStr">
        <is>
          <t>10</t>
        </is>
      </c>
      <c r="Q428" s="5" t="inlineStr">
        <is>
          <t>2</t>
        </is>
      </c>
      <c r="R428" s="5" t="inlineStr">
        <is>
          <t>5</t>
        </is>
      </c>
      <c r="S428" s="5" t="inlineStr">
        <is>
          <t>63</t>
        </is>
      </c>
      <c r="T428" s="5" t="inlineStr">
        <is>
          <t>8</t>
        </is>
      </c>
      <c r="U428" s="5" t="inlineStr">
        <is>
          <t>OK</t>
        </is>
      </c>
    </row>
    <row r="429">
      <c r="A429" s="5" t="inlineStr">
        <is>
          <t>E02466</t>
        </is>
      </c>
      <c r="B429" s="5" t="inlineStr">
        <is>
          <t>Male</t>
        </is>
      </c>
      <c r="C429" s="6" t="inlineStr">
        <is>
          <t>29</t>
        </is>
      </c>
      <c r="D429" s="5" t="inlineStr">
        <is>
          <t>Married</t>
        </is>
      </c>
      <c r="E429" s="5" t="inlineStr">
        <is>
          <t>PhD</t>
        </is>
      </c>
      <c r="F429" s="5" t="inlineStr">
        <is>
          <t>Finance</t>
        </is>
      </c>
      <c r="G429" s="5" t="inlineStr">
        <is>
          <t>Accountant</t>
        </is>
      </c>
      <c r="H429" s="5" t="inlineStr">
        <is>
          <t>3</t>
        </is>
      </c>
      <c r="I429" s="5" t="inlineStr">
        <is>
          <t>Hyderabad</t>
        </is>
      </c>
      <c r="J429" s="5" t="inlineStr">
        <is>
          <t>Full-Time</t>
        </is>
      </c>
      <c r="K429" s="7" t="n">
        <v>45981</v>
      </c>
      <c r="L429" s="7" t="inlineStr"/>
      <c r="M429" s="5" t="inlineStr">
        <is>
          <t>Yes</t>
        </is>
      </c>
      <c r="N429" s="5" t="inlineStr"/>
      <c r="O429" s="8" t="inlineStr">
        <is>
          <t>133500</t>
        </is>
      </c>
      <c r="P429" s="5" t="inlineStr">
        <is>
          <t>10</t>
        </is>
      </c>
      <c r="Q429" s="5" t="inlineStr">
        <is>
          <t>3</t>
        </is>
      </c>
      <c r="R429" s="5" t="inlineStr">
        <is>
          <t>4</t>
        </is>
      </c>
      <c r="S429" s="5" t="inlineStr">
        <is>
          <t>1</t>
        </is>
      </c>
      <c r="T429" s="5" t="inlineStr">
        <is>
          <t>13</t>
        </is>
      </c>
      <c r="U429" s="5" t="inlineStr">
        <is>
          <t>OK</t>
        </is>
      </c>
    </row>
    <row r="430">
      <c r="A430" s="5" t="inlineStr">
        <is>
          <t>E01801</t>
        </is>
      </c>
      <c r="B430" s="5" t="inlineStr">
        <is>
          <t>Male</t>
        </is>
      </c>
      <c r="C430" s="6" t="inlineStr">
        <is>
          <t>29</t>
        </is>
      </c>
      <c r="D430" s="5" t="inlineStr">
        <is>
          <t>Married</t>
        </is>
      </c>
      <c r="E430" s="5" t="inlineStr">
        <is>
          <t>Bachelor</t>
        </is>
      </c>
      <c r="F430" s="5" t="inlineStr">
        <is>
          <t>Marketing</t>
        </is>
      </c>
      <c r="G430" s="5" t="inlineStr">
        <is>
          <t>Marketing Analyst</t>
        </is>
      </c>
      <c r="H430" s="5" t="inlineStr">
        <is>
          <t>3</t>
        </is>
      </c>
      <c r="I430" s="5" t="inlineStr">
        <is>
          <t>Chennai</t>
        </is>
      </c>
      <c r="J430" s="5" t="inlineStr">
        <is>
          <t>Full-Time</t>
        </is>
      </c>
      <c r="K430" s="7" t="n">
        <v>44540</v>
      </c>
      <c r="L430" s="7" t="inlineStr"/>
      <c r="M430" s="5" t="inlineStr">
        <is>
          <t>Yes</t>
        </is>
      </c>
      <c r="N430" s="5" t="inlineStr"/>
      <c r="O430" s="8" t="inlineStr">
        <is>
          <t>89500</t>
        </is>
      </c>
      <c r="P430" s="5" t="inlineStr">
        <is>
          <t>15</t>
        </is>
      </c>
      <c r="Q430" s="5" t="inlineStr">
        <is>
          <t>4</t>
        </is>
      </c>
      <c r="R430" s="5" t="inlineStr">
        <is>
          <t>5</t>
        </is>
      </c>
      <c r="S430" s="5" t="inlineStr">
        <is>
          <t>49</t>
        </is>
      </c>
      <c r="T430" s="5" t="inlineStr">
        <is>
          <t>4</t>
        </is>
      </c>
      <c r="U430" s="5" t="inlineStr">
        <is>
          <t>OK</t>
        </is>
      </c>
    </row>
    <row r="431">
      <c r="A431" s="5" t="inlineStr">
        <is>
          <t>E02234</t>
        </is>
      </c>
      <c r="B431" s="5" t="inlineStr">
        <is>
          <t>Female</t>
        </is>
      </c>
      <c r="C431" s="6" t="inlineStr">
        <is>
          <t>30</t>
        </is>
      </c>
      <c r="D431" s="5" t="inlineStr">
        <is>
          <t>Single</t>
        </is>
      </c>
      <c r="E431" s="5" t="inlineStr">
        <is>
          <t>Diploma</t>
        </is>
      </c>
      <c r="F431" s="5" t="inlineStr">
        <is>
          <t>Operations</t>
        </is>
      </c>
      <c r="G431" s="5" t="inlineStr">
        <is>
          <t>Operations Analyst</t>
        </is>
      </c>
      <c r="H431" s="5" t="inlineStr">
        <is>
          <t>2</t>
        </is>
      </c>
      <c r="I431" s="5" t="inlineStr">
        <is>
          <t>Chennai</t>
        </is>
      </c>
      <c r="J431" s="5" t="inlineStr">
        <is>
          <t>Full-Time</t>
        </is>
      </c>
      <c r="K431" s="7" t="n">
        <v>44565</v>
      </c>
      <c r="L431" s="7" t="inlineStr"/>
      <c r="M431" s="5" t="inlineStr">
        <is>
          <t>Yes</t>
        </is>
      </c>
      <c r="N431" s="5" t="inlineStr"/>
      <c r="O431" s="8" t="inlineStr">
        <is>
          <t>79500</t>
        </is>
      </c>
      <c r="P431" s="5" t="inlineStr">
        <is>
          <t>5</t>
        </is>
      </c>
      <c r="Q431" s="5" t="inlineStr">
        <is>
          <t>5</t>
        </is>
      </c>
      <c r="R431" s="5" t="inlineStr">
        <is>
          <t>8</t>
        </is>
      </c>
      <c r="S431" s="5" t="inlineStr">
        <is>
          <t>48</t>
        </is>
      </c>
      <c r="T431" s="5" t="inlineStr">
        <is>
          <t>14</t>
        </is>
      </c>
      <c r="U431" s="5" t="inlineStr">
        <is>
          <t>OK</t>
        </is>
      </c>
    </row>
    <row r="432">
      <c r="A432" s="5" t="inlineStr">
        <is>
          <t>E02669</t>
        </is>
      </c>
      <c r="B432" s="5" t="inlineStr">
        <is>
          <t>Female</t>
        </is>
      </c>
      <c r="C432" s="6" t="inlineStr">
        <is>
          <t>36</t>
        </is>
      </c>
      <c r="D432" s="5" t="inlineStr">
        <is>
          <t>Married</t>
        </is>
      </c>
      <c r="E432" s="5" t="inlineStr">
        <is>
          <t>PhD</t>
        </is>
      </c>
      <c r="F432" s="5" t="inlineStr">
        <is>
          <t>Research &amp; Development</t>
        </is>
      </c>
      <c r="G432" s="5" t="inlineStr">
        <is>
          <t>Research Scientist</t>
        </is>
      </c>
      <c r="H432" s="5" t="inlineStr">
        <is>
          <t>5</t>
        </is>
      </c>
      <c r="I432" s="5" t="inlineStr">
        <is>
          <t>Delhi</t>
        </is>
      </c>
      <c r="J432" s="5" t="inlineStr">
        <is>
          <t>Full-Time</t>
        </is>
      </c>
      <c r="K432" s="7" t="n">
        <v>44141</v>
      </c>
      <c r="L432" s="7" t="n">
        <v>44184</v>
      </c>
      <c r="M432" s="5" t="inlineStr">
        <is>
          <t>No</t>
        </is>
      </c>
      <c r="N432" s="5" t="inlineStr">
        <is>
          <t>Layoff</t>
        </is>
      </c>
      <c r="O432" s="8" t="inlineStr">
        <is>
          <t>213000</t>
        </is>
      </c>
      <c r="P432" s="5" t="inlineStr">
        <is>
          <t>10</t>
        </is>
      </c>
      <c r="Q432" s="5" t="inlineStr">
        <is>
          <t>5</t>
        </is>
      </c>
      <c r="R432" s="5" t="inlineStr">
        <is>
          <t>3</t>
        </is>
      </c>
      <c r="S432" s="5" t="inlineStr">
        <is>
          <t>1</t>
        </is>
      </c>
      <c r="T432" s="5" t="inlineStr">
        <is>
          <t>1</t>
        </is>
      </c>
      <c r="U432" s="5" t="inlineStr">
        <is>
          <t>OK</t>
        </is>
      </c>
    </row>
    <row r="433">
      <c r="A433" s="5" t="inlineStr">
        <is>
          <t>E00390</t>
        </is>
      </c>
      <c r="B433" s="5" t="inlineStr">
        <is>
          <t>Female</t>
        </is>
      </c>
      <c r="C433" s="6" t="inlineStr">
        <is>
          <t>35</t>
        </is>
      </c>
      <c r="D433" s="5" t="inlineStr">
        <is>
          <t>Married</t>
        </is>
      </c>
      <c r="E433" s="5" t="inlineStr">
        <is>
          <t>Master</t>
        </is>
      </c>
      <c r="F433" s="5" t="inlineStr">
        <is>
          <t>Marketing</t>
        </is>
      </c>
      <c r="G433" s="5" t="inlineStr">
        <is>
          <t>Marketing Analyst</t>
        </is>
      </c>
      <c r="H433" s="5" t="inlineStr">
        <is>
          <t>4</t>
        </is>
      </c>
      <c r="I433" s="5" t="inlineStr">
        <is>
          <t>Mumbai</t>
        </is>
      </c>
      <c r="J433" s="5" t="inlineStr">
        <is>
          <t>Full-Time</t>
        </is>
      </c>
      <c r="K433" s="7" t="n">
        <v>44163</v>
      </c>
      <c r="L433" s="7" t="inlineStr"/>
      <c r="M433" s="5" t="inlineStr">
        <is>
          <t>Yes</t>
        </is>
      </c>
      <c r="N433" s="5" t="inlineStr"/>
      <c r="O433" s="8" t="inlineStr">
        <is>
          <t>93000</t>
        </is>
      </c>
      <c r="P433" s="5" t="inlineStr">
        <is>
          <t>5</t>
        </is>
      </c>
      <c r="Q433" s="5" t="inlineStr">
        <is>
          <t>3</t>
        </is>
      </c>
      <c r="R433" s="5" t="inlineStr">
        <is>
          <t>5</t>
        </is>
      </c>
      <c r="S433" s="5" t="inlineStr">
        <is>
          <t>61</t>
        </is>
      </c>
      <c r="T433" s="5" t="inlineStr">
        <is>
          <t>9</t>
        </is>
      </c>
      <c r="U433" s="5" t="inlineStr">
        <is>
          <t>OK</t>
        </is>
      </c>
    </row>
    <row r="434">
      <c r="A434" s="5" t="inlineStr">
        <is>
          <t>E01220</t>
        </is>
      </c>
      <c r="B434" s="5" t="inlineStr">
        <is>
          <t>Female</t>
        </is>
      </c>
      <c r="C434" s="6" t="inlineStr">
        <is>
          <t>33</t>
        </is>
      </c>
      <c r="D434" s="5" t="inlineStr">
        <is>
          <t>Married</t>
        </is>
      </c>
      <c r="E434" s="5" t="inlineStr">
        <is>
          <t>PhD</t>
        </is>
      </c>
      <c r="F434" s="5" t="inlineStr">
        <is>
          <t>Operations</t>
        </is>
      </c>
      <c r="G434" s="5" t="inlineStr">
        <is>
          <t>Quality Analyst</t>
        </is>
      </c>
      <c r="H434" s="5" t="inlineStr">
        <is>
          <t>4</t>
        </is>
      </c>
      <c r="I434" s="5" t="inlineStr">
        <is>
          <t>Hyderabad</t>
        </is>
      </c>
      <c r="J434" s="5" t="inlineStr">
        <is>
          <t>Full-Time</t>
        </is>
      </c>
      <c r="K434" s="7" t="n">
        <v>44995</v>
      </c>
      <c r="L434" s="7" t="inlineStr"/>
      <c r="M434" s="5" t="inlineStr">
        <is>
          <t>Yes</t>
        </is>
      </c>
      <c r="N434" s="5" t="inlineStr"/>
      <c r="O434" s="8" t="inlineStr">
        <is>
          <t>119000</t>
        </is>
      </c>
      <c r="P434" s="5" t="inlineStr">
        <is>
          <t>10</t>
        </is>
      </c>
      <c r="Q434" s="5" t="inlineStr">
        <is>
          <t>2</t>
        </is>
      </c>
      <c r="R434" s="5" t="inlineStr">
        <is>
          <t>7</t>
        </is>
      </c>
      <c r="S434" s="5" t="inlineStr">
        <is>
          <t>34</t>
        </is>
      </c>
      <c r="T434" s="5" t="inlineStr">
        <is>
          <t>7</t>
        </is>
      </c>
      <c r="U434" s="5" t="inlineStr">
        <is>
          <t>OK</t>
        </is>
      </c>
    </row>
    <row r="435">
      <c r="A435" s="5" t="inlineStr">
        <is>
          <t>E00385</t>
        </is>
      </c>
      <c r="B435" s="5" t="inlineStr">
        <is>
          <t>Male</t>
        </is>
      </c>
      <c r="C435" s="6" t="inlineStr">
        <is>
          <t>35</t>
        </is>
      </c>
      <c r="D435" s="5" t="inlineStr">
        <is>
          <t>Single</t>
        </is>
      </c>
      <c r="E435" s="5" t="inlineStr">
        <is>
          <t>Diploma</t>
        </is>
      </c>
      <c r="F435" s="5" t="inlineStr">
        <is>
          <t>Operations</t>
        </is>
      </c>
      <c r="G435" s="5" t="inlineStr">
        <is>
          <t>Logistics Coordinator</t>
        </is>
      </c>
      <c r="H435" s="5" t="inlineStr">
        <is>
          <t>2</t>
        </is>
      </c>
      <c r="I435" s="5" t="inlineStr">
        <is>
          <t>Chennai</t>
        </is>
      </c>
      <c r="J435" s="5" t="inlineStr">
        <is>
          <t>Full-Time</t>
        </is>
      </c>
      <c r="K435" s="7" t="n">
        <v>44341</v>
      </c>
      <c r="L435" s="7" t="inlineStr"/>
      <c r="M435" s="5" t="inlineStr">
        <is>
          <t>Yes</t>
        </is>
      </c>
      <c r="N435" s="5" t="inlineStr"/>
      <c r="O435" s="8" t="inlineStr">
        <is>
          <t>80000</t>
        </is>
      </c>
      <c r="P435" s="5" t="inlineStr">
        <is>
          <t>5</t>
        </is>
      </c>
      <c r="Q435" s="5" t="inlineStr">
        <is>
          <t>3</t>
        </is>
      </c>
      <c r="R435" s="5" t="inlineStr">
        <is>
          <t>3</t>
        </is>
      </c>
      <c r="S435" s="5" t="inlineStr">
        <is>
          <t>56</t>
        </is>
      </c>
      <c r="T435" s="5" t="inlineStr">
        <is>
          <t>13</t>
        </is>
      </c>
      <c r="U435" s="5" t="inlineStr">
        <is>
          <t>OK</t>
        </is>
      </c>
    </row>
    <row r="436">
      <c r="A436" s="5" t="inlineStr">
        <is>
          <t>E01854</t>
        </is>
      </c>
      <c r="B436" s="5" t="inlineStr">
        <is>
          <t>female</t>
        </is>
      </c>
      <c r="C436" s="6" t="inlineStr">
        <is>
          <t>34</t>
        </is>
      </c>
      <c r="D436" s="5" t="inlineStr">
        <is>
          <t>Married</t>
        </is>
      </c>
      <c r="E436" s="5" t="inlineStr">
        <is>
          <t>High School</t>
        </is>
      </c>
      <c r="F436" s="5" t="inlineStr">
        <is>
          <t>Human Resources</t>
        </is>
      </c>
      <c r="G436" s="5" t="inlineStr">
        <is>
          <t>HR Generalist</t>
        </is>
      </c>
      <c r="H436" s="5" t="inlineStr">
        <is>
          <t>1</t>
        </is>
      </c>
      <c r="I436" s="5" t="inlineStr">
        <is>
          <t>Bengaluru</t>
        </is>
      </c>
      <c r="J436" s="5" t="inlineStr">
        <is>
          <t>Full-Time</t>
        </is>
      </c>
      <c r="K436" s="7" t="n">
        <v>45241</v>
      </c>
      <c r="L436" s="7" t="inlineStr"/>
      <c r="M436" s="5" t="inlineStr">
        <is>
          <t>Yes</t>
        </is>
      </c>
      <c r="N436" s="5" t="inlineStr"/>
      <c r="O436" s="8" t="inlineStr">
        <is>
          <t>63500</t>
        </is>
      </c>
      <c r="P436" s="5" t="inlineStr">
        <is>
          <t>5</t>
        </is>
      </c>
      <c r="Q436" s="5" t="inlineStr">
        <is>
          <t>2</t>
        </is>
      </c>
      <c r="R436" s="5" t="inlineStr">
        <is>
          <t>8</t>
        </is>
      </c>
      <c r="S436" s="5" t="inlineStr">
        <is>
          <t>26</t>
        </is>
      </c>
      <c r="T436" s="5" t="inlineStr">
        <is>
          <t>8</t>
        </is>
      </c>
      <c r="U436" s="5" t="inlineStr">
        <is>
          <t>OK</t>
        </is>
      </c>
    </row>
    <row r="437">
      <c r="A437" s="5" t="inlineStr">
        <is>
          <t>E02307</t>
        </is>
      </c>
      <c r="B437" s="5" t="inlineStr">
        <is>
          <t>female</t>
        </is>
      </c>
      <c r="C437" s="6" t="inlineStr">
        <is>
          <t>30</t>
        </is>
      </c>
      <c r="D437" s="5" t="inlineStr">
        <is>
          <t>Married</t>
        </is>
      </c>
      <c r="E437" s="5" t="inlineStr">
        <is>
          <t>High School</t>
        </is>
      </c>
      <c r="F437" s="5" t="inlineStr">
        <is>
          <t>Marketing</t>
        </is>
      </c>
      <c r="G437" s="5" t="inlineStr">
        <is>
          <t>Content Writer</t>
        </is>
      </c>
      <c r="H437" s="5" t="inlineStr">
        <is>
          <t>3</t>
        </is>
      </c>
      <c r="I437" s="5" t="inlineStr">
        <is>
          <t>Bengaluru</t>
        </is>
      </c>
      <c r="J437" s="5" t="inlineStr">
        <is>
          <t>Full-Time</t>
        </is>
      </c>
      <c r="K437" s="7" t="n">
        <v>43930</v>
      </c>
      <c r="L437" s="7" t="inlineStr"/>
      <c r="M437" s="5" t="inlineStr">
        <is>
          <t>Yes</t>
        </is>
      </c>
      <c r="N437" s="5" t="inlineStr"/>
      <c r="O437" s="8" t="inlineStr">
        <is>
          <t>109000</t>
        </is>
      </c>
      <c r="P437" s="5" t="inlineStr">
        <is>
          <t>10</t>
        </is>
      </c>
      <c r="Q437" s="5" t="inlineStr">
        <is>
          <t>3</t>
        </is>
      </c>
      <c r="R437" s="5" t="inlineStr">
        <is>
          <t>7</t>
        </is>
      </c>
      <c r="S437" s="5" t="inlineStr">
        <is>
          <t>69</t>
        </is>
      </c>
      <c r="T437" s="5" t="inlineStr">
        <is>
          <t>0</t>
        </is>
      </c>
      <c r="U437" s="5" t="inlineStr">
        <is>
          <t>OK</t>
        </is>
      </c>
    </row>
    <row r="438">
      <c r="A438" s="5" t="inlineStr">
        <is>
          <t>E00296</t>
        </is>
      </c>
      <c r="B438" s="5" t="inlineStr">
        <is>
          <t>Female</t>
        </is>
      </c>
      <c r="C438" s="6" t="inlineStr">
        <is>
          <t>32</t>
        </is>
      </c>
      <c r="D438" s="5" t="inlineStr">
        <is>
          <t>Single</t>
        </is>
      </c>
      <c r="E438" s="5" t="inlineStr">
        <is>
          <t>PhD</t>
        </is>
      </c>
      <c r="F438" s="5" t="inlineStr">
        <is>
          <t>Operations</t>
        </is>
      </c>
      <c r="G438" s="5" t="inlineStr">
        <is>
          <t>Operations Analyst</t>
        </is>
      </c>
      <c r="H438" s="5" t="inlineStr">
        <is>
          <t>1</t>
        </is>
      </c>
      <c r="I438" s="5" t="inlineStr">
        <is>
          <t>Remote</t>
        </is>
      </c>
      <c r="J438" s="5" t="inlineStr">
        <is>
          <t>Full-Time</t>
        </is>
      </c>
      <c r="K438" s="7" t="n">
        <v>45859</v>
      </c>
      <c r="L438" s="7" t="inlineStr"/>
      <c r="M438" s="5" t="inlineStr">
        <is>
          <t>Yes</t>
        </is>
      </c>
      <c r="N438" s="5" t="inlineStr"/>
      <c r="O438" s="8" t="inlineStr">
        <is>
          <t>63500</t>
        </is>
      </c>
      <c r="P438" s="5" t="inlineStr">
        <is>
          <t>10</t>
        </is>
      </c>
      <c r="Q438" s="5" t="inlineStr">
        <is>
          <t>4</t>
        </is>
      </c>
      <c r="R438" s="5" t="inlineStr">
        <is>
          <t>5</t>
        </is>
      </c>
      <c r="S438" s="5" t="inlineStr">
        <is>
          <t>5</t>
        </is>
      </c>
      <c r="T438" s="5" t="inlineStr">
        <is>
          <t>6</t>
        </is>
      </c>
      <c r="U438" s="5" t="inlineStr">
        <is>
          <t>OK</t>
        </is>
      </c>
    </row>
    <row r="439">
      <c r="A439" s="5" t="inlineStr">
        <is>
          <t>E00583</t>
        </is>
      </c>
      <c r="B439" s="5" t="inlineStr">
        <is>
          <t>Male</t>
        </is>
      </c>
      <c r="C439" s="6" t="inlineStr">
        <is>
          <t>34</t>
        </is>
      </c>
      <c r="D439" s="5" t="inlineStr">
        <is>
          <t>Divorced</t>
        </is>
      </c>
      <c r="E439" s="5" t="inlineStr">
        <is>
          <t>Bachelor</t>
        </is>
      </c>
      <c r="F439" s="5" t="inlineStr">
        <is>
          <t>Operations</t>
        </is>
      </c>
      <c r="G439" s="5" t="inlineStr">
        <is>
          <t>Operations Analyst</t>
        </is>
      </c>
      <c r="H439" s="5" t="inlineStr">
        <is>
          <t>4</t>
        </is>
      </c>
      <c r="I439" s="5" t="inlineStr">
        <is>
          <t>Mumbai</t>
        </is>
      </c>
      <c r="J439" s="5" t="inlineStr">
        <is>
          <t>Full-Time</t>
        </is>
      </c>
      <c r="K439" s="7" t="n">
        <v>45440</v>
      </c>
      <c r="L439" s="7" t="inlineStr"/>
      <c r="M439" s="5" t="inlineStr">
        <is>
          <t>Yes</t>
        </is>
      </c>
      <c r="N439" s="5" t="inlineStr"/>
      <c r="O439" s="8" t="inlineStr">
        <is>
          <t>129000</t>
        </is>
      </c>
      <c r="P439" s="5" t="inlineStr">
        <is>
          <t>10</t>
        </is>
      </c>
      <c r="Q439" s="5" t="inlineStr">
        <is>
          <t>3</t>
        </is>
      </c>
      <c r="R439" s="5" t="inlineStr">
        <is>
          <t>5</t>
        </is>
      </c>
      <c r="S439" s="5" t="inlineStr">
        <is>
          <t>19</t>
        </is>
      </c>
      <c r="T439" s="5" t="inlineStr">
        <is>
          <t>14</t>
        </is>
      </c>
      <c r="U439" s="5" t="inlineStr">
        <is>
          <t>OK</t>
        </is>
      </c>
    </row>
    <row r="440">
      <c r="A440" s="5" t="inlineStr">
        <is>
          <t>E00045</t>
        </is>
      </c>
      <c r="B440" s="5" t="inlineStr">
        <is>
          <t>Female</t>
        </is>
      </c>
      <c r="C440" s="6" t="inlineStr">
        <is>
          <t>35</t>
        </is>
      </c>
      <c r="D440" s="5" t="inlineStr">
        <is>
          <t>Single</t>
        </is>
      </c>
      <c r="E440" s="5" t="inlineStr">
        <is>
          <t>Bachelor</t>
        </is>
      </c>
      <c r="F440" s="5" t="inlineStr">
        <is>
          <t>Operations</t>
        </is>
      </c>
      <c r="G440" s="5" t="inlineStr">
        <is>
          <t>Quality Analyst</t>
        </is>
      </c>
      <c r="H440" s="5" t="inlineStr">
        <is>
          <t>3</t>
        </is>
      </c>
      <c r="I440" s="5" t="inlineStr">
        <is>
          <t>Mumbai</t>
        </is>
      </c>
      <c r="J440" s="5" t="inlineStr">
        <is>
          <t>Full-Time</t>
        </is>
      </c>
      <c r="K440" s="7" t="n">
        <v>44461</v>
      </c>
      <c r="L440" s="7" t="inlineStr"/>
      <c r="M440" s="5" t="inlineStr">
        <is>
          <t>Yes</t>
        </is>
      </c>
      <c r="N440" s="5" t="inlineStr"/>
      <c r="O440" s="8" t="inlineStr">
        <is>
          <t>76000</t>
        </is>
      </c>
      <c r="P440" s="5" t="inlineStr">
        <is>
          <t>10</t>
        </is>
      </c>
      <c r="Q440" s="5" t="inlineStr">
        <is>
          <t>5</t>
        </is>
      </c>
      <c r="R440" s="5" t="inlineStr">
        <is>
          <t>5</t>
        </is>
      </c>
      <c r="S440" s="5" t="inlineStr">
        <is>
          <t>52</t>
        </is>
      </c>
      <c r="T440" s="5" t="inlineStr">
        <is>
          <t>12</t>
        </is>
      </c>
      <c r="U440" s="5" t="inlineStr">
        <is>
          <t>OK</t>
        </is>
      </c>
    </row>
    <row r="441">
      <c r="A441" s="5" t="inlineStr">
        <is>
          <t>E02918</t>
        </is>
      </c>
      <c r="B441" s="5" t="inlineStr">
        <is>
          <t>Female</t>
        </is>
      </c>
      <c r="C441" s="6" t="inlineStr">
        <is>
          <t>43</t>
        </is>
      </c>
      <c r="D441" s="5" t="inlineStr">
        <is>
          <t>Married</t>
        </is>
      </c>
      <c r="E441" s="5" t="inlineStr">
        <is>
          <t>High School</t>
        </is>
      </c>
      <c r="F441" s="5" t="inlineStr">
        <is>
          <t>Operations</t>
        </is>
      </c>
      <c r="G441" s="5" t="inlineStr">
        <is>
          <t>Logistics Coordinator</t>
        </is>
      </c>
      <c r="H441" s="5" t="inlineStr">
        <is>
          <t>6</t>
        </is>
      </c>
      <c r="I441" s="5" t="inlineStr">
        <is>
          <t>Delhi</t>
        </is>
      </c>
      <c r="J441" s="5" t="inlineStr">
        <is>
          <t>Full-Time</t>
        </is>
      </c>
      <c r="K441" s="7" t="n">
        <v>45818</v>
      </c>
      <c r="L441" s="7" t="inlineStr"/>
      <c r="M441" s="5" t="inlineStr">
        <is>
          <t>Yes</t>
        </is>
      </c>
      <c r="N441" s="5" t="inlineStr"/>
      <c r="O441" s="8" t="inlineStr">
        <is>
          <t>140000</t>
        </is>
      </c>
      <c r="P441" s="5" t="inlineStr">
        <is>
          <t>0</t>
        </is>
      </c>
      <c r="Q441" s="5" t="inlineStr">
        <is>
          <t>3</t>
        </is>
      </c>
      <c r="R441" s="5" t="inlineStr">
        <is>
          <t>8</t>
        </is>
      </c>
      <c r="S441" s="5" t="inlineStr">
        <is>
          <t>6</t>
        </is>
      </c>
      <c r="T441" s="5" t="inlineStr">
        <is>
          <t>6</t>
        </is>
      </c>
      <c r="U441" s="5" t="inlineStr">
        <is>
          <t>OK</t>
        </is>
      </c>
    </row>
    <row r="442">
      <c r="A442" s="5" t="inlineStr">
        <is>
          <t>E01546</t>
        </is>
      </c>
      <c r="B442" s="5" t="inlineStr">
        <is>
          <t>Male</t>
        </is>
      </c>
      <c r="C442" s="6" t="inlineStr">
        <is>
          <t>34</t>
        </is>
      </c>
      <c r="D442" s="5" t="inlineStr">
        <is>
          <t>Single</t>
        </is>
      </c>
      <c r="E442" s="5" t="inlineStr">
        <is>
          <t>Diploma</t>
        </is>
      </c>
      <c r="F442" s="5" t="inlineStr">
        <is>
          <t>IT</t>
        </is>
      </c>
      <c r="G442" s="5" t="inlineStr">
        <is>
          <t>DevOps Engineer</t>
        </is>
      </c>
      <c r="H442" s="5" t="inlineStr">
        <is>
          <t>2</t>
        </is>
      </c>
      <c r="I442" s="5" t="inlineStr">
        <is>
          <t>Hyderabad</t>
        </is>
      </c>
      <c r="J442" s="5" t="inlineStr">
        <is>
          <t>Full-Time</t>
        </is>
      </c>
      <c r="K442" s="7" t="n">
        <v>44432</v>
      </c>
      <c r="L442" s="7" t="inlineStr"/>
      <c r="M442" s="5" t="inlineStr">
        <is>
          <t>Yes</t>
        </is>
      </c>
      <c r="N442" s="5" t="inlineStr"/>
      <c r="O442" s="8" t="inlineStr">
        <is>
          <t>158500</t>
        </is>
      </c>
      <c r="P442" s="5" t="inlineStr">
        <is>
          <t>0</t>
        </is>
      </c>
      <c r="Q442" s="5" t="inlineStr">
        <is>
          <t>2</t>
        </is>
      </c>
      <c r="R442" s="5" t="inlineStr">
        <is>
          <t>2</t>
        </is>
      </c>
      <c r="S442" s="5" t="inlineStr">
        <is>
          <t>53</t>
        </is>
      </c>
      <c r="T442" s="5" t="inlineStr">
        <is>
          <t>7</t>
        </is>
      </c>
      <c r="U442" s="5" t="inlineStr">
        <is>
          <t>OK</t>
        </is>
      </c>
    </row>
    <row r="443">
      <c r="A443" s="5" t="inlineStr">
        <is>
          <t>E00777</t>
        </is>
      </c>
      <c r="B443" s="5" t="inlineStr">
        <is>
          <t>Male</t>
        </is>
      </c>
      <c r="C443" s="6" t="inlineStr">
        <is>
          <t>28</t>
        </is>
      </c>
      <c r="D443" s="5" t="inlineStr">
        <is>
          <t>Married</t>
        </is>
      </c>
      <c r="E443" s="5" t="inlineStr">
        <is>
          <t>Master</t>
        </is>
      </c>
      <c r="F443" s="5" t="inlineStr">
        <is>
          <t>IT</t>
        </is>
      </c>
      <c r="G443" s="5" t="inlineStr">
        <is>
          <t>DevOps Engineer</t>
        </is>
      </c>
      <c r="H443" s="5" t="inlineStr">
        <is>
          <t>1</t>
        </is>
      </c>
      <c r="I443" s="5" t="inlineStr">
        <is>
          <t>Mumbai</t>
        </is>
      </c>
      <c r="J443" s="5" t="inlineStr">
        <is>
          <t>Full-Time</t>
        </is>
      </c>
      <c r="K443" s="7" t="n">
        <v>45620</v>
      </c>
      <c r="L443" s="7" t="inlineStr"/>
      <c r="M443" s="5" t="inlineStr">
        <is>
          <t>Yes</t>
        </is>
      </c>
      <c r="N443" s="5" t="inlineStr"/>
      <c r="O443" s="8" t="inlineStr">
        <is>
          <t>120500</t>
        </is>
      </c>
      <c r="P443" s="5" t="inlineStr">
        <is>
          <t>5</t>
        </is>
      </c>
      <c r="Q443" s="5" t="inlineStr">
        <is>
          <t>3</t>
        </is>
      </c>
      <c r="R443" s="5" t="inlineStr">
        <is>
          <t>5</t>
        </is>
      </c>
      <c r="S443" s="5" t="inlineStr">
        <is>
          <t>13</t>
        </is>
      </c>
      <c r="T443" s="5" t="inlineStr">
        <is>
          <t>4</t>
        </is>
      </c>
      <c r="U443" s="5" t="inlineStr">
        <is>
          <t>OK</t>
        </is>
      </c>
    </row>
    <row r="444">
      <c r="A444" s="5" t="inlineStr">
        <is>
          <t>E00313</t>
        </is>
      </c>
      <c r="B444" s="5" t="inlineStr">
        <is>
          <t>Female</t>
        </is>
      </c>
      <c r="C444" s="6" t="inlineStr">
        <is>
          <t>27</t>
        </is>
      </c>
      <c r="D444" s="5" t="inlineStr">
        <is>
          <t>Married</t>
        </is>
      </c>
      <c r="E444" s="5" t="inlineStr">
        <is>
          <t>Master</t>
        </is>
      </c>
      <c r="F444" s="5" t="inlineStr">
        <is>
          <t>Customer Support</t>
        </is>
      </c>
      <c r="G444" s="5" t="inlineStr">
        <is>
          <t>Escalation Specialist</t>
        </is>
      </c>
      <c r="H444" s="5" t="inlineStr">
        <is>
          <t>1</t>
        </is>
      </c>
      <c r="I444" s="5" t="inlineStr">
        <is>
          <t>Hyderabad</t>
        </is>
      </c>
      <c r="J444" s="5" t="inlineStr">
        <is>
          <t>Full-Time</t>
        </is>
      </c>
      <c r="K444" s="7" t="n">
        <v>45864</v>
      </c>
      <c r="L444" s="7" t="inlineStr"/>
      <c r="M444" s="5" t="inlineStr">
        <is>
          <t>Yes</t>
        </is>
      </c>
      <c r="N444" s="5" t="inlineStr"/>
      <c r="O444" s="8" t="inlineStr">
        <is>
          <t>69000</t>
        </is>
      </c>
      <c r="P444" s="5" t="inlineStr">
        <is>
          <t>0</t>
        </is>
      </c>
      <c r="Q444" s="5" t="inlineStr">
        <is>
          <t>4</t>
        </is>
      </c>
      <c r="R444" s="5" t="inlineStr">
        <is>
          <t>7</t>
        </is>
      </c>
      <c r="S444" s="5" t="inlineStr">
        <is>
          <t>5</t>
        </is>
      </c>
      <c r="T444" s="5" t="inlineStr">
        <is>
          <t>2</t>
        </is>
      </c>
      <c r="U444" s="5" t="inlineStr">
        <is>
          <t>OK</t>
        </is>
      </c>
    </row>
    <row r="445">
      <c r="A445" s="5" t="inlineStr">
        <is>
          <t>E00984</t>
        </is>
      </c>
      <c r="B445" s="5" t="inlineStr">
        <is>
          <t>Female</t>
        </is>
      </c>
      <c r="C445" s="6" t="inlineStr">
        <is>
          <t>46</t>
        </is>
      </c>
      <c r="D445" s="5" t="inlineStr">
        <is>
          <t>Married</t>
        </is>
      </c>
      <c r="E445" s="5" t="inlineStr">
        <is>
          <t>Diploma</t>
        </is>
      </c>
      <c r="F445" s="5" t="inlineStr">
        <is>
          <t>Customer Support</t>
        </is>
      </c>
      <c r="G445" s="5" t="inlineStr">
        <is>
          <t>Support Agent</t>
        </is>
      </c>
      <c r="H445" s="5" t="inlineStr">
        <is>
          <t>7</t>
        </is>
      </c>
      <c r="I445" s="5" t="inlineStr">
        <is>
          <t>Delhi</t>
        </is>
      </c>
      <c r="J445" s="5" t="inlineStr">
        <is>
          <t>Full-Time</t>
        </is>
      </c>
      <c r="K445" s="7" t="n">
        <v>44685</v>
      </c>
      <c r="L445" s="7" t="inlineStr"/>
      <c r="M445" s="5" t="inlineStr">
        <is>
          <t>Yes</t>
        </is>
      </c>
      <c r="N445" s="5" t="inlineStr"/>
      <c r="O445" s="8" t="inlineStr">
        <is>
          <t>110000</t>
        </is>
      </c>
      <c r="P445" s="5" t="inlineStr">
        <is>
          <t>10</t>
        </is>
      </c>
      <c r="Q445" s="5" t="inlineStr">
        <is>
          <t>2</t>
        </is>
      </c>
      <c r="R445" s="5" t="inlineStr">
        <is>
          <t>8</t>
        </is>
      </c>
      <c r="S445" s="5" t="inlineStr">
        <is>
          <t>44</t>
        </is>
      </c>
      <c r="T445" s="5" t="inlineStr">
        <is>
          <t>6</t>
        </is>
      </c>
      <c r="U445" s="5" t="inlineStr">
        <is>
          <t>OK</t>
        </is>
      </c>
    </row>
    <row r="446">
      <c r="A446" s="5" t="inlineStr">
        <is>
          <t>E00098</t>
        </is>
      </c>
      <c r="B446" s="5" t="inlineStr">
        <is>
          <t>Male</t>
        </is>
      </c>
      <c r="C446" s="6" t="inlineStr">
        <is>
          <t>26</t>
        </is>
      </c>
      <c r="D446" s="5" t="inlineStr">
        <is>
          <t>Divorced</t>
        </is>
      </c>
      <c r="E446" s="5" t="inlineStr">
        <is>
          <t>High School</t>
        </is>
      </c>
      <c r="F446" s="5" t="inlineStr">
        <is>
          <t>Operations</t>
        </is>
      </c>
      <c r="G446" s="5" t="inlineStr">
        <is>
          <t>Operations Analyst</t>
        </is>
      </c>
      <c r="H446" s="5" t="inlineStr">
        <is>
          <t>2</t>
        </is>
      </c>
      <c r="I446" s="5" t="inlineStr">
        <is>
          <t>Remote</t>
        </is>
      </c>
      <c r="J446" s="5" t="inlineStr">
        <is>
          <t>Full-Time</t>
        </is>
      </c>
      <c r="K446" s="7" t="n">
        <v>44922</v>
      </c>
      <c r="L446" s="7" t="n">
        <v>45000</v>
      </c>
      <c r="M446" s="5" t="inlineStr">
        <is>
          <t>No</t>
        </is>
      </c>
      <c r="N446" s="5" t="inlineStr">
        <is>
          <t>Resigned</t>
        </is>
      </c>
      <c r="O446" s="8" t="inlineStr">
        <is>
          <t>91000</t>
        </is>
      </c>
      <c r="P446" s="5" t="inlineStr">
        <is>
          <t>0</t>
        </is>
      </c>
      <c r="Q446" s="5" t="inlineStr">
        <is>
          <t>4</t>
        </is>
      </c>
      <c r="R446" s="5" t="inlineStr">
        <is>
          <t>4</t>
        </is>
      </c>
      <c r="S446" s="5" t="inlineStr">
        <is>
          <t>2</t>
        </is>
      </c>
      <c r="T446" s="5" t="inlineStr">
        <is>
          <t>10</t>
        </is>
      </c>
      <c r="U446" s="5" t="inlineStr">
        <is>
          <t>OK</t>
        </is>
      </c>
    </row>
    <row r="447">
      <c r="A447" s="5" t="inlineStr">
        <is>
          <t>E02979</t>
        </is>
      </c>
      <c r="B447" s="5" t="inlineStr">
        <is>
          <t>Female</t>
        </is>
      </c>
      <c r="C447" s="6" t="inlineStr">
        <is>
          <t>40</t>
        </is>
      </c>
      <c r="D447" s="5" t="inlineStr">
        <is>
          <t>Single</t>
        </is>
      </c>
      <c r="E447" s="5" t="inlineStr">
        <is>
          <t>PhD</t>
        </is>
      </c>
      <c r="F447" s="5" t="inlineStr">
        <is>
          <t>Operations</t>
        </is>
      </c>
      <c r="G447" s="5" t="inlineStr">
        <is>
          <t>Quality Analyst</t>
        </is>
      </c>
      <c r="H447" s="5" t="inlineStr">
        <is>
          <t>5</t>
        </is>
      </c>
      <c r="I447" s="5" t="inlineStr">
        <is>
          <t>Chennai</t>
        </is>
      </c>
      <c r="J447" s="5" t="inlineStr">
        <is>
          <t>Full-Time</t>
        </is>
      </c>
      <c r="K447" s="7" t="n">
        <v>45746</v>
      </c>
      <c r="L447" s="7" t="inlineStr"/>
      <c r="M447" s="5" t="inlineStr">
        <is>
          <t>Yes</t>
        </is>
      </c>
      <c r="N447" s="5" t="inlineStr"/>
      <c r="O447" s="8" t="inlineStr">
        <is>
          <t>121500</t>
        </is>
      </c>
      <c r="P447" s="5" t="inlineStr">
        <is>
          <t>5</t>
        </is>
      </c>
      <c r="Q447" s="5" t="inlineStr">
        <is>
          <t>5</t>
        </is>
      </c>
      <c r="R447" s="5" t="inlineStr">
        <is>
          <t>5</t>
        </is>
      </c>
      <c r="S447" s="5" t="inlineStr">
        <is>
          <t>9</t>
        </is>
      </c>
      <c r="T447" s="5" t="inlineStr">
        <is>
          <t>11</t>
        </is>
      </c>
      <c r="U447" s="5" t="inlineStr">
        <is>
          <t>OK</t>
        </is>
      </c>
    </row>
    <row r="448">
      <c r="A448" s="5" t="inlineStr">
        <is>
          <t>E02808</t>
        </is>
      </c>
      <c r="B448" s="5" t="inlineStr">
        <is>
          <t>Male</t>
        </is>
      </c>
      <c r="C448" s="6" t="inlineStr">
        <is>
          <t>28</t>
        </is>
      </c>
      <c r="D448" s="5" t="inlineStr">
        <is>
          <t>Single</t>
        </is>
      </c>
      <c r="E448" s="5" t="inlineStr">
        <is>
          <t>Master</t>
        </is>
      </c>
      <c r="F448" s="5" t="inlineStr">
        <is>
          <t>Operations</t>
        </is>
      </c>
      <c r="G448" s="5" t="inlineStr">
        <is>
          <t>Quality Analyst</t>
        </is>
      </c>
      <c r="H448" s="5" t="inlineStr">
        <is>
          <t>1</t>
        </is>
      </c>
      <c r="I448" s="5" t="inlineStr">
        <is>
          <t>Mumbai</t>
        </is>
      </c>
      <c r="J448" s="5" t="inlineStr">
        <is>
          <t>Full-Time</t>
        </is>
      </c>
      <c r="K448" s="7" t="n">
        <v>45144</v>
      </c>
      <c r="L448" s="7" t="inlineStr"/>
      <c r="M448" s="5" t="inlineStr">
        <is>
          <t>Yes</t>
        </is>
      </c>
      <c r="N448" s="5" t="inlineStr"/>
      <c r="O448" s="8" t="inlineStr">
        <is>
          <t>89000</t>
        </is>
      </c>
      <c r="P448" s="5" t="inlineStr">
        <is>
          <t>0</t>
        </is>
      </c>
      <c r="Q448" s="5" t="inlineStr">
        <is>
          <t>4</t>
        </is>
      </c>
      <c r="R448" s="5" t="inlineStr">
        <is>
          <t>7</t>
        </is>
      </c>
      <c r="S448" s="5" t="inlineStr">
        <is>
          <t>29</t>
        </is>
      </c>
      <c r="T448" s="5" t="inlineStr">
        <is>
          <t>0</t>
        </is>
      </c>
      <c r="U448" s="5" t="inlineStr">
        <is>
          <t>OK</t>
        </is>
      </c>
    </row>
    <row r="449">
      <c r="A449" s="5" t="inlineStr">
        <is>
          <t>E02258</t>
        </is>
      </c>
      <c r="B449" s="5" t="inlineStr">
        <is>
          <t>Female</t>
        </is>
      </c>
      <c r="C449" s="6" t="inlineStr">
        <is>
          <t>37</t>
        </is>
      </c>
      <c r="D449" s="5" t="inlineStr">
        <is>
          <t>Single</t>
        </is>
      </c>
      <c r="E449" s="5" t="inlineStr">
        <is>
          <t>Bachelor</t>
        </is>
      </c>
      <c r="F449" s="5" t="inlineStr">
        <is>
          <t>IT</t>
        </is>
      </c>
      <c r="G449" s="5" t="inlineStr">
        <is>
          <t>Data Analyst</t>
        </is>
      </c>
      <c r="H449" s="5" t="inlineStr">
        <is>
          <t>6</t>
        </is>
      </c>
      <c r="I449" s="5" t="inlineStr">
        <is>
          <t>Hyderabad</t>
        </is>
      </c>
      <c r="J449" s="5" t="inlineStr">
        <is>
          <t>Contract</t>
        </is>
      </c>
      <c r="K449" s="7" t="n">
        <v>45441</v>
      </c>
      <c r="L449" s="7" t="inlineStr"/>
      <c r="M449" s="5" t="inlineStr">
        <is>
          <t>Yes</t>
        </is>
      </c>
      <c r="N449" s="5" t="inlineStr"/>
      <c r="O449" s="8" t="inlineStr">
        <is>
          <t>239000</t>
        </is>
      </c>
      <c r="P449" s="5" t="inlineStr">
        <is>
          <t>15</t>
        </is>
      </c>
      <c r="Q449" s="5" t="inlineStr">
        <is>
          <t>4</t>
        </is>
      </c>
      <c r="R449" s="5" t="inlineStr">
        <is>
          <t>8</t>
        </is>
      </c>
      <c r="S449" s="5" t="inlineStr">
        <is>
          <t>19</t>
        </is>
      </c>
      <c r="T449" s="5" t="inlineStr">
        <is>
          <t>10</t>
        </is>
      </c>
      <c r="U449" s="5" t="inlineStr">
        <is>
          <t>OK</t>
        </is>
      </c>
    </row>
    <row r="450">
      <c r="A450" s="5" t="inlineStr">
        <is>
          <t>E01770</t>
        </is>
      </c>
      <c r="B450" s="5" t="inlineStr">
        <is>
          <t>Male</t>
        </is>
      </c>
      <c r="C450" s="6" t="inlineStr">
        <is>
          <t>32</t>
        </is>
      </c>
      <c r="D450" s="5" t="inlineStr">
        <is>
          <t>Married</t>
        </is>
      </c>
      <c r="E450" s="5" t="inlineStr">
        <is>
          <t>High School</t>
        </is>
      </c>
      <c r="F450" s="5" t="inlineStr">
        <is>
          <t>Sales</t>
        </is>
      </c>
      <c r="G450" s="5" t="inlineStr">
        <is>
          <t>Business Development</t>
        </is>
      </c>
      <c r="H450" s="5" t="inlineStr">
        <is>
          <t>2</t>
        </is>
      </c>
      <c r="I450" s="5" t="inlineStr">
        <is>
          <t>Bengaluru</t>
        </is>
      </c>
      <c r="J450" s="5" t="inlineStr">
        <is>
          <t>Full-Time</t>
        </is>
      </c>
      <c r="K450" s="7" t="n">
        <v>45954</v>
      </c>
      <c r="L450" s="7" t="n">
        <v>46021</v>
      </c>
      <c r="M450" s="5" t="inlineStr">
        <is>
          <t>No</t>
        </is>
      </c>
      <c r="N450" s="5" t="inlineStr">
        <is>
          <t>Resigned</t>
        </is>
      </c>
      <c r="O450" s="8" t="inlineStr">
        <is>
          <t>92500</t>
        </is>
      </c>
      <c r="P450" s="5" t="inlineStr">
        <is>
          <t>0</t>
        </is>
      </c>
      <c r="Q450" s="5" t="inlineStr">
        <is>
          <t>4</t>
        </is>
      </c>
      <c r="R450" s="5" t="inlineStr">
        <is>
          <t>3</t>
        </is>
      </c>
      <c r="S450" s="5" t="inlineStr">
        <is>
          <t>2</t>
        </is>
      </c>
      <c r="T450" s="5" t="inlineStr">
        <is>
          <t>8</t>
        </is>
      </c>
      <c r="U450" s="5" t="inlineStr">
        <is>
          <t>OK</t>
        </is>
      </c>
    </row>
    <row r="451">
      <c r="A451" s="5" t="inlineStr">
        <is>
          <t>E01699</t>
        </is>
      </c>
      <c r="B451" s="5" t="inlineStr">
        <is>
          <t>Female</t>
        </is>
      </c>
      <c r="C451" s="6" t="inlineStr">
        <is>
          <t>44</t>
        </is>
      </c>
      <c r="D451" s="5" t="inlineStr">
        <is>
          <t>Married</t>
        </is>
      </c>
      <c r="E451" s="5" t="inlineStr">
        <is>
          <t>Diploma</t>
        </is>
      </c>
      <c r="F451" s="5" t="inlineStr">
        <is>
          <t>Sales</t>
        </is>
      </c>
      <c r="G451" s="5" t="inlineStr">
        <is>
          <t>Business Development</t>
        </is>
      </c>
      <c r="H451" s="5" t="inlineStr">
        <is>
          <t>7</t>
        </is>
      </c>
      <c r="I451" s="5" t="inlineStr">
        <is>
          <t>Chennai</t>
        </is>
      </c>
      <c r="J451" s="5" t="inlineStr">
        <is>
          <t>Full-Time</t>
        </is>
      </c>
      <c r="K451" s="7" t="n">
        <v>45615</v>
      </c>
      <c r="L451" s="7" t="inlineStr"/>
      <c r="M451" s="5" t="inlineStr">
        <is>
          <t>Yes</t>
        </is>
      </c>
      <c r="N451" s="5" t="inlineStr"/>
      <c r="O451" s="8" t="inlineStr">
        <is>
          <t>158500</t>
        </is>
      </c>
      <c r="P451" s="5" t="inlineStr">
        <is>
          <t>15</t>
        </is>
      </c>
      <c r="Q451" s="5" t="inlineStr">
        <is>
          <t>5</t>
        </is>
      </c>
      <c r="R451" s="5" t="inlineStr">
        <is>
          <t>10</t>
        </is>
      </c>
      <c r="S451" s="5" t="inlineStr">
        <is>
          <t>13</t>
        </is>
      </c>
      <c r="T451" s="5" t="inlineStr">
        <is>
          <t>11</t>
        </is>
      </c>
      <c r="U451" s="5" t="inlineStr">
        <is>
          <t>OK</t>
        </is>
      </c>
    </row>
    <row r="452">
      <c r="A452" s="5" t="inlineStr">
        <is>
          <t>E01879</t>
        </is>
      </c>
      <c r="B452" s="5" t="inlineStr">
        <is>
          <t>Female</t>
        </is>
      </c>
      <c r="C452" s="6" t="inlineStr">
        <is>
          <t>29</t>
        </is>
      </c>
      <c r="D452" s="5" t="inlineStr">
        <is>
          <t>Single</t>
        </is>
      </c>
      <c r="E452" s="5" t="inlineStr">
        <is>
          <t>High School</t>
        </is>
      </c>
      <c r="F452" s="5" t="inlineStr">
        <is>
          <t>Sales</t>
        </is>
      </c>
      <c r="G452" s="5" t="inlineStr">
        <is>
          <t>Account Executive</t>
        </is>
      </c>
      <c r="H452" s="5" t="inlineStr">
        <is>
          <t>1</t>
        </is>
      </c>
      <c r="I452" s="5" t="inlineStr">
        <is>
          <t>Remote</t>
        </is>
      </c>
      <c r="J452" s="5" t="inlineStr">
        <is>
          <t>Full-Time</t>
        </is>
      </c>
      <c r="K452" s="7" t="n">
        <v>44300</v>
      </c>
      <c r="L452" s="7" t="inlineStr"/>
      <c r="M452" s="5" t="inlineStr">
        <is>
          <t>Yes</t>
        </is>
      </c>
      <c r="N452" s="5" t="inlineStr"/>
      <c r="O452" s="8" t="inlineStr">
        <is>
          <t>96000</t>
        </is>
      </c>
      <c r="P452" s="5" t="inlineStr">
        <is>
          <t>10</t>
        </is>
      </c>
      <c r="Q452" s="5" t="inlineStr">
        <is>
          <t>5</t>
        </is>
      </c>
      <c r="R452" s="5" t="inlineStr">
        <is>
          <t>6</t>
        </is>
      </c>
      <c r="S452" s="5" t="inlineStr">
        <is>
          <t>57</t>
        </is>
      </c>
      <c r="T452" s="5" t="inlineStr">
        <is>
          <t>0</t>
        </is>
      </c>
      <c r="U452" s="5" t="inlineStr">
        <is>
          <t>OK</t>
        </is>
      </c>
    </row>
    <row r="453">
      <c r="A453" s="5" t="inlineStr">
        <is>
          <t>E01765</t>
        </is>
      </c>
      <c r="B453" s="5" t="inlineStr">
        <is>
          <t>Female</t>
        </is>
      </c>
      <c r="C453" s="6" t="inlineStr">
        <is>
          <t>38</t>
        </is>
      </c>
      <c r="D453" s="5" t="inlineStr">
        <is>
          <t>Married</t>
        </is>
      </c>
      <c r="E453" s="5" t="inlineStr">
        <is>
          <t>PhD</t>
        </is>
      </c>
      <c r="F453" s="5" t="inlineStr">
        <is>
          <t>IT</t>
        </is>
      </c>
      <c r="G453" s="5" t="inlineStr">
        <is>
          <t>Software Engineer</t>
        </is>
      </c>
      <c r="H453" s="5" t="inlineStr">
        <is>
          <t>6</t>
        </is>
      </c>
      <c r="I453" s="5" t="inlineStr">
        <is>
          <t>Hyderabad</t>
        </is>
      </c>
      <c r="J453" s="5" t="inlineStr">
        <is>
          <t>Full-Time</t>
        </is>
      </c>
      <c r="K453" s="7" t="n">
        <v>44019</v>
      </c>
      <c r="L453" s="7" t="n">
        <v>44124</v>
      </c>
      <c r="M453" s="5" t="inlineStr">
        <is>
          <t>No</t>
        </is>
      </c>
      <c r="N453" s="5" t="inlineStr">
        <is>
          <t>Relocation</t>
        </is>
      </c>
      <c r="O453" s="8" t="inlineStr">
        <is>
          <t>197500</t>
        </is>
      </c>
      <c r="P453" s="5" t="inlineStr">
        <is>
          <t>20</t>
        </is>
      </c>
      <c r="Q453" s="5" t="inlineStr">
        <is>
          <t>3</t>
        </is>
      </c>
      <c r="R453" s="5" t="inlineStr">
        <is>
          <t>7</t>
        </is>
      </c>
      <c r="S453" s="5" t="inlineStr">
        <is>
          <t>3</t>
        </is>
      </c>
      <c r="T453" s="5" t="inlineStr">
        <is>
          <t>0</t>
        </is>
      </c>
      <c r="U453" s="5" t="inlineStr">
        <is>
          <t>OK</t>
        </is>
      </c>
    </row>
    <row r="454">
      <c r="A454" s="5" t="inlineStr">
        <is>
          <t>E02850</t>
        </is>
      </c>
      <c r="B454" s="5" t="inlineStr">
        <is>
          <t>Female</t>
        </is>
      </c>
      <c r="C454" s="6" t="inlineStr">
        <is>
          <t>32</t>
        </is>
      </c>
      <c r="D454" s="5" t="inlineStr">
        <is>
          <t>Married</t>
        </is>
      </c>
      <c r="E454" s="5" t="inlineStr">
        <is>
          <t>Master</t>
        </is>
      </c>
      <c r="F454" s="5" t="inlineStr">
        <is>
          <t>Human Resources</t>
        </is>
      </c>
      <c r="G454" s="5" t="inlineStr">
        <is>
          <t>HR Analyst</t>
        </is>
      </c>
      <c r="H454" s="5" t="inlineStr">
        <is>
          <t>2</t>
        </is>
      </c>
      <c r="I454" s="5" t="inlineStr">
        <is>
          <t>Hyderabad</t>
        </is>
      </c>
      <c r="J454" s="5" t="inlineStr">
        <is>
          <t>Full-Time</t>
        </is>
      </c>
      <c r="K454" s="7" t="n">
        <v>44226</v>
      </c>
      <c r="L454" s="7" t="inlineStr"/>
      <c r="M454" s="5" t="inlineStr">
        <is>
          <t>Yes</t>
        </is>
      </c>
      <c r="N454" s="5" t="inlineStr"/>
      <c r="O454" s="8" t="inlineStr">
        <is>
          <t>100500</t>
        </is>
      </c>
      <c r="P454" s="5" t="inlineStr">
        <is>
          <t>15</t>
        </is>
      </c>
      <c r="Q454" s="5" t="inlineStr">
        <is>
          <t>4</t>
        </is>
      </c>
      <c r="R454" s="5" t="inlineStr">
        <is>
          <t>6</t>
        </is>
      </c>
      <c r="S454" s="5" t="inlineStr">
        <is>
          <t>59</t>
        </is>
      </c>
      <c r="T454" s="5" t="inlineStr">
        <is>
          <t>18</t>
        </is>
      </c>
      <c r="U454" s="5" t="inlineStr">
        <is>
          <t>OK</t>
        </is>
      </c>
    </row>
    <row r="455">
      <c r="A455" s="5" t="inlineStr">
        <is>
          <t>E01882</t>
        </is>
      </c>
      <c r="B455" s="5" t="inlineStr">
        <is>
          <t>Female</t>
        </is>
      </c>
      <c r="C455" s="6" t="inlineStr">
        <is>
          <t>34</t>
        </is>
      </c>
      <c r="D455" s="5" t="inlineStr">
        <is>
          <t>Married</t>
        </is>
      </c>
      <c r="E455" s="5" t="inlineStr">
        <is>
          <t>Master</t>
        </is>
      </c>
      <c r="F455" s="5" t="inlineStr">
        <is>
          <t>Human Resources</t>
        </is>
      </c>
      <c r="G455" s="5" t="inlineStr">
        <is>
          <t>HR Generalist</t>
        </is>
      </c>
      <c r="H455" s="5" t="inlineStr">
        <is>
          <t>1</t>
        </is>
      </c>
      <c r="I455" s="5" t="inlineStr">
        <is>
          <t>Hyderabad</t>
        </is>
      </c>
      <c r="J455" s="5" t="inlineStr">
        <is>
          <t>Full-Time</t>
        </is>
      </c>
      <c r="K455" s="7" t="n">
        <v>44117</v>
      </c>
      <c r="L455" s="7" t="inlineStr"/>
      <c r="M455" s="5" t="inlineStr">
        <is>
          <t>Yes</t>
        </is>
      </c>
      <c r="N455" s="5" t="inlineStr"/>
      <c r="O455" s="8" t="inlineStr">
        <is>
          <t>62500</t>
        </is>
      </c>
      <c r="P455" s="5" t="inlineStr">
        <is>
          <t>10</t>
        </is>
      </c>
      <c r="Q455" s="5" t="inlineStr">
        <is>
          <t>4</t>
        </is>
      </c>
      <c r="R455" s="5" t="inlineStr">
        <is>
          <t>5</t>
        </is>
      </c>
      <c r="S455" s="5" t="inlineStr">
        <is>
          <t>63</t>
        </is>
      </c>
      <c r="T455" s="5" t="inlineStr">
        <is>
          <t>0</t>
        </is>
      </c>
      <c r="U455" s="5" t="inlineStr">
        <is>
          <t>OK</t>
        </is>
      </c>
    </row>
    <row r="456">
      <c r="A456" s="5" t="inlineStr">
        <is>
          <t>E01966</t>
        </is>
      </c>
      <c r="B456" s="5" t="inlineStr">
        <is>
          <t>Male</t>
        </is>
      </c>
      <c r="C456" s="6" t="inlineStr">
        <is>
          <t>25</t>
        </is>
      </c>
      <c r="D456" s="5" t="inlineStr">
        <is>
          <t>Married</t>
        </is>
      </c>
      <c r="E456" s="5" t="inlineStr">
        <is>
          <t>Bachelor</t>
        </is>
      </c>
      <c r="F456" s="5" t="inlineStr">
        <is>
          <t>Human Resources</t>
        </is>
      </c>
      <c r="G456" s="5" t="inlineStr">
        <is>
          <t>HR Analyst</t>
        </is>
      </c>
      <c r="H456" s="5" t="inlineStr">
        <is>
          <t>2</t>
        </is>
      </c>
      <c r="I456" s="5" t="inlineStr">
        <is>
          <t>Chennai</t>
        </is>
      </c>
      <c r="J456" s="5" t="inlineStr">
        <is>
          <t>Full-Time</t>
        </is>
      </c>
      <c r="K456" s="7" t="n">
        <v>45184</v>
      </c>
      <c r="L456" s="7" t="inlineStr"/>
      <c r="M456" s="5" t="inlineStr">
        <is>
          <t>Yes</t>
        </is>
      </c>
      <c r="N456" s="5" t="inlineStr"/>
      <c r="O456" s="8" t="inlineStr">
        <is>
          <t>112000</t>
        </is>
      </c>
      <c r="P456" s="5" t="inlineStr">
        <is>
          <t>15</t>
        </is>
      </c>
      <c r="Q456" s="5" t="inlineStr">
        <is>
          <t>3</t>
        </is>
      </c>
      <c r="R456" s="5" t="inlineStr">
        <is>
          <t>5</t>
        </is>
      </c>
      <c r="S456" s="5" t="inlineStr">
        <is>
          <t>27</t>
        </is>
      </c>
      <c r="T456" s="5" t="inlineStr">
        <is>
          <t>14</t>
        </is>
      </c>
      <c r="U456" s="5" t="inlineStr">
        <is>
          <t>OK</t>
        </is>
      </c>
    </row>
    <row r="457">
      <c r="A457" s="5" t="inlineStr">
        <is>
          <t>E02685</t>
        </is>
      </c>
      <c r="B457" s="5" t="inlineStr">
        <is>
          <t>Unknown</t>
        </is>
      </c>
      <c r="C457" s="6" t="inlineStr">
        <is>
          <t>30</t>
        </is>
      </c>
      <c r="D457" s="5" t="inlineStr">
        <is>
          <t>Married</t>
        </is>
      </c>
      <c r="E457" s="5" t="inlineStr">
        <is>
          <t>Diploma</t>
        </is>
      </c>
      <c r="F457" s="5" t="inlineStr">
        <is>
          <t>IT</t>
        </is>
      </c>
      <c r="G457" s="5" t="inlineStr">
        <is>
          <t>Software Engineer</t>
        </is>
      </c>
      <c r="H457" s="5" t="inlineStr">
        <is>
          <t>1</t>
        </is>
      </c>
      <c r="I457" s="5" t="inlineStr">
        <is>
          <t>Hyderabad</t>
        </is>
      </c>
      <c r="J457" s="5" t="inlineStr">
        <is>
          <t>Full-Time</t>
        </is>
      </c>
      <c r="K457" s="7" t="n">
        <v>44838</v>
      </c>
      <c r="L457" s="7" t="n">
        <v>44978</v>
      </c>
      <c r="M457" s="5" t="inlineStr">
        <is>
          <t>No</t>
        </is>
      </c>
      <c r="N457" s="5" t="inlineStr">
        <is>
          <t>Resigned</t>
        </is>
      </c>
      <c r="O457" s="8" t="inlineStr">
        <is>
          <t>144000</t>
        </is>
      </c>
      <c r="P457" s="5" t="inlineStr">
        <is>
          <t>20</t>
        </is>
      </c>
      <c r="Q457" s="5" t="inlineStr">
        <is>
          <t>4</t>
        </is>
      </c>
      <c r="R457" s="5" t="inlineStr">
        <is>
          <t>6</t>
        </is>
      </c>
      <c r="S457" s="5" t="inlineStr">
        <is>
          <t>4</t>
        </is>
      </c>
      <c r="T457" s="5" t="inlineStr">
        <is>
          <t>2</t>
        </is>
      </c>
      <c r="U457" s="5" t="inlineStr">
        <is>
          <t>Bad gender</t>
        </is>
      </c>
    </row>
    <row r="458">
      <c r="A458" s="5" t="inlineStr">
        <is>
          <t>E00916</t>
        </is>
      </c>
      <c r="B458" s="5" t="inlineStr">
        <is>
          <t>Female</t>
        </is>
      </c>
      <c r="C458" s="6" t="inlineStr">
        <is>
          <t>41</t>
        </is>
      </c>
      <c r="D458" s="5" t="inlineStr">
        <is>
          <t>Married</t>
        </is>
      </c>
      <c r="E458" s="5" t="inlineStr">
        <is>
          <t>Master</t>
        </is>
      </c>
      <c r="F458" s="5" t="inlineStr">
        <is>
          <t>Research &amp; Development</t>
        </is>
      </c>
      <c r="G458" s="5" t="inlineStr">
        <is>
          <t>Product Engineer</t>
        </is>
      </c>
      <c r="H458" s="5" t="inlineStr">
        <is>
          <t>5</t>
        </is>
      </c>
      <c r="I458" s="5" t="inlineStr">
        <is>
          <t>Delhi</t>
        </is>
      </c>
      <c r="J458" s="5" t="inlineStr">
        <is>
          <t>Full-Time</t>
        </is>
      </c>
      <c r="K458" s="7" t="n">
        <v>44850</v>
      </c>
      <c r="L458" s="7" t="inlineStr"/>
      <c r="M458" s="5" t="inlineStr">
        <is>
          <t>Yes</t>
        </is>
      </c>
      <c r="N458" s="5" t="inlineStr"/>
      <c r="O458" s="8" t="inlineStr">
        <is>
          <t>168500</t>
        </is>
      </c>
      <c r="P458" s="5" t="inlineStr">
        <is>
          <t>10</t>
        </is>
      </c>
      <c r="Q458" s="5" t="inlineStr">
        <is>
          <t>4</t>
        </is>
      </c>
      <c r="R458" s="5" t="inlineStr">
        <is>
          <t>5</t>
        </is>
      </c>
      <c r="S458" s="5" t="inlineStr">
        <is>
          <t>39</t>
        </is>
      </c>
      <c r="T458" s="5" t="inlineStr">
        <is>
          <t>9</t>
        </is>
      </c>
      <c r="U458" s="5" t="inlineStr">
        <is>
          <t>OK</t>
        </is>
      </c>
    </row>
    <row r="459">
      <c r="A459" s="5" t="inlineStr">
        <is>
          <t>E00546</t>
        </is>
      </c>
      <c r="B459" s="5" t="inlineStr">
        <is>
          <t>Female</t>
        </is>
      </c>
      <c r="C459" s="6" t="inlineStr">
        <is>
          <t>26</t>
        </is>
      </c>
      <c r="D459" s="5" t="inlineStr">
        <is>
          <t>Married</t>
        </is>
      </c>
      <c r="E459" s="5" t="inlineStr">
        <is>
          <t>Bachelor</t>
        </is>
      </c>
      <c r="F459" s="5" t="inlineStr">
        <is>
          <t>Sales</t>
        </is>
      </c>
      <c r="G459" s="5" t="inlineStr">
        <is>
          <t>Sales Executive</t>
        </is>
      </c>
      <c r="H459" s="5" t="inlineStr">
        <is>
          <t>1</t>
        </is>
      </c>
      <c r="I459" s="5" t="inlineStr">
        <is>
          <t>Delhi</t>
        </is>
      </c>
      <c r="J459" s="5" t="inlineStr">
        <is>
          <t>Full-Time</t>
        </is>
      </c>
      <c r="K459" s="7" t="n">
        <v>44676</v>
      </c>
      <c r="L459" s="7" t="n">
        <v>44747</v>
      </c>
      <c r="M459" s="5" t="inlineStr">
        <is>
          <t>No</t>
        </is>
      </c>
      <c r="N459" s="5" t="inlineStr">
        <is>
          <t>Retirement</t>
        </is>
      </c>
      <c r="O459" s="8" t="inlineStr">
        <is>
          <t>92000</t>
        </is>
      </c>
      <c r="P459" s="5" t="inlineStr">
        <is>
          <t>5</t>
        </is>
      </c>
      <c r="Q459" s="5" t="inlineStr">
        <is>
          <t>3</t>
        </is>
      </c>
      <c r="R459" s="5" t="inlineStr">
        <is>
          <t>4</t>
        </is>
      </c>
      <c r="S459" s="5" t="inlineStr">
        <is>
          <t>2</t>
        </is>
      </c>
      <c r="T459" s="5" t="inlineStr">
        <is>
          <t>7</t>
        </is>
      </c>
      <c r="U459" s="5" t="inlineStr">
        <is>
          <t>OK</t>
        </is>
      </c>
    </row>
    <row r="460">
      <c r="A460" s="5" t="inlineStr">
        <is>
          <t>E02430</t>
        </is>
      </c>
      <c r="B460" s="5" t="inlineStr">
        <is>
          <t>Female</t>
        </is>
      </c>
      <c r="C460" s="6" t="inlineStr">
        <is>
          <t>32</t>
        </is>
      </c>
      <c r="D460" s="5" t="inlineStr">
        <is>
          <t>Married</t>
        </is>
      </c>
      <c r="E460" s="5" t="inlineStr">
        <is>
          <t>PhD</t>
        </is>
      </c>
      <c r="F460" s="5" t="inlineStr">
        <is>
          <t>IT</t>
        </is>
      </c>
      <c r="G460" s="5" t="inlineStr">
        <is>
          <t>Software Engineer</t>
        </is>
      </c>
      <c r="H460" s="5" t="inlineStr">
        <is>
          <t>2</t>
        </is>
      </c>
      <c r="I460" s="5" t="inlineStr">
        <is>
          <t>Remote</t>
        </is>
      </c>
      <c r="J460" s="5" t="inlineStr">
        <is>
          <t>Full-Time</t>
        </is>
      </c>
      <c r="K460" s="7" t="n">
        <v>44107</v>
      </c>
      <c r="L460" s="7" t="inlineStr"/>
      <c r="M460" s="5" t="inlineStr">
        <is>
          <t>Yes</t>
        </is>
      </c>
      <c r="N460" s="5" t="inlineStr"/>
      <c r="O460" s="8" t="inlineStr">
        <is>
          <t>99500</t>
        </is>
      </c>
      <c r="P460" s="5" t="inlineStr">
        <is>
          <t>0</t>
        </is>
      </c>
      <c r="Q460" s="5" t="inlineStr">
        <is>
          <t>4</t>
        </is>
      </c>
      <c r="R460" s="5" t="inlineStr">
        <is>
          <t>8</t>
        </is>
      </c>
      <c r="S460" s="5" t="inlineStr">
        <is>
          <t>63</t>
        </is>
      </c>
      <c r="T460" s="5" t="inlineStr">
        <is>
          <t>13</t>
        </is>
      </c>
      <c r="U460" s="5" t="inlineStr">
        <is>
          <t>OK</t>
        </is>
      </c>
    </row>
    <row r="461">
      <c r="A461" s="5" t="inlineStr">
        <is>
          <t>E00377</t>
        </is>
      </c>
      <c r="B461" s="5" t="inlineStr">
        <is>
          <t>Male</t>
        </is>
      </c>
      <c r="C461" s="6" t="inlineStr">
        <is>
          <t>44</t>
        </is>
      </c>
      <c r="D461" s="5" t="inlineStr">
        <is>
          <t>Married</t>
        </is>
      </c>
      <c r="E461" s="5" t="inlineStr">
        <is>
          <t>Diploma</t>
        </is>
      </c>
      <c r="F461" s="5" t="inlineStr">
        <is>
          <t>Customer Support</t>
        </is>
      </c>
      <c r="G461" s="5" t="inlineStr">
        <is>
          <t>Escalation Specialist</t>
        </is>
      </c>
      <c r="H461" s="5" t="inlineStr">
        <is>
          <t>6</t>
        </is>
      </c>
      <c r="I461" s="5" t="inlineStr">
        <is>
          <t>Bengaluru</t>
        </is>
      </c>
      <c r="J461" s="5" t="inlineStr">
        <is>
          <t>Full-Time</t>
        </is>
      </c>
      <c r="K461" s="7" t="n">
        <v>44932</v>
      </c>
      <c r="L461" s="7" t="inlineStr"/>
      <c r="M461" s="5" t="inlineStr">
        <is>
          <t>Yes</t>
        </is>
      </c>
      <c r="N461" s="5" t="inlineStr"/>
      <c r="O461" s="8" t="inlineStr">
        <is>
          <t>98500</t>
        </is>
      </c>
      <c r="P461" s="5" t="inlineStr">
        <is>
          <t>15</t>
        </is>
      </c>
      <c r="Q461" s="5" t="inlineStr">
        <is>
          <t>5</t>
        </is>
      </c>
      <c r="R461" s="5" t="inlineStr">
        <is>
          <t>5</t>
        </is>
      </c>
      <c r="S461" s="5" t="inlineStr">
        <is>
          <t>36</t>
        </is>
      </c>
      <c r="T461" s="5" t="inlineStr">
        <is>
          <t>0</t>
        </is>
      </c>
      <c r="U461" s="5" t="inlineStr">
        <is>
          <t>OK</t>
        </is>
      </c>
    </row>
    <row r="462">
      <c r="A462" s="5" t="inlineStr">
        <is>
          <t>E01305</t>
        </is>
      </c>
      <c r="B462" s="5" t="inlineStr">
        <is>
          <t>Male</t>
        </is>
      </c>
      <c r="C462" s="6" t="inlineStr">
        <is>
          <t>33</t>
        </is>
      </c>
      <c r="D462" s="5" t="inlineStr">
        <is>
          <t>Married</t>
        </is>
      </c>
      <c r="E462" s="5" t="inlineStr">
        <is>
          <t>PhD</t>
        </is>
      </c>
      <c r="F462" s="5" t="inlineStr">
        <is>
          <t>Customer Support</t>
        </is>
      </c>
      <c r="G462" s="5" t="inlineStr">
        <is>
          <t>Support Agent</t>
        </is>
      </c>
      <c r="H462" s="5" t="inlineStr">
        <is>
          <t>1</t>
        </is>
      </c>
      <c r="I462" s="5" t="inlineStr">
        <is>
          <t>Hyderabad</t>
        </is>
      </c>
      <c r="J462" s="5" t="inlineStr">
        <is>
          <t>Full-Time</t>
        </is>
      </c>
      <c r="K462" s="7" t="n">
        <v>43897</v>
      </c>
      <c r="L462" s="7" t="inlineStr"/>
      <c r="M462" s="5" t="inlineStr">
        <is>
          <t>Yes</t>
        </is>
      </c>
      <c r="N462" s="5" t="inlineStr"/>
      <c r="O462" s="8" t="inlineStr">
        <is>
          <t>41000</t>
        </is>
      </c>
      <c r="P462" s="5" t="inlineStr">
        <is>
          <t>0</t>
        </is>
      </c>
      <c r="Q462" s="5" t="inlineStr">
        <is>
          <t>3</t>
        </is>
      </c>
      <c r="R462" s="5" t="inlineStr">
        <is>
          <t>7</t>
        </is>
      </c>
      <c r="S462" s="5" t="inlineStr">
        <is>
          <t>70</t>
        </is>
      </c>
      <c r="T462" s="5" t="inlineStr">
        <is>
          <t>17</t>
        </is>
      </c>
      <c r="U462" s="5" t="inlineStr">
        <is>
          <t>OK</t>
        </is>
      </c>
    </row>
    <row r="463">
      <c r="A463" s="5" t="inlineStr">
        <is>
          <t>E01659</t>
        </is>
      </c>
      <c r="B463" s="5" t="inlineStr">
        <is>
          <t>Male</t>
        </is>
      </c>
      <c r="C463" s="6" t="inlineStr">
        <is>
          <t>37</t>
        </is>
      </c>
      <c r="D463" s="5" t="inlineStr">
        <is>
          <t>Married</t>
        </is>
      </c>
      <c r="E463" s="5" t="inlineStr">
        <is>
          <t>High School</t>
        </is>
      </c>
      <c r="F463" s="5" t="inlineStr">
        <is>
          <t>Executive</t>
        </is>
      </c>
      <c r="G463" s="5" t="inlineStr">
        <is>
          <t>COO</t>
        </is>
      </c>
      <c r="H463" s="5" t="inlineStr">
        <is>
          <t>7</t>
        </is>
      </c>
      <c r="I463" s="5" t="inlineStr">
        <is>
          <t>Bengaluru</t>
        </is>
      </c>
      <c r="J463" s="5" t="inlineStr">
        <is>
          <t>Full-Time</t>
        </is>
      </c>
      <c r="K463" s="7" t="n">
        <v>45741</v>
      </c>
      <c r="L463" s="7" t="inlineStr"/>
      <c r="M463" s="5" t="inlineStr">
        <is>
          <t>Yes</t>
        </is>
      </c>
      <c r="N463" s="5" t="inlineStr"/>
      <c r="O463" s="8" t="inlineStr">
        <is>
          <t>292000</t>
        </is>
      </c>
      <c r="P463" s="5" t="inlineStr">
        <is>
          <t>20</t>
        </is>
      </c>
      <c r="Q463" s="5" t="inlineStr">
        <is>
          <t>5</t>
        </is>
      </c>
      <c r="R463" s="5" t="inlineStr">
        <is>
          <t>3</t>
        </is>
      </c>
      <c r="S463" s="5" t="inlineStr">
        <is>
          <t>9</t>
        </is>
      </c>
      <c r="T463" s="5" t="inlineStr">
        <is>
          <t>5</t>
        </is>
      </c>
      <c r="U463" s="5" t="inlineStr">
        <is>
          <t>OK</t>
        </is>
      </c>
    </row>
    <row r="464">
      <c r="A464" s="5" t="inlineStr">
        <is>
          <t>E00553</t>
        </is>
      </c>
      <c r="B464" s="5" t="inlineStr">
        <is>
          <t>Female</t>
        </is>
      </c>
      <c r="C464" s="6" t="inlineStr">
        <is>
          <t>35</t>
        </is>
      </c>
      <c r="D464" s="5" t="inlineStr">
        <is>
          <t>Married</t>
        </is>
      </c>
      <c r="E464" s="5" t="inlineStr">
        <is>
          <t>Master</t>
        </is>
      </c>
      <c r="F464" s="5" t="inlineStr">
        <is>
          <t>Operations</t>
        </is>
      </c>
      <c r="G464" s="5" t="inlineStr">
        <is>
          <t>Logistics Coordinator</t>
        </is>
      </c>
      <c r="H464" s="5" t="inlineStr">
        <is>
          <t>2</t>
        </is>
      </c>
      <c r="I464" s="5" t="inlineStr">
        <is>
          <t>Chennai</t>
        </is>
      </c>
      <c r="J464" s="5" t="inlineStr">
        <is>
          <t>Full-Time</t>
        </is>
      </c>
      <c r="K464" s="7" t="n">
        <v>45965</v>
      </c>
      <c r="L464" s="7" t="inlineStr"/>
      <c r="M464" s="5" t="inlineStr">
        <is>
          <t>Yes</t>
        </is>
      </c>
      <c r="N464" s="5" t="inlineStr"/>
      <c r="O464" s="8" t="inlineStr">
        <is>
          <t>83500</t>
        </is>
      </c>
      <c r="P464" s="5" t="inlineStr">
        <is>
          <t>10</t>
        </is>
      </c>
      <c r="Q464" s="5" t="inlineStr">
        <is>
          <t>5</t>
        </is>
      </c>
      <c r="R464" s="5" t="inlineStr">
        <is>
          <t>8</t>
        </is>
      </c>
      <c r="S464" s="5" t="inlineStr">
        <is>
          <t>1</t>
        </is>
      </c>
      <c r="T464" s="5" t="inlineStr">
        <is>
          <t>11</t>
        </is>
      </c>
      <c r="U464" s="5" t="inlineStr">
        <is>
          <t>OK</t>
        </is>
      </c>
    </row>
    <row r="465">
      <c r="A465" s="5" t="inlineStr">
        <is>
          <t>E00092</t>
        </is>
      </c>
      <c r="B465" s="5" t="inlineStr">
        <is>
          <t>Male</t>
        </is>
      </c>
      <c r="C465" s="6" t="inlineStr">
        <is>
          <t>42</t>
        </is>
      </c>
      <c r="D465" s="5" t="inlineStr">
        <is>
          <t>Married</t>
        </is>
      </c>
      <c r="E465" s="5" t="inlineStr">
        <is>
          <t>PhD</t>
        </is>
      </c>
      <c r="F465" s="5" t="inlineStr">
        <is>
          <t>Sales</t>
        </is>
      </c>
      <c r="G465" s="5" t="inlineStr">
        <is>
          <t>Account Executive</t>
        </is>
      </c>
      <c r="H465" s="5" t="inlineStr">
        <is>
          <t>7</t>
        </is>
      </c>
      <c r="I465" s="5" t="inlineStr">
        <is>
          <t>Bengaluru</t>
        </is>
      </c>
      <c r="J465" s="5" t="inlineStr">
        <is>
          <t>Full-Time</t>
        </is>
      </c>
      <c r="K465" s="7" t="n">
        <v>44754</v>
      </c>
      <c r="L465" s="7" t="inlineStr"/>
      <c r="M465" s="5" t="inlineStr">
        <is>
          <t>Yes</t>
        </is>
      </c>
      <c r="N465" s="5" t="inlineStr"/>
      <c r="O465" s="8" t="inlineStr">
        <is>
          <t>154500</t>
        </is>
      </c>
      <c r="P465" s="5" t="inlineStr">
        <is>
          <t>0</t>
        </is>
      </c>
      <c r="Q465" s="5" t="inlineStr">
        <is>
          <t>5</t>
        </is>
      </c>
      <c r="R465" s="5" t="inlineStr">
        <is>
          <t>7</t>
        </is>
      </c>
      <c r="S465" s="5" t="inlineStr">
        <is>
          <t>42</t>
        </is>
      </c>
      <c r="T465" s="5" t="inlineStr">
        <is>
          <t>6</t>
        </is>
      </c>
      <c r="U465" s="5" t="inlineStr">
        <is>
          <t>OK</t>
        </is>
      </c>
    </row>
    <row r="466">
      <c r="A466" s="5" t="inlineStr">
        <is>
          <t>E02368</t>
        </is>
      </c>
      <c r="B466" s="5" t="inlineStr">
        <is>
          <t>Female</t>
        </is>
      </c>
      <c r="C466" s="6" t="inlineStr">
        <is>
          <t>36</t>
        </is>
      </c>
      <c r="D466" s="5" t="inlineStr">
        <is>
          <t>Married</t>
        </is>
      </c>
      <c r="E466" s="5" t="inlineStr">
        <is>
          <t>PhD</t>
        </is>
      </c>
      <c r="F466" s="5" t="inlineStr">
        <is>
          <t>Operations</t>
        </is>
      </c>
      <c r="G466" s="5" t="inlineStr">
        <is>
          <t>Quality Analyst</t>
        </is>
      </c>
      <c r="H466" s="5" t="inlineStr">
        <is>
          <t>6</t>
        </is>
      </c>
      <c r="I466" s="5" t="inlineStr">
        <is>
          <t>Remote</t>
        </is>
      </c>
      <c r="J466" s="5" t="inlineStr">
        <is>
          <t>Full-Time</t>
        </is>
      </c>
      <c r="K466" s="7" t="n">
        <v>44635</v>
      </c>
      <c r="L466" s="7" t="inlineStr"/>
      <c r="M466" s="5" t="inlineStr">
        <is>
          <t>Yes</t>
        </is>
      </c>
      <c r="N466" s="5" t="inlineStr"/>
      <c r="O466" s="8" t="inlineStr">
        <is>
          <t>96500</t>
        </is>
      </c>
      <c r="P466" s="5" t="inlineStr">
        <is>
          <t>0</t>
        </is>
      </c>
      <c r="Q466" s="5" t="inlineStr">
        <is>
          <t>3</t>
        </is>
      </c>
      <c r="R466" s="5" t="inlineStr">
        <is>
          <t>5</t>
        </is>
      </c>
      <c r="S466" s="5" t="inlineStr">
        <is>
          <t>46</t>
        </is>
      </c>
      <c r="T466" s="5" t="inlineStr">
        <is>
          <t>15</t>
        </is>
      </c>
      <c r="U466" s="5" t="inlineStr">
        <is>
          <t>OK</t>
        </is>
      </c>
    </row>
    <row r="467">
      <c r="A467" s="5" t="inlineStr">
        <is>
          <t>E00588</t>
        </is>
      </c>
      <c r="B467" s="5" t="inlineStr">
        <is>
          <t>Female</t>
        </is>
      </c>
      <c r="C467" s="6" t="inlineStr">
        <is>
          <t>29</t>
        </is>
      </c>
      <c r="D467" s="5" t="inlineStr">
        <is>
          <t>Single</t>
        </is>
      </c>
      <c r="E467" s="5" t="inlineStr">
        <is>
          <t>Diploma</t>
        </is>
      </c>
      <c r="F467" s="5" t="inlineStr">
        <is>
          <t>Customer Support</t>
        </is>
      </c>
      <c r="G467" s="5" t="inlineStr">
        <is>
          <t>Escalation Specialist</t>
        </is>
      </c>
      <c r="H467" s="5" t="inlineStr">
        <is>
          <t>1</t>
        </is>
      </c>
      <c r="I467" s="5" t="inlineStr">
        <is>
          <t>Delhi</t>
        </is>
      </c>
      <c r="J467" s="5" t="inlineStr">
        <is>
          <t>Full-Time</t>
        </is>
      </c>
      <c r="K467" s="7" t="n">
        <v>45417</v>
      </c>
      <c r="L467" s="7" t="inlineStr"/>
      <c r="M467" s="5" t="inlineStr">
        <is>
          <t>Yes</t>
        </is>
      </c>
      <c r="N467" s="5" t="inlineStr"/>
      <c r="O467" s="8" t="inlineStr">
        <is>
          <t>65000</t>
        </is>
      </c>
      <c r="P467" s="5" t="inlineStr">
        <is>
          <t>0</t>
        </is>
      </c>
      <c r="Q467" s="5" t="inlineStr">
        <is>
          <t>4</t>
        </is>
      </c>
      <c r="R467" s="5" t="inlineStr">
        <is>
          <t>6</t>
        </is>
      </c>
      <c r="S467" s="5" t="inlineStr">
        <is>
          <t>20</t>
        </is>
      </c>
      <c r="T467" s="5" t="inlineStr">
        <is>
          <t>5</t>
        </is>
      </c>
      <c r="U467" s="5" t="inlineStr">
        <is>
          <t>OK</t>
        </is>
      </c>
    </row>
    <row r="468">
      <c r="A468" s="5" t="inlineStr">
        <is>
          <t>E01202</t>
        </is>
      </c>
      <c r="B468" s="5" t="inlineStr">
        <is>
          <t>Female</t>
        </is>
      </c>
      <c r="C468" s="6" t="inlineStr">
        <is>
          <t>31</t>
        </is>
      </c>
      <c r="D468" s="5" t="inlineStr">
        <is>
          <t>Single</t>
        </is>
      </c>
      <c r="E468" s="5" t="inlineStr">
        <is>
          <t>Bachelor</t>
        </is>
      </c>
      <c r="F468" s="5" t="inlineStr">
        <is>
          <t>Sales</t>
        </is>
      </c>
      <c r="G468" s="5" t="inlineStr">
        <is>
          <t>Account Executive</t>
        </is>
      </c>
      <c r="H468" s="5" t="inlineStr">
        <is>
          <t>3</t>
        </is>
      </c>
      <c r="I468" s="5" t="inlineStr">
        <is>
          <t>Chennai</t>
        </is>
      </c>
      <c r="J468" s="5" t="inlineStr">
        <is>
          <t>Full-Time</t>
        </is>
      </c>
      <c r="K468" s="7" t="n">
        <v>45619</v>
      </c>
      <c r="L468" s="7" t="inlineStr"/>
      <c r="M468" s="5" t="inlineStr">
        <is>
          <t>Yes</t>
        </is>
      </c>
      <c r="N468" s="5" t="inlineStr"/>
      <c r="O468" s="8" t="inlineStr">
        <is>
          <t>126500</t>
        </is>
      </c>
      <c r="P468" s="5" t="inlineStr">
        <is>
          <t>0</t>
        </is>
      </c>
      <c r="Q468" s="5" t="inlineStr">
        <is>
          <t>3</t>
        </is>
      </c>
      <c r="R468" s="5" t="inlineStr">
        <is>
          <t>8</t>
        </is>
      </c>
      <c r="S468" s="5" t="inlineStr">
        <is>
          <t>13</t>
        </is>
      </c>
      <c r="T468" s="5" t="inlineStr">
        <is>
          <t>8</t>
        </is>
      </c>
      <c r="U468" s="5" t="inlineStr">
        <is>
          <t>OK</t>
        </is>
      </c>
    </row>
    <row r="469">
      <c r="A469" s="5" t="inlineStr">
        <is>
          <t>E02314</t>
        </is>
      </c>
      <c r="B469" s="5" t="inlineStr">
        <is>
          <t>Male</t>
        </is>
      </c>
      <c r="C469" s="6" t="inlineStr">
        <is>
          <t>250</t>
        </is>
      </c>
      <c r="D469" s="5" t="inlineStr">
        <is>
          <t>Single</t>
        </is>
      </c>
      <c r="E469" s="5" t="inlineStr">
        <is>
          <t>Bachelor</t>
        </is>
      </c>
      <c r="F469" s="5" t="inlineStr">
        <is>
          <t>IT</t>
        </is>
      </c>
      <c r="G469" s="5" t="inlineStr">
        <is>
          <t>IT Support</t>
        </is>
      </c>
      <c r="H469" s="5" t="inlineStr">
        <is>
          <t>5</t>
        </is>
      </c>
      <c r="I469" s="5" t="inlineStr">
        <is>
          <t>Mumbai</t>
        </is>
      </c>
      <c r="J469" s="5" t="inlineStr">
        <is>
          <t>Contract</t>
        </is>
      </c>
      <c r="K469" s="7" t="n">
        <v>44095</v>
      </c>
      <c r="L469" s="7" t="inlineStr"/>
      <c r="M469" s="5" t="inlineStr">
        <is>
          <t>Yes</t>
        </is>
      </c>
      <c r="N469" s="5" t="inlineStr"/>
      <c r="O469" s="8" t="inlineStr">
        <is>
          <t>206500</t>
        </is>
      </c>
      <c r="P469" s="5" t="inlineStr">
        <is>
          <t>10</t>
        </is>
      </c>
      <c r="Q469" s="5" t="inlineStr">
        <is>
          <t>3</t>
        </is>
      </c>
      <c r="R469" s="5" t="inlineStr">
        <is>
          <t>8</t>
        </is>
      </c>
      <c r="S469" s="5" t="inlineStr">
        <is>
          <t>64</t>
        </is>
      </c>
      <c r="T469" s="5" t="inlineStr">
        <is>
          <t>17</t>
        </is>
      </c>
      <c r="U469" s="5" t="inlineStr">
        <is>
          <t>Age typo</t>
        </is>
      </c>
    </row>
    <row r="470">
      <c r="A470" s="5" t="inlineStr">
        <is>
          <t>E01198</t>
        </is>
      </c>
      <c r="B470" s="5" t="inlineStr">
        <is>
          <t>Female</t>
        </is>
      </c>
      <c r="C470" s="6" t="inlineStr">
        <is>
          <t>30</t>
        </is>
      </c>
      <c r="D470" s="5" t="inlineStr">
        <is>
          <t>Married</t>
        </is>
      </c>
      <c r="E470" s="5" t="inlineStr">
        <is>
          <t>Master</t>
        </is>
      </c>
      <c r="F470" s="5" t="inlineStr">
        <is>
          <t>Human Resources</t>
        </is>
      </c>
      <c r="G470" s="5" t="inlineStr">
        <is>
          <t>Recruiter</t>
        </is>
      </c>
      <c r="H470" s="5" t="inlineStr">
        <is>
          <t>2</t>
        </is>
      </c>
      <c r="I470" s="5" t="inlineStr">
        <is>
          <t>Mumbai</t>
        </is>
      </c>
      <c r="J470" s="5" t="inlineStr">
        <is>
          <t>Full-Time</t>
        </is>
      </c>
      <c r="K470" s="7" t="n">
        <v>45788</v>
      </c>
      <c r="L470" s="7" t="inlineStr"/>
      <c r="M470" s="5" t="inlineStr">
        <is>
          <t>Yes</t>
        </is>
      </c>
      <c r="N470" s="5" t="inlineStr"/>
      <c r="O470" s="8" t="inlineStr">
        <is>
          <t>65000</t>
        </is>
      </c>
      <c r="P470" s="5" t="inlineStr">
        <is>
          <t>0</t>
        </is>
      </c>
      <c r="Q470" s="5" t="inlineStr">
        <is>
          <t>5</t>
        </is>
      </c>
      <c r="R470" s="5" t="inlineStr">
        <is>
          <t>7</t>
        </is>
      </c>
      <c r="S470" s="5" t="inlineStr">
        <is>
          <t>7</t>
        </is>
      </c>
      <c r="T470" s="5" t="inlineStr">
        <is>
          <t>6</t>
        </is>
      </c>
      <c r="U470" s="5" t="inlineStr">
        <is>
          <t>OK</t>
        </is>
      </c>
    </row>
    <row r="471">
      <c r="A471" s="5" t="inlineStr">
        <is>
          <t>E00145</t>
        </is>
      </c>
      <c r="B471" s="5" t="inlineStr">
        <is>
          <t>Female</t>
        </is>
      </c>
      <c r="C471" s="6" t="inlineStr">
        <is>
          <t>36</t>
        </is>
      </c>
      <c r="D471" s="5" t="inlineStr">
        <is>
          <t>Married</t>
        </is>
      </c>
      <c r="E471" s="5" t="inlineStr">
        <is>
          <t>Bachelor</t>
        </is>
      </c>
      <c r="F471" s="5" t="inlineStr">
        <is>
          <t>Operations</t>
        </is>
      </c>
      <c r="G471" s="5" t="inlineStr">
        <is>
          <t>Logistics Coordinator</t>
        </is>
      </c>
      <c r="H471" s="5" t="inlineStr">
        <is>
          <t>3</t>
        </is>
      </c>
      <c r="I471" s="5" t="inlineStr">
        <is>
          <t>Hyderabad</t>
        </is>
      </c>
      <c r="J471" s="5" t="inlineStr">
        <is>
          <t>Full-Time</t>
        </is>
      </c>
      <c r="K471" s="7" t="n">
        <v>45932</v>
      </c>
      <c r="L471" s="7" t="inlineStr"/>
      <c r="M471" s="5" t="inlineStr">
        <is>
          <t>Yes</t>
        </is>
      </c>
      <c r="N471" s="5" t="inlineStr"/>
      <c r="O471" s="8" t="inlineStr">
        <is>
          <t>101500</t>
        </is>
      </c>
      <c r="P471" s="5" t="inlineStr">
        <is>
          <t>15</t>
        </is>
      </c>
      <c r="Q471" s="5" t="inlineStr">
        <is>
          <t>5</t>
        </is>
      </c>
      <c r="R471" s="5" t="inlineStr">
        <is>
          <t>6</t>
        </is>
      </c>
      <c r="S471" s="5" t="inlineStr">
        <is>
          <t>3</t>
        </is>
      </c>
      <c r="T471" s="5" t="inlineStr">
        <is>
          <t>2</t>
        </is>
      </c>
      <c r="U471" s="5" t="inlineStr">
        <is>
          <t>OK</t>
        </is>
      </c>
    </row>
    <row r="472">
      <c r="A472" s="5" t="inlineStr">
        <is>
          <t>E00842</t>
        </is>
      </c>
      <c r="B472" s="5" t="inlineStr">
        <is>
          <t>Male</t>
        </is>
      </c>
      <c r="C472" s="6" t="inlineStr">
        <is>
          <t>42</t>
        </is>
      </c>
      <c r="D472" s="5" t="inlineStr">
        <is>
          <t>Married</t>
        </is>
      </c>
      <c r="E472" s="5" t="inlineStr">
        <is>
          <t>High School</t>
        </is>
      </c>
      <c r="F472" s="5" t="inlineStr">
        <is>
          <t>IT</t>
        </is>
      </c>
      <c r="G472" s="5" t="inlineStr">
        <is>
          <t>Software Engineer</t>
        </is>
      </c>
      <c r="H472" s="5" t="inlineStr">
        <is>
          <t>6</t>
        </is>
      </c>
      <c r="I472" s="5" t="inlineStr">
        <is>
          <t>Remote</t>
        </is>
      </c>
      <c r="J472" s="5" t="inlineStr">
        <is>
          <t>Part-Time</t>
        </is>
      </c>
      <c r="K472" s="7" t="n">
        <v>45306</v>
      </c>
      <c r="L472" s="7" t="inlineStr"/>
      <c r="M472" s="5" t="inlineStr">
        <is>
          <t>Yes</t>
        </is>
      </c>
      <c r="N472" s="5" t="inlineStr"/>
      <c r="O472" s="8" t="inlineStr">
        <is>
          <t>238000</t>
        </is>
      </c>
      <c r="P472" s="5" t="inlineStr">
        <is>
          <t>10</t>
        </is>
      </c>
      <c r="Q472" s="5" t="inlineStr">
        <is>
          <t>5</t>
        </is>
      </c>
      <c r="R472" s="5" t="inlineStr">
        <is>
          <t>6</t>
        </is>
      </c>
      <c r="S472" s="5" t="inlineStr">
        <is>
          <t>23</t>
        </is>
      </c>
      <c r="T472" s="5" t="inlineStr">
        <is>
          <t>0</t>
        </is>
      </c>
      <c r="U472" s="5" t="inlineStr">
        <is>
          <t>OK</t>
        </is>
      </c>
    </row>
    <row r="473">
      <c r="A473" s="5" t="inlineStr">
        <is>
          <t>E01428</t>
        </is>
      </c>
      <c r="B473" s="5" t="inlineStr">
        <is>
          <t>Female</t>
        </is>
      </c>
      <c r="C473" s="6" t="inlineStr">
        <is>
          <t>29</t>
        </is>
      </c>
      <c r="D473" s="5" t="inlineStr">
        <is>
          <t>Married</t>
        </is>
      </c>
      <c r="E473" s="5" t="inlineStr">
        <is>
          <t>High School</t>
        </is>
      </c>
      <c r="F473" s="5" t="inlineStr">
        <is>
          <t>Marketing</t>
        </is>
      </c>
      <c r="G473" s="5" t="inlineStr">
        <is>
          <t>Marketing Analyst</t>
        </is>
      </c>
      <c r="H473" s="5" t="inlineStr">
        <is>
          <t>1</t>
        </is>
      </c>
      <c r="I473" s="5" t="inlineStr">
        <is>
          <t>Bengaluru</t>
        </is>
      </c>
      <c r="J473" s="5" t="inlineStr">
        <is>
          <t>Part-Time</t>
        </is>
      </c>
      <c r="K473" s="7" t="n">
        <v>44898</v>
      </c>
      <c r="L473" s="7" t="inlineStr"/>
      <c r="M473" s="5" t="inlineStr">
        <is>
          <t>Yes</t>
        </is>
      </c>
      <c r="N473" s="5" t="inlineStr"/>
      <c r="O473" s="8" t="inlineStr">
        <is>
          <t>59000</t>
        </is>
      </c>
      <c r="P473" s="5" t="inlineStr">
        <is>
          <t>0</t>
        </is>
      </c>
      <c r="Q473" s="5" t="inlineStr">
        <is>
          <t>4</t>
        </is>
      </c>
      <c r="R473" s="5" t="inlineStr">
        <is>
          <t>9</t>
        </is>
      </c>
      <c r="S473" s="5" t="inlineStr">
        <is>
          <t>37</t>
        </is>
      </c>
      <c r="T473" s="5" t="inlineStr">
        <is>
          <t>0</t>
        </is>
      </c>
      <c r="U473" s="5" t="inlineStr">
        <is>
          <t>OK</t>
        </is>
      </c>
    </row>
    <row r="474">
      <c r="A474" s="5" t="inlineStr">
        <is>
          <t>E02496</t>
        </is>
      </c>
      <c r="B474" s="5" t="inlineStr">
        <is>
          <t>Female</t>
        </is>
      </c>
      <c r="C474" s="6" t="inlineStr">
        <is>
          <t>41</t>
        </is>
      </c>
      <c r="D474" s="5" t="inlineStr">
        <is>
          <t>Married</t>
        </is>
      </c>
      <c r="E474" s="5" t="inlineStr">
        <is>
          <t>High School</t>
        </is>
      </c>
      <c r="F474" s="5" t="inlineStr">
        <is>
          <t>Operations</t>
        </is>
      </c>
      <c r="G474" s="5" t="inlineStr">
        <is>
          <t>Quality Analyst</t>
        </is>
      </c>
      <c r="H474" s="5" t="inlineStr">
        <is>
          <t>5</t>
        </is>
      </c>
      <c r="I474" s="5" t="inlineStr">
        <is>
          <t>Mumbai</t>
        </is>
      </c>
      <c r="J474" s="5" t="inlineStr">
        <is>
          <t>Full-Time</t>
        </is>
      </c>
      <c r="K474" s="7" t="n">
        <v>44923</v>
      </c>
      <c r="L474" s="7" t="n">
        <v>45065</v>
      </c>
      <c r="M474" s="5" t="inlineStr">
        <is>
          <t>No</t>
        </is>
      </c>
      <c r="N474" s="5" t="inlineStr">
        <is>
          <t>Performance / Termination</t>
        </is>
      </c>
      <c r="O474" s="8" t="inlineStr">
        <is>
          <t>108500</t>
        </is>
      </c>
      <c r="P474" s="5" t="inlineStr">
        <is>
          <t>10</t>
        </is>
      </c>
      <c r="Q474" s="5" t="inlineStr">
        <is>
          <t>3</t>
        </is>
      </c>
      <c r="R474" s="5" t="inlineStr">
        <is>
          <t>7</t>
        </is>
      </c>
      <c r="S474" s="5" t="inlineStr">
        <is>
          <t>4</t>
        </is>
      </c>
      <c r="T474" s="5" t="inlineStr">
        <is>
          <t>1</t>
        </is>
      </c>
      <c r="U474" s="5" t="inlineStr">
        <is>
          <t>OK</t>
        </is>
      </c>
    </row>
    <row r="475">
      <c r="A475" s="5" t="inlineStr">
        <is>
          <t>E00347</t>
        </is>
      </c>
      <c r="B475" s="5" t="inlineStr">
        <is>
          <t>Male</t>
        </is>
      </c>
      <c r="C475" s="6" t="inlineStr">
        <is>
          <t>33</t>
        </is>
      </c>
      <c r="D475" s="5" t="inlineStr">
        <is>
          <t>Married</t>
        </is>
      </c>
      <c r="E475" s="5" t="inlineStr">
        <is>
          <t>Diploma</t>
        </is>
      </c>
      <c r="F475" s="5" t="inlineStr">
        <is>
          <t>Research &amp; Development</t>
        </is>
      </c>
      <c r="G475" s="5" t="inlineStr">
        <is>
          <t>Research Scientist</t>
        </is>
      </c>
      <c r="H475" s="5" t="inlineStr">
        <is>
          <t>2</t>
        </is>
      </c>
      <c r="I475" s="5" t="inlineStr">
        <is>
          <t>Bengaluru</t>
        </is>
      </c>
      <c r="J475" s="5" t="inlineStr">
        <is>
          <t>Full-Time</t>
        </is>
      </c>
      <c r="K475" s="7" t="n">
        <v>44050</v>
      </c>
      <c r="L475" s="7" t="inlineStr"/>
      <c r="M475" s="5" t="inlineStr">
        <is>
          <t>Yes</t>
        </is>
      </c>
      <c r="N475" s="5" t="inlineStr"/>
      <c r="O475" s="8" t="inlineStr">
        <is>
          <t>184500</t>
        </is>
      </c>
      <c r="P475" s="5" t="inlineStr">
        <is>
          <t>15</t>
        </is>
      </c>
      <c r="Q475" s="5" t="inlineStr">
        <is>
          <t>3</t>
        </is>
      </c>
      <c r="R475" s="5" t="inlineStr">
        <is>
          <t>6</t>
        </is>
      </c>
      <c r="S475" s="5" t="inlineStr">
        <is>
          <t>65</t>
        </is>
      </c>
      <c r="T475" s="5" t="inlineStr">
        <is>
          <t>0</t>
        </is>
      </c>
      <c r="U475" s="5" t="inlineStr">
        <is>
          <t>OK</t>
        </is>
      </c>
    </row>
    <row r="476">
      <c r="A476" s="5" t="inlineStr">
        <is>
          <t>E02522</t>
        </is>
      </c>
      <c r="B476" s="5" t="inlineStr">
        <is>
          <t>Male</t>
        </is>
      </c>
      <c r="C476" s="6" t="inlineStr">
        <is>
          <t>30</t>
        </is>
      </c>
      <c r="D476" s="5" t="inlineStr">
        <is>
          <t>Single</t>
        </is>
      </c>
      <c r="E476" s="5" t="inlineStr">
        <is>
          <t>PhD</t>
        </is>
      </c>
      <c r="F476" s="5" t="inlineStr">
        <is>
          <t>Operations</t>
        </is>
      </c>
      <c r="G476" s="5" t="inlineStr">
        <is>
          <t>Quality Analyst</t>
        </is>
      </c>
      <c r="H476" s="5" t="inlineStr">
        <is>
          <t>1</t>
        </is>
      </c>
      <c r="I476" s="5" t="inlineStr">
        <is>
          <t>Mumbai</t>
        </is>
      </c>
      <c r="J476" s="5" t="inlineStr">
        <is>
          <t>Full-Time</t>
        </is>
      </c>
      <c r="K476" s="7" t="n">
        <v>44631</v>
      </c>
      <c r="L476" s="7" t="inlineStr"/>
      <c r="M476" s="5" t="inlineStr">
        <is>
          <t>Yes</t>
        </is>
      </c>
      <c r="N476" s="5" t="inlineStr"/>
      <c r="O476" s="8" t="inlineStr">
        <is>
          <t>91500</t>
        </is>
      </c>
      <c r="P476" s="5" t="inlineStr">
        <is>
          <t>0</t>
        </is>
      </c>
      <c r="Q476" s="5" t="inlineStr">
        <is>
          <t>4</t>
        </is>
      </c>
      <c r="R476" s="5" t="inlineStr">
        <is>
          <t>6</t>
        </is>
      </c>
      <c r="S476" s="5" t="inlineStr">
        <is>
          <t>46</t>
        </is>
      </c>
      <c r="T476" s="5" t="inlineStr">
        <is>
          <t>8</t>
        </is>
      </c>
      <c r="U476" s="5" t="inlineStr">
        <is>
          <t>OK</t>
        </is>
      </c>
    </row>
    <row r="477">
      <c r="A477" s="5" t="inlineStr">
        <is>
          <t>E00964</t>
        </is>
      </c>
      <c r="B477" s="5" t="inlineStr">
        <is>
          <t>Female</t>
        </is>
      </c>
      <c r="C477" s="6" t="inlineStr">
        <is>
          <t>36</t>
        </is>
      </c>
      <c r="D477" s="5" t="inlineStr">
        <is>
          <t>Married</t>
        </is>
      </c>
      <c r="E477" s="5" t="inlineStr">
        <is>
          <t>Master</t>
        </is>
      </c>
      <c r="F477" s="5" t="inlineStr">
        <is>
          <t>Marketing</t>
        </is>
      </c>
      <c r="G477" s="5" t="inlineStr">
        <is>
          <t>Content Writer</t>
        </is>
      </c>
      <c r="H477" s="5" t="inlineStr">
        <is>
          <t>7</t>
        </is>
      </c>
      <c r="I477" s="5" t="inlineStr">
        <is>
          <t>Bengaluru</t>
        </is>
      </c>
      <c r="J477" s="5" t="inlineStr">
        <is>
          <t>Full-Time</t>
        </is>
      </c>
      <c r="K477" s="7" t="n">
        <v>44846</v>
      </c>
      <c r="L477" s="7" t="inlineStr"/>
      <c r="M477" s="5" t="inlineStr">
        <is>
          <t>Yes</t>
        </is>
      </c>
      <c r="N477" s="5" t="inlineStr"/>
      <c r="O477" s="8" t="inlineStr">
        <is>
          <t>135500</t>
        </is>
      </c>
      <c r="P477" s="5" t="inlineStr">
        <is>
          <t>0</t>
        </is>
      </c>
      <c r="Q477" s="5" t="inlineStr">
        <is>
          <t>3</t>
        </is>
      </c>
      <c r="R477" s="5" t="inlineStr">
        <is>
          <t>3</t>
        </is>
      </c>
      <c r="S477" s="5" t="inlineStr">
        <is>
          <t>39</t>
        </is>
      </c>
      <c r="T477" s="5" t="inlineStr">
        <is>
          <t>5</t>
        </is>
      </c>
      <c r="U477" s="5" t="inlineStr">
        <is>
          <t>OK</t>
        </is>
      </c>
    </row>
    <row r="478">
      <c r="A478" s="5" t="inlineStr">
        <is>
          <t>E01495</t>
        </is>
      </c>
      <c r="B478" s="5" t="inlineStr">
        <is>
          <t>Male</t>
        </is>
      </c>
      <c r="C478" s="6" t="inlineStr">
        <is>
          <t>44</t>
        </is>
      </c>
      <c r="D478" s="5" t="inlineStr">
        <is>
          <t>Married</t>
        </is>
      </c>
      <c r="E478" s="5" t="inlineStr">
        <is>
          <t>High School</t>
        </is>
      </c>
      <c r="F478" s="5" t="inlineStr">
        <is>
          <t>Sales</t>
        </is>
      </c>
      <c r="G478" s="5" t="inlineStr">
        <is>
          <t>Business Development</t>
        </is>
      </c>
      <c r="H478" s="5" t="inlineStr">
        <is>
          <t>6</t>
        </is>
      </c>
      <c r="I478" s="5" t="inlineStr">
        <is>
          <t>Delhi</t>
        </is>
      </c>
      <c r="J478" s="5" t="inlineStr">
        <is>
          <t>Full-Time</t>
        </is>
      </c>
      <c r="K478" s="7" t="n">
        <v>44995</v>
      </c>
      <c r="L478" s="7" t="inlineStr"/>
      <c r="M478" s="5" t="inlineStr">
        <is>
          <t>Yes</t>
        </is>
      </c>
      <c r="N478" s="5" t="inlineStr"/>
      <c r="O478" s="8" t="inlineStr">
        <is>
          <t>184500</t>
        </is>
      </c>
      <c r="P478" s="5" t="inlineStr">
        <is>
          <t>15</t>
        </is>
      </c>
      <c r="Q478" s="5" t="inlineStr">
        <is>
          <t>4</t>
        </is>
      </c>
      <c r="R478" s="5" t="inlineStr">
        <is>
          <t>4</t>
        </is>
      </c>
      <c r="S478" s="5" t="inlineStr">
        <is>
          <t>34</t>
        </is>
      </c>
      <c r="T478" s="5" t="inlineStr">
        <is>
          <t>4</t>
        </is>
      </c>
      <c r="U478" s="5" t="inlineStr">
        <is>
          <t>OK</t>
        </is>
      </c>
    </row>
    <row r="479">
      <c r="A479" s="5" t="inlineStr">
        <is>
          <t>E01884</t>
        </is>
      </c>
      <c r="B479" s="5" t="inlineStr">
        <is>
          <t>Female</t>
        </is>
      </c>
      <c r="C479" s="6" t="inlineStr">
        <is>
          <t>36</t>
        </is>
      </c>
      <c r="D479" s="5" t="inlineStr">
        <is>
          <t>Married</t>
        </is>
      </c>
      <c r="E479" s="5" t="inlineStr">
        <is>
          <t>High School</t>
        </is>
      </c>
      <c r="F479" s="5" t="inlineStr">
        <is>
          <t>Operations</t>
        </is>
      </c>
      <c r="G479" s="5" t="inlineStr">
        <is>
          <t>Quality Analyst</t>
        </is>
      </c>
      <c r="H479" s="5" t="inlineStr">
        <is>
          <t>2</t>
        </is>
      </c>
      <c r="I479" s="5" t="inlineStr">
        <is>
          <t>Chennai</t>
        </is>
      </c>
      <c r="J479" s="5" t="inlineStr">
        <is>
          <t>Full-Time</t>
        </is>
      </c>
      <c r="K479" s="7" t="n">
        <v>45541</v>
      </c>
      <c r="L479" s="7" t="inlineStr"/>
      <c r="M479" s="5" t="inlineStr">
        <is>
          <t>Yes</t>
        </is>
      </c>
      <c r="N479" s="5" t="inlineStr"/>
      <c r="O479" s="8" t="inlineStr">
        <is>
          <t>71500</t>
        </is>
      </c>
      <c r="P479" s="5" t="inlineStr">
        <is>
          <t>15</t>
        </is>
      </c>
      <c r="Q479" s="5" t="inlineStr">
        <is>
          <t>4</t>
        </is>
      </c>
      <c r="R479" s="5" t="inlineStr">
        <is>
          <t>6</t>
        </is>
      </c>
      <c r="S479" s="5" t="inlineStr">
        <is>
          <t>16</t>
        </is>
      </c>
      <c r="T479" s="5" t="inlineStr">
        <is>
          <t>9</t>
        </is>
      </c>
      <c r="U479" s="5" t="inlineStr">
        <is>
          <t>OK</t>
        </is>
      </c>
    </row>
    <row r="480">
      <c r="A480" s="5" t="inlineStr">
        <is>
          <t>E02231</t>
        </is>
      </c>
      <c r="B480" s="5" t="inlineStr">
        <is>
          <t>Female</t>
        </is>
      </c>
      <c r="C480" s="6" t="inlineStr">
        <is>
          <t>34</t>
        </is>
      </c>
      <c r="D480" s="5" t="inlineStr">
        <is>
          <t>Divorced</t>
        </is>
      </c>
      <c r="E480" s="5" t="inlineStr">
        <is>
          <t>Diploma</t>
        </is>
      </c>
      <c r="F480" s="5" t="inlineStr">
        <is>
          <t>Customer Support</t>
        </is>
      </c>
      <c r="G480" s="5" t="inlineStr">
        <is>
          <t>Support Lead</t>
        </is>
      </c>
      <c r="H480" s="5" t="inlineStr">
        <is>
          <t>2</t>
        </is>
      </c>
      <c r="I480" s="5" t="inlineStr">
        <is>
          <t>Mumbai</t>
        </is>
      </c>
      <c r="J480" s="5" t="inlineStr">
        <is>
          <t>Full-Time</t>
        </is>
      </c>
      <c r="K480" s="7" t="n">
        <v>44075</v>
      </c>
      <c r="L480" s="7" t="n">
        <v>44108</v>
      </c>
      <c r="M480" s="5" t="inlineStr">
        <is>
          <t>No</t>
        </is>
      </c>
      <c r="N480" s="5" t="inlineStr">
        <is>
          <t>Retirement</t>
        </is>
      </c>
      <c r="O480" s="8" t="inlineStr">
        <is>
          <t>73500</t>
        </is>
      </c>
      <c r="P480" s="5" t="inlineStr">
        <is>
          <t>0</t>
        </is>
      </c>
      <c r="Q480" s="5" t="inlineStr">
        <is>
          <t>4</t>
        </is>
      </c>
      <c r="R480" s="5" t="inlineStr">
        <is>
          <t>8</t>
        </is>
      </c>
      <c r="S480" s="5" t="inlineStr">
        <is>
          <t>1</t>
        </is>
      </c>
      <c r="T480" s="5" t="inlineStr">
        <is>
          <t>4</t>
        </is>
      </c>
      <c r="U480" s="5" t="inlineStr">
        <is>
          <t>OK</t>
        </is>
      </c>
    </row>
    <row r="481">
      <c r="A481" s="5" t="inlineStr">
        <is>
          <t>E00233</t>
        </is>
      </c>
      <c r="B481" s="5" t="inlineStr">
        <is>
          <t>Female</t>
        </is>
      </c>
      <c r="C481" s="6" t="inlineStr">
        <is>
          <t>39</t>
        </is>
      </c>
      <c r="D481" s="5" t="inlineStr">
        <is>
          <t>Married</t>
        </is>
      </c>
      <c r="E481" s="5" t="inlineStr">
        <is>
          <t>Diploma</t>
        </is>
      </c>
      <c r="F481" s="5" t="inlineStr">
        <is>
          <t>Operations</t>
        </is>
      </c>
      <c r="G481" s="5" t="inlineStr">
        <is>
          <t>Logistics Coordinator</t>
        </is>
      </c>
      <c r="H481" s="5" t="inlineStr">
        <is>
          <t>4</t>
        </is>
      </c>
      <c r="I481" s="5" t="inlineStr">
        <is>
          <t>Remote</t>
        </is>
      </c>
      <c r="J481" s="5" t="inlineStr">
        <is>
          <t>Full-Time</t>
        </is>
      </c>
      <c r="K481" s="7" t="n">
        <v>44430</v>
      </c>
      <c r="L481" s="7" t="inlineStr"/>
      <c r="M481" s="5" t="inlineStr">
        <is>
          <t>Yes</t>
        </is>
      </c>
      <c r="N481" s="5" t="inlineStr"/>
      <c r="O481" s="8" t="inlineStr">
        <is>
          <t>118500</t>
        </is>
      </c>
      <c r="P481" s="5" t="inlineStr">
        <is>
          <t>10</t>
        </is>
      </c>
      <c r="Q481" s="5" t="inlineStr">
        <is>
          <t>3</t>
        </is>
      </c>
      <c r="R481" s="5" t="inlineStr">
        <is>
          <t>8</t>
        </is>
      </c>
      <c r="S481" s="5" t="inlineStr">
        <is>
          <t>53</t>
        </is>
      </c>
      <c r="T481" s="5" t="inlineStr">
        <is>
          <t>5</t>
        </is>
      </c>
      <c r="U481" s="5" t="inlineStr">
        <is>
          <t>OK</t>
        </is>
      </c>
    </row>
    <row r="482">
      <c r="A482" s="5" t="inlineStr">
        <is>
          <t>E01481</t>
        </is>
      </c>
      <c r="B482" s="5" t="inlineStr">
        <is>
          <t>Male</t>
        </is>
      </c>
      <c r="C482" s="6" t="inlineStr">
        <is>
          <t>36</t>
        </is>
      </c>
      <c r="D482" s="5" t="inlineStr">
        <is>
          <t>Married</t>
        </is>
      </c>
      <c r="E482" s="5" t="inlineStr">
        <is>
          <t>PhD</t>
        </is>
      </c>
      <c r="F482" s="5" t="inlineStr">
        <is>
          <t>IT</t>
        </is>
      </c>
      <c r="G482" s="5" t="inlineStr">
        <is>
          <t>Software Engineer</t>
        </is>
      </c>
      <c r="H482" s="5" t="inlineStr">
        <is>
          <t>4</t>
        </is>
      </c>
      <c r="I482" s="5" t="inlineStr">
        <is>
          <t>Chennai</t>
        </is>
      </c>
      <c r="J482" s="5" t="inlineStr">
        <is>
          <t>Full-Time</t>
        </is>
      </c>
      <c r="K482" s="7" t="n">
        <v>45796</v>
      </c>
      <c r="L482" s="7" t="inlineStr"/>
      <c r="M482" s="5" t="inlineStr">
        <is>
          <t>Yes</t>
        </is>
      </c>
      <c r="N482" s="5" t="inlineStr"/>
      <c r="O482" s="8" t="inlineStr">
        <is>
          <t>153000</t>
        </is>
      </c>
      <c r="P482" s="5" t="inlineStr">
        <is>
          <t>0</t>
        </is>
      </c>
      <c r="Q482" s="5" t="inlineStr">
        <is>
          <t>2</t>
        </is>
      </c>
      <c r="R482" s="5" t="inlineStr">
        <is>
          <t>7</t>
        </is>
      </c>
      <c r="S482" s="5" t="inlineStr">
        <is>
          <t>7</t>
        </is>
      </c>
      <c r="T482" s="5" t="inlineStr">
        <is>
          <t>0</t>
        </is>
      </c>
      <c r="U482" s="5" t="inlineStr">
        <is>
          <t>OK</t>
        </is>
      </c>
    </row>
    <row r="483">
      <c r="A483" s="5" t="inlineStr">
        <is>
          <t>E01745</t>
        </is>
      </c>
      <c r="B483" s="5" t="inlineStr">
        <is>
          <t>Female</t>
        </is>
      </c>
      <c r="C483" s="6" t="inlineStr">
        <is>
          <t>35</t>
        </is>
      </c>
      <c r="D483" s="5" t="inlineStr">
        <is>
          <t>Married</t>
        </is>
      </c>
      <c r="E483" s="5" t="inlineStr">
        <is>
          <t>Bachelor</t>
        </is>
      </c>
      <c r="F483" s="5" t="inlineStr">
        <is>
          <t>IT</t>
        </is>
      </c>
      <c r="G483" s="5" t="inlineStr">
        <is>
          <t>Data Analyst</t>
        </is>
      </c>
      <c r="H483" s="5" t="inlineStr">
        <is>
          <t>2</t>
        </is>
      </c>
      <c r="I483" s="5" t="inlineStr">
        <is>
          <t>Bengaluru</t>
        </is>
      </c>
      <c r="J483" s="5" t="inlineStr">
        <is>
          <t>Full-Time</t>
        </is>
      </c>
      <c r="K483" s="7" t="n">
        <v>45436</v>
      </c>
      <c r="L483" s="7" t="inlineStr"/>
      <c r="M483" s="5" t="inlineStr">
        <is>
          <t>Yes</t>
        </is>
      </c>
      <c r="N483" s="5" t="inlineStr"/>
      <c r="O483" s="8" t="inlineStr">
        <is>
          <t>168500</t>
        </is>
      </c>
      <c r="P483" s="5" t="inlineStr">
        <is>
          <t>0</t>
        </is>
      </c>
      <c r="Q483" s="5" t="inlineStr">
        <is>
          <t>4</t>
        </is>
      </c>
      <c r="R483" s="5" t="inlineStr">
        <is>
          <t>5</t>
        </is>
      </c>
      <c r="S483" s="5" t="inlineStr">
        <is>
          <t>19</t>
        </is>
      </c>
      <c r="T483" s="5" t="inlineStr">
        <is>
          <t>0</t>
        </is>
      </c>
      <c r="U483" s="5" t="inlineStr">
        <is>
          <t>OK</t>
        </is>
      </c>
    </row>
    <row r="484">
      <c r="A484" s="5" t="inlineStr">
        <is>
          <t>E02032</t>
        </is>
      </c>
      <c r="B484" s="5" t="inlineStr">
        <is>
          <t>Male</t>
        </is>
      </c>
      <c r="C484" s="6" t="inlineStr">
        <is>
          <t>30</t>
        </is>
      </c>
      <c r="D484" s="5" t="inlineStr">
        <is>
          <t>Divorced</t>
        </is>
      </c>
      <c r="E484" s="5" t="inlineStr">
        <is>
          <t>Diploma</t>
        </is>
      </c>
      <c r="F484" s="5" t="inlineStr">
        <is>
          <t>Customer Support</t>
        </is>
      </c>
      <c r="G484" s="5" t="inlineStr">
        <is>
          <t>Support Lead</t>
        </is>
      </c>
      <c r="H484" s="5" t="inlineStr">
        <is>
          <t>1</t>
        </is>
      </c>
      <c r="I484" s="5" t="inlineStr">
        <is>
          <t>Hyderabad</t>
        </is>
      </c>
      <c r="J484" s="5" t="inlineStr">
        <is>
          <t>Full-Time</t>
        </is>
      </c>
      <c r="K484" s="7" t="n">
        <v>44530</v>
      </c>
      <c r="L484" s="7" t="n">
        <v>44614</v>
      </c>
      <c r="M484" s="5" t="inlineStr">
        <is>
          <t>No</t>
        </is>
      </c>
      <c r="N484" s="5" t="inlineStr">
        <is>
          <t>Retirement</t>
        </is>
      </c>
      <c r="O484" s="8" t="inlineStr">
        <is>
          <t>71000</t>
        </is>
      </c>
      <c r="P484" s="5" t="inlineStr">
        <is>
          <t>10</t>
        </is>
      </c>
      <c r="Q484" s="5" t="inlineStr">
        <is>
          <t>3</t>
        </is>
      </c>
      <c r="R484" s="5" t="inlineStr">
        <is>
          <t>3</t>
        </is>
      </c>
      <c r="S484" s="5" t="inlineStr">
        <is>
          <t>2</t>
        </is>
      </c>
      <c r="T484" s="5" t="inlineStr">
        <is>
          <t>7</t>
        </is>
      </c>
      <c r="U484" s="5" t="inlineStr">
        <is>
          <t>OK</t>
        </is>
      </c>
    </row>
    <row r="485">
      <c r="A485" s="5" t="inlineStr">
        <is>
          <t>E01916</t>
        </is>
      </c>
      <c r="B485" s="5" t="inlineStr">
        <is>
          <t>Female</t>
        </is>
      </c>
      <c r="C485" s="6" t="inlineStr">
        <is>
          <t>41</t>
        </is>
      </c>
      <c r="D485" s="5" t="inlineStr">
        <is>
          <t>Married</t>
        </is>
      </c>
      <c r="E485" s="5" t="inlineStr">
        <is>
          <t>PhD</t>
        </is>
      </c>
      <c r="F485" s="5" t="inlineStr">
        <is>
          <t>Finance</t>
        </is>
      </c>
      <c r="G485" s="5" t="inlineStr">
        <is>
          <t>Accountant</t>
        </is>
      </c>
      <c r="H485" s="5" t="inlineStr">
        <is>
          <t>6</t>
        </is>
      </c>
      <c r="I485" s="5" t="inlineStr">
        <is>
          <t>Delhi</t>
        </is>
      </c>
      <c r="J485" s="5" t="inlineStr">
        <is>
          <t>Full-Time</t>
        </is>
      </c>
      <c r="K485" s="7" t="n">
        <v>44739</v>
      </c>
      <c r="L485" s="7" t="inlineStr"/>
      <c r="M485" s="5" t="inlineStr">
        <is>
          <t>Yes</t>
        </is>
      </c>
      <c r="N485" s="5" t="inlineStr"/>
      <c r="O485" s="8" t="inlineStr">
        <is>
          <t>140500</t>
        </is>
      </c>
      <c r="P485" s="5" t="inlineStr">
        <is>
          <t>20</t>
        </is>
      </c>
      <c r="Q485" s="5" t="inlineStr">
        <is>
          <t>5</t>
        </is>
      </c>
      <c r="R485" s="5" t="inlineStr">
        <is>
          <t>5</t>
        </is>
      </c>
      <c r="S485" s="5" t="inlineStr">
        <is>
          <t>42</t>
        </is>
      </c>
      <c r="T485" s="5" t="inlineStr">
        <is>
          <t>0</t>
        </is>
      </c>
      <c r="U485" s="5" t="inlineStr">
        <is>
          <t>OK</t>
        </is>
      </c>
    </row>
    <row r="486">
      <c r="A486" s="5" t="inlineStr">
        <is>
          <t>E00130</t>
        </is>
      </c>
      <c r="B486" s="5" t="inlineStr">
        <is>
          <t>Male</t>
        </is>
      </c>
      <c r="C486" s="6" t="inlineStr">
        <is>
          <t>29</t>
        </is>
      </c>
      <c r="D486" s="5" t="inlineStr">
        <is>
          <t>Divorced</t>
        </is>
      </c>
      <c r="E486" s="5" t="inlineStr">
        <is>
          <t>High School</t>
        </is>
      </c>
      <c r="F486" s="5" t="inlineStr">
        <is>
          <t>Finance</t>
        </is>
      </c>
      <c r="G486" s="5" t="inlineStr">
        <is>
          <t>Credit Analyst</t>
        </is>
      </c>
      <c r="H486" s="5" t="inlineStr">
        <is>
          <t>2</t>
        </is>
      </c>
      <c r="I486" s="5" t="inlineStr">
        <is>
          <t>Delhi</t>
        </is>
      </c>
      <c r="J486" s="5" t="inlineStr">
        <is>
          <t>Full-Time</t>
        </is>
      </c>
      <c r="K486" s="7" t="n">
        <v>45754</v>
      </c>
      <c r="L486" s="7" t="inlineStr"/>
      <c r="M486" s="5" t="inlineStr">
        <is>
          <t>Yes</t>
        </is>
      </c>
      <c r="N486" s="5" t="inlineStr"/>
      <c r="O486" s="8" t="inlineStr">
        <is>
          <t>126000</t>
        </is>
      </c>
      <c r="P486" s="5" t="inlineStr">
        <is>
          <t>0</t>
        </is>
      </c>
      <c r="Q486" s="5" t="inlineStr">
        <is>
          <t>3</t>
        </is>
      </c>
      <c r="R486" s="5" t="inlineStr">
        <is>
          <t>3</t>
        </is>
      </c>
      <c r="S486" s="5" t="inlineStr">
        <is>
          <t>8</t>
        </is>
      </c>
      <c r="T486" s="5" t="inlineStr">
        <is>
          <t>10</t>
        </is>
      </c>
      <c r="U486" s="5" t="inlineStr">
        <is>
          <t>OK</t>
        </is>
      </c>
    </row>
    <row r="487">
      <c r="A487" s="5" t="inlineStr">
        <is>
          <t>E00136</t>
        </is>
      </c>
      <c r="B487" s="5" t="inlineStr">
        <is>
          <t>Male</t>
        </is>
      </c>
      <c r="C487" s="6" t="inlineStr">
        <is>
          <t>35</t>
        </is>
      </c>
      <c r="D487" s="5" t="inlineStr">
        <is>
          <t>Married</t>
        </is>
      </c>
      <c r="E487" s="5" t="inlineStr">
        <is>
          <t>Bachelor</t>
        </is>
      </c>
      <c r="F487" s="5" t="inlineStr">
        <is>
          <t>Customer Support</t>
        </is>
      </c>
      <c r="G487" s="5" t="inlineStr">
        <is>
          <t>Support Agent</t>
        </is>
      </c>
      <c r="H487" s="5" t="inlineStr">
        <is>
          <t>2</t>
        </is>
      </c>
      <c r="I487" s="5" t="inlineStr">
        <is>
          <t>Bengaluru</t>
        </is>
      </c>
      <c r="J487" s="5" t="inlineStr">
        <is>
          <t>Full-Time</t>
        </is>
      </c>
      <c r="K487" s="7" t="n">
        <v>44141</v>
      </c>
      <c r="L487" s="7" t="inlineStr"/>
      <c r="M487" s="5" t="inlineStr">
        <is>
          <t>Yes</t>
        </is>
      </c>
      <c r="N487" s="5" t="inlineStr"/>
      <c r="O487" s="8" t="inlineStr">
        <is>
          <t>68500</t>
        </is>
      </c>
      <c r="P487" s="5" t="inlineStr">
        <is>
          <t>15</t>
        </is>
      </c>
      <c r="Q487" s="5" t="inlineStr">
        <is>
          <t>3</t>
        </is>
      </c>
      <c r="R487" s="5" t="inlineStr">
        <is>
          <t>4</t>
        </is>
      </c>
      <c r="S487" s="5" t="inlineStr">
        <is>
          <t>62</t>
        </is>
      </c>
      <c r="T487" s="5" t="inlineStr">
        <is>
          <t>0</t>
        </is>
      </c>
      <c r="U487" s="5" t="inlineStr">
        <is>
          <t>OK</t>
        </is>
      </c>
    </row>
    <row r="488">
      <c r="A488" s="5" t="inlineStr">
        <is>
          <t>E02361</t>
        </is>
      </c>
      <c r="B488" s="5" t="inlineStr">
        <is>
          <t>Male</t>
        </is>
      </c>
      <c r="C488" s="6" t="inlineStr">
        <is>
          <t>31</t>
        </is>
      </c>
      <c r="D488" s="5" t="inlineStr">
        <is>
          <t>Single</t>
        </is>
      </c>
      <c r="E488" s="5" t="inlineStr">
        <is>
          <t>Bachelor</t>
        </is>
      </c>
      <c r="F488" s="5" t="inlineStr">
        <is>
          <t>Operations</t>
        </is>
      </c>
      <c r="G488" s="5" t="inlineStr">
        <is>
          <t>Logistics Coordinator</t>
        </is>
      </c>
      <c r="H488" s="5" t="inlineStr">
        <is>
          <t>1</t>
        </is>
      </c>
      <c r="I488" s="5" t="inlineStr">
        <is>
          <t>Chennai</t>
        </is>
      </c>
      <c r="J488" s="5" t="inlineStr">
        <is>
          <t>Full-Time</t>
        </is>
      </c>
      <c r="K488" s="7" t="n">
        <v>43854</v>
      </c>
      <c r="L488" s="7" t="inlineStr"/>
      <c r="M488" s="5" t="inlineStr">
        <is>
          <t>Yes</t>
        </is>
      </c>
      <c r="N488" s="5" t="inlineStr"/>
      <c r="O488" s="8" t="inlineStr">
        <is>
          <t>64000</t>
        </is>
      </c>
      <c r="P488" s="5" t="inlineStr">
        <is>
          <t>0</t>
        </is>
      </c>
      <c r="Q488" s="5" t="inlineStr">
        <is>
          <t>5</t>
        </is>
      </c>
      <c r="R488" s="5" t="inlineStr">
        <is>
          <t>6</t>
        </is>
      </c>
      <c r="S488" s="5" t="inlineStr">
        <is>
          <t>72</t>
        </is>
      </c>
      <c r="T488" s="5" t="inlineStr">
        <is>
          <t>12</t>
        </is>
      </c>
      <c r="U488" s="5" t="inlineStr">
        <is>
          <t>OK</t>
        </is>
      </c>
    </row>
    <row r="489">
      <c r="A489" s="5" t="inlineStr">
        <is>
          <t>E02318</t>
        </is>
      </c>
      <c r="B489" s="5" t="inlineStr">
        <is>
          <t>Female</t>
        </is>
      </c>
      <c r="C489" s="6" t="inlineStr">
        <is>
          <t>40</t>
        </is>
      </c>
      <c r="D489" s="5" t="inlineStr">
        <is>
          <t>Married</t>
        </is>
      </c>
      <c r="E489" s="5" t="inlineStr">
        <is>
          <t>Bachelor</t>
        </is>
      </c>
      <c r="F489" s="5" t="inlineStr">
        <is>
          <t>Operations</t>
        </is>
      </c>
      <c r="G489" s="5" t="inlineStr">
        <is>
          <t>Logistics Coordinator</t>
        </is>
      </c>
      <c r="H489" s="5" t="inlineStr">
        <is>
          <t>4</t>
        </is>
      </c>
      <c r="I489" s="5" t="inlineStr">
        <is>
          <t>Mumbai</t>
        </is>
      </c>
      <c r="J489" s="5" t="inlineStr">
        <is>
          <t>Part-Time</t>
        </is>
      </c>
      <c r="K489" s="7" t="n">
        <v>44861</v>
      </c>
      <c r="L489" s="7" t="inlineStr"/>
      <c r="M489" s="5" t="inlineStr">
        <is>
          <t>Yes</t>
        </is>
      </c>
      <c r="N489" s="5" t="inlineStr"/>
      <c r="O489" s="8" t="inlineStr">
        <is>
          <t>90000</t>
        </is>
      </c>
      <c r="P489" s="5" t="inlineStr">
        <is>
          <t>5</t>
        </is>
      </c>
      <c r="Q489" s="5" t="inlineStr">
        <is>
          <t>4</t>
        </is>
      </c>
      <c r="R489" s="5" t="inlineStr">
        <is>
          <t>7</t>
        </is>
      </c>
      <c r="S489" s="5" t="inlineStr">
        <is>
          <t>38</t>
        </is>
      </c>
      <c r="T489" s="5" t="inlineStr">
        <is>
          <t>2</t>
        </is>
      </c>
      <c r="U489" s="5" t="inlineStr">
        <is>
          <t>OK</t>
        </is>
      </c>
    </row>
    <row r="490">
      <c r="A490" s="5" t="inlineStr">
        <is>
          <t>E02871</t>
        </is>
      </c>
      <c r="B490" s="5" t="inlineStr">
        <is>
          <t>Female</t>
        </is>
      </c>
      <c r="C490" s="6" t="inlineStr">
        <is>
          <t>33</t>
        </is>
      </c>
      <c r="D490" s="5" t="inlineStr">
        <is>
          <t>Single</t>
        </is>
      </c>
      <c r="E490" s="5" t="inlineStr">
        <is>
          <t>High School</t>
        </is>
      </c>
      <c r="F490" s="5" t="inlineStr">
        <is>
          <t>IT</t>
        </is>
      </c>
      <c r="G490" s="5" t="inlineStr">
        <is>
          <t>Software Engineer</t>
        </is>
      </c>
      <c r="H490" s="5" t="inlineStr">
        <is>
          <t>5</t>
        </is>
      </c>
      <c r="I490" s="5" t="inlineStr">
        <is>
          <t>Delhi</t>
        </is>
      </c>
      <c r="J490" s="5" t="inlineStr">
        <is>
          <t>Contract</t>
        </is>
      </c>
      <c r="K490" s="7" t="n">
        <v>46002</v>
      </c>
      <c r="L490" s="7" t="inlineStr"/>
      <c r="M490" s="5" t="inlineStr">
        <is>
          <t>Yes</t>
        </is>
      </c>
      <c r="N490" s="5" t="inlineStr"/>
      <c r="O490" s="8" t="inlineStr">
        <is>
          <t>154500</t>
        </is>
      </c>
      <c r="P490" s="5" t="inlineStr">
        <is>
          <t>0</t>
        </is>
      </c>
      <c r="Q490" s="5" t="inlineStr">
        <is>
          <t>4</t>
        </is>
      </c>
      <c r="R490" s="5" t="inlineStr">
        <is>
          <t>8</t>
        </is>
      </c>
      <c r="S490" s="5" t="inlineStr">
        <is>
          <t>1</t>
        </is>
      </c>
      <c r="T490" s="5" t="inlineStr">
        <is>
          <t>5</t>
        </is>
      </c>
      <c r="U490" s="5" t="inlineStr">
        <is>
          <t>OK</t>
        </is>
      </c>
    </row>
    <row r="491">
      <c r="A491" s="5" t="inlineStr">
        <is>
          <t>E02160</t>
        </is>
      </c>
      <c r="B491" s="5" t="inlineStr">
        <is>
          <t>female</t>
        </is>
      </c>
      <c r="C491" s="6" t="inlineStr">
        <is>
          <t>29</t>
        </is>
      </c>
      <c r="D491" s="5" t="inlineStr">
        <is>
          <t>Married</t>
        </is>
      </c>
      <c r="E491" s="5" t="inlineStr">
        <is>
          <t>Master</t>
        </is>
      </c>
      <c r="F491" s="5" t="inlineStr">
        <is>
          <t>Customer Support</t>
        </is>
      </c>
      <c r="G491" s="5" t="inlineStr">
        <is>
          <t>Support Lead</t>
        </is>
      </c>
      <c r="H491" s="5" t="inlineStr">
        <is>
          <t>1</t>
        </is>
      </c>
      <c r="I491" s="5" t="inlineStr">
        <is>
          <t>Bengaluru</t>
        </is>
      </c>
      <c r="J491" s="5" t="inlineStr">
        <is>
          <t>Full-Time</t>
        </is>
      </c>
      <c r="K491" s="7" t="n">
        <v>44340</v>
      </c>
      <c r="L491" s="7" t="n">
        <v>44489</v>
      </c>
      <c r="M491" s="5" t="inlineStr">
        <is>
          <t>No</t>
        </is>
      </c>
      <c r="N491" s="5" t="inlineStr">
        <is>
          <t>Resigned</t>
        </is>
      </c>
      <c r="O491" s="8" t="inlineStr">
        <is>
          <t>54000</t>
        </is>
      </c>
      <c r="P491" s="5" t="inlineStr">
        <is>
          <t>10</t>
        </is>
      </c>
      <c r="Q491" s="5" t="inlineStr">
        <is>
          <t>5</t>
        </is>
      </c>
      <c r="R491" s="5" t="inlineStr">
        <is>
          <t>7</t>
        </is>
      </c>
      <c r="S491" s="5" t="inlineStr">
        <is>
          <t>4</t>
        </is>
      </c>
      <c r="T491" s="5" t="inlineStr">
        <is>
          <t>4</t>
        </is>
      </c>
      <c r="U491" s="5" t="inlineStr">
        <is>
          <t>OK</t>
        </is>
      </c>
    </row>
    <row r="492">
      <c r="A492" s="5" t="inlineStr">
        <is>
          <t>E02054</t>
        </is>
      </c>
      <c r="B492" s="5" t="inlineStr">
        <is>
          <t>Female</t>
        </is>
      </c>
      <c r="C492" s="6" t="inlineStr">
        <is>
          <t>27</t>
        </is>
      </c>
      <c r="D492" s="5" t="inlineStr">
        <is>
          <t>Married</t>
        </is>
      </c>
      <c r="E492" s="5" t="inlineStr">
        <is>
          <t>PhD</t>
        </is>
      </c>
      <c r="F492" s="5" t="inlineStr">
        <is>
          <t>Operations</t>
        </is>
      </c>
      <c r="G492" s="5" t="inlineStr">
        <is>
          <t>Quality Analyst</t>
        </is>
      </c>
      <c r="H492" s="5" t="inlineStr">
        <is>
          <t>2</t>
        </is>
      </c>
      <c r="I492" s="5" t="inlineStr">
        <is>
          <t>Delhi</t>
        </is>
      </c>
      <c r="J492" s="5" t="inlineStr">
        <is>
          <t>Full-Time</t>
        </is>
      </c>
      <c r="K492" s="7" t="n">
        <v>44900</v>
      </c>
      <c r="L492" s="7" t="inlineStr"/>
      <c r="M492" s="5" t="inlineStr">
        <is>
          <t>Yes</t>
        </is>
      </c>
      <c r="N492" s="5" t="inlineStr"/>
      <c r="O492" s="8" t="inlineStr">
        <is>
          <t>110500</t>
        </is>
      </c>
      <c r="P492" s="5" t="inlineStr">
        <is>
          <t>10</t>
        </is>
      </c>
      <c r="Q492" s="5" t="inlineStr">
        <is>
          <t>4</t>
        </is>
      </c>
      <c r="R492" s="5" t="inlineStr">
        <is>
          <t>9</t>
        </is>
      </c>
      <c r="S492" s="5" t="inlineStr">
        <is>
          <t>37</t>
        </is>
      </c>
      <c r="T492" s="5" t="inlineStr">
        <is>
          <t>21</t>
        </is>
      </c>
      <c r="U492" s="5" t="inlineStr">
        <is>
          <t>OK</t>
        </is>
      </c>
    </row>
    <row r="493">
      <c r="A493" s="5" t="inlineStr">
        <is>
          <t>E01450</t>
        </is>
      </c>
      <c r="B493" s="5" t="inlineStr">
        <is>
          <t>Male</t>
        </is>
      </c>
      <c r="C493" s="6" t="inlineStr">
        <is>
          <t>34</t>
        </is>
      </c>
      <c r="D493" s="5" t="inlineStr">
        <is>
          <t>Married</t>
        </is>
      </c>
      <c r="E493" s="5" t="inlineStr">
        <is>
          <t>Bachelor</t>
        </is>
      </c>
      <c r="F493" s="5" t="inlineStr">
        <is>
          <t>Finance</t>
        </is>
      </c>
      <c r="G493" s="5" t="inlineStr">
        <is>
          <t>Credit Analyst</t>
        </is>
      </c>
      <c r="H493" s="5" t="inlineStr">
        <is>
          <t>4</t>
        </is>
      </c>
      <c r="I493" s="5" t="inlineStr">
        <is>
          <t>Bengaluru</t>
        </is>
      </c>
      <c r="J493" s="5" t="inlineStr">
        <is>
          <t>Full-Time</t>
        </is>
      </c>
      <c r="K493" s="7" t="n">
        <v>44734</v>
      </c>
      <c r="L493" s="7" t="inlineStr"/>
      <c r="M493" s="5" t="inlineStr">
        <is>
          <t>Yes</t>
        </is>
      </c>
      <c r="N493" s="5" t="inlineStr"/>
      <c r="O493" s="8" t="inlineStr">
        <is>
          <t>145500</t>
        </is>
      </c>
      <c r="P493" s="5" t="inlineStr">
        <is>
          <t>0</t>
        </is>
      </c>
      <c r="Q493" s="5" t="inlineStr">
        <is>
          <t>5</t>
        </is>
      </c>
      <c r="R493" s="5" t="inlineStr">
        <is>
          <t>6</t>
        </is>
      </c>
      <c r="S493" s="5" t="inlineStr">
        <is>
          <t>42</t>
        </is>
      </c>
      <c r="T493" s="5" t="inlineStr">
        <is>
          <t>12</t>
        </is>
      </c>
      <c r="U493" s="5" t="inlineStr">
        <is>
          <t>OK</t>
        </is>
      </c>
    </row>
    <row r="494">
      <c r="A494" s="5" t="inlineStr">
        <is>
          <t>E00783</t>
        </is>
      </c>
      <c r="B494" s="5" t="inlineStr">
        <is>
          <t>Female</t>
        </is>
      </c>
      <c r="C494" s="6" t="inlineStr">
        <is>
          <t>28</t>
        </is>
      </c>
      <c r="D494" s="5" t="inlineStr">
        <is>
          <t>Married</t>
        </is>
      </c>
      <c r="E494" s="5" t="inlineStr">
        <is>
          <t>PhD</t>
        </is>
      </c>
      <c r="F494" s="5" t="inlineStr">
        <is>
          <t>Marketing</t>
        </is>
      </c>
      <c r="G494" s="5" t="inlineStr">
        <is>
          <t>Marketing Analyst</t>
        </is>
      </c>
      <c r="H494" s="5" t="inlineStr">
        <is>
          <t>1</t>
        </is>
      </c>
      <c r="I494" s="5" t="inlineStr">
        <is>
          <t>Remote</t>
        </is>
      </c>
      <c r="J494" s="5" t="inlineStr">
        <is>
          <t>Full-Time</t>
        </is>
      </c>
      <c r="K494" s="7" t="n">
        <v>45904</v>
      </c>
      <c r="L494" s="7" t="inlineStr"/>
      <c r="M494" s="5" t="inlineStr">
        <is>
          <t>Yes</t>
        </is>
      </c>
      <c r="N494" s="5" t="inlineStr"/>
      <c r="O494" s="8" t="inlineStr">
        <is>
          <t>80000</t>
        </is>
      </c>
      <c r="P494" s="5" t="inlineStr">
        <is>
          <t>5</t>
        </is>
      </c>
      <c r="Q494" s="5" t="inlineStr">
        <is>
          <t>4</t>
        </is>
      </c>
      <c r="R494" s="5" t="inlineStr">
        <is>
          <t>1</t>
        </is>
      </c>
      <c r="S494" s="5" t="inlineStr">
        <is>
          <t>3</t>
        </is>
      </c>
      <c r="T494" s="5" t="inlineStr">
        <is>
          <t>3</t>
        </is>
      </c>
      <c r="U494" s="5" t="inlineStr">
        <is>
          <t>OK</t>
        </is>
      </c>
    </row>
    <row r="495">
      <c r="A495" s="5" t="inlineStr">
        <is>
          <t>E01947</t>
        </is>
      </c>
      <c r="B495" s="5" t="inlineStr">
        <is>
          <t>Male</t>
        </is>
      </c>
      <c r="C495" s="6" t="inlineStr">
        <is>
          <t>36</t>
        </is>
      </c>
      <c r="D495" s="5" t="inlineStr">
        <is>
          <t>Married</t>
        </is>
      </c>
      <c r="E495" s="5" t="inlineStr">
        <is>
          <t>High School</t>
        </is>
      </c>
      <c r="F495" s="5" t="inlineStr">
        <is>
          <t>Customer Support</t>
        </is>
      </c>
      <c r="G495" s="5" t="inlineStr">
        <is>
          <t>Support Agent</t>
        </is>
      </c>
      <c r="H495" s="5" t="inlineStr">
        <is>
          <t>3</t>
        </is>
      </c>
      <c r="I495" s="5" t="inlineStr">
        <is>
          <t>Delhi</t>
        </is>
      </c>
      <c r="J495" s="5" t="inlineStr">
        <is>
          <t>Full-Time</t>
        </is>
      </c>
      <c r="K495" s="7" t="n">
        <v>45500</v>
      </c>
      <c r="L495" s="7" t="inlineStr"/>
      <c r="M495" s="5" t="inlineStr">
        <is>
          <t>Yes</t>
        </is>
      </c>
      <c r="N495" s="5" t="inlineStr"/>
      <c r="O495" s="8" t="inlineStr">
        <is>
          <t>69500</t>
        </is>
      </c>
      <c r="P495" s="5" t="inlineStr">
        <is>
          <t>15</t>
        </is>
      </c>
      <c r="Q495" s="5" t="inlineStr">
        <is>
          <t>5</t>
        </is>
      </c>
      <c r="R495" s="5" t="inlineStr">
        <is>
          <t>5</t>
        </is>
      </c>
      <c r="S495" s="5" t="inlineStr">
        <is>
          <t>17</t>
        </is>
      </c>
      <c r="T495" s="5" t="inlineStr">
        <is>
          <t>4</t>
        </is>
      </c>
      <c r="U495" s="5" t="inlineStr">
        <is>
          <t>OK</t>
        </is>
      </c>
    </row>
    <row r="496">
      <c r="A496" s="5" t="inlineStr">
        <is>
          <t>E02825</t>
        </is>
      </c>
      <c r="B496" s="5" t="inlineStr">
        <is>
          <t>Female</t>
        </is>
      </c>
      <c r="C496" s="6" t="inlineStr">
        <is>
          <t>25</t>
        </is>
      </c>
      <c r="D496" s="5" t="inlineStr">
        <is>
          <t>Married</t>
        </is>
      </c>
      <c r="E496" s="5" t="inlineStr">
        <is>
          <t>PhD</t>
        </is>
      </c>
      <c r="F496" s="5" t="inlineStr">
        <is>
          <t>IT</t>
        </is>
      </c>
      <c r="G496" s="5" t="inlineStr">
        <is>
          <t>IT Support</t>
        </is>
      </c>
      <c r="H496" s="5" t="inlineStr">
        <is>
          <t>2</t>
        </is>
      </c>
      <c r="I496" s="5" t="inlineStr">
        <is>
          <t>Mumbai</t>
        </is>
      </c>
      <c r="J496" s="5" t="inlineStr">
        <is>
          <t>Full-Time</t>
        </is>
      </c>
      <c r="K496" s="7" t="n">
        <v>45348</v>
      </c>
      <c r="L496" s="7" t="inlineStr"/>
      <c r="M496" s="5" t="inlineStr">
        <is>
          <t>Yes</t>
        </is>
      </c>
      <c r="N496" s="5" t="inlineStr"/>
      <c r="O496" s="8" t="inlineStr">
        <is>
          <t>169000</t>
        </is>
      </c>
      <c r="P496" s="5" t="inlineStr">
        <is>
          <t>0</t>
        </is>
      </c>
      <c r="Q496" s="5" t="inlineStr">
        <is>
          <t>4</t>
        </is>
      </c>
      <c r="R496" s="5" t="inlineStr">
        <is>
          <t>6</t>
        </is>
      </c>
      <c r="S496" s="5" t="inlineStr">
        <is>
          <t>22</t>
        </is>
      </c>
      <c r="T496" s="5" t="inlineStr">
        <is>
          <t>13</t>
        </is>
      </c>
      <c r="U496" s="5" t="inlineStr">
        <is>
          <t>OK</t>
        </is>
      </c>
    </row>
    <row r="497">
      <c r="A497" s="5" t="inlineStr">
        <is>
          <t>E01408</t>
        </is>
      </c>
      <c r="B497" s="5" t="inlineStr">
        <is>
          <t>Female</t>
        </is>
      </c>
      <c r="C497" s="6" t="inlineStr">
        <is>
          <t>28</t>
        </is>
      </c>
      <c r="D497" s="5" t="inlineStr">
        <is>
          <t>Married</t>
        </is>
      </c>
      <c r="E497" s="5" t="inlineStr">
        <is>
          <t>Master</t>
        </is>
      </c>
      <c r="F497" s="5" t="inlineStr">
        <is>
          <t>IT</t>
        </is>
      </c>
      <c r="G497" s="5" t="inlineStr">
        <is>
          <t>DevOps Engineer</t>
        </is>
      </c>
      <c r="H497" s="5" t="inlineStr">
        <is>
          <t>1</t>
        </is>
      </c>
      <c r="I497" s="5" t="inlineStr">
        <is>
          <t>Bengaluru</t>
        </is>
      </c>
      <c r="J497" s="5" t="inlineStr">
        <is>
          <t>Full-Time</t>
        </is>
      </c>
      <c r="K497" s="7" t="n">
        <v>44428</v>
      </c>
      <c r="L497" s="7" t="inlineStr"/>
      <c r="M497" s="5" t="inlineStr">
        <is>
          <t>Yes</t>
        </is>
      </c>
      <c r="N497" s="5" t="inlineStr"/>
      <c r="O497" s="8" t="inlineStr">
        <is>
          <t>147000</t>
        </is>
      </c>
      <c r="P497" s="5" t="inlineStr">
        <is>
          <t>5</t>
        </is>
      </c>
      <c r="Q497" s="5" t="inlineStr">
        <is>
          <t>4</t>
        </is>
      </c>
      <c r="R497" s="5" t="inlineStr">
        <is>
          <t>9</t>
        </is>
      </c>
      <c r="S497" s="5" t="inlineStr">
        <is>
          <t>53</t>
        </is>
      </c>
      <c r="T497" s="5" t="inlineStr">
        <is>
          <t>0</t>
        </is>
      </c>
      <c r="U497" s="5" t="inlineStr">
        <is>
          <t>OK</t>
        </is>
      </c>
    </row>
    <row r="498">
      <c r="A498" s="5" t="inlineStr">
        <is>
          <t>E01404</t>
        </is>
      </c>
      <c r="B498" s="5" t="inlineStr">
        <is>
          <t>Male</t>
        </is>
      </c>
      <c r="C498" s="6" t="inlineStr">
        <is>
          <t>26</t>
        </is>
      </c>
      <c r="D498" s="5" t="inlineStr">
        <is>
          <t>Single</t>
        </is>
      </c>
      <c r="E498" s="5" t="inlineStr">
        <is>
          <t>PhD</t>
        </is>
      </c>
      <c r="F498" s="5" t="inlineStr">
        <is>
          <t>Sales</t>
        </is>
      </c>
      <c r="G498" s="5" t="inlineStr">
        <is>
          <t>Business Development</t>
        </is>
      </c>
      <c r="H498" s="5" t="inlineStr">
        <is>
          <t>1</t>
        </is>
      </c>
      <c r="I498" s="5" t="inlineStr">
        <is>
          <t>Delhi</t>
        </is>
      </c>
      <c r="J498" s="5" t="inlineStr">
        <is>
          <t>Full-Time</t>
        </is>
      </c>
      <c r="K498" s="7" t="n">
        <v>45101</v>
      </c>
      <c r="L498" s="7" t="inlineStr"/>
      <c r="M498" s="5" t="inlineStr">
        <is>
          <t>Yes</t>
        </is>
      </c>
      <c r="N498" s="5" t="inlineStr"/>
      <c r="O498" s="8" t="inlineStr">
        <is>
          <t>93500</t>
        </is>
      </c>
      <c r="P498" s="5" t="inlineStr">
        <is>
          <t>0</t>
        </is>
      </c>
      <c r="Q498" s="5" t="inlineStr">
        <is>
          <t>4</t>
        </is>
      </c>
      <c r="R498" s="5" t="inlineStr">
        <is>
          <t>7</t>
        </is>
      </c>
      <c r="S498" s="5" t="inlineStr">
        <is>
          <t>30</t>
        </is>
      </c>
      <c r="T498" s="5" t="inlineStr">
        <is>
          <t>6</t>
        </is>
      </c>
      <c r="U498" s="5" t="inlineStr">
        <is>
          <t>OK</t>
        </is>
      </c>
    </row>
    <row r="499">
      <c r="A499" s="5" t="inlineStr">
        <is>
          <t>E02228</t>
        </is>
      </c>
      <c r="B499" s="5" t="inlineStr">
        <is>
          <t>Male</t>
        </is>
      </c>
      <c r="C499" s="6" t="inlineStr">
        <is>
          <t>39</t>
        </is>
      </c>
      <c r="D499" s="5" t="inlineStr">
        <is>
          <t>Married</t>
        </is>
      </c>
      <c r="E499" s="5" t="inlineStr">
        <is>
          <t>Diploma</t>
        </is>
      </c>
      <c r="F499" s="5" t="inlineStr">
        <is>
          <t>Finance</t>
        </is>
      </c>
      <c r="G499" s="5" t="inlineStr">
        <is>
          <t>Credit Analyst</t>
        </is>
      </c>
      <c r="H499" s="5" t="inlineStr">
        <is>
          <t>5</t>
        </is>
      </c>
      <c r="I499" s="5" t="inlineStr">
        <is>
          <t>Mumbai</t>
        </is>
      </c>
      <c r="J499" s="5" t="inlineStr">
        <is>
          <t>Part-Time</t>
        </is>
      </c>
      <c r="K499" s="7" t="n">
        <v>44812</v>
      </c>
      <c r="L499" s="7" t="inlineStr"/>
      <c r="M499" s="5" t="inlineStr">
        <is>
          <t>Yes</t>
        </is>
      </c>
      <c r="N499" s="5" t="inlineStr"/>
      <c r="O499" s="8" t="inlineStr">
        <is>
          <t>168500</t>
        </is>
      </c>
      <c r="P499" s="5" t="inlineStr">
        <is>
          <t>5</t>
        </is>
      </c>
      <c r="Q499" s="5" t="inlineStr">
        <is>
          <t>2</t>
        </is>
      </c>
      <c r="R499" s="5" t="inlineStr">
        <is>
          <t>5</t>
        </is>
      </c>
      <c r="S499" s="5" t="inlineStr">
        <is>
          <t>40</t>
        </is>
      </c>
      <c r="T499" s="5" t="inlineStr">
        <is>
          <t>16</t>
        </is>
      </c>
      <c r="U499" s="5" t="inlineStr">
        <is>
          <t>OK</t>
        </is>
      </c>
    </row>
    <row r="500">
      <c r="A500" s="5" t="inlineStr">
        <is>
          <t>E01136</t>
        </is>
      </c>
      <c r="B500" s="5" t="inlineStr">
        <is>
          <t>Male</t>
        </is>
      </c>
      <c r="C500" s="6" t="inlineStr">
        <is>
          <t>35</t>
        </is>
      </c>
      <c r="D500" s="5" t="inlineStr">
        <is>
          <t>Married</t>
        </is>
      </c>
      <c r="E500" s="5" t="inlineStr">
        <is>
          <t>PhD</t>
        </is>
      </c>
      <c r="F500" s="5" t="inlineStr">
        <is>
          <t>Customer Support</t>
        </is>
      </c>
      <c r="G500" s="5" t="inlineStr">
        <is>
          <t>Escalation Specialist</t>
        </is>
      </c>
      <c r="H500" s="5" t="inlineStr">
        <is>
          <t>2</t>
        </is>
      </c>
      <c r="I500" s="5" t="inlineStr">
        <is>
          <t>Mumbai</t>
        </is>
      </c>
      <c r="J500" s="5" t="inlineStr">
        <is>
          <t>Full-Time</t>
        </is>
      </c>
      <c r="K500" s="7" t="n">
        <v>45359</v>
      </c>
      <c r="L500" s="7" t="inlineStr"/>
      <c r="M500" s="5" t="inlineStr">
        <is>
          <t>Yes</t>
        </is>
      </c>
      <c r="N500" s="5" t="inlineStr"/>
      <c r="O500" s="8" t="inlineStr">
        <is>
          <t>49500</t>
        </is>
      </c>
      <c r="P500" s="5" t="inlineStr">
        <is>
          <t>10</t>
        </is>
      </c>
      <c r="Q500" s="5" t="inlineStr">
        <is>
          <t>4</t>
        </is>
      </c>
      <c r="R500" s="5" t="inlineStr">
        <is>
          <t>5</t>
        </is>
      </c>
      <c r="S500" s="5" t="inlineStr">
        <is>
          <t>22</t>
        </is>
      </c>
      <c r="T500" s="5" t="inlineStr">
        <is>
          <t>10</t>
        </is>
      </c>
      <c r="U500" s="5" t="inlineStr">
        <is>
          <t>OK</t>
        </is>
      </c>
    </row>
    <row r="501">
      <c r="A501" s="5" t="inlineStr">
        <is>
          <t>E02762</t>
        </is>
      </c>
      <c r="B501" s="5" t="inlineStr">
        <is>
          <t>Male</t>
        </is>
      </c>
      <c r="C501" s="6" t="inlineStr">
        <is>
          <t>30</t>
        </is>
      </c>
      <c r="D501" s="5" t="inlineStr">
        <is>
          <t>Single</t>
        </is>
      </c>
      <c r="E501" s="5" t="inlineStr">
        <is>
          <t>Master</t>
        </is>
      </c>
      <c r="F501" s="5" t="inlineStr">
        <is>
          <t>Research &amp; Development</t>
        </is>
      </c>
      <c r="G501" s="5" t="inlineStr">
        <is>
          <t>Product Engineer</t>
        </is>
      </c>
      <c r="H501" s="5" t="inlineStr">
        <is>
          <t>2</t>
        </is>
      </c>
      <c r="I501" s="5" t="inlineStr">
        <is>
          <t>Remote</t>
        </is>
      </c>
      <c r="J501" s="5" t="inlineStr">
        <is>
          <t>Full-Time</t>
        </is>
      </c>
      <c r="K501" s="7" t="n">
        <v>43921</v>
      </c>
      <c r="L501" s="7" t="inlineStr"/>
      <c r="M501" s="5" t="inlineStr">
        <is>
          <t>Yes</t>
        </is>
      </c>
      <c r="N501" s="5" t="inlineStr"/>
      <c r="O501" s="8" t="inlineStr">
        <is>
          <t>161000</t>
        </is>
      </c>
      <c r="P501" s="5" t="inlineStr">
        <is>
          <t>5</t>
        </is>
      </c>
      <c r="Q501" s="5" t="inlineStr">
        <is>
          <t>4</t>
        </is>
      </c>
      <c r="R501" s="5" t="inlineStr">
        <is>
          <t>6</t>
        </is>
      </c>
      <c r="S501" s="5" t="inlineStr">
        <is>
          <t>70</t>
        </is>
      </c>
      <c r="T501" s="5" t="inlineStr">
        <is>
          <t>3</t>
        </is>
      </c>
      <c r="U501" s="5" t="inlineStr">
        <is>
          <t>Duplicate</t>
        </is>
      </c>
    </row>
    <row r="502">
      <c r="A502" s="5" t="inlineStr">
        <is>
          <t>E00084</t>
        </is>
      </c>
      <c r="B502" s="5" t="inlineStr">
        <is>
          <t>Male</t>
        </is>
      </c>
      <c r="C502" s="6" t="inlineStr">
        <is>
          <t>29</t>
        </is>
      </c>
      <c r="D502" s="5" t="inlineStr">
        <is>
          <t>Married</t>
        </is>
      </c>
      <c r="E502" s="5" t="inlineStr">
        <is>
          <t>High School</t>
        </is>
      </c>
      <c r="F502" s="5" t="inlineStr">
        <is>
          <t>IT</t>
        </is>
      </c>
      <c r="G502" s="5" t="inlineStr">
        <is>
          <t>IT Support</t>
        </is>
      </c>
      <c r="H502" s="5" t="inlineStr">
        <is>
          <t>1</t>
        </is>
      </c>
      <c r="I502" s="5" t="inlineStr">
        <is>
          <t>Bengaluru</t>
        </is>
      </c>
      <c r="J502" s="5" t="inlineStr">
        <is>
          <t>Full-Time</t>
        </is>
      </c>
      <c r="K502" s="7" t="n">
        <v>44253</v>
      </c>
      <c r="L502" s="7" t="inlineStr"/>
      <c r="M502" s="5" t="inlineStr">
        <is>
          <t>Yes</t>
        </is>
      </c>
      <c r="N502" s="5" t="inlineStr"/>
      <c r="O502" s="8" t="inlineStr">
        <is>
          <t>88000</t>
        </is>
      </c>
      <c r="P502" s="5" t="inlineStr">
        <is>
          <t>5</t>
        </is>
      </c>
      <c r="Q502" s="5" t="inlineStr">
        <is>
          <t>5</t>
        </is>
      </c>
      <c r="R502" s="5" t="inlineStr">
        <is>
          <t>6</t>
        </is>
      </c>
      <c r="S502" s="5" t="inlineStr">
        <is>
          <t>58</t>
        </is>
      </c>
      <c r="T502" s="5" t="inlineStr">
        <is>
          <t>5</t>
        </is>
      </c>
      <c r="U502" s="5" t="inlineStr">
        <is>
          <t>OK</t>
        </is>
      </c>
    </row>
    <row r="503">
      <c r="A503" s="5" t="inlineStr">
        <is>
          <t>E02338</t>
        </is>
      </c>
      <c r="B503" s="5" t="inlineStr">
        <is>
          <t>Female</t>
        </is>
      </c>
      <c r="C503" s="6" t="inlineStr">
        <is>
          <t>26</t>
        </is>
      </c>
      <c r="D503" s="5" t="inlineStr">
        <is>
          <t>Married</t>
        </is>
      </c>
      <c r="E503" s="5" t="inlineStr">
        <is>
          <t>Master</t>
        </is>
      </c>
      <c r="F503" s="5" t="inlineStr">
        <is>
          <t>IT</t>
        </is>
      </c>
      <c r="G503" s="5" t="inlineStr">
        <is>
          <t>DevOps Engineer</t>
        </is>
      </c>
      <c r="H503" s="5" t="inlineStr">
        <is>
          <t>1</t>
        </is>
      </c>
      <c r="I503" s="5" t="inlineStr">
        <is>
          <t>Delhi</t>
        </is>
      </c>
      <c r="J503" s="5" t="inlineStr">
        <is>
          <t>Contract</t>
        </is>
      </c>
      <c r="K503" s="7" t="n">
        <v>45938</v>
      </c>
      <c r="L503" s="7" t="inlineStr"/>
      <c r="M503" s="5" t="inlineStr">
        <is>
          <t>Yes</t>
        </is>
      </c>
      <c r="N503" s="5" t="inlineStr"/>
      <c r="O503" s="8" t="inlineStr">
        <is>
          <t>96500</t>
        </is>
      </c>
      <c r="P503" s="5" t="inlineStr">
        <is>
          <t>0</t>
        </is>
      </c>
      <c r="Q503" s="5" t="inlineStr">
        <is>
          <t>1</t>
        </is>
      </c>
      <c r="R503" s="5" t="inlineStr">
        <is>
          <t>6</t>
        </is>
      </c>
      <c r="S503" s="5" t="inlineStr">
        <is>
          <t>2</t>
        </is>
      </c>
      <c r="T503" s="5" t="inlineStr">
        <is>
          <t>0</t>
        </is>
      </c>
      <c r="U503" s="5" t="inlineStr">
        <is>
          <t>OK</t>
        </is>
      </c>
    </row>
    <row r="504">
      <c r="A504" s="5" t="inlineStr">
        <is>
          <t>E00571</t>
        </is>
      </c>
      <c r="B504" s="5" t="inlineStr">
        <is>
          <t>Female</t>
        </is>
      </c>
      <c r="C504" s="6" t="inlineStr">
        <is>
          <t>25</t>
        </is>
      </c>
      <c r="D504" s="5" t="inlineStr">
        <is>
          <t>Married</t>
        </is>
      </c>
      <c r="E504" s="5" t="inlineStr">
        <is>
          <t>Master</t>
        </is>
      </c>
      <c r="F504" s="5" t="inlineStr">
        <is>
          <t>Sales</t>
        </is>
      </c>
      <c r="G504" s="5" t="inlineStr">
        <is>
          <t>Account Executive</t>
        </is>
      </c>
      <c r="H504" s="5" t="inlineStr">
        <is>
          <t>1</t>
        </is>
      </c>
      <c r="I504" s="5" t="inlineStr">
        <is>
          <t>Chennai</t>
        </is>
      </c>
      <c r="J504" s="5" t="inlineStr">
        <is>
          <t>Full-Time</t>
        </is>
      </c>
      <c r="K504" s="7" t="n">
        <v>45073</v>
      </c>
      <c r="L504" s="7" t="n">
        <v>45115</v>
      </c>
      <c r="M504" s="5" t="inlineStr">
        <is>
          <t>No</t>
        </is>
      </c>
      <c r="N504" s="5" t="inlineStr">
        <is>
          <t>Resigned</t>
        </is>
      </c>
      <c r="O504" s="8" t="inlineStr">
        <is>
          <t>106000</t>
        </is>
      </c>
      <c r="P504" s="5" t="inlineStr">
        <is>
          <t>10</t>
        </is>
      </c>
      <c r="Q504" s="5" t="inlineStr">
        <is>
          <t>5</t>
        </is>
      </c>
      <c r="R504" s="5" t="inlineStr">
        <is>
          <t>6</t>
        </is>
      </c>
      <c r="S504" s="5" t="inlineStr">
        <is>
          <t>1</t>
        </is>
      </c>
      <c r="T504" s="5" t="inlineStr">
        <is>
          <t>7</t>
        </is>
      </c>
      <c r="U504" s="5" t="inlineStr">
        <is>
          <t>OK</t>
        </is>
      </c>
    </row>
    <row r="505">
      <c r="A505" s="5" t="inlineStr">
        <is>
          <t>E01103</t>
        </is>
      </c>
      <c r="B505" s="5" t="inlineStr">
        <is>
          <t>Female</t>
        </is>
      </c>
      <c r="C505" s="6" t="inlineStr">
        <is>
          <t>28</t>
        </is>
      </c>
      <c r="D505" s="5" t="inlineStr">
        <is>
          <t>Single</t>
        </is>
      </c>
      <c r="E505" s="5" t="inlineStr">
        <is>
          <t>Diploma</t>
        </is>
      </c>
      <c r="F505" s="5" t="inlineStr">
        <is>
          <t>Marketing</t>
        </is>
      </c>
      <c r="G505" s="5" t="inlineStr">
        <is>
          <t>SEO Specialist</t>
        </is>
      </c>
      <c r="H505" s="5" t="inlineStr">
        <is>
          <t>1</t>
        </is>
      </c>
      <c r="I505" s="5" t="inlineStr">
        <is>
          <t>Chennai</t>
        </is>
      </c>
      <c r="J505" s="5" t="inlineStr">
        <is>
          <t>Full-Time</t>
        </is>
      </c>
      <c r="K505" s="7" t="n">
        <v>44931</v>
      </c>
      <c r="L505" s="7" t="inlineStr"/>
      <c r="M505" s="5" t="inlineStr">
        <is>
          <t>Yes</t>
        </is>
      </c>
      <c r="N505" s="5" t="inlineStr"/>
      <c r="O505" s="8" t="inlineStr">
        <is>
          <t>80500</t>
        </is>
      </c>
      <c r="P505" s="5" t="inlineStr">
        <is>
          <t>0</t>
        </is>
      </c>
      <c r="Q505" s="5" t="inlineStr">
        <is>
          <t>3</t>
        </is>
      </c>
      <c r="R505" s="5" t="inlineStr">
        <is>
          <t>3</t>
        </is>
      </c>
      <c r="S505" s="5" t="inlineStr">
        <is>
          <t>36</t>
        </is>
      </c>
      <c r="T505" s="5" t="inlineStr">
        <is>
          <t>11</t>
        </is>
      </c>
      <c r="U505" s="5" t="inlineStr">
        <is>
          <t>OK</t>
        </is>
      </c>
    </row>
    <row r="506">
      <c r="A506" s="5" t="inlineStr">
        <is>
          <t>E01593</t>
        </is>
      </c>
      <c r="B506" s="5" t="inlineStr">
        <is>
          <t>Female</t>
        </is>
      </c>
      <c r="C506" s="6" t="inlineStr">
        <is>
          <t>35</t>
        </is>
      </c>
      <c r="D506" s="5" t="inlineStr">
        <is>
          <t>Divorced</t>
        </is>
      </c>
      <c r="E506" s="5" t="inlineStr">
        <is>
          <t>PhD</t>
        </is>
      </c>
      <c r="F506" s="5" t="inlineStr">
        <is>
          <t>IT</t>
        </is>
      </c>
      <c r="G506" s="5" t="inlineStr">
        <is>
          <t>Software Engineer</t>
        </is>
      </c>
      <c r="H506" s="5" t="inlineStr">
        <is>
          <t>5</t>
        </is>
      </c>
      <c r="I506" s="5" t="inlineStr">
        <is>
          <t>Hyderabad</t>
        </is>
      </c>
      <c r="J506" s="5" t="inlineStr">
        <is>
          <t>Full-Time</t>
        </is>
      </c>
      <c r="K506" s="7" t="n">
        <v>44530</v>
      </c>
      <c r="L506" s="7" t="inlineStr"/>
      <c r="M506" s="5" t="inlineStr">
        <is>
          <t>Yes</t>
        </is>
      </c>
      <c r="N506" s="5" t="inlineStr"/>
      <c r="O506" s="8" t="inlineStr">
        <is>
          <t>210000</t>
        </is>
      </c>
      <c r="P506" s="5" t="inlineStr">
        <is>
          <t>5</t>
        </is>
      </c>
      <c r="Q506" s="5" t="inlineStr">
        <is>
          <t>3</t>
        </is>
      </c>
      <c r="R506" s="5" t="inlineStr">
        <is>
          <t>7</t>
        </is>
      </c>
      <c r="S506" s="5" t="inlineStr">
        <is>
          <t>49</t>
        </is>
      </c>
      <c r="T506" s="5" t="inlineStr">
        <is>
          <t>0</t>
        </is>
      </c>
      <c r="U506" s="5" t="inlineStr">
        <is>
          <t>OK</t>
        </is>
      </c>
    </row>
    <row r="507">
      <c r="A507" s="5" t="inlineStr">
        <is>
          <t>E02578</t>
        </is>
      </c>
      <c r="B507" s="5" t="inlineStr">
        <is>
          <t>Female</t>
        </is>
      </c>
      <c r="C507" s="6" t="inlineStr">
        <is>
          <t>41</t>
        </is>
      </c>
      <c r="D507" s="5" t="inlineStr">
        <is>
          <t>Single</t>
        </is>
      </c>
      <c r="E507" s="5" t="inlineStr">
        <is>
          <t>Bachelor</t>
        </is>
      </c>
      <c r="F507" s="5" t="inlineStr">
        <is>
          <t>Finance</t>
        </is>
      </c>
      <c r="G507" s="5" t="inlineStr">
        <is>
          <t>Credit Analyst</t>
        </is>
      </c>
      <c r="H507" s="5" t="inlineStr">
        <is>
          <t>5</t>
        </is>
      </c>
      <c r="I507" s="5" t="inlineStr">
        <is>
          <t>Chennai</t>
        </is>
      </c>
      <c r="J507" s="5" t="inlineStr">
        <is>
          <t>Full-Time</t>
        </is>
      </c>
      <c r="K507" s="7" t="n">
        <v>44193</v>
      </c>
      <c r="L507" s="7" t="inlineStr"/>
      <c r="M507" s="5" t="inlineStr">
        <is>
          <t>Yes</t>
        </is>
      </c>
      <c r="N507" s="5" t="inlineStr"/>
      <c r="O507" s="8" t="inlineStr">
        <is>
          <t>130500</t>
        </is>
      </c>
      <c r="P507" s="5" t="inlineStr">
        <is>
          <t>0</t>
        </is>
      </c>
      <c r="Q507" s="5" t="inlineStr">
        <is>
          <t>3</t>
        </is>
      </c>
      <c r="R507" s="5" t="inlineStr">
        <is>
          <t>5</t>
        </is>
      </c>
      <c r="S507" s="5" t="inlineStr">
        <is>
          <t>60</t>
        </is>
      </c>
      <c r="T507" s="5" t="inlineStr">
        <is>
          <t>8</t>
        </is>
      </c>
      <c r="U507" s="5" t="inlineStr">
        <is>
          <t>OK</t>
        </is>
      </c>
    </row>
    <row r="508">
      <c r="A508" s="5" t="inlineStr">
        <is>
          <t>E02895</t>
        </is>
      </c>
      <c r="B508" s="5" t="inlineStr">
        <is>
          <t>Male</t>
        </is>
      </c>
      <c r="C508" s="6" t="inlineStr">
        <is>
          <t>28</t>
        </is>
      </c>
      <c r="D508" s="5" t="inlineStr">
        <is>
          <t>Married</t>
        </is>
      </c>
      <c r="E508" s="5" t="inlineStr">
        <is>
          <t>Master</t>
        </is>
      </c>
      <c r="F508" s="5" t="inlineStr">
        <is>
          <t>Operations</t>
        </is>
      </c>
      <c r="G508" s="5" t="inlineStr">
        <is>
          <t>Quality Analyst</t>
        </is>
      </c>
      <c r="H508" s="5" t="inlineStr">
        <is>
          <t>1</t>
        </is>
      </c>
      <c r="I508" s="5" t="inlineStr">
        <is>
          <t>Remote</t>
        </is>
      </c>
      <c r="J508" s="5" t="inlineStr">
        <is>
          <t>Full-Time</t>
        </is>
      </c>
      <c r="K508" s="7" t="n">
        <v>45518</v>
      </c>
      <c r="L508" s="7" t="n">
        <v>45585</v>
      </c>
      <c r="M508" s="5" t="inlineStr">
        <is>
          <t>No</t>
        </is>
      </c>
      <c r="N508" s="5" t="inlineStr">
        <is>
          <t>Relocation</t>
        </is>
      </c>
      <c r="O508" s="8" t="inlineStr">
        <is>
          <t>94500</t>
        </is>
      </c>
      <c r="P508" s="5" t="inlineStr">
        <is>
          <t>15</t>
        </is>
      </c>
      <c r="Q508" s="5" t="inlineStr">
        <is>
          <t>4</t>
        </is>
      </c>
      <c r="R508" s="5" t="inlineStr">
        <is>
          <t>2</t>
        </is>
      </c>
      <c r="S508" s="5" t="inlineStr">
        <is>
          <t>2</t>
        </is>
      </c>
      <c r="T508" s="5" t="inlineStr">
        <is>
          <t>0</t>
        </is>
      </c>
      <c r="U508" s="5" t="inlineStr">
        <is>
          <t>OK</t>
        </is>
      </c>
    </row>
    <row r="509">
      <c r="A509" s="5" t="inlineStr">
        <is>
          <t>E02542</t>
        </is>
      </c>
      <c r="B509" s="5" t="inlineStr">
        <is>
          <t>Male</t>
        </is>
      </c>
      <c r="C509" s="6" t="inlineStr">
        <is>
          <t>25</t>
        </is>
      </c>
      <c r="D509" s="5" t="inlineStr">
        <is>
          <t>Single</t>
        </is>
      </c>
      <c r="E509" s="5" t="inlineStr">
        <is>
          <t>PhD</t>
        </is>
      </c>
      <c r="F509" s="5" t="inlineStr">
        <is>
          <t>Operations</t>
        </is>
      </c>
      <c r="G509" s="5" t="inlineStr">
        <is>
          <t>Quality Analyst</t>
        </is>
      </c>
      <c r="H509" s="5" t="inlineStr">
        <is>
          <t>2</t>
        </is>
      </c>
      <c r="I509" s="5" t="inlineStr">
        <is>
          <t>Hyderabad</t>
        </is>
      </c>
      <c r="J509" s="5" t="inlineStr">
        <is>
          <t>Full-Time</t>
        </is>
      </c>
      <c r="K509" s="7" t="n">
        <v>45106</v>
      </c>
      <c r="L509" s="7" t="n">
        <v>45228</v>
      </c>
      <c r="M509" s="5" t="inlineStr">
        <is>
          <t>No</t>
        </is>
      </c>
      <c r="N509" s="5" t="inlineStr">
        <is>
          <t>Resigned</t>
        </is>
      </c>
      <c r="O509" s="8" t="inlineStr"/>
      <c r="P509" s="5" t="inlineStr">
        <is>
          <t>5</t>
        </is>
      </c>
      <c r="Q509" s="5" t="inlineStr">
        <is>
          <t>2</t>
        </is>
      </c>
      <c r="R509" s="5" t="inlineStr">
        <is>
          <t>5</t>
        </is>
      </c>
      <c r="S509" s="5" t="inlineStr">
        <is>
          <t>4</t>
        </is>
      </c>
      <c r="T509" s="5" t="inlineStr">
        <is>
          <t>1</t>
        </is>
      </c>
      <c r="U509" s="5" t="inlineStr">
        <is>
          <t>Blank salary</t>
        </is>
      </c>
    </row>
    <row r="510">
      <c r="A510" s="5" t="inlineStr">
        <is>
          <t>E00806</t>
        </is>
      </c>
      <c r="B510" s="5" t="inlineStr">
        <is>
          <t>Male</t>
        </is>
      </c>
      <c r="C510" s="6" t="inlineStr">
        <is>
          <t>30</t>
        </is>
      </c>
      <c r="D510" s="5" t="inlineStr">
        <is>
          <t>Married</t>
        </is>
      </c>
      <c r="E510" s="5" t="inlineStr">
        <is>
          <t>Bachelor</t>
        </is>
      </c>
      <c r="F510" s="5" t="inlineStr">
        <is>
          <t>Marketing</t>
        </is>
      </c>
      <c r="G510" s="5" t="inlineStr">
        <is>
          <t>Marketing Analyst</t>
        </is>
      </c>
      <c r="H510" s="5" t="inlineStr">
        <is>
          <t>4</t>
        </is>
      </c>
      <c r="I510" s="5" t="inlineStr">
        <is>
          <t>Delhi</t>
        </is>
      </c>
      <c r="J510" s="5" t="inlineStr">
        <is>
          <t>Full-Time</t>
        </is>
      </c>
      <c r="K510" s="7" t="n">
        <v>44997</v>
      </c>
      <c r="L510" s="7" t="inlineStr"/>
      <c r="M510" s="5" t="inlineStr">
        <is>
          <t>Yes</t>
        </is>
      </c>
      <c r="N510" s="5" t="inlineStr"/>
      <c r="O510" s="8" t="inlineStr">
        <is>
          <t>128500</t>
        </is>
      </c>
      <c r="P510" s="5" t="inlineStr">
        <is>
          <t>0</t>
        </is>
      </c>
      <c r="Q510" s="5" t="inlineStr">
        <is>
          <t>5</t>
        </is>
      </c>
      <c r="R510" s="5" t="inlineStr">
        <is>
          <t>4</t>
        </is>
      </c>
      <c r="S510" s="5" t="inlineStr">
        <is>
          <t>34</t>
        </is>
      </c>
      <c r="T510" s="5" t="inlineStr">
        <is>
          <t>10</t>
        </is>
      </c>
      <c r="U510" s="5" t="inlineStr">
        <is>
          <t>OK</t>
        </is>
      </c>
    </row>
    <row r="511">
      <c r="A511" s="5" t="inlineStr">
        <is>
          <t>E02779</t>
        </is>
      </c>
      <c r="B511" s="5" t="inlineStr">
        <is>
          <t>Female</t>
        </is>
      </c>
      <c r="C511" s="6" t="inlineStr">
        <is>
          <t>30</t>
        </is>
      </c>
      <c r="D511" s="5" t="inlineStr">
        <is>
          <t>Married</t>
        </is>
      </c>
      <c r="E511" s="5" t="inlineStr">
        <is>
          <t>Bachelor</t>
        </is>
      </c>
      <c r="F511" s="5" t="inlineStr">
        <is>
          <t>Executive</t>
        </is>
      </c>
      <c r="G511" s="5" t="inlineStr">
        <is>
          <t>COO</t>
        </is>
      </c>
      <c r="H511" s="5" t="inlineStr">
        <is>
          <t>1</t>
        </is>
      </c>
      <c r="I511" s="5" t="inlineStr">
        <is>
          <t>Remote</t>
        </is>
      </c>
      <c r="J511" s="5" t="inlineStr">
        <is>
          <t>Full-Time</t>
        </is>
      </c>
      <c r="K511" s="7" t="n">
        <v>45331</v>
      </c>
      <c r="L511" s="7" t="inlineStr"/>
      <c r="M511" s="5" t="inlineStr">
        <is>
          <t>Yes</t>
        </is>
      </c>
      <c r="N511" s="5" t="inlineStr"/>
      <c r="O511" s="8" t="inlineStr">
        <is>
          <t>157500</t>
        </is>
      </c>
      <c r="P511" s="5" t="inlineStr">
        <is>
          <t>10</t>
        </is>
      </c>
      <c r="Q511" s="5" t="inlineStr">
        <is>
          <t>3</t>
        </is>
      </c>
      <c r="R511" s="5" t="inlineStr">
        <is>
          <t>6</t>
        </is>
      </c>
      <c r="S511" s="5" t="inlineStr">
        <is>
          <t>23</t>
        </is>
      </c>
      <c r="T511" s="5" t="inlineStr">
        <is>
          <t>5</t>
        </is>
      </c>
      <c r="U511" s="5" t="inlineStr">
        <is>
          <t>OK</t>
        </is>
      </c>
    </row>
    <row r="512">
      <c r="A512" s="5" t="inlineStr">
        <is>
          <t>E00245</t>
        </is>
      </c>
      <c r="B512" s="5" t="inlineStr">
        <is>
          <t>Female</t>
        </is>
      </c>
      <c r="C512" s="6" t="inlineStr">
        <is>
          <t>28</t>
        </is>
      </c>
      <c r="D512" s="5" t="inlineStr">
        <is>
          <t>Married</t>
        </is>
      </c>
      <c r="E512" s="5" t="inlineStr">
        <is>
          <t>Bachelor</t>
        </is>
      </c>
      <c r="F512" s="5" t="inlineStr">
        <is>
          <t>Customer Support</t>
        </is>
      </c>
      <c r="G512" s="5" t="inlineStr">
        <is>
          <t>Support Lead</t>
        </is>
      </c>
      <c r="H512" s="5" t="inlineStr">
        <is>
          <t>2</t>
        </is>
      </c>
      <c r="I512" s="5" t="inlineStr">
        <is>
          <t>Delhi</t>
        </is>
      </c>
      <c r="J512" s="5" t="inlineStr">
        <is>
          <t>Full-Time</t>
        </is>
      </c>
      <c r="K512" s="7" t="n">
        <v>44013</v>
      </c>
      <c r="L512" s="7" t="inlineStr"/>
      <c r="M512" s="5" t="inlineStr">
        <is>
          <t>Yes</t>
        </is>
      </c>
      <c r="N512" s="5" t="inlineStr"/>
      <c r="O512" s="8" t="inlineStr">
        <is>
          <t>66000</t>
        </is>
      </c>
      <c r="P512" s="5" t="inlineStr">
        <is>
          <t>0</t>
        </is>
      </c>
      <c r="Q512" s="5" t="inlineStr">
        <is>
          <t>3</t>
        </is>
      </c>
      <c r="R512" s="5" t="inlineStr">
        <is>
          <t>4</t>
        </is>
      </c>
      <c r="S512" s="5" t="inlineStr">
        <is>
          <t>66</t>
        </is>
      </c>
      <c r="T512" s="5" t="inlineStr">
        <is>
          <t>0</t>
        </is>
      </c>
      <c r="U512" s="5" t="inlineStr">
        <is>
          <t>OK</t>
        </is>
      </c>
    </row>
    <row r="513">
      <c r="A513" s="5" t="inlineStr">
        <is>
          <t>E02530</t>
        </is>
      </c>
      <c r="B513" s="5" t="inlineStr">
        <is>
          <t>Female</t>
        </is>
      </c>
      <c r="C513" s="6" t="inlineStr">
        <is>
          <t>34</t>
        </is>
      </c>
      <c r="D513" s="5" t="inlineStr">
        <is>
          <t>Married</t>
        </is>
      </c>
      <c r="E513" s="5" t="inlineStr">
        <is>
          <t>Diploma</t>
        </is>
      </c>
      <c r="F513" s="5" t="inlineStr">
        <is>
          <t>Customer Support</t>
        </is>
      </c>
      <c r="G513" s="5" t="inlineStr">
        <is>
          <t>Support Agent</t>
        </is>
      </c>
      <c r="H513" s="5" t="inlineStr">
        <is>
          <t>1</t>
        </is>
      </c>
      <c r="I513" s="5" t="inlineStr">
        <is>
          <t>Chennai</t>
        </is>
      </c>
      <c r="J513" s="5" t="inlineStr">
        <is>
          <t>Contract</t>
        </is>
      </c>
      <c r="K513" s="7" t="n">
        <v>44912</v>
      </c>
      <c r="L513" s="7" t="n">
        <v>45054</v>
      </c>
      <c r="M513" s="5" t="inlineStr">
        <is>
          <t>No</t>
        </is>
      </c>
      <c r="N513" s="5" t="inlineStr">
        <is>
          <t>Retirement</t>
        </is>
      </c>
      <c r="O513" s="8" t="inlineStr">
        <is>
          <t>69500</t>
        </is>
      </c>
      <c r="P513" s="5" t="inlineStr">
        <is>
          <t>15</t>
        </is>
      </c>
      <c r="Q513" s="5" t="inlineStr">
        <is>
          <t>3</t>
        </is>
      </c>
      <c r="R513" s="5" t="inlineStr">
        <is>
          <t>4</t>
        </is>
      </c>
      <c r="S513" s="5" t="inlineStr">
        <is>
          <t>4</t>
        </is>
      </c>
      <c r="T513" s="5" t="inlineStr">
        <is>
          <t>0</t>
        </is>
      </c>
      <c r="U513" s="5" t="inlineStr">
        <is>
          <t>OK</t>
        </is>
      </c>
    </row>
    <row r="514">
      <c r="A514" s="5" t="inlineStr">
        <is>
          <t>E02490</t>
        </is>
      </c>
      <c r="B514" s="5" t="inlineStr">
        <is>
          <t>Female</t>
        </is>
      </c>
      <c r="C514" s="6" t="inlineStr">
        <is>
          <t>35</t>
        </is>
      </c>
      <c r="D514" s="5" t="inlineStr">
        <is>
          <t>Married</t>
        </is>
      </c>
      <c r="E514" s="5" t="inlineStr">
        <is>
          <t>Diploma</t>
        </is>
      </c>
      <c r="F514" s="5" t="inlineStr">
        <is>
          <t>IT</t>
        </is>
      </c>
      <c r="G514" s="5" t="inlineStr">
        <is>
          <t>Data Analyst</t>
        </is>
      </c>
      <c r="H514" s="5" t="inlineStr">
        <is>
          <t>7</t>
        </is>
      </c>
      <c r="I514" s="5" t="inlineStr">
        <is>
          <t>Mumbai</t>
        </is>
      </c>
      <c r="J514" s="5" t="inlineStr">
        <is>
          <t>Full-Time</t>
        </is>
      </c>
      <c r="K514" s="7" t="n">
        <v>44285</v>
      </c>
      <c r="L514" s="7" t="inlineStr"/>
      <c r="M514" s="5" t="inlineStr">
        <is>
          <t>Yes</t>
        </is>
      </c>
      <c r="N514" s="5" t="inlineStr"/>
      <c r="O514" s="8" t="inlineStr"/>
      <c r="P514" s="5" t="inlineStr">
        <is>
          <t>0</t>
        </is>
      </c>
      <c r="Q514" s="5" t="inlineStr">
        <is>
          <t>3</t>
        </is>
      </c>
      <c r="R514" s="5" t="inlineStr">
        <is>
          <t>6</t>
        </is>
      </c>
      <c r="S514" s="5" t="inlineStr">
        <is>
          <t>57</t>
        </is>
      </c>
      <c r="T514" s="5" t="inlineStr">
        <is>
          <t>0</t>
        </is>
      </c>
      <c r="U514" s="5" t="inlineStr">
        <is>
          <t>Blank salary</t>
        </is>
      </c>
    </row>
    <row r="515">
      <c r="A515" s="5" t="inlineStr">
        <is>
          <t>E02222</t>
        </is>
      </c>
      <c r="B515" s="5" t="inlineStr">
        <is>
          <t>Male</t>
        </is>
      </c>
      <c r="C515" s="6" t="inlineStr">
        <is>
          <t>36</t>
        </is>
      </c>
      <c r="D515" s="5" t="inlineStr">
        <is>
          <t>Single</t>
        </is>
      </c>
      <c r="E515" s="5" t="inlineStr">
        <is>
          <t>High School</t>
        </is>
      </c>
      <c r="F515" s="5" t="inlineStr">
        <is>
          <t>Sales</t>
        </is>
      </c>
      <c r="G515" s="5" t="inlineStr">
        <is>
          <t>Sales Executive</t>
        </is>
      </c>
      <c r="H515" s="5" t="inlineStr">
        <is>
          <t>6</t>
        </is>
      </c>
      <c r="I515" s="5" t="inlineStr">
        <is>
          <t>Remote</t>
        </is>
      </c>
      <c r="J515" s="5" t="inlineStr">
        <is>
          <t>Full-Time</t>
        </is>
      </c>
      <c r="K515" s="7" t="n">
        <v>44677</v>
      </c>
      <c r="L515" s="7" t="inlineStr"/>
      <c r="M515" s="5" t="inlineStr">
        <is>
          <t>Yes</t>
        </is>
      </c>
      <c r="N515" s="5" t="inlineStr"/>
      <c r="O515" s="8" t="inlineStr">
        <is>
          <t>179500</t>
        </is>
      </c>
      <c r="P515" s="5" t="inlineStr">
        <is>
          <t>20</t>
        </is>
      </c>
      <c r="Q515" s="5" t="inlineStr">
        <is>
          <t>3</t>
        </is>
      </c>
      <c r="R515" s="5" t="inlineStr">
        <is>
          <t>5</t>
        </is>
      </c>
      <c r="S515" s="5" t="inlineStr">
        <is>
          <t>44</t>
        </is>
      </c>
      <c r="T515" s="5" t="inlineStr">
        <is>
          <t>0</t>
        </is>
      </c>
      <c r="U515" s="5" t="inlineStr">
        <is>
          <t>OK</t>
        </is>
      </c>
    </row>
    <row r="516">
      <c r="A516" s="5" t="inlineStr">
        <is>
          <t>E00713</t>
        </is>
      </c>
      <c r="B516" s="5" t="inlineStr">
        <is>
          <t>Male</t>
        </is>
      </c>
      <c r="C516" s="6" t="inlineStr">
        <is>
          <t>39</t>
        </is>
      </c>
      <c r="D516" s="5" t="inlineStr">
        <is>
          <t>Married</t>
        </is>
      </c>
      <c r="E516" s="5" t="inlineStr">
        <is>
          <t>Diploma</t>
        </is>
      </c>
      <c r="F516" s="5" t="inlineStr">
        <is>
          <t>IT</t>
        </is>
      </c>
      <c r="G516" s="5" t="inlineStr">
        <is>
          <t>IT Support</t>
        </is>
      </c>
      <c r="H516" s="5" t="inlineStr">
        <is>
          <t>4</t>
        </is>
      </c>
      <c r="I516" s="5" t="inlineStr">
        <is>
          <t>Hyderabad</t>
        </is>
      </c>
      <c r="J516" s="5" t="inlineStr">
        <is>
          <t>Full-Time</t>
        </is>
      </c>
      <c r="K516" s="7" t="n">
        <v>44145</v>
      </c>
      <c r="L516" s="7" t="inlineStr"/>
      <c r="M516" s="5" t="inlineStr">
        <is>
          <t>Yes</t>
        </is>
      </c>
      <c r="N516" s="5" t="inlineStr"/>
      <c r="O516" s="8" t="inlineStr">
        <is>
          <t>147000</t>
        </is>
      </c>
      <c r="P516" s="5" t="inlineStr">
        <is>
          <t>10</t>
        </is>
      </c>
      <c r="Q516" s="5" t="inlineStr">
        <is>
          <t>3</t>
        </is>
      </c>
      <c r="R516" s="5" t="inlineStr">
        <is>
          <t>6</t>
        </is>
      </c>
      <c r="S516" s="5" t="inlineStr">
        <is>
          <t>62</t>
        </is>
      </c>
      <c r="T516" s="5" t="inlineStr">
        <is>
          <t>14</t>
        </is>
      </c>
      <c r="U516" s="5" t="inlineStr">
        <is>
          <t>OK</t>
        </is>
      </c>
    </row>
    <row r="517">
      <c r="A517" s="5" t="inlineStr">
        <is>
          <t>E00469</t>
        </is>
      </c>
      <c r="B517" s="5" t="inlineStr">
        <is>
          <t>Female</t>
        </is>
      </c>
      <c r="C517" s="6" t="inlineStr">
        <is>
          <t>34</t>
        </is>
      </c>
      <c r="D517" s="5" t="inlineStr">
        <is>
          <t>Married</t>
        </is>
      </c>
      <c r="E517" s="5" t="inlineStr">
        <is>
          <t>Diploma</t>
        </is>
      </c>
      <c r="F517" s="5" t="inlineStr">
        <is>
          <t>Finance</t>
        </is>
      </c>
      <c r="G517" s="5" t="inlineStr">
        <is>
          <t>Accountant</t>
        </is>
      </c>
      <c r="H517" s="5" t="inlineStr">
        <is>
          <t>5</t>
        </is>
      </c>
      <c r="I517" s="5" t="inlineStr">
        <is>
          <t>Hyderabad</t>
        </is>
      </c>
      <c r="J517" s="5" t="inlineStr">
        <is>
          <t>Full-Time</t>
        </is>
      </c>
      <c r="K517" s="7" t="n">
        <v>46001</v>
      </c>
      <c r="L517" s="7" t="inlineStr"/>
      <c r="M517" s="5" t="inlineStr">
        <is>
          <t>Yes</t>
        </is>
      </c>
      <c r="N517" s="5" t="inlineStr"/>
      <c r="O517" s="8" t="inlineStr">
        <is>
          <t>121500</t>
        </is>
      </c>
      <c r="P517" s="5" t="inlineStr">
        <is>
          <t>5</t>
        </is>
      </c>
      <c r="Q517" s="5" t="inlineStr">
        <is>
          <t>4</t>
        </is>
      </c>
      <c r="R517" s="5" t="inlineStr">
        <is>
          <t>5</t>
        </is>
      </c>
      <c r="S517" s="5" t="inlineStr">
        <is>
          <t>1</t>
        </is>
      </c>
      <c r="T517" s="5" t="inlineStr">
        <is>
          <t>0</t>
        </is>
      </c>
      <c r="U517" s="5" t="inlineStr">
        <is>
          <t>OK</t>
        </is>
      </c>
    </row>
    <row r="518">
      <c r="A518" s="5" t="inlineStr">
        <is>
          <t>E01873</t>
        </is>
      </c>
      <c r="B518" s="5" t="inlineStr">
        <is>
          <t>Female</t>
        </is>
      </c>
      <c r="C518" s="6" t="inlineStr">
        <is>
          <t>29</t>
        </is>
      </c>
      <c r="D518" s="5" t="inlineStr">
        <is>
          <t>Married</t>
        </is>
      </c>
      <c r="E518" s="5" t="inlineStr">
        <is>
          <t>Bachelor</t>
        </is>
      </c>
      <c r="F518" s="5" t="inlineStr">
        <is>
          <t>IT</t>
        </is>
      </c>
      <c r="G518" s="5" t="inlineStr">
        <is>
          <t>IT Support</t>
        </is>
      </c>
      <c r="H518" s="5" t="inlineStr">
        <is>
          <t>2</t>
        </is>
      </c>
      <c r="I518" s="5" t="inlineStr">
        <is>
          <t>Mumbai</t>
        </is>
      </c>
      <c r="J518" s="5" t="inlineStr">
        <is>
          <t>Full-Time</t>
        </is>
      </c>
      <c r="K518" s="7" t="n">
        <v>45979</v>
      </c>
      <c r="L518" s="7" t="n">
        <v>45994</v>
      </c>
      <c r="M518" s="5" t="inlineStr">
        <is>
          <t>No</t>
        </is>
      </c>
      <c r="N518" s="5" t="inlineStr">
        <is>
          <t>Performance / Termination</t>
        </is>
      </c>
      <c r="O518" s="8" t="inlineStr">
        <is>
          <t>140500</t>
        </is>
      </c>
      <c r="P518" s="5" t="inlineStr">
        <is>
          <t>0</t>
        </is>
      </c>
      <c r="Q518" s="5" t="inlineStr">
        <is>
          <t>2</t>
        </is>
      </c>
      <c r="R518" s="5" t="inlineStr">
        <is>
          <t>4</t>
        </is>
      </c>
      <c r="S518" s="5" t="inlineStr">
        <is>
          <t>1</t>
        </is>
      </c>
      <c r="T518" s="5" t="inlineStr">
        <is>
          <t>1</t>
        </is>
      </c>
      <c r="U518" s="5" t="inlineStr">
        <is>
          <t>OK</t>
        </is>
      </c>
    </row>
    <row r="519">
      <c r="A519" s="5" t="inlineStr">
        <is>
          <t>E00384</t>
        </is>
      </c>
      <c r="B519" s="5" t="inlineStr">
        <is>
          <t>Female</t>
        </is>
      </c>
      <c r="C519" s="6" t="inlineStr">
        <is>
          <t>34</t>
        </is>
      </c>
      <c r="D519" s="5" t="inlineStr">
        <is>
          <t>Single</t>
        </is>
      </c>
      <c r="E519" s="5" t="inlineStr">
        <is>
          <t>PhD</t>
        </is>
      </c>
      <c r="F519" s="5" t="inlineStr">
        <is>
          <t>Sales</t>
        </is>
      </c>
      <c r="G519" s="5" t="inlineStr">
        <is>
          <t>Account Executive</t>
        </is>
      </c>
      <c r="H519" s="5" t="inlineStr">
        <is>
          <t>6</t>
        </is>
      </c>
      <c r="I519" s="5" t="inlineStr">
        <is>
          <t>Bengaluru</t>
        </is>
      </c>
      <c r="J519" s="5" t="inlineStr">
        <is>
          <t>Full-Time</t>
        </is>
      </c>
      <c r="K519" s="7" t="n">
        <v>45871</v>
      </c>
      <c r="L519" s="7" t="inlineStr"/>
      <c r="M519" s="5" t="inlineStr">
        <is>
          <t>Yes</t>
        </is>
      </c>
      <c r="N519" s="5" t="inlineStr"/>
      <c r="O519" s="8" t="inlineStr">
        <is>
          <t>111500</t>
        </is>
      </c>
      <c r="P519" s="5" t="inlineStr">
        <is>
          <t>5</t>
        </is>
      </c>
      <c r="Q519" s="5" t="inlineStr">
        <is>
          <t>4</t>
        </is>
      </c>
      <c r="R519" s="5" t="inlineStr">
        <is>
          <t>9</t>
        </is>
      </c>
      <c r="S519" s="5" t="inlineStr">
        <is>
          <t>5</t>
        </is>
      </c>
      <c r="T519" s="5" t="inlineStr">
        <is>
          <t>1</t>
        </is>
      </c>
      <c r="U519" s="5" t="inlineStr">
        <is>
          <t>OK</t>
        </is>
      </c>
    </row>
    <row r="520">
      <c r="A520" s="5" t="inlineStr">
        <is>
          <t>E02589</t>
        </is>
      </c>
      <c r="B520" s="5" t="inlineStr">
        <is>
          <t>Female</t>
        </is>
      </c>
      <c r="C520" s="6" t="inlineStr">
        <is>
          <t>41</t>
        </is>
      </c>
      <c r="D520" s="5" t="inlineStr">
        <is>
          <t>Married</t>
        </is>
      </c>
      <c r="E520" s="5" t="inlineStr">
        <is>
          <t>Diploma</t>
        </is>
      </c>
      <c r="F520" s="5" t="inlineStr">
        <is>
          <t>Customer Support</t>
        </is>
      </c>
      <c r="G520" s="5" t="inlineStr">
        <is>
          <t>Support Lead</t>
        </is>
      </c>
      <c r="H520" s="5" t="inlineStr">
        <is>
          <t>7</t>
        </is>
      </c>
      <c r="I520" s="5" t="inlineStr">
        <is>
          <t>Remote</t>
        </is>
      </c>
      <c r="J520" s="5" t="inlineStr">
        <is>
          <t>Full-Time</t>
        </is>
      </c>
      <c r="K520" s="7" t="n">
        <v>44464</v>
      </c>
      <c r="L520" s="7" t="inlineStr"/>
      <c r="M520" s="5" t="inlineStr">
        <is>
          <t>Yes</t>
        </is>
      </c>
      <c r="N520" s="5" t="inlineStr"/>
      <c r="O520" s="8" t="inlineStr">
        <is>
          <t>137000</t>
        </is>
      </c>
      <c r="P520" s="5" t="inlineStr">
        <is>
          <t>0</t>
        </is>
      </c>
      <c r="Q520" s="5" t="inlineStr">
        <is>
          <t>4</t>
        </is>
      </c>
      <c r="R520" s="5" t="inlineStr">
        <is>
          <t>7</t>
        </is>
      </c>
      <c r="S520" s="5" t="inlineStr">
        <is>
          <t>51</t>
        </is>
      </c>
      <c r="T520" s="5" t="inlineStr">
        <is>
          <t>11</t>
        </is>
      </c>
      <c r="U520" s="5" t="inlineStr">
        <is>
          <t>OK</t>
        </is>
      </c>
    </row>
    <row r="521">
      <c r="A521" s="5" t="inlineStr">
        <is>
          <t>E01203</t>
        </is>
      </c>
      <c r="B521" s="5" t="inlineStr">
        <is>
          <t>Female</t>
        </is>
      </c>
      <c r="C521" s="6" t="inlineStr">
        <is>
          <t>30</t>
        </is>
      </c>
      <c r="D521" s="5" t="inlineStr">
        <is>
          <t>Married</t>
        </is>
      </c>
      <c r="E521" s="5" t="inlineStr">
        <is>
          <t>Master</t>
        </is>
      </c>
      <c r="F521" s="5" t="inlineStr">
        <is>
          <t>Customer Support</t>
        </is>
      </c>
      <c r="G521" s="5" t="inlineStr">
        <is>
          <t>Support Lead</t>
        </is>
      </c>
      <c r="H521" s="5" t="inlineStr">
        <is>
          <t>2</t>
        </is>
      </c>
      <c r="I521" s="5" t="inlineStr">
        <is>
          <t>Bengaluru</t>
        </is>
      </c>
      <c r="J521" s="5" t="inlineStr">
        <is>
          <t>Full-Time</t>
        </is>
      </c>
      <c r="K521" s="7" t="n">
        <v>45763</v>
      </c>
      <c r="L521" s="7" t="inlineStr"/>
      <c r="M521" s="5" t="inlineStr">
        <is>
          <t>Yes</t>
        </is>
      </c>
      <c r="N521" s="5" t="inlineStr"/>
      <c r="O521" s="8" t="inlineStr">
        <is>
          <t>62000</t>
        </is>
      </c>
      <c r="P521" s="5" t="inlineStr">
        <is>
          <t>0</t>
        </is>
      </c>
      <c r="Q521" s="5" t="inlineStr">
        <is>
          <t>2</t>
        </is>
      </c>
      <c r="R521" s="5" t="inlineStr">
        <is>
          <t>3</t>
        </is>
      </c>
      <c r="S521" s="5" t="inlineStr">
        <is>
          <t>8</t>
        </is>
      </c>
      <c r="T521" s="5" t="inlineStr">
        <is>
          <t>6</t>
        </is>
      </c>
      <c r="U521" s="5" t="inlineStr">
        <is>
          <t>OK</t>
        </is>
      </c>
    </row>
    <row r="522">
      <c r="A522" s="5" t="inlineStr">
        <is>
          <t>E00158</t>
        </is>
      </c>
      <c r="B522" s="5" t="inlineStr">
        <is>
          <t>Female</t>
        </is>
      </c>
      <c r="C522" s="6" t="inlineStr">
        <is>
          <t>27</t>
        </is>
      </c>
      <c r="D522" s="5" t="inlineStr">
        <is>
          <t>Single</t>
        </is>
      </c>
      <c r="E522" s="5" t="inlineStr">
        <is>
          <t>High School</t>
        </is>
      </c>
      <c r="F522" s="5" t="inlineStr">
        <is>
          <t>Customer Support</t>
        </is>
      </c>
      <c r="G522" s="5" t="inlineStr">
        <is>
          <t>Escalation Specialist</t>
        </is>
      </c>
      <c r="H522" s="5" t="inlineStr">
        <is>
          <t>1</t>
        </is>
      </c>
      <c r="I522" s="5" t="inlineStr">
        <is>
          <t>Chennai</t>
        </is>
      </c>
      <c r="J522" s="5" t="inlineStr">
        <is>
          <t>Full-Time</t>
        </is>
      </c>
      <c r="K522" s="7" t="n">
        <v>45672</v>
      </c>
      <c r="L522" s="7" t="inlineStr"/>
      <c r="M522" s="5" t="inlineStr">
        <is>
          <t>Yes</t>
        </is>
      </c>
      <c r="N522" s="5" t="inlineStr"/>
      <c r="O522" s="8" t="inlineStr">
        <is>
          <t>46500</t>
        </is>
      </c>
      <c r="P522" s="5" t="inlineStr">
        <is>
          <t>0</t>
        </is>
      </c>
      <c r="Q522" s="5" t="inlineStr">
        <is>
          <t>4</t>
        </is>
      </c>
      <c r="R522" s="5" t="inlineStr">
        <is>
          <t>5</t>
        </is>
      </c>
      <c r="S522" s="5" t="inlineStr">
        <is>
          <t>11</t>
        </is>
      </c>
      <c r="T522" s="5" t="inlineStr">
        <is>
          <t>5</t>
        </is>
      </c>
      <c r="U522" s="5" t="inlineStr">
        <is>
          <t>OK</t>
        </is>
      </c>
    </row>
    <row r="523">
      <c r="A523" s="5" t="inlineStr">
        <is>
          <t>E00596</t>
        </is>
      </c>
      <c r="B523" s="5" t="inlineStr">
        <is>
          <t>Male</t>
        </is>
      </c>
      <c r="C523" s="6" t="inlineStr">
        <is>
          <t>32</t>
        </is>
      </c>
      <c r="D523" s="5" t="inlineStr">
        <is>
          <t>Married</t>
        </is>
      </c>
      <c r="E523" s="5" t="inlineStr">
        <is>
          <t>Bachelor</t>
        </is>
      </c>
      <c r="F523" s="5" t="inlineStr">
        <is>
          <t>Customer Support</t>
        </is>
      </c>
      <c r="G523" s="5" t="inlineStr">
        <is>
          <t>Support Lead</t>
        </is>
      </c>
      <c r="H523" s="5" t="inlineStr">
        <is>
          <t>4</t>
        </is>
      </c>
      <c r="I523" s="5" t="inlineStr">
        <is>
          <t>Chennai</t>
        </is>
      </c>
      <c r="J523" s="5" t="inlineStr">
        <is>
          <t>Full-Time</t>
        </is>
      </c>
      <c r="K523" s="7" t="n">
        <v>45329</v>
      </c>
      <c r="L523" s="7" t="n">
        <v>45473</v>
      </c>
      <c r="M523" s="5" t="inlineStr">
        <is>
          <t>No</t>
        </is>
      </c>
      <c r="N523" s="5" t="inlineStr">
        <is>
          <t>Resigned</t>
        </is>
      </c>
      <c r="O523" s="8" t="inlineStr">
        <is>
          <t>69500</t>
        </is>
      </c>
      <c r="P523" s="5" t="inlineStr">
        <is>
          <t>0</t>
        </is>
      </c>
      <c r="Q523" s="5" t="inlineStr">
        <is>
          <t>3</t>
        </is>
      </c>
      <c r="R523" s="5" t="inlineStr">
        <is>
          <t>5</t>
        </is>
      </c>
      <c r="S523" s="5" t="inlineStr">
        <is>
          <t>4</t>
        </is>
      </c>
      <c r="T523" s="5" t="inlineStr">
        <is>
          <t>0</t>
        </is>
      </c>
      <c r="U523" s="5" t="inlineStr">
        <is>
          <t>OK</t>
        </is>
      </c>
    </row>
    <row r="524">
      <c r="A524" s="5" t="inlineStr">
        <is>
          <t>E00316</t>
        </is>
      </c>
      <c r="B524" s="5" t="inlineStr">
        <is>
          <t>Female</t>
        </is>
      </c>
      <c r="C524" s="6" t="inlineStr">
        <is>
          <t>39</t>
        </is>
      </c>
      <c r="D524" s="5" t="inlineStr">
        <is>
          <t>Married</t>
        </is>
      </c>
      <c r="E524" s="5" t="inlineStr">
        <is>
          <t>Bachelor</t>
        </is>
      </c>
      <c r="F524" s="5" t="inlineStr">
        <is>
          <t>Human Resources</t>
        </is>
      </c>
      <c r="G524" s="5" t="inlineStr">
        <is>
          <t>HR Analyst</t>
        </is>
      </c>
      <c r="H524" s="5" t="inlineStr">
        <is>
          <t>4</t>
        </is>
      </c>
      <c r="I524" s="5" t="inlineStr">
        <is>
          <t>Delhi</t>
        </is>
      </c>
      <c r="J524" s="5" t="inlineStr">
        <is>
          <t>Full-Time</t>
        </is>
      </c>
      <c r="K524" s="7" t="n">
        <v>43974</v>
      </c>
      <c r="L524" s="7" t="inlineStr"/>
      <c r="M524" s="5" t="inlineStr">
        <is>
          <t>Yes</t>
        </is>
      </c>
      <c r="N524" s="5" t="inlineStr"/>
      <c r="O524" s="8" t="inlineStr">
        <is>
          <t>98000</t>
        </is>
      </c>
      <c r="P524" s="5" t="inlineStr">
        <is>
          <t>10</t>
        </is>
      </c>
      <c r="Q524" s="5" t="inlineStr">
        <is>
          <t>4</t>
        </is>
      </c>
      <c r="R524" s="5" t="inlineStr">
        <is>
          <t>7</t>
        </is>
      </c>
      <c r="S524" s="5" t="inlineStr">
        <is>
          <t>68</t>
        </is>
      </c>
      <c r="T524" s="5" t="inlineStr">
        <is>
          <t>5</t>
        </is>
      </c>
      <c r="U524" s="5" t="inlineStr">
        <is>
          <t>OK</t>
        </is>
      </c>
    </row>
    <row r="525">
      <c r="A525" s="5" t="inlineStr">
        <is>
          <t>E02071</t>
        </is>
      </c>
      <c r="B525" s="5" t="inlineStr">
        <is>
          <t>Female</t>
        </is>
      </c>
      <c r="C525" s="6" t="inlineStr">
        <is>
          <t>33</t>
        </is>
      </c>
      <c r="D525" s="5" t="inlineStr">
        <is>
          <t>Married</t>
        </is>
      </c>
      <c r="E525" s="5" t="inlineStr">
        <is>
          <t>PhD</t>
        </is>
      </c>
      <c r="F525" s="5" t="inlineStr">
        <is>
          <t>Marketing</t>
        </is>
      </c>
      <c r="G525" s="5" t="inlineStr">
        <is>
          <t>Marketing Analyst</t>
        </is>
      </c>
      <c r="H525" s="5" t="inlineStr">
        <is>
          <t>3</t>
        </is>
      </c>
      <c r="I525" s="5" t="inlineStr">
        <is>
          <t>Bengaluru</t>
        </is>
      </c>
      <c r="J525" s="5" t="inlineStr">
        <is>
          <t>Full-Time</t>
        </is>
      </c>
      <c r="K525" s="7" t="n">
        <v>44194</v>
      </c>
      <c r="L525" s="7" t="inlineStr"/>
      <c r="M525" s="5" t="inlineStr">
        <is>
          <t>Yes</t>
        </is>
      </c>
      <c r="N525" s="5" t="inlineStr"/>
      <c r="O525" s="8" t="inlineStr">
        <is>
          <t>69500</t>
        </is>
      </c>
      <c r="P525" s="5" t="inlineStr">
        <is>
          <t>0</t>
        </is>
      </c>
      <c r="Q525" s="5" t="inlineStr">
        <is>
          <t>4</t>
        </is>
      </c>
      <c r="R525" s="5" t="inlineStr">
        <is>
          <t>5</t>
        </is>
      </c>
      <c r="S525" s="5" t="inlineStr">
        <is>
          <t>60</t>
        </is>
      </c>
      <c r="T525" s="5" t="inlineStr">
        <is>
          <t>0</t>
        </is>
      </c>
      <c r="U525" s="5" t="inlineStr">
        <is>
          <t>OK</t>
        </is>
      </c>
    </row>
    <row r="526">
      <c r="A526" s="5" t="inlineStr">
        <is>
          <t>E02593</t>
        </is>
      </c>
      <c r="B526" s="5" t="inlineStr">
        <is>
          <t>Male</t>
        </is>
      </c>
      <c r="C526" s="6" t="inlineStr">
        <is>
          <t>34</t>
        </is>
      </c>
      <c r="D526" s="5" t="inlineStr">
        <is>
          <t>Married</t>
        </is>
      </c>
      <c r="E526" s="5" t="inlineStr">
        <is>
          <t>High School</t>
        </is>
      </c>
      <c r="F526" s="5" t="inlineStr">
        <is>
          <t>Operations</t>
        </is>
      </c>
      <c r="G526" s="5" t="inlineStr">
        <is>
          <t>Operations Analyst</t>
        </is>
      </c>
      <c r="H526" s="5" t="inlineStr">
        <is>
          <t>5</t>
        </is>
      </c>
      <c r="I526" s="5" t="inlineStr">
        <is>
          <t>Remote</t>
        </is>
      </c>
      <c r="J526" s="5" t="inlineStr">
        <is>
          <t>Full-Time</t>
        </is>
      </c>
      <c r="K526" s="7" t="n">
        <v>44822</v>
      </c>
      <c r="L526" s="7" t="inlineStr"/>
      <c r="M526" s="5" t="inlineStr">
        <is>
          <t>Yes</t>
        </is>
      </c>
      <c r="N526" s="5" t="inlineStr"/>
      <c r="O526" s="8" t="inlineStr">
        <is>
          <t>107000</t>
        </is>
      </c>
      <c r="P526" s="5" t="inlineStr">
        <is>
          <t>5</t>
        </is>
      </c>
      <c r="Q526" s="5" t="inlineStr">
        <is>
          <t>3</t>
        </is>
      </c>
      <c r="R526" s="5" t="inlineStr">
        <is>
          <t>8</t>
        </is>
      </c>
      <c r="S526" s="5" t="inlineStr">
        <is>
          <t>40</t>
        </is>
      </c>
      <c r="T526" s="5" t="inlineStr">
        <is>
          <t>5</t>
        </is>
      </c>
      <c r="U526" s="5" t="inlineStr">
        <is>
          <t>OK</t>
        </is>
      </c>
    </row>
    <row r="527">
      <c r="A527" s="5" t="inlineStr">
        <is>
          <t>E01575</t>
        </is>
      </c>
      <c r="B527" s="5" t="inlineStr">
        <is>
          <t>Male</t>
        </is>
      </c>
      <c r="C527" s="6" t="inlineStr">
        <is>
          <t>42</t>
        </is>
      </c>
      <c r="D527" s="5" t="inlineStr">
        <is>
          <t>Married</t>
        </is>
      </c>
      <c r="E527" s="5" t="inlineStr">
        <is>
          <t>Diploma</t>
        </is>
      </c>
      <c r="F527" s="5" t="inlineStr">
        <is>
          <t>Sales</t>
        </is>
      </c>
      <c r="G527" s="5" t="inlineStr">
        <is>
          <t>Business Development</t>
        </is>
      </c>
      <c r="H527" s="5" t="inlineStr">
        <is>
          <t>7</t>
        </is>
      </c>
      <c r="I527" s="5" t="inlineStr">
        <is>
          <t>Chennai</t>
        </is>
      </c>
      <c r="J527" s="5" t="inlineStr">
        <is>
          <t>Full-Time</t>
        </is>
      </c>
      <c r="K527" s="7" t="n">
        <v>43859</v>
      </c>
      <c r="L527" s="7" t="inlineStr"/>
      <c r="M527" s="5" t="inlineStr">
        <is>
          <t>Yes</t>
        </is>
      </c>
      <c r="N527" s="5" t="inlineStr"/>
      <c r="O527" s="8" t="inlineStr">
        <is>
          <t>116000</t>
        </is>
      </c>
      <c r="P527" s="5" t="inlineStr">
        <is>
          <t>5</t>
        </is>
      </c>
      <c r="Q527" s="5" t="inlineStr">
        <is>
          <t>2</t>
        </is>
      </c>
      <c r="R527" s="5" t="inlineStr">
        <is>
          <t>6</t>
        </is>
      </c>
      <c r="S527" s="5" t="inlineStr">
        <is>
          <t>72</t>
        </is>
      </c>
      <c r="T527" s="5" t="inlineStr">
        <is>
          <t>0</t>
        </is>
      </c>
      <c r="U527" s="5" t="inlineStr">
        <is>
          <t>OK</t>
        </is>
      </c>
    </row>
    <row r="528">
      <c r="A528" s="5" t="inlineStr">
        <is>
          <t>E00548</t>
        </is>
      </c>
      <c r="B528" s="5" t="inlineStr">
        <is>
          <t>Male</t>
        </is>
      </c>
      <c r="C528" s="6" t="inlineStr">
        <is>
          <t>36</t>
        </is>
      </c>
      <c r="D528" s="5" t="inlineStr">
        <is>
          <t>Married</t>
        </is>
      </c>
      <c r="E528" s="5" t="inlineStr">
        <is>
          <t>Bachelor</t>
        </is>
      </c>
      <c r="F528" s="5" t="inlineStr">
        <is>
          <t>Human Resources</t>
        </is>
      </c>
      <c r="G528" s="5" t="inlineStr">
        <is>
          <t>HR Generalist</t>
        </is>
      </c>
      <c r="H528" s="5" t="inlineStr">
        <is>
          <t>7</t>
        </is>
      </c>
      <c r="I528" s="5" t="inlineStr">
        <is>
          <t>Remote</t>
        </is>
      </c>
      <c r="J528" s="5" t="inlineStr">
        <is>
          <t>Part-Time</t>
        </is>
      </c>
      <c r="K528" s="7" t="n">
        <v>45717</v>
      </c>
      <c r="L528" s="7" t="inlineStr"/>
      <c r="M528" s="5" t="inlineStr">
        <is>
          <t>Yes</t>
        </is>
      </c>
      <c r="N528" s="5" t="inlineStr"/>
      <c r="O528" s="8" t="inlineStr">
        <is>
          <t>133000</t>
        </is>
      </c>
      <c r="P528" s="5" t="inlineStr">
        <is>
          <t>0</t>
        </is>
      </c>
      <c r="Q528" s="5" t="inlineStr">
        <is>
          <t>4</t>
        </is>
      </c>
      <c r="R528" s="5" t="inlineStr">
        <is>
          <t>5</t>
        </is>
      </c>
      <c r="S528" s="5" t="inlineStr">
        <is>
          <t>10</t>
        </is>
      </c>
      <c r="T528" s="5" t="inlineStr">
        <is>
          <t>0</t>
        </is>
      </c>
      <c r="U528" s="5" t="inlineStr">
        <is>
          <t>OK</t>
        </is>
      </c>
    </row>
    <row r="529">
      <c r="A529" s="5" t="inlineStr">
        <is>
          <t>E02166</t>
        </is>
      </c>
      <c r="B529" s="5" t="inlineStr">
        <is>
          <t>Male</t>
        </is>
      </c>
      <c r="C529" s="6" t="inlineStr">
        <is>
          <t>33</t>
        </is>
      </c>
      <c r="D529" s="5" t="inlineStr">
        <is>
          <t>Married</t>
        </is>
      </c>
      <c r="E529" s="5" t="inlineStr">
        <is>
          <t>Diploma</t>
        </is>
      </c>
      <c r="F529" s="5" t="inlineStr">
        <is>
          <t>Customer Support</t>
        </is>
      </c>
      <c r="G529" s="5" t="inlineStr">
        <is>
          <t>Support Agent</t>
        </is>
      </c>
      <c r="H529" s="5" t="inlineStr">
        <is>
          <t>4</t>
        </is>
      </c>
      <c r="I529" s="5" t="inlineStr">
        <is>
          <t>Chennai</t>
        </is>
      </c>
      <c r="J529" s="5" t="inlineStr">
        <is>
          <t>Full-Time</t>
        </is>
      </c>
      <c r="K529" s="7" t="n">
        <v>45037</v>
      </c>
      <c r="L529" s="7" t="inlineStr"/>
      <c r="M529" s="5" t="inlineStr">
        <is>
          <t>Yes</t>
        </is>
      </c>
      <c r="N529" s="5" t="inlineStr"/>
      <c r="O529" s="8" t="inlineStr">
        <is>
          <t>70500</t>
        </is>
      </c>
      <c r="P529" s="5" t="inlineStr">
        <is>
          <t>5</t>
        </is>
      </c>
      <c r="Q529" s="5" t="inlineStr">
        <is>
          <t>2</t>
        </is>
      </c>
      <c r="R529" s="5" t="inlineStr">
        <is>
          <t>3</t>
        </is>
      </c>
      <c r="S529" s="5" t="inlineStr">
        <is>
          <t>32</t>
        </is>
      </c>
      <c r="T529" s="5" t="inlineStr">
        <is>
          <t>7</t>
        </is>
      </c>
      <c r="U529" s="5" t="inlineStr">
        <is>
          <t>OK</t>
        </is>
      </c>
    </row>
    <row r="530">
      <c r="A530" s="5" t="inlineStr">
        <is>
          <t>E02279</t>
        </is>
      </c>
      <c r="B530" s="5" t="inlineStr">
        <is>
          <t>Male</t>
        </is>
      </c>
      <c r="C530" s="6" t="inlineStr">
        <is>
          <t>46</t>
        </is>
      </c>
      <c r="D530" s="5" t="inlineStr">
        <is>
          <t>Married</t>
        </is>
      </c>
      <c r="E530" s="5" t="inlineStr">
        <is>
          <t>PhD</t>
        </is>
      </c>
      <c r="F530" s="5" t="inlineStr">
        <is>
          <t>Research &amp; Development</t>
        </is>
      </c>
      <c r="G530" s="5" t="inlineStr">
        <is>
          <t>Data Scientist</t>
        </is>
      </c>
      <c r="H530" s="5" t="inlineStr">
        <is>
          <t>7</t>
        </is>
      </c>
      <c r="I530" s="5" t="inlineStr">
        <is>
          <t>Delhi</t>
        </is>
      </c>
      <c r="J530" s="5" t="inlineStr">
        <is>
          <t>Full-Time</t>
        </is>
      </c>
      <c r="K530" s="7" t="n">
        <v>45808</v>
      </c>
      <c r="L530" s="7" t="n">
        <v>45857</v>
      </c>
      <c r="M530" s="5" t="inlineStr">
        <is>
          <t>No</t>
        </is>
      </c>
      <c r="N530" s="5" t="inlineStr">
        <is>
          <t>Resigned</t>
        </is>
      </c>
      <c r="O530" s="8" t="inlineStr">
        <is>
          <t>273500</t>
        </is>
      </c>
      <c r="P530" s="5" t="inlineStr">
        <is>
          <t>0</t>
        </is>
      </c>
      <c r="Q530" s="5" t="inlineStr">
        <is>
          <t>4</t>
        </is>
      </c>
      <c r="R530" s="5" t="inlineStr">
        <is>
          <t>4</t>
        </is>
      </c>
      <c r="S530" s="5" t="inlineStr">
        <is>
          <t>1</t>
        </is>
      </c>
      <c r="T530" s="5" t="inlineStr">
        <is>
          <t>6</t>
        </is>
      </c>
      <c r="U530" s="5" t="inlineStr">
        <is>
          <t>OK</t>
        </is>
      </c>
    </row>
    <row r="531">
      <c r="A531" s="5" t="inlineStr">
        <is>
          <t>E00486</t>
        </is>
      </c>
      <c r="B531" s="5" t="inlineStr">
        <is>
          <t>Female</t>
        </is>
      </c>
      <c r="C531" s="6" t="inlineStr">
        <is>
          <t>28</t>
        </is>
      </c>
      <c r="D531" s="5" t="inlineStr">
        <is>
          <t>Married</t>
        </is>
      </c>
      <c r="E531" s="5" t="inlineStr">
        <is>
          <t>PhD</t>
        </is>
      </c>
      <c r="F531" s="5" t="inlineStr">
        <is>
          <t>Operations</t>
        </is>
      </c>
      <c r="G531" s="5" t="inlineStr">
        <is>
          <t>Logistics Coordinator</t>
        </is>
      </c>
      <c r="H531" s="5" t="inlineStr">
        <is>
          <t>3</t>
        </is>
      </c>
      <c r="I531" s="5" t="inlineStr">
        <is>
          <t>Mumbai</t>
        </is>
      </c>
      <c r="J531" s="5" t="inlineStr">
        <is>
          <t>Full-Time</t>
        </is>
      </c>
      <c r="K531" s="7" t="n">
        <v>44439</v>
      </c>
      <c r="L531" s="7" t="inlineStr"/>
      <c r="M531" s="5" t="inlineStr">
        <is>
          <t>Yes</t>
        </is>
      </c>
      <c r="N531" s="5" t="inlineStr"/>
      <c r="O531" s="8" t="inlineStr">
        <is>
          <t>116000</t>
        </is>
      </c>
      <c r="P531" s="5" t="inlineStr">
        <is>
          <t>0</t>
        </is>
      </c>
      <c r="Q531" s="5" t="inlineStr">
        <is>
          <t>3</t>
        </is>
      </c>
      <c r="R531" s="5" t="inlineStr">
        <is>
          <t>7</t>
        </is>
      </c>
      <c r="S531" s="5" t="inlineStr">
        <is>
          <t>52</t>
        </is>
      </c>
      <c r="T531" s="5" t="inlineStr">
        <is>
          <t>17</t>
        </is>
      </c>
      <c r="U531" s="5" t="inlineStr">
        <is>
          <t>OK</t>
        </is>
      </c>
    </row>
    <row r="532">
      <c r="A532" s="5" t="inlineStr">
        <is>
          <t>E02060</t>
        </is>
      </c>
      <c r="B532" s="5" t="inlineStr">
        <is>
          <t>Female</t>
        </is>
      </c>
      <c r="C532" s="6" t="inlineStr">
        <is>
          <t>30</t>
        </is>
      </c>
      <c r="D532" s="5" t="inlineStr">
        <is>
          <t>Single</t>
        </is>
      </c>
      <c r="E532" s="5" t="inlineStr">
        <is>
          <t>High School</t>
        </is>
      </c>
      <c r="F532" s="5" t="inlineStr">
        <is>
          <t>Research &amp; Development</t>
        </is>
      </c>
      <c r="G532" s="5" t="inlineStr">
        <is>
          <t>Research Scientist</t>
        </is>
      </c>
      <c r="H532" s="5" t="inlineStr">
        <is>
          <t>2</t>
        </is>
      </c>
      <c r="I532" s="5" t="inlineStr">
        <is>
          <t>Delhi</t>
        </is>
      </c>
      <c r="J532" s="5" t="inlineStr">
        <is>
          <t>Full-Time</t>
        </is>
      </c>
      <c r="K532" s="7" t="n">
        <v>45185</v>
      </c>
      <c r="L532" s="7" t="inlineStr"/>
      <c r="M532" s="5" t="inlineStr">
        <is>
          <t>Yes</t>
        </is>
      </c>
      <c r="N532" s="5" t="inlineStr"/>
      <c r="O532" s="8" t="inlineStr">
        <is>
          <t>149500</t>
        </is>
      </c>
      <c r="P532" s="5" t="inlineStr">
        <is>
          <t>10</t>
        </is>
      </c>
      <c r="Q532" s="5" t="inlineStr">
        <is>
          <t>4</t>
        </is>
      </c>
      <c r="R532" s="5" t="inlineStr">
        <is>
          <t>5</t>
        </is>
      </c>
      <c r="S532" s="5" t="inlineStr">
        <is>
          <t>27</t>
        </is>
      </c>
      <c r="T532" s="5" t="inlineStr">
        <is>
          <t>0</t>
        </is>
      </c>
      <c r="U532" s="5" t="inlineStr">
        <is>
          <t>OK</t>
        </is>
      </c>
    </row>
    <row r="533">
      <c r="A533" s="5" t="inlineStr">
        <is>
          <t>E00172</t>
        </is>
      </c>
      <c r="B533" s="5" t="inlineStr">
        <is>
          <t>Male</t>
        </is>
      </c>
      <c r="C533" s="6" t="inlineStr">
        <is>
          <t>30</t>
        </is>
      </c>
      <c r="D533" s="5" t="inlineStr">
        <is>
          <t>Married</t>
        </is>
      </c>
      <c r="E533" s="5" t="inlineStr">
        <is>
          <t>Diploma</t>
        </is>
      </c>
      <c r="F533" s="5" t="inlineStr">
        <is>
          <t>Customer Support</t>
        </is>
      </c>
      <c r="G533" s="5" t="inlineStr">
        <is>
          <t>Support Agent</t>
        </is>
      </c>
      <c r="H533" s="5" t="inlineStr">
        <is>
          <t>1</t>
        </is>
      </c>
      <c r="I533" s="5" t="inlineStr">
        <is>
          <t>Delhi</t>
        </is>
      </c>
      <c r="J533" s="5" t="inlineStr">
        <is>
          <t>Part-Time</t>
        </is>
      </c>
      <c r="K533" s="7" t="n">
        <v>45904</v>
      </c>
      <c r="L533" s="7" t="n">
        <v>46003</v>
      </c>
      <c r="M533" s="5" t="inlineStr">
        <is>
          <t>No</t>
        </is>
      </c>
      <c r="N533" s="5" t="inlineStr">
        <is>
          <t>Resigned</t>
        </is>
      </c>
      <c r="O533" s="8" t="inlineStr">
        <is>
          <t>65500</t>
        </is>
      </c>
      <c r="P533" s="5" t="inlineStr">
        <is>
          <t>5</t>
        </is>
      </c>
      <c r="Q533" s="5" t="inlineStr">
        <is>
          <t>4</t>
        </is>
      </c>
      <c r="R533" s="5" t="inlineStr">
        <is>
          <t>7</t>
        </is>
      </c>
      <c r="S533" s="5" t="inlineStr">
        <is>
          <t>3</t>
        </is>
      </c>
      <c r="T533" s="5" t="inlineStr">
        <is>
          <t>2</t>
        </is>
      </c>
      <c r="U533" s="5" t="inlineStr">
        <is>
          <t>OK</t>
        </is>
      </c>
    </row>
    <row r="534">
      <c r="A534" s="5" t="inlineStr">
        <is>
          <t>E01605</t>
        </is>
      </c>
      <c r="B534" s="5" t="inlineStr">
        <is>
          <t>Female</t>
        </is>
      </c>
      <c r="C534" s="6" t="inlineStr">
        <is>
          <t>39</t>
        </is>
      </c>
      <c r="D534" s="5" t="inlineStr">
        <is>
          <t>Married</t>
        </is>
      </c>
      <c r="E534" s="5" t="inlineStr">
        <is>
          <t>Master</t>
        </is>
      </c>
      <c r="F534" s="5" t="inlineStr">
        <is>
          <t>Operations</t>
        </is>
      </c>
      <c r="G534" s="5" t="inlineStr">
        <is>
          <t>Operations Analyst</t>
        </is>
      </c>
      <c r="H534" s="5" t="inlineStr">
        <is>
          <t>4</t>
        </is>
      </c>
      <c r="I534" s="5" t="inlineStr">
        <is>
          <t>Hyderabad</t>
        </is>
      </c>
      <c r="J534" s="5" t="inlineStr">
        <is>
          <t>Part-Time</t>
        </is>
      </c>
      <c r="K534" s="7" t="n">
        <v>45128</v>
      </c>
      <c r="L534" s="7" t="inlineStr"/>
      <c r="M534" s="5" t="inlineStr">
        <is>
          <t>Yes</t>
        </is>
      </c>
      <c r="N534" s="5" t="inlineStr"/>
      <c r="O534" s="8" t="inlineStr">
        <is>
          <t>103500</t>
        </is>
      </c>
      <c r="P534" s="5" t="inlineStr">
        <is>
          <t>0</t>
        </is>
      </c>
      <c r="Q534" s="5" t="inlineStr">
        <is>
          <t>5</t>
        </is>
      </c>
      <c r="R534" s="5" t="inlineStr">
        <is>
          <t>6</t>
        </is>
      </c>
      <c r="S534" s="5" t="inlineStr">
        <is>
          <t>29</t>
        </is>
      </c>
      <c r="T534" s="5" t="inlineStr">
        <is>
          <t>3</t>
        </is>
      </c>
      <c r="U534" s="5" t="inlineStr">
        <is>
          <t>OK</t>
        </is>
      </c>
    </row>
    <row r="535">
      <c r="A535" s="5" t="inlineStr">
        <is>
          <t>E01534</t>
        </is>
      </c>
      <c r="B535" s="5" t="inlineStr">
        <is>
          <t>Female</t>
        </is>
      </c>
      <c r="C535" s="6" t="inlineStr">
        <is>
          <t>45</t>
        </is>
      </c>
      <c r="D535" s="5" t="inlineStr">
        <is>
          <t>Married</t>
        </is>
      </c>
      <c r="E535" s="5" t="inlineStr">
        <is>
          <t>PhD</t>
        </is>
      </c>
      <c r="F535" s="5" t="inlineStr">
        <is>
          <t>Research &amp; Development</t>
        </is>
      </c>
      <c r="G535" s="5" t="inlineStr">
        <is>
          <t>Research Scientist</t>
        </is>
      </c>
      <c r="H535" s="5" t="inlineStr">
        <is>
          <t>7</t>
        </is>
      </c>
      <c r="I535" s="5" t="inlineStr">
        <is>
          <t>Mumbai</t>
        </is>
      </c>
      <c r="J535" s="5" t="inlineStr">
        <is>
          <t>Full-Time</t>
        </is>
      </c>
      <c r="K535" s="7" t="n">
        <v>45564</v>
      </c>
      <c r="L535" s="7" t="n">
        <v>45695</v>
      </c>
      <c r="M535" s="5" t="inlineStr">
        <is>
          <t>No</t>
        </is>
      </c>
      <c r="N535" s="5" t="inlineStr">
        <is>
          <t>Layoff</t>
        </is>
      </c>
      <c r="O535" s="8" t="inlineStr">
        <is>
          <t>283500</t>
        </is>
      </c>
      <c r="P535" s="5" t="inlineStr">
        <is>
          <t>0</t>
        </is>
      </c>
      <c r="Q535" s="5" t="inlineStr">
        <is>
          <t>4</t>
        </is>
      </c>
      <c r="R535" s="5" t="inlineStr">
        <is>
          <t>4</t>
        </is>
      </c>
      <c r="S535" s="5" t="inlineStr">
        <is>
          <t>4</t>
        </is>
      </c>
      <c r="T535" s="5" t="inlineStr">
        <is>
          <t>14</t>
        </is>
      </c>
      <c r="U535" s="5" t="inlineStr">
        <is>
          <t>OK</t>
        </is>
      </c>
    </row>
    <row r="536">
      <c r="A536" s="5" t="inlineStr">
        <is>
          <t>E01371</t>
        </is>
      </c>
      <c r="B536" s="5" t="inlineStr">
        <is>
          <t>Male</t>
        </is>
      </c>
      <c r="C536" s="6" t="inlineStr">
        <is>
          <t>24</t>
        </is>
      </c>
      <c r="D536" s="5" t="inlineStr">
        <is>
          <t>Single</t>
        </is>
      </c>
      <c r="E536" s="5" t="inlineStr">
        <is>
          <t>Master</t>
        </is>
      </c>
      <c r="F536" s="5" t="inlineStr">
        <is>
          <t>IT</t>
        </is>
      </c>
      <c r="G536" s="5" t="inlineStr">
        <is>
          <t>Software Engineer</t>
        </is>
      </c>
      <c r="H536" s="5" t="inlineStr">
        <is>
          <t>1</t>
        </is>
      </c>
      <c r="I536" s="5" t="inlineStr">
        <is>
          <t>Chennai</t>
        </is>
      </c>
      <c r="J536" s="5" t="inlineStr">
        <is>
          <t>Full-Time</t>
        </is>
      </c>
      <c r="K536" s="7" t="n">
        <v>45867</v>
      </c>
      <c r="L536" s="7" t="inlineStr"/>
      <c r="M536" s="5" t="inlineStr">
        <is>
          <t>Yes</t>
        </is>
      </c>
      <c r="N536" s="5" t="inlineStr"/>
      <c r="O536" s="8" t="inlineStr">
        <is>
          <t>96000</t>
        </is>
      </c>
      <c r="P536" s="5" t="inlineStr">
        <is>
          <t>5</t>
        </is>
      </c>
      <c r="Q536" s="5" t="inlineStr">
        <is>
          <t>4</t>
        </is>
      </c>
      <c r="R536" s="5" t="inlineStr">
        <is>
          <t>4</t>
        </is>
      </c>
      <c r="S536" s="5" t="inlineStr">
        <is>
          <t>5</t>
        </is>
      </c>
      <c r="T536" s="5" t="inlineStr">
        <is>
          <t>5</t>
        </is>
      </c>
      <c r="U536" s="5" t="inlineStr">
        <is>
          <t>OK</t>
        </is>
      </c>
    </row>
    <row r="537">
      <c r="A537" s="5" t="inlineStr">
        <is>
          <t>E02758</t>
        </is>
      </c>
      <c r="B537" s="5" t="inlineStr">
        <is>
          <t>Male</t>
        </is>
      </c>
      <c r="C537" s="6" t="inlineStr">
        <is>
          <t>37</t>
        </is>
      </c>
      <c r="D537" s="5" t="inlineStr">
        <is>
          <t>Single</t>
        </is>
      </c>
      <c r="E537" s="5" t="inlineStr">
        <is>
          <t>Master</t>
        </is>
      </c>
      <c r="F537" s="5" t="inlineStr">
        <is>
          <t>Research &amp; Development</t>
        </is>
      </c>
      <c r="G537" s="5" t="inlineStr">
        <is>
          <t>Product Engineer</t>
        </is>
      </c>
      <c r="H537" s="5" t="inlineStr">
        <is>
          <t>7</t>
        </is>
      </c>
      <c r="I537" s="5" t="inlineStr">
        <is>
          <t>Delhi</t>
        </is>
      </c>
      <c r="J537" s="5" t="inlineStr">
        <is>
          <t>Full-Time</t>
        </is>
      </c>
      <c r="K537" s="7" t="n">
        <v>44460</v>
      </c>
      <c r="L537" s="7" t="inlineStr"/>
      <c r="M537" s="5" t="inlineStr">
        <is>
          <t>Yes</t>
        </is>
      </c>
      <c r="N537" s="5" t="inlineStr"/>
      <c r="O537" s="8" t="inlineStr">
        <is>
          <t>224000</t>
        </is>
      </c>
      <c r="P537" s="5" t="inlineStr">
        <is>
          <t>5</t>
        </is>
      </c>
      <c r="Q537" s="5" t="inlineStr">
        <is>
          <t>5</t>
        </is>
      </c>
      <c r="R537" s="5" t="inlineStr">
        <is>
          <t>4</t>
        </is>
      </c>
      <c r="S537" s="5" t="inlineStr">
        <is>
          <t>52</t>
        </is>
      </c>
      <c r="T537" s="5" t="inlineStr">
        <is>
          <t>3</t>
        </is>
      </c>
      <c r="U537" s="5" t="inlineStr">
        <is>
          <t>OK</t>
        </is>
      </c>
    </row>
    <row r="538">
      <c r="A538" s="5" t="inlineStr">
        <is>
          <t>E02254</t>
        </is>
      </c>
      <c r="B538" s="5" t="inlineStr">
        <is>
          <t>Male</t>
        </is>
      </c>
      <c r="C538" s="6" t="inlineStr">
        <is>
          <t>27</t>
        </is>
      </c>
      <c r="D538" s="5" t="inlineStr">
        <is>
          <t>Single</t>
        </is>
      </c>
      <c r="E538" s="5" t="inlineStr">
        <is>
          <t>High School</t>
        </is>
      </c>
      <c r="F538" s="5" t="inlineStr">
        <is>
          <t>Finance</t>
        </is>
      </c>
      <c r="G538" s="5" t="inlineStr">
        <is>
          <t>Credit Analyst</t>
        </is>
      </c>
      <c r="H538" s="5" t="inlineStr">
        <is>
          <t>3</t>
        </is>
      </c>
      <c r="I538" s="5" t="inlineStr">
        <is>
          <t>Mumbai</t>
        </is>
      </c>
      <c r="J538" s="5" t="inlineStr">
        <is>
          <t>Full-Time</t>
        </is>
      </c>
      <c r="K538" s="7" t="n">
        <v>45092</v>
      </c>
      <c r="L538" s="7" t="inlineStr"/>
      <c r="M538" s="5" t="inlineStr">
        <is>
          <t>Yes</t>
        </is>
      </c>
      <c r="N538" s="5" t="inlineStr"/>
      <c r="O538" s="8" t="inlineStr">
        <is>
          <t>126000</t>
        </is>
      </c>
      <c r="P538" s="5" t="inlineStr">
        <is>
          <t>10</t>
        </is>
      </c>
      <c r="Q538" s="5" t="inlineStr">
        <is>
          <t>5</t>
        </is>
      </c>
      <c r="R538" s="5" t="inlineStr">
        <is>
          <t>6</t>
        </is>
      </c>
      <c r="S538" s="5" t="inlineStr">
        <is>
          <t>31</t>
        </is>
      </c>
      <c r="T538" s="5" t="inlineStr">
        <is>
          <t>1</t>
        </is>
      </c>
      <c r="U538" s="5" t="inlineStr">
        <is>
          <t>OK</t>
        </is>
      </c>
    </row>
    <row r="539">
      <c r="A539" s="5" t="inlineStr">
        <is>
          <t>E00868</t>
        </is>
      </c>
      <c r="B539" s="5" t="inlineStr">
        <is>
          <t>Male</t>
        </is>
      </c>
      <c r="C539" s="6" t="inlineStr">
        <is>
          <t>35</t>
        </is>
      </c>
      <c r="D539" s="5" t="inlineStr">
        <is>
          <t>Divorced</t>
        </is>
      </c>
      <c r="E539" s="5" t="inlineStr">
        <is>
          <t>PhD</t>
        </is>
      </c>
      <c r="F539" s="5" t="inlineStr">
        <is>
          <t>IT</t>
        </is>
      </c>
      <c r="G539" s="5" t="inlineStr">
        <is>
          <t>Software Engineer</t>
        </is>
      </c>
      <c r="H539" s="5" t="inlineStr">
        <is>
          <t>3</t>
        </is>
      </c>
      <c r="I539" s="5" t="inlineStr">
        <is>
          <t>Hyderabad</t>
        </is>
      </c>
      <c r="J539" s="5" t="inlineStr">
        <is>
          <t>Full-Time</t>
        </is>
      </c>
      <c r="K539" s="7" t="n">
        <v>45446</v>
      </c>
      <c r="L539" s="7" t="inlineStr"/>
      <c r="M539" s="5" t="inlineStr">
        <is>
          <t>Yes</t>
        </is>
      </c>
      <c r="N539" s="5" t="inlineStr"/>
      <c r="O539" s="8" t="inlineStr">
        <is>
          <t>182500</t>
        </is>
      </c>
      <c r="P539" s="5" t="inlineStr">
        <is>
          <t>0</t>
        </is>
      </c>
      <c r="Q539" s="5" t="inlineStr">
        <is>
          <t>3</t>
        </is>
      </c>
      <c r="R539" s="5" t="inlineStr">
        <is>
          <t>5</t>
        </is>
      </c>
      <c r="S539" s="5" t="inlineStr">
        <is>
          <t>19</t>
        </is>
      </c>
      <c r="T539" s="5" t="inlineStr">
        <is>
          <t>0</t>
        </is>
      </c>
      <c r="U539" s="5" t="inlineStr">
        <is>
          <t>OK</t>
        </is>
      </c>
    </row>
    <row r="540">
      <c r="A540" s="5" t="inlineStr">
        <is>
          <t>E01152</t>
        </is>
      </c>
      <c r="B540" s="5" t="inlineStr">
        <is>
          <t>Female</t>
        </is>
      </c>
      <c r="C540" s="6" t="inlineStr">
        <is>
          <t>26</t>
        </is>
      </c>
      <c r="D540" s="5" t="inlineStr">
        <is>
          <t>Single</t>
        </is>
      </c>
      <c r="E540" s="5" t="inlineStr">
        <is>
          <t>Bachelor</t>
        </is>
      </c>
      <c r="F540" s="5" t="inlineStr">
        <is>
          <t>Marketing</t>
        </is>
      </c>
      <c r="G540" s="5" t="inlineStr">
        <is>
          <t>Marketing Analyst</t>
        </is>
      </c>
      <c r="H540" s="5" t="inlineStr">
        <is>
          <t>2</t>
        </is>
      </c>
      <c r="I540" s="5" t="inlineStr">
        <is>
          <t>Hyderabad</t>
        </is>
      </c>
      <c r="J540" s="5" t="inlineStr">
        <is>
          <t>Full-Time</t>
        </is>
      </c>
      <c r="K540" s="7" t="n">
        <v>44369</v>
      </c>
      <c r="L540" s="7" t="inlineStr"/>
      <c r="M540" s="5" t="inlineStr">
        <is>
          <t>Yes</t>
        </is>
      </c>
      <c r="N540" s="5" t="inlineStr"/>
      <c r="O540" s="8" t="inlineStr">
        <is>
          <t>103000</t>
        </is>
      </c>
      <c r="P540" s="5" t="inlineStr">
        <is>
          <t>5</t>
        </is>
      </c>
      <c r="Q540" s="5" t="inlineStr">
        <is>
          <t>2</t>
        </is>
      </c>
      <c r="R540" s="5" t="inlineStr">
        <is>
          <t>6</t>
        </is>
      </c>
      <c r="S540" s="5" t="inlineStr">
        <is>
          <t>55</t>
        </is>
      </c>
      <c r="T540" s="5" t="inlineStr">
        <is>
          <t>8</t>
        </is>
      </c>
      <c r="U540" s="5" t="inlineStr">
        <is>
          <t>OK</t>
        </is>
      </c>
    </row>
    <row r="541">
      <c r="A541" s="5" t="inlineStr">
        <is>
          <t>E00503</t>
        </is>
      </c>
      <c r="B541" s="5" t="inlineStr">
        <is>
          <t>Male</t>
        </is>
      </c>
      <c r="C541" s="6" t="inlineStr">
        <is>
          <t>30</t>
        </is>
      </c>
      <c r="D541" s="5" t="inlineStr">
        <is>
          <t>Single</t>
        </is>
      </c>
      <c r="E541" s="5" t="inlineStr">
        <is>
          <t>PhD</t>
        </is>
      </c>
      <c r="F541" s="5" t="inlineStr">
        <is>
          <t>Marketing</t>
        </is>
      </c>
      <c r="G541" s="5" t="inlineStr">
        <is>
          <t>SEO Specialist</t>
        </is>
      </c>
      <c r="H541" s="5" t="inlineStr">
        <is>
          <t>1</t>
        </is>
      </c>
      <c r="I541" s="5" t="inlineStr">
        <is>
          <t>Hyderabad</t>
        </is>
      </c>
      <c r="J541" s="5" t="inlineStr">
        <is>
          <t>Full-Time</t>
        </is>
      </c>
      <c r="K541" s="7" t="n">
        <v>44309</v>
      </c>
      <c r="L541" s="7" t="inlineStr"/>
      <c r="M541" s="5" t="inlineStr">
        <is>
          <t>Yes</t>
        </is>
      </c>
      <c r="N541" s="5" t="inlineStr"/>
      <c r="O541" s="8" t="inlineStr">
        <is>
          <t>73500</t>
        </is>
      </c>
      <c r="P541" s="5" t="inlineStr">
        <is>
          <t>0</t>
        </is>
      </c>
      <c r="Q541" s="5" t="inlineStr">
        <is>
          <t>4</t>
        </is>
      </c>
      <c r="R541" s="5" t="inlineStr">
        <is>
          <t>7</t>
        </is>
      </c>
      <c r="S541" s="5" t="inlineStr">
        <is>
          <t>57</t>
        </is>
      </c>
      <c r="T541" s="5" t="inlineStr">
        <is>
          <t>7</t>
        </is>
      </c>
      <c r="U541" s="5" t="inlineStr">
        <is>
          <t>OK</t>
        </is>
      </c>
    </row>
    <row r="542">
      <c r="A542" s="5" t="inlineStr">
        <is>
          <t>E02710</t>
        </is>
      </c>
      <c r="B542" s="5" t="inlineStr">
        <is>
          <t>Male</t>
        </is>
      </c>
      <c r="C542" s="6" t="inlineStr">
        <is>
          <t>27</t>
        </is>
      </c>
      <c r="D542" s="5" t="inlineStr">
        <is>
          <t>Married</t>
        </is>
      </c>
      <c r="E542" s="5" t="inlineStr">
        <is>
          <t>Diploma</t>
        </is>
      </c>
      <c r="F542" s="5" t="inlineStr">
        <is>
          <t>Finance</t>
        </is>
      </c>
      <c r="G542" s="5" t="inlineStr">
        <is>
          <t>Accountant</t>
        </is>
      </c>
      <c r="H542" s="5" t="inlineStr">
        <is>
          <t>3</t>
        </is>
      </c>
      <c r="I542" s="5" t="inlineStr">
        <is>
          <t>Remote</t>
        </is>
      </c>
      <c r="J542" s="5" t="inlineStr">
        <is>
          <t>Full-Time</t>
        </is>
      </c>
      <c r="K542" s="7" t="n">
        <v>45017</v>
      </c>
      <c r="L542" s="7" t="inlineStr"/>
      <c r="M542" s="5" t="inlineStr">
        <is>
          <t>Yes</t>
        </is>
      </c>
      <c r="N542" s="5" t="inlineStr"/>
      <c r="O542" s="8" t="inlineStr">
        <is>
          <t>138500</t>
        </is>
      </c>
      <c r="P542" s="5" t="inlineStr">
        <is>
          <t>5</t>
        </is>
      </c>
      <c r="Q542" s="5" t="inlineStr">
        <is>
          <t>5</t>
        </is>
      </c>
      <c r="R542" s="5" t="inlineStr">
        <is>
          <t>5</t>
        </is>
      </c>
      <c r="S542" s="5" t="inlineStr">
        <is>
          <t>33</t>
        </is>
      </c>
      <c r="T542" s="5" t="inlineStr">
        <is>
          <t>8</t>
        </is>
      </c>
      <c r="U542" s="5" t="inlineStr">
        <is>
          <t>OK</t>
        </is>
      </c>
    </row>
    <row r="543">
      <c r="A543" s="5" t="inlineStr">
        <is>
          <t>E01554</t>
        </is>
      </c>
      <c r="B543" s="5" t="inlineStr">
        <is>
          <t>Female</t>
        </is>
      </c>
      <c r="C543" s="6" t="inlineStr">
        <is>
          <t>39</t>
        </is>
      </c>
      <c r="D543" s="5" t="inlineStr">
        <is>
          <t>Married</t>
        </is>
      </c>
      <c r="E543" s="5" t="inlineStr">
        <is>
          <t>Bachelor</t>
        </is>
      </c>
      <c r="F543" s="5" t="inlineStr">
        <is>
          <t>Research &amp; Development</t>
        </is>
      </c>
      <c r="G543" s="5" t="inlineStr">
        <is>
          <t>Product Engineer</t>
        </is>
      </c>
      <c r="H543" s="5" t="inlineStr">
        <is>
          <t>4</t>
        </is>
      </c>
      <c r="I543" s="5" t="inlineStr">
        <is>
          <t>Remote</t>
        </is>
      </c>
      <c r="J543" s="5" t="inlineStr">
        <is>
          <t>Full-Time</t>
        </is>
      </c>
      <c r="K543" s="7" t="n">
        <v>44489</v>
      </c>
      <c r="L543" s="7" t="inlineStr"/>
      <c r="M543" s="5" t="inlineStr">
        <is>
          <t>Yes</t>
        </is>
      </c>
      <c r="N543" s="5" t="inlineStr"/>
      <c r="O543" s="8" t="inlineStr">
        <is>
          <t>227000</t>
        </is>
      </c>
      <c r="P543" s="5" t="inlineStr">
        <is>
          <t>10</t>
        </is>
      </c>
      <c r="Q543" s="5" t="inlineStr">
        <is>
          <t>3</t>
        </is>
      </c>
      <c r="R543" s="5" t="inlineStr">
        <is>
          <t>5</t>
        </is>
      </c>
      <c r="S543" s="5" t="inlineStr">
        <is>
          <t>51</t>
        </is>
      </c>
      <c r="T543" s="5" t="inlineStr">
        <is>
          <t>5</t>
        </is>
      </c>
      <c r="U543" s="5" t="inlineStr">
        <is>
          <t>OK</t>
        </is>
      </c>
    </row>
    <row r="544">
      <c r="A544" s="5" t="inlineStr">
        <is>
          <t>E02038</t>
        </is>
      </c>
      <c r="B544" s="5" t="inlineStr">
        <is>
          <t>Female</t>
        </is>
      </c>
      <c r="C544" s="6" t="inlineStr">
        <is>
          <t>25</t>
        </is>
      </c>
      <c r="D544" s="5" t="inlineStr">
        <is>
          <t>Married</t>
        </is>
      </c>
      <c r="E544" s="5" t="inlineStr">
        <is>
          <t>Diploma</t>
        </is>
      </c>
      <c r="F544" s="5" t="inlineStr">
        <is>
          <t>Operations</t>
        </is>
      </c>
      <c r="G544" s="5" t="inlineStr">
        <is>
          <t>Logistics Coordinator</t>
        </is>
      </c>
      <c r="H544" s="5" t="inlineStr">
        <is>
          <t>2</t>
        </is>
      </c>
      <c r="I544" s="5" t="inlineStr">
        <is>
          <t>Mumbai</t>
        </is>
      </c>
      <c r="J544" s="5" t="inlineStr">
        <is>
          <t>Full-Time</t>
        </is>
      </c>
      <c r="K544" s="7" t="n">
        <v>44547</v>
      </c>
      <c r="L544" s="7" t="inlineStr"/>
      <c r="M544" s="5" t="inlineStr">
        <is>
          <t>Yes</t>
        </is>
      </c>
      <c r="N544" s="5" t="inlineStr"/>
      <c r="O544" s="8" t="inlineStr">
        <is>
          <t>88500</t>
        </is>
      </c>
      <c r="P544" s="5" t="inlineStr">
        <is>
          <t>15</t>
        </is>
      </c>
      <c r="Q544" s="5" t="inlineStr">
        <is>
          <t>3</t>
        </is>
      </c>
      <c r="R544" s="5" t="inlineStr">
        <is>
          <t>6</t>
        </is>
      </c>
      <c r="S544" s="5" t="inlineStr">
        <is>
          <t>49</t>
        </is>
      </c>
      <c r="T544" s="5" t="inlineStr">
        <is>
          <t>4</t>
        </is>
      </c>
      <c r="U544" s="5" t="inlineStr">
        <is>
          <t>OK</t>
        </is>
      </c>
    </row>
    <row r="545">
      <c r="A545" s="5" t="inlineStr">
        <is>
          <t>E02822</t>
        </is>
      </c>
      <c r="B545" s="5" t="inlineStr">
        <is>
          <t>Female</t>
        </is>
      </c>
      <c r="C545" s="6" t="inlineStr">
        <is>
          <t>39</t>
        </is>
      </c>
      <c r="D545" s="5" t="inlineStr">
        <is>
          <t>Single</t>
        </is>
      </c>
      <c r="E545" s="5" t="inlineStr">
        <is>
          <t>High School</t>
        </is>
      </c>
      <c r="F545" s="5" t="inlineStr">
        <is>
          <t>Operations</t>
        </is>
      </c>
      <c r="G545" s="5" t="inlineStr">
        <is>
          <t>Quality Analyst</t>
        </is>
      </c>
      <c r="H545" s="5" t="inlineStr">
        <is>
          <t>5</t>
        </is>
      </c>
      <c r="I545" s="5" t="inlineStr">
        <is>
          <t>Chennai</t>
        </is>
      </c>
      <c r="J545" s="5" t="inlineStr">
        <is>
          <t>Full-Time</t>
        </is>
      </c>
      <c r="K545" s="7" t="n">
        <v>45990</v>
      </c>
      <c r="L545" s="7" t="inlineStr"/>
      <c r="M545" s="5" t="inlineStr">
        <is>
          <t>Yes</t>
        </is>
      </c>
      <c r="N545" s="5" t="inlineStr"/>
      <c r="O545" s="8" t="inlineStr">
        <is>
          <t>144000</t>
        </is>
      </c>
      <c r="P545" s="5" t="inlineStr">
        <is>
          <t>15</t>
        </is>
      </c>
      <c r="Q545" s="5" t="inlineStr">
        <is>
          <t>4</t>
        </is>
      </c>
      <c r="R545" s="5" t="inlineStr">
        <is>
          <t>6</t>
        </is>
      </c>
      <c r="S545" s="5" t="inlineStr">
        <is>
          <t>1</t>
        </is>
      </c>
      <c r="T545" s="5" t="inlineStr">
        <is>
          <t>6</t>
        </is>
      </c>
      <c r="U545" s="5" t="inlineStr">
        <is>
          <t>OK</t>
        </is>
      </c>
    </row>
    <row r="546">
      <c r="A546" s="5" t="inlineStr">
        <is>
          <t>E01447</t>
        </is>
      </c>
      <c r="B546" s="5" t="inlineStr">
        <is>
          <t>Female</t>
        </is>
      </c>
      <c r="C546" s="6" t="inlineStr">
        <is>
          <t>35</t>
        </is>
      </c>
      <c r="D546" s="5" t="inlineStr">
        <is>
          <t>Married</t>
        </is>
      </c>
      <c r="E546" s="5" t="inlineStr">
        <is>
          <t>PhD</t>
        </is>
      </c>
      <c r="F546" s="5" t="inlineStr">
        <is>
          <t>Finance</t>
        </is>
      </c>
      <c r="G546" s="5" t="inlineStr">
        <is>
          <t>Financial Analyst</t>
        </is>
      </c>
      <c r="H546" s="5" t="inlineStr">
        <is>
          <t>2</t>
        </is>
      </c>
      <c r="I546" s="5" t="inlineStr">
        <is>
          <t>Remote</t>
        </is>
      </c>
      <c r="J546" s="5" t="inlineStr">
        <is>
          <t>Full-Time</t>
        </is>
      </c>
      <c r="K546" s="7" t="n">
        <v>45364</v>
      </c>
      <c r="L546" s="7" t="inlineStr"/>
      <c r="M546" s="5" t="inlineStr">
        <is>
          <t>Yes</t>
        </is>
      </c>
      <c r="N546" s="5" t="inlineStr"/>
      <c r="O546" s="8" t="inlineStr">
        <is>
          <t>121000</t>
        </is>
      </c>
      <c r="P546" s="5" t="inlineStr">
        <is>
          <t>20</t>
        </is>
      </c>
      <c r="Q546" s="5" t="inlineStr">
        <is>
          <t>3</t>
        </is>
      </c>
      <c r="R546" s="5" t="inlineStr">
        <is>
          <t>7</t>
        </is>
      </c>
      <c r="S546" s="5" t="inlineStr">
        <is>
          <t>21</t>
        </is>
      </c>
      <c r="T546" s="5" t="inlineStr">
        <is>
          <t>8</t>
        </is>
      </c>
      <c r="U546" s="5" t="inlineStr">
        <is>
          <t>OK</t>
        </is>
      </c>
    </row>
    <row r="547">
      <c r="A547" s="5" t="inlineStr">
        <is>
          <t>E01400</t>
        </is>
      </c>
      <c r="B547" s="5" t="inlineStr">
        <is>
          <t>Male</t>
        </is>
      </c>
      <c r="C547" s="6" t="inlineStr">
        <is>
          <t>25</t>
        </is>
      </c>
      <c r="D547" s="5" t="inlineStr">
        <is>
          <t>Married</t>
        </is>
      </c>
      <c r="E547" s="5" t="inlineStr">
        <is>
          <t>PhD</t>
        </is>
      </c>
      <c r="F547" s="5" t="inlineStr">
        <is>
          <t>Customer Support</t>
        </is>
      </c>
      <c r="G547" s="5" t="inlineStr">
        <is>
          <t>Support Agent</t>
        </is>
      </c>
      <c r="H547" s="5" t="inlineStr">
        <is>
          <t>1</t>
        </is>
      </c>
      <c r="I547" s="5" t="inlineStr">
        <is>
          <t>Bengaluru</t>
        </is>
      </c>
      <c r="J547" s="5" t="inlineStr">
        <is>
          <t>Part-Time</t>
        </is>
      </c>
      <c r="K547" s="7" t="n">
        <v>44973</v>
      </c>
      <c r="L547" s="7" t="n">
        <v>45108</v>
      </c>
      <c r="M547" s="5" t="inlineStr">
        <is>
          <t>No</t>
        </is>
      </c>
      <c r="N547" s="5" t="inlineStr">
        <is>
          <t>Resigned</t>
        </is>
      </c>
      <c r="O547" s="8" t="inlineStr">
        <is>
          <t>55500</t>
        </is>
      </c>
      <c r="P547" s="5" t="inlineStr">
        <is>
          <t>0</t>
        </is>
      </c>
      <c r="Q547" s="5" t="inlineStr">
        <is>
          <t>4</t>
        </is>
      </c>
      <c r="R547" s="5" t="inlineStr">
        <is>
          <t>5</t>
        </is>
      </c>
      <c r="S547" s="5" t="inlineStr">
        <is>
          <t>4</t>
        </is>
      </c>
      <c r="T547" s="5" t="inlineStr">
        <is>
          <t>6</t>
        </is>
      </c>
      <c r="U547" s="5" t="inlineStr">
        <is>
          <t>OK</t>
        </is>
      </c>
    </row>
    <row r="548">
      <c r="A548" s="5" t="inlineStr">
        <is>
          <t>E02190</t>
        </is>
      </c>
      <c r="B548" s="5" t="inlineStr">
        <is>
          <t>female</t>
        </is>
      </c>
      <c r="C548" s="6" t="inlineStr">
        <is>
          <t>35</t>
        </is>
      </c>
      <c r="D548" s="5" t="inlineStr">
        <is>
          <t>Married</t>
        </is>
      </c>
      <c r="E548" s="5" t="inlineStr">
        <is>
          <t>PhD</t>
        </is>
      </c>
      <c r="F548" s="5" t="inlineStr">
        <is>
          <t>Sales</t>
        </is>
      </c>
      <c r="G548" s="5" t="inlineStr">
        <is>
          <t>Business Development</t>
        </is>
      </c>
      <c r="H548" s="5" t="inlineStr">
        <is>
          <t>4</t>
        </is>
      </c>
      <c r="I548" s="5" t="inlineStr">
        <is>
          <t>Bengaluru</t>
        </is>
      </c>
      <c r="J548" s="5" t="inlineStr">
        <is>
          <t>Contract</t>
        </is>
      </c>
      <c r="K548" s="7" t="n">
        <v>44796</v>
      </c>
      <c r="L548" s="7" t="inlineStr"/>
      <c r="M548" s="5" t="inlineStr">
        <is>
          <t>Yes</t>
        </is>
      </c>
      <c r="N548" s="5" t="inlineStr"/>
      <c r="O548" s="8" t="inlineStr">
        <is>
          <t>100000</t>
        </is>
      </c>
      <c r="P548" s="5" t="inlineStr">
        <is>
          <t>0</t>
        </is>
      </c>
      <c r="Q548" s="5" t="inlineStr">
        <is>
          <t>4</t>
        </is>
      </c>
      <c r="R548" s="5" t="inlineStr">
        <is>
          <t>7</t>
        </is>
      </c>
      <c r="S548" s="5" t="inlineStr">
        <is>
          <t>40</t>
        </is>
      </c>
      <c r="T548" s="5" t="inlineStr">
        <is>
          <t>0</t>
        </is>
      </c>
      <c r="U548" s="5" t="inlineStr">
        <is>
          <t>OK</t>
        </is>
      </c>
    </row>
    <row r="549">
      <c r="A549" s="5" t="inlineStr">
        <is>
          <t>E01401</t>
        </is>
      </c>
      <c r="B549" s="5" t="inlineStr">
        <is>
          <t>Male</t>
        </is>
      </c>
      <c r="C549" s="6" t="inlineStr">
        <is>
          <t>34</t>
        </is>
      </c>
      <c r="D549" s="5" t="inlineStr">
        <is>
          <t>Single</t>
        </is>
      </c>
      <c r="E549" s="5" t="inlineStr">
        <is>
          <t>Diploma</t>
        </is>
      </c>
      <c r="F549" s="5" t="inlineStr">
        <is>
          <t>Marketing</t>
        </is>
      </c>
      <c r="G549" s="5" t="inlineStr">
        <is>
          <t>Content Writer</t>
        </is>
      </c>
      <c r="H549" s="5" t="inlineStr">
        <is>
          <t>1</t>
        </is>
      </c>
      <c r="I549" s="5" t="inlineStr">
        <is>
          <t>Mumbai</t>
        </is>
      </c>
      <c r="J549" s="5" t="inlineStr">
        <is>
          <t>Full-Time</t>
        </is>
      </c>
      <c r="K549" s="7" t="n">
        <v>43976</v>
      </c>
      <c r="L549" s="7" t="inlineStr"/>
      <c r="M549" s="5" t="inlineStr">
        <is>
          <t>Yes</t>
        </is>
      </c>
      <c r="N549" s="5" t="inlineStr"/>
      <c r="O549" s="8" t="inlineStr">
        <is>
          <t>63000</t>
        </is>
      </c>
      <c r="P549" s="5" t="inlineStr">
        <is>
          <t>0</t>
        </is>
      </c>
      <c r="Q549" s="5" t="inlineStr">
        <is>
          <t>3</t>
        </is>
      </c>
      <c r="R549" s="5" t="inlineStr">
        <is>
          <t>5</t>
        </is>
      </c>
      <c r="S549" s="5" t="inlineStr">
        <is>
          <t>68</t>
        </is>
      </c>
      <c r="T549" s="5" t="inlineStr">
        <is>
          <t>0</t>
        </is>
      </c>
      <c r="U549" s="5" t="inlineStr">
        <is>
          <t>OK</t>
        </is>
      </c>
    </row>
    <row r="550">
      <c r="A550" s="5" t="inlineStr">
        <is>
          <t>E02910</t>
        </is>
      </c>
      <c r="B550" s="5" t="inlineStr">
        <is>
          <t>Female</t>
        </is>
      </c>
      <c r="C550" s="6" t="inlineStr">
        <is>
          <t>35</t>
        </is>
      </c>
      <c r="D550" s="5" t="inlineStr">
        <is>
          <t>Married</t>
        </is>
      </c>
      <c r="E550" s="5" t="inlineStr">
        <is>
          <t>Bachelor</t>
        </is>
      </c>
      <c r="F550" s="5" t="inlineStr">
        <is>
          <t>Finance</t>
        </is>
      </c>
      <c r="G550" s="5" t="inlineStr">
        <is>
          <t>Credit Analyst</t>
        </is>
      </c>
      <c r="H550" s="5" t="inlineStr">
        <is>
          <t>4</t>
        </is>
      </c>
      <c r="I550" s="5" t="inlineStr">
        <is>
          <t>Hyderabad</t>
        </is>
      </c>
      <c r="J550" s="5" t="inlineStr">
        <is>
          <t>Full-Time</t>
        </is>
      </c>
      <c r="K550" s="7" t="n">
        <v>45071</v>
      </c>
      <c r="L550" s="7" t="inlineStr"/>
      <c r="M550" s="5" t="inlineStr">
        <is>
          <t>Yes</t>
        </is>
      </c>
      <c r="N550" s="5" t="inlineStr"/>
      <c r="O550" s="8" t="inlineStr">
        <is>
          <t>108500</t>
        </is>
      </c>
      <c r="P550" s="5" t="inlineStr">
        <is>
          <t>0</t>
        </is>
      </c>
      <c r="Q550" s="5" t="inlineStr">
        <is>
          <t>4</t>
        </is>
      </c>
      <c r="R550" s="5" t="inlineStr">
        <is>
          <t>7</t>
        </is>
      </c>
      <c r="S550" s="5" t="inlineStr">
        <is>
          <t>31</t>
        </is>
      </c>
      <c r="T550" s="5" t="inlineStr">
        <is>
          <t>1</t>
        </is>
      </c>
      <c r="U550" s="5" t="inlineStr">
        <is>
          <t>OK</t>
        </is>
      </c>
    </row>
    <row r="551">
      <c r="A551" s="5" t="inlineStr">
        <is>
          <t>E01254</t>
        </is>
      </c>
      <c r="B551" s="5" t="inlineStr">
        <is>
          <t>Female</t>
        </is>
      </c>
      <c r="C551" s="6" t="inlineStr">
        <is>
          <t>32</t>
        </is>
      </c>
      <c r="D551" s="5" t="inlineStr">
        <is>
          <t>Single</t>
        </is>
      </c>
      <c r="E551" s="5" t="inlineStr">
        <is>
          <t>Bachelor</t>
        </is>
      </c>
      <c r="F551" s="5" t="inlineStr">
        <is>
          <t>Marketing</t>
        </is>
      </c>
      <c r="G551" s="5" t="inlineStr">
        <is>
          <t>Marketing Analyst</t>
        </is>
      </c>
      <c r="H551" s="5" t="inlineStr">
        <is>
          <t>3</t>
        </is>
      </c>
      <c r="I551" s="5" t="inlineStr">
        <is>
          <t>Bengaluru</t>
        </is>
      </c>
      <c r="J551" s="5" t="inlineStr">
        <is>
          <t>Full-Time</t>
        </is>
      </c>
      <c r="K551" s="7" t="n">
        <v>44086</v>
      </c>
      <c r="L551" s="7" t="inlineStr"/>
      <c r="M551" s="5" t="inlineStr">
        <is>
          <t>Yes</t>
        </is>
      </c>
      <c r="N551" s="5" t="inlineStr"/>
      <c r="O551" s="8" t="inlineStr">
        <is>
          <t>96000</t>
        </is>
      </c>
      <c r="P551" s="5" t="inlineStr">
        <is>
          <t>5</t>
        </is>
      </c>
      <c r="Q551" s="5" t="inlineStr">
        <is>
          <t>3</t>
        </is>
      </c>
      <c r="R551" s="5" t="inlineStr">
        <is>
          <t>10</t>
        </is>
      </c>
      <c r="S551" s="5" t="inlineStr">
        <is>
          <t>64</t>
        </is>
      </c>
      <c r="T551" s="5" t="inlineStr">
        <is>
          <t>3</t>
        </is>
      </c>
      <c r="U551" s="5" t="inlineStr">
        <is>
          <t>OK</t>
        </is>
      </c>
    </row>
    <row r="552">
      <c r="A552" s="5" t="inlineStr">
        <is>
          <t>E02146</t>
        </is>
      </c>
      <c r="B552" s="5" t="inlineStr">
        <is>
          <t>Female</t>
        </is>
      </c>
      <c r="C552" s="6" t="inlineStr">
        <is>
          <t>34</t>
        </is>
      </c>
      <c r="D552" s="5" t="inlineStr">
        <is>
          <t>Married</t>
        </is>
      </c>
      <c r="E552" s="5" t="inlineStr">
        <is>
          <t>Bachelor</t>
        </is>
      </c>
      <c r="F552" s="5" t="inlineStr">
        <is>
          <t>Customer Support</t>
        </is>
      </c>
      <c r="G552" s="5" t="inlineStr">
        <is>
          <t>Support Agent</t>
        </is>
      </c>
      <c r="H552" s="5" t="inlineStr">
        <is>
          <t>1</t>
        </is>
      </c>
      <c r="I552" s="5" t="inlineStr">
        <is>
          <t>Hyderabad</t>
        </is>
      </c>
      <c r="J552" s="5" t="inlineStr">
        <is>
          <t>Full-Time</t>
        </is>
      </c>
      <c r="K552" s="7" t="n">
        <v>44337</v>
      </c>
      <c r="L552" s="7" t="n">
        <v>44405</v>
      </c>
      <c r="M552" s="5" t="inlineStr">
        <is>
          <t>No</t>
        </is>
      </c>
      <c r="N552" s="5" t="inlineStr">
        <is>
          <t>Retirement</t>
        </is>
      </c>
      <c r="O552" s="8" t="inlineStr">
        <is>
          <t>72000</t>
        </is>
      </c>
      <c r="P552" s="5" t="inlineStr">
        <is>
          <t>5</t>
        </is>
      </c>
      <c r="Q552" s="5" t="inlineStr">
        <is>
          <t>4</t>
        </is>
      </c>
      <c r="R552" s="5" t="inlineStr">
        <is>
          <t>5</t>
        </is>
      </c>
      <c r="S552" s="5" t="inlineStr">
        <is>
          <t>2</t>
        </is>
      </c>
      <c r="T552" s="5" t="inlineStr">
        <is>
          <t>8</t>
        </is>
      </c>
      <c r="U552" s="5" t="inlineStr">
        <is>
          <t>OK</t>
        </is>
      </c>
    </row>
    <row r="553">
      <c r="A553" s="5" t="inlineStr">
        <is>
          <t>E01205</t>
        </is>
      </c>
      <c r="B553" s="5" t="inlineStr">
        <is>
          <t>Female</t>
        </is>
      </c>
      <c r="C553" s="6" t="inlineStr">
        <is>
          <t>32</t>
        </is>
      </c>
      <c r="D553" s="5" t="inlineStr">
        <is>
          <t>Married</t>
        </is>
      </c>
      <c r="E553" s="5" t="inlineStr">
        <is>
          <t>PhD</t>
        </is>
      </c>
      <c r="F553" s="5" t="inlineStr">
        <is>
          <t>Sales</t>
        </is>
      </c>
      <c r="G553" s="5" t="inlineStr">
        <is>
          <t>Sales Executive</t>
        </is>
      </c>
      <c r="H553" s="5" t="inlineStr">
        <is>
          <t>2</t>
        </is>
      </c>
      <c r="I553" s="5" t="inlineStr">
        <is>
          <t>Remote</t>
        </is>
      </c>
      <c r="J553" s="5" t="inlineStr">
        <is>
          <t>Full-Time</t>
        </is>
      </c>
      <c r="K553" s="7" t="n">
        <v>44699</v>
      </c>
      <c r="L553" s="7" t="n">
        <v>44810</v>
      </c>
      <c r="M553" s="5" t="inlineStr">
        <is>
          <t>No</t>
        </is>
      </c>
      <c r="N553" s="5" t="inlineStr">
        <is>
          <t>Resigned</t>
        </is>
      </c>
      <c r="O553" s="8" t="inlineStr">
        <is>
          <t>119500</t>
        </is>
      </c>
      <c r="P553" s="5" t="inlineStr">
        <is>
          <t>0</t>
        </is>
      </c>
      <c r="Q553" s="5" t="inlineStr">
        <is>
          <t>1</t>
        </is>
      </c>
      <c r="R553" s="5" t="inlineStr">
        <is>
          <t>6</t>
        </is>
      </c>
      <c r="S553" s="5" t="inlineStr">
        <is>
          <t>3</t>
        </is>
      </c>
      <c r="T553" s="5" t="inlineStr">
        <is>
          <t>0</t>
        </is>
      </c>
      <c r="U553" s="5" t="inlineStr">
        <is>
          <t>OK</t>
        </is>
      </c>
    </row>
    <row r="554">
      <c r="A554" s="5" t="inlineStr">
        <is>
          <t>E01221</t>
        </is>
      </c>
      <c r="B554" s="5" t="inlineStr">
        <is>
          <t>Female</t>
        </is>
      </c>
      <c r="C554" s="6" t="inlineStr">
        <is>
          <t>27</t>
        </is>
      </c>
      <c r="D554" s="5" t="inlineStr">
        <is>
          <t>Married</t>
        </is>
      </c>
      <c r="E554" s="5" t="inlineStr">
        <is>
          <t>Bachelor</t>
        </is>
      </c>
      <c r="F554" s="5" t="inlineStr">
        <is>
          <t>Finance</t>
        </is>
      </c>
      <c r="G554" s="5" t="inlineStr">
        <is>
          <t>Financial Analyst</t>
        </is>
      </c>
      <c r="H554" s="5" t="inlineStr">
        <is>
          <t>3</t>
        </is>
      </c>
      <c r="I554" s="5" t="inlineStr">
        <is>
          <t>Remote</t>
        </is>
      </c>
      <c r="J554" s="5" t="inlineStr">
        <is>
          <t>Full-Time</t>
        </is>
      </c>
      <c r="K554" s="7" t="n">
        <v>44181</v>
      </c>
      <c r="L554" s="7" t="inlineStr"/>
      <c r="M554" s="5" t="inlineStr">
        <is>
          <t>Yes</t>
        </is>
      </c>
      <c r="N554" s="5" t="inlineStr"/>
      <c r="O554" s="8" t="inlineStr">
        <is>
          <t>145500</t>
        </is>
      </c>
      <c r="P554" s="5" t="inlineStr">
        <is>
          <t>15</t>
        </is>
      </c>
      <c r="Q554" s="5" t="inlineStr">
        <is>
          <t>5</t>
        </is>
      </c>
      <c r="R554" s="5" t="inlineStr">
        <is>
          <t>5</t>
        </is>
      </c>
      <c r="S554" s="5" t="inlineStr">
        <is>
          <t>61</t>
        </is>
      </c>
      <c r="T554" s="5" t="inlineStr">
        <is>
          <t>5</t>
        </is>
      </c>
      <c r="U554" s="5" t="inlineStr">
        <is>
          <t>OK</t>
        </is>
      </c>
    </row>
    <row r="555">
      <c r="A555" s="5" t="inlineStr">
        <is>
          <t>E01837</t>
        </is>
      </c>
      <c r="B555" s="5" t="inlineStr">
        <is>
          <t>Female</t>
        </is>
      </c>
      <c r="C555" s="6" t="inlineStr">
        <is>
          <t>34</t>
        </is>
      </c>
      <c r="D555" s="5" t="inlineStr">
        <is>
          <t>Married</t>
        </is>
      </c>
      <c r="E555" s="5" t="inlineStr">
        <is>
          <t>High School</t>
        </is>
      </c>
      <c r="F555" s="5" t="inlineStr">
        <is>
          <t>IT</t>
        </is>
      </c>
      <c r="G555" s="5" t="inlineStr">
        <is>
          <t>DevOps Engineer</t>
        </is>
      </c>
      <c r="H555" s="5" t="inlineStr">
        <is>
          <t>6</t>
        </is>
      </c>
      <c r="I555" s="5" t="inlineStr">
        <is>
          <t>Hyderabad</t>
        </is>
      </c>
      <c r="J555" s="5" t="inlineStr">
        <is>
          <t>Full-Time</t>
        </is>
      </c>
      <c r="K555" s="7" t="n">
        <v>45348</v>
      </c>
      <c r="L555" s="7" t="inlineStr"/>
      <c r="M555" s="5" t="inlineStr">
        <is>
          <t>Yes</t>
        </is>
      </c>
      <c r="N555" s="5" t="inlineStr"/>
      <c r="O555" s="8" t="inlineStr">
        <is>
          <t>147000</t>
        </is>
      </c>
      <c r="P555" s="5" t="inlineStr">
        <is>
          <t>0</t>
        </is>
      </c>
      <c r="Q555" s="5" t="inlineStr">
        <is>
          <t>3</t>
        </is>
      </c>
      <c r="R555" s="5" t="inlineStr">
        <is>
          <t>6</t>
        </is>
      </c>
      <c r="S555" s="5" t="inlineStr">
        <is>
          <t>22</t>
        </is>
      </c>
      <c r="T555" s="5" t="inlineStr">
        <is>
          <t>9</t>
        </is>
      </c>
      <c r="U555" s="5" t="inlineStr">
        <is>
          <t>OK</t>
        </is>
      </c>
    </row>
    <row r="556">
      <c r="A556" s="5" t="inlineStr">
        <is>
          <t>E01542</t>
        </is>
      </c>
      <c r="B556" s="5" t="inlineStr">
        <is>
          <t>Male</t>
        </is>
      </c>
      <c r="C556" s="6" t="inlineStr">
        <is>
          <t>35</t>
        </is>
      </c>
      <c r="D556" s="5" t="inlineStr">
        <is>
          <t>Married</t>
        </is>
      </c>
      <c r="E556" s="5" t="inlineStr">
        <is>
          <t>Bachelor</t>
        </is>
      </c>
      <c r="F556" s="5" t="inlineStr">
        <is>
          <t>Sales</t>
        </is>
      </c>
      <c r="G556" s="5" t="inlineStr">
        <is>
          <t>Business Development</t>
        </is>
      </c>
      <c r="H556" s="5" t="inlineStr">
        <is>
          <t>4</t>
        </is>
      </c>
      <c r="I556" s="5" t="inlineStr">
        <is>
          <t>Chennai</t>
        </is>
      </c>
      <c r="J556" s="5" t="inlineStr">
        <is>
          <t>Full-Time</t>
        </is>
      </c>
      <c r="K556" s="7" t="n">
        <v>44748</v>
      </c>
      <c r="L556" s="7" t="inlineStr"/>
      <c r="M556" s="5" t="inlineStr">
        <is>
          <t>Yes</t>
        </is>
      </c>
      <c r="N556" s="5" t="inlineStr"/>
      <c r="O556" s="8" t="inlineStr">
        <is>
          <t>112500</t>
        </is>
      </c>
      <c r="P556" s="5" t="inlineStr">
        <is>
          <t>10</t>
        </is>
      </c>
      <c r="Q556" s="5" t="inlineStr">
        <is>
          <t>5</t>
        </is>
      </c>
      <c r="R556" s="5" t="inlineStr">
        <is>
          <t>5</t>
        </is>
      </c>
      <c r="S556" s="5" t="inlineStr">
        <is>
          <t>42</t>
        </is>
      </c>
      <c r="T556" s="5" t="inlineStr">
        <is>
          <t>5</t>
        </is>
      </c>
      <c r="U556" s="5" t="inlineStr">
        <is>
          <t>OK</t>
        </is>
      </c>
    </row>
    <row r="557">
      <c r="A557" s="5" t="inlineStr">
        <is>
          <t>E01822</t>
        </is>
      </c>
      <c r="B557" s="5" t="inlineStr">
        <is>
          <t>Male</t>
        </is>
      </c>
      <c r="C557" s="6" t="inlineStr">
        <is>
          <t>29</t>
        </is>
      </c>
      <c r="D557" s="5" t="inlineStr">
        <is>
          <t>Married</t>
        </is>
      </c>
      <c r="E557" s="5" t="inlineStr">
        <is>
          <t>Bachelor</t>
        </is>
      </c>
      <c r="F557" s="5" t="inlineStr">
        <is>
          <t>Sales</t>
        </is>
      </c>
      <c r="G557" s="5" t="inlineStr">
        <is>
          <t>Account Executive</t>
        </is>
      </c>
      <c r="H557" s="5" t="inlineStr">
        <is>
          <t>4</t>
        </is>
      </c>
      <c r="I557" s="5" t="inlineStr">
        <is>
          <t>Delhi</t>
        </is>
      </c>
      <c r="J557" s="5" t="inlineStr">
        <is>
          <t>Full-Time</t>
        </is>
      </c>
      <c r="K557" s="7" t="n">
        <v>44930</v>
      </c>
      <c r="L557" s="7" t="n">
        <v>45003</v>
      </c>
      <c r="M557" s="5" t="inlineStr">
        <is>
          <t>No</t>
        </is>
      </c>
      <c r="N557" s="5" t="inlineStr">
        <is>
          <t>Resigned</t>
        </is>
      </c>
      <c r="O557" s="8" t="inlineStr">
        <is>
          <t>148000</t>
        </is>
      </c>
      <c r="P557" s="5" t="inlineStr">
        <is>
          <t>0</t>
        </is>
      </c>
      <c r="Q557" s="5" t="inlineStr">
        <is>
          <t>1</t>
        </is>
      </c>
      <c r="R557" s="5" t="inlineStr">
        <is>
          <t>6</t>
        </is>
      </c>
      <c r="S557" s="5" t="inlineStr">
        <is>
          <t>2</t>
        </is>
      </c>
      <c r="T557" s="5" t="inlineStr">
        <is>
          <t>0</t>
        </is>
      </c>
      <c r="U557" s="5" t="inlineStr">
        <is>
          <t>OK</t>
        </is>
      </c>
    </row>
    <row r="558">
      <c r="A558" s="5" t="inlineStr">
        <is>
          <t>E02010</t>
        </is>
      </c>
      <c r="B558" s="5" t="inlineStr">
        <is>
          <t>male</t>
        </is>
      </c>
      <c r="C558" s="6" t="inlineStr">
        <is>
          <t>27</t>
        </is>
      </c>
      <c r="D558" s="5" t="inlineStr">
        <is>
          <t>Married</t>
        </is>
      </c>
      <c r="E558" s="5" t="inlineStr">
        <is>
          <t>Bachelor</t>
        </is>
      </c>
      <c r="F558" s="5" t="inlineStr">
        <is>
          <t>Research &amp; Development</t>
        </is>
      </c>
      <c r="G558" s="5" t="inlineStr">
        <is>
          <t>Product Engineer</t>
        </is>
      </c>
      <c r="H558" s="5" t="inlineStr">
        <is>
          <t>3</t>
        </is>
      </c>
      <c r="I558" s="5" t="inlineStr">
        <is>
          <t>Delhi</t>
        </is>
      </c>
      <c r="J558" s="5" t="inlineStr">
        <is>
          <t>Full-Time</t>
        </is>
      </c>
      <c r="K558" s="7" t="n">
        <v>44851</v>
      </c>
      <c r="L558" s="7" t="inlineStr"/>
      <c r="M558" s="5" t="inlineStr">
        <is>
          <t>Yes</t>
        </is>
      </c>
      <c r="N558" s="5" t="inlineStr"/>
      <c r="O558" s="8" t="inlineStr">
        <is>
          <t>174000</t>
        </is>
      </c>
      <c r="P558" s="5" t="inlineStr">
        <is>
          <t>15</t>
        </is>
      </c>
      <c r="Q558" s="5" t="inlineStr">
        <is>
          <t>5</t>
        </is>
      </c>
      <c r="R558" s="5" t="inlineStr">
        <is>
          <t>4</t>
        </is>
      </c>
      <c r="S558" s="5" t="inlineStr">
        <is>
          <t>39</t>
        </is>
      </c>
      <c r="T558" s="5" t="inlineStr">
        <is>
          <t>4</t>
        </is>
      </c>
      <c r="U558" s="5" t="inlineStr">
        <is>
          <t>OK</t>
        </is>
      </c>
    </row>
    <row r="559">
      <c r="A559" s="5" t="inlineStr">
        <is>
          <t>E01032</t>
        </is>
      </c>
      <c r="B559" s="5" t="inlineStr">
        <is>
          <t>Female</t>
        </is>
      </c>
      <c r="C559" s="6" t="inlineStr">
        <is>
          <t>23</t>
        </is>
      </c>
      <c r="D559" s="5" t="inlineStr">
        <is>
          <t>Single</t>
        </is>
      </c>
      <c r="E559" s="5" t="inlineStr">
        <is>
          <t>Diploma</t>
        </is>
      </c>
      <c r="F559" s="5" t="inlineStr">
        <is>
          <t>IT</t>
        </is>
      </c>
      <c r="G559" s="5" t="inlineStr">
        <is>
          <t>Data Analyst</t>
        </is>
      </c>
      <c r="H559" s="5" t="inlineStr">
        <is>
          <t>1</t>
        </is>
      </c>
      <c r="I559" s="5" t="inlineStr">
        <is>
          <t>Delhi</t>
        </is>
      </c>
      <c r="J559" s="5" t="inlineStr">
        <is>
          <t>Full-Time</t>
        </is>
      </c>
      <c r="K559" s="7" t="n">
        <v>45862</v>
      </c>
      <c r="L559" s="7" t="inlineStr"/>
      <c r="M559" s="5" t="inlineStr">
        <is>
          <t>Yes</t>
        </is>
      </c>
      <c r="N559" s="5" t="inlineStr"/>
      <c r="O559" s="8" t="inlineStr">
        <is>
          <t>109000</t>
        </is>
      </c>
      <c r="P559" s="5" t="inlineStr">
        <is>
          <t>10</t>
        </is>
      </c>
      <c r="Q559" s="5" t="inlineStr">
        <is>
          <t>4</t>
        </is>
      </c>
      <c r="R559" s="5" t="inlineStr">
        <is>
          <t>5</t>
        </is>
      </c>
      <c r="S559" s="5" t="inlineStr">
        <is>
          <t>5</t>
        </is>
      </c>
      <c r="T559" s="5" t="inlineStr">
        <is>
          <t>14</t>
        </is>
      </c>
      <c r="U559" s="5" t="inlineStr">
        <is>
          <t>OK</t>
        </is>
      </c>
    </row>
    <row r="560">
      <c r="A560" s="5" t="inlineStr">
        <is>
          <t>E02814</t>
        </is>
      </c>
      <c r="B560" s="5" t="inlineStr">
        <is>
          <t>Male</t>
        </is>
      </c>
      <c r="C560" s="6" t="inlineStr">
        <is>
          <t>37</t>
        </is>
      </c>
      <c r="D560" s="5" t="inlineStr">
        <is>
          <t>Married</t>
        </is>
      </c>
      <c r="E560" s="5" t="inlineStr">
        <is>
          <t>Bachelor</t>
        </is>
      </c>
      <c r="F560" s="5" t="inlineStr">
        <is>
          <t>Operations</t>
        </is>
      </c>
      <c r="G560" s="5" t="inlineStr">
        <is>
          <t>Operations Analyst</t>
        </is>
      </c>
      <c r="H560" s="5" t="inlineStr">
        <is>
          <t>4</t>
        </is>
      </c>
      <c r="I560" s="5" t="inlineStr">
        <is>
          <t>Chennai</t>
        </is>
      </c>
      <c r="J560" s="5" t="inlineStr">
        <is>
          <t>Full-Time</t>
        </is>
      </c>
      <c r="K560" s="7" t="n">
        <v>44806</v>
      </c>
      <c r="L560" s="7" t="inlineStr"/>
      <c r="M560" s="5" t="inlineStr">
        <is>
          <t>Yes</t>
        </is>
      </c>
      <c r="N560" s="5" t="inlineStr"/>
      <c r="O560" s="8" t="inlineStr">
        <is>
          <t>114500</t>
        </is>
      </c>
      <c r="P560" s="5" t="inlineStr">
        <is>
          <t>0</t>
        </is>
      </c>
      <c r="Q560" s="5" t="inlineStr">
        <is>
          <t>4</t>
        </is>
      </c>
      <c r="R560" s="5" t="inlineStr">
        <is>
          <t>6</t>
        </is>
      </c>
      <c r="S560" s="5" t="inlineStr">
        <is>
          <t>40</t>
        </is>
      </c>
      <c r="T560" s="5" t="inlineStr">
        <is>
          <t>0</t>
        </is>
      </c>
      <c r="U560" s="5" t="inlineStr">
        <is>
          <t>OK</t>
        </is>
      </c>
    </row>
    <row r="561">
      <c r="A561" s="5" t="inlineStr">
        <is>
          <t>E01335</t>
        </is>
      </c>
      <c r="B561" s="5" t="inlineStr">
        <is>
          <t>Male</t>
        </is>
      </c>
      <c r="C561" s="6" t="inlineStr">
        <is>
          <t>37</t>
        </is>
      </c>
      <c r="D561" s="5" t="inlineStr">
        <is>
          <t>Married</t>
        </is>
      </c>
      <c r="E561" s="5" t="inlineStr">
        <is>
          <t>Master</t>
        </is>
      </c>
      <c r="F561" s="5" t="inlineStr">
        <is>
          <t>Marketing</t>
        </is>
      </c>
      <c r="G561" s="5" t="inlineStr">
        <is>
          <t>Content Writer</t>
        </is>
      </c>
      <c r="H561" s="5" t="inlineStr">
        <is>
          <t>4</t>
        </is>
      </c>
      <c r="I561" s="5" t="inlineStr">
        <is>
          <t>Bengaluru</t>
        </is>
      </c>
      <c r="J561" s="5" t="inlineStr">
        <is>
          <t>Part-Time</t>
        </is>
      </c>
      <c r="K561" s="7" t="n">
        <v>45575</v>
      </c>
      <c r="L561" s="7" t="inlineStr"/>
      <c r="M561" s="5" t="inlineStr">
        <is>
          <t>Yes</t>
        </is>
      </c>
      <c r="N561" s="5" t="inlineStr"/>
      <c r="O561" s="8" t="inlineStr">
        <is>
          <t>103500</t>
        </is>
      </c>
      <c r="P561" s="5" t="inlineStr">
        <is>
          <t>15</t>
        </is>
      </c>
      <c r="Q561" s="5" t="inlineStr">
        <is>
          <t>4</t>
        </is>
      </c>
      <c r="R561" s="5" t="inlineStr">
        <is>
          <t>6</t>
        </is>
      </c>
      <c r="S561" s="5" t="inlineStr">
        <is>
          <t>14</t>
        </is>
      </c>
      <c r="T561" s="5" t="inlineStr">
        <is>
          <t>5</t>
        </is>
      </c>
      <c r="U561" s="5" t="inlineStr">
        <is>
          <t>OK</t>
        </is>
      </c>
    </row>
    <row r="562">
      <c r="A562" s="5" t="inlineStr">
        <is>
          <t>E00118</t>
        </is>
      </c>
      <c r="B562" s="5" t="inlineStr">
        <is>
          <t>Male</t>
        </is>
      </c>
      <c r="C562" s="6" t="inlineStr">
        <is>
          <t>31</t>
        </is>
      </c>
      <c r="D562" s="5" t="inlineStr">
        <is>
          <t>Married</t>
        </is>
      </c>
      <c r="E562" s="5" t="inlineStr">
        <is>
          <t>Diploma</t>
        </is>
      </c>
      <c r="F562" s="5" t="inlineStr">
        <is>
          <t>Operations</t>
        </is>
      </c>
      <c r="G562" s="5" t="inlineStr">
        <is>
          <t>Operations Analyst</t>
        </is>
      </c>
      <c r="H562" s="5" t="inlineStr">
        <is>
          <t>2</t>
        </is>
      </c>
      <c r="I562" s="5" t="inlineStr">
        <is>
          <t>Chennai</t>
        </is>
      </c>
      <c r="J562" s="5" t="inlineStr">
        <is>
          <t>Full-Time</t>
        </is>
      </c>
      <c r="K562" s="7" t="n">
        <v>43879</v>
      </c>
      <c r="L562" s="7" t="inlineStr"/>
      <c r="M562" s="5" t="inlineStr">
        <is>
          <t>Yes</t>
        </is>
      </c>
      <c r="N562" s="5" t="inlineStr"/>
      <c r="O562" s="8" t="inlineStr">
        <is>
          <t>101000</t>
        </is>
      </c>
      <c r="P562" s="5" t="inlineStr">
        <is>
          <t>5</t>
        </is>
      </c>
      <c r="Q562" s="5" t="inlineStr">
        <is>
          <t>4</t>
        </is>
      </c>
      <c r="R562" s="5" t="inlineStr">
        <is>
          <t>5</t>
        </is>
      </c>
      <c r="S562" s="5" t="inlineStr">
        <is>
          <t>71</t>
        </is>
      </c>
      <c r="T562" s="5" t="inlineStr">
        <is>
          <t>14</t>
        </is>
      </c>
      <c r="U562" s="5" t="inlineStr">
        <is>
          <t>OK</t>
        </is>
      </c>
    </row>
    <row r="563">
      <c r="A563" s="5" t="inlineStr">
        <is>
          <t>E01125</t>
        </is>
      </c>
      <c r="B563" s="5" t="inlineStr">
        <is>
          <t>male</t>
        </is>
      </c>
      <c r="C563" s="6" t="inlineStr">
        <is>
          <t>30</t>
        </is>
      </c>
      <c r="D563" s="5" t="inlineStr">
        <is>
          <t>Single</t>
        </is>
      </c>
      <c r="E563" s="5" t="inlineStr">
        <is>
          <t>High School</t>
        </is>
      </c>
      <c r="F563" s="5" t="inlineStr">
        <is>
          <t>Sales</t>
        </is>
      </c>
      <c r="G563" s="5" t="inlineStr">
        <is>
          <t>Sales Executive</t>
        </is>
      </c>
      <c r="H563" s="5" t="inlineStr">
        <is>
          <t>1</t>
        </is>
      </c>
      <c r="I563" s="5" t="inlineStr">
        <is>
          <t>Mumbai</t>
        </is>
      </c>
      <c r="J563" s="5" t="inlineStr">
        <is>
          <t>Part-Time</t>
        </is>
      </c>
      <c r="K563" s="7" t="n">
        <v>45235</v>
      </c>
      <c r="L563" s="7" t="inlineStr"/>
      <c r="M563" s="5" t="inlineStr">
        <is>
          <t>Yes</t>
        </is>
      </c>
      <c r="N563" s="5" t="inlineStr"/>
      <c r="O563" s="8" t="inlineStr">
        <is>
          <t>89000</t>
        </is>
      </c>
      <c r="P563" s="5" t="inlineStr">
        <is>
          <t>0</t>
        </is>
      </c>
      <c r="Q563" s="5" t="inlineStr">
        <is>
          <t>5</t>
        </is>
      </c>
      <c r="R563" s="5" t="inlineStr">
        <is>
          <t>5</t>
        </is>
      </c>
      <c r="S563" s="5" t="inlineStr">
        <is>
          <t>26</t>
        </is>
      </c>
      <c r="T563" s="5" t="inlineStr">
        <is>
          <t>1</t>
        </is>
      </c>
      <c r="U563" s="5" t="inlineStr">
        <is>
          <t>OK</t>
        </is>
      </c>
    </row>
    <row r="564">
      <c r="A564" s="5" t="inlineStr">
        <is>
          <t>E01506</t>
        </is>
      </c>
      <c r="B564" s="5" t="inlineStr">
        <is>
          <t>Female</t>
        </is>
      </c>
      <c r="C564" s="6" t="inlineStr">
        <is>
          <t>32</t>
        </is>
      </c>
      <c r="D564" s="5" t="inlineStr">
        <is>
          <t>Single</t>
        </is>
      </c>
      <c r="E564" s="5" t="inlineStr">
        <is>
          <t>PhD</t>
        </is>
      </c>
      <c r="F564" s="5" t="inlineStr">
        <is>
          <t>Customer Support</t>
        </is>
      </c>
      <c r="G564" s="5" t="inlineStr">
        <is>
          <t>Support Agent</t>
        </is>
      </c>
      <c r="H564" s="5" t="inlineStr">
        <is>
          <t>1</t>
        </is>
      </c>
      <c r="I564" s="5" t="inlineStr">
        <is>
          <t>Bengaluru</t>
        </is>
      </c>
      <c r="J564" s="5" t="inlineStr">
        <is>
          <t>Full-Time</t>
        </is>
      </c>
      <c r="K564" s="7" t="n">
        <v>44308</v>
      </c>
      <c r="L564" s="7" t="inlineStr"/>
      <c r="M564" s="5" t="inlineStr">
        <is>
          <t>Yes</t>
        </is>
      </c>
      <c r="N564" s="5" t="inlineStr"/>
      <c r="O564" s="8" t="inlineStr">
        <is>
          <t>73000</t>
        </is>
      </c>
      <c r="P564" s="5" t="inlineStr">
        <is>
          <t>10</t>
        </is>
      </c>
      <c r="Q564" s="5" t="inlineStr">
        <is>
          <t>3</t>
        </is>
      </c>
      <c r="R564" s="5" t="inlineStr">
        <is>
          <t>7</t>
        </is>
      </c>
      <c r="S564" s="5" t="inlineStr">
        <is>
          <t>57</t>
        </is>
      </c>
      <c r="T564" s="5" t="inlineStr">
        <is>
          <t>12</t>
        </is>
      </c>
      <c r="U564" s="5" t="inlineStr">
        <is>
          <t>OK</t>
        </is>
      </c>
    </row>
    <row r="565">
      <c r="A565" s="5" t="inlineStr">
        <is>
          <t>E00659</t>
        </is>
      </c>
      <c r="B565" s="5" t="inlineStr">
        <is>
          <t>Male</t>
        </is>
      </c>
      <c r="C565" s="6" t="inlineStr">
        <is>
          <t>39</t>
        </is>
      </c>
      <c r="D565" s="5" t="inlineStr">
        <is>
          <t>Married</t>
        </is>
      </c>
      <c r="E565" s="5" t="inlineStr">
        <is>
          <t>PhD</t>
        </is>
      </c>
      <c r="F565" s="5" t="inlineStr">
        <is>
          <t>Operations</t>
        </is>
      </c>
      <c r="G565" s="5" t="inlineStr">
        <is>
          <t>Quality Analyst</t>
        </is>
      </c>
      <c r="H565" s="5" t="inlineStr">
        <is>
          <t>7</t>
        </is>
      </c>
      <c r="I565" s="5" t="inlineStr">
        <is>
          <t>Bengaluru</t>
        </is>
      </c>
      <c r="J565" s="5" t="inlineStr">
        <is>
          <t>Full-Time</t>
        </is>
      </c>
      <c r="K565" s="7" t="n">
        <v>45872</v>
      </c>
      <c r="L565" s="7" t="inlineStr"/>
      <c r="M565" s="5" t="inlineStr">
        <is>
          <t>Yes</t>
        </is>
      </c>
      <c r="N565" s="5" t="inlineStr"/>
      <c r="O565" s="8" t="inlineStr">
        <is>
          <t>167500</t>
        </is>
      </c>
      <c r="P565" s="5" t="inlineStr">
        <is>
          <t>15</t>
        </is>
      </c>
      <c r="Q565" s="5" t="inlineStr">
        <is>
          <t>3</t>
        </is>
      </c>
      <c r="R565" s="5" t="inlineStr">
        <is>
          <t>5</t>
        </is>
      </c>
      <c r="S565" s="5" t="inlineStr">
        <is>
          <t>5</t>
        </is>
      </c>
      <c r="T565" s="5" t="inlineStr">
        <is>
          <t>0</t>
        </is>
      </c>
      <c r="U565" s="5" t="inlineStr">
        <is>
          <t>OK</t>
        </is>
      </c>
    </row>
    <row r="566">
      <c r="A566" s="5" t="inlineStr">
        <is>
          <t>E01024</t>
        </is>
      </c>
      <c r="B566" s="5" t="inlineStr">
        <is>
          <t>Male</t>
        </is>
      </c>
      <c r="C566" s="6" t="inlineStr">
        <is>
          <t>31</t>
        </is>
      </c>
      <c r="D566" s="5" t="inlineStr">
        <is>
          <t>Married</t>
        </is>
      </c>
      <c r="E566" s="5" t="inlineStr">
        <is>
          <t>High School</t>
        </is>
      </c>
      <c r="F566" s="5" t="inlineStr">
        <is>
          <t>Customer Support</t>
        </is>
      </c>
      <c r="G566" s="5" t="inlineStr">
        <is>
          <t>Support Lead</t>
        </is>
      </c>
      <c r="H566" s="5" t="inlineStr">
        <is>
          <t>3</t>
        </is>
      </c>
      <c r="I566" s="5" t="inlineStr">
        <is>
          <t>Hyderabad</t>
        </is>
      </c>
      <c r="J566" s="5" t="inlineStr">
        <is>
          <t>Full-Time</t>
        </is>
      </c>
      <c r="K566" s="7" t="n">
        <v>43930</v>
      </c>
      <c r="L566" s="7" t="inlineStr"/>
      <c r="M566" s="5" t="inlineStr">
        <is>
          <t>Yes</t>
        </is>
      </c>
      <c r="N566" s="5" t="inlineStr"/>
      <c r="O566" s="8" t="inlineStr">
        <is>
          <t>88500</t>
        </is>
      </c>
      <c r="P566" s="5" t="inlineStr">
        <is>
          <t>5</t>
        </is>
      </c>
      <c r="Q566" s="5" t="inlineStr">
        <is>
          <t>4</t>
        </is>
      </c>
      <c r="R566" s="5" t="inlineStr">
        <is>
          <t>9</t>
        </is>
      </c>
      <c r="S566" s="5" t="inlineStr">
        <is>
          <t>69</t>
        </is>
      </c>
      <c r="T566" s="5" t="inlineStr">
        <is>
          <t>0</t>
        </is>
      </c>
      <c r="U566" s="5" t="inlineStr">
        <is>
          <t>OK</t>
        </is>
      </c>
    </row>
    <row r="567">
      <c r="A567" s="5" t="inlineStr">
        <is>
          <t>E00744</t>
        </is>
      </c>
      <c r="B567" s="5" t="inlineStr">
        <is>
          <t>Female</t>
        </is>
      </c>
      <c r="C567" s="6" t="inlineStr">
        <is>
          <t>28</t>
        </is>
      </c>
      <c r="D567" s="5" t="inlineStr">
        <is>
          <t>Married</t>
        </is>
      </c>
      <c r="E567" s="5" t="inlineStr">
        <is>
          <t>PhD</t>
        </is>
      </c>
      <c r="F567" s="5" t="inlineStr">
        <is>
          <t>Marketing</t>
        </is>
      </c>
      <c r="G567" s="5" t="inlineStr">
        <is>
          <t>Content Writer</t>
        </is>
      </c>
      <c r="H567" s="5" t="inlineStr">
        <is>
          <t>3</t>
        </is>
      </c>
      <c r="I567" s="5" t="inlineStr">
        <is>
          <t>Bengaluru</t>
        </is>
      </c>
      <c r="J567" s="5" t="inlineStr">
        <is>
          <t>Full-Time</t>
        </is>
      </c>
      <c r="K567" s="7" t="n">
        <v>45205</v>
      </c>
      <c r="L567" s="7" t="inlineStr"/>
      <c r="M567" s="5" t="inlineStr">
        <is>
          <t>Yes</t>
        </is>
      </c>
      <c r="N567" s="5" t="inlineStr"/>
      <c r="O567" s="8" t="inlineStr">
        <is>
          <t>88000</t>
        </is>
      </c>
      <c r="P567" s="5" t="inlineStr">
        <is>
          <t>5</t>
        </is>
      </c>
      <c r="Q567" s="5" t="inlineStr">
        <is>
          <t>4</t>
        </is>
      </c>
      <c r="R567" s="5" t="inlineStr">
        <is>
          <t>6</t>
        </is>
      </c>
      <c r="S567" s="5" t="inlineStr">
        <is>
          <t>27</t>
        </is>
      </c>
      <c r="T567" s="5" t="inlineStr">
        <is>
          <t>3</t>
        </is>
      </c>
      <c r="U567" s="5" t="inlineStr">
        <is>
          <t>OK</t>
        </is>
      </c>
    </row>
    <row r="568">
      <c r="A568" s="5" t="inlineStr">
        <is>
          <t>E00262</t>
        </is>
      </c>
      <c r="B568" s="5" t="inlineStr">
        <is>
          <t>Female</t>
        </is>
      </c>
      <c r="C568" s="6" t="inlineStr">
        <is>
          <t>31</t>
        </is>
      </c>
      <c r="D568" s="5" t="inlineStr">
        <is>
          <t>Married</t>
        </is>
      </c>
      <c r="E568" s="5" t="inlineStr">
        <is>
          <t>Master</t>
        </is>
      </c>
      <c r="F568" s="5" t="inlineStr">
        <is>
          <t>IT</t>
        </is>
      </c>
      <c r="G568" s="5" t="inlineStr">
        <is>
          <t>DevOps Engineer</t>
        </is>
      </c>
      <c r="H568" s="5" t="inlineStr">
        <is>
          <t>1</t>
        </is>
      </c>
      <c r="I568" s="5" t="inlineStr">
        <is>
          <t>Hyderabad</t>
        </is>
      </c>
      <c r="J568" s="5" t="inlineStr">
        <is>
          <t>Full-Time</t>
        </is>
      </c>
      <c r="K568" s="7" t="n">
        <v>44301</v>
      </c>
      <c r="L568" s="7" t="inlineStr"/>
      <c r="M568" s="5" t="inlineStr">
        <is>
          <t>Yes</t>
        </is>
      </c>
      <c r="N568" s="5" t="inlineStr"/>
      <c r="O568" s="8" t="inlineStr">
        <is>
          <t>86500</t>
        </is>
      </c>
      <c r="P568" s="5" t="inlineStr">
        <is>
          <t>10</t>
        </is>
      </c>
      <c r="Q568" s="5" t="inlineStr">
        <is>
          <t>3</t>
        </is>
      </c>
      <c r="R568" s="5" t="inlineStr">
        <is>
          <t>6</t>
        </is>
      </c>
      <c r="S568" s="5" t="inlineStr">
        <is>
          <t>57</t>
        </is>
      </c>
      <c r="T568" s="5" t="inlineStr">
        <is>
          <t>10</t>
        </is>
      </c>
      <c r="U568" s="5" t="inlineStr">
        <is>
          <t>OK</t>
        </is>
      </c>
    </row>
    <row r="569">
      <c r="A569" s="5" t="inlineStr">
        <is>
          <t>E00204</t>
        </is>
      </c>
      <c r="B569" s="5" t="inlineStr">
        <is>
          <t>Male</t>
        </is>
      </c>
      <c r="C569" s="6" t="inlineStr">
        <is>
          <t>35</t>
        </is>
      </c>
      <c r="D569" s="5" t="inlineStr">
        <is>
          <t>Married</t>
        </is>
      </c>
      <c r="E569" s="5" t="inlineStr">
        <is>
          <t>Master</t>
        </is>
      </c>
      <c r="F569" s="5" t="inlineStr">
        <is>
          <t>Executive</t>
        </is>
      </c>
      <c r="G569" s="5" t="inlineStr">
        <is>
          <t>COO</t>
        </is>
      </c>
      <c r="H569" s="5" t="inlineStr">
        <is>
          <t>4</t>
        </is>
      </c>
      <c r="I569" s="5" t="inlineStr">
        <is>
          <t>Hyderabad</t>
        </is>
      </c>
      <c r="J569" s="5" t="inlineStr">
        <is>
          <t>Full-Time</t>
        </is>
      </c>
      <c r="K569" s="7" t="n">
        <v>43955</v>
      </c>
      <c r="L569" s="7" t="inlineStr"/>
      <c r="M569" s="5" t="inlineStr">
        <is>
          <t>Yes</t>
        </is>
      </c>
      <c r="N569" s="5" t="inlineStr"/>
      <c r="O569" s="8" t="inlineStr">
        <is>
          <t>282500</t>
        </is>
      </c>
      <c r="P569" s="5" t="inlineStr">
        <is>
          <t>0</t>
        </is>
      </c>
      <c r="Q569" s="5" t="inlineStr">
        <is>
          <t>3</t>
        </is>
      </c>
      <c r="R569" s="5" t="inlineStr">
        <is>
          <t>6</t>
        </is>
      </c>
      <c r="S569" s="5" t="inlineStr">
        <is>
          <t>68</t>
        </is>
      </c>
      <c r="T569" s="5" t="inlineStr">
        <is>
          <t>14</t>
        </is>
      </c>
      <c r="U569" s="5" t="inlineStr">
        <is>
          <t>OK</t>
        </is>
      </c>
    </row>
    <row r="570">
      <c r="A570" s="5" t="inlineStr">
        <is>
          <t>E00193</t>
        </is>
      </c>
      <c r="B570" s="5" t="inlineStr">
        <is>
          <t>Male</t>
        </is>
      </c>
      <c r="C570" s="6" t="inlineStr">
        <is>
          <t>34</t>
        </is>
      </c>
      <c r="D570" s="5" t="inlineStr">
        <is>
          <t>Married</t>
        </is>
      </c>
      <c r="E570" s="5" t="inlineStr">
        <is>
          <t>Bachelor</t>
        </is>
      </c>
      <c r="F570" s="5" t="inlineStr">
        <is>
          <t>IT</t>
        </is>
      </c>
      <c r="G570" s="5" t="inlineStr">
        <is>
          <t>Software Engineer</t>
        </is>
      </c>
      <c r="H570" s="5" t="inlineStr">
        <is>
          <t>5</t>
        </is>
      </c>
      <c r="I570" s="5" t="inlineStr">
        <is>
          <t>Hyderabad</t>
        </is>
      </c>
      <c r="J570" s="5" t="inlineStr">
        <is>
          <t>Full-Time</t>
        </is>
      </c>
      <c r="K570" s="7" t="n">
        <v>44995</v>
      </c>
      <c r="L570" s="7" t="inlineStr"/>
      <c r="M570" s="5" t="inlineStr">
        <is>
          <t>Yes</t>
        </is>
      </c>
      <c r="N570" s="5" t="inlineStr"/>
      <c r="O570" s="8" t="inlineStr">
        <is>
          <t>146500</t>
        </is>
      </c>
      <c r="P570" s="5" t="inlineStr">
        <is>
          <t>0</t>
        </is>
      </c>
      <c r="Q570" s="5" t="inlineStr">
        <is>
          <t>3</t>
        </is>
      </c>
      <c r="R570" s="5" t="inlineStr">
        <is>
          <t>7</t>
        </is>
      </c>
      <c r="S570" s="5" t="inlineStr">
        <is>
          <t>34</t>
        </is>
      </c>
      <c r="T570" s="5" t="inlineStr">
        <is>
          <t>20</t>
        </is>
      </c>
      <c r="U570" s="5" t="inlineStr">
        <is>
          <t>OK</t>
        </is>
      </c>
    </row>
    <row r="571">
      <c r="A571" s="5" t="inlineStr">
        <is>
          <t>E01995</t>
        </is>
      </c>
      <c r="B571" s="5" t="inlineStr">
        <is>
          <t>Male</t>
        </is>
      </c>
      <c r="C571" s="6" t="inlineStr">
        <is>
          <t>28</t>
        </is>
      </c>
      <c r="D571" s="5" t="inlineStr">
        <is>
          <t>Single</t>
        </is>
      </c>
      <c r="E571" s="5" t="inlineStr">
        <is>
          <t>Master</t>
        </is>
      </c>
      <c r="F571" s="5" t="inlineStr">
        <is>
          <t>Customer Support</t>
        </is>
      </c>
      <c r="G571" s="5" t="inlineStr">
        <is>
          <t>Support Agent</t>
        </is>
      </c>
      <c r="H571" s="5" t="inlineStr">
        <is>
          <t>3</t>
        </is>
      </c>
      <c r="I571" s="5" t="inlineStr">
        <is>
          <t>Remote</t>
        </is>
      </c>
      <c r="J571" s="5" t="inlineStr">
        <is>
          <t>Full-Time</t>
        </is>
      </c>
      <c r="K571" s="7" t="n">
        <v>45630</v>
      </c>
      <c r="L571" s="7" t="inlineStr"/>
      <c r="M571" s="5" t="inlineStr">
        <is>
          <t>Yes</t>
        </is>
      </c>
      <c r="N571" s="5" t="inlineStr"/>
      <c r="O571" s="8" t="inlineStr">
        <is>
          <t>75500</t>
        </is>
      </c>
      <c r="P571" s="5" t="inlineStr">
        <is>
          <t>0</t>
        </is>
      </c>
      <c r="Q571" s="5" t="inlineStr">
        <is>
          <t>5</t>
        </is>
      </c>
      <c r="R571" s="5" t="inlineStr">
        <is>
          <t>8</t>
        </is>
      </c>
      <c r="S571" s="5" t="inlineStr">
        <is>
          <t>13</t>
        </is>
      </c>
      <c r="T571" s="5" t="inlineStr">
        <is>
          <t>3</t>
        </is>
      </c>
      <c r="U571" s="5" t="inlineStr">
        <is>
          <t>OK</t>
        </is>
      </c>
    </row>
    <row r="572">
      <c r="A572" s="5" t="inlineStr">
        <is>
          <t>E02403</t>
        </is>
      </c>
      <c r="B572" s="5" t="inlineStr">
        <is>
          <t>Female</t>
        </is>
      </c>
      <c r="C572" s="6" t="inlineStr">
        <is>
          <t>29</t>
        </is>
      </c>
      <c r="D572" s="5" t="inlineStr">
        <is>
          <t>Single</t>
        </is>
      </c>
      <c r="E572" s="5" t="inlineStr">
        <is>
          <t>PhD</t>
        </is>
      </c>
      <c r="F572" s="5" t="inlineStr">
        <is>
          <t>Operations</t>
        </is>
      </c>
      <c r="G572" s="5" t="inlineStr">
        <is>
          <t>Quality Analyst</t>
        </is>
      </c>
      <c r="H572" s="5" t="inlineStr">
        <is>
          <t>3</t>
        </is>
      </c>
      <c r="I572" s="5" t="inlineStr">
        <is>
          <t>Bengaluru</t>
        </is>
      </c>
      <c r="J572" s="5" t="inlineStr">
        <is>
          <t>Full-Time</t>
        </is>
      </c>
      <c r="K572" s="7" t="n">
        <v>45539</v>
      </c>
      <c r="L572" s="7" t="inlineStr"/>
      <c r="M572" s="5" t="inlineStr">
        <is>
          <t>Yes</t>
        </is>
      </c>
      <c r="N572" s="5" t="inlineStr"/>
      <c r="O572" s="8" t="inlineStr">
        <is>
          <t>114500</t>
        </is>
      </c>
      <c r="P572" s="5" t="inlineStr">
        <is>
          <t>10</t>
        </is>
      </c>
      <c r="Q572" s="5" t="inlineStr">
        <is>
          <t>3</t>
        </is>
      </c>
      <c r="R572" s="5" t="inlineStr">
        <is>
          <t>4</t>
        </is>
      </c>
      <c r="S572" s="5" t="inlineStr">
        <is>
          <t>16</t>
        </is>
      </c>
      <c r="T572" s="5" t="inlineStr">
        <is>
          <t>11</t>
        </is>
      </c>
      <c r="U572" s="5" t="inlineStr">
        <is>
          <t>OK</t>
        </is>
      </c>
    </row>
    <row r="573">
      <c r="A573" s="5" t="inlineStr">
        <is>
          <t>E00168</t>
        </is>
      </c>
      <c r="B573" s="5" t="inlineStr">
        <is>
          <t>Female</t>
        </is>
      </c>
      <c r="C573" s="6" t="inlineStr">
        <is>
          <t>29</t>
        </is>
      </c>
      <c r="D573" s="5" t="inlineStr">
        <is>
          <t>Divorced</t>
        </is>
      </c>
      <c r="E573" s="5" t="inlineStr">
        <is>
          <t>Diploma</t>
        </is>
      </c>
      <c r="F573" s="5" t="inlineStr">
        <is>
          <t>Operations</t>
        </is>
      </c>
      <c r="G573" s="5" t="inlineStr">
        <is>
          <t>Logistics Coordinator</t>
        </is>
      </c>
      <c r="H573" s="5" t="inlineStr">
        <is>
          <t>1</t>
        </is>
      </c>
      <c r="I573" s="5" t="inlineStr">
        <is>
          <t>Hyderabad</t>
        </is>
      </c>
      <c r="J573" s="5" t="inlineStr">
        <is>
          <t>Full-Time</t>
        </is>
      </c>
      <c r="K573" s="7" t="n">
        <v>45234</v>
      </c>
      <c r="L573" s="7" t="inlineStr"/>
      <c r="M573" s="5" t="inlineStr">
        <is>
          <t>Yes</t>
        </is>
      </c>
      <c r="N573" s="5" t="inlineStr"/>
      <c r="O573" s="8" t="inlineStr">
        <is>
          <t>66500</t>
        </is>
      </c>
      <c r="P573" s="5" t="inlineStr">
        <is>
          <t>5</t>
        </is>
      </c>
      <c r="Q573" s="5" t="inlineStr">
        <is>
          <t>4</t>
        </is>
      </c>
      <c r="R573" s="5" t="inlineStr">
        <is>
          <t>10</t>
        </is>
      </c>
      <c r="S573" s="5" t="inlineStr">
        <is>
          <t>26</t>
        </is>
      </c>
      <c r="T573" s="5" t="inlineStr">
        <is>
          <t>0</t>
        </is>
      </c>
      <c r="U573" s="5" t="inlineStr">
        <is>
          <t>OK</t>
        </is>
      </c>
    </row>
    <row r="574">
      <c r="A574" s="5" t="inlineStr">
        <is>
          <t>E02460</t>
        </is>
      </c>
      <c r="B574" s="5" t="inlineStr">
        <is>
          <t>Female</t>
        </is>
      </c>
      <c r="C574" s="6" t="inlineStr">
        <is>
          <t>35</t>
        </is>
      </c>
      <c r="D574" s="5" t="inlineStr">
        <is>
          <t>Single</t>
        </is>
      </c>
      <c r="E574" s="5" t="inlineStr">
        <is>
          <t>PhD</t>
        </is>
      </c>
      <c r="F574" s="5" t="inlineStr">
        <is>
          <t>IT</t>
        </is>
      </c>
      <c r="G574" s="5" t="inlineStr">
        <is>
          <t>Data Analyst</t>
        </is>
      </c>
      <c r="H574" s="5" t="inlineStr">
        <is>
          <t>3</t>
        </is>
      </c>
      <c r="I574" s="5" t="inlineStr">
        <is>
          <t>Hyderabad</t>
        </is>
      </c>
      <c r="J574" s="5" t="inlineStr">
        <is>
          <t>Full-Time</t>
        </is>
      </c>
      <c r="K574" s="7" t="n">
        <v>45958</v>
      </c>
      <c r="L574" s="7" t="inlineStr"/>
      <c r="M574" s="5" t="inlineStr">
        <is>
          <t>Yes</t>
        </is>
      </c>
      <c r="N574" s="5" t="inlineStr"/>
      <c r="O574" s="8" t="inlineStr">
        <is>
          <t>175000</t>
        </is>
      </c>
      <c r="P574" s="5" t="inlineStr">
        <is>
          <t>5</t>
        </is>
      </c>
      <c r="Q574" s="5" t="inlineStr">
        <is>
          <t>3</t>
        </is>
      </c>
      <c r="R574" s="5" t="inlineStr">
        <is>
          <t>7</t>
        </is>
      </c>
      <c r="S574" s="5" t="inlineStr">
        <is>
          <t>2</t>
        </is>
      </c>
      <c r="T574" s="5" t="inlineStr">
        <is>
          <t>10</t>
        </is>
      </c>
      <c r="U574" s="5" t="inlineStr">
        <is>
          <t>OK</t>
        </is>
      </c>
    </row>
    <row r="575">
      <c r="A575" s="5" t="inlineStr">
        <is>
          <t>E02262</t>
        </is>
      </c>
      <c r="B575" s="5" t="inlineStr">
        <is>
          <t>Male</t>
        </is>
      </c>
      <c r="C575" s="6" t="inlineStr">
        <is>
          <t>30</t>
        </is>
      </c>
      <c r="D575" s="5" t="inlineStr">
        <is>
          <t>Married</t>
        </is>
      </c>
      <c r="E575" s="5" t="inlineStr">
        <is>
          <t>Bachelor</t>
        </is>
      </c>
      <c r="F575" s="5" t="inlineStr">
        <is>
          <t>Sales</t>
        </is>
      </c>
      <c r="G575" s="5" t="inlineStr">
        <is>
          <t>Business Development</t>
        </is>
      </c>
      <c r="H575" s="5" t="inlineStr">
        <is>
          <t>4</t>
        </is>
      </c>
      <c r="I575" s="5" t="inlineStr">
        <is>
          <t>Hyderabad</t>
        </is>
      </c>
      <c r="J575" s="5" t="inlineStr">
        <is>
          <t>Full-Time</t>
        </is>
      </c>
      <c r="K575" s="7" t="n">
        <v>45327</v>
      </c>
      <c r="L575" s="7" t="inlineStr"/>
      <c r="M575" s="5" t="inlineStr">
        <is>
          <t>Yes</t>
        </is>
      </c>
      <c r="N575" s="5" t="inlineStr"/>
      <c r="O575" s="8" t="inlineStr">
        <is>
          <t>88000</t>
        </is>
      </c>
      <c r="P575" s="5" t="inlineStr">
        <is>
          <t>0</t>
        </is>
      </c>
      <c r="Q575" s="5" t="inlineStr">
        <is>
          <t>4</t>
        </is>
      </c>
      <c r="R575" s="5" t="inlineStr">
        <is>
          <t>3</t>
        </is>
      </c>
      <c r="S575" s="5" t="inlineStr">
        <is>
          <t>23</t>
        </is>
      </c>
      <c r="T575" s="5" t="inlineStr">
        <is>
          <t>9</t>
        </is>
      </c>
      <c r="U575" s="5" t="inlineStr">
        <is>
          <t>OK</t>
        </is>
      </c>
    </row>
    <row r="576">
      <c r="A576" s="5" t="inlineStr">
        <is>
          <t>E00969</t>
        </is>
      </c>
      <c r="B576" s="5" t="inlineStr">
        <is>
          <t>female</t>
        </is>
      </c>
      <c r="C576" s="6" t="inlineStr">
        <is>
          <t>30</t>
        </is>
      </c>
      <c r="D576" s="5" t="inlineStr">
        <is>
          <t>Married</t>
        </is>
      </c>
      <c r="E576" s="5" t="inlineStr">
        <is>
          <t>Diploma</t>
        </is>
      </c>
      <c r="F576" s="5" t="inlineStr">
        <is>
          <t>Research &amp; Development</t>
        </is>
      </c>
      <c r="G576" s="5" t="inlineStr">
        <is>
          <t>Research Scientist</t>
        </is>
      </c>
      <c r="H576" s="5" t="inlineStr">
        <is>
          <t>2</t>
        </is>
      </c>
      <c r="I576" s="5" t="inlineStr">
        <is>
          <t>Bengaluru</t>
        </is>
      </c>
      <c r="J576" s="5" t="inlineStr">
        <is>
          <t>Full-Time</t>
        </is>
      </c>
      <c r="K576" s="7" t="n">
        <v>45731</v>
      </c>
      <c r="L576" s="7" t="inlineStr"/>
      <c r="M576" s="5" t="inlineStr">
        <is>
          <t>Yes</t>
        </is>
      </c>
      <c r="N576" s="5" t="inlineStr"/>
      <c r="O576" s="8" t="inlineStr">
        <is>
          <t>165500</t>
        </is>
      </c>
      <c r="P576" s="5" t="inlineStr">
        <is>
          <t>5</t>
        </is>
      </c>
      <c r="Q576" s="5" t="inlineStr">
        <is>
          <t>2</t>
        </is>
      </c>
      <c r="R576" s="5" t="inlineStr">
        <is>
          <t>8</t>
        </is>
      </c>
      <c r="S576" s="5" t="inlineStr">
        <is>
          <t>9</t>
        </is>
      </c>
      <c r="T576" s="5" t="inlineStr">
        <is>
          <t>0</t>
        </is>
      </c>
      <c r="U576" s="5" t="inlineStr">
        <is>
          <t>OK</t>
        </is>
      </c>
    </row>
    <row r="577">
      <c r="A577" s="5" t="inlineStr">
        <is>
          <t>E00650</t>
        </is>
      </c>
      <c r="B577" s="5" t="inlineStr">
        <is>
          <t>Male</t>
        </is>
      </c>
      <c r="C577" s="6" t="inlineStr">
        <is>
          <t>30</t>
        </is>
      </c>
      <c r="D577" s="5" t="inlineStr">
        <is>
          <t>Divorced</t>
        </is>
      </c>
      <c r="E577" s="5" t="inlineStr">
        <is>
          <t>Diploma</t>
        </is>
      </c>
      <c r="F577" s="5" t="inlineStr">
        <is>
          <t>Human Resources</t>
        </is>
      </c>
      <c r="G577" s="5" t="inlineStr">
        <is>
          <t>Recruiter</t>
        </is>
      </c>
      <c r="H577" s="5" t="inlineStr">
        <is>
          <t>2</t>
        </is>
      </c>
      <c r="I577" s="5" t="inlineStr">
        <is>
          <t>Remote</t>
        </is>
      </c>
      <c r="J577" s="5" t="inlineStr">
        <is>
          <t>Full-Time</t>
        </is>
      </c>
      <c r="K577" s="7" t="n">
        <v>43907</v>
      </c>
      <c r="L577" s="7" t="inlineStr"/>
      <c r="M577" s="5" t="inlineStr">
        <is>
          <t>Yes</t>
        </is>
      </c>
      <c r="N577" s="5" t="inlineStr"/>
      <c r="O577" s="8" t="inlineStr">
        <is>
          <t>104500</t>
        </is>
      </c>
      <c r="P577" s="5" t="inlineStr">
        <is>
          <t>0</t>
        </is>
      </c>
      <c r="Q577" s="5" t="inlineStr">
        <is>
          <t>3</t>
        </is>
      </c>
      <c r="R577" s="5" t="inlineStr">
        <is>
          <t>5</t>
        </is>
      </c>
      <c r="S577" s="5" t="inlineStr">
        <is>
          <t>70</t>
        </is>
      </c>
      <c r="T577" s="5" t="inlineStr">
        <is>
          <t>0</t>
        </is>
      </c>
      <c r="U577" s="5" t="inlineStr">
        <is>
          <t>OK</t>
        </is>
      </c>
    </row>
    <row r="578">
      <c r="A578" s="5" t="inlineStr">
        <is>
          <t>E01132</t>
        </is>
      </c>
      <c r="B578" s="5" t="inlineStr">
        <is>
          <t>Male</t>
        </is>
      </c>
      <c r="C578" s="6" t="inlineStr">
        <is>
          <t>36</t>
        </is>
      </c>
      <c r="D578" s="5" t="inlineStr">
        <is>
          <t>Married</t>
        </is>
      </c>
      <c r="E578" s="5" t="inlineStr">
        <is>
          <t>PhD</t>
        </is>
      </c>
      <c r="F578" s="5" t="inlineStr">
        <is>
          <t>Sales</t>
        </is>
      </c>
      <c r="G578" s="5" t="inlineStr">
        <is>
          <t>Business Development</t>
        </is>
      </c>
      <c r="H578" s="5" t="inlineStr">
        <is>
          <t>4</t>
        </is>
      </c>
      <c r="I578" s="5" t="inlineStr">
        <is>
          <t>Delhi</t>
        </is>
      </c>
      <c r="J578" s="5" t="inlineStr">
        <is>
          <t>Full-Time</t>
        </is>
      </c>
      <c r="K578" s="7" t="n">
        <v>45757</v>
      </c>
      <c r="L578" s="7" t="n">
        <v>45810</v>
      </c>
      <c r="M578" s="5" t="inlineStr">
        <is>
          <t>No</t>
        </is>
      </c>
      <c r="N578" s="5" t="inlineStr">
        <is>
          <t>Resigned</t>
        </is>
      </c>
      <c r="O578" s="8" t="inlineStr">
        <is>
          <t>114500</t>
        </is>
      </c>
      <c r="P578" s="5" t="inlineStr">
        <is>
          <t>5</t>
        </is>
      </c>
      <c r="Q578" s="5" t="inlineStr">
        <is>
          <t>5</t>
        </is>
      </c>
      <c r="R578" s="5" t="inlineStr">
        <is>
          <t>6</t>
        </is>
      </c>
      <c r="S578" s="5" t="inlineStr">
        <is>
          <t>1</t>
        </is>
      </c>
      <c r="T578" s="5" t="inlineStr">
        <is>
          <t>2</t>
        </is>
      </c>
      <c r="U578" s="5" t="inlineStr">
        <is>
          <t>OK</t>
        </is>
      </c>
    </row>
    <row r="579">
      <c r="A579" s="5" t="inlineStr">
        <is>
          <t>E02574</t>
        </is>
      </c>
      <c r="B579" s="5" t="inlineStr">
        <is>
          <t>Female</t>
        </is>
      </c>
      <c r="C579" s="6" t="inlineStr">
        <is>
          <t>35</t>
        </is>
      </c>
      <c r="D579" s="5" t="inlineStr">
        <is>
          <t>Married</t>
        </is>
      </c>
      <c r="E579" s="5" t="inlineStr">
        <is>
          <t>PhD</t>
        </is>
      </c>
      <c r="F579" s="5" t="inlineStr">
        <is>
          <t>Marketing</t>
        </is>
      </c>
      <c r="G579" s="5" t="inlineStr">
        <is>
          <t>Marketing Analyst</t>
        </is>
      </c>
      <c r="H579" s="5" t="inlineStr">
        <is>
          <t>5</t>
        </is>
      </c>
      <c r="I579" s="5" t="inlineStr">
        <is>
          <t>Hyderabad</t>
        </is>
      </c>
      <c r="J579" s="5" t="inlineStr">
        <is>
          <t>Full-Time</t>
        </is>
      </c>
      <c r="K579" s="7" t="n">
        <v>44756</v>
      </c>
      <c r="L579" s="7" t="inlineStr"/>
      <c r="M579" s="5" t="inlineStr">
        <is>
          <t>Yes</t>
        </is>
      </c>
      <c r="N579" s="5" t="inlineStr"/>
      <c r="O579" s="8" t="inlineStr">
        <is>
          <t>138000</t>
        </is>
      </c>
      <c r="P579" s="5" t="inlineStr">
        <is>
          <t>5</t>
        </is>
      </c>
      <c r="Q579" s="5" t="inlineStr">
        <is>
          <t>4</t>
        </is>
      </c>
      <c r="R579" s="5" t="inlineStr">
        <is>
          <t>7</t>
        </is>
      </c>
      <c r="S579" s="5" t="inlineStr">
        <is>
          <t>42</t>
        </is>
      </c>
      <c r="T579" s="5" t="inlineStr">
        <is>
          <t>4</t>
        </is>
      </c>
      <c r="U579" s="5" t="inlineStr">
        <is>
          <t>OK</t>
        </is>
      </c>
    </row>
    <row r="580">
      <c r="A580" s="5" t="inlineStr">
        <is>
          <t>E02973</t>
        </is>
      </c>
      <c r="B580" s="5" t="inlineStr">
        <is>
          <t>Female</t>
        </is>
      </c>
      <c r="C580" s="6" t="inlineStr">
        <is>
          <t>31</t>
        </is>
      </c>
      <c r="D580" s="5" t="inlineStr">
        <is>
          <t>Married</t>
        </is>
      </c>
      <c r="E580" s="5" t="inlineStr">
        <is>
          <t>High School</t>
        </is>
      </c>
      <c r="F580" s="5" t="inlineStr">
        <is>
          <t>IT</t>
        </is>
      </c>
      <c r="G580" s="5" t="inlineStr">
        <is>
          <t>IT Support</t>
        </is>
      </c>
      <c r="H580" s="5" t="inlineStr">
        <is>
          <t>2</t>
        </is>
      </c>
      <c r="I580" s="5" t="inlineStr">
        <is>
          <t>Remote</t>
        </is>
      </c>
      <c r="J580" s="5" t="inlineStr">
        <is>
          <t>Full-Time</t>
        </is>
      </c>
      <c r="K580" s="7" t="n">
        <v>45598</v>
      </c>
      <c r="L580" s="7" t="n">
        <v>45641</v>
      </c>
      <c r="M580" s="5" t="inlineStr">
        <is>
          <t>No</t>
        </is>
      </c>
      <c r="N580" s="5" t="inlineStr">
        <is>
          <t>Resigned</t>
        </is>
      </c>
      <c r="O580" s="8" t="inlineStr">
        <is>
          <t>126000</t>
        </is>
      </c>
      <c r="P580" s="5" t="inlineStr">
        <is>
          <t>10</t>
        </is>
      </c>
      <c r="Q580" s="5" t="inlineStr">
        <is>
          <t>4</t>
        </is>
      </c>
      <c r="R580" s="5" t="inlineStr">
        <is>
          <t>5</t>
        </is>
      </c>
      <c r="S580" s="5" t="inlineStr">
        <is>
          <t>1</t>
        </is>
      </c>
      <c r="T580" s="5" t="inlineStr">
        <is>
          <t>3</t>
        </is>
      </c>
      <c r="U580" s="5" t="inlineStr">
        <is>
          <t>OK</t>
        </is>
      </c>
    </row>
    <row r="581">
      <c r="A581" s="5" t="inlineStr">
        <is>
          <t>E02480</t>
        </is>
      </c>
      <c r="B581" s="5" t="inlineStr">
        <is>
          <t>Male</t>
        </is>
      </c>
      <c r="C581" s="6" t="inlineStr">
        <is>
          <t>30</t>
        </is>
      </c>
      <c r="D581" s="5" t="inlineStr">
        <is>
          <t>Single</t>
        </is>
      </c>
      <c r="E581" s="5" t="inlineStr">
        <is>
          <t>Diploma</t>
        </is>
      </c>
      <c r="F581" s="5" t="inlineStr">
        <is>
          <t>Sales</t>
        </is>
      </c>
      <c r="G581" s="5" t="inlineStr">
        <is>
          <t>Account Executive</t>
        </is>
      </c>
      <c r="H581" s="5" t="inlineStr">
        <is>
          <t>3</t>
        </is>
      </c>
      <c r="I581" s="5" t="inlineStr">
        <is>
          <t>Hyderabad</t>
        </is>
      </c>
      <c r="J581" s="5" t="inlineStr">
        <is>
          <t>Full-Time</t>
        </is>
      </c>
      <c r="K581" s="7" t="n">
        <v>44857</v>
      </c>
      <c r="L581" s="7" t="inlineStr"/>
      <c r="M581" s="5" t="inlineStr">
        <is>
          <t>Yes</t>
        </is>
      </c>
      <c r="N581" s="5" t="inlineStr"/>
      <c r="O581" s="8" t="inlineStr">
        <is>
          <t>101500</t>
        </is>
      </c>
      <c r="P581" s="5" t="inlineStr">
        <is>
          <t>0</t>
        </is>
      </c>
      <c r="Q581" s="5" t="inlineStr">
        <is>
          <t>4</t>
        </is>
      </c>
      <c r="R581" s="5" t="inlineStr">
        <is>
          <t>5</t>
        </is>
      </c>
      <c r="S581" s="5" t="inlineStr">
        <is>
          <t>38</t>
        </is>
      </c>
      <c r="T581" s="5" t="inlineStr">
        <is>
          <t>9</t>
        </is>
      </c>
      <c r="U581" s="5" t="inlineStr">
        <is>
          <t>OK</t>
        </is>
      </c>
    </row>
    <row r="582">
      <c r="A582" s="5" t="inlineStr">
        <is>
          <t>E00629</t>
        </is>
      </c>
      <c r="B582" s="5" t="inlineStr">
        <is>
          <t>Female</t>
        </is>
      </c>
      <c r="C582" s="6" t="inlineStr">
        <is>
          <t>25</t>
        </is>
      </c>
      <c r="D582" s="5" t="inlineStr">
        <is>
          <t>Married</t>
        </is>
      </c>
      <c r="E582" s="5" t="inlineStr">
        <is>
          <t>PhD</t>
        </is>
      </c>
      <c r="F582" s="5" t="inlineStr">
        <is>
          <t>IT</t>
        </is>
      </c>
      <c r="G582" s="5" t="inlineStr">
        <is>
          <t>DevOps Engineer</t>
        </is>
      </c>
      <c r="H582" s="5" t="inlineStr">
        <is>
          <t>2</t>
        </is>
      </c>
      <c r="I582" s="5" t="inlineStr">
        <is>
          <t>Delhi</t>
        </is>
      </c>
      <c r="J582" s="5" t="inlineStr">
        <is>
          <t>Full-Time</t>
        </is>
      </c>
      <c r="K582" s="7" t="n">
        <v>44916</v>
      </c>
      <c r="L582" s="7" t="inlineStr"/>
      <c r="M582" s="5" t="inlineStr">
        <is>
          <t>Yes</t>
        </is>
      </c>
      <c r="N582" s="5" t="inlineStr"/>
      <c r="O582" s="8" t="inlineStr">
        <is>
          <t>144500</t>
        </is>
      </c>
      <c r="P582" s="5" t="inlineStr">
        <is>
          <t>10</t>
        </is>
      </c>
      <c r="Q582" s="5" t="inlineStr">
        <is>
          <t>3</t>
        </is>
      </c>
      <c r="R582" s="5" t="inlineStr">
        <is>
          <t>5</t>
        </is>
      </c>
      <c r="S582" s="5" t="inlineStr">
        <is>
          <t>36</t>
        </is>
      </c>
      <c r="T582" s="5" t="inlineStr">
        <is>
          <t>10</t>
        </is>
      </c>
      <c r="U582" s="5" t="inlineStr">
        <is>
          <t>OK</t>
        </is>
      </c>
    </row>
    <row r="583">
      <c r="A583" s="5" t="inlineStr">
        <is>
          <t>E02208</t>
        </is>
      </c>
      <c r="B583" s="5" t="inlineStr">
        <is>
          <t>Female</t>
        </is>
      </c>
      <c r="C583" s="6" t="inlineStr">
        <is>
          <t>33</t>
        </is>
      </c>
      <c r="D583" s="5" t="inlineStr">
        <is>
          <t>Married</t>
        </is>
      </c>
      <c r="E583" s="5" t="inlineStr">
        <is>
          <t>Master</t>
        </is>
      </c>
      <c r="F583" s="5" t="inlineStr">
        <is>
          <t>Customer Support</t>
        </is>
      </c>
      <c r="G583" s="5" t="inlineStr">
        <is>
          <t>Support Lead</t>
        </is>
      </c>
      <c r="H583" s="5" t="inlineStr">
        <is>
          <t>3</t>
        </is>
      </c>
      <c r="I583" s="5" t="inlineStr">
        <is>
          <t>Bengaluru</t>
        </is>
      </c>
      <c r="J583" s="5" t="inlineStr">
        <is>
          <t>Full-Time</t>
        </is>
      </c>
      <c r="K583" s="7" t="n">
        <v>45135</v>
      </c>
      <c r="L583" s="7" t="inlineStr"/>
      <c r="M583" s="5" t="inlineStr">
        <is>
          <t>Yes</t>
        </is>
      </c>
      <c r="N583" s="5" t="inlineStr"/>
      <c r="O583" s="8" t="inlineStr">
        <is>
          <t>65500</t>
        </is>
      </c>
      <c r="P583" s="5" t="inlineStr">
        <is>
          <t>0</t>
        </is>
      </c>
      <c r="Q583" s="5" t="inlineStr">
        <is>
          <t>3</t>
        </is>
      </c>
      <c r="R583" s="5" t="inlineStr">
        <is>
          <t>7</t>
        </is>
      </c>
      <c r="S583" s="5" t="inlineStr">
        <is>
          <t>29</t>
        </is>
      </c>
      <c r="T583" s="5" t="inlineStr">
        <is>
          <t>10</t>
        </is>
      </c>
      <c r="U583" s="5" t="inlineStr">
        <is>
          <t>OK</t>
        </is>
      </c>
    </row>
    <row r="584">
      <c r="A584" s="5" t="inlineStr">
        <is>
          <t>E01100</t>
        </is>
      </c>
      <c r="B584" s="5" t="inlineStr">
        <is>
          <t>Female</t>
        </is>
      </c>
      <c r="C584" s="6" t="inlineStr">
        <is>
          <t>25</t>
        </is>
      </c>
      <c r="D584" s="5" t="inlineStr">
        <is>
          <t>Divorced</t>
        </is>
      </c>
      <c r="E584" s="5" t="inlineStr">
        <is>
          <t>PhD</t>
        </is>
      </c>
      <c r="F584" s="5" t="inlineStr">
        <is>
          <t>Finance</t>
        </is>
      </c>
      <c r="G584" s="5" t="inlineStr">
        <is>
          <t>Financial Analyst</t>
        </is>
      </c>
      <c r="H584" s="5" t="inlineStr">
        <is>
          <t>2</t>
        </is>
      </c>
      <c r="I584" s="5" t="inlineStr">
        <is>
          <t>Delhi</t>
        </is>
      </c>
      <c r="J584" s="5" t="inlineStr">
        <is>
          <t>Full-Time</t>
        </is>
      </c>
      <c r="K584" s="7" t="n">
        <v>44287</v>
      </c>
      <c r="L584" s="7" t="inlineStr"/>
      <c r="M584" s="5" t="inlineStr">
        <is>
          <t>Yes</t>
        </is>
      </c>
      <c r="N584" s="5" t="inlineStr"/>
      <c r="O584" s="8" t="inlineStr">
        <is>
          <t>82000</t>
        </is>
      </c>
      <c r="P584" s="5" t="inlineStr">
        <is>
          <t>15</t>
        </is>
      </c>
      <c r="Q584" s="5" t="inlineStr">
        <is>
          <t>4</t>
        </is>
      </c>
      <c r="R584" s="5" t="inlineStr">
        <is>
          <t>9</t>
        </is>
      </c>
      <c r="S584" s="5" t="inlineStr">
        <is>
          <t>57</t>
        </is>
      </c>
      <c r="T584" s="5" t="inlineStr">
        <is>
          <t>0</t>
        </is>
      </c>
      <c r="U584" s="5" t="inlineStr">
        <is>
          <t>OK</t>
        </is>
      </c>
    </row>
    <row r="585">
      <c r="A585" s="5" t="inlineStr">
        <is>
          <t>E01437</t>
        </is>
      </c>
      <c r="B585" s="5" t="inlineStr">
        <is>
          <t>Female</t>
        </is>
      </c>
      <c r="C585" s="6" t="inlineStr">
        <is>
          <t>33</t>
        </is>
      </c>
      <c r="D585" s="5" t="inlineStr">
        <is>
          <t>Married</t>
        </is>
      </c>
      <c r="E585" s="5" t="inlineStr">
        <is>
          <t>High School</t>
        </is>
      </c>
      <c r="F585" s="5" t="inlineStr">
        <is>
          <t>Finance</t>
        </is>
      </c>
      <c r="G585" s="5" t="inlineStr">
        <is>
          <t>Financial Analyst</t>
        </is>
      </c>
      <c r="H585" s="5" t="inlineStr">
        <is>
          <t>3</t>
        </is>
      </c>
      <c r="I585" s="5" t="inlineStr">
        <is>
          <t>Hyderabad</t>
        </is>
      </c>
      <c r="J585" s="5" t="inlineStr">
        <is>
          <t>Full-Time</t>
        </is>
      </c>
      <c r="K585" s="7" t="n">
        <v>44435</v>
      </c>
      <c r="L585" s="7" t="inlineStr"/>
      <c r="M585" s="5" t="inlineStr">
        <is>
          <t>Yes</t>
        </is>
      </c>
      <c r="N585" s="5" t="inlineStr"/>
      <c r="O585" s="8" t="inlineStr">
        <is>
          <t>138000</t>
        </is>
      </c>
      <c r="P585" s="5" t="inlineStr">
        <is>
          <t>0</t>
        </is>
      </c>
      <c r="Q585" s="5" t="inlineStr">
        <is>
          <t>4</t>
        </is>
      </c>
      <c r="R585" s="5" t="inlineStr">
        <is>
          <t>6</t>
        </is>
      </c>
      <c r="S585" s="5" t="inlineStr">
        <is>
          <t>52</t>
        </is>
      </c>
      <c r="T585" s="5" t="inlineStr">
        <is>
          <t>3</t>
        </is>
      </c>
      <c r="U585" s="5" t="inlineStr">
        <is>
          <t>OK</t>
        </is>
      </c>
    </row>
    <row r="586">
      <c r="A586" s="5" t="inlineStr">
        <is>
          <t>E02267</t>
        </is>
      </c>
      <c r="B586" s="5" t="inlineStr">
        <is>
          <t>Female</t>
        </is>
      </c>
      <c r="C586" s="6" t="inlineStr">
        <is>
          <t>29</t>
        </is>
      </c>
      <c r="D586" s="5" t="inlineStr">
        <is>
          <t>Single</t>
        </is>
      </c>
      <c r="E586" s="5" t="inlineStr">
        <is>
          <t>PhD</t>
        </is>
      </c>
      <c r="F586" s="5" t="inlineStr">
        <is>
          <t>Finance</t>
        </is>
      </c>
      <c r="G586" s="5" t="inlineStr">
        <is>
          <t>Credit Analyst</t>
        </is>
      </c>
      <c r="H586" s="5" t="inlineStr">
        <is>
          <t>4</t>
        </is>
      </c>
      <c r="I586" s="5" t="inlineStr">
        <is>
          <t>Chennai</t>
        </is>
      </c>
      <c r="J586" s="5" t="inlineStr">
        <is>
          <t>Full-Time</t>
        </is>
      </c>
      <c r="K586" s="7" t="n">
        <v>44040</v>
      </c>
      <c r="L586" s="7" t="inlineStr"/>
      <c r="M586" s="5" t="inlineStr">
        <is>
          <t>Yes</t>
        </is>
      </c>
      <c r="N586" s="5" t="inlineStr"/>
      <c r="O586" s="8" t="inlineStr">
        <is>
          <t>135500</t>
        </is>
      </c>
      <c r="P586" s="5" t="inlineStr">
        <is>
          <t>0</t>
        </is>
      </c>
      <c r="Q586" s="5" t="inlineStr">
        <is>
          <t>3</t>
        </is>
      </c>
      <c r="R586" s="5" t="inlineStr">
        <is>
          <t>8</t>
        </is>
      </c>
      <c r="S586" s="5" t="inlineStr">
        <is>
          <t>66</t>
        </is>
      </c>
      <c r="T586" s="5" t="inlineStr">
        <is>
          <t>8</t>
        </is>
      </c>
      <c r="U586" s="5" t="inlineStr">
        <is>
          <t>OK</t>
        </is>
      </c>
    </row>
    <row r="587">
      <c r="A587" s="5" t="inlineStr">
        <is>
          <t>E00869</t>
        </is>
      </c>
      <c r="B587" s="5" t="inlineStr">
        <is>
          <t>Male</t>
        </is>
      </c>
      <c r="C587" s="6" t="inlineStr">
        <is>
          <t>25</t>
        </is>
      </c>
      <c r="D587" s="5" t="inlineStr">
        <is>
          <t>Single</t>
        </is>
      </c>
      <c r="E587" s="5" t="inlineStr">
        <is>
          <t>High School</t>
        </is>
      </c>
      <c r="F587" s="5" t="inlineStr">
        <is>
          <t>IT</t>
        </is>
      </c>
      <c r="G587" s="5" t="inlineStr">
        <is>
          <t>IT Support</t>
        </is>
      </c>
      <c r="H587" s="5" t="inlineStr">
        <is>
          <t>1</t>
        </is>
      </c>
      <c r="I587" s="5" t="inlineStr">
        <is>
          <t>Mumbai</t>
        </is>
      </c>
      <c r="J587" s="5" t="inlineStr">
        <is>
          <t>Full-Time</t>
        </is>
      </c>
      <c r="K587" s="7" t="n">
        <v>45808</v>
      </c>
      <c r="L587" s="7" t="n">
        <v>45879</v>
      </c>
      <c r="M587" s="5" t="inlineStr">
        <is>
          <t>No</t>
        </is>
      </c>
      <c r="N587" s="5" t="inlineStr">
        <is>
          <t>Performance / Termination</t>
        </is>
      </c>
      <c r="O587" s="8" t="inlineStr">
        <is>
          <t>82500</t>
        </is>
      </c>
      <c r="P587" s="5" t="inlineStr">
        <is>
          <t>0</t>
        </is>
      </c>
      <c r="Q587" s="5" t="inlineStr">
        <is>
          <t>5</t>
        </is>
      </c>
      <c r="R587" s="5" t="inlineStr">
        <is>
          <t>6</t>
        </is>
      </c>
      <c r="S587" s="5" t="inlineStr">
        <is>
          <t>2</t>
        </is>
      </c>
      <c r="T587" s="5" t="inlineStr">
        <is>
          <t>4</t>
        </is>
      </c>
      <c r="U587" s="5" t="inlineStr">
        <is>
          <t>OK</t>
        </is>
      </c>
    </row>
    <row r="588">
      <c r="A588" s="5" t="inlineStr">
        <is>
          <t>E02451</t>
        </is>
      </c>
      <c r="B588" s="5" t="inlineStr">
        <is>
          <t>Female</t>
        </is>
      </c>
      <c r="C588" s="6" t="inlineStr">
        <is>
          <t>27</t>
        </is>
      </c>
      <c r="D588" s="5" t="inlineStr">
        <is>
          <t>Married</t>
        </is>
      </c>
      <c r="E588" s="5" t="inlineStr">
        <is>
          <t>Diploma</t>
        </is>
      </c>
      <c r="F588" s="5" t="inlineStr">
        <is>
          <t>Customer Support</t>
        </is>
      </c>
      <c r="G588" s="5" t="inlineStr">
        <is>
          <t>Support Agent</t>
        </is>
      </c>
      <c r="H588" s="5" t="inlineStr">
        <is>
          <t>2</t>
        </is>
      </c>
      <c r="I588" s="5" t="inlineStr">
        <is>
          <t>Hyderabad</t>
        </is>
      </c>
      <c r="J588" s="5" t="inlineStr">
        <is>
          <t>Part-Time</t>
        </is>
      </c>
      <c r="K588" s="7" t="n">
        <v>45585</v>
      </c>
      <c r="L588" s="7" t="inlineStr"/>
      <c r="M588" s="5" t="inlineStr">
        <is>
          <t>Yes</t>
        </is>
      </c>
      <c r="N588" s="5" t="inlineStr"/>
      <c r="O588" s="8" t="inlineStr">
        <is>
          <t>70500</t>
        </is>
      </c>
      <c r="P588" s="5" t="inlineStr">
        <is>
          <t>5</t>
        </is>
      </c>
      <c r="Q588" s="5" t="inlineStr">
        <is>
          <t>4</t>
        </is>
      </c>
      <c r="R588" s="5" t="inlineStr">
        <is>
          <t>3</t>
        </is>
      </c>
      <c r="S588" s="5" t="inlineStr">
        <is>
          <t>14</t>
        </is>
      </c>
      <c r="T588" s="5" t="inlineStr">
        <is>
          <t>0</t>
        </is>
      </c>
      <c r="U588" s="5" t="inlineStr">
        <is>
          <t>OK</t>
        </is>
      </c>
    </row>
    <row r="589">
      <c r="A589" s="5" t="inlineStr">
        <is>
          <t>E00110</t>
        </is>
      </c>
      <c r="B589" s="5" t="inlineStr">
        <is>
          <t>Female</t>
        </is>
      </c>
      <c r="C589" s="6" t="inlineStr">
        <is>
          <t>37</t>
        </is>
      </c>
      <c r="D589" s="5" t="inlineStr">
        <is>
          <t>Married</t>
        </is>
      </c>
      <c r="E589" s="5" t="inlineStr">
        <is>
          <t>High School</t>
        </is>
      </c>
      <c r="F589" s="5" t="inlineStr">
        <is>
          <t>Operations</t>
        </is>
      </c>
      <c r="G589" s="5" t="inlineStr">
        <is>
          <t>Logistics Coordinator</t>
        </is>
      </c>
      <c r="H589" s="5" t="inlineStr">
        <is>
          <t>5</t>
        </is>
      </c>
      <c r="I589" s="5" t="inlineStr">
        <is>
          <t>Remote</t>
        </is>
      </c>
      <c r="J589" s="5" t="inlineStr">
        <is>
          <t>Full-Time</t>
        </is>
      </c>
      <c r="K589" s="7" t="n">
        <v>44560</v>
      </c>
      <c r="L589" s="7" t="inlineStr"/>
      <c r="M589" s="5" t="inlineStr">
        <is>
          <t>Yes</t>
        </is>
      </c>
      <c r="N589" s="5" t="inlineStr"/>
      <c r="O589" s="8" t="inlineStr">
        <is>
          <t>144500</t>
        </is>
      </c>
      <c r="P589" s="5" t="inlineStr">
        <is>
          <t>0</t>
        </is>
      </c>
      <c r="Q589" s="5" t="inlineStr">
        <is>
          <t>4</t>
        </is>
      </c>
      <c r="R589" s="5" t="inlineStr">
        <is>
          <t>7</t>
        </is>
      </c>
      <c r="S589" s="5" t="inlineStr">
        <is>
          <t>48</t>
        </is>
      </c>
      <c r="T589" s="5" t="inlineStr">
        <is>
          <t>14</t>
        </is>
      </c>
      <c r="U589" s="5" t="inlineStr">
        <is>
          <t>OK</t>
        </is>
      </c>
    </row>
    <row r="590">
      <c r="A590" s="5" t="inlineStr">
        <is>
          <t>E01899</t>
        </is>
      </c>
      <c r="B590" s="5" t="inlineStr">
        <is>
          <t>Male</t>
        </is>
      </c>
      <c r="C590" s="6" t="inlineStr">
        <is>
          <t>34</t>
        </is>
      </c>
      <c r="D590" s="5" t="inlineStr">
        <is>
          <t>Married</t>
        </is>
      </c>
      <c r="E590" s="5" t="inlineStr">
        <is>
          <t>PhD</t>
        </is>
      </c>
      <c r="F590" s="5" t="inlineStr">
        <is>
          <t>Marketing</t>
        </is>
      </c>
      <c r="G590" s="5" t="inlineStr">
        <is>
          <t>Content Writer</t>
        </is>
      </c>
      <c r="H590" s="5" t="inlineStr">
        <is>
          <t>2</t>
        </is>
      </c>
      <c r="I590" s="5" t="inlineStr">
        <is>
          <t>Mumbai</t>
        </is>
      </c>
      <c r="J590" s="5" t="inlineStr">
        <is>
          <t>Full-Time</t>
        </is>
      </c>
      <c r="K590" s="7" t="n">
        <v>45132</v>
      </c>
      <c r="L590" s="7" t="inlineStr"/>
      <c r="M590" s="5" t="inlineStr">
        <is>
          <t>Yes</t>
        </is>
      </c>
      <c r="N590" s="5" t="inlineStr"/>
      <c r="O590" s="8" t="inlineStr">
        <is>
          <t>75500</t>
        </is>
      </c>
      <c r="P590" s="5" t="inlineStr">
        <is>
          <t>5</t>
        </is>
      </c>
      <c r="Q590" s="5" t="inlineStr">
        <is>
          <t>3</t>
        </is>
      </c>
      <c r="R590" s="5" t="inlineStr">
        <is>
          <t>6</t>
        </is>
      </c>
      <c r="S590" s="5" t="inlineStr">
        <is>
          <t>29</t>
        </is>
      </c>
      <c r="T590" s="5" t="inlineStr">
        <is>
          <t>12</t>
        </is>
      </c>
      <c r="U590" s="5" t="inlineStr">
        <is>
          <t>OK</t>
        </is>
      </c>
    </row>
    <row r="591">
      <c r="A591" s="5" t="inlineStr">
        <is>
          <t>E01257</t>
        </is>
      </c>
      <c r="B591" s="5" t="inlineStr">
        <is>
          <t>Male</t>
        </is>
      </c>
      <c r="C591" s="6" t="inlineStr">
        <is>
          <t>34</t>
        </is>
      </c>
      <c r="D591" s="5" t="inlineStr">
        <is>
          <t>Married</t>
        </is>
      </c>
      <c r="E591" s="5" t="inlineStr">
        <is>
          <t>Master</t>
        </is>
      </c>
      <c r="F591" s="5" t="inlineStr">
        <is>
          <t>Customer Support</t>
        </is>
      </c>
      <c r="G591" s="5" t="inlineStr">
        <is>
          <t>Support Agent</t>
        </is>
      </c>
      <c r="H591" s="5" t="inlineStr">
        <is>
          <t>5</t>
        </is>
      </c>
      <c r="I591" s="5" t="inlineStr">
        <is>
          <t>Mumbai</t>
        </is>
      </c>
      <c r="J591" s="5" t="inlineStr">
        <is>
          <t>Full-Time</t>
        </is>
      </c>
      <c r="K591" s="7" t="n">
        <v>45333</v>
      </c>
      <c r="L591" s="7" t="inlineStr"/>
      <c r="M591" s="5" t="inlineStr">
        <is>
          <t>Yes</t>
        </is>
      </c>
      <c r="N591" s="5" t="inlineStr"/>
      <c r="O591" s="8" t="inlineStr">
        <is>
          <t>107500</t>
        </is>
      </c>
      <c r="P591" s="5" t="inlineStr">
        <is>
          <t>5</t>
        </is>
      </c>
      <c r="Q591" s="5" t="inlineStr">
        <is>
          <t>3</t>
        </is>
      </c>
      <c r="R591" s="5" t="inlineStr">
        <is>
          <t>6</t>
        </is>
      </c>
      <c r="S591" s="5" t="inlineStr">
        <is>
          <t>22</t>
        </is>
      </c>
      <c r="T591" s="5" t="inlineStr">
        <is>
          <t>6</t>
        </is>
      </c>
      <c r="U591" s="5" t="inlineStr">
        <is>
          <t>OK</t>
        </is>
      </c>
    </row>
    <row r="592">
      <c r="A592" s="5" t="inlineStr">
        <is>
          <t>E00882</t>
        </is>
      </c>
      <c r="B592" s="5" t="inlineStr">
        <is>
          <t>Male</t>
        </is>
      </c>
      <c r="C592" s="6" t="inlineStr">
        <is>
          <t>32</t>
        </is>
      </c>
      <c r="D592" s="5" t="inlineStr">
        <is>
          <t>Single</t>
        </is>
      </c>
      <c r="E592" s="5" t="inlineStr">
        <is>
          <t>Master</t>
        </is>
      </c>
      <c r="F592" s="5" t="inlineStr">
        <is>
          <t>Operations</t>
        </is>
      </c>
      <c r="G592" s="5" t="inlineStr">
        <is>
          <t>Logistics Coordinator</t>
        </is>
      </c>
      <c r="H592" s="5" t="inlineStr">
        <is>
          <t>1</t>
        </is>
      </c>
      <c r="I592" s="5" t="inlineStr">
        <is>
          <t>Hyderabad</t>
        </is>
      </c>
      <c r="J592" s="5" t="inlineStr">
        <is>
          <t>Full-Time</t>
        </is>
      </c>
      <c r="K592" s="7" t="n">
        <v>44239</v>
      </c>
      <c r="L592" s="7" t="inlineStr"/>
      <c r="M592" s="5" t="inlineStr">
        <is>
          <t>Yes</t>
        </is>
      </c>
      <c r="N592" s="5" t="inlineStr"/>
      <c r="O592" s="8" t="inlineStr">
        <is>
          <t>60500</t>
        </is>
      </c>
      <c r="P592" s="5" t="inlineStr">
        <is>
          <t>5</t>
        </is>
      </c>
      <c r="Q592" s="5" t="inlineStr">
        <is>
          <t>4</t>
        </is>
      </c>
      <c r="R592" s="5" t="inlineStr">
        <is>
          <t>8</t>
        </is>
      </c>
      <c r="S592" s="5" t="inlineStr">
        <is>
          <t>59</t>
        </is>
      </c>
      <c r="T592" s="5" t="inlineStr">
        <is>
          <t>7</t>
        </is>
      </c>
      <c r="U592" s="5" t="inlineStr">
        <is>
          <t>OK</t>
        </is>
      </c>
    </row>
    <row r="593">
      <c r="A593" s="5" t="inlineStr">
        <is>
          <t>E02456</t>
        </is>
      </c>
      <c r="B593" s="5" t="inlineStr">
        <is>
          <t>Female</t>
        </is>
      </c>
      <c r="C593" s="6" t="inlineStr">
        <is>
          <t>32</t>
        </is>
      </c>
      <c r="D593" s="5" t="inlineStr">
        <is>
          <t>Married</t>
        </is>
      </c>
      <c r="E593" s="5" t="inlineStr">
        <is>
          <t>High School</t>
        </is>
      </c>
      <c r="F593" s="5" t="inlineStr">
        <is>
          <t>IT</t>
        </is>
      </c>
      <c r="G593" s="5" t="inlineStr">
        <is>
          <t>Software Engineer</t>
        </is>
      </c>
      <c r="H593" s="5" t="inlineStr">
        <is>
          <t>4</t>
        </is>
      </c>
      <c r="I593" s="5" t="inlineStr">
        <is>
          <t>Mumbai</t>
        </is>
      </c>
      <c r="J593" s="5" t="inlineStr">
        <is>
          <t>Full-Time</t>
        </is>
      </c>
      <c r="K593" s="7" t="n">
        <v>44228</v>
      </c>
      <c r="L593" s="7" t="inlineStr"/>
      <c r="M593" s="5" t="inlineStr">
        <is>
          <t>Yes</t>
        </is>
      </c>
      <c r="N593" s="5" t="inlineStr"/>
      <c r="O593" s="8" t="inlineStr">
        <is>
          <t>184000</t>
        </is>
      </c>
      <c r="P593" s="5" t="inlineStr">
        <is>
          <t>15</t>
        </is>
      </c>
      <c r="Q593" s="5" t="inlineStr">
        <is>
          <t>5</t>
        </is>
      </c>
      <c r="R593" s="5" t="inlineStr">
        <is>
          <t>10</t>
        </is>
      </c>
      <c r="S593" s="5" t="inlineStr">
        <is>
          <t>59</t>
        </is>
      </c>
      <c r="T593" s="5" t="inlineStr">
        <is>
          <t>0</t>
        </is>
      </c>
      <c r="U593" s="5" t="inlineStr">
        <is>
          <t>OK</t>
        </is>
      </c>
    </row>
    <row r="594">
      <c r="A594" s="5" t="inlineStr">
        <is>
          <t>E02510</t>
        </is>
      </c>
      <c r="B594" s="5" t="inlineStr">
        <is>
          <t>Female</t>
        </is>
      </c>
      <c r="C594" s="6" t="inlineStr">
        <is>
          <t>35</t>
        </is>
      </c>
      <c r="D594" s="5" t="inlineStr">
        <is>
          <t>Married</t>
        </is>
      </c>
      <c r="E594" s="5" t="inlineStr">
        <is>
          <t>Master</t>
        </is>
      </c>
      <c r="F594" s="5" t="inlineStr">
        <is>
          <t>Customer Support</t>
        </is>
      </c>
      <c r="G594" s="5" t="inlineStr">
        <is>
          <t>Escalation Specialist</t>
        </is>
      </c>
      <c r="H594" s="5" t="inlineStr">
        <is>
          <t>2</t>
        </is>
      </c>
      <c r="I594" s="5" t="inlineStr">
        <is>
          <t>Chennai</t>
        </is>
      </c>
      <c r="J594" s="5" t="inlineStr">
        <is>
          <t>Full-Time</t>
        </is>
      </c>
      <c r="K594" s="7" t="n">
        <v>45159</v>
      </c>
      <c r="L594" s="7" t="inlineStr"/>
      <c r="M594" s="5" t="inlineStr">
        <is>
          <t>Yes</t>
        </is>
      </c>
      <c r="N594" s="5" t="inlineStr"/>
      <c r="O594" s="8" t="inlineStr">
        <is>
          <t>65000</t>
        </is>
      </c>
      <c r="P594" s="5" t="inlineStr">
        <is>
          <t>5</t>
        </is>
      </c>
      <c r="Q594" s="5" t="inlineStr">
        <is>
          <t>4</t>
        </is>
      </c>
      <c r="R594" s="5" t="inlineStr">
        <is>
          <t>7</t>
        </is>
      </c>
      <c r="S594" s="5" t="inlineStr">
        <is>
          <t>28</t>
        </is>
      </c>
      <c r="T594" s="5" t="inlineStr">
        <is>
          <t>14</t>
        </is>
      </c>
      <c r="U594" s="5" t="inlineStr">
        <is>
          <t>OK</t>
        </is>
      </c>
    </row>
    <row r="595">
      <c r="A595" s="5" t="inlineStr">
        <is>
          <t>E00591</t>
        </is>
      </c>
      <c r="B595" s="5" t="inlineStr">
        <is>
          <t>Female</t>
        </is>
      </c>
      <c r="C595" s="6" t="inlineStr">
        <is>
          <t>37</t>
        </is>
      </c>
      <c r="D595" s="5" t="inlineStr">
        <is>
          <t>Married</t>
        </is>
      </c>
      <c r="E595" s="5" t="inlineStr">
        <is>
          <t>Bachelor</t>
        </is>
      </c>
      <c r="F595" s="5" t="inlineStr">
        <is>
          <t>Sales</t>
        </is>
      </c>
      <c r="G595" s="5" t="inlineStr">
        <is>
          <t>Sales Executive</t>
        </is>
      </c>
      <c r="H595" s="5" t="inlineStr">
        <is>
          <t>3</t>
        </is>
      </c>
      <c r="I595" s="5" t="inlineStr">
        <is>
          <t>Bengaluru</t>
        </is>
      </c>
      <c r="J595" s="5" t="inlineStr">
        <is>
          <t>Full-Time</t>
        </is>
      </c>
      <c r="K595" s="7" t="n">
        <v>44448</v>
      </c>
      <c r="L595" s="7" t="inlineStr"/>
      <c r="M595" s="5" t="inlineStr">
        <is>
          <t>Yes</t>
        </is>
      </c>
      <c r="N595" s="5" t="inlineStr"/>
      <c r="O595" s="8" t="inlineStr">
        <is>
          <t>122000</t>
        </is>
      </c>
      <c r="P595" s="5" t="inlineStr">
        <is>
          <t>20</t>
        </is>
      </c>
      <c r="Q595" s="5" t="inlineStr">
        <is>
          <t>4</t>
        </is>
      </c>
      <c r="R595" s="5" t="inlineStr">
        <is>
          <t>8</t>
        </is>
      </c>
      <c r="S595" s="5" t="inlineStr">
        <is>
          <t>52</t>
        </is>
      </c>
      <c r="T595" s="5" t="inlineStr">
        <is>
          <t>5</t>
        </is>
      </c>
      <c r="U595" s="5" t="inlineStr">
        <is>
          <t>OK</t>
        </is>
      </c>
    </row>
    <row r="596">
      <c r="A596" s="5" t="inlineStr">
        <is>
          <t>E01057</t>
        </is>
      </c>
      <c r="B596" s="5" t="inlineStr">
        <is>
          <t>Unknown</t>
        </is>
      </c>
      <c r="C596" s="6" t="inlineStr">
        <is>
          <t>37</t>
        </is>
      </c>
      <c r="D596" s="5" t="inlineStr">
        <is>
          <t>Married</t>
        </is>
      </c>
      <c r="E596" s="5" t="inlineStr">
        <is>
          <t>Diploma</t>
        </is>
      </c>
      <c r="F596" s="5" t="inlineStr">
        <is>
          <t>Customer Support</t>
        </is>
      </c>
      <c r="G596" s="5" t="inlineStr">
        <is>
          <t>Support Lead</t>
        </is>
      </c>
      <c r="H596" s="5" t="inlineStr">
        <is>
          <t>5</t>
        </is>
      </c>
      <c r="I596" s="5" t="inlineStr">
        <is>
          <t>Remote</t>
        </is>
      </c>
      <c r="J596" s="5" t="inlineStr">
        <is>
          <t>Part-Time</t>
        </is>
      </c>
      <c r="K596" s="7" t="n">
        <v>44781</v>
      </c>
      <c r="L596" s="7" t="inlineStr"/>
      <c r="M596" s="5" t="inlineStr">
        <is>
          <t>Yes</t>
        </is>
      </c>
      <c r="N596" s="5" t="inlineStr"/>
      <c r="O596" s="8" t="inlineStr">
        <is>
          <t>91500</t>
        </is>
      </c>
      <c r="P596" s="5" t="inlineStr">
        <is>
          <t>10</t>
        </is>
      </c>
      <c r="Q596" s="5" t="inlineStr">
        <is>
          <t>4</t>
        </is>
      </c>
      <c r="R596" s="5" t="inlineStr">
        <is>
          <t>6</t>
        </is>
      </c>
      <c r="S596" s="5" t="inlineStr">
        <is>
          <t>41</t>
        </is>
      </c>
      <c r="T596" s="5" t="inlineStr">
        <is>
          <t>9</t>
        </is>
      </c>
      <c r="U596" s="5" t="inlineStr">
        <is>
          <t>Bad gender</t>
        </is>
      </c>
    </row>
    <row r="597">
      <c r="A597" s="5" t="inlineStr">
        <is>
          <t>E02053</t>
        </is>
      </c>
      <c r="B597" s="5" t="inlineStr">
        <is>
          <t>Male</t>
        </is>
      </c>
      <c r="C597" s="6" t="inlineStr">
        <is>
          <t>26</t>
        </is>
      </c>
      <c r="D597" s="5" t="inlineStr">
        <is>
          <t>Married</t>
        </is>
      </c>
      <c r="E597" s="5" t="inlineStr">
        <is>
          <t>PhD</t>
        </is>
      </c>
      <c r="F597" s="5" t="inlineStr">
        <is>
          <t>Sales</t>
        </is>
      </c>
      <c r="G597" s="5" t="inlineStr">
        <is>
          <t>Sales Executive</t>
        </is>
      </c>
      <c r="H597" s="5" t="inlineStr">
        <is>
          <t>1</t>
        </is>
      </c>
      <c r="I597" s="5" t="inlineStr">
        <is>
          <t>Remote</t>
        </is>
      </c>
      <c r="J597" s="5" t="inlineStr">
        <is>
          <t>Full-Time</t>
        </is>
      </c>
      <c r="K597" s="7" t="n">
        <v>45298</v>
      </c>
      <c r="L597" s="7" t="inlineStr"/>
      <c r="M597" s="5" t="inlineStr">
        <is>
          <t>Yes</t>
        </is>
      </c>
      <c r="N597" s="5" t="inlineStr"/>
      <c r="O597" s="8" t="inlineStr">
        <is>
          <t>77500</t>
        </is>
      </c>
      <c r="P597" s="5" t="inlineStr">
        <is>
          <t>0</t>
        </is>
      </c>
      <c r="Q597" s="5" t="inlineStr">
        <is>
          <t>3</t>
        </is>
      </c>
      <c r="R597" s="5" t="inlineStr">
        <is>
          <t>7</t>
        </is>
      </c>
      <c r="S597" s="5" t="inlineStr">
        <is>
          <t>24</t>
        </is>
      </c>
      <c r="T597" s="5" t="inlineStr">
        <is>
          <t>3</t>
        </is>
      </c>
      <c r="U597" s="5" t="inlineStr">
        <is>
          <t>OK</t>
        </is>
      </c>
    </row>
    <row r="598">
      <c r="A598" s="5" t="inlineStr">
        <is>
          <t>E02188</t>
        </is>
      </c>
      <c r="B598" s="5" t="inlineStr">
        <is>
          <t>Female</t>
        </is>
      </c>
      <c r="C598" s="6" t="inlineStr">
        <is>
          <t>30</t>
        </is>
      </c>
      <c r="D598" s="5" t="inlineStr">
        <is>
          <t>Married</t>
        </is>
      </c>
      <c r="E598" s="5" t="inlineStr">
        <is>
          <t>Master</t>
        </is>
      </c>
      <c r="F598" s="5" t="inlineStr">
        <is>
          <t>Research &amp; Development</t>
        </is>
      </c>
      <c r="G598" s="5" t="inlineStr">
        <is>
          <t>Product Engineer</t>
        </is>
      </c>
      <c r="H598" s="5" t="inlineStr">
        <is>
          <t>1</t>
        </is>
      </c>
      <c r="I598" s="5" t="inlineStr">
        <is>
          <t>Mumbai</t>
        </is>
      </c>
      <c r="J598" s="5" t="inlineStr">
        <is>
          <t>Full-Time</t>
        </is>
      </c>
      <c r="K598" s="7" t="n">
        <v>44905</v>
      </c>
      <c r="L598" s="7" t="inlineStr"/>
      <c r="M598" s="5" t="inlineStr">
        <is>
          <t>Yes</t>
        </is>
      </c>
      <c r="N598" s="5" t="inlineStr"/>
      <c r="O598" s="8" t="inlineStr">
        <is>
          <t>163000</t>
        </is>
      </c>
      <c r="P598" s="5" t="inlineStr">
        <is>
          <t>5</t>
        </is>
      </c>
      <c r="Q598" s="5" t="inlineStr">
        <is>
          <t>4</t>
        </is>
      </c>
      <c r="R598" s="5" t="inlineStr">
        <is>
          <t>5</t>
        </is>
      </c>
      <c r="S598" s="5" t="inlineStr">
        <is>
          <t>37</t>
        </is>
      </c>
      <c r="T598" s="5" t="inlineStr">
        <is>
          <t>7</t>
        </is>
      </c>
      <c r="U598" s="5" t="inlineStr">
        <is>
          <t>OK</t>
        </is>
      </c>
    </row>
    <row r="599">
      <c r="A599" s="5" t="inlineStr">
        <is>
          <t>E02483</t>
        </is>
      </c>
      <c r="B599" s="5" t="inlineStr">
        <is>
          <t>Male</t>
        </is>
      </c>
      <c r="C599" s="6" t="inlineStr">
        <is>
          <t>31</t>
        </is>
      </c>
      <c r="D599" s="5" t="inlineStr">
        <is>
          <t>Married</t>
        </is>
      </c>
      <c r="E599" s="5" t="inlineStr">
        <is>
          <t>Master</t>
        </is>
      </c>
      <c r="F599" s="5" t="inlineStr">
        <is>
          <t>Marketing</t>
        </is>
      </c>
      <c r="G599" s="5" t="inlineStr">
        <is>
          <t>SEO Specialist</t>
        </is>
      </c>
      <c r="H599" s="5" t="inlineStr">
        <is>
          <t>1</t>
        </is>
      </c>
      <c r="I599" s="5" t="inlineStr">
        <is>
          <t>Delhi</t>
        </is>
      </c>
      <c r="J599" s="5" t="inlineStr">
        <is>
          <t>Full-Time</t>
        </is>
      </c>
      <c r="K599" s="7" t="n">
        <v>45208</v>
      </c>
      <c r="L599" s="7" t="inlineStr"/>
      <c r="M599" s="5" t="inlineStr">
        <is>
          <t>Yes</t>
        </is>
      </c>
      <c r="N599" s="5" t="inlineStr"/>
      <c r="O599" s="8" t="inlineStr">
        <is>
          <t>66500</t>
        </is>
      </c>
      <c r="P599" s="5" t="inlineStr">
        <is>
          <t>10</t>
        </is>
      </c>
      <c r="Q599" s="5" t="inlineStr">
        <is>
          <t>2</t>
        </is>
      </c>
      <c r="R599" s="5" t="inlineStr">
        <is>
          <t>6</t>
        </is>
      </c>
      <c r="S599" s="5" t="inlineStr">
        <is>
          <t>27</t>
        </is>
      </c>
      <c r="T599" s="5" t="inlineStr">
        <is>
          <t>0</t>
        </is>
      </c>
      <c r="U599" s="5" t="inlineStr">
        <is>
          <t>OK</t>
        </is>
      </c>
    </row>
    <row r="600">
      <c r="A600" s="5" t="inlineStr">
        <is>
          <t>E02039</t>
        </is>
      </c>
      <c r="B600" s="5" t="inlineStr">
        <is>
          <t>Female</t>
        </is>
      </c>
      <c r="C600" s="6" t="inlineStr">
        <is>
          <t>30</t>
        </is>
      </c>
      <c r="D600" s="5" t="inlineStr">
        <is>
          <t>Married</t>
        </is>
      </c>
      <c r="E600" s="5" t="inlineStr">
        <is>
          <t>Bachelor</t>
        </is>
      </c>
      <c r="F600" s="5" t="inlineStr">
        <is>
          <t>Finance</t>
        </is>
      </c>
      <c r="G600" s="5" t="inlineStr">
        <is>
          <t>Financial Analyst</t>
        </is>
      </c>
      <c r="H600" s="5" t="inlineStr">
        <is>
          <t>3</t>
        </is>
      </c>
      <c r="I600" s="5" t="inlineStr">
        <is>
          <t>Chennai</t>
        </is>
      </c>
      <c r="J600" s="5" t="inlineStr">
        <is>
          <t>Full-Time</t>
        </is>
      </c>
      <c r="K600" s="7" t="n">
        <v>44357</v>
      </c>
      <c r="L600" s="7" t="inlineStr"/>
      <c r="M600" s="5" t="inlineStr">
        <is>
          <t>Yes</t>
        </is>
      </c>
      <c r="N600" s="5" t="inlineStr"/>
      <c r="O600" s="8" t="inlineStr">
        <is>
          <t>114000</t>
        </is>
      </c>
      <c r="P600" s="5" t="inlineStr">
        <is>
          <t>15</t>
        </is>
      </c>
      <c r="Q600" s="5" t="inlineStr">
        <is>
          <t>4</t>
        </is>
      </c>
      <c r="R600" s="5" t="inlineStr">
        <is>
          <t>6</t>
        </is>
      </c>
      <c r="S600" s="5" t="inlineStr">
        <is>
          <t>55</t>
        </is>
      </c>
      <c r="T600" s="5" t="inlineStr">
        <is>
          <t>0</t>
        </is>
      </c>
      <c r="U600" s="5" t="inlineStr">
        <is>
          <t>OK</t>
        </is>
      </c>
    </row>
    <row r="601">
      <c r="A601" s="5" t="inlineStr">
        <is>
          <t>E02592</t>
        </is>
      </c>
      <c r="B601" s="5" t="inlineStr">
        <is>
          <t>Male</t>
        </is>
      </c>
      <c r="C601" s="6" t="inlineStr">
        <is>
          <t>34</t>
        </is>
      </c>
      <c r="D601" s="5" t="inlineStr">
        <is>
          <t>Single</t>
        </is>
      </c>
      <c r="E601" s="5" t="inlineStr">
        <is>
          <t>Bachelor</t>
        </is>
      </c>
      <c r="F601" s="5" t="inlineStr">
        <is>
          <t>Finance</t>
        </is>
      </c>
      <c r="G601" s="5" t="inlineStr">
        <is>
          <t>Accountant</t>
        </is>
      </c>
      <c r="H601" s="5" t="inlineStr">
        <is>
          <t>1</t>
        </is>
      </c>
      <c r="I601" s="5" t="inlineStr">
        <is>
          <t>Remote</t>
        </is>
      </c>
      <c r="J601" s="5" t="inlineStr">
        <is>
          <t>Full-Time</t>
        </is>
      </c>
      <c r="K601" s="7" t="n">
        <v>44219</v>
      </c>
      <c r="L601" s="7" t="n">
        <v>44269</v>
      </c>
      <c r="M601" s="5" t="inlineStr">
        <is>
          <t>No</t>
        </is>
      </c>
      <c r="N601" s="5" t="inlineStr">
        <is>
          <t>Performance / Termination</t>
        </is>
      </c>
      <c r="O601" s="8" t="inlineStr">
        <is>
          <t>65500</t>
        </is>
      </c>
      <c r="P601" s="5" t="inlineStr">
        <is>
          <t>5</t>
        </is>
      </c>
      <c r="Q601" s="5" t="inlineStr">
        <is>
          <t>3</t>
        </is>
      </c>
      <c r="R601" s="5" t="inlineStr">
        <is>
          <t>5</t>
        </is>
      </c>
      <c r="S601" s="5" t="inlineStr">
        <is>
          <t>1</t>
        </is>
      </c>
      <c r="T601" s="5" t="inlineStr">
        <is>
          <t>5</t>
        </is>
      </c>
      <c r="U601" s="5" t="inlineStr">
        <is>
          <t>OK</t>
        </is>
      </c>
    </row>
    <row r="602">
      <c r="A602" s="5" t="inlineStr">
        <is>
          <t>E00818</t>
        </is>
      </c>
      <c r="B602" s="5" t="inlineStr">
        <is>
          <t>Male</t>
        </is>
      </c>
      <c r="C602" s="6" t="inlineStr">
        <is>
          <t>25</t>
        </is>
      </c>
      <c r="D602" s="5" t="inlineStr">
        <is>
          <t>Divorced</t>
        </is>
      </c>
      <c r="E602" s="5" t="inlineStr">
        <is>
          <t>High School</t>
        </is>
      </c>
      <c r="F602" s="5" t="inlineStr">
        <is>
          <t>Sales</t>
        </is>
      </c>
      <c r="G602" s="5" t="inlineStr">
        <is>
          <t>Business Development</t>
        </is>
      </c>
      <c r="H602" s="5" t="inlineStr">
        <is>
          <t>2</t>
        </is>
      </c>
      <c r="I602" s="5" t="inlineStr">
        <is>
          <t>Delhi</t>
        </is>
      </c>
      <c r="J602" s="5" t="inlineStr">
        <is>
          <t>Full-Time</t>
        </is>
      </c>
      <c r="K602" s="7" t="n">
        <v>44220</v>
      </c>
      <c r="L602" s="7" t="inlineStr"/>
      <c r="M602" s="5" t="inlineStr">
        <is>
          <t>Yes</t>
        </is>
      </c>
      <c r="N602" s="5" t="inlineStr"/>
      <c r="O602" s="8" t="inlineStr">
        <is>
          <t>104000</t>
        </is>
      </c>
      <c r="P602" s="5" t="inlineStr">
        <is>
          <t>15</t>
        </is>
      </c>
      <c r="Q602" s="5" t="inlineStr">
        <is>
          <t>4</t>
        </is>
      </c>
      <c r="R602" s="5" t="inlineStr">
        <is>
          <t>8</t>
        </is>
      </c>
      <c r="S602" s="5" t="inlineStr">
        <is>
          <t>60</t>
        </is>
      </c>
      <c r="T602" s="5" t="inlineStr">
        <is>
          <t>0</t>
        </is>
      </c>
      <c r="U602" s="5" t="inlineStr">
        <is>
          <t>OK</t>
        </is>
      </c>
    </row>
    <row r="603">
      <c r="A603" s="5" t="inlineStr">
        <is>
          <t>E01414</t>
        </is>
      </c>
      <c r="B603" s="5" t="inlineStr">
        <is>
          <t>Female</t>
        </is>
      </c>
      <c r="C603" s="6" t="inlineStr">
        <is>
          <t>39</t>
        </is>
      </c>
      <c r="D603" s="5" t="inlineStr">
        <is>
          <t>Married</t>
        </is>
      </c>
      <c r="E603" s="5" t="inlineStr">
        <is>
          <t>Master</t>
        </is>
      </c>
      <c r="F603" s="5" t="inlineStr">
        <is>
          <t>IT</t>
        </is>
      </c>
      <c r="G603" s="5" t="inlineStr">
        <is>
          <t>Data Analyst</t>
        </is>
      </c>
      <c r="H603" s="5" t="inlineStr">
        <is>
          <t>4</t>
        </is>
      </c>
      <c r="I603" s="5" t="inlineStr">
        <is>
          <t>Remote</t>
        </is>
      </c>
      <c r="J603" s="5" t="inlineStr">
        <is>
          <t>Full-Time</t>
        </is>
      </c>
      <c r="K603" s="7" t="n">
        <v>45185</v>
      </c>
      <c r="L603" s="7" t="n">
        <v>45279</v>
      </c>
      <c r="M603" s="5" t="inlineStr">
        <is>
          <t>No</t>
        </is>
      </c>
      <c r="N603" s="5" t="inlineStr">
        <is>
          <t>Layoff</t>
        </is>
      </c>
      <c r="O603" s="8" t="inlineStr">
        <is>
          <t>195500</t>
        </is>
      </c>
      <c r="P603" s="5" t="inlineStr">
        <is>
          <t>10</t>
        </is>
      </c>
      <c r="Q603" s="5" t="inlineStr">
        <is>
          <t>5</t>
        </is>
      </c>
      <c r="R603" s="5" t="inlineStr">
        <is>
          <t>5</t>
        </is>
      </c>
      <c r="S603" s="5" t="inlineStr">
        <is>
          <t>3</t>
        </is>
      </c>
      <c r="T603" s="5" t="inlineStr">
        <is>
          <t>6</t>
        </is>
      </c>
      <c r="U603" s="5" t="inlineStr">
        <is>
          <t>OK</t>
        </is>
      </c>
    </row>
    <row r="604">
      <c r="A604" s="5" t="inlineStr">
        <is>
          <t>E02790</t>
        </is>
      </c>
      <c r="B604" s="5" t="inlineStr">
        <is>
          <t>Male</t>
        </is>
      </c>
      <c r="C604" s="6" t="inlineStr">
        <is>
          <t>29</t>
        </is>
      </c>
      <c r="D604" s="5" t="inlineStr">
        <is>
          <t>Single</t>
        </is>
      </c>
      <c r="E604" s="5" t="inlineStr">
        <is>
          <t>Diploma</t>
        </is>
      </c>
      <c r="F604" s="5" t="inlineStr">
        <is>
          <t>Human Resources</t>
        </is>
      </c>
      <c r="G604" s="5" t="inlineStr">
        <is>
          <t>HR Analyst</t>
        </is>
      </c>
      <c r="H604" s="5" t="inlineStr">
        <is>
          <t>2</t>
        </is>
      </c>
      <c r="I604" s="5" t="inlineStr">
        <is>
          <t>Mumbai</t>
        </is>
      </c>
      <c r="J604" s="5" t="inlineStr">
        <is>
          <t>Full-Time</t>
        </is>
      </c>
      <c r="K604" s="7" t="n">
        <v>45652</v>
      </c>
      <c r="L604" s="7" t="inlineStr"/>
      <c r="M604" s="5" t="inlineStr">
        <is>
          <t>Yes</t>
        </is>
      </c>
      <c r="N604" s="5" t="inlineStr"/>
      <c r="O604" s="8" t="inlineStr">
        <is>
          <t>108500</t>
        </is>
      </c>
      <c r="P604" s="5" t="inlineStr">
        <is>
          <t>0</t>
        </is>
      </c>
      <c r="Q604" s="5" t="inlineStr">
        <is>
          <t>4</t>
        </is>
      </c>
      <c r="R604" s="5" t="inlineStr">
        <is>
          <t>9</t>
        </is>
      </c>
      <c r="S604" s="5" t="inlineStr">
        <is>
          <t>12</t>
        </is>
      </c>
      <c r="T604" s="5" t="inlineStr">
        <is>
          <t>8</t>
        </is>
      </c>
      <c r="U604" s="5" t="inlineStr">
        <is>
          <t>OK</t>
        </is>
      </c>
    </row>
    <row r="605">
      <c r="A605" s="5" t="inlineStr">
        <is>
          <t>E02799</t>
        </is>
      </c>
      <c r="B605" s="5" t="inlineStr">
        <is>
          <t>male</t>
        </is>
      </c>
      <c r="C605" s="6" t="inlineStr">
        <is>
          <t>35</t>
        </is>
      </c>
      <c r="D605" s="5" t="inlineStr">
        <is>
          <t>Married</t>
        </is>
      </c>
      <c r="E605" s="5" t="inlineStr">
        <is>
          <t>Bachelor</t>
        </is>
      </c>
      <c r="F605" s="5" t="inlineStr">
        <is>
          <t>Marketing</t>
        </is>
      </c>
      <c r="G605" s="5" t="inlineStr">
        <is>
          <t>Content Writer</t>
        </is>
      </c>
      <c r="H605" s="5" t="inlineStr">
        <is>
          <t>3</t>
        </is>
      </c>
      <c r="I605" s="5" t="inlineStr">
        <is>
          <t>Hyderabad</t>
        </is>
      </c>
      <c r="J605" s="5" t="inlineStr">
        <is>
          <t>Full-Time</t>
        </is>
      </c>
      <c r="K605" s="7" t="n">
        <v>45827</v>
      </c>
      <c r="L605" s="7" t="inlineStr"/>
      <c r="M605" s="5" t="inlineStr">
        <is>
          <t>Yes</t>
        </is>
      </c>
      <c r="N605" s="5" t="inlineStr"/>
      <c r="O605" s="8" t="inlineStr">
        <is>
          <t>71000</t>
        </is>
      </c>
      <c r="P605" s="5" t="inlineStr">
        <is>
          <t>15</t>
        </is>
      </c>
      <c r="Q605" s="5" t="inlineStr">
        <is>
          <t>4</t>
        </is>
      </c>
      <c r="R605" s="5" t="inlineStr">
        <is>
          <t>7</t>
        </is>
      </c>
      <c r="S605" s="5" t="inlineStr">
        <is>
          <t>6</t>
        </is>
      </c>
      <c r="T605" s="5" t="inlineStr">
        <is>
          <t>9</t>
        </is>
      </c>
      <c r="U605" s="5" t="inlineStr">
        <is>
          <t>OK</t>
        </is>
      </c>
    </row>
    <row r="606">
      <c r="A606" s="5" t="inlineStr">
        <is>
          <t>E01993</t>
        </is>
      </c>
      <c r="B606" s="5" t="inlineStr">
        <is>
          <t>Female</t>
        </is>
      </c>
      <c r="C606" s="6" t="inlineStr">
        <is>
          <t>37</t>
        </is>
      </c>
      <c r="D606" s="5" t="inlineStr">
        <is>
          <t>Married</t>
        </is>
      </c>
      <c r="E606" s="5" t="inlineStr">
        <is>
          <t>Master</t>
        </is>
      </c>
      <c r="F606" s="5" t="inlineStr">
        <is>
          <t>Operations</t>
        </is>
      </c>
      <c r="G606" s="5" t="inlineStr">
        <is>
          <t>Logistics Coordinator</t>
        </is>
      </c>
      <c r="H606" s="5" t="inlineStr">
        <is>
          <t>5</t>
        </is>
      </c>
      <c r="I606" s="5" t="inlineStr">
        <is>
          <t>Remote</t>
        </is>
      </c>
      <c r="J606" s="5" t="inlineStr">
        <is>
          <t>Full-Time</t>
        </is>
      </c>
      <c r="K606" s="7" t="n">
        <v>44992</v>
      </c>
      <c r="L606" s="7" t="n">
        <v>45092</v>
      </c>
      <c r="M606" s="5" t="inlineStr">
        <is>
          <t>No</t>
        </is>
      </c>
      <c r="N606" s="5" t="inlineStr">
        <is>
          <t>Relocation</t>
        </is>
      </c>
      <c r="O606" s="8" t="inlineStr">
        <is>
          <t>141000</t>
        </is>
      </c>
      <c r="P606" s="5" t="inlineStr">
        <is>
          <t>20</t>
        </is>
      </c>
      <c r="Q606" s="5" t="inlineStr">
        <is>
          <t>5</t>
        </is>
      </c>
      <c r="R606" s="5" t="inlineStr">
        <is>
          <t>6</t>
        </is>
      </c>
      <c r="S606" s="5" t="inlineStr">
        <is>
          <t>3</t>
        </is>
      </c>
      <c r="T606" s="5" t="inlineStr">
        <is>
          <t>7</t>
        </is>
      </c>
      <c r="U606" s="5" t="inlineStr">
        <is>
          <t>OK</t>
        </is>
      </c>
    </row>
    <row r="607">
      <c r="A607" s="5" t="inlineStr">
        <is>
          <t>E01540</t>
        </is>
      </c>
      <c r="B607" s="5" t="inlineStr">
        <is>
          <t>Male</t>
        </is>
      </c>
      <c r="C607" s="6" t="inlineStr">
        <is>
          <t>33</t>
        </is>
      </c>
      <c r="D607" s="5" t="inlineStr">
        <is>
          <t>Single</t>
        </is>
      </c>
      <c r="E607" s="5" t="inlineStr">
        <is>
          <t>PhD</t>
        </is>
      </c>
      <c r="F607" s="5" t="inlineStr">
        <is>
          <t>Human Resources</t>
        </is>
      </c>
      <c r="G607" s="5" t="inlineStr">
        <is>
          <t>Recruiter</t>
        </is>
      </c>
      <c r="H607" s="5" t="inlineStr">
        <is>
          <t>2</t>
        </is>
      </c>
      <c r="I607" s="5" t="inlineStr">
        <is>
          <t>Bengaluru</t>
        </is>
      </c>
      <c r="J607" s="5" t="inlineStr">
        <is>
          <t>Full-Time</t>
        </is>
      </c>
      <c r="K607" s="7" t="n">
        <v>44103</v>
      </c>
      <c r="L607" s="7" t="inlineStr"/>
      <c r="M607" s="5" t="inlineStr">
        <is>
          <t>Yes</t>
        </is>
      </c>
      <c r="N607" s="5" t="inlineStr"/>
      <c r="O607" s="8" t="inlineStr">
        <is>
          <t>66500</t>
        </is>
      </c>
      <c r="P607" s="5" t="inlineStr">
        <is>
          <t>15</t>
        </is>
      </c>
      <c r="Q607" s="5" t="inlineStr">
        <is>
          <t>4</t>
        </is>
      </c>
      <c r="R607" s="5" t="inlineStr">
        <is>
          <t>7</t>
        </is>
      </c>
      <c r="S607" s="5" t="inlineStr">
        <is>
          <t>63</t>
        </is>
      </c>
      <c r="T607" s="5" t="inlineStr">
        <is>
          <t>0</t>
        </is>
      </c>
      <c r="U607" s="5" t="inlineStr">
        <is>
          <t>OK</t>
        </is>
      </c>
    </row>
    <row r="608">
      <c r="A608" s="5" t="inlineStr">
        <is>
          <t>E01090</t>
        </is>
      </c>
      <c r="B608" s="5" t="inlineStr">
        <is>
          <t>Male</t>
        </is>
      </c>
      <c r="C608" s="6" t="inlineStr">
        <is>
          <t>29</t>
        </is>
      </c>
      <c r="D608" s="5" t="inlineStr">
        <is>
          <t>Married</t>
        </is>
      </c>
      <c r="E608" s="5" t="inlineStr">
        <is>
          <t>Diploma</t>
        </is>
      </c>
      <c r="F608" s="5" t="inlineStr">
        <is>
          <t>Executive</t>
        </is>
      </c>
      <c r="G608" s="5" t="inlineStr">
        <is>
          <t>CFO</t>
        </is>
      </c>
      <c r="H608" s="5" t="inlineStr">
        <is>
          <t>3</t>
        </is>
      </c>
      <c r="I608" s="5" t="inlineStr">
        <is>
          <t>Chennai</t>
        </is>
      </c>
      <c r="J608" s="5" t="inlineStr">
        <is>
          <t>Part-Time</t>
        </is>
      </c>
      <c r="K608" s="7" t="n">
        <v>45202</v>
      </c>
      <c r="L608" s="7" t="inlineStr"/>
      <c r="M608" s="5" t="inlineStr">
        <is>
          <t>Yes</t>
        </is>
      </c>
      <c r="N608" s="5" t="inlineStr"/>
      <c r="O608" s="8" t="inlineStr">
        <is>
          <t>242500</t>
        </is>
      </c>
      <c r="P608" s="5" t="inlineStr">
        <is>
          <t>5</t>
        </is>
      </c>
      <c r="Q608" s="5" t="inlineStr">
        <is>
          <t>5</t>
        </is>
      </c>
      <c r="R608" s="5" t="inlineStr">
        <is>
          <t>6</t>
        </is>
      </c>
      <c r="S608" s="5" t="inlineStr">
        <is>
          <t>27</t>
        </is>
      </c>
      <c r="T608" s="5" t="inlineStr">
        <is>
          <t>2</t>
        </is>
      </c>
      <c r="U608" s="5" t="inlineStr">
        <is>
          <t>OK</t>
        </is>
      </c>
    </row>
    <row r="609">
      <c r="A609" s="5" t="inlineStr">
        <is>
          <t>E01042</t>
        </is>
      </c>
      <c r="B609" s="5" t="inlineStr">
        <is>
          <t>Female</t>
        </is>
      </c>
      <c r="C609" s="6" t="inlineStr">
        <is>
          <t>26</t>
        </is>
      </c>
      <c r="D609" s="5" t="inlineStr">
        <is>
          <t>Married</t>
        </is>
      </c>
      <c r="E609" s="5" t="inlineStr">
        <is>
          <t>High School</t>
        </is>
      </c>
      <c r="F609" s="5" t="inlineStr">
        <is>
          <t>IT</t>
        </is>
      </c>
      <c r="G609" s="5" t="inlineStr">
        <is>
          <t>Data Analyst</t>
        </is>
      </c>
      <c r="H609" s="5" t="inlineStr">
        <is>
          <t>1</t>
        </is>
      </c>
      <c r="I609" s="5" t="inlineStr">
        <is>
          <t>Delhi</t>
        </is>
      </c>
      <c r="J609" s="5" t="inlineStr">
        <is>
          <t>Full-Time</t>
        </is>
      </c>
      <c r="K609" s="7" t="n">
        <v>45031</v>
      </c>
      <c r="L609" s="7" t="inlineStr"/>
      <c r="M609" s="5" t="inlineStr">
        <is>
          <t>Yes</t>
        </is>
      </c>
      <c r="N609" s="5" t="inlineStr"/>
      <c r="O609" s="8" t="inlineStr">
        <is>
          <t>98000</t>
        </is>
      </c>
      <c r="P609" s="5" t="inlineStr">
        <is>
          <t>0</t>
        </is>
      </c>
      <c r="Q609" s="5" t="inlineStr">
        <is>
          <t>5</t>
        </is>
      </c>
      <c r="R609" s="5" t="inlineStr">
        <is>
          <t>7</t>
        </is>
      </c>
      <c r="S609" s="5" t="inlineStr">
        <is>
          <t>33</t>
        </is>
      </c>
      <c r="T609" s="5" t="inlineStr">
        <is>
          <t>0</t>
        </is>
      </c>
      <c r="U609" s="5" t="inlineStr">
        <is>
          <t>OK</t>
        </is>
      </c>
    </row>
    <row r="610">
      <c r="A610" s="5" t="inlineStr">
        <is>
          <t>E01763</t>
        </is>
      </c>
      <c r="B610" s="5" t="inlineStr">
        <is>
          <t>Male</t>
        </is>
      </c>
      <c r="C610" s="6" t="inlineStr">
        <is>
          <t>35</t>
        </is>
      </c>
      <c r="D610" s="5" t="inlineStr">
        <is>
          <t>Married</t>
        </is>
      </c>
      <c r="E610" s="5" t="inlineStr">
        <is>
          <t>Master</t>
        </is>
      </c>
      <c r="F610" s="5" t="inlineStr">
        <is>
          <t>Operations</t>
        </is>
      </c>
      <c r="G610" s="5" t="inlineStr">
        <is>
          <t>Logistics Coordinator</t>
        </is>
      </c>
      <c r="H610" s="5" t="inlineStr">
        <is>
          <t>3</t>
        </is>
      </c>
      <c r="I610" s="5" t="inlineStr">
        <is>
          <t>Remote</t>
        </is>
      </c>
      <c r="J610" s="5" t="inlineStr">
        <is>
          <t>Full-Time</t>
        </is>
      </c>
      <c r="K610" s="7" t="n">
        <v>44622</v>
      </c>
      <c r="L610" s="7" t="inlineStr"/>
      <c r="M610" s="5" t="inlineStr">
        <is>
          <t>Yes</t>
        </is>
      </c>
      <c r="N610" s="5" t="inlineStr"/>
      <c r="O610" s="8" t="inlineStr">
        <is>
          <t>93500</t>
        </is>
      </c>
      <c r="P610" s="5" t="inlineStr">
        <is>
          <t>5</t>
        </is>
      </c>
      <c r="Q610" s="5" t="inlineStr">
        <is>
          <t>4</t>
        </is>
      </c>
      <c r="R610" s="5" t="inlineStr">
        <is>
          <t>6</t>
        </is>
      </c>
      <c r="S610" s="5" t="inlineStr">
        <is>
          <t>46</t>
        </is>
      </c>
      <c r="T610" s="5" t="inlineStr">
        <is>
          <t>1</t>
        </is>
      </c>
      <c r="U610" s="5" t="inlineStr">
        <is>
          <t>OK</t>
        </is>
      </c>
    </row>
    <row r="611">
      <c r="A611" s="5" t="inlineStr">
        <is>
          <t>E02907</t>
        </is>
      </c>
      <c r="B611" s="5" t="inlineStr">
        <is>
          <t>Male</t>
        </is>
      </c>
      <c r="C611" s="6" t="inlineStr">
        <is>
          <t>25</t>
        </is>
      </c>
      <c r="D611" s="5" t="inlineStr">
        <is>
          <t>Married</t>
        </is>
      </c>
      <c r="E611" s="5" t="inlineStr">
        <is>
          <t>Bachelor</t>
        </is>
      </c>
      <c r="F611" s="5" t="inlineStr">
        <is>
          <t>Customer Support</t>
        </is>
      </c>
      <c r="G611" s="5" t="inlineStr">
        <is>
          <t>Escalation Specialist</t>
        </is>
      </c>
      <c r="H611" s="5" t="inlineStr">
        <is>
          <t>1</t>
        </is>
      </c>
      <c r="I611" s="5" t="inlineStr">
        <is>
          <t>Chennai</t>
        </is>
      </c>
      <c r="J611" s="5" t="inlineStr">
        <is>
          <t>Full-Time</t>
        </is>
      </c>
      <c r="K611" s="7" t="n">
        <v>44806</v>
      </c>
      <c r="L611" s="7" t="n">
        <v>44858</v>
      </c>
      <c r="M611" s="5" t="inlineStr">
        <is>
          <t>No</t>
        </is>
      </c>
      <c r="N611" s="5" t="inlineStr">
        <is>
          <t>Retirement</t>
        </is>
      </c>
      <c r="O611" s="8" t="inlineStr">
        <is>
          <t>62000</t>
        </is>
      </c>
      <c r="P611" s="5" t="inlineStr">
        <is>
          <t>0</t>
        </is>
      </c>
      <c r="Q611" s="5" t="inlineStr">
        <is>
          <t>5</t>
        </is>
      </c>
      <c r="R611" s="5" t="inlineStr">
        <is>
          <t>8</t>
        </is>
      </c>
      <c r="S611" s="5" t="inlineStr">
        <is>
          <t>1</t>
        </is>
      </c>
      <c r="T611" s="5" t="inlineStr">
        <is>
          <t>10</t>
        </is>
      </c>
      <c r="U611" s="5" t="inlineStr">
        <is>
          <t>OK</t>
        </is>
      </c>
    </row>
    <row r="612">
      <c r="A612" s="5" t="inlineStr">
        <is>
          <t>E02478</t>
        </is>
      </c>
      <c r="B612" s="5" t="inlineStr">
        <is>
          <t>Male</t>
        </is>
      </c>
      <c r="C612" s="6" t="inlineStr">
        <is>
          <t>26</t>
        </is>
      </c>
      <c r="D612" s="5" t="inlineStr">
        <is>
          <t>Married</t>
        </is>
      </c>
      <c r="E612" s="5" t="inlineStr">
        <is>
          <t>PhD</t>
        </is>
      </c>
      <c r="F612" s="5" t="inlineStr">
        <is>
          <t>Sales</t>
        </is>
      </c>
      <c r="G612" s="5" t="inlineStr">
        <is>
          <t>Business Development</t>
        </is>
      </c>
      <c r="H612" s="5" t="inlineStr">
        <is>
          <t>2</t>
        </is>
      </c>
      <c r="I612" s="5" t="inlineStr">
        <is>
          <t>Chennai</t>
        </is>
      </c>
      <c r="J612" s="5" t="inlineStr">
        <is>
          <t>Full-Time</t>
        </is>
      </c>
      <c r="K612" s="7" t="n">
        <v>45163</v>
      </c>
      <c r="L612" s="7" t="inlineStr"/>
      <c r="M612" s="5" t="inlineStr">
        <is>
          <t>Yes</t>
        </is>
      </c>
      <c r="N612" s="5" t="inlineStr"/>
      <c r="O612" s="8" t="inlineStr">
        <is>
          <t>69000</t>
        </is>
      </c>
      <c r="P612" s="5" t="inlineStr">
        <is>
          <t>5</t>
        </is>
      </c>
      <c r="Q612" s="5" t="inlineStr">
        <is>
          <t>4</t>
        </is>
      </c>
      <c r="R612" s="5" t="inlineStr">
        <is>
          <t>6</t>
        </is>
      </c>
      <c r="S612" s="5" t="inlineStr">
        <is>
          <t>28</t>
        </is>
      </c>
      <c r="T612" s="5" t="inlineStr">
        <is>
          <t>3</t>
        </is>
      </c>
      <c r="U612" s="5" t="inlineStr">
        <is>
          <t>OK</t>
        </is>
      </c>
    </row>
    <row r="613">
      <c r="A613" s="5" t="inlineStr">
        <is>
          <t>E00437</t>
        </is>
      </c>
      <c r="B613" s="5" t="inlineStr">
        <is>
          <t>Male</t>
        </is>
      </c>
      <c r="C613" s="6" t="inlineStr">
        <is>
          <t>31</t>
        </is>
      </c>
      <c r="D613" s="5" t="inlineStr">
        <is>
          <t>Married</t>
        </is>
      </c>
      <c r="E613" s="5" t="inlineStr">
        <is>
          <t>PhD</t>
        </is>
      </c>
      <c r="F613" s="5" t="inlineStr">
        <is>
          <t>IT</t>
        </is>
      </c>
      <c r="G613" s="5" t="inlineStr">
        <is>
          <t>Data Analyst</t>
        </is>
      </c>
      <c r="H613" s="5" t="inlineStr">
        <is>
          <t>4</t>
        </is>
      </c>
      <c r="I613" s="5" t="inlineStr">
        <is>
          <t>Hyderabad</t>
        </is>
      </c>
      <c r="J613" s="5" t="inlineStr">
        <is>
          <t>Full-Time</t>
        </is>
      </c>
      <c r="K613" s="7" t="n">
        <v>45070</v>
      </c>
      <c r="L613" s="7" t="inlineStr"/>
      <c r="M613" s="5" t="inlineStr">
        <is>
          <t>Yes</t>
        </is>
      </c>
      <c r="N613" s="5" t="inlineStr"/>
      <c r="O613" s="8" t="inlineStr">
        <is>
          <t>131500</t>
        </is>
      </c>
      <c r="P613" s="5" t="inlineStr">
        <is>
          <t>0</t>
        </is>
      </c>
      <c r="Q613" s="5" t="inlineStr">
        <is>
          <t>5</t>
        </is>
      </c>
      <c r="R613" s="5" t="inlineStr">
        <is>
          <t>4</t>
        </is>
      </c>
      <c r="S613" s="5" t="inlineStr">
        <is>
          <t>31</t>
        </is>
      </c>
      <c r="T613" s="5" t="inlineStr">
        <is>
          <t>7</t>
        </is>
      </c>
      <c r="U613" s="5" t="inlineStr">
        <is>
          <t>OK</t>
        </is>
      </c>
    </row>
    <row r="614">
      <c r="A614" s="5" t="inlineStr">
        <is>
          <t>E00034</t>
        </is>
      </c>
      <c r="B614" s="5" t="inlineStr">
        <is>
          <t>Female</t>
        </is>
      </c>
      <c r="C614" s="6" t="inlineStr">
        <is>
          <t>39</t>
        </is>
      </c>
      <c r="D614" s="5" t="inlineStr">
        <is>
          <t>Single</t>
        </is>
      </c>
      <c r="E614" s="5" t="inlineStr">
        <is>
          <t>Bachelor</t>
        </is>
      </c>
      <c r="F614" s="5" t="inlineStr">
        <is>
          <t>IT</t>
        </is>
      </c>
      <c r="G614" s="5" t="inlineStr">
        <is>
          <t>IT Support</t>
        </is>
      </c>
      <c r="H614" s="5" t="inlineStr">
        <is>
          <t>4</t>
        </is>
      </c>
      <c r="I614" s="5" t="inlineStr">
        <is>
          <t>Mumbai</t>
        </is>
      </c>
      <c r="J614" s="5" t="inlineStr">
        <is>
          <t>Full-Time</t>
        </is>
      </c>
      <c r="K614" s="7" t="n">
        <v>45394</v>
      </c>
      <c r="L614" s="7" t="inlineStr"/>
      <c r="M614" s="5" t="inlineStr">
        <is>
          <t>Yes</t>
        </is>
      </c>
      <c r="N614" s="5" t="inlineStr"/>
      <c r="O614" s="8" t="inlineStr">
        <is>
          <t>144000</t>
        </is>
      </c>
      <c r="P614" s="5" t="inlineStr">
        <is>
          <t>15</t>
        </is>
      </c>
      <c r="Q614" s="5" t="inlineStr">
        <is>
          <t>4</t>
        </is>
      </c>
      <c r="R614" s="5" t="inlineStr">
        <is>
          <t>5</t>
        </is>
      </c>
      <c r="S614" s="5" t="inlineStr">
        <is>
          <t>20</t>
        </is>
      </c>
      <c r="T614" s="5" t="inlineStr">
        <is>
          <t>8</t>
        </is>
      </c>
      <c r="U614" s="5" t="inlineStr">
        <is>
          <t>OK</t>
        </is>
      </c>
    </row>
    <row r="615">
      <c r="A615" s="5" t="inlineStr">
        <is>
          <t>E02343</t>
        </is>
      </c>
      <c r="B615" s="5" t="inlineStr">
        <is>
          <t>Female</t>
        </is>
      </c>
      <c r="C615" s="6" t="inlineStr">
        <is>
          <t>32</t>
        </is>
      </c>
      <c r="D615" s="5" t="inlineStr">
        <is>
          <t>Married</t>
        </is>
      </c>
      <c r="E615" s="5" t="inlineStr">
        <is>
          <t>Diploma</t>
        </is>
      </c>
      <c r="F615" s="5" t="inlineStr">
        <is>
          <t>Research &amp; Development</t>
        </is>
      </c>
      <c r="G615" s="5" t="inlineStr">
        <is>
          <t>Research Scientist</t>
        </is>
      </c>
      <c r="H615" s="5" t="inlineStr">
        <is>
          <t>2</t>
        </is>
      </c>
      <c r="I615" s="5" t="inlineStr">
        <is>
          <t>Chennai</t>
        </is>
      </c>
      <c r="J615" s="5" t="inlineStr">
        <is>
          <t>Full-Time</t>
        </is>
      </c>
      <c r="K615" s="7" t="n">
        <v>45743</v>
      </c>
      <c r="L615" s="7" t="inlineStr"/>
      <c r="M615" s="5" t="inlineStr">
        <is>
          <t>Yes</t>
        </is>
      </c>
      <c r="N615" s="5" t="inlineStr"/>
      <c r="O615" s="8" t="inlineStr">
        <is>
          <t>154000</t>
        </is>
      </c>
      <c r="P615" s="5" t="inlineStr">
        <is>
          <t>5</t>
        </is>
      </c>
      <c r="Q615" s="5" t="inlineStr">
        <is>
          <t>3</t>
        </is>
      </c>
      <c r="R615" s="5" t="inlineStr">
        <is>
          <t>8</t>
        </is>
      </c>
      <c r="S615" s="5" t="inlineStr">
        <is>
          <t>9</t>
        </is>
      </c>
      <c r="T615" s="5" t="inlineStr">
        <is>
          <t>3</t>
        </is>
      </c>
      <c r="U615" s="5" t="inlineStr">
        <is>
          <t>OK</t>
        </is>
      </c>
    </row>
    <row r="616">
      <c r="A616" s="5" t="inlineStr">
        <is>
          <t>E00875</t>
        </is>
      </c>
      <c r="B616" s="5" t="inlineStr">
        <is>
          <t>Female</t>
        </is>
      </c>
      <c r="C616" s="6" t="inlineStr">
        <is>
          <t>33</t>
        </is>
      </c>
      <c r="D616" s="5" t="inlineStr">
        <is>
          <t>Married</t>
        </is>
      </c>
      <c r="E616" s="5" t="inlineStr">
        <is>
          <t>High School</t>
        </is>
      </c>
      <c r="F616" s="5" t="inlineStr">
        <is>
          <t>IT</t>
        </is>
      </c>
      <c r="G616" s="5" t="inlineStr">
        <is>
          <t>IT Support</t>
        </is>
      </c>
      <c r="H616" s="5" t="inlineStr">
        <is>
          <t>2</t>
        </is>
      </c>
      <c r="I616" s="5" t="inlineStr">
        <is>
          <t>Chennai</t>
        </is>
      </c>
      <c r="J616" s="5" t="inlineStr">
        <is>
          <t>Full-Time</t>
        </is>
      </c>
      <c r="K616" s="7" t="n">
        <v>44751</v>
      </c>
      <c r="L616" s="7" t="inlineStr"/>
      <c r="M616" s="5" t="inlineStr">
        <is>
          <t>Yes</t>
        </is>
      </c>
      <c r="N616" s="5" t="inlineStr"/>
      <c r="O616" s="8" t="inlineStr">
        <is>
          <t>157500</t>
        </is>
      </c>
      <c r="P616" s="5" t="inlineStr">
        <is>
          <t>10</t>
        </is>
      </c>
      <c r="Q616" s="5" t="inlineStr">
        <is>
          <t>3</t>
        </is>
      </c>
      <c r="R616" s="5" t="inlineStr">
        <is>
          <t>8</t>
        </is>
      </c>
      <c r="S616" s="5" t="inlineStr">
        <is>
          <t>42</t>
        </is>
      </c>
      <c r="T616" s="5" t="inlineStr">
        <is>
          <t>5</t>
        </is>
      </c>
      <c r="U616" s="5" t="inlineStr">
        <is>
          <t>OK</t>
        </is>
      </c>
    </row>
    <row r="617">
      <c r="A617" s="5" t="inlineStr">
        <is>
          <t>E02748</t>
        </is>
      </c>
      <c r="B617" s="5" t="inlineStr">
        <is>
          <t>Female</t>
        </is>
      </c>
      <c r="C617" s="6" t="inlineStr">
        <is>
          <t>38</t>
        </is>
      </c>
      <c r="D617" s="5" t="inlineStr">
        <is>
          <t>Divorced</t>
        </is>
      </c>
      <c r="E617" s="5" t="inlineStr">
        <is>
          <t>High School</t>
        </is>
      </c>
      <c r="F617" s="5" t="inlineStr">
        <is>
          <t>Research &amp; Development</t>
        </is>
      </c>
      <c r="G617" s="5" t="inlineStr">
        <is>
          <t>Research Scientist</t>
        </is>
      </c>
      <c r="H617" s="5" t="inlineStr">
        <is>
          <t>3</t>
        </is>
      </c>
      <c r="I617" s="5" t="inlineStr">
        <is>
          <t>Remote</t>
        </is>
      </c>
      <c r="J617" s="5" t="inlineStr">
        <is>
          <t>Full-Time</t>
        </is>
      </c>
      <c r="K617" s="7" t="n">
        <v>45532</v>
      </c>
      <c r="L617" s="7" t="inlineStr"/>
      <c r="M617" s="5" t="inlineStr">
        <is>
          <t>Yes</t>
        </is>
      </c>
      <c r="N617" s="5" t="inlineStr"/>
      <c r="O617" s="8" t="inlineStr">
        <is>
          <t>199000</t>
        </is>
      </c>
      <c r="P617" s="5" t="inlineStr">
        <is>
          <t>5</t>
        </is>
      </c>
      <c r="Q617" s="5" t="inlineStr">
        <is>
          <t>2</t>
        </is>
      </c>
      <c r="R617" s="5" t="inlineStr">
        <is>
          <t>7</t>
        </is>
      </c>
      <c r="S617" s="5" t="inlineStr">
        <is>
          <t>16</t>
        </is>
      </c>
      <c r="T617" s="5" t="inlineStr">
        <is>
          <t>0</t>
        </is>
      </c>
      <c r="U617" s="5" t="inlineStr">
        <is>
          <t>OK</t>
        </is>
      </c>
    </row>
    <row r="618">
      <c r="A618" s="5" t="inlineStr">
        <is>
          <t>E01330</t>
        </is>
      </c>
      <c r="B618" s="5" t="inlineStr">
        <is>
          <t>Male</t>
        </is>
      </c>
      <c r="C618" s="6" t="inlineStr">
        <is>
          <t>33</t>
        </is>
      </c>
      <c r="D618" s="5" t="inlineStr">
        <is>
          <t>Married</t>
        </is>
      </c>
      <c r="E618" s="5" t="inlineStr">
        <is>
          <t>High School</t>
        </is>
      </c>
      <c r="F618" s="5" t="inlineStr">
        <is>
          <t>Marketing</t>
        </is>
      </c>
      <c r="G618" s="5" t="inlineStr">
        <is>
          <t>SEO Specialist</t>
        </is>
      </c>
      <c r="H618" s="5" t="inlineStr">
        <is>
          <t>4</t>
        </is>
      </c>
      <c r="I618" s="5" t="inlineStr">
        <is>
          <t>Mumbai</t>
        </is>
      </c>
      <c r="J618" s="5" t="inlineStr">
        <is>
          <t>Full-Time</t>
        </is>
      </c>
      <c r="K618" s="7" t="n">
        <v>44549</v>
      </c>
      <c r="L618" s="7" t="inlineStr"/>
      <c r="M618" s="5" t="inlineStr">
        <is>
          <t>Yes</t>
        </is>
      </c>
      <c r="N618" s="5" t="inlineStr"/>
      <c r="O618" s="8" t="inlineStr">
        <is>
          <t>126000</t>
        </is>
      </c>
      <c r="P618" s="5" t="inlineStr">
        <is>
          <t>0</t>
        </is>
      </c>
      <c r="Q618" s="5" t="inlineStr">
        <is>
          <t>3</t>
        </is>
      </c>
      <c r="R618" s="5" t="inlineStr">
        <is>
          <t>5</t>
        </is>
      </c>
      <c r="S618" s="5" t="inlineStr">
        <is>
          <t>49</t>
        </is>
      </c>
      <c r="T618" s="5" t="inlineStr">
        <is>
          <t>8</t>
        </is>
      </c>
      <c r="U618" s="5" t="inlineStr">
        <is>
          <t>OK</t>
        </is>
      </c>
    </row>
    <row r="619">
      <c r="A619" s="5" t="inlineStr">
        <is>
          <t>E01859</t>
        </is>
      </c>
      <c r="B619" s="5" t="inlineStr">
        <is>
          <t>Female</t>
        </is>
      </c>
      <c r="C619" s="6" t="inlineStr">
        <is>
          <t>37</t>
        </is>
      </c>
      <c r="D619" s="5" t="inlineStr">
        <is>
          <t>Married</t>
        </is>
      </c>
      <c r="E619" s="5" t="inlineStr">
        <is>
          <t>Bachelor</t>
        </is>
      </c>
      <c r="F619" s="5" t="inlineStr">
        <is>
          <t>Marketing</t>
        </is>
      </c>
      <c r="G619" s="5" t="inlineStr">
        <is>
          <t>Marketing Analyst</t>
        </is>
      </c>
      <c r="H619" s="5" t="inlineStr">
        <is>
          <t>3</t>
        </is>
      </c>
      <c r="I619" s="5" t="inlineStr">
        <is>
          <t>Hyderabad</t>
        </is>
      </c>
      <c r="J619" s="5" t="inlineStr">
        <is>
          <t>Full-Time</t>
        </is>
      </c>
      <c r="K619" s="7" t="n">
        <v>45441</v>
      </c>
      <c r="L619" s="7" t="inlineStr"/>
      <c r="M619" s="5" t="inlineStr">
        <is>
          <t>Yes</t>
        </is>
      </c>
      <c r="N619" s="5" t="inlineStr"/>
      <c r="O619" s="8" t="inlineStr">
        <is>
          <t>77000</t>
        </is>
      </c>
      <c r="P619" s="5" t="inlineStr">
        <is>
          <t>0</t>
        </is>
      </c>
      <c r="Q619" s="5" t="inlineStr">
        <is>
          <t>5</t>
        </is>
      </c>
      <c r="R619" s="5" t="inlineStr">
        <is>
          <t>1</t>
        </is>
      </c>
      <c r="S619" s="5" t="inlineStr">
        <is>
          <t>19</t>
        </is>
      </c>
      <c r="T619" s="5" t="inlineStr">
        <is>
          <t>0</t>
        </is>
      </c>
      <c r="U619" s="5" t="inlineStr">
        <is>
          <t>OK</t>
        </is>
      </c>
    </row>
    <row r="620">
      <c r="A620" s="5" t="inlineStr">
        <is>
          <t>E00381</t>
        </is>
      </c>
      <c r="B620" s="5" t="inlineStr">
        <is>
          <t>Female</t>
        </is>
      </c>
      <c r="C620" s="6" t="inlineStr">
        <is>
          <t>38</t>
        </is>
      </c>
      <c r="D620" s="5" t="inlineStr">
        <is>
          <t>Married</t>
        </is>
      </c>
      <c r="E620" s="5" t="inlineStr">
        <is>
          <t>Bachelor</t>
        </is>
      </c>
      <c r="F620" s="5" t="inlineStr">
        <is>
          <t>Customer Support</t>
        </is>
      </c>
      <c r="G620" s="5" t="inlineStr">
        <is>
          <t>Support Lead</t>
        </is>
      </c>
      <c r="H620" s="5" t="inlineStr">
        <is>
          <t>4</t>
        </is>
      </c>
      <c r="I620" s="5" t="inlineStr">
        <is>
          <t>Mumbai</t>
        </is>
      </c>
      <c r="J620" s="5" t="inlineStr">
        <is>
          <t>Full-Time</t>
        </is>
      </c>
      <c r="K620" s="7" t="n">
        <v>44431</v>
      </c>
      <c r="L620" s="7" t="inlineStr"/>
      <c r="M620" s="5" t="inlineStr">
        <is>
          <t>Yes</t>
        </is>
      </c>
      <c r="N620" s="5" t="inlineStr"/>
      <c r="O620" s="8" t="inlineStr">
        <is>
          <t>98500</t>
        </is>
      </c>
      <c r="P620" s="5" t="inlineStr">
        <is>
          <t>0</t>
        </is>
      </c>
      <c r="Q620" s="5" t="inlineStr">
        <is>
          <t>4</t>
        </is>
      </c>
      <c r="R620" s="5" t="inlineStr">
        <is>
          <t>4</t>
        </is>
      </c>
      <c r="S620" s="5" t="inlineStr">
        <is>
          <t>53</t>
        </is>
      </c>
      <c r="T620" s="5" t="inlineStr">
        <is>
          <t>12</t>
        </is>
      </c>
      <c r="U620" s="5" t="inlineStr">
        <is>
          <t>OK</t>
        </is>
      </c>
    </row>
    <row r="621">
      <c r="A621" s="5" t="inlineStr">
        <is>
          <t>E02436</t>
        </is>
      </c>
      <c r="B621" s="5" t="inlineStr">
        <is>
          <t>Female</t>
        </is>
      </c>
      <c r="C621" s="6" t="inlineStr">
        <is>
          <t>33</t>
        </is>
      </c>
      <c r="D621" s="5" t="inlineStr">
        <is>
          <t>Married</t>
        </is>
      </c>
      <c r="E621" s="5" t="inlineStr">
        <is>
          <t>Diploma</t>
        </is>
      </c>
      <c r="F621" s="5" t="inlineStr">
        <is>
          <t>Customer Support</t>
        </is>
      </c>
      <c r="G621" s="5" t="inlineStr">
        <is>
          <t>Support Agent</t>
        </is>
      </c>
      <c r="H621" s="5" t="inlineStr">
        <is>
          <t>3</t>
        </is>
      </c>
      <c r="I621" s="5" t="inlineStr">
        <is>
          <t>Mumbai</t>
        </is>
      </c>
      <c r="J621" s="5" t="inlineStr">
        <is>
          <t>Full-Time</t>
        </is>
      </c>
      <c r="K621" s="7" t="n">
        <v>44146</v>
      </c>
      <c r="L621" s="7" t="inlineStr"/>
      <c r="M621" s="5" t="inlineStr">
        <is>
          <t>Yes</t>
        </is>
      </c>
      <c r="N621" s="5" t="inlineStr"/>
      <c r="O621" s="8" t="inlineStr">
        <is>
          <t>79000</t>
        </is>
      </c>
      <c r="P621" s="5" t="inlineStr">
        <is>
          <t>0</t>
        </is>
      </c>
      <c r="Q621" s="5" t="inlineStr">
        <is>
          <t>4</t>
        </is>
      </c>
      <c r="R621" s="5" t="inlineStr">
        <is>
          <t>7</t>
        </is>
      </c>
      <c r="S621" s="5" t="inlineStr">
        <is>
          <t>62</t>
        </is>
      </c>
      <c r="T621" s="5" t="inlineStr">
        <is>
          <t>11</t>
        </is>
      </c>
      <c r="U621" s="5" t="inlineStr">
        <is>
          <t>OK</t>
        </is>
      </c>
    </row>
    <row r="622">
      <c r="A622" s="5" t="inlineStr">
        <is>
          <t>E00415</t>
        </is>
      </c>
      <c r="B622" s="5" t="inlineStr">
        <is>
          <t>Male</t>
        </is>
      </c>
      <c r="C622" s="6" t="inlineStr">
        <is>
          <t>28</t>
        </is>
      </c>
      <c r="D622" s="5" t="inlineStr">
        <is>
          <t>Married</t>
        </is>
      </c>
      <c r="E622" s="5" t="inlineStr">
        <is>
          <t>Master</t>
        </is>
      </c>
      <c r="F622" s="5" t="inlineStr">
        <is>
          <t>Sales</t>
        </is>
      </c>
      <c r="G622" s="5" t="inlineStr">
        <is>
          <t>Business Development</t>
        </is>
      </c>
      <c r="H622" s="5" t="inlineStr">
        <is>
          <t>3</t>
        </is>
      </c>
      <c r="I622" s="5" t="inlineStr">
        <is>
          <t>Chennai</t>
        </is>
      </c>
      <c r="J622" s="5" t="inlineStr">
        <is>
          <t>Full-Time</t>
        </is>
      </c>
      <c r="K622" s="7" t="n">
        <v>44477</v>
      </c>
      <c r="L622" s="7" t="n">
        <v>44558</v>
      </c>
      <c r="M622" s="5" t="inlineStr">
        <is>
          <t>No</t>
        </is>
      </c>
      <c r="N622" s="5" t="inlineStr">
        <is>
          <t>Resigned</t>
        </is>
      </c>
      <c r="O622" s="8" t="inlineStr">
        <is>
          <t>95000</t>
        </is>
      </c>
      <c r="P622" s="5" t="inlineStr">
        <is>
          <t>5</t>
        </is>
      </c>
      <c r="Q622" s="5" t="inlineStr">
        <is>
          <t>3</t>
        </is>
      </c>
      <c r="R622" s="5" t="inlineStr">
        <is>
          <t>8</t>
        </is>
      </c>
      <c r="S622" s="5" t="inlineStr">
        <is>
          <t>2</t>
        </is>
      </c>
      <c r="T622" s="5" t="inlineStr">
        <is>
          <t>10</t>
        </is>
      </c>
      <c r="U622" s="5" t="inlineStr">
        <is>
          <t>OK</t>
        </is>
      </c>
    </row>
    <row r="623">
      <c r="A623" s="5" t="inlineStr">
        <is>
          <t>E00280</t>
        </is>
      </c>
      <c r="B623" s="5" t="inlineStr">
        <is>
          <t>Female</t>
        </is>
      </c>
      <c r="C623" s="6" t="inlineStr">
        <is>
          <t>38</t>
        </is>
      </c>
      <c r="D623" s="5" t="inlineStr">
        <is>
          <t>Married</t>
        </is>
      </c>
      <c r="E623" s="5" t="inlineStr">
        <is>
          <t>High School</t>
        </is>
      </c>
      <c r="F623" s="5" t="inlineStr">
        <is>
          <t>Research &amp; Development</t>
        </is>
      </c>
      <c r="G623" s="5" t="inlineStr">
        <is>
          <t>Data Scientist</t>
        </is>
      </c>
      <c r="H623" s="5" t="inlineStr">
        <is>
          <t>5</t>
        </is>
      </c>
      <c r="I623" s="5" t="inlineStr">
        <is>
          <t>Bengaluru</t>
        </is>
      </c>
      <c r="J623" s="5" t="inlineStr">
        <is>
          <t>Full-Time</t>
        </is>
      </c>
      <c r="K623" s="7" t="n">
        <v>45252</v>
      </c>
      <c r="L623" s="7" t="inlineStr"/>
      <c r="M623" s="5" t="inlineStr">
        <is>
          <t>Yes</t>
        </is>
      </c>
      <c r="N623" s="5" t="inlineStr"/>
      <c r="O623" s="8" t="inlineStr">
        <is>
          <t>180500</t>
        </is>
      </c>
      <c r="P623" s="5" t="inlineStr">
        <is>
          <t>10</t>
        </is>
      </c>
      <c r="Q623" s="5" t="inlineStr">
        <is>
          <t>4</t>
        </is>
      </c>
      <c r="R623" s="5" t="inlineStr">
        <is>
          <t>7</t>
        </is>
      </c>
      <c r="S623" s="5" t="inlineStr">
        <is>
          <t>25</t>
        </is>
      </c>
      <c r="T623" s="5" t="inlineStr">
        <is>
          <t>0</t>
        </is>
      </c>
      <c r="U623" s="5" t="inlineStr">
        <is>
          <t>OK</t>
        </is>
      </c>
    </row>
    <row r="624">
      <c r="A624" s="5" t="inlineStr">
        <is>
          <t>E02926</t>
        </is>
      </c>
      <c r="B624" s="5" t="inlineStr">
        <is>
          <t>Female</t>
        </is>
      </c>
      <c r="C624" s="6" t="inlineStr">
        <is>
          <t>44</t>
        </is>
      </c>
      <c r="D624" s="5" t="inlineStr">
        <is>
          <t>Married</t>
        </is>
      </c>
      <c r="E624" s="5" t="inlineStr">
        <is>
          <t>Master</t>
        </is>
      </c>
      <c r="F624" s="5" t="inlineStr"/>
      <c r="G624" s="5" t="inlineStr">
        <is>
          <t>Software Engineer</t>
        </is>
      </c>
      <c r="H624" s="5" t="inlineStr">
        <is>
          <t>6</t>
        </is>
      </c>
      <c r="I624" s="5" t="inlineStr">
        <is>
          <t>Remote</t>
        </is>
      </c>
      <c r="J624" s="5" t="inlineStr">
        <is>
          <t>Full-Time</t>
        </is>
      </c>
      <c r="K624" s="7" t="n">
        <v>44192</v>
      </c>
      <c r="L624" s="7" t="inlineStr"/>
      <c r="M624" s="5" t="inlineStr">
        <is>
          <t>Yes</t>
        </is>
      </c>
      <c r="N624" s="5" t="inlineStr"/>
      <c r="O624" s="8" t="inlineStr">
        <is>
          <t>167500</t>
        </is>
      </c>
      <c r="P624" s="5" t="inlineStr">
        <is>
          <t>0</t>
        </is>
      </c>
      <c r="Q624" s="5" t="inlineStr">
        <is>
          <t>3</t>
        </is>
      </c>
      <c r="R624" s="5" t="inlineStr">
        <is>
          <t>6</t>
        </is>
      </c>
      <c r="S624" s="5" t="inlineStr">
        <is>
          <t>61</t>
        </is>
      </c>
      <c r="T624" s="5" t="inlineStr">
        <is>
          <t>4</t>
        </is>
      </c>
      <c r="U624" s="5" t="inlineStr">
        <is>
          <t>Blank department</t>
        </is>
      </c>
    </row>
    <row r="625">
      <c r="A625" s="5" t="inlineStr">
        <is>
          <t>E02442</t>
        </is>
      </c>
      <c r="B625" s="5" t="inlineStr">
        <is>
          <t>Male</t>
        </is>
      </c>
      <c r="C625" s="6" t="inlineStr">
        <is>
          <t>31</t>
        </is>
      </c>
      <c r="D625" s="5" t="inlineStr">
        <is>
          <t>Married</t>
        </is>
      </c>
      <c r="E625" s="5" t="inlineStr">
        <is>
          <t>PhD</t>
        </is>
      </c>
      <c r="F625" s="5" t="inlineStr">
        <is>
          <t>Customer Support</t>
        </is>
      </c>
      <c r="G625" s="5" t="inlineStr">
        <is>
          <t>Escalation Specialist</t>
        </is>
      </c>
      <c r="H625" s="5" t="inlineStr">
        <is>
          <t>5</t>
        </is>
      </c>
      <c r="I625" s="5" t="inlineStr">
        <is>
          <t>Bengaluru</t>
        </is>
      </c>
      <c r="J625" s="5" t="inlineStr">
        <is>
          <t>Full-Time</t>
        </is>
      </c>
      <c r="K625" s="7" t="n">
        <v>44528</v>
      </c>
      <c r="L625" s="7" t="inlineStr"/>
      <c r="M625" s="5" t="inlineStr">
        <is>
          <t>Yes</t>
        </is>
      </c>
      <c r="N625" s="5" t="inlineStr"/>
      <c r="O625" s="8" t="inlineStr">
        <is>
          <t>110000</t>
        </is>
      </c>
      <c r="P625" s="5" t="inlineStr">
        <is>
          <t>0</t>
        </is>
      </c>
      <c r="Q625" s="5" t="inlineStr">
        <is>
          <t>4</t>
        </is>
      </c>
      <c r="R625" s="5" t="inlineStr">
        <is>
          <t>8</t>
        </is>
      </c>
      <c r="S625" s="5" t="inlineStr">
        <is>
          <t>49</t>
        </is>
      </c>
      <c r="T625" s="5" t="inlineStr">
        <is>
          <t>8</t>
        </is>
      </c>
      <c r="U625" s="5" t="inlineStr">
        <is>
          <t>OK</t>
        </is>
      </c>
    </row>
    <row r="626">
      <c r="A626" s="5" t="inlineStr">
        <is>
          <t>E00027</t>
        </is>
      </c>
      <c r="B626" s="5" t="inlineStr">
        <is>
          <t>Male</t>
        </is>
      </c>
      <c r="C626" s="6" t="inlineStr">
        <is>
          <t>28</t>
        </is>
      </c>
      <c r="D626" s="5" t="inlineStr">
        <is>
          <t>Married</t>
        </is>
      </c>
      <c r="E626" s="5" t="inlineStr">
        <is>
          <t>PhD</t>
        </is>
      </c>
      <c r="F626" s="5" t="inlineStr">
        <is>
          <t>Sales</t>
        </is>
      </c>
      <c r="G626" s="5" t="inlineStr">
        <is>
          <t>Sales Executive</t>
        </is>
      </c>
      <c r="H626" s="5" t="inlineStr">
        <is>
          <t>3</t>
        </is>
      </c>
      <c r="I626" s="5" t="inlineStr">
        <is>
          <t>Bengaluru</t>
        </is>
      </c>
      <c r="J626" s="5" t="inlineStr">
        <is>
          <t>Full-Time</t>
        </is>
      </c>
      <c r="K626" s="7" t="n">
        <v>45974</v>
      </c>
      <c r="L626" s="7" t="inlineStr"/>
      <c r="M626" s="5" t="inlineStr">
        <is>
          <t>Yes</t>
        </is>
      </c>
      <c r="N626" s="5" t="inlineStr"/>
      <c r="O626" s="8" t="inlineStr">
        <is>
          <t>83000</t>
        </is>
      </c>
      <c r="P626" s="5" t="inlineStr">
        <is>
          <t>15</t>
        </is>
      </c>
      <c r="Q626" s="5" t="inlineStr">
        <is>
          <t>3</t>
        </is>
      </c>
      <c r="R626" s="5" t="inlineStr">
        <is>
          <t>5</t>
        </is>
      </c>
      <c r="S626" s="5" t="inlineStr">
        <is>
          <t>1</t>
        </is>
      </c>
      <c r="T626" s="5" t="inlineStr">
        <is>
          <t>4</t>
        </is>
      </c>
      <c r="U626" s="5" t="inlineStr">
        <is>
          <t>OK</t>
        </is>
      </c>
    </row>
    <row r="627">
      <c r="A627" s="5" t="inlineStr">
        <is>
          <t>E01870</t>
        </is>
      </c>
      <c r="B627" s="5" t="inlineStr">
        <is>
          <t>Female</t>
        </is>
      </c>
      <c r="C627" s="6" t="inlineStr">
        <is>
          <t>28</t>
        </is>
      </c>
      <c r="D627" s="5" t="inlineStr">
        <is>
          <t>Single</t>
        </is>
      </c>
      <c r="E627" s="5" t="inlineStr">
        <is>
          <t>PhD</t>
        </is>
      </c>
      <c r="F627" s="5" t="inlineStr">
        <is>
          <t>Customer Support</t>
        </is>
      </c>
      <c r="G627" s="5" t="inlineStr">
        <is>
          <t>Support Agent</t>
        </is>
      </c>
      <c r="H627" s="5" t="inlineStr">
        <is>
          <t>2</t>
        </is>
      </c>
      <c r="I627" s="5" t="inlineStr">
        <is>
          <t>Hyderabad</t>
        </is>
      </c>
      <c r="J627" s="5" t="inlineStr">
        <is>
          <t>Full-Time</t>
        </is>
      </c>
      <c r="K627" s="7" t="n">
        <v>45482</v>
      </c>
      <c r="L627" s="7" t="n">
        <v>45543</v>
      </c>
      <c r="M627" s="5" t="inlineStr">
        <is>
          <t>No</t>
        </is>
      </c>
      <c r="N627" s="5" t="inlineStr">
        <is>
          <t>Resigned</t>
        </is>
      </c>
      <c r="O627" s="8" t="inlineStr">
        <is>
          <t>55000</t>
        </is>
      </c>
      <c r="P627" s="5" t="inlineStr">
        <is>
          <t>5</t>
        </is>
      </c>
      <c r="Q627" s="5" t="inlineStr">
        <is>
          <t>5</t>
        </is>
      </c>
      <c r="R627" s="5" t="inlineStr">
        <is>
          <t>6</t>
        </is>
      </c>
      <c r="S627" s="5" t="inlineStr">
        <is>
          <t>2</t>
        </is>
      </c>
      <c r="T627" s="5" t="inlineStr">
        <is>
          <t>2</t>
        </is>
      </c>
      <c r="U627" s="5" t="inlineStr">
        <is>
          <t>OK</t>
        </is>
      </c>
    </row>
    <row r="628">
      <c r="A628" s="5" t="inlineStr">
        <is>
          <t>E02445</t>
        </is>
      </c>
      <c r="B628" s="5" t="inlineStr">
        <is>
          <t>female</t>
        </is>
      </c>
      <c r="C628" s="6" t="inlineStr">
        <is>
          <t>25</t>
        </is>
      </c>
      <c r="D628" s="5" t="inlineStr">
        <is>
          <t>Married</t>
        </is>
      </c>
      <c r="E628" s="5" t="inlineStr">
        <is>
          <t>Diploma</t>
        </is>
      </c>
      <c r="F628" s="5" t="inlineStr">
        <is>
          <t>Sales</t>
        </is>
      </c>
      <c r="G628" s="5" t="inlineStr">
        <is>
          <t>Sales Executive</t>
        </is>
      </c>
      <c r="H628" s="5" t="inlineStr">
        <is>
          <t>2</t>
        </is>
      </c>
      <c r="I628" s="5" t="inlineStr">
        <is>
          <t>Bengaluru</t>
        </is>
      </c>
      <c r="J628" s="5" t="inlineStr">
        <is>
          <t>Full-Time</t>
        </is>
      </c>
      <c r="K628" s="7" t="n">
        <v>45834</v>
      </c>
      <c r="L628" s="7" t="inlineStr"/>
      <c r="M628" s="5" t="inlineStr">
        <is>
          <t>Yes</t>
        </is>
      </c>
      <c r="N628" s="5" t="inlineStr"/>
      <c r="O628" s="8" t="inlineStr">
        <is>
          <t>115000</t>
        </is>
      </c>
      <c r="P628" s="5" t="inlineStr">
        <is>
          <t>0</t>
        </is>
      </c>
      <c r="Q628" s="5" t="inlineStr">
        <is>
          <t>4</t>
        </is>
      </c>
      <c r="R628" s="5" t="inlineStr">
        <is>
          <t>8</t>
        </is>
      </c>
      <c r="S628" s="5" t="inlineStr">
        <is>
          <t>6</t>
        </is>
      </c>
      <c r="T628" s="5" t="inlineStr">
        <is>
          <t>10</t>
        </is>
      </c>
      <c r="U628" s="5" t="inlineStr">
        <is>
          <t>OK</t>
        </is>
      </c>
    </row>
    <row r="629">
      <c r="A629" s="5" t="inlineStr">
        <is>
          <t>E02213</t>
        </is>
      </c>
      <c r="B629" s="5" t="inlineStr">
        <is>
          <t>male</t>
        </is>
      </c>
      <c r="C629" s="6" t="inlineStr">
        <is>
          <t>34</t>
        </is>
      </c>
      <c r="D629" s="5" t="inlineStr">
        <is>
          <t>Single</t>
        </is>
      </c>
      <c r="E629" s="5" t="inlineStr">
        <is>
          <t>Master</t>
        </is>
      </c>
      <c r="F629" s="5" t="inlineStr">
        <is>
          <t>Customer Support</t>
        </is>
      </c>
      <c r="G629" s="5" t="inlineStr">
        <is>
          <t>Support Lead</t>
        </is>
      </c>
      <c r="H629" s="5" t="inlineStr">
        <is>
          <t>1</t>
        </is>
      </c>
      <c r="I629" s="5" t="inlineStr">
        <is>
          <t>Bengaluru</t>
        </is>
      </c>
      <c r="J629" s="5" t="inlineStr">
        <is>
          <t>Full-Time</t>
        </is>
      </c>
      <c r="K629" s="7" t="n">
        <v>45814</v>
      </c>
      <c r="L629" s="7" t="n">
        <v>45932</v>
      </c>
      <c r="M629" s="5" t="inlineStr">
        <is>
          <t>No</t>
        </is>
      </c>
      <c r="N629" s="5" t="inlineStr">
        <is>
          <t>Resigned</t>
        </is>
      </c>
      <c r="O629" s="8" t="inlineStr">
        <is>
          <t>68000</t>
        </is>
      </c>
      <c r="P629" s="5" t="inlineStr">
        <is>
          <t>5</t>
        </is>
      </c>
      <c r="Q629" s="5" t="inlineStr">
        <is>
          <t>3</t>
        </is>
      </c>
      <c r="R629" s="5" t="inlineStr">
        <is>
          <t>5</t>
        </is>
      </c>
      <c r="S629" s="5" t="inlineStr">
        <is>
          <t>3</t>
        </is>
      </c>
      <c r="T629" s="5" t="inlineStr">
        <is>
          <t>0</t>
        </is>
      </c>
      <c r="U629" s="5" t="inlineStr">
        <is>
          <t>OK</t>
        </is>
      </c>
    </row>
    <row r="630">
      <c r="A630" s="5" t="inlineStr">
        <is>
          <t>E00350</t>
        </is>
      </c>
      <c r="B630" s="5" t="inlineStr">
        <is>
          <t>Male</t>
        </is>
      </c>
      <c r="C630" s="6" t="inlineStr">
        <is>
          <t>36</t>
        </is>
      </c>
      <c r="D630" s="5" t="inlineStr">
        <is>
          <t>Divorced</t>
        </is>
      </c>
      <c r="E630" s="5" t="inlineStr">
        <is>
          <t>Diploma</t>
        </is>
      </c>
      <c r="F630" s="5" t="inlineStr">
        <is>
          <t>IT</t>
        </is>
      </c>
      <c r="G630" s="5" t="inlineStr">
        <is>
          <t>IT Support</t>
        </is>
      </c>
      <c r="H630" s="5" t="inlineStr">
        <is>
          <t>2</t>
        </is>
      </c>
      <c r="I630" s="5" t="inlineStr">
        <is>
          <t>Hyderabad</t>
        </is>
      </c>
      <c r="J630" s="5" t="inlineStr">
        <is>
          <t>Full-Time</t>
        </is>
      </c>
      <c r="K630" s="7" t="n">
        <v>44938</v>
      </c>
      <c r="L630" s="7" t="inlineStr"/>
      <c r="M630" s="5" t="inlineStr">
        <is>
          <t>Yes</t>
        </is>
      </c>
      <c r="N630" s="5" t="inlineStr"/>
      <c r="O630" s="8" t="inlineStr">
        <is>
          <t>117000</t>
        </is>
      </c>
      <c r="P630" s="5" t="inlineStr">
        <is>
          <t>10</t>
        </is>
      </c>
      <c r="Q630" s="5" t="inlineStr">
        <is>
          <t>3</t>
        </is>
      </c>
      <c r="R630" s="5" t="inlineStr">
        <is>
          <t>3</t>
        </is>
      </c>
      <c r="S630" s="5" t="inlineStr">
        <is>
          <t>36</t>
        </is>
      </c>
      <c r="T630" s="5" t="inlineStr">
        <is>
          <t>0</t>
        </is>
      </c>
      <c r="U630" s="5" t="inlineStr">
        <is>
          <t>OK</t>
        </is>
      </c>
    </row>
    <row r="631">
      <c r="A631" s="5" t="inlineStr">
        <is>
          <t>E01040</t>
        </is>
      </c>
      <c r="B631" s="5" t="inlineStr">
        <is>
          <t>Female</t>
        </is>
      </c>
      <c r="C631" s="6" t="inlineStr">
        <is>
          <t>28</t>
        </is>
      </c>
      <c r="D631" s="5" t="inlineStr">
        <is>
          <t>Married</t>
        </is>
      </c>
      <c r="E631" s="5" t="inlineStr">
        <is>
          <t>Bachelor</t>
        </is>
      </c>
      <c r="F631" s="5" t="inlineStr">
        <is>
          <t>Operations</t>
        </is>
      </c>
      <c r="G631" s="5" t="inlineStr">
        <is>
          <t>Operations Analyst</t>
        </is>
      </c>
      <c r="H631" s="5" t="inlineStr">
        <is>
          <t>2</t>
        </is>
      </c>
      <c r="I631" s="5" t="inlineStr">
        <is>
          <t>Delhi</t>
        </is>
      </c>
      <c r="J631" s="5" t="inlineStr">
        <is>
          <t>Full-Time</t>
        </is>
      </c>
      <c r="K631" s="7" t="n">
        <v>44513</v>
      </c>
      <c r="L631" s="7" t="inlineStr"/>
      <c r="M631" s="5" t="inlineStr">
        <is>
          <t>Yes</t>
        </is>
      </c>
      <c r="N631" s="5" t="inlineStr"/>
      <c r="O631" s="8" t="inlineStr">
        <is>
          <t>87500</t>
        </is>
      </c>
      <c r="P631" s="5" t="inlineStr">
        <is>
          <t>15</t>
        </is>
      </c>
      <c r="Q631" s="5" t="inlineStr">
        <is>
          <t>3</t>
        </is>
      </c>
      <c r="R631" s="5" t="inlineStr">
        <is>
          <t>6</t>
        </is>
      </c>
      <c r="S631" s="5" t="inlineStr">
        <is>
          <t>50</t>
        </is>
      </c>
      <c r="T631" s="5" t="inlineStr">
        <is>
          <t>3</t>
        </is>
      </c>
      <c r="U631" s="5" t="inlineStr">
        <is>
          <t>OK</t>
        </is>
      </c>
    </row>
    <row r="632">
      <c r="A632" s="5" t="inlineStr">
        <is>
          <t>E00401</t>
        </is>
      </c>
      <c r="B632" s="5" t="inlineStr">
        <is>
          <t>Male</t>
        </is>
      </c>
      <c r="C632" s="6" t="inlineStr">
        <is>
          <t>31</t>
        </is>
      </c>
      <c r="D632" s="5" t="inlineStr">
        <is>
          <t>Divorced</t>
        </is>
      </c>
      <c r="E632" s="5" t="inlineStr">
        <is>
          <t>PhD</t>
        </is>
      </c>
      <c r="F632" s="5" t="inlineStr">
        <is>
          <t>IT</t>
        </is>
      </c>
      <c r="G632" s="5" t="inlineStr">
        <is>
          <t>IT Support</t>
        </is>
      </c>
      <c r="H632" s="5" t="inlineStr">
        <is>
          <t>3</t>
        </is>
      </c>
      <c r="I632" s="5" t="inlineStr">
        <is>
          <t>Delhi</t>
        </is>
      </c>
      <c r="J632" s="5" t="inlineStr">
        <is>
          <t>Full-Time</t>
        </is>
      </c>
      <c r="K632" s="7" t="n">
        <v>43867</v>
      </c>
      <c r="L632" s="7" t="inlineStr"/>
      <c r="M632" s="5" t="inlineStr">
        <is>
          <t>Yes</t>
        </is>
      </c>
      <c r="N632" s="5" t="inlineStr"/>
      <c r="O632" s="8" t="inlineStr">
        <is>
          <t>189000</t>
        </is>
      </c>
      <c r="P632" s="5" t="inlineStr">
        <is>
          <t>0</t>
        </is>
      </c>
      <c r="Q632" s="5" t="inlineStr">
        <is>
          <t>5</t>
        </is>
      </c>
      <c r="R632" s="5" t="inlineStr">
        <is>
          <t>6</t>
        </is>
      </c>
      <c r="S632" s="5" t="inlineStr">
        <is>
          <t>71</t>
        </is>
      </c>
      <c r="T632" s="5" t="inlineStr">
        <is>
          <t>0</t>
        </is>
      </c>
      <c r="U632" s="5" t="inlineStr">
        <is>
          <t>OK</t>
        </is>
      </c>
    </row>
    <row r="633">
      <c r="A633" s="5" t="inlineStr">
        <is>
          <t>E00832</t>
        </is>
      </c>
      <c r="B633" s="5" t="inlineStr">
        <is>
          <t>Male</t>
        </is>
      </c>
      <c r="C633" s="6" t="inlineStr">
        <is>
          <t>35</t>
        </is>
      </c>
      <c r="D633" s="5" t="inlineStr">
        <is>
          <t>Single</t>
        </is>
      </c>
      <c r="E633" s="5" t="inlineStr">
        <is>
          <t>Master</t>
        </is>
      </c>
      <c r="F633" s="5" t="inlineStr">
        <is>
          <t>Sales</t>
        </is>
      </c>
      <c r="G633" s="5" t="inlineStr">
        <is>
          <t>Account Executive</t>
        </is>
      </c>
      <c r="H633" s="5" t="inlineStr">
        <is>
          <t>4</t>
        </is>
      </c>
      <c r="I633" s="5" t="inlineStr">
        <is>
          <t>Mumbai</t>
        </is>
      </c>
      <c r="J633" s="5" t="inlineStr">
        <is>
          <t>Full-Time</t>
        </is>
      </c>
      <c r="K633" s="7" t="n">
        <v>45860</v>
      </c>
      <c r="L633" s="7" t="inlineStr"/>
      <c r="M633" s="5" t="inlineStr">
        <is>
          <t>Yes</t>
        </is>
      </c>
      <c r="N633" s="5" t="inlineStr"/>
      <c r="O633" s="8" t="inlineStr">
        <is>
          <t>145000</t>
        </is>
      </c>
      <c r="P633" s="5" t="inlineStr">
        <is>
          <t>10</t>
        </is>
      </c>
      <c r="Q633" s="5" t="inlineStr">
        <is>
          <t>3</t>
        </is>
      </c>
      <c r="R633" s="5" t="inlineStr">
        <is>
          <t>4</t>
        </is>
      </c>
      <c r="S633" s="5" t="inlineStr">
        <is>
          <t>5</t>
        </is>
      </c>
      <c r="T633" s="5" t="inlineStr">
        <is>
          <t>3</t>
        </is>
      </c>
      <c r="U633" s="5" t="inlineStr">
        <is>
          <t>OK</t>
        </is>
      </c>
    </row>
    <row r="634">
      <c r="A634" s="5" t="inlineStr">
        <is>
          <t>E02136</t>
        </is>
      </c>
      <c r="B634" s="5" t="inlineStr">
        <is>
          <t>Male</t>
        </is>
      </c>
      <c r="C634" s="6" t="inlineStr">
        <is>
          <t>25</t>
        </is>
      </c>
      <c r="D634" s="5" t="inlineStr">
        <is>
          <t>Married</t>
        </is>
      </c>
      <c r="E634" s="5" t="inlineStr">
        <is>
          <t>Bachelor</t>
        </is>
      </c>
      <c r="F634" s="5" t="inlineStr">
        <is>
          <t>Marketing</t>
        </is>
      </c>
      <c r="G634" s="5" t="inlineStr">
        <is>
          <t>Content Writer</t>
        </is>
      </c>
      <c r="H634" s="5" t="inlineStr">
        <is>
          <t>2</t>
        </is>
      </c>
      <c r="I634" s="5" t="inlineStr">
        <is>
          <t>Hyderabad</t>
        </is>
      </c>
      <c r="J634" s="5" t="inlineStr">
        <is>
          <t>Full-Time</t>
        </is>
      </c>
      <c r="K634" s="7" t="n">
        <v>45695</v>
      </c>
      <c r="L634" s="7" t="inlineStr"/>
      <c r="M634" s="5" t="inlineStr">
        <is>
          <t>Yes</t>
        </is>
      </c>
      <c r="N634" s="5" t="inlineStr"/>
      <c r="O634" s="8" t="inlineStr">
        <is>
          <t>95500</t>
        </is>
      </c>
      <c r="P634" s="5" t="inlineStr">
        <is>
          <t>20</t>
        </is>
      </c>
      <c r="Q634" s="5" t="inlineStr">
        <is>
          <t>4</t>
        </is>
      </c>
      <c r="R634" s="5" t="inlineStr">
        <is>
          <t>6</t>
        </is>
      </c>
      <c r="S634" s="5" t="inlineStr">
        <is>
          <t>10</t>
        </is>
      </c>
      <c r="T634" s="5" t="inlineStr">
        <is>
          <t>6</t>
        </is>
      </c>
      <c r="U634" s="5" t="inlineStr">
        <is>
          <t>OK</t>
        </is>
      </c>
    </row>
    <row r="635">
      <c r="A635" s="5" t="inlineStr">
        <is>
          <t>E00974</t>
        </is>
      </c>
      <c r="B635" s="5" t="inlineStr">
        <is>
          <t>Male</t>
        </is>
      </c>
      <c r="C635" s="6" t="inlineStr">
        <is>
          <t>36</t>
        </is>
      </c>
      <c r="D635" s="5" t="inlineStr">
        <is>
          <t>Married</t>
        </is>
      </c>
      <c r="E635" s="5" t="inlineStr">
        <is>
          <t>Diploma</t>
        </is>
      </c>
      <c r="F635" s="5" t="inlineStr">
        <is>
          <t>IT</t>
        </is>
      </c>
      <c r="G635" s="5" t="inlineStr">
        <is>
          <t>DevOps Engineer</t>
        </is>
      </c>
      <c r="H635" s="5" t="inlineStr">
        <is>
          <t>7</t>
        </is>
      </c>
      <c r="I635" s="5" t="inlineStr">
        <is>
          <t>Chennai</t>
        </is>
      </c>
      <c r="J635" s="5" t="inlineStr">
        <is>
          <t>Full-Time</t>
        </is>
      </c>
      <c r="K635" s="7" t="n">
        <v>44687</v>
      </c>
      <c r="L635" s="7" t="inlineStr"/>
      <c r="M635" s="5" t="inlineStr">
        <is>
          <t>Yes</t>
        </is>
      </c>
      <c r="N635" s="5" t="inlineStr"/>
      <c r="O635" s="8" t="inlineStr">
        <is>
          <t>257000</t>
        </is>
      </c>
      <c r="P635" s="5" t="inlineStr">
        <is>
          <t>0</t>
        </is>
      </c>
      <c r="Q635" s="5" t="inlineStr">
        <is>
          <t>4</t>
        </is>
      </c>
      <c r="R635" s="5" t="inlineStr">
        <is>
          <t>8</t>
        </is>
      </c>
      <c r="S635" s="5" t="inlineStr">
        <is>
          <t>44</t>
        </is>
      </c>
      <c r="T635" s="5" t="inlineStr">
        <is>
          <t>10</t>
        </is>
      </c>
      <c r="U635" s="5" t="inlineStr">
        <is>
          <t>OK</t>
        </is>
      </c>
    </row>
    <row r="636">
      <c r="A636" s="5" t="inlineStr">
        <is>
          <t>E01248</t>
        </is>
      </c>
      <c r="B636" s="5" t="inlineStr">
        <is>
          <t>Female</t>
        </is>
      </c>
      <c r="C636" s="6" t="inlineStr">
        <is>
          <t>26</t>
        </is>
      </c>
      <c r="D636" s="5" t="inlineStr">
        <is>
          <t>Married</t>
        </is>
      </c>
      <c r="E636" s="5" t="inlineStr">
        <is>
          <t>Master</t>
        </is>
      </c>
      <c r="F636" s="5" t="inlineStr">
        <is>
          <t>Operations</t>
        </is>
      </c>
      <c r="G636" s="5" t="inlineStr">
        <is>
          <t>Logistics Coordinator</t>
        </is>
      </c>
      <c r="H636" s="5" t="inlineStr">
        <is>
          <t>1</t>
        </is>
      </c>
      <c r="I636" s="5" t="inlineStr">
        <is>
          <t>Delhi</t>
        </is>
      </c>
      <c r="J636" s="5" t="inlineStr">
        <is>
          <t>Full-Time</t>
        </is>
      </c>
      <c r="K636" s="7" t="n">
        <v>45824</v>
      </c>
      <c r="L636" s="7" t="n">
        <v>45972</v>
      </c>
      <c r="M636" s="5" t="inlineStr">
        <is>
          <t>No</t>
        </is>
      </c>
      <c r="N636" s="5" t="inlineStr">
        <is>
          <t>Resigned</t>
        </is>
      </c>
      <c r="O636" s="8" t="inlineStr">
        <is>
          <t>57000</t>
        </is>
      </c>
      <c r="P636" s="5" t="inlineStr">
        <is>
          <t>0</t>
        </is>
      </c>
      <c r="Q636" s="5" t="inlineStr">
        <is>
          <t>4</t>
        </is>
      </c>
      <c r="R636" s="5" t="inlineStr">
        <is>
          <t>8</t>
        </is>
      </c>
      <c r="S636" s="5" t="inlineStr">
        <is>
          <t>4</t>
        </is>
      </c>
      <c r="T636" s="5" t="inlineStr">
        <is>
          <t>10</t>
        </is>
      </c>
      <c r="U636" s="5" t="inlineStr">
        <is>
          <t>OK</t>
        </is>
      </c>
    </row>
    <row r="637">
      <c r="A637" s="5" t="inlineStr">
        <is>
          <t>E00788</t>
        </is>
      </c>
      <c r="B637" s="5" t="inlineStr">
        <is>
          <t>Male</t>
        </is>
      </c>
      <c r="C637" s="6" t="inlineStr">
        <is>
          <t>26</t>
        </is>
      </c>
      <c r="D637" s="5" t="inlineStr">
        <is>
          <t>Married</t>
        </is>
      </c>
      <c r="E637" s="5" t="inlineStr">
        <is>
          <t>Master</t>
        </is>
      </c>
      <c r="F637" s="5" t="inlineStr">
        <is>
          <t>Customer Support</t>
        </is>
      </c>
      <c r="G637" s="5" t="inlineStr">
        <is>
          <t>Escalation Specialist</t>
        </is>
      </c>
      <c r="H637" s="5" t="inlineStr">
        <is>
          <t>1</t>
        </is>
      </c>
      <c r="I637" s="5" t="inlineStr">
        <is>
          <t>Chennai</t>
        </is>
      </c>
      <c r="J637" s="5" t="inlineStr">
        <is>
          <t>Part-Time</t>
        </is>
      </c>
      <c r="K637" s="7" t="n">
        <v>44804</v>
      </c>
      <c r="L637" s="7" t="n">
        <v>44912</v>
      </c>
      <c r="M637" s="5" t="inlineStr">
        <is>
          <t>No</t>
        </is>
      </c>
      <c r="N637" s="5" t="inlineStr">
        <is>
          <t>Retirement</t>
        </is>
      </c>
      <c r="O637" s="8" t="inlineStr">
        <is>
          <t>44000</t>
        </is>
      </c>
      <c r="P637" s="5" t="inlineStr">
        <is>
          <t>5</t>
        </is>
      </c>
      <c r="Q637" s="5" t="inlineStr">
        <is>
          <t>4</t>
        </is>
      </c>
      <c r="R637" s="5" t="inlineStr">
        <is>
          <t>5</t>
        </is>
      </c>
      <c r="S637" s="5" t="inlineStr">
        <is>
          <t>3</t>
        </is>
      </c>
      <c r="T637" s="5" t="inlineStr">
        <is>
          <t>8</t>
        </is>
      </c>
      <c r="U637" s="5" t="inlineStr">
        <is>
          <t>OK</t>
        </is>
      </c>
    </row>
    <row r="638">
      <c r="A638" s="5" t="inlineStr">
        <is>
          <t>E00273</t>
        </is>
      </c>
      <c r="B638" s="5" t="inlineStr">
        <is>
          <t>Female</t>
        </is>
      </c>
      <c r="C638" s="6" t="inlineStr">
        <is>
          <t>40</t>
        </is>
      </c>
      <c r="D638" s="5" t="inlineStr">
        <is>
          <t>Divorced</t>
        </is>
      </c>
      <c r="E638" s="5" t="inlineStr">
        <is>
          <t>Master</t>
        </is>
      </c>
      <c r="F638" s="5" t="inlineStr">
        <is>
          <t>Human Resources</t>
        </is>
      </c>
      <c r="G638" s="5" t="inlineStr">
        <is>
          <t>HR Analyst</t>
        </is>
      </c>
      <c r="H638" s="5" t="inlineStr">
        <is>
          <t>4</t>
        </is>
      </c>
      <c r="I638" s="5" t="inlineStr">
        <is>
          <t>Chennai</t>
        </is>
      </c>
      <c r="J638" s="5" t="inlineStr">
        <is>
          <t>Full-Time</t>
        </is>
      </c>
      <c r="K638" s="7" t="n">
        <v>43942</v>
      </c>
      <c r="L638" s="7" t="inlineStr"/>
      <c r="M638" s="5" t="inlineStr">
        <is>
          <t>Yes</t>
        </is>
      </c>
      <c r="N638" s="5" t="inlineStr"/>
      <c r="O638" s="8" t="inlineStr">
        <is>
          <t>93000</t>
        </is>
      </c>
      <c r="P638" s="5" t="inlineStr">
        <is>
          <t>15</t>
        </is>
      </c>
      <c r="Q638" s="5" t="inlineStr">
        <is>
          <t>5</t>
        </is>
      </c>
      <c r="R638" s="5" t="inlineStr">
        <is>
          <t>3</t>
        </is>
      </c>
      <c r="S638" s="5" t="inlineStr">
        <is>
          <t>69</t>
        </is>
      </c>
      <c r="T638" s="5" t="inlineStr">
        <is>
          <t>9</t>
        </is>
      </c>
      <c r="U638" s="5" t="inlineStr">
        <is>
          <t>OK</t>
        </is>
      </c>
    </row>
    <row r="639">
      <c r="A639" s="5" t="inlineStr">
        <is>
          <t>E00301</t>
        </is>
      </c>
      <c r="B639" s="5" t="inlineStr">
        <is>
          <t>Female</t>
        </is>
      </c>
      <c r="C639" s="6" t="inlineStr">
        <is>
          <t>25</t>
        </is>
      </c>
      <c r="D639" s="5" t="inlineStr">
        <is>
          <t>Married</t>
        </is>
      </c>
      <c r="E639" s="5" t="inlineStr">
        <is>
          <t>Master</t>
        </is>
      </c>
      <c r="F639" s="5" t="inlineStr">
        <is>
          <t>Operations</t>
        </is>
      </c>
      <c r="G639" s="5" t="inlineStr">
        <is>
          <t>Logistics Coordinator</t>
        </is>
      </c>
      <c r="H639" s="5" t="inlineStr">
        <is>
          <t>2</t>
        </is>
      </c>
      <c r="I639" s="5" t="inlineStr">
        <is>
          <t>Delhi</t>
        </is>
      </c>
      <c r="J639" s="5" t="inlineStr">
        <is>
          <t>Contract</t>
        </is>
      </c>
      <c r="K639" s="7" t="n">
        <v>44069</v>
      </c>
      <c r="L639" s="7" t="inlineStr"/>
      <c r="M639" s="5" t="inlineStr">
        <is>
          <t>Yes</t>
        </is>
      </c>
      <c r="N639" s="5" t="inlineStr"/>
      <c r="O639" s="8" t="inlineStr">
        <is>
          <t>72000</t>
        </is>
      </c>
      <c r="P639" s="5" t="inlineStr">
        <is>
          <t>10</t>
        </is>
      </c>
      <c r="Q639" s="5" t="inlineStr">
        <is>
          <t>3</t>
        </is>
      </c>
      <c r="R639" s="5" t="inlineStr">
        <is>
          <t>4</t>
        </is>
      </c>
      <c r="S639" s="5" t="inlineStr">
        <is>
          <t>65</t>
        </is>
      </c>
      <c r="T639" s="5" t="inlineStr">
        <is>
          <t>8</t>
        </is>
      </c>
      <c r="U639" s="5" t="inlineStr">
        <is>
          <t>OK</t>
        </is>
      </c>
    </row>
    <row r="640">
      <c r="A640" s="5" t="inlineStr">
        <is>
          <t>E02856</t>
        </is>
      </c>
      <c r="B640" s="5" t="inlineStr">
        <is>
          <t>Male</t>
        </is>
      </c>
      <c r="C640" s="6" t="inlineStr">
        <is>
          <t>27</t>
        </is>
      </c>
      <c r="D640" s="5" t="inlineStr">
        <is>
          <t>Married</t>
        </is>
      </c>
      <c r="E640" s="5" t="inlineStr">
        <is>
          <t>PhD</t>
        </is>
      </c>
      <c r="F640" s="5" t="inlineStr">
        <is>
          <t>Human Resources</t>
        </is>
      </c>
      <c r="G640" s="5" t="inlineStr">
        <is>
          <t>HR Analyst</t>
        </is>
      </c>
      <c r="H640" s="5" t="inlineStr">
        <is>
          <t>1</t>
        </is>
      </c>
      <c r="I640" s="5" t="inlineStr">
        <is>
          <t>Mumbai</t>
        </is>
      </c>
      <c r="J640" s="5" t="inlineStr">
        <is>
          <t>Part-Time</t>
        </is>
      </c>
      <c r="K640" s="7" t="n">
        <v>44972</v>
      </c>
      <c r="L640" s="7" t="inlineStr"/>
      <c r="M640" s="5" t="inlineStr">
        <is>
          <t>Yes</t>
        </is>
      </c>
      <c r="N640" s="5" t="inlineStr"/>
      <c r="O640" s="8" t="inlineStr">
        <is>
          <t>72000</t>
        </is>
      </c>
      <c r="P640" s="5" t="inlineStr">
        <is>
          <t>5</t>
        </is>
      </c>
      <c r="Q640" s="5" t="inlineStr">
        <is>
          <t>3</t>
        </is>
      </c>
      <c r="R640" s="5" t="inlineStr">
        <is>
          <t>5</t>
        </is>
      </c>
      <c r="S640" s="5" t="inlineStr">
        <is>
          <t>35</t>
        </is>
      </c>
      <c r="T640" s="5" t="inlineStr">
        <is>
          <t>1</t>
        </is>
      </c>
      <c r="U640" s="5" t="inlineStr">
        <is>
          <t>OK</t>
        </is>
      </c>
    </row>
    <row r="641">
      <c r="A641" s="5" t="inlineStr">
        <is>
          <t>E01343</t>
        </is>
      </c>
      <c r="B641" s="5" t="inlineStr">
        <is>
          <t>Female</t>
        </is>
      </c>
      <c r="C641" s="6" t="inlineStr">
        <is>
          <t>36</t>
        </is>
      </c>
      <c r="D641" s="5" t="inlineStr">
        <is>
          <t>Married</t>
        </is>
      </c>
      <c r="E641" s="5" t="inlineStr">
        <is>
          <t>PhD</t>
        </is>
      </c>
      <c r="F641" s="5" t="inlineStr">
        <is>
          <t>Human Resources</t>
        </is>
      </c>
      <c r="G641" s="5" t="inlineStr">
        <is>
          <t>HR Analyst</t>
        </is>
      </c>
      <c r="H641" s="5" t="inlineStr">
        <is>
          <t>2</t>
        </is>
      </c>
      <c r="I641" s="5" t="inlineStr">
        <is>
          <t>Chennai</t>
        </is>
      </c>
      <c r="J641" s="5" t="inlineStr">
        <is>
          <t>Contract</t>
        </is>
      </c>
      <c r="K641" s="7" t="n">
        <v>44797</v>
      </c>
      <c r="L641" s="7" t="inlineStr"/>
      <c r="M641" s="5" t="inlineStr">
        <is>
          <t>Yes</t>
        </is>
      </c>
      <c r="N641" s="5" t="inlineStr"/>
      <c r="O641" s="8" t="inlineStr">
        <is>
          <t>92000</t>
        </is>
      </c>
      <c r="P641" s="5" t="inlineStr">
        <is>
          <t>5</t>
        </is>
      </c>
      <c r="Q641" s="5" t="inlineStr">
        <is>
          <t>4</t>
        </is>
      </c>
      <c r="R641" s="5" t="inlineStr">
        <is>
          <t>6</t>
        </is>
      </c>
      <c r="S641" s="5" t="inlineStr">
        <is>
          <t>40</t>
        </is>
      </c>
      <c r="T641" s="5" t="inlineStr">
        <is>
          <t>15</t>
        </is>
      </c>
      <c r="U641" s="5" t="inlineStr">
        <is>
          <t>OK</t>
        </is>
      </c>
    </row>
    <row r="642">
      <c r="A642" s="5" t="inlineStr">
        <is>
          <t>E01457</t>
        </is>
      </c>
      <c r="B642" s="5" t="inlineStr">
        <is>
          <t>Female</t>
        </is>
      </c>
      <c r="C642" s="6" t="inlineStr">
        <is>
          <t>36</t>
        </is>
      </c>
      <c r="D642" s="5" t="inlineStr">
        <is>
          <t>Married</t>
        </is>
      </c>
      <c r="E642" s="5" t="inlineStr">
        <is>
          <t>Bachelor</t>
        </is>
      </c>
      <c r="F642" s="5" t="inlineStr">
        <is>
          <t>Sales</t>
        </is>
      </c>
      <c r="G642" s="5" t="inlineStr">
        <is>
          <t>Business Development</t>
        </is>
      </c>
      <c r="H642" s="5" t="inlineStr">
        <is>
          <t>4</t>
        </is>
      </c>
      <c r="I642" s="5" t="inlineStr">
        <is>
          <t>Delhi</t>
        </is>
      </c>
      <c r="J642" s="5" t="inlineStr">
        <is>
          <t>Full-Time</t>
        </is>
      </c>
      <c r="K642" s="7" t="n">
        <v>44830</v>
      </c>
      <c r="L642" s="7" t="inlineStr"/>
      <c r="M642" s="5" t="inlineStr">
        <is>
          <t>Yes</t>
        </is>
      </c>
      <c r="N642" s="5" t="inlineStr"/>
      <c r="O642" s="8" t="inlineStr">
        <is>
          <t>121000</t>
        </is>
      </c>
      <c r="P642" s="5" t="inlineStr">
        <is>
          <t>10</t>
        </is>
      </c>
      <c r="Q642" s="5" t="inlineStr">
        <is>
          <t>5</t>
        </is>
      </c>
      <c r="R642" s="5" t="inlineStr">
        <is>
          <t>8</t>
        </is>
      </c>
      <c r="S642" s="5" t="inlineStr">
        <is>
          <t>39</t>
        </is>
      </c>
      <c r="T642" s="5" t="inlineStr">
        <is>
          <t>6</t>
        </is>
      </c>
      <c r="U642" s="5" t="inlineStr">
        <is>
          <t>OK</t>
        </is>
      </c>
    </row>
    <row r="643">
      <c r="A643" s="5" t="inlineStr">
        <is>
          <t>E00117</t>
        </is>
      </c>
      <c r="B643" s="5" t="inlineStr">
        <is>
          <t>Female</t>
        </is>
      </c>
      <c r="C643" s="6" t="inlineStr">
        <is>
          <t>26</t>
        </is>
      </c>
      <c r="D643" s="5" t="inlineStr">
        <is>
          <t>Married</t>
        </is>
      </c>
      <c r="E643" s="5" t="inlineStr">
        <is>
          <t>High School</t>
        </is>
      </c>
      <c r="F643" s="5" t="inlineStr">
        <is>
          <t>Research &amp; Development</t>
        </is>
      </c>
      <c r="G643" s="5" t="inlineStr">
        <is>
          <t>Research Scientist</t>
        </is>
      </c>
      <c r="H643" s="5" t="inlineStr">
        <is>
          <t>1</t>
        </is>
      </c>
      <c r="I643" s="5" t="inlineStr">
        <is>
          <t>Bengaluru</t>
        </is>
      </c>
      <c r="J643" s="5" t="inlineStr">
        <is>
          <t>Full-Time</t>
        </is>
      </c>
      <c r="K643" s="7" t="n">
        <v>44297</v>
      </c>
      <c r="L643" s="7" t="inlineStr"/>
      <c r="M643" s="5" t="inlineStr">
        <is>
          <t>Yes</t>
        </is>
      </c>
      <c r="N643" s="5" t="inlineStr"/>
      <c r="O643" s="8" t="inlineStr">
        <is>
          <t>106000</t>
        </is>
      </c>
      <c r="P643" s="5" t="inlineStr">
        <is>
          <t>10</t>
        </is>
      </c>
      <c r="Q643" s="5" t="inlineStr">
        <is>
          <t>4</t>
        </is>
      </c>
      <c r="R643" s="5" t="inlineStr">
        <is>
          <t>7</t>
        </is>
      </c>
      <c r="S643" s="5" t="inlineStr">
        <is>
          <t>57</t>
        </is>
      </c>
      <c r="T643" s="5" t="inlineStr">
        <is>
          <t>0</t>
        </is>
      </c>
      <c r="U643" s="5" t="inlineStr">
        <is>
          <t>OK</t>
        </is>
      </c>
    </row>
    <row r="644">
      <c r="A644" s="5" t="inlineStr">
        <is>
          <t>E00919</t>
        </is>
      </c>
      <c r="B644" s="5" t="inlineStr">
        <is>
          <t>Male</t>
        </is>
      </c>
      <c r="C644" s="6" t="inlineStr">
        <is>
          <t>29</t>
        </is>
      </c>
      <c r="D644" s="5" t="inlineStr">
        <is>
          <t>Single</t>
        </is>
      </c>
      <c r="E644" s="5" t="inlineStr">
        <is>
          <t>High School</t>
        </is>
      </c>
      <c r="F644" s="5" t="inlineStr">
        <is>
          <t>Research &amp; Development</t>
        </is>
      </c>
      <c r="G644" s="5" t="inlineStr">
        <is>
          <t>Research Scientist</t>
        </is>
      </c>
      <c r="H644" s="5" t="inlineStr">
        <is>
          <t>2</t>
        </is>
      </c>
      <c r="I644" s="5" t="inlineStr">
        <is>
          <t>Mumbai</t>
        </is>
      </c>
      <c r="J644" s="5" t="inlineStr">
        <is>
          <t>Contract</t>
        </is>
      </c>
      <c r="K644" s="7" t="n">
        <v>43836</v>
      </c>
      <c r="L644" s="7" t="inlineStr"/>
      <c r="M644" s="5" t="inlineStr">
        <is>
          <t>Yes</t>
        </is>
      </c>
      <c r="N644" s="5" t="inlineStr"/>
      <c r="O644" s="8" t="inlineStr">
        <is>
          <t>150000</t>
        </is>
      </c>
      <c r="P644" s="5" t="inlineStr">
        <is>
          <t>0</t>
        </is>
      </c>
      <c r="Q644" s="5" t="inlineStr">
        <is>
          <t>4</t>
        </is>
      </c>
      <c r="R644" s="5" t="inlineStr">
        <is>
          <t>3</t>
        </is>
      </c>
      <c r="S644" s="5" t="inlineStr">
        <is>
          <t>72</t>
        </is>
      </c>
      <c r="T644" s="5" t="inlineStr">
        <is>
          <t>14</t>
        </is>
      </c>
      <c r="U644" s="5" t="inlineStr">
        <is>
          <t>OK</t>
        </is>
      </c>
    </row>
    <row r="645">
      <c r="A645" s="5" t="inlineStr">
        <is>
          <t>E01689</t>
        </is>
      </c>
      <c r="B645" s="5" t="inlineStr">
        <is>
          <t>Female</t>
        </is>
      </c>
      <c r="C645" s="6" t="inlineStr">
        <is>
          <t>27</t>
        </is>
      </c>
      <c r="D645" s="5" t="inlineStr">
        <is>
          <t>Married</t>
        </is>
      </c>
      <c r="E645" s="5" t="inlineStr">
        <is>
          <t>PhD</t>
        </is>
      </c>
      <c r="F645" s="5" t="inlineStr">
        <is>
          <t>Finance</t>
        </is>
      </c>
      <c r="G645" s="5" t="inlineStr">
        <is>
          <t>Financial Analyst</t>
        </is>
      </c>
      <c r="H645" s="5" t="inlineStr">
        <is>
          <t>2</t>
        </is>
      </c>
      <c r="I645" s="5" t="inlineStr">
        <is>
          <t>Bengaluru</t>
        </is>
      </c>
      <c r="J645" s="5" t="inlineStr">
        <is>
          <t>Full-Time</t>
        </is>
      </c>
      <c r="K645" s="7" t="n">
        <v>45119</v>
      </c>
      <c r="L645" s="7" t="inlineStr"/>
      <c r="M645" s="5" t="inlineStr">
        <is>
          <t>Yes</t>
        </is>
      </c>
      <c r="N645" s="5" t="inlineStr"/>
      <c r="O645" s="8" t="inlineStr">
        <is>
          <t>120500</t>
        </is>
      </c>
      <c r="P645" s="5" t="inlineStr">
        <is>
          <t>0</t>
        </is>
      </c>
      <c r="Q645" s="5" t="inlineStr">
        <is>
          <t>3</t>
        </is>
      </c>
      <c r="R645" s="5" t="inlineStr">
        <is>
          <t>7</t>
        </is>
      </c>
      <c r="S645" s="5" t="inlineStr">
        <is>
          <t>30</t>
        </is>
      </c>
      <c r="T645" s="5" t="inlineStr">
        <is>
          <t>5</t>
        </is>
      </c>
      <c r="U645" s="5" t="inlineStr">
        <is>
          <t>OK</t>
        </is>
      </c>
    </row>
    <row r="646">
      <c r="A646" s="5" t="inlineStr">
        <is>
          <t>E02367</t>
        </is>
      </c>
      <c r="B646" s="5" t="inlineStr">
        <is>
          <t>Female</t>
        </is>
      </c>
      <c r="C646" s="6" t="inlineStr">
        <is>
          <t>30</t>
        </is>
      </c>
      <c r="D646" s="5" t="inlineStr">
        <is>
          <t>Married</t>
        </is>
      </c>
      <c r="E646" s="5" t="inlineStr">
        <is>
          <t>PhD</t>
        </is>
      </c>
      <c r="F646" s="5" t="inlineStr">
        <is>
          <t>Human Resources</t>
        </is>
      </c>
      <c r="G646" s="5" t="inlineStr">
        <is>
          <t>HR Analyst</t>
        </is>
      </c>
      <c r="H646" s="5" t="inlineStr">
        <is>
          <t>1</t>
        </is>
      </c>
      <c r="I646" s="5" t="inlineStr">
        <is>
          <t>Bengaluru</t>
        </is>
      </c>
      <c r="J646" s="5" t="inlineStr">
        <is>
          <t>Full-Time</t>
        </is>
      </c>
      <c r="K646" s="7" t="n">
        <v>44639</v>
      </c>
      <c r="L646" s="7" t="inlineStr"/>
      <c r="M646" s="5" t="inlineStr">
        <is>
          <t>Yes</t>
        </is>
      </c>
      <c r="N646" s="5" t="inlineStr"/>
      <c r="O646" s="8" t="inlineStr">
        <is>
          <t>77000</t>
        </is>
      </c>
      <c r="P646" s="5" t="inlineStr">
        <is>
          <t>5</t>
        </is>
      </c>
      <c r="Q646" s="5" t="inlineStr">
        <is>
          <t>3</t>
        </is>
      </c>
      <c r="R646" s="5" t="inlineStr">
        <is>
          <t>9</t>
        </is>
      </c>
      <c r="S646" s="5" t="inlineStr">
        <is>
          <t>46</t>
        </is>
      </c>
      <c r="T646" s="5" t="inlineStr">
        <is>
          <t>3</t>
        </is>
      </c>
      <c r="U646" s="5" t="inlineStr">
        <is>
          <t>OK</t>
        </is>
      </c>
    </row>
    <row r="647">
      <c r="A647" s="5" t="inlineStr">
        <is>
          <t>E02462</t>
        </is>
      </c>
      <c r="B647" s="5" t="inlineStr">
        <is>
          <t>Male</t>
        </is>
      </c>
      <c r="C647" s="6" t="inlineStr">
        <is>
          <t>33</t>
        </is>
      </c>
      <c r="D647" s="5" t="inlineStr">
        <is>
          <t>Married</t>
        </is>
      </c>
      <c r="E647" s="5" t="inlineStr">
        <is>
          <t>Diploma</t>
        </is>
      </c>
      <c r="F647" s="5" t="inlineStr">
        <is>
          <t>Operations</t>
        </is>
      </c>
      <c r="G647" s="5" t="inlineStr">
        <is>
          <t>Quality Analyst</t>
        </is>
      </c>
      <c r="H647" s="5" t="inlineStr">
        <is>
          <t>3</t>
        </is>
      </c>
      <c r="I647" s="5" t="inlineStr">
        <is>
          <t>Delhi</t>
        </is>
      </c>
      <c r="J647" s="5" t="inlineStr">
        <is>
          <t>Full-Time</t>
        </is>
      </c>
      <c r="K647" s="7" t="n">
        <v>45855</v>
      </c>
      <c r="L647" s="7" t="inlineStr"/>
      <c r="M647" s="5" t="inlineStr">
        <is>
          <t>Yes</t>
        </is>
      </c>
      <c r="N647" s="5" t="inlineStr"/>
      <c r="O647" s="8" t="inlineStr">
        <is>
          <t>104000</t>
        </is>
      </c>
      <c r="P647" s="5" t="inlineStr">
        <is>
          <t>10</t>
        </is>
      </c>
      <c r="Q647" s="5" t="inlineStr">
        <is>
          <t>1</t>
        </is>
      </c>
      <c r="R647" s="5" t="inlineStr">
        <is>
          <t>3</t>
        </is>
      </c>
      <c r="S647" s="5" t="inlineStr">
        <is>
          <t>5</t>
        </is>
      </c>
      <c r="T647" s="5" t="inlineStr">
        <is>
          <t>0</t>
        </is>
      </c>
      <c r="U647" s="5" t="inlineStr">
        <is>
          <t>OK</t>
        </is>
      </c>
    </row>
    <row r="648">
      <c r="A648" s="5" t="inlineStr">
        <is>
          <t>E01433</t>
        </is>
      </c>
      <c r="B648" s="5" t="inlineStr">
        <is>
          <t>Male</t>
        </is>
      </c>
      <c r="C648" s="6" t="inlineStr">
        <is>
          <t>27</t>
        </is>
      </c>
      <c r="D648" s="5" t="inlineStr">
        <is>
          <t>Married</t>
        </is>
      </c>
      <c r="E648" s="5" t="inlineStr">
        <is>
          <t>PhD</t>
        </is>
      </c>
      <c r="F648" s="5" t="inlineStr">
        <is>
          <t>Finance</t>
        </is>
      </c>
      <c r="G648" s="5" t="inlineStr">
        <is>
          <t>Credit Analyst</t>
        </is>
      </c>
      <c r="H648" s="5" t="inlineStr">
        <is>
          <t>2</t>
        </is>
      </c>
      <c r="I648" s="5" t="inlineStr">
        <is>
          <t>Delhi</t>
        </is>
      </c>
      <c r="J648" s="5" t="inlineStr">
        <is>
          <t>Full-Time</t>
        </is>
      </c>
      <c r="K648" s="7" t="n">
        <v>45086</v>
      </c>
      <c r="L648" s="7" t="inlineStr"/>
      <c r="M648" s="5" t="inlineStr">
        <is>
          <t>Yes</t>
        </is>
      </c>
      <c r="N648" s="5" t="inlineStr"/>
      <c r="O648" s="8" t="inlineStr">
        <is>
          <t>118000</t>
        </is>
      </c>
      <c r="P648" s="5" t="inlineStr">
        <is>
          <t>5</t>
        </is>
      </c>
      <c r="Q648" s="5" t="inlineStr">
        <is>
          <t>3</t>
        </is>
      </c>
      <c r="R648" s="5" t="inlineStr">
        <is>
          <t>8</t>
        </is>
      </c>
      <c r="S648" s="5" t="inlineStr">
        <is>
          <t>31</t>
        </is>
      </c>
      <c r="T648" s="5" t="inlineStr">
        <is>
          <t>22</t>
        </is>
      </c>
      <c r="U648" s="5" t="inlineStr">
        <is>
          <t>OK</t>
        </is>
      </c>
    </row>
    <row r="649">
      <c r="A649" s="5" t="inlineStr">
        <is>
          <t>E00664</t>
        </is>
      </c>
      <c r="B649" s="5" t="inlineStr">
        <is>
          <t>Female</t>
        </is>
      </c>
      <c r="C649" s="6" t="inlineStr">
        <is>
          <t>32</t>
        </is>
      </c>
      <c r="D649" s="5" t="inlineStr">
        <is>
          <t>Divorced</t>
        </is>
      </c>
      <c r="E649" s="5" t="inlineStr">
        <is>
          <t>PhD</t>
        </is>
      </c>
      <c r="F649" s="5" t="inlineStr">
        <is>
          <t>IT</t>
        </is>
      </c>
      <c r="G649" s="5" t="inlineStr">
        <is>
          <t>Data Analyst</t>
        </is>
      </c>
      <c r="H649" s="5" t="inlineStr">
        <is>
          <t>1</t>
        </is>
      </c>
      <c r="I649" s="5" t="inlineStr">
        <is>
          <t>Hyderabad</t>
        </is>
      </c>
      <c r="J649" s="5" t="inlineStr">
        <is>
          <t>Full-Time</t>
        </is>
      </c>
      <c r="K649" s="7" t="n">
        <v>44058</v>
      </c>
      <c r="L649" s="7" t="inlineStr"/>
      <c r="M649" s="5" t="inlineStr">
        <is>
          <t>Yes</t>
        </is>
      </c>
      <c r="N649" s="5" t="inlineStr"/>
      <c r="O649" s="8" t="inlineStr">
        <is>
          <t>91500</t>
        </is>
      </c>
      <c r="P649" s="5" t="inlineStr">
        <is>
          <t>10</t>
        </is>
      </c>
      <c r="Q649" s="5" t="inlineStr">
        <is>
          <t>5</t>
        </is>
      </c>
      <c r="R649" s="5" t="inlineStr">
        <is>
          <t>6</t>
        </is>
      </c>
      <c r="S649" s="5" t="inlineStr">
        <is>
          <t>65</t>
        </is>
      </c>
      <c r="T649" s="5" t="inlineStr">
        <is>
          <t>0</t>
        </is>
      </c>
      <c r="U649" s="5" t="inlineStr">
        <is>
          <t>OK</t>
        </is>
      </c>
    </row>
    <row r="650">
      <c r="A650" s="5" t="inlineStr">
        <is>
          <t>E00841</t>
        </is>
      </c>
      <c r="B650" s="5" t="inlineStr">
        <is>
          <t>Female</t>
        </is>
      </c>
      <c r="C650" s="6" t="inlineStr">
        <is>
          <t>41</t>
        </is>
      </c>
      <c r="D650" s="5" t="inlineStr">
        <is>
          <t>Married</t>
        </is>
      </c>
      <c r="E650" s="5" t="inlineStr">
        <is>
          <t>Master</t>
        </is>
      </c>
      <c r="F650" s="5" t="inlineStr">
        <is>
          <t>Customer Support</t>
        </is>
      </c>
      <c r="G650" s="5" t="inlineStr">
        <is>
          <t>Escalation Specialist</t>
        </is>
      </c>
      <c r="H650" s="5" t="inlineStr">
        <is>
          <t>7</t>
        </is>
      </c>
      <c r="I650" s="5" t="inlineStr">
        <is>
          <t>Mumbai</t>
        </is>
      </c>
      <c r="J650" s="5" t="inlineStr">
        <is>
          <t>Full-Time</t>
        </is>
      </c>
      <c r="K650" s="7" t="n">
        <v>43843</v>
      </c>
      <c r="L650" s="7" t="inlineStr"/>
      <c r="M650" s="5" t="inlineStr">
        <is>
          <t>Yes</t>
        </is>
      </c>
      <c r="N650" s="5" t="inlineStr"/>
      <c r="O650" s="8" t="inlineStr">
        <is>
          <t>120000</t>
        </is>
      </c>
      <c r="P650" s="5" t="inlineStr">
        <is>
          <t>10</t>
        </is>
      </c>
      <c r="Q650" s="5" t="inlineStr">
        <is>
          <t>5</t>
        </is>
      </c>
      <c r="R650" s="5" t="inlineStr">
        <is>
          <t>1</t>
        </is>
      </c>
      <c r="S650" s="5" t="inlineStr">
        <is>
          <t>72</t>
        </is>
      </c>
      <c r="T650" s="5" t="inlineStr">
        <is>
          <t>0</t>
        </is>
      </c>
      <c r="U650" s="5" t="inlineStr">
        <is>
          <t>OK</t>
        </is>
      </c>
    </row>
    <row r="651">
      <c r="A651" s="5" t="inlineStr">
        <is>
          <t>E02189</t>
        </is>
      </c>
      <c r="B651" s="5" t="inlineStr">
        <is>
          <t>Male</t>
        </is>
      </c>
      <c r="C651" s="6" t="inlineStr">
        <is>
          <t>32</t>
        </is>
      </c>
      <c r="D651" s="5" t="inlineStr">
        <is>
          <t>Married</t>
        </is>
      </c>
      <c r="E651" s="5" t="inlineStr">
        <is>
          <t>PhD</t>
        </is>
      </c>
      <c r="F651" s="5" t="inlineStr">
        <is>
          <t>Marketing</t>
        </is>
      </c>
      <c r="G651" s="5" t="inlineStr">
        <is>
          <t>Content Writer</t>
        </is>
      </c>
      <c r="H651" s="5" t="inlineStr">
        <is>
          <t>4</t>
        </is>
      </c>
      <c r="I651" s="5" t="inlineStr">
        <is>
          <t>Hyderabad</t>
        </is>
      </c>
      <c r="J651" s="5" t="inlineStr">
        <is>
          <t>Full-Time</t>
        </is>
      </c>
      <c r="K651" s="7" t="n">
        <v>45421</v>
      </c>
      <c r="L651" s="7" t="inlineStr"/>
      <c r="M651" s="5" t="inlineStr">
        <is>
          <t>Yes</t>
        </is>
      </c>
      <c r="N651" s="5" t="inlineStr"/>
      <c r="O651" s="8" t="inlineStr">
        <is>
          <t>94500</t>
        </is>
      </c>
      <c r="P651" s="5" t="inlineStr">
        <is>
          <t>5</t>
        </is>
      </c>
      <c r="Q651" s="5" t="inlineStr">
        <is>
          <t>4</t>
        </is>
      </c>
      <c r="R651" s="5" t="inlineStr">
        <is>
          <t>10</t>
        </is>
      </c>
      <c r="S651" s="5" t="inlineStr">
        <is>
          <t>20</t>
        </is>
      </c>
      <c r="T651" s="5" t="inlineStr">
        <is>
          <t>10</t>
        </is>
      </c>
      <c r="U651" s="5" t="inlineStr">
        <is>
          <t>OK</t>
        </is>
      </c>
    </row>
    <row r="652">
      <c r="A652" s="5" t="inlineStr">
        <is>
          <t>E02972</t>
        </is>
      </c>
      <c r="B652" s="5" t="inlineStr">
        <is>
          <t>Male</t>
        </is>
      </c>
      <c r="C652" s="6" t="inlineStr">
        <is>
          <t>30</t>
        </is>
      </c>
      <c r="D652" s="5" t="inlineStr">
        <is>
          <t>Single</t>
        </is>
      </c>
      <c r="E652" s="5" t="inlineStr">
        <is>
          <t>PhD</t>
        </is>
      </c>
      <c r="F652" s="5" t="inlineStr">
        <is>
          <t>Human Resources</t>
        </is>
      </c>
      <c r="G652" s="5" t="inlineStr">
        <is>
          <t>HR Analyst</t>
        </is>
      </c>
      <c r="H652" s="5" t="inlineStr">
        <is>
          <t>2</t>
        </is>
      </c>
      <c r="I652" s="5" t="inlineStr">
        <is>
          <t>Hyderabad</t>
        </is>
      </c>
      <c r="J652" s="5" t="inlineStr">
        <is>
          <t>Contract</t>
        </is>
      </c>
      <c r="K652" s="7" t="n">
        <v>44037</v>
      </c>
      <c r="L652" s="7" t="inlineStr"/>
      <c r="M652" s="5" t="inlineStr">
        <is>
          <t>Yes</t>
        </is>
      </c>
      <c r="N652" s="5" t="inlineStr"/>
      <c r="O652" s="8" t="inlineStr">
        <is>
          <t>111500</t>
        </is>
      </c>
      <c r="P652" s="5" t="inlineStr">
        <is>
          <t>10</t>
        </is>
      </c>
      <c r="Q652" s="5" t="inlineStr">
        <is>
          <t>4</t>
        </is>
      </c>
      <c r="R652" s="5" t="inlineStr">
        <is>
          <t>7</t>
        </is>
      </c>
      <c r="S652" s="5" t="inlineStr">
        <is>
          <t>66</t>
        </is>
      </c>
      <c r="T652" s="5" t="inlineStr">
        <is>
          <t>9</t>
        </is>
      </c>
      <c r="U652" s="5" t="inlineStr">
        <is>
          <t>OK</t>
        </is>
      </c>
    </row>
    <row r="653">
      <c r="A653" s="5" t="inlineStr">
        <is>
          <t>E02285</t>
        </is>
      </c>
      <c r="B653" s="5" t="inlineStr">
        <is>
          <t>Female</t>
        </is>
      </c>
      <c r="C653" s="6" t="inlineStr">
        <is>
          <t>33</t>
        </is>
      </c>
      <c r="D653" s="5" t="inlineStr">
        <is>
          <t>Married</t>
        </is>
      </c>
      <c r="E653" s="5" t="inlineStr">
        <is>
          <t>Bachelor</t>
        </is>
      </c>
      <c r="F653" s="5" t="inlineStr">
        <is>
          <t>Marketing</t>
        </is>
      </c>
      <c r="G653" s="5" t="inlineStr">
        <is>
          <t>Marketing Analyst</t>
        </is>
      </c>
      <c r="H653" s="5" t="inlineStr">
        <is>
          <t>3</t>
        </is>
      </c>
      <c r="I653" s="5" t="inlineStr">
        <is>
          <t>Mumbai</t>
        </is>
      </c>
      <c r="J653" s="5" t="inlineStr">
        <is>
          <t>Full-Time</t>
        </is>
      </c>
      <c r="K653" s="7" t="n">
        <v>44078</v>
      </c>
      <c r="L653" s="7" t="inlineStr"/>
      <c r="M653" s="5" t="inlineStr">
        <is>
          <t>Yes</t>
        </is>
      </c>
      <c r="N653" s="5" t="inlineStr"/>
      <c r="O653" s="8" t="inlineStr">
        <is>
          <t>111000</t>
        </is>
      </c>
      <c r="P653" s="5" t="inlineStr">
        <is>
          <t>5</t>
        </is>
      </c>
      <c r="Q653" s="5" t="inlineStr">
        <is>
          <t>2</t>
        </is>
      </c>
      <c r="R653" s="5" t="inlineStr">
        <is>
          <t>8</t>
        </is>
      </c>
      <c r="S653" s="5" t="inlineStr">
        <is>
          <t>64</t>
        </is>
      </c>
      <c r="T653" s="5" t="inlineStr">
        <is>
          <t>5</t>
        </is>
      </c>
      <c r="U653" s="5" t="inlineStr">
        <is>
          <t>OK</t>
        </is>
      </c>
    </row>
    <row r="654">
      <c r="A654" s="5" t="inlineStr">
        <is>
          <t>E00417</t>
        </is>
      </c>
      <c r="B654" s="5" t="inlineStr">
        <is>
          <t>Male</t>
        </is>
      </c>
      <c r="C654" s="6" t="inlineStr">
        <is>
          <t>31</t>
        </is>
      </c>
      <c r="D654" s="5" t="inlineStr">
        <is>
          <t>Single</t>
        </is>
      </c>
      <c r="E654" s="5" t="inlineStr">
        <is>
          <t>Bachelor</t>
        </is>
      </c>
      <c r="F654" s="5" t="inlineStr">
        <is>
          <t>Customer Support</t>
        </is>
      </c>
      <c r="G654" s="5" t="inlineStr">
        <is>
          <t>Support Agent</t>
        </is>
      </c>
      <c r="H654" s="5" t="inlineStr">
        <is>
          <t>3</t>
        </is>
      </c>
      <c r="I654" s="5" t="inlineStr">
        <is>
          <t>Hyderabad</t>
        </is>
      </c>
      <c r="J654" s="5" t="inlineStr">
        <is>
          <t>Full-Time</t>
        </is>
      </c>
      <c r="K654" s="7" t="n">
        <v>44076</v>
      </c>
      <c r="L654" s="7" t="inlineStr"/>
      <c r="M654" s="5" t="inlineStr">
        <is>
          <t>Yes</t>
        </is>
      </c>
      <c r="N654" s="5" t="inlineStr"/>
      <c r="O654" s="8" t="inlineStr">
        <is>
          <t>85500</t>
        </is>
      </c>
      <c r="P654" s="5" t="inlineStr">
        <is>
          <t>0</t>
        </is>
      </c>
      <c r="Q654" s="5" t="inlineStr">
        <is>
          <t>4</t>
        </is>
      </c>
      <c r="R654" s="5" t="inlineStr">
        <is>
          <t>9</t>
        </is>
      </c>
      <c r="S654" s="5" t="inlineStr">
        <is>
          <t>64</t>
        </is>
      </c>
      <c r="T654" s="5" t="inlineStr">
        <is>
          <t>0</t>
        </is>
      </c>
      <c r="U654" s="5" t="inlineStr">
        <is>
          <t>OK</t>
        </is>
      </c>
    </row>
    <row r="655">
      <c r="A655" s="5" t="inlineStr">
        <is>
          <t>E01897</t>
        </is>
      </c>
      <c r="B655" s="5" t="inlineStr">
        <is>
          <t>Female</t>
        </is>
      </c>
      <c r="C655" s="6" t="inlineStr">
        <is>
          <t>32</t>
        </is>
      </c>
      <c r="D655" s="5" t="inlineStr">
        <is>
          <t>Married</t>
        </is>
      </c>
      <c r="E655" s="5" t="inlineStr">
        <is>
          <t>High School</t>
        </is>
      </c>
      <c r="F655" s="5" t="inlineStr">
        <is>
          <t>Marketing</t>
        </is>
      </c>
      <c r="G655" s="5" t="inlineStr">
        <is>
          <t>SEO Specialist</t>
        </is>
      </c>
      <c r="H655" s="5" t="inlineStr">
        <is>
          <t>2</t>
        </is>
      </c>
      <c r="I655" s="5" t="inlineStr">
        <is>
          <t>Hyderabad</t>
        </is>
      </c>
      <c r="J655" s="5" t="inlineStr">
        <is>
          <t>Full-Time</t>
        </is>
      </c>
      <c r="K655" s="7" t="n">
        <v>45895</v>
      </c>
      <c r="L655" s="7" t="inlineStr"/>
      <c r="M655" s="5" t="inlineStr">
        <is>
          <t>Yes</t>
        </is>
      </c>
      <c r="N655" s="5" t="inlineStr"/>
      <c r="O655" s="8" t="inlineStr">
        <is>
          <t>73000</t>
        </is>
      </c>
      <c r="P655" s="5" t="inlineStr">
        <is>
          <t>0</t>
        </is>
      </c>
      <c r="Q655" s="5" t="inlineStr">
        <is>
          <t>4</t>
        </is>
      </c>
      <c r="R655" s="5" t="inlineStr">
        <is>
          <t>3</t>
        </is>
      </c>
      <c r="S655" s="5" t="inlineStr">
        <is>
          <t>4</t>
        </is>
      </c>
      <c r="T655" s="5" t="inlineStr">
        <is>
          <t>1</t>
        </is>
      </c>
      <c r="U655" s="5" t="inlineStr">
        <is>
          <t>OK</t>
        </is>
      </c>
    </row>
    <row r="656">
      <c r="A656" s="5" t="inlineStr">
        <is>
          <t>E01427</t>
        </is>
      </c>
      <c r="B656" s="5" t="inlineStr">
        <is>
          <t>Male</t>
        </is>
      </c>
      <c r="C656" s="6" t="inlineStr">
        <is>
          <t>32</t>
        </is>
      </c>
      <c r="D656" s="5" t="inlineStr">
        <is>
          <t>Single</t>
        </is>
      </c>
      <c r="E656" s="5" t="inlineStr">
        <is>
          <t>Master</t>
        </is>
      </c>
      <c r="F656" s="5" t="inlineStr"/>
      <c r="G656" s="5" t="inlineStr">
        <is>
          <t>Quality Analyst</t>
        </is>
      </c>
      <c r="H656" s="5" t="inlineStr">
        <is>
          <t>1</t>
        </is>
      </c>
      <c r="I656" s="5" t="inlineStr">
        <is>
          <t>Chennai</t>
        </is>
      </c>
      <c r="J656" s="5" t="inlineStr">
        <is>
          <t>Full-Time</t>
        </is>
      </c>
      <c r="K656" s="7" t="n">
        <v>45811</v>
      </c>
      <c r="L656" s="7" t="inlineStr"/>
      <c r="M656" s="5" t="inlineStr">
        <is>
          <t>Yes</t>
        </is>
      </c>
      <c r="N656" s="5" t="inlineStr"/>
      <c r="O656" s="8" t="inlineStr">
        <is>
          <t>74500</t>
        </is>
      </c>
      <c r="P656" s="5" t="inlineStr">
        <is>
          <t>15</t>
        </is>
      </c>
      <c r="Q656" s="5" t="inlineStr">
        <is>
          <t>5</t>
        </is>
      </c>
      <c r="R656" s="5" t="inlineStr">
        <is>
          <t>8</t>
        </is>
      </c>
      <c r="S656" s="5" t="inlineStr">
        <is>
          <t>7</t>
        </is>
      </c>
      <c r="T656" s="5" t="inlineStr">
        <is>
          <t>1</t>
        </is>
      </c>
      <c r="U656" s="5" t="inlineStr">
        <is>
          <t>Blank department</t>
        </is>
      </c>
    </row>
    <row r="657">
      <c r="A657" s="5" t="inlineStr">
        <is>
          <t>E00683</t>
        </is>
      </c>
      <c r="B657" s="5" t="inlineStr">
        <is>
          <t>Female</t>
        </is>
      </c>
      <c r="C657" s="6" t="inlineStr">
        <is>
          <t>35</t>
        </is>
      </c>
      <c r="D657" s="5" t="inlineStr">
        <is>
          <t>Married</t>
        </is>
      </c>
      <c r="E657" s="5" t="inlineStr">
        <is>
          <t>PhD</t>
        </is>
      </c>
      <c r="F657" s="5" t="inlineStr">
        <is>
          <t>Operations</t>
        </is>
      </c>
      <c r="G657" s="5" t="inlineStr">
        <is>
          <t>Logistics Coordinator</t>
        </is>
      </c>
      <c r="H657" s="5" t="inlineStr">
        <is>
          <t>2</t>
        </is>
      </c>
      <c r="I657" s="5" t="inlineStr">
        <is>
          <t>Chennai</t>
        </is>
      </c>
      <c r="J657" s="5" t="inlineStr">
        <is>
          <t>Contract</t>
        </is>
      </c>
      <c r="K657" s="7" t="n">
        <v>44949</v>
      </c>
      <c r="L657" s="7" t="n">
        <v>45066</v>
      </c>
      <c r="M657" s="5" t="inlineStr">
        <is>
          <t>No</t>
        </is>
      </c>
      <c r="N657" s="5" t="inlineStr">
        <is>
          <t>Relocation</t>
        </is>
      </c>
      <c r="O657" s="8" t="inlineStr">
        <is>
          <t>104500</t>
        </is>
      </c>
      <c r="P657" s="5" t="inlineStr">
        <is>
          <t>15</t>
        </is>
      </c>
      <c r="Q657" s="5" t="inlineStr">
        <is>
          <t>4</t>
        </is>
      </c>
      <c r="R657" s="5" t="inlineStr">
        <is>
          <t>7</t>
        </is>
      </c>
      <c r="S657" s="5" t="inlineStr">
        <is>
          <t>3</t>
        </is>
      </c>
      <c r="T657" s="5" t="inlineStr">
        <is>
          <t>0</t>
        </is>
      </c>
      <c r="U657" s="5" t="inlineStr">
        <is>
          <t>OK</t>
        </is>
      </c>
    </row>
    <row r="658">
      <c r="A658" s="5" t="inlineStr">
        <is>
          <t>E01598</t>
        </is>
      </c>
      <c r="B658" s="5" t="inlineStr">
        <is>
          <t>Male</t>
        </is>
      </c>
      <c r="C658" s="6" t="inlineStr">
        <is>
          <t>25</t>
        </is>
      </c>
      <c r="D658" s="5" t="inlineStr">
        <is>
          <t>Married</t>
        </is>
      </c>
      <c r="E658" s="5" t="inlineStr">
        <is>
          <t>PhD</t>
        </is>
      </c>
      <c r="F658" s="5" t="inlineStr">
        <is>
          <t>Customer Support</t>
        </is>
      </c>
      <c r="G658" s="5" t="inlineStr">
        <is>
          <t>Escalation Specialist</t>
        </is>
      </c>
      <c r="H658" s="5" t="inlineStr">
        <is>
          <t>2</t>
        </is>
      </c>
      <c r="I658" s="5" t="inlineStr">
        <is>
          <t>Remote</t>
        </is>
      </c>
      <c r="J658" s="5" t="inlineStr">
        <is>
          <t>Full-Time</t>
        </is>
      </c>
      <c r="K658" s="7" t="n">
        <v>45531</v>
      </c>
      <c r="L658" s="7" t="inlineStr"/>
      <c r="M658" s="5" t="inlineStr">
        <is>
          <t>Yes</t>
        </is>
      </c>
      <c r="N658" s="5" t="inlineStr"/>
      <c r="O658" s="8" t="inlineStr">
        <is>
          <t>60000</t>
        </is>
      </c>
      <c r="P658" s="5" t="inlineStr">
        <is>
          <t>0</t>
        </is>
      </c>
      <c r="Q658" s="5" t="inlineStr">
        <is>
          <t>4</t>
        </is>
      </c>
      <c r="R658" s="5" t="inlineStr">
        <is>
          <t>6</t>
        </is>
      </c>
      <c r="S658" s="5" t="inlineStr">
        <is>
          <t>16</t>
        </is>
      </c>
      <c r="T658" s="5" t="inlineStr">
        <is>
          <t>5</t>
        </is>
      </c>
      <c r="U658" s="5" t="inlineStr">
        <is>
          <t>OK</t>
        </is>
      </c>
    </row>
    <row r="659">
      <c r="A659" s="5" t="inlineStr">
        <is>
          <t>E01959</t>
        </is>
      </c>
      <c r="B659" s="5" t="inlineStr">
        <is>
          <t>Female</t>
        </is>
      </c>
      <c r="C659" s="6" t="inlineStr">
        <is>
          <t>27</t>
        </is>
      </c>
      <c r="D659" s="5" t="inlineStr">
        <is>
          <t>Single</t>
        </is>
      </c>
      <c r="E659" s="5" t="inlineStr">
        <is>
          <t>Master</t>
        </is>
      </c>
      <c r="F659" s="5" t="inlineStr">
        <is>
          <t>Operations</t>
        </is>
      </c>
      <c r="G659" s="5" t="inlineStr">
        <is>
          <t>Quality Analyst</t>
        </is>
      </c>
      <c r="H659" s="5" t="inlineStr">
        <is>
          <t>3</t>
        </is>
      </c>
      <c r="I659" s="5" t="inlineStr">
        <is>
          <t>Hyderabad</t>
        </is>
      </c>
      <c r="J659" s="5" t="inlineStr">
        <is>
          <t>Full-Time</t>
        </is>
      </c>
      <c r="K659" s="7" t="n">
        <v>44674</v>
      </c>
      <c r="L659" s="7" t="inlineStr"/>
      <c r="M659" s="5" t="inlineStr">
        <is>
          <t>Yes</t>
        </is>
      </c>
      <c r="N659" s="5" t="inlineStr"/>
      <c r="O659" s="8" t="inlineStr">
        <is>
          <t>116000</t>
        </is>
      </c>
      <c r="P659" s="5" t="inlineStr">
        <is>
          <t>0</t>
        </is>
      </c>
      <c r="Q659" s="5" t="inlineStr">
        <is>
          <t>3</t>
        </is>
      </c>
      <c r="R659" s="5" t="inlineStr">
        <is>
          <t>8</t>
        </is>
      </c>
      <c r="S659" s="5" t="inlineStr">
        <is>
          <t>44</t>
        </is>
      </c>
      <c r="T659" s="5" t="inlineStr">
        <is>
          <t>0</t>
        </is>
      </c>
      <c r="U659" s="5" t="inlineStr">
        <is>
          <t>OK</t>
        </is>
      </c>
    </row>
    <row r="660">
      <c r="A660" s="5" t="inlineStr">
        <is>
          <t>E02299</t>
        </is>
      </c>
      <c r="B660" s="5" t="inlineStr">
        <is>
          <t>Female</t>
        </is>
      </c>
      <c r="C660" s="6" t="inlineStr">
        <is>
          <t>40</t>
        </is>
      </c>
      <c r="D660" s="5" t="inlineStr">
        <is>
          <t>Married</t>
        </is>
      </c>
      <c r="E660" s="5" t="inlineStr">
        <is>
          <t>High School</t>
        </is>
      </c>
      <c r="F660" s="5" t="inlineStr">
        <is>
          <t>Sales</t>
        </is>
      </c>
      <c r="G660" s="5" t="inlineStr">
        <is>
          <t>Account Executive</t>
        </is>
      </c>
      <c r="H660" s="5" t="inlineStr">
        <is>
          <t>6</t>
        </is>
      </c>
      <c r="I660" s="5" t="inlineStr">
        <is>
          <t>Bengaluru</t>
        </is>
      </c>
      <c r="J660" s="5" t="inlineStr">
        <is>
          <t>Full-Time</t>
        </is>
      </c>
      <c r="K660" s="7" t="n">
        <v>44561</v>
      </c>
      <c r="L660" s="7" t="inlineStr"/>
      <c r="M660" s="5" t="inlineStr">
        <is>
          <t>Yes</t>
        </is>
      </c>
      <c r="N660" s="5" t="inlineStr"/>
      <c r="O660" s="8" t="inlineStr">
        <is>
          <t>140500</t>
        </is>
      </c>
      <c r="P660" s="5" t="inlineStr">
        <is>
          <t>5</t>
        </is>
      </c>
      <c r="Q660" s="5" t="inlineStr">
        <is>
          <t>4</t>
        </is>
      </c>
      <c r="R660" s="5" t="inlineStr">
        <is>
          <t>5</t>
        </is>
      </c>
      <c r="S660" s="5" t="inlineStr">
        <is>
          <t>48</t>
        </is>
      </c>
      <c r="T660" s="5" t="inlineStr">
        <is>
          <t>0</t>
        </is>
      </c>
      <c r="U660" s="5" t="inlineStr">
        <is>
          <t>OK</t>
        </is>
      </c>
    </row>
    <row r="661">
      <c r="A661" s="5" t="inlineStr">
        <is>
          <t>E01685</t>
        </is>
      </c>
      <c r="B661" s="5" t="inlineStr">
        <is>
          <t>Female</t>
        </is>
      </c>
      <c r="C661" s="6" t="inlineStr">
        <is>
          <t>35</t>
        </is>
      </c>
      <c r="D661" s="5" t="inlineStr">
        <is>
          <t>Married</t>
        </is>
      </c>
      <c r="E661" s="5" t="inlineStr">
        <is>
          <t>Master</t>
        </is>
      </c>
      <c r="F661" s="5" t="inlineStr">
        <is>
          <t>Finance</t>
        </is>
      </c>
      <c r="G661" s="5" t="inlineStr">
        <is>
          <t>Financial Analyst</t>
        </is>
      </c>
      <c r="H661" s="5" t="inlineStr">
        <is>
          <t>3</t>
        </is>
      </c>
      <c r="I661" s="5" t="inlineStr">
        <is>
          <t>Chennai</t>
        </is>
      </c>
      <c r="J661" s="5" t="inlineStr">
        <is>
          <t>Full-Time</t>
        </is>
      </c>
      <c r="K661" s="7" t="n">
        <v>45814</v>
      </c>
      <c r="L661" s="7" t="inlineStr"/>
      <c r="M661" s="5" t="inlineStr">
        <is>
          <t>Yes</t>
        </is>
      </c>
      <c r="N661" s="5" t="inlineStr"/>
      <c r="O661" s="8" t="inlineStr">
        <is>
          <t>119500</t>
        </is>
      </c>
      <c r="P661" s="5" t="inlineStr">
        <is>
          <t>5</t>
        </is>
      </c>
      <c r="Q661" s="5" t="inlineStr">
        <is>
          <t>5</t>
        </is>
      </c>
      <c r="R661" s="5" t="inlineStr">
        <is>
          <t>7</t>
        </is>
      </c>
      <c r="S661" s="5" t="inlineStr">
        <is>
          <t>6</t>
        </is>
      </c>
      <c r="T661" s="5" t="inlineStr">
        <is>
          <t>2</t>
        </is>
      </c>
      <c r="U661" s="5" t="inlineStr">
        <is>
          <t>OK</t>
        </is>
      </c>
    </row>
    <row r="662">
      <c r="A662" s="5" t="inlineStr">
        <is>
          <t>E02491</t>
        </is>
      </c>
      <c r="B662" s="5" t="inlineStr">
        <is>
          <t>Female</t>
        </is>
      </c>
      <c r="C662" s="6" t="inlineStr">
        <is>
          <t>24</t>
        </is>
      </c>
      <c r="D662" s="5" t="inlineStr">
        <is>
          <t>Single</t>
        </is>
      </c>
      <c r="E662" s="5" t="inlineStr">
        <is>
          <t>Diploma</t>
        </is>
      </c>
      <c r="F662" s="5" t="inlineStr"/>
      <c r="G662" s="5" t="inlineStr">
        <is>
          <t>Data Scientist</t>
        </is>
      </c>
      <c r="H662" s="5" t="inlineStr">
        <is>
          <t>1</t>
        </is>
      </c>
      <c r="I662" s="5" t="inlineStr">
        <is>
          <t>Mumbai</t>
        </is>
      </c>
      <c r="J662" s="5" t="inlineStr">
        <is>
          <t>Full-Time</t>
        </is>
      </c>
      <c r="K662" s="7" t="n">
        <v>45013</v>
      </c>
      <c r="L662" s="7" t="n">
        <v>45112</v>
      </c>
      <c r="M662" s="5" t="inlineStr">
        <is>
          <t>No</t>
        </is>
      </c>
      <c r="N662" s="5" t="inlineStr">
        <is>
          <t>Resigned</t>
        </is>
      </c>
      <c r="O662" s="8" t="inlineStr">
        <is>
          <t>138000</t>
        </is>
      </c>
      <c r="P662" s="5" t="inlineStr">
        <is>
          <t>5</t>
        </is>
      </c>
      <c r="Q662" s="5" t="inlineStr">
        <is>
          <t>4</t>
        </is>
      </c>
      <c r="R662" s="5" t="inlineStr">
        <is>
          <t>5</t>
        </is>
      </c>
      <c r="S662" s="5" t="inlineStr">
        <is>
          <t>3</t>
        </is>
      </c>
      <c r="T662" s="5" t="inlineStr">
        <is>
          <t>0</t>
        </is>
      </c>
      <c r="U662" s="5" t="inlineStr">
        <is>
          <t>Blank department</t>
        </is>
      </c>
    </row>
    <row r="663">
      <c r="A663" s="5" t="inlineStr">
        <is>
          <t>E00463</t>
        </is>
      </c>
      <c r="B663" s="5" t="inlineStr">
        <is>
          <t>Female</t>
        </is>
      </c>
      <c r="C663" s="6" t="inlineStr">
        <is>
          <t>27</t>
        </is>
      </c>
      <c r="D663" s="5" t="inlineStr">
        <is>
          <t>Single</t>
        </is>
      </c>
      <c r="E663" s="5" t="inlineStr">
        <is>
          <t>Bachelor</t>
        </is>
      </c>
      <c r="F663" s="5" t="inlineStr">
        <is>
          <t>IT</t>
        </is>
      </c>
      <c r="G663" s="5" t="inlineStr">
        <is>
          <t>Data Analyst</t>
        </is>
      </c>
      <c r="H663" s="5" t="inlineStr">
        <is>
          <t>3</t>
        </is>
      </c>
      <c r="I663" s="5" t="inlineStr">
        <is>
          <t>Bengaluru</t>
        </is>
      </c>
      <c r="J663" s="5" t="inlineStr">
        <is>
          <t>Full-Time</t>
        </is>
      </c>
      <c r="K663" s="7" t="n">
        <v>45079</v>
      </c>
      <c r="L663" s="7" t="inlineStr"/>
      <c r="M663" s="5" t="inlineStr">
        <is>
          <t>Yes</t>
        </is>
      </c>
      <c r="N663" s="5" t="inlineStr"/>
      <c r="O663" s="8" t="inlineStr">
        <is>
          <t>165500</t>
        </is>
      </c>
      <c r="P663" s="5" t="inlineStr">
        <is>
          <t>0</t>
        </is>
      </c>
      <c r="Q663" s="5" t="inlineStr">
        <is>
          <t>5</t>
        </is>
      </c>
      <c r="R663" s="5" t="inlineStr">
        <is>
          <t>9</t>
        </is>
      </c>
      <c r="S663" s="5" t="inlineStr">
        <is>
          <t>31</t>
        </is>
      </c>
      <c r="T663" s="5" t="inlineStr">
        <is>
          <t>9</t>
        </is>
      </c>
      <c r="U663" s="5" t="inlineStr">
        <is>
          <t>OK</t>
        </is>
      </c>
    </row>
    <row r="664">
      <c r="A664" s="5" t="inlineStr">
        <is>
          <t>E01322</t>
        </is>
      </c>
      <c r="B664" s="5" t="inlineStr">
        <is>
          <t>Male</t>
        </is>
      </c>
      <c r="C664" s="6" t="inlineStr">
        <is>
          <t>41</t>
        </is>
      </c>
      <c r="D664" s="5" t="inlineStr">
        <is>
          <t>Single</t>
        </is>
      </c>
      <c r="E664" s="5" t="inlineStr">
        <is>
          <t>Bachelor</t>
        </is>
      </c>
      <c r="F664" s="5" t="inlineStr">
        <is>
          <t>Finance</t>
        </is>
      </c>
      <c r="G664" s="5" t="inlineStr">
        <is>
          <t>Credit Analyst</t>
        </is>
      </c>
      <c r="H664" s="5" t="inlineStr">
        <is>
          <t>5</t>
        </is>
      </c>
      <c r="I664" s="5" t="inlineStr">
        <is>
          <t>Chennai</t>
        </is>
      </c>
      <c r="J664" s="5" t="inlineStr">
        <is>
          <t>Contract</t>
        </is>
      </c>
      <c r="K664" s="7" t="n">
        <v>44013</v>
      </c>
      <c r="L664" s="7" t="inlineStr"/>
      <c r="M664" s="5" t="inlineStr">
        <is>
          <t>Yes</t>
        </is>
      </c>
      <c r="N664" s="5" t="inlineStr"/>
      <c r="O664" s="8" t="inlineStr">
        <is>
          <t>113000</t>
        </is>
      </c>
      <c r="P664" s="5" t="inlineStr">
        <is>
          <t>0</t>
        </is>
      </c>
      <c r="Q664" s="5" t="inlineStr">
        <is>
          <t>4</t>
        </is>
      </c>
      <c r="R664" s="5" t="inlineStr">
        <is>
          <t>4</t>
        </is>
      </c>
      <c r="S664" s="5" t="inlineStr">
        <is>
          <t>66</t>
        </is>
      </c>
      <c r="T664" s="5" t="inlineStr">
        <is>
          <t>6</t>
        </is>
      </c>
      <c r="U664" s="5" t="inlineStr">
        <is>
          <t>OK</t>
        </is>
      </c>
    </row>
    <row r="665">
      <c r="A665" s="5" t="inlineStr">
        <is>
          <t>E00119</t>
        </is>
      </c>
      <c r="B665" s="5" t="inlineStr">
        <is>
          <t>Unknown</t>
        </is>
      </c>
      <c r="C665" s="6" t="inlineStr">
        <is>
          <t>25</t>
        </is>
      </c>
      <c r="D665" s="5" t="inlineStr">
        <is>
          <t>Married</t>
        </is>
      </c>
      <c r="E665" s="5" t="inlineStr">
        <is>
          <t>Bachelor</t>
        </is>
      </c>
      <c r="F665" s="5" t="inlineStr">
        <is>
          <t>IT</t>
        </is>
      </c>
      <c r="G665" s="5" t="inlineStr">
        <is>
          <t>IT Support</t>
        </is>
      </c>
      <c r="H665" s="5" t="inlineStr">
        <is>
          <t>2</t>
        </is>
      </c>
      <c r="I665" s="5" t="inlineStr">
        <is>
          <t>Delhi</t>
        </is>
      </c>
      <c r="J665" s="5" t="inlineStr">
        <is>
          <t>Full-Time</t>
        </is>
      </c>
      <c r="K665" s="7" t="n">
        <v>45838</v>
      </c>
      <c r="L665" s="7" t="n">
        <v>45968</v>
      </c>
      <c r="M665" s="5" t="inlineStr">
        <is>
          <t>No</t>
        </is>
      </c>
      <c r="N665" s="5" t="inlineStr">
        <is>
          <t>Resigned</t>
        </is>
      </c>
      <c r="O665" s="8" t="inlineStr">
        <is>
          <t>140500</t>
        </is>
      </c>
      <c r="P665" s="5" t="inlineStr">
        <is>
          <t>0</t>
        </is>
      </c>
      <c r="Q665" s="5" t="inlineStr">
        <is>
          <t>3</t>
        </is>
      </c>
      <c r="R665" s="5" t="inlineStr">
        <is>
          <t>9</t>
        </is>
      </c>
      <c r="S665" s="5" t="inlineStr">
        <is>
          <t>4</t>
        </is>
      </c>
      <c r="T665" s="5" t="inlineStr">
        <is>
          <t>5</t>
        </is>
      </c>
      <c r="U665" s="5" t="inlineStr">
        <is>
          <t>Bad gender</t>
        </is>
      </c>
    </row>
    <row r="666">
      <c r="A666" s="5" t="inlineStr">
        <is>
          <t>E00980</t>
        </is>
      </c>
      <c r="B666" s="5" t="inlineStr">
        <is>
          <t>Male</t>
        </is>
      </c>
      <c r="C666" s="6" t="inlineStr">
        <is>
          <t>24</t>
        </is>
      </c>
      <c r="D666" s="5" t="inlineStr">
        <is>
          <t>Married</t>
        </is>
      </c>
      <c r="E666" s="5" t="inlineStr">
        <is>
          <t>PhD</t>
        </is>
      </c>
      <c r="F666" s="5" t="inlineStr">
        <is>
          <t>IT</t>
        </is>
      </c>
      <c r="G666" s="5" t="inlineStr">
        <is>
          <t>DevOps Engineer</t>
        </is>
      </c>
      <c r="H666" s="5" t="inlineStr">
        <is>
          <t>1</t>
        </is>
      </c>
      <c r="I666" s="5" t="inlineStr">
        <is>
          <t>Chennai</t>
        </is>
      </c>
      <c r="J666" s="5" t="inlineStr">
        <is>
          <t>Full-Time</t>
        </is>
      </c>
      <c r="K666" s="7" t="n">
        <v>45585</v>
      </c>
      <c r="L666" s="7" t="inlineStr"/>
      <c r="M666" s="5" t="inlineStr">
        <is>
          <t>Yes</t>
        </is>
      </c>
      <c r="N666" s="5" t="inlineStr"/>
      <c r="O666" s="8" t="inlineStr">
        <is>
          <t>146000</t>
        </is>
      </c>
      <c r="P666" s="5" t="inlineStr">
        <is>
          <t>10</t>
        </is>
      </c>
      <c r="Q666" s="5" t="inlineStr">
        <is>
          <t>4</t>
        </is>
      </c>
      <c r="R666" s="5" t="inlineStr">
        <is>
          <t>6</t>
        </is>
      </c>
      <c r="S666" s="5" t="inlineStr">
        <is>
          <t>14</t>
        </is>
      </c>
      <c r="T666" s="5" t="inlineStr">
        <is>
          <t>10</t>
        </is>
      </c>
      <c r="U666" s="5" t="inlineStr">
        <is>
          <t>OK</t>
        </is>
      </c>
    </row>
    <row r="667">
      <c r="A667" s="5" t="inlineStr">
        <is>
          <t>E00775</t>
        </is>
      </c>
      <c r="B667" s="5" t="inlineStr">
        <is>
          <t>Male</t>
        </is>
      </c>
      <c r="C667" s="6" t="inlineStr">
        <is>
          <t>42</t>
        </is>
      </c>
      <c r="D667" s="5" t="inlineStr">
        <is>
          <t>Divorced</t>
        </is>
      </c>
      <c r="E667" s="5" t="inlineStr">
        <is>
          <t>Master</t>
        </is>
      </c>
      <c r="F667" s="5" t="inlineStr">
        <is>
          <t>IT</t>
        </is>
      </c>
      <c r="G667" s="5" t="inlineStr">
        <is>
          <t>DevOps Engineer</t>
        </is>
      </c>
      <c r="H667" s="5" t="inlineStr">
        <is>
          <t>5</t>
        </is>
      </c>
      <c r="I667" s="5" t="inlineStr">
        <is>
          <t>Bengaluru</t>
        </is>
      </c>
      <c r="J667" s="5" t="inlineStr">
        <is>
          <t>Full-Time</t>
        </is>
      </c>
      <c r="K667" s="7" t="n">
        <v>44084</v>
      </c>
      <c r="L667" s="7" t="inlineStr"/>
      <c r="M667" s="5" t="inlineStr">
        <is>
          <t>Yes</t>
        </is>
      </c>
      <c r="N667" s="5" t="inlineStr"/>
      <c r="O667" s="8" t="inlineStr">
        <is>
          <t>153000</t>
        </is>
      </c>
      <c r="P667" s="5" t="inlineStr">
        <is>
          <t>5</t>
        </is>
      </c>
      <c r="Q667" s="5" t="inlineStr">
        <is>
          <t>3</t>
        </is>
      </c>
      <c r="R667" s="5" t="inlineStr">
        <is>
          <t>8</t>
        </is>
      </c>
      <c r="S667" s="5" t="inlineStr">
        <is>
          <t>64</t>
        </is>
      </c>
      <c r="T667" s="5" t="inlineStr">
        <is>
          <t>1</t>
        </is>
      </c>
      <c r="U667" s="5" t="inlineStr">
        <is>
          <t>OK</t>
        </is>
      </c>
    </row>
    <row r="668">
      <c r="A668" s="5" t="inlineStr">
        <is>
          <t>E00107</t>
        </is>
      </c>
      <c r="B668" s="5" t="inlineStr">
        <is>
          <t>Male</t>
        </is>
      </c>
      <c r="C668" s="6" t="inlineStr">
        <is>
          <t>29</t>
        </is>
      </c>
      <c r="D668" s="5" t="inlineStr">
        <is>
          <t>Married</t>
        </is>
      </c>
      <c r="E668" s="5" t="inlineStr">
        <is>
          <t>Bachelor</t>
        </is>
      </c>
      <c r="F668" s="5" t="inlineStr">
        <is>
          <t>Operations</t>
        </is>
      </c>
      <c r="G668" s="5" t="inlineStr">
        <is>
          <t>Operations Analyst</t>
        </is>
      </c>
      <c r="H668" s="5" t="inlineStr">
        <is>
          <t>3</t>
        </is>
      </c>
      <c r="I668" s="5" t="inlineStr">
        <is>
          <t>Mumbai</t>
        </is>
      </c>
      <c r="J668" s="5" t="inlineStr">
        <is>
          <t>Part-Time</t>
        </is>
      </c>
      <c r="K668" s="7" t="n">
        <v>45496</v>
      </c>
      <c r="L668" s="7" t="inlineStr"/>
      <c r="M668" s="5" t="inlineStr">
        <is>
          <t>Yes</t>
        </is>
      </c>
      <c r="N668" s="5" t="inlineStr"/>
      <c r="O668" s="8" t="inlineStr">
        <is>
          <t>80500</t>
        </is>
      </c>
      <c r="P668" s="5" t="inlineStr">
        <is>
          <t>5</t>
        </is>
      </c>
      <c r="Q668" s="5" t="inlineStr">
        <is>
          <t>4</t>
        </is>
      </c>
      <c r="R668" s="5" t="inlineStr">
        <is>
          <t>10</t>
        </is>
      </c>
      <c r="S668" s="5" t="inlineStr">
        <is>
          <t>17</t>
        </is>
      </c>
      <c r="T668" s="5" t="inlineStr">
        <is>
          <t>5</t>
        </is>
      </c>
      <c r="U668" s="5" t="inlineStr">
        <is>
          <t>OK</t>
        </is>
      </c>
    </row>
    <row r="669">
      <c r="A669" s="5" t="inlineStr">
        <is>
          <t>E02349</t>
        </is>
      </c>
      <c r="B669" s="5" t="inlineStr">
        <is>
          <t>Male</t>
        </is>
      </c>
      <c r="C669" s="6" t="inlineStr">
        <is>
          <t>32</t>
        </is>
      </c>
      <c r="D669" s="5" t="inlineStr">
        <is>
          <t>Married</t>
        </is>
      </c>
      <c r="E669" s="5" t="inlineStr">
        <is>
          <t>High School</t>
        </is>
      </c>
      <c r="F669" s="5" t="inlineStr">
        <is>
          <t>Marketing</t>
        </is>
      </c>
      <c r="G669" s="5" t="inlineStr">
        <is>
          <t>SEO Specialist</t>
        </is>
      </c>
      <c r="H669" s="5" t="inlineStr">
        <is>
          <t>4</t>
        </is>
      </c>
      <c r="I669" s="5" t="inlineStr">
        <is>
          <t>Remote</t>
        </is>
      </c>
      <c r="J669" s="5" t="inlineStr">
        <is>
          <t>Full-Time</t>
        </is>
      </c>
      <c r="K669" s="7" t="n">
        <v>45663</v>
      </c>
      <c r="L669" s="7" t="inlineStr"/>
      <c r="M669" s="5" t="inlineStr">
        <is>
          <t>Yes</t>
        </is>
      </c>
      <c r="N669" s="5" t="inlineStr"/>
      <c r="O669" s="8" t="inlineStr">
        <is>
          <t>89500</t>
        </is>
      </c>
      <c r="P669" s="5" t="inlineStr">
        <is>
          <t>0</t>
        </is>
      </c>
      <c r="Q669" s="5" t="inlineStr">
        <is>
          <t>3</t>
        </is>
      </c>
      <c r="R669" s="5" t="inlineStr">
        <is>
          <t>6</t>
        </is>
      </c>
      <c r="S669" s="5" t="inlineStr">
        <is>
          <t>11</t>
        </is>
      </c>
      <c r="T669" s="5" t="inlineStr">
        <is>
          <t>11</t>
        </is>
      </c>
      <c r="U669" s="5" t="inlineStr">
        <is>
          <t>OK</t>
        </is>
      </c>
    </row>
    <row r="670">
      <c r="A670" s="5" t="inlineStr">
        <is>
          <t>E02523</t>
        </is>
      </c>
      <c r="B670" s="5" t="inlineStr">
        <is>
          <t>Male</t>
        </is>
      </c>
      <c r="C670" s="6" t="inlineStr">
        <is>
          <t>30</t>
        </is>
      </c>
      <c r="D670" s="5" t="inlineStr">
        <is>
          <t>Married</t>
        </is>
      </c>
      <c r="E670" s="5" t="inlineStr">
        <is>
          <t>PhD</t>
        </is>
      </c>
      <c r="F670" s="5" t="inlineStr">
        <is>
          <t>IT</t>
        </is>
      </c>
      <c r="G670" s="5" t="inlineStr">
        <is>
          <t>IT Support</t>
        </is>
      </c>
      <c r="H670" s="5" t="inlineStr">
        <is>
          <t>4</t>
        </is>
      </c>
      <c r="I670" s="5" t="inlineStr">
        <is>
          <t>Mumbai</t>
        </is>
      </c>
      <c r="J670" s="5" t="inlineStr">
        <is>
          <t>Full-Time</t>
        </is>
      </c>
      <c r="K670" s="7" t="n">
        <v>45863</v>
      </c>
      <c r="L670" s="7" t="inlineStr"/>
      <c r="M670" s="5" t="inlineStr">
        <is>
          <t>Yes</t>
        </is>
      </c>
      <c r="N670" s="5" t="inlineStr"/>
      <c r="O670" s="8" t="inlineStr">
        <is>
          <t>210500</t>
        </is>
      </c>
      <c r="P670" s="5" t="inlineStr">
        <is>
          <t>5</t>
        </is>
      </c>
      <c r="Q670" s="5" t="inlineStr">
        <is>
          <t>3</t>
        </is>
      </c>
      <c r="R670" s="5" t="inlineStr">
        <is>
          <t>7</t>
        </is>
      </c>
      <c r="S670" s="5" t="inlineStr">
        <is>
          <t>5</t>
        </is>
      </c>
      <c r="T670" s="5" t="inlineStr">
        <is>
          <t>6</t>
        </is>
      </c>
      <c r="U670" s="5" t="inlineStr">
        <is>
          <t>OK</t>
        </is>
      </c>
    </row>
    <row r="671">
      <c r="A671" s="5" t="inlineStr">
        <is>
          <t>E00166</t>
        </is>
      </c>
      <c r="B671" s="5" t="inlineStr">
        <is>
          <t>Male</t>
        </is>
      </c>
      <c r="C671" s="6" t="inlineStr">
        <is>
          <t>34</t>
        </is>
      </c>
      <c r="D671" s="5" t="inlineStr">
        <is>
          <t>Married</t>
        </is>
      </c>
      <c r="E671" s="5" t="inlineStr">
        <is>
          <t>PhD</t>
        </is>
      </c>
      <c r="F671" s="5" t="inlineStr">
        <is>
          <t>Research &amp; Development</t>
        </is>
      </c>
      <c r="G671" s="5" t="inlineStr">
        <is>
          <t>Data Scientist</t>
        </is>
      </c>
      <c r="H671" s="5" t="inlineStr">
        <is>
          <t>3</t>
        </is>
      </c>
      <c r="I671" s="5" t="inlineStr">
        <is>
          <t>Remote</t>
        </is>
      </c>
      <c r="J671" s="5" t="inlineStr">
        <is>
          <t>Full-Time</t>
        </is>
      </c>
      <c r="K671" s="7" t="n">
        <v>45453</v>
      </c>
      <c r="L671" s="7" t="inlineStr"/>
      <c r="M671" s="5" t="inlineStr">
        <is>
          <t>Yes</t>
        </is>
      </c>
      <c r="N671" s="5" t="inlineStr"/>
      <c r="O671" s="8" t="inlineStr">
        <is>
          <t>157000</t>
        </is>
      </c>
      <c r="P671" s="5" t="inlineStr">
        <is>
          <t>0</t>
        </is>
      </c>
      <c r="Q671" s="5" t="inlineStr">
        <is>
          <t>4</t>
        </is>
      </c>
      <c r="R671" s="5" t="inlineStr">
        <is>
          <t>3</t>
        </is>
      </c>
      <c r="S671" s="5" t="inlineStr">
        <is>
          <t>18</t>
        </is>
      </c>
      <c r="T671" s="5" t="inlineStr">
        <is>
          <t>18</t>
        </is>
      </c>
      <c r="U671" s="5" t="inlineStr">
        <is>
          <t>OK</t>
        </is>
      </c>
    </row>
    <row r="672">
      <c r="A672" s="5" t="inlineStr">
        <is>
          <t>E01839</t>
        </is>
      </c>
      <c r="B672" s="5" t="inlineStr">
        <is>
          <t>Female</t>
        </is>
      </c>
      <c r="C672" s="6" t="inlineStr">
        <is>
          <t>37</t>
        </is>
      </c>
      <c r="D672" s="5" t="inlineStr">
        <is>
          <t>Married</t>
        </is>
      </c>
      <c r="E672" s="5" t="inlineStr">
        <is>
          <t>Bachelor</t>
        </is>
      </c>
      <c r="F672" s="5" t="inlineStr">
        <is>
          <t>Finance</t>
        </is>
      </c>
      <c r="G672" s="5" t="inlineStr">
        <is>
          <t>Financial Analyst</t>
        </is>
      </c>
      <c r="H672" s="5" t="inlineStr">
        <is>
          <t>4</t>
        </is>
      </c>
      <c r="I672" s="5" t="inlineStr">
        <is>
          <t>Delhi</t>
        </is>
      </c>
      <c r="J672" s="5" t="inlineStr">
        <is>
          <t>Full-Time</t>
        </is>
      </c>
      <c r="K672" s="7" t="n">
        <v>43942</v>
      </c>
      <c r="L672" s="7" t="inlineStr"/>
      <c r="M672" s="5" t="inlineStr">
        <is>
          <t>Yes</t>
        </is>
      </c>
      <c r="N672" s="5" t="inlineStr"/>
      <c r="O672" s="8" t="inlineStr">
        <is>
          <t>145000</t>
        </is>
      </c>
      <c r="P672" s="5" t="inlineStr">
        <is>
          <t>5</t>
        </is>
      </c>
      <c r="Q672" s="5" t="inlineStr">
        <is>
          <t>4</t>
        </is>
      </c>
      <c r="R672" s="5" t="inlineStr">
        <is>
          <t>5</t>
        </is>
      </c>
      <c r="S672" s="5" t="inlineStr">
        <is>
          <t>69</t>
        </is>
      </c>
      <c r="T672" s="5" t="inlineStr">
        <is>
          <t>10</t>
        </is>
      </c>
      <c r="U672" s="5" t="inlineStr">
        <is>
          <t>OK</t>
        </is>
      </c>
    </row>
    <row r="673">
      <c r="A673" s="5" t="inlineStr">
        <is>
          <t>E02526</t>
        </is>
      </c>
      <c r="B673" s="5" t="inlineStr">
        <is>
          <t>Male</t>
        </is>
      </c>
      <c r="C673" s="6" t="inlineStr">
        <is>
          <t>27</t>
        </is>
      </c>
      <c r="D673" s="5" t="inlineStr">
        <is>
          <t>Married</t>
        </is>
      </c>
      <c r="E673" s="5" t="inlineStr">
        <is>
          <t>PhD</t>
        </is>
      </c>
      <c r="F673" s="5" t="inlineStr">
        <is>
          <t>IT</t>
        </is>
      </c>
      <c r="G673" s="5" t="inlineStr">
        <is>
          <t>Data Analyst</t>
        </is>
      </c>
      <c r="H673" s="5" t="inlineStr">
        <is>
          <t>3</t>
        </is>
      </c>
      <c r="I673" s="5" t="inlineStr">
        <is>
          <t>Bengaluru</t>
        </is>
      </c>
      <c r="J673" s="5" t="inlineStr">
        <is>
          <t>Full-Time</t>
        </is>
      </c>
      <c r="K673" s="7" t="n">
        <v>45346</v>
      </c>
      <c r="L673" s="7" t="inlineStr"/>
      <c r="M673" s="5" t="inlineStr">
        <is>
          <t>Yes</t>
        </is>
      </c>
      <c r="N673" s="5" t="inlineStr"/>
      <c r="O673" s="8" t="inlineStr">
        <is>
          <t>157000</t>
        </is>
      </c>
      <c r="P673" s="5" t="inlineStr">
        <is>
          <t>5</t>
        </is>
      </c>
      <c r="Q673" s="5" t="inlineStr">
        <is>
          <t>1</t>
        </is>
      </c>
      <c r="R673" s="5" t="inlineStr">
        <is>
          <t>6</t>
        </is>
      </c>
      <c r="S673" s="5" t="inlineStr">
        <is>
          <t>22</t>
        </is>
      </c>
      <c r="T673" s="5" t="inlineStr">
        <is>
          <t>0</t>
        </is>
      </c>
      <c r="U673" s="5" t="inlineStr">
        <is>
          <t>OK</t>
        </is>
      </c>
    </row>
    <row r="674">
      <c r="A674" s="5" t="inlineStr">
        <is>
          <t>E00653</t>
        </is>
      </c>
      <c r="B674" s="5" t="inlineStr">
        <is>
          <t>Female</t>
        </is>
      </c>
      <c r="C674" s="6" t="inlineStr">
        <is>
          <t>36</t>
        </is>
      </c>
      <c r="D674" s="5" t="inlineStr">
        <is>
          <t>Single</t>
        </is>
      </c>
      <c r="E674" s="5" t="inlineStr">
        <is>
          <t>Master</t>
        </is>
      </c>
      <c r="F674" s="5" t="inlineStr">
        <is>
          <t>Sales</t>
        </is>
      </c>
      <c r="G674" s="5" t="inlineStr">
        <is>
          <t>Sales Executive</t>
        </is>
      </c>
      <c r="H674" s="5" t="inlineStr">
        <is>
          <t>5</t>
        </is>
      </c>
      <c r="I674" s="5" t="inlineStr">
        <is>
          <t>Hyderabad</t>
        </is>
      </c>
      <c r="J674" s="5" t="inlineStr">
        <is>
          <t>Full-Time</t>
        </is>
      </c>
      <c r="K674" s="7" t="n">
        <v>45851</v>
      </c>
      <c r="L674" s="7" t="inlineStr"/>
      <c r="M674" s="5" t="inlineStr">
        <is>
          <t>Yes</t>
        </is>
      </c>
      <c r="N674" s="5" t="inlineStr"/>
      <c r="O674" s="8" t="inlineStr">
        <is>
          <t>134000</t>
        </is>
      </c>
      <c r="P674" s="5" t="inlineStr">
        <is>
          <t>5</t>
        </is>
      </c>
      <c r="Q674" s="5" t="inlineStr">
        <is>
          <t>4</t>
        </is>
      </c>
      <c r="R674" s="5" t="inlineStr">
        <is>
          <t>4</t>
        </is>
      </c>
      <c r="S674" s="5" t="inlineStr">
        <is>
          <t>5</t>
        </is>
      </c>
      <c r="T674" s="5" t="inlineStr">
        <is>
          <t>5</t>
        </is>
      </c>
      <c r="U674" s="5" t="inlineStr">
        <is>
          <t>OK</t>
        </is>
      </c>
    </row>
    <row r="675">
      <c r="A675" s="5" t="inlineStr">
        <is>
          <t>E00007</t>
        </is>
      </c>
      <c r="B675" s="5" t="inlineStr">
        <is>
          <t>Female</t>
        </is>
      </c>
      <c r="C675" s="6" t="inlineStr">
        <is>
          <t>38</t>
        </is>
      </c>
      <c r="D675" s="5" t="inlineStr">
        <is>
          <t>Married</t>
        </is>
      </c>
      <c r="E675" s="5" t="inlineStr">
        <is>
          <t>PhD</t>
        </is>
      </c>
      <c r="F675" s="5" t="inlineStr">
        <is>
          <t>Finance</t>
        </is>
      </c>
      <c r="G675" s="5" t="inlineStr">
        <is>
          <t>Credit Analyst</t>
        </is>
      </c>
      <c r="H675" s="5" t="inlineStr">
        <is>
          <t>5</t>
        </is>
      </c>
      <c r="I675" s="5" t="inlineStr">
        <is>
          <t>Remote</t>
        </is>
      </c>
      <c r="J675" s="5" t="inlineStr">
        <is>
          <t>Full-Time</t>
        </is>
      </c>
      <c r="K675" s="7" t="n">
        <v>43868</v>
      </c>
      <c r="L675" s="7" t="inlineStr"/>
      <c r="M675" s="5" t="inlineStr">
        <is>
          <t>Yes</t>
        </is>
      </c>
      <c r="N675" s="5" t="inlineStr"/>
      <c r="O675" s="8" t="inlineStr">
        <is>
          <t>158000</t>
        </is>
      </c>
      <c r="P675" s="5" t="inlineStr">
        <is>
          <t>5</t>
        </is>
      </c>
      <c r="Q675" s="5" t="inlineStr">
        <is>
          <t>5</t>
        </is>
      </c>
      <c r="R675" s="5" t="inlineStr">
        <is>
          <t>8</t>
        </is>
      </c>
      <c r="S675" s="5" t="inlineStr">
        <is>
          <t>71</t>
        </is>
      </c>
      <c r="T675" s="5" t="inlineStr">
        <is>
          <t>3</t>
        </is>
      </c>
      <c r="U675" s="5" t="inlineStr">
        <is>
          <t>OK</t>
        </is>
      </c>
    </row>
    <row r="676">
      <c r="A676" s="5" t="inlineStr">
        <is>
          <t>E02831</t>
        </is>
      </c>
      <c r="B676" s="5" t="inlineStr">
        <is>
          <t>Female</t>
        </is>
      </c>
      <c r="C676" s="6" t="inlineStr">
        <is>
          <t>30</t>
        </is>
      </c>
      <c r="D676" s="5" t="inlineStr">
        <is>
          <t>Married</t>
        </is>
      </c>
      <c r="E676" s="5" t="inlineStr">
        <is>
          <t>Master</t>
        </is>
      </c>
      <c r="F676" s="5" t="inlineStr">
        <is>
          <t>Operations</t>
        </is>
      </c>
      <c r="G676" s="5" t="inlineStr">
        <is>
          <t>Operations Analyst</t>
        </is>
      </c>
      <c r="H676" s="5" t="inlineStr">
        <is>
          <t>2</t>
        </is>
      </c>
      <c r="I676" s="5" t="inlineStr">
        <is>
          <t>Delhi</t>
        </is>
      </c>
      <c r="J676" s="5" t="inlineStr">
        <is>
          <t>Full-Time</t>
        </is>
      </c>
      <c r="K676" s="7" t="n">
        <v>44393</v>
      </c>
      <c r="L676" s="7" t="inlineStr"/>
      <c r="M676" s="5" t="inlineStr">
        <is>
          <t>Yes</t>
        </is>
      </c>
      <c r="N676" s="5" t="inlineStr"/>
      <c r="O676" s="8" t="inlineStr">
        <is>
          <t>79500</t>
        </is>
      </c>
      <c r="P676" s="5" t="inlineStr">
        <is>
          <t>20</t>
        </is>
      </c>
      <c r="Q676" s="5" t="inlineStr">
        <is>
          <t>5</t>
        </is>
      </c>
      <c r="R676" s="5" t="inlineStr">
        <is>
          <t>5</t>
        </is>
      </c>
      <c r="S676" s="5" t="inlineStr">
        <is>
          <t>54</t>
        </is>
      </c>
      <c r="T676" s="5" t="inlineStr">
        <is>
          <t>10</t>
        </is>
      </c>
      <c r="U676" s="5" t="inlineStr">
        <is>
          <t>OK</t>
        </is>
      </c>
    </row>
    <row r="677">
      <c r="A677" s="5" t="inlineStr">
        <is>
          <t>E00314</t>
        </is>
      </c>
      <c r="B677" s="5" t="inlineStr">
        <is>
          <t>Male</t>
        </is>
      </c>
      <c r="C677" s="6" t="inlineStr">
        <is>
          <t>37</t>
        </is>
      </c>
      <c r="D677" s="5" t="inlineStr">
        <is>
          <t>Married</t>
        </is>
      </c>
      <c r="E677" s="5" t="inlineStr">
        <is>
          <t>PhD</t>
        </is>
      </c>
      <c r="F677" s="5" t="inlineStr">
        <is>
          <t>Operations</t>
        </is>
      </c>
      <c r="G677" s="5" t="inlineStr">
        <is>
          <t>Logistics Coordinator</t>
        </is>
      </c>
      <c r="H677" s="5" t="inlineStr">
        <is>
          <t>3</t>
        </is>
      </c>
      <c r="I677" s="5" t="inlineStr">
        <is>
          <t>Chennai</t>
        </is>
      </c>
      <c r="J677" s="5" t="inlineStr">
        <is>
          <t>Full-Time</t>
        </is>
      </c>
      <c r="K677" s="7" t="n">
        <v>45627</v>
      </c>
      <c r="L677" s="7" t="inlineStr"/>
      <c r="M677" s="5" t="inlineStr">
        <is>
          <t>Yes</t>
        </is>
      </c>
      <c r="N677" s="5" t="inlineStr"/>
      <c r="O677" s="8" t="inlineStr">
        <is>
          <t>74500</t>
        </is>
      </c>
      <c r="P677" s="5" t="inlineStr">
        <is>
          <t>5</t>
        </is>
      </c>
      <c r="Q677" s="5" t="inlineStr">
        <is>
          <t>5</t>
        </is>
      </c>
      <c r="R677" s="5" t="inlineStr">
        <is>
          <t>9</t>
        </is>
      </c>
      <c r="S677" s="5" t="inlineStr">
        <is>
          <t>13</t>
        </is>
      </c>
      <c r="T677" s="5" t="inlineStr">
        <is>
          <t>8</t>
        </is>
      </c>
      <c r="U677" s="5" t="inlineStr">
        <is>
          <t>OK</t>
        </is>
      </c>
    </row>
    <row r="678">
      <c r="A678" s="5" t="inlineStr">
        <is>
          <t>E00500</t>
        </is>
      </c>
      <c r="B678" s="5" t="inlineStr">
        <is>
          <t>Female</t>
        </is>
      </c>
      <c r="C678" s="6" t="inlineStr">
        <is>
          <t>33</t>
        </is>
      </c>
      <c r="D678" s="5" t="inlineStr">
        <is>
          <t>Single</t>
        </is>
      </c>
      <c r="E678" s="5" t="inlineStr">
        <is>
          <t>PhD</t>
        </is>
      </c>
      <c r="F678" s="5" t="inlineStr">
        <is>
          <t>Operations</t>
        </is>
      </c>
      <c r="G678" s="5" t="inlineStr">
        <is>
          <t>Operations Analyst</t>
        </is>
      </c>
      <c r="H678" s="5" t="inlineStr">
        <is>
          <t>4</t>
        </is>
      </c>
      <c r="I678" s="5" t="inlineStr">
        <is>
          <t>Delhi</t>
        </is>
      </c>
      <c r="J678" s="5" t="inlineStr">
        <is>
          <t>Full-Time</t>
        </is>
      </c>
      <c r="K678" s="7" t="n">
        <v>45286</v>
      </c>
      <c r="L678" s="7" t="inlineStr"/>
      <c r="M678" s="5" t="inlineStr">
        <is>
          <t>Yes</t>
        </is>
      </c>
      <c r="N678" s="5" t="inlineStr"/>
      <c r="O678" s="8" t="inlineStr">
        <is>
          <t>116000</t>
        </is>
      </c>
      <c r="P678" s="5" t="inlineStr">
        <is>
          <t>15</t>
        </is>
      </c>
      <c r="Q678" s="5" t="inlineStr">
        <is>
          <t>4</t>
        </is>
      </c>
      <c r="R678" s="5" t="inlineStr">
        <is>
          <t>7</t>
        </is>
      </c>
      <c r="S678" s="5" t="inlineStr">
        <is>
          <t>24</t>
        </is>
      </c>
      <c r="T678" s="5" t="inlineStr">
        <is>
          <t>13</t>
        </is>
      </c>
      <c r="U678" s="5" t="inlineStr">
        <is>
          <t>OK</t>
        </is>
      </c>
    </row>
    <row r="679">
      <c r="A679" s="5" t="inlineStr">
        <is>
          <t>E00524</t>
        </is>
      </c>
      <c r="B679" s="5" t="inlineStr">
        <is>
          <t>Female</t>
        </is>
      </c>
      <c r="C679" s="6" t="inlineStr">
        <is>
          <t>32</t>
        </is>
      </c>
      <c r="D679" s="5" t="inlineStr">
        <is>
          <t>Married</t>
        </is>
      </c>
      <c r="E679" s="5" t="inlineStr">
        <is>
          <t>Master</t>
        </is>
      </c>
      <c r="F679" s="5" t="inlineStr">
        <is>
          <t>Human Resources</t>
        </is>
      </c>
      <c r="G679" s="5" t="inlineStr">
        <is>
          <t>Recruiter</t>
        </is>
      </c>
      <c r="H679" s="5" t="inlineStr">
        <is>
          <t>4</t>
        </is>
      </c>
      <c r="I679" s="5" t="inlineStr">
        <is>
          <t>Bengaluru</t>
        </is>
      </c>
      <c r="J679" s="5" t="inlineStr">
        <is>
          <t>Full-Time</t>
        </is>
      </c>
      <c r="K679" s="7" t="n">
        <v>44923</v>
      </c>
      <c r="L679" s="7" t="inlineStr"/>
      <c r="M679" s="5" t="inlineStr">
        <is>
          <t>Yes</t>
        </is>
      </c>
      <c r="N679" s="5" t="inlineStr"/>
      <c r="O679" s="8" t="inlineStr">
        <is>
          <t>82000</t>
        </is>
      </c>
      <c r="P679" s="5" t="inlineStr">
        <is>
          <t>5</t>
        </is>
      </c>
      <c r="Q679" s="5" t="inlineStr">
        <is>
          <t>5</t>
        </is>
      </c>
      <c r="R679" s="5" t="inlineStr">
        <is>
          <t>3</t>
        </is>
      </c>
      <c r="S679" s="5" t="inlineStr">
        <is>
          <t>36</t>
        </is>
      </c>
      <c r="T679" s="5" t="inlineStr">
        <is>
          <t>0</t>
        </is>
      </c>
      <c r="U679" s="5" t="inlineStr">
        <is>
          <t>OK</t>
        </is>
      </c>
    </row>
    <row r="680">
      <c r="A680" s="5" t="inlineStr">
        <is>
          <t>E02148</t>
        </is>
      </c>
      <c r="B680" s="5" t="inlineStr">
        <is>
          <t>Female</t>
        </is>
      </c>
      <c r="C680" s="6" t="inlineStr">
        <is>
          <t>31</t>
        </is>
      </c>
      <c r="D680" s="5" t="inlineStr">
        <is>
          <t>Divorced</t>
        </is>
      </c>
      <c r="E680" s="5" t="inlineStr">
        <is>
          <t>Bachelor</t>
        </is>
      </c>
      <c r="F680" s="5" t="inlineStr">
        <is>
          <t>Research &amp; Development</t>
        </is>
      </c>
      <c r="G680" s="5" t="inlineStr">
        <is>
          <t>Product Engineer</t>
        </is>
      </c>
      <c r="H680" s="5" t="inlineStr">
        <is>
          <t>2</t>
        </is>
      </c>
      <c r="I680" s="5" t="inlineStr">
        <is>
          <t>Hyderabad</t>
        </is>
      </c>
      <c r="J680" s="5" t="inlineStr">
        <is>
          <t>Full-Time</t>
        </is>
      </c>
      <c r="K680" s="7" t="n">
        <v>43899</v>
      </c>
      <c r="L680" s="7" t="n">
        <v>44008</v>
      </c>
      <c r="M680" s="5" t="inlineStr">
        <is>
          <t>No</t>
        </is>
      </c>
      <c r="N680" s="5" t="inlineStr">
        <is>
          <t>Resigned</t>
        </is>
      </c>
      <c r="O680" s="8" t="inlineStr">
        <is>
          <t>148500</t>
        </is>
      </c>
      <c r="P680" s="5" t="inlineStr">
        <is>
          <t>5</t>
        </is>
      </c>
      <c r="Q680" s="5" t="inlineStr">
        <is>
          <t>4</t>
        </is>
      </c>
      <c r="R680" s="5" t="inlineStr">
        <is>
          <t>6</t>
        </is>
      </c>
      <c r="S680" s="5" t="inlineStr">
        <is>
          <t>3</t>
        </is>
      </c>
      <c r="T680" s="5" t="inlineStr">
        <is>
          <t>11</t>
        </is>
      </c>
      <c r="U680" s="5" t="inlineStr">
        <is>
          <t>OK</t>
        </is>
      </c>
    </row>
    <row r="681">
      <c r="A681" s="5" t="inlineStr">
        <is>
          <t>E00335</t>
        </is>
      </c>
      <c r="B681" s="5" t="inlineStr">
        <is>
          <t>Female</t>
        </is>
      </c>
      <c r="C681" s="6" t="inlineStr">
        <is>
          <t>31</t>
        </is>
      </c>
      <c r="D681" s="5" t="inlineStr">
        <is>
          <t>Married</t>
        </is>
      </c>
      <c r="E681" s="5" t="inlineStr">
        <is>
          <t>Master</t>
        </is>
      </c>
      <c r="F681" s="5" t="inlineStr">
        <is>
          <t>Operations</t>
        </is>
      </c>
      <c r="G681" s="5" t="inlineStr">
        <is>
          <t>Logistics Coordinator</t>
        </is>
      </c>
      <c r="H681" s="5" t="inlineStr">
        <is>
          <t>3</t>
        </is>
      </c>
      <c r="I681" s="5" t="inlineStr">
        <is>
          <t>Delhi</t>
        </is>
      </c>
      <c r="J681" s="5" t="inlineStr">
        <is>
          <t>Full-Time</t>
        </is>
      </c>
      <c r="K681" s="7" t="n">
        <v>44568</v>
      </c>
      <c r="L681" s="7" t="n">
        <v>44692</v>
      </c>
      <c r="M681" s="5" t="inlineStr">
        <is>
          <t>No</t>
        </is>
      </c>
      <c r="N681" s="5" t="inlineStr">
        <is>
          <t>Relocation</t>
        </is>
      </c>
      <c r="O681" s="8" t="inlineStr">
        <is>
          <t>119000</t>
        </is>
      </c>
      <c r="P681" s="5" t="inlineStr">
        <is>
          <t>0</t>
        </is>
      </c>
      <c r="Q681" s="5" t="inlineStr">
        <is>
          <t>5</t>
        </is>
      </c>
      <c r="R681" s="5" t="inlineStr">
        <is>
          <t>4</t>
        </is>
      </c>
      <c r="S681" s="5" t="inlineStr">
        <is>
          <t>4</t>
        </is>
      </c>
      <c r="T681" s="5" t="inlineStr">
        <is>
          <t>5</t>
        </is>
      </c>
      <c r="U681" s="5" t="inlineStr">
        <is>
          <t>OK</t>
        </is>
      </c>
    </row>
    <row r="682">
      <c r="A682" s="5" t="inlineStr">
        <is>
          <t>E01395</t>
        </is>
      </c>
      <c r="B682" s="5" t="inlineStr">
        <is>
          <t>Female</t>
        </is>
      </c>
      <c r="C682" s="6" t="inlineStr">
        <is>
          <t>28</t>
        </is>
      </c>
      <c r="D682" s="5" t="inlineStr">
        <is>
          <t>Married</t>
        </is>
      </c>
      <c r="E682" s="5" t="inlineStr">
        <is>
          <t>Diploma</t>
        </is>
      </c>
      <c r="F682" s="5" t="inlineStr">
        <is>
          <t>Customer Support</t>
        </is>
      </c>
      <c r="G682" s="5" t="inlineStr">
        <is>
          <t>Support Lead</t>
        </is>
      </c>
      <c r="H682" s="5" t="inlineStr">
        <is>
          <t>3</t>
        </is>
      </c>
      <c r="I682" s="5" t="inlineStr">
        <is>
          <t>Delhi</t>
        </is>
      </c>
      <c r="J682" s="5" t="inlineStr">
        <is>
          <t>Full-Time</t>
        </is>
      </c>
      <c r="K682" s="7" t="n">
        <v>44649</v>
      </c>
      <c r="L682" s="7" t="inlineStr"/>
      <c r="M682" s="5" t="inlineStr">
        <is>
          <t>Yes</t>
        </is>
      </c>
      <c r="N682" s="5" t="inlineStr"/>
      <c r="O682" s="8" t="inlineStr">
        <is>
          <t>75000</t>
        </is>
      </c>
      <c r="P682" s="5" t="inlineStr">
        <is>
          <t>0</t>
        </is>
      </c>
      <c r="Q682" s="5" t="inlineStr">
        <is>
          <t>3</t>
        </is>
      </c>
      <c r="R682" s="5" t="inlineStr">
        <is>
          <t>7</t>
        </is>
      </c>
      <c r="S682" s="5" t="inlineStr">
        <is>
          <t>45</t>
        </is>
      </c>
      <c r="T682" s="5" t="inlineStr">
        <is>
          <t>5</t>
        </is>
      </c>
      <c r="U682" s="5" t="inlineStr">
        <is>
          <t>OK</t>
        </is>
      </c>
    </row>
    <row r="683">
      <c r="A683" s="5" t="inlineStr">
        <is>
          <t>E01857</t>
        </is>
      </c>
      <c r="B683" s="5" t="inlineStr">
        <is>
          <t>Male</t>
        </is>
      </c>
      <c r="C683" s="6" t="inlineStr">
        <is>
          <t>41</t>
        </is>
      </c>
      <c r="D683" s="5" t="inlineStr">
        <is>
          <t>Married</t>
        </is>
      </c>
      <c r="E683" s="5" t="inlineStr">
        <is>
          <t>Bachelor</t>
        </is>
      </c>
      <c r="F683" s="5" t="inlineStr">
        <is>
          <t>Customer Support</t>
        </is>
      </c>
      <c r="G683" s="5" t="inlineStr">
        <is>
          <t>Support Agent</t>
        </is>
      </c>
      <c r="H683" s="5" t="inlineStr">
        <is>
          <t>7</t>
        </is>
      </c>
      <c r="I683" s="5" t="inlineStr">
        <is>
          <t>Bengaluru</t>
        </is>
      </c>
      <c r="J683" s="5" t="inlineStr">
        <is>
          <t>Full-Time</t>
        </is>
      </c>
      <c r="K683" s="7" t="n">
        <v>45020</v>
      </c>
      <c r="L683" s="7" t="inlineStr"/>
      <c r="M683" s="5" t="inlineStr">
        <is>
          <t>Yes</t>
        </is>
      </c>
      <c r="N683" s="5" t="inlineStr"/>
      <c r="O683" s="8" t="inlineStr">
        <is>
          <t>133500</t>
        </is>
      </c>
      <c r="P683" s="5" t="inlineStr">
        <is>
          <t>5</t>
        </is>
      </c>
      <c r="Q683" s="5" t="inlineStr">
        <is>
          <t>5</t>
        </is>
      </c>
      <c r="R683" s="5" t="inlineStr">
        <is>
          <t>5</t>
        </is>
      </c>
      <c r="S683" s="5" t="inlineStr">
        <is>
          <t>33</t>
        </is>
      </c>
      <c r="T683" s="5" t="inlineStr">
        <is>
          <t>0</t>
        </is>
      </c>
      <c r="U683" s="5" t="inlineStr">
        <is>
          <t>OK</t>
        </is>
      </c>
    </row>
    <row r="684">
      <c r="A684" s="5" t="inlineStr">
        <is>
          <t>E02757</t>
        </is>
      </c>
      <c r="B684" s="5" t="inlineStr">
        <is>
          <t>Male</t>
        </is>
      </c>
      <c r="C684" s="6" t="inlineStr">
        <is>
          <t>25</t>
        </is>
      </c>
      <c r="D684" s="5" t="inlineStr">
        <is>
          <t>Married</t>
        </is>
      </c>
      <c r="E684" s="5" t="inlineStr">
        <is>
          <t>Master</t>
        </is>
      </c>
      <c r="F684" s="5" t="inlineStr">
        <is>
          <t>Customer Support</t>
        </is>
      </c>
      <c r="G684" s="5" t="inlineStr">
        <is>
          <t>Support Lead</t>
        </is>
      </c>
      <c r="H684" s="5" t="inlineStr">
        <is>
          <t>1</t>
        </is>
      </c>
      <c r="I684" s="5" t="inlineStr">
        <is>
          <t>Delhi</t>
        </is>
      </c>
      <c r="J684" s="5" t="inlineStr">
        <is>
          <t>Full-Time</t>
        </is>
      </c>
      <c r="K684" s="7" t="n">
        <v>43955</v>
      </c>
      <c r="L684" s="7" t="n">
        <v>44053</v>
      </c>
      <c r="M684" s="5" t="inlineStr">
        <is>
          <t>No</t>
        </is>
      </c>
      <c r="N684" s="5" t="inlineStr">
        <is>
          <t>Layoff</t>
        </is>
      </c>
      <c r="O684" s="8" t="inlineStr">
        <is>
          <t>66500</t>
        </is>
      </c>
      <c r="P684" s="5" t="inlineStr">
        <is>
          <t>0</t>
        </is>
      </c>
      <c r="Q684" s="5" t="inlineStr">
        <is>
          <t>5</t>
        </is>
      </c>
      <c r="R684" s="5" t="inlineStr">
        <is>
          <t>8</t>
        </is>
      </c>
      <c r="S684" s="5" t="inlineStr">
        <is>
          <t>3</t>
        </is>
      </c>
      <c r="T684" s="5" t="inlineStr">
        <is>
          <t>5</t>
        </is>
      </c>
      <c r="U684" s="5" t="inlineStr">
        <is>
          <t>OK</t>
        </is>
      </c>
    </row>
    <row r="685">
      <c r="A685" s="5" t="inlineStr">
        <is>
          <t>E02001</t>
        </is>
      </c>
      <c r="B685" s="5" t="inlineStr">
        <is>
          <t>Male</t>
        </is>
      </c>
      <c r="C685" s="6" t="inlineStr">
        <is>
          <t>27</t>
        </is>
      </c>
      <c r="D685" s="5" t="inlineStr">
        <is>
          <t>Single</t>
        </is>
      </c>
      <c r="E685" s="5" t="inlineStr">
        <is>
          <t>PhD</t>
        </is>
      </c>
      <c r="F685" s="5" t="inlineStr">
        <is>
          <t>Sales</t>
        </is>
      </c>
      <c r="G685" s="5" t="inlineStr">
        <is>
          <t>Account Executive</t>
        </is>
      </c>
      <c r="H685" s="5" t="inlineStr">
        <is>
          <t>1</t>
        </is>
      </c>
      <c r="I685" s="5" t="inlineStr">
        <is>
          <t>Bengaluru</t>
        </is>
      </c>
      <c r="J685" s="5" t="inlineStr">
        <is>
          <t>Full-Time</t>
        </is>
      </c>
      <c r="K685" s="7" t="n">
        <v>43997</v>
      </c>
      <c r="L685" s="7" t="inlineStr"/>
      <c r="M685" s="5" t="inlineStr">
        <is>
          <t>Yes</t>
        </is>
      </c>
      <c r="N685" s="5" t="inlineStr"/>
      <c r="O685" s="8" t="inlineStr">
        <is>
          <t>90500</t>
        </is>
      </c>
      <c r="P685" s="5" t="inlineStr">
        <is>
          <t>5</t>
        </is>
      </c>
      <c r="Q685" s="5" t="inlineStr">
        <is>
          <t>4</t>
        </is>
      </c>
      <c r="R685" s="5" t="inlineStr">
        <is>
          <t>6</t>
        </is>
      </c>
      <c r="S685" s="5" t="inlineStr">
        <is>
          <t>67</t>
        </is>
      </c>
      <c r="T685" s="5" t="inlineStr">
        <is>
          <t>3</t>
        </is>
      </c>
      <c r="U685" s="5" t="inlineStr">
        <is>
          <t>OK</t>
        </is>
      </c>
    </row>
    <row r="686">
      <c r="A686" s="5" t="inlineStr">
        <is>
          <t>E01119</t>
        </is>
      </c>
      <c r="B686" s="5" t="inlineStr">
        <is>
          <t>Female</t>
        </is>
      </c>
      <c r="C686" s="6" t="inlineStr">
        <is>
          <t>34</t>
        </is>
      </c>
      <c r="D686" s="5" t="inlineStr">
        <is>
          <t>Single</t>
        </is>
      </c>
      <c r="E686" s="5" t="inlineStr">
        <is>
          <t>Bachelor</t>
        </is>
      </c>
      <c r="F686" s="5" t="inlineStr">
        <is>
          <t>Research &amp; Development</t>
        </is>
      </c>
      <c r="G686" s="5" t="inlineStr">
        <is>
          <t>Product Engineer</t>
        </is>
      </c>
      <c r="H686" s="5" t="inlineStr">
        <is>
          <t>6</t>
        </is>
      </c>
      <c r="I686" s="5" t="inlineStr">
        <is>
          <t>Mumbai</t>
        </is>
      </c>
      <c r="J686" s="5" t="inlineStr">
        <is>
          <t>Full-Time</t>
        </is>
      </c>
      <c r="K686" s="7" t="n">
        <v>45658</v>
      </c>
      <c r="L686" s="7" t="n">
        <v>45690</v>
      </c>
      <c r="M686" s="5" t="inlineStr">
        <is>
          <t>No</t>
        </is>
      </c>
      <c r="N686" s="5" t="inlineStr">
        <is>
          <t>Resigned</t>
        </is>
      </c>
      <c r="O686" s="8" t="inlineStr">
        <is>
          <t>246500</t>
        </is>
      </c>
      <c r="P686" s="5" t="inlineStr">
        <is>
          <t>0</t>
        </is>
      </c>
      <c r="Q686" s="5" t="inlineStr">
        <is>
          <t>4</t>
        </is>
      </c>
      <c r="R686" s="5" t="inlineStr">
        <is>
          <t>9</t>
        </is>
      </c>
      <c r="S686" s="5" t="inlineStr">
        <is>
          <t>1</t>
        </is>
      </c>
      <c r="T686" s="5" t="inlineStr">
        <is>
          <t>0</t>
        </is>
      </c>
      <c r="U686" s="5" t="inlineStr">
        <is>
          <t>OK</t>
        </is>
      </c>
    </row>
    <row r="687">
      <c r="A687" s="5" t="inlineStr">
        <is>
          <t>E01292</t>
        </is>
      </c>
      <c r="B687" s="5" t="inlineStr">
        <is>
          <t>Male</t>
        </is>
      </c>
      <c r="C687" s="6" t="inlineStr">
        <is>
          <t>31</t>
        </is>
      </c>
      <c r="D687" s="5" t="inlineStr">
        <is>
          <t>Married</t>
        </is>
      </c>
      <c r="E687" s="5" t="inlineStr">
        <is>
          <t>Bachelor</t>
        </is>
      </c>
      <c r="F687" s="5" t="inlineStr">
        <is>
          <t>Customer Support</t>
        </is>
      </c>
      <c r="G687" s="5" t="inlineStr">
        <is>
          <t>Escalation Specialist</t>
        </is>
      </c>
      <c r="H687" s="5" t="inlineStr">
        <is>
          <t>3</t>
        </is>
      </c>
      <c r="I687" s="5" t="inlineStr">
        <is>
          <t>Chennai</t>
        </is>
      </c>
      <c r="J687" s="5" t="inlineStr">
        <is>
          <t>Full-Time</t>
        </is>
      </c>
      <c r="K687" s="7" t="n">
        <v>46012</v>
      </c>
      <c r="L687" s="7" t="inlineStr"/>
      <c r="M687" s="5" t="inlineStr">
        <is>
          <t>Yes</t>
        </is>
      </c>
      <c r="N687" s="5" t="inlineStr"/>
      <c r="O687" s="8" t="inlineStr">
        <is>
          <t>53500</t>
        </is>
      </c>
      <c r="P687" s="5" t="inlineStr">
        <is>
          <t>0</t>
        </is>
      </c>
      <c r="Q687" s="5" t="inlineStr">
        <is>
          <t>2</t>
        </is>
      </c>
      <c r="R687" s="5" t="inlineStr">
        <is>
          <t>6</t>
        </is>
      </c>
      <c r="S687" s="5" t="inlineStr">
        <is>
          <t>1</t>
        </is>
      </c>
      <c r="T687" s="5" t="inlineStr">
        <is>
          <t>4</t>
        </is>
      </c>
      <c r="U687" s="5" t="inlineStr">
        <is>
          <t>OK</t>
        </is>
      </c>
    </row>
    <row r="688">
      <c r="A688" s="5" t="inlineStr">
        <is>
          <t>E02840</t>
        </is>
      </c>
      <c r="B688" s="5" t="inlineStr">
        <is>
          <t>Male</t>
        </is>
      </c>
      <c r="C688" s="6" t="inlineStr">
        <is>
          <t>31</t>
        </is>
      </c>
      <c r="D688" s="5" t="inlineStr">
        <is>
          <t>Divorced</t>
        </is>
      </c>
      <c r="E688" s="5" t="inlineStr">
        <is>
          <t>Master</t>
        </is>
      </c>
      <c r="F688" s="5" t="inlineStr">
        <is>
          <t>Finance</t>
        </is>
      </c>
      <c r="G688" s="5" t="inlineStr">
        <is>
          <t>Credit Analyst</t>
        </is>
      </c>
      <c r="H688" s="5" t="inlineStr">
        <is>
          <t>1</t>
        </is>
      </c>
      <c r="I688" s="5" t="inlineStr">
        <is>
          <t>Bengaluru</t>
        </is>
      </c>
      <c r="J688" s="5" t="inlineStr">
        <is>
          <t>Full-Time</t>
        </is>
      </c>
      <c r="K688" s="7" t="n">
        <v>44178</v>
      </c>
      <c r="L688" s="7" t="inlineStr"/>
      <c r="M688" s="5" t="inlineStr">
        <is>
          <t>Yes</t>
        </is>
      </c>
      <c r="N688" s="5" t="inlineStr"/>
      <c r="O688" s="8" t="inlineStr">
        <is>
          <t>100500</t>
        </is>
      </c>
      <c r="P688" s="5" t="inlineStr">
        <is>
          <t>0</t>
        </is>
      </c>
      <c r="Q688" s="5" t="inlineStr">
        <is>
          <t>4</t>
        </is>
      </c>
      <c r="R688" s="5" t="inlineStr">
        <is>
          <t>4</t>
        </is>
      </c>
      <c r="S688" s="5" t="inlineStr">
        <is>
          <t>61</t>
        </is>
      </c>
      <c r="T688" s="5" t="inlineStr">
        <is>
          <t>5</t>
        </is>
      </c>
      <c r="U688" s="5" t="inlineStr">
        <is>
          <t>OK</t>
        </is>
      </c>
    </row>
    <row r="689">
      <c r="A689" s="5" t="inlineStr">
        <is>
          <t>E02858</t>
        </is>
      </c>
      <c r="B689" s="5" t="inlineStr">
        <is>
          <t>Male</t>
        </is>
      </c>
      <c r="C689" s="6" t="inlineStr">
        <is>
          <t>31</t>
        </is>
      </c>
      <c r="D689" s="5" t="inlineStr">
        <is>
          <t>Married</t>
        </is>
      </c>
      <c r="E689" s="5" t="inlineStr">
        <is>
          <t>Diploma</t>
        </is>
      </c>
      <c r="F689" s="5" t="inlineStr">
        <is>
          <t>IT</t>
        </is>
      </c>
      <c r="G689" s="5" t="inlineStr">
        <is>
          <t>DevOps Engineer</t>
        </is>
      </c>
      <c r="H689" s="5" t="inlineStr">
        <is>
          <t>2</t>
        </is>
      </c>
      <c r="I689" s="5" t="inlineStr">
        <is>
          <t>Chennai</t>
        </is>
      </c>
      <c r="J689" s="5" t="inlineStr">
        <is>
          <t>Full-Time</t>
        </is>
      </c>
      <c r="K689" s="7" t="n">
        <v>45517</v>
      </c>
      <c r="L689" s="7" t="inlineStr"/>
      <c r="M689" s="5" t="inlineStr">
        <is>
          <t>Yes</t>
        </is>
      </c>
      <c r="N689" s="5" t="inlineStr"/>
      <c r="O689" s="8" t="inlineStr">
        <is>
          <t>113000</t>
        </is>
      </c>
      <c r="P689" s="5" t="inlineStr">
        <is>
          <t>20</t>
        </is>
      </c>
      <c r="Q689" s="5" t="inlineStr">
        <is>
          <t>2</t>
        </is>
      </c>
      <c r="R689" s="5" t="inlineStr">
        <is>
          <t>10</t>
        </is>
      </c>
      <c r="S689" s="5" t="inlineStr">
        <is>
          <t>16</t>
        </is>
      </c>
      <c r="T689" s="5" t="inlineStr">
        <is>
          <t>10</t>
        </is>
      </c>
      <c r="U689" s="5" t="inlineStr">
        <is>
          <t>OK</t>
        </is>
      </c>
    </row>
    <row r="690">
      <c r="A690" s="5" t="inlineStr">
        <is>
          <t>E02515</t>
        </is>
      </c>
      <c r="B690" s="5" t="inlineStr">
        <is>
          <t>Male</t>
        </is>
      </c>
      <c r="C690" s="6" t="inlineStr">
        <is>
          <t>30</t>
        </is>
      </c>
      <c r="D690" s="5" t="inlineStr">
        <is>
          <t>Married</t>
        </is>
      </c>
      <c r="E690" s="5" t="inlineStr">
        <is>
          <t>High School</t>
        </is>
      </c>
      <c r="F690" s="5" t="inlineStr">
        <is>
          <t>Operations</t>
        </is>
      </c>
      <c r="G690" s="5" t="inlineStr">
        <is>
          <t>Operations Analyst</t>
        </is>
      </c>
      <c r="H690" s="5" t="inlineStr">
        <is>
          <t>1</t>
        </is>
      </c>
      <c r="I690" s="5" t="inlineStr">
        <is>
          <t>Delhi</t>
        </is>
      </c>
      <c r="J690" s="5" t="inlineStr">
        <is>
          <t>Full-Time</t>
        </is>
      </c>
      <c r="K690" s="7" t="n">
        <v>45511</v>
      </c>
      <c r="L690" s="7" t="n">
        <v>45581</v>
      </c>
      <c r="M690" s="5" t="inlineStr">
        <is>
          <t>No</t>
        </is>
      </c>
      <c r="N690" s="5" t="inlineStr">
        <is>
          <t>Resigned</t>
        </is>
      </c>
      <c r="O690" s="8" t="inlineStr">
        <is>
          <t>84500</t>
        </is>
      </c>
      <c r="P690" s="5" t="inlineStr">
        <is>
          <t>5</t>
        </is>
      </c>
      <c r="Q690" s="5" t="inlineStr">
        <is>
          <t>3</t>
        </is>
      </c>
      <c r="R690" s="5" t="inlineStr">
        <is>
          <t>7</t>
        </is>
      </c>
      <c r="S690" s="5" t="inlineStr">
        <is>
          <t>2</t>
        </is>
      </c>
      <c r="T690" s="5" t="inlineStr">
        <is>
          <t>6</t>
        </is>
      </c>
      <c r="U690" s="5" t="inlineStr">
        <is>
          <t>OK</t>
        </is>
      </c>
    </row>
    <row r="691">
      <c r="A691" s="5" t="inlineStr">
        <is>
          <t>E02087</t>
        </is>
      </c>
      <c r="B691" s="5" t="inlineStr">
        <is>
          <t>Female</t>
        </is>
      </c>
      <c r="C691" s="6" t="inlineStr">
        <is>
          <t>46</t>
        </is>
      </c>
      <c r="D691" s="5" t="inlineStr">
        <is>
          <t>Single</t>
        </is>
      </c>
      <c r="E691" s="5" t="inlineStr">
        <is>
          <t>High School</t>
        </is>
      </c>
      <c r="F691" s="5" t="inlineStr"/>
      <c r="G691" s="5" t="inlineStr">
        <is>
          <t>Financial Analyst</t>
        </is>
      </c>
      <c r="H691" s="5" t="inlineStr">
        <is>
          <t>7</t>
        </is>
      </c>
      <c r="I691" s="5" t="inlineStr">
        <is>
          <t>Delhi</t>
        </is>
      </c>
      <c r="J691" s="5" t="inlineStr">
        <is>
          <t>Full-Time</t>
        </is>
      </c>
      <c r="K691" s="7" t="n">
        <v>45742</v>
      </c>
      <c r="L691" s="7" t="inlineStr"/>
      <c r="M691" s="5" t="inlineStr">
        <is>
          <t>Yes</t>
        </is>
      </c>
      <c r="N691" s="5" t="inlineStr"/>
      <c r="O691" s="8" t="inlineStr">
        <is>
          <t>215000</t>
        </is>
      </c>
      <c r="P691" s="5" t="inlineStr">
        <is>
          <t>5</t>
        </is>
      </c>
      <c r="Q691" s="5" t="inlineStr">
        <is>
          <t>5</t>
        </is>
      </c>
      <c r="R691" s="5" t="inlineStr">
        <is>
          <t>5</t>
        </is>
      </c>
      <c r="S691" s="5" t="inlineStr">
        <is>
          <t>9</t>
        </is>
      </c>
      <c r="T691" s="5" t="inlineStr">
        <is>
          <t>2</t>
        </is>
      </c>
      <c r="U691" s="5" t="inlineStr">
        <is>
          <t>Blank department</t>
        </is>
      </c>
    </row>
    <row r="692">
      <c r="A692" s="5" t="inlineStr">
        <is>
          <t>E02173</t>
        </is>
      </c>
      <c r="B692" s="5" t="inlineStr">
        <is>
          <t>Male</t>
        </is>
      </c>
      <c r="C692" s="6" t="inlineStr">
        <is>
          <t>30</t>
        </is>
      </c>
      <c r="D692" s="5" t="inlineStr">
        <is>
          <t>Married</t>
        </is>
      </c>
      <c r="E692" s="5" t="inlineStr">
        <is>
          <t>PhD</t>
        </is>
      </c>
      <c r="F692" s="5" t="inlineStr">
        <is>
          <t>Operations</t>
        </is>
      </c>
      <c r="G692" s="5" t="inlineStr">
        <is>
          <t>Logistics Coordinator</t>
        </is>
      </c>
      <c r="H692" s="5" t="inlineStr">
        <is>
          <t>1</t>
        </is>
      </c>
      <c r="I692" s="5" t="inlineStr">
        <is>
          <t>Delhi</t>
        </is>
      </c>
      <c r="J692" s="5" t="inlineStr">
        <is>
          <t>Full-Time</t>
        </is>
      </c>
      <c r="K692" s="7" t="n">
        <v>45344</v>
      </c>
      <c r="L692" s="7" t="inlineStr"/>
      <c r="M692" s="5" t="inlineStr">
        <is>
          <t>Yes</t>
        </is>
      </c>
      <c r="N692" s="5" t="inlineStr"/>
      <c r="O692" s="8" t="inlineStr">
        <is>
          <t>62000</t>
        </is>
      </c>
      <c r="P692" s="5" t="inlineStr">
        <is>
          <t>10</t>
        </is>
      </c>
      <c r="Q692" s="5" t="inlineStr">
        <is>
          <t>3</t>
        </is>
      </c>
      <c r="R692" s="5" t="inlineStr">
        <is>
          <t>6</t>
        </is>
      </c>
      <c r="S692" s="5" t="inlineStr">
        <is>
          <t>22</t>
        </is>
      </c>
      <c r="T692" s="5" t="inlineStr">
        <is>
          <t>0</t>
        </is>
      </c>
      <c r="U692" s="5" t="inlineStr">
        <is>
          <t>OK</t>
        </is>
      </c>
    </row>
    <row r="693">
      <c r="A693" s="5" t="inlineStr">
        <is>
          <t>E02508</t>
        </is>
      </c>
      <c r="B693" s="5" t="inlineStr">
        <is>
          <t>Unknown</t>
        </is>
      </c>
      <c r="C693" s="6" t="inlineStr">
        <is>
          <t>41</t>
        </is>
      </c>
      <c r="D693" s="5" t="inlineStr">
        <is>
          <t>Single</t>
        </is>
      </c>
      <c r="E693" s="5" t="inlineStr">
        <is>
          <t>Master</t>
        </is>
      </c>
      <c r="F693" s="5" t="inlineStr">
        <is>
          <t>Marketing</t>
        </is>
      </c>
      <c r="G693" s="5" t="inlineStr">
        <is>
          <t>Marketing Analyst</t>
        </is>
      </c>
      <c r="H693" s="5" t="inlineStr">
        <is>
          <t>6</t>
        </is>
      </c>
      <c r="I693" s="5" t="inlineStr">
        <is>
          <t>Mumbai</t>
        </is>
      </c>
      <c r="J693" s="5" t="inlineStr">
        <is>
          <t>Full-Time</t>
        </is>
      </c>
      <c r="K693" s="7" t="n">
        <v>44420</v>
      </c>
      <c r="L693" s="7" t="inlineStr"/>
      <c r="M693" s="5" t="inlineStr">
        <is>
          <t>Yes</t>
        </is>
      </c>
      <c r="N693" s="5" t="inlineStr"/>
      <c r="O693" s="8" t="inlineStr">
        <is>
          <t>89500</t>
        </is>
      </c>
      <c r="P693" s="5" t="inlineStr">
        <is>
          <t>10</t>
        </is>
      </c>
      <c r="Q693" s="5" t="inlineStr">
        <is>
          <t>2</t>
        </is>
      </c>
      <c r="R693" s="5" t="inlineStr">
        <is>
          <t>5</t>
        </is>
      </c>
      <c r="S693" s="5" t="inlineStr">
        <is>
          <t>53</t>
        </is>
      </c>
      <c r="T693" s="5" t="inlineStr">
        <is>
          <t>11</t>
        </is>
      </c>
      <c r="U693" s="5" t="inlineStr">
        <is>
          <t>Bad gender</t>
        </is>
      </c>
    </row>
    <row r="694">
      <c r="A694" s="5" t="inlineStr">
        <is>
          <t>E02282</t>
        </is>
      </c>
      <c r="B694" s="5" t="inlineStr">
        <is>
          <t>Male</t>
        </is>
      </c>
      <c r="C694" s="6" t="inlineStr">
        <is>
          <t>26</t>
        </is>
      </c>
      <c r="D694" s="5" t="inlineStr">
        <is>
          <t>Single</t>
        </is>
      </c>
      <c r="E694" s="5" t="inlineStr">
        <is>
          <t>PhD</t>
        </is>
      </c>
      <c r="F694" s="5" t="inlineStr">
        <is>
          <t>Marketing</t>
        </is>
      </c>
      <c r="G694" s="5" t="inlineStr">
        <is>
          <t>Content Writer</t>
        </is>
      </c>
      <c r="H694" s="5" t="inlineStr">
        <is>
          <t>2</t>
        </is>
      </c>
      <c r="I694" s="5" t="inlineStr">
        <is>
          <t>Delhi</t>
        </is>
      </c>
      <c r="J694" s="5" t="inlineStr">
        <is>
          <t>Full-Time</t>
        </is>
      </c>
      <c r="K694" s="7" t="n">
        <v>44796</v>
      </c>
      <c r="L694" s="7" t="n">
        <v>44936</v>
      </c>
      <c r="M694" s="5" t="inlineStr">
        <is>
          <t>No</t>
        </is>
      </c>
      <c r="N694" s="5" t="inlineStr">
        <is>
          <t>Layoff</t>
        </is>
      </c>
      <c r="O694" s="8" t="inlineStr">
        <is>
          <t>65500</t>
        </is>
      </c>
      <c r="P694" s="5" t="inlineStr">
        <is>
          <t>0</t>
        </is>
      </c>
      <c r="Q694" s="5" t="inlineStr">
        <is>
          <t>5</t>
        </is>
      </c>
      <c r="R694" s="5" t="inlineStr">
        <is>
          <t>6</t>
        </is>
      </c>
      <c r="S694" s="5" t="inlineStr">
        <is>
          <t>4</t>
        </is>
      </c>
      <c r="T694" s="5" t="inlineStr">
        <is>
          <t>0</t>
        </is>
      </c>
      <c r="U694" s="5" t="inlineStr">
        <is>
          <t>OK</t>
        </is>
      </c>
    </row>
    <row r="695">
      <c r="A695" s="5" t="inlineStr">
        <is>
          <t>E01393</t>
        </is>
      </c>
      <c r="B695" s="5" t="inlineStr">
        <is>
          <t>Female</t>
        </is>
      </c>
      <c r="C695" s="6" t="inlineStr">
        <is>
          <t>38</t>
        </is>
      </c>
      <c r="D695" s="5" t="inlineStr">
        <is>
          <t>Married</t>
        </is>
      </c>
      <c r="E695" s="5" t="inlineStr">
        <is>
          <t>High School</t>
        </is>
      </c>
      <c r="F695" s="5" t="inlineStr">
        <is>
          <t>Finance</t>
        </is>
      </c>
      <c r="G695" s="5" t="inlineStr">
        <is>
          <t>Accountant</t>
        </is>
      </c>
      <c r="H695" s="5" t="inlineStr">
        <is>
          <t>3</t>
        </is>
      </c>
      <c r="I695" s="5" t="inlineStr">
        <is>
          <t>Mumbai</t>
        </is>
      </c>
      <c r="J695" s="5" t="inlineStr">
        <is>
          <t>Full-Time</t>
        </is>
      </c>
      <c r="K695" s="7" t="n">
        <v>43985</v>
      </c>
      <c r="L695" s="7" t="inlineStr"/>
      <c r="M695" s="5" t="inlineStr">
        <is>
          <t>Yes</t>
        </is>
      </c>
      <c r="N695" s="5" t="inlineStr"/>
      <c r="O695" s="8" t="inlineStr">
        <is>
          <t>115000</t>
        </is>
      </c>
      <c r="P695" s="5" t="inlineStr">
        <is>
          <t>15</t>
        </is>
      </c>
      <c r="Q695" s="5" t="inlineStr">
        <is>
          <t>5</t>
        </is>
      </c>
      <c r="R695" s="5" t="inlineStr">
        <is>
          <t>5</t>
        </is>
      </c>
      <c r="S695" s="5" t="inlineStr">
        <is>
          <t>67</t>
        </is>
      </c>
      <c r="T695" s="5" t="inlineStr">
        <is>
          <t>0</t>
        </is>
      </c>
      <c r="U695" s="5" t="inlineStr">
        <is>
          <t>OK</t>
        </is>
      </c>
    </row>
    <row r="696">
      <c r="A696" s="5" t="inlineStr">
        <is>
          <t>E01102</t>
        </is>
      </c>
      <c r="B696" s="5" t="inlineStr">
        <is>
          <t>Male</t>
        </is>
      </c>
      <c r="C696" s="6" t="inlineStr">
        <is>
          <t>29</t>
        </is>
      </c>
      <c r="D696" s="5" t="inlineStr">
        <is>
          <t>Married</t>
        </is>
      </c>
      <c r="E696" s="5" t="inlineStr">
        <is>
          <t>PhD</t>
        </is>
      </c>
      <c r="F696" s="5" t="inlineStr">
        <is>
          <t>Sales</t>
        </is>
      </c>
      <c r="G696" s="5" t="inlineStr">
        <is>
          <t>Account Executive</t>
        </is>
      </c>
      <c r="H696" s="5" t="inlineStr">
        <is>
          <t>4</t>
        </is>
      </c>
      <c r="I696" s="5" t="inlineStr">
        <is>
          <t>Chennai</t>
        </is>
      </c>
      <c r="J696" s="5" t="inlineStr">
        <is>
          <t>Full-Time</t>
        </is>
      </c>
      <c r="K696" s="7" t="n">
        <v>45017</v>
      </c>
      <c r="L696" s="7" t="inlineStr"/>
      <c r="M696" s="5" t="inlineStr">
        <is>
          <t>Yes</t>
        </is>
      </c>
      <c r="N696" s="5" t="inlineStr"/>
      <c r="O696" s="8" t="inlineStr">
        <is>
          <t>114000</t>
        </is>
      </c>
      <c r="P696" s="5" t="inlineStr">
        <is>
          <t>0</t>
        </is>
      </c>
      <c r="Q696" s="5" t="inlineStr">
        <is>
          <t>5</t>
        </is>
      </c>
      <c r="R696" s="5" t="inlineStr">
        <is>
          <t>6</t>
        </is>
      </c>
      <c r="S696" s="5" t="inlineStr">
        <is>
          <t>33</t>
        </is>
      </c>
      <c r="T696" s="5" t="inlineStr">
        <is>
          <t>4</t>
        </is>
      </c>
      <c r="U696" s="5" t="inlineStr">
        <is>
          <t>OK</t>
        </is>
      </c>
    </row>
    <row r="697">
      <c r="A697" s="5" t="inlineStr">
        <is>
          <t>E00640</t>
        </is>
      </c>
      <c r="B697" s="5" t="inlineStr">
        <is>
          <t>Female</t>
        </is>
      </c>
      <c r="C697" s="6" t="inlineStr">
        <is>
          <t>25</t>
        </is>
      </c>
      <c r="D697" s="5" t="inlineStr">
        <is>
          <t>Married</t>
        </is>
      </c>
      <c r="E697" s="5" t="inlineStr">
        <is>
          <t>High School</t>
        </is>
      </c>
      <c r="F697" s="5" t="inlineStr">
        <is>
          <t>Finance</t>
        </is>
      </c>
      <c r="G697" s="5" t="inlineStr">
        <is>
          <t>Financial Analyst</t>
        </is>
      </c>
      <c r="H697" s="5" t="inlineStr">
        <is>
          <t>2</t>
        </is>
      </c>
      <c r="I697" s="5" t="inlineStr">
        <is>
          <t>Mumbai</t>
        </is>
      </c>
      <c r="J697" s="5" t="inlineStr">
        <is>
          <t>Full-Time</t>
        </is>
      </c>
      <c r="K697" s="7" t="n">
        <v>45663</v>
      </c>
      <c r="L697" s="7" t="inlineStr"/>
      <c r="M697" s="5" t="inlineStr">
        <is>
          <t>Yes</t>
        </is>
      </c>
      <c r="N697" s="5" t="inlineStr"/>
      <c r="O697" s="8" t="inlineStr">
        <is>
          <t>97500</t>
        </is>
      </c>
      <c r="P697" s="5" t="inlineStr">
        <is>
          <t>0</t>
        </is>
      </c>
      <c r="Q697" s="5" t="inlineStr">
        <is>
          <t>3</t>
        </is>
      </c>
      <c r="R697" s="5" t="inlineStr">
        <is>
          <t>8</t>
        </is>
      </c>
      <c r="S697" s="5" t="inlineStr">
        <is>
          <t>11</t>
        </is>
      </c>
      <c r="T697" s="5" t="inlineStr">
        <is>
          <t>2</t>
        </is>
      </c>
      <c r="U697" s="5" t="inlineStr">
        <is>
          <t>OK</t>
        </is>
      </c>
    </row>
    <row r="698">
      <c r="A698" s="5" t="inlineStr">
        <is>
          <t>E02885</t>
        </is>
      </c>
      <c r="B698" s="5" t="inlineStr">
        <is>
          <t>Female</t>
        </is>
      </c>
      <c r="C698" s="6" t="inlineStr">
        <is>
          <t>32</t>
        </is>
      </c>
      <c r="D698" s="5" t="inlineStr">
        <is>
          <t>Married</t>
        </is>
      </c>
      <c r="E698" s="5" t="inlineStr">
        <is>
          <t>Bachelor</t>
        </is>
      </c>
      <c r="F698" s="5" t="inlineStr">
        <is>
          <t>Finance</t>
        </is>
      </c>
      <c r="G698" s="5" t="inlineStr">
        <is>
          <t>Financial Analyst</t>
        </is>
      </c>
      <c r="H698" s="5" t="inlineStr">
        <is>
          <t>3</t>
        </is>
      </c>
      <c r="I698" s="5" t="inlineStr">
        <is>
          <t>Remote</t>
        </is>
      </c>
      <c r="J698" s="5" t="inlineStr">
        <is>
          <t>Full-Time</t>
        </is>
      </c>
      <c r="K698" s="7" t="n">
        <v>44528</v>
      </c>
      <c r="L698" s="7" t="inlineStr"/>
      <c r="M698" s="5" t="inlineStr">
        <is>
          <t>Yes</t>
        </is>
      </c>
      <c r="N698" s="5" t="inlineStr"/>
      <c r="O698" s="8" t="inlineStr">
        <is>
          <t>90500</t>
        </is>
      </c>
      <c r="P698" s="5" t="inlineStr">
        <is>
          <t>0</t>
        </is>
      </c>
      <c r="Q698" s="5" t="inlineStr">
        <is>
          <t>4</t>
        </is>
      </c>
      <c r="R698" s="5" t="inlineStr">
        <is>
          <t>4</t>
        </is>
      </c>
      <c r="S698" s="5" t="inlineStr">
        <is>
          <t>49</t>
        </is>
      </c>
      <c r="T698" s="5" t="inlineStr">
        <is>
          <t>12</t>
        </is>
      </c>
      <c r="U698" s="5" t="inlineStr">
        <is>
          <t>OK</t>
        </is>
      </c>
    </row>
    <row r="699">
      <c r="A699" s="5" t="inlineStr">
        <is>
          <t>E01500</t>
        </is>
      </c>
      <c r="B699" s="5" t="inlineStr">
        <is>
          <t>Male</t>
        </is>
      </c>
      <c r="C699" s="6" t="inlineStr">
        <is>
          <t>30</t>
        </is>
      </c>
      <c r="D699" s="5" t="inlineStr">
        <is>
          <t>Single</t>
        </is>
      </c>
      <c r="E699" s="5" t="inlineStr">
        <is>
          <t>Master</t>
        </is>
      </c>
      <c r="F699" s="5" t="inlineStr">
        <is>
          <t>IT</t>
        </is>
      </c>
      <c r="G699" s="5" t="inlineStr">
        <is>
          <t>DevOps Engineer</t>
        </is>
      </c>
      <c r="H699" s="5" t="inlineStr">
        <is>
          <t>1</t>
        </is>
      </c>
      <c r="I699" s="5" t="inlineStr">
        <is>
          <t>Mumbai</t>
        </is>
      </c>
      <c r="J699" s="5" t="inlineStr">
        <is>
          <t>Full-Time</t>
        </is>
      </c>
      <c r="K699" s="7" t="n">
        <v>45211</v>
      </c>
      <c r="L699" s="7" t="inlineStr"/>
      <c r="M699" s="5" t="inlineStr">
        <is>
          <t>Yes</t>
        </is>
      </c>
      <c r="N699" s="5" t="inlineStr"/>
      <c r="O699" s="8" t="inlineStr">
        <is>
          <t>138000</t>
        </is>
      </c>
      <c r="P699" s="5" t="inlineStr">
        <is>
          <t>0</t>
        </is>
      </c>
      <c r="Q699" s="5" t="inlineStr">
        <is>
          <t>5</t>
        </is>
      </c>
      <c r="R699" s="5" t="inlineStr">
        <is>
          <t>6</t>
        </is>
      </c>
      <c r="S699" s="5" t="inlineStr">
        <is>
          <t>27</t>
        </is>
      </c>
      <c r="T699" s="5" t="inlineStr">
        <is>
          <t>5</t>
        </is>
      </c>
      <c r="U699" s="5" t="inlineStr">
        <is>
          <t>OK</t>
        </is>
      </c>
    </row>
    <row r="700">
      <c r="A700" s="5" t="inlineStr">
        <is>
          <t>E00552</t>
        </is>
      </c>
      <c r="B700" s="5" t="inlineStr">
        <is>
          <t>Female</t>
        </is>
      </c>
      <c r="C700" s="6" t="inlineStr">
        <is>
          <t>44</t>
        </is>
      </c>
      <c r="D700" s="5" t="inlineStr">
        <is>
          <t>Married</t>
        </is>
      </c>
      <c r="E700" s="5" t="inlineStr">
        <is>
          <t>High School</t>
        </is>
      </c>
      <c r="F700" s="5" t="inlineStr">
        <is>
          <t>Customer Support</t>
        </is>
      </c>
      <c r="G700" s="5" t="inlineStr">
        <is>
          <t>Escalation Specialist</t>
        </is>
      </c>
      <c r="H700" s="5" t="inlineStr">
        <is>
          <t>6</t>
        </is>
      </c>
      <c r="I700" s="5" t="inlineStr">
        <is>
          <t>Bengaluru</t>
        </is>
      </c>
      <c r="J700" s="5" t="inlineStr">
        <is>
          <t>Full-Time</t>
        </is>
      </c>
      <c r="K700" s="7" t="n">
        <v>45879</v>
      </c>
      <c r="L700" s="7" t="n">
        <v>45980</v>
      </c>
      <c r="M700" s="5" t="inlineStr">
        <is>
          <t>No</t>
        </is>
      </c>
      <c r="N700" s="5" t="inlineStr">
        <is>
          <t>Resigned</t>
        </is>
      </c>
      <c r="O700" s="8" t="inlineStr">
        <is>
          <t>103000</t>
        </is>
      </c>
      <c r="P700" s="5" t="inlineStr">
        <is>
          <t>0</t>
        </is>
      </c>
      <c r="Q700" s="5" t="inlineStr">
        <is>
          <t>4</t>
        </is>
      </c>
      <c r="R700" s="5" t="inlineStr">
        <is>
          <t>9</t>
        </is>
      </c>
      <c r="S700" s="5" t="inlineStr">
        <is>
          <t>3</t>
        </is>
      </c>
      <c r="T700" s="5" t="inlineStr">
        <is>
          <t>0</t>
        </is>
      </c>
      <c r="U700" s="5" t="inlineStr">
        <is>
          <t>OK</t>
        </is>
      </c>
    </row>
    <row r="701">
      <c r="A701" s="5" t="inlineStr">
        <is>
          <t>E01814</t>
        </is>
      </c>
      <c r="B701" s="5" t="inlineStr">
        <is>
          <t>Male</t>
        </is>
      </c>
      <c r="C701" s="6" t="inlineStr">
        <is>
          <t>24</t>
        </is>
      </c>
      <c r="D701" s="5" t="inlineStr">
        <is>
          <t>Single</t>
        </is>
      </c>
      <c r="E701" s="5" t="inlineStr">
        <is>
          <t>Master</t>
        </is>
      </c>
      <c r="F701" s="5" t="inlineStr">
        <is>
          <t>IT</t>
        </is>
      </c>
      <c r="G701" s="5" t="inlineStr">
        <is>
          <t>Software Engineer</t>
        </is>
      </c>
      <c r="H701" s="5" t="inlineStr">
        <is>
          <t>1</t>
        </is>
      </c>
      <c r="I701" s="5" t="inlineStr">
        <is>
          <t>Bengaluru</t>
        </is>
      </c>
      <c r="J701" s="5" t="inlineStr">
        <is>
          <t>Full-Time</t>
        </is>
      </c>
      <c r="K701" s="7" t="n">
        <v>44802</v>
      </c>
      <c r="L701" s="7" t="inlineStr"/>
      <c r="M701" s="5" t="inlineStr">
        <is>
          <t>Yes</t>
        </is>
      </c>
      <c r="N701" s="5" t="inlineStr"/>
      <c r="O701" s="8" t="inlineStr">
        <is>
          <t>102000</t>
        </is>
      </c>
      <c r="P701" s="5" t="inlineStr">
        <is>
          <t>20</t>
        </is>
      </c>
      <c r="Q701" s="5" t="inlineStr">
        <is>
          <t>4</t>
        </is>
      </c>
      <c r="R701" s="5" t="inlineStr">
        <is>
          <t>8</t>
        </is>
      </c>
      <c r="S701" s="5" t="inlineStr">
        <is>
          <t>40</t>
        </is>
      </c>
      <c r="T701" s="5" t="inlineStr">
        <is>
          <t>6</t>
        </is>
      </c>
      <c r="U701" s="5" t="inlineStr">
        <is>
          <t>OK</t>
        </is>
      </c>
    </row>
    <row r="702">
      <c r="A702" s="5" t="inlineStr">
        <is>
          <t>E01642</t>
        </is>
      </c>
      <c r="B702" s="5" t="inlineStr">
        <is>
          <t>male</t>
        </is>
      </c>
      <c r="C702" s="6" t="inlineStr">
        <is>
          <t>43</t>
        </is>
      </c>
      <c r="D702" s="5" t="inlineStr">
        <is>
          <t>Married</t>
        </is>
      </c>
      <c r="E702" s="5" t="inlineStr">
        <is>
          <t>PhD</t>
        </is>
      </c>
      <c r="F702" s="5" t="inlineStr">
        <is>
          <t>Research &amp; Development</t>
        </is>
      </c>
      <c r="G702" s="5" t="inlineStr">
        <is>
          <t>Research Scientist</t>
        </is>
      </c>
      <c r="H702" s="5" t="inlineStr">
        <is>
          <t>6</t>
        </is>
      </c>
      <c r="I702" s="5" t="inlineStr">
        <is>
          <t>Chennai</t>
        </is>
      </c>
      <c r="J702" s="5" t="inlineStr">
        <is>
          <t>Full-Time</t>
        </is>
      </c>
      <c r="K702" s="7" t="n">
        <v>44593</v>
      </c>
      <c r="L702" s="7" t="inlineStr"/>
      <c r="M702" s="5" t="inlineStr">
        <is>
          <t>Yes</t>
        </is>
      </c>
      <c r="N702" s="5" t="inlineStr"/>
      <c r="O702" s="8" t="inlineStr">
        <is>
          <t>179500</t>
        </is>
      </c>
      <c r="P702" s="5" t="inlineStr">
        <is>
          <t>20</t>
        </is>
      </c>
      <c r="Q702" s="5" t="inlineStr">
        <is>
          <t>4</t>
        </is>
      </c>
      <c r="R702" s="5" t="inlineStr">
        <is>
          <t>9</t>
        </is>
      </c>
      <c r="S702" s="5" t="inlineStr">
        <is>
          <t>47</t>
        </is>
      </c>
      <c r="T702" s="5" t="inlineStr">
        <is>
          <t>0</t>
        </is>
      </c>
      <c r="U702" s="5" t="inlineStr">
        <is>
          <t>OK</t>
        </is>
      </c>
    </row>
    <row r="703">
      <c r="A703" s="5" t="inlineStr">
        <is>
          <t>E01038</t>
        </is>
      </c>
      <c r="B703" s="5" t="inlineStr">
        <is>
          <t>Male</t>
        </is>
      </c>
      <c r="C703" s="6" t="inlineStr">
        <is>
          <t>24</t>
        </is>
      </c>
      <c r="D703" s="5" t="inlineStr">
        <is>
          <t>Married</t>
        </is>
      </c>
      <c r="E703" s="5" t="inlineStr">
        <is>
          <t>Master</t>
        </is>
      </c>
      <c r="F703" s="5" t="inlineStr">
        <is>
          <t>Human Resources</t>
        </is>
      </c>
      <c r="G703" s="5" t="inlineStr">
        <is>
          <t>HR Generalist</t>
        </is>
      </c>
      <c r="H703" s="5" t="inlineStr">
        <is>
          <t>1</t>
        </is>
      </c>
      <c r="I703" s="5" t="inlineStr">
        <is>
          <t>Mumbai</t>
        </is>
      </c>
      <c r="J703" s="5" t="inlineStr">
        <is>
          <t>Full-Time</t>
        </is>
      </c>
      <c r="K703" s="7" t="n">
        <v>45989</v>
      </c>
      <c r="L703" s="7" t="inlineStr"/>
      <c r="M703" s="5" t="inlineStr">
        <is>
          <t>Yes</t>
        </is>
      </c>
      <c r="N703" s="5" t="inlineStr"/>
      <c r="O703" s="8" t="inlineStr">
        <is>
          <t>98000</t>
        </is>
      </c>
      <c r="P703" s="5" t="inlineStr">
        <is>
          <t>20</t>
        </is>
      </c>
      <c r="Q703" s="5" t="inlineStr">
        <is>
          <t>3</t>
        </is>
      </c>
      <c r="R703" s="5" t="inlineStr">
        <is>
          <t>10</t>
        </is>
      </c>
      <c r="S703" s="5" t="inlineStr">
        <is>
          <t>1</t>
        </is>
      </c>
      <c r="T703" s="5" t="inlineStr">
        <is>
          <t>13</t>
        </is>
      </c>
      <c r="U703" s="5" t="inlineStr">
        <is>
          <t>OK</t>
        </is>
      </c>
    </row>
    <row r="704">
      <c r="A704" s="5" t="inlineStr">
        <is>
          <t>E02142</t>
        </is>
      </c>
      <c r="B704" s="5" t="inlineStr">
        <is>
          <t>Male</t>
        </is>
      </c>
      <c r="C704" s="6" t="inlineStr">
        <is>
          <t>28</t>
        </is>
      </c>
      <c r="D704" s="5" t="inlineStr">
        <is>
          <t>Married</t>
        </is>
      </c>
      <c r="E704" s="5" t="inlineStr">
        <is>
          <t>High School</t>
        </is>
      </c>
      <c r="F704" s="5" t="inlineStr">
        <is>
          <t>Human Resources</t>
        </is>
      </c>
      <c r="G704" s="5" t="inlineStr">
        <is>
          <t>Recruiter</t>
        </is>
      </c>
      <c r="H704" s="5" t="inlineStr">
        <is>
          <t>3</t>
        </is>
      </c>
      <c r="I704" s="5" t="inlineStr">
        <is>
          <t>Mumbai</t>
        </is>
      </c>
      <c r="J704" s="5" t="inlineStr">
        <is>
          <t>Full-Time</t>
        </is>
      </c>
      <c r="K704" s="7" t="n">
        <v>45985</v>
      </c>
      <c r="L704" s="7" t="inlineStr"/>
      <c r="M704" s="5" t="inlineStr">
        <is>
          <t>Yes</t>
        </is>
      </c>
      <c r="N704" s="5" t="inlineStr"/>
      <c r="O704" s="8" t="inlineStr">
        <is>
          <t>120500</t>
        </is>
      </c>
      <c r="P704" s="5" t="inlineStr">
        <is>
          <t>10</t>
        </is>
      </c>
      <c r="Q704" s="5" t="inlineStr">
        <is>
          <t>2</t>
        </is>
      </c>
      <c r="R704" s="5" t="inlineStr">
        <is>
          <t>3</t>
        </is>
      </c>
      <c r="S704" s="5" t="inlineStr">
        <is>
          <t>1</t>
        </is>
      </c>
      <c r="T704" s="5" t="inlineStr">
        <is>
          <t>4</t>
        </is>
      </c>
      <c r="U704" s="5" t="inlineStr">
        <is>
          <t>OK</t>
        </is>
      </c>
    </row>
    <row r="705">
      <c r="A705" s="5" t="inlineStr">
        <is>
          <t>E02812</t>
        </is>
      </c>
      <c r="B705" s="5" t="inlineStr">
        <is>
          <t>Male</t>
        </is>
      </c>
      <c r="C705" s="6" t="inlineStr">
        <is>
          <t>34</t>
        </is>
      </c>
      <c r="D705" s="5" t="inlineStr">
        <is>
          <t>Single</t>
        </is>
      </c>
      <c r="E705" s="5" t="inlineStr">
        <is>
          <t>High School</t>
        </is>
      </c>
      <c r="F705" s="5" t="inlineStr">
        <is>
          <t>Finance</t>
        </is>
      </c>
      <c r="G705" s="5" t="inlineStr">
        <is>
          <t>Accountant</t>
        </is>
      </c>
      <c r="H705" s="5" t="inlineStr">
        <is>
          <t>3</t>
        </is>
      </c>
      <c r="I705" s="5" t="inlineStr">
        <is>
          <t>Mumbai</t>
        </is>
      </c>
      <c r="J705" s="5" t="inlineStr">
        <is>
          <t>Full-Time</t>
        </is>
      </c>
      <c r="K705" s="7" t="n">
        <v>45457</v>
      </c>
      <c r="L705" s="7" t="inlineStr"/>
      <c r="M705" s="5" t="inlineStr">
        <is>
          <t>Yes</t>
        </is>
      </c>
      <c r="N705" s="5" t="inlineStr"/>
      <c r="O705" s="8" t="inlineStr">
        <is>
          <t>117000</t>
        </is>
      </c>
      <c r="P705" s="5" t="inlineStr">
        <is>
          <t>5</t>
        </is>
      </c>
      <c r="Q705" s="5" t="inlineStr">
        <is>
          <t>4</t>
        </is>
      </c>
      <c r="R705" s="5" t="inlineStr">
        <is>
          <t>5</t>
        </is>
      </c>
      <c r="S705" s="5" t="inlineStr">
        <is>
          <t>18</t>
        </is>
      </c>
      <c r="T705" s="5" t="inlineStr">
        <is>
          <t>6</t>
        </is>
      </c>
      <c r="U705" s="5" t="inlineStr">
        <is>
          <t>OK</t>
        </is>
      </c>
    </row>
    <row r="706">
      <c r="A706" s="5" t="inlineStr">
        <is>
          <t>E01739</t>
        </is>
      </c>
      <c r="B706" s="5" t="inlineStr">
        <is>
          <t>Unknown</t>
        </is>
      </c>
      <c r="C706" s="6" t="inlineStr">
        <is>
          <t>32</t>
        </is>
      </c>
      <c r="D706" s="5" t="inlineStr">
        <is>
          <t>Married</t>
        </is>
      </c>
      <c r="E706" s="5" t="inlineStr">
        <is>
          <t>High School</t>
        </is>
      </c>
      <c r="F706" s="5" t="inlineStr">
        <is>
          <t>Sales</t>
        </is>
      </c>
      <c r="G706" s="5" t="inlineStr">
        <is>
          <t>Account Executive</t>
        </is>
      </c>
      <c r="H706" s="5" t="inlineStr">
        <is>
          <t>2</t>
        </is>
      </c>
      <c r="I706" s="5" t="inlineStr">
        <is>
          <t>Delhi</t>
        </is>
      </c>
      <c r="J706" s="5" t="inlineStr">
        <is>
          <t>Full-Time</t>
        </is>
      </c>
      <c r="K706" s="7" t="n">
        <v>45628</v>
      </c>
      <c r="L706" s="7" t="n">
        <v>45771</v>
      </c>
      <c r="M706" s="5" t="inlineStr">
        <is>
          <t>No</t>
        </is>
      </c>
      <c r="N706" s="5" t="inlineStr">
        <is>
          <t>Resigned</t>
        </is>
      </c>
      <c r="O706" s="8" t="inlineStr">
        <is>
          <t>82000</t>
        </is>
      </c>
      <c r="P706" s="5" t="inlineStr">
        <is>
          <t>15</t>
        </is>
      </c>
      <c r="Q706" s="5" t="inlineStr">
        <is>
          <t>2</t>
        </is>
      </c>
      <c r="R706" s="5" t="inlineStr">
        <is>
          <t>7</t>
        </is>
      </c>
      <c r="S706" s="5" t="inlineStr">
        <is>
          <t>4</t>
        </is>
      </c>
      <c r="T706" s="5" t="inlineStr">
        <is>
          <t>4</t>
        </is>
      </c>
      <c r="U706" s="5" t="inlineStr">
        <is>
          <t>Bad gender</t>
        </is>
      </c>
    </row>
    <row r="707">
      <c r="A707" s="5" t="inlineStr">
        <is>
          <t>E01472</t>
        </is>
      </c>
      <c r="B707" s="5" t="inlineStr">
        <is>
          <t>Male</t>
        </is>
      </c>
      <c r="C707" s="6" t="inlineStr">
        <is>
          <t>27</t>
        </is>
      </c>
      <c r="D707" s="5" t="inlineStr">
        <is>
          <t>Divorced</t>
        </is>
      </c>
      <c r="E707" s="5" t="inlineStr">
        <is>
          <t>Bachelor</t>
        </is>
      </c>
      <c r="F707" s="5" t="inlineStr">
        <is>
          <t>Sales</t>
        </is>
      </c>
      <c r="G707" s="5" t="inlineStr">
        <is>
          <t>Business Development</t>
        </is>
      </c>
      <c r="H707" s="5" t="inlineStr">
        <is>
          <t>3</t>
        </is>
      </c>
      <c r="I707" s="5" t="inlineStr">
        <is>
          <t>Bengaluru</t>
        </is>
      </c>
      <c r="J707" s="5" t="inlineStr">
        <is>
          <t>Full-Time</t>
        </is>
      </c>
      <c r="K707" s="7" t="n">
        <v>45141</v>
      </c>
      <c r="L707" s="7" t="inlineStr"/>
      <c r="M707" s="5" t="inlineStr">
        <is>
          <t>Yes</t>
        </is>
      </c>
      <c r="N707" s="5" t="inlineStr"/>
      <c r="O707" s="8" t="inlineStr">
        <is>
          <t>108500</t>
        </is>
      </c>
      <c r="P707" s="5" t="inlineStr">
        <is>
          <t>10</t>
        </is>
      </c>
      <c r="Q707" s="5" t="inlineStr">
        <is>
          <t>4</t>
        </is>
      </c>
      <c r="R707" s="5" t="inlineStr">
        <is>
          <t>5</t>
        </is>
      </c>
      <c r="S707" s="5" t="inlineStr">
        <is>
          <t>29</t>
        </is>
      </c>
      <c r="T707" s="5" t="inlineStr">
        <is>
          <t>8</t>
        </is>
      </c>
      <c r="U707" s="5" t="inlineStr">
        <is>
          <t>OK</t>
        </is>
      </c>
    </row>
    <row r="708">
      <c r="A708" s="5" t="inlineStr">
        <is>
          <t>E00972</t>
        </is>
      </c>
      <c r="B708" s="5" t="inlineStr">
        <is>
          <t>Female</t>
        </is>
      </c>
      <c r="C708" s="6" t="inlineStr">
        <is>
          <t>35</t>
        </is>
      </c>
      <c r="D708" s="5" t="inlineStr">
        <is>
          <t>Single</t>
        </is>
      </c>
      <c r="E708" s="5" t="inlineStr">
        <is>
          <t>High School</t>
        </is>
      </c>
      <c r="F708" s="5" t="inlineStr">
        <is>
          <t>Sales</t>
        </is>
      </c>
      <c r="G708" s="5" t="inlineStr">
        <is>
          <t>Account Executive</t>
        </is>
      </c>
      <c r="H708" s="5" t="inlineStr">
        <is>
          <t>2</t>
        </is>
      </c>
      <c r="I708" s="5" t="inlineStr">
        <is>
          <t>Bengaluru</t>
        </is>
      </c>
      <c r="J708" s="5" t="inlineStr">
        <is>
          <t>Contract</t>
        </is>
      </c>
      <c r="K708" s="7" t="n">
        <v>45135</v>
      </c>
      <c r="L708" s="7" t="n">
        <v>45256</v>
      </c>
      <c r="M708" s="5" t="inlineStr">
        <is>
          <t>No</t>
        </is>
      </c>
      <c r="N708" s="5" t="inlineStr">
        <is>
          <t>Relocation</t>
        </is>
      </c>
      <c r="O708" s="8" t="inlineStr">
        <is>
          <t>78500</t>
        </is>
      </c>
      <c r="P708" s="5" t="inlineStr">
        <is>
          <t>15</t>
        </is>
      </c>
      <c r="Q708" s="5" t="inlineStr">
        <is>
          <t>5</t>
        </is>
      </c>
      <c r="R708" s="5" t="inlineStr">
        <is>
          <t>4</t>
        </is>
      </c>
      <c r="S708" s="5" t="inlineStr">
        <is>
          <t>4</t>
        </is>
      </c>
      <c r="T708" s="5" t="inlineStr">
        <is>
          <t>2</t>
        </is>
      </c>
      <c r="U708" s="5" t="inlineStr">
        <is>
          <t>OK</t>
        </is>
      </c>
    </row>
    <row r="709">
      <c r="A709" s="5" t="inlineStr">
        <is>
          <t>E02399</t>
        </is>
      </c>
      <c r="B709" s="5" t="inlineStr">
        <is>
          <t>Male</t>
        </is>
      </c>
      <c r="C709" s="6" t="inlineStr">
        <is>
          <t>38</t>
        </is>
      </c>
      <c r="D709" s="5" t="inlineStr">
        <is>
          <t>Single</t>
        </is>
      </c>
      <c r="E709" s="5" t="inlineStr">
        <is>
          <t>High School</t>
        </is>
      </c>
      <c r="F709" s="5" t="inlineStr">
        <is>
          <t>Research &amp; Development</t>
        </is>
      </c>
      <c r="G709" s="5" t="inlineStr">
        <is>
          <t>Research Scientist</t>
        </is>
      </c>
      <c r="H709" s="5" t="inlineStr">
        <is>
          <t>3</t>
        </is>
      </c>
      <c r="I709" s="5" t="inlineStr">
        <is>
          <t>Bengaluru</t>
        </is>
      </c>
      <c r="J709" s="5" t="inlineStr">
        <is>
          <t>Part-Time</t>
        </is>
      </c>
      <c r="K709" s="7" t="n">
        <v>45641</v>
      </c>
      <c r="L709" s="7" t="inlineStr"/>
      <c r="M709" s="5" t="inlineStr">
        <is>
          <t>Yes</t>
        </is>
      </c>
      <c r="N709" s="5" t="inlineStr"/>
      <c r="O709" s="8" t="inlineStr">
        <is>
          <t>190500</t>
        </is>
      </c>
      <c r="P709" s="5" t="inlineStr">
        <is>
          <t>10</t>
        </is>
      </c>
      <c r="Q709" s="5" t="inlineStr">
        <is>
          <t>5</t>
        </is>
      </c>
      <c r="R709" s="5" t="inlineStr">
        <is>
          <t>7</t>
        </is>
      </c>
      <c r="S709" s="5" t="inlineStr">
        <is>
          <t>12</t>
        </is>
      </c>
      <c r="T709" s="5" t="inlineStr">
        <is>
          <t>10</t>
        </is>
      </c>
      <c r="U709" s="5" t="inlineStr">
        <is>
          <t>OK</t>
        </is>
      </c>
    </row>
    <row r="710">
      <c r="A710" s="5" t="inlineStr">
        <is>
          <t>E01771</t>
        </is>
      </c>
      <c r="B710" s="5" t="inlineStr">
        <is>
          <t>Male</t>
        </is>
      </c>
      <c r="C710" s="6" t="inlineStr">
        <is>
          <t>32</t>
        </is>
      </c>
      <c r="D710" s="5" t="inlineStr">
        <is>
          <t>Single</t>
        </is>
      </c>
      <c r="E710" s="5" t="inlineStr">
        <is>
          <t>High School</t>
        </is>
      </c>
      <c r="F710" s="5" t="inlineStr">
        <is>
          <t>Sales</t>
        </is>
      </c>
      <c r="G710" s="5" t="inlineStr">
        <is>
          <t>Business Development</t>
        </is>
      </c>
      <c r="H710" s="5" t="inlineStr">
        <is>
          <t>2</t>
        </is>
      </c>
      <c r="I710" s="5" t="inlineStr">
        <is>
          <t>Bengaluru</t>
        </is>
      </c>
      <c r="J710" s="5" t="inlineStr">
        <is>
          <t>Full-Time</t>
        </is>
      </c>
      <c r="K710" s="7" t="n">
        <v>43921</v>
      </c>
      <c r="L710" s="7" t="n">
        <v>44039</v>
      </c>
      <c r="M710" s="5" t="inlineStr">
        <is>
          <t>No</t>
        </is>
      </c>
      <c r="N710" s="5" t="inlineStr">
        <is>
          <t>Layoff</t>
        </is>
      </c>
      <c r="O710" s="8" t="inlineStr">
        <is>
          <t>89500</t>
        </is>
      </c>
      <c r="P710" s="5" t="inlineStr">
        <is>
          <t>20</t>
        </is>
      </c>
      <c r="Q710" s="5" t="inlineStr">
        <is>
          <t>4</t>
        </is>
      </c>
      <c r="R710" s="5" t="inlineStr">
        <is>
          <t>6</t>
        </is>
      </c>
      <c r="S710" s="5" t="inlineStr">
        <is>
          <t>3</t>
        </is>
      </c>
      <c r="T710" s="5" t="inlineStr">
        <is>
          <t>5</t>
        </is>
      </c>
      <c r="U710" s="5" t="inlineStr">
        <is>
          <t>OK</t>
        </is>
      </c>
    </row>
    <row r="711">
      <c r="A711" s="5" t="inlineStr">
        <is>
          <t>E00632</t>
        </is>
      </c>
      <c r="B711" s="5" t="inlineStr">
        <is>
          <t>Female</t>
        </is>
      </c>
      <c r="C711" s="6" t="inlineStr">
        <is>
          <t>27</t>
        </is>
      </c>
      <c r="D711" s="5" t="inlineStr">
        <is>
          <t>Divorced</t>
        </is>
      </c>
      <c r="E711" s="5" t="inlineStr">
        <is>
          <t>PhD</t>
        </is>
      </c>
      <c r="F711" s="5" t="inlineStr">
        <is>
          <t>Customer Support</t>
        </is>
      </c>
      <c r="G711" s="5" t="inlineStr">
        <is>
          <t>Escalation Specialist</t>
        </is>
      </c>
      <c r="H711" s="5" t="inlineStr">
        <is>
          <t>3</t>
        </is>
      </c>
      <c r="I711" s="5" t="inlineStr">
        <is>
          <t>Chennai</t>
        </is>
      </c>
      <c r="J711" s="5" t="inlineStr">
        <is>
          <t>Full-Time</t>
        </is>
      </c>
      <c r="K711" s="7" t="n">
        <v>45316</v>
      </c>
      <c r="L711" s="7" t="inlineStr"/>
      <c r="M711" s="5" t="inlineStr">
        <is>
          <t>Yes</t>
        </is>
      </c>
      <c r="N711" s="5" t="inlineStr"/>
      <c r="O711" s="8" t="inlineStr">
        <is>
          <t>82000</t>
        </is>
      </c>
      <c r="P711" s="5" t="inlineStr">
        <is>
          <t>10</t>
        </is>
      </c>
      <c r="Q711" s="5" t="inlineStr">
        <is>
          <t>2</t>
        </is>
      </c>
      <c r="R711" s="5" t="inlineStr">
        <is>
          <t>3</t>
        </is>
      </c>
      <c r="S711" s="5" t="inlineStr">
        <is>
          <t>23</t>
        </is>
      </c>
      <c r="T711" s="5" t="inlineStr">
        <is>
          <t>11</t>
        </is>
      </c>
      <c r="U711" s="5" t="inlineStr">
        <is>
          <t>OK</t>
        </is>
      </c>
    </row>
    <row r="712">
      <c r="A712" s="5" t="inlineStr">
        <is>
          <t>E00746</t>
        </is>
      </c>
      <c r="B712" s="5" t="inlineStr">
        <is>
          <t>Male</t>
        </is>
      </c>
      <c r="C712" s="6" t="inlineStr">
        <is>
          <t>32</t>
        </is>
      </c>
      <c r="D712" s="5" t="inlineStr">
        <is>
          <t>Single</t>
        </is>
      </c>
      <c r="E712" s="5" t="inlineStr">
        <is>
          <t>High School</t>
        </is>
      </c>
      <c r="F712" s="5" t="inlineStr">
        <is>
          <t>Operations</t>
        </is>
      </c>
      <c r="G712" s="5" t="inlineStr">
        <is>
          <t>Quality Analyst</t>
        </is>
      </c>
      <c r="H712" s="5" t="inlineStr">
        <is>
          <t>3</t>
        </is>
      </c>
      <c r="I712" s="5" t="inlineStr">
        <is>
          <t>Hyderabad</t>
        </is>
      </c>
      <c r="J712" s="5" t="inlineStr">
        <is>
          <t>Full-Time</t>
        </is>
      </c>
      <c r="K712" s="7" t="n">
        <v>45087</v>
      </c>
      <c r="L712" s="7" t="inlineStr"/>
      <c r="M712" s="5" t="inlineStr">
        <is>
          <t>Yes</t>
        </is>
      </c>
      <c r="N712" s="5" t="inlineStr"/>
      <c r="O712" s="8" t="inlineStr">
        <is>
          <t>101500</t>
        </is>
      </c>
      <c r="P712" s="5" t="inlineStr">
        <is>
          <t>5</t>
        </is>
      </c>
      <c r="Q712" s="5" t="inlineStr">
        <is>
          <t>5</t>
        </is>
      </c>
      <c r="R712" s="5" t="inlineStr">
        <is>
          <t>4</t>
        </is>
      </c>
      <c r="S712" s="5" t="inlineStr">
        <is>
          <t>31</t>
        </is>
      </c>
      <c r="T712" s="5" t="inlineStr">
        <is>
          <t>6</t>
        </is>
      </c>
      <c r="U712" s="5" t="inlineStr">
        <is>
          <t>OK</t>
        </is>
      </c>
    </row>
    <row r="713">
      <c r="A713" s="5" t="inlineStr">
        <is>
          <t>E01527</t>
        </is>
      </c>
      <c r="B713" s="5" t="inlineStr">
        <is>
          <t>Male</t>
        </is>
      </c>
      <c r="C713" s="6" t="inlineStr">
        <is>
          <t>32</t>
        </is>
      </c>
      <c r="D713" s="5" t="inlineStr">
        <is>
          <t>Married</t>
        </is>
      </c>
      <c r="E713" s="5" t="inlineStr">
        <is>
          <t>Master</t>
        </is>
      </c>
      <c r="F713" s="5" t="inlineStr">
        <is>
          <t>Operations</t>
        </is>
      </c>
      <c r="G713" s="5" t="inlineStr">
        <is>
          <t>Quality Analyst</t>
        </is>
      </c>
      <c r="H713" s="5" t="inlineStr">
        <is>
          <t>1</t>
        </is>
      </c>
      <c r="I713" s="5" t="inlineStr">
        <is>
          <t>Remote</t>
        </is>
      </c>
      <c r="J713" s="5" t="inlineStr">
        <is>
          <t>Full-Time</t>
        </is>
      </c>
      <c r="K713" s="7" t="n">
        <v>44836</v>
      </c>
      <c r="L713" s="7" t="n">
        <v>44949</v>
      </c>
      <c r="M713" s="5" t="inlineStr">
        <is>
          <t>No</t>
        </is>
      </c>
      <c r="N713" s="5" t="inlineStr">
        <is>
          <t>Retirement</t>
        </is>
      </c>
      <c r="O713" s="8" t="inlineStr">
        <is>
          <t>76500</t>
        </is>
      </c>
      <c r="P713" s="5" t="inlineStr">
        <is>
          <t>0</t>
        </is>
      </c>
      <c r="Q713" s="5" t="inlineStr">
        <is>
          <t>5</t>
        </is>
      </c>
      <c r="R713" s="5" t="inlineStr">
        <is>
          <t>4</t>
        </is>
      </c>
      <c r="S713" s="5" t="inlineStr">
        <is>
          <t>3</t>
        </is>
      </c>
      <c r="T713" s="5" t="inlineStr">
        <is>
          <t>3</t>
        </is>
      </c>
      <c r="U713" s="5" t="inlineStr">
        <is>
          <t>OK</t>
        </is>
      </c>
    </row>
    <row r="714">
      <c r="A714" s="5" t="inlineStr">
        <is>
          <t>E01524</t>
        </is>
      </c>
      <c r="B714" s="5" t="inlineStr">
        <is>
          <t>Male</t>
        </is>
      </c>
      <c r="C714" s="6" t="inlineStr">
        <is>
          <t>34</t>
        </is>
      </c>
      <c r="D714" s="5" t="inlineStr">
        <is>
          <t>Married</t>
        </is>
      </c>
      <c r="E714" s="5" t="inlineStr">
        <is>
          <t>Bachelor</t>
        </is>
      </c>
      <c r="F714" s="5" t="inlineStr">
        <is>
          <t>Finance</t>
        </is>
      </c>
      <c r="G714" s="5" t="inlineStr">
        <is>
          <t>Credit Analyst</t>
        </is>
      </c>
      <c r="H714" s="5" t="inlineStr">
        <is>
          <t>1</t>
        </is>
      </c>
      <c r="I714" s="5" t="inlineStr">
        <is>
          <t>Mumbai</t>
        </is>
      </c>
      <c r="J714" s="5" t="inlineStr">
        <is>
          <t>Full-Time</t>
        </is>
      </c>
      <c r="K714" s="7" t="n">
        <v>44751</v>
      </c>
      <c r="L714" s="7" t="inlineStr"/>
      <c r="M714" s="5" t="inlineStr">
        <is>
          <t>Yes</t>
        </is>
      </c>
      <c r="N714" s="5" t="inlineStr"/>
      <c r="O714" s="8" t="inlineStr">
        <is>
          <t>110000</t>
        </is>
      </c>
      <c r="P714" s="5" t="inlineStr">
        <is>
          <t>0</t>
        </is>
      </c>
      <c r="Q714" s="5" t="inlineStr">
        <is>
          <t>3</t>
        </is>
      </c>
      <c r="R714" s="5" t="inlineStr">
        <is>
          <t>4</t>
        </is>
      </c>
      <c r="S714" s="5" t="inlineStr">
        <is>
          <t>42</t>
        </is>
      </c>
      <c r="T714" s="5" t="inlineStr">
        <is>
          <t>3</t>
        </is>
      </c>
      <c r="U714" s="5" t="inlineStr">
        <is>
          <t>OK</t>
        </is>
      </c>
    </row>
    <row r="715">
      <c r="A715" s="5" t="inlineStr">
        <is>
          <t>E00227</t>
        </is>
      </c>
      <c r="B715" s="5" t="inlineStr">
        <is>
          <t>Female</t>
        </is>
      </c>
      <c r="C715" s="6" t="inlineStr">
        <is>
          <t>38</t>
        </is>
      </c>
      <c r="D715" s="5" t="inlineStr">
        <is>
          <t>Divorced</t>
        </is>
      </c>
      <c r="E715" s="5" t="inlineStr">
        <is>
          <t>Bachelor</t>
        </is>
      </c>
      <c r="F715" s="5" t="inlineStr">
        <is>
          <t>Sales</t>
        </is>
      </c>
      <c r="G715" s="5" t="inlineStr">
        <is>
          <t>Business Development</t>
        </is>
      </c>
      <c r="H715" s="5" t="inlineStr">
        <is>
          <t>4</t>
        </is>
      </c>
      <c r="I715" s="5" t="inlineStr">
        <is>
          <t>Delhi</t>
        </is>
      </c>
      <c r="J715" s="5" t="inlineStr">
        <is>
          <t>Full-Time</t>
        </is>
      </c>
      <c r="K715" s="7" t="n">
        <v>46015</v>
      </c>
      <c r="L715" s="7" t="n">
        <v>46021</v>
      </c>
      <c r="M715" s="5" t="inlineStr">
        <is>
          <t>No</t>
        </is>
      </c>
      <c r="N715" s="5" t="inlineStr">
        <is>
          <t>Retirement</t>
        </is>
      </c>
      <c r="O715" s="8" t="inlineStr">
        <is>
          <t>141000</t>
        </is>
      </c>
      <c r="P715" s="5" t="inlineStr">
        <is>
          <t>5</t>
        </is>
      </c>
      <c r="Q715" s="5" t="inlineStr">
        <is>
          <t>4</t>
        </is>
      </c>
      <c r="R715" s="5" t="inlineStr">
        <is>
          <t>3</t>
        </is>
      </c>
      <c r="S715" s="5" t="inlineStr">
        <is>
          <t>1</t>
        </is>
      </c>
      <c r="T715" s="5" t="inlineStr">
        <is>
          <t>5</t>
        </is>
      </c>
      <c r="U715" s="5" t="inlineStr">
        <is>
          <t>OK</t>
        </is>
      </c>
    </row>
    <row r="716">
      <c r="A716" s="5" t="inlineStr">
        <is>
          <t>E00154</t>
        </is>
      </c>
      <c r="B716" s="5" t="inlineStr">
        <is>
          <t>Male</t>
        </is>
      </c>
      <c r="C716" s="6" t="inlineStr">
        <is>
          <t>33</t>
        </is>
      </c>
      <c r="D716" s="5" t="inlineStr">
        <is>
          <t>Married</t>
        </is>
      </c>
      <c r="E716" s="5" t="inlineStr">
        <is>
          <t>Master</t>
        </is>
      </c>
      <c r="F716" s="5" t="inlineStr">
        <is>
          <t>Sales</t>
        </is>
      </c>
      <c r="G716" s="5" t="inlineStr">
        <is>
          <t>Account Executive</t>
        </is>
      </c>
      <c r="H716" s="5" t="inlineStr">
        <is>
          <t>4</t>
        </is>
      </c>
      <c r="I716" s="5" t="inlineStr">
        <is>
          <t>Delhi</t>
        </is>
      </c>
      <c r="J716" s="5" t="inlineStr">
        <is>
          <t>Full-Time</t>
        </is>
      </c>
      <c r="K716" s="7" t="n">
        <v>45018</v>
      </c>
      <c r="L716" s="7" t="inlineStr"/>
      <c r="M716" s="5" t="inlineStr">
        <is>
          <t>Yes</t>
        </is>
      </c>
      <c r="N716" s="5" t="inlineStr"/>
      <c r="O716" s="8" t="inlineStr">
        <is>
          <t>150000</t>
        </is>
      </c>
      <c r="P716" s="5" t="inlineStr">
        <is>
          <t>0</t>
        </is>
      </c>
      <c r="Q716" s="5" t="inlineStr">
        <is>
          <t>5</t>
        </is>
      </c>
      <c r="R716" s="5" t="inlineStr">
        <is>
          <t>7</t>
        </is>
      </c>
      <c r="S716" s="5" t="inlineStr">
        <is>
          <t>33</t>
        </is>
      </c>
      <c r="T716" s="5" t="inlineStr">
        <is>
          <t>4</t>
        </is>
      </c>
      <c r="U716" s="5" t="inlineStr">
        <is>
          <t>OK</t>
        </is>
      </c>
    </row>
    <row r="717">
      <c r="A717" s="5" t="inlineStr">
        <is>
          <t>E00388</t>
        </is>
      </c>
      <c r="B717" s="5" t="inlineStr">
        <is>
          <t>Male</t>
        </is>
      </c>
      <c r="C717" s="6" t="inlineStr">
        <is>
          <t>31</t>
        </is>
      </c>
      <c r="D717" s="5" t="inlineStr">
        <is>
          <t>Married</t>
        </is>
      </c>
      <c r="E717" s="5" t="inlineStr">
        <is>
          <t>High School</t>
        </is>
      </c>
      <c r="F717" s="5" t="inlineStr">
        <is>
          <t>Operations</t>
        </is>
      </c>
      <c r="G717" s="5" t="inlineStr">
        <is>
          <t>Logistics Coordinator</t>
        </is>
      </c>
      <c r="H717" s="5" t="inlineStr">
        <is>
          <t>1</t>
        </is>
      </c>
      <c r="I717" s="5" t="inlineStr">
        <is>
          <t>Delhi</t>
        </is>
      </c>
      <c r="J717" s="5" t="inlineStr">
        <is>
          <t>Full-Time</t>
        </is>
      </c>
      <c r="K717" s="7" t="n">
        <v>45258</v>
      </c>
      <c r="L717" s="7" t="inlineStr"/>
      <c r="M717" s="5" t="inlineStr">
        <is>
          <t>Yes</t>
        </is>
      </c>
      <c r="N717" s="5" t="inlineStr"/>
      <c r="O717" s="8" t="inlineStr">
        <is>
          <t>74500</t>
        </is>
      </c>
      <c r="P717" s="5" t="inlineStr">
        <is>
          <t>5</t>
        </is>
      </c>
      <c r="Q717" s="5" t="inlineStr">
        <is>
          <t>5</t>
        </is>
      </c>
      <c r="R717" s="5" t="inlineStr">
        <is>
          <t>5</t>
        </is>
      </c>
      <c r="S717" s="5" t="inlineStr">
        <is>
          <t>25</t>
        </is>
      </c>
      <c r="T717" s="5" t="inlineStr">
        <is>
          <t>12</t>
        </is>
      </c>
      <c r="U717" s="5" t="inlineStr">
        <is>
          <t>OK</t>
        </is>
      </c>
    </row>
    <row r="718">
      <c r="A718" s="5" t="inlineStr">
        <is>
          <t>E01829</t>
        </is>
      </c>
      <c r="B718" s="5" t="inlineStr">
        <is>
          <t>Female</t>
        </is>
      </c>
      <c r="C718" s="6" t="inlineStr">
        <is>
          <t>31</t>
        </is>
      </c>
      <c r="D718" s="5" t="inlineStr">
        <is>
          <t>Married</t>
        </is>
      </c>
      <c r="E718" s="5" t="inlineStr">
        <is>
          <t>Bachelor</t>
        </is>
      </c>
      <c r="F718" s="5" t="inlineStr">
        <is>
          <t>Operations</t>
        </is>
      </c>
      <c r="G718" s="5" t="inlineStr">
        <is>
          <t>Operations Analyst</t>
        </is>
      </c>
      <c r="H718" s="5" t="inlineStr">
        <is>
          <t>2</t>
        </is>
      </c>
      <c r="I718" s="5" t="inlineStr">
        <is>
          <t>Remote</t>
        </is>
      </c>
      <c r="J718" s="5" t="inlineStr">
        <is>
          <t>Full-Time</t>
        </is>
      </c>
      <c r="K718" s="7" t="n">
        <v>44750</v>
      </c>
      <c r="L718" s="7" t="inlineStr"/>
      <c r="M718" s="5" t="inlineStr">
        <is>
          <t>Yes</t>
        </is>
      </c>
      <c r="N718" s="5" t="inlineStr"/>
      <c r="O718" s="8" t="inlineStr">
        <is>
          <t>109000</t>
        </is>
      </c>
      <c r="P718" s="5" t="inlineStr">
        <is>
          <t>5</t>
        </is>
      </c>
      <c r="Q718" s="5" t="inlineStr">
        <is>
          <t>3</t>
        </is>
      </c>
      <c r="R718" s="5" t="inlineStr">
        <is>
          <t>5</t>
        </is>
      </c>
      <c r="S718" s="5" t="inlineStr">
        <is>
          <t>42</t>
        </is>
      </c>
      <c r="T718" s="5" t="inlineStr">
        <is>
          <t>11</t>
        </is>
      </c>
      <c r="U718" s="5" t="inlineStr">
        <is>
          <t>OK</t>
        </is>
      </c>
    </row>
    <row r="719">
      <c r="A719" s="5" t="inlineStr">
        <is>
          <t>E02015</t>
        </is>
      </c>
      <c r="B719" s="5" t="inlineStr">
        <is>
          <t>Male</t>
        </is>
      </c>
      <c r="C719" s="6" t="inlineStr">
        <is>
          <t>26</t>
        </is>
      </c>
      <c r="D719" s="5" t="inlineStr">
        <is>
          <t>Single</t>
        </is>
      </c>
      <c r="E719" s="5" t="inlineStr">
        <is>
          <t>Bachelor</t>
        </is>
      </c>
      <c r="F719" s="5" t="inlineStr">
        <is>
          <t>Customer Support</t>
        </is>
      </c>
      <c r="G719" s="5" t="inlineStr">
        <is>
          <t>Support Agent</t>
        </is>
      </c>
      <c r="H719" s="5" t="inlineStr">
        <is>
          <t>1</t>
        </is>
      </c>
      <c r="I719" s="5" t="inlineStr">
        <is>
          <t>Remote</t>
        </is>
      </c>
      <c r="J719" s="5" t="inlineStr">
        <is>
          <t>Full-Time</t>
        </is>
      </c>
      <c r="K719" s="7" t="n">
        <v>45618</v>
      </c>
      <c r="L719" s="7" t="n">
        <v>45655</v>
      </c>
      <c r="M719" s="5" t="inlineStr">
        <is>
          <t>No</t>
        </is>
      </c>
      <c r="N719" s="5" t="inlineStr">
        <is>
          <t>Retirement</t>
        </is>
      </c>
      <c r="O719" s="8" t="inlineStr">
        <is>
          <t>61500</t>
        </is>
      </c>
      <c r="P719" s="5" t="inlineStr">
        <is>
          <t>0</t>
        </is>
      </c>
      <c r="Q719" s="5" t="inlineStr">
        <is>
          <t>4</t>
        </is>
      </c>
      <c r="R719" s="5" t="inlineStr">
        <is>
          <t>7</t>
        </is>
      </c>
      <c r="S719" s="5" t="inlineStr">
        <is>
          <t>1</t>
        </is>
      </c>
      <c r="T719" s="5" t="inlineStr">
        <is>
          <t>2</t>
        </is>
      </c>
      <c r="U719" s="5" t="inlineStr">
        <is>
          <t>OK</t>
        </is>
      </c>
    </row>
    <row r="720">
      <c r="A720" s="5" t="inlineStr">
        <is>
          <t>E02555</t>
        </is>
      </c>
      <c r="B720" s="5" t="inlineStr">
        <is>
          <t>Male</t>
        </is>
      </c>
      <c r="C720" s="6" t="inlineStr">
        <is>
          <t>33</t>
        </is>
      </c>
      <c r="D720" s="5" t="inlineStr">
        <is>
          <t>Divorced</t>
        </is>
      </c>
      <c r="E720" s="5" t="inlineStr">
        <is>
          <t>Master</t>
        </is>
      </c>
      <c r="F720" s="5" t="inlineStr">
        <is>
          <t>Sales</t>
        </is>
      </c>
      <c r="G720" s="5" t="inlineStr">
        <is>
          <t>Business Development</t>
        </is>
      </c>
      <c r="H720" s="5" t="inlineStr">
        <is>
          <t>3</t>
        </is>
      </c>
      <c r="I720" s="5" t="inlineStr">
        <is>
          <t>Mumbai</t>
        </is>
      </c>
      <c r="J720" s="5" t="inlineStr">
        <is>
          <t>Full-Time</t>
        </is>
      </c>
      <c r="K720" s="7" t="n">
        <v>44801</v>
      </c>
      <c r="L720" s="7" t="inlineStr"/>
      <c r="M720" s="5" t="inlineStr">
        <is>
          <t>Yes</t>
        </is>
      </c>
      <c r="N720" s="5" t="inlineStr"/>
      <c r="O720" s="8" t="inlineStr">
        <is>
          <t>98000</t>
        </is>
      </c>
      <c r="P720" s="5" t="inlineStr">
        <is>
          <t>0</t>
        </is>
      </c>
      <c r="Q720" s="5" t="inlineStr">
        <is>
          <t>3</t>
        </is>
      </c>
      <c r="R720" s="5" t="inlineStr">
        <is>
          <t>4</t>
        </is>
      </c>
      <c r="S720" s="5" t="inlineStr">
        <is>
          <t>40</t>
        </is>
      </c>
      <c r="T720" s="5" t="inlineStr">
        <is>
          <t>5</t>
        </is>
      </c>
      <c r="U720" s="5" t="inlineStr">
        <is>
          <t>OK</t>
        </is>
      </c>
    </row>
    <row r="721">
      <c r="A721" s="5" t="inlineStr">
        <is>
          <t>E01906</t>
        </is>
      </c>
      <c r="B721" s="5" t="inlineStr">
        <is>
          <t>Unknown</t>
        </is>
      </c>
      <c r="C721" s="6" t="inlineStr">
        <is>
          <t>39</t>
        </is>
      </c>
      <c r="D721" s="5" t="inlineStr">
        <is>
          <t>Married</t>
        </is>
      </c>
      <c r="E721" s="5" t="inlineStr">
        <is>
          <t>Bachelor</t>
        </is>
      </c>
      <c r="F721" s="5" t="inlineStr">
        <is>
          <t>Research &amp; Development</t>
        </is>
      </c>
      <c r="G721" s="5" t="inlineStr">
        <is>
          <t>Product Engineer</t>
        </is>
      </c>
      <c r="H721" s="5" t="inlineStr">
        <is>
          <t>6</t>
        </is>
      </c>
      <c r="I721" s="5" t="inlineStr">
        <is>
          <t>Chennai</t>
        </is>
      </c>
      <c r="J721" s="5" t="inlineStr">
        <is>
          <t>Full-Time</t>
        </is>
      </c>
      <c r="K721" s="7" t="n">
        <v>45962</v>
      </c>
      <c r="L721" s="7" t="inlineStr"/>
      <c r="M721" s="5" t="inlineStr">
        <is>
          <t>Yes</t>
        </is>
      </c>
      <c r="N721" s="5" t="inlineStr"/>
      <c r="O721" s="8" t="inlineStr">
        <is>
          <t>180000</t>
        </is>
      </c>
      <c r="P721" s="5" t="inlineStr">
        <is>
          <t>10</t>
        </is>
      </c>
      <c r="Q721" s="5" t="inlineStr">
        <is>
          <t>5</t>
        </is>
      </c>
      <c r="R721" s="5" t="inlineStr">
        <is>
          <t>9</t>
        </is>
      </c>
      <c r="S721" s="5" t="inlineStr">
        <is>
          <t>2</t>
        </is>
      </c>
      <c r="T721" s="5" t="inlineStr">
        <is>
          <t>14</t>
        </is>
      </c>
      <c r="U721" s="5" t="inlineStr">
        <is>
          <t>Bad gender</t>
        </is>
      </c>
    </row>
    <row r="722">
      <c r="A722" s="5" t="inlineStr">
        <is>
          <t>E01011</t>
        </is>
      </c>
      <c r="B722" s="5" t="inlineStr">
        <is>
          <t>Female</t>
        </is>
      </c>
      <c r="C722" s="6" t="inlineStr">
        <is>
          <t>27</t>
        </is>
      </c>
      <c r="D722" s="5" t="inlineStr">
        <is>
          <t>Single</t>
        </is>
      </c>
      <c r="E722" s="5" t="inlineStr">
        <is>
          <t>High School</t>
        </is>
      </c>
      <c r="F722" s="5" t="inlineStr">
        <is>
          <t>Operations</t>
        </is>
      </c>
      <c r="G722" s="5" t="inlineStr">
        <is>
          <t>Quality Analyst</t>
        </is>
      </c>
      <c r="H722" s="5" t="inlineStr">
        <is>
          <t>1</t>
        </is>
      </c>
      <c r="I722" s="5" t="inlineStr">
        <is>
          <t>Remote</t>
        </is>
      </c>
      <c r="J722" s="5" t="inlineStr">
        <is>
          <t>Full-Time</t>
        </is>
      </c>
      <c r="K722" s="7" t="n">
        <v>45981</v>
      </c>
      <c r="L722" s="7" t="inlineStr"/>
      <c r="M722" s="5" t="inlineStr">
        <is>
          <t>Yes</t>
        </is>
      </c>
      <c r="N722" s="5" t="inlineStr"/>
      <c r="O722" s="8" t="inlineStr">
        <is>
          <t>71000</t>
        </is>
      </c>
      <c r="P722" s="5" t="inlineStr">
        <is>
          <t>5</t>
        </is>
      </c>
      <c r="Q722" s="5" t="inlineStr">
        <is>
          <t>5</t>
        </is>
      </c>
      <c r="R722" s="5" t="inlineStr">
        <is>
          <t>10</t>
        </is>
      </c>
      <c r="S722" s="5" t="inlineStr">
        <is>
          <t>1</t>
        </is>
      </c>
      <c r="T722" s="5" t="inlineStr">
        <is>
          <t>10</t>
        </is>
      </c>
      <c r="U722" s="5" t="inlineStr">
        <is>
          <t>OK</t>
        </is>
      </c>
    </row>
    <row r="723">
      <c r="A723" s="5" t="inlineStr">
        <is>
          <t>E00749</t>
        </is>
      </c>
      <c r="B723" s="5" t="inlineStr">
        <is>
          <t>Female</t>
        </is>
      </c>
      <c r="C723" s="6" t="inlineStr">
        <is>
          <t>32</t>
        </is>
      </c>
      <c r="D723" s="5" t="inlineStr">
        <is>
          <t>Married</t>
        </is>
      </c>
      <c r="E723" s="5" t="inlineStr">
        <is>
          <t>Bachelor</t>
        </is>
      </c>
      <c r="F723" s="5" t="inlineStr">
        <is>
          <t>Customer Support</t>
        </is>
      </c>
      <c r="G723" s="5" t="inlineStr">
        <is>
          <t>Support Agent</t>
        </is>
      </c>
      <c r="H723" s="5" t="inlineStr">
        <is>
          <t>2</t>
        </is>
      </c>
      <c r="I723" s="5" t="inlineStr">
        <is>
          <t>Delhi</t>
        </is>
      </c>
      <c r="J723" s="5" t="inlineStr">
        <is>
          <t>Full-Time</t>
        </is>
      </c>
      <c r="K723" s="7" t="n">
        <v>45006</v>
      </c>
      <c r="L723" s="7" t="inlineStr"/>
      <c r="M723" s="5" t="inlineStr">
        <is>
          <t>Yes</t>
        </is>
      </c>
      <c r="N723" s="5" t="inlineStr"/>
      <c r="O723" s="8" t="inlineStr">
        <is>
          <t>70000</t>
        </is>
      </c>
      <c r="P723" s="5" t="inlineStr">
        <is>
          <t>0</t>
        </is>
      </c>
      <c r="Q723" s="5" t="inlineStr">
        <is>
          <t>4</t>
        </is>
      </c>
      <c r="R723" s="5" t="inlineStr">
        <is>
          <t>10</t>
        </is>
      </c>
      <c r="S723" s="5" t="inlineStr">
        <is>
          <t>33</t>
        </is>
      </c>
      <c r="T723" s="5" t="inlineStr">
        <is>
          <t>3</t>
        </is>
      </c>
      <c r="U723" s="5" t="inlineStr">
        <is>
          <t>OK</t>
        </is>
      </c>
    </row>
    <row r="724">
      <c r="A724" s="5" t="inlineStr">
        <is>
          <t>E02379</t>
        </is>
      </c>
      <c r="B724" s="5" t="inlineStr">
        <is>
          <t>Female</t>
        </is>
      </c>
      <c r="C724" s="6" t="inlineStr">
        <is>
          <t>38</t>
        </is>
      </c>
      <c r="D724" s="5" t="inlineStr">
        <is>
          <t>Married</t>
        </is>
      </c>
      <c r="E724" s="5" t="inlineStr">
        <is>
          <t>Master</t>
        </is>
      </c>
      <c r="F724" s="5" t="inlineStr">
        <is>
          <t>Sales</t>
        </is>
      </c>
      <c r="G724" s="5" t="inlineStr">
        <is>
          <t>Account Executive</t>
        </is>
      </c>
      <c r="H724" s="5" t="inlineStr">
        <is>
          <t>5</t>
        </is>
      </c>
      <c r="I724" s="5" t="inlineStr">
        <is>
          <t>Bengaluru</t>
        </is>
      </c>
      <c r="J724" s="5" t="inlineStr">
        <is>
          <t>Full-Time</t>
        </is>
      </c>
      <c r="K724" s="7" t="n">
        <v>44178</v>
      </c>
      <c r="L724" s="7" t="inlineStr"/>
      <c r="M724" s="5" t="inlineStr">
        <is>
          <t>Yes</t>
        </is>
      </c>
      <c r="N724" s="5" t="inlineStr"/>
      <c r="O724" s="8" t="inlineStr">
        <is>
          <t>166000</t>
        </is>
      </c>
      <c r="P724" s="5" t="inlineStr">
        <is>
          <t>0</t>
        </is>
      </c>
      <c r="Q724" s="5" t="inlineStr">
        <is>
          <t>4</t>
        </is>
      </c>
      <c r="R724" s="5" t="inlineStr">
        <is>
          <t>6</t>
        </is>
      </c>
      <c r="S724" s="5" t="inlineStr">
        <is>
          <t>61</t>
        </is>
      </c>
      <c r="T724" s="5" t="inlineStr">
        <is>
          <t>0</t>
        </is>
      </c>
      <c r="U724" s="5" t="inlineStr">
        <is>
          <t>OK</t>
        </is>
      </c>
    </row>
    <row r="725">
      <c r="A725" s="5" t="inlineStr">
        <is>
          <t>E01865</t>
        </is>
      </c>
      <c r="B725" s="5" t="inlineStr">
        <is>
          <t>Female</t>
        </is>
      </c>
      <c r="C725" s="6" t="inlineStr">
        <is>
          <t>34</t>
        </is>
      </c>
      <c r="D725" s="5" t="inlineStr">
        <is>
          <t>Married</t>
        </is>
      </c>
      <c r="E725" s="5" t="inlineStr">
        <is>
          <t>High School</t>
        </is>
      </c>
      <c r="F725" s="5" t="inlineStr"/>
      <c r="G725" s="5" t="inlineStr">
        <is>
          <t>Support Lead</t>
        </is>
      </c>
      <c r="H725" s="5" t="inlineStr">
        <is>
          <t>2</t>
        </is>
      </c>
      <c r="I725" s="5" t="inlineStr">
        <is>
          <t>Bengaluru</t>
        </is>
      </c>
      <c r="J725" s="5" t="inlineStr">
        <is>
          <t>Full-Time</t>
        </is>
      </c>
      <c r="K725" s="7" t="n">
        <v>45684</v>
      </c>
      <c r="L725" s="7" t="inlineStr"/>
      <c r="M725" s="5" t="inlineStr">
        <is>
          <t>Yes</t>
        </is>
      </c>
      <c r="N725" s="5" t="inlineStr"/>
      <c r="O725" s="8" t="inlineStr">
        <is>
          <t>69500</t>
        </is>
      </c>
      <c r="P725" s="5" t="inlineStr">
        <is>
          <t>0</t>
        </is>
      </c>
      <c r="Q725" s="5" t="inlineStr">
        <is>
          <t>4</t>
        </is>
      </c>
      <c r="R725" s="5" t="inlineStr">
        <is>
          <t>5</t>
        </is>
      </c>
      <c r="S725" s="5" t="inlineStr">
        <is>
          <t>11</t>
        </is>
      </c>
      <c r="T725" s="5" t="inlineStr">
        <is>
          <t>7</t>
        </is>
      </c>
      <c r="U725" s="5" t="inlineStr">
        <is>
          <t>Blank department</t>
        </is>
      </c>
    </row>
    <row r="726">
      <c r="A726" s="5" t="inlineStr">
        <is>
          <t>E00794</t>
        </is>
      </c>
      <c r="B726" s="5" t="inlineStr">
        <is>
          <t>Male</t>
        </is>
      </c>
      <c r="C726" s="6" t="inlineStr">
        <is>
          <t>34</t>
        </is>
      </c>
      <c r="D726" s="5" t="inlineStr">
        <is>
          <t>Divorced</t>
        </is>
      </c>
      <c r="E726" s="5" t="inlineStr">
        <is>
          <t>Diploma</t>
        </is>
      </c>
      <c r="F726" s="5" t="inlineStr">
        <is>
          <t>Operations</t>
        </is>
      </c>
      <c r="G726" s="5" t="inlineStr">
        <is>
          <t>Quality Analyst</t>
        </is>
      </c>
      <c r="H726" s="5" t="inlineStr">
        <is>
          <t>2</t>
        </is>
      </c>
      <c r="I726" s="5" t="inlineStr">
        <is>
          <t>Chennai</t>
        </is>
      </c>
      <c r="J726" s="5" t="inlineStr">
        <is>
          <t>Full-Time</t>
        </is>
      </c>
      <c r="K726" s="7" t="n">
        <v>44787</v>
      </c>
      <c r="L726" s="7" t="inlineStr"/>
      <c r="M726" s="5" t="inlineStr">
        <is>
          <t>Yes</t>
        </is>
      </c>
      <c r="N726" s="5" t="inlineStr"/>
      <c r="O726" s="8" t="inlineStr">
        <is>
          <t>80500</t>
        </is>
      </c>
      <c r="P726" s="5" t="inlineStr">
        <is>
          <t>5</t>
        </is>
      </c>
      <c r="Q726" s="5" t="inlineStr">
        <is>
          <t>5</t>
        </is>
      </c>
      <c r="R726" s="5" t="inlineStr">
        <is>
          <t>7</t>
        </is>
      </c>
      <c r="S726" s="5" t="inlineStr">
        <is>
          <t>41</t>
        </is>
      </c>
      <c r="T726" s="5" t="inlineStr">
        <is>
          <t>3</t>
        </is>
      </c>
      <c r="U726" s="5" t="inlineStr">
        <is>
          <t>OK</t>
        </is>
      </c>
    </row>
    <row r="727">
      <c r="A727" s="5" t="inlineStr">
        <is>
          <t>E01729</t>
        </is>
      </c>
      <c r="B727" s="5" t="inlineStr">
        <is>
          <t>Male</t>
        </is>
      </c>
      <c r="C727" s="6" t="inlineStr">
        <is>
          <t>31</t>
        </is>
      </c>
      <c r="D727" s="5" t="inlineStr">
        <is>
          <t>Divorced</t>
        </is>
      </c>
      <c r="E727" s="5" t="inlineStr">
        <is>
          <t>Diploma</t>
        </is>
      </c>
      <c r="F727" s="5" t="inlineStr">
        <is>
          <t>Operations</t>
        </is>
      </c>
      <c r="G727" s="5" t="inlineStr">
        <is>
          <t>Operations Analyst</t>
        </is>
      </c>
      <c r="H727" s="5" t="inlineStr">
        <is>
          <t>2</t>
        </is>
      </c>
      <c r="I727" s="5" t="inlineStr">
        <is>
          <t>Remote</t>
        </is>
      </c>
      <c r="J727" s="5" t="inlineStr">
        <is>
          <t>Full-Time</t>
        </is>
      </c>
      <c r="K727" s="7" t="n">
        <v>44838</v>
      </c>
      <c r="L727" s="7" t="n">
        <v>44949</v>
      </c>
      <c r="M727" s="5" t="inlineStr">
        <is>
          <t>No</t>
        </is>
      </c>
      <c r="N727" s="5" t="inlineStr">
        <is>
          <t>Resigned</t>
        </is>
      </c>
      <c r="O727" s="8" t="inlineStr">
        <is>
          <t>78500</t>
        </is>
      </c>
      <c r="P727" s="5" t="inlineStr">
        <is>
          <t>0</t>
        </is>
      </c>
      <c r="Q727" s="5" t="inlineStr">
        <is>
          <t>3</t>
        </is>
      </c>
      <c r="R727" s="5" t="inlineStr">
        <is>
          <t>7</t>
        </is>
      </c>
      <c r="S727" s="5" t="inlineStr">
        <is>
          <t>3</t>
        </is>
      </c>
      <c r="T727" s="5" t="inlineStr">
        <is>
          <t>5</t>
        </is>
      </c>
      <c r="U727" s="5" t="inlineStr">
        <is>
          <t>OK</t>
        </is>
      </c>
    </row>
    <row r="728">
      <c r="A728" s="5" t="inlineStr">
        <is>
          <t>E02200</t>
        </is>
      </c>
      <c r="B728" s="5" t="inlineStr">
        <is>
          <t>Male</t>
        </is>
      </c>
      <c r="C728" s="6" t="inlineStr">
        <is>
          <t>29</t>
        </is>
      </c>
      <c r="D728" s="5" t="inlineStr">
        <is>
          <t>Married</t>
        </is>
      </c>
      <c r="E728" s="5" t="inlineStr">
        <is>
          <t>Master</t>
        </is>
      </c>
      <c r="F728" s="5" t="inlineStr">
        <is>
          <t>Customer Support</t>
        </is>
      </c>
      <c r="G728" s="5" t="inlineStr">
        <is>
          <t>Support Agent</t>
        </is>
      </c>
      <c r="H728" s="5" t="inlineStr">
        <is>
          <t>1</t>
        </is>
      </c>
      <c r="I728" s="5" t="inlineStr">
        <is>
          <t>Remote</t>
        </is>
      </c>
      <c r="J728" s="5" t="inlineStr">
        <is>
          <t>Part-Time</t>
        </is>
      </c>
      <c r="K728" s="7" t="n">
        <v>44041</v>
      </c>
      <c r="L728" s="7" t="inlineStr"/>
      <c r="M728" s="5" t="inlineStr">
        <is>
          <t>Yes</t>
        </is>
      </c>
      <c r="N728" s="5" t="inlineStr"/>
      <c r="O728" s="8" t="inlineStr">
        <is>
          <t>52500</t>
        </is>
      </c>
      <c r="P728" s="5" t="inlineStr">
        <is>
          <t>10</t>
        </is>
      </c>
      <c r="Q728" s="5" t="inlineStr">
        <is>
          <t>4</t>
        </is>
      </c>
      <c r="R728" s="5" t="inlineStr">
        <is>
          <t>5</t>
        </is>
      </c>
      <c r="S728" s="5" t="inlineStr">
        <is>
          <t>66</t>
        </is>
      </c>
      <c r="T728" s="5" t="inlineStr">
        <is>
          <t>4</t>
        </is>
      </c>
      <c r="U728" s="5" t="inlineStr">
        <is>
          <t>OK</t>
        </is>
      </c>
    </row>
    <row r="729">
      <c r="A729" s="5" t="inlineStr">
        <is>
          <t>E00067</t>
        </is>
      </c>
      <c r="B729" s="5" t="inlineStr">
        <is>
          <t>Female</t>
        </is>
      </c>
      <c r="C729" s="6" t="inlineStr">
        <is>
          <t>32</t>
        </is>
      </c>
      <c r="D729" s="5" t="inlineStr">
        <is>
          <t>Married</t>
        </is>
      </c>
      <c r="E729" s="5" t="inlineStr">
        <is>
          <t>PhD</t>
        </is>
      </c>
      <c r="F729" s="5" t="inlineStr">
        <is>
          <t>Human Resources</t>
        </is>
      </c>
      <c r="G729" s="5" t="inlineStr">
        <is>
          <t>Recruiter</t>
        </is>
      </c>
      <c r="H729" s="5" t="inlineStr">
        <is>
          <t>1</t>
        </is>
      </c>
      <c r="I729" s="5" t="inlineStr">
        <is>
          <t>Bengaluru</t>
        </is>
      </c>
      <c r="J729" s="5" t="inlineStr">
        <is>
          <t>Full-Time</t>
        </is>
      </c>
      <c r="K729" s="7" t="n">
        <v>44824</v>
      </c>
      <c r="L729" s="7" t="inlineStr"/>
      <c r="M729" s="5" t="inlineStr">
        <is>
          <t>Yes</t>
        </is>
      </c>
      <c r="N729" s="5" t="inlineStr"/>
      <c r="O729" s="8" t="inlineStr">
        <is>
          <t>60000</t>
        </is>
      </c>
      <c r="P729" s="5" t="inlineStr">
        <is>
          <t>20</t>
        </is>
      </c>
      <c r="Q729" s="5" t="inlineStr">
        <is>
          <t>5</t>
        </is>
      </c>
      <c r="R729" s="5" t="inlineStr">
        <is>
          <t>5</t>
        </is>
      </c>
      <c r="S729" s="5" t="inlineStr">
        <is>
          <t>39</t>
        </is>
      </c>
      <c r="T729" s="5" t="inlineStr">
        <is>
          <t>17</t>
        </is>
      </c>
      <c r="U729" s="5" t="inlineStr">
        <is>
          <t>OK</t>
        </is>
      </c>
    </row>
    <row r="730">
      <c r="A730" s="5" t="inlineStr">
        <is>
          <t>E01883</t>
        </is>
      </c>
      <c r="B730" s="5" t="inlineStr">
        <is>
          <t>Female</t>
        </is>
      </c>
      <c r="C730" s="6" t="inlineStr">
        <is>
          <t>29</t>
        </is>
      </c>
      <c r="D730" s="5" t="inlineStr">
        <is>
          <t>Single</t>
        </is>
      </c>
      <c r="E730" s="5" t="inlineStr">
        <is>
          <t>PhD</t>
        </is>
      </c>
      <c r="F730" s="5" t="inlineStr">
        <is>
          <t>Marketing</t>
        </is>
      </c>
      <c r="G730" s="5" t="inlineStr">
        <is>
          <t>SEO Specialist</t>
        </is>
      </c>
      <c r="H730" s="5" t="inlineStr">
        <is>
          <t>3</t>
        </is>
      </c>
      <c r="I730" s="5" t="inlineStr">
        <is>
          <t>Delhi</t>
        </is>
      </c>
      <c r="J730" s="5" t="inlineStr">
        <is>
          <t>Full-Time</t>
        </is>
      </c>
      <c r="K730" s="7" t="n">
        <v>44056</v>
      </c>
      <c r="L730" s="7" t="inlineStr"/>
      <c r="M730" s="5" t="inlineStr">
        <is>
          <t>Yes</t>
        </is>
      </c>
      <c r="N730" s="5" t="inlineStr"/>
      <c r="O730" s="8" t="inlineStr">
        <is>
          <t>70000</t>
        </is>
      </c>
      <c r="P730" s="5" t="inlineStr">
        <is>
          <t>10</t>
        </is>
      </c>
      <c r="Q730" s="5" t="inlineStr">
        <is>
          <t>3</t>
        </is>
      </c>
      <c r="R730" s="5" t="inlineStr">
        <is>
          <t>10</t>
        </is>
      </c>
      <c r="S730" s="5" t="inlineStr">
        <is>
          <t>65</t>
        </is>
      </c>
      <c r="T730" s="5" t="inlineStr">
        <is>
          <t>3</t>
        </is>
      </c>
      <c r="U730" s="5" t="inlineStr">
        <is>
          <t>OK</t>
        </is>
      </c>
    </row>
    <row r="731">
      <c r="A731" s="5" t="inlineStr">
        <is>
          <t>E00232</t>
        </is>
      </c>
      <c r="B731" s="5" t="inlineStr">
        <is>
          <t>Male</t>
        </is>
      </c>
      <c r="C731" s="6" t="inlineStr">
        <is>
          <t>30</t>
        </is>
      </c>
      <c r="D731" s="5" t="inlineStr">
        <is>
          <t>Married</t>
        </is>
      </c>
      <c r="E731" s="5" t="inlineStr">
        <is>
          <t>High School</t>
        </is>
      </c>
      <c r="F731" s="5" t="inlineStr">
        <is>
          <t>IT</t>
        </is>
      </c>
      <c r="G731" s="5" t="inlineStr">
        <is>
          <t>Software Engineer</t>
        </is>
      </c>
      <c r="H731" s="5" t="inlineStr">
        <is>
          <t>1</t>
        </is>
      </c>
      <c r="I731" s="5" t="inlineStr">
        <is>
          <t>Chennai</t>
        </is>
      </c>
      <c r="J731" s="5" t="inlineStr">
        <is>
          <t>Contract</t>
        </is>
      </c>
      <c r="K731" s="7" t="n">
        <v>45735</v>
      </c>
      <c r="L731" s="7" t="inlineStr"/>
      <c r="M731" s="5" t="inlineStr">
        <is>
          <t>Yes</t>
        </is>
      </c>
      <c r="N731" s="5" t="inlineStr"/>
      <c r="O731" s="8" t="inlineStr">
        <is>
          <t>122500</t>
        </is>
      </c>
      <c r="P731" s="5" t="inlineStr">
        <is>
          <t>0</t>
        </is>
      </c>
      <c r="Q731" s="5" t="inlineStr">
        <is>
          <t>2</t>
        </is>
      </c>
      <c r="R731" s="5" t="inlineStr">
        <is>
          <t>5</t>
        </is>
      </c>
      <c r="S731" s="5" t="inlineStr">
        <is>
          <t>9</t>
        </is>
      </c>
      <c r="T731" s="5" t="inlineStr">
        <is>
          <t>3</t>
        </is>
      </c>
      <c r="U731" s="5" t="inlineStr">
        <is>
          <t>OK</t>
        </is>
      </c>
    </row>
    <row r="732">
      <c r="A732" s="5" t="inlineStr">
        <is>
          <t>E01768</t>
        </is>
      </c>
      <c r="B732" s="5" t="inlineStr">
        <is>
          <t>Male</t>
        </is>
      </c>
      <c r="C732" s="6" t="inlineStr">
        <is>
          <t>31</t>
        </is>
      </c>
      <c r="D732" s="5" t="inlineStr">
        <is>
          <t>Married</t>
        </is>
      </c>
      <c r="E732" s="5" t="inlineStr">
        <is>
          <t>PhD</t>
        </is>
      </c>
      <c r="F732" s="5" t="inlineStr">
        <is>
          <t>IT</t>
        </is>
      </c>
      <c r="G732" s="5" t="inlineStr">
        <is>
          <t>IT Support</t>
        </is>
      </c>
      <c r="H732" s="5" t="inlineStr">
        <is>
          <t>2</t>
        </is>
      </c>
      <c r="I732" s="5" t="inlineStr">
        <is>
          <t>Mumbai</t>
        </is>
      </c>
      <c r="J732" s="5" t="inlineStr">
        <is>
          <t>Contract</t>
        </is>
      </c>
      <c r="K732" s="7" t="n">
        <v>45219</v>
      </c>
      <c r="L732" s="7" t="n">
        <v>45278</v>
      </c>
      <c r="M732" s="5" t="inlineStr">
        <is>
          <t>No</t>
        </is>
      </c>
      <c r="N732" s="5" t="inlineStr">
        <is>
          <t>Performance / Termination</t>
        </is>
      </c>
      <c r="O732" s="8" t="inlineStr">
        <is>
          <t>116000</t>
        </is>
      </c>
      <c r="P732" s="5" t="inlineStr">
        <is>
          <t>0</t>
        </is>
      </c>
      <c r="Q732" s="5" t="inlineStr">
        <is>
          <t>3</t>
        </is>
      </c>
      <c r="R732" s="5" t="inlineStr">
        <is>
          <t>3</t>
        </is>
      </c>
      <c r="S732" s="5" t="inlineStr">
        <is>
          <t>1</t>
        </is>
      </c>
      <c r="T732" s="5" t="inlineStr">
        <is>
          <t>3</t>
        </is>
      </c>
      <c r="U732" s="5" t="inlineStr">
        <is>
          <t>OK</t>
        </is>
      </c>
    </row>
    <row r="733">
      <c r="A733" s="5" t="inlineStr">
        <is>
          <t>E00862</t>
        </is>
      </c>
      <c r="B733" s="5" t="inlineStr">
        <is>
          <t>Female</t>
        </is>
      </c>
      <c r="C733" s="6" t="inlineStr">
        <is>
          <t>32</t>
        </is>
      </c>
      <c r="D733" s="5" t="inlineStr">
        <is>
          <t>Single</t>
        </is>
      </c>
      <c r="E733" s="5" t="inlineStr">
        <is>
          <t>High School</t>
        </is>
      </c>
      <c r="F733" s="5" t="inlineStr">
        <is>
          <t>IT</t>
        </is>
      </c>
      <c r="G733" s="5" t="inlineStr">
        <is>
          <t>IT Support</t>
        </is>
      </c>
      <c r="H733" s="5" t="inlineStr">
        <is>
          <t>5</t>
        </is>
      </c>
      <c r="I733" s="5" t="inlineStr">
        <is>
          <t>Remote</t>
        </is>
      </c>
      <c r="J733" s="5" t="inlineStr">
        <is>
          <t>Full-Time</t>
        </is>
      </c>
      <c r="K733" s="7" t="n">
        <v>44242</v>
      </c>
      <c r="L733" s="7" t="inlineStr"/>
      <c r="M733" s="5" t="inlineStr">
        <is>
          <t>Yes</t>
        </is>
      </c>
      <c r="N733" s="5" t="inlineStr"/>
      <c r="O733" s="8" t="inlineStr">
        <is>
          <t>155500</t>
        </is>
      </c>
      <c r="P733" s="5" t="inlineStr">
        <is>
          <t>0</t>
        </is>
      </c>
      <c r="Q733" s="5" t="inlineStr">
        <is>
          <t>4</t>
        </is>
      </c>
      <c r="R733" s="5" t="inlineStr">
        <is>
          <t>4</t>
        </is>
      </c>
      <c r="S733" s="5" t="inlineStr">
        <is>
          <t>59</t>
        </is>
      </c>
      <c r="T733" s="5" t="inlineStr">
        <is>
          <t>0</t>
        </is>
      </c>
      <c r="U733" s="5" t="inlineStr">
        <is>
          <t>OK</t>
        </is>
      </c>
    </row>
    <row r="734">
      <c r="A734" s="5" t="inlineStr">
        <is>
          <t>E02985</t>
        </is>
      </c>
      <c r="B734" s="5" t="inlineStr">
        <is>
          <t>Female</t>
        </is>
      </c>
      <c r="C734" s="6" t="inlineStr">
        <is>
          <t>34</t>
        </is>
      </c>
      <c r="D734" s="5" t="inlineStr">
        <is>
          <t>Married</t>
        </is>
      </c>
      <c r="E734" s="5" t="inlineStr">
        <is>
          <t>Bachelor</t>
        </is>
      </c>
      <c r="F734" s="5" t="inlineStr">
        <is>
          <t>Marketing</t>
        </is>
      </c>
      <c r="G734" s="5" t="inlineStr">
        <is>
          <t>Marketing Analyst</t>
        </is>
      </c>
      <c r="H734" s="5" t="inlineStr">
        <is>
          <t>1</t>
        </is>
      </c>
      <c r="I734" s="5" t="inlineStr">
        <is>
          <t>Bengaluru</t>
        </is>
      </c>
      <c r="J734" s="5" t="inlineStr">
        <is>
          <t>Full-Time</t>
        </is>
      </c>
      <c r="K734" s="7" t="n">
        <v>44059</v>
      </c>
      <c r="L734" s="7" t="inlineStr"/>
      <c r="M734" s="5" t="inlineStr">
        <is>
          <t>Yes</t>
        </is>
      </c>
      <c r="N734" s="5" t="inlineStr"/>
      <c r="O734" s="8" t="inlineStr">
        <is>
          <t>88500</t>
        </is>
      </c>
      <c r="P734" s="5" t="inlineStr">
        <is>
          <t>0</t>
        </is>
      </c>
      <c r="Q734" s="5" t="inlineStr">
        <is>
          <t>3</t>
        </is>
      </c>
      <c r="R734" s="5" t="inlineStr">
        <is>
          <t>5</t>
        </is>
      </c>
      <c r="S734" s="5" t="inlineStr">
        <is>
          <t>65</t>
        </is>
      </c>
      <c r="T734" s="5" t="inlineStr">
        <is>
          <t>7</t>
        </is>
      </c>
      <c r="U734" s="5" t="inlineStr">
        <is>
          <t>OK</t>
        </is>
      </c>
    </row>
    <row r="735">
      <c r="A735" s="5" t="inlineStr">
        <is>
          <t>E01653</t>
        </is>
      </c>
      <c r="B735" s="5" t="inlineStr">
        <is>
          <t>Female</t>
        </is>
      </c>
      <c r="C735" s="6" t="inlineStr">
        <is>
          <t>41</t>
        </is>
      </c>
      <c r="D735" s="5" t="inlineStr">
        <is>
          <t>Married</t>
        </is>
      </c>
      <c r="E735" s="5" t="inlineStr">
        <is>
          <t>Diploma</t>
        </is>
      </c>
      <c r="F735" s="5" t="inlineStr">
        <is>
          <t>Customer Support</t>
        </is>
      </c>
      <c r="G735" s="5" t="inlineStr">
        <is>
          <t>Support Lead</t>
        </is>
      </c>
      <c r="H735" s="5" t="inlineStr">
        <is>
          <t>5</t>
        </is>
      </c>
      <c r="I735" s="5" t="inlineStr">
        <is>
          <t>Mumbai</t>
        </is>
      </c>
      <c r="J735" s="5" t="inlineStr">
        <is>
          <t>Full-Time</t>
        </is>
      </c>
      <c r="K735" s="7" t="n">
        <v>45501</v>
      </c>
      <c r="L735" s="7" t="inlineStr"/>
      <c r="M735" s="5" t="inlineStr">
        <is>
          <t>Yes</t>
        </is>
      </c>
      <c r="N735" s="5" t="inlineStr"/>
      <c r="O735" s="8" t="inlineStr">
        <is>
          <t>100500</t>
        </is>
      </c>
      <c r="P735" s="5" t="inlineStr">
        <is>
          <t>0</t>
        </is>
      </c>
      <c r="Q735" s="5" t="inlineStr">
        <is>
          <t>3</t>
        </is>
      </c>
      <c r="R735" s="5" t="inlineStr">
        <is>
          <t>3</t>
        </is>
      </c>
      <c r="S735" s="5" t="inlineStr">
        <is>
          <t>17</t>
        </is>
      </c>
      <c r="T735" s="5" t="inlineStr">
        <is>
          <t>4</t>
        </is>
      </c>
      <c r="U735" s="5" t="inlineStr">
        <is>
          <t>OK</t>
        </is>
      </c>
    </row>
    <row r="736">
      <c r="A736" s="5" t="inlineStr">
        <is>
          <t>E00770</t>
        </is>
      </c>
      <c r="B736" s="5" t="inlineStr">
        <is>
          <t>Female</t>
        </is>
      </c>
      <c r="C736" s="6" t="inlineStr">
        <is>
          <t>31</t>
        </is>
      </c>
      <c r="D736" s="5" t="inlineStr">
        <is>
          <t>Married</t>
        </is>
      </c>
      <c r="E736" s="5" t="inlineStr">
        <is>
          <t>High School</t>
        </is>
      </c>
      <c r="F736" s="5" t="inlineStr">
        <is>
          <t>Operations</t>
        </is>
      </c>
      <c r="G736" s="5" t="inlineStr">
        <is>
          <t>Operations Analyst</t>
        </is>
      </c>
      <c r="H736" s="5" t="inlineStr">
        <is>
          <t>2</t>
        </is>
      </c>
      <c r="I736" s="5" t="inlineStr">
        <is>
          <t>Remote</t>
        </is>
      </c>
      <c r="J736" s="5" t="inlineStr">
        <is>
          <t>Full-Time</t>
        </is>
      </c>
      <c r="K736" s="7" t="n">
        <v>45267</v>
      </c>
      <c r="L736" s="7" t="n">
        <v>45308</v>
      </c>
      <c r="M736" s="5" t="inlineStr">
        <is>
          <t>No</t>
        </is>
      </c>
      <c r="N736" s="5" t="inlineStr">
        <is>
          <t>Resigned</t>
        </is>
      </c>
      <c r="O736" s="8" t="inlineStr">
        <is>
          <t>72500</t>
        </is>
      </c>
      <c r="P736" s="5" t="inlineStr">
        <is>
          <t>5</t>
        </is>
      </c>
      <c r="Q736" s="5" t="inlineStr">
        <is>
          <t>3</t>
        </is>
      </c>
      <c r="R736" s="5" t="inlineStr">
        <is>
          <t>6</t>
        </is>
      </c>
      <c r="S736" s="5" t="inlineStr">
        <is>
          <t>1</t>
        </is>
      </c>
      <c r="T736" s="5" t="inlineStr">
        <is>
          <t>9</t>
        </is>
      </c>
      <c r="U736" s="5" t="inlineStr">
        <is>
          <t>OK</t>
        </is>
      </c>
    </row>
    <row r="737">
      <c r="A737" s="5" t="inlineStr">
        <is>
          <t>E02548</t>
        </is>
      </c>
      <c r="B737" s="5" t="inlineStr">
        <is>
          <t>Male</t>
        </is>
      </c>
      <c r="C737" s="6" t="inlineStr">
        <is>
          <t>23</t>
        </is>
      </c>
      <c r="D737" s="5" t="inlineStr">
        <is>
          <t>Single</t>
        </is>
      </c>
      <c r="E737" s="5" t="inlineStr">
        <is>
          <t>High School</t>
        </is>
      </c>
      <c r="F737" s="5" t="inlineStr">
        <is>
          <t>Sales</t>
        </is>
      </c>
      <c r="G737" s="5" t="inlineStr">
        <is>
          <t>Business Development</t>
        </is>
      </c>
      <c r="H737" s="5" t="inlineStr">
        <is>
          <t>1</t>
        </is>
      </c>
      <c r="I737" s="5" t="inlineStr">
        <is>
          <t>Bengaluru</t>
        </is>
      </c>
      <c r="J737" s="5" t="inlineStr">
        <is>
          <t>Full-Time</t>
        </is>
      </c>
      <c r="K737" s="7" t="n">
        <v>44036</v>
      </c>
      <c r="L737" s="7" t="n">
        <v>44165</v>
      </c>
      <c r="M737" s="5" t="inlineStr">
        <is>
          <t>No</t>
        </is>
      </c>
      <c r="N737" s="5" t="inlineStr">
        <is>
          <t>Resigned</t>
        </is>
      </c>
      <c r="O737" s="8" t="inlineStr">
        <is>
          <t>83500</t>
        </is>
      </c>
      <c r="P737" s="5" t="inlineStr">
        <is>
          <t>0</t>
        </is>
      </c>
      <c r="Q737" s="5" t="inlineStr">
        <is>
          <t>5</t>
        </is>
      </c>
      <c r="R737" s="5" t="inlineStr">
        <is>
          <t>7</t>
        </is>
      </c>
      <c r="S737" s="5" t="inlineStr">
        <is>
          <t>4</t>
        </is>
      </c>
      <c r="T737" s="5" t="inlineStr">
        <is>
          <t>5</t>
        </is>
      </c>
      <c r="U737" s="5" t="inlineStr">
        <is>
          <t>OK</t>
        </is>
      </c>
    </row>
    <row r="738">
      <c r="A738" s="5" t="inlineStr">
        <is>
          <t>E02373</t>
        </is>
      </c>
      <c r="B738" s="5" t="inlineStr">
        <is>
          <t>Male</t>
        </is>
      </c>
      <c r="C738" s="6" t="inlineStr">
        <is>
          <t>31</t>
        </is>
      </c>
      <c r="D738" s="5" t="inlineStr">
        <is>
          <t>Married</t>
        </is>
      </c>
      <c r="E738" s="5" t="inlineStr">
        <is>
          <t>Master</t>
        </is>
      </c>
      <c r="F738" s="5" t="inlineStr">
        <is>
          <t>Operations</t>
        </is>
      </c>
      <c r="G738" s="5" t="inlineStr">
        <is>
          <t>Operations Analyst</t>
        </is>
      </c>
      <c r="H738" s="5" t="inlineStr">
        <is>
          <t>1</t>
        </is>
      </c>
      <c r="I738" s="5" t="inlineStr">
        <is>
          <t>Chennai</t>
        </is>
      </c>
      <c r="J738" s="5" t="inlineStr">
        <is>
          <t>Full-Time</t>
        </is>
      </c>
      <c r="K738" s="7" t="n">
        <v>45883</v>
      </c>
      <c r="L738" s="7" t="inlineStr"/>
      <c r="M738" s="5" t="inlineStr">
        <is>
          <t>Yes</t>
        </is>
      </c>
      <c r="N738" s="5" t="inlineStr"/>
      <c r="O738" s="8" t="inlineStr">
        <is>
          <t>68500</t>
        </is>
      </c>
      <c r="P738" s="5" t="inlineStr">
        <is>
          <t>10</t>
        </is>
      </c>
      <c r="Q738" s="5" t="inlineStr">
        <is>
          <t>4</t>
        </is>
      </c>
      <c r="R738" s="5" t="inlineStr">
        <is>
          <t>6</t>
        </is>
      </c>
      <c r="S738" s="5" t="inlineStr">
        <is>
          <t>4</t>
        </is>
      </c>
      <c r="T738" s="5" t="inlineStr">
        <is>
          <t>12</t>
        </is>
      </c>
      <c r="U738" s="5" t="inlineStr">
        <is>
          <t>OK</t>
        </is>
      </c>
    </row>
    <row r="739">
      <c r="A739" s="5" t="inlineStr">
        <is>
          <t>E02237</t>
        </is>
      </c>
      <c r="B739" s="5" t="inlineStr">
        <is>
          <t>Female</t>
        </is>
      </c>
      <c r="C739" s="6" t="inlineStr">
        <is>
          <t>33</t>
        </is>
      </c>
      <c r="D739" s="5" t="inlineStr">
        <is>
          <t>Single</t>
        </is>
      </c>
      <c r="E739" s="5" t="inlineStr">
        <is>
          <t>PhD</t>
        </is>
      </c>
      <c r="F739" s="5" t="inlineStr">
        <is>
          <t>Customer Support</t>
        </is>
      </c>
      <c r="G739" s="5" t="inlineStr">
        <is>
          <t>Escalation Specialist</t>
        </is>
      </c>
      <c r="H739" s="5" t="inlineStr">
        <is>
          <t>1</t>
        </is>
      </c>
      <c r="I739" s="5" t="inlineStr">
        <is>
          <t>Mumbai</t>
        </is>
      </c>
      <c r="J739" s="5" t="inlineStr">
        <is>
          <t>Full-Time</t>
        </is>
      </c>
      <c r="K739" s="7" t="n">
        <v>44263</v>
      </c>
      <c r="L739" s="7" t="inlineStr"/>
      <c r="M739" s="5" t="inlineStr">
        <is>
          <t>Yes</t>
        </is>
      </c>
      <c r="N739" s="5" t="inlineStr"/>
      <c r="O739" s="8" t="inlineStr">
        <is>
          <t>71500</t>
        </is>
      </c>
      <c r="P739" s="5" t="inlineStr">
        <is>
          <t>5</t>
        </is>
      </c>
      <c r="Q739" s="5" t="inlineStr">
        <is>
          <t>3</t>
        </is>
      </c>
      <c r="R739" s="5" t="inlineStr">
        <is>
          <t>3</t>
        </is>
      </c>
      <c r="S739" s="5" t="inlineStr">
        <is>
          <t>58</t>
        </is>
      </c>
      <c r="T739" s="5" t="inlineStr">
        <is>
          <t>5</t>
        </is>
      </c>
      <c r="U739" s="5" t="inlineStr">
        <is>
          <t>OK</t>
        </is>
      </c>
    </row>
    <row r="740">
      <c r="A740" s="5" t="inlineStr">
        <is>
          <t>E00206</t>
        </is>
      </c>
      <c r="B740" s="5" t="inlineStr">
        <is>
          <t>Female</t>
        </is>
      </c>
      <c r="C740" s="6" t="inlineStr">
        <is>
          <t>34</t>
        </is>
      </c>
      <c r="D740" s="5" t="inlineStr">
        <is>
          <t>Married</t>
        </is>
      </c>
      <c r="E740" s="5" t="inlineStr">
        <is>
          <t>Bachelor</t>
        </is>
      </c>
      <c r="F740" s="5" t="inlineStr">
        <is>
          <t>Operations</t>
        </is>
      </c>
      <c r="G740" s="5" t="inlineStr">
        <is>
          <t>Operations Analyst</t>
        </is>
      </c>
      <c r="H740" s="5" t="inlineStr">
        <is>
          <t>6</t>
        </is>
      </c>
      <c r="I740" s="5" t="inlineStr">
        <is>
          <t>Remote</t>
        </is>
      </c>
      <c r="J740" s="5" t="inlineStr">
        <is>
          <t>Full-Time</t>
        </is>
      </c>
      <c r="K740" s="7" t="n">
        <v>44955</v>
      </c>
      <c r="L740" s="7" t="inlineStr"/>
      <c r="M740" s="5" t="inlineStr">
        <is>
          <t>Yes</t>
        </is>
      </c>
      <c r="N740" s="5" t="inlineStr"/>
      <c r="O740" s="8" t="inlineStr">
        <is>
          <t>149000</t>
        </is>
      </c>
      <c r="P740" s="5" t="inlineStr">
        <is>
          <t>0</t>
        </is>
      </c>
      <c r="Q740" s="5" t="inlineStr">
        <is>
          <t>4</t>
        </is>
      </c>
      <c r="R740" s="5" t="inlineStr">
        <is>
          <t>4</t>
        </is>
      </c>
      <c r="S740" s="5" t="inlineStr">
        <is>
          <t>35</t>
        </is>
      </c>
      <c r="T740" s="5" t="inlineStr">
        <is>
          <t>6</t>
        </is>
      </c>
      <c r="U740" s="5" t="inlineStr">
        <is>
          <t>OK</t>
        </is>
      </c>
    </row>
    <row r="741">
      <c r="A741" s="5" t="inlineStr">
        <is>
          <t>E00182</t>
        </is>
      </c>
      <c r="B741" s="5" t="inlineStr">
        <is>
          <t>Male</t>
        </is>
      </c>
      <c r="C741" s="6" t="inlineStr">
        <is>
          <t>31</t>
        </is>
      </c>
      <c r="D741" s="5" t="inlineStr">
        <is>
          <t>Married</t>
        </is>
      </c>
      <c r="E741" s="5" t="inlineStr">
        <is>
          <t>High School</t>
        </is>
      </c>
      <c r="F741" s="5" t="inlineStr">
        <is>
          <t>Marketing</t>
        </is>
      </c>
      <c r="G741" s="5" t="inlineStr">
        <is>
          <t>SEO Specialist</t>
        </is>
      </c>
      <c r="H741" s="5" t="inlineStr">
        <is>
          <t>3</t>
        </is>
      </c>
      <c r="I741" s="5" t="inlineStr">
        <is>
          <t>Chennai</t>
        </is>
      </c>
      <c r="J741" s="5" t="inlineStr">
        <is>
          <t>Full-Time</t>
        </is>
      </c>
      <c r="K741" s="7" t="n">
        <v>44369</v>
      </c>
      <c r="L741" s="7" t="inlineStr"/>
      <c r="M741" s="5" t="inlineStr">
        <is>
          <t>Yes</t>
        </is>
      </c>
      <c r="N741" s="5" t="inlineStr"/>
      <c r="O741" s="8" t="inlineStr">
        <is>
          <t>114000</t>
        </is>
      </c>
      <c r="P741" s="5" t="inlineStr">
        <is>
          <t>5</t>
        </is>
      </c>
      <c r="Q741" s="5" t="inlineStr">
        <is>
          <t>4</t>
        </is>
      </c>
      <c r="R741" s="5" t="inlineStr">
        <is>
          <t>7</t>
        </is>
      </c>
      <c r="S741" s="5" t="inlineStr">
        <is>
          <t>55</t>
        </is>
      </c>
      <c r="T741" s="5" t="inlineStr">
        <is>
          <t>8</t>
        </is>
      </c>
      <c r="U741" s="5" t="inlineStr">
        <is>
          <t>OK</t>
        </is>
      </c>
    </row>
    <row r="742">
      <c r="A742" s="5" t="inlineStr">
        <is>
          <t>E00087</t>
        </is>
      </c>
      <c r="B742" s="5" t="inlineStr">
        <is>
          <t>Female</t>
        </is>
      </c>
      <c r="C742" s="6" t="inlineStr">
        <is>
          <t>35</t>
        </is>
      </c>
      <c r="D742" s="5" t="inlineStr">
        <is>
          <t>Divorced</t>
        </is>
      </c>
      <c r="E742" s="5" t="inlineStr">
        <is>
          <t>Master</t>
        </is>
      </c>
      <c r="F742" s="5" t="inlineStr">
        <is>
          <t>Operations</t>
        </is>
      </c>
      <c r="G742" s="5" t="inlineStr">
        <is>
          <t>Operations Analyst</t>
        </is>
      </c>
      <c r="H742" s="5" t="inlineStr">
        <is>
          <t>6</t>
        </is>
      </c>
      <c r="I742" s="5" t="inlineStr">
        <is>
          <t>Delhi</t>
        </is>
      </c>
      <c r="J742" s="5" t="inlineStr">
        <is>
          <t>Full-Time</t>
        </is>
      </c>
      <c r="K742" s="7" t="n">
        <v>44961</v>
      </c>
      <c r="L742" s="7" t="inlineStr"/>
      <c r="M742" s="5" t="inlineStr">
        <is>
          <t>Yes</t>
        </is>
      </c>
      <c r="N742" s="5" t="inlineStr"/>
      <c r="O742" s="8" t="inlineStr">
        <is>
          <t>103000</t>
        </is>
      </c>
      <c r="P742" s="5" t="inlineStr">
        <is>
          <t>0</t>
        </is>
      </c>
      <c r="Q742" s="5" t="inlineStr">
        <is>
          <t>3</t>
        </is>
      </c>
      <c r="R742" s="5" t="inlineStr">
        <is>
          <t>4</t>
        </is>
      </c>
      <c r="S742" s="5" t="inlineStr">
        <is>
          <t>35</t>
        </is>
      </c>
      <c r="T742" s="5" t="inlineStr">
        <is>
          <t>12</t>
        </is>
      </c>
      <c r="U742" s="5" t="inlineStr">
        <is>
          <t>OK</t>
        </is>
      </c>
    </row>
    <row r="743">
      <c r="A743" s="5" t="inlineStr">
        <is>
          <t>E01578</t>
        </is>
      </c>
      <c r="B743" s="5" t="inlineStr">
        <is>
          <t>Male</t>
        </is>
      </c>
      <c r="C743" s="6" t="inlineStr">
        <is>
          <t>43</t>
        </is>
      </c>
      <c r="D743" s="5" t="inlineStr">
        <is>
          <t>Married</t>
        </is>
      </c>
      <c r="E743" s="5" t="inlineStr">
        <is>
          <t>High School</t>
        </is>
      </c>
      <c r="F743" s="5" t="inlineStr">
        <is>
          <t>Sales</t>
        </is>
      </c>
      <c r="G743" s="5" t="inlineStr">
        <is>
          <t>Account Executive</t>
        </is>
      </c>
      <c r="H743" s="5" t="inlineStr">
        <is>
          <t>7</t>
        </is>
      </c>
      <c r="I743" s="5" t="inlineStr">
        <is>
          <t>Hyderabad</t>
        </is>
      </c>
      <c r="J743" s="5" t="inlineStr">
        <is>
          <t>Full-Time</t>
        </is>
      </c>
      <c r="K743" s="7" t="n">
        <v>45205</v>
      </c>
      <c r="L743" s="7" t="inlineStr"/>
      <c r="M743" s="5" t="inlineStr">
        <is>
          <t>Yes</t>
        </is>
      </c>
      <c r="N743" s="5" t="inlineStr"/>
      <c r="O743" s="8" t="inlineStr">
        <is>
          <t>166000</t>
        </is>
      </c>
      <c r="P743" s="5" t="inlineStr">
        <is>
          <t>5</t>
        </is>
      </c>
      <c r="Q743" s="5" t="inlineStr">
        <is>
          <t>3</t>
        </is>
      </c>
      <c r="R743" s="5" t="inlineStr">
        <is>
          <t>4</t>
        </is>
      </c>
      <c r="S743" s="5" t="inlineStr">
        <is>
          <t>27</t>
        </is>
      </c>
      <c r="T743" s="5" t="inlineStr">
        <is>
          <t>0</t>
        </is>
      </c>
      <c r="U743" s="5" t="inlineStr">
        <is>
          <t>OK</t>
        </is>
      </c>
    </row>
    <row r="744">
      <c r="A744" s="5" t="inlineStr">
        <is>
          <t>E00985</t>
        </is>
      </c>
      <c r="B744" s="5" t="inlineStr">
        <is>
          <t>Female</t>
        </is>
      </c>
      <c r="C744" s="6" t="inlineStr">
        <is>
          <t>36</t>
        </is>
      </c>
      <c r="D744" s="5" t="inlineStr">
        <is>
          <t>Married</t>
        </is>
      </c>
      <c r="E744" s="5" t="inlineStr">
        <is>
          <t>Bachelor</t>
        </is>
      </c>
      <c r="F744" s="5" t="inlineStr">
        <is>
          <t>IT</t>
        </is>
      </c>
      <c r="G744" s="5" t="inlineStr">
        <is>
          <t>Software Engineer</t>
        </is>
      </c>
      <c r="H744" s="5" t="inlineStr">
        <is>
          <t>5</t>
        </is>
      </c>
      <c r="I744" s="5" t="inlineStr">
        <is>
          <t>Mumbai</t>
        </is>
      </c>
      <c r="J744" s="5" t="inlineStr">
        <is>
          <t>Part-Time</t>
        </is>
      </c>
      <c r="K744" s="7" t="n">
        <v>44749</v>
      </c>
      <c r="L744" s="7" t="inlineStr"/>
      <c r="M744" s="5" t="inlineStr">
        <is>
          <t>Yes</t>
        </is>
      </c>
      <c r="N744" s="5" t="inlineStr"/>
      <c r="O744" s="8" t="inlineStr">
        <is>
          <t>184500</t>
        </is>
      </c>
      <c r="P744" s="5" t="inlineStr">
        <is>
          <t>0</t>
        </is>
      </c>
      <c r="Q744" s="5" t="inlineStr">
        <is>
          <t>4</t>
        </is>
      </c>
      <c r="R744" s="5" t="inlineStr">
        <is>
          <t>6</t>
        </is>
      </c>
      <c r="S744" s="5" t="inlineStr">
        <is>
          <t>42</t>
        </is>
      </c>
      <c r="T744" s="5" t="inlineStr">
        <is>
          <t>4</t>
        </is>
      </c>
      <c r="U744" s="5" t="inlineStr">
        <is>
          <t>OK</t>
        </is>
      </c>
    </row>
    <row r="745">
      <c r="A745" s="5" t="inlineStr">
        <is>
          <t>E00088</t>
        </is>
      </c>
      <c r="B745" s="5" t="inlineStr">
        <is>
          <t>Male</t>
        </is>
      </c>
      <c r="C745" s="6" t="inlineStr">
        <is>
          <t>34</t>
        </is>
      </c>
      <c r="D745" s="5" t="inlineStr">
        <is>
          <t>Divorced</t>
        </is>
      </c>
      <c r="E745" s="5" t="inlineStr">
        <is>
          <t>High School</t>
        </is>
      </c>
      <c r="F745" s="5" t="inlineStr">
        <is>
          <t>IT</t>
        </is>
      </c>
      <c r="G745" s="5" t="inlineStr">
        <is>
          <t>DevOps Engineer</t>
        </is>
      </c>
      <c r="H745" s="5" t="inlineStr">
        <is>
          <t>1</t>
        </is>
      </c>
      <c r="I745" s="5" t="inlineStr">
        <is>
          <t>Delhi</t>
        </is>
      </c>
      <c r="J745" s="5" t="inlineStr">
        <is>
          <t>Full-Time</t>
        </is>
      </c>
      <c r="K745" s="7" t="n">
        <v>45792</v>
      </c>
      <c r="L745" s="7" t="inlineStr"/>
      <c r="M745" s="5" t="inlineStr">
        <is>
          <t>Yes</t>
        </is>
      </c>
      <c r="N745" s="5" t="inlineStr"/>
      <c r="O745" s="8" t="inlineStr">
        <is>
          <t>88000</t>
        </is>
      </c>
      <c r="P745" s="5" t="inlineStr">
        <is>
          <t>0</t>
        </is>
      </c>
      <c r="Q745" s="5" t="inlineStr">
        <is>
          <t>5</t>
        </is>
      </c>
      <c r="R745" s="5" t="inlineStr">
        <is>
          <t>7</t>
        </is>
      </c>
      <c r="S745" s="5" t="inlineStr">
        <is>
          <t>7</t>
        </is>
      </c>
      <c r="T745" s="5" t="inlineStr">
        <is>
          <t>6</t>
        </is>
      </c>
      <c r="U745" s="5" t="inlineStr">
        <is>
          <t>OK</t>
        </is>
      </c>
    </row>
    <row r="746">
      <c r="A746" s="5" t="inlineStr">
        <is>
          <t>E01678</t>
        </is>
      </c>
      <c r="B746" s="5" t="inlineStr">
        <is>
          <t>Male</t>
        </is>
      </c>
      <c r="C746" s="6" t="inlineStr">
        <is>
          <t>34</t>
        </is>
      </c>
      <c r="D746" s="5" t="inlineStr">
        <is>
          <t>Married</t>
        </is>
      </c>
      <c r="E746" s="5" t="inlineStr">
        <is>
          <t>Bachelor</t>
        </is>
      </c>
      <c r="F746" s="5" t="inlineStr">
        <is>
          <t>Human Resources</t>
        </is>
      </c>
      <c r="G746" s="5" t="inlineStr">
        <is>
          <t>HR Analyst</t>
        </is>
      </c>
      <c r="H746" s="5" t="inlineStr">
        <is>
          <t>5</t>
        </is>
      </c>
      <c r="I746" s="5" t="inlineStr">
        <is>
          <t>Chennai</t>
        </is>
      </c>
      <c r="J746" s="5" t="inlineStr">
        <is>
          <t>Full-Time</t>
        </is>
      </c>
      <c r="K746" s="7" t="n">
        <v>45546</v>
      </c>
      <c r="L746" s="7" t="inlineStr"/>
      <c r="M746" s="5" t="inlineStr">
        <is>
          <t>Yes</t>
        </is>
      </c>
      <c r="N746" s="5" t="inlineStr"/>
      <c r="O746" s="8" t="inlineStr">
        <is>
          <t>124500</t>
        </is>
      </c>
      <c r="P746" s="5" t="inlineStr">
        <is>
          <t>0</t>
        </is>
      </c>
      <c r="Q746" s="5" t="inlineStr">
        <is>
          <t>3</t>
        </is>
      </c>
      <c r="R746" s="5" t="inlineStr">
        <is>
          <t>5</t>
        </is>
      </c>
      <c r="S746" s="5" t="inlineStr">
        <is>
          <t>15</t>
        </is>
      </c>
      <c r="T746" s="5" t="inlineStr">
        <is>
          <t>0</t>
        </is>
      </c>
      <c r="U746" s="5" t="inlineStr">
        <is>
          <t>OK</t>
        </is>
      </c>
    </row>
    <row r="747">
      <c r="A747" s="5" t="inlineStr">
        <is>
          <t>E01160</t>
        </is>
      </c>
      <c r="B747" s="5" t="inlineStr">
        <is>
          <t>Male</t>
        </is>
      </c>
      <c r="C747" s="6" t="inlineStr">
        <is>
          <t>35</t>
        </is>
      </c>
      <c r="D747" s="5" t="inlineStr">
        <is>
          <t>Married</t>
        </is>
      </c>
      <c r="E747" s="5" t="inlineStr">
        <is>
          <t>Bachelor</t>
        </is>
      </c>
      <c r="F747" s="5" t="inlineStr">
        <is>
          <t>Marketing</t>
        </is>
      </c>
      <c r="G747" s="5" t="inlineStr">
        <is>
          <t>Content Writer</t>
        </is>
      </c>
      <c r="H747" s="5" t="inlineStr">
        <is>
          <t>5</t>
        </is>
      </c>
      <c r="I747" s="5" t="inlineStr">
        <is>
          <t>Remote</t>
        </is>
      </c>
      <c r="J747" s="5" t="inlineStr">
        <is>
          <t>Full-Time</t>
        </is>
      </c>
      <c r="K747" s="7" t="n">
        <v>45502</v>
      </c>
      <c r="L747" s="7" t="inlineStr"/>
      <c r="M747" s="5" t="inlineStr">
        <is>
          <t>Yes</t>
        </is>
      </c>
      <c r="N747" s="5" t="inlineStr"/>
      <c r="O747" s="8" t="inlineStr">
        <is>
          <t>116000</t>
        </is>
      </c>
      <c r="P747" s="5" t="inlineStr">
        <is>
          <t>10</t>
        </is>
      </c>
      <c r="Q747" s="5" t="inlineStr">
        <is>
          <t>5</t>
        </is>
      </c>
      <c r="R747" s="5" t="inlineStr">
        <is>
          <t>6</t>
        </is>
      </c>
      <c r="S747" s="5" t="inlineStr">
        <is>
          <t>17</t>
        </is>
      </c>
      <c r="T747" s="5" t="inlineStr">
        <is>
          <t>12</t>
        </is>
      </c>
      <c r="U747" s="5" t="inlineStr">
        <is>
          <t>OK</t>
        </is>
      </c>
    </row>
    <row r="748">
      <c r="A748" s="5" t="inlineStr">
        <is>
          <t>E00953</t>
        </is>
      </c>
      <c r="B748" s="5" t="inlineStr">
        <is>
          <t>Male</t>
        </is>
      </c>
      <c r="C748" s="6" t="inlineStr">
        <is>
          <t>40</t>
        </is>
      </c>
      <c r="D748" s="5" t="inlineStr">
        <is>
          <t>Married</t>
        </is>
      </c>
      <c r="E748" s="5" t="inlineStr">
        <is>
          <t>High School</t>
        </is>
      </c>
      <c r="F748" s="5" t="inlineStr">
        <is>
          <t>IT</t>
        </is>
      </c>
      <c r="G748" s="5" t="inlineStr">
        <is>
          <t>Software Engineer</t>
        </is>
      </c>
      <c r="H748" s="5" t="inlineStr">
        <is>
          <t>4</t>
        </is>
      </c>
      <c r="I748" s="5" t="inlineStr">
        <is>
          <t>Chennai</t>
        </is>
      </c>
      <c r="J748" s="5" t="inlineStr">
        <is>
          <t>Full-Time</t>
        </is>
      </c>
      <c r="K748" s="7" t="n">
        <v>43929</v>
      </c>
      <c r="L748" s="7" t="inlineStr"/>
      <c r="M748" s="5" t="inlineStr">
        <is>
          <t>Yes</t>
        </is>
      </c>
      <c r="N748" s="5" t="inlineStr"/>
      <c r="O748" s="8" t="inlineStr">
        <is>
          <t>176500</t>
        </is>
      </c>
      <c r="P748" s="5" t="inlineStr">
        <is>
          <t>5</t>
        </is>
      </c>
      <c r="Q748" s="5" t="inlineStr">
        <is>
          <t>3</t>
        </is>
      </c>
      <c r="R748" s="5" t="inlineStr">
        <is>
          <t>6</t>
        </is>
      </c>
      <c r="S748" s="5" t="inlineStr">
        <is>
          <t>69</t>
        </is>
      </c>
      <c r="T748" s="5" t="inlineStr">
        <is>
          <t>0</t>
        </is>
      </c>
      <c r="U748" s="5" t="inlineStr">
        <is>
          <t>OK</t>
        </is>
      </c>
    </row>
    <row r="749">
      <c r="A749" s="5" t="inlineStr">
        <is>
          <t>E00764</t>
        </is>
      </c>
      <c r="B749" s="5" t="inlineStr">
        <is>
          <t>Male</t>
        </is>
      </c>
      <c r="C749" s="6" t="inlineStr">
        <is>
          <t>24</t>
        </is>
      </c>
      <c r="D749" s="5" t="inlineStr">
        <is>
          <t>Married</t>
        </is>
      </c>
      <c r="E749" s="5" t="inlineStr">
        <is>
          <t>High School</t>
        </is>
      </c>
      <c r="F749" s="5" t="inlineStr">
        <is>
          <t>Marketing</t>
        </is>
      </c>
      <c r="G749" s="5" t="inlineStr">
        <is>
          <t>Content Writer</t>
        </is>
      </c>
      <c r="H749" s="5" t="inlineStr">
        <is>
          <t>1</t>
        </is>
      </c>
      <c r="I749" s="5" t="inlineStr">
        <is>
          <t>Mumbai</t>
        </is>
      </c>
      <c r="J749" s="5" t="inlineStr">
        <is>
          <t>Part-Time</t>
        </is>
      </c>
      <c r="K749" s="7" t="n">
        <v>45645</v>
      </c>
      <c r="L749" s="7" t="inlineStr"/>
      <c r="M749" s="5" t="inlineStr">
        <is>
          <t>Yes</t>
        </is>
      </c>
      <c r="N749" s="5" t="inlineStr"/>
      <c r="O749" s="8" t="inlineStr">
        <is>
          <t>54500</t>
        </is>
      </c>
      <c r="P749" s="5" t="inlineStr">
        <is>
          <t>5</t>
        </is>
      </c>
      <c r="Q749" s="5" t="inlineStr">
        <is>
          <t>3</t>
        </is>
      </c>
      <c r="R749" s="5" t="inlineStr">
        <is>
          <t>8</t>
        </is>
      </c>
      <c r="S749" s="5" t="inlineStr">
        <is>
          <t>12</t>
        </is>
      </c>
      <c r="T749" s="5" t="inlineStr">
        <is>
          <t>0</t>
        </is>
      </c>
      <c r="U749" s="5" t="inlineStr">
        <is>
          <t>OK</t>
        </is>
      </c>
    </row>
    <row r="750">
      <c r="A750" s="5" t="inlineStr">
        <is>
          <t>E00051</t>
        </is>
      </c>
      <c r="B750" s="5" t="inlineStr">
        <is>
          <t>Male</t>
        </is>
      </c>
      <c r="C750" s="6" t="inlineStr">
        <is>
          <t>32</t>
        </is>
      </c>
      <c r="D750" s="5" t="inlineStr">
        <is>
          <t>Married</t>
        </is>
      </c>
      <c r="E750" s="5" t="inlineStr">
        <is>
          <t>PhD</t>
        </is>
      </c>
      <c r="F750" s="5" t="inlineStr">
        <is>
          <t>Operations</t>
        </is>
      </c>
      <c r="G750" s="5" t="inlineStr">
        <is>
          <t>Quality Analyst</t>
        </is>
      </c>
      <c r="H750" s="5" t="inlineStr">
        <is>
          <t>5</t>
        </is>
      </c>
      <c r="I750" s="5" t="inlineStr">
        <is>
          <t>Hyderabad</t>
        </is>
      </c>
      <c r="J750" s="5" t="inlineStr">
        <is>
          <t>Contract</t>
        </is>
      </c>
      <c r="K750" s="7" t="n">
        <v>45750</v>
      </c>
      <c r="L750" s="7" t="n">
        <v>45900</v>
      </c>
      <c r="M750" s="5" t="inlineStr">
        <is>
          <t>No</t>
        </is>
      </c>
      <c r="N750" s="5" t="inlineStr">
        <is>
          <t>Resigned</t>
        </is>
      </c>
      <c r="O750" s="8" t="inlineStr">
        <is>
          <t>124000</t>
        </is>
      </c>
      <c r="P750" s="5" t="inlineStr">
        <is>
          <t>5</t>
        </is>
      </c>
      <c r="Q750" s="5" t="inlineStr">
        <is>
          <t>5</t>
        </is>
      </c>
      <c r="R750" s="5" t="inlineStr">
        <is>
          <t>6</t>
        </is>
      </c>
      <c r="S750" s="5" t="inlineStr">
        <is>
          <t>5</t>
        </is>
      </c>
      <c r="T750" s="5" t="inlineStr">
        <is>
          <t>8</t>
        </is>
      </c>
      <c r="U750" s="5" t="inlineStr">
        <is>
          <t>OK</t>
        </is>
      </c>
    </row>
    <row r="751">
      <c r="A751" s="5" t="inlineStr">
        <is>
          <t>E02983</t>
        </is>
      </c>
      <c r="B751" s="5" t="inlineStr">
        <is>
          <t>Female</t>
        </is>
      </c>
      <c r="C751" s="6" t="inlineStr">
        <is>
          <t>37</t>
        </is>
      </c>
      <c r="D751" s="5" t="inlineStr">
        <is>
          <t>Divorced</t>
        </is>
      </c>
      <c r="E751" s="5" t="inlineStr">
        <is>
          <t>Diploma</t>
        </is>
      </c>
      <c r="F751" s="5" t="inlineStr">
        <is>
          <t>Operations</t>
        </is>
      </c>
      <c r="G751" s="5" t="inlineStr">
        <is>
          <t>Operations Analyst</t>
        </is>
      </c>
      <c r="H751" s="5" t="inlineStr">
        <is>
          <t>4</t>
        </is>
      </c>
      <c r="I751" s="5" t="inlineStr">
        <is>
          <t>Chennai</t>
        </is>
      </c>
      <c r="J751" s="5" t="inlineStr">
        <is>
          <t>Full-Time</t>
        </is>
      </c>
      <c r="K751" s="7" t="n">
        <v>44423</v>
      </c>
      <c r="L751" s="7" t="inlineStr"/>
      <c r="M751" s="5" t="inlineStr">
        <is>
          <t>Yes</t>
        </is>
      </c>
      <c r="N751" s="5" t="inlineStr"/>
      <c r="O751" s="8" t="inlineStr">
        <is>
          <t>137500</t>
        </is>
      </c>
      <c r="P751" s="5" t="inlineStr">
        <is>
          <t>15</t>
        </is>
      </c>
      <c r="Q751" s="5" t="inlineStr">
        <is>
          <t>3</t>
        </is>
      </c>
      <c r="R751" s="5" t="inlineStr">
        <is>
          <t>6</t>
        </is>
      </c>
      <c r="S751" s="5" t="inlineStr">
        <is>
          <t>53</t>
        </is>
      </c>
      <c r="T751" s="5" t="inlineStr">
        <is>
          <t>6</t>
        </is>
      </c>
      <c r="U751" s="5" t="inlineStr">
        <is>
          <t>OK</t>
        </is>
      </c>
    </row>
    <row r="752">
      <c r="A752" s="5" t="inlineStr">
        <is>
          <t>E01999</t>
        </is>
      </c>
      <c r="B752" s="5" t="inlineStr">
        <is>
          <t>Female</t>
        </is>
      </c>
      <c r="C752" s="6" t="inlineStr">
        <is>
          <t>30</t>
        </is>
      </c>
      <c r="D752" s="5" t="inlineStr">
        <is>
          <t>Divorced</t>
        </is>
      </c>
      <c r="E752" s="5" t="inlineStr">
        <is>
          <t>PhD</t>
        </is>
      </c>
      <c r="F752" s="5" t="inlineStr">
        <is>
          <t>Sales</t>
        </is>
      </c>
      <c r="G752" s="5" t="inlineStr">
        <is>
          <t>Sales Executive</t>
        </is>
      </c>
      <c r="H752" s="5" t="inlineStr">
        <is>
          <t>1</t>
        </is>
      </c>
      <c r="I752" s="5" t="inlineStr">
        <is>
          <t>Hyderabad</t>
        </is>
      </c>
      <c r="J752" s="5" t="inlineStr">
        <is>
          <t>Part-Time</t>
        </is>
      </c>
      <c r="K752" s="7" t="n">
        <v>44285</v>
      </c>
      <c r="L752" s="7" t="n">
        <v>44370</v>
      </c>
      <c r="M752" s="5" t="inlineStr">
        <is>
          <t>No</t>
        </is>
      </c>
      <c r="N752" s="5" t="inlineStr">
        <is>
          <t>Resigned</t>
        </is>
      </c>
      <c r="O752" s="8" t="inlineStr">
        <is>
          <t>1500000</t>
        </is>
      </c>
      <c r="P752" s="5" t="inlineStr">
        <is>
          <t>5</t>
        </is>
      </c>
      <c r="Q752" s="5" t="inlineStr">
        <is>
          <t>5</t>
        </is>
      </c>
      <c r="R752" s="5" t="inlineStr">
        <is>
          <t>4</t>
        </is>
      </c>
      <c r="S752" s="5" t="inlineStr">
        <is>
          <t>2</t>
        </is>
      </c>
      <c r="T752" s="5" t="inlineStr">
        <is>
          <t>3</t>
        </is>
      </c>
      <c r="U752" s="5" t="inlineStr">
        <is>
          <t>Outlier salary</t>
        </is>
      </c>
    </row>
    <row r="753">
      <c r="A753" s="5" t="inlineStr">
        <is>
          <t>E02277</t>
        </is>
      </c>
      <c r="B753" s="5" t="inlineStr">
        <is>
          <t>Male</t>
        </is>
      </c>
      <c r="C753" s="6" t="inlineStr">
        <is>
          <t>32</t>
        </is>
      </c>
      <c r="D753" s="5" t="inlineStr">
        <is>
          <t>Married</t>
        </is>
      </c>
      <c r="E753" s="5" t="inlineStr">
        <is>
          <t>Bachelor</t>
        </is>
      </c>
      <c r="F753" s="5" t="inlineStr">
        <is>
          <t>Operations</t>
        </is>
      </c>
      <c r="G753" s="5" t="inlineStr">
        <is>
          <t>Logistics Coordinator</t>
        </is>
      </c>
      <c r="H753" s="5" t="inlineStr">
        <is>
          <t>2</t>
        </is>
      </c>
      <c r="I753" s="5" t="inlineStr">
        <is>
          <t>Delhi</t>
        </is>
      </c>
      <c r="J753" s="5" t="inlineStr">
        <is>
          <t>Full-Time</t>
        </is>
      </c>
      <c r="K753" s="7" t="n">
        <v>44318</v>
      </c>
      <c r="L753" s="7" t="n">
        <v>44435</v>
      </c>
      <c r="M753" s="5" t="inlineStr">
        <is>
          <t>No</t>
        </is>
      </c>
      <c r="N753" s="5" t="inlineStr">
        <is>
          <t>Retirement</t>
        </is>
      </c>
      <c r="O753" s="8" t="inlineStr">
        <is>
          <t>105500</t>
        </is>
      </c>
      <c r="P753" s="5" t="inlineStr">
        <is>
          <t>0</t>
        </is>
      </c>
      <c r="Q753" s="5" t="inlineStr">
        <is>
          <t>3</t>
        </is>
      </c>
      <c r="R753" s="5" t="inlineStr">
        <is>
          <t>8</t>
        </is>
      </c>
      <c r="S753" s="5" t="inlineStr">
        <is>
          <t>3</t>
        </is>
      </c>
      <c r="T753" s="5" t="inlineStr">
        <is>
          <t>1</t>
        </is>
      </c>
      <c r="U753" s="5" t="inlineStr">
        <is>
          <t>OK</t>
        </is>
      </c>
    </row>
    <row r="754">
      <c r="A754" s="5" t="inlineStr">
        <is>
          <t>E01288</t>
        </is>
      </c>
      <c r="B754" s="5" t="inlineStr">
        <is>
          <t>Female</t>
        </is>
      </c>
      <c r="C754" s="6" t="inlineStr">
        <is>
          <t>35</t>
        </is>
      </c>
      <c r="D754" s="5" t="inlineStr">
        <is>
          <t>Married</t>
        </is>
      </c>
      <c r="E754" s="5" t="inlineStr">
        <is>
          <t>Master</t>
        </is>
      </c>
      <c r="F754" s="5" t="inlineStr">
        <is>
          <t>Customer Support</t>
        </is>
      </c>
      <c r="G754" s="5" t="inlineStr">
        <is>
          <t>Escalation Specialist</t>
        </is>
      </c>
      <c r="H754" s="5" t="inlineStr">
        <is>
          <t>3</t>
        </is>
      </c>
      <c r="I754" s="5" t="inlineStr">
        <is>
          <t>Mumbai</t>
        </is>
      </c>
      <c r="J754" s="5" t="inlineStr">
        <is>
          <t>Full-Time</t>
        </is>
      </c>
      <c r="K754" s="7" t="n">
        <v>44999</v>
      </c>
      <c r="L754" s="7" t="inlineStr"/>
      <c r="M754" s="5" t="inlineStr">
        <is>
          <t>Yes</t>
        </is>
      </c>
      <c r="N754" s="5" t="inlineStr"/>
      <c r="O754" s="8" t="inlineStr">
        <is>
          <t>79500</t>
        </is>
      </c>
      <c r="P754" s="5" t="inlineStr">
        <is>
          <t>5</t>
        </is>
      </c>
      <c r="Q754" s="5" t="inlineStr">
        <is>
          <t>3</t>
        </is>
      </c>
      <c r="R754" s="5" t="inlineStr">
        <is>
          <t>8</t>
        </is>
      </c>
      <c r="S754" s="5" t="inlineStr">
        <is>
          <t>34</t>
        </is>
      </c>
      <c r="T754" s="5" t="inlineStr">
        <is>
          <t>3</t>
        </is>
      </c>
      <c r="U754" s="5" t="inlineStr">
        <is>
          <t>OK</t>
        </is>
      </c>
    </row>
    <row r="755">
      <c r="A755" s="5" t="inlineStr">
        <is>
          <t>E00480</t>
        </is>
      </c>
      <c r="B755" s="5" t="inlineStr">
        <is>
          <t>Female</t>
        </is>
      </c>
      <c r="C755" s="6" t="inlineStr">
        <is>
          <t>28</t>
        </is>
      </c>
      <c r="D755" s="5" t="inlineStr">
        <is>
          <t>Single</t>
        </is>
      </c>
      <c r="E755" s="5" t="inlineStr">
        <is>
          <t>Master</t>
        </is>
      </c>
      <c r="F755" s="5" t="inlineStr">
        <is>
          <t>Operations</t>
        </is>
      </c>
      <c r="G755" s="5" t="inlineStr">
        <is>
          <t>Quality Analyst</t>
        </is>
      </c>
      <c r="H755" s="5" t="inlineStr">
        <is>
          <t>1</t>
        </is>
      </c>
      <c r="I755" s="5" t="inlineStr">
        <is>
          <t>Delhi</t>
        </is>
      </c>
      <c r="J755" s="5" t="inlineStr">
        <is>
          <t>Full-Time</t>
        </is>
      </c>
      <c r="K755" s="7" t="n">
        <v>44756</v>
      </c>
      <c r="L755" s="7" t="n">
        <v>44828</v>
      </c>
      <c r="M755" s="5" t="inlineStr">
        <is>
          <t>No</t>
        </is>
      </c>
      <c r="N755" s="5" t="inlineStr">
        <is>
          <t>Resigned</t>
        </is>
      </c>
      <c r="O755" s="8" t="inlineStr">
        <is>
          <t>86000</t>
        </is>
      </c>
      <c r="P755" s="5" t="inlineStr">
        <is>
          <t>0</t>
        </is>
      </c>
      <c r="Q755" s="5" t="inlineStr">
        <is>
          <t>4</t>
        </is>
      </c>
      <c r="R755" s="5" t="inlineStr">
        <is>
          <t>8</t>
        </is>
      </c>
      <c r="S755" s="5" t="inlineStr">
        <is>
          <t>2</t>
        </is>
      </c>
      <c r="T755" s="5" t="inlineStr">
        <is>
          <t>0</t>
        </is>
      </c>
      <c r="U755" s="5" t="inlineStr">
        <is>
          <t>OK</t>
        </is>
      </c>
    </row>
    <row r="756">
      <c r="A756" s="5" t="inlineStr">
        <is>
          <t>E02362</t>
        </is>
      </c>
      <c r="B756" s="5" t="inlineStr">
        <is>
          <t>Male</t>
        </is>
      </c>
      <c r="C756" s="6" t="inlineStr">
        <is>
          <t>32</t>
        </is>
      </c>
      <c r="D756" s="5" t="inlineStr">
        <is>
          <t>Single</t>
        </is>
      </c>
      <c r="E756" s="5" t="inlineStr">
        <is>
          <t>Master</t>
        </is>
      </c>
      <c r="F756" s="5" t="inlineStr">
        <is>
          <t>Research &amp; Development</t>
        </is>
      </c>
      <c r="G756" s="5" t="inlineStr">
        <is>
          <t>Research Scientist</t>
        </is>
      </c>
      <c r="H756" s="5" t="inlineStr">
        <is>
          <t>5</t>
        </is>
      </c>
      <c r="I756" s="5" t="inlineStr">
        <is>
          <t>Hyderabad</t>
        </is>
      </c>
      <c r="J756" s="5" t="inlineStr">
        <is>
          <t>Full-Time</t>
        </is>
      </c>
      <c r="K756" s="7" t="n">
        <v>45785</v>
      </c>
      <c r="L756" s="7" t="inlineStr"/>
      <c r="M756" s="5" t="inlineStr">
        <is>
          <t>Yes</t>
        </is>
      </c>
      <c r="N756" s="5" t="inlineStr"/>
      <c r="O756" s="8" t="inlineStr">
        <is>
          <t>146500</t>
        </is>
      </c>
      <c r="P756" s="5" t="inlineStr">
        <is>
          <t>0</t>
        </is>
      </c>
      <c r="Q756" s="5" t="inlineStr">
        <is>
          <t>5</t>
        </is>
      </c>
      <c r="R756" s="5" t="inlineStr">
        <is>
          <t>5</t>
        </is>
      </c>
      <c r="S756" s="5" t="inlineStr">
        <is>
          <t>7</t>
        </is>
      </c>
      <c r="T756" s="5" t="inlineStr">
        <is>
          <t>9</t>
        </is>
      </c>
      <c r="U756" s="5" t="inlineStr">
        <is>
          <t>OK</t>
        </is>
      </c>
    </row>
    <row r="757">
      <c r="A757" s="5" t="inlineStr">
        <is>
          <t>E02507</t>
        </is>
      </c>
      <c r="B757" s="5" t="inlineStr">
        <is>
          <t>male</t>
        </is>
      </c>
      <c r="C757" s="6" t="inlineStr">
        <is>
          <t>24</t>
        </is>
      </c>
      <c r="D757" s="5" t="inlineStr">
        <is>
          <t>Single</t>
        </is>
      </c>
      <c r="E757" s="5" t="inlineStr">
        <is>
          <t>Master</t>
        </is>
      </c>
      <c r="F757" s="5" t="inlineStr">
        <is>
          <t>IT</t>
        </is>
      </c>
      <c r="G757" s="5" t="inlineStr">
        <is>
          <t>Software Engineer</t>
        </is>
      </c>
      <c r="H757" s="5" t="inlineStr">
        <is>
          <t>1</t>
        </is>
      </c>
      <c r="I757" s="5" t="inlineStr">
        <is>
          <t>Chennai</t>
        </is>
      </c>
      <c r="J757" s="5" t="inlineStr">
        <is>
          <t>Full-Time</t>
        </is>
      </c>
      <c r="K757" s="7" t="n">
        <v>44866</v>
      </c>
      <c r="L757" s="7" t="inlineStr"/>
      <c r="M757" s="5" t="inlineStr">
        <is>
          <t>Yes</t>
        </is>
      </c>
      <c r="N757" s="5" t="inlineStr"/>
      <c r="O757" s="8" t="inlineStr">
        <is>
          <t>117500</t>
        </is>
      </c>
      <c r="P757" s="5" t="inlineStr">
        <is>
          <t>10</t>
        </is>
      </c>
      <c r="Q757" s="5" t="inlineStr">
        <is>
          <t>4</t>
        </is>
      </c>
      <c r="R757" s="5" t="inlineStr">
        <is>
          <t>3</t>
        </is>
      </c>
      <c r="S757" s="5" t="inlineStr">
        <is>
          <t>38</t>
        </is>
      </c>
      <c r="T757" s="5" t="inlineStr">
        <is>
          <t>0</t>
        </is>
      </c>
      <c r="U757" s="5" t="inlineStr">
        <is>
          <t>OK</t>
        </is>
      </c>
    </row>
    <row r="758">
      <c r="A758" s="5" t="inlineStr">
        <is>
          <t>E01750</t>
        </is>
      </c>
      <c r="B758" s="5" t="inlineStr">
        <is>
          <t>Female</t>
        </is>
      </c>
      <c r="C758" s="6" t="inlineStr">
        <is>
          <t>33</t>
        </is>
      </c>
      <c r="D758" s="5" t="inlineStr">
        <is>
          <t>Married</t>
        </is>
      </c>
      <c r="E758" s="5" t="inlineStr">
        <is>
          <t>PhD</t>
        </is>
      </c>
      <c r="F758" s="5" t="inlineStr">
        <is>
          <t>Operations</t>
        </is>
      </c>
      <c r="G758" s="5" t="inlineStr">
        <is>
          <t>Quality Analyst</t>
        </is>
      </c>
      <c r="H758" s="5" t="inlineStr">
        <is>
          <t>4</t>
        </is>
      </c>
      <c r="I758" s="5" t="inlineStr">
        <is>
          <t>Remote</t>
        </is>
      </c>
      <c r="J758" s="5" t="inlineStr">
        <is>
          <t>Full-Time</t>
        </is>
      </c>
      <c r="K758" s="7" t="n">
        <v>45218</v>
      </c>
      <c r="L758" s="7" t="n">
        <v>45270</v>
      </c>
      <c r="M758" s="5" t="inlineStr">
        <is>
          <t>No</t>
        </is>
      </c>
      <c r="N758" s="5" t="inlineStr">
        <is>
          <t>Resigned</t>
        </is>
      </c>
      <c r="O758" s="8" t="inlineStr">
        <is>
          <t>83500</t>
        </is>
      </c>
      <c r="P758" s="5" t="inlineStr">
        <is>
          <t>0</t>
        </is>
      </c>
      <c r="Q758" s="5" t="inlineStr">
        <is>
          <t>5</t>
        </is>
      </c>
      <c r="R758" s="5" t="inlineStr">
        <is>
          <t>3</t>
        </is>
      </c>
      <c r="S758" s="5" t="inlineStr">
        <is>
          <t>1</t>
        </is>
      </c>
      <c r="T758" s="5" t="inlineStr">
        <is>
          <t>0</t>
        </is>
      </c>
      <c r="U758" s="5" t="inlineStr">
        <is>
          <t>OK</t>
        </is>
      </c>
    </row>
    <row r="759">
      <c r="A759" s="5" t="inlineStr">
        <is>
          <t>E00484</t>
        </is>
      </c>
      <c r="B759" s="5" t="inlineStr">
        <is>
          <t>Male</t>
        </is>
      </c>
      <c r="C759" s="6" t="inlineStr">
        <is>
          <t>27</t>
        </is>
      </c>
      <c r="D759" s="5" t="inlineStr">
        <is>
          <t>Married</t>
        </is>
      </c>
      <c r="E759" s="5" t="inlineStr">
        <is>
          <t>Bachelor</t>
        </is>
      </c>
      <c r="F759" s="5" t="inlineStr">
        <is>
          <t>Customer Support</t>
        </is>
      </c>
      <c r="G759" s="5" t="inlineStr">
        <is>
          <t>Escalation Specialist</t>
        </is>
      </c>
      <c r="H759" s="5" t="inlineStr">
        <is>
          <t>1</t>
        </is>
      </c>
      <c r="I759" s="5" t="inlineStr">
        <is>
          <t>Mumbai</t>
        </is>
      </c>
      <c r="J759" s="5" t="inlineStr">
        <is>
          <t>Full-Time</t>
        </is>
      </c>
      <c r="K759" s="7" t="n">
        <v>44912</v>
      </c>
      <c r="L759" s="7" t="n">
        <v>45026</v>
      </c>
      <c r="M759" s="5" t="inlineStr">
        <is>
          <t>No</t>
        </is>
      </c>
      <c r="N759" s="5" t="inlineStr">
        <is>
          <t>Resigned</t>
        </is>
      </c>
      <c r="O759" s="8" t="inlineStr">
        <is>
          <t>67000</t>
        </is>
      </c>
      <c r="P759" s="5" t="inlineStr">
        <is>
          <t>10</t>
        </is>
      </c>
      <c r="Q759" s="5" t="inlineStr">
        <is>
          <t>3</t>
        </is>
      </c>
      <c r="R759" s="5" t="inlineStr">
        <is>
          <t>6</t>
        </is>
      </c>
      <c r="S759" s="5" t="inlineStr">
        <is>
          <t>3</t>
        </is>
      </c>
      <c r="T759" s="5" t="inlineStr">
        <is>
          <t>9</t>
        </is>
      </c>
      <c r="U759" s="5" t="inlineStr">
        <is>
          <t>OK</t>
        </is>
      </c>
    </row>
    <row r="760">
      <c r="A760" s="5" t="inlineStr">
        <is>
          <t>E01858</t>
        </is>
      </c>
      <c r="B760" s="5" t="inlineStr">
        <is>
          <t>Female</t>
        </is>
      </c>
      <c r="C760" s="6" t="inlineStr">
        <is>
          <t>32</t>
        </is>
      </c>
      <c r="D760" s="5" t="inlineStr">
        <is>
          <t>Single</t>
        </is>
      </c>
      <c r="E760" s="5" t="inlineStr">
        <is>
          <t>PhD</t>
        </is>
      </c>
      <c r="F760" s="5" t="inlineStr"/>
      <c r="G760" s="5" t="inlineStr">
        <is>
          <t>Accountant</t>
        </is>
      </c>
      <c r="H760" s="5" t="inlineStr">
        <is>
          <t>3</t>
        </is>
      </c>
      <c r="I760" s="5" t="inlineStr">
        <is>
          <t>Bengaluru</t>
        </is>
      </c>
      <c r="J760" s="5" t="inlineStr">
        <is>
          <t>Full-Time</t>
        </is>
      </c>
      <c r="K760" s="7" t="n">
        <v>45643</v>
      </c>
      <c r="L760" s="7" t="inlineStr"/>
      <c r="M760" s="5" t="inlineStr">
        <is>
          <t>Yes</t>
        </is>
      </c>
      <c r="N760" s="5" t="inlineStr"/>
      <c r="O760" s="8" t="inlineStr">
        <is>
          <t>94500</t>
        </is>
      </c>
      <c r="P760" s="5" t="inlineStr">
        <is>
          <t>0</t>
        </is>
      </c>
      <c r="Q760" s="5" t="inlineStr">
        <is>
          <t>2</t>
        </is>
      </c>
      <c r="R760" s="5" t="inlineStr">
        <is>
          <t>8</t>
        </is>
      </c>
      <c r="S760" s="5" t="inlineStr">
        <is>
          <t>12</t>
        </is>
      </c>
      <c r="T760" s="5" t="inlineStr">
        <is>
          <t>17</t>
        </is>
      </c>
      <c r="U760" s="5" t="inlineStr">
        <is>
          <t>Blank department</t>
        </is>
      </c>
    </row>
    <row r="761">
      <c r="A761" s="5" t="inlineStr">
        <is>
          <t>E00826</t>
        </is>
      </c>
      <c r="B761" s="5" t="inlineStr">
        <is>
          <t>Female</t>
        </is>
      </c>
      <c r="C761" s="6" t="inlineStr">
        <is>
          <t>45</t>
        </is>
      </c>
      <c r="D761" s="5" t="inlineStr">
        <is>
          <t>Single</t>
        </is>
      </c>
      <c r="E761" s="5" t="inlineStr">
        <is>
          <t>High School</t>
        </is>
      </c>
      <c r="F761" s="5" t="inlineStr">
        <is>
          <t>IT</t>
        </is>
      </c>
      <c r="G761" s="5" t="inlineStr">
        <is>
          <t>Software Engineer</t>
        </is>
      </c>
      <c r="H761" s="5" t="inlineStr">
        <is>
          <t>7</t>
        </is>
      </c>
      <c r="I761" s="5" t="inlineStr">
        <is>
          <t>Remote</t>
        </is>
      </c>
      <c r="J761" s="5" t="inlineStr">
        <is>
          <t>Full-Time</t>
        </is>
      </c>
      <c r="K761" s="7" t="n">
        <v>44076</v>
      </c>
      <c r="L761" s="7" t="n">
        <v>44217</v>
      </c>
      <c r="M761" s="5" t="inlineStr">
        <is>
          <t>No</t>
        </is>
      </c>
      <c r="N761" s="5" t="inlineStr">
        <is>
          <t>Layoff</t>
        </is>
      </c>
      <c r="O761" s="8" t="inlineStr">
        <is>
          <t>257000</t>
        </is>
      </c>
      <c r="P761" s="5" t="inlineStr">
        <is>
          <t>15</t>
        </is>
      </c>
      <c r="Q761" s="5" t="inlineStr">
        <is>
          <t>5</t>
        </is>
      </c>
      <c r="R761" s="5" t="inlineStr">
        <is>
          <t>3</t>
        </is>
      </c>
      <c r="S761" s="5" t="inlineStr">
        <is>
          <t>4</t>
        </is>
      </c>
      <c r="T761" s="5" t="inlineStr">
        <is>
          <t>10</t>
        </is>
      </c>
      <c r="U761" s="5" t="inlineStr">
        <is>
          <t>OK</t>
        </is>
      </c>
    </row>
    <row r="762">
      <c r="A762" s="5" t="inlineStr">
        <is>
          <t>E02397</t>
        </is>
      </c>
      <c r="B762" s="5" t="inlineStr">
        <is>
          <t>Male</t>
        </is>
      </c>
      <c r="C762" s="6" t="inlineStr">
        <is>
          <t>29</t>
        </is>
      </c>
      <c r="D762" s="5" t="inlineStr">
        <is>
          <t>Single</t>
        </is>
      </c>
      <c r="E762" s="5" t="inlineStr">
        <is>
          <t>Bachelor</t>
        </is>
      </c>
      <c r="F762" s="5" t="inlineStr">
        <is>
          <t>Sales</t>
        </is>
      </c>
      <c r="G762" s="5" t="inlineStr">
        <is>
          <t>Sales Executive</t>
        </is>
      </c>
      <c r="H762" s="5" t="inlineStr">
        <is>
          <t>3</t>
        </is>
      </c>
      <c r="I762" s="5" t="inlineStr">
        <is>
          <t>Chennai</t>
        </is>
      </c>
      <c r="J762" s="5" t="inlineStr">
        <is>
          <t>Full-Time</t>
        </is>
      </c>
      <c r="K762" s="7" t="n">
        <v>43842</v>
      </c>
      <c r="L762" s="7" t="inlineStr"/>
      <c r="M762" s="5" t="inlineStr">
        <is>
          <t>Yes</t>
        </is>
      </c>
      <c r="N762" s="5" t="inlineStr"/>
      <c r="O762" s="8" t="inlineStr">
        <is>
          <t>138000</t>
        </is>
      </c>
      <c r="P762" s="5" t="inlineStr">
        <is>
          <t>5</t>
        </is>
      </c>
      <c r="Q762" s="5" t="inlineStr">
        <is>
          <t>4</t>
        </is>
      </c>
      <c r="R762" s="5" t="inlineStr">
        <is>
          <t>5</t>
        </is>
      </c>
      <c r="S762" s="5" t="inlineStr">
        <is>
          <t>72</t>
        </is>
      </c>
      <c r="T762" s="5" t="inlineStr">
        <is>
          <t>10</t>
        </is>
      </c>
      <c r="U762" s="5" t="inlineStr">
        <is>
          <t>OK</t>
        </is>
      </c>
    </row>
    <row r="763">
      <c r="A763" s="5" t="inlineStr">
        <is>
          <t>E00735</t>
        </is>
      </c>
      <c r="B763" s="5" t="inlineStr">
        <is>
          <t>Male</t>
        </is>
      </c>
      <c r="C763" s="6" t="inlineStr">
        <is>
          <t>26</t>
        </is>
      </c>
      <c r="D763" s="5" t="inlineStr">
        <is>
          <t>Divorced</t>
        </is>
      </c>
      <c r="E763" s="5" t="inlineStr">
        <is>
          <t>Diploma</t>
        </is>
      </c>
      <c r="F763" s="5" t="inlineStr">
        <is>
          <t>Sales</t>
        </is>
      </c>
      <c r="G763" s="5" t="inlineStr">
        <is>
          <t>Sales Executive</t>
        </is>
      </c>
      <c r="H763" s="5" t="inlineStr">
        <is>
          <t>2</t>
        </is>
      </c>
      <c r="I763" s="5" t="inlineStr">
        <is>
          <t>Hyderabad</t>
        </is>
      </c>
      <c r="J763" s="5" t="inlineStr">
        <is>
          <t>Full-Time</t>
        </is>
      </c>
      <c r="K763" s="7" t="n">
        <v>44371</v>
      </c>
      <c r="L763" s="7" t="inlineStr"/>
      <c r="M763" s="5" t="inlineStr">
        <is>
          <t>Yes</t>
        </is>
      </c>
      <c r="N763" s="5" t="inlineStr"/>
      <c r="O763" s="8" t="inlineStr">
        <is>
          <t>74000</t>
        </is>
      </c>
      <c r="P763" s="5" t="inlineStr">
        <is>
          <t>5</t>
        </is>
      </c>
      <c r="Q763" s="5" t="inlineStr">
        <is>
          <t>4</t>
        </is>
      </c>
      <c r="R763" s="5" t="inlineStr">
        <is>
          <t>5</t>
        </is>
      </c>
      <c r="S763" s="5" t="inlineStr">
        <is>
          <t>55</t>
        </is>
      </c>
      <c r="T763" s="5" t="inlineStr">
        <is>
          <t>4</t>
        </is>
      </c>
      <c r="U763" s="5" t="inlineStr">
        <is>
          <t>OK</t>
        </is>
      </c>
    </row>
    <row r="764">
      <c r="A764" s="5" t="inlineStr">
        <is>
          <t>E01798</t>
        </is>
      </c>
      <c r="B764" s="5" t="inlineStr">
        <is>
          <t>Male</t>
        </is>
      </c>
      <c r="C764" s="6" t="inlineStr">
        <is>
          <t>34</t>
        </is>
      </c>
      <c r="D764" s="5" t="inlineStr">
        <is>
          <t>Single</t>
        </is>
      </c>
      <c r="E764" s="5" t="inlineStr">
        <is>
          <t>PhD</t>
        </is>
      </c>
      <c r="F764" s="5" t="inlineStr">
        <is>
          <t>Customer Support</t>
        </is>
      </c>
      <c r="G764" s="5" t="inlineStr">
        <is>
          <t>Escalation Specialist</t>
        </is>
      </c>
      <c r="H764" s="5" t="inlineStr">
        <is>
          <t>2</t>
        </is>
      </c>
      <c r="I764" s="5" t="inlineStr">
        <is>
          <t>Mumbai</t>
        </is>
      </c>
      <c r="J764" s="5" t="inlineStr">
        <is>
          <t>Full-Time</t>
        </is>
      </c>
      <c r="K764" s="7" t="n">
        <v>45253</v>
      </c>
      <c r="L764" s="7" t="inlineStr"/>
      <c r="M764" s="5" t="inlineStr">
        <is>
          <t>Yes</t>
        </is>
      </c>
      <c r="N764" s="5" t="inlineStr"/>
      <c r="O764" s="8" t="inlineStr">
        <is>
          <t>76500</t>
        </is>
      </c>
      <c r="P764" s="5" t="inlineStr">
        <is>
          <t>0</t>
        </is>
      </c>
      <c r="Q764" s="5" t="inlineStr">
        <is>
          <t>3</t>
        </is>
      </c>
      <c r="R764" s="5" t="inlineStr">
        <is>
          <t>6</t>
        </is>
      </c>
      <c r="S764" s="5" t="inlineStr">
        <is>
          <t>25</t>
        </is>
      </c>
      <c r="T764" s="5" t="inlineStr">
        <is>
          <t>14</t>
        </is>
      </c>
      <c r="U764" s="5" t="inlineStr">
        <is>
          <t>OK</t>
        </is>
      </c>
    </row>
    <row r="765">
      <c r="A765" s="5" t="inlineStr">
        <is>
          <t>E01946</t>
        </is>
      </c>
      <c r="B765" s="5" t="inlineStr">
        <is>
          <t>Male</t>
        </is>
      </c>
      <c r="C765" s="6" t="inlineStr">
        <is>
          <t>250</t>
        </is>
      </c>
      <c r="D765" s="5" t="inlineStr">
        <is>
          <t>Married</t>
        </is>
      </c>
      <c r="E765" s="5" t="inlineStr">
        <is>
          <t>Bachelor</t>
        </is>
      </c>
      <c r="F765" s="5" t="inlineStr">
        <is>
          <t>Executive</t>
        </is>
      </c>
      <c r="G765" s="5" t="inlineStr">
        <is>
          <t>CEO</t>
        </is>
      </c>
      <c r="H765" s="5" t="inlineStr">
        <is>
          <t>3</t>
        </is>
      </c>
      <c r="I765" s="5" t="inlineStr">
        <is>
          <t>Mumbai</t>
        </is>
      </c>
      <c r="J765" s="5" t="inlineStr">
        <is>
          <t>Full-Time</t>
        </is>
      </c>
      <c r="K765" s="7" t="n">
        <v>45042</v>
      </c>
      <c r="L765" s="7" t="inlineStr"/>
      <c r="M765" s="5" t="inlineStr">
        <is>
          <t>Yes</t>
        </is>
      </c>
      <c r="N765" s="5" t="inlineStr"/>
      <c r="O765" s="8" t="inlineStr">
        <is>
          <t>241500</t>
        </is>
      </c>
      <c r="P765" s="5" t="inlineStr">
        <is>
          <t>5</t>
        </is>
      </c>
      <c r="Q765" s="5" t="inlineStr">
        <is>
          <t>5</t>
        </is>
      </c>
      <c r="R765" s="5" t="inlineStr">
        <is>
          <t>7</t>
        </is>
      </c>
      <c r="S765" s="5" t="inlineStr">
        <is>
          <t>32</t>
        </is>
      </c>
      <c r="T765" s="5" t="inlineStr">
        <is>
          <t>3</t>
        </is>
      </c>
      <c r="U765" s="5" t="inlineStr">
        <is>
          <t>Age typo</t>
        </is>
      </c>
    </row>
    <row r="766">
      <c r="A766" s="5" t="inlineStr">
        <is>
          <t>E02941</t>
        </is>
      </c>
      <c r="B766" s="5" t="inlineStr">
        <is>
          <t>Male</t>
        </is>
      </c>
      <c r="C766" s="6" t="inlineStr">
        <is>
          <t>41</t>
        </is>
      </c>
      <c r="D766" s="5" t="inlineStr">
        <is>
          <t>Married</t>
        </is>
      </c>
      <c r="E766" s="5" t="inlineStr">
        <is>
          <t>PhD</t>
        </is>
      </c>
      <c r="F766" s="5" t="inlineStr">
        <is>
          <t>Human Resources</t>
        </is>
      </c>
      <c r="G766" s="5" t="inlineStr">
        <is>
          <t>HR Generalist</t>
        </is>
      </c>
      <c r="H766" s="5" t="inlineStr">
        <is>
          <t>5</t>
        </is>
      </c>
      <c r="I766" s="5" t="inlineStr">
        <is>
          <t>Chennai</t>
        </is>
      </c>
      <c r="J766" s="5" t="inlineStr">
        <is>
          <t>Full-Time</t>
        </is>
      </c>
      <c r="K766" s="7" t="n">
        <v>43855</v>
      </c>
      <c r="L766" s="7" t="inlineStr"/>
      <c r="M766" s="5" t="inlineStr">
        <is>
          <t>Yes</t>
        </is>
      </c>
      <c r="N766" s="5" t="inlineStr"/>
      <c r="O766" s="8" t="inlineStr">
        <is>
          <t>113000</t>
        </is>
      </c>
      <c r="P766" s="5" t="inlineStr">
        <is>
          <t>5</t>
        </is>
      </c>
      <c r="Q766" s="5" t="inlineStr">
        <is>
          <t>4</t>
        </is>
      </c>
      <c r="R766" s="5" t="inlineStr">
        <is>
          <t>10</t>
        </is>
      </c>
      <c r="S766" s="5" t="inlineStr">
        <is>
          <t>72</t>
        </is>
      </c>
      <c r="T766" s="5" t="inlineStr">
        <is>
          <t>3</t>
        </is>
      </c>
      <c r="U766" s="5" t="inlineStr">
        <is>
          <t>OK</t>
        </is>
      </c>
    </row>
    <row r="767">
      <c r="A767" s="5" t="inlineStr">
        <is>
          <t>E00095</t>
        </is>
      </c>
      <c r="B767" s="5" t="inlineStr">
        <is>
          <t>Female</t>
        </is>
      </c>
      <c r="C767" s="6" t="inlineStr">
        <is>
          <t>44</t>
        </is>
      </c>
      <c r="D767" s="5" t="inlineStr">
        <is>
          <t>Married</t>
        </is>
      </c>
      <c r="E767" s="5" t="inlineStr">
        <is>
          <t>High School</t>
        </is>
      </c>
      <c r="F767" s="5" t="inlineStr">
        <is>
          <t>Customer Support</t>
        </is>
      </c>
      <c r="G767" s="5" t="inlineStr">
        <is>
          <t>Support Agent</t>
        </is>
      </c>
      <c r="H767" s="5" t="inlineStr">
        <is>
          <t>6</t>
        </is>
      </c>
      <c r="I767" s="5" t="inlineStr">
        <is>
          <t>Hyderabad</t>
        </is>
      </c>
      <c r="J767" s="5" t="inlineStr">
        <is>
          <t>Part-Time</t>
        </is>
      </c>
      <c r="K767" s="7" t="n">
        <v>45741</v>
      </c>
      <c r="L767" s="7" t="n">
        <v>45845</v>
      </c>
      <c r="M767" s="5" t="inlineStr">
        <is>
          <t>No</t>
        </is>
      </c>
      <c r="N767" s="5" t="inlineStr">
        <is>
          <t>Resigned</t>
        </is>
      </c>
      <c r="O767" s="8" t="inlineStr">
        <is>
          <t>119000</t>
        </is>
      </c>
      <c r="P767" s="5" t="inlineStr">
        <is>
          <t>10</t>
        </is>
      </c>
      <c r="Q767" s="5" t="inlineStr">
        <is>
          <t>5</t>
        </is>
      </c>
      <c r="R767" s="5" t="inlineStr">
        <is>
          <t>6</t>
        </is>
      </c>
      <c r="S767" s="5" t="inlineStr">
        <is>
          <t>3</t>
        </is>
      </c>
      <c r="T767" s="5" t="inlineStr">
        <is>
          <t>8</t>
        </is>
      </c>
      <c r="U767" s="5" t="inlineStr">
        <is>
          <t>OK</t>
        </is>
      </c>
    </row>
    <row r="768">
      <c r="A768" s="5" t="inlineStr">
        <is>
          <t>E00414</t>
        </is>
      </c>
      <c r="B768" s="5" t="inlineStr">
        <is>
          <t>Male</t>
        </is>
      </c>
      <c r="C768" s="6" t="inlineStr">
        <is>
          <t>36</t>
        </is>
      </c>
      <c r="D768" s="5" t="inlineStr">
        <is>
          <t>Single</t>
        </is>
      </c>
      <c r="E768" s="5" t="inlineStr">
        <is>
          <t>Diploma</t>
        </is>
      </c>
      <c r="F768" s="5" t="inlineStr">
        <is>
          <t>Research &amp; Development</t>
        </is>
      </c>
      <c r="G768" s="5" t="inlineStr">
        <is>
          <t>Product Engineer</t>
        </is>
      </c>
      <c r="H768" s="5" t="inlineStr">
        <is>
          <t>2</t>
        </is>
      </c>
      <c r="I768" s="5" t="inlineStr">
        <is>
          <t>Hyderabad</t>
        </is>
      </c>
      <c r="J768" s="5" t="inlineStr">
        <is>
          <t>Full-Time</t>
        </is>
      </c>
      <c r="K768" s="7" t="n">
        <v>44314</v>
      </c>
      <c r="L768" s="7" t="n">
        <v>44445</v>
      </c>
      <c r="M768" s="5" t="inlineStr">
        <is>
          <t>No</t>
        </is>
      </c>
      <c r="N768" s="5" t="inlineStr">
        <is>
          <t>Retirement</t>
        </is>
      </c>
      <c r="O768" s="8" t="inlineStr">
        <is>
          <t>139500</t>
        </is>
      </c>
      <c r="P768" s="5" t="inlineStr">
        <is>
          <t>15</t>
        </is>
      </c>
      <c r="Q768" s="5" t="inlineStr">
        <is>
          <t>5</t>
        </is>
      </c>
      <c r="R768" s="5" t="inlineStr">
        <is>
          <t>5</t>
        </is>
      </c>
      <c r="S768" s="5" t="inlineStr">
        <is>
          <t>4</t>
        </is>
      </c>
      <c r="T768" s="5" t="inlineStr">
        <is>
          <t>0</t>
        </is>
      </c>
      <c r="U768" s="5" t="inlineStr">
        <is>
          <t>OK</t>
        </is>
      </c>
    </row>
    <row r="769">
      <c r="A769" s="5" t="inlineStr">
        <is>
          <t>E00436</t>
        </is>
      </c>
      <c r="B769" s="5" t="inlineStr">
        <is>
          <t>Male</t>
        </is>
      </c>
      <c r="C769" s="6" t="inlineStr">
        <is>
          <t>29</t>
        </is>
      </c>
      <c r="D769" s="5" t="inlineStr">
        <is>
          <t>Married</t>
        </is>
      </c>
      <c r="E769" s="5" t="inlineStr">
        <is>
          <t>PhD</t>
        </is>
      </c>
      <c r="F769" s="5" t="inlineStr">
        <is>
          <t>Operations</t>
        </is>
      </c>
      <c r="G769" s="5" t="inlineStr">
        <is>
          <t>Logistics Coordinator</t>
        </is>
      </c>
      <c r="H769" s="5" t="inlineStr">
        <is>
          <t>4</t>
        </is>
      </c>
      <c r="I769" s="5" t="inlineStr">
        <is>
          <t>Chennai</t>
        </is>
      </c>
      <c r="J769" s="5" t="inlineStr">
        <is>
          <t>Full-Time</t>
        </is>
      </c>
      <c r="K769" s="7" t="n">
        <v>44399</v>
      </c>
      <c r="L769" s="7" t="inlineStr"/>
      <c r="M769" s="5" t="inlineStr">
        <is>
          <t>Yes</t>
        </is>
      </c>
      <c r="N769" s="5" t="inlineStr"/>
      <c r="O769" s="8" t="inlineStr">
        <is>
          <t>89000</t>
        </is>
      </c>
      <c r="P769" s="5" t="inlineStr">
        <is>
          <t>10</t>
        </is>
      </c>
      <c r="Q769" s="5" t="inlineStr">
        <is>
          <t>3</t>
        </is>
      </c>
      <c r="R769" s="5" t="inlineStr">
        <is>
          <t>5</t>
        </is>
      </c>
      <c r="S769" s="5" t="inlineStr">
        <is>
          <t>54</t>
        </is>
      </c>
      <c r="T769" s="5" t="inlineStr">
        <is>
          <t>0</t>
        </is>
      </c>
      <c r="U769" s="5" t="inlineStr">
        <is>
          <t>OK</t>
        </is>
      </c>
    </row>
    <row r="770">
      <c r="A770" s="5" t="inlineStr">
        <is>
          <t>E00754</t>
        </is>
      </c>
      <c r="B770" s="5" t="inlineStr">
        <is>
          <t>Female</t>
        </is>
      </c>
      <c r="C770" s="6" t="inlineStr">
        <is>
          <t>25</t>
        </is>
      </c>
      <c r="D770" s="5" t="inlineStr">
        <is>
          <t>Married</t>
        </is>
      </c>
      <c r="E770" s="5" t="inlineStr">
        <is>
          <t>High School</t>
        </is>
      </c>
      <c r="F770" s="5" t="inlineStr"/>
      <c r="G770" s="5" t="inlineStr">
        <is>
          <t>Recruiter</t>
        </is>
      </c>
      <c r="H770" s="5" t="inlineStr">
        <is>
          <t>2</t>
        </is>
      </c>
      <c r="I770" s="5" t="inlineStr">
        <is>
          <t>Hyderabad</t>
        </is>
      </c>
      <c r="J770" s="5" t="inlineStr">
        <is>
          <t>Full-Time</t>
        </is>
      </c>
      <c r="K770" s="7" t="n">
        <v>45282</v>
      </c>
      <c r="L770" s="7" t="inlineStr"/>
      <c r="M770" s="5" t="inlineStr">
        <is>
          <t>Yes</t>
        </is>
      </c>
      <c r="N770" s="5" t="inlineStr"/>
      <c r="O770" s="8" t="inlineStr">
        <is>
          <t>82000</t>
        </is>
      </c>
      <c r="P770" s="5" t="inlineStr">
        <is>
          <t>15</t>
        </is>
      </c>
      <c r="Q770" s="5" t="inlineStr">
        <is>
          <t>3</t>
        </is>
      </c>
      <c r="R770" s="5" t="inlineStr">
        <is>
          <t>7</t>
        </is>
      </c>
      <c r="S770" s="5" t="inlineStr">
        <is>
          <t>24</t>
        </is>
      </c>
      <c r="T770" s="5" t="inlineStr">
        <is>
          <t>0</t>
        </is>
      </c>
      <c r="U770" s="5" t="inlineStr">
        <is>
          <t>Blank department</t>
        </is>
      </c>
    </row>
    <row r="771">
      <c r="A771" s="5" t="inlineStr">
        <is>
          <t>E01559</t>
        </is>
      </c>
      <c r="B771" s="5" t="inlineStr">
        <is>
          <t>Male</t>
        </is>
      </c>
      <c r="C771" s="6" t="inlineStr">
        <is>
          <t>32</t>
        </is>
      </c>
      <c r="D771" s="5" t="inlineStr">
        <is>
          <t>Single</t>
        </is>
      </c>
      <c r="E771" s="5" t="inlineStr">
        <is>
          <t>Bachelor</t>
        </is>
      </c>
      <c r="F771" s="5" t="inlineStr">
        <is>
          <t>Customer Support</t>
        </is>
      </c>
      <c r="G771" s="5" t="inlineStr">
        <is>
          <t>Escalation Specialist</t>
        </is>
      </c>
      <c r="H771" s="5" t="inlineStr">
        <is>
          <t>1</t>
        </is>
      </c>
      <c r="I771" s="5" t="inlineStr">
        <is>
          <t>Bengaluru</t>
        </is>
      </c>
      <c r="J771" s="5" t="inlineStr">
        <is>
          <t>Full-Time</t>
        </is>
      </c>
      <c r="K771" s="7" t="n">
        <v>44460</v>
      </c>
      <c r="L771" s="7" t="inlineStr"/>
      <c r="M771" s="5" t="inlineStr">
        <is>
          <t>Yes</t>
        </is>
      </c>
      <c r="N771" s="5" t="inlineStr"/>
      <c r="O771" s="8" t="inlineStr">
        <is>
          <t>72000</t>
        </is>
      </c>
      <c r="P771" s="5" t="inlineStr">
        <is>
          <t>20</t>
        </is>
      </c>
      <c r="Q771" s="5" t="inlineStr">
        <is>
          <t>5</t>
        </is>
      </c>
      <c r="R771" s="5" t="inlineStr">
        <is>
          <t>6</t>
        </is>
      </c>
      <c r="S771" s="5" t="inlineStr">
        <is>
          <t>52</t>
        </is>
      </c>
      <c r="T771" s="5" t="inlineStr">
        <is>
          <t>10</t>
        </is>
      </c>
      <c r="U771" s="5" t="inlineStr">
        <is>
          <t>OK</t>
        </is>
      </c>
    </row>
    <row r="772">
      <c r="A772" s="5" t="inlineStr">
        <is>
          <t>E00318</t>
        </is>
      </c>
      <c r="B772" s="5" t="inlineStr">
        <is>
          <t>Female</t>
        </is>
      </c>
      <c r="C772" s="6" t="inlineStr">
        <is>
          <t>37</t>
        </is>
      </c>
      <c r="D772" s="5" t="inlineStr">
        <is>
          <t>Single</t>
        </is>
      </c>
      <c r="E772" s="5" t="inlineStr">
        <is>
          <t>Master</t>
        </is>
      </c>
      <c r="F772" s="5" t="inlineStr">
        <is>
          <t>Research &amp; Development</t>
        </is>
      </c>
      <c r="G772" s="5" t="inlineStr">
        <is>
          <t>Data Scientist</t>
        </is>
      </c>
      <c r="H772" s="5" t="inlineStr">
        <is>
          <t>3</t>
        </is>
      </c>
      <c r="I772" s="5" t="inlineStr">
        <is>
          <t>Bengaluru</t>
        </is>
      </c>
      <c r="J772" s="5" t="inlineStr">
        <is>
          <t>Full-Time</t>
        </is>
      </c>
      <c r="K772" s="7" t="n">
        <v>45666</v>
      </c>
      <c r="L772" s="7" t="n">
        <v>45726</v>
      </c>
      <c r="M772" s="5" t="inlineStr">
        <is>
          <t>No</t>
        </is>
      </c>
      <c r="N772" s="5" t="inlineStr">
        <is>
          <t>Resigned</t>
        </is>
      </c>
      <c r="O772" s="8" t="inlineStr">
        <is>
          <t>188000</t>
        </is>
      </c>
      <c r="P772" s="5" t="inlineStr">
        <is>
          <t>0</t>
        </is>
      </c>
      <c r="Q772" s="5" t="inlineStr">
        <is>
          <t>3</t>
        </is>
      </c>
      <c r="R772" s="5" t="inlineStr">
        <is>
          <t>5</t>
        </is>
      </c>
      <c r="S772" s="5" t="inlineStr">
        <is>
          <t>2</t>
        </is>
      </c>
      <c r="T772" s="5" t="inlineStr">
        <is>
          <t>4</t>
        </is>
      </c>
      <c r="U772" s="5" t="inlineStr">
        <is>
          <t>OK</t>
        </is>
      </c>
    </row>
    <row r="773">
      <c r="A773" s="5" t="inlineStr">
        <is>
          <t>E01304</t>
        </is>
      </c>
      <c r="B773" s="5" t="inlineStr">
        <is>
          <t>Male</t>
        </is>
      </c>
      <c r="C773" s="6" t="inlineStr">
        <is>
          <t>28</t>
        </is>
      </c>
      <c r="D773" s="5" t="inlineStr">
        <is>
          <t>Married</t>
        </is>
      </c>
      <c r="E773" s="5" t="inlineStr">
        <is>
          <t>Diploma</t>
        </is>
      </c>
      <c r="F773" s="5" t="inlineStr">
        <is>
          <t>IT</t>
        </is>
      </c>
      <c r="G773" s="5" t="inlineStr">
        <is>
          <t>Data Analyst</t>
        </is>
      </c>
      <c r="H773" s="5" t="inlineStr">
        <is>
          <t>2</t>
        </is>
      </c>
      <c r="I773" s="5" t="inlineStr">
        <is>
          <t>Delhi</t>
        </is>
      </c>
      <c r="J773" s="5" t="inlineStr">
        <is>
          <t>Full-Time</t>
        </is>
      </c>
      <c r="K773" s="7" t="n">
        <v>44943</v>
      </c>
      <c r="L773" s="7" t="inlineStr"/>
      <c r="M773" s="5" t="inlineStr">
        <is>
          <t>Yes</t>
        </is>
      </c>
      <c r="N773" s="5" t="inlineStr"/>
      <c r="O773" s="8" t="inlineStr">
        <is>
          <t>125000</t>
        </is>
      </c>
      <c r="P773" s="5" t="inlineStr">
        <is>
          <t>0</t>
        </is>
      </c>
      <c r="Q773" s="5" t="inlineStr">
        <is>
          <t>3</t>
        </is>
      </c>
      <c r="R773" s="5" t="inlineStr">
        <is>
          <t>5</t>
        </is>
      </c>
      <c r="S773" s="5" t="inlineStr">
        <is>
          <t>35</t>
        </is>
      </c>
      <c r="T773" s="5" t="inlineStr">
        <is>
          <t>7</t>
        </is>
      </c>
      <c r="U773" s="5" t="inlineStr">
        <is>
          <t>OK</t>
        </is>
      </c>
    </row>
    <row r="774">
      <c r="A774" s="5" t="inlineStr">
        <is>
          <t>E02609</t>
        </is>
      </c>
      <c r="B774" s="5" t="inlineStr">
        <is>
          <t>Male</t>
        </is>
      </c>
      <c r="C774" s="6" t="inlineStr">
        <is>
          <t>32</t>
        </is>
      </c>
      <c r="D774" s="5" t="inlineStr">
        <is>
          <t>Married</t>
        </is>
      </c>
      <c r="E774" s="5" t="inlineStr">
        <is>
          <t>High School</t>
        </is>
      </c>
      <c r="F774" s="5" t="inlineStr">
        <is>
          <t>Finance</t>
        </is>
      </c>
      <c r="G774" s="5" t="inlineStr">
        <is>
          <t>Credit Analyst</t>
        </is>
      </c>
      <c r="H774" s="5" t="inlineStr">
        <is>
          <t>5</t>
        </is>
      </c>
      <c r="I774" s="5" t="inlineStr">
        <is>
          <t>Mumbai</t>
        </is>
      </c>
      <c r="J774" s="5" t="inlineStr">
        <is>
          <t>Full-Time</t>
        </is>
      </c>
      <c r="K774" s="7" t="n">
        <v>44338</v>
      </c>
      <c r="L774" s="7" t="inlineStr"/>
      <c r="M774" s="5" t="inlineStr">
        <is>
          <t>Yes</t>
        </is>
      </c>
      <c r="N774" s="5" t="inlineStr"/>
      <c r="O774" s="8" t="inlineStr">
        <is>
          <t>146000</t>
        </is>
      </c>
      <c r="P774" s="5" t="inlineStr">
        <is>
          <t>10</t>
        </is>
      </c>
      <c r="Q774" s="5" t="inlineStr">
        <is>
          <t>4</t>
        </is>
      </c>
      <c r="R774" s="5" t="inlineStr">
        <is>
          <t>3</t>
        </is>
      </c>
      <c r="S774" s="5" t="inlineStr">
        <is>
          <t>56</t>
        </is>
      </c>
      <c r="T774" s="5" t="inlineStr">
        <is>
          <t>7</t>
        </is>
      </c>
      <c r="U774" s="5" t="inlineStr">
        <is>
          <t>OK</t>
        </is>
      </c>
    </row>
    <row r="775">
      <c r="A775" s="5" t="inlineStr">
        <is>
          <t>E01075</t>
        </is>
      </c>
      <c r="B775" s="5" t="inlineStr">
        <is>
          <t>Female</t>
        </is>
      </c>
      <c r="C775" s="6" t="inlineStr">
        <is>
          <t>33</t>
        </is>
      </c>
      <c r="D775" s="5" t="inlineStr">
        <is>
          <t>Married</t>
        </is>
      </c>
      <c r="E775" s="5" t="inlineStr">
        <is>
          <t>High School</t>
        </is>
      </c>
      <c r="F775" s="5" t="inlineStr">
        <is>
          <t>IT</t>
        </is>
      </c>
      <c r="G775" s="5" t="inlineStr">
        <is>
          <t>Software Engineer</t>
        </is>
      </c>
      <c r="H775" s="5" t="inlineStr">
        <is>
          <t>3</t>
        </is>
      </c>
      <c r="I775" s="5" t="inlineStr">
        <is>
          <t>Delhi</t>
        </is>
      </c>
      <c r="J775" s="5" t="inlineStr">
        <is>
          <t>Full-Time</t>
        </is>
      </c>
      <c r="K775" s="7" t="n">
        <v>44418</v>
      </c>
      <c r="L775" s="7" t="inlineStr"/>
      <c r="M775" s="5" t="inlineStr">
        <is>
          <t>Yes</t>
        </is>
      </c>
      <c r="N775" s="5" t="inlineStr"/>
      <c r="O775" s="8" t="inlineStr">
        <is>
          <t>181500</t>
        </is>
      </c>
      <c r="P775" s="5" t="inlineStr">
        <is>
          <t>5</t>
        </is>
      </c>
      <c r="Q775" s="5" t="inlineStr">
        <is>
          <t>5</t>
        </is>
      </c>
      <c r="R775" s="5" t="inlineStr">
        <is>
          <t>5</t>
        </is>
      </c>
      <c r="S775" s="5" t="inlineStr">
        <is>
          <t>53</t>
        </is>
      </c>
      <c r="T775" s="5" t="inlineStr">
        <is>
          <t>6</t>
        </is>
      </c>
      <c r="U775" s="5" t="inlineStr">
        <is>
          <t>OK</t>
        </is>
      </c>
    </row>
    <row r="776">
      <c r="A776" s="5" t="inlineStr">
        <is>
          <t>E00849</t>
        </is>
      </c>
      <c r="B776" s="5" t="inlineStr">
        <is>
          <t>Male</t>
        </is>
      </c>
      <c r="C776" s="6" t="inlineStr">
        <is>
          <t>33</t>
        </is>
      </c>
      <c r="D776" s="5" t="inlineStr">
        <is>
          <t>Single</t>
        </is>
      </c>
      <c r="E776" s="5" t="inlineStr">
        <is>
          <t>High School</t>
        </is>
      </c>
      <c r="F776" s="5" t="inlineStr">
        <is>
          <t>Finance</t>
        </is>
      </c>
      <c r="G776" s="5" t="inlineStr">
        <is>
          <t>Accountant</t>
        </is>
      </c>
      <c r="H776" s="5" t="inlineStr">
        <is>
          <t>5</t>
        </is>
      </c>
      <c r="I776" s="5" t="inlineStr">
        <is>
          <t>Remote</t>
        </is>
      </c>
      <c r="J776" s="5" t="inlineStr">
        <is>
          <t>Full-Time</t>
        </is>
      </c>
      <c r="K776" s="7" t="n">
        <v>44401</v>
      </c>
      <c r="L776" s="7" t="inlineStr"/>
      <c r="M776" s="5" t="inlineStr">
        <is>
          <t>Yes</t>
        </is>
      </c>
      <c r="N776" s="5" t="inlineStr"/>
      <c r="O776" s="8" t="inlineStr">
        <is>
          <t>106500</t>
        </is>
      </c>
      <c r="P776" s="5" t="inlineStr">
        <is>
          <t>0</t>
        </is>
      </c>
      <c r="Q776" s="5" t="inlineStr">
        <is>
          <t>4</t>
        </is>
      </c>
      <c r="R776" s="5" t="inlineStr">
        <is>
          <t>6</t>
        </is>
      </c>
      <c r="S776" s="5" t="inlineStr">
        <is>
          <t>54</t>
        </is>
      </c>
      <c r="T776" s="5" t="inlineStr">
        <is>
          <t>0</t>
        </is>
      </c>
      <c r="U776" s="5" t="inlineStr">
        <is>
          <t>OK</t>
        </is>
      </c>
    </row>
    <row r="777">
      <c r="A777" s="5" t="inlineStr">
        <is>
          <t>E00635</t>
        </is>
      </c>
      <c r="B777" s="5" t="inlineStr">
        <is>
          <t>Female</t>
        </is>
      </c>
      <c r="C777" s="6" t="inlineStr">
        <is>
          <t>32</t>
        </is>
      </c>
      <c r="D777" s="5" t="inlineStr">
        <is>
          <t>Married</t>
        </is>
      </c>
      <c r="E777" s="5" t="inlineStr">
        <is>
          <t>PhD</t>
        </is>
      </c>
      <c r="F777" s="5" t="inlineStr"/>
      <c r="G777" s="5" t="inlineStr">
        <is>
          <t>Quality Analyst</t>
        </is>
      </c>
      <c r="H777" s="5" t="inlineStr">
        <is>
          <t>2</t>
        </is>
      </c>
      <c r="I777" s="5" t="inlineStr">
        <is>
          <t>Mumbai</t>
        </is>
      </c>
      <c r="J777" s="5" t="inlineStr">
        <is>
          <t>Full-Time</t>
        </is>
      </c>
      <c r="K777" s="7" t="n">
        <v>43840</v>
      </c>
      <c r="L777" s="7" t="inlineStr"/>
      <c r="M777" s="5" t="inlineStr">
        <is>
          <t>Yes</t>
        </is>
      </c>
      <c r="N777" s="5" t="inlineStr"/>
      <c r="O777" s="8" t="inlineStr">
        <is>
          <t>111000</t>
        </is>
      </c>
      <c r="P777" s="5" t="inlineStr">
        <is>
          <t>10</t>
        </is>
      </c>
      <c r="Q777" s="5" t="inlineStr">
        <is>
          <t>3</t>
        </is>
      </c>
      <c r="R777" s="5" t="inlineStr">
        <is>
          <t>9</t>
        </is>
      </c>
      <c r="S777" s="5" t="inlineStr">
        <is>
          <t>72</t>
        </is>
      </c>
      <c r="T777" s="5" t="inlineStr">
        <is>
          <t>1</t>
        </is>
      </c>
      <c r="U777" s="5" t="inlineStr">
        <is>
          <t>Blank department</t>
        </is>
      </c>
    </row>
    <row r="778">
      <c r="A778" s="5" t="inlineStr">
        <is>
          <t>E00708</t>
        </is>
      </c>
      <c r="B778" s="5" t="inlineStr">
        <is>
          <t>Female</t>
        </is>
      </c>
      <c r="C778" s="6" t="inlineStr">
        <is>
          <t>28</t>
        </is>
      </c>
      <c r="D778" s="5" t="inlineStr">
        <is>
          <t>Married</t>
        </is>
      </c>
      <c r="E778" s="5" t="inlineStr">
        <is>
          <t>Master</t>
        </is>
      </c>
      <c r="F778" s="5" t="inlineStr">
        <is>
          <t>IT</t>
        </is>
      </c>
      <c r="G778" s="5" t="inlineStr">
        <is>
          <t>Data Analyst</t>
        </is>
      </c>
      <c r="H778" s="5" t="inlineStr">
        <is>
          <t>2</t>
        </is>
      </c>
      <c r="I778" s="5" t="inlineStr">
        <is>
          <t>Mumbai</t>
        </is>
      </c>
      <c r="J778" s="5" t="inlineStr">
        <is>
          <t>Full-Time</t>
        </is>
      </c>
      <c r="K778" s="7" t="n">
        <v>44108</v>
      </c>
      <c r="L778" s="7" t="inlineStr"/>
      <c r="M778" s="5" t="inlineStr">
        <is>
          <t>Yes</t>
        </is>
      </c>
      <c r="N778" s="5" t="inlineStr"/>
      <c r="O778" s="8" t="inlineStr">
        <is>
          <t>120000</t>
        </is>
      </c>
      <c r="P778" s="5" t="inlineStr">
        <is>
          <t>10</t>
        </is>
      </c>
      <c r="Q778" s="5" t="inlineStr">
        <is>
          <t>3</t>
        </is>
      </c>
      <c r="R778" s="5" t="inlineStr">
        <is>
          <t>4</t>
        </is>
      </c>
      <c r="S778" s="5" t="inlineStr">
        <is>
          <t>63</t>
        </is>
      </c>
      <c r="T778" s="5" t="inlineStr">
        <is>
          <t>2</t>
        </is>
      </c>
      <c r="U778" s="5" t="inlineStr">
        <is>
          <t>OK</t>
        </is>
      </c>
    </row>
    <row r="779">
      <c r="A779" s="5" t="inlineStr">
        <is>
          <t>E00604</t>
        </is>
      </c>
      <c r="B779" s="5" t="inlineStr">
        <is>
          <t>Female</t>
        </is>
      </c>
      <c r="C779" s="6" t="inlineStr">
        <is>
          <t>26</t>
        </is>
      </c>
      <c r="D779" s="5" t="inlineStr">
        <is>
          <t>Married</t>
        </is>
      </c>
      <c r="E779" s="5" t="inlineStr">
        <is>
          <t>Master</t>
        </is>
      </c>
      <c r="F779" s="5" t="inlineStr">
        <is>
          <t>Operations</t>
        </is>
      </c>
      <c r="G779" s="5" t="inlineStr">
        <is>
          <t>Operations Analyst</t>
        </is>
      </c>
      <c r="H779" s="5" t="inlineStr">
        <is>
          <t>2</t>
        </is>
      </c>
      <c r="I779" s="5" t="inlineStr">
        <is>
          <t>Bengaluru</t>
        </is>
      </c>
      <c r="J779" s="5" t="inlineStr">
        <is>
          <t>Full-Time</t>
        </is>
      </c>
      <c r="K779" s="7" t="n">
        <v>45968</v>
      </c>
      <c r="L779" s="7" t="inlineStr"/>
      <c r="M779" s="5" t="inlineStr">
        <is>
          <t>Yes</t>
        </is>
      </c>
      <c r="N779" s="5" t="inlineStr"/>
      <c r="O779" s="8" t="inlineStr">
        <is>
          <t>66000</t>
        </is>
      </c>
      <c r="P779" s="5" t="inlineStr">
        <is>
          <t>15</t>
        </is>
      </c>
      <c r="Q779" s="5" t="inlineStr">
        <is>
          <t>3</t>
        </is>
      </c>
      <c r="R779" s="5" t="inlineStr">
        <is>
          <t>8</t>
        </is>
      </c>
      <c r="S779" s="5" t="inlineStr">
        <is>
          <t>1</t>
        </is>
      </c>
      <c r="T779" s="5" t="inlineStr">
        <is>
          <t>18</t>
        </is>
      </c>
      <c r="U779" s="5" t="inlineStr">
        <is>
          <t>OK</t>
        </is>
      </c>
    </row>
    <row r="780">
      <c r="A780" s="5" t="inlineStr">
        <is>
          <t>E00370</t>
        </is>
      </c>
      <c r="B780" s="5" t="inlineStr">
        <is>
          <t>Female</t>
        </is>
      </c>
      <c r="C780" s="6" t="inlineStr">
        <is>
          <t>34</t>
        </is>
      </c>
      <c r="D780" s="5" t="inlineStr">
        <is>
          <t>Married</t>
        </is>
      </c>
      <c r="E780" s="5" t="inlineStr">
        <is>
          <t>Diploma</t>
        </is>
      </c>
      <c r="F780" s="5" t="inlineStr">
        <is>
          <t>IT</t>
        </is>
      </c>
      <c r="G780" s="5" t="inlineStr">
        <is>
          <t>DevOps Engineer</t>
        </is>
      </c>
      <c r="H780" s="5" t="inlineStr">
        <is>
          <t>2</t>
        </is>
      </c>
      <c r="I780" s="5" t="inlineStr">
        <is>
          <t>Delhi</t>
        </is>
      </c>
      <c r="J780" s="5" t="inlineStr">
        <is>
          <t>Full-Time</t>
        </is>
      </c>
      <c r="K780" s="7" t="n">
        <v>45971</v>
      </c>
      <c r="L780" s="7" t="inlineStr"/>
      <c r="M780" s="5" t="inlineStr">
        <is>
          <t>Yes</t>
        </is>
      </c>
      <c r="N780" s="5" t="inlineStr"/>
      <c r="O780" s="8" t="inlineStr">
        <is>
          <t>160500</t>
        </is>
      </c>
      <c r="P780" s="5" t="inlineStr">
        <is>
          <t>5</t>
        </is>
      </c>
      <c r="Q780" s="5" t="inlineStr">
        <is>
          <t>5</t>
        </is>
      </c>
      <c r="R780" s="5" t="inlineStr">
        <is>
          <t>9</t>
        </is>
      </c>
      <c r="S780" s="5" t="inlineStr">
        <is>
          <t>1</t>
        </is>
      </c>
      <c r="T780" s="5" t="inlineStr">
        <is>
          <t>1</t>
        </is>
      </c>
      <c r="U780" s="5" t="inlineStr">
        <is>
          <t>OK</t>
        </is>
      </c>
    </row>
    <row r="781">
      <c r="A781" s="5" t="inlineStr">
        <is>
          <t>E02564</t>
        </is>
      </c>
      <c r="B781" s="5" t="inlineStr">
        <is>
          <t>Female</t>
        </is>
      </c>
      <c r="C781" s="6" t="inlineStr">
        <is>
          <t>30</t>
        </is>
      </c>
      <c r="D781" s="5" t="inlineStr">
        <is>
          <t>Married</t>
        </is>
      </c>
      <c r="E781" s="5" t="inlineStr">
        <is>
          <t>PhD</t>
        </is>
      </c>
      <c r="F781" s="5" t="inlineStr">
        <is>
          <t>Customer Support</t>
        </is>
      </c>
      <c r="G781" s="5" t="inlineStr">
        <is>
          <t>Support Agent</t>
        </is>
      </c>
      <c r="H781" s="5" t="inlineStr">
        <is>
          <t>3</t>
        </is>
      </c>
      <c r="I781" s="5" t="inlineStr">
        <is>
          <t>Mumbai</t>
        </is>
      </c>
      <c r="J781" s="5" t="inlineStr">
        <is>
          <t>Full-Time</t>
        </is>
      </c>
      <c r="K781" s="7" t="n">
        <v>44834</v>
      </c>
      <c r="L781" s="7" t="inlineStr"/>
      <c r="M781" s="5" t="inlineStr">
        <is>
          <t>Yes</t>
        </is>
      </c>
      <c r="N781" s="5" t="inlineStr"/>
      <c r="O781" s="8" t="inlineStr">
        <is>
          <t>82500</t>
        </is>
      </c>
      <c r="P781" s="5" t="inlineStr">
        <is>
          <t>10</t>
        </is>
      </c>
      <c r="Q781" s="5" t="inlineStr">
        <is>
          <t>3</t>
        </is>
      </c>
      <c r="R781" s="5" t="inlineStr">
        <is>
          <t>6</t>
        </is>
      </c>
      <c r="S781" s="5" t="inlineStr">
        <is>
          <t>39</t>
        </is>
      </c>
      <c r="T781" s="5" t="inlineStr">
        <is>
          <t>6</t>
        </is>
      </c>
      <c r="U781" s="5" t="inlineStr">
        <is>
          <t>OK</t>
        </is>
      </c>
    </row>
    <row r="782">
      <c r="A782" s="5" t="inlineStr">
        <is>
          <t>E01567</t>
        </is>
      </c>
      <c r="B782" s="5" t="inlineStr">
        <is>
          <t>Female</t>
        </is>
      </c>
      <c r="C782" s="6" t="inlineStr">
        <is>
          <t>40</t>
        </is>
      </c>
      <c r="D782" s="5" t="inlineStr">
        <is>
          <t>Married</t>
        </is>
      </c>
      <c r="E782" s="5" t="inlineStr">
        <is>
          <t>High School</t>
        </is>
      </c>
      <c r="F782" s="5" t="inlineStr">
        <is>
          <t>IT</t>
        </is>
      </c>
      <c r="G782" s="5" t="inlineStr">
        <is>
          <t>Data Analyst</t>
        </is>
      </c>
      <c r="H782" s="5" t="inlineStr">
        <is>
          <t>5</t>
        </is>
      </c>
      <c r="I782" s="5" t="inlineStr">
        <is>
          <t>Mumbai</t>
        </is>
      </c>
      <c r="J782" s="5" t="inlineStr">
        <is>
          <t>Full-Time</t>
        </is>
      </c>
      <c r="K782" s="7" t="n">
        <v>43961</v>
      </c>
      <c r="L782" s="7" t="inlineStr"/>
      <c r="M782" s="5" t="inlineStr">
        <is>
          <t>Yes</t>
        </is>
      </c>
      <c r="N782" s="5" t="inlineStr"/>
      <c r="O782" s="8" t="inlineStr">
        <is>
          <t>229000</t>
        </is>
      </c>
      <c r="P782" s="5" t="inlineStr">
        <is>
          <t>5</t>
        </is>
      </c>
      <c r="Q782" s="5" t="inlineStr">
        <is>
          <t>4</t>
        </is>
      </c>
      <c r="R782" s="5" t="inlineStr">
        <is>
          <t>5</t>
        </is>
      </c>
      <c r="S782" s="5" t="inlineStr">
        <is>
          <t>68</t>
        </is>
      </c>
      <c r="T782" s="5" t="inlineStr">
        <is>
          <t>0</t>
        </is>
      </c>
      <c r="U782" s="5" t="inlineStr">
        <is>
          <t>OK</t>
        </is>
      </c>
    </row>
    <row r="783">
      <c r="A783" s="5" t="inlineStr">
        <is>
          <t>E00921</t>
        </is>
      </c>
      <c r="B783" s="5" t="inlineStr">
        <is>
          <t>Male</t>
        </is>
      </c>
      <c r="C783" s="6" t="inlineStr">
        <is>
          <t>35</t>
        </is>
      </c>
      <c r="D783" s="5" t="inlineStr">
        <is>
          <t>Married</t>
        </is>
      </c>
      <c r="E783" s="5" t="inlineStr">
        <is>
          <t>Master</t>
        </is>
      </c>
      <c r="F783" s="5" t="inlineStr">
        <is>
          <t>Finance</t>
        </is>
      </c>
      <c r="G783" s="5" t="inlineStr">
        <is>
          <t>Accountant</t>
        </is>
      </c>
      <c r="H783" s="5" t="inlineStr">
        <is>
          <t>5</t>
        </is>
      </c>
      <c r="I783" s="5" t="inlineStr">
        <is>
          <t>Bengaluru</t>
        </is>
      </c>
      <c r="J783" s="5" t="inlineStr">
        <is>
          <t>Full-Time</t>
        </is>
      </c>
      <c r="K783" s="7" t="n">
        <v>45074</v>
      </c>
      <c r="L783" s="7" t="n">
        <v>45188</v>
      </c>
      <c r="M783" s="5" t="inlineStr">
        <is>
          <t>No</t>
        </is>
      </c>
      <c r="N783" s="5" t="inlineStr">
        <is>
          <t>Relocation</t>
        </is>
      </c>
      <c r="O783" s="8" t="inlineStr">
        <is>
          <t>180500</t>
        </is>
      </c>
      <c r="P783" s="5" t="inlineStr">
        <is>
          <t>5</t>
        </is>
      </c>
      <c r="Q783" s="5" t="inlineStr">
        <is>
          <t>5</t>
        </is>
      </c>
      <c r="R783" s="5" t="inlineStr">
        <is>
          <t>5</t>
        </is>
      </c>
      <c r="S783" s="5" t="inlineStr">
        <is>
          <t>3</t>
        </is>
      </c>
      <c r="T783" s="5" t="inlineStr">
        <is>
          <t>7</t>
        </is>
      </c>
      <c r="U783" s="5" t="inlineStr">
        <is>
          <t>OK</t>
        </is>
      </c>
    </row>
    <row r="784">
      <c r="A784" s="5" t="inlineStr">
        <is>
          <t>E01230</t>
        </is>
      </c>
      <c r="B784" s="5" t="inlineStr">
        <is>
          <t>Female</t>
        </is>
      </c>
      <c r="C784" s="6" t="inlineStr">
        <is>
          <t>44</t>
        </is>
      </c>
      <c r="D784" s="5" t="inlineStr">
        <is>
          <t>Single</t>
        </is>
      </c>
      <c r="E784" s="5" t="inlineStr">
        <is>
          <t>PhD</t>
        </is>
      </c>
      <c r="F784" s="5" t="inlineStr">
        <is>
          <t>Research &amp; Development</t>
        </is>
      </c>
      <c r="G784" s="5" t="inlineStr">
        <is>
          <t>Data Scientist</t>
        </is>
      </c>
      <c r="H784" s="5" t="inlineStr">
        <is>
          <t>7</t>
        </is>
      </c>
      <c r="I784" s="5" t="inlineStr">
        <is>
          <t>Remote</t>
        </is>
      </c>
      <c r="J784" s="5" t="inlineStr">
        <is>
          <t>Full-Time</t>
        </is>
      </c>
      <c r="K784" s="7" t="n">
        <v>45874</v>
      </c>
      <c r="L784" s="7" t="inlineStr"/>
      <c r="M784" s="5" t="inlineStr">
        <is>
          <t>Yes</t>
        </is>
      </c>
      <c r="N784" s="5" t="inlineStr"/>
      <c r="O784" s="8" t="inlineStr">
        <is>
          <t>306000</t>
        </is>
      </c>
      <c r="P784" s="5" t="inlineStr">
        <is>
          <t>5</t>
        </is>
      </c>
      <c r="Q784" s="5" t="inlineStr">
        <is>
          <t>4</t>
        </is>
      </c>
      <c r="R784" s="5" t="inlineStr">
        <is>
          <t>8</t>
        </is>
      </c>
      <c r="S784" s="5" t="inlineStr">
        <is>
          <t>4</t>
        </is>
      </c>
      <c r="T784" s="5" t="inlineStr">
        <is>
          <t>4</t>
        </is>
      </c>
      <c r="U784" s="5" t="inlineStr">
        <is>
          <t>OK</t>
        </is>
      </c>
    </row>
    <row r="785">
      <c r="A785" s="5" t="inlineStr">
        <is>
          <t>E02461</t>
        </is>
      </c>
      <c r="B785" s="5" t="inlineStr">
        <is>
          <t>Female</t>
        </is>
      </c>
      <c r="C785" s="6" t="inlineStr">
        <is>
          <t>32</t>
        </is>
      </c>
      <c r="D785" s="5" t="inlineStr">
        <is>
          <t>Single</t>
        </is>
      </c>
      <c r="E785" s="5" t="inlineStr">
        <is>
          <t>High School</t>
        </is>
      </c>
      <c r="F785" s="5" t="inlineStr">
        <is>
          <t>Human Resources</t>
        </is>
      </c>
      <c r="G785" s="5" t="inlineStr">
        <is>
          <t>Recruiter</t>
        </is>
      </c>
      <c r="H785" s="5" t="inlineStr">
        <is>
          <t>5</t>
        </is>
      </c>
      <c r="I785" s="5" t="inlineStr">
        <is>
          <t>Chennai</t>
        </is>
      </c>
      <c r="J785" s="5" t="inlineStr">
        <is>
          <t>Full-Time</t>
        </is>
      </c>
      <c r="K785" s="7" t="n">
        <v>44107</v>
      </c>
      <c r="L785" s="7" t="inlineStr"/>
      <c r="M785" s="5" t="inlineStr">
        <is>
          <t>Yes</t>
        </is>
      </c>
      <c r="N785" s="5" t="inlineStr"/>
      <c r="O785" s="8" t="inlineStr">
        <is>
          <t>89500</t>
        </is>
      </c>
      <c r="P785" s="5" t="inlineStr">
        <is>
          <t>0</t>
        </is>
      </c>
      <c r="Q785" s="5" t="inlineStr">
        <is>
          <t>4</t>
        </is>
      </c>
      <c r="R785" s="5" t="inlineStr">
        <is>
          <t>6</t>
        </is>
      </c>
      <c r="S785" s="5" t="inlineStr">
        <is>
          <t>63</t>
        </is>
      </c>
      <c r="T785" s="5" t="inlineStr">
        <is>
          <t>8</t>
        </is>
      </c>
      <c r="U785" s="5" t="inlineStr">
        <is>
          <t>OK</t>
        </is>
      </c>
    </row>
    <row r="786">
      <c r="A786" s="5" t="inlineStr">
        <is>
          <t>E02252</t>
        </is>
      </c>
      <c r="B786" s="5" t="inlineStr">
        <is>
          <t>Female</t>
        </is>
      </c>
      <c r="C786" s="6" t="inlineStr">
        <is>
          <t>35</t>
        </is>
      </c>
      <c r="D786" s="5" t="inlineStr">
        <is>
          <t>Married</t>
        </is>
      </c>
      <c r="E786" s="5" t="inlineStr">
        <is>
          <t>Bachelor</t>
        </is>
      </c>
      <c r="F786" s="5" t="inlineStr">
        <is>
          <t>Finance</t>
        </is>
      </c>
      <c r="G786" s="5" t="inlineStr">
        <is>
          <t>Accountant</t>
        </is>
      </c>
      <c r="H786" s="5" t="inlineStr">
        <is>
          <t>2</t>
        </is>
      </c>
      <c r="I786" s="5" t="inlineStr">
        <is>
          <t>Mumbai</t>
        </is>
      </c>
      <c r="J786" s="5" t="inlineStr">
        <is>
          <t>Part-Time</t>
        </is>
      </c>
      <c r="K786" s="7" t="n">
        <v>45320</v>
      </c>
      <c r="L786" s="7" t="inlineStr"/>
      <c r="M786" s="5" t="inlineStr">
        <is>
          <t>Yes</t>
        </is>
      </c>
      <c r="N786" s="5" t="inlineStr"/>
      <c r="O786" s="8" t="inlineStr">
        <is>
          <t>90500</t>
        </is>
      </c>
      <c r="P786" s="5" t="inlineStr">
        <is>
          <t>5</t>
        </is>
      </c>
      <c r="Q786" s="5" t="inlineStr">
        <is>
          <t>5</t>
        </is>
      </c>
      <c r="R786" s="5" t="inlineStr">
        <is>
          <t>7</t>
        </is>
      </c>
      <c r="S786" s="5" t="inlineStr">
        <is>
          <t>23</t>
        </is>
      </c>
      <c r="T786" s="5" t="inlineStr">
        <is>
          <t>6</t>
        </is>
      </c>
      <c r="U786" s="5" t="inlineStr">
        <is>
          <t>OK</t>
        </is>
      </c>
    </row>
    <row r="787">
      <c r="A787" s="5" t="inlineStr">
        <is>
          <t>E00884</t>
        </is>
      </c>
      <c r="B787" s="5" t="inlineStr">
        <is>
          <t>Female</t>
        </is>
      </c>
      <c r="C787" s="6" t="inlineStr">
        <is>
          <t>33</t>
        </is>
      </c>
      <c r="D787" s="5" t="inlineStr">
        <is>
          <t>Single</t>
        </is>
      </c>
      <c r="E787" s="5" t="inlineStr">
        <is>
          <t>Diploma</t>
        </is>
      </c>
      <c r="F787" s="5" t="inlineStr">
        <is>
          <t>Operations</t>
        </is>
      </c>
      <c r="G787" s="5" t="inlineStr">
        <is>
          <t>Logistics Coordinator</t>
        </is>
      </c>
      <c r="H787" s="5" t="inlineStr">
        <is>
          <t>2</t>
        </is>
      </c>
      <c r="I787" s="5" t="inlineStr">
        <is>
          <t>Bengaluru</t>
        </is>
      </c>
      <c r="J787" s="5" t="inlineStr">
        <is>
          <t>Full-Time</t>
        </is>
      </c>
      <c r="K787" s="7" t="n">
        <v>45307</v>
      </c>
      <c r="L787" s="7" t="inlineStr"/>
      <c r="M787" s="5" t="inlineStr">
        <is>
          <t>Yes</t>
        </is>
      </c>
      <c r="N787" s="5" t="inlineStr"/>
      <c r="O787" s="8" t="inlineStr">
        <is>
          <t>83000</t>
        </is>
      </c>
      <c r="P787" s="5" t="inlineStr">
        <is>
          <t>5</t>
        </is>
      </c>
      <c r="Q787" s="5" t="inlineStr">
        <is>
          <t>5</t>
        </is>
      </c>
      <c r="R787" s="5" t="inlineStr">
        <is>
          <t>4</t>
        </is>
      </c>
      <c r="S787" s="5" t="inlineStr">
        <is>
          <t>23</t>
        </is>
      </c>
      <c r="T787" s="5" t="inlineStr">
        <is>
          <t>1</t>
        </is>
      </c>
      <c r="U787" s="5" t="inlineStr">
        <is>
          <t>OK</t>
        </is>
      </c>
    </row>
    <row r="788">
      <c r="A788" s="5" t="inlineStr">
        <is>
          <t>E00716</t>
        </is>
      </c>
      <c r="B788" s="5" t="inlineStr">
        <is>
          <t>Male</t>
        </is>
      </c>
      <c r="C788" s="6" t="inlineStr">
        <is>
          <t>26</t>
        </is>
      </c>
      <c r="D788" s="5" t="inlineStr">
        <is>
          <t>Single</t>
        </is>
      </c>
      <c r="E788" s="5" t="inlineStr">
        <is>
          <t>High School</t>
        </is>
      </c>
      <c r="F788" s="5" t="inlineStr">
        <is>
          <t>Marketing</t>
        </is>
      </c>
      <c r="G788" s="5" t="inlineStr">
        <is>
          <t>Content Writer</t>
        </is>
      </c>
      <c r="H788" s="5" t="inlineStr">
        <is>
          <t>1</t>
        </is>
      </c>
      <c r="I788" s="5" t="inlineStr">
        <is>
          <t>Bengaluru</t>
        </is>
      </c>
      <c r="J788" s="5" t="inlineStr">
        <is>
          <t>Full-Time</t>
        </is>
      </c>
      <c r="K788" s="7" t="n">
        <v>44068</v>
      </c>
      <c r="L788" s="7" t="inlineStr"/>
      <c r="M788" s="5" t="inlineStr">
        <is>
          <t>Yes</t>
        </is>
      </c>
      <c r="N788" s="5" t="inlineStr"/>
      <c r="O788" s="8" t="inlineStr">
        <is>
          <t>59500</t>
        </is>
      </c>
      <c r="P788" s="5" t="inlineStr">
        <is>
          <t>10</t>
        </is>
      </c>
      <c r="Q788" s="5" t="inlineStr">
        <is>
          <t>4</t>
        </is>
      </c>
      <c r="R788" s="5" t="inlineStr">
        <is>
          <t>4</t>
        </is>
      </c>
      <c r="S788" s="5" t="inlineStr">
        <is>
          <t>65</t>
        </is>
      </c>
      <c r="T788" s="5" t="inlineStr">
        <is>
          <t>0</t>
        </is>
      </c>
      <c r="U788" s="5" t="inlineStr">
        <is>
          <t>OK</t>
        </is>
      </c>
    </row>
    <row r="789">
      <c r="A789" s="5" t="inlineStr">
        <is>
          <t>E00144</t>
        </is>
      </c>
      <c r="B789" s="5" t="inlineStr">
        <is>
          <t>Male</t>
        </is>
      </c>
      <c r="C789" s="6" t="inlineStr">
        <is>
          <t>31</t>
        </is>
      </c>
      <c r="D789" s="5" t="inlineStr">
        <is>
          <t>Married</t>
        </is>
      </c>
      <c r="E789" s="5" t="inlineStr">
        <is>
          <t>Master</t>
        </is>
      </c>
      <c r="F789" s="5" t="inlineStr">
        <is>
          <t>Human Resources</t>
        </is>
      </c>
      <c r="G789" s="5" t="inlineStr">
        <is>
          <t>Recruiter</t>
        </is>
      </c>
      <c r="H789" s="5" t="inlineStr">
        <is>
          <t>5</t>
        </is>
      </c>
      <c r="I789" s="5" t="inlineStr">
        <is>
          <t>Chennai</t>
        </is>
      </c>
      <c r="J789" s="5" t="inlineStr">
        <is>
          <t>Contract</t>
        </is>
      </c>
      <c r="K789" s="7" t="n">
        <v>45211</v>
      </c>
      <c r="L789" s="7" t="inlineStr"/>
      <c r="M789" s="5" t="inlineStr">
        <is>
          <t>Yes</t>
        </is>
      </c>
      <c r="N789" s="5" t="inlineStr"/>
      <c r="O789" s="8" t="inlineStr">
        <is>
          <t>130000</t>
        </is>
      </c>
      <c r="P789" s="5" t="inlineStr">
        <is>
          <t>10</t>
        </is>
      </c>
      <c r="Q789" s="5" t="inlineStr">
        <is>
          <t>5</t>
        </is>
      </c>
      <c r="R789" s="5" t="inlineStr">
        <is>
          <t>4</t>
        </is>
      </c>
      <c r="S789" s="5" t="inlineStr">
        <is>
          <t>27</t>
        </is>
      </c>
      <c r="T789" s="5" t="inlineStr">
        <is>
          <t>0</t>
        </is>
      </c>
      <c r="U789" s="5" t="inlineStr">
        <is>
          <t>OK</t>
        </is>
      </c>
    </row>
    <row r="790">
      <c r="A790" s="5" t="inlineStr">
        <is>
          <t>E02585</t>
        </is>
      </c>
      <c r="B790" s="5" t="inlineStr">
        <is>
          <t>male</t>
        </is>
      </c>
      <c r="C790" s="6" t="inlineStr">
        <is>
          <t>35</t>
        </is>
      </c>
      <c r="D790" s="5" t="inlineStr">
        <is>
          <t>Single</t>
        </is>
      </c>
      <c r="E790" s="5" t="inlineStr">
        <is>
          <t>Bachelor</t>
        </is>
      </c>
      <c r="F790" s="5" t="inlineStr">
        <is>
          <t>Customer Support</t>
        </is>
      </c>
      <c r="G790" s="5" t="inlineStr">
        <is>
          <t>Support Agent</t>
        </is>
      </c>
      <c r="H790" s="5" t="inlineStr">
        <is>
          <t>2</t>
        </is>
      </c>
      <c r="I790" s="5" t="inlineStr">
        <is>
          <t>Chennai</t>
        </is>
      </c>
      <c r="J790" s="5" t="inlineStr">
        <is>
          <t>Full-Time</t>
        </is>
      </c>
      <c r="K790" s="7" t="n">
        <v>44922</v>
      </c>
      <c r="L790" s="7" t="inlineStr"/>
      <c r="M790" s="5" t="inlineStr">
        <is>
          <t>Yes</t>
        </is>
      </c>
      <c r="N790" s="5" t="inlineStr"/>
      <c r="O790" s="8" t="inlineStr">
        <is>
          <t>61000</t>
        </is>
      </c>
      <c r="P790" s="5" t="inlineStr">
        <is>
          <t>0</t>
        </is>
      </c>
      <c r="Q790" s="5" t="inlineStr">
        <is>
          <t>4</t>
        </is>
      </c>
      <c r="R790" s="5" t="inlineStr">
        <is>
          <t>7</t>
        </is>
      </c>
      <c r="S790" s="5" t="inlineStr">
        <is>
          <t>36</t>
        </is>
      </c>
      <c r="T790" s="5" t="inlineStr">
        <is>
          <t>0</t>
        </is>
      </c>
      <c r="U790" s="5" t="inlineStr">
        <is>
          <t>OK</t>
        </is>
      </c>
    </row>
    <row r="791">
      <c r="A791" s="5" t="inlineStr">
        <is>
          <t>E01913</t>
        </is>
      </c>
      <c r="B791" s="5" t="inlineStr">
        <is>
          <t>Male</t>
        </is>
      </c>
      <c r="C791" s="6" t="inlineStr">
        <is>
          <t>31</t>
        </is>
      </c>
      <c r="D791" s="5" t="inlineStr">
        <is>
          <t>Married</t>
        </is>
      </c>
      <c r="E791" s="5" t="inlineStr">
        <is>
          <t>Bachelor</t>
        </is>
      </c>
      <c r="F791" s="5" t="inlineStr">
        <is>
          <t>Sales</t>
        </is>
      </c>
      <c r="G791" s="5" t="inlineStr">
        <is>
          <t>Business Development</t>
        </is>
      </c>
      <c r="H791" s="5" t="inlineStr">
        <is>
          <t>3</t>
        </is>
      </c>
      <c r="I791" s="5" t="inlineStr">
        <is>
          <t>Mumbai</t>
        </is>
      </c>
      <c r="J791" s="5" t="inlineStr">
        <is>
          <t>Full-Time</t>
        </is>
      </c>
      <c r="K791" s="7" t="n">
        <v>44995</v>
      </c>
      <c r="L791" s="7" t="inlineStr"/>
      <c r="M791" s="5" t="inlineStr">
        <is>
          <t>Yes</t>
        </is>
      </c>
      <c r="N791" s="5" t="inlineStr"/>
      <c r="O791" s="8" t="inlineStr">
        <is>
          <t>93500</t>
        </is>
      </c>
      <c r="P791" s="5" t="inlineStr">
        <is>
          <t>0</t>
        </is>
      </c>
      <c r="Q791" s="5" t="inlineStr">
        <is>
          <t>3</t>
        </is>
      </c>
      <c r="R791" s="5" t="inlineStr">
        <is>
          <t>7</t>
        </is>
      </c>
      <c r="S791" s="5" t="inlineStr">
        <is>
          <t>34</t>
        </is>
      </c>
      <c r="T791" s="5" t="inlineStr">
        <is>
          <t>9</t>
        </is>
      </c>
      <c r="U791" s="5" t="inlineStr">
        <is>
          <t>OK</t>
        </is>
      </c>
    </row>
    <row r="792">
      <c r="A792" s="5" t="inlineStr">
        <is>
          <t>E00234</t>
        </is>
      </c>
      <c r="B792" s="5" t="inlineStr">
        <is>
          <t>Female</t>
        </is>
      </c>
      <c r="C792" s="6" t="inlineStr">
        <is>
          <t>30</t>
        </is>
      </c>
      <c r="D792" s="5" t="inlineStr">
        <is>
          <t>Married</t>
        </is>
      </c>
      <c r="E792" s="5" t="inlineStr">
        <is>
          <t>Master</t>
        </is>
      </c>
      <c r="F792" s="5" t="inlineStr">
        <is>
          <t>IT</t>
        </is>
      </c>
      <c r="G792" s="5" t="inlineStr">
        <is>
          <t>IT Support</t>
        </is>
      </c>
      <c r="H792" s="5" t="inlineStr">
        <is>
          <t>1</t>
        </is>
      </c>
      <c r="I792" s="5" t="inlineStr">
        <is>
          <t>Mumbai</t>
        </is>
      </c>
      <c r="J792" s="5" t="inlineStr">
        <is>
          <t>Part-Time</t>
        </is>
      </c>
      <c r="K792" s="7" t="n">
        <v>45418</v>
      </c>
      <c r="L792" s="7" t="n">
        <v>45541</v>
      </c>
      <c r="M792" s="5" t="inlineStr">
        <is>
          <t>No</t>
        </is>
      </c>
      <c r="N792" s="5" t="inlineStr">
        <is>
          <t>Resigned</t>
        </is>
      </c>
      <c r="O792" s="8" t="inlineStr">
        <is>
          <t>142500</t>
        </is>
      </c>
      <c r="P792" s="5" t="inlineStr">
        <is>
          <t>10</t>
        </is>
      </c>
      <c r="Q792" s="5" t="inlineStr">
        <is>
          <t>5</t>
        </is>
      </c>
      <c r="R792" s="5" t="inlineStr">
        <is>
          <t>6</t>
        </is>
      </c>
      <c r="S792" s="5" t="inlineStr">
        <is>
          <t>4</t>
        </is>
      </c>
      <c r="T792" s="5" t="inlineStr">
        <is>
          <t>7</t>
        </is>
      </c>
      <c r="U792" s="5" t="inlineStr">
        <is>
          <t>OK</t>
        </is>
      </c>
    </row>
    <row r="793">
      <c r="A793" s="5" t="inlineStr">
        <is>
          <t>E02952</t>
        </is>
      </c>
      <c r="B793" s="5" t="inlineStr">
        <is>
          <t>Male</t>
        </is>
      </c>
      <c r="C793" s="6" t="inlineStr">
        <is>
          <t>29</t>
        </is>
      </c>
      <c r="D793" s="5" t="inlineStr">
        <is>
          <t>Married</t>
        </is>
      </c>
      <c r="E793" s="5" t="inlineStr">
        <is>
          <t>Diploma</t>
        </is>
      </c>
      <c r="F793" s="5" t="inlineStr">
        <is>
          <t>IT</t>
        </is>
      </c>
      <c r="G793" s="5" t="inlineStr">
        <is>
          <t>Software Engineer</t>
        </is>
      </c>
      <c r="H793" s="5" t="inlineStr">
        <is>
          <t>3</t>
        </is>
      </c>
      <c r="I793" s="5" t="inlineStr">
        <is>
          <t>Mumbai</t>
        </is>
      </c>
      <c r="J793" s="5" t="inlineStr">
        <is>
          <t>Full-Time</t>
        </is>
      </c>
      <c r="K793" s="7" t="n">
        <v>43941</v>
      </c>
      <c r="L793" s="7" t="n">
        <v>44011</v>
      </c>
      <c r="M793" s="5" t="inlineStr">
        <is>
          <t>No</t>
        </is>
      </c>
      <c r="N793" s="5" t="inlineStr">
        <is>
          <t>Retirement</t>
        </is>
      </c>
      <c r="O793" s="8" t="inlineStr">
        <is>
          <t>163000</t>
        </is>
      </c>
      <c r="P793" s="5" t="inlineStr">
        <is>
          <t>5</t>
        </is>
      </c>
      <c r="Q793" s="5" t="inlineStr">
        <is>
          <t>4</t>
        </is>
      </c>
      <c r="R793" s="5" t="inlineStr">
        <is>
          <t>4</t>
        </is>
      </c>
      <c r="S793" s="5" t="inlineStr">
        <is>
          <t>2</t>
        </is>
      </c>
      <c r="T793" s="5" t="inlineStr">
        <is>
          <t>7</t>
        </is>
      </c>
      <c r="U793" s="5" t="inlineStr">
        <is>
          <t>OK</t>
        </is>
      </c>
    </row>
    <row r="794">
      <c r="A794" s="5" t="inlineStr">
        <is>
          <t>E02502</t>
        </is>
      </c>
      <c r="B794" s="5" t="inlineStr">
        <is>
          <t>Unknown</t>
        </is>
      </c>
      <c r="C794" s="6" t="inlineStr">
        <is>
          <t>35</t>
        </is>
      </c>
      <c r="D794" s="5" t="inlineStr">
        <is>
          <t>Single</t>
        </is>
      </c>
      <c r="E794" s="5" t="inlineStr">
        <is>
          <t>PhD</t>
        </is>
      </c>
      <c r="F794" s="5" t="inlineStr">
        <is>
          <t>Customer Support</t>
        </is>
      </c>
      <c r="G794" s="5" t="inlineStr">
        <is>
          <t>Escalation Specialist</t>
        </is>
      </c>
      <c r="H794" s="5" t="inlineStr">
        <is>
          <t>2</t>
        </is>
      </c>
      <c r="I794" s="5" t="inlineStr">
        <is>
          <t>Hyderabad</t>
        </is>
      </c>
      <c r="J794" s="5" t="inlineStr">
        <is>
          <t>Full-Time</t>
        </is>
      </c>
      <c r="K794" s="7" t="n">
        <v>45463</v>
      </c>
      <c r="L794" s="7" t="inlineStr"/>
      <c r="M794" s="5" t="inlineStr">
        <is>
          <t>Yes</t>
        </is>
      </c>
      <c r="N794" s="5" t="inlineStr"/>
      <c r="O794" s="8" t="inlineStr">
        <is>
          <t>75500</t>
        </is>
      </c>
      <c r="P794" s="5" t="inlineStr">
        <is>
          <t>5</t>
        </is>
      </c>
      <c r="Q794" s="5" t="inlineStr">
        <is>
          <t>3</t>
        </is>
      </c>
      <c r="R794" s="5" t="inlineStr">
        <is>
          <t>5</t>
        </is>
      </c>
      <c r="S794" s="5" t="inlineStr">
        <is>
          <t>18</t>
        </is>
      </c>
      <c r="T794" s="5" t="inlineStr">
        <is>
          <t>6</t>
        </is>
      </c>
      <c r="U794" s="5" t="inlineStr">
        <is>
          <t>Bad gender</t>
        </is>
      </c>
    </row>
    <row r="795">
      <c r="A795" s="5" t="inlineStr">
        <is>
          <t>E00686</t>
        </is>
      </c>
      <c r="B795" s="5" t="inlineStr">
        <is>
          <t>Male</t>
        </is>
      </c>
      <c r="C795" s="6" t="inlineStr">
        <is>
          <t>39</t>
        </is>
      </c>
      <c r="D795" s="5" t="inlineStr">
        <is>
          <t>Married</t>
        </is>
      </c>
      <c r="E795" s="5" t="inlineStr">
        <is>
          <t>Diploma</t>
        </is>
      </c>
      <c r="F795" s="5" t="inlineStr">
        <is>
          <t>Human Resources</t>
        </is>
      </c>
      <c r="G795" s="5" t="inlineStr">
        <is>
          <t>Recruiter</t>
        </is>
      </c>
      <c r="H795" s="5" t="inlineStr">
        <is>
          <t>4</t>
        </is>
      </c>
      <c r="I795" s="5" t="inlineStr">
        <is>
          <t>Delhi</t>
        </is>
      </c>
      <c r="J795" s="5" t="inlineStr">
        <is>
          <t>Full-Time</t>
        </is>
      </c>
      <c r="K795" s="7" t="n">
        <v>44950</v>
      </c>
      <c r="L795" s="7" t="inlineStr"/>
      <c r="M795" s="5" t="inlineStr">
        <is>
          <t>Yes</t>
        </is>
      </c>
      <c r="N795" s="5" t="inlineStr"/>
      <c r="O795" s="8" t="inlineStr">
        <is>
          <t>131000</t>
        </is>
      </c>
      <c r="P795" s="5" t="inlineStr">
        <is>
          <t>5</t>
        </is>
      </c>
      <c r="Q795" s="5" t="inlineStr">
        <is>
          <t>4</t>
        </is>
      </c>
      <c r="R795" s="5" t="inlineStr">
        <is>
          <t>5</t>
        </is>
      </c>
      <c r="S795" s="5" t="inlineStr">
        <is>
          <t>35</t>
        </is>
      </c>
      <c r="T795" s="5" t="inlineStr">
        <is>
          <t>9</t>
        </is>
      </c>
      <c r="U795" s="5" t="inlineStr">
        <is>
          <t>OK</t>
        </is>
      </c>
    </row>
    <row r="796">
      <c r="A796" s="5" t="inlineStr">
        <is>
          <t>E01880</t>
        </is>
      </c>
      <c r="B796" s="5" t="inlineStr">
        <is>
          <t>Male</t>
        </is>
      </c>
      <c r="C796" s="6" t="inlineStr">
        <is>
          <t>31</t>
        </is>
      </c>
      <c r="D796" s="5" t="inlineStr">
        <is>
          <t>Single</t>
        </is>
      </c>
      <c r="E796" s="5" t="inlineStr">
        <is>
          <t>High School</t>
        </is>
      </c>
      <c r="F796" s="5" t="inlineStr">
        <is>
          <t>Human Resources</t>
        </is>
      </c>
      <c r="G796" s="5" t="inlineStr">
        <is>
          <t>Recruiter</t>
        </is>
      </c>
      <c r="H796" s="5" t="inlineStr">
        <is>
          <t>3</t>
        </is>
      </c>
      <c r="I796" s="5" t="inlineStr">
        <is>
          <t>Mumbai</t>
        </is>
      </c>
      <c r="J796" s="5" t="inlineStr">
        <is>
          <t>Full-Time</t>
        </is>
      </c>
      <c r="K796" s="7" t="n">
        <v>45253</v>
      </c>
      <c r="L796" s="7" t="inlineStr"/>
      <c r="M796" s="5" t="inlineStr">
        <is>
          <t>Yes</t>
        </is>
      </c>
      <c r="N796" s="5" t="inlineStr"/>
      <c r="O796" s="8" t="inlineStr">
        <is>
          <t>71000</t>
        </is>
      </c>
      <c r="P796" s="5" t="inlineStr">
        <is>
          <t>10</t>
        </is>
      </c>
      <c r="Q796" s="5" t="inlineStr">
        <is>
          <t>4</t>
        </is>
      </c>
      <c r="R796" s="5" t="inlineStr">
        <is>
          <t>4</t>
        </is>
      </c>
      <c r="S796" s="5" t="inlineStr">
        <is>
          <t>25</t>
        </is>
      </c>
      <c r="T796" s="5" t="inlineStr">
        <is>
          <t>2</t>
        </is>
      </c>
      <c r="U796" s="5" t="inlineStr">
        <is>
          <t>OK</t>
        </is>
      </c>
    </row>
    <row r="797">
      <c r="A797" s="5" t="inlineStr">
        <is>
          <t>E02034</t>
        </is>
      </c>
      <c r="B797" s="5" t="inlineStr">
        <is>
          <t>Male</t>
        </is>
      </c>
      <c r="C797" s="6" t="inlineStr">
        <is>
          <t>36</t>
        </is>
      </c>
      <c r="D797" s="5" t="inlineStr">
        <is>
          <t>Married</t>
        </is>
      </c>
      <c r="E797" s="5" t="inlineStr">
        <is>
          <t>Master</t>
        </is>
      </c>
      <c r="F797" s="5" t="inlineStr">
        <is>
          <t>Marketing</t>
        </is>
      </c>
      <c r="G797" s="5" t="inlineStr">
        <is>
          <t>Content Writer</t>
        </is>
      </c>
      <c r="H797" s="5" t="inlineStr">
        <is>
          <t>2</t>
        </is>
      </c>
      <c r="I797" s="5" t="inlineStr">
        <is>
          <t>Delhi</t>
        </is>
      </c>
      <c r="J797" s="5" t="inlineStr">
        <is>
          <t>Full-Time</t>
        </is>
      </c>
      <c r="K797" s="7" t="n">
        <v>45251</v>
      </c>
      <c r="L797" s="7" t="inlineStr"/>
      <c r="M797" s="5" t="inlineStr">
        <is>
          <t>Yes</t>
        </is>
      </c>
      <c r="N797" s="5" t="inlineStr"/>
      <c r="O797" s="8" t="inlineStr">
        <is>
          <t>71000</t>
        </is>
      </c>
      <c r="P797" s="5" t="inlineStr">
        <is>
          <t>15</t>
        </is>
      </c>
      <c r="Q797" s="5" t="inlineStr">
        <is>
          <t>3</t>
        </is>
      </c>
      <c r="R797" s="5" t="inlineStr">
        <is>
          <t>7</t>
        </is>
      </c>
      <c r="S797" s="5" t="inlineStr">
        <is>
          <t>25</t>
        </is>
      </c>
      <c r="T797" s="5" t="inlineStr">
        <is>
          <t>0</t>
        </is>
      </c>
      <c r="U797" s="5" t="inlineStr">
        <is>
          <t>OK</t>
        </is>
      </c>
    </row>
    <row r="798">
      <c r="A798" s="5" t="inlineStr">
        <is>
          <t>E02561</t>
        </is>
      </c>
      <c r="B798" s="5" t="inlineStr">
        <is>
          <t>Male</t>
        </is>
      </c>
      <c r="C798" s="6" t="inlineStr">
        <is>
          <t>31</t>
        </is>
      </c>
      <c r="D798" s="5" t="inlineStr">
        <is>
          <t>Married</t>
        </is>
      </c>
      <c r="E798" s="5" t="inlineStr">
        <is>
          <t>Master</t>
        </is>
      </c>
      <c r="F798" s="5" t="inlineStr">
        <is>
          <t>Sales</t>
        </is>
      </c>
      <c r="G798" s="5" t="inlineStr">
        <is>
          <t>Business Development</t>
        </is>
      </c>
      <c r="H798" s="5" t="inlineStr">
        <is>
          <t>1</t>
        </is>
      </c>
      <c r="I798" s="5" t="inlineStr">
        <is>
          <t>Remote</t>
        </is>
      </c>
      <c r="J798" s="5" t="inlineStr">
        <is>
          <t>Full-Time</t>
        </is>
      </c>
      <c r="K798" s="7" t="n">
        <v>44371</v>
      </c>
      <c r="L798" s="7" t="inlineStr"/>
      <c r="M798" s="5" t="inlineStr">
        <is>
          <t>Yes</t>
        </is>
      </c>
      <c r="N798" s="5" t="inlineStr"/>
      <c r="O798" s="8" t="inlineStr"/>
      <c r="P798" s="5" t="inlineStr">
        <is>
          <t>15</t>
        </is>
      </c>
      <c r="Q798" s="5" t="inlineStr">
        <is>
          <t>3</t>
        </is>
      </c>
      <c r="R798" s="5" t="inlineStr">
        <is>
          <t>8</t>
        </is>
      </c>
      <c r="S798" s="5" t="inlineStr">
        <is>
          <t>55</t>
        </is>
      </c>
      <c r="T798" s="5" t="inlineStr">
        <is>
          <t>2</t>
        </is>
      </c>
      <c r="U798" s="5" t="inlineStr">
        <is>
          <t>Blank salary</t>
        </is>
      </c>
    </row>
    <row r="799">
      <c r="A799" s="5" t="inlineStr">
        <is>
          <t>E01391</t>
        </is>
      </c>
      <c r="B799" s="5" t="inlineStr">
        <is>
          <t>Male</t>
        </is>
      </c>
      <c r="C799" s="6" t="inlineStr">
        <is>
          <t>27</t>
        </is>
      </c>
      <c r="D799" s="5" t="inlineStr">
        <is>
          <t>Married</t>
        </is>
      </c>
      <c r="E799" s="5" t="inlineStr">
        <is>
          <t>PhD</t>
        </is>
      </c>
      <c r="F799" s="5" t="inlineStr">
        <is>
          <t>Operations</t>
        </is>
      </c>
      <c r="G799" s="5" t="inlineStr">
        <is>
          <t>Quality Analyst</t>
        </is>
      </c>
      <c r="H799" s="5" t="inlineStr">
        <is>
          <t>1</t>
        </is>
      </c>
      <c r="I799" s="5" t="inlineStr">
        <is>
          <t>Remote</t>
        </is>
      </c>
      <c r="J799" s="5" t="inlineStr">
        <is>
          <t>Full-Time</t>
        </is>
      </c>
      <c r="K799" s="7" t="n">
        <v>44240</v>
      </c>
      <c r="L799" s="7" t="n">
        <v>44348</v>
      </c>
      <c r="M799" s="5" t="inlineStr">
        <is>
          <t>No</t>
        </is>
      </c>
      <c r="N799" s="5" t="inlineStr">
        <is>
          <t>Layoff</t>
        </is>
      </c>
      <c r="O799" s="8" t="inlineStr">
        <is>
          <t>74000</t>
        </is>
      </c>
      <c r="P799" s="5" t="inlineStr">
        <is>
          <t>0</t>
        </is>
      </c>
      <c r="Q799" s="5" t="inlineStr">
        <is>
          <t>4</t>
        </is>
      </c>
      <c r="R799" s="5" t="inlineStr">
        <is>
          <t>6</t>
        </is>
      </c>
      <c r="S799" s="5" t="inlineStr">
        <is>
          <t>3</t>
        </is>
      </c>
      <c r="T799" s="5" t="inlineStr">
        <is>
          <t>4</t>
        </is>
      </c>
      <c r="U799" s="5" t="inlineStr">
        <is>
          <t>OK</t>
        </is>
      </c>
    </row>
    <row r="800">
      <c r="A800" s="5" t="inlineStr">
        <is>
          <t>E01949</t>
        </is>
      </c>
      <c r="B800" s="5" t="inlineStr">
        <is>
          <t>Female</t>
        </is>
      </c>
      <c r="C800" s="6" t="inlineStr">
        <is>
          <t>29</t>
        </is>
      </c>
      <c r="D800" s="5" t="inlineStr">
        <is>
          <t>Married</t>
        </is>
      </c>
      <c r="E800" s="5" t="inlineStr">
        <is>
          <t>PhD</t>
        </is>
      </c>
      <c r="F800" s="5" t="inlineStr">
        <is>
          <t>Finance</t>
        </is>
      </c>
      <c r="G800" s="5" t="inlineStr">
        <is>
          <t>Accountant</t>
        </is>
      </c>
      <c r="H800" s="5" t="inlineStr">
        <is>
          <t>3</t>
        </is>
      </c>
      <c r="I800" s="5" t="inlineStr">
        <is>
          <t>Chennai</t>
        </is>
      </c>
      <c r="J800" s="5" t="inlineStr">
        <is>
          <t>Full-Time</t>
        </is>
      </c>
      <c r="K800" s="7" t="n">
        <v>44307</v>
      </c>
      <c r="L800" s="7" t="inlineStr"/>
      <c r="M800" s="5" t="inlineStr">
        <is>
          <t>Yes</t>
        </is>
      </c>
      <c r="N800" s="5" t="inlineStr"/>
      <c r="O800" s="8" t="inlineStr">
        <is>
          <t>121000</t>
        </is>
      </c>
      <c r="P800" s="5" t="inlineStr">
        <is>
          <t>5</t>
        </is>
      </c>
      <c r="Q800" s="5" t="inlineStr">
        <is>
          <t>3</t>
        </is>
      </c>
      <c r="R800" s="5" t="inlineStr">
        <is>
          <t>6</t>
        </is>
      </c>
      <c r="S800" s="5" t="inlineStr">
        <is>
          <t>57</t>
        </is>
      </c>
      <c r="T800" s="5" t="inlineStr">
        <is>
          <t>8</t>
        </is>
      </c>
      <c r="U800" s="5" t="inlineStr">
        <is>
          <t>OK</t>
        </is>
      </c>
    </row>
    <row r="801">
      <c r="A801" s="5" t="inlineStr">
        <is>
          <t>E02172</t>
        </is>
      </c>
      <c r="B801" s="5" t="inlineStr">
        <is>
          <t>Male</t>
        </is>
      </c>
      <c r="C801" s="6" t="inlineStr">
        <is>
          <t>40</t>
        </is>
      </c>
      <c r="D801" s="5" t="inlineStr">
        <is>
          <t>Married</t>
        </is>
      </c>
      <c r="E801" s="5" t="inlineStr">
        <is>
          <t>High School</t>
        </is>
      </c>
      <c r="F801" s="5" t="inlineStr">
        <is>
          <t>Customer Support</t>
        </is>
      </c>
      <c r="G801" s="5" t="inlineStr">
        <is>
          <t>Escalation Specialist</t>
        </is>
      </c>
      <c r="H801" s="5" t="inlineStr">
        <is>
          <t>4</t>
        </is>
      </c>
      <c r="I801" s="5" t="inlineStr">
        <is>
          <t>Bengaluru</t>
        </is>
      </c>
      <c r="J801" s="5" t="inlineStr">
        <is>
          <t>Full-Time</t>
        </is>
      </c>
      <c r="K801" s="7" t="n">
        <v>45748</v>
      </c>
      <c r="L801" s="7" t="inlineStr"/>
      <c r="M801" s="5" t="inlineStr">
        <is>
          <t>Yes</t>
        </is>
      </c>
      <c r="N801" s="5" t="inlineStr"/>
      <c r="O801" s="8" t="inlineStr">
        <is>
          <t>78500</t>
        </is>
      </c>
      <c r="P801" s="5" t="inlineStr">
        <is>
          <t>10</t>
        </is>
      </c>
      <c r="Q801" s="5" t="inlineStr">
        <is>
          <t>5</t>
        </is>
      </c>
      <c r="R801" s="5" t="inlineStr">
        <is>
          <t>2</t>
        </is>
      </c>
      <c r="S801" s="5" t="inlineStr">
        <is>
          <t>9</t>
        </is>
      </c>
      <c r="T801" s="5" t="inlineStr">
        <is>
          <t>8</t>
        </is>
      </c>
      <c r="U801" s="5" t="inlineStr">
        <is>
          <t>OK</t>
        </is>
      </c>
    </row>
    <row r="802">
      <c r="A802" s="5" t="inlineStr">
        <is>
          <t>E02687</t>
        </is>
      </c>
      <c r="B802" s="5" t="inlineStr">
        <is>
          <t>Male</t>
        </is>
      </c>
      <c r="C802" s="6" t="inlineStr">
        <is>
          <t>34</t>
        </is>
      </c>
      <c r="D802" s="5" t="inlineStr">
        <is>
          <t>Married</t>
        </is>
      </c>
      <c r="E802" s="5" t="inlineStr">
        <is>
          <t>Bachelor</t>
        </is>
      </c>
      <c r="F802" s="5" t="inlineStr">
        <is>
          <t>Operations</t>
        </is>
      </c>
      <c r="G802" s="5" t="inlineStr">
        <is>
          <t>Logistics Coordinator</t>
        </is>
      </c>
      <c r="H802" s="5" t="inlineStr">
        <is>
          <t>4</t>
        </is>
      </c>
      <c r="I802" s="5" t="inlineStr">
        <is>
          <t>Remote</t>
        </is>
      </c>
      <c r="J802" s="5" t="inlineStr">
        <is>
          <t>Full-Time</t>
        </is>
      </c>
      <c r="K802" s="7" t="n">
        <v>45842</v>
      </c>
      <c r="L802" s="7" t="n">
        <v>45913</v>
      </c>
      <c r="M802" s="5" t="inlineStr">
        <is>
          <t>No</t>
        </is>
      </c>
      <c r="N802" s="5" t="inlineStr">
        <is>
          <t>Performance / Termination</t>
        </is>
      </c>
      <c r="O802" s="8" t="inlineStr">
        <is>
          <t>119500</t>
        </is>
      </c>
      <c r="P802" s="5" t="inlineStr">
        <is>
          <t>5</t>
        </is>
      </c>
      <c r="Q802" s="5" t="inlineStr">
        <is>
          <t>2</t>
        </is>
      </c>
      <c r="R802" s="5" t="inlineStr">
        <is>
          <t>8</t>
        </is>
      </c>
      <c r="S802" s="5" t="inlineStr">
        <is>
          <t>2</t>
        </is>
      </c>
      <c r="T802" s="5" t="inlineStr">
        <is>
          <t>6</t>
        </is>
      </c>
      <c r="U802" s="5" t="inlineStr">
        <is>
          <t>OK</t>
        </is>
      </c>
    </row>
    <row r="803">
      <c r="A803" s="5" t="inlineStr">
        <is>
          <t>E00799</t>
        </is>
      </c>
      <c r="B803" s="5" t="inlineStr">
        <is>
          <t>Female</t>
        </is>
      </c>
      <c r="C803" s="6" t="inlineStr">
        <is>
          <t>38</t>
        </is>
      </c>
      <c r="D803" s="5" t="inlineStr">
        <is>
          <t>Married</t>
        </is>
      </c>
      <c r="E803" s="5" t="inlineStr">
        <is>
          <t>Master</t>
        </is>
      </c>
      <c r="F803" s="5" t="inlineStr">
        <is>
          <t>Operations</t>
        </is>
      </c>
      <c r="G803" s="5" t="inlineStr">
        <is>
          <t>Operations Analyst</t>
        </is>
      </c>
      <c r="H803" s="5" t="inlineStr">
        <is>
          <t>3</t>
        </is>
      </c>
      <c r="I803" s="5" t="inlineStr">
        <is>
          <t>Chennai</t>
        </is>
      </c>
      <c r="J803" s="5" t="inlineStr">
        <is>
          <t>Full-Time</t>
        </is>
      </c>
      <c r="K803" s="7" t="n">
        <v>45808</v>
      </c>
      <c r="L803" s="7" t="inlineStr"/>
      <c r="M803" s="5" t="inlineStr">
        <is>
          <t>Yes</t>
        </is>
      </c>
      <c r="N803" s="5" t="inlineStr"/>
      <c r="O803" s="8" t="inlineStr">
        <is>
          <t>126500</t>
        </is>
      </c>
      <c r="P803" s="5" t="inlineStr">
        <is>
          <t>10</t>
        </is>
      </c>
      <c r="Q803" s="5" t="inlineStr">
        <is>
          <t>5</t>
        </is>
      </c>
      <c r="R803" s="5" t="inlineStr">
        <is>
          <t>9</t>
        </is>
      </c>
      <c r="S803" s="5" t="inlineStr">
        <is>
          <t>7</t>
        </is>
      </c>
      <c r="T803" s="5" t="inlineStr">
        <is>
          <t>0</t>
        </is>
      </c>
      <c r="U803" s="5" t="inlineStr">
        <is>
          <t>OK</t>
        </is>
      </c>
    </row>
    <row r="804">
      <c r="A804" s="5" t="inlineStr">
        <is>
          <t>E01923</t>
        </is>
      </c>
      <c r="B804" s="5" t="inlineStr">
        <is>
          <t>Female</t>
        </is>
      </c>
      <c r="C804" s="6" t="inlineStr">
        <is>
          <t>25</t>
        </is>
      </c>
      <c r="D804" s="5" t="inlineStr">
        <is>
          <t>Single</t>
        </is>
      </c>
      <c r="E804" s="5" t="inlineStr">
        <is>
          <t>Master</t>
        </is>
      </c>
      <c r="F804" s="5" t="inlineStr">
        <is>
          <t>Operations</t>
        </is>
      </c>
      <c r="G804" s="5" t="inlineStr">
        <is>
          <t>Operations Analyst</t>
        </is>
      </c>
      <c r="H804" s="5" t="inlineStr">
        <is>
          <t>2</t>
        </is>
      </c>
      <c r="I804" s="5" t="inlineStr">
        <is>
          <t>Bengaluru</t>
        </is>
      </c>
      <c r="J804" s="5" t="inlineStr">
        <is>
          <t>Full-Time</t>
        </is>
      </c>
      <c r="K804" s="7" t="n">
        <v>45762</v>
      </c>
      <c r="L804" s="7" t="n">
        <v>45870</v>
      </c>
      <c r="M804" s="5" t="inlineStr">
        <is>
          <t>No</t>
        </is>
      </c>
      <c r="N804" s="5" t="inlineStr">
        <is>
          <t>Resigned</t>
        </is>
      </c>
      <c r="O804" s="8" t="inlineStr">
        <is>
          <t>105500</t>
        </is>
      </c>
      <c r="P804" s="5" t="inlineStr">
        <is>
          <t>0</t>
        </is>
      </c>
      <c r="Q804" s="5" t="inlineStr">
        <is>
          <t>4</t>
        </is>
      </c>
      <c r="R804" s="5" t="inlineStr">
        <is>
          <t>5</t>
        </is>
      </c>
      <c r="S804" s="5" t="inlineStr">
        <is>
          <t>3</t>
        </is>
      </c>
      <c r="T804" s="5" t="inlineStr">
        <is>
          <t>9</t>
        </is>
      </c>
      <c r="U804" s="5" t="inlineStr">
        <is>
          <t>OK</t>
        </is>
      </c>
    </row>
    <row r="805">
      <c r="A805" s="5" t="inlineStr">
        <is>
          <t>E02663</t>
        </is>
      </c>
      <c r="B805" s="5" t="inlineStr">
        <is>
          <t>Male</t>
        </is>
      </c>
      <c r="C805" s="6" t="inlineStr">
        <is>
          <t>25</t>
        </is>
      </c>
      <c r="D805" s="5" t="inlineStr">
        <is>
          <t>Married</t>
        </is>
      </c>
      <c r="E805" s="5" t="inlineStr">
        <is>
          <t>Bachelor</t>
        </is>
      </c>
      <c r="F805" s="5" t="inlineStr">
        <is>
          <t>Executive</t>
        </is>
      </c>
      <c r="G805" s="5" t="inlineStr">
        <is>
          <t>CEO</t>
        </is>
      </c>
      <c r="H805" s="5" t="inlineStr">
        <is>
          <t>2</t>
        </is>
      </c>
      <c r="I805" s="5" t="inlineStr">
        <is>
          <t>Delhi</t>
        </is>
      </c>
      <c r="J805" s="5" t="inlineStr">
        <is>
          <t>Full-Time</t>
        </is>
      </c>
      <c r="K805" s="7" t="n">
        <v>44452</v>
      </c>
      <c r="L805" s="7" t="inlineStr"/>
      <c r="M805" s="5" t="inlineStr">
        <is>
          <t>Yes</t>
        </is>
      </c>
      <c r="N805" s="5" t="inlineStr"/>
      <c r="O805" s="8" t="inlineStr">
        <is>
          <t>186000</t>
        </is>
      </c>
      <c r="P805" s="5" t="inlineStr">
        <is>
          <t>15</t>
        </is>
      </c>
      <c r="Q805" s="5" t="inlineStr">
        <is>
          <t>4</t>
        </is>
      </c>
      <c r="R805" s="5" t="inlineStr">
        <is>
          <t>4</t>
        </is>
      </c>
      <c r="S805" s="5" t="inlineStr">
        <is>
          <t>52</t>
        </is>
      </c>
      <c r="T805" s="5" t="inlineStr">
        <is>
          <t>16</t>
        </is>
      </c>
      <c r="U805" s="5" t="inlineStr">
        <is>
          <t>OK</t>
        </is>
      </c>
    </row>
    <row r="806">
      <c r="A806" s="5" t="inlineStr">
        <is>
          <t>E00991</t>
        </is>
      </c>
      <c r="B806" s="5" t="inlineStr">
        <is>
          <t>Female</t>
        </is>
      </c>
      <c r="C806" s="6" t="inlineStr">
        <is>
          <t>36</t>
        </is>
      </c>
      <c r="D806" s="5" t="inlineStr">
        <is>
          <t>Married</t>
        </is>
      </c>
      <c r="E806" s="5" t="inlineStr">
        <is>
          <t>PhD</t>
        </is>
      </c>
      <c r="F806" s="5" t="inlineStr">
        <is>
          <t>IT</t>
        </is>
      </c>
      <c r="G806" s="5" t="inlineStr">
        <is>
          <t>Software Engineer</t>
        </is>
      </c>
      <c r="H806" s="5" t="inlineStr">
        <is>
          <t>3</t>
        </is>
      </c>
      <c r="I806" s="5" t="inlineStr">
        <is>
          <t>Hyderabad</t>
        </is>
      </c>
      <c r="J806" s="5" t="inlineStr">
        <is>
          <t>Full-Time</t>
        </is>
      </c>
      <c r="K806" s="7" t="n">
        <v>44630</v>
      </c>
      <c r="L806" s="7" t="inlineStr"/>
      <c r="M806" s="5" t="inlineStr">
        <is>
          <t>Yes</t>
        </is>
      </c>
      <c r="N806" s="5" t="inlineStr"/>
      <c r="O806" s="8" t="inlineStr">
        <is>
          <t>175500</t>
        </is>
      </c>
      <c r="P806" s="5" t="inlineStr">
        <is>
          <t>5</t>
        </is>
      </c>
      <c r="Q806" s="5" t="inlineStr">
        <is>
          <t>5</t>
        </is>
      </c>
      <c r="R806" s="5" t="inlineStr">
        <is>
          <t>7</t>
        </is>
      </c>
      <c r="S806" s="5" t="inlineStr">
        <is>
          <t>46</t>
        </is>
      </c>
      <c r="T806" s="5" t="inlineStr">
        <is>
          <t>8</t>
        </is>
      </c>
      <c r="U806" s="5" t="inlineStr">
        <is>
          <t>OK</t>
        </is>
      </c>
    </row>
    <row r="807">
      <c r="A807" s="5" t="inlineStr">
        <is>
          <t>E01940</t>
        </is>
      </c>
      <c r="B807" s="5" t="inlineStr">
        <is>
          <t>Female</t>
        </is>
      </c>
      <c r="C807" s="6" t="inlineStr">
        <is>
          <t>42</t>
        </is>
      </c>
      <c r="D807" s="5" t="inlineStr">
        <is>
          <t>Married</t>
        </is>
      </c>
      <c r="E807" s="5" t="inlineStr">
        <is>
          <t>Master</t>
        </is>
      </c>
      <c r="F807" s="5" t="inlineStr">
        <is>
          <t>Customer Support</t>
        </is>
      </c>
      <c r="G807" s="5" t="inlineStr">
        <is>
          <t>Support Lead</t>
        </is>
      </c>
      <c r="H807" s="5" t="inlineStr">
        <is>
          <t>7</t>
        </is>
      </c>
      <c r="I807" s="5" t="inlineStr">
        <is>
          <t>Bengaluru</t>
        </is>
      </c>
      <c r="J807" s="5" t="inlineStr">
        <is>
          <t>Full-Time</t>
        </is>
      </c>
      <c r="K807" s="7" t="n">
        <v>45412</v>
      </c>
      <c r="L807" s="7" t="inlineStr"/>
      <c r="M807" s="5" t="inlineStr">
        <is>
          <t>Yes</t>
        </is>
      </c>
      <c r="N807" s="5" t="inlineStr"/>
      <c r="O807" s="8" t="inlineStr">
        <is>
          <t>130500</t>
        </is>
      </c>
      <c r="P807" s="5" t="inlineStr">
        <is>
          <t>0</t>
        </is>
      </c>
      <c r="Q807" s="5" t="inlineStr">
        <is>
          <t>2</t>
        </is>
      </c>
      <c r="R807" s="5" t="inlineStr">
        <is>
          <t>7</t>
        </is>
      </c>
      <c r="S807" s="5" t="inlineStr">
        <is>
          <t>20</t>
        </is>
      </c>
      <c r="T807" s="5" t="inlineStr">
        <is>
          <t>2</t>
        </is>
      </c>
      <c r="U807" s="5" t="inlineStr">
        <is>
          <t>OK</t>
        </is>
      </c>
    </row>
    <row r="808">
      <c r="A808" s="5" t="inlineStr">
        <is>
          <t>E02202</t>
        </is>
      </c>
      <c r="B808" s="5" t="inlineStr">
        <is>
          <t>Male</t>
        </is>
      </c>
      <c r="C808" s="6" t="inlineStr">
        <is>
          <t>36</t>
        </is>
      </c>
      <c r="D808" s="5" t="inlineStr">
        <is>
          <t>Married</t>
        </is>
      </c>
      <c r="E808" s="5" t="inlineStr">
        <is>
          <t>PhD</t>
        </is>
      </c>
      <c r="F808" s="5" t="inlineStr">
        <is>
          <t>Customer Support</t>
        </is>
      </c>
      <c r="G808" s="5" t="inlineStr">
        <is>
          <t>Support Agent</t>
        </is>
      </c>
      <c r="H808" s="5" t="inlineStr">
        <is>
          <t>3</t>
        </is>
      </c>
      <c r="I808" s="5" t="inlineStr">
        <is>
          <t>Bengaluru</t>
        </is>
      </c>
      <c r="J808" s="5" t="inlineStr">
        <is>
          <t>Full-Time</t>
        </is>
      </c>
      <c r="K808" s="7" t="n">
        <v>44807</v>
      </c>
      <c r="L808" s="7" t="n">
        <v>44860</v>
      </c>
      <c r="M808" s="5" t="inlineStr">
        <is>
          <t>No</t>
        </is>
      </c>
      <c r="N808" s="5" t="inlineStr">
        <is>
          <t>Performance / Termination</t>
        </is>
      </c>
      <c r="O808" s="8" t="inlineStr">
        <is>
          <t>54500</t>
        </is>
      </c>
      <c r="P808" s="5" t="inlineStr">
        <is>
          <t>10</t>
        </is>
      </c>
      <c r="Q808" s="5" t="inlineStr">
        <is>
          <t>4</t>
        </is>
      </c>
      <c r="R808" s="5" t="inlineStr">
        <is>
          <t>5</t>
        </is>
      </c>
      <c r="S808" s="5" t="inlineStr">
        <is>
          <t>1</t>
        </is>
      </c>
      <c r="T808" s="5" t="inlineStr">
        <is>
          <t>0</t>
        </is>
      </c>
      <c r="U808" s="5" t="inlineStr">
        <is>
          <t>OK</t>
        </is>
      </c>
    </row>
    <row r="809">
      <c r="A809" s="5" t="inlineStr">
        <is>
          <t>E00529</t>
        </is>
      </c>
      <c r="B809" s="5" t="inlineStr">
        <is>
          <t>Female</t>
        </is>
      </c>
      <c r="C809" s="6" t="inlineStr">
        <is>
          <t>27</t>
        </is>
      </c>
      <c r="D809" s="5" t="inlineStr">
        <is>
          <t>Married</t>
        </is>
      </c>
      <c r="E809" s="5" t="inlineStr">
        <is>
          <t>Bachelor</t>
        </is>
      </c>
      <c r="F809" s="5" t="inlineStr">
        <is>
          <t>Customer Support</t>
        </is>
      </c>
      <c r="G809" s="5" t="inlineStr">
        <is>
          <t>Support Agent</t>
        </is>
      </c>
      <c r="H809" s="5" t="inlineStr">
        <is>
          <t>2</t>
        </is>
      </c>
      <c r="I809" s="5" t="inlineStr">
        <is>
          <t>Remote</t>
        </is>
      </c>
      <c r="J809" s="5" t="inlineStr">
        <is>
          <t>Part-Time</t>
        </is>
      </c>
      <c r="K809" s="7" t="n">
        <v>43975</v>
      </c>
      <c r="L809" s="7" t="n">
        <v>44104</v>
      </c>
      <c r="M809" s="5" t="inlineStr">
        <is>
          <t>No</t>
        </is>
      </c>
      <c r="N809" s="5" t="inlineStr">
        <is>
          <t>Retirement</t>
        </is>
      </c>
      <c r="O809" s="8" t="inlineStr">
        <is>
          <t>83000</t>
        </is>
      </c>
      <c r="P809" s="5" t="inlineStr">
        <is>
          <t>0</t>
        </is>
      </c>
      <c r="Q809" s="5" t="inlineStr">
        <is>
          <t>3</t>
        </is>
      </c>
      <c r="R809" s="5" t="inlineStr">
        <is>
          <t>4</t>
        </is>
      </c>
      <c r="S809" s="5" t="inlineStr">
        <is>
          <t>4</t>
        </is>
      </c>
      <c r="T809" s="5" t="inlineStr">
        <is>
          <t>6</t>
        </is>
      </c>
      <c r="U809" s="5" t="inlineStr">
        <is>
          <t>OK</t>
        </is>
      </c>
    </row>
    <row r="810">
      <c r="A810" s="5" t="inlineStr">
        <is>
          <t>E02374</t>
        </is>
      </c>
      <c r="B810" s="5" t="inlineStr">
        <is>
          <t>Male</t>
        </is>
      </c>
      <c r="C810" s="6" t="inlineStr">
        <is>
          <t>30</t>
        </is>
      </c>
      <c r="D810" s="5" t="inlineStr">
        <is>
          <t>Married</t>
        </is>
      </c>
      <c r="E810" s="5" t="inlineStr">
        <is>
          <t>Diploma</t>
        </is>
      </c>
      <c r="F810" s="5" t="inlineStr">
        <is>
          <t>Finance</t>
        </is>
      </c>
      <c r="G810" s="5" t="inlineStr">
        <is>
          <t>Accountant</t>
        </is>
      </c>
      <c r="H810" s="5" t="inlineStr">
        <is>
          <t>2</t>
        </is>
      </c>
      <c r="I810" s="5" t="inlineStr">
        <is>
          <t>Delhi</t>
        </is>
      </c>
      <c r="J810" s="5" t="inlineStr">
        <is>
          <t>Full-Time</t>
        </is>
      </c>
      <c r="K810" s="7" t="n">
        <v>44716</v>
      </c>
      <c r="L810" s="7" t="inlineStr"/>
      <c r="M810" s="5" t="inlineStr">
        <is>
          <t>Yes</t>
        </is>
      </c>
      <c r="N810" s="5" t="inlineStr"/>
      <c r="O810" s="8" t="inlineStr">
        <is>
          <t>126500</t>
        </is>
      </c>
      <c r="P810" s="5" t="inlineStr">
        <is>
          <t>0</t>
        </is>
      </c>
      <c r="Q810" s="5" t="inlineStr">
        <is>
          <t>3</t>
        </is>
      </c>
      <c r="R810" s="5" t="inlineStr">
        <is>
          <t>7</t>
        </is>
      </c>
      <c r="S810" s="5" t="inlineStr">
        <is>
          <t>43</t>
        </is>
      </c>
      <c r="T810" s="5" t="inlineStr">
        <is>
          <t>4</t>
        </is>
      </c>
      <c r="U810" s="5" t="inlineStr">
        <is>
          <t>OK</t>
        </is>
      </c>
    </row>
    <row r="811">
      <c r="A811" s="5" t="inlineStr">
        <is>
          <t>E01580</t>
        </is>
      </c>
      <c r="B811" s="5" t="inlineStr">
        <is>
          <t>Female</t>
        </is>
      </c>
      <c r="C811" s="6" t="inlineStr">
        <is>
          <t>26</t>
        </is>
      </c>
      <c r="D811" s="5" t="inlineStr">
        <is>
          <t>Single</t>
        </is>
      </c>
      <c r="E811" s="5" t="inlineStr">
        <is>
          <t>PhD</t>
        </is>
      </c>
      <c r="F811" s="5" t="inlineStr">
        <is>
          <t>Finance</t>
        </is>
      </c>
      <c r="G811" s="5" t="inlineStr">
        <is>
          <t>Accountant</t>
        </is>
      </c>
      <c r="H811" s="5" t="inlineStr">
        <is>
          <t>1</t>
        </is>
      </c>
      <c r="I811" s="5" t="inlineStr">
        <is>
          <t>Remote</t>
        </is>
      </c>
      <c r="J811" s="5" t="inlineStr">
        <is>
          <t>Full-Time</t>
        </is>
      </c>
      <c r="K811" s="7" t="n">
        <v>44957</v>
      </c>
      <c r="L811" s="7" t="inlineStr"/>
      <c r="M811" s="5" t="inlineStr">
        <is>
          <t>Yes</t>
        </is>
      </c>
      <c r="N811" s="5" t="inlineStr"/>
      <c r="O811" s="8" t="inlineStr">
        <is>
          <t>74500</t>
        </is>
      </c>
      <c r="P811" s="5" t="inlineStr">
        <is>
          <t>0</t>
        </is>
      </c>
      <c r="Q811" s="5" t="inlineStr">
        <is>
          <t>3</t>
        </is>
      </c>
      <c r="R811" s="5" t="inlineStr">
        <is>
          <t>6</t>
        </is>
      </c>
      <c r="S811" s="5" t="inlineStr">
        <is>
          <t>35</t>
        </is>
      </c>
      <c r="T811" s="5" t="inlineStr">
        <is>
          <t>2</t>
        </is>
      </c>
      <c r="U811" s="5" t="inlineStr">
        <is>
          <t>OK</t>
        </is>
      </c>
    </row>
    <row r="812">
      <c r="A812" s="5" t="inlineStr">
        <is>
          <t>E02313</t>
        </is>
      </c>
      <c r="B812" s="5" t="inlineStr">
        <is>
          <t>Female</t>
        </is>
      </c>
      <c r="C812" s="6" t="inlineStr">
        <is>
          <t>30</t>
        </is>
      </c>
      <c r="D812" s="5" t="inlineStr">
        <is>
          <t>Married</t>
        </is>
      </c>
      <c r="E812" s="5" t="inlineStr">
        <is>
          <t>Master</t>
        </is>
      </c>
      <c r="F812" s="5" t="inlineStr">
        <is>
          <t>Customer Support</t>
        </is>
      </c>
      <c r="G812" s="5" t="inlineStr">
        <is>
          <t>Support Agent</t>
        </is>
      </c>
      <c r="H812" s="5" t="inlineStr">
        <is>
          <t>4</t>
        </is>
      </c>
      <c r="I812" s="5" t="inlineStr">
        <is>
          <t>Chennai</t>
        </is>
      </c>
      <c r="J812" s="5" t="inlineStr">
        <is>
          <t>Full-Time</t>
        </is>
      </c>
      <c r="K812" s="7" t="n">
        <v>43859</v>
      </c>
      <c r="L812" s="7" t="inlineStr"/>
      <c r="M812" s="5" t="inlineStr">
        <is>
          <t>Yes</t>
        </is>
      </c>
      <c r="N812" s="5" t="inlineStr"/>
      <c r="O812" s="8" t="inlineStr">
        <is>
          <t>63000</t>
        </is>
      </c>
      <c r="P812" s="5" t="inlineStr">
        <is>
          <t>0</t>
        </is>
      </c>
      <c r="Q812" s="5" t="inlineStr">
        <is>
          <t>1</t>
        </is>
      </c>
      <c r="R812" s="5" t="inlineStr">
        <is>
          <t>6</t>
        </is>
      </c>
      <c r="S812" s="5" t="inlineStr">
        <is>
          <t>72</t>
        </is>
      </c>
      <c r="T812" s="5" t="inlineStr">
        <is>
          <t>0</t>
        </is>
      </c>
      <c r="U812" s="5" t="inlineStr">
        <is>
          <t>OK</t>
        </is>
      </c>
    </row>
    <row r="813">
      <c r="A813" s="5" t="inlineStr">
        <is>
          <t>E02613</t>
        </is>
      </c>
      <c r="B813" s="5" t="inlineStr">
        <is>
          <t>Male</t>
        </is>
      </c>
      <c r="C813" s="6" t="inlineStr">
        <is>
          <t>29</t>
        </is>
      </c>
      <c r="D813" s="5" t="inlineStr">
        <is>
          <t>Married</t>
        </is>
      </c>
      <c r="E813" s="5" t="inlineStr">
        <is>
          <t>Master</t>
        </is>
      </c>
      <c r="F813" s="5" t="inlineStr">
        <is>
          <t>IT</t>
        </is>
      </c>
      <c r="G813" s="5" t="inlineStr">
        <is>
          <t>IT Support</t>
        </is>
      </c>
      <c r="H813" s="5" t="inlineStr">
        <is>
          <t>2</t>
        </is>
      </c>
      <c r="I813" s="5" t="inlineStr">
        <is>
          <t>Bengaluru</t>
        </is>
      </c>
      <c r="J813" s="5" t="inlineStr">
        <is>
          <t>Full-Time</t>
        </is>
      </c>
      <c r="K813" s="7" t="n">
        <v>44528</v>
      </c>
      <c r="L813" s="7" t="inlineStr"/>
      <c r="M813" s="5" t="inlineStr">
        <is>
          <t>Yes</t>
        </is>
      </c>
      <c r="N813" s="5" t="inlineStr"/>
      <c r="O813" s="8" t="inlineStr">
        <is>
          <t>96500</t>
        </is>
      </c>
      <c r="P813" s="5" t="inlineStr">
        <is>
          <t>10</t>
        </is>
      </c>
      <c r="Q813" s="5" t="inlineStr">
        <is>
          <t>3</t>
        </is>
      </c>
      <c r="R813" s="5" t="inlineStr">
        <is>
          <t>7</t>
        </is>
      </c>
      <c r="S813" s="5" t="inlineStr">
        <is>
          <t>49</t>
        </is>
      </c>
      <c r="T813" s="5" t="inlineStr">
        <is>
          <t>2</t>
        </is>
      </c>
      <c r="U813" s="5" t="inlineStr">
        <is>
          <t>OK</t>
        </is>
      </c>
    </row>
    <row r="814">
      <c r="A814" s="5" t="inlineStr">
        <is>
          <t>E01249</t>
        </is>
      </c>
      <c r="B814" s="5" t="inlineStr">
        <is>
          <t>Female</t>
        </is>
      </c>
      <c r="C814" s="6" t="inlineStr">
        <is>
          <t>25</t>
        </is>
      </c>
      <c r="D814" s="5" t="inlineStr">
        <is>
          <t>Married</t>
        </is>
      </c>
      <c r="E814" s="5" t="inlineStr">
        <is>
          <t>Bachelor</t>
        </is>
      </c>
      <c r="F814" s="5" t="inlineStr">
        <is>
          <t>Operations</t>
        </is>
      </c>
      <c r="G814" s="5" t="inlineStr">
        <is>
          <t>Quality Analyst</t>
        </is>
      </c>
      <c r="H814" s="5" t="inlineStr">
        <is>
          <t>2</t>
        </is>
      </c>
      <c r="I814" s="5" t="inlineStr">
        <is>
          <t>Delhi</t>
        </is>
      </c>
      <c r="J814" s="5" t="inlineStr">
        <is>
          <t>Full-Time</t>
        </is>
      </c>
      <c r="K814" s="7" t="n">
        <v>44217</v>
      </c>
      <c r="L814" s="7" t="inlineStr"/>
      <c r="M814" s="5" t="inlineStr">
        <is>
          <t>Yes</t>
        </is>
      </c>
      <c r="N814" s="5" t="inlineStr"/>
      <c r="O814" s="8" t="inlineStr">
        <is>
          <t>106000</t>
        </is>
      </c>
      <c r="P814" s="5" t="inlineStr">
        <is>
          <t>10</t>
        </is>
      </c>
      <c r="Q814" s="5" t="inlineStr">
        <is>
          <t>3</t>
        </is>
      </c>
      <c r="R814" s="5" t="inlineStr">
        <is>
          <t>8</t>
        </is>
      </c>
      <c r="S814" s="5" t="inlineStr">
        <is>
          <t>60</t>
        </is>
      </c>
      <c r="T814" s="5" t="inlineStr">
        <is>
          <t>5</t>
        </is>
      </c>
      <c r="U814" s="5" t="inlineStr">
        <is>
          <t>OK</t>
        </is>
      </c>
    </row>
    <row r="815">
      <c r="A815" s="5" t="inlineStr">
        <is>
          <t>E00804</t>
        </is>
      </c>
      <c r="B815" s="5" t="inlineStr">
        <is>
          <t>Male</t>
        </is>
      </c>
      <c r="C815" s="6" t="inlineStr">
        <is>
          <t>30</t>
        </is>
      </c>
      <c r="D815" s="5" t="inlineStr">
        <is>
          <t>Single</t>
        </is>
      </c>
      <c r="E815" s="5" t="inlineStr">
        <is>
          <t>Master</t>
        </is>
      </c>
      <c r="F815" s="5" t="inlineStr">
        <is>
          <t>Operations</t>
        </is>
      </c>
      <c r="G815" s="5" t="inlineStr">
        <is>
          <t>Operations Analyst</t>
        </is>
      </c>
      <c r="H815" s="5" t="inlineStr">
        <is>
          <t>2</t>
        </is>
      </c>
      <c r="I815" s="5" t="inlineStr">
        <is>
          <t>Delhi</t>
        </is>
      </c>
      <c r="J815" s="5" t="inlineStr">
        <is>
          <t>Full-Time</t>
        </is>
      </c>
      <c r="K815" s="7" t="n">
        <v>44014</v>
      </c>
      <c r="L815" s="7" t="inlineStr"/>
      <c r="M815" s="5" t="inlineStr">
        <is>
          <t>Yes</t>
        </is>
      </c>
      <c r="N815" s="5" t="inlineStr"/>
      <c r="O815" s="8" t="inlineStr">
        <is>
          <t>71000</t>
        </is>
      </c>
      <c r="P815" s="5" t="inlineStr">
        <is>
          <t>0</t>
        </is>
      </c>
      <c r="Q815" s="5" t="inlineStr">
        <is>
          <t>3</t>
        </is>
      </c>
      <c r="R815" s="5" t="inlineStr">
        <is>
          <t>6</t>
        </is>
      </c>
      <c r="S815" s="5" t="inlineStr">
        <is>
          <t>66</t>
        </is>
      </c>
      <c r="T815" s="5" t="inlineStr">
        <is>
          <t>7</t>
        </is>
      </c>
      <c r="U815" s="5" t="inlineStr">
        <is>
          <t>OK</t>
        </is>
      </c>
    </row>
    <row r="816">
      <c r="A816" s="5" t="inlineStr">
        <is>
          <t>E00695</t>
        </is>
      </c>
      <c r="B816" s="5" t="inlineStr">
        <is>
          <t>Female</t>
        </is>
      </c>
      <c r="C816" s="6" t="inlineStr">
        <is>
          <t>31</t>
        </is>
      </c>
      <c r="D816" s="5" t="inlineStr">
        <is>
          <t>Single</t>
        </is>
      </c>
      <c r="E816" s="5" t="inlineStr">
        <is>
          <t>High School</t>
        </is>
      </c>
      <c r="F816" s="5" t="inlineStr">
        <is>
          <t>Customer Support</t>
        </is>
      </c>
      <c r="G816" s="5" t="inlineStr">
        <is>
          <t>Support Lead</t>
        </is>
      </c>
      <c r="H816" s="5" t="inlineStr">
        <is>
          <t>3</t>
        </is>
      </c>
      <c r="I816" s="5" t="inlineStr">
        <is>
          <t>Hyderabad</t>
        </is>
      </c>
      <c r="J816" s="5" t="inlineStr">
        <is>
          <t>Full-Time</t>
        </is>
      </c>
      <c r="K816" s="7" t="n">
        <v>45124</v>
      </c>
      <c r="L816" s="7" t="inlineStr"/>
      <c r="M816" s="5" t="inlineStr">
        <is>
          <t>Yes</t>
        </is>
      </c>
      <c r="N816" s="5" t="inlineStr"/>
      <c r="O816" s="8" t="inlineStr">
        <is>
          <t>75500</t>
        </is>
      </c>
      <c r="P816" s="5" t="inlineStr">
        <is>
          <t>10</t>
        </is>
      </c>
      <c r="Q816" s="5" t="inlineStr">
        <is>
          <t>4</t>
        </is>
      </c>
      <c r="R816" s="5" t="inlineStr">
        <is>
          <t>4</t>
        </is>
      </c>
      <c r="S816" s="5" t="inlineStr">
        <is>
          <t>29</t>
        </is>
      </c>
      <c r="T816" s="5" t="inlineStr">
        <is>
          <t>5</t>
        </is>
      </c>
      <c r="U816" s="5" t="inlineStr">
        <is>
          <t>OK</t>
        </is>
      </c>
    </row>
    <row r="817">
      <c r="A817" s="5" t="inlineStr">
        <is>
          <t>E01582</t>
        </is>
      </c>
      <c r="B817" s="5" t="inlineStr">
        <is>
          <t>Male</t>
        </is>
      </c>
      <c r="C817" s="6" t="inlineStr">
        <is>
          <t>24</t>
        </is>
      </c>
      <c r="D817" s="5" t="inlineStr">
        <is>
          <t>Married</t>
        </is>
      </c>
      <c r="E817" s="5" t="inlineStr">
        <is>
          <t>High School</t>
        </is>
      </c>
      <c r="F817" s="5" t="inlineStr">
        <is>
          <t>Sales</t>
        </is>
      </c>
      <c r="G817" s="5" t="inlineStr">
        <is>
          <t>Account Executive</t>
        </is>
      </c>
      <c r="H817" s="5" t="inlineStr">
        <is>
          <t>1</t>
        </is>
      </c>
      <c r="I817" s="5" t="inlineStr">
        <is>
          <t>Mumbai</t>
        </is>
      </c>
      <c r="J817" s="5" t="inlineStr">
        <is>
          <t>Full-Time</t>
        </is>
      </c>
      <c r="K817" s="7" t="n">
        <v>45233</v>
      </c>
      <c r="L817" s="7" t="n">
        <v>45357</v>
      </c>
      <c r="M817" s="5" t="inlineStr">
        <is>
          <t>No</t>
        </is>
      </c>
      <c r="N817" s="5" t="inlineStr">
        <is>
          <t>Resigned</t>
        </is>
      </c>
      <c r="O817" s="8" t="inlineStr">
        <is>
          <t>81500</t>
        </is>
      </c>
      <c r="P817" s="5" t="inlineStr">
        <is>
          <t>5</t>
        </is>
      </c>
      <c r="Q817" s="5" t="inlineStr">
        <is>
          <t>1</t>
        </is>
      </c>
      <c r="R817" s="5" t="inlineStr">
        <is>
          <t>7</t>
        </is>
      </c>
      <c r="S817" s="5" t="inlineStr">
        <is>
          <t>4</t>
        </is>
      </c>
      <c r="T817" s="5" t="inlineStr">
        <is>
          <t>0</t>
        </is>
      </c>
      <c r="U817" s="5" t="inlineStr">
        <is>
          <t>OK</t>
        </is>
      </c>
    </row>
    <row r="818">
      <c r="A818" s="5" t="inlineStr">
        <is>
          <t>E00569</t>
        </is>
      </c>
      <c r="B818" s="5" t="inlineStr">
        <is>
          <t>Female</t>
        </is>
      </c>
      <c r="C818" s="6" t="inlineStr">
        <is>
          <t>34</t>
        </is>
      </c>
      <c r="D818" s="5" t="inlineStr">
        <is>
          <t>Divorced</t>
        </is>
      </c>
      <c r="E818" s="5" t="inlineStr">
        <is>
          <t>PhD</t>
        </is>
      </c>
      <c r="F818" s="5" t="inlineStr">
        <is>
          <t>IT</t>
        </is>
      </c>
      <c r="G818" s="5" t="inlineStr">
        <is>
          <t>Software Engineer</t>
        </is>
      </c>
      <c r="H818" s="5" t="inlineStr">
        <is>
          <t>2</t>
        </is>
      </c>
      <c r="I818" s="5" t="inlineStr">
        <is>
          <t>Chennai</t>
        </is>
      </c>
      <c r="J818" s="5" t="inlineStr">
        <is>
          <t>Full-Time</t>
        </is>
      </c>
      <c r="K818" s="7" t="n">
        <v>45720</v>
      </c>
      <c r="L818" s="7" t="inlineStr"/>
      <c r="M818" s="5" t="inlineStr">
        <is>
          <t>Yes</t>
        </is>
      </c>
      <c r="N818" s="5" t="inlineStr"/>
      <c r="O818" s="8" t="inlineStr">
        <is>
          <t>97500</t>
        </is>
      </c>
      <c r="P818" s="5" t="inlineStr">
        <is>
          <t>10</t>
        </is>
      </c>
      <c r="Q818" s="5" t="inlineStr">
        <is>
          <t>5</t>
        </is>
      </c>
      <c r="R818" s="5" t="inlineStr">
        <is>
          <t>8</t>
        </is>
      </c>
      <c r="S818" s="5" t="inlineStr">
        <is>
          <t>10</t>
        </is>
      </c>
      <c r="T818" s="5" t="inlineStr">
        <is>
          <t>0</t>
        </is>
      </c>
      <c r="U818" s="5" t="inlineStr">
        <is>
          <t>OK</t>
        </is>
      </c>
    </row>
    <row r="819">
      <c r="A819" s="5" t="inlineStr">
        <is>
          <t>E00615</t>
        </is>
      </c>
      <c r="B819" s="5" t="inlineStr">
        <is>
          <t>Female</t>
        </is>
      </c>
      <c r="C819" s="6" t="inlineStr">
        <is>
          <t>38</t>
        </is>
      </c>
      <c r="D819" s="5" t="inlineStr">
        <is>
          <t>Divorced</t>
        </is>
      </c>
      <c r="E819" s="5" t="inlineStr">
        <is>
          <t>Diploma</t>
        </is>
      </c>
      <c r="F819" s="5" t="inlineStr">
        <is>
          <t>Marketing</t>
        </is>
      </c>
      <c r="G819" s="5" t="inlineStr">
        <is>
          <t>Content Writer</t>
        </is>
      </c>
      <c r="H819" s="5" t="inlineStr">
        <is>
          <t>3</t>
        </is>
      </c>
      <c r="I819" s="5" t="inlineStr">
        <is>
          <t>Chennai</t>
        </is>
      </c>
      <c r="J819" s="5" t="inlineStr">
        <is>
          <t>Full-Time</t>
        </is>
      </c>
      <c r="K819" s="7" t="n">
        <v>45695</v>
      </c>
      <c r="L819" s="7" t="inlineStr"/>
      <c r="M819" s="5" t="inlineStr">
        <is>
          <t>Yes</t>
        </is>
      </c>
      <c r="N819" s="5" t="inlineStr"/>
      <c r="O819" s="8" t="inlineStr">
        <is>
          <t>115500</t>
        </is>
      </c>
      <c r="P819" s="5" t="inlineStr">
        <is>
          <t>5</t>
        </is>
      </c>
      <c r="Q819" s="5" t="inlineStr">
        <is>
          <t>4</t>
        </is>
      </c>
      <c r="R819" s="5" t="inlineStr">
        <is>
          <t>3</t>
        </is>
      </c>
      <c r="S819" s="5" t="inlineStr">
        <is>
          <t>10</t>
        </is>
      </c>
      <c r="T819" s="5" t="inlineStr">
        <is>
          <t>2</t>
        </is>
      </c>
      <c r="U819" s="5" t="inlineStr">
        <is>
          <t>OK</t>
        </is>
      </c>
    </row>
    <row r="820">
      <c r="A820" s="5" t="inlineStr">
        <is>
          <t>E02351</t>
        </is>
      </c>
      <c r="B820" s="5" t="inlineStr">
        <is>
          <t>Female</t>
        </is>
      </c>
      <c r="C820" s="6" t="inlineStr">
        <is>
          <t>34</t>
        </is>
      </c>
      <c r="D820" s="5" t="inlineStr">
        <is>
          <t>Single</t>
        </is>
      </c>
      <c r="E820" s="5" t="inlineStr">
        <is>
          <t>Master</t>
        </is>
      </c>
      <c r="F820" s="5" t="inlineStr">
        <is>
          <t>Executive</t>
        </is>
      </c>
      <c r="G820" s="5" t="inlineStr">
        <is>
          <t>COO</t>
        </is>
      </c>
      <c r="H820" s="5" t="inlineStr">
        <is>
          <t>1</t>
        </is>
      </c>
      <c r="I820" s="5" t="inlineStr">
        <is>
          <t>Delhi</t>
        </is>
      </c>
      <c r="J820" s="5" t="inlineStr">
        <is>
          <t>Full-Time</t>
        </is>
      </c>
      <c r="K820" s="7" t="n">
        <v>45594</v>
      </c>
      <c r="L820" s="7" t="inlineStr"/>
      <c r="M820" s="5" t="inlineStr">
        <is>
          <t>Yes</t>
        </is>
      </c>
      <c r="N820" s="5" t="inlineStr"/>
      <c r="O820" s="8" t="inlineStr">
        <is>
          <t>209000</t>
        </is>
      </c>
      <c r="P820" s="5" t="inlineStr">
        <is>
          <t>0</t>
        </is>
      </c>
      <c r="Q820" s="5" t="inlineStr">
        <is>
          <t>2</t>
        </is>
      </c>
      <c r="R820" s="5" t="inlineStr">
        <is>
          <t>10</t>
        </is>
      </c>
      <c r="S820" s="5" t="inlineStr">
        <is>
          <t>14</t>
        </is>
      </c>
      <c r="T820" s="5" t="inlineStr">
        <is>
          <t>6</t>
        </is>
      </c>
      <c r="U820" s="5" t="inlineStr">
        <is>
          <t>OK</t>
        </is>
      </c>
    </row>
    <row r="821">
      <c r="A821" s="5" t="inlineStr">
        <is>
          <t>E00366</t>
        </is>
      </c>
      <c r="B821" s="5" t="inlineStr">
        <is>
          <t>Female</t>
        </is>
      </c>
      <c r="C821" s="6" t="inlineStr">
        <is>
          <t>33</t>
        </is>
      </c>
      <c r="D821" s="5" t="inlineStr">
        <is>
          <t>Married</t>
        </is>
      </c>
      <c r="E821" s="5" t="inlineStr">
        <is>
          <t>PhD</t>
        </is>
      </c>
      <c r="F821" s="5" t="inlineStr">
        <is>
          <t>Finance</t>
        </is>
      </c>
      <c r="G821" s="5" t="inlineStr">
        <is>
          <t>Accountant</t>
        </is>
      </c>
      <c r="H821" s="5" t="inlineStr">
        <is>
          <t>2</t>
        </is>
      </c>
      <c r="I821" s="5" t="inlineStr">
        <is>
          <t>Bengaluru</t>
        </is>
      </c>
      <c r="J821" s="5" t="inlineStr">
        <is>
          <t>Full-Time</t>
        </is>
      </c>
      <c r="K821" s="7" t="n">
        <v>44324</v>
      </c>
      <c r="L821" s="7" t="n">
        <v>44383</v>
      </c>
      <c r="M821" s="5" t="inlineStr">
        <is>
          <t>No</t>
        </is>
      </c>
      <c r="N821" s="5" t="inlineStr">
        <is>
          <t>Resigned</t>
        </is>
      </c>
      <c r="O821" s="8" t="inlineStr">
        <is>
          <t>119000</t>
        </is>
      </c>
      <c r="P821" s="5" t="inlineStr">
        <is>
          <t>5</t>
        </is>
      </c>
      <c r="Q821" s="5" t="inlineStr">
        <is>
          <t>4</t>
        </is>
      </c>
      <c r="R821" s="5" t="inlineStr">
        <is>
          <t>6</t>
        </is>
      </c>
      <c r="S821" s="5" t="inlineStr">
        <is>
          <t>1</t>
        </is>
      </c>
      <c r="T821" s="5" t="inlineStr">
        <is>
          <t>0</t>
        </is>
      </c>
      <c r="U821" s="5" t="inlineStr">
        <is>
          <t>OK</t>
        </is>
      </c>
    </row>
    <row r="822">
      <c r="A822" s="5" t="inlineStr">
        <is>
          <t>E01706</t>
        </is>
      </c>
      <c r="B822" s="5" t="inlineStr">
        <is>
          <t>Male</t>
        </is>
      </c>
      <c r="C822" s="6" t="inlineStr">
        <is>
          <t>28</t>
        </is>
      </c>
      <c r="D822" s="5" t="inlineStr">
        <is>
          <t>Married</t>
        </is>
      </c>
      <c r="E822" s="5" t="inlineStr">
        <is>
          <t>Master</t>
        </is>
      </c>
      <c r="F822" s="5" t="inlineStr">
        <is>
          <t>Customer Support</t>
        </is>
      </c>
      <c r="G822" s="5" t="inlineStr">
        <is>
          <t>Escalation Specialist</t>
        </is>
      </c>
      <c r="H822" s="5" t="inlineStr">
        <is>
          <t>3</t>
        </is>
      </c>
      <c r="I822" s="5" t="inlineStr">
        <is>
          <t>Chennai</t>
        </is>
      </c>
      <c r="J822" s="5" t="inlineStr">
        <is>
          <t>Full-Time</t>
        </is>
      </c>
      <c r="K822" s="7" t="n">
        <v>45444</v>
      </c>
      <c r="L822" s="7" t="inlineStr"/>
      <c r="M822" s="5" t="inlineStr">
        <is>
          <t>Yes</t>
        </is>
      </c>
      <c r="N822" s="5" t="inlineStr"/>
      <c r="O822" s="8" t="inlineStr">
        <is>
          <t>73500</t>
        </is>
      </c>
      <c r="P822" s="5" t="inlineStr">
        <is>
          <t>10</t>
        </is>
      </c>
      <c r="Q822" s="5" t="inlineStr">
        <is>
          <t>2</t>
        </is>
      </c>
      <c r="R822" s="5" t="inlineStr">
        <is>
          <t>6</t>
        </is>
      </c>
      <c r="S822" s="5" t="inlineStr">
        <is>
          <t>19</t>
        </is>
      </c>
      <c r="T822" s="5" t="inlineStr">
        <is>
          <t>4</t>
        </is>
      </c>
      <c r="U822" s="5" t="inlineStr">
        <is>
          <t>OK</t>
        </is>
      </c>
    </row>
    <row r="823">
      <c r="A823" s="5" t="inlineStr">
        <is>
          <t>E02392</t>
        </is>
      </c>
      <c r="B823" s="5" t="inlineStr">
        <is>
          <t>Female</t>
        </is>
      </c>
      <c r="C823" s="6" t="inlineStr">
        <is>
          <t>31</t>
        </is>
      </c>
      <c r="D823" s="5" t="inlineStr">
        <is>
          <t>Single</t>
        </is>
      </c>
      <c r="E823" s="5" t="inlineStr">
        <is>
          <t>Bachelor</t>
        </is>
      </c>
      <c r="F823" s="5" t="inlineStr">
        <is>
          <t>Marketing</t>
        </is>
      </c>
      <c r="G823" s="5" t="inlineStr">
        <is>
          <t>SEO Specialist</t>
        </is>
      </c>
      <c r="H823" s="5" t="inlineStr">
        <is>
          <t>3</t>
        </is>
      </c>
      <c r="I823" s="5" t="inlineStr">
        <is>
          <t>Hyderabad</t>
        </is>
      </c>
      <c r="J823" s="5" t="inlineStr">
        <is>
          <t>Full-Time</t>
        </is>
      </c>
      <c r="K823" s="7" t="n">
        <v>45302</v>
      </c>
      <c r="L823" s="7" t="inlineStr"/>
      <c r="M823" s="5" t="inlineStr">
        <is>
          <t>Yes</t>
        </is>
      </c>
      <c r="N823" s="5" t="inlineStr"/>
      <c r="O823" s="8" t="inlineStr">
        <is>
          <t>110500</t>
        </is>
      </c>
      <c r="P823" s="5" t="inlineStr">
        <is>
          <t>0</t>
        </is>
      </c>
      <c r="Q823" s="5" t="inlineStr">
        <is>
          <t>3</t>
        </is>
      </c>
      <c r="R823" s="5" t="inlineStr">
        <is>
          <t>7</t>
        </is>
      </c>
      <c r="S823" s="5" t="inlineStr">
        <is>
          <t>24</t>
        </is>
      </c>
      <c r="T823" s="5" t="inlineStr">
        <is>
          <t>0</t>
        </is>
      </c>
      <c r="U823" s="5" t="inlineStr">
        <is>
          <t>OK</t>
        </is>
      </c>
    </row>
    <row r="824">
      <c r="A824" s="5" t="inlineStr">
        <is>
          <t>E02217</t>
        </is>
      </c>
      <c r="B824" s="5" t="inlineStr">
        <is>
          <t>Male</t>
        </is>
      </c>
      <c r="C824" s="6" t="inlineStr">
        <is>
          <t>35</t>
        </is>
      </c>
      <c r="D824" s="5" t="inlineStr">
        <is>
          <t>Divorced</t>
        </is>
      </c>
      <c r="E824" s="5" t="inlineStr">
        <is>
          <t>Diploma</t>
        </is>
      </c>
      <c r="F824" s="5" t="inlineStr">
        <is>
          <t>Human Resources</t>
        </is>
      </c>
      <c r="G824" s="5" t="inlineStr">
        <is>
          <t>HR Generalist</t>
        </is>
      </c>
      <c r="H824" s="5" t="inlineStr">
        <is>
          <t>3</t>
        </is>
      </c>
      <c r="I824" s="5" t="inlineStr">
        <is>
          <t>Mumbai</t>
        </is>
      </c>
      <c r="J824" s="5" t="inlineStr">
        <is>
          <t>Full-Time</t>
        </is>
      </c>
      <c r="K824" s="7" t="n">
        <v>45856</v>
      </c>
      <c r="L824" s="7" t="inlineStr"/>
      <c r="M824" s="5" t="inlineStr">
        <is>
          <t>Yes</t>
        </is>
      </c>
      <c r="N824" s="5" t="inlineStr"/>
      <c r="O824" s="8" t="inlineStr">
        <is>
          <t>88500</t>
        </is>
      </c>
      <c r="P824" s="5" t="inlineStr">
        <is>
          <t>0</t>
        </is>
      </c>
      <c r="Q824" s="5" t="inlineStr">
        <is>
          <t>5</t>
        </is>
      </c>
      <c r="R824" s="5" t="inlineStr">
        <is>
          <t>6</t>
        </is>
      </c>
      <c r="S824" s="5" t="inlineStr">
        <is>
          <t>5</t>
        </is>
      </c>
      <c r="T824" s="5" t="inlineStr">
        <is>
          <t>10</t>
        </is>
      </c>
      <c r="U824" s="5" t="inlineStr">
        <is>
          <t>OK</t>
        </is>
      </c>
    </row>
    <row r="825">
      <c r="A825" s="5" t="inlineStr">
        <is>
          <t>E01422</t>
        </is>
      </c>
      <c r="B825" s="5" t="inlineStr">
        <is>
          <t>Female</t>
        </is>
      </c>
      <c r="C825" s="6" t="inlineStr">
        <is>
          <t>37</t>
        </is>
      </c>
      <c r="D825" s="5" t="inlineStr">
        <is>
          <t>Divorced</t>
        </is>
      </c>
      <c r="E825" s="5" t="inlineStr">
        <is>
          <t>Master</t>
        </is>
      </c>
      <c r="F825" s="5" t="inlineStr">
        <is>
          <t>Customer Support</t>
        </is>
      </c>
      <c r="G825" s="5" t="inlineStr">
        <is>
          <t>Escalation Specialist</t>
        </is>
      </c>
      <c r="H825" s="5" t="inlineStr">
        <is>
          <t>5</t>
        </is>
      </c>
      <c r="I825" s="5" t="inlineStr">
        <is>
          <t>Remote</t>
        </is>
      </c>
      <c r="J825" s="5" t="inlineStr">
        <is>
          <t>Full-Time</t>
        </is>
      </c>
      <c r="K825" s="7" t="n">
        <v>44668</v>
      </c>
      <c r="L825" s="7" t="inlineStr"/>
      <c r="M825" s="5" t="inlineStr">
        <is>
          <t>Yes</t>
        </is>
      </c>
      <c r="N825" s="5" t="inlineStr"/>
      <c r="O825" s="8" t="inlineStr">
        <is>
          <t>77500</t>
        </is>
      </c>
      <c r="P825" s="5" t="inlineStr">
        <is>
          <t>0</t>
        </is>
      </c>
      <c r="Q825" s="5" t="inlineStr">
        <is>
          <t>3</t>
        </is>
      </c>
      <c r="R825" s="5" t="inlineStr">
        <is>
          <t>5</t>
        </is>
      </c>
      <c r="S825" s="5" t="inlineStr">
        <is>
          <t>45</t>
        </is>
      </c>
      <c r="T825" s="5" t="inlineStr">
        <is>
          <t>22</t>
        </is>
      </c>
      <c r="U825" s="5" t="inlineStr">
        <is>
          <t>OK</t>
        </is>
      </c>
    </row>
    <row r="826">
      <c r="A826" s="5" t="inlineStr">
        <is>
          <t>E02259</t>
        </is>
      </c>
      <c r="B826" s="5" t="inlineStr">
        <is>
          <t>Male</t>
        </is>
      </c>
      <c r="C826" s="6" t="inlineStr">
        <is>
          <t>35</t>
        </is>
      </c>
      <c r="D826" s="5" t="inlineStr">
        <is>
          <t>Married</t>
        </is>
      </c>
      <c r="E826" s="5" t="inlineStr">
        <is>
          <t>Bachelor</t>
        </is>
      </c>
      <c r="F826" s="5" t="inlineStr">
        <is>
          <t>IT</t>
        </is>
      </c>
      <c r="G826" s="5" t="inlineStr">
        <is>
          <t>DevOps Engineer</t>
        </is>
      </c>
      <c r="H826" s="5" t="inlineStr">
        <is>
          <t>2</t>
        </is>
      </c>
      <c r="I826" s="5" t="inlineStr">
        <is>
          <t>Chennai</t>
        </is>
      </c>
      <c r="J826" s="5" t="inlineStr">
        <is>
          <t>Full-Time</t>
        </is>
      </c>
      <c r="K826" s="7" t="n">
        <v>44246</v>
      </c>
      <c r="L826" s="7" t="inlineStr"/>
      <c r="M826" s="5" t="inlineStr">
        <is>
          <t>Yes</t>
        </is>
      </c>
      <c r="N826" s="5" t="inlineStr"/>
      <c r="O826" s="8" t="inlineStr">
        <is>
          <t>138500</t>
        </is>
      </c>
      <c r="P826" s="5" t="inlineStr">
        <is>
          <t>5</t>
        </is>
      </c>
      <c r="Q826" s="5" t="inlineStr">
        <is>
          <t>5</t>
        </is>
      </c>
      <c r="R826" s="5" t="inlineStr">
        <is>
          <t>6</t>
        </is>
      </c>
      <c r="S826" s="5" t="inlineStr">
        <is>
          <t>59</t>
        </is>
      </c>
      <c r="T826" s="5" t="inlineStr">
        <is>
          <t>8</t>
        </is>
      </c>
      <c r="U826" s="5" t="inlineStr">
        <is>
          <t>OK</t>
        </is>
      </c>
    </row>
    <row r="827">
      <c r="A827" s="5" t="inlineStr">
        <is>
          <t>E00400</t>
        </is>
      </c>
      <c r="B827" s="5" t="inlineStr">
        <is>
          <t>Female</t>
        </is>
      </c>
      <c r="C827" s="6" t="inlineStr">
        <is>
          <t>27</t>
        </is>
      </c>
      <c r="D827" s="5" t="inlineStr">
        <is>
          <t>Married</t>
        </is>
      </c>
      <c r="E827" s="5" t="inlineStr">
        <is>
          <t>High School</t>
        </is>
      </c>
      <c r="F827" s="5" t="inlineStr">
        <is>
          <t>Customer Support</t>
        </is>
      </c>
      <c r="G827" s="5" t="inlineStr">
        <is>
          <t>Support Lead</t>
        </is>
      </c>
      <c r="H827" s="5" t="inlineStr">
        <is>
          <t>1</t>
        </is>
      </c>
      <c r="I827" s="5" t="inlineStr">
        <is>
          <t>Bengaluru</t>
        </is>
      </c>
      <c r="J827" s="5" t="inlineStr">
        <is>
          <t>Full-Time</t>
        </is>
      </c>
      <c r="K827" s="7" t="n">
        <v>45812</v>
      </c>
      <c r="L827" s="7" t="inlineStr"/>
      <c r="M827" s="5" t="inlineStr">
        <is>
          <t>Yes</t>
        </is>
      </c>
      <c r="N827" s="5" t="inlineStr"/>
      <c r="O827" s="8" t="inlineStr">
        <is>
          <t>68500</t>
        </is>
      </c>
      <c r="P827" s="5" t="inlineStr">
        <is>
          <t>0</t>
        </is>
      </c>
      <c r="Q827" s="5" t="inlineStr">
        <is>
          <t>4</t>
        </is>
      </c>
      <c r="R827" s="5" t="inlineStr">
        <is>
          <t>7</t>
        </is>
      </c>
      <c r="S827" s="5" t="inlineStr">
        <is>
          <t>7</t>
        </is>
      </c>
      <c r="T827" s="5" t="inlineStr">
        <is>
          <t>4</t>
        </is>
      </c>
      <c r="U827" s="5" t="inlineStr">
        <is>
          <t>OK</t>
        </is>
      </c>
    </row>
    <row r="828">
      <c r="A828" s="5" t="inlineStr">
        <is>
          <t>E01493</t>
        </is>
      </c>
      <c r="B828" s="5" t="inlineStr">
        <is>
          <t>Male</t>
        </is>
      </c>
      <c r="C828" s="6" t="inlineStr">
        <is>
          <t>31</t>
        </is>
      </c>
      <c r="D828" s="5" t="inlineStr">
        <is>
          <t>Married</t>
        </is>
      </c>
      <c r="E828" s="5" t="inlineStr">
        <is>
          <t>Bachelor</t>
        </is>
      </c>
      <c r="F828" s="5" t="inlineStr">
        <is>
          <t>IT</t>
        </is>
      </c>
      <c r="G828" s="5" t="inlineStr">
        <is>
          <t>IT Support</t>
        </is>
      </c>
      <c r="H828" s="5" t="inlineStr">
        <is>
          <t>3</t>
        </is>
      </c>
      <c r="I828" s="5" t="inlineStr">
        <is>
          <t>Hyderabad</t>
        </is>
      </c>
      <c r="J828" s="5" t="inlineStr">
        <is>
          <t>Full-Time</t>
        </is>
      </c>
      <c r="K828" s="7" t="n">
        <v>44629</v>
      </c>
      <c r="L828" s="7" t="inlineStr"/>
      <c r="M828" s="5" t="inlineStr">
        <is>
          <t>Yes</t>
        </is>
      </c>
      <c r="N828" s="5" t="inlineStr"/>
      <c r="O828" s="8" t="inlineStr">
        <is>
          <t>112500</t>
        </is>
      </c>
      <c r="P828" s="5" t="inlineStr">
        <is>
          <t>0</t>
        </is>
      </c>
      <c r="Q828" s="5" t="inlineStr">
        <is>
          <t>4</t>
        </is>
      </c>
      <c r="R828" s="5" t="inlineStr">
        <is>
          <t>8</t>
        </is>
      </c>
      <c r="S828" s="5" t="inlineStr">
        <is>
          <t>46</t>
        </is>
      </c>
      <c r="T828" s="5" t="inlineStr">
        <is>
          <t>4</t>
        </is>
      </c>
      <c r="U828" s="5" t="inlineStr">
        <is>
          <t>OK</t>
        </is>
      </c>
    </row>
    <row r="829">
      <c r="A829" s="5" t="inlineStr">
        <is>
          <t>E00614</t>
        </is>
      </c>
      <c r="B829" s="5" t="inlineStr">
        <is>
          <t>Female</t>
        </is>
      </c>
      <c r="C829" s="6" t="inlineStr">
        <is>
          <t>26</t>
        </is>
      </c>
      <c r="D829" s="5" t="inlineStr">
        <is>
          <t>Married</t>
        </is>
      </c>
      <c r="E829" s="5" t="inlineStr">
        <is>
          <t>PhD</t>
        </is>
      </c>
      <c r="F829" s="5" t="inlineStr">
        <is>
          <t>Sales</t>
        </is>
      </c>
      <c r="G829" s="5" t="inlineStr">
        <is>
          <t>Account Executive</t>
        </is>
      </c>
      <c r="H829" s="5" t="inlineStr">
        <is>
          <t>1</t>
        </is>
      </c>
      <c r="I829" s="5" t="inlineStr">
        <is>
          <t>Delhi</t>
        </is>
      </c>
      <c r="J829" s="5" t="inlineStr">
        <is>
          <t>Full-Time</t>
        </is>
      </c>
      <c r="K829" s="7" t="n">
        <v>44020</v>
      </c>
      <c r="L829" s="7" t="inlineStr"/>
      <c r="M829" s="5" t="inlineStr">
        <is>
          <t>Yes</t>
        </is>
      </c>
      <c r="N829" s="5" t="inlineStr"/>
      <c r="O829" s="8" t="inlineStr">
        <is>
          <t>78000</t>
        </is>
      </c>
      <c r="P829" s="5" t="inlineStr">
        <is>
          <t>5</t>
        </is>
      </c>
      <c r="Q829" s="5" t="inlineStr">
        <is>
          <t>4</t>
        </is>
      </c>
      <c r="R829" s="5" t="inlineStr">
        <is>
          <t>6</t>
        </is>
      </c>
      <c r="S829" s="5" t="inlineStr">
        <is>
          <t>66</t>
        </is>
      </c>
      <c r="T829" s="5" t="inlineStr">
        <is>
          <t>2</t>
        </is>
      </c>
      <c r="U829" s="5" t="inlineStr">
        <is>
          <t>OK</t>
        </is>
      </c>
    </row>
    <row r="830">
      <c r="A830" s="5" t="inlineStr">
        <is>
          <t>E01484</t>
        </is>
      </c>
      <c r="B830" s="5" t="inlineStr">
        <is>
          <t>Male</t>
        </is>
      </c>
      <c r="C830" s="6" t="inlineStr">
        <is>
          <t>32</t>
        </is>
      </c>
      <c r="D830" s="5" t="inlineStr">
        <is>
          <t>Married</t>
        </is>
      </c>
      <c r="E830" s="5" t="inlineStr">
        <is>
          <t>Master</t>
        </is>
      </c>
      <c r="F830" s="5" t="inlineStr">
        <is>
          <t>Sales</t>
        </is>
      </c>
      <c r="G830" s="5" t="inlineStr">
        <is>
          <t>Account Executive</t>
        </is>
      </c>
      <c r="H830" s="5" t="inlineStr">
        <is>
          <t>4</t>
        </is>
      </c>
      <c r="I830" s="5" t="inlineStr">
        <is>
          <t>Chennai</t>
        </is>
      </c>
      <c r="J830" s="5" t="inlineStr">
        <is>
          <t>Full-Time</t>
        </is>
      </c>
      <c r="K830" s="7" t="n">
        <v>45917</v>
      </c>
      <c r="L830" s="7" t="inlineStr"/>
      <c r="M830" s="5" t="inlineStr">
        <is>
          <t>Yes</t>
        </is>
      </c>
      <c r="N830" s="5" t="inlineStr"/>
      <c r="O830" s="8" t="inlineStr">
        <is>
          <t>146500</t>
        </is>
      </c>
      <c r="P830" s="5" t="inlineStr">
        <is>
          <t>10</t>
        </is>
      </c>
      <c r="Q830" s="5" t="inlineStr">
        <is>
          <t>4</t>
        </is>
      </c>
      <c r="R830" s="5" t="inlineStr">
        <is>
          <t>8</t>
        </is>
      </c>
      <c r="S830" s="5" t="inlineStr">
        <is>
          <t>3</t>
        </is>
      </c>
      <c r="T830" s="5" t="inlineStr">
        <is>
          <t>9</t>
        </is>
      </c>
      <c r="U830" s="5" t="inlineStr">
        <is>
          <t>OK</t>
        </is>
      </c>
    </row>
    <row r="831">
      <c r="A831" s="5" t="inlineStr">
        <is>
          <t>E02269</t>
        </is>
      </c>
      <c r="B831" s="5" t="inlineStr">
        <is>
          <t>Female</t>
        </is>
      </c>
      <c r="C831" s="6" t="inlineStr">
        <is>
          <t>37</t>
        </is>
      </c>
      <c r="D831" s="5" t="inlineStr">
        <is>
          <t>Married</t>
        </is>
      </c>
      <c r="E831" s="5" t="inlineStr">
        <is>
          <t>High School</t>
        </is>
      </c>
      <c r="F831" s="5" t="inlineStr">
        <is>
          <t>Operations</t>
        </is>
      </c>
      <c r="G831" s="5" t="inlineStr">
        <is>
          <t>Operations Analyst</t>
        </is>
      </c>
      <c r="H831" s="5" t="inlineStr">
        <is>
          <t>5</t>
        </is>
      </c>
      <c r="I831" s="5" t="inlineStr">
        <is>
          <t>Remote</t>
        </is>
      </c>
      <c r="J831" s="5" t="inlineStr">
        <is>
          <t>Full-Time</t>
        </is>
      </c>
      <c r="K831" s="7" t="n">
        <v>44039</v>
      </c>
      <c r="L831" s="7" t="inlineStr"/>
      <c r="M831" s="5" t="inlineStr">
        <is>
          <t>Yes</t>
        </is>
      </c>
      <c r="N831" s="5" t="inlineStr"/>
      <c r="O831" s="8" t="inlineStr">
        <is>
          <t>124500</t>
        </is>
      </c>
      <c r="P831" s="5" t="inlineStr">
        <is>
          <t>5</t>
        </is>
      </c>
      <c r="Q831" s="5" t="inlineStr">
        <is>
          <t>3</t>
        </is>
      </c>
      <c r="R831" s="5" t="inlineStr">
        <is>
          <t>4</t>
        </is>
      </c>
      <c r="S831" s="5" t="inlineStr">
        <is>
          <t>66</t>
        </is>
      </c>
      <c r="T831" s="5" t="inlineStr">
        <is>
          <t>9</t>
        </is>
      </c>
      <c r="U831" s="5" t="inlineStr">
        <is>
          <t>OK</t>
        </is>
      </c>
    </row>
    <row r="832">
      <c r="A832" s="5" t="inlineStr">
        <is>
          <t>E00496</t>
        </is>
      </c>
      <c r="B832" s="5" t="inlineStr">
        <is>
          <t>Male</t>
        </is>
      </c>
      <c r="C832" s="6" t="inlineStr">
        <is>
          <t>26</t>
        </is>
      </c>
      <c r="D832" s="5" t="inlineStr">
        <is>
          <t>Single</t>
        </is>
      </c>
      <c r="E832" s="5" t="inlineStr">
        <is>
          <t>Bachelor</t>
        </is>
      </c>
      <c r="F832" s="5" t="inlineStr">
        <is>
          <t>Human Resources</t>
        </is>
      </c>
      <c r="G832" s="5" t="inlineStr">
        <is>
          <t>Recruiter</t>
        </is>
      </c>
      <c r="H832" s="5" t="inlineStr">
        <is>
          <t>2</t>
        </is>
      </c>
      <c r="I832" s="5" t="inlineStr">
        <is>
          <t>Mumbai</t>
        </is>
      </c>
      <c r="J832" s="5" t="inlineStr">
        <is>
          <t>Full-Time</t>
        </is>
      </c>
      <c r="K832" s="7" t="n">
        <v>43992</v>
      </c>
      <c r="L832" s="7" t="inlineStr"/>
      <c r="M832" s="5" t="inlineStr">
        <is>
          <t>Yes</t>
        </is>
      </c>
      <c r="N832" s="5" t="inlineStr"/>
      <c r="O832" s="8" t="inlineStr">
        <is>
          <t>69500</t>
        </is>
      </c>
      <c r="P832" s="5" t="inlineStr">
        <is>
          <t>0</t>
        </is>
      </c>
      <c r="Q832" s="5" t="inlineStr">
        <is>
          <t>5</t>
        </is>
      </c>
      <c r="R832" s="5" t="inlineStr">
        <is>
          <t>6</t>
        </is>
      </c>
      <c r="S832" s="5" t="inlineStr">
        <is>
          <t>67</t>
        </is>
      </c>
      <c r="T832" s="5" t="inlineStr">
        <is>
          <t>0</t>
        </is>
      </c>
      <c r="U832" s="5" t="inlineStr">
        <is>
          <t>OK</t>
        </is>
      </c>
    </row>
    <row r="833">
      <c r="A833" s="5" t="inlineStr">
        <is>
          <t>E02733</t>
        </is>
      </c>
      <c r="B833" s="5" t="inlineStr">
        <is>
          <t>male</t>
        </is>
      </c>
      <c r="C833" s="6" t="inlineStr">
        <is>
          <t>29</t>
        </is>
      </c>
      <c r="D833" s="5" t="inlineStr">
        <is>
          <t>Married</t>
        </is>
      </c>
      <c r="E833" s="5" t="inlineStr">
        <is>
          <t>Master</t>
        </is>
      </c>
      <c r="F833" s="5" t="inlineStr">
        <is>
          <t>Finance</t>
        </is>
      </c>
      <c r="G833" s="5" t="inlineStr">
        <is>
          <t>Accountant</t>
        </is>
      </c>
      <c r="H833" s="5" t="inlineStr">
        <is>
          <t>3</t>
        </is>
      </c>
      <c r="I833" s="5" t="inlineStr">
        <is>
          <t>Chennai</t>
        </is>
      </c>
      <c r="J833" s="5" t="inlineStr">
        <is>
          <t>Full-Time</t>
        </is>
      </c>
      <c r="K833" s="7" t="n">
        <v>43984</v>
      </c>
      <c r="L833" s="7" t="n">
        <v>44081</v>
      </c>
      <c r="M833" s="5" t="inlineStr">
        <is>
          <t>No</t>
        </is>
      </c>
      <c r="N833" s="5" t="inlineStr">
        <is>
          <t>Resigned</t>
        </is>
      </c>
      <c r="O833" s="8" t="inlineStr">
        <is>
          <t>98500</t>
        </is>
      </c>
      <c r="P833" s="5" t="inlineStr">
        <is>
          <t>10</t>
        </is>
      </c>
      <c r="Q833" s="5" t="inlineStr">
        <is>
          <t>4</t>
        </is>
      </c>
      <c r="R833" s="5" t="inlineStr">
        <is>
          <t>7</t>
        </is>
      </c>
      <c r="S833" s="5" t="inlineStr">
        <is>
          <t>3</t>
        </is>
      </c>
      <c r="T833" s="5" t="inlineStr">
        <is>
          <t>0</t>
        </is>
      </c>
      <c r="U833" s="5" t="inlineStr">
        <is>
          <t>OK</t>
        </is>
      </c>
    </row>
    <row r="834">
      <c r="A834" s="5" t="inlineStr">
        <is>
          <t>E01772</t>
        </is>
      </c>
      <c r="B834" s="5" t="inlineStr">
        <is>
          <t>Male</t>
        </is>
      </c>
      <c r="C834" s="6" t="inlineStr">
        <is>
          <t>32</t>
        </is>
      </c>
      <c r="D834" s="5" t="inlineStr">
        <is>
          <t>Divorced</t>
        </is>
      </c>
      <c r="E834" s="5" t="inlineStr">
        <is>
          <t>High School</t>
        </is>
      </c>
      <c r="F834" s="5" t="inlineStr">
        <is>
          <t>Operations</t>
        </is>
      </c>
      <c r="G834" s="5" t="inlineStr">
        <is>
          <t>Quality Analyst</t>
        </is>
      </c>
      <c r="H834" s="5" t="inlineStr">
        <is>
          <t>2</t>
        </is>
      </c>
      <c r="I834" s="5" t="inlineStr">
        <is>
          <t>Mumbai</t>
        </is>
      </c>
      <c r="J834" s="5" t="inlineStr">
        <is>
          <t>Full-Time</t>
        </is>
      </c>
      <c r="K834" s="7" t="n">
        <v>45728</v>
      </c>
      <c r="L834" s="7" t="inlineStr"/>
      <c r="M834" s="5" t="inlineStr">
        <is>
          <t>Yes</t>
        </is>
      </c>
      <c r="N834" s="5" t="inlineStr"/>
      <c r="O834" s="8" t="inlineStr">
        <is>
          <t>109000</t>
        </is>
      </c>
      <c r="P834" s="5" t="inlineStr">
        <is>
          <t>5</t>
        </is>
      </c>
      <c r="Q834" s="5" t="inlineStr">
        <is>
          <t>3</t>
        </is>
      </c>
      <c r="R834" s="5" t="inlineStr">
        <is>
          <t>6</t>
        </is>
      </c>
      <c r="S834" s="5" t="inlineStr">
        <is>
          <t>9</t>
        </is>
      </c>
      <c r="T834" s="5" t="inlineStr">
        <is>
          <t>2</t>
        </is>
      </c>
      <c r="U834" s="5" t="inlineStr">
        <is>
          <t>OK</t>
        </is>
      </c>
    </row>
    <row r="835">
      <c r="A835" s="5" t="inlineStr">
        <is>
          <t>E00255</t>
        </is>
      </c>
      <c r="B835" s="5" t="inlineStr">
        <is>
          <t>Female</t>
        </is>
      </c>
      <c r="C835" s="6" t="inlineStr">
        <is>
          <t>34</t>
        </is>
      </c>
      <c r="D835" s="5" t="inlineStr">
        <is>
          <t>Married</t>
        </is>
      </c>
      <c r="E835" s="5" t="inlineStr">
        <is>
          <t>Bachelor</t>
        </is>
      </c>
      <c r="F835" s="5" t="inlineStr">
        <is>
          <t>Sales</t>
        </is>
      </c>
      <c r="G835" s="5" t="inlineStr">
        <is>
          <t>Business Development</t>
        </is>
      </c>
      <c r="H835" s="5" t="inlineStr">
        <is>
          <t>4</t>
        </is>
      </c>
      <c r="I835" s="5" t="inlineStr">
        <is>
          <t>Bengaluru</t>
        </is>
      </c>
      <c r="J835" s="5" t="inlineStr">
        <is>
          <t>Full-Time</t>
        </is>
      </c>
      <c r="K835" s="7" t="n">
        <v>44526</v>
      </c>
      <c r="L835" s="7" t="inlineStr"/>
      <c r="M835" s="5" t="inlineStr">
        <is>
          <t>Yes</t>
        </is>
      </c>
      <c r="N835" s="5" t="inlineStr"/>
      <c r="O835" s="8" t="inlineStr">
        <is>
          <t>114500</t>
        </is>
      </c>
      <c r="P835" s="5" t="inlineStr">
        <is>
          <t>10</t>
        </is>
      </c>
      <c r="Q835" s="5" t="inlineStr">
        <is>
          <t>4</t>
        </is>
      </c>
      <c r="R835" s="5" t="inlineStr">
        <is>
          <t>6</t>
        </is>
      </c>
      <c r="S835" s="5" t="inlineStr">
        <is>
          <t>49</t>
        </is>
      </c>
      <c r="T835" s="5" t="inlineStr">
        <is>
          <t>0</t>
        </is>
      </c>
      <c r="U835" s="5" t="inlineStr">
        <is>
          <t>OK</t>
        </is>
      </c>
    </row>
    <row r="836">
      <c r="A836" s="5" t="inlineStr">
        <is>
          <t>E01021</t>
        </is>
      </c>
      <c r="B836" s="5" t="inlineStr">
        <is>
          <t>Female</t>
        </is>
      </c>
      <c r="C836" s="6" t="inlineStr">
        <is>
          <t>32</t>
        </is>
      </c>
      <c r="D836" s="5" t="inlineStr">
        <is>
          <t>Married</t>
        </is>
      </c>
      <c r="E836" s="5" t="inlineStr">
        <is>
          <t>Diploma</t>
        </is>
      </c>
      <c r="F836" s="5" t="inlineStr">
        <is>
          <t>IT</t>
        </is>
      </c>
      <c r="G836" s="5" t="inlineStr">
        <is>
          <t>Data Analyst</t>
        </is>
      </c>
      <c r="H836" s="5" t="inlineStr">
        <is>
          <t>2</t>
        </is>
      </c>
      <c r="I836" s="5" t="inlineStr">
        <is>
          <t>Bengaluru</t>
        </is>
      </c>
      <c r="J836" s="5" t="inlineStr">
        <is>
          <t>Part-Time</t>
        </is>
      </c>
      <c r="K836" s="7" t="n">
        <v>45836</v>
      </c>
      <c r="L836" s="7" t="n">
        <v>45933</v>
      </c>
      <c r="M836" s="5" t="inlineStr">
        <is>
          <t>No</t>
        </is>
      </c>
      <c r="N836" s="5" t="inlineStr">
        <is>
          <t>Resigned</t>
        </is>
      </c>
      <c r="O836" s="8" t="inlineStr">
        <is>
          <t>142500</t>
        </is>
      </c>
      <c r="P836" s="5" t="inlineStr">
        <is>
          <t>0</t>
        </is>
      </c>
      <c r="Q836" s="5" t="inlineStr">
        <is>
          <t>4</t>
        </is>
      </c>
      <c r="R836" s="5" t="inlineStr">
        <is>
          <t>6</t>
        </is>
      </c>
      <c r="S836" s="5" t="inlineStr">
        <is>
          <t>3</t>
        </is>
      </c>
      <c r="T836" s="5" t="inlineStr">
        <is>
          <t>2</t>
        </is>
      </c>
      <c r="U836" s="5" t="inlineStr">
        <is>
          <t>OK</t>
        </is>
      </c>
    </row>
    <row r="837">
      <c r="A837" s="5" t="inlineStr">
        <is>
          <t>E02159</t>
        </is>
      </c>
      <c r="B837" s="5" t="inlineStr">
        <is>
          <t>Male</t>
        </is>
      </c>
      <c r="C837" s="6" t="inlineStr">
        <is>
          <t>32</t>
        </is>
      </c>
      <c r="D837" s="5" t="inlineStr">
        <is>
          <t>Married</t>
        </is>
      </c>
      <c r="E837" s="5" t="inlineStr">
        <is>
          <t>High School</t>
        </is>
      </c>
      <c r="F837" s="5" t="inlineStr">
        <is>
          <t>Human Resources</t>
        </is>
      </c>
      <c r="G837" s="5" t="inlineStr">
        <is>
          <t>HR Analyst</t>
        </is>
      </c>
      <c r="H837" s="5" t="inlineStr">
        <is>
          <t>5</t>
        </is>
      </c>
      <c r="I837" s="5" t="inlineStr">
        <is>
          <t>Mumbai</t>
        </is>
      </c>
      <c r="J837" s="5" t="inlineStr">
        <is>
          <t>Full-Time</t>
        </is>
      </c>
      <c r="K837" s="7" t="n">
        <v>45543</v>
      </c>
      <c r="L837" s="7" t="inlineStr"/>
      <c r="M837" s="5" t="inlineStr">
        <is>
          <t>Yes</t>
        </is>
      </c>
      <c r="N837" s="5" t="inlineStr"/>
      <c r="O837" s="8" t="inlineStr">
        <is>
          <t>95000</t>
        </is>
      </c>
      <c r="P837" s="5" t="inlineStr">
        <is>
          <t>5</t>
        </is>
      </c>
      <c r="Q837" s="5" t="inlineStr">
        <is>
          <t>5</t>
        </is>
      </c>
      <c r="R837" s="5" t="inlineStr">
        <is>
          <t>7</t>
        </is>
      </c>
      <c r="S837" s="5" t="inlineStr">
        <is>
          <t>15</t>
        </is>
      </c>
      <c r="T837" s="5" t="inlineStr">
        <is>
          <t>4</t>
        </is>
      </c>
      <c r="U837" s="5" t="inlineStr">
        <is>
          <t>OK</t>
        </is>
      </c>
    </row>
    <row r="838">
      <c r="A838" s="5" t="inlineStr">
        <is>
          <t>E02532</t>
        </is>
      </c>
      <c r="B838" s="5" t="inlineStr">
        <is>
          <t>Male</t>
        </is>
      </c>
      <c r="C838" s="6" t="inlineStr">
        <is>
          <t>34</t>
        </is>
      </c>
      <c r="D838" s="5" t="inlineStr">
        <is>
          <t>Married</t>
        </is>
      </c>
      <c r="E838" s="5" t="inlineStr">
        <is>
          <t>Master</t>
        </is>
      </c>
      <c r="F838" s="5" t="inlineStr">
        <is>
          <t>Operations</t>
        </is>
      </c>
      <c r="G838" s="5" t="inlineStr">
        <is>
          <t>Quality Analyst</t>
        </is>
      </c>
      <c r="H838" s="5" t="inlineStr">
        <is>
          <t>4</t>
        </is>
      </c>
      <c r="I838" s="5" t="inlineStr">
        <is>
          <t>Hyderabad</t>
        </is>
      </c>
      <c r="J838" s="5" t="inlineStr">
        <is>
          <t>Full-Time</t>
        </is>
      </c>
      <c r="K838" s="7" t="n">
        <v>44287</v>
      </c>
      <c r="L838" s="7" t="inlineStr"/>
      <c r="M838" s="5" t="inlineStr">
        <is>
          <t>Yes</t>
        </is>
      </c>
      <c r="N838" s="5" t="inlineStr"/>
      <c r="O838" s="8" t="inlineStr">
        <is>
          <t>84000</t>
        </is>
      </c>
      <c r="P838" s="5" t="inlineStr">
        <is>
          <t>5</t>
        </is>
      </c>
      <c r="Q838" s="5" t="inlineStr">
        <is>
          <t>4</t>
        </is>
      </c>
      <c r="R838" s="5" t="inlineStr">
        <is>
          <t>8</t>
        </is>
      </c>
      <c r="S838" s="5" t="inlineStr">
        <is>
          <t>57</t>
        </is>
      </c>
      <c r="T838" s="5" t="inlineStr">
        <is>
          <t>6</t>
        </is>
      </c>
      <c r="U838" s="5" t="inlineStr">
        <is>
          <t>OK</t>
        </is>
      </c>
    </row>
    <row r="839">
      <c r="A839" s="5" t="inlineStr">
        <is>
          <t>E02935</t>
        </is>
      </c>
      <c r="B839" s="5" t="inlineStr">
        <is>
          <t>Female</t>
        </is>
      </c>
      <c r="C839" s="6" t="inlineStr">
        <is>
          <t>40</t>
        </is>
      </c>
      <c r="D839" s="5" t="inlineStr">
        <is>
          <t>Married</t>
        </is>
      </c>
      <c r="E839" s="5" t="inlineStr">
        <is>
          <t>High School</t>
        </is>
      </c>
      <c r="F839" s="5" t="inlineStr">
        <is>
          <t>Finance</t>
        </is>
      </c>
      <c r="G839" s="5" t="inlineStr">
        <is>
          <t>Credit Analyst</t>
        </is>
      </c>
      <c r="H839" s="5" t="inlineStr">
        <is>
          <t>4</t>
        </is>
      </c>
      <c r="I839" s="5" t="inlineStr">
        <is>
          <t>Chennai</t>
        </is>
      </c>
      <c r="J839" s="5" t="inlineStr">
        <is>
          <t>Full-Time</t>
        </is>
      </c>
      <c r="K839" s="7" t="n">
        <v>44837</v>
      </c>
      <c r="L839" s="7" t="n">
        <v>44967</v>
      </c>
      <c r="M839" s="5" t="inlineStr">
        <is>
          <t>No</t>
        </is>
      </c>
      <c r="N839" s="5" t="inlineStr">
        <is>
          <t>Retirement</t>
        </is>
      </c>
      <c r="O839" s="8" t="inlineStr">
        <is>
          <t>121500</t>
        </is>
      </c>
      <c r="P839" s="5" t="inlineStr">
        <is>
          <t>20</t>
        </is>
      </c>
      <c r="Q839" s="5" t="inlineStr">
        <is>
          <t>4</t>
        </is>
      </c>
      <c r="R839" s="5" t="inlineStr">
        <is>
          <t>8</t>
        </is>
      </c>
      <c r="S839" s="5" t="inlineStr">
        <is>
          <t>4</t>
        </is>
      </c>
      <c r="T839" s="5" t="inlineStr">
        <is>
          <t>3</t>
        </is>
      </c>
      <c r="U839" s="5" t="inlineStr">
        <is>
          <t>OK</t>
        </is>
      </c>
    </row>
    <row r="840">
      <c r="A840" s="5" t="inlineStr">
        <is>
          <t>E02003</t>
        </is>
      </c>
      <c r="B840" s="5" t="inlineStr">
        <is>
          <t>Female</t>
        </is>
      </c>
      <c r="C840" s="6" t="inlineStr">
        <is>
          <t>25</t>
        </is>
      </c>
      <c r="D840" s="5" t="inlineStr">
        <is>
          <t>Married</t>
        </is>
      </c>
      <c r="E840" s="5" t="inlineStr">
        <is>
          <t>High School</t>
        </is>
      </c>
      <c r="F840" s="5" t="inlineStr">
        <is>
          <t>Customer Support</t>
        </is>
      </c>
      <c r="G840" s="5" t="inlineStr">
        <is>
          <t>Support Lead</t>
        </is>
      </c>
      <c r="H840" s="5" t="inlineStr">
        <is>
          <t>1</t>
        </is>
      </c>
      <c r="I840" s="5" t="inlineStr">
        <is>
          <t>Chennai</t>
        </is>
      </c>
      <c r="J840" s="5" t="inlineStr">
        <is>
          <t>Part-Time</t>
        </is>
      </c>
      <c r="K840" s="7" t="n">
        <v>44962</v>
      </c>
      <c r="L840" s="7" t="inlineStr"/>
      <c r="M840" s="5" t="inlineStr">
        <is>
          <t>Yes</t>
        </is>
      </c>
      <c r="N840" s="5" t="inlineStr"/>
      <c r="O840" s="8" t="inlineStr">
        <is>
          <t>69500</t>
        </is>
      </c>
      <c r="P840" s="5" t="inlineStr">
        <is>
          <t>15</t>
        </is>
      </c>
      <c r="Q840" s="5" t="inlineStr">
        <is>
          <t>4</t>
        </is>
      </c>
      <c r="R840" s="5" t="inlineStr">
        <is>
          <t>9</t>
        </is>
      </c>
      <c r="S840" s="5" t="inlineStr">
        <is>
          <t>35</t>
        </is>
      </c>
      <c r="T840" s="5" t="inlineStr">
        <is>
          <t>13</t>
        </is>
      </c>
      <c r="U840" s="5" t="inlineStr">
        <is>
          <t>OK</t>
        </is>
      </c>
    </row>
    <row r="841">
      <c r="A841" s="5" t="inlineStr">
        <is>
          <t>E02828</t>
        </is>
      </c>
      <c r="B841" s="5" t="inlineStr">
        <is>
          <t>Male</t>
        </is>
      </c>
      <c r="C841" s="6" t="inlineStr">
        <is>
          <t>35</t>
        </is>
      </c>
      <c r="D841" s="5" t="inlineStr">
        <is>
          <t>Married</t>
        </is>
      </c>
      <c r="E841" s="5" t="inlineStr">
        <is>
          <t>PhD</t>
        </is>
      </c>
      <c r="F841" s="5" t="inlineStr">
        <is>
          <t>Sales</t>
        </is>
      </c>
      <c r="G841" s="5" t="inlineStr">
        <is>
          <t>Sales Executive</t>
        </is>
      </c>
      <c r="H841" s="5" t="inlineStr">
        <is>
          <t>3</t>
        </is>
      </c>
      <c r="I841" s="5" t="inlineStr">
        <is>
          <t>Delhi</t>
        </is>
      </c>
      <c r="J841" s="5" t="inlineStr">
        <is>
          <t>Full-Time</t>
        </is>
      </c>
      <c r="K841" s="7" t="n">
        <v>44043</v>
      </c>
      <c r="L841" s="7" t="inlineStr"/>
      <c r="M841" s="5" t="inlineStr">
        <is>
          <t>Yes</t>
        </is>
      </c>
      <c r="N841" s="5" t="inlineStr"/>
      <c r="O841" s="8" t="inlineStr">
        <is>
          <t>97500</t>
        </is>
      </c>
      <c r="P841" s="5" t="inlineStr">
        <is>
          <t>5</t>
        </is>
      </c>
      <c r="Q841" s="5" t="inlineStr">
        <is>
          <t>4</t>
        </is>
      </c>
      <c r="R841" s="5" t="inlineStr">
        <is>
          <t>8</t>
        </is>
      </c>
      <c r="S841" s="5" t="inlineStr">
        <is>
          <t>65</t>
        </is>
      </c>
      <c r="T841" s="5" t="inlineStr">
        <is>
          <t>5</t>
        </is>
      </c>
      <c r="U841" s="5" t="inlineStr">
        <is>
          <t>OK</t>
        </is>
      </c>
    </row>
    <row r="842">
      <c r="A842" s="5" t="inlineStr">
        <is>
          <t>E00392</t>
        </is>
      </c>
      <c r="B842" s="5" t="inlineStr">
        <is>
          <t>Male</t>
        </is>
      </c>
      <c r="C842" s="6" t="inlineStr">
        <is>
          <t>31</t>
        </is>
      </c>
      <c r="D842" s="5" t="inlineStr">
        <is>
          <t>Married</t>
        </is>
      </c>
      <c r="E842" s="5" t="inlineStr">
        <is>
          <t>Bachelor</t>
        </is>
      </c>
      <c r="F842" s="5" t="inlineStr">
        <is>
          <t>Customer Support</t>
        </is>
      </c>
      <c r="G842" s="5" t="inlineStr">
        <is>
          <t>Support Agent</t>
        </is>
      </c>
      <c r="H842" s="5" t="inlineStr">
        <is>
          <t>3</t>
        </is>
      </c>
      <c r="I842" s="5" t="inlineStr">
        <is>
          <t>Delhi</t>
        </is>
      </c>
      <c r="J842" s="5" t="inlineStr">
        <is>
          <t>Full-Time</t>
        </is>
      </c>
      <c r="K842" s="7" t="n">
        <v>44640</v>
      </c>
      <c r="L842" s="7" t="n">
        <v>44748</v>
      </c>
      <c r="M842" s="5" t="inlineStr">
        <is>
          <t>No</t>
        </is>
      </c>
      <c r="N842" s="5" t="inlineStr">
        <is>
          <t>Resigned</t>
        </is>
      </c>
      <c r="O842" s="8" t="inlineStr">
        <is>
          <t>91500</t>
        </is>
      </c>
      <c r="P842" s="5" t="inlineStr">
        <is>
          <t>20</t>
        </is>
      </c>
      <c r="Q842" s="5" t="inlineStr">
        <is>
          <t>5</t>
        </is>
      </c>
      <c r="R842" s="5" t="inlineStr">
        <is>
          <t>10</t>
        </is>
      </c>
      <c r="S842" s="5" t="inlineStr">
        <is>
          <t>3</t>
        </is>
      </c>
      <c r="T842" s="5" t="inlineStr">
        <is>
          <t>6</t>
        </is>
      </c>
      <c r="U842" s="5" t="inlineStr">
        <is>
          <t>OK</t>
        </is>
      </c>
    </row>
    <row r="843">
      <c r="A843" s="5" t="inlineStr">
        <is>
          <t>E00169</t>
        </is>
      </c>
      <c r="B843" s="5" t="inlineStr">
        <is>
          <t>Male</t>
        </is>
      </c>
      <c r="C843" s="6" t="inlineStr">
        <is>
          <t>30</t>
        </is>
      </c>
      <c r="D843" s="5" t="inlineStr">
        <is>
          <t>Married</t>
        </is>
      </c>
      <c r="E843" s="5" t="inlineStr">
        <is>
          <t>PhD</t>
        </is>
      </c>
      <c r="F843" s="5" t="inlineStr">
        <is>
          <t>Operations</t>
        </is>
      </c>
      <c r="G843" s="5" t="inlineStr">
        <is>
          <t>Quality Analyst</t>
        </is>
      </c>
      <c r="H843" s="5" t="inlineStr">
        <is>
          <t>4</t>
        </is>
      </c>
      <c r="I843" s="5" t="inlineStr">
        <is>
          <t>Hyderabad</t>
        </is>
      </c>
      <c r="J843" s="5" t="inlineStr">
        <is>
          <t>Full-Time</t>
        </is>
      </c>
      <c r="K843" s="7" t="n">
        <v>45596</v>
      </c>
      <c r="L843" s="7" t="n">
        <v>45668</v>
      </c>
      <c r="M843" s="5" t="inlineStr">
        <is>
          <t>No</t>
        </is>
      </c>
      <c r="N843" s="5" t="inlineStr">
        <is>
          <t>Retirement</t>
        </is>
      </c>
      <c r="O843" s="8" t="inlineStr">
        <is>
          <t>136500</t>
        </is>
      </c>
      <c r="P843" s="5" t="inlineStr">
        <is>
          <t>15</t>
        </is>
      </c>
      <c r="Q843" s="5" t="inlineStr">
        <is>
          <t>4</t>
        </is>
      </c>
      <c r="R843" s="5" t="inlineStr">
        <is>
          <t>4</t>
        </is>
      </c>
      <c r="S843" s="5" t="inlineStr">
        <is>
          <t>2</t>
        </is>
      </c>
      <c r="T843" s="5" t="inlineStr">
        <is>
          <t>7</t>
        </is>
      </c>
      <c r="U843" s="5" t="inlineStr">
        <is>
          <t>OK</t>
        </is>
      </c>
    </row>
    <row r="844">
      <c r="A844" s="5" t="inlineStr">
        <is>
          <t>E01217</t>
        </is>
      </c>
      <c r="B844" s="5" t="inlineStr">
        <is>
          <t>Female</t>
        </is>
      </c>
      <c r="C844" s="6" t="inlineStr">
        <is>
          <t>31</t>
        </is>
      </c>
      <c r="D844" s="5" t="inlineStr">
        <is>
          <t>Married</t>
        </is>
      </c>
      <c r="E844" s="5" t="inlineStr">
        <is>
          <t>Bachelor</t>
        </is>
      </c>
      <c r="F844" s="5" t="inlineStr">
        <is>
          <t>Finance</t>
        </is>
      </c>
      <c r="G844" s="5" t="inlineStr">
        <is>
          <t>Financial Analyst</t>
        </is>
      </c>
      <c r="H844" s="5" t="inlineStr">
        <is>
          <t>1</t>
        </is>
      </c>
      <c r="I844" s="5" t="inlineStr">
        <is>
          <t>Chennai</t>
        </is>
      </c>
      <c r="J844" s="5" t="inlineStr">
        <is>
          <t>Full-Time</t>
        </is>
      </c>
      <c r="K844" s="7" t="n">
        <v>45602</v>
      </c>
      <c r="L844" s="7" t="inlineStr"/>
      <c r="M844" s="5" t="inlineStr">
        <is>
          <t>Yes</t>
        </is>
      </c>
      <c r="N844" s="5" t="inlineStr"/>
      <c r="O844" s="8" t="inlineStr">
        <is>
          <t>92500</t>
        </is>
      </c>
      <c r="P844" s="5" t="inlineStr">
        <is>
          <t>0</t>
        </is>
      </c>
      <c r="Q844" s="5" t="inlineStr">
        <is>
          <t>5</t>
        </is>
      </c>
      <c r="R844" s="5" t="inlineStr">
        <is>
          <t>6</t>
        </is>
      </c>
      <c r="S844" s="5" t="inlineStr">
        <is>
          <t>14</t>
        </is>
      </c>
      <c r="T844" s="5" t="inlineStr">
        <is>
          <t>0</t>
        </is>
      </c>
      <c r="U844" s="5" t="inlineStr">
        <is>
          <t>OK</t>
        </is>
      </c>
    </row>
    <row r="845">
      <c r="A845" s="5" t="inlineStr">
        <is>
          <t>E01746</t>
        </is>
      </c>
      <c r="B845" s="5" t="inlineStr">
        <is>
          <t>Female</t>
        </is>
      </c>
      <c r="C845" s="6" t="inlineStr">
        <is>
          <t>30</t>
        </is>
      </c>
      <c r="D845" s="5" t="inlineStr">
        <is>
          <t>Single</t>
        </is>
      </c>
      <c r="E845" s="5" t="inlineStr">
        <is>
          <t>PhD</t>
        </is>
      </c>
      <c r="F845" s="5" t="inlineStr">
        <is>
          <t>Customer Support</t>
        </is>
      </c>
      <c r="G845" s="5" t="inlineStr">
        <is>
          <t>Escalation Specialist</t>
        </is>
      </c>
      <c r="H845" s="5" t="inlineStr">
        <is>
          <t>3</t>
        </is>
      </c>
      <c r="I845" s="5" t="inlineStr">
        <is>
          <t>Chennai</t>
        </is>
      </c>
      <c r="J845" s="5" t="inlineStr">
        <is>
          <t>Full-Time</t>
        </is>
      </c>
      <c r="K845" s="7" t="n">
        <v>44822</v>
      </c>
      <c r="L845" s="7" t="n">
        <v>44925</v>
      </c>
      <c r="M845" s="5" t="inlineStr">
        <is>
          <t>No</t>
        </is>
      </c>
      <c r="N845" s="5" t="inlineStr">
        <is>
          <t>Resigned</t>
        </is>
      </c>
      <c r="O845" s="8" t="inlineStr">
        <is>
          <t>75500</t>
        </is>
      </c>
      <c r="P845" s="5" t="inlineStr">
        <is>
          <t>5</t>
        </is>
      </c>
      <c r="Q845" s="5" t="inlineStr">
        <is>
          <t>3</t>
        </is>
      </c>
      <c r="R845" s="5" t="inlineStr">
        <is>
          <t>4</t>
        </is>
      </c>
      <c r="S845" s="5" t="inlineStr">
        <is>
          <t>3</t>
        </is>
      </c>
      <c r="T845" s="5" t="inlineStr">
        <is>
          <t>7</t>
        </is>
      </c>
      <c r="U845" s="5" t="inlineStr">
        <is>
          <t>OK</t>
        </is>
      </c>
    </row>
    <row r="846">
      <c r="A846" s="5" t="inlineStr">
        <is>
          <t>E01780</t>
        </is>
      </c>
      <c r="B846" s="5" t="inlineStr">
        <is>
          <t>Male</t>
        </is>
      </c>
      <c r="C846" s="6" t="inlineStr">
        <is>
          <t>40</t>
        </is>
      </c>
      <c r="D846" s="5" t="inlineStr">
        <is>
          <t>Married</t>
        </is>
      </c>
      <c r="E846" s="5" t="inlineStr">
        <is>
          <t>High School</t>
        </is>
      </c>
      <c r="F846" s="5" t="inlineStr">
        <is>
          <t>Finance</t>
        </is>
      </c>
      <c r="G846" s="5" t="inlineStr">
        <is>
          <t>Credit Analyst</t>
        </is>
      </c>
      <c r="H846" s="5" t="inlineStr">
        <is>
          <t>7</t>
        </is>
      </c>
      <c r="I846" s="5" t="inlineStr">
        <is>
          <t>Delhi</t>
        </is>
      </c>
      <c r="J846" s="5" t="inlineStr">
        <is>
          <t>Full-Time</t>
        </is>
      </c>
      <c r="K846" s="7" t="n">
        <v>44392</v>
      </c>
      <c r="L846" s="7" t="inlineStr"/>
      <c r="M846" s="5" t="inlineStr">
        <is>
          <t>Yes</t>
        </is>
      </c>
      <c r="N846" s="5" t="inlineStr"/>
      <c r="O846" s="8" t="inlineStr">
        <is>
          <t>162500</t>
        </is>
      </c>
      <c r="P846" s="5" t="inlineStr">
        <is>
          <t>5</t>
        </is>
      </c>
      <c r="Q846" s="5" t="inlineStr">
        <is>
          <t>5</t>
        </is>
      </c>
      <c r="R846" s="5" t="inlineStr">
        <is>
          <t>9</t>
        </is>
      </c>
      <c r="S846" s="5" t="inlineStr">
        <is>
          <t>54</t>
        </is>
      </c>
      <c r="T846" s="5" t="inlineStr">
        <is>
          <t>0</t>
        </is>
      </c>
      <c r="U846" s="5" t="inlineStr">
        <is>
          <t>OK</t>
        </is>
      </c>
    </row>
    <row r="847">
      <c r="A847" s="5" t="inlineStr">
        <is>
          <t>E00877</t>
        </is>
      </c>
      <c r="B847" s="5" t="inlineStr">
        <is>
          <t>Female</t>
        </is>
      </c>
      <c r="C847" s="6" t="inlineStr">
        <is>
          <t>25</t>
        </is>
      </c>
      <c r="D847" s="5" t="inlineStr">
        <is>
          <t>Divorced</t>
        </is>
      </c>
      <c r="E847" s="5" t="inlineStr">
        <is>
          <t>PhD</t>
        </is>
      </c>
      <c r="F847" s="5" t="inlineStr">
        <is>
          <t>Research &amp; Development</t>
        </is>
      </c>
      <c r="G847" s="5" t="inlineStr">
        <is>
          <t>Data Scientist</t>
        </is>
      </c>
      <c r="H847" s="5" t="inlineStr">
        <is>
          <t>1</t>
        </is>
      </c>
      <c r="I847" s="5" t="inlineStr">
        <is>
          <t>Hyderabad</t>
        </is>
      </c>
      <c r="J847" s="5" t="inlineStr">
        <is>
          <t>Full-Time</t>
        </is>
      </c>
      <c r="K847" s="7" t="n">
        <v>44127</v>
      </c>
      <c r="L847" s="7" t="inlineStr"/>
      <c r="M847" s="5" t="inlineStr">
        <is>
          <t>Yes</t>
        </is>
      </c>
      <c r="N847" s="5" t="inlineStr"/>
      <c r="O847" s="8" t="inlineStr">
        <is>
          <t>115000</t>
        </is>
      </c>
      <c r="P847" s="5" t="inlineStr">
        <is>
          <t>20</t>
        </is>
      </c>
      <c r="Q847" s="5" t="inlineStr">
        <is>
          <t>3</t>
        </is>
      </c>
      <c r="R847" s="5" t="inlineStr">
        <is>
          <t>7</t>
        </is>
      </c>
      <c r="S847" s="5" t="inlineStr">
        <is>
          <t>63</t>
        </is>
      </c>
      <c r="T847" s="5" t="inlineStr">
        <is>
          <t>11</t>
        </is>
      </c>
      <c r="U847" s="5" t="inlineStr">
        <is>
          <t>OK</t>
        </is>
      </c>
    </row>
    <row r="848">
      <c r="A848" s="5" t="inlineStr">
        <is>
          <t>E01250</t>
        </is>
      </c>
      <c r="B848" s="5" t="inlineStr">
        <is>
          <t>Male</t>
        </is>
      </c>
      <c r="C848" s="6" t="inlineStr">
        <is>
          <t>36</t>
        </is>
      </c>
      <c r="D848" s="5" t="inlineStr">
        <is>
          <t>Married</t>
        </is>
      </c>
      <c r="E848" s="5" t="inlineStr">
        <is>
          <t>Diploma</t>
        </is>
      </c>
      <c r="F848" s="5" t="inlineStr">
        <is>
          <t>Research &amp; Development</t>
        </is>
      </c>
      <c r="G848" s="5" t="inlineStr">
        <is>
          <t>Product Engineer</t>
        </is>
      </c>
      <c r="H848" s="5" t="inlineStr">
        <is>
          <t>6</t>
        </is>
      </c>
      <c r="I848" s="5" t="inlineStr">
        <is>
          <t>Hyderabad</t>
        </is>
      </c>
      <c r="J848" s="5" t="inlineStr">
        <is>
          <t>Full-Time</t>
        </is>
      </c>
      <c r="K848" s="7" t="n">
        <v>44811</v>
      </c>
      <c r="L848" s="7" t="inlineStr"/>
      <c r="M848" s="5" t="inlineStr">
        <is>
          <t>Yes</t>
        </is>
      </c>
      <c r="N848" s="5" t="inlineStr"/>
      <c r="O848" s="8" t="inlineStr">
        <is>
          <t>167500</t>
        </is>
      </c>
      <c r="P848" s="5" t="inlineStr">
        <is>
          <t>0</t>
        </is>
      </c>
      <c r="Q848" s="5" t="inlineStr">
        <is>
          <t>4</t>
        </is>
      </c>
      <c r="R848" s="5" t="inlineStr">
        <is>
          <t>6</t>
        </is>
      </c>
      <c r="S848" s="5" t="inlineStr">
        <is>
          <t>40</t>
        </is>
      </c>
      <c r="T848" s="5" t="inlineStr">
        <is>
          <t>2</t>
        </is>
      </c>
      <c r="U848" s="5" t="inlineStr">
        <is>
          <t>OK</t>
        </is>
      </c>
    </row>
    <row r="849">
      <c r="A849" s="5" t="inlineStr">
        <is>
          <t>E01252</t>
        </is>
      </c>
      <c r="B849" s="5" t="inlineStr">
        <is>
          <t>Female</t>
        </is>
      </c>
      <c r="C849" s="6" t="inlineStr">
        <is>
          <t>29</t>
        </is>
      </c>
      <c r="D849" s="5" t="inlineStr">
        <is>
          <t>Married</t>
        </is>
      </c>
      <c r="E849" s="5" t="inlineStr">
        <is>
          <t>Diploma</t>
        </is>
      </c>
      <c r="F849" s="5" t="inlineStr">
        <is>
          <t>Customer Support</t>
        </is>
      </c>
      <c r="G849" s="5" t="inlineStr">
        <is>
          <t>Support Lead</t>
        </is>
      </c>
      <c r="H849" s="5" t="inlineStr">
        <is>
          <t>1</t>
        </is>
      </c>
      <c r="I849" s="5" t="inlineStr">
        <is>
          <t>Delhi</t>
        </is>
      </c>
      <c r="J849" s="5" t="inlineStr">
        <is>
          <t>Full-Time</t>
        </is>
      </c>
      <c r="K849" s="7" t="n">
        <v>44889</v>
      </c>
      <c r="L849" s="7" t="inlineStr"/>
      <c r="M849" s="5" t="inlineStr">
        <is>
          <t>Yes</t>
        </is>
      </c>
      <c r="N849" s="5" t="inlineStr"/>
      <c r="O849" s="8" t="inlineStr">
        <is>
          <t>65500</t>
        </is>
      </c>
      <c r="P849" s="5" t="inlineStr">
        <is>
          <t>20</t>
        </is>
      </c>
      <c r="Q849" s="5" t="inlineStr">
        <is>
          <t>4</t>
        </is>
      </c>
      <c r="R849" s="5" t="inlineStr">
        <is>
          <t>5</t>
        </is>
      </c>
      <c r="S849" s="5" t="inlineStr">
        <is>
          <t>37</t>
        </is>
      </c>
      <c r="T849" s="5" t="inlineStr">
        <is>
          <t>0</t>
        </is>
      </c>
      <c r="U849" s="5" t="inlineStr">
        <is>
          <t>OK</t>
        </is>
      </c>
    </row>
    <row r="850">
      <c r="A850" s="5" t="inlineStr">
        <is>
          <t>E01298</t>
        </is>
      </c>
      <c r="B850" s="5" t="inlineStr">
        <is>
          <t>Male</t>
        </is>
      </c>
      <c r="C850" s="6" t="inlineStr">
        <is>
          <t>31</t>
        </is>
      </c>
      <c r="D850" s="5" t="inlineStr">
        <is>
          <t>Married</t>
        </is>
      </c>
      <c r="E850" s="5" t="inlineStr">
        <is>
          <t>Master</t>
        </is>
      </c>
      <c r="F850" s="5" t="inlineStr">
        <is>
          <t>Finance</t>
        </is>
      </c>
      <c r="G850" s="5" t="inlineStr">
        <is>
          <t>Accountant</t>
        </is>
      </c>
      <c r="H850" s="5" t="inlineStr">
        <is>
          <t>2</t>
        </is>
      </c>
      <c r="I850" s="5" t="inlineStr">
        <is>
          <t>Remote</t>
        </is>
      </c>
      <c r="J850" s="5" t="inlineStr">
        <is>
          <t>Full-Time</t>
        </is>
      </c>
      <c r="K850" s="7" t="n">
        <v>44406</v>
      </c>
      <c r="L850" s="7" t="inlineStr"/>
      <c r="M850" s="5" t="inlineStr">
        <is>
          <t>Yes</t>
        </is>
      </c>
      <c r="N850" s="5" t="inlineStr"/>
      <c r="O850" s="8" t="inlineStr">
        <is>
          <t>116000</t>
        </is>
      </c>
      <c r="P850" s="5" t="inlineStr">
        <is>
          <t>0</t>
        </is>
      </c>
      <c r="Q850" s="5" t="inlineStr">
        <is>
          <t>4</t>
        </is>
      </c>
      <c r="R850" s="5" t="inlineStr">
        <is>
          <t>8</t>
        </is>
      </c>
      <c r="S850" s="5" t="inlineStr">
        <is>
          <t>53</t>
        </is>
      </c>
      <c r="T850" s="5" t="inlineStr">
        <is>
          <t>1</t>
        </is>
      </c>
      <c r="U850" s="5" t="inlineStr">
        <is>
          <t>OK</t>
        </is>
      </c>
    </row>
    <row r="851">
      <c r="A851" s="5" t="inlineStr">
        <is>
          <t>E01190</t>
        </is>
      </c>
      <c r="B851" s="5" t="inlineStr">
        <is>
          <t>Female</t>
        </is>
      </c>
      <c r="C851" s="6" t="inlineStr">
        <is>
          <t>26</t>
        </is>
      </c>
      <c r="D851" s="5" t="inlineStr">
        <is>
          <t>Married</t>
        </is>
      </c>
      <c r="E851" s="5" t="inlineStr">
        <is>
          <t>Diploma</t>
        </is>
      </c>
      <c r="F851" s="5" t="inlineStr">
        <is>
          <t>Research &amp; Development</t>
        </is>
      </c>
      <c r="G851" s="5" t="inlineStr">
        <is>
          <t>Research Scientist</t>
        </is>
      </c>
      <c r="H851" s="5" t="inlineStr">
        <is>
          <t>1</t>
        </is>
      </c>
      <c r="I851" s="5" t="inlineStr">
        <is>
          <t>Bengaluru</t>
        </is>
      </c>
      <c r="J851" s="5" t="inlineStr">
        <is>
          <t>Full-Time</t>
        </is>
      </c>
      <c r="K851" s="7" t="n">
        <v>45280</v>
      </c>
      <c r="L851" s="7" t="inlineStr"/>
      <c r="M851" s="5" t="inlineStr">
        <is>
          <t>Yes</t>
        </is>
      </c>
      <c r="N851" s="5" t="inlineStr"/>
      <c r="O851" s="8" t="inlineStr">
        <is>
          <t>144500</t>
        </is>
      </c>
      <c r="P851" s="5" t="inlineStr">
        <is>
          <t>0</t>
        </is>
      </c>
      <c r="Q851" s="5" t="inlineStr">
        <is>
          <t>5</t>
        </is>
      </c>
      <c r="R851" s="5" t="inlineStr">
        <is>
          <t>5</t>
        </is>
      </c>
      <c r="S851" s="5" t="inlineStr">
        <is>
          <t>24</t>
        </is>
      </c>
      <c r="T851" s="5" t="inlineStr">
        <is>
          <t>4</t>
        </is>
      </c>
      <c r="U851" s="5" t="inlineStr">
        <is>
          <t>OK</t>
        </is>
      </c>
    </row>
    <row r="852">
      <c r="A852" s="5" t="inlineStr">
        <is>
          <t>E02041</t>
        </is>
      </c>
      <c r="B852" s="5" t="inlineStr">
        <is>
          <t>Male</t>
        </is>
      </c>
      <c r="C852" s="6" t="inlineStr">
        <is>
          <t>31</t>
        </is>
      </c>
      <c r="D852" s="5" t="inlineStr">
        <is>
          <t>Single</t>
        </is>
      </c>
      <c r="E852" s="5" t="inlineStr">
        <is>
          <t>Diploma</t>
        </is>
      </c>
      <c r="F852" s="5" t="inlineStr">
        <is>
          <t>Customer Support</t>
        </is>
      </c>
      <c r="G852" s="5" t="inlineStr">
        <is>
          <t>Support Agent</t>
        </is>
      </c>
      <c r="H852" s="5" t="inlineStr">
        <is>
          <t>3</t>
        </is>
      </c>
      <c r="I852" s="5" t="inlineStr">
        <is>
          <t>Remote</t>
        </is>
      </c>
      <c r="J852" s="5" t="inlineStr">
        <is>
          <t>Part-Time</t>
        </is>
      </c>
      <c r="K852" s="7" t="n">
        <v>44166</v>
      </c>
      <c r="L852" s="7" t="inlineStr"/>
      <c r="M852" s="5" t="inlineStr">
        <is>
          <t>Yes</t>
        </is>
      </c>
      <c r="N852" s="5" t="inlineStr"/>
      <c r="O852" s="8" t="inlineStr">
        <is>
          <t>57500</t>
        </is>
      </c>
      <c r="P852" s="5" t="inlineStr">
        <is>
          <t>0</t>
        </is>
      </c>
      <c r="Q852" s="5" t="inlineStr">
        <is>
          <t>4</t>
        </is>
      </c>
      <c r="R852" s="5" t="inlineStr">
        <is>
          <t>7</t>
        </is>
      </c>
      <c r="S852" s="5" t="inlineStr">
        <is>
          <t>61</t>
        </is>
      </c>
      <c r="T852" s="5" t="inlineStr">
        <is>
          <t>5</t>
        </is>
      </c>
      <c r="U852" s="5" t="inlineStr">
        <is>
          <t>OK</t>
        </is>
      </c>
    </row>
    <row r="853">
      <c r="A853" s="5" t="inlineStr">
        <is>
          <t>E00337</t>
        </is>
      </c>
      <c r="B853" s="5" t="inlineStr">
        <is>
          <t>Male</t>
        </is>
      </c>
      <c r="C853" s="6" t="inlineStr">
        <is>
          <t>35</t>
        </is>
      </c>
      <c r="D853" s="5" t="inlineStr">
        <is>
          <t>Married</t>
        </is>
      </c>
      <c r="E853" s="5" t="inlineStr">
        <is>
          <t>PhD</t>
        </is>
      </c>
      <c r="F853" s="5" t="inlineStr">
        <is>
          <t>Operations</t>
        </is>
      </c>
      <c r="G853" s="5" t="inlineStr">
        <is>
          <t>Logistics Coordinator</t>
        </is>
      </c>
      <c r="H853" s="5" t="inlineStr">
        <is>
          <t>5</t>
        </is>
      </c>
      <c r="I853" s="5" t="inlineStr">
        <is>
          <t>Mumbai</t>
        </is>
      </c>
      <c r="J853" s="5" t="inlineStr">
        <is>
          <t>Full-Time</t>
        </is>
      </c>
      <c r="K853" s="7" t="n">
        <v>44722</v>
      </c>
      <c r="L853" s="7" t="inlineStr"/>
      <c r="M853" s="5" t="inlineStr">
        <is>
          <t>Yes</t>
        </is>
      </c>
      <c r="N853" s="5" t="inlineStr"/>
      <c r="O853" s="8" t="inlineStr">
        <is>
          <t>120000</t>
        </is>
      </c>
      <c r="P853" s="5" t="inlineStr">
        <is>
          <t>10</t>
        </is>
      </c>
      <c r="Q853" s="5" t="inlineStr">
        <is>
          <t>2</t>
        </is>
      </c>
      <c r="R853" s="5" t="inlineStr">
        <is>
          <t>7</t>
        </is>
      </c>
      <c r="S853" s="5" t="inlineStr">
        <is>
          <t>43</t>
        </is>
      </c>
      <c r="T853" s="5" t="inlineStr">
        <is>
          <t>15</t>
        </is>
      </c>
      <c r="U853" s="5" t="inlineStr">
        <is>
          <t>OK</t>
        </is>
      </c>
    </row>
    <row r="854">
      <c r="A854" s="5" t="inlineStr">
        <is>
          <t>E01073</t>
        </is>
      </c>
      <c r="B854" s="5" t="inlineStr">
        <is>
          <t>Female</t>
        </is>
      </c>
      <c r="C854" s="6" t="inlineStr">
        <is>
          <t>36</t>
        </is>
      </c>
      <c r="D854" s="5" t="inlineStr">
        <is>
          <t>Married</t>
        </is>
      </c>
      <c r="E854" s="5" t="inlineStr">
        <is>
          <t>Master</t>
        </is>
      </c>
      <c r="F854" s="5" t="inlineStr">
        <is>
          <t>Operations</t>
        </is>
      </c>
      <c r="G854" s="5" t="inlineStr">
        <is>
          <t>Operations Analyst</t>
        </is>
      </c>
      <c r="H854" s="5" t="inlineStr">
        <is>
          <t>6</t>
        </is>
      </c>
      <c r="I854" s="5" t="inlineStr">
        <is>
          <t>Hyderabad</t>
        </is>
      </c>
      <c r="J854" s="5" t="inlineStr">
        <is>
          <t>Full-Time</t>
        </is>
      </c>
      <c r="K854" s="7" t="n">
        <v>45038</v>
      </c>
      <c r="L854" s="7" t="inlineStr"/>
      <c r="M854" s="5" t="inlineStr">
        <is>
          <t>Yes</t>
        </is>
      </c>
      <c r="N854" s="5" t="inlineStr"/>
      <c r="O854" s="8" t="inlineStr">
        <is>
          <t>160000</t>
        </is>
      </c>
      <c r="P854" s="5" t="inlineStr">
        <is>
          <t>0</t>
        </is>
      </c>
      <c r="Q854" s="5" t="inlineStr">
        <is>
          <t>3</t>
        </is>
      </c>
      <c r="R854" s="5" t="inlineStr">
        <is>
          <t>5</t>
        </is>
      </c>
      <c r="S854" s="5" t="inlineStr">
        <is>
          <t>32</t>
        </is>
      </c>
      <c r="T854" s="5" t="inlineStr">
        <is>
          <t>0</t>
        </is>
      </c>
      <c r="U854" s="5" t="inlineStr">
        <is>
          <t>OK</t>
        </is>
      </c>
    </row>
    <row r="855">
      <c r="A855" s="5" t="inlineStr">
        <is>
          <t>E01737</t>
        </is>
      </c>
      <c r="B855" s="5" t="inlineStr">
        <is>
          <t>Male</t>
        </is>
      </c>
      <c r="C855" s="6" t="inlineStr">
        <is>
          <t>25</t>
        </is>
      </c>
      <c r="D855" s="5" t="inlineStr">
        <is>
          <t>Single</t>
        </is>
      </c>
      <c r="E855" s="5" t="inlineStr">
        <is>
          <t>High School</t>
        </is>
      </c>
      <c r="F855" s="5" t="inlineStr">
        <is>
          <t>IT</t>
        </is>
      </c>
      <c r="G855" s="5" t="inlineStr">
        <is>
          <t>Software Engineer</t>
        </is>
      </c>
      <c r="H855" s="5" t="inlineStr">
        <is>
          <t>2</t>
        </is>
      </c>
      <c r="I855" s="5" t="inlineStr">
        <is>
          <t>Bengaluru</t>
        </is>
      </c>
      <c r="J855" s="5" t="inlineStr">
        <is>
          <t>Full-Time</t>
        </is>
      </c>
      <c r="K855" s="7" t="n">
        <v>44012</v>
      </c>
      <c r="L855" s="7" t="n">
        <v>44055</v>
      </c>
      <c r="M855" s="5" t="inlineStr">
        <is>
          <t>No</t>
        </is>
      </c>
      <c r="N855" s="5" t="inlineStr">
        <is>
          <t>Resigned</t>
        </is>
      </c>
      <c r="O855" s="8" t="inlineStr">
        <is>
          <t>162500</t>
        </is>
      </c>
      <c r="P855" s="5" t="inlineStr">
        <is>
          <t>0</t>
        </is>
      </c>
      <c r="Q855" s="5" t="inlineStr">
        <is>
          <t>4</t>
        </is>
      </c>
      <c r="R855" s="5" t="inlineStr">
        <is>
          <t>3</t>
        </is>
      </c>
      <c r="S855" s="5" t="inlineStr">
        <is>
          <t>1</t>
        </is>
      </c>
      <c r="T855" s="5" t="inlineStr">
        <is>
          <t>0</t>
        </is>
      </c>
      <c r="U855" s="5" t="inlineStr">
        <is>
          <t>OK</t>
        </is>
      </c>
    </row>
    <row r="856">
      <c r="A856" s="5" t="inlineStr">
        <is>
          <t>E00367</t>
        </is>
      </c>
      <c r="B856" s="5" t="inlineStr">
        <is>
          <t>Female</t>
        </is>
      </c>
      <c r="C856" s="6" t="inlineStr">
        <is>
          <t>36</t>
        </is>
      </c>
      <c r="D856" s="5" t="inlineStr">
        <is>
          <t>Married</t>
        </is>
      </c>
      <c r="E856" s="5" t="inlineStr">
        <is>
          <t>Diploma</t>
        </is>
      </c>
      <c r="F856" s="5" t="inlineStr">
        <is>
          <t>Human Resources</t>
        </is>
      </c>
      <c r="G856" s="5" t="inlineStr">
        <is>
          <t>HR Analyst</t>
        </is>
      </c>
      <c r="H856" s="5" t="inlineStr">
        <is>
          <t>7</t>
        </is>
      </c>
      <c r="I856" s="5" t="inlineStr">
        <is>
          <t>Mumbai</t>
        </is>
      </c>
      <c r="J856" s="5" t="inlineStr">
        <is>
          <t>Full-Time</t>
        </is>
      </c>
      <c r="K856" s="7" t="n">
        <v>44345</v>
      </c>
      <c r="L856" s="7" t="inlineStr"/>
      <c r="M856" s="5" t="inlineStr">
        <is>
          <t>Yes</t>
        </is>
      </c>
      <c r="N856" s="5" t="inlineStr"/>
      <c r="O856" s="8" t="inlineStr">
        <is>
          <t>171000</t>
        </is>
      </c>
      <c r="P856" s="5" t="inlineStr">
        <is>
          <t>0</t>
        </is>
      </c>
      <c r="Q856" s="5" t="inlineStr">
        <is>
          <t>4</t>
        </is>
      </c>
      <c r="R856" s="5" t="inlineStr">
        <is>
          <t>8</t>
        </is>
      </c>
      <c r="S856" s="5" t="inlineStr">
        <is>
          <t>55</t>
        </is>
      </c>
      <c r="T856" s="5" t="inlineStr">
        <is>
          <t>0</t>
        </is>
      </c>
      <c r="U856" s="5" t="inlineStr">
        <is>
          <t>OK</t>
        </is>
      </c>
    </row>
    <row r="857">
      <c r="A857" s="5" t="inlineStr">
        <is>
          <t>E01766</t>
        </is>
      </c>
      <c r="B857" s="5" t="inlineStr">
        <is>
          <t>Male</t>
        </is>
      </c>
      <c r="C857" s="6" t="inlineStr">
        <is>
          <t>31</t>
        </is>
      </c>
      <c r="D857" s="5" t="inlineStr">
        <is>
          <t>Married</t>
        </is>
      </c>
      <c r="E857" s="5" t="inlineStr">
        <is>
          <t>High School</t>
        </is>
      </c>
      <c r="F857" s="5" t="inlineStr">
        <is>
          <t>Customer Support</t>
        </is>
      </c>
      <c r="G857" s="5" t="inlineStr">
        <is>
          <t>Support Agent</t>
        </is>
      </c>
      <c r="H857" s="5" t="inlineStr">
        <is>
          <t>5</t>
        </is>
      </c>
      <c r="I857" s="5" t="inlineStr">
        <is>
          <t>Bengaluru</t>
        </is>
      </c>
      <c r="J857" s="5" t="inlineStr">
        <is>
          <t>Full-Time</t>
        </is>
      </c>
      <c r="K857" s="7" t="n">
        <v>45646</v>
      </c>
      <c r="L857" s="7" t="inlineStr"/>
      <c r="M857" s="5" t="inlineStr">
        <is>
          <t>Yes</t>
        </is>
      </c>
      <c r="N857" s="5" t="inlineStr"/>
      <c r="O857" s="8" t="inlineStr">
        <is>
          <t>102000</t>
        </is>
      </c>
      <c r="P857" s="5" t="inlineStr">
        <is>
          <t>10</t>
        </is>
      </c>
      <c r="Q857" s="5" t="inlineStr">
        <is>
          <t>4</t>
        </is>
      </c>
      <c r="R857" s="5" t="inlineStr">
        <is>
          <t>3</t>
        </is>
      </c>
      <c r="S857" s="5" t="inlineStr">
        <is>
          <t>12</t>
        </is>
      </c>
      <c r="T857" s="5" t="inlineStr">
        <is>
          <t>0</t>
        </is>
      </c>
      <c r="U857" s="5" t="inlineStr">
        <is>
          <t>OK</t>
        </is>
      </c>
    </row>
    <row r="858">
      <c r="A858" s="5" t="inlineStr">
        <is>
          <t>E02005</t>
        </is>
      </c>
      <c r="B858" s="5" t="inlineStr">
        <is>
          <t>Male</t>
        </is>
      </c>
      <c r="C858" s="6" t="inlineStr">
        <is>
          <t>41</t>
        </is>
      </c>
      <c r="D858" s="5" t="inlineStr">
        <is>
          <t>Married</t>
        </is>
      </c>
      <c r="E858" s="5" t="inlineStr">
        <is>
          <t>Diploma</t>
        </is>
      </c>
      <c r="F858" s="5" t="inlineStr">
        <is>
          <t>Operations</t>
        </is>
      </c>
      <c r="G858" s="5" t="inlineStr">
        <is>
          <t>Logistics Coordinator</t>
        </is>
      </c>
      <c r="H858" s="5" t="inlineStr">
        <is>
          <t>7</t>
        </is>
      </c>
      <c r="I858" s="5" t="inlineStr">
        <is>
          <t>Hyderabad</t>
        </is>
      </c>
      <c r="J858" s="5" t="inlineStr">
        <is>
          <t>Full-Time</t>
        </is>
      </c>
      <c r="K858" s="7" t="n">
        <v>43904</v>
      </c>
      <c r="L858" s="7" t="inlineStr"/>
      <c r="M858" s="5" t="inlineStr">
        <is>
          <t>Yes</t>
        </is>
      </c>
      <c r="N858" s="5" t="inlineStr"/>
      <c r="O858" s="8" t="inlineStr">
        <is>
          <t>168000</t>
        </is>
      </c>
      <c r="P858" s="5" t="inlineStr">
        <is>
          <t>0</t>
        </is>
      </c>
      <c r="Q858" s="5" t="inlineStr">
        <is>
          <t>4</t>
        </is>
      </c>
      <c r="R858" s="5" t="inlineStr">
        <is>
          <t>7</t>
        </is>
      </c>
      <c r="S858" s="5" t="inlineStr">
        <is>
          <t>70</t>
        </is>
      </c>
      <c r="T858" s="5" t="inlineStr">
        <is>
          <t>0</t>
        </is>
      </c>
      <c r="U858" s="5" t="inlineStr">
        <is>
          <t>OK</t>
        </is>
      </c>
    </row>
    <row r="859">
      <c r="A859" s="5" t="inlineStr">
        <is>
          <t>E00355</t>
        </is>
      </c>
      <c r="B859" s="5" t="inlineStr">
        <is>
          <t>Female</t>
        </is>
      </c>
      <c r="C859" s="6" t="inlineStr">
        <is>
          <t>31</t>
        </is>
      </c>
      <c r="D859" s="5" t="inlineStr">
        <is>
          <t>Married</t>
        </is>
      </c>
      <c r="E859" s="5" t="inlineStr">
        <is>
          <t>PhD</t>
        </is>
      </c>
      <c r="F859" s="5" t="inlineStr">
        <is>
          <t>IT</t>
        </is>
      </c>
      <c r="G859" s="5" t="inlineStr">
        <is>
          <t>Data Analyst</t>
        </is>
      </c>
      <c r="H859" s="5" t="inlineStr">
        <is>
          <t>4</t>
        </is>
      </c>
      <c r="I859" s="5" t="inlineStr">
        <is>
          <t>Chennai</t>
        </is>
      </c>
      <c r="J859" s="5" t="inlineStr">
        <is>
          <t>Full-Time</t>
        </is>
      </c>
      <c r="K859" s="7" t="n">
        <v>44818</v>
      </c>
      <c r="L859" s="7" t="inlineStr"/>
      <c r="M859" s="5" t="inlineStr">
        <is>
          <t>Yes</t>
        </is>
      </c>
      <c r="N859" s="5" t="inlineStr"/>
      <c r="O859" s="8" t="inlineStr">
        <is>
          <t>126000</t>
        </is>
      </c>
      <c r="P859" s="5" t="inlineStr">
        <is>
          <t>0</t>
        </is>
      </c>
      <c r="Q859" s="5" t="inlineStr">
        <is>
          <t>5</t>
        </is>
      </c>
      <c r="R859" s="5" t="inlineStr">
        <is>
          <t>5</t>
        </is>
      </c>
      <c r="S859" s="5" t="inlineStr">
        <is>
          <t>40</t>
        </is>
      </c>
      <c r="T859" s="5" t="inlineStr">
        <is>
          <t>4</t>
        </is>
      </c>
      <c r="U859" s="5" t="inlineStr">
        <is>
          <t>OK</t>
        </is>
      </c>
    </row>
    <row r="860">
      <c r="A860" s="5" t="inlineStr">
        <is>
          <t>E02050</t>
        </is>
      </c>
      <c r="B860" s="5" t="inlineStr">
        <is>
          <t>Male</t>
        </is>
      </c>
      <c r="C860" s="6" t="inlineStr">
        <is>
          <t>32</t>
        </is>
      </c>
      <c r="D860" s="5" t="inlineStr">
        <is>
          <t>Married</t>
        </is>
      </c>
      <c r="E860" s="5" t="inlineStr">
        <is>
          <t>Master</t>
        </is>
      </c>
      <c r="F860" s="5" t="inlineStr">
        <is>
          <t>Research &amp; Development</t>
        </is>
      </c>
      <c r="G860" s="5" t="inlineStr">
        <is>
          <t>Research Scientist</t>
        </is>
      </c>
      <c r="H860" s="5" t="inlineStr">
        <is>
          <t>4</t>
        </is>
      </c>
      <c r="I860" s="5" t="inlineStr">
        <is>
          <t>Hyderabad</t>
        </is>
      </c>
      <c r="J860" s="5" t="inlineStr">
        <is>
          <t>Full-Time</t>
        </is>
      </c>
      <c r="K860" s="7" t="n">
        <v>45134</v>
      </c>
      <c r="L860" s="7" t="n">
        <v>45237</v>
      </c>
      <c r="M860" s="5" t="inlineStr">
        <is>
          <t>No</t>
        </is>
      </c>
      <c r="N860" s="5" t="inlineStr">
        <is>
          <t>Layoff</t>
        </is>
      </c>
      <c r="O860" s="8" t="inlineStr">
        <is>
          <t>137000</t>
        </is>
      </c>
      <c r="P860" s="5" t="inlineStr">
        <is>
          <t>0</t>
        </is>
      </c>
      <c r="Q860" s="5" t="inlineStr">
        <is>
          <t>4</t>
        </is>
      </c>
      <c r="R860" s="5" t="inlineStr">
        <is>
          <t>9</t>
        </is>
      </c>
      <c r="S860" s="5" t="inlineStr">
        <is>
          <t>3</t>
        </is>
      </c>
      <c r="T860" s="5" t="inlineStr">
        <is>
          <t>10</t>
        </is>
      </c>
      <c r="U860" s="5" t="inlineStr">
        <is>
          <t>OK</t>
        </is>
      </c>
    </row>
    <row r="861">
      <c r="A861" s="5" t="inlineStr">
        <is>
          <t>E01245</t>
        </is>
      </c>
      <c r="B861" s="5" t="inlineStr">
        <is>
          <t>Unknown</t>
        </is>
      </c>
      <c r="C861" s="6" t="inlineStr">
        <is>
          <t>33</t>
        </is>
      </c>
      <c r="D861" s="5" t="inlineStr">
        <is>
          <t>Married</t>
        </is>
      </c>
      <c r="E861" s="5" t="inlineStr">
        <is>
          <t>Master</t>
        </is>
      </c>
      <c r="F861" s="5" t="inlineStr">
        <is>
          <t>Marketing</t>
        </is>
      </c>
      <c r="G861" s="5" t="inlineStr">
        <is>
          <t>Marketing Analyst</t>
        </is>
      </c>
      <c r="H861" s="5" t="inlineStr">
        <is>
          <t>1</t>
        </is>
      </c>
      <c r="I861" s="5" t="inlineStr">
        <is>
          <t>Chennai</t>
        </is>
      </c>
      <c r="J861" s="5" t="inlineStr">
        <is>
          <t>Full-Time</t>
        </is>
      </c>
      <c r="K861" s="7" t="n">
        <v>45797</v>
      </c>
      <c r="L861" s="7" t="n">
        <v>45917</v>
      </c>
      <c r="M861" s="5" t="inlineStr">
        <is>
          <t>No</t>
        </is>
      </c>
      <c r="N861" s="5" t="inlineStr">
        <is>
          <t>Resigned</t>
        </is>
      </c>
      <c r="O861" s="8" t="inlineStr"/>
      <c r="P861" s="5" t="inlineStr">
        <is>
          <t>5</t>
        </is>
      </c>
      <c r="Q861" s="5" t="inlineStr">
        <is>
          <t>4</t>
        </is>
      </c>
      <c r="R861" s="5" t="inlineStr">
        <is>
          <t>6</t>
        </is>
      </c>
      <c r="S861" s="5" t="inlineStr">
        <is>
          <t>4</t>
        </is>
      </c>
      <c r="T861" s="5" t="inlineStr">
        <is>
          <t>9</t>
        </is>
      </c>
      <c r="U861" s="5" t="inlineStr">
        <is>
          <t>Blank salary; Bad gender</t>
        </is>
      </c>
    </row>
    <row r="862">
      <c r="A862" s="5" t="inlineStr">
        <is>
          <t>E02119</t>
        </is>
      </c>
      <c r="B862" s="5" t="inlineStr">
        <is>
          <t>Female</t>
        </is>
      </c>
      <c r="C862" s="6" t="inlineStr">
        <is>
          <t>39</t>
        </is>
      </c>
      <c r="D862" s="5" t="inlineStr">
        <is>
          <t>Married</t>
        </is>
      </c>
      <c r="E862" s="5" t="inlineStr">
        <is>
          <t>Bachelor</t>
        </is>
      </c>
      <c r="F862" s="5" t="inlineStr">
        <is>
          <t>Customer Support</t>
        </is>
      </c>
      <c r="G862" s="5" t="inlineStr">
        <is>
          <t>Escalation Specialist</t>
        </is>
      </c>
      <c r="H862" s="5" t="inlineStr">
        <is>
          <t>4</t>
        </is>
      </c>
      <c r="I862" s="5" t="inlineStr">
        <is>
          <t>Delhi</t>
        </is>
      </c>
      <c r="J862" s="5" t="inlineStr">
        <is>
          <t>Full-Time</t>
        </is>
      </c>
      <c r="K862" s="7" t="n">
        <v>45511</v>
      </c>
      <c r="L862" s="7" t="inlineStr"/>
      <c r="M862" s="5" t="inlineStr">
        <is>
          <t>Yes</t>
        </is>
      </c>
      <c r="N862" s="5" t="inlineStr"/>
      <c r="O862" s="8" t="inlineStr">
        <is>
          <t>73000</t>
        </is>
      </c>
      <c r="P862" s="5" t="inlineStr">
        <is>
          <t>0</t>
        </is>
      </c>
      <c r="Q862" s="5" t="inlineStr">
        <is>
          <t>5</t>
        </is>
      </c>
      <c r="R862" s="5" t="inlineStr">
        <is>
          <t>8</t>
        </is>
      </c>
      <c r="S862" s="5" t="inlineStr">
        <is>
          <t>17</t>
        </is>
      </c>
      <c r="T862" s="5" t="inlineStr">
        <is>
          <t>15</t>
        </is>
      </c>
      <c r="U862" s="5" t="inlineStr">
        <is>
          <t>OK</t>
        </is>
      </c>
    </row>
    <row r="863">
      <c r="A863" s="5" t="inlineStr">
        <is>
          <t>E02465</t>
        </is>
      </c>
      <c r="B863" s="5" t="inlineStr">
        <is>
          <t>Male</t>
        </is>
      </c>
      <c r="C863" s="6" t="inlineStr">
        <is>
          <t>29</t>
        </is>
      </c>
      <c r="D863" s="5" t="inlineStr">
        <is>
          <t>Single</t>
        </is>
      </c>
      <c r="E863" s="5" t="inlineStr">
        <is>
          <t>PhD</t>
        </is>
      </c>
      <c r="F863" s="5" t="inlineStr">
        <is>
          <t>Sales</t>
        </is>
      </c>
      <c r="G863" s="5" t="inlineStr">
        <is>
          <t>Business Development</t>
        </is>
      </c>
      <c r="H863" s="5" t="inlineStr">
        <is>
          <t>3</t>
        </is>
      </c>
      <c r="I863" s="5" t="inlineStr">
        <is>
          <t>Delhi</t>
        </is>
      </c>
      <c r="J863" s="5" t="inlineStr">
        <is>
          <t>Contract</t>
        </is>
      </c>
      <c r="K863" s="7" t="n">
        <v>44624</v>
      </c>
      <c r="L863" s="7" t="inlineStr"/>
      <c r="M863" s="5" t="inlineStr">
        <is>
          <t>Yes</t>
        </is>
      </c>
      <c r="N863" s="5" t="inlineStr"/>
      <c r="O863" s="8" t="inlineStr">
        <is>
          <t>113500</t>
        </is>
      </c>
      <c r="P863" s="5" t="inlineStr">
        <is>
          <t>20</t>
        </is>
      </c>
      <c r="Q863" s="5" t="inlineStr">
        <is>
          <t>5</t>
        </is>
      </c>
      <c r="R863" s="5" t="inlineStr">
        <is>
          <t>7</t>
        </is>
      </c>
      <c r="S863" s="5" t="inlineStr">
        <is>
          <t>46</t>
        </is>
      </c>
      <c r="T863" s="5" t="inlineStr">
        <is>
          <t>8</t>
        </is>
      </c>
      <c r="U863" s="5" t="inlineStr">
        <is>
          <t>OK</t>
        </is>
      </c>
    </row>
    <row r="864">
      <c r="A864" s="5" t="inlineStr">
        <is>
          <t>E00677</t>
        </is>
      </c>
      <c r="B864" s="5" t="inlineStr">
        <is>
          <t>Female</t>
        </is>
      </c>
      <c r="C864" s="6" t="inlineStr">
        <is>
          <t>33</t>
        </is>
      </c>
      <c r="D864" s="5" t="inlineStr">
        <is>
          <t>Married</t>
        </is>
      </c>
      <c r="E864" s="5" t="inlineStr">
        <is>
          <t>Bachelor</t>
        </is>
      </c>
      <c r="F864" s="5" t="inlineStr">
        <is>
          <t>IT</t>
        </is>
      </c>
      <c r="G864" s="5" t="inlineStr">
        <is>
          <t>DevOps Engineer</t>
        </is>
      </c>
      <c r="H864" s="5" t="inlineStr">
        <is>
          <t>3</t>
        </is>
      </c>
      <c r="I864" s="5" t="inlineStr">
        <is>
          <t>Bengaluru</t>
        </is>
      </c>
      <c r="J864" s="5" t="inlineStr">
        <is>
          <t>Full-Time</t>
        </is>
      </c>
      <c r="K864" s="7" t="n">
        <v>44179</v>
      </c>
      <c r="L864" s="7" t="inlineStr"/>
      <c r="M864" s="5" t="inlineStr">
        <is>
          <t>Yes</t>
        </is>
      </c>
      <c r="N864" s="5" t="inlineStr"/>
      <c r="O864" s="8" t="inlineStr">
        <is>
          <t>187000</t>
        </is>
      </c>
      <c r="P864" s="5" t="inlineStr">
        <is>
          <t>15</t>
        </is>
      </c>
      <c r="Q864" s="5" t="inlineStr">
        <is>
          <t>4</t>
        </is>
      </c>
      <c r="R864" s="5" t="inlineStr">
        <is>
          <t>8</t>
        </is>
      </c>
      <c r="S864" s="5" t="inlineStr">
        <is>
          <t>61</t>
        </is>
      </c>
      <c r="T864" s="5" t="inlineStr">
        <is>
          <t>6</t>
        </is>
      </c>
      <c r="U864" s="5" t="inlineStr">
        <is>
          <t>OK</t>
        </is>
      </c>
    </row>
    <row r="865">
      <c r="A865" s="5" t="inlineStr">
        <is>
          <t>E01922</t>
        </is>
      </c>
      <c r="B865" s="5" t="inlineStr">
        <is>
          <t>Female</t>
        </is>
      </c>
      <c r="C865" s="6" t="inlineStr">
        <is>
          <t>31</t>
        </is>
      </c>
      <c r="D865" s="5" t="inlineStr">
        <is>
          <t>Single</t>
        </is>
      </c>
      <c r="E865" s="5" t="inlineStr">
        <is>
          <t>Bachelor</t>
        </is>
      </c>
      <c r="F865" s="5" t="inlineStr">
        <is>
          <t>Marketing</t>
        </is>
      </c>
      <c r="G865" s="5" t="inlineStr">
        <is>
          <t>SEO Specialist</t>
        </is>
      </c>
      <c r="H865" s="5" t="inlineStr">
        <is>
          <t>4</t>
        </is>
      </c>
      <c r="I865" s="5" t="inlineStr">
        <is>
          <t>Chennai</t>
        </is>
      </c>
      <c r="J865" s="5" t="inlineStr">
        <is>
          <t>Full-Time</t>
        </is>
      </c>
      <c r="K865" s="7" t="n">
        <v>44357</v>
      </c>
      <c r="L865" s="7" t="inlineStr"/>
      <c r="M865" s="5" t="inlineStr">
        <is>
          <t>Yes</t>
        </is>
      </c>
      <c r="N865" s="5" t="inlineStr"/>
      <c r="O865" s="8" t="inlineStr">
        <is>
          <t>98500</t>
        </is>
      </c>
      <c r="P865" s="5" t="inlineStr">
        <is>
          <t>5</t>
        </is>
      </c>
      <c r="Q865" s="5" t="inlineStr">
        <is>
          <t>3</t>
        </is>
      </c>
      <c r="R865" s="5" t="inlineStr">
        <is>
          <t>8</t>
        </is>
      </c>
      <c r="S865" s="5" t="inlineStr">
        <is>
          <t>55</t>
        </is>
      </c>
      <c r="T865" s="5" t="inlineStr">
        <is>
          <t>9</t>
        </is>
      </c>
      <c r="U865" s="5" t="inlineStr">
        <is>
          <t>OK</t>
        </is>
      </c>
    </row>
    <row r="866">
      <c r="A866" s="5" t="inlineStr">
        <is>
          <t>E01989</t>
        </is>
      </c>
      <c r="B866" s="5" t="inlineStr">
        <is>
          <t>Male</t>
        </is>
      </c>
      <c r="C866" s="6" t="inlineStr">
        <is>
          <t>39</t>
        </is>
      </c>
      <c r="D866" s="5" t="inlineStr">
        <is>
          <t>Single</t>
        </is>
      </c>
      <c r="E866" s="5" t="inlineStr">
        <is>
          <t>Diploma</t>
        </is>
      </c>
      <c r="F866" s="5" t="inlineStr">
        <is>
          <t>Customer Support</t>
        </is>
      </c>
      <c r="G866" s="5" t="inlineStr">
        <is>
          <t>Support Lead</t>
        </is>
      </c>
      <c r="H866" s="5" t="inlineStr">
        <is>
          <t>7</t>
        </is>
      </c>
      <c r="I866" s="5" t="inlineStr">
        <is>
          <t>Remote</t>
        </is>
      </c>
      <c r="J866" s="5" t="inlineStr">
        <is>
          <t>Full-Time</t>
        </is>
      </c>
      <c r="K866" s="7" t="n">
        <v>45699</v>
      </c>
      <c r="L866" s="7" t="n">
        <v>45780</v>
      </c>
      <c r="M866" s="5" t="inlineStr">
        <is>
          <t>No</t>
        </is>
      </c>
      <c r="N866" s="5" t="inlineStr">
        <is>
          <t>Relocation</t>
        </is>
      </c>
      <c r="O866" s="8" t="inlineStr">
        <is>
          <t>103000</t>
        </is>
      </c>
      <c r="P866" s="5" t="inlineStr">
        <is>
          <t>0</t>
        </is>
      </c>
      <c r="Q866" s="5" t="inlineStr">
        <is>
          <t>2</t>
        </is>
      </c>
      <c r="R866" s="5" t="inlineStr">
        <is>
          <t>8</t>
        </is>
      </c>
      <c r="S866" s="5" t="inlineStr">
        <is>
          <t>2</t>
        </is>
      </c>
      <c r="T866" s="5" t="inlineStr">
        <is>
          <t>11</t>
        </is>
      </c>
      <c r="U866" s="5" t="inlineStr">
        <is>
          <t>OK</t>
        </is>
      </c>
    </row>
    <row r="867">
      <c r="A867" s="5" t="inlineStr">
        <is>
          <t>E02764</t>
        </is>
      </c>
      <c r="B867" s="5" t="inlineStr">
        <is>
          <t>Female</t>
        </is>
      </c>
      <c r="C867" s="6" t="inlineStr">
        <is>
          <t>25</t>
        </is>
      </c>
      <c r="D867" s="5" t="inlineStr">
        <is>
          <t>Married</t>
        </is>
      </c>
      <c r="E867" s="5" t="inlineStr">
        <is>
          <t>Diploma</t>
        </is>
      </c>
      <c r="F867" s="5" t="inlineStr">
        <is>
          <t>Customer Support</t>
        </is>
      </c>
      <c r="G867" s="5" t="inlineStr">
        <is>
          <t>Support Lead</t>
        </is>
      </c>
      <c r="H867" s="5" t="inlineStr">
        <is>
          <t>2</t>
        </is>
      </c>
      <c r="I867" s="5" t="inlineStr">
        <is>
          <t>Bengaluru</t>
        </is>
      </c>
      <c r="J867" s="5" t="inlineStr">
        <is>
          <t>Full-Time</t>
        </is>
      </c>
      <c r="K867" s="7" t="n">
        <v>44010</v>
      </c>
      <c r="L867" s="7" t="n">
        <v>44091</v>
      </c>
      <c r="M867" s="5" t="inlineStr">
        <is>
          <t>No</t>
        </is>
      </c>
      <c r="N867" s="5" t="inlineStr">
        <is>
          <t>Resigned</t>
        </is>
      </c>
      <c r="O867" s="8" t="inlineStr">
        <is>
          <t>74500</t>
        </is>
      </c>
      <c r="P867" s="5" t="inlineStr">
        <is>
          <t>0</t>
        </is>
      </c>
      <c r="Q867" s="5" t="inlineStr">
        <is>
          <t>3</t>
        </is>
      </c>
      <c r="R867" s="5" t="inlineStr">
        <is>
          <t>10</t>
        </is>
      </c>
      <c r="S867" s="5" t="inlineStr">
        <is>
          <t>2</t>
        </is>
      </c>
      <c r="T867" s="5" t="inlineStr">
        <is>
          <t>1</t>
        </is>
      </c>
      <c r="U867" s="5" t="inlineStr">
        <is>
          <t>OK</t>
        </is>
      </c>
    </row>
    <row r="868">
      <c r="A868" s="5" t="inlineStr">
        <is>
          <t>E02650</t>
        </is>
      </c>
      <c r="B868" s="5" t="inlineStr">
        <is>
          <t>Male</t>
        </is>
      </c>
      <c r="C868" s="6" t="inlineStr">
        <is>
          <t>25</t>
        </is>
      </c>
      <c r="D868" s="5" t="inlineStr">
        <is>
          <t>Married</t>
        </is>
      </c>
      <c r="E868" s="5" t="inlineStr">
        <is>
          <t>PhD</t>
        </is>
      </c>
      <c r="F868" s="5" t="inlineStr">
        <is>
          <t>Operations</t>
        </is>
      </c>
      <c r="G868" s="5" t="inlineStr">
        <is>
          <t>Logistics Coordinator</t>
        </is>
      </c>
      <c r="H868" s="5" t="inlineStr">
        <is>
          <t>2</t>
        </is>
      </c>
      <c r="I868" s="5" t="inlineStr">
        <is>
          <t>Mumbai</t>
        </is>
      </c>
      <c r="J868" s="5" t="inlineStr">
        <is>
          <t>Full-Time</t>
        </is>
      </c>
      <c r="K868" s="7" t="n">
        <v>44221</v>
      </c>
      <c r="L868" s="7" t="inlineStr"/>
      <c r="M868" s="5" t="inlineStr">
        <is>
          <t>Yes</t>
        </is>
      </c>
      <c r="N868" s="5" t="inlineStr"/>
      <c r="O868" s="8" t="inlineStr">
        <is>
          <t>109000</t>
        </is>
      </c>
      <c r="P868" s="5" t="inlineStr">
        <is>
          <t>0</t>
        </is>
      </c>
      <c r="Q868" s="5" t="inlineStr">
        <is>
          <t>3</t>
        </is>
      </c>
      <c r="R868" s="5" t="inlineStr">
        <is>
          <t>6</t>
        </is>
      </c>
      <c r="S868" s="5" t="inlineStr">
        <is>
          <t>60</t>
        </is>
      </c>
      <c r="T868" s="5" t="inlineStr">
        <is>
          <t>5</t>
        </is>
      </c>
      <c r="U868" s="5" t="inlineStr">
        <is>
          <t>OK</t>
        </is>
      </c>
    </row>
    <row r="869">
      <c r="A869" s="5" t="inlineStr">
        <is>
          <t>E02113</t>
        </is>
      </c>
      <c r="B869" s="5" t="inlineStr">
        <is>
          <t>Male</t>
        </is>
      </c>
      <c r="C869" s="6" t="inlineStr">
        <is>
          <t>32</t>
        </is>
      </c>
      <c r="D869" s="5" t="inlineStr">
        <is>
          <t>Married</t>
        </is>
      </c>
      <c r="E869" s="5" t="inlineStr">
        <is>
          <t>Diploma</t>
        </is>
      </c>
      <c r="F869" s="5" t="inlineStr">
        <is>
          <t>Marketing</t>
        </is>
      </c>
      <c r="G869" s="5" t="inlineStr">
        <is>
          <t>Content Writer</t>
        </is>
      </c>
      <c r="H869" s="5" t="inlineStr">
        <is>
          <t>2</t>
        </is>
      </c>
      <c r="I869" s="5" t="inlineStr">
        <is>
          <t>Remote</t>
        </is>
      </c>
      <c r="J869" s="5" t="inlineStr">
        <is>
          <t>Contract</t>
        </is>
      </c>
      <c r="K869" s="7" t="n">
        <v>45522</v>
      </c>
      <c r="L869" s="7" t="inlineStr"/>
      <c r="M869" s="5" t="inlineStr">
        <is>
          <t>Yes</t>
        </is>
      </c>
      <c r="N869" s="5" t="inlineStr"/>
      <c r="O869" s="8" t="inlineStr">
        <is>
          <t>89000</t>
        </is>
      </c>
      <c r="P869" s="5" t="inlineStr">
        <is>
          <t>15</t>
        </is>
      </c>
      <c r="Q869" s="5" t="inlineStr">
        <is>
          <t>4</t>
        </is>
      </c>
      <c r="R869" s="5" t="inlineStr">
        <is>
          <t>7</t>
        </is>
      </c>
      <c r="S869" s="5" t="inlineStr">
        <is>
          <t>16</t>
        </is>
      </c>
      <c r="T869" s="5" t="inlineStr">
        <is>
          <t>0</t>
        </is>
      </c>
      <c r="U869" s="5" t="inlineStr">
        <is>
          <t>OK</t>
        </is>
      </c>
    </row>
    <row r="870">
      <c r="A870" s="5" t="inlineStr">
        <is>
          <t>E00828</t>
        </is>
      </c>
      <c r="B870" s="5" t="inlineStr">
        <is>
          <t>Male</t>
        </is>
      </c>
      <c r="C870" s="6" t="inlineStr">
        <is>
          <t>37</t>
        </is>
      </c>
      <c r="D870" s="5" t="inlineStr">
        <is>
          <t>Single</t>
        </is>
      </c>
      <c r="E870" s="5" t="inlineStr">
        <is>
          <t>Diploma</t>
        </is>
      </c>
      <c r="F870" s="5" t="inlineStr">
        <is>
          <t>Marketing</t>
        </is>
      </c>
      <c r="G870" s="5" t="inlineStr">
        <is>
          <t>Marketing Analyst</t>
        </is>
      </c>
      <c r="H870" s="5" t="inlineStr">
        <is>
          <t>5</t>
        </is>
      </c>
      <c r="I870" s="5" t="inlineStr">
        <is>
          <t>Remote</t>
        </is>
      </c>
      <c r="J870" s="5" t="inlineStr">
        <is>
          <t>Full-Time</t>
        </is>
      </c>
      <c r="K870" s="7" t="n">
        <v>45838</v>
      </c>
      <c r="L870" s="7" t="n">
        <v>45929</v>
      </c>
      <c r="M870" s="5" t="inlineStr">
        <is>
          <t>No</t>
        </is>
      </c>
      <c r="N870" s="5" t="inlineStr">
        <is>
          <t>Resigned</t>
        </is>
      </c>
      <c r="O870" s="8" t="inlineStr">
        <is>
          <t>99500</t>
        </is>
      </c>
      <c r="P870" s="5" t="inlineStr">
        <is>
          <t>5</t>
        </is>
      </c>
      <c r="Q870" s="5" t="inlineStr">
        <is>
          <t>2</t>
        </is>
      </c>
      <c r="R870" s="5" t="inlineStr">
        <is>
          <t>3</t>
        </is>
      </c>
      <c r="S870" s="5" t="inlineStr">
        <is>
          <t>3</t>
        </is>
      </c>
      <c r="T870" s="5" t="inlineStr">
        <is>
          <t>9</t>
        </is>
      </c>
      <c r="U870" s="5" t="inlineStr">
        <is>
          <t>OK</t>
        </is>
      </c>
    </row>
    <row r="871">
      <c r="A871" s="5" t="inlineStr">
        <is>
          <t>E00210</t>
        </is>
      </c>
      <c r="B871" s="5" t="inlineStr">
        <is>
          <t>Male</t>
        </is>
      </c>
      <c r="C871" s="6" t="inlineStr">
        <is>
          <t>27</t>
        </is>
      </c>
      <c r="D871" s="5" t="inlineStr">
        <is>
          <t>Single</t>
        </is>
      </c>
      <c r="E871" s="5" t="inlineStr">
        <is>
          <t>Bachelor</t>
        </is>
      </c>
      <c r="F871" s="5" t="inlineStr">
        <is>
          <t>Customer Support</t>
        </is>
      </c>
      <c r="G871" s="5" t="inlineStr">
        <is>
          <t>Support Lead</t>
        </is>
      </c>
      <c r="H871" s="5" t="inlineStr">
        <is>
          <t>2</t>
        </is>
      </c>
      <c r="I871" s="5" t="inlineStr">
        <is>
          <t>Delhi</t>
        </is>
      </c>
      <c r="J871" s="5" t="inlineStr">
        <is>
          <t>Contract</t>
        </is>
      </c>
      <c r="K871" s="7" t="n">
        <v>45007</v>
      </c>
      <c r="L871" s="7" t="inlineStr"/>
      <c r="M871" s="5" t="inlineStr">
        <is>
          <t>Yes</t>
        </is>
      </c>
      <c r="N871" s="5" t="inlineStr"/>
      <c r="O871" s="8" t="inlineStr">
        <is>
          <t>72000</t>
        </is>
      </c>
      <c r="P871" s="5" t="inlineStr">
        <is>
          <t>5</t>
        </is>
      </c>
      <c r="Q871" s="5" t="inlineStr">
        <is>
          <t>4</t>
        </is>
      </c>
      <c r="R871" s="5" t="inlineStr">
        <is>
          <t>1</t>
        </is>
      </c>
      <c r="S871" s="5" t="inlineStr">
        <is>
          <t>33</t>
        </is>
      </c>
      <c r="T871" s="5" t="inlineStr">
        <is>
          <t>5</t>
        </is>
      </c>
      <c r="U871" s="5" t="inlineStr">
        <is>
          <t>OK</t>
        </is>
      </c>
    </row>
    <row r="872">
      <c r="A872" s="5" t="inlineStr">
        <is>
          <t>E02567</t>
        </is>
      </c>
      <c r="B872" s="5" t="inlineStr">
        <is>
          <t>Female</t>
        </is>
      </c>
      <c r="C872" s="6" t="inlineStr">
        <is>
          <t>30</t>
        </is>
      </c>
      <c r="D872" s="5" t="inlineStr">
        <is>
          <t>Single</t>
        </is>
      </c>
      <c r="E872" s="5" t="inlineStr">
        <is>
          <t>PhD</t>
        </is>
      </c>
      <c r="F872" s="5" t="inlineStr">
        <is>
          <t>Sales</t>
        </is>
      </c>
      <c r="G872" s="5" t="inlineStr">
        <is>
          <t>Account Executive</t>
        </is>
      </c>
      <c r="H872" s="5" t="inlineStr">
        <is>
          <t>3</t>
        </is>
      </c>
      <c r="I872" s="5" t="inlineStr">
        <is>
          <t>Mumbai</t>
        </is>
      </c>
      <c r="J872" s="5" t="inlineStr">
        <is>
          <t>Full-Time</t>
        </is>
      </c>
      <c r="K872" s="7" t="n">
        <v>45846</v>
      </c>
      <c r="L872" s="7" t="inlineStr"/>
      <c r="M872" s="5" t="inlineStr">
        <is>
          <t>Yes</t>
        </is>
      </c>
      <c r="N872" s="5" t="inlineStr"/>
      <c r="O872" s="8" t="inlineStr">
        <is>
          <t>78000</t>
        </is>
      </c>
      <c r="P872" s="5" t="inlineStr">
        <is>
          <t>10</t>
        </is>
      </c>
      <c r="Q872" s="5" t="inlineStr">
        <is>
          <t>2</t>
        </is>
      </c>
      <c r="R872" s="5" t="inlineStr">
        <is>
          <t>5</t>
        </is>
      </c>
      <c r="S872" s="5" t="inlineStr">
        <is>
          <t>5</t>
        </is>
      </c>
      <c r="T872" s="5" t="inlineStr">
        <is>
          <t>11</t>
        </is>
      </c>
      <c r="U872" s="5" t="inlineStr">
        <is>
          <t>OK</t>
        </is>
      </c>
    </row>
    <row r="873">
      <c r="A873" s="5" t="inlineStr">
        <is>
          <t>E00457</t>
        </is>
      </c>
      <c r="B873" s="5" t="inlineStr">
        <is>
          <t>Male</t>
        </is>
      </c>
      <c r="C873" s="6" t="inlineStr">
        <is>
          <t>33</t>
        </is>
      </c>
      <c r="D873" s="5" t="inlineStr">
        <is>
          <t>Married</t>
        </is>
      </c>
      <c r="E873" s="5" t="inlineStr">
        <is>
          <t>Bachelor</t>
        </is>
      </c>
      <c r="F873" s="5" t="inlineStr">
        <is>
          <t>Sales</t>
        </is>
      </c>
      <c r="G873" s="5" t="inlineStr">
        <is>
          <t>Account Executive</t>
        </is>
      </c>
      <c r="H873" s="5" t="inlineStr">
        <is>
          <t>3</t>
        </is>
      </c>
      <c r="I873" s="5" t="inlineStr">
        <is>
          <t>Bengaluru</t>
        </is>
      </c>
      <c r="J873" s="5" t="inlineStr">
        <is>
          <t>Full-Time</t>
        </is>
      </c>
      <c r="K873" s="7" t="n">
        <v>43934</v>
      </c>
      <c r="L873" s="7" t="inlineStr"/>
      <c r="M873" s="5" t="inlineStr">
        <is>
          <t>Yes</t>
        </is>
      </c>
      <c r="N873" s="5" t="inlineStr"/>
      <c r="O873" s="8" t="inlineStr">
        <is>
          <t>92500</t>
        </is>
      </c>
      <c r="P873" s="5" t="inlineStr">
        <is>
          <t>0</t>
        </is>
      </c>
      <c r="Q873" s="5" t="inlineStr">
        <is>
          <t>2</t>
        </is>
      </c>
      <c r="R873" s="5" t="inlineStr">
        <is>
          <t>7</t>
        </is>
      </c>
      <c r="S873" s="5" t="inlineStr">
        <is>
          <t>69</t>
        </is>
      </c>
      <c r="T873" s="5" t="inlineStr">
        <is>
          <t>0</t>
        </is>
      </c>
      <c r="U873" s="5" t="inlineStr">
        <is>
          <t>OK</t>
        </is>
      </c>
    </row>
    <row r="874">
      <c r="A874" s="5" t="inlineStr">
        <is>
          <t>E00454</t>
        </is>
      </c>
      <c r="B874" s="5" t="inlineStr">
        <is>
          <t>Female</t>
        </is>
      </c>
      <c r="C874" s="6" t="inlineStr">
        <is>
          <t>38</t>
        </is>
      </c>
      <c r="D874" s="5" t="inlineStr">
        <is>
          <t>Married</t>
        </is>
      </c>
      <c r="E874" s="5" t="inlineStr">
        <is>
          <t>High School</t>
        </is>
      </c>
      <c r="F874" s="5" t="inlineStr">
        <is>
          <t>Finance</t>
        </is>
      </c>
      <c r="G874" s="5" t="inlineStr">
        <is>
          <t>Financial Analyst</t>
        </is>
      </c>
      <c r="H874" s="5" t="inlineStr">
        <is>
          <t>3</t>
        </is>
      </c>
      <c r="I874" s="5" t="inlineStr">
        <is>
          <t>Mumbai</t>
        </is>
      </c>
      <c r="J874" s="5" t="inlineStr">
        <is>
          <t>Full-Time</t>
        </is>
      </c>
      <c r="K874" s="7" t="n">
        <v>44448</v>
      </c>
      <c r="L874" s="7" t="inlineStr"/>
      <c r="M874" s="5" t="inlineStr">
        <is>
          <t>Yes</t>
        </is>
      </c>
      <c r="N874" s="5" t="inlineStr"/>
      <c r="O874" s="8" t="inlineStr">
        <is>
          <t>104000</t>
        </is>
      </c>
      <c r="P874" s="5" t="inlineStr">
        <is>
          <t>0</t>
        </is>
      </c>
      <c r="Q874" s="5" t="inlineStr">
        <is>
          <t>3</t>
        </is>
      </c>
      <c r="R874" s="5" t="inlineStr">
        <is>
          <t>8</t>
        </is>
      </c>
      <c r="S874" s="5" t="inlineStr">
        <is>
          <t>52</t>
        </is>
      </c>
      <c r="T874" s="5" t="inlineStr">
        <is>
          <t>6</t>
        </is>
      </c>
      <c r="U874" s="5" t="inlineStr">
        <is>
          <t>OK</t>
        </is>
      </c>
    </row>
    <row r="875">
      <c r="A875" s="5" t="inlineStr">
        <is>
          <t>E00618</t>
        </is>
      </c>
      <c r="B875" s="5" t="inlineStr">
        <is>
          <t>Male</t>
        </is>
      </c>
      <c r="C875" s="6" t="inlineStr">
        <is>
          <t>32</t>
        </is>
      </c>
      <c r="D875" s="5" t="inlineStr">
        <is>
          <t>Divorced</t>
        </is>
      </c>
      <c r="E875" s="5" t="inlineStr">
        <is>
          <t>PhD</t>
        </is>
      </c>
      <c r="F875" s="5" t="inlineStr">
        <is>
          <t>IT</t>
        </is>
      </c>
      <c r="G875" s="5" t="inlineStr">
        <is>
          <t>Software Engineer</t>
        </is>
      </c>
      <c r="H875" s="5" t="inlineStr">
        <is>
          <t>4</t>
        </is>
      </c>
      <c r="I875" s="5" t="inlineStr">
        <is>
          <t>Delhi</t>
        </is>
      </c>
      <c r="J875" s="5" t="inlineStr">
        <is>
          <t>Full-Time</t>
        </is>
      </c>
      <c r="K875" s="7" t="n">
        <v>44879</v>
      </c>
      <c r="L875" s="7" t="inlineStr"/>
      <c r="M875" s="5" t="inlineStr">
        <is>
          <t>Yes</t>
        </is>
      </c>
      <c r="N875" s="5" t="inlineStr"/>
      <c r="O875" s="8" t="inlineStr">
        <is>
          <t>137500</t>
        </is>
      </c>
      <c r="P875" s="5" t="inlineStr">
        <is>
          <t>5</t>
        </is>
      </c>
      <c r="Q875" s="5" t="inlineStr">
        <is>
          <t>4</t>
        </is>
      </c>
      <c r="R875" s="5" t="inlineStr">
        <is>
          <t>8</t>
        </is>
      </c>
      <c r="S875" s="5" t="inlineStr">
        <is>
          <t>38</t>
        </is>
      </c>
      <c r="T875" s="5" t="inlineStr">
        <is>
          <t>4</t>
        </is>
      </c>
      <c r="U875" s="5" t="inlineStr">
        <is>
          <t>OK</t>
        </is>
      </c>
    </row>
    <row r="876">
      <c r="A876" s="5" t="inlineStr">
        <is>
          <t>E02197</t>
        </is>
      </c>
      <c r="B876" s="5" t="inlineStr">
        <is>
          <t>Male</t>
        </is>
      </c>
      <c r="C876" s="6" t="inlineStr">
        <is>
          <t>35</t>
        </is>
      </c>
      <c r="D876" s="5" t="inlineStr">
        <is>
          <t>Single</t>
        </is>
      </c>
      <c r="E876" s="5" t="inlineStr">
        <is>
          <t>High School</t>
        </is>
      </c>
      <c r="F876" s="5" t="inlineStr">
        <is>
          <t>Sales</t>
        </is>
      </c>
      <c r="G876" s="5" t="inlineStr">
        <is>
          <t>Sales Executive</t>
        </is>
      </c>
      <c r="H876" s="5" t="inlineStr">
        <is>
          <t>2</t>
        </is>
      </c>
      <c r="I876" s="5" t="inlineStr">
        <is>
          <t>Delhi</t>
        </is>
      </c>
      <c r="J876" s="5" t="inlineStr">
        <is>
          <t>Full-Time</t>
        </is>
      </c>
      <c r="K876" s="7" t="n">
        <v>45236</v>
      </c>
      <c r="L876" s="7" t="inlineStr"/>
      <c r="M876" s="5" t="inlineStr">
        <is>
          <t>Yes</t>
        </is>
      </c>
      <c r="N876" s="5" t="inlineStr"/>
      <c r="O876" s="8" t="inlineStr">
        <is>
          <t>73000</t>
        </is>
      </c>
      <c r="P876" s="5" t="inlineStr">
        <is>
          <t>10</t>
        </is>
      </c>
      <c r="Q876" s="5" t="inlineStr">
        <is>
          <t>3</t>
        </is>
      </c>
      <c r="R876" s="5" t="inlineStr">
        <is>
          <t>8</t>
        </is>
      </c>
      <c r="S876" s="5" t="inlineStr">
        <is>
          <t>26</t>
        </is>
      </c>
      <c r="T876" s="5" t="inlineStr">
        <is>
          <t>12</t>
        </is>
      </c>
      <c r="U876" s="5" t="inlineStr">
        <is>
          <t>OK</t>
        </is>
      </c>
    </row>
    <row r="877">
      <c r="A877" s="5" t="inlineStr">
        <is>
          <t>E00257</t>
        </is>
      </c>
      <c r="B877" s="5" t="inlineStr">
        <is>
          <t>Male</t>
        </is>
      </c>
      <c r="C877" s="6" t="inlineStr">
        <is>
          <t>24</t>
        </is>
      </c>
      <c r="D877" s="5" t="inlineStr">
        <is>
          <t>Married</t>
        </is>
      </c>
      <c r="E877" s="5" t="inlineStr">
        <is>
          <t>Bachelor</t>
        </is>
      </c>
      <c r="F877" s="5" t="inlineStr">
        <is>
          <t>Finance</t>
        </is>
      </c>
      <c r="G877" s="5" t="inlineStr">
        <is>
          <t>Accountant</t>
        </is>
      </c>
      <c r="H877" s="5" t="inlineStr">
        <is>
          <t>1</t>
        </is>
      </c>
      <c r="I877" s="5" t="inlineStr">
        <is>
          <t>Hyderabad</t>
        </is>
      </c>
      <c r="J877" s="5" t="inlineStr">
        <is>
          <t>Full-Time</t>
        </is>
      </c>
      <c r="K877" s="7" t="n">
        <v>44486</v>
      </c>
      <c r="L877" s="7" t="n">
        <v>44579</v>
      </c>
      <c r="M877" s="5" t="inlineStr">
        <is>
          <t>No</t>
        </is>
      </c>
      <c r="N877" s="5" t="inlineStr">
        <is>
          <t>Retirement</t>
        </is>
      </c>
      <c r="O877" s="8" t="inlineStr">
        <is>
          <t>64000</t>
        </is>
      </c>
      <c r="P877" s="5" t="inlineStr">
        <is>
          <t>0</t>
        </is>
      </c>
      <c r="Q877" s="5" t="inlineStr">
        <is>
          <t>4</t>
        </is>
      </c>
      <c r="R877" s="5" t="inlineStr">
        <is>
          <t>7</t>
        </is>
      </c>
      <c r="S877" s="5" t="inlineStr">
        <is>
          <t>3</t>
        </is>
      </c>
      <c r="T877" s="5" t="inlineStr">
        <is>
          <t>21</t>
        </is>
      </c>
      <c r="U877" s="5" t="inlineStr">
        <is>
          <t>OK</t>
        </is>
      </c>
    </row>
    <row r="878">
      <c r="A878" s="5" t="inlineStr">
        <is>
          <t>E01986</t>
        </is>
      </c>
      <c r="B878" s="5" t="inlineStr">
        <is>
          <t>Female</t>
        </is>
      </c>
      <c r="C878" s="6" t="inlineStr">
        <is>
          <t>36</t>
        </is>
      </c>
      <c r="D878" s="5" t="inlineStr">
        <is>
          <t>Married</t>
        </is>
      </c>
      <c r="E878" s="5" t="inlineStr">
        <is>
          <t>PhD</t>
        </is>
      </c>
      <c r="F878" s="5" t="inlineStr">
        <is>
          <t>Customer Support</t>
        </is>
      </c>
      <c r="G878" s="5" t="inlineStr">
        <is>
          <t>Support Agent</t>
        </is>
      </c>
      <c r="H878" s="5" t="inlineStr">
        <is>
          <t>3</t>
        </is>
      </c>
      <c r="I878" s="5" t="inlineStr">
        <is>
          <t>Delhi</t>
        </is>
      </c>
      <c r="J878" s="5" t="inlineStr">
        <is>
          <t>Full-Time</t>
        </is>
      </c>
      <c r="K878" s="7" t="n">
        <v>44518</v>
      </c>
      <c r="L878" s="7" t="inlineStr"/>
      <c r="M878" s="5" t="inlineStr">
        <is>
          <t>Yes</t>
        </is>
      </c>
      <c r="N878" s="5" t="inlineStr"/>
      <c r="O878" s="8" t="inlineStr">
        <is>
          <t>73500</t>
        </is>
      </c>
      <c r="P878" s="5" t="inlineStr">
        <is>
          <t>0</t>
        </is>
      </c>
      <c r="Q878" s="5" t="inlineStr">
        <is>
          <t>4</t>
        </is>
      </c>
      <c r="R878" s="5" t="inlineStr">
        <is>
          <t>9</t>
        </is>
      </c>
      <c r="S878" s="5" t="inlineStr">
        <is>
          <t>50</t>
        </is>
      </c>
      <c r="T878" s="5" t="inlineStr">
        <is>
          <t>5</t>
        </is>
      </c>
      <c r="U878" s="5" t="inlineStr">
        <is>
          <t>OK</t>
        </is>
      </c>
    </row>
    <row r="879">
      <c r="A879" s="5" t="inlineStr">
        <is>
          <t>E02199</t>
        </is>
      </c>
      <c r="B879" s="5" t="inlineStr">
        <is>
          <t>Male</t>
        </is>
      </c>
      <c r="C879" s="6" t="inlineStr">
        <is>
          <t>28</t>
        </is>
      </c>
      <c r="D879" s="5" t="inlineStr">
        <is>
          <t>Divorced</t>
        </is>
      </c>
      <c r="E879" s="5" t="inlineStr">
        <is>
          <t>PhD</t>
        </is>
      </c>
      <c r="F879" s="5" t="inlineStr">
        <is>
          <t>Operations</t>
        </is>
      </c>
      <c r="G879" s="5" t="inlineStr">
        <is>
          <t>Operations Analyst</t>
        </is>
      </c>
      <c r="H879" s="5" t="inlineStr">
        <is>
          <t>3</t>
        </is>
      </c>
      <c r="I879" s="5" t="inlineStr">
        <is>
          <t>Delhi</t>
        </is>
      </c>
      <c r="J879" s="5" t="inlineStr">
        <is>
          <t>Full-Time</t>
        </is>
      </c>
      <c r="K879" s="7" t="n">
        <v>45665</v>
      </c>
      <c r="L879" s="7" t="n">
        <v>45735</v>
      </c>
      <c r="M879" s="5" t="inlineStr">
        <is>
          <t>No</t>
        </is>
      </c>
      <c r="N879" s="5" t="inlineStr">
        <is>
          <t>Resigned</t>
        </is>
      </c>
      <c r="O879" s="8" t="inlineStr">
        <is>
          <t>79000</t>
        </is>
      </c>
      <c r="P879" s="5" t="inlineStr">
        <is>
          <t>0</t>
        </is>
      </c>
      <c r="Q879" s="5" t="inlineStr">
        <is>
          <t>5</t>
        </is>
      </c>
      <c r="R879" s="5" t="inlineStr">
        <is>
          <t>7</t>
        </is>
      </c>
      <c r="S879" s="5" t="inlineStr">
        <is>
          <t>2</t>
        </is>
      </c>
      <c r="T879" s="5" t="inlineStr">
        <is>
          <t>3</t>
        </is>
      </c>
      <c r="U879" s="5" t="inlineStr">
        <is>
          <t>OK</t>
        </is>
      </c>
    </row>
    <row r="880">
      <c r="A880" s="5" t="inlineStr">
        <is>
          <t>E01430</t>
        </is>
      </c>
      <c r="B880" s="5" t="inlineStr">
        <is>
          <t>Female</t>
        </is>
      </c>
      <c r="C880" s="6" t="inlineStr">
        <is>
          <t>32</t>
        </is>
      </c>
      <c r="D880" s="5" t="inlineStr">
        <is>
          <t>Married</t>
        </is>
      </c>
      <c r="E880" s="5" t="inlineStr">
        <is>
          <t>Diploma</t>
        </is>
      </c>
      <c r="F880" s="5" t="inlineStr">
        <is>
          <t>Customer Support</t>
        </is>
      </c>
      <c r="G880" s="5" t="inlineStr">
        <is>
          <t>Support Lead</t>
        </is>
      </c>
      <c r="H880" s="5" t="inlineStr">
        <is>
          <t>1</t>
        </is>
      </c>
      <c r="I880" s="5" t="inlineStr">
        <is>
          <t>Delhi</t>
        </is>
      </c>
      <c r="J880" s="5" t="inlineStr">
        <is>
          <t>Contract</t>
        </is>
      </c>
      <c r="K880" s="7" t="n">
        <v>45348</v>
      </c>
      <c r="L880" s="7" t="inlineStr"/>
      <c r="M880" s="5" t="inlineStr">
        <is>
          <t>Yes</t>
        </is>
      </c>
      <c r="N880" s="5" t="inlineStr"/>
      <c r="O880" s="8" t="inlineStr">
        <is>
          <t>70500</t>
        </is>
      </c>
      <c r="P880" s="5" t="inlineStr">
        <is>
          <t>0</t>
        </is>
      </c>
      <c r="Q880" s="5" t="inlineStr">
        <is>
          <t>5</t>
        </is>
      </c>
      <c r="R880" s="5" t="inlineStr">
        <is>
          <t>6</t>
        </is>
      </c>
      <c r="S880" s="5" t="inlineStr">
        <is>
          <t>22</t>
        </is>
      </c>
      <c r="T880" s="5" t="inlineStr">
        <is>
          <t>0</t>
        </is>
      </c>
      <c r="U880" s="5" t="inlineStr">
        <is>
          <t>OK</t>
        </is>
      </c>
    </row>
    <row r="881">
      <c r="A881" s="5" t="inlineStr">
        <is>
          <t>E00843</t>
        </is>
      </c>
      <c r="B881" s="5" t="inlineStr">
        <is>
          <t>Female</t>
        </is>
      </c>
      <c r="C881" s="6" t="inlineStr">
        <is>
          <t>33</t>
        </is>
      </c>
      <c r="D881" s="5" t="inlineStr">
        <is>
          <t>Divorced</t>
        </is>
      </c>
      <c r="E881" s="5" t="inlineStr">
        <is>
          <t>PhD</t>
        </is>
      </c>
      <c r="F881" s="5" t="inlineStr">
        <is>
          <t>Finance</t>
        </is>
      </c>
      <c r="G881" s="5" t="inlineStr">
        <is>
          <t>Credit Analyst</t>
        </is>
      </c>
      <c r="H881" s="5" t="inlineStr">
        <is>
          <t>4</t>
        </is>
      </c>
      <c r="I881" s="5" t="inlineStr">
        <is>
          <t>Remote</t>
        </is>
      </c>
      <c r="J881" s="5" t="inlineStr">
        <is>
          <t>Full-Time</t>
        </is>
      </c>
      <c r="K881" s="7" t="n">
        <v>45624</v>
      </c>
      <c r="L881" s="7" t="inlineStr"/>
      <c r="M881" s="5" t="inlineStr">
        <is>
          <t>Yes</t>
        </is>
      </c>
      <c r="N881" s="5" t="inlineStr"/>
      <c r="O881" s="8" t="inlineStr">
        <is>
          <t>165500</t>
        </is>
      </c>
      <c r="P881" s="5" t="inlineStr">
        <is>
          <t>0</t>
        </is>
      </c>
      <c r="Q881" s="5" t="inlineStr">
        <is>
          <t>3</t>
        </is>
      </c>
      <c r="R881" s="5" t="inlineStr">
        <is>
          <t>6</t>
        </is>
      </c>
      <c r="S881" s="5" t="inlineStr">
        <is>
          <t>13</t>
        </is>
      </c>
      <c r="T881" s="5" t="inlineStr">
        <is>
          <t>0</t>
        </is>
      </c>
      <c r="U881" s="5" t="inlineStr">
        <is>
          <t>OK</t>
        </is>
      </c>
    </row>
    <row r="882">
      <c r="A882" s="5" t="inlineStr">
        <is>
          <t>E00140</t>
        </is>
      </c>
      <c r="B882" s="5" t="inlineStr">
        <is>
          <t>Female</t>
        </is>
      </c>
      <c r="C882" s="6" t="inlineStr">
        <is>
          <t>36</t>
        </is>
      </c>
      <c r="D882" s="5" t="inlineStr">
        <is>
          <t>Married</t>
        </is>
      </c>
      <c r="E882" s="5" t="inlineStr">
        <is>
          <t>High School</t>
        </is>
      </c>
      <c r="F882" s="5" t="inlineStr">
        <is>
          <t>Sales</t>
        </is>
      </c>
      <c r="G882" s="5" t="inlineStr">
        <is>
          <t>Sales Executive</t>
        </is>
      </c>
      <c r="H882" s="5" t="inlineStr">
        <is>
          <t>6</t>
        </is>
      </c>
      <c r="I882" s="5" t="inlineStr">
        <is>
          <t>Chennai</t>
        </is>
      </c>
      <c r="J882" s="5" t="inlineStr">
        <is>
          <t>Full-Time</t>
        </is>
      </c>
      <c r="K882" s="7" t="n">
        <v>45740</v>
      </c>
      <c r="L882" s="7" t="inlineStr"/>
      <c r="M882" s="5" t="inlineStr">
        <is>
          <t>Yes</t>
        </is>
      </c>
      <c r="N882" s="5" t="inlineStr"/>
      <c r="O882" s="8" t="inlineStr">
        <is>
          <t>119000</t>
        </is>
      </c>
      <c r="P882" s="5" t="inlineStr">
        <is>
          <t>15</t>
        </is>
      </c>
      <c r="Q882" s="5" t="inlineStr">
        <is>
          <t>4</t>
        </is>
      </c>
      <c r="R882" s="5" t="inlineStr">
        <is>
          <t>4</t>
        </is>
      </c>
      <c r="S882" s="5" t="inlineStr">
        <is>
          <t>9</t>
        </is>
      </c>
      <c r="T882" s="5" t="inlineStr">
        <is>
          <t>6</t>
        </is>
      </c>
      <c r="U882" s="5" t="inlineStr">
        <is>
          <t>OK</t>
        </is>
      </c>
    </row>
    <row r="883">
      <c r="A883" s="5" t="inlineStr">
        <is>
          <t>E00009</t>
        </is>
      </c>
      <c r="B883" s="5" t="inlineStr">
        <is>
          <t>Male</t>
        </is>
      </c>
      <c r="C883" s="6" t="inlineStr">
        <is>
          <t>34</t>
        </is>
      </c>
      <c r="D883" s="5" t="inlineStr">
        <is>
          <t>Married</t>
        </is>
      </c>
      <c r="E883" s="5" t="inlineStr">
        <is>
          <t>Diploma</t>
        </is>
      </c>
      <c r="F883" s="5" t="inlineStr">
        <is>
          <t>Customer Support</t>
        </is>
      </c>
      <c r="G883" s="5" t="inlineStr">
        <is>
          <t>Support Lead</t>
        </is>
      </c>
      <c r="H883" s="5" t="inlineStr">
        <is>
          <t>1</t>
        </is>
      </c>
      <c r="I883" s="5" t="inlineStr">
        <is>
          <t>Mumbai</t>
        </is>
      </c>
      <c r="J883" s="5" t="inlineStr">
        <is>
          <t>Full-Time</t>
        </is>
      </c>
      <c r="K883" s="7" t="n">
        <v>44922</v>
      </c>
      <c r="L883" s="7" t="n">
        <v>44967</v>
      </c>
      <c r="M883" s="5" t="inlineStr">
        <is>
          <t>No</t>
        </is>
      </c>
      <c r="N883" s="5" t="inlineStr">
        <is>
          <t>Resigned</t>
        </is>
      </c>
      <c r="O883" s="8" t="inlineStr">
        <is>
          <t>56000</t>
        </is>
      </c>
      <c r="P883" s="5" t="inlineStr">
        <is>
          <t>5</t>
        </is>
      </c>
      <c r="Q883" s="5" t="inlineStr">
        <is>
          <t>5</t>
        </is>
      </c>
      <c r="R883" s="5" t="inlineStr">
        <is>
          <t>8</t>
        </is>
      </c>
      <c r="S883" s="5" t="inlineStr">
        <is>
          <t>1</t>
        </is>
      </c>
      <c r="T883" s="5" t="inlineStr">
        <is>
          <t>16</t>
        </is>
      </c>
      <c r="U883" s="5" t="inlineStr">
        <is>
          <t>OK</t>
        </is>
      </c>
    </row>
    <row r="884">
      <c r="A884" s="5" t="inlineStr">
        <is>
          <t>E00111</t>
        </is>
      </c>
      <c r="B884" s="5" t="inlineStr">
        <is>
          <t>Male</t>
        </is>
      </c>
      <c r="C884" s="6" t="inlineStr">
        <is>
          <t>37</t>
        </is>
      </c>
      <c r="D884" s="5" t="inlineStr">
        <is>
          <t>Single</t>
        </is>
      </c>
      <c r="E884" s="5" t="inlineStr">
        <is>
          <t>Diploma</t>
        </is>
      </c>
      <c r="F884" s="5" t="inlineStr">
        <is>
          <t>Human Resources</t>
        </is>
      </c>
      <c r="G884" s="5" t="inlineStr">
        <is>
          <t>HR Analyst</t>
        </is>
      </c>
      <c r="H884" s="5" t="inlineStr">
        <is>
          <t>5</t>
        </is>
      </c>
      <c r="I884" s="5" t="inlineStr">
        <is>
          <t>Chennai</t>
        </is>
      </c>
      <c r="J884" s="5" t="inlineStr">
        <is>
          <t>Part-Time</t>
        </is>
      </c>
      <c r="K884" s="7" t="n">
        <v>45925</v>
      </c>
      <c r="L884" s="7" t="inlineStr"/>
      <c r="M884" s="5" t="inlineStr">
        <is>
          <t>Yes</t>
        </is>
      </c>
      <c r="N884" s="5" t="inlineStr"/>
      <c r="O884" s="8" t="inlineStr">
        <is>
          <t>115000</t>
        </is>
      </c>
      <c r="P884" s="5" t="inlineStr">
        <is>
          <t>5</t>
        </is>
      </c>
      <c r="Q884" s="5" t="inlineStr">
        <is>
          <t>4</t>
        </is>
      </c>
      <c r="R884" s="5" t="inlineStr">
        <is>
          <t>7</t>
        </is>
      </c>
      <c r="S884" s="5" t="inlineStr">
        <is>
          <t>3</t>
        </is>
      </c>
      <c r="T884" s="5" t="inlineStr">
        <is>
          <t>9</t>
        </is>
      </c>
      <c r="U884" s="5" t="inlineStr">
        <is>
          <t>OK</t>
        </is>
      </c>
    </row>
    <row r="885">
      <c r="A885" s="5" t="inlineStr">
        <is>
          <t>E02571</t>
        </is>
      </c>
      <c r="B885" s="5" t="inlineStr">
        <is>
          <t>Male</t>
        </is>
      </c>
      <c r="C885" s="6" t="inlineStr">
        <is>
          <t>33</t>
        </is>
      </c>
      <c r="D885" s="5" t="inlineStr">
        <is>
          <t>Married</t>
        </is>
      </c>
      <c r="E885" s="5" t="inlineStr">
        <is>
          <t>Master</t>
        </is>
      </c>
      <c r="F885" s="5" t="inlineStr">
        <is>
          <t>Sales</t>
        </is>
      </c>
      <c r="G885" s="5" t="inlineStr">
        <is>
          <t>Sales Executive</t>
        </is>
      </c>
      <c r="H885" s="5" t="inlineStr">
        <is>
          <t>1</t>
        </is>
      </c>
      <c r="I885" s="5" t="inlineStr">
        <is>
          <t>Hyderabad</t>
        </is>
      </c>
      <c r="J885" s="5" t="inlineStr">
        <is>
          <t>Full-Time</t>
        </is>
      </c>
      <c r="K885" s="7" t="n">
        <v>44855</v>
      </c>
      <c r="L885" s="7" t="inlineStr"/>
      <c r="M885" s="5" t="inlineStr">
        <is>
          <t>Yes</t>
        </is>
      </c>
      <c r="N885" s="5" t="inlineStr"/>
      <c r="O885" s="8" t="inlineStr">
        <is>
          <t>72000</t>
        </is>
      </c>
      <c r="P885" s="5" t="inlineStr">
        <is>
          <t>5</t>
        </is>
      </c>
      <c r="Q885" s="5" t="inlineStr">
        <is>
          <t>4</t>
        </is>
      </c>
      <c r="R885" s="5" t="inlineStr">
        <is>
          <t>7</t>
        </is>
      </c>
      <c r="S885" s="5" t="inlineStr">
        <is>
          <t>38</t>
        </is>
      </c>
      <c r="T885" s="5" t="inlineStr">
        <is>
          <t>12</t>
        </is>
      </c>
      <c r="U885" s="5" t="inlineStr">
        <is>
          <t>OK</t>
        </is>
      </c>
    </row>
    <row r="886">
      <c r="A886" s="5" t="inlineStr">
        <is>
          <t>E02331</t>
        </is>
      </c>
      <c r="B886" s="5" t="inlineStr">
        <is>
          <t>Male</t>
        </is>
      </c>
      <c r="C886" s="6" t="inlineStr">
        <is>
          <t>37</t>
        </is>
      </c>
      <c r="D886" s="5" t="inlineStr">
        <is>
          <t>Single</t>
        </is>
      </c>
      <c r="E886" s="5" t="inlineStr">
        <is>
          <t>PhD</t>
        </is>
      </c>
      <c r="F886" s="5" t="inlineStr">
        <is>
          <t>Customer Support</t>
        </is>
      </c>
      <c r="G886" s="5" t="inlineStr">
        <is>
          <t>Support Lead</t>
        </is>
      </c>
      <c r="H886" s="5" t="inlineStr">
        <is>
          <t>7</t>
        </is>
      </c>
      <c r="I886" s="5" t="inlineStr">
        <is>
          <t>Mumbai</t>
        </is>
      </c>
      <c r="J886" s="5" t="inlineStr">
        <is>
          <t>Full-Time</t>
        </is>
      </c>
      <c r="K886" s="7" t="n">
        <v>45975</v>
      </c>
      <c r="L886" s="7" t="inlineStr"/>
      <c r="M886" s="5" t="inlineStr">
        <is>
          <t>Yes</t>
        </is>
      </c>
      <c r="N886" s="5" t="inlineStr"/>
      <c r="O886" s="8" t="inlineStr">
        <is>
          <t>133000</t>
        </is>
      </c>
      <c r="P886" s="5" t="inlineStr">
        <is>
          <t>0</t>
        </is>
      </c>
      <c r="Q886" s="5" t="inlineStr">
        <is>
          <t>2</t>
        </is>
      </c>
      <c r="R886" s="5" t="inlineStr">
        <is>
          <t>9</t>
        </is>
      </c>
      <c r="S886" s="5" t="inlineStr">
        <is>
          <t>1</t>
        </is>
      </c>
      <c r="T886" s="5" t="inlineStr">
        <is>
          <t>3</t>
        </is>
      </c>
      <c r="U886" s="5" t="inlineStr">
        <is>
          <t>OK</t>
        </is>
      </c>
    </row>
    <row r="887">
      <c r="A887" s="5" t="inlineStr">
        <is>
          <t>E01279</t>
        </is>
      </c>
      <c r="B887" s="5" t="inlineStr">
        <is>
          <t>Male</t>
        </is>
      </c>
      <c r="C887" s="6" t="inlineStr">
        <is>
          <t>41</t>
        </is>
      </c>
      <c r="D887" s="5" t="inlineStr">
        <is>
          <t>Married</t>
        </is>
      </c>
      <c r="E887" s="5" t="inlineStr">
        <is>
          <t>Bachelor</t>
        </is>
      </c>
      <c r="F887" s="5" t="inlineStr">
        <is>
          <t>IT</t>
        </is>
      </c>
      <c r="G887" s="5" t="inlineStr">
        <is>
          <t>Software Engineer</t>
        </is>
      </c>
      <c r="H887" s="5" t="inlineStr">
        <is>
          <t>5</t>
        </is>
      </c>
      <c r="I887" s="5" t="inlineStr">
        <is>
          <t>Delhi</t>
        </is>
      </c>
      <c r="J887" s="5" t="inlineStr">
        <is>
          <t>Part-Time</t>
        </is>
      </c>
      <c r="K887" s="7" t="n">
        <v>45753</v>
      </c>
      <c r="L887" s="7" t="inlineStr"/>
      <c r="M887" s="5" t="inlineStr">
        <is>
          <t>Yes</t>
        </is>
      </c>
      <c r="N887" s="5" t="inlineStr"/>
      <c r="O887" s="8" t="inlineStr">
        <is>
          <t>156500</t>
        </is>
      </c>
      <c r="P887" s="5" t="inlineStr">
        <is>
          <t>0</t>
        </is>
      </c>
      <c r="Q887" s="5" t="inlineStr">
        <is>
          <t>4</t>
        </is>
      </c>
      <c r="R887" s="5" t="inlineStr">
        <is>
          <t>7</t>
        </is>
      </c>
      <c r="S887" s="5" t="inlineStr">
        <is>
          <t>8</t>
        </is>
      </c>
      <c r="T887" s="5" t="inlineStr">
        <is>
          <t>4</t>
        </is>
      </c>
      <c r="U887" s="5" t="inlineStr">
        <is>
          <t>OK</t>
        </is>
      </c>
    </row>
    <row r="888">
      <c r="A888" s="5" t="inlineStr">
        <is>
          <t>E02635</t>
        </is>
      </c>
      <c r="B888" s="5" t="inlineStr">
        <is>
          <t>Female</t>
        </is>
      </c>
      <c r="C888" s="6" t="inlineStr">
        <is>
          <t>27</t>
        </is>
      </c>
      <c r="D888" s="5" t="inlineStr">
        <is>
          <t>Married</t>
        </is>
      </c>
      <c r="E888" s="5" t="inlineStr">
        <is>
          <t>Diploma</t>
        </is>
      </c>
      <c r="F888" s="5" t="inlineStr">
        <is>
          <t>Finance</t>
        </is>
      </c>
      <c r="G888" s="5" t="inlineStr">
        <is>
          <t>Accountant</t>
        </is>
      </c>
      <c r="H888" s="5" t="inlineStr">
        <is>
          <t>3</t>
        </is>
      </c>
      <c r="I888" s="5" t="inlineStr">
        <is>
          <t>Remote</t>
        </is>
      </c>
      <c r="J888" s="5" t="inlineStr">
        <is>
          <t>Part-Time</t>
        </is>
      </c>
      <c r="K888" s="7" t="n">
        <v>44113</v>
      </c>
      <c r="L888" s="7" t="inlineStr"/>
      <c r="M888" s="5" t="inlineStr">
        <is>
          <t>Yes</t>
        </is>
      </c>
      <c r="N888" s="5" t="inlineStr"/>
      <c r="O888" s="8" t="inlineStr">
        <is>
          <t>138000</t>
        </is>
      </c>
      <c r="P888" s="5" t="inlineStr">
        <is>
          <t>5</t>
        </is>
      </c>
      <c r="Q888" s="5" t="inlineStr">
        <is>
          <t>5</t>
        </is>
      </c>
      <c r="R888" s="5" t="inlineStr">
        <is>
          <t>7</t>
        </is>
      </c>
      <c r="S888" s="5" t="inlineStr">
        <is>
          <t>63</t>
        </is>
      </c>
      <c r="T888" s="5" t="inlineStr">
        <is>
          <t>13</t>
        </is>
      </c>
      <c r="U888" s="5" t="inlineStr">
        <is>
          <t>OK</t>
        </is>
      </c>
    </row>
    <row r="889">
      <c r="A889" s="5" t="inlineStr">
        <is>
          <t>E01512</t>
        </is>
      </c>
      <c r="B889" s="5" t="inlineStr">
        <is>
          <t>female</t>
        </is>
      </c>
      <c r="C889" s="6" t="inlineStr">
        <is>
          <t>30</t>
        </is>
      </c>
      <c r="D889" s="5" t="inlineStr">
        <is>
          <t>Married</t>
        </is>
      </c>
      <c r="E889" s="5" t="inlineStr">
        <is>
          <t>High School</t>
        </is>
      </c>
      <c r="F889" s="5" t="inlineStr">
        <is>
          <t>Sales</t>
        </is>
      </c>
      <c r="G889" s="5" t="inlineStr">
        <is>
          <t>Account Executive</t>
        </is>
      </c>
      <c r="H889" s="5" t="inlineStr">
        <is>
          <t>1</t>
        </is>
      </c>
      <c r="I889" s="5" t="inlineStr">
        <is>
          <t>Delhi</t>
        </is>
      </c>
      <c r="J889" s="5" t="inlineStr">
        <is>
          <t>Full-Time</t>
        </is>
      </c>
      <c r="K889" s="7" t="n">
        <v>44697</v>
      </c>
      <c r="L889" s="7" t="n">
        <v>44795</v>
      </c>
      <c r="M889" s="5" t="inlineStr">
        <is>
          <t>No</t>
        </is>
      </c>
      <c r="N889" s="5" t="inlineStr">
        <is>
          <t>Resigned</t>
        </is>
      </c>
      <c r="O889" s="8" t="inlineStr">
        <is>
          <t>106500</t>
        </is>
      </c>
      <c r="P889" s="5" t="inlineStr">
        <is>
          <t>15</t>
        </is>
      </c>
      <c r="Q889" s="5" t="inlineStr">
        <is>
          <t>3</t>
        </is>
      </c>
      <c r="R889" s="5" t="inlineStr">
        <is>
          <t>6</t>
        </is>
      </c>
      <c r="S889" s="5" t="inlineStr">
        <is>
          <t>3</t>
        </is>
      </c>
      <c r="T889" s="5" t="inlineStr">
        <is>
          <t>4</t>
        </is>
      </c>
      <c r="U889" s="5" t="inlineStr">
        <is>
          <t>OK</t>
        </is>
      </c>
    </row>
    <row r="890">
      <c r="A890" s="5" t="inlineStr">
        <is>
          <t>E02288</t>
        </is>
      </c>
      <c r="B890" s="5" t="inlineStr">
        <is>
          <t>female</t>
        </is>
      </c>
      <c r="C890" s="6" t="inlineStr">
        <is>
          <t>34</t>
        </is>
      </c>
      <c r="D890" s="5" t="inlineStr">
        <is>
          <t>Single</t>
        </is>
      </c>
      <c r="E890" s="5" t="inlineStr">
        <is>
          <t>Diploma</t>
        </is>
      </c>
      <c r="F890" s="5" t="inlineStr">
        <is>
          <t>Research &amp; Development</t>
        </is>
      </c>
      <c r="G890" s="5" t="inlineStr">
        <is>
          <t>Product Engineer</t>
        </is>
      </c>
      <c r="H890" s="5" t="inlineStr">
        <is>
          <t>2</t>
        </is>
      </c>
      <c r="I890" s="5" t="inlineStr">
        <is>
          <t>Mumbai</t>
        </is>
      </c>
      <c r="J890" s="5" t="inlineStr">
        <is>
          <t>Full-Time</t>
        </is>
      </c>
      <c r="K890" s="7" t="n">
        <v>45495</v>
      </c>
      <c r="L890" s="7" t="inlineStr"/>
      <c r="M890" s="5" t="inlineStr">
        <is>
          <t>Yes</t>
        </is>
      </c>
      <c r="N890" s="5" t="inlineStr"/>
      <c r="O890" s="8" t="inlineStr">
        <is>
          <t>121000</t>
        </is>
      </c>
      <c r="P890" s="5" t="inlineStr">
        <is>
          <t>15</t>
        </is>
      </c>
      <c r="Q890" s="5" t="inlineStr">
        <is>
          <t>4</t>
        </is>
      </c>
      <c r="R890" s="5" t="inlineStr">
        <is>
          <t>8</t>
        </is>
      </c>
      <c r="S890" s="5" t="inlineStr">
        <is>
          <t>17</t>
        </is>
      </c>
      <c r="T890" s="5" t="inlineStr">
        <is>
          <t>0</t>
        </is>
      </c>
      <c r="U890" s="5" t="inlineStr">
        <is>
          <t>OK</t>
        </is>
      </c>
    </row>
    <row r="891">
      <c r="A891" s="5" t="inlineStr">
        <is>
          <t>E01587</t>
        </is>
      </c>
      <c r="B891" s="5" t="inlineStr">
        <is>
          <t>Male</t>
        </is>
      </c>
      <c r="C891" s="6" t="inlineStr">
        <is>
          <t>32</t>
        </is>
      </c>
      <c r="D891" s="5" t="inlineStr">
        <is>
          <t>Married</t>
        </is>
      </c>
      <c r="E891" s="5" t="inlineStr">
        <is>
          <t>PhD</t>
        </is>
      </c>
      <c r="F891" s="5" t="inlineStr">
        <is>
          <t>Operations</t>
        </is>
      </c>
      <c r="G891" s="5" t="inlineStr">
        <is>
          <t>Logistics Coordinator</t>
        </is>
      </c>
      <c r="H891" s="5" t="inlineStr">
        <is>
          <t>2</t>
        </is>
      </c>
      <c r="I891" s="5" t="inlineStr">
        <is>
          <t>Delhi</t>
        </is>
      </c>
      <c r="J891" s="5" t="inlineStr">
        <is>
          <t>Full-Time</t>
        </is>
      </c>
      <c r="K891" s="7" t="n">
        <v>45385</v>
      </c>
      <c r="L891" s="7" t="inlineStr"/>
      <c r="M891" s="5" t="inlineStr">
        <is>
          <t>Yes</t>
        </is>
      </c>
      <c r="N891" s="5" t="inlineStr"/>
      <c r="O891" s="8" t="inlineStr">
        <is>
          <t>83500</t>
        </is>
      </c>
      <c r="P891" s="5" t="inlineStr">
        <is>
          <t>5</t>
        </is>
      </c>
      <c r="Q891" s="5" t="inlineStr">
        <is>
          <t>3</t>
        </is>
      </c>
      <c r="R891" s="5" t="inlineStr">
        <is>
          <t>5</t>
        </is>
      </c>
      <c r="S891" s="5" t="inlineStr">
        <is>
          <t>21</t>
        </is>
      </c>
      <c r="T891" s="5" t="inlineStr">
        <is>
          <t>0</t>
        </is>
      </c>
      <c r="U891" s="5" t="inlineStr">
        <is>
          <t>OK</t>
        </is>
      </c>
    </row>
    <row r="892">
      <c r="A892" s="5" t="inlineStr">
        <is>
          <t>E02554</t>
        </is>
      </c>
      <c r="B892" s="5" t="inlineStr">
        <is>
          <t>Female</t>
        </is>
      </c>
      <c r="C892" s="6" t="inlineStr">
        <is>
          <t>26</t>
        </is>
      </c>
      <c r="D892" s="5" t="inlineStr">
        <is>
          <t>Married</t>
        </is>
      </c>
      <c r="E892" s="5" t="inlineStr">
        <is>
          <t>High School</t>
        </is>
      </c>
      <c r="F892" s="5" t="inlineStr">
        <is>
          <t>Human Resources</t>
        </is>
      </c>
      <c r="G892" s="5" t="inlineStr">
        <is>
          <t>HR Analyst</t>
        </is>
      </c>
      <c r="H892" s="5" t="inlineStr">
        <is>
          <t>2</t>
        </is>
      </c>
      <c r="I892" s="5" t="inlineStr">
        <is>
          <t>Hyderabad</t>
        </is>
      </c>
      <c r="J892" s="5" t="inlineStr">
        <is>
          <t>Full-Time</t>
        </is>
      </c>
      <c r="K892" s="7" t="n">
        <v>44557</v>
      </c>
      <c r="L892" s="7" t="inlineStr"/>
      <c r="M892" s="5" t="inlineStr">
        <is>
          <t>Yes</t>
        </is>
      </c>
      <c r="N892" s="5" t="inlineStr"/>
      <c r="O892" s="8" t="inlineStr">
        <is>
          <t>106000</t>
        </is>
      </c>
      <c r="P892" s="5" t="inlineStr">
        <is>
          <t>10</t>
        </is>
      </c>
      <c r="Q892" s="5" t="inlineStr">
        <is>
          <t>4</t>
        </is>
      </c>
      <c r="R892" s="5" t="inlineStr">
        <is>
          <t>4</t>
        </is>
      </c>
      <c r="S892" s="5" t="inlineStr">
        <is>
          <t>48</t>
        </is>
      </c>
      <c r="T892" s="5" t="inlineStr">
        <is>
          <t>6</t>
        </is>
      </c>
      <c r="U892" s="5" t="inlineStr">
        <is>
          <t>OK</t>
        </is>
      </c>
    </row>
    <row r="893">
      <c r="A893" s="5" t="inlineStr">
        <is>
          <t>E02735</t>
        </is>
      </c>
      <c r="B893" s="5" t="inlineStr">
        <is>
          <t>Male</t>
        </is>
      </c>
      <c r="C893" s="6" t="inlineStr">
        <is>
          <t>34</t>
        </is>
      </c>
      <c r="D893" s="5" t="inlineStr">
        <is>
          <t>Married</t>
        </is>
      </c>
      <c r="E893" s="5" t="inlineStr">
        <is>
          <t>High School</t>
        </is>
      </c>
      <c r="F893" s="5" t="inlineStr">
        <is>
          <t>IT</t>
        </is>
      </c>
      <c r="G893" s="5" t="inlineStr">
        <is>
          <t>Software Engineer</t>
        </is>
      </c>
      <c r="H893" s="5" t="inlineStr">
        <is>
          <t>1</t>
        </is>
      </c>
      <c r="I893" s="5" t="inlineStr">
        <is>
          <t>Chennai</t>
        </is>
      </c>
      <c r="J893" s="5" t="inlineStr">
        <is>
          <t>Full-Time</t>
        </is>
      </c>
      <c r="K893" s="7" t="n">
        <v>43846</v>
      </c>
      <c r="L893" s="7" t="inlineStr"/>
      <c r="M893" s="5" t="inlineStr">
        <is>
          <t>Yes</t>
        </is>
      </c>
      <c r="N893" s="5" t="inlineStr"/>
      <c r="O893" s="8" t="inlineStr">
        <is>
          <t>127500</t>
        </is>
      </c>
      <c r="P893" s="5" t="inlineStr">
        <is>
          <t>0</t>
        </is>
      </c>
      <c r="Q893" s="5" t="inlineStr">
        <is>
          <t>5</t>
        </is>
      </c>
      <c r="R893" s="5" t="inlineStr">
        <is>
          <t>7</t>
        </is>
      </c>
      <c r="S893" s="5" t="inlineStr">
        <is>
          <t>72</t>
        </is>
      </c>
      <c r="T893" s="5" t="inlineStr">
        <is>
          <t>0</t>
        </is>
      </c>
      <c r="U893" s="5" t="inlineStr">
        <is>
          <t>OK</t>
        </is>
      </c>
    </row>
    <row r="894">
      <c r="A894" s="5" t="inlineStr">
        <is>
          <t>E00626</t>
        </is>
      </c>
      <c r="B894" s="5" t="inlineStr">
        <is>
          <t>Male</t>
        </is>
      </c>
      <c r="C894" s="6" t="inlineStr">
        <is>
          <t>33</t>
        </is>
      </c>
      <c r="D894" s="5" t="inlineStr">
        <is>
          <t>Single</t>
        </is>
      </c>
      <c r="E894" s="5" t="inlineStr">
        <is>
          <t>Diploma</t>
        </is>
      </c>
      <c r="F894" s="5" t="inlineStr">
        <is>
          <t>Finance</t>
        </is>
      </c>
      <c r="G894" s="5" t="inlineStr">
        <is>
          <t>Financial Analyst</t>
        </is>
      </c>
      <c r="H894" s="5" t="inlineStr">
        <is>
          <t>3</t>
        </is>
      </c>
      <c r="I894" s="5" t="inlineStr">
        <is>
          <t>Delhi</t>
        </is>
      </c>
      <c r="J894" s="5" t="inlineStr">
        <is>
          <t>Contract</t>
        </is>
      </c>
      <c r="K894" s="7" t="n">
        <v>44644</v>
      </c>
      <c r="L894" s="7" t="inlineStr"/>
      <c r="M894" s="5" t="inlineStr">
        <is>
          <t>Yes</t>
        </is>
      </c>
      <c r="N894" s="5" t="inlineStr"/>
      <c r="O894" s="8" t="inlineStr"/>
      <c r="P894" s="5" t="inlineStr">
        <is>
          <t>10</t>
        </is>
      </c>
      <c r="Q894" s="5" t="inlineStr">
        <is>
          <t>3</t>
        </is>
      </c>
      <c r="R894" s="5" t="inlineStr">
        <is>
          <t>5</t>
        </is>
      </c>
      <c r="S894" s="5" t="inlineStr">
        <is>
          <t>45</t>
        </is>
      </c>
      <c r="T894" s="5" t="inlineStr">
        <is>
          <t>8</t>
        </is>
      </c>
      <c r="U894" s="5" t="inlineStr">
        <is>
          <t>Blank salary</t>
        </is>
      </c>
    </row>
    <row r="895">
      <c r="A895" s="5" t="inlineStr">
        <is>
          <t>E01799</t>
        </is>
      </c>
      <c r="B895" s="5" t="inlineStr">
        <is>
          <t>Male</t>
        </is>
      </c>
      <c r="C895" s="6" t="inlineStr">
        <is>
          <t>31</t>
        </is>
      </c>
      <c r="D895" s="5" t="inlineStr">
        <is>
          <t>Divorced</t>
        </is>
      </c>
      <c r="E895" s="5" t="inlineStr">
        <is>
          <t>Master</t>
        </is>
      </c>
      <c r="F895" s="5" t="inlineStr">
        <is>
          <t>Research &amp; Development</t>
        </is>
      </c>
      <c r="G895" s="5" t="inlineStr">
        <is>
          <t>Research Scientist</t>
        </is>
      </c>
      <c r="H895" s="5" t="inlineStr">
        <is>
          <t>2</t>
        </is>
      </c>
      <c r="I895" s="5" t="inlineStr">
        <is>
          <t>Hyderabad</t>
        </is>
      </c>
      <c r="J895" s="5" t="inlineStr">
        <is>
          <t>Part-Time</t>
        </is>
      </c>
      <c r="K895" s="7" t="n">
        <v>44230</v>
      </c>
      <c r="L895" s="7" t="inlineStr"/>
      <c r="M895" s="5" t="inlineStr">
        <is>
          <t>Yes</t>
        </is>
      </c>
      <c r="N895" s="5" t="inlineStr"/>
      <c r="O895" s="8" t="inlineStr">
        <is>
          <t>127500</t>
        </is>
      </c>
      <c r="P895" s="5" t="inlineStr">
        <is>
          <t>10</t>
        </is>
      </c>
      <c r="Q895" s="5" t="inlineStr">
        <is>
          <t>3</t>
        </is>
      </c>
      <c r="R895" s="5" t="inlineStr">
        <is>
          <t>6</t>
        </is>
      </c>
      <c r="S895" s="5" t="inlineStr">
        <is>
          <t>59</t>
        </is>
      </c>
      <c r="T895" s="5" t="inlineStr">
        <is>
          <t>12</t>
        </is>
      </c>
      <c r="U895" s="5" t="inlineStr">
        <is>
          <t>OK</t>
        </is>
      </c>
    </row>
    <row r="896">
      <c r="A896" s="5" t="inlineStr">
        <is>
          <t>E00410</t>
        </is>
      </c>
      <c r="B896" s="5" t="inlineStr">
        <is>
          <t>Male</t>
        </is>
      </c>
      <c r="C896" s="6" t="inlineStr">
        <is>
          <t>29</t>
        </is>
      </c>
      <c r="D896" s="5" t="inlineStr">
        <is>
          <t>Single</t>
        </is>
      </c>
      <c r="E896" s="5" t="inlineStr">
        <is>
          <t>Diploma</t>
        </is>
      </c>
      <c r="F896" s="5" t="inlineStr">
        <is>
          <t>Marketing</t>
        </is>
      </c>
      <c r="G896" s="5" t="inlineStr">
        <is>
          <t>Content Writer</t>
        </is>
      </c>
      <c r="H896" s="5" t="inlineStr">
        <is>
          <t>4</t>
        </is>
      </c>
      <c r="I896" s="5" t="inlineStr">
        <is>
          <t>Hyderabad</t>
        </is>
      </c>
      <c r="J896" s="5" t="inlineStr">
        <is>
          <t>Full-Time</t>
        </is>
      </c>
      <c r="K896" s="7" t="n">
        <v>44538</v>
      </c>
      <c r="L896" s="7" t="inlineStr"/>
      <c r="M896" s="5" t="inlineStr">
        <is>
          <t>Yes</t>
        </is>
      </c>
      <c r="N896" s="5" t="inlineStr"/>
      <c r="O896" s="8" t="inlineStr">
        <is>
          <t>97500</t>
        </is>
      </c>
      <c r="P896" s="5" t="inlineStr">
        <is>
          <t>15</t>
        </is>
      </c>
      <c r="Q896" s="5" t="inlineStr">
        <is>
          <t>4</t>
        </is>
      </c>
      <c r="R896" s="5" t="inlineStr">
        <is>
          <t>8</t>
        </is>
      </c>
      <c r="S896" s="5" t="inlineStr">
        <is>
          <t>49</t>
        </is>
      </c>
      <c r="T896" s="5" t="inlineStr">
        <is>
          <t>9</t>
        </is>
      </c>
      <c r="U896" s="5" t="inlineStr">
        <is>
          <t>OK</t>
        </is>
      </c>
    </row>
    <row r="897">
      <c r="A897" s="5" t="inlineStr">
        <is>
          <t>E00696</t>
        </is>
      </c>
      <c r="B897" s="5" t="inlineStr">
        <is>
          <t>Male</t>
        </is>
      </c>
      <c r="C897" s="6" t="inlineStr">
        <is>
          <t>31</t>
        </is>
      </c>
      <c r="D897" s="5" t="inlineStr">
        <is>
          <t>Married</t>
        </is>
      </c>
      <c r="E897" s="5" t="inlineStr">
        <is>
          <t>Diploma</t>
        </is>
      </c>
      <c r="F897" s="5" t="inlineStr">
        <is>
          <t>Finance</t>
        </is>
      </c>
      <c r="G897" s="5" t="inlineStr">
        <is>
          <t>Accountant</t>
        </is>
      </c>
      <c r="H897" s="5" t="inlineStr">
        <is>
          <t>1</t>
        </is>
      </c>
      <c r="I897" s="5" t="inlineStr">
        <is>
          <t>Chennai</t>
        </is>
      </c>
      <c r="J897" s="5" t="inlineStr">
        <is>
          <t>Full-Time</t>
        </is>
      </c>
      <c r="K897" s="7" t="n">
        <v>44245</v>
      </c>
      <c r="L897" s="7" t="inlineStr"/>
      <c r="M897" s="5" t="inlineStr">
        <is>
          <t>Yes</t>
        </is>
      </c>
      <c r="N897" s="5" t="inlineStr"/>
      <c r="O897" s="8" t="inlineStr">
        <is>
          <t>68000</t>
        </is>
      </c>
      <c r="P897" s="5" t="inlineStr">
        <is>
          <t>5</t>
        </is>
      </c>
      <c r="Q897" s="5" t="inlineStr">
        <is>
          <t>3</t>
        </is>
      </c>
      <c r="R897" s="5" t="inlineStr">
        <is>
          <t>8</t>
        </is>
      </c>
      <c r="S897" s="5" t="inlineStr">
        <is>
          <t>59</t>
        </is>
      </c>
      <c r="T897" s="5" t="inlineStr">
        <is>
          <t>9</t>
        </is>
      </c>
      <c r="U897" s="5" t="inlineStr">
        <is>
          <t>OK</t>
        </is>
      </c>
    </row>
    <row r="898">
      <c r="A898" s="5" t="inlineStr">
        <is>
          <t>E02057</t>
        </is>
      </c>
      <c r="B898" s="5" t="inlineStr">
        <is>
          <t>female</t>
        </is>
      </c>
      <c r="C898" s="6" t="inlineStr">
        <is>
          <t>29</t>
        </is>
      </c>
      <c r="D898" s="5" t="inlineStr">
        <is>
          <t>Single</t>
        </is>
      </c>
      <c r="E898" s="5" t="inlineStr">
        <is>
          <t>PhD</t>
        </is>
      </c>
      <c r="F898" s="5" t="inlineStr">
        <is>
          <t>Finance</t>
        </is>
      </c>
      <c r="G898" s="5" t="inlineStr">
        <is>
          <t>Financial Analyst</t>
        </is>
      </c>
      <c r="H898" s="5" t="inlineStr">
        <is>
          <t>1</t>
        </is>
      </c>
      <c r="I898" s="5" t="inlineStr">
        <is>
          <t>Chennai</t>
        </is>
      </c>
      <c r="J898" s="5" t="inlineStr">
        <is>
          <t>Full-Time</t>
        </is>
      </c>
      <c r="K898" s="7" t="n">
        <v>44434</v>
      </c>
      <c r="L898" s="7" t="inlineStr"/>
      <c r="M898" s="5" t="inlineStr">
        <is>
          <t>Yes</t>
        </is>
      </c>
      <c r="N898" s="5" t="inlineStr"/>
      <c r="O898" s="8" t="inlineStr">
        <is>
          <t>106500</t>
        </is>
      </c>
      <c r="P898" s="5" t="inlineStr">
        <is>
          <t>10</t>
        </is>
      </c>
      <c r="Q898" s="5" t="inlineStr">
        <is>
          <t>4</t>
        </is>
      </c>
      <c r="R898" s="5" t="inlineStr">
        <is>
          <t>10</t>
        </is>
      </c>
      <c r="S898" s="5" t="inlineStr">
        <is>
          <t>52</t>
        </is>
      </c>
      <c r="T898" s="5" t="inlineStr">
        <is>
          <t>21</t>
        </is>
      </c>
      <c r="U898" s="5" t="inlineStr">
        <is>
          <t>OK</t>
        </is>
      </c>
    </row>
    <row r="899">
      <c r="A899" s="5" t="inlineStr">
        <is>
          <t>E00801</t>
        </is>
      </c>
      <c r="B899" s="5" t="inlineStr">
        <is>
          <t>Female</t>
        </is>
      </c>
      <c r="C899" s="6" t="inlineStr">
        <is>
          <t>33</t>
        </is>
      </c>
      <c r="D899" s="5" t="inlineStr">
        <is>
          <t>Single</t>
        </is>
      </c>
      <c r="E899" s="5" t="inlineStr">
        <is>
          <t>Diploma</t>
        </is>
      </c>
      <c r="F899" s="5" t="inlineStr">
        <is>
          <t>Customer Support</t>
        </is>
      </c>
      <c r="G899" s="5" t="inlineStr">
        <is>
          <t>Support Agent</t>
        </is>
      </c>
      <c r="H899" s="5" t="inlineStr">
        <is>
          <t>3</t>
        </is>
      </c>
      <c r="I899" s="5" t="inlineStr">
        <is>
          <t>Remote</t>
        </is>
      </c>
      <c r="J899" s="5" t="inlineStr">
        <is>
          <t>Part-Time</t>
        </is>
      </c>
      <c r="K899" s="7" t="n">
        <v>44044</v>
      </c>
      <c r="L899" s="7" t="inlineStr"/>
      <c r="M899" s="5" t="inlineStr">
        <is>
          <t>Yes</t>
        </is>
      </c>
      <c r="N899" s="5" t="inlineStr"/>
      <c r="O899" s="8" t="inlineStr">
        <is>
          <t>90000</t>
        </is>
      </c>
      <c r="P899" s="5" t="inlineStr">
        <is>
          <t>0</t>
        </is>
      </c>
      <c r="Q899" s="5" t="inlineStr">
        <is>
          <t>5</t>
        </is>
      </c>
      <c r="R899" s="5" t="inlineStr">
        <is>
          <t>6</t>
        </is>
      </c>
      <c r="S899" s="5" t="inlineStr">
        <is>
          <t>65</t>
        </is>
      </c>
      <c r="T899" s="5" t="inlineStr">
        <is>
          <t>0</t>
        </is>
      </c>
      <c r="U899" s="5" t="inlineStr">
        <is>
          <t>OK</t>
        </is>
      </c>
    </row>
    <row r="900">
      <c r="A900" s="5" t="inlineStr">
        <is>
          <t>E01387</t>
        </is>
      </c>
      <c r="B900" s="5" t="inlineStr">
        <is>
          <t>Male</t>
        </is>
      </c>
      <c r="C900" s="6" t="inlineStr">
        <is>
          <t>25</t>
        </is>
      </c>
      <c r="D900" s="5" t="inlineStr">
        <is>
          <t>Married</t>
        </is>
      </c>
      <c r="E900" s="5" t="inlineStr">
        <is>
          <t>Diploma</t>
        </is>
      </c>
      <c r="F900" s="5" t="inlineStr">
        <is>
          <t>IT</t>
        </is>
      </c>
      <c r="G900" s="5" t="inlineStr">
        <is>
          <t>Software Engineer</t>
        </is>
      </c>
      <c r="H900" s="5" t="inlineStr">
        <is>
          <t>2</t>
        </is>
      </c>
      <c r="I900" s="5" t="inlineStr">
        <is>
          <t>Remote</t>
        </is>
      </c>
      <c r="J900" s="5" t="inlineStr">
        <is>
          <t>Full-Time</t>
        </is>
      </c>
      <c r="K900" s="7" t="n">
        <v>44103</v>
      </c>
      <c r="L900" s="7" t="inlineStr"/>
      <c r="M900" s="5" t="inlineStr">
        <is>
          <t>Yes</t>
        </is>
      </c>
      <c r="N900" s="5" t="inlineStr"/>
      <c r="O900" s="8" t="inlineStr">
        <is>
          <t>165500</t>
        </is>
      </c>
      <c r="P900" s="5" t="inlineStr">
        <is>
          <t>10</t>
        </is>
      </c>
      <c r="Q900" s="5" t="inlineStr">
        <is>
          <t>4</t>
        </is>
      </c>
      <c r="R900" s="5" t="inlineStr">
        <is>
          <t>7</t>
        </is>
      </c>
      <c r="S900" s="5" t="inlineStr">
        <is>
          <t>63</t>
        </is>
      </c>
      <c r="T900" s="5" t="inlineStr">
        <is>
          <t>14</t>
        </is>
      </c>
      <c r="U900" s="5" t="inlineStr">
        <is>
          <t>OK</t>
        </is>
      </c>
    </row>
    <row r="901">
      <c r="A901" s="5" t="inlineStr">
        <is>
          <t>E00603</t>
        </is>
      </c>
      <c r="B901" s="5" t="inlineStr">
        <is>
          <t>Male</t>
        </is>
      </c>
      <c r="C901" s="6" t="inlineStr">
        <is>
          <t>27</t>
        </is>
      </c>
      <c r="D901" s="5" t="inlineStr">
        <is>
          <t>Married</t>
        </is>
      </c>
      <c r="E901" s="5" t="inlineStr">
        <is>
          <t>Master</t>
        </is>
      </c>
      <c r="F901" s="5" t="inlineStr">
        <is>
          <t>Research &amp; Development</t>
        </is>
      </c>
      <c r="G901" s="5" t="inlineStr">
        <is>
          <t>Research Scientist</t>
        </is>
      </c>
      <c r="H901" s="5" t="inlineStr">
        <is>
          <t>3</t>
        </is>
      </c>
      <c r="I901" s="5" t="inlineStr">
        <is>
          <t>Chennai</t>
        </is>
      </c>
      <c r="J901" s="5" t="inlineStr">
        <is>
          <t>Full-Time</t>
        </is>
      </c>
      <c r="K901" s="7" t="n">
        <v>45615</v>
      </c>
      <c r="L901" s="7" t="inlineStr"/>
      <c r="M901" s="5" t="inlineStr">
        <is>
          <t>Yes</t>
        </is>
      </c>
      <c r="N901" s="5" t="inlineStr"/>
      <c r="O901" s="8" t="inlineStr">
        <is>
          <t>190000</t>
        </is>
      </c>
      <c r="P901" s="5" t="inlineStr">
        <is>
          <t>10</t>
        </is>
      </c>
      <c r="Q901" s="5" t="inlineStr">
        <is>
          <t>4</t>
        </is>
      </c>
      <c r="R901" s="5" t="inlineStr">
        <is>
          <t>6</t>
        </is>
      </c>
      <c r="S901" s="5" t="inlineStr">
        <is>
          <t>13</t>
        </is>
      </c>
      <c r="T901" s="5" t="inlineStr">
        <is>
          <t>5</t>
        </is>
      </c>
      <c r="U901" s="5" t="inlineStr">
        <is>
          <t>OK</t>
        </is>
      </c>
    </row>
    <row r="902">
      <c r="A902" s="5" t="inlineStr">
        <is>
          <t>E00523</t>
        </is>
      </c>
      <c r="B902" s="5" t="inlineStr">
        <is>
          <t>Male</t>
        </is>
      </c>
      <c r="C902" s="6" t="inlineStr">
        <is>
          <t>34</t>
        </is>
      </c>
      <c r="D902" s="5" t="inlineStr">
        <is>
          <t>Married</t>
        </is>
      </c>
      <c r="E902" s="5" t="inlineStr">
        <is>
          <t>High School</t>
        </is>
      </c>
      <c r="F902" s="5" t="inlineStr">
        <is>
          <t>Marketing</t>
        </is>
      </c>
      <c r="G902" s="5" t="inlineStr">
        <is>
          <t>SEO Specialist</t>
        </is>
      </c>
      <c r="H902" s="5" t="inlineStr">
        <is>
          <t>4</t>
        </is>
      </c>
      <c r="I902" s="5" t="inlineStr">
        <is>
          <t>Bengaluru</t>
        </is>
      </c>
      <c r="J902" s="5" t="inlineStr">
        <is>
          <t>Full-Time</t>
        </is>
      </c>
      <c r="K902" s="7" t="n">
        <v>43923</v>
      </c>
      <c r="L902" s="7" t="inlineStr"/>
      <c r="M902" s="5" t="inlineStr">
        <is>
          <t>Yes</t>
        </is>
      </c>
      <c r="N902" s="5" t="inlineStr"/>
      <c r="O902" s="8" t="inlineStr">
        <is>
          <t>99500</t>
        </is>
      </c>
      <c r="P902" s="5" t="inlineStr">
        <is>
          <t>10</t>
        </is>
      </c>
      <c r="Q902" s="5" t="inlineStr">
        <is>
          <t>3</t>
        </is>
      </c>
      <c r="R902" s="5" t="inlineStr">
        <is>
          <t>9</t>
        </is>
      </c>
      <c r="S902" s="5" t="inlineStr">
        <is>
          <t>69</t>
        </is>
      </c>
      <c r="T902" s="5" t="inlineStr">
        <is>
          <t>7</t>
        </is>
      </c>
      <c r="U902" s="5" t="inlineStr">
        <is>
          <t>OK</t>
        </is>
      </c>
    </row>
    <row r="903">
      <c r="A903" s="5" t="inlineStr">
        <is>
          <t>E01139</t>
        </is>
      </c>
      <c r="B903" s="5" t="inlineStr">
        <is>
          <t>Male</t>
        </is>
      </c>
      <c r="C903" s="6" t="inlineStr">
        <is>
          <t>29</t>
        </is>
      </c>
      <c r="D903" s="5" t="inlineStr">
        <is>
          <t>Married</t>
        </is>
      </c>
      <c r="E903" s="5" t="inlineStr">
        <is>
          <t>High School</t>
        </is>
      </c>
      <c r="F903" s="5" t="inlineStr">
        <is>
          <t>Research &amp; Development</t>
        </is>
      </c>
      <c r="G903" s="5" t="inlineStr">
        <is>
          <t>Research Scientist</t>
        </is>
      </c>
      <c r="H903" s="5" t="inlineStr">
        <is>
          <t>3</t>
        </is>
      </c>
      <c r="I903" s="5" t="inlineStr">
        <is>
          <t>Remote</t>
        </is>
      </c>
      <c r="J903" s="5" t="inlineStr">
        <is>
          <t>Full-Time</t>
        </is>
      </c>
      <c r="K903" s="7" t="n">
        <v>43907</v>
      </c>
      <c r="L903" s="7" t="inlineStr"/>
      <c r="M903" s="5" t="inlineStr">
        <is>
          <t>Yes</t>
        </is>
      </c>
      <c r="N903" s="5" t="inlineStr"/>
      <c r="O903" s="8" t="inlineStr">
        <is>
          <t>138500</t>
        </is>
      </c>
      <c r="P903" s="5" t="inlineStr">
        <is>
          <t>0</t>
        </is>
      </c>
      <c r="Q903" s="5" t="inlineStr">
        <is>
          <t>2</t>
        </is>
      </c>
      <c r="R903" s="5" t="inlineStr">
        <is>
          <t>6</t>
        </is>
      </c>
      <c r="S903" s="5" t="inlineStr">
        <is>
          <t>70</t>
        </is>
      </c>
      <c r="T903" s="5" t="inlineStr">
        <is>
          <t>2</t>
        </is>
      </c>
      <c r="U903" s="5" t="inlineStr">
        <is>
          <t>OK</t>
        </is>
      </c>
    </row>
    <row r="904">
      <c r="A904" s="5" t="inlineStr">
        <is>
          <t>E00499</t>
        </is>
      </c>
      <c r="B904" s="5" t="inlineStr">
        <is>
          <t>Female</t>
        </is>
      </c>
      <c r="C904" s="6" t="inlineStr">
        <is>
          <t>23</t>
        </is>
      </c>
      <c r="D904" s="5" t="inlineStr">
        <is>
          <t>Married</t>
        </is>
      </c>
      <c r="E904" s="5" t="inlineStr">
        <is>
          <t>High School</t>
        </is>
      </c>
      <c r="F904" s="5" t="inlineStr">
        <is>
          <t>Sales</t>
        </is>
      </c>
      <c r="G904" s="5" t="inlineStr">
        <is>
          <t>Account Executive</t>
        </is>
      </c>
      <c r="H904" s="5" t="inlineStr">
        <is>
          <t>1</t>
        </is>
      </c>
      <c r="I904" s="5" t="inlineStr">
        <is>
          <t>Mumbai</t>
        </is>
      </c>
      <c r="J904" s="5" t="inlineStr">
        <is>
          <t>Full-Time</t>
        </is>
      </c>
      <c r="K904" s="7" t="n">
        <v>44091</v>
      </c>
      <c r="L904" s="7" t="n">
        <v>44238</v>
      </c>
      <c r="M904" s="5" t="inlineStr">
        <is>
          <t>No</t>
        </is>
      </c>
      <c r="N904" s="5" t="inlineStr">
        <is>
          <t>Relocation</t>
        </is>
      </c>
      <c r="O904" s="8" t="inlineStr">
        <is>
          <t>81000</t>
        </is>
      </c>
      <c r="P904" s="5" t="inlineStr">
        <is>
          <t>0</t>
        </is>
      </c>
      <c r="Q904" s="5" t="inlineStr">
        <is>
          <t>3</t>
        </is>
      </c>
      <c r="R904" s="5" t="inlineStr">
        <is>
          <t>4</t>
        </is>
      </c>
      <c r="S904" s="5" t="inlineStr">
        <is>
          <t>4</t>
        </is>
      </c>
      <c r="T904" s="5" t="inlineStr">
        <is>
          <t>7</t>
        </is>
      </c>
      <c r="U904" s="5" t="inlineStr">
        <is>
          <t>OK</t>
        </is>
      </c>
    </row>
    <row r="905">
      <c r="A905" s="5" t="inlineStr">
        <is>
          <t>E00214</t>
        </is>
      </c>
      <c r="B905" s="5" t="inlineStr">
        <is>
          <t>Male</t>
        </is>
      </c>
      <c r="C905" s="6" t="inlineStr">
        <is>
          <t>32</t>
        </is>
      </c>
      <c r="D905" s="5" t="inlineStr">
        <is>
          <t>Married</t>
        </is>
      </c>
      <c r="E905" s="5" t="inlineStr">
        <is>
          <t>Bachelor</t>
        </is>
      </c>
      <c r="F905" s="5" t="inlineStr">
        <is>
          <t>Customer Support</t>
        </is>
      </c>
      <c r="G905" s="5" t="inlineStr">
        <is>
          <t>Support Agent</t>
        </is>
      </c>
      <c r="H905" s="5" t="inlineStr">
        <is>
          <t>2</t>
        </is>
      </c>
      <c r="I905" s="5" t="inlineStr">
        <is>
          <t>Hyderabad</t>
        </is>
      </c>
      <c r="J905" s="5" t="inlineStr">
        <is>
          <t>Full-Time</t>
        </is>
      </c>
      <c r="K905" s="7" t="n">
        <v>45403</v>
      </c>
      <c r="L905" s="7" t="n">
        <v>45467</v>
      </c>
      <c r="M905" s="5" t="inlineStr">
        <is>
          <t>No</t>
        </is>
      </c>
      <c r="N905" s="5" t="inlineStr">
        <is>
          <t>Resigned</t>
        </is>
      </c>
      <c r="O905" s="8" t="inlineStr">
        <is>
          <t>57000</t>
        </is>
      </c>
      <c r="P905" s="5" t="inlineStr">
        <is>
          <t>0</t>
        </is>
      </c>
      <c r="Q905" s="5" t="inlineStr">
        <is>
          <t>4</t>
        </is>
      </c>
      <c r="R905" s="5" t="inlineStr">
        <is>
          <t>6</t>
        </is>
      </c>
      <c r="S905" s="5" t="inlineStr">
        <is>
          <t>2</t>
        </is>
      </c>
      <c r="T905" s="5" t="inlineStr">
        <is>
          <t>4</t>
        </is>
      </c>
      <c r="U905" s="5" t="inlineStr">
        <is>
          <t>OK</t>
        </is>
      </c>
    </row>
    <row r="906">
      <c r="A906" s="5" t="inlineStr">
        <is>
          <t>E01492</t>
        </is>
      </c>
      <c r="B906" s="5" t="inlineStr">
        <is>
          <t>Female</t>
        </is>
      </c>
      <c r="C906" s="6" t="inlineStr">
        <is>
          <t>26</t>
        </is>
      </c>
      <c r="D906" s="5" t="inlineStr">
        <is>
          <t>Married</t>
        </is>
      </c>
      <c r="E906" s="5" t="inlineStr">
        <is>
          <t>PhD</t>
        </is>
      </c>
      <c r="F906" s="5" t="inlineStr">
        <is>
          <t>Research &amp; Development</t>
        </is>
      </c>
      <c r="G906" s="5" t="inlineStr">
        <is>
          <t>Data Scientist</t>
        </is>
      </c>
      <c r="H906" s="5" t="inlineStr">
        <is>
          <t>1</t>
        </is>
      </c>
      <c r="I906" s="5" t="inlineStr">
        <is>
          <t>Chennai</t>
        </is>
      </c>
      <c r="J906" s="5" t="inlineStr">
        <is>
          <t>Full-Time</t>
        </is>
      </c>
      <c r="K906" s="7" t="n">
        <v>44160</v>
      </c>
      <c r="L906" s="7" t="n">
        <v>44192</v>
      </c>
      <c r="M906" s="5" t="inlineStr">
        <is>
          <t>No</t>
        </is>
      </c>
      <c r="N906" s="5" t="inlineStr">
        <is>
          <t>Resigned</t>
        </is>
      </c>
      <c r="O906" s="8" t="inlineStr">
        <is>
          <t>149500</t>
        </is>
      </c>
      <c r="P906" s="5" t="inlineStr">
        <is>
          <t>0</t>
        </is>
      </c>
      <c r="Q906" s="5" t="inlineStr">
        <is>
          <t>4</t>
        </is>
      </c>
      <c r="R906" s="5" t="inlineStr">
        <is>
          <t>7</t>
        </is>
      </c>
      <c r="S906" s="5" t="inlineStr">
        <is>
          <t>1</t>
        </is>
      </c>
      <c r="T906" s="5" t="inlineStr">
        <is>
          <t>0</t>
        </is>
      </c>
      <c r="U906" s="5" t="inlineStr">
        <is>
          <t>OK</t>
        </is>
      </c>
    </row>
    <row r="907">
      <c r="A907" s="5" t="inlineStr">
        <is>
          <t>E01153</t>
        </is>
      </c>
      <c r="B907" s="5" t="inlineStr">
        <is>
          <t>Female</t>
        </is>
      </c>
      <c r="C907" s="6" t="inlineStr">
        <is>
          <t>24</t>
        </is>
      </c>
      <c r="D907" s="5" t="inlineStr">
        <is>
          <t>Single</t>
        </is>
      </c>
      <c r="E907" s="5" t="inlineStr">
        <is>
          <t>Bachelor</t>
        </is>
      </c>
      <c r="F907" s="5" t="inlineStr">
        <is>
          <t>IT</t>
        </is>
      </c>
      <c r="G907" s="5" t="inlineStr">
        <is>
          <t>Software Engineer</t>
        </is>
      </c>
      <c r="H907" s="5" t="inlineStr">
        <is>
          <t>1</t>
        </is>
      </c>
      <c r="I907" s="5" t="inlineStr">
        <is>
          <t>Chennai</t>
        </is>
      </c>
      <c r="J907" s="5" t="inlineStr">
        <is>
          <t>Full-Time</t>
        </is>
      </c>
      <c r="K907" s="7" t="n">
        <v>45080</v>
      </c>
      <c r="L907" s="7" t="n">
        <v>45226</v>
      </c>
      <c r="M907" s="5" t="inlineStr">
        <is>
          <t>No</t>
        </is>
      </c>
      <c r="N907" s="5" t="inlineStr">
        <is>
          <t>Layoff</t>
        </is>
      </c>
      <c r="O907" s="8" t="inlineStr">
        <is>
          <t>100000</t>
        </is>
      </c>
      <c r="P907" s="5" t="inlineStr">
        <is>
          <t>5</t>
        </is>
      </c>
      <c r="Q907" s="5" t="inlineStr">
        <is>
          <t>4</t>
        </is>
      </c>
      <c r="R907" s="5" t="inlineStr">
        <is>
          <t>4</t>
        </is>
      </c>
      <c r="S907" s="5" t="inlineStr">
        <is>
          <t>4</t>
        </is>
      </c>
      <c r="T907" s="5" t="inlineStr">
        <is>
          <t>4</t>
        </is>
      </c>
      <c r="U907" s="5" t="inlineStr">
        <is>
          <t>OK</t>
        </is>
      </c>
    </row>
    <row r="908">
      <c r="A908" s="5" t="inlineStr">
        <is>
          <t>E00387</t>
        </is>
      </c>
      <c r="B908" s="5" t="inlineStr">
        <is>
          <t>Male</t>
        </is>
      </c>
      <c r="C908" s="6" t="inlineStr">
        <is>
          <t>31</t>
        </is>
      </c>
      <c r="D908" s="5" t="inlineStr">
        <is>
          <t>Single</t>
        </is>
      </c>
      <c r="E908" s="5" t="inlineStr">
        <is>
          <t>Master</t>
        </is>
      </c>
      <c r="F908" s="5" t="inlineStr">
        <is>
          <t>IT</t>
        </is>
      </c>
      <c r="G908" s="5" t="inlineStr">
        <is>
          <t>Data Analyst</t>
        </is>
      </c>
      <c r="H908" s="5" t="inlineStr">
        <is>
          <t>4</t>
        </is>
      </c>
      <c r="I908" s="5" t="inlineStr">
        <is>
          <t>Mumbai</t>
        </is>
      </c>
      <c r="J908" s="5" t="inlineStr">
        <is>
          <t>Part-Time</t>
        </is>
      </c>
      <c r="K908" s="7" t="n">
        <v>44771</v>
      </c>
      <c r="L908" s="7" t="inlineStr"/>
      <c r="M908" s="5" t="inlineStr">
        <is>
          <t>Yes</t>
        </is>
      </c>
      <c r="N908" s="5" t="inlineStr"/>
      <c r="O908" s="8" t="inlineStr">
        <is>
          <t>164000</t>
        </is>
      </c>
      <c r="P908" s="5" t="inlineStr">
        <is>
          <t>10</t>
        </is>
      </c>
      <c r="Q908" s="5" t="inlineStr">
        <is>
          <t>3</t>
        </is>
      </c>
      <c r="R908" s="5" t="inlineStr">
        <is>
          <t>8</t>
        </is>
      </c>
      <c r="S908" s="5" t="inlineStr">
        <is>
          <t>41</t>
        </is>
      </c>
      <c r="T908" s="5" t="inlineStr">
        <is>
          <t>9</t>
        </is>
      </c>
      <c r="U908" s="5" t="inlineStr">
        <is>
          <t>OK</t>
        </is>
      </c>
    </row>
    <row r="909">
      <c r="A909" s="5" t="inlineStr">
        <is>
          <t>E01977</t>
        </is>
      </c>
      <c r="B909" s="5" t="inlineStr">
        <is>
          <t>Female</t>
        </is>
      </c>
      <c r="C909" s="6" t="inlineStr">
        <is>
          <t>32</t>
        </is>
      </c>
      <c r="D909" s="5" t="inlineStr">
        <is>
          <t>Married</t>
        </is>
      </c>
      <c r="E909" s="5" t="inlineStr">
        <is>
          <t>Master</t>
        </is>
      </c>
      <c r="F909" s="5" t="inlineStr">
        <is>
          <t>Marketing</t>
        </is>
      </c>
      <c r="G909" s="5" t="inlineStr">
        <is>
          <t>SEO Specialist</t>
        </is>
      </c>
      <c r="H909" s="5" t="inlineStr">
        <is>
          <t>1</t>
        </is>
      </c>
      <c r="I909" s="5" t="inlineStr">
        <is>
          <t>Chennai</t>
        </is>
      </c>
      <c r="J909" s="5" t="inlineStr">
        <is>
          <t>Full-Time</t>
        </is>
      </c>
      <c r="K909" s="7" t="n">
        <v>44287</v>
      </c>
      <c r="L909" s="7" t="inlineStr"/>
      <c r="M909" s="5" t="inlineStr">
        <is>
          <t>Yes</t>
        </is>
      </c>
      <c r="N909" s="5" t="inlineStr"/>
      <c r="O909" s="8" t="inlineStr">
        <is>
          <t>67500</t>
        </is>
      </c>
      <c r="P909" s="5" t="inlineStr">
        <is>
          <t>15</t>
        </is>
      </c>
      <c r="Q909" s="5" t="inlineStr">
        <is>
          <t>5</t>
        </is>
      </c>
      <c r="R909" s="5" t="inlineStr">
        <is>
          <t>9</t>
        </is>
      </c>
      <c r="S909" s="5" t="inlineStr">
        <is>
          <t>57</t>
        </is>
      </c>
      <c r="T909" s="5" t="inlineStr">
        <is>
          <t>11</t>
        </is>
      </c>
      <c r="U909" s="5" t="inlineStr">
        <is>
          <t>OK</t>
        </is>
      </c>
    </row>
    <row r="910">
      <c r="A910" s="5" t="inlineStr">
        <is>
          <t>E02665</t>
        </is>
      </c>
      <c r="B910" s="5" t="inlineStr">
        <is>
          <t>Female</t>
        </is>
      </c>
      <c r="C910" s="6" t="inlineStr">
        <is>
          <t>28</t>
        </is>
      </c>
      <c r="D910" s="5" t="inlineStr">
        <is>
          <t>Married</t>
        </is>
      </c>
      <c r="E910" s="5" t="inlineStr">
        <is>
          <t>PhD</t>
        </is>
      </c>
      <c r="F910" s="5" t="inlineStr">
        <is>
          <t>Sales</t>
        </is>
      </c>
      <c r="G910" s="5" t="inlineStr">
        <is>
          <t>Account Executive</t>
        </is>
      </c>
      <c r="H910" s="5" t="inlineStr">
        <is>
          <t>2</t>
        </is>
      </c>
      <c r="I910" s="5" t="inlineStr">
        <is>
          <t>Hyderabad</t>
        </is>
      </c>
      <c r="J910" s="5" t="inlineStr">
        <is>
          <t>Full-Time</t>
        </is>
      </c>
      <c r="K910" s="7" t="n">
        <v>43851</v>
      </c>
      <c r="L910" s="7" t="n">
        <v>43909</v>
      </c>
      <c r="M910" s="5" t="inlineStr">
        <is>
          <t>No</t>
        </is>
      </c>
      <c r="N910" s="5" t="inlineStr">
        <is>
          <t>Resigned</t>
        </is>
      </c>
      <c r="O910" s="8" t="inlineStr">
        <is>
          <t>120500</t>
        </is>
      </c>
      <c r="P910" s="5" t="inlineStr">
        <is>
          <t>5</t>
        </is>
      </c>
      <c r="Q910" s="5" t="inlineStr">
        <is>
          <t>3</t>
        </is>
      </c>
      <c r="R910" s="5" t="inlineStr">
        <is>
          <t>7</t>
        </is>
      </c>
      <c r="S910" s="5" t="inlineStr">
        <is>
          <t>1</t>
        </is>
      </c>
      <c r="T910" s="5" t="inlineStr">
        <is>
          <t>8</t>
        </is>
      </c>
      <c r="U910" s="5" t="inlineStr">
        <is>
          <t>OK</t>
        </is>
      </c>
    </row>
    <row r="911">
      <c r="A911" s="5" t="inlineStr">
        <is>
          <t>E01337</t>
        </is>
      </c>
      <c r="B911" s="5" t="inlineStr">
        <is>
          <t>Male</t>
        </is>
      </c>
      <c r="C911" s="6" t="inlineStr">
        <is>
          <t>36</t>
        </is>
      </c>
      <c r="D911" s="5" t="inlineStr">
        <is>
          <t>Married</t>
        </is>
      </c>
      <c r="E911" s="5" t="inlineStr">
        <is>
          <t>Master</t>
        </is>
      </c>
      <c r="F911" s="5" t="inlineStr">
        <is>
          <t>Finance</t>
        </is>
      </c>
      <c r="G911" s="5" t="inlineStr">
        <is>
          <t>Credit Analyst</t>
        </is>
      </c>
      <c r="H911" s="5" t="inlineStr">
        <is>
          <t>5</t>
        </is>
      </c>
      <c r="I911" s="5" t="inlineStr">
        <is>
          <t>Delhi</t>
        </is>
      </c>
      <c r="J911" s="5" t="inlineStr">
        <is>
          <t>Full-Time</t>
        </is>
      </c>
      <c r="K911" s="7" t="n">
        <v>44137</v>
      </c>
      <c r="L911" s="7" t="inlineStr"/>
      <c r="M911" s="5" t="inlineStr">
        <is>
          <t>Yes</t>
        </is>
      </c>
      <c r="N911" s="5" t="inlineStr"/>
      <c r="O911" s="8" t="inlineStr">
        <is>
          <t>134500</t>
        </is>
      </c>
      <c r="P911" s="5" t="inlineStr">
        <is>
          <t>5</t>
        </is>
      </c>
      <c r="Q911" s="5" t="inlineStr">
        <is>
          <t>1</t>
        </is>
      </c>
      <c r="R911" s="5" t="inlineStr">
        <is>
          <t>7</t>
        </is>
      </c>
      <c r="S911" s="5" t="inlineStr">
        <is>
          <t>62</t>
        </is>
      </c>
      <c r="T911" s="5" t="inlineStr">
        <is>
          <t>1</t>
        </is>
      </c>
      <c r="U911" s="5" t="inlineStr">
        <is>
          <t>OK</t>
        </is>
      </c>
    </row>
    <row r="912">
      <c r="A912" s="5" t="inlineStr">
        <is>
          <t>E01320</t>
        </is>
      </c>
      <c r="B912" s="5" t="inlineStr">
        <is>
          <t>Male</t>
        </is>
      </c>
      <c r="C912" s="6" t="inlineStr">
        <is>
          <t>30</t>
        </is>
      </c>
      <c r="D912" s="5" t="inlineStr">
        <is>
          <t>Divorced</t>
        </is>
      </c>
      <c r="E912" s="5" t="inlineStr">
        <is>
          <t>Master</t>
        </is>
      </c>
      <c r="F912" s="5" t="inlineStr">
        <is>
          <t>Customer Support</t>
        </is>
      </c>
      <c r="G912" s="5" t="inlineStr">
        <is>
          <t>Escalation Specialist</t>
        </is>
      </c>
      <c r="H912" s="5" t="inlineStr">
        <is>
          <t>3</t>
        </is>
      </c>
      <c r="I912" s="5" t="inlineStr">
        <is>
          <t>Delhi</t>
        </is>
      </c>
      <c r="J912" s="5" t="inlineStr">
        <is>
          <t>Full-Time</t>
        </is>
      </c>
      <c r="K912" s="7" t="n">
        <v>45491</v>
      </c>
      <c r="L912" s="7" t="n">
        <v>45562</v>
      </c>
      <c r="M912" s="5" t="inlineStr">
        <is>
          <t>No</t>
        </is>
      </c>
      <c r="N912" s="5" t="inlineStr">
        <is>
          <t>Resigned</t>
        </is>
      </c>
      <c r="O912" s="8" t="inlineStr">
        <is>
          <t>92500</t>
        </is>
      </c>
      <c r="P912" s="5" t="inlineStr">
        <is>
          <t>0</t>
        </is>
      </c>
      <c r="Q912" s="5" t="inlineStr">
        <is>
          <t>3</t>
        </is>
      </c>
      <c r="R912" s="5" t="inlineStr">
        <is>
          <t>6</t>
        </is>
      </c>
      <c r="S912" s="5" t="inlineStr">
        <is>
          <t>2</t>
        </is>
      </c>
      <c r="T912" s="5" t="inlineStr">
        <is>
          <t>2</t>
        </is>
      </c>
      <c r="U912" s="5" t="inlineStr">
        <is>
          <t>OK</t>
        </is>
      </c>
    </row>
    <row r="913">
      <c r="A913" s="5" t="inlineStr">
        <is>
          <t>E00032</t>
        </is>
      </c>
      <c r="B913" s="5" t="inlineStr">
        <is>
          <t>Female</t>
        </is>
      </c>
      <c r="C913" s="6" t="inlineStr">
        <is>
          <t>36</t>
        </is>
      </c>
      <c r="D913" s="5" t="inlineStr">
        <is>
          <t>Married</t>
        </is>
      </c>
      <c r="E913" s="5" t="inlineStr">
        <is>
          <t>Diploma</t>
        </is>
      </c>
      <c r="F913" s="5" t="inlineStr">
        <is>
          <t>IT</t>
        </is>
      </c>
      <c r="G913" s="5" t="inlineStr">
        <is>
          <t>DevOps Engineer</t>
        </is>
      </c>
      <c r="H913" s="5" t="inlineStr">
        <is>
          <t>4</t>
        </is>
      </c>
      <c r="I913" s="5" t="inlineStr">
        <is>
          <t>Mumbai</t>
        </is>
      </c>
      <c r="J913" s="5" t="inlineStr">
        <is>
          <t>Full-Time</t>
        </is>
      </c>
      <c r="K913" s="7" t="n">
        <v>45956</v>
      </c>
      <c r="L913" s="7" t="inlineStr"/>
      <c r="M913" s="5" t="inlineStr">
        <is>
          <t>Yes</t>
        </is>
      </c>
      <c r="N913" s="5" t="inlineStr"/>
      <c r="O913" s="8" t="inlineStr">
        <is>
          <t>195500</t>
        </is>
      </c>
      <c r="P913" s="5" t="inlineStr">
        <is>
          <t>10</t>
        </is>
      </c>
      <c r="Q913" s="5" t="inlineStr">
        <is>
          <t>5</t>
        </is>
      </c>
      <c r="R913" s="5" t="inlineStr">
        <is>
          <t>6</t>
        </is>
      </c>
      <c r="S913" s="5" t="inlineStr">
        <is>
          <t>2</t>
        </is>
      </c>
      <c r="T913" s="5" t="inlineStr">
        <is>
          <t>7</t>
        </is>
      </c>
      <c r="U913" s="5" t="inlineStr">
        <is>
          <t>OK</t>
        </is>
      </c>
    </row>
    <row r="914">
      <c r="A914" s="5" t="inlineStr">
        <is>
          <t>E01468</t>
        </is>
      </c>
      <c r="B914" s="5" t="inlineStr">
        <is>
          <t>Female</t>
        </is>
      </c>
      <c r="C914" s="6" t="inlineStr">
        <is>
          <t>28</t>
        </is>
      </c>
      <c r="D914" s="5" t="inlineStr">
        <is>
          <t>Married</t>
        </is>
      </c>
      <c r="E914" s="5" t="inlineStr">
        <is>
          <t>Bachelor</t>
        </is>
      </c>
      <c r="F914" s="5" t="inlineStr">
        <is>
          <t>Sales</t>
        </is>
      </c>
      <c r="G914" s="5" t="inlineStr">
        <is>
          <t>Business Development</t>
        </is>
      </c>
      <c r="H914" s="5" t="inlineStr">
        <is>
          <t>1</t>
        </is>
      </c>
      <c r="I914" s="5" t="inlineStr">
        <is>
          <t>Hyderabad</t>
        </is>
      </c>
      <c r="J914" s="5" t="inlineStr">
        <is>
          <t>Full-Time</t>
        </is>
      </c>
      <c r="K914" s="7" t="n">
        <v>43916</v>
      </c>
      <c r="L914" s="7" t="n">
        <v>43981</v>
      </c>
      <c r="M914" s="5" t="inlineStr">
        <is>
          <t>No</t>
        </is>
      </c>
      <c r="N914" s="5" t="inlineStr">
        <is>
          <t>Performance / Termination</t>
        </is>
      </c>
      <c r="O914" s="8" t="inlineStr">
        <is>
          <t>80000</t>
        </is>
      </c>
      <c r="P914" s="5" t="inlineStr">
        <is>
          <t>10</t>
        </is>
      </c>
      <c r="Q914" s="5" t="inlineStr">
        <is>
          <t>1</t>
        </is>
      </c>
      <c r="R914" s="5" t="inlineStr">
        <is>
          <t>4</t>
        </is>
      </c>
      <c r="S914" s="5" t="inlineStr">
        <is>
          <t>2</t>
        </is>
      </c>
      <c r="T914" s="5" t="inlineStr">
        <is>
          <t>12</t>
        </is>
      </c>
      <c r="U914" s="5" t="inlineStr">
        <is>
          <t>OK</t>
        </is>
      </c>
    </row>
    <row r="915">
      <c r="A915" s="5" t="inlineStr">
        <is>
          <t>E00627</t>
        </is>
      </c>
      <c r="B915" s="5" t="inlineStr">
        <is>
          <t>Male</t>
        </is>
      </c>
      <c r="C915" s="6" t="inlineStr">
        <is>
          <t>37</t>
        </is>
      </c>
      <c r="D915" s="5" t="inlineStr">
        <is>
          <t>Married</t>
        </is>
      </c>
      <c r="E915" s="5" t="inlineStr">
        <is>
          <t>PhD</t>
        </is>
      </c>
      <c r="F915" s="5" t="inlineStr">
        <is>
          <t>Customer Support</t>
        </is>
      </c>
      <c r="G915" s="5" t="inlineStr">
        <is>
          <t>Escalation Specialist</t>
        </is>
      </c>
      <c r="H915" s="5" t="inlineStr">
        <is>
          <t>5</t>
        </is>
      </c>
      <c r="I915" s="5" t="inlineStr">
        <is>
          <t>Bengaluru</t>
        </is>
      </c>
      <c r="J915" s="5" t="inlineStr">
        <is>
          <t>Full-Time</t>
        </is>
      </c>
      <c r="K915" s="7" t="n">
        <v>45528</v>
      </c>
      <c r="L915" s="7" t="inlineStr"/>
      <c r="M915" s="5" t="inlineStr">
        <is>
          <t>Yes</t>
        </is>
      </c>
      <c r="N915" s="5" t="inlineStr"/>
      <c r="O915" s="8" t="inlineStr">
        <is>
          <t>93000</t>
        </is>
      </c>
      <c r="P915" s="5" t="inlineStr">
        <is>
          <t>0</t>
        </is>
      </c>
      <c r="Q915" s="5" t="inlineStr">
        <is>
          <t>4</t>
        </is>
      </c>
      <c r="R915" s="5" t="inlineStr">
        <is>
          <t>4</t>
        </is>
      </c>
      <c r="S915" s="5" t="inlineStr">
        <is>
          <t>16</t>
        </is>
      </c>
      <c r="T915" s="5" t="inlineStr">
        <is>
          <t>6</t>
        </is>
      </c>
      <c r="U915" s="5" t="inlineStr">
        <is>
          <t>OK</t>
        </is>
      </c>
    </row>
    <row r="916">
      <c r="A916" s="5" t="inlineStr">
        <is>
          <t>E00841</t>
        </is>
      </c>
      <c r="B916" s="5" t="inlineStr">
        <is>
          <t>Female</t>
        </is>
      </c>
      <c r="C916" s="6" t="inlineStr">
        <is>
          <t>41</t>
        </is>
      </c>
      <c r="D916" s="5" t="inlineStr">
        <is>
          <t>Married</t>
        </is>
      </c>
      <c r="E916" s="5" t="inlineStr">
        <is>
          <t>Master</t>
        </is>
      </c>
      <c r="F916" s="5" t="inlineStr">
        <is>
          <t>Customer Support</t>
        </is>
      </c>
      <c r="G916" s="5" t="inlineStr">
        <is>
          <t>Escalation Specialist</t>
        </is>
      </c>
      <c r="H916" s="5" t="inlineStr">
        <is>
          <t>7</t>
        </is>
      </c>
      <c r="I916" s="5" t="inlineStr">
        <is>
          <t>Mumbai</t>
        </is>
      </c>
      <c r="J916" s="5" t="inlineStr">
        <is>
          <t>Full-Time</t>
        </is>
      </c>
      <c r="K916" s="7" t="n">
        <v>43843</v>
      </c>
      <c r="L916" s="7" t="inlineStr"/>
      <c r="M916" s="5" t="inlineStr">
        <is>
          <t>Yes</t>
        </is>
      </c>
      <c r="N916" s="5" t="inlineStr"/>
      <c r="O916" s="8" t="inlineStr">
        <is>
          <t>120000</t>
        </is>
      </c>
      <c r="P916" s="5" t="inlineStr">
        <is>
          <t>10</t>
        </is>
      </c>
      <c r="Q916" s="5" t="inlineStr">
        <is>
          <t>5</t>
        </is>
      </c>
      <c r="R916" s="5" t="inlineStr">
        <is>
          <t>1</t>
        </is>
      </c>
      <c r="S916" s="5" t="inlineStr">
        <is>
          <t>72</t>
        </is>
      </c>
      <c r="T916" s="5" t="inlineStr">
        <is>
          <t>0</t>
        </is>
      </c>
      <c r="U916" s="5" t="inlineStr">
        <is>
          <t>Duplicate</t>
        </is>
      </c>
    </row>
    <row r="917">
      <c r="A917" s="5" t="inlineStr">
        <is>
          <t>E02709</t>
        </is>
      </c>
      <c r="B917" s="5" t="inlineStr">
        <is>
          <t>Male</t>
        </is>
      </c>
      <c r="C917" s="6" t="inlineStr">
        <is>
          <t>33</t>
        </is>
      </c>
      <c r="D917" s="5" t="inlineStr">
        <is>
          <t>Married</t>
        </is>
      </c>
      <c r="E917" s="5" t="inlineStr">
        <is>
          <t>Master</t>
        </is>
      </c>
      <c r="F917" s="5" t="inlineStr">
        <is>
          <t>Finance</t>
        </is>
      </c>
      <c r="G917" s="5" t="inlineStr">
        <is>
          <t>Financial Analyst</t>
        </is>
      </c>
      <c r="H917" s="5" t="inlineStr">
        <is>
          <t>4</t>
        </is>
      </c>
      <c r="I917" s="5" t="inlineStr">
        <is>
          <t>Remote</t>
        </is>
      </c>
      <c r="J917" s="5" t="inlineStr">
        <is>
          <t>Full-Time</t>
        </is>
      </c>
      <c r="K917" s="7" t="n">
        <v>45492</v>
      </c>
      <c r="L917" s="7" t="inlineStr"/>
      <c r="M917" s="5" t="inlineStr">
        <is>
          <t>Yes</t>
        </is>
      </c>
      <c r="N917" s="5" t="inlineStr"/>
      <c r="O917" s="8" t="inlineStr">
        <is>
          <t>142500</t>
        </is>
      </c>
      <c r="P917" s="5" t="inlineStr">
        <is>
          <t>0</t>
        </is>
      </c>
      <c r="Q917" s="5" t="inlineStr">
        <is>
          <t>4</t>
        </is>
      </c>
      <c r="R917" s="5" t="inlineStr">
        <is>
          <t>8</t>
        </is>
      </c>
      <c r="S917" s="5" t="inlineStr">
        <is>
          <t>17</t>
        </is>
      </c>
      <c r="T917" s="5" t="inlineStr">
        <is>
          <t>4</t>
        </is>
      </c>
      <c r="U917" s="5" t="inlineStr">
        <is>
          <t>OK</t>
        </is>
      </c>
    </row>
    <row r="918">
      <c r="A918" s="5" t="inlineStr">
        <is>
          <t>E01012</t>
        </is>
      </c>
      <c r="B918" s="5" t="inlineStr">
        <is>
          <t>Female</t>
        </is>
      </c>
      <c r="C918" s="6" t="inlineStr">
        <is>
          <t>25</t>
        </is>
      </c>
      <c r="D918" s="5" t="inlineStr">
        <is>
          <t>Single</t>
        </is>
      </c>
      <c r="E918" s="5" t="inlineStr">
        <is>
          <t>High School</t>
        </is>
      </c>
      <c r="F918" s="5" t="inlineStr">
        <is>
          <t>Marketing</t>
        </is>
      </c>
      <c r="G918" s="5" t="inlineStr">
        <is>
          <t>Content Writer</t>
        </is>
      </c>
      <c r="H918" s="5" t="inlineStr">
        <is>
          <t>2</t>
        </is>
      </c>
      <c r="I918" s="5" t="inlineStr">
        <is>
          <t>Delhi</t>
        </is>
      </c>
      <c r="J918" s="5" t="inlineStr">
        <is>
          <t>Full-Time</t>
        </is>
      </c>
      <c r="K918" s="7" t="n">
        <v>43962</v>
      </c>
      <c r="L918" s="7" t="inlineStr"/>
      <c r="M918" s="5" t="inlineStr">
        <is>
          <t>Yes</t>
        </is>
      </c>
      <c r="N918" s="5" t="inlineStr"/>
      <c r="O918" s="8" t="inlineStr">
        <is>
          <t>90500</t>
        </is>
      </c>
      <c r="P918" s="5" t="inlineStr">
        <is>
          <t>15</t>
        </is>
      </c>
      <c r="Q918" s="5" t="inlineStr">
        <is>
          <t>5</t>
        </is>
      </c>
      <c r="R918" s="5" t="inlineStr">
        <is>
          <t>6</t>
        </is>
      </c>
      <c r="S918" s="5" t="inlineStr">
        <is>
          <t>68</t>
        </is>
      </c>
      <c r="T918" s="5" t="inlineStr">
        <is>
          <t>17</t>
        </is>
      </c>
      <c r="U918" s="5" t="inlineStr">
        <is>
          <t>OK</t>
        </is>
      </c>
    </row>
    <row r="919">
      <c r="A919" s="5" t="inlineStr">
        <is>
          <t>E02386</t>
        </is>
      </c>
      <c r="B919" s="5" t="inlineStr">
        <is>
          <t>Male</t>
        </is>
      </c>
      <c r="C919" s="6" t="inlineStr">
        <is>
          <t>28</t>
        </is>
      </c>
      <c r="D919" s="5" t="inlineStr">
        <is>
          <t>Single</t>
        </is>
      </c>
      <c r="E919" s="5" t="inlineStr">
        <is>
          <t>Master</t>
        </is>
      </c>
      <c r="F919" s="5" t="inlineStr">
        <is>
          <t>Human Resources</t>
        </is>
      </c>
      <c r="G919" s="5" t="inlineStr">
        <is>
          <t>HR Generalist</t>
        </is>
      </c>
      <c r="H919" s="5" t="inlineStr">
        <is>
          <t>3</t>
        </is>
      </c>
      <c r="I919" s="5" t="inlineStr">
        <is>
          <t>Chennai</t>
        </is>
      </c>
      <c r="J919" s="5" t="inlineStr">
        <is>
          <t>Full-Time</t>
        </is>
      </c>
      <c r="K919" s="7" t="n">
        <v>45053</v>
      </c>
      <c r="L919" s="7" t="inlineStr"/>
      <c r="M919" s="5" t="inlineStr">
        <is>
          <t>Yes</t>
        </is>
      </c>
      <c r="N919" s="5" t="inlineStr"/>
      <c r="O919" s="8" t="inlineStr">
        <is>
          <t>108500</t>
        </is>
      </c>
      <c r="P919" s="5" t="inlineStr">
        <is>
          <t>5</t>
        </is>
      </c>
      <c r="Q919" s="5" t="inlineStr">
        <is>
          <t>3</t>
        </is>
      </c>
      <c r="R919" s="5" t="inlineStr">
        <is>
          <t>2</t>
        </is>
      </c>
      <c r="S919" s="5" t="inlineStr">
        <is>
          <t>32</t>
        </is>
      </c>
      <c r="T919" s="5" t="inlineStr">
        <is>
          <t>3</t>
        </is>
      </c>
      <c r="U919" s="5" t="inlineStr">
        <is>
          <t>OK</t>
        </is>
      </c>
    </row>
    <row r="920">
      <c r="A920" s="5" t="inlineStr">
        <is>
          <t>E02443</t>
        </is>
      </c>
      <c r="B920" s="5" t="inlineStr">
        <is>
          <t>Female</t>
        </is>
      </c>
      <c r="C920" s="6" t="inlineStr">
        <is>
          <t>33</t>
        </is>
      </c>
      <c r="D920" s="5" t="inlineStr">
        <is>
          <t>Married</t>
        </is>
      </c>
      <c r="E920" s="5" t="inlineStr">
        <is>
          <t>High School</t>
        </is>
      </c>
      <c r="F920" s="5" t="inlineStr">
        <is>
          <t>Customer Support</t>
        </is>
      </c>
      <c r="G920" s="5" t="inlineStr">
        <is>
          <t>Support Lead</t>
        </is>
      </c>
      <c r="H920" s="5" t="inlineStr">
        <is>
          <t>2</t>
        </is>
      </c>
      <c r="I920" s="5" t="inlineStr">
        <is>
          <t>Bengaluru</t>
        </is>
      </c>
      <c r="J920" s="5" t="inlineStr">
        <is>
          <t>Full-Time</t>
        </is>
      </c>
      <c r="K920" s="7" t="n">
        <v>45081</v>
      </c>
      <c r="L920" s="7" t="n">
        <v>45218</v>
      </c>
      <c r="M920" s="5" t="inlineStr">
        <is>
          <t>No</t>
        </is>
      </c>
      <c r="N920" s="5" t="inlineStr">
        <is>
          <t>Resigned</t>
        </is>
      </c>
      <c r="O920" s="8" t="inlineStr">
        <is>
          <t>58000</t>
        </is>
      </c>
      <c r="P920" s="5" t="inlineStr">
        <is>
          <t>0</t>
        </is>
      </c>
      <c r="Q920" s="5" t="inlineStr">
        <is>
          <t>3</t>
        </is>
      </c>
      <c r="R920" s="5" t="inlineStr">
        <is>
          <t>6</t>
        </is>
      </c>
      <c r="S920" s="5" t="inlineStr">
        <is>
          <t>4</t>
        </is>
      </c>
      <c r="T920" s="5" t="inlineStr">
        <is>
          <t>14</t>
        </is>
      </c>
      <c r="U920" s="5" t="inlineStr">
        <is>
          <t>OK</t>
        </is>
      </c>
    </row>
    <row r="921">
      <c r="A921" s="5" t="inlineStr">
        <is>
          <t>E00667</t>
        </is>
      </c>
      <c r="B921" s="5" t="inlineStr">
        <is>
          <t>Female</t>
        </is>
      </c>
      <c r="C921" s="6" t="inlineStr">
        <is>
          <t>28</t>
        </is>
      </c>
      <c r="D921" s="5" t="inlineStr">
        <is>
          <t>Married</t>
        </is>
      </c>
      <c r="E921" s="5" t="inlineStr">
        <is>
          <t>Bachelor</t>
        </is>
      </c>
      <c r="F921" s="5" t="inlineStr">
        <is>
          <t>Customer Support</t>
        </is>
      </c>
      <c r="G921" s="5" t="inlineStr">
        <is>
          <t>Support Lead</t>
        </is>
      </c>
      <c r="H921" s="5" t="inlineStr">
        <is>
          <t>3</t>
        </is>
      </c>
      <c r="I921" s="5" t="inlineStr">
        <is>
          <t>Remote</t>
        </is>
      </c>
      <c r="J921" s="5" t="inlineStr">
        <is>
          <t>Full-Time</t>
        </is>
      </c>
      <c r="K921" s="7" t="n">
        <v>44668</v>
      </c>
      <c r="L921" s="7" t="inlineStr"/>
      <c r="M921" s="5" t="inlineStr">
        <is>
          <t>Yes</t>
        </is>
      </c>
      <c r="N921" s="5" t="inlineStr"/>
      <c r="O921" s="8" t="inlineStr">
        <is>
          <t>75500</t>
        </is>
      </c>
      <c r="P921" s="5" t="inlineStr">
        <is>
          <t>5</t>
        </is>
      </c>
      <c r="Q921" s="5" t="inlineStr">
        <is>
          <t>3</t>
        </is>
      </c>
      <c r="R921" s="5" t="inlineStr">
        <is>
          <t>8</t>
        </is>
      </c>
      <c r="S921" s="5" t="inlineStr">
        <is>
          <t>45</t>
        </is>
      </c>
      <c r="T921" s="5" t="inlineStr">
        <is>
          <t>2</t>
        </is>
      </c>
      <c r="U921" s="5" t="inlineStr">
        <is>
          <t>OK</t>
        </is>
      </c>
    </row>
    <row r="922">
      <c r="A922" s="5" t="inlineStr">
        <is>
          <t>E00576</t>
        </is>
      </c>
      <c r="B922" s="5" t="inlineStr">
        <is>
          <t>Male</t>
        </is>
      </c>
      <c r="C922" s="6" t="inlineStr">
        <is>
          <t>36</t>
        </is>
      </c>
      <c r="D922" s="5" t="inlineStr">
        <is>
          <t>Married</t>
        </is>
      </c>
      <c r="E922" s="5" t="inlineStr">
        <is>
          <t>PhD</t>
        </is>
      </c>
      <c r="F922" s="5" t="inlineStr">
        <is>
          <t>Customer Support</t>
        </is>
      </c>
      <c r="G922" s="5" t="inlineStr">
        <is>
          <t>Support Lead</t>
        </is>
      </c>
      <c r="H922" s="5" t="inlineStr">
        <is>
          <t>4</t>
        </is>
      </c>
      <c r="I922" s="5" t="inlineStr">
        <is>
          <t>Hyderabad</t>
        </is>
      </c>
      <c r="J922" s="5" t="inlineStr">
        <is>
          <t>Full-Time</t>
        </is>
      </c>
      <c r="K922" s="7" t="n">
        <v>44011</v>
      </c>
      <c r="L922" s="7" t="inlineStr"/>
      <c r="M922" s="5" t="inlineStr">
        <is>
          <t>Yes</t>
        </is>
      </c>
      <c r="N922" s="5" t="inlineStr"/>
      <c r="O922" s="8" t="inlineStr">
        <is>
          <t>68500</t>
        </is>
      </c>
      <c r="P922" s="5" t="inlineStr">
        <is>
          <t>5</t>
        </is>
      </c>
      <c r="Q922" s="5" t="inlineStr">
        <is>
          <t>4</t>
        </is>
      </c>
      <c r="R922" s="5" t="inlineStr">
        <is>
          <t>7</t>
        </is>
      </c>
      <c r="S922" s="5" t="inlineStr">
        <is>
          <t>67</t>
        </is>
      </c>
      <c r="T922" s="5" t="inlineStr">
        <is>
          <t>12</t>
        </is>
      </c>
      <c r="U922" s="5" t="inlineStr">
        <is>
          <t>OK</t>
        </is>
      </c>
    </row>
    <row r="923">
      <c r="A923" s="5" t="inlineStr">
        <is>
          <t>E00161</t>
        </is>
      </c>
      <c r="B923" s="5" t="inlineStr">
        <is>
          <t>Female</t>
        </is>
      </c>
      <c r="C923" s="6" t="inlineStr">
        <is>
          <t>31</t>
        </is>
      </c>
      <c r="D923" s="5" t="inlineStr">
        <is>
          <t>Single</t>
        </is>
      </c>
      <c r="E923" s="5" t="inlineStr">
        <is>
          <t>Diploma</t>
        </is>
      </c>
      <c r="F923" s="5" t="inlineStr">
        <is>
          <t>Sales</t>
        </is>
      </c>
      <c r="G923" s="5" t="inlineStr">
        <is>
          <t>Sales Executive</t>
        </is>
      </c>
      <c r="H923" s="5" t="inlineStr">
        <is>
          <t>4</t>
        </is>
      </c>
      <c r="I923" s="5" t="inlineStr">
        <is>
          <t>Remote</t>
        </is>
      </c>
      <c r="J923" s="5" t="inlineStr">
        <is>
          <t>Full-Time</t>
        </is>
      </c>
      <c r="K923" s="7" t="n">
        <v>45308</v>
      </c>
      <c r="L923" s="7" t="inlineStr"/>
      <c r="M923" s="5" t="inlineStr">
        <is>
          <t>Yes</t>
        </is>
      </c>
      <c r="N923" s="5" t="inlineStr"/>
      <c r="O923" s="8" t="inlineStr">
        <is>
          <t>137500</t>
        </is>
      </c>
      <c r="P923" s="5" t="inlineStr">
        <is>
          <t>0</t>
        </is>
      </c>
      <c r="Q923" s="5" t="inlineStr">
        <is>
          <t>4</t>
        </is>
      </c>
      <c r="R923" s="5" t="inlineStr">
        <is>
          <t>8</t>
        </is>
      </c>
      <c r="S923" s="5" t="inlineStr">
        <is>
          <t>23</t>
        </is>
      </c>
      <c r="T923" s="5" t="inlineStr">
        <is>
          <t>3</t>
        </is>
      </c>
      <c r="U923" s="5" t="inlineStr">
        <is>
          <t>OK</t>
        </is>
      </c>
    </row>
    <row r="924">
      <c r="A924" s="5" t="inlineStr">
        <is>
          <t>E01411</t>
        </is>
      </c>
      <c r="B924" s="5" t="inlineStr">
        <is>
          <t>Female</t>
        </is>
      </c>
      <c r="C924" s="6" t="inlineStr">
        <is>
          <t>25</t>
        </is>
      </c>
      <c r="D924" s="5" t="inlineStr">
        <is>
          <t>Married</t>
        </is>
      </c>
      <c r="E924" s="5" t="inlineStr">
        <is>
          <t>Bachelor</t>
        </is>
      </c>
      <c r="F924" s="5" t="inlineStr">
        <is>
          <t>Finance</t>
        </is>
      </c>
      <c r="G924" s="5" t="inlineStr">
        <is>
          <t>Credit Analyst</t>
        </is>
      </c>
      <c r="H924" s="5" t="inlineStr">
        <is>
          <t>1</t>
        </is>
      </c>
      <c r="I924" s="5" t="inlineStr">
        <is>
          <t>Hyderabad</t>
        </is>
      </c>
      <c r="J924" s="5" t="inlineStr">
        <is>
          <t>Full-Time</t>
        </is>
      </c>
      <c r="K924" s="7" t="n">
        <v>45277</v>
      </c>
      <c r="L924" s="7" t="inlineStr"/>
      <c r="M924" s="5" t="inlineStr">
        <is>
          <t>Yes</t>
        </is>
      </c>
      <c r="N924" s="5" t="inlineStr"/>
      <c r="O924" s="8" t="inlineStr">
        <is>
          <t>108000</t>
        </is>
      </c>
      <c r="P924" s="5" t="inlineStr">
        <is>
          <t>0</t>
        </is>
      </c>
      <c r="Q924" s="5" t="inlineStr">
        <is>
          <t>4</t>
        </is>
      </c>
      <c r="R924" s="5" t="inlineStr">
        <is>
          <t>6</t>
        </is>
      </c>
      <c r="S924" s="5" t="inlineStr">
        <is>
          <t>24</t>
        </is>
      </c>
      <c r="T924" s="5" t="inlineStr">
        <is>
          <t>0</t>
        </is>
      </c>
      <c r="U924" s="5" t="inlineStr">
        <is>
          <t>OK</t>
        </is>
      </c>
    </row>
    <row r="925">
      <c r="A925" s="5" t="inlineStr">
        <is>
          <t>E01760</t>
        </is>
      </c>
      <c r="B925" s="5" t="inlineStr">
        <is>
          <t>Male</t>
        </is>
      </c>
      <c r="C925" s="6" t="inlineStr">
        <is>
          <t>36</t>
        </is>
      </c>
      <c r="D925" s="5" t="inlineStr">
        <is>
          <t>Married</t>
        </is>
      </c>
      <c r="E925" s="5" t="inlineStr">
        <is>
          <t>High School</t>
        </is>
      </c>
      <c r="F925" s="5" t="inlineStr">
        <is>
          <t>Operations</t>
        </is>
      </c>
      <c r="G925" s="5" t="inlineStr">
        <is>
          <t>Quality Analyst</t>
        </is>
      </c>
      <c r="H925" s="5" t="inlineStr">
        <is>
          <t>2</t>
        </is>
      </c>
      <c r="I925" s="5" t="inlineStr">
        <is>
          <t>Mumbai</t>
        </is>
      </c>
      <c r="J925" s="5" t="inlineStr">
        <is>
          <t>Full-Time</t>
        </is>
      </c>
      <c r="K925" s="7" t="n">
        <v>44320</v>
      </c>
      <c r="L925" s="7" t="n">
        <v>44376</v>
      </c>
      <c r="M925" s="5" t="inlineStr">
        <is>
          <t>No</t>
        </is>
      </c>
      <c r="N925" s="5" t="inlineStr">
        <is>
          <t>Resigned</t>
        </is>
      </c>
      <c r="O925" s="8" t="inlineStr">
        <is>
          <t>107500</t>
        </is>
      </c>
      <c r="P925" s="5" t="inlineStr">
        <is>
          <t>0</t>
        </is>
      </c>
      <c r="Q925" s="5" t="inlineStr">
        <is>
          <t>5</t>
        </is>
      </c>
      <c r="R925" s="5" t="inlineStr">
        <is>
          <t>6</t>
        </is>
      </c>
      <c r="S925" s="5" t="inlineStr">
        <is>
          <t>1</t>
        </is>
      </c>
      <c r="T925" s="5" t="inlineStr">
        <is>
          <t>3</t>
        </is>
      </c>
      <c r="U925" s="5" t="inlineStr">
        <is>
          <t>OK</t>
        </is>
      </c>
    </row>
    <row r="926">
      <c r="A926" s="5" t="inlineStr">
        <is>
          <t>E02346</t>
        </is>
      </c>
      <c r="B926" s="5" t="inlineStr">
        <is>
          <t>Female</t>
        </is>
      </c>
      <c r="C926" s="6" t="inlineStr">
        <is>
          <t>32</t>
        </is>
      </c>
      <c r="D926" s="5" t="inlineStr">
        <is>
          <t>Single</t>
        </is>
      </c>
      <c r="E926" s="5" t="inlineStr">
        <is>
          <t>High School</t>
        </is>
      </c>
      <c r="F926" s="5" t="inlineStr">
        <is>
          <t>IT</t>
        </is>
      </c>
      <c r="G926" s="5" t="inlineStr">
        <is>
          <t>DevOps Engineer</t>
        </is>
      </c>
      <c r="H926" s="5" t="inlineStr">
        <is>
          <t>3</t>
        </is>
      </c>
      <c r="I926" s="5" t="inlineStr">
        <is>
          <t>Mumbai</t>
        </is>
      </c>
      <c r="J926" s="5" t="inlineStr">
        <is>
          <t>Full-Time</t>
        </is>
      </c>
      <c r="K926" s="7" t="n">
        <v>45881</v>
      </c>
      <c r="L926" s="7" t="inlineStr"/>
      <c r="M926" s="5" t="inlineStr">
        <is>
          <t>Yes</t>
        </is>
      </c>
      <c r="N926" s="5" t="inlineStr"/>
      <c r="O926" s="8" t="inlineStr">
        <is>
          <t>127000</t>
        </is>
      </c>
      <c r="P926" s="5" t="inlineStr">
        <is>
          <t>0</t>
        </is>
      </c>
      <c r="Q926" s="5" t="inlineStr">
        <is>
          <t>3</t>
        </is>
      </c>
      <c r="R926" s="5" t="inlineStr">
        <is>
          <t>8</t>
        </is>
      </c>
      <c r="S926" s="5" t="inlineStr">
        <is>
          <t>4</t>
        </is>
      </c>
      <c r="T926" s="5" t="inlineStr">
        <is>
          <t>11</t>
        </is>
      </c>
      <c r="U926" s="5" t="inlineStr">
        <is>
          <t>OK</t>
        </is>
      </c>
    </row>
    <row r="927">
      <c r="A927" s="5" t="inlineStr">
        <is>
          <t>E02836</t>
        </is>
      </c>
      <c r="B927" s="5" t="inlineStr">
        <is>
          <t>Male</t>
        </is>
      </c>
      <c r="C927" s="6" t="inlineStr">
        <is>
          <t>24</t>
        </is>
      </c>
      <c r="D927" s="5" t="inlineStr">
        <is>
          <t>Married</t>
        </is>
      </c>
      <c r="E927" s="5" t="inlineStr">
        <is>
          <t>PhD</t>
        </is>
      </c>
      <c r="F927" s="5" t="inlineStr">
        <is>
          <t>Sales</t>
        </is>
      </c>
      <c r="G927" s="5" t="inlineStr">
        <is>
          <t>Sales Executive</t>
        </is>
      </c>
      <c r="H927" s="5" t="inlineStr">
        <is>
          <t>1</t>
        </is>
      </c>
      <c r="I927" s="5" t="inlineStr">
        <is>
          <t>Hyderabad</t>
        </is>
      </c>
      <c r="J927" s="5" t="inlineStr">
        <is>
          <t>Full-Time</t>
        </is>
      </c>
      <c r="K927" s="7" t="n">
        <v>45015</v>
      </c>
      <c r="L927" s="7" t="inlineStr"/>
      <c r="M927" s="5" t="inlineStr">
        <is>
          <t>Yes</t>
        </is>
      </c>
      <c r="N927" s="5" t="inlineStr"/>
      <c r="O927" s="8" t="inlineStr">
        <is>
          <t>71500</t>
        </is>
      </c>
      <c r="P927" s="5" t="inlineStr">
        <is>
          <t>0</t>
        </is>
      </c>
      <c r="Q927" s="5" t="inlineStr">
        <is>
          <t>4</t>
        </is>
      </c>
      <c r="R927" s="5" t="inlineStr">
        <is>
          <t>8</t>
        </is>
      </c>
      <c r="S927" s="5" t="inlineStr">
        <is>
          <t>33</t>
        </is>
      </c>
      <c r="T927" s="5" t="inlineStr">
        <is>
          <t>2</t>
        </is>
      </c>
      <c r="U927" s="5" t="inlineStr">
        <is>
          <t>OK</t>
        </is>
      </c>
    </row>
    <row r="928">
      <c r="A928" s="5" t="inlineStr">
        <is>
          <t>E02471</t>
        </is>
      </c>
      <c r="B928" s="5" t="inlineStr">
        <is>
          <t>Female</t>
        </is>
      </c>
      <c r="C928" s="6" t="inlineStr">
        <is>
          <t>32</t>
        </is>
      </c>
      <c r="D928" s="5" t="inlineStr">
        <is>
          <t>Married</t>
        </is>
      </c>
      <c r="E928" s="5" t="inlineStr">
        <is>
          <t>PhD</t>
        </is>
      </c>
      <c r="F928" s="5" t="inlineStr">
        <is>
          <t>Research &amp; Development</t>
        </is>
      </c>
      <c r="G928" s="5" t="inlineStr">
        <is>
          <t>Data Scientist</t>
        </is>
      </c>
      <c r="H928" s="5" t="inlineStr">
        <is>
          <t>1</t>
        </is>
      </c>
      <c r="I928" s="5" t="inlineStr">
        <is>
          <t>Chennai</t>
        </is>
      </c>
      <c r="J928" s="5" t="inlineStr">
        <is>
          <t>Full-Time</t>
        </is>
      </c>
      <c r="K928" s="7" t="n">
        <v>44378</v>
      </c>
      <c r="L928" s="7" t="inlineStr"/>
      <c r="M928" s="5" t="inlineStr">
        <is>
          <t>Yes</t>
        </is>
      </c>
      <c r="N928" s="5" t="inlineStr"/>
      <c r="O928" s="8" t="inlineStr">
        <is>
          <t>135500</t>
        </is>
      </c>
      <c r="P928" s="5" t="inlineStr">
        <is>
          <t>10</t>
        </is>
      </c>
      <c r="Q928" s="5" t="inlineStr">
        <is>
          <t>3</t>
        </is>
      </c>
      <c r="R928" s="5" t="inlineStr">
        <is>
          <t>4</t>
        </is>
      </c>
      <c r="S928" s="5" t="inlineStr">
        <is>
          <t>54</t>
        </is>
      </c>
      <c r="T928" s="5" t="inlineStr">
        <is>
          <t>4</t>
        </is>
      </c>
      <c r="U928" s="5" t="inlineStr">
        <is>
          <t>OK</t>
        </is>
      </c>
    </row>
    <row r="929">
      <c r="A929" s="5" t="inlineStr">
        <is>
          <t>E02684</t>
        </is>
      </c>
      <c r="B929" s="5" t="inlineStr">
        <is>
          <t>Male</t>
        </is>
      </c>
      <c r="C929" s="6" t="inlineStr">
        <is>
          <t>33</t>
        </is>
      </c>
      <c r="D929" s="5" t="inlineStr">
        <is>
          <t>Married</t>
        </is>
      </c>
      <c r="E929" s="5" t="inlineStr">
        <is>
          <t>Master</t>
        </is>
      </c>
      <c r="F929" s="5" t="inlineStr">
        <is>
          <t>Operations</t>
        </is>
      </c>
      <c r="G929" s="5" t="inlineStr">
        <is>
          <t>Logistics Coordinator</t>
        </is>
      </c>
      <c r="H929" s="5" t="inlineStr">
        <is>
          <t>5</t>
        </is>
      </c>
      <c r="I929" s="5" t="inlineStr">
        <is>
          <t>Bengaluru</t>
        </is>
      </c>
      <c r="J929" s="5" t="inlineStr">
        <is>
          <t>Full-Time</t>
        </is>
      </c>
      <c r="K929" s="7" t="n">
        <v>44438</v>
      </c>
      <c r="L929" s="7" t="n">
        <v>44488</v>
      </c>
      <c r="M929" s="5" t="inlineStr">
        <is>
          <t>No</t>
        </is>
      </c>
      <c r="N929" s="5" t="inlineStr">
        <is>
          <t>Layoff</t>
        </is>
      </c>
      <c r="O929" s="8" t="inlineStr">
        <is>
          <t>141500</t>
        </is>
      </c>
      <c r="P929" s="5" t="inlineStr">
        <is>
          <t>10</t>
        </is>
      </c>
      <c r="Q929" s="5" t="inlineStr">
        <is>
          <t>4</t>
        </is>
      </c>
      <c r="R929" s="5" t="inlineStr">
        <is>
          <t>6</t>
        </is>
      </c>
      <c r="S929" s="5" t="inlineStr">
        <is>
          <t>1</t>
        </is>
      </c>
      <c r="T929" s="5" t="inlineStr">
        <is>
          <t>0</t>
        </is>
      </c>
      <c r="U929" s="5" t="inlineStr">
        <is>
          <t>OK</t>
        </is>
      </c>
    </row>
    <row r="930">
      <c r="A930" s="5" t="inlineStr">
        <is>
          <t>E01317</t>
        </is>
      </c>
      <c r="B930" s="5" t="inlineStr">
        <is>
          <t>Female</t>
        </is>
      </c>
      <c r="C930" s="6" t="inlineStr">
        <is>
          <t>30</t>
        </is>
      </c>
      <c r="D930" s="5" t="inlineStr">
        <is>
          <t>Married</t>
        </is>
      </c>
      <c r="E930" s="5" t="inlineStr">
        <is>
          <t>Master</t>
        </is>
      </c>
      <c r="F930" s="5" t="inlineStr">
        <is>
          <t>Sales</t>
        </is>
      </c>
      <c r="G930" s="5" t="inlineStr">
        <is>
          <t>Sales Executive</t>
        </is>
      </c>
      <c r="H930" s="5" t="inlineStr">
        <is>
          <t>1</t>
        </is>
      </c>
      <c r="I930" s="5" t="inlineStr">
        <is>
          <t>Delhi</t>
        </is>
      </c>
      <c r="J930" s="5" t="inlineStr">
        <is>
          <t>Full-Time</t>
        </is>
      </c>
      <c r="K930" s="7" t="n">
        <v>45517</v>
      </c>
      <c r="L930" s="7" t="inlineStr"/>
      <c r="M930" s="5" t="inlineStr">
        <is>
          <t>Yes</t>
        </is>
      </c>
      <c r="N930" s="5" t="inlineStr"/>
      <c r="O930" s="8" t="inlineStr">
        <is>
          <t>67500</t>
        </is>
      </c>
      <c r="P930" s="5" t="inlineStr">
        <is>
          <t>15</t>
        </is>
      </c>
      <c r="Q930" s="5" t="inlineStr">
        <is>
          <t>4</t>
        </is>
      </c>
      <c r="R930" s="5" t="inlineStr">
        <is>
          <t>7</t>
        </is>
      </c>
      <c r="S930" s="5" t="inlineStr">
        <is>
          <t>16</t>
        </is>
      </c>
      <c r="T930" s="5" t="inlineStr">
        <is>
          <t>3</t>
        </is>
      </c>
      <c r="U930" s="5" t="inlineStr">
        <is>
          <t>OK</t>
        </is>
      </c>
    </row>
    <row r="931">
      <c r="A931" s="5" t="inlineStr">
        <is>
          <t>E00556</t>
        </is>
      </c>
      <c r="B931" s="5" t="inlineStr">
        <is>
          <t>Male</t>
        </is>
      </c>
      <c r="C931" s="6" t="inlineStr">
        <is>
          <t>39</t>
        </is>
      </c>
      <c r="D931" s="5" t="inlineStr">
        <is>
          <t>Married</t>
        </is>
      </c>
      <c r="E931" s="5" t="inlineStr">
        <is>
          <t>PhD</t>
        </is>
      </c>
      <c r="F931" s="5" t="inlineStr">
        <is>
          <t>Human Resources</t>
        </is>
      </c>
      <c r="G931" s="5" t="inlineStr">
        <is>
          <t>HR Generalist</t>
        </is>
      </c>
      <c r="H931" s="5" t="inlineStr">
        <is>
          <t>4</t>
        </is>
      </c>
      <c r="I931" s="5" t="inlineStr">
        <is>
          <t>Mumbai</t>
        </is>
      </c>
      <c r="J931" s="5" t="inlineStr">
        <is>
          <t>Full-Time</t>
        </is>
      </c>
      <c r="K931" s="7" t="n">
        <v>44186</v>
      </c>
      <c r="L931" s="7" t="n">
        <v>44226</v>
      </c>
      <c r="M931" s="5" t="inlineStr">
        <is>
          <t>No</t>
        </is>
      </c>
      <c r="N931" s="5" t="inlineStr">
        <is>
          <t>Retirement</t>
        </is>
      </c>
      <c r="O931" s="8" t="inlineStr">
        <is>
          <t>103500</t>
        </is>
      </c>
      <c r="P931" s="5" t="inlineStr">
        <is>
          <t>0</t>
        </is>
      </c>
      <c r="Q931" s="5" t="inlineStr">
        <is>
          <t>5</t>
        </is>
      </c>
      <c r="R931" s="5" t="inlineStr">
        <is>
          <t>7</t>
        </is>
      </c>
      <c r="S931" s="5" t="inlineStr">
        <is>
          <t>1</t>
        </is>
      </c>
      <c r="T931" s="5" t="inlineStr">
        <is>
          <t>14</t>
        </is>
      </c>
      <c r="U931" s="5" t="inlineStr">
        <is>
          <t>OK</t>
        </is>
      </c>
    </row>
    <row r="932">
      <c r="A932" s="5" t="inlineStr">
        <is>
          <t>E00424</t>
        </is>
      </c>
      <c r="B932" s="5" t="inlineStr">
        <is>
          <t>Male</t>
        </is>
      </c>
      <c r="C932" s="6" t="inlineStr">
        <is>
          <t>34</t>
        </is>
      </c>
      <c r="D932" s="5" t="inlineStr">
        <is>
          <t>Married</t>
        </is>
      </c>
      <c r="E932" s="5" t="inlineStr">
        <is>
          <t>Diploma</t>
        </is>
      </c>
      <c r="F932" s="5" t="inlineStr">
        <is>
          <t>Sales</t>
        </is>
      </c>
      <c r="G932" s="5" t="inlineStr">
        <is>
          <t>Account Executive</t>
        </is>
      </c>
      <c r="H932" s="5" t="inlineStr">
        <is>
          <t>5</t>
        </is>
      </c>
      <c r="I932" s="5" t="inlineStr">
        <is>
          <t>Chennai</t>
        </is>
      </c>
      <c r="J932" s="5" t="inlineStr">
        <is>
          <t>Full-Time</t>
        </is>
      </c>
      <c r="K932" s="7" t="n">
        <v>44355</v>
      </c>
      <c r="L932" s="7" t="inlineStr"/>
      <c r="M932" s="5" t="inlineStr">
        <is>
          <t>Yes</t>
        </is>
      </c>
      <c r="N932" s="5" t="inlineStr"/>
      <c r="O932" s="8" t="inlineStr">
        <is>
          <t>122500</t>
        </is>
      </c>
      <c r="P932" s="5" t="inlineStr">
        <is>
          <t>0</t>
        </is>
      </c>
      <c r="Q932" s="5" t="inlineStr">
        <is>
          <t>3</t>
        </is>
      </c>
      <c r="R932" s="5" t="inlineStr">
        <is>
          <t>3</t>
        </is>
      </c>
      <c r="S932" s="5" t="inlineStr">
        <is>
          <t>55</t>
        </is>
      </c>
      <c r="T932" s="5" t="inlineStr">
        <is>
          <t>2</t>
        </is>
      </c>
      <c r="U932" s="5" t="inlineStr">
        <is>
          <t>OK</t>
        </is>
      </c>
    </row>
    <row r="933">
      <c r="A933" s="5" t="inlineStr">
        <is>
          <t>E00035</t>
        </is>
      </c>
      <c r="B933" s="5" t="inlineStr">
        <is>
          <t>Female</t>
        </is>
      </c>
      <c r="C933" s="6" t="inlineStr">
        <is>
          <t>33</t>
        </is>
      </c>
      <c r="D933" s="5" t="inlineStr">
        <is>
          <t>Single</t>
        </is>
      </c>
      <c r="E933" s="5" t="inlineStr">
        <is>
          <t>Master</t>
        </is>
      </c>
      <c r="F933" s="5" t="inlineStr">
        <is>
          <t>Research &amp; Development</t>
        </is>
      </c>
      <c r="G933" s="5" t="inlineStr">
        <is>
          <t>Product Engineer</t>
        </is>
      </c>
      <c r="H933" s="5" t="inlineStr">
        <is>
          <t>4</t>
        </is>
      </c>
      <c r="I933" s="5" t="inlineStr">
        <is>
          <t>Remote</t>
        </is>
      </c>
      <c r="J933" s="5" t="inlineStr">
        <is>
          <t>Full-Time</t>
        </is>
      </c>
      <c r="K933" s="7" t="n">
        <v>45189</v>
      </c>
      <c r="L933" s="7" t="n">
        <v>45257</v>
      </c>
      <c r="M933" s="5" t="inlineStr">
        <is>
          <t>No</t>
        </is>
      </c>
      <c r="N933" s="5" t="inlineStr">
        <is>
          <t>Relocation</t>
        </is>
      </c>
      <c r="O933" s="8" t="inlineStr">
        <is>
          <t>207500</t>
        </is>
      </c>
      <c r="P933" s="5" t="inlineStr">
        <is>
          <t>10</t>
        </is>
      </c>
      <c r="Q933" s="5" t="inlineStr">
        <is>
          <t>3</t>
        </is>
      </c>
      <c r="R933" s="5" t="inlineStr">
        <is>
          <t>4</t>
        </is>
      </c>
      <c r="S933" s="5" t="inlineStr">
        <is>
          <t>2</t>
        </is>
      </c>
      <c r="T933" s="5" t="inlineStr">
        <is>
          <t>7</t>
        </is>
      </c>
      <c r="U933" s="5" t="inlineStr">
        <is>
          <t>OK</t>
        </is>
      </c>
    </row>
    <row r="934">
      <c r="A934" s="5" t="inlineStr">
        <is>
          <t>E00703</t>
        </is>
      </c>
      <c r="B934" s="5" t="inlineStr">
        <is>
          <t>Female</t>
        </is>
      </c>
      <c r="C934" s="6" t="inlineStr">
        <is>
          <t>32</t>
        </is>
      </c>
      <c r="D934" s="5" t="inlineStr">
        <is>
          <t>Single</t>
        </is>
      </c>
      <c r="E934" s="5" t="inlineStr">
        <is>
          <t>Diploma</t>
        </is>
      </c>
      <c r="F934" s="5" t="inlineStr">
        <is>
          <t>Finance</t>
        </is>
      </c>
      <c r="G934" s="5" t="inlineStr">
        <is>
          <t>Accountant</t>
        </is>
      </c>
      <c r="H934" s="5" t="inlineStr">
        <is>
          <t>2</t>
        </is>
      </c>
      <c r="I934" s="5" t="inlineStr">
        <is>
          <t>Hyderabad</t>
        </is>
      </c>
      <c r="J934" s="5" t="inlineStr">
        <is>
          <t>Full-Time</t>
        </is>
      </c>
      <c r="K934" s="7" t="n">
        <v>45281</v>
      </c>
      <c r="L934" s="7" t="inlineStr"/>
      <c r="M934" s="5" t="inlineStr">
        <is>
          <t>Yes</t>
        </is>
      </c>
      <c r="N934" s="5" t="inlineStr"/>
      <c r="O934" s="8" t="inlineStr">
        <is>
          <t>77500</t>
        </is>
      </c>
      <c r="P934" s="5" t="inlineStr">
        <is>
          <t>10</t>
        </is>
      </c>
      <c r="Q934" s="5" t="inlineStr">
        <is>
          <t>3</t>
        </is>
      </c>
      <c r="R934" s="5" t="inlineStr">
        <is>
          <t>5</t>
        </is>
      </c>
      <c r="S934" s="5" t="inlineStr">
        <is>
          <t>24</t>
        </is>
      </c>
      <c r="T934" s="5" t="inlineStr">
        <is>
          <t>3</t>
        </is>
      </c>
      <c r="U934" s="5" t="inlineStr">
        <is>
          <t>OK</t>
        </is>
      </c>
    </row>
    <row r="935">
      <c r="A935" s="5" t="inlineStr">
        <is>
          <t>E00425</t>
        </is>
      </c>
      <c r="B935" s="5" t="inlineStr">
        <is>
          <t>Female</t>
        </is>
      </c>
      <c r="C935" s="6" t="inlineStr">
        <is>
          <t>33</t>
        </is>
      </c>
      <c r="D935" s="5" t="inlineStr">
        <is>
          <t>Married</t>
        </is>
      </c>
      <c r="E935" s="5" t="inlineStr">
        <is>
          <t>High School</t>
        </is>
      </c>
      <c r="F935" s="5" t="inlineStr">
        <is>
          <t>Operations</t>
        </is>
      </c>
      <c r="G935" s="5" t="inlineStr">
        <is>
          <t>Operations Analyst</t>
        </is>
      </c>
      <c r="H935" s="5" t="inlineStr">
        <is>
          <t>3</t>
        </is>
      </c>
      <c r="I935" s="5" t="inlineStr">
        <is>
          <t>Bengaluru</t>
        </is>
      </c>
      <c r="J935" s="5" t="inlineStr">
        <is>
          <t>Full-Time</t>
        </is>
      </c>
      <c r="K935" s="7" t="n">
        <v>45147</v>
      </c>
      <c r="L935" s="7" t="inlineStr"/>
      <c r="M935" s="5" t="inlineStr">
        <is>
          <t>Yes</t>
        </is>
      </c>
      <c r="N935" s="5" t="inlineStr"/>
      <c r="O935" s="8" t="inlineStr">
        <is>
          <t>102000</t>
        </is>
      </c>
      <c r="P935" s="5" t="inlineStr">
        <is>
          <t>10</t>
        </is>
      </c>
      <c r="Q935" s="5" t="inlineStr">
        <is>
          <t>5</t>
        </is>
      </c>
      <c r="R935" s="5" t="inlineStr">
        <is>
          <t>7</t>
        </is>
      </c>
      <c r="S935" s="5" t="inlineStr">
        <is>
          <t>29</t>
        </is>
      </c>
      <c r="T935" s="5" t="inlineStr">
        <is>
          <t>6</t>
        </is>
      </c>
      <c r="U935" s="5" t="inlineStr">
        <is>
          <t>OK</t>
        </is>
      </c>
    </row>
    <row r="936">
      <c r="A936" s="5" t="inlineStr">
        <is>
          <t>E00139</t>
        </is>
      </c>
      <c r="B936" s="5" t="inlineStr">
        <is>
          <t>female</t>
        </is>
      </c>
      <c r="C936" s="6" t="inlineStr">
        <is>
          <t>32</t>
        </is>
      </c>
      <c r="D936" s="5" t="inlineStr">
        <is>
          <t>Married</t>
        </is>
      </c>
      <c r="E936" s="5" t="inlineStr">
        <is>
          <t>Diploma</t>
        </is>
      </c>
      <c r="F936" s="5" t="inlineStr">
        <is>
          <t>Operations</t>
        </is>
      </c>
      <c r="G936" s="5" t="inlineStr">
        <is>
          <t>Logistics Coordinator</t>
        </is>
      </c>
      <c r="H936" s="5" t="inlineStr">
        <is>
          <t>1</t>
        </is>
      </c>
      <c r="I936" s="5" t="inlineStr">
        <is>
          <t>Delhi</t>
        </is>
      </c>
      <c r="J936" s="5" t="inlineStr">
        <is>
          <t>Full-Time</t>
        </is>
      </c>
      <c r="K936" s="7" t="n">
        <v>44717</v>
      </c>
      <c r="L936" s="7" t="inlineStr"/>
      <c r="M936" s="5" t="inlineStr">
        <is>
          <t>Yes</t>
        </is>
      </c>
      <c r="N936" s="5" t="inlineStr"/>
      <c r="O936" s="8" t="inlineStr">
        <is>
          <t>78500</t>
        </is>
      </c>
      <c r="P936" s="5" t="inlineStr">
        <is>
          <t>0</t>
        </is>
      </c>
      <c r="Q936" s="5" t="inlineStr">
        <is>
          <t>4</t>
        </is>
      </c>
      <c r="R936" s="5" t="inlineStr">
        <is>
          <t>7</t>
        </is>
      </c>
      <c r="S936" s="5" t="inlineStr">
        <is>
          <t>43</t>
        </is>
      </c>
      <c r="T936" s="5" t="inlineStr">
        <is>
          <t>13</t>
        </is>
      </c>
      <c r="U936" s="5" t="inlineStr">
        <is>
          <t>OK</t>
        </is>
      </c>
    </row>
    <row r="937">
      <c r="A937" s="5" t="inlineStr">
        <is>
          <t>E01735</t>
        </is>
      </c>
      <c r="B937" s="5" t="inlineStr">
        <is>
          <t>Male</t>
        </is>
      </c>
      <c r="C937" s="6" t="inlineStr">
        <is>
          <t>28</t>
        </is>
      </c>
      <c r="D937" s="5" t="inlineStr">
        <is>
          <t>Married</t>
        </is>
      </c>
      <c r="E937" s="5" t="inlineStr">
        <is>
          <t>PhD</t>
        </is>
      </c>
      <c r="F937" s="5" t="inlineStr">
        <is>
          <t>IT</t>
        </is>
      </c>
      <c r="G937" s="5" t="inlineStr">
        <is>
          <t>IT Support</t>
        </is>
      </c>
      <c r="H937" s="5" t="inlineStr">
        <is>
          <t>1</t>
        </is>
      </c>
      <c r="I937" s="5" t="inlineStr">
        <is>
          <t>Hyderabad</t>
        </is>
      </c>
      <c r="J937" s="5" t="inlineStr">
        <is>
          <t>Full-Time</t>
        </is>
      </c>
      <c r="K937" s="7" t="n">
        <v>44179</v>
      </c>
      <c r="L937" s="7" t="inlineStr"/>
      <c r="M937" s="5" t="inlineStr">
        <is>
          <t>Yes</t>
        </is>
      </c>
      <c r="N937" s="5" t="inlineStr"/>
      <c r="O937" s="8" t="inlineStr">
        <is>
          <t>98000</t>
        </is>
      </c>
      <c r="P937" s="5" t="inlineStr">
        <is>
          <t>15</t>
        </is>
      </c>
      <c r="Q937" s="5" t="inlineStr">
        <is>
          <t>3</t>
        </is>
      </c>
      <c r="R937" s="5" t="inlineStr">
        <is>
          <t>6</t>
        </is>
      </c>
      <c r="S937" s="5" t="inlineStr">
        <is>
          <t>61</t>
        </is>
      </c>
      <c r="T937" s="5" t="inlineStr">
        <is>
          <t>15</t>
        </is>
      </c>
      <c r="U937" s="5" t="inlineStr">
        <is>
          <t>OK</t>
        </is>
      </c>
    </row>
    <row r="938">
      <c r="A938" s="5" t="inlineStr">
        <is>
          <t>E00444</t>
        </is>
      </c>
      <c r="B938" s="5" t="inlineStr">
        <is>
          <t>Female</t>
        </is>
      </c>
      <c r="C938" s="6" t="inlineStr">
        <is>
          <t>29</t>
        </is>
      </c>
      <c r="D938" s="5" t="inlineStr">
        <is>
          <t>Married</t>
        </is>
      </c>
      <c r="E938" s="5" t="inlineStr">
        <is>
          <t>PhD</t>
        </is>
      </c>
      <c r="F938" s="5" t="inlineStr">
        <is>
          <t>Sales</t>
        </is>
      </c>
      <c r="G938" s="5" t="inlineStr">
        <is>
          <t>Account Executive</t>
        </is>
      </c>
      <c r="H938" s="5" t="inlineStr">
        <is>
          <t>2</t>
        </is>
      </c>
      <c r="I938" s="5" t="inlineStr">
        <is>
          <t>Mumbai</t>
        </is>
      </c>
      <c r="J938" s="5" t="inlineStr">
        <is>
          <t>Full-Time</t>
        </is>
      </c>
      <c r="K938" s="7" t="n">
        <v>45022</v>
      </c>
      <c r="L938" s="7" t="inlineStr"/>
      <c r="M938" s="5" t="inlineStr">
        <is>
          <t>Yes</t>
        </is>
      </c>
      <c r="N938" s="5" t="inlineStr"/>
      <c r="O938" s="8" t="inlineStr">
        <is>
          <t>90000</t>
        </is>
      </c>
      <c r="P938" s="5" t="inlineStr">
        <is>
          <t>15</t>
        </is>
      </c>
      <c r="Q938" s="5" t="inlineStr">
        <is>
          <t>5</t>
        </is>
      </c>
      <c r="R938" s="5" t="inlineStr">
        <is>
          <t>5</t>
        </is>
      </c>
      <c r="S938" s="5" t="inlineStr">
        <is>
          <t>33</t>
        </is>
      </c>
      <c r="T938" s="5" t="inlineStr">
        <is>
          <t>0</t>
        </is>
      </c>
      <c r="U938" s="5" t="inlineStr">
        <is>
          <t>OK</t>
        </is>
      </c>
    </row>
    <row r="939">
      <c r="A939" s="5" t="inlineStr">
        <is>
          <t>E00004</t>
        </is>
      </c>
      <c r="B939" s="5" t="inlineStr">
        <is>
          <t>Female</t>
        </is>
      </c>
      <c r="C939" s="6" t="inlineStr">
        <is>
          <t>28</t>
        </is>
      </c>
      <c r="D939" s="5" t="inlineStr">
        <is>
          <t>Married</t>
        </is>
      </c>
      <c r="E939" s="5" t="inlineStr">
        <is>
          <t>Master</t>
        </is>
      </c>
      <c r="F939" s="5" t="inlineStr">
        <is>
          <t>Customer Support</t>
        </is>
      </c>
      <c r="G939" s="5" t="inlineStr">
        <is>
          <t>Escalation Specialist</t>
        </is>
      </c>
      <c r="H939" s="5" t="inlineStr">
        <is>
          <t>3</t>
        </is>
      </c>
      <c r="I939" s="5" t="inlineStr">
        <is>
          <t>Chennai</t>
        </is>
      </c>
      <c r="J939" s="5" t="inlineStr">
        <is>
          <t>Full-Time</t>
        </is>
      </c>
      <c r="K939" s="7" t="n">
        <v>45464</v>
      </c>
      <c r="L939" s="7" t="inlineStr"/>
      <c r="M939" s="5" t="inlineStr">
        <is>
          <t>Yes</t>
        </is>
      </c>
      <c r="N939" s="5" t="inlineStr"/>
      <c r="O939" s="8" t="inlineStr">
        <is>
          <t>70000</t>
        </is>
      </c>
      <c r="P939" s="5" t="inlineStr">
        <is>
          <t>5</t>
        </is>
      </c>
      <c r="Q939" s="5" t="inlineStr">
        <is>
          <t>3</t>
        </is>
      </c>
      <c r="R939" s="5" t="inlineStr">
        <is>
          <t>7</t>
        </is>
      </c>
      <c r="S939" s="5" t="inlineStr">
        <is>
          <t>18</t>
        </is>
      </c>
      <c r="T939" s="5" t="inlineStr">
        <is>
          <t>0</t>
        </is>
      </c>
      <c r="U939" s="5" t="inlineStr">
        <is>
          <t>OK</t>
        </is>
      </c>
    </row>
    <row r="940">
      <c r="A940" s="5" t="inlineStr">
        <is>
          <t>E02021</t>
        </is>
      </c>
      <c r="B940" s="5" t="inlineStr">
        <is>
          <t>Male</t>
        </is>
      </c>
      <c r="C940" s="6" t="inlineStr">
        <is>
          <t>31</t>
        </is>
      </c>
      <c r="D940" s="5" t="inlineStr">
        <is>
          <t>Married</t>
        </is>
      </c>
      <c r="E940" s="5" t="inlineStr">
        <is>
          <t>High School</t>
        </is>
      </c>
      <c r="F940" s="5" t="inlineStr">
        <is>
          <t>Sales</t>
        </is>
      </c>
      <c r="G940" s="5" t="inlineStr">
        <is>
          <t>Business Development</t>
        </is>
      </c>
      <c r="H940" s="5" t="inlineStr">
        <is>
          <t>3</t>
        </is>
      </c>
      <c r="I940" s="5" t="inlineStr">
        <is>
          <t>Bengaluru</t>
        </is>
      </c>
      <c r="J940" s="5" t="inlineStr">
        <is>
          <t>Full-Time</t>
        </is>
      </c>
      <c r="K940" s="7" t="n">
        <v>43843</v>
      </c>
      <c r="L940" s="7" t="inlineStr"/>
      <c r="M940" s="5" t="inlineStr">
        <is>
          <t>Yes</t>
        </is>
      </c>
      <c r="N940" s="5" t="inlineStr"/>
      <c r="O940" s="8" t="inlineStr">
        <is>
          <t>77500</t>
        </is>
      </c>
      <c r="P940" s="5" t="inlineStr">
        <is>
          <t>0</t>
        </is>
      </c>
      <c r="Q940" s="5" t="inlineStr">
        <is>
          <t>5</t>
        </is>
      </c>
      <c r="R940" s="5" t="inlineStr">
        <is>
          <t>3</t>
        </is>
      </c>
      <c r="S940" s="5" t="inlineStr">
        <is>
          <t>72</t>
        </is>
      </c>
      <c r="T940" s="5" t="inlineStr">
        <is>
          <t>4</t>
        </is>
      </c>
      <c r="U940" s="5" t="inlineStr">
        <is>
          <t>OK</t>
        </is>
      </c>
    </row>
    <row r="941">
      <c r="A941" s="5" t="inlineStr">
        <is>
          <t>E01841</t>
        </is>
      </c>
      <c r="B941" s="5" t="inlineStr">
        <is>
          <t>Female</t>
        </is>
      </c>
      <c r="C941" s="6" t="inlineStr">
        <is>
          <t>24</t>
        </is>
      </c>
      <c r="D941" s="5" t="inlineStr">
        <is>
          <t>Married</t>
        </is>
      </c>
      <c r="E941" s="5" t="inlineStr">
        <is>
          <t>Master</t>
        </is>
      </c>
      <c r="F941" s="5" t="inlineStr">
        <is>
          <t>Human Resources</t>
        </is>
      </c>
      <c r="G941" s="5" t="inlineStr">
        <is>
          <t>Recruiter</t>
        </is>
      </c>
      <c r="H941" s="5" t="inlineStr">
        <is>
          <t>1</t>
        </is>
      </c>
      <c r="I941" s="5" t="inlineStr">
        <is>
          <t>Hyderabad</t>
        </is>
      </c>
      <c r="J941" s="5" t="inlineStr">
        <is>
          <t>Full-Time</t>
        </is>
      </c>
      <c r="K941" s="7" t="n">
        <v>45463</v>
      </c>
      <c r="L941" s="7" t="inlineStr"/>
      <c r="M941" s="5" t="inlineStr">
        <is>
          <t>Yes</t>
        </is>
      </c>
      <c r="N941" s="5" t="inlineStr"/>
      <c r="O941" s="8" t="inlineStr">
        <is>
          <t>80000</t>
        </is>
      </c>
      <c r="P941" s="5" t="inlineStr">
        <is>
          <t>0</t>
        </is>
      </c>
      <c r="Q941" s="5" t="inlineStr">
        <is>
          <t>4</t>
        </is>
      </c>
      <c r="R941" s="5" t="inlineStr">
        <is>
          <t>4</t>
        </is>
      </c>
      <c r="S941" s="5" t="inlineStr">
        <is>
          <t>18</t>
        </is>
      </c>
      <c r="T941" s="5" t="inlineStr">
        <is>
          <t>0</t>
        </is>
      </c>
      <c r="U941" s="5" t="inlineStr">
        <is>
          <t>OK</t>
        </is>
      </c>
    </row>
    <row r="942">
      <c r="A942" s="5" t="inlineStr">
        <is>
          <t>E00383</t>
        </is>
      </c>
      <c r="B942" s="5" t="inlineStr">
        <is>
          <t>Unknown</t>
        </is>
      </c>
      <c r="C942" s="6" t="inlineStr">
        <is>
          <t>33</t>
        </is>
      </c>
      <c r="D942" s="5" t="inlineStr">
        <is>
          <t>Single</t>
        </is>
      </c>
      <c r="E942" s="5" t="inlineStr">
        <is>
          <t>High School</t>
        </is>
      </c>
      <c r="F942" s="5" t="inlineStr">
        <is>
          <t>Customer Support</t>
        </is>
      </c>
      <c r="G942" s="5" t="inlineStr">
        <is>
          <t>Support Lead</t>
        </is>
      </c>
      <c r="H942" s="5" t="inlineStr">
        <is>
          <t>1</t>
        </is>
      </c>
      <c r="I942" s="5" t="inlineStr">
        <is>
          <t>Chennai</t>
        </is>
      </c>
      <c r="J942" s="5" t="inlineStr">
        <is>
          <t>Full-Time</t>
        </is>
      </c>
      <c r="K942" s="7" t="n">
        <v>45369</v>
      </c>
      <c r="L942" s="7" t="n">
        <v>45449</v>
      </c>
      <c r="M942" s="5" t="inlineStr">
        <is>
          <t>No</t>
        </is>
      </c>
      <c r="N942" s="5" t="inlineStr">
        <is>
          <t>Resigned</t>
        </is>
      </c>
      <c r="O942" s="8" t="inlineStr">
        <is>
          <t>63000</t>
        </is>
      </c>
      <c r="P942" s="5" t="inlineStr">
        <is>
          <t>15</t>
        </is>
      </c>
      <c r="Q942" s="5" t="inlineStr">
        <is>
          <t>4</t>
        </is>
      </c>
      <c r="R942" s="5" t="inlineStr">
        <is>
          <t>5</t>
        </is>
      </c>
      <c r="S942" s="5" t="inlineStr">
        <is>
          <t>2</t>
        </is>
      </c>
      <c r="T942" s="5" t="inlineStr">
        <is>
          <t>8</t>
        </is>
      </c>
      <c r="U942" s="5" t="inlineStr">
        <is>
          <t>Bad gender</t>
        </is>
      </c>
    </row>
    <row r="943">
      <c r="A943" s="5" t="inlineStr">
        <is>
          <t>E02569</t>
        </is>
      </c>
      <c r="B943" s="5" t="inlineStr">
        <is>
          <t>Female</t>
        </is>
      </c>
      <c r="C943" s="6" t="inlineStr">
        <is>
          <t>39</t>
        </is>
      </c>
      <c r="D943" s="5" t="inlineStr">
        <is>
          <t>Married</t>
        </is>
      </c>
      <c r="E943" s="5" t="inlineStr">
        <is>
          <t>Master</t>
        </is>
      </c>
      <c r="F943" s="5" t="inlineStr">
        <is>
          <t>Customer Support</t>
        </is>
      </c>
      <c r="G943" s="5" t="inlineStr">
        <is>
          <t>Support Lead</t>
        </is>
      </c>
      <c r="H943" s="5" t="inlineStr">
        <is>
          <t>5</t>
        </is>
      </c>
      <c r="I943" s="5" t="inlineStr">
        <is>
          <t>Hyderabad</t>
        </is>
      </c>
      <c r="J943" s="5" t="inlineStr">
        <is>
          <t>Full-Time</t>
        </is>
      </c>
      <c r="K943" s="7" t="n">
        <v>45139</v>
      </c>
      <c r="L943" s="7" t="inlineStr"/>
      <c r="M943" s="5" t="inlineStr">
        <is>
          <t>Yes</t>
        </is>
      </c>
      <c r="N943" s="5" t="inlineStr"/>
      <c r="O943" s="8" t="inlineStr">
        <is>
          <t>102000</t>
        </is>
      </c>
      <c r="P943" s="5" t="inlineStr">
        <is>
          <t>10</t>
        </is>
      </c>
      <c r="Q943" s="5" t="inlineStr">
        <is>
          <t>5</t>
        </is>
      </c>
      <c r="R943" s="5" t="inlineStr">
        <is>
          <t>6</t>
        </is>
      </c>
      <c r="S943" s="5" t="inlineStr">
        <is>
          <t>29</t>
        </is>
      </c>
      <c r="T943" s="5" t="inlineStr">
        <is>
          <t>6</t>
        </is>
      </c>
      <c r="U943" s="5" t="inlineStr">
        <is>
          <t>OK</t>
        </is>
      </c>
    </row>
    <row r="944">
      <c r="A944" s="5" t="inlineStr">
        <is>
          <t>E01030</t>
        </is>
      </c>
      <c r="B944" s="5" t="inlineStr">
        <is>
          <t>Female</t>
        </is>
      </c>
      <c r="C944" s="6" t="inlineStr">
        <is>
          <t>39</t>
        </is>
      </c>
      <c r="D944" s="5" t="inlineStr">
        <is>
          <t>Married</t>
        </is>
      </c>
      <c r="E944" s="5" t="inlineStr">
        <is>
          <t>Bachelor</t>
        </is>
      </c>
      <c r="F944" s="5" t="inlineStr"/>
      <c r="G944" s="5" t="inlineStr">
        <is>
          <t>Data Scientist</t>
        </is>
      </c>
      <c r="H944" s="5" t="inlineStr">
        <is>
          <t>4</t>
        </is>
      </c>
      <c r="I944" s="5" t="inlineStr">
        <is>
          <t>Mumbai</t>
        </is>
      </c>
      <c r="J944" s="5" t="inlineStr">
        <is>
          <t>Full-Time</t>
        </is>
      </c>
      <c r="K944" s="7" t="n">
        <v>45692</v>
      </c>
      <c r="L944" s="7" t="inlineStr"/>
      <c r="M944" s="5" t="inlineStr">
        <is>
          <t>Yes</t>
        </is>
      </c>
      <c r="N944" s="5" t="inlineStr"/>
      <c r="O944" s="8" t="inlineStr">
        <is>
          <t>158500</t>
        </is>
      </c>
      <c r="P944" s="5" t="inlineStr">
        <is>
          <t>10</t>
        </is>
      </c>
      <c r="Q944" s="5" t="inlineStr">
        <is>
          <t>3</t>
        </is>
      </c>
      <c r="R944" s="5" t="inlineStr">
        <is>
          <t>3</t>
        </is>
      </c>
      <c r="S944" s="5" t="inlineStr">
        <is>
          <t>11</t>
        </is>
      </c>
      <c r="T944" s="5" t="inlineStr">
        <is>
          <t>4</t>
        </is>
      </c>
      <c r="U944" s="5" t="inlineStr">
        <is>
          <t>Blank department</t>
        </is>
      </c>
    </row>
    <row r="945">
      <c r="A945" s="5" t="inlineStr">
        <is>
          <t>E00961</t>
        </is>
      </c>
      <c r="B945" s="5" t="inlineStr">
        <is>
          <t>Female</t>
        </is>
      </c>
      <c r="C945" s="6" t="inlineStr">
        <is>
          <t>23</t>
        </is>
      </c>
      <c r="D945" s="5" t="inlineStr">
        <is>
          <t>Married</t>
        </is>
      </c>
      <c r="E945" s="5" t="inlineStr">
        <is>
          <t>High School</t>
        </is>
      </c>
      <c r="F945" s="5" t="inlineStr">
        <is>
          <t>IT</t>
        </is>
      </c>
      <c r="G945" s="5" t="inlineStr">
        <is>
          <t>DevOps Engineer</t>
        </is>
      </c>
      <c r="H945" s="5" t="inlineStr">
        <is>
          <t>1</t>
        </is>
      </c>
      <c r="I945" s="5" t="inlineStr">
        <is>
          <t>Chennai</t>
        </is>
      </c>
      <c r="J945" s="5" t="inlineStr">
        <is>
          <t>Full-Time</t>
        </is>
      </c>
      <c r="K945" s="7" t="n">
        <v>44155</v>
      </c>
      <c r="L945" s="7" t="inlineStr"/>
      <c r="M945" s="5" t="inlineStr">
        <is>
          <t>Yes</t>
        </is>
      </c>
      <c r="N945" s="5" t="inlineStr"/>
      <c r="O945" s="8" t="inlineStr">
        <is>
          <t>82500</t>
        </is>
      </c>
      <c r="P945" s="5" t="inlineStr">
        <is>
          <t>5</t>
        </is>
      </c>
      <c r="Q945" s="5" t="inlineStr">
        <is>
          <t>3</t>
        </is>
      </c>
      <c r="R945" s="5" t="inlineStr">
        <is>
          <t>8</t>
        </is>
      </c>
      <c r="S945" s="5" t="inlineStr">
        <is>
          <t>62</t>
        </is>
      </c>
      <c r="T945" s="5" t="inlineStr">
        <is>
          <t>4</t>
        </is>
      </c>
      <c r="U945" s="5" t="inlineStr">
        <is>
          <t>OK</t>
        </is>
      </c>
    </row>
    <row r="946">
      <c r="A946" s="5" t="inlineStr">
        <is>
          <t>E00542</t>
        </is>
      </c>
      <c r="B946" s="5" t="inlineStr">
        <is>
          <t>Female</t>
        </is>
      </c>
      <c r="C946" s="6" t="inlineStr">
        <is>
          <t>29</t>
        </is>
      </c>
      <c r="D946" s="5" t="inlineStr">
        <is>
          <t>Married</t>
        </is>
      </c>
      <c r="E946" s="5" t="inlineStr">
        <is>
          <t>Diploma</t>
        </is>
      </c>
      <c r="F946" s="5" t="inlineStr">
        <is>
          <t>Sales</t>
        </is>
      </c>
      <c r="G946" s="5" t="inlineStr">
        <is>
          <t>Account Executive</t>
        </is>
      </c>
      <c r="H946" s="5" t="inlineStr">
        <is>
          <t>3</t>
        </is>
      </c>
      <c r="I946" s="5" t="inlineStr">
        <is>
          <t>Hyderabad</t>
        </is>
      </c>
      <c r="J946" s="5" t="inlineStr">
        <is>
          <t>Full-Time</t>
        </is>
      </c>
      <c r="K946" s="7" t="n">
        <v>45326</v>
      </c>
      <c r="L946" s="7" t="inlineStr"/>
      <c r="M946" s="5" t="inlineStr">
        <is>
          <t>Yes</t>
        </is>
      </c>
      <c r="N946" s="5" t="inlineStr"/>
      <c r="O946" s="8" t="inlineStr">
        <is>
          <t>114000</t>
        </is>
      </c>
      <c r="P946" s="5" t="inlineStr">
        <is>
          <t>5</t>
        </is>
      </c>
      <c r="Q946" s="5" t="inlineStr">
        <is>
          <t>4</t>
        </is>
      </c>
      <c r="R946" s="5" t="inlineStr">
        <is>
          <t>5</t>
        </is>
      </c>
      <c r="S946" s="5" t="inlineStr">
        <is>
          <t>23</t>
        </is>
      </c>
      <c r="T946" s="5" t="inlineStr">
        <is>
          <t>6</t>
        </is>
      </c>
      <c r="U946" s="5" t="inlineStr">
        <is>
          <t>OK</t>
        </is>
      </c>
    </row>
    <row r="947">
      <c r="A947" s="5" t="inlineStr">
        <is>
          <t>E01813</t>
        </is>
      </c>
      <c r="B947" s="5" t="inlineStr">
        <is>
          <t>Male</t>
        </is>
      </c>
      <c r="C947" s="6" t="inlineStr">
        <is>
          <t>32</t>
        </is>
      </c>
      <c r="D947" s="5" t="inlineStr">
        <is>
          <t>Married</t>
        </is>
      </c>
      <c r="E947" s="5" t="inlineStr">
        <is>
          <t>PhD</t>
        </is>
      </c>
      <c r="F947" s="5" t="inlineStr">
        <is>
          <t>Research &amp; Development</t>
        </is>
      </c>
      <c r="G947" s="5" t="inlineStr">
        <is>
          <t>Data Scientist</t>
        </is>
      </c>
      <c r="H947" s="5" t="inlineStr">
        <is>
          <t>1</t>
        </is>
      </c>
      <c r="I947" s="5" t="inlineStr">
        <is>
          <t>Mumbai</t>
        </is>
      </c>
      <c r="J947" s="5" t="inlineStr">
        <is>
          <t>Full-Time</t>
        </is>
      </c>
      <c r="K947" s="7" t="n">
        <v>44058</v>
      </c>
      <c r="L947" s="7" t="inlineStr"/>
      <c r="M947" s="5" t="inlineStr">
        <is>
          <t>Yes</t>
        </is>
      </c>
      <c r="N947" s="5" t="inlineStr"/>
      <c r="O947" s="8" t="inlineStr">
        <is>
          <t>109000</t>
        </is>
      </c>
      <c r="P947" s="5" t="inlineStr">
        <is>
          <t>5</t>
        </is>
      </c>
      <c r="Q947" s="5" t="inlineStr">
        <is>
          <t>2</t>
        </is>
      </c>
      <c r="R947" s="5" t="inlineStr">
        <is>
          <t>6</t>
        </is>
      </c>
      <c r="S947" s="5" t="inlineStr">
        <is>
          <t>65</t>
        </is>
      </c>
      <c r="T947" s="5" t="inlineStr">
        <is>
          <t>6</t>
        </is>
      </c>
      <c r="U947" s="5" t="inlineStr">
        <is>
          <t>OK</t>
        </is>
      </c>
    </row>
    <row r="948">
      <c r="A948" s="5" t="inlineStr">
        <is>
          <t>E01708</t>
        </is>
      </c>
      <c r="B948" s="5" t="inlineStr">
        <is>
          <t>Female</t>
        </is>
      </c>
      <c r="C948" s="6" t="inlineStr">
        <is>
          <t>31</t>
        </is>
      </c>
      <c r="D948" s="5" t="inlineStr">
        <is>
          <t>Married</t>
        </is>
      </c>
      <c r="E948" s="5" t="inlineStr">
        <is>
          <t>Diploma</t>
        </is>
      </c>
      <c r="F948" s="5" t="inlineStr">
        <is>
          <t>Operations</t>
        </is>
      </c>
      <c r="G948" s="5" t="inlineStr">
        <is>
          <t>Operations Analyst</t>
        </is>
      </c>
      <c r="H948" s="5" t="inlineStr">
        <is>
          <t>2</t>
        </is>
      </c>
      <c r="I948" s="5" t="inlineStr">
        <is>
          <t>Chennai</t>
        </is>
      </c>
      <c r="J948" s="5" t="inlineStr">
        <is>
          <t>Full-Time</t>
        </is>
      </c>
      <c r="K948" s="7" t="n">
        <v>44594</v>
      </c>
      <c r="L948" s="7" t="inlineStr"/>
      <c r="M948" s="5" t="inlineStr">
        <is>
          <t>Yes</t>
        </is>
      </c>
      <c r="N948" s="5" t="inlineStr"/>
      <c r="O948" s="8" t="inlineStr">
        <is>
          <t>93500</t>
        </is>
      </c>
      <c r="P948" s="5" t="inlineStr">
        <is>
          <t>0</t>
        </is>
      </c>
      <c r="Q948" s="5" t="inlineStr">
        <is>
          <t>5</t>
        </is>
      </c>
      <c r="R948" s="5" t="inlineStr">
        <is>
          <t>6</t>
        </is>
      </c>
      <c r="S948" s="5" t="inlineStr">
        <is>
          <t>47</t>
        </is>
      </c>
      <c r="T948" s="5" t="inlineStr">
        <is>
          <t>6</t>
        </is>
      </c>
      <c r="U948" s="5" t="inlineStr">
        <is>
          <t>OK</t>
        </is>
      </c>
    </row>
    <row r="949">
      <c r="A949" s="5" t="inlineStr">
        <is>
          <t>E00372</t>
        </is>
      </c>
      <c r="B949" s="5" t="inlineStr">
        <is>
          <t>male</t>
        </is>
      </c>
      <c r="C949" s="6" t="inlineStr">
        <is>
          <t>29</t>
        </is>
      </c>
      <c r="D949" s="5" t="inlineStr">
        <is>
          <t>Divorced</t>
        </is>
      </c>
      <c r="E949" s="5" t="inlineStr">
        <is>
          <t>PhD</t>
        </is>
      </c>
      <c r="F949" s="5" t="inlineStr">
        <is>
          <t>Human Resources</t>
        </is>
      </c>
      <c r="G949" s="5" t="inlineStr">
        <is>
          <t>Recruiter</t>
        </is>
      </c>
      <c r="H949" s="5" t="inlineStr">
        <is>
          <t>2</t>
        </is>
      </c>
      <c r="I949" s="5" t="inlineStr">
        <is>
          <t>Chennai</t>
        </is>
      </c>
      <c r="J949" s="5" t="inlineStr">
        <is>
          <t>Contract</t>
        </is>
      </c>
      <c r="K949" s="7" t="n">
        <v>44113</v>
      </c>
      <c r="L949" s="7" t="inlineStr"/>
      <c r="M949" s="5" t="inlineStr">
        <is>
          <t>Yes</t>
        </is>
      </c>
      <c r="N949" s="5" t="inlineStr"/>
      <c r="O949" s="8" t="inlineStr">
        <is>
          <t>75000</t>
        </is>
      </c>
      <c r="P949" s="5" t="inlineStr">
        <is>
          <t>5</t>
        </is>
      </c>
      <c r="Q949" s="5" t="inlineStr">
        <is>
          <t>5</t>
        </is>
      </c>
      <c r="R949" s="5" t="inlineStr">
        <is>
          <t>7</t>
        </is>
      </c>
      <c r="S949" s="5" t="inlineStr">
        <is>
          <t>63</t>
        </is>
      </c>
      <c r="T949" s="5" t="inlineStr">
        <is>
          <t>5</t>
        </is>
      </c>
      <c r="U949" s="5" t="inlineStr">
        <is>
          <t>OK</t>
        </is>
      </c>
    </row>
    <row r="950">
      <c r="A950" s="5" t="inlineStr">
        <is>
          <t>E01600</t>
        </is>
      </c>
      <c r="B950" s="5" t="inlineStr">
        <is>
          <t>Male</t>
        </is>
      </c>
      <c r="C950" s="6" t="inlineStr">
        <is>
          <t>35</t>
        </is>
      </c>
      <c r="D950" s="5" t="inlineStr">
        <is>
          <t>Single</t>
        </is>
      </c>
      <c r="E950" s="5" t="inlineStr">
        <is>
          <t>Diploma</t>
        </is>
      </c>
      <c r="F950" s="5" t="inlineStr">
        <is>
          <t>Operations</t>
        </is>
      </c>
      <c r="G950" s="5" t="inlineStr">
        <is>
          <t>Quality Analyst</t>
        </is>
      </c>
      <c r="H950" s="5" t="inlineStr">
        <is>
          <t>4</t>
        </is>
      </c>
      <c r="I950" s="5" t="inlineStr">
        <is>
          <t>Mumbai</t>
        </is>
      </c>
      <c r="J950" s="5" t="inlineStr">
        <is>
          <t>Part-Time</t>
        </is>
      </c>
      <c r="K950" s="7" t="n">
        <v>45934</v>
      </c>
      <c r="L950" s="7" t="n">
        <v>46021</v>
      </c>
      <c r="M950" s="5" t="inlineStr">
        <is>
          <t>No</t>
        </is>
      </c>
      <c r="N950" s="5" t="inlineStr">
        <is>
          <t>Performance / Termination</t>
        </is>
      </c>
      <c r="O950" s="8" t="inlineStr">
        <is>
          <t>133000</t>
        </is>
      </c>
      <c r="P950" s="5" t="inlineStr">
        <is>
          <t>5</t>
        </is>
      </c>
      <c r="Q950" s="5" t="inlineStr">
        <is>
          <t>4</t>
        </is>
      </c>
      <c r="R950" s="5" t="inlineStr">
        <is>
          <t>6</t>
        </is>
      </c>
      <c r="S950" s="5" t="inlineStr">
        <is>
          <t>2</t>
        </is>
      </c>
      <c r="T950" s="5" t="inlineStr">
        <is>
          <t>0</t>
        </is>
      </c>
      <c r="U950" s="5" t="inlineStr">
        <is>
          <t>OK</t>
        </is>
      </c>
    </row>
    <row r="951">
      <c r="A951" s="5" t="inlineStr">
        <is>
          <t>E00219</t>
        </is>
      </c>
      <c r="B951" s="5" t="inlineStr">
        <is>
          <t>Female</t>
        </is>
      </c>
      <c r="C951" s="6" t="inlineStr">
        <is>
          <t>34</t>
        </is>
      </c>
      <c r="D951" s="5" t="inlineStr">
        <is>
          <t>Married</t>
        </is>
      </c>
      <c r="E951" s="5" t="inlineStr">
        <is>
          <t>High School</t>
        </is>
      </c>
      <c r="F951" s="5" t="inlineStr">
        <is>
          <t>Operations</t>
        </is>
      </c>
      <c r="G951" s="5" t="inlineStr">
        <is>
          <t>Operations Analyst</t>
        </is>
      </c>
      <c r="H951" s="5" t="inlineStr">
        <is>
          <t>2</t>
        </is>
      </c>
      <c r="I951" s="5" t="inlineStr">
        <is>
          <t>Mumbai</t>
        </is>
      </c>
      <c r="J951" s="5" t="inlineStr">
        <is>
          <t>Full-Time</t>
        </is>
      </c>
      <c r="K951" s="7" t="n">
        <v>44240</v>
      </c>
      <c r="L951" s="7" t="inlineStr"/>
      <c r="M951" s="5" t="inlineStr">
        <is>
          <t>Yes</t>
        </is>
      </c>
      <c r="N951" s="5" t="inlineStr"/>
      <c r="O951" s="8" t="inlineStr">
        <is>
          <t>78500</t>
        </is>
      </c>
      <c r="P951" s="5" t="inlineStr">
        <is>
          <t>0</t>
        </is>
      </c>
      <c r="Q951" s="5" t="inlineStr">
        <is>
          <t>3</t>
        </is>
      </c>
      <c r="R951" s="5" t="inlineStr">
        <is>
          <t>5</t>
        </is>
      </c>
      <c r="S951" s="5" t="inlineStr">
        <is>
          <t>59</t>
        </is>
      </c>
      <c r="T951" s="5" t="inlineStr">
        <is>
          <t>9</t>
        </is>
      </c>
      <c r="U951" s="5" t="inlineStr">
        <is>
          <t>OK</t>
        </is>
      </c>
    </row>
    <row r="952">
      <c r="A952" s="5" t="inlineStr">
        <is>
          <t>E00723</t>
        </is>
      </c>
      <c r="B952" s="5" t="inlineStr">
        <is>
          <t>Female</t>
        </is>
      </c>
      <c r="C952" s="6" t="inlineStr">
        <is>
          <t>41</t>
        </is>
      </c>
      <c r="D952" s="5" t="inlineStr">
        <is>
          <t>Single</t>
        </is>
      </c>
      <c r="E952" s="5" t="inlineStr">
        <is>
          <t>Bachelor</t>
        </is>
      </c>
      <c r="F952" s="5" t="inlineStr">
        <is>
          <t>IT</t>
        </is>
      </c>
      <c r="G952" s="5" t="inlineStr">
        <is>
          <t>Software Engineer</t>
        </is>
      </c>
      <c r="H952" s="5" t="inlineStr">
        <is>
          <t>6</t>
        </is>
      </c>
      <c r="I952" s="5" t="inlineStr">
        <is>
          <t>Mumbai</t>
        </is>
      </c>
      <c r="J952" s="5" t="inlineStr">
        <is>
          <t>Full-Time</t>
        </is>
      </c>
      <c r="K952" s="7" t="n">
        <v>44169</v>
      </c>
      <c r="L952" s="7" t="inlineStr"/>
      <c r="M952" s="5" t="inlineStr">
        <is>
          <t>Yes</t>
        </is>
      </c>
      <c r="N952" s="5" t="inlineStr"/>
      <c r="O952" s="8" t="inlineStr">
        <is>
          <t>146000</t>
        </is>
      </c>
      <c r="P952" s="5" t="inlineStr">
        <is>
          <t>0</t>
        </is>
      </c>
      <c r="Q952" s="5" t="inlineStr">
        <is>
          <t>4</t>
        </is>
      </c>
      <c r="R952" s="5" t="inlineStr">
        <is>
          <t>7</t>
        </is>
      </c>
      <c r="S952" s="5" t="inlineStr">
        <is>
          <t>61</t>
        </is>
      </c>
      <c r="T952" s="5" t="inlineStr">
        <is>
          <t>0</t>
        </is>
      </c>
      <c r="U952" s="5" t="inlineStr">
        <is>
          <t>OK</t>
        </is>
      </c>
    </row>
    <row r="953">
      <c r="A953" s="5" t="inlineStr">
        <is>
          <t>E01607</t>
        </is>
      </c>
      <c r="B953" s="5" t="inlineStr">
        <is>
          <t>Female</t>
        </is>
      </c>
      <c r="C953" s="6" t="inlineStr">
        <is>
          <t>25</t>
        </is>
      </c>
      <c r="D953" s="5" t="inlineStr">
        <is>
          <t>Married</t>
        </is>
      </c>
      <c r="E953" s="5" t="inlineStr">
        <is>
          <t>Bachelor</t>
        </is>
      </c>
      <c r="F953" s="5" t="inlineStr">
        <is>
          <t>Marketing</t>
        </is>
      </c>
      <c r="G953" s="5" t="inlineStr">
        <is>
          <t>SEO Specialist</t>
        </is>
      </c>
      <c r="H953" s="5" t="inlineStr">
        <is>
          <t>2</t>
        </is>
      </c>
      <c r="I953" s="5" t="inlineStr">
        <is>
          <t>Bengaluru</t>
        </is>
      </c>
      <c r="J953" s="5" t="inlineStr">
        <is>
          <t>Full-Time</t>
        </is>
      </c>
      <c r="K953" s="7" t="n">
        <v>43944</v>
      </c>
      <c r="L953" s="7" t="inlineStr"/>
      <c r="M953" s="5" t="inlineStr">
        <is>
          <t>Yes</t>
        </is>
      </c>
      <c r="N953" s="5" t="inlineStr"/>
      <c r="O953" s="8" t="inlineStr">
        <is>
          <t>100500</t>
        </is>
      </c>
      <c r="P953" s="5" t="inlineStr">
        <is>
          <t>10</t>
        </is>
      </c>
      <c r="Q953" s="5" t="inlineStr">
        <is>
          <t>3</t>
        </is>
      </c>
      <c r="R953" s="5" t="inlineStr">
        <is>
          <t>6</t>
        </is>
      </c>
      <c r="S953" s="5" t="inlineStr">
        <is>
          <t>69</t>
        </is>
      </c>
      <c r="T953" s="5" t="inlineStr">
        <is>
          <t>8</t>
        </is>
      </c>
      <c r="U953" s="5" t="inlineStr">
        <is>
          <t>OK</t>
        </is>
      </c>
    </row>
    <row r="954">
      <c r="A954" s="5" t="inlineStr">
        <is>
          <t>E01901</t>
        </is>
      </c>
      <c r="B954" s="5" t="inlineStr">
        <is>
          <t>Male</t>
        </is>
      </c>
      <c r="C954" s="6" t="inlineStr">
        <is>
          <t>30</t>
        </is>
      </c>
      <c r="D954" s="5" t="inlineStr">
        <is>
          <t>Married</t>
        </is>
      </c>
      <c r="E954" s="5" t="inlineStr">
        <is>
          <t>Diploma</t>
        </is>
      </c>
      <c r="F954" s="5" t="inlineStr">
        <is>
          <t>Research &amp; Development</t>
        </is>
      </c>
      <c r="G954" s="5" t="inlineStr">
        <is>
          <t>Product Engineer</t>
        </is>
      </c>
      <c r="H954" s="5" t="inlineStr">
        <is>
          <t>2</t>
        </is>
      </c>
      <c r="I954" s="5" t="inlineStr">
        <is>
          <t>Remote</t>
        </is>
      </c>
      <c r="J954" s="5" t="inlineStr">
        <is>
          <t>Full-Time</t>
        </is>
      </c>
      <c r="K954" s="7" t="n">
        <v>44120</v>
      </c>
      <c r="L954" s="7" t="inlineStr"/>
      <c r="M954" s="5" t="inlineStr">
        <is>
          <t>Yes</t>
        </is>
      </c>
      <c r="N954" s="5" t="inlineStr"/>
      <c r="O954" s="8" t="inlineStr">
        <is>
          <t>147500</t>
        </is>
      </c>
      <c r="P954" s="5" t="inlineStr">
        <is>
          <t>0</t>
        </is>
      </c>
      <c r="Q954" s="5" t="inlineStr">
        <is>
          <t>5</t>
        </is>
      </c>
      <c r="R954" s="5" t="inlineStr">
        <is>
          <t>4</t>
        </is>
      </c>
      <c r="S954" s="5" t="inlineStr">
        <is>
          <t>63</t>
        </is>
      </c>
      <c r="T954" s="5" t="inlineStr">
        <is>
          <t>10</t>
        </is>
      </c>
      <c r="U954" s="5" t="inlineStr">
        <is>
          <t>OK</t>
        </is>
      </c>
    </row>
    <row r="955">
      <c r="A955" s="5" t="inlineStr">
        <is>
          <t>E02112</t>
        </is>
      </c>
      <c r="B955" s="5" t="inlineStr">
        <is>
          <t>Male</t>
        </is>
      </c>
      <c r="C955" s="6" t="inlineStr">
        <is>
          <t>23</t>
        </is>
      </c>
      <c r="D955" s="5" t="inlineStr">
        <is>
          <t>Married</t>
        </is>
      </c>
      <c r="E955" s="5" t="inlineStr">
        <is>
          <t>High School</t>
        </is>
      </c>
      <c r="F955" s="5" t="inlineStr">
        <is>
          <t>IT</t>
        </is>
      </c>
      <c r="G955" s="5" t="inlineStr">
        <is>
          <t>DevOps Engineer</t>
        </is>
      </c>
      <c r="H955" s="5" t="inlineStr">
        <is>
          <t>1</t>
        </is>
      </c>
      <c r="I955" s="5" t="inlineStr">
        <is>
          <t>Chennai</t>
        </is>
      </c>
      <c r="J955" s="5" t="inlineStr">
        <is>
          <t>Full-Time</t>
        </is>
      </c>
      <c r="K955" s="7" t="n">
        <v>45975</v>
      </c>
      <c r="L955" s="7" t="inlineStr"/>
      <c r="M955" s="5" t="inlineStr">
        <is>
          <t>Yes</t>
        </is>
      </c>
      <c r="N955" s="5" t="inlineStr"/>
      <c r="O955" s="8" t="inlineStr">
        <is>
          <t>141000</t>
        </is>
      </c>
      <c r="P955" s="5" t="inlineStr">
        <is>
          <t>0</t>
        </is>
      </c>
      <c r="Q955" s="5" t="inlineStr">
        <is>
          <t>4</t>
        </is>
      </c>
      <c r="R955" s="5" t="inlineStr">
        <is>
          <t>4</t>
        </is>
      </c>
      <c r="S955" s="5" t="inlineStr">
        <is>
          <t>1</t>
        </is>
      </c>
      <c r="T955" s="5" t="inlineStr">
        <is>
          <t>10</t>
        </is>
      </c>
      <c r="U955" s="5" t="inlineStr">
        <is>
          <t>OK</t>
        </is>
      </c>
    </row>
    <row r="956">
      <c r="A956" s="5" t="inlineStr">
        <is>
          <t>E00293</t>
        </is>
      </c>
      <c r="B956" s="5" t="inlineStr">
        <is>
          <t>Female</t>
        </is>
      </c>
      <c r="C956" s="6" t="inlineStr">
        <is>
          <t>30</t>
        </is>
      </c>
      <c r="D956" s="5" t="inlineStr">
        <is>
          <t>Married</t>
        </is>
      </c>
      <c r="E956" s="5" t="inlineStr">
        <is>
          <t>Diploma</t>
        </is>
      </c>
      <c r="F956" s="5" t="inlineStr">
        <is>
          <t>Operations</t>
        </is>
      </c>
      <c r="G956" s="5" t="inlineStr">
        <is>
          <t>Quality Analyst</t>
        </is>
      </c>
      <c r="H956" s="5" t="inlineStr">
        <is>
          <t>1</t>
        </is>
      </c>
      <c r="I956" s="5" t="inlineStr">
        <is>
          <t>Remote</t>
        </is>
      </c>
      <c r="J956" s="5" t="inlineStr">
        <is>
          <t>Full-Time</t>
        </is>
      </c>
      <c r="K956" s="7" t="n">
        <v>45395</v>
      </c>
      <c r="L956" s="7" t="n">
        <v>45528</v>
      </c>
      <c r="M956" s="5" t="inlineStr">
        <is>
          <t>No</t>
        </is>
      </c>
      <c r="N956" s="5" t="inlineStr">
        <is>
          <t>Layoff</t>
        </is>
      </c>
      <c r="O956" s="8" t="inlineStr">
        <is>
          <t>56500</t>
        </is>
      </c>
      <c r="P956" s="5" t="inlineStr">
        <is>
          <t>0</t>
        </is>
      </c>
      <c r="Q956" s="5" t="inlineStr">
        <is>
          <t>3</t>
        </is>
      </c>
      <c r="R956" s="5" t="inlineStr">
        <is>
          <t>6</t>
        </is>
      </c>
      <c r="S956" s="5" t="inlineStr">
        <is>
          <t>4</t>
        </is>
      </c>
      <c r="T956" s="5" t="inlineStr">
        <is>
          <t>3</t>
        </is>
      </c>
      <c r="U956" s="5" t="inlineStr">
        <is>
          <t>OK</t>
        </is>
      </c>
    </row>
    <row r="957">
      <c r="A957" s="5" t="inlineStr">
        <is>
          <t>E02078</t>
        </is>
      </c>
      <c r="B957" s="5" t="inlineStr">
        <is>
          <t>Male</t>
        </is>
      </c>
      <c r="C957" s="6" t="inlineStr">
        <is>
          <t>30</t>
        </is>
      </c>
      <c r="D957" s="5" t="inlineStr">
        <is>
          <t>Married</t>
        </is>
      </c>
      <c r="E957" s="5" t="inlineStr">
        <is>
          <t>PhD</t>
        </is>
      </c>
      <c r="F957" s="5" t="inlineStr">
        <is>
          <t>Operations</t>
        </is>
      </c>
      <c r="G957" s="5" t="inlineStr">
        <is>
          <t>Logistics Coordinator</t>
        </is>
      </c>
      <c r="H957" s="5" t="inlineStr">
        <is>
          <t>1</t>
        </is>
      </c>
      <c r="I957" s="5" t="inlineStr">
        <is>
          <t>Delhi</t>
        </is>
      </c>
      <c r="J957" s="5" t="inlineStr">
        <is>
          <t>Full-Time</t>
        </is>
      </c>
      <c r="K957" s="7" t="n">
        <v>43932</v>
      </c>
      <c r="L957" s="7" t="inlineStr"/>
      <c r="M957" s="5" t="inlineStr">
        <is>
          <t>Yes</t>
        </is>
      </c>
      <c r="N957" s="5" t="inlineStr"/>
      <c r="O957" s="8" t="inlineStr">
        <is>
          <t>57500</t>
        </is>
      </c>
      <c r="P957" s="5" t="inlineStr">
        <is>
          <t>5</t>
        </is>
      </c>
      <c r="Q957" s="5" t="inlineStr">
        <is>
          <t>1</t>
        </is>
      </c>
      <c r="R957" s="5" t="inlineStr">
        <is>
          <t>6</t>
        </is>
      </c>
      <c r="S957" s="5" t="inlineStr">
        <is>
          <t>69</t>
        </is>
      </c>
      <c r="T957" s="5" t="inlineStr">
        <is>
          <t>0</t>
        </is>
      </c>
      <c r="U957" s="5" t="inlineStr">
        <is>
          <t>OK</t>
        </is>
      </c>
    </row>
    <row r="958">
      <c r="A958" s="5" t="inlineStr">
        <is>
          <t>E00003</t>
        </is>
      </c>
      <c r="B958" s="5" t="inlineStr">
        <is>
          <t>Female</t>
        </is>
      </c>
      <c r="C958" s="6" t="inlineStr">
        <is>
          <t>31</t>
        </is>
      </c>
      <c r="D958" s="5" t="inlineStr">
        <is>
          <t>Married</t>
        </is>
      </c>
      <c r="E958" s="5" t="inlineStr">
        <is>
          <t>Master</t>
        </is>
      </c>
      <c r="F958" s="5" t="inlineStr">
        <is>
          <t>Sales</t>
        </is>
      </c>
      <c r="G958" s="5" t="inlineStr">
        <is>
          <t>Sales Executive</t>
        </is>
      </c>
      <c r="H958" s="5" t="inlineStr">
        <is>
          <t>3</t>
        </is>
      </c>
      <c r="I958" s="5" t="inlineStr">
        <is>
          <t>Delhi</t>
        </is>
      </c>
      <c r="J958" s="5" t="inlineStr">
        <is>
          <t>Full-Time</t>
        </is>
      </c>
      <c r="K958" s="7" t="n">
        <v>44143</v>
      </c>
      <c r="L958" s="7" t="inlineStr"/>
      <c r="M958" s="5" t="inlineStr">
        <is>
          <t>Yes</t>
        </is>
      </c>
      <c r="N958" s="5" t="inlineStr"/>
      <c r="O958" s="8" t="inlineStr">
        <is>
          <t>96000</t>
        </is>
      </c>
      <c r="P958" s="5" t="inlineStr">
        <is>
          <t>10</t>
        </is>
      </c>
      <c r="Q958" s="5" t="inlineStr">
        <is>
          <t>3</t>
        </is>
      </c>
      <c r="R958" s="5" t="inlineStr">
        <is>
          <t>8</t>
        </is>
      </c>
      <c r="S958" s="5" t="inlineStr">
        <is>
          <t>62</t>
        </is>
      </c>
      <c r="T958" s="5" t="inlineStr">
        <is>
          <t>12</t>
        </is>
      </c>
      <c r="U958" s="5" t="inlineStr">
        <is>
          <t>OK</t>
        </is>
      </c>
    </row>
    <row r="959">
      <c r="A959" s="5" t="inlineStr">
        <is>
          <t>E02070</t>
        </is>
      </c>
      <c r="B959" s="5" t="inlineStr">
        <is>
          <t>Male</t>
        </is>
      </c>
      <c r="C959" s="6" t="inlineStr">
        <is>
          <t>23</t>
        </is>
      </c>
      <c r="D959" s="5" t="inlineStr">
        <is>
          <t>Single</t>
        </is>
      </c>
      <c r="E959" s="5" t="inlineStr">
        <is>
          <t>Bachelor</t>
        </is>
      </c>
      <c r="F959" s="5" t="inlineStr">
        <is>
          <t>Operations</t>
        </is>
      </c>
      <c r="G959" s="5" t="inlineStr">
        <is>
          <t>Logistics Coordinator</t>
        </is>
      </c>
      <c r="H959" s="5" t="inlineStr">
        <is>
          <t>1</t>
        </is>
      </c>
      <c r="I959" s="5" t="inlineStr">
        <is>
          <t>Hyderabad</t>
        </is>
      </c>
      <c r="J959" s="5" t="inlineStr">
        <is>
          <t>Full-Time</t>
        </is>
      </c>
      <c r="K959" s="7" t="n">
        <v>44104</v>
      </c>
      <c r="L959" s="7" t="n">
        <v>44173</v>
      </c>
      <c r="M959" s="5" t="inlineStr">
        <is>
          <t>No</t>
        </is>
      </c>
      <c r="N959" s="5" t="inlineStr">
        <is>
          <t>Retirement</t>
        </is>
      </c>
      <c r="O959" s="8" t="inlineStr">
        <is>
          <t>61000</t>
        </is>
      </c>
      <c r="P959" s="5" t="inlineStr">
        <is>
          <t>5</t>
        </is>
      </c>
      <c r="Q959" s="5" t="inlineStr">
        <is>
          <t>3</t>
        </is>
      </c>
      <c r="R959" s="5" t="inlineStr">
        <is>
          <t>7</t>
        </is>
      </c>
      <c r="S959" s="5" t="inlineStr">
        <is>
          <t>2</t>
        </is>
      </c>
      <c r="T959" s="5" t="inlineStr">
        <is>
          <t>8</t>
        </is>
      </c>
      <c r="U959" s="5" t="inlineStr">
        <is>
          <t>OK</t>
        </is>
      </c>
    </row>
    <row r="960">
      <c r="A960" s="5" t="inlineStr">
        <is>
          <t>E01783</t>
        </is>
      </c>
      <c r="B960" s="5" t="inlineStr">
        <is>
          <t>Male</t>
        </is>
      </c>
      <c r="C960" s="6" t="inlineStr">
        <is>
          <t>33</t>
        </is>
      </c>
      <c r="D960" s="5" t="inlineStr">
        <is>
          <t>Married</t>
        </is>
      </c>
      <c r="E960" s="5" t="inlineStr">
        <is>
          <t>Master</t>
        </is>
      </c>
      <c r="F960" s="5" t="inlineStr">
        <is>
          <t>IT</t>
        </is>
      </c>
      <c r="G960" s="5" t="inlineStr">
        <is>
          <t>IT Support</t>
        </is>
      </c>
      <c r="H960" s="5" t="inlineStr">
        <is>
          <t>2</t>
        </is>
      </c>
      <c r="I960" s="5" t="inlineStr">
        <is>
          <t>Delhi</t>
        </is>
      </c>
      <c r="J960" s="5" t="inlineStr">
        <is>
          <t>Full-Time</t>
        </is>
      </c>
      <c r="K960" s="7" t="n">
        <v>44269</v>
      </c>
      <c r="L960" s="7" t="inlineStr"/>
      <c r="M960" s="5" t="inlineStr">
        <is>
          <t>Yes</t>
        </is>
      </c>
      <c r="N960" s="5" t="inlineStr"/>
      <c r="O960" s="8" t="inlineStr">
        <is>
          <t>152500</t>
        </is>
      </c>
      <c r="P960" s="5" t="inlineStr">
        <is>
          <t>15</t>
        </is>
      </c>
      <c r="Q960" s="5" t="inlineStr">
        <is>
          <t>4</t>
        </is>
      </c>
      <c r="R960" s="5" t="inlineStr">
        <is>
          <t>8</t>
        </is>
      </c>
      <c r="S960" s="5" t="inlineStr">
        <is>
          <t>58</t>
        </is>
      </c>
      <c r="T960" s="5" t="inlineStr">
        <is>
          <t>11</t>
        </is>
      </c>
      <c r="U960" s="5" t="inlineStr">
        <is>
          <t>OK</t>
        </is>
      </c>
    </row>
    <row r="961">
      <c r="A961" s="5" t="inlineStr">
        <is>
          <t>E00488</t>
        </is>
      </c>
      <c r="B961" s="5" t="inlineStr">
        <is>
          <t>Male</t>
        </is>
      </c>
      <c r="C961" s="6" t="inlineStr">
        <is>
          <t>37</t>
        </is>
      </c>
      <c r="D961" s="5" t="inlineStr">
        <is>
          <t>Married</t>
        </is>
      </c>
      <c r="E961" s="5" t="inlineStr">
        <is>
          <t>Bachelor</t>
        </is>
      </c>
      <c r="F961" s="5" t="inlineStr">
        <is>
          <t>Research &amp; Development</t>
        </is>
      </c>
      <c r="G961" s="5" t="inlineStr">
        <is>
          <t>Data Scientist</t>
        </is>
      </c>
      <c r="H961" s="5" t="inlineStr">
        <is>
          <t>6</t>
        </is>
      </c>
      <c r="I961" s="5" t="inlineStr">
        <is>
          <t>Remote</t>
        </is>
      </c>
      <c r="J961" s="5" t="inlineStr">
        <is>
          <t>Contract</t>
        </is>
      </c>
      <c r="K961" s="7" t="n">
        <v>44270</v>
      </c>
      <c r="L961" s="7" t="inlineStr"/>
      <c r="M961" s="5" t="inlineStr">
        <is>
          <t>Yes</t>
        </is>
      </c>
      <c r="N961" s="5" t="inlineStr"/>
      <c r="O961" s="8" t="inlineStr">
        <is>
          <t>285000</t>
        </is>
      </c>
      <c r="P961" s="5" t="inlineStr">
        <is>
          <t>10</t>
        </is>
      </c>
      <c r="Q961" s="5" t="inlineStr">
        <is>
          <t>4</t>
        </is>
      </c>
      <c r="R961" s="5" t="inlineStr">
        <is>
          <t>5</t>
        </is>
      </c>
      <c r="S961" s="5" t="inlineStr">
        <is>
          <t>58</t>
        </is>
      </c>
      <c r="T961" s="5" t="inlineStr">
        <is>
          <t>1</t>
        </is>
      </c>
      <c r="U961" s="5" t="inlineStr">
        <is>
          <t>OK</t>
        </is>
      </c>
    </row>
    <row r="962">
      <c r="A962" s="5" t="inlineStr">
        <is>
          <t>E01842</t>
        </is>
      </c>
      <c r="B962" s="5" t="inlineStr">
        <is>
          <t>Male</t>
        </is>
      </c>
      <c r="C962" s="6" t="inlineStr">
        <is>
          <t>25</t>
        </is>
      </c>
      <c r="D962" s="5" t="inlineStr">
        <is>
          <t>Single</t>
        </is>
      </c>
      <c r="E962" s="5" t="inlineStr">
        <is>
          <t>PhD</t>
        </is>
      </c>
      <c r="F962" s="5" t="inlineStr">
        <is>
          <t>Sales</t>
        </is>
      </c>
      <c r="G962" s="5" t="inlineStr">
        <is>
          <t>Business Development</t>
        </is>
      </c>
      <c r="H962" s="5" t="inlineStr">
        <is>
          <t>2</t>
        </is>
      </c>
      <c r="I962" s="5" t="inlineStr">
        <is>
          <t>Delhi</t>
        </is>
      </c>
      <c r="J962" s="5" t="inlineStr">
        <is>
          <t>Full-Time</t>
        </is>
      </c>
      <c r="K962" s="7" t="n">
        <v>44450</v>
      </c>
      <c r="L962" s="7" t="n">
        <v>44569</v>
      </c>
      <c r="M962" s="5" t="inlineStr">
        <is>
          <t>No</t>
        </is>
      </c>
      <c r="N962" s="5" t="inlineStr">
        <is>
          <t>Resigned</t>
        </is>
      </c>
      <c r="O962" s="8" t="inlineStr">
        <is>
          <t>88500</t>
        </is>
      </c>
      <c r="P962" s="5" t="inlineStr">
        <is>
          <t>0</t>
        </is>
      </c>
      <c r="Q962" s="5" t="inlineStr">
        <is>
          <t>3</t>
        </is>
      </c>
      <c r="R962" s="5" t="inlineStr">
        <is>
          <t>6</t>
        </is>
      </c>
      <c r="S962" s="5" t="inlineStr">
        <is>
          <t>3</t>
        </is>
      </c>
      <c r="T962" s="5" t="inlineStr">
        <is>
          <t>9</t>
        </is>
      </c>
      <c r="U962" s="5" t="inlineStr">
        <is>
          <t>OK</t>
        </is>
      </c>
    </row>
    <row r="963">
      <c r="A963" s="5" t="inlineStr">
        <is>
          <t>E02867</t>
        </is>
      </c>
      <c r="B963" s="5" t="inlineStr">
        <is>
          <t>Female</t>
        </is>
      </c>
      <c r="C963" s="6" t="inlineStr">
        <is>
          <t>33</t>
        </is>
      </c>
      <c r="D963" s="5" t="inlineStr">
        <is>
          <t>Married</t>
        </is>
      </c>
      <c r="E963" s="5" t="inlineStr">
        <is>
          <t>PhD</t>
        </is>
      </c>
      <c r="F963" s="5" t="inlineStr">
        <is>
          <t>Marketing</t>
        </is>
      </c>
      <c r="G963" s="5" t="inlineStr">
        <is>
          <t>SEO Specialist</t>
        </is>
      </c>
      <c r="H963" s="5" t="inlineStr">
        <is>
          <t>1</t>
        </is>
      </c>
      <c r="I963" s="5" t="inlineStr">
        <is>
          <t>Hyderabad</t>
        </is>
      </c>
      <c r="J963" s="5" t="inlineStr">
        <is>
          <t>Full-Time</t>
        </is>
      </c>
      <c r="K963" s="7" t="n">
        <v>45686</v>
      </c>
      <c r="L963" s="7" t="inlineStr"/>
      <c r="M963" s="5" t="inlineStr">
        <is>
          <t>Yes</t>
        </is>
      </c>
      <c r="N963" s="5" t="inlineStr"/>
      <c r="O963" s="8" t="inlineStr">
        <is>
          <t>60000</t>
        </is>
      </c>
      <c r="P963" s="5" t="inlineStr">
        <is>
          <t>0</t>
        </is>
      </c>
      <c r="Q963" s="5" t="inlineStr">
        <is>
          <t>4</t>
        </is>
      </c>
      <c r="R963" s="5" t="inlineStr">
        <is>
          <t>9</t>
        </is>
      </c>
      <c r="S963" s="5" t="inlineStr">
        <is>
          <t>11</t>
        </is>
      </c>
      <c r="T963" s="5" t="inlineStr">
        <is>
          <t>11</t>
        </is>
      </c>
      <c r="U963" s="5" t="inlineStr">
        <is>
          <t>OK</t>
        </is>
      </c>
    </row>
    <row r="964">
      <c r="A964" s="5" t="inlineStr">
        <is>
          <t>E00453</t>
        </is>
      </c>
      <c r="B964" s="5" t="inlineStr">
        <is>
          <t>Female</t>
        </is>
      </c>
      <c r="C964" s="6" t="inlineStr">
        <is>
          <t>32</t>
        </is>
      </c>
      <c r="D964" s="5" t="inlineStr">
        <is>
          <t>Single</t>
        </is>
      </c>
      <c r="E964" s="5" t="inlineStr">
        <is>
          <t>Diploma</t>
        </is>
      </c>
      <c r="F964" s="5" t="inlineStr">
        <is>
          <t>Finance</t>
        </is>
      </c>
      <c r="G964" s="5" t="inlineStr">
        <is>
          <t>Credit Analyst</t>
        </is>
      </c>
      <c r="H964" s="5" t="inlineStr">
        <is>
          <t>1</t>
        </is>
      </c>
      <c r="I964" s="5" t="inlineStr">
        <is>
          <t>Mumbai</t>
        </is>
      </c>
      <c r="J964" s="5" t="inlineStr">
        <is>
          <t>Full-Time</t>
        </is>
      </c>
      <c r="K964" s="7" t="n">
        <v>45664</v>
      </c>
      <c r="L964" s="7" t="inlineStr"/>
      <c r="M964" s="5" t="inlineStr">
        <is>
          <t>Yes</t>
        </is>
      </c>
      <c r="N964" s="5" t="inlineStr"/>
      <c r="O964" s="8" t="inlineStr">
        <is>
          <t>102000</t>
        </is>
      </c>
      <c r="P964" s="5" t="inlineStr">
        <is>
          <t>10</t>
        </is>
      </c>
      <c r="Q964" s="5" t="inlineStr">
        <is>
          <t>3</t>
        </is>
      </c>
      <c r="R964" s="5" t="inlineStr">
        <is>
          <t>7</t>
        </is>
      </c>
      <c r="S964" s="5" t="inlineStr">
        <is>
          <t>11</t>
        </is>
      </c>
      <c r="T964" s="5" t="inlineStr">
        <is>
          <t>11</t>
        </is>
      </c>
      <c r="U964" s="5" t="inlineStr">
        <is>
          <t>OK</t>
        </is>
      </c>
    </row>
    <row r="965">
      <c r="A965" s="5" t="inlineStr">
        <is>
          <t>E02809</t>
        </is>
      </c>
      <c r="B965" s="5" t="inlineStr">
        <is>
          <t>male</t>
        </is>
      </c>
      <c r="C965" s="6" t="inlineStr">
        <is>
          <t>36</t>
        </is>
      </c>
      <c r="D965" s="5" t="inlineStr">
        <is>
          <t>Married</t>
        </is>
      </c>
      <c r="E965" s="5" t="inlineStr">
        <is>
          <t>Master</t>
        </is>
      </c>
      <c r="F965" s="5" t="inlineStr">
        <is>
          <t>Sales</t>
        </is>
      </c>
      <c r="G965" s="5" t="inlineStr">
        <is>
          <t>Account Executive</t>
        </is>
      </c>
      <c r="H965" s="5" t="inlineStr">
        <is>
          <t>3</t>
        </is>
      </c>
      <c r="I965" s="5" t="inlineStr">
        <is>
          <t>Remote</t>
        </is>
      </c>
      <c r="J965" s="5" t="inlineStr">
        <is>
          <t>Full-Time</t>
        </is>
      </c>
      <c r="K965" s="7" t="n">
        <v>45361</v>
      </c>
      <c r="L965" s="7" t="inlineStr"/>
      <c r="M965" s="5" t="inlineStr">
        <is>
          <t>Yes</t>
        </is>
      </c>
      <c r="N965" s="5" t="inlineStr"/>
      <c r="O965" s="8" t="inlineStr">
        <is>
          <t>101500</t>
        </is>
      </c>
      <c r="P965" s="5" t="inlineStr">
        <is>
          <t>0</t>
        </is>
      </c>
      <c r="Q965" s="5" t="inlineStr">
        <is>
          <t>5</t>
        </is>
      </c>
      <c r="R965" s="5" t="inlineStr">
        <is>
          <t>6</t>
        </is>
      </c>
      <c r="S965" s="5" t="inlineStr">
        <is>
          <t>22</t>
        </is>
      </c>
      <c r="T965" s="5" t="inlineStr">
        <is>
          <t>4</t>
        </is>
      </c>
      <c r="U965" s="5" t="inlineStr">
        <is>
          <t>OK</t>
        </is>
      </c>
    </row>
    <row r="966">
      <c r="A966" s="5" t="inlineStr">
        <is>
          <t>E02377</t>
        </is>
      </c>
      <c r="B966" s="5" t="inlineStr">
        <is>
          <t>Female</t>
        </is>
      </c>
      <c r="C966" s="6" t="inlineStr">
        <is>
          <t>32</t>
        </is>
      </c>
      <c r="D966" s="5" t="inlineStr">
        <is>
          <t>Single</t>
        </is>
      </c>
      <c r="E966" s="5" t="inlineStr">
        <is>
          <t>PhD</t>
        </is>
      </c>
      <c r="F966" s="5" t="inlineStr">
        <is>
          <t>Finance</t>
        </is>
      </c>
      <c r="G966" s="5" t="inlineStr">
        <is>
          <t>Accountant</t>
        </is>
      </c>
      <c r="H966" s="5" t="inlineStr">
        <is>
          <t>1</t>
        </is>
      </c>
      <c r="I966" s="5" t="inlineStr">
        <is>
          <t>Bengaluru</t>
        </is>
      </c>
      <c r="J966" s="5" t="inlineStr">
        <is>
          <t>Full-Time</t>
        </is>
      </c>
      <c r="K966" s="7" t="n">
        <v>44295</v>
      </c>
      <c r="L966" s="7" t="inlineStr"/>
      <c r="M966" s="5" t="inlineStr">
        <is>
          <t>Yes</t>
        </is>
      </c>
      <c r="N966" s="5" t="inlineStr"/>
      <c r="O966" s="8" t="inlineStr">
        <is>
          <t>69500</t>
        </is>
      </c>
      <c r="P966" s="5" t="inlineStr">
        <is>
          <t>0</t>
        </is>
      </c>
      <c r="Q966" s="5" t="inlineStr">
        <is>
          <t>3</t>
        </is>
      </c>
      <c r="R966" s="5" t="inlineStr">
        <is>
          <t>10</t>
        </is>
      </c>
      <c r="S966" s="5" t="inlineStr">
        <is>
          <t>57</t>
        </is>
      </c>
      <c r="T966" s="5" t="inlineStr">
        <is>
          <t>7</t>
        </is>
      </c>
      <c r="U966" s="5" t="inlineStr">
        <is>
          <t>OK</t>
        </is>
      </c>
    </row>
    <row r="967">
      <c r="A967" s="5" t="inlineStr">
        <is>
          <t>E02673</t>
        </is>
      </c>
      <c r="B967" s="5" t="inlineStr">
        <is>
          <t>Female</t>
        </is>
      </c>
      <c r="C967" s="6" t="inlineStr">
        <is>
          <t>29</t>
        </is>
      </c>
      <c r="D967" s="5" t="inlineStr">
        <is>
          <t>Single</t>
        </is>
      </c>
      <c r="E967" s="5" t="inlineStr">
        <is>
          <t>Diploma</t>
        </is>
      </c>
      <c r="F967" s="5" t="inlineStr">
        <is>
          <t>Research &amp; Development</t>
        </is>
      </c>
      <c r="G967" s="5" t="inlineStr">
        <is>
          <t>Product Engineer</t>
        </is>
      </c>
      <c r="H967" s="5" t="inlineStr">
        <is>
          <t>1</t>
        </is>
      </c>
      <c r="I967" s="5" t="inlineStr">
        <is>
          <t>Chennai</t>
        </is>
      </c>
      <c r="J967" s="5" t="inlineStr">
        <is>
          <t>Full-Time</t>
        </is>
      </c>
      <c r="K967" s="7" t="n">
        <v>43863</v>
      </c>
      <c r="L967" s="7" t="n">
        <v>43944</v>
      </c>
      <c r="M967" s="5" t="inlineStr">
        <is>
          <t>No</t>
        </is>
      </c>
      <c r="N967" s="5" t="inlineStr">
        <is>
          <t>Resigned</t>
        </is>
      </c>
      <c r="O967" s="8" t="inlineStr">
        <is>
          <t>138500</t>
        </is>
      </c>
      <c r="P967" s="5" t="inlineStr">
        <is>
          <t>10</t>
        </is>
      </c>
      <c r="Q967" s="5" t="inlineStr">
        <is>
          <t>4</t>
        </is>
      </c>
      <c r="R967" s="5" t="inlineStr">
        <is>
          <t>7</t>
        </is>
      </c>
      <c r="S967" s="5" t="inlineStr">
        <is>
          <t>2</t>
        </is>
      </c>
      <c r="T967" s="5" t="inlineStr">
        <is>
          <t>0</t>
        </is>
      </c>
      <c r="U967" s="5" t="inlineStr">
        <is>
          <t>OK</t>
        </is>
      </c>
    </row>
    <row r="968">
      <c r="A968" s="5" t="inlineStr">
        <is>
          <t>E00224</t>
        </is>
      </c>
      <c r="B968" s="5" t="inlineStr">
        <is>
          <t>Female</t>
        </is>
      </c>
      <c r="C968" s="6" t="inlineStr">
        <is>
          <t>41</t>
        </is>
      </c>
      <c r="D968" s="5" t="inlineStr">
        <is>
          <t>Single</t>
        </is>
      </c>
      <c r="E968" s="5" t="inlineStr">
        <is>
          <t>High School</t>
        </is>
      </c>
      <c r="F968" s="5" t="inlineStr">
        <is>
          <t>Operations</t>
        </is>
      </c>
      <c r="G968" s="5" t="inlineStr">
        <is>
          <t>Operations Analyst</t>
        </is>
      </c>
      <c r="H968" s="5" t="inlineStr">
        <is>
          <t>7</t>
        </is>
      </c>
      <c r="I968" s="5" t="inlineStr">
        <is>
          <t>Bengaluru</t>
        </is>
      </c>
      <c r="J968" s="5" t="inlineStr">
        <is>
          <t>Full-Time</t>
        </is>
      </c>
      <c r="K968" s="7" t="n">
        <v>43910</v>
      </c>
      <c r="L968" s="7" t="inlineStr"/>
      <c r="M968" s="5" t="inlineStr">
        <is>
          <t>Yes</t>
        </is>
      </c>
      <c r="N968" s="5" t="inlineStr"/>
      <c r="O968" s="8" t="inlineStr">
        <is>
          <t>112000</t>
        </is>
      </c>
      <c r="P968" s="5" t="inlineStr">
        <is>
          <t>15</t>
        </is>
      </c>
      <c r="Q968" s="5" t="inlineStr">
        <is>
          <t>3</t>
        </is>
      </c>
      <c r="R968" s="5" t="inlineStr">
        <is>
          <t>3</t>
        </is>
      </c>
      <c r="S968" s="5" t="inlineStr">
        <is>
          <t>70</t>
        </is>
      </c>
      <c r="T968" s="5" t="inlineStr">
        <is>
          <t>8</t>
        </is>
      </c>
      <c r="U968" s="5" t="inlineStr">
        <is>
          <t>OK</t>
        </is>
      </c>
    </row>
    <row r="969">
      <c r="A969" s="5" t="inlineStr">
        <is>
          <t>E02083</t>
        </is>
      </c>
      <c r="B969" s="5" t="inlineStr">
        <is>
          <t>Male</t>
        </is>
      </c>
      <c r="C969" s="6" t="inlineStr">
        <is>
          <t>38</t>
        </is>
      </c>
      <c r="D969" s="5" t="inlineStr">
        <is>
          <t>Married</t>
        </is>
      </c>
      <c r="E969" s="5" t="inlineStr">
        <is>
          <t>Bachelor</t>
        </is>
      </c>
      <c r="F969" s="5" t="inlineStr">
        <is>
          <t>Operations</t>
        </is>
      </c>
      <c r="G969" s="5" t="inlineStr">
        <is>
          <t>Operations Analyst</t>
        </is>
      </c>
      <c r="H969" s="5" t="inlineStr">
        <is>
          <t>6</t>
        </is>
      </c>
      <c r="I969" s="5" t="inlineStr">
        <is>
          <t>Remote</t>
        </is>
      </c>
      <c r="J969" s="5" t="inlineStr">
        <is>
          <t>Full-Time</t>
        </is>
      </c>
      <c r="K969" s="7" t="n">
        <v>43945</v>
      </c>
      <c r="L969" s="7" t="inlineStr"/>
      <c r="M969" s="5" t="inlineStr">
        <is>
          <t>Yes</t>
        </is>
      </c>
      <c r="N969" s="5" t="inlineStr"/>
      <c r="O969" s="8" t="inlineStr">
        <is>
          <t>143000</t>
        </is>
      </c>
      <c r="P969" s="5" t="inlineStr">
        <is>
          <t>0</t>
        </is>
      </c>
      <c r="Q969" s="5" t="inlineStr">
        <is>
          <t>3</t>
        </is>
      </c>
      <c r="R969" s="5" t="inlineStr">
        <is>
          <t>6</t>
        </is>
      </c>
      <c r="S969" s="5" t="inlineStr">
        <is>
          <t>69</t>
        </is>
      </c>
      <c r="T969" s="5" t="inlineStr">
        <is>
          <t>8</t>
        </is>
      </c>
      <c r="U969" s="5" t="inlineStr">
        <is>
          <t>OK</t>
        </is>
      </c>
    </row>
    <row r="970">
      <c r="A970" s="5" t="inlineStr">
        <is>
          <t>E00456</t>
        </is>
      </c>
      <c r="B970" s="5" t="inlineStr">
        <is>
          <t>Male</t>
        </is>
      </c>
      <c r="C970" s="6" t="inlineStr">
        <is>
          <t>210</t>
        </is>
      </c>
      <c r="D970" s="5" t="inlineStr">
        <is>
          <t>Single</t>
        </is>
      </c>
      <c r="E970" s="5" t="inlineStr">
        <is>
          <t>PhD</t>
        </is>
      </c>
      <c r="F970" s="5" t="inlineStr">
        <is>
          <t>Customer Support</t>
        </is>
      </c>
      <c r="G970" s="5" t="inlineStr">
        <is>
          <t>Support Agent</t>
        </is>
      </c>
      <c r="H970" s="5" t="inlineStr">
        <is>
          <t>6</t>
        </is>
      </c>
      <c r="I970" s="5" t="inlineStr">
        <is>
          <t>Mumbai</t>
        </is>
      </c>
      <c r="J970" s="5" t="inlineStr">
        <is>
          <t>Full-Time</t>
        </is>
      </c>
      <c r="K970" s="7" t="n">
        <v>43863</v>
      </c>
      <c r="L970" s="7" t="inlineStr"/>
      <c r="M970" s="5" t="inlineStr">
        <is>
          <t>Yes</t>
        </is>
      </c>
      <c r="N970" s="5" t="inlineStr"/>
      <c r="O970" s="8" t="inlineStr">
        <is>
          <t>87500</t>
        </is>
      </c>
      <c r="P970" s="5" t="inlineStr">
        <is>
          <t>10</t>
        </is>
      </c>
      <c r="Q970" s="5" t="inlineStr">
        <is>
          <t>2</t>
        </is>
      </c>
      <c r="R970" s="5" t="inlineStr">
        <is>
          <t>6</t>
        </is>
      </c>
      <c r="S970" s="5" t="inlineStr">
        <is>
          <t>71</t>
        </is>
      </c>
      <c r="T970" s="5" t="inlineStr">
        <is>
          <t>11</t>
        </is>
      </c>
      <c r="U970" s="5" t="inlineStr">
        <is>
          <t>Age typo</t>
        </is>
      </c>
    </row>
    <row r="971">
      <c r="A971" s="5" t="inlineStr">
        <is>
          <t>E01881</t>
        </is>
      </c>
      <c r="B971" s="5" t="inlineStr">
        <is>
          <t>Male</t>
        </is>
      </c>
      <c r="C971" s="6" t="inlineStr">
        <is>
          <t>30</t>
        </is>
      </c>
      <c r="D971" s="5" t="inlineStr">
        <is>
          <t>Married</t>
        </is>
      </c>
      <c r="E971" s="5" t="inlineStr">
        <is>
          <t>High School</t>
        </is>
      </c>
      <c r="F971" s="5" t="inlineStr">
        <is>
          <t>Sales</t>
        </is>
      </c>
      <c r="G971" s="5" t="inlineStr">
        <is>
          <t>Business Development</t>
        </is>
      </c>
      <c r="H971" s="5" t="inlineStr">
        <is>
          <t>4</t>
        </is>
      </c>
      <c r="I971" s="5" t="inlineStr">
        <is>
          <t>Chennai</t>
        </is>
      </c>
      <c r="J971" s="5" t="inlineStr">
        <is>
          <t>Full-Time</t>
        </is>
      </c>
      <c r="K971" s="7" t="n">
        <v>44186</v>
      </c>
      <c r="L971" s="7" t="inlineStr"/>
      <c r="M971" s="5" t="inlineStr">
        <is>
          <t>Yes</t>
        </is>
      </c>
      <c r="N971" s="5" t="inlineStr"/>
      <c r="O971" s="8" t="inlineStr">
        <is>
          <t>119500</t>
        </is>
      </c>
      <c r="P971" s="5" t="inlineStr">
        <is>
          <t>15</t>
        </is>
      </c>
      <c r="Q971" s="5" t="inlineStr">
        <is>
          <t>3</t>
        </is>
      </c>
      <c r="R971" s="5" t="inlineStr">
        <is>
          <t>9</t>
        </is>
      </c>
      <c r="S971" s="5" t="inlineStr">
        <is>
          <t>61</t>
        </is>
      </c>
      <c r="T971" s="5" t="inlineStr">
        <is>
          <t>0</t>
        </is>
      </c>
      <c r="U971" s="5" t="inlineStr">
        <is>
          <t>OK</t>
        </is>
      </c>
    </row>
    <row r="972">
      <c r="A972" s="5" t="inlineStr">
        <is>
          <t>E02833</t>
        </is>
      </c>
      <c r="B972" s="5" t="inlineStr">
        <is>
          <t>Male</t>
        </is>
      </c>
      <c r="C972" s="6" t="inlineStr">
        <is>
          <t>30</t>
        </is>
      </c>
      <c r="D972" s="5" t="inlineStr">
        <is>
          <t>Married</t>
        </is>
      </c>
      <c r="E972" s="5" t="inlineStr">
        <is>
          <t>Bachelor</t>
        </is>
      </c>
      <c r="F972" s="5" t="inlineStr">
        <is>
          <t>Operations</t>
        </is>
      </c>
      <c r="G972" s="5" t="inlineStr">
        <is>
          <t>Operations Analyst</t>
        </is>
      </c>
      <c r="H972" s="5" t="inlineStr">
        <is>
          <t>1</t>
        </is>
      </c>
      <c r="I972" s="5" t="inlineStr">
        <is>
          <t>Bengaluru</t>
        </is>
      </c>
      <c r="J972" s="5" t="inlineStr">
        <is>
          <t>Full-Time</t>
        </is>
      </c>
      <c r="K972" s="7" t="n">
        <v>44772</v>
      </c>
      <c r="L972" s="7" t="n">
        <v>44819</v>
      </c>
      <c r="M972" s="5" t="inlineStr">
        <is>
          <t>No</t>
        </is>
      </c>
      <c r="N972" s="5" t="inlineStr">
        <is>
          <t>Resigned</t>
        </is>
      </c>
      <c r="O972" s="8" t="inlineStr">
        <is>
          <t>92000</t>
        </is>
      </c>
      <c r="P972" s="5" t="inlineStr">
        <is>
          <t>10</t>
        </is>
      </c>
      <c r="Q972" s="5" t="inlineStr">
        <is>
          <t>3</t>
        </is>
      </c>
      <c r="R972" s="5" t="inlineStr">
        <is>
          <t>5</t>
        </is>
      </c>
      <c r="S972" s="5" t="inlineStr">
        <is>
          <t>1</t>
        </is>
      </c>
      <c r="T972" s="5" t="inlineStr">
        <is>
          <t>7</t>
        </is>
      </c>
      <c r="U972" s="5" t="inlineStr">
        <is>
          <t>OK</t>
        </is>
      </c>
    </row>
    <row r="973">
      <c r="A973" s="5" t="inlineStr">
        <is>
          <t>E00903</t>
        </is>
      </c>
      <c r="B973" s="5" t="inlineStr">
        <is>
          <t>Male</t>
        </is>
      </c>
      <c r="C973" s="6" t="inlineStr">
        <is>
          <t>32</t>
        </is>
      </c>
      <c r="D973" s="5" t="inlineStr">
        <is>
          <t>Married</t>
        </is>
      </c>
      <c r="E973" s="5" t="inlineStr">
        <is>
          <t>Bachelor</t>
        </is>
      </c>
      <c r="F973" s="5" t="inlineStr">
        <is>
          <t>Operations</t>
        </is>
      </c>
      <c r="G973" s="5" t="inlineStr">
        <is>
          <t>Operations Analyst</t>
        </is>
      </c>
      <c r="H973" s="5" t="inlineStr">
        <is>
          <t>5</t>
        </is>
      </c>
      <c r="I973" s="5" t="inlineStr">
        <is>
          <t>Mumbai</t>
        </is>
      </c>
      <c r="J973" s="5" t="inlineStr">
        <is>
          <t>Full-Time</t>
        </is>
      </c>
      <c r="K973" s="7" t="n">
        <v>44188</v>
      </c>
      <c r="L973" s="7" t="inlineStr"/>
      <c r="M973" s="5" t="inlineStr">
        <is>
          <t>Yes</t>
        </is>
      </c>
      <c r="N973" s="5" t="inlineStr"/>
      <c r="O973" s="8" t="inlineStr">
        <is>
          <t>156500</t>
        </is>
      </c>
      <c r="P973" s="5" t="inlineStr">
        <is>
          <t>15</t>
        </is>
      </c>
      <c r="Q973" s="5" t="inlineStr">
        <is>
          <t>3</t>
        </is>
      </c>
      <c r="R973" s="5" t="inlineStr">
        <is>
          <t>4</t>
        </is>
      </c>
      <c r="S973" s="5" t="inlineStr">
        <is>
          <t>61</t>
        </is>
      </c>
      <c r="T973" s="5" t="inlineStr">
        <is>
          <t>6</t>
        </is>
      </c>
      <c r="U973" s="5" t="inlineStr">
        <is>
          <t>OK</t>
        </is>
      </c>
    </row>
    <row r="974">
      <c r="A974" s="5" t="inlineStr">
        <is>
          <t>E02901</t>
        </is>
      </c>
      <c r="B974" s="5" t="inlineStr">
        <is>
          <t>Male</t>
        </is>
      </c>
      <c r="C974" s="6" t="inlineStr">
        <is>
          <t>28</t>
        </is>
      </c>
      <c r="D974" s="5" t="inlineStr">
        <is>
          <t>Single</t>
        </is>
      </c>
      <c r="E974" s="5" t="inlineStr">
        <is>
          <t>Diploma</t>
        </is>
      </c>
      <c r="F974" s="5" t="inlineStr">
        <is>
          <t>Customer Support</t>
        </is>
      </c>
      <c r="G974" s="5" t="inlineStr">
        <is>
          <t>Support Agent</t>
        </is>
      </c>
      <c r="H974" s="5" t="inlineStr">
        <is>
          <t>3</t>
        </is>
      </c>
      <c r="I974" s="5" t="inlineStr">
        <is>
          <t>Delhi</t>
        </is>
      </c>
      <c r="J974" s="5" t="inlineStr">
        <is>
          <t>Full-Time</t>
        </is>
      </c>
      <c r="K974" s="7" t="n">
        <v>44677</v>
      </c>
      <c r="L974" s="7" t="inlineStr"/>
      <c r="M974" s="5" t="inlineStr">
        <is>
          <t>Yes</t>
        </is>
      </c>
      <c r="N974" s="5" t="inlineStr"/>
      <c r="O974" s="8" t="inlineStr">
        <is>
          <t>91500</t>
        </is>
      </c>
      <c r="P974" s="5" t="inlineStr">
        <is>
          <t>5</t>
        </is>
      </c>
      <c r="Q974" s="5" t="inlineStr">
        <is>
          <t>3</t>
        </is>
      </c>
      <c r="R974" s="5" t="inlineStr">
        <is>
          <t>6</t>
        </is>
      </c>
      <c r="S974" s="5" t="inlineStr">
        <is>
          <t>44</t>
        </is>
      </c>
      <c r="T974" s="5" t="inlineStr">
        <is>
          <t>16</t>
        </is>
      </c>
      <c r="U974" s="5" t="inlineStr">
        <is>
          <t>OK</t>
        </is>
      </c>
    </row>
    <row r="975">
      <c r="A975" s="5" t="inlineStr">
        <is>
          <t>E02974</t>
        </is>
      </c>
      <c r="B975" s="5" t="inlineStr">
        <is>
          <t>Female</t>
        </is>
      </c>
      <c r="C975" s="6" t="inlineStr">
        <is>
          <t>30</t>
        </is>
      </c>
      <c r="D975" s="5" t="inlineStr">
        <is>
          <t>Single</t>
        </is>
      </c>
      <c r="E975" s="5" t="inlineStr">
        <is>
          <t>High School</t>
        </is>
      </c>
      <c r="F975" s="5" t="inlineStr">
        <is>
          <t>Customer Support</t>
        </is>
      </c>
      <c r="G975" s="5" t="inlineStr">
        <is>
          <t>Support Agent</t>
        </is>
      </c>
      <c r="H975" s="5" t="inlineStr">
        <is>
          <t>3</t>
        </is>
      </c>
      <c r="I975" s="5" t="inlineStr">
        <is>
          <t>Delhi</t>
        </is>
      </c>
      <c r="J975" s="5" t="inlineStr">
        <is>
          <t>Full-Time</t>
        </is>
      </c>
      <c r="K975" s="7" t="n">
        <v>44280</v>
      </c>
      <c r="L975" s="7" t="inlineStr"/>
      <c r="M975" s="5" t="inlineStr">
        <is>
          <t>Yes</t>
        </is>
      </c>
      <c r="N975" s="5" t="inlineStr"/>
      <c r="O975" s="8" t="inlineStr">
        <is>
          <t>61500</t>
        </is>
      </c>
      <c r="P975" s="5" t="inlineStr">
        <is>
          <t>0</t>
        </is>
      </c>
      <c r="Q975" s="5" t="inlineStr">
        <is>
          <t>4</t>
        </is>
      </c>
      <c r="R975" s="5" t="inlineStr">
        <is>
          <t>5</t>
        </is>
      </c>
      <c r="S975" s="5" t="inlineStr">
        <is>
          <t>58</t>
        </is>
      </c>
      <c r="T975" s="5" t="inlineStr">
        <is>
          <t>6</t>
        </is>
      </c>
      <c r="U975" s="5" t="inlineStr">
        <is>
          <t>OK</t>
        </is>
      </c>
    </row>
    <row r="976">
      <c r="A976" s="5" t="inlineStr">
        <is>
          <t>E02485</t>
        </is>
      </c>
      <c r="B976" s="5" t="inlineStr">
        <is>
          <t>Male</t>
        </is>
      </c>
      <c r="C976" s="6" t="inlineStr">
        <is>
          <t>36</t>
        </is>
      </c>
      <c r="D976" s="5" t="inlineStr">
        <is>
          <t>Married</t>
        </is>
      </c>
      <c r="E976" s="5" t="inlineStr">
        <is>
          <t>Master</t>
        </is>
      </c>
      <c r="F976" s="5" t="inlineStr">
        <is>
          <t>IT</t>
        </is>
      </c>
      <c r="G976" s="5" t="inlineStr">
        <is>
          <t>Software Engineer</t>
        </is>
      </c>
      <c r="H976" s="5" t="inlineStr">
        <is>
          <t>3</t>
        </is>
      </c>
      <c r="I976" s="5" t="inlineStr">
        <is>
          <t>Hyderabad</t>
        </is>
      </c>
      <c r="J976" s="5" t="inlineStr">
        <is>
          <t>Full-Time</t>
        </is>
      </c>
      <c r="K976" s="7" t="n">
        <v>44735</v>
      </c>
      <c r="L976" s="7" t="inlineStr"/>
      <c r="M976" s="5" t="inlineStr">
        <is>
          <t>Yes</t>
        </is>
      </c>
      <c r="N976" s="5" t="inlineStr"/>
      <c r="O976" s="8" t="inlineStr">
        <is>
          <t>114500</t>
        </is>
      </c>
      <c r="P976" s="5" t="inlineStr">
        <is>
          <t>20</t>
        </is>
      </c>
      <c r="Q976" s="5" t="inlineStr">
        <is>
          <t>4</t>
        </is>
      </c>
      <c r="R976" s="5" t="inlineStr">
        <is>
          <t>7</t>
        </is>
      </c>
      <c r="S976" s="5" t="inlineStr">
        <is>
          <t>42</t>
        </is>
      </c>
      <c r="T976" s="5" t="inlineStr">
        <is>
          <t>13</t>
        </is>
      </c>
      <c r="U976" s="5" t="inlineStr">
        <is>
          <t>OK</t>
        </is>
      </c>
    </row>
    <row r="977">
      <c r="A977" s="5" t="inlineStr">
        <is>
          <t>E00448</t>
        </is>
      </c>
      <c r="B977" s="5" t="inlineStr">
        <is>
          <t>female</t>
        </is>
      </c>
      <c r="C977" s="6" t="inlineStr">
        <is>
          <t>29</t>
        </is>
      </c>
      <c r="D977" s="5" t="inlineStr">
        <is>
          <t>Married</t>
        </is>
      </c>
      <c r="E977" s="5" t="inlineStr">
        <is>
          <t>PhD</t>
        </is>
      </c>
      <c r="F977" s="5" t="inlineStr">
        <is>
          <t>Operations</t>
        </is>
      </c>
      <c r="G977" s="5" t="inlineStr">
        <is>
          <t>Operations Analyst</t>
        </is>
      </c>
      <c r="H977" s="5" t="inlineStr">
        <is>
          <t>3</t>
        </is>
      </c>
      <c r="I977" s="5" t="inlineStr">
        <is>
          <t>Bengaluru</t>
        </is>
      </c>
      <c r="J977" s="5" t="inlineStr">
        <is>
          <t>Full-Time</t>
        </is>
      </c>
      <c r="K977" s="7" t="n">
        <v>45633</v>
      </c>
      <c r="L977" s="7" t="inlineStr"/>
      <c r="M977" s="5" t="inlineStr">
        <is>
          <t>Yes</t>
        </is>
      </c>
      <c r="N977" s="5" t="inlineStr"/>
      <c r="O977" s="8" t="inlineStr">
        <is>
          <t>127000</t>
        </is>
      </c>
      <c r="P977" s="5" t="inlineStr">
        <is>
          <t>10</t>
        </is>
      </c>
      <c r="Q977" s="5" t="inlineStr">
        <is>
          <t>5</t>
        </is>
      </c>
      <c r="R977" s="5" t="inlineStr">
        <is>
          <t>6</t>
        </is>
      </c>
      <c r="S977" s="5" t="inlineStr">
        <is>
          <t>12</t>
        </is>
      </c>
      <c r="T977" s="5" t="inlineStr">
        <is>
          <t>1</t>
        </is>
      </c>
      <c r="U977" s="5" t="inlineStr">
        <is>
          <t>OK</t>
        </is>
      </c>
    </row>
    <row r="978">
      <c r="A978" s="5" t="inlineStr">
        <is>
          <t>E02081</t>
        </is>
      </c>
      <c r="B978" s="5" t="inlineStr">
        <is>
          <t>Male</t>
        </is>
      </c>
      <c r="C978" s="6" t="inlineStr">
        <is>
          <t>42</t>
        </is>
      </c>
      <c r="D978" s="5" t="inlineStr">
        <is>
          <t>Single</t>
        </is>
      </c>
      <c r="E978" s="5" t="inlineStr">
        <is>
          <t>PhD</t>
        </is>
      </c>
      <c r="F978" s="5" t="inlineStr">
        <is>
          <t>Finance</t>
        </is>
      </c>
      <c r="G978" s="5" t="inlineStr">
        <is>
          <t>Accountant</t>
        </is>
      </c>
      <c r="H978" s="5" t="inlineStr">
        <is>
          <t>5</t>
        </is>
      </c>
      <c r="I978" s="5" t="inlineStr">
        <is>
          <t>Chennai</t>
        </is>
      </c>
      <c r="J978" s="5" t="inlineStr">
        <is>
          <t>Full-Time</t>
        </is>
      </c>
      <c r="K978" s="7" t="n">
        <v>44767</v>
      </c>
      <c r="L978" s="7" t="inlineStr"/>
      <c r="M978" s="5" t="inlineStr">
        <is>
          <t>Yes</t>
        </is>
      </c>
      <c r="N978" s="5" t="inlineStr"/>
      <c r="O978" s="8" t="inlineStr"/>
      <c r="P978" s="5" t="inlineStr">
        <is>
          <t>10</t>
        </is>
      </c>
      <c r="Q978" s="5" t="inlineStr">
        <is>
          <t>2</t>
        </is>
      </c>
      <c r="R978" s="5" t="inlineStr">
        <is>
          <t>4</t>
        </is>
      </c>
      <c r="S978" s="5" t="inlineStr">
        <is>
          <t>41</t>
        </is>
      </c>
      <c r="T978" s="5" t="inlineStr">
        <is>
          <t>0</t>
        </is>
      </c>
      <c r="U978" s="5" t="inlineStr">
        <is>
          <t>Blank salary</t>
        </is>
      </c>
    </row>
    <row r="979">
      <c r="A979" s="5" t="inlineStr">
        <is>
          <t>E01444</t>
        </is>
      </c>
      <c r="B979" s="5" t="inlineStr">
        <is>
          <t>Female</t>
        </is>
      </c>
      <c r="C979" s="6" t="inlineStr">
        <is>
          <t>32</t>
        </is>
      </c>
      <c r="D979" s="5" t="inlineStr">
        <is>
          <t>Married</t>
        </is>
      </c>
      <c r="E979" s="5" t="inlineStr">
        <is>
          <t>PhD</t>
        </is>
      </c>
      <c r="F979" s="5" t="inlineStr">
        <is>
          <t>Sales</t>
        </is>
      </c>
      <c r="G979" s="5" t="inlineStr">
        <is>
          <t>Business Development</t>
        </is>
      </c>
      <c r="H979" s="5" t="inlineStr">
        <is>
          <t>3</t>
        </is>
      </c>
      <c r="I979" s="5" t="inlineStr">
        <is>
          <t>Mumbai</t>
        </is>
      </c>
      <c r="J979" s="5" t="inlineStr">
        <is>
          <t>Full-Time</t>
        </is>
      </c>
      <c r="K979" s="7" t="n">
        <v>45610</v>
      </c>
      <c r="L979" s="7" t="inlineStr"/>
      <c r="M979" s="5" t="inlineStr">
        <is>
          <t>Yes</t>
        </is>
      </c>
      <c r="N979" s="5" t="inlineStr"/>
      <c r="O979" s="8" t="inlineStr">
        <is>
          <t>77000</t>
        </is>
      </c>
      <c r="P979" s="5" t="inlineStr">
        <is>
          <t>10</t>
        </is>
      </c>
      <c r="Q979" s="5" t="inlineStr">
        <is>
          <t>3</t>
        </is>
      </c>
      <c r="R979" s="5" t="inlineStr">
        <is>
          <t>3</t>
        </is>
      </c>
      <c r="S979" s="5" t="inlineStr">
        <is>
          <t>13</t>
        </is>
      </c>
      <c r="T979" s="5" t="inlineStr">
        <is>
          <t>14</t>
        </is>
      </c>
      <c r="U979" s="5" t="inlineStr">
        <is>
          <t>OK</t>
        </is>
      </c>
    </row>
    <row r="980">
      <c r="A980" s="5" t="inlineStr">
        <is>
          <t>E01087</t>
        </is>
      </c>
      <c r="B980" s="5" t="inlineStr">
        <is>
          <t>Male</t>
        </is>
      </c>
      <c r="C980" s="6" t="inlineStr">
        <is>
          <t>31</t>
        </is>
      </c>
      <c r="D980" s="5" t="inlineStr">
        <is>
          <t>Married</t>
        </is>
      </c>
      <c r="E980" s="5" t="inlineStr">
        <is>
          <t>PhD</t>
        </is>
      </c>
      <c r="F980" s="5" t="inlineStr">
        <is>
          <t>Customer Support</t>
        </is>
      </c>
      <c r="G980" s="5" t="inlineStr">
        <is>
          <t>Escalation Specialist</t>
        </is>
      </c>
      <c r="H980" s="5" t="inlineStr">
        <is>
          <t>2</t>
        </is>
      </c>
      <c r="I980" s="5" t="inlineStr">
        <is>
          <t>Delhi</t>
        </is>
      </c>
      <c r="J980" s="5" t="inlineStr">
        <is>
          <t>Full-Time</t>
        </is>
      </c>
      <c r="K980" s="7" t="n">
        <v>44197</v>
      </c>
      <c r="L980" s="7" t="inlineStr"/>
      <c r="M980" s="5" t="inlineStr">
        <is>
          <t>Yes</t>
        </is>
      </c>
      <c r="N980" s="5" t="inlineStr"/>
      <c r="O980" s="8" t="inlineStr">
        <is>
          <t>52500</t>
        </is>
      </c>
      <c r="P980" s="5" t="inlineStr">
        <is>
          <t>0</t>
        </is>
      </c>
      <c r="Q980" s="5" t="inlineStr">
        <is>
          <t>3</t>
        </is>
      </c>
      <c r="R980" s="5" t="inlineStr">
        <is>
          <t>6</t>
        </is>
      </c>
      <c r="S980" s="5" t="inlineStr">
        <is>
          <t>60</t>
        </is>
      </c>
      <c r="T980" s="5" t="inlineStr">
        <is>
          <t>10</t>
        </is>
      </c>
      <c r="U980" s="5" t="inlineStr">
        <is>
          <t>OK</t>
        </is>
      </c>
    </row>
    <row r="981">
      <c r="A981" s="5" t="inlineStr">
        <is>
          <t>E00260</t>
        </is>
      </c>
      <c r="B981" s="5" t="inlineStr">
        <is>
          <t>Female</t>
        </is>
      </c>
      <c r="C981" s="6" t="inlineStr">
        <is>
          <t>27</t>
        </is>
      </c>
      <c r="D981" s="5" t="inlineStr">
        <is>
          <t>Divorced</t>
        </is>
      </c>
      <c r="E981" s="5" t="inlineStr">
        <is>
          <t>PhD</t>
        </is>
      </c>
      <c r="F981" s="5" t="inlineStr">
        <is>
          <t>Sales</t>
        </is>
      </c>
      <c r="G981" s="5" t="inlineStr">
        <is>
          <t>Account Executive</t>
        </is>
      </c>
      <c r="H981" s="5" t="inlineStr">
        <is>
          <t>2</t>
        </is>
      </c>
      <c r="I981" s="5" t="inlineStr">
        <is>
          <t>Chennai</t>
        </is>
      </c>
      <c r="J981" s="5" t="inlineStr">
        <is>
          <t>Full-Time</t>
        </is>
      </c>
      <c r="K981" s="7" t="n">
        <v>45862</v>
      </c>
      <c r="L981" s="7" t="n">
        <v>45986</v>
      </c>
      <c r="M981" s="5" t="inlineStr">
        <is>
          <t>No</t>
        </is>
      </c>
      <c r="N981" s="5" t="inlineStr">
        <is>
          <t>Layoff</t>
        </is>
      </c>
      <c r="O981" s="8" t="inlineStr">
        <is>
          <t>101000</t>
        </is>
      </c>
      <c r="P981" s="5" t="inlineStr">
        <is>
          <t>5</t>
        </is>
      </c>
      <c r="Q981" s="5" t="inlineStr">
        <is>
          <t>3</t>
        </is>
      </c>
      <c r="R981" s="5" t="inlineStr">
        <is>
          <t>7</t>
        </is>
      </c>
      <c r="S981" s="5" t="inlineStr">
        <is>
          <t>4</t>
        </is>
      </c>
      <c r="T981" s="5" t="inlineStr">
        <is>
          <t>8</t>
        </is>
      </c>
      <c r="U981" s="5" t="inlineStr">
        <is>
          <t>OK</t>
        </is>
      </c>
    </row>
    <row r="982">
      <c r="A982" s="5" t="inlineStr">
        <is>
          <t>E01094</t>
        </is>
      </c>
      <c r="B982" s="5" t="inlineStr">
        <is>
          <t>Male</t>
        </is>
      </c>
      <c r="C982" s="6" t="inlineStr">
        <is>
          <t>36</t>
        </is>
      </c>
      <c r="D982" s="5" t="inlineStr">
        <is>
          <t>Married</t>
        </is>
      </c>
      <c r="E982" s="5" t="inlineStr">
        <is>
          <t>PhD</t>
        </is>
      </c>
      <c r="F982" s="5" t="inlineStr">
        <is>
          <t>Customer Support</t>
        </is>
      </c>
      <c r="G982" s="5" t="inlineStr">
        <is>
          <t>Support Agent</t>
        </is>
      </c>
      <c r="H982" s="5" t="inlineStr">
        <is>
          <t>7</t>
        </is>
      </c>
      <c r="I982" s="5" t="inlineStr">
        <is>
          <t>Chennai</t>
        </is>
      </c>
      <c r="J982" s="5" t="inlineStr">
        <is>
          <t>Full-Time</t>
        </is>
      </c>
      <c r="K982" s="7" t="n">
        <v>45622</v>
      </c>
      <c r="L982" s="7" t="inlineStr"/>
      <c r="M982" s="5" t="inlineStr">
        <is>
          <t>Yes</t>
        </is>
      </c>
      <c r="N982" s="5" t="inlineStr"/>
      <c r="O982" s="8" t="inlineStr">
        <is>
          <t>96500</t>
        </is>
      </c>
      <c r="P982" s="5" t="inlineStr">
        <is>
          <t>5</t>
        </is>
      </c>
      <c r="Q982" s="5" t="inlineStr">
        <is>
          <t>3</t>
        </is>
      </c>
      <c r="R982" s="5" t="inlineStr">
        <is>
          <t>5</t>
        </is>
      </c>
      <c r="S982" s="5" t="inlineStr">
        <is>
          <t>13</t>
        </is>
      </c>
      <c r="T982" s="5" t="inlineStr">
        <is>
          <t>23</t>
        </is>
      </c>
      <c r="U982" s="5" t="inlineStr">
        <is>
          <t>OK</t>
        </is>
      </c>
    </row>
    <row r="983">
      <c r="A983" s="5" t="inlineStr">
        <is>
          <t>E00286</t>
        </is>
      </c>
      <c r="B983" s="5" t="inlineStr">
        <is>
          <t>Male</t>
        </is>
      </c>
      <c r="C983" s="6" t="inlineStr">
        <is>
          <t>32</t>
        </is>
      </c>
      <c r="D983" s="5" t="inlineStr">
        <is>
          <t>Divorced</t>
        </is>
      </c>
      <c r="E983" s="5" t="inlineStr">
        <is>
          <t>Bachelor</t>
        </is>
      </c>
      <c r="F983" s="5" t="inlineStr">
        <is>
          <t>Sales</t>
        </is>
      </c>
      <c r="G983" s="5" t="inlineStr">
        <is>
          <t>Account Executive</t>
        </is>
      </c>
      <c r="H983" s="5" t="inlineStr">
        <is>
          <t>5</t>
        </is>
      </c>
      <c r="I983" s="5" t="inlineStr">
        <is>
          <t>Delhi</t>
        </is>
      </c>
      <c r="J983" s="5" t="inlineStr">
        <is>
          <t>Full-Time</t>
        </is>
      </c>
      <c r="K983" s="7" t="n">
        <v>45948</v>
      </c>
      <c r="L983" s="7" t="inlineStr"/>
      <c r="M983" s="5" t="inlineStr">
        <is>
          <t>Yes</t>
        </is>
      </c>
      <c r="N983" s="5" t="inlineStr"/>
      <c r="O983" s="8" t="inlineStr">
        <is>
          <t>158500</t>
        </is>
      </c>
      <c r="P983" s="5" t="inlineStr">
        <is>
          <t>5</t>
        </is>
      </c>
      <c r="Q983" s="5" t="inlineStr">
        <is>
          <t>5</t>
        </is>
      </c>
      <c r="R983" s="5" t="inlineStr">
        <is>
          <t>8</t>
        </is>
      </c>
      <c r="S983" s="5" t="inlineStr">
        <is>
          <t>2</t>
        </is>
      </c>
      <c r="T983" s="5" t="inlineStr">
        <is>
          <t>0</t>
        </is>
      </c>
      <c r="U983" s="5" t="inlineStr">
        <is>
          <t>OK</t>
        </is>
      </c>
    </row>
    <row r="984">
      <c r="A984" s="5" t="inlineStr">
        <is>
          <t>E00605</t>
        </is>
      </c>
      <c r="B984" s="5" t="inlineStr">
        <is>
          <t>Female</t>
        </is>
      </c>
      <c r="C984" s="6" t="inlineStr">
        <is>
          <t>27</t>
        </is>
      </c>
      <c r="D984" s="5" t="inlineStr">
        <is>
          <t>Single</t>
        </is>
      </c>
      <c r="E984" s="5" t="inlineStr">
        <is>
          <t>Bachelor</t>
        </is>
      </c>
      <c r="F984" s="5" t="inlineStr">
        <is>
          <t>Operations</t>
        </is>
      </c>
      <c r="G984" s="5" t="inlineStr">
        <is>
          <t>Operations Analyst</t>
        </is>
      </c>
      <c r="H984" s="5" t="inlineStr">
        <is>
          <t>1</t>
        </is>
      </c>
      <c r="I984" s="5" t="inlineStr">
        <is>
          <t>Remote</t>
        </is>
      </c>
      <c r="J984" s="5" t="inlineStr">
        <is>
          <t>Full-Time</t>
        </is>
      </c>
      <c r="K984" s="7" t="n">
        <v>45897</v>
      </c>
      <c r="L984" s="7" t="n">
        <v>45960</v>
      </c>
      <c r="M984" s="5" t="inlineStr">
        <is>
          <t>No</t>
        </is>
      </c>
      <c r="N984" s="5" t="inlineStr">
        <is>
          <t>Resigned</t>
        </is>
      </c>
      <c r="O984" s="8" t="inlineStr">
        <is>
          <t>57000</t>
        </is>
      </c>
      <c r="P984" s="5" t="inlineStr">
        <is>
          <t>5</t>
        </is>
      </c>
      <c r="Q984" s="5" t="inlineStr">
        <is>
          <t>4</t>
        </is>
      </c>
      <c r="R984" s="5" t="inlineStr">
        <is>
          <t>5</t>
        </is>
      </c>
      <c r="S984" s="5" t="inlineStr">
        <is>
          <t>2</t>
        </is>
      </c>
      <c r="T984" s="5" t="inlineStr">
        <is>
          <t>9</t>
        </is>
      </c>
      <c r="U984" s="5" t="inlineStr">
        <is>
          <t>OK</t>
        </is>
      </c>
    </row>
    <row r="985">
      <c r="A985" s="5" t="inlineStr">
        <is>
          <t>E02322</t>
        </is>
      </c>
      <c r="B985" s="5" t="inlineStr">
        <is>
          <t>female</t>
        </is>
      </c>
      <c r="C985" s="6" t="inlineStr">
        <is>
          <t>27</t>
        </is>
      </c>
      <c r="D985" s="5" t="inlineStr">
        <is>
          <t>Single</t>
        </is>
      </c>
      <c r="E985" s="5" t="inlineStr">
        <is>
          <t>Master</t>
        </is>
      </c>
      <c r="F985" s="5" t="inlineStr">
        <is>
          <t>Finance</t>
        </is>
      </c>
      <c r="G985" s="5" t="inlineStr">
        <is>
          <t>Credit Analyst</t>
        </is>
      </c>
      <c r="H985" s="5" t="inlineStr">
        <is>
          <t>2</t>
        </is>
      </c>
      <c r="I985" s="5" t="inlineStr">
        <is>
          <t>Delhi</t>
        </is>
      </c>
      <c r="J985" s="5" t="inlineStr">
        <is>
          <t>Full-Time</t>
        </is>
      </c>
      <c r="K985" s="7" t="n">
        <v>45844</v>
      </c>
      <c r="L985" s="7" t="inlineStr"/>
      <c r="M985" s="5" t="inlineStr">
        <is>
          <t>Yes</t>
        </is>
      </c>
      <c r="N985" s="5" t="inlineStr"/>
      <c r="O985" s="8" t="inlineStr">
        <is>
          <t>87000</t>
        </is>
      </c>
      <c r="P985" s="5" t="inlineStr">
        <is>
          <t>0</t>
        </is>
      </c>
      <c r="Q985" s="5" t="inlineStr">
        <is>
          <t>4</t>
        </is>
      </c>
      <c r="R985" s="5" t="inlineStr">
        <is>
          <t>7</t>
        </is>
      </c>
      <c r="S985" s="5" t="inlineStr">
        <is>
          <t>5</t>
        </is>
      </c>
      <c r="T985" s="5" t="inlineStr">
        <is>
          <t>5</t>
        </is>
      </c>
      <c r="U985" s="5" t="inlineStr">
        <is>
          <t>OK</t>
        </is>
      </c>
    </row>
    <row r="986">
      <c r="A986" s="5" t="inlineStr">
        <is>
          <t>E02747</t>
        </is>
      </c>
      <c r="B986" s="5" t="inlineStr">
        <is>
          <t>Female</t>
        </is>
      </c>
      <c r="C986" s="6" t="inlineStr">
        <is>
          <t>33</t>
        </is>
      </c>
      <c r="D986" s="5" t="inlineStr">
        <is>
          <t>Single</t>
        </is>
      </c>
      <c r="E986" s="5" t="inlineStr">
        <is>
          <t>Bachelor</t>
        </is>
      </c>
      <c r="F986" s="5" t="inlineStr">
        <is>
          <t>Operations</t>
        </is>
      </c>
      <c r="G986" s="5" t="inlineStr">
        <is>
          <t>Logistics Coordinator</t>
        </is>
      </c>
      <c r="H986" s="5" t="inlineStr">
        <is>
          <t>4</t>
        </is>
      </c>
      <c r="I986" s="5" t="inlineStr">
        <is>
          <t>Hyderabad</t>
        </is>
      </c>
      <c r="J986" s="5" t="inlineStr">
        <is>
          <t>Contract</t>
        </is>
      </c>
      <c r="K986" s="7" t="n">
        <v>44526</v>
      </c>
      <c r="L986" s="7" t="inlineStr"/>
      <c r="M986" s="5" t="inlineStr">
        <is>
          <t>Yes</t>
        </is>
      </c>
      <c r="N986" s="5" t="inlineStr"/>
      <c r="O986" s="8" t="inlineStr">
        <is>
          <t>115000</t>
        </is>
      </c>
      <c r="P986" s="5" t="inlineStr">
        <is>
          <t>0</t>
        </is>
      </c>
      <c r="Q986" s="5" t="inlineStr">
        <is>
          <t>3</t>
        </is>
      </c>
      <c r="R986" s="5" t="inlineStr">
        <is>
          <t>4</t>
        </is>
      </c>
      <c r="S986" s="5" t="inlineStr">
        <is>
          <t>49</t>
        </is>
      </c>
      <c r="T986" s="5" t="inlineStr">
        <is>
          <t>1</t>
        </is>
      </c>
      <c r="U986" s="5" t="inlineStr">
        <is>
          <t>OK</t>
        </is>
      </c>
    </row>
    <row r="987">
      <c r="A987" s="5" t="inlineStr">
        <is>
          <t>E01452</t>
        </is>
      </c>
      <c r="B987" s="5" t="inlineStr">
        <is>
          <t>Female</t>
        </is>
      </c>
      <c r="C987" s="6" t="inlineStr">
        <is>
          <t>35</t>
        </is>
      </c>
      <c r="D987" s="5" t="inlineStr">
        <is>
          <t>Married</t>
        </is>
      </c>
      <c r="E987" s="5" t="inlineStr">
        <is>
          <t>High School</t>
        </is>
      </c>
      <c r="F987" s="5" t="inlineStr">
        <is>
          <t>IT</t>
        </is>
      </c>
      <c r="G987" s="5" t="inlineStr">
        <is>
          <t>Data Analyst</t>
        </is>
      </c>
      <c r="H987" s="5" t="inlineStr">
        <is>
          <t>6</t>
        </is>
      </c>
      <c r="I987" s="5" t="inlineStr">
        <is>
          <t>Mumbai</t>
        </is>
      </c>
      <c r="J987" s="5" t="inlineStr">
        <is>
          <t>Full-Time</t>
        </is>
      </c>
      <c r="K987" s="7" t="n">
        <v>45156</v>
      </c>
      <c r="L987" s="7" t="inlineStr"/>
      <c r="M987" s="5" t="inlineStr">
        <is>
          <t>Yes</t>
        </is>
      </c>
      <c r="N987" s="5" t="inlineStr"/>
      <c r="O987" s="8" t="inlineStr">
        <is>
          <t>187500</t>
        </is>
      </c>
      <c r="P987" s="5" t="inlineStr">
        <is>
          <t>5</t>
        </is>
      </c>
      <c r="Q987" s="5" t="inlineStr">
        <is>
          <t>2</t>
        </is>
      </c>
      <c r="R987" s="5" t="inlineStr">
        <is>
          <t>8</t>
        </is>
      </c>
      <c r="S987" s="5" t="inlineStr">
        <is>
          <t>28</t>
        </is>
      </c>
      <c r="T987" s="5" t="inlineStr">
        <is>
          <t>16</t>
        </is>
      </c>
      <c r="U987" s="5" t="inlineStr">
        <is>
          <t>OK</t>
        </is>
      </c>
    </row>
    <row r="988">
      <c r="A988" s="5" t="inlineStr">
        <is>
          <t>E00852</t>
        </is>
      </c>
      <c r="B988" s="5" t="inlineStr">
        <is>
          <t>female</t>
        </is>
      </c>
      <c r="C988" s="6" t="inlineStr">
        <is>
          <t>44</t>
        </is>
      </c>
      <c r="D988" s="5" t="inlineStr">
        <is>
          <t>Single</t>
        </is>
      </c>
      <c r="E988" s="5" t="inlineStr">
        <is>
          <t>Bachelor</t>
        </is>
      </c>
      <c r="F988" s="5" t="inlineStr">
        <is>
          <t>Sales</t>
        </is>
      </c>
      <c r="G988" s="5" t="inlineStr">
        <is>
          <t>Sales Executive</t>
        </is>
      </c>
      <c r="H988" s="5" t="inlineStr">
        <is>
          <t>6</t>
        </is>
      </c>
      <c r="I988" s="5" t="inlineStr">
        <is>
          <t>Mumbai</t>
        </is>
      </c>
      <c r="J988" s="5" t="inlineStr">
        <is>
          <t>Full-Time</t>
        </is>
      </c>
      <c r="K988" s="7" t="n">
        <v>44678</v>
      </c>
      <c r="L988" s="7" t="inlineStr"/>
      <c r="M988" s="5" t="inlineStr">
        <is>
          <t>Yes</t>
        </is>
      </c>
      <c r="N988" s="5" t="inlineStr"/>
      <c r="O988" s="8" t="inlineStr">
        <is>
          <t>164000</t>
        </is>
      </c>
      <c r="P988" s="5" t="inlineStr">
        <is>
          <t>10</t>
        </is>
      </c>
      <c r="Q988" s="5" t="inlineStr">
        <is>
          <t>3</t>
        </is>
      </c>
      <c r="R988" s="5" t="inlineStr">
        <is>
          <t>5</t>
        </is>
      </c>
      <c r="S988" s="5" t="inlineStr">
        <is>
          <t>44</t>
        </is>
      </c>
      <c r="T988" s="5" t="inlineStr">
        <is>
          <t>3</t>
        </is>
      </c>
      <c r="U988" s="5" t="inlineStr">
        <is>
          <t>OK</t>
        </is>
      </c>
    </row>
    <row r="989">
      <c r="A989" s="5" t="inlineStr">
        <is>
          <t>E00482</t>
        </is>
      </c>
      <c r="B989" s="5" t="inlineStr">
        <is>
          <t>Male</t>
        </is>
      </c>
      <c r="C989" s="6" t="inlineStr">
        <is>
          <t>28</t>
        </is>
      </c>
      <c r="D989" s="5" t="inlineStr">
        <is>
          <t>Married</t>
        </is>
      </c>
      <c r="E989" s="5" t="inlineStr">
        <is>
          <t>Bachelor</t>
        </is>
      </c>
      <c r="F989" s="5" t="inlineStr">
        <is>
          <t>Research &amp; Development</t>
        </is>
      </c>
      <c r="G989" s="5" t="inlineStr">
        <is>
          <t>Data Scientist</t>
        </is>
      </c>
      <c r="H989" s="5" t="inlineStr">
        <is>
          <t>3</t>
        </is>
      </c>
      <c r="I989" s="5" t="inlineStr">
        <is>
          <t>Hyderabad</t>
        </is>
      </c>
      <c r="J989" s="5" t="inlineStr">
        <is>
          <t>Full-Time</t>
        </is>
      </c>
      <c r="K989" s="7" t="n">
        <v>45379</v>
      </c>
      <c r="L989" s="7" t="inlineStr"/>
      <c r="M989" s="5" t="inlineStr">
        <is>
          <t>Yes</t>
        </is>
      </c>
      <c r="N989" s="5" t="inlineStr"/>
      <c r="O989" s="8" t="inlineStr">
        <is>
          <t>171000</t>
        </is>
      </c>
      <c r="P989" s="5" t="inlineStr">
        <is>
          <t>5</t>
        </is>
      </c>
      <c r="Q989" s="5" t="inlineStr">
        <is>
          <t>3</t>
        </is>
      </c>
      <c r="R989" s="5" t="inlineStr">
        <is>
          <t>9</t>
        </is>
      </c>
      <c r="S989" s="5" t="inlineStr">
        <is>
          <t>21</t>
        </is>
      </c>
      <c r="T989" s="5" t="inlineStr">
        <is>
          <t>6</t>
        </is>
      </c>
      <c r="U989" s="5" t="inlineStr">
        <is>
          <t>OK</t>
        </is>
      </c>
    </row>
    <row r="990">
      <c r="A990" s="5" t="inlineStr">
        <is>
          <t>E01630</t>
        </is>
      </c>
      <c r="B990" s="5" t="inlineStr">
        <is>
          <t>Male</t>
        </is>
      </c>
      <c r="C990" s="6" t="inlineStr">
        <is>
          <t>36</t>
        </is>
      </c>
      <c r="D990" s="5" t="inlineStr">
        <is>
          <t>Single</t>
        </is>
      </c>
      <c r="E990" s="5" t="inlineStr">
        <is>
          <t>Master</t>
        </is>
      </c>
      <c r="F990" s="5" t="inlineStr">
        <is>
          <t>Finance</t>
        </is>
      </c>
      <c r="G990" s="5" t="inlineStr">
        <is>
          <t>Financial Analyst</t>
        </is>
      </c>
      <c r="H990" s="5" t="inlineStr">
        <is>
          <t>3</t>
        </is>
      </c>
      <c r="I990" s="5" t="inlineStr">
        <is>
          <t>Bengaluru</t>
        </is>
      </c>
      <c r="J990" s="5" t="inlineStr">
        <is>
          <t>Full-Time</t>
        </is>
      </c>
      <c r="K990" s="7" t="n">
        <v>44023</v>
      </c>
      <c r="L990" s="7" t="inlineStr"/>
      <c r="M990" s="5" t="inlineStr">
        <is>
          <t>Yes</t>
        </is>
      </c>
      <c r="N990" s="5" t="inlineStr"/>
      <c r="O990" s="8" t="inlineStr">
        <is>
          <t>86500</t>
        </is>
      </c>
      <c r="P990" s="5" t="inlineStr">
        <is>
          <t>0</t>
        </is>
      </c>
      <c r="Q990" s="5" t="inlineStr">
        <is>
          <t>3</t>
        </is>
      </c>
      <c r="R990" s="5" t="inlineStr">
        <is>
          <t>6</t>
        </is>
      </c>
      <c r="S990" s="5" t="inlineStr">
        <is>
          <t>66</t>
        </is>
      </c>
      <c r="T990" s="5" t="inlineStr">
        <is>
          <t>11</t>
        </is>
      </c>
      <c r="U990" s="5" t="inlineStr">
        <is>
          <t>OK</t>
        </is>
      </c>
    </row>
    <row r="991">
      <c r="A991" s="5" t="inlineStr">
        <is>
          <t>E01536</t>
        </is>
      </c>
      <c r="B991" s="5" t="inlineStr">
        <is>
          <t>Female</t>
        </is>
      </c>
      <c r="C991" s="6" t="inlineStr">
        <is>
          <t>34</t>
        </is>
      </c>
      <c r="D991" s="5" t="inlineStr">
        <is>
          <t>Married</t>
        </is>
      </c>
      <c r="E991" s="5" t="inlineStr">
        <is>
          <t>Bachelor</t>
        </is>
      </c>
      <c r="F991" s="5" t="inlineStr">
        <is>
          <t>Operations</t>
        </is>
      </c>
      <c r="G991" s="5" t="inlineStr">
        <is>
          <t>Operations Analyst</t>
        </is>
      </c>
      <c r="H991" s="5" t="inlineStr">
        <is>
          <t>3</t>
        </is>
      </c>
      <c r="I991" s="5" t="inlineStr">
        <is>
          <t>Mumbai</t>
        </is>
      </c>
      <c r="J991" s="5" t="inlineStr">
        <is>
          <t>Full-Time</t>
        </is>
      </c>
      <c r="K991" s="7" t="n">
        <v>44548</v>
      </c>
      <c r="L991" s="7" t="inlineStr"/>
      <c r="M991" s="5" t="inlineStr">
        <is>
          <t>Yes</t>
        </is>
      </c>
      <c r="N991" s="5" t="inlineStr"/>
      <c r="O991" s="8" t="inlineStr">
        <is>
          <t>112000</t>
        </is>
      </c>
      <c r="P991" s="5" t="inlineStr">
        <is>
          <t>5</t>
        </is>
      </c>
      <c r="Q991" s="5" t="inlineStr">
        <is>
          <t>4</t>
        </is>
      </c>
      <c r="R991" s="5" t="inlineStr">
        <is>
          <t>7</t>
        </is>
      </c>
      <c r="S991" s="5" t="inlineStr">
        <is>
          <t>49</t>
        </is>
      </c>
      <c r="T991" s="5" t="inlineStr">
        <is>
          <t>16</t>
        </is>
      </c>
      <c r="U991" s="5" t="inlineStr">
        <is>
          <t>OK</t>
        </is>
      </c>
    </row>
    <row r="992">
      <c r="A992" s="5" t="inlineStr">
        <is>
          <t>E00838</t>
        </is>
      </c>
      <c r="B992" s="5" t="inlineStr">
        <is>
          <t>Female</t>
        </is>
      </c>
      <c r="C992" s="6" t="inlineStr">
        <is>
          <t>28</t>
        </is>
      </c>
      <c r="D992" s="5" t="inlineStr">
        <is>
          <t>Married</t>
        </is>
      </c>
      <c r="E992" s="5" t="inlineStr">
        <is>
          <t>Bachelor</t>
        </is>
      </c>
      <c r="F992" s="5" t="inlineStr">
        <is>
          <t>Finance</t>
        </is>
      </c>
      <c r="G992" s="5" t="inlineStr">
        <is>
          <t>Credit Analyst</t>
        </is>
      </c>
      <c r="H992" s="5" t="inlineStr">
        <is>
          <t>2</t>
        </is>
      </c>
      <c r="I992" s="5" t="inlineStr">
        <is>
          <t>Delhi</t>
        </is>
      </c>
      <c r="J992" s="5" t="inlineStr">
        <is>
          <t>Full-Time</t>
        </is>
      </c>
      <c r="K992" s="7" t="n">
        <v>45607</v>
      </c>
      <c r="L992" s="7" t="inlineStr"/>
      <c r="M992" s="5" t="inlineStr">
        <is>
          <t>Yes</t>
        </is>
      </c>
      <c r="N992" s="5" t="inlineStr"/>
      <c r="O992" s="8" t="inlineStr">
        <is>
          <t>100500</t>
        </is>
      </c>
      <c r="P992" s="5" t="inlineStr">
        <is>
          <t>20</t>
        </is>
      </c>
      <c r="Q992" s="5" t="inlineStr">
        <is>
          <t>4</t>
        </is>
      </c>
      <c r="R992" s="5" t="inlineStr">
        <is>
          <t>6</t>
        </is>
      </c>
      <c r="S992" s="5" t="inlineStr">
        <is>
          <t>13</t>
        </is>
      </c>
      <c r="T992" s="5" t="inlineStr">
        <is>
          <t>5</t>
        </is>
      </c>
      <c r="U992" s="5" t="inlineStr">
        <is>
          <t>OK</t>
        </is>
      </c>
    </row>
    <row r="993">
      <c r="A993" s="5" t="inlineStr">
        <is>
          <t>E02103</t>
        </is>
      </c>
      <c r="B993" s="5" t="inlineStr">
        <is>
          <t>Male</t>
        </is>
      </c>
      <c r="C993" s="6" t="inlineStr">
        <is>
          <t>30</t>
        </is>
      </c>
      <c r="D993" s="5" t="inlineStr">
        <is>
          <t>Married</t>
        </is>
      </c>
      <c r="E993" s="5" t="inlineStr">
        <is>
          <t>Diploma</t>
        </is>
      </c>
      <c r="F993" s="5" t="inlineStr">
        <is>
          <t>Research &amp; Development</t>
        </is>
      </c>
      <c r="G993" s="5" t="inlineStr">
        <is>
          <t>Research Scientist</t>
        </is>
      </c>
      <c r="H993" s="5" t="inlineStr">
        <is>
          <t>1</t>
        </is>
      </c>
      <c r="I993" s="5" t="inlineStr">
        <is>
          <t>Delhi</t>
        </is>
      </c>
      <c r="J993" s="5" t="inlineStr">
        <is>
          <t>Full-Time</t>
        </is>
      </c>
      <c r="K993" s="7" t="n">
        <v>43874</v>
      </c>
      <c r="L993" s="7" t="inlineStr"/>
      <c r="M993" s="5" t="inlineStr">
        <is>
          <t>Yes</t>
        </is>
      </c>
      <c r="N993" s="5" t="inlineStr"/>
      <c r="O993" s="8" t="inlineStr">
        <is>
          <t>101000</t>
        </is>
      </c>
      <c r="P993" s="5" t="inlineStr">
        <is>
          <t>5</t>
        </is>
      </c>
      <c r="Q993" s="5" t="inlineStr">
        <is>
          <t>4</t>
        </is>
      </c>
      <c r="R993" s="5" t="inlineStr">
        <is>
          <t>6</t>
        </is>
      </c>
      <c r="S993" s="5" t="inlineStr">
        <is>
          <t>71</t>
        </is>
      </c>
      <c r="T993" s="5" t="inlineStr">
        <is>
          <t>0</t>
        </is>
      </c>
      <c r="U993" s="5" t="inlineStr">
        <is>
          <t>OK</t>
        </is>
      </c>
    </row>
    <row r="994">
      <c r="A994" s="5" t="inlineStr">
        <is>
          <t>E00116</t>
        </is>
      </c>
      <c r="B994" s="5" t="inlineStr">
        <is>
          <t>Male</t>
        </is>
      </c>
      <c r="C994" s="6" t="inlineStr">
        <is>
          <t>39</t>
        </is>
      </c>
      <c r="D994" s="5" t="inlineStr">
        <is>
          <t>Married</t>
        </is>
      </c>
      <c r="E994" s="5" t="inlineStr">
        <is>
          <t>Bachelor</t>
        </is>
      </c>
      <c r="F994" s="5" t="inlineStr">
        <is>
          <t>Customer Support</t>
        </is>
      </c>
      <c r="G994" s="5" t="inlineStr">
        <is>
          <t>Escalation Specialist</t>
        </is>
      </c>
      <c r="H994" s="5" t="inlineStr">
        <is>
          <t>7</t>
        </is>
      </c>
      <c r="I994" s="5" t="inlineStr">
        <is>
          <t>Mumbai</t>
        </is>
      </c>
      <c r="J994" s="5" t="inlineStr">
        <is>
          <t>Part-Time</t>
        </is>
      </c>
      <c r="K994" s="7" t="n">
        <v>44857</v>
      </c>
      <c r="L994" s="7" t="inlineStr"/>
      <c r="M994" s="5" t="inlineStr">
        <is>
          <t>Yes</t>
        </is>
      </c>
      <c r="N994" s="5" t="inlineStr"/>
      <c r="O994" s="8" t="inlineStr">
        <is>
          <t>139000</t>
        </is>
      </c>
      <c r="P994" s="5" t="inlineStr">
        <is>
          <t>5</t>
        </is>
      </c>
      <c r="Q994" s="5" t="inlineStr">
        <is>
          <t>3</t>
        </is>
      </c>
      <c r="R994" s="5" t="inlineStr">
        <is>
          <t>8</t>
        </is>
      </c>
      <c r="S994" s="5" t="inlineStr">
        <is>
          <t>38</t>
        </is>
      </c>
      <c r="T994" s="5" t="inlineStr">
        <is>
          <t>6</t>
        </is>
      </c>
      <c r="U994" s="5" t="inlineStr">
        <is>
          <t>OK</t>
        </is>
      </c>
    </row>
    <row r="995">
      <c r="A995" s="5" t="inlineStr">
        <is>
          <t>E00719</t>
        </is>
      </c>
      <c r="B995" s="5" t="inlineStr">
        <is>
          <t>Male</t>
        </is>
      </c>
      <c r="C995" s="6" t="inlineStr">
        <is>
          <t>34</t>
        </is>
      </c>
      <c r="D995" s="5" t="inlineStr">
        <is>
          <t>Single</t>
        </is>
      </c>
      <c r="E995" s="5" t="inlineStr">
        <is>
          <t>PhD</t>
        </is>
      </c>
      <c r="F995" s="5" t="inlineStr">
        <is>
          <t>Research &amp; Development</t>
        </is>
      </c>
      <c r="G995" s="5" t="inlineStr">
        <is>
          <t>Product Engineer</t>
        </is>
      </c>
      <c r="H995" s="5" t="inlineStr">
        <is>
          <t>4</t>
        </is>
      </c>
      <c r="I995" s="5" t="inlineStr">
        <is>
          <t>Hyderabad</t>
        </is>
      </c>
      <c r="J995" s="5" t="inlineStr">
        <is>
          <t>Contract</t>
        </is>
      </c>
      <c r="K995" s="7" t="n">
        <v>44692</v>
      </c>
      <c r="L995" s="7" t="n">
        <v>44784</v>
      </c>
      <c r="M995" s="5" t="inlineStr">
        <is>
          <t>No</t>
        </is>
      </c>
      <c r="N995" s="5" t="inlineStr">
        <is>
          <t>Resigned</t>
        </is>
      </c>
      <c r="O995" s="8" t="inlineStr">
        <is>
          <t>167500</t>
        </is>
      </c>
      <c r="P995" s="5" t="inlineStr">
        <is>
          <t>15</t>
        </is>
      </c>
      <c r="Q995" s="5" t="inlineStr">
        <is>
          <t>5</t>
        </is>
      </c>
      <c r="R995" s="5" t="inlineStr">
        <is>
          <t>3</t>
        </is>
      </c>
      <c r="S995" s="5" t="inlineStr">
        <is>
          <t>3</t>
        </is>
      </c>
      <c r="T995" s="5" t="inlineStr">
        <is>
          <t>6</t>
        </is>
      </c>
      <c r="U995" s="5" t="inlineStr">
        <is>
          <t>OK</t>
        </is>
      </c>
    </row>
    <row r="996">
      <c r="A996" s="5" t="inlineStr">
        <is>
          <t>E02849</t>
        </is>
      </c>
      <c r="B996" s="5" t="inlineStr">
        <is>
          <t>Male</t>
        </is>
      </c>
      <c r="C996" s="6" t="inlineStr">
        <is>
          <t>33</t>
        </is>
      </c>
      <c r="D996" s="5" t="inlineStr">
        <is>
          <t>Married</t>
        </is>
      </c>
      <c r="E996" s="5" t="inlineStr">
        <is>
          <t>PhD</t>
        </is>
      </c>
      <c r="F996" s="5" t="inlineStr">
        <is>
          <t>IT</t>
        </is>
      </c>
      <c r="G996" s="5" t="inlineStr">
        <is>
          <t>IT Support</t>
        </is>
      </c>
      <c r="H996" s="5" t="inlineStr">
        <is>
          <t>3</t>
        </is>
      </c>
      <c r="I996" s="5" t="inlineStr">
        <is>
          <t>Mumbai</t>
        </is>
      </c>
      <c r="J996" s="5" t="inlineStr">
        <is>
          <t>Full-Time</t>
        </is>
      </c>
      <c r="K996" s="7" t="n">
        <v>44416</v>
      </c>
      <c r="L996" s="7" t="inlineStr"/>
      <c r="M996" s="5" t="inlineStr">
        <is>
          <t>Yes</t>
        </is>
      </c>
      <c r="N996" s="5" t="inlineStr"/>
      <c r="O996" s="8" t="inlineStr">
        <is>
          <t>121500</t>
        </is>
      </c>
      <c r="P996" s="5" t="inlineStr">
        <is>
          <t>0</t>
        </is>
      </c>
      <c r="Q996" s="5" t="inlineStr">
        <is>
          <t>4</t>
        </is>
      </c>
      <c r="R996" s="5" t="inlineStr">
        <is>
          <t>5</t>
        </is>
      </c>
      <c r="S996" s="5" t="inlineStr">
        <is>
          <t>53</t>
        </is>
      </c>
      <c r="T996" s="5" t="inlineStr">
        <is>
          <t>1</t>
        </is>
      </c>
      <c r="U996" s="5" t="inlineStr">
        <is>
          <t>OK</t>
        </is>
      </c>
    </row>
    <row r="997">
      <c r="A997" s="5" t="inlineStr">
        <is>
          <t>E02426</t>
        </is>
      </c>
      <c r="B997" s="5" t="inlineStr">
        <is>
          <t>Female</t>
        </is>
      </c>
      <c r="C997" s="6" t="inlineStr">
        <is>
          <t>35</t>
        </is>
      </c>
      <c r="D997" s="5" t="inlineStr">
        <is>
          <t>Married</t>
        </is>
      </c>
      <c r="E997" s="5" t="inlineStr">
        <is>
          <t>Bachelor</t>
        </is>
      </c>
      <c r="F997" s="5" t="inlineStr">
        <is>
          <t>Sales</t>
        </is>
      </c>
      <c r="G997" s="5" t="inlineStr">
        <is>
          <t>Sales Executive</t>
        </is>
      </c>
      <c r="H997" s="5" t="inlineStr">
        <is>
          <t>3</t>
        </is>
      </c>
      <c r="I997" s="5" t="inlineStr">
        <is>
          <t>Chennai</t>
        </is>
      </c>
      <c r="J997" s="5" t="inlineStr">
        <is>
          <t>Full-Time</t>
        </is>
      </c>
      <c r="K997" s="7" t="n">
        <v>44169</v>
      </c>
      <c r="L997" s="7" t="inlineStr"/>
      <c r="M997" s="5" t="inlineStr">
        <is>
          <t>Yes</t>
        </is>
      </c>
      <c r="N997" s="5" t="inlineStr"/>
      <c r="O997" s="8" t="inlineStr">
        <is>
          <t>129000</t>
        </is>
      </c>
      <c r="P997" s="5" t="inlineStr">
        <is>
          <t>5</t>
        </is>
      </c>
      <c r="Q997" s="5" t="inlineStr">
        <is>
          <t>4</t>
        </is>
      </c>
      <c r="R997" s="5" t="inlineStr">
        <is>
          <t>4</t>
        </is>
      </c>
      <c r="S997" s="5" t="inlineStr">
        <is>
          <t>61</t>
        </is>
      </c>
      <c r="T997" s="5" t="inlineStr">
        <is>
          <t>9</t>
        </is>
      </c>
      <c r="U997" s="5" t="inlineStr">
        <is>
          <t>OK</t>
        </is>
      </c>
    </row>
    <row r="998">
      <c r="A998" s="5" t="inlineStr">
        <is>
          <t>E00973</t>
        </is>
      </c>
      <c r="B998" s="5" t="inlineStr">
        <is>
          <t>Male</t>
        </is>
      </c>
      <c r="C998" s="6" t="inlineStr">
        <is>
          <t>38</t>
        </is>
      </c>
      <c r="D998" s="5" t="inlineStr">
        <is>
          <t>Married</t>
        </is>
      </c>
      <c r="E998" s="5" t="inlineStr">
        <is>
          <t>High School</t>
        </is>
      </c>
      <c r="F998" s="5" t="inlineStr">
        <is>
          <t>Finance</t>
        </is>
      </c>
      <c r="G998" s="5" t="inlineStr">
        <is>
          <t>Credit Analyst</t>
        </is>
      </c>
      <c r="H998" s="5" t="inlineStr">
        <is>
          <t>4</t>
        </is>
      </c>
      <c r="I998" s="5" t="inlineStr">
        <is>
          <t>Chennai</t>
        </is>
      </c>
      <c r="J998" s="5" t="inlineStr">
        <is>
          <t>Full-Time</t>
        </is>
      </c>
      <c r="K998" s="7" t="n">
        <v>44136</v>
      </c>
      <c r="L998" s="7" t="inlineStr"/>
      <c r="M998" s="5" t="inlineStr">
        <is>
          <t>Yes</t>
        </is>
      </c>
      <c r="N998" s="5" t="inlineStr"/>
      <c r="O998" s="8" t="inlineStr">
        <is>
          <t>136500</t>
        </is>
      </c>
      <c r="P998" s="5" t="inlineStr">
        <is>
          <t>5</t>
        </is>
      </c>
      <c r="Q998" s="5" t="inlineStr">
        <is>
          <t>3</t>
        </is>
      </c>
      <c r="R998" s="5" t="inlineStr">
        <is>
          <t>7</t>
        </is>
      </c>
      <c r="S998" s="5" t="inlineStr">
        <is>
          <t>62</t>
        </is>
      </c>
      <c r="T998" s="5" t="inlineStr">
        <is>
          <t>0</t>
        </is>
      </c>
      <c r="U998" s="5" t="inlineStr">
        <is>
          <t>OK</t>
        </is>
      </c>
    </row>
    <row r="999">
      <c r="A999" s="5" t="inlineStr">
        <is>
          <t>E01728</t>
        </is>
      </c>
      <c r="B999" s="5" t="inlineStr">
        <is>
          <t>Female</t>
        </is>
      </c>
      <c r="C999" s="6" t="inlineStr">
        <is>
          <t>25</t>
        </is>
      </c>
      <c r="D999" s="5" t="inlineStr">
        <is>
          <t>Single</t>
        </is>
      </c>
      <c r="E999" s="5" t="inlineStr">
        <is>
          <t>Diploma</t>
        </is>
      </c>
      <c r="F999" s="5" t="inlineStr">
        <is>
          <t>Finance</t>
        </is>
      </c>
      <c r="G999" s="5" t="inlineStr">
        <is>
          <t>Credit Analyst</t>
        </is>
      </c>
      <c r="H999" s="5" t="inlineStr">
        <is>
          <t>2</t>
        </is>
      </c>
      <c r="I999" s="5" t="inlineStr">
        <is>
          <t>Delhi</t>
        </is>
      </c>
      <c r="J999" s="5" t="inlineStr">
        <is>
          <t>Full-Time</t>
        </is>
      </c>
      <c r="K999" s="7" t="n">
        <v>44865</v>
      </c>
      <c r="L999" s="7" t="inlineStr"/>
      <c r="M999" s="5" t="inlineStr">
        <is>
          <t>Yes</t>
        </is>
      </c>
      <c r="N999" s="5" t="inlineStr"/>
      <c r="O999" s="8" t="inlineStr">
        <is>
          <t>129000</t>
        </is>
      </c>
      <c r="P999" s="5" t="inlineStr">
        <is>
          <t>10</t>
        </is>
      </c>
      <c r="Q999" s="5" t="inlineStr">
        <is>
          <t>4</t>
        </is>
      </c>
      <c r="R999" s="5" t="inlineStr">
        <is>
          <t>7</t>
        </is>
      </c>
      <c r="S999" s="5" t="inlineStr">
        <is>
          <t>38</t>
        </is>
      </c>
      <c r="T999" s="5" t="inlineStr">
        <is>
          <t>5</t>
        </is>
      </c>
      <c r="U999" s="5" t="inlineStr">
        <is>
          <t>OK</t>
        </is>
      </c>
    </row>
    <row r="1000">
      <c r="A1000" s="5" t="inlineStr">
        <is>
          <t>E01405</t>
        </is>
      </c>
      <c r="B1000" s="5" t="inlineStr">
        <is>
          <t>Male</t>
        </is>
      </c>
      <c r="C1000" s="6" t="inlineStr">
        <is>
          <t>32</t>
        </is>
      </c>
      <c r="D1000" s="5" t="inlineStr">
        <is>
          <t>Married</t>
        </is>
      </c>
      <c r="E1000" s="5" t="inlineStr">
        <is>
          <t>High School</t>
        </is>
      </c>
      <c r="F1000" s="5" t="inlineStr">
        <is>
          <t>Finance</t>
        </is>
      </c>
      <c r="G1000" s="5" t="inlineStr">
        <is>
          <t>Financial Analyst</t>
        </is>
      </c>
      <c r="H1000" s="5" t="inlineStr">
        <is>
          <t>3</t>
        </is>
      </c>
      <c r="I1000" s="5" t="inlineStr">
        <is>
          <t>Delhi</t>
        </is>
      </c>
      <c r="J1000" s="5" t="inlineStr">
        <is>
          <t>Part-Time</t>
        </is>
      </c>
      <c r="K1000" s="7" t="n">
        <v>44375</v>
      </c>
      <c r="L1000" s="7" t="inlineStr"/>
      <c r="M1000" s="5" t="inlineStr">
        <is>
          <t>Yes</t>
        </is>
      </c>
      <c r="N1000" s="5" t="inlineStr"/>
      <c r="O1000" s="8" t="inlineStr">
        <is>
          <t>106500</t>
        </is>
      </c>
      <c r="P1000" s="5" t="inlineStr">
        <is>
          <t>0</t>
        </is>
      </c>
      <c r="Q1000" s="5" t="inlineStr">
        <is>
          <t>5</t>
        </is>
      </c>
      <c r="R1000" s="5" t="inlineStr">
        <is>
          <t>3</t>
        </is>
      </c>
      <c r="S1000" s="5" t="inlineStr">
        <is>
          <t>54</t>
        </is>
      </c>
      <c r="T1000" s="5" t="inlineStr">
        <is>
          <t>5</t>
        </is>
      </c>
      <c r="U1000" s="5" t="inlineStr">
        <is>
          <t>OK</t>
        </is>
      </c>
    </row>
    <row r="1001">
      <c r="A1001" s="5" t="inlineStr">
        <is>
          <t>E02061</t>
        </is>
      </c>
      <c r="B1001" s="5" t="inlineStr">
        <is>
          <t>Female</t>
        </is>
      </c>
      <c r="C1001" s="6" t="inlineStr">
        <is>
          <t>35</t>
        </is>
      </c>
      <c r="D1001" s="5" t="inlineStr">
        <is>
          <t>Divorced</t>
        </is>
      </c>
      <c r="E1001" s="5" t="inlineStr">
        <is>
          <t>PhD</t>
        </is>
      </c>
      <c r="F1001" s="5" t="inlineStr">
        <is>
          <t>IT</t>
        </is>
      </c>
      <c r="G1001" s="5" t="inlineStr">
        <is>
          <t>DevOps Engineer</t>
        </is>
      </c>
      <c r="H1001" s="5" t="inlineStr">
        <is>
          <t>3</t>
        </is>
      </c>
      <c r="I1001" s="5" t="inlineStr">
        <is>
          <t>Bengaluru</t>
        </is>
      </c>
      <c r="J1001" s="5" t="inlineStr">
        <is>
          <t>Full-Time</t>
        </is>
      </c>
      <c r="K1001" s="7" t="n">
        <v>45474</v>
      </c>
      <c r="L1001" s="7" t="inlineStr"/>
      <c r="M1001" s="5" t="inlineStr">
        <is>
          <t>Yes</t>
        </is>
      </c>
      <c r="N1001" s="5" t="inlineStr"/>
      <c r="O1001" s="8" t="inlineStr">
        <is>
          <t>180000</t>
        </is>
      </c>
      <c r="P1001" s="5" t="inlineStr">
        <is>
          <t>15</t>
        </is>
      </c>
      <c r="Q1001" s="5" t="inlineStr">
        <is>
          <t>4</t>
        </is>
      </c>
      <c r="R1001" s="5" t="inlineStr">
        <is>
          <t>7</t>
        </is>
      </c>
      <c r="S1001" s="5" t="inlineStr">
        <is>
          <t>18</t>
        </is>
      </c>
      <c r="T1001" s="5" t="inlineStr">
        <is>
          <t>4</t>
        </is>
      </c>
      <c r="U1001" s="5" t="inlineStr">
        <is>
          <t>OK</t>
        </is>
      </c>
    </row>
    <row r="1002">
      <c r="A1002" s="5" t="inlineStr">
        <is>
          <t>E02658</t>
        </is>
      </c>
      <c r="B1002" s="5" t="inlineStr">
        <is>
          <t>Female</t>
        </is>
      </c>
      <c r="C1002" s="6" t="inlineStr">
        <is>
          <t>29</t>
        </is>
      </c>
      <c r="D1002" s="5" t="inlineStr">
        <is>
          <t>Married</t>
        </is>
      </c>
      <c r="E1002" s="5" t="inlineStr">
        <is>
          <t>Master</t>
        </is>
      </c>
      <c r="F1002" s="5" t="inlineStr">
        <is>
          <t>IT</t>
        </is>
      </c>
      <c r="G1002" s="5" t="inlineStr">
        <is>
          <t>DevOps Engineer</t>
        </is>
      </c>
      <c r="H1002" s="5" t="inlineStr">
        <is>
          <t>1</t>
        </is>
      </c>
      <c r="I1002" s="5" t="inlineStr">
        <is>
          <t>Delhi</t>
        </is>
      </c>
      <c r="J1002" s="5" t="inlineStr">
        <is>
          <t>Full-Time</t>
        </is>
      </c>
      <c r="K1002" s="7" t="n">
        <v>44609</v>
      </c>
      <c r="L1002" s="7" t="inlineStr"/>
      <c r="M1002" s="5" t="inlineStr">
        <is>
          <t>Yes</t>
        </is>
      </c>
      <c r="N1002" s="5" t="inlineStr"/>
      <c r="O1002" s="8" t="inlineStr">
        <is>
          <t>138500</t>
        </is>
      </c>
      <c r="P1002" s="5" t="inlineStr">
        <is>
          <t>10</t>
        </is>
      </c>
      <c r="Q1002" s="5" t="inlineStr">
        <is>
          <t>4</t>
        </is>
      </c>
      <c r="R1002" s="5" t="inlineStr">
        <is>
          <t>5</t>
        </is>
      </c>
      <c r="S1002" s="5" t="inlineStr">
        <is>
          <t>47</t>
        </is>
      </c>
      <c r="T1002" s="5" t="inlineStr">
        <is>
          <t>3</t>
        </is>
      </c>
      <c r="U1002" s="5" t="inlineStr">
        <is>
          <t>OK</t>
        </is>
      </c>
    </row>
    <row r="1003">
      <c r="A1003" s="5" t="inlineStr">
        <is>
          <t>E00525</t>
        </is>
      </c>
      <c r="B1003" s="5" t="inlineStr">
        <is>
          <t>Female</t>
        </is>
      </c>
      <c r="C1003" s="6" t="inlineStr">
        <is>
          <t>34</t>
        </is>
      </c>
      <c r="D1003" s="5" t="inlineStr">
        <is>
          <t>Married</t>
        </is>
      </c>
      <c r="E1003" s="5" t="inlineStr">
        <is>
          <t>Bachelor</t>
        </is>
      </c>
      <c r="F1003" s="5" t="inlineStr">
        <is>
          <t>IT</t>
        </is>
      </c>
      <c r="G1003" s="5" t="inlineStr">
        <is>
          <t>IT Support</t>
        </is>
      </c>
      <c r="H1003" s="5" t="inlineStr">
        <is>
          <t>2</t>
        </is>
      </c>
      <c r="I1003" s="5" t="inlineStr">
        <is>
          <t>Chennai</t>
        </is>
      </c>
      <c r="J1003" s="5" t="inlineStr">
        <is>
          <t>Full-Time</t>
        </is>
      </c>
      <c r="K1003" s="7" t="n">
        <v>45310</v>
      </c>
      <c r="L1003" s="7" t="inlineStr"/>
      <c r="M1003" s="5" t="inlineStr">
        <is>
          <t>Yes</t>
        </is>
      </c>
      <c r="N1003" s="5" t="inlineStr"/>
      <c r="O1003" s="8" t="inlineStr">
        <is>
          <t>121000</t>
        </is>
      </c>
      <c r="P1003" s="5" t="inlineStr">
        <is>
          <t>5</t>
        </is>
      </c>
      <c r="Q1003" s="5" t="inlineStr">
        <is>
          <t>3</t>
        </is>
      </c>
      <c r="R1003" s="5" t="inlineStr">
        <is>
          <t>3</t>
        </is>
      </c>
      <c r="S1003" s="5" t="inlineStr">
        <is>
          <t>23</t>
        </is>
      </c>
      <c r="T1003" s="5" t="inlineStr">
        <is>
          <t>4</t>
        </is>
      </c>
      <c r="U1003" s="5" t="inlineStr">
        <is>
          <t>OK</t>
        </is>
      </c>
    </row>
    <row r="1004">
      <c r="A1004" s="5" t="inlineStr">
        <is>
          <t>E00550</t>
        </is>
      </c>
      <c r="B1004" s="5" t="inlineStr">
        <is>
          <t>Male</t>
        </is>
      </c>
      <c r="C1004" s="6" t="inlineStr">
        <is>
          <t>27</t>
        </is>
      </c>
      <c r="D1004" s="5" t="inlineStr">
        <is>
          <t>Divorced</t>
        </is>
      </c>
      <c r="E1004" s="5" t="inlineStr">
        <is>
          <t>High School</t>
        </is>
      </c>
      <c r="F1004" s="5" t="inlineStr">
        <is>
          <t>Operations</t>
        </is>
      </c>
      <c r="G1004" s="5" t="inlineStr">
        <is>
          <t>Logistics Coordinator</t>
        </is>
      </c>
      <c r="H1004" s="5" t="inlineStr">
        <is>
          <t>3</t>
        </is>
      </c>
      <c r="I1004" s="5" t="inlineStr">
        <is>
          <t>Remote</t>
        </is>
      </c>
      <c r="J1004" s="5" t="inlineStr">
        <is>
          <t>Full-Time</t>
        </is>
      </c>
      <c r="K1004" s="7" t="n">
        <v>44475</v>
      </c>
      <c r="L1004" s="7" t="n">
        <v>44562</v>
      </c>
      <c r="M1004" s="5" t="inlineStr">
        <is>
          <t>No</t>
        </is>
      </c>
      <c r="N1004" s="5" t="inlineStr">
        <is>
          <t>Retirement</t>
        </is>
      </c>
      <c r="O1004" s="8" t="inlineStr">
        <is>
          <t>109000</t>
        </is>
      </c>
      <c r="P1004" s="5" t="inlineStr">
        <is>
          <t>5</t>
        </is>
      </c>
      <c r="Q1004" s="5" t="inlineStr">
        <is>
          <t>4</t>
        </is>
      </c>
      <c r="R1004" s="5" t="inlineStr">
        <is>
          <t>3</t>
        </is>
      </c>
      <c r="S1004" s="5" t="inlineStr">
        <is>
          <t>2</t>
        </is>
      </c>
      <c r="T1004" s="5" t="inlineStr">
        <is>
          <t>0</t>
        </is>
      </c>
      <c r="U1004" s="5" t="inlineStr">
        <is>
          <t>OK</t>
        </is>
      </c>
    </row>
    <row r="1005">
      <c r="A1005" s="5" t="inlineStr">
        <is>
          <t>E00513</t>
        </is>
      </c>
      <c r="B1005" s="5" t="inlineStr">
        <is>
          <t>Male</t>
        </is>
      </c>
      <c r="C1005" s="6" t="inlineStr">
        <is>
          <t>33</t>
        </is>
      </c>
      <c r="D1005" s="5" t="inlineStr">
        <is>
          <t>Married</t>
        </is>
      </c>
      <c r="E1005" s="5" t="inlineStr">
        <is>
          <t>Diploma</t>
        </is>
      </c>
      <c r="F1005" s="5" t="inlineStr">
        <is>
          <t>Finance</t>
        </is>
      </c>
      <c r="G1005" s="5" t="inlineStr">
        <is>
          <t>Financial Analyst</t>
        </is>
      </c>
      <c r="H1005" s="5" t="inlineStr">
        <is>
          <t>3</t>
        </is>
      </c>
      <c r="I1005" s="5" t="inlineStr">
        <is>
          <t>Remote</t>
        </is>
      </c>
      <c r="J1005" s="5" t="inlineStr">
        <is>
          <t>Full-Time</t>
        </is>
      </c>
      <c r="K1005" s="7" t="n">
        <v>45862</v>
      </c>
      <c r="L1005" s="7" t="inlineStr"/>
      <c r="M1005" s="5" t="inlineStr">
        <is>
          <t>Yes</t>
        </is>
      </c>
      <c r="N1005" s="5" t="inlineStr"/>
      <c r="O1005" s="8" t="inlineStr">
        <is>
          <t>137500</t>
        </is>
      </c>
      <c r="P1005" s="5" t="inlineStr">
        <is>
          <t>20</t>
        </is>
      </c>
      <c r="Q1005" s="5" t="inlineStr">
        <is>
          <t>4</t>
        </is>
      </c>
      <c r="R1005" s="5" t="inlineStr">
        <is>
          <t>5</t>
        </is>
      </c>
      <c r="S1005" s="5" t="inlineStr">
        <is>
          <t>5</t>
        </is>
      </c>
      <c r="T1005" s="5" t="inlineStr">
        <is>
          <t>0</t>
        </is>
      </c>
      <c r="U1005" s="5" t="inlineStr">
        <is>
          <t>OK</t>
        </is>
      </c>
    </row>
    <row r="1006">
      <c r="A1006" s="5" t="inlineStr">
        <is>
          <t>E00198</t>
        </is>
      </c>
      <c r="B1006" s="5" t="inlineStr">
        <is>
          <t>Male</t>
        </is>
      </c>
      <c r="C1006" s="6" t="inlineStr">
        <is>
          <t>27</t>
        </is>
      </c>
      <c r="D1006" s="5" t="inlineStr">
        <is>
          <t>Married</t>
        </is>
      </c>
      <c r="E1006" s="5" t="inlineStr">
        <is>
          <t>Bachelor</t>
        </is>
      </c>
      <c r="F1006" s="5" t="inlineStr">
        <is>
          <t>Marketing</t>
        </is>
      </c>
      <c r="G1006" s="5" t="inlineStr">
        <is>
          <t>Content Writer</t>
        </is>
      </c>
      <c r="H1006" s="5" t="inlineStr">
        <is>
          <t>1</t>
        </is>
      </c>
      <c r="I1006" s="5" t="inlineStr">
        <is>
          <t>Remote</t>
        </is>
      </c>
      <c r="J1006" s="5" t="inlineStr">
        <is>
          <t>Full-Time</t>
        </is>
      </c>
      <c r="K1006" s="7" t="n">
        <v>44249</v>
      </c>
      <c r="L1006" s="7" t="inlineStr"/>
      <c r="M1006" s="5" t="inlineStr">
        <is>
          <t>Yes</t>
        </is>
      </c>
      <c r="N1006" s="5" t="inlineStr"/>
      <c r="O1006" s="8" t="inlineStr">
        <is>
          <t>51500</t>
        </is>
      </c>
      <c r="P1006" s="5" t="inlineStr">
        <is>
          <t>15</t>
        </is>
      </c>
      <c r="Q1006" s="5" t="inlineStr">
        <is>
          <t>4</t>
        </is>
      </c>
      <c r="R1006" s="5" t="inlineStr">
        <is>
          <t>6</t>
        </is>
      </c>
      <c r="S1006" s="5" t="inlineStr">
        <is>
          <t>59</t>
        </is>
      </c>
      <c r="T1006" s="5" t="inlineStr">
        <is>
          <t>16</t>
        </is>
      </c>
      <c r="U1006" s="5" t="inlineStr">
        <is>
          <t>OK</t>
        </is>
      </c>
    </row>
    <row r="1007">
      <c r="A1007" s="5" t="inlineStr">
        <is>
          <t>E02145</t>
        </is>
      </c>
      <c r="B1007" s="5" t="inlineStr">
        <is>
          <t>Male</t>
        </is>
      </c>
      <c r="C1007" s="6" t="inlineStr">
        <is>
          <t>33</t>
        </is>
      </c>
      <c r="D1007" s="5" t="inlineStr">
        <is>
          <t>Single</t>
        </is>
      </c>
      <c r="E1007" s="5" t="inlineStr">
        <is>
          <t>PhD</t>
        </is>
      </c>
      <c r="F1007" s="5" t="inlineStr">
        <is>
          <t>Finance</t>
        </is>
      </c>
      <c r="G1007" s="5" t="inlineStr">
        <is>
          <t>Financial Analyst</t>
        </is>
      </c>
      <c r="H1007" s="5" t="inlineStr">
        <is>
          <t>5</t>
        </is>
      </c>
      <c r="I1007" s="5" t="inlineStr">
        <is>
          <t>Remote</t>
        </is>
      </c>
      <c r="J1007" s="5" t="inlineStr">
        <is>
          <t>Full-Time</t>
        </is>
      </c>
      <c r="K1007" s="7" t="n">
        <v>45176</v>
      </c>
      <c r="L1007" s="7" t="n">
        <v>45266</v>
      </c>
      <c r="M1007" s="5" t="inlineStr">
        <is>
          <t>No</t>
        </is>
      </c>
      <c r="N1007" s="5" t="inlineStr">
        <is>
          <t>Resigned</t>
        </is>
      </c>
      <c r="O1007" s="8" t="inlineStr">
        <is>
          <t>110500</t>
        </is>
      </c>
      <c r="P1007" s="5" t="inlineStr">
        <is>
          <t>0</t>
        </is>
      </c>
      <c r="Q1007" s="5" t="inlineStr">
        <is>
          <t>2</t>
        </is>
      </c>
      <c r="R1007" s="5" t="inlineStr">
        <is>
          <t>9</t>
        </is>
      </c>
      <c r="S1007" s="5" t="inlineStr">
        <is>
          <t>3</t>
        </is>
      </c>
      <c r="T1007" s="5" t="inlineStr">
        <is>
          <t>8</t>
        </is>
      </c>
      <c r="U1007" s="5" t="inlineStr">
        <is>
          <t>OK</t>
        </is>
      </c>
    </row>
    <row r="1008">
      <c r="A1008" s="5" t="inlineStr">
        <is>
          <t>E00434</t>
        </is>
      </c>
      <c r="B1008" s="5" t="inlineStr">
        <is>
          <t>Female</t>
        </is>
      </c>
      <c r="C1008" s="6" t="inlineStr">
        <is>
          <t>35</t>
        </is>
      </c>
      <c r="D1008" s="5" t="inlineStr">
        <is>
          <t>Married</t>
        </is>
      </c>
      <c r="E1008" s="5" t="inlineStr">
        <is>
          <t>PhD</t>
        </is>
      </c>
      <c r="F1008" s="5" t="inlineStr">
        <is>
          <t>Customer Support</t>
        </is>
      </c>
      <c r="G1008" s="5" t="inlineStr">
        <is>
          <t>Support Lead</t>
        </is>
      </c>
      <c r="H1008" s="5" t="inlineStr">
        <is>
          <t>4</t>
        </is>
      </c>
      <c r="I1008" s="5" t="inlineStr">
        <is>
          <t>Bengaluru</t>
        </is>
      </c>
      <c r="J1008" s="5" t="inlineStr">
        <is>
          <t>Full-Time</t>
        </is>
      </c>
      <c r="K1008" s="7" t="n">
        <v>45430</v>
      </c>
      <c r="L1008" s="7" t="inlineStr"/>
      <c r="M1008" s="5" t="inlineStr">
        <is>
          <t>Yes</t>
        </is>
      </c>
      <c r="N1008" s="5" t="inlineStr"/>
      <c r="O1008" s="8" t="inlineStr">
        <is>
          <t>76500</t>
        </is>
      </c>
      <c r="P1008" s="5" t="inlineStr">
        <is>
          <t>15</t>
        </is>
      </c>
      <c r="Q1008" s="5" t="inlineStr">
        <is>
          <t>3</t>
        </is>
      </c>
      <c r="R1008" s="5" t="inlineStr">
        <is>
          <t>7</t>
        </is>
      </c>
      <c r="S1008" s="5" t="inlineStr">
        <is>
          <t>19</t>
        </is>
      </c>
      <c r="T1008" s="5" t="inlineStr">
        <is>
          <t>8</t>
        </is>
      </c>
      <c r="U1008" s="5" t="inlineStr">
        <is>
          <t>OK</t>
        </is>
      </c>
    </row>
    <row r="1009">
      <c r="A1009" s="5" t="inlineStr">
        <is>
          <t>E02881</t>
        </is>
      </c>
      <c r="B1009" s="5" t="inlineStr">
        <is>
          <t>Male</t>
        </is>
      </c>
      <c r="C1009" s="6" t="inlineStr">
        <is>
          <t>35</t>
        </is>
      </c>
      <c r="D1009" s="5" t="inlineStr">
        <is>
          <t>Married</t>
        </is>
      </c>
      <c r="E1009" s="5" t="inlineStr">
        <is>
          <t>PhD</t>
        </is>
      </c>
      <c r="F1009" s="5" t="inlineStr">
        <is>
          <t>Finance</t>
        </is>
      </c>
      <c r="G1009" s="5" t="inlineStr">
        <is>
          <t>Financial Analyst</t>
        </is>
      </c>
      <c r="H1009" s="5" t="inlineStr">
        <is>
          <t>2</t>
        </is>
      </c>
      <c r="I1009" s="5" t="inlineStr">
        <is>
          <t>Remote</t>
        </is>
      </c>
      <c r="J1009" s="5" t="inlineStr">
        <is>
          <t>Full-Time</t>
        </is>
      </c>
      <c r="K1009" s="7" t="n">
        <v>44006</v>
      </c>
      <c r="L1009" s="7" t="inlineStr"/>
      <c r="M1009" s="5" t="inlineStr">
        <is>
          <t>Yes</t>
        </is>
      </c>
      <c r="N1009" s="5" t="inlineStr"/>
      <c r="O1009" s="8" t="inlineStr">
        <is>
          <t>122000</t>
        </is>
      </c>
      <c r="P1009" s="5" t="inlineStr">
        <is>
          <t>15</t>
        </is>
      </c>
      <c r="Q1009" s="5" t="inlineStr">
        <is>
          <t>4</t>
        </is>
      </c>
      <c r="R1009" s="5" t="inlineStr">
        <is>
          <t>10</t>
        </is>
      </c>
      <c r="S1009" s="5" t="inlineStr">
        <is>
          <t>67</t>
        </is>
      </c>
      <c r="T1009" s="5" t="inlineStr">
        <is>
          <t>11</t>
        </is>
      </c>
      <c r="U1009" s="5" t="inlineStr">
        <is>
          <t>OK</t>
        </is>
      </c>
    </row>
    <row r="1010">
      <c r="A1010" s="5" t="inlineStr">
        <is>
          <t>E01095</t>
        </is>
      </c>
      <c r="B1010" s="5" t="inlineStr">
        <is>
          <t>Female</t>
        </is>
      </c>
      <c r="C1010" s="6" t="inlineStr">
        <is>
          <t>35</t>
        </is>
      </c>
      <c r="D1010" s="5" t="inlineStr">
        <is>
          <t>Married</t>
        </is>
      </c>
      <c r="E1010" s="5" t="inlineStr">
        <is>
          <t>Bachelor</t>
        </is>
      </c>
      <c r="F1010" s="5" t="inlineStr">
        <is>
          <t>Research &amp; Development</t>
        </is>
      </c>
      <c r="G1010" s="5" t="inlineStr">
        <is>
          <t>Research Scientist</t>
        </is>
      </c>
      <c r="H1010" s="5" t="inlineStr">
        <is>
          <t>5</t>
        </is>
      </c>
      <c r="I1010" s="5" t="inlineStr">
        <is>
          <t>Bengaluru</t>
        </is>
      </c>
      <c r="J1010" s="5" t="inlineStr">
        <is>
          <t>Full-Time</t>
        </is>
      </c>
      <c r="K1010" s="7" t="n">
        <v>44504</v>
      </c>
      <c r="L1010" s="7" t="inlineStr"/>
      <c r="M1010" s="5" t="inlineStr">
        <is>
          <t>Yes</t>
        </is>
      </c>
      <c r="N1010" s="5" t="inlineStr"/>
      <c r="O1010" s="8" t="inlineStr">
        <is>
          <t>216500</t>
        </is>
      </c>
      <c r="P1010" s="5" t="inlineStr">
        <is>
          <t>0</t>
        </is>
      </c>
      <c r="Q1010" s="5" t="inlineStr">
        <is>
          <t>4</t>
        </is>
      </c>
      <c r="R1010" s="5" t="inlineStr">
        <is>
          <t>5</t>
        </is>
      </c>
      <c r="S1010" s="5" t="inlineStr">
        <is>
          <t>50</t>
        </is>
      </c>
      <c r="T1010" s="5" t="inlineStr">
        <is>
          <t>14</t>
        </is>
      </c>
      <c r="U1010" s="5" t="inlineStr">
        <is>
          <t>OK</t>
        </is>
      </c>
    </row>
    <row r="1011">
      <c r="A1011" s="5" t="inlineStr">
        <is>
          <t>E01941</t>
        </is>
      </c>
      <c r="B1011" s="5" t="inlineStr">
        <is>
          <t>Male</t>
        </is>
      </c>
      <c r="C1011" s="6" t="inlineStr">
        <is>
          <t>33</t>
        </is>
      </c>
      <c r="D1011" s="5" t="inlineStr">
        <is>
          <t>Married</t>
        </is>
      </c>
      <c r="E1011" s="5" t="inlineStr">
        <is>
          <t>PhD</t>
        </is>
      </c>
      <c r="F1011" s="5" t="inlineStr">
        <is>
          <t>Sales</t>
        </is>
      </c>
      <c r="G1011" s="5" t="inlineStr">
        <is>
          <t>Sales Executive</t>
        </is>
      </c>
      <c r="H1011" s="5" t="inlineStr">
        <is>
          <t>2</t>
        </is>
      </c>
      <c r="I1011" s="5" t="inlineStr">
        <is>
          <t>Remote</t>
        </is>
      </c>
      <c r="J1011" s="5" t="inlineStr">
        <is>
          <t>Full-Time</t>
        </is>
      </c>
      <c r="K1011" s="7" t="n">
        <v>45808</v>
      </c>
      <c r="L1011" s="7" t="inlineStr"/>
      <c r="M1011" s="5" t="inlineStr">
        <is>
          <t>Yes</t>
        </is>
      </c>
      <c r="N1011" s="5" t="inlineStr"/>
      <c r="O1011" s="8" t="inlineStr">
        <is>
          <t>99000</t>
        </is>
      </c>
      <c r="P1011" s="5" t="inlineStr">
        <is>
          <t>0</t>
        </is>
      </c>
      <c r="Q1011" s="5" t="inlineStr">
        <is>
          <t>3</t>
        </is>
      </c>
      <c r="R1011" s="5" t="inlineStr">
        <is>
          <t>6</t>
        </is>
      </c>
      <c r="S1011" s="5" t="inlineStr">
        <is>
          <t>7</t>
        </is>
      </c>
      <c r="T1011" s="5" t="inlineStr">
        <is>
          <t>2</t>
        </is>
      </c>
      <c r="U1011" s="5" t="inlineStr">
        <is>
          <t>OK</t>
        </is>
      </c>
    </row>
    <row r="1012">
      <c r="A1012" s="5" t="inlineStr">
        <is>
          <t>E01896</t>
        </is>
      </c>
      <c r="B1012" s="5" t="inlineStr">
        <is>
          <t>Male</t>
        </is>
      </c>
      <c r="C1012" s="6" t="inlineStr">
        <is>
          <t>44</t>
        </is>
      </c>
      <c r="D1012" s="5" t="inlineStr">
        <is>
          <t>Married</t>
        </is>
      </c>
      <c r="E1012" s="5" t="inlineStr">
        <is>
          <t>High School</t>
        </is>
      </c>
      <c r="F1012" s="5" t="inlineStr">
        <is>
          <t>Operations</t>
        </is>
      </c>
      <c r="G1012" s="5" t="inlineStr">
        <is>
          <t>Logistics Coordinator</t>
        </is>
      </c>
      <c r="H1012" s="5" t="inlineStr">
        <is>
          <t>6</t>
        </is>
      </c>
      <c r="I1012" s="5" t="inlineStr">
        <is>
          <t>Chennai</t>
        </is>
      </c>
      <c r="J1012" s="5" t="inlineStr">
        <is>
          <t>Part-Time</t>
        </is>
      </c>
      <c r="K1012" s="7" t="n">
        <v>43917</v>
      </c>
      <c r="L1012" s="7" t="inlineStr"/>
      <c r="M1012" s="5" t="inlineStr">
        <is>
          <t>Yes</t>
        </is>
      </c>
      <c r="N1012" s="5" t="inlineStr"/>
      <c r="O1012" s="8" t="inlineStr"/>
      <c r="P1012" s="5" t="inlineStr">
        <is>
          <t>20</t>
        </is>
      </c>
      <c r="Q1012" s="5" t="inlineStr">
        <is>
          <t>5</t>
        </is>
      </c>
      <c r="R1012" s="5" t="inlineStr">
        <is>
          <t>4</t>
        </is>
      </c>
      <c r="S1012" s="5" t="inlineStr">
        <is>
          <t>70</t>
        </is>
      </c>
      <c r="T1012" s="5" t="inlineStr">
        <is>
          <t>9</t>
        </is>
      </c>
      <c r="U1012" s="5" t="inlineStr">
        <is>
          <t>Blank salary</t>
        </is>
      </c>
    </row>
    <row r="1013">
      <c r="A1013" s="5" t="inlineStr">
        <is>
          <t>E00276</t>
        </is>
      </c>
      <c r="B1013" s="5" t="inlineStr">
        <is>
          <t>Male</t>
        </is>
      </c>
      <c r="C1013" s="6" t="inlineStr">
        <is>
          <t>23</t>
        </is>
      </c>
      <c r="D1013" s="5" t="inlineStr">
        <is>
          <t>Married</t>
        </is>
      </c>
      <c r="E1013" s="5" t="inlineStr">
        <is>
          <t>Master</t>
        </is>
      </c>
      <c r="F1013" s="5" t="inlineStr">
        <is>
          <t>Operations</t>
        </is>
      </c>
      <c r="G1013" s="5" t="inlineStr">
        <is>
          <t>Logistics Coordinator</t>
        </is>
      </c>
      <c r="H1013" s="5" t="inlineStr">
        <is>
          <t>1</t>
        </is>
      </c>
      <c r="I1013" s="5" t="inlineStr">
        <is>
          <t>Bengaluru</t>
        </is>
      </c>
      <c r="J1013" s="5" t="inlineStr">
        <is>
          <t>Full-Time</t>
        </is>
      </c>
      <c r="K1013" s="7" t="n">
        <v>44672</v>
      </c>
      <c r="L1013" s="7" t="inlineStr"/>
      <c r="M1013" s="5" t="inlineStr">
        <is>
          <t>Yes</t>
        </is>
      </c>
      <c r="N1013" s="5" t="inlineStr"/>
      <c r="O1013" s="8" t="inlineStr">
        <is>
          <t>88500</t>
        </is>
      </c>
      <c r="P1013" s="5" t="inlineStr">
        <is>
          <t>5</t>
        </is>
      </c>
      <c r="Q1013" s="5" t="inlineStr">
        <is>
          <t>3</t>
        </is>
      </c>
      <c r="R1013" s="5" t="inlineStr">
        <is>
          <t>8</t>
        </is>
      </c>
      <c r="S1013" s="5" t="inlineStr">
        <is>
          <t>45</t>
        </is>
      </c>
      <c r="T1013" s="5" t="inlineStr">
        <is>
          <t>7</t>
        </is>
      </c>
      <c r="U1013" s="5" t="inlineStr">
        <is>
          <t>OK</t>
        </is>
      </c>
    </row>
    <row r="1014">
      <c r="A1014" s="5" t="inlineStr">
        <is>
          <t>E00492</t>
        </is>
      </c>
      <c r="B1014" s="5" t="inlineStr">
        <is>
          <t>Male</t>
        </is>
      </c>
      <c r="C1014" s="6" t="inlineStr">
        <is>
          <t>29</t>
        </is>
      </c>
      <c r="D1014" s="5" t="inlineStr">
        <is>
          <t>Married</t>
        </is>
      </c>
      <c r="E1014" s="5" t="inlineStr">
        <is>
          <t>High School</t>
        </is>
      </c>
      <c r="F1014" s="5" t="inlineStr">
        <is>
          <t>Customer Support</t>
        </is>
      </c>
      <c r="G1014" s="5" t="inlineStr">
        <is>
          <t>Support Lead</t>
        </is>
      </c>
      <c r="H1014" s="5" t="inlineStr">
        <is>
          <t>1</t>
        </is>
      </c>
      <c r="I1014" s="5" t="inlineStr">
        <is>
          <t>Delhi</t>
        </is>
      </c>
      <c r="J1014" s="5" t="inlineStr">
        <is>
          <t>Full-Time</t>
        </is>
      </c>
      <c r="K1014" s="7" t="n">
        <v>44377</v>
      </c>
      <c r="L1014" s="7" t="inlineStr"/>
      <c r="M1014" s="5" t="inlineStr">
        <is>
          <t>Yes</t>
        </is>
      </c>
      <c r="N1014" s="5" t="inlineStr"/>
      <c r="O1014" s="8" t="inlineStr">
        <is>
          <t>50000</t>
        </is>
      </c>
      <c r="P1014" s="5" t="inlineStr">
        <is>
          <t>5</t>
        </is>
      </c>
      <c r="Q1014" s="5" t="inlineStr">
        <is>
          <t>5</t>
        </is>
      </c>
      <c r="R1014" s="5" t="inlineStr">
        <is>
          <t>7</t>
        </is>
      </c>
      <c r="S1014" s="5" t="inlineStr">
        <is>
          <t>54</t>
        </is>
      </c>
      <c r="T1014" s="5" t="inlineStr">
        <is>
          <t>2</t>
        </is>
      </c>
      <c r="U1014" s="5" t="inlineStr">
        <is>
          <t>OK</t>
        </is>
      </c>
    </row>
    <row r="1015">
      <c r="A1015" s="5" t="inlineStr">
        <is>
          <t>E00399</t>
        </is>
      </c>
      <c r="B1015" s="5" t="inlineStr">
        <is>
          <t>Male</t>
        </is>
      </c>
      <c r="C1015" s="6" t="inlineStr">
        <is>
          <t>40</t>
        </is>
      </c>
      <c r="D1015" s="5" t="inlineStr">
        <is>
          <t>Single</t>
        </is>
      </c>
      <c r="E1015" s="5" t="inlineStr">
        <is>
          <t>PhD</t>
        </is>
      </c>
      <c r="F1015" s="5" t="inlineStr">
        <is>
          <t>Human Resources</t>
        </is>
      </c>
      <c r="G1015" s="5" t="inlineStr">
        <is>
          <t>Recruiter</t>
        </is>
      </c>
      <c r="H1015" s="5" t="inlineStr">
        <is>
          <t>5</t>
        </is>
      </c>
      <c r="I1015" s="5" t="inlineStr">
        <is>
          <t>Delhi</t>
        </is>
      </c>
      <c r="J1015" s="5" t="inlineStr">
        <is>
          <t>Full-Time</t>
        </is>
      </c>
      <c r="K1015" s="7" t="n">
        <v>44409</v>
      </c>
      <c r="L1015" s="7" t="inlineStr"/>
      <c r="M1015" s="5" t="inlineStr">
        <is>
          <t>Yes</t>
        </is>
      </c>
      <c r="N1015" s="5" t="inlineStr"/>
      <c r="O1015" s="8" t="inlineStr">
        <is>
          <t>155000</t>
        </is>
      </c>
      <c r="P1015" s="5" t="inlineStr">
        <is>
          <t>5</t>
        </is>
      </c>
      <c r="Q1015" s="5" t="inlineStr">
        <is>
          <t>4</t>
        </is>
      </c>
      <c r="R1015" s="5" t="inlineStr">
        <is>
          <t>7</t>
        </is>
      </c>
      <c r="S1015" s="5" t="inlineStr">
        <is>
          <t>53</t>
        </is>
      </c>
      <c r="T1015" s="5" t="inlineStr">
        <is>
          <t>3</t>
        </is>
      </c>
      <c r="U1015" s="5" t="inlineStr">
        <is>
          <t>OK</t>
        </is>
      </c>
    </row>
    <row r="1016">
      <c r="A1016" s="5" t="inlineStr">
        <is>
          <t>E01934</t>
        </is>
      </c>
      <c r="B1016" s="5" t="inlineStr">
        <is>
          <t>Male</t>
        </is>
      </c>
      <c r="C1016" s="6" t="inlineStr">
        <is>
          <t>35</t>
        </is>
      </c>
      <c r="D1016" s="5" t="inlineStr">
        <is>
          <t>Married</t>
        </is>
      </c>
      <c r="E1016" s="5" t="inlineStr">
        <is>
          <t>Diploma</t>
        </is>
      </c>
      <c r="F1016" s="5" t="inlineStr">
        <is>
          <t>Sales</t>
        </is>
      </c>
      <c r="G1016" s="5" t="inlineStr">
        <is>
          <t>Sales Executive</t>
        </is>
      </c>
      <c r="H1016" s="5" t="inlineStr">
        <is>
          <t>6</t>
        </is>
      </c>
      <c r="I1016" s="5" t="inlineStr">
        <is>
          <t>Remote</t>
        </is>
      </c>
      <c r="J1016" s="5" t="inlineStr">
        <is>
          <t>Full-Time</t>
        </is>
      </c>
      <c r="K1016" s="7" t="n">
        <v>44314</v>
      </c>
      <c r="L1016" s="7" t="inlineStr"/>
      <c r="M1016" s="5" t="inlineStr">
        <is>
          <t>Yes</t>
        </is>
      </c>
      <c r="N1016" s="5" t="inlineStr"/>
      <c r="O1016" s="8" t="inlineStr">
        <is>
          <t>148500</t>
        </is>
      </c>
      <c r="P1016" s="5" t="inlineStr">
        <is>
          <t>0</t>
        </is>
      </c>
      <c r="Q1016" s="5" t="inlineStr">
        <is>
          <t>2</t>
        </is>
      </c>
      <c r="R1016" s="5" t="inlineStr">
        <is>
          <t>6</t>
        </is>
      </c>
      <c r="S1016" s="5" t="inlineStr">
        <is>
          <t>56</t>
        </is>
      </c>
      <c r="T1016" s="5" t="inlineStr">
        <is>
          <t>1</t>
        </is>
      </c>
      <c r="U1016" s="5" t="inlineStr">
        <is>
          <t>OK</t>
        </is>
      </c>
    </row>
    <row r="1017">
      <c r="A1017" s="5" t="inlineStr">
        <is>
          <t>E01767</t>
        </is>
      </c>
      <c r="B1017" s="5" t="inlineStr">
        <is>
          <t>Male</t>
        </is>
      </c>
      <c r="C1017" s="6" t="inlineStr">
        <is>
          <t>28</t>
        </is>
      </c>
      <c r="D1017" s="5" t="inlineStr">
        <is>
          <t>Married</t>
        </is>
      </c>
      <c r="E1017" s="5" t="inlineStr">
        <is>
          <t>Master</t>
        </is>
      </c>
      <c r="F1017" s="5" t="inlineStr">
        <is>
          <t>Finance</t>
        </is>
      </c>
      <c r="G1017" s="5" t="inlineStr">
        <is>
          <t>Credit Analyst</t>
        </is>
      </c>
      <c r="H1017" s="5" t="inlineStr">
        <is>
          <t>2</t>
        </is>
      </c>
      <c r="I1017" s="5" t="inlineStr">
        <is>
          <t>Bengaluru</t>
        </is>
      </c>
      <c r="J1017" s="5" t="inlineStr">
        <is>
          <t>Full-Time</t>
        </is>
      </c>
      <c r="K1017" s="7" t="n">
        <v>44054</v>
      </c>
      <c r="L1017" s="7" t="inlineStr"/>
      <c r="M1017" s="5" t="inlineStr">
        <is>
          <t>Yes</t>
        </is>
      </c>
      <c r="N1017" s="5" t="inlineStr"/>
      <c r="O1017" s="8" t="inlineStr">
        <is>
          <t>103000</t>
        </is>
      </c>
      <c r="P1017" s="5" t="inlineStr">
        <is>
          <t>0</t>
        </is>
      </c>
      <c r="Q1017" s="5" t="inlineStr">
        <is>
          <t>1</t>
        </is>
      </c>
      <c r="R1017" s="5" t="inlineStr">
        <is>
          <t>7</t>
        </is>
      </c>
      <c r="S1017" s="5" t="inlineStr">
        <is>
          <t>65</t>
        </is>
      </c>
      <c r="T1017" s="5" t="inlineStr">
        <is>
          <t>7</t>
        </is>
      </c>
      <c r="U1017" s="5" t="inlineStr">
        <is>
          <t>OK</t>
        </is>
      </c>
    </row>
    <row r="1018">
      <c r="A1018" s="5" t="inlineStr">
        <is>
          <t>E01275</t>
        </is>
      </c>
      <c r="B1018" s="5" t="inlineStr">
        <is>
          <t>Male</t>
        </is>
      </c>
      <c r="C1018" s="6" t="inlineStr">
        <is>
          <t>23</t>
        </is>
      </c>
      <c r="D1018" s="5" t="inlineStr">
        <is>
          <t>Married</t>
        </is>
      </c>
      <c r="E1018" s="5" t="inlineStr">
        <is>
          <t>High School</t>
        </is>
      </c>
      <c r="F1018" s="5" t="inlineStr">
        <is>
          <t>Sales</t>
        </is>
      </c>
      <c r="G1018" s="5" t="inlineStr">
        <is>
          <t>Business Development</t>
        </is>
      </c>
      <c r="H1018" s="5" t="inlineStr">
        <is>
          <t>1</t>
        </is>
      </c>
      <c r="I1018" s="5" t="inlineStr">
        <is>
          <t>Mumbai</t>
        </is>
      </c>
      <c r="J1018" s="5" t="inlineStr">
        <is>
          <t>Full-Time</t>
        </is>
      </c>
      <c r="K1018" s="7" t="n">
        <v>45175</v>
      </c>
      <c r="L1018" s="7" t="inlineStr"/>
      <c r="M1018" s="5" t="inlineStr">
        <is>
          <t>Yes</t>
        </is>
      </c>
      <c r="N1018" s="5" t="inlineStr"/>
      <c r="O1018" s="8" t="inlineStr">
        <is>
          <t>69500</t>
        </is>
      </c>
      <c r="P1018" s="5" t="inlineStr">
        <is>
          <t>15</t>
        </is>
      </c>
      <c r="Q1018" s="5" t="inlineStr">
        <is>
          <t>3</t>
        </is>
      </c>
      <c r="R1018" s="5" t="inlineStr">
        <is>
          <t>7</t>
        </is>
      </c>
      <c r="S1018" s="5" t="inlineStr">
        <is>
          <t>28</t>
        </is>
      </c>
      <c r="T1018" s="5" t="inlineStr">
        <is>
          <t>7</t>
        </is>
      </c>
      <c r="U1018" s="5" t="inlineStr">
        <is>
          <t>OK</t>
        </is>
      </c>
    </row>
    <row r="1019">
      <c r="A1019" s="5" t="inlineStr">
        <is>
          <t>E00378</t>
        </is>
      </c>
      <c r="B1019" s="5" t="inlineStr">
        <is>
          <t>Female</t>
        </is>
      </c>
      <c r="C1019" s="6" t="inlineStr">
        <is>
          <t>37</t>
        </is>
      </c>
      <c r="D1019" s="5" t="inlineStr">
        <is>
          <t>Married</t>
        </is>
      </c>
      <c r="E1019" s="5" t="inlineStr">
        <is>
          <t>Diploma</t>
        </is>
      </c>
      <c r="F1019" s="5" t="inlineStr">
        <is>
          <t>Marketing</t>
        </is>
      </c>
      <c r="G1019" s="5" t="inlineStr">
        <is>
          <t>SEO Specialist</t>
        </is>
      </c>
      <c r="H1019" s="5" t="inlineStr">
        <is>
          <t>3</t>
        </is>
      </c>
      <c r="I1019" s="5" t="inlineStr">
        <is>
          <t>Hyderabad</t>
        </is>
      </c>
      <c r="J1019" s="5" t="inlineStr">
        <is>
          <t>Full-Time</t>
        </is>
      </c>
      <c r="K1019" s="7" t="n">
        <v>43927</v>
      </c>
      <c r="L1019" s="7" t="inlineStr"/>
      <c r="M1019" s="5" t="inlineStr">
        <is>
          <t>Yes</t>
        </is>
      </c>
      <c r="N1019" s="5" t="inlineStr"/>
      <c r="O1019" s="8" t="inlineStr">
        <is>
          <t>86500</t>
        </is>
      </c>
      <c r="P1019" s="5" t="inlineStr">
        <is>
          <t>5</t>
        </is>
      </c>
      <c r="Q1019" s="5" t="inlineStr">
        <is>
          <t>5</t>
        </is>
      </c>
      <c r="R1019" s="5" t="inlineStr">
        <is>
          <t>4</t>
        </is>
      </c>
      <c r="S1019" s="5" t="inlineStr">
        <is>
          <t>69</t>
        </is>
      </c>
      <c r="T1019" s="5" t="inlineStr">
        <is>
          <t>0</t>
        </is>
      </c>
      <c r="U1019" s="5" t="inlineStr">
        <is>
          <t>OK</t>
        </is>
      </c>
    </row>
    <row r="1020">
      <c r="A1020" s="5" t="inlineStr">
        <is>
          <t>E01698</t>
        </is>
      </c>
      <c r="B1020" s="5" t="inlineStr">
        <is>
          <t>Female</t>
        </is>
      </c>
      <c r="C1020" s="6" t="inlineStr">
        <is>
          <t>33</t>
        </is>
      </c>
      <c r="D1020" s="5" t="inlineStr">
        <is>
          <t>Married</t>
        </is>
      </c>
      <c r="E1020" s="5" t="inlineStr">
        <is>
          <t>Diploma</t>
        </is>
      </c>
      <c r="F1020" s="5" t="inlineStr">
        <is>
          <t>Customer Support</t>
        </is>
      </c>
      <c r="G1020" s="5" t="inlineStr">
        <is>
          <t>Support Lead</t>
        </is>
      </c>
      <c r="H1020" s="5" t="inlineStr">
        <is>
          <t>1</t>
        </is>
      </c>
      <c r="I1020" s="5" t="inlineStr">
        <is>
          <t>Mumbai</t>
        </is>
      </c>
      <c r="J1020" s="5" t="inlineStr">
        <is>
          <t>Full-Time</t>
        </is>
      </c>
      <c r="K1020" s="7" t="n">
        <v>44207</v>
      </c>
      <c r="L1020" s="7" t="n">
        <v>44333</v>
      </c>
      <c r="M1020" s="5" t="inlineStr">
        <is>
          <t>No</t>
        </is>
      </c>
      <c r="N1020" s="5" t="inlineStr">
        <is>
          <t>Resigned</t>
        </is>
      </c>
      <c r="O1020" s="8" t="inlineStr">
        <is>
          <t>71500</t>
        </is>
      </c>
      <c r="P1020" s="5" t="inlineStr">
        <is>
          <t>0</t>
        </is>
      </c>
      <c r="Q1020" s="5" t="inlineStr">
        <is>
          <t>3</t>
        </is>
      </c>
      <c r="R1020" s="5" t="inlineStr">
        <is>
          <t>5</t>
        </is>
      </c>
      <c r="S1020" s="5" t="inlineStr">
        <is>
          <t>4</t>
        </is>
      </c>
      <c r="T1020" s="5" t="inlineStr">
        <is>
          <t>15</t>
        </is>
      </c>
      <c r="U1020" s="5" t="inlineStr">
        <is>
          <t>OK</t>
        </is>
      </c>
    </row>
    <row r="1021">
      <c r="A1021" s="5" t="inlineStr">
        <is>
          <t>E01498</t>
        </is>
      </c>
      <c r="B1021" s="5" t="inlineStr">
        <is>
          <t>female</t>
        </is>
      </c>
      <c r="C1021" s="6" t="inlineStr">
        <is>
          <t>35</t>
        </is>
      </c>
      <c r="D1021" s="5" t="inlineStr">
        <is>
          <t>Married</t>
        </is>
      </c>
      <c r="E1021" s="5" t="inlineStr">
        <is>
          <t>High School</t>
        </is>
      </c>
      <c r="F1021" s="5" t="inlineStr">
        <is>
          <t>IT</t>
        </is>
      </c>
      <c r="G1021" s="5" t="inlineStr">
        <is>
          <t>IT Support</t>
        </is>
      </c>
      <c r="H1021" s="5" t="inlineStr">
        <is>
          <t>5</t>
        </is>
      </c>
      <c r="I1021" s="5" t="inlineStr">
        <is>
          <t>Remote</t>
        </is>
      </c>
      <c r="J1021" s="5" t="inlineStr">
        <is>
          <t>Full-Time</t>
        </is>
      </c>
      <c r="K1021" s="7" t="n">
        <v>45760</v>
      </c>
      <c r="L1021" s="7" t="inlineStr"/>
      <c r="M1021" s="5" t="inlineStr">
        <is>
          <t>Yes</t>
        </is>
      </c>
      <c r="N1021" s="5" t="inlineStr"/>
      <c r="O1021" s="8" t="inlineStr">
        <is>
          <t>156000</t>
        </is>
      </c>
      <c r="P1021" s="5" t="inlineStr">
        <is>
          <t>5</t>
        </is>
      </c>
      <c r="Q1021" s="5" t="inlineStr">
        <is>
          <t>2</t>
        </is>
      </c>
      <c r="R1021" s="5" t="inlineStr">
        <is>
          <t>5</t>
        </is>
      </c>
      <c r="S1021" s="5" t="inlineStr">
        <is>
          <t>8</t>
        </is>
      </c>
      <c r="T1021" s="5" t="inlineStr">
        <is>
          <t>15</t>
        </is>
      </c>
      <c r="U1021" s="5" t="inlineStr">
        <is>
          <t>OK</t>
        </is>
      </c>
    </row>
    <row r="1022">
      <c r="A1022" s="5" t="inlineStr">
        <is>
          <t>E01176</t>
        </is>
      </c>
      <c r="B1022" s="5" t="inlineStr">
        <is>
          <t>Male</t>
        </is>
      </c>
      <c r="C1022" s="6" t="inlineStr">
        <is>
          <t>32</t>
        </is>
      </c>
      <c r="D1022" s="5" t="inlineStr">
        <is>
          <t>Single</t>
        </is>
      </c>
      <c r="E1022" s="5" t="inlineStr">
        <is>
          <t>PhD</t>
        </is>
      </c>
      <c r="F1022" s="5" t="inlineStr">
        <is>
          <t>Marketing</t>
        </is>
      </c>
      <c r="G1022" s="5" t="inlineStr">
        <is>
          <t>Marketing Analyst</t>
        </is>
      </c>
      <c r="H1022" s="5" t="inlineStr">
        <is>
          <t>5</t>
        </is>
      </c>
      <c r="I1022" s="5" t="inlineStr">
        <is>
          <t>Mumbai</t>
        </is>
      </c>
      <c r="J1022" s="5" t="inlineStr">
        <is>
          <t>Full-Time</t>
        </is>
      </c>
      <c r="K1022" s="7" t="n">
        <v>44890</v>
      </c>
      <c r="L1022" s="7" t="inlineStr"/>
      <c r="M1022" s="5" t="inlineStr">
        <is>
          <t>Yes</t>
        </is>
      </c>
      <c r="N1022" s="5" t="inlineStr"/>
      <c r="O1022" s="8" t="inlineStr">
        <is>
          <t>81000</t>
        </is>
      </c>
      <c r="P1022" s="5" t="inlineStr">
        <is>
          <t>15</t>
        </is>
      </c>
      <c r="Q1022" s="5" t="inlineStr">
        <is>
          <t>3</t>
        </is>
      </c>
      <c r="R1022" s="5" t="inlineStr">
        <is>
          <t>7</t>
        </is>
      </c>
      <c r="S1022" s="5" t="inlineStr">
        <is>
          <t>37</t>
        </is>
      </c>
      <c r="T1022" s="5" t="inlineStr">
        <is>
          <t>8</t>
        </is>
      </c>
      <c r="U1022" s="5" t="inlineStr">
        <is>
          <t>OK</t>
        </is>
      </c>
    </row>
    <row r="1023">
      <c r="A1023" s="5" t="inlineStr">
        <is>
          <t>E01719</t>
        </is>
      </c>
      <c r="B1023" s="5" t="inlineStr">
        <is>
          <t>Male</t>
        </is>
      </c>
      <c r="C1023" s="6" t="inlineStr">
        <is>
          <t>32</t>
        </is>
      </c>
      <c r="D1023" s="5" t="inlineStr">
        <is>
          <t>Married</t>
        </is>
      </c>
      <c r="E1023" s="5" t="inlineStr">
        <is>
          <t>Diploma</t>
        </is>
      </c>
      <c r="F1023" s="5" t="inlineStr">
        <is>
          <t>Sales</t>
        </is>
      </c>
      <c r="G1023" s="5" t="inlineStr">
        <is>
          <t>Business Development</t>
        </is>
      </c>
      <c r="H1023" s="5" t="inlineStr">
        <is>
          <t>1</t>
        </is>
      </c>
      <c r="I1023" s="5" t="inlineStr">
        <is>
          <t>Bengaluru</t>
        </is>
      </c>
      <c r="J1023" s="5" t="inlineStr">
        <is>
          <t>Full-Time</t>
        </is>
      </c>
      <c r="K1023" s="7" t="n">
        <v>45692</v>
      </c>
      <c r="L1023" s="7" t="inlineStr"/>
      <c r="M1023" s="5" t="inlineStr">
        <is>
          <t>Yes</t>
        </is>
      </c>
      <c r="N1023" s="5" t="inlineStr"/>
      <c r="O1023" s="8" t="inlineStr">
        <is>
          <t>100000</t>
        </is>
      </c>
      <c r="P1023" s="5" t="inlineStr">
        <is>
          <t>0</t>
        </is>
      </c>
      <c r="Q1023" s="5" t="inlineStr">
        <is>
          <t>4</t>
        </is>
      </c>
      <c r="R1023" s="5" t="inlineStr">
        <is>
          <t>7</t>
        </is>
      </c>
      <c r="S1023" s="5" t="inlineStr">
        <is>
          <t>11</t>
        </is>
      </c>
      <c r="T1023" s="5" t="inlineStr">
        <is>
          <t>0</t>
        </is>
      </c>
      <c r="U1023" s="5" t="inlineStr">
        <is>
          <t>OK</t>
        </is>
      </c>
    </row>
    <row r="1024">
      <c r="A1024" s="5" t="inlineStr">
        <is>
          <t>E02114</t>
        </is>
      </c>
      <c r="B1024" s="5" t="inlineStr">
        <is>
          <t>Female</t>
        </is>
      </c>
      <c r="C1024" s="6" t="inlineStr">
        <is>
          <t>40</t>
        </is>
      </c>
      <c r="D1024" s="5" t="inlineStr">
        <is>
          <t>Married</t>
        </is>
      </c>
      <c r="E1024" s="5" t="inlineStr">
        <is>
          <t>PhD</t>
        </is>
      </c>
      <c r="F1024" s="5" t="inlineStr">
        <is>
          <t>Research &amp; Development</t>
        </is>
      </c>
      <c r="G1024" s="5" t="inlineStr">
        <is>
          <t>Product Engineer</t>
        </is>
      </c>
      <c r="H1024" s="5" t="inlineStr">
        <is>
          <t>4</t>
        </is>
      </c>
      <c r="I1024" s="5" t="inlineStr">
        <is>
          <t>Mumbai</t>
        </is>
      </c>
      <c r="J1024" s="5" t="inlineStr">
        <is>
          <t>Full-Time</t>
        </is>
      </c>
      <c r="K1024" s="7" t="n">
        <v>45846</v>
      </c>
      <c r="L1024" s="7" t="inlineStr"/>
      <c r="M1024" s="5" t="inlineStr">
        <is>
          <t>Yes</t>
        </is>
      </c>
      <c r="N1024" s="5" t="inlineStr"/>
      <c r="O1024" s="8" t="inlineStr">
        <is>
          <t>170500</t>
        </is>
      </c>
      <c r="P1024" s="5" t="inlineStr">
        <is>
          <t>0</t>
        </is>
      </c>
      <c r="Q1024" s="5" t="inlineStr">
        <is>
          <t>3</t>
        </is>
      </c>
      <c r="R1024" s="5" t="inlineStr">
        <is>
          <t>6</t>
        </is>
      </c>
      <c r="S1024" s="5" t="inlineStr">
        <is>
          <t>5</t>
        </is>
      </c>
      <c r="T1024" s="5" t="inlineStr">
        <is>
          <t>9</t>
        </is>
      </c>
      <c r="U1024" s="5" t="inlineStr">
        <is>
          <t>OK</t>
        </is>
      </c>
    </row>
    <row r="1025">
      <c r="A1025" s="5" t="inlineStr">
        <is>
          <t>E00265</t>
        </is>
      </c>
      <c r="B1025" s="5" t="inlineStr">
        <is>
          <t>male</t>
        </is>
      </c>
      <c r="C1025" s="6" t="inlineStr">
        <is>
          <t>36</t>
        </is>
      </c>
      <c r="D1025" s="5" t="inlineStr">
        <is>
          <t>Married</t>
        </is>
      </c>
      <c r="E1025" s="5" t="inlineStr">
        <is>
          <t>Bachelor</t>
        </is>
      </c>
      <c r="F1025" s="5" t="inlineStr">
        <is>
          <t>Human Resources</t>
        </is>
      </c>
      <c r="G1025" s="5" t="inlineStr">
        <is>
          <t>Recruiter</t>
        </is>
      </c>
      <c r="H1025" s="5" t="inlineStr">
        <is>
          <t>6</t>
        </is>
      </c>
      <c r="I1025" s="5" t="inlineStr">
        <is>
          <t>Chennai</t>
        </is>
      </c>
      <c r="J1025" s="5" t="inlineStr">
        <is>
          <t>Full-Time</t>
        </is>
      </c>
      <c r="K1025" s="7" t="n">
        <v>45533</v>
      </c>
      <c r="L1025" s="7" t="inlineStr"/>
      <c r="M1025" s="5" t="inlineStr">
        <is>
          <t>Yes</t>
        </is>
      </c>
      <c r="N1025" s="5" t="inlineStr"/>
      <c r="O1025" s="8" t="inlineStr">
        <is>
          <t>99500</t>
        </is>
      </c>
      <c r="P1025" s="5" t="inlineStr">
        <is>
          <t>5</t>
        </is>
      </c>
      <c r="Q1025" s="5" t="inlineStr">
        <is>
          <t>3</t>
        </is>
      </c>
      <c r="R1025" s="5" t="inlineStr">
        <is>
          <t>5</t>
        </is>
      </c>
      <c r="S1025" s="5" t="inlineStr">
        <is>
          <t>16</t>
        </is>
      </c>
      <c r="T1025" s="5" t="inlineStr">
        <is>
          <t>13</t>
        </is>
      </c>
      <c r="U1025" s="5" t="inlineStr">
        <is>
          <t>OK</t>
        </is>
      </c>
    </row>
    <row r="1026">
      <c r="A1026" s="5" t="inlineStr">
        <is>
          <t>E00203</t>
        </is>
      </c>
      <c r="B1026" s="5" t="inlineStr">
        <is>
          <t>Male</t>
        </is>
      </c>
      <c r="C1026" s="6" t="inlineStr">
        <is>
          <t>40</t>
        </is>
      </c>
      <c r="D1026" s="5" t="inlineStr">
        <is>
          <t>Married</t>
        </is>
      </c>
      <c r="E1026" s="5" t="inlineStr">
        <is>
          <t>High School</t>
        </is>
      </c>
      <c r="F1026" s="5" t="inlineStr">
        <is>
          <t>IT</t>
        </is>
      </c>
      <c r="G1026" s="5" t="inlineStr">
        <is>
          <t>DevOps Engineer</t>
        </is>
      </c>
      <c r="H1026" s="5" t="inlineStr">
        <is>
          <t>5</t>
        </is>
      </c>
      <c r="I1026" s="5" t="inlineStr">
        <is>
          <t>Mumbai</t>
        </is>
      </c>
      <c r="J1026" s="5" t="inlineStr">
        <is>
          <t>Full-Time</t>
        </is>
      </c>
      <c r="K1026" s="7" t="n">
        <v>44370</v>
      </c>
      <c r="L1026" s="7" t="inlineStr"/>
      <c r="M1026" s="5" t="inlineStr">
        <is>
          <t>Yes</t>
        </is>
      </c>
      <c r="N1026" s="5" t="inlineStr"/>
      <c r="O1026" s="8" t="inlineStr">
        <is>
          <t>190000</t>
        </is>
      </c>
      <c r="P1026" s="5" t="inlineStr">
        <is>
          <t>0</t>
        </is>
      </c>
      <c r="Q1026" s="5" t="inlineStr">
        <is>
          <t>3</t>
        </is>
      </c>
      <c r="R1026" s="5" t="inlineStr">
        <is>
          <t>6</t>
        </is>
      </c>
      <c r="S1026" s="5" t="inlineStr">
        <is>
          <t>55</t>
        </is>
      </c>
      <c r="T1026" s="5" t="inlineStr">
        <is>
          <t>4</t>
        </is>
      </c>
      <c r="U1026" s="5" t="inlineStr">
        <is>
          <t>OK</t>
        </is>
      </c>
    </row>
    <row r="1027">
      <c r="A1027" s="5" t="inlineStr">
        <is>
          <t>E00422</t>
        </is>
      </c>
      <c r="B1027" s="5" t="inlineStr">
        <is>
          <t>Female</t>
        </is>
      </c>
      <c r="C1027" s="6" t="inlineStr">
        <is>
          <t>34</t>
        </is>
      </c>
      <c r="D1027" s="5" t="inlineStr">
        <is>
          <t>Married</t>
        </is>
      </c>
      <c r="E1027" s="5" t="inlineStr">
        <is>
          <t>Diploma</t>
        </is>
      </c>
      <c r="F1027" s="5" t="inlineStr">
        <is>
          <t>Human Resources</t>
        </is>
      </c>
      <c r="G1027" s="5" t="inlineStr">
        <is>
          <t>HR Generalist</t>
        </is>
      </c>
      <c r="H1027" s="5" t="inlineStr">
        <is>
          <t>4</t>
        </is>
      </c>
      <c r="I1027" s="5" t="inlineStr">
        <is>
          <t>Remote</t>
        </is>
      </c>
      <c r="J1027" s="5" t="inlineStr">
        <is>
          <t>Full-Time</t>
        </is>
      </c>
      <c r="K1027" s="7" t="n">
        <v>44107</v>
      </c>
      <c r="L1027" s="7" t="inlineStr"/>
      <c r="M1027" s="5" t="inlineStr">
        <is>
          <t>Yes</t>
        </is>
      </c>
      <c r="N1027" s="5" t="inlineStr"/>
      <c r="O1027" s="8" t="inlineStr">
        <is>
          <t>136500</t>
        </is>
      </c>
      <c r="P1027" s="5" t="inlineStr">
        <is>
          <t>0</t>
        </is>
      </c>
      <c r="Q1027" s="5" t="inlineStr">
        <is>
          <t>4</t>
        </is>
      </c>
      <c r="R1027" s="5" t="inlineStr">
        <is>
          <t>5</t>
        </is>
      </c>
      <c r="S1027" s="5" t="inlineStr">
        <is>
          <t>63</t>
        </is>
      </c>
      <c r="T1027" s="5" t="inlineStr">
        <is>
          <t>0</t>
        </is>
      </c>
      <c r="U1027" s="5" t="inlineStr">
        <is>
          <t>OK</t>
        </is>
      </c>
    </row>
    <row r="1028">
      <c r="A1028" s="5" t="inlineStr">
        <is>
          <t>E01682</t>
        </is>
      </c>
      <c r="B1028" s="5" t="inlineStr">
        <is>
          <t>Female</t>
        </is>
      </c>
      <c r="C1028" s="6" t="inlineStr">
        <is>
          <t>43</t>
        </is>
      </c>
      <c r="D1028" s="5" t="inlineStr">
        <is>
          <t>Married</t>
        </is>
      </c>
      <c r="E1028" s="5" t="inlineStr">
        <is>
          <t>Diploma</t>
        </is>
      </c>
      <c r="F1028" s="5" t="inlineStr">
        <is>
          <t>Research &amp; Development</t>
        </is>
      </c>
      <c r="G1028" s="5" t="inlineStr">
        <is>
          <t>Research Scientist</t>
        </is>
      </c>
      <c r="H1028" s="5" t="inlineStr">
        <is>
          <t>6</t>
        </is>
      </c>
      <c r="I1028" s="5" t="inlineStr">
        <is>
          <t>Chennai</t>
        </is>
      </c>
      <c r="J1028" s="5" t="inlineStr">
        <is>
          <t>Full-Time</t>
        </is>
      </c>
      <c r="K1028" s="7" t="n">
        <v>43976</v>
      </c>
      <c r="L1028" s="7" t="inlineStr"/>
      <c r="M1028" s="5" t="inlineStr">
        <is>
          <t>Yes</t>
        </is>
      </c>
      <c r="N1028" s="5" t="inlineStr"/>
      <c r="O1028" s="8" t="inlineStr"/>
      <c r="P1028" s="5" t="inlineStr">
        <is>
          <t>15</t>
        </is>
      </c>
      <c r="Q1028" s="5" t="inlineStr">
        <is>
          <t>3</t>
        </is>
      </c>
      <c r="R1028" s="5" t="inlineStr">
        <is>
          <t>4</t>
        </is>
      </c>
      <c r="S1028" s="5" t="inlineStr">
        <is>
          <t>68</t>
        </is>
      </c>
      <c r="T1028" s="5" t="inlineStr">
        <is>
          <t>2</t>
        </is>
      </c>
      <c r="U1028" s="5" t="inlineStr">
        <is>
          <t>Blank salary</t>
        </is>
      </c>
    </row>
    <row r="1029">
      <c r="A1029" s="5" t="inlineStr">
        <is>
          <t>E01838</t>
        </is>
      </c>
      <c r="B1029" s="5" t="inlineStr">
        <is>
          <t>Female</t>
        </is>
      </c>
      <c r="C1029" s="6" t="inlineStr">
        <is>
          <t>27</t>
        </is>
      </c>
      <c r="D1029" s="5" t="inlineStr">
        <is>
          <t>Married</t>
        </is>
      </c>
      <c r="E1029" s="5" t="inlineStr">
        <is>
          <t>High School</t>
        </is>
      </c>
      <c r="F1029" s="5" t="inlineStr">
        <is>
          <t>IT</t>
        </is>
      </c>
      <c r="G1029" s="5" t="inlineStr">
        <is>
          <t>Data Analyst</t>
        </is>
      </c>
      <c r="H1029" s="5" t="inlineStr">
        <is>
          <t>2</t>
        </is>
      </c>
      <c r="I1029" s="5" t="inlineStr">
        <is>
          <t>Hyderabad</t>
        </is>
      </c>
      <c r="J1029" s="5" t="inlineStr">
        <is>
          <t>Full-Time</t>
        </is>
      </c>
      <c r="K1029" s="7" t="n">
        <v>44274</v>
      </c>
      <c r="L1029" s="7" t="inlineStr"/>
      <c r="M1029" s="5" t="inlineStr">
        <is>
          <t>Yes</t>
        </is>
      </c>
      <c r="N1029" s="5" t="inlineStr"/>
      <c r="O1029" s="8" t="inlineStr">
        <is>
          <t>148500</t>
        </is>
      </c>
      <c r="P1029" s="5" t="inlineStr">
        <is>
          <t>5</t>
        </is>
      </c>
      <c r="Q1029" s="5" t="inlineStr">
        <is>
          <t>1</t>
        </is>
      </c>
      <c r="R1029" s="5" t="inlineStr">
        <is>
          <t>6</t>
        </is>
      </c>
      <c r="S1029" s="5" t="inlineStr">
        <is>
          <t>58</t>
        </is>
      </c>
      <c r="T1029" s="5" t="inlineStr">
        <is>
          <t>0</t>
        </is>
      </c>
      <c r="U1029" s="5" t="inlineStr">
        <is>
          <t>OK</t>
        </is>
      </c>
    </row>
    <row r="1030">
      <c r="A1030" s="5" t="inlineStr">
        <is>
          <t>E00103</t>
        </is>
      </c>
      <c r="B1030" s="5" t="inlineStr">
        <is>
          <t>Male</t>
        </is>
      </c>
      <c r="C1030" s="6" t="inlineStr">
        <is>
          <t>38</t>
        </is>
      </c>
      <c r="D1030" s="5" t="inlineStr">
        <is>
          <t>Single</t>
        </is>
      </c>
      <c r="E1030" s="5" t="inlineStr">
        <is>
          <t>PhD</t>
        </is>
      </c>
      <c r="F1030" s="5" t="inlineStr">
        <is>
          <t>Customer Support</t>
        </is>
      </c>
      <c r="G1030" s="5" t="inlineStr">
        <is>
          <t>Escalation Specialist</t>
        </is>
      </c>
      <c r="H1030" s="5" t="inlineStr">
        <is>
          <t>5</t>
        </is>
      </c>
      <c r="I1030" s="5" t="inlineStr">
        <is>
          <t>Delhi</t>
        </is>
      </c>
      <c r="J1030" s="5" t="inlineStr">
        <is>
          <t>Full-Time</t>
        </is>
      </c>
      <c r="K1030" s="7" t="n">
        <v>44214</v>
      </c>
      <c r="L1030" s="7" t="inlineStr"/>
      <c r="M1030" s="5" t="inlineStr">
        <is>
          <t>Yes</t>
        </is>
      </c>
      <c r="N1030" s="5" t="inlineStr"/>
      <c r="O1030" s="8" t="inlineStr">
        <is>
          <t>74500</t>
        </is>
      </c>
      <c r="P1030" s="5" t="inlineStr">
        <is>
          <t>10</t>
        </is>
      </c>
      <c r="Q1030" s="5" t="inlineStr">
        <is>
          <t>4</t>
        </is>
      </c>
      <c r="R1030" s="5" t="inlineStr">
        <is>
          <t>8</t>
        </is>
      </c>
      <c r="S1030" s="5" t="inlineStr">
        <is>
          <t>60</t>
        </is>
      </c>
      <c r="T1030" s="5" t="inlineStr">
        <is>
          <t>0</t>
        </is>
      </c>
      <c r="U1030" s="5" t="inlineStr">
        <is>
          <t>OK</t>
        </is>
      </c>
    </row>
    <row r="1031">
      <c r="A1031" s="5" t="inlineStr">
        <is>
          <t>E02639</t>
        </is>
      </c>
      <c r="B1031" s="5" t="inlineStr">
        <is>
          <t>Female</t>
        </is>
      </c>
      <c r="C1031" s="6" t="inlineStr">
        <is>
          <t>30</t>
        </is>
      </c>
      <c r="D1031" s="5" t="inlineStr">
        <is>
          <t>Married</t>
        </is>
      </c>
      <c r="E1031" s="5" t="inlineStr">
        <is>
          <t>Bachelor</t>
        </is>
      </c>
      <c r="F1031" s="5" t="inlineStr">
        <is>
          <t>Human Resources</t>
        </is>
      </c>
      <c r="G1031" s="5" t="inlineStr">
        <is>
          <t>HR Generalist</t>
        </is>
      </c>
      <c r="H1031" s="5" t="inlineStr">
        <is>
          <t>4</t>
        </is>
      </c>
      <c r="I1031" s="5" t="inlineStr">
        <is>
          <t>Delhi</t>
        </is>
      </c>
      <c r="J1031" s="5" t="inlineStr">
        <is>
          <t>Full-Time</t>
        </is>
      </c>
      <c r="K1031" s="7" t="n">
        <v>45253</v>
      </c>
      <c r="L1031" s="7" t="inlineStr"/>
      <c r="M1031" s="5" t="inlineStr">
        <is>
          <t>Yes</t>
        </is>
      </c>
      <c r="N1031" s="5" t="inlineStr"/>
      <c r="O1031" s="8" t="inlineStr">
        <is>
          <t>85500</t>
        </is>
      </c>
      <c r="P1031" s="5" t="inlineStr">
        <is>
          <t>0</t>
        </is>
      </c>
      <c r="Q1031" s="5" t="inlineStr">
        <is>
          <t>3</t>
        </is>
      </c>
      <c r="R1031" s="5" t="inlineStr">
        <is>
          <t>10</t>
        </is>
      </c>
      <c r="S1031" s="5" t="inlineStr">
        <is>
          <t>25</t>
        </is>
      </c>
      <c r="T1031" s="5" t="inlineStr">
        <is>
          <t>0</t>
        </is>
      </c>
      <c r="U1031" s="5" t="inlineStr">
        <is>
          <t>OK</t>
        </is>
      </c>
    </row>
    <row r="1032">
      <c r="A1032" s="5" t="inlineStr">
        <is>
          <t>E01033</t>
        </is>
      </c>
      <c r="B1032" s="5" t="inlineStr">
        <is>
          <t>female</t>
        </is>
      </c>
      <c r="C1032" s="6" t="inlineStr">
        <is>
          <t>28</t>
        </is>
      </c>
      <c r="D1032" s="5" t="inlineStr">
        <is>
          <t>Single</t>
        </is>
      </c>
      <c r="E1032" s="5" t="inlineStr">
        <is>
          <t>PhD</t>
        </is>
      </c>
      <c r="F1032" s="5" t="inlineStr">
        <is>
          <t>Operations</t>
        </is>
      </c>
      <c r="G1032" s="5" t="inlineStr">
        <is>
          <t>Quality Analyst</t>
        </is>
      </c>
      <c r="H1032" s="5" t="inlineStr">
        <is>
          <t>1</t>
        </is>
      </c>
      <c r="I1032" s="5" t="inlineStr">
        <is>
          <t>Bengaluru</t>
        </is>
      </c>
      <c r="J1032" s="5" t="inlineStr">
        <is>
          <t>Full-Time</t>
        </is>
      </c>
      <c r="K1032" s="7" t="n">
        <v>45784</v>
      </c>
      <c r="L1032" s="7" t="inlineStr"/>
      <c r="M1032" s="5" t="inlineStr">
        <is>
          <t>Yes</t>
        </is>
      </c>
      <c r="N1032" s="5" t="inlineStr"/>
      <c r="O1032" s="8" t="inlineStr">
        <is>
          <t>87500</t>
        </is>
      </c>
      <c r="P1032" s="5" t="inlineStr">
        <is>
          <t>0</t>
        </is>
      </c>
      <c r="Q1032" s="5" t="inlineStr">
        <is>
          <t>2</t>
        </is>
      </c>
      <c r="R1032" s="5" t="inlineStr">
        <is>
          <t>4</t>
        </is>
      </c>
      <c r="S1032" s="5" t="inlineStr">
        <is>
          <t>7</t>
        </is>
      </c>
      <c r="T1032" s="5" t="inlineStr">
        <is>
          <t>9</t>
        </is>
      </c>
      <c r="U1032" s="5" t="inlineStr">
        <is>
          <t>OK</t>
        </is>
      </c>
    </row>
    <row r="1033">
      <c r="A1033" s="5" t="inlineStr">
        <is>
          <t>E01991</t>
        </is>
      </c>
      <c r="B1033" s="5" t="inlineStr">
        <is>
          <t>Male</t>
        </is>
      </c>
      <c r="C1033" s="6" t="inlineStr">
        <is>
          <t>36</t>
        </is>
      </c>
      <c r="D1033" s="5" t="inlineStr">
        <is>
          <t>Married</t>
        </is>
      </c>
      <c r="E1033" s="5" t="inlineStr">
        <is>
          <t>High School</t>
        </is>
      </c>
      <c r="F1033" s="5" t="inlineStr">
        <is>
          <t>Operations</t>
        </is>
      </c>
      <c r="G1033" s="5" t="inlineStr">
        <is>
          <t>Quality Analyst</t>
        </is>
      </c>
      <c r="H1033" s="5" t="inlineStr">
        <is>
          <t>6</t>
        </is>
      </c>
      <c r="I1033" s="5" t="inlineStr">
        <is>
          <t>Mumbai</t>
        </is>
      </c>
      <c r="J1033" s="5" t="inlineStr">
        <is>
          <t>Full-Time</t>
        </is>
      </c>
      <c r="K1033" s="7" t="n">
        <v>45614</v>
      </c>
      <c r="L1033" s="7" t="n">
        <v>45727</v>
      </c>
      <c r="M1033" s="5" t="inlineStr">
        <is>
          <t>No</t>
        </is>
      </c>
      <c r="N1033" s="5" t="inlineStr">
        <is>
          <t>Resigned</t>
        </is>
      </c>
      <c r="O1033" s="8" t="inlineStr">
        <is>
          <t>159000</t>
        </is>
      </c>
      <c r="P1033" s="5" t="inlineStr">
        <is>
          <t>0</t>
        </is>
      </c>
      <c r="Q1033" s="5" t="inlineStr">
        <is>
          <t>2</t>
        </is>
      </c>
      <c r="R1033" s="5" t="inlineStr">
        <is>
          <t>3</t>
        </is>
      </c>
      <c r="S1033" s="5" t="inlineStr">
        <is>
          <t>3</t>
        </is>
      </c>
      <c r="T1033" s="5" t="inlineStr">
        <is>
          <t>11</t>
        </is>
      </c>
      <c r="U1033" s="5" t="inlineStr">
        <is>
          <t>OK</t>
        </is>
      </c>
    </row>
    <row r="1034">
      <c r="A1034" s="5" t="inlineStr">
        <is>
          <t>E01643</t>
        </is>
      </c>
      <c r="B1034" s="5" t="inlineStr">
        <is>
          <t>Male</t>
        </is>
      </c>
      <c r="C1034" s="6" t="inlineStr">
        <is>
          <t>30</t>
        </is>
      </c>
      <c r="D1034" s="5" t="inlineStr">
        <is>
          <t>Married</t>
        </is>
      </c>
      <c r="E1034" s="5" t="inlineStr">
        <is>
          <t>PhD</t>
        </is>
      </c>
      <c r="F1034" s="5" t="inlineStr">
        <is>
          <t>Customer Support</t>
        </is>
      </c>
      <c r="G1034" s="5" t="inlineStr">
        <is>
          <t>Support Lead</t>
        </is>
      </c>
      <c r="H1034" s="5" t="inlineStr">
        <is>
          <t>4</t>
        </is>
      </c>
      <c r="I1034" s="5" t="inlineStr">
        <is>
          <t>Delhi</t>
        </is>
      </c>
      <c r="J1034" s="5" t="inlineStr">
        <is>
          <t>Full-Time</t>
        </is>
      </c>
      <c r="K1034" s="7" t="n">
        <v>45140</v>
      </c>
      <c r="L1034" s="7" t="inlineStr"/>
      <c r="M1034" s="5" t="inlineStr">
        <is>
          <t>Yes</t>
        </is>
      </c>
      <c r="N1034" s="5" t="inlineStr"/>
      <c r="O1034" s="8" t="inlineStr">
        <is>
          <t>96000</t>
        </is>
      </c>
      <c r="P1034" s="5" t="inlineStr">
        <is>
          <t>0</t>
        </is>
      </c>
      <c r="Q1034" s="5" t="inlineStr">
        <is>
          <t>3</t>
        </is>
      </c>
      <c r="R1034" s="5" t="inlineStr">
        <is>
          <t>4</t>
        </is>
      </c>
      <c r="S1034" s="5" t="inlineStr">
        <is>
          <t>29</t>
        </is>
      </c>
      <c r="T1034" s="5" t="inlineStr">
        <is>
          <t>0</t>
        </is>
      </c>
      <c r="U1034" s="5" t="inlineStr">
        <is>
          <t>OK</t>
        </is>
      </c>
    </row>
    <row r="1035">
      <c r="A1035" s="5" t="inlineStr">
        <is>
          <t>E01206</t>
        </is>
      </c>
      <c r="B1035" s="5" t="inlineStr">
        <is>
          <t>Female</t>
        </is>
      </c>
      <c r="C1035" s="6" t="inlineStr">
        <is>
          <t>33</t>
        </is>
      </c>
      <c r="D1035" s="5" t="inlineStr">
        <is>
          <t>Married</t>
        </is>
      </c>
      <c r="E1035" s="5" t="inlineStr">
        <is>
          <t>PhD</t>
        </is>
      </c>
      <c r="F1035" s="5" t="inlineStr">
        <is>
          <t>Human Resources</t>
        </is>
      </c>
      <c r="G1035" s="5" t="inlineStr">
        <is>
          <t>HR Analyst</t>
        </is>
      </c>
      <c r="H1035" s="5" t="inlineStr">
        <is>
          <t>1</t>
        </is>
      </c>
      <c r="I1035" s="5" t="inlineStr">
        <is>
          <t>Hyderabad</t>
        </is>
      </c>
      <c r="J1035" s="5" t="inlineStr">
        <is>
          <t>Part-Time</t>
        </is>
      </c>
      <c r="K1035" s="7" t="n">
        <v>45515</v>
      </c>
      <c r="L1035" s="7" t="inlineStr"/>
      <c r="M1035" s="5" t="inlineStr">
        <is>
          <t>Yes</t>
        </is>
      </c>
      <c r="N1035" s="5" t="inlineStr"/>
      <c r="O1035" s="8" t="inlineStr">
        <is>
          <t>88000</t>
        </is>
      </c>
      <c r="P1035" s="5" t="inlineStr">
        <is>
          <t>10</t>
        </is>
      </c>
      <c r="Q1035" s="5" t="inlineStr">
        <is>
          <t>4</t>
        </is>
      </c>
      <c r="R1035" s="5" t="inlineStr">
        <is>
          <t>7</t>
        </is>
      </c>
      <c r="S1035" s="5" t="inlineStr">
        <is>
          <t>16</t>
        </is>
      </c>
      <c r="T1035" s="5" t="inlineStr">
        <is>
          <t>1</t>
        </is>
      </c>
      <c r="U1035" s="5" t="inlineStr">
        <is>
          <t>OK</t>
        </is>
      </c>
    </row>
    <row r="1036">
      <c r="A1036" s="5" t="inlineStr">
        <is>
          <t>E02064</t>
        </is>
      </c>
      <c r="B1036" s="5" t="inlineStr">
        <is>
          <t>Female</t>
        </is>
      </c>
      <c r="C1036" s="6" t="inlineStr">
        <is>
          <t>26</t>
        </is>
      </c>
      <c r="D1036" s="5" t="inlineStr">
        <is>
          <t>Married</t>
        </is>
      </c>
      <c r="E1036" s="5" t="inlineStr">
        <is>
          <t>Diploma</t>
        </is>
      </c>
      <c r="F1036" s="5" t="inlineStr">
        <is>
          <t>Sales</t>
        </is>
      </c>
      <c r="G1036" s="5" t="inlineStr">
        <is>
          <t>Account Executive</t>
        </is>
      </c>
      <c r="H1036" s="5" t="inlineStr">
        <is>
          <t>1</t>
        </is>
      </c>
      <c r="I1036" s="5" t="inlineStr">
        <is>
          <t>Hyderabad</t>
        </is>
      </c>
      <c r="J1036" s="5" t="inlineStr">
        <is>
          <t>Full-Time</t>
        </is>
      </c>
      <c r="K1036" s="7" t="n">
        <v>45352</v>
      </c>
      <c r="L1036" s="7" t="n">
        <v>45409</v>
      </c>
      <c r="M1036" s="5" t="inlineStr">
        <is>
          <t>No</t>
        </is>
      </c>
      <c r="N1036" s="5" t="inlineStr">
        <is>
          <t>Resigned</t>
        </is>
      </c>
      <c r="O1036" s="8" t="inlineStr">
        <is>
          <t>103500</t>
        </is>
      </c>
      <c r="P1036" s="5" t="inlineStr">
        <is>
          <t>5</t>
        </is>
      </c>
      <c r="Q1036" s="5" t="inlineStr">
        <is>
          <t>5</t>
        </is>
      </c>
      <c r="R1036" s="5" t="inlineStr">
        <is>
          <t>6</t>
        </is>
      </c>
      <c r="S1036" s="5" t="inlineStr">
        <is>
          <t>1</t>
        </is>
      </c>
      <c r="T1036" s="5" t="inlineStr">
        <is>
          <t>7</t>
        </is>
      </c>
      <c r="U1036" s="5" t="inlineStr">
        <is>
          <t>OK</t>
        </is>
      </c>
    </row>
    <row r="1037">
      <c r="A1037" s="5" t="inlineStr">
        <is>
          <t>E01778</t>
        </is>
      </c>
      <c r="B1037" s="5" t="inlineStr">
        <is>
          <t>Unknown</t>
        </is>
      </c>
      <c r="C1037" s="6" t="inlineStr">
        <is>
          <t>32</t>
        </is>
      </c>
      <c r="D1037" s="5" t="inlineStr">
        <is>
          <t>Single</t>
        </is>
      </c>
      <c r="E1037" s="5" t="inlineStr">
        <is>
          <t>PhD</t>
        </is>
      </c>
      <c r="F1037" s="5" t="inlineStr">
        <is>
          <t>Operations</t>
        </is>
      </c>
      <c r="G1037" s="5" t="inlineStr">
        <is>
          <t>Logistics Coordinator</t>
        </is>
      </c>
      <c r="H1037" s="5" t="inlineStr">
        <is>
          <t>3</t>
        </is>
      </c>
      <c r="I1037" s="5" t="inlineStr">
        <is>
          <t>Remote</t>
        </is>
      </c>
      <c r="J1037" s="5" t="inlineStr">
        <is>
          <t>Part-Time</t>
        </is>
      </c>
      <c r="K1037" s="7" t="n">
        <v>44207</v>
      </c>
      <c r="L1037" s="7" t="inlineStr"/>
      <c r="M1037" s="5" t="inlineStr">
        <is>
          <t>Yes</t>
        </is>
      </c>
      <c r="N1037" s="5" t="inlineStr"/>
      <c r="O1037" s="8" t="inlineStr">
        <is>
          <t>78000</t>
        </is>
      </c>
      <c r="P1037" s="5" t="inlineStr">
        <is>
          <t>0</t>
        </is>
      </c>
      <c r="Q1037" s="5" t="inlineStr">
        <is>
          <t>4</t>
        </is>
      </c>
      <c r="R1037" s="5" t="inlineStr">
        <is>
          <t>3</t>
        </is>
      </c>
      <c r="S1037" s="5" t="inlineStr">
        <is>
          <t>60</t>
        </is>
      </c>
      <c r="T1037" s="5" t="inlineStr">
        <is>
          <t>9</t>
        </is>
      </c>
      <c r="U1037" s="5" t="inlineStr">
        <is>
          <t>Bad gender</t>
        </is>
      </c>
    </row>
    <row r="1038">
      <c r="A1038" s="5" t="inlineStr">
        <is>
          <t>E01626</t>
        </is>
      </c>
      <c r="B1038" s="5" t="inlineStr">
        <is>
          <t>female</t>
        </is>
      </c>
      <c r="C1038" s="6" t="inlineStr">
        <is>
          <t>27</t>
        </is>
      </c>
      <c r="D1038" s="5" t="inlineStr">
        <is>
          <t>Single</t>
        </is>
      </c>
      <c r="E1038" s="5" t="inlineStr">
        <is>
          <t>Bachelor</t>
        </is>
      </c>
      <c r="F1038" s="5" t="inlineStr">
        <is>
          <t>Finance</t>
        </is>
      </c>
      <c r="G1038" s="5" t="inlineStr">
        <is>
          <t>Financial Analyst</t>
        </is>
      </c>
      <c r="H1038" s="5" t="inlineStr">
        <is>
          <t>1</t>
        </is>
      </c>
      <c r="I1038" s="5" t="inlineStr">
        <is>
          <t>Remote</t>
        </is>
      </c>
      <c r="J1038" s="5" t="inlineStr">
        <is>
          <t>Full-Time</t>
        </is>
      </c>
      <c r="K1038" s="7" t="n">
        <v>44996</v>
      </c>
      <c r="L1038" s="7" t="inlineStr"/>
      <c r="M1038" s="5" t="inlineStr">
        <is>
          <t>Yes</t>
        </is>
      </c>
      <c r="N1038" s="5" t="inlineStr"/>
      <c r="O1038" s="8" t="inlineStr">
        <is>
          <t>76500</t>
        </is>
      </c>
      <c r="P1038" s="5" t="inlineStr">
        <is>
          <t>0</t>
        </is>
      </c>
      <c r="Q1038" s="5" t="inlineStr">
        <is>
          <t>2</t>
        </is>
      </c>
      <c r="R1038" s="5" t="inlineStr">
        <is>
          <t>4</t>
        </is>
      </c>
      <c r="S1038" s="5" t="inlineStr">
        <is>
          <t>34</t>
        </is>
      </c>
      <c r="T1038" s="5" t="inlineStr">
        <is>
          <t>2</t>
        </is>
      </c>
      <c r="U1038" s="5" t="inlineStr">
        <is>
          <t>OK</t>
        </is>
      </c>
    </row>
    <row r="1039">
      <c r="A1039" s="5" t="inlineStr">
        <is>
          <t>E01142</t>
        </is>
      </c>
      <c r="B1039" s="5" t="inlineStr">
        <is>
          <t>Female</t>
        </is>
      </c>
      <c r="C1039" s="6" t="inlineStr">
        <is>
          <t>38</t>
        </is>
      </c>
      <c r="D1039" s="5" t="inlineStr">
        <is>
          <t>Single</t>
        </is>
      </c>
      <c r="E1039" s="5" t="inlineStr">
        <is>
          <t>Bachelor</t>
        </is>
      </c>
      <c r="F1039" s="5" t="inlineStr">
        <is>
          <t>Customer Support</t>
        </is>
      </c>
      <c r="G1039" s="5" t="inlineStr">
        <is>
          <t>Support Agent</t>
        </is>
      </c>
      <c r="H1039" s="5" t="inlineStr">
        <is>
          <t>3</t>
        </is>
      </c>
      <c r="I1039" s="5" t="inlineStr">
        <is>
          <t>Bengaluru</t>
        </is>
      </c>
      <c r="J1039" s="5" t="inlineStr">
        <is>
          <t>Full-Time</t>
        </is>
      </c>
      <c r="K1039" s="7" t="n">
        <v>43878</v>
      </c>
      <c r="L1039" s="7" t="inlineStr"/>
      <c r="M1039" s="5" t="inlineStr">
        <is>
          <t>Yes</t>
        </is>
      </c>
      <c r="N1039" s="5" t="inlineStr"/>
      <c r="O1039" s="8" t="inlineStr">
        <is>
          <t>70500</t>
        </is>
      </c>
      <c r="P1039" s="5" t="inlineStr">
        <is>
          <t>5</t>
        </is>
      </c>
      <c r="Q1039" s="5" t="inlineStr">
        <is>
          <t>1</t>
        </is>
      </c>
      <c r="R1039" s="5" t="inlineStr">
        <is>
          <t>7</t>
        </is>
      </c>
      <c r="S1039" s="5" t="inlineStr">
        <is>
          <t>71</t>
        </is>
      </c>
      <c r="T1039" s="5" t="inlineStr">
        <is>
          <t>0</t>
        </is>
      </c>
      <c r="U1039" s="5" t="inlineStr">
        <is>
          <t>OK</t>
        </is>
      </c>
    </row>
    <row r="1040">
      <c r="A1040" s="5" t="inlineStr">
        <is>
          <t>E00483</t>
        </is>
      </c>
      <c r="B1040" s="5" t="inlineStr">
        <is>
          <t>Male</t>
        </is>
      </c>
      <c r="C1040" s="6" t="inlineStr">
        <is>
          <t>35</t>
        </is>
      </c>
      <c r="D1040" s="5" t="inlineStr">
        <is>
          <t>Married</t>
        </is>
      </c>
      <c r="E1040" s="5" t="inlineStr">
        <is>
          <t>Bachelor</t>
        </is>
      </c>
      <c r="F1040" s="5" t="inlineStr">
        <is>
          <t>Customer Support</t>
        </is>
      </c>
      <c r="G1040" s="5" t="inlineStr">
        <is>
          <t>Escalation Specialist</t>
        </is>
      </c>
      <c r="H1040" s="5" t="inlineStr">
        <is>
          <t>3</t>
        </is>
      </c>
      <c r="I1040" s="5" t="inlineStr">
        <is>
          <t>Delhi</t>
        </is>
      </c>
      <c r="J1040" s="5" t="inlineStr">
        <is>
          <t>Full-Time</t>
        </is>
      </c>
      <c r="K1040" s="7" t="n">
        <v>43853</v>
      </c>
      <c r="L1040" s="7" t="inlineStr"/>
      <c r="M1040" s="5" t="inlineStr">
        <is>
          <t>Yes</t>
        </is>
      </c>
      <c r="N1040" s="5" t="inlineStr"/>
      <c r="O1040" s="8" t="inlineStr">
        <is>
          <t>74500</t>
        </is>
      </c>
      <c r="P1040" s="5" t="inlineStr">
        <is>
          <t>5</t>
        </is>
      </c>
      <c r="Q1040" s="5" t="inlineStr">
        <is>
          <t>5</t>
        </is>
      </c>
      <c r="R1040" s="5" t="inlineStr">
        <is>
          <t>4</t>
        </is>
      </c>
      <c r="S1040" s="5" t="inlineStr">
        <is>
          <t>72</t>
        </is>
      </c>
      <c r="T1040" s="5" t="inlineStr">
        <is>
          <t>13</t>
        </is>
      </c>
      <c r="U1040" s="5" t="inlineStr">
        <is>
          <t>OK</t>
        </is>
      </c>
    </row>
    <row r="1041">
      <c r="A1041" s="5" t="inlineStr">
        <is>
          <t>E02654</t>
        </is>
      </c>
      <c r="B1041" s="5" t="inlineStr">
        <is>
          <t>Female</t>
        </is>
      </c>
      <c r="C1041" s="6" t="inlineStr">
        <is>
          <t>35</t>
        </is>
      </c>
      <c r="D1041" s="5" t="inlineStr">
        <is>
          <t>Single</t>
        </is>
      </c>
      <c r="E1041" s="5" t="inlineStr">
        <is>
          <t>Bachelor</t>
        </is>
      </c>
      <c r="F1041" s="5" t="inlineStr">
        <is>
          <t>Sales</t>
        </is>
      </c>
      <c r="G1041" s="5" t="inlineStr">
        <is>
          <t>Account Executive</t>
        </is>
      </c>
      <c r="H1041" s="5" t="inlineStr">
        <is>
          <t>5</t>
        </is>
      </c>
      <c r="I1041" s="5" t="inlineStr">
        <is>
          <t>Mumbai</t>
        </is>
      </c>
      <c r="J1041" s="5" t="inlineStr">
        <is>
          <t>Full-Time</t>
        </is>
      </c>
      <c r="K1041" s="7" t="n">
        <v>44995</v>
      </c>
      <c r="L1041" s="7" t="inlineStr"/>
      <c r="M1041" s="5" t="inlineStr">
        <is>
          <t>Yes</t>
        </is>
      </c>
      <c r="N1041" s="5" t="inlineStr"/>
      <c r="O1041" s="8" t="inlineStr">
        <is>
          <t>161000</t>
        </is>
      </c>
      <c r="P1041" s="5" t="inlineStr">
        <is>
          <t>10</t>
        </is>
      </c>
      <c r="Q1041" s="5" t="inlineStr">
        <is>
          <t>4</t>
        </is>
      </c>
      <c r="R1041" s="5" t="inlineStr">
        <is>
          <t>10</t>
        </is>
      </c>
      <c r="S1041" s="5" t="inlineStr">
        <is>
          <t>34</t>
        </is>
      </c>
      <c r="T1041" s="5" t="inlineStr">
        <is>
          <t>0</t>
        </is>
      </c>
      <c r="U1041" s="5" t="inlineStr">
        <is>
          <t>OK</t>
        </is>
      </c>
    </row>
    <row r="1042">
      <c r="A1042" s="5" t="inlineStr">
        <is>
          <t>E00585</t>
        </is>
      </c>
      <c r="B1042" s="5" t="inlineStr">
        <is>
          <t>Male</t>
        </is>
      </c>
      <c r="C1042" s="6" t="inlineStr">
        <is>
          <t>40</t>
        </is>
      </c>
      <c r="D1042" s="5" t="inlineStr">
        <is>
          <t>Single</t>
        </is>
      </c>
      <c r="E1042" s="5" t="inlineStr">
        <is>
          <t>Diploma</t>
        </is>
      </c>
      <c r="F1042" s="5" t="inlineStr">
        <is>
          <t>Operations</t>
        </is>
      </c>
      <c r="G1042" s="5" t="inlineStr">
        <is>
          <t>Quality Analyst</t>
        </is>
      </c>
      <c r="H1042" s="5" t="inlineStr">
        <is>
          <t>4</t>
        </is>
      </c>
      <c r="I1042" s="5" t="inlineStr">
        <is>
          <t>Chennai</t>
        </is>
      </c>
      <c r="J1042" s="5" t="inlineStr">
        <is>
          <t>Part-Time</t>
        </is>
      </c>
      <c r="K1042" s="7" t="n">
        <v>45245</v>
      </c>
      <c r="L1042" s="7" t="inlineStr"/>
      <c r="M1042" s="5" t="inlineStr">
        <is>
          <t>Yes</t>
        </is>
      </c>
      <c r="N1042" s="5" t="inlineStr"/>
      <c r="O1042" s="8" t="inlineStr">
        <is>
          <t>119000</t>
        </is>
      </c>
      <c r="P1042" s="5" t="inlineStr">
        <is>
          <t>15</t>
        </is>
      </c>
      <c r="Q1042" s="5" t="inlineStr">
        <is>
          <t>3</t>
        </is>
      </c>
      <c r="R1042" s="5" t="inlineStr">
        <is>
          <t>5</t>
        </is>
      </c>
      <c r="S1042" s="5" t="inlineStr">
        <is>
          <t>25</t>
        </is>
      </c>
      <c r="T1042" s="5" t="inlineStr">
        <is>
          <t>10</t>
        </is>
      </c>
      <c r="U1042" s="5" t="inlineStr">
        <is>
          <t>OK</t>
        </is>
      </c>
    </row>
    <row r="1043">
      <c r="A1043" s="5" t="inlineStr">
        <is>
          <t>E00481</t>
        </is>
      </c>
      <c r="B1043" s="5" t="inlineStr">
        <is>
          <t>Male</t>
        </is>
      </c>
      <c r="C1043" s="6" t="inlineStr">
        <is>
          <t>27</t>
        </is>
      </c>
      <c r="D1043" s="5" t="inlineStr">
        <is>
          <t>Single</t>
        </is>
      </c>
      <c r="E1043" s="5" t="inlineStr">
        <is>
          <t>Master</t>
        </is>
      </c>
      <c r="F1043" s="5" t="inlineStr">
        <is>
          <t>Research &amp; Development</t>
        </is>
      </c>
      <c r="G1043" s="5" t="inlineStr">
        <is>
          <t>Data Scientist</t>
        </is>
      </c>
      <c r="H1043" s="5" t="inlineStr">
        <is>
          <t>3</t>
        </is>
      </c>
      <c r="I1043" s="5" t="inlineStr">
        <is>
          <t>Hyderabad</t>
        </is>
      </c>
      <c r="J1043" s="5" t="inlineStr">
        <is>
          <t>Full-Time</t>
        </is>
      </c>
      <c r="K1043" s="7" t="n">
        <v>44932</v>
      </c>
      <c r="L1043" s="7" t="inlineStr"/>
      <c r="M1043" s="5" t="inlineStr">
        <is>
          <t>Yes</t>
        </is>
      </c>
      <c r="N1043" s="5" t="inlineStr"/>
      <c r="O1043" s="8" t="inlineStr">
        <is>
          <t>211000</t>
        </is>
      </c>
      <c r="P1043" s="5" t="inlineStr">
        <is>
          <t>0</t>
        </is>
      </c>
      <c r="Q1043" s="5" t="inlineStr">
        <is>
          <t>1</t>
        </is>
      </c>
      <c r="R1043" s="5" t="inlineStr">
        <is>
          <t>5</t>
        </is>
      </c>
      <c r="S1043" s="5" t="inlineStr">
        <is>
          <t>36</t>
        </is>
      </c>
      <c r="T1043" s="5" t="inlineStr">
        <is>
          <t>2</t>
        </is>
      </c>
      <c r="U1043" s="5" t="inlineStr">
        <is>
          <t>OK</t>
        </is>
      </c>
    </row>
    <row r="1044">
      <c r="A1044" s="5" t="inlineStr">
        <is>
          <t>E02759</t>
        </is>
      </c>
      <c r="B1044" s="5" t="inlineStr">
        <is>
          <t>Female</t>
        </is>
      </c>
      <c r="C1044" s="6" t="inlineStr">
        <is>
          <t>30</t>
        </is>
      </c>
      <c r="D1044" s="5" t="inlineStr">
        <is>
          <t>Married</t>
        </is>
      </c>
      <c r="E1044" s="5" t="inlineStr">
        <is>
          <t>Master</t>
        </is>
      </c>
      <c r="F1044" s="5" t="inlineStr">
        <is>
          <t>Sales</t>
        </is>
      </c>
      <c r="G1044" s="5" t="inlineStr">
        <is>
          <t>Sales Executive</t>
        </is>
      </c>
      <c r="H1044" s="5" t="inlineStr">
        <is>
          <t>4</t>
        </is>
      </c>
      <c r="I1044" s="5" t="inlineStr">
        <is>
          <t>Remote</t>
        </is>
      </c>
      <c r="J1044" s="5" t="inlineStr">
        <is>
          <t>Full-Time</t>
        </is>
      </c>
      <c r="K1044" s="7" t="n">
        <v>44655</v>
      </c>
      <c r="L1044" s="7" t="inlineStr"/>
      <c r="M1044" s="5" t="inlineStr">
        <is>
          <t>Yes</t>
        </is>
      </c>
      <c r="N1044" s="5" t="inlineStr"/>
      <c r="O1044" s="8" t="inlineStr">
        <is>
          <t>86500</t>
        </is>
      </c>
      <c r="P1044" s="5" t="inlineStr">
        <is>
          <t>5</t>
        </is>
      </c>
      <c r="Q1044" s="5" t="inlineStr">
        <is>
          <t>3</t>
        </is>
      </c>
      <c r="R1044" s="5" t="inlineStr">
        <is>
          <t>1</t>
        </is>
      </c>
      <c r="S1044" s="5" t="inlineStr">
        <is>
          <t>45</t>
        </is>
      </c>
      <c r="T1044" s="5" t="inlineStr">
        <is>
          <t>0</t>
        </is>
      </c>
      <c r="U1044" s="5" t="inlineStr">
        <is>
          <t>OK</t>
        </is>
      </c>
    </row>
    <row r="1045">
      <c r="A1045" s="5" t="inlineStr">
        <is>
          <t>E02017</t>
        </is>
      </c>
      <c r="B1045" s="5" t="inlineStr">
        <is>
          <t>Female</t>
        </is>
      </c>
      <c r="C1045" s="6" t="inlineStr">
        <is>
          <t>29</t>
        </is>
      </c>
      <c r="D1045" s="5" t="inlineStr">
        <is>
          <t>Single</t>
        </is>
      </c>
      <c r="E1045" s="5" t="inlineStr">
        <is>
          <t>PhD</t>
        </is>
      </c>
      <c r="F1045" s="5" t="inlineStr">
        <is>
          <t>Marketing</t>
        </is>
      </c>
      <c r="G1045" s="5" t="inlineStr">
        <is>
          <t>SEO Specialist</t>
        </is>
      </c>
      <c r="H1045" s="5" t="inlineStr">
        <is>
          <t>2</t>
        </is>
      </c>
      <c r="I1045" s="5" t="inlineStr">
        <is>
          <t>Chennai</t>
        </is>
      </c>
      <c r="J1045" s="5" t="inlineStr">
        <is>
          <t>Full-Time</t>
        </is>
      </c>
      <c r="K1045" s="7" t="n">
        <v>44818</v>
      </c>
      <c r="L1045" s="7" t="n">
        <v>44926</v>
      </c>
      <c r="M1045" s="5" t="inlineStr">
        <is>
          <t>No</t>
        </is>
      </c>
      <c r="N1045" s="5" t="inlineStr">
        <is>
          <t>Resigned</t>
        </is>
      </c>
      <c r="O1045" s="8" t="inlineStr">
        <is>
          <t>93000</t>
        </is>
      </c>
      <c r="P1045" s="5" t="inlineStr">
        <is>
          <t>15</t>
        </is>
      </c>
      <c r="Q1045" s="5" t="inlineStr">
        <is>
          <t>3</t>
        </is>
      </c>
      <c r="R1045" s="5" t="inlineStr">
        <is>
          <t>4</t>
        </is>
      </c>
      <c r="S1045" s="5" t="inlineStr">
        <is>
          <t>3</t>
        </is>
      </c>
      <c r="T1045" s="5" t="inlineStr">
        <is>
          <t>4</t>
        </is>
      </c>
      <c r="U1045" s="5" t="inlineStr">
        <is>
          <t>OK</t>
        </is>
      </c>
    </row>
    <row r="1046">
      <c r="A1046" s="5" t="inlineStr">
        <is>
          <t>E00053</t>
        </is>
      </c>
      <c r="B1046" s="5" t="inlineStr">
        <is>
          <t>Female</t>
        </is>
      </c>
      <c r="C1046" s="6" t="inlineStr">
        <is>
          <t>38</t>
        </is>
      </c>
      <c r="D1046" s="5" t="inlineStr">
        <is>
          <t>Single</t>
        </is>
      </c>
      <c r="E1046" s="5" t="inlineStr">
        <is>
          <t>Diploma</t>
        </is>
      </c>
      <c r="F1046" s="5" t="inlineStr">
        <is>
          <t>Sales</t>
        </is>
      </c>
      <c r="G1046" s="5" t="inlineStr">
        <is>
          <t>Account Executive</t>
        </is>
      </c>
      <c r="H1046" s="5" t="inlineStr">
        <is>
          <t>7</t>
        </is>
      </c>
      <c r="I1046" s="5" t="inlineStr">
        <is>
          <t>Chennai</t>
        </is>
      </c>
      <c r="J1046" s="5" t="inlineStr">
        <is>
          <t>Full-Time</t>
        </is>
      </c>
      <c r="K1046" s="7" t="n">
        <v>45202</v>
      </c>
      <c r="L1046" s="7" t="inlineStr"/>
      <c r="M1046" s="5" t="inlineStr">
        <is>
          <t>Yes</t>
        </is>
      </c>
      <c r="N1046" s="5" t="inlineStr"/>
      <c r="O1046" s="8" t="inlineStr">
        <is>
          <t>158000</t>
        </is>
      </c>
      <c r="P1046" s="5" t="inlineStr">
        <is>
          <t>10</t>
        </is>
      </c>
      <c r="Q1046" s="5" t="inlineStr">
        <is>
          <t>3</t>
        </is>
      </c>
      <c r="R1046" s="5" t="inlineStr">
        <is>
          <t>8</t>
        </is>
      </c>
      <c r="S1046" s="5" t="inlineStr">
        <is>
          <t>27</t>
        </is>
      </c>
      <c r="T1046" s="5" t="inlineStr">
        <is>
          <t>0</t>
        </is>
      </c>
      <c r="U1046" s="5" t="inlineStr">
        <is>
          <t>OK</t>
        </is>
      </c>
    </row>
    <row r="1047">
      <c r="A1047" s="5" t="inlineStr">
        <is>
          <t>E01635</t>
        </is>
      </c>
      <c r="B1047" s="5" t="inlineStr">
        <is>
          <t>Female</t>
        </is>
      </c>
      <c r="C1047" s="6" t="inlineStr">
        <is>
          <t>33</t>
        </is>
      </c>
      <c r="D1047" s="5" t="inlineStr">
        <is>
          <t>Single</t>
        </is>
      </c>
      <c r="E1047" s="5" t="inlineStr">
        <is>
          <t>High School</t>
        </is>
      </c>
      <c r="F1047" s="5" t="inlineStr">
        <is>
          <t>Research &amp; Development</t>
        </is>
      </c>
      <c r="G1047" s="5" t="inlineStr">
        <is>
          <t>Product Engineer</t>
        </is>
      </c>
      <c r="H1047" s="5" t="inlineStr">
        <is>
          <t>4</t>
        </is>
      </c>
      <c r="I1047" s="5" t="inlineStr">
        <is>
          <t>Delhi</t>
        </is>
      </c>
      <c r="J1047" s="5" t="inlineStr">
        <is>
          <t>Contract</t>
        </is>
      </c>
      <c r="K1047" s="7" t="n">
        <v>44689</v>
      </c>
      <c r="L1047" s="7" t="inlineStr"/>
      <c r="M1047" s="5" t="inlineStr">
        <is>
          <t>Yes</t>
        </is>
      </c>
      <c r="N1047" s="5" t="inlineStr"/>
      <c r="O1047" s="8" t="inlineStr">
        <is>
          <t>134000</t>
        </is>
      </c>
      <c r="P1047" s="5" t="inlineStr">
        <is>
          <t>20</t>
        </is>
      </c>
      <c r="Q1047" s="5" t="inlineStr">
        <is>
          <t>5</t>
        </is>
      </c>
      <c r="R1047" s="5" t="inlineStr">
        <is>
          <t>4</t>
        </is>
      </c>
      <c r="S1047" s="5" t="inlineStr">
        <is>
          <t>44</t>
        </is>
      </c>
      <c r="T1047" s="5" t="inlineStr">
        <is>
          <t>0</t>
        </is>
      </c>
      <c r="U1047" s="5" t="inlineStr">
        <is>
          <t>OK</t>
        </is>
      </c>
    </row>
    <row r="1048">
      <c r="A1048" s="5" t="inlineStr">
        <is>
          <t>E02110</t>
        </is>
      </c>
      <c r="B1048" s="5" t="inlineStr">
        <is>
          <t>Female</t>
        </is>
      </c>
      <c r="C1048" s="6" t="inlineStr">
        <is>
          <t>30</t>
        </is>
      </c>
      <c r="D1048" s="5" t="inlineStr">
        <is>
          <t>Divorced</t>
        </is>
      </c>
      <c r="E1048" s="5" t="inlineStr">
        <is>
          <t>PhD</t>
        </is>
      </c>
      <c r="F1048" s="5" t="inlineStr">
        <is>
          <t>Customer Support</t>
        </is>
      </c>
      <c r="G1048" s="5" t="inlineStr">
        <is>
          <t>Escalation Specialist</t>
        </is>
      </c>
      <c r="H1048" s="5" t="inlineStr">
        <is>
          <t>4</t>
        </is>
      </c>
      <c r="I1048" s="5" t="inlineStr">
        <is>
          <t>Bengaluru</t>
        </is>
      </c>
      <c r="J1048" s="5" t="inlineStr">
        <is>
          <t>Full-Time</t>
        </is>
      </c>
      <c r="K1048" s="7" t="n">
        <v>45956</v>
      </c>
      <c r="L1048" s="7" t="n">
        <v>46016</v>
      </c>
      <c r="M1048" s="5" t="inlineStr">
        <is>
          <t>No</t>
        </is>
      </c>
      <c r="N1048" s="5" t="inlineStr">
        <is>
          <t>Relocation</t>
        </is>
      </c>
      <c r="O1048" s="8" t="inlineStr">
        <is>
          <t>98000</t>
        </is>
      </c>
      <c r="P1048" s="5" t="inlineStr">
        <is>
          <t>0</t>
        </is>
      </c>
      <c r="Q1048" s="5" t="inlineStr">
        <is>
          <t>5</t>
        </is>
      </c>
      <c r="R1048" s="5" t="inlineStr">
        <is>
          <t>7</t>
        </is>
      </c>
      <c r="S1048" s="5" t="inlineStr">
        <is>
          <t>2</t>
        </is>
      </c>
      <c r="T1048" s="5" t="inlineStr">
        <is>
          <t>10</t>
        </is>
      </c>
      <c r="U1048" s="5" t="inlineStr">
        <is>
          <t>OK</t>
        </is>
      </c>
    </row>
    <row r="1049">
      <c r="A1049" s="5" t="inlineStr">
        <is>
          <t>E01851</t>
        </is>
      </c>
      <c r="B1049" s="5" t="inlineStr">
        <is>
          <t>Male</t>
        </is>
      </c>
      <c r="C1049" s="6" t="inlineStr">
        <is>
          <t>34</t>
        </is>
      </c>
      <c r="D1049" s="5" t="inlineStr">
        <is>
          <t>Married</t>
        </is>
      </c>
      <c r="E1049" s="5" t="inlineStr">
        <is>
          <t>Diploma</t>
        </is>
      </c>
      <c r="F1049" s="5" t="inlineStr">
        <is>
          <t>Operations</t>
        </is>
      </c>
      <c r="G1049" s="5" t="inlineStr">
        <is>
          <t>Logistics Coordinator</t>
        </is>
      </c>
      <c r="H1049" s="5" t="inlineStr">
        <is>
          <t>5</t>
        </is>
      </c>
      <c r="I1049" s="5" t="inlineStr">
        <is>
          <t>Hyderabad</t>
        </is>
      </c>
      <c r="J1049" s="5" t="inlineStr">
        <is>
          <t>Full-Time</t>
        </is>
      </c>
      <c r="K1049" s="7" t="n">
        <v>45309</v>
      </c>
      <c r="L1049" s="7" t="inlineStr"/>
      <c r="M1049" s="5" t="inlineStr">
        <is>
          <t>Yes</t>
        </is>
      </c>
      <c r="N1049" s="5" t="inlineStr"/>
      <c r="O1049" s="8" t="inlineStr">
        <is>
          <t>147500</t>
        </is>
      </c>
      <c r="P1049" s="5" t="inlineStr">
        <is>
          <t>0</t>
        </is>
      </c>
      <c r="Q1049" s="5" t="inlineStr">
        <is>
          <t>5</t>
        </is>
      </c>
      <c r="R1049" s="5" t="inlineStr">
        <is>
          <t>7</t>
        </is>
      </c>
      <c r="S1049" s="5" t="inlineStr">
        <is>
          <t>23</t>
        </is>
      </c>
      <c r="T1049" s="5" t="inlineStr">
        <is>
          <t>3</t>
        </is>
      </c>
      <c r="U1049" s="5" t="inlineStr">
        <is>
          <t>OK</t>
        </is>
      </c>
    </row>
    <row r="1050">
      <c r="A1050" s="5" t="inlineStr">
        <is>
          <t>E02328</t>
        </is>
      </c>
      <c r="B1050" s="5" t="inlineStr">
        <is>
          <t>Male</t>
        </is>
      </c>
      <c r="C1050" s="6" t="inlineStr">
        <is>
          <t>29</t>
        </is>
      </c>
      <c r="D1050" s="5" t="inlineStr">
        <is>
          <t>Married</t>
        </is>
      </c>
      <c r="E1050" s="5" t="inlineStr">
        <is>
          <t>Diploma</t>
        </is>
      </c>
      <c r="F1050" s="5" t="inlineStr">
        <is>
          <t>Customer Support</t>
        </is>
      </c>
      <c r="G1050" s="5" t="inlineStr">
        <is>
          <t>Support Agent</t>
        </is>
      </c>
      <c r="H1050" s="5" t="inlineStr">
        <is>
          <t>2</t>
        </is>
      </c>
      <c r="I1050" s="5" t="inlineStr">
        <is>
          <t>Delhi</t>
        </is>
      </c>
      <c r="J1050" s="5" t="inlineStr">
        <is>
          <t>Full-Time</t>
        </is>
      </c>
      <c r="K1050" s="7" t="n">
        <v>44155</v>
      </c>
      <c r="L1050" s="7" t="n">
        <v>44227</v>
      </c>
      <c r="M1050" s="5" t="inlineStr">
        <is>
          <t>No</t>
        </is>
      </c>
      <c r="N1050" s="5" t="inlineStr">
        <is>
          <t>Resigned</t>
        </is>
      </c>
      <c r="O1050" s="8" t="inlineStr">
        <is>
          <t>52500</t>
        </is>
      </c>
      <c r="P1050" s="5" t="inlineStr">
        <is>
          <t>5</t>
        </is>
      </c>
      <c r="Q1050" s="5" t="inlineStr">
        <is>
          <t>3</t>
        </is>
      </c>
      <c r="R1050" s="5" t="inlineStr">
        <is>
          <t>3</t>
        </is>
      </c>
      <c r="S1050" s="5" t="inlineStr">
        <is>
          <t>2</t>
        </is>
      </c>
      <c r="T1050" s="5" t="inlineStr">
        <is>
          <t>6</t>
        </is>
      </c>
      <c r="U1050" s="5" t="inlineStr">
        <is>
          <t>OK</t>
        </is>
      </c>
    </row>
    <row r="1051">
      <c r="A1051" s="5" t="inlineStr">
        <is>
          <t>E00936</t>
        </is>
      </c>
      <c r="B1051" s="5" t="inlineStr">
        <is>
          <t>Female</t>
        </is>
      </c>
      <c r="C1051" s="6" t="inlineStr">
        <is>
          <t>32</t>
        </is>
      </c>
      <c r="D1051" s="5" t="inlineStr">
        <is>
          <t>Married</t>
        </is>
      </c>
      <c r="E1051" s="5" t="inlineStr">
        <is>
          <t>High School</t>
        </is>
      </c>
      <c r="F1051" s="5" t="inlineStr">
        <is>
          <t>Operations</t>
        </is>
      </c>
      <c r="G1051" s="5" t="inlineStr">
        <is>
          <t>Operations Analyst</t>
        </is>
      </c>
      <c r="H1051" s="5" t="inlineStr">
        <is>
          <t>1</t>
        </is>
      </c>
      <c r="I1051" s="5" t="inlineStr">
        <is>
          <t>Hyderabad</t>
        </is>
      </c>
      <c r="J1051" s="5" t="inlineStr">
        <is>
          <t>Full-Time</t>
        </is>
      </c>
      <c r="K1051" s="7" t="n">
        <v>43883</v>
      </c>
      <c r="L1051" s="7" t="inlineStr"/>
      <c r="M1051" s="5" t="inlineStr">
        <is>
          <t>Yes</t>
        </is>
      </c>
      <c r="N1051" s="5" t="inlineStr"/>
      <c r="O1051" s="8" t="inlineStr">
        <is>
          <t>55000</t>
        </is>
      </c>
      <c r="P1051" s="5" t="inlineStr">
        <is>
          <t>0</t>
        </is>
      </c>
      <c r="Q1051" s="5" t="inlineStr">
        <is>
          <t>4</t>
        </is>
      </c>
      <c r="R1051" s="5" t="inlineStr">
        <is>
          <t>7</t>
        </is>
      </c>
      <c r="S1051" s="5" t="inlineStr">
        <is>
          <t>71</t>
        </is>
      </c>
      <c r="T1051" s="5" t="inlineStr">
        <is>
          <t>12</t>
        </is>
      </c>
      <c r="U1051" s="5" t="inlineStr">
        <is>
          <t>OK</t>
        </is>
      </c>
    </row>
    <row r="1052">
      <c r="A1052" s="5" t="inlineStr">
        <is>
          <t>E00322</t>
        </is>
      </c>
      <c r="B1052" s="5" t="inlineStr">
        <is>
          <t>Male</t>
        </is>
      </c>
      <c r="C1052" s="6" t="inlineStr">
        <is>
          <t>27</t>
        </is>
      </c>
      <c r="D1052" s="5" t="inlineStr">
        <is>
          <t>Married</t>
        </is>
      </c>
      <c r="E1052" s="5" t="inlineStr">
        <is>
          <t>Bachelor</t>
        </is>
      </c>
      <c r="F1052" s="5" t="inlineStr">
        <is>
          <t>Operations</t>
        </is>
      </c>
      <c r="G1052" s="5" t="inlineStr">
        <is>
          <t>Operations Analyst</t>
        </is>
      </c>
      <c r="H1052" s="5" t="inlineStr">
        <is>
          <t>2</t>
        </is>
      </c>
      <c r="I1052" s="5" t="inlineStr">
        <is>
          <t>Hyderabad</t>
        </is>
      </c>
      <c r="J1052" s="5" t="inlineStr">
        <is>
          <t>Full-Time</t>
        </is>
      </c>
      <c r="K1052" s="7" t="n">
        <v>44165</v>
      </c>
      <c r="L1052" s="7" t="inlineStr"/>
      <c r="M1052" s="5" t="inlineStr">
        <is>
          <t>Yes</t>
        </is>
      </c>
      <c r="N1052" s="5" t="inlineStr"/>
      <c r="O1052" s="8" t="inlineStr">
        <is>
          <t>88000</t>
        </is>
      </c>
      <c r="P1052" s="5" t="inlineStr">
        <is>
          <t>5</t>
        </is>
      </c>
      <c r="Q1052" s="5" t="inlineStr">
        <is>
          <t>4</t>
        </is>
      </c>
      <c r="R1052" s="5" t="inlineStr">
        <is>
          <t>6</t>
        </is>
      </c>
      <c r="S1052" s="5" t="inlineStr">
        <is>
          <t>61</t>
        </is>
      </c>
      <c r="T1052" s="5" t="inlineStr">
        <is>
          <t>10</t>
        </is>
      </c>
      <c r="U1052" s="5" t="inlineStr">
        <is>
          <t>OK</t>
        </is>
      </c>
    </row>
    <row r="1053">
      <c r="A1053" s="5" t="inlineStr">
        <is>
          <t>E02134</t>
        </is>
      </c>
      <c r="B1053" s="5" t="inlineStr">
        <is>
          <t>Male</t>
        </is>
      </c>
      <c r="C1053" s="6" t="inlineStr">
        <is>
          <t>33</t>
        </is>
      </c>
      <c r="D1053" s="5" t="inlineStr">
        <is>
          <t>Single</t>
        </is>
      </c>
      <c r="E1053" s="5" t="inlineStr">
        <is>
          <t>Bachelor</t>
        </is>
      </c>
      <c r="F1053" s="5" t="inlineStr">
        <is>
          <t>Research &amp; Development</t>
        </is>
      </c>
      <c r="G1053" s="5" t="inlineStr">
        <is>
          <t>Product Engineer</t>
        </is>
      </c>
      <c r="H1053" s="5" t="inlineStr">
        <is>
          <t>6</t>
        </is>
      </c>
      <c r="I1053" s="5" t="inlineStr">
        <is>
          <t>Hyderabad</t>
        </is>
      </c>
      <c r="J1053" s="5" t="inlineStr">
        <is>
          <t>Full-Time</t>
        </is>
      </c>
      <c r="K1053" s="7" t="n">
        <v>45690</v>
      </c>
      <c r="L1053" s="7" t="inlineStr"/>
      <c r="M1053" s="5" t="inlineStr">
        <is>
          <t>Yes</t>
        </is>
      </c>
      <c r="N1053" s="5" t="inlineStr"/>
      <c r="O1053" s="8" t="inlineStr">
        <is>
          <t>252000</t>
        </is>
      </c>
      <c r="P1053" s="5" t="inlineStr">
        <is>
          <t>0</t>
        </is>
      </c>
      <c r="Q1053" s="5" t="inlineStr">
        <is>
          <t>5</t>
        </is>
      </c>
      <c r="R1053" s="5" t="inlineStr">
        <is>
          <t>5</t>
        </is>
      </c>
      <c r="S1053" s="5" t="inlineStr">
        <is>
          <t>11</t>
        </is>
      </c>
      <c r="T1053" s="5" t="inlineStr">
        <is>
          <t>12</t>
        </is>
      </c>
      <c r="U1053" s="5" t="inlineStr">
        <is>
          <t>OK</t>
        </is>
      </c>
    </row>
    <row r="1054">
      <c r="A1054" s="5" t="inlineStr">
        <is>
          <t>E00442</t>
        </is>
      </c>
      <c r="B1054" s="5" t="inlineStr">
        <is>
          <t>Female</t>
        </is>
      </c>
      <c r="C1054" s="6" t="inlineStr">
        <is>
          <t>44</t>
        </is>
      </c>
      <c r="D1054" s="5" t="inlineStr">
        <is>
          <t>Single</t>
        </is>
      </c>
      <c r="E1054" s="5" t="inlineStr">
        <is>
          <t>Bachelor</t>
        </is>
      </c>
      <c r="F1054" s="5" t="inlineStr">
        <is>
          <t>Customer Support</t>
        </is>
      </c>
      <c r="G1054" s="5" t="inlineStr">
        <is>
          <t>Support Agent</t>
        </is>
      </c>
      <c r="H1054" s="5" t="inlineStr">
        <is>
          <t>7</t>
        </is>
      </c>
      <c r="I1054" s="5" t="inlineStr">
        <is>
          <t>Hyderabad</t>
        </is>
      </c>
      <c r="J1054" s="5" t="inlineStr">
        <is>
          <t>Full-Time</t>
        </is>
      </c>
      <c r="K1054" s="7" t="n">
        <v>44686</v>
      </c>
      <c r="L1054" s="7" t="inlineStr"/>
      <c r="M1054" s="5" t="inlineStr">
        <is>
          <t>Yes</t>
        </is>
      </c>
      <c r="N1054" s="5" t="inlineStr"/>
      <c r="O1054" s="8" t="inlineStr">
        <is>
          <t>101500</t>
        </is>
      </c>
      <c r="P1054" s="5" t="inlineStr">
        <is>
          <t>5</t>
        </is>
      </c>
      <c r="Q1054" s="5" t="inlineStr">
        <is>
          <t>3</t>
        </is>
      </c>
      <c r="R1054" s="5" t="inlineStr">
        <is>
          <t>6</t>
        </is>
      </c>
      <c r="S1054" s="5" t="inlineStr">
        <is>
          <t>44</t>
        </is>
      </c>
      <c r="T1054" s="5" t="inlineStr">
        <is>
          <t>5</t>
        </is>
      </c>
      <c r="U1054" s="5" t="inlineStr">
        <is>
          <t>OK</t>
        </is>
      </c>
    </row>
    <row r="1055">
      <c r="A1055" s="5" t="inlineStr">
        <is>
          <t>E01459</t>
        </is>
      </c>
      <c r="B1055" s="5" t="inlineStr">
        <is>
          <t>Male</t>
        </is>
      </c>
      <c r="C1055" s="6" t="inlineStr">
        <is>
          <t>33</t>
        </is>
      </c>
      <c r="D1055" s="5" t="inlineStr">
        <is>
          <t>Single</t>
        </is>
      </c>
      <c r="E1055" s="5" t="inlineStr">
        <is>
          <t>High School</t>
        </is>
      </c>
      <c r="F1055" s="5" t="inlineStr">
        <is>
          <t>Operations</t>
        </is>
      </c>
      <c r="G1055" s="5" t="inlineStr">
        <is>
          <t>Logistics Coordinator</t>
        </is>
      </c>
      <c r="H1055" s="5" t="inlineStr">
        <is>
          <t>5</t>
        </is>
      </c>
      <c r="I1055" s="5" t="inlineStr">
        <is>
          <t>Hyderabad</t>
        </is>
      </c>
      <c r="J1055" s="5" t="inlineStr">
        <is>
          <t>Full-Time</t>
        </is>
      </c>
      <c r="K1055" s="7" t="n">
        <v>44808</v>
      </c>
      <c r="L1055" s="7" t="inlineStr"/>
      <c r="M1055" s="5" t="inlineStr">
        <is>
          <t>Yes</t>
        </is>
      </c>
      <c r="N1055" s="5" t="inlineStr"/>
      <c r="O1055" s="8" t="inlineStr">
        <is>
          <t>149500</t>
        </is>
      </c>
      <c r="P1055" s="5" t="inlineStr">
        <is>
          <t>5</t>
        </is>
      </c>
      <c r="Q1055" s="5" t="inlineStr">
        <is>
          <t>5</t>
        </is>
      </c>
      <c r="R1055" s="5" t="inlineStr">
        <is>
          <t>9</t>
        </is>
      </c>
      <c r="S1055" s="5" t="inlineStr">
        <is>
          <t>40</t>
        </is>
      </c>
      <c r="T1055" s="5" t="inlineStr">
        <is>
          <t>14</t>
        </is>
      </c>
      <c r="U1055" s="5" t="inlineStr">
        <is>
          <t>OK</t>
        </is>
      </c>
    </row>
    <row r="1056">
      <c r="A1056" s="5" t="inlineStr">
        <is>
          <t>E02029</t>
        </is>
      </c>
      <c r="B1056" s="5" t="inlineStr">
        <is>
          <t>Male</t>
        </is>
      </c>
      <c r="C1056" s="6" t="inlineStr">
        <is>
          <t>28</t>
        </is>
      </c>
      <c r="D1056" s="5" t="inlineStr">
        <is>
          <t>Single</t>
        </is>
      </c>
      <c r="E1056" s="5" t="inlineStr">
        <is>
          <t>PhD</t>
        </is>
      </c>
      <c r="F1056" s="5" t="inlineStr">
        <is>
          <t>Human Resources</t>
        </is>
      </c>
      <c r="G1056" s="5" t="inlineStr">
        <is>
          <t>HR Generalist</t>
        </is>
      </c>
      <c r="H1056" s="5" t="inlineStr">
        <is>
          <t>2</t>
        </is>
      </c>
      <c r="I1056" s="5" t="inlineStr">
        <is>
          <t>Remote</t>
        </is>
      </c>
      <c r="J1056" s="5" t="inlineStr">
        <is>
          <t>Full-Time</t>
        </is>
      </c>
      <c r="K1056" s="7" t="n">
        <v>45979</v>
      </c>
      <c r="L1056" s="7" t="n">
        <v>45994</v>
      </c>
      <c r="M1056" s="5" t="inlineStr">
        <is>
          <t>No</t>
        </is>
      </c>
      <c r="N1056" s="5" t="inlineStr">
        <is>
          <t>Resigned</t>
        </is>
      </c>
      <c r="O1056" s="8" t="inlineStr"/>
      <c r="P1056" s="5" t="inlineStr">
        <is>
          <t>5</t>
        </is>
      </c>
      <c r="Q1056" s="5" t="inlineStr">
        <is>
          <t>2</t>
        </is>
      </c>
      <c r="R1056" s="5" t="inlineStr">
        <is>
          <t>4</t>
        </is>
      </c>
      <c r="S1056" s="5" t="inlineStr">
        <is>
          <t>1</t>
        </is>
      </c>
      <c r="T1056" s="5" t="inlineStr">
        <is>
          <t>4</t>
        </is>
      </c>
      <c r="U1056" s="5" t="inlineStr">
        <is>
          <t>Blank salary</t>
        </is>
      </c>
    </row>
    <row r="1057">
      <c r="A1057" s="5" t="inlineStr">
        <is>
          <t>E01315</t>
        </is>
      </c>
      <c r="B1057" s="5" t="inlineStr">
        <is>
          <t>Female</t>
        </is>
      </c>
      <c r="C1057" s="6" t="inlineStr">
        <is>
          <t>25</t>
        </is>
      </c>
      <c r="D1057" s="5" t="inlineStr">
        <is>
          <t>Married</t>
        </is>
      </c>
      <c r="E1057" s="5" t="inlineStr">
        <is>
          <t>High School</t>
        </is>
      </c>
      <c r="F1057" s="5" t="inlineStr">
        <is>
          <t>Finance</t>
        </is>
      </c>
      <c r="G1057" s="5" t="inlineStr">
        <is>
          <t>Financial Analyst</t>
        </is>
      </c>
      <c r="H1057" s="5" t="inlineStr">
        <is>
          <t>1</t>
        </is>
      </c>
      <c r="I1057" s="5" t="inlineStr">
        <is>
          <t>Hyderabad</t>
        </is>
      </c>
      <c r="J1057" s="5" t="inlineStr">
        <is>
          <t>Full-Time</t>
        </is>
      </c>
      <c r="K1057" s="7" t="n">
        <v>44668</v>
      </c>
      <c r="L1057" s="7" t="n">
        <v>44750</v>
      </c>
      <c r="M1057" s="5" t="inlineStr">
        <is>
          <t>No</t>
        </is>
      </c>
      <c r="N1057" s="5" t="inlineStr">
        <is>
          <t>Performance / Termination</t>
        </is>
      </c>
      <c r="O1057" s="8" t="inlineStr">
        <is>
          <t>110500</t>
        </is>
      </c>
      <c r="P1057" s="5" t="inlineStr">
        <is>
          <t>15</t>
        </is>
      </c>
      <c r="Q1057" s="5" t="inlineStr">
        <is>
          <t>3</t>
        </is>
      </c>
      <c r="R1057" s="5" t="inlineStr">
        <is>
          <t>7</t>
        </is>
      </c>
      <c r="S1057" s="5" t="inlineStr">
        <is>
          <t>2</t>
        </is>
      </c>
      <c r="T1057" s="5" t="inlineStr">
        <is>
          <t>3</t>
        </is>
      </c>
      <c r="U1057" s="5" t="inlineStr">
        <is>
          <t>OK</t>
        </is>
      </c>
    </row>
    <row r="1058">
      <c r="A1058" s="5" t="inlineStr">
        <is>
          <t>E01890</t>
        </is>
      </c>
      <c r="B1058" s="5" t="inlineStr">
        <is>
          <t>Female</t>
        </is>
      </c>
      <c r="C1058" s="6" t="inlineStr">
        <is>
          <t>35</t>
        </is>
      </c>
      <c r="D1058" s="5" t="inlineStr">
        <is>
          <t>Married</t>
        </is>
      </c>
      <c r="E1058" s="5" t="inlineStr">
        <is>
          <t>Diploma</t>
        </is>
      </c>
      <c r="F1058" s="5" t="inlineStr">
        <is>
          <t>IT</t>
        </is>
      </c>
      <c r="G1058" s="5" t="inlineStr">
        <is>
          <t>DevOps Engineer</t>
        </is>
      </c>
      <c r="H1058" s="5" t="inlineStr">
        <is>
          <t>5</t>
        </is>
      </c>
      <c r="I1058" s="5" t="inlineStr">
        <is>
          <t>Bengaluru</t>
        </is>
      </c>
      <c r="J1058" s="5" t="inlineStr">
        <is>
          <t>Full-Time</t>
        </is>
      </c>
      <c r="K1058" s="7" t="n">
        <v>44766</v>
      </c>
      <c r="L1058" s="7" t="inlineStr"/>
      <c r="M1058" s="5" t="inlineStr">
        <is>
          <t>Yes</t>
        </is>
      </c>
      <c r="N1058" s="5" t="inlineStr"/>
      <c r="O1058" s="8" t="inlineStr">
        <is>
          <t>210500</t>
        </is>
      </c>
      <c r="P1058" s="5" t="inlineStr">
        <is>
          <t>5</t>
        </is>
      </c>
      <c r="Q1058" s="5" t="inlineStr">
        <is>
          <t>5</t>
        </is>
      </c>
      <c r="R1058" s="5" t="inlineStr">
        <is>
          <t>5</t>
        </is>
      </c>
      <c r="S1058" s="5" t="inlineStr">
        <is>
          <t>41</t>
        </is>
      </c>
      <c r="T1058" s="5" t="inlineStr">
        <is>
          <t>5</t>
        </is>
      </c>
      <c r="U1058" s="5" t="inlineStr">
        <is>
          <t>OK</t>
        </is>
      </c>
    </row>
    <row r="1059">
      <c r="A1059" s="5" t="inlineStr">
        <is>
          <t>E00134</t>
        </is>
      </c>
      <c r="B1059" s="5" t="inlineStr">
        <is>
          <t>Male</t>
        </is>
      </c>
      <c r="C1059" s="6" t="inlineStr">
        <is>
          <t>28</t>
        </is>
      </c>
      <c r="D1059" s="5" t="inlineStr">
        <is>
          <t>Married</t>
        </is>
      </c>
      <c r="E1059" s="5" t="inlineStr">
        <is>
          <t>Bachelor</t>
        </is>
      </c>
      <c r="F1059" s="5" t="inlineStr">
        <is>
          <t>Operations</t>
        </is>
      </c>
      <c r="G1059" s="5" t="inlineStr">
        <is>
          <t>Logistics Coordinator</t>
        </is>
      </c>
      <c r="H1059" s="5" t="inlineStr">
        <is>
          <t>1</t>
        </is>
      </c>
      <c r="I1059" s="5" t="inlineStr">
        <is>
          <t>Bengaluru</t>
        </is>
      </c>
      <c r="J1059" s="5" t="inlineStr">
        <is>
          <t>Full-Time</t>
        </is>
      </c>
      <c r="K1059" s="7" t="n">
        <v>45095</v>
      </c>
      <c r="L1059" s="7" t="inlineStr"/>
      <c r="M1059" s="5" t="inlineStr">
        <is>
          <t>Yes</t>
        </is>
      </c>
      <c r="N1059" s="5" t="inlineStr"/>
      <c r="O1059" s="8" t="inlineStr">
        <is>
          <t>82500</t>
        </is>
      </c>
      <c r="P1059" s="5" t="inlineStr">
        <is>
          <t>10</t>
        </is>
      </c>
      <c r="Q1059" s="5" t="inlineStr">
        <is>
          <t>5</t>
        </is>
      </c>
      <c r="R1059" s="5" t="inlineStr">
        <is>
          <t>4</t>
        </is>
      </c>
      <c r="S1059" s="5" t="inlineStr">
        <is>
          <t>30</t>
        </is>
      </c>
      <c r="T1059" s="5" t="inlineStr">
        <is>
          <t>13</t>
        </is>
      </c>
      <c r="U1059" s="5" t="inlineStr">
        <is>
          <t>OK</t>
        </is>
      </c>
    </row>
    <row r="1060">
      <c r="A1060" s="5" t="inlineStr">
        <is>
          <t>E01092</t>
        </is>
      </c>
      <c r="B1060" s="5" t="inlineStr">
        <is>
          <t>Unknown</t>
        </is>
      </c>
      <c r="C1060" s="6" t="inlineStr">
        <is>
          <t>33</t>
        </is>
      </c>
      <c r="D1060" s="5" t="inlineStr">
        <is>
          <t>Married</t>
        </is>
      </c>
      <c r="E1060" s="5" t="inlineStr">
        <is>
          <t>Diploma</t>
        </is>
      </c>
      <c r="F1060" s="5" t="inlineStr">
        <is>
          <t>Sales</t>
        </is>
      </c>
      <c r="G1060" s="5" t="inlineStr">
        <is>
          <t>Business Development</t>
        </is>
      </c>
      <c r="H1060" s="5" t="inlineStr">
        <is>
          <t>2</t>
        </is>
      </c>
      <c r="I1060" s="5" t="inlineStr">
        <is>
          <t>Delhi</t>
        </is>
      </c>
      <c r="J1060" s="5" t="inlineStr">
        <is>
          <t>Part-Time</t>
        </is>
      </c>
      <c r="K1060" s="7" t="n">
        <v>44346</v>
      </c>
      <c r="L1060" s="7" t="inlineStr"/>
      <c r="M1060" s="5" t="inlineStr">
        <is>
          <t>Yes</t>
        </is>
      </c>
      <c r="N1060" s="5" t="inlineStr"/>
      <c r="O1060" s="8" t="inlineStr">
        <is>
          <t>74000</t>
        </is>
      </c>
      <c r="P1060" s="5" t="inlineStr">
        <is>
          <t>0</t>
        </is>
      </c>
      <c r="Q1060" s="5" t="inlineStr">
        <is>
          <t>3</t>
        </is>
      </c>
      <c r="R1060" s="5" t="inlineStr">
        <is>
          <t>6</t>
        </is>
      </c>
      <c r="S1060" s="5" t="inlineStr">
        <is>
          <t>55</t>
        </is>
      </c>
      <c r="T1060" s="5" t="inlineStr">
        <is>
          <t>0</t>
        </is>
      </c>
      <c r="U1060" s="5" t="inlineStr">
        <is>
          <t>Bad gender</t>
        </is>
      </c>
    </row>
    <row r="1061">
      <c r="A1061" s="5" t="inlineStr">
        <is>
          <t>E02586</t>
        </is>
      </c>
      <c r="B1061" s="5" t="inlineStr">
        <is>
          <t>Female</t>
        </is>
      </c>
      <c r="C1061" s="6" t="inlineStr">
        <is>
          <t>31</t>
        </is>
      </c>
      <c r="D1061" s="5" t="inlineStr">
        <is>
          <t>Married</t>
        </is>
      </c>
      <c r="E1061" s="5" t="inlineStr">
        <is>
          <t>High School</t>
        </is>
      </c>
      <c r="F1061" s="5" t="inlineStr">
        <is>
          <t>Operations</t>
        </is>
      </c>
      <c r="G1061" s="5" t="inlineStr">
        <is>
          <t>Logistics Coordinator</t>
        </is>
      </c>
      <c r="H1061" s="5" t="inlineStr">
        <is>
          <t>2</t>
        </is>
      </c>
      <c r="I1061" s="5" t="inlineStr">
        <is>
          <t>Hyderabad</t>
        </is>
      </c>
      <c r="J1061" s="5" t="inlineStr">
        <is>
          <t>Full-Time</t>
        </is>
      </c>
      <c r="K1061" s="7" t="n">
        <v>44561</v>
      </c>
      <c r="L1061" s="7" t="inlineStr"/>
      <c r="M1061" s="5" t="inlineStr">
        <is>
          <t>Yes</t>
        </is>
      </c>
      <c r="N1061" s="5" t="inlineStr"/>
      <c r="O1061" s="8" t="inlineStr">
        <is>
          <t>80000</t>
        </is>
      </c>
      <c r="P1061" s="5" t="inlineStr">
        <is>
          <t>0</t>
        </is>
      </c>
      <c r="Q1061" s="5" t="inlineStr">
        <is>
          <t>2</t>
        </is>
      </c>
      <c r="R1061" s="5" t="inlineStr">
        <is>
          <t>5</t>
        </is>
      </c>
      <c r="S1061" s="5" t="inlineStr">
        <is>
          <t>48</t>
        </is>
      </c>
      <c r="T1061" s="5" t="inlineStr">
        <is>
          <t>12</t>
        </is>
      </c>
      <c r="U1061" s="5" t="inlineStr">
        <is>
          <t>OK</t>
        </is>
      </c>
    </row>
    <row r="1062">
      <c r="A1062" s="5" t="inlineStr">
        <is>
          <t>E02727</t>
        </is>
      </c>
      <c r="B1062" s="5" t="inlineStr">
        <is>
          <t>Female</t>
        </is>
      </c>
      <c r="C1062" s="6" t="inlineStr">
        <is>
          <t>33</t>
        </is>
      </c>
      <c r="D1062" s="5" t="inlineStr">
        <is>
          <t>Married</t>
        </is>
      </c>
      <c r="E1062" s="5" t="inlineStr">
        <is>
          <t>Bachelor</t>
        </is>
      </c>
      <c r="F1062" s="5" t="inlineStr">
        <is>
          <t>Customer Support</t>
        </is>
      </c>
      <c r="G1062" s="5" t="inlineStr">
        <is>
          <t>Support Lead</t>
        </is>
      </c>
      <c r="H1062" s="5" t="inlineStr">
        <is>
          <t>1</t>
        </is>
      </c>
      <c r="I1062" s="5" t="inlineStr">
        <is>
          <t>Chennai</t>
        </is>
      </c>
      <c r="J1062" s="5" t="inlineStr">
        <is>
          <t>Contract</t>
        </is>
      </c>
      <c r="K1062" s="7" t="n">
        <v>45281</v>
      </c>
      <c r="L1062" s="7" t="inlineStr"/>
      <c r="M1062" s="5" t="inlineStr">
        <is>
          <t>Yes</t>
        </is>
      </c>
      <c r="N1062" s="5" t="inlineStr"/>
      <c r="O1062" s="8" t="inlineStr">
        <is>
          <t>52500</t>
        </is>
      </c>
      <c r="P1062" s="5" t="inlineStr">
        <is>
          <t>0</t>
        </is>
      </c>
      <c r="Q1062" s="5" t="inlineStr">
        <is>
          <t>3</t>
        </is>
      </c>
      <c r="R1062" s="5" t="inlineStr">
        <is>
          <t>6</t>
        </is>
      </c>
      <c r="S1062" s="5" t="inlineStr">
        <is>
          <t>24</t>
        </is>
      </c>
      <c r="T1062" s="5" t="inlineStr">
        <is>
          <t>6</t>
        </is>
      </c>
      <c r="U1062" s="5" t="inlineStr">
        <is>
          <t>OK</t>
        </is>
      </c>
    </row>
    <row r="1063">
      <c r="A1063" s="5" t="inlineStr">
        <is>
          <t>E01148</t>
        </is>
      </c>
      <c r="B1063" s="5" t="inlineStr">
        <is>
          <t>Male</t>
        </is>
      </c>
      <c r="C1063" s="6" t="inlineStr">
        <is>
          <t>25</t>
        </is>
      </c>
      <c r="D1063" s="5" t="inlineStr">
        <is>
          <t>Married</t>
        </is>
      </c>
      <c r="E1063" s="5" t="inlineStr">
        <is>
          <t>Master</t>
        </is>
      </c>
      <c r="F1063" s="5" t="inlineStr">
        <is>
          <t>Sales</t>
        </is>
      </c>
      <c r="G1063" s="5" t="inlineStr">
        <is>
          <t>Sales Executive</t>
        </is>
      </c>
      <c r="H1063" s="5" t="inlineStr">
        <is>
          <t>2</t>
        </is>
      </c>
      <c r="I1063" s="5" t="inlineStr">
        <is>
          <t>Bengaluru</t>
        </is>
      </c>
      <c r="J1063" s="5" t="inlineStr">
        <is>
          <t>Full-Time</t>
        </is>
      </c>
      <c r="K1063" s="7" t="n">
        <v>45025</v>
      </c>
      <c r="L1063" s="7" t="inlineStr"/>
      <c r="M1063" s="5" t="inlineStr">
        <is>
          <t>Yes</t>
        </is>
      </c>
      <c r="N1063" s="5" t="inlineStr"/>
      <c r="O1063" s="8" t="inlineStr">
        <is>
          <t>112000</t>
        </is>
      </c>
      <c r="P1063" s="5" t="inlineStr">
        <is>
          <t>5</t>
        </is>
      </c>
      <c r="Q1063" s="5" t="inlineStr">
        <is>
          <t>5</t>
        </is>
      </c>
      <c r="R1063" s="5" t="inlineStr">
        <is>
          <t>6</t>
        </is>
      </c>
      <c r="S1063" s="5" t="inlineStr">
        <is>
          <t>33</t>
        </is>
      </c>
      <c r="T1063" s="5" t="inlineStr">
        <is>
          <t>12</t>
        </is>
      </c>
      <c r="U1063" s="5" t="inlineStr">
        <is>
          <t>OK</t>
        </is>
      </c>
    </row>
    <row r="1064">
      <c r="A1064" s="5" t="inlineStr">
        <is>
          <t>E02296</t>
        </is>
      </c>
      <c r="B1064" s="5" t="inlineStr">
        <is>
          <t>Male</t>
        </is>
      </c>
      <c r="C1064" s="6" t="inlineStr">
        <is>
          <t>31</t>
        </is>
      </c>
      <c r="D1064" s="5" t="inlineStr">
        <is>
          <t>Married</t>
        </is>
      </c>
      <c r="E1064" s="5" t="inlineStr">
        <is>
          <t>High School</t>
        </is>
      </c>
      <c r="F1064" s="5" t="inlineStr">
        <is>
          <t>Operations</t>
        </is>
      </c>
      <c r="G1064" s="5" t="inlineStr">
        <is>
          <t>Operations Analyst</t>
        </is>
      </c>
      <c r="H1064" s="5" t="inlineStr">
        <is>
          <t>2</t>
        </is>
      </c>
      <c r="I1064" s="5" t="inlineStr">
        <is>
          <t>Chennai</t>
        </is>
      </c>
      <c r="J1064" s="5" t="inlineStr">
        <is>
          <t>Full-Time</t>
        </is>
      </c>
      <c r="K1064" s="7" t="n">
        <v>44029</v>
      </c>
      <c r="L1064" s="7" t="inlineStr"/>
      <c r="M1064" s="5" t="inlineStr">
        <is>
          <t>Yes</t>
        </is>
      </c>
      <c r="N1064" s="5" t="inlineStr"/>
      <c r="O1064" s="8" t="inlineStr">
        <is>
          <t>67500</t>
        </is>
      </c>
      <c r="P1064" s="5" t="inlineStr">
        <is>
          <t>0</t>
        </is>
      </c>
      <c r="Q1064" s="5" t="inlineStr">
        <is>
          <t>5</t>
        </is>
      </c>
      <c r="R1064" s="5" t="inlineStr">
        <is>
          <t>5</t>
        </is>
      </c>
      <c r="S1064" s="5" t="inlineStr">
        <is>
          <t>66</t>
        </is>
      </c>
      <c r="T1064" s="5" t="inlineStr">
        <is>
          <t>4</t>
        </is>
      </c>
      <c r="U1064" s="5" t="inlineStr">
        <is>
          <t>OK</t>
        </is>
      </c>
    </row>
    <row r="1065">
      <c r="A1065" s="5" t="inlineStr">
        <is>
          <t>E02599</t>
        </is>
      </c>
      <c r="B1065" s="5" t="inlineStr">
        <is>
          <t>Female</t>
        </is>
      </c>
      <c r="C1065" s="6" t="inlineStr">
        <is>
          <t>41</t>
        </is>
      </c>
      <c r="D1065" s="5" t="inlineStr">
        <is>
          <t>Married</t>
        </is>
      </c>
      <c r="E1065" s="5" t="inlineStr">
        <is>
          <t>Master</t>
        </is>
      </c>
      <c r="F1065" s="5" t="inlineStr">
        <is>
          <t>IT</t>
        </is>
      </c>
      <c r="G1065" s="5" t="inlineStr">
        <is>
          <t>Data Analyst</t>
        </is>
      </c>
      <c r="H1065" s="5" t="inlineStr">
        <is>
          <t>6</t>
        </is>
      </c>
      <c r="I1065" s="5" t="inlineStr">
        <is>
          <t>Remote</t>
        </is>
      </c>
      <c r="J1065" s="5" t="inlineStr">
        <is>
          <t>Full-Time</t>
        </is>
      </c>
      <c r="K1065" s="7" t="n">
        <v>44059</v>
      </c>
      <c r="L1065" s="7" t="inlineStr"/>
      <c r="M1065" s="5" t="inlineStr">
        <is>
          <t>Yes</t>
        </is>
      </c>
      <c r="N1065" s="5" t="inlineStr"/>
      <c r="O1065" s="8" t="inlineStr">
        <is>
          <t>182000</t>
        </is>
      </c>
      <c r="P1065" s="5" t="inlineStr">
        <is>
          <t>10</t>
        </is>
      </c>
      <c r="Q1065" s="5" t="inlineStr">
        <is>
          <t>3</t>
        </is>
      </c>
      <c r="R1065" s="5" t="inlineStr">
        <is>
          <t>4</t>
        </is>
      </c>
      <c r="S1065" s="5" t="inlineStr">
        <is>
          <t>65</t>
        </is>
      </c>
      <c r="T1065" s="5" t="inlineStr">
        <is>
          <t>4</t>
        </is>
      </c>
      <c r="U1065" s="5" t="inlineStr">
        <is>
          <t>OK</t>
        </is>
      </c>
    </row>
    <row r="1066">
      <c r="A1066" s="5" t="inlineStr">
        <is>
          <t>E00759</t>
        </is>
      </c>
      <c r="B1066" s="5" t="inlineStr">
        <is>
          <t>Female</t>
        </is>
      </c>
      <c r="C1066" s="6" t="inlineStr">
        <is>
          <t>31</t>
        </is>
      </c>
      <c r="D1066" s="5" t="inlineStr">
        <is>
          <t>Married</t>
        </is>
      </c>
      <c r="E1066" s="5" t="inlineStr">
        <is>
          <t>PhD</t>
        </is>
      </c>
      <c r="F1066" s="5" t="inlineStr">
        <is>
          <t>IT</t>
        </is>
      </c>
      <c r="G1066" s="5" t="inlineStr">
        <is>
          <t>Software Engineer</t>
        </is>
      </c>
      <c r="H1066" s="5" t="inlineStr">
        <is>
          <t>1</t>
        </is>
      </c>
      <c r="I1066" s="5" t="inlineStr">
        <is>
          <t>Hyderabad</t>
        </is>
      </c>
      <c r="J1066" s="5" t="inlineStr">
        <is>
          <t>Full-Time</t>
        </is>
      </c>
      <c r="K1066" s="7" t="n">
        <v>45871</v>
      </c>
      <c r="L1066" s="7" t="inlineStr"/>
      <c r="M1066" s="5" t="inlineStr">
        <is>
          <t>Yes</t>
        </is>
      </c>
      <c r="N1066" s="5" t="inlineStr"/>
      <c r="O1066" s="8" t="inlineStr">
        <is>
          <t>109000</t>
        </is>
      </c>
      <c r="P1066" s="5" t="inlineStr">
        <is>
          <t>10</t>
        </is>
      </c>
      <c r="Q1066" s="5" t="inlineStr">
        <is>
          <t>5</t>
        </is>
      </c>
      <c r="R1066" s="5" t="inlineStr">
        <is>
          <t>4</t>
        </is>
      </c>
      <c r="S1066" s="5" t="inlineStr">
        <is>
          <t>5</t>
        </is>
      </c>
      <c r="T1066" s="5" t="inlineStr">
        <is>
          <t>6</t>
        </is>
      </c>
      <c r="U1066" s="5" t="inlineStr">
        <is>
          <t>OK</t>
        </is>
      </c>
    </row>
    <row r="1067">
      <c r="A1067" s="5" t="inlineStr">
        <is>
          <t>E00201</t>
        </is>
      </c>
      <c r="B1067" s="5" t="inlineStr">
        <is>
          <t>Male</t>
        </is>
      </c>
      <c r="C1067" s="6" t="inlineStr">
        <is>
          <t>46</t>
        </is>
      </c>
      <c r="D1067" s="5" t="inlineStr">
        <is>
          <t>Married</t>
        </is>
      </c>
      <c r="E1067" s="5" t="inlineStr">
        <is>
          <t>High School</t>
        </is>
      </c>
      <c r="F1067" s="5" t="inlineStr">
        <is>
          <t>IT</t>
        </is>
      </c>
      <c r="G1067" s="5" t="inlineStr">
        <is>
          <t>Data Analyst</t>
        </is>
      </c>
      <c r="H1067" s="5" t="inlineStr">
        <is>
          <t>7</t>
        </is>
      </c>
      <c r="I1067" s="5" t="inlineStr">
        <is>
          <t>Remote</t>
        </is>
      </c>
      <c r="J1067" s="5" t="inlineStr">
        <is>
          <t>Contract</t>
        </is>
      </c>
      <c r="K1067" s="7" t="n">
        <v>45400</v>
      </c>
      <c r="L1067" s="7" t="inlineStr"/>
      <c r="M1067" s="5" t="inlineStr">
        <is>
          <t>Yes</t>
        </is>
      </c>
      <c r="N1067" s="5" t="inlineStr"/>
      <c r="O1067" s="8" t="inlineStr">
        <is>
          <t>210000</t>
        </is>
      </c>
      <c r="P1067" s="5" t="inlineStr">
        <is>
          <t>20</t>
        </is>
      </c>
      <c r="Q1067" s="5" t="inlineStr">
        <is>
          <t>2</t>
        </is>
      </c>
      <c r="R1067" s="5" t="inlineStr">
        <is>
          <t>7</t>
        </is>
      </c>
      <c r="S1067" s="5" t="inlineStr">
        <is>
          <t>20</t>
        </is>
      </c>
      <c r="T1067" s="5" t="inlineStr">
        <is>
          <t>7</t>
        </is>
      </c>
      <c r="U1067" s="5" t="inlineStr">
        <is>
          <t>OK</t>
        </is>
      </c>
    </row>
    <row r="1068">
      <c r="A1068" s="5" t="inlineStr">
        <is>
          <t>E02479</t>
        </is>
      </c>
      <c r="B1068" s="5" t="inlineStr">
        <is>
          <t>Female</t>
        </is>
      </c>
      <c r="C1068" s="6" t="inlineStr">
        <is>
          <t>37</t>
        </is>
      </c>
      <c r="D1068" s="5" t="inlineStr">
        <is>
          <t>Married</t>
        </is>
      </c>
      <c r="E1068" s="5" t="inlineStr">
        <is>
          <t>Diploma</t>
        </is>
      </c>
      <c r="F1068" s="5" t="inlineStr">
        <is>
          <t>IT</t>
        </is>
      </c>
      <c r="G1068" s="5" t="inlineStr">
        <is>
          <t>IT Support</t>
        </is>
      </c>
      <c r="H1068" s="5" t="inlineStr">
        <is>
          <t>5</t>
        </is>
      </c>
      <c r="I1068" s="5" t="inlineStr">
        <is>
          <t>Hyderabad</t>
        </is>
      </c>
      <c r="J1068" s="5" t="inlineStr">
        <is>
          <t>Full-Time</t>
        </is>
      </c>
      <c r="K1068" s="7" t="n">
        <v>45067</v>
      </c>
      <c r="L1068" s="7" t="n">
        <v>45151</v>
      </c>
      <c r="M1068" s="5" t="inlineStr">
        <is>
          <t>No</t>
        </is>
      </c>
      <c r="N1068" s="5" t="inlineStr">
        <is>
          <t>Layoff</t>
        </is>
      </c>
      <c r="O1068" s="8" t="inlineStr">
        <is>
          <t>156500</t>
        </is>
      </c>
      <c r="P1068" s="5" t="inlineStr">
        <is>
          <t>5</t>
        </is>
      </c>
      <c r="Q1068" s="5" t="inlineStr">
        <is>
          <t>3</t>
        </is>
      </c>
      <c r="R1068" s="5" t="inlineStr">
        <is>
          <t>5</t>
        </is>
      </c>
      <c r="S1068" s="5" t="inlineStr">
        <is>
          <t>2</t>
        </is>
      </c>
      <c r="T1068" s="5" t="inlineStr">
        <is>
          <t>3</t>
        </is>
      </c>
      <c r="U1068" s="5" t="inlineStr">
        <is>
          <t>OK</t>
        </is>
      </c>
    </row>
    <row r="1069">
      <c r="A1069" s="5" t="inlineStr">
        <is>
          <t>E00697</t>
        </is>
      </c>
      <c r="B1069" s="5" t="inlineStr">
        <is>
          <t>Male</t>
        </is>
      </c>
      <c r="C1069" s="6" t="inlineStr">
        <is>
          <t>31</t>
        </is>
      </c>
      <c r="D1069" s="5" t="inlineStr">
        <is>
          <t>Single</t>
        </is>
      </c>
      <c r="E1069" s="5" t="inlineStr">
        <is>
          <t>High School</t>
        </is>
      </c>
      <c r="F1069" s="5" t="inlineStr">
        <is>
          <t>Human Resources</t>
        </is>
      </c>
      <c r="G1069" s="5" t="inlineStr">
        <is>
          <t>HR Analyst</t>
        </is>
      </c>
      <c r="H1069" s="5" t="inlineStr">
        <is>
          <t>3</t>
        </is>
      </c>
      <c r="I1069" s="5" t="inlineStr">
        <is>
          <t>Bengaluru</t>
        </is>
      </c>
      <c r="J1069" s="5" t="inlineStr">
        <is>
          <t>Full-Time</t>
        </is>
      </c>
      <c r="K1069" s="7" t="n">
        <v>45402</v>
      </c>
      <c r="L1069" s="7" t="inlineStr"/>
      <c r="M1069" s="5" t="inlineStr">
        <is>
          <t>Yes</t>
        </is>
      </c>
      <c r="N1069" s="5" t="inlineStr"/>
      <c r="O1069" s="8" t="inlineStr">
        <is>
          <t>73500</t>
        </is>
      </c>
      <c r="P1069" s="5" t="inlineStr">
        <is>
          <t>15</t>
        </is>
      </c>
      <c r="Q1069" s="5" t="inlineStr">
        <is>
          <t>4</t>
        </is>
      </c>
      <c r="R1069" s="5" t="inlineStr">
        <is>
          <t>3</t>
        </is>
      </c>
      <c r="S1069" s="5" t="inlineStr">
        <is>
          <t>20</t>
        </is>
      </c>
      <c r="T1069" s="5" t="inlineStr">
        <is>
          <t>12</t>
        </is>
      </c>
      <c r="U1069" s="5" t="inlineStr">
        <is>
          <t>OK</t>
        </is>
      </c>
    </row>
    <row r="1070">
      <c r="A1070" s="5" t="inlineStr">
        <is>
          <t>E02311</t>
        </is>
      </c>
      <c r="B1070" s="5" t="inlineStr">
        <is>
          <t>Male</t>
        </is>
      </c>
      <c r="C1070" s="6" t="inlineStr">
        <is>
          <t>38</t>
        </is>
      </c>
      <c r="D1070" s="5" t="inlineStr">
        <is>
          <t>Married</t>
        </is>
      </c>
      <c r="E1070" s="5" t="inlineStr">
        <is>
          <t>Diploma</t>
        </is>
      </c>
      <c r="F1070" s="5" t="inlineStr">
        <is>
          <t>Finance</t>
        </is>
      </c>
      <c r="G1070" s="5" t="inlineStr">
        <is>
          <t>Accountant</t>
        </is>
      </c>
      <c r="H1070" s="5" t="inlineStr">
        <is>
          <t>7</t>
        </is>
      </c>
      <c r="I1070" s="5" t="inlineStr">
        <is>
          <t>Chennai</t>
        </is>
      </c>
      <c r="J1070" s="5" t="inlineStr">
        <is>
          <t>Full-Time</t>
        </is>
      </c>
      <c r="K1070" s="7" t="n">
        <v>45325</v>
      </c>
      <c r="L1070" s="7" t="inlineStr"/>
      <c r="M1070" s="5" t="inlineStr">
        <is>
          <t>Yes</t>
        </is>
      </c>
      <c r="N1070" s="5" t="inlineStr"/>
      <c r="O1070" s="8" t="inlineStr">
        <is>
          <t>206000</t>
        </is>
      </c>
      <c r="P1070" s="5" t="inlineStr">
        <is>
          <t>0</t>
        </is>
      </c>
      <c r="Q1070" s="5" t="inlineStr">
        <is>
          <t>4</t>
        </is>
      </c>
      <c r="R1070" s="5" t="inlineStr">
        <is>
          <t>9</t>
        </is>
      </c>
      <c r="S1070" s="5" t="inlineStr">
        <is>
          <t>23</t>
        </is>
      </c>
      <c r="T1070" s="5" t="inlineStr">
        <is>
          <t>11</t>
        </is>
      </c>
      <c r="U1070" s="5" t="inlineStr">
        <is>
          <t>OK</t>
        </is>
      </c>
    </row>
    <row r="1071">
      <c r="A1071" s="5" t="inlineStr">
        <is>
          <t>E02866</t>
        </is>
      </c>
      <c r="B1071" s="5" t="inlineStr">
        <is>
          <t>Male</t>
        </is>
      </c>
      <c r="C1071" s="6" t="inlineStr">
        <is>
          <t>29</t>
        </is>
      </c>
      <c r="D1071" s="5" t="inlineStr">
        <is>
          <t>Single</t>
        </is>
      </c>
      <c r="E1071" s="5" t="inlineStr">
        <is>
          <t>High School</t>
        </is>
      </c>
      <c r="F1071" s="5" t="inlineStr">
        <is>
          <t>Finance</t>
        </is>
      </c>
      <c r="G1071" s="5" t="inlineStr">
        <is>
          <t>Accountant</t>
        </is>
      </c>
      <c r="H1071" s="5" t="inlineStr">
        <is>
          <t>3</t>
        </is>
      </c>
      <c r="I1071" s="5" t="inlineStr">
        <is>
          <t>Remote</t>
        </is>
      </c>
      <c r="J1071" s="5" t="inlineStr">
        <is>
          <t>Full-Time</t>
        </is>
      </c>
      <c r="K1071" s="7" t="n">
        <v>44620</v>
      </c>
      <c r="L1071" s="7" t="inlineStr"/>
      <c r="M1071" s="5" t="inlineStr">
        <is>
          <t>Yes</t>
        </is>
      </c>
      <c r="N1071" s="5" t="inlineStr"/>
      <c r="O1071" s="8" t="inlineStr">
        <is>
          <t>128000</t>
        </is>
      </c>
      <c r="P1071" s="5" t="inlineStr">
        <is>
          <t>0</t>
        </is>
      </c>
      <c r="Q1071" s="5" t="inlineStr">
        <is>
          <t>4</t>
        </is>
      </c>
      <c r="R1071" s="5" t="inlineStr">
        <is>
          <t>8</t>
        </is>
      </c>
      <c r="S1071" s="5" t="inlineStr">
        <is>
          <t>46</t>
        </is>
      </c>
      <c r="T1071" s="5" t="inlineStr">
        <is>
          <t>2</t>
        </is>
      </c>
      <c r="U1071" s="5" t="inlineStr">
        <is>
          <t>OK</t>
        </is>
      </c>
    </row>
    <row r="1072">
      <c r="A1072" s="5" t="inlineStr">
        <is>
          <t>E00829</t>
        </is>
      </c>
      <c r="B1072" s="5" t="inlineStr">
        <is>
          <t>Male</t>
        </is>
      </c>
      <c r="C1072" s="6" t="inlineStr">
        <is>
          <t>31</t>
        </is>
      </c>
      <c r="D1072" s="5" t="inlineStr">
        <is>
          <t>Single</t>
        </is>
      </c>
      <c r="E1072" s="5" t="inlineStr">
        <is>
          <t>Diploma</t>
        </is>
      </c>
      <c r="F1072" s="5" t="inlineStr">
        <is>
          <t>Research &amp; Development</t>
        </is>
      </c>
      <c r="G1072" s="5" t="inlineStr">
        <is>
          <t>Research Scientist</t>
        </is>
      </c>
      <c r="H1072" s="5" t="inlineStr">
        <is>
          <t>4</t>
        </is>
      </c>
      <c r="I1072" s="5" t="inlineStr">
        <is>
          <t>Chennai</t>
        </is>
      </c>
      <c r="J1072" s="5" t="inlineStr">
        <is>
          <t>Full-Time</t>
        </is>
      </c>
      <c r="K1072" s="7" t="n">
        <v>44602</v>
      </c>
      <c r="L1072" s="7" t="inlineStr"/>
      <c r="M1072" s="5" t="inlineStr">
        <is>
          <t>Yes</t>
        </is>
      </c>
      <c r="N1072" s="5" t="inlineStr"/>
      <c r="O1072" s="8" t="inlineStr">
        <is>
          <t>132000</t>
        </is>
      </c>
      <c r="P1072" s="5" t="inlineStr">
        <is>
          <t>0</t>
        </is>
      </c>
      <c r="Q1072" s="5" t="inlineStr">
        <is>
          <t>5</t>
        </is>
      </c>
      <c r="R1072" s="5" t="inlineStr">
        <is>
          <t>5</t>
        </is>
      </c>
      <c r="S1072" s="5" t="inlineStr">
        <is>
          <t>47</t>
        </is>
      </c>
      <c r="T1072" s="5" t="inlineStr">
        <is>
          <t>13</t>
        </is>
      </c>
      <c r="U1072" s="5" t="inlineStr">
        <is>
          <t>OK</t>
        </is>
      </c>
    </row>
    <row r="1073">
      <c r="A1073" s="5" t="inlineStr">
        <is>
          <t>E01632</t>
        </is>
      </c>
      <c r="B1073" s="5" t="inlineStr">
        <is>
          <t>Female</t>
        </is>
      </c>
      <c r="C1073" s="6" t="inlineStr">
        <is>
          <t>23</t>
        </is>
      </c>
      <c r="D1073" s="5" t="inlineStr">
        <is>
          <t>Married</t>
        </is>
      </c>
      <c r="E1073" s="5" t="inlineStr">
        <is>
          <t>Master</t>
        </is>
      </c>
      <c r="F1073" s="5" t="inlineStr">
        <is>
          <t>IT</t>
        </is>
      </c>
      <c r="G1073" s="5" t="inlineStr">
        <is>
          <t>Software Engineer</t>
        </is>
      </c>
      <c r="H1073" s="5" t="inlineStr">
        <is>
          <t>1</t>
        </is>
      </c>
      <c r="I1073" s="5" t="inlineStr">
        <is>
          <t>Bengaluru</t>
        </is>
      </c>
      <c r="J1073" s="5" t="inlineStr">
        <is>
          <t>Contract</t>
        </is>
      </c>
      <c r="K1073" s="7" t="n">
        <v>43892</v>
      </c>
      <c r="L1073" s="7" t="n">
        <v>43998</v>
      </c>
      <c r="M1073" s="5" t="inlineStr">
        <is>
          <t>No</t>
        </is>
      </c>
      <c r="N1073" s="5" t="inlineStr">
        <is>
          <t>Resigned</t>
        </is>
      </c>
      <c r="O1073" s="8" t="inlineStr">
        <is>
          <t>136500</t>
        </is>
      </c>
      <c r="P1073" s="5" t="inlineStr">
        <is>
          <t>5</t>
        </is>
      </c>
      <c r="Q1073" s="5" t="inlineStr">
        <is>
          <t>3</t>
        </is>
      </c>
      <c r="R1073" s="5" t="inlineStr">
        <is>
          <t>7</t>
        </is>
      </c>
      <c r="S1073" s="5" t="inlineStr">
        <is>
          <t>3</t>
        </is>
      </c>
      <c r="T1073" s="5" t="inlineStr">
        <is>
          <t>8</t>
        </is>
      </c>
      <c r="U1073" s="5" t="inlineStr">
        <is>
          <t>OK</t>
        </is>
      </c>
    </row>
    <row r="1074">
      <c r="A1074" s="5" t="inlineStr">
        <is>
          <t>E01981</t>
        </is>
      </c>
      <c r="B1074" s="5" t="inlineStr">
        <is>
          <t>Male</t>
        </is>
      </c>
      <c r="C1074" s="6" t="inlineStr">
        <is>
          <t>38</t>
        </is>
      </c>
      <c r="D1074" s="5" t="inlineStr">
        <is>
          <t>Single</t>
        </is>
      </c>
      <c r="E1074" s="5" t="inlineStr">
        <is>
          <t>PhD</t>
        </is>
      </c>
      <c r="F1074" s="5" t="inlineStr">
        <is>
          <t>Operations</t>
        </is>
      </c>
      <c r="G1074" s="5" t="inlineStr">
        <is>
          <t>Quality Analyst</t>
        </is>
      </c>
      <c r="H1074" s="5" t="inlineStr">
        <is>
          <t>7</t>
        </is>
      </c>
      <c r="I1074" s="5" t="inlineStr">
        <is>
          <t>Mumbai</t>
        </is>
      </c>
      <c r="J1074" s="5" t="inlineStr">
        <is>
          <t>Full-Time</t>
        </is>
      </c>
      <c r="K1074" s="7" t="n">
        <v>44134</v>
      </c>
      <c r="L1074" s="7" t="inlineStr"/>
      <c r="M1074" s="5" t="inlineStr">
        <is>
          <t>Yes</t>
        </is>
      </c>
      <c r="N1074" s="5" t="inlineStr"/>
      <c r="O1074" s="8" t="inlineStr">
        <is>
          <t>177000</t>
        </is>
      </c>
      <c r="P1074" s="5" t="inlineStr">
        <is>
          <t>0</t>
        </is>
      </c>
      <c r="Q1074" s="5" t="inlineStr">
        <is>
          <t>3</t>
        </is>
      </c>
      <c r="R1074" s="5" t="inlineStr">
        <is>
          <t>6</t>
        </is>
      </c>
      <c r="S1074" s="5" t="inlineStr">
        <is>
          <t>62</t>
        </is>
      </c>
      <c r="T1074" s="5" t="inlineStr">
        <is>
          <t>0</t>
        </is>
      </c>
      <c r="U1074" s="5" t="inlineStr">
        <is>
          <t>OK</t>
        </is>
      </c>
    </row>
    <row r="1075">
      <c r="A1075" s="5" t="inlineStr">
        <is>
          <t>E00592</t>
        </is>
      </c>
      <c r="B1075" s="5" t="inlineStr">
        <is>
          <t>Male</t>
        </is>
      </c>
      <c r="C1075" s="6" t="inlineStr">
        <is>
          <t>26</t>
        </is>
      </c>
      <c r="D1075" s="5" t="inlineStr">
        <is>
          <t>Married</t>
        </is>
      </c>
      <c r="E1075" s="5" t="inlineStr">
        <is>
          <t>High School</t>
        </is>
      </c>
      <c r="F1075" s="5" t="inlineStr">
        <is>
          <t>Operations</t>
        </is>
      </c>
      <c r="G1075" s="5" t="inlineStr">
        <is>
          <t>Logistics Coordinator</t>
        </is>
      </c>
      <c r="H1075" s="5" t="inlineStr">
        <is>
          <t>2</t>
        </is>
      </c>
      <c r="I1075" s="5" t="inlineStr">
        <is>
          <t>Mumbai</t>
        </is>
      </c>
      <c r="J1075" s="5" t="inlineStr">
        <is>
          <t>Part-Time</t>
        </is>
      </c>
      <c r="K1075" s="7" t="n">
        <v>44744</v>
      </c>
      <c r="L1075" s="7" t="inlineStr"/>
      <c r="M1075" s="5" t="inlineStr">
        <is>
          <t>Yes</t>
        </is>
      </c>
      <c r="N1075" s="5" t="inlineStr"/>
      <c r="O1075" s="8" t="inlineStr">
        <is>
          <t>77000</t>
        </is>
      </c>
      <c r="P1075" s="5" t="inlineStr">
        <is>
          <t>5</t>
        </is>
      </c>
      <c r="Q1075" s="5" t="inlineStr">
        <is>
          <t>4</t>
        </is>
      </c>
      <c r="R1075" s="5" t="inlineStr">
        <is>
          <t>7</t>
        </is>
      </c>
      <c r="S1075" s="5" t="inlineStr">
        <is>
          <t>42</t>
        </is>
      </c>
      <c r="T1075" s="5" t="inlineStr">
        <is>
          <t>0</t>
        </is>
      </c>
      <c r="U1075" s="5" t="inlineStr">
        <is>
          <t>OK</t>
        </is>
      </c>
    </row>
    <row r="1076">
      <c r="A1076" s="5" t="inlineStr">
        <is>
          <t>E02905</t>
        </is>
      </c>
      <c r="B1076" s="5" t="inlineStr">
        <is>
          <t>Female</t>
        </is>
      </c>
      <c r="C1076" s="6" t="inlineStr">
        <is>
          <t>30</t>
        </is>
      </c>
      <c r="D1076" s="5" t="inlineStr">
        <is>
          <t>Divorced</t>
        </is>
      </c>
      <c r="E1076" s="5" t="inlineStr">
        <is>
          <t>Diploma</t>
        </is>
      </c>
      <c r="F1076" s="5" t="inlineStr">
        <is>
          <t>Marketing</t>
        </is>
      </c>
      <c r="G1076" s="5" t="inlineStr">
        <is>
          <t>Marketing Analyst</t>
        </is>
      </c>
      <c r="H1076" s="5" t="inlineStr">
        <is>
          <t>4</t>
        </is>
      </c>
      <c r="I1076" s="5" t="inlineStr">
        <is>
          <t>Bengaluru</t>
        </is>
      </c>
      <c r="J1076" s="5" t="inlineStr">
        <is>
          <t>Full-Time</t>
        </is>
      </c>
      <c r="K1076" s="7" t="n">
        <v>44153</v>
      </c>
      <c r="L1076" s="7" t="inlineStr"/>
      <c r="M1076" s="5" t="inlineStr">
        <is>
          <t>Yes</t>
        </is>
      </c>
      <c r="N1076" s="5" t="inlineStr"/>
      <c r="O1076" s="8" t="inlineStr">
        <is>
          <t>96000</t>
        </is>
      </c>
      <c r="P1076" s="5" t="inlineStr">
        <is>
          <t>0</t>
        </is>
      </c>
      <c r="Q1076" s="5" t="inlineStr">
        <is>
          <t>3</t>
        </is>
      </c>
      <c r="R1076" s="5" t="inlineStr">
        <is>
          <t>2</t>
        </is>
      </c>
      <c r="S1076" s="5" t="inlineStr">
        <is>
          <t>62</t>
        </is>
      </c>
      <c r="T1076" s="5" t="inlineStr">
        <is>
          <t>8</t>
        </is>
      </c>
      <c r="U1076" s="5" t="inlineStr">
        <is>
          <t>OK</t>
        </is>
      </c>
    </row>
    <row r="1077">
      <c r="A1077" s="5" t="inlineStr">
        <is>
          <t>E01866</t>
        </is>
      </c>
      <c r="B1077" s="5" t="inlineStr">
        <is>
          <t>Female</t>
        </is>
      </c>
      <c r="C1077" s="6" t="inlineStr">
        <is>
          <t>39</t>
        </is>
      </c>
      <c r="D1077" s="5" t="inlineStr">
        <is>
          <t>Married</t>
        </is>
      </c>
      <c r="E1077" s="5" t="inlineStr">
        <is>
          <t>Diploma</t>
        </is>
      </c>
      <c r="F1077" s="5" t="inlineStr">
        <is>
          <t>IT</t>
        </is>
      </c>
      <c r="G1077" s="5" t="inlineStr">
        <is>
          <t>IT Support</t>
        </is>
      </c>
      <c r="H1077" s="5" t="inlineStr">
        <is>
          <t>4</t>
        </is>
      </c>
      <c r="I1077" s="5" t="inlineStr">
        <is>
          <t>Remote</t>
        </is>
      </c>
      <c r="J1077" s="5" t="inlineStr">
        <is>
          <t>Full-Time</t>
        </is>
      </c>
      <c r="K1077" s="7" t="n">
        <v>44308</v>
      </c>
      <c r="L1077" s="7" t="inlineStr"/>
      <c r="M1077" s="5" t="inlineStr">
        <is>
          <t>Yes</t>
        </is>
      </c>
      <c r="N1077" s="5" t="inlineStr"/>
      <c r="O1077" s="8" t="inlineStr">
        <is>
          <t>179000</t>
        </is>
      </c>
      <c r="P1077" s="5" t="inlineStr">
        <is>
          <t>0</t>
        </is>
      </c>
      <c r="Q1077" s="5" t="inlineStr">
        <is>
          <t>3</t>
        </is>
      </c>
      <c r="R1077" s="5" t="inlineStr">
        <is>
          <t>6</t>
        </is>
      </c>
      <c r="S1077" s="5" t="inlineStr">
        <is>
          <t>57</t>
        </is>
      </c>
      <c r="T1077" s="5" t="inlineStr">
        <is>
          <t>0</t>
        </is>
      </c>
      <c r="U1077" s="5" t="inlineStr">
        <is>
          <t>OK</t>
        </is>
      </c>
    </row>
    <row r="1078">
      <c r="A1078" s="5" t="inlineStr">
        <is>
          <t>E02183</t>
        </is>
      </c>
      <c r="B1078" s="5" t="inlineStr">
        <is>
          <t>Male</t>
        </is>
      </c>
      <c r="C1078" s="6" t="inlineStr">
        <is>
          <t>30</t>
        </is>
      </c>
      <c r="D1078" s="5" t="inlineStr">
        <is>
          <t>Married</t>
        </is>
      </c>
      <c r="E1078" s="5" t="inlineStr">
        <is>
          <t>Bachelor</t>
        </is>
      </c>
      <c r="F1078" s="5" t="inlineStr">
        <is>
          <t>IT</t>
        </is>
      </c>
      <c r="G1078" s="5" t="inlineStr">
        <is>
          <t>Data Analyst</t>
        </is>
      </c>
      <c r="H1078" s="5" t="inlineStr">
        <is>
          <t>2</t>
        </is>
      </c>
      <c r="I1078" s="5" t="inlineStr">
        <is>
          <t>Remote</t>
        </is>
      </c>
      <c r="J1078" s="5" t="inlineStr">
        <is>
          <t>Full-Time</t>
        </is>
      </c>
      <c r="K1078" s="7" t="n">
        <v>44942</v>
      </c>
      <c r="L1078" s="7" t="inlineStr"/>
      <c r="M1078" s="5" t="inlineStr">
        <is>
          <t>Yes</t>
        </is>
      </c>
      <c r="N1078" s="5" t="inlineStr"/>
      <c r="O1078" s="8" t="inlineStr">
        <is>
          <t>146500</t>
        </is>
      </c>
      <c r="P1078" s="5" t="inlineStr">
        <is>
          <t>15</t>
        </is>
      </c>
      <c r="Q1078" s="5" t="inlineStr">
        <is>
          <t>4</t>
        </is>
      </c>
      <c r="R1078" s="5" t="inlineStr">
        <is>
          <t>9</t>
        </is>
      </c>
      <c r="S1078" s="5" t="inlineStr">
        <is>
          <t>36</t>
        </is>
      </c>
      <c r="T1078" s="5" t="inlineStr">
        <is>
          <t>9</t>
        </is>
      </c>
      <c r="U1078" s="5" t="inlineStr">
        <is>
          <t>OK</t>
        </is>
      </c>
    </row>
    <row r="1079">
      <c r="A1079" s="5" t="inlineStr">
        <is>
          <t>E00267</t>
        </is>
      </c>
      <c r="B1079" s="5" t="inlineStr">
        <is>
          <t>Male</t>
        </is>
      </c>
      <c r="C1079" s="6" t="inlineStr">
        <is>
          <t>43</t>
        </is>
      </c>
      <c r="D1079" s="5" t="inlineStr">
        <is>
          <t>Married</t>
        </is>
      </c>
      <c r="E1079" s="5" t="inlineStr">
        <is>
          <t>Diploma</t>
        </is>
      </c>
      <c r="F1079" s="5" t="inlineStr">
        <is>
          <t>Human Resources</t>
        </is>
      </c>
      <c r="G1079" s="5" t="inlineStr">
        <is>
          <t>HR Analyst</t>
        </is>
      </c>
      <c r="H1079" s="5" t="inlineStr">
        <is>
          <t>6</t>
        </is>
      </c>
      <c r="I1079" s="5" t="inlineStr">
        <is>
          <t>Chennai</t>
        </is>
      </c>
      <c r="J1079" s="5" t="inlineStr">
        <is>
          <t>Full-Time</t>
        </is>
      </c>
      <c r="K1079" s="7" t="n">
        <v>45101</v>
      </c>
      <c r="L1079" s="7" t="inlineStr"/>
      <c r="M1079" s="5" t="inlineStr">
        <is>
          <t>Yes</t>
        </is>
      </c>
      <c r="N1079" s="5" t="inlineStr"/>
      <c r="O1079" s="8" t="inlineStr">
        <is>
          <t>127500</t>
        </is>
      </c>
      <c r="P1079" s="5" t="inlineStr">
        <is>
          <t>10</t>
        </is>
      </c>
      <c r="Q1079" s="5" t="inlineStr">
        <is>
          <t>4</t>
        </is>
      </c>
      <c r="R1079" s="5" t="inlineStr">
        <is>
          <t>6</t>
        </is>
      </c>
      <c r="S1079" s="5" t="inlineStr">
        <is>
          <t>30</t>
        </is>
      </c>
      <c r="T1079" s="5" t="inlineStr">
        <is>
          <t>10</t>
        </is>
      </c>
      <c r="U1079" s="5" t="inlineStr">
        <is>
          <t>OK</t>
        </is>
      </c>
    </row>
    <row r="1080">
      <c r="A1080" s="5" t="inlineStr">
        <is>
          <t>E02293</t>
        </is>
      </c>
      <c r="B1080" s="5" t="inlineStr">
        <is>
          <t>Male</t>
        </is>
      </c>
      <c r="C1080" s="6" t="inlineStr">
        <is>
          <t>28</t>
        </is>
      </c>
      <c r="D1080" s="5" t="inlineStr">
        <is>
          <t>Married</t>
        </is>
      </c>
      <c r="E1080" s="5" t="inlineStr">
        <is>
          <t>Diploma</t>
        </is>
      </c>
      <c r="F1080" s="5" t="inlineStr">
        <is>
          <t>Research &amp; Development</t>
        </is>
      </c>
      <c r="G1080" s="5" t="inlineStr">
        <is>
          <t>Data Scientist</t>
        </is>
      </c>
      <c r="H1080" s="5" t="inlineStr">
        <is>
          <t>3</t>
        </is>
      </c>
      <c r="I1080" s="5" t="inlineStr">
        <is>
          <t>Bengaluru</t>
        </is>
      </c>
      <c r="J1080" s="5" t="inlineStr">
        <is>
          <t>Part-Time</t>
        </is>
      </c>
      <c r="K1080" s="7" t="n">
        <v>44837</v>
      </c>
      <c r="L1080" s="7" t="inlineStr"/>
      <c r="M1080" s="5" t="inlineStr">
        <is>
          <t>Yes</t>
        </is>
      </c>
      <c r="N1080" s="5" t="inlineStr"/>
      <c r="O1080" s="8" t="inlineStr">
        <is>
          <t>140000</t>
        </is>
      </c>
      <c r="P1080" s="5" t="inlineStr">
        <is>
          <t>5</t>
        </is>
      </c>
      <c r="Q1080" s="5" t="inlineStr">
        <is>
          <t>4</t>
        </is>
      </c>
      <c r="R1080" s="5" t="inlineStr">
        <is>
          <t>6</t>
        </is>
      </c>
      <c r="S1080" s="5" t="inlineStr">
        <is>
          <t>39</t>
        </is>
      </c>
      <c r="T1080" s="5" t="inlineStr">
        <is>
          <t>9</t>
        </is>
      </c>
      <c r="U1080" s="5" t="inlineStr">
        <is>
          <t>OK</t>
        </is>
      </c>
    </row>
    <row r="1081">
      <c r="A1081" s="5" t="inlineStr">
        <is>
          <t>E00920</t>
        </is>
      </c>
      <c r="B1081" s="5" t="inlineStr">
        <is>
          <t>Female</t>
        </is>
      </c>
      <c r="C1081" s="6" t="inlineStr">
        <is>
          <t>27</t>
        </is>
      </c>
      <c r="D1081" s="5" t="inlineStr">
        <is>
          <t>Married</t>
        </is>
      </c>
      <c r="E1081" s="5" t="inlineStr">
        <is>
          <t>Master</t>
        </is>
      </c>
      <c r="F1081" s="5" t="inlineStr">
        <is>
          <t>IT</t>
        </is>
      </c>
      <c r="G1081" s="5" t="inlineStr">
        <is>
          <t>Software Engineer</t>
        </is>
      </c>
      <c r="H1081" s="5" t="inlineStr">
        <is>
          <t>3</t>
        </is>
      </c>
      <c r="I1081" s="5" t="inlineStr">
        <is>
          <t>Hyderabad</t>
        </is>
      </c>
      <c r="J1081" s="5" t="inlineStr">
        <is>
          <t>Full-Time</t>
        </is>
      </c>
      <c r="K1081" s="7" t="n">
        <v>45878</v>
      </c>
      <c r="L1081" s="7" t="n">
        <v>45935</v>
      </c>
      <c r="M1081" s="5" t="inlineStr">
        <is>
          <t>No</t>
        </is>
      </c>
      <c r="N1081" s="5" t="inlineStr">
        <is>
          <t>Relocation</t>
        </is>
      </c>
      <c r="O1081" s="8" t="inlineStr">
        <is>
          <t>183000</t>
        </is>
      </c>
      <c r="P1081" s="5" t="inlineStr">
        <is>
          <t>10</t>
        </is>
      </c>
      <c r="Q1081" s="5" t="inlineStr">
        <is>
          <t>4</t>
        </is>
      </c>
      <c r="R1081" s="5" t="inlineStr">
        <is>
          <t>6</t>
        </is>
      </c>
      <c r="S1081" s="5" t="inlineStr">
        <is>
          <t>1</t>
        </is>
      </c>
      <c r="T1081" s="5" t="inlineStr">
        <is>
          <t>10</t>
        </is>
      </c>
      <c r="U1081" s="5" t="inlineStr">
        <is>
          <t>OK</t>
        </is>
      </c>
    </row>
    <row r="1082">
      <c r="A1082" s="5" t="inlineStr">
        <is>
          <t>E01227</t>
        </is>
      </c>
      <c r="B1082" s="5" t="inlineStr">
        <is>
          <t>Female</t>
        </is>
      </c>
      <c r="C1082" s="6" t="inlineStr">
        <is>
          <t>30</t>
        </is>
      </c>
      <c r="D1082" s="5" t="inlineStr">
        <is>
          <t>Married</t>
        </is>
      </c>
      <c r="E1082" s="5" t="inlineStr">
        <is>
          <t>Bachelor</t>
        </is>
      </c>
      <c r="F1082" s="5" t="inlineStr">
        <is>
          <t>Finance</t>
        </is>
      </c>
      <c r="G1082" s="5" t="inlineStr">
        <is>
          <t>Credit Analyst</t>
        </is>
      </c>
      <c r="H1082" s="5" t="inlineStr">
        <is>
          <t>1</t>
        </is>
      </c>
      <c r="I1082" s="5" t="inlineStr">
        <is>
          <t>Bengaluru</t>
        </is>
      </c>
      <c r="J1082" s="5" t="inlineStr">
        <is>
          <t>Full-Time</t>
        </is>
      </c>
      <c r="K1082" s="7" t="n">
        <v>44003</v>
      </c>
      <c r="L1082" s="7" t="inlineStr"/>
      <c r="M1082" s="5" t="inlineStr">
        <is>
          <t>Yes</t>
        </is>
      </c>
      <c r="N1082" s="5" t="inlineStr"/>
      <c r="O1082" s="8" t="inlineStr">
        <is>
          <t>114500</t>
        </is>
      </c>
      <c r="P1082" s="5" t="inlineStr">
        <is>
          <t>5</t>
        </is>
      </c>
      <c r="Q1082" s="5" t="inlineStr">
        <is>
          <t>5</t>
        </is>
      </c>
      <c r="R1082" s="5" t="inlineStr">
        <is>
          <t>5</t>
        </is>
      </c>
      <c r="S1082" s="5" t="inlineStr">
        <is>
          <t>67</t>
        </is>
      </c>
      <c r="T1082" s="5" t="inlineStr">
        <is>
          <t>0</t>
        </is>
      </c>
      <c r="U1082" s="5" t="inlineStr">
        <is>
          <t>OK</t>
        </is>
      </c>
    </row>
    <row r="1083">
      <c r="A1083" s="5" t="inlineStr">
        <is>
          <t>E01602</t>
        </is>
      </c>
      <c r="B1083" s="5" t="inlineStr">
        <is>
          <t>Male</t>
        </is>
      </c>
      <c r="C1083" s="6" t="inlineStr">
        <is>
          <t>26</t>
        </is>
      </c>
      <c r="D1083" s="5" t="inlineStr">
        <is>
          <t>Single</t>
        </is>
      </c>
      <c r="E1083" s="5" t="inlineStr">
        <is>
          <t>Diploma</t>
        </is>
      </c>
      <c r="F1083" s="5" t="inlineStr">
        <is>
          <t>Marketing</t>
        </is>
      </c>
      <c r="G1083" s="5" t="inlineStr">
        <is>
          <t>Content Writer</t>
        </is>
      </c>
      <c r="H1083" s="5" t="inlineStr">
        <is>
          <t>1</t>
        </is>
      </c>
      <c r="I1083" s="5" t="inlineStr">
        <is>
          <t>Mumbai</t>
        </is>
      </c>
      <c r="J1083" s="5" t="inlineStr">
        <is>
          <t>Full-Time</t>
        </is>
      </c>
      <c r="K1083" s="7" t="n">
        <v>44669</v>
      </c>
      <c r="L1083" s="7" t="n">
        <v>44704</v>
      </c>
      <c r="M1083" s="5" t="inlineStr">
        <is>
          <t>No</t>
        </is>
      </c>
      <c r="N1083" s="5" t="inlineStr">
        <is>
          <t>Layoff</t>
        </is>
      </c>
      <c r="O1083" s="8" t="inlineStr">
        <is>
          <t>59500</t>
        </is>
      </c>
      <c r="P1083" s="5" t="inlineStr">
        <is>
          <t>5</t>
        </is>
      </c>
      <c r="Q1083" s="5" t="inlineStr">
        <is>
          <t>4</t>
        </is>
      </c>
      <c r="R1083" s="5" t="inlineStr">
        <is>
          <t>7</t>
        </is>
      </c>
      <c r="S1083" s="5" t="inlineStr">
        <is>
          <t>1</t>
        </is>
      </c>
      <c r="T1083" s="5" t="inlineStr">
        <is>
          <t>5</t>
        </is>
      </c>
      <c r="U1083" s="5" t="inlineStr">
        <is>
          <t>OK</t>
        </is>
      </c>
    </row>
    <row r="1084">
      <c r="A1084" s="5" t="inlineStr">
        <is>
          <t>E01840</t>
        </is>
      </c>
      <c r="B1084" s="5" t="inlineStr">
        <is>
          <t>Male</t>
        </is>
      </c>
      <c r="C1084" s="6" t="inlineStr">
        <is>
          <t>35</t>
        </is>
      </c>
      <c r="D1084" s="5" t="inlineStr">
        <is>
          <t>Single</t>
        </is>
      </c>
      <c r="E1084" s="5" t="inlineStr">
        <is>
          <t>Master</t>
        </is>
      </c>
      <c r="F1084" s="5" t="inlineStr">
        <is>
          <t>Marketing</t>
        </is>
      </c>
      <c r="G1084" s="5" t="inlineStr">
        <is>
          <t>Marketing Analyst</t>
        </is>
      </c>
      <c r="H1084" s="5" t="inlineStr">
        <is>
          <t>3</t>
        </is>
      </c>
      <c r="I1084" s="5" t="inlineStr">
        <is>
          <t>Mumbai</t>
        </is>
      </c>
      <c r="J1084" s="5" t="inlineStr">
        <is>
          <t>Full-Time</t>
        </is>
      </c>
      <c r="K1084" s="7" t="n">
        <v>44683</v>
      </c>
      <c r="L1084" s="7" t="inlineStr"/>
      <c r="M1084" s="5" t="inlineStr">
        <is>
          <t>Yes</t>
        </is>
      </c>
      <c r="N1084" s="5" t="inlineStr"/>
      <c r="O1084" s="8" t="inlineStr">
        <is>
          <t>100000</t>
        </is>
      </c>
      <c r="P1084" s="5" t="inlineStr">
        <is>
          <t>10</t>
        </is>
      </c>
      <c r="Q1084" s="5" t="inlineStr">
        <is>
          <t>3</t>
        </is>
      </c>
      <c r="R1084" s="5" t="inlineStr">
        <is>
          <t>5</t>
        </is>
      </c>
      <c r="S1084" s="5" t="inlineStr">
        <is>
          <t>44</t>
        </is>
      </c>
      <c r="T1084" s="5" t="inlineStr">
        <is>
          <t>0</t>
        </is>
      </c>
      <c r="U1084" s="5" t="inlineStr">
        <is>
          <t>OK</t>
        </is>
      </c>
    </row>
    <row r="1085">
      <c r="A1085" s="5" t="inlineStr">
        <is>
          <t>E01151</t>
        </is>
      </c>
      <c r="B1085" s="5" t="inlineStr">
        <is>
          <t>Male</t>
        </is>
      </c>
      <c r="C1085" s="6" t="inlineStr">
        <is>
          <t>37</t>
        </is>
      </c>
      <c r="D1085" s="5" t="inlineStr">
        <is>
          <t>Married</t>
        </is>
      </c>
      <c r="E1085" s="5" t="inlineStr">
        <is>
          <t>Diploma</t>
        </is>
      </c>
      <c r="F1085" s="5" t="inlineStr">
        <is>
          <t>Research &amp; Development</t>
        </is>
      </c>
      <c r="G1085" s="5" t="inlineStr">
        <is>
          <t>Research Scientist</t>
        </is>
      </c>
      <c r="H1085" s="5" t="inlineStr">
        <is>
          <t>4</t>
        </is>
      </c>
      <c r="I1085" s="5" t="inlineStr">
        <is>
          <t>Hyderabad</t>
        </is>
      </c>
      <c r="J1085" s="5" t="inlineStr">
        <is>
          <t>Full-Time</t>
        </is>
      </c>
      <c r="K1085" s="7" t="n">
        <v>45434</v>
      </c>
      <c r="L1085" s="7" t="inlineStr"/>
      <c r="M1085" s="5" t="inlineStr">
        <is>
          <t>Yes</t>
        </is>
      </c>
      <c r="N1085" s="5" t="inlineStr"/>
      <c r="O1085" s="8" t="inlineStr">
        <is>
          <t>226500</t>
        </is>
      </c>
      <c r="P1085" s="5" t="inlineStr">
        <is>
          <t>5</t>
        </is>
      </c>
      <c r="Q1085" s="5" t="inlineStr">
        <is>
          <t>3</t>
        </is>
      </c>
      <c r="R1085" s="5" t="inlineStr">
        <is>
          <t>7</t>
        </is>
      </c>
      <c r="S1085" s="5" t="inlineStr">
        <is>
          <t>19</t>
        </is>
      </c>
      <c r="T1085" s="5" t="inlineStr">
        <is>
          <t>0</t>
        </is>
      </c>
      <c r="U1085" s="5" t="inlineStr">
        <is>
          <t>OK</t>
        </is>
      </c>
    </row>
    <row r="1086">
      <c r="A1086" s="5" t="inlineStr">
        <is>
          <t>E02912</t>
        </is>
      </c>
      <c r="B1086" s="5" t="inlineStr">
        <is>
          <t>Male</t>
        </is>
      </c>
      <c r="C1086" s="6" t="inlineStr">
        <is>
          <t>27</t>
        </is>
      </c>
      <c r="D1086" s="5" t="inlineStr">
        <is>
          <t>Married</t>
        </is>
      </c>
      <c r="E1086" s="5" t="inlineStr">
        <is>
          <t>Bachelor</t>
        </is>
      </c>
      <c r="F1086" s="5" t="inlineStr">
        <is>
          <t>Marketing</t>
        </is>
      </c>
      <c r="G1086" s="5" t="inlineStr">
        <is>
          <t>Marketing Analyst</t>
        </is>
      </c>
      <c r="H1086" s="5" t="inlineStr">
        <is>
          <t>1</t>
        </is>
      </c>
      <c r="I1086" s="5" t="inlineStr">
        <is>
          <t>Hyderabad</t>
        </is>
      </c>
      <c r="J1086" s="5" t="inlineStr">
        <is>
          <t>Full-Time</t>
        </is>
      </c>
      <c r="K1086" s="7" t="n">
        <v>45429</v>
      </c>
      <c r="L1086" s="7" t="inlineStr"/>
      <c r="M1086" s="5" t="inlineStr">
        <is>
          <t>Yes</t>
        </is>
      </c>
      <c r="N1086" s="5" t="inlineStr"/>
      <c r="O1086" s="8" t="inlineStr">
        <is>
          <t>64000</t>
        </is>
      </c>
      <c r="P1086" s="5" t="inlineStr">
        <is>
          <t>0</t>
        </is>
      </c>
      <c r="Q1086" s="5" t="inlineStr">
        <is>
          <t>5</t>
        </is>
      </c>
      <c r="R1086" s="5" t="inlineStr">
        <is>
          <t>3</t>
        </is>
      </c>
      <c r="S1086" s="5" t="inlineStr">
        <is>
          <t>19</t>
        </is>
      </c>
      <c r="T1086" s="5" t="inlineStr">
        <is>
          <t>0</t>
        </is>
      </c>
      <c r="U1086" s="5" t="inlineStr">
        <is>
          <t>OK</t>
        </is>
      </c>
    </row>
    <row r="1087">
      <c r="A1087" s="5" t="inlineStr">
        <is>
          <t>E01415</t>
        </is>
      </c>
      <c r="B1087" s="5" t="inlineStr">
        <is>
          <t>Male</t>
        </is>
      </c>
      <c r="C1087" s="6" t="inlineStr">
        <is>
          <t>33</t>
        </is>
      </c>
      <c r="D1087" s="5" t="inlineStr">
        <is>
          <t>Single</t>
        </is>
      </c>
      <c r="E1087" s="5" t="inlineStr">
        <is>
          <t>Diploma</t>
        </is>
      </c>
      <c r="F1087" s="5" t="inlineStr">
        <is>
          <t>Research &amp; Development</t>
        </is>
      </c>
      <c r="G1087" s="5" t="inlineStr">
        <is>
          <t>Product Engineer</t>
        </is>
      </c>
      <c r="H1087" s="5" t="inlineStr">
        <is>
          <t>5</t>
        </is>
      </c>
      <c r="I1087" s="5" t="inlineStr">
        <is>
          <t>Bengaluru</t>
        </is>
      </c>
      <c r="J1087" s="5" t="inlineStr">
        <is>
          <t>Contract</t>
        </is>
      </c>
      <c r="K1087" s="7" t="n">
        <v>45842</v>
      </c>
      <c r="L1087" s="7" t="n">
        <v>45944</v>
      </c>
      <c r="M1087" s="5" t="inlineStr">
        <is>
          <t>No</t>
        </is>
      </c>
      <c r="N1087" s="5" t="inlineStr">
        <is>
          <t>Resigned</t>
        </is>
      </c>
      <c r="O1087" s="8" t="inlineStr">
        <is>
          <t>189000</t>
        </is>
      </c>
      <c r="P1087" s="5" t="inlineStr">
        <is>
          <t>0</t>
        </is>
      </c>
      <c r="Q1087" s="5" t="inlineStr">
        <is>
          <t>2</t>
        </is>
      </c>
      <c r="R1087" s="5" t="inlineStr">
        <is>
          <t>8</t>
        </is>
      </c>
      <c r="S1087" s="5" t="inlineStr">
        <is>
          <t>3</t>
        </is>
      </c>
      <c r="T1087" s="5" t="inlineStr">
        <is>
          <t>4</t>
        </is>
      </c>
      <c r="U1087" s="5" t="inlineStr">
        <is>
          <t>OK</t>
        </is>
      </c>
    </row>
    <row r="1088">
      <c r="A1088" s="5" t="inlineStr">
        <is>
          <t>E00025</t>
        </is>
      </c>
      <c r="B1088" s="5" t="inlineStr">
        <is>
          <t>Female</t>
        </is>
      </c>
      <c r="C1088" s="6" t="inlineStr">
        <is>
          <t>30</t>
        </is>
      </c>
      <c r="D1088" s="5" t="inlineStr">
        <is>
          <t>Married</t>
        </is>
      </c>
      <c r="E1088" s="5" t="inlineStr">
        <is>
          <t>Bachelor</t>
        </is>
      </c>
      <c r="F1088" s="5" t="inlineStr">
        <is>
          <t>Finance</t>
        </is>
      </c>
      <c r="G1088" s="5" t="inlineStr">
        <is>
          <t>Financial Analyst</t>
        </is>
      </c>
      <c r="H1088" s="5" t="inlineStr">
        <is>
          <t>3</t>
        </is>
      </c>
      <c r="I1088" s="5" t="inlineStr">
        <is>
          <t>Mumbai</t>
        </is>
      </c>
      <c r="J1088" s="5" t="inlineStr">
        <is>
          <t>Full-Time</t>
        </is>
      </c>
      <c r="K1088" s="7" t="n">
        <v>45131</v>
      </c>
      <c r="L1088" s="7" t="inlineStr"/>
      <c r="M1088" s="5" t="inlineStr">
        <is>
          <t>Yes</t>
        </is>
      </c>
      <c r="N1088" s="5" t="inlineStr"/>
      <c r="O1088" s="8" t="inlineStr">
        <is>
          <t>144000</t>
        </is>
      </c>
      <c r="P1088" s="5" t="inlineStr">
        <is>
          <t>15</t>
        </is>
      </c>
      <c r="Q1088" s="5" t="inlineStr">
        <is>
          <t>4</t>
        </is>
      </c>
      <c r="R1088" s="5" t="inlineStr">
        <is>
          <t>9</t>
        </is>
      </c>
      <c r="S1088" s="5" t="inlineStr">
        <is>
          <t>29</t>
        </is>
      </c>
      <c r="T1088" s="5" t="inlineStr">
        <is>
          <t>4</t>
        </is>
      </c>
      <c r="U1088" s="5" t="inlineStr">
        <is>
          <t>OK</t>
        </is>
      </c>
    </row>
    <row r="1089">
      <c r="A1089" s="5" t="inlineStr">
        <is>
          <t>E02008</t>
        </is>
      </c>
      <c r="B1089" s="5" t="inlineStr">
        <is>
          <t>Female</t>
        </is>
      </c>
      <c r="C1089" s="6" t="inlineStr">
        <is>
          <t>29</t>
        </is>
      </c>
      <c r="D1089" s="5" t="inlineStr">
        <is>
          <t>Married</t>
        </is>
      </c>
      <c r="E1089" s="5" t="inlineStr">
        <is>
          <t>High School</t>
        </is>
      </c>
      <c r="F1089" s="5" t="inlineStr">
        <is>
          <t>Human Resources</t>
        </is>
      </c>
      <c r="G1089" s="5" t="inlineStr">
        <is>
          <t>Recruiter</t>
        </is>
      </c>
      <c r="H1089" s="5" t="inlineStr">
        <is>
          <t>3</t>
        </is>
      </c>
      <c r="I1089" s="5" t="inlineStr">
        <is>
          <t>Bengaluru</t>
        </is>
      </c>
      <c r="J1089" s="5" t="inlineStr">
        <is>
          <t>Part-Time</t>
        </is>
      </c>
      <c r="K1089" s="7" t="n">
        <v>45515</v>
      </c>
      <c r="L1089" s="7" t="inlineStr"/>
      <c r="M1089" s="5" t="inlineStr">
        <is>
          <t>Yes</t>
        </is>
      </c>
      <c r="N1089" s="5" t="inlineStr"/>
      <c r="O1089" s="8" t="inlineStr">
        <is>
          <t>106500</t>
        </is>
      </c>
      <c r="P1089" s="5" t="inlineStr">
        <is>
          <t>0</t>
        </is>
      </c>
      <c r="Q1089" s="5" t="inlineStr">
        <is>
          <t>3</t>
        </is>
      </c>
      <c r="R1089" s="5" t="inlineStr">
        <is>
          <t>4</t>
        </is>
      </c>
      <c r="S1089" s="5" t="inlineStr">
        <is>
          <t>16</t>
        </is>
      </c>
      <c r="T1089" s="5" t="inlineStr">
        <is>
          <t>10</t>
        </is>
      </c>
      <c r="U1089" s="5" t="inlineStr">
        <is>
          <t>OK</t>
        </is>
      </c>
    </row>
    <row r="1090">
      <c r="A1090" s="5" t="inlineStr">
        <is>
          <t>E00926</t>
        </is>
      </c>
      <c r="B1090" s="5" t="inlineStr">
        <is>
          <t>Male</t>
        </is>
      </c>
      <c r="C1090" s="6" t="inlineStr">
        <is>
          <t>28</t>
        </is>
      </c>
      <c r="D1090" s="5" t="inlineStr">
        <is>
          <t>Married</t>
        </is>
      </c>
      <c r="E1090" s="5" t="inlineStr">
        <is>
          <t>Bachelor</t>
        </is>
      </c>
      <c r="F1090" s="5" t="inlineStr">
        <is>
          <t>Sales</t>
        </is>
      </c>
      <c r="G1090" s="5" t="inlineStr">
        <is>
          <t>Sales Executive</t>
        </is>
      </c>
      <c r="H1090" s="5" t="inlineStr">
        <is>
          <t>1</t>
        </is>
      </c>
      <c r="I1090" s="5" t="inlineStr">
        <is>
          <t>Bengaluru</t>
        </is>
      </c>
      <c r="J1090" s="5" t="inlineStr">
        <is>
          <t>Full-Time</t>
        </is>
      </c>
      <c r="K1090" s="7" t="n">
        <v>44627</v>
      </c>
      <c r="L1090" s="7" t="inlineStr"/>
      <c r="M1090" s="5" t="inlineStr">
        <is>
          <t>Yes</t>
        </is>
      </c>
      <c r="N1090" s="5" t="inlineStr"/>
      <c r="O1090" s="8" t="inlineStr">
        <is>
          <t>65500</t>
        </is>
      </c>
      <c r="P1090" s="5" t="inlineStr">
        <is>
          <t>0</t>
        </is>
      </c>
      <c r="Q1090" s="5" t="inlineStr">
        <is>
          <t>4</t>
        </is>
      </c>
      <c r="R1090" s="5" t="inlineStr">
        <is>
          <t>5</t>
        </is>
      </c>
      <c r="S1090" s="5" t="inlineStr">
        <is>
          <t>46</t>
        </is>
      </c>
      <c r="T1090" s="5" t="inlineStr">
        <is>
          <t>9</t>
        </is>
      </c>
      <c r="U1090" s="5" t="inlineStr">
        <is>
          <t>OK</t>
        </is>
      </c>
    </row>
    <row r="1091">
      <c r="A1091" s="5" t="inlineStr">
        <is>
          <t>E01280</t>
        </is>
      </c>
      <c r="B1091" s="5" t="inlineStr">
        <is>
          <t>Female</t>
        </is>
      </c>
      <c r="C1091" s="6" t="inlineStr">
        <is>
          <t>35</t>
        </is>
      </c>
      <c r="D1091" s="5" t="inlineStr">
        <is>
          <t>Married</t>
        </is>
      </c>
      <c r="E1091" s="5" t="inlineStr">
        <is>
          <t>Diploma</t>
        </is>
      </c>
      <c r="F1091" s="5" t="inlineStr">
        <is>
          <t>Operations</t>
        </is>
      </c>
      <c r="G1091" s="5" t="inlineStr">
        <is>
          <t>Operations Analyst</t>
        </is>
      </c>
      <c r="H1091" s="5" t="inlineStr">
        <is>
          <t>3</t>
        </is>
      </c>
      <c r="I1091" s="5" t="inlineStr">
        <is>
          <t>Hyderabad</t>
        </is>
      </c>
      <c r="J1091" s="5" t="inlineStr">
        <is>
          <t>Part-Time</t>
        </is>
      </c>
      <c r="K1091" s="7" t="n">
        <v>45998</v>
      </c>
      <c r="L1091" s="7" t="inlineStr"/>
      <c r="M1091" s="5" t="inlineStr">
        <is>
          <t>Yes</t>
        </is>
      </c>
      <c r="N1091" s="5" t="inlineStr"/>
      <c r="O1091" s="8" t="inlineStr">
        <is>
          <t>89500</t>
        </is>
      </c>
      <c r="P1091" s="5" t="inlineStr">
        <is>
          <t>0</t>
        </is>
      </c>
      <c r="Q1091" s="5" t="inlineStr">
        <is>
          <t>4</t>
        </is>
      </c>
      <c r="R1091" s="5" t="inlineStr">
        <is>
          <t>5</t>
        </is>
      </c>
      <c r="S1091" s="5" t="inlineStr">
        <is>
          <t>1</t>
        </is>
      </c>
      <c r="T1091" s="5" t="inlineStr">
        <is>
          <t>0</t>
        </is>
      </c>
      <c r="U1091" s="5" t="inlineStr">
        <is>
          <t>OK</t>
        </is>
      </c>
    </row>
    <row r="1092">
      <c r="A1092" s="5" t="inlineStr">
        <is>
          <t>E00141</t>
        </is>
      </c>
      <c r="B1092" s="5" t="inlineStr">
        <is>
          <t>Female</t>
        </is>
      </c>
      <c r="C1092" s="6" t="inlineStr">
        <is>
          <t>29</t>
        </is>
      </c>
      <c r="D1092" s="5" t="inlineStr">
        <is>
          <t>Married</t>
        </is>
      </c>
      <c r="E1092" s="5" t="inlineStr">
        <is>
          <t>Bachelor</t>
        </is>
      </c>
      <c r="F1092" s="5" t="inlineStr">
        <is>
          <t>IT</t>
        </is>
      </c>
      <c r="G1092" s="5" t="inlineStr">
        <is>
          <t>DevOps Engineer</t>
        </is>
      </c>
      <c r="H1092" s="5" t="inlineStr">
        <is>
          <t>1</t>
        </is>
      </c>
      <c r="I1092" s="5" t="inlineStr">
        <is>
          <t>Hyderabad</t>
        </is>
      </c>
      <c r="J1092" s="5" t="inlineStr">
        <is>
          <t>Full-Time</t>
        </is>
      </c>
      <c r="K1092" s="7" t="n">
        <v>43876</v>
      </c>
      <c r="L1092" s="7" t="inlineStr"/>
      <c r="M1092" s="5" t="inlineStr">
        <is>
          <t>Yes</t>
        </is>
      </c>
      <c r="N1092" s="5" t="inlineStr"/>
      <c r="O1092" s="8" t="inlineStr">
        <is>
          <t>99000</t>
        </is>
      </c>
      <c r="P1092" s="5" t="inlineStr">
        <is>
          <t>20</t>
        </is>
      </c>
      <c r="Q1092" s="5" t="inlineStr">
        <is>
          <t>5</t>
        </is>
      </c>
      <c r="R1092" s="5" t="inlineStr">
        <is>
          <t>7</t>
        </is>
      </c>
      <c r="S1092" s="5" t="inlineStr">
        <is>
          <t>71</t>
        </is>
      </c>
      <c r="T1092" s="5" t="inlineStr">
        <is>
          <t>3</t>
        </is>
      </c>
      <c r="U1092" s="5" t="inlineStr">
        <is>
          <t>OK</t>
        </is>
      </c>
    </row>
    <row r="1093">
      <c r="A1093" s="5" t="inlineStr">
        <is>
          <t>E01637</t>
        </is>
      </c>
      <c r="B1093" s="5" t="inlineStr">
        <is>
          <t>female</t>
        </is>
      </c>
      <c r="C1093" s="6" t="inlineStr">
        <is>
          <t>30</t>
        </is>
      </c>
      <c r="D1093" s="5" t="inlineStr">
        <is>
          <t>Single</t>
        </is>
      </c>
      <c r="E1093" s="5" t="inlineStr">
        <is>
          <t>PhD</t>
        </is>
      </c>
      <c r="F1093" s="5" t="inlineStr">
        <is>
          <t>Marketing</t>
        </is>
      </c>
      <c r="G1093" s="5" t="inlineStr">
        <is>
          <t>Marketing Analyst</t>
        </is>
      </c>
      <c r="H1093" s="5" t="inlineStr">
        <is>
          <t>1</t>
        </is>
      </c>
      <c r="I1093" s="5" t="inlineStr">
        <is>
          <t>Remote</t>
        </is>
      </c>
      <c r="J1093" s="5" t="inlineStr">
        <is>
          <t>Full-Time</t>
        </is>
      </c>
      <c r="K1093" s="7" t="n">
        <v>44274</v>
      </c>
      <c r="L1093" s="7" t="inlineStr"/>
      <c r="M1093" s="5" t="inlineStr">
        <is>
          <t>Yes</t>
        </is>
      </c>
      <c r="N1093" s="5" t="inlineStr"/>
      <c r="O1093" s="8" t="inlineStr">
        <is>
          <t>85500</t>
        </is>
      </c>
      <c r="P1093" s="5" t="inlineStr">
        <is>
          <t>20</t>
        </is>
      </c>
      <c r="Q1093" s="5" t="inlineStr">
        <is>
          <t>5</t>
        </is>
      </c>
      <c r="R1093" s="5" t="inlineStr">
        <is>
          <t>9</t>
        </is>
      </c>
      <c r="S1093" s="5" t="inlineStr">
        <is>
          <t>58</t>
        </is>
      </c>
      <c r="T1093" s="5" t="inlineStr">
        <is>
          <t>2</t>
        </is>
      </c>
      <c r="U1093" s="5" t="inlineStr">
        <is>
          <t>OK</t>
        </is>
      </c>
    </row>
    <row r="1094">
      <c r="A1094" s="5" t="inlineStr">
        <is>
          <t>E01759</t>
        </is>
      </c>
      <c r="B1094" s="5" t="inlineStr">
        <is>
          <t>Male</t>
        </is>
      </c>
      <c r="C1094" s="6" t="inlineStr">
        <is>
          <t>39</t>
        </is>
      </c>
      <c r="D1094" s="5" t="inlineStr">
        <is>
          <t>Single</t>
        </is>
      </c>
      <c r="E1094" s="5" t="inlineStr">
        <is>
          <t>Master</t>
        </is>
      </c>
      <c r="F1094" s="5" t="inlineStr">
        <is>
          <t>IT</t>
        </is>
      </c>
      <c r="G1094" s="5" t="inlineStr">
        <is>
          <t>Data Analyst</t>
        </is>
      </c>
      <c r="H1094" s="5" t="inlineStr">
        <is>
          <t>4</t>
        </is>
      </c>
      <c r="I1094" s="5" t="inlineStr">
        <is>
          <t>Remote</t>
        </is>
      </c>
      <c r="J1094" s="5" t="inlineStr">
        <is>
          <t>Full-Time</t>
        </is>
      </c>
      <c r="K1094" s="7" t="n">
        <v>44637</v>
      </c>
      <c r="L1094" s="7" t="inlineStr"/>
      <c r="M1094" s="5" t="inlineStr">
        <is>
          <t>Yes</t>
        </is>
      </c>
      <c r="N1094" s="5" t="inlineStr"/>
      <c r="O1094" s="8" t="inlineStr">
        <is>
          <t>202000</t>
        </is>
      </c>
      <c r="P1094" s="5" t="inlineStr">
        <is>
          <t>5</t>
        </is>
      </c>
      <c r="Q1094" s="5" t="inlineStr">
        <is>
          <t>5</t>
        </is>
      </c>
      <c r="R1094" s="5" t="inlineStr">
        <is>
          <t>2</t>
        </is>
      </c>
      <c r="S1094" s="5" t="inlineStr">
        <is>
          <t>46</t>
        </is>
      </c>
      <c r="T1094" s="5" t="inlineStr">
        <is>
          <t>7</t>
        </is>
      </c>
      <c r="U1094" s="5" t="inlineStr">
        <is>
          <t>OK</t>
        </is>
      </c>
    </row>
    <row r="1095">
      <c r="A1095" s="5" t="inlineStr">
        <is>
          <t>E00720</t>
        </is>
      </c>
      <c r="B1095" s="5" t="inlineStr">
        <is>
          <t>Male</t>
        </is>
      </c>
      <c r="C1095" s="6" t="inlineStr">
        <is>
          <t>34</t>
        </is>
      </c>
      <c r="D1095" s="5" t="inlineStr">
        <is>
          <t>Single</t>
        </is>
      </c>
      <c r="E1095" s="5" t="inlineStr">
        <is>
          <t>PhD</t>
        </is>
      </c>
      <c r="F1095" s="5" t="inlineStr">
        <is>
          <t>Research &amp; Development</t>
        </is>
      </c>
      <c r="G1095" s="5" t="inlineStr">
        <is>
          <t>Research Scientist</t>
        </is>
      </c>
      <c r="H1095" s="5" t="inlineStr">
        <is>
          <t>5</t>
        </is>
      </c>
      <c r="I1095" s="5" t="inlineStr">
        <is>
          <t>Delhi</t>
        </is>
      </c>
      <c r="J1095" s="5" t="inlineStr">
        <is>
          <t>Full-Time</t>
        </is>
      </c>
      <c r="K1095" s="7" t="n">
        <v>45958</v>
      </c>
      <c r="L1095" s="7" t="inlineStr"/>
      <c r="M1095" s="5" t="inlineStr">
        <is>
          <t>Yes</t>
        </is>
      </c>
      <c r="N1095" s="5" t="inlineStr"/>
      <c r="O1095" s="8" t="inlineStr">
        <is>
          <t>178500</t>
        </is>
      </c>
      <c r="P1095" s="5" t="inlineStr">
        <is>
          <t>5</t>
        </is>
      </c>
      <c r="Q1095" s="5" t="inlineStr">
        <is>
          <t>3</t>
        </is>
      </c>
      <c r="R1095" s="5" t="inlineStr">
        <is>
          <t>6</t>
        </is>
      </c>
      <c r="S1095" s="5" t="inlineStr">
        <is>
          <t>2</t>
        </is>
      </c>
      <c r="T1095" s="5" t="inlineStr">
        <is>
          <t>14</t>
        </is>
      </c>
      <c r="U1095" s="5" t="inlineStr">
        <is>
          <t>OK</t>
        </is>
      </c>
    </row>
    <row r="1096">
      <c r="A1096" s="5" t="inlineStr">
        <is>
          <t>E00472</t>
        </is>
      </c>
      <c r="B1096" s="5" t="inlineStr">
        <is>
          <t>Male</t>
        </is>
      </c>
      <c r="C1096" s="6" t="inlineStr">
        <is>
          <t>30</t>
        </is>
      </c>
      <c r="D1096" s="5" t="inlineStr">
        <is>
          <t>Married</t>
        </is>
      </c>
      <c r="E1096" s="5" t="inlineStr">
        <is>
          <t>Master</t>
        </is>
      </c>
      <c r="F1096" s="5" t="inlineStr">
        <is>
          <t>Research &amp; Development</t>
        </is>
      </c>
      <c r="G1096" s="5" t="inlineStr">
        <is>
          <t>Data Scientist</t>
        </is>
      </c>
      <c r="H1096" s="5" t="inlineStr">
        <is>
          <t>4</t>
        </is>
      </c>
      <c r="I1096" s="5" t="inlineStr">
        <is>
          <t>Delhi</t>
        </is>
      </c>
      <c r="J1096" s="5" t="inlineStr">
        <is>
          <t>Full-Time</t>
        </is>
      </c>
      <c r="K1096" s="7" t="n">
        <v>44005</v>
      </c>
      <c r="L1096" s="7" t="inlineStr"/>
      <c r="M1096" s="5" t="inlineStr">
        <is>
          <t>Yes</t>
        </is>
      </c>
      <c r="N1096" s="5" t="inlineStr"/>
      <c r="O1096" s="8" t="inlineStr">
        <is>
          <t>177000</t>
        </is>
      </c>
      <c r="P1096" s="5" t="inlineStr">
        <is>
          <t>10</t>
        </is>
      </c>
      <c r="Q1096" s="5" t="inlineStr">
        <is>
          <t>2</t>
        </is>
      </c>
      <c r="R1096" s="5" t="inlineStr">
        <is>
          <t>6</t>
        </is>
      </c>
      <c r="S1096" s="5" t="inlineStr">
        <is>
          <t>67</t>
        </is>
      </c>
      <c r="T1096" s="5" t="inlineStr">
        <is>
          <t>14</t>
        </is>
      </c>
      <c r="U1096" s="5" t="inlineStr">
        <is>
          <t>OK</t>
        </is>
      </c>
    </row>
    <row r="1097">
      <c r="A1097" s="5" t="inlineStr">
        <is>
          <t>E00909</t>
        </is>
      </c>
      <c r="B1097" s="5" t="inlineStr">
        <is>
          <t>female</t>
        </is>
      </c>
      <c r="C1097" s="6" t="inlineStr">
        <is>
          <t>36</t>
        </is>
      </c>
      <c r="D1097" s="5" t="inlineStr">
        <is>
          <t>Single</t>
        </is>
      </c>
      <c r="E1097" s="5" t="inlineStr">
        <is>
          <t>High School</t>
        </is>
      </c>
      <c r="F1097" s="5" t="inlineStr">
        <is>
          <t>Customer Support</t>
        </is>
      </c>
      <c r="G1097" s="5" t="inlineStr">
        <is>
          <t>Support Agent</t>
        </is>
      </c>
      <c r="H1097" s="5" t="inlineStr">
        <is>
          <t>3</t>
        </is>
      </c>
      <c r="I1097" s="5" t="inlineStr">
        <is>
          <t>Delhi</t>
        </is>
      </c>
      <c r="J1097" s="5" t="inlineStr">
        <is>
          <t>Part-Time</t>
        </is>
      </c>
      <c r="K1097" s="7" t="n">
        <v>45237</v>
      </c>
      <c r="L1097" s="7" t="inlineStr"/>
      <c r="M1097" s="5" t="inlineStr">
        <is>
          <t>Yes</t>
        </is>
      </c>
      <c r="N1097" s="5" t="inlineStr"/>
      <c r="O1097" s="8" t="inlineStr">
        <is>
          <t>77000</t>
        </is>
      </c>
      <c r="P1097" s="5" t="inlineStr">
        <is>
          <t>5</t>
        </is>
      </c>
      <c r="Q1097" s="5" t="inlineStr">
        <is>
          <t>3</t>
        </is>
      </c>
      <c r="R1097" s="5" t="inlineStr">
        <is>
          <t>9</t>
        </is>
      </c>
      <c r="S1097" s="5" t="inlineStr">
        <is>
          <t>26</t>
        </is>
      </c>
      <c r="T1097" s="5" t="inlineStr">
        <is>
          <t>7</t>
        </is>
      </c>
      <c r="U1097" s="5" t="inlineStr">
        <is>
          <t>OK</t>
        </is>
      </c>
    </row>
    <row r="1098">
      <c r="A1098" s="5" t="inlineStr">
        <is>
          <t>E01480</t>
        </is>
      </c>
      <c r="B1098" s="5" t="inlineStr">
        <is>
          <t>Male</t>
        </is>
      </c>
      <c r="C1098" s="6" t="inlineStr">
        <is>
          <t>30</t>
        </is>
      </c>
      <c r="D1098" s="5" t="inlineStr">
        <is>
          <t>Married</t>
        </is>
      </c>
      <c r="E1098" s="5" t="inlineStr">
        <is>
          <t>High School</t>
        </is>
      </c>
      <c r="F1098" s="5" t="inlineStr">
        <is>
          <t>Operations</t>
        </is>
      </c>
      <c r="G1098" s="5" t="inlineStr">
        <is>
          <t>Logistics Coordinator</t>
        </is>
      </c>
      <c r="H1098" s="5" t="inlineStr">
        <is>
          <t>3</t>
        </is>
      </c>
      <c r="I1098" s="5" t="inlineStr">
        <is>
          <t>Mumbai</t>
        </is>
      </c>
      <c r="J1098" s="5" t="inlineStr">
        <is>
          <t>Contract</t>
        </is>
      </c>
      <c r="K1098" s="7" t="n">
        <v>45228</v>
      </c>
      <c r="L1098" s="7" t="inlineStr"/>
      <c r="M1098" s="5" t="inlineStr">
        <is>
          <t>Yes</t>
        </is>
      </c>
      <c r="N1098" s="5" t="inlineStr"/>
      <c r="O1098" s="8" t="inlineStr">
        <is>
          <t>108500</t>
        </is>
      </c>
      <c r="P1098" s="5" t="inlineStr">
        <is>
          <t>20</t>
        </is>
      </c>
      <c r="Q1098" s="5" t="inlineStr">
        <is>
          <t>3</t>
        </is>
      </c>
      <c r="R1098" s="5" t="inlineStr">
        <is>
          <t>9</t>
        </is>
      </c>
      <c r="S1098" s="5" t="inlineStr">
        <is>
          <t>26</t>
        </is>
      </c>
      <c r="T1098" s="5" t="inlineStr">
        <is>
          <t>8</t>
        </is>
      </c>
      <c r="U1098" s="5" t="inlineStr">
        <is>
          <t>OK</t>
        </is>
      </c>
    </row>
    <row r="1099">
      <c r="A1099" s="5" t="inlineStr">
        <is>
          <t>E00002</t>
        </is>
      </c>
      <c r="B1099" s="5" t="inlineStr">
        <is>
          <t>Female</t>
        </is>
      </c>
      <c r="C1099" s="6" t="inlineStr">
        <is>
          <t>35</t>
        </is>
      </c>
      <c r="D1099" s="5" t="inlineStr">
        <is>
          <t>Divorced</t>
        </is>
      </c>
      <c r="E1099" s="5" t="inlineStr">
        <is>
          <t>PhD</t>
        </is>
      </c>
      <c r="F1099" s="5" t="inlineStr">
        <is>
          <t>IT</t>
        </is>
      </c>
      <c r="G1099" s="5" t="inlineStr">
        <is>
          <t>Software Engineer</t>
        </is>
      </c>
      <c r="H1099" s="5" t="inlineStr">
        <is>
          <t>2</t>
        </is>
      </c>
      <c r="I1099" s="5" t="inlineStr">
        <is>
          <t>Remote</t>
        </is>
      </c>
      <c r="J1099" s="5" t="inlineStr">
        <is>
          <t>Full-Time</t>
        </is>
      </c>
      <c r="K1099" s="7" t="n">
        <v>44284</v>
      </c>
      <c r="L1099" s="7" t="inlineStr"/>
      <c r="M1099" s="5" t="inlineStr">
        <is>
          <t>Yes</t>
        </is>
      </c>
      <c r="N1099" s="5" t="inlineStr"/>
      <c r="O1099" s="8" t="inlineStr">
        <is>
          <t>170000</t>
        </is>
      </c>
      <c r="P1099" s="5" t="inlineStr">
        <is>
          <t>0</t>
        </is>
      </c>
      <c r="Q1099" s="5" t="inlineStr">
        <is>
          <t>4</t>
        </is>
      </c>
      <c r="R1099" s="5" t="inlineStr">
        <is>
          <t>5</t>
        </is>
      </c>
      <c r="S1099" s="5" t="inlineStr">
        <is>
          <t>57</t>
        </is>
      </c>
      <c r="T1099" s="5" t="inlineStr">
        <is>
          <t>11</t>
        </is>
      </c>
      <c r="U1099" s="5" t="inlineStr">
        <is>
          <t>OK</t>
        </is>
      </c>
    </row>
    <row r="1100">
      <c r="A1100" s="5" t="inlineStr">
        <is>
          <t>E01616</t>
        </is>
      </c>
      <c r="B1100" s="5" t="inlineStr">
        <is>
          <t>Female</t>
        </is>
      </c>
      <c r="C1100" s="6" t="inlineStr">
        <is>
          <t>41</t>
        </is>
      </c>
      <c r="D1100" s="5" t="inlineStr">
        <is>
          <t>Married</t>
        </is>
      </c>
      <c r="E1100" s="5" t="inlineStr">
        <is>
          <t>High School</t>
        </is>
      </c>
      <c r="F1100" s="5" t="inlineStr">
        <is>
          <t>Marketing</t>
        </is>
      </c>
      <c r="G1100" s="5" t="inlineStr">
        <is>
          <t>Marketing Analyst</t>
        </is>
      </c>
      <c r="H1100" s="5" t="inlineStr">
        <is>
          <t>5</t>
        </is>
      </c>
      <c r="I1100" s="5" t="inlineStr">
        <is>
          <t>Delhi</t>
        </is>
      </c>
      <c r="J1100" s="5" t="inlineStr">
        <is>
          <t>Part-Time</t>
        </is>
      </c>
      <c r="K1100" s="7" t="n">
        <v>44824</v>
      </c>
      <c r="L1100" s="7" t="inlineStr"/>
      <c r="M1100" s="5" t="inlineStr">
        <is>
          <t>Yes</t>
        </is>
      </c>
      <c r="N1100" s="5" t="inlineStr"/>
      <c r="O1100" s="8" t="inlineStr">
        <is>
          <t>142000</t>
        </is>
      </c>
      <c r="P1100" s="5" t="inlineStr">
        <is>
          <t>15</t>
        </is>
      </c>
      <c r="Q1100" s="5" t="inlineStr">
        <is>
          <t>4</t>
        </is>
      </c>
      <c r="R1100" s="5" t="inlineStr">
        <is>
          <t>7</t>
        </is>
      </c>
      <c r="S1100" s="5" t="inlineStr">
        <is>
          <t>39</t>
        </is>
      </c>
      <c r="T1100" s="5" t="inlineStr">
        <is>
          <t>15</t>
        </is>
      </c>
      <c r="U1100" s="5" t="inlineStr">
        <is>
          <t>OK</t>
        </is>
      </c>
    </row>
    <row r="1101">
      <c r="A1101" s="5" t="inlineStr">
        <is>
          <t>E02042</t>
        </is>
      </c>
      <c r="B1101" s="5" t="inlineStr">
        <is>
          <t>Male</t>
        </is>
      </c>
      <c r="C1101" s="6" t="inlineStr">
        <is>
          <t>35</t>
        </is>
      </c>
      <c r="D1101" s="5" t="inlineStr">
        <is>
          <t>Single</t>
        </is>
      </c>
      <c r="E1101" s="5" t="inlineStr">
        <is>
          <t>Diploma</t>
        </is>
      </c>
      <c r="F1101" s="5" t="inlineStr">
        <is>
          <t>Marketing</t>
        </is>
      </c>
      <c r="G1101" s="5" t="inlineStr">
        <is>
          <t>SEO Specialist</t>
        </is>
      </c>
      <c r="H1101" s="5" t="inlineStr">
        <is>
          <t>6</t>
        </is>
      </c>
      <c r="I1101" s="5" t="inlineStr">
        <is>
          <t>Remote</t>
        </is>
      </c>
      <c r="J1101" s="5" t="inlineStr">
        <is>
          <t>Full-Time</t>
        </is>
      </c>
      <c r="K1101" s="7" t="n">
        <v>44248</v>
      </c>
      <c r="L1101" s="7" t="inlineStr"/>
      <c r="M1101" s="5" t="inlineStr">
        <is>
          <t>Yes</t>
        </is>
      </c>
      <c r="N1101" s="5" t="inlineStr"/>
      <c r="O1101" s="8" t="inlineStr">
        <is>
          <t>118000</t>
        </is>
      </c>
      <c r="P1101" s="5" t="inlineStr">
        <is>
          <t>0</t>
        </is>
      </c>
      <c r="Q1101" s="5" t="inlineStr">
        <is>
          <t>3</t>
        </is>
      </c>
      <c r="R1101" s="5" t="inlineStr">
        <is>
          <t>4</t>
        </is>
      </c>
      <c r="S1101" s="5" t="inlineStr">
        <is>
          <t>59</t>
        </is>
      </c>
      <c r="T1101" s="5" t="inlineStr">
        <is>
          <t>7</t>
        </is>
      </c>
      <c r="U1101" s="5" t="inlineStr">
        <is>
          <t>OK</t>
        </is>
      </c>
    </row>
    <row r="1102">
      <c r="A1102" s="5" t="inlineStr">
        <is>
          <t>E01620</t>
        </is>
      </c>
      <c r="B1102" s="5" t="inlineStr">
        <is>
          <t>Female</t>
        </is>
      </c>
      <c r="C1102" s="6" t="inlineStr">
        <is>
          <t>37</t>
        </is>
      </c>
      <c r="D1102" s="5" t="inlineStr">
        <is>
          <t>Single</t>
        </is>
      </c>
      <c r="E1102" s="5" t="inlineStr">
        <is>
          <t>Diploma</t>
        </is>
      </c>
      <c r="F1102" s="5" t="inlineStr">
        <is>
          <t>Customer Support</t>
        </is>
      </c>
      <c r="G1102" s="5" t="inlineStr">
        <is>
          <t>Support Agent</t>
        </is>
      </c>
      <c r="H1102" s="5" t="inlineStr">
        <is>
          <t>5</t>
        </is>
      </c>
      <c r="I1102" s="5" t="inlineStr">
        <is>
          <t>Remote</t>
        </is>
      </c>
      <c r="J1102" s="5" t="inlineStr">
        <is>
          <t>Full-Time</t>
        </is>
      </c>
      <c r="K1102" s="7" t="n">
        <v>44456</v>
      </c>
      <c r="L1102" s="7" t="inlineStr"/>
      <c r="M1102" s="5" t="inlineStr">
        <is>
          <t>Yes</t>
        </is>
      </c>
      <c r="N1102" s="5" t="inlineStr"/>
      <c r="O1102" s="8" t="inlineStr">
        <is>
          <t>109000</t>
        </is>
      </c>
      <c r="P1102" s="5" t="inlineStr">
        <is>
          <t>0</t>
        </is>
      </c>
      <c r="Q1102" s="5" t="inlineStr">
        <is>
          <t>4</t>
        </is>
      </c>
      <c r="R1102" s="5" t="inlineStr">
        <is>
          <t>5</t>
        </is>
      </c>
      <c r="S1102" s="5" t="inlineStr">
        <is>
          <t>52</t>
        </is>
      </c>
      <c r="T1102" s="5" t="inlineStr">
        <is>
          <t>0</t>
        </is>
      </c>
      <c r="U1102" s="5" t="inlineStr">
        <is>
          <t>OK</t>
        </is>
      </c>
    </row>
    <row r="1103">
      <c r="A1103" s="5" t="inlineStr">
        <is>
          <t>E01200</t>
        </is>
      </c>
      <c r="B1103" s="5" t="inlineStr">
        <is>
          <t>Female</t>
        </is>
      </c>
      <c r="C1103" s="6" t="inlineStr">
        <is>
          <t>29</t>
        </is>
      </c>
      <c r="D1103" s="5" t="inlineStr">
        <is>
          <t>Married</t>
        </is>
      </c>
      <c r="E1103" s="5" t="inlineStr">
        <is>
          <t>Bachelor</t>
        </is>
      </c>
      <c r="F1103" s="5" t="inlineStr">
        <is>
          <t>Marketing</t>
        </is>
      </c>
      <c r="G1103" s="5" t="inlineStr">
        <is>
          <t>SEO Specialist</t>
        </is>
      </c>
      <c r="H1103" s="5" t="inlineStr">
        <is>
          <t>3</t>
        </is>
      </c>
      <c r="I1103" s="5" t="inlineStr">
        <is>
          <t>Mumbai</t>
        </is>
      </c>
      <c r="J1103" s="5" t="inlineStr">
        <is>
          <t>Full-Time</t>
        </is>
      </c>
      <c r="K1103" s="7" t="n">
        <v>45123</v>
      </c>
      <c r="L1103" s="7" t="inlineStr"/>
      <c r="M1103" s="5" t="inlineStr">
        <is>
          <t>Yes</t>
        </is>
      </c>
      <c r="N1103" s="5" t="inlineStr"/>
      <c r="O1103" s="8" t="inlineStr">
        <is>
          <t>76000</t>
        </is>
      </c>
      <c r="P1103" s="5" t="inlineStr">
        <is>
          <t>10</t>
        </is>
      </c>
      <c r="Q1103" s="5" t="inlineStr">
        <is>
          <t>5</t>
        </is>
      </c>
      <c r="R1103" s="5" t="inlineStr">
        <is>
          <t>6</t>
        </is>
      </c>
      <c r="S1103" s="5" t="inlineStr">
        <is>
          <t>29</t>
        </is>
      </c>
      <c r="T1103" s="5" t="inlineStr">
        <is>
          <t>0</t>
        </is>
      </c>
      <c r="U1103" s="5" t="inlineStr">
        <is>
          <t>OK</t>
        </is>
      </c>
    </row>
    <row r="1104">
      <c r="A1104" s="5" t="inlineStr">
        <is>
          <t>E02378</t>
        </is>
      </c>
      <c r="B1104" s="5" t="inlineStr">
        <is>
          <t>male</t>
        </is>
      </c>
      <c r="C1104" s="6" t="inlineStr">
        <is>
          <t>35</t>
        </is>
      </c>
      <c r="D1104" s="5" t="inlineStr">
        <is>
          <t>Married</t>
        </is>
      </c>
      <c r="E1104" s="5" t="inlineStr">
        <is>
          <t>Master</t>
        </is>
      </c>
      <c r="F1104" s="5" t="inlineStr">
        <is>
          <t>Sales</t>
        </is>
      </c>
      <c r="G1104" s="5" t="inlineStr">
        <is>
          <t>Sales Executive</t>
        </is>
      </c>
      <c r="H1104" s="5" t="inlineStr">
        <is>
          <t>5</t>
        </is>
      </c>
      <c r="I1104" s="5" t="inlineStr">
        <is>
          <t>Remote</t>
        </is>
      </c>
      <c r="J1104" s="5" t="inlineStr">
        <is>
          <t>Full-Time</t>
        </is>
      </c>
      <c r="K1104" s="7" t="n">
        <v>43925</v>
      </c>
      <c r="L1104" s="7" t="n">
        <v>44002</v>
      </c>
      <c r="M1104" s="5" t="inlineStr">
        <is>
          <t>No</t>
        </is>
      </c>
      <c r="N1104" s="5" t="inlineStr">
        <is>
          <t>Retirement</t>
        </is>
      </c>
      <c r="O1104" s="8" t="inlineStr">
        <is>
          <t>141500</t>
        </is>
      </c>
      <c r="P1104" s="5" t="inlineStr">
        <is>
          <t>5</t>
        </is>
      </c>
      <c r="Q1104" s="5" t="inlineStr">
        <is>
          <t>3</t>
        </is>
      </c>
      <c r="R1104" s="5" t="inlineStr">
        <is>
          <t>6</t>
        </is>
      </c>
      <c r="S1104" s="5" t="inlineStr">
        <is>
          <t>2</t>
        </is>
      </c>
      <c r="T1104" s="5" t="inlineStr">
        <is>
          <t>6</t>
        </is>
      </c>
      <c r="U1104" s="5" t="inlineStr">
        <is>
          <t>OK</t>
        </is>
      </c>
    </row>
    <row r="1105">
      <c r="A1105" s="5" t="inlineStr">
        <is>
          <t>E00247</t>
        </is>
      </c>
      <c r="B1105" s="5" t="inlineStr">
        <is>
          <t>Female</t>
        </is>
      </c>
      <c r="C1105" s="6" t="inlineStr">
        <is>
          <t>42</t>
        </is>
      </c>
      <c r="D1105" s="5" t="inlineStr">
        <is>
          <t>Single</t>
        </is>
      </c>
      <c r="E1105" s="5" t="inlineStr">
        <is>
          <t>Diploma</t>
        </is>
      </c>
      <c r="F1105" s="5" t="inlineStr">
        <is>
          <t>Customer Support</t>
        </is>
      </c>
      <c r="G1105" s="5" t="inlineStr">
        <is>
          <t>Support Lead</t>
        </is>
      </c>
      <c r="H1105" s="5" t="inlineStr">
        <is>
          <t>6</t>
        </is>
      </c>
      <c r="I1105" s="5" t="inlineStr">
        <is>
          <t>Delhi</t>
        </is>
      </c>
      <c r="J1105" s="5" t="inlineStr">
        <is>
          <t>Full-Time</t>
        </is>
      </c>
      <c r="K1105" s="7" t="n">
        <v>43987</v>
      </c>
      <c r="L1105" s="7" t="inlineStr"/>
      <c r="M1105" s="5" t="inlineStr">
        <is>
          <t>Yes</t>
        </is>
      </c>
      <c r="N1105" s="5" t="inlineStr"/>
      <c r="O1105" s="8" t="inlineStr">
        <is>
          <t>79500</t>
        </is>
      </c>
      <c r="P1105" s="5" t="inlineStr">
        <is>
          <t>5</t>
        </is>
      </c>
      <c r="Q1105" s="5" t="inlineStr">
        <is>
          <t>5</t>
        </is>
      </c>
      <c r="R1105" s="5" t="inlineStr">
        <is>
          <t>3</t>
        </is>
      </c>
      <c r="S1105" s="5" t="inlineStr">
        <is>
          <t>67</t>
        </is>
      </c>
      <c r="T1105" s="5" t="inlineStr">
        <is>
          <t>15</t>
        </is>
      </c>
      <c r="U1105" s="5" t="inlineStr">
        <is>
          <t>OK</t>
        </is>
      </c>
    </row>
    <row r="1106">
      <c r="A1106" s="5" t="inlineStr">
        <is>
          <t>E01509</t>
        </is>
      </c>
      <c r="B1106" s="5" t="inlineStr">
        <is>
          <t>Male</t>
        </is>
      </c>
      <c r="C1106" s="6" t="inlineStr">
        <is>
          <t>34</t>
        </is>
      </c>
      <c r="D1106" s="5" t="inlineStr">
        <is>
          <t>Single</t>
        </is>
      </c>
      <c r="E1106" s="5" t="inlineStr">
        <is>
          <t>High School</t>
        </is>
      </c>
      <c r="F1106" s="5" t="inlineStr">
        <is>
          <t>Sales</t>
        </is>
      </c>
      <c r="G1106" s="5" t="inlineStr">
        <is>
          <t>Account Executive</t>
        </is>
      </c>
      <c r="H1106" s="5" t="inlineStr">
        <is>
          <t>3</t>
        </is>
      </c>
      <c r="I1106" s="5" t="inlineStr">
        <is>
          <t>Remote</t>
        </is>
      </c>
      <c r="J1106" s="5" t="inlineStr">
        <is>
          <t>Full-Time</t>
        </is>
      </c>
      <c r="K1106" s="7" t="n">
        <v>44721</v>
      </c>
      <c r="L1106" s="7" t="inlineStr"/>
      <c r="M1106" s="5" t="inlineStr">
        <is>
          <t>Yes</t>
        </is>
      </c>
      <c r="N1106" s="5" t="inlineStr"/>
      <c r="O1106" s="8" t="inlineStr">
        <is>
          <t>84000</t>
        </is>
      </c>
      <c r="P1106" s="5" t="inlineStr">
        <is>
          <t>10</t>
        </is>
      </c>
      <c r="Q1106" s="5" t="inlineStr">
        <is>
          <t>3</t>
        </is>
      </c>
      <c r="R1106" s="5" t="inlineStr">
        <is>
          <t>3</t>
        </is>
      </c>
      <c r="S1106" s="5" t="inlineStr">
        <is>
          <t>43</t>
        </is>
      </c>
      <c r="T1106" s="5" t="inlineStr">
        <is>
          <t>6</t>
        </is>
      </c>
      <c r="U1106" s="5" t="inlineStr">
        <is>
          <t>OK</t>
        </is>
      </c>
    </row>
    <row r="1107">
      <c r="A1107" s="5" t="inlineStr">
        <is>
          <t>E01261</t>
        </is>
      </c>
      <c r="B1107" s="5" t="inlineStr">
        <is>
          <t>Male</t>
        </is>
      </c>
      <c r="C1107" s="6" t="inlineStr">
        <is>
          <t>38</t>
        </is>
      </c>
      <c r="D1107" s="5" t="inlineStr">
        <is>
          <t>Married</t>
        </is>
      </c>
      <c r="E1107" s="5" t="inlineStr">
        <is>
          <t>PhD</t>
        </is>
      </c>
      <c r="F1107" s="5" t="inlineStr">
        <is>
          <t>Operations</t>
        </is>
      </c>
      <c r="G1107" s="5" t="inlineStr">
        <is>
          <t>Operations Analyst</t>
        </is>
      </c>
      <c r="H1107" s="5" t="inlineStr">
        <is>
          <t>5</t>
        </is>
      </c>
      <c r="I1107" s="5" t="inlineStr">
        <is>
          <t>Remote</t>
        </is>
      </c>
      <c r="J1107" s="5" t="inlineStr">
        <is>
          <t>Full-Time</t>
        </is>
      </c>
      <c r="K1107" s="7" t="n">
        <v>43867</v>
      </c>
      <c r="L1107" s="7" t="inlineStr"/>
      <c r="M1107" s="5" t="inlineStr">
        <is>
          <t>Yes</t>
        </is>
      </c>
      <c r="N1107" s="5" t="inlineStr"/>
      <c r="O1107" s="8" t="inlineStr">
        <is>
          <t>87500</t>
        </is>
      </c>
      <c r="P1107" s="5" t="inlineStr">
        <is>
          <t>10</t>
        </is>
      </c>
      <c r="Q1107" s="5" t="inlineStr">
        <is>
          <t>1</t>
        </is>
      </c>
      <c r="R1107" s="5" t="inlineStr">
        <is>
          <t>3</t>
        </is>
      </c>
      <c r="S1107" s="5" t="inlineStr">
        <is>
          <t>71</t>
        </is>
      </c>
      <c r="T1107" s="5" t="inlineStr">
        <is>
          <t>4</t>
        </is>
      </c>
      <c r="U1107" s="5" t="inlineStr">
        <is>
          <t>OK</t>
        </is>
      </c>
    </row>
    <row r="1108">
      <c r="A1108" s="5" t="inlineStr">
        <is>
          <t>E00512</t>
        </is>
      </c>
      <c r="B1108" s="5" t="inlineStr">
        <is>
          <t>Male</t>
        </is>
      </c>
      <c r="C1108" s="6" t="inlineStr">
        <is>
          <t>44</t>
        </is>
      </c>
      <c r="D1108" s="5" t="inlineStr">
        <is>
          <t>Married</t>
        </is>
      </c>
      <c r="E1108" s="5" t="inlineStr">
        <is>
          <t>PhD</t>
        </is>
      </c>
      <c r="F1108" s="5" t="inlineStr">
        <is>
          <t>Customer Support</t>
        </is>
      </c>
      <c r="G1108" s="5" t="inlineStr">
        <is>
          <t>Support Agent</t>
        </is>
      </c>
      <c r="H1108" s="5" t="inlineStr">
        <is>
          <t>6</t>
        </is>
      </c>
      <c r="I1108" s="5" t="inlineStr">
        <is>
          <t>Hyderabad</t>
        </is>
      </c>
      <c r="J1108" s="5" t="inlineStr">
        <is>
          <t>Full-Time</t>
        </is>
      </c>
      <c r="K1108" s="7" t="n">
        <v>44534</v>
      </c>
      <c r="L1108" s="7" t="inlineStr"/>
      <c r="M1108" s="5" t="inlineStr">
        <is>
          <t>Yes</t>
        </is>
      </c>
      <c r="N1108" s="5" t="inlineStr"/>
      <c r="O1108" s="8" t="inlineStr">
        <is>
          <t>108000</t>
        </is>
      </c>
      <c r="P1108" s="5" t="inlineStr">
        <is>
          <t>15</t>
        </is>
      </c>
      <c r="Q1108" s="5" t="inlineStr">
        <is>
          <t>4</t>
        </is>
      </c>
      <c r="R1108" s="5" t="inlineStr">
        <is>
          <t>5</t>
        </is>
      </c>
      <c r="S1108" s="5" t="inlineStr">
        <is>
          <t>49</t>
        </is>
      </c>
      <c r="T1108" s="5" t="inlineStr">
        <is>
          <t>0</t>
        </is>
      </c>
      <c r="U1108" s="5" t="inlineStr">
        <is>
          <t>OK</t>
        </is>
      </c>
    </row>
    <row r="1109">
      <c r="A1109" s="5" t="inlineStr">
        <is>
          <t>E00819</t>
        </is>
      </c>
      <c r="B1109" s="5" t="inlineStr">
        <is>
          <t>Male</t>
        </is>
      </c>
      <c r="C1109" s="6" t="inlineStr">
        <is>
          <t>24</t>
        </is>
      </c>
      <c r="D1109" s="5" t="inlineStr">
        <is>
          <t>Married</t>
        </is>
      </c>
      <c r="E1109" s="5" t="inlineStr">
        <is>
          <t>High School</t>
        </is>
      </c>
      <c r="F1109" s="5" t="inlineStr">
        <is>
          <t>Sales</t>
        </is>
      </c>
      <c r="G1109" s="5" t="inlineStr">
        <is>
          <t>Sales Executive</t>
        </is>
      </c>
      <c r="H1109" s="5" t="inlineStr">
        <is>
          <t>1</t>
        </is>
      </c>
      <c r="I1109" s="5" t="inlineStr">
        <is>
          <t>Hyderabad</t>
        </is>
      </c>
      <c r="J1109" s="5" t="inlineStr">
        <is>
          <t>Full-Time</t>
        </is>
      </c>
      <c r="K1109" s="7" t="n">
        <v>43979</v>
      </c>
      <c r="L1109" s="7" t="inlineStr"/>
      <c r="M1109" s="5" t="inlineStr">
        <is>
          <t>Yes</t>
        </is>
      </c>
      <c r="N1109" s="5" t="inlineStr"/>
      <c r="O1109" s="8" t="inlineStr">
        <is>
          <t>95000</t>
        </is>
      </c>
      <c r="P1109" s="5" t="inlineStr">
        <is>
          <t>5</t>
        </is>
      </c>
      <c r="Q1109" s="5" t="inlineStr">
        <is>
          <t>5</t>
        </is>
      </c>
      <c r="R1109" s="5" t="inlineStr">
        <is>
          <t>5</t>
        </is>
      </c>
      <c r="S1109" s="5" t="inlineStr">
        <is>
          <t>68</t>
        </is>
      </c>
      <c r="T1109" s="5" t="inlineStr">
        <is>
          <t>9</t>
        </is>
      </c>
      <c r="U1109" s="5" t="inlineStr">
        <is>
          <t>OK</t>
        </is>
      </c>
    </row>
    <row r="1110">
      <c r="A1110" s="5" t="inlineStr">
        <is>
          <t>E02604</t>
        </is>
      </c>
      <c r="B1110" s="5" t="inlineStr">
        <is>
          <t>Female</t>
        </is>
      </c>
      <c r="C1110" s="6" t="inlineStr">
        <is>
          <t>33</t>
        </is>
      </c>
      <c r="D1110" s="5" t="inlineStr">
        <is>
          <t>Married</t>
        </is>
      </c>
      <c r="E1110" s="5" t="inlineStr">
        <is>
          <t>Master</t>
        </is>
      </c>
      <c r="F1110" s="5" t="inlineStr">
        <is>
          <t>Operations</t>
        </is>
      </c>
      <c r="G1110" s="5" t="inlineStr">
        <is>
          <t>Quality Analyst</t>
        </is>
      </c>
      <c r="H1110" s="5" t="inlineStr">
        <is>
          <t>4</t>
        </is>
      </c>
      <c r="I1110" s="5" t="inlineStr">
        <is>
          <t>Delhi</t>
        </is>
      </c>
      <c r="J1110" s="5" t="inlineStr">
        <is>
          <t>Full-Time</t>
        </is>
      </c>
      <c r="K1110" s="7" t="n">
        <v>44058</v>
      </c>
      <c r="L1110" s="7" t="inlineStr"/>
      <c r="M1110" s="5" t="inlineStr">
        <is>
          <t>Yes</t>
        </is>
      </c>
      <c r="N1110" s="5" t="inlineStr"/>
      <c r="O1110" s="8" t="inlineStr">
        <is>
          <t>119000</t>
        </is>
      </c>
      <c r="P1110" s="5" t="inlineStr">
        <is>
          <t>15</t>
        </is>
      </c>
      <c r="Q1110" s="5" t="inlineStr">
        <is>
          <t>4</t>
        </is>
      </c>
      <c r="R1110" s="5" t="inlineStr">
        <is>
          <t>6</t>
        </is>
      </c>
      <c r="S1110" s="5" t="inlineStr">
        <is>
          <t>65</t>
        </is>
      </c>
      <c r="T1110" s="5" t="inlineStr">
        <is>
          <t>11</t>
        </is>
      </c>
      <c r="U1110" s="5" t="inlineStr">
        <is>
          <t>OK</t>
        </is>
      </c>
    </row>
    <row r="1111">
      <c r="A1111" s="5" t="inlineStr">
        <is>
          <t>E02911</t>
        </is>
      </c>
      <c r="B1111" s="5" t="inlineStr">
        <is>
          <t>Male</t>
        </is>
      </c>
      <c r="C1111" s="6" t="inlineStr">
        <is>
          <t>35</t>
        </is>
      </c>
      <c r="D1111" s="5" t="inlineStr">
        <is>
          <t>Single</t>
        </is>
      </c>
      <c r="E1111" s="5" t="inlineStr">
        <is>
          <t>Diploma</t>
        </is>
      </c>
      <c r="F1111" s="5" t="inlineStr">
        <is>
          <t>Sales</t>
        </is>
      </c>
      <c r="G1111" s="5" t="inlineStr">
        <is>
          <t>Account Executive</t>
        </is>
      </c>
      <c r="H1111" s="5" t="inlineStr">
        <is>
          <t>4</t>
        </is>
      </c>
      <c r="I1111" s="5" t="inlineStr">
        <is>
          <t>Mumbai</t>
        </is>
      </c>
      <c r="J1111" s="5" t="inlineStr">
        <is>
          <t>Full-Time</t>
        </is>
      </c>
      <c r="K1111" s="7" t="n">
        <v>44286</v>
      </c>
      <c r="L1111" s="7" t="inlineStr"/>
      <c r="M1111" s="5" t="inlineStr">
        <is>
          <t>Yes</t>
        </is>
      </c>
      <c r="N1111" s="5" t="inlineStr"/>
      <c r="O1111" s="8" t="inlineStr">
        <is>
          <t>107000</t>
        </is>
      </c>
      <c r="P1111" s="5" t="inlineStr">
        <is>
          <t>10</t>
        </is>
      </c>
      <c r="Q1111" s="5" t="inlineStr">
        <is>
          <t>3</t>
        </is>
      </c>
      <c r="R1111" s="5" t="inlineStr">
        <is>
          <t>10</t>
        </is>
      </c>
      <c r="S1111" s="5" t="inlineStr">
        <is>
          <t>57</t>
        </is>
      </c>
      <c r="T1111" s="5" t="inlineStr">
        <is>
          <t>7</t>
        </is>
      </c>
      <c r="U1111" s="5" t="inlineStr">
        <is>
          <t>OK</t>
        </is>
      </c>
    </row>
    <row r="1112">
      <c r="A1112" s="5" t="inlineStr">
        <is>
          <t>E00979</t>
        </is>
      </c>
      <c r="B1112" s="5" t="inlineStr">
        <is>
          <t>Male</t>
        </is>
      </c>
      <c r="C1112" s="6" t="inlineStr">
        <is>
          <t>26</t>
        </is>
      </c>
      <c r="D1112" s="5" t="inlineStr">
        <is>
          <t>Married</t>
        </is>
      </c>
      <c r="E1112" s="5" t="inlineStr">
        <is>
          <t>PhD</t>
        </is>
      </c>
      <c r="F1112" s="5" t="inlineStr">
        <is>
          <t>Sales</t>
        </is>
      </c>
      <c r="G1112" s="5" t="inlineStr">
        <is>
          <t>Business Development</t>
        </is>
      </c>
      <c r="H1112" s="5" t="inlineStr">
        <is>
          <t>1</t>
        </is>
      </c>
      <c r="I1112" s="5" t="inlineStr">
        <is>
          <t>Hyderabad</t>
        </is>
      </c>
      <c r="J1112" s="5" t="inlineStr">
        <is>
          <t>Full-Time</t>
        </is>
      </c>
      <c r="K1112" s="7" t="n">
        <v>43880</v>
      </c>
      <c r="L1112" s="7" t="inlineStr"/>
      <c r="M1112" s="5" t="inlineStr">
        <is>
          <t>Yes</t>
        </is>
      </c>
      <c r="N1112" s="5" t="inlineStr"/>
      <c r="O1112" s="8" t="inlineStr">
        <is>
          <t>74500</t>
        </is>
      </c>
      <c r="P1112" s="5" t="inlineStr">
        <is>
          <t>0</t>
        </is>
      </c>
      <c r="Q1112" s="5" t="inlineStr">
        <is>
          <t>4</t>
        </is>
      </c>
      <c r="R1112" s="5" t="inlineStr">
        <is>
          <t>7</t>
        </is>
      </c>
      <c r="S1112" s="5" t="inlineStr">
        <is>
          <t>71</t>
        </is>
      </c>
      <c r="T1112" s="5" t="inlineStr">
        <is>
          <t>5</t>
        </is>
      </c>
      <c r="U1112" s="5" t="inlineStr">
        <is>
          <t>OK</t>
        </is>
      </c>
    </row>
    <row r="1113">
      <c r="A1113" s="5" t="inlineStr">
        <is>
          <t>E02802</t>
        </is>
      </c>
      <c r="B1113" s="5" t="inlineStr">
        <is>
          <t>Female</t>
        </is>
      </c>
      <c r="C1113" s="6" t="inlineStr">
        <is>
          <t>34</t>
        </is>
      </c>
      <c r="D1113" s="5" t="inlineStr">
        <is>
          <t>Single</t>
        </is>
      </c>
      <c r="E1113" s="5" t="inlineStr">
        <is>
          <t>PhD</t>
        </is>
      </c>
      <c r="F1113" s="5" t="inlineStr">
        <is>
          <t>IT</t>
        </is>
      </c>
      <c r="G1113" s="5" t="inlineStr">
        <is>
          <t>Software Engineer</t>
        </is>
      </c>
      <c r="H1113" s="5" t="inlineStr">
        <is>
          <t>3</t>
        </is>
      </c>
      <c r="I1113" s="5" t="inlineStr">
        <is>
          <t>Chennai</t>
        </is>
      </c>
      <c r="J1113" s="5" t="inlineStr">
        <is>
          <t>Full-Time</t>
        </is>
      </c>
      <c r="K1113" s="7" t="n">
        <v>44424</v>
      </c>
      <c r="L1113" s="7" t="inlineStr"/>
      <c r="M1113" s="5" t="inlineStr">
        <is>
          <t>Yes</t>
        </is>
      </c>
      <c r="N1113" s="5" t="inlineStr"/>
      <c r="O1113" s="8" t="inlineStr">
        <is>
          <t>159500</t>
        </is>
      </c>
      <c r="P1113" s="5" t="inlineStr">
        <is>
          <t>5</t>
        </is>
      </c>
      <c r="Q1113" s="5" t="inlineStr">
        <is>
          <t>2</t>
        </is>
      </c>
      <c r="R1113" s="5" t="inlineStr">
        <is>
          <t>5</t>
        </is>
      </c>
      <c r="S1113" s="5" t="inlineStr">
        <is>
          <t>53</t>
        </is>
      </c>
      <c r="T1113" s="5" t="inlineStr">
        <is>
          <t>4</t>
        </is>
      </c>
      <c r="U1113" s="5" t="inlineStr">
        <is>
          <t>OK</t>
        </is>
      </c>
    </row>
    <row r="1114">
      <c r="A1114" s="5" t="inlineStr">
        <is>
          <t>E02677</t>
        </is>
      </c>
      <c r="B1114" s="5" t="inlineStr">
        <is>
          <t>Female</t>
        </is>
      </c>
      <c r="C1114" s="6" t="inlineStr">
        <is>
          <t>24</t>
        </is>
      </c>
      <c r="D1114" s="5" t="inlineStr">
        <is>
          <t>Single</t>
        </is>
      </c>
      <c r="E1114" s="5" t="inlineStr">
        <is>
          <t>Bachelor</t>
        </is>
      </c>
      <c r="F1114" s="5" t="inlineStr">
        <is>
          <t>IT</t>
        </is>
      </c>
      <c r="G1114" s="5" t="inlineStr">
        <is>
          <t>Data Analyst</t>
        </is>
      </c>
      <c r="H1114" s="5" t="inlineStr">
        <is>
          <t>1</t>
        </is>
      </c>
      <c r="I1114" s="5" t="inlineStr">
        <is>
          <t>Chennai</t>
        </is>
      </c>
      <c r="J1114" s="5" t="inlineStr">
        <is>
          <t>Full-Time</t>
        </is>
      </c>
      <c r="K1114" s="7" t="n">
        <v>44531</v>
      </c>
      <c r="L1114" s="7" t="inlineStr"/>
      <c r="M1114" s="5" t="inlineStr">
        <is>
          <t>Yes</t>
        </is>
      </c>
      <c r="N1114" s="5" t="inlineStr"/>
      <c r="O1114" s="8" t="inlineStr">
        <is>
          <t>90000</t>
        </is>
      </c>
      <c r="P1114" s="5" t="inlineStr">
        <is>
          <t>0</t>
        </is>
      </c>
      <c r="Q1114" s="5" t="inlineStr">
        <is>
          <t>5</t>
        </is>
      </c>
      <c r="R1114" s="5" t="inlineStr">
        <is>
          <t>6</t>
        </is>
      </c>
      <c r="S1114" s="5" t="inlineStr">
        <is>
          <t>49</t>
        </is>
      </c>
      <c r="T1114" s="5" t="inlineStr">
        <is>
          <t>8</t>
        </is>
      </c>
      <c r="U1114" s="5" t="inlineStr">
        <is>
          <t>OK</t>
        </is>
      </c>
    </row>
    <row r="1115">
      <c r="A1115" s="5" t="inlineStr">
        <is>
          <t>E02696</t>
        </is>
      </c>
      <c r="B1115" s="5" t="inlineStr">
        <is>
          <t>Male</t>
        </is>
      </c>
      <c r="C1115" s="6" t="inlineStr">
        <is>
          <t>28</t>
        </is>
      </c>
      <c r="D1115" s="5" t="inlineStr">
        <is>
          <t>Single</t>
        </is>
      </c>
      <c r="E1115" s="5" t="inlineStr">
        <is>
          <t>Master</t>
        </is>
      </c>
      <c r="F1115" s="5" t="inlineStr">
        <is>
          <t>Operations</t>
        </is>
      </c>
      <c r="G1115" s="5" t="inlineStr">
        <is>
          <t>Logistics Coordinator</t>
        </is>
      </c>
      <c r="H1115" s="5" t="inlineStr">
        <is>
          <t>1</t>
        </is>
      </c>
      <c r="I1115" s="5" t="inlineStr">
        <is>
          <t>Chennai</t>
        </is>
      </c>
      <c r="J1115" s="5" t="inlineStr">
        <is>
          <t>Full-Time</t>
        </is>
      </c>
      <c r="K1115" s="7" t="n">
        <v>45290</v>
      </c>
      <c r="L1115" s="7" t="inlineStr"/>
      <c r="M1115" s="5" t="inlineStr">
        <is>
          <t>Yes</t>
        </is>
      </c>
      <c r="N1115" s="5" t="inlineStr"/>
      <c r="O1115" s="8" t="inlineStr">
        <is>
          <t>89500</t>
        </is>
      </c>
      <c r="P1115" s="5" t="inlineStr">
        <is>
          <t>0</t>
        </is>
      </c>
      <c r="Q1115" s="5" t="inlineStr">
        <is>
          <t>4</t>
        </is>
      </c>
      <c r="R1115" s="5" t="inlineStr">
        <is>
          <t>8</t>
        </is>
      </c>
      <c r="S1115" s="5" t="inlineStr">
        <is>
          <t>24</t>
        </is>
      </c>
      <c r="T1115" s="5" t="inlineStr">
        <is>
          <t>7</t>
        </is>
      </c>
      <c r="U1115" s="5" t="inlineStr">
        <is>
          <t>OK</t>
        </is>
      </c>
    </row>
    <row r="1116">
      <c r="A1116" s="5" t="inlineStr">
        <is>
          <t>E01336</t>
        </is>
      </c>
      <c r="B1116" s="5" t="inlineStr">
        <is>
          <t>Male</t>
        </is>
      </c>
      <c r="C1116" s="6" t="inlineStr">
        <is>
          <t>33</t>
        </is>
      </c>
      <c r="D1116" s="5" t="inlineStr">
        <is>
          <t>Single</t>
        </is>
      </c>
      <c r="E1116" s="5" t="inlineStr">
        <is>
          <t>Bachelor</t>
        </is>
      </c>
      <c r="F1116" s="5" t="inlineStr">
        <is>
          <t>Sales</t>
        </is>
      </c>
      <c r="G1116" s="5" t="inlineStr">
        <is>
          <t>Sales Executive</t>
        </is>
      </c>
      <c r="H1116" s="5" t="inlineStr">
        <is>
          <t>1</t>
        </is>
      </c>
      <c r="I1116" s="5" t="inlineStr">
        <is>
          <t>Mumbai</t>
        </is>
      </c>
      <c r="J1116" s="5" t="inlineStr">
        <is>
          <t>Full-Time</t>
        </is>
      </c>
      <c r="K1116" s="7" t="n">
        <v>44842</v>
      </c>
      <c r="L1116" s="7" t="inlineStr"/>
      <c r="M1116" s="5" t="inlineStr">
        <is>
          <t>Yes</t>
        </is>
      </c>
      <c r="N1116" s="5" t="inlineStr"/>
      <c r="O1116" s="8" t="inlineStr">
        <is>
          <t>92000</t>
        </is>
      </c>
      <c r="P1116" s="5" t="inlineStr">
        <is>
          <t>5</t>
        </is>
      </c>
      <c r="Q1116" s="5" t="inlineStr">
        <is>
          <t>4</t>
        </is>
      </c>
      <c r="R1116" s="5" t="inlineStr">
        <is>
          <t>5</t>
        </is>
      </c>
      <c r="S1116" s="5" t="inlineStr">
        <is>
          <t>39</t>
        </is>
      </c>
      <c r="T1116" s="5" t="inlineStr">
        <is>
          <t>11</t>
        </is>
      </c>
      <c r="U1116" s="5" t="inlineStr">
        <is>
          <t>OK</t>
        </is>
      </c>
    </row>
    <row r="1117">
      <c r="A1117" s="5" t="inlineStr">
        <is>
          <t>E00485</t>
        </is>
      </c>
      <c r="B1117" s="5" t="inlineStr">
        <is>
          <t>Female</t>
        </is>
      </c>
      <c r="C1117" s="6" t="inlineStr">
        <is>
          <t>37</t>
        </is>
      </c>
      <c r="D1117" s="5" t="inlineStr">
        <is>
          <t>Married</t>
        </is>
      </c>
      <c r="E1117" s="5" t="inlineStr">
        <is>
          <t>PhD</t>
        </is>
      </c>
      <c r="F1117" s="5" t="inlineStr">
        <is>
          <t>IT</t>
        </is>
      </c>
      <c r="G1117" s="5" t="inlineStr">
        <is>
          <t>Data Analyst</t>
        </is>
      </c>
      <c r="H1117" s="5" t="inlineStr">
        <is>
          <t>4</t>
        </is>
      </c>
      <c r="I1117" s="5" t="inlineStr">
        <is>
          <t>Chennai</t>
        </is>
      </c>
      <c r="J1117" s="5" t="inlineStr">
        <is>
          <t>Full-Time</t>
        </is>
      </c>
      <c r="K1117" s="7" t="n">
        <v>44342</v>
      </c>
      <c r="L1117" s="7" t="inlineStr"/>
      <c r="M1117" s="5" t="inlineStr">
        <is>
          <t>Yes</t>
        </is>
      </c>
      <c r="N1117" s="5" t="inlineStr"/>
      <c r="O1117" s="8" t="inlineStr">
        <is>
          <t>170500</t>
        </is>
      </c>
      <c r="P1117" s="5" t="inlineStr">
        <is>
          <t>10</t>
        </is>
      </c>
      <c r="Q1117" s="5" t="inlineStr">
        <is>
          <t>5</t>
        </is>
      </c>
      <c r="R1117" s="5" t="inlineStr">
        <is>
          <t>6</t>
        </is>
      </c>
      <c r="S1117" s="5" t="inlineStr">
        <is>
          <t>56</t>
        </is>
      </c>
      <c r="T1117" s="5" t="inlineStr">
        <is>
          <t>8</t>
        </is>
      </c>
      <c r="U1117" s="5" t="inlineStr">
        <is>
          <t>OK</t>
        </is>
      </c>
    </row>
    <row r="1118">
      <c r="A1118" s="5" t="inlineStr">
        <is>
          <t>E02877</t>
        </is>
      </c>
      <c r="B1118" s="5" t="inlineStr">
        <is>
          <t>Female</t>
        </is>
      </c>
      <c r="C1118" s="6" t="inlineStr">
        <is>
          <t>29</t>
        </is>
      </c>
      <c r="D1118" s="5" t="inlineStr">
        <is>
          <t>Married</t>
        </is>
      </c>
      <c r="E1118" s="5" t="inlineStr">
        <is>
          <t>High School</t>
        </is>
      </c>
      <c r="F1118" s="5" t="inlineStr">
        <is>
          <t>Finance</t>
        </is>
      </c>
      <c r="G1118" s="5" t="inlineStr">
        <is>
          <t>Financial Analyst</t>
        </is>
      </c>
      <c r="H1118" s="5" t="inlineStr">
        <is>
          <t>3</t>
        </is>
      </c>
      <c r="I1118" s="5" t="inlineStr">
        <is>
          <t>Hyderabad</t>
        </is>
      </c>
      <c r="J1118" s="5" t="inlineStr">
        <is>
          <t>Full-Time</t>
        </is>
      </c>
      <c r="K1118" s="7" t="n">
        <v>44524</v>
      </c>
      <c r="L1118" s="7" t="inlineStr"/>
      <c r="M1118" s="5" t="inlineStr">
        <is>
          <t>Yes</t>
        </is>
      </c>
      <c r="N1118" s="5" t="inlineStr"/>
      <c r="O1118" s="8" t="inlineStr">
        <is>
          <t>143000</t>
        </is>
      </c>
      <c r="P1118" s="5" t="inlineStr">
        <is>
          <t>10</t>
        </is>
      </c>
      <c r="Q1118" s="5" t="inlineStr">
        <is>
          <t>3</t>
        </is>
      </c>
      <c r="R1118" s="5" t="inlineStr">
        <is>
          <t>10</t>
        </is>
      </c>
      <c r="S1118" s="5" t="inlineStr">
        <is>
          <t>49</t>
        </is>
      </c>
      <c r="T1118" s="5" t="inlineStr">
        <is>
          <t>7</t>
        </is>
      </c>
      <c r="U1118" s="5" t="inlineStr">
        <is>
          <t>OK</t>
        </is>
      </c>
    </row>
    <row r="1119">
      <c r="A1119" s="5" t="inlineStr">
        <is>
          <t>E00099</t>
        </is>
      </c>
      <c r="B1119" s="5" t="inlineStr">
        <is>
          <t>Male</t>
        </is>
      </c>
      <c r="C1119" s="6" t="inlineStr">
        <is>
          <t>23</t>
        </is>
      </c>
      <c r="D1119" s="5" t="inlineStr">
        <is>
          <t>Married</t>
        </is>
      </c>
      <c r="E1119" s="5" t="inlineStr">
        <is>
          <t>Diploma</t>
        </is>
      </c>
      <c r="F1119" s="5" t="inlineStr">
        <is>
          <t>Sales</t>
        </is>
      </c>
      <c r="G1119" s="5" t="inlineStr">
        <is>
          <t>Sales Executive</t>
        </is>
      </c>
      <c r="H1119" s="5" t="inlineStr">
        <is>
          <t>1</t>
        </is>
      </c>
      <c r="I1119" s="5" t="inlineStr">
        <is>
          <t>Delhi</t>
        </is>
      </c>
      <c r="J1119" s="5" t="inlineStr">
        <is>
          <t>Full-Time</t>
        </is>
      </c>
      <c r="K1119" s="7" t="n">
        <v>45115</v>
      </c>
      <c r="L1119" s="7" t="inlineStr"/>
      <c r="M1119" s="5" t="inlineStr">
        <is>
          <t>Yes</t>
        </is>
      </c>
      <c r="N1119" s="5" t="inlineStr"/>
      <c r="O1119" s="8" t="inlineStr">
        <is>
          <t>68500</t>
        </is>
      </c>
      <c r="P1119" s="5" t="inlineStr">
        <is>
          <t>10</t>
        </is>
      </c>
      <c r="Q1119" s="5" t="inlineStr">
        <is>
          <t>4</t>
        </is>
      </c>
      <c r="R1119" s="5" t="inlineStr">
        <is>
          <t>5</t>
        </is>
      </c>
      <c r="S1119" s="5" t="inlineStr">
        <is>
          <t>30</t>
        </is>
      </c>
      <c r="T1119" s="5" t="inlineStr">
        <is>
          <t>4</t>
        </is>
      </c>
      <c r="U1119" s="5" t="inlineStr">
        <is>
          <t>OK</t>
        </is>
      </c>
    </row>
    <row r="1120">
      <c r="A1120" s="5" t="inlineStr">
        <is>
          <t>E02233</t>
        </is>
      </c>
      <c r="B1120" s="5" t="inlineStr">
        <is>
          <t>Male</t>
        </is>
      </c>
      <c r="C1120" s="6" t="inlineStr">
        <is>
          <t>38</t>
        </is>
      </c>
      <c r="D1120" s="5" t="inlineStr">
        <is>
          <t>Single</t>
        </is>
      </c>
      <c r="E1120" s="5" t="inlineStr">
        <is>
          <t>Bachelor</t>
        </is>
      </c>
      <c r="F1120" s="5" t="inlineStr">
        <is>
          <t>Research &amp; Development</t>
        </is>
      </c>
      <c r="G1120" s="5" t="inlineStr">
        <is>
          <t>Data Scientist</t>
        </is>
      </c>
      <c r="H1120" s="5" t="inlineStr">
        <is>
          <t>7</t>
        </is>
      </c>
      <c r="I1120" s="5" t="inlineStr">
        <is>
          <t>Mumbai</t>
        </is>
      </c>
      <c r="J1120" s="5" t="inlineStr">
        <is>
          <t>Full-Time</t>
        </is>
      </c>
      <c r="K1120" s="7" t="n">
        <v>43864</v>
      </c>
      <c r="L1120" s="7" t="inlineStr"/>
      <c r="M1120" s="5" t="inlineStr">
        <is>
          <t>Yes</t>
        </is>
      </c>
      <c r="N1120" s="5" t="inlineStr"/>
      <c r="O1120" s="8" t="inlineStr">
        <is>
          <t>301500</t>
        </is>
      </c>
      <c r="P1120" s="5" t="inlineStr">
        <is>
          <t>10</t>
        </is>
      </c>
      <c r="Q1120" s="5" t="inlineStr">
        <is>
          <t>4</t>
        </is>
      </c>
      <c r="R1120" s="5" t="inlineStr">
        <is>
          <t>8</t>
        </is>
      </c>
      <c r="S1120" s="5" t="inlineStr">
        <is>
          <t>71</t>
        </is>
      </c>
      <c r="T1120" s="5" t="inlineStr">
        <is>
          <t>0</t>
        </is>
      </c>
      <c r="U1120" s="5" t="inlineStr">
        <is>
          <t>OK</t>
        </is>
      </c>
    </row>
    <row r="1121">
      <c r="A1121" s="5" t="inlineStr">
        <is>
          <t>E00814</t>
        </is>
      </c>
      <c r="B1121" s="5" t="inlineStr">
        <is>
          <t>Male</t>
        </is>
      </c>
      <c r="C1121" s="6" t="inlineStr">
        <is>
          <t>32</t>
        </is>
      </c>
      <c r="D1121" s="5" t="inlineStr">
        <is>
          <t>Married</t>
        </is>
      </c>
      <c r="E1121" s="5" t="inlineStr">
        <is>
          <t>Bachelor</t>
        </is>
      </c>
      <c r="F1121" s="5" t="inlineStr">
        <is>
          <t>Research &amp; Development</t>
        </is>
      </c>
      <c r="G1121" s="5" t="inlineStr">
        <is>
          <t>Research Scientist</t>
        </is>
      </c>
      <c r="H1121" s="5" t="inlineStr">
        <is>
          <t>1</t>
        </is>
      </c>
      <c r="I1121" s="5" t="inlineStr">
        <is>
          <t>Hyderabad</t>
        </is>
      </c>
      <c r="J1121" s="5" t="inlineStr">
        <is>
          <t>Full-Time</t>
        </is>
      </c>
      <c r="K1121" s="7" t="n">
        <v>43875</v>
      </c>
      <c r="L1121" s="7" t="inlineStr"/>
      <c r="M1121" s="5" t="inlineStr">
        <is>
          <t>Yes</t>
        </is>
      </c>
      <c r="N1121" s="5" t="inlineStr"/>
      <c r="O1121" s="8" t="inlineStr">
        <is>
          <t>129500</t>
        </is>
      </c>
      <c r="P1121" s="5" t="inlineStr">
        <is>
          <t>0</t>
        </is>
      </c>
      <c r="Q1121" s="5" t="inlineStr">
        <is>
          <t>5</t>
        </is>
      </c>
      <c r="R1121" s="5" t="inlineStr">
        <is>
          <t>8</t>
        </is>
      </c>
      <c r="S1121" s="5" t="inlineStr">
        <is>
          <t>71</t>
        </is>
      </c>
      <c r="T1121" s="5" t="inlineStr">
        <is>
          <t>0</t>
        </is>
      </c>
      <c r="U1121" s="5" t="inlineStr">
        <is>
          <t>OK</t>
        </is>
      </c>
    </row>
    <row r="1122">
      <c r="A1122" s="5" t="inlineStr">
        <is>
          <t>E01016</t>
        </is>
      </c>
      <c r="B1122" s="5" t="inlineStr">
        <is>
          <t>Female</t>
        </is>
      </c>
      <c r="C1122" s="6" t="inlineStr">
        <is>
          <t>38</t>
        </is>
      </c>
      <c r="D1122" s="5" t="inlineStr">
        <is>
          <t>Married</t>
        </is>
      </c>
      <c r="E1122" s="5" t="inlineStr">
        <is>
          <t>Master</t>
        </is>
      </c>
      <c r="F1122" s="5" t="inlineStr">
        <is>
          <t>IT</t>
        </is>
      </c>
      <c r="G1122" s="5" t="inlineStr">
        <is>
          <t>IT Support</t>
        </is>
      </c>
      <c r="H1122" s="5" t="inlineStr">
        <is>
          <t>5</t>
        </is>
      </c>
      <c r="I1122" s="5" t="inlineStr">
        <is>
          <t>Delhi</t>
        </is>
      </c>
      <c r="J1122" s="5" t="inlineStr">
        <is>
          <t>Full-Time</t>
        </is>
      </c>
      <c r="K1122" s="7" t="n">
        <v>45506</v>
      </c>
      <c r="L1122" s="7" t="inlineStr"/>
      <c r="M1122" s="5" t="inlineStr">
        <is>
          <t>Yes</t>
        </is>
      </c>
      <c r="N1122" s="5" t="inlineStr"/>
      <c r="O1122" s="8" t="inlineStr">
        <is>
          <t>218000</t>
        </is>
      </c>
      <c r="P1122" s="5" t="inlineStr">
        <is>
          <t>5</t>
        </is>
      </c>
      <c r="Q1122" s="5" t="inlineStr">
        <is>
          <t>1</t>
        </is>
      </c>
      <c r="R1122" s="5" t="inlineStr">
        <is>
          <t>7</t>
        </is>
      </c>
      <c r="S1122" s="5" t="inlineStr">
        <is>
          <t>17</t>
        </is>
      </c>
      <c r="T1122" s="5" t="inlineStr">
        <is>
          <t>7</t>
        </is>
      </c>
      <c r="U1122" s="5" t="inlineStr">
        <is>
          <t>OK</t>
        </is>
      </c>
    </row>
    <row r="1123">
      <c r="A1123" s="5" t="inlineStr">
        <is>
          <t>E01703</t>
        </is>
      </c>
      <c r="B1123" s="5" t="inlineStr">
        <is>
          <t>Male</t>
        </is>
      </c>
      <c r="C1123" s="6" t="inlineStr">
        <is>
          <t>39</t>
        </is>
      </c>
      <c r="D1123" s="5" t="inlineStr">
        <is>
          <t>Married</t>
        </is>
      </c>
      <c r="E1123" s="5" t="inlineStr">
        <is>
          <t>PhD</t>
        </is>
      </c>
      <c r="F1123" s="5" t="inlineStr">
        <is>
          <t>IT</t>
        </is>
      </c>
      <c r="G1123" s="5" t="inlineStr">
        <is>
          <t>DevOps Engineer</t>
        </is>
      </c>
      <c r="H1123" s="5" t="inlineStr">
        <is>
          <t>7</t>
        </is>
      </c>
      <c r="I1123" s="5" t="inlineStr">
        <is>
          <t>Bengaluru</t>
        </is>
      </c>
      <c r="J1123" s="5" t="inlineStr">
        <is>
          <t>Full-Time</t>
        </is>
      </c>
      <c r="K1123" s="7" t="n">
        <v>45707</v>
      </c>
      <c r="L1123" s="7" t="inlineStr"/>
      <c r="M1123" s="5" t="inlineStr">
        <is>
          <t>Yes</t>
        </is>
      </c>
      <c r="N1123" s="5" t="inlineStr"/>
      <c r="O1123" s="8" t="inlineStr">
        <is>
          <t>158500</t>
        </is>
      </c>
      <c r="P1123" s="5" t="inlineStr">
        <is>
          <t>10</t>
        </is>
      </c>
      <c r="Q1123" s="5" t="inlineStr">
        <is>
          <t>2</t>
        </is>
      </c>
      <c r="R1123" s="5" t="inlineStr">
        <is>
          <t>7</t>
        </is>
      </c>
      <c r="S1123" s="5" t="inlineStr">
        <is>
          <t>10</t>
        </is>
      </c>
      <c r="T1123" s="5" t="inlineStr">
        <is>
          <t>0</t>
        </is>
      </c>
      <c r="U1123" s="5" t="inlineStr">
        <is>
          <t>OK</t>
        </is>
      </c>
    </row>
    <row r="1124">
      <c r="A1124" s="5" t="inlineStr">
        <is>
          <t>E00946</t>
        </is>
      </c>
      <c r="B1124" s="5" t="inlineStr">
        <is>
          <t>female</t>
        </is>
      </c>
      <c r="C1124" s="6" t="inlineStr">
        <is>
          <t>28</t>
        </is>
      </c>
      <c r="D1124" s="5" t="inlineStr">
        <is>
          <t>Married</t>
        </is>
      </c>
      <c r="E1124" s="5" t="inlineStr">
        <is>
          <t>Master</t>
        </is>
      </c>
      <c r="F1124" s="5" t="inlineStr">
        <is>
          <t>Customer Support</t>
        </is>
      </c>
      <c r="G1124" s="5" t="inlineStr">
        <is>
          <t>Escalation Specialist</t>
        </is>
      </c>
      <c r="H1124" s="5" t="inlineStr">
        <is>
          <t>2</t>
        </is>
      </c>
      <c r="I1124" s="5" t="inlineStr">
        <is>
          <t>Chennai</t>
        </is>
      </c>
      <c r="J1124" s="5" t="inlineStr">
        <is>
          <t>Full-Time</t>
        </is>
      </c>
      <c r="K1124" s="7" t="n">
        <v>45434</v>
      </c>
      <c r="L1124" s="7" t="inlineStr"/>
      <c r="M1124" s="5" t="inlineStr">
        <is>
          <t>Yes</t>
        </is>
      </c>
      <c r="N1124" s="5" t="inlineStr"/>
      <c r="O1124" s="8" t="inlineStr">
        <is>
          <t>59000</t>
        </is>
      </c>
      <c r="P1124" s="5" t="inlineStr">
        <is>
          <t>5</t>
        </is>
      </c>
      <c r="Q1124" s="5" t="inlineStr">
        <is>
          <t>4</t>
        </is>
      </c>
      <c r="R1124" s="5" t="inlineStr">
        <is>
          <t>7</t>
        </is>
      </c>
      <c r="S1124" s="5" t="inlineStr">
        <is>
          <t>19</t>
        </is>
      </c>
      <c r="T1124" s="5" t="inlineStr">
        <is>
          <t>10</t>
        </is>
      </c>
      <c r="U1124" s="5" t="inlineStr">
        <is>
          <t>OK</t>
        </is>
      </c>
    </row>
    <row r="1125">
      <c r="A1125" s="5" t="inlineStr">
        <is>
          <t>E01083</t>
        </is>
      </c>
      <c r="B1125" s="5" t="inlineStr">
        <is>
          <t>Female</t>
        </is>
      </c>
      <c r="C1125" s="6" t="inlineStr">
        <is>
          <t>33</t>
        </is>
      </c>
      <c r="D1125" s="5" t="inlineStr">
        <is>
          <t>Married</t>
        </is>
      </c>
      <c r="E1125" s="5" t="inlineStr">
        <is>
          <t>High School</t>
        </is>
      </c>
      <c r="F1125" s="5" t="inlineStr">
        <is>
          <t>IT</t>
        </is>
      </c>
      <c r="G1125" s="5" t="inlineStr">
        <is>
          <t>DevOps Engineer</t>
        </is>
      </c>
      <c r="H1125" s="5" t="inlineStr">
        <is>
          <t>3</t>
        </is>
      </c>
      <c r="I1125" s="5" t="inlineStr">
        <is>
          <t>Hyderabad</t>
        </is>
      </c>
      <c r="J1125" s="5" t="inlineStr">
        <is>
          <t>Full-Time</t>
        </is>
      </c>
      <c r="K1125" s="7" t="n">
        <v>45977</v>
      </c>
      <c r="L1125" s="7" t="inlineStr"/>
      <c r="M1125" s="5" t="inlineStr">
        <is>
          <t>Yes</t>
        </is>
      </c>
      <c r="N1125" s="5" t="inlineStr"/>
      <c r="O1125" s="8" t="inlineStr">
        <is>
          <t>111500</t>
        </is>
      </c>
      <c r="P1125" s="5" t="inlineStr">
        <is>
          <t>5</t>
        </is>
      </c>
      <c r="Q1125" s="5" t="inlineStr">
        <is>
          <t>5</t>
        </is>
      </c>
      <c r="R1125" s="5" t="inlineStr">
        <is>
          <t>5</t>
        </is>
      </c>
      <c r="S1125" s="5" t="inlineStr">
        <is>
          <t>1</t>
        </is>
      </c>
      <c r="T1125" s="5" t="inlineStr">
        <is>
          <t>0</t>
        </is>
      </c>
      <c r="U1125" s="5" t="inlineStr">
        <is>
          <t>OK</t>
        </is>
      </c>
    </row>
    <row r="1126">
      <c r="A1126" s="5" t="inlineStr">
        <is>
          <t>E02079</t>
        </is>
      </c>
      <c r="B1126" s="5" t="inlineStr">
        <is>
          <t>Male</t>
        </is>
      </c>
      <c r="C1126" s="6" t="inlineStr">
        <is>
          <t>33</t>
        </is>
      </c>
      <c r="D1126" s="5" t="inlineStr">
        <is>
          <t>Married</t>
        </is>
      </c>
      <c r="E1126" s="5" t="inlineStr">
        <is>
          <t>High School</t>
        </is>
      </c>
      <c r="F1126" s="5" t="inlineStr">
        <is>
          <t>Operations</t>
        </is>
      </c>
      <c r="G1126" s="5" t="inlineStr">
        <is>
          <t>Operations Analyst</t>
        </is>
      </c>
      <c r="H1126" s="5" t="inlineStr">
        <is>
          <t>3</t>
        </is>
      </c>
      <c r="I1126" s="5" t="inlineStr">
        <is>
          <t>Bengaluru</t>
        </is>
      </c>
      <c r="J1126" s="5" t="inlineStr">
        <is>
          <t>Full-Time</t>
        </is>
      </c>
      <c r="K1126" s="7" t="n">
        <v>45333</v>
      </c>
      <c r="L1126" s="7" t="inlineStr"/>
      <c r="M1126" s="5" t="inlineStr">
        <is>
          <t>Yes</t>
        </is>
      </c>
      <c r="N1126" s="5" t="inlineStr"/>
      <c r="O1126" s="8" t="inlineStr">
        <is>
          <t>101500</t>
        </is>
      </c>
      <c r="P1126" s="5" t="inlineStr">
        <is>
          <t>10</t>
        </is>
      </c>
      <c r="Q1126" s="5" t="inlineStr">
        <is>
          <t>5</t>
        </is>
      </c>
      <c r="R1126" s="5" t="inlineStr">
        <is>
          <t>5</t>
        </is>
      </c>
      <c r="S1126" s="5" t="inlineStr">
        <is>
          <t>22</t>
        </is>
      </c>
      <c r="T1126" s="5" t="inlineStr">
        <is>
          <t>6</t>
        </is>
      </c>
      <c r="U1126" s="5" t="inlineStr">
        <is>
          <t>OK</t>
        </is>
      </c>
    </row>
    <row r="1127">
      <c r="A1127" s="5" t="inlineStr">
        <is>
          <t>E02798</t>
        </is>
      </c>
      <c r="B1127" s="5" t="inlineStr">
        <is>
          <t>Male</t>
        </is>
      </c>
      <c r="C1127" s="6" t="inlineStr">
        <is>
          <t>29</t>
        </is>
      </c>
      <c r="D1127" s="5" t="inlineStr">
        <is>
          <t>Single</t>
        </is>
      </c>
      <c r="E1127" s="5" t="inlineStr">
        <is>
          <t>Diploma</t>
        </is>
      </c>
      <c r="F1127" s="5" t="inlineStr">
        <is>
          <t>Finance</t>
        </is>
      </c>
      <c r="G1127" s="5" t="inlineStr">
        <is>
          <t>Financial Analyst</t>
        </is>
      </c>
      <c r="H1127" s="5" t="inlineStr">
        <is>
          <t>2</t>
        </is>
      </c>
      <c r="I1127" s="5" t="inlineStr">
        <is>
          <t>Delhi</t>
        </is>
      </c>
      <c r="J1127" s="5" t="inlineStr">
        <is>
          <t>Full-Time</t>
        </is>
      </c>
      <c r="K1127" s="7" t="n">
        <v>45825</v>
      </c>
      <c r="L1127" s="7" t="inlineStr"/>
      <c r="M1127" s="5" t="inlineStr">
        <is>
          <t>Yes</t>
        </is>
      </c>
      <c r="N1127" s="5" t="inlineStr"/>
      <c r="O1127" s="8" t="inlineStr">
        <is>
          <t>105500</t>
        </is>
      </c>
      <c r="P1127" s="5" t="inlineStr">
        <is>
          <t>10</t>
        </is>
      </c>
      <c r="Q1127" s="5" t="inlineStr">
        <is>
          <t>4</t>
        </is>
      </c>
      <c r="R1127" s="5" t="inlineStr">
        <is>
          <t>9</t>
        </is>
      </c>
      <c r="S1127" s="5" t="inlineStr">
        <is>
          <t>6</t>
        </is>
      </c>
      <c r="T1127" s="5" t="inlineStr">
        <is>
          <t>13</t>
        </is>
      </c>
      <c r="U1127" s="5" t="inlineStr">
        <is>
          <t>OK</t>
        </is>
      </c>
    </row>
    <row r="1128">
      <c r="A1128" s="5" t="inlineStr">
        <is>
          <t>E00945</t>
        </is>
      </c>
      <c r="B1128" s="5" t="inlineStr">
        <is>
          <t>Male</t>
        </is>
      </c>
      <c r="C1128" s="6" t="inlineStr">
        <is>
          <t>34</t>
        </is>
      </c>
      <c r="D1128" s="5" t="inlineStr">
        <is>
          <t>Divorced</t>
        </is>
      </c>
      <c r="E1128" s="5" t="inlineStr">
        <is>
          <t>PhD</t>
        </is>
      </c>
      <c r="F1128" s="5" t="inlineStr">
        <is>
          <t>IT</t>
        </is>
      </c>
      <c r="G1128" s="5" t="inlineStr">
        <is>
          <t>DevOps Engineer</t>
        </is>
      </c>
      <c r="H1128" s="5" t="inlineStr">
        <is>
          <t>2</t>
        </is>
      </c>
      <c r="I1128" s="5" t="inlineStr">
        <is>
          <t>Remote</t>
        </is>
      </c>
      <c r="J1128" s="5" t="inlineStr">
        <is>
          <t>Full-Time</t>
        </is>
      </c>
      <c r="K1128" s="7" t="n">
        <v>44494</v>
      </c>
      <c r="L1128" s="7" t="inlineStr"/>
      <c r="M1128" s="5" t="inlineStr">
        <is>
          <t>Yes</t>
        </is>
      </c>
      <c r="N1128" s="5" t="inlineStr"/>
      <c r="O1128" s="8" t="inlineStr">
        <is>
          <t>129500</t>
        </is>
      </c>
      <c r="P1128" s="5" t="inlineStr">
        <is>
          <t>5</t>
        </is>
      </c>
      <c r="Q1128" s="5" t="inlineStr">
        <is>
          <t>4</t>
        </is>
      </c>
      <c r="R1128" s="5" t="inlineStr">
        <is>
          <t>3</t>
        </is>
      </c>
      <c r="S1128" s="5" t="inlineStr">
        <is>
          <t>50</t>
        </is>
      </c>
      <c r="T1128" s="5" t="inlineStr">
        <is>
          <t>0</t>
        </is>
      </c>
      <c r="U1128" s="5" t="inlineStr">
        <is>
          <t>OK</t>
        </is>
      </c>
    </row>
    <row r="1129">
      <c r="A1129" s="5" t="inlineStr">
        <is>
          <t>E01353</t>
        </is>
      </c>
      <c r="B1129" s="5" t="inlineStr">
        <is>
          <t>Male</t>
        </is>
      </c>
      <c r="C1129" s="6" t="inlineStr">
        <is>
          <t>33</t>
        </is>
      </c>
      <c r="D1129" s="5" t="inlineStr">
        <is>
          <t>Single</t>
        </is>
      </c>
      <c r="E1129" s="5" t="inlineStr">
        <is>
          <t>Diploma</t>
        </is>
      </c>
      <c r="F1129" s="5" t="inlineStr">
        <is>
          <t>Operations</t>
        </is>
      </c>
      <c r="G1129" s="5" t="inlineStr">
        <is>
          <t>Logistics Coordinator</t>
        </is>
      </c>
      <c r="H1129" s="5" t="inlineStr">
        <is>
          <t>2</t>
        </is>
      </c>
      <c r="I1129" s="5" t="inlineStr">
        <is>
          <t>Chennai</t>
        </is>
      </c>
      <c r="J1129" s="5" t="inlineStr">
        <is>
          <t>Full-Time</t>
        </is>
      </c>
      <c r="K1129" s="7" t="n">
        <v>44979</v>
      </c>
      <c r="L1129" s="7" t="inlineStr"/>
      <c r="M1129" s="5" t="inlineStr">
        <is>
          <t>Yes</t>
        </is>
      </c>
      <c r="N1129" s="5" t="inlineStr"/>
      <c r="O1129" s="8" t="inlineStr">
        <is>
          <t>101500</t>
        </is>
      </c>
      <c r="P1129" s="5" t="inlineStr">
        <is>
          <t>15</t>
        </is>
      </c>
      <c r="Q1129" s="5" t="inlineStr">
        <is>
          <t>3</t>
        </is>
      </c>
      <c r="R1129" s="5" t="inlineStr">
        <is>
          <t>6</t>
        </is>
      </c>
      <c r="S1129" s="5" t="inlineStr">
        <is>
          <t>34</t>
        </is>
      </c>
      <c r="T1129" s="5" t="inlineStr">
        <is>
          <t>17</t>
        </is>
      </c>
      <c r="U1129" s="5" t="inlineStr">
        <is>
          <t>OK</t>
        </is>
      </c>
    </row>
    <row r="1130">
      <c r="A1130" s="5" t="inlineStr">
        <is>
          <t>E02398</t>
        </is>
      </c>
      <c r="B1130" s="5" t="inlineStr">
        <is>
          <t>Male</t>
        </is>
      </c>
      <c r="C1130" s="6" t="inlineStr">
        <is>
          <t>30</t>
        </is>
      </c>
      <c r="D1130" s="5" t="inlineStr">
        <is>
          <t>Married</t>
        </is>
      </c>
      <c r="E1130" s="5" t="inlineStr">
        <is>
          <t>PhD</t>
        </is>
      </c>
      <c r="F1130" s="5" t="inlineStr">
        <is>
          <t>Research &amp; Development</t>
        </is>
      </c>
      <c r="G1130" s="5" t="inlineStr">
        <is>
          <t>Product Engineer</t>
        </is>
      </c>
      <c r="H1130" s="5" t="inlineStr">
        <is>
          <t>4</t>
        </is>
      </c>
      <c r="I1130" s="5" t="inlineStr">
        <is>
          <t>Bengaluru</t>
        </is>
      </c>
      <c r="J1130" s="5" t="inlineStr">
        <is>
          <t>Part-Time</t>
        </is>
      </c>
      <c r="K1130" s="7" t="n">
        <v>44547</v>
      </c>
      <c r="L1130" s="7" t="inlineStr"/>
      <c r="M1130" s="5" t="inlineStr">
        <is>
          <t>Yes</t>
        </is>
      </c>
      <c r="N1130" s="5" t="inlineStr"/>
      <c r="O1130" s="8" t="inlineStr">
        <is>
          <t>174500</t>
        </is>
      </c>
      <c r="P1130" s="5" t="inlineStr">
        <is>
          <t>0</t>
        </is>
      </c>
      <c r="Q1130" s="5" t="inlineStr">
        <is>
          <t>3</t>
        </is>
      </c>
      <c r="R1130" s="5" t="inlineStr">
        <is>
          <t>6</t>
        </is>
      </c>
      <c r="S1130" s="5" t="inlineStr">
        <is>
          <t>49</t>
        </is>
      </c>
      <c r="T1130" s="5" t="inlineStr">
        <is>
          <t>15</t>
        </is>
      </c>
      <c r="U1130" s="5" t="inlineStr">
        <is>
          <t>OK</t>
        </is>
      </c>
    </row>
    <row r="1131">
      <c r="A1131" s="5" t="inlineStr">
        <is>
          <t>E01025</t>
        </is>
      </c>
      <c r="B1131" s="5" t="inlineStr">
        <is>
          <t>Female</t>
        </is>
      </c>
      <c r="C1131" s="6" t="inlineStr">
        <is>
          <t>36</t>
        </is>
      </c>
      <c r="D1131" s="5" t="inlineStr">
        <is>
          <t>Married</t>
        </is>
      </c>
      <c r="E1131" s="5" t="inlineStr">
        <is>
          <t>Diploma</t>
        </is>
      </c>
      <c r="F1131" s="5" t="inlineStr">
        <is>
          <t>Finance</t>
        </is>
      </c>
      <c r="G1131" s="5" t="inlineStr">
        <is>
          <t>Accountant</t>
        </is>
      </c>
      <c r="H1131" s="5" t="inlineStr">
        <is>
          <t>4</t>
        </is>
      </c>
      <c r="I1131" s="5" t="inlineStr">
        <is>
          <t>Bengaluru</t>
        </is>
      </c>
      <c r="J1131" s="5" t="inlineStr">
        <is>
          <t>Full-Time</t>
        </is>
      </c>
      <c r="K1131" s="7" t="n">
        <v>45903</v>
      </c>
      <c r="L1131" s="7" t="inlineStr"/>
      <c r="M1131" s="5" t="inlineStr">
        <is>
          <t>Yes</t>
        </is>
      </c>
      <c r="N1131" s="5" t="inlineStr"/>
      <c r="O1131" s="8" t="inlineStr">
        <is>
          <t>125500</t>
        </is>
      </c>
      <c r="P1131" s="5" t="inlineStr">
        <is>
          <t>15</t>
        </is>
      </c>
      <c r="Q1131" s="5" t="inlineStr">
        <is>
          <t>3</t>
        </is>
      </c>
      <c r="R1131" s="5" t="inlineStr">
        <is>
          <t>6</t>
        </is>
      </c>
      <c r="S1131" s="5" t="inlineStr">
        <is>
          <t>3</t>
        </is>
      </c>
      <c r="T1131" s="5" t="inlineStr">
        <is>
          <t>0</t>
        </is>
      </c>
      <c r="U1131" s="5" t="inlineStr">
        <is>
          <t>OK</t>
        </is>
      </c>
    </row>
    <row r="1132">
      <c r="A1132" s="5" t="inlineStr">
        <is>
          <t>E00724</t>
        </is>
      </c>
      <c r="B1132" s="5" t="inlineStr">
        <is>
          <t>female</t>
        </is>
      </c>
      <c r="C1132" s="6" t="inlineStr">
        <is>
          <t>26</t>
        </is>
      </c>
      <c r="D1132" s="5" t="inlineStr">
        <is>
          <t>Married</t>
        </is>
      </c>
      <c r="E1132" s="5" t="inlineStr">
        <is>
          <t>Bachelor</t>
        </is>
      </c>
      <c r="F1132" s="5" t="inlineStr">
        <is>
          <t>Operations</t>
        </is>
      </c>
      <c r="G1132" s="5" t="inlineStr">
        <is>
          <t>Operations Analyst</t>
        </is>
      </c>
      <c r="H1132" s="5" t="inlineStr">
        <is>
          <t>1</t>
        </is>
      </c>
      <c r="I1132" s="5" t="inlineStr">
        <is>
          <t>Bengaluru</t>
        </is>
      </c>
      <c r="J1132" s="5" t="inlineStr">
        <is>
          <t>Full-Time</t>
        </is>
      </c>
      <c r="K1132" s="7" t="n">
        <v>45484</v>
      </c>
      <c r="L1132" s="7" t="n">
        <v>45576</v>
      </c>
      <c r="M1132" s="5" t="inlineStr">
        <is>
          <t>No</t>
        </is>
      </c>
      <c r="N1132" s="5" t="inlineStr">
        <is>
          <t>Retirement</t>
        </is>
      </c>
      <c r="O1132" s="8" t="inlineStr">
        <is>
          <t>75500</t>
        </is>
      </c>
      <c r="P1132" s="5" t="inlineStr">
        <is>
          <t>15</t>
        </is>
      </c>
      <c r="Q1132" s="5" t="inlineStr">
        <is>
          <t>4</t>
        </is>
      </c>
      <c r="R1132" s="5" t="inlineStr">
        <is>
          <t>9</t>
        </is>
      </c>
      <c r="S1132" s="5" t="inlineStr">
        <is>
          <t>3</t>
        </is>
      </c>
      <c r="T1132" s="5" t="inlineStr">
        <is>
          <t>0</t>
        </is>
      </c>
      <c r="U1132" s="5" t="inlineStr">
        <is>
          <t>OK</t>
        </is>
      </c>
    </row>
    <row r="1133">
      <c r="A1133" s="5" t="inlineStr">
        <is>
          <t>E01692</t>
        </is>
      </c>
      <c r="B1133" s="5" t="inlineStr">
        <is>
          <t>Male</t>
        </is>
      </c>
      <c r="C1133" s="6" t="inlineStr">
        <is>
          <t>28</t>
        </is>
      </c>
      <c r="D1133" s="5" t="inlineStr">
        <is>
          <t>Married</t>
        </is>
      </c>
      <c r="E1133" s="5" t="inlineStr">
        <is>
          <t>Bachelor</t>
        </is>
      </c>
      <c r="F1133" s="5" t="inlineStr">
        <is>
          <t>Sales</t>
        </is>
      </c>
      <c r="G1133" s="5" t="inlineStr">
        <is>
          <t>Business Development</t>
        </is>
      </c>
      <c r="H1133" s="5" t="inlineStr">
        <is>
          <t>2</t>
        </is>
      </c>
      <c r="I1133" s="5" t="inlineStr">
        <is>
          <t>Remote</t>
        </is>
      </c>
      <c r="J1133" s="5" t="inlineStr">
        <is>
          <t>Full-Time</t>
        </is>
      </c>
      <c r="K1133" s="7" t="n">
        <v>44083</v>
      </c>
      <c r="L1133" s="7" t="inlineStr"/>
      <c r="M1133" s="5" t="inlineStr">
        <is>
          <t>Yes</t>
        </is>
      </c>
      <c r="N1133" s="5" t="inlineStr"/>
      <c r="O1133" s="8" t="inlineStr">
        <is>
          <t>79000</t>
        </is>
      </c>
      <c r="P1133" s="5" t="inlineStr">
        <is>
          <t>5</t>
        </is>
      </c>
      <c r="Q1133" s="5" t="inlineStr">
        <is>
          <t>2</t>
        </is>
      </c>
      <c r="R1133" s="5" t="inlineStr">
        <is>
          <t>9</t>
        </is>
      </c>
      <c r="S1133" s="5" t="inlineStr">
        <is>
          <t>64</t>
        </is>
      </c>
      <c r="T1133" s="5" t="inlineStr">
        <is>
          <t>1</t>
        </is>
      </c>
      <c r="U1133" s="5" t="inlineStr">
        <is>
          <t>OK</t>
        </is>
      </c>
    </row>
    <row r="1134">
      <c r="A1134" s="5" t="inlineStr">
        <is>
          <t>E02657</t>
        </is>
      </c>
      <c r="B1134" s="5" t="inlineStr">
        <is>
          <t>Male</t>
        </is>
      </c>
      <c r="C1134" s="6" t="inlineStr">
        <is>
          <t>30</t>
        </is>
      </c>
      <c r="D1134" s="5" t="inlineStr">
        <is>
          <t>Married</t>
        </is>
      </c>
      <c r="E1134" s="5" t="inlineStr">
        <is>
          <t>PhD</t>
        </is>
      </c>
      <c r="F1134" s="5" t="inlineStr">
        <is>
          <t>Sales</t>
        </is>
      </c>
      <c r="G1134" s="5" t="inlineStr">
        <is>
          <t>Account Executive</t>
        </is>
      </c>
      <c r="H1134" s="5" t="inlineStr">
        <is>
          <t>2</t>
        </is>
      </c>
      <c r="I1134" s="5" t="inlineStr">
        <is>
          <t>Mumbai</t>
        </is>
      </c>
      <c r="J1134" s="5" t="inlineStr">
        <is>
          <t>Full-Time</t>
        </is>
      </c>
      <c r="K1134" s="7" t="n">
        <v>45507</v>
      </c>
      <c r="L1134" s="7" t="inlineStr"/>
      <c r="M1134" s="5" t="inlineStr">
        <is>
          <t>Yes</t>
        </is>
      </c>
      <c r="N1134" s="5" t="inlineStr"/>
      <c r="O1134" s="8" t="inlineStr">
        <is>
          <t>68500</t>
        </is>
      </c>
      <c r="P1134" s="5" t="inlineStr">
        <is>
          <t>0</t>
        </is>
      </c>
      <c r="Q1134" s="5" t="inlineStr">
        <is>
          <t>4</t>
        </is>
      </c>
      <c r="R1134" s="5" t="inlineStr">
        <is>
          <t>5</t>
        </is>
      </c>
      <c r="S1134" s="5" t="inlineStr">
        <is>
          <t>17</t>
        </is>
      </c>
      <c r="T1134" s="5" t="inlineStr">
        <is>
          <t>11</t>
        </is>
      </c>
      <c r="U1134" s="5" t="inlineStr">
        <is>
          <t>OK</t>
        </is>
      </c>
    </row>
    <row r="1135">
      <c r="A1135" s="5" t="inlineStr">
        <is>
          <t>E00259</t>
        </is>
      </c>
      <c r="B1135" s="5" t="inlineStr">
        <is>
          <t>Female</t>
        </is>
      </c>
      <c r="C1135" s="6" t="inlineStr">
        <is>
          <t>33</t>
        </is>
      </c>
      <c r="D1135" s="5" t="inlineStr">
        <is>
          <t>Married</t>
        </is>
      </c>
      <c r="E1135" s="5" t="inlineStr">
        <is>
          <t>Diploma</t>
        </is>
      </c>
      <c r="F1135" s="5" t="inlineStr">
        <is>
          <t>Marketing</t>
        </is>
      </c>
      <c r="G1135" s="5" t="inlineStr">
        <is>
          <t>Content Writer</t>
        </is>
      </c>
      <c r="H1135" s="5" t="inlineStr">
        <is>
          <t>2</t>
        </is>
      </c>
      <c r="I1135" s="5" t="inlineStr">
        <is>
          <t>Remote</t>
        </is>
      </c>
      <c r="J1135" s="5" t="inlineStr">
        <is>
          <t>Full-Time</t>
        </is>
      </c>
      <c r="K1135" s="7" t="n">
        <v>45097</v>
      </c>
      <c r="L1135" s="7" t="inlineStr"/>
      <c r="M1135" s="5" t="inlineStr">
        <is>
          <t>Yes</t>
        </is>
      </c>
      <c r="N1135" s="5" t="inlineStr"/>
      <c r="O1135" s="8" t="inlineStr">
        <is>
          <t>72000</t>
        </is>
      </c>
      <c r="P1135" s="5" t="inlineStr">
        <is>
          <t>0</t>
        </is>
      </c>
      <c r="Q1135" s="5" t="inlineStr">
        <is>
          <t>4</t>
        </is>
      </c>
      <c r="R1135" s="5" t="inlineStr">
        <is>
          <t>3</t>
        </is>
      </c>
      <c r="S1135" s="5" t="inlineStr">
        <is>
          <t>30</t>
        </is>
      </c>
      <c r="T1135" s="5" t="inlineStr">
        <is>
          <t>12</t>
        </is>
      </c>
      <c r="U1135" s="5" t="inlineStr">
        <is>
          <t>OK</t>
        </is>
      </c>
    </row>
    <row r="1136">
      <c r="A1136" s="5" t="inlineStr">
        <is>
          <t>E01929</t>
        </is>
      </c>
      <c r="B1136" s="5" t="inlineStr">
        <is>
          <t>Female</t>
        </is>
      </c>
      <c r="C1136" s="6" t="inlineStr">
        <is>
          <t>36</t>
        </is>
      </c>
      <c r="D1136" s="5" t="inlineStr">
        <is>
          <t>Married</t>
        </is>
      </c>
      <c r="E1136" s="5" t="inlineStr">
        <is>
          <t>Master</t>
        </is>
      </c>
      <c r="F1136" s="5" t="inlineStr">
        <is>
          <t>Research &amp; Development</t>
        </is>
      </c>
      <c r="G1136" s="5" t="inlineStr">
        <is>
          <t>Research Scientist</t>
        </is>
      </c>
      <c r="H1136" s="5" t="inlineStr">
        <is>
          <t>6</t>
        </is>
      </c>
      <c r="I1136" s="5" t="inlineStr">
        <is>
          <t>Chennai</t>
        </is>
      </c>
      <c r="J1136" s="5" t="inlineStr">
        <is>
          <t>Full-Time</t>
        </is>
      </c>
      <c r="K1136" s="7" t="n">
        <v>44118</v>
      </c>
      <c r="L1136" s="7" t="inlineStr"/>
      <c r="M1136" s="5" t="inlineStr">
        <is>
          <t>Yes</t>
        </is>
      </c>
      <c r="N1136" s="5" t="inlineStr"/>
      <c r="O1136" s="8" t="inlineStr">
        <is>
          <t>237000</t>
        </is>
      </c>
      <c r="P1136" s="5" t="inlineStr">
        <is>
          <t>20</t>
        </is>
      </c>
      <c r="Q1136" s="5" t="inlineStr">
        <is>
          <t>3</t>
        </is>
      </c>
      <c r="R1136" s="5" t="inlineStr">
        <is>
          <t>3</t>
        </is>
      </c>
      <c r="S1136" s="5" t="inlineStr">
        <is>
          <t>63</t>
        </is>
      </c>
      <c r="T1136" s="5" t="inlineStr">
        <is>
          <t>6</t>
        </is>
      </c>
      <c r="U1136" s="5" t="inlineStr">
        <is>
          <t>OK</t>
        </is>
      </c>
    </row>
    <row r="1137">
      <c r="A1137" s="5" t="inlineStr">
        <is>
          <t>E01131</t>
        </is>
      </c>
      <c r="B1137" s="5" t="inlineStr">
        <is>
          <t>Male</t>
        </is>
      </c>
      <c r="C1137" s="6" t="inlineStr">
        <is>
          <t>25</t>
        </is>
      </c>
      <c r="D1137" s="5" t="inlineStr">
        <is>
          <t>Married</t>
        </is>
      </c>
      <c r="E1137" s="5" t="inlineStr">
        <is>
          <t>Diploma</t>
        </is>
      </c>
      <c r="F1137" s="5" t="inlineStr">
        <is>
          <t>Customer Support</t>
        </is>
      </c>
      <c r="G1137" s="5" t="inlineStr">
        <is>
          <t>Support Agent</t>
        </is>
      </c>
      <c r="H1137" s="5" t="inlineStr">
        <is>
          <t>1</t>
        </is>
      </c>
      <c r="I1137" s="5" t="inlineStr">
        <is>
          <t>Hyderabad</t>
        </is>
      </c>
      <c r="J1137" s="5" t="inlineStr">
        <is>
          <t>Full-Time</t>
        </is>
      </c>
      <c r="K1137" s="7" t="n">
        <v>45700</v>
      </c>
      <c r="L1137" s="7" t="inlineStr"/>
      <c r="M1137" s="5" t="inlineStr">
        <is>
          <t>Yes</t>
        </is>
      </c>
      <c r="N1137" s="5" t="inlineStr"/>
      <c r="O1137" s="8" t="inlineStr">
        <is>
          <t>49500</t>
        </is>
      </c>
      <c r="P1137" s="5" t="inlineStr">
        <is>
          <t>0</t>
        </is>
      </c>
      <c r="Q1137" s="5" t="inlineStr">
        <is>
          <t>3</t>
        </is>
      </c>
      <c r="R1137" s="5" t="inlineStr">
        <is>
          <t>7</t>
        </is>
      </c>
      <c r="S1137" s="5" t="inlineStr">
        <is>
          <t>10</t>
        </is>
      </c>
      <c r="T1137" s="5" t="inlineStr">
        <is>
          <t>0</t>
        </is>
      </c>
      <c r="U1137" s="5" t="inlineStr">
        <is>
          <t>OK</t>
        </is>
      </c>
    </row>
    <row r="1138">
      <c r="A1138" s="5" t="inlineStr">
        <is>
          <t>E02284</t>
        </is>
      </c>
      <c r="B1138" s="5" t="inlineStr">
        <is>
          <t>Female</t>
        </is>
      </c>
      <c r="C1138" s="6" t="inlineStr">
        <is>
          <t>38</t>
        </is>
      </c>
      <c r="D1138" s="5" t="inlineStr">
        <is>
          <t>Married</t>
        </is>
      </c>
      <c r="E1138" s="5" t="inlineStr">
        <is>
          <t>Diploma</t>
        </is>
      </c>
      <c r="F1138" s="5" t="inlineStr">
        <is>
          <t>IT</t>
        </is>
      </c>
      <c r="G1138" s="5" t="inlineStr">
        <is>
          <t>IT Support</t>
        </is>
      </c>
      <c r="H1138" s="5" t="inlineStr">
        <is>
          <t>7</t>
        </is>
      </c>
      <c r="I1138" s="5" t="inlineStr">
        <is>
          <t>Chennai</t>
        </is>
      </c>
      <c r="J1138" s="5" t="inlineStr">
        <is>
          <t>Full-Time</t>
        </is>
      </c>
      <c r="K1138" s="7" t="n">
        <v>44090</v>
      </c>
      <c r="L1138" s="7" t="inlineStr"/>
      <c r="M1138" s="5" t="inlineStr">
        <is>
          <t>Yes</t>
        </is>
      </c>
      <c r="N1138" s="5" t="inlineStr"/>
      <c r="O1138" s="8" t="inlineStr">
        <is>
          <t>237500</t>
        </is>
      </c>
      <c r="P1138" s="5" t="inlineStr">
        <is>
          <t>10</t>
        </is>
      </c>
      <c r="Q1138" s="5" t="inlineStr">
        <is>
          <t>3</t>
        </is>
      </c>
      <c r="R1138" s="5" t="inlineStr">
        <is>
          <t>4</t>
        </is>
      </c>
      <c r="S1138" s="5" t="inlineStr">
        <is>
          <t>64</t>
        </is>
      </c>
      <c r="T1138" s="5" t="inlineStr">
        <is>
          <t>0</t>
        </is>
      </c>
      <c r="U1138" s="5" t="inlineStr">
        <is>
          <t>OK</t>
        </is>
      </c>
    </row>
    <row r="1139">
      <c r="A1139" s="5" t="inlineStr">
        <is>
          <t>E02776</t>
        </is>
      </c>
      <c r="B1139" s="5" t="inlineStr">
        <is>
          <t>Female</t>
        </is>
      </c>
      <c r="C1139" s="6" t="inlineStr">
        <is>
          <t>31</t>
        </is>
      </c>
      <c r="D1139" s="5" t="inlineStr">
        <is>
          <t>Married</t>
        </is>
      </c>
      <c r="E1139" s="5" t="inlineStr">
        <is>
          <t>Bachelor</t>
        </is>
      </c>
      <c r="F1139" s="5" t="inlineStr">
        <is>
          <t>Customer Support</t>
        </is>
      </c>
      <c r="G1139" s="5" t="inlineStr">
        <is>
          <t>Escalation Specialist</t>
        </is>
      </c>
      <c r="H1139" s="5" t="inlineStr">
        <is>
          <t>3</t>
        </is>
      </c>
      <c r="I1139" s="5" t="inlineStr">
        <is>
          <t>Mumbai</t>
        </is>
      </c>
      <c r="J1139" s="5" t="inlineStr">
        <is>
          <t>Full-Time</t>
        </is>
      </c>
      <c r="K1139" s="7" t="n">
        <v>43886</v>
      </c>
      <c r="L1139" s="7" t="n">
        <v>43956</v>
      </c>
      <c r="M1139" s="5" t="inlineStr">
        <is>
          <t>No</t>
        </is>
      </c>
      <c r="N1139" s="5" t="inlineStr">
        <is>
          <t>Retirement</t>
        </is>
      </c>
      <c r="O1139" s="8" t="inlineStr">
        <is>
          <t>76500</t>
        </is>
      </c>
      <c r="P1139" s="5" t="inlineStr">
        <is>
          <t>15</t>
        </is>
      </c>
      <c r="Q1139" s="5" t="inlineStr">
        <is>
          <t>4</t>
        </is>
      </c>
      <c r="R1139" s="5" t="inlineStr">
        <is>
          <t>6</t>
        </is>
      </c>
      <c r="S1139" s="5" t="inlineStr">
        <is>
          <t>2</t>
        </is>
      </c>
      <c r="T1139" s="5" t="inlineStr">
        <is>
          <t>0</t>
        </is>
      </c>
      <c r="U1139" s="5" t="inlineStr">
        <is>
          <t>OK</t>
        </is>
      </c>
    </row>
    <row r="1140">
      <c r="A1140" s="5" t="inlineStr">
        <is>
          <t>E02185</t>
        </is>
      </c>
      <c r="B1140" s="5" t="inlineStr">
        <is>
          <t>Female</t>
        </is>
      </c>
      <c r="C1140" s="6" t="inlineStr">
        <is>
          <t>23</t>
        </is>
      </c>
      <c r="D1140" s="5" t="inlineStr">
        <is>
          <t>Married</t>
        </is>
      </c>
      <c r="E1140" s="5" t="inlineStr">
        <is>
          <t>PhD</t>
        </is>
      </c>
      <c r="F1140" s="5" t="inlineStr">
        <is>
          <t>Operations</t>
        </is>
      </c>
      <c r="G1140" s="5" t="inlineStr">
        <is>
          <t>Quality Analyst</t>
        </is>
      </c>
      <c r="H1140" s="5" t="inlineStr">
        <is>
          <t>1</t>
        </is>
      </c>
      <c r="I1140" s="5" t="inlineStr">
        <is>
          <t>Hyderabad</t>
        </is>
      </c>
      <c r="J1140" s="5" t="inlineStr">
        <is>
          <t>Full-Time</t>
        </is>
      </c>
      <c r="K1140" s="7" t="n">
        <v>45056</v>
      </c>
      <c r="L1140" s="7" t="inlineStr"/>
      <c r="M1140" s="5" t="inlineStr">
        <is>
          <t>Yes</t>
        </is>
      </c>
      <c r="N1140" s="5" t="inlineStr"/>
      <c r="O1140" s="8" t="inlineStr">
        <is>
          <t>93500</t>
        </is>
      </c>
      <c r="P1140" s="5" t="inlineStr">
        <is>
          <t>10</t>
        </is>
      </c>
      <c r="Q1140" s="5" t="inlineStr">
        <is>
          <t>4</t>
        </is>
      </c>
      <c r="R1140" s="5" t="inlineStr">
        <is>
          <t>4</t>
        </is>
      </c>
      <c r="S1140" s="5" t="inlineStr">
        <is>
          <t>32</t>
        </is>
      </c>
      <c r="T1140" s="5" t="inlineStr">
        <is>
          <t>6</t>
        </is>
      </c>
      <c r="U1140" s="5" t="inlineStr">
        <is>
          <t>OK</t>
        </is>
      </c>
    </row>
    <row r="1141">
      <c r="A1141" s="5" t="inlineStr">
        <is>
          <t>E02394</t>
        </is>
      </c>
      <c r="B1141" s="5" t="inlineStr">
        <is>
          <t>Unknown</t>
        </is>
      </c>
      <c r="C1141" s="6" t="inlineStr">
        <is>
          <t>36</t>
        </is>
      </c>
      <c r="D1141" s="5" t="inlineStr">
        <is>
          <t>Married</t>
        </is>
      </c>
      <c r="E1141" s="5" t="inlineStr">
        <is>
          <t>Bachelor</t>
        </is>
      </c>
      <c r="F1141" s="5" t="inlineStr">
        <is>
          <t>Finance</t>
        </is>
      </c>
      <c r="G1141" s="5" t="inlineStr">
        <is>
          <t>Accountant</t>
        </is>
      </c>
      <c r="H1141" s="5" t="inlineStr">
        <is>
          <t>3</t>
        </is>
      </c>
      <c r="I1141" s="5" t="inlineStr">
        <is>
          <t>Mumbai</t>
        </is>
      </c>
      <c r="J1141" s="5" t="inlineStr">
        <is>
          <t>Full-Time</t>
        </is>
      </c>
      <c r="K1141" s="7" t="n">
        <v>45931</v>
      </c>
      <c r="L1141" s="7" t="inlineStr"/>
      <c r="M1141" s="5" t="inlineStr">
        <is>
          <t>Yes</t>
        </is>
      </c>
      <c r="N1141" s="5" t="inlineStr"/>
      <c r="O1141" s="8" t="inlineStr">
        <is>
          <t>116500</t>
        </is>
      </c>
      <c r="P1141" s="5" t="inlineStr">
        <is>
          <t>10</t>
        </is>
      </c>
      <c r="Q1141" s="5" t="inlineStr">
        <is>
          <t>3</t>
        </is>
      </c>
      <c r="R1141" s="5" t="inlineStr">
        <is>
          <t>6</t>
        </is>
      </c>
      <c r="S1141" s="5" t="inlineStr">
        <is>
          <t>3</t>
        </is>
      </c>
      <c r="T1141" s="5" t="inlineStr">
        <is>
          <t>5</t>
        </is>
      </c>
      <c r="U1141" s="5" t="inlineStr">
        <is>
          <t>Bad gender</t>
        </is>
      </c>
    </row>
    <row r="1142">
      <c r="A1142" s="5" t="inlineStr">
        <is>
          <t>E01709</t>
        </is>
      </c>
      <c r="B1142" s="5" t="inlineStr">
        <is>
          <t>Male</t>
        </is>
      </c>
      <c r="C1142" s="6" t="inlineStr">
        <is>
          <t>28</t>
        </is>
      </c>
      <c r="D1142" s="5" t="inlineStr">
        <is>
          <t>Single</t>
        </is>
      </c>
      <c r="E1142" s="5" t="inlineStr">
        <is>
          <t>PhD</t>
        </is>
      </c>
      <c r="F1142" s="5" t="inlineStr">
        <is>
          <t>Human Resources</t>
        </is>
      </c>
      <c r="G1142" s="5" t="inlineStr">
        <is>
          <t>HR Analyst</t>
        </is>
      </c>
      <c r="H1142" s="5" t="inlineStr">
        <is>
          <t>3</t>
        </is>
      </c>
      <c r="I1142" s="5" t="inlineStr">
        <is>
          <t>Chennai</t>
        </is>
      </c>
      <c r="J1142" s="5" t="inlineStr">
        <is>
          <t>Full-Time</t>
        </is>
      </c>
      <c r="K1142" s="7" t="n">
        <v>44322</v>
      </c>
      <c r="L1142" s="7" t="inlineStr"/>
      <c r="M1142" s="5" t="inlineStr">
        <is>
          <t>Yes</t>
        </is>
      </c>
      <c r="N1142" s="5" t="inlineStr"/>
      <c r="O1142" s="8" t="inlineStr">
        <is>
          <t>108000</t>
        </is>
      </c>
      <c r="P1142" s="5" t="inlineStr">
        <is>
          <t>10</t>
        </is>
      </c>
      <c r="Q1142" s="5" t="inlineStr">
        <is>
          <t>3</t>
        </is>
      </c>
      <c r="R1142" s="5" t="inlineStr">
        <is>
          <t>8</t>
        </is>
      </c>
      <c r="S1142" s="5" t="inlineStr">
        <is>
          <t>56</t>
        </is>
      </c>
      <c r="T1142" s="5" t="inlineStr">
        <is>
          <t>0</t>
        </is>
      </c>
      <c r="U1142" s="5" t="inlineStr">
        <is>
          <t>OK</t>
        </is>
      </c>
    </row>
    <row r="1143">
      <c r="A1143" s="5" t="inlineStr">
        <is>
          <t>E00435</t>
        </is>
      </c>
      <c r="B1143" s="5" t="inlineStr">
        <is>
          <t>Female</t>
        </is>
      </c>
      <c r="C1143" s="6" t="inlineStr">
        <is>
          <t>31</t>
        </is>
      </c>
      <c r="D1143" s="5" t="inlineStr">
        <is>
          <t>Married</t>
        </is>
      </c>
      <c r="E1143" s="5" t="inlineStr">
        <is>
          <t>PhD</t>
        </is>
      </c>
      <c r="F1143" s="5" t="inlineStr">
        <is>
          <t>Operations</t>
        </is>
      </c>
      <c r="G1143" s="5" t="inlineStr">
        <is>
          <t>Operations Analyst</t>
        </is>
      </c>
      <c r="H1143" s="5" t="inlineStr">
        <is>
          <t>4</t>
        </is>
      </c>
      <c r="I1143" s="5" t="inlineStr">
        <is>
          <t>Hyderabad</t>
        </is>
      </c>
      <c r="J1143" s="5" t="inlineStr">
        <is>
          <t>Full-Time</t>
        </is>
      </c>
      <c r="K1143" s="7" t="n">
        <v>45227</v>
      </c>
      <c r="L1143" s="7" t="inlineStr"/>
      <c r="M1143" s="5" t="inlineStr">
        <is>
          <t>Yes</t>
        </is>
      </c>
      <c r="N1143" s="5" t="inlineStr"/>
      <c r="O1143" s="8" t="inlineStr">
        <is>
          <t>94500</t>
        </is>
      </c>
      <c r="P1143" s="5" t="inlineStr">
        <is>
          <t>0</t>
        </is>
      </c>
      <c r="Q1143" s="5" t="inlineStr">
        <is>
          <t>2</t>
        </is>
      </c>
      <c r="R1143" s="5" t="inlineStr">
        <is>
          <t>6</t>
        </is>
      </c>
      <c r="S1143" s="5" t="inlineStr">
        <is>
          <t>26</t>
        </is>
      </c>
      <c r="T1143" s="5" t="inlineStr">
        <is>
          <t>10</t>
        </is>
      </c>
      <c r="U1143" s="5" t="inlineStr">
        <is>
          <t>OK</t>
        </is>
      </c>
    </row>
    <row r="1144">
      <c r="A1144" s="5" t="inlineStr">
        <is>
          <t>E02275</t>
        </is>
      </c>
      <c r="B1144" s="5" t="inlineStr">
        <is>
          <t>Male</t>
        </is>
      </c>
      <c r="C1144" s="6" t="inlineStr">
        <is>
          <t>42</t>
        </is>
      </c>
      <c r="D1144" s="5" t="inlineStr">
        <is>
          <t>Single</t>
        </is>
      </c>
      <c r="E1144" s="5" t="inlineStr">
        <is>
          <t>Master</t>
        </is>
      </c>
      <c r="F1144" s="5" t="inlineStr">
        <is>
          <t>IT</t>
        </is>
      </c>
      <c r="G1144" s="5" t="inlineStr">
        <is>
          <t>Software Engineer</t>
        </is>
      </c>
      <c r="H1144" s="5" t="inlineStr">
        <is>
          <t>5</t>
        </is>
      </c>
      <c r="I1144" s="5" t="inlineStr">
        <is>
          <t>Remote</t>
        </is>
      </c>
      <c r="J1144" s="5" t="inlineStr">
        <is>
          <t>Full-Time</t>
        </is>
      </c>
      <c r="K1144" s="7" t="n">
        <v>45603</v>
      </c>
      <c r="L1144" s="7" t="inlineStr"/>
      <c r="M1144" s="5" t="inlineStr">
        <is>
          <t>Yes</t>
        </is>
      </c>
      <c r="N1144" s="5" t="inlineStr"/>
      <c r="O1144" s="8" t="inlineStr">
        <is>
          <t>184500</t>
        </is>
      </c>
      <c r="P1144" s="5" t="inlineStr">
        <is>
          <t>0</t>
        </is>
      </c>
      <c r="Q1144" s="5" t="inlineStr">
        <is>
          <t>3</t>
        </is>
      </c>
      <c r="R1144" s="5" t="inlineStr">
        <is>
          <t>7</t>
        </is>
      </c>
      <c r="S1144" s="5" t="inlineStr">
        <is>
          <t>13</t>
        </is>
      </c>
      <c r="T1144" s="5" t="inlineStr">
        <is>
          <t>0</t>
        </is>
      </c>
      <c r="U1144" s="5" t="inlineStr">
        <is>
          <t>OK</t>
        </is>
      </c>
    </row>
    <row r="1145">
      <c r="A1145" s="5" t="inlineStr">
        <is>
          <t>E01722</t>
        </is>
      </c>
      <c r="B1145" s="5" t="inlineStr">
        <is>
          <t>Male</t>
        </is>
      </c>
      <c r="C1145" s="6" t="inlineStr">
        <is>
          <t>33</t>
        </is>
      </c>
      <c r="D1145" s="5" t="inlineStr">
        <is>
          <t>Married</t>
        </is>
      </c>
      <c r="E1145" s="5" t="inlineStr">
        <is>
          <t>High School</t>
        </is>
      </c>
      <c r="F1145" s="5" t="inlineStr">
        <is>
          <t>Operations</t>
        </is>
      </c>
      <c r="G1145" s="5" t="inlineStr">
        <is>
          <t>Quality Analyst</t>
        </is>
      </c>
      <c r="H1145" s="5" t="inlineStr">
        <is>
          <t>3</t>
        </is>
      </c>
      <c r="I1145" s="5" t="inlineStr">
        <is>
          <t>Delhi</t>
        </is>
      </c>
      <c r="J1145" s="5" t="inlineStr">
        <is>
          <t>Full-Time</t>
        </is>
      </c>
      <c r="K1145" s="7" t="n">
        <v>45802</v>
      </c>
      <c r="L1145" s="7" t="inlineStr"/>
      <c r="M1145" s="5" t="inlineStr">
        <is>
          <t>Yes</t>
        </is>
      </c>
      <c r="N1145" s="5" t="inlineStr"/>
      <c r="O1145" s="8" t="inlineStr">
        <is>
          <t>98500</t>
        </is>
      </c>
      <c r="P1145" s="5" t="inlineStr">
        <is>
          <t>5</t>
        </is>
      </c>
      <c r="Q1145" s="5" t="inlineStr">
        <is>
          <t>5</t>
        </is>
      </c>
      <c r="R1145" s="5" t="inlineStr">
        <is>
          <t>5</t>
        </is>
      </c>
      <c r="S1145" s="5" t="inlineStr">
        <is>
          <t>7</t>
        </is>
      </c>
      <c r="T1145" s="5" t="inlineStr">
        <is>
          <t>6</t>
        </is>
      </c>
      <c r="U1145" s="5" t="inlineStr">
        <is>
          <t>OK</t>
        </is>
      </c>
    </row>
    <row r="1146">
      <c r="A1146" s="5" t="inlineStr">
        <is>
          <t>E01517</t>
        </is>
      </c>
      <c r="B1146" s="5" t="inlineStr">
        <is>
          <t>Female</t>
        </is>
      </c>
      <c r="C1146" s="6" t="inlineStr">
        <is>
          <t>33</t>
        </is>
      </c>
      <c r="D1146" s="5" t="inlineStr">
        <is>
          <t>Married</t>
        </is>
      </c>
      <c r="E1146" s="5" t="inlineStr">
        <is>
          <t>PhD</t>
        </is>
      </c>
      <c r="F1146" s="5" t="inlineStr">
        <is>
          <t>Marketing</t>
        </is>
      </c>
      <c r="G1146" s="5" t="inlineStr">
        <is>
          <t>Marketing Analyst</t>
        </is>
      </c>
      <c r="H1146" s="5" t="inlineStr">
        <is>
          <t>3</t>
        </is>
      </c>
      <c r="I1146" s="5" t="inlineStr">
        <is>
          <t>Delhi</t>
        </is>
      </c>
      <c r="J1146" s="5" t="inlineStr">
        <is>
          <t>Full-Time</t>
        </is>
      </c>
      <c r="K1146" s="7" t="n">
        <v>45097</v>
      </c>
      <c r="L1146" s="7" t="inlineStr"/>
      <c r="M1146" s="5" t="inlineStr">
        <is>
          <t>Yes</t>
        </is>
      </c>
      <c r="N1146" s="5" t="inlineStr"/>
      <c r="O1146" s="8" t="inlineStr">
        <is>
          <t>94000</t>
        </is>
      </c>
      <c r="P1146" s="5" t="inlineStr">
        <is>
          <t>0</t>
        </is>
      </c>
      <c r="Q1146" s="5" t="inlineStr">
        <is>
          <t>4</t>
        </is>
      </c>
      <c r="R1146" s="5" t="inlineStr">
        <is>
          <t>9</t>
        </is>
      </c>
      <c r="S1146" s="5" t="inlineStr">
        <is>
          <t>30</t>
        </is>
      </c>
      <c r="T1146" s="5" t="inlineStr">
        <is>
          <t>18</t>
        </is>
      </c>
      <c r="U1146" s="5" t="inlineStr">
        <is>
          <t>OK</t>
        </is>
      </c>
    </row>
    <row r="1147">
      <c r="A1147" s="5" t="inlineStr">
        <is>
          <t>E00962</t>
        </is>
      </c>
      <c r="B1147" s="5" t="inlineStr">
        <is>
          <t>Male</t>
        </is>
      </c>
      <c r="C1147" s="6" t="inlineStr">
        <is>
          <t>23</t>
        </is>
      </c>
      <c r="D1147" s="5" t="inlineStr">
        <is>
          <t>Single</t>
        </is>
      </c>
      <c r="E1147" s="5" t="inlineStr">
        <is>
          <t>Diploma</t>
        </is>
      </c>
      <c r="F1147" s="5" t="inlineStr">
        <is>
          <t>Research &amp; Development</t>
        </is>
      </c>
      <c r="G1147" s="5" t="inlineStr">
        <is>
          <t>Product Engineer</t>
        </is>
      </c>
      <c r="H1147" s="5" t="inlineStr">
        <is>
          <t>1</t>
        </is>
      </c>
      <c r="I1147" s="5" t="inlineStr">
        <is>
          <t>Mumbai</t>
        </is>
      </c>
      <c r="J1147" s="5" t="inlineStr">
        <is>
          <t>Full-Time</t>
        </is>
      </c>
      <c r="K1147" s="7" t="n">
        <v>45231</v>
      </c>
      <c r="L1147" s="7" t="n">
        <v>45340</v>
      </c>
      <c r="M1147" s="5" t="inlineStr">
        <is>
          <t>No</t>
        </is>
      </c>
      <c r="N1147" s="5" t="inlineStr">
        <is>
          <t>Resigned</t>
        </is>
      </c>
      <c r="O1147" s="8" t="inlineStr">
        <is>
          <t>112500</t>
        </is>
      </c>
      <c r="P1147" s="5" t="inlineStr">
        <is>
          <t>0</t>
        </is>
      </c>
      <c r="Q1147" s="5" t="inlineStr">
        <is>
          <t>4</t>
        </is>
      </c>
      <c r="R1147" s="5" t="inlineStr">
        <is>
          <t>7</t>
        </is>
      </c>
      <c r="S1147" s="5" t="inlineStr">
        <is>
          <t>3</t>
        </is>
      </c>
      <c r="T1147" s="5" t="inlineStr">
        <is>
          <t>4</t>
        </is>
      </c>
      <c r="U1147" s="5" t="inlineStr">
        <is>
          <t>OK</t>
        </is>
      </c>
    </row>
    <row r="1148">
      <c r="A1148" s="5" t="inlineStr">
        <is>
          <t>E02324</t>
        </is>
      </c>
      <c r="B1148" s="5" t="inlineStr">
        <is>
          <t>Female</t>
        </is>
      </c>
      <c r="C1148" s="6" t="inlineStr">
        <is>
          <t>36</t>
        </is>
      </c>
      <c r="D1148" s="5" t="inlineStr">
        <is>
          <t>Married</t>
        </is>
      </c>
      <c r="E1148" s="5" t="inlineStr">
        <is>
          <t>Master</t>
        </is>
      </c>
      <c r="F1148" s="5" t="inlineStr">
        <is>
          <t>Operations</t>
        </is>
      </c>
      <c r="G1148" s="5" t="inlineStr">
        <is>
          <t>Logistics Coordinator</t>
        </is>
      </c>
      <c r="H1148" s="5" t="inlineStr">
        <is>
          <t>2</t>
        </is>
      </c>
      <c r="I1148" s="5" t="inlineStr">
        <is>
          <t>Hyderabad</t>
        </is>
      </c>
      <c r="J1148" s="5" t="inlineStr">
        <is>
          <t>Full-Time</t>
        </is>
      </c>
      <c r="K1148" s="7" t="n">
        <v>45329</v>
      </c>
      <c r="L1148" s="7" t="n">
        <v>45464</v>
      </c>
      <c r="M1148" s="5" t="inlineStr">
        <is>
          <t>No</t>
        </is>
      </c>
      <c r="N1148" s="5" t="inlineStr">
        <is>
          <t>Resigned</t>
        </is>
      </c>
      <c r="O1148" s="8" t="inlineStr">
        <is>
          <t>65500</t>
        </is>
      </c>
      <c r="P1148" s="5" t="inlineStr">
        <is>
          <t>10</t>
        </is>
      </c>
      <c r="Q1148" s="5" t="inlineStr">
        <is>
          <t>5</t>
        </is>
      </c>
      <c r="R1148" s="5" t="inlineStr">
        <is>
          <t>6</t>
        </is>
      </c>
      <c r="S1148" s="5" t="inlineStr">
        <is>
          <t>4</t>
        </is>
      </c>
      <c r="T1148" s="5" t="inlineStr">
        <is>
          <t>14</t>
        </is>
      </c>
      <c r="U1148" s="5" t="inlineStr">
        <is>
          <t>OK</t>
        </is>
      </c>
    </row>
    <row r="1149">
      <c r="A1149" s="5" t="inlineStr">
        <is>
          <t>E00859</t>
        </is>
      </c>
      <c r="B1149" s="5" t="inlineStr">
        <is>
          <t>Female</t>
        </is>
      </c>
      <c r="C1149" s="6" t="inlineStr">
        <is>
          <t>33</t>
        </is>
      </c>
      <c r="D1149" s="5" t="inlineStr">
        <is>
          <t>Married</t>
        </is>
      </c>
      <c r="E1149" s="5" t="inlineStr">
        <is>
          <t>Diploma</t>
        </is>
      </c>
      <c r="F1149" s="5" t="inlineStr">
        <is>
          <t>Human Resources</t>
        </is>
      </c>
      <c r="G1149" s="5" t="inlineStr">
        <is>
          <t>HR Generalist</t>
        </is>
      </c>
      <c r="H1149" s="5" t="inlineStr">
        <is>
          <t>6</t>
        </is>
      </c>
      <c r="I1149" s="5" t="inlineStr">
        <is>
          <t>Mumbai</t>
        </is>
      </c>
      <c r="J1149" s="5" t="inlineStr">
        <is>
          <t>Full-Time</t>
        </is>
      </c>
      <c r="K1149" s="7" t="n">
        <v>44638</v>
      </c>
      <c r="L1149" s="7" t="inlineStr"/>
      <c r="M1149" s="5" t="inlineStr">
        <is>
          <t>Yes</t>
        </is>
      </c>
      <c r="N1149" s="5" t="inlineStr"/>
      <c r="O1149" s="8" t="inlineStr">
        <is>
          <t>126000</t>
        </is>
      </c>
      <c r="P1149" s="5" t="inlineStr">
        <is>
          <t>10</t>
        </is>
      </c>
      <c r="Q1149" s="5" t="inlineStr">
        <is>
          <t>4</t>
        </is>
      </c>
      <c r="R1149" s="5" t="inlineStr">
        <is>
          <t>5</t>
        </is>
      </c>
      <c r="S1149" s="5" t="inlineStr">
        <is>
          <t>46</t>
        </is>
      </c>
      <c r="T1149" s="5" t="inlineStr">
        <is>
          <t>7</t>
        </is>
      </c>
      <c r="U1149" s="5" t="inlineStr">
        <is>
          <t>OK</t>
        </is>
      </c>
    </row>
    <row r="1150">
      <c r="A1150" s="5" t="inlineStr">
        <is>
          <t>E02486</t>
        </is>
      </c>
      <c r="B1150" s="5" t="inlineStr">
        <is>
          <t>Female</t>
        </is>
      </c>
      <c r="C1150" s="6" t="inlineStr">
        <is>
          <t>34</t>
        </is>
      </c>
      <c r="D1150" s="5" t="inlineStr">
        <is>
          <t>Single</t>
        </is>
      </c>
      <c r="E1150" s="5" t="inlineStr">
        <is>
          <t>Bachelor</t>
        </is>
      </c>
      <c r="F1150" s="5" t="inlineStr">
        <is>
          <t>Customer Support</t>
        </is>
      </c>
      <c r="G1150" s="5" t="inlineStr">
        <is>
          <t>Escalation Specialist</t>
        </is>
      </c>
      <c r="H1150" s="5" t="inlineStr">
        <is>
          <t>2</t>
        </is>
      </c>
      <c r="I1150" s="5" t="inlineStr">
        <is>
          <t>Chennai</t>
        </is>
      </c>
      <c r="J1150" s="5" t="inlineStr">
        <is>
          <t>Full-Time</t>
        </is>
      </c>
      <c r="K1150" s="7" t="n">
        <v>45933</v>
      </c>
      <c r="L1150" s="7" t="inlineStr"/>
      <c r="M1150" s="5" t="inlineStr">
        <is>
          <t>Yes</t>
        </is>
      </c>
      <c r="N1150" s="5" t="inlineStr"/>
      <c r="O1150" s="8" t="inlineStr">
        <is>
          <t>51500</t>
        </is>
      </c>
      <c r="P1150" s="5" t="inlineStr">
        <is>
          <t>10</t>
        </is>
      </c>
      <c r="Q1150" s="5" t="inlineStr">
        <is>
          <t>4</t>
        </is>
      </c>
      <c r="R1150" s="5" t="inlineStr">
        <is>
          <t>6</t>
        </is>
      </c>
      <c r="S1150" s="5" t="inlineStr">
        <is>
          <t>2</t>
        </is>
      </c>
      <c r="T1150" s="5" t="inlineStr">
        <is>
          <t>2</t>
        </is>
      </c>
      <c r="U1150" s="5" t="inlineStr">
        <is>
          <t>OK</t>
        </is>
      </c>
    </row>
    <row r="1151">
      <c r="A1151" s="5" t="inlineStr">
        <is>
          <t>E01243</t>
        </is>
      </c>
      <c r="B1151" s="5" t="inlineStr">
        <is>
          <t>Female</t>
        </is>
      </c>
      <c r="C1151" s="6" t="inlineStr">
        <is>
          <t>33</t>
        </is>
      </c>
      <c r="D1151" s="5" t="inlineStr">
        <is>
          <t>Married</t>
        </is>
      </c>
      <c r="E1151" s="5" t="inlineStr">
        <is>
          <t>Master</t>
        </is>
      </c>
      <c r="F1151" s="5" t="inlineStr">
        <is>
          <t>Operations</t>
        </is>
      </c>
      <c r="G1151" s="5" t="inlineStr">
        <is>
          <t>Operations Analyst</t>
        </is>
      </c>
      <c r="H1151" s="5" t="inlineStr">
        <is>
          <t>1</t>
        </is>
      </c>
      <c r="I1151" s="5" t="inlineStr">
        <is>
          <t>Hyderabad</t>
        </is>
      </c>
      <c r="J1151" s="5" t="inlineStr">
        <is>
          <t>Full-Time</t>
        </is>
      </c>
      <c r="K1151" s="7" t="n">
        <v>45820</v>
      </c>
      <c r="L1151" s="7" t="inlineStr"/>
      <c r="M1151" s="5" t="inlineStr">
        <is>
          <t>Yes</t>
        </is>
      </c>
      <c r="N1151" s="5" t="inlineStr"/>
      <c r="O1151" s="8" t="inlineStr">
        <is>
          <t>80000</t>
        </is>
      </c>
      <c r="P1151" s="5" t="inlineStr">
        <is>
          <t>0</t>
        </is>
      </c>
      <c r="Q1151" s="5" t="inlineStr">
        <is>
          <t>5</t>
        </is>
      </c>
      <c r="R1151" s="5" t="inlineStr">
        <is>
          <t>7</t>
        </is>
      </c>
      <c r="S1151" s="5" t="inlineStr">
        <is>
          <t>6</t>
        </is>
      </c>
      <c r="T1151" s="5" t="inlineStr">
        <is>
          <t>0</t>
        </is>
      </c>
      <c r="U1151" s="5" t="inlineStr">
        <is>
          <t>OK</t>
        </is>
      </c>
    </row>
    <row r="1152">
      <c r="A1152" s="5" t="inlineStr">
        <is>
          <t>E02611</t>
        </is>
      </c>
      <c r="B1152" s="5" t="inlineStr">
        <is>
          <t>Female</t>
        </is>
      </c>
      <c r="C1152" s="6" t="inlineStr">
        <is>
          <t>24</t>
        </is>
      </c>
      <c r="D1152" s="5" t="inlineStr">
        <is>
          <t>Married</t>
        </is>
      </c>
      <c r="E1152" s="5" t="inlineStr">
        <is>
          <t>Master</t>
        </is>
      </c>
      <c r="F1152" s="5" t="inlineStr">
        <is>
          <t>Marketing</t>
        </is>
      </c>
      <c r="G1152" s="5" t="inlineStr">
        <is>
          <t>Content Writer</t>
        </is>
      </c>
      <c r="H1152" s="5" t="inlineStr">
        <is>
          <t>1</t>
        </is>
      </c>
      <c r="I1152" s="5" t="inlineStr">
        <is>
          <t>Chennai</t>
        </is>
      </c>
      <c r="J1152" s="5" t="inlineStr">
        <is>
          <t>Full-Time</t>
        </is>
      </c>
      <c r="K1152" s="7" t="n">
        <v>44093</v>
      </c>
      <c r="L1152" s="7" t="inlineStr"/>
      <c r="M1152" s="5" t="inlineStr">
        <is>
          <t>Yes</t>
        </is>
      </c>
      <c r="N1152" s="5" t="inlineStr"/>
      <c r="O1152" s="8" t="inlineStr">
        <is>
          <t>67500</t>
        </is>
      </c>
      <c r="P1152" s="5" t="inlineStr">
        <is>
          <t>15</t>
        </is>
      </c>
      <c r="Q1152" s="5" t="inlineStr">
        <is>
          <t>3</t>
        </is>
      </c>
      <c r="R1152" s="5" t="inlineStr">
        <is>
          <t>4</t>
        </is>
      </c>
      <c r="S1152" s="5" t="inlineStr">
        <is>
          <t>64</t>
        </is>
      </c>
      <c r="T1152" s="5" t="inlineStr">
        <is>
          <t>7</t>
        </is>
      </c>
      <c r="U1152" s="5" t="inlineStr">
        <is>
          <t>OK</t>
        </is>
      </c>
    </row>
    <row r="1153">
      <c r="A1153" s="5" t="inlineStr">
        <is>
          <t>E00712</t>
        </is>
      </c>
      <c r="B1153" s="5" t="inlineStr">
        <is>
          <t>Female</t>
        </is>
      </c>
      <c r="C1153" s="6" t="inlineStr">
        <is>
          <t>30</t>
        </is>
      </c>
      <c r="D1153" s="5" t="inlineStr">
        <is>
          <t>Married</t>
        </is>
      </c>
      <c r="E1153" s="5" t="inlineStr">
        <is>
          <t>Diploma</t>
        </is>
      </c>
      <c r="F1153" s="5" t="inlineStr">
        <is>
          <t>Finance</t>
        </is>
      </c>
      <c r="G1153" s="5" t="inlineStr">
        <is>
          <t>Credit Analyst</t>
        </is>
      </c>
      <c r="H1153" s="5" t="inlineStr">
        <is>
          <t>2</t>
        </is>
      </c>
      <c r="I1153" s="5" t="inlineStr">
        <is>
          <t>Delhi</t>
        </is>
      </c>
      <c r="J1153" s="5" t="inlineStr">
        <is>
          <t>Full-Time</t>
        </is>
      </c>
      <c r="K1153" s="7" t="n">
        <v>44111</v>
      </c>
      <c r="L1153" s="7" t="n">
        <v>44149</v>
      </c>
      <c r="M1153" s="5" t="inlineStr">
        <is>
          <t>No</t>
        </is>
      </c>
      <c r="N1153" s="5" t="inlineStr">
        <is>
          <t>Resigned</t>
        </is>
      </c>
      <c r="O1153" s="8" t="inlineStr">
        <is>
          <t>99000</t>
        </is>
      </c>
      <c r="P1153" s="5" t="inlineStr">
        <is>
          <t>0</t>
        </is>
      </c>
      <c r="Q1153" s="5" t="inlineStr">
        <is>
          <t>2</t>
        </is>
      </c>
      <c r="R1153" s="5" t="inlineStr">
        <is>
          <t>5</t>
        </is>
      </c>
      <c r="S1153" s="5" t="inlineStr">
        <is>
          <t>1</t>
        </is>
      </c>
      <c r="T1153" s="5" t="inlineStr">
        <is>
          <t>15</t>
        </is>
      </c>
      <c r="U1153" s="5" t="inlineStr">
        <is>
          <t>OK</t>
        </is>
      </c>
    </row>
    <row r="1154">
      <c r="A1154" s="5" t="inlineStr">
        <is>
          <t>E01189</t>
        </is>
      </c>
      <c r="B1154" s="5" t="inlineStr">
        <is>
          <t>Male</t>
        </is>
      </c>
      <c r="C1154" s="6" t="inlineStr">
        <is>
          <t>38</t>
        </is>
      </c>
      <c r="D1154" s="5" t="inlineStr">
        <is>
          <t>Single</t>
        </is>
      </c>
      <c r="E1154" s="5" t="inlineStr">
        <is>
          <t>PhD</t>
        </is>
      </c>
      <c r="F1154" s="5" t="inlineStr">
        <is>
          <t>Finance</t>
        </is>
      </c>
      <c r="G1154" s="5" t="inlineStr">
        <is>
          <t>Financial Analyst</t>
        </is>
      </c>
      <c r="H1154" s="5" t="inlineStr">
        <is>
          <t>4</t>
        </is>
      </c>
      <c r="I1154" s="5" t="inlineStr">
        <is>
          <t>Bengaluru</t>
        </is>
      </c>
      <c r="J1154" s="5" t="inlineStr">
        <is>
          <t>Full-Time</t>
        </is>
      </c>
      <c r="K1154" s="7" t="n">
        <v>44352</v>
      </c>
      <c r="L1154" s="7" t="inlineStr"/>
      <c r="M1154" s="5" t="inlineStr">
        <is>
          <t>Yes</t>
        </is>
      </c>
      <c r="N1154" s="5" t="inlineStr"/>
      <c r="O1154" s="8" t="inlineStr">
        <is>
          <t>116000</t>
        </is>
      </c>
      <c r="P1154" s="5" t="inlineStr">
        <is>
          <t>0</t>
        </is>
      </c>
      <c r="Q1154" s="5" t="inlineStr">
        <is>
          <t>3</t>
        </is>
      </c>
      <c r="R1154" s="5" t="inlineStr">
        <is>
          <t>6</t>
        </is>
      </c>
      <c r="S1154" s="5" t="inlineStr">
        <is>
          <t>55</t>
        </is>
      </c>
      <c r="T1154" s="5" t="inlineStr">
        <is>
          <t>7</t>
        </is>
      </c>
      <c r="U1154" s="5" t="inlineStr">
        <is>
          <t>OK</t>
        </is>
      </c>
    </row>
    <row r="1155">
      <c r="A1155" s="5" t="inlineStr">
        <is>
          <t>E02524</t>
        </is>
      </c>
      <c r="B1155" s="5" t="inlineStr">
        <is>
          <t>Male</t>
        </is>
      </c>
      <c r="C1155" s="6" t="inlineStr">
        <is>
          <t>30</t>
        </is>
      </c>
      <c r="D1155" s="5" t="inlineStr">
        <is>
          <t>Divorced</t>
        </is>
      </c>
      <c r="E1155" s="5" t="inlineStr">
        <is>
          <t>Diploma</t>
        </is>
      </c>
      <c r="F1155" s="5" t="inlineStr">
        <is>
          <t>Operations</t>
        </is>
      </c>
      <c r="G1155" s="5" t="inlineStr">
        <is>
          <t>Logistics Coordinator</t>
        </is>
      </c>
      <c r="H1155" s="5" t="inlineStr">
        <is>
          <t>1</t>
        </is>
      </c>
      <c r="I1155" s="5" t="inlineStr">
        <is>
          <t>Remote</t>
        </is>
      </c>
      <c r="J1155" s="5" t="inlineStr">
        <is>
          <t>Full-Time</t>
        </is>
      </c>
      <c r="K1155" s="7" t="n">
        <v>44562</v>
      </c>
      <c r="L1155" s="7" t="inlineStr"/>
      <c r="M1155" s="5" t="inlineStr">
        <is>
          <t>Yes</t>
        </is>
      </c>
      <c r="N1155" s="5" t="inlineStr"/>
      <c r="O1155" s="8" t="inlineStr">
        <is>
          <t>96000</t>
        </is>
      </c>
      <c r="P1155" s="5" t="inlineStr">
        <is>
          <t>5</t>
        </is>
      </c>
      <c r="Q1155" s="5" t="inlineStr">
        <is>
          <t>4</t>
        </is>
      </c>
      <c r="R1155" s="5" t="inlineStr">
        <is>
          <t>8</t>
        </is>
      </c>
      <c r="S1155" s="5" t="inlineStr">
        <is>
          <t>48</t>
        </is>
      </c>
      <c r="T1155" s="5" t="inlineStr">
        <is>
          <t>0</t>
        </is>
      </c>
      <c r="U1155" s="5" t="inlineStr">
        <is>
          <t>OK</t>
        </is>
      </c>
    </row>
    <row r="1156">
      <c r="A1156" s="5" t="inlineStr">
        <is>
          <t>E02978</t>
        </is>
      </c>
      <c r="B1156" s="5" t="inlineStr">
        <is>
          <t>Male</t>
        </is>
      </c>
      <c r="C1156" s="6" t="inlineStr">
        <is>
          <t>33</t>
        </is>
      </c>
      <c r="D1156" s="5" t="inlineStr">
        <is>
          <t>Married</t>
        </is>
      </c>
      <c r="E1156" s="5" t="inlineStr">
        <is>
          <t>PhD</t>
        </is>
      </c>
      <c r="F1156" s="5" t="inlineStr">
        <is>
          <t>Customer Support</t>
        </is>
      </c>
      <c r="G1156" s="5" t="inlineStr">
        <is>
          <t>Support Agent</t>
        </is>
      </c>
      <c r="H1156" s="5" t="inlineStr">
        <is>
          <t>1</t>
        </is>
      </c>
      <c r="I1156" s="5" t="inlineStr">
        <is>
          <t>Chennai</t>
        </is>
      </c>
      <c r="J1156" s="5" t="inlineStr">
        <is>
          <t>Full-Time</t>
        </is>
      </c>
      <c r="K1156" s="7" t="n">
        <v>45972</v>
      </c>
      <c r="L1156" s="7" t="n">
        <v>45987</v>
      </c>
      <c r="M1156" s="5" t="inlineStr">
        <is>
          <t>No</t>
        </is>
      </c>
      <c r="N1156" s="5" t="inlineStr">
        <is>
          <t>Retirement</t>
        </is>
      </c>
      <c r="O1156" s="8" t="inlineStr">
        <is>
          <t>65000</t>
        </is>
      </c>
      <c r="P1156" s="5" t="inlineStr">
        <is>
          <t>0</t>
        </is>
      </c>
      <c r="Q1156" s="5" t="inlineStr">
        <is>
          <t>3</t>
        </is>
      </c>
      <c r="R1156" s="5" t="inlineStr">
        <is>
          <t>8</t>
        </is>
      </c>
      <c r="S1156" s="5" t="inlineStr">
        <is>
          <t>1</t>
        </is>
      </c>
      <c r="T1156" s="5" t="inlineStr">
        <is>
          <t>2</t>
        </is>
      </c>
      <c r="U1156" s="5" t="inlineStr">
        <is>
          <t>OK</t>
        </is>
      </c>
    </row>
    <row r="1157">
      <c r="A1157" s="5" t="inlineStr">
        <is>
          <t>E02365</t>
        </is>
      </c>
      <c r="B1157" s="5" t="inlineStr">
        <is>
          <t>Female</t>
        </is>
      </c>
      <c r="C1157" s="6" t="inlineStr">
        <is>
          <t>26</t>
        </is>
      </c>
      <c r="D1157" s="5" t="inlineStr">
        <is>
          <t>Married</t>
        </is>
      </c>
      <c r="E1157" s="5" t="inlineStr">
        <is>
          <t>PhD</t>
        </is>
      </c>
      <c r="F1157" s="5" t="inlineStr">
        <is>
          <t>Sales</t>
        </is>
      </c>
      <c r="G1157" s="5" t="inlineStr">
        <is>
          <t>Business Development</t>
        </is>
      </c>
      <c r="H1157" s="5" t="inlineStr">
        <is>
          <t>1</t>
        </is>
      </c>
      <c r="I1157" s="5" t="inlineStr">
        <is>
          <t>Delhi</t>
        </is>
      </c>
      <c r="J1157" s="5" t="inlineStr">
        <is>
          <t>Full-Time</t>
        </is>
      </c>
      <c r="K1157" s="7" t="n">
        <v>44912</v>
      </c>
      <c r="L1157" s="7" t="inlineStr"/>
      <c r="M1157" s="5" t="inlineStr">
        <is>
          <t>Yes</t>
        </is>
      </c>
      <c r="N1157" s="5" t="inlineStr"/>
      <c r="O1157" s="8" t="inlineStr">
        <is>
          <t>79000</t>
        </is>
      </c>
      <c r="P1157" s="5" t="inlineStr">
        <is>
          <t>0</t>
        </is>
      </c>
      <c r="Q1157" s="5" t="inlineStr">
        <is>
          <t>5</t>
        </is>
      </c>
      <c r="R1157" s="5" t="inlineStr">
        <is>
          <t>4</t>
        </is>
      </c>
      <c r="S1157" s="5" t="inlineStr">
        <is>
          <t>37</t>
        </is>
      </c>
      <c r="T1157" s="5" t="inlineStr">
        <is>
          <t>2</t>
        </is>
      </c>
      <c r="U1157" s="5" t="inlineStr">
        <is>
          <t>OK</t>
        </is>
      </c>
    </row>
    <row r="1158">
      <c r="A1158" s="5" t="inlineStr">
        <is>
          <t>E00326</t>
        </is>
      </c>
      <c r="B1158" s="5" t="inlineStr">
        <is>
          <t>Male</t>
        </is>
      </c>
      <c r="C1158" s="6" t="inlineStr">
        <is>
          <t>32</t>
        </is>
      </c>
      <c r="D1158" s="5" t="inlineStr">
        <is>
          <t>Married</t>
        </is>
      </c>
      <c r="E1158" s="5" t="inlineStr">
        <is>
          <t>Diploma</t>
        </is>
      </c>
      <c r="F1158" s="5" t="inlineStr">
        <is>
          <t>Sales</t>
        </is>
      </c>
      <c r="G1158" s="5" t="inlineStr">
        <is>
          <t>Sales Executive</t>
        </is>
      </c>
      <c r="H1158" s="5" t="inlineStr">
        <is>
          <t>3</t>
        </is>
      </c>
      <c r="I1158" s="5" t="inlineStr">
        <is>
          <t>Delhi</t>
        </is>
      </c>
      <c r="J1158" s="5" t="inlineStr">
        <is>
          <t>Full-Time</t>
        </is>
      </c>
      <c r="K1158" s="7" t="n">
        <v>44098</v>
      </c>
      <c r="L1158" s="7" t="inlineStr"/>
      <c r="M1158" s="5" t="inlineStr">
        <is>
          <t>Yes</t>
        </is>
      </c>
      <c r="N1158" s="5" t="inlineStr"/>
      <c r="O1158" s="8" t="inlineStr">
        <is>
          <t>125000</t>
        </is>
      </c>
      <c r="P1158" s="5" t="inlineStr">
        <is>
          <t>10</t>
        </is>
      </c>
      <c r="Q1158" s="5" t="inlineStr">
        <is>
          <t>5</t>
        </is>
      </c>
      <c r="R1158" s="5" t="inlineStr">
        <is>
          <t>7</t>
        </is>
      </c>
      <c r="S1158" s="5" t="inlineStr">
        <is>
          <t>64</t>
        </is>
      </c>
      <c r="T1158" s="5" t="inlineStr">
        <is>
          <t>13</t>
        </is>
      </c>
      <c r="U1158" s="5" t="inlineStr">
        <is>
          <t>OK</t>
        </is>
      </c>
    </row>
    <row r="1159">
      <c r="A1159" s="5" t="inlineStr">
        <is>
          <t>E02306</t>
        </is>
      </c>
      <c r="B1159" s="5" t="inlineStr">
        <is>
          <t>Male</t>
        </is>
      </c>
      <c r="C1159" s="6" t="inlineStr">
        <is>
          <t>31</t>
        </is>
      </c>
      <c r="D1159" s="5" t="inlineStr">
        <is>
          <t>Divorced</t>
        </is>
      </c>
      <c r="E1159" s="5" t="inlineStr">
        <is>
          <t>Bachelor</t>
        </is>
      </c>
      <c r="F1159" s="5" t="inlineStr">
        <is>
          <t>Finance</t>
        </is>
      </c>
      <c r="G1159" s="5" t="inlineStr">
        <is>
          <t>Financial Analyst</t>
        </is>
      </c>
      <c r="H1159" s="5" t="inlineStr">
        <is>
          <t>1</t>
        </is>
      </c>
      <c r="I1159" s="5" t="inlineStr">
        <is>
          <t>Chennai</t>
        </is>
      </c>
      <c r="J1159" s="5" t="inlineStr">
        <is>
          <t>Full-Time</t>
        </is>
      </c>
      <c r="K1159" s="7" t="n">
        <v>44927</v>
      </c>
      <c r="L1159" s="7" t="n">
        <v>45067</v>
      </c>
      <c r="M1159" s="5" t="inlineStr">
        <is>
          <t>No</t>
        </is>
      </c>
      <c r="N1159" s="5" t="inlineStr">
        <is>
          <t>Resigned</t>
        </is>
      </c>
      <c r="O1159" s="8" t="inlineStr">
        <is>
          <t>89000</t>
        </is>
      </c>
      <c r="P1159" s="5" t="inlineStr">
        <is>
          <t>5</t>
        </is>
      </c>
      <c r="Q1159" s="5" t="inlineStr">
        <is>
          <t>3</t>
        </is>
      </c>
      <c r="R1159" s="5" t="inlineStr">
        <is>
          <t>4</t>
        </is>
      </c>
      <c r="S1159" s="5" t="inlineStr">
        <is>
          <t>4</t>
        </is>
      </c>
      <c r="T1159" s="5" t="inlineStr">
        <is>
          <t>12</t>
        </is>
      </c>
      <c r="U1159" s="5" t="inlineStr">
        <is>
          <t>OK</t>
        </is>
      </c>
    </row>
    <row r="1160">
      <c r="A1160" s="5" t="inlineStr">
        <is>
          <t>E02470</t>
        </is>
      </c>
      <c r="B1160" s="5" t="inlineStr">
        <is>
          <t>Male</t>
        </is>
      </c>
      <c r="C1160" s="6" t="inlineStr">
        <is>
          <t>33</t>
        </is>
      </c>
      <c r="D1160" s="5" t="inlineStr">
        <is>
          <t>Single</t>
        </is>
      </c>
      <c r="E1160" s="5" t="inlineStr">
        <is>
          <t>PhD</t>
        </is>
      </c>
      <c r="F1160" s="5" t="inlineStr">
        <is>
          <t>Sales</t>
        </is>
      </c>
      <c r="G1160" s="5" t="inlineStr">
        <is>
          <t>Sales Executive</t>
        </is>
      </c>
      <c r="H1160" s="5" t="inlineStr">
        <is>
          <t>1</t>
        </is>
      </c>
      <c r="I1160" s="5" t="inlineStr">
        <is>
          <t>Delhi</t>
        </is>
      </c>
      <c r="J1160" s="5" t="inlineStr">
        <is>
          <t>Full-Time</t>
        </is>
      </c>
      <c r="K1160" s="7" t="n">
        <v>44433</v>
      </c>
      <c r="L1160" s="7" t="n">
        <v>44524</v>
      </c>
      <c r="M1160" s="5" t="inlineStr">
        <is>
          <t>No</t>
        </is>
      </c>
      <c r="N1160" s="5" t="inlineStr">
        <is>
          <t>Performance / Termination</t>
        </is>
      </c>
      <c r="O1160" s="8" t="inlineStr">
        <is>
          <t>92000</t>
        </is>
      </c>
      <c r="P1160" s="5" t="inlineStr">
        <is>
          <t>0</t>
        </is>
      </c>
      <c r="Q1160" s="5" t="inlineStr">
        <is>
          <t>5</t>
        </is>
      </c>
      <c r="R1160" s="5" t="inlineStr">
        <is>
          <t>7</t>
        </is>
      </c>
      <c r="S1160" s="5" t="inlineStr">
        <is>
          <t>3</t>
        </is>
      </c>
      <c r="T1160" s="5" t="inlineStr">
        <is>
          <t>5</t>
        </is>
      </c>
      <c r="U1160" s="5" t="inlineStr">
        <is>
          <t>OK</t>
        </is>
      </c>
    </row>
    <row r="1161">
      <c r="A1161" s="5" t="inlineStr">
        <is>
          <t>E00748</t>
        </is>
      </c>
      <c r="B1161" s="5" t="inlineStr">
        <is>
          <t>Male</t>
        </is>
      </c>
      <c r="C1161" s="6" t="inlineStr">
        <is>
          <t>37</t>
        </is>
      </c>
      <c r="D1161" s="5" t="inlineStr">
        <is>
          <t>Single</t>
        </is>
      </c>
      <c r="E1161" s="5" t="inlineStr">
        <is>
          <t>Diploma</t>
        </is>
      </c>
      <c r="F1161" s="5" t="inlineStr">
        <is>
          <t>Operations</t>
        </is>
      </c>
      <c r="G1161" s="5" t="inlineStr">
        <is>
          <t>Operations Analyst</t>
        </is>
      </c>
      <c r="H1161" s="5" t="inlineStr">
        <is>
          <t>3</t>
        </is>
      </c>
      <c r="I1161" s="5" t="inlineStr">
        <is>
          <t>Hyderabad</t>
        </is>
      </c>
      <c r="J1161" s="5" t="inlineStr">
        <is>
          <t>Full-Time</t>
        </is>
      </c>
      <c r="K1161" s="7" t="n">
        <v>44080</v>
      </c>
      <c r="L1161" s="7" t="inlineStr"/>
      <c r="M1161" s="5" t="inlineStr">
        <is>
          <t>Yes</t>
        </is>
      </c>
      <c r="N1161" s="5" t="inlineStr"/>
      <c r="O1161" s="8" t="inlineStr">
        <is>
          <t>78500</t>
        </is>
      </c>
      <c r="P1161" s="5" t="inlineStr">
        <is>
          <t>0</t>
        </is>
      </c>
      <c r="Q1161" s="5" t="inlineStr">
        <is>
          <t>3</t>
        </is>
      </c>
      <c r="R1161" s="5" t="inlineStr">
        <is>
          <t>6</t>
        </is>
      </c>
      <c r="S1161" s="5" t="inlineStr">
        <is>
          <t>64</t>
        </is>
      </c>
      <c r="T1161" s="5" t="inlineStr">
        <is>
          <t>0</t>
        </is>
      </c>
      <c r="U1161" s="5" t="inlineStr">
        <is>
          <t>OK</t>
        </is>
      </c>
    </row>
    <row r="1162">
      <c r="A1162" s="5" t="inlineStr">
        <is>
          <t>E01724</t>
        </is>
      </c>
      <c r="B1162" s="5" t="inlineStr">
        <is>
          <t>Female</t>
        </is>
      </c>
      <c r="C1162" s="6" t="inlineStr">
        <is>
          <t>35</t>
        </is>
      </c>
      <c r="D1162" s="5" t="inlineStr">
        <is>
          <t>Married</t>
        </is>
      </c>
      <c r="E1162" s="5" t="inlineStr">
        <is>
          <t>High School</t>
        </is>
      </c>
      <c r="F1162" s="5" t="inlineStr">
        <is>
          <t>Human Resources</t>
        </is>
      </c>
      <c r="G1162" s="5" t="inlineStr">
        <is>
          <t>Recruiter</t>
        </is>
      </c>
      <c r="H1162" s="5" t="inlineStr">
        <is>
          <t>2</t>
        </is>
      </c>
      <c r="I1162" s="5" t="inlineStr">
        <is>
          <t>Remote</t>
        </is>
      </c>
      <c r="J1162" s="5" t="inlineStr">
        <is>
          <t>Full-Time</t>
        </is>
      </c>
      <c r="K1162" s="7" t="n">
        <v>45634</v>
      </c>
      <c r="L1162" s="7" t="inlineStr"/>
      <c r="M1162" s="5" t="inlineStr">
        <is>
          <t>Yes</t>
        </is>
      </c>
      <c r="N1162" s="5" t="inlineStr"/>
      <c r="O1162" s="8" t="inlineStr">
        <is>
          <t>72000</t>
        </is>
      </c>
      <c r="P1162" s="5" t="inlineStr">
        <is>
          <t>0</t>
        </is>
      </c>
      <c r="Q1162" s="5" t="inlineStr">
        <is>
          <t>3</t>
        </is>
      </c>
      <c r="R1162" s="5" t="inlineStr">
        <is>
          <t>5</t>
        </is>
      </c>
      <c r="S1162" s="5" t="inlineStr">
        <is>
          <t>12</t>
        </is>
      </c>
      <c r="T1162" s="5" t="inlineStr">
        <is>
          <t>9</t>
        </is>
      </c>
      <c r="U1162" s="5" t="inlineStr">
        <is>
          <t>OK</t>
        </is>
      </c>
    </row>
    <row r="1163">
      <c r="A1163" s="5" t="inlineStr">
        <is>
          <t>E01005</t>
        </is>
      </c>
      <c r="B1163" s="5" t="inlineStr">
        <is>
          <t>Male</t>
        </is>
      </c>
      <c r="C1163" s="6" t="inlineStr">
        <is>
          <t>30</t>
        </is>
      </c>
      <c r="D1163" s="5" t="inlineStr">
        <is>
          <t>Married</t>
        </is>
      </c>
      <c r="E1163" s="5" t="inlineStr">
        <is>
          <t>Master</t>
        </is>
      </c>
      <c r="F1163" s="5" t="inlineStr">
        <is>
          <t>Sales</t>
        </is>
      </c>
      <c r="G1163" s="5" t="inlineStr">
        <is>
          <t>Business Development</t>
        </is>
      </c>
      <c r="H1163" s="5" t="inlineStr">
        <is>
          <t>4</t>
        </is>
      </c>
      <c r="I1163" s="5" t="inlineStr">
        <is>
          <t>Hyderabad</t>
        </is>
      </c>
      <c r="J1163" s="5" t="inlineStr">
        <is>
          <t>Full-Time</t>
        </is>
      </c>
      <c r="K1163" s="7" t="n">
        <v>45478</v>
      </c>
      <c r="L1163" s="7" t="inlineStr"/>
      <c r="M1163" s="5" t="inlineStr">
        <is>
          <t>Yes</t>
        </is>
      </c>
      <c r="N1163" s="5" t="inlineStr"/>
      <c r="O1163" s="8" t="inlineStr">
        <is>
          <t>148500</t>
        </is>
      </c>
      <c r="P1163" s="5" t="inlineStr">
        <is>
          <t>0</t>
        </is>
      </c>
      <c r="Q1163" s="5" t="inlineStr">
        <is>
          <t>3</t>
        </is>
      </c>
      <c r="R1163" s="5" t="inlineStr">
        <is>
          <t>2</t>
        </is>
      </c>
      <c r="S1163" s="5" t="inlineStr">
        <is>
          <t>18</t>
        </is>
      </c>
      <c r="T1163" s="5" t="inlineStr">
        <is>
          <t>3</t>
        </is>
      </c>
      <c r="U1163" s="5" t="inlineStr">
        <is>
          <t>OK</t>
        </is>
      </c>
    </row>
    <row r="1164">
      <c r="A1164" s="5" t="inlineStr">
        <is>
          <t>E00800</t>
        </is>
      </c>
      <c r="B1164" s="5" t="inlineStr">
        <is>
          <t>Male</t>
        </is>
      </c>
      <c r="C1164" s="6" t="inlineStr">
        <is>
          <t>28</t>
        </is>
      </c>
      <c r="D1164" s="5" t="inlineStr">
        <is>
          <t>Married</t>
        </is>
      </c>
      <c r="E1164" s="5" t="inlineStr">
        <is>
          <t>Diploma</t>
        </is>
      </c>
      <c r="F1164" s="5" t="inlineStr">
        <is>
          <t>Operations</t>
        </is>
      </c>
      <c r="G1164" s="5" t="inlineStr">
        <is>
          <t>Operations Analyst</t>
        </is>
      </c>
      <c r="H1164" s="5" t="inlineStr">
        <is>
          <t>1</t>
        </is>
      </c>
      <c r="I1164" s="5" t="inlineStr">
        <is>
          <t>Delhi</t>
        </is>
      </c>
      <c r="J1164" s="5" t="inlineStr">
        <is>
          <t>Full-Time</t>
        </is>
      </c>
      <c r="K1164" s="7" t="n">
        <v>45695</v>
      </c>
      <c r="L1164" s="7" t="inlineStr"/>
      <c r="M1164" s="5" t="inlineStr">
        <is>
          <t>Yes</t>
        </is>
      </c>
      <c r="N1164" s="5" t="inlineStr"/>
      <c r="O1164" s="8" t="inlineStr">
        <is>
          <t>58500</t>
        </is>
      </c>
      <c r="P1164" s="5" t="inlineStr">
        <is>
          <t>15</t>
        </is>
      </c>
      <c r="Q1164" s="5" t="inlineStr">
        <is>
          <t>4</t>
        </is>
      </c>
      <c r="R1164" s="5" t="inlineStr">
        <is>
          <t>4</t>
        </is>
      </c>
      <c r="S1164" s="5" t="inlineStr">
        <is>
          <t>10</t>
        </is>
      </c>
      <c r="T1164" s="5" t="inlineStr">
        <is>
          <t>0</t>
        </is>
      </c>
      <c r="U1164" s="5" t="inlineStr">
        <is>
          <t>OK</t>
        </is>
      </c>
    </row>
    <row r="1165">
      <c r="A1165" s="5" t="inlineStr">
        <is>
          <t>E00731</t>
        </is>
      </c>
      <c r="B1165" s="5" t="inlineStr">
        <is>
          <t>Male</t>
        </is>
      </c>
      <c r="C1165" s="6" t="inlineStr">
        <is>
          <t>23</t>
        </is>
      </c>
      <c r="D1165" s="5" t="inlineStr">
        <is>
          <t>Married</t>
        </is>
      </c>
      <c r="E1165" s="5" t="inlineStr">
        <is>
          <t>Diploma</t>
        </is>
      </c>
      <c r="F1165" s="5" t="inlineStr">
        <is>
          <t>Operations</t>
        </is>
      </c>
      <c r="G1165" s="5" t="inlineStr">
        <is>
          <t>Logistics Coordinator</t>
        </is>
      </c>
      <c r="H1165" s="5" t="inlineStr">
        <is>
          <t>1</t>
        </is>
      </c>
      <c r="I1165" s="5" t="inlineStr">
        <is>
          <t>Remote</t>
        </is>
      </c>
      <c r="J1165" s="5" t="inlineStr">
        <is>
          <t>Full-Time</t>
        </is>
      </c>
      <c r="K1165" s="7" t="n">
        <v>45106</v>
      </c>
      <c r="L1165" s="7" t="n">
        <v>45178</v>
      </c>
      <c r="M1165" s="5" t="inlineStr">
        <is>
          <t>No</t>
        </is>
      </c>
      <c r="N1165" s="5" t="inlineStr">
        <is>
          <t>Retirement</t>
        </is>
      </c>
      <c r="O1165" s="8" t="inlineStr">
        <is>
          <t>67500</t>
        </is>
      </c>
      <c r="P1165" s="5" t="inlineStr">
        <is>
          <t>0</t>
        </is>
      </c>
      <c r="Q1165" s="5" t="inlineStr">
        <is>
          <t>4</t>
        </is>
      </c>
      <c r="R1165" s="5" t="inlineStr">
        <is>
          <t>7</t>
        </is>
      </c>
      <c r="S1165" s="5" t="inlineStr">
        <is>
          <t>2</t>
        </is>
      </c>
      <c r="T1165" s="5" t="inlineStr">
        <is>
          <t>4</t>
        </is>
      </c>
      <c r="U1165" s="5" t="inlineStr">
        <is>
          <t>OK</t>
        </is>
      </c>
    </row>
    <row r="1166">
      <c r="A1166" s="5" t="inlineStr">
        <is>
          <t>E02811</t>
        </is>
      </c>
      <c r="B1166" s="5" t="inlineStr">
        <is>
          <t>Unknown</t>
        </is>
      </c>
      <c r="C1166" s="6" t="inlineStr">
        <is>
          <t>30</t>
        </is>
      </c>
      <c r="D1166" s="5" t="inlineStr">
        <is>
          <t>Married</t>
        </is>
      </c>
      <c r="E1166" s="5" t="inlineStr">
        <is>
          <t>Bachelor</t>
        </is>
      </c>
      <c r="F1166" s="5" t="inlineStr">
        <is>
          <t>Sales</t>
        </is>
      </c>
      <c r="G1166" s="5" t="inlineStr">
        <is>
          <t>Account Executive</t>
        </is>
      </c>
      <c r="H1166" s="5" t="inlineStr">
        <is>
          <t>2</t>
        </is>
      </c>
      <c r="I1166" s="5" t="inlineStr">
        <is>
          <t>Delhi</t>
        </is>
      </c>
      <c r="J1166" s="5" t="inlineStr">
        <is>
          <t>Full-Time</t>
        </is>
      </c>
      <c r="K1166" s="7" t="n">
        <v>45489</v>
      </c>
      <c r="L1166" s="7" t="n">
        <v>45620</v>
      </c>
      <c r="M1166" s="5" t="inlineStr">
        <is>
          <t>No</t>
        </is>
      </c>
      <c r="N1166" s="5" t="inlineStr">
        <is>
          <t>Resigned</t>
        </is>
      </c>
      <c r="O1166" s="8" t="inlineStr">
        <is>
          <t>118500</t>
        </is>
      </c>
      <c r="P1166" s="5" t="inlineStr">
        <is>
          <t>20</t>
        </is>
      </c>
      <c r="Q1166" s="5" t="inlineStr">
        <is>
          <t>3</t>
        </is>
      </c>
      <c r="R1166" s="5" t="inlineStr">
        <is>
          <t>6</t>
        </is>
      </c>
      <c r="S1166" s="5" t="inlineStr">
        <is>
          <t>4</t>
        </is>
      </c>
      <c r="T1166" s="5" t="inlineStr">
        <is>
          <t>15</t>
        </is>
      </c>
      <c r="U1166" s="5" t="inlineStr">
        <is>
          <t>Bad gender</t>
        </is>
      </c>
    </row>
    <row r="1167">
      <c r="A1167" s="5" t="inlineStr">
        <is>
          <t>E01690</t>
        </is>
      </c>
      <c r="B1167" s="5" t="inlineStr">
        <is>
          <t>Male</t>
        </is>
      </c>
      <c r="C1167" s="6" t="inlineStr">
        <is>
          <t>38</t>
        </is>
      </c>
      <c r="D1167" s="5" t="inlineStr">
        <is>
          <t>Single</t>
        </is>
      </c>
      <c r="E1167" s="5" t="inlineStr">
        <is>
          <t>Diploma</t>
        </is>
      </c>
      <c r="F1167" s="5" t="inlineStr">
        <is>
          <t>Customer Support</t>
        </is>
      </c>
      <c r="G1167" s="5" t="inlineStr">
        <is>
          <t>Support Lead</t>
        </is>
      </c>
      <c r="H1167" s="5" t="inlineStr">
        <is>
          <t>4</t>
        </is>
      </c>
      <c r="I1167" s="5" t="inlineStr">
        <is>
          <t>Hyderabad</t>
        </is>
      </c>
      <c r="J1167" s="5" t="inlineStr">
        <is>
          <t>Full-Time</t>
        </is>
      </c>
      <c r="K1167" s="7" t="n">
        <v>44520</v>
      </c>
      <c r="L1167" s="7" t="inlineStr"/>
      <c r="M1167" s="5" t="inlineStr">
        <is>
          <t>Yes</t>
        </is>
      </c>
      <c r="N1167" s="5" t="inlineStr"/>
      <c r="O1167" s="8" t="inlineStr">
        <is>
          <t>102500</t>
        </is>
      </c>
      <c r="P1167" s="5" t="inlineStr">
        <is>
          <t>15</t>
        </is>
      </c>
      <c r="Q1167" s="5" t="inlineStr">
        <is>
          <t>4</t>
        </is>
      </c>
      <c r="R1167" s="5" t="inlineStr">
        <is>
          <t>6</t>
        </is>
      </c>
      <c r="S1167" s="5" t="inlineStr">
        <is>
          <t>50</t>
        </is>
      </c>
      <c r="T1167" s="5" t="inlineStr">
        <is>
          <t>5</t>
        </is>
      </c>
      <c r="U1167" s="5" t="inlineStr">
        <is>
          <t>OK</t>
        </is>
      </c>
    </row>
    <row r="1168">
      <c r="A1168" s="5" t="inlineStr">
        <is>
          <t>E02966</t>
        </is>
      </c>
      <c r="B1168" s="5" t="inlineStr">
        <is>
          <t>Male</t>
        </is>
      </c>
      <c r="C1168" s="6" t="inlineStr">
        <is>
          <t>44</t>
        </is>
      </c>
      <c r="D1168" s="5" t="inlineStr">
        <is>
          <t>Married</t>
        </is>
      </c>
      <c r="E1168" s="5" t="inlineStr">
        <is>
          <t>Master</t>
        </is>
      </c>
      <c r="F1168" s="5" t="inlineStr">
        <is>
          <t>Marketing</t>
        </is>
      </c>
      <c r="G1168" s="5" t="inlineStr">
        <is>
          <t>SEO Specialist</t>
        </is>
      </c>
      <c r="H1168" s="5" t="inlineStr">
        <is>
          <t>6</t>
        </is>
      </c>
      <c r="I1168" s="5" t="inlineStr">
        <is>
          <t>Hyderabad</t>
        </is>
      </c>
      <c r="J1168" s="5" t="inlineStr">
        <is>
          <t>Full-Time</t>
        </is>
      </c>
      <c r="K1168" s="7" t="n">
        <v>44693</v>
      </c>
      <c r="L1168" s="7" t="n">
        <v>44731</v>
      </c>
      <c r="M1168" s="5" t="inlineStr">
        <is>
          <t>No</t>
        </is>
      </c>
      <c r="N1168" s="5" t="inlineStr">
        <is>
          <t>Performance / Termination</t>
        </is>
      </c>
      <c r="O1168" s="8" t="inlineStr">
        <is>
          <t>98000</t>
        </is>
      </c>
      <c r="P1168" s="5" t="inlineStr">
        <is>
          <t>20</t>
        </is>
      </c>
      <c r="Q1168" s="5" t="inlineStr">
        <is>
          <t>4</t>
        </is>
      </c>
      <c r="R1168" s="5" t="inlineStr">
        <is>
          <t>7</t>
        </is>
      </c>
      <c r="S1168" s="5" t="inlineStr">
        <is>
          <t>1</t>
        </is>
      </c>
      <c r="T1168" s="5" t="inlineStr">
        <is>
          <t>16</t>
        </is>
      </c>
      <c r="U1168" s="5" t="inlineStr">
        <is>
          <t>OK</t>
        </is>
      </c>
    </row>
    <row r="1169">
      <c r="A1169" s="5" t="inlineStr">
        <is>
          <t>E01130</t>
        </is>
      </c>
      <c r="B1169" s="5" t="inlineStr">
        <is>
          <t>Male</t>
        </is>
      </c>
      <c r="C1169" s="6" t="inlineStr">
        <is>
          <t>36</t>
        </is>
      </c>
      <c r="D1169" s="5" t="inlineStr">
        <is>
          <t>Married</t>
        </is>
      </c>
      <c r="E1169" s="5" t="inlineStr">
        <is>
          <t>High School</t>
        </is>
      </c>
      <c r="F1169" s="5" t="inlineStr">
        <is>
          <t>Human Resources</t>
        </is>
      </c>
      <c r="G1169" s="5" t="inlineStr">
        <is>
          <t>Recruiter</t>
        </is>
      </c>
      <c r="H1169" s="5" t="inlineStr">
        <is>
          <t>2</t>
        </is>
      </c>
      <c r="I1169" s="5" t="inlineStr">
        <is>
          <t>Chennai</t>
        </is>
      </c>
      <c r="J1169" s="5" t="inlineStr">
        <is>
          <t>Full-Time</t>
        </is>
      </c>
      <c r="K1169" s="7" t="n">
        <v>45748</v>
      </c>
      <c r="L1169" s="7" t="inlineStr"/>
      <c r="M1169" s="5" t="inlineStr">
        <is>
          <t>Yes</t>
        </is>
      </c>
      <c r="N1169" s="5" t="inlineStr"/>
      <c r="O1169" s="8" t="inlineStr">
        <is>
          <t>91500</t>
        </is>
      </c>
      <c r="P1169" s="5" t="inlineStr">
        <is>
          <t>0</t>
        </is>
      </c>
      <c r="Q1169" s="5" t="inlineStr">
        <is>
          <t>3</t>
        </is>
      </c>
      <c r="R1169" s="5" t="inlineStr">
        <is>
          <t>5</t>
        </is>
      </c>
      <c r="S1169" s="5" t="inlineStr">
        <is>
          <t>9</t>
        </is>
      </c>
      <c r="T1169" s="5" t="inlineStr">
        <is>
          <t>9</t>
        </is>
      </c>
      <c r="U1169" s="5" t="inlineStr">
        <is>
          <t>OK</t>
        </is>
      </c>
    </row>
    <row r="1170">
      <c r="A1170" s="5" t="inlineStr">
        <is>
          <t>E00893</t>
        </is>
      </c>
      <c r="B1170" s="5" t="inlineStr">
        <is>
          <t>Male</t>
        </is>
      </c>
      <c r="C1170" s="6" t="inlineStr">
        <is>
          <t>29</t>
        </is>
      </c>
      <c r="D1170" s="5" t="inlineStr">
        <is>
          <t>Married</t>
        </is>
      </c>
      <c r="E1170" s="5" t="inlineStr">
        <is>
          <t>High School</t>
        </is>
      </c>
      <c r="F1170" s="5" t="inlineStr">
        <is>
          <t>IT</t>
        </is>
      </c>
      <c r="G1170" s="5" t="inlineStr">
        <is>
          <t>DevOps Engineer</t>
        </is>
      </c>
      <c r="H1170" s="5" t="inlineStr">
        <is>
          <t>2</t>
        </is>
      </c>
      <c r="I1170" s="5" t="inlineStr">
        <is>
          <t>Hyderabad</t>
        </is>
      </c>
      <c r="J1170" s="5" t="inlineStr">
        <is>
          <t>Full-Time</t>
        </is>
      </c>
      <c r="K1170" s="7" t="n">
        <v>44824</v>
      </c>
      <c r="L1170" s="7" t="inlineStr"/>
      <c r="M1170" s="5" t="inlineStr">
        <is>
          <t>Yes</t>
        </is>
      </c>
      <c r="N1170" s="5" t="inlineStr"/>
      <c r="O1170" s="8" t="inlineStr">
        <is>
          <t>130500</t>
        </is>
      </c>
      <c r="P1170" s="5" t="inlineStr">
        <is>
          <t>0</t>
        </is>
      </c>
      <c r="Q1170" s="5" t="inlineStr">
        <is>
          <t>4</t>
        </is>
      </c>
      <c r="R1170" s="5" t="inlineStr">
        <is>
          <t>6</t>
        </is>
      </c>
      <c r="S1170" s="5" t="inlineStr">
        <is>
          <t>39</t>
        </is>
      </c>
      <c r="T1170" s="5" t="inlineStr">
        <is>
          <t>9</t>
        </is>
      </c>
      <c r="U1170" s="5" t="inlineStr">
        <is>
          <t>OK</t>
        </is>
      </c>
    </row>
    <row r="1171">
      <c r="A1171" s="5" t="inlineStr">
        <is>
          <t>E02420</t>
        </is>
      </c>
      <c r="B1171" s="5" t="inlineStr">
        <is>
          <t>Female</t>
        </is>
      </c>
      <c r="C1171" s="6" t="inlineStr">
        <is>
          <t>34</t>
        </is>
      </c>
      <c r="D1171" s="5" t="inlineStr">
        <is>
          <t>Married</t>
        </is>
      </c>
      <c r="E1171" s="5" t="inlineStr">
        <is>
          <t>Master</t>
        </is>
      </c>
      <c r="F1171" s="5" t="inlineStr">
        <is>
          <t>Operations</t>
        </is>
      </c>
      <c r="G1171" s="5" t="inlineStr">
        <is>
          <t>Operations Analyst</t>
        </is>
      </c>
      <c r="H1171" s="5" t="inlineStr">
        <is>
          <t>2</t>
        </is>
      </c>
      <c r="I1171" s="5" t="inlineStr">
        <is>
          <t>Hyderabad</t>
        </is>
      </c>
      <c r="J1171" s="5" t="inlineStr">
        <is>
          <t>Full-Time</t>
        </is>
      </c>
      <c r="K1171" s="7" t="n">
        <v>44501</v>
      </c>
      <c r="L1171" s="7" t="inlineStr"/>
      <c r="M1171" s="5" t="inlineStr">
        <is>
          <t>Yes</t>
        </is>
      </c>
      <c r="N1171" s="5" t="inlineStr"/>
      <c r="O1171" s="8" t="inlineStr">
        <is>
          <t>65500</t>
        </is>
      </c>
      <c r="P1171" s="5" t="inlineStr">
        <is>
          <t>15</t>
        </is>
      </c>
      <c r="Q1171" s="5" t="inlineStr">
        <is>
          <t>5</t>
        </is>
      </c>
      <c r="R1171" s="5" t="inlineStr">
        <is>
          <t>6</t>
        </is>
      </c>
      <c r="S1171" s="5" t="inlineStr">
        <is>
          <t>50</t>
        </is>
      </c>
      <c r="T1171" s="5" t="inlineStr">
        <is>
          <t>13</t>
        </is>
      </c>
      <c r="U1171" s="5" t="inlineStr">
        <is>
          <t>OK</t>
        </is>
      </c>
    </row>
    <row r="1172">
      <c r="A1172" s="5" t="inlineStr">
        <is>
          <t>E01494</t>
        </is>
      </c>
      <c r="B1172" s="5" t="inlineStr">
        <is>
          <t>Female</t>
        </is>
      </c>
      <c r="C1172" s="6" t="inlineStr">
        <is>
          <t>32</t>
        </is>
      </c>
      <c r="D1172" s="5" t="inlineStr">
        <is>
          <t>Married</t>
        </is>
      </c>
      <c r="E1172" s="5" t="inlineStr">
        <is>
          <t>PhD</t>
        </is>
      </c>
      <c r="F1172" s="5" t="inlineStr">
        <is>
          <t>Operations</t>
        </is>
      </c>
      <c r="G1172" s="5" t="inlineStr">
        <is>
          <t>Operations Analyst</t>
        </is>
      </c>
      <c r="H1172" s="5" t="inlineStr">
        <is>
          <t>1</t>
        </is>
      </c>
      <c r="I1172" s="5" t="inlineStr">
        <is>
          <t>Hyderabad</t>
        </is>
      </c>
      <c r="J1172" s="5" t="inlineStr">
        <is>
          <t>Full-Time</t>
        </is>
      </c>
      <c r="K1172" s="7" t="n">
        <v>44943</v>
      </c>
      <c r="L1172" s="7" t="n">
        <v>45075</v>
      </c>
      <c r="M1172" s="5" t="inlineStr">
        <is>
          <t>No</t>
        </is>
      </c>
      <c r="N1172" s="5" t="inlineStr">
        <is>
          <t>Resigned</t>
        </is>
      </c>
      <c r="O1172" s="8" t="inlineStr">
        <is>
          <t>95500</t>
        </is>
      </c>
      <c r="P1172" s="5" t="inlineStr">
        <is>
          <t>0</t>
        </is>
      </c>
      <c r="Q1172" s="5" t="inlineStr">
        <is>
          <t>2</t>
        </is>
      </c>
      <c r="R1172" s="5" t="inlineStr">
        <is>
          <t>5</t>
        </is>
      </c>
      <c r="S1172" s="5" t="inlineStr">
        <is>
          <t>4</t>
        </is>
      </c>
      <c r="T1172" s="5" t="inlineStr">
        <is>
          <t>1</t>
        </is>
      </c>
      <c r="U1172" s="5" t="inlineStr">
        <is>
          <t>OK</t>
        </is>
      </c>
    </row>
    <row r="1173">
      <c r="A1173" s="5" t="inlineStr">
        <is>
          <t>E02191</t>
        </is>
      </c>
      <c r="B1173" s="5" t="inlineStr">
        <is>
          <t>Female</t>
        </is>
      </c>
      <c r="C1173" s="6" t="inlineStr">
        <is>
          <t>40</t>
        </is>
      </c>
      <c r="D1173" s="5" t="inlineStr">
        <is>
          <t>Married</t>
        </is>
      </c>
      <c r="E1173" s="5" t="inlineStr">
        <is>
          <t>Diploma</t>
        </is>
      </c>
      <c r="F1173" s="5" t="inlineStr">
        <is>
          <t>Customer Support</t>
        </is>
      </c>
      <c r="G1173" s="5" t="inlineStr">
        <is>
          <t>Support Lead</t>
        </is>
      </c>
      <c r="H1173" s="5" t="inlineStr">
        <is>
          <t>4</t>
        </is>
      </c>
      <c r="I1173" s="5" t="inlineStr">
        <is>
          <t>Remote</t>
        </is>
      </c>
      <c r="J1173" s="5" t="inlineStr">
        <is>
          <t>Part-Time</t>
        </is>
      </c>
      <c r="K1173" s="7" t="n">
        <v>45045</v>
      </c>
      <c r="L1173" s="7" t="inlineStr"/>
      <c r="M1173" s="5" t="inlineStr">
        <is>
          <t>Yes</t>
        </is>
      </c>
      <c r="N1173" s="5" t="inlineStr"/>
      <c r="O1173" s="8" t="inlineStr">
        <is>
          <t>92000</t>
        </is>
      </c>
      <c r="P1173" s="5" t="inlineStr">
        <is>
          <t>5</t>
        </is>
      </c>
      <c r="Q1173" s="5" t="inlineStr">
        <is>
          <t>2</t>
        </is>
      </c>
      <c r="R1173" s="5" t="inlineStr">
        <is>
          <t>5</t>
        </is>
      </c>
      <c r="S1173" s="5" t="inlineStr">
        <is>
          <t>32</t>
        </is>
      </c>
      <c r="T1173" s="5" t="inlineStr">
        <is>
          <t>13</t>
        </is>
      </c>
      <c r="U1173" s="5" t="inlineStr">
        <is>
          <t>OK</t>
        </is>
      </c>
    </row>
    <row r="1174">
      <c r="A1174" s="5" t="inlineStr">
        <is>
          <t>E01219</t>
        </is>
      </c>
      <c r="B1174" s="5" t="inlineStr">
        <is>
          <t>Male</t>
        </is>
      </c>
      <c r="C1174" s="6" t="inlineStr">
        <is>
          <t>33</t>
        </is>
      </c>
      <c r="D1174" s="5" t="inlineStr">
        <is>
          <t>Married</t>
        </is>
      </c>
      <c r="E1174" s="5" t="inlineStr">
        <is>
          <t>Diploma</t>
        </is>
      </c>
      <c r="F1174" s="5" t="inlineStr">
        <is>
          <t>Sales</t>
        </is>
      </c>
      <c r="G1174" s="5" t="inlineStr">
        <is>
          <t>Sales Executive</t>
        </is>
      </c>
      <c r="H1174" s="5" t="inlineStr">
        <is>
          <t>3</t>
        </is>
      </c>
      <c r="I1174" s="5" t="inlineStr">
        <is>
          <t>Hyderabad</t>
        </is>
      </c>
      <c r="J1174" s="5" t="inlineStr">
        <is>
          <t>Part-Time</t>
        </is>
      </c>
      <c r="K1174" s="7" t="n">
        <v>43999</v>
      </c>
      <c r="L1174" s="7" t="inlineStr"/>
      <c r="M1174" s="5" t="inlineStr">
        <is>
          <t>Yes</t>
        </is>
      </c>
      <c r="N1174" s="5" t="inlineStr"/>
      <c r="O1174" s="8" t="inlineStr">
        <is>
          <t>131500</t>
        </is>
      </c>
      <c r="P1174" s="5" t="inlineStr">
        <is>
          <t>0</t>
        </is>
      </c>
      <c r="Q1174" s="5" t="inlineStr">
        <is>
          <t>2</t>
        </is>
      </c>
      <c r="R1174" s="5" t="inlineStr">
        <is>
          <t>8</t>
        </is>
      </c>
      <c r="S1174" s="5" t="inlineStr">
        <is>
          <t>67</t>
        </is>
      </c>
      <c r="T1174" s="5" t="inlineStr">
        <is>
          <t>6</t>
        </is>
      </c>
      <c r="U1174" s="5" t="inlineStr">
        <is>
          <t>OK</t>
        </is>
      </c>
    </row>
    <row r="1175">
      <c r="A1175" s="5" t="inlineStr">
        <is>
          <t>E02031</t>
        </is>
      </c>
      <c r="B1175" s="5" t="inlineStr">
        <is>
          <t>Female</t>
        </is>
      </c>
      <c r="C1175" s="6" t="inlineStr">
        <is>
          <t>33</t>
        </is>
      </c>
      <c r="D1175" s="5" t="inlineStr">
        <is>
          <t>Divorced</t>
        </is>
      </c>
      <c r="E1175" s="5" t="inlineStr">
        <is>
          <t>Bachelor</t>
        </is>
      </c>
      <c r="F1175" s="5" t="inlineStr">
        <is>
          <t>Operations</t>
        </is>
      </c>
      <c r="G1175" s="5" t="inlineStr">
        <is>
          <t>Operations Analyst</t>
        </is>
      </c>
      <c r="H1175" s="5" t="inlineStr">
        <is>
          <t>2</t>
        </is>
      </c>
      <c r="I1175" s="5" t="inlineStr">
        <is>
          <t>Hyderabad</t>
        </is>
      </c>
      <c r="J1175" s="5" t="inlineStr">
        <is>
          <t>Full-Time</t>
        </is>
      </c>
      <c r="K1175" s="7" t="n">
        <v>45537</v>
      </c>
      <c r="L1175" s="7" t="n">
        <v>45629</v>
      </c>
      <c r="M1175" s="5" t="inlineStr">
        <is>
          <t>No</t>
        </is>
      </c>
      <c r="N1175" s="5" t="inlineStr">
        <is>
          <t>Resigned</t>
        </is>
      </c>
      <c r="O1175" s="8" t="inlineStr">
        <is>
          <t>113000</t>
        </is>
      </c>
      <c r="P1175" s="5" t="inlineStr">
        <is>
          <t>0</t>
        </is>
      </c>
      <c r="Q1175" s="5" t="inlineStr">
        <is>
          <t>4</t>
        </is>
      </c>
      <c r="R1175" s="5" t="inlineStr">
        <is>
          <t>4</t>
        </is>
      </c>
      <c r="S1175" s="5" t="inlineStr">
        <is>
          <t>3</t>
        </is>
      </c>
      <c r="T1175" s="5" t="inlineStr">
        <is>
          <t>5</t>
        </is>
      </c>
      <c r="U1175" s="5" t="inlineStr">
        <is>
          <t>OK</t>
        </is>
      </c>
    </row>
    <row r="1176">
      <c r="A1176" s="5" t="inlineStr">
        <is>
          <t>E00812</t>
        </is>
      </c>
      <c r="B1176" s="5" t="inlineStr">
        <is>
          <t>Female</t>
        </is>
      </c>
      <c r="C1176" s="6" t="inlineStr">
        <is>
          <t>38</t>
        </is>
      </c>
      <c r="D1176" s="5" t="inlineStr">
        <is>
          <t>Married</t>
        </is>
      </c>
      <c r="E1176" s="5" t="inlineStr">
        <is>
          <t>Diploma</t>
        </is>
      </c>
      <c r="F1176" s="5" t="inlineStr">
        <is>
          <t>Research &amp; Development</t>
        </is>
      </c>
      <c r="G1176" s="5" t="inlineStr">
        <is>
          <t>Data Scientist</t>
        </is>
      </c>
      <c r="H1176" s="5" t="inlineStr">
        <is>
          <t>4</t>
        </is>
      </c>
      <c r="I1176" s="5" t="inlineStr">
        <is>
          <t>Delhi</t>
        </is>
      </c>
      <c r="J1176" s="5" t="inlineStr">
        <is>
          <t>Full-Time</t>
        </is>
      </c>
      <c r="K1176" s="7" t="n">
        <v>44486</v>
      </c>
      <c r="L1176" s="7" t="inlineStr"/>
      <c r="M1176" s="5" t="inlineStr">
        <is>
          <t>Yes</t>
        </is>
      </c>
      <c r="N1176" s="5" t="inlineStr"/>
      <c r="O1176" s="8" t="inlineStr">
        <is>
          <t>205000</t>
        </is>
      </c>
      <c r="P1176" s="5" t="inlineStr">
        <is>
          <t>10</t>
        </is>
      </c>
      <c r="Q1176" s="5" t="inlineStr">
        <is>
          <t>2</t>
        </is>
      </c>
      <c r="R1176" s="5" t="inlineStr">
        <is>
          <t>9</t>
        </is>
      </c>
      <c r="S1176" s="5" t="inlineStr">
        <is>
          <t>51</t>
        </is>
      </c>
      <c r="T1176" s="5" t="inlineStr">
        <is>
          <t>0</t>
        </is>
      </c>
      <c r="U1176" s="5" t="inlineStr">
        <is>
          <t>OK</t>
        </is>
      </c>
    </row>
    <row r="1177">
      <c r="A1177" s="5" t="inlineStr">
        <is>
          <t>E02266</t>
        </is>
      </c>
      <c r="B1177" s="5" t="inlineStr">
        <is>
          <t>Male</t>
        </is>
      </c>
      <c r="C1177" s="6" t="inlineStr">
        <is>
          <t>34</t>
        </is>
      </c>
      <c r="D1177" s="5" t="inlineStr">
        <is>
          <t>Married</t>
        </is>
      </c>
      <c r="E1177" s="5" t="inlineStr">
        <is>
          <t>PhD</t>
        </is>
      </c>
      <c r="F1177" s="5" t="inlineStr">
        <is>
          <t>Operations</t>
        </is>
      </c>
      <c r="G1177" s="5" t="inlineStr">
        <is>
          <t>Logistics Coordinator</t>
        </is>
      </c>
      <c r="H1177" s="5" t="inlineStr">
        <is>
          <t>3</t>
        </is>
      </c>
      <c r="I1177" s="5" t="inlineStr">
        <is>
          <t>Bengaluru</t>
        </is>
      </c>
      <c r="J1177" s="5" t="inlineStr">
        <is>
          <t>Part-Time</t>
        </is>
      </c>
      <c r="K1177" s="7" t="n">
        <v>44590</v>
      </c>
      <c r="L1177" s="7" t="inlineStr"/>
      <c r="M1177" s="5" t="inlineStr">
        <is>
          <t>Yes</t>
        </is>
      </c>
      <c r="N1177" s="5" t="inlineStr"/>
      <c r="O1177" s="8" t="inlineStr">
        <is>
          <t>104000</t>
        </is>
      </c>
      <c r="P1177" s="5" t="inlineStr">
        <is>
          <t>15</t>
        </is>
      </c>
      <c r="Q1177" s="5" t="inlineStr">
        <is>
          <t>5</t>
        </is>
      </c>
      <c r="R1177" s="5" t="inlineStr">
        <is>
          <t>6</t>
        </is>
      </c>
      <c r="S1177" s="5" t="inlineStr">
        <is>
          <t>47</t>
        </is>
      </c>
      <c r="T1177" s="5" t="inlineStr">
        <is>
          <t>19</t>
        </is>
      </c>
      <c r="U1177" s="5" t="inlineStr">
        <is>
          <t>OK</t>
        </is>
      </c>
    </row>
    <row r="1178">
      <c r="A1178" s="5" t="inlineStr">
        <is>
          <t>E00827</t>
        </is>
      </c>
      <c r="B1178" s="5" t="inlineStr">
        <is>
          <t>Male</t>
        </is>
      </c>
      <c r="C1178" s="6" t="inlineStr">
        <is>
          <t>32</t>
        </is>
      </c>
      <c r="D1178" s="5" t="inlineStr">
        <is>
          <t>Divorced</t>
        </is>
      </c>
      <c r="E1178" s="5" t="inlineStr">
        <is>
          <t>Master</t>
        </is>
      </c>
      <c r="F1178" s="5" t="inlineStr">
        <is>
          <t>Finance</t>
        </is>
      </c>
      <c r="G1178" s="5" t="inlineStr">
        <is>
          <t>Credit Analyst</t>
        </is>
      </c>
      <c r="H1178" s="5" t="inlineStr">
        <is>
          <t>3</t>
        </is>
      </c>
      <c r="I1178" s="5" t="inlineStr">
        <is>
          <t>Mumbai</t>
        </is>
      </c>
      <c r="J1178" s="5" t="inlineStr">
        <is>
          <t>Full-Time</t>
        </is>
      </c>
      <c r="K1178" s="7" t="n">
        <v>43888</v>
      </c>
      <c r="L1178" s="7" t="inlineStr"/>
      <c r="M1178" s="5" t="inlineStr">
        <is>
          <t>Yes</t>
        </is>
      </c>
      <c r="N1178" s="5" t="inlineStr"/>
      <c r="O1178" s="8" t="inlineStr">
        <is>
          <t>132500</t>
        </is>
      </c>
      <c r="P1178" s="5" t="inlineStr">
        <is>
          <t>10</t>
        </is>
      </c>
      <c r="Q1178" s="5" t="inlineStr">
        <is>
          <t>5</t>
        </is>
      </c>
      <c r="R1178" s="5" t="inlineStr">
        <is>
          <t>8</t>
        </is>
      </c>
      <c r="S1178" s="5" t="inlineStr">
        <is>
          <t>71</t>
        </is>
      </c>
      <c r="T1178" s="5" t="inlineStr">
        <is>
          <t>0</t>
        </is>
      </c>
      <c r="U1178" s="5" t="inlineStr">
        <is>
          <t>OK</t>
        </is>
      </c>
    </row>
    <row r="1179">
      <c r="A1179" s="5" t="inlineStr">
        <is>
          <t>E01894</t>
        </is>
      </c>
      <c r="B1179" s="5" t="inlineStr">
        <is>
          <t>Male</t>
        </is>
      </c>
      <c r="C1179" s="6" t="inlineStr">
        <is>
          <t>27</t>
        </is>
      </c>
      <c r="D1179" s="5" t="inlineStr">
        <is>
          <t>Divorced</t>
        </is>
      </c>
      <c r="E1179" s="5" t="inlineStr">
        <is>
          <t>High School</t>
        </is>
      </c>
      <c r="F1179" s="5" t="inlineStr">
        <is>
          <t>Sales</t>
        </is>
      </c>
      <c r="G1179" s="5" t="inlineStr">
        <is>
          <t>Sales Executive</t>
        </is>
      </c>
      <c r="H1179" s="5" t="inlineStr">
        <is>
          <t>2</t>
        </is>
      </c>
      <c r="I1179" s="5" t="inlineStr">
        <is>
          <t>Hyderabad</t>
        </is>
      </c>
      <c r="J1179" s="5" t="inlineStr">
        <is>
          <t>Part-Time</t>
        </is>
      </c>
      <c r="K1179" s="7" t="n">
        <v>45664</v>
      </c>
      <c r="L1179" s="7" t="n">
        <v>45750</v>
      </c>
      <c r="M1179" s="5" t="inlineStr">
        <is>
          <t>No</t>
        </is>
      </c>
      <c r="N1179" s="5" t="inlineStr">
        <is>
          <t>Resigned</t>
        </is>
      </c>
      <c r="O1179" s="8" t="inlineStr">
        <is>
          <t>68500</t>
        </is>
      </c>
      <c r="P1179" s="5" t="inlineStr">
        <is>
          <t>5</t>
        </is>
      </c>
      <c r="Q1179" s="5" t="inlineStr">
        <is>
          <t>2</t>
        </is>
      </c>
      <c r="R1179" s="5" t="inlineStr">
        <is>
          <t>6</t>
        </is>
      </c>
      <c r="S1179" s="5" t="inlineStr">
        <is>
          <t>2</t>
        </is>
      </c>
      <c r="T1179" s="5" t="inlineStr">
        <is>
          <t>9</t>
        </is>
      </c>
      <c r="U1179" s="5" t="inlineStr">
        <is>
          <t>OK</t>
        </is>
      </c>
    </row>
    <row r="1180">
      <c r="A1180" s="5" t="inlineStr">
        <is>
          <t>E01325</t>
        </is>
      </c>
      <c r="B1180" s="5" t="inlineStr">
        <is>
          <t>Male</t>
        </is>
      </c>
      <c r="C1180" s="6" t="inlineStr">
        <is>
          <t>35</t>
        </is>
      </c>
      <c r="D1180" s="5" t="inlineStr">
        <is>
          <t>Divorced</t>
        </is>
      </c>
      <c r="E1180" s="5" t="inlineStr">
        <is>
          <t>Master</t>
        </is>
      </c>
      <c r="F1180" s="5" t="inlineStr">
        <is>
          <t>IT</t>
        </is>
      </c>
      <c r="G1180" s="5" t="inlineStr">
        <is>
          <t>IT Support</t>
        </is>
      </c>
      <c r="H1180" s="5" t="inlineStr">
        <is>
          <t>2</t>
        </is>
      </c>
      <c r="I1180" s="5" t="inlineStr">
        <is>
          <t>Hyderabad</t>
        </is>
      </c>
      <c r="J1180" s="5" t="inlineStr">
        <is>
          <t>Full-Time</t>
        </is>
      </c>
      <c r="K1180" s="7" t="n">
        <v>45323</v>
      </c>
      <c r="L1180" s="7" t="inlineStr"/>
      <c r="M1180" s="5" t="inlineStr">
        <is>
          <t>Yes</t>
        </is>
      </c>
      <c r="N1180" s="5" t="inlineStr"/>
      <c r="O1180" s="8" t="inlineStr">
        <is>
          <t>146000</t>
        </is>
      </c>
      <c r="P1180" s="5" t="inlineStr">
        <is>
          <t>0</t>
        </is>
      </c>
      <c r="Q1180" s="5" t="inlineStr">
        <is>
          <t>4</t>
        </is>
      </c>
      <c r="R1180" s="5" t="inlineStr">
        <is>
          <t>4</t>
        </is>
      </c>
      <c r="S1180" s="5" t="inlineStr">
        <is>
          <t>23</t>
        </is>
      </c>
      <c r="T1180" s="5" t="inlineStr">
        <is>
          <t>2</t>
        </is>
      </c>
      <c r="U1180" s="5" t="inlineStr">
        <is>
          <t>OK</t>
        </is>
      </c>
    </row>
    <row r="1181">
      <c r="A1181" s="5" t="inlineStr">
        <is>
          <t>E00906</t>
        </is>
      </c>
      <c r="B1181" s="5" t="inlineStr">
        <is>
          <t>Unknown</t>
        </is>
      </c>
      <c r="C1181" s="6" t="inlineStr">
        <is>
          <t>30</t>
        </is>
      </c>
      <c r="D1181" s="5" t="inlineStr">
        <is>
          <t>Married</t>
        </is>
      </c>
      <c r="E1181" s="5" t="inlineStr">
        <is>
          <t>PhD</t>
        </is>
      </c>
      <c r="F1181" s="5" t="inlineStr">
        <is>
          <t>Customer Support</t>
        </is>
      </c>
      <c r="G1181" s="5" t="inlineStr">
        <is>
          <t>Support Lead</t>
        </is>
      </c>
      <c r="H1181" s="5" t="inlineStr">
        <is>
          <t>3</t>
        </is>
      </c>
      <c r="I1181" s="5" t="inlineStr">
        <is>
          <t>Delhi</t>
        </is>
      </c>
      <c r="J1181" s="5" t="inlineStr">
        <is>
          <t>Full-Time</t>
        </is>
      </c>
      <c r="K1181" s="7" t="n">
        <v>45710</v>
      </c>
      <c r="L1181" s="7" t="n">
        <v>45800</v>
      </c>
      <c r="M1181" s="5" t="inlineStr">
        <is>
          <t>No</t>
        </is>
      </c>
      <c r="N1181" s="5" t="inlineStr">
        <is>
          <t>Performance / Termination</t>
        </is>
      </c>
      <c r="O1181" s="8" t="inlineStr">
        <is>
          <t>63000</t>
        </is>
      </c>
      <c r="P1181" s="5" t="inlineStr">
        <is>
          <t>0</t>
        </is>
      </c>
      <c r="Q1181" s="5" t="inlineStr">
        <is>
          <t>5</t>
        </is>
      </c>
      <c r="R1181" s="5" t="inlineStr">
        <is>
          <t>3</t>
        </is>
      </c>
      <c r="S1181" s="5" t="inlineStr">
        <is>
          <t>3</t>
        </is>
      </c>
      <c r="T1181" s="5" t="inlineStr">
        <is>
          <t>16</t>
        </is>
      </c>
      <c r="U1181" s="5" t="inlineStr">
        <is>
          <t>Bad gender</t>
        </is>
      </c>
    </row>
    <row r="1182">
      <c r="A1182" s="5" t="inlineStr">
        <is>
          <t>E02028</t>
        </is>
      </c>
      <c r="B1182" s="5" t="inlineStr">
        <is>
          <t>Male</t>
        </is>
      </c>
      <c r="C1182" s="6" t="inlineStr">
        <is>
          <t>42</t>
        </is>
      </c>
      <c r="D1182" s="5" t="inlineStr">
        <is>
          <t>Single</t>
        </is>
      </c>
      <c r="E1182" s="5" t="inlineStr">
        <is>
          <t>Master</t>
        </is>
      </c>
      <c r="F1182" s="5" t="inlineStr">
        <is>
          <t>Operations</t>
        </is>
      </c>
      <c r="G1182" s="5" t="inlineStr">
        <is>
          <t>Quality Analyst</t>
        </is>
      </c>
      <c r="H1182" s="5" t="inlineStr">
        <is>
          <t>5</t>
        </is>
      </c>
      <c r="I1182" s="5" t="inlineStr">
        <is>
          <t>Chennai</t>
        </is>
      </c>
      <c r="J1182" s="5" t="inlineStr">
        <is>
          <t>Full-Time</t>
        </is>
      </c>
      <c r="K1182" s="7" t="n">
        <v>45454</v>
      </c>
      <c r="L1182" s="7" t="inlineStr"/>
      <c r="M1182" s="5" t="inlineStr">
        <is>
          <t>Yes</t>
        </is>
      </c>
      <c r="N1182" s="5" t="inlineStr"/>
      <c r="O1182" s="8" t="inlineStr">
        <is>
          <t>105000</t>
        </is>
      </c>
      <c r="P1182" s="5" t="inlineStr">
        <is>
          <t>0</t>
        </is>
      </c>
      <c r="Q1182" s="5" t="inlineStr">
        <is>
          <t>4</t>
        </is>
      </c>
      <c r="R1182" s="5" t="inlineStr">
        <is>
          <t>4</t>
        </is>
      </c>
      <c r="S1182" s="5" t="inlineStr">
        <is>
          <t>18</t>
        </is>
      </c>
      <c r="T1182" s="5" t="inlineStr">
        <is>
          <t>13</t>
        </is>
      </c>
      <c r="U1182" s="5" t="inlineStr">
        <is>
          <t>OK</t>
        </is>
      </c>
    </row>
    <row r="1183">
      <c r="A1183" s="5" t="inlineStr">
        <is>
          <t>E02596</t>
        </is>
      </c>
      <c r="B1183" s="5" t="inlineStr">
        <is>
          <t>Male</t>
        </is>
      </c>
      <c r="C1183" s="6" t="inlineStr">
        <is>
          <t>32</t>
        </is>
      </c>
      <c r="D1183" s="5" t="inlineStr">
        <is>
          <t>Married</t>
        </is>
      </c>
      <c r="E1183" s="5" t="inlineStr">
        <is>
          <t>Master</t>
        </is>
      </c>
      <c r="F1183" s="5" t="inlineStr">
        <is>
          <t>Research &amp; Development</t>
        </is>
      </c>
      <c r="G1183" s="5" t="inlineStr">
        <is>
          <t>Product Engineer</t>
        </is>
      </c>
      <c r="H1183" s="5" t="inlineStr">
        <is>
          <t>4</t>
        </is>
      </c>
      <c r="I1183" s="5" t="inlineStr">
        <is>
          <t>Hyderabad</t>
        </is>
      </c>
      <c r="J1183" s="5" t="inlineStr">
        <is>
          <t>Full-Time</t>
        </is>
      </c>
      <c r="K1183" s="7" t="n">
        <v>45107</v>
      </c>
      <c r="L1183" s="7" t="inlineStr"/>
      <c r="M1183" s="5" t="inlineStr">
        <is>
          <t>Yes</t>
        </is>
      </c>
      <c r="N1183" s="5" t="inlineStr"/>
      <c r="O1183" s="8" t="inlineStr">
        <is>
          <t>187500</t>
        </is>
      </c>
      <c r="P1183" s="5" t="inlineStr">
        <is>
          <t>10</t>
        </is>
      </c>
      <c r="Q1183" s="5" t="inlineStr">
        <is>
          <t>3</t>
        </is>
      </c>
      <c r="R1183" s="5" t="inlineStr">
        <is>
          <t>4</t>
        </is>
      </c>
      <c r="S1183" s="5" t="inlineStr">
        <is>
          <t>30</t>
        </is>
      </c>
      <c r="T1183" s="5" t="inlineStr">
        <is>
          <t>6</t>
        </is>
      </c>
      <c r="U1183" s="5" t="inlineStr">
        <is>
          <t>OK</t>
        </is>
      </c>
    </row>
    <row r="1184">
      <c r="A1184" s="5" t="inlineStr">
        <is>
          <t>E00837</t>
        </is>
      </c>
      <c r="B1184" s="5" t="inlineStr">
        <is>
          <t>Male</t>
        </is>
      </c>
      <c r="C1184" s="6" t="inlineStr">
        <is>
          <t>39</t>
        </is>
      </c>
      <c r="D1184" s="5" t="inlineStr">
        <is>
          <t>Married</t>
        </is>
      </c>
      <c r="E1184" s="5" t="inlineStr">
        <is>
          <t>Diploma</t>
        </is>
      </c>
      <c r="F1184" s="5" t="inlineStr">
        <is>
          <t>Research &amp; Development</t>
        </is>
      </c>
      <c r="G1184" s="5" t="inlineStr">
        <is>
          <t>Product Engineer</t>
        </is>
      </c>
      <c r="H1184" s="5" t="inlineStr">
        <is>
          <t>6</t>
        </is>
      </c>
      <c r="I1184" s="5" t="inlineStr">
        <is>
          <t>Delhi</t>
        </is>
      </c>
      <c r="J1184" s="5" t="inlineStr">
        <is>
          <t>Contract</t>
        </is>
      </c>
      <c r="K1184" s="7" t="n">
        <v>45863</v>
      </c>
      <c r="L1184" s="7" t="inlineStr"/>
      <c r="M1184" s="5" t="inlineStr">
        <is>
          <t>Yes</t>
        </is>
      </c>
      <c r="N1184" s="5" t="inlineStr"/>
      <c r="O1184" s="8" t="inlineStr">
        <is>
          <t>192000</t>
        </is>
      </c>
      <c r="P1184" s="5" t="inlineStr">
        <is>
          <t>20</t>
        </is>
      </c>
      <c r="Q1184" s="5" t="inlineStr">
        <is>
          <t>4</t>
        </is>
      </c>
      <c r="R1184" s="5" t="inlineStr">
        <is>
          <t>6</t>
        </is>
      </c>
      <c r="S1184" s="5" t="inlineStr">
        <is>
          <t>5</t>
        </is>
      </c>
      <c r="T1184" s="5" t="inlineStr">
        <is>
          <t>10</t>
        </is>
      </c>
      <c r="U1184" s="5" t="inlineStr">
        <is>
          <t>OK</t>
        </is>
      </c>
    </row>
    <row r="1185">
      <c r="A1185" s="5" t="inlineStr">
        <is>
          <t>E01646</t>
        </is>
      </c>
      <c r="B1185" s="5" t="inlineStr">
        <is>
          <t>Male</t>
        </is>
      </c>
      <c r="C1185" s="6" t="inlineStr">
        <is>
          <t>25</t>
        </is>
      </c>
      <c r="D1185" s="5" t="inlineStr">
        <is>
          <t>Single</t>
        </is>
      </c>
      <c r="E1185" s="5" t="inlineStr">
        <is>
          <t>Diploma</t>
        </is>
      </c>
      <c r="F1185" s="5" t="inlineStr">
        <is>
          <t>Operations</t>
        </is>
      </c>
      <c r="G1185" s="5" t="inlineStr">
        <is>
          <t>Quality Analyst</t>
        </is>
      </c>
      <c r="H1185" s="5" t="inlineStr">
        <is>
          <t>1</t>
        </is>
      </c>
      <c r="I1185" s="5" t="inlineStr">
        <is>
          <t>Bengaluru</t>
        </is>
      </c>
      <c r="J1185" s="5" t="inlineStr">
        <is>
          <t>Full-Time</t>
        </is>
      </c>
      <c r="K1185" s="7" t="n">
        <v>44932</v>
      </c>
      <c r="L1185" s="7" t="inlineStr"/>
      <c r="M1185" s="5" t="inlineStr">
        <is>
          <t>Yes</t>
        </is>
      </c>
      <c r="N1185" s="5" t="inlineStr"/>
      <c r="O1185" s="8" t="inlineStr">
        <is>
          <t>55500</t>
        </is>
      </c>
      <c r="P1185" s="5" t="inlineStr">
        <is>
          <t>0</t>
        </is>
      </c>
      <c r="Q1185" s="5" t="inlineStr">
        <is>
          <t>3</t>
        </is>
      </c>
      <c r="R1185" s="5" t="inlineStr">
        <is>
          <t>5</t>
        </is>
      </c>
      <c r="S1185" s="5" t="inlineStr">
        <is>
          <t>36</t>
        </is>
      </c>
      <c r="T1185" s="5" t="inlineStr">
        <is>
          <t>10</t>
        </is>
      </c>
      <c r="U1185" s="5" t="inlineStr">
        <is>
          <t>OK</t>
        </is>
      </c>
    </row>
    <row r="1186">
      <c r="A1186" s="5" t="inlineStr">
        <is>
          <t>E00970</t>
        </is>
      </c>
      <c r="B1186" s="5" t="inlineStr">
        <is>
          <t>Male</t>
        </is>
      </c>
      <c r="C1186" s="6" t="inlineStr">
        <is>
          <t>39</t>
        </is>
      </c>
      <c r="D1186" s="5" t="inlineStr">
        <is>
          <t>Married</t>
        </is>
      </c>
      <c r="E1186" s="5" t="inlineStr">
        <is>
          <t>Bachelor</t>
        </is>
      </c>
      <c r="F1186" s="5" t="inlineStr">
        <is>
          <t>Marketing</t>
        </is>
      </c>
      <c r="G1186" s="5" t="inlineStr">
        <is>
          <t>Content Writer</t>
        </is>
      </c>
      <c r="H1186" s="5" t="inlineStr">
        <is>
          <t>5</t>
        </is>
      </c>
      <c r="I1186" s="5" t="inlineStr">
        <is>
          <t>Delhi</t>
        </is>
      </c>
      <c r="J1186" s="5" t="inlineStr">
        <is>
          <t>Full-Time</t>
        </is>
      </c>
      <c r="K1186" s="7" t="n">
        <v>44830</v>
      </c>
      <c r="L1186" s="7" t="inlineStr"/>
      <c r="M1186" s="5" t="inlineStr">
        <is>
          <t>Yes</t>
        </is>
      </c>
      <c r="N1186" s="5" t="inlineStr"/>
      <c r="O1186" s="8" t="inlineStr">
        <is>
          <t>105000</t>
        </is>
      </c>
      <c r="P1186" s="5" t="inlineStr">
        <is>
          <t>0</t>
        </is>
      </c>
      <c r="Q1186" s="5" t="inlineStr">
        <is>
          <t>5</t>
        </is>
      </c>
      <c r="R1186" s="5" t="inlineStr">
        <is>
          <t>6</t>
        </is>
      </c>
      <c r="S1186" s="5" t="inlineStr">
        <is>
          <t>39</t>
        </is>
      </c>
      <c r="T1186" s="5" t="inlineStr">
        <is>
          <t>6</t>
        </is>
      </c>
      <c r="U1186" s="5" t="inlineStr">
        <is>
          <t>OK</t>
        </is>
      </c>
    </row>
    <row r="1187">
      <c r="A1187" s="5" t="inlineStr">
        <is>
          <t>E02760</t>
        </is>
      </c>
      <c r="B1187" s="5" t="inlineStr">
        <is>
          <t>Male</t>
        </is>
      </c>
      <c r="C1187" s="6" t="inlineStr">
        <is>
          <t>34</t>
        </is>
      </c>
      <c r="D1187" s="5" t="inlineStr">
        <is>
          <t>Married</t>
        </is>
      </c>
      <c r="E1187" s="5" t="inlineStr">
        <is>
          <t>High School</t>
        </is>
      </c>
      <c r="F1187" s="5" t="inlineStr">
        <is>
          <t>IT</t>
        </is>
      </c>
      <c r="G1187" s="5" t="inlineStr">
        <is>
          <t>Software Engineer</t>
        </is>
      </c>
      <c r="H1187" s="5" t="inlineStr">
        <is>
          <t>3</t>
        </is>
      </c>
      <c r="I1187" s="5" t="inlineStr">
        <is>
          <t>Hyderabad</t>
        </is>
      </c>
      <c r="J1187" s="5" t="inlineStr">
        <is>
          <t>Full-Time</t>
        </is>
      </c>
      <c r="K1187" s="7" t="n">
        <v>45537</v>
      </c>
      <c r="L1187" s="7" t="inlineStr"/>
      <c r="M1187" s="5" t="inlineStr">
        <is>
          <t>Yes</t>
        </is>
      </c>
      <c r="N1187" s="5" t="inlineStr"/>
      <c r="O1187" s="8" t="inlineStr">
        <is>
          <t>111000</t>
        </is>
      </c>
      <c r="P1187" s="5" t="inlineStr">
        <is>
          <t>0</t>
        </is>
      </c>
      <c r="Q1187" s="5" t="inlineStr">
        <is>
          <t>4</t>
        </is>
      </c>
      <c r="R1187" s="5" t="inlineStr">
        <is>
          <t>6</t>
        </is>
      </c>
      <c r="S1187" s="5" t="inlineStr">
        <is>
          <t>16</t>
        </is>
      </c>
      <c r="T1187" s="5" t="inlineStr">
        <is>
          <t>0</t>
        </is>
      </c>
      <c r="U1187" s="5" t="inlineStr">
        <is>
          <t>OK</t>
        </is>
      </c>
    </row>
    <row r="1188">
      <c r="A1188" s="5" t="inlineStr">
        <is>
          <t>E00091</t>
        </is>
      </c>
      <c r="B1188" s="5" t="inlineStr">
        <is>
          <t>Male</t>
        </is>
      </c>
      <c r="C1188" s="6" t="inlineStr">
        <is>
          <t>27</t>
        </is>
      </c>
      <c r="D1188" s="5" t="inlineStr">
        <is>
          <t>Married</t>
        </is>
      </c>
      <c r="E1188" s="5" t="inlineStr">
        <is>
          <t>Diploma</t>
        </is>
      </c>
      <c r="F1188" s="5" t="inlineStr">
        <is>
          <t>Research &amp; Development</t>
        </is>
      </c>
      <c r="G1188" s="5" t="inlineStr">
        <is>
          <t>Research Scientist</t>
        </is>
      </c>
      <c r="H1188" s="5" t="inlineStr">
        <is>
          <t>3</t>
        </is>
      </c>
      <c r="I1188" s="5" t="inlineStr">
        <is>
          <t>Hyderabad</t>
        </is>
      </c>
      <c r="J1188" s="5" t="inlineStr">
        <is>
          <t>Part-Time</t>
        </is>
      </c>
      <c r="K1188" s="7" t="n">
        <v>45738</v>
      </c>
      <c r="L1188" s="7" t="n">
        <v>45842</v>
      </c>
      <c r="M1188" s="5" t="inlineStr">
        <is>
          <t>No</t>
        </is>
      </c>
      <c r="N1188" s="5" t="inlineStr">
        <is>
          <t>Resigned</t>
        </is>
      </c>
      <c r="O1188" s="8" t="inlineStr">
        <is>
          <t>205000</t>
        </is>
      </c>
      <c r="P1188" s="5" t="inlineStr">
        <is>
          <t>15</t>
        </is>
      </c>
      <c r="Q1188" s="5" t="inlineStr">
        <is>
          <t>4</t>
        </is>
      </c>
      <c r="R1188" s="5" t="inlineStr">
        <is>
          <t>7</t>
        </is>
      </c>
      <c r="S1188" s="5" t="inlineStr">
        <is>
          <t>3</t>
        </is>
      </c>
      <c r="T1188" s="5" t="inlineStr">
        <is>
          <t>0</t>
        </is>
      </c>
      <c r="U1188" s="5" t="inlineStr">
        <is>
          <t>OK</t>
        </is>
      </c>
    </row>
    <row r="1189">
      <c r="A1189" s="5" t="inlineStr">
        <is>
          <t>E02529</t>
        </is>
      </c>
      <c r="B1189" s="5" t="inlineStr">
        <is>
          <t>Male</t>
        </is>
      </c>
      <c r="C1189" s="6" t="inlineStr">
        <is>
          <t>36</t>
        </is>
      </c>
      <c r="D1189" s="5" t="inlineStr">
        <is>
          <t>Married</t>
        </is>
      </c>
      <c r="E1189" s="5" t="inlineStr">
        <is>
          <t>High School</t>
        </is>
      </c>
      <c r="F1189" s="5" t="inlineStr">
        <is>
          <t>Operations</t>
        </is>
      </c>
      <c r="G1189" s="5" t="inlineStr">
        <is>
          <t>Logistics Coordinator</t>
        </is>
      </c>
      <c r="H1189" s="5" t="inlineStr">
        <is>
          <t>7</t>
        </is>
      </c>
      <c r="I1189" s="5" t="inlineStr">
        <is>
          <t>Delhi</t>
        </is>
      </c>
      <c r="J1189" s="5" t="inlineStr">
        <is>
          <t>Full-Time</t>
        </is>
      </c>
      <c r="K1189" s="7" t="n">
        <v>45261</v>
      </c>
      <c r="L1189" s="7" t="n">
        <v>45339</v>
      </c>
      <c r="M1189" s="5" t="inlineStr">
        <is>
          <t>No</t>
        </is>
      </c>
      <c r="N1189" s="5" t="inlineStr">
        <is>
          <t>Resigned</t>
        </is>
      </c>
      <c r="O1189" s="8" t="inlineStr">
        <is>
          <t>179500</t>
        </is>
      </c>
      <c r="P1189" s="5" t="inlineStr">
        <is>
          <t>10</t>
        </is>
      </c>
      <c r="Q1189" s="5" t="inlineStr">
        <is>
          <t>3</t>
        </is>
      </c>
      <c r="R1189" s="5" t="inlineStr">
        <is>
          <t>2</t>
        </is>
      </c>
      <c r="S1189" s="5" t="inlineStr">
        <is>
          <t>2</t>
        </is>
      </c>
      <c r="T1189" s="5" t="inlineStr">
        <is>
          <t>0</t>
        </is>
      </c>
      <c r="U1189" s="5" t="inlineStr">
        <is>
          <t>OK</t>
        </is>
      </c>
    </row>
    <row r="1190">
      <c r="A1190" s="5" t="inlineStr">
        <is>
          <t>E02124</t>
        </is>
      </c>
      <c r="B1190" s="5" t="inlineStr">
        <is>
          <t>Male</t>
        </is>
      </c>
      <c r="C1190" s="6" t="inlineStr">
        <is>
          <t>33</t>
        </is>
      </c>
      <c r="D1190" s="5" t="inlineStr">
        <is>
          <t>Married</t>
        </is>
      </c>
      <c r="E1190" s="5" t="inlineStr">
        <is>
          <t>PhD</t>
        </is>
      </c>
      <c r="F1190" s="5" t="inlineStr">
        <is>
          <t>Operations</t>
        </is>
      </c>
      <c r="G1190" s="5" t="inlineStr">
        <is>
          <t>Operations Analyst</t>
        </is>
      </c>
      <c r="H1190" s="5" t="inlineStr">
        <is>
          <t>2</t>
        </is>
      </c>
      <c r="I1190" s="5" t="inlineStr">
        <is>
          <t>Hyderabad</t>
        </is>
      </c>
      <c r="J1190" s="5" t="inlineStr">
        <is>
          <t>Full-Time</t>
        </is>
      </c>
      <c r="K1190" s="7" t="n">
        <v>44266</v>
      </c>
      <c r="L1190" s="7" t="inlineStr"/>
      <c r="M1190" s="5" t="inlineStr">
        <is>
          <t>Yes</t>
        </is>
      </c>
      <c r="N1190" s="5" t="inlineStr"/>
      <c r="O1190" s="8" t="inlineStr">
        <is>
          <t>80500</t>
        </is>
      </c>
      <c r="P1190" s="5" t="inlineStr">
        <is>
          <t>5</t>
        </is>
      </c>
      <c r="Q1190" s="5" t="inlineStr">
        <is>
          <t>3</t>
        </is>
      </c>
      <c r="R1190" s="5" t="inlineStr">
        <is>
          <t>4</t>
        </is>
      </c>
      <c r="S1190" s="5" t="inlineStr">
        <is>
          <t>58</t>
        </is>
      </c>
      <c r="T1190" s="5" t="inlineStr">
        <is>
          <t>10</t>
        </is>
      </c>
      <c r="U1190" s="5" t="inlineStr">
        <is>
          <t>OK</t>
        </is>
      </c>
    </row>
    <row r="1191">
      <c r="A1191" s="5" t="inlineStr">
        <is>
          <t>E02468</t>
        </is>
      </c>
      <c r="B1191" s="5" t="inlineStr">
        <is>
          <t>Male</t>
        </is>
      </c>
      <c r="C1191" s="6" t="inlineStr">
        <is>
          <t>41</t>
        </is>
      </c>
      <c r="D1191" s="5" t="inlineStr">
        <is>
          <t>Married</t>
        </is>
      </c>
      <c r="E1191" s="5" t="inlineStr">
        <is>
          <t>Bachelor</t>
        </is>
      </c>
      <c r="F1191" s="5" t="inlineStr">
        <is>
          <t>Operations</t>
        </is>
      </c>
      <c r="G1191" s="5" t="inlineStr">
        <is>
          <t>Logistics Coordinator</t>
        </is>
      </c>
      <c r="H1191" s="5" t="inlineStr">
        <is>
          <t>5</t>
        </is>
      </c>
      <c r="I1191" s="5" t="inlineStr">
        <is>
          <t>Delhi</t>
        </is>
      </c>
      <c r="J1191" s="5" t="inlineStr">
        <is>
          <t>Full-Time</t>
        </is>
      </c>
      <c r="K1191" s="7" t="n">
        <v>44788</v>
      </c>
      <c r="L1191" s="7" t="inlineStr"/>
      <c r="M1191" s="5" t="inlineStr">
        <is>
          <t>Yes</t>
        </is>
      </c>
      <c r="N1191" s="5" t="inlineStr"/>
      <c r="O1191" s="8" t="inlineStr">
        <is>
          <t>87500</t>
        </is>
      </c>
      <c r="P1191" s="5" t="inlineStr">
        <is>
          <t>0</t>
        </is>
      </c>
      <c r="Q1191" s="5" t="inlineStr">
        <is>
          <t>3</t>
        </is>
      </c>
      <c r="R1191" s="5" t="inlineStr">
        <is>
          <t>8</t>
        </is>
      </c>
      <c r="S1191" s="5" t="inlineStr">
        <is>
          <t>41</t>
        </is>
      </c>
      <c r="T1191" s="5" t="inlineStr">
        <is>
          <t>4</t>
        </is>
      </c>
      <c r="U1191" s="5" t="inlineStr">
        <is>
          <t>OK</t>
        </is>
      </c>
    </row>
    <row r="1192">
      <c r="A1192" s="5" t="inlineStr">
        <is>
          <t>E01574</t>
        </is>
      </c>
      <c r="B1192" s="5" t="inlineStr">
        <is>
          <t>Female</t>
        </is>
      </c>
      <c r="C1192" s="6" t="inlineStr">
        <is>
          <t>23</t>
        </is>
      </c>
      <c r="D1192" s="5" t="inlineStr">
        <is>
          <t>Married</t>
        </is>
      </c>
      <c r="E1192" s="5" t="inlineStr">
        <is>
          <t>Diploma</t>
        </is>
      </c>
      <c r="F1192" s="5" t="inlineStr">
        <is>
          <t>Human Resources</t>
        </is>
      </c>
      <c r="G1192" s="5" t="inlineStr">
        <is>
          <t>Recruiter</t>
        </is>
      </c>
      <c r="H1192" s="5" t="inlineStr">
        <is>
          <t>1</t>
        </is>
      </c>
      <c r="I1192" s="5" t="inlineStr">
        <is>
          <t>Remote</t>
        </is>
      </c>
      <c r="J1192" s="5" t="inlineStr">
        <is>
          <t>Full-Time</t>
        </is>
      </c>
      <c r="K1192" s="7" t="n">
        <v>44994</v>
      </c>
      <c r="L1192" s="7" t="inlineStr"/>
      <c r="M1192" s="5" t="inlineStr">
        <is>
          <t>Yes</t>
        </is>
      </c>
      <c r="N1192" s="5" t="inlineStr"/>
      <c r="O1192" s="8" t="inlineStr">
        <is>
          <t>90500</t>
        </is>
      </c>
      <c r="P1192" s="5" t="inlineStr">
        <is>
          <t>0</t>
        </is>
      </c>
      <c r="Q1192" s="5" t="inlineStr">
        <is>
          <t>4</t>
        </is>
      </c>
      <c r="R1192" s="5" t="inlineStr">
        <is>
          <t>8</t>
        </is>
      </c>
      <c r="S1192" s="5" t="inlineStr">
        <is>
          <t>34</t>
        </is>
      </c>
      <c r="T1192" s="5" t="inlineStr">
        <is>
          <t>16</t>
        </is>
      </c>
      <c r="U1192" s="5" t="inlineStr">
        <is>
          <t>OK</t>
        </is>
      </c>
    </row>
    <row r="1193">
      <c r="A1193" s="5" t="inlineStr">
        <is>
          <t>E00889</t>
        </is>
      </c>
      <c r="B1193" s="5" t="inlineStr">
        <is>
          <t>Female</t>
        </is>
      </c>
      <c r="C1193" s="6" t="inlineStr">
        <is>
          <t>34</t>
        </is>
      </c>
      <c r="D1193" s="5" t="inlineStr">
        <is>
          <t>Married</t>
        </is>
      </c>
      <c r="E1193" s="5" t="inlineStr">
        <is>
          <t>High School</t>
        </is>
      </c>
      <c r="F1193" s="5" t="inlineStr">
        <is>
          <t>Operations</t>
        </is>
      </c>
      <c r="G1193" s="5" t="inlineStr">
        <is>
          <t>Operations Analyst</t>
        </is>
      </c>
      <c r="H1193" s="5" t="inlineStr">
        <is>
          <t>3</t>
        </is>
      </c>
      <c r="I1193" s="5" t="inlineStr">
        <is>
          <t>Chennai</t>
        </is>
      </c>
      <c r="J1193" s="5" t="inlineStr">
        <is>
          <t>Full-Time</t>
        </is>
      </c>
      <c r="K1193" s="7" t="n">
        <v>45071</v>
      </c>
      <c r="L1193" s="7" t="inlineStr"/>
      <c r="M1193" s="5" t="inlineStr">
        <is>
          <t>Yes</t>
        </is>
      </c>
      <c r="N1193" s="5" t="inlineStr"/>
      <c r="O1193" s="8" t="inlineStr">
        <is>
          <t>121000</t>
        </is>
      </c>
      <c r="P1193" s="5" t="inlineStr">
        <is>
          <t>15</t>
        </is>
      </c>
      <c r="Q1193" s="5" t="inlineStr">
        <is>
          <t>3</t>
        </is>
      </c>
      <c r="R1193" s="5" t="inlineStr">
        <is>
          <t>5</t>
        </is>
      </c>
      <c r="S1193" s="5" t="inlineStr">
        <is>
          <t>31</t>
        </is>
      </c>
      <c r="T1193" s="5" t="inlineStr">
        <is>
          <t>8</t>
        </is>
      </c>
      <c r="U1193" s="5" t="inlineStr">
        <is>
          <t>OK</t>
        </is>
      </c>
    </row>
    <row r="1194">
      <c r="A1194" s="5" t="inlineStr">
        <is>
          <t>E00918</t>
        </is>
      </c>
      <c r="B1194" s="5" t="inlineStr">
        <is>
          <t>Male</t>
        </is>
      </c>
      <c r="C1194" s="6" t="inlineStr">
        <is>
          <t>35</t>
        </is>
      </c>
      <c r="D1194" s="5" t="inlineStr">
        <is>
          <t>Married</t>
        </is>
      </c>
      <c r="E1194" s="5" t="inlineStr">
        <is>
          <t>High School</t>
        </is>
      </c>
      <c r="F1194" s="5" t="inlineStr">
        <is>
          <t>Human Resources</t>
        </is>
      </c>
      <c r="G1194" s="5" t="inlineStr">
        <is>
          <t>Recruiter</t>
        </is>
      </c>
      <c r="H1194" s="5" t="inlineStr">
        <is>
          <t>4</t>
        </is>
      </c>
      <c r="I1194" s="5" t="inlineStr">
        <is>
          <t>Delhi</t>
        </is>
      </c>
      <c r="J1194" s="5" t="inlineStr">
        <is>
          <t>Full-Time</t>
        </is>
      </c>
      <c r="K1194" s="7" t="n">
        <v>45594</v>
      </c>
      <c r="L1194" s="7" t="inlineStr"/>
      <c r="M1194" s="5" t="inlineStr">
        <is>
          <t>Yes</t>
        </is>
      </c>
      <c r="N1194" s="5" t="inlineStr"/>
      <c r="O1194" s="8" t="inlineStr">
        <is>
          <t>106500</t>
        </is>
      </c>
      <c r="P1194" s="5" t="inlineStr">
        <is>
          <t>5</t>
        </is>
      </c>
      <c r="Q1194" s="5" t="inlineStr">
        <is>
          <t>5</t>
        </is>
      </c>
      <c r="R1194" s="5" t="inlineStr">
        <is>
          <t>6</t>
        </is>
      </c>
      <c r="S1194" s="5" t="inlineStr">
        <is>
          <t>14</t>
        </is>
      </c>
      <c r="T1194" s="5" t="inlineStr">
        <is>
          <t>13</t>
        </is>
      </c>
      <c r="U1194" s="5" t="inlineStr">
        <is>
          <t>OK</t>
        </is>
      </c>
    </row>
    <row r="1195">
      <c r="A1195" s="5" t="inlineStr">
        <is>
          <t>E00395</t>
        </is>
      </c>
      <c r="B1195" s="5" t="inlineStr">
        <is>
          <t>Female</t>
        </is>
      </c>
      <c r="C1195" s="6" t="inlineStr">
        <is>
          <t>39</t>
        </is>
      </c>
      <c r="D1195" s="5" t="inlineStr">
        <is>
          <t>Single</t>
        </is>
      </c>
      <c r="E1195" s="5" t="inlineStr">
        <is>
          <t>Bachelor</t>
        </is>
      </c>
      <c r="F1195" s="5" t="inlineStr">
        <is>
          <t>Human Resources</t>
        </is>
      </c>
      <c r="G1195" s="5" t="inlineStr">
        <is>
          <t>HR Analyst</t>
        </is>
      </c>
      <c r="H1195" s="5" t="inlineStr">
        <is>
          <t>7</t>
        </is>
      </c>
      <c r="I1195" s="5" t="inlineStr">
        <is>
          <t>Chennai</t>
        </is>
      </c>
      <c r="J1195" s="5" t="inlineStr">
        <is>
          <t>Full-Time</t>
        </is>
      </c>
      <c r="K1195" s="7" t="n">
        <v>45703</v>
      </c>
      <c r="L1195" s="7" t="inlineStr"/>
      <c r="M1195" s="5" t="inlineStr">
        <is>
          <t>Yes</t>
        </is>
      </c>
      <c r="N1195" s="5" t="inlineStr"/>
      <c r="O1195" s="8" t="inlineStr">
        <is>
          <t>157000</t>
        </is>
      </c>
      <c r="P1195" s="5" t="inlineStr">
        <is>
          <t>15</t>
        </is>
      </c>
      <c r="Q1195" s="5" t="inlineStr">
        <is>
          <t>4</t>
        </is>
      </c>
      <c r="R1195" s="5" t="inlineStr">
        <is>
          <t>7</t>
        </is>
      </c>
      <c r="S1195" s="5" t="inlineStr">
        <is>
          <t>10</t>
        </is>
      </c>
      <c r="T1195" s="5" t="inlineStr">
        <is>
          <t>15</t>
        </is>
      </c>
      <c r="U1195" s="5" t="inlineStr">
        <is>
          <t>OK</t>
        </is>
      </c>
    </row>
    <row r="1196">
      <c r="A1196" s="5" t="inlineStr">
        <is>
          <t>E02210</t>
        </is>
      </c>
      <c r="B1196" s="5" t="inlineStr">
        <is>
          <t>Female</t>
        </is>
      </c>
      <c r="C1196" s="6" t="inlineStr">
        <is>
          <t>31</t>
        </is>
      </c>
      <c r="D1196" s="5" t="inlineStr">
        <is>
          <t>Married</t>
        </is>
      </c>
      <c r="E1196" s="5" t="inlineStr">
        <is>
          <t>High School</t>
        </is>
      </c>
      <c r="F1196" s="5" t="inlineStr">
        <is>
          <t>Sales</t>
        </is>
      </c>
      <c r="G1196" s="5" t="inlineStr">
        <is>
          <t>Sales Executive</t>
        </is>
      </c>
      <c r="H1196" s="5" t="inlineStr">
        <is>
          <t>4</t>
        </is>
      </c>
      <c r="I1196" s="5" t="inlineStr">
        <is>
          <t>Delhi</t>
        </is>
      </c>
      <c r="J1196" s="5" t="inlineStr">
        <is>
          <t>Full-Time</t>
        </is>
      </c>
      <c r="K1196" s="7" t="n">
        <v>44446</v>
      </c>
      <c r="L1196" s="7" t="inlineStr"/>
      <c r="M1196" s="5" t="inlineStr">
        <is>
          <t>Yes</t>
        </is>
      </c>
      <c r="N1196" s="5" t="inlineStr"/>
      <c r="O1196" s="8" t="inlineStr">
        <is>
          <t>124500</t>
        </is>
      </c>
      <c r="P1196" s="5" t="inlineStr">
        <is>
          <t>0</t>
        </is>
      </c>
      <c r="Q1196" s="5" t="inlineStr">
        <is>
          <t>3</t>
        </is>
      </c>
      <c r="R1196" s="5" t="inlineStr">
        <is>
          <t>5</t>
        </is>
      </c>
      <c r="S1196" s="5" t="inlineStr">
        <is>
          <t>52</t>
        </is>
      </c>
      <c r="T1196" s="5" t="inlineStr">
        <is>
          <t>17</t>
        </is>
      </c>
      <c r="U1196" s="5" t="inlineStr">
        <is>
          <t>OK</t>
        </is>
      </c>
    </row>
    <row r="1197">
      <c r="A1197" s="5" t="inlineStr">
        <is>
          <t>E00613</t>
        </is>
      </c>
      <c r="B1197" s="5" t="inlineStr">
        <is>
          <t>Female</t>
        </is>
      </c>
      <c r="C1197" s="6" t="inlineStr">
        <is>
          <t>42</t>
        </is>
      </c>
      <c r="D1197" s="5" t="inlineStr">
        <is>
          <t>Single</t>
        </is>
      </c>
      <c r="E1197" s="5" t="inlineStr">
        <is>
          <t>Bachelor</t>
        </is>
      </c>
      <c r="F1197" s="5" t="inlineStr">
        <is>
          <t>Research &amp; Development</t>
        </is>
      </c>
      <c r="G1197" s="5" t="inlineStr">
        <is>
          <t>Research Scientist</t>
        </is>
      </c>
      <c r="H1197" s="5" t="inlineStr">
        <is>
          <t>7</t>
        </is>
      </c>
      <c r="I1197" s="5" t="inlineStr">
        <is>
          <t>Chennai</t>
        </is>
      </c>
      <c r="J1197" s="5" t="inlineStr">
        <is>
          <t>Full-Time</t>
        </is>
      </c>
      <c r="K1197" s="7" t="n">
        <v>43952</v>
      </c>
      <c r="L1197" s="7" t="inlineStr"/>
      <c r="M1197" s="5" t="inlineStr">
        <is>
          <t>Yes</t>
        </is>
      </c>
      <c r="N1197" s="5" t="inlineStr"/>
      <c r="O1197" s="8" t="inlineStr">
        <is>
          <t>199000</t>
        </is>
      </c>
      <c r="P1197" s="5" t="inlineStr">
        <is>
          <t>20</t>
        </is>
      </c>
      <c r="Q1197" s="5" t="inlineStr">
        <is>
          <t>4</t>
        </is>
      </c>
      <c r="R1197" s="5" t="inlineStr">
        <is>
          <t>6</t>
        </is>
      </c>
      <c r="S1197" s="5" t="inlineStr">
        <is>
          <t>69</t>
        </is>
      </c>
      <c r="T1197" s="5" t="inlineStr">
        <is>
          <t>1</t>
        </is>
      </c>
      <c r="U1197" s="5" t="inlineStr">
        <is>
          <t>OK</t>
        </is>
      </c>
    </row>
    <row r="1198">
      <c r="A1198" s="5" t="inlineStr">
        <is>
          <t>E00537</t>
        </is>
      </c>
      <c r="B1198" s="5" t="inlineStr">
        <is>
          <t>Male</t>
        </is>
      </c>
      <c r="C1198" s="6" t="inlineStr">
        <is>
          <t>36</t>
        </is>
      </c>
      <c r="D1198" s="5" t="inlineStr">
        <is>
          <t>Married</t>
        </is>
      </c>
      <c r="E1198" s="5" t="inlineStr">
        <is>
          <t>Bachelor</t>
        </is>
      </c>
      <c r="F1198" s="5" t="inlineStr">
        <is>
          <t>Research &amp; Development</t>
        </is>
      </c>
      <c r="G1198" s="5" t="inlineStr">
        <is>
          <t>Product Engineer</t>
        </is>
      </c>
      <c r="H1198" s="5" t="inlineStr">
        <is>
          <t>2</t>
        </is>
      </c>
      <c r="I1198" s="5" t="inlineStr">
        <is>
          <t>Hyderabad</t>
        </is>
      </c>
      <c r="J1198" s="5" t="inlineStr">
        <is>
          <t>Full-Time</t>
        </is>
      </c>
      <c r="K1198" s="7" t="n">
        <v>44903</v>
      </c>
      <c r="L1198" s="7" t="inlineStr"/>
      <c r="M1198" s="5" t="inlineStr">
        <is>
          <t>Yes</t>
        </is>
      </c>
      <c r="N1198" s="5" t="inlineStr"/>
      <c r="O1198" s="8" t="inlineStr">
        <is>
          <t>150500</t>
        </is>
      </c>
      <c r="P1198" s="5" t="inlineStr">
        <is>
          <t>0</t>
        </is>
      </c>
      <c r="Q1198" s="5" t="inlineStr">
        <is>
          <t>4</t>
        </is>
      </c>
      <c r="R1198" s="5" t="inlineStr">
        <is>
          <t>3</t>
        </is>
      </c>
      <c r="S1198" s="5" t="inlineStr">
        <is>
          <t>37</t>
        </is>
      </c>
      <c r="T1198" s="5" t="inlineStr">
        <is>
          <t>0</t>
        </is>
      </c>
      <c r="U1198" s="5" t="inlineStr">
        <is>
          <t>OK</t>
        </is>
      </c>
    </row>
    <row r="1199">
      <c r="A1199" s="5" t="inlineStr">
        <is>
          <t>E02144</t>
        </is>
      </c>
      <c r="B1199" s="5" t="inlineStr">
        <is>
          <t>male</t>
        </is>
      </c>
      <c r="C1199" s="6" t="inlineStr">
        <is>
          <t>35</t>
        </is>
      </c>
      <c r="D1199" s="5" t="inlineStr">
        <is>
          <t>Married</t>
        </is>
      </c>
      <c r="E1199" s="5" t="inlineStr">
        <is>
          <t>High School</t>
        </is>
      </c>
      <c r="F1199" s="5" t="inlineStr">
        <is>
          <t>Marketing</t>
        </is>
      </c>
      <c r="G1199" s="5" t="inlineStr">
        <is>
          <t>SEO Specialist</t>
        </is>
      </c>
      <c r="H1199" s="5" t="inlineStr">
        <is>
          <t>2</t>
        </is>
      </c>
      <c r="I1199" s="5" t="inlineStr">
        <is>
          <t>Delhi</t>
        </is>
      </c>
      <c r="J1199" s="5" t="inlineStr">
        <is>
          <t>Full-Time</t>
        </is>
      </c>
      <c r="K1199" s="7" t="n">
        <v>44884</v>
      </c>
      <c r="L1199" s="7" t="inlineStr"/>
      <c r="M1199" s="5" t="inlineStr">
        <is>
          <t>Yes</t>
        </is>
      </c>
      <c r="N1199" s="5" t="inlineStr"/>
      <c r="O1199" s="8" t="inlineStr">
        <is>
          <t>103000</t>
        </is>
      </c>
      <c r="P1199" s="5" t="inlineStr">
        <is>
          <t>0</t>
        </is>
      </c>
      <c r="Q1199" s="5" t="inlineStr">
        <is>
          <t>4</t>
        </is>
      </c>
      <c r="R1199" s="5" t="inlineStr">
        <is>
          <t>8</t>
        </is>
      </c>
      <c r="S1199" s="5" t="inlineStr">
        <is>
          <t>37</t>
        </is>
      </c>
      <c r="T1199" s="5" t="inlineStr">
        <is>
          <t>12</t>
        </is>
      </c>
      <c r="U1199" s="5" t="inlineStr">
        <is>
          <t>OK</t>
        </is>
      </c>
    </row>
    <row r="1200">
      <c r="A1200" s="5" t="inlineStr">
        <is>
          <t>E01058</t>
        </is>
      </c>
      <c r="B1200" s="5" t="inlineStr">
        <is>
          <t>Male</t>
        </is>
      </c>
      <c r="C1200" s="6" t="inlineStr">
        <is>
          <t>33</t>
        </is>
      </c>
      <c r="D1200" s="5" t="inlineStr">
        <is>
          <t>Married</t>
        </is>
      </c>
      <c r="E1200" s="5" t="inlineStr">
        <is>
          <t>PhD</t>
        </is>
      </c>
      <c r="F1200" s="5" t="inlineStr">
        <is>
          <t>Sales</t>
        </is>
      </c>
      <c r="G1200" s="5" t="inlineStr">
        <is>
          <t>Business Development</t>
        </is>
      </c>
      <c r="H1200" s="5" t="inlineStr">
        <is>
          <t>4</t>
        </is>
      </c>
      <c r="I1200" s="5" t="inlineStr">
        <is>
          <t>Hyderabad</t>
        </is>
      </c>
      <c r="J1200" s="5" t="inlineStr">
        <is>
          <t>Part-Time</t>
        </is>
      </c>
      <c r="K1200" s="7" t="n">
        <v>45599</v>
      </c>
      <c r="L1200" s="7" t="inlineStr"/>
      <c r="M1200" s="5" t="inlineStr">
        <is>
          <t>Yes</t>
        </is>
      </c>
      <c r="N1200" s="5" t="inlineStr"/>
      <c r="O1200" s="8" t="inlineStr">
        <is>
          <t>125500</t>
        </is>
      </c>
      <c r="P1200" s="5" t="inlineStr">
        <is>
          <t>10</t>
        </is>
      </c>
      <c r="Q1200" s="5" t="inlineStr">
        <is>
          <t>4</t>
        </is>
      </c>
      <c r="R1200" s="5" t="inlineStr">
        <is>
          <t>6</t>
        </is>
      </c>
      <c r="S1200" s="5" t="inlineStr">
        <is>
          <t>14</t>
        </is>
      </c>
      <c r="T1200" s="5" t="inlineStr">
        <is>
          <t>4</t>
        </is>
      </c>
      <c r="U1200" s="5" t="inlineStr">
        <is>
          <t>OK</t>
        </is>
      </c>
    </row>
    <row r="1201">
      <c r="A1201" s="5" t="inlineStr">
        <is>
          <t>E01974</t>
        </is>
      </c>
      <c r="B1201" s="5" t="inlineStr">
        <is>
          <t>Female</t>
        </is>
      </c>
      <c r="C1201" s="6" t="inlineStr">
        <is>
          <t>27</t>
        </is>
      </c>
      <c r="D1201" s="5" t="inlineStr">
        <is>
          <t>Divorced</t>
        </is>
      </c>
      <c r="E1201" s="5" t="inlineStr">
        <is>
          <t>High School</t>
        </is>
      </c>
      <c r="F1201" s="5" t="inlineStr">
        <is>
          <t>Customer Support</t>
        </is>
      </c>
      <c r="G1201" s="5" t="inlineStr">
        <is>
          <t>Support Lead</t>
        </is>
      </c>
      <c r="H1201" s="5" t="inlineStr">
        <is>
          <t>3</t>
        </is>
      </c>
      <c r="I1201" s="5" t="inlineStr">
        <is>
          <t>Bengaluru</t>
        </is>
      </c>
      <c r="J1201" s="5" t="inlineStr">
        <is>
          <t>Full-Time</t>
        </is>
      </c>
      <c r="K1201" s="7" t="n">
        <v>44023</v>
      </c>
      <c r="L1201" s="7" t="inlineStr"/>
      <c r="M1201" s="5" t="inlineStr">
        <is>
          <t>Yes</t>
        </is>
      </c>
      <c r="N1201" s="5" t="inlineStr"/>
      <c r="O1201" s="8" t="inlineStr">
        <is>
          <t>94000</t>
        </is>
      </c>
      <c r="P1201" s="5" t="inlineStr">
        <is>
          <t>0</t>
        </is>
      </c>
      <c r="Q1201" s="5" t="inlineStr">
        <is>
          <t>4</t>
        </is>
      </c>
      <c r="R1201" s="5" t="inlineStr">
        <is>
          <t>7</t>
        </is>
      </c>
      <c r="S1201" s="5" t="inlineStr">
        <is>
          <t>66</t>
        </is>
      </c>
      <c r="T1201" s="5" t="inlineStr">
        <is>
          <t>0</t>
        </is>
      </c>
      <c r="U1201" s="5" t="inlineStr">
        <is>
          <t>OK</t>
        </is>
      </c>
    </row>
    <row r="1202">
      <c r="A1202" s="5" t="inlineStr">
        <is>
          <t>E01686</t>
        </is>
      </c>
      <c r="B1202" s="5" t="inlineStr">
        <is>
          <t>Male</t>
        </is>
      </c>
      <c r="C1202" s="6" t="inlineStr">
        <is>
          <t>29</t>
        </is>
      </c>
      <c r="D1202" s="5" t="inlineStr">
        <is>
          <t>Married</t>
        </is>
      </c>
      <c r="E1202" s="5" t="inlineStr">
        <is>
          <t>Bachelor</t>
        </is>
      </c>
      <c r="F1202" s="5" t="inlineStr">
        <is>
          <t>Human Resources</t>
        </is>
      </c>
      <c r="G1202" s="5" t="inlineStr">
        <is>
          <t>HR Analyst</t>
        </is>
      </c>
      <c r="H1202" s="5" t="inlineStr">
        <is>
          <t>4</t>
        </is>
      </c>
      <c r="I1202" s="5" t="inlineStr">
        <is>
          <t>Remote</t>
        </is>
      </c>
      <c r="J1202" s="5" t="inlineStr">
        <is>
          <t>Full-Time</t>
        </is>
      </c>
      <c r="K1202" s="7" t="n">
        <v>44396</v>
      </c>
      <c r="L1202" s="7" t="inlineStr"/>
      <c r="M1202" s="5" t="inlineStr">
        <is>
          <t>Yes</t>
        </is>
      </c>
      <c r="N1202" s="5" t="inlineStr"/>
      <c r="O1202" s="8" t="inlineStr">
        <is>
          <t>108000</t>
        </is>
      </c>
      <c r="P1202" s="5" t="inlineStr">
        <is>
          <t>0</t>
        </is>
      </c>
      <c r="Q1202" s="5" t="inlineStr">
        <is>
          <t>3</t>
        </is>
      </c>
      <c r="R1202" s="5" t="inlineStr">
        <is>
          <t>10</t>
        </is>
      </c>
      <c r="S1202" s="5" t="inlineStr">
        <is>
          <t>54</t>
        </is>
      </c>
      <c r="T1202" s="5" t="inlineStr">
        <is>
          <t>0</t>
        </is>
      </c>
      <c r="U1202" s="5" t="inlineStr">
        <is>
          <t>OK</t>
        </is>
      </c>
    </row>
    <row r="1203">
      <c r="A1203" s="5" t="inlineStr">
        <is>
          <t>E01572</t>
        </is>
      </c>
      <c r="B1203" s="5" t="inlineStr">
        <is>
          <t>Male</t>
        </is>
      </c>
      <c r="C1203" s="6" t="inlineStr">
        <is>
          <t>28</t>
        </is>
      </c>
      <c r="D1203" s="5" t="inlineStr">
        <is>
          <t>Married</t>
        </is>
      </c>
      <c r="E1203" s="5" t="inlineStr">
        <is>
          <t>High School</t>
        </is>
      </c>
      <c r="F1203" s="5" t="inlineStr">
        <is>
          <t>Human Resources</t>
        </is>
      </c>
      <c r="G1203" s="5" t="inlineStr">
        <is>
          <t>HR Generalist</t>
        </is>
      </c>
      <c r="H1203" s="5" t="inlineStr">
        <is>
          <t>2</t>
        </is>
      </c>
      <c r="I1203" s="5" t="inlineStr">
        <is>
          <t>Remote</t>
        </is>
      </c>
      <c r="J1203" s="5" t="inlineStr">
        <is>
          <t>Full-Time</t>
        </is>
      </c>
      <c r="K1203" s="7" t="n">
        <v>45311</v>
      </c>
      <c r="L1203" s="7" t="inlineStr"/>
      <c r="M1203" s="5" t="inlineStr">
        <is>
          <t>Yes</t>
        </is>
      </c>
      <c r="N1203" s="5" t="inlineStr"/>
      <c r="O1203" s="8" t="inlineStr"/>
      <c r="P1203" s="5" t="inlineStr">
        <is>
          <t>0</t>
        </is>
      </c>
      <c r="Q1203" s="5" t="inlineStr">
        <is>
          <t>3</t>
        </is>
      </c>
      <c r="R1203" s="5" t="inlineStr">
        <is>
          <t>4</t>
        </is>
      </c>
      <c r="S1203" s="5" t="inlineStr">
        <is>
          <t>23</t>
        </is>
      </c>
      <c r="T1203" s="5" t="inlineStr">
        <is>
          <t>0</t>
        </is>
      </c>
      <c r="U1203" s="5" t="inlineStr">
        <is>
          <t>Blank salary</t>
        </is>
      </c>
    </row>
    <row r="1204">
      <c r="A1204" s="5" t="inlineStr">
        <is>
          <t>E00901</t>
        </is>
      </c>
      <c r="B1204" s="5" t="inlineStr">
        <is>
          <t>Female</t>
        </is>
      </c>
      <c r="C1204" s="6" t="inlineStr">
        <is>
          <t>31</t>
        </is>
      </c>
      <c r="D1204" s="5" t="inlineStr">
        <is>
          <t>Married</t>
        </is>
      </c>
      <c r="E1204" s="5" t="inlineStr">
        <is>
          <t>High School</t>
        </is>
      </c>
      <c r="F1204" s="5" t="inlineStr">
        <is>
          <t>Operations</t>
        </is>
      </c>
      <c r="G1204" s="5" t="inlineStr">
        <is>
          <t>Quality Analyst</t>
        </is>
      </c>
      <c r="H1204" s="5" t="inlineStr">
        <is>
          <t>2</t>
        </is>
      </c>
      <c r="I1204" s="5" t="inlineStr">
        <is>
          <t>Bengaluru</t>
        </is>
      </c>
      <c r="J1204" s="5" t="inlineStr">
        <is>
          <t>Full-Time</t>
        </is>
      </c>
      <c r="K1204" s="7" t="n">
        <v>44676</v>
      </c>
      <c r="L1204" s="7" t="inlineStr"/>
      <c r="M1204" s="5" t="inlineStr">
        <is>
          <t>Yes</t>
        </is>
      </c>
      <c r="N1204" s="5" t="inlineStr"/>
      <c r="O1204" s="8" t="inlineStr">
        <is>
          <t>68000</t>
        </is>
      </c>
      <c r="P1204" s="5" t="inlineStr">
        <is>
          <t>0</t>
        </is>
      </c>
      <c r="Q1204" s="5" t="inlineStr">
        <is>
          <t>5</t>
        </is>
      </c>
      <c r="R1204" s="5" t="inlineStr">
        <is>
          <t>5</t>
        </is>
      </c>
      <c r="S1204" s="5" t="inlineStr">
        <is>
          <t>44</t>
        </is>
      </c>
      <c r="T1204" s="5" t="inlineStr">
        <is>
          <t>6</t>
        </is>
      </c>
      <c r="U1204" s="5" t="inlineStr">
        <is>
          <t>OK</t>
        </is>
      </c>
    </row>
    <row r="1205">
      <c r="A1205" s="5" t="inlineStr">
        <is>
          <t>E00371</t>
        </is>
      </c>
      <c r="B1205" s="5" t="inlineStr">
        <is>
          <t>Female</t>
        </is>
      </c>
      <c r="C1205" s="6" t="inlineStr">
        <is>
          <t>24</t>
        </is>
      </c>
      <c r="D1205" s="5" t="inlineStr">
        <is>
          <t>Single</t>
        </is>
      </c>
      <c r="E1205" s="5" t="inlineStr">
        <is>
          <t>Diploma</t>
        </is>
      </c>
      <c r="F1205" s="5" t="inlineStr">
        <is>
          <t>Customer Support</t>
        </is>
      </c>
      <c r="G1205" s="5" t="inlineStr">
        <is>
          <t>Escalation Specialist</t>
        </is>
      </c>
      <c r="H1205" s="5" t="inlineStr">
        <is>
          <t>1</t>
        </is>
      </c>
      <c r="I1205" s="5" t="inlineStr">
        <is>
          <t>Delhi</t>
        </is>
      </c>
      <c r="J1205" s="5" t="inlineStr">
        <is>
          <t>Full-Time</t>
        </is>
      </c>
      <c r="K1205" s="7" t="n">
        <v>45127</v>
      </c>
      <c r="L1205" s="7" t="inlineStr"/>
      <c r="M1205" s="5" t="inlineStr">
        <is>
          <t>Yes</t>
        </is>
      </c>
      <c r="N1205" s="5" t="inlineStr"/>
      <c r="O1205" s="8" t="inlineStr">
        <is>
          <t>57000</t>
        </is>
      </c>
      <c r="P1205" s="5" t="inlineStr">
        <is>
          <t>10</t>
        </is>
      </c>
      <c r="Q1205" s="5" t="inlineStr">
        <is>
          <t>2</t>
        </is>
      </c>
      <c r="R1205" s="5" t="inlineStr">
        <is>
          <t>5</t>
        </is>
      </c>
      <c r="S1205" s="5" t="inlineStr">
        <is>
          <t>29</t>
        </is>
      </c>
      <c r="T1205" s="5" t="inlineStr">
        <is>
          <t>10</t>
        </is>
      </c>
      <c r="U1205" s="5" t="inlineStr">
        <is>
          <t>OK</t>
        </is>
      </c>
    </row>
    <row r="1206">
      <c r="A1206" s="5" t="inlineStr">
        <is>
          <t>E02959</t>
        </is>
      </c>
      <c r="B1206" s="5" t="inlineStr">
        <is>
          <t>Male</t>
        </is>
      </c>
      <c r="C1206" s="6" t="inlineStr">
        <is>
          <t>28</t>
        </is>
      </c>
      <c r="D1206" s="5" t="inlineStr">
        <is>
          <t>Single</t>
        </is>
      </c>
      <c r="E1206" s="5" t="inlineStr">
        <is>
          <t>Bachelor</t>
        </is>
      </c>
      <c r="F1206" s="5" t="inlineStr">
        <is>
          <t>Operations</t>
        </is>
      </c>
      <c r="G1206" s="5" t="inlineStr">
        <is>
          <t>Operations Analyst</t>
        </is>
      </c>
      <c r="H1206" s="5" t="inlineStr">
        <is>
          <t>1</t>
        </is>
      </c>
      <c r="I1206" s="5" t="inlineStr">
        <is>
          <t>Chennai</t>
        </is>
      </c>
      <c r="J1206" s="5" t="inlineStr">
        <is>
          <t>Full-Time</t>
        </is>
      </c>
      <c r="K1206" s="7" t="n">
        <v>45446</v>
      </c>
      <c r="L1206" s="7" t="inlineStr"/>
      <c r="M1206" s="5" t="inlineStr">
        <is>
          <t>Yes</t>
        </is>
      </c>
      <c r="N1206" s="5" t="inlineStr"/>
      <c r="O1206" s="8" t="inlineStr">
        <is>
          <t>62500</t>
        </is>
      </c>
      <c r="P1206" s="5" t="inlineStr">
        <is>
          <t>0</t>
        </is>
      </c>
      <c r="Q1206" s="5" t="inlineStr">
        <is>
          <t>4</t>
        </is>
      </c>
      <c r="R1206" s="5" t="inlineStr">
        <is>
          <t>7</t>
        </is>
      </c>
      <c r="S1206" s="5" t="inlineStr">
        <is>
          <t>19</t>
        </is>
      </c>
      <c r="T1206" s="5" t="inlineStr">
        <is>
          <t>0</t>
        </is>
      </c>
      <c r="U1206" s="5" t="inlineStr">
        <is>
          <t>OK</t>
        </is>
      </c>
    </row>
    <row r="1207">
      <c r="A1207" s="5" t="inlineStr">
        <is>
          <t>E00180</t>
        </is>
      </c>
      <c r="B1207" s="5" t="inlineStr">
        <is>
          <t>Female</t>
        </is>
      </c>
      <c r="C1207" s="6" t="inlineStr">
        <is>
          <t>36</t>
        </is>
      </c>
      <c r="D1207" s="5" t="inlineStr">
        <is>
          <t>Married</t>
        </is>
      </c>
      <c r="E1207" s="5" t="inlineStr">
        <is>
          <t>PhD</t>
        </is>
      </c>
      <c r="F1207" s="5" t="inlineStr">
        <is>
          <t>Operations</t>
        </is>
      </c>
      <c r="G1207" s="5" t="inlineStr">
        <is>
          <t>Quality Analyst</t>
        </is>
      </c>
      <c r="H1207" s="5" t="inlineStr">
        <is>
          <t>4</t>
        </is>
      </c>
      <c r="I1207" s="5" t="inlineStr">
        <is>
          <t>Delhi</t>
        </is>
      </c>
      <c r="J1207" s="5" t="inlineStr">
        <is>
          <t>Full-Time</t>
        </is>
      </c>
      <c r="K1207" s="7" t="n">
        <v>45016</v>
      </c>
      <c r="L1207" s="7" t="inlineStr"/>
      <c r="M1207" s="5" t="inlineStr">
        <is>
          <t>Yes</t>
        </is>
      </c>
      <c r="N1207" s="5" t="inlineStr"/>
      <c r="O1207" s="8" t="inlineStr">
        <is>
          <t>82000</t>
        </is>
      </c>
      <c r="P1207" s="5" t="inlineStr">
        <is>
          <t>20</t>
        </is>
      </c>
      <c r="Q1207" s="5" t="inlineStr">
        <is>
          <t>5</t>
        </is>
      </c>
      <c r="R1207" s="5" t="inlineStr">
        <is>
          <t>7</t>
        </is>
      </c>
      <c r="S1207" s="5" t="inlineStr">
        <is>
          <t>33</t>
        </is>
      </c>
      <c r="T1207" s="5" t="inlineStr">
        <is>
          <t>0</t>
        </is>
      </c>
      <c r="U1207" s="5" t="inlineStr">
        <is>
          <t>OK</t>
        </is>
      </c>
    </row>
    <row r="1208">
      <c r="A1208" s="5" t="inlineStr">
        <is>
          <t>E01300</t>
        </is>
      </c>
      <c r="B1208" s="5" t="inlineStr">
        <is>
          <t>Male</t>
        </is>
      </c>
      <c r="C1208" s="6" t="inlineStr">
        <is>
          <t>33</t>
        </is>
      </c>
      <c r="D1208" s="5" t="inlineStr">
        <is>
          <t>Married</t>
        </is>
      </c>
      <c r="E1208" s="5" t="inlineStr">
        <is>
          <t>Diploma</t>
        </is>
      </c>
      <c r="F1208" s="5" t="inlineStr">
        <is>
          <t>Customer Support</t>
        </is>
      </c>
      <c r="G1208" s="5" t="inlineStr">
        <is>
          <t>Escalation Specialist</t>
        </is>
      </c>
      <c r="H1208" s="5" t="inlineStr">
        <is>
          <t>2</t>
        </is>
      </c>
      <c r="I1208" s="5" t="inlineStr">
        <is>
          <t>Delhi</t>
        </is>
      </c>
      <c r="J1208" s="5" t="inlineStr">
        <is>
          <t>Full-Time</t>
        </is>
      </c>
      <c r="K1208" s="7" t="n">
        <v>45973</v>
      </c>
      <c r="L1208" s="7" t="inlineStr"/>
      <c r="M1208" s="5" t="inlineStr">
        <is>
          <t>Yes</t>
        </is>
      </c>
      <c r="N1208" s="5" t="inlineStr"/>
      <c r="O1208" s="8" t="inlineStr">
        <is>
          <t>57000</t>
        </is>
      </c>
      <c r="P1208" s="5" t="inlineStr">
        <is>
          <t>10</t>
        </is>
      </c>
      <c r="Q1208" s="5" t="inlineStr">
        <is>
          <t>4</t>
        </is>
      </c>
      <c r="R1208" s="5" t="inlineStr">
        <is>
          <t>5</t>
        </is>
      </c>
      <c r="S1208" s="5" t="inlineStr">
        <is>
          <t>1</t>
        </is>
      </c>
      <c r="T1208" s="5" t="inlineStr">
        <is>
          <t>8</t>
        </is>
      </c>
      <c r="U1208" s="5" t="inlineStr">
        <is>
          <t>OK</t>
        </is>
      </c>
    </row>
    <row r="1209">
      <c r="A1209" s="5" t="inlineStr">
        <is>
          <t>E01003</t>
        </is>
      </c>
      <c r="B1209" s="5" t="inlineStr">
        <is>
          <t>Male</t>
        </is>
      </c>
      <c r="C1209" s="6" t="inlineStr">
        <is>
          <t>39</t>
        </is>
      </c>
      <c r="D1209" s="5" t="inlineStr">
        <is>
          <t>Married</t>
        </is>
      </c>
      <c r="E1209" s="5" t="inlineStr">
        <is>
          <t>Bachelor</t>
        </is>
      </c>
      <c r="F1209" s="5" t="inlineStr">
        <is>
          <t>Finance</t>
        </is>
      </c>
      <c r="G1209" s="5" t="inlineStr">
        <is>
          <t>Credit Analyst</t>
        </is>
      </c>
      <c r="H1209" s="5" t="inlineStr">
        <is>
          <t>5</t>
        </is>
      </c>
      <c r="I1209" s="5" t="inlineStr">
        <is>
          <t>Bengaluru</t>
        </is>
      </c>
      <c r="J1209" s="5" t="inlineStr">
        <is>
          <t>Full-Time</t>
        </is>
      </c>
      <c r="K1209" s="7" t="n">
        <v>45393</v>
      </c>
      <c r="L1209" s="7" t="inlineStr"/>
      <c r="M1209" s="5" t="inlineStr">
        <is>
          <t>Yes</t>
        </is>
      </c>
      <c r="N1209" s="5" t="inlineStr"/>
      <c r="O1209" s="8" t="inlineStr">
        <is>
          <t>110500</t>
        </is>
      </c>
      <c r="P1209" s="5" t="inlineStr">
        <is>
          <t>5</t>
        </is>
      </c>
      <c r="Q1209" s="5" t="inlineStr">
        <is>
          <t>4</t>
        </is>
      </c>
      <c r="R1209" s="5" t="inlineStr">
        <is>
          <t>4</t>
        </is>
      </c>
      <c r="S1209" s="5" t="inlineStr">
        <is>
          <t>20</t>
        </is>
      </c>
      <c r="T1209" s="5" t="inlineStr">
        <is>
          <t>4</t>
        </is>
      </c>
      <c r="U1209" s="5" t="inlineStr">
        <is>
          <t>OK</t>
        </is>
      </c>
    </row>
    <row r="1210">
      <c r="A1210" s="5" t="inlineStr">
        <is>
          <t>E00797</t>
        </is>
      </c>
      <c r="B1210" s="5" t="inlineStr">
        <is>
          <t>Female</t>
        </is>
      </c>
      <c r="C1210" s="6" t="inlineStr">
        <is>
          <t>35</t>
        </is>
      </c>
      <c r="D1210" s="5" t="inlineStr">
        <is>
          <t>Single</t>
        </is>
      </c>
      <c r="E1210" s="5" t="inlineStr">
        <is>
          <t>Master</t>
        </is>
      </c>
      <c r="F1210" s="5" t="inlineStr">
        <is>
          <t>IT</t>
        </is>
      </c>
      <c r="G1210" s="5" t="inlineStr">
        <is>
          <t>IT Support</t>
        </is>
      </c>
      <c r="H1210" s="5" t="inlineStr">
        <is>
          <t>2</t>
        </is>
      </c>
      <c r="I1210" s="5" t="inlineStr">
        <is>
          <t>Chennai</t>
        </is>
      </c>
      <c r="J1210" s="5" t="inlineStr">
        <is>
          <t>Full-Time</t>
        </is>
      </c>
      <c r="K1210" s="7" t="n">
        <v>46004</v>
      </c>
      <c r="L1210" s="7" t="inlineStr"/>
      <c r="M1210" s="5" t="inlineStr">
        <is>
          <t>Yes</t>
        </is>
      </c>
      <c r="N1210" s="5" t="inlineStr"/>
      <c r="O1210" s="8" t="inlineStr">
        <is>
          <t>144500</t>
        </is>
      </c>
      <c r="P1210" s="5" t="inlineStr">
        <is>
          <t>0</t>
        </is>
      </c>
      <c r="Q1210" s="5" t="inlineStr">
        <is>
          <t>3</t>
        </is>
      </c>
      <c r="R1210" s="5" t="inlineStr">
        <is>
          <t>5</t>
        </is>
      </c>
      <c r="S1210" s="5" t="inlineStr">
        <is>
          <t>1</t>
        </is>
      </c>
      <c r="T1210" s="5" t="inlineStr">
        <is>
          <t>11</t>
        </is>
      </c>
      <c r="U1210" s="5" t="inlineStr">
        <is>
          <t>OK</t>
        </is>
      </c>
    </row>
    <row r="1211">
      <c r="A1211" s="5" t="inlineStr">
        <is>
          <t>E00772</t>
        </is>
      </c>
      <c r="B1211" s="5" t="inlineStr">
        <is>
          <t>Female</t>
        </is>
      </c>
      <c r="C1211" s="6" t="inlineStr">
        <is>
          <t>32</t>
        </is>
      </c>
      <c r="D1211" s="5" t="inlineStr">
        <is>
          <t>Married</t>
        </is>
      </c>
      <c r="E1211" s="5" t="inlineStr">
        <is>
          <t>Bachelor</t>
        </is>
      </c>
      <c r="F1211" s="5" t="inlineStr">
        <is>
          <t>Customer Support</t>
        </is>
      </c>
      <c r="G1211" s="5" t="inlineStr">
        <is>
          <t>Support Lead</t>
        </is>
      </c>
      <c r="H1211" s="5" t="inlineStr">
        <is>
          <t>2</t>
        </is>
      </c>
      <c r="I1211" s="5" t="inlineStr">
        <is>
          <t>Bengaluru</t>
        </is>
      </c>
      <c r="J1211" s="5" t="inlineStr">
        <is>
          <t>Full-Time</t>
        </is>
      </c>
      <c r="K1211" s="7" t="n">
        <v>45915</v>
      </c>
      <c r="L1211" s="7" t="inlineStr"/>
      <c r="M1211" s="5" t="inlineStr">
        <is>
          <t>Yes</t>
        </is>
      </c>
      <c r="N1211" s="5" t="inlineStr"/>
      <c r="O1211" s="8" t="inlineStr">
        <is>
          <t>82000</t>
        </is>
      </c>
      <c r="P1211" s="5" t="inlineStr">
        <is>
          <t>10</t>
        </is>
      </c>
      <c r="Q1211" s="5" t="inlineStr">
        <is>
          <t>4</t>
        </is>
      </c>
      <c r="R1211" s="5" t="inlineStr">
        <is>
          <t>6</t>
        </is>
      </c>
      <c r="S1211" s="5" t="inlineStr">
        <is>
          <t>3</t>
        </is>
      </c>
      <c r="T1211" s="5" t="inlineStr">
        <is>
          <t>0</t>
        </is>
      </c>
      <c r="U1211" s="5" t="inlineStr">
        <is>
          <t>OK</t>
        </is>
      </c>
    </row>
    <row r="1212">
      <c r="A1212" s="5" t="inlineStr">
        <is>
          <t>E00029</t>
        </is>
      </c>
      <c r="B1212" s="5" t="inlineStr">
        <is>
          <t>Female</t>
        </is>
      </c>
      <c r="C1212" s="6" t="inlineStr">
        <is>
          <t>29</t>
        </is>
      </c>
      <c r="D1212" s="5" t="inlineStr">
        <is>
          <t>Divorced</t>
        </is>
      </c>
      <c r="E1212" s="5" t="inlineStr">
        <is>
          <t>Bachelor</t>
        </is>
      </c>
      <c r="F1212" s="5" t="inlineStr">
        <is>
          <t>Human Resources</t>
        </is>
      </c>
      <c r="G1212" s="5" t="inlineStr">
        <is>
          <t>Recruiter</t>
        </is>
      </c>
      <c r="H1212" s="5" t="inlineStr">
        <is>
          <t>2</t>
        </is>
      </c>
      <c r="I1212" s="5" t="inlineStr">
        <is>
          <t>Chennai</t>
        </is>
      </c>
      <c r="J1212" s="5" t="inlineStr">
        <is>
          <t>Full-Time</t>
        </is>
      </c>
      <c r="K1212" s="7" t="n">
        <v>44608</v>
      </c>
      <c r="L1212" s="7" t="inlineStr"/>
      <c r="M1212" s="5" t="inlineStr">
        <is>
          <t>Yes</t>
        </is>
      </c>
      <c r="N1212" s="5" t="inlineStr"/>
      <c r="O1212" s="8" t="inlineStr">
        <is>
          <t>63000</t>
        </is>
      </c>
      <c r="P1212" s="5" t="inlineStr">
        <is>
          <t>5</t>
        </is>
      </c>
      <c r="Q1212" s="5" t="inlineStr">
        <is>
          <t>3</t>
        </is>
      </c>
      <c r="R1212" s="5" t="inlineStr">
        <is>
          <t>7</t>
        </is>
      </c>
      <c r="S1212" s="5" t="inlineStr">
        <is>
          <t>47</t>
        </is>
      </c>
      <c r="T1212" s="5" t="inlineStr">
        <is>
          <t>5</t>
        </is>
      </c>
      <c r="U1212" s="5" t="inlineStr">
        <is>
          <t>OK</t>
        </is>
      </c>
    </row>
    <row r="1213">
      <c r="A1213" s="5" t="inlineStr">
        <is>
          <t>E01491</t>
        </is>
      </c>
      <c r="B1213" s="5" t="inlineStr">
        <is>
          <t>Female</t>
        </is>
      </c>
      <c r="C1213" s="6" t="inlineStr">
        <is>
          <t>26</t>
        </is>
      </c>
      <c r="D1213" s="5" t="inlineStr">
        <is>
          <t>Married</t>
        </is>
      </c>
      <c r="E1213" s="5" t="inlineStr">
        <is>
          <t>Master</t>
        </is>
      </c>
      <c r="F1213" s="5" t="inlineStr">
        <is>
          <t>Operations</t>
        </is>
      </c>
      <c r="G1213" s="5" t="inlineStr">
        <is>
          <t>Quality Analyst</t>
        </is>
      </c>
      <c r="H1213" s="5" t="inlineStr">
        <is>
          <t>1</t>
        </is>
      </c>
      <c r="I1213" s="5" t="inlineStr">
        <is>
          <t>Hyderabad</t>
        </is>
      </c>
      <c r="J1213" s="5" t="inlineStr">
        <is>
          <t>Contract</t>
        </is>
      </c>
      <c r="K1213" s="7" t="n">
        <v>45038</v>
      </c>
      <c r="L1213" s="7" t="n">
        <v>45145</v>
      </c>
      <c r="M1213" s="5" t="inlineStr">
        <is>
          <t>No</t>
        </is>
      </c>
      <c r="N1213" s="5" t="inlineStr">
        <is>
          <t>Performance / Termination</t>
        </is>
      </c>
      <c r="O1213" s="8" t="inlineStr">
        <is>
          <t>64500</t>
        </is>
      </c>
      <c r="P1213" s="5" t="inlineStr">
        <is>
          <t>5</t>
        </is>
      </c>
      <c r="Q1213" s="5" t="inlineStr">
        <is>
          <t>3</t>
        </is>
      </c>
      <c r="R1213" s="5" t="inlineStr">
        <is>
          <t>8</t>
        </is>
      </c>
      <c r="S1213" s="5" t="inlineStr">
        <is>
          <t>3</t>
        </is>
      </c>
      <c r="T1213" s="5" t="inlineStr">
        <is>
          <t>0</t>
        </is>
      </c>
      <c r="U1213" s="5" t="inlineStr">
        <is>
          <t>OK</t>
        </is>
      </c>
    </row>
    <row r="1214">
      <c r="A1214" s="5" t="inlineStr">
        <is>
          <t>E01990</t>
        </is>
      </c>
      <c r="B1214" s="5" t="inlineStr">
        <is>
          <t>Male</t>
        </is>
      </c>
      <c r="C1214" s="6" t="inlineStr">
        <is>
          <t>33</t>
        </is>
      </c>
      <c r="D1214" s="5" t="inlineStr">
        <is>
          <t>Married</t>
        </is>
      </c>
      <c r="E1214" s="5" t="inlineStr">
        <is>
          <t>High School</t>
        </is>
      </c>
      <c r="F1214" s="5" t="inlineStr">
        <is>
          <t>IT</t>
        </is>
      </c>
      <c r="G1214" s="5" t="inlineStr">
        <is>
          <t>IT Support</t>
        </is>
      </c>
      <c r="H1214" s="5" t="inlineStr">
        <is>
          <t>4</t>
        </is>
      </c>
      <c r="I1214" s="5" t="inlineStr">
        <is>
          <t>Mumbai</t>
        </is>
      </c>
      <c r="J1214" s="5" t="inlineStr">
        <is>
          <t>Full-Time</t>
        </is>
      </c>
      <c r="K1214" s="7" t="n">
        <v>45978</v>
      </c>
      <c r="L1214" s="7" t="inlineStr"/>
      <c r="M1214" s="5" t="inlineStr">
        <is>
          <t>Yes</t>
        </is>
      </c>
      <c r="N1214" s="5" t="inlineStr"/>
      <c r="O1214" s="8" t="inlineStr">
        <is>
          <t>190000</t>
        </is>
      </c>
      <c r="P1214" s="5" t="inlineStr">
        <is>
          <t>10</t>
        </is>
      </c>
      <c r="Q1214" s="5" t="inlineStr">
        <is>
          <t>4</t>
        </is>
      </c>
      <c r="R1214" s="5" t="inlineStr">
        <is>
          <t>5</t>
        </is>
      </c>
      <c r="S1214" s="5" t="inlineStr">
        <is>
          <t>1</t>
        </is>
      </c>
      <c r="T1214" s="5" t="inlineStr">
        <is>
          <t>8</t>
        </is>
      </c>
      <c r="U1214" s="5" t="inlineStr">
        <is>
          <t>OK</t>
        </is>
      </c>
    </row>
    <row r="1215">
      <c r="A1215" s="5" t="inlineStr">
        <is>
          <t>E01000</t>
        </is>
      </c>
      <c r="B1215" s="5" t="inlineStr">
        <is>
          <t>Male</t>
        </is>
      </c>
      <c r="C1215" s="6" t="inlineStr">
        <is>
          <t>32</t>
        </is>
      </c>
      <c r="D1215" s="5" t="inlineStr">
        <is>
          <t>Single</t>
        </is>
      </c>
      <c r="E1215" s="5" t="inlineStr">
        <is>
          <t>Diploma</t>
        </is>
      </c>
      <c r="F1215" s="5" t="inlineStr">
        <is>
          <t>Research &amp; Development</t>
        </is>
      </c>
      <c r="G1215" s="5" t="inlineStr">
        <is>
          <t>Product Engineer</t>
        </is>
      </c>
      <c r="H1215" s="5" t="inlineStr">
        <is>
          <t>3</t>
        </is>
      </c>
      <c r="I1215" s="5" t="inlineStr">
        <is>
          <t>Chennai</t>
        </is>
      </c>
      <c r="J1215" s="5" t="inlineStr">
        <is>
          <t>Part-Time</t>
        </is>
      </c>
      <c r="K1215" s="7" t="n">
        <v>44632</v>
      </c>
      <c r="L1215" s="7" t="inlineStr"/>
      <c r="M1215" s="5" t="inlineStr">
        <is>
          <t>Yes</t>
        </is>
      </c>
      <c r="N1215" s="5" t="inlineStr"/>
      <c r="O1215" s="8" t="inlineStr">
        <is>
          <t>188000</t>
        </is>
      </c>
      <c r="P1215" s="5" t="inlineStr">
        <is>
          <t>5</t>
        </is>
      </c>
      <c r="Q1215" s="5" t="inlineStr">
        <is>
          <t>4</t>
        </is>
      </c>
      <c r="R1215" s="5" t="inlineStr">
        <is>
          <t>6</t>
        </is>
      </c>
      <c r="S1215" s="5" t="inlineStr">
        <is>
          <t>46</t>
        </is>
      </c>
      <c r="T1215" s="5" t="inlineStr">
        <is>
          <t>17</t>
        </is>
      </c>
      <c r="U1215" s="5" t="inlineStr">
        <is>
          <t>OK</t>
        </is>
      </c>
    </row>
    <row r="1216">
      <c r="A1216" s="5" t="inlineStr">
        <is>
          <t>E02334</t>
        </is>
      </c>
      <c r="B1216" s="5" t="inlineStr">
        <is>
          <t>Female</t>
        </is>
      </c>
      <c r="C1216" s="6" t="inlineStr">
        <is>
          <t>31</t>
        </is>
      </c>
      <c r="D1216" s="5" t="inlineStr">
        <is>
          <t>Married</t>
        </is>
      </c>
      <c r="E1216" s="5" t="inlineStr">
        <is>
          <t>PhD</t>
        </is>
      </c>
      <c r="F1216" s="5" t="inlineStr">
        <is>
          <t>Finance</t>
        </is>
      </c>
      <c r="G1216" s="5" t="inlineStr">
        <is>
          <t>Accountant</t>
        </is>
      </c>
      <c r="H1216" s="5" t="inlineStr">
        <is>
          <t>2</t>
        </is>
      </c>
      <c r="I1216" s="5" t="inlineStr">
        <is>
          <t>Chennai</t>
        </is>
      </c>
      <c r="J1216" s="5" t="inlineStr">
        <is>
          <t>Part-Time</t>
        </is>
      </c>
      <c r="K1216" s="7" t="n">
        <v>45994</v>
      </c>
      <c r="L1216" s="7" t="inlineStr"/>
      <c r="M1216" s="5" t="inlineStr">
        <is>
          <t>Yes</t>
        </is>
      </c>
      <c r="N1216" s="5" t="inlineStr"/>
      <c r="O1216" s="8" t="inlineStr">
        <is>
          <t>131000</t>
        </is>
      </c>
      <c r="P1216" s="5" t="inlineStr">
        <is>
          <t>10</t>
        </is>
      </c>
      <c r="Q1216" s="5" t="inlineStr">
        <is>
          <t>4</t>
        </is>
      </c>
      <c r="R1216" s="5" t="inlineStr">
        <is>
          <t>6</t>
        </is>
      </c>
      <c r="S1216" s="5" t="inlineStr">
        <is>
          <t>1</t>
        </is>
      </c>
      <c r="T1216" s="5" t="inlineStr">
        <is>
          <t>9</t>
        </is>
      </c>
      <c r="U1216" s="5" t="inlineStr">
        <is>
          <t>OK</t>
        </is>
      </c>
    </row>
    <row r="1217">
      <c r="A1217" s="5" t="inlineStr">
        <is>
          <t>E02216</t>
        </is>
      </c>
      <c r="B1217" s="5" t="inlineStr">
        <is>
          <t>Male</t>
        </is>
      </c>
      <c r="C1217" s="6" t="inlineStr">
        <is>
          <t>33</t>
        </is>
      </c>
      <c r="D1217" s="5" t="inlineStr">
        <is>
          <t>Married</t>
        </is>
      </c>
      <c r="E1217" s="5" t="inlineStr">
        <is>
          <t>Bachelor</t>
        </is>
      </c>
      <c r="F1217" s="5" t="inlineStr">
        <is>
          <t>Operations</t>
        </is>
      </c>
      <c r="G1217" s="5" t="inlineStr">
        <is>
          <t>Quality Analyst</t>
        </is>
      </c>
      <c r="H1217" s="5" t="inlineStr">
        <is>
          <t>2</t>
        </is>
      </c>
      <c r="I1217" s="5" t="inlineStr">
        <is>
          <t>Bengaluru</t>
        </is>
      </c>
      <c r="J1217" s="5" t="inlineStr">
        <is>
          <t>Part-Time</t>
        </is>
      </c>
      <c r="K1217" s="7" t="n">
        <v>45165</v>
      </c>
      <c r="L1217" s="7" t="inlineStr"/>
      <c r="M1217" s="5" t="inlineStr">
        <is>
          <t>Yes</t>
        </is>
      </c>
      <c r="N1217" s="5" t="inlineStr"/>
      <c r="O1217" s="8" t="inlineStr">
        <is>
          <t>84000</t>
        </is>
      </c>
      <c r="P1217" s="5" t="inlineStr">
        <is>
          <t>0</t>
        </is>
      </c>
      <c r="Q1217" s="5" t="inlineStr">
        <is>
          <t>4</t>
        </is>
      </c>
      <c r="R1217" s="5" t="inlineStr">
        <is>
          <t>5</t>
        </is>
      </c>
      <c r="S1217" s="5" t="inlineStr">
        <is>
          <t>28</t>
        </is>
      </c>
      <c r="T1217" s="5" t="inlineStr">
        <is>
          <t>6</t>
        </is>
      </c>
      <c r="U1217" s="5" t="inlineStr">
        <is>
          <t>OK</t>
        </is>
      </c>
    </row>
    <row r="1218">
      <c r="A1218" s="5" t="inlineStr">
        <is>
          <t>E01939</t>
        </is>
      </c>
      <c r="B1218" s="5" t="inlineStr">
        <is>
          <t>Female</t>
        </is>
      </c>
      <c r="C1218" s="6" t="inlineStr">
        <is>
          <t>25</t>
        </is>
      </c>
      <c r="D1218" s="5" t="inlineStr">
        <is>
          <t>Married</t>
        </is>
      </c>
      <c r="E1218" s="5" t="inlineStr">
        <is>
          <t>Master</t>
        </is>
      </c>
      <c r="F1218" s="5" t="inlineStr">
        <is>
          <t>Customer Support</t>
        </is>
      </c>
      <c r="G1218" s="5" t="inlineStr">
        <is>
          <t>Support Lead</t>
        </is>
      </c>
      <c r="H1218" s="5" t="inlineStr">
        <is>
          <t>2</t>
        </is>
      </c>
      <c r="I1218" s="5" t="inlineStr">
        <is>
          <t>Remote</t>
        </is>
      </c>
      <c r="J1218" s="5" t="inlineStr">
        <is>
          <t>Full-Time</t>
        </is>
      </c>
      <c r="K1218" s="7" t="n">
        <v>44421</v>
      </c>
      <c r="L1218" s="7" t="n">
        <v>44470</v>
      </c>
      <c r="M1218" s="5" t="inlineStr">
        <is>
          <t>No</t>
        </is>
      </c>
      <c r="N1218" s="5" t="inlineStr">
        <is>
          <t>Retirement</t>
        </is>
      </c>
      <c r="O1218" s="8" t="inlineStr">
        <is>
          <t>78500</t>
        </is>
      </c>
      <c r="P1218" s="5" t="inlineStr">
        <is>
          <t>5</t>
        </is>
      </c>
      <c r="Q1218" s="5" t="inlineStr">
        <is>
          <t>3</t>
        </is>
      </c>
      <c r="R1218" s="5" t="inlineStr">
        <is>
          <t>2</t>
        </is>
      </c>
      <c r="S1218" s="5" t="inlineStr">
        <is>
          <t>1</t>
        </is>
      </c>
      <c r="T1218" s="5" t="inlineStr">
        <is>
          <t>6</t>
        </is>
      </c>
      <c r="U1218" s="5" t="inlineStr">
        <is>
          <t>OK</t>
        </is>
      </c>
    </row>
    <row r="1219">
      <c r="A1219" s="5" t="inlineStr">
        <is>
          <t>E02777</t>
        </is>
      </c>
      <c r="B1219" s="5" t="inlineStr">
        <is>
          <t>Male</t>
        </is>
      </c>
      <c r="C1219" s="6" t="inlineStr">
        <is>
          <t>26</t>
        </is>
      </c>
      <c r="D1219" s="5" t="inlineStr">
        <is>
          <t>Married</t>
        </is>
      </c>
      <c r="E1219" s="5" t="inlineStr">
        <is>
          <t>PhD</t>
        </is>
      </c>
      <c r="F1219" s="5" t="inlineStr">
        <is>
          <t>Sales</t>
        </is>
      </c>
      <c r="G1219" s="5" t="inlineStr">
        <is>
          <t>Sales Executive</t>
        </is>
      </c>
      <c r="H1219" s="5" t="inlineStr">
        <is>
          <t>2</t>
        </is>
      </c>
      <c r="I1219" s="5" t="inlineStr">
        <is>
          <t>Chennai</t>
        </is>
      </c>
      <c r="J1219" s="5" t="inlineStr">
        <is>
          <t>Full-Time</t>
        </is>
      </c>
      <c r="K1219" s="7" t="n">
        <v>44167</v>
      </c>
      <c r="L1219" s="7" t="inlineStr"/>
      <c r="M1219" s="5" t="inlineStr">
        <is>
          <t>Yes</t>
        </is>
      </c>
      <c r="N1219" s="5" t="inlineStr"/>
      <c r="O1219" s="8" t="inlineStr">
        <is>
          <t>104000</t>
        </is>
      </c>
      <c r="P1219" s="5" t="inlineStr">
        <is>
          <t>0</t>
        </is>
      </c>
      <c r="Q1219" s="5" t="inlineStr">
        <is>
          <t>3</t>
        </is>
      </c>
      <c r="R1219" s="5" t="inlineStr">
        <is>
          <t>5</t>
        </is>
      </c>
      <c r="S1219" s="5" t="inlineStr">
        <is>
          <t>61</t>
        </is>
      </c>
      <c r="T1219" s="5" t="inlineStr">
        <is>
          <t>5</t>
        </is>
      </c>
      <c r="U1219" s="5" t="inlineStr">
        <is>
          <t>OK</t>
        </is>
      </c>
    </row>
    <row r="1220">
      <c r="A1220" s="5" t="inlineStr">
        <is>
          <t>E01718</t>
        </is>
      </c>
      <c r="B1220" s="5" t="inlineStr">
        <is>
          <t>Male</t>
        </is>
      </c>
      <c r="C1220" s="6" t="inlineStr">
        <is>
          <t>44</t>
        </is>
      </c>
      <c r="D1220" s="5" t="inlineStr">
        <is>
          <t>Single</t>
        </is>
      </c>
      <c r="E1220" s="5" t="inlineStr">
        <is>
          <t>Diploma</t>
        </is>
      </c>
      <c r="F1220" s="5" t="inlineStr">
        <is>
          <t>Finance</t>
        </is>
      </c>
      <c r="G1220" s="5" t="inlineStr">
        <is>
          <t>Accountant</t>
        </is>
      </c>
      <c r="H1220" s="5" t="inlineStr">
        <is>
          <t>7</t>
        </is>
      </c>
      <c r="I1220" s="5" t="inlineStr">
        <is>
          <t>Chennai</t>
        </is>
      </c>
      <c r="J1220" s="5" t="inlineStr">
        <is>
          <t>Full-Time</t>
        </is>
      </c>
      <c r="K1220" s="7" t="n">
        <v>45984</v>
      </c>
      <c r="L1220" s="7" t="inlineStr"/>
      <c r="M1220" s="5" t="inlineStr">
        <is>
          <t>Yes</t>
        </is>
      </c>
      <c r="N1220" s="5" t="inlineStr"/>
      <c r="O1220" s="8" t="inlineStr">
        <is>
          <t>181500</t>
        </is>
      </c>
      <c r="P1220" s="5" t="inlineStr">
        <is>
          <t>10</t>
        </is>
      </c>
      <c r="Q1220" s="5" t="inlineStr">
        <is>
          <t>5</t>
        </is>
      </c>
      <c r="R1220" s="5" t="inlineStr">
        <is>
          <t>5</t>
        </is>
      </c>
      <c r="S1220" s="5" t="inlineStr">
        <is>
          <t>1</t>
        </is>
      </c>
      <c r="T1220" s="5" t="inlineStr">
        <is>
          <t>5</t>
        </is>
      </c>
      <c r="U1220" s="5" t="inlineStr">
        <is>
          <t>OK</t>
        </is>
      </c>
    </row>
    <row r="1221">
      <c r="A1221" s="5" t="inlineStr">
        <is>
          <t>E01242</t>
        </is>
      </c>
      <c r="B1221" s="5" t="inlineStr">
        <is>
          <t>Female</t>
        </is>
      </c>
      <c r="C1221" s="6" t="inlineStr">
        <is>
          <t>31</t>
        </is>
      </c>
      <c r="D1221" s="5" t="inlineStr">
        <is>
          <t>Married</t>
        </is>
      </c>
      <c r="E1221" s="5" t="inlineStr">
        <is>
          <t>Diploma</t>
        </is>
      </c>
      <c r="F1221" s="5" t="inlineStr">
        <is>
          <t>Research &amp; Development</t>
        </is>
      </c>
      <c r="G1221" s="5" t="inlineStr">
        <is>
          <t>Research Scientist</t>
        </is>
      </c>
      <c r="H1221" s="5" t="inlineStr">
        <is>
          <t>4</t>
        </is>
      </c>
      <c r="I1221" s="5" t="inlineStr">
        <is>
          <t>Delhi</t>
        </is>
      </c>
      <c r="J1221" s="5" t="inlineStr">
        <is>
          <t>Full-Time</t>
        </is>
      </c>
      <c r="K1221" s="7" t="n">
        <v>44876</v>
      </c>
      <c r="L1221" s="7" t="n">
        <v>45016</v>
      </c>
      <c r="M1221" s="5" t="inlineStr">
        <is>
          <t>No</t>
        </is>
      </c>
      <c r="N1221" s="5" t="inlineStr">
        <is>
          <t>Resigned</t>
        </is>
      </c>
      <c r="O1221" s="8" t="inlineStr">
        <is>
          <t>212500</t>
        </is>
      </c>
      <c r="P1221" s="5" t="inlineStr">
        <is>
          <t>0</t>
        </is>
      </c>
      <c r="Q1221" s="5" t="inlineStr">
        <is>
          <t>3</t>
        </is>
      </c>
      <c r="R1221" s="5" t="inlineStr">
        <is>
          <t>6</t>
        </is>
      </c>
      <c r="S1221" s="5" t="inlineStr">
        <is>
          <t>4</t>
        </is>
      </c>
      <c r="T1221" s="5" t="inlineStr">
        <is>
          <t>3</t>
        </is>
      </c>
      <c r="U1221" s="5" t="inlineStr">
        <is>
          <t>OK</t>
        </is>
      </c>
    </row>
    <row r="1222">
      <c r="A1222" s="5" t="inlineStr">
        <is>
          <t>E00023</t>
        </is>
      </c>
      <c r="B1222" s="5" t="inlineStr">
        <is>
          <t>Female</t>
        </is>
      </c>
      <c r="C1222" s="6" t="inlineStr">
        <is>
          <t>31</t>
        </is>
      </c>
      <c r="D1222" s="5" t="inlineStr">
        <is>
          <t>Married</t>
        </is>
      </c>
      <c r="E1222" s="5" t="inlineStr">
        <is>
          <t>Diploma</t>
        </is>
      </c>
      <c r="F1222" s="5" t="inlineStr">
        <is>
          <t>Operations</t>
        </is>
      </c>
      <c r="G1222" s="5" t="inlineStr">
        <is>
          <t>Logistics Coordinator</t>
        </is>
      </c>
      <c r="H1222" s="5" t="inlineStr">
        <is>
          <t>2</t>
        </is>
      </c>
      <c r="I1222" s="5" t="inlineStr">
        <is>
          <t>Mumbai</t>
        </is>
      </c>
      <c r="J1222" s="5" t="inlineStr">
        <is>
          <t>Full-Time</t>
        </is>
      </c>
      <c r="K1222" s="7" t="n">
        <v>45289</v>
      </c>
      <c r="L1222" s="7" t="n">
        <v>45347</v>
      </c>
      <c r="M1222" s="5" t="inlineStr">
        <is>
          <t>No</t>
        </is>
      </c>
      <c r="N1222" s="5" t="inlineStr">
        <is>
          <t>Performance / Termination</t>
        </is>
      </c>
      <c r="O1222" s="8" t="inlineStr">
        <is>
          <t>99000</t>
        </is>
      </c>
      <c r="P1222" s="5" t="inlineStr">
        <is>
          <t>5</t>
        </is>
      </c>
      <c r="Q1222" s="5" t="inlineStr">
        <is>
          <t>4</t>
        </is>
      </c>
      <c r="R1222" s="5" t="inlineStr">
        <is>
          <t>6</t>
        </is>
      </c>
      <c r="S1222" s="5" t="inlineStr">
        <is>
          <t>1</t>
        </is>
      </c>
      <c r="T1222" s="5" t="inlineStr">
        <is>
          <t>2</t>
        </is>
      </c>
      <c r="U1222" s="5" t="inlineStr">
        <is>
          <t>OK</t>
        </is>
      </c>
    </row>
    <row r="1223">
      <c r="A1223" s="5" t="inlineStr">
        <is>
          <t>E00495</t>
        </is>
      </c>
      <c r="B1223" s="5" t="inlineStr">
        <is>
          <t>Female</t>
        </is>
      </c>
      <c r="C1223" s="6" t="inlineStr">
        <is>
          <t>39</t>
        </is>
      </c>
      <c r="D1223" s="5" t="inlineStr">
        <is>
          <t>Divorced</t>
        </is>
      </c>
      <c r="E1223" s="5" t="inlineStr">
        <is>
          <t>Bachelor</t>
        </is>
      </c>
      <c r="F1223" s="5" t="inlineStr">
        <is>
          <t>Human Resources</t>
        </is>
      </c>
      <c r="G1223" s="5" t="inlineStr">
        <is>
          <t>HR Analyst</t>
        </is>
      </c>
      <c r="H1223" s="5" t="inlineStr">
        <is>
          <t>4</t>
        </is>
      </c>
      <c r="I1223" s="5" t="inlineStr">
        <is>
          <t>Mumbai</t>
        </is>
      </c>
      <c r="J1223" s="5" t="inlineStr">
        <is>
          <t>Full-Time</t>
        </is>
      </c>
      <c r="K1223" s="7" t="n">
        <v>44074</v>
      </c>
      <c r="L1223" s="7" t="n">
        <v>44165</v>
      </c>
      <c r="M1223" s="5" t="inlineStr">
        <is>
          <t>No</t>
        </is>
      </c>
      <c r="N1223" s="5" t="inlineStr">
        <is>
          <t>Resigned</t>
        </is>
      </c>
      <c r="O1223" s="8" t="inlineStr">
        <is>
          <t>79000</t>
        </is>
      </c>
      <c r="P1223" s="5" t="inlineStr">
        <is>
          <t>0</t>
        </is>
      </c>
      <c r="Q1223" s="5" t="inlineStr">
        <is>
          <t>5</t>
        </is>
      </c>
      <c r="R1223" s="5" t="inlineStr">
        <is>
          <t>4</t>
        </is>
      </c>
      <c r="S1223" s="5" t="inlineStr">
        <is>
          <t>3</t>
        </is>
      </c>
      <c r="T1223" s="5" t="inlineStr">
        <is>
          <t>13</t>
        </is>
      </c>
      <c r="U1223" s="5" t="inlineStr">
        <is>
          <t>OK</t>
        </is>
      </c>
    </row>
    <row r="1224">
      <c r="A1224" s="5" t="inlineStr">
        <is>
          <t>E02731</t>
        </is>
      </c>
      <c r="B1224" s="5" t="inlineStr">
        <is>
          <t>Female</t>
        </is>
      </c>
      <c r="C1224" s="6" t="inlineStr">
        <is>
          <t>30</t>
        </is>
      </c>
      <c r="D1224" s="5" t="inlineStr">
        <is>
          <t>Single</t>
        </is>
      </c>
      <c r="E1224" s="5" t="inlineStr">
        <is>
          <t>PhD</t>
        </is>
      </c>
      <c r="F1224" s="5" t="inlineStr">
        <is>
          <t>Research &amp; Development</t>
        </is>
      </c>
      <c r="G1224" s="5" t="inlineStr">
        <is>
          <t>Product Engineer</t>
        </is>
      </c>
      <c r="H1224" s="5" t="inlineStr">
        <is>
          <t>1</t>
        </is>
      </c>
      <c r="I1224" s="5" t="inlineStr">
        <is>
          <t>Hyderabad</t>
        </is>
      </c>
      <c r="J1224" s="5" t="inlineStr">
        <is>
          <t>Full-Time</t>
        </is>
      </c>
      <c r="K1224" s="7" t="n">
        <v>45811</v>
      </c>
      <c r="L1224" s="7" t="inlineStr"/>
      <c r="M1224" s="5" t="inlineStr">
        <is>
          <t>Yes</t>
        </is>
      </c>
      <c r="N1224" s="5" t="inlineStr"/>
      <c r="O1224" s="8" t="inlineStr">
        <is>
          <t>156000</t>
        </is>
      </c>
      <c r="P1224" s="5" t="inlineStr">
        <is>
          <t>5</t>
        </is>
      </c>
      <c r="Q1224" s="5" t="inlineStr">
        <is>
          <t>5</t>
        </is>
      </c>
      <c r="R1224" s="5" t="inlineStr">
        <is>
          <t>7</t>
        </is>
      </c>
      <c r="S1224" s="5" t="inlineStr">
        <is>
          <t>7</t>
        </is>
      </c>
      <c r="T1224" s="5" t="inlineStr">
        <is>
          <t>7</t>
        </is>
      </c>
      <c r="U1224" s="5" t="inlineStr">
        <is>
          <t>OK</t>
        </is>
      </c>
    </row>
    <row r="1225">
      <c r="A1225" s="5" t="inlineStr">
        <is>
          <t>E01419</t>
        </is>
      </c>
      <c r="B1225" s="5" t="inlineStr">
        <is>
          <t>Female</t>
        </is>
      </c>
      <c r="C1225" s="6" t="inlineStr">
        <is>
          <t>37</t>
        </is>
      </c>
      <c r="D1225" s="5" t="inlineStr">
        <is>
          <t>Married</t>
        </is>
      </c>
      <c r="E1225" s="5" t="inlineStr">
        <is>
          <t>High School</t>
        </is>
      </c>
      <c r="F1225" s="5" t="inlineStr">
        <is>
          <t>IT</t>
        </is>
      </c>
      <c r="G1225" s="5" t="inlineStr">
        <is>
          <t>Data Analyst</t>
        </is>
      </c>
      <c r="H1225" s="5" t="inlineStr">
        <is>
          <t>7</t>
        </is>
      </c>
      <c r="I1225" s="5" t="inlineStr">
        <is>
          <t>Chennai</t>
        </is>
      </c>
      <c r="J1225" s="5" t="inlineStr">
        <is>
          <t>Full-Time</t>
        </is>
      </c>
      <c r="K1225" s="7" t="n">
        <v>45090</v>
      </c>
      <c r="L1225" s="7" t="inlineStr"/>
      <c r="M1225" s="5" t="inlineStr">
        <is>
          <t>Yes</t>
        </is>
      </c>
      <c r="N1225" s="5" t="inlineStr"/>
      <c r="O1225" s="8" t="inlineStr">
        <is>
          <t>260000</t>
        </is>
      </c>
      <c r="P1225" s="5" t="inlineStr">
        <is>
          <t>0</t>
        </is>
      </c>
      <c r="Q1225" s="5" t="inlineStr">
        <is>
          <t>4</t>
        </is>
      </c>
      <c r="R1225" s="5" t="inlineStr">
        <is>
          <t>6</t>
        </is>
      </c>
      <c r="S1225" s="5" t="inlineStr">
        <is>
          <t>31</t>
        </is>
      </c>
      <c r="T1225" s="5" t="inlineStr">
        <is>
          <t>8</t>
        </is>
      </c>
      <c r="U1225" s="5" t="inlineStr">
        <is>
          <t>OK</t>
        </is>
      </c>
    </row>
    <row r="1226">
      <c r="A1226" s="5" t="inlineStr">
        <is>
          <t>E02419</t>
        </is>
      </c>
      <c r="B1226" s="5" t="inlineStr">
        <is>
          <t>Male</t>
        </is>
      </c>
      <c r="C1226" s="6" t="inlineStr">
        <is>
          <t>31</t>
        </is>
      </c>
      <c r="D1226" s="5" t="inlineStr">
        <is>
          <t>Married</t>
        </is>
      </c>
      <c r="E1226" s="5" t="inlineStr">
        <is>
          <t>Diploma</t>
        </is>
      </c>
      <c r="F1226" s="5" t="inlineStr">
        <is>
          <t>Research &amp; Development</t>
        </is>
      </c>
      <c r="G1226" s="5" t="inlineStr">
        <is>
          <t>Data Scientist</t>
        </is>
      </c>
      <c r="H1226" s="5" t="inlineStr">
        <is>
          <t>1</t>
        </is>
      </c>
      <c r="I1226" s="5" t="inlineStr">
        <is>
          <t>Delhi</t>
        </is>
      </c>
      <c r="J1226" s="5" t="inlineStr">
        <is>
          <t>Full-Time</t>
        </is>
      </c>
      <c r="K1226" s="7" t="n">
        <v>45267</v>
      </c>
      <c r="L1226" s="7" t="n">
        <v>45355</v>
      </c>
      <c r="M1226" s="5" t="inlineStr">
        <is>
          <t>No</t>
        </is>
      </c>
      <c r="N1226" s="5" t="inlineStr">
        <is>
          <t>Relocation</t>
        </is>
      </c>
      <c r="O1226" s="8" t="inlineStr">
        <is>
          <t>140500</t>
        </is>
      </c>
      <c r="P1226" s="5" t="inlineStr">
        <is>
          <t>0</t>
        </is>
      </c>
      <c r="Q1226" s="5" t="inlineStr">
        <is>
          <t>2</t>
        </is>
      </c>
      <c r="R1226" s="5" t="inlineStr">
        <is>
          <t>7</t>
        </is>
      </c>
      <c r="S1226" s="5" t="inlineStr">
        <is>
          <t>2</t>
        </is>
      </c>
      <c r="T1226" s="5" t="inlineStr">
        <is>
          <t>11</t>
        </is>
      </c>
      <c r="U1226" s="5" t="inlineStr">
        <is>
          <t>OK</t>
        </is>
      </c>
    </row>
    <row r="1227">
      <c r="A1227" s="5" t="inlineStr">
        <is>
          <t>E00505</t>
        </is>
      </c>
      <c r="B1227" s="5" t="inlineStr">
        <is>
          <t>Female</t>
        </is>
      </c>
      <c r="C1227" s="6" t="inlineStr">
        <is>
          <t>30</t>
        </is>
      </c>
      <c r="D1227" s="5" t="inlineStr">
        <is>
          <t>Married</t>
        </is>
      </c>
      <c r="E1227" s="5" t="inlineStr">
        <is>
          <t>Master</t>
        </is>
      </c>
      <c r="F1227" s="5" t="inlineStr">
        <is>
          <t>Executive</t>
        </is>
      </c>
      <c r="G1227" s="5" t="inlineStr">
        <is>
          <t>CFO</t>
        </is>
      </c>
      <c r="H1227" s="5" t="inlineStr">
        <is>
          <t>1</t>
        </is>
      </c>
      <c r="I1227" s="5" t="inlineStr">
        <is>
          <t>Hyderabad</t>
        </is>
      </c>
      <c r="J1227" s="5" t="inlineStr">
        <is>
          <t>Full-Time</t>
        </is>
      </c>
      <c r="K1227" s="7" t="n">
        <v>44419</v>
      </c>
      <c r="L1227" s="7" t="n">
        <v>44493</v>
      </c>
      <c r="M1227" s="5" t="inlineStr">
        <is>
          <t>No</t>
        </is>
      </c>
      <c r="N1227" s="5" t="inlineStr">
        <is>
          <t>Retirement</t>
        </is>
      </c>
      <c r="O1227" s="8" t="inlineStr">
        <is>
          <t>246500</t>
        </is>
      </c>
      <c r="P1227" s="5" t="inlineStr">
        <is>
          <t>0</t>
        </is>
      </c>
      <c r="Q1227" s="5" t="inlineStr">
        <is>
          <t>3</t>
        </is>
      </c>
      <c r="R1227" s="5" t="inlineStr">
        <is>
          <t>5</t>
        </is>
      </c>
      <c r="S1227" s="5" t="inlineStr">
        <is>
          <t>2</t>
        </is>
      </c>
      <c r="T1227" s="5" t="inlineStr">
        <is>
          <t>11</t>
        </is>
      </c>
      <c r="U1227" s="5" t="inlineStr">
        <is>
          <t>OK</t>
        </is>
      </c>
    </row>
    <row r="1228">
      <c r="A1228" s="5" t="inlineStr">
        <is>
          <t>E02981</t>
        </is>
      </c>
      <c r="B1228" s="5" t="inlineStr">
        <is>
          <t>Female</t>
        </is>
      </c>
      <c r="C1228" s="6" t="inlineStr">
        <is>
          <t>25</t>
        </is>
      </c>
      <c r="D1228" s="5" t="inlineStr">
        <is>
          <t>Single</t>
        </is>
      </c>
      <c r="E1228" s="5" t="inlineStr">
        <is>
          <t>Bachelor</t>
        </is>
      </c>
      <c r="F1228" s="5" t="inlineStr">
        <is>
          <t>IT</t>
        </is>
      </c>
      <c r="G1228" s="5" t="inlineStr">
        <is>
          <t>Software Engineer</t>
        </is>
      </c>
      <c r="H1228" s="5" t="inlineStr">
        <is>
          <t>2</t>
        </is>
      </c>
      <c r="I1228" s="5" t="inlineStr">
        <is>
          <t>Mumbai</t>
        </is>
      </c>
      <c r="J1228" s="5" t="inlineStr">
        <is>
          <t>Full-Time</t>
        </is>
      </c>
      <c r="K1228" s="7" t="n">
        <v>44977</v>
      </c>
      <c r="L1228" s="7" t="inlineStr"/>
      <c r="M1228" s="5" t="inlineStr">
        <is>
          <t>Yes</t>
        </is>
      </c>
      <c r="N1228" s="5" t="inlineStr"/>
      <c r="O1228" s="8" t="inlineStr">
        <is>
          <t>162500</t>
        </is>
      </c>
      <c r="P1228" s="5" t="inlineStr">
        <is>
          <t>5</t>
        </is>
      </c>
      <c r="Q1228" s="5" t="inlineStr">
        <is>
          <t>5</t>
        </is>
      </c>
      <c r="R1228" s="5" t="inlineStr">
        <is>
          <t>4</t>
        </is>
      </c>
      <c r="S1228" s="5" t="inlineStr">
        <is>
          <t>34</t>
        </is>
      </c>
      <c r="T1228" s="5" t="inlineStr">
        <is>
          <t>0</t>
        </is>
      </c>
      <c r="U1228" s="5" t="inlineStr">
        <is>
          <t>OK</t>
        </is>
      </c>
    </row>
    <row r="1229">
      <c r="A1229" s="5" t="inlineStr">
        <is>
          <t>E01478</t>
        </is>
      </c>
      <c r="B1229" s="5" t="inlineStr">
        <is>
          <t>Male</t>
        </is>
      </c>
      <c r="C1229" s="6" t="inlineStr">
        <is>
          <t>36</t>
        </is>
      </c>
      <c r="D1229" s="5" t="inlineStr">
        <is>
          <t>Single</t>
        </is>
      </c>
      <c r="E1229" s="5" t="inlineStr">
        <is>
          <t>High School</t>
        </is>
      </c>
      <c r="F1229" s="5" t="inlineStr">
        <is>
          <t>Operations</t>
        </is>
      </c>
      <c r="G1229" s="5" t="inlineStr">
        <is>
          <t>Quality Analyst</t>
        </is>
      </c>
      <c r="H1229" s="5" t="inlineStr">
        <is>
          <t>4</t>
        </is>
      </c>
      <c r="I1229" s="5" t="inlineStr">
        <is>
          <t>Delhi</t>
        </is>
      </c>
      <c r="J1229" s="5" t="inlineStr">
        <is>
          <t>Full-Time</t>
        </is>
      </c>
      <c r="K1229" s="7" t="n">
        <v>44909</v>
      </c>
      <c r="L1229" s="7" t="inlineStr"/>
      <c r="M1229" s="5" t="inlineStr">
        <is>
          <t>Yes</t>
        </is>
      </c>
      <c r="N1229" s="5" t="inlineStr"/>
      <c r="O1229" s="8" t="inlineStr"/>
      <c r="P1229" s="5" t="inlineStr">
        <is>
          <t>5</t>
        </is>
      </c>
      <c r="Q1229" s="5" t="inlineStr">
        <is>
          <t>4</t>
        </is>
      </c>
      <c r="R1229" s="5" t="inlineStr">
        <is>
          <t>9</t>
        </is>
      </c>
      <c r="S1229" s="5" t="inlineStr">
        <is>
          <t>37</t>
        </is>
      </c>
      <c r="T1229" s="5" t="inlineStr">
        <is>
          <t>1</t>
        </is>
      </c>
      <c r="U1229" s="5" t="inlineStr">
        <is>
          <t>Blank salary</t>
        </is>
      </c>
    </row>
    <row r="1230">
      <c r="A1230" s="5" t="inlineStr">
        <is>
          <t>E01905</t>
        </is>
      </c>
      <c r="B1230" s="5" t="inlineStr">
        <is>
          <t>Female</t>
        </is>
      </c>
      <c r="C1230" s="6" t="inlineStr">
        <is>
          <t>44</t>
        </is>
      </c>
      <c r="D1230" s="5" t="inlineStr">
        <is>
          <t>Single</t>
        </is>
      </c>
      <c r="E1230" s="5" t="inlineStr">
        <is>
          <t>High School</t>
        </is>
      </c>
      <c r="F1230" s="5" t="inlineStr">
        <is>
          <t>Operations</t>
        </is>
      </c>
      <c r="G1230" s="5" t="inlineStr">
        <is>
          <t>Logistics Coordinator</t>
        </is>
      </c>
      <c r="H1230" s="5" t="inlineStr">
        <is>
          <t>7</t>
        </is>
      </c>
      <c r="I1230" s="5" t="inlineStr">
        <is>
          <t>Chennai</t>
        </is>
      </c>
      <c r="J1230" s="5" t="inlineStr">
        <is>
          <t>Full-Time</t>
        </is>
      </c>
      <c r="K1230" s="7" t="n">
        <v>44494</v>
      </c>
      <c r="L1230" s="7" t="inlineStr"/>
      <c r="M1230" s="5" t="inlineStr">
        <is>
          <t>Yes</t>
        </is>
      </c>
      <c r="N1230" s="5" t="inlineStr"/>
      <c r="O1230" s="8" t="inlineStr">
        <is>
          <t>157500</t>
        </is>
      </c>
      <c r="P1230" s="5" t="inlineStr">
        <is>
          <t>0</t>
        </is>
      </c>
      <c r="Q1230" s="5" t="inlineStr">
        <is>
          <t>3</t>
        </is>
      </c>
      <c r="R1230" s="5" t="inlineStr">
        <is>
          <t>3</t>
        </is>
      </c>
      <c r="S1230" s="5" t="inlineStr">
        <is>
          <t>50</t>
        </is>
      </c>
      <c r="T1230" s="5" t="inlineStr">
        <is>
          <t>7</t>
        </is>
      </c>
      <c r="U1230" s="5" t="inlineStr">
        <is>
          <t>OK</t>
        </is>
      </c>
    </row>
    <row r="1231">
      <c r="A1231" s="5" t="inlineStr">
        <is>
          <t>E02327</t>
        </is>
      </c>
      <c r="B1231" s="5" t="inlineStr">
        <is>
          <t>Female</t>
        </is>
      </c>
      <c r="C1231" s="6" t="inlineStr">
        <is>
          <t>31</t>
        </is>
      </c>
      <c r="D1231" s="5" t="inlineStr">
        <is>
          <t>Married</t>
        </is>
      </c>
      <c r="E1231" s="5" t="inlineStr">
        <is>
          <t>PhD</t>
        </is>
      </c>
      <c r="F1231" s="5" t="inlineStr">
        <is>
          <t>Operations</t>
        </is>
      </c>
      <c r="G1231" s="5" t="inlineStr">
        <is>
          <t>Logistics Coordinator</t>
        </is>
      </c>
      <c r="H1231" s="5" t="inlineStr">
        <is>
          <t>2</t>
        </is>
      </c>
      <c r="I1231" s="5" t="inlineStr">
        <is>
          <t>Chennai</t>
        </is>
      </c>
      <c r="J1231" s="5" t="inlineStr">
        <is>
          <t>Full-Time</t>
        </is>
      </c>
      <c r="K1231" s="7" t="n">
        <v>44745</v>
      </c>
      <c r="L1231" s="7" t="inlineStr"/>
      <c r="M1231" s="5" t="inlineStr">
        <is>
          <t>Yes</t>
        </is>
      </c>
      <c r="N1231" s="5" t="inlineStr"/>
      <c r="O1231" s="8" t="inlineStr">
        <is>
          <t>91000</t>
        </is>
      </c>
      <c r="P1231" s="5" t="inlineStr">
        <is>
          <t>0</t>
        </is>
      </c>
      <c r="Q1231" s="5" t="inlineStr">
        <is>
          <t>4</t>
        </is>
      </c>
      <c r="R1231" s="5" t="inlineStr">
        <is>
          <t>6</t>
        </is>
      </c>
      <c r="S1231" s="5" t="inlineStr">
        <is>
          <t>42</t>
        </is>
      </c>
      <c r="T1231" s="5" t="inlineStr">
        <is>
          <t>1</t>
        </is>
      </c>
      <c r="U1231" s="5" t="inlineStr">
        <is>
          <t>OK</t>
        </is>
      </c>
    </row>
    <row r="1232">
      <c r="A1232" s="5" t="inlineStr">
        <is>
          <t>E00339</t>
        </is>
      </c>
      <c r="B1232" s="5" t="inlineStr">
        <is>
          <t>Male</t>
        </is>
      </c>
      <c r="C1232" s="6" t="inlineStr">
        <is>
          <t>35</t>
        </is>
      </c>
      <c r="D1232" s="5" t="inlineStr">
        <is>
          <t>Married</t>
        </is>
      </c>
      <c r="E1232" s="5" t="inlineStr">
        <is>
          <t>Master</t>
        </is>
      </c>
      <c r="F1232" s="5" t="inlineStr">
        <is>
          <t>Sales</t>
        </is>
      </c>
      <c r="G1232" s="5" t="inlineStr">
        <is>
          <t>Business Development</t>
        </is>
      </c>
      <c r="H1232" s="5" t="inlineStr">
        <is>
          <t>3</t>
        </is>
      </c>
      <c r="I1232" s="5" t="inlineStr">
        <is>
          <t>Remote</t>
        </is>
      </c>
      <c r="J1232" s="5" t="inlineStr">
        <is>
          <t>Full-Time</t>
        </is>
      </c>
      <c r="K1232" s="7" t="n">
        <v>45679</v>
      </c>
      <c r="L1232" s="7" t="inlineStr"/>
      <c r="M1232" s="5" t="inlineStr">
        <is>
          <t>Yes</t>
        </is>
      </c>
      <c r="N1232" s="5" t="inlineStr"/>
      <c r="O1232" s="8" t="inlineStr">
        <is>
          <t>104500</t>
        </is>
      </c>
      <c r="P1232" s="5" t="inlineStr">
        <is>
          <t>20</t>
        </is>
      </c>
      <c r="Q1232" s="5" t="inlineStr">
        <is>
          <t>2</t>
        </is>
      </c>
      <c r="R1232" s="5" t="inlineStr">
        <is>
          <t>4</t>
        </is>
      </c>
      <c r="S1232" s="5" t="inlineStr">
        <is>
          <t>11</t>
        </is>
      </c>
      <c r="T1232" s="5" t="inlineStr">
        <is>
          <t>7</t>
        </is>
      </c>
      <c r="U1232" s="5" t="inlineStr">
        <is>
          <t>OK</t>
        </is>
      </c>
    </row>
    <row r="1233">
      <c r="A1233" s="5" t="inlineStr">
        <is>
          <t>E02301</t>
        </is>
      </c>
      <c r="B1233" s="5" t="inlineStr">
        <is>
          <t>Female</t>
        </is>
      </c>
      <c r="C1233" s="6" t="inlineStr">
        <is>
          <t>34</t>
        </is>
      </c>
      <c r="D1233" s="5" t="inlineStr">
        <is>
          <t>Married</t>
        </is>
      </c>
      <c r="E1233" s="5" t="inlineStr">
        <is>
          <t>Bachelor</t>
        </is>
      </c>
      <c r="F1233" s="5" t="inlineStr">
        <is>
          <t>Sales</t>
        </is>
      </c>
      <c r="G1233" s="5" t="inlineStr">
        <is>
          <t>Sales Executive</t>
        </is>
      </c>
      <c r="H1233" s="5" t="inlineStr">
        <is>
          <t>3</t>
        </is>
      </c>
      <c r="I1233" s="5" t="inlineStr">
        <is>
          <t>Bengaluru</t>
        </is>
      </c>
      <c r="J1233" s="5" t="inlineStr">
        <is>
          <t>Full-Time</t>
        </is>
      </c>
      <c r="K1233" s="7" t="n">
        <v>43944</v>
      </c>
      <c r="L1233" s="7" t="inlineStr"/>
      <c r="M1233" s="5" t="inlineStr">
        <is>
          <t>Yes</t>
        </is>
      </c>
      <c r="N1233" s="5" t="inlineStr"/>
      <c r="O1233" s="8" t="inlineStr">
        <is>
          <t>106000</t>
        </is>
      </c>
      <c r="P1233" s="5" t="inlineStr">
        <is>
          <t>20</t>
        </is>
      </c>
      <c r="Q1233" s="5" t="inlineStr">
        <is>
          <t>5</t>
        </is>
      </c>
      <c r="R1233" s="5" t="inlineStr">
        <is>
          <t>6</t>
        </is>
      </c>
      <c r="S1233" s="5" t="inlineStr">
        <is>
          <t>69</t>
        </is>
      </c>
      <c r="T1233" s="5" t="inlineStr">
        <is>
          <t>6</t>
        </is>
      </c>
      <c r="U1233" s="5" t="inlineStr">
        <is>
          <t>OK</t>
        </is>
      </c>
    </row>
    <row r="1234">
      <c r="A1234" s="5" t="inlineStr">
        <is>
          <t>E01118</t>
        </is>
      </c>
      <c r="B1234" s="5" t="inlineStr">
        <is>
          <t>Female</t>
        </is>
      </c>
      <c r="C1234" s="6" t="inlineStr">
        <is>
          <t>31</t>
        </is>
      </c>
      <c r="D1234" s="5" t="inlineStr">
        <is>
          <t>Married</t>
        </is>
      </c>
      <c r="E1234" s="5" t="inlineStr">
        <is>
          <t>PhD</t>
        </is>
      </c>
      <c r="F1234" s="5" t="inlineStr">
        <is>
          <t>IT</t>
        </is>
      </c>
      <c r="G1234" s="5" t="inlineStr">
        <is>
          <t>DevOps Engineer</t>
        </is>
      </c>
      <c r="H1234" s="5" t="inlineStr">
        <is>
          <t>3</t>
        </is>
      </c>
      <c r="I1234" s="5" t="inlineStr">
        <is>
          <t>Remote</t>
        </is>
      </c>
      <c r="J1234" s="5" t="inlineStr">
        <is>
          <t>Full-Time</t>
        </is>
      </c>
      <c r="K1234" s="7" t="n">
        <v>44991</v>
      </c>
      <c r="L1234" s="7" t="inlineStr"/>
      <c r="M1234" s="5" t="inlineStr">
        <is>
          <t>Yes</t>
        </is>
      </c>
      <c r="N1234" s="5" t="inlineStr"/>
      <c r="O1234" s="8" t="inlineStr">
        <is>
          <t>183000</t>
        </is>
      </c>
      <c r="P1234" s="5" t="inlineStr">
        <is>
          <t>5</t>
        </is>
      </c>
      <c r="Q1234" s="5" t="inlineStr">
        <is>
          <t>3</t>
        </is>
      </c>
      <c r="R1234" s="5" t="inlineStr">
        <is>
          <t>9</t>
        </is>
      </c>
      <c r="S1234" s="5" t="inlineStr">
        <is>
          <t>34</t>
        </is>
      </c>
      <c r="T1234" s="5" t="inlineStr">
        <is>
          <t>19</t>
        </is>
      </c>
      <c r="U1234" s="5" t="inlineStr">
        <is>
          <t>OK</t>
        </is>
      </c>
    </row>
    <row r="1235">
      <c r="A1235" s="5" t="inlineStr">
        <is>
          <t>E01210</t>
        </is>
      </c>
      <c r="B1235" s="5" t="inlineStr">
        <is>
          <t>Male</t>
        </is>
      </c>
      <c r="C1235" s="6" t="inlineStr">
        <is>
          <t>31</t>
        </is>
      </c>
      <c r="D1235" s="5" t="inlineStr">
        <is>
          <t>Married</t>
        </is>
      </c>
      <c r="E1235" s="5" t="inlineStr">
        <is>
          <t>Bachelor</t>
        </is>
      </c>
      <c r="F1235" s="5" t="inlineStr">
        <is>
          <t>IT</t>
        </is>
      </c>
      <c r="G1235" s="5" t="inlineStr">
        <is>
          <t>DevOps Engineer</t>
        </is>
      </c>
      <c r="H1235" s="5" t="inlineStr">
        <is>
          <t>1</t>
        </is>
      </c>
      <c r="I1235" s="5" t="inlineStr">
        <is>
          <t>Mumbai</t>
        </is>
      </c>
      <c r="J1235" s="5" t="inlineStr">
        <is>
          <t>Full-Time</t>
        </is>
      </c>
      <c r="K1235" s="7" t="n">
        <v>45508</v>
      </c>
      <c r="L1235" s="7" t="n">
        <v>45633</v>
      </c>
      <c r="M1235" s="5" t="inlineStr">
        <is>
          <t>No</t>
        </is>
      </c>
      <c r="N1235" s="5" t="inlineStr">
        <is>
          <t>Resigned</t>
        </is>
      </c>
      <c r="O1235" s="8" t="inlineStr">
        <is>
          <t>139500</t>
        </is>
      </c>
      <c r="P1235" s="5" t="inlineStr">
        <is>
          <t>5</t>
        </is>
      </c>
      <c r="Q1235" s="5" t="inlineStr">
        <is>
          <t>4</t>
        </is>
      </c>
      <c r="R1235" s="5" t="inlineStr">
        <is>
          <t>4</t>
        </is>
      </c>
      <c r="S1235" s="5" t="inlineStr">
        <is>
          <t>4</t>
        </is>
      </c>
      <c r="T1235" s="5" t="inlineStr">
        <is>
          <t>5</t>
        </is>
      </c>
      <c r="U1235" s="5" t="inlineStr">
        <is>
          <t>OK</t>
        </is>
      </c>
    </row>
    <row r="1236">
      <c r="A1236" s="5" t="inlineStr">
        <is>
          <t>E00784</t>
        </is>
      </c>
      <c r="B1236" s="5" t="inlineStr">
        <is>
          <t>Male</t>
        </is>
      </c>
      <c r="C1236" s="6" t="inlineStr">
        <is>
          <t>28</t>
        </is>
      </c>
      <c r="D1236" s="5" t="inlineStr">
        <is>
          <t>Married</t>
        </is>
      </c>
      <c r="E1236" s="5" t="inlineStr">
        <is>
          <t>Bachelor</t>
        </is>
      </c>
      <c r="F1236" s="5" t="inlineStr">
        <is>
          <t>Human Resources</t>
        </is>
      </c>
      <c r="G1236" s="5" t="inlineStr">
        <is>
          <t>Recruiter</t>
        </is>
      </c>
      <c r="H1236" s="5" t="inlineStr">
        <is>
          <t>3</t>
        </is>
      </c>
      <c r="I1236" s="5" t="inlineStr">
        <is>
          <t>Chennai</t>
        </is>
      </c>
      <c r="J1236" s="5" t="inlineStr">
        <is>
          <t>Full-Time</t>
        </is>
      </c>
      <c r="K1236" s="7" t="n">
        <v>44731</v>
      </c>
      <c r="L1236" s="7" t="inlineStr"/>
      <c r="M1236" s="5" t="inlineStr">
        <is>
          <t>Yes</t>
        </is>
      </c>
      <c r="N1236" s="5" t="inlineStr"/>
      <c r="O1236" s="8" t="inlineStr">
        <is>
          <t>87000</t>
        </is>
      </c>
      <c r="P1236" s="5" t="inlineStr">
        <is>
          <t>5</t>
        </is>
      </c>
      <c r="Q1236" s="5" t="inlineStr">
        <is>
          <t>3</t>
        </is>
      </c>
      <c r="R1236" s="5" t="inlineStr">
        <is>
          <t>6</t>
        </is>
      </c>
      <c r="S1236" s="5" t="inlineStr">
        <is>
          <t>43</t>
        </is>
      </c>
      <c r="T1236" s="5" t="inlineStr">
        <is>
          <t>6</t>
        </is>
      </c>
      <c r="U1236" s="5" t="inlineStr">
        <is>
          <t>OK</t>
        </is>
      </c>
    </row>
    <row r="1237">
      <c r="A1237" s="5" t="inlineStr">
        <is>
          <t>E00332</t>
        </is>
      </c>
      <c r="B1237" s="5" t="inlineStr">
        <is>
          <t>Female</t>
        </is>
      </c>
      <c r="C1237" s="6" t="inlineStr">
        <is>
          <t>42</t>
        </is>
      </c>
      <c r="D1237" s="5" t="inlineStr">
        <is>
          <t>Married</t>
        </is>
      </c>
      <c r="E1237" s="5" t="inlineStr">
        <is>
          <t>High School</t>
        </is>
      </c>
      <c r="F1237" s="5" t="inlineStr">
        <is>
          <t>IT</t>
        </is>
      </c>
      <c r="G1237" s="5" t="inlineStr">
        <is>
          <t>Software Engineer</t>
        </is>
      </c>
      <c r="H1237" s="5" t="inlineStr">
        <is>
          <t>5</t>
        </is>
      </c>
      <c r="I1237" s="5" t="inlineStr">
        <is>
          <t>Remote</t>
        </is>
      </c>
      <c r="J1237" s="5" t="inlineStr">
        <is>
          <t>Full-Time</t>
        </is>
      </c>
      <c r="K1237" s="7" t="n">
        <v>44818</v>
      </c>
      <c r="L1237" s="7" t="inlineStr"/>
      <c r="M1237" s="5" t="inlineStr">
        <is>
          <t>Yes</t>
        </is>
      </c>
      <c r="N1237" s="5" t="inlineStr"/>
      <c r="O1237" s="8" t="inlineStr">
        <is>
          <t>172000</t>
        </is>
      </c>
      <c r="P1237" s="5" t="inlineStr">
        <is>
          <t>10</t>
        </is>
      </c>
      <c r="Q1237" s="5" t="inlineStr">
        <is>
          <t>3</t>
        </is>
      </c>
      <c r="R1237" s="5" t="inlineStr">
        <is>
          <t>7</t>
        </is>
      </c>
      <c r="S1237" s="5" t="inlineStr">
        <is>
          <t>40</t>
        </is>
      </c>
      <c r="T1237" s="5" t="inlineStr">
        <is>
          <t>12</t>
        </is>
      </c>
      <c r="U1237" s="5" t="inlineStr">
        <is>
          <t>OK</t>
        </is>
      </c>
    </row>
    <row r="1238">
      <c r="A1238" s="5" t="inlineStr">
        <is>
          <t>E02645</t>
        </is>
      </c>
      <c r="B1238" s="5" t="inlineStr">
        <is>
          <t>Female</t>
        </is>
      </c>
      <c r="C1238" s="6" t="inlineStr">
        <is>
          <t>40</t>
        </is>
      </c>
      <c r="D1238" s="5" t="inlineStr">
        <is>
          <t>Married</t>
        </is>
      </c>
      <c r="E1238" s="5" t="inlineStr">
        <is>
          <t>Bachelor</t>
        </is>
      </c>
      <c r="F1238" s="5" t="inlineStr">
        <is>
          <t>IT</t>
        </is>
      </c>
      <c r="G1238" s="5" t="inlineStr">
        <is>
          <t>Data Analyst</t>
        </is>
      </c>
      <c r="H1238" s="5" t="inlineStr">
        <is>
          <t>7</t>
        </is>
      </c>
      <c r="I1238" s="5" t="inlineStr">
        <is>
          <t>Remote</t>
        </is>
      </c>
      <c r="J1238" s="5" t="inlineStr">
        <is>
          <t>Full-Time</t>
        </is>
      </c>
      <c r="K1238" s="7" t="n">
        <v>45220</v>
      </c>
      <c r="L1238" s="7" t="inlineStr"/>
      <c r="M1238" s="5" t="inlineStr">
        <is>
          <t>Yes</t>
        </is>
      </c>
      <c r="N1238" s="5" t="inlineStr"/>
      <c r="O1238" s="8" t="inlineStr">
        <is>
          <t>156500</t>
        </is>
      </c>
      <c r="P1238" s="5" t="inlineStr">
        <is>
          <t>10</t>
        </is>
      </c>
      <c r="Q1238" s="5" t="inlineStr">
        <is>
          <t>3</t>
        </is>
      </c>
      <c r="R1238" s="5" t="inlineStr">
        <is>
          <t>7</t>
        </is>
      </c>
      <c r="S1238" s="5" t="inlineStr">
        <is>
          <t>26</t>
        </is>
      </c>
      <c r="T1238" s="5" t="inlineStr">
        <is>
          <t>9</t>
        </is>
      </c>
      <c r="U1238" s="5" t="inlineStr">
        <is>
          <t>OK</t>
        </is>
      </c>
    </row>
    <row r="1239">
      <c r="A1239" s="5" t="inlineStr">
        <is>
          <t>E00109</t>
        </is>
      </c>
      <c r="B1239" s="5" t="inlineStr">
        <is>
          <t>Male</t>
        </is>
      </c>
      <c r="C1239" s="6" t="inlineStr">
        <is>
          <t>35</t>
        </is>
      </c>
      <c r="D1239" s="5" t="inlineStr">
        <is>
          <t>Single</t>
        </is>
      </c>
      <c r="E1239" s="5" t="inlineStr">
        <is>
          <t>Diploma</t>
        </is>
      </c>
      <c r="F1239" s="5" t="inlineStr">
        <is>
          <t>Marketing</t>
        </is>
      </c>
      <c r="G1239" s="5" t="inlineStr">
        <is>
          <t>SEO Specialist</t>
        </is>
      </c>
      <c r="H1239" s="5" t="inlineStr">
        <is>
          <t>3</t>
        </is>
      </c>
      <c r="I1239" s="5" t="inlineStr">
        <is>
          <t>Bengaluru</t>
        </is>
      </c>
      <c r="J1239" s="5" t="inlineStr">
        <is>
          <t>Full-Time</t>
        </is>
      </c>
      <c r="K1239" s="7" t="n">
        <v>44322</v>
      </c>
      <c r="L1239" s="7" t="inlineStr"/>
      <c r="M1239" s="5" t="inlineStr">
        <is>
          <t>Yes</t>
        </is>
      </c>
      <c r="N1239" s="5" t="inlineStr"/>
      <c r="O1239" s="8" t="inlineStr">
        <is>
          <t>93000</t>
        </is>
      </c>
      <c r="P1239" s="5" t="inlineStr">
        <is>
          <t>10</t>
        </is>
      </c>
      <c r="Q1239" s="5" t="inlineStr">
        <is>
          <t>3</t>
        </is>
      </c>
      <c r="R1239" s="5" t="inlineStr">
        <is>
          <t>6</t>
        </is>
      </c>
      <c r="S1239" s="5" t="inlineStr">
        <is>
          <t>56</t>
        </is>
      </c>
      <c r="T1239" s="5" t="inlineStr">
        <is>
          <t>10</t>
        </is>
      </c>
      <c r="U1239" s="5" t="inlineStr">
        <is>
          <t>OK</t>
        </is>
      </c>
    </row>
    <row r="1240">
      <c r="A1240" s="5" t="inlineStr">
        <is>
          <t>E01351</t>
        </is>
      </c>
      <c r="B1240" s="5" t="inlineStr">
        <is>
          <t>Female</t>
        </is>
      </c>
      <c r="C1240" s="6" t="inlineStr">
        <is>
          <t>32</t>
        </is>
      </c>
      <c r="D1240" s="5" t="inlineStr">
        <is>
          <t>Married</t>
        </is>
      </c>
      <c r="E1240" s="5" t="inlineStr">
        <is>
          <t>Master</t>
        </is>
      </c>
      <c r="F1240" s="5" t="inlineStr">
        <is>
          <t>IT</t>
        </is>
      </c>
      <c r="G1240" s="5" t="inlineStr">
        <is>
          <t>IT Support</t>
        </is>
      </c>
      <c r="H1240" s="5" t="inlineStr">
        <is>
          <t>1</t>
        </is>
      </c>
      <c r="I1240" s="5" t="inlineStr">
        <is>
          <t>Chennai</t>
        </is>
      </c>
      <c r="J1240" s="5" t="inlineStr">
        <is>
          <t>Full-Time</t>
        </is>
      </c>
      <c r="K1240" s="7" t="n">
        <v>44502</v>
      </c>
      <c r="L1240" s="7" t="n">
        <v>44577</v>
      </c>
      <c r="M1240" s="5" t="inlineStr">
        <is>
          <t>No</t>
        </is>
      </c>
      <c r="N1240" s="5" t="inlineStr">
        <is>
          <t>Resigned</t>
        </is>
      </c>
      <c r="O1240" s="8" t="inlineStr">
        <is>
          <t>129500</t>
        </is>
      </c>
      <c r="P1240" s="5" t="inlineStr">
        <is>
          <t>5</t>
        </is>
      </c>
      <c r="Q1240" s="5" t="inlineStr">
        <is>
          <t>4</t>
        </is>
      </c>
      <c r="R1240" s="5" t="inlineStr">
        <is>
          <t>5</t>
        </is>
      </c>
      <c r="S1240" s="5" t="inlineStr">
        <is>
          <t>2</t>
        </is>
      </c>
      <c r="T1240" s="5" t="inlineStr">
        <is>
          <t>9</t>
        </is>
      </c>
      <c r="U1240" s="5" t="inlineStr">
        <is>
          <t>OK</t>
        </is>
      </c>
    </row>
    <row r="1241">
      <c r="A1241" s="5" t="inlineStr">
        <is>
          <t>E01269</t>
        </is>
      </c>
      <c r="B1241" s="5" t="inlineStr">
        <is>
          <t>Male</t>
        </is>
      </c>
      <c r="C1241" s="6" t="inlineStr">
        <is>
          <t>34</t>
        </is>
      </c>
      <c r="D1241" s="5" t="inlineStr">
        <is>
          <t>Married</t>
        </is>
      </c>
      <c r="E1241" s="5" t="inlineStr">
        <is>
          <t>Bachelor</t>
        </is>
      </c>
      <c r="F1241" s="5" t="inlineStr">
        <is>
          <t>Customer Support</t>
        </is>
      </c>
      <c r="G1241" s="5" t="inlineStr">
        <is>
          <t>Support Agent</t>
        </is>
      </c>
      <c r="H1241" s="5" t="inlineStr">
        <is>
          <t>1</t>
        </is>
      </c>
      <c r="I1241" s="5" t="inlineStr">
        <is>
          <t>Remote</t>
        </is>
      </c>
      <c r="J1241" s="5" t="inlineStr">
        <is>
          <t>Full-Time</t>
        </is>
      </c>
      <c r="K1241" s="7" t="n">
        <v>44494</v>
      </c>
      <c r="L1241" s="7" t="inlineStr"/>
      <c r="M1241" s="5" t="inlineStr">
        <is>
          <t>Yes</t>
        </is>
      </c>
      <c r="N1241" s="5" t="inlineStr"/>
      <c r="O1241" s="8" t="inlineStr">
        <is>
          <t>66500</t>
        </is>
      </c>
      <c r="P1241" s="5" t="inlineStr">
        <is>
          <t>0</t>
        </is>
      </c>
      <c r="Q1241" s="5" t="inlineStr">
        <is>
          <t>2</t>
        </is>
      </c>
      <c r="R1241" s="5" t="inlineStr">
        <is>
          <t>7</t>
        </is>
      </c>
      <c r="S1241" s="5" t="inlineStr">
        <is>
          <t>50</t>
        </is>
      </c>
      <c r="T1241" s="5" t="inlineStr">
        <is>
          <t>2</t>
        </is>
      </c>
      <c r="U1241" s="5" t="inlineStr">
        <is>
          <t>OK</t>
        </is>
      </c>
    </row>
    <row r="1242">
      <c r="A1242" s="5" t="inlineStr">
        <is>
          <t>E01268</t>
        </is>
      </c>
      <c r="B1242" s="5" t="inlineStr">
        <is>
          <t>Male</t>
        </is>
      </c>
      <c r="C1242" s="6" t="inlineStr">
        <is>
          <t>33</t>
        </is>
      </c>
      <c r="D1242" s="5" t="inlineStr">
        <is>
          <t>Married</t>
        </is>
      </c>
      <c r="E1242" s="5" t="inlineStr">
        <is>
          <t>Bachelor</t>
        </is>
      </c>
      <c r="F1242" s="5" t="inlineStr">
        <is>
          <t>Sales</t>
        </is>
      </c>
      <c r="G1242" s="5" t="inlineStr">
        <is>
          <t>Account Executive</t>
        </is>
      </c>
      <c r="H1242" s="5" t="inlineStr">
        <is>
          <t>3</t>
        </is>
      </c>
      <c r="I1242" s="5" t="inlineStr">
        <is>
          <t>Mumbai</t>
        </is>
      </c>
      <c r="J1242" s="5" t="inlineStr">
        <is>
          <t>Full-Time</t>
        </is>
      </c>
      <c r="K1242" s="7" t="n">
        <v>45985</v>
      </c>
      <c r="L1242" s="7" t="n">
        <v>46000</v>
      </c>
      <c r="M1242" s="5" t="inlineStr">
        <is>
          <t>No</t>
        </is>
      </c>
      <c r="N1242" s="5" t="inlineStr">
        <is>
          <t>Resigned</t>
        </is>
      </c>
      <c r="O1242" s="8" t="inlineStr">
        <is>
          <t>127000</t>
        </is>
      </c>
      <c r="P1242" s="5" t="inlineStr">
        <is>
          <t>5</t>
        </is>
      </c>
      <c r="Q1242" s="5" t="inlineStr">
        <is>
          <t>5</t>
        </is>
      </c>
      <c r="R1242" s="5" t="inlineStr">
        <is>
          <t>6</t>
        </is>
      </c>
      <c r="S1242" s="5" t="inlineStr">
        <is>
          <t>1</t>
        </is>
      </c>
      <c r="T1242" s="5" t="inlineStr">
        <is>
          <t>15</t>
        </is>
      </c>
      <c r="U1242" s="5" t="inlineStr">
        <is>
          <t>OK</t>
        </is>
      </c>
    </row>
    <row r="1243">
      <c r="A1243" s="5" t="inlineStr">
        <is>
          <t>E02937</t>
        </is>
      </c>
      <c r="B1243" s="5" t="inlineStr">
        <is>
          <t>Female</t>
        </is>
      </c>
      <c r="C1243" s="6" t="inlineStr">
        <is>
          <t>29</t>
        </is>
      </c>
      <c r="D1243" s="5" t="inlineStr">
        <is>
          <t>Married</t>
        </is>
      </c>
      <c r="E1243" s="5" t="inlineStr">
        <is>
          <t>High School</t>
        </is>
      </c>
      <c r="F1243" s="5" t="inlineStr">
        <is>
          <t>Executive</t>
        </is>
      </c>
      <c r="G1243" s="5" t="inlineStr">
        <is>
          <t>CFO</t>
        </is>
      </c>
      <c r="H1243" s="5" t="inlineStr">
        <is>
          <t>2</t>
        </is>
      </c>
      <c r="I1243" s="5" t="inlineStr">
        <is>
          <t>Bengaluru</t>
        </is>
      </c>
      <c r="J1243" s="5" t="inlineStr">
        <is>
          <t>Full-Time</t>
        </is>
      </c>
      <c r="K1243" s="7" t="n">
        <v>45149</v>
      </c>
      <c r="L1243" s="7" t="inlineStr"/>
      <c r="M1243" s="5" t="inlineStr">
        <is>
          <t>Yes</t>
        </is>
      </c>
      <c r="N1243" s="5" t="inlineStr"/>
      <c r="O1243" s="8" t="inlineStr">
        <is>
          <t>204000</t>
        </is>
      </c>
      <c r="P1243" s="5" t="inlineStr">
        <is>
          <t>0</t>
        </is>
      </c>
      <c r="Q1243" s="5" t="inlineStr">
        <is>
          <t>4</t>
        </is>
      </c>
      <c r="R1243" s="5" t="inlineStr">
        <is>
          <t>6</t>
        </is>
      </c>
      <c r="S1243" s="5" t="inlineStr">
        <is>
          <t>29</t>
        </is>
      </c>
      <c r="T1243" s="5" t="inlineStr">
        <is>
          <t>0</t>
        </is>
      </c>
      <c r="U1243" s="5" t="inlineStr">
        <is>
          <t>OK</t>
        </is>
      </c>
    </row>
    <row r="1244">
      <c r="A1244" s="5" t="inlineStr">
        <is>
          <t>E00544</t>
        </is>
      </c>
      <c r="B1244" s="5" t="inlineStr">
        <is>
          <t>Male</t>
        </is>
      </c>
      <c r="C1244" s="6" t="inlineStr">
        <is>
          <t>30</t>
        </is>
      </c>
      <c r="D1244" s="5" t="inlineStr">
        <is>
          <t>Married</t>
        </is>
      </c>
      <c r="E1244" s="5" t="inlineStr">
        <is>
          <t>PhD</t>
        </is>
      </c>
      <c r="F1244" s="5" t="inlineStr">
        <is>
          <t>Research &amp; Development</t>
        </is>
      </c>
      <c r="G1244" s="5" t="inlineStr">
        <is>
          <t>Research Scientist</t>
        </is>
      </c>
      <c r="H1244" s="5" t="inlineStr">
        <is>
          <t>1</t>
        </is>
      </c>
      <c r="I1244" s="5" t="inlineStr">
        <is>
          <t>Mumbai</t>
        </is>
      </c>
      <c r="J1244" s="5" t="inlineStr">
        <is>
          <t>Full-Time</t>
        </is>
      </c>
      <c r="K1244" s="7" t="n">
        <v>45661</v>
      </c>
      <c r="L1244" s="7" t="inlineStr"/>
      <c r="M1244" s="5" t="inlineStr">
        <is>
          <t>Yes</t>
        </is>
      </c>
      <c r="N1244" s="5" t="inlineStr"/>
      <c r="O1244" s="8" t="inlineStr">
        <is>
          <t>124000</t>
        </is>
      </c>
      <c r="P1244" s="5" t="inlineStr">
        <is>
          <t>15</t>
        </is>
      </c>
      <c r="Q1244" s="5" t="inlineStr">
        <is>
          <t>3</t>
        </is>
      </c>
      <c r="R1244" s="5" t="inlineStr">
        <is>
          <t>3</t>
        </is>
      </c>
      <c r="S1244" s="5" t="inlineStr">
        <is>
          <t>12</t>
        </is>
      </c>
      <c r="T1244" s="5" t="inlineStr">
        <is>
          <t>0</t>
        </is>
      </c>
      <c r="U1244" s="5" t="inlineStr">
        <is>
          <t>OK</t>
        </is>
      </c>
    </row>
    <row r="1245">
      <c r="A1245" s="5" t="inlineStr">
        <is>
          <t>E02783</t>
        </is>
      </c>
      <c r="B1245" s="5" t="inlineStr">
        <is>
          <t>Female</t>
        </is>
      </c>
      <c r="C1245" s="6" t="inlineStr">
        <is>
          <t>37</t>
        </is>
      </c>
      <c r="D1245" s="5" t="inlineStr">
        <is>
          <t>Single</t>
        </is>
      </c>
      <c r="E1245" s="5" t="inlineStr">
        <is>
          <t>PhD</t>
        </is>
      </c>
      <c r="F1245" s="5" t="inlineStr">
        <is>
          <t>Human Resources</t>
        </is>
      </c>
      <c r="G1245" s="5" t="inlineStr">
        <is>
          <t>HR Generalist</t>
        </is>
      </c>
      <c r="H1245" s="5" t="inlineStr">
        <is>
          <t>3</t>
        </is>
      </c>
      <c r="I1245" s="5" t="inlineStr">
        <is>
          <t>Hyderabad</t>
        </is>
      </c>
      <c r="J1245" s="5" t="inlineStr">
        <is>
          <t>Full-Time</t>
        </is>
      </c>
      <c r="K1245" s="7" t="n">
        <v>44460</v>
      </c>
      <c r="L1245" s="7" t="n">
        <v>44552</v>
      </c>
      <c r="M1245" s="5" t="inlineStr">
        <is>
          <t>No</t>
        </is>
      </c>
      <c r="N1245" s="5" t="inlineStr">
        <is>
          <t>Resigned</t>
        </is>
      </c>
      <c r="O1245" s="8" t="inlineStr">
        <is>
          <t>122500</t>
        </is>
      </c>
      <c r="P1245" s="5" t="inlineStr">
        <is>
          <t>10</t>
        </is>
      </c>
      <c r="Q1245" s="5" t="inlineStr">
        <is>
          <t>3</t>
        </is>
      </c>
      <c r="R1245" s="5" t="inlineStr">
        <is>
          <t>4</t>
        </is>
      </c>
      <c r="S1245" s="5" t="inlineStr">
        <is>
          <t>3</t>
        </is>
      </c>
      <c r="T1245" s="5" t="inlineStr">
        <is>
          <t>9</t>
        </is>
      </c>
      <c r="U1245" s="5" t="inlineStr">
        <is>
          <t>OK</t>
        </is>
      </c>
    </row>
    <row r="1246">
      <c r="A1246" s="5" t="inlineStr">
        <is>
          <t>E02229</t>
        </is>
      </c>
      <c r="B1246" s="5" t="inlineStr">
        <is>
          <t>Male</t>
        </is>
      </c>
      <c r="C1246" s="6" t="inlineStr">
        <is>
          <t>32</t>
        </is>
      </c>
      <c r="D1246" s="5" t="inlineStr">
        <is>
          <t>Married</t>
        </is>
      </c>
      <c r="E1246" s="5" t="inlineStr">
        <is>
          <t>PhD</t>
        </is>
      </c>
      <c r="F1246" s="5" t="inlineStr">
        <is>
          <t>IT</t>
        </is>
      </c>
      <c r="G1246" s="5" t="inlineStr">
        <is>
          <t>IT Support</t>
        </is>
      </c>
      <c r="H1246" s="5" t="inlineStr">
        <is>
          <t>2</t>
        </is>
      </c>
      <c r="I1246" s="5" t="inlineStr">
        <is>
          <t>Mumbai</t>
        </is>
      </c>
      <c r="J1246" s="5" t="inlineStr">
        <is>
          <t>Full-Time</t>
        </is>
      </c>
      <c r="K1246" s="7" t="n">
        <v>45907</v>
      </c>
      <c r="L1246" s="7" t="inlineStr"/>
      <c r="M1246" s="5" t="inlineStr">
        <is>
          <t>Yes</t>
        </is>
      </c>
      <c r="N1246" s="5" t="inlineStr"/>
      <c r="O1246" s="8" t="inlineStr">
        <is>
          <t>160500</t>
        </is>
      </c>
      <c r="P1246" s="5" t="inlineStr">
        <is>
          <t>0</t>
        </is>
      </c>
      <c r="Q1246" s="5" t="inlineStr">
        <is>
          <t>4</t>
        </is>
      </c>
      <c r="R1246" s="5" t="inlineStr">
        <is>
          <t>10</t>
        </is>
      </c>
      <c r="S1246" s="5" t="inlineStr">
        <is>
          <t>3</t>
        </is>
      </c>
      <c r="T1246" s="5" t="inlineStr">
        <is>
          <t>0</t>
        </is>
      </c>
      <c r="U1246" s="5" t="inlineStr">
        <is>
          <t>OK</t>
        </is>
      </c>
    </row>
    <row r="1247">
      <c r="A1247" s="5" t="inlineStr">
        <is>
          <t>E02768</t>
        </is>
      </c>
      <c r="B1247" s="5" t="inlineStr">
        <is>
          <t>Male</t>
        </is>
      </c>
      <c r="C1247" s="6" t="inlineStr">
        <is>
          <t>40</t>
        </is>
      </c>
      <c r="D1247" s="5" t="inlineStr">
        <is>
          <t>Married</t>
        </is>
      </c>
      <c r="E1247" s="5" t="inlineStr">
        <is>
          <t>High School</t>
        </is>
      </c>
      <c r="F1247" s="5" t="inlineStr">
        <is>
          <t>IT</t>
        </is>
      </c>
      <c r="G1247" s="5" t="inlineStr">
        <is>
          <t>DevOps Engineer</t>
        </is>
      </c>
      <c r="H1247" s="5" t="inlineStr">
        <is>
          <t>4</t>
        </is>
      </c>
      <c r="I1247" s="5" t="inlineStr">
        <is>
          <t>Delhi</t>
        </is>
      </c>
      <c r="J1247" s="5" t="inlineStr">
        <is>
          <t>Full-Time</t>
        </is>
      </c>
      <c r="K1247" s="7" t="n">
        <v>45738</v>
      </c>
      <c r="L1247" s="7" t="inlineStr"/>
      <c r="M1247" s="5" t="inlineStr">
        <is>
          <t>Yes</t>
        </is>
      </c>
      <c r="N1247" s="5" t="inlineStr"/>
      <c r="O1247" s="8" t="inlineStr">
        <is>
          <t>168500</t>
        </is>
      </c>
      <c r="P1247" s="5" t="inlineStr">
        <is>
          <t>0</t>
        </is>
      </c>
      <c r="Q1247" s="5" t="inlineStr">
        <is>
          <t>3</t>
        </is>
      </c>
      <c r="R1247" s="5" t="inlineStr">
        <is>
          <t>6</t>
        </is>
      </c>
      <c r="S1247" s="5" t="inlineStr">
        <is>
          <t>9</t>
        </is>
      </c>
      <c r="T1247" s="5" t="inlineStr">
        <is>
          <t>9</t>
        </is>
      </c>
      <c r="U1247" s="5" t="inlineStr">
        <is>
          <t>OK</t>
        </is>
      </c>
    </row>
    <row r="1248">
      <c r="A1248" s="5" t="inlineStr">
        <is>
          <t>E02290</t>
        </is>
      </c>
      <c r="B1248" s="5" t="inlineStr">
        <is>
          <t>Female</t>
        </is>
      </c>
      <c r="C1248" s="6" t="inlineStr">
        <is>
          <t>35</t>
        </is>
      </c>
      <c r="D1248" s="5" t="inlineStr">
        <is>
          <t>Married</t>
        </is>
      </c>
      <c r="E1248" s="5" t="inlineStr">
        <is>
          <t>Master</t>
        </is>
      </c>
      <c r="F1248" s="5" t="inlineStr">
        <is>
          <t>IT</t>
        </is>
      </c>
      <c r="G1248" s="5" t="inlineStr">
        <is>
          <t>DevOps Engineer</t>
        </is>
      </c>
      <c r="H1248" s="5" t="inlineStr">
        <is>
          <t>2</t>
        </is>
      </c>
      <c r="I1248" s="5" t="inlineStr">
        <is>
          <t>Bengaluru</t>
        </is>
      </c>
      <c r="J1248" s="5" t="inlineStr">
        <is>
          <t>Full-Time</t>
        </is>
      </c>
      <c r="K1248" s="7" t="n">
        <v>43962</v>
      </c>
      <c r="L1248" s="7" t="inlineStr"/>
      <c r="M1248" s="5" t="inlineStr">
        <is>
          <t>Yes</t>
        </is>
      </c>
      <c r="N1248" s="5" t="inlineStr"/>
      <c r="O1248" s="8" t="inlineStr">
        <is>
          <t>150500</t>
        </is>
      </c>
      <c r="P1248" s="5" t="inlineStr">
        <is>
          <t>10</t>
        </is>
      </c>
      <c r="Q1248" s="5" t="inlineStr">
        <is>
          <t>3</t>
        </is>
      </c>
      <c r="R1248" s="5" t="inlineStr">
        <is>
          <t>7</t>
        </is>
      </c>
      <c r="S1248" s="5" t="inlineStr">
        <is>
          <t>68</t>
        </is>
      </c>
      <c r="T1248" s="5" t="inlineStr">
        <is>
          <t>6</t>
        </is>
      </c>
      <c r="U1248" s="5" t="inlineStr">
        <is>
          <t>OK</t>
        </is>
      </c>
    </row>
    <row r="1249">
      <c r="A1249" s="5" t="inlineStr">
        <is>
          <t>E01384</t>
        </is>
      </c>
      <c r="B1249" s="5" t="inlineStr">
        <is>
          <t>Male</t>
        </is>
      </c>
      <c r="C1249" s="6" t="inlineStr">
        <is>
          <t>23</t>
        </is>
      </c>
      <c r="D1249" s="5" t="inlineStr">
        <is>
          <t>Married</t>
        </is>
      </c>
      <c r="E1249" s="5" t="inlineStr">
        <is>
          <t>High School</t>
        </is>
      </c>
      <c r="F1249" s="5" t="inlineStr">
        <is>
          <t>IT</t>
        </is>
      </c>
      <c r="G1249" s="5" t="inlineStr">
        <is>
          <t>Data Analyst</t>
        </is>
      </c>
      <c r="H1249" s="5" t="inlineStr">
        <is>
          <t>1</t>
        </is>
      </c>
      <c r="I1249" s="5" t="inlineStr">
        <is>
          <t>Delhi</t>
        </is>
      </c>
      <c r="J1249" s="5" t="inlineStr">
        <is>
          <t>Full-Time</t>
        </is>
      </c>
      <c r="K1249" s="7" t="n">
        <v>44997</v>
      </c>
      <c r="L1249" s="7" t="inlineStr"/>
      <c r="M1249" s="5" t="inlineStr">
        <is>
          <t>Yes</t>
        </is>
      </c>
      <c r="N1249" s="5" t="inlineStr"/>
      <c r="O1249" s="8" t="inlineStr">
        <is>
          <t>82500</t>
        </is>
      </c>
      <c r="P1249" s="5" t="inlineStr">
        <is>
          <t>10</t>
        </is>
      </c>
      <c r="Q1249" s="5" t="inlineStr">
        <is>
          <t>4</t>
        </is>
      </c>
      <c r="R1249" s="5" t="inlineStr">
        <is>
          <t>6</t>
        </is>
      </c>
      <c r="S1249" s="5" t="inlineStr">
        <is>
          <t>34</t>
        </is>
      </c>
      <c r="T1249" s="5" t="inlineStr">
        <is>
          <t>5</t>
        </is>
      </c>
      <c r="U1249" s="5" t="inlineStr">
        <is>
          <t>OK</t>
        </is>
      </c>
    </row>
    <row r="1250">
      <c r="A1250" s="5" t="inlineStr">
        <is>
          <t>E00741</t>
        </is>
      </c>
      <c r="B1250" s="5" t="inlineStr">
        <is>
          <t>Female</t>
        </is>
      </c>
      <c r="C1250" s="6" t="inlineStr">
        <is>
          <t>27</t>
        </is>
      </c>
      <c r="D1250" s="5" t="inlineStr">
        <is>
          <t>Married</t>
        </is>
      </c>
      <c r="E1250" s="5" t="inlineStr">
        <is>
          <t>High School</t>
        </is>
      </c>
      <c r="F1250" s="5" t="inlineStr">
        <is>
          <t>Research &amp; Development</t>
        </is>
      </c>
      <c r="G1250" s="5" t="inlineStr">
        <is>
          <t>Data Scientist</t>
        </is>
      </c>
      <c r="H1250" s="5" t="inlineStr">
        <is>
          <t>1</t>
        </is>
      </c>
      <c r="I1250" s="5" t="inlineStr">
        <is>
          <t>Hyderabad</t>
        </is>
      </c>
      <c r="J1250" s="5" t="inlineStr">
        <is>
          <t>Full-Time</t>
        </is>
      </c>
      <c r="K1250" s="7" t="n">
        <v>44424</v>
      </c>
      <c r="L1250" s="7" t="inlineStr"/>
      <c r="M1250" s="5" t="inlineStr">
        <is>
          <t>Yes</t>
        </is>
      </c>
      <c r="N1250" s="5" t="inlineStr"/>
      <c r="O1250" s="8" t="inlineStr">
        <is>
          <t>132500</t>
        </is>
      </c>
      <c r="P1250" s="5" t="inlineStr">
        <is>
          <t>0</t>
        </is>
      </c>
      <c r="Q1250" s="5" t="inlineStr">
        <is>
          <t>5</t>
        </is>
      </c>
      <c r="R1250" s="5" t="inlineStr">
        <is>
          <t>6</t>
        </is>
      </c>
      <c r="S1250" s="5" t="inlineStr">
        <is>
          <t>53</t>
        </is>
      </c>
      <c r="T1250" s="5" t="inlineStr">
        <is>
          <t>10</t>
        </is>
      </c>
      <c r="U1250" s="5" t="inlineStr">
        <is>
          <t>OK</t>
        </is>
      </c>
    </row>
    <row r="1251">
      <c r="A1251" s="5" t="inlineStr">
        <is>
          <t>E02642</t>
        </is>
      </c>
      <c r="B1251" s="5" t="inlineStr">
        <is>
          <t>Male</t>
        </is>
      </c>
      <c r="C1251" s="6" t="inlineStr">
        <is>
          <t>33</t>
        </is>
      </c>
      <c r="D1251" s="5" t="inlineStr">
        <is>
          <t>Married</t>
        </is>
      </c>
      <c r="E1251" s="5" t="inlineStr">
        <is>
          <t>PhD</t>
        </is>
      </c>
      <c r="F1251" s="5" t="inlineStr">
        <is>
          <t>Marketing</t>
        </is>
      </c>
      <c r="G1251" s="5" t="inlineStr">
        <is>
          <t>Marketing Analyst</t>
        </is>
      </c>
      <c r="H1251" s="5" t="inlineStr">
        <is>
          <t>4</t>
        </is>
      </c>
      <c r="I1251" s="5" t="inlineStr">
        <is>
          <t>Remote</t>
        </is>
      </c>
      <c r="J1251" s="5" t="inlineStr">
        <is>
          <t>Full-Time</t>
        </is>
      </c>
      <c r="K1251" s="7" t="n">
        <v>44783</v>
      </c>
      <c r="L1251" s="7" t="inlineStr"/>
      <c r="M1251" s="5" t="inlineStr">
        <is>
          <t>Yes</t>
        </is>
      </c>
      <c r="N1251" s="5" t="inlineStr"/>
      <c r="O1251" s="8" t="inlineStr">
        <is>
          <t>103000</t>
        </is>
      </c>
      <c r="P1251" s="5" t="inlineStr">
        <is>
          <t>10</t>
        </is>
      </c>
      <c r="Q1251" s="5" t="inlineStr">
        <is>
          <t>4</t>
        </is>
      </c>
      <c r="R1251" s="5" t="inlineStr">
        <is>
          <t>5</t>
        </is>
      </c>
      <c r="S1251" s="5" t="inlineStr">
        <is>
          <t>41</t>
        </is>
      </c>
      <c r="T1251" s="5" t="inlineStr">
        <is>
          <t>1</t>
        </is>
      </c>
      <c r="U1251" s="5" t="inlineStr">
        <is>
          <t>OK</t>
        </is>
      </c>
    </row>
    <row r="1252">
      <c r="A1252" s="5" t="inlineStr">
        <is>
          <t>E00302</t>
        </is>
      </c>
      <c r="B1252" s="5" t="inlineStr">
        <is>
          <t>Male</t>
        </is>
      </c>
      <c r="C1252" s="6" t="inlineStr">
        <is>
          <t>30</t>
        </is>
      </c>
      <c r="D1252" s="5" t="inlineStr">
        <is>
          <t>Married</t>
        </is>
      </c>
      <c r="E1252" s="5" t="inlineStr">
        <is>
          <t>Bachelor</t>
        </is>
      </c>
      <c r="F1252" s="5" t="inlineStr">
        <is>
          <t>Sales</t>
        </is>
      </c>
      <c r="G1252" s="5" t="inlineStr">
        <is>
          <t>Account Executive</t>
        </is>
      </c>
      <c r="H1252" s="5" t="inlineStr">
        <is>
          <t>4</t>
        </is>
      </c>
      <c r="I1252" s="5" t="inlineStr">
        <is>
          <t>Remote</t>
        </is>
      </c>
      <c r="J1252" s="5" t="inlineStr">
        <is>
          <t>Full-Time</t>
        </is>
      </c>
      <c r="K1252" s="7" t="n">
        <v>45864</v>
      </c>
      <c r="L1252" s="7" t="inlineStr"/>
      <c r="M1252" s="5" t="inlineStr">
        <is>
          <t>Yes</t>
        </is>
      </c>
      <c r="N1252" s="5" t="inlineStr"/>
      <c r="O1252" s="8" t="inlineStr">
        <is>
          <t>133000</t>
        </is>
      </c>
      <c r="P1252" s="5" t="inlineStr">
        <is>
          <t>0</t>
        </is>
      </c>
      <c r="Q1252" s="5" t="inlineStr">
        <is>
          <t>4</t>
        </is>
      </c>
      <c r="R1252" s="5" t="inlineStr">
        <is>
          <t>3</t>
        </is>
      </c>
      <c r="S1252" s="5" t="inlineStr">
        <is>
          <t>5</t>
        </is>
      </c>
      <c r="T1252" s="5" t="inlineStr">
        <is>
          <t>7</t>
        </is>
      </c>
      <c r="U1252" s="5" t="inlineStr">
        <is>
          <t>OK</t>
        </is>
      </c>
    </row>
    <row r="1253">
      <c r="A1253" s="5" t="inlineStr">
        <is>
          <t>E01566</t>
        </is>
      </c>
      <c r="B1253" s="5" t="inlineStr">
        <is>
          <t>Male</t>
        </is>
      </c>
      <c r="C1253" s="6" t="inlineStr">
        <is>
          <t>38</t>
        </is>
      </c>
      <c r="D1253" s="5" t="inlineStr">
        <is>
          <t>Married</t>
        </is>
      </c>
      <c r="E1253" s="5" t="inlineStr">
        <is>
          <t>Bachelor</t>
        </is>
      </c>
      <c r="F1253" s="5" t="inlineStr">
        <is>
          <t>Finance</t>
        </is>
      </c>
      <c r="G1253" s="5" t="inlineStr">
        <is>
          <t>Financial Analyst</t>
        </is>
      </c>
      <c r="H1253" s="5" t="inlineStr">
        <is>
          <t>4</t>
        </is>
      </c>
      <c r="I1253" s="5" t="inlineStr">
        <is>
          <t>Bengaluru</t>
        </is>
      </c>
      <c r="J1253" s="5" t="inlineStr">
        <is>
          <t>Full-Time</t>
        </is>
      </c>
      <c r="K1253" s="7" t="n">
        <v>44574</v>
      </c>
      <c r="L1253" s="7" t="n">
        <v>44665</v>
      </c>
      <c r="M1253" s="5" t="inlineStr">
        <is>
          <t>No</t>
        </is>
      </c>
      <c r="N1253" s="5" t="inlineStr">
        <is>
          <t>Resigned</t>
        </is>
      </c>
      <c r="O1253" s="8" t="inlineStr">
        <is>
          <t>113000</t>
        </is>
      </c>
      <c r="P1253" s="5" t="inlineStr">
        <is>
          <t>0</t>
        </is>
      </c>
      <c r="Q1253" s="5" t="inlineStr">
        <is>
          <t>4</t>
        </is>
      </c>
      <c r="R1253" s="5" t="inlineStr">
        <is>
          <t>2</t>
        </is>
      </c>
      <c r="S1253" s="5" t="inlineStr">
        <is>
          <t>3</t>
        </is>
      </c>
      <c r="T1253" s="5" t="inlineStr">
        <is>
          <t>2</t>
        </is>
      </c>
      <c r="U1253" s="5" t="inlineStr">
        <is>
          <t>OK</t>
        </is>
      </c>
    </row>
    <row r="1254">
      <c r="A1254" s="5" t="inlineStr">
        <is>
          <t>E01561</t>
        </is>
      </c>
      <c r="B1254" s="5" t="inlineStr">
        <is>
          <t>Female</t>
        </is>
      </c>
      <c r="C1254" s="6" t="inlineStr">
        <is>
          <t>30</t>
        </is>
      </c>
      <c r="D1254" s="5" t="inlineStr">
        <is>
          <t>Single</t>
        </is>
      </c>
      <c r="E1254" s="5" t="inlineStr">
        <is>
          <t>High School</t>
        </is>
      </c>
      <c r="F1254" s="5" t="inlineStr">
        <is>
          <t>Marketing</t>
        </is>
      </c>
      <c r="G1254" s="5" t="inlineStr">
        <is>
          <t>SEO Specialist</t>
        </is>
      </c>
      <c r="H1254" s="5" t="inlineStr">
        <is>
          <t>2</t>
        </is>
      </c>
      <c r="I1254" s="5" t="inlineStr">
        <is>
          <t>Hyderabad</t>
        </is>
      </c>
      <c r="J1254" s="5" t="inlineStr">
        <is>
          <t>Full-Time</t>
        </is>
      </c>
      <c r="K1254" s="7" t="n">
        <v>43846</v>
      </c>
      <c r="L1254" s="7" t="inlineStr"/>
      <c r="M1254" s="5" t="inlineStr">
        <is>
          <t>Yes</t>
        </is>
      </c>
      <c r="N1254" s="5" t="inlineStr"/>
      <c r="O1254" s="8" t="inlineStr">
        <is>
          <t>64000</t>
        </is>
      </c>
      <c r="P1254" s="5" t="inlineStr">
        <is>
          <t>15</t>
        </is>
      </c>
      <c r="Q1254" s="5" t="inlineStr">
        <is>
          <t>3</t>
        </is>
      </c>
      <c r="R1254" s="5" t="inlineStr">
        <is>
          <t>7</t>
        </is>
      </c>
      <c r="S1254" s="5" t="inlineStr">
        <is>
          <t>72</t>
        </is>
      </c>
      <c r="T1254" s="5" t="inlineStr">
        <is>
          <t>6</t>
        </is>
      </c>
      <c r="U1254" s="5" t="inlineStr">
        <is>
          <t>OK</t>
        </is>
      </c>
    </row>
    <row r="1255">
      <c r="A1255" s="5" t="inlineStr">
        <is>
          <t>E00096</t>
        </is>
      </c>
      <c r="B1255" s="5" t="inlineStr">
        <is>
          <t>Female</t>
        </is>
      </c>
      <c r="C1255" s="6" t="inlineStr">
        <is>
          <t>26</t>
        </is>
      </c>
      <c r="D1255" s="5" t="inlineStr">
        <is>
          <t>Married</t>
        </is>
      </c>
      <c r="E1255" s="5" t="inlineStr">
        <is>
          <t>Bachelor</t>
        </is>
      </c>
      <c r="F1255" s="5" t="inlineStr">
        <is>
          <t>Marketing</t>
        </is>
      </c>
      <c r="G1255" s="5" t="inlineStr">
        <is>
          <t>SEO Specialist</t>
        </is>
      </c>
      <c r="H1255" s="5" t="inlineStr">
        <is>
          <t>2</t>
        </is>
      </c>
      <c r="I1255" s="5" t="inlineStr">
        <is>
          <t>Mumbai</t>
        </is>
      </c>
      <c r="J1255" s="5" t="inlineStr">
        <is>
          <t>Contract</t>
        </is>
      </c>
      <c r="K1255" s="7" t="n">
        <v>45982</v>
      </c>
      <c r="L1255" s="7" t="n">
        <v>45997</v>
      </c>
      <c r="M1255" s="5" t="inlineStr">
        <is>
          <t>No</t>
        </is>
      </c>
      <c r="N1255" s="5" t="inlineStr">
        <is>
          <t>Resigned</t>
        </is>
      </c>
      <c r="O1255" s="8" t="inlineStr">
        <is>
          <t>97500</t>
        </is>
      </c>
      <c r="P1255" s="5" t="inlineStr">
        <is>
          <t>0</t>
        </is>
      </c>
      <c r="Q1255" s="5" t="inlineStr">
        <is>
          <t>3</t>
        </is>
      </c>
      <c r="R1255" s="5" t="inlineStr">
        <is>
          <t>6</t>
        </is>
      </c>
      <c r="S1255" s="5" t="inlineStr">
        <is>
          <t>1</t>
        </is>
      </c>
      <c r="T1255" s="5" t="inlineStr">
        <is>
          <t>3</t>
        </is>
      </c>
      <c r="U1255" s="5" t="inlineStr">
        <is>
          <t>OK</t>
        </is>
      </c>
    </row>
    <row r="1256">
      <c r="A1256" s="5" t="inlineStr">
        <is>
          <t>E02891</t>
        </is>
      </c>
      <c r="B1256" s="5" t="inlineStr">
        <is>
          <t>Unknown</t>
        </is>
      </c>
      <c r="C1256" s="6" t="inlineStr">
        <is>
          <t>32</t>
        </is>
      </c>
      <c r="D1256" s="5" t="inlineStr">
        <is>
          <t>Single</t>
        </is>
      </c>
      <c r="E1256" s="5" t="inlineStr">
        <is>
          <t>Master</t>
        </is>
      </c>
      <c r="F1256" s="5" t="inlineStr">
        <is>
          <t>Marketing</t>
        </is>
      </c>
      <c r="G1256" s="5" t="inlineStr">
        <is>
          <t>Content Writer</t>
        </is>
      </c>
      <c r="H1256" s="5" t="inlineStr">
        <is>
          <t>3</t>
        </is>
      </c>
      <c r="I1256" s="5" t="inlineStr">
        <is>
          <t>Delhi</t>
        </is>
      </c>
      <c r="J1256" s="5" t="inlineStr">
        <is>
          <t>Full-Time</t>
        </is>
      </c>
      <c r="K1256" s="7" t="n">
        <v>44293</v>
      </c>
      <c r="L1256" s="7" t="inlineStr"/>
      <c r="M1256" s="5" t="inlineStr">
        <is>
          <t>Yes</t>
        </is>
      </c>
      <c r="N1256" s="5" t="inlineStr"/>
      <c r="O1256" s="8" t="inlineStr">
        <is>
          <t>97500</t>
        </is>
      </c>
      <c r="P1256" s="5" t="inlineStr">
        <is>
          <t>0</t>
        </is>
      </c>
      <c r="Q1256" s="5" t="inlineStr">
        <is>
          <t>4</t>
        </is>
      </c>
      <c r="R1256" s="5" t="inlineStr">
        <is>
          <t>8</t>
        </is>
      </c>
      <c r="S1256" s="5" t="inlineStr">
        <is>
          <t>57</t>
        </is>
      </c>
      <c r="T1256" s="5" t="inlineStr">
        <is>
          <t>16</t>
        </is>
      </c>
      <c r="U1256" s="5" t="inlineStr">
        <is>
          <t>Bad gender</t>
        </is>
      </c>
    </row>
    <row r="1257">
      <c r="A1257" s="5" t="inlineStr">
        <is>
          <t>E01530</t>
        </is>
      </c>
      <c r="B1257" s="5" t="inlineStr">
        <is>
          <t>male</t>
        </is>
      </c>
      <c r="C1257" s="6" t="inlineStr">
        <is>
          <t>35</t>
        </is>
      </c>
      <c r="D1257" s="5" t="inlineStr">
        <is>
          <t>Married</t>
        </is>
      </c>
      <c r="E1257" s="5" t="inlineStr">
        <is>
          <t>Bachelor</t>
        </is>
      </c>
      <c r="F1257" s="5" t="inlineStr">
        <is>
          <t>Sales</t>
        </is>
      </c>
      <c r="G1257" s="5" t="inlineStr">
        <is>
          <t>Account Executive</t>
        </is>
      </c>
      <c r="H1257" s="5" t="inlineStr">
        <is>
          <t>7</t>
        </is>
      </c>
      <c r="I1257" s="5" t="inlineStr">
        <is>
          <t>Hyderabad</t>
        </is>
      </c>
      <c r="J1257" s="5" t="inlineStr">
        <is>
          <t>Contract</t>
        </is>
      </c>
      <c r="K1257" s="7" t="n">
        <v>45377</v>
      </c>
      <c r="L1257" s="7" t="inlineStr"/>
      <c r="M1257" s="5" t="inlineStr">
        <is>
          <t>Yes</t>
        </is>
      </c>
      <c r="N1257" s="5" t="inlineStr"/>
      <c r="O1257" s="8" t="inlineStr">
        <is>
          <t>131500</t>
        </is>
      </c>
      <c r="P1257" s="5" t="inlineStr">
        <is>
          <t>0</t>
        </is>
      </c>
      <c r="Q1257" s="5" t="inlineStr">
        <is>
          <t>4</t>
        </is>
      </c>
      <c r="R1257" s="5" t="inlineStr">
        <is>
          <t>6</t>
        </is>
      </c>
      <c r="S1257" s="5" t="inlineStr">
        <is>
          <t>21</t>
        </is>
      </c>
      <c r="T1257" s="5" t="inlineStr">
        <is>
          <t>7</t>
        </is>
      </c>
      <c r="U1257" s="5" t="inlineStr">
        <is>
          <t>OK</t>
        </is>
      </c>
    </row>
    <row r="1258">
      <c r="A1258" s="5" t="inlineStr">
        <is>
          <t>E00494</t>
        </is>
      </c>
      <c r="B1258" s="5" t="inlineStr">
        <is>
          <t>Male</t>
        </is>
      </c>
      <c r="C1258" s="6" t="inlineStr">
        <is>
          <t>30</t>
        </is>
      </c>
      <c r="D1258" s="5" t="inlineStr">
        <is>
          <t>Married</t>
        </is>
      </c>
      <c r="E1258" s="5" t="inlineStr">
        <is>
          <t>PhD</t>
        </is>
      </c>
      <c r="F1258" s="5" t="inlineStr">
        <is>
          <t>Human Resources</t>
        </is>
      </c>
      <c r="G1258" s="5" t="inlineStr">
        <is>
          <t>HR Generalist</t>
        </is>
      </c>
      <c r="H1258" s="5" t="inlineStr">
        <is>
          <t>3</t>
        </is>
      </c>
      <c r="I1258" s="5" t="inlineStr">
        <is>
          <t>Hyderabad</t>
        </is>
      </c>
      <c r="J1258" s="5" t="inlineStr">
        <is>
          <t>Full-Time</t>
        </is>
      </c>
      <c r="K1258" s="7" t="n">
        <v>44674</v>
      </c>
      <c r="L1258" s="7" t="inlineStr"/>
      <c r="M1258" s="5" t="inlineStr">
        <is>
          <t>Yes</t>
        </is>
      </c>
      <c r="N1258" s="5" t="inlineStr"/>
      <c r="O1258" s="8" t="inlineStr">
        <is>
          <t>85500</t>
        </is>
      </c>
      <c r="P1258" s="5" t="inlineStr">
        <is>
          <t>10</t>
        </is>
      </c>
      <c r="Q1258" s="5" t="inlineStr">
        <is>
          <t>3</t>
        </is>
      </c>
      <c r="R1258" s="5" t="inlineStr">
        <is>
          <t>10</t>
        </is>
      </c>
      <c r="S1258" s="5" t="inlineStr">
        <is>
          <t>44</t>
        </is>
      </c>
      <c r="T1258" s="5" t="inlineStr">
        <is>
          <t>3</t>
        </is>
      </c>
      <c r="U1258" s="5" t="inlineStr">
        <is>
          <t>OK</t>
        </is>
      </c>
    </row>
    <row r="1259">
      <c r="A1259" s="5" t="inlineStr">
        <is>
          <t>E00609</t>
        </is>
      </c>
      <c r="B1259" s="5" t="inlineStr">
        <is>
          <t>Female</t>
        </is>
      </c>
      <c r="C1259" s="6" t="inlineStr">
        <is>
          <t>36</t>
        </is>
      </c>
      <c r="D1259" s="5" t="inlineStr">
        <is>
          <t>Married</t>
        </is>
      </c>
      <c r="E1259" s="5" t="inlineStr">
        <is>
          <t>PhD</t>
        </is>
      </c>
      <c r="F1259" s="5" t="inlineStr">
        <is>
          <t>Operations</t>
        </is>
      </c>
      <c r="G1259" s="5" t="inlineStr">
        <is>
          <t>Logistics Coordinator</t>
        </is>
      </c>
      <c r="H1259" s="5" t="inlineStr">
        <is>
          <t>4</t>
        </is>
      </c>
      <c r="I1259" s="5" t="inlineStr">
        <is>
          <t>Mumbai</t>
        </is>
      </c>
      <c r="J1259" s="5" t="inlineStr">
        <is>
          <t>Full-Time</t>
        </is>
      </c>
      <c r="K1259" s="7" t="n">
        <v>45451</v>
      </c>
      <c r="L1259" s="7" t="inlineStr"/>
      <c r="M1259" s="5" t="inlineStr">
        <is>
          <t>Yes</t>
        </is>
      </c>
      <c r="N1259" s="5" t="inlineStr"/>
      <c r="O1259" s="8" t="inlineStr">
        <is>
          <t>141000</t>
        </is>
      </c>
      <c r="P1259" s="5" t="inlineStr">
        <is>
          <t>10</t>
        </is>
      </c>
      <c r="Q1259" s="5" t="inlineStr">
        <is>
          <t>4</t>
        </is>
      </c>
      <c r="R1259" s="5" t="inlineStr">
        <is>
          <t>5</t>
        </is>
      </c>
      <c r="S1259" s="5" t="inlineStr">
        <is>
          <t>19</t>
        </is>
      </c>
      <c r="T1259" s="5" t="inlineStr">
        <is>
          <t>6</t>
        </is>
      </c>
      <c r="U1259" s="5" t="inlineStr">
        <is>
          <t>OK</t>
        </is>
      </c>
    </row>
    <row r="1260">
      <c r="A1260" s="5" t="inlineStr">
        <is>
          <t>E00473</t>
        </is>
      </c>
      <c r="B1260" s="5" t="inlineStr">
        <is>
          <t>Female</t>
        </is>
      </c>
      <c r="C1260" s="6" t="inlineStr">
        <is>
          <t>40</t>
        </is>
      </c>
      <c r="D1260" s="5" t="inlineStr">
        <is>
          <t>Single</t>
        </is>
      </c>
      <c r="E1260" s="5" t="inlineStr">
        <is>
          <t>Bachelor</t>
        </is>
      </c>
      <c r="F1260" s="5" t="inlineStr">
        <is>
          <t>Customer Support</t>
        </is>
      </c>
      <c r="G1260" s="5" t="inlineStr">
        <is>
          <t>Escalation Specialist</t>
        </is>
      </c>
      <c r="H1260" s="5" t="inlineStr">
        <is>
          <t>4</t>
        </is>
      </c>
      <c r="I1260" s="5" t="inlineStr">
        <is>
          <t>Hyderabad</t>
        </is>
      </c>
      <c r="J1260" s="5" t="inlineStr">
        <is>
          <t>Full-Time</t>
        </is>
      </c>
      <c r="K1260" s="7" t="n">
        <v>45334</v>
      </c>
      <c r="L1260" s="7" t="n">
        <v>45415</v>
      </c>
      <c r="M1260" s="5" t="inlineStr">
        <is>
          <t>No</t>
        </is>
      </c>
      <c r="N1260" s="5" t="inlineStr">
        <is>
          <t>Resigned</t>
        </is>
      </c>
      <c r="O1260" s="8" t="inlineStr">
        <is>
          <t>67000</t>
        </is>
      </c>
      <c r="P1260" s="5" t="inlineStr">
        <is>
          <t>0</t>
        </is>
      </c>
      <c r="Q1260" s="5" t="inlineStr">
        <is>
          <t>1</t>
        </is>
      </c>
      <c r="R1260" s="5" t="inlineStr">
        <is>
          <t>7</t>
        </is>
      </c>
      <c r="S1260" s="5" t="inlineStr">
        <is>
          <t>2</t>
        </is>
      </c>
      <c r="T1260" s="5" t="inlineStr">
        <is>
          <t>8</t>
        </is>
      </c>
      <c r="U1260" s="5" t="inlineStr">
        <is>
          <t>OK</t>
        </is>
      </c>
    </row>
    <row r="1261">
      <c r="A1261" s="5" t="inlineStr">
        <is>
          <t>E02022</t>
        </is>
      </c>
      <c r="B1261" s="5" t="inlineStr">
        <is>
          <t>Female</t>
        </is>
      </c>
      <c r="C1261" s="6" t="inlineStr">
        <is>
          <t>27</t>
        </is>
      </c>
      <c r="D1261" s="5" t="inlineStr">
        <is>
          <t>Married</t>
        </is>
      </c>
      <c r="E1261" s="5" t="inlineStr">
        <is>
          <t>High School</t>
        </is>
      </c>
      <c r="F1261" s="5" t="inlineStr">
        <is>
          <t>Customer Support</t>
        </is>
      </c>
      <c r="G1261" s="5" t="inlineStr">
        <is>
          <t>Support Agent</t>
        </is>
      </c>
      <c r="H1261" s="5" t="inlineStr">
        <is>
          <t>3</t>
        </is>
      </c>
      <c r="I1261" s="5" t="inlineStr">
        <is>
          <t>Hyderabad</t>
        </is>
      </c>
      <c r="J1261" s="5" t="inlineStr">
        <is>
          <t>Full-Time</t>
        </is>
      </c>
      <c r="K1261" s="7" t="n">
        <v>44189</v>
      </c>
      <c r="L1261" s="7" t="inlineStr"/>
      <c r="M1261" s="5" t="inlineStr">
        <is>
          <t>Yes</t>
        </is>
      </c>
      <c r="N1261" s="5" t="inlineStr"/>
      <c r="O1261" s="8" t="inlineStr">
        <is>
          <t>69500</t>
        </is>
      </c>
      <c r="P1261" s="5" t="inlineStr">
        <is>
          <t>5</t>
        </is>
      </c>
      <c r="Q1261" s="5" t="inlineStr">
        <is>
          <t>3</t>
        </is>
      </c>
      <c r="R1261" s="5" t="inlineStr">
        <is>
          <t>6</t>
        </is>
      </c>
      <c r="S1261" s="5" t="inlineStr">
        <is>
          <t>61</t>
        </is>
      </c>
      <c r="T1261" s="5" t="inlineStr">
        <is>
          <t>5</t>
        </is>
      </c>
      <c r="U1261" s="5" t="inlineStr">
        <is>
          <t>OK</t>
        </is>
      </c>
    </row>
    <row r="1262">
      <c r="A1262" s="5" t="inlineStr">
        <is>
          <t>E01168</t>
        </is>
      </c>
      <c r="B1262" s="5" t="inlineStr">
        <is>
          <t>Female</t>
        </is>
      </c>
      <c r="C1262" s="6" t="inlineStr">
        <is>
          <t>28</t>
        </is>
      </c>
      <c r="D1262" s="5" t="inlineStr">
        <is>
          <t>Married</t>
        </is>
      </c>
      <c r="E1262" s="5" t="inlineStr">
        <is>
          <t>Diploma</t>
        </is>
      </c>
      <c r="F1262" s="5" t="inlineStr">
        <is>
          <t>Executive</t>
        </is>
      </c>
      <c r="G1262" s="5" t="inlineStr">
        <is>
          <t>COO</t>
        </is>
      </c>
      <c r="H1262" s="5" t="inlineStr">
        <is>
          <t>3</t>
        </is>
      </c>
      <c r="I1262" s="5" t="inlineStr">
        <is>
          <t>Delhi</t>
        </is>
      </c>
      <c r="J1262" s="5" t="inlineStr">
        <is>
          <t>Full-Time</t>
        </is>
      </c>
      <c r="K1262" s="7" t="n">
        <v>45367</v>
      </c>
      <c r="L1262" s="7" t="inlineStr"/>
      <c r="M1262" s="5" t="inlineStr">
        <is>
          <t>Yes</t>
        </is>
      </c>
      <c r="N1262" s="5" t="inlineStr"/>
      <c r="O1262" s="8" t="inlineStr">
        <is>
          <t>200500</t>
        </is>
      </c>
      <c r="P1262" s="5" t="inlineStr">
        <is>
          <t>10</t>
        </is>
      </c>
      <c r="Q1262" s="5" t="inlineStr">
        <is>
          <t>4</t>
        </is>
      </c>
      <c r="R1262" s="5" t="inlineStr">
        <is>
          <t>6</t>
        </is>
      </c>
      <c r="S1262" s="5" t="inlineStr">
        <is>
          <t>21</t>
        </is>
      </c>
      <c r="T1262" s="5" t="inlineStr">
        <is>
          <t>6</t>
        </is>
      </c>
      <c r="U1262" s="5" t="inlineStr">
        <is>
          <t>OK</t>
        </is>
      </c>
    </row>
    <row r="1263">
      <c r="A1263" s="5" t="inlineStr">
        <is>
          <t>E01059</t>
        </is>
      </c>
      <c r="B1263" s="5" t="inlineStr">
        <is>
          <t>Female</t>
        </is>
      </c>
      <c r="C1263" s="6" t="inlineStr">
        <is>
          <t>35</t>
        </is>
      </c>
      <c r="D1263" s="5" t="inlineStr">
        <is>
          <t>Single</t>
        </is>
      </c>
      <c r="E1263" s="5" t="inlineStr">
        <is>
          <t>Diploma</t>
        </is>
      </c>
      <c r="F1263" s="5" t="inlineStr">
        <is>
          <t>Human Resources</t>
        </is>
      </c>
      <c r="G1263" s="5" t="inlineStr">
        <is>
          <t>HR Generalist</t>
        </is>
      </c>
      <c r="H1263" s="5" t="inlineStr">
        <is>
          <t>4</t>
        </is>
      </c>
      <c r="I1263" s="5" t="inlineStr">
        <is>
          <t>Mumbai</t>
        </is>
      </c>
      <c r="J1263" s="5" t="inlineStr">
        <is>
          <t>Full-Time</t>
        </is>
      </c>
      <c r="K1263" s="7" t="n">
        <v>45341</v>
      </c>
      <c r="L1263" s="7" t="inlineStr"/>
      <c r="M1263" s="5" t="inlineStr">
        <is>
          <t>Yes</t>
        </is>
      </c>
      <c r="N1263" s="5" t="inlineStr"/>
      <c r="O1263" s="8" t="inlineStr">
        <is>
          <t>112500</t>
        </is>
      </c>
      <c r="P1263" s="5" t="inlineStr">
        <is>
          <t>0</t>
        </is>
      </c>
      <c r="Q1263" s="5" t="inlineStr">
        <is>
          <t>3</t>
        </is>
      </c>
      <c r="R1263" s="5" t="inlineStr">
        <is>
          <t>5</t>
        </is>
      </c>
      <c r="S1263" s="5" t="inlineStr">
        <is>
          <t>22</t>
        </is>
      </c>
      <c r="T1263" s="5" t="inlineStr">
        <is>
          <t>4</t>
        </is>
      </c>
      <c r="U1263" s="5" t="inlineStr">
        <is>
          <t>OK</t>
        </is>
      </c>
    </row>
    <row r="1264">
      <c r="A1264" s="5" t="inlineStr">
        <is>
          <t>E01039</t>
        </is>
      </c>
      <c r="B1264" s="5" t="inlineStr">
        <is>
          <t>Male</t>
        </is>
      </c>
      <c r="C1264" s="6" t="inlineStr">
        <is>
          <t>27</t>
        </is>
      </c>
      <c r="D1264" s="5" t="inlineStr">
        <is>
          <t>Married</t>
        </is>
      </c>
      <c r="E1264" s="5" t="inlineStr">
        <is>
          <t>Bachelor</t>
        </is>
      </c>
      <c r="F1264" s="5" t="inlineStr">
        <is>
          <t>Customer Support</t>
        </is>
      </c>
      <c r="G1264" s="5" t="inlineStr">
        <is>
          <t>Support Lead</t>
        </is>
      </c>
      <c r="H1264" s="5" t="inlineStr">
        <is>
          <t>3</t>
        </is>
      </c>
      <c r="I1264" s="5" t="inlineStr">
        <is>
          <t>Remote</t>
        </is>
      </c>
      <c r="J1264" s="5" t="inlineStr">
        <is>
          <t>Part-Time</t>
        </is>
      </c>
      <c r="K1264" s="7" t="n">
        <v>45113</v>
      </c>
      <c r="L1264" s="7" t="inlineStr"/>
      <c r="M1264" s="5" t="inlineStr">
        <is>
          <t>Yes</t>
        </is>
      </c>
      <c r="N1264" s="5" t="inlineStr"/>
      <c r="O1264" s="8" t="inlineStr">
        <is>
          <t>85500</t>
        </is>
      </c>
      <c r="P1264" s="5" t="inlineStr">
        <is>
          <t>5</t>
        </is>
      </c>
      <c r="Q1264" s="5" t="inlineStr">
        <is>
          <t>3</t>
        </is>
      </c>
      <c r="R1264" s="5" t="inlineStr">
        <is>
          <t>5</t>
        </is>
      </c>
      <c r="S1264" s="5" t="inlineStr">
        <is>
          <t>30</t>
        </is>
      </c>
      <c r="T1264" s="5" t="inlineStr">
        <is>
          <t>11</t>
        </is>
      </c>
      <c r="U1264" s="5" t="inlineStr">
        <is>
          <t>OK</t>
        </is>
      </c>
    </row>
    <row r="1265">
      <c r="A1265" s="5" t="inlineStr">
        <is>
          <t>E02151</t>
        </is>
      </c>
      <c r="B1265" s="5" t="inlineStr">
        <is>
          <t>Female</t>
        </is>
      </c>
      <c r="C1265" s="6" t="inlineStr">
        <is>
          <t>35</t>
        </is>
      </c>
      <c r="D1265" s="5" t="inlineStr">
        <is>
          <t>Married</t>
        </is>
      </c>
      <c r="E1265" s="5" t="inlineStr">
        <is>
          <t>Diploma</t>
        </is>
      </c>
      <c r="F1265" s="5" t="inlineStr">
        <is>
          <t>IT</t>
        </is>
      </c>
      <c r="G1265" s="5" t="inlineStr">
        <is>
          <t>DevOps Engineer</t>
        </is>
      </c>
      <c r="H1265" s="5" t="inlineStr">
        <is>
          <t>6</t>
        </is>
      </c>
      <c r="I1265" s="5" t="inlineStr">
        <is>
          <t>Delhi</t>
        </is>
      </c>
      <c r="J1265" s="5" t="inlineStr">
        <is>
          <t>Full-Time</t>
        </is>
      </c>
      <c r="K1265" s="7" t="n">
        <v>45194</v>
      </c>
      <c r="L1265" s="7" t="inlineStr"/>
      <c r="M1265" s="5" t="inlineStr">
        <is>
          <t>Yes</t>
        </is>
      </c>
      <c r="N1265" s="5" t="inlineStr"/>
      <c r="O1265" s="8" t="inlineStr">
        <is>
          <t>144500</t>
        </is>
      </c>
      <c r="P1265" s="5" t="inlineStr">
        <is>
          <t>10</t>
        </is>
      </c>
      <c r="Q1265" s="5" t="inlineStr">
        <is>
          <t>3</t>
        </is>
      </c>
      <c r="R1265" s="5" t="inlineStr">
        <is>
          <t>8</t>
        </is>
      </c>
      <c r="S1265" s="5" t="inlineStr">
        <is>
          <t>27</t>
        </is>
      </c>
      <c r="T1265" s="5" t="inlineStr">
        <is>
          <t>0</t>
        </is>
      </c>
      <c r="U1265" s="5" t="inlineStr">
        <is>
          <t>OK</t>
        </is>
      </c>
    </row>
    <row r="1266">
      <c r="A1266" s="5" t="inlineStr">
        <is>
          <t>E00779</t>
        </is>
      </c>
      <c r="B1266" s="5" t="inlineStr">
        <is>
          <t>male</t>
        </is>
      </c>
      <c r="C1266" s="6" t="inlineStr">
        <is>
          <t>32</t>
        </is>
      </c>
      <c r="D1266" s="5" t="inlineStr">
        <is>
          <t>Married</t>
        </is>
      </c>
      <c r="E1266" s="5" t="inlineStr">
        <is>
          <t>Master</t>
        </is>
      </c>
      <c r="F1266" s="5" t="inlineStr">
        <is>
          <t>Operations</t>
        </is>
      </c>
      <c r="G1266" s="5" t="inlineStr">
        <is>
          <t>Operations Analyst</t>
        </is>
      </c>
      <c r="H1266" s="5" t="inlineStr">
        <is>
          <t>2</t>
        </is>
      </c>
      <c r="I1266" s="5" t="inlineStr">
        <is>
          <t>Remote</t>
        </is>
      </c>
      <c r="J1266" s="5" t="inlineStr">
        <is>
          <t>Full-Time</t>
        </is>
      </c>
      <c r="K1266" s="7" t="n">
        <v>44653</v>
      </c>
      <c r="L1266" s="7" t="inlineStr"/>
      <c r="M1266" s="5" t="inlineStr">
        <is>
          <t>Yes</t>
        </is>
      </c>
      <c r="N1266" s="5" t="inlineStr"/>
      <c r="O1266" s="8" t="inlineStr">
        <is>
          <t>94000</t>
        </is>
      </c>
      <c r="P1266" s="5" t="inlineStr">
        <is>
          <t>0</t>
        </is>
      </c>
      <c r="Q1266" s="5" t="inlineStr">
        <is>
          <t>3</t>
        </is>
      </c>
      <c r="R1266" s="5" t="inlineStr">
        <is>
          <t>6</t>
        </is>
      </c>
      <c r="S1266" s="5" t="inlineStr">
        <is>
          <t>45</t>
        </is>
      </c>
      <c r="T1266" s="5" t="inlineStr">
        <is>
          <t>8</t>
        </is>
      </c>
      <c r="U1266" s="5" t="inlineStr">
        <is>
          <t>OK</t>
        </is>
      </c>
    </row>
    <row r="1267">
      <c r="A1267" s="5" t="inlineStr">
        <is>
          <t>E01510</t>
        </is>
      </c>
      <c r="B1267" s="5" t="inlineStr">
        <is>
          <t>Male</t>
        </is>
      </c>
      <c r="C1267" s="6" t="inlineStr">
        <is>
          <t>33</t>
        </is>
      </c>
      <c r="D1267" s="5" t="inlineStr">
        <is>
          <t>Married</t>
        </is>
      </c>
      <c r="E1267" s="5" t="inlineStr">
        <is>
          <t>Diploma</t>
        </is>
      </c>
      <c r="F1267" s="5" t="inlineStr">
        <is>
          <t>Marketing</t>
        </is>
      </c>
      <c r="G1267" s="5" t="inlineStr">
        <is>
          <t>SEO Specialist</t>
        </is>
      </c>
      <c r="H1267" s="5" t="inlineStr">
        <is>
          <t>4</t>
        </is>
      </c>
      <c r="I1267" s="5" t="inlineStr">
        <is>
          <t>Remote</t>
        </is>
      </c>
      <c r="J1267" s="5" t="inlineStr">
        <is>
          <t>Full-Time</t>
        </is>
      </c>
      <c r="K1267" s="7" t="n">
        <v>45108</v>
      </c>
      <c r="L1267" s="7" t="inlineStr"/>
      <c r="M1267" s="5" t="inlineStr">
        <is>
          <t>Yes</t>
        </is>
      </c>
      <c r="N1267" s="5" t="inlineStr"/>
      <c r="O1267" s="8" t="inlineStr">
        <is>
          <t>101000</t>
        </is>
      </c>
      <c r="P1267" s="5" t="inlineStr">
        <is>
          <t>15</t>
        </is>
      </c>
      <c r="Q1267" s="5" t="inlineStr">
        <is>
          <t>5</t>
        </is>
      </c>
      <c r="R1267" s="5" t="inlineStr">
        <is>
          <t>6</t>
        </is>
      </c>
      <c r="S1267" s="5" t="inlineStr">
        <is>
          <t>30</t>
        </is>
      </c>
      <c r="T1267" s="5" t="inlineStr">
        <is>
          <t>7</t>
        </is>
      </c>
      <c r="U1267" s="5" t="inlineStr">
        <is>
          <t>OK</t>
        </is>
      </c>
    </row>
    <row r="1268">
      <c r="A1268" s="5" t="inlineStr">
        <is>
          <t>E01625</t>
        </is>
      </c>
      <c r="B1268" s="5" t="inlineStr">
        <is>
          <t>Female</t>
        </is>
      </c>
      <c r="C1268" s="6" t="inlineStr">
        <is>
          <t>38</t>
        </is>
      </c>
      <c r="D1268" s="5" t="inlineStr">
        <is>
          <t>Married</t>
        </is>
      </c>
      <c r="E1268" s="5" t="inlineStr">
        <is>
          <t>Master</t>
        </is>
      </c>
      <c r="F1268" s="5" t="inlineStr">
        <is>
          <t>Operations</t>
        </is>
      </c>
      <c r="G1268" s="5" t="inlineStr">
        <is>
          <t>Logistics Coordinator</t>
        </is>
      </c>
      <c r="H1268" s="5" t="inlineStr">
        <is>
          <t>5</t>
        </is>
      </c>
      <c r="I1268" s="5" t="inlineStr">
        <is>
          <t>Bengaluru</t>
        </is>
      </c>
      <c r="J1268" s="5" t="inlineStr">
        <is>
          <t>Part-Time</t>
        </is>
      </c>
      <c r="K1268" s="7" t="n">
        <v>44724</v>
      </c>
      <c r="L1268" s="7" t="inlineStr"/>
      <c r="M1268" s="5" t="inlineStr">
        <is>
          <t>Yes</t>
        </is>
      </c>
      <c r="N1268" s="5" t="inlineStr"/>
      <c r="O1268" s="8" t="inlineStr">
        <is>
          <t>140500</t>
        </is>
      </c>
      <c r="P1268" s="5" t="inlineStr">
        <is>
          <t>5</t>
        </is>
      </c>
      <c r="Q1268" s="5" t="inlineStr">
        <is>
          <t>3</t>
        </is>
      </c>
      <c r="R1268" s="5" t="inlineStr">
        <is>
          <t>5</t>
        </is>
      </c>
      <c r="S1268" s="5" t="inlineStr">
        <is>
          <t>43</t>
        </is>
      </c>
      <c r="T1268" s="5" t="inlineStr">
        <is>
          <t>13</t>
        </is>
      </c>
      <c r="U1268" s="5" t="inlineStr">
        <is>
          <t>OK</t>
        </is>
      </c>
    </row>
    <row r="1269">
      <c r="A1269" s="5" t="inlineStr">
        <is>
          <t>E02810</t>
        </is>
      </c>
      <c r="B1269" s="5" t="inlineStr">
        <is>
          <t>Female</t>
        </is>
      </c>
      <c r="C1269" s="6" t="inlineStr">
        <is>
          <t>23</t>
        </is>
      </c>
      <c r="D1269" s="5" t="inlineStr">
        <is>
          <t>Single</t>
        </is>
      </c>
      <c r="E1269" s="5" t="inlineStr">
        <is>
          <t>Bachelor</t>
        </is>
      </c>
      <c r="F1269" s="5" t="inlineStr">
        <is>
          <t>Sales</t>
        </is>
      </c>
      <c r="G1269" s="5" t="inlineStr">
        <is>
          <t>Sales Executive</t>
        </is>
      </c>
      <c r="H1269" s="5" t="inlineStr">
        <is>
          <t>1</t>
        </is>
      </c>
      <c r="I1269" s="5" t="inlineStr">
        <is>
          <t>Chennai</t>
        </is>
      </c>
      <c r="J1269" s="5" t="inlineStr">
        <is>
          <t>Full-Time</t>
        </is>
      </c>
      <c r="K1269" s="7" t="n">
        <v>44302</v>
      </c>
      <c r="L1269" s="7" t="n">
        <v>44431</v>
      </c>
      <c r="M1269" s="5" t="inlineStr">
        <is>
          <t>No</t>
        </is>
      </c>
      <c r="N1269" s="5" t="inlineStr">
        <is>
          <t>Resigned</t>
        </is>
      </c>
      <c r="O1269" s="8" t="inlineStr">
        <is>
          <t>88500</t>
        </is>
      </c>
      <c r="P1269" s="5" t="inlineStr">
        <is>
          <t>0</t>
        </is>
      </c>
      <c r="Q1269" s="5" t="inlineStr">
        <is>
          <t>2</t>
        </is>
      </c>
      <c r="R1269" s="5" t="inlineStr">
        <is>
          <t>6</t>
        </is>
      </c>
      <c r="S1269" s="5" t="inlineStr">
        <is>
          <t>4</t>
        </is>
      </c>
      <c r="T1269" s="5" t="inlineStr">
        <is>
          <t>10</t>
        </is>
      </c>
      <c r="U1269" s="5" t="inlineStr">
        <is>
          <t>OK</t>
        </is>
      </c>
    </row>
    <row r="1270">
      <c r="A1270" s="5" t="inlineStr">
        <is>
          <t>E00939</t>
        </is>
      </c>
      <c r="B1270" s="5" t="inlineStr">
        <is>
          <t>Female</t>
        </is>
      </c>
      <c r="C1270" s="6" t="inlineStr">
        <is>
          <t>34</t>
        </is>
      </c>
      <c r="D1270" s="5" t="inlineStr">
        <is>
          <t>Married</t>
        </is>
      </c>
      <c r="E1270" s="5" t="inlineStr">
        <is>
          <t>PhD</t>
        </is>
      </c>
      <c r="F1270" s="5" t="inlineStr">
        <is>
          <t>IT</t>
        </is>
      </c>
      <c r="G1270" s="5" t="inlineStr">
        <is>
          <t>IT Support</t>
        </is>
      </c>
      <c r="H1270" s="5" t="inlineStr">
        <is>
          <t>1</t>
        </is>
      </c>
      <c r="I1270" s="5" t="inlineStr">
        <is>
          <t>Mumbai</t>
        </is>
      </c>
      <c r="J1270" s="5" t="inlineStr">
        <is>
          <t>Full-Time</t>
        </is>
      </c>
      <c r="K1270" s="7" t="n">
        <v>45323</v>
      </c>
      <c r="L1270" s="7" t="n">
        <v>45371</v>
      </c>
      <c r="M1270" s="5" t="inlineStr">
        <is>
          <t>No</t>
        </is>
      </c>
      <c r="N1270" s="5" t="inlineStr">
        <is>
          <t>Resigned</t>
        </is>
      </c>
      <c r="O1270" s="8" t="inlineStr">
        <is>
          <t>132500</t>
        </is>
      </c>
      <c r="P1270" s="5" t="inlineStr">
        <is>
          <t>10</t>
        </is>
      </c>
      <c r="Q1270" s="5" t="inlineStr">
        <is>
          <t>2</t>
        </is>
      </c>
      <c r="R1270" s="5" t="inlineStr">
        <is>
          <t>7</t>
        </is>
      </c>
      <c r="S1270" s="5" t="inlineStr">
        <is>
          <t>1</t>
        </is>
      </c>
      <c r="T1270" s="5" t="inlineStr">
        <is>
          <t>6</t>
        </is>
      </c>
      <c r="U1270" s="5" t="inlineStr">
        <is>
          <t>OK</t>
        </is>
      </c>
    </row>
    <row r="1271">
      <c r="A1271" s="5" t="inlineStr">
        <is>
          <t>E00244</t>
        </is>
      </c>
      <c r="B1271" s="5" t="inlineStr">
        <is>
          <t>Female</t>
        </is>
      </c>
      <c r="C1271" s="6" t="inlineStr">
        <is>
          <t>34</t>
        </is>
      </c>
      <c r="D1271" s="5" t="inlineStr">
        <is>
          <t>Married</t>
        </is>
      </c>
      <c r="E1271" s="5" t="inlineStr">
        <is>
          <t>Master</t>
        </is>
      </c>
      <c r="F1271" s="5" t="inlineStr">
        <is>
          <t>Finance</t>
        </is>
      </c>
      <c r="G1271" s="5" t="inlineStr">
        <is>
          <t>Accountant</t>
        </is>
      </c>
      <c r="H1271" s="5" t="inlineStr">
        <is>
          <t>4</t>
        </is>
      </c>
      <c r="I1271" s="5" t="inlineStr">
        <is>
          <t>Chennai</t>
        </is>
      </c>
      <c r="J1271" s="5" t="inlineStr">
        <is>
          <t>Full-Time</t>
        </is>
      </c>
      <c r="K1271" s="7" t="n">
        <v>44695</v>
      </c>
      <c r="L1271" s="7" t="inlineStr"/>
      <c r="M1271" s="5" t="inlineStr">
        <is>
          <t>Yes</t>
        </is>
      </c>
      <c r="N1271" s="5" t="inlineStr"/>
      <c r="O1271" s="8" t="inlineStr">
        <is>
          <t>93000</t>
        </is>
      </c>
      <c r="P1271" s="5" t="inlineStr">
        <is>
          <t>5</t>
        </is>
      </c>
      <c r="Q1271" s="5" t="inlineStr">
        <is>
          <t>3</t>
        </is>
      </c>
      <c r="R1271" s="5" t="inlineStr">
        <is>
          <t>3</t>
        </is>
      </c>
      <c r="S1271" s="5" t="inlineStr">
        <is>
          <t>44</t>
        </is>
      </c>
      <c r="T1271" s="5" t="inlineStr">
        <is>
          <t>1</t>
        </is>
      </c>
      <c r="U1271" s="5" t="inlineStr">
        <is>
          <t>OK</t>
        </is>
      </c>
    </row>
    <row r="1272">
      <c r="A1272" s="5" t="inlineStr">
        <is>
          <t>E01604</t>
        </is>
      </c>
      <c r="B1272" s="5" t="inlineStr">
        <is>
          <t>Male</t>
        </is>
      </c>
      <c r="C1272" s="6" t="inlineStr">
        <is>
          <t>38</t>
        </is>
      </c>
      <c r="D1272" s="5" t="inlineStr">
        <is>
          <t>Single</t>
        </is>
      </c>
      <c r="E1272" s="5" t="inlineStr">
        <is>
          <t>Diploma</t>
        </is>
      </c>
      <c r="F1272" s="5" t="inlineStr">
        <is>
          <t>Marketing</t>
        </is>
      </c>
      <c r="G1272" s="5" t="inlineStr">
        <is>
          <t>Content Writer</t>
        </is>
      </c>
      <c r="H1272" s="5" t="inlineStr">
        <is>
          <t>3</t>
        </is>
      </c>
      <c r="I1272" s="5" t="inlineStr">
        <is>
          <t>Delhi</t>
        </is>
      </c>
      <c r="J1272" s="5" t="inlineStr">
        <is>
          <t>Full-Time</t>
        </is>
      </c>
      <c r="K1272" s="7" t="n">
        <v>43885</v>
      </c>
      <c r="L1272" s="7" t="inlineStr"/>
      <c r="M1272" s="5" t="inlineStr">
        <is>
          <t>Yes</t>
        </is>
      </c>
      <c r="N1272" s="5" t="inlineStr"/>
      <c r="O1272" s="8" t="inlineStr">
        <is>
          <t>76500</t>
        </is>
      </c>
      <c r="P1272" s="5" t="inlineStr">
        <is>
          <t>0</t>
        </is>
      </c>
      <c r="Q1272" s="5" t="inlineStr">
        <is>
          <t>4</t>
        </is>
      </c>
      <c r="R1272" s="5" t="inlineStr">
        <is>
          <t>7</t>
        </is>
      </c>
      <c r="S1272" s="5" t="inlineStr">
        <is>
          <t>71</t>
        </is>
      </c>
      <c r="T1272" s="5" t="inlineStr">
        <is>
          <t>0</t>
        </is>
      </c>
      <c r="U1272" s="5" t="inlineStr">
        <is>
          <t>OK</t>
        </is>
      </c>
    </row>
    <row r="1273">
      <c r="A1273" s="5" t="inlineStr">
        <is>
          <t>E02226</t>
        </is>
      </c>
      <c r="B1273" s="5" t="inlineStr">
        <is>
          <t>Female</t>
        </is>
      </c>
      <c r="C1273" s="6" t="inlineStr">
        <is>
          <t>30</t>
        </is>
      </c>
      <c r="D1273" s="5" t="inlineStr">
        <is>
          <t>Married</t>
        </is>
      </c>
      <c r="E1273" s="5" t="inlineStr">
        <is>
          <t>Master</t>
        </is>
      </c>
      <c r="F1273" s="5" t="inlineStr">
        <is>
          <t>Marketing</t>
        </is>
      </c>
      <c r="G1273" s="5" t="inlineStr">
        <is>
          <t>SEO Specialist</t>
        </is>
      </c>
      <c r="H1273" s="5" t="inlineStr">
        <is>
          <t>4</t>
        </is>
      </c>
      <c r="I1273" s="5" t="inlineStr">
        <is>
          <t>Bengaluru</t>
        </is>
      </c>
      <c r="J1273" s="5" t="inlineStr">
        <is>
          <t>Full-Time</t>
        </is>
      </c>
      <c r="K1273" s="7" t="n">
        <v>45332</v>
      </c>
      <c r="L1273" s="7" t="inlineStr"/>
      <c r="M1273" s="5" t="inlineStr">
        <is>
          <t>Yes</t>
        </is>
      </c>
      <c r="N1273" s="5" t="inlineStr"/>
      <c r="O1273" s="8" t="inlineStr">
        <is>
          <t>104000</t>
        </is>
      </c>
      <c r="P1273" s="5" t="inlineStr">
        <is>
          <t>5</t>
        </is>
      </c>
      <c r="Q1273" s="5" t="inlineStr">
        <is>
          <t>3</t>
        </is>
      </c>
      <c r="R1273" s="5" t="inlineStr">
        <is>
          <t>8</t>
        </is>
      </c>
      <c r="S1273" s="5" t="inlineStr">
        <is>
          <t>23</t>
        </is>
      </c>
      <c r="T1273" s="5" t="inlineStr">
        <is>
          <t>13</t>
        </is>
      </c>
      <c r="U1273" s="5" t="inlineStr">
        <is>
          <t>OK</t>
        </is>
      </c>
    </row>
    <row r="1274">
      <c r="A1274" s="5" t="inlineStr">
        <is>
          <t>E01969</t>
        </is>
      </c>
      <c r="B1274" s="5" t="inlineStr">
        <is>
          <t>Female</t>
        </is>
      </c>
      <c r="C1274" s="6" t="inlineStr">
        <is>
          <t>34</t>
        </is>
      </c>
      <c r="D1274" s="5" t="inlineStr">
        <is>
          <t>Single</t>
        </is>
      </c>
      <c r="E1274" s="5" t="inlineStr">
        <is>
          <t>Bachelor</t>
        </is>
      </c>
      <c r="F1274" s="5" t="inlineStr">
        <is>
          <t>IT</t>
        </is>
      </c>
      <c r="G1274" s="5" t="inlineStr">
        <is>
          <t>DevOps Engineer</t>
        </is>
      </c>
      <c r="H1274" s="5" t="inlineStr">
        <is>
          <t>1</t>
        </is>
      </c>
      <c r="I1274" s="5" t="inlineStr">
        <is>
          <t>Bengaluru</t>
        </is>
      </c>
      <c r="J1274" s="5" t="inlineStr">
        <is>
          <t>Full-Time</t>
        </is>
      </c>
      <c r="K1274" s="7" t="n">
        <v>43929</v>
      </c>
      <c r="L1274" s="7" t="inlineStr"/>
      <c r="M1274" s="5" t="inlineStr">
        <is>
          <t>Yes</t>
        </is>
      </c>
      <c r="N1274" s="5" t="inlineStr"/>
      <c r="O1274" s="8" t="inlineStr">
        <is>
          <t>117500</t>
        </is>
      </c>
      <c r="P1274" s="5" t="inlineStr">
        <is>
          <t>15</t>
        </is>
      </c>
      <c r="Q1274" s="5" t="inlineStr">
        <is>
          <t>3</t>
        </is>
      </c>
      <c r="R1274" s="5" t="inlineStr">
        <is>
          <t>10</t>
        </is>
      </c>
      <c r="S1274" s="5" t="inlineStr">
        <is>
          <t>69</t>
        </is>
      </c>
      <c r="T1274" s="5" t="inlineStr">
        <is>
          <t>0</t>
        </is>
      </c>
      <c r="U1274" s="5" t="inlineStr">
        <is>
          <t>OK</t>
        </is>
      </c>
    </row>
    <row r="1275">
      <c r="A1275" s="5" t="inlineStr">
        <is>
          <t>E02371</t>
        </is>
      </c>
      <c r="B1275" s="5" t="inlineStr">
        <is>
          <t>Male</t>
        </is>
      </c>
      <c r="C1275" s="6" t="inlineStr">
        <is>
          <t>27</t>
        </is>
      </c>
      <c r="D1275" s="5" t="inlineStr">
        <is>
          <t>Married</t>
        </is>
      </c>
      <c r="E1275" s="5" t="inlineStr">
        <is>
          <t>PhD</t>
        </is>
      </c>
      <c r="F1275" s="5" t="inlineStr">
        <is>
          <t>Customer Support</t>
        </is>
      </c>
      <c r="G1275" s="5" t="inlineStr">
        <is>
          <t>Escalation Specialist</t>
        </is>
      </c>
      <c r="H1275" s="5" t="inlineStr">
        <is>
          <t>3</t>
        </is>
      </c>
      <c r="I1275" s="5" t="inlineStr">
        <is>
          <t>Hyderabad</t>
        </is>
      </c>
      <c r="J1275" s="5" t="inlineStr">
        <is>
          <t>Full-Time</t>
        </is>
      </c>
      <c r="K1275" s="7" t="n">
        <v>44439</v>
      </c>
      <c r="L1275" s="7" t="inlineStr"/>
      <c r="M1275" s="5" t="inlineStr">
        <is>
          <t>Yes</t>
        </is>
      </c>
      <c r="N1275" s="5" t="inlineStr"/>
      <c r="O1275" s="8" t="inlineStr">
        <is>
          <t>80000</t>
        </is>
      </c>
      <c r="P1275" s="5" t="inlineStr">
        <is>
          <t>5</t>
        </is>
      </c>
      <c r="Q1275" s="5" t="inlineStr">
        <is>
          <t>4</t>
        </is>
      </c>
      <c r="R1275" s="5" t="inlineStr">
        <is>
          <t>3</t>
        </is>
      </c>
      <c r="S1275" s="5" t="inlineStr">
        <is>
          <t>52</t>
        </is>
      </c>
      <c r="T1275" s="5" t="inlineStr">
        <is>
          <t>11</t>
        </is>
      </c>
      <c r="U1275" s="5" t="inlineStr">
        <is>
          <t>OK</t>
        </is>
      </c>
    </row>
    <row r="1276">
      <c r="A1276" s="5" t="inlineStr">
        <is>
          <t>E01164</t>
        </is>
      </c>
      <c r="B1276" s="5" t="inlineStr">
        <is>
          <t>Female</t>
        </is>
      </c>
      <c r="C1276" s="6" t="inlineStr">
        <is>
          <t>30</t>
        </is>
      </c>
      <c r="D1276" s="5" t="inlineStr">
        <is>
          <t>Married</t>
        </is>
      </c>
      <c r="E1276" s="5" t="inlineStr">
        <is>
          <t>Master</t>
        </is>
      </c>
      <c r="F1276" s="5" t="inlineStr">
        <is>
          <t>IT</t>
        </is>
      </c>
      <c r="G1276" s="5" t="inlineStr">
        <is>
          <t>Data Analyst</t>
        </is>
      </c>
      <c r="H1276" s="5" t="inlineStr">
        <is>
          <t>3</t>
        </is>
      </c>
      <c r="I1276" s="5" t="inlineStr">
        <is>
          <t>Delhi</t>
        </is>
      </c>
      <c r="J1276" s="5" t="inlineStr">
        <is>
          <t>Full-Time</t>
        </is>
      </c>
      <c r="K1276" s="7" t="n">
        <v>44619</v>
      </c>
      <c r="L1276" s="7" t="inlineStr"/>
      <c r="M1276" s="5" t="inlineStr">
        <is>
          <t>Yes</t>
        </is>
      </c>
      <c r="N1276" s="5" t="inlineStr"/>
      <c r="O1276" s="8" t="inlineStr">
        <is>
          <t>188000</t>
        </is>
      </c>
      <c r="P1276" s="5" t="inlineStr">
        <is>
          <t>0</t>
        </is>
      </c>
      <c r="Q1276" s="5" t="inlineStr">
        <is>
          <t>3</t>
        </is>
      </c>
      <c r="R1276" s="5" t="inlineStr">
        <is>
          <t>8</t>
        </is>
      </c>
      <c r="S1276" s="5" t="inlineStr">
        <is>
          <t>46</t>
        </is>
      </c>
      <c r="T1276" s="5" t="inlineStr">
        <is>
          <t>12</t>
        </is>
      </c>
      <c r="U1276" s="5" t="inlineStr">
        <is>
          <t>OK</t>
        </is>
      </c>
    </row>
    <row r="1277">
      <c r="A1277" s="5" t="inlineStr">
        <is>
          <t>E00518</t>
        </is>
      </c>
      <c r="B1277" s="5" t="inlineStr">
        <is>
          <t>female</t>
        </is>
      </c>
      <c r="C1277" s="6" t="inlineStr">
        <is>
          <t>28</t>
        </is>
      </c>
      <c r="D1277" s="5" t="inlineStr">
        <is>
          <t>Married</t>
        </is>
      </c>
      <c r="E1277" s="5" t="inlineStr">
        <is>
          <t>Bachelor</t>
        </is>
      </c>
      <c r="F1277" s="5" t="inlineStr">
        <is>
          <t>IT</t>
        </is>
      </c>
      <c r="G1277" s="5" t="inlineStr">
        <is>
          <t>DevOps Engineer</t>
        </is>
      </c>
      <c r="H1277" s="5" t="inlineStr">
        <is>
          <t>2</t>
        </is>
      </c>
      <c r="I1277" s="5" t="inlineStr">
        <is>
          <t>Bengaluru</t>
        </is>
      </c>
      <c r="J1277" s="5" t="inlineStr">
        <is>
          <t>Full-Time</t>
        </is>
      </c>
      <c r="K1277" s="7" t="n">
        <v>45415</v>
      </c>
      <c r="L1277" s="7" t="n">
        <v>45473</v>
      </c>
      <c r="M1277" s="5" t="inlineStr">
        <is>
          <t>No</t>
        </is>
      </c>
      <c r="N1277" s="5" t="inlineStr">
        <is>
          <t>Resigned</t>
        </is>
      </c>
      <c r="O1277" s="8" t="inlineStr">
        <is>
          <t>129500</t>
        </is>
      </c>
      <c r="P1277" s="5" t="inlineStr">
        <is>
          <t>20</t>
        </is>
      </c>
      <c r="Q1277" s="5" t="inlineStr">
        <is>
          <t>5</t>
        </is>
      </c>
      <c r="R1277" s="5" t="inlineStr">
        <is>
          <t>10</t>
        </is>
      </c>
      <c r="S1277" s="5" t="inlineStr">
        <is>
          <t>1</t>
        </is>
      </c>
      <c r="T1277" s="5" t="inlineStr">
        <is>
          <t>10</t>
        </is>
      </c>
      <c r="U1277" s="5" t="inlineStr">
        <is>
          <t>OK</t>
        </is>
      </c>
    </row>
    <row r="1278">
      <c r="A1278" s="5" t="inlineStr">
        <is>
          <t>E00420</t>
        </is>
      </c>
      <c r="B1278" s="5" t="inlineStr">
        <is>
          <t>Male</t>
        </is>
      </c>
      <c r="C1278" s="6" t="inlineStr">
        <is>
          <t>25</t>
        </is>
      </c>
      <c r="D1278" s="5" t="inlineStr">
        <is>
          <t>Married</t>
        </is>
      </c>
      <c r="E1278" s="5" t="inlineStr">
        <is>
          <t>Bachelor</t>
        </is>
      </c>
      <c r="F1278" s="5" t="inlineStr">
        <is>
          <t>Customer Support</t>
        </is>
      </c>
      <c r="G1278" s="5" t="inlineStr">
        <is>
          <t>Escalation Specialist</t>
        </is>
      </c>
      <c r="H1278" s="5" t="inlineStr">
        <is>
          <t>2</t>
        </is>
      </c>
      <c r="I1278" s="5" t="inlineStr">
        <is>
          <t>Chennai</t>
        </is>
      </c>
      <c r="J1278" s="5" t="inlineStr">
        <is>
          <t>Full-Time</t>
        </is>
      </c>
      <c r="K1278" s="7" t="n">
        <v>43856</v>
      </c>
      <c r="L1278" s="7" t="inlineStr"/>
      <c r="M1278" s="5" t="inlineStr">
        <is>
          <t>Yes</t>
        </is>
      </c>
      <c r="N1278" s="5" t="inlineStr"/>
      <c r="O1278" s="8" t="inlineStr">
        <is>
          <t>49500</t>
        </is>
      </c>
      <c r="P1278" s="5" t="inlineStr">
        <is>
          <t>15</t>
        </is>
      </c>
      <c r="Q1278" s="5" t="inlineStr">
        <is>
          <t>3</t>
        </is>
      </c>
      <c r="R1278" s="5" t="inlineStr">
        <is>
          <t>3</t>
        </is>
      </c>
      <c r="S1278" s="5" t="inlineStr">
        <is>
          <t>72</t>
        </is>
      </c>
      <c r="T1278" s="5" t="inlineStr">
        <is>
          <t>3</t>
        </is>
      </c>
      <c r="U1278" s="5" t="inlineStr">
        <is>
          <t>OK</t>
        </is>
      </c>
    </row>
    <row r="1279">
      <c r="A1279" s="5" t="inlineStr">
        <is>
          <t>E00287</t>
        </is>
      </c>
      <c r="B1279" s="5" t="inlineStr">
        <is>
          <t>Unknown</t>
        </is>
      </c>
      <c r="C1279" s="6" t="inlineStr">
        <is>
          <t>30</t>
        </is>
      </c>
      <c r="D1279" s="5" t="inlineStr">
        <is>
          <t>Married</t>
        </is>
      </c>
      <c r="E1279" s="5" t="inlineStr">
        <is>
          <t>Master</t>
        </is>
      </c>
      <c r="F1279" s="5" t="inlineStr">
        <is>
          <t>Operations</t>
        </is>
      </c>
      <c r="G1279" s="5" t="inlineStr">
        <is>
          <t>Quality Analyst</t>
        </is>
      </c>
      <c r="H1279" s="5" t="inlineStr">
        <is>
          <t>2</t>
        </is>
      </c>
      <c r="I1279" s="5" t="inlineStr">
        <is>
          <t>Chennai</t>
        </is>
      </c>
      <c r="J1279" s="5" t="inlineStr">
        <is>
          <t>Full-Time</t>
        </is>
      </c>
      <c r="K1279" s="7" t="n">
        <v>45639</v>
      </c>
      <c r="L1279" s="7" t="inlineStr"/>
      <c r="M1279" s="5" t="inlineStr">
        <is>
          <t>Yes</t>
        </is>
      </c>
      <c r="N1279" s="5" t="inlineStr"/>
      <c r="O1279" s="8" t="inlineStr">
        <is>
          <t>65500</t>
        </is>
      </c>
      <c r="P1279" s="5" t="inlineStr">
        <is>
          <t>5</t>
        </is>
      </c>
      <c r="Q1279" s="5" t="inlineStr">
        <is>
          <t>4</t>
        </is>
      </c>
      <c r="R1279" s="5" t="inlineStr">
        <is>
          <t>3</t>
        </is>
      </c>
      <c r="S1279" s="5" t="inlineStr">
        <is>
          <t>12</t>
        </is>
      </c>
      <c r="T1279" s="5" t="inlineStr">
        <is>
          <t>13</t>
        </is>
      </c>
      <c r="U1279" s="5" t="inlineStr">
        <is>
          <t>Bad gender</t>
        </is>
      </c>
    </row>
    <row r="1280">
      <c r="A1280" s="5" t="inlineStr">
        <is>
          <t>E02588</t>
        </is>
      </c>
      <c r="B1280" s="5" t="inlineStr">
        <is>
          <t>Male</t>
        </is>
      </c>
      <c r="C1280" s="6" t="inlineStr">
        <is>
          <t>33</t>
        </is>
      </c>
      <c r="D1280" s="5" t="inlineStr">
        <is>
          <t>Married</t>
        </is>
      </c>
      <c r="E1280" s="5" t="inlineStr">
        <is>
          <t>Bachelor</t>
        </is>
      </c>
      <c r="F1280" s="5" t="inlineStr">
        <is>
          <t>Sales</t>
        </is>
      </c>
      <c r="G1280" s="5" t="inlineStr">
        <is>
          <t>Account Executive</t>
        </is>
      </c>
      <c r="H1280" s="5" t="inlineStr">
        <is>
          <t>4</t>
        </is>
      </c>
      <c r="I1280" s="5" t="inlineStr">
        <is>
          <t>Remote</t>
        </is>
      </c>
      <c r="J1280" s="5" t="inlineStr">
        <is>
          <t>Full-Time</t>
        </is>
      </c>
      <c r="K1280" s="7" t="n">
        <v>44763</v>
      </c>
      <c r="L1280" s="7" t="inlineStr"/>
      <c r="M1280" s="5" t="inlineStr">
        <is>
          <t>Yes</t>
        </is>
      </c>
      <c r="N1280" s="5" t="inlineStr"/>
      <c r="O1280" s="8" t="inlineStr">
        <is>
          <t>143000</t>
        </is>
      </c>
      <c r="P1280" s="5" t="inlineStr">
        <is>
          <t>0</t>
        </is>
      </c>
      <c r="Q1280" s="5" t="inlineStr">
        <is>
          <t>5</t>
        </is>
      </c>
      <c r="R1280" s="5" t="inlineStr">
        <is>
          <t>5</t>
        </is>
      </c>
      <c r="S1280" s="5" t="inlineStr">
        <is>
          <t>41</t>
        </is>
      </c>
      <c r="T1280" s="5" t="inlineStr">
        <is>
          <t>3</t>
        </is>
      </c>
      <c r="U1280" s="5" t="inlineStr">
        <is>
          <t>OK</t>
        </is>
      </c>
    </row>
    <row r="1281">
      <c r="A1281" s="5" t="inlineStr">
        <is>
          <t>E02180</t>
        </is>
      </c>
      <c r="B1281" s="5" t="inlineStr">
        <is>
          <t>Female</t>
        </is>
      </c>
      <c r="C1281" s="6" t="inlineStr">
        <is>
          <t>37</t>
        </is>
      </c>
      <c r="D1281" s="5" t="inlineStr">
        <is>
          <t>Divorced</t>
        </is>
      </c>
      <c r="E1281" s="5" t="inlineStr">
        <is>
          <t>High School</t>
        </is>
      </c>
      <c r="F1281" s="5" t="inlineStr">
        <is>
          <t>IT</t>
        </is>
      </c>
      <c r="G1281" s="5" t="inlineStr">
        <is>
          <t>Software Engineer</t>
        </is>
      </c>
      <c r="H1281" s="5" t="inlineStr">
        <is>
          <t>3</t>
        </is>
      </c>
      <c r="I1281" s="5" t="inlineStr">
        <is>
          <t>Delhi</t>
        </is>
      </c>
      <c r="J1281" s="5" t="inlineStr">
        <is>
          <t>Contract</t>
        </is>
      </c>
      <c r="K1281" s="7" t="n">
        <v>44485</v>
      </c>
      <c r="L1281" s="7" t="inlineStr"/>
      <c r="M1281" s="5" t="inlineStr">
        <is>
          <t>Yes</t>
        </is>
      </c>
      <c r="N1281" s="5" t="inlineStr"/>
      <c r="O1281" s="8" t="inlineStr">
        <is>
          <t>114000</t>
        </is>
      </c>
      <c r="P1281" s="5" t="inlineStr">
        <is>
          <t>0</t>
        </is>
      </c>
      <c r="Q1281" s="5" t="inlineStr">
        <is>
          <t>4</t>
        </is>
      </c>
      <c r="R1281" s="5" t="inlineStr">
        <is>
          <t>6</t>
        </is>
      </c>
      <c r="S1281" s="5" t="inlineStr">
        <is>
          <t>51</t>
        </is>
      </c>
      <c r="T1281" s="5" t="inlineStr">
        <is>
          <t>0</t>
        </is>
      </c>
      <c r="U1281" s="5" t="inlineStr">
        <is>
          <t>OK</t>
        </is>
      </c>
    </row>
    <row r="1282">
      <c r="A1282" s="5" t="inlineStr">
        <is>
          <t>E00928</t>
        </is>
      </c>
      <c r="B1282" s="5" t="inlineStr">
        <is>
          <t>Male</t>
        </is>
      </c>
      <c r="C1282" s="6" t="inlineStr">
        <is>
          <t>28</t>
        </is>
      </c>
      <c r="D1282" s="5" t="inlineStr">
        <is>
          <t>Single</t>
        </is>
      </c>
      <c r="E1282" s="5" t="inlineStr">
        <is>
          <t>High School</t>
        </is>
      </c>
      <c r="F1282" s="5" t="inlineStr">
        <is>
          <t>Marketing</t>
        </is>
      </c>
      <c r="G1282" s="5" t="inlineStr">
        <is>
          <t>Content Writer</t>
        </is>
      </c>
      <c r="H1282" s="5" t="inlineStr">
        <is>
          <t>2</t>
        </is>
      </c>
      <c r="I1282" s="5" t="inlineStr">
        <is>
          <t>Chennai</t>
        </is>
      </c>
      <c r="J1282" s="5" t="inlineStr">
        <is>
          <t>Part-Time</t>
        </is>
      </c>
      <c r="K1282" s="7" t="n">
        <v>45350</v>
      </c>
      <c r="L1282" s="7" t="n">
        <v>45398</v>
      </c>
      <c r="M1282" s="5" t="inlineStr">
        <is>
          <t>No</t>
        </is>
      </c>
      <c r="N1282" s="5" t="inlineStr">
        <is>
          <t>Resigned</t>
        </is>
      </c>
      <c r="O1282" s="8" t="inlineStr">
        <is>
          <t>57500</t>
        </is>
      </c>
      <c r="P1282" s="5" t="inlineStr">
        <is>
          <t>0</t>
        </is>
      </c>
      <c r="Q1282" s="5" t="inlineStr">
        <is>
          <t>3</t>
        </is>
      </c>
      <c r="R1282" s="5" t="inlineStr">
        <is>
          <t>7</t>
        </is>
      </c>
      <c r="S1282" s="5" t="inlineStr">
        <is>
          <t>1</t>
        </is>
      </c>
      <c r="T1282" s="5" t="inlineStr">
        <is>
          <t>7</t>
        </is>
      </c>
      <c r="U1282" s="5" t="inlineStr">
        <is>
          <t>OK</t>
        </is>
      </c>
    </row>
    <row r="1283">
      <c r="A1283" s="5" t="inlineStr">
        <is>
          <t>E02383</t>
        </is>
      </c>
      <c r="B1283" s="5" t="inlineStr">
        <is>
          <t>Male</t>
        </is>
      </c>
      <c r="C1283" s="6" t="inlineStr">
        <is>
          <t>26</t>
        </is>
      </c>
      <c r="D1283" s="5" t="inlineStr">
        <is>
          <t>Married</t>
        </is>
      </c>
      <c r="E1283" s="5" t="inlineStr">
        <is>
          <t>Bachelor</t>
        </is>
      </c>
      <c r="F1283" s="5" t="inlineStr">
        <is>
          <t>Finance</t>
        </is>
      </c>
      <c r="G1283" s="5" t="inlineStr">
        <is>
          <t>Accountant</t>
        </is>
      </c>
      <c r="H1283" s="5" t="inlineStr">
        <is>
          <t>1</t>
        </is>
      </c>
      <c r="I1283" s="5" t="inlineStr">
        <is>
          <t>Remote</t>
        </is>
      </c>
      <c r="J1283" s="5" t="inlineStr">
        <is>
          <t>Full-Time</t>
        </is>
      </c>
      <c r="K1283" s="7" t="n">
        <v>44417</v>
      </c>
      <c r="L1283" s="7" t="inlineStr"/>
      <c r="M1283" s="5" t="inlineStr">
        <is>
          <t>Yes</t>
        </is>
      </c>
      <c r="N1283" s="5" t="inlineStr"/>
      <c r="O1283" s="8" t="inlineStr">
        <is>
          <t>91000</t>
        </is>
      </c>
      <c r="P1283" s="5" t="inlineStr">
        <is>
          <t>5</t>
        </is>
      </c>
      <c r="Q1283" s="5" t="inlineStr">
        <is>
          <t>5</t>
        </is>
      </c>
      <c r="R1283" s="5" t="inlineStr">
        <is>
          <t>5</t>
        </is>
      </c>
      <c r="S1283" s="5" t="inlineStr">
        <is>
          <t>53</t>
        </is>
      </c>
      <c r="T1283" s="5" t="inlineStr">
        <is>
          <t>9</t>
        </is>
      </c>
      <c r="U1283" s="5" t="inlineStr">
        <is>
          <t>OK</t>
        </is>
      </c>
    </row>
    <row r="1284">
      <c r="A1284" s="5" t="inlineStr">
        <is>
          <t>E00256</t>
        </is>
      </c>
      <c r="B1284" s="5" t="inlineStr">
        <is>
          <t>Female</t>
        </is>
      </c>
      <c r="C1284" s="6" t="inlineStr">
        <is>
          <t>38</t>
        </is>
      </c>
      <c r="D1284" s="5" t="inlineStr">
        <is>
          <t>Single</t>
        </is>
      </c>
      <c r="E1284" s="5" t="inlineStr">
        <is>
          <t>Bachelor</t>
        </is>
      </c>
      <c r="F1284" s="5" t="inlineStr">
        <is>
          <t>IT</t>
        </is>
      </c>
      <c r="G1284" s="5" t="inlineStr">
        <is>
          <t>Data Analyst</t>
        </is>
      </c>
      <c r="H1284" s="5" t="inlineStr">
        <is>
          <t>3</t>
        </is>
      </c>
      <c r="I1284" s="5" t="inlineStr">
        <is>
          <t>Hyderabad</t>
        </is>
      </c>
      <c r="J1284" s="5" t="inlineStr">
        <is>
          <t>Full-Time</t>
        </is>
      </c>
      <c r="K1284" s="7" t="n">
        <v>44633</v>
      </c>
      <c r="L1284" s="7" t="inlineStr"/>
      <c r="M1284" s="5" t="inlineStr">
        <is>
          <t>Yes</t>
        </is>
      </c>
      <c r="N1284" s="5" t="inlineStr"/>
      <c r="O1284" s="8" t="inlineStr">
        <is>
          <t>182000</t>
        </is>
      </c>
      <c r="P1284" s="5" t="inlineStr">
        <is>
          <t>15</t>
        </is>
      </c>
      <c r="Q1284" s="5" t="inlineStr">
        <is>
          <t>3</t>
        </is>
      </c>
      <c r="R1284" s="5" t="inlineStr">
        <is>
          <t>7</t>
        </is>
      </c>
      <c r="S1284" s="5" t="inlineStr">
        <is>
          <t>46</t>
        </is>
      </c>
      <c r="T1284" s="5" t="inlineStr">
        <is>
          <t>6</t>
        </is>
      </c>
      <c r="U1284" s="5" t="inlineStr">
        <is>
          <t>OK</t>
        </is>
      </c>
    </row>
    <row r="1285">
      <c r="A1285" s="5" t="inlineStr">
        <is>
          <t>E02249</t>
        </is>
      </c>
      <c r="B1285" s="5" t="inlineStr">
        <is>
          <t>Female</t>
        </is>
      </c>
      <c r="C1285" s="6" t="inlineStr">
        <is>
          <t>25</t>
        </is>
      </c>
      <c r="D1285" s="5" t="inlineStr">
        <is>
          <t>Single</t>
        </is>
      </c>
      <c r="E1285" s="5" t="inlineStr">
        <is>
          <t>High School</t>
        </is>
      </c>
      <c r="F1285" s="5" t="inlineStr">
        <is>
          <t>IT</t>
        </is>
      </c>
      <c r="G1285" s="5" t="inlineStr">
        <is>
          <t>DevOps Engineer</t>
        </is>
      </c>
      <c r="H1285" s="5" t="inlineStr">
        <is>
          <t>2</t>
        </is>
      </c>
      <c r="I1285" s="5" t="inlineStr">
        <is>
          <t>Mumbai</t>
        </is>
      </c>
      <c r="J1285" s="5" t="inlineStr">
        <is>
          <t>Full-Time</t>
        </is>
      </c>
      <c r="K1285" s="7" t="n">
        <v>43850</v>
      </c>
      <c r="L1285" s="7" t="inlineStr"/>
      <c r="M1285" s="5" t="inlineStr">
        <is>
          <t>Yes</t>
        </is>
      </c>
      <c r="N1285" s="5" t="inlineStr"/>
      <c r="O1285" s="8" t="inlineStr">
        <is>
          <t>102000</t>
        </is>
      </c>
      <c r="P1285" s="5" t="inlineStr">
        <is>
          <t>0</t>
        </is>
      </c>
      <c r="Q1285" s="5" t="inlineStr">
        <is>
          <t>3</t>
        </is>
      </c>
      <c r="R1285" s="5" t="inlineStr">
        <is>
          <t>4</t>
        </is>
      </c>
      <c r="S1285" s="5" t="inlineStr">
        <is>
          <t>72</t>
        </is>
      </c>
      <c r="T1285" s="5" t="inlineStr">
        <is>
          <t>0</t>
        </is>
      </c>
      <c r="U1285" s="5" t="inlineStr">
        <is>
          <t>OK</t>
        </is>
      </c>
    </row>
    <row r="1286">
      <c r="A1286" s="5" t="inlineStr">
        <is>
          <t>E00093</t>
        </is>
      </c>
      <c r="B1286" s="5" t="inlineStr">
        <is>
          <t>Female</t>
        </is>
      </c>
      <c r="C1286" s="6" t="inlineStr">
        <is>
          <t>31</t>
        </is>
      </c>
      <c r="D1286" s="5" t="inlineStr">
        <is>
          <t>Married</t>
        </is>
      </c>
      <c r="E1286" s="5" t="inlineStr">
        <is>
          <t>Bachelor</t>
        </is>
      </c>
      <c r="F1286" s="5" t="inlineStr">
        <is>
          <t>IT</t>
        </is>
      </c>
      <c r="G1286" s="5" t="inlineStr">
        <is>
          <t>IT Support</t>
        </is>
      </c>
      <c r="H1286" s="5" t="inlineStr">
        <is>
          <t>2</t>
        </is>
      </c>
      <c r="I1286" s="5" t="inlineStr">
        <is>
          <t>Remote</t>
        </is>
      </c>
      <c r="J1286" s="5" t="inlineStr">
        <is>
          <t>Full-Time</t>
        </is>
      </c>
      <c r="K1286" s="7" t="n">
        <v>44565</v>
      </c>
      <c r="L1286" s="7" t="inlineStr"/>
      <c r="M1286" s="5" t="inlineStr">
        <is>
          <t>Yes</t>
        </is>
      </c>
      <c r="N1286" s="5" t="inlineStr"/>
      <c r="O1286" s="8" t="inlineStr">
        <is>
          <t>160500</t>
        </is>
      </c>
      <c r="P1286" s="5" t="inlineStr">
        <is>
          <t>5</t>
        </is>
      </c>
      <c r="Q1286" s="5" t="inlineStr">
        <is>
          <t>4</t>
        </is>
      </c>
      <c r="R1286" s="5" t="inlineStr">
        <is>
          <t>7</t>
        </is>
      </c>
      <c r="S1286" s="5" t="inlineStr">
        <is>
          <t>48</t>
        </is>
      </c>
      <c r="T1286" s="5" t="inlineStr">
        <is>
          <t>11</t>
        </is>
      </c>
      <c r="U1286" s="5" t="inlineStr">
        <is>
          <t>OK</t>
        </is>
      </c>
    </row>
    <row r="1287">
      <c r="A1287" s="5" t="inlineStr">
        <is>
          <t>E02187</t>
        </is>
      </c>
      <c r="B1287" s="5" t="inlineStr">
        <is>
          <t>Female</t>
        </is>
      </c>
      <c r="C1287" s="6" t="inlineStr">
        <is>
          <t>32</t>
        </is>
      </c>
      <c r="D1287" s="5" t="inlineStr">
        <is>
          <t>Single</t>
        </is>
      </c>
      <c r="E1287" s="5" t="inlineStr">
        <is>
          <t>Bachelor</t>
        </is>
      </c>
      <c r="F1287" s="5" t="inlineStr">
        <is>
          <t>Marketing</t>
        </is>
      </c>
      <c r="G1287" s="5" t="inlineStr">
        <is>
          <t>Content Writer</t>
        </is>
      </c>
      <c r="H1287" s="5" t="inlineStr">
        <is>
          <t>1</t>
        </is>
      </c>
      <c r="I1287" s="5" t="inlineStr">
        <is>
          <t>Chennai</t>
        </is>
      </c>
      <c r="J1287" s="5" t="inlineStr">
        <is>
          <t>Full-Time</t>
        </is>
      </c>
      <c r="K1287" s="7" t="n">
        <v>44387</v>
      </c>
      <c r="L1287" s="7" t="n">
        <v>44465</v>
      </c>
      <c r="M1287" s="5" t="inlineStr">
        <is>
          <t>No</t>
        </is>
      </c>
      <c r="N1287" s="5" t="inlineStr">
        <is>
          <t>Resigned</t>
        </is>
      </c>
      <c r="O1287" s="8" t="inlineStr">
        <is>
          <t>83000</t>
        </is>
      </c>
      <c r="P1287" s="5" t="inlineStr">
        <is>
          <t>0</t>
        </is>
      </c>
      <c r="Q1287" s="5" t="inlineStr">
        <is>
          <t>2</t>
        </is>
      </c>
      <c r="R1287" s="5" t="inlineStr">
        <is>
          <t>4</t>
        </is>
      </c>
      <c r="S1287" s="5" t="inlineStr">
        <is>
          <t>2</t>
        </is>
      </c>
      <c r="T1287" s="5" t="inlineStr">
        <is>
          <t>3</t>
        </is>
      </c>
      <c r="U1287" s="5" t="inlineStr">
        <is>
          <t>OK</t>
        </is>
      </c>
    </row>
    <row r="1288">
      <c r="A1288" s="5" t="inlineStr">
        <is>
          <t>E02074</t>
        </is>
      </c>
      <c r="B1288" s="5" t="inlineStr">
        <is>
          <t>Male</t>
        </is>
      </c>
      <c r="C1288" s="6" t="inlineStr">
        <is>
          <t>39</t>
        </is>
      </c>
      <c r="D1288" s="5" t="inlineStr">
        <is>
          <t>Married</t>
        </is>
      </c>
      <c r="E1288" s="5" t="inlineStr">
        <is>
          <t>PhD</t>
        </is>
      </c>
      <c r="F1288" s="5" t="inlineStr">
        <is>
          <t>Operations</t>
        </is>
      </c>
      <c r="G1288" s="5" t="inlineStr">
        <is>
          <t>Quality Analyst</t>
        </is>
      </c>
      <c r="H1288" s="5" t="inlineStr">
        <is>
          <t>4</t>
        </is>
      </c>
      <c r="I1288" s="5" t="inlineStr">
        <is>
          <t>Bengaluru</t>
        </is>
      </c>
      <c r="J1288" s="5" t="inlineStr">
        <is>
          <t>Full-Time</t>
        </is>
      </c>
      <c r="K1288" s="7" t="n">
        <v>45785</v>
      </c>
      <c r="L1288" s="7" t="n">
        <v>45917</v>
      </c>
      <c r="M1288" s="5" t="inlineStr">
        <is>
          <t>No</t>
        </is>
      </c>
      <c r="N1288" s="5" t="inlineStr">
        <is>
          <t>Resigned</t>
        </is>
      </c>
      <c r="O1288" s="8" t="inlineStr">
        <is>
          <t>125000</t>
        </is>
      </c>
      <c r="P1288" s="5" t="inlineStr">
        <is>
          <t>0</t>
        </is>
      </c>
      <c r="Q1288" s="5" t="inlineStr">
        <is>
          <t>4</t>
        </is>
      </c>
      <c r="R1288" s="5" t="inlineStr">
        <is>
          <t>3</t>
        </is>
      </c>
      <c r="S1288" s="5" t="inlineStr">
        <is>
          <t>4</t>
        </is>
      </c>
      <c r="T1288" s="5" t="inlineStr">
        <is>
          <t>8</t>
        </is>
      </c>
      <c r="U1288" s="5" t="inlineStr">
        <is>
          <t>OK</t>
        </is>
      </c>
    </row>
    <row r="1289">
      <c r="A1289" s="5" t="inlineStr">
        <is>
          <t>E00069</t>
        </is>
      </c>
      <c r="B1289" s="5" t="inlineStr">
        <is>
          <t>Male</t>
        </is>
      </c>
      <c r="C1289" s="6" t="inlineStr">
        <is>
          <t>37</t>
        </is>
      </c>
      <c r="D1289" s="5" t="inlineStr">
        <is>
          <t>Married</t>
        </is>
      </c>
      <c r="E1289" s="5" t="inlineStr">
        <is>
          <t>Master</t>
        </is>
      </c>
      <c r="F1289" s="5" t="inlineStr">
        <is>
          <t>Customer Support</t>
        </is>
      </c>
      <c r="G1289" s="5" t="inlineStr">
        <is>
          <t>Support Lead</t>
        </is>
      </c>
      <c r="H1289" s="5" t="inlineStr">
        <is>
          <t>4</t>
        </is>
      </c>
      <c r="I1289" s="5" t="inlineStr">
        <is>
          <t>Bengaluru</t>
        </is>
      </c>
      <c r="J1289" s="5" t="inlineStr">
        <is>
          <t>Full-Time</t>
        </is>
      </c>
      <c r="K1289" s="7" t="n">
        <v>45265</v>
      </c>
      <c r="L1289" s="7" t="inlineStr"/>
      <c r="M1289" s="5" t="inlineStr">
        <is>
          <t>Yes</t>
        </is>
      </c>
      <c r="N1289" s="5" t="inlineStr"/>
      <c r="O1289" s="8" t="inlineStr">
        <is>
          <t>102500</t>
        </is>
      </c>
      <c r="P1289" s="5" t="inlineStr">
        <is>
          <t>15</t>
        </is>
      </c>
      <c r="Q1289" s="5" t="inlineStr">
        <is>
          <t>3</t>
        </is>
      </c>
      <c r="R1289" s="5" t="inlineStr">
        <is>
          <t>4</t>
        </is>
      </c>
      <c r="S1289" s="5" t="inlineStr">
        <is>
          <t>25</t>
        </is>
      </c>
      <c r="T1289" s="5" t="inlineStr">
        <is>
          <t>9</t>
        </is>
      </c>
      <c r="U1289" s="5" t="inlineStr">
        <is>
          <t>OK</t>
        </is>
      </c>
    </row>
    <row r="1290">
      <c r="A1290" s="5" t="inlineStr">
        <is>
          <t>E00951</t>
        </is>
      </c>
      <c r="B1290" s="5" t="inlineStr">
        <is>
          <t>Male</t>
        </is>
      </c>
      <c r="C1290" s="6" t="inlineStr">
        <is>
          <t>27</t>
        </is>
      </c>
      <c r="D1290" s="5" t="inlineStr">
        <is>
          <t>Married</t>
        </is>
      </c>
      <c r="E1290" s="5" t="inlineStr">
        <is>
          <t>Bachelor</t>
        </is>
      </c>
      <c r="F1290" s="5" t="inlineStr">
        <is>
          <t>Finance</t>
        </is>
      </c>
      <c r="G1290" s="5" t="inlineStr">
        <is>
          <t>Financial Analyst</t>
        </is>
      </c>
      <c r="H1290" s="5" t="inlineStr">
        <is>
          <t>1</t>
        </is>
      </c>
      <c r="I1290" s="5" t="inlineStr">
        <is>
          <t>Chennai</t>
        </is>
      </c>
      <c r="J1290" s="5" t="inlineStr">
        <is>
          <t>Full-Time</t>
        </is>
      </c>
      <c r="K1290" s="7" t="n">
        <v>44002</v>
      </c>
      <c r="L1290" s="7" t="inlineStr"/>
      <c r="M1290" s="5" t="inlineStr">
        <is>
          <t>Yes</t>
        </is>
      </c>
      <c r="N1290" s="5" t="inlineStr"/>
      <c r="O1290" s="8" t="inlineStr">
        <is>
          <t>105000</t>
        </is>
      </c>
      <c r="P1290" s="5" t="inlineStr">
        <is>
          <t>5</t>
        </is>
      </c>
      <c r="Q1290" s="5" t="inlineStr">
        <is>
          <t>4</t>
        </is>
      </c>
      <c r="R1290" s="5" t="inlineStr">
        <is>
          <t>4</t>
        </is>
      </c>
      <c r="S1290" s="5" t="inlineStr">
        <is>
          <t>67</t>
        </is>
      </c>
      <c r="T1290" s="5" t="inlineStr">
        <is>
          <t>18</t>
        </is>
      </c>
      <c r="U1290" s="5" t="inlineStr">
        <is>
          <t>OK</t>
        </is>
      </c>
    </row>
    <row r="1291">
      <c r="A1291" s="5" t="inlineStr">
        <is>
          <t>E02424</t>
        </is>
      </c>
      <c r="B1291" s="5" t="inlineStr">
        <is>
          <t>Female</t>
        </is>
      </c>
      <c r="C1291" s="6" t="inlineStr">
        <is>
          <t>30</t>
        </is>
      </c>
      <c r="D1291" s="5" t="inlineStr">
        <is>
          <t>Married</t>
        </is>
      </c>
      <c r="E1291" s="5" t="inlineStr">
        <is>
          <t>High School</t>
        </is>
      </c>
      <c r="F1291" s="5" t="inlineStr">
        <is>
          <t>IT</t>
        </is>
      </c>
      <c r="G1291" s="5" t="inlineStr">
        <is>
          <t>DevOps Engineer</t>
        </is>
      </c>
      <c r="H1291" s="5" t="inlineStr">
        <is>
          <t>2</t>
        </is>
      </c>
      <c r="I1291" s="5" t="inlineStr">
        <is>
          <t>Hyderabad</t>
        </is>
      </c>
      <c r="J1291" s="5" t="inlineStr">
        <is>
          <t>Full-Time</t>
        </is>
      </c>
      <c r="K1291" s="7" t="n">
        <v>43901</v>
      </c>
      <c r="L1291" s="7" t="inlineStr"/>
      <c r="M1291" s="5" t="inlineStr">
        <is>
          <t>Yes</t>
        </is>
      </c>
      <c r="N1291" s="5" t="inlineStr"/>
      <c r="O1291" s="8" t="inlineStr">
        <is>
          <t>103500</t>
        </is>
      </c>
      <c r="P1291" s="5" t="inlineStr">
        <is>
          <t>0</t>
        </is>
      </c>
      <c r="Q1291" s="5" t="inlineStr">
        <is>
          <t>3</t>
        </is>
      </c>
      <c r="R1291" s="5" t="inlineStr">
        <is>
          <t>8</t>
        </is>
      </c>
      <c r="S1291" s="5" t="inlineStr">
        <is>
          <t>70</t>
        </is>
      </c>
      <c r="T1291" s="5" t="inlineStr">
        <is>
          <t>7</t>
        </is>
      </c>
      <c r="U1291" s="5" t="inlineStr">
        <is>
          <t>OK</t>
        </is>
      </c>
    </row>
    <row r="1292">
      <c r="A1292" s="5" t="inlineStr">
        <is>
          <t>E00853</t>
        </is>
      </c>
      <c r="B1292" s="5" t="inlineStr">
        <is>
          <t>Female</t>
        </is>
      </c>
      <c r="C1292" s="6" t="inlineStr">
        <is>
          <t>34</t>
        </is>
      </c>
      <c r="D1292" s="5" t="inlineStr">
        <is>
          <t>Married</t>
        </is>
      </c>
      <c r="E1292" s="5" t="inlineStr">
        <is>
          <t>Diploma</t>
        </is>
      </c>
      <c r="F1292" s="5" t="inlineStr">
        <is>
          <t>Operations</t>
        </is>
      </c>
      <c r="G1292" s="5" t="inlineStr">
        <is>
          <t>Operations Analyst</t>
        </is>
      </c>
      <c r="H1292" s="5" t="inlineStr">
        <is>
          <t>3</t>
        </is>
      </c>
      <c r="I1292" s="5" t="inlineStr">
        <is>
          <t>Delhi</t>
        </is>
      </c>
      <c r="J1292" s="5" t="inlineStr">
        <is>
          <t>Contract</t>
        </is>
      </c>
      <c r="K1292" s="7" t="n">
        <v>45003</v>
      </c>
      <c r="L1292" s="7" t="inlineStr"/>
      <c r="M1292" s="5" t="inlineStr">
        <is>
          <t>Yes</t>
        </is>
      </c>
      <c r="N1292" s="5" t="inlineStr"/>
      <c r="O1292" s="8" t="inlineStr">
        <is>
          <t>78500</t>
        </is>
      </c>
      <c r="P1292" s="5" t="inlineStr">
        <is>
          <t>15</t>
        </is>
      </c>
      <c r="Q1292" s="5" t="inlineStr">
        <is>
          <t>5</t>
        </is>
      </c>
      <c r="R1292" s="5" t="inlineStr">
        <is>
          <t>4</t>
        </is>
      </c>
      <c r="S1292" s="5" t="inlineStr">
        <is>
          <t>33</t>
        </is>
      </c>
      <c r="T1292" s="5" t="inlineStr">
        <is>
          <t>17</t>
        </is>
      </c>
      <c r="U1292" s="5" t="inlineStr">
        <is>
          <t>OK</t>
        </is>
      </c>
    </row>
    <row r="1293">
      <c r="A1293" s="5" t="inlineStr">
        <is>
          <t>E01726</t>
        </is>
      </c>
      <c r="B1293" s="5" t="inlineStr">
        <is>
          <t>Female</t>
        </is>
      </c>
      <c r="C1293" s="6" t="inlineStr">
        <is>
          <t>28</t>
        </is>
      </c>
      <c r="D1293" s="5" t="inlineStr">
        <is>
          <t>Single</t>
        </is>
      </c>
      <c r="E1293" s="5" t="inlineStr">
        <is>
          <t>High School</t>
        </is>
      </c>
      <c r="F1293" s="5" t="inlineStr">
        <is>
          <t>Finance</t>
        </is>
      </c>
      <c r="G1293" s="5" t="inlineStr">
        <is>
          <t>Financial Analyst</t>
        </is>
      </c>
      <c r="H1293" s="5" t="inlineStr">
        <is>
          <t>1</t>
        </is>
      </c>
      <c r="I1293" s="5" t="inlineStr">
        <is>
          <t>Bengaluru</t>
        </is>
      </c>
      <c r="J1293" s="5" t="inlineStr">
        <is>
          <t>Full-Time</t>
        </is>
      </c>
      <c r="K1293" s="7" t="n">
        <v>44821</v>
      </c>
      <c r="L1293" s="7" t="inlineStr"/>
      <c r="M1293" s="5" t="inlineStr">
        <is>
          <t>Yes</t>
        </is>
      </c>
      <c r="N1293" s="5" t="inlineStr"/>
      <c r="O1293" s="8" t="inlineStr">
        <is>
          <t>68000</t>
        </is>
      </c>
      <c r="P1293" s="5" t="inlineStr">
        <is>
          <t>15</t>
        </is>
      </c>
      <c r="Q1293" s="5" t="inlineStr">
        <is>
          <t>4</t>
        </is>
      </c>
      <c r="R1293" s="5" t="inlineStr">
        <is>
          <t>10</t>
        </is>
      </c>
      <c r="S1293" s="5" t="inlineStr">
        <is>
          <t>40</t>
        </is>
      </c>
      <c r="T1293" s="5" t="inlineStr">
        <is>
          <t>5</t>
        </is>
      </c>
      <c r="U1293" s="5" t="inlineStr">
        <is>
          <t>OK</t>
        </is>
      </c>
    </row>
    <row r="1294">
      <c r="A1294" s="5" t="inlineStr">
        <is>
          <t>E01984</t>
        </is>
      </c>
      <c r="B1294" s="5" t="inlineStr">
        <is>
          <t>Female</t>
        </is>
      </c>
      <c r="C1294" s="6" t="inlineStr">
        <is>
          <t>36</t>
        </is>
      </c>
      <c r="D1294" s="5" t="inlineStr">
        <is>
          <t>Divorced</t>
        </is>
      </c>
      <c r="E1294" s="5" t="inlineStr">
        <is>
          <t>Bachelor</t>
        </is>
      </c>
      <c r="F1294" s="5" t="inlineStr">
        <is>
          <t>Operations</t>
        </is>
      </c>
      <c r="G1294" s="5" t="inlineStr">
        <is>
          <t>Logistics Coordinator</t>
        </is>
      </c>
      <c r="H1294" s="5" t="inlineStr">
        <is>
          <t>2</t>
        </is>
      </c>
      <c r="I1294" s="5" t="inlineStr">
        <is>
          <t>Chennai</t>
        </is>
      </c>
      <c r="J1294" s="5" t="inlineStr">
        <is>
          <t>Full-Time</t>
        </is>
      </c>
      <c r="K1294" s="7" t="n">
        <v>45054</v>
      </c>
      <c r="L1294" s="7" t="inlineStr"/>
      <c r="M1294" s="5" t="inlineStr">
        <is>
          <t>Yes</t>
        </is>
      </c>
      <c r="N1294" s="5" t="inlineStr"/>
      <c r="O1294" s="8" t="inlineStr">
        <is>
          <t>69500</t>
        </is>
      </c>
      <c r="P1294" s="5" t="inlineStr">
        <is>
          <t>10</t>
        </is>
      </c>
      <c r="Q1294" s="5" t="inlineStr">
        <is>
          <t>4</t>
        </is>
      </c>
      <c r="R1294" s="5" t="inlineStr">
        <is>
          <t>8</t>
        </is>
      </c>
      <c r="S1294" s="5" t="inlineStr">
        <is>
          <t>32</t>
        </is>
      </c>
      <c r="T1294" s="5" t="inlineStr">
        <is>
          <t>8</t>
        </is>
      </c>
      <c r="U1294" s="5" t="inlineStr">
        <is>
          <t>OK</t>
        </is>
      </c>
    </row>
    <row r="1295">
      <c r="A1295" s="5" t="inlineStr">
        <is>
          <t>E02843</t>
        </is>
      </c>
      <c r="B1295" s="5" t="inlineStr">
        <is>
          <t>Female</t>
        </is>
      </c>
      <c r="C1295" s="6" t="inlineStr">
        <is>
          <t>25</t>
        </is>
      </c>
      <c r="D1295" s="5" t="inlineStr">
        <is>
          <t>Married</t>
        </is>
      </c>
      <c r="E1295" s="5" t="inlineStr">
        <is>
          <t>Master</t>
        </is>
      </c>
      <c r="F1295" s="5" t="inlineStr">
        <is>
          <t>Operations</t>
        </is>
      </c>
      <c r="G1295" s="5" t="inlineStr">
        <is>
          <t>Quality Analyst</t>
        </is>
      </c>
      <c r="H1295" s="5" t="inlineStr">
        <is>
          <t>1</t>
        </is>
      </c>
      <c r="I1295" s="5" t="inlineStr">
        <is>
          <t>Remote</t>
        </is>
      </c>
      <c r="J1295" s="5" t="inlineStr">
        <is>
          <t>Full-Time</t>
        </is>
      </c>
      <c r="K1295" s="7" t="n">
        <v>45065</v>
      </c>
      <c r="L1295" s="7" t="inlineStr"/>
      <c r="M1295" s="5" t="inlineStr">
        <is>
          <t>Yes</t>
        </is>
      </c>
      <c r="N1295" s="5" t="inlineStr"/>
      <c r="O1295" s="8" t="inlineStr">
        <is>
          <t>72000</t>
        </is>
      </c>
      <c r="P1295" s="5" t="inlineStr">
        <is>
          <t>15</t>
        </is>
      </c>
      <c r="Q1295" s="5" t="inlineStr">
        <is>
          <t>4</t>
        </is>
      </c>
      <c r="R1295" s="5" t="inlineStr">
        <is>
          <t>6</t>
        </is>
      </c>
      <c r="S1295" s="5" t="inlineStr">
        <is>
          <t>31</t>
        </is>
      </c>
      <c r="T1295" s="5" t="inlineStr">
        <is>
          <t>11</t>
        </is>
      </c>
      <c r="U1295" s="5" t="inlineStr">
        <is>
          <t>OK</t>
        </is>
      </c>
    </row>
    <row r="1296">
      <c r="A1296" s="5" t="inlineStr">
        <is>
          <t>E01135</t>
        </is>
      </c>
      <c r="B1296" s="5" t="inlineStr">
        <is>
          <t>Male</t>
        </is>
      </c>
      <c r="C1296" s="6" t="inlineStr">
        <is>
          <t>29</t>
        </is>
      </c>
      <c r="D1296" s="5" t="inlineStr">
        <is>
          <t>Single</t>
        </is>
      </c>
      <c r="E1296" s="5" t="inlineStr">
        <is>
          <t>High School</t>
        </is>
      </c>
      <c r="F1296" s="5" t="inlineStr">
        <is>
          <t>Operations</t>
        </is>
      </c>
      <c r="G1296" s="5" t="inlineStr">
        <is>
          <t>Operations Analyst</t>
        </is>
      </c>
      <c r="H1296" s="5" t="inlineStr">
        <is>
          <t>2</t>
        </is>
      </c>
      <c r="I1296" s="5" t="inlineStr">
        <is>
          <t>Remote</t>
        </is>
      </c>
      <c r="J1296" s="5" t="inlineStr">
        <is>
          <t>Contract</t>
        </is>
      </c>
      <c r="K1296" s="7" t="n">
        <v>44469</v>
      </c>
      <c r="L1296" s="7" t="inlineStr"/>
      <c r="M1296" s="5" t="inlineStr">
        <is>
          <t>Yes</t>
        </is>
      </c>
      <c r="N1296" s="5" t="inlineStr"/>
      <c r="O1296" s="8" t="inlineStr">
        <is>
          <t>74000</t>
        </is>
      </c>
      <c r="P1296" s="5" t="inlineStr">
        <is>
          <t>10</t>
        </is>
      </c>
      <c r="Q1296" s="5" t="inlineStr">
        <is>
          <t>4</t>
        </is>
      </c>
      <c r="R1296" s="5" t="inlineStr">
        <is>
          <t>5</t>
        </is>
      </c>
      <c r="S1296" s="5" t="inlineStr">
        <is>
          <t>51</t>
        </is>
      </c>
      <c r="T1296" s="5" t="inlineStr">
        <is>
          <t>13</t>
        </is>
      </c>
      <c r="U1296" s="5" t="inlineStr">
        <is>
          <t>OK</t>
        </is>
      </c>
    </row>
    <row r="1297">
      <c r="A1297" s="5" t="inlineStr">
        <is>
          <t>E01076</t>
        </is>
      </c>
      <c r="B1297" s="5" t="inlineStr">
        <is>
          <t>Male</t>
        </is>
      </c>
      <c r="C1297" s="6" t="inlineStr">
        <is>
          <t>28</t>
        </is>
      </c>
      <c r="D1297" s="5" t="inlineStr">
        <is>
          <t>Married</t>
        </is>
      </c>
      <c r="E1297" s="5" t="inlineStr">
        <is>
          <t>Bachelor</t>
        </is>
      </c>
      <c r="F1297" s="5" t="inlineStr">
        <is>
          <t>Marketing</t>
        </is>
      </c>
      <c r="G1297" s="5" t="inlineStr">
        <is>
          <t>Content Writer</t>
        </is>
      </c>
      <c r="H1297" s="5" t="inlineStr">
        <is>
          <t>1</t>
        </is>
      </c>
      <c r="I1297" s="5" t="inlineStr">
        <is>
          <t>Delhi</t>
        </is>
      </c>
      <c r="J1297" s="5" t="inlineStr">
        <is>
          <t>Full-Time</t>
        </is>
      </c>
      <c r="K1297" s="7" t="n">
        <v>45285</v>
      </c>
      <c r="L1297" s="7" t="n">
        <v>45370</v>
      </c>
      <c r="M1297" s="5" t="inlineStr">
        <is>
          <t>No</t>
        </is>
      </c>
      <c r="N1297" s="5" t="inlineStr">
        <is>
          <t>Resigned</t>
        </is>
      </c>
      <c r="O1297" s="8" t="inlineStr">
        <is>
          <t>62500</t>
        </is>
      </c>
      <c r="P1297" s="5" t="inlineStr">
        <is>
          <t>10</t>
        </is>
      </c>
      <c r="Q1297" s="5" t="inlineStr">
        <is>
          <t>4</t>
        </is>
      </c>
      <c r="R1297" s="5" t="inlineStr">
        <is>
          <t>7</t>
        </is>
      </c>
      <c r="S1297" s="5" t="inlineStr">
        <is>
          <t>2</t>
        </is>
      </c>
      <c r="T1297" s="5" t="inlineStr">
        <is>
          <t>10</t>
        </is>
      </c>
      <c r="U1297" s="5" t="inlineStr">
        <is>
          <t>OK</t>
        </is>
      </c>
    </row>
    <row r="1298">
      <c r="A1298" s="5" t="inlineStr">
        <is>
          <t>E02329</t>
        </is>
      </c>
      <c r="B1298" s="5" t="inlineStr">
        <is>
          <t>Female</t>
        </is>
      </c>
      <c r="C1298" s="6" t="inlineStr">
        <is>
          <t>35</t>
        </is>
      </c>
      <c r="D1298" s="5" t="inlineStr">
        <is>
          <t>Single</t>
        </is>
      </c>
      <c r="E1298" s="5" t="inlineStr">
        <is>
          <t>Diploma</t>
        </is>
      </c>
      <c r="F1298" s="5" t="inlineStr">
        <is>
          <t>Operations</t>
        </is>
      </c>
      <c r="G1298" s="5" t="inlineStr">
        <is>
          <t>Operations Analyst</t>
        </is>
      </c>
      <c r="H1298" s="5" t="inlineStr">
        <is>
          <t>2</t>
        </is>
      </c>
      <c r="I1298" s="5" t="inlineStr">
        <is>
          <t>Mumbai</t>
        </is>
      </c>
      <c r="J1298" s="5" t="inlineStr">
        <is>
          <t>Full-Time</t>
        </is>
      </c>
      <c r="K1298" s="7" t="n">
        <v>45632</v>
      </c>
      <c r="L1298" s="7" t="inlineStr"/>
      <c r="M1298" s="5" t="inlineStr">
        <is>
          <t>Yes</t>
        </is>
      </c>
      <c r="N1298" s="5" t="inlineStr"/>
      <c r="O1298" s="8" t="inlineStr">
        <is>
          <t>69000</t>
        </is>
      </c>
      <c r="P1298" s="5" t="inlineStr">
        <is>
          <t>0</t>
        </is>
      </c>
      <c r="Q1298" s="5" t="inlineStr">
        <is>
          <t>1</t>
        </is>
      </c>
      <c r="R1298" s="5" t="inlineStr">
        <is>
          <t>7</t>
        </is>
      </c>
      <c r="S1298" s="5" t="inlineStr">
        <is>
          <t>13</t>
        </is>
      </c>
      <c r="T1298" s="5" t="inlineStr">
        <is>
          <t>2</t>
        </is>
      </c>
      <c r="U1298" s="5" t="inlineStr">
        <is>
          <t>OK</t>
        </is>
      </c>
    </row>
    <row r="1299">
      <c r="A1299" s="5" t="inlineStr">
        <is>
          <t>E02640</t>
        </is>
      </c>
      <c r="B1299" s="5" t="inlineStr">
        <is>
          <t>Female</t>
        </is>
      </c>
      <c r="C1299" s="6" t="inlineStr">
        <is>
          <t>37</t>
        </is>
      </c>
      <c r="D1299" s="5" t="inlineStr">
        <is>
          <t>Married</t>
        </is>
      </c>
      <c r="E1299" s="5" t="inlineStr">
        <is>
          <t>PhD</t>
        </is>
      </c>
      <c r="F1299" s="5" t="inlineStr">
        <is>
          <t>IT</t>
        </is>
      </c>
      <c r="G1299" s="5" t="inlineStr">
        <is>
          <t>DevOps Engineer</t>
        </is>
      </c>
      <c r="H1299" s="5" t="inlineStr">
        <is>
          <t>3</t>
        </is>
      </c>
      <c r="I1299" s="5" t="inlineStr">
        <is>
          <t>Mumbai</t>
        </is>
      </c>
      <c r="J1299" s="5" t="inlineStr">
        <is>
          <t>Full-Time</t>
        </is>
      </c>
      <c r="K1299" s="7" t="n">
        <v>44001</v>
      </c>
      <c r="L1299" s="7" t="inlineStr"/>
      <c r="M1299" s="5" t="inlineStr">
        <is>
          <t>Yes</t>
        </is>
      </c>
      <c r="N1299" s="5" t="inlineStr"/>
      <c r="O1299" s="8" t="inlineStr">
        <is>
          <t>130000</t>
        </is>
      </c>
      <c r="P1299" s="5" t="inlineStr">
        <is>
          <t>10</t>
        </is>
      </c>
      <c r="Q1299" s="5" t="inlineStr">
        <is>
          <t>3</t>
        </is>
      </c>
      <c r="R1299" s="5" t="inlineStr">
        <is>
          <t>5</t>
        </is>
      </c>
      <c r="S1299" s="5" t="inlineStr">
        <is>
          <t>67</t>
        </is>
      </c>
      <c r="T1299" s="5" t="inlineStr">
        <is>
          <t>0</t>
        </is>
      </c>
      <c r="U1299" s="5" t="inlineStr">
        <is>
          <t>OK</t>
        </is>
      </c>
    </row>
    <row r="1300">
      <c r="A1300" s="5" t="inlineStr">
        <is>
          <t>E02683</t>
        </is>
      </c>
      <c r="B1300" s="5" t="inlineStr">
        <is>
          <t>Male</t>
        </is>
      </c>
      <c r="C1300" s="6" t="inlineStr">
        <is>
          <t>26</t>
        </is>
      </c>
      <c r="D1300" s="5" t="inlineStr">
        <is>
          <t>Single</t>
        </is>
      </c>
      <c r="E1300" s="5" t="inlineStr">
        <is>
          <t>Master</t>
        </is>
      </c>
      <c r="F1300" s="5" t="inlineStr">
        <is>
          <t>Customer Support</t>
        </is>
      </c>
      <c r="G1300" s="5" t="inlineStr">
        <is>
          <t>Escalation Specialist</t>
        </is>
      </c>
      <c r="H1300" s="5" t="inlineStr">
        <is>
          <t>2</t>
        </is>
      </c>
      <c r="I1300" s="5" t="inlineStr">
        <is>
          <t>Remote</t>
        </is>
      </c>
      <c r="J1300" s="5" t="inlineStr">
        <is>
          <t>Part-Time</t>
        </is>
      </c>
      <c r="K1300" s="7" t="n">
        <v>43886</v>
      </c>
      <c r="L1300" s="7" t="inlineStr"/>
      <c r="M1300" s="5" t="inlineStr">
        <is>
          <t>Yes</t>
        </is>
      </c>
      <c r="N1300" s="5" t="inlineStr"/>
      <c r="O1300" s="8" t="inlineStr">
        <is>
          <t>62000</t>
        </is>
      </c>
      <c r="P1300" s="5" t="inlineStr">
        <is>
          <t>0</t>
        </is>
      </c>
      <c r="Q1300" s="5" t="inlineStr">
        <is>
          <t>3</t>
        </is>
      </c>
      <c r="R1300" s="5" t="inlineStr">
        <is>
          <t>5</t>
        </is>
      </c>
      <c r="S1300" s="5" t="inlineStr">
        <is>
          <t>71</t>
        </is>
      </c>
      <c r="T1300" s="5" t="inlineStr">
        <is>
          <t>0</t>
        </is>
      </c>
      <c r="U1300" s="5" t="inlineStr">
        <is>
          <t>OK</t>
        </is>
      </c>
    </row>
    <row r="1301">
      <c r="A1301" s="5" t="inlineStr">
        <is>
          <t>E02627</t>
        </is>
      </c>
      <c r="B1301" s="5" t="inlineStr">
        <is>
          <t>Female</t>
        </is>
      </c>
      <c r="C1301" s="6" t="inlineStr">
        <is>
          <t>27</t>
        </is>
      </c>
      <c r="D1301" s="5" t="inlineStr">
        <is>
          <t>Married</t>
        </is>
      </c>
      <c r="E1301" s="5" t="inlineStr">
        <is>
          <t>PhD</t>
        </is>
      </c>
      <c r="F1301" s="5" t="inlineStr">
        <is>
          <t>IT</t>
        </is>
      </c>
      <c r="G1301" s="5" t="inlineStr">
        <is>
          <t>Software Engineer</t>
        </is>
      </c>
      <c r="H1301" s="5" t="inlineStr">
        <is>
          <t>1</t>
        </is>
      </c>
      <c r="I1301" s="5" t="inlineStr">
        <is>
          <t>Chennai</t>
        </is>
      </c>
      <c r="J1301" s="5" t="inlineStr">
        <is>
          <t>Contract</t>
        </is>
      </c>
      <c r="K1301" s="7" t="n">
        <v>45669</v>
      </c>
      <c r="L1301" s="7" t="inlineStr"/>
      <c r="M1301" s="5" t="inlineStr">
        <is>
          <t>Yes</t>
        </is>
      </c>
      <c r="N1301" s="5" t="inlineStr"/>
      <c r="O1301" s="8" t="inlineStr">
        <is>
          <t>98000</t>
        </is>
      </c>
      <c r="P1301" s="5" t="inlineStr">
        <is>
          <t>0</t>
        </is>
      </c>
      <c r="Q1301" s="5" t="inlineStr">
        <is>
          <t>4</t>
        </is>
      </c>
      <c r="R1301" s="5" t="inlineStr">
        <is>
          <t>6</t>
        </is>
      </c>
      <c r="S1301" s="5" t="inlineStr">
        <is>
          <t>11</t>
        </is>
      </c>
      <c r="T1301" s="5" t="inlineStr">
        <is>
          <t>7</t>
        </is>
      </c>
      <c r="U1301" s="5" t="inlineStr">
        <is>
          <t>OK</t>
        </is>
      </c>
    </row>
    <row r="1302">
      <c r="A1302" s="5" t="inlineStr">
        <is>
          <t>E00163</t>
        </is>
      </c>
      <c r="B1302" s="5" t="inlineStr">
        <is>
          <t>Female</t>
        </is>
      </c>
      <c r="C1302" s="6" t="inlineStr">
        <is>
          <t>34</t>
        </is>
      </c>
      <c r="D1302" s="5" t="inlineStr">
        <is>
          <t>Single</t>
        </is>
      </c>
      <c r="E1302" s="5" t="inlineStr">
        <is>
          <t>Master</t>
        </is>
      </c>
      <c r="F1302" s="5" t="inlineStr">
        <is>
          <t>Operations</t>
        </is>
      </c>
      <c r="G1302" s="5" t="inlineStr">
        <is>
          <t>Operations Analyst</t>
        </is>
      </c>
      <c r="H1302" s="5" t="inlineStr">
        <is>
          <t>2</t>
        </is>
      </c>
      <c r="I1302" s="5" t="inlineStr">
        <is>
          <t>Mumbai</t>
        </is>
      </c>
      <c r="J1302" s="5" t="inlineStr">
        <is>
          <t>Full-Time</t>
        </is>
      </c>
      <c r="K1302" s="7" t="n">
        <v>45769</v>
      </c>
      <c r="L1302" s="7" t="inlineStr"/>
      <c r="M1302" s="5" t="inlineStr">
        <is>
          <t>Yes</t>
        </is>
      </c>
      <c r="N1302" s="5" t="inlineStr"/>
      <c r="O1302" s="8" t="inlineStr">
        <is>
          <t>86500</t>
        </is>
      </c>
      <c r="P1302" s="5" t="inlineStr">
        <is>
          <t>10</t>
        </is>
      </c>
      <c r="Q1302" s="5" t="inlineStr">
        <is>
          <t>5</t>
        </is>
      </c>
      <c r="R1302" s="5" t="inlineStr">
        <is>
          <t>7</t>
        </is>
      </c>
      <c r="S1302" s="5" t="inlineStr">
        <is>
          <t>8</t>
        </is>
      </c>
      <c r="T1302" s="5" t="inlineStr">
        <is>
          <t>0</t>
        </is>
      </c>
      <c r="U1302" s="5" t="inlineStr">
        <is>
          <t>OK</t>
        </is>
      </c>
    </row>
    <row r="1303">
      <c r="A1303" s="5" t="inlineStr">
        <is>
          <t>E01183</t>
        </is>
      </c>
      <c r="B1303" s="5" t="inlineStr">
        <is>
          <t>Unknown</t>
        </is>
      </c>
      <c r="C1303" s="6" t="inlineStr">
        <is>
          <t>38</t>
        </is>
      </c>
      <c r="D1303" s="5" t="inlineStr">
        <is>
          <t>Married</t>
        </is>
      </c>
      <c r="E1303" s="5" t="inlineStr">
        <is>
          <t>High School</t>
        </is>
      </c>
      <c r="F1303" s="5" t="inlineStr">
        <is>
          <t>Finance</t>
        </is>
      </c>
      <c r="G1303" s="5" t="inlineStr">
        <is>
          <t>Accountant</t>
        </is>
      </c>
      <c r="H1303" s="5" t="inlineStr">
        <is>
          <t>4</t>
        </is>
      </c>
      <c r="I1303" s="5" t="inlineStr">
        <is>
          <t>Hyderabad</t>
        </is>
      </c>
      <c r="J1303" s="5" t="inlineStr">
        <is>
          <t>Full-Time</t>
        </is>
      </c>
      <c r="K1303" s="7" t="n">
        <v>45225</v>
      </c>
      <c r="L1303" s="7" t="inlineStr"/>
      <c r="M1303" s="5" t="inlineStr">
        <is>
          <t>Yes</t>
        </is>
      </c>
      <c r="N1303" s="5" t="inlineStr"/>
      <c r="O1303" s="8" t="inlineStr">
        <is>
          <t>159000</t>
        </is>
      </c>
      <c r="P1303" s="5" t="inlineStr">
        <is>
          <t>0</t>
        </is>
      </c>
      <c r="Q1303" s="5" t="inlineStr">
        <is>
          <t>4</t>
        </is>
      </c>
      <c r="R1303" s="5" t="inlineStr">
        <is>
          <t>8</t>
        </is>
      </c>
      <c r="S1303" s="5" t="inlineStr">
        <is>
          <t>26</t>
        </is>
      </c>
      <c r="T1303" s="5" t="inlineStr">
        <is>
          <t>0</t>
        </is>
      </c>
      <c r="U1303" s="5" t="inlineStr">
        <is>
          <t>Bad gender</t>
        </is>
      </c>
    </row>
    <row r="1304">
      <c r="A1304" s="5" t="inlineStr">
        <is>
          <t>E01034</t>
        </is>
      </c>
      <c r="B1304" s="5" t="inlineStr">
        <is>
          <t>Female</t>
        </is>
      </c>
      <c r="C1304" s="6" t="inlineStr">
        <is>
          <t>35</t>
        </is>
      </c>
      <c r="D1304" s="5" t="inlineStr">
        <is>
          <t>Married</t>
        </is>
      </c>
      <c r="E1304" s="5" t="inlineStr">
        <is>
          <t>PhD</t>
        </is>
      </c>
      <c r="F1304" s="5" t="inlineStr">
        <is>
          <t>Research &amp; Development</t>
        </is>
      </c>
      <c r="G1304" s="5" t="inlineStr">
        <is>
          <t>Research Scientist</t>
        </is>
      </c>
      <c r="H1304" s="5" t="inlineStr">
        <is>
          <t>3</t>
        </is>
      </c>
      <c r="I1304" s="5" t="inlineStr">
        <is>
          <t>Mumbai</t>
        </is>
      </c>
      <c r="J1304" s="5" t="inlineStr">
        <is>
          <t>Full-Time</t>
        </is>
      </c>
      <c r="K1304" s="7" t="n">
        <v>45251</v>
      </c>
      <c r="L1304" s="7" t="inlineStr"/>
      <c r="M1304" s="5" t="inlineStr">
        <is>
          <t>Yes</t>
        </is>
      </c>
      <c r="N1304" s="5" t="inlineStr"/>
      <c r="O1304" s="8" t="inlineStr">
        <is>
          <t>170000</t>
        </is>
      </c>
      <c r="P1304" s="5" t="inlineStr">
        <is>
          <t>15</t>
        </is>
      </c>
      <c r="Q1304" s="5" t="inlineStr">
        <is>
          <t>3</t>
        </is>
      </c>
      <c r="R1304" s="5" t="inlineStr">
        <is>
          <t>6</t>
        </is>
      </c>
      <c r="S1304" s="5" t="inlineStr">
        <is>
          <t>25</t>
        </is>
      </c>
      <c r="T1304" s="5" t="inlineStr">
        <is>
          <t>11</t>
        </is>
      </c>
      <c r="U1304" s="5" t="inlineStr">
        <is>
          <t>OK</t>
        </is>
      </c>
    </row>
    <row r="1305">
      <c r="A1305" s="5" t="inlineStr">
        <is>
          <t>E02080</t>
        </is>
      </c>
      <c r="B1305" s="5" t="inlineStr">
        <is>
          <t>Male</t>
        </is>
      </c>
      <c r="C1305" s="6" t="inlineStr">
        <is>
          <t>29</t>
        </is>
      </c>
      <c r="D1305" s="5" t="inlineStr">
        <is>
          <t>Married</t>
        </is>
      </c>
      <c r="E1305" s="5" t="inlineStr">
        <is>
          <t>PhD</t>
        </is>
      </c>
      <c r="F1305" s="5" t="inlineStr">
        <is>
          <t>IT</t>
        </is>
      </c>
      <c r="G1305" s="5" t="inlineStr">
        <is>
          <t>DevOps Engineer</t>
        </is>
      </c>
      <c r="H1305" s="5" t="inlineStr">
        <is>
          <t>1</t>
        </is>
      </c>
      <c r="I1305" s="5" t="inlineStr">
        <is>
          <t>Mumbai</t>
        </is>
      </c>
      <c r="J1305" s="5" t="inlineStr">
        <is>
          <t>Full-Time</t>
        </is>
      </c>
      <c r="K1305" s="7" t="n">
        <v>45997</v>
      </c>
      <c r="L1305" s="7" t="inlineStr"/>
      <c r="M1305" s="5" t="inlineStr">
        <is>
          <t>Yes</t>
        </is>
      </c>
      <c r="N1305" s="5" t="inlineStr"/>
      <c r="O1305" s="8" t="inlineStr">
        <is>
          <t>114000</t>
        </is>
      </c>
      <c r="P1305" s="5" t="inlineStr">
        <is>
          <t>0</t>
        </is>
      </c>
      <c r="Q1305" s="5" t="inlineStr">
        <is>
          <t>3</t>
        </is>
      </c>
      <c r="R1305" s="5" t="inlineStr">
        <is>
          <t>3</t>
        </is>
      </c>
      <c r="S1305" s="5" t="inlineStr">
        <is>
          <t>1</t>
        </is>
      </c>
      <c r="T1305" s="5" t="inlineStr">
        <is>
          <t>4</t>
        </is>
      </c>
      <c r="U1305" s="5" t="inlineStr">
        <is>
          <t>OK</t>
        </is>
      </c>
    </row>
    <row r="1306">
      <c r="A1306" s="5" t="inlineStr">
        <is>
          <t>E02348</t>
        </is>
      </c>
      <c r="B1306" s="5" t="inlineStr">
        <is>
          <t>Female</t>
        </is>
      </c>
      <c r="C1306" s="6" t="inlineStr">
        <is>
          <t>36</t>
        </is>
      </c>
      <c r="D1306" s="5" t="inlineStr">
        <is>
          <t>Single</t>
        </is>
      </c>
      <c r="E1306" s="5" t="inlineStr">
        <is>
          <t>Bachelor</t>
        </is>
      </c>
      <c r="F1306" s="5" t="inlineStr">
        <is>
          <t>Customer Support</t>
        </is>
      </c>
      <c r="G1306" s="5" t="inlineStr">
        <is>
          <t>Escalation Specialist</t>
        </is>
      </c>
      <c r="H1306" s="5" t="inlineStr">
        <is>
          <t>5</t>
        </is>
      </c>
      <c r="I1306" s="5" t="inlineStr">
        <is>
          <t>Remote</t>
        </is>
      </c>
      <c r="J1306" s="5" t="inlineStr">
        <is>
          <t>Full-Time</t>
        </is>
      </c>
      <c r="K1306" s="7" t="n">
        <v>45197</v>
      </c>
      <c r="L1306" s="7" t="inlineStr"/>
      <c r="M1306" s="5" t="inlineStr">
        <is>
          <t>Yes</t>
        </is>
      </c>
      <c r="N1306" s="5" t="inlineStr"/>
      <c r="O1306" s="8" t="inlineStr">
        <is>
          <t>102000</t>
        </is>
      </c>
      <c r="P1306" s="5" t="inlineStr">
        <is>
          <t>10</t>
        </is>
      </c>
      <c r="Q1306" s="5" t="inlineStr">
        <is>
          <t>5</t>
        </is>
      </c>
      <c r="R1306" s="5" t="inlineStr">
        <is>
          <t>4</t>
        </is>
      </c>
      <c r="S1306" s="5" t="inlineStr">
        <is>
          <t>27</t>
        </is>
      </c>
      <c r="T1306" s="5" t="inlineStr">
        <is>
          <t>4</t>
        </is>
      </c>
      <c r="U1306" s="5" t="inlineStr">
        <is>
          <t>OK</t>
        </is>
      </c>
    </row>
    <row r="1307">
      <c r="A1307" s="5" t="inlineStr">
        <is>
          <t>E00012</t>
        </is>
      </c>
      <c r="B1307" s="5" t="inlineStr">
        <is>
          <t>Male</t>
        </is>
      </c>
      <c r="C1307" s="6" t="inlineStr">
        <is>
          <t>24</t>
        </is>
      </c>
      <c r="D1307" s="5" t="inlineStr">
        <is>
          <t>Married</t>
        </is>
      </c>
      <c r="E1307" s="5" t="inlineStr">
        <is>
          <t>Bachelor</t>
        </is>
      </c>
      <c r="F1307" s="5" t="inlineStr">
        <is>
          <t>Customer Support</t>
        </is>
      </c>
      <c r="G1307" s="5" t="inlineStr">
        <is>
          <t>Support Lead</t>
        </is>
      </c>
      <c r="H1307" s="5" t="inlineStr">
        <is>
          <t>1</t>
        </is>
      </c>
      <c r="I1307" s="5" t="inlineStr">
        <is>
          <t>Remote</t>
        </is>
      </c>
      <c r="J1307" s="5" t="inlineStr">
        <is>
          <t>Contract</t>
        </is>
      </c>
      <c r="K1307" s="7" t="n">
        <v>45961</v>
      </c>
      <c r="L1307" s="7" t="inlineStr"/>
      <c r="M1307" s="5" t="inlineStr">
        <is>
          <t>Yes</t>
        </is>
      </c>
      <c r="N1307" s="5" t="inlineStr"/>
      <c r="O1307" s="8" t="inlineStr">
        <is>
          <t>71500</t>
        </is>
      </c>
      <c r="P1307" s="5" t="inlineStr">
        <is>
          <t>15</t>
        </is>
      </c>
      <c r="Q1307" s="5" t="inlineStr">
        <is>
          <t>3</t>
        </is>
      </c>
      <c r="R1307" s="5" t="inlineStr">
        <is>
          <t>9</t>
        </is>
      </c>
      <c r="S1307" s="5" t="inlineStr">
        <is>
          <t>2</t>
        </is>
      </c>
      <c r="T1307" s="5" t="inlineStr">
        <is>
          <t>11</t>
        </is>
      </c>
      <c r="U1307" s="5" t="inlineStr">
        <is>
          <t>OK</t>
        </is>
      </c>
    </row>
    <row r="1308">
      <c r="A1308" s="5" t="inlineStr">
        <is>
          <t>E01020</t>
        </is>
      </c>
      <c r="B1308" s="5" t="inlineStr">
        <is>
          <t>Female</t>
        </is>
      </c>
      <c r="C1308" s="6" t="inlineStr">
        <is>
          <t>32</t>
        </is>
      </c>
      <c r="D1308" s="5" t="inlineStr">
        <is>
          <t>Married</t>
        </is>
      </c>
      <c r="E1308" s="5" t="inlineStr">
        <is>
          <t>Master</t>
        </is>
      </c>
      <c r="F1308" s="5" t="inlineStr">
        <is>
          <t>Marketing</t>
        </is>
      </c>
      <c r="G1308" s="5" t="inlineStr">
        <is>
          <t>Content Writer</t>
        </is>
      </c>
      <c r="H1308" s="5" t="inlineStr">
        <is>
          <t>4</t>
        </is>
      </c>
      <c r="I1308" s="5" t="inlineStr">
        <is>
          <t>Delhi</t>
        </is>
      </c>
      <c r="J1308" s="5" t="inlineStr">
        <is>
          <t>Full-Time</t>
        </is>
      </c>
      <c r="K1308" s="7" t="n">
        <v>44602</v>
      </c>
      <c r="L1308" s="7" t="inlineStr"/>
      <c r="M1308" s="5" t="inlineStr">
        <is>
          <t>Yes</t>
        </is>
      </c>
      <c r="N1308" s="5" t="inlineStr"/>
      <c r="O1308" s="8" t="inlineStr">
        <is>
          <t>106500</t>
        </is>
      </c>
      <c r="P1308" s="5" t="inlineStr">
        <is>
          <t>0</t>
        </is>
      </c>
      <c r="Q1308" s="5" t="inlineStr">
        <is>
          <t>5</t>
        </is>
      </c>
      <c r="R1308" s="5" t="inlineStr">
        <is>
          <t>6</t>
        </is>
      </c>
      <c r="S1308" s="5" t="inlineStr">
        <is>
          <t>47</t>
        </is>
      </c>
      <c r="T1308" s="5" t="inlineStr">
        <is>
          <t>0</t>
        </is>
      </c>
      <c r="U1308" s="5" t="inlineStr">
        <is>
          <t>OK</t>
        </is>
      </c>
    </row>
    <row r="1309">
      <c r="A1309" s="5" t="inlineStr">
        <is>
          <t>E01649</t>
        </is>
      </c>
      <c r="B1309" s="5" t="inlineStr">
        <is>
          <t>Female</t>
        </is>
      </c>
      <c r="C1309" s="6" t="inlineStr">
        <is>
          <t>31</t>
        </is>
      </c>
      <c r="D1309" s="5" t="inlineStr">
        <is>
          <t>Married</t>
        </is>
      </c>
      <c r="E1309" s="5" t="inlineStr">
        <is>
          <t>Master</t>
        </is>
      </c>
      <c r="F1309" s="5" t="inlineStr">
        <is>
          <t>IT</t>
        </is>
      </c>
      <c r="G1309" s="5" t="inlineStr">
        <is>
          <t>DevOps Engineer</t>
        </is>
      </c>
      <c r="H1309" s="5" t="inlineStr">
        <is>
          <t>2</t>
        </is>
      </c>
      <c r="I1309" s="5" t="inlineStr">
        <is>
          <t>Delhi</t>
        </is>
      </c>
      <c r="J1309" s="5" t="inlineStr">
        <is>
          <t>Full-Time</t>
        </is>
      </c>
      <c r="K1309" s="7" t="n">
        <v>44265</v>
      </c>
      <c r="L1309" s="7" t="inlineStr"/>
      <c r="M1309" s="5" t="inlineStr">
        <is>
          <t>Yes</t>
        </is>
      </c>
      <c r="N1309" s="5" t="inlineStr"/>
      <c r="O1309" s="8" t="inlineStr">
        <is>
          <t>165000</t>
        </is>
      </c>
      <c r="P1309" s="5" t="inlineStr">
        <is>
          <t>0</t>
        </is>
      </c>
      <c r="Q1309" s="5" t="inlineStr">
        <is>
          <t>4</t>
        </is>
      </c>
      <c r="R1309" s="5" t="inlineStr">
        <is>
          <t>10</t>
        </is>
      </c>
      <c r="S1309" s="5" t="inlineStr">
        <is>
          <t>58</t>
        </is>
      </c>
      <c r="T1309" s="5" t="inlineStr">
        <is>
          <t>11</t>
        </is>
      </c>
      <c r="U1309" s="5" t="inlineStr">
        <is>
          <t>OK</t>
        </is>
      </c>
    </row>
    <row r="1310">
      <c r="A1310" s="5" t="inlineStr">
        <is>
          <t>E01629</t>
        </is>
      </c>
      <c r="B1310" s="5" t="inlineStr">
        <is>
          <t>Male</t>
        </is>
      </c>
      <c r="C1310" s="6" t="inlineStr">
        <is>
          <t>45</t>
        </is>
      </c>
      <c r="D1310" s="5" t="inlineStr">
        <is>
          <t>Married</t>
        </is>
      </c>
      <c r="E1310" s="5" t="inlineStr">
        <is>
          <t>High School</t>
        </is>
      </c>
      <c r="F1310" s="5" t="inlineStr">
        <is>
          <t>Finance</t>
        </is>
      </c>
      <c r="G1310" s="5" t="inlineStr">
        <is>
          <t>Credit Analyst</t>
        </is>
      </c>
      <c r="H1310" s="5" t="inlineStr">
        <is>
          <t>7</t>
        </is>
      </c>
      <c r="I1310" s="5" t="inlineStr">
        <is>
          <t>Chennai</t>
        </is>
      </c>
      <c r="J1310" s="5" t="inlineStr">
        <is>
          <t>Full-Time</t>
        </is>
      </c>
      <c r="K1310" s="7" t="n">
        <v>45774</v>
      </c>
      <c r="L1310" s="7" t="n">
        <v>45908</v>
      </c>
      <c r="M1310" s="5" t="inlineStr">
        <is>
          <t>No</t>
        </is>
      </c>
      <c r="N1310" s="5" t="inlineStr">
        <is>
          <t>Resigned</t>
        </is>
      </c>
      <c r="O1310" s="8" t="inlineStr">
        <is>
          <t>161500</t>
        </is>
      </c>
      <c r="P1310" s="5" t="inlineStr">
        <is>
          <t>5</t>
        </is>
      </c>
      <c r="Q1310" s="5" t="inlineStr">
        <is>
          <t>5</t>
        </is>
      </c>
      <c r="R1310" s="5" t="inlineStr">
        <is>
          <t>7</t>
        </is>
      </c>
      <c r="S1310" s="5" t="inlineStr">
        <is>
          <t>4</t>
        </is>
      </c>
      <c r="T1310" s="5" t="inlineStr">
        <is>
          <t>0</t>
        </is>
      </c>
      <c r="U1310" s="5" t="inlineStr">
        <is>
          <t>OK</t>
        </is>
      </c>
    </row>
    <row r="1311">
      <c r="A1311" s="5" t="inlineStr">
        <is>
          <t>E00050</t>
        </is>
      </c>
      <c r="B1311" s="5" t="inlineStr">
        <is>
          <t>Female</t>
        </is>
      </c>
      <c r="C1311" s="6" t="inlineStr">
        <is>
          <t>32</t>
        </is>
      </c>
      <c r="D1311" s="5" t="inlineStr">
        <is>
          <t>Divorced</t>
        </is>
      </c>
      <c r="E1311" s="5" t="inlineStr">
        <is>
          <t>High School</t>
        </is>
      </c>
      <c r="F1311" s="5" t="inlineStr">
        <is>
          <t>Finance</t>
        </is>
      </c>
      <c r="G1311" s="5" t="inlineStr">
        <is>
          <t>Financial Analyst</t>
        </is>
      </c>
      <c r="H1311" s="5" t="inlineStr">
        <is>
          <t>3</t>
        </is>
      </c>
      <c r="I1311" s="5" t="inlineStr">
        <is>
          <t>Hyderabad</t>
        </is>
      </c>
      <c r="J1311" s="5" t="inlineStr">
        <is>
          <t>Contract</t>
        </is>
      </c>
      <c r="K1311" s="7" t="n">
        <v>44396</v>
      </c>
      <c r="L1311" s="7" t="inlineStr"/>
      <c r="M1311" s="5" t="inlineStr">
        <is>
          <t>Yes</t>
        </is>
      </c>
      <c r="N1311" s="5" t="inlineStr"/>
      <c r="O1311" s="8" t="inlineStr">
        <is>
          <t>127000</t>
        </is>
      </c>
      <c r="P1311" s="5" t="inlineStr">
        <is>
          <t>0</t>
        </is>
      </c>
      <c r="Q1311" s="5" t="inlineStr">
        <is>
          <t>4</t>
        </is>
      </c>
      <c r="R1311" s="5" t="inlineStr">
        <is>
          <t>4</t>
        </is>
      </c>
      <c r="S1311" s="5" t="inlineStr">
        <is>
          <t>54</t>
        </is>
      </c>
      <c r="T1311" s="5" t="inlineStr">
        <is>
          <t>0</t>
        </is>
      </c>
      <c r="U1311" s="5" t="inlineStr">
        <is>
          <t>OK</t>
        </is>
      </c>
    </row>
    <row r="1312">
      <c r="A1312" s="5" t="inlineStr">
        <is>
          <t>E00252</t>
        </is>
      </c>
      <c r="B1312" s="5" t="inlineStr">
        <is>
          <t>female</t>
        </is>
      </c>
      <c r="C1312" s="6" t="inlineStr">
        <is>
          <t>33</t>
        </is>
      </c>
      <c r="D1312" s="5" t="inlineStr">
        <is>
          <t>Married</t>
        </is>
      </c>
      <c r="E1312" s="5" t="inlineStr">
        <is>
          <t>Master</t>
        </is>
      </c>
      <c r="F1312" s="5" t="inlineStr">
        <is>
          <t>Research &amp; Development</t>
        </is>
      </c>
      <c r="G1312" s="5" t="inlineStr">
        <is>
          <t>Research Scientist</t>
        </is>
      </c>
      <c r="H1312" s="5" t="inlineStr">
        <is>
          <t>3</t>
        </is>
      </c>
      <c r="I1312" s="5" t="inlineStr">
        <is>
          <t>Remote</t>
        </is>
      </c>
      <c r="J1312" s="5" t="inlineStr">
        <is>
          <t>Full-Time</t>
        </is>
      </c>
      <c r="K1312" s="7" t="n">
        <v>45751</v>
      </c>
      <c r="L1312" s="7" t="inlineStr"/>
      <c r="M1312" s="5" t="inlineStr">
        <is>
          <t>Yes</t>
        </is>
      </c>
      <c r="N1312" s="5" t="inlineStr"/>
      <c r="O1312" s="8" t="inlineStr">
        <is>
          <t>193000</t>
        </is>
      </c>
      <c r="P1312" s="5" t="inlineStr">
        <is>
          <t>5</t>
        </is>
      </c>
      <c r="Q1312" s="5" t="inlineStr">
        <is>
          <t>4</t>
        </is>
      </c>
      <c r="R1312" s="5" t="inlineStr">
        <is>
          <t>6</t>
        </is>
      </c>
      <c r="S1312" s="5" t="inlineStr">
        <is>
          <t>9</t>
        </is>
      </c>
      <c r="T1312" s="5" t="inlineStr">
        <is>
          <t>9</t>
        </is>
      </c>
      <c r="U1312" s="5" t="inlineStr">
        <is>
          <t>OK</t>
        </is>
      </c>
    </row>
    <row r="1313">
      <c r="A1313" s="5" t="inlineStr">
        <is>
          <t>E00170</t>
        </is>
      </c>
      <c r="B1313" s="5" t="inlineStr">
        <is>
          <t>Female</t>
        </is>
      </c>
      <c r="C1313" s="6" t="inlineStr">
        <is>
          <t>32</t>
        </is>
      </c>
      <c r="D1313" s="5" t="inlineStr">
        <is>
          <t>Married</t>
        </is>
      </c>
      <c r="E1313" s="5" t="inlineStr">
        <is>
          <t>Diploma</t>
        </is>
      </c>
      <c r="F1313" s="5" t="inlineStr">
        <is>
          <t>Finance</t>
        </is>
      </c>
      <c r="G1313" s="5" t="inlineStr">
        <is>
          <t>Accountant</t>
        </is>
      </c>
      <c r="H1313" s="5" t="inlineStr">
        <is>
          <t>4</t>
        </is>
      </c>
      <c r="I1313" s="5" t="inlineStr">
        <is>
          <t>Remote</t>
        </is>
      </c>
      <c r="J1313" s="5" t="inlineStr">
        <is>
          <t>Full-Time</t>
        </is>
      </c>
      <c r="K1313" s="7" t="n">
        <v>45382</v>
      </c>
      <c r="L1313" s="7" t="inlineStr"/>
      <c r="M1313" s="5" t="inlineStr">
        <is>
          <t>Yes</t>
        </is>
      </c>
      <c r="N1313" s="5" t="inlineStr"/>
      <c r="O1313" s="8" t="inlineStr">
        <is>
          <t>116500</t>
        </is>
      </c>
      <c r="P1313" s="5" t="inlineStr">
        <is>
          <t>0</t>
        </is>
      </c>
      <c r="Q1313" s="5" t="inlineStr">
        <is>
          <t>5</t>
        </is>
      </c>
      <c r="R1313" s="5" t="inlineStr">
        <is>
          <t>4</t>
        </is>
      </c>
      <c r="S1313" s="5" t="inlineStr">
        <is>
          <t>21</t>
        </is>
      </c>
      <c r="T1313" s="5" t="inlineStr">
        <is>
          <t>14</t>
        </is>
      </c>
      <c r="U1313" s="5" t="inlineStr">
        <is>
          <t>OK</t>
        </is>
      </c>
    </row>
    <row r="1314">
      <c r="A1314" s="5" t="inlineStr">
        <is>
          <t>E02829</t>
        </is>
      </c>
      <c r="B1314" s="5" t="inlineStr">
        <is>
          <t>Female</t>
        </is>
      </c>
      <c r="C1314" s="6" t="inlineStr">
        <is>
          <t>39</t>
        </is>
      </c>
      <c r="D1314" s="5" t="inlineStr">
        <is>
          <t>Married</t>
        </is>
      </c>
      <c r="E1314" s="5" t="inlineStr">
        <is>
          <t>Diploma</t>
        </is>
      </c>
      <c r="F1314" s="5" t="inlineStr">
        <is>
          <t>Customer Support</t>
        </is>
      </c>
      <c r="G1314" s="5" t="inlineStr">
        <is>
          <t>Support Lead</t>
        </is>
      </c>
      <c r="H1314" s="5" t="inlineStr">
        <is>
          <t>5</t>
        </is>
      </c>
      <c r="I1314" s="5" t="inlineStr">
        <is>
          <t>Bengaluru</t>
        </is>
      </c>
      <c r="J1314" s="5" t="inlineStr">
        <is>
          <t>Full-Time</t>
        </is>
      </c>
      <c r="K1314" s="7" t="n">
        <v>45681</v>
      </c>
      <c r="L1314" s="7" t="n">
        <v>45762</v>
      </c>
      <c r="M1314" s="5" t="inlineStr">
        <is>
          <t>No</t>
        </is>
      </c>
      <c r="N1314" s="5" t="inlineStr">
        <is>
          <t>Layoff</t>
        </is>
      </c>
      <c r="O1314" s="8" t="inlineStr">
        <is>
          <t>75000</t>
        </is>
      </c>
      <c r="P1314" s="5" t="inlineStr">
        <is>
          <t>0</t>
        </is>
      </c>
      <c r="Q1314" s="5" t="inlineStr">
        <is>
          <t>4</t>
        </is>
      </c>
      <c r="R1314" s="5" t="inlineStr">
        <is>
          <t>10</t>
        </is>
      </c>
      <c r="S1314" s="5" t="inlineStr">
        <is>
          <t>2</t>
        </is>
      </c>
      <c r="T1314" s="5" t="inlineStr">
        <is>
          <t>0</t>
        </is>
      </c>
      <c r="U1314" s="5" t="inlineStr">
        <is>
          <t>OK</t>
        </is>
      </c>
    </row>
    <row r="1315">
      <c r="A1315" s="5" t="inlineStr">
        <is>
          <t>E02204</t>
        </is>
      </c>
      <c r="B1315" s="5" t="inlineStr">
        <is>
          <t>Male</t>
        </is>
      </c>
      <c r="C1315" s="6" t="inlineStr">
        <is>
          <t>34</t>
        </is>
      </c>
      <c r="D1315" s="5" t="inlineStr">
        <is>
          <t>Married</t>
        </is>
      </c>
      <c r="E1315" s="5" t="inlineStr">
        <is>
          <t>PhD</t>
        </is>
      </c>
      <c r="F1315" s="5" t="inlineStr">
        <is>
          <t>Research &amp; Development</t>
        </is>
      </c>
      <c r="G1315" s="5" t="inlineStr">
        <is>
          <t>Research Scientist</t>
        </is>
      </c>
      <c r="H1315" s="5" t="inlineStr">
        <is>
          <t>2</t>
        </is>
      </c>
      <c r="I1315" s="5" t="inlineStr">
        <is>
          <t>Delhi</t>
        </is>
      </c>
      <c r="J1315" s="5" t="inlineStr">
        <is>
          <t>Full-Time</t>
        </is>
      </c>
      <c r="K1315" s="7" t="n">
        <v>43856</v>
      </c>
      <c r="L1315" s="7" t="inlineStr"/>
      <c r="M1315" s="5" t="inlineStr">
        <is>
          <t>Yes</t>
        </is>
      </c>
      <c r="N1315" s="5" t="inlineStr"/>
      <c r="O1315" s="8" t="inlineStr">
        <is>
          <t>177500</t>
        </is>
      </c>
      <c r="P1315" s="5" t="inlineStr">
        <is>
          <t>0</t>
        </is>
      </c>
      <c r="Q1315" s="5" t="inlineStr">
        <is>
          <t>4</t>
        </is>
      </c>
      <c r="R1315" s="5" t="inlineStr">
        <is>
          <t>5</t>
        </is>
      </c>
      <c r="S1315" s="5" t="inlineStr">
        <is>
          <t>72</t>
        </is>
      </c>
      <c r="T1315" s="5" t="inlineStr">
        <is>
          <t>4</t>
        </is>
      </c>
      <c r="U1315" s="5" t="inlineStr">
        <is>
          <t>OK</t>
        </is>
      </c>
    </row>
    <row r="1316">
      <c r="A1316" s="5" t="inlineStr">
        <is>
          <t>E00317</t>
        </is>
      </c>
      <c r="B1316" s="5" t="inlineStr">
        <is>
          <t>Male</t>
        </is>
      </c>
      <c r="C1316" s="6" t="inlineStr">
        <is>
          <t>26</t>
        </is>
      </c>
      <c r="D1316" s="5" t="inlineStr">
        <is>
          <t>Single</t>
        </is>
      </c>
      <c r="E1316" s="5" t="inlineStr">
        <is>
          <t>Master</t>
        </is>
      </c>
      <c r="F1316" s="5" t="inlineStr">
        <is>
          <t>IT</t>
        </is>
      </c>
      <c r="G1316" s="5" t="inlineStr">
        <is>
          <t>Data Analyst</t>
        </is>
      </c>
      <c r="H1316" s="5" t="inlineStr">
        <is>
          <t>1</t>
        </is>
      </c>
      <c r="I1316" s="5" t="inlineStr">
        <is>
          <t>Remote</t>
        </is>
      </c>
      <c r="J1316" s="5" t="inlineStr">
        <is>
          <t>Full-Time</t>
        </is>
      </c>
      <c r="K1316" s="7" t="n">
        <v>45208</v>
      </c>
      <c r="L1316" s="7" t="inlineStr"/>
      <c r="M1316" s="5" t="inlineStr">
        <is>
          <t>Yes</t>
        </is>
      </c>
      <c r="N1316" s="5" t="inlineStr"/>
      <c r="O1316" s="8" t="inlineStr">
        <is>
          <t>145000</t>
        </is>
      </c>
      <c r="P1316" s="5" t="inlineStr">
        <is>
          <t>15</t>
        </is>
      </c>
      <c r="Q1316" s="5" t="inlineStr">
        <is>
          <t>2</t>
        </is>
      </c>
      <c r="R1316" s="5" t="inlineStr">
        <is>
          <t>6</t>
        </is>
      </c>
      <c r="S1316" s="5" t="inlineStr">
        <is>
          <t>27</t>
        </is>
      </c>
      <c r="T1316" s="5" t="inlineStr">
        <is>
          <t>2</t>
        </is>
      </c>
      <c r="U1316" s="5" t="inlineStr">
        <is>
          <t>OK</t>
        </is>
      </c>
    </row>
    <row r="1317">
      <c r="A1317" s="5" t="inlineStr">
        <is>
          <t>E01342</t>
        </is>
      </c>
      <c r="B1317" s="5" t="inlineStr">
        <is>
          <t>Male</t>
        </is>
      </c>
      <c r="C1317" s="6" t="inlineStr">
        <is>
          <t>32</t>
        </is>
      </c>
      <c r="D1317" s="5" t="inlineStr">
        <is>
          <t>Married</t>
        </is>
      </c>
      <c r="E1317" s="5" t="inlineStr">
        <is>
          <t>High School</t>
        </is>
      </c>
      <c r="F1317" s="5" t="inlineStr">
        <is>
          <t>Operations</t>
        </is>
      </c>
      <c r="G1317" s="5" t="inlineStr">
        <is>
          <t>Quality Analyst</t>
        </is>
      </c>
      <c r="H1317" s="5" t="inlineStr">
        <is>
          <t>5</t>
        </is>
      </c>
      <c r="I1317" s="5" t="inlineStr">
        <is>
          <t>Delhi</t>
        </is>
      </c>
      <c r="J1317" s="5" t="inlineStr">
        <is>
          <t>Part-Time</t>
        </is>
      </c>
      <c r="K1317" s="7" t="n">
        <v>44335</v>
      </c>
      <c r="L1317" s="7" t="inlineStr"/>
      <c r="M1317" s="5" t="inlineStr">
        <is>
          <t>Yes</t>
        </is>
      </c>
      <c r="N1317" s="5" t="inlineStr"/>
      <c r="O1317" s="8" t="inlineStr">
        <is>
          <t>105000</t>
        </is>
      </c>
      <c r="P1317" s="5" t="inlineStr">
        <is>
          <t>5</t>
        </is>
      </c>
      <c r="Q1317" s="5" t="inlineStr">
        <is>
          <t>4</t>
        </is>
      </c>
      <c r="R1317" s="5" t="inlineStr">
        <is>
          <t>6</t>
        </is>
      </c>
      <c r="S1317" s="5" t="inlineStr">
        <is>
          <t>56</t>
        </is>
      </c>
      <c r="T1317" s="5" t="inlineStr">
        <is>
          <t>1</t>
        </is>
      </c>
      <c r="U1317" s="5" t="inlineStr">
        <is>
          <t>OK</t>
        </is>
      </c>
    </row>
    <row r="1318">
      <c r="A1318" s="5" t="inlineStr">
        <is>
          <t>E00782</t>
        </is>
      </c>
      <c r="B1318" s="5" t="inlineStr">
        <is>
          <t>Male</t>
        </is>
      </c>
      <c r="C1318" s="6" t="inlineStr">
        <is>
          <t>34</t>
        </is>
      </c>
      <c r="D1318" s="5" t="inlineStr">
        <is>
          <t>Married</t>
        </is>
      </c>
      <c r="E1318" s="5" t="inlineStr">
        <is>
          <t>Master</t>
        </is>
      </c>
      <c r="F1318" s="5" t="inlineStr">
        <is>
          <t>Human Resources</t>
        </is>
      </c>
      <c r="G1318" s="5" t="inlineStr">
        <is>
          <t>Recruiter</t>
        </is>
      </c>
      <c r="H1318" s="5" t="inlineStr">
        <is>
          <t>1</t>
        </is>
      </c>
      <c r="I1318" s="5" t="inlineStr">
        <is>
          <t>Delhi</t>
        </is>
      </c>
      <c r="J1318" s="5" t="inlineStr">
        <is>
          <t>Full-Time</t>
        </is>
      </c>
      <c r="K1318" s="7" t="n">
        <v>45256</v>
      </c>
      <c r="L1318" s="7" t="inlineStr"/>
      <c r="M1318" s="5" t="inlineStr">
        <is>
          <t>Yes</t>
        </is>
      </c>
      <c r="N1318" s="5" t="inlineStr"/>
      <c r="O1318" s="8" t="inlineStr">
        <is>
          <t>90500</t>
        </is>
      </c>
      <c r="P1318" s="5" t="inlineStr">
        <is>
          <t>5</t>
        </is>
      </c>
      <c r="Q1318" s="5" t="inlineStr">
        <is>
          <t>4</t>
        </is>
      </c>
      <c r="R1318" s="5" t="inlineStr">
        <is>
          <t>8</t>
        </is>
      </c>
      <c r="S1318" s="5" t="inlineStr">
        <is>
          <t>25</t>
        </is>
      </c>
      <c r="T1318" s="5" t="inlineStr">
        <is>
          <t>18</t>
        </is>
      </c>
      <c r="U1318" s="5" t="inlineStr">
        <is>
          <t>OK</t>
        </is>
      </c>
    </row>
    <row r="1319">
      <c r="A1319" s="5" t="inlineStr">
        <is>
          <t>E00036</t>
        </is>
      </c>
      <c r="B1319" s="5" t="inlineStr">
        <is>
          <t>Female</t>
        </is>
      </c>
      <c r="C1319" s="6" t="inlineStr">
        <is>
          <t>27</t>
        </is>
      </c>
      <c r="D1319" s="5" t="inlineStr">
        <is>
          <t>Married</t>
        </is>
      </c>
      <c r="E1319" s="5" t="inlineStr">
        <is>
          <t>Master</t>
        </is>
      </c>
      <c r="F1319" s="5" t="inlineStr">
        <is>
          <t>IT</t>
        </is>
      </c>
      <c r="G1319" s="5" t="inlineStr">
        <is>
          <t>DevOps Engineer</t>
        </is>
      </c>
      <c r="H1319" s="5" t="inlineStr">
        <is>
          <t>3</t>
        </is>
      </c>
      <c r="I1319" s="5" t="inlineStr">
        <is>
          <t>Hyderabad</t>
        </is>
      </c>
      <c r="J1319" s="5" t="inlineStr">
        <is>
          <t>Full-Time</t>
        </is>
      </c>
      <c r="K1319" s="7" t="n">
        <v>45947</v>
      </c>
      <c r="L1319" s="7" t="inlineStr"/>
      <c r="M1319" s="5" t="inlineStr">
        <is>
          <t>Yes</t>
        </is>
      </c>
      <c r="N1319" s="5" t="inlineStr"/>
      <c r="O1319" s="8" t="inlineStr">
        <is>
          <t>128000</t>
        </is>
      </c>
      <c r="P1319" s="5" t="inlineStr">
        <is>
          <t>0</t>
        </is>
      </c>
      <c r="Q1319" s="5" t="inlineStr">
        <is>
          <t>5</t>
        </is>
      </c>
      <c r="R1319" s="5" t="inlineStr">
        <is>
          <t>6</t>
        </is>
      </c>
      <c r="S1319" s="5" t="inlineStr">
        <is>
          <t>2</t>
        </is>
      </c>
      <c r="T1319" s="5" t="inlineStr">
        <is>
          <t>5</t>
        </is>
      </c>
      <c r="U1319" s="5" t="inlineStr">
        <is>
          <t>OK</t>
        </is>
      </c>
    </row>
    <row r="1320">
      <c r="A1320" s="5" t="inlineStr">
        <is>
          <t>E01573</t>
        </is>
      </c>
      <c r="B1320" s="5" t="inlineStr">
        <is>
          <t>Male</t>
        </is>
      </c>
      <c r="C1320" s="6" t="inlineStr">
        <is>
          <t>32</t>
        </is>
      </c>
      <c r="D1320" s="5" t="inlineStr">
        <is>
          <t>Married</t>
        </is>
      </c>
      <c r="E1320" s="5" t="inlineStr">
        <is>
          <t>PhD</t>
        </is>
      </c>
      <c r="F1320" s="5" t="inlineStr">
        <is>
          <t>IT</t>
        </is>
      </c>
      <c r="G1320" s="5" t="inlineStr">
        <is>
          <t>IT Support</t>
        </is>
      </c>
      <c r="H1320" s="5" t="inlineStr">
        <is>
          <t>1</t>
        </is>
      </c>
      <c r="I1320" s="5" t="inlineStr">
        <is>
          <t>Delhi</t>
        </is>
      </c>
      <c r="J1320" s="5" t="inlineStr">
        <is>
          <t>Contract</t>
        </is>
      </c>
      <c r="K1320" s="7" t="n">
        <v>43976</v>
      </c>
      <c r="L1320" s="7" t="n">
        <v>44078</v>
      </c>
      <c r="M1320" s="5" t="inlineStr">
        <is>
          <t>No</t>
        </is>
      </c>
      <c r="N1320" s="5" t="inlineStr">
        <is>
          <t>Performance / Termination</t>
        </is>
      </c>
      <c r="O1320" s="8" t="inlineStr">
        <is>
          <t>121000</t>
        </is>
      </c>
      <c r="P1320" s="5" t="inlineStr">
        <is>
          <t>10</t>
        </is>
      </c>
      <c r="Q1320" s="5" t="inlineStr">
        <is>
          <t>1</t>
        </is>
      </c>
      <c r="R1320" s="5" t="inlineStr">
        <is>
          <t>4</t>
        </is>
      </c>
      <c r="S1320" s="5" t="inlineStr">
        <is>
          <t>3</t>
        </is>
      </c>
      <c r="T1320" s="5" t="inlineStr">
        <is>
          <t>5</t>
        </is>
      </c>
      <c r="U1320" s="5" t="inlineStr">
        <is>
          <t>OK</t>
        </is>
      </c>
    </row>
    <row r="1321">
      <c r="A1321" s="5" t="inlineStr">
        <is>
          <t>E01551</t>
        </is>
      </c>
      <c r="B1321" s="5" t="inlineStr">
        <is>
          <t>Female</t>
        </is>
      </c>
      <c r="C1321" s="6" t="inlineStr">
        <is>
          <t>30</t>
        </is>
      </c>
      <c r="D1321" s="5" t="inlineStr">
        <is>
          <t>Divorced</t>
        </is>
      </c>
      <c r="E1321" s="5" t="inlineStr">
        <is>
          <t>Diploma</t>
        </is>
      </c>
      <c r="F1321" s="5" t="inlineStr">
        <is>
          <t>Customer Support</t>
        </is>
      </c>
      <c r="G1321" s="5" t="inlineStr">
        <is>
          <t>Support Lead</t>
        </is>
      </c>
      <c r="H1321" s="5" t="inlineStr">
        <is>
          <t>2</t>
        </is>
      </c>
      <c r="I1321" s="5" t="inlineStr">
        <is>
          <t>Chennai</t>
        </is>
      </c>
      <c r="J1321" s="5" t="inlineStr">
        <is>
          <t>Full-Time</t>
        </is>
      </c>
      <c r="K1321" s="7" t="n">
        <v>45566</v>
      </c>
      <c r="L1321" s="7" t="n">
        <v>45696</v>
      </c>
      <c r="M1321" s="5" t="inlineStr">
        <is>
          <t>No</t>
        </is>
      </c>
      <c r="N1321" s="5" t="inlineStr">
        <is>
          <t>Retirement</t>
        </is>
      </c>
      <c r="O1321" s="8" t="inlineStr">
        <is>
          <t>49500</t>
        </is>
      </c>
      <c r="P1321" s="5" t="inlineStr">
        <is>
          <t>0</t>
        </is>
      </c>
      <c r="Q1321" s="5" t="inlineStr">
        <is>
          <t>2</t>
        </is>
      </c>
      <c r="R1321" s="5" t="inlineStr">
        <is>
          <t>5</t>
        </is>
      </c>
      <c r="S1321" s="5" t="inlineStr">
        <is>
          <t>4</t>
        </is>
      </c>
      <c r="T1321" s="5" t="inlineStr">
        <is>
          <t>2</t>
        </is>
      </c>
      <c r="U1321" s="5" t="inlineStr">
        <is>
          <t>OK</t>
        </is>
      </c>
    </row>
    <row r="1322">
      <c r="A1322" s="5" t="inlineStr">
        <is>
          <t>E00071</t>
        </is>
      </c>
      <c r="B1322" s="5" t="inlineStr">
        <is>
          <t>Unknown</t>
        </is>
      </c>
      <c r="C1322" s="6" t="inlineStr">
        <is>
          <t>37</t>
        </is>
      </c>
      <c r="D1322" s="5" t="inlineStr">
        <is>
          <t>Married</t>
        </is>
      </c>
      <c r="E1322" s="5" t="inlineStr">
        <is>
          <t>Master</t>
        </is>
      </c>
      <c r="F1322" s="5" t="inlineStr">
        <is>
          <t>Marketing</t>
        </is>
      </c>
      <c r="G1322" s="5" t="inlineStr">
        <is>
          <t>SEO Specialist</t>
        </is>
      </c>
      <c r="H1322" s="5" t="inlineStr">
        <is>
          <t>3</t>
        </is>
      </c>
      <c r="I1322" s="5" t="inlineStr">
        <is>
          <t>Delhi</t>
        </is>
      </c>
      <c r="J1322" s="5" t="inlineStr">
        <is>
          <t>Full-Time</t>
        </is>
      </c>
      <c r="K1322" s="7" t="n">
        <v>45704</v>
      </c>
      <c r="L1322" s="7" t="n">
        <v>45780</v>
      </c>
      <c r="M1322" s="5" t="inlineStr">
        <is>
          <t>No</t>
        </is>
      </c>
      <c r="N1322" s="5" t="inlineStr">
        <is>
          <t>Retirement</t>
        </is>
      </c>
      <c r="O1322" s="8" t="inlineStr">
        <is>
          <t>111500</t>
        </is>
      </c>
      <c r="P1322" s="5" t="inlineStr">
        <is>
          <t>10</t>
        </is>
      </c>
      <c r="Q1322" s="5" t="inlineStr">
        <is>
          <t>2</t>
        </is>
      </c>
      <c r="R1322" s="5" t="inlineStr">
        <is>
          <t>6</t>
        </is>
      </c>
      <c r="S1322" s="5" t="inlineStr">
        <is>
          <t>2</t>
        </is>
      </c>
      <c r="T1322" s="5" t="inlineStr">
        <is>
          <t>11</t>
        </is>
      </c>
      <c r="U1322" s="5" t="inlineStr">
        <is>
          <t>Bad gender</t>
        </is>
      </c>
    </row>
    <row r="1323">
      <c r="A1323" s="5" t="inlineStr">
        <is>
          <t>E01026</t>
        </is>
      </c>
      <c r="B1323" s="5" t="inlineStr">
        <is>
          <t>Male</t>
        </is>
      </c>
      <c r="C1323" s="6" t="inlineStr">
        <is>
          <t>34</t>
        </is>
      </c>
      <c r="D1323" s="5" t="inlineStr">
        <is>
          <t>Divorced</t>
        </is>
      </c>
      <c r="E1323" s="5" t="inlineStr">
        <is>
          <t>High School</t>
        </is>
      </c>
      <c r="F1323" s="5" t="inlineStr">
        <is>
          <t>Human Resources</t>
        </is>
      </c>
      <c r="G1323" s="5" t="inlineStr">
        <is>
          <t>HR Analyst</t>
        </is>
      </c>
      <c r="H1323" s="5" t="inlineStr">
        <is>
          <t>1</t>
        </is>
      </c>
      <c r="I1323" s="5" t="inlineStr">
        <is>
          <t>Remote</t>
        </is>
      </c>
      <c r="J1323" s="5" t="inlineStr">
        <is>
          <t>Full-Time</t>
        </is>
      </c>
      <c r="K1323" s="7" t="n">
        <v>44790</v>
      </c>
      <c r="L1323" s="7" t="inlineStr"/>
      <c r="M1323" s="5" t="inlineStr">
        <is>
          <t>Yes</t>
        </is>
      </c>
      <c r="N1323" s="5" t="inlineStr"/>
      <c r="O1323" s="8" t="inlineStr">
        <is>
          <t>63000</t>
        </is>
      </c>
      <c r="P1323" s="5" t="inlineStr">
        <is>
          <t>0</t>
        </is>
      </c>
      <c r="Q1323" s="5" t="inlineStr">
        <is>
          <t>4</t>
        </is>
      </c>
      <c r="R1323" s="5" t="inlineStr">
        <is>
          <t>8</t>
        </is>
      </c>
      <c r="S1323" s="5" t="inlineStr">
        <is>
          <t>41</t>
        </is>
      </c>
      <c r="T1323" s="5" t="inlineStr">
        <is>
          <t>7</t>
        </is>
      </c>
      <c r="U1323" s="5" t="inlineStr">
        <is>
          <t>OK</t>
        </is>
      </c>
    </row>
    <row r="1324">
      <c r="A1324" s="5" t="inlineStr">
        <is>
          <t>E02934</t>
        </is>
      </c>
      <c r="B1324" s="5" t="inlineStr">
        <is>
          <t>Female</t>
        </is>
      </c>
      <c r="C1324" s="6" t="inlineStr">
        <is>
          <t>31</t>
        </is>
      </c>
      <c r="D1324" s="5" t="inlineStr">
        <is>
          <t>Married</t>
        </is>
      </c>
      <c r="E1324" s="5" t="inlineStr">
        <is>
          <t>Master</t>
        </is>
      </c>
      <c r="F1324" s="5" t="inlineStr">
        <is>
          <t>IT</t>
        </is>
      </c>
      <c r="G1324" s="5" t="inlineStr">
        <is>
          <t>Data Analyst</t>
        </is>
      </c>
      <c r="H1324" s="5" t="inlineStr">
        <is>
          <t>3</t>
        </is>
      </c>
      <c r="I1324" s="5" t="inlineStr">
        <is>
          <t>Hyderabad</t>
        </is>
      </c>
      <c r="J1324" s="5" t="inlineStr">
        <is>
          <t>Full-Time</t>
        </is>
      </c>
      <c r="K1324" s="7" t="n">
        <v>45081</v>
      </c>
      <c r="L1324" s="7" t="inlineStr"/>
      <c r="M1324" s="5" t="inlineStr">
        <is>
          <t>Yes</t>
        </is>
      </c>
      <c r="N1324" s="5" t="inlineStr"/>
      <c r="O1324" s="8" t="inlineStr">
        <is>
          <t>116500</t>
        </is>
      </c>
      <c r="P1324" s="5" t="inlineStr">
        <is>
          <t>0</t>
        </is>
      </c>
      <c r="Q1324" s="5" t="inlineStr">
        <is>
          <t>3</t>
        </is>
      </c>
      <c r="R1324" s="5" t="inlineStr">
        <is>
          <t>4</t>
        </is>
      </c>
      <c r="S1324" s="5" t="inlineStr">
        <is>
          <t>31</t>
        </is>
      </c>
      <c r="T1324" s="5" t="inlineStr">
        <is>
          <t>6</t>
        </is>
      </c>
      <c r="U1324" s="5" t="inlineStr">
        <is>
          <t>OK</t>
        </is>
      </c>
    </row>
    <row r="1325">
      <c r="A1325" s="5" t="inlineStr">
        <is>
          <t>E02991</t>
        </is>
      </c>
      <c r="B1325" s="5" t="inlineStr">
        <is>
          <t>Female</t>
        </is>
      </c>
      <c r="C1325" s="6" t="inlineStr">
        <is>
          <t>27</t>
        </is>
      </c>
      <c r="D1325" s="5" t="inlineStr">
        <is>
          <t>Married</t>
        </is>
      </c>
      <c r="E1325" s="5" t="inlineStr">
        <is>
          <t>Bachelor</t>
        </is>
      </c>
      <c r="F1325" s="5" t="inlineStr">
        <is>
          <t>Finance</t>
        </is>
      </c>
      <c r="G1325" s="5" t="inlineStr">
        <is>
          <t>Financial Analyst</t>
        </is>
      </c>
      <c r="H1325" s="5" t="inlineStr">
        <is>
          <t>1</t>
        </is>
      </c>
      <c r="I1325" s="5" t="inlineStr">
        <is>
          <t>Mumbai</t>
        </is>
      </c>
      <c r="J1325" s="5" t="inlineStr">
        <is>
          <t>Full-Time</t>
        </is>
      </c>
      <c r="K1325" s="7" t="n">
        <v>45759</v>
      </c>
      <c r="L1325" s="7" t="n">
        <v>45903</v>
      </c>
      <c r="M1325" s="5" t="inlineStr">
        <is>
          <t>No</t>
        </is>
      </c>
      <c r="N1325" s="5" t="inlineStr">
        <is>
          <t>Resigned</t>
        </is>
      </c>
      <c r="O1325" s="8" t="inlineStr">
        <is>
          <t>88500</t>
        </is>
      </c>
      <c r="P1325" s="5" t="inlineStr">
        <is>
          <t>20</t>
        </is>
      </c>
      <c r="Q1325" s="5" t="inlineStr">
        <is>
          <t>3</t>
        </is>
      </c>
      <c r="R1325" s="5" t="inlineStr">
        <is>
          <t>6</t>
        </is>
      </c>
      <c r="S1325" s="5" t="inlineStr">
        <is>
          <t>4</t>
        </is>
      </c>
      <c r="T1325" s="5" t="inlineStr">
        <is>
          <t>1</t>
        </is>
      </c>
      <c r="U1325" s="5" t="inlineStr">
        <is>
          <t>OK</t>
        </is>
      </c>
    </row>
    <row r="1326">
      <c r="A1326" s="5" t="inlineStr">
        <is>
          <t>E01051</t>
        </is>
      </c>
      <c r="B1326" s="5" t="inlineStr">
        <is>
          <t>Female</t>
        </is>
      </c>
      <c r="C1326" s="6" t="inlineStr">
        <is>
          <t>36</t>
        </is>
      </c>
      <c r="D1326" s="5" t="inlineStr">
        <is>
          <t>Married</t>
        </is>
      </c>
      <c r="E1326" s="5" t="inlineStr">
        <is>
          <t>Master</t>
        </is>
      </c>
      <c r="F1326" s="5" t="inlineStr">
        <is>
          <t>Research &amp; Development</t>
        </is>
      </c>
      <c r="G1326" s="5" t="inlineStr">
        <is>
          <t>Product Engineer</t>
        </is>
      </c>
      <c r="H1326" s="5" t="inlineStr">
        <is>
          <t>7</t>
        </is>
      </c>
      <c r="I1326" s="5" t="inlineStr">
        <is>
          <t>Bengaluru</t>
        </is>
      </c>
      <c r="J1326" s="5" t="inlineStr">
        <is>
          <t>Full-Time</t>
        </is>
      </c>
      <c r="K1326" s="7" t="n">
        <v>45011</v>
      </c>
      <c r="L1326" s="7" t="inlineStr"/>
      <c r="M1326" s="5" t="inlineStr">
        <is>
          <t>Yes</t>
        </is>
      </c>
      <c r="N1326" s="5" t="inlineStr"/>
      <c r="O1326" s="8" t="inlineStr">
        <is>
          <t>189000</t>
        </is>
      </c>
      <c r="P1326" s="5" t="inlineStr">
        <is>
          <t>5</t>
        </is>
      </c>
      <c r="Q1326" s="5" t="inlineStr">
        <is>
          <t>4</t>
        </is>
      </c>
      <c r="R1326" s="5" t="inlineStr">
        <is>
          <t>6</t>
        </is>
      </c>
      <c r="S1326" s="5" t="inlineStr">
        <is>
          <t>33</t>
        </is>
      </c>
      <c r="T1326" s="5" t="inlineStr">
        <is>
          <t>8</t>
        </is>
      </c>
      <c r="U1326" s="5" t="inlineStr">
        <is>
          <t>OK</t>
        </is>
      </c>
    </row>
    <row r="1327">
      <c r="A1327" s="5" t="inlineStr">
        <is>
          <t>E02492</t>
        </is>
      </c>
      <c r="B1327" s="5" t="inlineStr">
        <is>
          <t>Female</t>
        </is>
      </c>
      <c r="C1327" s="6" t="inlineStr">
        <is>
          <t>25</t>
        </is>
      </c>
      <c r="D1327" s="5" t="inlineStr">
        <is>
          <t>Single</t>
        </is>
      </c>
      <c r="E1327" s="5" t="inlineStr">
        <is>
          <t>High School</t>
        </is>
      </c>
      <c r="F1327" s="5" t="inlineStr">
        <is>
          <t>Finance</t>
        </is>
      </c>
      <c r="G1327" s="5" t="inlineStr">
        <is>
          <t>Credit Analyst</t>
        </is>
      </c>
      <c r="H1327" s="5" t="inlineStr">
        <is>
          <t>1</t>
        </is>
      </c>
      <c r="I1327" s="5" t="inlineStr">
        <is>
          <t>Chennai</t>
        </is>
      </c>
      <c r="J1327" s="5" t="inlineStr">
        <is>
          <t>Full-Time</t>
        </is>
      </c>
      <c r="K1327" s="7" t="n">
        <v>45153</v>
      </c>
      <c r="L1327" s="7" t="inlineStr"/>
      <c r="M1327" s="5" t="inlineStr">
        <is>
          <t>Yes</t>
        </is>
      </c>
      <c r="N1327" s="5" t="inlineStr"/>
      <c r="O1327" s="8" t="inlineStr">
        <is>
          <t>109500</t>
        </is>
      </c>
      <c r="P1327" s="5" t="inlineStr">
        <is>
          <t>15</t>
        </is>
      </c>
      <c r="Q1327" s="5" t="inlineStr">
        <is>
          <t>4</t>
        </is>
      </c>
      <c r="R1327" s="5" t="inlineStr">
        <is>
          <t>5</t>
        </is>
      </c>
      <c r="S1327" s="5" t="inlineStr">
        <is>
          <t>28</t>
        </is>
      </c>
      <c r="T1327" s="5" t="inlineStr">
        <is>
          <t>11</t>
        </is>
      </c>
      <c r="U1327" s="5" t="inlineStr">
        <is>
          <t>OK</t>
        </is>
      </c>
    </row>
    <row r="1328">
      <c r="A1328" s="5" t="inlineStr">
        <is>
          <t>E02333</t>
        </is>
      </c>
      <c r="B1328" s="5" t="inlineStr">
        <is>
          <t>Male</t>
        </is>
      </c>
      <c r="C1328" s="6" t="inlineStr">
        <is>
          <t>30</t>
        </is>
      </c>
      <c r="D1328" s="5" t="inlineStr">
        <is>
          <t>Married</t>
        </is>
      </c>
      <c r="E1328" s="5" t="inlineStr">
        <is>
          <t>Diploma</t>
        </is>
      </c>
      <c r="F1328" s="5" t="inlineStr">
        <is>
          <t>Human Resources</t>
        </is>
      </c>
      <c r="G1328" s="5" t="inlineStr">
        <is>
          <t>HR Generalist</t>
        </is>
      </c>
      <c r="H1328" s="5" t="inlineStr">
        <is>
          <t>4</t>
        </is>
      </c>
      <c r="I1328" s="5" t="inlineStr">
        <is>
          <t>Chennai</t>
        </is>
      </c>
      <c r="J1328" s="5" t="inlineStr">
        <is>
          <t>Full-Time</t>
        </is>
      </c>
      <c r="K1328" s="7" t="n">
        <v>45414</v>
      </c>
      <c r="L1328" s="7" t="inlineStr"/>
      <c r="M1328" s="5" t="inlineStr">
        <is>
          <t>Yes</t>
        </is>
      </c>
      <c r="N1328" s="5" t="inlineStr"/>
      <c r="O1328" s="8" t="inlineStr">
        <is>
          <t>102000</t>
        </is>
      </c>
      <c r="P1328" s="5" t="inlineStr">
        <is>
          <t>15</t>
        </is>
      </c>
      <c r="Q1328" s="5" t="inlineStr">
        <is>
          <t>2</t>
        </is>
      </c>
      <c r="R1328" s="5" t="inlineStr">
        <is>
          <t>4</t>
        </is>
      </c>
      <c r="S1328" s="5" t="inlineStr">
        <is>
          <t>20</t>
        </is>
      </c>
      <c r="T1328" s="5" t="inlineStr">
        <is>
          <t>5</t>
        </is>
      </c>
      <c r="U1328" s="5" t="inlineStr">
        <is>
          <t>OK</t>
        </is>
      </c>
    </row>
    <row r="1329">
      <c r="A1329" s="5" t="inlineStr">
        <is>
          <t>E01853</t>
        </is>
      </c>
      <c r="B1329" s="5" t="inlineStr">
        <is>
          <t>Female</t>
        </is>
      </c>
      <c r="C1329" s="6" t="inlineStr">
        <is>
          <t>32</t>
        </is>
      </c>
      <c r="D1329" s="5" t="inlineStr">
        <is>
          <t>Single</t>
        </is>
      </c>
      <c r="E1329" s="5" t="inlineStr">
        <is>
          <t>PhD</t>
        </is>
      </c>
      <c r="F1329" s="5" t="inlineStr">
        <is>
          <t>Research &amp; Development</t>
        </is>
      </c>
      <c r="G1329" s="5" t="inlineStr">
        <is>
          <t>Research Scientist</t>
        </is>
      </c>
      <c r="H1329" s="5" t="inlineStr">
        <is>
          <t>5</t>
        </is>
      </c>
      <c r="I1329" s="5" t="inlineStr">
        <is>
          <t>Mumbai</t>
        </is>
      </c>
      <c r="J1329" s="5" t="inlineStr">
        <is>
          <t>Full-Time</t>
        </is>
      </c>
      <c r="K1329" s="7" t="n">
        <v>45223</v>
      </c>
      <c r="L1329" s="7" t="inlineStr"/>
      <c r="M1329" s="5" t="inlineStr">
        <is>
          <t>Yes</t>
        </is>
      </c>
      <c r="N1329" s="5" t="inlineStr"/>
      <c r="O1329" s="8" t="inlineStr">
        <is>
          <t>254500</t>
        </is>
      </c>
      <c r="P1329" s="5" t="inlineStr">
        <is>
          <t>5</t>
        </is>
      </c>
      <c r="Q1329" s="5" t="inlineStr">
        <is>
          <t>3</t>
        </is>
      </c>
      <c r="R1329" s="5" t="inlineStr">
        <is>
          <t>4</t>
        </is>
      </c>
      <c r="S1329" s="5" t="inlineStr">
        <is>
          <t>26</t>
        </is>
      </c>
      <c r="T1329" s="5" t="inlineStr">
        <is>
          <t>11</t>
        </is>
      </c>
      <c r="U1329" s="5" t="inlineStr">
        <is>
          <t>OK</t>
        </is>
      </c>
    </row>
    <row r="1330">
      <c r="A1330" s="5" t="inlineStr">
        <is>
          <t>E00024</t>
        </is>
      </c>
      <c r="B1330" s="5" t="inlineStr">
        <is>
          <t>Female</t>
        </is>
      </c>
      <c r="C1330" s="6" t="inlineStr">
        <is>
          <t>31</t>
        </is>
      </c>
      <c r="D1330" s="5" t="inlineStr">
        <is>
          <t>Married</t>
        </is>
      </c>
      <c r="E1330" s="5" t="inlineStr">
        <is>
          <t>PhD</t>
        </is>
      </c>
      <c r="F1330" s="5" t="inlineStr">
        <is>
          <t>Finance</t>
        </is>
      </c>
      <c r="G1330" s="5" t="inlineStr">
        <is>
          <t>Credit Analyst</t>
        </is>
      </c>
      <c r="H1330" s="5" t="inlineStr">
        <is>
          <t>3</t>
        </is>
      </c>
      <c r="I1330" s="5" t="inlineStr">
        <is>
          <t>Remote</t>
        </is>
      </c>
      <c r="J1330" s="5" t="inlineStr">
        <is>
          <t>Full-Time</t>
        </is>
      </c>
      <c r="K1330" s="7" t="n">
        <v>43926</v>
      </c>
      <c r="L1330" s="7" t="inlineStr"/>
      <c r="M1330" s="5" t="inlineStr">
        <is>
          <t>Yes</t>
        </is>
      </c>
      <c r="N1330" s="5" t="inlineStr"/>
      <c r="O1330" s="8" t="inlineStr">
        <is>
          <t>94500</t>
        </is>
      </c>
      <c r="P1330" s="5" t="inlineStr">
        <is>
          <t>0</t>
        </is>
      </c>
      <c r="Q1330" s="5" t="inlineStr">
        <is>
          <t>5</t>
        </is>
      </c>
      <c r="R1330" s="5" t="inlineStr">
        <is>
          <t>8</t>
        </is>
      </c>
      <c r="S1330" s="5" t="inlineStr">
        <is>
          <t>69</t>
        </is>
      </c>
      <c r="T1330" s="5" t="inlineStr">
        <is>
          <t>12</t>
        </is>
      </c>
      <c r="U1330" s="5" t="inlineStr">
        <is>
          <t>OK</t>
        </is>
      </c>
    </row>
    <row r="1331">
      <c r="A1331" s="5" t="inlineStr">
        <is>
          <t>E02154</t>
        </is>
      </c>
      <c r="B1331" s="5" t="inlineStr">
        <is>
          <t>Female</t>
        </is>
      </c>
      <c r="C1331" s="6" t="inlineStr">
        <is>
          <t>29</t>
        </is>
      </c>
      <c r="D1331" s="5" t="inlineStr">
        <is>
          <t>Single</t>
        </is>
      </c>
      <c r="E1331" s="5" t="inlineStr">
        <is>
          <t>Diploma</t>
        </is>
      </c>
      <c r="F1331" s="5" t="inlineStr">
        <is>
          <t>Marketing</t>
        </is>
      </c>
      <c r="G1331" s="5" t="inlineStr">
        <is>
          <t>SEO Specialist</t>
        </is>
      </c>
      <c r="H1331" s="5" t="inlineStr">
        <is>
          <t>1</t>
        </is>
      </c>
      <c r="I1331" s="5" t="inlineStr">
        <is>
          <t>Chennai</t>
        </is>
      </c>
      <c r="J1331" s="5" t="inlineStr">
        <is>
          <t>Full-Time</t>
        </is>
      </c>
      <c r="K1331" s="7" t="n">
        <v>44819</v>
      </c>
      <c r="L1331" s="7" t="n">
        <v>44939</v>
      </c>
      <c r="M1331" s="5" t="inlineStr">
        <is>
          <t>No</t>
        </is>
      </c>
      <c r="N1331" s="5" t="inlineStr">
        <is>
          <t>Retirement</t>
        </is>
      </c>
      <c r="O1331" s="8" t="inlineStr">
        <is>
          <t>61500</t>
        </is>
      </c>
      <c r="P1331" s="5" t="inlineStr">
        <is>
          <t>10</t>
        </is>
      </c>
      <c r="Q1331" s="5" t="inlineStr">
        <is>
          <t>3</t>
        </is>
      </c>
      <c r="R1331" s="5" t="inlineStr">
        <is>
          <t>4</t>
        </is>
      </c>
      <c r="S1331" s="5" t="inlineStr">
        <is>
          <t>4</t>
        </is>
      </c>
      <c r="T1331" s="5" t="inlineStr">
        <is>
          <t>12</t>
        </is>
      </c>
      <c r="U1331" s="5" t="inlineStr">
        <is>
          <t>OK</t>
        </is>
      </c>
    </row>
    <row r="1332">
      <c r="A1332" s="5" t="inlineStr">
        <is>
          <t>E00157</t>
        </is>
      </c>
      <c r="B1332" s="5" t="inlineStr">
        <is>
          <t>Female</t>
        </is>
      </c>
      <c r="C1332" s="6" t="inlineStr">
        <is>
          <t>33</t>
        </is>
      </c>
      <c r="D1332" s="5" t="inlineStr">
        <is>
          <t>Married</t>
        </is>
      </c>
      <c r="E1332" s="5" t="inlineStr">
        <is>
          <t>Bachelor</t>
        </is>
      </c>
      <c r="F1332" s="5" t="inlineStr">
        <is>
          <t>Finance</t>
        </is>
      </c>
      <c r="G1332" s="5" t="inlineStr">
        <is>
          <t>Accountant</t>
        </is>
      </c>
      <c r="H1332" s="5" t="inlineStr">
        <is>
          <t>1</t>
        </is>
      </c>
      <c r="I1332" s="5" t="inlineStr">
        <is>
          <t>Bengaluru</t>
        </is>
      </c>
      <c r="J1332" s="5" t="inlineStr">
        <is>
          <t>Full-Time</t>
        </is>
      </c>
      <c r="K1332" s="7" t="n">
        <v>45590</v>
      </c>
      <c r="L1332" s="7" t="inlineStr"/>
      <c r="M1332" s="5" t="inlineStr">
        <is>
          <t>Yes</t>
        </is>
      </c>
      <c r="N1332" s="5" t="inlineStr"/>
      <c r="O1332" s="8" t="inlineStr">
        <is>
          <t>87000</t>
        </is>
      </c>
      <c r="P1332" s="5" t="inlineStr">
        <is>
          <t>0</t>
        </is>
      </c>
      <c r="Q1332" s="5" t="inlineStr">
        <is>
          <t>4</t>
        </is>
      </c>
      <c r="R1332" s="5" t="inlineStr">
        <is>
          <t>10</t>
        </is>
      </c>
      <c r="S1332" s="5" t="inlineStr">
        <is>
          <t>14</t>
        </is>
      </c>
      <c r="T1332" s="5" t="inlineStr">
        <is>
          <t>11</t>
        </is>
      </c>
      <c r="U1332" s="5" t="inlineStr">
        <is>
          <t>OK</t>
        </is>
      </c>
    </row>
    <row r="1333">
      <c r="A1333" s="5" t="inlineStr">
        <is>
          <t>E02597</t>
        </is>
      </c>
      <c r="B1333" s="5" t="inlineStr">
        <is>
          <t>Male</t>
        </is>
      </c>
      <c r="C1333" s="6" t="inlineStr">
        <is>
          <t>40</t>
        </is>
      </c>
      <c r="D1333" s="5" t="inlineStr">
        <is>
          <t>Married</t>
        </is>
      </c>
      <c r="E1333" s="5" t="inlineStr">
        <is>
          <t>PhD</t>
        </is>
      </c>
      <c r="F1333" s="5" t="inlineStr">
        <is>
          <t>Sales</t>
        </is>
      </c>
      <c r="G1333" s="5" t="inlineStr">
        <is>
          <t>Sales Executive</t>
        </is>
      </c>
      <c r="H1333" s="5" t="inlineStr">
        <is>
          <t>4</t>
        </is>
      </c>
      <c r="I1333" s="5" t="inlineStr">
        <is>
          <t>Delhi</t>
        </is>
      </c>
      <c r="J1333" s="5" t="inlineStr">
        <is>
          <t>Full-Time</t>
        </is>
      </c>
      <c r="K1333" s="7" t="n">
        <v>45694</v>
      </c>
      <c r="L1333" s="7" t="inlineStr"/>
      <c r="M1333" s="5" t="inlineStr">
        <is>
          <t>Yes</t>
        </is>
      </c>
      <c r="N1333" s="5" t="inlineStr"/>
      <c r="O1333" s="8" t="inlineStr"/>
      <c r="P1333" s="5" t="inlineStr">
        <is>
          <t>5</t>
        </is>
      </c>
      <c r="Q1333" s="5" t="inlineStr">
        <is>
          <t>3</t>
        </is>
      </c>
      <c r="R1333" s="5" t="inlineStr">
        <is>
          <t>5</t>
        </is>
      </c>
      <c r="S1333" s="5" t="inlineStr">
        <is>
          <t>10</t>
        </is>
      </c>
      <c r="T1333" s="5" t="inlineStr">
        <is>
          <t>10</t>
        </is>
      </c>
      <c r="U1333" s="5" t="inlineStr">
        <is>
          <t>Blank salary</t>
        </is>
      </c>
    </row>
    <row r="1334">
      <c r="A1334" s="5" t="inlineStr">
        <is>
          <t>E02012</t>
        </is>
      </c>
      <c r="B1334" s="5" t="inlineStr">
        <is>
          <t>Male</t>
        </is>
      </c>
      <c r="C1334" s="6" t="inlineStr">
        <is>
          <t>28</t>
        </is>
      </c>
      <c r="D1334" s="5" t="inlineStr">
        <is>
          <t>Married</t>
        </is>
      </c>
      <c r="E1334" s="5" t="inlineStr">
        <is>
          <t>Diploma</t>
        </is>
      </c>
      <c r="F1334" s="5" t="inlineStr">
        <is>
          <t>Operations</t>
        </is>
      </c>
      <c r="G1334" s="5" t="inlineStr">
        <is>
          <t>Operations Analyst</t>
        </is>
      </c>
      <c r="H1334" s="5" t="inlineStr">
        <is>
          <t>1</t>
        </is>
      </c>
      <c r="I1334" s="5" t="inlineStr">
        <is>
          <t>Chennai</t>
        </is>
      </c>
      <c r="J1334" s="5" t="inlineStr">
        <is>
          <t>Full-Time</t>
        </is>
      </c>
      <c r="K1334" s="7" t="n">
        <v>44042</v>
      </c>
      <c r="L1334" s="7" t="inlineStr"/>
      <c r="M1334" s="5" t="inlineStr">
        <is>
          <t>Yes</t>
        </is>
      </c>
      <c r="N1334" s="5" t="inlineStr"/>
      <c r="O1334" s="8" t="inlineStr">
        <is>
          <t>60000</t>
        </is>
      </c>
      <c r="P1334" s="5" t="inlineStr">
        <is>
          <t>5</t>
        </is>
      </c>
      <c r="Q1334" s="5" t="inlineStr">
        <is>
          <t>4</t>
        </is>
      </c>
      <c r="R1334" s="5" t="inlineStr">
        <is>
          <t>4</t>
        </is>
      </c>
      <c r="S1334" s="5" t="inlineStr">
        <is>
          <t>66</t>
        </is>
      </c>
      <c r="T1334" s="5" t="inlineStr">
        <is>
          <t>1</t>
        </is>
      </c>
      <c r="U1334" s="5" t="inlineStr">
        <is>
          <t>OK</t>
        </is>
      </c>
    </row>
    <row r="1335">
      <c r="A1335" s="5" t="inlineStr">
        <is>
          <t>E00197</t>
        </is>
      </c>
      <c r="B1335" s="5" t="inlineStr">
        <is>
          <t>Female</t>
        </is>
      </c>
      <c r="C1335" s="6" t="inlineStr">
        <is>
          <t>40</t>
        </is>
      </c>
      <c r="D1335" s="5" t="inlineStr">
        <is>
          <t>Divorced</t>
        </is>
      </c>
      <c r="E1335" s="5" t="inlineStr">
        <is>
          <t>High School</t>
        </is>
      </c>
      <c r="F1335" s="5" t="inlineStr">
        <is>
          <t>Customer Support</t>
        </is>
      </c>
      <c r="G1335" s="5" t="inlineStr">
        <is>
          <t>Support Lead</t>
        </is>
      </c>
      <c r="H1335" s="5" t="inlineStr">
        <is>
          <t>5</t>
        </is>
      </c>
      <c r="I1335" s="5" t="inlineStr">
        <is>
          <t>Remote</t>
        </is>
      </c>
      <c r="J1335" s="5" t="inlineStr">
        <is>
          <t>Full-Time</t>
        </is>
      </c>
      <c r="K1335" s="7" t="n">
        <v>45966</v>
      </c>
      <c r="L1335" s="7" t="inlineStr"/>
      <c r="M1335" s="5" t="inlineStr">
        <is>
          <t>Yes</t>
        </is>
      </c>
      <c r="N1335" s="5" t="inlineStr"/>
      <c r="O1335" s="8" t="inlineStr">
        <is>
          <t>81000</t>
        </is>
      </c>
      <c r="P1335" s="5" t="inlineStr">
        <is>
          <t>5</t>
        </is>
      </c>
      <c r="Q1335" s="5" t="inlineStr">
        <is>
          <t>4</t>
        </is>
      </c>
      <c r="R1335" s="5" t="inlineStr">
        <is>
          <t>6</t>
        </is>
      </c>
      <c r="S1335" s="5" t="inlineStr">
        <is>
          <t>1</t>
        </is>
      </c>
      <c r="T1335" s="5" t="inlineStr">
        <is>
          <t>0</t>
        </is>
      </c>
      <c r="U1335" s="5" t="inlineStr">
        <is>
          <t>OK</t>
        </is>
      </c>
    </row>
    <row r="1336">
      <c r="A1336" s="5" t="inlineStr">
        <is>
          <t>E02738</t>
        </is>
      </c>
      <c r="B1336" s="5" t="inlineStr">
        <is>
          <t>Male</t>
        </is>
      </c>
      <c r="C1336" s="6" t="inlineStr">
        <is>
          <t>29</t>
        </is>
      </c>
      <c r="D1336" s="5" t="inlineStr">
        <is>
          <t>Married</t>
        </is>
      </c>
      <c r="E1336" s="5" t="inlineStr">
        <is>
          <t>PhD</t>
        </is>
      </c>
      <c r="F1336" s="5" t="inlineStr">
        <is>
          <t>Sales</t>
        </is>
      </c>
      <c r="G1336" s="5" t="inlineStr">
        <is>
          <t>Business Development</t>
        </is>
      </c>
      <c r="H1336" s="5" t="inlineStr">
        <is>
          <t>4</t>
        </is>
      </c>
      <c r="I1336" s="5" t="inlineStr">
        <is>
          <t>Hyderabad</t>
        </is>
      </c>
      <c r="J1336" s="5" t="inlineStr">
        <is>
          <t>Full-Time</t>
        </is>
      </c>
      <c r="K1336" s="7" t="n">
        <v>45807</v>
      </c>
      <c r="L1336" s="7" t="n">
        <v>45858</v>
      </c>
      <c r="M1336" s="5" t="inlineStr">
        <is>
          <t>No</t>
        </is>
      </c>
      <c r="N1336" s="5" t="inlineStr">
        <is>
          <t>Resigned</t>
        </is>
      </c>
      <c r="O1336" s="8" t="inlineStr">
        <is>
          <t>152000</t>
        </is>
      </c>
      <c r="P1336" s="5" t="inlineStr">
        <is>
          <t>5</t>
        </is>
      </c>
      <c r="Q1336" s="5" t="inlineStr">
        <is>
          <t>1</t>
        </is>
      </c>
      <c r="R1336" s="5" t="inlineStr">
        <is>
          <t>9</t>
        </is>
      </c>
      <c r="S1336" s="5" t="inlineStr">
        <is>
          <t>1</t>
        </is>
      </c>
      <c r="T1336" s="5" t="inlineStr">
        <is>
          <t>9</t>
        </is>
      </c>
      <c r="U1336" s="5" t="inlineStr">
        <is>
          <t>OK</t>
        </is>
      </c>
    </row>
    <row r="1337">
      <c r="A1337" s="5" t="inlineStr">
        <is>
          <t>E02453</t>
        </is>
      </c>
      <c r="B1337" s="5" t="inlineStr">
        <is>
          <t>male</t>
        </is>
      </c>
      <c r="C1337" s="6" t="inlineStr">
        <is>
          <t>28</t>
        </is>
      </c>
      <c r="D1337" s="5" t="inlineStr">
        <is>
          <t>Married</t>
        </is>
      </c>
      <c r="E1337" s="5" t="inlineStr">
        <is>
          <t>Diploma</t>
        </is>
      </c>
      <c r="F1337" s="5" t="inlineStr">
        <is>
          <t>Human Resources</t>
        </is>
      </c>
      <c r="G1337" s="5" t="inlineStr">
        <is>
          <t>HR Analyst</t>
        </is>
      </c>
      <c r="H1337" s="5" t="inlineStr">
        <is>
          <t>3</t>
        </is>
      </c>
      <c r="I1337" s="5" t="inlineStr">
        <is>
          <t>Delhi</t>
        </is>
      </c>
      <c r="J1337" s="5" t="inlineStr">
        <is>
          <t>Full-Time</t>
        </is>
      </c>
      <c r="K1337" s="7" t="n">
        <v>45799</v>
      </c>
      <c r="L1337" s="7" t="inlineStr"/>
      <c r="M1337" s="5" t="inlineStr">
        <is>
          <t>Yes</t>
        </is>
      </c>
      <c r="N1337" s="5" t="inlineStr"/>
      <c r="O1337" s="8" t="inlineStr">
        <is>
          <t>84000</t>
        </is>
      </c>
      <c r="P1337" s="5" t="inlineStr">
        <is>
          <t>5</t>
        </is>
      </c>
      <c r="Q1337" s="5" t="inlineStr">
        <is>
          <t>5</t>
        </is>
      </c>
      <c r="R1337" s="5" t="inlineStr">
        <is>
          <t>10</t>
        </is>
      </c>
      <c r="S1337" s="5" t="inlineStr">
        <is>
          <t>7</t>
        </is>
      </c>
      <c r="T1337" s="5" t="inlineStr">
        <is>
          <t>14</t>
        </is>
      </c>
      <c r="U1337" s="5" t="inlineStr">
        <is>
          <t>OK</t>
        </is>
      </c>
    </row>
    <row r="1338">
      <c r="A1338" s="5" t="inlineStr">
        <is>
          <t>E00929</t>
        </is>
      </c>
      <c r="B1338" s="5" t="inlineStr">
        <is>
          <t>Male</t>
        </is>
      </c>
      <c r="C1338" s="6" t="inlineStr">
        <is>
          <t>29</t>
        </is>
      </c>
      <c r="D1338" s="5" t="inlineStr">
        <is>
          <t>Divorced</t>
        </is>
      </c>
      <c r="E1338" s="5" t="inlineStr">
        <is>
          <t>Bachelor</t>
        </is>
      </c>
      <c r="F1338" s="5" t="inlineStr">
        <is>
          <t>Sales</t>
        </is>
      </c>
      <c r="G1338" s="5" t="inlineStr">
        <is>
          <t>Sales Executive</t>
        </is>
      </c>
      <c r="H1338" s="5" t="inlineStr">
        <is>
          <t>2</t>
        </is>
      </c>
      <c r="I1338" s="5" t="inlineStr">
        <is>
          <t>Chennai</t>
        </is>
      </c>
      <c r="J1338" s="5" t="inlineStr">
        <is>
          <t>Full-Time</t>
        </is>
      </c>
      <c r="K1338" s="7" t="n">
        <v>45111</v>
      </c>
      <c r="L1338" s="7" t="n">
        <v>45219</v>
      </c>
      <c r="M1338" s="5" t="inlineStr">
        <is>
          <t>No</t>
        </is>
      </c>
      <c r="N1338" s="5" t="inlineStr">
        <is>
          <t>Retirement</t>
        </is>
      </c>
      <c r="O1338" s="8" t="inlineStr">
        <is>
          <t>95500</t>
        </is>
      </c>
      <c r="P1338" s="5" t="inlineStr">
        <is>
          <t>15</t>
        </is>
      </c>
      <c r="Q1338" s="5" t="inlineStr">
        <is>
          <t>3</t>
        </is>
      </c>
      <c r="R1338" s="5" t="inlineStr">
        <is>
          <t>7</t>
        </is>
      </c>
      <c r="S1338" s="5" t="inlineStr">
        <is>
          <t>3</t>
        </is>
      </c>
      <c r="T1338" s="5" t="inlineStr">
        <is>
          <t>4</t>
        </is>
      </c>
      <c r="U1338" s="5" t="inlineStr">
        <is>
          <t>OK</t>
        </is>
      </c>
    </row>
    <row r="1339">
      <c r="A1339" s="5" t="inlineStr">
        <is>
          <t>E00738</t>
        </is>
      </c>
      <c r="B1339" s="5" t="inlineStr">
        <is>
          <t>Male</t>
        </is>
      </c>
      <c r="C1339" s="6" t="inlineStr">
        <is>
          <t>33</t>
        </is>
      </c>
      <c r="D1339" s="5" t="inlineStr">
        <is>
          <t>Married</t>
        </is>
      </c>
      <c r="E1339" s="5" t="inlineStr">
        <is>
          <t>High School</t>
        </is>
      </c>
      <c r="F1339" s="5" t="inlineStr">
        <is>
          <t>Customer Support</t>
        </is>
      </c>
      <c r="G1339" s="5" t="inlineStr">
        <is>
          <t>Support Agent</t>
        </is>
      </c>
      <c r="H1339" s="5" t="inlineStr">
        <is>
          <t>2</t>
        </is>
      </c>
      <c r="I1339" s="5" t="inlineStr">
        <is>
          <t>Hyderabad</t>
        </is>
      </c>
      <c r="J1339" s="5" t="inlineStr">
        <is>
          <t>Full-Time</t>
        </is>
      </c>
      <c r="K1339" s="7" t="n">
        <v>43985</v>
      </c>
      <c r="L1339" s="7" t="inlineStr"/>
      <c r="M1339" s="5" t="inlineStr">
        <is>
          <t>Yes</t>
        </is>
      </c>
      <c r="N1339" s="5" t="inlineStr"/>
      <c r="O1339" s="8" t="inlineStr">
        <is>
          <t>81500</t>
        </is>
      </c>
      <c r="P1339" s="5" t="inlineStr">
        <is>
          <t>0</t>
        </is>
      </c>
      <c r="Q1339" s="5" t="inlineStr">
        <is>
          <t>3</t>
        </is>
      </c>
      <c r="R1339" s="5" t="inlineStr">
        <is>
          <t>8</t>
        </is>
      </c>
      <c r="S1339" s="5" t="inlineStr">
        <is>
          <t>67</t>
        </is>
      </c>
      <c r="T1339" s="5" t="inlineStr">
        <is>
          <t>6</t>
        </is>
      </c>
      <c r="U1339" s="5" t="inlineStr">
        <is>
          <t>OK</t>
        </is>
      </c>
    </row>
    <row r="1340">
      <c r="A1340" s="5" t="inlineStr">
        <is>
          <t>E01442</t>
        </is>
      </c>
      <c r="B1340" s="5" t="inlineStr">
        <is>
          <t>Male</t>
        </is>
      </c>
      <c r="C1340" s="6" t="inlineStr">
        <is>
          <t>41</t>
        </is>
      </c>
      <c r="D1340" s="5" t="inlineStr">
        <is>
          <t>Married</t>
        </is>
      </c>
      <c r="E1340" s="5" t="inlineStr">
        <is>
          <t>High School</t>
        </is>
      </c>
      <c r="F1340" s="5" t="inlineStr">
        <is>
          <t>Operations</t>
        </is>
      </c>
      <c r="G1340" s="5" t="inlineStr">
        <is>
          <t>Operations Analyst</t>
        </is>
      </c>
      <c r="H1340" s="5" t="inlineStr">
        <is>
          <t>5</t>
        </is>
      </c>
      <c r="I1340" s="5" t="inlineStr">
        <is>
          <t>Bengaluru</t>
        </is>
      </c>
      <c r="J1340" s="5" t="inlineStr">
        <is>
          <t>Full-Time</t>
        </is>
      </c>
      <c r="K1340" s="7" t="n">
        <v>44307</v>
      </c>
      <c r="L1340" s="7" t="inlineStr"/>
      <c r="M1340" s="5" t="inlineStr">
        <is>
          <t>Yes</t>
        </is>
      </c>
      <c r="N1340" s="5" t="inlineStr"/>
      <c r="O1340" s="8" t="inlineStr">
        <is>
          <t>126000</t>
        </is>
      </c>
      <c r="P1340" s="5" t="inlineStr">
        <is>
          <t>0</t>
        </is>
      </c>
      <c r="Q1340" s="5" t="inlineStr">
        <is>
          <t>3</t>
        </is>
      </c>
      <c r="R1340" s="5" t="inlineStr">
        <is>
          <t>4</t>
        </is>
      </c>
      <c r="S1340" s="5" t="inlineStr">
        <is>
          <t>57</t>
        </is>
      </c>
      <c r="T1340" s="5" t="inlineStr">
        <is>
          <t>8</t>
        </is>
      </c>
      <c r="U1340" s="5" t="inlineStr">
        <is>
          <t>OK</t>
        </is>
      </c>
    </row>
    <row r="1341">
      <c r="A1341" s="5" t="inlineStr">
        <is>
          <t>E01308</t>
        </is>
      </c>
      <c r="B1341" s="5" t="inlineStr">
        <is>
          <t>Male</t>
        </is>
      </c>
      <c r="C1341" s="6" t="inlineStr">
        <is>
          <t>29</t>
        </is>
      </c>
      <c r="D1341" s="5" t="inlineStr">
        <is>
          <t>Single</t>
        </is>
      </c>
      <c r="E1341" s="5" t="inlineStr">
        <is>
          <t>Diploma</t>
        </is>
      </c>
      <c r="F1341" s="5" t="inlineStr">
        <is>
          <t>Research &amp; Development</t>
        </is>
      </c>
      <c r="G1341" s="5" t="inlineStr">
        <is>
          <t>Research Scientist</t>
        </is>
      </c>
      <c r="H1341" s="5" t="inlineStr">
        <is>
          <t>1</t>
        </is>
      </c>
      <c r="I1341" s="5" t="inlineStr">
        <is>
          <t>Mumbai</t>
        </is>
      </c>
      <c r="J1341" s="5" t="inlineStr">
        <is>
          <t>Full-Time</t>
        </is>
      </c>
      <c r="K1341" s="7" t="n">
        <v>44882</v>
      </c>
      <c r="L1341" s="7" t="inlineStr"/>
      <c r="M1341" s="5" t="inlineStr">
        <is>
          <t>Yes</t>
        </is>
      </c>
      <c r="N1341" s="5" t="inlineStr"/>
      <c r="O1341" s="8" t="inlineStr">
        <is>
          <t>158500</t>
        </is>
      </c>
      <c r="P1341" s="5" t="inlineStr">
        <is>
          <t>5</t>
        </is>
      </c>
      <c r="Q1341" s="5" t="inlineStr">
        <is>
          <t>3</t>
        </is>
      </c>
      <c r="R1341" s="5" t="inlineStr">
        <is>
          <t>5</t>
        </is>
      </c>
      <c r="S1341" s="5" t="inlineStr">
        <is>
          <t>38</t>
        </is>
      </c>
      <c r="T1341" s="5" t="inlineStr">
        <is>
          <t>0</t>
        </is>
      </c>
      <c r="U1341" s="5" t="inlineStr">
        <is>
          <t>OK</t>
        </is>
      </c>
    </row>
    <row r="1342">
      <c r="A1342" s="5" t="inlineStr">
        <is>
          <t>E01173</t>
        </is>
      </c>
      <c r="B1342" s="5" t="inlineStr">
        <is>
          <t>Female</t>
        </is>
      </c>
      <c r="C1342" s="6" t="inlineStr">
        <is>
          <t>40</t>
        </is>
      </c>
      <c r="D1342" s="5" t="inlineStr">
        <is>
          <t>Married</t>
        </is>
      </c>
      <c r="E1342" s="5" t="inlineStr">
        <is>
          <t>Master</t>
        </is>
      </c>
      <c r="F1342" s="5" t="inlineStr">
        <is>
          <t>Operations</t>
        </is>
      </c>
      <c r="G1342" s="5" t="inlineStr">
        <is>
          <t>Logistics Coordinator</t>
        </is>
      </c>
      <c r="H1342" s="5" t="inlineStr">
        <is>
          <t>6</t>
        </is>
      </c>
      <c r="I1342" s="5" t="inlineStr">
        <is>
          <t>Chennai</t>
        </is>
      </c>
      <c r="J1342" s="5" t="inlineStr">
        <is>
          <t>Full-Time</t>
        </is>
      </c>
      <c r="K1342" s="7" t="n">
        <v>45392</v>
      </c>
      <c r="L1342" s="7" t="inlineStr"/>
      <c r="M1342" s="5" t="inlineStr">
        <is>
          <t>Yes</t>
        </is>
      </c>
      <c r="N1342" s="5" t="inlineStr"/>
      <c r="O1342" s="8" t="inlineStr"/>
      <c r="P1342" s="5" t="inlineStr">
        <is>
          <t>0</t>
        </is>
      </c>
      <c r="Q1342" s="5" t="inlineStr">
        <is>
          <t>4</t>
        </is>
      </c>
      <c r="R1342" s="5" t="inlineStr">
        <is>
          <t>3</t>
        </is>
      </c>
      <c r="S1342" s="5" t="inlineStr">
        <is>
          <t>21</t>
        </is>
      </c>
      <c r="T1342" s="5" t="inlineStr">
        <is>
          <t>1</t>
        </is>
      </c>
      <c r="U1342" s="5" t="inlineStr">
        <is>
          <t>Blank salary</t>
        </is>
      </c>
    </row>
    <row r="1343">
      <c r="A1343" s="5" t="inlineStr">
        <is>
          <t>E01862</t>
        </is>
      </c>
      <c r="B1343" s="5" t="inlineStr">
        <is>
          <t>Female</t>
        </is>
      </c>
      <c r="C1343" s="6" t="inlineStr">
        <is>
          <t>43</t>
        </is>
      </c>
      <c r="D1343" s="5" t="inlineStr">
        <is>
          <t>Married</t>
        </is>
      </c>
      <c r="E1343" s="5" t="inlineStr">
        <is>
          <t>Master</t>
        </is>
      </c>
      <c r="F1343" s="5" t="inlineStr">
        <is>
          <t>Sales</t>
        </is>
      </c>
      <c r="G1343" s="5" t="inlineStr">
        <is>
          <t>Business Development</t>
        </is>
      </c>
      <c r="H1343" s="5" t="inlineStr">
        <is>
          <t>7</t>
        </is>
      </c>
      <c r="I1343" s="5" t="inlineStr">
        <is>
          <t>Mumbai</t>
        </is>
      </c>
      <c r="J1343" s="5" t="inlineStr">
        <is>
          <t>Contract</t>
        </is>
      </c>
      <c r="K1343" s="7" t="n">
        <v>45908</v>
      </c>
      <c r="L1343" s="7" t="inlineStr"/>
      <c r="M1343" s="5" t="inlineStr">
        <is>
          <t>Yes</t>
        </is>
      </c>
      <c r="N1343" s="5" t="inlineStr"/>
      <c r="O1343" s="8" t="inlineStr">
        <is>
          <t>170000</t>
        </is>
      </c>
      <c r="P1343" s="5" t="inlineStr">
        <is>
          <t>0</t>
        </is>
      </c>
      <c r="Q1343" s="5" t="inlineStr">
        <is>
          <t>3</t>
        </is>
      </c>
      <c r="R1343" s="5" t="inlineStr">
        <is>
          <t>10</t>
        </is>
      </c>
      <c r="S1343" s="5" t="inlineStr">
        <is>
          <t>3</t>
        </is>
      </c>
      <c r="T1343" s="5" t="inlineStr">
        <is>
          <t>1</t>
        </is>
      </c>
      <c r="U1343" s="5" t="inlineStr">
        <is>
          <t>OK</t>
        </is>
      </c>
    </row>
    <row r="1344">
      <c r="A1344" s="5" t="inlineStr">
        <is>
          <t>E00493</t>
        </is>
      </c>
      <c r="B1344" s="5" t="inlineStr">
        <is>
          <t>Female</t>
        </is>
      </c>
      <c r="C1344" s="6" t="inlineStr">
        <is>
          <t>38</t>
        </is>
      </c>
      <c r="D1344" s="5" t="inlineStr">
        <is>
          <t>Married</t>
        </is>
      </c>
      <c r="E1344" s="5" t="inlineStr">
        <is>
          <t>Diploma</t>
        </is>
      </c>
      <c r="F1344" s="5" t="inlineStr">
        <is>
          <t>Customer Support</t>
        </is>
      </c>
      <c r="G1344" s="5" t="inlineStr">
        <is>
          <t>Escalation Specialist</t>
        </is>
      </c>
      <c r="H1344" s="5" t="inlineStr">
        <is>
          <t>3</t>
        </is>
      </c>
      <c r="I1344" s="5" t="inlineStr">
        <is>
          <t>Chennai</t>
        </is>
      </c>
      <c r="J1344" s="5" t="inlineStr">
        <is>
          <t>Full-Time</t>
        </is>
      </c>
      <c r="K1344" s="7" t="n">
        <v>44062</v>
      </c>
      <c r="L1344" s="7" t="n">
        <v>44147</v>
      </c>
      <c r="M1344" s="5" t="inlineStr">
        <is>
          <t>No</t>
        </is>
      </c>
      <c r="N1344" s="5" t="inlineStr">
        <is>
          <t>Performance / Termination</t>
        </is>
      </c>
      <c r="O1344" s="8" t="inlineStr">
        <is>
          <t>71000</t>
        </is>
      </c>
      <c r="P1344" s="5" t="inlineStr">
        <is>
          <t>0</t>
        </is>
      </c>
      <c r="Q1344" s="5" t="inlineStr">
        <is>
          <t>3</t>
        </is>
      </c>
      <c r="R1344" s="5" t="inlineStr">
        <is>
          <t>5</t>
        </is>
      </c>
      <c r="S1344" s="5" t="inlineStr">
        <is>
          <t>2</t>
        </is>
      </c>
      <c r="T1344" s="5" t="inlineStr">
        <is>
          <t>10</t>
        </is>
      </c>
      <c r="U1344" s="5" t="inlineStr">
        <is>
          <t>OK</t>
        </is>
      </c>
    </row>
    <row r="1345">
      <c r="A1345" s="5" t="inlineStr">
        <is>
          <t>E02847</t>
        </is>
      </c>
      <c r="B1345" s="5" t="inlineStr">
        <is>
          <t>Male</t>
        </is>
      </c>
      <c r="C1345" s="6" t="inlineStr">
        <is>
          <t>30</t>
        </is>
      </c>
      <c r="D1345" s="5" t="inlineStr">
        <is>
          <t>Divorced</t>
        </is>
      </c>
      <c r="E1345" s="5" t="inlineStr">
        <is>
          <t>Bachelor</t>
        </is>
      </c>
      <c r="F1345" s="5" t="inlineStr">
        <is>
          <t>Operations</t>
        </is>
      </c>
      <c r="G1345" s="5" t="inlineStr">
        <is>
          <t>Operations Analyst</t>
        </is>
      </c>
      <c r="H1345" s="5" t="inlineStr">
        <is>
          <t>2</t>
        </is>
      </c>
      <c r="I1345" s="5" t="inlineStr">
        <is>
          <t>Remote</t>
        </is>
      </c>
      <c r="J1345" s="5" t="inlineStr">
        <is>
          <t>Full-Time</t>
        </is>
      </c>
      <c r="K1345" s="7" t="n">
        <v>43964</v>
      </c>
      <c r="L1345" s="7" t="n">
        <v>44071</v>
      </c>
      <c r="M1345" s="5" t="inlineStr">
        <is>
          <t>No</t>
        </is>
      </c>
      <c r="N1345" s="5" t="inlineStr">
        <is>
          <t>Resigned</t>
        </is>
      </c>
      <c r="O1345" s="8" t="inlineStr">
        <is>
          <t>78500</t>
        </is>
      </c>
      <c r="P1345" s="5" t="inlineStr">
        <is>
          <t>0</t>
        </is>
      </c>
      <c r="Q1345" s="5" t="inlineStr">
        <is>
          <t>5</t>
        </is>
      </c>
      <c r="R1345" s="5" t="inlineStr">
        <is>
          <t>9</t>
        </is>
      </c>
      <c r="S1345" s="5" t="inlineStr">
        <is>
          <t>3</t>
        </is>
      </c>
      <c r="T1345" s="5" t="inlineStr">
        <is>
          <t>1</t>
        </is>
      </c>
      <c r="U1345" s="5" t="inlineStr">
        <is>
          <t>OK</t>
        </is>
      </c>
    </row>
    <row r="1346">
      <c r="A1346" s="5" t="inlineStr">
        <is>
          <t>E01791</t>
        </is>
      </c>
      <c r="B1346" s="5" t="inlineStr">
        <is>
          <t>Male</t>
        </is>
      </c>
      <c r="C1346" s="6" t="inlineStr">
        <is>
          <t>36</t>
        </is>
      </c>
      <c r="D1346" s="5" t="inlineStr">
        <is>
          <t>Married</t>
        </is>
      </c>
      <c r="E1346" s="5" t="inlineStr">
        <is>
          <t>Bachelor</t>
        </is>
      </c>
      <c r="F1346" s="5" t="inlineStr">
        <is>
          <t>Sales</t>
        </is>
      </c>
      <c r="G1346" s="5" t="inlineStr">
        <is>
          <t>Sales Executive</t>
        </is>
      </c>
      <c r="H1346" s="5" t="inlineStr">
        <is>
          <t>2</t>
        </is>
      </c>
      <c r="I1346" s="5" t="inlineStr">
        <is>
          <t>Chennai</t>
        </is>
      </c>
      <c r="J1346" s="5" t="inlineStr">
        <is>
          <t>Full-Time</t>
        </is>
      </c>
      <c r="K1346" s="7" t="n">
        <v>44167</v>
      </c>
      <c r="L1346" s="7" t="n">
        <v>44305</v>
      </c>
      <c r="M1346" s="5" t="inlineStr">
        <is>
          <t>No</t>
        </is>
      </c>
      <c r="N1346" s="5" t="inlineStr">
        <is>
          <t>Relocation</t>
        </is>
      </c>
      <c r="O1346" s="8" t="inlineStr">
        <is>
          <t>112500</t>
        </is>
      </c>
      <c r="P1346" s="5" t="inlineStr">
        <is>
          <t>20</t>
        </is>
      </c>
      <c r="Q1346" s="5" t="inlineStr">
        <is>
          <t>3</t>
        </is>
      </c>
      <c r="R1346" s="5" t="inlineStr">
        <is>
          <t>6</t>
        </is>
      </c>
      <c r="S1346" s="5" t="inlineStr">
        <is>
          <t>4</t>
        </is>
      </c>
      <c r="T1346" s="5" t="inlineStr">
        <is>
          <t>8</t>
        </is>
      </c>
      <c r="U1346" s="5" t="inlineStr">
        <is>
          <t>OK</t>
        </is>
      </c>
    </row>
    <row r="1347">
      <c r="A1347" s="5" t="inlineStr">
        <is>
          <t>E00211</t>
        </is>
      </c>
      <c r="B1347" s="5" t="inlineStr">
        <is>
          <t>Female</t>
        </is>
      </c>
      <c r="C1347" s="6" t="inlineStr">
        <is>
          <t>35</t>
        </is>
      </c>
      <c r="D1347" s="5" t="inlineStr">
        <is>
          <t>Single</t>
        </is>
      </c>
      <c r="E1347" s="5" t="inlineStr">
        <is>
          <t>Diploma</t>
        </is>
      </c>
      <c r="F1347" s="5" t="inlineStr">
        <is>
          <t>Customer Support</t>
        </is>
      </c>
      <c r="G1347" s="5" t="inlineStr">
        <is>
          <t>Escalation Specialist</t>
        </is>
      </c>
      <c r="H1347" s="5" t="inlineStr">
        <is>
          <t>4</t>
        </is>
      </c>
      <c r="I1347" s="5" t="inlineStr">
        <is>
          <t>Remote</t>
        </is>
      </c>
      <c r="J1347" s="5" t="inlineStr">
        <is>
          <t>Full-Time</t>
        </is>
      </c>
      <c r="K1347" s="7" t="n">
        <v>45585</v>
      </c>
      <c r="L1347" s="7" t="inlineStr"/>
      <c r="M1347" s="5" t="inlineStr">
        <is>
          <t>Yes</t>
        </is>
      </c>
      <c r="N1347" s="5" t="inlineStr"/>
      <c r="O1347" s="8" t="inlineStr">
        <is>
          <t>78500</t>
        </is>
      </c>
      <c r="P1347" s="5" t="inlineStr">
        <is>
          <t>15</t>
        </is>
      </c>
      <c r="Q1347" s="5" t="inlineStr">
        <is>
          <t>4</t>
        </is>
      </c>
      <c r="R1347" s="5" t="inlineStr">
        <is>
          <t>6</t>
        </is>
      </c>
      <c r="S1347" s="5" t="inlineStr">
        <is>
          <t>14</t>
        </is>
      </c>
      <c r="T1347" s="5" t="inlineStr">
        <is>
          <t>5</t>
        </is>
      </c>
      <c r="U1347" s="5" t="inlineStr">
        <is>
          <t>OK</t>
        </is>
      </c>
    </row>
    <row r="1348">
      <c r="A1348" s="5" t="inlineStr">
        <is>
          <t>E02741</t>
        </is>
      </c>
      <c r="B1348" s="5" t="inlineStr">
        <is>
          <t>Male</t>
        </is>
      </c>
      <c r="C1348" s="6" t="inlineStr">
        <is>
          <t>30</t>
        </is>
      </c>
      <c r="D1348" s="5" t="inlineStr">
        <is>
          <t>Married</t>
        </is>
      </c>
      <c r="E1348" s="5" t="inlineStr">
        <is>
          <t>High School</t>
        </is>
      </c>
      <c r="F1348" s="5" t="inlineStr">
        <is>
          <t>Operations</t>
        </is>
      </c>
      <c r="G1348" s="5" t="inlineStr">
        <is>
          <t>Logistics Coordinator</t>
        </is>
      </c>
      <c r="H1348" s="5" t="inlineStr">
        <is>
          <t>3</t>
        </is>
      </c>
      <c r="I1348" s="5" t="inlineStr">
        <is>
          <t>Delhi</t>
        </is>
      </c>
      <c r="J1348" s="5" t="inlineStr">
        <is>
          <t>Full-Time</t>
        </is>
      </c>
      <c r="K1348" s="7" t="n">
        <v>44186</v>
      </c>
      <c r="L1348" s="7" t="inlineStr"/>
      <c r="M1348" s="5" t="inlineStr">
        <is>
          <t>Yes</t>
        </is>
      </c>
      <c r="N1348" s="5" t="inlineStr"/>
      <c r="O1348" s="8" t="inlineStr">
        <is>
          <t>80000</t>
        </is>
      </c>
      <c r="P1348" s="5" t="inlineStr">
        <is>
          <t>0</t>
        </is>
      </c>
      <c r="Q1348" s="5" t="inlineStr">
        <is>
          <t>5</t>
        </is>
      </c>
      <c r="R1348" s="5" t="inlineStr">
        <is>
          <t>7</t>
        </is>
      </c>
      <c r="S1348" s="5" t="inlineStr">
        <is>
          <t>61</t>
        </is>
      </c>
      <c r="T1348" s="5" t="inlineStr">
        <is>
          <t>9</t>
        </is>
      </c>
      <c r="U1348" s="5" t="inlineStr">
        <is>
          <t>OK</t>
        </is>
      </c>
    </row>
    <row r="1349">
      <c r="A1349" s="5" t="inlineStr">
        <is>
          <t>E02498</t>
        </is>
      </c>
      <c r="B1349" s="5" t="inlineStr">
        <is>
          <t>Male</t>
        </is>
      </c>
      <c r="C1349" s="6" t="inlineStr">
        <is>
          <t>40</t>
        </is>
      </c>
      <c r="D1349" s="5" t="inlineStr">
        <is>
          <t>Married</t>
        </is>
      </c>
      <c r="E1349" s="5" t="inlineStr">
        <is>
          <t>Master</t>
        </is>
      </c>
      <c r="F1349" s="5" t="inlineStr">
        <is>
          <t>Sales</t>
        </is>
      </c>
      <c r="G1349" s="5" t="inlineStr">
        <is>
          <t>Business Development</t>
        </is>
      </c>
      <c r="H1349" s="5" t="inlineStr">
        <is>
          <t>5</t>
        </is>
      </c>
      <c r="I1349" s="5" t="inlineStr">
        <is>
          <t>Delhi</t>
        </is>
      </c>
      <c r="J1349" s="5" t="inlineStr">
        <is>
          <t>Full-Time</t>
        </is>
      </c>
      <c r="K1349" s="7" t="n">
        <v>44590</v>
      </c>
      <c r="L1349" s="7" t="n">
        <v>44698</v>
      </c>
      <c r="M1349" s="5" t="inlineStr">
        <is>
          <t>No</t>
        </is>
      </c>
      <c r="N1349" s="5" t="inlineStr">
        <is>
          <t>Resigned</t>
        </is>
      </c>
      <c r="O1349" s="8" t="inlineStr">
        <is>
          <t>136000</t>
        </is>
      </c>
      <c r="P1349" s="5" t="inlineStr">
        <is>
          <t>10</t>
        </is>
      </c>
      <c r="Q1349" s="5" t="inlineStr">
        <is>
          <t>5</t>
        </is>
      </c>
      <c r="R1349" s="5" t="inlineStr">
        <is>
          <t>8</t>
        </is>
      </c>
      <c r="S1349" s="5" t="inlineStr">
        <is>
          <t>3</t>
        </is>
      </c>
      <c r="T1349" s="5" t="inlineStr">
        <is>
          <t>2</t>
        </is>
      </c>
      <c r="U1349" s="5" t="inlineStr">
        <is>
          <t>OK</t>
        </is>
      </c>
    </row>
    <row r="1350">
      <c r="A1350" s="5" t="inlineStr">
        <is>
          <t>E02671</t>
        </is>
      </c>
      <c r="B1350" s="5" t="inlineStr">
        <is>
          <t>Female</t>
        </is>
      </c>
      <c r="C1350" s="6" t="inlineStr">
        <is>
          <t>25</t>
        </is>
      </c>
      <c r="D1350" s="5" t="inlineStr">
        <is>
          <t>Single</t>
        </is>
      </c>
      <c r="E1350" s="5" t="inlineStr">
        <is>
          <t>PhD</t>
        </is>
      </c>
      <c r="F1350" s="5" t="inlineStr">
        <is>
          <t>Finance</t>
        </is>
      </c>
      <c r="G1350" s="5" t="inlineStr">
        <is>
          <t>Credit Analyst</t>
        </is>
      </c>
      <c r="H1350" s="5" t="inlineStr">
        <is>
          <t>1</t>
        </is>
      </c>
      <c r="I1350" s="5" t="inlineStr">
        <is>
          <t>Chennai</t>
        </is>
      </c>
      <c r="J1350" s="5" t="inlineStr">
        <is>
          <t>Full-Time</t>
        </is>
      </c>
      <c r="K1350" s="7" t="n">
        <v>44614</v>
      </c>
      <c r="L1350" s="7" t="n">
        <v>44732</v>
      </c>
      <c r="M1350" s="5" t="inlineStr">
        <is>
          <t>No</t>
        </is>
      </c>
      <c r="N1350" s="5" t="inlineStr">
        <is>
          <t>Resigned</t>
        </is>
      </c>
      <c r="O1350" s="8" t="inlineStr">
        <is>
          <t>110000</t>
        </is>
      </c>
      <c r="P1350" s="5" t="inlineStr">
        <is>
          <t>0</t>
        </is>
      </c>
      <c r="Q1350" s="5" t="inlineStr">
        <is>
          <t>4</t>
        </is>
      </c>
      <c r="R1350" s="5" t="inlineStr">
        <is>
          <t>5</t>
        </is>
      </c>
      <c r="S1350" s="5" t="inlineStr">
        <is>
          <t>3</t>
        </is>
      </c>
      <c r="T1350" s="5" t="inlineStr">
        <is>
          <t>8</t>
        </is>
      </c>
      <c r="U1350" s="5" t="inlineStr">
        <is>
          <t>OK</t>
        </is>
      </c>
    </row>
    <row r="1351">
      <c r="A1351" s="5" t="inlineStr">
        <is>
          <t>E00291</t>
        </is>
      </c>
      <c r="B1351" s="5" t="inlineStr">
        <is>
          <t>Female</t>
        </is>
      </c>
      <c r="C1351" s="6" t="inlineStr">
        <is>
          <t>36</t>
        </is>
      </c>
      <c r="D1351" s="5" t="inlineStr">
        <is>
          <t>Single</t>
        </is>
      </c>
      <c r="E1351" s="5" t="inlineStr">
        <is>
          <t>High School</t>
        </is>
      </c>
      <c r="F1351" s="5" t="inlineStr">
        <is>
          <t>Finance</t>
        </is>
      </c>
      <c r="G1351" s="5" t="inlineStr">
        <is>
          <t>Credit Analyst</t>
        </is>
      </c>
      <c r="H1351" s="5" t="inlineStr">
        <is>
          <t>4</t>
        </is>
      </c>
      <c r="I1351" s="5" t="inlineStr">
        <is>
          <t>Mumbai</t>
        </is>
      </c>
      <c r="J1351" s="5" t="inlineStr">
        <is>
          <t>Full-Time</t>
        </is>
      </c>
      <c r="K1351" s="7" t="n">
        <v>44858</v>
      </c>
      <c r="L1351" s="7" t="inlineStr"/>
      <c r="M1351" s="5" t="inlineStr">
        <is>
          <t>Yes</t>
        </is>
      </c>
      <c r="N1351" s="5" t="inlineStr"/>
      <c r="O1351" s="8" t="inlineStr">
        <is>
          <t>125500</t>
        </is>
      </c>
      <c r="P1351" s="5" t="inlineStr">
        <is>
          <t>0</t>
        </is>
      </c>
      <c r="Q1351" s="5" t="inlineStr">
        <is>
          <t>3</t>
        </is>
      </c>
      <c r="R1351" s="5" t="inlineStr">
        <is>
          <t>8</t>
        </is>
      </c>
      <c r="S1351" s="5" t="inlineStr">
        <is>
          <t>38</t>
        </is>
      </c>
      <c r="T1351" s="5" t="inlineStr">
        <is>
          <t>11</t>
        </is>
      </c>
      <c r="U1351" s="5" t="inlineStr">
        <is>
          <t>OK</t>
        </is>
      </c>
    </row>
    <row r="1352">
      <c r="A1352" s="5" t="inlineStr">
        <is>
          <t>E01891</t>
        </is>
      </c>
      <c r="B1352" s="5" t="inlineStr">
        <is>
          <t>Female</t>
        </is>
      </c>
      <c r="C1352" s="6" t="inlineStr">
        <is>
          <t>35</t>
        </is>
      </c>
      <c r="D1352" s="5" t="inlineStr">
        <is>
          <t>Divorced</t>
        </is>
      </c>
      <c r="E1352" s="5" t="inlineStr">
        <is>
          <t>High School</t>
        </is>
      </c>
      <c r="F1352" s="5" t="inlineStr">
        <is>
          <t>Research &amp; Development</t>
        </is>
      </c>
      <c r="G1352" s="5" t="inlineStr">
        <is>
          <t>Research Scientist</t>
        </is>
      </c>
      <c r="H1352" s="5" t="inlineStr">
        <is>
          <t>3</t>
        </is>
      </c>
      <c r="I1352" s="5" t="inlineStr">
        <is>
          <t>Remote</t>
        </is>
      </c>
      <c r="J1352" s="5" t="inlineStr">
        <is>
          <t>Full-Time</t>
        </is>
      </c>
      <c r="K1352" s="7" t="n">
        <v>45799</v>
      </c>
      <c r="L1352" s="7" t="inlineStr"/>
      <c r="M1352" s="5" t="inlineStr">
        <is>
          <t>Yes</t>
        </is>
      </c>
      <c r="N1352" s="5" t="inlineStr"/>
      <c r="O1352" s="8" t="inlineStr">
        <is>
          <t>154500</t>
        </is>
      </c>
      <c r="P1352" s="5" t="inlineStr">
        <is>
          <t>0</t>
        </is>
      </c>
      <c r="Q1352" s="5" t="inlineStr">
        <is>
          <t>4</t>
        </is>
      </c>
      <c r="R1352" s="5" t="inlineStr">
        <is>
          <t>6</t>
        </is>
      </c>
      <c r="S1352" s="5" t="inlineStr">
        <is>
          <t>7</t>
        </is>
      </c>
      <c r="T1352" s="5" t="inlineStr">
        <is>
          <t>17</t>
        </is>
      </c>
      <c r="U1352" s="5" t="inlineStr">
        <is>
          <t>OK</t>
        </is>
      </c>
    </row>
    <row r="1353">
      <c r="A1353" s="5" t="inlineStr">
        <is>
          <t>E01114</t>
        </is>
      </c>
      <c r="B1353" s="5" t="inlineStr">
        <is>
          <t>Female</t>
        </is>
      </c>
      <c r="C1353" s="6" t="inlineStr">
        <is>
          <t>38</t>
        </is>
      </c>
      <c r="D1353" s="5" t="inlineStr">
        <is>
          <t>Married</t>
        </is>
      </c>
      <c r="E1353" s="5" t="inlineStr">
        <is>
          <t>Master</t>
        </is>
      </c>
      <c r="F1353" s="5" t="inlineStr">
        <is>
          <t>Operations</t>
        </is>
      </c>
      <c r="G1353" s="5" t="inlineStr">
        <is>
          <t>Operations Analyst</t>
        </is>
      </c>
      <c r="H1353" s="5" t="inlineStr">
        <is>
          <t>3</t>
        </is>
      </c>
      <c r="I1353" s="5" t="inlineStr">
        <is>
          <t>Bengaluru</t>
        </is>
      </c>
      <c r="J1353" s="5" t="inlineStr">
        <is>
          <t>Full-Time</t>
        </is>
      </c>
      <c r="K1353" s="7" t="n">
        <v>44012</v>
      </c>
      <c r="L1353" s="7" t="inlineStr"/>
      <c r="M1353" s="5" t="inlineStr">
        <is>
          <t>Yes</t>
        </is>
      </c>
      <c r="N1353" s="5" t="inlineStr"/>
      <c r="O1353" s="8" t="inlineStr">
        <is>
          <t>85000</t>
        </is>
      </c>
      <c r="P1353" s="5" t="inlineStr">
        <is>
          <t>5</t>
        </is>
      </c>
      <c r="Q1353" s="5" t="inlineStr">
        <is>
          <t>3</t>
        </is>
      </c>
      <c r="R1353" s="5" t="inlineStr">
        <is>
          <t>6</t>
        </is>
      </c>
      <c r="S1353" s="5" t="inlineStr">
        <is>
          <t>67</t>
        </is>
      </c>
      <c r="T1353" s="5" t="inlineStr">
        <is>
          <t>2</t>
        </is>
      </c>
      <c r="U1353" s="5" t="inlineStr">
        <is>
          <t>OK</t>
        </is>
      </c>
    </row>
    <row r="1354">
      <c r="A1354" s="5" t="inlineStr">
        <is>
          <t>E02552</t>
        </is>
      </c>
      <c r="B1354" s="5" t="inlineStr">
        <is>
          <t>Female</t>
        </is>
      </c>
      <c r="C1354" s="6" t="inlineStr">
        <is>
          <t>28</t>
        </is>
      </c>
      <c r="D1354" s="5" t="inlineStr">
        <is>
          <t>Married</t>
        </is>
      </c>
      <c r="E1354" s="5" t="inlineStr">
        <is>
          <t>Diploma</t>
        </is>
      </c>
      <c r="F1354" s="5" t="inlineStr">
        <is>
          <t>Research &amp; Development</t>
        </is>
      </c>
      <c r="G1354" s="5" t="inlineStr">
        <is>
          <t>Product Engineer</t>
        </is>
      </c>
      <c r="H1354" s="5" t="inlineStr">
        <is>
          <t>2</t>
        </is>
      </c>
      <c r="I1354" s="5" t="inlineStr">
        <is>
          <t>Remote</t>
        </is>
      </c>
      <c r="J1354" s="5" t="inlineStr">
        <is>
          <t>Full-Time</t>
        </is>
      </c>
      <c r="K1354" s="7" t="n">
        <v>45492</v>
      </c>
      <c r="L1354" s="7" t="inlineStr"/>
      <c r="M1354" s="5" t="inlineStr">
        <is>
          <t>Yes</t>
        </is>
      </c>
      <c r="N1354" s="5" t="inlineStr"/>
      <c r="O1354" s="8" t="inlineStr">
        <is>
          <t>179000</t>
        </is>
      </c>
      <c r="P1354" s="5" t="inlineStr">
        <is>
          <t>0</t>
        </is>
      </c>
      <c r="Q1354" s="5" t="inlineStr">
        <is>
          <t>4</t>
        </is>
      </c>
      <c r="R1354" s="5" t="inlineStr">
        <is>
          <t>8</t>
        </is>
      </c>
      <c r="S1354" s="5" t="inlineStr">
        <is>
          <t>17</t>
        </is>
      </c>
      <c r="T1354" s="5" t="inlineStr">
        <is>
          <t>0</t>
        </is>
      </c>
      <c r="U1354" s="5" t="inlineStr">
        <is>
          <t>OK</t>
        </is>
      </c>
    </row>
    <row r="1355">
      <c r="A1355" s="5" t="inlineStr">
        <is>
          <t>E02562</t>
        </is>
      </c>
      <c r="B1355" s="5" t="inlineStr">
        <is>
          <t>male</t>
        </is>
      </c>
      <c r="C1355" s="6" t="inlineStr">
        <is>
          <t>35</t>
        </is>
      </c>
      <c r="D1355" s="5" t="inlineStr">
        <is>
          <t>Married</t>
        </is>
      </c>
      <c r="E1355" s="5" t="inlineStr">
        <is>
          <t>Bachelor</t>
        </is>
      </c>
      <c r="F1355" s="5" t="inlineStr">
        <is>
          <t>IT</t>
        </is>
      </c>
      <c r="G1355" s="5" t="inlineStr">
        <is>
          <t>Data Analyst</t>
        </is>
      </c>
      <c r="H1355" s="5" t="inlineStr">
        <is>
          <t>4</t>
        </is>
      </c>
      <c r="I1355" s="5" t="inlineStr">
        <is>
          <t>Hyderabad</t>
        </is>
      </c>
      <c r="J1355" s="5" t="inlineStr">
        <is>
          <t>Full-Time</t>
        </is>
      </c>
      <c r="K1355" s="7" t="n">
        <v>45614</v>
      </c>
      <c r="L1355" s="7" t="inlineStr"/>
      <c r="M1355" s="5" t="inlineStr">
        <is>
          <t>Yes</t>
        </is>
      </c>
      <c r="N1355" s="5" t="inlineStr"/>
      <c r="O1355" s="8" t="inlineStr"/>
      <c r="P1355" s="5" t="inlineStr">
        <is>
          <t>10</t>
        </is>
      </c>
      <c r="Q1355" s="5" t="inlineStr">
        <is>
          <t>4</t>
        </is>
      </c>
      <c r="R1355" s="5" t="inlineStr">
        <is>
          <t>9</t>
        </is>
      </c>
      <c r="S1355" s="5" t="inlineStr">
        <is>
          <t>13</t>
        </is>
      </c>
      <c r="T1355" s="5" t="inlineStr">
        <is>
          <t>8</t>
        </is>
      </c>
      <c r="U1355" s="5" t="inlineStr">
        <is>
          <t>Blank salary</t>
        </is>
      </c>
    </row>
    <row r="1356">
      <c r="A1356" s="5" t="inlineStr">
        <is>
          <t>E00404</t>
        </is>
      </c>
      <c r="B1356" s="5" t="inlineStr">
        <is>
          <t>Female</t>
        </is>
      </c>
      <c r="C1356" s="6" t="inlineStr">
        <is>
          <t>30</t>
        </is>
      </c>
      <c r="D1356" s="5" t="inlineStr">
        <is>
          <t>Married</t>
        </is>
      </c>
      <c r="E1356" s="5" t="inlineStr">
        <is>
          <t>Bachelor</t>
        </is>
      </c>
      <c r="F1356" s="5" t="inlineStr">
        <is>
          <t>Customer Support</t>
        </is>
      </c>
      <c r="G1356" s="5" t="inlineStr">
        <is>
          <t>Support Lead</t>
        </is>
      </c>
      <c r="H1356" s="5" t="inlineStr">
        <is>
          <t>3</t>
        </is>
      </c>
      <c r="I1356" s="5" t="inlineStr">
        <is>
          <t>Bengaluru</t>
        </is>
      </c>
      <c r="J1356" s="5" t="inlineStr">
        <is>
          <t>Full-Time</t>
        </is>
      </c>
      <c r="K1356" s="7" t="n">
        <v>45244</v>
      </c>
      <c r="L1356" s="7" t="inlineStr"/>
      <c r="M1356" s="5" t="inlineStr">
        <is>
          <t>Yes</t>
        </is>
      </c>
      <c r="N1356" s="5" t="inlineStr"/>
      <c r="O1356" s="8" t="inlineStr">
        <is>
          <t>67000</t>
        </is>
      </c>
      <c r="P1356" s="5" t="inlineStr">
        <is>
          <t>5</t>
        </is>
      </c>
      <c r="Q1356" s="5" t="inlineStr">
        <is>
          <t>3</t>
        </is>
      </c>
      <c r="R1356" s="5" t="inlineStr">
        <is>
          <t>6</t>
        </is>
      </c>
      <c r="S1356" s="5" t="inlineStr">
        <is>
          <t>25</t>
        </is>
      </c>
      <c r="T1356" s="5" t="inlineStr">
        <is>
          <t>0</t>
        </is>
      </c>
      <c r="U1356" s="5" t="inlineStr">
        <is>
          <t>OK</t>
        </is>
      </c>
    </row>
    <row r="1357">
      <c r="A1357" s="5" t="inlineStr">
        <is>
          <t>E01283</t>
        </is>
      </c>
      <c r="B1357" s="5" t="inlineStr">
        <is>
          <t>Female</t>
        </is>
      </c>
      <c r="C1357" s="6" t="inlineStr">
        <is>
          <t>28</t>
        </is>
      </c>
      <c r="D1357" s="5" t="inlineStr">
        <is>
          <t>Married</t>
        </is>
      </c>
      <c r="E1357" s="5" t="inlineStr">
        <is>
          <t>PhD</t>
        </is>
      </c>
      <c r="F1357" s="5" t="inlineStr">
        <is>
          <t>Finance</t>
        </is>
      </c>
      <c r="G1357" s="5" t="inlineStr">
        <is>
          <t>Financial Analyst</t>
        </is>
      </c>
      <c r="H1357" s="5" t="inlineStr">
        <is>
          <t>2</t>
        </is>
      </c>
      <c r="I1357" s="5" t="inlineStr">
        <is>
          <t>Chennai</t>
        </is>
      </c>
      <c r="J1357" s="5" t="inlineStr">
        <is>
          <t>Full-Time</t>
        </is>
      </c>
      <c r="K1357" s="7" t="n">
        <v>45679</v>
      </c>
      <c r="L1357" s="7" t="inlineStr"/>
      <c r="M1357" s="5" t="inlineStr">
        <is>
          <t>Yes</t>
        </is>
      </c>
      <c r="N1357" s="5" t="inlineStr"/>
      <c r="O1357" s="8" t="inlineStr">
        <is>
          <t>128500</t>
        </is>
      </c>
      <c r="P1357" s="5" t="inlineStr">
        <is>
          <t>5</t>
        </is>
      </c>
      <c r="Q1357" s="5" t="inlineStr">
        <is>
          <t>3</t>
        </is>
      </c>
      <c r="R1357" s="5" t="inlineStr">
        <is>
          <t>6</t>
        </is>
      </c>
      <c r="S1357" s="5" t="inlineStr">
        <is>
          <t>11</t>
        </is>
      </c>
      <c r="T1357" s="5" t="inlineStr">
        <is>
          <t>5</t>
        </is>
      </c>
      <c r="U1357" s="5" t="inlineStr">
        <is>
          <t>OK</t>
        </is>
      </c>
    </row>
    <row r="1358">
      <c r="A1358" s="5" t="inlineStr">
        <is>
          <t>E01795</t>
        </is>
      </c>
      <c r="B1358" s="5" t="inlineStr">
        <is>
          <t>Female</t>
        </is>
      </c>
      <c r="C1358" s="6" t="inlineStr">
        <is>
          <t>35</t>
        </is>
      </c>
      <c r="D1358" s="5" t="inlineStr">
        <is>
          <t>Married</t>
        </is>
      </c>
      <c r="E1358" s="5" t="inlineStr">
        <is>
          <t>Master</t>
        </is>
      </c>
      <c r="F1358" s="5" t="inlineStr">
        <is>
          <t>Research &amp; Development</t>
        </is>
      </c>
      <c r="G1358" s="5" t="inlineStr">
        <is>
          <t>Data Scientist</t>
        </is>
      </c>
      <c r="H1358" s="5" t="inlineStr">
        <is>
          <t>6</t>
        </is>
      </c>
      <c r="I1358" s="5" t="inlineStr">
        <is>
          <t>Chennai</t>
        </is>
      </c>
      <c r="J1358" s="5" t="inlineStr">
        <is>
          <t>Full-Time</t>
        </is>
      </c>
      <c r="K1358" s="7" t="n">
        <v>43987</v>
      </c>
      <c r="L1358" s="7" t="n">
        <v>44050</v>
      </c>
      <c r="M1358" s="5" t="inlineStr">
        <is>
          <t>No</t>
        </is>
      </c>
      <c r="N1358" s="5" t="inlineStr">
        <is>
          <t>Resigned</t>
        </is>
      </c>
      <c r="O1358" s="8" t="inlineStr">
        <is>
          <t>185000</t>
        </is>
      </c>
      <c r="P1358" s="5" t="inlineStr">
        <is>
          <t>0</t>
        </is>
      </c>
      <c r="Q1358" s="5" t="inlineStr">
        <is>
          <t>4</t>
        </is>
      </c>
      <c r="R1358" s="5" t="inlineStr">
        <is>
          <t>3</t>
        </is>
      </c>
      <c r="S1358" s="5" t="inlineStr">
        <is>
          <t>2</t>
        </is>
      </c>
      <c r="T1358" s="5" t="inlineStr">
        <is>
          <t>1</t>
        </is>
      </c>
      <c r="U1358" s="5" t="inlineStr">
        <is>
          <t>OK</t>
        </is>
      </c>
    </row>
    <row r="1359">
      <c r="A1359" s="5" t="inlineStr">
        <is>
          <t>E02230</t>
        </is>
      </c>
      <c r="B1359" s="5" t="inlineStr">
        <is>
          <t>Male</t>
        </is>
      </c>
      <c r="C1359" s="6" t="inlineStr">
        <is>
          <t>40</t>
        </is>
      </c>
      <c r="D1359" s="5" t="inlineStr">
        <is>
          <t>Single</t>
        </is>
      </c>
      <c r="E1359" s="5" t="inlineStr">
        <is>
          <t>Master</t>
        </is>
      </c>
      <c r="F1359" s="5" t="inlineStr">
        <is>
          <t>Customer Support</t>
        </is>
      </c>
      <c r="G1359" s="5" t="inlineStr">
        <is>
          <t>Support Agent</t>
        </is>
      </c>
      <c r="H1359" s="5" t="inlineStr">
        <is>
          <t>7</t>
        </is>
      </c>
      <c r="I1359" s="5" t="inlineStr">
        <is>
          <t>Delhi</t>
        </is>
      </c>
      <c r="J1359" s="5" t="inlineStr">
        <is>
          <t>Full-Time</t>
        </is>
      </c>
      <c r="K1359" s="7" t="n">
        <v>45827</v>
      </c>
      <c r="L1359" s="7" t="inlineStr"/>
      <c r="M1359" s="5" t="inlineStr">
        <is>
          <t>Yes</t>
        </is>
      </c>
      <c r="N1359" s="5" t="inlineStr"/>
      <c r="O1359" s="8" t="inlineStr">
        <is>
          <t>100000</t>
        </is>
      </c>
      <c r="P1359" s="5" t="inlineStr">
        <is>
          <t>10</t>
        </is>
      </c>
      <c r="Q1359" s="5" t="inlineStr">
        <is>
          <t>3</t>
        </is>
      </c>
      <c r="R1359" s="5" t="inlineStr">
        <is>
          <t>8</t>
        </is>
      </c>
      <c r="S1359" s="5" t="inlineStr">
        <is>
          <t>6</t>
        </is>
      </c>
      <c r="T1359" s="5" t="inlineStr">
        <is>
          <t>8</t>
        </is>
      </c>
      <c r="U1359" s="5" t="inlineStr">
        <is>
          <t>OK</t>
        </is>
      </c>
    </row>
    <row r="1360">
      <c r="A1360" s="5" t="inlineStr">
        <is>
          <t>E02547</t>
        </is>
      </c>
      <c r="B1360" s="5" t="inlineStr">
        <is>
          <t>Male</t>
        </is>
      </c>
      <c r="C1360" s="6" t="inlineStr">
        <is>
          <t>31</t>
        </is>
      </c>
      <c r="D1360" s="5" t="inlineStr">
        <is>
          <t>Divorced</t>
        </is>
      </c>
      <c r="E1360" s="5" t="inlineStr">
        <is>
          <t>PhD</t>
        </is>
      </c>
      <c r="F1360" s="5" t="inlineStr">
        <is>
          <t>Finance</t>
        </is>
      </c>
      <c r="G1360" s="5" t="inlineStr">
        <is>
          <t>Financial Analyst</t>
        </is>
      </c>
      <c r="H1360" s="5" t="inlineStr">
        <is>
          <t>1</t>
        </is>
      </c>
      <c r="I1360" s="5" t="inlineStr">
        <is>
          <t>Remote</t>
        </is>
      </c>
      <c r="J1360" s="5" t="inlineStr">
        <is>
          <t>Full-Time</t>
        </is>
      </c>
      <c r="K1360" s="7" t="n">
        <v>44777</v>
      </c>
      <c r="L1360" s="7" t="inlineStr"/>
      <c r="M1360" s="5" t="inlineStr">
        <is>
          <t>Yes</t>
        </is>
      </c>
      <c r="N1360" s="5" t="inlineStr"/>
      <c r="O1360" s="8" t="inlineStr">
        <is>
          <t>111000</t>
        </is>
      </c>
      <c r="P1360" s="5" t="inlineStr">
        <is>
          <t>0</t>
        </is>
      </c>
      <c r="Q1360" s="5" t="inlineStr">
        <is>
          <t>4</t>
        </is>
      </c>
      <c r="R1360" s="5" t="inlineStr">
        <is>
          <t>6</t>
        </is>
      </c>
      <c r="S1360" s="5" t="inlineStr">
        <is>
          <t>41</t>
        </is>
      </c>
      <c r="T1360" s="5" t="inlineStr">
        <is>
          <t>6</t>
        </is>
      </c>
      <c r="U1360" s="5" t="inlineStr">
        <is>
          <t>OK</t>
        </is>
      </c>
    </row>
    <row r="1361">
      <c r="A1361" s="5" t="inlineStr">
        <is>
          <t>E02874</t>
        </is>
      </c>
      <c r="B1361" s="5" t="inlineStr">
        <is>
          <t>Male</t>
        </is>
      </c>
      <c r="C1361" s="6" t="inlineStr">
        <is>
          <t>35</t>
        </is>
      </c>
      <c r="D1361" s="5" t="inlineStr">
        <is>
          <t>Married</t>
        </is>
      </c>
      <c r="E1361" s="5" t="inlineStr">
        <is>
          <t>PhD</t>
        </is>
      </c>
      <c r="F1361" s="5" t="inlineStr">
        <is>
          <t>Sales</t>
        </is>
      </c>
      <c r="G1361" s="5" t="inlineStr">
        <is>
          <t>Business Development</t>
        </is>
      </c>
      <c r="H1361" s="5" t="inlineStr">
        <is>
          <t>5</t>
        </is>
      </c>
      <c r="I1361" s="5" t="inlineStr">
        <is>
          <t>Hyderabad</t>
        </is>
      </c>
      <c r="J1361" s="5" t="inlineStr">
        <is>
          <t>Full-Time</t>
        </is>
      </c>
      <c r="K1361" s="7" t="n">
        <v>44294</v>
      </c>
      <c r="L1361" s="7" t="inlineStr"/>
      <c r="M1361" s="5" t="inlineStr">
        <is>
          <t>Yes</t>
        </is>
      </c>
      <c r="N1361" s="5" t="inlineStr"/>
      <c r="O1361" s="8" t="inlineStr">
        <is>
          <t>1500000</t>
        </is>
      </c>
      <c r="P1361" s="5" t="inlineStr">
        <is>
          <t>5</t>
        </is>
      </c>
      <c r="Q1361" s="5" t="inlineStr">
        <is>
          <t>4</t>
        </is>
      </c>
      <c r="R1361" s="5" t="inlineStr">
        <is>
          <t>8</t>
        </is>
      </c>
      <c r="S1361" s="5" t="inlineStr">
        <is>
          <t>57</t>
        </is>
      </c>
      <c r="T1361" s="5" t="inlineStr">
        <is>
          <t>7</t>
        </is>
      </c>
      <c r="U1361" s="5" t="inlineStr">
        <is>
          <t>Outlier salary</t>
        </is>
      </c>
    </row>
    <row r="1362">
      <c r="A1362" s="5" t="inlineStr">
        <is>
          <t>E00070</t>
        </is>
      </c>
      <c r="B1362" s="5" t="inlineStr">
        <is>
          <t>Male</t>
        </is>
      </c>
      <c r="C1362" s="6" t="inlineStr">
        <is>
          <t>32</t>
        </is>
      </c>
      <c r="D1362" s="5" t="inlineStr">
        <is>
          <t>Single</t>
        </is>
      </c>
      <c r="E1362" s="5" t="inlineStr">
        <is>
          <t>Master</t>
        </is>
      </c>
      <c r="F1362" s="5" t="inlineStr">
        <is>
          <t>Finance</t>
        </is>
      </c>
      <c r="G1362" s="5" t="inlineStr">
        <is>
          <t>Financial Analyst</t>
        </is>
      </c>
      <c r="H1362" s="5" t="inlineStr">
        <is>
          <t>1</t>
        </is>
      </c>
      <c r="I1362" s="5" t="inlineStr">
        <is>
          <t>Delhi</t>
        </is>
      </c>
      <c r="J1362" s="5" t="inlineStr">
        <is>
          <t>Full-Time</t>
        </is>
      </c>
      <c r="K1362" s="7" t="n">
        <v>43950</v>
      </c>
      <c r="L1362" s="7" t="inlineStr"/>
      <c r="M1362" s="5" t="inlineStr">
        <is>
          <t>Yes</t>
        </is>
      </c>
      <c r="N1362" s="5" t="inlineStr"/>
      <c r="O1362" s="8" t="inlineStr"/>
      <c r="P1362" s="5" t="inlineStr">
        <is>
          <t>5</t>
        </is>
      </c>
      <c r="Q1362" s="5" t="inlineStr">
        <is>
          <t>3</t>
        </is>
      </c>
      <c r="R1362" s="5" t="inlineStr">
        <is>
          <t>7</t>
        </is>
      </c>
      <c r="S1362" s="5" t="inlineStr">
        <is>
          <t>69</t>
        </is>
      </c>
      <c r="T1362" s="5" t="inlineStr">
        <is>
          <t>5</t>
        </is>
      </c>
      <c r="U1362" s="5" t="inlineStr">
        <is>
          <t>Blank salary</t>
        </is>
      </c>
    </row>
    <row r="1363">
      <c r="A1363" s="5" t="inlineStr">
        <is>
          <t>E01015</t>
        </is>
      </c>
      <c r="B1363" s="5" t="inlineStr">
        <is>
          <t>Female</t>
        </is>
      </c>
      <c r="C1363" s="6" t="inlineStr">
        <is>
          <t>35</t>
        </is>
      </c>
      <c r="D1363" s="5" t="inlineStr">
        <is>
          <t>Married</t>
        </is>
      </c>
      <c r="E1363" s="5" t="inlineStr">
        <is>
          <t>High School</t>
        </is>
      </c>
      <c r="F1363" s="5" t="inlineStr">
        <is>
          <t>Marketing</t>
        </is>
      </c>
      <c r="G1363" s="5" t="inlineStr">
        <is>
          <t>Content Writer</t>
        </is>
      </c>
      <c r="H1363" s="5" t="inlineStr">
        <is>
          <t>2</t>
        </is>
      </c>
      <c r="I1363" s="5" t="inlineStr">
        <is>
          <t>Bengaluru</t>
        </is>
      </c>
      <c r="J1363" s="5" t="inlineStr">
        <is>
          <t>Full-Time</t>
        </is>
      </c>
      <c r="K1363" s="7" t="n">
        <v>45420</v>
      </c>
      <c r="L1363" s="7" t="inlineStr"/>
      <c r="M1363" s="5" t="inlineStr">
        <is>
          <t>Yes</t>
        </is>
      </c>
      <c r="N1363" s="5" t="inlineStr"/>
      <c r="O1363" s="8" t="inlineStr">
        <is>
          <t>61000</t>
        </is>
      </c>
      <c r="P1363" s="5" t="inlineStr">
        <is>
          <t>0</t>
        </is>
      </c>
      <c r="Q1363" s="5" t="inlineStr">
        <is>
          <t>4</t>
        </is>
      </c>
      <c r="R1363" s="5" t="inlineStr">
        <is>
          <t>4</t>
        </is>
      </c>
      <c r="S1363" s="5" t="inlineStr">
        <is>
          <t>20</t>
        </is>
      </c>
      <c r="T1363" s="5" t="inlineStr">
        <is>
          <t>4</t>
        </is>
      </c>
      <c r="U1363" s="5" t="inlineStr">
        <is>
          <t>OK</t>
        </is>
      </c>
    </row>
    <row r="1364">
      <c r="A1364" s="5" t="inlineStr">
        <is>
          <t>E01479</t>
        </is>
      </c>
      <c r="B1364" s="5" t="inlineStr">
        <is>
          <t>Female</t>
        </is>
      </c>
      <c r="C1364" s="6" t="inlineStr">
        <is>
          <t>40</t>
        </is>
      </c>
      <c r="D1364" s="5" t="inlineStr">
        <is>
          <t>Single</t>
        </is>
      </c>
      <c r="E1364" s="5" t="inlineStr">
        <is>
          <t>Bachelor</t>
        </is>
      </c>
      <c r="F1364" s="5" t="inlineStr">
        <is>
          <t>Research &amp; Development</t>
        </is>
      </c>
      <c r="G1364" s="5" t="inlineStr">
        <is>
          <t>Data Scientist</t>
        </is>
      </c>
      <c r="H1364" s="5" t="inlineStr">
        <is>
          <t>6</t>
        </is>
      </c>
      <c r="I1364" s="5" t="inlineStr">
        <is>
          <t>Chennai</t>
        </is>
      </c>
      <c r="J1364" s="5" t="inlineStr">
        <is>
          <t>Full-Time</t>
        </is>
      </c>
      <c r="K1364" s="7" t="n">
        <v>44585</v>
      </c>
      <c r="L1364" s="7" t="inlineStr"/>
      <c r="M1364" s="5" t="inlineStr">
        <is>
          <t>Yes</t>
        </is>
      </c>
      <c r="N1364" s="5" t="inlineStr"/>
      <c r="O1364" s="8" t="inlineStr">
        <is>
          <t>269500</t>
        </is>
      </c>
      <c r="P1364" s="5" t="inlineStr">
        <is>
          <t>10</t>
        </is>
      </c>
      <c r="Q1364" s="5" t="inlineStr">
        <is>
          <t>3</t>
        </is>
      </c>
      <c r="R1364" s="5" t="inlineStr">
        <is>
          <t>5</t>
        </is>
      </c>
      <c r="S1364" s="5" t="inlineStr">
        <is>
          <t>47</t>
        </is>
      </c>
      <c r="T1364" s="5" t="inlineStr">
        <is>
          <t>7</t>
        </is>
      </c>
      <c r="U1364" s="5" t="inlineStr">
        <is>
          <t>OK</t>
        </is>
      </c>
    </row>
    <row r="1365">
      <c r="A1365" s="5" t="inlineStr">
        <is>
          <t>E00460</t>
        </is>
      </c>
      <c r="B1365" s="5" t="inlineStr">
        <is>
          <t>Male</t>
        </is>
      </c>
      <c r="C1365" s="6" t="inlineStr">
        <is>
          <t>33</t>
        </is>
      </c>
      <c r="D1365" s="5" t="inlineStr">
        <is>
          <t>Married</t>
        </is>
      </c>
      <c r="E1365" s="5" t="inlineStr">
        <is>
          <t>Master</t>
        </is>
      </c>
      <c r="F1365" s="5" t="inlineStr">
        <is>
          <t>Sales</t>
        </is>
      </c>
      <c r="G1365" s="5" t="inlineStr">
        <is>
          <t>Account Executive</t>
        </is>
      </c>
      <c r="H1365" s="5" t="inlineStr">
        <is>
          <t>5</t>
        </is>
      </c>
      <c r="I1365" s="5" t="inlineStr">
        <is>
          <t>Mumbai</t>
        </is>
      </c>
      <c r="J1365" s="5" t="inlineStr">
        <is>
          <t>Full-Time</t>
        </is>
      </c>
      <c r="K1365" s="7" t="n">
        <v>44793</v>
      </c>
      <c r="L1365" s="7" t="n">
        <v>44839</v>
      </c>
      <c r="M1365" s="5" t="inlineStr">
        <is>
          <t>No</t>
        </is>
      </c>
      <c r="N1365" s="5" t="inlineStr">
        <is>
          <t>Resigned</t>
        </is>
      </c>
      <c r="O1365" s="8" t="inlineStr">
        <is>
          <t>163500</t>
        </is>
      </c>
      <c r="P1365" s="5" t="inlineStr">
        <is>
          <t>0</t>
        </is>
      </c>
      <c r="Q1365" s="5" t="inlineStr">
        <is>
          <t>2</t>
        </is>
      </c>
      <c r="R1365" s="5" t="inlineStr">
        <is>
          <t>7</t>
        </is>
      </c>
      <c r="S1365" s="5" t="inlineStr">
        <is>
          <t>1</t>
        </is>
      </c>
      <c r="T1365" s="5" t="inlineStr">
        <is>
          <t>3</t>
        </is>
      </c>
      <c r="U1365" s="5" t="inlineStr">
        <is>
          <t>OK</t>
        </is>
      </c>
    </row>
    <row r="1366">
      <c r="A1366" s="5" t="inlineStr">
        <is>
          <t>E02876</t>
        </is>
      </c>
      <c r="B1366" s="5" t="inlineStr">
        <is>
          <t>Male</t>
        </is>
      </c>
      <c r="C1366" s="6" t="inlineStr">
        <is>
          <t>29</t>
        </is>
      </c>
      <c r="D1366" s="5" t="inlineStr">
        <is>
          <t>Married</t>
        </is>
      </c>
      <c r="E1366" s="5" t="inlineStr">
        <is>
          <t>Diploma</t>
        </is>
      </c>
      <c r="F1366" s="5" t="inlineStr">
        <is>
          <t>Operations</t>
        </is>
      </c>
      <c r="G1366" s="5" t="inlineStr">
        <is>
          <t>Logistics Coordinator</t>
        </is>
      </c>
      <c r="H1366" s="5" t="inlineStr">
        <is>
          <t>3</t>
        </is>
      </c>
      <c r="I1366" s="5" t="inlineStr">
        <is>
          <t>Delhi</t>
        </is>
      </c>
      <c r="J1366" s="5" t="inlineStr">
        <is>
          <t>Full-Time</t>
        </is>
      </c>
      <c r="K1366" s="7" t="n">
        <v>44980</v>
      </c>
      <c r="L1366" s="7" t="n">
        <v>45090</v>
      </c>
      <c r="M1366" s="5" t="inlineStr">
        <is>
          <t>No</t>
        </is>
      </c>
      <c r="N1366" s="5" t="inlineStr">
        <is>
          <t>Resigned</t>
        </is>
      </c>
      <c r="O1366" s="8" t="inlineStr">
        <is>
          <t>109000</t>
        </is>
      </c>
      <c r="P1366" s="5" t="inlineStr">
        <is>
          <t>0</t>
        </is>
      </c>
      <c r="Q1366" s="5" t="inlineStr">
        <is>
          <t>4</t>
        </is>
      </c>
      <c r="R1366" s="5" t="inlineStr">
        <is>
          <t>7</t>
        </is>
      </c>
      <c r="S1366" s="5" t="inlineStr">
        <is>
          <t>3</t>
        </is>
      </c>
      <c r="T1366" s="5" t="inlineStr">
        <is>
          <t>18</t>
        </is>
      </c>
      <c r="U1366" s="5" t="inlineStr">
        <is>
          <t>OK</t>
        </is>
      </c>
    </row>
    <row r="1367">
      <c r="A1367" s="5" t="inlineStr">
        <is>
          <t>E02545</t>
        </is>
      </c>
      <c r="B1367" s="5" t="inlineStr">
        <is>
          <t>Male</t>
        </is>
      </c>
      <c r="C1367" s="6" t="inlineStr">
        <is>
          <t>34</t>
        </is>
      </c>
      <c r="D1367" s="5" t="inlineStr">
        <is>
          <t>Married</t>
        </is>
      </c>
      <c r="E1367" s="5" t="inlineStr">
        <is>
          <t>Bachelor</t>
        </is>
      </c>
      <c r="F1367" s="5" t="inlineStr">
        <is>
          <t>Customer Support</t>
        </is>
      </c>
      <c r="G1367" s="5" t="inlineStr">
        <is>
          <t>Escalation Specialist</t>
        </is>
      </c>
      <c r="H1367" s="5" t="inlineStr">
        <is>
          <t>4</t>
        </is>
      </c>
      <c r="I1367" s="5" t="inlineStr">
        <is>
          <t>Mumbai</t>
        </is>
      </c>
      <c r="J1367" s="5" t="inlineStr">
        <is>
          <t>Full-Time</t>
        </is>
      </c>
      <c r="K1367" s="7" t="n">
        <v>45561</v>
      </c>
      <c r="L1367" s="7" t="n">
        <v>45641</v>
      </c>
      <c r="M1367" s="5" t="inlineStr">
        <is>
          <t>No</t>
        </is>
      </c>
      <c r="N1367" s="5" t="inlineStr">
        <is>
          <t>Resigned</t>
        </is>
      </c>
      <c r="O1367" s="8" t="inlineStr">
        <is>
          <t>89500</t>
        </is>
      </c>
      <c r="P1367" s="5" t="inlineStr">
        <is>
          <t>5</t>
        </is>
      </c>
      <c r="Q1367" s="5" t="inlineStr">
        <is>
          <t>5</t>
        </is>
      </c>
      <c r="R1367" s="5" t="inlineStr">
        <is>
          <t>7</t>
        </is>
      </c>
      <c r="S1367" s="5" t="inlineStr">
        <is>
          <t>2</t>
        </is>
      </c>
      <c r="T1367" s="5" t="inlineStr">
        <is>
          <t>7</t>
        </is>
      </c>
      <c r="U1367" s="5" t="inlineStr">
        <is>
          <t>OK</t>
        </is>
      </c>
    </row>
    <row r="1368">
      <c r="A1368" s="5" t="inlineStr">
        <is>
          <t>E01860</t>
        </is>
      </c>
      <c r="B1368" s="5" t="inlineStr">
        <is>
          <t>Male</t>
        </is>
      </c>
      <c r="C1368" s="6" t="inlineStr">
        <is>
          <t>37</t>
        </is>
      </c>
      <c r="D1368" s="5" t="inlineStr">
        <is>
          <t>Married</t>
        </is>
      </c>
      <c r="E1368" s="5" t="inlineStr">
        <is>
          <t>PhD</t>
        </is>
      </c>
      <c r="F1368" s="5" t="inlineStr">
        <is>
          <t>Marketing</t>
        </is>
      </c>
      <c r="G1368" s="5" t="inlineStr">
        <is>
          <t>SEO Specialist</t>
        </is>
      </c>
      <c r="H1368" s="5" t="inlineStr">
        <is>
          <t>3</t>
        </is>
      </c>
      <c r="I1368" s="5" t="inlineStr">
        <is>
          <t>Mumbai</t>
        </is>
      </c>
      <c r="J1368" s="5" t="inlineStr">
        <is>
          <t>Full-Time</t>
        </is>
      </c>
      <c r="K1368" s="7" t="n">
        <v>44785</v>
      </c>
      <c r="L1368" s="7" t="inlineStr"/>
      <c r="M1368" s="5" t="inlineStr">
        <is>
          <t>Yes</t>
        </is>
      </c>
      <c r="N1368" s="5" t="inlineStr"/>
      <c r="O1368" s="8" t="inlineStr">
        <is>
          <t>84500</t>
        </is>
      </c>
      <c r="P1368" s="5" t="inlineStr">
        <is>
          <t>0</t>
        </is>
      </c>
      <c r="Q1368" s="5" t="inlineStr">
        <is>
          <t>4</t>
        </is>
      </c>
      <c r="R1368" s="5" t="inlineStr">
        <is>
          <t>6</t>
        </is>
      </c>
      <c r="S1368" s="5" t="inlineStr">
        <is>
          <t>41</t>
        </is>
      </c>
      <c r="T1368" s="5" t="inlineStr">
        <is>
          <t>5</t>
        </is>
      </c>
      <c r="U1368" s="5" t="inlineStr">
        <is>
          <t>OK</t>
        </is>
      </c>
    </row>
    <row r="1369">
      <c r="A1369" s="5" t="inlineStr">
        <is>
          <t>E02342</t>
        </is>
      </c>
      <c r="B1369" s="5" t="inlineStr">
        <is>
          <t>Female</t>
        </is>
      </c>
      <c r="C1369" s="6" t="inlineStr">
        <is>
          <t>25</t>
        </is>
      </c>
      <c r="D1369" s="5" t="inlineStr">
        <is>
          <t>Married</t>
        </is>
      </c>
      <c r="E1369" s="5" t="inlineStr">
        <is>
          <t>Master</t>
        </is>
      </c>
      <c r="F1369" s="5" t="inlineStr">
        <is>
          <t>Customer Support</t>
        </is>
      </c>
      <c r="G1369" s="5" t="inlineStr">
        <is>
          <t>Escalation Specialist</t>
        </is>
      </c>
      <c r="H1369" s="5" t="inlineStr">
        <is>
          <t>1</t>
        </is>
      </c>
      <c r="I1369" s="5" t="inlineStr">
        <is>
          <t>Mumbai</t>
        </is>
      </c>
      <c r="J1369" s="5" t="inlineStr">
        <is>
          <t>Full-Time</t>
        </is>
      </c>
      <c r="K1369" s="7" t="n">
        <v>45870</v>
      </c>
      <c r="L1369" s="7" t="inlineStr"/>
      <c r="M1369" s="5" t="inlineStr">
        <is>
          <t>Yes</t>
        </is>
      </c>
      <c r="N1369" s="5" t="inlineStr"/>
      <c r="O1369" s="8" t="inlineStr">
        <is>
          <t>50000</t>
        </is>
      </c>
      <c r="P1369" s="5" t="inlineStr">
        <is>
          <t>5</t>
        </is>
      </c>
      <c r="Q1369" s="5" t="inlineStr">
        <is>
          <t>3</t>
        </is>
      </c>
      <c r="R1369" s="5" t="inlineStr">
        <is>
          <t>8</t>
        </is>
      </c>
      <c r="S1369" s="5" t="inlineStr">
        <is>
          <t>5</t>
        </is>
      </c>
      <c r="T1369" s="5" t="inlineStr">
        <is>
          <t>7</t>
        </is>
      </c>
      <c r="U1369" s="5" t="inlineStr">
        <is>
          <t>OK</t>
        </is>
      </c>
    </row>
    <row r="1370">
      <c r="A1370" s="5" t="inlineStr">
        <is>
          <t>E01055</t>
        </is>
      </c>
      <c r="B1370" s="5" t="inlineStr">
        <is>
          <t>Male</t>
        </is>
      </c>
      <c r="C1370" s="6" t="inlineStr">
        <is>
          <t>43</t>
        </is>
      </c>
      <c r="D1370" s="5" t="inlineStr">
        <is>
          <t>Single</t>
        </is>
      </c>
      <c r="E1370" s="5" t="inlineStr">
        <is>
          <t>Bachelor</t>
        </is>
      </c>
      <c r="F1370" s="5" t="inlineStr">
        <is>
          <t>Sales</t>
        </is>
      </c>
      <c r="G1370" s="5" t="inlineStr">
        <is>
          <t>Account Executive</t>
        </is>
      </c>
      <c r="H1370" s="5" t="inlineStr">
        <is>
          <t>6</t>
        </is>
      </c>
      <c r="I1370" s="5" t="inlineStr">
        <is>
          <t>Delhi</t>
        </is>
      </c>
      <c r="J1370" s="5" t="inlineStr">
        <is>
          <t>Full-Time</t>
        </is>
      </c>
      <c r="K1370" s="7" t="n">
        <v>45264</v>
      </c>
      <c r="L1370" s="7" t="inlineStr"/>
      <c r="M1370" s="5" t="inlineStr">
        <is>
          <t>Yes</t>
        </is>
      </c>
      <c r="N1370" s="5" t="inlineStr"/>
      <c r="O1370" s="8" t="inlineStr">
        <is>
          <t>141500</t>
        </is>
      </c>
      <c r="P1370" s="5" t="inlineStr">
        <is>
          <t>0</t>
        </is>
      </c>
      <c r="Q1370" s="5" t="inlineStr">
        <is>
          <t>4</t>
        </is>
      </c>
      <c r="R1370" s="5" t="inlineStr">
        <is>
          <t>6</t>
        </is>
      </c>
      <c r="S1370" s="5" t="inlineStr">
        <is>
          <t>25</t>
        </is>
      </c>
      <c r="T1370" s="5" t="inlineStr">
        <is>
          <t>0</t>
        </is>
      </c>
      <c r="U1370" s="5" t="inlineStr">
        <is>
          <t>OK</t>
        </is>
      </c>
    </row>
    <row r="1371">
      <c r="A1371" s="5" t="inlineStr">
        <is>
          <t>E01278</t>
        </is>
      </c>
      <c r="B1371" s="5" t="inlineStr">
        <is>
          <t>Male</t>
        </is>
      </c>
      <c r="C1371" s="6" t="inlineStr">
        <is>
          <t>24</t>
        </is>
      </c>
      <c r="D1371" s="5" t="inlineStr">
        <is>
          <t>Married</t>
        </is>
      </c>
      <c r="E1371" s="5" t="inlineStr">
        <is>
          <t>Diploma</t>
        </is>
      </c>
      <c r="F1371" s="5" t="inlineStr">
        <is>
          <t>Sales</t>
        </is>
      </c>
      <c r="G1371" s="5" t="inlineStr">
        <is>
          <t>Account Executive</t>
        </is>
      </c>
      <c r="H1371" s="5" t="inlineStr">
        <is>
          <t>1</t>
        </is>
      </c>
      <c r="I1371" s="5" t="inlineStr">
        <is>
          <t>Remote</t>
        </is>
      </c>
      <c r="J1371" s="5" t="inlineStr">
        <is>
          <t>Full-Time</t>
        </is>
      </c>
      <c r="K1371" s="7" t="n">
        <v>45470</v>
      </c>
      <c r="L1371" s="7" t="inlineStr"/>
      <c r="M1371" s="5" t="inlineStr">
        <is>
          <t>Yes</t>
        </is>
      </c>
      <c r="N1371" s="5" t="inlineStr"/>
      <c r="O1371" s="8" t="inlineStr">
        <is>
          <t>61500</t>
        </is>
      </c>
      <c r="P1371" s="5" t="inlineStr">
        <is>
          <t>10</t>
        </is>
      </c>
      <c r="Q1371" s="5" t="inlineStr">
        <is>
          <t>3</t>
        </is>
      </c>
      <c r="R1371" s="5" t="inlineStr">
        <is>
          <t>3</t>
        </is>
      </c>
      <c r="S1371" s="5" t="inlineStr">
        <is>
          <t>18</t>
        </is>
      </c>
      <c r="T1371" s="5" t="inlineStr">
        <is>
          <t>1</t>
        </is>
      </c>
      <c r="U1371" s="5" t="inlineStr">
        <is>
          <t>OK</t>
        </is>
      </c>
    </row>
    <row r="1372">
      <c r="A1372" s="5" t="inlineStr">
        <is>
          <t>E02133</t>
        </is>
      </c>
      <c r="B1372" s="5" t="inlineStr">
        <is>
          <t>Female</t>
        </is>
      </c>
      <c r="C1372" s="6" t="inlineStr">
        <is>
          <t>34</t>
        </is>
      </c>
      <c r="D1372" s="5" t="inlineStr">
        <is>
          <t>Single</t>
        </is>
      </c>
      <c r="E1372" s="5" t="inlineStr">
        <is>
          <t>Bachelor</t>
        </is>
      </c>
      <c r="F1372" s="5" t="inlineStr"/>
      <c r="G1372" s="5" t="inlineStr">
        <is>
          <t>Sales Executive</t>
        </is>
      </c>
      <c r="H1372" s="5" t="inlineStr">
        <is>
          <t>4</t>
        </is>
      </c>
      <c r="I1372" s="5" t="inlineStr">
        <is>
          <t>Remote</t>
        </is>
      </c>
      <c r="J1372" s="5" t="inlineStr">
        <is>
          <t>Part-Time</t>
        </is>
      </c>
      <c r="K1372" s="7" t="n">
        <v>44576</v>
      </c>
      <c r="L1372" s="7" t="inlineStr"/>
      <c r="M1372" s="5" t="inlineStr">
        <is>
          <t>Yes</t>
        </is>
      </c>
      <c r="N1372" s="5" t="inlineStr"/>
      <c r="O1372" s="8" t="inlineStr">
        <is>
          <t>94500</t>
        </is>
      </c>
      <c r="P1372" s="5" t="inlineStr">
        <is>
          <t>5</t>
        </is>
      </c>
      <c r="Q1372" s="5" t="inlineStr">
        <is>
          <t>3</t>
        </is>
      </c>
      <c r="R1372" s="5" t="inlineStr">
        <is>
          <t>8</t>
        </is>
      </c>
      <c r="S1372" s="5" t="inlineStr">
        <is>
          <t>48</t>
        </is>
      </c>
      <c r="T1372" s="5" t="inlineStr">
        <is>
          <t>13</t>
        </is>
      </c>
      <c r="U1372" s="5" t="inlineStr">
        <is>
          <t>Blank department</t>
        </is>
      </c>
    </row>
    <row r="1373">
      <c r="A1373" s="5" t="inlineStr">
        <is>
          <t>E02648</t>
        </is>
      </c>
      <c r="B1373" s="5" t="inlineStr">
        <is>
          <t>Female</t>
        </is>
      </c>
      <c r="C1373" s="6" t="inlineStr">
        <is>
          <t>32</t>
        </is>
      </c>
      <c r="D1373" s="5" t="inlineStr">
        <is>
          <t>Married</t>
        </is>
      </c>
      <c r="E1373" s="5" t="inlineStr">
        <is>
          <t>Diploma</t>
        </is>
      </c>
      <c r="F1373" s="5" t="inlineStr">
        <is>
          <t>IT</t>
        </is>
      </c>
      <c r="G1373" s="5" t="inlineStr">
        <is>
          <t>Software Engineer</t>
        </is>
      </c>
      <c r="H1373" s="5" t="inlineStr">
        <is>
          <t>2</t>
        </is>
      </c>
      <c r="I1373" s="5" t="inlineStr">
        <is>
          <t>Mumbai</t>
        </is>
      </c>
      <c r="J1373" s="5" t="inlineStr">
        <is>
          <t>Full-Time</t>
        </is>
      </c>
      <c r="K1373" s="7" t="n">
        <v>45280</v>
      </c>
      <c r="L1373" s="7" t="inlineStr"/>
      <c r="M1373" s="5" t="inlineStr">
        <is>
          <t>Yes</t>
        </is>
      </c>
      <c r="N1373" s="5" t="inlineStr"/>
      <c r="O1373" s="8" t="inlineStr">
        <is>
          <t>132000</t>
        </is>
      </c>
      <c r="P1373" s="5" t="inlineStr">
        <is>
          <t>15</t>
        </is>
      </c>
      <c r="Q1373" s="5" t="inlineStr">
        <is>
          <t>4</t>
        </is>
      </c>
      <c r="R1373" s="5" t="inlineStr">
        <is>
          <t>7</t>
        </is>
      </c>
      <c r="S1373" s="5" t="inlineStr">
        <is>
          <t>24</t>
        </is>
      </c>
      <c r="T1373" s="5" t="inlineStr">
        <is>
          <t>7</t>
        </is>
      </c>
      <c r="U1373" s="5" t="inlineStr">
        <is>
          <t>OK</t>
        </is>
      </c>
    </row>
    <row r="1374">
      <c r="A1374" s="5" t="inlineStr">
        <is>
          <t>E02098</t>
        </is>
      </c>
      <c r="B1374" s="5" t="inlineStr">
        <is>
          <t>Unknown</t>
        </is>
      </c>
      <c r="C1374" s="6" t="inlineStr">
        <is>
          <t>26</t>
        </is>
      </c>
      <c r="D1374" s="5" t="inlineStr">
        <is>
          <t>Married</t>
        </is>
      </c>
      <c r="E1374" s="5" t="inlineStr">
        <is>
          <t>High School</t>
        </is>
      </c>
      <c r="F1374" s="5" t="inlineStr">
        <is>
          <t>Marketing</t>
        </is>
      </c>
      <c r="G1374" s="5" t="inlineStr">
        <is>
          <t>Content Writer</t>
        </is>
      </c>
      <c r="H1374" s="5" t="inlineStr">
        <is>
          <t>2</t>
        </is>
      </c>
      <c r="I1374" s="5" t="inlineStr">
        <is>
          <t>Mumbai</t>
        </is>
      </c>
      <c r="J1374" s="5" t="inlineStr">
        <is>
          <t>Part-Time</t>
        </is>
      </c>
      <c r="K1374" s="7" t="n">
        <v>45785</v>
      </c>
      <c r="L1374" s="7" t="inlineStr"/>
      <c r="M1374" s="5" t="inlineStr">
        <is>
          <t>Yes</t>
        </is>
      </c>
      <c r="N1374" s="5" t="inlineStr"/>
      <c r="O1374" s="8" t="inlineStr">
        <is>
          <t>87500</t>
        </is>
      </c>
      <c r="P1374" s="5" t="inlineStr">
        <is>
          <t>5</t>
        </is>
      </c>
      <c r="Q1374" s="5" t="inlineStr">
        <is>
          <t>5</t>
        </is>
      </c>
      <c r="R1374" s="5" t="inlineStr">
        <is>
          <t>6</t>
        </is>
      </c>
      <c r="S1374" s="5" t="inlineStr">
        <is>
          <t>7</t>
        </is>
      </c>
      <c r="T1374" s="5" t="inlineStr">
        <is>
          <t>10</t>
        </is>
      </c>
      <c r="U1374" s="5" t="inlineStr">
        <is>
          <t>Bad gender</t>
        </is>
      </c>
    </row>
    <row r="1375">
      <c r="A1375" s="5" t="inlineStr">
        <is>
          <t>E02194</t>
        </is>
      </c>
      <c r="B1375" s="5" t="inlineStr">
        <is>
          <t>Male</t>
        </is>
      </c>
      <c r="C1375" s="6" t="inlineStr">
        <is>
          <t>25</t>
        </is>
      </c>
      <c r="D1375" s="5" t="inlineStr">
        <is>
          <t>Married</t>
        </is>
      </c>
      <c r="E1375" s="5" t="inlineStr">
        <is>
          <t>PhD</t>
        </is>
      </c>
      <c r="F1375" s="5" t="inlineStr">
        <is>
          <t>Customer Support</t>
        </is>
      </c>
      <c r="G1375" s="5" t="inlineStr">
        <is>
          <t>Escalation Specialist</t>
        </is>
      </c>
      <c r="H1375" s="5" t="inlineStr">
        <is>
          <t>2</t>
        </is>
      </c>
      <c r="I1375" s="5" t="inlineStr">
        <is>
          <t>Hyderabad</t>
        </is>
      </c>
      <c r="J1375" s="5" t="inlineStr">
        <is>
          <t>Full-Time</t>
        </is>
      </c>
      <c r="K1375" s="7" t="n">
        <v>44663</v>
      </c>
      <c r="L1375" s="7" t="inlineStr"/>
      <c r="M1375" s="5" t="inlineStr">
        <is>
          <t>Yes</t>
        </is>
      </c>
      <c r="N1375" s="5" t="inlineStr"/>
      <c r="O1375" s="8" t="inlineStr">
        <is>
          <t>81500</t>
        </is>
      </c>
      <c r="P1375" s="5" t="inlineStr">
        <is>
          <t>10</t>
        </is>
      </c>
      <c r="Q1375" s="5" t="inlineStr">
        <is>
          <t>5</t>
        </is>
      </c>
      <c r="R1375" s="5" t="inlineStr">
        <is>
          <t>8</t>
        </is>
      </c>
      <c r="S1375" s="5" t="inlineStr">
        <is>
          <t>45</t>
        </is>
      </c>
      <c r="T1375" s="5" t="inlineStr">
        <is>
          <t>10</t>
        </is>
      </c>
      <c r="U1375" s="5" t="inlineStr">
        <is>
          <t>OK</t>
        </is>
      </c>
    </row>
    <row r="1376">
      <c r="A1376" s="5" t="inlineStr">
        <is>
          <t>E02138</t>
        </is>
      </c>
      <c r="B1376" s="5" t="inlineStr">
        <is>
          <t>Male</t>
        </is>
      </c>
      <c r="C1376" s="6" t="inlineStr">
        <is>
          <t>38</t>
        </is>
      </c>
      <c r="D1376" s="5" t="inlineStr">
        <is>
          <t>Single</t>
        </is>
      </c>
      <c r="E1376" s="5" t="inlineStr">
        <is>
          <t>PhD</t>
        </is>
      </c>
      <c r="F1376" s="5" t="inlineStr">
        <is>
          <t>Sales</t>
        </is>
      </c>
      <c r="G1376" s="5" t="inlineStr">
        <is>
          <t>Account Executive</t>
        </is>
      </c>
      <c r="H1376" s="5" t="inlineStr">
        <is>
          <t>3</t>
        </is>
      </c>
      <c r="I1376" s="5" t="inlineStr">
        <is>
          <t>Remote</t>
        </is>
      </c>
      <c r="J1376" s="5" t="inlineStr">
        <is>
          <t>Full-Time</t>
        </is>
      </c>
      <c r="K1376" s="7" t="n">
        <v>44027</v>
      </c>
      <c r="L1376" s="7" t="inlineStr"/>
      <c r="M1376" s="5" t="inlineStr">
        <is>
          <t>Yes</t>
        </is>
      </c>
      <c r="N1376" s="5" t="inlineStr"/>
      <c r="O1376" s="8" t="inlineStr">
        <is>
          <t>107500</t>
        </is>
      </c>
      <c r="P1376" s="5" t="inlineStr">
        <is>
          <t>0</t>
        </is>
      </c>
      <c r="Q1376" s="5" t="inlineStr">
        <is>
          <t>4</t>
        </is>
      </c>
      <c r="R1376" s="5" t="inlineStr">
        <is>
          <t>5</t>
        </is>
      </c>
      <c r="S1376" s="5" t="inlineStr">
        <is>
          <t>66</t>
        </is>
      </c>
      <c r="T1376" s="5" t="inlineStr">
        <is>
          <t>9</t>
        </is>
      </c>
      <c r="U1376" s="5" t="inlineStr">
        <is>
          <t>OK</t>
        </is>
      </c>
    </row>
    <row r="1377">
      <c r="A1377" s="5" t="inlineStr">
        <is>
          <t>E01762</t>
        </is>
      </c>
      <c r="B1377" s="5" t="inlineStr">
        <is>
          <t>Male</t>
        </is>
      </c>
      <c r="C1377" s="6" t="inlineStr">
        <is>
          <t>35</t>
        </is>
      </c>
      <c r="D1377" s="5" t="inlineStr">
        <is>
          <t>Married</t>
        </is>
      </c>
      <c r="E1377" s="5" t="inlineStr">
        <is>
          <t>Diploma</t>
        </is>
      </c>
      <c r="F1377" s="5" t="inlineStr">
        <is>
          <t>Finance</t>
        </is>
      </c>
      <c r="G1377" s="5" t="inlineStr">
        <is>
          <t>Accountant</t>
        </is>
      </c>
      <c r="H1377" s="5" t="inlineStr">
        <is>
          <t>5</t>
        </is>
      </c>
      <c r="I1377" s="5" t="inlineStr">
        <is>
          <t>Bengaluru</t>
        </is>
      </c>
      <c r="J1377" s="5" t="inlineStr">
        <is>
          <t>Full-Time</t>
        </is>
      </c>
      <c r="K1377" s="7" t="n">
        <v>44094</v>
      </c>
      <c r="L1377" s="7" t="inlineStr"/>
      <c r="M1377" s="5" t="inlineStr">
        <is>
          <t>Yes</t>
        </is>
      </c>
      <c r="N1377" s="5" t="inlineStr"/>
      <c r="O1377" s="8" t="inlineStr">
        <is>
          <t>155000</t>
        </is>
      </c>
      <c r="P1377" s="5" t="inlineStr">
        <is>
          <t>0</t>
        </is>
      </c>
      <c r="Q1377" s="5" t="inlineStr">
        <is>
          <t>4</t>
        </is>
      </c>
      <c r="R1377" s="5" t="inlineStr">
        <is>
          <t>10</t>
        </is>
      </c>
      <c r="S1377" s="5" t="inlineStr">
        <is>
          <t>64</t>
        </is>
      </c>
      <c r="T1377" s="5" t="inlineStr">
        <is>
          <t>13</t>
        </is>
      </c>
      <c r="U1377" s="5" t="inlineStr">
        <is>
          <t>OK</t>
        </is>
      </c>
    </row>
    <row r="1378">
      <c r="A1378" s="5" t="inlineStr">
        <is>
          <t>E01085</t>
        </is>
      </c>
      <c r="B1378" s="5" t="inlineStr">
        <is>
          <t>Female</t>
        </is>
      </c>
      <c r="C1378" s="6" t="inlineStr">
        <is>
          <t>33</t>
        </is>
      </c>
      <c r="D1378" s="5" t="inlineStr">
        <is>
          <t>Single</t>
        </is>
      </c>
      <c r="E1378" s="5" t="inlineStr">
        <is>
          <t>Diploma</t>
        </is>
      </c>
      <c r="F1378" s="5" t="inlineStr">
        <is>
          <t>Finance</t>
        </is>
      </c>
      <c r="G1378" s="5" t="inlineStr">
        <is>
          <t>Credit Analyst</t>
        </is>
      </c>
      <c r="H1378" s="5" t="inlineStr">
        <is>
          <t>2</t>
        </is>
      </c>
      <c r="I1378" s="5" t="inlineStr">
        <is>
          <t>Delhi</t>
        </is>
      </c>
      <c r="J1378" s="5" t="inlineStr">
        <is>
          <t>Full-Time</t>
        </is>
      </c>
      <c r="K1378" s="7" t="n">
        <v>45772</v>
      </c>
      <c r="L1378" s="7" t="n">
        <v>45830</v>
      </c>
      <c r="M1378" s="5" t="inlineStr">
        <is>
          <t>No</t>
        </is>
      </c>
      <c r="N1378" s="5" t="inlineStr">
        <is>
          <t>Retirement</t>
        </is>
      </c>
      <c r="O1378" s="8" t="inlineStr">
        <is>
          <t>98500</t>
        </is>
      </c>
      <c r="P1378" s="5" t="inlineStr">
        <is>
          <t>0</t>
        </is>
      </c>
      <c r="Q1378" s="5" t="inlineStr">
        <is>
          <t>4</t>
        </is>
      </c>
      <c r="R1378" s="5" t="inlineStr">
        <is>
          <t>4</t>
        </is>
      </c>
      <c r="S1378" s="5" t="inlineStr">
        <is>
          <t>1</t>
        </is>
      </c>
      <c r="T1378" s="5" t="inlineStr">
        <is>
          <t>0</t>
        </is>
      </c>
      <c r="U1378" s="5" t="inlineStr">
        <is>
          <t>OK</t>
        </is>
      </c>
    </row>
    <row r="1379">
      <c r="A1379" s="5" t="inlineStr">
        <is>
          <t>E02150</t>
        </is>
      </c>
      <c r="B1379" s="5" t="inlineStr">
        <is>
          <t>Female</t>
        </is>
      </c>
      <c r="C1379" s="6" t="inlineStr">
        <is>
          <t>31</t>
        </is>
      </c>
      <c r="D1379" s="5" t="inlineStr">
        <is>
          <t>Single</t>
        </is>
      </c>
      <c r="E1379" s="5" t="inlineStr">
        <is>
          <t>PhD</t>
        </is>
      </c>
      <c r="F1379" s="5" t="inlineStr">
        <is>
          <t>Executive</t>
        </is>
      </c>
      <c r="G1379" s="5" t="inlineStr">
        <is>
          <t>COO</t>
        </is>
      </c>
      <c r="H1379" s="5" t="inlineStr">
        <is>
          <t>1</t>
        </is>
      </c>
      <c r="I1379" s="5" t="inlineStr">
        <is>
          <t>Chennai</t>
        </is>
      </c>
      <c r="J1379" s="5" t="inlineStr">
        <is>
          <t>Full-Time</t>
        </is>
      </c>
      <c r="K1379" s="7" t="n">
        <v>44573</v>
      </c>
      <c r="L1379" s="7" t="n">
        <v>44705</v>
      </c>
      <c r="M1379" s="5" t="inlineStr">
        <is>
          <t>No</t>
        </is>
      </c>
      <c r="N1379" s="5" t="inlineStr">
        <is>
          <t>Resigned</t>
        </is>
      </c>
      <c r="O1379" s="8" t="inlineStr">
        <is>
          <t>198500</t>
        </is>
      </c>
      <c r="P1379" s="5" t="inlineStr">
        <is>
          <t>0</t>
        </is>
      </c>
      <c r="Q1379" s="5" t="inlineStr">
        <is>
          <t>4</t>
        </is>
      </c>
      <c r="R1379" s="5" t="inlineStr">
        <is>
          <t>4</t>
        </is>
      </c>
      <c r="S1379" s="5" t="inlineStr">
        <is>
          <t>4</t>
        </is>
      </c>
      <c r="T1379" s="5" t="inlineStr">
        <is>
          <t>9</t>
        </is>
      </c>
      <c r="U1379" s="5" t="inlineStr">
        <is>
          <t>OK</t>
        </is>
      </c>
    </row>
    <row r="1380">
      <c r="A1380" s="5" t="inlineStr">
        <is>
          <t>E00743</t>
        </is>
      </c>
      <c r="B1380" s="5" t="inlineStr">
        <is>
          <t>Unknown</t>
        </is>
      </c>
      <c r="C1380" s="6" t="inlineStr">
        <is>
          <t>31</t>
        </is>
      </c>
      <c r="D1380" s="5" t="inlineStr">
        <is>
          <t>Married</t>
        </is>
      </c>
      <c r="E1380" s="5" t="inlineStr">
        <is>
          <t>High School</t>
        </is>
      </c>
      <c r="F1380" s="5" t="inlineStr">
        <is>
          <t>IT</t>
        </is>
      </c>
      <c r="G1380" s="5" t="inlineStr">
        <is>
          <t>IT Support</t>
        </is>
      </c>
      <c r="H1380" s="5" t="inlineStr">
        <is>
          <t>3</t>
        </is>
      </c>
      <c r="I1380" s="5" t="inlineStr">
        <is>
          <t>Mumbai</t>
        </is>
      </c>
      <c r="J1380" s="5" t="inlineStr">
        <is>
          <t>Full-Time</t>
        </is>
      </c>
      <c r="K1380" s="7" t="n">
        <v>44941</v>
      </c>
      <c r="L1380" s="7" t="inlineStr"/>
      <c r="M1380" s="5" t="inlineStr">
        <is>
          <t>Yes</t>
        </is>
      </c>
      <c r="N1380" s="5" t="inlineStr"/>
      <c r="O1380" s="8" t="inlineStr">
        <is>
          <t>136000</t>
        </is>
      </c>
      <c r="P1380" s="5" t="inlineStr">
        <is>
          <t>10</t>
        </is>
      </c>
      <c r="Q1380" s="5" t="inlineStr">
        <is>
          <t>5</t>
        </is>
      </c>
      <c r="R1380" s="5" t="inlineStr">
        <is>
          <t>3</t>
        </is>
      </c>
      <c r="S1380" s="5" t="inlineStr">
        <is>
          <t>36</t>
        </is>
      </c>
      <c r="T1380" s="5" t="inlineStr">
        <is>
          <t>6</t>
        </is>
      </c>
      <c r="U1380" s="5" t="inlineStr">
        <is>
          <t>Bad gender</t>
        </is>
      </c>
    </row>
    <row r="1381">
      <c r="A1381" s="5" t="inlineStr">
        <is>
          <t>E02046</t>
        </is>
      </c>
      <c r="B1381" s="5" t="inlineStr">
        <is>
          <t>Female</t>
        </is>
      </c>
      <c r="C1381" s="6" t="inlineStr">
        <is>
          <t>38</t>
        </is>
      </c>
      <c r="D1381" s="5" t="inlineStr">
        <is>
          <t>Married</t>
        </is>
      </c>
      <c r="E1381" s="5" t="inlineStr">
        <is>
          <t>Bachelor</t>
        </is>
      </c>
      <c r="F1381" s="5" t="inlineStr">
        <is>
          <t>Research &amp; Development</t>
        </is>
      </c>
      <c r="G1381" s="5" t="inlineStr">
        <is>
          <t>Research Scientist</t>
        </is>
      </c>
      <c r="H1381" s="5" t="inlineStr">
        <is>
          <t>3</t>
        </is>
      </c>
      <c r="I1381" s="5" t="inlineStr">
        <is>
          <t>Hyderabad</t>
        </is>
      </c>
      <c r="J1381" s="5" t="inlineStr">
        <is>
          <t>Full-Time</t>
        </is>
      </c>
      <c r="K1381" s="7" t="n">
        <v>45355</v>
      </c>
      <c r="L1381" s="7" t="inlineStr"/>
      <c r="M1381" s="5" t="inlineStr">
        <is>
          <t>Yes</t>
        </is>
      </c>
      <c r="N1381" s="5" t="inlineStr"/>
      <c r="O1381" s="8" t="inlineStr">
        <is>
          <t>145500</t>
        </is>
      </c>
      <c r="P1381" s="5" t="inlineStr">
        <is>
          <t>0</t>
        </is>
      </c>
      <c r="Q1381" s="5" t="inlineStr">
        <is>
          <t>2</t>
        </is>
      </c>
      <c r="R1381" s="5" t="inlineStr">
        <is>
          <t>8</t>
        </is>
      </c>
      <c r="S1381" s="5" t="inlineStr">
        <is>
          <t>22</t>
        </is>
      </c>
      <c r="T1381" s="5" t="inlineStr">
        <is>
          <t>16</t>
        </is>
      </c>
      <c r="U1381" s="5" t="inlineStr">
        <is>
          <t>OK</t>
        </is>
      </c>
    </row>
    <row r="1382">
      <c r="A1382" s="5" t="inlineStr">
        <is>
          <t>E01186</t>
        </is>
      </c>
      <c r="B1382" s="5" t="inlineStr">
        <is>
          <t>Female</t>
        </is>
      </c>
      <c r="C1382" s="6" t="inlineStr">
        <is>
          <t>35</t>
        </is>
      </c>
      <c r="D1382" s="5" t="inlineStr">
        <is>
          <t>Single</t>
        </is>
      </c>
      <c r="E1382" s="5" t="inlineStr">
        <is>
          <t>Diploma</t>
        </is>
      </c>
      <c r="F1382" s="5" t="inlineStr">
        <is>
          <t>Marketing</t>
        </is>
      </c>
      <c r="G1382" s="5" t="inlineStr">
        <is>
          <t>SEO Specialist</t>
        </is>
      </c>
      <c r="H1382" s="5" t="inlineStr">
        <is>
          <t>2</t>
        </is>
      </c>
      <c r="I1382" s="5" t="inlineStr">
        <is>
          <t>Mumbai</t>
        </is>
      </c>
      <c r="J1382" s="5" t="inlineStr">
        <is>
          <t>Full-Time</t>
        </is>
      </c>
      <c r="K1382" s="7" t="n">
        <v>45249</v>
      </c>
      <c r="L1382" s="7" t="n">
        <v>45387</v>
      </c>
      <c r="M1382" s="5" t="inlineStr">
        <is>
          <t>No</t>
        </is>
      </c>
      <c r="N1382" s="5" t="inlineStr">
        <is>
          <t>Performance / Termination</t>
        </is>
      </c>
      <c r="O1382" s="8" t="inlineStr"/>
      <c r="P1382" s="5" t="inlineStr">
        <is>
          <t>0</t>
        </is>
      </c>
      <c r="Q1382" s="5" t="inlineStr">
        <is>
          <t>3</t>
        </is>
      </c>
      <c r="R1382" s="5" t="inlineStr">
        <is>
          <t>7</t>
        </is>
      </c>
      <c r="S1382" s="5" t="inlineStr">
        <is>
          <t>4</t>
        </is>
      </c>
      <c r="T1382" s="5" t="inlineStr">
        <is>
          <t>7</t>
        </is>
      </c>
      <c r="U1382" s="5" t="inlineStr">
        <is>
          <t>Blank salary</t>
        </is>
      </c>
    </row>
    <row r="1383">
      <c r="A1383" s="5" t="inlineStr">
        <is>
          <t>E00781</t>
        </is>
      </c>
      <c r="B1383" s="5" t="inlineStr">
        <is>
          <t>Male</t>
        </is>
      </c>
      <c r="C1383" s="6" t="inlineStr">
        <is>
          <t>27</t>
        </is>
      </c>
      <c r="D1383" s="5" t="inlineStr">
        <is>
          <t>Married</t>
        </is>
      </c>
      <c r="E1383" s="5" t="inlineStr">
        <is>
          <t>Master</t>
        </is>
      </c>
      <c r="F1383" s="5" t="inlineStr">
        <is>
          <t>Finance</t>
        </is>
      </c>
      <c r="G1383" s="5" t="inlineStr">
        <is>
          <t>Financial Analyst</t>
        </is>
      </c>
      <c r="H1383" s="5" t="inlineStr">
        <is>
          <t>3</t>
        </is>
      </c>
      <c r="I1383" s="5" t="inlineStr">
        <is>
          <t>Bengaluru</t>
        </is>
      </c>
      <c r="J1383" s="5" t="inlineStr">
        <is>
          <t>Full-Time</t>
        </is>
      </c>
      <c r="K1383" s="7" t="n">
        <v>45946</v>
      </c>
      <c r="L1383" s="7" t="n">
        <v>46021</v>
      </c>
      <c r="M1383" s="5" t="inlineStr">
        <is>
          <t>No</t>
        </is>
      </c>
      <c r="N1383" s="5" t="inlineStr">
        <is>
          <t>Performance / Termination</t>
        </is>
      </c>
      <c r="O1383" s="8" t="inlineStr">
        <is>
          <t>142500</t>
        </is>
      </c>
      <c r="P1383" s="5" t="inlineStr">
        <is>
          <t>0</t>
        </is>
      </c>
      <c r="Q1383" s="5" t="inlineStr">
        <is>
          <t>4</t>
        </is>
      </c>
      <c r="R1383" s="5" t="inlineStr">
        <is>
          <t>5</t>
        </is>
      </c>
      <c r="S1383" s="5" t="inlineStr">
        <is>
          <t>2</t>
        </is>
      </c>
      <c r="T1383" s="5" t="inlineStr">
        <is>
          <t>1</t>
        </is>
      </c>
      <c r="U1383" s="5" t="inlineStr">
        <is>
          <t>OK</t>
        </is>
      </c>
    </row>
    <row r="1384">
      <c r="A1384" s="5" t="inlineStr">
        <is>
          <t>E00938</t>
        </is>
      </c>
      <c r="B1384" s="5" t="inlineStr">
        <is>
          <t>Male</t>
        </is>
      </c>
      <c r="C1384" s="6" t="inlineStr">
        <is>
          <t>29</t>
        </is>
      </c>
      <c r="D1384" s="5" t="inlineStr">
        <is>
          <t>Married</t>
        </is>
      </c>
      <c r="E1384" s="5" t="inlineStr">
        <is>
          <t>Master</t>
        </is>
      </c>
      <c r="F1384" s="5" t="inlineStr">
        <is>
          <t>Finance</t>
        </is>
      </c>
      <c r="G1384" s="5" t="inlineStr">
        <is>
          <t>Credit Analyst</t>
        </is>
      </c>
      <c r="H1384" s="5" t="inlineStr">
        <is>
          <t>1</t>
        </is>
      </c>
      <c r="I1384" s="5" t="inlineStr">
        <is>
          <t>Chennai</t>
        </is>
      </c>
      <c r="J1384" s="5" t="inlineStr">
        <is>
          <t>Full-Time</t>
        </is>
      </c>
      <c r="K1384" s="7" t="n">
        <v>45732</v>
      </c>
      <c r="L1384" s="7" t="inlineStr"/>
      <c r="M1384" s="5" t="inlineStr">
        <is>
          <t>Yes</t>
        </is>
      </c>
      <c r="N1384" s="5" t="inlineStr"/>
      <c r="O1384" s="8" t="inlineStr">
        <is>
          <t>72000</t>
        </is>
      </c>
      <c r="P1384" s="5" t="inlineStr">
        <is>
          <t>20</t>
        </is>
      </c>
      <c r="Q1384" s="5" t="inlineStr">
        <is>
          <t>3</t>
        </is>
      </c>
      <c r="R1384" s="5" t="inlineStr">
        <is>
          <t>4</t>
        </is>
      </c>
      <c r="S1384" s="5" t="inlineStr">
        <is>
          <t>9</t>
        </is>
      </c>
      <c r="T1384" s="5" t="inlineStr">
        <is>
          <t>18</t>
        </is>
      </c>
      <c r="U1384" s="5" t="inlineStr">
        <is>
          <t>OK</t>
        </is>
      </c>
    </row>
    <row r="1385">
      <c r="A1385" s="5" t="inlineStr">
        <is>
          <t>E00786</t>
        </is>
      </c>
      <c r="B1385" s="5" t="inlineStr">
        <is>
          <t>Male</t>
        </is>
      </c>
      <c r="C1385" s="6" t="inlineStr">
        <is>
          <t>39</t>
        </is>
      </c>
      <c r="D1385" s="5" t="inlineStr">
        <is>
          <t>Married</t>
        </is>
      </c>
      <c r="E1385" s="5" t="inlineStr">
        <is>
          <t>PhD</t>
        </is>
      </c>
      <c r="F1385" s="5" t="inlineStr">
        <is>
          <t>Human Resources</t>
        </is>
      </c>
      <c r="G1385" s="5" t="inlineStr">
        <is>
          <t>Recruiter</t>
        </is>
      </c>
      <c r="H1385" s="5" t="inlineStr">
        <is>
          <t>4</t>
        </is>
      </c>
      <c r="I1385" s="5" t="inlineStr">
        <is>
          <t>Chennai</t>
        </is>
      </c>
      <c r="J1385" s="5" t="inlineStr">
        <is>
          <t>Full-Time</t>
        </is>
      </c>
      <c r="K1385" s="7" t="n">
        <v>44221</v>
      </c>
      <c r="L1385" s="7" t="inlineStr"/>
      <c r="M1385" s="5" t="inlineStr">
        <is>
          <t>Yes</t>
        </is>
      </c>
      <c r="N1385" s="5" t="inlineStr"/>
      <c r="O1385" s="8" t="inlineStr">
        <is>
          <t>87500</t>
        </is>
      </c>
      <c r="P1385" s="5" t="inlineStr">
        <is>
          <t>5</t>
        </is>
      </c>
      <c r="Q1385" s="5" t="inlineStr">
        <is>
          <t>3</t>
        </is>
      </c>
      <c r="R1385" s="5" t="inlineStr">
        <is>
          <t>6</t>
        </is>
      </c>
      <c r="S1385" s="5" t="inlineStr">
        <is>
          <t>60</t>
        </is>
      </c>
      <c r="T1385" s="5" t="inlineStr">
        <is>
          <t>3</t>
        </is>
      </c>
      <c r="U1385" s="5" t="inlineStr">
        <is>
          <t>OK</t>
        </is>
      </c>
    </row>
    <row r="1386">
      <c r="A1386" s="5" t="inlineStr">
        <is>
          <t>E02756</t>
        </is>
      </c>
      <c r="B1386" s="5" t="inlineStr">
        <is>
          <t>Female</t>
        </is>
      </c>
      <c r="C1386" s="6" t="inlineStr">
        <is>
          <t>25</t>
        </is>
      </c>
      <c r="D1386" s="5" t="inlineStr">
        <is>
          <t>Married</t>
        </is>
      </c>
      <c r="E1386" s="5" t="inlineStr">
        <is>
          <t>High School</t>
        </is>
      </c>
      <c r="F1386" s="5" t="inlineStr">
        <is>
          <t>Customer Support</t>
        </is>
      </c>
      <c r="G1386" s="5" t="inlineStr">
        <is>
          <t>Escalation Specialist</t>
        </is>
      </c>
      <c r="H1386" s="5" t="inlineStr">
        <is>
          <t>2</t>
        </is>
      </c>
      <c r="I1386" s="5" t="inlineStr">
        <is>
          <t>Mumbai</t>
        </is>
      </c>
      <c r="J1386" s="5" t="inlineStr">
        <is>
          <t>Part-Time</t>
        </is>
      </c>
      <c r="K1386" s="7" t="n">
        <v>43998</v>
      </c>
      <c r="L1386" s="7" t="inlineStr"/>
      <c r="M1386" s="5" t="inlineStr">
        <is>
          <t>Yes</t>
        </is>
      </c>
      <c r="N1386" s="5" t="inlineStr"/>
      <c r="O1386" s="8" t="inlineStr">
        <is>
          <t>63000</t>
        </is>
      </c>
      <c r="P1386" s="5" t="inlineStr">
        <is>
          <t>10</t>
        </is>
      </c>
      <c r="Q1386" s="5" t="inlineStr">
        <is>
          <t>3</t>
        </is>
      </c>
      <c r="R1386" s="5" t="inlineStr">
        <is>
          <t>8</t>
        </is>
      </c>
      <c r="S1386" s="5" t="inlineStr">
        <is>
          <t>67</t>
        </is>
      </c>
      <c r="T1386" s="5" t="inlineStr">
        <is>
          <t>5</t>
        </is>
      </c>
      <c r="U1386" s="5" t="inlineStr">
        <is>
          <t>OK</t>
        </is>
      </c>
    </row>
    <row r="1387">
      <c r="A1387" s="5" t="inlineStr">
        <is>
          <t>E02938</t>
        </is>
      </c>
      <c r="B1387" s="5" t="inlineStr">
        <is>
          <t>Female</t>
        </is>
      </c>
      <c r="C1387" s="6" t="inlineStr">
        <is>
          <t>30</t>
        </is>
      </c>
      <c r="D1387" s="5" t="inlineStr">
        <is>
          <t>Married</t>
        </is>
      </c>
      <c r="E1387" s="5" t="inlineStr">
        <is>
          <t>High School</t>
        </is>
      </c>
      <c r="F1387" s="5" t="inlineStr">
        <is>
          <t>Customer Support</t>
        </is>
      </c>
      <c r="G1387" s="5" t="inlineStr">
        <is>
          <t>Support Lead</t>
        </is>
      </c>
      <c r="H1387" s="5" t="inlineStr">
        <is>
          <t>2</t>
        </is>
      </c>
      <c r="I1387" s="5" t="inlineStr">
        <is>
          <t>Delhi</t>
        </is>
      </c>
      <c r="J1387" s="5" t="inlineStr">
        <is>
          <t>Full-Time</t>
        </is>
      </c>
      <c r="K1387" s="7" t="n">
        <v>45877</v>
      </c>
      <c r="L1387" s="7" t="inlineStr"/>
      <c r="M1387" s="5" t="inlineStr">
        <is>
          <t>Yes</t>
        </is>
      </c>
      <c r="N1387" s="5" t="inlineStr"/>
      <c r="O1387" s="8" t="inlineStr">
        <is>
          <t>81000</t>
        </is>
      </c>
      <c r="P1387" s="5" t="inlineStr">
        <is>
          <t>5</t>
        </is>
      </c>
      <c r="Q1387" s="5" t="inlineStr">
        <is>
          <t>2</t>
        </is>
      </c>
      <c r="R1387" s="5" t="inlineStr">
        <is>
          <t>2</t>
        </is>
      </c>
      <c r="S1387" s="5" t="inlineStr">
        <is>
          <t>4</t>
        </is>
      </c>
      <c r="T1387" s="5" t="inlineStr">
        <is>
          <t>7</t>
        </is>
      </c>
      <c r="U1387" s="5" t="inlineStr">
        <is>
          <t>OK</t>
        </is>
      </c>
    </row>
    <row r="1388">
      <c r="A1388" s="5" t="inlineStr">
        <is>
          <t>E00212</t>
        </is>
      </c>
      <c r="B1388" s="5" t="inlineStr">
        <is>
          <t>Male</t>
        </is>
      </c>
      <c r="C1388" s="6" t="inlineStr">
        <is>
          <t>32</t>
        </is>
      </c>
      <c r="D1388" s="5" t="inlineStr">
        <is>
          <t>Married</t>
        </is>
      </c>
      <c r="E1388" s="5" t="inlineStr">
        <is>
          <t>Diploma</t>
        </is>
      </c>
      <c r="F1388" s="5" t="inlineStr">
        <is>
          <t>Marketing</t>
        </is>
      </c>
      <c r="G1388" s="5" t="inlineStr">
        <is>
          <t>SEO Specialist</t>
        </is>
      </c>
      <c r="H1388" s="5" t="inlineStr">
        <is>
          <t>3</t>
        </is>
      </c>
      <c r="I1388" s="5" t="inlineStr">
        <is>
          <t>Hyderabad</t>
        </is>
      </c>
      <c r="J1388" s="5" t="inlineStr">
        <is>
          <t>Full-Time</t>
        </is>
      </c>
      <c r="K1388" s="7" t="n">
        <v>45577</v>
      </c>
      <c r="L1388" s="7" t="n">
        <v>45645</v>
      </c>
      <c r="M1388" s="5" t="inlineStr">
        <is>
          <t>No</t>
        </is>
      </c>
      <c r="N1388" s="5" t="inlineStr">
        <is>
          <t>Resigned</t>
        </is>
      </c>
      <c r="O1388" s="8" t="inlineStr">
        <is>
          <t>114500</t>
        </is>
      </c>
      <c r="P1388" s="5" t="inlineStr">
        <is>
          <t>5</t>
        </is>
      </c>
      <c r="Q1388" s="5" t="inlineStr">
        <is>
          <t>3</t>
        </is>
      </c>
      <c r="R1388" s="5" t="inlineStr">
        <is>
          <t>4</t>
        </is>
      </c>
      <c r="S1388" s="5" t="inlineStr">
        <is>
          <t>2</t>
        </is>
      </c>
      <c r="T1388" s="5" t="inlineStr">
        <is>
          <t>10</t>
        </is>
      </c>
      <c r="U1388" s="5" t="inlineStr">
        <is>
          <t>OK</t>
        </is>
      </c>
    </row>
    <row r="1389">
      <c r="A1389" s="5" t="inlineStr">
        <is>
          <t>E00207</t>
        </is>
      </c>
      <c r="B1389" s="5" t="inlineStr">
        <is>
          <t>Female</t>
        </is>
      </c>
      <c r="C1389" s="6" t="inlineStr">
        <is>
          <t>39</t>
        </is>
      </c>
      <c r="D1389" s="5" t="inlineStr">
        <is>
          <t>Divorced</t>
        </is>
      </c>
      <c r="E1389" s="5" t="inlineStr">
        <is>
          <t>High School</t>
        </is>
      </c>
      <c r="F1389" s="5" t="inlineStr">
        <is>
          <t>Marketing</t>
        </is>
      </c>
      <c r="G1389" s="5" t="inlineStr">
        <is>
          <t>Marketing Analyst</t>
        </is>
      </c>
      <c r="H1389" s="5" t="inlineStr">
        <is>
          <t>5</t>
        </is>
      </c>
      <c r="I1389" s="5" t="inlineStr">
        <is>
          <t>Hyderabad</t>
        </is>
      </c>
      <c r="J1389" s="5" t="inlineStr">
        <is>
          <t>Full-Time</t>
        </is>
      </c>
      <c r="K1389" s="7" t="n">
        <v>44019</v>
      </c>
      <c r="L1389" s="7" t="inlineStr"/>
      <c r="M1389" s="5" t="inlineStr">
        <is>
          <t>Yes</t>
        </is>
      </c>
      <c r="N1389" s="5" t="inlineStr"/>
      <c r="O1389" s="8" t="inlineStr">
        <is>
          <t>94000</t>
        </is>
      </c>
      <c r="P1389" s="5" t="inlineStr">
        <is>
          <t>0</t>
        </is>
      </c>
      <c r="Q1389" s="5" t="inlineStr">
        <is>
          <t>3</t>
        </is>
      </c>
      <c r="R1389" s="5" t="inlineStr">
        <is>
          <t>7</t>
        </is>
      </c>
      <c r="S1389" s="5" t="inlineStr">
        <is>
          <t>66</t>
        </is>
      </c>
      <c r="T1389" s="5" t="inlineStr">
        <is>
          <t>3</t>
        </is>
      </c>
      <c r="U1389" s="5" t="inlineStr">
        <is>
          <t>OK</t>
        </is>
      </c>
    </row>
    <row r="1390">
      <c r="A1390" s="5" t="inlineStr">
        <is>
          <t>E01757</t>
        </is>
      </c>
      <c r="B1390" s="5" t="inlineStr">
        <is>
          <t>Female</t>
        </is>
      </c>
      <c r="C1390" s="6" t="inlineStr">
        <is>
          <t>35</t>
        </is>
      </c>
      <c r="D1390" s="5" t="inlineStr">
        <is>
          <t>Married</t>
        </is>
      </c>
      <c r="E1390" s="5" t="inlineStr">
        <is>
          <t>PhD</t>
        </is>
      </c>
      <c r="F1390" s="5" t="inlineStr">
        <is>
          <t>IT</t>
        </is>
      </c>
      <c r="G1390" s="5" t="inlineStr">
        <is>
          <t>DevOps Engineer</t>
        </is>
      </c>
      <c r="H1390" s="5" t="inlineStr">
        <is>
          <t>7</t>
        </is>
      </c>
      <c r="I1390" s="5" t="inlineStr">
        <is>
          <t>Remote</t>
        </is>
      </c>
      <c r="J1390" s="5" t="inlineStr">
        <is>
          <t>Full-Time</t>
        </is>
      </c>
      <c r="K1390" s="7" t="n">
        <v>45494</v>
      </c>
      <c r="L1390" s="7" t="inlineStr"/>
      <c r="M1390" s="5" t="inlineStr">
        <is>
          <t>Yes</t>
        </is>
      </c>
      <c r="N1390" s="5" t="inlineStr"/>
      <c r="O1390" s="8" t="inlineStr">
        <is>
          <t>210500</t>
        </is>
      </c>
      <c r="P1390" s="5" t="inlineStr">
        <is>
          <t>10</t>
        </is>
      </c>
      <c r="Q1390" s="5" t="inlineStr">
        <is>
          <t>5</t>
        </is>
      </c>
      <c r="R1390" s="5" t="inlineStr">
        <is>
          <t>9</t>
        </is>
      </c>
      <c r="S1390" s="5" t="inlineStr">
        <is>
          <t>17</t>
        </is>
      </c>
      <c r="T1390" s="5" t="inlineStr">
        <is>
          <t>0</t>
        </is>
      </c>
      <c r="U1390" s="5" t="inlineStr">
        <is>
          <t>OK</t>
        </is>
      </c>
    </row>
    <row r="1391">
      <c r="A1391" s="5" t="inlineStr">
        <is>
          <t>E01333</t>
        </is>
      </c>
      <c r="B1391" s="5" t="inlineStr">
        <is>
          <t>Female</t>
        </is>
      </c>
      <c r="C1391" s="6" t="inlineStr">
        <is>
          <t>27</t>
        </is>
      </c>
      <c r="D1391" s="5" t="inlineStr">
        <is>
          <t>Single</t>
        </is>
      </c>
      <c r="E1391" s="5" t="inlineStr">
        <is>
          <t>Master</t>
        </is>
      </c>
      <c r="F1391" s="5" t="inlineStr">
        <is>
          <t>Customer Support</t>
        </is>
      </c>
      <c r="G1391" s="5" t="inlineStr">
        <is>
          <t>Support Agent</t>
        </is>
      </c>
      <c r="H1391" s="5" t="inlineStr">
        <is>
          <t>3</t>
        </is>
      </c>
      <c r="I1391" s="5" t="inlineStr">
        <is>
          <t>Hyderabad</t>
        </is>
      </c>
      <c r="J1391" s="5" t="inlineStr">
        <is>
          <t>Full-Time</t>
        </is>
      </c>
      <c r="K1391" s="7" t="n">
        <v>45581</v>
      </c>
      <c r="L1391" s="7" t="inlineStr"/>
      <c r="M1391" s="5" t="inlineStr">
        <is>
          <t>Yes</t>
        </is>
      </c>
      <c r="N1391" s="5" t="inlineStr"/>
      <c r="O1391" s="8" t="inlineStr">
        <is>
          <t>68500</t>
        </is>
      </c>
      <c r="P1391" s="5" t="inlineStr">
        <is>
          <t>0</t>
        </is>
      </c>
      <c r="Q1391" s="5" t="inlineStr">
        <is>
          <t>4</t>
        </is>
      </c>
      <c r="R1391" s="5" t="inlineStr">
        <is>
          <t>10</t>
        </is>
      </c>
      <c r="S1391" s="5" t="inlineStr">
        <is>
          <t>14</t>
        </is>
      </c>
      <c r="T1391" s="5" t="inlineStr">
        <is>
          <t>9</t>
        </is>
      </c>
      <c r="U1391" s="5" t="inlineStr">
        <is>
          <t>OK</t>
        </is>
      </c>
    </row>
    <row r="1392">
      <c r="A1392" s="5" t="inlineStr">
        <is>
          <t>E00911</t>
        </is>
      </c>
      <c r="B1392" s="5" t="inlineStr">
        <is>
          <t>Male</t>
        </is>
      </c>
      <c r="C1392" s="6" t="inlineStr">
        <is>
          <t>30</t>
        </is>
      </c>
      <c r="D1392" s="5" t="inlineStr">
        <is>
          <t>Married</t>
        </is>
      </c>
      <c r="E1392" s="5" t="inlineStr">
        <is>
          <t>Bachelor</t>
        </is>
      </c>
      <c r="F1392" s="5" t="inlineStr">
        <is>
          <t>Research &amp; Development</t>
        </is>
      </c>
      <c r="G1392" s="5" t="inlineStr">
        <is>
          <t>Data Scientist</t>
        </is>
      </c>
      <c r="H1392" s="5" t="inlineStr">
        <is>
          <t>3</t>
        </is>
      </c>
      <c r="I1392" s="5" t="inlineStr">
        <is>
          <t>Hyderabad</t>
        </is>
      </c>
      <c r="J1392" s="5" t="inlineStr">
        <is>
          <t>Full-Time</t>
        </is>
      </c>
      <c r="K1392" s="7" t="n">
        <v>45110</v>
      </c>
      <c r="L1392" s="7" t="n">
        <v>45172</v>
      </c>
      <c r="M1392" s="5" t="inlineStr">
        <is>
          <t>No</t>
        </is>
      </c>
      <c r="N1392" s="5" t="inlineStr">
        <is>
          <t>Retirement</t>
        </is>
      </c>
      <c r="O1392" s="8" t="inlineStr">
        <is>
          <t>179000</t>
        </is>
      </c>
      <c r="P1392" s="5" t="inlineStr">
        <is>
          <t>0</t>
        </is>
      </c>
      <c r="Q1392" s="5" t="inlineStr">
        <is>
          <t>3</t>
        </is>
      </c>
      <c r="R1392" s="5" t="inlineStr">
        <is>
          <t>5</t>
        </is>
      </c>
      <c r="S1392" s="5" t="inlineStr">
        <is>
          <t>2</t>
        </is>
      </c>
      <c r="T1392" s="5" t="inlineStr">
        <is>
          <t>8</t>
        </is>
      </c>
      <c r="U1392" s="5" t="inlineStr">
        <is>
          <t>OK</t>
        </is>
      </c>
    </row>
    <row r="1393">
      <c r="A1393" s="5" t="inlineStr">
        <is>
          <t>E00705</t>
        </is>
      </c>
      <c r="B1393" s="5" t="inlineStr">
        <is>
          <t>Male</t>
        </is>
      </c>
      <c r="C1393" s="6" t="inlineStr">
        <is>
          <t>34</t>
        </is>
      </c>
      <c r="D1393" s="5" t="inlineStr">
        <is>
          <t>Married</t>
        </is>
      </c>
      <c r="E1393" s="5" t="inlineStr">
        <is>
          <t>Bachelor</t>
        </is>
      </c>
      <c r="F1393" s="5" t="inlineStr">
        <is>
          <t>Sales</t>
        </is>
      </c>
      <c r="G1393" s="5" t="inlineStr">
        <is>
          <t>Account Executive</t>
        </is>
      </c>
      <c r="H1393" s="5" t="inlineStr">
        <is>
          <t>2</t>
        </is>
      </c>
      <c r="I1393" s="5" t="inlineStr">
        <is>
          <t>Hyderabad</t>
        </is>
      </c>
      <c r="J1393" s="5" t="inlineStr">
        <is>
          <t>Full-Time</t>
        </is>
      </c>
      <c r="K1393" s="7" t="n">
        <v>45281</v>
      </c>
      <c r="L1393" s="7" t="inlineStr"/>
      <c r="M1393" s="5" t="inlineStr">
        <is>
          <t>Yes</t>
        </is>
      </c>
      <c r="N1393" s="5" t="inlineStr"/>
      <c r="O1393" s="8" t="inlineStr">
        <is>
          <t>101000</t>
        </is>
      </c>
      <c r="P1393" s="5" t="inlineStr">
        <is>
          <t>5</t>
        </is>
      </c>
      <c r="Q1393" s="5" t="inlineStr">
        <is>
          <t>4</t>
        </is>
      </c>
      <c r="R1393" s="5" t="inlineStr">
        <is>
          <t>8</t>
        </is>
      </c>
      <c r="S1393" s="5" t="inlineStr">
        <is>
          <t>24</t>
        </is>
      </c>
      <c r="T1393" s="5" t="inlineStr">
        <is>
          <t>13</t>
        </is>
      </c>
      <c r="U1393" s="5" t="inlineStr">
        <is>
          <t>OK</t>
        </is>
      </c>
    </row>
    <row r="1394">
      <c r="A1394" s="5" t="inlineStr">
        <is>
          <t>E00411</t>
        </is>
      </c>
      <c r="B1394" s="5" t="inlineStr">
        <is>
          <t>Male</t>
        </is>
      </c>
      <c r="C1394" s="6" t="inlineStr">
        <is>
          <t>31</t>
        </is>
      </c>
      <c r="D1394" s="5" t="inlineStr">
        <is>
          <t>Married</t>
        </is>
      </c>
      <c r="E1394" s="5" t="inlineStr">
        <is>
          <t>PhD</t>
        </is>
      </c>
      <c r="F1394" s="5" t="inlineStr">
        <is>
          <t>Marketing</t>
        </is>
      </c>
      <c r="G1394" s="5" t="inlineStr">
        <is>
          <t>SEO Specialist</t>
        </is>
      </c>
      <c r="H1394" s="5" t="inlineStr">
        <is>
          <t>3</t>
        </is>
      </c>
      <c r="I1394" s="5" t="inlineStr">
        <is>
          <t>Delhi</t>
        </is>
      </c>
      <c r="J1394" s="5" t="inlineStr">
        <is>
          <t>Full-Time</t>
        </is>
      </c>
      <c r="K1394" s="7" t="n">
        <v>44726</v>
      </c>
      <c r="L1394" s="7" t="inlineStr"/>
      <c r="M1394" s="5" t="inlineStr">
        <is>
          <t>Yes</t>
        </is>
      </c>
      <c r="N1394" s="5" t="inlineStr"/>
      <c r="O1394" s="8" t="inlineStr">
        <is>
          <t>107000</t>
        </is>
      </c>
      <c r="P1394" s="5" t="inlineStr">
        <is>
          <t>10</t>
        </is>
      </c>
      <c r="Q1394" s="5" t="inlineStr">
        <is>
          <t>5</t>
        </is>
      </c>
      <c r="R1394" s="5" t="inlineStr">
        <is>
          <t>7</t>
        </is>
      </c>
      <c r="S1394" s="5" t="inlineStr">
        <is>
          <t>43</t>
        </is>
      </c>
      <c r="T1394" s="5" t="inlineStr">
        <is>
          <t>0</t>
        </is>
      </c>
      <c r="U1394" s="5" t="inlineStr">
        <is>
          <t>OK</t>
        </is>
      </c>
    </row>
    <row r="1395">
      <c r="A1395" s="5" t="inlineStr">
        <is>
          <t>E00543</t>
        </is>
      </c>
      <c r="B1395" s="5" t="inlineStr">
        <is>
          <t>Female</t>
        </is>
      </c>
      <c r="C1395" s="6" t="inlineStr">
        <is>
          <t>31</t>
        </is>
      </c>
      <c r="D1395" s="5" t="inlineStr">
        <is>
          <t>Married</t>
        </is>
      </c>
      <c r="E1395" s="5" t="inlineStr">
        <is>
          <t>Diploma</t>
        </is>
      </c>
      <c r="F1395" s="5" t="inlineStr">
        <is>
          <t>Finance</t>
        </is>
      </c>
      <c r="G1395" s="5" t="inlineStr">
        <is>
          <t>Accountant</t>
        </is>
      </c>
      <c r="H1395" s="5" t="inlineStr">
        <is>
          <t>1</t>
        </is>
      </c>
      <c r="I1395" s="5" t="inlineStr">
        <is>
          <t>Chennai</t>
        </is>
      </c>
      <c r="J1395" s="5" t="inlineStr">
        <is>
          <t>Full-Time</t>
        </is>
      </c>
      <c r="K1395" s="7" t="n">
        <v>46000</v>
      </c>
      <c r="L1395" s="7" t="inlineStr"/>
      <c r="M1395" s="5" t="inlineStr">
        <is>
          <t>Yes</t>
        </is>
      </c>
      <c r="N1395" s="5" t="inlineStr"/>
      <c r="O1395" s="8" t="inlineStr">
        <is>
          <t>95000</t>
        </is>
      </c>
      <c r="P1395" s="5" t="inlineStr">
        <is>
          <t>10</t>
        </is>
      </c>
      <c r="Q1395" s="5" t="inlineStr">
        <is>
          <t>4</t>
        </is>
      </c>
      <c r="R1395" s="5" t="inlineStr">
        <is>
          <t>8</t>
        </is>
      </c>
      <c r="S1395" s="5" t="inlineStr">
        <is>
          <t>1</t>
        </is>
      </c>
      <c r="T1395" s="5" t="inlineStr">
        <is>
          <t>0</t>
        </is>
      </c>
      <c r="U1395" s="5" t="inlineStr">
        <is>
          <t>OK</t>
        </is>
      </c>
    </row>
    <row r="1396">
      <c r="A1396" s="5" t="inlineStr">
        <is>
          <t>E00086</t>
        </is>
      </c>
      <c r="B1396" s="5" t="inlineStr">
        <is>
          <t>Male</t>
        </is>
      </c>
      <c r="C1396" s="6" t="inlineStr">
        <is>
          <t>34</t>
        </is>
      </c>
      <c r="D1396" s="5" t="inlineStr">
        <is>
          <t>Divorced</t>
        </is>
      </c>
      <c r="E1396" s="5" t="inlineStr">
        <is>
          <t>Bachelor</t>
        </is>
      </c>
      <c r="F1396" s="5" t="inlineStr">
        <is>
          <t>Operations</t>
        </is>
      </c>
      <c r="G1396" s="5" t="inlineStr">
        <is>
          <t>Operations Analyst</t>
        </is>
      </c>
      <c r="H1396" s="5" t="inlineStr">
        <is>
          <t>4</t>
        </is>
      </c>
      <c r="I1396" s="5" t="inlineStr">
        <is>
          <t>Mumbai</t>
        </is>
      </c>
      <c r="J1396" s="5" t="inlineStr">
        <is>
          <t>Full-Time</t>
        </is>
      </c>
      <c r="K1396" s="7" t="n">
        <v>45759</v>
      </c>
      <c r="L1396" s="7" t="inlineStr"/>
      <c r="M1396" s="5" t="inlineStr">
        <is>
          <t>Yes</t>
        </is>
      </c>
      <c r="N1396" s="5" t="inlineStr"/>
      <c r="O1396" s="8" t="inlineStr">
        <is>
          <t>97000</t>
        </is>
      </c>
      <c r="P1396" s="5" t="inlineStr">
        <is>
          <t>20</t>
        </is>
      </c>
      <c r="Q1396" s="5" t="inlineStr">
        <is>
          <t>4</t>
        </is>
      </c>
      <c r="R1396" s="5" t="inlineStr">
        <is>
          <t>8</t>
        </is>
      </c>
      <c r="S1396" s="5" t="inlineStr">
        <is>
          <t>8</t>
        </is>
      </c>
      <c r="T1396" s="5" t="inlineStr">
        <is>
          <t>1</t>
        </is>
      </c>
      <c r="U1396" s="5" t="inlineStr">
        <is>
          <t>OK</t>
        </is>
      </c>
    </row>
    <row r="1397">
      <c r="A1397" s="5" t="inlineStr">
        <is>
          <t>E00975</t>
        </is>
      </c>
      <c r="B1397" s="5" t="inlineStr">
        <is>
          <t>Male</t>
        </is>
      </c>
      <c r="C1397" s="6" t="inlineStr">
        <is>
          <t>41</t>
        </is>
      </c>
      <c r="D1397" s="5" t="inlineStr">
        <is>
          <t>Married</t>
        </is>
      </c>
      <c r="E1397" s="5" t="inlineStr">
        <is>
          <t>PhD</t>
        </is>
      </c>
      <c r="F1397" s="5" t="inlineStr">
        <is>
          <t>Sales</t>
        </is>
      </c>
      <c r="G1397" s="5" t="inlineStr">
        <is>
          <t>Business Development</t>
        </is>
      </c>
      <c r="H1397" s="5" t="inlineStr">
        <is>
          <t>6</t>
        </is>
      </c>
      <c r="I1397" s="5" t="inlineStr">
        <is>
          <t>Chennai</t>
        </is>
      </c>
      <c r="J1397" s="5" t="inlineStr">
        <is>
          <t>Full-Time</t>
        </is>
      </c>
      <c r="K1397" s="7" t="n">
        <v>45315</v>
      </c>
      <c r="L1397" s="7" t="inlineStr"/>
      <c r="M1397" s="5" t="inlineStr">
        <is>
          <t>Yes</t>
        </is>
      </c>
      <c r="N1397" s="5" t="inlineStr"/>
      <c r="O1397" s="8" t="inlineStr">
        <is>
          <t>130000</t>
        </is>
      </c>
      <c r="P1397" s="5" t="inlineStr">
        <is>
          <t>0</t>
        </is>
      </c>
      <c r="Q1397" s="5" t="inlineStr">
        <is>
          <t>4</t>
        </is>
      </c>
      <c r="R1397" s="5" t="inlineStr">
        <is>
          <t>7</t>
        </is>
      </c>
      <c r="S1397" s="5" t="inlineStr">
        <is>
          <t>23</t>
        </is>
      </c>
      <c r="T1397" s="5" t="inlineStr">
        <is>
          <t>6</t>
        </is>
      </c>
      <c r="U1397" s="5" t="inlineStr">
        <is>
          <t>OK</t>
        </is>
      </c>
    </row>
    <row r="1398">
      <c r="A1398" s="5" t="inlineStr">
        <is>
          <t>E01711</t>
        </is>
      </c>
      <c r="B1398" s="5" t="inlineStr">
        <is>
          <t>Female</t>
        </is>
      </c>
      <c r="C1398" s="6" t="inlineStr">
        <is>
          <t>36</t>
        </is>
      </c>
      <c r="D1398" s="5" t="inlineStr">
        <is>
          <t>Married</t>
        </is>
      </c>
      <c r="E1398" s="5" t="inlineStr">
        <is>
          <t>High School</t>
        </is>
      </c>
      <c r="F1398" s="5" t="inlineStr">
        <is>
          <t>Operations</t>
        </is>
      </c>
      <c r="G1398" s="5" t="inlineStr">
        <is>
          <t>Quality Analyst</t>
        </is>
      </c>
      <c r="H1398" s="5" t="inlineStr">
        <is>
          <t>3</t>
        </is>
      </c>
      <c r="I1398" s="5" t="inlineStr">
        <is>
          <t>Mumbai</t>
        </is>
      </c>
      <c r="J1398" s="5" t="inlineStr">
        <is>
          <t>Full-Time</t>
        </is>
      </c>
      <c r="K1398" s="7" t="n">
        <v>44047</v>
      </c>
      <c r="L1398" s="7" t="n">
        <v>44174</v>
      </c>
      <c r="M1398" s="5" t="inlineStr">
        <is>
          <t>No</t>
        </is>
      </c>
      <c r="N1398" s="5" t="inlineStr">
        <is>
          <t>Performance / Termination</t>
        </is>
      </c>
      <c r="O1398" s="8" t="inlineStr">
        <is>
          <t>117000</t>
        </is>
      </c>
      <c r="P1398" s="5" t="inlineStr">
        <is>
          <t>10</t>
        </is>
      </c>
      <c r="Q1398" s="5" t="inlineStr">
        <is>
          <t>2</t>
        </is>
      </c>
      <c r="R1398" s="5" t="inlineStr">
        <is>
          <t>8</t>
        </is>
      </c>
      <c r="S1398" s="5" t="inlineStr">
        <is>
          <t>4</t>
        </is>
      </c>
      <c r="T1398" s="5" t="inlineStr">
        <is>
          <t>16</t>
        </is>
      </c>
      <c r="U1398" s="5" t="inlineStr">
        <is>
          <t>OK</t>
        </is>
      </c>
    </row>
    <row r="1399">
      <c r="A1399" s="5" t="inlineStr">
        <is>
          <t>E02161</t>
        </is>
      </c>
      <c r="B1399" s="5" t="inlineStr">
        <is>
          <t>Female</t>
        </is>
      </c>
      <c r="C1399" s="6" t="inlineStr">
        <is>
          <t>38</t>
        </is>
      </c>
      <c r="D1399" s="5" t="inlineStr">
        <is>
          <t>Married</t>
        </is>
      </c>
      <c r="E1399" s="5" t="inlineStr">
        <is>
          <t>Diploma</t>
        </is>
      </c>
      <c r="F1399" s="5" t="inlineStr">
        <is>
          <t>Operations</t>
        </is>
      </c>
      <c r="G1399" s="5" t="inlineStr">
        <is>
          <t>Quality Analyst</t>
        </is>
      </c>
      <c r="H1399" s="5" t="inlineStr">
        <is>
          <t>6</t>
        </is>
      </c>
      <c r="I1399" s="5" t="inlineStr">
        <is>
          <t>Chennai</t>
        </is>
      </c>
      <c r="J1399" s="5" t="inlineStr">
        <is>
          <t>Full-Time</t>
        </is>
      </c>
      <c r="K1399" s="7" t="n">
        <v>45440</v>
      </c>
      <c r="L1399" s="7" t="inlineStr"/>
      <c r="M1399" s="5" t="inlineStr">
        <is>
          <t>Yes</t>
        </is>
      </c>
      <c r="N1399" s="5" t="inlineStr"/>
      <c r="O1399" s="8" t="inlineStr">
        <is>
          <t>169500</t>
        </is>
      </c>
      <c r="P1399" s="5" t="inlineStr">
        <is>
          <t>0</t>
        </is>
      </c>
      <c r="Q1399" s="5" t="inlineStr">
        <is>
          <t>3</t>
        </is>
      </c>
      <c r="R1399" s="5" t="inlineStr">
        <is>
          <t>7</t>
        </is>
      </c>
      <c r="S1399" s="5" t="inlineStr">
        <is>
          <t>19</t>
        </is>
      </c>
      <c r="T1399" s="5" t="inlineStr">
        <is>
          <t>0</t>
        </is>
      </c>
      <c r="U1399" s="5" t="inlineStr">
        <is>
          <t>OK</t>
        </is>
      </c>
    </row>
    <row r="1400">
      <c r="A1400" s="5" t="inlineStr">
        <is>
          <t>E01927</t>
        </is>
      </c>
      <c r="B1400" s="5" t="inlineStr">
        <is>
          <t>Female</t>
        </is>
      </c>
      <c r="C1400" s="6" t="inlineStr">
        <is>
          <t>31</t>
        </is>
      </c>
      <c r="D1400" s="5" t="inlineStr">
        <is>
          <t>Single</t>
        </is>
      </c>
      <c r="E1400" s="5" t="inlineStr">
        <is>
          <t>Diploma</t>
        </is>
      </c>
      <c r="F1400" s="5" t="inlineStr">
        <is>
          <t>Operations</t>
        </is>
      </c>
      <c r="G1400" s="5" t="inlineStr">
        <is>
          <t>Logistics Coordinator</t>
        </is>
      </c>
      <c r="H1400" s="5" t="inlineStr">
        <is>
          <t>2</t>
        </is>
      </c>
      <c r="I1400" s="5" t="inlineStr">
        <is>
          <t>Delhi</t>
        </is>
      </c>
      <c r="J1400" s="5" t="inlineStr">
        <is>
          <t>Part-Time</t>
        </is>
      </c>
      <c r="K1400" s="7" t="n">
        <v>44292</v>
      </c>
      <c r="L1400" s="7" t="n">
        <v>44370</v>
      </c>
      <c r="M1400" s="5" t="inlineStr">
        <is>
          <t>No</t>
        </is>
      </c>
      <c r="N1400" s="5" t="inlineStr">
        <is>
          <t>Retirement</t>
        </is>
      </c>
      <c r="O1400" s="8" t="inlineStr">
        <is>
          <t>91000</t>
        </is>
      </c>
      <c r="P1400" s="5" t="inlineStr">
        <is>
          <t>10</t>
        </is>
      </c>
      <c r="Q1400" s="5" t="inlineStr">
        <is>
          <t>3</t>
        </is>
      </c>
      <c r="R1400" s="5" t="inlineStr">
        <is>
          <t>3</t>
        </is>
      </c>
      <c r="S1400" s="5" t="inlineStr">
        <is>
          <t>2</t>
        </is>
      </c>
      <c r="T1400" s="5" t="inlineStr">
        <is>
          <t>11</t>
        </is>
      </c>
      <c r="U1400" s="5" t="inlineStr">
        <is>
          <t>OK</t>
        </is>
      </c>
    </row>
    <row r="1401">
      <c r="A1401" s="5" t="inlineStr">
        <is>
          <t>E01267</t>
        </is>
      </c>
      <c r="B1401" s="5" t="inlineStr">
        <is>
          <t>Female</t>
        </is>
      </c>
      <c r="C1401" s="6" t="inlineStr">
        <is>
          <t>33</t>
        </is>
      </c>
      <c r="D1401" s="5" t="inlineStr">
        <is>
          <t>Married</t>
        </is>
      </c>
      <c r="E1401" s="5" t="inlineStr">
        <is>
          <t>PhD</t>
        </is>
      </c>
      <c r="F1401" s="5" t="inlineStr">
        <is>
          <t>Human Resources</t>
        </is>
      </c>
      <c r="G1401" s="5" t="inlineStr">
        <is>
          <t>HR Analyst</t>
        </is>
      </c>
      <c r="H1401" s="5" t="inlineStr">
        <is>
          <t>2</t>
        </is>
      </c>
      <c r="I1401" s="5" t="inlineStr">
        <is>
          <t>Mumbai</t>
        </is>
      </c>
      <c r="J1401" s="5" t="inlineStr">
        <is>
          <t>Full-Time</t>
        </is>
      </c>
      <c r="K1401" s="7" t="n">
        <v>43958</v>
      </c>
      <c r="L1401" s="7" t="inlineStr"/>
      <c r="M1401" s="5" t="inlineStr">
        <is>
          <t>Yes</t>
        </is>
      </c>
      <c r="N1401" s="5" t="inlineStr"/>
      <c r="O1401" s="8" t="inlineStr">
        <is>
          <t>83500</t>
        </is>
      </c>
      <c r="P1401" s="5" t="inlineStr">
        <is>
          <t>5</t>
        </is>
      </c>
      <c r="Q1401" s="5" t="inlineStr">
        <is>
          <t>3</t>
        </is>
      </c>
      <c r="R1401" s="5" t="inlineStr">
        <is>
          <t>4</t>
        </is>
      </c>
      <c r="S1401" s="5" t="inlineStr">
        <is>
          <t>68</t>
        </is>
      </c>
      <c r="T1401" s="5" t="inlineStr">
        <is>
          <t>9</t>
        </is>
      </c>
      <c r="U1401" s="5" t="inlineStr">
        <is>
          <t>OK</t>
        </is>
      </c>
    </row>
    <row r="1402">
      <c r="A1402" s="5" t="inlineStr">
        <is>
          <t>E02126</t>
        </is>
      </c>
      <c r="B1402" s="5" t="inlineStr">
        <is>
          <t>Female</t>
        </is>
      </c>
      <c r="C1402" s="6" t="inlineStr">
        <is>
          <t>34</t>
        </is>
      </c>
      <c r="D1402" s="5" t="inlineStr">
        <is>
          <t>Married</t>
        </is>
      </c>
      <c r="E1402" s="5" t="inlineStr">
        <is>
          <t>PhD</t>
        </is>
      </c>
      <c r="F1402" s="5" t="inlineStr">
        <is>
          <t>Customer Support</t>
        </is>
      </c>
      <c r="G1402" s="5" t="inlineStr">
        <is>
          <t>Support Agent</t>
        </is>
      </c>
      <c r="H1402" s="5" t="inlineStr">
        <is>
          <t>1</t>
        </is>
      </c>
      <c r="I1402" s="5" t="inlineStr">
        <is>
          <t>Remote</t>
        </is>
      </c>
      <c r="J1402" s="5" t="inlineStr">
        <is>
          <t>Part-Time</t>
        </is>
      </c>
      <c r="K1402" s="7" t="n">
        <v>44941</v>
      </c>
      <c r="L1402" s="7" t="n">
        <v>44991</v>
      </c>
      <c r="M1402" s="5" t="inlineStr">
        <is>
          <t>No</t>
        </is>
      </c>
      <c r="N1402" s="5" t="inlineStr">
        <is>
          <t>Resigned</t>
        </is>
      </c>
      <c r="O1402" s="8" t="inlineStr">
        <is>
          <t>61500</t>
        </is>
      </c>
      <c r="P1402" s="5" t="inlineStr">
        <is>
          <t>5</t>
        </is>
      </c>
      <c r="Q1402" s="5" t="inlineStr">
        <is>
          <t>3</t>
        </is>
      </c>
      <c r="R1402" s="5" t="inlineStr">
        <is>
          <t>7</t>
        </is>
      </c>
      <c r="S1402" s="5" t="inlineStr">
        <is>
          <t>1</t>
        </is>
      </c>
      <c r="T1402" s="5" t="inlineStr">
        <is>
          <t>14</t>
        </is>
      </c>
      <c r="U1402" s="5" t="inlineStr">
        <is>
          <t>OK</t>
        </is>
      </c>
    </row>
    <row r="1403">
      <c r="A1403" s="5" t="inlineStr">
        <is>
          <t>E01892</t>
        </is>
      </c>
      <c r="B1403" s="5" t="inlineStr">
        <is>
          <t>Male</t>
        </is>
      </c>
      <c r="C1403" s="6" t="inlineStr">
        <is>
          <t>39</t>
        </is>
      </c>
      <c r="D1403" s="5" t="inlineStr">
        <is>
          <t>Married</t>
        </is>
      </c>
      <c r="E1403" s="5" t="inlineStr">
        <is>
          <t>Diploma</t>
        </is>
      </c>
      <c r="F1403" s="5" t="inlineStr">
        <is>
          <t>Sales</t>
        </is>
      </c>
      <c r="G1403" s="5" t="inlineStr">
        <is>
          <t>Sales Executive</t>
        </is>
      </c>
      <c r="H1403" s="5" t="inlineStr">
        <is>
          <t>5</t>
        </is>
      </c>
      <c r="I1403" s="5" t="inlineStr">
        <is>
          <t>Bengaluru</t>
        </is>
      </c>
      <c r="J1403" s="5" t="inlineStr">
        <is>
          <t>Full-Time</t>
        </is>
      </c>
      <c r="K1403" s="7" t="n">
        <v>44082</v>
      </c>
      <c r="L1403" s="7" t="inlineStr"/>
      <c r="M1403" s="5" t="inlineStr">
        <is>
          <t>Yes</t>
        </is>
      </c>
      <c r="N1403" s="5" t="inlineStr"/>
      <c r="O1403" s="8" t="inlineStr">
        <is>
          <t>167000</t>
        </is>
      </c>
      <c r="P1403" s="5" t="inlineStr">
        <is>
          <t>5</t>
        </is>
      </c>
      <c r="Q1403" s="5" t="inlineStr">
        <is>
          <t>1</t>
        </is>
      </c>
      <c r="R1403" s="5" t="inlineStr">
        <is>
          <t>7</t>
        </is>
      </c>
      <c r="S1403" s="5" t="inlineStr">
        <is>
          <t>64</t>
        </is>
      </c>
      <c r="T1403" s="5" t="inlineStr">
        <is>
          <t>0</t>
        </is>
      </c>
      <c r="U1403" s="5" t="inlineStr">
        <is>
          <t>OK</t>
        </is>
      </c>
    </row>
    <row r="1404">
      <c r="A1404" s="5" t="inlineStr">
        <is>
          <t>E02682</t>
        </is>
      </c>
      <c r="B1404" s="5" t="inlineStr">
        <is>
          <t>Male</t>
        </is>
      </c>
      <c r="C1404" s="6" t="inlineStr">
        <is>
          <t>28</t>
        </is>
      </c>
      <c r="D1404" s="5" t="inlineStr">
        <is>
          <t>Divorced</t>
        </is>
      </c>
      <c r="E1404" s="5" t="inlineStr">
        <is>
          <t>Diploma</t>
        </is>
      </c>
      <c r="F1404" s="5" t="inlineStr">
        <is>
          <t>IT</t>
        </is>
      </c>
      <c r="G1404" s="5" t="inlineStr">
        <is>
          <t>DevOps Engineer</t>
        </is>
      </c>
      <c r="H1404" s="5" t="inlineStr">
        <is>
          <t>2</t>
        </is>
      </c>
      <c r="I1404" s="5" t="inlineStr">
        <is>
          <t>Remote</t>
        </is>
      </c>
      <c r="J1404" s="5" t="inlineStr">
        <is>
          <t>Full-Time</t>
        </is>
      </c>
      <c r="K1404" s="7" t="n">
        <v>45340</v>
      </c>
      <c r="L1404" s="7" t="inlineStr"/>
      <c r="M1404" s="5" t="inlineStr">
        <is>
          <t>Yes</t>
        </is>
      </c>
      <c r="N1404" s="5" t="inlineStr"/>
      <c r="O1404" s="8" t="inlineStr">
        <is>
          <t>158000</t>
        </is>
      </c>
      <c r="P1404" s="5" t="inlineStr">
        <is>
          <t>10</t>
        </is>
      </c>
      <c r="Q1404" s="5" t="inlineStr">
        <is>
          <t>4</t>
        </is>
      </c>
      <c r="R1404" s="5" t="inlineStr">
        <is>
          <t>3</t>
        </is>
      </c>
      <c r="S1404" s="5" t="inlineStr">
        <is>
          <t>22</t>
        </is>
      </c>
      <c r="T1404" s="5" t="inlineStr">
        <is>
          <t>3</t>
        </is>
      </c>
      <c r="U1404" s="5" t="inlineStr">
        <is>
          <t>OK</t>
        </is>
      </c>
    </row>
    <row r="1405">
      <c r="A1405" s="5" t="inlineStr">
        <is>
          <t>E00610</t>
        </is>
      </c>
      <c r="B1405" s="5" t="inlineStr">
        <is>
          <t>Male</t>
        </is>
      </c>
      <c r="C1405" s="6" t="inlineStr">
        <is>
          <t>25</t>
        </is>
      </c>
      <c r="D1405" s="5" t="inlineStr">
        <is>
          <t>Divorced</t>
        </is>
      </c>
      <c r="E1405" s="5" t="inlineStr">
        <is>
          <t>High School</t>
        </is>
      </c>
      <c r="F1405" s="5" t="inlineStr">
        <is>
          <t>Customer Support</t>
        </is>
      </c>
      <c r="G1405" s="5" t="inlineStr">
        <is>
          <t>Support Agent</t>
        </is>
      </c>
      <c r="H1405" s="5" t="inlineStr">
        <is>
          <t>1</t>
        </is>
      </c>
      <c r="I1405" s="5" t="inlineStr">
        <is>
          <t>Chennai</t>
        </is>
      </c>
      <c r="J1405" s="5" t="inlineStr">
        <is>
          <t>Full-Time</t>
        </is>
      </c>
      <c r="K1405" s="7" t="n">
        <v>45936</v>
      </c>
      <c r="L1405" s="7" t="n">
        <v>45992</v>
      </c>
      <c r="M1405" s="5" t="inlineStr">
        <is>
          <t>No</t>
        </is>
      </c>
      <c r="N1405" s="5" t="inlineStr">
        <is>
          <t>Resigned</t>
        </is>
      </c>
      <c r="O1405" s="8" t="inlineStr">
        <is>
          <t>63000</t>
        </is>
      </c>
      <c r="P1405" s="5" t="inlineStr">
        <is>
          <t>0</t>
        </is>
      </c>
      <c r="Q1405" s="5" t="inlineStr">
        <is>
          <t>4</t>
        </is>
      </c>
      <c r="R1405" s="5" t="inlineStr">
        <is>
          <t>7</t>
        </is>
      </c>
      <c r="S1405" s="5" t="inlineStr">
        <is>
          <t>1</t>
        </is>
      </c>
      <c r="T1405" s="5" t="inlineStr">
        <is>
          <t>2</t>
        </is>
      </c>
      <c r="U1405" s="5" t="inlineStr">
        <is>
          <t>OK</t>
        </is>
      </c>
    </row>
    <row r="1406">
      <c r="A1406" s="5" t="inlineStr">
        <is>
          <t>E00432</t>
        </is>
      </c>
      <c r="B1406" s="5" t="inlineStr">
        <is>
          <t>Male</t>
        </is>
      </c>
      <c r="C1406" s="6" t="inlineStr">
        <is>
          <t>46</t>
        </is>
      </c>
      <c r="D1406" s="5" t="inlineStr">
        <is>
          <t>Married</t>
        </is>
      </c>
      <c r="E1406" s="5" t="inlineStr">
        <is>
          <t>Master</t>
        </is>
      </c>
      <c r="F1406" s="5" t="inlineStr">
        <is>
          <t>Marketing</t>
        </is>
      </c>
      <c r="G1406" s="5" t="inlineStr">
        <is>
          <t>Marketing Analyst</t>
        </is>
      </c>
      <c r="H1406" s="5" t="inlineStr">
        <is>
          <t>7</t>
        </is>
      </c>
      <c r="I1406" s="5" t="inlineStr">
        <is>
          <t>Bengaluru</t>
        </is>
      </c>
      <c r="J1406" s="5" t="inlineStr">
        <is>
          <t>Full-Time</t>
        </is>
      </c>
      <c r="K1406" s="7" t="n">
        <v>45567</v>
      </c>
      <c r="L1406" s="7" t="inlineStr"/>
      <c r="M1406" s="5" t="inlineStr">
        <is>
          <t>Yes</t>
        </is>
      </c>
      <c r="N1406" s="5" t="inlineStr"/>
      <c r="O1406" s="8" t="inlineStr">
        <is>
          <t>122000</t>
        </is>
      </c>
      <c r="P1406" s="5" t="inlineStr">
        <is>
          <t>10</t>
        </is>
      </c>
      <c r="Q1406" s="5" t="inlineStr">
        <is>
          <t>4</t>
        </is>
      </c>
      <c r="R1406" s="5" t="inlineStr">
        <is>
          <t>7</t>
        </is>
      </c>
      <c r="S1406" s="5" t="inlineStr">
        <is>
          <t>15</t>
        </is>
      </c>
      <c r="T1406" s="5" t="inlineStr">
        <is>
          <t>8</t>
        </is>
      </c>
      <c r="U1406" s="5" t="inlineStr">
        <is>
          <t>OK</t>
        </is>
      </c>
    </row>
    <row r="1407">
      <c r="A1407" s="5" t="inlineStr">
        <is>
          <t>E01253</t>
        </is>
      </c>
      <c r="B1407" s="5" t="inlineStr">
        <is>
          <t>Female</t>
        </is>
      </c>
      <c r="C1407" s="6" t="inlineStr">
        <is>
          <t>32</t>
        </is>
      </c>
      <c r="D1407" s="5" t="inlineStr">
        <is>
          <t>Married</t>
        </is>
      </c>
      <c r="E1407" s="5" t="inlineStr">
        <is>
          <t>PhD</t>
        </is>
      </c>
      <c r="F1407" s="5" t="inlineStr">
        <is>
          <t>Operations</t>
        </is>
      </c>
      <c r="G1407" s="5" t="inlineStr">
        <is>
          <t>Operations Analyst</t>
        </is>
      </c>
      <c r="H1407" s="5" t="inlineStr">
        <is>
          <t>1</t>
        </is>
      </c>
      <c r="I1407" s="5" t="inlineStr">
        <is>
          <t>Remote</t>
        </is>
      </c>
      <c r="J1407" s="5" t="inlineStr">
        <is>
          <t>Full-Time</t>
        </is>
      </c>
      <c r="K1407" s="7" t="n">
        <v>45851</v>
      </c>
      <c r="L1407" s="7" t="inlineStr"/>
      <c r="M1407" s="5" t="inlineStr">
        <is>
          <t>Yes</t>
        </is>
      </c>
      <c r="N1407" s="5" t="inlineStr"/>
      <c r="O1407" s="8" t="inlineStr">
        <is>
          <t>74000</t>
        </is>
      </c>
      <c r="P1407" s="5" t="inlineStr">
        <is>
          <t>10</t>
        </is>
      </c>
      <c r="Q1407" s="5" t="inlineStr">
        <is>
          <t>3</t>
        </is>
      </c>
      <c r="R1407" s="5" t="inlineStr">
        <is>
          <t>7</t>
        </is>
      </c>
      <c r="S1407" s="5" t="inlineStr">
        <is>
          <t>5</t>
        </is>
      </c>
      <c r="T1407" s="5" t="inlineStr">
        <is>
          <t>0</t>
        </is>
      </c>
      <c r="U1407" s="5" t="inlineStr">
        <is>
          <t>OK</t>
        </is>
      </c>
    </row>
    <row r="1408">
      <c r="A1408" s="5" t="inlineStr">
        <is>
          <t>E02835</t>
        </is>
      </c>
      <c r="B1408" s="5" t="inlineStr">
        <is>
          <t>Female</t>
        </is>
      </c>
      <c r="C1408" s="6" t="inlineStr">
        <is>
          <t>27</t>
        </is>
      </c>
      <c r="D1408" s="5" t="inlineStr">
        <is>
          <t>Single</t>
        </is>
      </c>
      <c r="E1408" s="5" t="inlineStr">
        <is>
          <t>Diploma</t>
        </is>
      </c>
      <c r="F1408" s="5" t="inlineStr">
        <is>
          <t>Customer Support</t>
        </is>
      </c>
      <c r="G1408" s="5" t="inlineStr">
        <is>
          <t>Escalation Specialist</t>
        </is>
      </c>
      <c r="H1408" s="5" t="inlineStr">
        <is>
          <t>3</t>
        </is>
      </c>
      <c r="I1408" s="5" t="inlineStr">
        <is>
          <t>Bengaluru</t>
        </is>
      </c>
      <c r="J1408" s="5" t="inlineStr">
        <is>
          <t>Full-Time</t>
        </is>
      </c>
      <c r="K1408" s="7" t="n">
        <v>45301</v>
      </c>
      <c r="L1408" s="7" t="inlineStr"/>
      <c r="M1408" s="5" t="inlineStr">
        <is>
          <t>Yes</t>
        </is>
      </c>
      <c r="N1408" s="5" t="inlineStr"/>
      <c r="O1408" s="8" t="inlineStr">
        <is>
          <t>80000</t>
        </is>
      </c>
      <c r="P1408" s="5" t="inlineStr">
        <is>
          <t>10</t>
        </is>
      </c>
      <c r="Q1408" s="5" t="inlineStr">
        <is>
          <t>4</t>
        </is>
      </c>
      <c r="R1408" s="5" t="inlineStr">
        <is>
          <t>5</t>
        </is>
      </c>
      <c r="S1408" s="5" t="inlineStr">
        <is>
          <t>24</t>
        </is>
      </c>
      <c r="T1408" s="5" t="inlineStr">
        <is>
          <t>10</t>
        </is>
      </c>
      <c r="U1408" s="5" t="inlineStr">
        <is>
          <t>OK</t>
        </is>
      </c>
    </row>
    <row r="1409">
      <c r="A1409" s="5" t="inlineStr">
        <is>
          <t>E02218</t>
        </is>
      </c>
      <c r="B1409" s="5" t="inlineStr">
        <is>
          <t>Male</t>
        </is>
      </c>
      <c r="C1409" s="6" t="inlineStr">
        <is>
          <t>26</t>
        </is>
      </c>
      <c r="D1409" s="5" t="inlineStr">
        <is>
          <t>Married</t>
        </is>
      </c>
      <c r="E1409" s="5" t="inlineStr">
        <is>
          <t>Master</t>
        </is>
      </c>
      <c r="F1409" s="5" t="inlineStr">
        <is>
          <t>Sales</t>
        </is>
      </c>
      <c r="G1409" s="5" t="inlineStr">
        <is>
          <t>Sales Executive</t>
        </is>
      </c>
      <c r="H1409" s="5" t="inlineStr">
        <is>
          <t>2</t>
        </is>
      </c>
      <c r="I1409" s="5" t="inlineStr">
        <is>
          <t>Chennai</t>
        </is>
      </c>
      <c r="J1409" s="5" t="inlineStr">
        <is>
          <t>Full-Time</t>
        </is>
      </c>
      <c r="K1409" s="7" t="n">
        <v>44673</v>
      </c>
      <c r="L1409" s="7" t="inlineStr"/>
      <c r="M1409" s="5" t="inlineStr">
        <is>
          <t>Yes</t>
        </is>
      </c>
      <c r="N1409" s="5" t="inlineStr"/>
      <c r="O1409" s="8" t="inlineStr">
        <is>
          <t>82000</t>
        </is>
      </c>
      <c r="P1409" s="5" t="inlineStr">
        <is>
          <t>5</t>
        </is>
      </c>
      <c r="Q1409" s="5" t="inlineStr">
        <is>
          <t>4</t>
        </is>
      </c>
      <c r="R1409" s="5" t="inlineStr">
        <is>
          <t>5</t>
        </is>
      </c>
      <c r="S1409" s="5" t="inlineStr">
        <is>
          <t>44</t>
        </is>
      </c>
      <c r="T1409" s="5" t="inlineStr">
        <is>
          <t>0</t>
        </is>
      </c>
      <c r="U1409" s="5" t="inlineStr">
        <is>
          <t>Duplicate</t>
        </is>
      </c>
    </row>
    <row r="1410">
      <c r="A1410" s="5" t="inlineStr">
        <is>
          <t>E02429</t>
        </is>
      </c>
      <c r="B1410" s="5" t="inlineStr">
        <is>
          <t>Female</t>
        </is>
      </c>
      <c r="C1410" s="6" t="inlineStr">
        <is>
          <t>33</t>
        </is>
      </c>
      <c r="D1410" s="5" t="inlineStr">
        <is>
          <t>Married</t>
        </is>
      </c>
      <c r="E1410" s="5" t="inlineStr">
        <is>
          <t>PhD</t>
        </is>
      </c>
      <c r="F1410" s="5" t="inlineStr">
        <is>
          <t>Marketing</t>
        </is>
      </c>
      <c r="G1410" s="5" t="inlineStr">
        <is>
          <t>SEO Specialist</t>
        </is>
      </c>
      <c r="H1410" s="5" t="inlineStr">
        <is>
          <t>2</t>
        </is>
      </c>
      <c r="I1410" s="5" t="inlineStr">
        <is>
          <t>Bengaluru</t>
        </is>
      </c>
      <c r="J1410" s="5" t="inlineStr">
        <is>
          <t>Full-Time</t>
        </is>
      </c>
      <c r="K1410" s="7" t="n">
        <v>45999</v>
      </c>
      <c r="L1410" s="7" t="inlineStr"/>
      <c r="M1410" s="5" t="inlineStr">
        <is>
          <t>Yes</t>
        </is>
      </c>
      <c r="N1410" s="5" t="inlineStr"/>
      <c r="O1410" s="8" t="inlineStr">
        <is>
          <t>100000</t>
        </is>
      </c>
      <c r="P1410" s="5" t="inlineStr">
        <is>
          <t>10</t>
        </is>
      </c>
      <c r="Q1410" s="5" t="inlineStr">
        <is>
          <t>4</t>
        </is>
      </c>
      <c r="R1410" s="5" t="inlineStr">
        <is>
          <t>4</t>
        </is>
      </c>
      <c r="S1410" s="5" t="inlineStr">
        <is>
          <t>1</t>
        </is>
      </c>
      <c r="T1410" s="5" t="inlineStr">
        <is>
          <t>13</t>
        </is>
      </c>
      <c r="U1410" s="5" t="inlineStr">
        <is>
          <t>OK</t>
        </is>
      </c>
    </row>
    <row r="1411">
      <c r="A1411" s="5" t="inlineStr">
        <is>
          <t>E00767</t>
        </is>
      </c>
      <c r="B1411" s="5" t="inlineStr">
        <is>
          <t>Male</t>
        </is>
      </c>
      <c r="C1411" s="6" t="inlineStr">
        <is>
          <t>36</t>
        </is>
      </c>
      <c r="D1411" s="5" t="inlineStr">
        <is>
          <t>Married</t>
        </is>
      </c>
      <c r="E1411" s="5" t="inlineStr">
        <is>
          <t>PhD</t>
        </is>
      </c>
      <c r="F1411" s="5" t="inlineStr">
        <is>
          <t>Sales</t>
        </is>
      </c>
      <c r="G1411" s="5" t="inlineStr">
        <is>
          <t>Business Development</t>
        </is>
      </c>
      <c r="H1411" s="5" t="inlineStr">
        <is>
          <t>2</t>
        </is>
      </c>
      <c r="I1411" s="5" t="inlineStr">
        <is>
          <t>Hyderabad</t>
        </is>
      </c>
      <c r="J1411" s="5" t="inlineStr">
        <is>
          <t>Full-Time</t>
        </is>
      </c>
      <c r="K1411" s="7" t="n">
        <v>44821</v>
      </c>
      <c r="L1411" s="7" t="inlineStr"/>
      <c r="M1411" s="5" t="inlineStr">
        <is>
          <t>Yes</t>
        </is>
      </c>
      <c r="N1411" s="5" t="inlineStr"/>
      <c r="O1411" s="8" t="inlineStr">
        <is>
          <t>75000</t>
        </is>
      </c>
      <c r="P1411" s="5" t="inlineStr">
        <is>
          <t>0</t>
        </is>
      </c>
      <c r="Q1411" s="5" t="inlineStr">
        <is>
          <t>2</t>
        </is>
      </c>
      <c r="R1411" s="5" t="inlineStr">
        <is>
          <t>10</t>
        </is>
      </c>
      <c r="S1411" s="5" t="inlineStr">
        <is>
          <t>40</t>
        </is>
      </c>
      <c r="T1411" s="5" t="inlineStr">
        <is>
          <t>15</t>
        </is>
      </c>
      <c r="U1411" s="5" t="inlineStr">
        <is>
          <t>OK</t>
        </is>
      </c>
    </row>
    <row r="1412">
      <c r="A1412" s="5" t="inlineStr">
        <is>
          <t>E02340</t>
        </is>
      </c>
      <c r="B1412" s="5" t="inlineStr">
        <is>
          <t>Female</t>
        </is>
      </c>
      <c r="C1412" s="6" t="inlineStr">
        <is>
          <t>31</t>
        </is>
      </c>
      <c r="D1412" s="5" t="inlineStr">
        <is>
          <t>Married</t>
        </is>
      </c>
      <c r="E1412" s="5" t="inlineStr">
        <is>
          <t>High School</t>
        </is>
      </c>
      <c r="F1412" s="5" t="inlineStr">
        <is>
          <t>Sales</t>
        </is>
      </c>
      <c r="G1412" s="5" t="inlineStr">
        <is>
          <t>Account Executive</t>
        </is>
      </c>
      <c r="H1412" s="5" t="inlineStr">
        <is>
          <t>2</t>
        </is>
      </c>
      <c r="I1412" s="5" t="inlineStr">
        <is>
          <t>Mumbai</t>
        </is>
      </c>
      <c r="J1412" s="5" t="inlineStr">
        <is>
          <t>Full-Time</t>
        </is>
      </c>
      <c r="K1412" s="7" t="n">
        <v>45595</v>
      </c>
      <c r="L1412" s="7" t="inlineStr"/>
      <c r="M1412" s="5" t="inlineStr">
        <is>
          <t>Yes</t>
        </is>
      </c>
      <c r="N1412" s="5" t="inlineStr"/>
      <c r="O1412" s="8" t="inlineStr">
        <is>
          <t>111000</t>
        </is>
      </c>
      <c r="P1412" s="5" t="inlineStr">
        <is>
          <t>5</t>
        </is>
      </c>
      <c r="Q1412" s="5" t="inlineStr">
        <is>
          <t>3</t>
        </is>
      </c>
      <c r="R1412" s="5" t="inlineStr">
        <is>
          <t>7</t>
        </is>
      </c>
      <c r="S1412" s="5" t="inlineStr">
        <is>
          <t>14</t>
        </is>
      </c>
      <c r="T1412" s="5" t="inlineStr">
        <is>
          <t>6</t>
        </is>
      </c>
      <c r="U1412" s="5" t="inlineStr">
        <is>
          <t>OK</t>
        </is>
      </c>
    </row>
    <row r="1413">
      <c r="A1413" s="5" t="inlineStr">
        <is>
          <t>E00707</t>
        </is>
      </c>
      <c r="B1413" s="5" t="inlineStr">
        <is>
          <t>Female</t>
        </is>
      </c>
      <c r="C1413" s="6" t="inlineStr">
        <is>
          <t>33</t>
        </is>
      </c>
      <c r="D1413" s="5" t="inlineStr">
        <is>
          <t>Married</t>
        </is>
      </c>
      <c r="E1413" s="5" t="inlineStr">
        <is>
          <t>Bachelor</t>
        </is>
      </c>
      <c r="F1413" s="5" t="inlineStr">
        <is>
          <t>IT</t>
        </is>
      </c>
      <c r="G1413" s="5" t="inlineStr">
        <is>
          <t>IT Support</t>
        </is>
      </c>
      <c r="H1413" s="5" t="inlineStr">
        <is>
          <t>3</t>
        </is>
      </c>
      <c r="I1413" s="5" t="inlineStr">
        <is>
          <t>Remote</t>
        </is>
      </c>
      <c r="J1413" s="5" t="inlineStr">
        <is>
          <t>Full-Time</t>
        </is>
      </c>
      <c r="K1413" s="7" t="n">
        <v>45758</v>
      </c>
      <c r="L1413" s="7" t="inlineStr"/>
      <c r="M1413" s="5" t="inlineStr">
        <is>
          <t>Yes</t>
        </is>
      </c>
      <c r="N1413" s="5" t="inlineStr"/>
      <c r="O1413" s="8" t="inlineStr">
        <is>
          <t>121500</t>
        </is>
      </c>
      <c r="P1413" s="5" t="inlineStr">
        <is>
          <t>0</t>
        </is>
      </c>
      <c r="Q1413" s="5" t="inlineStr">
        <is>
          <t>2</t>
        </is>
      </c>
      <c r="R1413" s="5" t="inlineStr">
        <is>
          <t>5</t>
        </is>
      </c>
      <c r="S1413" s="5" t="inlineStr">
        <is>
          <t>8</t>
        </is>
      </c>
      <c r="T1413" s="5" t="inlineStr">
        <is>
          <t>0</t>
        </is>
      </c>
      <c r="U1413" s="5" t="inlineStr">
        <is>
          <t>OK</t>
        </is>
      </c>
    </row>
    <row r="1414">
      <c r="A1414" s="5" t="inlineStr">
        <is>
          <t>E01505</t>
        </is>
      </c>
      <c r="B1414" s="5" t="inlineStr">
        <is>
          <t>Male</t>
        </is>
      </c>
      <c r="C1414" s="6" t="inlineStr">
        <is>
          <t>31</t>
        </is>
      </c>
      <c r="D1414" s="5" t="inlineStr">
        <is>
          <t>Divorced</t>
        </is>
      </c>
      <c r="E1414" s="5" t="inlineStr">
        <is>
          <t>Master</t>
        </is>
      </c>
      <c r="F1414" s="5" t="inlineStr">
        <is>
          <t>IT</t>
        </is>
      </c>
      <c r="G1414" s="5" t="inlineStr">
        <is>
          <t>DevOps Engineer</t>
        </is>
      </c>
      <c r="H1414" s="5" t="inlineStr">
        <is>
          <t>2</t>
        </is>
      </c>
      <c r="I1414" s="5" t="inlineStr">
        <is>
          <t>Hyderabad</t>
        </is>
      </c>
      <c r="J1414" s="5" t="inlineStr">
        <is>
          <t>Full-Time</t>
        </is>
      </c>
      <c r="K1414" s="7" t="n">
        <v>44830</v>
      </c>
      <c r="L1414" s="7" t="inlineStr"/>
      <c r="M1414" s="5" t="inlineStr">
        <is>
          <t>Yes</t>
        </is>
      </c>
      <c r="N1414" s="5" t="inlineStr"/>
      <c r="O1414" s="8" t="inlineStr">
        <is>
          <t>160500</t>
        </is>
      </c>
      <c r="P1414" s="5" t="inlineStr">
        <is>
          <t>5</t>
        </is>
      </c>
      <c r="Q1414" s="5" t="inlineStr">
        <is>
          <t>3</t>
        </is>
      </c>
      <c r="R1414" s="5" t="inlineStr">
        <is>
          <t>5</t>
        </is>
      </c>
      <c r="S1414" s="5" t="inlineStr">
        <is>
          <t>39</t>
        </is>
      </c>
      <c r="T1414" s="5" t="inlineStr">
        <is>
          <t>10</t>
        </is>
      </c>
      <c r="U1414" s="5" t="inlineStr">
        <is>
          <t>OK</t>
        </is>
      </c>
    </row>
    <row r="1415">
      <c r="A1415" s="5" t="inlineStr">
        <is>
          <t>E02795</t>
        </is>
      </c>
      <c r="B1415" s="5" t="inlineStr">
        <is>
          <t>Male</t>
        </is>
      </c>
      <c r="C1415" s="6" t="inlineStr">
        <is>
          <t>26</t>
        </is>
      </c>
      <c r="D1415" s="5" t="inlineStr">
        <is>
          <t>Single</t>
        </is>
      </c>
      <c r="E1415" s="5" t="inlineStr">
        <is>
          <t>Diploma</t>
        </is>
      </c>
      <c r="F1415" s="5" t="inlineStr">
        <is>
          <t>Marketing</t>
        </is>
      </c>
      <c r="G1415" s="5" t="inlineStr">
        <is>
          <t>SEO Specialist</t>
        </is>
      </c>
      <c r="H1415" s="5" t="inlineStr">
        <is>
          <t>2</t>
        </is>
      </c>
      <c r="I1415" s="5" t="inlineStr">
        <is>
          <t>Remote</t>
        </is>
      </c>
      <c r="J1415" s="5" t="inlineStr">
        <is>
          <t>Full-Time</t>
        </is>
      </c>
      <c r="K1415" s="7" t="n">
        <v>44630</v>
      </c>
      <c r="L1415" s="7" t="inlineStr"/>
      <c r="M1415" s="5" t="inlineStr">
        <is>
          <t>Yes</t>
        </is>
      </c>
      <c r="N1415" s="5" t="inlineStr"/>
      <c r="O1415" s="8" t="inlineStr">
        <is>
          <t>100500</t>
        </is>
      </c>
      <c r="P1415" s="5" t="inlineStr">
        <is>
          <t>10</t>
        </is>
      </c>
      <c r="Q1415" s="5" t="inlineStr">
        <is>
          <t>4</t>
        </is>
      </c>
      <c r="R1415" s="5" t="inlineStr">
        <is>
          <t>3</t>
        </is>
      </c>
      <c r="S1415" s="5" t="inlineStr">
        <is>
          <t>46</t>
        </is>
      </c>
      <c r="T1415" s="5" t="inlineStr">
        <is>
          <t>9</t>
        </is>
      </c>
      <c r="U1415" s="5" t="inlineStr">
        <is>
          <t>OK</t>
        </is>
      </c>
    </row>
    <row r="1416">
      <c r="A1416" s="5" t="inlineStr">
        <is>
          <t>E00127</t>
        </is>
      </c>
      <c r="B1416" s="5" t="inlineStr">
        <is>
          <t>Male</t>
        </is>
      </c>
      <c r="C1416" s="6" t="inlineStr">
        <is>
          <t>35</t>
        </is>
      </c>
      <c r="D1416" s="5" t="inlineStr">
        <is>
          <t>Single</t>
        </is>
      </c>
      <c r="E1416" s="5" t="inlineStr">
        <is>
          <t>Master</t>
        </is>
      </c>
      <c r="F1416" s="5" t="inlineStr">
        <is>
          <t>IT</t>
        </is>
      </c>
      <c r="G1416" s="5" t="inlineStr">
        <is>
          <t>IT Support</t>
        </is>
      </c>
      <c r="H1416" s="5" t="inlineStr">
        <is>
          <t>2</t>
        </is>
      </c>
      <c r="I1416" s="5" t="inlineStr">
        <is>
          <t>Remote</t>
        </is>
      </c>
      <c r="J1416" s="5" t="inlineStr">
        <is>
          <t>Full-Time</t>
        </is>
      </c>
      <c r="K1416" s="7" t="n">
        <v>45018</v>
      </c>
      <c r="L1416" s="7" t="inlineStr"/>
      <c r="M1416" s="5" t="inlineStr">
        <is>
          <t>Yes</t>
        </is>
      </c>
      <c r="N1416" s="5" t="inlineStr"/>
      <c r="O1416" s="8" t="inlineStr">
        <is>
          <t>97000</t>
        </is>
      </c>
      <c r="P1416" s="5" t="inlineStr">
        <is>
          <t>0</t>
        </is>
      </c>
      <c r="Q1416" s="5" t="inlineStr">
        <is>
          <t>3</t>
        </is>
      </c>
      <c r="R1416" s="5" t="inlineStr">
        <is>
          <t>7</t>
        </is>
      </c>
      <c r="S1416" s="5" t="inlineStr">
        <is>
          <t>33</t>
        </is>
      </c>
      <c r="T1416" s="5" t="inlineStr">
        <is>
          <t>12</t>
        </is>
      </c>
      <c r="U1416" s="5" t="inlineStr">
        <is>
          <t>OK</t>
        </is>
      </c>
    </row>
    <row r="1417">
      <c r="A1417" s="5" t="inlineStr">
        <is>
          <t>E02962</t>
        </is>
      </c>
      <c r="B1417" s="5" t="inlineStr">
        <is>
          <t>Female</t>
        </is>
      </c>
      <c r="C1417" s="6" t="inlineStr">
        <is>
          <t>28</t>
        </is>
      </c>
      <c r="D1417" s="5" t="inlineStr">
        <is>
          <t>Single</t>
        </is>
      </c>
      <c r="E1417" s="5" t="inlineStr">
        <is>
          <t>Master</t>
        </is>
      </c>
      <c r="F1417" s="5" t="inlineStr">
        <is>
          <t>IT</t>
        </is>
      </c>
      <c r="G1417" s="5" t="inlineStr">
        <is>
          <t>Data Analyst</t>
        </is>
      </c>
      <c r="H1417" s="5" t="inlineStr">
        <is>
          <t>3</t>
        </is>
      </c>
      <c r="I1417" s="5" t="inlineStr">
        <is>
          <t>Mumbai</t>
        </is>
      </c>
      <c r="J1417" s="5" t="inlineStr">
        <is>
          <t>Contract</t>
        </is>
      </c>
      <c r="K1417" s="7" t="n">
        <v>43884</v>
      </c>
      <c r="L1417" s="7" t="inlineStr"/>
      <c r="M1417" s="5" t="inlineStr">
        <is>
          <t>Yes</t>
        </is>
      </c>
      <c r="N1417" s="5" t="inlineStr"/>
      <c r="O1417" s="8" t="inlineStr">
        <is>
          <t>183000</t>
        </is>
      </c>
      <c r="P1417" s="5" t="inlineStr">
        <is>
          <t>10</t>
        </is>
      </c>
      <c r="Q1417" s="5" t="inlineStr">
        <is>
          <t>4</t>
        </is>
      </c>
      <c r="R1417" s="5" t="inlineStr">
        <is>
          <t>6</t>
        </is>
      </c>
      <c r="S1417" s="5" t="inlineStr">
        <is>
          <t>71</t>
        </is>
      </c>
      <c r="T1417" s="5" t="inlineStr">
        <is>
          <t>8</t>
        </is>
      </c>
      <c r="U1417" s="5" t="inlineStr">
        <is>
          <t>OK</t>
        </is>
      </c>
    </row>
    <row r="1418">
      <c r="A1418" s="5" t="inlineStr">
        <is>
          <t>E01451</t>
        </is>
      </c>
      <c r="B1418" s="5" t="inlineStr">
        <is>
          <t>Male</t>
        </is>
      </c>
      <c r="C1418" s="6" t="inlineStr">
        <is>
          <t>29</t>
        </is>
      </c>
      <c r="D1418" s="5" t="inlineStr">
        <is>
          <t>Married</t>
        </is>
      </c>
      <c r="E1418" s="5" t="inlineStr">
        <is>
          <t>High School</t>
        </is>
      </c>
      <c r="F1418" s="5" t="inlineStr">
        <is>
          <t>Finance</t>
        </is>
      </c>
      <c r="G1418" s="5" t="inlineStr">
        <is>
          <t>Financial Analyst</t>
        </is>
      </c>
      <c r="H1418" s="5" t="inlineStr">
        <is>
          <t>2</t>
        </is>
      </c>
      <c r="I1418" s="5" t="inlineStr">
        <is>
          <t>Remote</t>
        </is>
      </c>
      <c r="J1418" s="5" t="inlineStr">
        <is>
          <t>Full-Time</t>
        </is>
      </c>
      <c r="K1418" s="7" t="n">
        <v>44330</v>
      </c>
      <c r="L1418" s="7" t="inlineStr"/>
      <c r="M1418" s="5" t="inlineStr">
        <is>
          <t>Yes</t>
        </is>
      </c>
      <c r="N1418" s="5" t="inlineStr"/>
      <c r="O1418" s="8" t="inlineStr">
        <is>
          <t>85500</t>
        </is>
      </c>
      <c r="P1418" s="5" t="inlineStr">
        <is>
          <t>0</t>
        </is>
      </c>
      <c r="Q1418" s="5" t="inlineStr">
        <is>
          <t>3</t>
        </is>
      </c>
      <c r="R1418" s="5" t="inlineStr">
        <is>
          <t>5</t>
        </is>
      </c>
      <c r="S1418" s="5" t="inlineStr">
        <is>
          <t>56</t>
        </is>
      </c>
      <c r="T1418" s="5" t="inlineStr">
        <is>
          <t>11</t>
        </is>
      </c>
      <c r="U1418" s="5" t="inlineStr">
        <is>
          <t>OK</t>
        </is>
      </c>
    </row>
    <row r="1419">
      <c r="A1419" s="5" t="inlineStr">
        <is>
          <t>E02198</t>
        </is>
      </c>
      <c r="B1419" s="5" t="inlineStr">
        <is>
          <t>Male</t>
        </is>
      </c>
      <c r="C1419" s="6" t="inlineStr">
        <is>
          <t>38</t>
        </is>
      </c>
      <c r="D1419" s="5" t="inlineStr">
        <is>
          <t>Single</t>
        </is>
      </c>
      <c r="E1419" s="5" t="inlineStr">
        <is>
          <t>PhD</t>
        </is>
      </c>
      <c r="F1419" s="5" t="inlineStr">
        <is>
          <t>Research &amp; Development</t>
        </is>
      </c>
      <c r="G1419" s="5" t="inlineStr">
        <is>
          <t>Product Engineer</t>
        </is>
      </c>
      <c r="H1419" s="5" t="inlineStr">
        <is>
          <t>3</t>
        </is>
      </c>
      <c r="I1419" s="5" t="inlineStr">
        <is>
          <t>Hyderabad</t>
        </is>
      </c>
      <c r="J1419" s="5" t="inlineStr">
        <is>
          <t>Full-Time</t>
        </is>
      </c>
      <c r="K1419" s="7" t="n">
        <v>44411</v>
      </c>
      <c r="L1419" s="7" t="n">
        <v>44496</v>
      </c>
      <c r="M1419" s="5" t="inlineStr">
        <is>
          <t>No</t>
        </is>
      </c>
      <c r="N1419" s="5" t="inlineStr">
        <is>
          <t>Retirement</t>
        </is>
      </c>
      <c r="O1419" s="8" t="inlineStr">
        <is>
          <t>174000</t>
        </is>
      </c>
      <c r="P1419" s="5" t="inlineStr">
        <is>
          <t>20</t>
        </is>
      </c>
      <c r="Q1419" s="5" t="inlineStr">
        <is>
          <t>3</t>
        </is>
      </c>
      <c r="R1419" s="5" t="inlineStr">
        <is>
          <t>4</t>
        </is>
      </c>
      <c r="S1419" s="5" t="inlineStr">
        <is>
          <t>2</t>
        </is>
      </c>
      <c r="T1419" s="5" t="inlineStr">
        <is>
          <t>15</t>
        </is>
      </c>
      <c r="U1419" s="5" t="inlineStr">
        <is>
          <t>OK</t>
        </is>
      </c>
    </row>
    <row r="1420">
      <c r="A1420" s="5" t="inlineStr">
        <is>
          <t>E01324</t>
        </is>
      </c>
      <c r="B1420" s="5" t="inlineStr">
        <is>
          <t>Female</t>
        </is>
      </c>
      <c r="C1420" s="6" t="inlineStr">
        <is>
          <t>27</t>
        </is>
      </c>
      <c r="D1420" s="5" t="inlineStr">
        <is>
          <t>Married</t>
        </is>
      </c>
      <c r="E1420" s="5" t="inlineStr">
        <is>
          <t>Bachelor</t>
        </is>
      </c>
      <c r="F1420" s="5" t="inlineStr">
        <is>
          <t>Operations</t>
        </is>
      </c>
      <c r="G1420" s="5" t="inlineStr">
        <is>
          <t>Logistics Coordinator</t>
        </is>
      </c>
      <c r="H1420" s="5" t="inlineStr">
        <is>
          <t>2</t>
        </is>
      </c>
      <c r="I1420" s="5" t="inlineStr">
        <is>
          <t>Mumbai</t>
        </is>
      </c>
      <c r="J1420" s="5" t="inlineStr">
        <is>
          <t>Full-Time</t>
        </is>
      </c>
      <c r="K1420" s="7" t="n">
        <v>44148</v>
      </c>
      <c r="L1420" s="7" t="inlineStr"/>
      <c r="M1420" s="5" t="inlineStr">
        <is>
          <t>Yes</t>
        </is>
      </c>
      <c r="N1420" s="5" t="inlineStr"/>
      <c r="O1420" s="8" t="inlineStr">
        <is>
          <t>71000</t>
        </is>
      </c>
      <c r="P1420" s="5" t="inlineStr">
        <is>
          <t>10</t>
        </is>
      </c>
      <c r="Q1420" s="5" t="inlineStr">
        <is>
          <t>4</t>
        </is>
      </c>
      <c r="R1420" s="5" t="inlineStr">
        <is>
          <t>4</t>
        </is>
      </c>
      <c r="S1420" s="5" t="inlineStr">
        <is>
          <t>62</t>
        </is>
      </c>
      <c r="T1420" s="5" t="inlineStr">
        <is>
          <t>11</t>
        </is>
      </c>
      <c r="U1420" s="5" t="inlineStr">
        <is>
          <t>OK</t>
        </is>
      </c>
    </row>
    <row r="1421">
      <c r="A1421" s="5" t="inlineStr">
        <is>
          <t>E01347</t>
        </is>
      </c>
      <c r="B1421" s="5" t="inlineStr">
        <is>
          <t>Female</t>
        </is>
      </c>
      <c r="C1421" s="6" t="inlineStr">
        <is>
          <t>31</t>
        </is>
      </c>
      <c r="D1421" s="5" t="inlineStr">
        <is>
          <t>Married</t>
        </is>
      </c>
      <c r="E1421" s="5" t="inlineStr">
        <is>
          <t>Diploma</t>
        </is>
      </c>
      <c r="F1421" s="5" t="inlineStr">
        <is>
          <t>Sales</t>
        </is>
      </c>
      <c r="G1421" s="5" t="inlineStr">
        <is>
          <t>Business Development</t>
        </is>
      </c>
      <c r="H1421" s="5" t="inlineStr">
        <is>
          <t>5</t>
        </is>
      </c>
      <c r="I1421" s="5" t="inlineStr">
        <is>
          <t>Remote</t>
        </is>
      </c>
      <c r="J1421" s="5" t="inlineStr">
        <is>
          <t>Contract</t>
        </is>
      </c>
      <c r="K1421" s="7" t="n">
        <v>44689</v>
      </c>
      <c r="L1421" s="7" t="inlineStr"/>
      <c r="M1421" s="5" t="inlineStr">
        <is>
          <t>Yes</t>
        </is>
      </c>
      <c r="N1421" s="5" t="inlineStr"/>
      <c r="O1421" s="8" t="inlineStr">
        <is>
          <t>135000</t>
        </is>
      </c>
      <c r="P1421" s="5" t="inlineStr">
        <is>
          <t>10</t>
        </is>
      </c>
      <c r="Q1421" s="5" t="inlineStr">
        <is>
          <t>3</t>
        </is>
      </c>
      <c r="R1421" s="5" t="inlineStr">
        <is>
          <t>5</t>
        </is>
      </c>
      <c r="S1421" s="5" t="inlineStr">
        <is>
          <t>44</t>
        </is>
      </c>
      <c r="T1421" s="5" t="inlineStr">
        <is>
          <t>0</t>
        </is>
      </c>
      <c r="U1421" s="5" t="inlineStr">
        <is>
          <t>OK</t>
        </is>
      </c>
    </row>
    <row r="1422">
      <c r="A1422" s="5" t="inlineStr">
        <is>
          <t>E02945</t>
        </is>
      </c>
      <c r="B1422" s="5" t="inlineStr">
        <is>
          <t>Male</t>
        </is>
      </c>
      <c r="C1422" s="6" t="inlineStr">
        <is>
          <t>32</t>
        </is>
      </c>
      <c r="D1422" s="5" t="inlineStr">
        <is>
          <t>Divorced</t>
        </is>
      </c>
      <c r="E1422" s="5" t="inlineStr">
        <is>
          <t>High School</t>
        </is>
      </c>
      <c r="F1422" s="5" t="inlineStr">
        <is>
          <t>Customer Support</t>
        </is>
      </c>
      <c r="G1422" s="5" t="inlineStr">
        <is>
          <t>Escalation Specialist</t>
        </is>
      </c>
      <c r="H1422" s="5" t="inlineStr">
        <is>
          <t>3</t>
        </is>
      </c>
      <c r="I1422" s="5" t="inlineStr">
        <is>
          <t>Delhi</t>
        </is>
      </c>
      <c r="J1422" s="5" t="inlineStr">
        <is>
          <t>Part-Time</t>
        </is>
      </c>
      <c r="K1422" s="7" t="n">
        <v>43859</v>
      </c>
      <c r="L1422" s="7" t="n">
        <v>43952</v>
      </c>
      <c r="M1422" s="5" t="inlineStr">
        <is>
          <t>No</t>
        </is>
      </c>
      <c r="N1422" s="5" t="inlineStr">
        <is>
          <t>Resigned</t>
        </is>
      </c>
      <c r="O1422" s="8" t="inlineStr">
        <is>
          <t>58000</t>
        </is>
      </c>
      <c r="P1422" s="5" t="inlineStr">
        <is>
          <t>5</t>
        </is>
      </c>
      <c r="Q1422" s="5" t="inlineStr">
        <is>
          <t>3</t>
        </is>
      </c>
      <c r="R1422" s="5" t="inlineStr">
        <is>
          <t>5</t>
        </is>
      </c>
      <c r="S1422" s="5" t="inlineStr">
        <is>
          <t>3</t>
        </is>
      </c>
      <c r="T1422" s="5" t="inlineStr">
        <is>
          <t>8</t>
        </is>
      </c>
      <c r="U1422" s="5" t="inlineStr">
        <is>
          <t>OK</t>
        </is>
      </c>
    </row>
    <row r="1423">
      <c r="A1423" s="5" t="inlineStr">
        <is>
          <t>E00239</t>
        </is>
      </c>
      <c r="B1423" s="5" t="inlineStr">
        <is>
          <t>Female</t>
        </is>
      </c>
      <c r="C1423" s="6" t="inlineStr">
        <is>
          <t>34</t>
        </is>
      </c>
      <c r="D1423" s="5" t="inlineStr">
        <is>
          <t>Married</t>
        </is>
      </c>
      <c r="E1423" s="5" t="inlineStr">
        <is>
          <t>Bachelor</t>
        </is>
      </c>
      <c r="F1423" s="5" t="inlineStr">
        <is>
          <t>Sales</t>
        </is>
      </c>
      <c r="G1423" s="5" t="inlineStr">
        <is>
          <t>Business Development</t>
        </is>
      </c>
      <c r="H1423" s="5" t="inlineStr">
        <is>
          <t>1</t>
        </is>
      </c>
      <c r="I1423" s="5" t="inlineStr">
        <is>
          <t>Bengaluru</t>
        </is>
      </c>
      <c r="J1423" s="5" t="inlineStr">
        <is>
          <t>Full-Time</t>
        </is>
      </c>
      <c r="K1423" s="7" t="n">
        <v>44524</v>
      </c>
      <c r="L1423" s="7" t="n">
        <v>44652</v>
      </c>
      <c r="M1423" s="5" t="inlineStr">
        <is>
          <t>No</t>
        </is>
      </c>
      <c r="N1423" s="5" t="inlineStr">
        <is>
          <t>Resigned</t>
        </is>
      </c>
      <c r="O1423" s="8" t="inlineStr">
        <is>
          <t>77500</t>
        </is>
      </c>
      <c r="P1423" s="5" t="inlineStr">
        <is>
          <t>0</t>
        </is>
      </c>
      <c r="Q1423" s="5" t="inlineStr">
        <is>
          <t>4</t>
        </is>
      </c>
      <c r="R1423" s="5" t="inlineStr">
        <is>
          <t>7</t>
        </is>
      </c>
      <c r="S1423" s="5" t="inlineStr">
        <is>
          <t>4</t>
        </is>
      </c>
      <c r="T1423" s="5" t="inlineStr">
        <is>
          <t>6</t>
        </is>
      </c>
      <c r="U1423" s="5" t="inlineStr">
        <is>
          <t>OK</t>
        </is>
      </c>
    </row>
    <row r="1424">
      <c r="A1424" s="5" t="inlineStr">
        <is>
          <t>E02155</t>
        </is>
      </c>
      <c r="B1424" s="5" t="inlineStr">
        <is>
          <t>Male</t>
        </is>
      </c>
      <c r="C1424" s="6" t="inlineStr">
        <is>
          <t>36</t>
        </is>
      </c>
      <c r="D1424" s="5" t="inlineStr">
        <is>
          <t>Married</t>
        </is>
      </c>
      <c r="E1424" s="5" t="inlineStr">
        <is>
          <t>Master</t>
        </is>
      </c>
      <c r="F1424" s="5" t="inlineStr">
        <is>
          <t>Customer Support</t>
        </is>
      </c>
      <c r="G1424" s="5" t="inlineStr">
        <is>
          <t>Support Lead</t>
        </is>
      </c>
      <c r="H1424" s="5" t="inlineStr">
        <is>
          <t>3</t>
        </is>
      </c>
      <c r="I1424" s="5" t="inlineStr">
        <is>
          <t>Delhi</t>
        </is>
      </c>
      <c r="J1424" s="5" t="inlineStr">
        <is>
          <t>Full-Time</t>
        </is>
      </c>
      <c r="K1424" s="7" t="n">
        <v>44657</v>
      </c>
      <c r="L1424" s="7" t="inlineStr"/>
      <c r="M1424" s="5" t="inlineStr">
        <is>
          <t>Yes</t>
        </is>
      </c>
      <c r="N1424" s="5" t="inlineStr"/>
      <c r="O1424" s="8" t="inlineStr">
        <is>
          <t>91500</t>
        </is>
      </c>
      <c r="P1424" s="5" t="inlineStr">
        <is>
          <t>20</t>
        </is>
      </c>
      <c r="Q1424" s="5" t="inlineStr">
        <is>
          <t>3</t>
        </is>
      </c>
      <c r="R1424" s="5" t="inlineStr">
        <is>
          <t>8</t>
        </is>
      </c>
      <c r="S1424" s="5" t="inlineStr">
        <is>
          <t>45</t>
        </is>
      </c>
      <c r="T1424" s="5" t="inlineStr">
        <is>
          <t>6</t>
        </is>
      </c>
      <c r="U1424" s="5" t="inlineStr">
        <is>
          <t>OK</t>
        </is>
      </c>
    </row>
    <row r="1425">
      <c r="A1425" s="5" t="inlineStr">
        <is>
          <t>E00902</t>
        </is>
      </c>
      <c r="B1425" s="5" t="inlineStr">
        <is>
          <t>Female</t>
        </is>
      </c>
      <c r="C1425" s="6" t="inlineStr">
        <is>
          <t>32</t>
        </is>
      </c>
      <c r="D1425" s="5" t="inlineStr">
        <is>
          <t>Married</t>
        </is>
      </c>
      <c r="E1425" s="5" t="inlineStr">
        <is>
          <t>Master</t>
        </is>
      </c>
      <c r="F1425" s="5" t="inlineStr">
        <is>
          <t>Sales</t>
        </is>
      </c>
      <c r="G1425" s="5" t="inlineStr">
        <is>
          <t>Sales Executive</t>
        </is>
      </c>
      <c r="H1425" s="5" t="inlineStr">
        <is>
          <t>1</t>
        </is>
      </c>
      <c r="I1425" s="5" t="inlineStr">
        <is>
          <t>Mumbai</t>
        </is>
      </c>
      <c r="J1425" s="5" t="inlineStr">
        <is>
          <t>Full-Time</t>
        </is>
      </c>
      <c r="K1425" s="7" t="n">
        <v>45382</v>
      </c>
      <c r="L1425" s="7" t="inlineStr"/>
      <c r="M1425" s="5" t="inlineStr">
        <is>
          <t>Yes</t>
        </is>
      </c>
      <c r="N1425" s="5" t="inlineStr"/>
      <c r="O1425" s="8" t="inlineStr">
        <is>
          <t>83000</t>
        </is>
      </c>
      <c r="P1425" s="5" t="inlineStr">
        <is>
          <t>0</t>
        </is>
      </c>
      <c r="Q1425" s="5" t="inlineStr">
        <is>
          <t>5</t>
        </is>
      </c>
      <c r="R1425" s="5" t="inlineStr">
        <is>
          <t>7</t>
        </is>
      </c>
      <c r="S1425" s="5" t="inlineStr">
        <is>
          <t>21</t>
        </is>
      </c>
      <c r="T1425" s="5" t="inlineStr">
        <is>
          <t>9</t>
        </is>
      </c>
      <c r="U1425" s="5" t="inlineStr">
        <is>
          <t>OK</t>
        </is>
      </c>
    </row>
    <row r="1426">
      <c r="A1426" s="5" t="inlineStr">
        <is>
          <t>E02765</t>
        </is>
      </c>
      <c r="B1426" s="5" t="inlineStr">
        <is>
          <t>Female</t>
        </is>
      </c>
      <c r="C1426" s="6" t="inlineStr">
        <is>
          <t>43</t>
        </is>
      </c>
      <c r="D1426" s="5" t="inlineStr">
        <is>
          <t>Married</t>
        </is>
      </c>
      <c r="E1426" s="5" t="inlineStr">
        <is>
          <t>Master</t>
        </is>
      </c>
      <c r="F1426" s="5" t="inlineStr">
        <is>
          <t>Sales</t>
        </is>
      </c>
      <c r="G1426" s="5" t="inlineStr">
        <is>
          <t>Sales Executive</t>
        </is>
      </c>
      <c r="H1426" s="5" t="inlineStr">
        <is>
          <t>6</t>
        </is>
      </c>
      <c r="I1426" s="5" t="inlineStr">
        <is>
          <t>Bengaluru</t>
        </is>
      </c>
      <c r="J1426" s="5" t="inlineStr">
        <is>
          <t>Full-Time</t>
        </is>
      </c>
      <c r="K1426" s="7" t="n">
        <v>44228</v>
      </c>
      <c r="L1426" s="7" t="inlineStr"/>
      <c r="M1426" s="5" t="inlineStr">
        <is>
          <t>Yes</t>
        </is>
      </c>
      <c r="N1426" s="5" t="inlineStr"/>
      <c r="O1426" s="8" t="inlineStr">
        <is>
          <t>181500</t>
        </is>
      </c>
      <c r="P1426" s="5" t="inlineStr">
        <is>
          <t>0</t>
        </is>
      </c>
      <c r="Q1426" s="5" t="inlineStr">
        <is>
          <t>4</t>
        </is>
      </c>
      <c r="R1426" s="5" t="inlineStr">
        <is>
          <t>6</t>
        </is>
      </c>
      <c r="S1426" s="5" t="inlineStr">
        <is>
          <t>59</t>
        </is>
      </c>
      <c r="T1426" s="5" t="inlineStr">
        <is>
          <t>14</t>
        </is>
      </c>
      <c r="U1426" s="5" t="inlineStr">
        <is>
          <t>OK</t>
        </is>
      </c>
    </row>
    <row r="1427">
      <c r="A1427" s="5" t="inlineStr">
        <is>
          <t>E02389</t>
        </is>
      </c>
      <c r="B1427" s="5" t="inlineStr">
        <is>
          <t>Female</t>
        </is>
      </c>
      <c r="C1427" s="6" t="inlineStr">
        <is>
          <t>27</t>
        </is>
      </c>
      <c r="D1427" s="5" t="inlineStr">
        <is>
          <t>Married</t>
        </is>
      </c>
      <c r="E1427" s="5" t="inlineStr">
        <is>
          <t>PhD</t>
        </is>
      </c>
      <c r="F1427" s="5" t="inlineStr">
        <is>
          <t>Operations</t>
        </is>
      </c>
      <c r="G1427" s="5" t="inlineStr">
        <is>
          <t>Operations Analyst</t>
        </is>
      </c>
      <c r="H1427" s="5" t="inlineStr">
        <is>
          <t>3</t>
        </is>
      </c>
      <c r="I1427" s="5" t="inlineStr">
        <is>
          <t>Hyderabad</t>
        </is>
      </c>
      <c r="J1427" s="5" t="inlineStr">
        <is>
          <t>Full-Time</t>
        </is>
      </c>
      <c r="K1427" s="7" t="n">
        <v>45701</v>
      </c>
      <c r="L1427" s="7" t="inlineStr"/>
      <c r="M1427" s="5" t="inlineStr">
        <is>
          <t>Yes</t>
        </is>
      </c>
      <c r="N1427" s="5" t="inlineStr"/>
      <c r="O1427" s="8" t="inlineStr">
        <is>
          <t>91500</t>
        </is>
      </c>
      <c r="P1427" s="5" t="inlineStr">
        <is>
          <t>0</t>
        </is>
      </c>
      <c r="Q1427" s="5" t="inlineStr">
        <is>
          <t>3</t>
        </is>
      </c>
      <c r="R1427" s="5" t="inlineStr">
        <is>
          <t>4</t>
        </is>
      </c>
      <c r="S1427" s="5" t="inlineStr">
        <is>
          <t>10</t>
        </is>
      </c>
      <c r="T1427" s="5" t="inlineStr">
        <is>
          <t>2</t>
        </is>
      </c>
      <c r="U1427" s="5" t="inlineStr">
        <is>
          <t>OK</t>
        </is>
      </c>
    </row>
    <row r="1428">
      <c r="A1428" s="5" t="inlineStr">
        <is>
          <t>E00073</t>
        </is>
      </c>
      <c r="B1428" s="5" t="inlineStr">
        <is>
          <t>Female</t>
        </is>
      </c>
      <c r="C1428" s="6" t="inlineStr">
        <is>
          <t>28</t>
        </is>
      </c>
      <c r="D1428" s="5" t="inlineStr">
        <is>
          <t>Married</t>
        </is>
      </c>
      <c r="E1428" s="5" t="inlineStr">
        <is>
          <t>Bachelor</t>
        </is>
      </c>
      <c r="F1428" s="5" t="inlineStr">
        <is>
          <t>Finance</t>
        </is>
      </c>
      <c r="G1428" s="5" t="inlineStr">
        <is>
          <t>Credit Analyst</t>
        </is>
      </c>
      <c r="H1428" s="5" t="inlineStr">
        <is>
          <t>3</t>
        </is>
      </c>
      <c r="I1428" s="5" t="inlineStr">
        <is>
          <t>Remote</t>
        </is>
      </c>
      <c r="J1428" s="5" t="inlineStr">
        <is>
          <t>Full-Time</t>
        </is>
      </c>
      <c r="K1428" s="7" t="n">
        <v>44367</v>
      </c>
      <c r="L1428" s="7" t="inlineStr"/>
      <c r="M1428" s="5" t="inlineStr">
        <is>
          <t>Yes</t>
        </is>
      </c>
      <c r="N1428" s="5" t="inlineStr"/>
      <c r="O1428" s="8" t="inlineStr">
        <is>
          <t>149000</t>
        </is>
      </c>
      <c r="P1428" s="5" t="inlineStr">
        <is>
          <t>5</t>
        </is>
      </c>
      <c r="Q1428" s="5" t="inlineStr">
        <is>
          <t>3</t>
        </is>
      </c>
      <c r="R1428" s="5" t="inlineStr">
        <is>
          <t>8</t>
        </is>
      </c>
      <c r="S1428" s="5" t="inlineStr">
        <is>
          <t>55</t>
        </is>
      </c>
      <c r="T1428" s="5" t="inlineStr">
        <is>
          <t>8</t>
        </is>
      </c>
      <c r="U1428" s="5" t="inlineStr">
        <is>
          <t>OK</t>
        </is>
      </c>
    </row>
    <row r="1429">
      <c r="A1429" s="5" t="inlineStr">
        <is>
          <t>E00153</t>
        </is>
      </c>
      <c r="B1429" s="5" t="inlineStr">
        <is>
          <t>Male</t>
        </is>
      </c>
      <c r="C1429" s="6" t="inlineStr">
        <is>
          <t>28</t>
        </is>
      </c>
      <c r="D1429" s="5" t="inlineStr">
        <is>
          <t>Married</t>
        </is>
      </c>
      <c r="E1429" s="5" t="inlineStr">
        <is>
          <t>High School</t>
        </is>
      </c>
      <c r="F1429" s="5" t="inlineStr">
        <is>
          <t>IT</t>
        </is>
      </c>
      <c r="G1429" s="5" t="inlineStr">
        <is>
          <t>Data Analyst</t>
        </is>
      </c>
      <c r="H1429" s="5" t="inlineStr">
        <is>
          <t>2</t>
        </is>
      </c>
      <c r="I1429" s="5" t="inlineStr">
        <is>
          <t>Remote</t>
        </is>
      </c>
      <c r="J1429" s="5" t="inlineStr">
        <is>
          <t>Full-Time</t>
        </is>
      </c>
      <c r="K1429" s="7" t="n">
        <v>45534</v>
      </c>
      <c r="L1429" s="7" t="n">
        <v>45583</v>
      </c>
      <c r="M1429" s="5" t="inlineStr">
        <is>
          <t>No</t>
        </is>
      </c>
      <c r="N1429" s="5" t="inlineStr">
        <is>
          <t>Resigned</t>
        </is>
      </c>
      <c r="O1429" s="8" t="inlineStr">
        <is>
          <t>138000</t>
        </is>
      </c>
      <c r="P1429" s="5" t="inlineStr">
        <is>
          <t>15</t>
        </is>
      </c>
      <c r="Q1429" s="5" t="inlineStr">
        <is>
          <t>5</t>
        </is>
      </c>
      <c r="R1429" s="5" t="inlineStr">
        <is>
          <t>9</t>
        </is>
      </c>
      <c r="S1429" s="5" t="inlineStr">
        <is>
          <t>1</t>
        </is>
      </c>
      <c r="T1429" s="5" t="inlineStr">
        <is>
          <t>2</t>
        </is>
      </c>
      <c r="U1429" s="5" t="inlineStr">
        <is>
          <t>OK</t>
        </is>
      </c>
    </row>
    <row r="1430">
      <c r="A1430" s="5" t="inlineStr">
        <is>
          <t>E00722</t>
        </is>
      </c>
      <c r="B1430" s="5" t="inlineStr">
        <is>
          <t>Female</t>
        </is>
      </c>
      <c r="C1430" s="6" t="inlineStr">
        <is>
          <t>33</t>
        </is>
      </c>
      <c r="D1430" s="5" t="inlineStr">
        <is>
          <t>Married</t>
        </is>
      </c>
      <c r="E1430" s="5" t="inlineStr">
        <is>
          <t>Master</t>
        </is>
      </c>
      <c r="F1430" s="5" t="inlineStr"/>
      <c r="G1430" s="5" t="inlineStr">
        <is>
          <t>Software Engineer</t>
        </is>
      </c>
      <c r="H1430" s="5" t="inlineStr">
        <is>
          <t>3</t>
        </is>
      </c>
      <c r="I1430" s="5" t="inlineStr">
        <is>
          <t>Remote</t>
        </is>
      </c>
      <c r="J1430" s="5" t="inlineStr">
        <is>
          <t>Full-Time</t>
        </is>
      </c>
      <c r="K1430" s="7" t="n">
        <v>44897</v>
      </c>
      <c r="L1430" s="7" t="inlineStr"/>
      <c r="M1430" s="5" t="inlineStr">
        <is>
          <t>Yes</t>
        </is>
      </c>
      <c r="N1430" s="5" t="inlineStr"/>
      <c r="O1430" s="8" t="inlineStr">
        <is>
          <t>169500</t>
        </is>
      </c>
      <c r="P1430" s="5" t="inlineStr">
        <is>
          <t>5</t>
        </is>
      </c>
      <c r="Q1430" s="5" t="inlineStr">
        <is>
          <t>4</t>
        </is>
      </c>
      <c r="R1430" s="5" t="inlineStr">
        <is>
          <t>6</t>
        </is>
      </c>
      <c r="S1430" s="5" t="inlineStr">
        <is>
          <t>37</t>
        </is>
      </c>
      <c r="T1430" s="5" t="inlineStr">
        <is>
          <t>0</t>
        </is>
      </c>
      <c r="U1430" s="5" t="inlineStr">
        <is>
          <t>Blank department</t>
        </is>
      </c>
    </row>
    <row r="1431">
      <c r="A1431" s="5" t="inlineStr">
        <is>
          <t>E02651</t>
        </is>
      </c>
      <c r="B1431" s="5" t="inlineStr">
        <is>
          <t>Male</t>
        </is>
      </c>
      <c r="C1431" s="6" t="inlineStr">
        <is>
          <t>32</t>
        </is>
      </c>
      <c r="D1431" s="5" t="inlineStr">
        <is>
          <t>Married</t>
        </is>
      </c>
      <c r="E1431" s="5" t="inlineStr">
        <is>
          <t>PhD</t>
        </is>
      </c>
      <c r="F1431" s="5" t="inlineStr">
        <is>
          <t>IT</t>
        </is>
      </c>
      <c r="G1431" s="5" t="inlineStr">
        <is>
          <t>Software Engineer</t>
        </is>
      </c>
      <c r="H1431" s="5" t="inlineStr">
        <is>
          <t>5</t>
        </is>
      </c>
      <c r="I1431" s="5" t="inlineStr">
        <is>
          <t>Mumbai</t>
        </is>
      </c>
      <c r="J1431" s="5" t="inlineStr">
        <is>
          <t>Full-Time</t>
        </is>
      </c>
      <c r="K1431" s="7" t="n">
        <v>44757</v>
      </c>
      <c r="L1431" s="7" t="inlineStr"/>
      <c r="M1431" s="5" t="inlineStr">
        <is>
          <t>Yes</t>
        </is>
      </c>
      <c r="N1431" s="5" t="inlineStr"/>
      <c r="O1431" s="8" t="inlineStr">
        <is>
          <t>135500</t>
        </is>
      </c>
      <c r="P1431" s="5" t="inlineStr">
        <is>
          <t>0</t>
        </is>
      </c>
      <c r="Q1431" s="5" t="inlineStr">
        <is>
          <t>3</t>
        </is>
      </c>
      <c r="R1431" s="5" t="inlineStr">
        <is>
          <t>3</t>
        </is>
      </c>
      <c r="S1431" s="5" t="inlineStr">
        <is>
          <t>42</t>
        </is>
      </c>
      <c r="T1431" s="5" t="inlineStr">
        <is>
          <t>15</t>
        </is>
      </c>
      <c r="U1431" s="5" t="inlineStr">
        <is>
          <t>OK</t>
        </is>
      </c>
    </row>
    <row r="1432">
      <c r="A1432" s="5" t="inlineStr">
        <is>
          <t>E02090</t>
        </is>
      </c>
      <c r="B1432" s="5" t="inlineStr">
        <is>
          <t>Female</t>
        </is>
      </c>
      <c r="C1432" s="6" t="inlineStr">
        <is>
          <t>34</t>
        </is>
      </c>
      <c r="D1432" s="5" t="inlineStr">
        <is>
          <t>Married</t>
        </is>
      </c>
      <c r="E1432" s="5" t="inlineStr">
        <is>
          <t>Master</t>
        </is>
      </c>
      <c r="F1432" s="5" t="inlineStr">
        <is>
          <t>Marketing</t>
        </is>
      </c>
      <c r="G1432" s="5" t="inlineStr">
        <is>
          <t>SEO Specialist</t>
        </is>
      </c>
      <c r="H1432" s="5" t="inlineStr">
        <is>
          <t>2</t>
        </is>
      </c>
      <c r="I1432" s="5" t="inlineStr">
        <is>
          <t>Bengaluru</t>
        </is>
      </c>
      <c r="J1432" s="5" t="inlineStr">
        <is>
          <t>Part-Time</t>
        </is>
      </c>
      <c r="K1432" s="7" t="n">
        <v>45527</v>
      </c>
      <c r="L1432" s="7" t="inlineStr"/>
      <c r="M1432" s="5" t="inlineStr">
        <is>
          <t>Yes</t>
        </is>
      </c>
      <c r="N1432" s="5" t="inlineStr"/>
      <c r="O1432" s="8" t="inlineStr">
        <is>
          <t>62000</t>
        </is>
      </c>
      <c r="P1432" s="5" t="inlineStr">
        <is>
          <t>0</t>
        </is>
      </c>
      <c r="Q1432" s="5" t="inlineStr">
        <is>
          <t>4</t>
        </is>
      </c>
      <c r="R1432" s="5" t="inlineStr">
        <is>
          <t>5</t>
        </is>
      </c>
      <c r="S1432" s="5" t="inlineStr">
        <is>
          <t>16</t>
        </is>
      </c>
      <c r="T1432" s="5" t="inlineStr">
        <is>
          <t>0</t>
        </is>
      </c>
      <c r="U1432" s="5" t="inlineStr">
        <is>
          <t>OK</t>
        </is>
      </c>
    </row>
    <row r="1433">
      <c r="A1433" s="5" t="inlineStr">
        <is>
          <t>E00536</t>
        </is>
      </c>
      <c r="B1433" s="5" t="inlineStr">
        <is>
          <t>Female</t>
        </is>
      </c>
      <c r="C1433" s="6" t="inlineStr">
        <is>
          <t>29</t>
        </is>
      </c>
      <c r="D1433" s="5" t="inlineStr">
        <is>
          <t>Married</t>
        </is>
      </c>
      <c r="E1433" s="5" t="inlineStr">
        <is>
          <t>PhD</t>
        </is>
      </c>
      <c r="F1433" s="5" t="inlineStr">
        <is>
          <t>IT</t>
        </is>
      </c>
      <c r="G1433" s="5" t="inlineStr">
        <is>
          <t>IT Support</t>
        </is>
      </c>
      <c r="H1433" s="5" t="inlineStr">
        <is>
          <t>1</t>
        </is>
      </c>
      <c r="I1433" s="5" t="inlineStr">
        <is>
          <t>Bengaluru</t>
        </is>
      </c>
      <c r="J1433" s="5" t="inlineStr">
        <is>
          <t>Contract</t>
        </is>
      </c>
      <c r="K1433" s="7" t="n">
        <v>44977</v>
      </c>
      <c r="L1433" s="7" t="inlineStr"/>
      <c r="M1433" s="5" t="inlineStr">
        <is>
          <t>Yes</t>
        </is>
      </c>
      <c r="N1433" s="5" t="inlineStr"/>
      <c r="O1433" s="8" t="inlineStr">
        <is>
          <t>117500</t>
        </is>
      </c>
      <c r="P1433" s="5" t="inlineStr">
        <is>
          <t>10</t>
        </is>
      </c>
      <c r="Q1433" s="5" t="inlineStr">
        <is>
          <t>3</t>
        </is>
      </c>
      <c r="R1433" s="5" t="inlineStr">
        <is>
          <t>5</t>
        </is>
      </c>
      <c r="S1433" s="5" t="inlineStr">
        <is>
          <t>34</t>
        </is>
      </c>
      <c r="T1433" s="5" t="inlineStr">
        <is>
          <t>2</t>
        </is>
      </c>
      <c r="U1433" s="5" t="inlineStr">
        <is>
          <t>OK</t>
        </is>
      </c>
    </row>
    <row r="1434">
      <c r="A1434" s="5" t="inlineStr">
        <is>
          <t>E00949</t>
        </is>
      </c>
      <c r="B1434" s="5" t="inlineStr">
        <is>
          <t>Female</t>
        </is>
      </c>
      <c r="C1434" s="6" t="inlineStr">
        <is>
          <t>31</t>
        </is>
      </c>
      <c r="D1434" s="5" t="inlineStr">
        <is>
          <t>Married</t>
        </is>
      </c>
      <c r="E1434" s="5" t="inlineStr">
        <is>
          <t>High School</t>
        </is>
      </c>
      <c r="F1434" s="5" t="inlineStr">
        <is>
          <t>Marketing</t>
        </is>
      </c>
      <c r="G1434" s="5" t="inlineStr">
        <is>
          <t>Marketing Analyst</t>
        </is>
      </c>
      <c r="H1434" s="5" t="inlineStr">
        <is>
          <t>1</t>
        </is>
      </c>
      <c r="I1434" s="5" t="inlineStr">
        <is>
          <t>Chennai</t>
        </is>
      </c>
      <c r="J1434" s="5" t="inlineStr">
        <is>
          <t>Full-Time</t>
        </is>
      </c>
      <c r="K1434" s="7" t="n">
        <v>44121</v>
      </c>
      <c r="L1434" s="7" t="inlineStr"/>
      <c r="M1434" s="5" t="inlineStr">
        <is>
          <t>Yes</t>
        </is>
      </c>
      <c r="N1434" s="5" t="inlineStr"/>
      <c r="O1434" s="8" t="inlineStr">
        <is>
          <t>68000</t>
        </is>
      </c>
      <c r="P1434" s="5" t="inlineStr">
        <is>
          <t>0</t>
        </is>
      </c>
      <c r="Q1434" s="5" t="inlineStr">
        <is>
          <t>4</t>
        </is>
      </c>
      <c r="R1434" s="5" t="inlineStr">
        <is>
          <t>4</t>
        </is>
      </c>
      <c r="S1434" s="5" t="inlineStr">
        <is>
          <t>63</t>
        </is>
      </c>
      <c r="T1434" s="5" t="inlineStr">
        <is>
          <t>10</t>
        </is>
      </c>
      <c r="U1434" s="5" t="inlineStr">
        <is>
          <t>OK</t>
        </is>
      </c>
    </row>
    <row r="1435">
      <c r="A1435" s="5" t="inlineStr">
        <is>
          <t>E00874</t>
        </is>
      </c>
      <c r="B1435" s="5" t="inlineStr">
        <is>
          <t>Male</t>
        </is>
      </c>
      <c r="C1435" s="6" t="inlineStr">
        <is>
          <t>34</t>
        </is>
      </c>
      <c r="D1435" s="5" t="inlineStr">
        <is>
          <t>Single</t>
        </is>
      </c>
      <c r="E1435" s="5" t="inlineStr">
        <is>
          <t>Diploma</t>
        </is>
      </c>
      <c r="F1435" s="5" t="inlineStr">
        <is>
          <t>Human Resources</t>
        </is>
      </c>
      <c r="G1435" s="5" t="inlineStr">
        <is>
          <t>HR Generalist</t>
        </is>
      </c>
      <c r="H1435" s="5" t="inlineStr">
        <is>
          <t>3</t>
        </is>
      </c>
      <c r="I1435" s="5" t="inlineStr">
        <is>
          <t>Delhi</t>
        </is>
      </c>
      <c r="J1435" s="5" t="inlineStr">
        <is>
          <t>Full-Time</t>
        </is>
      </c>
      <c r="K1435" s="7" t="n">
        <v>44102</v>
      </c>
      <c r="L1435" s="7" t="inlineStr"/>
      <c r="M1435" s="5" t="inlineStr">
        <is>
          <t>Yes</t>
        </is>
      </c>
      <c r="N1435" s="5" t="inlineStr"/>
      <c r="O1435" s="8" t="inlineStr">
        <is>
          <t>97500</t>
        </is>
      </c>
      <c r="P1435" s="5" t="inlineStr">
        <is>
          <t>0</t>
        </is>
      </c>
      <c r="Q1435" s="5" t="inlineStr">
        <is>
          <t>2</t>
        </is>
      </c>
      <c r="R1435" s="5" t="inlineStr">
        <is>
          <t>5</t>
        </is>
      </c>
      <c r="S1435" s="5" t="inlineStr">
        <is>
          <t>64</t>
        </is>
      </c>
      <c r="T1435" s="5" t="inlineStr">
        <is>
          <t>7</t>
        </is>
      </c>
      <c r="U1435" s="5" t="inlineStr">
        <is>
          <t>OK</t>
        </is>
      </c>
    </row>
    <row r="1436">
      <c r="A1436" s="5" t="inlineStr">
        <is>
          <t>E02058</t>
        </is>
      </c>
      <c r="B1436" s="5" t="inlineStr">
        <is>
          <t>Male</t>
        </is>
      </c>
      <c r="C1436" s="6" t="inlineStr">
        <is>
          <t>29</t>
        </is>
      </c>
      <c r="D1436" s="5" t="inlineStr">
        <is>
          <t>Married</t>
        </is>
      </c>
      <c r="E1436" s="5" t="inlineStr">
        <is>
          <t>Bachelor</t>
        </is>
      </c>
      <c r="F1436" s="5" t="inlineStr">
        <is>
          <t>Marketing</t>
        </is>
      </c>
      <c r="G1436" s="5" t="inlineStr">
        <is>
          <t>Marketing Analyst</t>
        </is>
      </c>
      <c r="H1436" s="5" t="inlineStr">
        <is>
          <t>3</t>
        </is>
      </c>
      <c r="I1436" s="5" t="inlineStr">
        <is>
          <t>Hyderabad</t>
        </is>
      </c>
      <c r="J1436" s="5" t="inlineStr">
        <is>
          <t>Full-Time</t>
        </is>
      </c>
      <c r="K1436" s="7" t="n">
        <v>44512</v>
      </c>
      <c r="L1436" s="7" t="inlineStr"/>
      <c r="M1436" s="5" t="inlineStr">
        <is>
          <t>Yes</t>
        </is>
      </c>
      <c r="N1436" s="5" t="inlineStr"/>
      <c r="O1436" s="8" t="inlineStr">
        <is>
          <t>81500</t>
        </is>
      </c>
      <c r="P1436" s="5" t="inlineStr">
        <is>
          <t>20</t>
        </is>
      </c>
      <c r="Q1436" s="5" t="inlineStr">
        <is>
          <t>4</t>
        </is>
      </c>
      <c r="R1436" s="5" t="inlineStr">
        <is>
          <t>8</t>
        </is>
      </c>
      <c r="S1436" s="5" t="inlineStr">
        <is>
          <t>50</t>
        </is>
      </c>
      <c r="T1436" s="5" t="inlineStr">
        <is>
          <t>11</t>
        </is>
      </c>
      <c r="U1436" s="5" t="inlineStr">
        <is>
          <t>OK</t>
        </is>
      </c>
    </row>
    <row r="1437">
      <c r="A1437" s="5" t="inlineStr">
        <is>
          <t>E02933</t>
        </is>
      </c>
      <c r="B1437" s="5" t="inlineStr">
        <is>
          <t>female</t>
        </is>
      </c>
      <c r="C1437" s="6" t="inlineStr">
        <is>
          <t>33</t>
        </is>
      </c>
      <c r="D1437" s="5" t="inlineStr">
        <is>
          <t>Married</t>
        </is>
      </c>
      <c r="E1437" s="5" t="inlineStr">
        <is>
          <t>Diploma</t>
        </is>
      </c>
      <c r="F1437" s="5" t="inlineStr">
        <is>
          <t>Sales</t>
        </is>
      </c>
      <c r="G1437" s="5" t="inlineStr">
        <is>
          <t>Sales Executive</t>
        </is>
      </c>
      <c r="H1437" s="5" t="inlineStr">
        <is>
          <t>3</t>
        </is>
      </c>
      <c r="I1437" s="5" t="inlineStr">
        <is>
          <t>Remote</t>
        </is>
      </c>
      <c r="J1437" s="5" t="inlineStr">
        <is>
          <t>Full-Time</t>
        </is>
      </c>
      <c r="K1437" s="7" t="n">
        <v>44958</v>
      </c>
      <c r="L1437" s="7" t="inlineStr"/>
      <c r="M1437" s="5" t="inlineStr">
        <is>
          <t>Yes</t>
        </is>
      </c>
      <c r="N1437" s="5" t="inlineStr"/>
      <c r="O1437" s="8" t="inlineStr">
        <is>
          <t>133500</t>
        </is>
      </c>
      <c r="P1437" s="5" t="inlineStr">
        <is>
          <t>5</t>
        </is>
      </c>
      <c r="Q1437" s="5" t="inlineStr">
        <is>
          <t>4</t>
        </is>
      </c>
      <c r="R1437" s="5" t="inlineStr">
        <is>
          <t>5</t>
        </is>
      </c>
      <c r="S1437" s="5" t="inlineStr">
        <is>
          <t>35</t>
        </is>
      </c>
      <c r="T1437" s="5" t="inlineStr">
        <is>
          <t>13</t>
        </is>
      </c>
      <c r="U1437" s="5" t="inlineStr">
        <is>
          <t>OK</t>
        </is>
      </c>
    </row>
    <row r="1438">
      <c r="A1438" s="5" t="inlineStr">
        <is>
          <t>E01666</t>
        </is>
      </c>
      <c r="B1438" s="5" t="inlineStr">
        <is>
          <t>Male</t>
        </is>
      </c>
      <c r="C1438" s="6" t="inlineStr">
        <is>
          <t>33</t>
        </is>
      </c>
      <c r="D1438" s="5" t="inlineStr">
        <is>
          <t>Married</t>
        </is>
      </c>
      <c r="E1438" s="5" t="inlineStr">
        <is>
          <t>Diploma</t>
        </is>
      </c>
      <c r="F1438" s="5" t="inlineStr"/>
      <c r="G1438" s="5" t="inlineStr">
        <is>
          <t>Operations Analyst</t>
        </is>
      </c>
      <c r="H1438" s="5" t="inlineStr">
        <is>
          <t>2</t>
        </is>
      </c>
      <c r="I1438" s="5" t="inlineStr">
        <is>
          <t>Remote</t>
        </is>
      </c>
      <c r="J1438" s="5" t="inlineStr">
        <is>
          <t>Full-Time</t>
        </is>
      </c>
      <c r="K1438" s="7" t="n">
        <v>45830</v>
      </c>
      <c r="L1438" s="7" t="n">
        <v>45887</v>
      </c>
      <c r="M1438" s="5" t="inlineStr">
        <is>
          <t>No</t>
        </is>
      </c>
      <c r="N1438" s="5" t="inlineStr">
        <is>
          <t>Resigned</t>
        </is>
      </c>
      <c r="O1438" s="8" t="inlineStr">
        <is>
          <t>69000</t>
        </is>
      </c>
      <c r="P1438" s="5" t="inlineStr">
        <is>
          <t>5</t>
        </is>
      </c>
      <c r="Q1438" s="5" t="inlineStr">
        <is>
          <t>4</t>
        </is>
      </c>
      <c r="R1438" s="5" t="inlineStr">
        <is>
          <t>7</t>
        </is>
      </c>
      <c r="S1438" s="5" t="inlineStr">
        <is>
          <t>1</t>
        </is>
      </c>
      <c r="T1438" s="5" t="inlineStr">
        <is>
          <t>8</t>
        </is>
      </c>
      <c r="U1438" s="5" t="inlineStr">
        <is>
          <t>Blank department</t>
        </is>
      </c>
    </row>
    <row r="1439">
      <c r="A1439" s="5" t="inlineStr">
        <is>
          <t>E01700</t>
        </is>
      </c>
      <c r="B1439" s="5" t="inlineStr">
        <is>
          <t>Male</t>
        </is>
      </c>
      <c r="C1439" s="6" t="inlineStr">
        <is>
          <t>28</t>
        </is>
      </c>
      <c r="D1439" s="5" t="inlineStr">
        <is>
          <t>Single</t>
        </is>
      </c>
      <c r="E1439" s="5" t="inlineStr">
        <is>
          <t>Diploma</t>
        </is>
      </c>
      <c r="F1439" s="5" t="inlineStr">
        <is>
          <t>Sales</t>
        </is>
      </c>
      <c r="G1439" s="5" t="inlineStr">
        <is>
          <t>Business Development</t>
        </is>
      </c>
      <c r="H1439" s="5" t="inlineStr">
        <is>
          <t>3</t>
        </is>
      </c>
      <c r="I1439" s="5" t="inlineStr">
        <is>
          <t>Bengaluru</t>
        </is>
      </c>
      <c r="J1439" s="5" t="inlineStr">
        <is>
          <t>Full-Time</t>
        </is>
      </c>
      <c r="K1439" s="7" t="n">
        <v>44489</v>
      </c>
      <c r="L1439" s="7" t="inlineStr"/>
      <c r="M1439" s="5" t="inlineStr">
        <is>
          <t>Yes</t>
        </is>
      </c>
      <c r="N1439" s="5" t="inlineStr"/>
      <c r="O1439" s="8" t="inlineStr">
        <is>
          <t>93500</t>
        </is>
      </c>
      <c r="P1439" s="5" t="inlineStr">
        <is>
          <t>5</t>
        </is>
      </c>
      <c r="Q1439" s="5" t="inlineStr">
        <is>
          <t>4</t>
        </is>
      </c>
      <c r="R1439" s="5" t="inlineStr">
        <is>
          <t>8</t>
        </is>
      </c>
      <c r="S1439" s="5" t="inlineStr">
        <is>
          <t>51</t>
        </is>
      </c>
      <c r="T1439" s="5" t="inlineStr">
        <is>
          <t>3</t>
        </is>
      </c>
      <c r="U1439" s="5" t="inlineStr">
        <is>
          <t>OK</t>
        </is>
      </c>
    </row>
    <row r="1440">
      <c r="A1440" s="5" t="inlineStr">
        <is>
          <t>E01973</t>
        </is>
      </c>
      <c r="B1440" s="5" t="inlineStr">
        <is>
          <t>Male</t>
        </is>
      </c>
      <c r="C1440" s="6" t="inlineStr">
        <is>
          <t>34</t>
        </is>
      </c>
      <c r="D1440" s="5" t="inlineStr">
        <is>
          <t>Married</t>
        </is>
      </c>
      <c r="E1440" s="5" t="inlineStr">
        <is>
          <t>Bachelor</t>
        </is>
      </c>
      <c r="F1440" s="5" t="inlineStr">
        <is>
          <t>Operations</t>
        </is>
      </c>
      <c r="G1440" s="5" t="inlineStr">
        <is>
          <t>Operations Analyst</t>
        </is>
      </c>
      <c r="H1440" s="5" t="inlineStr">
        <is>
          <t>4</t>
        </is>
      </c>
      <c r="I1440" s="5" t="inlineStr">
        <is>
          <t>Remote</t>
        </is>
      </c>
      <c r="J1440" s="5" t="inlineStr">
        <is>
          <t>Full-Time</t>
        </is>
      </c>
      <c r="K1440" s="7" t="n">
        <v>45419</v>
      </c>
      <c r="L1440" s="7" t="inlineStr"/>
      <c r="M1440" s="5" t="inlineStr">
        <is>
          <t>Yes</t>
        </is>
      </c>
      <c r="N1440" s="5" t="inlineStr"/>
      <c r="O1440" s="8" t="inlineStr">
        <is>
          <t>120000</t>
        </is>
      </c>
      <c r="P1440" s="5" t="inlineStr">
        <is>
          <t>5</t>
        </is>
      </c>
      <c r="Q1440" s="5" t="inlineStr">
        <is>
          <t>3</t>
        </is>
      </c>
      <c r="R1440" s="5" t="inlineStr">
        <is>
          <t>5</t>
        </is>
      </c>
      <c r="S1440" s="5" t="inlineStr">
        <is>
          <t>20</t>
        </is>
      </c>
      <c r="T1440" s="5" t="inlineStr">
        <is>
          <t>0</t>
        </is>
      </c>
      <c r="U1440" s="5" t="inlineStr">
        <is>
          <t>OK</t>
        </is>
      </c>
    </row>
    <row r="1441">
      <c r="A1441" s="5" t="inlineStr">
        <is>
          <t>E00126</t>
        </is>
      </c>
      <c r="B1441" s="5" t="inlineStr">
        <is>
          <t>Female</t>
        </is>
      </c>
      <c r="C1441" s="6" t="inlineStr">
        <is>
          <t>27</t>
        </is>
      </c>
      <c r="D1441" s="5" t="inlineStr">
        <is>
          <t>Single</t>
        </is>
      </c>
      <c r="E1441" s="5" t="inlineStr">
        <is>
          <t>Bachelor</t>
        </is>
      </c>
      <c r="F1441" s="5" t="inlineStr">
        <is>
          <t>Operations</t>
        </is>
      </c>
      <c r="G1441" s="5" t="inlineStr">
        <is>
          <t>Logistics Coordinator</t>
        </is>
      </c>
      <c r="H1441" s="5" t="inlineStr">
        <is>
          <t>2</t>
        </is>
      </c>
      <c r="I1441" s="5" t="inlineStr">
        <is>
          <t>Mumbai</t>
        </is>
      </c>
      <c r="J1441" s="5" t="inlineStr">
        <is>
          <t>Full-Time</t>
        </is>
      </c>
      <c r="K1441" s="7" t="n">
        <v>44949</v>
      </c>
      <c r="L1441" s="7" t="inlineStr"/>
      <c r="M1441" s="5" t="inlineStr">
        <is>
          <t>Yes</t>
        </is>
      </c>
      <c r="N1441" s="5" t="inlineStr"/>
      <c r="O1441" s="8" t="inlineStr">
        <is>
          <t>85500</t>
        </is>
      </c>
      <c r="P1441" s="5" t="inlineStr">
        <is>
          <t>0</t>
        </is>
      </c>
      <c r="Q1441" s="5" t="inlineStr">
        <is>
          <t>4</t>
        </is>
      </c>
      <c r="R1441" s="5" t="inlineStr">
        <is>
          <t>8</t>
        </is>
      </c>
      <c r="S1441" s="5" t="inlineStr">
        <is>
          <t>35</t>
        </is>
      </c>
      <c r="T1441" s="5" t="inlineStr">
        <is>
          <t>12</t>
        </is>
      </c>
      <c r="U1441" s="5" t="inlineStr">
        <is>
          <t>OK</t>
        </is>
      </c>
    </row>
    <row r="1442">
      <c r="A1442" s="5" t="inlineStr">
        <is>
          <t>E02634</t>
        </is>
      </c>
      <c r="B1442" s="5" t="inlineStr">
        <is>
          <t>Male</t>
        </is>
      </c>
      <c r="C1442" s="6" t="inlineStr">
        <is>
          <t>30</t>
        </is>
      </c>
      <c r="D1442" s="5" t="inlineStr">
        <is>
          <t>Single</t>
        </is>
      </c>
      <c r="E1442" s="5" t="inlineStr">
        <is>
          <t>High School</t>
        </is>
      </c>
      <c r="F1442" s="5" t="inlineStr">
        <is>
          <t>Sales</t>
        </is>
      </c>
      <c r="G1442" s="5" t="inlineStr">
        <is>
          <t>Business Development</t>
        </is>
      </c>
      <c r="H1442" s="5" t="inlineStr">
        <is>
          <t>3</t>
        </is>
      </c>
      <c r="I1442" s="5" t="inlineStr">
        <is>
          <t>Hyderabad</t>
        </is>
      </c>
      <c r="J1442" s="5" t="inlineStr">
        <is>
          <t>Contract</t>
        </is>
      </c>
      <c r="K1442" s="7" t="n">
        <v>44905</v>
      </c>
      <c r="L1442" s="7" t="inlineStr"/>
      <c r="M1442" s="5" t="inlineStr">
        <is>
          <t>Yes</t>
        </is>
      </c>
      <c r="N1442" s="5" t="inlineStr"/>
      <c r="O1442" s="8" t="inlineStr">
        <is>
          <t>91000</t>
        </is>
      </c>
      <c r="P1442" s="5" t="inlineStr">
        <is>
          <t>10</t>
        </is>
      </c>
      <c r="Q1442" s="5" t="inlineStr">
        <is>
          <t>4</t>
        </is>
      </c>
      <c r="R1442" s="5" t="inlineStr">
        <is>
          <t>7</t>
        </is>
      </c>
      <c r="S1442" s="5" t="inlineStr">
        <is>
          <t>37</t>
        </is>
      </c>
      <c r="T1442" s="5" t="inlineStr">
        <is>
          <t>6</t>
        </is>
      </c>
      <c r="U1442" s="5" t="inlineStr">
        <is>
          <t>OK</t>
        </is>
      </c>
    </row>
    <row r="1443">
      <c r="A1443" s="5" t="inlineStr">
        <is>
          <t>E01568</t>
        </is>
      </c>
      <c r="B1443" s="5" t="inlineStr">
        <is>
          <t>Male</t>
        </is>
      </c>
      <c r="C1443" s="6" t="inlineStr">
        <is>
          <t>29</t>
        </is>
      </c>
      <c r="D1443" s="5" t="inlineStr">
        <is>
          <t>Married</t>
        </is>
      </c>
      <c r="E1443" s="5" t="inlineStr">
        <is>
          <t>Bachelor</t>
        </is>
      </c>
      <c r="F1443" s="5" t="inlineStr">
        <is>
          <t>Customer Support</t>
        </is>
      </c>
      <c r="G1443" s="5" t="inlineStr">
        <is>
          <t>Support Lead</t>
        </is>
      </c>
      <c r="H1443" s="5" t="inlineStr">
        <is>
          <t>2</t>
        </is>
      </c>
      <c r="I1443" s="5" t="inlineStr">
        <is>
          <t>Bengaluru</t>
        </is>
      </c>
      <c r="J1443" s="5" t="inlineStr">
        <is>
          <t>Full-Time</t>
        </is>
      </c>
      <c r="K1443" s="7" t="n">
        <v>45836</v>
      </c>
      <c r="L1443" s="7" t="inlineStr"/>
      <c r="M1443" s="5" t="inlineStr">
        <is>
          <t>Yes</t>
        </is>
      </c>
      <c r="N1443" s="5" t="inlineStr"/>
      <c r="O1443" s="8" t="inlineStr">
        <is>
          <t>72000</t>
        </is>
      </c>
      <c r="P1443" s="5" t="inlineStr">
        <is>
          <t>20</t>
        </is>
      </c>
      <c r="Q1443" s="5" t="inlineStr">
        <is>
          <t>3</t>
        </is>
      </c>
      <c r="R1443" s="5" t="inlineStr">
        <is>
          <t>3</t>
        </is>
      </c>
      <c r="S1443" s="5" t="inlineStr">
        <is>
          <t>6</t>
        </is>
      </c>
      <c r="T1443" s="5" t="inlineStr">
        <is>
          <t>7</t>
        </is>
      </c>
      <c r="U1443" s="5" t="inlineStr">
        <is>
          <t>OK</t>
        </is>
      </c>
    </row>
    <row r="1444">
      <c r="A1444" s="5" t="inlineStr">
        <is>
          <t>E02123</t>
        </is>
      </c>
      <c r="B1444" s="5" t="inlineStr">
        <is>
          <t>Male</t>
        </is>
      </c>
      <c r="C1444" s="6" t="inlineStr">
        <is>
          <t>32</t>
        </is>
      </c>
      <c r="D1444" s="5" t="inlineStr">
        <is>
          <t>Married</t>
        </is>
      </c>
      <c r="E1444" s="5" t="inlineStr">
        <is>
          <t>High School</t>
        </is>
      </c>
      <c r="F1444" s="5" t="inlineStr">
        <is>
          <t>Sales</t>
        </is>
      </c>
      <c r="G1444" s="5" t="inlineStr">
        <is>
          <t>Account Executive</t>
        </is>
      </c>
      <c r="H1444" s="5" t="inlineStr">
        <is>
          <t>4</t>
        </is>
      </c>
      <c r="I1444" s="5" t="inlineStr">
        <is>
          <t>Bengaluru</t>
        </is>
      </c>
      <c r="J1444" s="5" t="inlineStr">
        <is>
          <t>Full-Time</t>
        </is>
      </c>
      <c r="K1444" s="7" t="n">
        <v>44940</v>
      </c>
      <c r="L1444" s="7" t="inlineStr"/>
      <c r="M1444" s="5" t="inlineStr">
        <is>
          <t>Yes</t>
        </is>
      </c>
      <c r="N1444" s="5" t="inlineStr"/>
      <c r="O1444" s="8" t="inlineStr">
        <is>
          <t>128500</t>
        </is>
      </c>
      <c r="P1444" s="5" t="inlineStr">
        <is>
          <t>0</t>
        </is>
      </c>
      <c r="Q1444" s="5" t="inlineStr">
        <is>
          <t>3</t>
        </is>
      </c>
      <c r="R1444" s="5" t="inlineStr">
        <is>
          <t>6</t>
        </is>
      </c>
      <c r="S1444" s="5" t="inlineStr">
        <is>
          <t>36</t>
        </is>
      </c>
      <c r="T1444" s="5" t="inlineStr">
        <is>
          <t>0</t>
        </is>
      </c>
      <c r="U1444" s="5" t="inlineStr">
        <is>
          <t>OK</t>
        </is>
      </c>
    </row>
    <row r="1445">
      <c r="A1445" s="5" t="inlineStr">
        <is>
          <t>E01159</t>
        </is>
      </c>
      <c r="B1445" s="5" t="inlineStr">
        <is>
          <t>Female</t>
        </is>
      </c>
      <c r="C1445" s="6" t="inlineStr">
        <is>
          <t>39</t>
        </is>
      </c>
      <c r="D1445" s="5" t="inlineStr">
        <is>
          <t>Single</t>
        </is>
      </c>
      <c r="E1445" s="5" t="inlineStr">
        <is>
          <t>Bachelor</t>
        </is>
      </c>
      <c r="F1445" s="5" t="inlineStr">
        <is>
          <t>IT</t>
        </is>
      </c>
      <c r="G1445" s="5" t="inlineStr">
        <is>
          <t>DevOps Engineer</t>
        </is>
      </c>
      <c r="H1445" s="5" t="inlineStr">
        <is>
          <t>5</t>
        </is>
      </c>
      <c r="I1445" s="5" t="inlineStr">
        <is>
          <t>Hyderabad</t>
        </is>
      </c>
      <c r="J1445" s="5" t="inlineStr">
        <is>
          <t>Full-Time</t>
        </is>
      </c>
      <c r="K1445" s="7" t="n">
        <v>45719</v>
      </c>
      <c r="L1445" s="7" t="inlineStr"/>
      <c r="M1445" s="5" t="inlineStr">
        <is>
          <t>Yes</t>
        </is>
      </c>
      <c r="N1445" s="5" t="inlineStr"/>
      <c r="O1445" s="8" t="inlineStr">
        <is>
          <t>182000</t>
        </is>
      </c>
      <c r="P1445" s="5" t="inlineStr">
        <is>
          <t>5</t>
        </is>
      </c>
      <c r="Q1445" s="5" t="inlineStr">
        <is>
          <t>4</t>
        </is>
      </c>
      <c r="R1445" s="5" t="inlineStr">
        <is>
          <t>6</t>
        </is>
      </c>
      <c r="S1445" s="5" t="inlineStr">
        <is>
          <t>10</t>
        </is>
      </c>
      <c r="T1445" s="5" t="inlineStr">
        <is>
          <t>14</t>
        </is>
      </c>
      <c r="U1445" s="5" t="inlineStr">
        <is>
          <t>OK</t>
        </is>
      </c>
    </row>
    <row r="1446">
      <c r="A1446" s="5" t="inlineStr">
        <is>
          <t>E00065</t>
        </is>
      </c>
      <c r="B1446" s="5" t="inlineStr">
        <is>
          <t>Male</t>
        </is>
      </c>
      <c r="C1446" s="6" t="inlineStr">
        <is>
          <t>33</t>
        </is>
      </c>
      <c r="D1446" s="5" t="inlineStr">
        <is>
          <t>Single</t>
        </is>
      </c>
      <c r="E1446" s="5" t="inlineStr">
        <is>
          <t>Bachelor</t>
        </is>
      </c>
      <c r="F1446" s="5" t="inlineStr">
        <is>
          <t>Operations</t>
        </is>
      </c>
      <c r="G1446" s="5" t="inlineStr">
        <is>
          <t>Logistics Coordinator</t>
        </is>
      </c>
      <c r="H1446" s="5" t="inlineStr">
        <is>
          <t>4</t>
        </is>
      </c>
      <c r="I1446" s="5" t="inlineStr">
        <is>
          <t>Remote</t>
        </is>
      </c>
      <c r="J1446" s="5" t="inlineStr">
        <is>
          <t>Full-Time</t>
        </is>
      </c>
      <c r="K1446" s="7" t="n">
        <v>44952</v>
      </c>
      <c r="L1446" s="7" t="inlineStr"/>
      <c r="M1446" s="5" t="inlineStr">
        <is>
          <t>Yes</t>
        </is>
      </c>
      <c r="N1446" s="5" t="inlineStr"/>
      <c r="O1446" s="8" t="inlineStr">
        <is>
          <t>99000</t>
        </is>
      </c>
      <c r="P1446" s="5" t="inlineStr">
        <is>
          <t>0</t>
        </is>
      </c>
      <c r="Q1446" s="5" t="inlineStr">
        <is>
          <t>3</t>
        </is>
      </c>
      <c r="R1446" s="5" t="inlineStr">
        <is>
          <t>6</t>
        </is>
      </c>
      <c r="S1446" s="5" t="inlineStr">
        <is>
          <t>35</t>
        </is>
      </c>
      <c r="T1446" s="5" t="inlineStr">
        <is>
          <t>0</t>
        </is>
      </c>
      <c r="U1446" s="5" t="inlineStr">
        <is>
          <t>OK</t>
        </is>
      </c>
    </row>
    <row r="1447">
      <c r="A1447" s="5" t="inlineStr">
        <is>
          <t>E02893</t>
        </is>
      </c>
      <c r="B1447" s="5" t="inlineStr">
        <is>
          <t>Male</t>
        </is>
      </c>
      <c r="C1447" s="6" t="inlineStr">
        <is>
          <t>28</t>
        </is>
      </c>
      <c r="D1447" s="5" t="inlineStr">
        <is>
          <t>Married</t>
        </is>
      </c>
      <c r="E1447" s="5" t="inlineStr">
        <is>
          <t>Master</t>
        </is>
      </c>
      <c r="F1447" s="5" t="inlineStr">
        <is>
          <t>IT</t>
        </is>
      </c>
      <c r="G1447" s="5" t="inlineStr">
        <is>
          <t>Data Analyst</t>
        </is>
      </c>
      <c r="H1447" s="5" t="inlineStr">
        <is>
          <t>1</t>
        </is>
      </c>
      <c r="I1447" s="5" t="inlineStr">
        <is>
          <t>Delhi</t>
        </is>
      </c>
      <c r="J1447" s="5" t="inlineStr">
        <is>
          <t>Full-Time</t>
        </is>
      </c>
      <c r="K1447" s="7" t="n">
        <v>45298</v>
      </c>
      <c r="L1447" s="7" t="inlineStr"/>
      <c r="M1447" s="5" t="inlineStr">
        <is>
          <t>Yes</t>
        </is>
      </c>
      <c r="N1447" s="5" t="inlineStr"/>
      <c r="O1447" s="8" t="inlineStr">
        <is>
          <t>133500</t>
        </is>
      </c>
      <c r="P1447" s="5" t="inlineStr">
        <is>
          <t>5</t>
        </is>
      </c>
      <c r="Q1447" s="5" t="inlineStr">
        <is>
          <t>3</t>
        </is>
      </c>
      <c r="R1447" s="5" t="inlineStr">
        <is>
          <t>9</t>
        </is>
      </c>
      <c r="S1447" s="5" t="inlineStr">
        <is>
          <t>24</t>
        </is>
      </c>
      <c r="T1447" s="5" t="inlineStr">
        <is>
          <t>5</t>
        </is>
      </c>
      <c r="U1447" s="5" t="inlineStr">
        <is>
          <t>OK</t>
        </is>
      </c>
    </row>
    <row r="1448">
      <c r="A1448" s="5" t="inlineStr">
        <is>
          <t>E02400</t>
        </is>
      </c>
      <c r="B1448" s="5" t="inlineStr">
        <is>
          <t>Female</t>
        </is>
      </c>
      <c r="C1448" s="6" t="inlineStr">
        <is>
          <t>28</t>
        </is>
      </c>
      <c r="D1448" s="5" t="inlineStr">
        <is>
          <t>Married</t>
        </is>
      </c>
      <c r="E1448" s="5" t="inlineStr">
        <is>
          <t>High School</t>
        </is>
      </c>
      <c r="F1448" s="5" t="inlineStr">
        <is>
          <t>Operations</t>
        </is>
      </c>
      <c r="G1448" s="5" t="inlineStr">
        <is>
          <t>Logistics Coordinator</t>
        </is>
      </c>
      <c r="H1448" s="5" t="inlineStr">
        <is>
          <t>1</t>
        </is>
      </c>
      <c r="I1448" s="5" t="inlineStr">
        <is>
          <t>Delhi</t>
        </is>
      </c>
      <c r="J1448" s="5" t="inlineStr">
        <is>
          <t>Full-Time</t>
        </is>
      </c>
      <c r="K1448" s="7" t="n">
        <v>45987</v>
      </c>
      <c r="L1448" s="7" t="inlineStr"/>
      <c r="M1448" s="5" t="inlineStr">
        <is>
          <t>Yes</t>
        </is>
      </c>
      <c r="N1448" s="5" t="inlineStr"/>
      <c r="O1448" s="8" t="inlineStr">
        <is>
          <t>61500</t>
        </is>
      </c>
      <c r="P1448" s="5" t="inlineStr">
        <is>
          <t>0</t>
        </is>
      </c>
      <c r="Q1448" s="5" t="inlineStr">
        <is>
          <t>5</t>
        </is>
      </c>
      <c r="R1448" s="5" t="inlineStr">
        <is>
          <t>6</t>
        </is>
      </c>
      <c r="S1448" s="5" t="inlineStr">
        <is>
          <t>1</t>
        </is>
      </c>
      <c r="T1448" s="5" t="inlineStr">
        <is>
          <t>10</t>
        </is>
      </c>
      <c r="U1448" s="5" t="inlineStr">
        <is>
          <t>OK</t>
        </is>
      </c>
    </row>
    <row r="1449">
      <c r="A1449" s="5" t="inlineStr">
        <is>
          <t>E00266</t>
        </is>
      </c>
      <c r="B1449" s="5" t="inlineStr">
        <is>
          <t>Male</t>
        </is>
      </c>
      <c r="C1449" s="6" t="inlineStr">
        <is>
          <t>28</t>
        </is>
      </c>
      <c r="D1449" s="5" t="inlineStr">
        <is>
          <t>Married</t>
        </is>
      </c>
      <c r="E1449" s="5" t="inlineStr">
        <is>
          <t>PhD</t>
        </is>
      </c>
      <c r="F1449" s="5" t="inlineStr">
        <is>
          <t>Marketing</t>
        </is>
      </c>
      <c r="G1449" s="5" t="inlineStr">
        <is>
          <t>Content Writer</t>
        </is>
      </c>
      <c r="H1449" s="5" t="inlineStr">
        <is>
          <t>1</t>
        </is>
      </c>
      <c r="I1449" s="5" t="inlineStr">
        <is>
          <t>Chennai</t>
        </is>
      </c>
      <c r="J1449" s="5" t="inlineStr">
        <is>
          <t>Full-Time</t>
        </is>
      </c>
      <c r="K1449" s="7" t="n">
        <v>44645</v>
      </c>
      <c r="L1449" s="7" t="inlineStr"/>
      <c r="M1449" s="5" t="inlineStr">
        <is>
          <t>Yes</t>
        </is>
      </c>
      <c r="N1449" s="5" t="inlineStr"/>
      <c r="O1449" s="8" t="inlineStr">
        <is>
          <t>61000</t>
        </is>
      </c>
      <c r="P1449" s="5" t="inlineStr">
        <is>
          <t>0</t>
        </is>
      </c>
      <c r="Q1449" s="5" t="inlineStr">
        <is>
          <t>3</t>
        </is>
      </c>
      <c r="R1449" s="5" t="inlineStr">
        <is>
          <t>8</t>
        </is>
      </c>
      <c r="S1449" s="5" t="inlineStr">
        <is>
          <t>45</t>
        </is>
      </c>
      <c r="T1449" s="5" t="inlineStr">
        <is>
          <t>0</t>
        </is>
      </c>
      <c r="U1449" s="5" t="inlineStr">
        <is>
          <t>OK</t>
        </is>
      </c>
    </row>
    <row r="1450">
      <c r="A1450" s="5" t="inlineStr">
        <is>
          <t>E01483</t>
        </is>
      </c>
      <c r="B1450" s="5" t="inlineStr">
        <is>
          <t>Male</t>
        </is>
      </c>
      <c r="C1450" s="6" t="inlineStr">
        <is>
          <t>37</t>
        </is>
      </c>
      <c r="D1450" s="5" t="inlineStr">
        <is>
          <t>Married</t>
        </is>
      </c>
      <c r="E1450" s="5" t="inlineStr">
        <is>
          <t>Master</t>
        </is>
      </c>
      <c r="F1450" s="5" t="inlineStr">
        <is>
          <t>Sales</t>
        </is>
      </c>
      <c r="G1450" s="5" t="inlineStr">
        <is>
          <t>Sales Executive</t>
        </is>
      </c>
      <c r="H1450" s="5" t="inlineStr">
        <is>
          <t>5</t>
        </is>
      </c>
      <c r="I1450" s="5" t="inlineStr">
        <is>
          <t>Hyderabad</t>
        </is>
      </c>
      <c r="J1450" s="5" t="inlineStr">
        <is>
          <t>Full-Time</t>
        </is>
      </c>
      <c r="K1450" s="7" t="n">
        <v>45295</v>
      </c>
      <c r="L1450" s="7" t="n">
        <v>45327</v>
      </c>
      <c r="M1450" s="5" t="inlineStr">
        <is>
          <t>No</t>
        </is>
      </c>
      <c r="N1450" s="5" t="inlineStr">
        <is>
          <t>Retirement</t>
        </is>
      </c>
      <c r="O1450" s="8" t="inlineStr">
        <is>
          <t>140000</t>
        </is>
      </c>
      <c r="P1450" s="5" t="inlineStr">
        <is>
          <t>5</t>
        </is>
      </c>
      <c r="Q1450" s="5" t="inlineStr">
        <is>
          <t>3</t>
        </is>
      </c>
      <c r="R1450" s="5" t="inlineStr">
        <is>
          <t>2</t>
        </is>
      </c>
      <c r="S1450" s="5" t="inlineStr">
        <is>
          <t>1</t>
        </is>
      </c>
      <c r="T1450" s="5" t="inlineStr">
        <is>
          <t>0</t>
        </is>
      </c>
      <c r="U1450" s="5" t="inlineStr">
        <is>
          <t>OK</t>
        </is>
      </c>
    </row>
    <row r="1451">
      <c r="A1451" s="5" t="inlineStr">
        <is>
          <t>E00272</t>
        </is>
      </c>
      <c r="B1451" s="5" t="inlineStr">
        <is>
          <t>Male</t>
        </is>
      </c>
      <c r="C1451" s="6" t="inlineStr">
        <is>
          <t>32</t>
        </is>
      </c>
      <c r="D1451" s="5" t="inlineStr">
        <is>
          <t>Single</t>
        </is>
      </c>
      <c r="E1451" s="5" t="inlineStr">
        <is>
          <t>PhD</t>
        </is>
      </c>
      <c r="F1451" s="5" t="inlineStr">
        <is>
          <t>Customer Support</t>
        </is>
      </c>
      <c r="G1451" s="5" t="inlineStr">
        <is>
          <t>Support Agent</t>
        </is>
      </c>
      <c r="H1451" s="5" t="inlineStr">
        <is>
          <t>2</t>
        </is>
      </c>
      <c r="I1451" s="5" t="inlineStr">
        <is>
          <t>Hyderabad</t>
        </is>
      </c>
      <c r="J1451" s="5" t="inlineStr">
        <is>
          <t>Part-Time</t>
        </is>
      </c>
      <c r="K1451" s="7" t="n">
        <v>45881</v>
      </c>
      <c r="L1451" s="7" t="inlineStr"/>
      <c r="M1451" s="5" t="inlineStr">
        <is>
          <t>Yes</t>
        </is>
      </c>
      <c r="N1451" s="5" t="inlineStr"/>
      <c r="O1451" s="8" t="inlineStr">
        <is>
          <t>52500</t>
        </is>
      </c>
      <c r="P1451" s="5" t="inlineStr">
        <is>
          <t>5</t>
        </is>
      </c>
      <c r="Q1451" s="5" t="inlineStr">
        <is>
          <t>2</t>
        </is>
      </c>
      <c r="R1451" s="5" t="inlineStr">
        <is>
          <t>7</t>
        </is>
      </c>
      <c r="S1451" s="5" t="inlineStr">
        <is>
          <t>4</t>
        </is>
      </c>
      <c r="T1451" s="5" t="inlineStr">
        <is>
          <t>3</t>
        </is>
      </c>
      <c r="U1451" s="5" t="inlineStr">
        <is>
          <t>OK</t>
        </is>
      </c>
    </row>
    <row r="1452">
      <c r="A1452" s="5" t="inlineStr">
        <is>
          <t>E02388</t>
        </is>
      </c>
      <c r="B1452" s="5" t="inlineStr">
        <is>
          <t>Female</t>
        </is>
      </c>
      <c r="C1452" s="6" t="inlineStr">
        <is>
          <t>28</t>
        </is>
      </c>
      <c r="D1452" s="5" t="inlineStr">
        <is>
          <t>Married</t>
        </is>
      </c>
      <c r="E1452" s="5" t="inlineStr">
        <is>
          <t>High School</t>
        </is>
      </c>
      <c r="F1452" s="5" t="inlineStr">
        <is>
          <t>Sales</t>
        </is>
      </c>
      <c r="G1452" s="5" t="inlineStr">
        <is>
          <t>Account Executive</t>
        </is>
      </c>
      <c r="H1452" s="5" t="inlineStr">
        <is>
          <t>2</t>
        </is>
      </c>
      <c r="I1452" s="5" t="inlineStr">
        <is>
          <t>Delhi</t>
        </is>
      </c>
      <c r="J1452" s="5" t="inlineStr">
        <is>
          <t>Part-Time</t>
        </is>
      </c>
      <c r="K1452" s="7" t="n">
        <v>45262</v>
      </c>
      <c r="L1452" s="7" t="inlineStr"/>
      <c r="M1452" s="5" t="inlineStr">
        <is>
          <t>Yes</t>
        </is>
      </c>
      <c r="N1452" s="5" t="inlineStr"/>
      <c r="O1452" s="8" t="inlineStr">
        <is>
          <t>98500</t>
        </is>
      </c>
      <c r="P1452" s="5" t="inlineStr">
        <is>
          <t>0</t>
        </is>
      </c>
      <c r="Q1452" s="5" t="inlineStr">
        <is>
          <t>5</t>
        </is>
      </c>
      <c r="R1452" s="5" t="inlineStr">
        <is>
          <t>5</t>
        </is>
      </c>
      <c r="S1452" s="5" t="inlineStr">
        <is>
          <t>25</t>
        </is>
      </c>
      <c r="T1452" s="5" t="inlineStr">
        <is>
          <t>16</t>
        </is>
      </c>
      <c r="U1452" s="5" t="inlineStr">
        <is>
          <t>OK</t>
        </is>
      </c>
    </row>
    <row r="1453">
      <c r="A1453" s="5" t="inlineStr">
        <is>
          <t>E00192</t>
        </is>
      </c>
      <c r="B1453" s="5" t="inlineStr">
        <is>
          <t>Male</t>
        </is>
      </c>
      <c r="C1453" s="6" t="inlineStr">
        <is>
          <t>34</t>
        </is>
      </c>
      <c r="D1453" s="5" t="inlineStr">
        <is>
          <t>Married</t>
        </is>
      </c>
      <c r="E1453" s="5" t="inlineStr">
        <is>
          <t>PhD</t>
        </is>
      </c>
      <c r="F1453" s="5" t="inlineStr">
        <is>
          <t>Sales</t>
        </is>
      </c>
      <c r="G1453" s="5" t="inlineStr">
        <is>
          <t>Account Executive</t>
        </is>
      </c>
      <c r="H1453" s="5" t="inlineStr">
        <is>
          <t>1</t>
        </is>
      </c>
      <c r="I1453" s="5" t="inlineStr">
        <is>
          <t>Mumbai</t>
        </is>
      </c>
      <c r="J1453" s="5" t="inlineStr">
        <is>
          <t>Full-Time</t>
        </is>
      </c>
      <c r="K1453" s="7" t="n">
        <v>44831</v>
      </c>
      <c r="L1453" s="7" t="inlineStr"/>
      <c r="M1453" s="5" t="inlineStr">
        <is>
          <t>Yes</t>
        </is>
      </c>
      <c r="N1453" s="5" t="inlineStr"/>
      <c r="O1453" s="8" t="inlineStr">
        <is>
          <t>64500</t>
        </is>
      </c>
      <c r="P1453" s="5" t="inlineStr">
        <is>
          <t>20</t>
        </is>
      </c>
      <c r="Q1453" s="5" t="inlineStr">
        <is>
          <t>5</t>
        </is>
      </c>
      <c r="R1453" s="5" t="inlineStr">
        <is>
          <t>7</t>
        </is>
      </c>
      <c r="S1453" s="5" t="inlineStr">
        <is>
          <t>39</t>
        </is>
      </c>
      <c r="T1453" s="5" t="inlineStr">
        <is>
          <t>13</t>
        </is>
      </c>
      <c r="U1453" s="5" t="inlineStr">
        <is>
          <t>OK</t>
        </is>
      </c>
    </row>
    <row r="1454">
      <c r="A1454" s="5" t="inlineStr">
        <is>
          <t>E02347</t>
        </is>
      </c>
      <c r="B1454" s="5" t="inlineStr">
        <is>
          <t>Male</t>
        </is>
      </c>
      <c r="C1454" s="6" t="inlineStr">
        <is>
          <t>28</t>
        </is>
      </c>
      <c r="D1454" s="5" t="inlineStr">
        <is>
          <t>Married</t>
        </is>
      </c>
      <c r="E1454" s="5" t="inlineStr">
        <is>
          <t>Bachelor</t>
        </is>
      </c>
      <c r="F1454" s="5" t="inlineStr">
        <is>
          <t>Research &amp; Development</t>
        </is>
      </c>
      <c r="G1454" s="5" t="inlineStr">
        <is>
          <t>Data Scientist</t>
        </is>
      </c>
      <c r="H1454" s="5" t="inlineStr">
        <is>
          <t>1</t>
        </is>
      </c>
      <c r="I1454" s="5" t="inlineStr">
        <is>
          <t>Delhi</t>
        </is>
      </c>
      <c r="J1454" s="5" t="inlineStr">
        <is>
          <t>Part-Time</t>
        </is>
      </c>
      <c r="K1454" s="7" t="n">
        <v>44424</v>
      </c>
      <c r="L1454" s="7" t="inlineStr"/>
      <c r="M1454" s="5" t="inlineStr">
        <is>
          <t>Yes</t>
        </is>
      </c>
      <c r="N1454" s="5" t="inlineStr"/>
      <c r="O1454" s="8" t="inlineStr">
        <is>
          <t>108500</t>
        </is>
      </c>
      <c r="P1454" s="5" t="inlineStr">
        <is>
          <t>5</t>
        </is>
      </c>
      <c r="Q1454" s="5" t="inlineStr">
        <is>
          <t>3</t>
        </is>
      </c>
      <c r="R1454" s="5" t="inlineStr">
        <is>
          <t>6</t>
        </is>
      </c>
      <c r="S1454" s="5" t="inlineStr">
        <is>
          <t>53</t>
        </is>
      </c>
      <c r="T1454" s="5" t="inlineStr">
        <is>
          <t>7</t>
        </is>
      </c>
      <c r="U1454" s="5" t="inlineStr">
        <is>
          <t>OK</t>
        </is>
      </c>
    </row>
    <row r="1455">
      <c r="A1455" s="5" t="inlineStr">
        <is>
          <t>E02289</t>
        </is>
      </c>
      <c r="B1455" s="5" t="inlineStr">
        <is>
          <t>Female</t>
        </is>
      </c>
      <c r="C1455" s="6" t="inlineStr">
        <is>
          <t>30</t>
        </is>
      </c>
      <c r="D1455" s="5" t="inlineStr">
        <is>
          <t>Married</t>
        </is>
      </c>
      <c r="E1455" s="5" t="inlineStr">
        <is>
          <t>Diploma</t>
        </is>
      </c>
      <c r="F1455" s="5" t="inlineStr">
        <is>
          <t>Customer Support</t>
        </is>
      </c>
      <c r="G1455" s="5" t="inlineStr">
        <is>
          <t>Escalation Specialist</t>
        </is>
      </c>
      <c r="H1455" s="5" t="inlineStr">
        <is>
          <t>1</t>
        </is>
      </c>
      <c r="I1455" s="5" t="inlineStr">
        <is>
          <t>Chennai</t>
        </is>
      </c>
      <c r="J1455" s="5" t="inlineStr">
        <is>
          <t>Full-Time</t>
        </is>
      </c>
      <c r="K1455" s="7" t="n">
        <v>45127</v>
      </c>
      <c r="L1455" s="7" t="inlineStr"/>
      <c r="M1455" s="5" t="inlineStr">
        <is>
          <t>Yes</t>
        </is>
      </c>
      <c r="N1455" s="5" t="inlineStr"/>
      <c r="O1455" s="8" t="inlineStr">
        <is>
          <t>41500</t>
        </is>
      </c>
      <c r="P1455" s="5" t="inlineStr">
        <is>
          <t>0</t>
        </is>
      </c>
      <c r="Q1455" s="5" t="inlineStr">
        <is>
          <t>3</t>
        </is>
      </c>
      <c r="R1455" s="5" t="inlineStr">
        <is>
          <t>6</t>
        </is>
      </c>
      <c r="S1455" s="5" t="inlineStr">
        <is>
          <t>29</t>
        </is>
      </c>
      <c r="T1455" s="5" t="inlineStr">
        <is>
          <t>11</t>
        </is>
      </c>
      <c r="U1455" s="5" t="inlineStr">
        <is>
          <t>OK</t>
        </is>
      </c>
    </row>
    <row r="1456">
      <c r="A1456" s="5" t="inlineStr">
        <is>
          <t>E00080</t>
        </is>
      </c>
      <c r="B1456" s="5" t="inlineStr">
        <is>
          <t>Male</t>
        </is>
      </c>
      <c r="C1456" s="6" t="inlineStr">
        <is>
          <t>38</t>
        </is>
      </c>
      <c r="D1456" s="5" t="inlineStr">
        <is>
          <t>Married</t>
        </is>
      </c>
      <c r="E1456" s="5" t="inlineStr">
        <is>
          <t>Diploma</t>
        </is>
      </c>
      <c r="F1456" s="5" t="inlineStr">
        <is>
          <t>IT</t>
        </is>
      </c>
      <c r="G1456" s="5" t="inlineStr">
        <is>
          <t>Software Engineer</t>
        </is>
      </c>
      <c r="H1456" s="5" t="inlineStr">
        <is>
          <t>4</t>
        </is>
      </c>
      <c r="I1456" s="5" t="inlineStr">
        <is>
          <t>Delhi</t>
        </is>
      </c>
      <c r="J1456" s="5" t="inlineStr">
        <is>
          <t>Contract</t>
        </is>
      </c>
      <c r="K1456" s="7" t="n">
        <v>44150</v>
      </c>
      <c r="L1456" s="7" t="inlineStr"/>
      <c r="M1456" s="5" t="inlineStr">
        <is>
          <t>Yes</t>
        </is>
      </c>
      <c r="N1456" s="5" t="inlineStr"/>
      <c r="O1456" s="8" t="inlineStr">
        <is>
          <t>177000</t>
        </is>
      </c>
      <c r="P1456" s="5" t="inlineStr">
        <is>
          <t>0</t>
        </is>
      </c>
      <c r="Q1456" s="5" t="inlineStr">
        <is>
          <t>4</t>
        </is>
      </c>
      <c r="R1456" s="5" t="inlineStr">
        <is>
          <t>8</t>
        </is>
      </c>
      <c r="S1456" s="5" t="inlineStr">
        <is>
          <t>62</t>
        </is>
      </c>
      <c r="T1456" s="5" t="inlineStr">
        <is>
          <t>10</t>
        </is>
      </c>
      <c r="U1456" s="5" t="inlineStr">
        <is>
          <t>OK</t>
        </is>
      </c>
    </row>
    <row r="1457">
      <c r="A1457" s="5" t="inlineStr">
        <is>
          <t>E01963</t>
        </is>
      </c>
      <c r="B1457" s="5" t="inlineStr">
        <is>
          <t>Female</t>
        </is>
      </c>
      <c r="C1457" s="6" t="inlineStr">
        <is>
          <t>32</t>
        </is>
      </c>
      <c r="D1457" s="5" t="inlineStr">
        <is>
          <t>Married</t>
        </is>
      </c>
      <c r="E1457" s="5" t="inlineStr">
        <is>
          <t>Diploma</t>
        </is>
      </c>
      <c r="F1457" s="5" t="inlineStr">
        <is>
          <t>Human Resources</t>
        </is>
      </c>
      <c r="G1457" s="5" t="inlineStr">
        <is>
          <t>HR Generalist</t>
        </is>
      </c>
      <c r="H1457" s="5" t="inlineStr">
        <is>
          <t>4</t>
        </is>
      </c>
      <c r="I1457" s="5" t="inlineStr">
        <is>
          <t>Bengaluru</t>
        </is>
      </c>
      <c r="J1457" s="5" t="inlineStr">
        <is>
          <t>Full-Time</t>
        </is>
      </c>
      <c r="K1457" s="7" t="n">
        <v>45504</v>
      </c>
      <c r="L1457" s="7" t="inlineStr"/>
      <c r="M1457" s="5" t="inlineStr">
        <is>
          <t>Yes</t>
        </is>
      </c>
      <c r="N1457" s="5" t="inlineStr"/>
      <c r="O1457" s="8" t="inlineStr">
        <is>
          <t>88000</t>
        </is>
      </c>
      <c r="P1457" s="5" t="inlineStr">
        <is>
          <t>0</t>
        </is>
      </c>
      <c r="Q1457" s="5" t="inlineStr">
        <is>
          <t>4</t>
        </is>
      </c>
      <c r="R1457" s="5" t="inlineStr">
        <is>
          <t>5</t>
        </is>
      </c>
      <c r="S1457" s="5" t="inlineStr">
        <is>
          <t>17</t>
        </is>
      </c>
      <c r="T1457" s="5" t="inlineStr">
        <is>
          <t>2</t>
        </is>
      </c>
      <c r="U1457" s="5" t="inlineStr">
        <is>
          <t>OK</t>
        </is>
      </c>
    </row>
    <row r="1458">
      <c r="A1458" s="5" t="inlineStr">
        <is>
          <t>E01277</t>
        </is>
      </c>
      <c r="B1458" s="5" t="inlineStr">
        <is>
          <t>Female</t>
        </is>
      </c>
      <c r="C1458" s="6" t="inlineStr">
        <is>
          <t>35</t>
        </is>
      </c>
      <c r="D1458" s="5" t="inlineStr">
        <is>
          <t>Divorced</t>
        </is>
      </c>
      <c r="E1458" s="5" t="inlineStr">
        <is>
          <t>Diploma</t>
        </is>
      </c>
      <c r="F1458" s="5" t="inlineStr">
        <is>
          <t>Research &amp; Development</t>
        </is>
      </c>
      <c r="G1458" s="5" t="inlineStr">
        <is>
          <t>Product Engineer</t>
        </is>
      </c>
      <c r="H1458" s="5" t="inlineStr">
        <is>
          <t>3</t>
        </is>
      </c>
      <c r="I1458" s="5" t="inlineStr">
        <is>
          <t>Hyderabad</t>
        </is>
      </c>
      <c r="J1458" s="5" t="inlineStr">
        <is>
          <t>Full-Time</t>
        </is>
      </c>
      <c r="K1458" s="7" t="n">
        <v>44200</v>
      </c>
      <c r="L1458" s="7" t="inlineStr"/>
      <c r="M1458" s="5" t="inlineStr">
        <is>
          <t>Yes</t>
        </is>
      </c>
      <c r="N1458" s="5" t="inlineStr"/>
      <c r="O1458" s="8" t="inlineStr"/>
      <c r="P1458" s="5" t="inlineStr">
        <is>
          <t>10</t>
        </is>
      </c>
      <c r="Q1458" s="5" t="inlineStr">
        <is>
          <t>3</t>
        </is>
      </c>
      <c r="R1458" s="5" t="inlineStr">
        <is>
          <t>5</t>
        </is>
      </c>
      <c r="S1458" s="5" t="inlineStr">
        <is>
          <t>60</t>
        </is>
      </c>
      <c r="T1458" s="5" t="inlineStr">
        <is>
          <t>2</t>
        </is>
      </c>
      <c r="U1458" s="5" t="inlineStr">
        <is>
          <t>Blank salary</t>
        </is>
      </c>
    </row>
    <row r="1459">
      <c r="A1459" s="5" t="inlineStr">
        <is>
          <t>E00343</t>
        </is>
      </c>
      <c r="B1459" s="5" t="inlineStr">
        <is>
          <t>Female</t>
        </is>
      </c>
      <c r="C1459" s="6" t="inlineStr">
        <is>
          <t>35</t>
        </is>
      </c>
      <c r="D1459" s="5" t="inlineStr">
        <is>
          <t>Married</t>
        </is>
      </c>
      <c r="E1459" s="5" t="inlineStr">
        <is>
          <t>Bachelor</t>
        </is>
      </c>
      <c r="F1459" s="5" t="inlineStr">
        <is>
          <t>Research &amp; Development</t>
        </is>
      </c>
      <c r="G1459" s="5" t="inlineStr">
        <is>
          <t>Research Scientist</t>
        </is>
      </c>
      <c r="H1459" s="5" t="inlineStr">
        <is>
          <t>3</t>
        </is>
      </c>
      <c r="I1459" s="5" t="inlineStr">
        <is>
          <t>Remote</t>
        </is>
      </c>
      <c r="J1459" s="5" t="inlineStr">
        <is>
          <t>Full-Time</t>
        </is>
      </c>
      <c r="K1459" s="7" t="n">
        <v>45406</v>
      </c>
      <c r="L1459" s="7" t="inlineStr"/>
      <c r="M1459" s="5" t="inlineStr">
        <is>
          <t>Yes</t>
        </is>
      </c>
      <c r="N1459" s="5" t="inlineStr"/>
      <c r="O1459" s="8" t="inlineStr">
        <is>
          <t>193000</t>
        </is>
      </c>
      <c r="P1459" s="5" t="inlineStr">
        <is>
          <t>0</t>
        </is>
      </c>
      <c r="Q1459" s="5" t="inlineStr">
        <is>
          <t>5</t>
        </is>
      </c>
      <c r="R1459" s="5" t="inlineStr">
        <is>
          <t>8</t>
        </is>
      </c>
      <c r="S1459" s="5" t="inlineStr">
        <is>
          <t>20</t>
        </is>
      </c>
      <c r="T1459" s="5" t="inlineStr">
        <is>
          <t>1</t>
        </is>
      </c>
      <c r="U1459" s="5" t="inlineStr">
        <is>
          <t>OK</t>
        </is>
      </c>
    </row>
    <row r="1460">
      <c r="A1460" s="5" t="inlineStr">
        <is>
          <t>E01691</t>
        </is>
      </c>
      <c r="B1460" s="5" t="inlineStr">
        <is>
          <t>Female</t>
        </is>
      </c>
      <c r="C1460" s="6" t="inlineStr">
        <is>
          <t>26</t>
        </is>
      </c>
      <c r="D1460" s="5" t="inlineStr">
        <is>
          <t>Single</t>
        </is>
      </c>
      <c r="E1460" s="5" t="inlineStr">
        <is>
          <t>Bachelor</t>
        </is>
      </c>
      <c r="F1460" s="5" t="inlineStr">
        <is>
          <t>Customer Support</t>
        </is>
      </c>
      <c r="G1460" s="5" t="inlineStr">
        <is>
          <t>Support Lead</t>
        </is>
      </c>
      <c r="H1460" s="5" t="inlineStr">
        <is>
          <t>1</t>
        </is>
      </c>
      <c r="I1460" s="5" t="inlineStr">
        <is>
          <t>Remote</t>
        </is>
      </c>
      <c r="J1460" s="5" t="inlineStr">
        <is>
          <t>Full-Time</t>
        </is>
      </c>
      <c r="K1460" s="7" t="n">
        <v>44191</v>
      </c>
      <c r="L1460" s="7" t="inlineStr"/>
      <c r="M1460" s="5" t="inlineStr">
        <is>
          <t>Yes</t>
        </is>
      </c>
      <c r="N1460" s="5" t="inlineStr"/>
      <c r="O1460" s="8" t="inlineStr">
        <is>
          <t>63500</t>
        </is>
      </c>
      <c r="P1460" s="5" t="inlineStr">
        <is>
          <t>0</t>
        </is>
      </c>
      <c r="Q1460" s="5" t="inlineStr">
        <is>
          <t>3</t>
        </is>
      </c>
      <c r="R1460" s="5" t="inlineStr">
        <is>
          <t>5</t>
        </is>
      </c>
      <c r="S1460" s="5" t="inlineStr">
        <is>
          <t>61</t>
        </is>
      </c>
      <c r="T1460" s="5" t="inlineStr">
        <is>
          <t>5</t>
        </is>
      </c>
      <c r="U1460" s="5" t="inlineStr">
        <is>
          <t>OK</t>
        </is>
      </c>
    </row>
    <row r="1461">
      <c r="A1461" s="5" t="inlineStr">
        <is>
          <t>E01008</t>
        </is>
      </c>
      <c r="B1461" s="5" t="inlineStr">
        <is>
          <t>Female</t>
        </is>
      </c>
      <c r="C1461" s="6" t="inlineStr">
        <is>
          <t>38</t>
        </is>
      </c>
      <c r="D1461" s="5" t="inlineStr">
        <is>
          <t>Married</t>
        </is>
      </c>
      <c r="E1461" s="5" t="inlineStr">
        <is>
          <t>Diploma</t>
        </is>
      </c>
      <c r="F1461" s="5" t="inlineStr">
        <is>
          <t>Operations</t>
        </is>
      </c>
      <c r="G1461" s="5" t="inlineStr">
        <is>
          <t>Operations Analyst</t>
        </is>
      </c>
      <c r="H1461" s="5" t="inlineStr">
        <is>
          <t>3</t>
        </is>
      </c>
      <c r="I1461" s="5" t="inlineStr">
        <is>
          <t>Bengaluru</t>
        </is>
      </c>
      <c r="J1461" s="5" t="inlineStr">
        <is>
          <t>Full-Time</t>
        </is>
      </c>
      <c r="K1461" s="7" t="n">
        <v>45971</v>
      </c>
      <c r="L1461" s="7" t="inlineStr"/>
      <c r="M1461" s="5" t="inlineStr">
        <is>
          <t>Yes</t>
        </is>
      </c>
      <c r="N1461" s="5" t="inlineStr"/>
      <c r="O1461" s="8" t="inlineStr">
        <is>
          <t>78500</t>
        </is>
      </c>
      <c r="P1461" s="5" t="inlineStr">
        <is>
          <t>10</t>
        </is>
      </c>
      <c r="Q1461" s="5" t="inlineStr">
        <is>
          <t>3</t>
        </is>
      </c>
      <c r="R1461" s="5" t="inlineStr">
        <is>
          <t>5</t>
        </is>
      </c>
      <c r="S1461" s="5" t="inlineStr">
        <is>
          <t>1</t>
        </is>
      </c>
      <c r="T1461" s="5" t="inlineStr">
        <is>
          <t>6</t>
        </is>
      </c>
      <c r="U1461" s="5" t="inlineStr">
        <is>
          <t>OK</t>
        </is>
      </c>
    </row>
    <row r="1462">
      <c r="A1462" s="5" t="inlineStr">
        <is>
          <t>E02319</t>
        </is>
      </c>
      <c r="B1462" s="5" t="inlineStr">
        <is>
          <t>Male</t>
        </is>
      </c>
      <c r="C1462" s="6" t="inlineStr">
        <is>
          <t>34</t>
        </is>
      </c>
      <c r="D1462" s="5" t="inlineStr">
        <is>
          <t>Married</t>
        </is>
      </c>
      <c r="E1462" s="5" t="inlineStr">
        <is>
          <t>Bachelor</t>
        </is>
      </c>
      <c r="F1462" s="5" t="inlineStr">
        <is>
          <t>Sales</t>
        </is>
      </c>
      <c r="G1462" s="5" t="inlineStr">
        <is>
          <t>Account Executive</t>
        </is>
      </c>
      <c r="H1462" s="5" t="inlineStr">
        <is>
          <t>3</t>
        </is>
      </c>
      <c r="I1462" s="5" t="inlineStr">
        <is>
          <t>Remote</t>
        </is>
      </c>
      <c r="J1462" s="5" t="inlineStr">
        <is>
          <t>Full-Time</t>
        </is>
      </c>
      <c r="K1462" s="7" t="n">
        <v>44068</v>
      </c>
      <c r="L1462" s="7" t="n">
        <v>44100</v>
      </c>
      <c r="M1462" s="5" t="inlineStr">
        <is>
          <t>No</t>
        </is>
      </c>
      <c r="N1462" s="5" t="inlineStr">
        <is>
          <t>Resigned</t>
        </is>
      </c>
      <c r="O1462" s="8" t="inlineStr">
        <is>
          <t>123500</t>
        </is>
      </c>
      <c r="P1462" s="5" t="inlineStr">
        <is>
          <t>5</t>
        </is>
      </c>
      <c r="Q1462" s="5" t="inlineStr">
        <is>
          <t>3</t>
        </is>
      </c>
      <c r="R1462" s="5" t="inlineStr">
        <is>
          <t>8</t>
        </is>
      </c>
      <c r="S1462" s="5" t="inlineStr">
        <is>
          <t>1</t>
        </is>
      </c>
      <c r="T1462" s="5" t="inlineStr">
        <is>
          <t>3</t>
        </is>
      </c>
      <c r="U1462" s="5" t="inlineStr">
        <is>
          <t>OK</t>
        </is>
      </c>
    </row>
    <row r="1463">
      <c r="A1463" s="5" t="inlineStr">
        <is>
          <t>E02723</t>
        </is>
      </c>
      <c r="B1463" s="5" t="inlineStr">
        <is>
          <t>Unknown</t>
        </is>
      </c>
      <c r="C1463" s="6" t="inlineStr">
        <is>
          <t>29</t>
        </is>
      </c>
      <c r="D1463" s="5" t="inlineStr">
        <is>
          <t>Single</t>
        </is>
      </c>
      <c r="E1463" s="5" t="inlineStr">
        <is>
          <t>Master</t>
        </is>
      </c>
      <c r="F1463" s="5" t="inlineStr"/>
      <c r="G1463" s="5" t="inlineStr">
        <is>
          <t>Quality Analyst</t>
        </is>
      </c>
      <c r="H1463" s="5" t="inlineStr">
        <is>
          <t>1</t>
        </is>
      </c>
      <c r="I1463" s="5" t="inlineStr">
        <is>
          <t>Chennai</t>
        </is>
      </c>
      <c r="J1463" s="5" t="inlineStr">
        <is>
          <t>Contract</t>
        </is>
      </c>
      <c r="K1463" s="7" t="n">
        <v>45277</v>
      </c>
      <c r="L1463" s="7" t="inlineStr"/>
      <c r="M1463" s="5" t="inlineStr">
        <is>
          <t>Yes</t>
        </is>
      </c>
      <c r="N1463" s="5" t="inlineStr"/>
      <c r="O1463" s="8" t="inlineStr">
        <is>
          <t>75500</t>
        </is>
      </c>
      <c r="P1463" s="5" t="inlineStr">
        <is>
          <t>0</t>
        </is>
      </c>
      <c r="Q1463" s="5" t="inlineStr">
        <is>
          <t>4</t>
        </is>
      </c>
      <c r="R1463" s="5" t="inlineStr">
        <is>
          <t>4</t>
        </is>
      </c>
      <c r="S1463" s="5" t="inlineStr">
        <is>
          <t>24</t>
        </is>
      </c>
      <c r="T1463" s="5" t="inlineStr">
        <is>
          <t>7</t>
        </is>
      </c>
      <c r="U1463" s="5" t="inlineStr">
        <is>
          <t>Bad gender; Blank department</t>
        </is>
      </c>
    </row>
    <row r="1464">
      <c r="A1464" s="5" t="inlineStr">
        <is>
          <t>E00231</t>
        </is>
      </c>
      <c r="B1464" s="5" t="inlineStr">
        <is>
          <t>Male</t>
        </is>
      </c>
      <c r="C1464" s="6" t="inlineStr">
        <is>
          <t>30</t>
        </is>
      </c>
      <c r="D1464" s="5" t="inlineStr">
        <is>
          <t>Married</t>
        </is>
      </c>
      <c r="E1464" s="5" t="inlineStr">
        <is>
          <t>High School</t>
        </is>
      </c>
      <c r="F1464" s="5" t="inlineStr">
        <is>
          <t>Finance</t>
        </is>
      </c>
      <c r="G1464" s="5" t="inlineStr">
        <is>
          <t>Financial Analyst</t>
        </is>
      </c>
      <c r="H1464" s="5" t="inlineStr">
        <is>
          <t>4</t>
        </is>
      </c>
      <c r="I1464" s="5" t="inlineStr">
        <is>
          <t>Bengaluru</t>
        </is>
      </c>
      <c r="J1464" s="5" t="inlineStr">
        <is>
          <t>Full-Time</t>
        </is>
      </c>
      <c r="K1464" s="7" t="n">
        <v>45409</v>
      </c>
      <c r="L1464" s="7" t="inlineStr"/>
      <c r="M1464" s="5" t="inlineStr">
        <is>
          <t>Yes</t>
        </is>
      </c>
      <c r="N1464" s="5" t="inlineStr"/>
      <c r="O1464" s="8" t="inlineStr">
        <is>
          <t>122500</t>
        </is>
      </c>
      <c r="P1464" s="5" t="inlineStr">
        <is>
          <t>0</t>
        </is>
      </c>
      <c r="Q1464" s="5" t="inlineStr">
        <is>
          <t>5</t>
        </is>
      </c>
      <c r="R1464" s="5" t="inlineStr">
        <is>
          <t>7</t>
        </is>
      </c>
      <c r="S1464" s="5" t="inlineStr">
        <is>
          <t>20</t>
        </is>
      </c>
      <c r="T1464" s="5" t="inlineStr">
        <is>
          <t>0</t>
        </is>
      </c>
      <c r="U1464" s="5" t="inlineStr">
        <is>
          <t>OK</t>
        </is>
      </c>
    </row>
    <row r="1465">
      <c r="A1465" s="5" t="inlineStr">
        <is>
          <t>E01769</t>
        </is>
      </c>
      <c r="B1465" s="5" t="inlineStr">
        <is>
          <t>Male</t>
        </is>
      </c>
      <c r="C1465" s="6" t="inlineStr">
        <is>
          <t>28</t>
        </is>
      </c>
      <c r="D1465" s="5" t="inlineStr">
        <is>
          <t>Married</t>
        </is>
      </c>
      <c r="E1465" s="5" t="inlineStr">
        <is>
          <t>Diploma</t>
        </is>
      </c>
      <c r="F1465" s="5" t="inlineStr">
        <is>
          <t>Research &amp; Development</t>
        </is>
      </c>
      <c r="G1465" s="5" t="inlineStr">
        <is>
          <t>Research Scientist</t>
        </is>
      </c>
      <c r="H1465" s="5" t="inlineStr">
        <is>
          <t>3</t>
        </is>
      </c>
      <c r="I1465" s="5" t="inlineStr">
        <is>
          <t>Delhi</t>
        </is>
      </c>
      <c r="J1465" s="5" t="inlineStr">
        <is>
          <t>Full-Time</t>
        </is>
      </c>
      <c r="K1465" s="7" t="n">
        <v>45416</v>
      </c>
      <c r="L1465" s="7" t="inlineStr"/>
      <c r="M1465" s="5" t="inlineStr">
        <is>
          <t>Yes</t>
        </is>
      </c>
      <c r="N1465" s="5" t="inlineStr"/>
      <c r="O1465" s="8" t="inlineStr">
        <is>
          <t>122000</t>
        </is>
      </c>
      <c r="P1465" s="5" t="inlineStr">
        <is>
          <t>10</t>
        </is>
      </c>
      <c r="Q1465" s="5" t="inlineStr">
        <is>
          <t>3</t>
        </is>
      </c>
      <c r="R1465" s="5" t="inlineStr">
        <is>
          <t>7</t>
        </is>
      </c>
      <c r="S1465" s="5" t="inlineStr">
        <is>
          <t>20</t>
        </is>
      </c>
      <c r="T1465" s="5" t="inlineStr">
        <is>
          <t>0</t>
        </is>
      </c>
      <c r="U1465" s="5" t="inlineStr">
        <is>
          <t>OK</t>
        </is>
      </c>
    </row>
    <row r="1466">
      <c r="A1466" s="5" t="inlineStr">
        <is>
          <t>E00880</t>
        </is>
      </c>
      <c r="B1466" s="5" t="inlineStr">
        <is>
          <t>Male</t>
        </is>
      </c>
      <c r="C1466" s="6" t="inlineStr">
        <is>
          <t>39</t>
        </is>
      </c>
      <c r="D1466" s="5" t="inlineStr">
        <is>
          <t>Married</t>
        </is>
      </c>
      <c r="E1466" s="5" t="inlineStr">
        <is>
          <t>High School</t>
        </is>
      </c>
      <c r="F1466" s="5" t="inlineStr">
        <is>
          <t>Human Resources</t>
        </is>
      </c>
      <c r="G1466" s="5" t="inlineStr">
        <is>
          <t>HR Analyst</t>
        </is>
      </c>
      <c r="H1466" s="5" t="inlineStr">
        <is>
          <t>5</t>
        </is>
      </c>
      <c r="I1466" s="5" t="inlineStr">
        <is>
          <t>Mumbai</t>
        </is>
      </c>
      <c r="J1466" s="5" t="inlineStr">
        <is>
          <t>Full-Time</t>
        </is>
      </c>
      <c r="K1466" s="7" t="n">
        <v>45501</v>
      </c>
      <c r="L1466" s="7" t="inlineStr"/>
      <c r="M1466" s="5" t="inlineStr">
        <is>
          <t>Yes</t>
        </is>
      </c>
      <c r="N1466" s="5" t="inlineStr"/>
      <c r="O1466" s="8" t="inlineStr">
        <is>
          <t>103500</t>
        </is>
      </c>
      <c r="P1466" s="5" t="inlineStr">
        <is>
          <t>0</t>
        </is>
      </c>
      <c r="Q1466" s="5" t="inlineStr">
        <is>
          <t>3</t>
        </is>
      </c>
      <c r="R1466" s="5" t="inlineStr">
        <is>
          <t>6</t>
        </is>
      </c>
      <c r="S1466" s="5" t="inlineStr">
        <is>
          <t>17</t>
        </is>
      </c>
      <c r="T1466" s="5" t="inlineStr">
        <is>
          <t>14</t>
        </is>
      </c>
      <c r="U1466" s="5" t="inlineStr">
        <is>
          <t>OK</t>
        </is>
      </c>
    </row>
    <row r="1467">
      <c r="A1467" s="5" t="inlineStr">
        <is>
          <t>E02688</t>
        </is>
      </c>
      <c r="B1467" s="5" t="inlineStr">
        <is>
          <t>Male</t>
        </is>
      </c>
      <c r="C1467" s="6" t="inlineStr">
        <is>
          <t>34</t>
        </is>
      </c>
      <c r="D1467" s="5" t="inlineStr">
        <is>
          <t>Married</t>
        </is>
      </c>
      <c r="E1467" s="5" t="inlineStr">
        <is>
          <t>High School</t>
        </is>
      </c>
      <c r="F1467" s="5" t="inlineStr">
        <is>
          <t>Operations</t>
        </is>
      </c>
      <c r="G1467" s="5" t="inlineStr">
        <is>
          <t>Operations Analyst</t>
        </is>
      </c>
      <c r="H1467" s="5" t="inlineStr">
        <is>
          <t>6</t>
        </is>
      </c>
      <c r="I1467" s="5" t="inlineStr">
        <is>
          <t>Chennai</t>
        </is>
      </c>
      <c r="J1467" s="5" t="inlineStr">
        <is>
          <t>Full-Time</t>
        </is>
      </c>
      <c r="K1467" s="7" t="n">
        <v>44886</v>
      </c>
      <c r="L1467" s="7" t="inlineStr"/>
      <c r="M1467" s="5" t="inlineStr">
        <is>
          <t>Yes</t>
        </is>
      </c>
      <c r="N1467" s="5" t="inlineStr"/>
      <c r="O1467" s="8" t="inlineStr">
        <is>
          <t>142000</t>
        </is>
      </c>
      <c r="P1467" s="5" t="inlineStr">
        <is>
          <t>10</t>
        </is>
      </c>
      <c r="Q1467" s="5" t="inlineStr">
        <is>
          <t>4</t>
        </is>
      </c>
      <c r="R1467" s="5" t="inlineStr">
        <is>
          <t>7</t>
        </is>
      </c>
      <c r="S1467" s="5" t="inlineStr">
        <is>
          <t>37</t>
        </is>
      </c>
      <c r="T1467" s="5" t="inlineStr">
        <is>
          <t>14</t>
        </is>
      </c>
      <c r="U1467" s="5" t="inlineStr">
        <is>
          <t>OK</t>
        </is>
      </c>
    </row>
    <row r="1468">
      <c r="A1468" s="5" t="inlineStr">
        <is>
          <t>E00879</t>
        </is>
      </c>
      <c r="B1468" s="5" t="inlineStr">
        <is>
          <t>Male</t>
        </is>
      </c>
      <c r="C1468" s="6" t="inlineStr">
        <is>
          <t>29</t>
        </is>
      </c>
      <c r="D1468" s="5" t="inlineStr">
        <is>
          <t>Married</t>
        </is>
      </c>
      <c r="E1468" s="5" t="inlineStr">
        <is>
          <t>Bachelor</t>
        </is>
      </c>
      <c r="F1468" s="5" t="inlineStr">
        <is>
          <t>IT</t>
        </is>
      </c>
      <c r="G1468" s="5" t="inlineStr">
        <is>
          <t>Data Analyst</t>
        </is>
      </c>
      <c r="H1468" s="5" t="inlineStr">
        <is>
          <t>2</t>
        </is>
      </c>
      <c r="I1468" s="5" t="inlineStr">
        <is>
          <t>Remote</t>
        </is>
      </c>
      <c r="J1468" s="5" t="inlineStr">
        <is>
          <t>Full-Time</t>
        </is>
      </c>
      <c r="K1468" s="7" t="n">
        <v>45501</v>
      </c>
      <c r="L1468" s="7" t="inlineStr"/>
      <c r="M1468" s="5" t="inlineStr">
        <is>
          <t>Yes</t>
        </is>
      </c>
      <c r="N1468" s="5" t="inlineStr"/>
      <c r="O1468" s="8" t="inlineStr">
        <is>
          <t>157000</t>
        </is>
      </c>
      <c r="P1468" s="5" t="inlineStr">
        <is>
          <t>0</t>
        </is>
      </c>
      <c r="Q1468" s="5" t="inlineStr">
        <is>
          <t>3</t>
        </is>
      </c>
      <c r="R1468" s="5" t="inlineStr">
        <is>
          <t>6</t>
        </is>
      </c>
      <c r="S1468" s="5" t="inlineStr">
        <is>
          <t>17</t>
        </is>
      </c>
      <c r="T1468" s="5" t="inlineStr">
        <is>
          <t>7</t>
        </is>
      </c>
      <c r="U1468" s="5" t="inlineStr">
        <is>
          <t>OK</t>
        </is>
      </c>
    </row>
    <row r="1469">
      <c r="A1469" s="5" t="inlineStr">
        <is>
          <t>E01823</t>
        </is>
      </c>
      <c r="B1469" s="5" t="inlineStr">
        <is>
          <t>Male</t>
        </is>
      </c>
      <c r="C1469" s="6" t="inlineStr">
        <is>
          <t>32</t>
        </is>
      </c>
      <c r="D1469" s="5" t="inlineStr">
        <is>
          <t>Married</t>
        </is>
      </c>
      <c r="E1469" s="5" t="inlineStr">
        <is>
          <t>Bachelor</t>
        </is>
      </c>
      <c r="F1469" s="5" t="inlineStr">
        <is>
          <t>Sales</t>
        </is>
      </c>
      <c r="G1469" s="5" t="inlineStr">
        <is>
          <t>Account Executive</t>
        </is>
      </c>
      <c r="H1469" s="5" t="inlineStr">
        <is>
          <t>2</t>
        </is>
      </c>
      <c r="I1469" s="5" t="inlineStr">
        <is>
          <t>Hyderabad</t>
        </is>
      </c>
      <c r="J1469" s="5" t="inlineStr">
        <is>
          <t>Full-Time</t>
        </is>
      </c>
      <c r="K1469" s="7" t="n">
        <v>45102</v>
      </c>
      <c r="L1469" s="7" t="inlineStr"/>
      <c r="M1469" s="5" t="inlineStr">
        <is>
          <t>Yes</t>
        </is>
      </c>
      <c r="N1469" s="5" t="inlineStr"/>
      <c r="O1469" s="8" t="inlineStr">
        <is>
          <t>68500</t>
        </is>
      </c>
      <c r="P1469" s="5" t="inlineStr">
        <is>
          <t>10</t>
        </is>
      </c>
      <c r="Q1469" s="5" t="inlineStr">
        <is>
          <t>4</t>
        </is>
      </c>
      <c r="R1469" s="5" t="inlineStr">
        <is>
          <t>7</t>
        </is>
      </c>
      <c r="S1469" s="5" t="inlineStr">
        <is>
          <t>30</t>
        </is>
      </c>
      <c r="T1469" s="5" t="inlineStr">
        <is>
          <t>2</t>
        </is>
      </c>
      <c r="U1469" s="5" t="inlineStr">
        <is>
          <t>OK</t>
        </is>
      </c>
    </row>
    <row r="1470">
      <c r="A1470" s="5" t="inlineStr">
        <is>
          <t>E02527</t>
        </is>
      </c>
      <c r="B1470" s="5" t="inlineStr">
        <is>
          <t>Male</t>
        </is>
      </c>
      <c r="C1470" s="6" t="inlineStr">
        <is>
          <t>38</t>
        </is>
      </c>
      <c r="D1470" s="5" t="inlineStr">
        <is>
          <t>Married</t>
        </is>
      </c>
      <c r="E1470" s="5" t="inlineStr">
        <is>
          <t>PhD</t>
        </is>
      </c>
      <c r="F1470" s="5" t="inlineStr">
        <is>
          <t>Human Resources</t>
        </is>
      </c>
      <c r="G1470" s="5" t="inlineStr">
        <is>
          <t>HR Analyst</t>
        </is>
      </c>
      <c r="H1470" s="5" t="inlineStr">
        <is>
          <t>6</t>
        </is>
      </c>
      <c r="I1470" s="5" t="inlineStr">
        <is>
          <t>Chennai</t>
        </is>
      </c>
      <c r="J1470" s="5" t="inlineStr">
        <is>
          <t>Full-Time</t>
        </is>
      </c>
      <c r="K1470" s="7" t="n">
        <v>44508</v>
      </c>
      <c r="L1470" s="7" t="inlineStr"/>
      <c r="M1470" s="5" t="inlineStr">
        <is>
          <t>Yes</t>
        </is>
      </c>
      <c r="N1470" s="5" t="inlineStr"/>
      <c r="O1470" s="8" t="inlineStr">
        <is>
          <t>103500</t>
        </is>
      </c>
      <c r="P1470" s="5" t="inlineStr">
        <is>
          <t>0</t>
        </is>
      </c>
      <c r="Q1470" s="5" t="inlineStr">
        <is>
          <t>3</t>
        </is>
      </c>
      <c r="R1470" s="5" t="inlineStr">
        <is>
          <t>5</t>
        </is>
      </c>
      <c r="S1470" s="5" t="inlineStr">
        <is>
          <t>50</t>
        </is>
      </c>
      <c r="T1470" s="5" t="inlineStr">
        <is>
          <t>15</t>
        </is>
      </c>
      <c r="U1470" s="5" t="inlineStr">
        <is>
          <t>OK</t>
        </is>
      </c>
    </row>
    <row r="1471">
      <c r="A1471" s="5" t="inlineStr">
        <is>
          <t>E00431</t>
        </is>
      </c>
      <c r="B1471" s="5" t="inlineStr">
        <is>
          <t>Female</t>
        </is>
      </c>
      <c r="C1471" s="6" t="inlineStr">
        <is>
          <t>24</t>
        </is>
      </c>
      <c r="D1471" s="5" t="inlineStr">
        <is>
          <t>Single</t>
        </is>
      </c>
      <c r="E1471" s="5" t="inlineStr">
        <is>
          <t>High School</t>
        </is>
      </c>
      <c r="F1471" s="5" t="inlineStr">
        <is>
          <t>Sales</t>
        </is>
      </c>
      <c r="G1471" s="5" t="inlineStr">
        <is>
          <t>Business Development</t>
        </is>
      </c>
      <c r="H1471" s="5" t="inlineStr">
        <is>
          <t>1</t>
        </is>
      </c>
      <c r="I1471" s="5" t="inlineStr">
        <is>
          <t>Bengaluru</t>
        </is>
      </c>
      <c r="J1471" s="5" t="inlineStr">
        <is>
          <t>Full-Time</t>
        </is>
      </c>
      <c r="K1471" s="7" t="n">
        <v>44433</v>
      </c>
      <c r="L1471" s="7" t="inlineStr"/>
      <c r="M1471" s="5" t="inlineStr">
        <is>
          <t>Yes</t>
        </is>
      </c>
      <c r="N1471" s="5" t="inlineStr"/>
      <c r="O1471" s="8" t="inlineStr">
        <is>
          <t>60500</t>
        </is>
      </c>
      <c r="P1471" s="5" t="inlineStr">
        <is>
          <t>0</t>
        </is>
      </c>
      <c r="Q1471" s="5" t="inlineStr">
        <is>
          <t>5</t>
        </is>
      </c>
      <c r="R1471" s="5" t="inlineStr">
        <is>
          <t>4</t>
        </is>
      </c>
      <c r="S1471" s="5" t="inlineStr">
        <is>
          <t>52</t>
        </is>
      </c>
      <c r="T1471" s="5" t="inlineStr">
        <is>
          <t>0</t>
        </is>
      </c>
      <c r="U1471" s="5" t="inlineStr">
        <is>
          <t>OK</t>
        </is>
      </c>
    </row>
    <row r="1472">
      <c r="A1472" s="5" t="inlineStr">
        <is>
          <t>E02664</t>
        </is>
      </c>
      <c r="B1472" s="5" t="inlineStr">
        <is>
          <t>Male</t>
        </is>
      </c>
      <c r="C1472" s="6" t="inlineStr">
        <is>
          <t>39</t>
        </is>
      </c>
      <c r="D1472" s="5" t="inlineStr">
        <is>
          <t>Married</t>
        </is>
      </c>
      <c r="E1472" s="5" t="inlineStr">
        <is>
          <t>Master</t>
        </is>
      </c>
      <c r="F1472" s="5" t="inlineStr">
        <is>
          <t>IT</t>
        </is>
      </c>
      <c r="G1472" s="5" t="inlineStr">
        <is>
          <t>Software Engineer</t>
        </is>
      </c>
      <c r="H1472" s="5" t="inlineStr">
        <is>
          <t>5</t>
        </is>
      </c>
      <c r="I1472" s="5" t="inlineStr">
        <is>
          <t>Mumbai</t>
        </is>
      </c>
      <c r="J1472" s="5" t="inlineStr">
        <is>
          <t>Full-Time</t>
        </is>
      </c>
      <c r="K1472" s="7" t="n">
        <v>44090</v>
      </c>
      <c r="L1472" s="7" t="inlineStr"/>
      <c r="M1472" s="5" t="inlineStr">
        <is>
          <t>Yes</t>
        </is>
      </c>
      <c r="N1472" s="5" t="inlineStr"/>
      <c r="O1472" s="8" t="inlineStr">
        <is>
          <t>223500</t>
        </is>
      </c>
      <c r="P1472" s="5" t="inlineStr">
        <is>
          <t>0</t>
        </is>
      </c>
      <c r="Q1472" s="5" t="inlineStr">
        <is>
          <t>4</t>
        </is>
      </c>
      <c r="R1472" s="5" t="inlineStr">
        <is>
          <t>3</t>
        </is>
      </c>
      <c r="S1472" s="5" t="inlineStr">
        <is>
          <t>64</t>
        </is>
      </c>
      <c r="T1472" s="5" t="inlineStr">
        <is>
          <t>4</t>
        </is>
      </c>
      <c r="U1472" s="5" t="inlineStr">
        <is>
          <t>OK</t>
        </is>
      </c>
    </row>
    <row r="1473">
      <c r="A1473" s="5" t="inlineStr">
        <is>
          <t>E01212</t>
        </is>
      </c>
      <c r="B1473" s="5" t="inlineStr">
        <is>
          <t>Female</t>
        </is>
      </c>
      <c r="C1473" s="6" t="inlineStr">
        <is>
          <t>32</t>
        </is>
      </c>
      <c r="D1473" s="5" t="inlineStr">
        <is>
          <t>Married</t>
        </is>
      </c>
      <c r="E1473" s="5" t="inlineStr">
        <is>
          <t>PhD</t>
        </is>
      </c>
      <c r="F1473" s="5" t="inlineStr">
        <is>
          <t>Customer Support</t>
        </is>
      </c>
      <c r="G1473" s="5" t="inlineStr">
        <is>
          <t>Escalation Specialist</t>
        </is>
      </c>
      <c r="H1473" s="5" t="inlineStr">
        <is>
          <t>1</t>
        </is>
      </c>
      <c r="I1473" s="5" t="inlineStr">
        <is>
          <t>Hyderabad</t>
        </is>
      </c>
      <c r="J1473" s="5" t="inlineStr">
        <is>
          <t>Full-Time</t>
        </is>
      </c>
      <c r="K1473" s="7" t="n">
        <v>45447</v>
      </c>
      <c r="L1473" s="7" t="inlineStr"/>
      <c r="M1473" s="5" t="inlineStr">
        <is>
          <t>Yes</t>
        </is>
      </c>
      <c r="N1473" s="5" t="inlineStr"/>
      <c r="O1473" s="8" t="inlineStr">
        <is>
          <t>67000</t>
        </is>
      </c>
      <c r="P1473" s="5" t="inlineStr">
        <is>
          <t>0</t>
        </is>
      </c>
      <c r="Q1473" s="5" t="inlineStr">
        <is>
          <t>3</t>
        </is>
      </c>
      <c r="R1473" s="5" t="inlineStr">
        <is>
          <t>9</t>
        </is>
      </c>
      <c r="S1473" s="5" t="inlineStr">
        <is>
          <t>19</t>
        </is>
      </c>
      <c r="T1473" s="5" t="inlineStr">
        <is>
          <t>5</t>
        </is>
      </c>
      <c r="U1473" s="5" t="inlineStr">
        <is>
          <t>OK</t>
        </is>
      </c>
    </row>
    <row r="1474">
      <c r="A1474" s="5" t="inlineStr">
        <is>
          <t>E02250</t>
        </is>
      </c>
      <c r="B1474" s="5" t="inlineStr">
        <is>
          <t>Male</t>
        </is>
      </c>
      <c r="C1474" s="6" t="inlineStr">
        <is>
          <t>36</t>
        </is>
      </c>
      <c r="D1474" s="5" t="inlineStr">
        <is>
          <t>Married</t>
        </is>
      </c>
      <c r="E1474" s="5" t="inlineStr">
        <is>
          <t>Master</t>
        </is>
      </c>
      <c r="F1474" s="5" t="inlineStr">
        <is>
          <t>Finance</t>
        </is>
      </c>
      <c r="G1474" s="5" t="inlineStr">
        <is>
          <t>Accountant</t>
        </is>
      </c>
      <c r="H1474" s="5" t="inlineStr">
        <is>
          <t>2</t>
        </is>
      </c>
      <c r="I1474" s="5" t="inlineStr">
        <is>
          <t>Chennai</t>
        </is>
      </c>
      <c r="J1474" s="5" t="inlineStr">
        <is>
          <t>Full-Time</t>
        </is>
      </c>
      <c r="K1474" s="7" t="n">
        <v>44224</v>
      </c>
      <c r="L1474" s="7" t="inlineStr"/>
      <c r="M1474" s="5" t="inlineStr">
        <is>
          <t>Yes</t>
        </is>
      </c>
      <c r="N1474" s="5" t="inlineStr"/>
      <c r="O1474" s="8" t="inlineStr">
        <is>
          <t>98000</t>
        </is>
      </c>
      <c r="P1474" s="5" t="inlineStr">
        <is>
          <t>10</t>
        </is>
      </c>
      <c r="Q1474" s="5" t="inlineStr">
        <is>
          <t>4</t>
        </is>
      </c>
      <c r="R1474" s="5" t="inlineStr">
        <is>
          <t>9</t>
        </is>
      </c>
      <c r="S1474" s="5" t="inlineStr">
        <is>
          <t>59</t>
        </is>
      </c>
      <c r="T1474" s="5" t="inlineStr">
        <is>
          <t>4</t>
        </is>
      </c>
      <c r="U1474" s="5" t="inlineStr">
        <is>
          <t>OK</t>
        </is>
      </c>
    </row>
    <row r="1475">
      <c r="A1475" s="5" t="inlineStr">
        <is>
          <t>E02900</t>
        </is>
      </c>
      <c r="B1475" s="5" t="inlineStr">
        <is>
          <t>Female</t>
        </is>
      </c>
      <c r="C1475" s="6" t="inlineStr">
        <is>
          <t>30</t>
        </is>
      </c>
      <c r="D1475" s="5" t="inlineStr">
        <is>
          <t>Married</t>
        </is>
      </c>
      <c r="E1475" s="5" t="inlineStr">
        <is>
          <t>PhD</t>
        </is>
      </c>
      <c r="F1475" s="5" t="inlineStr">
        <is>
          <t>Human Resources</t>
        </is>
      </c>
      <c r="G1475" s="5" t="inlineStr">
        <is>
          <t>HR Analyst</t>
        </is>
      </c>
      <c r="H1475" s="5" t="inlineStr">
        <is>
          <t>3</t>
        </is>
      </c>
      <c r="I1475" s="5" t="inlineStr">
        <is>
          <t>Hyderabad</t>
        </is>
      </c>
      <c r="J1475" s="5" t="inlineStr">
        <is>
          <t>Full-Time</t>
        </is>
      </c>
      <c r="K1475" s="7" t="n">
        <v>45428</v>
      </c>
      <c r="L1475" s="7" t="inlineStr"/>
      <c r="M1475" s="5" t="inlineStr">
        <is>
          <t>Yes</t>
        </is>
      </c>
      <c r="N1475" s="5" t="inlineStr"/>
      <c r="O1475" s="8" t="inlineStr">
        <is>
          <t>91500</t>
        </is>
      </c>
      <c r="P1475" s="5" t="inlineStr">
        <is>
          <t>0</t>
        </is>
      </c>
      <c r="Q1475" s="5" t="inlineStr">
        <is>
          <t>5</t>
        </is>
      </c>
      <c r="R1475" s="5" t="inlineStr">
        <is>
          <t>7</t>
        </is>
      </c>
      <c r="S1475" s="5" t="inlineStr">
        <is>
          <t>19</t>
        </is>
      </c>
      <c r="T1475" s="5" t="inlineStr">
        <is>
          <t>5</t>
        </is>
      </c>
      <c r="U1475" s="5" t="inlineStr">
        <is>
          <t>OK</t>
        </is>
      </c>
    </row>
    <row r="1476">
      <c r="A1476" s="5" t="inlineStr">
        <is>
          <t>E01636</t>
        </is>
      </c>
      <c r="B1476" s="5" t="inlineStr">
        <is>
          <t>Female</t>
        </is>
      </c>
      <c r="C1476" s="6" t="inlineStr">
        <is>
          <t>27</t>
        </is>
      </c>
      <c r="D1476" s="5" t="inlineStr">
        <is>
          <t>Single</t>
        </is>
      </c>
      <c r="E1476" s="5" t="inlineStr">
        <is>
          <t>High School</t>
        </is>
      </c>
      <c r="F1476" s="5" t="inlineStr">
        <is>
          <t>Sales</t>
        </is>
      </c>
      <c r="G1476" s="5" t="inlineStr">
        <is>
          <t>Account Executive</t>
        </is>
      </c>
      <c r="H1476" s="5" t="inlineStr">
        <is>
          <t>3</t>
        </is>
      </c>
      <c r="I1476" s="5" t="inlineStr">
        <is>
          <t>Remote</t>
        </is>
      </c>
      <c r="J1476" s="5" t="inlineStr">
        <is>
          <t>Full-Time</t>
        </is>
      </c>
      <c r="K1476" s="7" t="n">
        <v>45500</v>
      </c>
      <c r="L1476" s="7" t="inlineStr"/>
      <c r="M1476" s="5" t="inlineStr">
        <is>
          <t>Yes</t>
        </is>
      </c>
      <c r="N1476" s="5" t="inlineStr"/>
      <c r="O1476" s="8" t="inlineStr">
        <is>
          <t>106500</t>
        </is>
      </c>
      <c r="P1476" s="5" t="inlineStr">
        <is>
          <t>0</t>
        </is>
      </c>
      <c r="Q1476" s="5" t="inlineStr">
        <is>
          <t>2</t>
        </is>
      </c>
      <c r="R1476" s="5" t="inlineStr">
        <is>
          <t>8</t>
        </is>
      </c>
      <c r="S1476" s="5" t="inlineStr">
        <is>
          <t>17</t>
        </is>
      </c>
      <c r="T1476" s="5" t="inlineStr">
        <is>
          <t>3</t>
        </is>
      </c>
      <c r="U1476" s="5" t="inlineStr">
        <is>
          <t>OK</t>
        </is>
      </c>
    </row>
    <row r="1477">
      <c r="A1477" s="5" t="inlineStr">
        <is>
          <t>E01019</t>
        </is>
      </c>
      <c r="B1477" s="5" t="inlineStr">
        <is>
          <t>Male</t>
        </is>
      </c>
      <c r="C1477" s="6" t="inlineStr">
        <is>
          <t>37</t>
        </is>
      </c>
      <c r="D1477" s="5" t="inlineStr">
        <is>
          <t>Married</t>
        </is>
      </c>
      <c r="E1477" s="5" t="inlineStr">
        <is>
          <t>PhD</t>
        </is>
      </c>
      <c r="F1477" s="5" t="inlineStr">
        <is>
          <t>Finance</t>
        </is>
      </c>
      <c r="G1477" s="5" t="inlineStr">
        <is>
          <t>Financial Analyst</t>
        </is>
      </c>
      <c r="H1477" s="5" t="inlineStr">
        <is>
          <t>3</t>
        </is>
      </c>
      <c r="I1477" s="5" t="inlineStr">
        <is>
          <t>Delhi</t>
        </is>
      </c>
      <c r="J1477" s="5" t="inlineStr">
        <is>
          <t>Full-Time</t>
        </is>
      </c>
      <c r="K1477" s="7" t="n">
        <v>45572</v>
      </c>
      <c r="L1477" s="7" t="inlineStr"/>
      <c r="M1477" s="5" t="inlineStr">
        <is>
          <t>Yes</t>
        </is>
      </c>
      <c r="N1477" s="5" t="inlineStr"/>
      <c r="O1477" s="8" t="inlineStr">
        <is>
          <t>124000</t>
        </is>
      </c>
      <c r="P1477" s="5" t="inlineStr">
        <is>
          <t>15</t>
        </is>
      </c>
      <c r="Q1477" s="5" t="inlineStr">
        <is>
          <t>3</t>
        </is>
      </c>
      <c r="R1477" s="5" t="inlineStr">
        <is>
          <t>4</t>
        </is>
      </c>
      <c r="S1477" s="5" t="inlineStr">
        <is>
          <t>15</t>
        </is>
      </c>
      <c r="T1477" s="5" t="inlineStr">
        <is>
          <t>6</t>
        </is>
      </c>
      <c r="U1477" s="5" t="inlineStr">
        <is>
          <t>OK</t>
        </is>
      </c>
    </row>
    <row r="1478">
      <c r="A1478" s="5" t="inlineStr">
        <is>
          <t>E01185</t>
        </is>
      </c>
      <c r="B1478" s="5" t="inlineStr">
        <is>
          <t>Male</t>
        </is>
      </c>
      <c r="C1478" s="6" t="inlineStr">
        <is>
          <t>38</t>
        </is>
      </c>
      <c r="D1478" s="5" t="inlineStr">
        <is>
          <t>Single</t>
        </is>
      </c>
      <c r="E1478" s="5" t="inlineStr">
        <is>
          <t>Master</t>
        </is>
      </c>
      <c r="F1478" s="5" t="inlineStr">
        <is>
          <t>Customer Support</t>
        </is>
      </c>
      <c r="G1478" s="5" t="inlineStr">
        <is>
          <t>Support Agent</t>
        </is>
      </c>
      <c r="H1478" s="5" t="inlineStr">
        <is>
          <t>6</t>
        </is>
      </c>
      <c r="I1478" s="5" t="inlineStr">
        <is>
          <t>Chennai</t>
        </is>
      </c>
      <c r="J1478" s="5" t="inlineStr">
        <is>
          <t>Part-Time</t>
        </is>
      </c>
      <c r="K1478" s="7" t="n">
        <v>43836</v>
      </c>
      <c r="L1478" s="7" t="inlineStr"/>
      <c r="M1478" s="5" t="inlineStr">
        <is>
          <t>Yes</t>
        </is>
      </c>
      <c r="N1478" s="5" t="inlineStr"/>
      <c r="O1478" s="8" t="inlineStr">
        <is>
          <t>84500</t>
        </is>
      </c>
      <c r="P1478" s="5" t="inlineStr">
        <is>
          <t>10</t>
        </is>
      </c>
      <c r="Q1478" s="5" t="inlineStr">
        <is>
          <t>4</t>
        </is>
      </c>
      <c r="R1478" s="5" t="inlineStr">
        <is>
          <t>3</t>
        </is>
      </c>
      <c r="S1478" s="5" t="inlineStr">
        <is>
          <t>72</t>
        </is>
      </c>
      <c r="T1478" s="5" t="inlineStr">
        <is>
          <t>7</t>
        </is>
      </c>
      <c r="U1478" s="5" t="inlineStr">
        <is>
          <t>OK</t>
        </is>
      </c>
    </row>
    <row r="1479">
      <c r="A1479" s="5" t="inlineStr">
        <is>
          <t>E02519</t>
        </is>
      </c>
      <c r="B1479" s="5" t="inlineStr">
        <is>
          <t>Male</t>
        </is>
      </c>
      <c r="C1479" s="6" t="inlineStr">
        <is>
          <t>35</t>
        </is>
      </c>
      <c r="D1479" s="5" t="inlineStr">
        <is>
          <t>Single</t>
        </is>
      </c>
      <c r="E1479" s="5" t="inlineStr">
        <is>
          <t>PhD</t>
        </is>
      </c>
      <c r="F1479" s="5" t="inlineStr">
        <is>
          <t>Customer Support</t>
        </is>
      </c>
      <c r="G1479" s="5" t="inlineStr">
        <is>
          <t>Support Lead</t>
        </is>
      </c>
      <c r="H1479" s="5" t="inlineStr">
        <is>
          <t>4</t>
        </is>
      </c>
      <c r="I1479" s="5" t="inlineStr">
        <is>
          <t>Hyderabad</t>
        </is>
      </c>
      <c r="J1479" s="5" t="inlineStr">
        <is>
          <t>Full-Time</t>
        </is>
      </c>
      <c r="K1479" s="7" t="n">
        <v>44326</v>
      </c>
      <c r="L1479" s="7" t="n">
        <v>44399</v>
      </c>
      <c r="M1479" s="5" t="inlineStr">
        <is>
          <t>No</t>
        </is>
      </c>
      <c r="N1479" s="5" t="inlineStr">
        <is>
          <t>Resigned</t>
        </is>
      </c>
      <c r="O1479" s="8" t="inlineStr">
        <is>
          <t>105000</t>
        </is>
      </c>
      <c r="P1479" s="5" t="inlineStr">
        <is>
          <t>0</t>
        </is>
      </c>
      <c r="Q1479" s="5" t="inlineStr">
        <is>
          <t>4</t>
        </is>
      </c>
      <c r="R1479" s="5" t="inlineStr">
        <is>
          <t>8</t>
        </is>
      </c>
      <c r="S1479" s="5" t="inlineStr">
        <is>
          <t>2</t>
        </is>
      </c>
      <c r="T1479" s="5" t="inlineStr">
        <is>
          <t>8</t>
        </is>
      </c>
      <c r="U1479" s="5" t="inlineStr">
        <is>
          <t>OK</t>
        </is>
      </c>
    </row>
    <row r="1480">
      <c r="A1480" s="5" t="inlineStr">
        <is>
          <t>E01812</t>
        </is>
      </c>
      <c r="B1480" s="5" t="inlineStr">
        <is>
          <t>Female</t>
        </is>
      </c>
      <c r="C1480" s="6" t="inlineStr">
        <is>
          <t>37</t>
        </is>
      </c>
      <c r="D1480" s="5" t="inlineStr">
        <is>
          <t>Married</t>
        </is>
      </c>
      <c r="E1480" s="5" t="inlineStr">
        <is>
          <t>Bachelor</t>
        </is>
      </c>
      <c r="F1480" s="5" t="inlineStr">
        <is>
          <t>Sales</t>
        </is>
      </c>
      <c r="G1480" s="5" t="inlineStr">
        <is>
          <t>Account Executive</t>
        </is>
      </c>
      <c r="H1480" s="5" t="inlineStr">
        <is>
          <t>3</t>
        </is>
      </c>
      <c r="I1480" s="5" t="inlineStr">
        <is>
          <t>Chennai</t>
        </is>
      </c>
      <c r="J1480" s="5" t="inlineStr">
        <is>
          <t>Full-Time</t>
        </is>
      </c>
      <c r="K1480" s="7" t="n">
        <v>45767</v>
      </c>
      <c r="L1480" s="7" t="n">
        <v>45851</v>
      </c>
      <c r="M1480" s="5" t="inlineStr">
        <is>
          <t>No</t>
        </is>
      </c>
      <c r="N1480" s="5" t="inlineStr">
        <is>
          <t>Retirement</t>
        </is>
      </c>
      <c r="O1480" s="8" t="inlineStr">
        <is>
          <t>126000</t>
        </is>
      </c>
      <c r="P1480" s="5" t="inlineStr">
        <is>
          <t>0</t>
        </is>
      </c>
      <c r="Q1480" s="5" t="inlineStr">
        <is>
          <t>4</t>
        </is>
      </c>
      <c r="R1480" s="5" t="inlineStr">
        <is>
          <t>6</t>
        </is>
      </c>
      <c r="S1480" s="5" t="inlineStr">
        <is>
          <t>2</t>
        </is>
      </c>
      <c r="T1480" s="5" t="inlineStr">
        <is>
          <t>3</t>
        </is>
      </c>
      <c r="U1480" s="5" t="inlineStr">
        <is>
          <t>OK</t>
        </is>
      </c>
    </row>
    <row r="1481">
      <c r="A1481" s="5" t="inlineStr">
        <is>
          <t>E02405</t>
        </is>
      </c>
      <c r="B1481" s="5" t="inlineStr">
        <is>
          <t>Female</t>
        </is>
      </c>
      <c r="C1481" s="6" t="inlineStr">
        <is>
          <t>44</t>
        </is>
      </c>
      <c r="D1481" s="5" t="inlineStr">
        <is>
          <t>Married</t>
        </is>
      </c>
      <c r="E1481" s="5" t="inlineStr">
        <is>
          <t>High School</t>
        </is>
      </c>
      <c r="F1481" s="5" t="inlineStr">
        <is>
          <t>Operations</t>
        </is>
      </c>
      <c r="G1481" s="5" t="inlineStr">
        <is>
          <t>Operations Analyst</t>
        </is>
      </c>
      <c r="H1481" s="5" t="inlineStr">
        <is>
          <t>6</t>
        </is>
      </c>
      <c r="I1481" s="5" t="inlineStr">
        <is>
          <t>Mumbai</t>
        </is>
      </c>
      <c r="J1481" s="5" t="inlineStr">
        <is>
          <t>Full-Time</t>
        </is>
      </c>
      <c r="K1481" s="7" t="n">
        <v>44409</v>
      </c>
      <c r="L1481" s="7" t="inlineStr"/>
      <c r="M1481" s="5" t="inlineStr">
        <is>
          <t>Yes</t>
        </is>
      </c>
      <c r="N1481" s="5" t="inlineStr"/>
      <c r="O1481" s="8" t="inlineStr">
        <is>
          <t>134000</t>
        </is>
      </c>
      <c r="P1481" s="5" t="inlineStr">
        <is>
          <t>0</t>
        </is>
      </c>
      <c r="Q1481" s="5" t="inlineStr">
        <is>
          <t>5</t>
        </is>
      </c>
      <c r="R1481" s="5" t="inlineStr">
        <is>
          <t>5</t>
        </is>
      </c>
      <c r="S1481" s="5" t="inlineStr">
        <is>
          <t>53</t>
        </is>
      </c>
      <c r="T1481" s="5" t="inlineStr">
        <is>
          <t>1</t>
        </is>
      </c>
      <c r="U1481" s="5" t="inlineStr">
        <is>
          <t>OK</t>
        </is>
      </c>
    </row>
    <row r="1482">
      <c r="A1482" s="5" t="inlineStr">
        <is>
          <t>E01041</t>
        </is>
      </c>
      <c r="B1482" s="5" t="inlineStr">
        <is>
          <t>Female</t>
        </is>
      </c>
      <c r="C1482" s="6" t="inlineStr">
        <is>
          <t>34</t>
        </is>
      </c>
      <c r="D1482" s="5" t="inlineStr">
        <is>
          <t>Married</t>
        </is>
      </c>
      <c r="E1482" s="5" t="inlineStr">
        <is>
          <t>High School</t>
        </is>
      </c>
      <c r="F1482" s="5" t="inlineStr">
        <is>
          <t>Human Resources</t>
        </is>
      </c>
      <c r="G1482" s="5" t="inlineStr">
        <is>
          <t>Recruiter</t>
        </is>
      </c>
      <c r="H1482" s="5" t="inlineStr">
        <is>
          <t>3</t>
        </is>
      </c>
      <c r="I1482" s="5" t="inlineStr">
        <is>
          <t>Delhi</t>
        </is>
      </c>
      <c r="J1482" s="5" t="inlineStr">
        <is>
          <t>Full-Time</t>
        </is>
      </c>
      <c r="K1482" s="7" t="n">
        <v>43868</v>
      </c>
      <c r="L1482" s="7" t="inlineStr"/>
      <c r="M1482" s="5" t="inlineStr">
        <is>
          <t>Yes</t>
        </is>
      </c>
      <c r="N1482" s="5" t="inlineStr"/>
      <c r="O1482" s="8" t="inlineStr">
        <is>
          <t>94000</t>
        </is>
      </c>
      <c r="P1482" s="5" t="inlineStr">
        <is>
          <t>10</t>
        </is>
      </c>
      <c r="Q1482" s="5" t="inlineStr">
        <is>
          <t>3</t>
        </is>
      </c>
      <c r="R1482" s="5" t="inlineStr">
        <is>
          <t>8</t>
        </is>
      </c>
      <c r="S1482" s="5" t="inlineStr">
        <is>
          <t>71</t>
        </is>
      </c>
      <c r="T1482" s="5" t="inlineStr">
        <is>
          <t>11</t>
        </is>
      </c>
      <c r="U1482" s="5" t="inlineStr">
        <is>
          <t>OK</t>
        </is>
      </c>
    </row>
    <row r="1483">
      <c r="A1483" s="5" t="inlineStr">
        <is>
          <t>E01944</t>
        </is>
      </c>
      <c r="B1483" s="5" t="inlineStr">
        <is>
          <t>male</t>
        </is>
      </c>
      <c r="C1483" s="6" t="inlineStr">
        <is>
          <t>32</t>
        </is>
      </c>
      <c r="D1483" s="5" t="inlineStr">
        <is>
          <t>Married</t>
        </is>
      </c>
      <c r="E1483" s="5" t="inlineStr">
        <is>
          <t>Diploma</t>
        </is>
      </c>
      <c r="F1483" s="5" t="inlineStr">
        <is>
          <t>Customer Support</t>
        </is>
      </c>
      <c r="G1483" s="5" t="inlineStr">
        <is>
          <t>Escalation Specialist</t>
        </is>
      </c>
      <c r="H1483" s="5" t="inlineStr">
        <is>
          <t>2</t>
        </is>
      </c>
      <c r="I1483" s="5" t="inlineStr">
        <is>
          <t>Delhi</t>
        </is>
      </c>
      <c r="J1483" s="5" t="inlineStr">
        <is>
          <t>Full-Time</t>
        </is>
      </c>
      <c r="K1483" s="7" t="n">
        <v>46008</v>
      </c>
      <c r="L1483" s="7" t="inlineStr"/>
      <c r="M1483" s="5" t="inlineStr">
        <is>
          <t>Yes</t>
        </is>
      </c>
      <c r="N1483" s="5" t="inlineStr"/>
      <c r="O1483" s="8" t="inlineStr">
        <is>
          <t>74000</t>
        </is>
      </c>
      <c r="P1483" s="5" t="inlineStr">
        <is>
          <t>0</t>
        </is>
      </c>
      <c r="Q1483" s="5" t="inlineStr">
        <is>
          <t>4</t>
        </is>
      </c>
      <c r="R1483" s="5" t="inlineStr">
        <is>
          <t>4</t>
        </is>
      </c>
      <c r="S1483" s="5" t="inlineStr">
        <is>
          <t>1</t>
        </is>
      </c>
      <c r="T1483" s="5" t="inlineStr">
        <is>
          <t>4</t>
        </is>
      </c>
      <c r="U1483" s="5" t="inlineStr">
        <is>
          <t>OK</t>
        </is>
      </c>
    </row>
    <row r="1484">
      <c r="A1484" s="5" t="inlineStr">
        <is>
          <t>E02300</t>
        </is>
      </c>
      <c r="B1484" s="5" t="inlineStr">
        <is>
          <t>Unknown</t>
        </is>
      </c>
      <c r="C1484" s="6" t="inlineStr">
        <is>
          <t>28</t>
        </is>
      </c>
      <c r="D1484" s="5" t="inlineStr">
        <is>
          <t>Single</t>
        </is>
      </c>
      <c r="E1484" s="5" t="inlineStr">
        <is>
          <t>PhD</t>
        </is>
      </c>
      <c r="F1484" s="5" t="inlineStr">
        <is>
          <t>Customer Support</t>
        </is>
      </c>
      <c r="G1484" s="5" t="inlineStr">
        <is>
          <t>Support Agent</t>
        </is>
      </c>
      <c r="H1484" s="5" t="inlineStr">
        <is>
          <t>1</t>
        </is>
      </c>
      <c r="I1484" s="5" t="inlineStr">
        <is>
          <t>Delhi</t>
        </is>
      </c>
      <c r="J1484" s="5" t="inlineStr">
        <is>
          <t>Full-Time</t>
        </is>
      </c>
      <c r="K1484" s="7" t="n">
        <v>44657</v>
      </c>
      <c r="L1484" s="7" t="n">
        <v>44775</v>
      </c>
      <c r="M1484" s="5" t="inlineStr">
        <is>
          <t>No</t>
        </is>
      </c>
      <c r="N1484" s="5" t="inlineStr">
        <is>
          <t>Resigned</t>
        </is>
      </c>
      <c r="O1484" s="8" t="inlineStr">
        <is>
          <t>57500</t>
        </is>
      </c>
      <c r="P1484" s="5" t="inlineStr">
        <is>
          <t>10</t>
        </is>
      </c>
      <c r="Q1484" s="5" t="inlineStr">
        <is>
          <t>3</t>
        </is>
      </c>
      <c r="R1484" s="5" t="inlineStr">
        <is>
          <t>2</t>
        </is>
      </c>
      <c r="S1484" s="5" t="inlineStr">
        <is>
          <t>3</t>
        </is>
      </c>
      <c r="T1484" s="5" t="inlineStr">
        <is>
          <t>0</t>
        </is>
      </c>
      <c r="U1484" s="5" t="inlineStr">
        <is>
          <t>Bad gender</t>
        </is>
      </c>
    </row>
    <row r="1485">
      <c r="A1485" s="5" t="inlineStr">
        <is>
          <t>E02707</t>
        </is>
      </c>
      <c r="B1485" s="5" t="inlineStr">
        <is>
          <t>Female</t>
        </is>
      </c>
      <c r="C1485" s="6" t="inlineStr">
        <is>
          <t>30</t>
        </is>
      </c>
      <c r="D1485" s="5" t="inlineStr">
        <is>
          <t>Married</t>
        </is>
      </c>
      <c r="E1485" s="5" t="inlineStr">
        <is>
          <t>Master</t>
        </is>
      </c>
      <c r="F1485" s="5" t="inlineStr">
        <is>
          <t>Operations</t>
        </is>
      </c>
      <c r="G1485" s="5" t="inlineStr">
        <is>
          <t>Operations Analyst</t>
        </is>
      </c>
      <c r="H1485" s="5" t="inlineStr">
        <is>
          <t>1</t>
        </is>
      </c>
      <c r="I1485" s="5" t="inlineStr">
        <is>
          <t>Remote</t>
        </is>
      </c>
      <c r="J1485" s="5" t="inlineStr">
        <is>
          <t>Part-Time</t>
        </is>
      </c>
      <c r="K1485" s="7" t="n">
        <v>45023</v>
      </c>
      <c r="L1485" s="7" t="inlineStr"/>
      <c r="M1485" s="5" t="inlineStr">
        <is>
          <t>Yes</t>
        </is>
      </c>
      <c r="N1485" s="5" t="inlineStr"/>
      <c r="O1485" s="8" t="inlineStr">
        <is>
          <t>60500</t>
        </is>
      </c>
      <c r="P1485" s="5" t="inlineStr">
        <is>
          <t>5</t>
        </is>
      </c>
      <c r="Q1485" s="5" t="inlineStr">
        <is>
          <t>3</t>
        </is>
      </c>
      <c r="R1485" s="5" t="inlineStr">
        <is>
          <t>10</t>
        </is>
      </c>
      <c r="S1485" s="5" t="inlineStr">
        <is>
          <t>33</t>
        </is>
      </c>
      <c r="T1485" s="5" t="inlineStr">
        <is>
          <t>3</t>
        </is>
      </c>
      <c r="U1485" s="5" t="inlineStr">
        <is>
          <t>OK</t>
        </is>
      </c>
    </row>
    <row r="1486">
      <c r="A1486" s="5" t="inlineStr">
        <is>
          <t>E00048</t>
        </is>
      </c>
      <c r="B1486" s="5" t="inlineStr">
        <is>
          <t>Male</t>
        </is>
      </c>
      <c r="C1486" s="6" t="inlineStr">
        <is>
          <t>28</t>
        </is>
      </c>
      <c r="D1486" s="5" t="inlineStr">
        <is>
          <t>Single</t>
        </is>
      </c>
      <c r="E1486" s="5" t="inlineStr">
        <is>
          <t>Diploma</t>
        </is>
      </c>
      <c r="F1486" s="5" t="inlineStr">
        <is>
          <t>Research &amp; Development</t>
        </is>
      </c>
      <c r="G1486" s="5" t="inlineStr">
        <is>
          <t>Product Engineer</t>
        </is>
      </c>
      <c r="H1486" s="5" t="inlineStr">
        <is>
          <t>3</t>
        </is>
      </c>
      <c r="I1486" s="5" t="inlineStr">
        <is>
          <t>Remote</t>
        </is>
      </c>
      <c r="J1486" s="5" t="inlineStr">
        <is>
          <t>Part-Time</t>
        </is>
      </c>
      <c r="K1486" s="7" t="n">
        <v>45635</v>
      </c>
      <c r="L1486" s="7" t="inlineStr"/>
      <c r="M1486" s="5" t="inlineStr">
        <is>
          <t>Yes</t>
        </is>
      </c>
      <c r="N1486" s="5" t="inlineStr"/>
      <c r="O1486" s="8" t="inlineStr">
        <is>
          <t>152000</t>
        </is>
      </c>
      <c r="P1486" s="5" t="inlineStr">
        <is>
          <t>10</t>
        </is>
      </c>
      <c r="Q1486" s="5" t="inlineStr">
        <is>
          <t>5</t>
        </is>
      </c>
      <c r="R1486" s="5" t="inlineStr">
        <is>
          <t>6</t>
        </is>
      </c>
      <c r="S1486" s="5" t="inlineStr">
        <is>
          <t>12</t>
        </is>
      </c>
      <c r="T1486" s="5" t="inlineStr">
        <is>
          <t>9</t>
        </is>
      </c>
      <c r="U1486" s="5" t="inlineStr">
        <is>
          <t>OK</t>
        </is>
      </c>
    </row>
    <row r="1487">
      <c r="A1487" s="5" t="inlineStr">
        <is>
          <t>E02073</t>
        </is>
      </c>
      <c r="B1487" s="5" t="inlineStr">
        <is>
          <t>Male</t>
        </is>
      </c>
      <c r="C1487" s="6" t="inlineStr">
        <is>
          <t>25</t>
        </is>
      </c>
      <c r="D1487" s="5" t="inlineStr">
        <is>
          <t>Married</t>
        </is>
      </c>
      <c r="E1487" s="5" t="inlineStr">
        <is>
          <t>Master</t>
        </is>
      </c>
      <c r="F1487" s="5" t="inlineStr">
        <is>
          <t>Human Resources</t>
        </is>
      </c>
      <c r="G1487" s="5" t="inlineStr">
        <is>
          <t>HR Analyst</t>
        </is>
      </c>
      <c r="H1487" s="5" t="inlineStr">
        <is>
          <t>1</t>
        </is>
      </c>
      <c r="I1487" s="5" t="inlineStr">
        <is>
          <t>Delhi</t>
        </is>
      </c>
      <c r="J1487" s="5" t="inlineStr">
        <is>
          <t>Full-Time</t>
        </is>
      </c>
      <c r="K1487" s="7" t="n">
        <v>45747</v>
      </c>
      <c r="L1487" s="7" t="n">
        <v>45789</v>
      </c>
      <c r="M1487" s="5" t="inlineStr">
        <is>
          <t>No</t>
        </is>
      </c>
      <c r="N1487" s="5" t="inlineStr">
        <is>
          <t>Resigned</t>
        </is>
      </c>
      <c r="O1487" s="8" t="inlineStr">
        <is>
          <t>999999</t>
        </is>
      </c>
      <c r="P1487" s="5" t="inlineStr">
        <is>
          <t>0</t>
        </is>
      </c>
      <c r="Q1487" s="5" t="inlineStr">
        <is>
          <t>3</t>
        </is>
      </c>
      <c r="R1487" s="5" t="inlineStr">
        <is>
          <t>5</t>
        </is>
      </c>
      <c r="S1487" s="5" t="inlineStr">
        <is>
          <t>1</t>
        </is>
      </c>
      <c r="T1487" s="5" t="inlineStr">
        <is>
          <t>7</t>
        </is>
      </c>
      <c r="U1487" s="5" t="inlineStr">
        <is>
          <t>Outlier salary</t>
        </is>
      </c>
    </row>
    <row r="1488">
      <c r="A1488" s="5" t="inlineStr">
        <is>
          <t>E01867</t>
        </is>
      </c>
      <c r="B1488" s="5" t="inlineStr">
        <is>
          <t>Male</t>
        </is>
      </c>
      <c r="C1488" s="6" t="inlineStr">
        <is>
          <t>40</t>
        </is>
      </c>
      <c r="D1488" s="5" t="inlineStr">
        <is>
          <t>Married</t>
        </is>
      </c>
      <c r="E1488" s="5" t="inlineStr">
        <is>
          <t>PhD</t>
        </is>
      </c>
      <c r="F1488" s="5" t="inlineStr">
        <is>
          <t>Human Resources</t>
        </is>
      </c>
      <c r="G1488" s="5" t="inlineStr">
        <is>
          <t>HR Analyst</t>
        </is>
      </c>
      <c r="H1488" s="5" t="inlineStr">
        <is>
          <t>4</t>
        </is>
      </c>
      <c r="I1488" s="5" t="inlineStr">
        <is>
          <t>Chennai</t>
        </is>
      </c>
      <c r="J1488" s="5" t="inlineStr">
        <is>
          <t>Full-Time</t>
        </is>
      </c>
      <c r="K1488" s="7" t="n">
        <v>44470</v>
      </c>
      <c r="L1488" s="7" t="inlineStr"/>
      <c r="M1488" s="5" t="inlineStr">
        <is>
          <t>Yes</t>
        </is>
      </c>
      <c r="N1488" s="5" t="inlineStr"/>
      <c r="O1488" s="8" t="inlineStr">
        <is>
          <t>108000</t>
        </is>
      </c>
      <c r="P1488" s="5" t="inlineStr">
        <is>
          <t>0</t>
        </is>
      </c>
      <c r="Q1488" s="5" t="inlineStr">
        <is>
          <t>3</t>
        </is>
      </c>
      <c r="R1488" s="5" t="inlineStr">
        <is>
          <t>5</t>
        </is>
      </c>
      <c r="S1488" s="5" t="inlineStr">
        <is>
          <t>51</t>
        </is>
      </c>
      <c r="T1488" s="5" t="inlineStr">
        <is>
          <t>2</t>
        </is>
      </c>
      <c r="U1488" s="5" t="inlineStr">
        <is>
          <t>OK</t>
        </is>
      </c>
    </row>
    <row r="1489">
      <c r="A1489" s="5" t="inlineStr">
        <is>
          <t>E01123</t>
        </is>
      </c>
      <c r="B1489" s="5" t="inlineStr">
        <is>
          <t>Female</t>
        </is>
      </c>
      <c r="C1489" s="6" t="inlineStr">
        <is>
          <t>38</t>
        </is>
      </c>
      <c r="D1489" s="5" t="inlineStr">
        <is>
          <t>Married</t>
        </is>
      </c>
      <c r="E1489" s="5" t="inlineStr">
        <is>
          <t>Bachelor</t>
        </is>
      </c>
      <c r="F1489" s="5" t="inlineStr">
        <is>
          <t>Finance</t>
        </is>
      </c>
      <c r="G1489" s="5" t="inlineStr">
        <is>
          <t>Financial Analyst</t>
        </is>
      </c>
      <c r="H1489" s="5" t="inlineStr">
        <is>
          <t>7</t>
        </is>
      </c>
      <c r="I1489" s="5" t="inlineStr">
        <is>
          <t>Hyderabad</t>
        </is>
      </c>
      <c r="J1489" s="5" t="inlineStr">
        <is>
          <t>Part-Time</t>
        </is>
      </c>
      <c r="K1489" s="7" t="n">
        <v>44894</v>
      </c>
      <c r="L1489" s="7" t="inlineStr"/>
      <c r="M1489" s="5" t="inlineStr">
        <is>
          <t>Yes</t>
        </is>
      </c>
      <c r="N1489" s="5" t="inlineStr"/>
      <c r="O1489" s="8" t="inlineStr">
        <is>
          <t>158000</t>
        </is>
      </c>
      <c r="P1489" s="5" t="inlineStr">
        <is>
          <t>15</t>
        </is>
      </c>
      <c r="Q1489" s="5" t="inlineStr">
        <is>
          <t>3</t>
        </is>
      </c>
      <c r="R1489" s="5" t="inlineStr">
        <is>
          <t>8</t>
        </is>
      </c>
      <c r="S1489" s="5" t="inlineStr">
        <is>
          <t>37</t>
        </is>
      </c>
      <c r="T1489" s="5" t="inlineStr">
        <is>
          <t>5</t>
        </is>
      </c>
      <c r="U1489" s="5" t="inlineStr">
        <is>
          <t>OK</t>
        </is>
      </c>
    </row>
    <row r="1490">
      <c r="A1490" s="5" t="inlineStr">
        <is>
          <t>E02577</t>
        </is>
      </c>
      <c r="B1490" s="5" t="inlineStr">
        <is>
          <t>Female</t>
        </is>
      </c>
      <c r="C1490" s="6" t="inlineStr">
        <is>
          <t>36</t>
        </is>
      </c>
      <c r="D1490" s="5" t="inlineStr">
        <is>
          <t>Married</t>
        </is>
      </c>
      <c r="E1490" s="5" t="inlineStr">
        <is>
          <t>Master</t>
        </is>
      </c>
      <c r="F1490" s="5" t="inlineStr">
        <is>
          <t>Research &amp; Development</t>
        </is>
      </c>
      <c r="G1490" s="5" t="inlineStr">
        <is>
          <t>Research Scientist</t>
        </is>
      </c>
      <c r="H1490" s="5" t="inlineStr">
        <is>
          <t>2</t>
        </is>
      </c>
      <c r="I1490" s="5" t="inlineStr">
        <is>
          <t>Remote</t>
        </is>
      </c>
      <c r="J1490" s="5" t="inlineStr">
        <is>
          <t>Full-Time</t>
        </is>
      </c>
      <c r="K1490" s="7" t="n">
        <v>44687</v>
      </c>
      <c r="L1490" s="7" t="inlineStr"/>
      <c r="M1490" s="5" t="inlineStr">
        <is>
          <t>Yes</t>
        </is>
      </c>
      <c r="N1490" s="5" t="inlineStr"/>
      <c r="O1490" s="8" t="inlineStr">
        <is>
          <t>118000</t>
        </is>
      </c>
      <c r="P1490" s="5" t="inlineStr">
        <is>
          <t>5</t>
        </is>
      </c>
      <c r="Q1490" s="5" t="inlineStr">
        <is>
          <t>3</t>
        </is>
      </c>
      <c r="R1490" s="5" t="inlineStr">
        <is>
          <t>7</t>
        </is>
      </c>
      <c r="S1490" s="5" t="inlineStr">
        <is>
          <t>44</t>
        </is>
      </c>
      <c r="T1490" s="5" t="inlineStr">
        <is>
          <t>7</t>
        </is>
      </c>
      <c r="U1490" s="5" t="inlineStr">
        <is>
          <t>OK</t>
        </is>
      </c>
    </row>
    <row r="1491">
      <c r="A1491" s="5" t="inlineStr">
        <is>
          <t>E02745</t>
        </is>
      </c>
      <c r="B1491" s="5" t="inlineStr">
        <is>
          <t>Male</t>
        </is>
      </c>
      <c r="C1491" s="6" t="inlineStr">
        <is>
          <t>42</t>
        </is>
      </c>
      <c r="D1491" s="5" t="inlineStr">
        <is>
          <t>Single</t>
        </is>
      </c>
      <c r="E1491" s="5" t="inlineStr">
        <is>
          <t>High School</t>
        </is>
      </c>
      <c r="F1491" s="5" t="inlineStr">
        <is>
          <t>Customer Support</t>
        </is>
      </c>
      <c r="G1491" s="5" t="inlineStr">
        <is>
          <t>Support Lead</t>
        </is>
      </c>
      <c r="H1491" s="5" t="inlineStr">
        <is>
          <t>5</t>
        </is>
      </c>
      <c r="I1491" s="5" t="inlineStr">
        <is>
          <t>Mumbai</t>
        </is>
      </c>
      <c r="J1491" s="5" t="inlineStr">
        <is>
          <t>Full-Time</t>
        </is>
      </c>
      <c r="K1491" s="7" t="n">
        <v>45532</v>
      </c>
      <c r="L1491" s="7" t="inlineStr"/>
      <c r="M1491" s="5" t="inlineStr">
        <is>
          <t>Yes</t>
        </is>
      </c>
      <c r="N1491" s="5" t="inlineStr"/>
      <c r="O1491" s="8" t="inlineStr">
        <is>
          <t>71500</t>
        </is>
      </c>
      <c r="P1491" s="5" t="inlineStr">
        <is>
          <t>20</t>
        </is>
      </c>
      <c r="Q1491" s="5" t="inlineStr">
        <is>
          <t>3</t>
        </is>
      </c>
      <c r="R1491" s="5" t="inlineStr">
        <is>
          <t>4</t>
        </is>
      </c>
      <c r="S1491" s="5" t="inlineStr">
        <is>
          <t>16</t>
        </is>
      </c>
      <c r="T1491" s="5" t="inlineStr">
        <is>
          <t>6</t>
        </is>
      </c>
      <c r="U1491" s="5" t="inlineStr">
        <is>
          <t>OK</t>
        </is>
      </c>
    </row>
    <row r="1492">
      <c r="A1492" s="5" t="inlineStr">
        <is>
          <t>E01811</t>
        </is>
      </c>
      <c r="B1492" s="5" t="inlineStr">
        <is>
          <t>Male</t>
        </is>
      </c>
      <c r="C1492" s="6" t="inlineStr">
        <is>
          <t>34</t>
        </is>
      </c>
      <c r="D1492" s="5" t="inlineStr">
        <is>
          <t>Single</t>
        </is>
      </c>
      <c r="E1492" s="5" t="inlineStr">
        <is>
          <t>Master</t>
        </is>
      </c>
      <c r="F1492" s="5" t="inlineStr">
        <is>
          <t>Customer Support</t>
        </is>
      </c>
      <c r="G1492" s="5" t="inlineStr">
        <is>
          <t>Support Lead</t>
        </is>
      </c>
      <c r="H1492" s="5" t="inlineStr">
        <is>
          <t>2</t>
        </is>
      </c>
      <c r="I1492" s="5" t="inlineStr">
        <is>
          <t>Delhi</t>
        </is>
      </c>
      <c r="J1492" s="5" t="inlineStr">
        <is>
          <t>Full-Time</t>
        </is>
      </c>
      <c r="K1492" s="7" t="n">
        <v>44458</v>
      </c>
      <c r="L1492" s="7" t="inlineStr"/>
      <c r="M1492" s="5" t="inlineStr">
        <is>
          <t>Yes</t>
        </is>
      </c>
      <c r="N1492" s="5" t="inlineStr"/>
      <c r="O1492" s="8" t="inlineStr">
        <is>
          <t>53000</t>
        </is>
      </c>
      <c r="P1492" s="5" t="inlineStr">
        <is>
          <t>0</t>
        </is>
      </c>
      <c r="Q1492" s="5" t="inlineStr">
        <is>
          <t>4</t>
        </is>
      </c>
      <c r="R1492" s="5" t="inlineStr">
        <is>
          <t>6</t>
        </is>
      </c>
      <c r="S1492" s="5" t="inlineStr">
        <is>
          <t>52</t>
        </is>
      </c>
      <c r="T1492" s="5" t="inlineStr">
        <is>
          <t>0</t>
        </is>
      </c>
      <c r="U1492" s="5" t="inlineStr">
        <is>
          <t>OK</t>
        </is>
      </c>
    </row>
    <row r="1493">
      <c r="A1493" s="5" t="inlineStr">
        <is>
          <t>E02744</t>
        </is>
      </c>
      <c r="B1493" s="5" t="inlineStr">
        <is>
          <t>Female</t>
        </is>
      </c>
      <c r="C1493" s="6" t="inlineStr">
        <is>
          <t>36</t>
        </is>
      </c>
      <c r="D1493" s="5" t="inlineStr">
        <is>
          <t>Married</t>
        </is>
      </c>
      <c r="E1493" s="5" t="inlineStr">
        <is>
          <t>Diploma</t>
        </is>
      </c>
      <c r="F1493" s="5" t="inlineStr">
        <is>
          <t>Sales</t>
        </is>
      </c>
      <c r="G1493" s="5" t="inlineStr">
        <is>
          <t>Account Executive</t>
        </is>
      </c>
      <c r="H1493" s="5" t="inlineStr">
        <is>
          <t>4</t>
        </is>
      </c>
      <c r="I1493" s="5" t="inlineStr">
        <is>
          <t>Chennai</t>
        </is>
      </c>
      <c r="J1493" s="5" t="inlineStr">
        <is>
          <t>Full-Time</t>
        </is>
      </c>
      <c r="K1493" s="7" t="n">
        <v>45795</v>
      </c>
      <c r="L1493" s="7" t="inlineStr"/>
      <c r="M1493" s="5" t="inlineStr">
        <is>
          <t>Yes</t>
        </is>
      </c>
      <c r="N1493" s="5" t="inlineStr"/>
      <c r="O1493" s="8" t="inlineStr">
        <is>
          <t>143000</t>
        </is>
      </c>
      <c r="P1493" s="5" t="inlineStr">
        <is>
          <t>5</t>
        </is>
      </c>
      <c r="Q1493" s="5" t="inlineStr">
        <is>
          <t>3</t>
        </is>
      </c>
      <c r="R1493" s="5" t="inlineStr">
        <is>
          <t>9</t>
        </is>
      </c>
      <c r="S1493" s="5" t="inlineStr">
        <is>
          <t>7</t>
        </is>
      </c>
      <c r="T1493" s="5" t="inlineStr">
        <is>
          <t>6</t>
        </is>
      </c>
      <c r="U1493" s="5" t="inlineStr">
        <is>
          <t>OK</t>
        </is>
      </c>
    </row>
    <row r="1494">
      <c r="A1494" s="5" t="inlineStr">
        <is>
          <t>E02411</t>
        </is>
      </c>
      <c r="B1494" s="5" t="inlineStr">
        <is>
          <t>Female</t>
        </is>
      </c>
      <c r="C1494" s="6" t="inlineStr">
        <is>
          <t>26</t>
        </is>
      </c>
      <c r="D1494" s="5" t="inlineStr">
        <is>
          <t>Single</t>
        </is>
      </c>
      <c r="E1494" s="5" t="inlineStr">
        <is>
          <t>Master</t>
        </is>
      </c>
      <c r="F1494" s="5" t="inlineStr">
        <is>
          <t>Customer Support</t>
        </is>
      </c>
      <c r="G1494" s="5" t="inlineStr">
        <is>
          <t>Support Lead</t>
        </is>
      </c>
      <c r="H1494" s="5" t="inlineStr">
        <is>
          <t>1</t>
        </is>
      </c>
      <c r="I1494" s="5" t="inlineStr">
        <is>
          <t>Bengaluru</t>
        </is>
      </c>
      <c r="J1494" s="5" t="inlineStr">
        <is>
          <t>Full-Time</t>
        </is>
      </c>
      <c r="K1494" s="7" t="n">
        <v>44939</v>
      </c>
      <c r="L1494" s="7" t="inlineStr"/>
      <c r="M1494" s="5" t="inlineStr">
        <is>
          <t>Yes</t>
        </is>
      </c>
      <c r="N1494" s="5" t="inlineStr"/>
      <c r="O1494" s="8" t="inlineStr">
        <is>
          <t>49000</t>
        </is>
      </c>
      <c r="P1494" s="5" t="inlineStr">
        <is>
          <t>5</t>
        </is>
      </c>
      <c r="Q1494" s="5" t="inlineStr">
        <is>
          <t>5</t>
        </is>
      </c>
      <c r="R1494" s="5" t="inlineStr">
        <is>
          <t>8</t>
        </is>
      </c>
      <c r="S1494" s="5" t="inlineStr">
        <is>
          <t>36</t>
        </is>
      </c>
      <c r="T1494" s="5" t="inlineStr">
        <is>
          <t>4</t>
        </is>
      </c>
      <c r="U1494" s="5" t="inlineStr">
        <is>
          <t>OK</t>
        </is>
      </c>
    </row>
    <row r="1495">
      <c r="A1495" s="5" t="inlineStr">
        <is>
          <t>E02956</t>
        </is>
      </c>
      <c r="B1495" s="5" t="inlineStr">
        <is>
          <t>Female</t>
        </is>
      </c>
      <c r="C1495" s="6" t="inlineStr">
        <is>
          <t>32</t>
        </is>
      </c>
      <c r="D1495" s="5" t="inlineStr">
        <is>
          <t>Married</t>
        </is>
      </c>
      <c r="E1495" s="5" t="inlineStr">
        <is>
          <t>High School</t>
        </is>
      </c>
      <c r="F1495" s="5" t="inlineStr">
        <is>
          <t>Sales</t>
        </is>
      </c>
      <c r="G1495" s="5" t="inlineStr">
        <is>
          <t>Account Executive</t>
        </is>
      </c>
      <c r="H1495" s="5" t="inlineStr">
        <is>
          <t>5</t>
        </is>
      </c>
      <c r="I1495" s="5" t="inlineStr">
        <is>
          <t>Mumbai</t>
        </is>
      </c>
      <c r="J1495" s="5" t="inlineStr">
        <is>
          <t>Full-Time</t>
        </is>
      </c>
      <c r="K1495" s="7" t="n">
        <v>43871</v>
      </c>
      <c r="L1495" s="7" t="inlineStr"/>
      <c r="M1495" s="5" t="inlineStr">
        <is>
          <t>Yes</t>
        </is>
      </c>
      <c r="N1495" s="5" t="inlineStr"/>
      <c r="O1495" s="8" t="inlineStr">
        <is>
          <t>148000</t>
        </is>
      </c>
      <c r="P1495" s="5" t="inlineStr">
        <is>
          <t>10</t>
        </is>
      </c>
      <c r="Q1495" s="5" t="inlineStr">
        <is>
          <t>2</t>
        </is>
      </c>
      <c r="R1495" s="5" t="inlineStr">
        <is>
          <t>6</t>
        </is>
      </c>
      <c r="S1495" s="5" t="inlineStr">
        <is>
          <t>71</t>
        </is>
      </c>
      <c r="T1495" s="5" t="inlineStr">
        <is>
          <t>0</t>
        </is>
      </c>
      <c r="U1495" s="5" t="inlineStr">
        <is>
          <t>OK</t>
        </is>
      </c>
    </row>
    <row r="1496">
      <c r="A1496" s="5" t="inlineStr">
        <is>
          <t>E01334</t>
        </is>
      </c>
      <c r="B1496" s="5" t="inlineStr">
        <is>
          <t>male</t>
        </is>
      </c>
      <c r="C1496" s="6" t="inlineStr">
        <is>
          <t>25</t>
        </is>
      </c>
      <c r="D1496" s="5" t="inlineStr">
        <is>
          <t>Married</t>
        </is>
      </c>
      <c r="E1496" s="5" t="inlineStr">
        <is>
          <t>PhD</t>
        </is>
      </c>
      <c r="F1496" s="5" t="inlineStr">
        <is>
          <t>Human Resources</t>
        </is>
      </c>
      <c r="G1496" s="5" t="inlineStr">
        <is>
          <t>HR Generalist</t>
        </is>
      </c>
      <c r="H1496" s="5" t="inlineStr">
        <is>
          <t>2</t>
        </is>
      </c>
      <c r="I1496" s="5" t="inlineStr">
        <is>
          <t>Delhi</t>
        </is>
      </c>
      <c r="J1496" s="5" t="inlineStr">
        <is>
          <t>Full-Time</t>
        </is>
      </c>
      <c r="K1496" s="7" t="n">
        <v>45235</v>
      </c>
      <c r="L1496" s="7" t="inlineStr"/>
      <c r="M1496" s="5" t="inlineStr">
        <is>
          <t>Yes</t>
        </is>
      </c>
      <c r="N1496" s="5" t="inlineStr"/>
      <c r="O1496" s="8" t="inlineStr">
        <is>
          <t>74000</t>
        </is>
      </c>
      <c r="P1496" s="5" t="inlineStr">
        <is>
          <t>0</t>
        </is>
      </c>
      <c r="Q1496" s="5" t="inlineStr">
        <is>
          <t>3</t>
        </is>
      </c>
      <c r="R1496" s="5" t="inlineStr">
        <is>
          <t>4</t>
        </is>
      </c>
      <c r="S1496" s="5" t="inlineStr">
        <is>
          <t>26</t>
        </is>
      </c>
      <c r="T1496" s="5" t="inlineStr">
        <is>
          <t>8</t>
        </is>
      </c>
      <c r="U1496" s="5" t="inlineStr">
        <is>
          <t>OK</t>
        </is>
      </c>
    </row>
    <row r="1497">
      <c r="A1497" s="5" t="inlineStr">
        <is>
          <t>E00860</t>
        </is>
      </c>
      <c r="B1497" s="5" t="inlineStr">
        <is>
          <t>Female</t>
        </is>
      </c>
      <c r="C1497" s="6" t="inlineStr">
        <is>
          <t>28</t>
        </is>
      </c>
      <c r="D1497" s="5" t="inlineStr">
        <is>
          <t>Married</t>
        </is>
      </c>
      <c r="E1497" s="5" t="inlineStr">
        <is>
          <t>Bachelor</t>
        </is>
      </c>
      <c r="F1497" s="5" t="inlineStr">
        <is>
          <t>Customer Support</t>
        </is>
      </c>
      <c r="G1497" s="5" t="inlineStr">
        <is>
          <t>Support Agent</t>
        </is>
      </c>
      <c r="H1497" s="5" t="inlineStr">
        <is>
          <t>1</t>
        </is>
      </c>
      <c r="I1497" s="5" t="inlineStr">
        <is>
          <t>Hyderabad</t>
        </is>
      </c>
      <c r="J1497" s="5" t="inlineStr">
        <is>
          <t>Full-Time</t>
        </is>
      </c>
      <c r="K1497" s="7" t="n">
        <v>45361</v>
      </c>
      <c r="L1497" s="7" t="inlineStr"/>
      <c r="M1497" s="5" t="inlineStr">
        <is>
          <t>Yes</t>
        </is>
      </c>
      <c r="N1497" s="5" t="inlineStr"/>
      <c r="O1497" s="8" t="inlineStr">
        <is>
          <t>56000</t>
        </is>
      </c>
      <c r="P1497" s="5" t="inlineStr">
        <is>
          <t>10</t>
        </is>
      </c>
      <c r="Q1497" s="5" t="inlineStr">
        <is>
          <t>4</t>
        </is>
      </c>
      <c r="R1497" s="5" t="inlineStr">
        <is>
          <t>6</t>
        </is>
      </c>
      <c r="S1497" s="5" t="inlineStr">
        <is>
          <t>22</t>
        </is>
      </c>
      <c r="T1497" s="5" t="inlineStr">
        <is>
          <t>3</t>
        </is>
      </c>
      <c r="U1497" s="5" t="inlineStr">
        <is>
          <t>OK</t>
        </is>
      </c>
    </row>
    <row r="1498">
      <c r="A1498" s="5" t="inlineStr">
        <is>
          <t>E00075</t>
        </is>
      </c>
      <c r="B1498" s="5" t="inlineStr">
        <is>
          <t>Male</t>
        </is>
      </c>
      <c r="C1498" s="6" t="inlineStr">
        <is>
          <t>36</t>
        </is>
      </c>
      <c r="D1498" s="5" t="inlineStr">
        <is>
          <t>Married</t>
        </is>
      </c>
      <c r="E1498" s="5" t="inlineStr">
        <is>
          <t>Bachelor</t>
        </is>
      </c>
      <c r="F1498" s="5" t="inlineStr">
        <is>
          <t>Customer Support</t>
        </is>
      </c>
      <c r="G1498" s="5" t="inlineStr">
        <is>
          <t>Support Agent</t>
        </is>
      </c>
      <c r="H1498" s="5" t="inlineStr">
        <is>
          <t>3</t>
        </is>
      </c>
      <c r="I1498" s="5" t="inlineStr">
        <is>
          <t>Delhi</t>
        </is>
      </c>
      <c r="J1498" s="5" t="inlineStr">
        <is>
          <t>Full-Time</t>
        </is>
      </c>
      <c r="K1498" s="7" t="n">
        <v>45512</v>
      </c>
      <c r="L1498" s="7" t="inlineStr"/>
      <c r="M1498" s="5" t="inlineStr">
        <is>
          <t>Yes</t>
        </is>
      </c>
      <c r="N1498" s="5" t="inlineStr"/>
      <c r="O1498" s="8" t="inlineStr">
        <is>
          <t>63000</t>
        </is>
      </c>
      <c r="P1498" s="5" t="inlineStr">
        <is>
          <t>10</t>
        </is>
      </c>
      <c r="Q1498" s="5" t="inlineStr">
        <is>
          <t>3</t>
        </is>
      </c>
      <c r="R1498" s="5" t="inlineStr">
        <is>
          <t>4</t>
        </is>
      </c>
      <c r="S1498" s="5" t="inlineStr">
        <is>
          <t>17</t>
        </is>
      </c>
      <c r="T1498" s="5" t="inlineStr">
        <is>
          <t>9</t>
        </is>
      </c>
      <c r="U1498" s="5" t="inlineStr">
        <is>
          <t>OK</t>
        </is>
      </c>
    </row>
    <row r="1499">
      <c r="A1499" s="5" t="inlineStr">
        <is>
          <t>E02621</t>
        </is>
      </c>
      <c r="B1499" s="5" t="inlineStr">
        <is>
          <t>Female</t>
        </is>
      </c>
      <c r="C1499" s="6" t="inlineStr">
        <is>
          <t>29</t>
        </is>
      </c>
      <c r="D1499" s="5" t="inlineStr">
        <is>
          <t>Married</t>
        </is>
      </c>
      <c r="E1499" s="5" t="inlineStr">
        <is>
          <t>Diploma</t>
        </is>
      </c>
      <c r="F1499" s="5" t="inlineStr">
        <is>
          <t>Customer Support</t>
        </is>
      </c>
      <c r="G1499" s="5" t="inlineStr">
        <is>
          <t>Support Lead</t>
        </is>
      </c>
      <c r="H1499" s="5" t="inlineStr">
        <is>
          <t>1</t>
        </is>
      </c>
      <c r="I1499" s="5" t="inlineStr">
        <is>
          <t>Hyderabad</t>
        </is>
      </c>
      <c r="J1499" s="5" t="inlineStr">
        <is>
          <t>Full-Time</t>
        </is>
      </c>
      <c r="K1499" s="7" t="n">
        <v>43883</v>
      </c>
      <c r="L1499" s="7" t="inlineStr"/>
      <c r="M1499" s="5" t="inlineStr">
        <is>
          <t>Yes</t>
        </is>
      </c>
      <c r="N1499" s="5" t="inlineStr"/>
      <c r="O1499" s="8" t="inlineStr">
        <is>
          <t>45000</t>
        </is>
      </c>
      <c r="P1499" s="5" t="inlineStr">
        <is>
          <t>10</t>
        </is>
      </c>
      <c r="Q1499" s="5" t="inlineStr">
        <is>
          <t>3</t>
        </is>
      </c>
      <c r="R1499" s="5" t="inlineStr">
        <is>
          <t>5</t>
        </is>
      </c>
      <c r="S1499" s="5" t="inlineStr">
        <is>
          <t>71</t>
        </is>
      </c>
      <c r="T1499" s="5" t="inlineStr">
        <is>
          <t>7</t>
        </is>
      </c>
      <c r="U1499" s="5" t="inlineStr">
        <is>
          <t>OK</t>
        </is>
      </c>
    </row>
    <row r="1500">
      <c r="A1500" s="5" t="inlineStr">
        <is>
          <t>E00937</t>
        </is>
      </c>
      <c r="B1500" s="5" t="inlineStr">
        <is>
          <t>Male</t>
        </is>
      </c>
      <c r="C1500" s="6" t="inlineStr">
        <is>
          <t>33</t>
        </is>
      </c>
      <c r="D1500" s="5" t="inlineStr">
        <is>
          <t>Single</t>
        </is>
      </c>
      <c r="E1500" s="5" t="inlineStr">
        <is>
          <t>High School</t>
        </is>
      </c>
      <c r="F1500" s="5" t="inlineStr">
        <is>
          <t>Sales</t>
        </is>
      </c>
      <c r="G1500" s="5" t="inlineStr">
        <is>
          <t>Sales Executive</t>
        </is>
      </c>
      <c r="H1500" s="5" t="inlineStr">
        <is>
          <t>6</t>
        </is>
      </c>
      <c r="I1500" s="5" t="inlineStr">
        <is>
          <t>Mumbai</t>
        </is>
      </c>
      <c r="J1500" s="5" t="inlineStr">
        <is>
          <t>Contract</t>
        </is>
      </c>
      <c r="K1500" s="7" t="n">
        <v>44222</v>
      </c>
      <c r="L1500" s="7" t="inlineStr"/>
      <c r="M1500" s="5" t="inlineStr">
        <is>
          <t>Yes</t>
        </is>
      </c>
      <c r="N1500" s="5" t="inlineStr"/>
      <c r="O1500" s="8" t="inlineStr">
        <is>
          <t>162500</t>
        </is>
      </c>
      <c r="P1500" s="5" t="inlineStr">
        <is>
          <t>0</t>
        </is>
      </c>
      <c r="Q1500" s="5" t="inlineStr">
        <is>
          <t>5</t>
        </is>
      </c>
      <c r="R1500" s="5" t="inlineStr">
        <is>
          <t>6</t>
        </is>
      </c>
      <c r="S1500" s="5" t="inlineStr">
        <is>
          <t>60</t>
        </is>
      </c>
      <c r="T1500" s="5" t="inlineStr">
        <is>
          <t>7</t>
        </is>
      </c>
      <c r="U1500" s="5" t="inlineStr">
        <is>
          <t>OK</t>
        </is>
      </c>
    </row>
    <row r="1501">
      <c r="A1501" s="5" t="inlineStr">
        <is>
          <t>E00533</t>
        </is>
      </c>
      <c r="B1501" s="5" t="inlineStr">
        <is>
          <t>Female</t>
        </is>
      </c>
      <c r="C1501" s="6" t="inlineStr">
        <is>
          <t>28</t>
        </is>
      </c>
      <c r="D1501" s="5" t="inlineStr">
        <is>
          <t>Married</t>
        </is>
      </c>
      <c r="E1501" s="5" t="inlineStr">
        <is>
          <t>Bachelor</t>
        </is>
      </c>
      <c r="F1501" s="5" t="inlineStr">
        <is>
          <t>Customer Support</t>
        </is>
      </c>
      <c r="G1501" s="5" t="inlineStr">
        <is>
          <t>Escalation Specialist</t>
        </is>
      </c>
      <c r="H1501" s="5" t="inlineStr">
        <is>
          <t>3</t>
        </is>
      </c>
      <c r="I1501" s="5" t="inlineStr">
        <is>
          <t>Mumbai</t>
        </is>
      </c>
      <c r="J1501" s="5" t="inlineStr">
        <is>
          <t>Full-Time</t>
        </is>
      </c>
      <c r="K1501" s="7" t="n">
        <v>43958</v>
      </c>
      <c r="L1501" s="7" t="inlineStr"/>
      <c r="M1501" s="5" t="inlineStr">
        <is>
          <t>Yes</t>
        </is>
      </c>
      <c r="N1501" s="5" t="inlineStr"/>
      <c r="O1501" s="8" t="inlineStr">
        <is>
          <t>87000</t>
        </is>
      </c>
      <c r="P1501" s="5" t="inlineStr">
        <is>
          <t>0</t>
        </is>
      </c>
      <c r="Q1501" s="5" t="inlineStr">
        <is>
          <t>4</t>
        </is>
      </c>
      <c r="R1501" s="5" t="inlineStr">
        <is>
          <t>6</t>
        </is>
      </c>
      <c r="S1501" s="5" t="inlineStr">
        <is>
          <t>68</t>
        </is>
      </c>
      <c r="T1501" s="5" t="inlineStr">
        <is>
          <t>0</t>
        </is>
      </c>
      <c r="U1501" s="5" t="inlineStr">
        <is>
          <t>OK</t>
        </is>
      </c>
    </row>
    <row r="1502">
      <c r="A1502" s="5" t="inlineStr">
        <is>
          <t>E02278</t>
        </is>
      </c>
      <c r="B1502" s="5" t="inlineStr">
        <is>
          <t>Male</t>
        </is>
      </c>
      <c r="C1502" s="6" t="inlineStr">
        <is>
          <t>33</t>
        </is>
      </c>
      <c r="D1502" s="5" t="inlineStr">
        <is>
          <t>Single</t>
        </is>
      </c>
      <c r="E1502" s="5" t="inlineStr">
        <is>
          <t>Diploma</t>
        </is>
      </c>
      <c r="F1502" s="5" t="inlineStr">
        <is>
          <t>Operations</t>
        </is>
      </c>
      <c r="G1502" s="5" t="inlineStr">
        <is>
          <t>Quality Analyst</t>
        </is>
      </c>
      <c r="H1502" s="5" t="inlineStr">
        <is>
          <t>1</t>
        </is>
      </c>
      <c r="I1502" s="5" t="inlineStr">
        <is>
          <t>Delhi</t>
        </is>
      </c>
      <c r="J1502" s="5" t="inlineStr">
        <is>
          <t>Contract</t>
        </is>
      </c>
      <c r="K1502" s="7" t="n">
        <v>44587</v>
      </c>
      <c r="L1502" s="7" t="n">
        <v>44673</v>
      </c>
      <c r="M1502" s="5" t="inlineStr">
        <is>
          <t>No</t>
        </is>
      </c>
      <c r="N1502" s="5" t="inlineStr">
        <is>
          <t>Layoff</t>
        </is>
      </c>
      <c r="O1502" s="8" t="inlineStr">
        <is>
          <t>68500</t>
        </is>
      </c>
      <c r="P1502" s="5" t="inlineStr">
        <is>
          <t>5</t>
        </is>
      </c>
      <c r="Q1502" s="5" t="inlineStr">
        <is>
          <t>3</t>
        </is>
      </c>
      <c r="R1502" s="5" t="inlineStr">
        <is>
          <t>7</t>
        </is>
      </c>
      <c r="S1502" s="5" t="inlineStr">
        <is>
          <t>2</t>
        </is>
      </c>
      <c r="T1502" s="5" t="inlineStr">
        <is>
          <t>3</t>
        </is>
      </c>
      <c r="U1502" s="5" t="inlineStr">
        <is>
          <t>OK</t>
        </is>
      </c>
    </row>
    <row r="1503">
      <c r="A1503" s="5" t="inlineStr">
        <is>
          <t>E00633</t>
        </is>
      </c>
      <c r="B1503" s="5" t="inlineStr">
        <is>
          <t>Female</t>
        </is>
      </c>
      <c r="C1503" s="6" t="inlineStr">
        <is>
          <t>34</t>
        </is>
      </c>
      <c r="D1503" s="5" t="inlineStr">
        <is>
          <t>Divorced</t>
        </is>
      </c>
      <c r="E1503" s="5" t="inlineStr">
        <is>
          <t>High School</t>
        </is>
      </c>
      <c r="F1503" s="5" t="inlineStr">
        <is>
          <t>Operations</t>
        </is>
      </c>
      <c r="G1503" s="5" t="inlineStr">
        <is>
          <t>Logistics Coordinator</t>
        </is>
      </c>
      <c r="H1503" s="5" t="inlineStr">
        <is>
          <t>4</t>
        </is>
      </c>
      <c r="I1503" s="5" t="inlineStr">
        <is>
          <t>Bengaluru</t>
        </is>
      </c>
      <c r="J1503" s="5" t="inlineStr">
        <is>
          <t>Full-Time</t>
        </is>
      </c>
      <c r="K1503" s="7" t="n">
        <v>44581</v>
      </c>
      <c r="L1503" s="7" t="n">
        <v>44731</v>
      </c>
      <c r="M1503" s="5" t="inlineStr">
        <is>
          <t>No</t>
        </is>
      </c>
      <c r="N1503" s="5" t="inlineStr">
        <is>
          <t>Performance / Termination</t>
        </is>
      </c>
      <c r="O1503" s="8" t="inlineStr">
        <is>
          <t>115500</t>
        </is>
      </c>
      <c r="P1503" s="5" t="inlineStr">
        <is>
          <t>15</t>
        </is>
      </c>
      <c r="Q1503" s="5" t="inlineStr">
        <is>
          <t>4</t>
        </is>
      </c>
      <c r="R1503" s="5" t="inlineStr">
        <is>
          <t>3</t>
        </is>
      </c>
      <c r="S1503" s="5" t="inlineStr">
        <is>
          <t>5</t>
        </is>
      </c>
      <c r="T1503" s="5" t="inlineStr">
        <is>
          <t>4</t>
        </is>
      </c>
      <c r="U1503" s="5" t="inlineStr">
        <is>
          <t>OK</t>
        </is>
      </c>
    </row>
    <row r="1504">
      <c r="A1504" s="5" t="inlineStr">
        <is>
          <t>E01876</t>
        </is>
      </c>
      <c r="B1504" s="5" t="inlineStr">
        <is>
          <t>female</t>
        </is>
      </c>
      <c r="C1504" s="6" t="inlineStr">
        <is>
          <t>32</t>
        </is>
      </c>
      <c r="D1504" s="5" t="inlineStr">
        <is>
          <t>Married</t>
        </is>
      </c>
      <c r="E1504" s="5" t="inlineStr">
        <is>
          <t>Diploma</t>
        </is>
      </c>
      <c r="F1504" s="5" t="inlineStr">
        <is>
          <t>Finance</t>
        </is>
      </c>
      <c r="G1504" s="5" t="inlineStr">
        <is>
          <t>Accountant</t>
        </is>
      </c>
      <c r="H1504" s="5" t="inlineStr">
        <is>
          <t>2</t>
        </is>
      </c>
      <c r="I1504" s="5" t="inlineStr">
        <is>
          <t>Remote</t>
        </is>
      </c>
      <c r="J1504" s="5" t="inlineStr">
        <is>
          <t>Full-Time</t>
        </is>
      </c>
      <c r="K1504" s="7" t="n">
        <v>45714</v>
      </c>
      <c r="L1504" s="7" t="inlineStr"/>
      <c r="M1504" s="5" t="inlineStr">
        <is>
          <t>Yes</t>
        </is>
      </c>
      <c r="N1504" s="5" t="inlineStr"/>
      <c r="O1504" s="8" t="inlineStr">
        <is>
          <t>75000</t>
        </is>
      </c>
      <c r="P1504" s="5" t="inlineStr">
        <is>
          <t>20</t>
        </is>
      </c>
      <c r="Q1504" s="5" t="inlineStr">
        <is>
          <t>5</t>
        </is>
      </c>
      <c r="R1504" s="5" t="inlineStr">
        <is>
          <t>4</t>
        </is>
      </c>
      <c r="S1504" s="5" t="inlineStr">
        <is>
          <t>10</t>
        </is>
      </c>
      <c r="T1504" s="5" t="inlineStr">
        <is>
          <t>1</t>
        </is>
      </c>
      <c r="U1504" s="5" t="inlineStr">
        <is>
          <t>OK</t>
        </is>
      </c>
    </row>
    <row r="1505">
      <c r="A1505" s="5" t="inlineStr">
        <is>
          <t>E00567</t>
        </is>
      </c>
      <c r="B1505" s="5" t="inlineStr">
        <is>
          <t>Female</t>
        </is>
      </c>
      <c r="C1505" s="6" t="inlineStr">
        <is>
          <t>29</t>
        </is>
      </c>
      <c r="D1505" s="5" t="inlineStr">
        <is>
          <t>Married</t>
        </is>
      </c>
      <c r="E1505" s="5" t="inlineStr">
        <is>
          <t>Master</t>
        </is>
      </c>
      <c r="F1505" s="5" t="inlineStr">
        <is>
          <t>Finance</t>
        </is>
      </c>
      <c r="G1505" s="5" t="inlineStr">
        <is>
          <t>Accountant</t>
        </is>
      </c>
      <c r="H1505" s="5" t="inlineStr">
        <is>
          <t>2</t>
        </is>
      </c>
      <c r="I1505" s="5" t="inlineStr">
        <is>
          <t>Chennai</t>
        </is>
      </c>
      <c r="J1505" s="5" t="inlineStr">
        <is>
          <t>Full-Time</t>
        </is>
      </c>
      <c r="K1505" s="7" t="n">
        <v>44998</v>
      </c>
      <c r="L1505" s="7" t="inlineStr"/>
      <c r="M1505" s="5" t="inlineStr">
        <is>
          <t>Yes</t>
        </is>
      </c>
      <c r="N1505" s="5" t="inlineStr"/>
      <c r="O1505" s="8" t="inlineStr">
        <is>
          <t>74500</t>
        </is>
      </c>
      <c r="P1505" s="5" t="inlineStr">
        <is>
          <t>10</t>
        </is>
      </c>
      <c r="Q1505" s="5" t="inlineStr">
        <is>
          <t>4</t>
        </is>
      </c>
      <c r="R1505" s="5" t="inlineStr">
        <is>
          <t>4</t>
        </is>
      </c>
      <c r="S1505" s="5" t="inlineStr">
        <is>
          <t>34</t>
        </is>
      </c>
      <c r="T1505" s="5" t="inlineStr">
        <is>
          <t>0</t>
        </is>
      </c>
      <c r="U1505" s="5" t="inlineStr">
        <is>
          <t>OK</t>
        </is>
      </c>
    </row>
    <row r="1506">
      <c r="A1506" s="5" t="inlineStr">
        <is>
          <t>E02040</t>
        </is>
      </c>
      <c r="B1506" s="5" t="inlineStr">
        <is>
          <t>Female</t>
        </is>
      </c>
      <c r="C1506" s="6" t="inlineStr">
        <is>
          <t>36</t>
        </is>
      </c>
      <c r="D1506" s="5" t="inlineStr">
        <is>
          <t>Single</t>
        </is>
      </c>
      <c r="E1506" s="5" t="inlineStr">
        <is>
          <t>PhD</t>
        </is>
      </c>
      <c r="F1506" s="5" t="inlineStr">
        <is>
          <t>Finance</t>
        </is>
      </c>
      <c r="G1506" s="5" t="inlineStr">
        <is>
          <t>Credit Analyst</t>
        </is>
      </c>
      <c r="H1506" s="5" t="inlineStr">
        <is>
          <t>3</t>
        </is>
      </c>
      <c r="I1506" s="5" t="inlineStr">
        <is>
          <t>Delhi</t>
        </is>
      </c>
      <c r="J1506" s="5" t="inlineStr">
        <is>
          <t>Full-Time</t>
        </is>
      </c>
      <c r="K1506" s="7" t="n">
        <v>45570</v>
      </c>
      <c r="L1506" s="7" t="n">
        <v>45634</v>
      </c>
      <c r="M1506" s="5" t="inlineStr">
        <is>
          <t>No</t>
        </is>
      </c>
      <c r="N1506" s="5" t="inlineStr">
        <is>
          <t>Relocation</t>
        </is>
      </c>
      <c r="O1506" s="8" t="inlineStr">
        <is>
          <t>85000</t>
        </is>
      </c>
      <c r="P1506" s="5" t="inlineStr">
        <is>
          <t>0</t>
        </is>
      </c>
      <c r="Q1506" s="5" t="inlineStr">
        <is>
          <t>3</t>
        </is>
      </c>
      <c r="R1506" s="5" t="inlineStr">
        <is>
          <t>8</t>
        </is>
      </c>
      <c r="S1506" s="5" t="inlineStr">
        <is>
          <t>2</t>
        </is>
      </c>
      <c r="T1506" s="5" t="inlineStr">
        <is>
          <t>16</t>
        </is>
      </c>
      <c r="U1506" s="5" t="inlineStr">
        <is>
          <t>OK</t>
        </is>
      </c>
    </row>
    <row r="1507">
      <c r="A1507" s="5" t="inlineStr">
        <is>
          <t>E01723</t>
        </is>
      </c>
      <c r="B1507" s="5" t="inlineStr">
        <is>
          <t>Female</t>
        </is>
      </c>
      <c r="C1507" s="6" t="inlineStr">
        <is>
          <t>30</t>
        </is>
      </c>
      <c r="D1507" s="5" t="inlineStr">
        <is>
          <t>Married</t>
        </is>
      </c>
      <c r="E1507" s="5" t="inlineStr">
        <is>
          <t>High School</t>
        </is>
      </c>
      <c r="F1507" s="5" t="inlineStr">
        <is>
          <t>Customer Support</t>
        </is>
      </c>
      <c r="G1507" s="5" t="inlineStr">
        <is>
          <t>Support Lead</t>
        </is>
      </c>
      <c r="H1507" s="5" t="inlineStr">
        <is>
          <t>1</t>
        </is>
      </c>
      <c r="I1507" s="5" t="inlineStr">
        <is>
          <t>Hyderabad</t>
        </is>
      </c>
      <c r="J1507" s="5" t="inlineStr">
        <is>
          <t>Full-Time</t>
        </is>
      </c>
      <c r="K1507" s="7" t="n">
        <v>45909</v>
      </c>
      <c r="L1507" s="7" t="n">
        <v>45992</v>
      </c>
      <c r="M1507" s="5" t="inlineStr">
        <is>
          <t>No</t>
        </is>
      </c>
      <c r="N1507" s="5" t="inlineStr">
        <is>
          <t>Resigned</t>
        </is>
      </c>
      <c r="O1507" s="8" t="inlineStr">
        <is>
          <t>66500</t>
        </is>
      </c>
      <c r="P1507" s="5" t="inlineStr">
        <is>
          <t>10</t>
        </is>
      </c>
      <c r="Q1507" s="5" t="inlineStr">
        <is>
          <t>4</t>
        </is>
      </c>
      <c r="R1507" s="5" t="inlineStr">
        <is>
          <t>5</t>
        </is>
      </c>
      <c r="S1507" s="5" t="inlineStr">
        <is>
          <t>2</t>
        </is>
      </c>
      <c r="T1507" s="5" t="inlineStr">
        <is>
          <t>6</t>
        </is>
      </c>
      <c r="U1507" s="5" t="inlineStr">
        <is>
          <t>OK</t>
        </is>
      </c>
    </row>
    <row r="1508">
      <c r="A1508" s="5" t="inlineStr">
        <is>
          <t>E02819</t>
        </is>
      </c>
      <c r="B1508" s="5" t="inlineStr">
        <is>
          <t>Male</t>
        </is>
      </c>
      <c r="C1508" s="6" t="inlineStr">
        <is>
          <t>39</t>
        </is>
      </c>
      <c r="D1508" s="5" t="inlineStr">
        <is>
          <t>Married</t>
        </is>
      </c>
      <c r="E1508" s="5" t="inlineStr">
        <is>
          <t>Diploma</t>
        </is>
      </c>
      <c r="F1508" s="5" t="inlineStr">
        <is>
          <t>Finance</t>
        </is>
      </c>
      <c r="G1508" s="5" t="inlineStr">
        <is>
          <t>Accountant</t>
        </is>
      </c>
      <c r="H1508" s="5" t="inlineStr">
        <is>
          <t>6</t>
        </is>
      </c>
      <c r="I1508" s="5" t="inlineStr">
        <is>
          <t>Hyderabad</t>
        </is>
      </c>
      <c r="J1508" s="5" t="inlineStr">
        <is>
          <t>Full-Time</t>
        </is>
      </c>
      <c r="K1508" s="7" t="n">
        <v>44464</v>
      </c>
      <c r="L1508" s="7" t="n">
        <v>44604</v>
      </c>
      <c r="M1508" s="5" t="inlineStr">
        <is>
          <t>No</t>
        </is>
      </c>
      <c r="N1508" s="5" t="inlineStr">
        <is>
          <t>Retirement</t>
        </is>
      </c>
      <c r="O1508" s="8" t="inlineStr">
        <is>
          <t>155500</t>
        </is>
      </c>
      <c r="P1508" s="5" t="inlineStr">
        <is>
          <t>0</t>
        </is>
      </c>
      <c r="Q1508" s="5" t="inlineStr">
        <is>
          <t>4</t>
        </is>
      </c>
      <c r="R1508" s="5" t="inlineStr">
        <is>
          <t>6</t>
        </is>
      </c>
      <c r="S1508" s="5" t="inlineStr">
        <is>
          <t>4</t>
        </is>
      </c>
      <c r="T1508" s="5" t="inlineStr">
        <is>
          <t>9</t>
        </is>
      </c>
      <c r="U1508" s="5" t="inlineStr">
        <is>
          <t>OK</t>
        </is>
      </c>
    </row>
    <row r="1509">
      <c r="A1509" s="5" t="inlineStr">
        <is>
          <t>E00299</t>
        </is>
      </c>
      <c r="B1509" s="5" t="inlineStr">
        <is>
          <t>Female</t>
        </is>
      </c>
      <c r="C1509" s="6" t="inlineStr">
        <is>
          <t>37</t>
        </is>
      </c>
      <c r="D1509" s="5" t="inlineStr">
        <is>
          <t>Married</t>
        </is>
      </c>
      <c r="E1509" s="5" t="inlineStr">
        <is>
          <t>High School</t>
        </is>
      </c>
      <c r="F1509" s="5" t="inlineStr">
        <is>
          <t>Operations</t>
        </is>
      </c>
      <c r="G1509" s="5" t="inlineStr">
        <is>
          <t>Operations Analyst</t>
        </is>
      </c>
      <c r="H1509" s="5" t="inlineStr">
        <is>
          <t>5</t>
        </is>
      </c>
      <c r="I1509" s="5" t="inlineStr">
        <is>
          <t>Delhi</t>
        </is>
      </c>
      <c r="J1509" s="5" t="inlineStr">
        <is>
          <t>Part-Time</t>
        </is>
      </c>
      <c r="K1509" s="7" t="n">
        <v>44418</v>
      </c>
      <c r="L1509" s="7" t="inlineStr"/>
      <c r="M1509" s="5" t="inlineStr">
        <is>
          <t>Yes</t>
        </is>
      </c>
      <c r="N1509" s="5" t="inlineStr"/>
      <c r="O1509" s="8" t="inlineStr">
        <is>
          <t>124500</t>
        </is>
      </c>
      <c r="P1509" s="5" t="inlineStr">
        <is>
          <t>5</t>
        </is>
      </c>
      <c r="Q1509" s="5" t="inlineStr">
        <is>
          <t>4</t>
        </is>
      </c>
      <c r="R1509" s="5" t="inlineStr">
        <is>
          <t>6</t>
        </is>
      </c>
      <c r="S1509" s="5" t="inlineStr">
        <is>
          <t>53</t>
        </is>
      </c>
      <c r="T1509" s="5" t="inlineStr">
        <is>
          <t>7</t>
        </is>
      </c>
      <c r="U1509" s="5" t="inlineStr">
        <is>
          <t>OK</t>
        </is>
      </c>
    </row>
    <row r="1510">
      <c r="A1510" s="5" t="inlineStr">
        <is>
          <t>E01311</t>
        </is>
      </c>
      <c r="B1510" s="5" t="inlineStr">
        <is>
          <t>Male</t>
        </is>
      </c>
      <c r="C1510" s="6" t="inlineStr">
        <is>
          <t>27</t>
        </is>
      </c>
      <c r="D1510" s="5" t="inlineStr">
        <is>
          <t>Single</t>
        </is>
      </c>
      <c r="E1510" s="5" t="inlineStr">
        <is>
          <t>PhD</t>
        </is>
      </c>
      <c r="F1510" s="5" t="inlineStr">
        <is>
          <t>Research &amp; Development</t>
        </is>
      </c>
      <c r="G1510" s="5" t="inlineStr">
        <is>
          <t>Data Scientist</t>
        </is>
      </c>
      <c r="H1510" s="5" t="inlineStr">
        <is>
          <t>1</t>
        </is>
      </c>
      <c r="I1510" s="5" t="inlineStr">
        <is>
          <t>Bengaluru</t>
        </is>
      </c>
      <c r="J1510" s="5" t="inlineStr">
        <is>
          <t>Full-Time</t>
        </is>
      </c>
      <c r="K1510" s="7" t="n">
        <v>45186</v>
      </c>
      <c r="L1510" s="7" t="inlineStr"/>
      <c r="M1510" s="5" t="inlineStr">
        <is>
          <t>Yes</t>
        </is>
      </c>
      <c r="N1510" s="5" t="inlineStr"/>
      <c r="O1510" s="8" t="inlineStr">
        <is>
          <t>156000</t>
        </is>
      </c>
      <c r="P1510" s="5" t="inlineStr">
        <is>
          <t>5</t>
        </is>
      </c>
      <c r="Q1510" s="5" t="inlineStr">
        <is>
          <t>4</t>
        </is>
      </c>
      <c r="R1510" s="5" t="inlineStr">
        <is>
          <t>3</t>
        </is>
      </c>
      <c r="S1510" s="5" t="inlineStr">
        <is>
          <t>27</t>
        </is>
      </c>
      <c r="T1510" s="5" t="inlineStr">
        <is>
          <t>0</t>
        </is>
      </c>
      <c r="U1510" s="5" t="inlineStr">
        <is>
          <t>OK</t>
        </is>
      </c>
    </row>
    <row r="1511">
      <c r="A1511" s="5" t="inlineStr">
        <is>
          <t>E00897</t>
        </is>
      </c>
      <c r="B1511" s="5" t="inlineStr">
        <is>
          <t>Female</t>
        </is>
      </c>
      <c r="C1511" s="6" t="inlineStr">
        <is>
          <t>25</t>
        </is>
      </c>
      <c r="D1511" s="5" t="inlineStr">
        <is>
          <t>Married</t>
        </is>
      </c>
      <c r="E1511" s="5" t="inlineStr">
        <is>
          <t>Master</t>
        </is>
      </c>
      <c r="F1511" s="5" t="inlineStr">
        <is>
          <t>Customer Support</t>
        </is>
      </c>
      <c r="G1511" s="5" t="inlineStr">
        <is>
          <t>Support Lead</t>
        </is>
      </c>
      <c r="H1511" s="5" t="inlineStr">
        <is>
          <t>1</t>
        </is>
      </c>
      <c r="I1511" s="5" t="inlineStr">
        <is>
          <t>Hyderabad</t>
        </is>
      </c>
      <c r="J1511" s="5" t="inlineStr">
        <is>
          <t>Full-Time</t>
        </is>
      </c>
      <c r="K1511" s="7" t="n">
        <v>44634</v>
      </c>
      <c r="L1511" s="7" t="inlineStr"/>
      <c r="M1511" s="5" t="inlineStr">
        <is>
          <t>Yes</t>
        </is>
      </c>
      <c r="N1511" s="5" t="inlineStr"/>
      <c r="O1511" s="8" t="inlineStr">
        <is>
          <t>46500</t>
        </is>
      </c>
      <c r="P1511" s="5" t="inlineStr">
        <is>
          <t>15</t>
        </is>
      </c>
      <c r="Q1511" s="5" t="inlineStr">
        <is>
          <t>4</t>
        </is>
      </c>
      <c r="R1511" s="5" t="inlineStr">
        <is>
          <t>5</t>
        </is>
      </c>
      <c r="S1511" s="5" t="inlineStr">
        <is>
          <t>46</t>
        </is>
      </c>
      <c r="T1511" s="5" t="inlineStr">
        <is>
          <t>13</t>
        </is>
      </c>
      <c r="U1511" s="5" t="inlineStr">
        <is>
          <t>OK</t>
        </is>
      </c>
    </row>
    <row r="1512">
      <c r="A1512" s="5" t="inlineStr">
        <is>
          <t>E01072</t>
        </is>
      </c>
      <c r="B1512" s="5" t="inlineStr">
        <is>
          <t>Male</t>
        </is>
      </c>
      <c r="C1512" s="6" t="inlineStr">
        <is>
          <t>31</t>
        </is>
      </c>
      <c r="D1512" s="5" t="inlineStr">
        <is>
          <t>Married</t>
        </is>
      </c>
      <c r="E1512" s="5" t="inlineStr">
        <is>
          <t>High School</t>
        </is>
      </c>
      <c r="F1512" s="5" t="inlineStr">
        <is>
          <t>IT</t>
        </is>
      </c>
      <c r="G1512" s="5" t="inlineStr">
        <is>
          <t>DevOps Engineer</t>
        </is>
      </c>
      <c r="H1512" s="5" t="inlineStr">
        <is>
          <t>2</t>
        </is>
      </c>
      <c r="I1512" s="5" t="inlineStr">
        <is>
          <t>Bengaluru</t>
        </is>
      </c>
      <c r="J1512" s="5" t="inlineStr">
        <is>
          <t>Full-Time</t>
        </is>
      </c>
      <c r="K1512" s="7" t="n">
        <v>45397</v>
      </c>
      <c r="L1512" s="7" t="inlineStr"/>
      <c r="M1512" s="5" t="inlineStr">
        <is>
          <t>Yes</t>
        </is>
      </c>
      <c r="N1512" s="5" t="inlineStr"/>
      <c r="O1512" s="8" t="inlineStr">
        <is>
          <t>96000</t>
        </is>
      </c>
      <c r="P1512" s="5" t="inlineStr">
        <is>
          <t>5</t>
        </is>
      </c>
      <c r="Q1512" s="5" t="inlineStr">
        <is>
          <t>5</t>
        </is>
      </c>
      <c r="R1512" s="5" t="inlineStr">
        <is>
          <t>9</t>
        </is>
      </c>
      <c r="S1512" s="5" t="inlineStr">
        <is>
          <t>20</t>
        </is>
      </c>
      <c r="T1512" s="5" t="inlineStr">
        <is>
          <t>7</t>
        </is>
      </c>
      <c r="U1512" s="5" t="inlineStr">
        <is>
          <t>OK</t>
        </is>
      </c>
    </row>
    <row r="1513">
      <c r="A1513" s="5" t="inlineStr">
        <is>
          <t>E01503</t>
        </is>
      </c>
      <c r="B1513" s="5" t="inlineStr">
        <is>
          <t>Male</t>
        </is>
      </c>
      <c r="C1513" s="6" t="inlineStr">
        <is>
          <t>31</t>
        </is>
      </c>
      <c r="D1513" s="5" t="inlineStr">
        <is>
          <t>Married</t>
        </is>
      </c>
      <c r="E1513" s="5" t="inlineStr">
        <is>
          <t>Diploma</t>
        </is>
      </c>
      <c r="F1513" s="5" t="inlineStr">
        <is>
          <t>IT</t>
        </is>
      </c>
      <c r="G1513" s="5" t="inlineStr">
        <is>
          <t>IT Support</t>
        </is>
      </c>
      <c r="H1513" s="5" t="inlineStr">
        <is>
          <t>3</t>
        </is>
      </c>
      <c r="I1513" s="5" t="inlineStr">
        <is>
          <t>Delhi</t>
        </is>
      </c>
      <c r="J1513" s="5" t="inlineStr">
        <is>
          <t>Part-Time</t>
        </is>
      </c>
      <c r="K1513" s="7" t="n">
        <v>45103</v>
      </c>
      <c r="L1513" s="7" t="inlineStr"/>
      <c r="M1513" s="5" t="inlineStr">
        <is>
          <t>Yes</t>
        </is>
      </c>
      <c r="N1513" s="5" t="inlineStr"/>
      <c r="O1513" s="8" t="inlineStr">
        <is>
          <t>120500</t>
        </is>
      </c>
      <c r="P1513" s="5" t="inlineStr">
        <is>
          <t>15</t>
        </is>
      </c>
      <c r="Q1513" s="5" t="inlineStr">
        <is>
          <t>3</t>
        </is>
      </c>
      <c r="R1513" s="5" t="inlineStr">
        <is>
          <t>6</t>
        </is>
      </c>
      <c r="S1513" s="5" t="inlineStr">
        <is>
          <t>30</t>
        </is>
      </c>
      <c r="T1513" s="5" t="inlineStr">
        <is>
          <t>11</t>
        </is>
      </c>
      <c r="U1513" s="5" t="inlineStr">
        <is>
          <t>OK</t>
        </is>
      </c>
    </row>
    <row r="1514">
      <c r="A1514" s="5" t="inlineStr">
        <is>
          <t>E00715</t>
        </is>
      </c>
      <c r="B1514" s="5" t="inlineStr">
        <is>
          <t>Male</t>
        </is>
      </c>
      <c r="C1514" s="6" t="inlineStr">
        <is>
          <t>32</t>
        </is>
      </c>
      <c r="D1514" s="5" t="inlineStr">
        <is>
          <t>Single</t>
        </is>
      </c>
      <c r="E1514" s="5" t="inlineStr">
        <is>
          <t>High School</t>
        </is>
      </c>
      <c r="F1514" s="5" t="inlineStr">
        <is>
          <t>Operations</t>
        </is>
      </c>
      <c r="G1514" s="5" t="inlineStr">
        <is>
          <t>Logistics Coordinator</t>
        </is>
      </c>
      <c r="H1514" s="5" t="inlineStr">
        <is>
          <t>3</t>
        </is>
      </c>
      <c r="I1514" s="5" t="inlineStr">
        <is>
          <t>Bengaluru</t>
        </is>
      </c>
      <c r="J1514" s="5" t="inlineStr">
        <is>
          <t>Contract</t>
        </is>
      </c>
      <c r="K1514" s="7" t="n">
        <v>44072</v>
      </c>
      <c r="L1514" s="7" t="n">
        <v>44131</v>
      </c>
      <c r="M1514" s="5" t="inlineStr">
        <is>
          <t>No</t>
        </is>
      </c>
      <c r="N1514" s="5" t="inlineStr">
        <is>
          <t>Retirement</t>
        </is>
      </c>
      <c r="O1514" s="8" t="inlineStr">
        <is>
          <t>94000</t>
        </is>
      </c>
      <c r="P1514" s="5" t="inlineStr">
        <is>
          <t>0</t>
        </is>
      </c>
      <c r="Q1514" s="5" t="inlineStr">
        <is>
          <t>3</t>
        </is>
      </c>
      <c r="R1514" s="5" t="inlineStr">
        <is>
          <t>3</t>
        </is>
      </c>
      <c r="S1514" s="5" t="inlineStr">
        <is>
          <t>1</t>
        </is>
      </c>
      <c r="T1514" s="5" t="inlineStr">
        <is>
          <t>1</t>
        </is>
      </c>
      <c r="U1514" s="5" t="inlineStr">
        <is>
          <t>OK</t>
        </is>
      </c>
    </row>
    <row r="1515">
      <c r="A1515" s="5" t="inlineStr">
        <is>
          <t>E02752</t>
        </is>
      </c>
      <c r="B1515" s="5" t="inlineStr">
        <is>
          <t>male</t>
        </is>
      </c>
      <c r="C1515" s="6" t="inlineStr">
        <is>
          <t>34</t>
        </is>
      </c>
      <c r="D1515" s="5" t="inlineStr">
        <is>
          <t>Single</t>
        </is>
      </c>
      <c r="E1515" s="5" t="inlineStr">
        <is>
          <t>PhD</t>
        </is>
      </c>
      <c r="F1515" s="5" t="inlineStr">
        <is>
          <t>Marketing</t>
        </is>
      </c>
      <c r="G1515" s="5" t="inlineStr">
        <is>
          <t>SEO Specialist</t>
        </is>
      </c>
      <c r="H1515" s="5" t="inlineStr">
        <is>
          <t>6</t>
        </is>
      </c>
      <c r="I1515" s="5" t="inlineStr">
        <is>
          <t>Mumbai</t>
        </is>
      </c>
      <c r="J1515" s="5" t="inlineStr">
        <is>
          <t>Full-Time</t>
        </is>
      </c>
      <c r="K1515" s="7" t="n">
        <v>45078</v>
      </c>
      <c r="L1515" s="7" t="inlineStr"/>
      <c r="M1515" s="5" t="inlineStr">
        <is>
          <t>Yes</t>
        </is>
      </c>
      <c r="N1515" s="5" t="inlineStr"/>
      <c r="O1515" s="8" t="inlineStr">
        <is>
          <t>106500</t>
        </is>
      </c>
      <c r="P1515" s="5" t="inlineStr">
        <is>
          <t>10</t>
        </is>
      </c>
      <c r="Q1515" s="5" t="inlineStr">
        <is>
          <t>3</t>
        </is>
      </c>
      <c r="R1515" s="5" t="inlineStr">
        <is>
          <t>6</t>
        </is>
      </c>
      <c r="S1515" s="5" t="inlineStr">
        <is>
          <t>31</t>
        </is>
      </c>
      <c r="T1515" s="5" t="inlineStr">
        <is>
          <t>8</t>
        </is>
      </c>
      <c r="U1515" s="5" t="inlineStr">
        <is>
          <t>OK</t>
        </is>
      </c>
    </row>
    <row r="1516">
      <c r="A1516" s="5" t="inlineStr">
        <is>
          <t>E02500</t>
        </is>
      </c>
      <c r="B1516" s="5" t="inlineStr">
        <is>
          <t>Female</t>
        </is>
      </c>
      <c r="C1516" s="6" t="inlineStr">
        <is>
          <t>36</t>
        </is>
      </c>
      <c r="D1516" s="5" t="inlineStr">
        <is>
          <t>Divorced</t>
        </is>
      </c>
      <c r="E1516" s="5" t="inlineStr">
        <is>
          <t>Bachelor</t>
        </is>
      </c>
      <c r="F1516" s="5" t="inlineStr">
        <is>
          <t>Customer Support</t>
        </is>
      </c>
      <c r="G1516" s="5" t="inlineStr">
        <is>
          <t>Support Lead</t>
        </is>
      </c>
      <c r="H1516" s="5" t="inlineStr">
        <is>
          <t>3</t>
        </is>
      </c>
      <c r="I1516" s="5" t="inlineStr">
        <is>
          <t>Chennai</t>
        </is>
      </c>
      <c r="J1516" s="5" t="inlineStr">
        <is>
          <t>Full-Time</t>
        </is>
      </c>
      <c r="K1516" s="7" t="n">
        <v>44508</v>
      </c>
      <c r="L1516" s="7" t="inlineStr"/>
      <c r="M1516" s="5" t="inlineStr">
        <is>
          <t>Yes</t>
        </is>
      </c>
      <c r="N1516" s="5" t="inlineStr"/>
      <c r="O1516" s="8" t="inlineStr">
        <is>
          <t>72500</t>
        </is>
      </c>
      <c r="P1516" s="5" t="inlineStr">
        <is>
          <t>10</t>
        </is>
      </c>
      <c r="Q1516" s="5" t="inlineStr">
        <is>
          <t>3</t>
        </is>
      </c>
      <c r="R1516" s="5" t="inlineStr">
        <is>
          <t>5</t>
        </is>
      </c>
      <c r="S1516" s="5" t="inlineStr">
        <is>
          <t>50</t>
        </is>
      </c>
      <c r="T1516" s="5" t="inlineStr">
        <is>
          <t>7</t>
        </is>
      </c>
      <c r="U1516" s="5" t="inlineStr">
        <is>
          <t>OK</t>
        </is>
      </c>
    </row>
    <row r="1517">
      <c r="A1517" s="5" t="inlineStr">
        <is>
          <t>E01378</t>
        </is>
      </c>
      <c r="B1517" s="5" t="inlineStr">
        <is>
          <t>Male</t>
        </is>
      </c>
      <c r="C1517" s="6" t="inlineStr">
        <is>
          <t>25</t>
        </is>
      </c>
      <c r="D1517" s="5" t="inlineStr">
        <is>
          <t>Single</t>
        </is>
      </c>
      <c r="E1517" s="5" t="inlineStr">
        <is>
          <t>High School</t>
        </is>
      </c>
      <c r="F1517" s="5" t="inlineStr">
        <is>
          <t>Operations</t>
        </is>
      </c>
      <c r="G1517" s="5" t="inlineStr">
        <is>
          <t>Quality Analyst</t>
        </is>
      </c>
      <c r="H1517" s="5" t="inlineStr">
        <is>
          <t>1</t>
        </is>
      </c>
      <c r="I1517" s="5" t="inlineStr">
        <is>
          <t>Chennai</t>
        </is>
      </c>
      <c r="J1517" s="5" t="inlineStr">
        <is>
          <t>Full-Time</t>
        </is>
      </c>
      <c r="K1517" s="7" t="n">
        <v>44110</v>
      </c>
      <c r="L1517" s="7" t="inlineStr"/>
      <c r="M1517" s="5" t="inlineStr">
        <is>
          <t>Yes</t>
        </is>
      </c>
      <c r="N1517" s="5" t="inlineStr"/>
      <c r="O1517" s="8" t="inlineStr">
        <is>
          <t>64500</t>
        </is>
      </c>
      <c r="P1517" s="5" t="inlineStr">
        <is>
          <t>10</t>
        </is>
      </c>
      <c r="Q1517" s="5" t="inlineStr">
        <is>
          <t>3</t>
        </is>
      </c>
      <c r="R1517" s="5" t="inlineStr">
        <is>
          <t>6</t>
        </is>
      </c>
      <c r="S1517" s="5" t="inlineStr">
        <is>
          <t>63</t>
        </is>
      </c>
      <c r="T1517" s="5" t="inlineStr">
        <is>
          <t>7</t>
        </is>
      </c>
      <c r="U1517" s="5" t="inlineStr">
        <is>
          <t>OK</t>
        </is>
      </c>
    </row>
    <row r="1518">
      <c r="A1518" s="5" t="inlineStr">
        <is>
          <t>E02551</t>
        </is>
      </c>
      <c r="B1518" s="5" t="inlineStr">
        <is>
          <t>Female</t>
        </is>
      </c>
      <c r="C1518" s="6" t="inlineStr">
        <is>
          <t>210</t>
        </is>
      </c>
      <c r="D1518" s="5" t="inlineStr">
        <is>
          <t>Married</t>
        </is>
      </c>
      <c r="E1518" s="5" t="inlineStr">
        <is>
          <t>High School</t>
        </is>
      </c>
      <c r="F1518" s="5" t="inlineStr">
        <is>
          <t>Human Resources</t>
        </is>
      </c>
      <c r="G1518" s="5" t="inlineStr">
        <is>
          <t>HR Generalist</t>
        </is>
      </c>
      <c r="H1518" s="5" t="inlineStr">
        <is>
          <t>3</t>
        </is>
      </c>
      <c r="I1518" s="5" t="inlineStr">
        <is>
          <t>Chennai</t>
        </is>
      </c>
      <c r="J1518" s="5" t="inlineStr">
        <is>
          <t>Full-Time</t>
        </is>
      </c>
      <c r="K1518" s="7" t="n">
        <v>44679</v>
      </c>
      <c r="L1518" s="7" t="inlineStr"/>
      <c r="M1518" s="5" t="inlineStr">
        <is>
          <t>Yes</t>
        </is>
      </c>
      <c r="N1518" s="5" t="inlineStr"/>
      <c r="O1518" s="8" t="inlineStr">
        <is>
          <t>88000</t>
        </is>
      </c>
      <c r="P1518" s="5" t="inlineStr">
        <is>
          <t>0</t>
        </is>
      </c>
      <c r="Q1518" s="5" t="inlineStr">
        <is>
          <t>3</t>
        </is>
      </c>
      <c r="R1518" s="5" t="inlineStr">
        <is>
          <t>5</t>
        </is>
      </c>
      <c r="S1518" s="5" t="inlineStr">
        <is>
          <t>44</t>
        </is>
      </c>
      <c r="T1518" s="5" t="inlineStr">
        <is>
          <t>0</t>
        </is>
      </c>
      <c r="U1518" s="5" t="inlineStr">
        <is>
          <t>Age typo</t>
        </is>
      </c>
    </row>
    <row r="1519">
      <c r="A1519" s="5" t="inlineStr">
        <is>
          <t>E00243</t>
        </is>
      </c>
      <c r="B1519" s="5" t="inlineStr">
        <is>
          <t>Female</t>
        </is>
      </c>
      <c r="C1519" s="6" t="inlineStr">
        <is>
          <t>37</t>
        </is>
      </c>
      <c r="D1519" s="5" t="inlineStr">
        <is>
          <t>Married</t>
        </is>
      </c>
      <c r="E1519" s="5" t="inlineStr">
        <is>
          <t>High School</t>
        </is>
      </c>
      <c r="F1519" s="5" t="inlineStr">
        <is>
          <t>Operations</t>
        </is>
      </c>
      <c r="G1519" s="5" t="inlineStr">
        <is>
          <t>Logistics Coordinator</t>
        </is>
      </c>
      <c r="H1519" s="5" t="inlineStr">
        <is>
          <t>4</t>
        </is>
      </c>
      <c r="I1519" s="5" t="inlineStr">
        <is>
          <t>Hyderabad</t>
        </is>
      </c>
      <c r="J1519" s="5" t="inlineStr">
        <is>
          <t>Full-Time</t>
        </is>
      </c>
      <c r="K1519" s="7" t="n">
        <v>44729</v>
      </c>
      <c r="L1519" s="7" t="inlineStr"/>
      <c r="M1519" s="5" t="inlineStr">
        <is>
          <t>Yes</t>
        </is>
      </c>
      <c r="N1519" s="5" t="inlineStr"/>
      <c r="O1519" s="8" t="inlineStr">
        <is>
          <t>88000</t>
        </is>
      </c>
      <c r="P1519" s="5" t="inlineStr">
        <is>
          <t>15</t>
        </is>
      </c>
      <c r="Q1519" s="5" t="inlineStr">
        <is>
          <t>3</t>
        </is>
      </c>
      <c r="R1519" s="5" t="inlineStr">
        <is>
          <t>7</t>
        </is>
      </c>
      <c r="S1519" s="5" t="inlineStr">
        <is>
          <t>43</t>
        </is>
      </c>
      <c r="T1519" s="5" t="inlineStr">
        <is>
          <t>2</t>
        </is>
      </c>
      <c r="U1519" s="5" t="inlineStr">
        <is>
          <t>OK</t>
        </is>
      </c>
    </row>
    <row r="1520">
      <c r="A1520" s="5" t="inlineStr">
        <is>
          <t>E01448</t>
        </is>
      </c>
      <c r="B1520" s="5" t="inlineStr">
        <is>
          <t>Male</t>
        </is>
      </c>
      <c r="C1520" s="6" t="inlineStr">
        <is>
          <t>25</t>
        </is>
      </c>
      <c r="D1520" s="5" t="inlineStr">
        <is>
          <t>Married</t>
        </is>
      </c>
      <c r="E1520" s="5" t="inlineStr">
        <is>
          <t>Bachelor</t>
        </is>
      </c>
      <c r="F1520" s="5" t="inlineStr">
        <is>
          <t>Human Resources</t>
        </is>
      </c>
      <c r="G1520" s="5" t="inlineStr">
        <is>
          <t>HR Analyst</t>
        </is>
      </c>
      <c r="H1520" s="5" t="inlineStr">
        <is>
          <t>1</t>
        </is>
      </c>
      <c r="I1520" s="5" t="inlineStr">
        <is>
          <t>Mumbai</t>
        </is>
      </c>
      <c r="J1520" s="5" t="inlineStr">
        <is>
          <t>Full-Time</t>
        </is>
      </c>
      <c r="K1520" s="7" t="n">
        <v>44796</v>
      </c>
      <c r="L1520" s="7" t="inlineStr"/>
      <c r="M1520" s="5" t="inlineStr">
        <is>
          <t>Yes</t>
        </is>
      </c>
      <c r="N1520" s="5" t="inlineStr"/>
      <c r="O1520" s="8" t="inlineStr">
        <is>
          <t>68500</t>
        </is>
      </c>
      <c r="P1520" s="5" t="inlineStr">
        <is>
          <t>0</t>
        </is>
      </c>
      <c r="Q1520" s="5" t="inlineStr">
        <is>
          <t>5</t>
        </is>
      </c>
      <c r="R1520" s="5" t="inlineStr">
        <is>
          <t>5</t>
        </is>
      </c>
      <c r="S1520" s="5" t="inlineStr">
        <is>
          <t>40</t>
        </is>
      </c>
      <c r="T1520" s="5" t="inlineStr">
        <is>
          <t>0</t>
        </is>
      </c>
      <c r="U1520" s="5" t="inlineStr">
        <is>
          <t>OK</t>
        </is>
      </c>
    </row>
    <row r="1521">
      <c r="A1521" s="5" t="inlineStr">
        <is>
          <t>E02870</t>
        </is>
      </c>
      <c r="B1521" s="5" t="inlineStr">
        <is>
          <t>Male</t>
        </is>
      </c>
      <c r="C1521" s="6" t="inlineStr">
        <is>
          <t>32</t>
        </is>
      </c>
      <c r="D1521" s="5" t="inlineStr">
        <is>
          <t>Married</t>
        </is>
      </c>
      <c r="E1521" s="5" t="inlineStr">
        <is>
          <t>High School</t>
        </is>
      </c>
      <c r="F1521" s="5" t="inlineStr">
        <is>
          <t>Research &amp; Development</t>
        </is>
      </c>
      <c r="G1521" s="5" t="inlineStr">
        <is>
          <t>Product Engineer</t>
        </is>
      </c>
      <c r="H1521" s="5" t="inlineStr">
        <is>
          <t>2</t>
        </is>
      </c>
      <c r="I1521" s="5" t="inlineStr">
        <is>
          <t>Chennai</t>
        </is>
      </c>
      <c r="J1521" s="5" t="inlineStr">
        <is>
          <t>Full-Time</t>
        </is>
      </c>
      <c r="K1521" s="7" t="n">
        <v>45526</v>
      </c>
      <c r="L1521" s="7" t="inlineStr"/>
      <c r="M1521" s="5" t="inlineStr">
        <is>
          <t>Yes</t>
        </is>
      </c>
      <c r="N1521" s="5" t="inlineStr"/>
      <c r="O1521" s="8" t="inlineStr">
        <is>
          <t>178500</t>
        </is>
      </c>
      <c r="P1521" s="5" t="inlineStr">
        <is>
          <t>10</t>
        </is>
      </c>
      <c r="Q1521" s="5" t="inlineStr">
        <is>
          <t>5</t>
        </is>
      </c>
      <c r="R1521" s="5" t="inlineStr">
        <is>
          <t>8</t>
        </is>
      </c>
      <c r="S1521" s="5" t="inlineStr">
        <is>
          <t>16</t>
        </is>
      </c>
      <c r="T1521" s="5" t="inlineStr">
        <is>
          <t>0</t>
        </is>
      </c>
      <c r="U1521" s="5" t="inlineStr">
        <is>
          <t>OK</t>
        </is>
      </c>
    </row>
    <row r="1522">
      <c r="A1522" s="5" t="inlineStr">
        <is>
          <t>E00736</t>
        </is>
      </c>
      <c r="B1522" s="5" t="inlineStr">
        <is>
          <t>Female</t>
        </is>
      </c>
      <c r="C1522" s="6" t="inlineStr">
        <is>
          <t>30</t>
        </is>
      </c>
      <c r="D1522" s="5" t="inlineStr">
        <is>
          <t>Single</t>
        </is>
      </c>
      <c r="E1522" s="5" t="inlineStr">
        <is>
          <t>PhD</t>
        </is>
      </c>
      <c r="F1522" s="5" t="inlineStr">
        <is>
          <t>Customer Support</t>
        </is>
      </c>
      <c r="G1522" s="5" t="inlineStr">
        <is>
          <t>Support Lead</t>
        </is>
      </c>
      <c r="H1522" s="5" t="inlineStr">
        <is>
          <t>2</t>
        </is>
      </c>
      <c r="I1522" s="5" t="inlineStr">
        <is>
          <t>Bengaluru</t>
        </is>
      </c>
      <c r="J1522" s="5" t="inlineStr">
        <is>
          <t>Full-Time</t>
        </is>
      </c>
      <c r="K1522" s="7" t="n">
        <v>44048</v>
      </c>
      <c r="L1522" s="7" t="inlineStr"/>
      <c r="M1522" s="5" t="inlineStr">
        <is>
          <t>Yes</t>
        </is>
      </c>
      <c r="N1522" s="5" t="inlineStr"/>
      <c r="O1522" s="8" t="inlineStr">
        <is>
          <t>58000</t>
        </is>
      </c>
      <c r="P1522" s="5" t="inlineStr">
        <is>
          <t>5</t>
        </is>
      </c>
      <c r="Q1522" s="5" t="inlineStr">
        <is>
          <t>4</t>
        </is>
      </c>
      <c r="R1522" s="5" t="inlineStr">
        <is>
          <t>5</t>
        </is>
      </c>
      <c r="S1522" s="5" t="inlineStr">
        <is>
          <t>65</t>
        </is>
      </c>
      <c r="T1522" s="5" t="inlineStr">
        <is>
          <t>9</t>
        </is>
      </c>
      <c r="U1522" s="5" t="inlineStr">
        <is>
          <t>OK</t>
        </is>
      </c>
    </row>
    <row r="1523">
      <c r="A1523" s="5" t="inlineStr">
        <is>
          <t>E01403</t>
        </is>
      </c>
      <c r="B1523" s="5" t="inlineStr">
        <is>
          <t>Unknown</t>
        </is>
      </c>
      <c r="C1523" s="6" t="inlineStr">
        <is>
          <t>38</t>
        </is>
      </c>
      <c r="D1523" s="5" t="inlineStr">
        <is>
          <t>Single</t>
        </is>
      </c>
      <c r="E1523" s="5" t="inlineStr">
        <is>
          <t>PhD</t>
        </is>
      </c>
      <c r="F1523" s="5" t="inlineStr">
        <is>
          <t>Operations</t>
        </is>
      </c>
      <c r="G1523" s="5" t="inlineStr">
        <is>
          <t>Logistics Coordinator</t>
        </is>
      </c>
      <c r="H1523" s="5" t="inlineStr">
        <is>
          <t>3</t>
        </is>
      </c>
      <c r="I1523" s="5" t="inlineStr">
        <is>
          <t>Remote</t>
        </is>
      </c>
      <c r="J1523" s="5" t="inlineStr">
        <is>
          <t>Full-Time</t>
        </is>
      </c>
      <c r="K1523" s="7" t="n">
        <v>44797</v>
      </c>
      <c r="L1523" s="7" t="inlineStr"/>
      <c r="M1523" s="5" t="inlineStr">
        <is>
          <t>Yes</t>
        </is>
      </c>
      <c r="N1523" s="5" t="inlineStr"/>
      <c r="O1523" s="8" t="inlineStr">
        <is>
          <t>81500</t>
        </is>
      </c>
      <c r="P1523" s="5" t="inlineStr">
        <is>
          <t>20</t>
        </is>
      </c>
      <c r="Q1523" s="5" t="inlineStr">
        <is>
          <t>4</t>
        </is>
      </c>
      <c r="R1523" s="5" t="inlineStr">
        <is>
          <t>7</t>
        </is>
      </c>
      <c r="S1523" s="5" t="inlineStr">
        <is>
          <t>40</t>
        </is>
      </c>
      <c r="T1523" s="5" t="inlineStr">
        <is>
          <t>4</t>
        </is>
      </c>
      <c r="U1523" s="5" t="inlineStr">
        <is>
          <t>Bad gender</t>
        </is>
      </c>
    </row>
    <row r="1524">
      <c r="A1524" s="5" t="inlineStr">
        <is>
          <t>E01438</t>
        </is>
      </c>
      <c r="B1524" s="5" t="inlineStr">
        <is>
          <t>Male</t>
        </is>
      </c>
      <c r="C1524" s="6" t="inlineStr">
        <is>
          <t>33</t>
        </is>
      </c>
      <c r="D1524" s="5" t="inlineStr">
        <is>
          <t>Single</t>
        </is>
      </c>
      <c r="E1524" s="5" t="inlineStr">
        <is>
          <t>Bachelor</t>
        </is>
      </c>
      <c r="F1524" s="5" t="inlineStr">
        <is>
          <t>Human Resources</t>
        </is>
      </c>
      <c r="G1524" s="5" t="inlineStr">
        <is>
          <t>HR Generalist</t>
        </is>
      </c>
      <c r="H1524" s="5" t="inlineStr">
        <is>
          <t>1</t>
        </is>
      </c>
      <c r="I1524" s="5" t="inlineStr">
        <is>
          <t>Mumbai</t>
        </is>
      </c>
      <c r="J1524" s="5" t="inlineStr">
        <is>
          <t>Contract</t>
        </is>
      </c>
      <c r="K1524" s="7" t="n">
        <v>44719</v>
      </c>
      <c r="L1524" s="7" t="n">
        <v>44811</v>
      </c>
      <c r="M1524" s="5" t="inlineStr">
        <is>
          <t>No</t>
        </is>
      </c>
      <c r="N1524" s="5" t="inlineStr">
        <is>
          <t>Retirement</t>
        </is>
      </c>
      <c r="O1524" s="8" t="inlineStr">
        <is>
          <t>64500</t>
        </is>
      </c>
      <c r="P1524" s="5" t="inlineStr">
        <is>
          <t>15</t>
        </is>
      </c>
      <c r="Q1524" s="5" t="inlineStr">
        <is>
          <t>4</t>
        </is>
      </c>
      <c r="R1524" s="5" t="inlineStr">
        <is>
          <t>4</t>
        </is>
      </c>
      <c r="S1524" s="5" t="inlineStr">
        <is>
          <t>3</t>
        </is>
      </c>
      <c r="T1524" s="5" t="inlineStr">
        <is>
          <t>10</t>
        </is>
      </c>
      <c r="U1524" s="5" t="inlineStr">
        <is>
          <t>OK</t>
        </is>
      </c>
    </row>
    <row r="1525">
      <c r="A1525" s="5" t="inlineStr">
        <is>
          <t>E01532</t>
        </is>
      </c>
      <c r="B1525" s="5" t="inlineStr">
        <is>
          <t>Male</t>
        </is>
      </c>
      <c r="C1525" s="6" t="inlineStr">
        <is>
          <t>28</t>
        </is>
      </c>
      <c r="D1525" s="5" t="inlineStr">
        <is>
          <t>Single</t>
        </is>
      </c>
      <c r="E1525" s="5" t="inlineStr">
        <is>
          <t>Diploma</t>
        </is>
      </c>
      <c r="F1525" s="5" t="inlineStr">
        <is>
          <t>Finance</t>
        </is>
      </c>
      <c r="G1525" s="5" t="inlineStr">
        <is>
          <t>Accountant</t>
        </is>
      </c>
      <c r="H1525" s="5" t="inlineStr">
        <is>
          <t>1</t>
        </is>
      </c>
      <c r="I1525" s="5" t="inlineStr">
        <is>
          <t>Bengaluru</t>
        </is>
      </c>
      <c r="J1525" s="5" t="inlineStr">
        <is>
          <t>Full-Time</t>
        </is>
      </c>
      <c r="K1525" s="7" t="n">
        <v>44432</v>
      </c>
      <c r="L1525" s="7" t="inlineStr"/>
      <c r="M1525" s="5" t="inlineStr">
        <is>
          <t>Yes</t>
        </is>
      </c>
      <c r="N1525" s="5" t="inlineStr"/>
      <c r="O1525" s="8" t="inlineStr">
        <is>
          <t>77500</t>
        </is>
      </c>
      <c r="P1525" s="5" t="inlineStr">
        <is>
          <t>0</t>
        </is>
      </c>
      <c r="Q1525" s="5" t="inlineStr">
        <is>
          <t>3</t>
        </is>
      </c>
      <c r="R1525" s="5" t="inlineStr">
        <is>
          <t>4</t>
        </is>
      </c>
      <c r="S1525" s="5" t="inlineStr">
        <is>
          <t>53</t>
        </is>
      </c>
      <c r="T1525" s="5" t="inlineStr">
        <is>
          <t>4</t>
        </is>
      </c>
      <c r="U1525" s="5" t="inlineStr">
        <is>
          <t>OK</t>
        </is>
      </c>
    </row>
    <row r="1526">
      <c r="A1526" s="5" t="inlineStr">
        <is>
          <t>E02820</t>
        </is>
      </c>
      <c r="B1526" s="5" t="inlineStr">
        <is>
          <t>Female</t>
        </is>
      </c>
      <c r="C1526" s="6" t="inlineStr">
        <is>
          <t>32</t>
        </is>
      </c>
      <c r="D1526" s="5" t="inlineStr">
        <is>
          <t>Married</t>
        </is>
      </c>
      <c r="E1526" s="5" t="inlineStr">
        <is>
          <t>High School</t>
        </is>
      </c>
      <c r="F1526" s="5" t="inlineStr">
        <is>
          <t>Sales</t>
        </is>
      </c>
      <c r="G1526" s="5" t="inlineStr">
        <is>
          <t>Account Executive</t>
        </is>
      </c>
      <c r="H1526" s="5" t="inlineStr">
        <is>
          <t>2</t>
        </is>
      </c>
      <c r="I1526" s="5" t="inlineStr">
        <is>
          <t>Remote</t>
        </is>
      </c>
      <c r="J1526" s="5" t="inlineStr">
        <is>
          <t>Full-Time</t>
        </is>
      </c>
      <c r="K1526" s="7" t="n">
        <v>45896</v>
      </c>
      <c r="L1526" s="7" t="inlineStr"/>
      <c r="M1526" s="5" t="inlineStr">
        <is>
          <t>Yes</t>
        </is>
      </c>
      <c r="N1526" s="5" t="inlineStr"/>
      <c r="O1526" s="8" t="inlineStr">
        <is>
          <t>72000</t>
        </is>
      </c>
      <c r="P1526" s="5" t="inlineStr">
        <is>
          <t>5</t>
        </is>
      </c>
      <c r="Q1526" s="5" t="inlineStr">
        <is>
          <t>5</t>
        </is>
      </c>
      <c r="R1526" s="5" t="inlineStr">
        <is>
          <t>8</t>
        </is>
      </c>
      <c r="S1526" s="5" t="inlineStr">
        <is>
          <t>4</t>
        </is>
      </c>
      <c r="T1526" s="5" t="inlineStr">
        <is>
          <t>1</t>
        </is>
      </c>
      <c r="U1526" s="5" t="inlineStr">
        <is>
          <t>OK</t>
        </is>
      </c>
    </row>
    <row r="1527">
      <c r="A1527" s="5" t="inlineStr">
        <is>
          <t>E00122</t>
        </is>
      </c>
      <c r="B1527" s="5" t="inlineStr">
        <is>
          <t>Male</t>
        </is>
      </c>
      <c r="C1527" s="6" t="inlineStr">
        <is>
          <t>35</t>
        </is>
      </c>
      <c r="D1527" s="5" t="inlineStr">
        <is>
          <t>Married</t>
        </is>
      </c>
      <c r="E1527" s="5" t="inlineStr">
        <is>
          <t>PhD</t>
        </is>
      </c>
      <c r="F1527" s="5" t="inlineStr">
        <is>
          <t>Customer Support</t>
        </is>
      </c>
      <c r="G1527" s="5" t="inlineStr">
        <is>
          <t>Support Lead</t>
        </is>
      </c>
      <c r="H1527" s="5" t="inlineStr">
        <is>
          <t>7</t>
        </is>
      </c>
      <c r="I1527" s="5" t="inlineStr">
        <is>
          <t>Mumbai</t>
        </is>
      </c>
      <c r="J1527" s="5" t="inlineStr">
        <is>
          <t>Full-Time</t>
        </is>
      </c>
      <c r="K1527" s="7" t="n">
        <v>44353</v>
      </c>
      <c r="L1527" s="7" t="inlineStr"/>
      <c r="M1527" s="5" t="inlineStr">
        <is>
          <t>Yes</t>
        </is>
      </c>
      <c r="N1527" s="5" t="inlineStr"/>
      <c r="O1527" s="8" t="inlineStr">
        <is>
          <t>82500</t>
        </is>
      </c>
      <c r="P1527" s="5" t="inlineStr">
        <is>
          <t>10</t>
        </is>
      </c>
      <c r="Q1527" s="5" t="inlineStr">
        <is>
          <t>4</t>
        </is>
      </c>
      <c r="R1527" s="5" t="inlineStr">
        <is>
          <t>4</t>
        </is>
      </c>
      <c r="S1527" s="5" t="inlineStr">
        <is>
          <t>55</t>
        </is>
      </c>
      <c r="T1527" s="5" t="inlineStr">
        <is>
          <t>11</t>
        </is>
      </c>
      <c r="U1527" s="5" t="inlineStr">
        <is>
          <t>OK</t>
        </is>
      </c>
    </row>
    <row r="1528">
      <c r="A1528" s="5" t="inlineStr">
        <is>
          <t>E01124</t>
        </is>
      </c>
      <c r="B1528" s="5" t="inlineStr">
        <is>
          <t>Male</t>
        </is>
      </c>
      <c r="C1528" s="6" t="inlineStr">
        <is>
          <t>40</t>
        </is>
      </c>
      <c r="D1528" s="5" t="inlineStr">
        <is>
          <t>Married</t>
        </is>
      </c>
      <c r="E1528" s="5" t="inlineStr">
        <is>
          <t>Diploma</t>
        </is>
      </c>
      <c r="F1528" s="5" t="inlineStr">
        <is>
          <t>Operations</t>
        </is>
      </c>
      <c r="G1528" s="5" t="inlineStr">
        <is>
          <t>Quality Analyst</t>
        </is>
      </c>
      <c r="H1528" s="5" t="inlineStr">
        <is>
          <t>4</t>
        </is>
      </c>
      <c r="I1528" s="5" t="inlineStr">
        <is>
          <t>Chennai</t>
        </is>
      </c>
      <c r="J1528" s="5" t="inlineStr">
        <is>
          <t>Full-Time</t>
        </is>
      </c>
      <c r="K1528" s="7" t="n">
        <v>45496</v>
      </c>
      <c r="L1528" s="7" t="inlineStr"/>
      <c r="M1528" s="5" t="inlineStr">
        <is>
          <t>Yes</t>
        </is>
      </c>
      <c r="N1528" s="5" t="inlineStr"/>
      <c r="O1528" s="8" t="inlineStr">
        <is>
          <t>112500</t>
        </is>
      </c>
      <c r="P1528" s="5" t="inlineStr">
        <is>
          <t>0</t>
        </is>
      </c>
      <c r="Q1528" s="5" t="inlineStr">
        <is>
          <t>4</t>
        </is>
      </c>
      <c r="R1528" s="5" t="inlineStr">
        <is>
          <t>10</t>
        </is>
      </c>
      <c r="S1528" s="5" t="inlineStr">
        <is>
          <t>17</t>
        </is>
      </c>
      <c r="T1528" s="5" t="inlineStr">
        <is>
          <t>11</t>
        </is>
      </c>
      <c r="U1528" s="5" t="inlineStr">
        <is>
          <t>OK</t>
        </is>
      </c>
    </row>
    <row r="1529">
      <c r="A1529" s="5" t="inlineStr">
        <is>
          <t>E01681</t>
        </is>
      </c>
      <c r="B1529" s="5" t="inlineStr">
        <is>
          <t>Male</t>
        </is>
      </c>
      <c r="C1529" s="6" t="inlineStr">
        <is>
          <t>25</t>
        </is>
      </c>
      <c r="D1529" s="5" t="inlineStr">
        <is>
          <t>Single</t>
        </is>
      </c>
      <c r="E1529" s="5" t="inlineStr">
        <is>
          <t>Diploma</t>
        </is>
      </c>
      <c r="F1529" s="5" t="inlineStr">
        <is>
          <t>Finance</t>
        </is>
      </c>
      <c r="G1529" s="5" t="inlineStr">
        <is>
          <t>Accountant</t>
        </is>
      </c>
      <c r="H1529" s="5" t="inlineStr">
        <is>
          <t>1</t>
        </is>
      </c>
      <c r="I1529" s="5" t="inlineStr">
        <is>
          <t>Mumbai</t>
        </is>
      </c>
      <c r="J1529" s="5" t="inlineStr">
        <is>
          <t>Part-Time</t>
        </is>
      </c>
      <c r="K1529" s="7" t="n">
        <v>45353</v>
      </c>
      <c r="L1529" s="7" t="inlineStr"/>
      <c r="M1529" s="5" t="inlineStr">
        <is>
          <t>Yes</t>
        </is>
      </c>
      <c r="N1529" s="5" t="inlineStr"/>
      <c r="O1529" s="8" t="inlineStr">
        <is>
          <t>75000</t>
        </is>
      </c>
      <c r="P1529" s="5" t="inlineStr">
        <is>
          <t>0</t>
        </is>
      </c>
      <c r="Q1529" s="5" t="inlineStr">
        <is>
          <t>4</t>
        </is>
      </c>
      <c r="R1529" s="5" t="inlineStr">
        <is>
          <t>7</t>
        </is>
      </c>
      <c r="S1529" s="5" t="inlineStr">
        <is>
          <t>22</t>
        </is>
      </c>
      <c r="T1529" s="5" t="inlineStr">
        <is>
          <t>6</t>
        </is>
      </c>
      <c r="U1529" s="5" t="inlineStr">
        <is>
          <t>OK</t>
        </is>
      </c>
    </row>
    <row r="1530">
      <c r="A1530" s="5" t="inlineStr">
        <is>
          <t>E00833</t>
        </is>
      </c>
      <c r="B1530" s="5" t="inlineStr">
        <is>
          <t>Female</t>
        </is>
      </c>
      <c r="C1530" s="6" t="inlineStr">
        <is>
          <t>23</t>
        </is>
      </c>
      <c r="D1530" s="5" t="inlineStr">
        <is>
          <t>Married</t>
        </is>
      </c>
      <c r="E1530" s="5" t="inlineStr">
        <is>
          <t>PhD</t>
        </is>
      </c>
      <c r="F1530" s="5" t="inlineStr">
        <is>
          <t>Sales</t>
        </is>
      </c>
      <c r="G1530" s="5" t="inlineStr">
        <is>
          <t>Account Executive</t>
        </is>
      </c>
      <c r="H1530" s="5" t="inlineStr">
        <is>
          <t>1</t>
        </is>
      </c>
      <c r="I1530" s="5" t="inlineStr">
        <is>
          <t>Mumbai</t>
        </is>
      </c>
      <c r="J1530" s="5" t="inlineStr">
        <is>
          <t>Full-Time</t>
        </is>
      </c>
      <c r="K1530" s="7" t="n">
        <v>44982</v>
      </c>
      <c r="L1530" s="7" t="inlineStr"/>
      <c r="M1530" s="5" t="inlineStr">
        <is>
          <t>Yes</t>
        </is>
      </c>
      <c r="N1530" s="5" t="inlineStr"/>
      <c r="O1530" s="8" t="inlineStr">
        <is>
          <t>106500</t>
        </is>
      </c>
      <c r="P1530" s="5" t="inlineStr">
        <is>
          <t>0</t>
        </is>
      </c>
      <c r="Q1530" s="5" t="inlineStr">
        <is>
          <t>5</t>
        </is>
      </c>
      <c r="R1530" s="5" t="inlineStr">
        <is>
          <t>7</t>
        </is>
      </c>
      <c r="S1530" s="5" t="inlineStr">
        <is>
          <t>34</t>
        </is>
      </c>
      <c r="T1530" s="5" t="inlineStr">
        <is>
          <t>10</t>
        </is>
      </c>
      <c r="U1530" s="5" t="inlineStr">
        <is>
          <t>OK</t>
        </is>
      </c>
    </row>
    <row r="1531">
      <c r="A1531" s="5" t="inlineStr">
        <is>
          <t>E00338</t>
        </is>
      </c>
      <c r="B1531" s="5" t="inlineStr">
        <is>
          <t>Male</t>
        </is>
      </c>
      <c r="C1531" s="6" t="inlineStr">
        <is>
          <t>29</t>
        </is>
      </c>
      <c r="D1531" s="5" t="inlineStr">
        <is>
          <t>Married</t>
        </is>
      </c>
      <c r="E1531" s="5" t="inlineStr">
        <is>
          <t>High School</t>
        </is>
      </c>
      <c r="F1531" s="5" t="inlineStr">
        <is>
          <t>Marketing</t>
        </is>
      </c>
      <c r="G1531" s="5" t="inlineStr">
        <is>
          <t>SEO Specialist</t>
        </is>
      </c>
      <c r="H1531" s="5" t="inlineStr">
        <is>
          <t>3</t>
        </is>
      </c>
      <c r="I1531" s="5" t="inlineStr">
        <is>
          <t>Bengaluru</t>
        </is>
      </c>
      <c r="J1531" s="5" t="inlineStr">
        <is>
          <t>Full-Time</t>
        </is>
      </c>
      <c r="K1531" s="7" t="n">
        <v>44975</v>
      </c>
      <c r="L1531" s="7" t="inlineStr"/>
      <c r="M1531" s="5" t="inlineStr">
        <is>
          <t>Yes</t>
        </is>
      </c>
      <c r="N1531" s="5" t="inlineStr"/>
      <c r="O1531" s="8" t="inlineStr">
        <is>
          <t>68500</t>
        </is>
      </c>
      <c r="P1531" s="5" t="inlineStr">
        <is>
          <t>10</t>
        </is>
      </c>
      <c r="Q1531" s="5" t="inlineStr">
        <is>
          <t>4</t>
        </is>
      </c>
      <c r="R1531" s="5" t="inlineStr">
        <is>
          <t>2</t>
        </is>
      </c>
      <c r="S1531" s="5" t="inlineStr">
        <is>
          <t>34</t>
        </is>
      </c>
      <c r="T1531" s="5" t="inlineStr">
        <is>
          <t>1</t>
        </is>
      </c>
      <c r="U1531" s="5" t="inlineStr">
        <is>
          <t>OK</t>
        </is>
      </c>
    </row>
    <row r="1532">
      <c r="A1532" s="5" t="inlineStr">
        <is>
          <t>E00133</t>
        </is>
      </c>
      <c r="B1532" s="5" t="inlineStr">
        <is>
          <t>Unknown</t>
        </is>
      </c>
      <c r="C1532" s="6" t="inlineStr">
        <is>
          <t>37</t>
        </is>
      </c>
      <c r="D1532" s="5" t="inlineStr">
        <is>
          <t>Married</t>
        </is>
      </c>
      <c r="E1532" s="5" t="inlineStr">
        <is>
          <t>Bachelor</t>
        </is>
      </c>
      <c r="F1532" s="5" t="inlineStr">
        <is>
          <t>Sales</t>
        </is>
      </c>
      <c r="G1532" s="5" t="inlineStr">
        <is>
          <t>Sales Executive</t>
        </is>
      </c>
      <c r="H1532" s="5" t="inlineStr">
        <is>
          <t>3</t>
        </is>
      </c>
      <c r="I1532" s="5" t="inlineStr">
        <is>
          <t>Bengaluru</t>
        </is>
      </c>
      <c r="J1532" s="5" t="inlineStr">
        <is>
          <t>Full-Time</t>
        </is>
      </c>
      <c r="K1532" s="7" t="n">
        <v>45926</v>
      </c>
      <c r="L1532" s="7" t="inlineStr"/>
      <c r="M1532" s="5" t="inlineStr">
        <is>
          <t>Yes</t>
        </is>
      </c>
      <c r="N1532" s="5" t="inlineStr"/>
      <c r="O1532" s="8" t="inlineStr">
        <is>
          <t>77500</t>
        </is>
      </c>
      <c r="P1532" s="5" t="inlineStr">
        <is>
          <t>0</t>
        </is>
      </c>
      <c r="Q1532" s="5" t="inlineStr">
        <is>
          <t>4</t>
        </is>
      </c>
      <c r="R1532" s="5" t="inlineStr">
        <is>
          <t>8</t>
        </is>
      </c>
      <c r="S1532" s="5" t="inlineStr">
        <is>
          <t>3</t>
        </is>
      </c>
      <c r="T1532" s="5" t="inlineStr">
        <is>
          <t>3</t>
        </is>
      </c>
      <c r="U1532" s="5" t="inlineStr">
        <is>
          <t>Bad gender</t>
        </is>
      </c>
    </row>
    <row r="1533">
      <c r="A1533" s="5" t="inlineStr">
        <is>
          <t>E02725</t>
        </is>
      </c>
      <c r="B1533" s="5" t="inlineStr">
        <is>
          <t>male</t>
        </is>
      </c>
      <c r="C1533" s="6" t="inlineStr">
        <is>
          <t>29</t>
        </is>
      </c>
      <c r="D1533" s="5" t="inlineStr">
        <is>
          <t>Married</t>
        </is>
      </c>
      <c r="E1533" s="5" t="inlineStr">
        <is>
          <t>Diploma</t>
        </is>
      </c>
      <c r="F1533" s="5" t="inlineStr">
        <is>
          <t>Sales</t>
        </is>
      </c>
      <c r="G1533" s="5" t="inlineStr">
        <is>
          <t>Sales Executive</t>
        </is>
      </c>
      <c r="H1533" s="5" t="inlineStr">
        <is>
          <t>3</t>
        </is>
      </c>
      <c r="I1533" s="5" t="inlineStr">
        <is>
          <t>Chennai</t>
        </is>
      </c>
      <c r="J1533" s="5" t="inlineStr">
        <is>
          <t>Full-Time</t>
        </is>
      </c>
      <c r="K1533" s="7" t="n">
        <v>45690</v>
      </c>
      <c r="L1533" s="7" t="inlineStr"/>
      <c r="M1533" s="5" t="inlineStr">
        <is>
          <t>Yes</t>
        </is>
      </c>
      <c r="N1533" s="5" t="inlineStr"/>
      <c r="O1533" s="8" t="inlineStr">
        <is>
          <t>91000</t>
        </is>
      </c>
      <c r="P1533" s="5" t="inlineStr">
        <is>
          <t>10</t>
        </is>
      </c>
      <c r="Q1533" s="5" t="inlineStr">
        <is>
          <t>3</t>
        </is>
      </c>
      <c r="R1533" s="5" t="inlineStr">
        <is>
          <t>4</t>
        </is>
      </c>
      <c r="S1533" s="5" t="inlineStr">
        <is>
          <t>11</t>
        </is>
      </c>
      <c r="T1533" s="5" t="inlineStr">
        <is>
          <t>3</t>
        </is>
      </c>
      <c r="U1533" s="5" t="inlineStr">
        <is>
          <t>OK</t>
        </is>
      </c>
    </row>
    <row r="1534">
      <c r="A1534" s="5" t="inlineStr">
        <is>
          <t>E00507</t>
        </is>
      </c>
      <c r="B1534" s="5" t="inlineStr">
        <is>
          <t>Female</t>
        </is>
      </c>
      <c r="C1534" s="6" t="inlineStr">
        <is>
          <t>31</t>
        </is>
      </c>
      <c r="D1534" s="5" t="inlineStr">
        <is>
          <t>Married</t>
        </is>
      </c>
      <c r="E1534" s="5" t="inlineStr">
        <is>
          <t>Master</t>
        </is>
      </c>
      <c r="F1534" s="5" t="inlineStr">
        <is>
          <t>Customer Support</t>
        </is>
      </c>
      <c r="G1534" s="5" t="inlineStr">
        <is>
          <t>Escalation Specialist</t>
        </is>
      </c>
      <c r="H1534" s="5" t="inlineStr">
        <is>
          <t>2</t>
        </is>
      </c>
      <c r="I1534" s="5" t="inlineStr">
        <is>
          <t>Chennai</t>
        </is>
      </c>
      <c r="J1534" s="5" t="inlineStr">
        <is>
          <t>Full-Time</t>
        </is>
      </c>
      <c r="K1534" s="7" t="n">
        <v>45309</v>
      </c>
      <c r="L1534" s="7" t="n">
        <v>45383</v>
      </c>
      <c r="M1534" s="5" t="inlineStr">
        <is>
          <t>No</t>
        </is>
      </c>
      <c r="N1534" s="5" t="inlineStr">
        <is>
          <t>Relocation</t>
        </is>
      </c>
      <c r="O1534" s="8" t="inlineStr">
        <is>
          <t>69000</t>
        </is>
      </c>
      <c r="P1534" s="5" t="inlineStr">
        <is>
          <t>15</t>
        </is>
      </c>
      <c r="Q1534" s="5" t="inlineStr">
        <is>
          <t>4</t>
        </is>
      </c>
      <c r="R1534" s="5" t="inlineStr">
        <is>
          <t>6</t>
        </is>
      </c>
      <c r="S1534" s="5" t="inlineStr">
        <is>
          <t>2</t>
        </is>
      </c>
      <c r="T1534" s="5" t="inlineStr">
        <is>
          <t>0</t>
        </is>
      </c>
      <c r="U1534" s="5" t="inlineStr">
        <is>
          <t>OK</t>
        </is>
      </c>
    </row>
    <row r="1535">
      <c r="A1535" s="5" t="inlineStr">
        <is>
          <t>E02272</t>
        </is>
      </c>
      <c r="B1535" s="5" t="inlineStr">
        <is>
          <t>Female</t>
        </is>
      </c>
      <c r="C1535" s="6" t="inlineStr">
        <is>
          <t>39</t>
        </is>
      </c>
      <c r="D1535" s="5" t="inlineStr">
        <is>
          <t>Married</t>
        </is>
      </c>
      <c r="E1535" s="5" t="inlineStr">
        <is>
          <t>Diploma</t>
        </is>
      </c>
      <c r="F1535" s="5" t="inlineStr">
        <is>
          <t>Marketing</t>
        </is>
      </c>
      <c r="G1535" s="5" t="inlineStr">
        <is>
          <t>Marketing Analyst</t>
        </is>
      </c>
      <c r="H1535" s="5" t="inlineStr">
        <is>
          <t>7</t>
        </is>
      </c>
      <c r="I1535" s="5" t="inlineStr">
        <is>
          <t>Hyderabad</t>
        </is>
      </c>
      <c r="J1535" s="5" t="inlineStr">
        <is>
          <t>Full-Time</t>
        </is>
      </c>
      <c r="K1535" s="7" t="n">
        <v>44557</v>
      </c>
      <c r="L1535" s="7" t="inlineStr"/>
      <c r="M1535" s="5" t="inlineStr">
        <is>
          <t>Yes</t>
        </is>
      </c>
      <c r="N1535" s="5" t="inlineStr"/>
      <c r="O1535" s="8" t="inlineStr">
        <is>
          <t>122500</t>
        </is>
      </c>
      <c r="P1535" s="5" t="inlineStr">
        <is>
          <t>0</t>
        </is>
      </c>
      <c r="Q1535" s="5" t="inlineStr">
        <is>
          <t>4</t>
        </is>
      </c>
      <c r="R1535" s="5" t="inlineStr">
        <is>
          <t>6</t>
        </is>
      </c>
      <c r="S1535" s="5" t="inlineStr">
        <is>
          <t>48</t>
        </is>
      </c>
      <c r="T1535" s="5" t="inlineStr">
        <is>
          <t>7</t>
        </is>
      </c>
      <c r="U1535" s="5" t="inlineStr">
        <is>
          <t>OK</t>
        </is>
      </c>
    </row>
    <row r="1536">
      <c r="A1536" s="5" t="inlineStr">
        <is>
          <t>E02294</t>
        </is>
      </c>
      <c r="B1536" s="5" t="inlineStr">
        <is>
          <t>Male</t>
        </is>
      </c>
      <c r="C1536" s="6" t="inlineStr">
        <is>
          <t>30</t>
        </is>
      </c>
      <c r="D1536" s="5" t="inlineStr">
        <is>
          <t>Married</t>
        </is>
      </c>
      <c r="E1536" s="5" t="inlineStr">
        <is>
          <t>Diploma</t>
        </is>
      </c>
      <c r="F1536" s="5" t="inlineStr">
        <is>
          <t>Research &amp; Development</t>
        </is>
      </c>
      <c r="G1536" s="5" t="inlineStr">
        <is>
          <t>Data Scientist</t>
        </is>
      </c>
      <c r="H1536" s="5" t="inlineStr">
        <is>
          <t>1</t>
        </is>
      </c>
      <c r="I1536" s="5" t="inlineStr">
        <is>
          <t>Mumbai</t>
        </is>
      </c>
      <c r="J1536" s="5" t="inlineStr">
        <is>
          <t>Full-Time</t>
        </is>
      </c>
      <c r="K1536" s="7" t="n">
        <v>44252</v>
      </c>
      <c r="L1536" s="7" t="inlineStr"/>
      <c r="M1536" s="5" t="inlineStr">
        <is>
          <t>Yes</t>
        </is>
      </c>
      <c r="N1536" s="5" t="inlineStr"/>
      <c r="O1536" s="8" t="inlineStr">
        <is>
          <t>116000</t>
        </is>
      </c>
      <c r="P1536" s="5" t="inlineStr">
        <is>
          <t>15</t>
        </is>
      </c>
      <c r="Q1536" s="5" t="inlineStr">
        <is>
          <t>4</t>
        </is>
      </c>
      <c r="R1536" s="5" t="inlineStr">
        <is>
          <t>5</t>
        </is>
      </c>
      <c r="S1536" s="5" t="inlineStr">
        <is>
          <t>59</t>
        </is>
      </c>
      <c r="T1536" s="5" t="inlineStr">
        <is>
          <t>12</t>
        </is>
      </c>
      <c r="U1536" s="5" t="inlineStr">
        <is>
          <t>OK</t>
        </is>
      </c>
    </row>
    <row r="1537">
      <c r="A1537" s="5" t="inlineStr">
        <is>
          <t>E00739</t>
        </is>
      </c>
      <c r="B1537" s="5" t="inlineStr">
        <is>
          <t>Male</t>
        </is>
      </c>
      <c r="C1537" s="6" t="inlineStr">
        <is>
          <t>28</t>
        </is>
      </c>
      <c r="D1537" s="5" t="inlineStr">
        <is>
          <t>Married</t>
        </is>
      </c>
      <c r="E1537" s="5" t="inlineStr">
        <is>
          <t>Master</t>
        </is>
      </c>
      <c r="F1537" s="5" t="inlineStr">
        <is>
          <t>Sales</t>
        </is>
      </c>
      <c r="G1537" s="5" t="inlineStr">
        <is>
          <t>Sales Executive</t>
        </is>
      </c>
      <c r="H1537" s="5" t="inlineStr">
        <is>
          <t>2</t>
        </is>
      </c>
      <c r="I1537" s="5" t="inlineStr">
        <is>
          <t>Remote</t>
        </is>
      </c>
      <c r="J1537" s="5" t="inlineStr">
        <is>
          <t>Full-Time</t>
        </is>
      </c>
      <c r="K1537" s="7" t="n">
        <v>45593</v>
      </c>
      <c r="L1537" s="7" t="n">
        <v>45693</v>
      </c>
      <c r="M1537" s="5" t="inlineStr">
        <is>
          <t>No</t>
        </is>
      </c>
      <c r="N1537" s="5" t="inlineStr">
        <is>
          <t>Resigned</t>
        </is>
      </c>
      <c r="O1537" s="8" t="inlineStr">
        <is>
          <t>94000</t>
        </is>
      </c>
      <c r="P1537" s="5" t="inlineStr">
        <is>
          <t>5</t>
        </is>
      </c>
      <c r="Q1537" s="5" t="inlineStr">
        <is>
          <t>4</t>
        </is>
      </c>
      <c r="R1537" s="5" t="inlineStr">
        <is>
          <t>7</t>
        </is>
      </c>
      <c r="S1537" s="5" t="inlineStr">
        <is>
          <t>3</t>
        </is>
      </c>
      <c r="T1537" s="5" t="inlineStr">
        <is>
          <t>0</t>
        </is>
      </c>
      <c r="U1537" s="5" t="inlineStr">
        <is>
          <t>OK</t>
        </is>
      </c>
    </row>
    <row r="1538">
      <c r="A1538" s="5" t="inlineStr">
        <is>
          <t>E00149</t>
        </is>
      </c>
      <c r="B1538" s="5" t="inlineStr">
        <is>
          <t>Male</t>
        </is>
      </c>
      <c r="C1538" s="6" t="inlineStr">
        <is>
          <t>34</t>
        </is>
      </c>
      <c r="D1538" s="5" t="inlineStr">
        <is>
          <t>Married</t>
        </is>
      </c>
      <c r="E1538" s="5" t="inlineStr">
        <is>
          <t>Diploma</t>
        </is>
      </c>
      <c r="F1538" s="5" t="inlineStr">
        <is>
          <t>Research &amp; Development</t>
        </is>
      </c>
      <c r="G1538" s="5" t="inlineStr">
        <is>
          <t>Data Scientist</t>
        </is>
      </c>
      <c r="H1538" s="5" t="inlineStr">
        <is>
          <t>4</t>
        </is>
      </c>
      <c r="I1538" s="5" t="inlineStr">
        <is>
          <t>Remote</t>
        </is>
      </c>
      <c r="J1538" s="5" t="inlineStr">
        <is>
          <t>Full-Time</t>
        </is>
      </c>
      <c r="K1538" s="7" t="n">
        <v>45906</v>
      </c>
      <c r="L1538" s="7" t="inlineStr"/>
      <c r="M1538" s="5" t="inlineStr">
        <is>
          <t>Yes</t>
        </is>
      </c>
      <c r="N1538" s="5" t="inlineStr"/>
      <c r="O1538" s="8" t="inlineStr">
        <is>
          <t>172500</t>
        </is>
      </c>
      <c r="P1538" s="5" t="inlineStr">
        <is>
          <t>15</t>
        </is>
      </c>
      <c r="Q1538" s="5" t="inlineStr">
        <is>
          <t>4</t>
        </is>
      </c>
      <c r="R1538" s="5" t="inlineStr">
        <is>
          <t>7</t>
        </is>
      </c>
      <c r="S1538" s="5" t="inlineStr">
        <is>
          <t>3</t>
        </is>
      </c>
      <c r="T1538" s="5" t="inlineStr">
        <is>
          <t>7</t>
        </is>
      </c>
      <c r="U1538" s="5" t="inlineStr">
        <is>
          <t>OK</t>
        </is>
      </c>
    </row>
    <row r="1539">
      <c r="A1539" s="5" t="inlineStr">
        <is>
          <t>E02065</t>
        </is>
      </c>
      <c r="B1539" s="5" t="inlineStr">
        <is>
          <t>Female</t>
        </is>
      </c>
      <c r="C1539" s="6" t="inlineStr">
        <is>
          <t>45</t>
        </is>
      </c>
      <c r="D1539" s="5" t="inlineStr">
        <is>
          <t>Married</t>
        </is>
      </c>
      <c r="E1539" s="5" t="inlineStr">
        <is>
          <t>Diploma</t>
        </is>
      </c>
      <c r="F1539" s="5" t="inlineStr">
        <is>
          <t>Finance</t>
        </is>
      </c>
      <c r="G1539" s="5" t="inlineStr">
        <is>
          <t>Accountant</t>
        </is>
      </c>
      <c r="H1539" s="5" t="inlineStr">
        <is>
          <t>7</t>
        </is>
      </c>
      <c r="I1539" s="5" t="inlineStr">
        <is>
          <t>Mumbai</t>
        </is>
      </c>
      <c r="J1539" s="5" t="inlineStr">
        <is>
          <t>Full-Time</t>
        </is>
      </c>
      <c r="K1539" s="7" t="n">
        <v>44139</v>
      </c>
      <c r="L1539" s="7" t="inlineStr"/>
      <c r="M1539" s="5" t="inlineStr">
        <is>
          <t>Yes</t>
        </is>
      </c>
      <c r="N1539" s="5" t="inlineStr"/>
      <c r="O1539" s="8" t="inlineStr">
        <is>
          <t>162500</t>
        </is>
      </c>
      <c r="P1539" s="5" t="inlineStr">
        <is>
          <t>0</t>
        </is>
      </c>
      <c r="Q1539" s="5" t="inlineStr">
        <is>
          <t>4</t>
        </is>
      </c>
      <c r="R1539" s="5" t="inlineStr">
        <is>
          <t>7</t>
        </is>
      </c>
      <c r="S1539" s="5" t="inlineStr">
        <is>
          <t>62</t>
        </is>
      </c>
      <c r="T1539" s="5" t="inlineStr">
        <is>
          <t>7</t>
        </is>
      </c>
      <c r="U1539" s="5" t="inlineStr">
        <is>
          <t>OK</t>
        </is>
      </c>
    </row>
    <row r="1540">
      <c r="A1540" s="5" t="inlineStr">
        <is>
          <t>E00175</t>
        </is>
      </c>
      <c r="B1540" s="5" t="inlineStr">
        <is>
          <t>Female</t>
        </is>
      </c>
      <c r="C1540" s="6" t="inlineStr">
        <is>
          <t>35</t>
        </is>
      </c>
      <c r="D1540" s="5" t="inlineStr">
        <is>
          <t>Married</t>
        </is>
      </c>
      <c r="E1540" s="5" t="inlineStr">
        <is>
          <t>Master</t>
        </is>
      </c>
      <c r="F1540" s="5" t="inlineStr">
        <is>
          <t>Customer Support</t>
        </is>
      </c>
      <c r="G1540" s="5" t="inlineStr">
        <is>
          <t>Support Agent</t>
        </is>
      </c>
      <c r="H1540" s="5" t="inlineStr">
        <is>
          <t>6</t>
        </is>
      </c>
      <c r="I1540" s="5" t="inlineStr">
        <is>
          <t>Hyderabad</t>
        </is>
      </c>
      <c r="J1540" s="5" t="inlineStr">
        <is>
          <t>Full-Time</t>
        </is>
      </c>
      <c r="K1540" s="7" t="n">
        <v>45532</v>
      </c>
      <c r="L1540" s="7" t="inlineStr"/>
      <c r="M1540" s="5" t="inlineStr">
        <is>
          <t>Yes</t>
        </is>
      </c>
      <c r="N1540" s="5" t="inlineStr"/>
      <c r="O1540" s="8" t="inlineStr">
        <is>
          <t>96500</t>
        </is>
      </c>
      <c r="P1540" s="5" t="inlineStr">
        <is>
          <t>5</t>
        </is>
      </c>
      <c r="Q1540" s="5" t="inlineStr">
        <is>
          <t>2</t>
        </is>
      </c>
      <c r="R1540" s="5" t="inlineStr">
        <is>
          <t>7</t>
        </is>
      </c>
      <c r="S1540" s="5" t="inlineStr">
        <is>
          <t>16</t>
        </is>
      </c>
      <c r="T1540" s="5" t="inlineStr">
        <is>
          <t>0</t>
        </is>
      </c>
      <c r="U1540" s="5" t="inlineStr">
        <is>
          <t>OK</t>
        </is>
      </c>
    </row>
    <row r="1541">
      <c r="A1541" s="5" t="inlineStr">
        <is>
          <t>E00439</t>
        </is>
      </c>
      <c r="B1541" s="5" t="inlineStr">
        <is>
          <t>Male</t>
        </is>
      </c>
      <c r="C1541" s="6" t="inlineStr">
        <is>
          <t>27</t>
        </is>
      </c>
      <c r="D1541" s="5" t="inlineStr">
        <is>
          <t>Single</t>
        </is>
      </c>
      <c r="E1541" s="5" t="inlineStr">
        <is>
          <t>High School</t>
        </is>
      </c>
      <c r="F1541" s="5" t="inlineStr">
        <is>
          <t>Customer Support</t>
        </is>
      </c>
      <c r="G1541" s="5" t="inlineStr">
        <is>
          <t>Escalation Specialist</t>
        </is>
      </c>
      <c r="H1541" s="5" t="inlineStr">
        <is>
          <t>3</t>
        </is>
      </c>
      <c r="I1541" s="5" t="inlineStr">
        <is>
          <t>Hyderabad</t>
        </is>
      </c>
      <c r="J1541" s="5" t="inlineStr">
        <is>
          <t>Full-Time</t>
        </is>
      </c>
      <c r="K1541" s="7" t="n">
        <v>45309</v>
      </c>
      <c r="L1541" s="7" t="inlineStr"/>
      <c r="M1541" s="5" t="inlineStr">
        <is>
          <t>Yes</t>
        </is>
      </c>
      <c r="N1541" s="5" t="inlineStr"/>
      <c r="O1541" s="8" t="inlineStr">
        <is>
          <t>94500</t>
        </is>
      </c>
      <c r="P1541" s="5" t="inlineStr">
        <is>
          <t>0</t>
        </is>
      </c>
      <c r="Q1541" s="5" t="inlineStr">
        <is>
          <t>2</t>
        </is>
      </c>
      <c r="R1541" s="5" t="inlineStr">
        <is>
          <t>6</t>
        </is>
      </c>
      <c r="S1541" s="5" t="inlineStr">
        <is>
          <t>23</t>
        </is>
      </c>
      <c r="T1541" s="5" t="inlineStr">
        <is>
          <t>5</t>
        </is>
      </c>
      <c r="U1541" s="5" t="inlineStr">
        <is>
          <t>OK</t>
        </is>
      </c>
    </row>
    <row r="1542">
      <c r="A1542" s="5" t="inlineStr">
        <is>
          <t>E00521</t>
        </is>
      </c>
      <c r="B1542" s="5" t="inlineStr">
        <is>
          <t>Male</t>
        </is>
      </c>
      <c r="C1542" s="6" t="inlineStr">
        <is>
          <t>38</t>
        </is>
      </c>
      <c r="D1542" s="5" t="inlineStr">
        <is>
          <t>Single</t>
        </is>
      </c>
      <c r="E1542" s="5" t="inlineStr">
        <is>
          <t>Master</t>
        </is>
      </c>
      <c r="F1542" s="5" t="inlineStr">
        <is>
          <t>Operations</t>
        </is>
      </c>
      <c r="G1542" s="5" t="inlineStr">
        <is>
          <t>Operations Analyst</t>
        </is>
      </c>
      <c r="H1542" s="5" t="inlineStr">
        <is>
          <t>3</t>
        </is>
      </c>
      <c r="I1542" s="5" t="inlineStr">
        <is>
          <t>Bengaluru</t>
        </is>
      </c>
      <c r="J1542" s="5" t="inlineStr">
        <is>
          <t>Full-Time</t>
        </is>
      </c>
      <c r="K1542" s="7" t="n">
        <v>44263</v>
      </c>
      <c r="L1542" s="7" t="inlineStr"/>
      <c r="M1542" s="5" t="inlineStr">
        <is>
          <t>Yes</t>
        </is>
      </c>
      <c r="N1542" s="5" t="inlineStr"/>
      <c r="O1542" s="8" t="inlineStr">
        <is>
          <t>100500</t>
        </is>
      </c>
      <c r="P1542" s="5" t="inlineStr">
        <is>
          <t>0</t>
        </is>
      </c>
      <c r="Q1542" s="5" t="inlineStr">
        <is>
          <t>4</t>
        </is>
      </c>
      <c r="R1542" s="5" t="inlineStr">
        <is>
          <t>6</t>
        </is>
      </c>
      <c r="S1542" s="5" t="inlineStr">
        <is>
          <t>58</t>
        </is>
      </c>
      <c r="T1542" s="5" t="inlineStr">
        <is>
          <t>8</t>
        </is>
      </c>
      <c r="U1542" s="5" t="inlineStr">
        <is>
          <t>OK</t>
        </is>
      </c>
    </row>
    <row r="1543">
      <c r="A1543" s="5" t="inlineStr">
        <is>
          <t>E00950</t>
        </is>
      </c>
      <c r="B1543" s="5" t="inlineStr">
        <is>
          <t>Male</t>
        </is>
      </c>
      <c r="C1543" s="6" t="inlineStr">
        <is>
          <t>42</t>
        </is>
      </c>
      <c r="D1543" s="5" t="inlineStr">
        <is>
          <t>Married</t>
        </is>
      </c>
      <c r="E1543" s="5" t="inlineStr">
        <is>
          <t>PhD</t>
        </is>
      </c>
      <c r="F1543" s="5" t="inlineStr">
        <is>
          <t>IT</t>
        </is>
      </c>
      <c r="G1543" s="5" t="inlineStr">
        <is>
          <t>IT Support</t>
        </is>
      </c>
      <c r="H1543" s="5" t="inlineStr">
        <is>
          <t>5</t>
        </is>
      </c>
      <c r="I1543" s="5" t="inlineStr">
        <is>
          <t>Remote</t>
        </is>
      </c>
      <c r="J1543" s="5" t="inlineStr">
        <is>
          <t>Full-Time</t>
        </is>
      </c>
      <c r="K1543" s="7" t="n">
        <v>44062</v>
      </c>
      <c r="L1543" s="7" t="inlineStr"/>
      <c r="M1543" s="5" t="inlineStr">
        <is>
          <t>Yes</t>
        </is>
      </c>
      <c r="N1543" s="5" t="inlineStr"/>
      <c r="O1543" s="8" t="inlineStr">
        <is>
          <t>157000</t>
        </is>
      </c>
      <c r="P1543" s="5" t="inlineStr">
        <is>
          <t>0</t>
        </is>
      </c>
      <c r="Q1543" s="5" t="inlineStr">
        <is>
          <t>4</t>
        </is>
      </c>
      <c r="R1543" s="5" t="inlineStr">
        <is>
          <t>6</t>
        </is>
      </c>
      <c r="S1543" s="5" t="inlineStr">
        <is>
          <t>65</t>
        </is>
      </c>
      <c r="T1543" s="5" t="inlineStr">
        <is>
          <t>3</t>
        </is>
      </c>
      <c r="U1543" s="5" t="inlineStr">
        <is>
          <t>OK</t>
        </is>
      </c>
    </row>
    <row r="1544">
      <c r="A1544" s="5" t="inlineStr">
        <is>
          <t>E02862</t>
        </is>
      </c>
      <c r="B1544" s="5" t="inlineStr">
        <is>
          <t>Female</t>
        </is>
      </c>
      <c r="C1544" s="6" t="inlineStr">
        <is>
          <t>27</t>
        </is>
      </c>
      <c r="D1544" s="5" t="inlineStr">
        <is>
          <t>Single</t>
        </is>
      </c>
      <c r="E1544" s="5" t="inlineStr">
        <is>
          <t>Master</t>
        </is>
      </c>
      <c r="F1544" s="5" t="inlineStr">
        <is>
          <t>Customer Support</t>
        </is>
      </c>
      <c r="G1544" s="5" t="inlineStr">
        <is>
          <t>Support Agent</t>
        </is>
      </c>
      <c r="H1544" s="5" t="inlineStr">
        <is>
          <t>3</t>
        </is>
      </c>
      <c r="I1544" s="5" t="inlineStr">
        <is>
          <t>Delhi</t>
        </is>
      </c>
      <c r="J1544" s="5" t="inlineStr">
        <is>
          <t>Full-Time</t>
        </is>
      </c>
      <c r="K1544" s="7" t="n">
        <v>44256</v>
      </c>
      <c r="L1544" s="7" t="n">
        <v>44365</v>
      </c>
      <c r="M1544" s="5" t="inlineStr">
        <is>
          <t>No</t>
        </is>
      </c>
      <c r="N1544" s="5" t="inlineStr">
        <is>
          <t>Resigned</t>
        </is>
      </c>
      <c r="O1544" s="8" t="inlineStr">
        <is>
          <t>86500</t>
        </is>
      </c>
      <c r="P1544" s="5" t="inlineStr">
        <is>
          <t>15</t>
        </is>
      </c>
      <c r="Q1544" s="5" t="inlineStr">
        <is>
          <t>3</t>
        </is>
      </c>
      <c r="R1544" s="5" t="inlineStr">
        <is>
          <t>7</t>
        </is>
      </c>
      <c r="S1544" s="5" t="inlineStr">
        <is>
          <t>3</t>
        </is>
      </c>
      <c r="T1544" s="5" t="inlineStr">
        <is>
          <t>0</t>
        </is>
      </c>
      <c r="U1544" s="5" t="inlineStr">
        <is>
          <t>OK</t>
        </is>
      </c>
    </row>
    <row r="1545">
      <c r="A1545" s="5" t="inlineStr">
        <is>
          <t>E00769</t>
        </is>
      </c>
      <c r="B1545" s="5" t="inlineStr">
        <is>
          <t>Male</t>
        </is>
      </c>
      <c r="C1545" s="6" t="inlineStr">
        <is>
          <t>30</t>
        </is>
      </c>
      <c r="D1545" s="5" t="inlineStr">
        <is>
          <t>Single</t>
        </is>
      </c>
      <c r="E1545" s="5" t="inlineStr">
        <is>
          <t>High School</t>
        </is>
      </c>
      <c r="F1545" s="5" t="inlineStr">
        <is>
          <t>Finance</t>
        </is>
      </c>
      <c r="G1545" s="5" t="inlineStr">
        <is>
          <t>Accountant</t>
        </is>
      </c>
      <c r="H1545" s="5" t="inlineStr">
        <is>
          <t>3</t>
        </is>
      </c>
      <c r="I1545" s="5" t="inlineStr">
        <is>
          <t>Bengaluru</t>
        </is>
      </c>
      <c r="J1545" s="5" t="inlineStr">
        <is>
          <t>Full-Time</t>
        </is>
      </c>
      <c r="K1545" s="7" t="n">
        <v>44432</v>
      </c>
      <c r="L1545" s="7" t="inlineStr"/>
      <c r="M1545" s="5" t="inlineStr">
        <is>
          <t>Yes</t>
        </is>
      </c>
      <c r="N1545" s="5" t="inlineStr"/>
      <c r="O1545" s="8" t="inlineStr">
        <is>
          <t>127500</t>
        </is>
      </c>
      <c r="P1545" s="5" t="inlineStr">
        <is>
          <t>0</t>
        </is>
      </c>
      <c r="Q1545" s="5" t="inlineStr">
        <is>
          <t>4</t>
        </is>
      </c>
      <c r="R1545" s="5" t="inlineStr">
        <is>
          <t>7</t>
        </is>
      </c>
      <c r="S1545" s="5" t="inlineStr">
        <is>
          <t>53</t>
        </is>
      </c>
      <c r="T1545" s="5" t="inlineStr">
        <is>
          <t>13</t>
        </is>
      </c>
      <c r="U1545" s="5" t="inlineStr">
        <is>
          <t>OK</t>
        </is>
      </c>
    </row>
    <row r="1546">
      <c r="A1546" s="5" t="inlineStr">
        <is>
          <t>E01496</t>
        </is>
      </c>
      <c r="B1546" s="5" t="inlineStr">
        <is>
          <t>Male</t>
        </is>
      </c>
      <c r="C1546" s="6" t="inlineStr">
        <is>
          <t>42</t>
        </is>
      </c>
      <c r="D1546" s="5" t="inlineStr">
        <is>
          <t>Married</t>
        </is>
      </c>
      <c r="E1546" s="5" t="inlineStr">
        <is>
          <t>Diploma</t>
        </is>
      </c>
      <c r="F1546" s="5" t="inlineStr">
        <is>
          <t>IT</t>
        </is>
      </c>
      <c r="G1546" s="5" t="inlineStr">
        <is>
          <t>IT Support</t>
        </is>
      </c>
      <c r="H1546" s="5" t="inlineStr">
        <is>
          <t>7</t>
        </is>
      </c>
      <c r="I1546" s="5" t="inlineStr">
        <is>
          <t>Hyderabad</t>
        </is>
      </c>
      <c r="J1546" s="5" t="inlineStr">
        <is>
          <t>Full-Time</t>
        </is>
      </c>
      <c r="K1546" s="7" t="n">
        <v>44287</v>
      </c>
      <c r="L1546" s="7" t="inlineStr"/>
      <c r="M1546" s="5" t="inlineStr">
        <is>
          <t>Yes</t>
        </is>
      </c>
      <c r="N1546" s="5" t="inlineStr"/>
      <c r="O1546" s="8" t="inlineStr">
        <is>
          <t>206500</t>
        </is>
      </c>
      <c r="P1546" s="5" t="inlineStr">
        <is>
          <t>10</t>
        </is>
      </c>
      <c r="Q1546" s="5" t="inlineStr">
        <is>
          <t>4</t>
        </is>
      </c>
      <c r="R1546" s="5" t="inlineStr">
        <is>
          <t>6</t>
        </is>
      </c>
      <c r="S1546" s="5" t="inlineStr">
        <is>
          <t>57</t>
        </is>
      </c>
      <c r="T1546" s="5" t="inlineStr">
        <is>
          <t>2</t>
        </is>
      </c>
      <c r="U1546" s="5" t="inlineStr">
        <is>
          <t>OK</t>
        </is>
      </c>
    </row>
    <row r="1547">
      <c r="A1547" s="5" t="inlineStr">
        <is>
          <t>E00416</t>
        </is>
      </c>
      <c r="B1547" s="5" t="inlineStr">
        <is>
          <t>Female</t>
        </is>
      </c>
      <c r="C1547" s="6" t="inlineStr">
        <is>
          <t>25</t>
        </is>
      </c>
      <c r="D1547" s="5" t="inlineStr">
        <is>
          <t>Divorced</t>
        </is>
      </c>
      <c r="E1547" s="5" t="inlineStr">
        <is>
          <t>High School</t>
        </is>
      </c>
      <c r="F1547" s="5" t="inlineStr">
        <is>
          <t>Operations</t>
        </is>
      </c>
      <c r="G1547" s="5" t="inlineStr">
        <is>
          <t>Logistics Coordinator</t>
        </is>
      </c>
      <c r="H1547" s="5" t="inlineStr">
        <is>
          <t>1</t>
        </is>
      </c>
      <c r="I1547" s="5" t="inlineStr">
        <is>
          <t>Remote</t>
        </is>
      </c>
      <c r="J1547" s="5" t="inlineStr">
        <is>
          <t>Full-Time</t>
        </is>
      </c>
      <c r="K1547" s="7" t="n">
        <v>44086</v>
      </c>
      <c r="L1547" s="7" t="inlineStr"/>
      <c r="M1547" s="5" t="inlineStr">
        <is>
          <t>Yes</t>
        </is>
      </c>
      <c r="N1547" s="5" t="inlineStr"/>
      <c r="O1547" s="8" t="inlineStr">
        <is>
          <t>81000</t>
        </is>
      </c>
      <c r="P1547" s="5" t="inlineStr">
        <is>
          <t>5</t>
        </is>
      </c>
      <c r="Q1547" s="5" t="inlineStr">
        <is>
          <t>5</t>
        </is>
      </c>
      <c r="R1547" s="5" t="inlineStr">
        <is>
          <t>6</t>
        </is>
      </c>
      <c r="S1547" s="5" t="inlineStr">
        <is>
          <t>64</t>
        </is>
      </c>
      <c r="T1547" s="5" t="inlineStr">
        <is>
          <t>0</t>
        </is>
      </c>
      <c r="U1547" s="5" t="inlineStr">
        <is>
          <t>OK</t>
        </is>
      </c>
    </row>
    <row r="1548">
      <c r="A1548" s="5" t="inlineStr">
        <is>
          <t>E01104</t>
        </is>
      </c>
      <c r="B1548" s="5" t="inlineStr">
        <is>
          <t>Male</t>
        </is>
      </c>
      <c r="C1548" s="6" t="inlineStr">
        <is>
          <t>41</t>
        </is>
      </c>
      <c r="D1548" s="5" t="inlineStr">
        <is>
          <t>Married</t>
        </is>
      </c>
      <c r="E1548" s="5" t="inlineStr">
        <is>
          <t>Bachelor</t>
        </is>
      </c>
      <c r="F1548" s="5" t="inlineStr">
        <is>
          <t>Customer Support</t>
        </is>
      </c>
      <c r="G1548" s="5" t="inlineStr">
        <is>
          <t>Support Agent</t>
        </is>
      </c>
      <c r="H1548" s="5" t="inlineStr">
        <is>
          <t>5</t>
        </is>
      </c>
      <c r="I1548" s="5" t="inlineStr">
        <is>
          <t>Chennai</t>
        </is>
      </c>
      <c r="J1548" s="5" t="inlineStr">
        <is>
          <t>Full-Time</t>
        </is>
      </c>
      <c r="K1548" s="7" t="n">
        <v>44629</v>
      </c>
      <c r="L1548" s="7" t="n">
        <v>44732</v>
      </c>
      <c r="M1548" s="5" t="inlineStr">
        <is>
          <t>No</t>
        </is>
      </c>
      <c r="N1548" s="5" t="inlineStr">
        <is>
          <t>Resigned</t>
        </is>
      </c>
      <c r="O1548" s="8" t="inlineStr">
        <is>
          <t>69000</t>
        </is>
      </c>
      <c r="P1548" s="5" t="inlineStr">
        <is>
          <t>20</t>
        </is>
      </c>
      <c r="Q1548" s="5" t="inlineStr">
        <is>
          <t>4</t>
        </is>
      </c>
      <c r="R1548" s="5" t="inlineStr">
        <is>
          <t>10</t>
        </is>
      </c>
      <c r="S1548" s="5" t="inlineStr">
        <is>
          <t>3</t>
        </is>
      </c>
      <c r="T1548" s="5" t="inlineStr">
        <is>
          <t>3</t>
        </is>
      </c>
      <c r="U1548" s="5" t="inlineStr">
        <is>
          <t>OK</t>
        </is>
      </c>
    </row>
    <row r="1549">
      <c r="A1549" s="5" t="inlineStr">
        <is>
          <t>E01089</t>
        </is>
      </c>
      <c r="B1549" s="5" t="inlineStr">
        <is>
          <t>Female</t>
        </is>
      </c>
      <c r="C1549" s="6" t="inlineStr">
        <is>
          <t>28</t>
        </is>
      </c>
      <c r="D1549" s="5" t="inlineStr">
        <is>
          <t>Divorced</t>
        </is>
      </c>
      <c r="E1549" s="5" t="inlineStr">
        <is>
          <t>Master</t>
        </is>
      </c>
      <c r="F1549" s="5" t="inlineStr">
        <is>
          <t>IT</t>
        </is>
      </c>
      <c r="G1549" s="5" t="inlineStr">
        <is>
          <t>DevOps Engineer</t>
        </is>
      </c>
      <c r="H1549" s="5" t="inlineStr">
        <is>
          <t>2</t>
        </is>
      </c>
      <c r="I1549" s="5" t="inlineStr">
        <is>
          <t>Hyderabad</t>
        </is>
      </c>
      <c r="J1549" s="5" t="inlineStr">
        <is>
          <t>Full-Time</t>
        </is>
      </c>
      <c r="K1549" s="7" t="n">
        <v>44065</v>
      </c>
      <c r="L1549" s="7" t="inlineStr"/>
      <c r="M1549" s="5" t="inlineStr">
        <is>
          <t>Yes</t>
        </is>
      </c>
      <c r="N1549" s="5" t="inlineStr"/>
      <c r="O1549" s="8" t="inlineStr">
        <is>
          <t>126500</t>
        </is>
      </c>
      <c r="P1549" s="5" t="inlineStr">
        <is>
          <t>5</t>
        </is>
      </c>
      <c r="Q1549" s="5" t="inlineStr">
        <is>
          <t>3</t>
        </is>
      </c>
      <c r="R1549" s="5" t="inlineStr">
        <is>
          <t>7</t>
        </is>
      </c>
      <c r="S1549" s="5" t="inlineStr">
        <is>
          <t>65</t>
        </is>
      </c>
      <c r="T1549" s="5" t="inlineStr">
        <is>
          <t>2</t>
        </is>
      </c>
      <c r="U1549" s="5" t="inlineStr">
        <is>
          <t>OK</t>
        </is>
      </c>
    </row>
    <row r="1550">
      <c r="A1550" s="5" t="inlineStr">
        <is>
          <t>E01156</t>
        </is>
      </c>
      <c r="B1550" s="5" t="inlineStr">
        <is>
          <t>Female</t>
        </is>
      </c>
      <c r="C1550" s="6" t="inlineStr">
        <is>
          <t>31</t>
        </is>
      </c>
      <c r="D1550" s="5" t="inlineStr">
        <is>
          <t>Single</t>
        </is>
      </c>
      <c r="E1550" s="5" t="inlineStr">
        <is>
          <t>High School</t>
        </is>
      </c>
      <c r="F1550" s="5" t="inlineStr">
        <is>
          <t>Research &amp; Development</t>
        </is>
      </c>
      <c r="G1550" s="5" t="inlineStr">
        <is>
          <t>Research Scientist</t>
        </is>
      </c>
      <c r="H1550" s="5" t="inlineStr">
        <is>
          <t>1</t>
        </is>
      </c>
      <c r="I1550" s="5" t="inlineStr">
        <is>
          <t>Chennai</t>
        </is>
      </c>
      <c r="J1550" s="5" t="inlineStr">
        <is>
          <t>Full-Time</t>
        </is>
      </c>
      <c r="K1550" s="7" t="n">
        <v>44177</v>
      </c>
      <c r="L1550" s="7" t="inlineStr"/>
      <c r="M1550" s="5" t="inlineStr">
        <is>
          <t>Yes</t>
        </is>
      </c>
      <c r="N1550" s="5" t="inlineStr"/>
      <c r="O1550" s="8" t="inlineStr">
        <is>
          <t>109000</t>
        </is>
      </c>
      <c r="P1550" s="5" t="inlineStr">
        <is>
          <t>0</t>
        </is>
      </c>
      <c r="Q1550" s="5" t="inlineStr">
        <is>
          <t>2</t>
        </is>
      </c>
      <c r="R1550" s="5" t="inlineStr">
        <is>
          <t>7</t>
        </is>
      </c>
      <c r="S1550" s="5" t="inlineStr">
        <is>
          <t>61</t>
        </is>
      </c>
      <c r="T1550" s="5" t="inlineStr">
        <is>
          <t>1</t>
        </is>
      </c>
      <c r="U1550" s="5" t="inlineStr">
        <is>
          <t>OK</t>
        </is>
      </c>
    </row>
    <row r="1551">
      <c r="A1551" s="5" t="inlineStr">
        <is>
          <t>E01439</t>
        </is>
      </c>
      <c r="B1551" s="5" t="inlineStr">
        <is>
          <t>Male</t>
        </is>
      </c>
      <c r="C1551" s="6" t="inlineStr">
        <is>
          <t>31</t>
        </is>
      </c>
      <c r="D1551" s="5" t="inlineStr">
        <is>
          <t>Married</t>
        </is>
      </c>
      <c r="E1551" s="5" t="inlineStr">
        <is>
          <t>Master</t>
        </is>
      </c>
      <c r="F1551" s="5" t="inlineStr">
        <is>
          <t>IT</t>
        </is>
      </c>
      <c r="G1551" s="5" t="inlineStr">
        <is>
          <t>Software Engineer</t>
        </is>
      </c>
      <c r="H1551" s="5" t="inlineStr">
        <is>
          <t>2</t>
        </is>
      </c>
      <c r="I1551" s="5" t="inlineStr">
        <is>
          <t>Bengaluru</t>
        </is>
      </c>
      <c r="J1551" s="5" t="inlineStr">
        <is>
          <t>Contract</t>
        </is>
      </c>
      <c r="K1551" s="7" t="n">
        <v>45323</v>
      </c>
      <c r="L1551" s="7" t="inlineStr"/>
      <c r="M1551" s="5" t="inlineStr">
        <is>
          <t>Yes</t>
        </is>
      </c>
      <c r="N1551" s="5" t="inlineStr"/>
      <c r="O1551" s="8" t="inlineStr">
        <is>
          <t>139500</t>
        </is>
      </c>
      <c r="P1551" s="5" t="inlineStr">
        <is>
          <t>0</t>
        </is>
      </c>
      <c r="Q1551" s="5" t="inlineStr">
        <is>
          <t>3</t>
        </is>
      </c>
      <c r="R1551" s="5" t="inlineStr">
        <is>
          <t>3</t>
        </is>
      </c>
      <c r="S1551" s="5" t="inlineStr">
        <is>
          <t>23</t>
        </is>
      </c>
      <c r="T1551" s="5" t="inlineStr">
        <is>
          <t>14</t>
        </is>
      </c>
      <c r="U1551" s="5" t="inlineStr">
        <is>
          <t>OK</t>
        </is>
      </c>
    </row>
    <row r="1552">
      <c r="A1552" s="5" t="inlineStr">
        <is>
          <t>E00078</t>
        </is>
      </c>
      <c r="B1552" s="5" t="inlineStr">
        <is>
          <t>Male</t>
        </is>
      </c>
      <c r="C1552" s="6" t="inlineStr">
        <is>
          <t>36</t>
        </is>
      </c>
      <c r="D1552" s="5" t="inlineStr">
        <is>
          <t>Married</t>
        </is>
      </c>
      <c r="E1552" s="5" t="inlineStr">
        <is>
          <t>Master</t>
        </is>
      </c>
      <c r="F1552" s="5" t="inlineStr">
        <is>
          <t>Sales</t>
        </is>
      </c>
      <c r="G1552" s="5" t="inlineStr">
        <is>
          <t>Account Executive</t>
        </is>
      </c>
      <c r="H1552" s="5" t="inlineStr">
        <is>
          <t>3</t>
        </is>
      </c>
      <c r="I1552" s="5" t="inlineStr">
        <is>
          <t>Delhi</t>
        </is>
      </c>
      <c r="J1552" s="5" t="inlineStr">
        <is>
          <t>Full-Time</t>
        </is>
      </c>
      <c r="K1552" s="7" t="n">
        <v>45594</v>
      </c>
      <c r="L1552" s="7" t="inlineStr"/>
      <c r="M1552" s="5" t="inlineStr">
        <is>
          <t>Yes</t>
        </is>
      </c>
      <c r="N1552" s="5" t="inlineStr"/>
      <c r="O1552" s="8" t="inlineStr">
        <is>
          <t>125500</t>
        </is>
      </c>
      <c r="P1552" s="5" t="inlineStr">
        <is>
          <t>10</t>
        </is>
      </c>
      <c r="Q1552" s="5" t="inlineStr">
        <is>
          <t>3</t>
        </is>
      </c>
      <c r="R1552" s="5" t="inlineStr">
        <is>
          <t>8</t>
        </is>
      </c>
      <c r="S1552" s="5" t="inlineStr">
        <is>
          <t>14</t>
        </is>
      </c>
      <c r="T1552" s="5" t="inlineStr">
        <is>
          <t>6</t>
        </is>
      </c>
      <c r="U1552" s="5" t="inlineStr">
        <is>
          <t>OK</t>
        </is>
      </c>
    </row>
    <row r="1553">
      <c r="A1553" s="5" t="inlineStr">
        <is>
          <t>E01979</t>
        </is>
      </c>
      <c r="B1553" s="5" t="inlineStr">
        <is>
          <t>Male</t>
        </is>
      </c>
      <c r="C1553" s="6" t="inlineStr">
        <is>
          <t>38</t>
        </is>
      </c>
      <c r="D1553" s="5" t="inlineStr">
        <is>
          <t>Married</t>
        </is>
      </c>
      <c r="E1553" s="5" t="inlineStr">
        <is>
          <t>PhD</t>
        </is>
      </c>
      <c r="F1553" s="5" t="inlineStr">
        <is>
          <t>Operations</t>
        </is>
      </c>
      <c r="G1553" s="5" t="inlineStr">
        <is>
          <t>Quality Analyst</t>
        </is>
      </c>
      <c r="H1553" s="5" t="inlineStr">
        <is>
          <t>4</t>
        </is>
      </c>
      <c r="I1553" s="5" t="inlineStr">
        <is>
          <t>Bengaluru</t>
        </is>
      </c>
      <c r="J1553" s="5" t="inlineStr">
        <is>
          <t>Part-Time</t>
        </is>
      </c>
      <c r="K1553" s="7" t="n">
        <v>45277</v>
      </c>
      <c r="L1553" s="7" t="inlineStr"/>
      <c r="M1553" s="5" t="inlineStr">
        <is>
          <t>Yes</t>
        </is>
      </c>
      <c r="N1553" s="5" t="inlineStr"/>
      <c r="O1553" s="8" t="inlineStr">
        <is>
          <t>108000</t>
        </is>
      </c>
      <c r="P1553" s="5" t="inlineStr">
        <is>
          <t>0</t>
        </is>
      </c>
      <c r="Q1553" s="5" t="inlineStr">
        <is>
          <t>4</t>
        </is>
      </c>
      <c r="R1553" s="5" t="inlineStr">
        <is>
          <t>7</t>
        </is>
      </c>
      <c r="S1553" s="5" t="inlineStr">
        <is>
          <t>24</t>
        </is>
      </c>
      <c r="T1553" s="5" t="inlineStr">
        <is>
          <t>0</t>
        </is>
      </c>
      <c r="U1553" s="5" t="inlineStr">
        <is>
          <t>OK</t>
        </is>
      </c>
    </row>
    <row r="1554">
      <c r="A1554" s="5" t="inlineStr">
        <is>
          <t>E02165</t>
        </is>
      </c>
      <c r="B1554" s="5" t="inlineStr">
        <is>
          <t>Male</t>
        </is>
      </c>
      <c r="C1554" s="6" t="inlineStr">
        <is>
          <t>32</t>
        </is>
      </c>
      <c r="D1554" s="5" t="inlineStr">
        <is>
          <t>Single</t>
        </is>
      </c>
      <c r="E1554" s="5" t="inlineStr">
        <is>
          <t>Master</t>
        </is>
      </c>
      <c r="F1554" s="5" t="inlineStr">
        <is>
          <t>IT</t>
        </is>
      </c>
      <c r="G1554" s="5" t="inlineStr">
        <is>
          <t>DevOps Engineer</t>
        </is>
      </c>
      <c r="H1554" s="5" t="inlineStr">
        <is>
          <t>2</t>
        </is>
      </c>
      <c r="I1554" s="5" t="inlineStr">
        <is>
          <t>Delhi</t>
        </is>
      </c>
      <c r="J1554" s="5" t="inlineStr">
        <is>
          <t>Full-Time</t>
        </is>
      </c>
      <c r="K1554" s="7" t="n">
        <v>44526</v>
      </c>
      <c r="L1554" s="7" t="inlineStr"/>
      <c r="M1554" s="5" t="inlineStr">
        <is>
          <t>Yes</t>
        </is>
      </c>
      <c r="N1554" s="5" t="inlineStr"/>
      <c r="O1554" s="8" t="inlineStr">
        <is>
          <t>147000</t>
        </is>
      </c>
      <c r="P1554" s="5" t="inlineStr">
        <is>
          <t>5</t>
        </is>
      </c>
      <c r="Q1554" s="5" t="inlineStr">
        <is>
          <t>5</t>
        </is>
      </c>
      <c r="R1554" s="5" t="inlineStr">
        <is>
          <t>9</t>
        </is>
      </c>
      <c r="S1554" s="5" t="inlineStr">
        <is>
          <t>49</t>
        </is>
      </c>
      <c r="T1554" s="5" t="inlineStr">
        <is>
          <t>0</t>
        </is>
      </c>
      <c r="U1554" s="5" t="inlineStr">
        <is>
          <t>OK</t>
        </is>
      </c>
    </row>
    <row r="1555">
      <c r="A1555" s="5" t="inlineStr">
        <is>
          <t>E02927</t>
        </is>
      </c>
      <c r="B1555" s="5" t="inlineStr">
        <is>
          <t>Female</t>
        </is>
      </c>
      <c r="C1555" s="6" t="inlineStr">
        <is>
          <t>30</t>
        </is>
      </c>
      <c r="D1555" s="5" t="inlineStr">
        <is>
          <t>Single</t>
        </is>
      </c>
      <c r="E1555" s="5" t="inlineStr">
        <is>
          <t>High School</t>
        </is>
      </c>
      <c r="F1555" s="5" t="inlineStr">
        <is>
          <t>Operations</t>
        </is>
      </c>
      <c r="G1555" s="5" t="inlineStr">
        <is>
          <t>Quality Analyst</t>
        </is>
      </c>
      <c r="H1555" s="5" t="inlineStr">
        <is>
          <t>2</t>
        </is>
      </c>
      <c r="I1555" s="5" t="inlineStr">
        <is>
          <t>Mumbai</t>
        </is>
      </c>
      <c r="J1555" s="5" t="inlineStr">
        <is>
          <t>Full-Time</t>
        </is>
      </c>
      <c r="K1555" s="7" t="n">
        <v>44611</v>
      </c>
      <c r="L1555" s="7" t="inlineStr"/>
      <c r="M1555" s="5" t="inlineStr">
        <is>
          <t>Yes</t>
        </is>
      </c>
      <c r="N1555" s="5" t="inlineStr"/>
      <c r="O1555" s="8" t="inlineStr">
        <is>
          <t>95000</t>
        </is>
      </c>
      <c r="P1555" s="5" t="inlineStr">
        <is>
          <t>15</t>
        </is>
      </c>
      <c r="Q1555" s="5" t="inlineStr">
        <is>
          <t>3</t>
        </is>
      </c>
      <c r="R1555" s="5" t="inlineStr">
        <is>
          <t>5</t>
        </is>
      </c>
      <c r="S1555" s="5" t="inlineStr">
        <is>
          <t>47</t>
        </is>
      </c>
      <c r="T1555" s="5" t="inlineStr">
        <is>
          <t>0</t>
        </is>
      </c>
      <c r="U1555" s="5" t="inlineStr">
        <is>
          <t>OK</t>
        </is>
      </c>
    </row>
    <row r="1556">
      <c r="A1556" s="5" t="inlineStr">
        <is>
          <t>E01138</t>
        </is>
      </c>
      <c r="B1556" s="5" t="inlineStr">
        <is>
          <t>Female</t>
        </is>
      </c>
      <c r="C1556" s="6" t="inlineStr">
        <is>
          <t>250</t>
        </is>
      </c>
      <c r="D1556" s="5" t="inlineStr">
        <is>
          <t>Married</t>
        </is>
      </c>
      <c r="E1556" s="5" t="inlineStr">
        <is>
          <t>Diploma</t>
        </is>
      </c>
      <c r="F1556" s="5" t="inlineStr">
        <is>
          <t>IT</t>
        </is>
      </c>
      <c r="G1556" s="5" t="inlineStr">
        <is>
          <t>Data Analyst</t>
        </is>
      </c>
      <c r="H1556" s="5" t="inlineStr">
        <is>
          <t>1</t>
        </is>
      </c>
      <c r="I1556" s="5" t="inlineStr">
        <is>
          <t>Mumbai</t>
        </is>
      </c>
      <c r="J1556" s="5" t="inlineStr">
        <is>
          <t>Full-Time</t>
        </is>
      </c>
      <c r="K1556" s="7" t="n">
        <v>45891</v>
      </c>
      <c r="L1556" s="7" t="inlineStr"/>
      <c r="M1556" s="5" t="inlineStr">
        <is>
          <t>Yes</t>
        </is>
      </c>
      <c r="N1556" s="5" t="inlineStr"/>
      <c r="O1556" s="8" t="inlineStr">
        <is>
          <t>123500</t>
        </is>
      </c>
      <c r="P1556" s="5" t="inlineStr">
        <is>
          <t>5</t>
        </is>
      </c>
      <c r="Q1556" s="5" t="inlineStr">
        <is>
          <t>3</t>
        </is>
      </c>
      <c r="R1556" s="5" t="inlineStr">
        <is>
          <t>6</t>
        </is>
      </c>
      <c r="S1556" s="5" t="inlineStr">
        <is>
          <t>4</t>
        </is>
      </c>
      <c r="T1556" s="5" t="inlineStr">
        <is>
          <t>5</t>
        </is>
      </c>
      <c r="U1556" s="5" t="inlineStr">
        <is>
          <t>Age typo</t>
        </is>
      </c>
    </row>
    <row r="1557">
      <c r="A1557" s="5" t="inlineStr">
        <is>
          <t>E02697</t>
        </is>
      </c>
      <c r="B1557" s="5" t="inlineStr">
        <is>
          <t>Female</t>
        </is>
      </c>
      <c r="C1557" s="6" t="inlineStr">
        <is>
          <t>29</t>
        </is>
      </c>
      <c r="D1557" s="5" t="inlineStr">
        <is>
          <t>Single</t>
        </is>
      </c>
      <c r="E1557" s="5" t="inlineStr">
        <is>
          <t>Diploma</t>
        </is>
      </c>
      <c r="F1557" s="5" t="inlineStr">
        <is>
          <t>Sales</t>
        </is>
      </c>
      <c r="G1557" s="5" t="inlineStr">
        <is>
          <t>Business Development</t>
        </is>
      </c>
      <c r="H1557" s="5" t="inlineStr">
        <is>
          <t>1</t>
        </is>
      </c>
      <c r="I1557" s="5" t="inlineStr">
        <is>
          <t>Mumbai</t>
        </is>
      </c>
      <c r="J1557" s="5" t="inlineStr">
        <is>
          <t>Full-Time</t>
        </is>
      </c>
      <c r="K1557" s="7" t="n">
        <v>45474</v>
      </c>
      <c r="L1557" s="7" t="inlineStr"/>
      <c r="M1557" s="5" t="inlineStr">
        <is>
          <t>Yes</t>
        </is>
      </c>
      <c r="N1557" s="5" t="inlineStr"/>
      <c r="O1557" s="8" t="inlineStr">
        <is>
          <t>101000</t>
        </is>
      </c>
      <c r="P1557" s="5" t="inlineStr">
        <is>
          <t>5</t>
        </is>
      </c>
      <c r="Q1557" s="5" t="inlineStr">
        <is>
          <t>3</t>
        </is>
      </c>
      <c r="R1557" s="5" t="inlineStr">
        <is>
          <t>7</t>
        </is>
      </c>
      <c r="S1557" s="5" t="inlineStr">
        <is>
          <t>18</t>
        </is>
      </c>
      <c r="T1557" s="5" t="inlineStr">
        <is>
          <t>4</t>
        </is>
      </c>
      <c r="U1557" s="5" t="inlineStr">
        <is>
          <t>OK</t>
        </is>
      </c>
    </row>
    <row r="1558">
      <c r="A1558" s="5" t="inlineStr">
        <is>
          <t>E01819</t>
        </is>
      </c>
      <c r="B1558" s="5" t="inlineStr">
        <is>
          <t>Male</t>
        </is>
      </c>
      <c r="C1558" s="6" t="inlineStr">
        <is>
          <t>28</t>
        </is>
      </c>
      <c r="D1558" s="5" t="inlineStr">
        <is>
          <t>Married</t>
        </is>
      </c>
      <c r="E1558" s="5" t="inlineStr">
        <is>
          <t>PhD</t>
        </is>
      </c>
      <c r="F1558" s="5" t="inlineStr">
        <is>
          <t>Sales</t>
        </is>
      </c>
      <c r="G1558" s="5" t="inlineStr">
        <is>
          <t>Business Development</t>
        </is>
      </c>
      <c r="H1558" s="5" t="inlineStr">
        <is>
          <t>3</t>
        </is>
      </c>
      <c r="I1558" s="5" t="inlineStr">
        <is>
          <t>Hyderabad</t>
        </is>
      </c>
      <c r="J1558" s="5" t="inlineStr">
        <is>
          <t>Full-Time</t>
        </is>
      </c>
      <c r="K1558" s="7" t="n">
        <v>45074</v>
      </c>
      <c r="L1558" s="7" t="n">
        <v>45106</v>
      </c>
      <c r="M1558" s="5" t="inlineStr">
        <is>
          <t>No</t>
        </is>
      </c>
      <c r="N1558" s="5" t="inlineStr">
        <is>
          <t>Layoff</t>
        </is>
      </c>
      <c r="O1558" s="8" t="inlineStr">
        <is>
          <t>134000</t>
        </is>
      </c>
      <c r="P1558" s="5" t="inlineStr">
        <is>
          <t>10</t>
        </is>
      </c>
      <c r="Q1558" s="5" t="inlineStr">
        <is>
          <t>5</t>
        </is>
      </c>
      <c r="R1558" s="5" t="inlineStr">
        <is>
          <t>6</t>
        </is>
      </c>
      <c r="S1558" s="5" t="inlineStr">
        <is>
          <t>1</t>
        </is>
      </c>
      <c r="T1558" s="5" t="inlineStr">
        <is>
          <t>13</t>
        </is>
      </c>
      <c r="U1558" s="5" t="inlineStr">
        <is>
          <t>OK</t>
        </is>
      </c>
    </row>
    <row r="1559">
      <c r="A1559" s="5" t="inlineStr">
        <is>
          <t>E01852</t>
        </is>
      </c>
      <c r="B1559" s="5" t="inlineStr">
        <is>
          <t>Male</t>
        </is>
      </c>
      <c r="C1559" s="6" t="inlineStr">
        <is>
          <t>41</t>
        </is>
      </c>
      <c r="D1559" s="5" t="inlineStr">
        <is>
          <t>Married</t>
        </is>
      </c>
      <c r="E1559" s="5" t="inlineStr">
        <is>
          <t>Diploma</t>
        </is>
      </c>
      <c r="F1559" s="5" t="inlineStr">
        <is>
          <t>Sales</t>
        </is>
      </c>
      <c r="G1559" s="5" t="inlineStr">
        <is>
          <t>Sales Executive</t>
        </is>
      </c>
      <c r="H1559" s="5" t="inlineStr">
        <is>
          <t>5</t>
        </is>
      </c>
      <c r="I1559" s="5" t="inlineStr">
        <is>
          <t>Mumbai</t>
        </is>
      </c>
      <c r="J1559" s="5" t="inlineStr">
        <is>
          <t>Full-Time</t>
        </is>
      </c>
      <c r="K1559" s="7" t="n">
        <v>45187</v>
      </c>
      <c r="L1559" s="7" t="inlineStr"/>
      <c r="M1559" s="5" t="inlineStr">
        <is>
          <t>Yes</t>
        </is>
      </c>
      <c r="N1559" s="5" t="inlineStr"/>
      <c r="O1559" s="8" t="inlineStr">
        <is>
          <t>115500</t>
        </is>
      </c>
      <c r="P1559" s="5" t="inlineStr">
        <is>
          <t>10</t>
        </is>
      </c>
      <c r="Q1559" s="5" t="inlineStr">
        <is>
          <t>4</t>
        </is>
      </c>
      <c r="R1559" s="5" t="inlineStr">
        <is>
          <t>7</t>
        </is>
      </c>
      <c r="S1559" s="5" t="inlineStr">
        <is>
          <t>27</t>
        </is>
      </c>
      <c r="T1559" s="5" t="inlineStr">
        <is>
          <t>9</t>
        </is>
      </c>
      <c r="U1559" s="5" t="inlineStr">
        <is>
          <t>OK</t>
        </is>
      </c>
    </row>
    <row r="1560">
      <c r="A1560" s="5" t="inlineStr">
        <is>
          <t>E00702</t>
        </is>
      </c>
      <c r="B1560" s="5" t="inlineStr">
        <is>
          <t>Male</t>
        </is>
      </c>
      <c r="C1560" s="6" t="inlineStr">
        <is>
          <t>36</t>
        </is>
      </c>
      <c r="D1560" s="5" t="inlineStr">
        <is>
          <t>Married</t>
        </is>
      </c>
      <c r="E1560" s="5" t="inlineStr">
        <is>
          <t>Diploma</t>
        </is>
      </c>
      <c r="F1560" s="5" t="inlineStr">
        <is>
          <t>Research &amp; Development</t>
        </is>
      </c>
      <c r="G1560" s="5" t="inlineStr">
        <is>
          <t>Product Engineer</t>
        </is>
      </c>
      <c r="H1560" s="5" t="inlineStr">
        <is>
          <t>3</t>
        </is>
      </c>
      <c r="I1560" s="5" t="inlineStr">
        <is>
          <t>Remote</t>
        </is>
      </c>
      <c r="J1560" s="5" t="inlineStr">
        <is>
          <t>Full-Time</t>
        </is>
      </c>
      <c r="K1560" s="7" t="n">
        <v>44100</v>
      </c>
      <c r="L1560" s="7" t="n">
        <v>44232</v>
      </c>
      <c r="M1560" s="5" t="inlineStr">
        <is>
          <t>No</t>
        </is>
      </c>
      <c r="N1560" s="5" t="inlineStr">
        <is>
          <t>Resigned</t>
        </is>
      </c>
      <c r="O1560" s="8" t="inlineStr">
        <is>
          <t>202000</t>
        </is>
      </c>
      <c r="P1560" s="5" t="inlineStr">
        <is>
          <t>10</t>
        </is>
      </c>
      <c r="Q1560" s="5" t="inlineStr">
        <is>
          <t>4</t>
        </is>
      </c>
      <c r="R1560" s="5" t="inlineStr">
        <is>
          <t>7</t>
        </is>
      </c>
      <c r="S1560" s="5" t="inlineStr">
        <is>
          <t>4</t>
        </is>
      </c>
      <c r="T1560" s="5" t="inlineStr">
        <is>
          <t>0</t>
        </is>
      </c>
      <c r="U1560" s="5" t="inlineStr">
        <is>
          <t>OK</t>
        </is>
      </c>
    </row>
    <row r="1561">
      <c r="A1561" s="5" t="inlineStr">
        <is>
          <t>E00220</t>
        </is>
      </c>
      <c r="B1561" s="5" t="inlineStr">
        <is>
          <t>Male</t>
        </is>
      </c>
      <c r="C1561" s="6" t="inlineStr">
        <is>
          <t>30</t>
        </is>
      </c>
      <c r="D1561" s="5" t="inlineStr">
        <is>
          <t>Single</t>
        </is>
      </c>
      <c r="E1561" s="5" t="inlineStr">
        <is>
          <t>Bachelor</t>
        </is>
      </c>
      <c r="F1561" s="5" t="inlineStr">
        <is>
          <t>IT</t>
        </is>
      </c>
      <c r="G1561" s="5" t="inlineStr">
        <is>
          <t>DevOps Engineer</t>
        </is>
      </c>
      <c r="H1561" s="5" t="inlineStr">
        <is>
          <t>3</t>
        </is>
      </c>
      <c r="I1561" s="5" t="inlineStr">
        <is>
          <t>Delhi</t>
        </is>
      </c>
      <c r="J1561" s="5" t="inlineStr">
        <is>
          <t>Full-Time</t>
        </is>
      </c>
      <c r="K1561" s="7" t="n">
        <v>45309</v>
      </c>
      <c r="L1561" s="7" t="inlineStr"/>
      <c r="M1561" s="5" t="inlineStr">
        <is>
          <t>Yes</t>
        </is>
      </c>
      <c r="N1561" s="5" t="inlineStr"/>
      <c r="O1561" s="8" t="inlineStr">
        <is>
          <t>145500</t>
        </is>
      </c>
      <c r="P1561" s="5" t="inlineStr">
        <is>
          <t>15</t>
        </is>
      </c>
      <c r="Q1561" s="5" t="inlineStr">
        <is>
          <t>3</t>
        </is>
      </c>
      <c r="R1561" s="5" t="inlineStr">
        <is>
          <t>5</t>
        </is>
      </c>
      <c r="S1561" s="5" t="inlineStr">
        <is>
          <t>23</t>
        </is>
      </c>
      <c r="T1561" s="5" t="inlineStr">
        <is>
          <t>4</t>
        </is>
      </c>
      <c r="U1561" s="5" t="inlineStr">
        <is>
          <t>OK</t>
        </is>
      </c>
    </row>
    <row r="1562">
      <c r="A1562" s="5" t="inlineStr">
        <is>
          <t>E00555</t>
        </is>
      </c>
      <c r="B1562" s="5" t="inlineStr">
        <is>
          <t>Female</t>
        </is>
      </c>
      <c r="C1562" s="6" t="inlineStr">
        <is>
          <t>32</t>
        </is>
      </c>
      <c r="D1562" s="5" t="inlineStr">
        <is>
          <t>Single</t>
        </is>
      </c>
      <c r="E1562" s="5" t="inlineStr">
        <is>
          <t>Master</t>
        </is>
      </c>
      <c r="F1562" s="5" t="inlineStr">
        <is>
          <t>Customer Support</t>
        </is>
      </c>
      <c r="G1562" s="5" t="inlineStr">
        <is>
          <t>Support Lead</t>
        </is>
      </c>
      <c r="H1562" s="5" t="inlineStr">
        <is>
          <t>2</t>
        </is>
      </c>
      <c r="I1562" s="5" t="inlineStr">
        <is>
          <t>Hyderabad</t>
        </is>
      </c>
      <c r="J1562" s="5" t="inlineStr">
        <is>
          <t>Full-Time</t>
        </is>
      </c>
      <c r="K1562" s="7" t="n">
        <v>45056</v>
      </c>
      <c r="L1562" s="7" t="inlineStr"/>
      <c r="M1562" s="5" t="inlineStr">
        <is>
          <t>Yes</t>
        </is>
      </c>
      <c r="N1562" s="5" t="inlineStr"/>
      <c r="O1562" s="8" t="inlineStr">
        <is>
          <t>68000</t>
        </is>
      </c>
      <c r="P1562" s="5" t="inlineStr">
        <is>
          <t>10</t>
        </is>
      </c>
      <c r="Q1562" s="5" t="inlineStr">
        <is>
          <t>5</t>
        </is>
      </c>
      <c r="R1562" s="5" t="inlineStr">
        <is>
          <t>6</t>
        </is>
      </c>
      <c r="S1562" s="5" t="inlineStr">
        <is>
          <t>32</t>
        </is>
      </c>
      <c r="T1562" s="5" t="inlineStr">
        <is>
          <t>0</t>
        </is>
      </c>
      <c r="U1562" s="5" t="inlineStr">
        <is>
          <t>OK</t>
        </is>
      </c>
    </row>
    <row r="1563">
      <c r="A1563" s="5" t="inlineStr">
        <is>
          <t>E00222</t>
        </is>
      </c>
      <c r="B1563" s="5" t="inlineStr">
        <is>
          <t>Female</t>
        </is>
      </c>
      <c r="C1563" s="6" t="inlineStr">
        <is>
          <t>24</t>
        </is>
      </c>
      <c r="D1563" s="5" t="inlineStr">
        <is>
          <t>Married</t>
        </is>
      </c>
      <c r="E1563" s="5" t="inlineStr">
        <is>
          <t>Bachelor</t>
        </is>
      </c>
      <c r="F1563" s="5" t="inlineStr">
        <is>
          <t>Finance</t>
        </is>
      </c>
      <c r="G1563" s="5" t="inlineStr">
        <is>
          <t>Accountant</t>
        </is>
      </c>
      <c r="H1563" s="5" t="inlineStr">
        <is>
          <t>1</t>
        </is>
      </c>
      <c r="I1563" s="5" t="inlineStr">
        <is>
          <t>Remote</t>
        </is>
      </c>
      <c r="J1563" s="5" t="inlineStr">
        <is>
          <t>Full-Time</t>
        </is>
      </c>
      <c r="K1563" s="7" t="n">
        <v>44928</v>
      </c>
      <c r="L1563" s="7" t="inlineStr"/>
      <c r="M1563" s="5" t="inlineStr">
        <is>
          <t>Yes</t>
        </is>
      </c>
      <c r="N1563" s="5" t="inlineStr"/>
      <c r="O1563" s="8" t="inlineStr">
        <is>
          <t>93000</t>
        </is>
      </c>
      <c r="P1563" s="5" t="inlineStr">
        <is>
          <t>0</t>
        </is>
      </c>
      <c r="Q1563" s="5" t="inlineStr">
        <is>
          <t>2</t>
        </is>
      </c>
      <c r="R1563" s="5" t="inlineStr">
        <is>
          <t>6</t>
        </is>
      </c>
      <c r="S1563" s="5" t="inlineStr">
        <is>
          <t>36</t>
        </is>
      </c>
      <c r="T1563" s="5" t="inlineStr">
        <is>
          <t>8</t>
        </is>
      </c>
      <c r="U1563" s="5" t="inlineStr">
        <is>
          <t>OK</t>
        </is>
      </c>
    </row>
    <row r="1564">
      <c r="A1564" s="5" t="inlineStr">
        <is>
          <t>E00330</t>
        </is>
      </c>
      <c r="B1564" s="5" t="inlineStr">
        <is>
          <t>Male</t>
        </is>
      </c>
      <c r="C1564" s="6" t="inlineStr">
        <is>
          <t>41</t>
        </is>
      </c>
      <c r="D1564" s="5" t="inlineStr">
        <is>
          <t>Single</t>
        </is>
      </c>
      <c r="E1564" s="5" t="inlineStr">
        <is>
          <t>Master</t>
        </is>
      </c>
      <c r="F1564" s="5" t="inlineStr">
        <is>
          <t>Sales</t>
        </is>
      </c>
      <c r="G1564" s="5" t="inlineStr">
        <is>
          <t>Sales Executive</t>
        </is>
      </c>
      <c r="H1564" s="5" t="inlineStr">
        <is>
          <t>7</t>
        </is>
      </c>
      <c r="I1564" s="5" t="inlineStr">
        <is>
          <t>Chennai</t>
        </is>
      </c>
      <c r="J1564" s="5" t="inlineStr">
        <is>
          <t>Full-Time</t>
        </is>
      </c>
      <c r="K1564" s="7" t="n">
        <v>44673</v>
      </c>
      <c r="L1564" s="7" t="inlineStr"/>
      <c r="M1564" s="5" t="inlineStr">
        <is>
          <t>Yes</t>
        </is>
      </c>
      <c r="N1564" s="5" t="inlineStr"/>
      <c r="O1564" s="8" t="inlineStr">
        <is>
          <t>197000</t>
        </is>
      </c>
      <c r="P1564" s="5" t="inlineStr">
        <is>
          <t>10</t>
        </is>
      </c>
      <c r="Q1564" s="5" t="inlineStr">
        <is>
          <t>3</t>
        </is>
      </c>
      <c r="R1564" s="5" t="inlineStr">
        <is>
          <t>4</t>
        </is>
      </c>
      <c r="S1564" s="5" t="inlineStr">
        <is>
          <t>44</t>
        </is>
      </c>
      <c r="T1564" s="5" t="inlineStr">
        <is>
          <t>2</t>
        </is>
      </c>
      <c r="U1564" s="5" t="inlineStr">
        <is>
          <t>OK</t>
        </is>
      </c>
    </row>
    <row r="1565">
      <c r="A1565" s="5" t="inlineStr">
        <is>
          <t>E01547</t>
        </is>
      </c>
      <c r="B1565" s="5" t="inlineStr">
        <is>
          <t>Female</t>
        </is>
      </c>
      <c r="C1565" s="6" t="inlineStr">
        <is>
          <t>43</t>
        </is>
      </c>
      <c r="D1565" s="5" t="inlineStr">
        <is>
          <t>Married</t>
        </is>
      </c>
      <c r="E1565" s="5" t="inlineStr">
        <is>
          <t>PhD</t>
        </is>
      </c>
      <c r="F1565" s="5" t="inlineStr">
        <is>
          <t>Research &amp; Development</t>
        </is>
      </c>
      <c r="G1565" s="5" t="inlineStr">
        <is>
          <t>Product Engineer</t>
        </is>
      </c>
      <c r="H1565" s="5" t="inlineStr">
        <is>
          <t>6</t>
        </is>
      </c>
      <c r="I1565" s="5" t="inlineStr">
        <is>
          <t>Bengaluru</t>
        </is>
      </c>
      <c r="J1565" s="5" t="inlineStr">
        <is>
          <t>Full-Time</t>
        </is>
      </c>
      <c r="K1565" s="7" t="n">
        <v>45105</v>
      </c>
      <c r="L1565" s="7" t="inlineStr"/>
      <c r="M1565" s="5" t="inlineStr">
        <is>
          <t>Yes</t>
        </is>
      </c>
      <c r="N1565" s="5" t="inlineStr"/>
      <c r="O1565" s="8" t="inlineStr">
        <is>
          <t>174500</t>
        </is>
      </c>
      <c r="P1565" s="5" t="inlineStr">
        <is>
          <t>10</t>
        </is>
      </c>
      <c r="Q1565" s="5" t="inlineStr">
        <is>
          <t>3</t>
        </is>
      </c>
      <c r="R1565" s="5" t="inlineStr">
        <is>
          <t>7</t>
        </is>
      </c>
      <c r="S1565" s="5" t="inlineStr">
        <is>
          <t>30</t>
        </is>
      </c>
      <c r="T1565" s="5" t="inlineStr">
        <is>
          <t>9</t>
        </is>
      </c>
      <c r="U1565" s="5" t="inlineStr">
        <is>
          <t>OK</t>
        </is>
      </c>
    </row>
    <row r="1566">
      <c r="A1566" s="5" t="inlineStr">
        <is>
          <t>E00527</t>
        </is>
      </c>
      <c r="B1566" s="5" t="inlineStr">
        <is>
          <t>Male</t>
        </is>
      </c>
      <c r="C1566" s="6" t="inlineStr">
        <is>
          <t>33</t>
        </is>
      </c>
      <c r="D1566" s="5" t="inlineStr">
        <is>
          <t>Married</t>
        </is>
      </c>
      <c r="E1566" s="5" t="inlineStr">
        <is>
          <t>Bachelor</t>
        </is>
      </c>
      <c r="F1566" s="5" t="inlineStr">
        <is>
          <t>Operations</t>
        </is>
      </c>
      <c r="G1566" s="5" t="inlineStr">
        <is>
          <t>Logistics Coordinator</t>
        </is>
      </c>
      <c r="H1566" s="5" t="inlineStr">
        <is>
          <t>1</t>
        </is>
      </c>
      <c r="I1566" s="5" t="inlineStr">
        <is>
          <t>Delhi</t>
        </is>
      </c>
      <c r="J1566" s="5" t="inlineStr">
        <is>
          <t>Full-Time</t>
        </is>
      </c>
      <c r="K1566" s="7" t="n">
        <v>44888</v>
      </c>
      <c r="L1566" s="7" t="inlineStr"/>
      <c r="M1566" s="5" t="inlineStr">
        <is>
          <t>Yes</t>
        </is>
      </c>
      <c r="N1566" s="5" t="inlineStr"/>
      <c r="O1566" s="8" t="inlineStr">
        <is>
          <t>57000</t>
        </is>
      </c>
      <c r="P1566" s="5" t="inlineStr">
        <is>
          <t>10</t>
        </is>
      </c>
      <c r="Q1566" s="5" t="inlineStr">
        <is>
          <t>3</t>
        </is>
      </c>
      <c r="R1566" s="5" t="inlineStr">
        <is>
          <t>5</t>
        </is>
      </c>
      <c r="S1566" s="5" t="inlineStr">
        <is>
          <t>37</t>
        </is>
      </c>
      <c r="T1566" s="5" t="inlineStr">
        <is>
          <t>16</t>
        </is>
      </c>
      <c r="U1566" s="5" t="inlineStr">
        <is>
          <t>OK</t>
        </is>
      </c>
    </row>
    <row r="1567">
      <c r="A1567" s="5" t="inlineStr">
        <is>
          <t>E00661</t>
        </is>
      </c>
      <c r="B1567" s="5" t="inlineStr">
        <is>
          <t>Unknown</t>
        </is>
      </c>
      <c r="C1567" s="6" t="inlineStr">
        <is>
          <t>44</t>
        </is>
      </c>
      <c r="D1567" s="5" t="inlineStr">
        <is>
          <t>Married</t>
        </is>
      </c>
      <c r="E1567" s="5" t="inlineStr">
        <is>
          <t>Master</t>
        </is>
      </c>
      <c r="F1567" s="5" t="inlineStr">
        <is>
          <t>Human Resources</t>
        </is>
      </c>
      <c r="G1567" s="5" t="inlineStr">
        <is>
          <t>Recruiter</t>
        </is>
      </c>
      <c r="H1567" s="5" t="inlineStr">
        <is>
          <t>7</t>
        </is>
      </c>
      <c r="I1567" s="5" t="inlineStr">
        <is>
          <t>Mumbai</t>
        </is>
      </c>
      <c r="J1567" s="5" t="inlineStr">
        <is>
          <t>Part-Time</t>
        </is>
      </c>
      <c r="K1567" s="7" t="n">
        <v>44423</v>
      </c>
      <c r="L1567" s="7" t="inlineStr"/>
      <c r="M1567" s="5" t="inlineStr">
        <is>
          <t>Yes</t>
        </is>
      </c>
      <c r="N1567" s="5" t="inlineStr"/>
      <c r="O1567" s="8" t="inlineStr">
        <is>
          <t>115500</t>
        </is>
      </c>
      <c r="P1567" s="5" t="inlineStr">
        <is>
          <t>0</t>
        </is>
      </c>
      <c r="Q1567" s="5" t="inlineStr">
        <is>
          <t>5</t>
        </is>
      </c>
      <c r="R1567" s="5" t="inlineStr">
        <is>
          <t>6</t>
        </is>
      </c>
      <c r="S1567" s="5" t="inlineStr">
        <is>
          <t>53</t>
        </is>
      </c>
      <c r="T1567" s="5" t="inlineStr">
        <is>
          <t>8</t>
        </is>
      </c>
      <c r="U1567" s="5" t="inlineStr">
        <is>
          <t>Bad gender</t>
        </is>
      </c>
    </row>
    <row r="1568">
      <c r="A1568" s="5" t="inlineStr">
        <is>
          <t>E01143</t>
        </is>
      </c>
      <c r="B1568" s="5" t="inlineStr">
        <is>
          <t>Female</t>
        </is>
      </c>
      <c r="C1568" s="6" t="inlineStr">
        <is>
          <t>38</t>
        </is>
      </c>
      <c r="D1568" s="5" t="inlineStr">
        <is>
          <t>Single</t>
        </is>
      </c>
      <c r="E1568" s="5" t="inlineStr">
        <is>
          <t>High School</t>
        </is>
      </c>
      <c r="F1568" s="5" t="inlineStr">
        <is>
          <t>Operations</t>
        </is>
      </c>
      <c r="G1568" s="5" t="inlineStr">
        <is>
          <t>Operations Analyst</t>
        </is>
      </c>
      <c r="H1568" s="5" t="inlineStr">
        <is>
          <t>5</t>
        </is>
      </c>
      <c r="I1568" s="5" t="inlineStr">
        <is>
          <t>Chennai</t>
        </is>
      </c>
      <c r="J1568" s="5" t="inlineStr">
        <is>
          <t>Full-Time</t>
        </is>
      </c>
      <c r="K1568" s="7" t="n">
        <v>45471</v>
      </c>
      <c r="L1568" s="7" t="inlineStr"/>
      <c r="M1568" s="5" t="inlineStr">
        <is>
          <t>Yes</t>
        </is>
      </c>
      <c r="N1568" s="5" t="inlineStr"/>
      <c r="O1568" s="8" t="inlineStr">
        <is>
          <t>133500</t>
        </is>
      </c>
      <c r="P1568" s="5" t="inlineStr">
        <is>
          <t>20</t>
        </is>
      </c>
      <c r="Q1568" s="5" t="inlineStr">
        <is>
          <t>1</t>
        </is>
      </c>
      <c r="R1568" s="5" t="inlineStr">
        <is>
          <t>3</t>
        </is>
      </c>
      <c r="S1568" s="5" t="inlineStr">
        <is>
          <t>18</t>
        </is>
      </c>
      <c r="T1568" s="5" t="inlineStr">
        <is>
          <t>18</t>
        </is>
      </c>
      <c r="U1568" s="5" t="inlineStr">
        <is>
          <t>OK</t>
        </is>
      </c>
    </row>
    <row r="1569">
      <c r="A1569" s="5" t="inlineStr">
        <is>
          <t>E00557</t>
        </is>
      </c>
      <c r="B1569" s="5" t="inlineStr">
        <is>
          <t>Male</t>
        </is>
      </c>
      <c r="C1569" s="6" t="inlineStr">
        <is>
          <t>36</t>
        </is>
      </c>
      <c r="D1569" s="5" t="inlineStr">
        <is>
          <t>Married</t>
        </is>
      </c>
      <c r="E1569" s="5" t="inlineStr">
        <is>
          <t>PhD</t>
        </is>
      </c>
      <c r="F1569" s="5" t="inlineStr">
        <is>
          <t>Finance</t>
        </is>
      </c>
      <c r="G1569" s="5" t="inlineStr">
        <is>
          <t>Credit Analyst</t>
        </is>
      </c>
      <c r="H1569" s="5" t="inlineStr">
        <is>
          <t>3</t>
        </is>
      </c>
      <c r="I1569" s="5" t="inlineStr">
        <is>
          <t>Bengaluru</t>
        </is>
      </c>
      <c r="J1569" s="5" t="inlineStr">
        <is>
          <t>Contract</t>
        </is>
      </c>
      <c r="K1569" s="7" t="n">
        <v>45852</v>
      </c>
      <c r="L1569" s="7" t="inlineStr"/>
      <c r="M1569" s="5" t="inlineStr">
        <is>
          <t>Yes</t>
        </is>
      </c>
      <c r="N1569" s="5" t="inlineStr"/>
      <c r="O1569" s="8" t="inlineStr">
        <is>
          <t>122000</t>
        </is>
      </c>
      <c r="P1569" s="5" t="inlineStr">
        <is>
          <t>5</t>
        </is>
      </c>
      <c r="Q1569" s="5" t="inlineStr">
        <is>
          <t>4</t>
        </is>
      </c>
      <c r="R1569" s="5" t="inlineStr">
        <is>
          <t>7</t>
        </is>
      </c>
      <c r="S1569" s="5" t="inlineStr">
        <is>
          <t>5</t>
        </is>
      </c>
      <c r="T1569" s="5" t="inlineStr">
        <is>
          <t>6</t>
        </is>
      </c>
      <c r="U1569" s="5" t="inlineStr">
        <is>
          <t>OK</t>
        </is>
      </c>
    </row>
    <row r="1570">
      <c r="A1570" s="5" t="inlineStr">
        <is>
          <t>E02412</t>
        </is>
      </c>
      <c r="B1570" s="5" t="inlineStr">
        <is>
          <t>Male</t>
        </is>
      </c>
      <c r="C1570" s="6" t="inlineStr">
        <is>
          <t>44</t>
        </is>
      </c>
      <c r="D1570" s="5" t="inlineStr">
        <is>
          <t>Married</t>
        </is>
      </c>
      <c r="E1570" s="5" t="inlineStr">
        <is>
          <t>High School</t>
        </is>
      </c>
      <c r="F1570" s="5" t="inlineStr">
        <is>
          <t>Finance</t>
        </is>
      </c>
      <c r="G1570" s="5" t="inlineStr">
        <is>
          <t>Financial Analyst</t>
        </is>
      </c>
      <c r="H1570" s="5" t="inlineStr">
        <is>
          <t>6</t>
        </is>
      </c>
      <c r="I1570" s="5" t="inlineStr">
        <is>
          <t>Remote</t>
        </is>
      </c>
      <c r="J1570" s="5" t="inlineStr">
        <is>
          <t>Full-Time</t>
        </is>
      </c>
      <c r="K1570" s="7" t="n">
        <v>44980</v>
      </c>
      <c r="L1570" s="7" t="inlineStr"/>
      <c r="M1570" s="5" t="inlineStr">
        <is>
          <t>Yes</t>
        </is>
      </c>
      <c r="N1570" s="5" t="inlineStr"/>
      <c r="O1570" s="8" t="inlineStr">
        <is>
          <t>137000</t>
        </is>
      </c>
      <c r="P1570" s="5" t="inlineStr">
        <is>
          <t>20</t>
        </is>
      </c>
      <c r="Q1570" s="5" t="inlineStr">
        <is>
          <t>3</t>
        </is>
      </c>
      <c r="R1570" s="5" t="inlineStr">
        <is>
          <t>10</t>
        </is>
      </c>
      <c r="S1570" s="5" t="inlineStr">
        <is>
          <t>34</t>
        </is>
      </c>
      <c r="T1570" s="5" t="inlineStr">
        <is>
          <t>3</t>
        </is>
      </c>
      <c r="U1570" s="5" t="inlineStr">
        <is>
          <t>OK</t>
        </is>
      </c>
    </row>
    <row r="1571">
      <c r="A1571" s="5" t="inlineStr">
        <is>
          <t>E02423</t>
        </is>
      </c>
      <c r="B1571" s="5" t="inlineStr">
        <is>
          <t>Unknown</t>
        </is>
      </c>
      <c r="C1571" s="6" t="inlineStr">
        <is>
          <t>25</t>
        </is>
      </c>
      <c r="D1571" s="5" t="inlineStr">
        <is>
          <t>Married</t>
        </is>
      </c>
      <c r="E1571" s="5" t="inlineStr">
        <is>
          <t>Diploma</t>
        </is>
      </c>
      <c r="F1571" s="5" t="inlineStr">
        <is>
          <t>IT</t>
        </is>
      </c>
      <c r="G1571" s="5" t="inlineStr">
        <is>
          <t>DevOps Engineer</t>
        </is>
      </c>
      <c r="H1571" s="5" t="inlineStr">
        <is>
          <t>2</t>
        </is>
      </c>
      <c r="I1571" s="5" t="inlineStr">
        <is>
          <t>Delhi</t>
        </is>
      </c>
      <c r="J1571" s="5" t="inlineStr">
        <is>
          <t>Full-Time</t>
        </is>
      </c>
      <c r="K1571" s="7" t="n">
        <v>45526</v>
      </c>
      <c r="L1571" s="7" t="inlineStr"/>
      <c r="M1571" s="5" t="inlineStr">
        <is>
          <t>Yes</t>
        </is>
      </c>
      <c r="N1571" s="5" t="inlineStr"/>
      <c r="O1571" s="8" t="inlineStr">
        <is>
          <t>133000</t>
        </is>
      </c>
      <c r="P1571" s="5" t="inlineStr">
        <is>
          <t>0</t>
        </is>
      </c>
      <c r="Q1571" s="5" t="inlineStr">
        <is>
          <t>4</t>
        </is>
      </c>
      <c r="R1571" s="5" t="inlineStr">
        <is>
          <t>8</t>
        </is>
      </c>
      <c r="S1571" s="5" t="inlineStr">
        <is>
          <t>16</t>
        </is>
      </c>
      <c r="T1571" s="5" t="inlineStr">
        <is>
          <t>1</t>
        </is>
      </c>
      <c r="U1571" s="5" t="inlineStr">
        <is>
          <t>Bad gender</t>
        </is>
      </c>
    </row>
    <row r="1572">
      <c r="A1572" s="5" t="inlineStr">
        <is>
          <t>E01747</t>
        </is>
      </c>
      <c r="B1572" s="5" t="inlineStr">
        <is>
          <t>Female</t>
        </is>
      </c>
      <c r="C1572" s="6" t="inlineStr">
        <is>
          <t>38</t>
        </is>
      </c>
      <c r="D1572" s="5" t="inlineStr">
        <is>
          <t>Single</t>
        </is>
      </c>
      <c r="E1572" s="5" t="inlineStr">
        <is>
          <t>Master</t>
        </is>
      </c>
      <c r="F1572" s="5" t="inlineStr">
        <is>
          <t>Sales</t>
        </is>
      </c>
      <c r="G1572" s="5" t="inlineStr">
        <is>
          <t>Sales Executive</t>
        </is>
      </c>
      <c r="H1572" s="5" t="inlineStr">
        <is>
          <t>4</t>
        </is>
      </c>
      <c r="I1572" s="5" t="inlineStr">
        <is>
          <t>Bengaluru</t>
        </is>
      </c>
      <c r="J1572" s="5" t="inlineStr">
        <is>
          <t>Full-Time</t>
        </is>
      </c>
      <c r="K1572" s="7" t="n">
        <v>45035</v>
      </c>
      <c r="L1572" s="7" t="inlineStr"/>
      <c r="M1572" s="5" t="inlineStr">
        <is>
          <t>Yes</t>
        </is>
      </c>
      <c r="N1572" s="5" t="inlineStr"/>
      <c r="O1572" s="8" t="inlineStr">
        <is>
          <t>139500</t>
        </is>
      </c>
      <c r="P1572" s="5" t="inlineStr">
        <is>
          <t>0</t>
        </is>
      </c>
      <c r="Q1572" s="5" t="inlineStr">
        <is>
          <t>4</t>
        </is>
      </c>
      <c r="R1572" s="5" t="inlineStr">
        <is>
          <t>5</t>
        </is>
      </c>
      <c r="S1572" s="5" t="inlineStr">
        <is>
          <t>32</t>
        </is>
      </c>
      <c r="T1572" s="5" t="inlineStr">
        <is>
          <t>5</t>
        </is>
      </c>
      <c r="U1572" s="5" t="inlineStr">
        <is>
          <t>OK</t>
        </is>
      </c>
    </row>
    <row r="1573">
      <c r="A1573" s="5" t="inlineStr">
        <is>
          <t>E01273</t>
        </is>
      </c>
      <c r="B1573" s="5" t="inlineStr">
        <is>
          <t>Male</t>
        </is>
      </c>
      <c r="C1573" s="6" t="inlineStr">
        <is>
          <t>35</t>
        </is>
      </c>
      <c r="D1573" s="5" t="inlineStr">
        <is>
          <t>Married</t>
        </is>
      </c>
      <c r="E1573" s="5" t="inlineStr">
        <is>
          <t>Diploma</t>
        </is>
      </c>
      <c r="F1573" s="5" t="inlineStr">
        <is>
          <t>Customer Support</t>
        </is>
      </c>
      <c r="G1573" s="5" t="inlineStr">
        <is>
          <t>Escalation Specialist</t>
        </is>
      </c>
      <c r="H1573" s="5" t="inlineStr">
        <is>
          <t>3</t>
        </is>
      </c>
      <c r="I1573" s="5" t="inlineStr">
        <is>
          <t>Delhi</t>
        </is>
      </c>
      <c r="J1573" s="5" t="inlineStr">
        <is>
          <t>Full-Time</t>
        </is>
      </c>
      <c r="K1573" s="7" t="n">
        <v>45912</v>
      </c>
      <c r="L1573" s="7" t="n">
        <v>46021</v>
      </c>
      <c r="M1573" s="5" t="inlineStr">
        <is>
          <t>No</t>
        </is>
      </c>
      <c r="N1573" s="5" t="inlineStr">
        <is>
          <t>Layoff</t>
        </is>
      </c>
      <c r="O1573" s="8" t="inlineStr">
        <is>
          <t>66500</t>
        </is>
      </c>
      <c r="P1573" s="5" t="inlineStr">
        <is>
          <t>0</t>
        </is>
      </c>
      <c r="Q1573" s="5" t="inlineStr">
        <is>
          <t>4</t>
        </is>
      </c>
      <c r="R1573" s="5" t="inlineStr">
        <is>
          <t>5</t>
        </is>
      </c>
      <c r="S1573" s="5" t="inlineStr">
        <is>
          <t>3</t>
        </is>
      </c>
      <c r="T1573" s="5" t="inlineStr">
        <is>
          <t>1</t>
        </is>
      </c>
      <c r="U1573" s="5" t="inlineStr">
        <is>
          <t>OK</t>
        </is>
      </c>
    </row>
    <row r="1574">
      <c r="A1574" s="5" t="inlineStr">
        <is>
          <t>E00389</t>
        </is>
      </c>
      <c r="B1574" s="5" t="inlineStr">
        <is>
          <t>Female</t>
        </is>
      </c>
      <c r="C1574" s="6" t="inlineStr">
        <is>
          <t>25</t>
        </is>
      </c>
      <c r="D1574" s="5" t="inlineStr">
        <is>
          <t>Divorced</t>
        </is>
      </c>
      <c r="E1574" s="5" t="inlineStr">
        <is>
          <t>High School</t>
        </is>
      </c>
      <c r="F1574" s="5" t="inlineStr">
        <is>
          <t>Customer Support</t>
        </is>
      </c>
      <c r="G1574" s="5" t="inlineStr">
        <is>
          <t>Support Lead</t>
        </is>
      </c>
      <c r="H1574" s="5" t="inlineStr">
        <is>
          <t>1</t>
        </is>
      </c>
      <c r="I1574" s="5" t="inlineStr">
        <is>
          <t>Hyderabad</t>
        </is>
      </c>
      <c r="J1574" s="5" t="inlineStr">
        <is>
          <t>Full-Time</t>
        </is>
      </c>
      <c r="K1574" s="7" t="n">
        <v>45632</v>
      </c>
      <c r="L1574" s="7" t="n">
        <v>45674</v>
      </c>
      <c r="M1574" s="5" t="inlineStr">
        <is>
          <t>No</t>
        </is>
      </c>
      <c r="N1574" s="5" t="inlineStr">
        <is>
          <t>Resigned</t>
        </is>
      </c>
      <c r="O1574" s="8" t="inlineStr">
        <is>
          <t>62000</t>
        </is>
      </c>
      <c r="P1574" s="5" t="inlineStr">
        <is>
          <t>15</t>
        </is>
      </c>
      <c r="Q1574" s="5" t="inlineStr">
        <is>
          <t>3</t>
        </is>
      </c>
      <c r="R1574" s="5" t="inlineStr">
        <is>
          <t>8</t>
        </is>
      </c>
      <c r="S1574" s="5" t="inlineStr">
        <is>
          <t>1</t>
        </is>
      </c>
      <c r="T1574" s="5" t="inlineStr">
        <is>
          <t>5</t>
        </is>
      </c>
      <c r="U1574" s="5" t="inlineStr">
        <is>
          <t>OK</t>
        </is>
      </c>
    </row>
    <row r="1575">
      <c r="A1575" s="5" t="inlineStr">
        <is>
          <t>E02016</t>
        </is>
      </c>
      <c r="B1575" s="5" t="inlineStr">
        <is>
          <t>Female</t>
        </is>
      </c>
      <c r="C1575" s="6" t="inlineStr">
        <is>
          <t>38</t>
        </is>
      </c>
      <c r="D1575" s="5" t="inlineStr">
        <is>
          <t>Married</t>
        </is>
      </c>
      <c r="E1575" s="5" t="inlineStr">
        <is>
          <t>Master</t>
        </is>
      </c>
      <c r="F1575" s="5" t="inlineStr"/>
      <c r="G1575" s="5" t="inlineStr">
        <is>
          <t>HR Analyst</t>
        </is>
      </c>
      <c r="H1575" s="5" t="inlineStr">
        <is>
          <t>3</t>
        </is>
      </c>
      <c r="I1575" s="5" t="inlineStr">
        <is>
          <t>Bengaluru</t>
        </is>
      </c>
      <c r="J1575" s="5" t="inlineStr">
        <is>
          <t>Full-Time</t>
        </is>
      </c>
      <c r="K1575" s="7" t="n">
        <v>44527</v>
      </c>
      <c r="L1575" s="7" t="inlineStr"/>
      <c r="M1575" s="5" t="inlineStr">
        <is>
          <t>Yes</t>
        </is>
      </c>
      <c r="N1575" s="5" t="inlineStr"/>
      <c r="O1575" s="8" t="inlineStr">
        <is>
          <t>106500</t>
        </is>
      </c>
      <c r="P1575" s="5" t="inlineStr">
        <is>
          <t>0</t>
        </is>
      </c>
      <c r="Q1575" s="5" t="inlineStr">
        <is>
          <t>2</t>
        </is>
      </c>
      <c r="R1575" s="5" t="inlineStr">
        <is>
          <t>8</t>
        </is>
      </c>
      <c r="S1575" s="5" t="inlineStr">
        <is>
          <t>49</t>
        </is>
      </c>
      <c r="T1575" s="5" t="inlineStr">
        <is>
          <t>8</t>
        </is>
      </c>
      <c r="U1575" s="5" t="inlineStr">
        <is>
          <t>Blank department</t>
        </is>
      </c>
    </row>
    <row r="1576">
      <c r="A1576" s="5" t="inlineStr">
        <is>
          <t>E00375</t>
        </is>
      </c>
      <c r="B1576" s="5" t="inlineStr">
        <is>
          <t>Female</t>
        </is>
      </c>
      <c r="C1576" s="6" t="inlineStr">
        <is>
          <t>46</t>
        </is>
      </c>
      <c r="D1576" s="5" t="inlineStr">
        <is>
          <t>Single</t>
        </is>
      </c>
      <c r="E1576" s="5" t="inlineStr">
        <is>
          <t>Diploma</t>
        </is>
      </c>
      <c r="F1576" s="5" t="inlineStr">
        <is>
          <t>IT</t>
        </is>
      </c>
      <c r="G1576" s="5" t="inlineStr">
        <is>
          <t>IT Support</t>
        </is>
      </c>
      <c r="H1576" s="5" t="inlineStr">
        <is>
          <t>7</t>
        </is>
      </c>
      <c r="I1576" s="5" t="inlineStr">
        <is>
          <t>Hyderabad</t>
        </is>
      </c>
      <c r="J1576" s="5" t="inlineStr">
        <is>
          <t>Full-Time</t>
        </is>
      </c>
      <c r="K1576" s="7" t="n">
        <v>45186</v>
      </c>
      <c r="L1576" s="7" t="inlineStr"/>
      <c r="M1576" s="5" t="inlineStr">
        <is>
          <t>Yes</t>
        </is>
      </c>
      <c r="N1576" s="5" t="inlineStr"/>
      <c r="O1576" s="8" t="inlineStr">
        <is>
          <t>278000</t>
        </is>
      </c>
      <c r="P1576" s="5" t="inlineStr">
        <is>
          <t>0</t>
        </is>
      </c>
      <c r="Q1576" s="5" t="inlineStr">
        <is>
          <t>3</t>
        </is>
      </c>
      <c r="R1576" s="5" t="inlineStr">
        <is>
          <t>5</t>
        </is>
      </c>
      <c r="S1576" s="5" t="inlineStr">
        <is>
          <t>27</t>
        </is>
      </c>
      <c r="T1576" s="5" t="inlineStr">
        <is>
          <t>11</t>
        </is>
      </c>
      <c r="U1576" s="5" t="inlineStr">
        <is>
          <t>OK</t>
        </is>
      </c>
    </row>
    <row r="1577">
      <c r="A1577" s="5" t="inlineStr">
        <is>
          <t>E01833</t>
        </is>
      </c>
      <c r="B1577" s="5" t="inlineStr">
        <is>
          <t>Male</t>
        </is>
      </c>
      <c r="C1577" s="6" t="inlineStr">
        <is>
          <t>31</t>
        </is>
      </c>
      <c r="D1577" s="5" t="inlineStr">
        <is>
          <t>Married</t>
        </is>
      </c>
      <c r="E1577" s="5" t="inlineStr">
        <is>
          <t>Diploma</t>
        </is>
      </c>
      <c r="F1577" s="5" t="inlineStr">
        <is>
          <t>Customer Support</t>
        </is>
      </c>
      <c r="G1577" s="5" t="inlineStr">
        <is>
          <t>Support Lead</t>
        </is>
      </c>
      <c r="H1577" s="5" t="inlineStr">
        <is>
          <t>3</t>
        </is>
      </c>
      <c r="I1577" s="5" t="inlineStr">
        <is>
          <t>Delhi</t>
        </is>
      </c>
      <c r="J1577" s="5" t="inlineStr">
        <is>
          <t>Full-Time</t>
        </is>
      </c>
      <c r="K1577" s="7" t="n">
        <v>44854</v>
      </c>
      <c r="L1577" s="7" t="n">
        <v>44905</v>
      </c>
      <c r="M1577" s="5" t="inlineStr">
        <is>
          <t>No</t>
        </is>
      </c>
      <c r="N1577" s="5" t="inlineStr">
        <is>
          <t>Resigned</t>
        </is>
      </c>
      <c r="O1577" s="8" t="inlineStr">
        <is>
          <t>72500</t>
        </is>
      </c>
      <c r="P1577" s="5" t="inlineStr">
        <is>
          <t>10</t>
        </is>
      </c>
      <c r="Q1577" s="5" t="inlineStr">
        <is>
          <t>5</t>
        </is>
      </c>
      <c r="R1577" s="5" t="inlineStr">
        <is>
          <t>7</t>
        </is>
      </c>
      <c r="S1577" s="5" t="inlineStr">
        <is>
          <t>1</t>
        </is>
      </c>
      <c r="T1577" s="5" t="inlineStr">
        <is>
          <t>12</t>
        </is>
      </c>
      <c r="U1577" s="5" t="inlineStr">
        <is>
          <t>OK</t>
        </is>
      </c>
    </row>
    <row r="1578">
      <c r="A1578" s="5" t="inlineStr">
        <is>
          <t>E01222</t>
        </is>
      </c>
      <c r="B1578" s="5" t="inlineStr">
        <is>
          <t>Female</t>
        </is>
      </c>
      <c r="C1578" s="6" t="inlineStr">
        <is>
          <t>30</t>
        </is>
      </c>
      <c r="D1578" s="5" t="inlineStr">
        <is>
          <t>Single</t>
        </is>
      </c>
      <c r="E1578" s="5" t="inlineStr">
        <is>
          <t>Bachelor</t>
        </is>
      </c>
      <c r="F1578" s="5" t="inlineStr">
        <is>
          <t>Sales</t>
        </is>
      </c>
      <c r="G1578" s="5" t="inlineStr">
        <is>
          <t>Sales Executive</t>
        </is>
      </c>
      <c r="H1578" s="5" t="inlineStr">
        <is>
          <t>3</t>
        </is>
      </c>
      <c r="I1578" s="5" t="inlineStr">
        <is>
          <t>Delhi</t>
        </is>
      </c>
      <c r="J1578" s="5" t="inlineStr">
        <is>
          <t>Full-Time</t>
        </is>
      </c>
      <c r="K1578" s="7" t="n">
        <v>45205</v>
      </c>
      <c r="L1578" s="7" t="inlineStr"/>
      <c r="M1578" s="5" t="inlineStr">
        <is>
          <t>Yes</t>
        </is>
      </c>
      <c r="N1578" s="5" t="inlineStr"/>
      <c r="O1578" s="8" t="inlineStr">
        <is>
          <t>96500</t>
        </is>
      </c>
      <c r="P1578" s="5" t="inlineStr">
        <is>
          <t>5</t>
        </is>
      </c>
      <c r="Q1578" s="5" t="inlineStr">
        <is>
          <t>4</t>
        </is>
      </c>
      <c r="R1578" s="5" t="inlineStr">
        <is>
          <t>4</t>
        </is>
      </c>
      <c r="S1578" s="5" t="inlineStr">
        <is>
          <t>27</t>
        </is>
      </c>
      <c r="T1578" s="5" t="inlineStr">
        <is>
          <t>6</t>
        </is>
      </c>
      <c r="U1578" s="5" t="inlineStr">
        <is>
          <t>OK</t>
        </is>
      </c>
    </row>
    <row r="1579">
      <c r="A1579" s="5" t="inlineStr">
        <is>
          <t>E02141</t>
        </is>
      </c>
      <c r="B1579" s="5" t="inlineStr">
        <is>
          <t>Female</t>
        </is>
      </c>
      <c r="C1579" s="6" t="inlineStr">
        <is>
          <t>35</t>
        </is>
      </c>
      <c r="D1579" s="5" t="inlineStr">
        <is>
          <t>Single</t>
        </is>
      </c>
      <c r="E1579" s="5" t="inlineStr">
        <is>
          <t>High School</t>
        </is>
      </c>
      <c r="F1579" s="5" t="inlineStr">
        <is>
          <t>Finance</t>
        </is>
      </c>
      <c r="G1579" s="5" t="inlineStr">
        <is>
          <t>Financial Analyst</t>
        </is>
      </c>
      <c r="H1579" s="5" t="inlineStr">
        <is>
          <t>6</t>
        </is>
      </c>
      <c r="I1579" s="5" t="inlineStr">
        <is>
          <t>Delhi</t>
        </is>
      </c>
      <c r="J1579" s="5" t="inlineStr">
        <is>
          <t>Full-Time</t>
        </is>
      </c>
      <c r="K1579" s="7" t="n">
        <v>44066</v>
      </c>
      <c r="L1579" s="7" t="inlineStr"/>
      <c r="M1579" s="5" t="inlineStr">
        <is>
          <t>Yes</t>
        </is>
      </c>
      <c r="N1579" s="5" t="inlineStr"/>
      <c r="O1579" s="8" t="inlineStr">
        <is>
          <t>140000</t>
        </is>
      </c>
      <c r="P1579" s="5" t="inlineStr">
        <is>
          <t>5</t>
        </is>
      </c>
      <c r="Q1579" s="5" t="inlineStr">
        <is>
          <t>4</t>
        </is>
      </c>
      <c r="R1579" s="5" t="inlineStr">
        <is>
          <t>7</t>
        </is>
      </c>
      <c r="S1579" s="5" t="inlineStr">
        <is>
          <t>65</t>
        </is>
      </c>
      <c r="T1579" s="5" t="inlineStr">
        <is>
          <t>12</t>
        </is>
      </c>
      <c r="U1579" s="5" t="inlineStr">
        <is>
          <t>OK</t>
        </is>
      </c>
    </row>
    <row r="1580">
      <c r="A1580" s="5" t="inlineStr">
        <is>
          <t>E02568</t>
        </is>
      </c>
      <c r="B1580" s="5" t="inlineStr">
        <is>
          <t>Unknown</t>
        </is>
      </c>
      <c r="C1580" s="6" t="inlineStr">
        <is>
          <t>31</t>
        </is>
      </c>
      <c r="D1580" s="5" t="inlineStr">
        <is>
          <t>Married</t>
        </is>
      </c>
      <c r="E1580" s="5" t="inlineStr">
        <is>
          <t>PhD</t>
        </is>
      </c>
      <c r="F1580" s="5" t="inlineStr">
        <is>
          <t>Sales</t>
        </is>
      </c>
      <c r="G1580" s="5" t="inlineStr">
        <is>
          <t>Account Executive</t>
        </is>
      </c>
      <c r="H1580" s="5" t="inlineStr">
        <is>
          <t>2</t>
        </is>
      </c>
      <c r="I1580" s="5" t="inlineStr">
        <is>
          <t>Chennai</t>
        </is>
      </c>
      <c r="J1580" s="5" t="inlineStr">
        <is>
          <t>Full-Time</t>
        </is>
      </c>
      <c r="K1580" s="7" t="n">
        <v>45508</v>
      </c>
      <c r="L1580" s="7" t="inlineStr"/>
      <c r="M1580" s="5" t="inlineStr">
        <is>
          <t>Yes</t>
        </is>
      </c>
      <c r="N1580" s="5" t="inlineStr"/>
      <c r="O1580" s="8" t="inlineStr">
        <is>
          <t>82000</t>
        </is>
      </c>
      <c r="P1580" s="5" t="inlineStr">
        <is>
          <t>0</t>
        </is>
      </c>
      <c r="Q1580" s="5" t="inlineStr">
        <is>
          <t>5</t>
        </is>
      </c>
      <c r="R1580" s="5" t="inlineStr">
        <is>
          <t>7</t>
        </is>
      </c>
      <c r="S1580" s="5" t="inlineStr">
        <is>
          <t>17</t>
        </is>
      </c>
      <c r="T1580" s="5" t="inlineStr">
        <is>
          <t>9</t>
        </is>
      </c>
      <c r="U1580" s="5" t="inlineStr">
        <is>
          <t>Bad gender</t>
        </is>
      </c>
    </row>
    <row r="1581">
      <c r="A1581" s="5" t="inlineStr">
        <is>
          <t>E02310</t>
        </is>
      </c>
      <c r="B1581" s="5" t="inlineStr">
        <is>
          <t>Male</t>
        </is>
      </c>
      <c r="C1581" s="6" t="inlineStr">
        <is>
          <t>33</t>
        </is>
      </c>
      <c r="D1581" s="5" t="inlineStr">
        <is>
          <t>Married</t>
        </is>
      </c>
      <c r="E1581" s="5" t="inlineStr">
        <is>
          <t>Master</t>
        </is>
      </c>
      <c r="F1581" s="5" t="inlineStr">
        <is>
          <t>Customer Support</t>
        </is>
      </c>
      <c r="G1581" s="5" t="inlineStr">
        <is>
          <t>Escalation Specialist</t>
        </is>
      </c>
      <c r="H1581" s="5" t="inlineStr">
        <is>
          <t>1</t>
        </is>
      </c>
      <c r="I1581" s="5" t="inlineStr">
        <is>
          <t>Delhi</t>
        </is>
      </c>
      <c r="J1581" s="5" t="inlineStr">
        <is>
          <t>Full-Time</t>
        </is>
      </c>
      <c r="K1581" s="7" t="n">
        <v>44655</v>
      </c>
      <c r="L1581" s="7" t="n">
        <v>44743</v>
      </c>
      <c r="M1581" s="5" t="inlineStr">
        <is>
          <t>No</t>
        </is>
      </c>
      <c r="N1581" s="5" t="inlineStr">
        <is>
          <t>Retirement</t>
        </is>
      </c>
      <c r="O1581" s="8" t="inlineStr">
        <is>
          <t>45000</t>
        </is>
      </c>
      <c r="P1581" s="5" t="inlineStr">
        <is>
          <t>5</t>
        </is>
      </c>
      <c r="Q1581" s="5" t="inlineStr">
        <is>
          <t>2</t>
        </is>
      </c>
      <c r="R1581" s="5" t="inlineStr">
        <is>
          <t>7</t>
        </is>
      </c>
      <c r="S1581" s="5" t="inlineStr">
        <is>
          <t>2</t>
        </is>
      </c>
      <c r="T1581" s="5" t="inlineStr">
        <is>
          <t>3</t>
        </is>
      </c>
      <c r="U1581" s="5" t="inlineStr">
        <is>
          <t>OK</t>
        </is>
      </c>
    </row>
    <row r="1582">
      <c r="A1582" s="5" t="inlineStr">
        <is>
          <t>E02109</t>
        </is>
      </c>
      <c r="B1582" s="5" t="inlineStr">
        <is>
          <t>Male</t>
        </is>
      </c>
      <c r="C1582" s="6" t="inlineStr">
        <is>
          <t>33</t>
        </is>
      </c>
      <c r="D1582" s="5" t="inlineStr">
        <is>
          <t>Married</t>
        </is>
      </c>
      <c r="E1582" s="5" t="inlineStr">
        <is>
          <t>Diploma</t>
        </is>
      </c>
      <c r="F1582" s="5" t="inlineStr">
        <is>
          <t>Research &amp; Development</t>
        </is>
      </c>
      <c r="G1582" s="5" t="inlineStr">
        <is>
          <t>Research Scientist</t>
        </is>
      </c>
      <c r="H1582" s="5" t="inlineStr">
        <is>
          <t>1</t>
        </is>
      </c>
      <c r="I1582" s="5" t="inlineStr">
        <is>
          <t>Chennai</t>
        </is>
      </c>
      <c r="J1582" s="5" t="inlineStr">
        <is>
          <t>Full-Time</t>
        </is>
      </c>
      <c r="K1582" s="7" t="n">
        <v>43862</v>
      </c>
      <c r="L1582" s="7" t="inlineStr"/>
      <c r="M1582" s="5" t="inlineStr">
        <is>
          <t>Yes</t>
        </is>
      </c>
      <c r="N1582" s="5" t="inlineStr"/>
      <c r="O1582" s="8" t="inlineStr">
        <is>
          <t>110000</t>
        </is>
      </c>
      <c r="P1582" s="5" t="inlineStr">
        <is>
          <t>10</t>
        </is>
      </c>
      <c r="Q1582" s="5" t="inlineStr">
        <is>
          <t>3</t>
        </is>
      </c>
      <c r="R1582" s="5" t="inlineStr">
        <is>
          <t>7</t>
        </is>
      </c>
      <c r="S1582" s="5" t="inlineStr">
        <is>
          <t>72</t>
        </is>
      </c>
      <c r="T1582" s="5" t="inlineStr">
        <is>
          <t>1</t>
        </is>
      </c>
      <c r="U1582" s="5" t="inlineStr">
        <is>
          <t>OK</t>
        </is>
      </c>
    </row>
    <row r="1583">
      <c r="A1583" s="5" t="inlineStr">
        <is>
          <t>E02428</t>
        </is>
      </c>
      <c r="B1583" s="5" t="inlineStr">
        <is>
          <t>Female</t>
        </is>
      </c>
      <c r="C1583" s="6" t="inlineStr">
        <is>
          <t>29</t>
        </is>
      </c>
      <c r="D1583" s="5" t="inlineStr">
        <is>
          <t>Single</t>
        </is>
      </c>
      <c r="E1583" s="5" t="inlineStr">
        <is>
          <t>High School</t>
        </is>
      </c>
      <c r="F1583" s="5" t="inlineStr">
        <is>
          <t>Operations</t>
        </is>
      </c>
      <c r="G1583" s="5" t="inlineStr">
        <is>
          <t>Quality Analyst</t>
        </is>
      </c>
      <c r="H1583" s="5" t="inlineStr">
        <is>
          <t>3</t>
        </is>
      </c>
      <c r="I1583" s="5" t="inlineStr">
        <is>
          <t>Bengaluru</t>
        </is>
      </c>
      <c r="J1583" s="5" t="inlineStr">
        <is>
          <t>Contract</t>
        </is>
      </c>
      <c r="K1583" s="7" t="n">
        <v>45567</v>
      </c>
      <c r="L1583" s="7" t="inlineStr"/>
      <c r="M1583" s="5" t="inlineStr">
        <is>
          <t>Yes</t>
        </is>
      </c>
      <c r="N1583" s="5" t="inlineStr"/>
      <c r="O1583" s="8" t="inlineStr">
        <is>
          <t>77000</t>
        </is>
      </c>
      <c r="P1583" s="5" t="inlineStr">
        <is>
          <t>10</t>
        </is>
      </c>
      <c r="Q1583" s="5" t="inlineStr">
        <is>
          <t>5</t>
        </is>
      </c>
      <c r="R1583" s="5" t="inlineStr">
        <is>
          <t>6</t>
        </is>
      </c>
      <c r="S1583" s="5" t="inlineStr">
        <is>
          <t>15</t>
        </is>
      </c>
      <c r="T1583" s="5" t="inlineStr">
        <is>
          <t>11</t>
        </is>
      </c>
      <c r="U1583" s="5" t="inlineStr">
        <is>
          <t>OK</t>
        </is>
      </c>
    </row>
    <row r="1584">
      <c r="A1584" s="5" t="inlineStr">
        <is>
          <t>E01046</t>
        </is>
      </c>
      <c r="B1584" s="5" t="inlineStr">
        <is>
          <t>male</t>
        </is>
      </c>
      <c r="C1584" s="6" t="inlineStr">
        <is>
          <t>23</t>
        </is>
      </c>
      <c r="D1584" s="5" t="inlineStr">
        <is>
          <t>Married</t>
        </is>
      </c>
      <c r="E1584" s="5" t="inlineStr">
        <is>
          <t>Master</t>
        </is>
      </c>
      <c r="F1584" s="5" t="inlineStr">
        <is>
          <t>Sales</t>
        </is>
      </c>
      <c r="G1584" s="5" t="inlineStr">
        <is>
          <t>Account Executive</t>
        </is>
      </c>
      <c r="H1584" s="5" t="inlineStr">
        <is>
          <t>1</t>
        </is>
      </c>
      <c r="I1584" s="5" t="inlineStr">
        <is>
          <t>Hyderabad</t>
        </is>
      </c>
      <c r="J1584" s="5" t="inlineStr">
        <is>
          <t>Full-Time</t>
        </is>
      </c>
      <c r="K1584" s="7" t="n">
        <v>44944</v>
      </c>
      <c r="L1584" s="7" t="inlineStr"/>
      <c r="M1584" s="5" t="inlineStr">
        <is>
          <t>Yes</t>
        </is>
      </c>
      <c r="N1584" s="5" t="inlineStr"/>
      <c r="O1584" s="8" t="inlineStr">
        <is>
          <t>65000</t>
        </is>
      </c>
      <c r="P1584" s="5" t="inlineStr">
        <is>
          <t>5</t>
        </is>
      </c>
      <c r="Q1584" s="5" t="inlineStr">
        <is>
          <t>3</t>
        </is>
      </c>
      <c r="R1584" s="5" t="inlineStr">
        <is>
          <t>6</t>
        </is>
      </c>
      <c r="S1584" s="5" t="inlineStr">
        <is>
          <t>35</t>
        </is>
      </c>
      <c r="T1584" s="5" t="inlineStr">
        <is>
          <t>7</t>
        </is>
      </c>
      <c r="U1584" s="5" t="inlineStr">
        <is>
          <t>OK</t>
        </is>
      </c>
    </row>
    <row r="1585">
      <c r="A1585" s="5" t="inlineStr">
        <is>
          <t>E02325</t>
        </is>
      </c>
      <c r="B1585" s="5" t="inlineStr">
        <is>
          <t>Female</t>
        </is>
      </c>
      <c r="C1585" s="6" t="inlineStr">
        <is>
          <t>27</t>
        </is>
      </c>
      <c r="D1585" s="5" t="inlineStr">
        <is>
          <t>Married</t>
        </is>
      </c>
      <c r="E1585" s="5" t="inlineStr">
        <is>
          <t>Diploma</t>
        </is>
      </c>
      <c r="F1585" s="5" t="inlineStr">
        <is>
          <t>Finance</t>
        </is>
      </c>
      <c r="G1585" s="5" t="inlineStr">
        <is>
          <t>Accountant</t>
        </is>
      </c>
      <c r="H1585" s="5" t="inlineStr">
        <is>
          <t>1</t>
        </is>
      </c>
      <c r="I1585" s="5" t="inlineStr">
        <is>
          <t>Remote</t>
        </is>
      </c>
      <c r="J1585" s="5" t="inlineStr">
        <is>
          <t>Full-Time</t>
        </is>
      </c>
      <c r="K1585" s="7" t="n">
        <v>45970</v>
      </c>
      <c r="L1585" s="7" t="inlineStr"/>
      <c r="M1585" s="5" t="inlineStr">
        <is>
          <t>Yes</t>
        </is>
      </c>
      <c r="N1585" s="5" t="inlineStr"/>
      <c r="O1585" s="8" t="inlineStr">
        <is>
          <t>86000</t>
        </is>
      </c>
      <c r="P1585" s="5" t="inlineStr">
        <is>
          <t>5</t>
        </is>
      </c>
      <c r="Q1585" s="5" t="inlineStr">
        <is>
          <t>3</t>
        </is>
      </c>
      <c r="R1585" s="5" t="inlineStr">
        <is>
          <t>8</t>
        </is>
      </c>
      <c r="S1585" s="5" t="inlineStr">
        <is>
          <t>1</t>
        </is>
      </c>
      <c r="T1585" s="5" t="inlineStr">
        <is>
          <t>0</t>
        </is>
      </c>
      <c r="U1585" s="5" t="inlineStr">
        <is>
          <t>OK</t>
        </is>
      </c>
    </row>
    <row r="1586">
      <c r="A1586" s="5" t="inlineStr">
        <is>
          <t>E02838</t>
        </is>
      </c>
      <c r="B1586" s="5" t="inlineStr">
        <is>
          <t>Male</t>
        </is>
      </c>
      <c r="C1586" s="6" t="inlineStr">
        <is>
          <t>41</t>
        </is>
      </c>
      <c r="D1586" s="5" t="inlineStr">
        <is>
          <t>Divorced</t>
        </is>
      </c>
      <c r="E1586" s="5" t="inlineStr">
        <is>
          <t>Master</t>
        </is>
      </c>
      <c r="F1586" s="5" t="inlineStr">
        <is>
          <t>Finance</t>
        </is>
      </c>
      <c r="G1586" s="5" t="inlineStr">
        <is>
          <t>Financial Analyst</t>
        </is>
      </c>
      <c r="H1586" s="5" t="inlineStr">
        <is>
          <t>5</t>
        </is>
      </c>
      <c r="I1586" s="5" t="inlineStr">
        <is>
          <t>Mumbai</t>
        </is>
      </c>
      <c r="J1586" s="5" t="inlineStr">
        <is>
          <t>Full-Time</t>
        </is>
      </c>
      <c r="K1586" s="7" t="n">
        <v>45585</v>
      </c>
      <c r="L1586" s="7" t="inlineStr"/>
      <c r="M1586" s="5" t="inlineStr">
        <is>
          <t>Yes</t>
        </is>
      </c>
      <c r="N1586" s="5" t="inlineStr"/>
      <c r="O1586" s="8" t="inlineStr">
        <is>
          <t>168500</t>
        </is>
      </c>
      <c r="P1586" s="5" t="inlineStr">
        <is>
          <t>15</t>
        </is>
      </c>
      <c r="Q1586" s="5" t="inlineStr">
        <is>
          <t>3</t>
        </is>
      </c>
      <c r="R1586" s="5" t="inlineStr">
        <is>
          <t>4</t>
        </is>
      </c>
      <c r="S1586" s="5" t="inlineStr">
        <is>
          <t>14</t>
        </is>
      </c>
      <c r="T1586" s="5" t="inlineStr">
        <is>
          <t>13</t>
        </is>
      </c>
      <c r="U1586" s="5" t="inlineStr">
        <is>
          <t>OK</t>
        </is>
      </c>
    </row>
    <row r="1587">
      <c r="A1587" s="5" t="inlineStr">
        <is>
          <t>E02153</t>
        </is>
      </c>
      <c r="B1587" s="5" t="inlineStr">
        <is>
          <t>Male</t>
        </is>
      </c>
      <c r="C1587" s="6" t="inlineStr">
        <is>
          <t>36</t>
        </is>
      </c>
      <c r="D1587" s="5" t="inlineStr">
        <is>
          <t>Married</t>
        </is>
      </c>
      <c r="E1587" s="5" t="inlineStr">
        <is>
          <t>Diploma</t>
        </is>
      </c>
      <c r="F1587" s="5" t="inlineStr">
        <is>
          <t>Finance</t>
        </is>
      </c>
      <c r="G1587" s="5" t="inlineStr">
        <is>
          <t>Financial Analyst</t>
        </is>
      </c>
      <c r="H1587" s="5" t="inlineStr">
        <is>
          <t>2</t>
        </is>
      </c>
      <c r="I1587" s="5" t="inlineStr">
        <is>
          <t>Mumbai</t>
        </is>
      </c>
      <c r="J1587" s="5" t="inlineStr">
        <is>
          <t>Full-Time</t>
        </is>
      </c>
      <c r="K1587" s="7" t="n">
        <v>45348</v>
      </c>
      <c r="L1587" s="7" t="inlineStr"/>
      <c r="M1587" s="5" t="inlineStr">
        <is>
          <t>Yes</t>
        </is>
      </c>
      <c r="N1587" s="5" t="inlineStr"/>
      <c r="O1587" s="8" t="inlineStr">
        <is>
          <t>104000</t>
        </is>
      </c>
      <c r="P1587" s="5" t="inlineStr">
        <is>
          <t>10</t>
        </is>
      </c>
      <c r="Q1587" s="5" t="inlineStr">
        <is>
          <t>4</t>
        </is>
      </c>
      <c r="R1587" s="5" t="inlineStr">
        <is>
          <t>6</t>
        </is>
      </c>
      <c r="S1587" s="5" t="inlineStr">
        <is>
          <t>22</t>
        </is>
      </c>
      <c r="T1587" s="5" t="inlineStr">
        <is>
          <t>6</t>
        </is>
      </c>
      <c r="U1587" s="5" t="inlineStr">
        <is>
          <t>OK</t>
        </is>
      </c>
    </row>
    <row r="1588">
      <c r="A1588" s="5" t="inlineStr">
        <is>
          <t>E01066</t>
        </is>
      </c>
      <c r="B1588" s="5" t="inlineStr">
        <is>
          <t>Female</t>
        </is>
      </c>
      <c r="C1588" s="6" t="inlineStr">
        <is>
          <t>30</t>
        </is>
      </c>
      <c r="D1588" s="5" t="inlineStr">
        <is>
          <t>Single</t>
        </is>
      </c>
      <c r="E1588" s="5" t="inlineStr">
        <is>
          <t>PhD</t>
        </is>
      </c>
      <c r="F1588" s="5" t="inlineStr">
        <is>
          <t>Sales</t>
        </is>
      </c>
      <c r="G1588" s="5" t="inlineStr">
        <is>
          <t>Business Development</t>
        </is>
      </c>
      <c r="H1588" s="5" t="inlineStr">
        <is>
          <t>3</t>
        </is>
      </c>
      <c r="I1588" s="5" t="inlineStr">
        <is>
          <t>Hyderabad</t>
        </is>
      </c>
      <c r="J1588" s="5" t="inlineStr">
        <is>
          <t>Part-Time</t>
        </is>
      </c>
      <c r="K1588" s="7" t="n">
        <v>43912</v>
      </c>
      <c r="L1588" s="7" t="inlineStr"/>
      <c r="M1588" s="5" t="inlineStr">
        <is>
          <t>Yes</t>
        </is>
      </c>
      <c r="N1588" s="5" t="inlineStr"/>
      <c r="O1588" s="8" t="inlineStr">
        <is>
          <t>86500</t>
        </is>
      </c>
      <c r="P1588" s="5" t="inlineStr">
        <is>
          <t>10</t>
        </is>
      </c>
      <c r="Q1588" s="5" t="inlineStr">
        <is>
          <t>5</t>
        </is>
      </c>
      <c r="R1588" s="5" t="inlineStr">
        <is>
          <t>6</t>
        </is>
      </c>
      <c r="S1588" s="5" t="inlineStr">
        <is>
          <t>70</t>
        </is>
      </c>
      <c r="T1588" s="5" t="inlineStr">
        <is>
          <t>8</t>
        </is>
      </c>
      <c r="U1588" s="5" t="inlineStr">
        <is>
          <t>OK</t>
        </is>
      </c>
    </row>
    <row r="1589">
      <c r="A1589" s="5" t="inlineStr">
        <is>
          <t>E01861</t>
        </is>
      </c>
      <c r="B1589" s="5" t="inlineStr">
        <is>
          <t>Male</t>
        </is>
      </c>
      <c r="C1589" s="6" t="inlineStr">
        <is>
          <t>34</t>
        </is>
      </c>
      <c r="D1589" s="5" t="inlineStr">
        <is>
          <t>Married</t>
        </is>
      </c>
      <c r="E1589" s="5" t="inlineStr">
        <is>
          <t>Bachelor</t>
        </is>
      </c>
      <c r="F1589" s="5" t="inlineStr">
        <is>
          <t>Marketing</t>
        </is>
      </c>
      <c r="G1589" s="5" t="inlineStr">
        <is>
          <t>SEO Specialist</t>
        </is>
      </c>
      <c r="H1589" s="5" t="inlineStr">
        <is>
          <t>1</t>
        </is>
      </c>
      <c r="I1589" s="5" t="inlineStr">
        <is>
          <t>Hyderabad</t>
        </is>
      </c>
      <c r="J1589" s="5" t="inlineStr">
        <is>
          <t>Full-Time</t>
        </is>
      </c>
      <c r="K1589" s="7" t="n">
        <v>44450</v>
      </c>
      <c r="L1589" s="7" t="inlineStr"/>
      <c r="M1589" s="5" t="inlineStr">
        <is>
          <t>Yes</t>
        </is>
      </c>
      <c r="N1589" s="5" t="inlineStr"/>
      <c r="O1589" s="8" t="inlineStr">
        <is>
          <t>52000</t>
        </is>
      </c>
      <c r="P1589" s="5" t="inlineStr">
        <is>
          <t>5</t>
        </is>
      </c>
      <c r="Q1589" s="5" t="inlineStr">
        <is>
          <t>2</t>
        </is>
      </c>
      <c r="R1589" s="5" t="inlineStr">
        <is>
          <t>10</t>
        </is>
      </c>
      <c r="S1589" s="5" t="inlineStr">
        <is>
          <t>52</t>
        </is>
      </c>
      <c r="T1589" s="5" t="inlineStr">
        <is>
          <t>7</t>
        </is>
      </c>
      <c r="U1589" s="5" t="inlineStr">
        <is>
          <t>OK</t>
        </is>
      </c>
    </row>
    <row r="1590">
      <c r="A1590" s="5" t="inlineStr">
        <is>
          <t>E00601</t>
        </is>
      </c>
      <c r="B1590" s="5" t="inlineStr">
        <is>
          <t>Male</t>
        </is>
      </c>
      <c r="C1590" s="6" t="inlineStr">
        <is>
          <t>27</t>
        </is>
      </c>
      <c r="D1590" s="5" t="inlineStr">
        <is>
          <t>Married</t>
        </is>
      </c>
      <c r="E1590" s="5" t="inlineStr">
        <is>
          <t>Diploma</t>
        </is>
      </c>
      <c r="F1590" s="5" t="inlineStr">
        <is>
          <t>Research &amp; Development</t>
        </is>
      </c>
      <c r="G1590" s="5" t="inlineStr">
        <is>
          <t>Data Scientist</t>
        </is>
      </c>
      <c r="H1590" s="5" t="inlineStr">
        <is>
          <t>2</t>
        </is>
      </c>
      <c r="I1590" s="5" t="inlineStr">
        <is>
          <t>Hyderabad</t>
        </is>
      </c>
      <c r="J1590" s="5" t="inlineStr">
        <is>
          <t>Full-Time</t>
        </is>
      </c>
      <c r="K1590" s="7" t="n">
        <v>45030</v>
      </c>
      <c r="L1590" s="7" t="inlineStr"/>
      <c r="M1590" s="5" t="inlineStr">
        <is>
          <t>Yes</t>
        </is>
      </c>
      <c r="N1590" s="5" t="inlineStr"/>
      <c r="O1590" s="8" t="inlineStr">
        <is>
          <t>152500</t>
        </is>
      </c>
      <c r="P1590" s="5" t="inlineStr">
        <is>
          <t>0</t>
        </is>
      </c>
      <c r="Q1590" s="5" t="inlineStr">
        <is>
          <t>3</t>
        </is>
      </c>
      <c r="R1590" s="5" t="inlineStr">
        <is>
          <t>7</t>
        </is>
      </c>
      <c r="S1590" s="5" t="inlineStr">
        <is>
          <t>33</t>
        </is>
      </c>
      <c r="T1590" s="5" t="inlineStr">
        <is>
          <t>0</t>
        </is>
      </c>
      <c r="U1590" s="5" t="inlineStr">
        <is>
          <t>OK</t>
        </is>
      </c>
    </row>
    <row r="1591">
      <c r="A1591" s="5" t="inlineStr">
        <is>
          <t>E01171</t>
        </is>
      </c>
      <c r="B1591" s="5" t="inlineStr">
        <is>
          <t>Male</t>
        </is>
      </c>
      <c r="C1591" s="6" t="inlineStr">
        <is>
          <t>37</t>
        </is>
      </c>
      <c r="D1591" s="5" t="inlineStr">
        <is>
          <t>Single</t>
        </is>
      </c>
      <c r="E1591" s="5" t="inlineStr">
        <is>
          <t>High School</t>
        </is>
      </c>
      <c r="F1591" s="5" t="inlineStr">
        <is>
          <t>Customer Support</t>
        </is>
      </c>
      <c r="G1591" s="5" t="inlineStr">
        <is>
          <t>Support Agent</t>
        </is>
      </c>
      <c r="H1591" s="5" t="inlineStr">
        <is>
          <t>4</t>
        </is>
      </c>
      <c r="I1591" s="5" t="inlineStr">
        <is>
          <t>Delhi</t>
        </is>
      </c>
      <c r="J1591" s="5" t="inlineStr">
        <is>
          <t>Full-Time</t>
        </is>
      </c>
      <c r="K1591" s="7" t="n">
        <v>45922</v>
      </c>
      <c r="L1591" s="7" t="n">
        <v>46007</v>
      </c>
      <c r="M1591" s="5" t="inlineStr">
        <is>
          <t>No</t>
        </is>
      </c>
      <c r="N1591" s="5" t="inlineStr">
        <is>
          <t>Resigned</t>
        </is>
      </c>
      <c r="O1591" s="8" t="inlineStr">
        <is>
          <t>91000</t>
        </is>
      </c>
      <c r="P1591" s="5" t="inlineStr">
        <is>
          <t>5</t>
        </is>
      </c>
      <c r="Q1591" s="5" t="inlineStr">
        <is>
          <t>4</t>
        </is>
      </c>
      <c r="R1591" s="5" t="inlineStr">
        <is>
          <t>8</t>
        </is>
      </c>
      <c r="S1591" s="5" t="inlineStr">
        <is>
          <t>2</t>
        </is>
      </c>
      <c r="T1591" s="5" t="inlineStr">
        <is>
          <t>0</t>
        </is>
      </c>
      <c r="U1591" s="5" t="inlineStr">
        <is>
          <t>OK</t>
        </is>
      </c>
    </row>
    <row r="1592">
      <c r="A1592" s="5" t="inlineStr">
        <is>
          <t>E00682</t>
        </is>
      </c>
      <c r="B1592" s="5" t="inlineStr">
        <is>
          <t>Female</t>
        </is>
      </c>
      <c r="C1592" s="6" t="inlineStr">
        <is>
          <t>30</t>
        </is>
      </c>
      <c r="D1592" s="5" t="inlineStr">
        <is>
          <t>Married</t>
        </is>
      </c>
      <c r="E1592" s="5" t="inlineStr">
        <is>
          <t>Diploma</t>
        </is>
      </c>
      <c r="F1592" s="5" t="inlineStr">
        <is>
          <t>Executive</t>
        </is>
      </c>
      <c r="G1592" s="5" t="inlineStr">
        <is>
          <t>CFO</t>
        </is>
      </c>
      <c r="H1592" s="5" t="inlineStr">
        <is>
          <t>1</t>
        </is>
      </c>
      <c r="I1592" s="5" t="inlineStr">
        <is>
          <t>Hyderabad</t>
        </is>
      </c>
      <c r="J1592" s="5" t="inlineStr">
        <is>
          <t>Full-Time</t>
        </is>
      </c>
      <c r="K1592" s="7" t="n">
        <v>44857</v>
      </c>
      <c r="L1592" s="7" t="inlineStr"/>
      <c r="M1592" s="5" t="inlineStr">
        <is>
          <t>Yes</t>
        </is>
      </c>
      <c r="N1592" s="5" t="inlineStr"/>
      <c r="O1592" s="8" t="inlineStr">
        <is>
          <t>205000</t>
        </is>
      </c>
      <c r="P1592" s="5" t="inlineStr">
        <is>
          <t>0</t>
        </is>
      </c>
      <c r="Q1592" s="5" t="inlineStr">
        <is>
          <t>4</t>
        </is>
      </c>
      <c r="R1592" s="5" t="inlineStr">
        <is>
          <t>7</t>
        </is>
      </c>
      <c r="S1592" s="5" t="inlineStr">
        <is>
          <t>38</t>
        </is>
      </c>
      <c r="T1592" s="5" t="inlineStr">
        <is>
          <t>9</t>
        </is>
      </c>
      <c r="U1592" s="5" t="inlineStr">
        <is>
          <t>OK</t>
        </is>
      </c>
    </row>
    <row r="1593">
      <c r="A1593" s="5" t="inlineStr">
        <is>
          <t>E02356</t>
        </is>
      </c>
      <c r="B1593" s="5" t="inlineStr">
        <is>
          <t>Female</t>
        </is>
      </c>
      <c r="C1593" s="6" t="inlineStr">
        <is>
          <t>26</t>
        </is>
      </c>
      <c r="D1593" s="5" t="inlineStr">
        <is>
          <t>Married</t>
        </is>
      </c>
      <c r="E1593" s="5" t="inlineStr">
        <is>
          <t>High School</t>
        </is>
      </c>
      <c r="F1593" s="5" t="inlineStr">
        <is>
          <t>Research &amp; Development</t>
        </is>
      </c>
      <c r="G1593" s="5" t="inlineStr">
        <is>
          <t>Research Scientist</t>
        </is>
      </c>
      <c r="H1593" s="5" t="inlineStr">
        <is>
          <t>2</t>
        </is>
      </c>
      <c r="I1593" s="5" t="inlineStr">
        <is>
          <t>Delhi</t>
        </is>
      </c>
      <c r="J1593" s="5" t="inlineStr">
        <is>
          <t>Full-Time</t>
        </is>
      </c>
      <c r="K1593" s="7" t="n">
        <v>45034</v>
      </c>
      <c r="L1593" s="7" t="inlineStr"/>
      <c r="M1593" s="5" t="inlineStr">
        <is>
          <t>Yes</t>
        </is>
      </c>
      <c r="N1593" s="5" t="inlineStr"/>
      <c r="O1593" s="8" t="inlineStr">
        <is>
          <t>108000</t>
        </is>
      </c>
      <c r="P1593" s="5" t="inlineStr">
        <is>
          <t>5</t>
        </is>
      </c>
      <c r="Q1593" s="5" t="inlineStr">
        <is>
          <t>3</t>
        </is>
      </c>
      <c r="R1593" s="5" t="inlineStr">
        <is>
          <t>6</t>
        </is>
      </c>
      <c r="S1593" s="5" t="inlineStr">
        <is>
          <t>32</t>
        </is>
      </c>
      <c r="T1593" s="5" t="inlineStr">
        <is>
          <t>0</t>
        </is>
      </c>
      <c r="U1593" s="5" t="inlineStr">
        <is>
          <t>OK</t>
        </is>
      </c>
    </row>
    <row r="1594">
      <c r="A1594" s="5" t="inlineStr">
        <is>
          <t>E01023</t>
        </is>
      </c>
      <c r="B1594" s="5" t="inlineStr">
        <is>
          <t>Male</t>
        </is>
      </c>
      <c r="C1594" s="6" t="inlineStr">
        <is>
          <t>33</t>
        </is>
      </c>
      <c r="D1594" s="5" t="inlineStr">
        <is>
          <t>Married</t>
        </is>
      </c>
      <c r="E1594" s="5" t="inlineStr">
        <is>
          <t>Bachelor</t>
        </is>
      </c>
      <c r="F1594" s="5" t="inlineStr">
        <is>
          <t>Research &amp; Development</t>
        </is>
      </c>
      <c r="G1594" s="5" t="inlineStr">
        <is>
          <t>Research Scientist</t>
        </is>
      </c>
      <c r="H1594" s="5" t="inlineStr">
        <is>
          <t>2</t>
        </is>
      </c>
      <c r="I1594" s="5" t="inlineStr">
        <is>
          <t>Remote</t>
        </is>
      </c>
      <c r="J1594" s="5" t="inlineStr">
        <is>
          <t>Full-Time</t>
        </is>
      </c>
      <c r="K1594" s="7" t="n">
        <v>45472</v>
      </c>
      <c r="L1594" s="7" t="inlineStr"/>
      <c r="M1594" s="5" t="inlineStr">
        <is>
          <t>Yes</t>
        </is>
      </c>
      <c r="N1594" s="5" t="inlineStr"/>
      <c r="O1594" s="8" t="inlineStr">
        <is>
          <t>139500</t>
        </is>
      </c>
      <c r="P1594" s="5" t="inlineStr">
        <is>
          <t>10</t>
        </is>
      </c>
      <c r="Q1594" s="5" t="inlineStr">
        <is>
          <t>3</t>
        </is>
      </c>
      <c r="R1594" s="5" t="inlineStr">
        <is>
          <t>6</t>
        </is>
      </c>
      <c r="S1594" s="5" t="inlineStr">
        <is>
          <t>18</t>
        </is>
      </c>
      <c r="T1594" s="5" t="inlineStr">
        <is>
          <t>6</t>
        </is>
      </c>
      <c r="U1594" s="5" t="inlineStr">
        <is>
          <t>OK</t>
        </is>
      </c>
    </row>
    <row r="1595">
      <c r="A1595" s="5" t="inlineStr">
        <is>
          <t>E01569</t>
        </is>
      </c>
      <c r="B1595" s="5" t="inlineStr">
        <is>
          <t>Female</t>
        </is>
      </c>
      <c r="C1595" s="6" t="inlineStr">
        <is>
          <t>38</t>
        </is>
      </c>
      <c r="D1595" s="5" t="inlineStr">
        <is>
          <t>Single</t>
        </is>
      </c>
      <c r="E1595" s="5" t="inlineStr">
        <is>
          <t>Master</t>
        </is>
      </c>
      <c r="F1595" s="5" t="inlineStr">
        <is>
          <t>Research &amp; Development</t>
        </is>
      </c>
      <c r="G1595" s="5" t="inlineStr">
        <is>
          <t>Product Engineer</t>
        </is>
      </c>
      <c r="H1595" s="5" t="inlineStr">
        <is>
          <t>4</t>
        </is>
      </c>
      <c r="I1595" s="5" t="inlineStr">
        <is>
          <t>Bengaluru</t>
        </is>
      </c>
      <c r="J1595" s="5" t="inlineStr">
        <is>
          <t>Full-Time</t>
        </is>
      </c>
      <c r="K1595" s="7" t="n">
        <v>45261</v>
      </c>
      <c r="L1595" s="7" t="inlineStr"/>
      <c r="M1595" s="5" t="inlineStr">
        <is>
          <t>Yes</t>
        </is>
      </c>
      <c r="N1595" s="5" t="inlineStr"/>
      <c r="O1595" s="8" t="inlineStr">
        <is>
          <t>170000</t>
        </is>
      </c>
      <c r="P1595" s="5" t="inlineStr">
        <is>
          <t>15</t>
        </is>
      </c>
      <c r="Q1595" s="5" t="inlineStr">
        <is>
          <t>2</t>
        </is>
      </c>
      <c r="R1595" s="5" t="inlineStr">
        <is>
          <t>4</t>
        </is>
      </c>
      <c r="S1595" s="5" t="inlineStr">
        <is>
          <t>25</t>
        </is>
      </c>
      <c r="T1595" s="5" t="inlineStr">
        <is>
          <t>14</t>
        </is>
      </c>
      <c r="U1595" s="5" t="inlineStr">
        <is>
          <t>OK</t>
        </is>
      </c>
    </row>
    <row r="1596">
      <c r="A1596" s="5" t="inlineStr">
        <is>
          <t>E01904</t>
        </is>
      </c>
      <c r="B1596" s="5" t="inlineStr">
        <is>
          <t>Female</t>
        </is>
      </c>
      <c r="C1596" s="6" t="inlineStr">
        <is>
          <t>29</t>
        </is>
      </c>
      <c r="D1596" s="5" t="inlineStr">
        <is>
          <t>Married</t>
        </is>
      </c>
      <c r="E1596" s="5" t="inlineStr">
        <is>
          <t>PhD</t>
        </is>
      </c>
      <c r="F1596" s="5" t="inlineStr">
        <is>
          <t>Research &amp; Development</t>
        </is>
      </c>
      <c r="G1596" s="5" t="inlineStr">
        <is>
          <t>Research Scientist</t>
        </is>
      </c>
      <c r="H1596" s="5" t="inlineStr">
        <is>
          <t>2</t>
        </is>
      </c>
      <c r="I1596" s="5" t="inlineStr">
        <is>
          <t>Hyderabad</t>
        </is>
      </c>
      <c r="J1596" s="5" t="inlineStr">
        <is>
          <t>Part-Time</t>
        </is>
      </c>
      <c r="K1596" s="7" t="n">
        <v>45627</v>
      </c>
      <c r="L1596" s="7" t="n">
        <v>45674</v>
      </c>
      <c r="M1596" s="5" t="inlineStr">
        <is>
          <t>No</t>
        </is>
      </c>
      <c r="N1596" s="5" t="inlineStr">
        <is>
          <t>Layoff</t>
        </is>
      </c>
      <c r="O1596" s="8" t="inlineStr">
        <is>
          <t>148000</t>
        </is>
      </c>
      <c r="P1596" s="5" t="inlineStr">
        <is>
          <t>5</t>
        </is>
      </c>
      <c r="Q1596" s="5" t="inlineStr">
        <is>
          <t>5</t>
        </is>
      </c>
      <c r="R1596" s="5" t="inlineStr">
        <is>
          <t>1</t>
        </is>
      </c>
      <c r="S1596" s="5" t="inlineStr">
        <is>
          <t>1</t>
        </is>
      </c>
      <c r="T1596" s="5" t="inlineStr">
        <is>
          <t>4</t>
        </is>
      </c>
      <c r="U1596" s="5" t="inlineStr">
        <is>
          <t>OK</t>
        </is>
      </c>
    </row>
    <row r="1597">
      <c r="A1597" s="5" t="inlineStr">
        <is>
          <t>E01467</t>
        </is>
      </c>
      <c r="B1597" s="5" t="inlineStr">
        <is>
          <t>Female</t>
        </is>
      </c>
      <c r="C1597" s="6" t="inlineStr">
        <is>
          <t>32</t>
        </is>
      </c>
      <c r="D1597" s="5" t="inlineStr">
        <is>
          <t>Single</t>
        </is>
      </c>
      <c r="E1597" s="5" t="inlineStr">
        <is>
          <t>Bachelor</t>
        </is>
      </c>
      <c r="F1597" s="5" t="inlineStr">
        <is>
          <t>Operations</t>
        </is>
      </c>
      <c r="G1597" s="5" t="inlineStr">
        <is>
          <t>Quality Analyst</t>
        </is>
      </c>
      <c r="H1597" s="5" t="inlineStr">
        <is>
          <t>4</t>
        </is>
      </c>
      <c r="I1597" s="5" t="inlineStr">
        <is>
          <t>Remote</t>
        </is>
      </c>
      <c r="J1597" s="5" t="inlineStr">
        <is>
          <t>Full-Time</t>
        </is>
      </c>
      <c r="K1597" s="7" t="n">
        <v>45670</v>
      </c>
      <c r="L1597" s="7" t="inlineStr"/>
      <c r="M1597" s="5" t="inlineStr">
        <is>
          <t>Yes</t>
        </is>
      </c>
      <c r="N1597" s="5" t="inlineStr"/>
      <c r="O1597" s="8" t="inlineStr">
        <is>
          <t>134500</t>
        </is>
      </c>
      <c r="P1597" s="5" t="inlineStr">
        <is>
          <t>0</t>
        </is>
      </c>
      <c r="Q1597" s="5" t="inlineStr">
        <is>
          <t>3</t>
        </is>
      </c>
      <c r="R1597" s="5" t="inlineStr">
        <is>
          <t>7</t>
        </is>
      </c>
      <c r="S1597" s="5" t="inlineStr">
        <is>
          <t>11</t>
        </is>
      </c>
      <c r="T1597" s="5" t="inlineStr">
        <is>
          <t>6</t>
        </is>
      </c>
      <c r="U1597" s="5" t="inlineStr">
        <is>
          <t>OK</t>
        </is>
      </c>
    </row>
    <row r="1598">
      <c r="A1598" s="5" t="inlineStr">
        <is>
          <t>E00459</t>
        </is>
      </c>
      <c r="B1598" s="5" t="inlineStr">
        <is>
          <t>Male</t>
        </is>
      </c>
      <c r="C1598" s="6" t="inlineStr">
        <is>
          <t>25</t>
        </is>
      </c>
      <c r="D1598" s="5" t="inlineStr">
        <is>
          <t>Married</t>
        </is>
      </c>
      <c r="E1598" s="5" t="inlineStr">
        <is>
          <t>High School</t>
        </is>
      </c>
      <c r="F1598" s="5" t="inlineStr">
        <is>
          <t>IT</t>
        </is>
      </c>
      <c r="G1598" s="5" t="inlineStr">
        <is>
          <t>DevOps Engineer</t>
        </is>
      </c>
      <c r="H1598" s="5" t="inlineStr">
        <is>
          <t>2</t>
        </is>
      </c>
      <c r="I1598" s="5" t="inlineStr">
        <is>
          <t>Mumbai</t>
        </is>
      </c>
      <c r="J1598" s="5" t="inlineStr">
        <is>
          <t>Full-Time</t>
        </is>
      </c>
      <c r="K1598" s="7" t="n">
        <v>44428</v>
      </c>
      <c r="L1598" s="7" t="inlineStr"/>
      <c r="M1598" s="5" t="inlineStr">
        <is>
          <t>Yes</t>
        </is>
      </c>
      <c r="N1598" s="5" t="inlineStr"/>
      <c r="O1598" s="8" t="inlineStr">
        <is>
          <t>129500</t>
        </is>
      </c>
      <c r="P1598" s="5" t="inlineStr">
        <is>
          <t>5</t>
        </is>
      </c>
      <c r="Q1598" s="5" t="inlineStr">
        <is>
          <t>4</t>
        </is>
      </c>
      <c r="R1598" s="5" t="inlineStr">
        <is>
          <t>1</t>
        </is>
      </c>
      <c r="S1598" s="5" t="inlineStr">
        <is>
          <t>53</t>
        </is>
      </c>
      <c r="T1598" s="5" t="inlineStr">
        <is>
          <t>6</t>
        </is>
      </c>
      <c r="U1598" s="5" t="inlineStr">
        <is>
          <t>OK</t>
        </is>
      </c>
    </row>
    <row r="1599">
      <c r="A1599" s="5" t="inlineStr">
        <is>
          <t>E00082</t>
        </is>
      </c>
      <c r="B1599" s="5" t="inlineStr">
        <is>
          <t>Female</t>
        </is>
      </c>
      <c r="C1599" s="6" t="inlineStr">
        <is>
          <t>27</t>
        </is>
      </c>
      <c r="D1599" s="5" t="inlineStr">
        <is>
          <t>Married</t>
        </is>
      </c>
      <c r="E1599" s="5" t="inlineStr">
        <is>
          <t>Master</t>
        </is>
      </c>
      <c r="F1599" s="5" t="inlineStr">
        <is>
          <t>Human Resources</t>
        </is>
      </c>
      <c r="G1599" s="5" t="inlineStr">
        <is>
          <t>HR Generalist</t>
        </is>
      </c>
      <c r="H1599" s="5" t="inlineStr">
        <is>
          <t>2</t>
        </is>
      </c>
      <c r="I1599" s="5" t="inlineStr">
        <is>
          <t>Remote</t>
        </is>
      </c>
      <c r="J1599" s="5" t="inlineStr">
        <is>
          <t>Full-Time</t>
        </is>
      </c>
      <c r="K1599" s="7" t="n">
        <v>45638</v>
      </c>
      <c r="L1599" s="7" t="inlineStr"/>
      <c r="M1599" s="5" t="inlineStr">
        <is>
          <t>Yes</t>
        </is>
      </c>
      <c r="N1599" s="5" t="inlineStr"/>
      <c r="O1599" s="8" t="inlineStr">
        <is>
          <t>99000</t>
        </is>
      </c>
      <c r="P1599" s="5" t="inlineStr">
        <is>
          <t>0</t>
        </is>
      </c>
      <c r="Q1599" s="5" t="inlineStr">
        <is>
          <t>3</t>
        </is>
      </c>
      <c r="R1599" s="5" t="inlineStr">
        <is>
          <t>8</t>
        </is>
      </c>
      <c r="S1599" s="5" t="inlineStr">
        <is>
          <t>12</t>
        </is>
      </c>
      <c r="T1599" s="5" t="inlineStr">
        <is>
          <t>2</t>
        </is>
      </c>
      <c r="U1599" s="5" t="inlineStr">
        <is>
          <t>OK</t>
        </is>
      </c>
    </row>
    <row r="1600">
      <c r="A1600" s="5" t="inlineStr">
        <is>
          <t>E00361</t>
        </is>
      </c>
      <c r="B1600" s="5" t="inlineStr">
        <is>
          <t>Female</t>
        </is>
      </c>
      <c r="C1600" s="6" t="inlineStr">
        <is>
          <t>27</t>
        </is>
      </c>
      <c r="D1600" s="5" t="inlineStr">
        <is>
          <t>Single</t>
        </is>
      </c>
      <c r="E1600" s="5" t="inlineStr">
        <is>
          <t>Diploma</t>
        </is>
      </c>
      <c r="F1600" s="5" t="inlineStr">
        <is>
          <t>Human Resources</t>
        </is>
      </c>
      <c r="G1600" s="5" t="inlineStr">
        <is>
          <t>HR Analyst</t>
        </is>
      </c>
      <c r="H1600" s="5" t="inlineStr">
        <is>
          <t>2</t>
        </is>
      </c>
      <c r="I1600" s="5" t="inlineStr">
        <is>
          <t>Remote</t>
        </is>
      </c>
      <c r="J1600" s="5" t="inlineStr">
        <is>
          <t>Full-Time</t>
        </is>
      </c>
      <c r="K1600" s="7" t="n">
        <v>44401</v>
      </c>
      <c r="L1600" s="7" t="n">
        <v>44478</v>
      </c>
      <c r="M1600" s="5" t="inlineStr">
        <is>
          <t>No</t>
        </is>
      </c>
      <c r="N1600" s="5" t="inlineStr">
        <is>
          <t>Resigned</t>
        </is>
      </c>
      <c r="O1600" s="8" t="inlineStr">
        <is>
          <t>66500</t>
        </is>
      </c>
      <c r="P1600" s="5" t="inlineStr">
        <is>
          <t>5</t>
        </is>
      </c>
      <c r="Q1600" s="5" t="inlineStr">
        <is>
          <t>4</t>
        </is>
      </c>
      <c r="R1600" s="5" t="inlineStr">
        <is>
          <t>4</t>
        </is>
      </c>
      <c r="S1600" s="5" t="inlineStr">
        <is>
          <t>2</t>
        </is>
      </c>
      <c r="T1600" s="5" t="inlineStr">
        <is>
          <t>12</t>
        </is>
      </c>
      <c r="U1600" s="5" t="inlineStr">
        <is>
          <t>OK</t>
        </is>
      </c>
    </row>
    <row r="1601">
      <c r="A1601" s="5" t="inlineStr">
        <is>
          <t>E02842</t>
        </is>
      </c>
      <c r="B1601" s="5" t="inlineStr">
        <is>
          <t>Unknown</t>
        </is>
      </c>
      <c r="C1601" s="6" t="inlineStr">
        <is>
          <t>34</t>
        </is>
      </c>
      <c r="D1601" s="5" t="inlineStr">
        <is>
          <t>Married</t>
        </is>
      </c>
      <c r="E1601" s="5" t="inlineStr">
        <is>
          <t>Diploma</t>
        </is>
      </c>
      <c r="F1601" s="5" t="inlineStr">
        <is>
          <t>Customer Support</t>
        </is>
      </c>
      <c r="G1601" s="5" t="inlineStr">
        <is>
          <t>Escalation Specialist</t>
        </is>
      </c>
      <c r="H1601" s="5" t="inlineStr">
        <is>
          <t>6</t>
        </is>
      </c>
      <c r="I1601" s="5" t="inlineStr">
        <is>
          <t>Hyderabad</t>
        </is>
      </c>
      <c r="J1601" s="5" t="inlineStr">
        <is>
          <t>Full-Time</t>
        </is>
      </c>
      <c r="K1601" s="7" t="n">
        <v>45473</v>
      </c>
      <c r="L1601" s="7" t="n">
        <v>45542</v>
      </c>
      <c r="M1601" s="5" t="inlineStr">
        <is>
          <t>No</t>
        </is>
      </c>
      <c r="N1601" s="5" t="inlineStr">
        <is>
          <t>Resigned</t>
        </is>
      </c>
      <c r="O1601" s="8" t="inlineStr">
        <is>
          <t>123000</t>
        </is>
      </c>
      <c r="P1601" s="5" t="inlineStr">
        <is>
          <t>0</t>
        </is>
      </c>
      <c r="Q1601" s="5" t="inlineStr">
        <is>
          <t>4</t>
        </is>
      </c>
      <c r="R1601" s="5" t="inlineStr">
        <is>
          <t>5</t>
        </is>
      </c>
      <c r="S1601" s="5" t="inlineStr">
        <is>
          <t>2</t>
        </is>
      </c>
      <c r="T1601" s="5" t="inlineStr">
        <is>
          <t>7</t>
        </is>
      </c>
      <c r="U1601" s="5" t="inlineStr">
        <is>
          <t>Bad gender</t>
        </is>
      </c>
    </row>
    <row r="1602">
      <c r="A1602" s="5" t="inlineStr">
        <is>
          <t>E02097</t>
        </is>
      </c>
      <c r="B1602" s="5" t="inlineStr">
        <is>
          <t>Female</t>
        </is>
      </c>
      <c r="C1602" s="6" t="inlineStr">
        <is>
          <t>32</t>
        </is>
      </c>
      <c r="D1602" s="5" t="inlineStr">
        <is>
          <t>Married</t>
        </is>
      </c>
      <c r="E1602" s="5" t="inlineStr">
        <is>
          <t>PhD</t>
        </is>
      </c>
      <c r="F1602" s="5" t="inlineStr">
        <is>
          <t>Sales</t>
        </is>
      </c>
      <c r="G1602" s="5" t="inlineStr">
        <is>
          <t>Sales Executive</t>
        </is>
      </c>
      <c r="H1602" s="5" t="inlineStr">
        <is>
          <t>3</t>
        </is>
      </c>
      <c r="I1602" s="5" t="inlineStr">
        <is>
          <t>Remote</t>
        </is>
      </c>
      <c r="J1602" s="5" t="inlineStr">
        <is>
          <t>Full-Time</t>
        </is>
      </c>
      <c r="K1602" s="7" t="n">
        <v>45470</v>
      </c>
      <c r="L1602" s="7" t="inlineStr"/>
      <c r="M1602" s="5" t="inlineStr">
        <is>
          <t>Yes</t>
        </is>
      </c>
      <c r="N1602" s="5" t="inlineStr"/>
      <c r="O1602" s="8" t="inlineStr">
        <is>
          <t>134000</t>
        </is>
      </c>
      <c r="P1602" s="5" t="inlineStr">
        <is>
          <t>10</t>
        </is>
      </c>
      <c r="Q1602" s="5" t="inlineStr">
        <is>
          <t>3</t>
        </is>
      </c>
      <c r="R1602" s="5" t="inlineStr">
        <is>
          <t>6</t>
        </is>
      </c>
      <c r="S1602" s="5" t="inlineStr">
        <is>
          <t>18</t>
        </is>
      </c>
      <c r="T1602" s="5" t="inlineStr">
        <is>
          <t>4</t>
        </is>
      </c>
      <c r="U1602" s="5" t="inlineStr">
        <is>
          <t>OK</t>
        </is>
      </c>
    </row>
    <row r="1603">
      <c r="A1603" s="5" t="inlineStr">
        <is>
          <t>E01618</t>
        </is>
      </c>
      <c r="B1603" s="5" t="inlineStr">
        <is>
          <t>Male</t>
        </is>
      </c>
      <c r="C1603" s="6" t="inlineStr">
        <is>
          <t>36</t>
        </is>
      </c>
      <c r="D1603" s="5" t="inlineStr">
        <is>
          <t>Single</t>
        </is>
      </c>
      <c r="E1603" s="5" t="inlineStr">
        <is>
          <t>Bachelor</t>
        </is>
      </c>
      <c r="F1603" s="5" t="inlineStr">
        <is>
          <t>Human Resources</t>
        </is>
      </c>
      <c r="G1603" s="5" t="inlineStr">
        <is>
          <t>HR Analyst</t>
        </is>
      </c>
      <c r="H1603" s="5" t="inlineStr">
        <is>
          <t>5</t>
        </is>
      </c>
      <c r="I1603" s="5" t="inlineStr">
        <is>
          <t>Chennai</t>
        </is>
      </c>
      <c r="J1603" s="5" t="inlineStr">
        <is>
          <t>Full-Time</t>
        </is>
      </c>
      <c r="K1603" s="7" t="n">
        <v>44896</v>
      </c>
      <c r="L1603" s="7" t="inlineStr"/>
      <c r="M1603" s="5" t="inlineStr">
        <is>
          <t>Yes</t>
        </is>
      </c>
      <c r="N1603" s="5" t="inlineStr"/>
      <c r="O1603" s="8" t="inlineStr">
        <is>
          <t>91500</t>
        </is>
      </c>
      <c r="P1603" s="5" t="inlineStr">
        <is>
          <t>5</t>
        </is>
      </c>
      <c r="Q1603" s="5" t="inlineStr">
        <is>
          <t>2</t>
        </is>
      </c>
      <c r="R1603" s="5" t="inlineStr">
        <is>
          <t>6</t>
        </is>
      </c>
      <c r="S1603" s="5" t="inlineStr">
        <is>
          <t>37</t>
        </is>
      </c>
      <c r="T1603" s="5" t="inlineStr">
        <is>
          <t>6</t>
        </is>
      </c>
      <c r="U1603" s="5" t="inlineStr">
        <is>
          <t>OK</t>
        </is>
      </c>
    </row>
    <row r="1604">
      <c r="A1604" s="5" t="inlineStr">
        <is>
          <t>E02092</t>
        </is>
      </c>
      <c r="B1604" s="5" t="inlineStr">
        <is>
          <t>Unknown</t>
        </is>
      </c>
      <c r="C1604" s="6" t="inlineStr">
        <is>
          <t>31</t>
        </is>
      </c>
      <c r="D1604" s="5" t="inlineStr">
        <is>
          <t>Divorced</t>
        </is>
      </c>
      <c r="E1604" s="5" t="inlineStr">
        <is>
          <t>Diploma</t>
        </is>
      </c>
      <c r="F1604" s="5" t="inlineStr">
        <is>
          <t>Operations</t>
        </is>
      </c>
      <c r="G1604" s="5" t="inlineStr">
        <is>
          <t>Quality Analyst</t>
        </is>
      </c>
      <c r="H1604" s="5" t="inlineStr">
        <is>
          <t>2</t>
        </is>
      </c>
      <c r="I1604" s="5" t="inlineStr">
        <is>
          <t>Delhi</t>
        </is>
      </c>
      <c r="J1604" s="5" t="inlineStr">
        <is>
          <t>Full-Time</t>
        </is>
      </c>
      <c r="K1604" s="7" t="n">
        <v>45487</v>
      </c>
      <c r="L1604" s="7" t="inlineStr"/>
      <c r="M1604" s="5" t="inlineStr">
        <is>
          <t>Yes</t>
        </is>
      </c>
      <c r="N1604" s="5" t="inlineStr"/>
      <c r="O1604" s="8" t="inlineStr">
        <is>
          <t>64000</t>
        </is>
      </c>
      <c r="P1604" s="5" t="inlineStr">
        <is>
          <t>5</t>
        </is>
      </c>
      <c r="Q1604" s="5" t="inlineStr">
        <is>
          <t>2</t>
        </is>
      </c>
      <c r="R1604" s="5" t="inlineStr">
        <is>
          <t>5</t>
        </is>
      </c>
      <c r="S1604" s="5" t="inlineStr">
        <is>
          <t>17</t>
        </is>
      </c>
      <c r="T1604" s="5" t="inlineStr">
        <is>
          <t>11</t>
        </is>
      </c>
      <c r="U1604" s="5" t="inlineStr">
        <is>
          <t>Bad gender</t>
        </is>
      </c>
    </row>
    <row r="1605">
      <c r="A1605" s="5" t="inlineStr">
        <is>
          <t>E01193</t>
        </is>
      </c>
      <c r="B1605" s="5" t="inlineStr">
        <is>
          <t>Female</t>
        </is>
      </c>
      <c r="C1605" s="6" t="inlineStr">
        <is>
          <t>31</t>
        </is>
      </c>
      <c r="D1605" s="5" t="inlineStr">
        <is>
          <t>Married</t>
        </is>
      </c>
      <c r="E1605" s="5" t="inlineStr">
        <is>
          <t>PhD</t>
        </is>
      </c>
      <c r="F1605" s="5" t="inlineStr">
        <is>
          <t>Marketing</t>
        </is>
      </c>
      <c r="G1605" s="5" t="inlineStr">
        <is>
          <t>Content Writer</t>
        </is>
      </c>
      <c r="H1605" s="5" t="inlineStr">
        <is>
          <t>1</t>
        </is>
      </c>
      <c r="I1605" s="5" t="inlineStr">
        <is>
          <t>Mumbai</t>
        </is>
      </c>
      <c r="J1605" s="5" t="inlineStr">
        <is>
          <t>Contract</t>
        </is>
      </c>
      <c r="K1605" s="7" t="n">
        <v>44673</v>
      </c>
      <c r="L1605" s="7" t="inlineStr"/>
      <c r="M1605" s="5" t="inlineStr">
        <is>
          <t>Yes</t>
        </is>
      </c>
      <c r="N1605" s="5" t="inlineStr"/>
      <c r="O1605" s="8" t="inlineStr">
        <is>
          <t>87000</t>
        </is>
      </c>
      <c r="P1605" s="5" t="inlineStr">
        <is>
          <t>0</t>
        </is>
      </c>
      <c r="Q1605" s="5" t="inlineStr">
        <is>
          <t>3</t>
        </is>
      </c>
      <c r="R1605" s="5" t="inlineStr">
        <is>
          <t>10</t>
        </is>
      </c>
      <c r="S1605" s="5" t="inlineStr">
        <is>
          <t>44</t>
        </is>
      </c>
      <c r="T1605" s="5" t="inlineStr">
        <is>
          <t>16</t>
        </is>
      </c>
      <c r="U1605" s="5" t="inlineStr">
        <is>
          <t>OK</t>
        </is>
      </c>
    </row>
    <row r="1606">
      <c r="A1606" s="5" t="inlineStr">
        <is>
          <t>E00502</t>
        </is>
      </c>
      <c r="B1606" s="5" t="inlineStr">
        <is>
          <t>Male</t>
        </is>
      </c>
      <c r="C1606" s="6" t="inlineStr">
        <is>
          <t>32</t>
        </is>
      </c>
      <c r="D1606" s="5" t="inlineStr">
        <is>
          <t>Married</t>
        </is>
      </c>
      <c r="E1606" s="5" t="inlineStr">
        <is>
          <t>Master</t>
        </is>
      </c>
      <c r="F1606" s="5" t="inlineStr">
        <is>
          <t>Sales</t>
        </is>
      </c>
      <c r="G1606" s="5" t="inlineStr">
        <is>
          <t>Account Executive</t>
        </is>
      </c>
      <c r="H1606" s="5" t="inlineStr">
        <is>
          <t>2</t>
        </is>
      </c>
      <c r="I1606" s="5" t="inlineStr">
        <is>
          <t>Delhi</t>
        </is>
      </c>
      <c r="J1606" s="5" t="inlineStr">
        <is>
          <t>Full-Time</t>
        </is>
      </c>
      <c r="K1606" s="7" t="n">
        <v>45468</v>
      </c>
      <c r="L1606" s="7" t="inlineStr"/>
      <c r="M1606" s="5" t="inlineStr">
        <is>
          <t>Yes</t>
        </is>
      </c>
      <c r="N1606" s="5" t="inlineStr"/>
      <c r="O1606" s="8" t="inlineStr">
        <is>
          <t>103500</t>
        </is>
      </c>
      <c r="P1606" s="5" t="inlineStr">
        <is>
          <t>5</t>
        </is>
      </c>
      <c r="Q1606" s="5" t="inlineStr">
        <is>
          <t>3</t>
        </is>
      </c>
      <c r="R1606" s="5" t="inlineStr">
        <is>
          <t>5</t>
        </is>
      </c>
      <c r="S1606" s="5" t="inlineStr">
        <is>
          <t>18</t>
        </is>
      </c>
      <c r="T1606" s="5" t="inlineStr">
        <is>
          <t>8</t>
        </is>
      </c>
      <c r="U1606" s="5" t="inlineStr">
        <is>
          <t>OK</t>
        </is>
      </c>
    </row>
    <row r="1607">
      <c r="A1607" s="5" t="inlineStr">
        <is>
          <t>E00164</t>
        </is>
      </c>
      <c r="B1607" s="5" t="inlineStr">
        <is>
          <t>Female</t>
        </is>
      </c>
      <c r="C1607" s="6" t="inlineStr">
        <is>
          <t>29</t>
        </is>
      </c>
      <c r="D1607" s="5" t="inlineStr">
        <is>
          <t>Married</t>
        </is>
      </c>
      <c r="E1607" s="5" t="inlineStr">
        <is>
          <t>Diploma</t>
        </is>
      </c>
      <c r="F1607" s="5" t="inlineStr">
        <is>
          <t>Operations</t>
        </is>
      </c>
      <c r="G1607" s="5" t="inlineStr">
        <is>
          <t>Quality Analyst</t>
        </is>
      </c>
      <c r="H1607" s="5" t="inlineStr">
        <is>
          <t>1</t>
        </is>
      </c>
      <c r="I1607" s="5" t="inlineStr">
        <is>
          <t>Hyderabad</t>
        </is>
      </c>
      <c r="J1607" s="5" t="inlineStr">
        <is>
          <t>Full-Time</t>
        </is>
      </c>
      <c r="K1607" s="7" t="n">
        <v>43939</v>
      </c>
      <c r="L1607" s="7" t="inlineStr"/>
      <c r="M1607" s="5" t="inlineStr">
        <is>
          <t>Yes</t>
        </is>
      </c>
      <c r="N1607" s="5" t="inlineStr"/>
      <c r="O1607" s="8" t="inlineStr"/>
      <c r="P1607" s="5" t="inlineStr">
        <is>
          <t>0</t>
        </is>
      </c>
      <c r="Q1607" s="5" t="inlineStr">
        <is>
          <t>5</t>
        </is>
      </c>
      <c r="R1607" s="5" t="inlineStr">
        <is>
          <t>5</t>
        </is>
      </c>
      <c r="S1607" s="5" t="inlineStr">
        <is>
          <t>69</t>
        </is>
      </c>
      <c r="T1607" s="5" t="inlineStr">
        <is>
          <t>7</t>
        </is>
      </c>
      <c r="U1607" s="5" t="inlineStr">
        <is>
          <t>Blank salary</t>
        </is>
      </c>
    </row>
    <row r="1608">
      <c r="A1608" s="5" t="inlineStr">
        <is>
          <t>E00662</t>
        </is>
      </c>
      <c r="B1608" s="5" t="inlineStr">
        <is>
          <t>Female</t>
        </is>
      </c>
      <c r="C1608" s="6" t="inlineStr">
        <is>
          <t>34</t>
        </is>
      </c>
      <c r="D1608" s="5" t="inlineStr">
        <is>
          <t>Married</t>
        </is>
      </c>
      <c r="E1608" s="5" t="inlineStr">
        <is>
          <t>High School</t>
        </is>
      </c>
      <c r="F1608" s="5" t="inlineStr">
        <is>
          <t>IT</t>
        </is>
      </c>
      <c r="G1608" s="5" t="inlineStr">
        <is>
          <t>Data Analyst</t>
        </is>
      </c>
      <c r="H1608" s="5" t="inlineStr">
        <is>
          <t>2</t>
        </is>
      </c>
      <c r="I1608" s="5" t="inlineStr">
        <is>
          <t>Remote</t>
        </is>
      </c>
      <c r="J1608" s="5" t="inlineStr">
        <is>
          <t>Full-Time</t>
        </is>
      </c>
      <c r="K1608" s="7" t="n">
        <v>45379</v>
      </c>
      <c r="L1608" s="7" t="inlineStr"/>
      <c r="M1608" s="5" t="inlineStr">
        <is>
          <t>Yes</t>
        </is>
      </c>
      <c r="N1608" s="5" t="inlineStr"/>
      <c r="O1608" s="8" t="inlineStr">
        <is>
          <t>98000</t>
        </is>
      </c>
      <c r="P1608" s="5" t="inlineStr">
        <is>
          <t>10</t>
        </is>
      </c>
      <c r="Q1608" s="5" t="inlineStr">
        <is>
          <t>3</t>
        </is>
      </c>
      <c r="R1608" s="5" t="inlineStr">
        <is>
          <t>5</t>
        </is>
      </c>
      <c r="S1608" s="5" t="inlineStr">
        <is>
          <t>21</t>
        </is>
      </c>
      <c r="T1608" s="5" t="inlineStr">
        <is>
          <t>0</t>
        </is>
      </c>
      <c r="U1608" s="5" t="inlineStr">
        <is>
          <t>OK</t>
        </is>
      </c>
    </row>
    <row r="1609">
      <c r="A1609" s="5" t="inlineStr">
        <is>
          <t>E01228</t>
        </is>
      </c>
      <c r="B1609" s="5" t="inlineStr">
        <is>
          <t>Female</t>
        </is>
      </c>
      <c r="C1609" s="6" t="inlineStr">
        <is>
          <t>36</t>
        </is>
      </c>
      <c r="D1609" s="5" t="inlineStr">
        <is>
          <t>Married</t>
        </is>
      </c>
      <c r="E1609" s="5" t="inlineStr">
        <is>
          <t>Diploma</t>
        </is>
      </c>
      <c r="F1609" s="5" t="inlineStr">
        <is>
          <t>Research &amp; Development</t>
        </is>
      </c>
      <c r="G1609" s="5" t="inlineStr">
        <is>
          <t>Product Engineer</t>
        </is>
      </c>
      <c r="H1609" s="5" t="inlineStr">
        <is>
          <t>4</t>
        </is>
      </c>
      <c r="I1609" s="5" t="inlineStr">
        <is>
          <t>Bengaluru</t>
        </is>
      </c>
      <c r="J1609" s="5" t="inlineStr">
        <is>
          <t>Full-Time</t>
        </is>
      </c>
      <c r="K1609" s="7" t="n">
        <v>44849</v>
      </c>
      <c r="L1609" s="7" t="inlineStr"/>
      <c r="M1609" s="5" t="inlineStr">
        <is>
          <t>Yes</t>
        </is>
      </c>
      <c r="N1609" s="5" t="inlineStr"/>
      <c r="O1609" s="8" t="inlineStr">
        <is>
          <t>230000</t>
        </is>
      </c>
      <c r="P1609" s="5" t="inlineStr">
        <is>
          <t>0</t>
        </is>
      </c>
      <c r="Q1609" s="5" t="inlineStr">
        <is>
          <t>5</t>
        </is>
      </c>
      <c r="R1609" s="5" t="inlineStr">
        <is>
          <t>5</t>
        </is>
      </c>
      <c r="S1609" s="5" t="inlineStr">
        <is>
          <t>39</t>
        </is>
      </c>
      <c r="T1609" s="5" t="inlineStr">
        <is>
          <t>9</t>
        </is>
      </c>
      <c r="U1609" s="5" t="inlineStr">
        <is>
          <t>OK</t>
        </is>
      </c>
    </row>
    <row r="1610">
      <c r="A1610" s="5" t="inlineStr">
        <is>
          <t>E02818</t>
        </is>
      </c>
      <c r="B1610" s="5" t="inlineStr">
        <is>
          <t>Male</t>
        </is>
      </c>
      <c r="C1610" s="6" t="inlineStr">
        <is>
          <t>30</t>
        </is>
      </c>
      <c r="D1610" s="5" t="inlineStr">
        <is>
          <t>Married</t>
        </is>
      </c>
      <c r="E1610" s="5" t="inlineStr">
        <is>
          <t>High School</t>
        </is>
      </c>
      <c r="F1610" s="5" t="inlineStr">
        <is>
          <t>Research &amp; Development</t>
        </is>
      </c>
      <c r="G1610" s="5" t="inlineStr">
        <is>
          <t>Research Scientist</t>
        </is>
      </c>
      <c r="H1610" s="5" t="inlineStr">
        <is>
          <t>2</t>
        </is>
      </c>
      <c r="I1610" s="5" t="inlineStr">
        <is>
          <t>Bengaluru</t>
        </is>
      </c>
      <c r="J1610" s="5" t="inlineStr">
        <is>
          <t>Full-Time</t>
        </is>
      </c>
      <c r="K1610" s="7" t="n">
        <v>44029</v>
      </c>
      <c r="L1610" s="7" t="n">
        <v>44177</v>
      </c>
      <c r="M1610" s="5" t="inlineStr">
        <is>
          <t>No</t>
        </is>
      </c>
      <c r="N1610" s="5" t="inlineStr">
        <is>
          <t>Resigned</t>
        </is>
      </c>
      <c r="O1610" s="8" t="inlineStr">
        <is>
          <t>122500</t>
        </is>
      </c>
      <c r="P1610" s="5" t="inlineStr">
        <is>
          <t>15</t>
        </is>
      </c>
      <c r="Q1610" s="5" t="inlineStr">
        <is>
          <t>4</t>
        </is>
      </c>
      <c r="R1610" s="5" t="inlineStr">
        <is>
          <t>8</t>
        </is>
      </c>
      <c r="S1610" s="5" t="inlineStr">
        <is>
          <t>4</t>
        </is>
      </c>
      <c r="T1610" s="5" t="inlineStr">
        <is>
          <t>18</t>
        </is>
      </c>
      <c r="U1610" s="5" t="inlineStr">
        <is>
          <t>OK</t>
        </is>
      </c>
    </row>
    <row r="1611">
      <c r="A1611" s="5" t="inlineStr">
        <is>
          <t>E00359</t>
        </is>
      </c>
      <c r="B1611" s="5" t="inlineStr">
        <is>
          <t>Male</t>
        </is>
      </c>
      <c r="C1611" s="6" t="inlineStr">
        <is>
          <t>34</t>
        </is>
      </c>
      <c r="D1611" s="5" t="inlineStr">
        <is>
          <t>Single</t>
        </is>
      </c>
      <c r="E1611" s="5" t="inlineStr">
        <is>
          <t>Master</t>
        </is>
      </c>
      <c r="F1611" s="5" t="inlineStr">
        <is>
          <t>Operations</t>
        </is>
      </c>
      <c r="G1611" s="5" t="inlineStr">
        <is>
          <t>Logistics Coordinator</t>
        </is>
      </c>
      <c r="H1611" s="5" t="inlineStr">
        <is>
          <t>3</t>
        </is>
      </c>
      <c r="I1611" s="5" t="inlineStr">
        <is>
          <t>Bengaluru</t>
        </is>
      </c>
      <c r="J1611" s="5" t="inlineStr">
        <is>
          <t>Full-Time</t>
        </is>
      </c>
      <c r="K1611" s="7" t="n">
        <v>45414</v>
      </c>
      <c r="L1611" s="7" t="inlineStr"/>
      <c r="M1611" s="5" t="inlineStr">
        <is>
          <t>Yes</t>
        </is>
      </c>
      <c r="N1611" s="5" t="inlineStr"/>
      <c r="O1611" s="8" t="inlineStr">
        <is>
          <t>85500</t>
        </is>
      </c>
      <c r="P1611" s="5" t="inlineStr">
        <is>
          <t>0</t>
        </is>
      </c>
      <c r="Q1611" s="5" t="inlineStr">
        <is>
          <t>3</t>
        </is>
      </c>
      <c r="R1611" s="5" t="inlineStr">
        <is>
          <t>6</t>
        </is>
      </c>
      <c r="S1611" s="5" t="inlineStr">
        <is>
          <t>20</t>
        </is>
      </c>
      <c r="T1611" s="5" t="inlineStr">
        <is>
          <t>0</t>
        </is>
      </c>
      <c r="U1611" s="5" t="inlineStr">
        <is>
          <t>OK</t>
        </is>
      </c>
    </row>
    <row r="1612">
      <c r="A1612" s="5" t="inlineStr">
        <is>
          <t>E00423</t>
        </is>
      </c>
      <c r="B1612" s="5" t="inlineStr">
        <is>
          <t>Female</t>
        </is>
      </c>
      <c r="C1612" s="6" t="inlineStr">
        <is>
          <t>38</t>
        </is>
      </c>
      <c r="D1612" s="5" t="inlineStr">
        <is>
          <t>Married</t>
        </is>
      </c>
      <c r="E1612" s="5" t="inlineStr">
        <is>
          <t>Diploma</t>
        </is>
      </c>
      <c r="F1612" s="5" t="inlineStr">
        <is>
          <t>Finance</t>
        </is>
      </c>
      <c r="G1612" s="5" t="inlineStr">
        <is>
          <t>Accountant</t>
        </is>
      </c>
      <c r="H1612" s="5" t="inlineStr">
        <is>
          <t>4</t>
        </is>
      </c>
      <c r="I1612" s="5" t="inlineStr">
        <is>
          <t>Mumbai</t>
        </is>
      </c>
      <c r="J1612" s="5" t="inlineStr">
        <is>
          <t>Full-Time</t>
        </is>
      </c>
      <c r="K1612" s="7" t="n">
        <v>45279</v>
      </c>
      <c r="L1612" s="7" t="inlineStr"/>
      <c r="M1612" s="5" t="inlineStr">
        <is>
          <t>Yes</t>
        </is>
      </c>
      <c r="N1612" s="5" t="inlineStr"/>
      <c r="O1612" s="8" t="inlineStr">
        <is>
          <t>115000</t>
        </is>
      </c>
      <c r="P1612" s="5" t="inlineStr">
        <is>
          <t>15</t>
        </is>
      </c>
      <c r="Q1612" s="5" t="inlineStr">
        <is>
          <t>4</t>
        </is>
      </c>
      <c r="R1612" s="5" t="inlineStr">
        <is>
          <t>6</t>
        </is>
      </c>
      <c r="S1612" s="5" t="inlineStr">
        <is>
          <t>24</t>
        </is>
      </c>
      <c r="T1612" s="5" t="inlineStr">
        <is>
          <t>20</t>
        </is>
      </c>
      <c r="U1612" s="5" t="inlineStr">
        <is>
          <t>OK</t>
        </is>
      </c>
    </row>
    <row r="1613">
      <c r="A1613" s="5" t="inlineStr">
        <is>
          <t>E00176</t>
        </is>
      </c>
      <c r="B1613" s="5" t="inlineStr">
        <is>
          <t>Female</t>
        </is>
      </c>
      <c r="C1613" s="6" t="inlineStr">
        <is>
          <t>42</t>
        </is>
      </c>
      <c r="D1613" s="5" t="inlineStr">
        <is>
          <t>Divorced</t>
        </is>
      </c>
      <c r="E1613" s="5" t="inlineStr">
        <is>
          <t>High School</t>
        </is>
      </c>
      <c r="F1613" s="5" t="inlineStr">
        <is>
          <t>Sales</t>
        </is>
      </c>
      <c r="G1613" s="5" t="inlineStr">
        <is>
          <t>Sales Executive</t>
        </is>
      </c>
      <c r="H1613" s="5" t="inlineStr">
        <is>
          <t>6</t>
        </is>
      </c>
      <c r="I1613" s="5" t="inlineStr">
        <is>
          <t>Chennai</t>
        </is>
      </c>
      <c r="J1613" s="5" t="inlineStr">
        <is>
          <t>Full-Time</t>
        </is>
      </c>
      <c r="K1613" s="7" t="n">
        <v>45579</v>
      </c>
      <c r="L1613" s="7" t="inlineStr"/>
      <c r="M1613" s="5" t="inlineStr">
        <is>
          <t>Yes</t>
        </is>
      </c>
      <c r="N1613" s="5" t="inlineStr"/>
      <c r="O1613" s="8" t="inlineStr">
        <is>
          <t>150000</t>
        </is>
      </c>
      <c r="P1613" s="5" t="inlineStr">
        <is>
          <t>0</t>
        </is>
      </c>
      <c r="Q1613" s="5" t="inlineStr">
        <is>
          <t>4</t>
        </is>
      </c>
      <c r="R1613" s="5" t="inlineStr">
        <is>
          <t>6</t>
        </is>
      </c>
      <c r="S1613" s="5" t="inlineStr">
        <is>
          <t>14</t>
        </is>
      </c>
      <c r="T1613" s="5" t="inlineStr">
        <is>
          <t>3</t>
        </is>
      </c>
      <c r="U1613" s="5" t="inlineStr">
        <is>
          <t>OK</t>
        </is>
      </c>
    </row>
    <row r="1614">
      <c r="A1614" s="5" t="inlineStr">
        <is>
          <t>E01958</t>
        </is>
      </c>
      <c r="B1614" s="5" t="inlineStr">
        <is>
          <t>Male</t>
        </is>
      </c>
      <c r="C1614" s="6" t="inlineStr">
        <is>
          <t>23</t>
        </is>
      </c>
      <c r="D1614" s="5" t="inlineStr">
        <is>
          <t>Divorced</t>
        </is>
      </c>
      <c r="E1614" s="5" t="inlineStr">
        <is>
          <t>Diploma</t>
        </is>
      </c>
      <c r="F1614" s="5" t="inlineStr">
        <is>
          <t>Research &amp; Development</t>
        </is>
      </c>
      <c r="G1614" s="5" t="inlineStr">
        <is>
          <t>Data Scientist</t>
        </is>
      </c>
      <c r="H1614" s="5" t="inlineStr">
        <is>
          <t>1</t>
        </is>
      </c>
      <c r="I1614" s="5" t="inlineStr">
        <is>
          <t>Bengaluru</t>
        </is>
      </c>
      <c r="J1614" s="5" t="inlineStr">
        <is>
          <t>Full-Time</t>
        </is>
      </c>
      <c r="K1614" s="7" t="n">
        <v>44159</v>
      </c>
      <c r="L1614" s="7" t="inlineStr"/>
      <c r="M1614" s="5" t="inlineStr">
        <is>
          <t>Yes</t>
        </is>
      </c>
      <c r="N1614" s="5" t="inlineStr"/>
      <c r="O1614" s="8" t="inlineStr">
        <is>
          <t>128000</t>
        </is>
      </c>
      <c r="P1614" s="5" t="inlineStr">
        <is>
          <t>5</t>
        </is>
      </c>
      <c r="Q1614" s="5" t="inlineStr">
        <is>
          <t>4</t>
        </is>
      </c>
      <c r="R1614" s="5" t="inlineStr">
        <is>
          <t>5</t>
        </is>
      </c>
      <c r="S1614" s="5" t="inlineStr">
        <is>
          <t>62</t>
        </is>
      </c>
      <c r="T1614" s="5" t="inlineStr">
        <is>
          <t>0</t>
        </is>
      </c>
      <c r="U1614" s="5" t="inlineStr">
        <is>
          <t>OK</t>
        </is>
      </c>
    </row>
    <row r="1615">
      <c r="A1615" s="5" t="inlineStr">
        <is>
          <t>E00780</t>
        </is>
      </c>
      <c r="B1615" s="5" t="inlineStr">
        <is>
          <t>Male</t>
        </is>
      </c>
      <c r="C1615" s="6" t="inlineStr">
        <is>
          <t>31</t>
        </is>
      </c>
      <c r="D1615" s="5" t="inlineStr">
        <is>
          <t>Married</t>
        </is>
      </c>
      <c r="E1615" s="5" t="inlineStr">
        <is>
          <t>Master</t>
        </is>
      </c>
      <c r="F1615" s="5" t="inlineStr">
        <is>
          <t>Finance</t>
        </is>
      </c>
      <c r="G1615" s="5" t="inlineStr">
        <is>
          <t>Financial Analyst</t>
        </is>
      </c>
      <c r="H1615" s="5" t="inlineStr">
        <is>
          <t>4</t>
        </is>
      </c>
      <c r="I1615" s="5" t="inlineStr">
        <is>
          <t>Remote</t>
        </is>
      </c>
      <c r="J1615" s="5" t="inlineStr">
        <is>
          <t>Contract</t>
        </is>
      </c>
      <c r="K1615" s="7" t="n">
        <v>45558</v>
      </c>
      <c r="L1615" s="7" t="n">
        <v>45670</v>
      </c>
      <c r="M1615" s="5" t="inlineStr">
        <is>
          <t>No</t>
        </is>
      </c>
      <c r="N1615" s="5" t="inlineStr">
        <is>
          <t>Resigned</t>
        </is>
      </c>
      <c r="O1615" s="8" t="inlineStr">
        <is>
          <t>130000</t>
        </is>
      </c>
      <c r="P1615" s="5" t="inlineStr">
        <is>
          <t>0</t>
        </is>
      </c>
      <c r="Q1615" s="5" t="inlineStr">
        <is>
          <t>5</t>
        </is>
      </c>
      <c r="R1615" s="5" t="inlineStr">
        <is>
          <t>4</t>
        </is>
      </c>
      <c r="S1615" s="5" t="inlineStr">
        <is>
          <t>3</t>
        </is>
      </c>
      <c r="T1615" s="5" t="inlineStr">
        <is>
          <t>10</t>
        </is>
      </c>
      <c r="U1615" s="5" t="inlineStr">
        <is>
          <t>OK</t>
        </is>
      </c>
    </row>
    <row r="1616">
      <c r="A1616" s="5" t="inlineStr">
        <is>
          <t>E02302</t>
        </is>
      </c>
      <c r="B1616" s="5" t="inlineStr">
        <is>
          <t>Female</t>
        </is>
      </c>
      <c r="C1616" s="6" t="inlineStr">
        <is>
          <t>31</t>
        </is>
      </c>
      <c r="D1616" s="5" t="inlineStr">
        <is>
          <t>Married</t>
        </is>
      </c>
      <c r="E1616" s="5" t="inlineStr">
        <is>
          <t>Diploma</t>
        </is>
      </c>
      <c r="F1616" s="5" t="inlineStr">
        <is>
          <t>Customer Support</t>
        </is>
      </c>
      <c r="G1616" s="5" t="inlineStr">
        <is>
          <t>Support Lead</t>
        </is>
      </c>
      <c r="H1616" s="5" t="inlineStr">
        <is>
          <t>1</t>
        </is>
      </c>
      <c r="I1616" s="5" t="inlineStr">
        <is>
          <t>Chennai</t>
        </is>
      </c>
      <c r="J1616" s="5" t="inlineStr">
        <is>
          <t>Full-Time</t>
        </is>
      </c>
      <c r="K1616" s="7" t="n">
        <v>45415</v>
      </c>
      <c r="L1616" s="7" t="inlineStr"/>
      <c r="M1616" s="5" t="inlineStr">
        <is>
          <t>Yes</t>
        </is>
      </c>
      <c r="N1616" s="5" t="inlineStr"/>
      <c r="O1616" s="8" t="inlineStr">
        <is>
          <t>51000</t>
        </is>
      </c>
      <c r="P1616" s="5" t="inlineStr">
        <is>
          <t>10</t>
        </is>
      </c>
      <c r="Q1616" s="5" t="inlineStr">
        <is>
          <t>3</t>
        </is>
      </c>
      <c r="R1616" s="5" t="inlineStr">
        <is>
          <t>5</t>
        </is>
      </c>
      <c r="S1616" s="5" t="inlineStr">
        <is>
          <t>20</t>
        </is>
      </c>
      <c r="T1616" s="5" t="inlineStr">
        <is>
          <t>4</t>
        </is>
      </c>
      <c r="U1616" s="5" t="inlineStr">
        <is>
          <t>OK</t>
        </is>
      </c>
    </row>
    <row r="1617">
      <c r="A1617" s="5" t="inlineStr">
        <is>
          <t>E01409</t>
        </is>
      </c>
      <c r="B1617" s="5" t="inlineStr">
        <is>
          <t>Female</t>
        </is>
      </c>
      <c r="C1617" s="6" t="inlineStr">
        <is>
          <t>34</t>
        </is>
      </c>
      <c r="D1617" s="5" t="inlineStr">
        <is>
          <t>Married</t>
        </is>
      </c>
      <c r="E1617" s="5" t="inlineStr">
        <is>
          <t>Bachelor</t>
        </is>
      </c>
      <c r="F1617" s="5" t="inlineStr">
        <is>
          <t>Finance</t>
        </is>
      </c>
      <c r="G1617" s="5" t="inlineStr">
        <is>
          <t>Accountant</t>
        </is>
      </c>
      <c r="H1617" s="5" t="inlineStr">
        <is>
          <t>2</t>
        </is>
      </c>
      <c r="I1617" s="5" t="inlineStr">
        <is>
          <t>Hyderabad</t>
        </is>
      </c>
      <c r="J1617" s="5" t="inlineStr">
        <is>
          <t>Full-Time</t>
        </is>
      </c>
      <c r="K1617" s="7" t="n">
        <v>45557</v>
      </c>
      <c r="L1617" s="7" t="inlineStr"/>
      <c r="M1617" s="5" t="inlineStr">
        <is>
          <t>Yes</t>
        </is>
      </c>
      <c r="N1617" s="5" t="inlineStr"/>
      <c r="O1617" s="8" t="inlineStr">
        <is>
          <t>122500</t>
        </is>
      </c>
      <c r="P1617" s="5" t="inlineStr">
        <is>
          <t>10</t>
        </is>
      </c>
      <c r="Q1617" s="5" t="inlineStr">
        <is>
          <t>2</t>
        </is>
      </c>
      <c r="R1617" s="5" t="inlineStr">
        <is>
          <t>7</t>
        </is>
      </c>
      <c r="S1617" s="5" t="inlineStr">
        <is>
          <t>15</t>
        </is>
      </c>
      <c r="T1617" s="5" t="inlineStr">
        <is>
          <t>5</t>
        </is>
      </c>
      <c r="U1617" s="5" t="inlineStr">
        <is>
          <t>OK</t>
        </is>
      </c>
    </row>
    <row r="1618">
      <c r="A1618" s="5" t="inlineStr">
        <is>
          <t>E02740</t>
        </is>
      </c>
      <c r="B1618" s="5" t="inlineStr">
        <is>
          <t>Male</t>
        </is>
      </c>
      <c r="C1618" s="6" t="inlineStr">
        <is>
          <t>40</t>
        </is>
      </c>
      <c r="D1618" s="5" t="inlineStr">
        <is>
          <t>Married</t>
        </is>
      </c>
      <c r="E1618" s="5" t="inlineStr">
        <is>
          <t>Master</t>
        </is>
      </c>
      <c r="F1618" s="5" t="inlineStr">
        <is>
          <t>Human Resources</t>
        </is>
      </c>
      <c r="G1618" s="5" t="inlineStr">
        <is>
          <t>Recruiter</t>
        </is>
      </c>
      <c r="H1618" s="5" t="inlineStr">
        <is>
          <t>7</t>
        </is>
      </c>
      <c r="I1618" s="5" t="inlineStr">
        <is>
          <t>Remote</t>
        </is>
      </c>
      <c r="J1618" s="5" t="inlineStr">
        <is>
          <t>Full-Time</t>
        </is>
      </c>
      <c r="K1618" s="7" t="n">
        <v>44209</v>
      </c>
      <c r="L1618" s="7" t="inlineStr"/>
      <c r="M1618" s="5" t="inlineStr">
        <is>
          <t>Yes</t>
        </is>
      </c>
      <c r="N1618" s="5" t="inlineStr"/>
      <c r="O1618" s="8" t="inlineStr">
        <is>
          <t>178500</t>
        </is>
      </c>
      <c r="P1618" s="5" t="inlineStr">
        <is>
          <t>5</t>
        </is>
      </c>
      <c r="Q1618" s="5" t="inlineStr">
        <is>
          <t>3</t>
        </is>
      </c>
      <c r="R1618" s="5" t="inlineStr">
        <is>
          <t>5</t>
        </is>
      </c>
      <c r="S1618" s="5" t="inlineStr">
        <is>
          <t>60</t>
        </is>
      </c>
      <c r="T1618" s="5" t="inlineStr">
        <is>
          <t>0</t>
        </is>
      </c>
      <c r="U1618" s="5" t="inlineStr">
        <is>
          <t>OK</t>
        </is>
      </c>
    </row>
    <row r="1619">
      <c r="A1619" s="5" t="inlineStr">
        <is>
          <t>E01081</t>
        </is>
      </c>
      <c r="B1619" s="5" t="inlineStr">
        <is>
          <t>Male</t>
        </is>
      </c>
      <c r="C1619" s="6" t="inlineStr">
        <is>
          <t>31</t>
        </is>
      </c>
      <c r="D1619" s="5" t="inlineStr">
        <is>
          <t>Married</t>
        </is>
      </c>
      <c r="E1619" s="5" t="inlineStr">
        <is>
          <t>Bachelor</t>
        </is>
      </c>
      <c r="F1619" s="5" t="inlineStr">
        <is>
          <t>Operations</t>
        </is>
      </c>
      <c r="G1619" s="5" t="inlineStr">
        <is>
          <t>Quality Analyst</t>
        </is>
      </c>
      <c r="H1619" s="5" t="inlineStr">
        <is>
          <t>3</t>
        </is>
      </c>
      <c r="I1619" s="5" t="inlineStr">
        <is>
          <t>Bengaluru</t>
        </is>
      </c>
      <c r="J1619" s="5" t="inlineStr">
        <is>
          <t>Full-Time</t>
        </is>
      </c>
      <c r="K1619" s="7" t="n">
        <v>44373</v>
      </c>
      <c r="L1619" s="7" t="inlineStr"/>
      <c r="M1619" s="5" t="inlineStr">
        <is>
          <t>Yes</t>
        </is>
      </c>
      <c r="N1619" s="5" t="inlineStr"/>
      <c r="O1619" s="8" t="inlineStr">
        <is>
          <t>77500</t>
        </is>
      </c>
      <c r="P1619" s="5" t="inlineStr">
        <is>
          <t>0</t>
        </is>
      </c>
      <c r="Q1619" s="5" t="inlineStr">
        <is>
          <t>5</t>
        </is>
      </c>
      <c r="R1619" s="5" t="inlineStr">
        <is>
          <t>9</t>
        </is>
      </c>
      <c r="S1619" s="5" t="inlineStr">
        <is>
          <t>54</t>
        </is>
      </c>
      <c r="T1619" s="5" t="inlineStr">
        <is>
          <t>17</t>
        </is>
      </c>
      <c r="U1619" s="5" t="inlineStr">
        <is>
          <t>OK</t>
        </is>
      </c>
    </row>
    <row r="1620">
      <c r="A1620" s="5" t="inlineStr">
        <is>
          <t>E02539</t>
        </is>
      </c>
      <c r="B1620" s="5" t="inlineStr">
        <is>
          <t>Male</t>
        </is>
      </c>
      <c r="C1620" s="6" t="inlineStr">
        <is>
          <t>36</t>
        </is>
      </c>
      <c r="D1620" s="5" t="inlineStr">
        <is>
          <t>Single</t>
        </is>
      </c>
      <c r="E1620" s="5" t="inlineStr">
        <is>
          <t>Bachelor</t>
        </is>
      </c>
      <c r="F1620" s="5" t="inlineStr">
        <is>
          <t>Operations</t>
        </is>
      </c>
      <c r="G1620" s="5" t="inlineStr">
        <is>
          <t>Operations Analyst</t>
        </is>
      </c>
      <c r="H1620" s="5" t="inlineStr">
        <is>
          <t>4</t>
        </is>
      </c>
      <c r="I1620" s="5" t="inlineStr">
        <is>
          <t>Hyderabad</t>
        </is>
      </c>
      <c r="J1620" s="5" t="inlineStr">
        <is>
          <t>Full-Time</t>
        </is>
      </c>
      <c r="K1620" s="7" t="n">
        <v>45075</v>
      </c>
      <c r="L1620" s="7" t="inlineStr"/>
      <c r="M1620" s="5" t="inlineStr">
        <is>
          <t>Yes</t>
        </is>
      </c>
      <c r="N1620" s="5" t="inlineStr"/>
      <c r="O1620" s="8" t="inlineStr">
        <is>
          <t>139500</t>
        </is>
      </c>
      <c r="P1620" s="5" t="inlineStr">
        <is>
          <t>0</t>
        </is>
      </c>
      <c r="Q1620" s="5" t="inlineStr">
        <is>
          <t>3</t>
        </is>
      </c>
      <c r="R1620" s="5" t="inlineStr">
        <is>
          <t>6</t>
        </is>
      </c>
      <c r="S1620" s="5" t="inlineStr">
        <is>
          <t>31</t>
        </is>
      </c>
      <c r="T1620" s="5" t="inlineStr">
        <is>
          <t>3</t>
        </is>
      </c>
      <c r="U1620" s="5" t="inlineStr">
        <is>
          <t>OK</t>
        </is>
      </c>
    </row>
    <row r="1621">
      <c r="A1621" s="5" t="inlineStr">
        <is>
          <t>E00761</t>
        </is>
      </c>
      <c r="B1621" s="5" t="inlineStr">
        <is>
          <t>Male</t>
        </is>
      </c>
      <c r="C1621" s="6" t="inlineStr">
        <is>
          <t>28</t>
        </is>
      </c>
      <c r="D1621" s="5" t="inlineStr">
        <is>
          <t>Married</t>
        </is>
      </c>
      <c r="E1621" s="5" t="inlineStr">
        <is>
          <t>PhD</t>
        </is>
      </c>
      <c r="F1621" s="5" t="inlineStr">
        <is>
          <t>Operations</t>
        </is>
      </c>
      <c r="G1621" s="5" t="inlineStr">
        <is>
          <t>Logistics Coordinator</t>
        </is>
      </c>
      <c r="H1621" s="5" t="inlineStr">
        <is>
          <t>1</t>
        </is>
      </c>
      <c r="I1621" s="5" t="inlineStr">
        <is>
          <t>Mumbai</t>
        </is>
      </c>
      <c r="J1621" s="5" t="inlineStr">
        <is>
          <t>Full-Time</t>
        </is>
      </c>
      <c r="K1621" s="7" t="n">
        <v>45453</v>
      </c>
      <c r="L1621" s="7" t="inlineStr"/>
      <c r="M1621" s="5" t="inlineStr">
        <is>
          <t>Yes</t>
        </is>
      </c>
      <c r="N1621" s="5" t="inlineStr"/>
      <c r="O1621" s="8" t="inlineStr">
        <is>
          <t>59500</t>
        </is>
      </c>
      <c r="P1621" s="5" t="inlineStr">
        <is>
          <t>0</t>
        </is>
      </c>
      <c r="Q1621" s="5" t="inlineStr">
        <is>
          <t>3</t>
        </is>
      </c>
      <c r="R1621" s="5" t="inlineStr">
        <is>
          <t>3</t>
        </is>
      </c>
      <c r="S1621" s="5" t="inlineStr">
        <is>
          <t>18</t>
        </is>
      </c>
      <c r="T1621" s="5" t="inlineStr">
        <is>
          <t>0</t>
        </is>
      </c>
      <c r="U1621" s="5" t="inlineStr">
        <is>
          <t>OK</t>
        </is>
      </c>
    </row>
    <row r="1622">
      <c r="A1622" s="5" t="inlineStr">
        <is>
          <t>E01474</t>
        </is>
      </c>
      <c r="B1622" s="5" t="inlineStr">
        <is>
          <t>Male</t>
        </is>
      </c>
      <c r="C1622" s="6" t="inlineStr">
        <is>
          <t>28</t>
        </is>
      </c>
      <c r="D1622" s="5" t="inlineStr">
        <is>
          <t>Married</t>
        </is>
      </c>
      <c r="E1622" s="5" t="inlineStr">
        <is>
          <t>High School</t>
        </is>
      </c>
      <c r="F1622" s="5" t="inlineStr">
        <is>
          <t>Executive</t>
        </is>
      </c>
      <c r="G1622" s="5" t="inlineStr">
        <is>
          <t>COO</t>
        </is>
      </c>
      <c r="H1622" s="5" t="inlineStr">
        <is>
          <t>2</t>
        </is>
      </c>
      <c r="I1622" s="5" t="inlineStr">
        <is>
          <t>Mumbai</t>
        </is>
      </c>
      <c r="J1622" s="5" t="inlineStr">
        <is>
          <t>Full-Time</t>
        </is>
      </c>
      <c r="K1622" s="7" t="n">
        <v>45069</v>
      </c>
      <c r="L1622" s="7" t="inlineStr"/>
      <c r="M1622" s="5" t="inlineStr">
        <is>
          <t>Yes</t>
        </is>
      </c>
      <c r="N1622" s="5" t="inlineStr"/>
      <c r="O1622" s="8" t="inlineStr">
        <is>
          <t>299500</t>
        </is>
      </c>
      <c r="P1622" s="5" t="inlineStr">
        <is>
          <t>0</t>
        </is>
      </c>
      <c r="Q1622" s="5" t="inlineStr">
        <is>
          <t>4</t>
        </is>
      </c>
      <c r="R1622" s="5" t="inlineStr">
        <is>
          <t>7</t>
        </is>
      </c>
      <c r="S1622" s="5" t="inlineStr">
        <is>
          <t>31</t>
        </is>
      </c>
      <c r="T1622" s="5" t="inlineStr">
        <is>
          <t>7</t>
        </is>
      </c>
      <c r="U1622" s="5" t="inlineStr">
        <is>
          <t>OK</t>
        </is>
      </c>
    </row>
    <row r="1623">
      <c r="A1623" s="5" t="inlineStr">
        <is>
          <t>E02084</t>
        </is>
      </c>
      <c r="B1623" s="5" t="inlineStr">
        <is>
          <t>Unknown</t>
        </is>
      </c>
      <c r="C1623" s="6" t="inlineStr">
        <is>
          <t>35</t>
        </is>
      </c>
      <c r="D1623" s="5" t="inlineStr">
        <is>
          <t>Married</t>
        </is>
      </c>
      <c r="E1623" s="5" t="inlineStr">
        <is>
          <t>Diploma</t>
        </is>
      </c>
      <c r="F1623" s="5" t="inlineStr">
        <is>
          <t>Operations</t>
        </is>
      </c>
      <c r="G1623" s="5" t="inlineStr">
        <is>
          <t>Logistics Coordinator</t>
        </is>
      </c>
      <c r="H1623" s="5" t="inlineStr">
        <is>
          <t>3</t>
        </is>
      </c>
      <c r="I1623" s="5" t="inlineStr">
        <is>
          <t>Delhi</t>
        </is>
      </c>
      <c r="J1623" s="5" t="inlineStr">
        <is>
          <t>Full-Time</t>
        </is>
      </c>
      <c r="K1623" s="7" t="n">
        <v>45973</v>
      </c>
      <c r="L1623" s="7" t="n">
        <v>45988</v>
      </c>
      <c r="M1623" s="5" t="inlineStr">
        <is>
          <t>No</t>
        </is>
      </c>
      <c r="N1623" s="5" t="inlineStr">
        <is>
          <t>Resigned</t>
        </is>
      </c>
      <c r="O1623" s="8" t="inlineStr">
        <is>
          <t>95000</t>
        </is>
      </c>
      <c r="P1623" s="5" t="inlineStr">
        <is>
          <t>0</t>
        </is>
      </c>
      <c r="Q1623" s="5" t="inlineStr">
        <is>
          <t>3</t>
        </is>
      </c>
      <c r="R1623" s="5" t="inlineStr">
        <is>
          <t>5</t>
        </is>
      </c>
      <c r="S1623" s="5" t="inlineStr">
        <is>
          <t>1</t>
        </is>
      </c>
      <c r="T1623" s="5" t="inlineStr">
        <is>
          <t>6</t>
        </is>
      </c>
      <c r="U1623" s="5" t="inlineStr">
        <is>
          <t>Bad gender</t>
        </is>
      </c>
    </row>
    <row r="1624">
      <c r="A1624" s="5" t="inlineStr">
        <is>
          <t>E00282</t>
        </is>
      </c>
      <c r="B1624" s="5" t="inlineStr">
        <is>
          <t>Female</t>
        </is>
      </c>
      <c r="C1624" s="6" t="inlineStr">
        <is>
          <t>42</t>
        </is>
      </c>
      <c r="D1624" s="5" t="inlineStr">
        <is>
          <t>Married</t>
        </is>
      </c>
      <c r="E1624" s="5" t="inlineStr">
        <is>
          <t>Bachelor</t>
        </is>
      </c>
      <c r="F1624" s="5" t="inlineStr">
        <is>
          <t>Sales</t>
        </is>
      </c>
      <c r="G1624" s="5" t="inlineStr">
        <is>
          <t>Account Executive</t>
        </is>
      </c>
      <c r="H1624" s="5" t="inlineStr">
        <is>
          <t>7</t>
        </is>
      </c>
      <c r="I1624" s="5" t="inlineStr">
        <is>
          <t>Delhi</t>
        </is>
      </c>
      <c r="J1624" s="5" t="inlineStr">
        <is>
          <t>Full-Time</t>
        </is>
      </c>
      <c r="K1624" s="7" t="n">
        <v>45774</v>
      </c>
      <c r="L1624" s="7" t="inlineStr"/>
      <c r="M1624" s="5" t="inlineStr">
        <is>
          <t>Yes</t>
        </is>
      </c>
      <c r="N1624" s="5" t="inlineStr"/>
      <c r="O1624" s="8" t="inlineStr">
        <is>
          <t>198000</t>
        </is>
      </c>
      <c r="P1624" s="5" t="inlineStr">
        <is>
          <t>0</t>
        </is>
      </c>
      <c r="Q1624" s="5" t="inlineStr">
        <is>
          <t>4</t>
        </is>
      </c>
      <c r="R1624" s="5" t="inlineStr">
        <is>
          <t>4</t>
        </is>
      </c>
      <c r="S1624" s="5" t="inlineStr">
        <is>
          <t>8</t>
        </is>
      </c>
      <c r="T1624" s="5" t="inlineStr">
        <is>
          <t>14</t>
        </is>
      </c>
      <c r="U1624" s="5" t="inlineStr">
        <is>
          <t>OK</t>
        </is>
      </c>
    </row>
    <row r="1625">
      <c r="A1625" s="5" t="inlineStr">
        <is>
          <t>E02888</t>
        </is>
      </c>
      <c r="B1625" s="5" t="inlineStr">
        <is>
          <t>Female</t>
        </is>
      </c>
      <c r="C1625" s="6" t="inlineStr">
        <is>
          <t>34</t>
        </is>
      </c>
      <c r="D1625" s="5" t="inlineStr">
        <is>
          <t>Married</t>
        </is>
      </c>
      <c r="E1625" s="5" t="inlineStr">
        <is>
          <t>Bachelor</t>
        </is>
      </c>
      <c r="F1625" s="5" t="inlineStr">
        <is>
          <t>Finance</t>
        </is>
      </c>
      <c r="G1625" s="5" t="inlineStr">
        <is>
          <t>Financial Analyst</t>
        </is>
      </c>
      <c r="H1625" s="5" t="inlineStr">
        <is>
          <t>1</t>
        </is>
      </c>
      <c r="I1625" s="5" t="inlineStr">
        <is>
          <t>Remote</t>
        </is>
      </c>
      <c r="J1625" s="5" t="inlineStr">
        <is>
          <t>Full-Time</t>
        </is>
      </c>
      <c r="K1625" s="7" t="n">
        <v>45986</v>
      </c>
      <c r="L1625" s="7" t="n">
        <v>46001</v>
      </c>
      <c r="M1625" s="5" t="inlineStr">
        <is>
          <t>No</t>
        </is>
      </c>
      <c r="N1625" s="5" t="inlineStr">
        <is>
          <t>Resigned</t>
        </is>
      </c>
      <c r="O1625" s="8" t="inlineStr">
        <is>
          <t>98000</t>
        </is>
      </c>
      <c r="P1625" s="5" t="inlineStr">
        <is>
          <t>5</t>
        </is>
      </c>
      <c r="Q1625" s="5" t="inlineStr">
        <is>
          <t>3</t>
        </is>
      </c>
      <c r="R1625" s="5" t="inlineStr">
        <is>
          <t>5</t>
        </is>
      </c>
      <c r="S1625" s="5" t="inlineStr">
        <is>
          <t>1</t>
        </is>
      </c>
      <c r="T1625" s="5" t="inlineStr">
        <is>
          <t>11</t>
        </is>
      </c>
      <c r="U1625" s="5" t="inlineStr">
        <is>
          <t>OK</t>
        </is>
      </c>
    </row>
    <row r="1626">
      <c r="A1626" s="5" t="inlineStr">
        <is>
          <t>E00300</t>
        </is>
      </c>
      <c r="B1626" s="5" t="inlineStr">
        <is>
          <t>Female</t>
        </is>
      </c>
      <c r="C1626" s="6" t="inlineStr">
        <is>
          <t>44</t>
        </is>
      </c>
      <c r="D1626" s="5" t="inlineStr">
        <is>
          <t>Married</t>
        </is>
      </c>
      <c r="E1626" s="5" t="inlineStr">
        <is>
          <t>PhD</t>
        </is>
      </c>
      <c r="F1626" s="5" t="inlineStr">
        <is>
          <t>Human Resources</t>
        </is>
      </c>
      <c r="G1626" s="5" t="inlineStr">
        <is>
          <t>Recruiter</t>
        </is>
      </c>
      <c r="H1626" s="5" t="inlineStr">
        <is>
          <t>6</t>
        </is>
      </c>
      <c r="I1626" s="5" t="inlineStr">
        <is>
          <t>Bengaluru</t>
        </is>
      </c>
      <c r="J1626" s="5" t="inlineStr">
        <is>
          <t>Full-Time</t>
        </is>
      </c>
      <c r="K1626" s="7" t="n">
        <v>45329</v>
      </c>
      <c r="L1626" s="7" t="inlineStr"/>
      <c r="M1626" s="5" t="inlineStr">
        <is>
          <t>Yes</t>
        </is>
      </c>
      <c r="N1626" s="5" t="inlineStr"/>
      <c r="O1626" s="8" t="inlineStr">
        <is>
          <t>103500</t>
        </is>
      </c>
      <c r="P1626" s="5" t="inlineStr">
        <is>
          <t>5</t>
        </is>
      </c>
      <c r="Q1626" s="5" t="inlineStr">
        <is>
          <t>4</t>
        </is>
      </c>
      <c r="R1626" s="5" t="inlineStr">
        <is>
          <t>6</t>
        </is>
      </c>
      <c r="S1626" s="5" t="inlineStr">
        <is>
          <t>23</t>
        </is>
      </c>
      <c r="T1626" s="5" t="inlineStr">
        <is>
          <t>9</t>
        </is>
      </c>
      <c r="U1626" s="5" t="inlineStr">
        <is>
          <t>OK</t>
        </is>
      </c>
    </row>
    <row r="1627">
      <c r="A1627" s="5" t="inlineStr">
        <is>
          <t>E01420</t>
        </is>
      </c>
      <c r="B1627" s="5" t="inlineStr">
        <is>
          <t>Female</t>
        </is>
      </c>
      <c r="C1627" s="6" t="inlineStr">
        <is>
          <t>34</t>
        </is>
      </c>
      <c r="D1627" s="5" t="inlineStr">
        <is>
          <t>Married</t>
        </is>
      </c>
      <c r="E1627" s="5" t="inlineStr">
        <is>
          <t>Master</t>
        </is>
      </c>
      <c r="F1627" s="5" t="inlineStr">
        <is>
          <t>Operations</t>
        </is>
      </c>
      <c r="G1627" s="5" t="inlineStr">
        <is>
          <t>Quality Analyst</t>
        </is>
      </c>
      <c r="H1627" s="5" t="inlineStr">
        <is>
          <t>1</t>
        </is>
      </c>
      <c r="I1627" s="5" t="inlineStr">
        <is>
          <t>Bengaluru</t>
        </is>
      </c>
      <c r="J1627" s="5" t="inlineStr">
        <is>
          <t>Full-Time</t>
        </is>
      </c>
      <c r="K1627" s="7" t="n">
        <v>44779</v>
      </c>
      <c r="L1627" s="7" t="inlineStr"/>
      <c r="M1627" s="5" t="inlineStr">
        <is>
          <t>Yes</t>
        </is>
      </c>
      <c r="N1627" s="5" t="inlineStr"/>
      <c r="O1627" s="8" t="inlineStr">
        <is>
          <t>75000</t>
        </is>
      </c>
      <c r="P1627" s="5" t="inlineStr">
        <is>
          <t>0</t>
        </is>
      </c>
      <c r="Q1627" s="5" t="inlineStr">
        <is>
          <t>3</t>
        </is>
      </c>
      <c r="R1627" s="5" t="inlineStr">
        <is>
          <t>5</t>
        </is>
      </c>
      <c r="S1627" s="5" t="inlineStr">
        <is>
          <t>41</t>
        </is>
      </c>
      <c r="T1627" s="5" t="inlineStr">
        <is>
          <t>2</t>
        </is>
      </c>
      <c r="U1627" s="5" t="inlineStr">
        <is>
          <t>OK</t>
        </is>
      </c>
    </row>
    <row r="1628">
      <c r="A1628" s="5" t="inlineStr">
        <is>
          <t>E02678</t>
        </is>
      </c>
      <c r="B1628" s="5" t="inlineStr">
        <is>
          <t>Female</t>
        </is>
      </c>
      <c r="C1628" s="6" t="inlineStr">
        <is>
          <t>35</t>
        </is>
      </c>
      <c r="D1628" s="5" t="inlineStr">
        <is>
          <t>Married</t>
        </is>
      </c>
      <c r="E1628" s="5" t="inlineStr">
        <is>
          <t>Bachelor</t>
        </is>
      </c>
      <c r="F1628" s="5" t="inlineStr">
        <is>
          <t>Research &amp; Development</t>
        </is>
      </c>
      <c r="G1628" s="5" t="inlineStr">
        <is>
          <t>Product Engineer</t>
        </is>
      </c>
      <c r="H1628" s="5" t="inlineStr">
        <is>
          <t>2</t>
        </is>
      </c>
      <c r="I1628" s="5" t="inlineStr">
        <is>
          <t>Bengaluru</t>
        </is>
      </c>
      <c r="J1628" s="5" t="inlineStr">
        <is>
          <t>Full-Time</t>
        </is>
      </c>
      <c r="K1628" s="7" t="n">
        <v>45149</v>
      </c>
      <c r="L1628" s="7" t="inlineStr"/>
      <c r="M1628" s="5" t="inlineStr">
        <is>
          <t>Yes</t>
        </is>
      </c>
      <c r="N1628" s="5" t="inlineStr"/>
      <c r="O1628" s="8" t="inlineStr">
        <is>
          <t>109000</t>
        </is>
      </c>
      <c r="P1628" s="5" t="inlineStr">
        <is>
          <t>0</t>
        </is>
      </c>
      <c r="Q1628" s="5" t="inlineStr">
        <is>
          <t>4</t>
        </is>
      </c>
      <c r="R1628" s="5" t="inlineStr">
        <is>
          <t>5</t>
        </is>
      </c>
      <c r="S1628" s="5" t="inlineStr">
        <is>
          <t>29</t>
        </is>
      </c>
      <c r="T1628" s="5" t="inlineStr">
        <is>
          <t>0</t>
        </is>
      </c>
      <c r="U1628" s="5" t="inlineStr">
        <is>
          <t>OK</t>
        </is>
      </c>
    </row>
    <row r="1629">
      <c r="A1629" s="5" t="inlineStr">
        <is>
          <t>E02425</t>
        </is>
      </c>
      <c r="B1629" s="5" t="inlineStr">
        <is>
          <t>Male</t>
        </is>
      </c>
      <c r="C1629" s="6" t="inlineStr">
        <is>
          <t>34</t>
        </is>
      </c>
      <c r="D1629" s="5" t="inlineStr">
        <is>
          <t>Single</t>
        </is>
      </c>
      <c r="E1629" s="5" t="inlineStr">
        <is>
          <t>Diploma</t>
        </is>
      </c>
      <c r="F1629" s="5" t="inlineStr">
        <is>
          <t>IT</t>
        </is>
      </c>
      <c r="G1629" s="5" t="inlineStr">
        <is>
          <t>DevOps Engineer</t>
        </is>
      </c>
      <c r="H1629" s="5" t="inlineStr">
        <is>
          <t>2</t>
        </is>
      </c>
      <c r="I1629" s="5" t="inlineStr">
        <is>
          <t>Mumbai</t>
        </is>
      </c>
      <c r="J1629" s="5" t="inlineStr">
        <is>
          <t>Full-Time</t>
        </is>
      </c>
      <c r="K1629" s="7" t="n">
        <v>45343</v>
      </c>
      <c r="L1629" s="7" t="inlineStr"/>
      <c r="M1629" s="5" t="inlineStr">
        <is>
          <t>Yes</t>
        </is>
      </c>
      <c r="N1629" s="5" t="inlineStr"/>
      <c r="O1629" s="8" t="inlineStr">
        <is>
          <t>118500</t>
        </is>
      </c>
      <c r="P1629" s="5" t="inlineStr">
        <is>
          <t>5</t>
        </is>
      </c>
      <c r="Q1629" s="5" t="inlineStr">
        <is>
          <t>3</t>
        </is>
      </c>
      <c r="R1629" s="5" t="inlineStr">
        <is>
          <t>3</t>
        </is>
      </c>
      <c r="S1629" s="5" t="inlineStr">
        <is>
          <t>22</t>
        </is>
      </c>
      <c r="T1629" s="5" t="inlineStr">
        <is>
          <t>0</t>
        </is>
      </c>
      <c r="U1629" s="5" t="inlineStr">
        <is>
          <t>OK</t>
        </is>
      </c>
    </row>
    <row r="1630">
      <c r="A1630" s="5" t="inlineStr">
        <is>
          <t>E02909</t>
        </is>
      </c>
      <c r="B1630" s="5" t="inlineStr">
        <is>
          <t>Female</t>
        </is>
      </c>
      <c r="C1630" s="6" t="inlineStr">
        <is>
          <t>29</t>
        </is>
      </c>
      <c r="D1630" s="5" t="inlineStr">
        <is>
          <t>Single</t>
        </is>
      </c>
      <c r="E1630" s="5" t="inlineStr">
        <is>
          <t>PhD</t>
        </is>
      </c>
      <c r="F1630" s="5" t="inlineStr">
        <is>
          <t>Operations</t>
        </is>
      </c>
      <c r="G1630" s="5" t="inlineStr">
        <is>
          <t>Operations Analyst</t>
        </is>
      </c>
      <c r="H1630" s="5" t="inlineStr">
        <is>
          <t>3</t>
        </is>
      </c>
      <c r="I1630" s="5" t="inlineStr">
        <is>
          <t>Mumbai</t>
        </is>
      </c>
      <c r="J1630" s="5" t="inlineStr">
        <is>
          <t>Full-Time</t>
        </is>
      </c>
      <c r="K1630" s="7" t="n">
        <v>45745</v>
      </c>
      <c r="L1630" s="7" t="inlineStr"/>
      <c r="M1630" s="5" t="inlineStr">
        <is>
          <t>Yes</t>
        </is>
      </c>
      <c r="N1630" s="5" t="inlineStr"/>
      <c r="O1630" s="8" t="inlineStr">
        <is>
          <t>123000</t>
        </is>
      </c>
      <c r="P1630" s="5" t="inlineStr">
        <is>
          <t>20</t>
        </is>
      </c>
      <c r="Q1630" s="5" t="inlineStr">
        <is>
          <t>3</t>
        </is>
      </c>
      <c r="R1630" s="5" t="inlineStr">
        <is>
          <t>6</t>
        </is>
      </c>
      <c r="S1630" s="5" t="inlineStr">
        <is>
          <t>9</t>
        </is>
      </c>
      <c r="T1630" s="5" t="inlineStr">
        <is>
          <t>13</t>
        </is>
      </c>
      <c r="U1630" s="5" t="inlineStr">
        <is>
          <t>OK</t>
        </is>
      </c>
    </row>
    <row r="1631">
      <c r="A1631" s="5" t="inlineStr">
        <is>
          <t>E00213</t>
        </is>
      </c>
      <c r="B1631" s="5" t="inlineStr">
        <is>
          <t>Male</t>
        </is>
      </c>
      <c r="C1631" s="6" t="inlineStr">
        <is>
          <t>35</t>
        </is>
      </c>
      <c r="D1631" s="5" t="inlineStr">
        <is>
          <t>Single</t>
        </is>
      </c>
      <c r="E1631" s="5" t="inlineStr">
        <is>
          <t>Diploma</t>
        </is>
      </c>
      <c r="F1631" s="5" t="inlineStr">
        <is>
          <t>Customer Support</t>
        </is>
      </c>
      <c r="G1631" s="5" t="inlineStr">
        <is>
          <t>Support Lead</t>
        </is>
      </c>
      <c r="H1631" s="5" t="inlineStr">
        <is>
          <t>2</t>
        </is>
      </c>
      <c r="I1631" s="5" t="inlineStr">
        <is>
          <t>Remote</t>
        </is>
      </c>
      <c r="J1631" s="5" t="inlineStr">
        <is>
          <t>Full-Time</t>
        </is>
      </c>
      <c r="K1631" s="7" t="n">
        <v>45208</v>
      </c>
      <c r="L1631" s="7" t="inlineStr"/>
      <c r="M1631" s="5" t="inlineStr">
        <is>
          <t>Yes</t>
        </is>
      </c>
      <c r="N1631" s="5" t="inlineStr"/>
      <c r="O1631" s="8" t="inlineStr">
        <is>
          <t>73500</t>
        </is>
      </c>
      <c r="P1631" s="5" t="inlineStr">
        <is>
          <t>15</t>
        </is>
      </c>
      <c r="Q1631" s="5" t="inlineStr">
        <is>
          <t>3</t>
        </is>
      </c>
      <c r="R1631" s="5" t="inlineStr">
        <is>
          <t>7</t>
        </is>
      </c>
      <c r="S1631" s="5" t="inlineStr">
        <is>
          <t>27</t>
        </is>
      </c>
      <c r="T1631" s="5" t="inlineStr">
        <is>
          <t>0</t>
        </is>
      </c>
      <c r="U1631" s="5" t="inlineStr">
        <is>
          <t>OK</t>
        </is>
      </c>
    </row>
    <row r="1632">
      <c r="A1632" s="5" t="inlineStr">
        <is>
          <t>E00369</t>
        </is>
      </c>
      <c r="B1632" s="5" t="inlineStr">
        <is>
          <t>Female</t>
        </is>
      </c>
      <c r="C1632" s="6" t="inlineStr">
        <is>
          <t>32</t>
        </is>
      </c>
      <c r="D1632" s="5" t="inlineStr">
        <is>
          <t>Single</t>
        </is>
      </c>
      <c r="E1632" s="5" t="inlineStr">
        <is>
          <t>PhD</t>
        </is>
      </c>
      <c r="F1632" s="5" t="inlineStr">
        <is>
          <t>Sales</t>
        </is>
      </c>
      <c r="G1632" s="5" t="inlineStr">
        <is>
          <t>Account Executive</t>
        </is>
      </c>
      <c r="H1632" s="5" t="inlineStr">
        <is>
          <t>4</t>
        </is>
      </c>
      <c r="I1632" s="5" t="inlineStr">
        <is>
          <t>Bengaluru</t>
        </is>
      </c>
      <c r="J1632" s="5" t="inlineStr">
        <is>
          <t>Full-Time</t>
        </is>
      </c>
      <c r="K1632" s="7" t="n">
        <v>44810</v>
      </c>
      <c r="L1632" s="7" t="inlineStr"/>
      <c r="M1632" s="5" t="inlineStr">
        <is>
          <t>Yes</t>
        </is>
      </c>
      <c r="N1632" s="5" t="inlineStr"/>
      <c r="O1632" s="8" t="inlineStr">
        <is>
          <t>94500</t>
        </is>
      </c>
      <c r="P1632" s="5" t="inlineStr">
        <is>
          <t>10</t>
        </is>
      </c>
      <c r="Q1632" s="5" t="inlineStr">
        <is>
          <t>3</t>
        </is>
      </c>
      <c r="R1632" s="5" t="inlineStr">
        <is>
          <t>7</t>
        </is>
      </c>
      <c r="S1632" s="5" t="inlineStr">
        <is>
          <t>40</t>
        </is>
      </c>
      <c r="T1632" s="5" t="inlineStr">
        <is>
          <t>0</t>
        </is>
      </c>
      <c r="U1632" s="5" t="inlineStr">
        <is>
          <t>OK</t>
        </is>
      </c>
    </row>
    <row r="1633">
      <c r="A1633" s="5" t="inlineStr">
        <is>
          <t>E00452</t>
        </is>
      </c>
      <c r="B1633" s="5" t="inlineStr">
        <is>
          <t>Female</t>
        </is>
      </c>
      <c r="C1633" s="6" t="inlineStr">
        <is>
          <t>39</t>
        </is>
      </c>
      <c r="D1633" s="5" t="inlineStr">
        <is>
          <t>Married</t>
        </is>
      </c>
      <c r="E1633" s="5" t="inlineStr">
        <is>
          <t>PhD</t>
        </is>
      </c>
      <c r="F1633" s="5" t="inlineStr">
        <is>
          <t>IT</t>
        </is>
      </c>
      <c r="G1633" s="5" t="inlineStr">
        <is>
          <t>IT Support</t>
        </is>
      </c>
      <c r="H1633" s="5" t="inlineStr">
        <is>
          <t>5</t>
        </is>
      </c>
      <c r="I1633" s="5" t="inlineStr">
        <is>
          <t>Chennai</t>
        </is>
      </c>
      <c r="J1633" s="5" t="inlineStr">
        <is>
          <t>Full-Time</t>
        </is>
      </c>
      <c r="K1633" s="7" t="n">
        <v>44426</v>
      </c>
      <c r="L1633" s="7" t="inlineStr"/>
      <c r="M1633" s="5" t="inlineStr">
        <is>
          <t>Yes</t>
        </is>
      </c>
      <c r="N1633" s="5" t="inlineStr"/>
      <c r="O1633" s="8" t="inlineStr">
        <is>
          <t>195000</t>
        </is>
      </c>
      <c r="P1633" s="5" t="inlineStr">
        <is>
          <t>5</t>
        </is>
      </c>
      <c r="Q1633" s="5" t="inlineStr">
        <is>
          <t>4</t>
        </is>
      </c>
      <c r="R1633" s="5" t="inlineStr">
        <is>
          <t>7</t>
        </is>
      </c>
      <c r="S1633" s="5" t="inlineStr">
        <is>
          <t>53</t>
        </is>
      </c>
      <c r="T1633" s="5" t="inlineStr">
        <is>
          <t>3</t>
        </is>
      </c>
      <c r="U1633" s="5" t="inlineStr">
        <is>
          <t>OK</t>
        </is>
      </c>
    </row>
    <row r="1634">
      <c r="A1634" s="5" t="inlineStr">
        <is>
          <t>E02700</t>
        </is>
      </c>
      <c r="B1634" s="5" t="inlineStr">
        <is>
          <t>Female</t>
        </is>
      </c>
      <c r="C1634" s="6" t="inlineStr">
        <is>
          <t>30</t>
        </is>
      </c>
      <c r="D1634" s="5" t="inlineStr">
        <is>
          <t>Married</t>
        </is>
      </c>
      <c r="E1634" s="5" t="inlineStr">
        <is>
          <t>Diploma</t>
        </is>
      </c>
      <c r="F1634" s="5" t="inlineStr">
        <is>
          <t>Marketing</t>
        </is>
      </c>
      <c r="G1634" s="5" t="inlineStr">
        <is>
          <t>SEO Specialist</t>
        </is>
      </c>
      <c r="H1634" s="5" t="inlineStr">
        <is>
          <t>1</t>
        </is>
      </c>
      <c r="I1634" s="5" t="inlineStr">
        <is>
          <t>Chennai</t>
        </is>
      </c>
      <c r="J1634" s="5" t="inlineStr">
        <is>
          <t>Full-Time</t>
        </is>
      </c>
      <c r="K1634" s="7" t="n">
        <v>44862</v>
      </c>
      <c r="L1634" s="7" t="inlineStr"/>
      <c r="M1634" s="5" t="inlineStr">
        <is>
          <t>Yes</t>
        </is>
      </c>
      <c r="N1634" s="5" t="inlineStr"/>
      <c r="O1634" s="8" t="inlineStr">
        <is>
          <t>80500</t>
        </is>
      </c>
      <c r="P1634" s="5" t="inlineStr">
        <is>
          <t>5</t>
        </is>
      </c>
      <c r="Q1634" s="5" t="inlineStr">
        <is>
          <t>3</t>
        </is>
      </c>
      <c r="R1634" s="5" t="inlineStr">
        <is>
          <t>7</t>
        </is>
      </c>
      <c r="S1634" s="5" t="inlineStr">
        <is>
          <t>38</t>
        </is>
      </c>
      <c r="T1634" s="5" t="inlineStr">
        <is>
          <t>10</t>
        </is>
      </c>
      <c r="U1634" s="5" t="inlineStr">
        <is>
          <t>OK</t>
        </is>
      </c>
    </row>
    <row r="1635">
      <c r="A1635" s="5" t="inlineStr">
        <is>
          <t>E00641</t>
        </is>
      </c>
      <c r="B1635" s="5" t="inlineStr">
        <is>
          <t>Male</t>
        </is>
      </c>
      <c r="C1635" s="6" t="inlineStr">
        <is>
          <t>40</t>
        </is>
      </c>
      <c r="D1635" s="5" t="inlineStr">
        <is>
          <t>Married</t>
        </is>
      </c>
      <c r="E1635" s="5" t="inlineStr">
        <is>
          <t>PhD</t>
        </is>
      </c>
      <c r="F1635" s="5" t="inlineStr">
        <is>
          <t>Operations</t>
        </is>
      </c>
      <c r="G1635" s="5" t="inlineStr">
        <is>
          <t>Operations Analyst</t>
        </is>
      </c>
      <c r="H1635" s="5" t="inlineStr">
        <is>
          <t>4</t>
        </is>
      </c>
      <c r="I1635" s="5" t="inlineStr">
        <is>
          <t>Mumbai</t>
        </is>
      </c>
      <c r="J1635" s="5" t="inlineStr">
        <is>
          <t>Full-Time</t>
        </is>
      </c>
      <c r="K1635" s="7" t="n">
        <v>45964</v>
      </c>
      <c r="L1635" s="7" t="inlineStr"/>
      <c r="M1635" s="5" t="inlineStr">
        <is>
          <t>Yes</t>
        </is>
      </c>
      <c r="N1635" s="5" t="inlineStr"/>
      <c r="O1635" s="8" t="inlineStr">
        <is>
          <t>121000</t>
        </is>
      </c>
      <c r="P1635" s="5" t="inlineStr">
        <is>
          <t>0</t>
        </is>
      </c>
      <c r="Q1635" s="5" t="inlineStr">
        <is>
          <t>5</t>
        </is>
      </c>
      <c r="R1635" s="5" t="inlineStr">
        <is>
          <t>6</t>
        </is>
      </c>
      <c r="S1635" s="5" t="inlineStr">
        <is>
          <t>1</t>
        </is>
      </c>
      <c r="T1635" s="5" t="inlineStr">
        <is>
          <t>0</t>
        </is>
      </c>
      <c r="U1635" s="5" t="inlineStr">
        <is>
          <t>OK</t>
        </is>
      </c>
    </row>
    <row r="1636">
      <c r="A1636" s="5" t="inlineStr">
        <is>
          <t>E00115</t>
        </is>
      </c>
      <c r="B1636" s="5" t="inlineStr">
        <is>
          <t>Male</t>
        </is>
      </c>
      <c r="C1636" s="6" t="inlineStr">
        <is>
          <t>33</t>
        </is>
      </c>
      <c r="D1636" s="5" t="inlineStr">
        <is>
          <t>Single</t>
        </is>
      </c>
      <c r="E1636" s="5" t="inlineStr">
        <is>
          <t>PhD</t>
        </is>
      </c>
      <c r="F1636" s="5" t="inlineStr">
        <is>
          <t>Finance</t>
        </is>
      </c>
      <c r="G1636" s="5" t="inlineStr">
        <is>
          <t>Financial Analyst</t>
        </is>
      </c>
      <c r="H1636" s="5" t="inlineStr">
        <is>
          <t>6</t>
        </is>
      </c>
      <c r="I1636" s="5" t="inlineStr">
        <is>
          <t>Mumbai</t>
        </is>
      </c>
      <c r="J1636" s="5" t="inlineStr">
        <is>
          <t>Full-Time</t>
        </is>
      </c>
      <c r="K1636" s="7" t="n">
        <v>45415</v>
      </c>
      <c r="L1636" s="7" t="inlineStr"/>
      <c r="M1636" s="5" t="inlineStr">
        <is>
          <t>Yes</t>
        </is>
      </c>
      <c r="N1636" s="5" t="inlineStr"/>
      <c r="O1636" s="8" t="inlineStr">
        <is>
          <t>125000</t>
        </is>
      </c>
      <c r="P1636" s="5" t="inlineStr">
        <is>
          <t>0</t>
        </is>
      </c>
      <c r="Q1636" s="5" t="inlineStr">
        <is>
          <t>3</t>
        </is>
      </c>
      <c r="R1636" s="5" t="inlineStr">
        <is>
          <t>5</t>
        </is>
      </c>
      <c r="S1636" s="5" t="inlineStr">
        <is>
          <t>20</t>
        </is>
      </c>
      <c r="T1636" s="5" t="inlineStr">
        <is>
          <t>8</t>
        </is>
      </c>
      <c r="U1636" s="5" t="inlineStr">
        <is>
          <t>OK</t>
        </is>
      </c>
    </row>
    <row r="1637">
      <c r="A1637" s="5" t="inlineStr">
        <is>
          <t>E00474</t>
        </is>
      </c>
      <c r="B1637" s="5" t="inlineStr">
        <is>
          <t>Female</t>
        </is>
      </c>
      <c r="C1637" s="6" t="inlineStr">
        <is>
          <t>31</t>
        </is>
      </c>
      <c r="D1637" s="5" t="inlineStr">
        <is>
          <t>Single</t>
        </is>
      </c>
      <c r="E1637" s="5" t="inlineStr">
        <is>
          <t>Master</t>
        </is>
      </c>
      <c r="F1637" s="5" t="inlineStr">
        <is>
          <t>Customer Support</t>
        </is>
      </c>
      <c r="G1637" s="5" t="inlineStr">
        <is>
          <t>Support Agent</t>
        </is>
      </c>
      <c r="H1637" s="5" t="inlineStr">
        <is>
          <t>4</t>
        </is>
      </c>
      <c r="I1637" s="5" t="inlineStr">
        <is>
          <t>Hyderabad</t>
        </is>
      </c>
      <c r="J1637" s="5" t="inlineStr">
        <is>
          <t>Full-Time</t>
        </is>
      </c>
      <c r="K1637" s="7" t="n">
        <v>45816</v>
      </c>
      <c r="L1637" s="7" t="inlineStr"/>
      <c r="M1637" s="5" t="inlineStr">
        <is>
          <t>Yes</t>
        </is>
      </c>
      <c r="N1637" s="5" t="inlineStr"/>
      <c r="O1637" s="8" t="inlineStr">
        <is>
          <t>82500</t>
        </is>
      </c>
      <c r="P1637" s="5" t="inlineStr">
        <is>
          <t>20</t>
        </is>
      </c>
      <c r="Q1637" s="5" t="inlineStr">
        <is>
          <t>3</t>
        </is>
      </c>
      <c r="R1637" s="5" t="inlineStr">
        <is>
          <t>4</t>
        </is>
      </c>
      <c r="S1637" s="5" t="inlineStr">
        <is>
          <t>6</t>
        </is>
      </c>
      <c r="T1637" s="5" t="inlineStr">
        <is>
          <t>12</t>
        </is>
      </c>
      <c r="U1637" s="5" t="inlineStr">
        <is>
          <t>OK</t>
        </is>
      </c>
    </row>
    <row r="1638">
      <c r="A1638" s="5" t="inlineStr">
        <is>
          <t>E00698</t>
        </is>
      </c>
      <c r="B1638" s="5" t="inlineStr">
        <is>
          <t>Male</t>
        </is>
      </c>
      <c r="C1638" s="6" t="inlineStr">
        <is>
          <t>31</t>
        </is>
      </c>
      <c r="D1638" s="5" t="inlineStr">
        <is>
          <t>Single</t>
        </is>
      </c>
      <c r="E1638" s="5" t="inlineStr">
        <is>
          <t>Bachelor</t>
        </is>
      </c>
      <c r="F1638" s="5" t="inlineStr">
        <is>
          <t>Sales</t>
        </is>
      </c>
      <c r="G1638" s="5" t="inlineStr">
        <is>
          <t>Business Development</t>
        </is>
      </c>
      <c r="H1638" s="5" t="inlineStr">
        <is>
          <t>1</t>
        </is>
      </c>
      <c r="I1638" s="5" t="inlineStr">
        <is>
          <t>Chennai</t>
        </is>
      </c>
      <c r="J1638" s="5" t="inlineStr">
        <is>
          <t>Full-Time</t>
        </is>
      </c>
      <c r="K1638" s="7" t="n">
        <v>45261</v>
      </c>
      <c r="L1638" s="7" t="n">
        <v>45353</v>
      </c>
      <c r="M1638" s="5" t="inlineStr">
        <is>
          <t>No</t>
        </is>
      </c>
      <c r="N1638" s="5" t="inlineStr">
        <is>
          <t>Relocation</t>
        </is>
      </c>
      <c r="O1638" s="8" t="inlineStr">
        <is>
          <t>93000</t>
        </is>
      </c>
      <c r="P1638" s="5" t="inlineStr">
        <is>
          <t>10</t>
        </is>
      </c>
      <c r="Q1638" s="5" t="inlineStr">
        <is>
          <t>4</t>
        </is>
      </c>
      <c r="R1638" s="5" t="inlineStr">
        <is>
          <t>7</t>
        </is>
      </c>
      <c r="S1638" s="5" t="inlineStr">
        <is>
          <t>3</t>
        </is>
      </c>
      <c r="T1638" s="5" t="inlineStr">
        <is>
          <t>0</t>
        </is>
      </c>
      <c r="U1638" s="5" t="inlineStr">
        <is>
          <t>OK</t>
        </is>
      </c>
    </row>
    <row r="1639">
      <c r="A1639" s="5" t="inlineStr">
        <is>
          <t>E01406</t>
        </is>
      </c>
      <c r="B1639" s="5" t="inlineStr">
        <is>
          <t>Male</t>
        </is>
      </c>
      <c r="C1639" s="6" t="inlineStr">
        <is>
          <t>34</t>
        </is>
      </c>
      <c r="D1639" s="5" t="inlineStr">
        <is>
          <t>Married</t>
        </is>
      </c>
      <c r="E1639" s="5" t="inlineStr">
        <is>
          <t>Diploma</t>
        </is>
      </c>
      <c r="F1639" s="5" t="inlineStr">
        <is>
          <t>Research &amp; Development</t>
        </is>
      </c>
      <c r="G1639" s="5" t="inlineStr">
        <is>
          <t>Research Scientist</t>
        </is>
      </c>
      <c r="H1639" s="5" t="inlineStr">
        <is>
          <t>2</t>
        </is>
      </c>
      <c r="I1639" s="5" t="inlineStr">
        <is>
          <t>Delhi</t>
        </is>
      </c>
      <c r="J1639" s="5" t="inlineStr">
        <is>
          <t>Full-Time</t>
        </is>
      </c>
      <c r="K1639" s="7" t="n">
        <v>45157</v>
      </c>
      <c r="L1639" s="7" t="inlineStr"/>
      <c r="M1639" s="5" t="inlineStr">
        <is>
          <t>Yes</t>
        </is>
      </c>
      <c r="N1639" s="5" t="inlineStr"/>
      <c r="O1639" s="8" t="inlineStr">
        <is>
          <t>106000</t>
        </is>
      </c>
      <c r="P1639" s="5" t="inlineStr">
        <is>
          <t>0</t>
        </is>
      </c>
      <c r="Q1639" s="5" t="inlineStr">
        <is>
          <t>3</t>
        </is>
      </c>
      <c r="R1639" s="5" t="inlineStr">
        <is>
          <t>6</t>
        </is>
      </c>
      <c r="S1639" s="5" t="inlineStr">
        <is>
          <t>28</t>
        </is>
      </c>
      <c r="T1639" s="5" t="inlineStr">
        <is>
          <t>8</t>
        </is>
      </c>
      <c r="U1639" s="5" t="inlineStr">
        <is>
          <t>OK</t>
        </is>
      </c>
    </row>
    <row r="1640">
      <c r="A1640" s="5" t="inlineStr">
        <is>
          <t>E02152</t>
        </is>
      </c>
      <c r="B1640" s="5" t="inlineStr">
        <is>
          <t>Female</t>
        </is>
      </c>
      <c r="C1640" s="6" t="inlineStr">
        <is>
          <t>29</t>
        </is>
      </c>
      <c r="D1640" s="5" t="inlineStr">
        <is>
          <t>Married</t>
        </is>
      </c>
      <c r="E1640" s="5" t="inlineStr">
        <is>
          <t>PhD</t>
        </is>
      </c>
      <c r="F1640" s="5" t="inlineStr">
        <is>
          <t>Customer Support</t>
        </is>
      </c>
      <c r="G1640" s="5" t="inlineStr">
        <is>
          <t>Escalation Specialist</t>
        </is>
      </c>
      <c r="H1640" s="5" t="inlineStr">
        <is>
          <t>1</t>
        </is>
      </c>
      <c r="I1640" s="5" t="inlineStr">
        <is>
          <t>Hyderabad</t>
        </is>
      </c>
      <c r="J1640" s="5" t="inlineStr">
        <is>
          <t>Full-Time</t>
        </is>
      </c>
      <c r="K1640" s="7" t="n">
        <v>43875</v>
      </c>
      <c r="L1640" s="7" t="n">
        <v>44009</v>
      </c>
      <c r="M1640" s="5" t="inlineStr">
        <is>
          <t>No</t>
        </is>
      </c>
      <c r="N1640" s="5" t="inlineStr">
        <is>
          <t>Retirement</t>
        </is>
      </c>
      <c r="O1640" s="8" t="inlineStr">
        <is>
          <t>48000</t>
        </is>
      </c>
      <c r="P1640" s="5" t="inlineStr">
        <is>
          <t>0</t>
        </is>
      </c>
      <c r="Q1640" s="5" t="inlineStr">
        <is>
          <t>1</t>
        </is>
      </c>
      <c r="R1640" s="5" t="inlineStr">
        <is>
          <t>6</t>
        </is>
      </c>
      <c r="S1640" s="5" t="inlineStr">
        <is>
          <t>4</t>
        </is>
      </c>
      <c r="T1640" s="5" t="inlineStr">
        <is>
          <t>8</t>
        </is>
      </c>
      <c r="U1640" s="5" t="inlineStr">
        <is>
          <t>OK</t>
        </is>
      </c>
    </row>
    <row r="1641">
      <c r="A1641" s="5" t="inlineStr">
        <is>
          <t>E02913</t>
        </is>
      </c>
      <c r="B1641" s="5" t="inlineStr">
        <is>
          <t>Male</t>
        </is>
      </c>
      <c r="C1641" s="6" t="inlineStr">
        <is>
          <t>30</t>
        </is>
      </c>
      <c r="D1641" s="5" t="inlineStr">
        <is>
          <t>Single</t>
        </is>
      </c>
      <c r="E1641" s="5" t="inlineStr">
        <is>
          <t>PhD</t>
        </is>
      </c>
      <c r="F1641" s="5" t="inlineStr">
        <is>
          <t>IT</t>
        </is>
      </c>
      <c r="G1641" s="5" t="inlineStr">
        <is>
          <t>Data Analyst</t>
        </is>
      </c>
      <c r="H1641" s="5" t="inlineStr">
        <is>
          <t>2</t>
        </is>
      </c>
      <c r="I1641" s="5" t="inlineStr">
        <is>
          <t>Remote</t>
        </is>
      </c>
      <c r="J1641" s="5" t="inlineStr">
        <is>
          <t>Full-Time</t>
        </is>
      </c>
      <c r="K1641" s="7" t="n">
        <v>46008</v>
      </c>
      <c r="L1641" s="7" t="inlineStr"/>
      <c r="M1641" s="5" t="inlineStr">
        <is>
          <t>Yes</t>
        </is>
      </c>
      <c r="N1641" s="5" t="inlineStr"/>
      <c r="O1641" s="8" t="inlineStr">
        <is>
          <t>159000</t>
        </is>
      </c>
      <c r="P1641" s="5" t="inlineStr">
        <is>
          <t>0</t>
        </is>
      </c>
      <c r="Q1641" s="5" t="inlineStr">
        <is>
          <t>4</t>
        </is>
      </c>
      <c r="R1641" s="5" t="inlineStr">
        <is>
          <t>7</t>
        </is>
      </c>
      <c r="S1641" s="5" t="inlineStr">
        <is>
          <t>1</t>
        </is>
      </c>
      <c r="T1641" s="5" t="inlineStr">
        <is>
          <t>5</t>
        </is>
      </c>
      <c r="U1641" s="5" t="inlineStr">
        <is>
          <t>OK</t>
        </is>
      </c>
    </row>
    <row r="1642">
      <c r="A1642" s="5" t="inlineStr">
        <is>
          <t>E00263</t>
        </is>
      </c>
      <c r="B1642" s="5" t="inlineStr">
        <is>
          <t>Female</t>
        </is>
      </c>
      <c r="C1642" s="6" t="inlineStr">
        <is>
          <t>31</t>
        </is>
      </c>
      <c r="D1642" s="5" t="inlineStr">
        <is>
          <t>Single</t>
        </is>
      </c>
      <c r="E1642" s="5" t="inlineStr">
        <is>
          <t>Master</t>
        </is>
      </c>
      <c r="F1642" s="5" t="inlineStr">
        <is>
          <t>Human Resources</t>
        </is>
      </c>
      <c r="G1642" s="5" t="inlineStr">
        <is>
          <t>HR Analyst</t>
        </is>
      </c>
      <c r="H1642" s="5" t="inlineStr">
        <is>
          <t>1</t>
        </is>
      </c>
      <c r="I1642" s="5" t="inlineStr">
        <is>
          <t>Remote</t>
        </is>
      </c>
      <c r="J1642" s="5" t="inlineStr">
        <is>
          <t>Full-Time</t>
        </is>
      </c>
      <c r="K1642" s="7" t="n">
        <v>44864</v>
      </c>
      <c r="L1642" s="7" t="inlineStr"/>
      <c r="M1642" s="5" t="inlineStr">
        <is>
          <t>Yes</t>
        </is>
      </c>
      <c r="N1642" s="5" t="inlineStr"/>
      <c r="O1642" s="8" t="inlineStr">
        <is>
          <t>97000</t>
        </is>
      </c>
      <c r="P1642" s="5" t="inlineStr">
        <is>
          <t>20</t>
        </is>
      </c>
      <c r="Q1642" s="5" t="inlineStr">
        <is>
          <t>5</t>
        </is>
      </c>
      <c r="R1642" s="5" t="inlineStr">
        <is>
          <t>5</t>
        </is>
      </c>
      <c r="S1642" s="5" t="inlineStr">
        <is>
          <t>38</t>
        </is>
      </c>
      <c r="T1642" s="5" t="inlineStr">
        <is>
          <t>5</t>
        </is>
      </c>
      <c r="U1642" s="5" t="inlineStr">
        <is>
          <t>OK</t>
        </is>
      </c>
    </row>
    <row r="1643">
      <c r="A1643" s="5" t="inlineStr">
        <is>
          <t>E02541</t>
        </is>
      </c>
      <c r="B1643" s="5" t="inlineStr">
        <is>
          <t>Female</t>
        </is>
      </c>
      <c r="C1643" s="6" t="inlineStr">
        <is>
          <t>38</t>
        </is>
      </c>
      <c r="D1643" s="5" t="inlineStr">
        <is>
          <t>Married</t>
        </is>
      </c>
      <c r="E1643" s="5" t="inlineStr">
        <is>
          <t>Diploma</t>
        </is>
      </c>
      <c r="F1643" s="5" t="inlineStr">
        <is>
          <t>Sales</t>
        </is>
      </c>
      <c r="G1643" s="5" t="inlineStr">
        <is>
          <t>Account Executive</t>
        </is>
      </c>
      <c r="H1643" s="5" t="inlineStr">
        <is>
          <t>7</t>
        </is>
      </c>
      <c r="I1643" s="5" t="inlineStr">
        <is>
          <t>Chennai</t>
        </is>
      </c>
      <c r="J1643" s="5" t="inlineStr">
        <is>
          <t>Full-Time</t>
        </is>
      </c>
      <c r="K1643" s="7" t="n">
        <v>45138</v>
      </c>
      <c r="L1643" s="7" t="inlineStr"/>
      <c r="M1643" s="5" t="inlineStr">
        <is>
          <t>Yes</t>
        </is>
      </c>
      <c r="N1643" s="5" t="inlineStr"/>
      <c r="O1643" s="8" t="inlineStr">
        <is>
          <t>158500</t>
        </is>
      </c>
      <c r="P1643" s="5" t="inlineStr">
        <is>
          <t>0</t>
        </is>
      </c>
      <c r="Q1643" s="5" t="inlineStr">
        <is>
          <t>5</t>
        </is>
      </c>
      <c r="R1643" s="5" t="inlineStr">
        <is>
          <t>6</t>
        </is>
      </c>
      <c r="S1643" s="5" t="inlineStr">
        <is>
          <t>29</t>
        </is>
      </c>
      <c r="T1643" s="5" t="inlineStr">
        <is>
          <t>4</t>
        </is>
      </c>
      <c r="U1643" s="5" t="inlineStr">
        <is>
          <t>OK</t>
        </is>
      </c>
    </row>
    <row r="1644">
      <c r="A1644" s="5" t="inlineStr">
        <is>
          <t>E00458</t>
        </is>
      </c>
      <c r="B1644" s="5" t="inlineStr">
        <is>
          <t>Male</t>
        </is>
      </c>
      <c r="C1644" s="6" t="inlineStr">
        <is>
          <t>32</t>
        </is>
      </c>
      <c r="D1644" s="5" t="inlineStr">
        <is>
          <t>Married</t>
        </is>
      </c>
      <c r="E1644" s="5" t="inlineStr">
        <is>
          <t>High School</t>
        </is>
      </c>
      <c r="F1644" s="5" t="inlineStr">
        <is>
          <t>Operations</t>
        </is>
      </c>
      <c r="G1644" s="5" t="inlineStr">
        <is>
          <t>Quality Analyst</t>
        </is>
      </c>
      <c r="H1644" s="5" t="inlineStr">
        <is>
          <t>4</t>
        </is>
      </c>
      <c r="I1644" s="5" t="inlineStr">
        <is>
          <t>Mumbai</t>
        </is>
      </c>
      <c r="J1644" s="5" t="inlineStr">
        <is>
          <t>Full-Time</t>
        </is>
      </c>
      <c r="K1644" s="7" t="n">
        <v>45702</v>
      </c>
      <c r="L1644" s="7" t="inlineStr"/>
      <c r="M1644" s="5" t="inlineStr">
        <is>
          <t>Yes</t>
        </is>
      </c>
      <c r="N1644" s="5" t="inlineStr"/>
      <c r="O1644" s="8" t="inlineStr">
        <is>
          <t>80000</t>
        </is>
      </c>
      <c r="P1644" s="5" t="inlineStr">
        <is>
          <t>5</t>
        </is>
      </c>
      <c r="Q1644" s="5" t="inlineStr">
        <is>
          <t>5</t>
        </is>
      </c>
      <c r="R1644" s="5" t="inlineStr">
        <is>
          <t>5</t>
        </is>
      </c>
      <c r="S1644" s="5" t="inlineStr">
        <is>
          <t>10</t>
        </is>
      </c>
      <c r="T1644" s="5" t="inlineStr">
        <is>
          <t>2</t>
        </is>
      </c>
      <c r="U1644" s="5" t="inlineStr">
        <is>
          <t>OK</t>
        </is>
      </c>
    </row>
    <row r="1645">
      <c r="A1645" s="5" t="inlineStr">
        <is>
          <t>E02384</t>
        </is>
      </c>
      <c r="B1645" s="5" t="inlineStr">
        <is>
          <t>Male</t>
        </is>
      </c>
      <c r="C1645" s="6" t="inlineStr">
        <is>
          <t>32</t>
        </is>
      </c>
      <c r="D1645" s="5" t="inlineStr">
        <is>
          <t>Married</t>
        </is>
      </c>
      <c r="E1645" s="5" t="inlineStr">
        <is>
          <t>PhD</t>
        </is>
      </c>
      <c r="F1645" s="5" t="inlineStr">
        <is>
          <t>Marketing</t>
        </is>
      </c>
      <c r="G1645" s="5" t="inlineStr">
        <is>
          <t>Content Writer</t>
        </is>
      </c>
      <c r="H1645" s="5" t="inlineStr">
        <is>
          <t>2</t>
        </is>
      </c>
      <c r="I1645" s="5" t="inlineStr">
        <is>
          <t>Delhi</t>
        </is>
      </c>
      <c r="J1645" s="5" t="inlineStr">
        <is>
          <t>Full-Time</t>
        </is>
      </c>
      <c r="K1645" s="7" t="n">
        <v>45655</v>
      </c>
      <c r="L1645" s="7" t="n">
        <v>45741</v>
      </c>
      <c r="M1645" s="5" t="inlineStr">
        <is>
          <t>No</t>
        </is>
      </c>
      <c r="N1645" s="5" t="inlineStr">
        <is>
          <t>Resigned</t>
        </is>
      </c>
      <c r="O1645" s="8" t="inlineStr">
        <is>
          <t>102500</t>
        </is>
      </c>
      <c r="P1645" s="5" t="inlineStr">
        <is>
          <t>0</t>
        </is>
      </c>
      <c r="Q1645" s="5" t="inlineStr">
        <is>
          <t>5</t>
        </is>
      </c>
      <c r="R1645" s="5" t="inlineStr">
        <is>
          <t>4</t>
        </is>
      </c>
      <c r="S1645" s="5" t="inlineStr">
        <is>
          <t>2</t>
        </is>
      </c>
      <c r="T1645" s="5" t="inlineStr">
        <is>
          <t>17</t>
        </is>
      </c>
      <c r="U1645" s="5" t="inlineStr">
        <is>
          <t>OK</t>
        </is>
      </c>
    </row>
    <row r="1646">
      <c r="A1646" s="5" t="inlineStr">
        <is>
          <t>E01421</t>
        </is>
      </c>
      <c r="B1646" s="5" t="inlineStr">
        <is>
          <t>Female</t>
        </is>
      </c>
      <c r="C1646" s="6" t="inlineStr">
        <is>
          <t>34</t>
        </is>
      </c>
      <c r="D1646" s="5" t="inlineStr">
        <is>
          <t>Married</t>
        </is>
      </c>
      <c r="E1646" s="5" t="inlineStr">
        <is>
          <t>PhD</t>
        </is>
      </c>
      <c r="F1646" s="5" t="inlineStr">
        <is>
          <t>Human Resources</t>
        </is>
      </c>
      <c r="G1646" s="5" t="inlineStr">
        <is>
          <t>Recruiter</t>
        </is>
      </c>
      <c r="H1646" s="5" t="inlineStr">
        <is>
          <t>4</t>
        </is>
      </c>
      <c r="I1646" s="5" t="inlineStr">
        <is>
          <t>Chennai</t>
        </is>
      </c>
      <c r="J1646" s="5" t="inlineStr">
        <is>
          <t>Full-Time</t>
        </is>
      </c>
      <c r="K1646" s="7" t="n">
        <v>44555</v>
      </c>
      <c r="L1646" s="7" t="inlineStr"/>
      <c r="M1646" s="5" t="inlineStr">
        <is>
          <t>Yes</t>
        </is>
      </c>
      <c r="N1646" s="5" t="inlineStr"/>
      <c r="O1646" s="8" t="inlineStr">
        <is>
          <t>94500</t>
        </is>
      </c>
      <c r="P1646" s="5" t="inlineStr">
        <is>
          <t>0</t>
        </is>
      </c>
      <c r="Q1646" s="5" t="inlineStr">
        <is>
          <t>5</t>
        </is>
      </c>
      <c r="R1646" s="5" t="inlineStr">
        <is>
          <t>7</t>
        </is>
      </c>
      <c r="S1646" s="5" t="inlineStr">
        <is>
          <t>48</t>
        </is>
      </c>
      <c r="T1646" s="5" t="inlineStr">
        <is>
          <t>9</t>
        </is>
      </c>
      <c r="U1646" s="5" t="inlineStr">
        <is>
          <t>OK</t>
        </is>
      </c>
    </row>
    <row r="1647">
      <c r="A1647" s="5" t="inlineStr">
        <is>
          <t>E02354</t>
        </is>
      </c>
      <c r="B1647" s="5" t="inlineStr">
        <is>
          <t>Female</t>
        </is>
      </c>
      <c r="C1647" s="6" t="inlineStr">
        <is>
          <t>31</t>
        </is>
      </c>
      <c r="D1647" s="5" t="inlineStr">
        <is>
          <t>Single</t>
        </is>
      </c>
      <c r="E1647" s="5" t="inlineStr">
        <is>
          <t>PhD</t>
        </is>
      </c>
      <c r="F1647" s="5" t="inlineStr">
        <is>
          <t>IT</t>
        </is>
      </c>
      <c r="G1647" s="5" t="inlineStr">
        <is>
          <t>DevOps Engineer</t>
        </is>
      </c>
      <c r="H1647" s="5" t="inlineStr">
        <is>
          <t>3</t>
        </is>
      </c>
      <c r="I1647" s="5" t="inlineStr">
        <is>
          <t>Remote</t>
        </is>
      </c>
      <c r="J1647" s="5" t="inlineStr">
        <is>
          <t>Full-Time</t>
        </is>
      </c>
      <c r="K1647" s="7" t="n">
        <v>44485</v>
      </c>
      <c r="L1647" s="7" t="inlineStr"/>
      <c r="M1647" s="5" t="inlineStr">
        <is>
          <t>Yes</t>
        </is>
      </c>
      <c r="N1647" s="5" t="inlineStr"/>
      <c r="O1647" s="8" t="inlineStr">
        <is>
          <t>117000</t>
        </is>
      </c>
      <c r="P1647" s="5" t="inlineStr">
        <is>
          <t>10</t>
        </is>
      </c>
      <c r="Q1647" s="5" t="inlineStr">
        <is>
          <t>4</t>
        </is>
      </c>
      <c r="R1647" s="5" t="inlineStr">
        <is>
          <t>3</t>
        </is>
      </c>
      <c r="S1647" s="5" t="inlineStr">
        <is>
          <t>51</t>
        </is>
      </c>
      <c r="T1647" s="5" t="inlineStr">
        <is>
          <t>7</t>
        </is>
      </c>
      <c r="U1647" s="5" t="inlineStr">
        <is>
          <t>OK</t>
        </is>
      </c>
    </row>
    <row r="1648">
      <c r="A1648" s="5" t="inlineStr">
        <is>
          <t>E02763</t>
        </is>
      </c>
      <c r="B1648" s="5" t="inlineStr">
        <is>
          <t>Male</t>
        </is>
      </c>
      <c r="C1648" s="6" t="inlineStr">
        <is>
          <t>34</t>
        </is>
      </c>
      <c r="D1648" s="5" t="inlineStr">
        <is>
          <t>Divorced</t>
        </is>
      </c>
      <c r="E1648" s="5" t="inlineStr">
        <is>
          <t>Master</t>
        </is>
      </c>
      <c r="F1648" s="5" t="inlineStr">
        <is>
          <t>Operations</t>
        </is>
      </c>
      <c r="G1648" s="5" t="inlineStr">
        <is>
          <t>Quality Analyst</t>
        </is>
      </c>
      <c r="H1648" s="5" t="inlineStr">
        <is>
          <t>2</t>
        </is>
      </c>
      <c r="I1648" s="5" t="inlineStr">
        <is>
          <t>Mumbai</t>
        </is>
      </c>
      <c r="J1648" s="5" t="inlineStr">
        <is>
          <t>Full-Time</t>
        </is>
      </c>
      <c r="K1648" s="7" t="n">
        <v>45312</v>
      </c>
      <c r="L1648" s="7" t="n">
        <v>45364</v>
      </c>
      <c r="M1648" s="5" t="inlineStr">
        <is>
          <t>No</t>
        </is>
      </c>
      <c r="N1648" s="5" t="inlineStr">
        <is>
          <t>Retirement</t>
        </is>
      </c>
      <c r="O1648" s="8" t="inlineStr">
        <is>
          <t>64500</t>
        </is>
      </c>
      <c r="P1648" s="5" t="inlineStr">
        <is>
          <t>0</t>
        </is>
      </c>
      <c r="Q1648" s="5" t="inlineStr">
        <is>
          <t>4</t>
        </is>
      </c>
      <c r="R1648" s="5" t="inlineStr">
        <is>
          <t>5</t>
        </is>
      </c>
      <c r="S1648" s="5" t="inlineStr">
        <is>
          <t>1</t>
        </is>
      </c>
      <c r="T1648" s="5" t="inlineStr">
        <is>
          <t>2</t>
        </is>
      </c>
      <c r="U1648" s="5" t="inlineStr">
        <is>
          <t>OK</t>
        </is>
      </c>
    </row>
    <row r="1649">
      <c r="A1649" s="5" t="inlineStr">
        <is>
          <t>E00016</t>
        </is>
      </c>
      <c r="B1649" s="5" t="inlineStr">
        <is>
          <t>Male</t>
        </is>
      </c>
      <c r="C1649" s="6" t="inlineStr">
        <is>
          <t>28</t>
        </is>
      </c>
      <c r="D1649" s="5" t="inlineStr">
        <is>
          <t>Married</t>
        </is>
      </c>
      <c r="E1649" s="5" t="inlineStr">
        <is>
          <t>Bachelor</t>
        </is>
      </c>
      <c r="F1649" s="5" t="inlineStr">
        <is>
          <t>Human Resources</t>
        </is>
      </c>
      <c r="G1649" s="5" t="inlineStr">
        <is>
          <t>HR Analyst</t>
        </is>
      </c>
      <c r="H1649" s="5" t="inlineStr">
        <is>
          <t>3</t>
        </is>
      </c>
      <c r="I1649" s="5" t="inlineStr">
        <is>
          <t>Hyderabad</t>
        </is>
      </c>
      <c r="J1649" s="5" t="inlineStr">
        <is>
          <t>Full-Time</t>
        </is>
      </c>
      <c r="K1649" s="7" t="n">
        <v>45746</v>
      </c>
      <c r="L1649" s="7" t="n">
        <v>45856</v>
      </c>
      <c r="M1649" s="5" t="inlineStr">
        <is>
          <t>No</t>
        </is>
      </c>
      <c r="N1649" s="5" t="inlineStr">
        <is>
          <t>Resigned</t>
        </is>
      </c>
      <c r="O1649" s="8" t="inlineStr">
        <is>
          <t>83000</t>
        </is>
      </c>
      <c r="P1649" s="5" t="inlineStr">
        <is>
          <t>0</t>
        </is>
      </c>
      <c r="Q1649" s="5" t="inlineStr">
        <is>
          <t>4</t>
        </is>
      </c>
      <c r="R1649" s="5" t="inlineStr">
        <is>
          <t>5</t>
        </is>
      </c>
      <c r="S1649" s="5" t="inlineStr">
        <is>
          <t>3</t>
        </is>
      </c>
      <c r="T1649" s="5" t="inlineStr">
        <is>
          <t>5</t>
        </is>
      </c>
      <c r="U1649" s="5" t="inlineStr">
        <is>
          <t>OK</t>
        </is>
      </c>
    </row>
    <row r="1650">
      <c r="A1650" s="5" t="inlineStr">
        <is>
          <t>E00844</t>
        </is>
      </c>
      <c r="B1650" s="5" t="inlineStr">
        <is>
          <t>Female</t>
        </is>
      </c>
      <c r="C1650" s="6" t="inlineStr">
        <is>
          <t>29</t>
        </is>
      </c>
      <c r="D1650" s="5" t="inlineStr">
        <is>
          <t>Married</t>
        </is>
      </c>
      <c r="E1650" s="5" t="inlineStr">
        <is>
          <t>Bachelor</t>
        </is>
      </c>
      <c r="F1650" s="5" t="inlineStr">
        <is>
          <t>Human Resources</t>
        </is>
      </c>
      <c r="G1650" s="5" t="inlineStr">
        <is>
          <t>Recruiter</t>
        </is>
      </c>
      <c r="H1650" s="5" t="inlineStr">
        <is>
          <t>2</t>
        </is>
      </c>
      <c r="I1650" s="5" t="inlineStr">
        <is>
          <t>Hyderabad</t>
        </is>
      </c>
      <c r="J1650" s="5" t="inlineStr">
        <is>
          <t>Full-Time</t>
        </is>
      </c>
      <c r="K1650" s="7" t="n">
        <v>45922</v>
      </c>
      <c r="L1650" s="7" t="inlineStr"/>
      <c r="M1650" s="5" t="inlineStr">
        <is>
          <t>Yes</t>
        </is>
      </c>
      <c r="N1650" s="5" t="inlineStr"/>
      <c r="O1650" s="8" t="inlineStr">
        <is>
          <t>74000</t>
        </is>
      </c>
      <c r="P1650" s="5" t="inlineStr">
        <is>
          <t>20</t>
        </is>
      </c>
      <c r="Q1650" s="5" t="inlineStr">
        <is>
          <t>4</t>
        </is>
      </c>
      <c r="R1650" s="5" t="inlineStr">
        <is>
          <t>2</t>
        </is>
      </c>
      <c r="S1650" s="5" t="inlineStr">
        <is>
          <t>3</t>
        </is>
      </c>
      <c r="T1650" s="5" t="inlineStr">
        <is>
          <t>21</t>
        </is>
      </c>
      <c r="U1650" s="5" t="inlineStr">
        <is>
          <t>OK</t>
        </is>
      </c>
    </row>
    <row r="1651">
      <c r="A1651" s="5" t="inlineStr">
        <is>
          <t>E01948</t>
        </is>
      </c>
      <c r="B1651" s="5" t="inlineStr">
        <is>
          <t>Male</t>
        </is>
      </c>
      <c r="C1651" s="6" t="inlineStr">
        <is>
          <t>36</t>
        </is>
      </c>
      <c r="D1651" s="5" t="inlineStr">
        <is>
          <t>Married</t>
        </is>
      </c>
      <c r="E1651" s="5" t="inlineStr">
        <is>
          <t>PhD</t>
        </is>
      </c>
      <c r="F1651" s="5" t="inlineStr">
        <is>
          <t>IT</t>
        </is>
      </c>
      <c r="G1651" s="5" t="inlineStr">
        <is>
          <t>IT Support</t>
        </is>
      </c>
      <c r="H1651" s="5" t="inlineStr">
        <is>
          <t>3</t>
        </is>
      </c>
      <c r="I1651" s="5" t="inlineStr">
        <is>
          <t>Mumbai</t>
        </is>
      </c>
      <c r="J1651" s="5" t="inlineStr">
        <is>
          <t>Full-Time</t>
        </is>
      </c>
      <c r="K1651" s="7" t="n">
        <v>45391</v>
      </c>
      <c r="L1651" s="7" t="inlineStr"/>
      <c r="M1651" s="5" t="inlineStr">
        <is>
          <t>Yes</t>
        </is>
      </c>
      <c r="N1651" s="5" t="inlineStr"/>
      <c r="O1651" s="8" t="inlineStr">
        <is>
          <t>139000</t>
        </is>
      </c>
      <c r="P1651" s="5" t="inlineStr">
        <is>
          <t>5</t>
        </is>
      </c>
      <c r="Q1651" s="5" t="inlineStr">
        <is>
          <t>5</t>
        </is>
      </c>
      <c r="R1651" s="5" t="inlineStr">
        <is>
          <t>2</t>
        </is>
      </c>
      <c r="S1651" s="5" t="inlineStr">
        <is>
          <t>21</t>
        </is>
      </c>
      <c r="T1651" s="5" t="inlineStr">
        <is>
          <t>2</t>
        </is>
      </c>
      <c r="U1651" s="5" t="inlineStr">
        <is>
          <t>OK</t>
        </is>
      </c>
    </row>
    <row r="1652">
      <c r="A1652" s="5" t="inlineStr">
        <is>
          <t>E01942</t>
        </is>
      </c>
      <c r="B1652" s="5" t="inlineStr">
        <is>
          <t>Male</t>
        </is>
      </c>
      <c r="C1652" s="6" t="inlineStr">
        <is>
          <t>33</t>
        </is>
      </c>
      <c r="D1652" s="5" t="inlineStr">
        <is>
          <t>Married</t>
        </is>
      </c>
      <c r="E1652" s="5" t="inlineStr">
        <is>
          <t>Bachelor</t>
        </is>
      </c>
      <c r="F1652" s="5" t="inlineStr">
        <is>
          <t>Marketing</t>
        </is>
      </c>
      <c r="G1652" s="5" t="inlineStr">
        <is>
          <t>Marketing Analyst</t>
        </is>
      </c>
      <c r="H1652" s="5" t="inlineStr">
        <is>
          <t>3</t>
        </is>
      </c>
      <c r="I1652" s="5" t="inlineStr">
        <is>
          <t>Bengaluru</t>
        </is>
      </c>
      <c r="J1652" s="5" t="inlineStr">
        <is>
          <t>Part-Time</t>
        </is>
      </c>
      <c r="K1652" s="7" t="n">
        <v>44981</v>
      </c>
      <c r="L1652" s="7" t="n">
        <v>45081</v>
      </c>
      <c r="M1652" s="5" t="inlineStr">
        <is>
          <t>No</t>
        </is>
      </c>
      <c r="N1652" s="5" t="inlineStr">
        <is>
          <t>Resigned</t>
        </is>
      </c>
      <c r="O1652" s="8" t="inlineStr">
        <is>
          <t>93000</t>
        </is>
      </c>
      <c r="P1652" s="5" t="inlineStr">
        <is>
          <t>0</t>
        </is>
      </c>
      <c r="Q1652" s="5" t="inlineStr">
        <is>
          <t>4</t>
        </is>
      </c>
      <c r="R1652" s="5" t="inlineStr">
        <is>
          <t>6</t>
        </is>
      </c>
      <c r="S1652" s="5" t="inlineStr">
        <is>
          <t>3</t>
        </is>
      </c>
      <c r="T1652" s="5" t="inlineStr">
        <is>
          <t>7</t>
        </is>
      </c>
      <c r="U1652" s="5" t="inlineStr">
        <is>
          <t>OK</t>
        </is>
      </c>
    </row>
    <row r="1653">
      <c r="A1653" s="5" t="inlineStr">
        <is>
          <t>E02088</t>
        </is>
      </c>
      <c r="B1653" s="5" t="inlineStr">
        <is>
          <t>Female</t>
        </is>
      </c>
      <c r="C1653" s="6" t="inlineStr">
        <is>
          <t>42</t>
        </is>
      </c>
      <c r="D1653" s="5" t="inlineStr">
        <is>
          <t>Married</t>
        </is>
      </c>
      <c r="E1653" s="5" t="inlineStr">
        <is>
          <t>Master</t>
        </is>
      </c>
      <c r="F1653" s="5" t="inlineStr">
        <is>
          <t>Sales</t>
        </is>
      </c>
      <c r="G1653" s="5" t="inlineStr">
        <is>
          <t>Sales Executive</t>
        </is>
      </c>
      <c r="H1653" s="5" t="inlineStr">
        <is>
          <t>6</t>
        </is>
      </c>
      <c r="I1653" s="5" t="inlineStr">
        <is>
          <t>Remote</t>
        </is>
      </c>
      <c r="J1653" s="5" t="inlineStr">
        <is>
          <t>Full-Time</t>
        </is>
      </c>
      <c r="K1653" s="7" t="n">
        <v>44393</v>
      </c>
      <c r="L1653" s="7" t="inlineStr"/>
      <c r="M1653" s="5" t="inlineStr">
        <is>
          <t>Yes</t>
        </is>
      </c>
      <c r="N1653" s="5" t="inlineStr"/>
      <c r="O1653" s="8" t="inlineStr">
        <is>
          <t>158500</t>
        </is>
      </c>
      <c r="P1653" s="5" t="inlineStr">
        <is>
          <t>0</t>
        </is>
      </c>
      <c r="Q1653" s="5" t="inlineStr">
        <is>
          <t>3</t>
        </is>
      </c>
      <c r="R1653" s="5" t="inlineStr">
        <is>
          <t>8</t>
        </is>
      </c>
      <c r="S1653" s="5" t="inlineStr">
        <is>
          <t>54</t>
        </is>
      </c>
      <c r="T1653" s="5" t="inlineStr">
        <is>
          <t>3</t>
        </is>
      </c>
      <c r="U1653" s="5" t="inlineStr">
        <is>
          <t>OK</t>
        </is>
      </c>
    </row>
    <row r="1654">
      <c r="A1654" s="5" t="inlineStr">
        <is>
          <t>E01396</t>
        </is>
      </c>
      <c r="B1654" s="5" t="inlineStr">
        <is>
          <t>Male</t>
        </is>
      </c>
      <c r="C1654" s="6" t="inlineStr">
        <is>
          <t>28</t>
        </is>
      </c>
      <c r="D1654" s="5" t="inlineStr">
        <is>
          <t>Married</t>
        </is>
      </c>
      <c r="E1654" s="5" t="inlineStr">
        <is>
          <t>Master</t>
        </is>
      </c>
      <c r="F1654" s="5" t="inlineStr">
        <is>
          <t>Finance</t>
        </is>
      </c>
      <c r="G1654" s="5" t="inlineStr">
        <is>
          <t>Credit Analyst</t>
        </is>
      </c>
      <c r="H1654" s="5" t="inlineStr">
        <is>
          <t>3</t>
        </is>
      </c>
      <c r="I1654" s="5" t="inlineStr">
        <is>
          <t>Hyderabad</t>
        </is>
      </c>
      <c r="J1654" s="5" t="inlineStr">
        <is>
          <t>Full-Time</t>
        </is>
      </c>
      <c r="K1654" s="7" t="n">
        <v>44761</v>
      </c>
      <c r="L1654" s="7" t="inlineStr"/>
      <c r="M1654" s="5" t="inlineStr">
        <is>
          <t>Yes</t>
        </is>
      </c>
      <c r="N1654" s="5" t="inlineStr"/>
      <c r="O1654" s="8" t="inlineStr">
        <is>
          <t>146000</t>
        </is>
      </c>
      <c r="P1654" s="5" t="inlineStr">
        <is>
          <t>0</t>
        </is>
      </c>
      <c r="Q1654" s="5" t="inlineStr">
        <is>
          <t>3</t>
        </is>
      </c>
      <c r="R1654" s="5" t="inlineStr">
        <is>
          <t>8</t>
        </is>
      </c>
      <c r="S1654" s="5" t="inlineStr">
        <is>
          <t>42</t>
        </is>
      </c>
      <c r="T1654" s="5" t="inlineStr">
        <is>
          <t>0</t>
        </is>
      </c>
      <c r="U1654" s="5" t="inlineStr">
        <is>
          <t>OK</t>
        </is>
      </c>
    </row>
    <row r="1655">
      <c r="A1655" s="5" t="inlineStr">
        <is>
          <t>E02076</t>
        </is>
      </c>
      <c r="B1655" s="5" t="inlineStr">
        <is>
          <t>Male</t>
        </is>
      </c>
      <c r="C1655" s="6" t="inlineStr">
        <is>
          <t>33</t>
        </is>
      </c>
      <c r="D1655" s="5" t="inlineStr">
        <is>
          <t>Married</t>
        </is>
      </c>
      <c r="E1655" s="5" t="inlineStr">
        <is>
          <t>Master</t>
        </is>
      </c>
      <c r="F1655" s="5" t="inlineStr">
        <is>
          <t>Customer Support</t>
        </is>
      </c>
      <c r="G1655" s="5" t="inlineStr">
        <is>
          <t>Support Agent</t>
        </is>
      </c>
      <c r="H1655" s="5" t="inlineStr">
        <is>
          <t>3</t>
        </is>
      </c>
      <c r="I1655" s="5" t="inlineStr">
        <is>
          <t>Delhi</t>
        </is>
      </c>
      <c r="J1655" s="5" t="inlineStr">
        <is>
          <t>Part-Time</t>
        </is>
      </c>
      <c r="K1655" s="7" t="n">
        <v>44487</v>
      </c>
      <c r="L1655" s="7" t="inlineStr"/>
      <c r="M1655" s="5" t="inlineStr">
        <is>
          <t>Yes</t>
        </is>
      </c>
      <c r="N1655" s="5" t="inlineStr"/>
      <c r="O1655" s="8" t="inlineStr">
        <is>
          <t>85000</t>
        </is>
      </c>
      <c r="P1655" s="5" t="inlineStr">
        <is>
          <t>0</t>
        </is>
      </c>
      <c r="Q1655" s="5" t="inlineStr">
        <is>
          <t>3</t>
        </is>
      </c>
      <c r="R1655" s="5" t="inlineStr">
        <is>
          <t>6</t>
        </is>
      </c>
      <c r="S1655" s="5" t="inlineStr">
        <is>
          <t>51</t>
        </is>
      </c>
      <c r="T1655" s="5" t="inlineStr">
        <is>
          <t>15</t>
        </is>
      </c>
      <c r="U1655" s="5" t="inlineStr">
        <is>
          <t>OK</t>
        </is>
      </c>
    </row>
    <row r="1656">
      <c r="A1656" s="5" t="inlineStr">
        <is>
          <t>E00072</t>
        </is>
      </c>
      <c r="B1656" s="5" t="inlineStr">
        <is>
          <t>Male</t>
        </is>
      </c>
      <c r="C1656" s="6" t="inlineStr">
        <is>
          <t>39</t>
        </is>
      </c>
      <c r="D1656" s="5" t="inlineStr">
        <is>
          <t>Married</t>
        </is>
      </c>
      <c r="E1656" s="5" t="inlineStr">
        <is>
          <t>PhD</t>
        </is>
      </c>
      <c r="F1656" s="5" t="inlineStr">
        <is>
          <t>Customer Support</t>
        </is>
      </c>
      <c r="G1656" s="5" t="inlineStr">
        <is>
          <t>Support Agent</t>
        </is>
      </c>
      <c r="H1656" s="5" t="inlineStr">
        <is>
          <t>5</t>
        </is>
      </c>
      <c r="I1656" s="5" t="inlineStr">
        <is>
          <t>Hyderabad</t>
        </is>
      </c>
      <c r="J1656" s="5" t="inlineStr">
        <is>
          <t>Full-Time</t>
        </is>
      </c>
      <c r="K1656" s="7" t="n">
        <v>44263</v>
      </c>
      <c r="L1656" s="7" t="n">
        <v>44362</v>
      </c>
      <c r="M1656" s="5" t="inlineStr">
        <is>
          <t>No</t>
        </is>
      </c>
      <c r="N1656" s="5" t="inlineStr">
        <is>
          <t>Retirement</t>
        </is>
      </c>
      <c r="O1656" s="8" t="inlineStr">
        <is>
          <t>77500</t>
        </is>
      </c>
      <c r="P1656" s="5" t="inlineStr">
        <is>
          <t>5</t>
        </is>
      </c>
      <c r="Q1656" s="5" t="inlineStr">
        <is>
          <t>5</t>
        </is>
      </c>
      <c r="R1656" s="5" t="inlineStr">
        <is>
          <t>5</t>
        </is>
      </c>
      <c r="S1656" s="5" t="inlineStr">
        <is>
          <t>3</t>
        </is>
      </c>
      <c r="T1656" s="5" t="inlineStr">
        <is>
          <t>9</t>
        </is>
      </c>
      <c r="U1656" s="5" t="inlineStr">
        <is>
          <t>OK</t>
        </is>
      </c>
    </row>
    <row r="1657">
      <c r="A1657" s="5" t="inlineStr">
        <is>
          <t>E02352</t>
        </is>
      </c>
      <c r="B1657" s="5" t="inlineStr">
        <is>
          <t>Female</t>
        </is>
      </c>
      <c r="C1657" s="6" t="inlineStr">
        <is>
          <t>36</t>
        </is>
      </c>
      <c r="D1657" s="5" t="inlineStr">
        <is>
          <t>Single</t>
        </is>
      </c>
      <c r="E1657" s="5" t="inlineStr">
        <is>
          <t>Diploma</t>
        </is>
      </c>
      <c r="F1657" s="5" t="inlineStr">
        <is>
          <t>IT</t>
        </is>
      </c>
      <c r="G1657" s="5" t="inlineStr">
        <is>
          <t>DevOps Engineer</t>
        </is>
      </c>
      <c r="H1657" s="5" t="inlineStr">
        <is>
          <t>2</t>
        </is>
      </c>
      <c r="I1657" s="5" t="inlineStr">
        <is>
          <t>Remote</t>
        </is>
      </c>
      <c r="J1657" s="5" t="inlineStr">
        <is>
          <t>Full-Time</t>
        </is>
      </c>
      <c r="K1657" s="7" t="n">
        <v>44245</v>
      </c>
      <c r="L1657" s="7" t="inlineStr"/>
      <c r="M1657" s="5" t="inlineStr">
        <is>
          <t>Yes</t>
        </is>
      </c>
      <c r="N1657" s="5" t="inlineStr"/>
      <c r="O1657" s="8" t="inlineStr">
        <is>
          <t>110500</t>
        </is>
      </c>
      <c r="P1657" s="5" t="inlineStr">
        <is>
          <t>0</t>
        </is>
      </c>
      <c r="Q1657" s="5" t="inlineStr">
        <is>
          <t>3</t>
        </is>
      </c>
      <c r="R1657" s="5" t="inlineStr">
        <is>
          <t>7</t>
        </is>
      </c>
      <c r="S1657" s="5" t="inlineStr">
        <is>
          <t>59</t>
        </is>
      </c>
      <c r="T1657" s="5" t="inlineStr">
        <is>
          <t>13</t>
        </is>
      </c>
      <c r="U1657" s="5" t="inlineStr">
        <is>
          <t>OK</t>
        </is>
      </c>
    </row>
    <row r="1658">
      <c r="A1658" s="5" t="inlineStr">
        <is>
          <t>E00037</t>
        </is>
      </c>
      <c r="B1658" s="5" t="inlineStr">
        <is>
          <t>Female</t>
        </is>
      </c>
      <c r="C1658" s="6" t="inlineStr">
        <is>
          <t>37</t>
        </is>
      </c>
      <c r="D1658" s="5" t="inlineStr">
        <is>
          <t>Single</t>
        </is>
      </c>
      <c r="E1658" s="5" t="inlineStr">
        <is>
          <t>Diploma</t>
        </is>
      </c>
      <c r="F1658" s="5" t="inlineStr">
        <is>
          <t>Executive</t>
        </is>
      </c>
      <c r="G1658" s="5" t="inlineStr">
        <is>
          <t>CEO</t>
        </is>
      </c>
      <c r="H1658" s="5" t="inlineStr">
        <is>
          <t>3</t>
        </is>
      </c>
      <c r="I1658" s="5" t="inlineStr">
        <is>
          <t>Chennai</t>
        </is>
      </c>
      <c r="J1658" s="5" t="inlineStr">
        <is>
          <t>Full-Time</t>
        </is>
      </c>
      <c r="K1658" s="7" t="n">
        <v>45218</v>
      </c>
      <c r="L1658" s="7" t="inlineStr"/>
      <c r="M1658" s="5" t="inlineStr">
        <is>
          <t>Yes</t>
        </is>
      </c>
      <c r="N1658" s="5" t="inlineStr"/>
      <c r="O1658" s="8" t="inlineStr">
        <is>
          <t>258500</t>
        </is>
      </c>
      <c r="P1658" s="5" t="inlineStr">
        <is>
          <t>0</t>
        </is>
      </c>
      <c r="Q1658" s="5" t="inlineStr">
        <is>
          <t>5</t>
        </is>
      </c>
      <c r="R1658" s="5" t="inlineStr">
        <is>
          <t>6</t>
        </is>
      </c>
      <c r="S1658" s="5" t="inlineStr">
        <is>
          <t>26</t>
        </is>
      </c>
      <c r="T1658" s="5" t="inlineStr">
        <is>
          <t>7</t>
        </is>
      </c>
      <c r="U1658" s="5" t="inlineStr">
        <is>
          <t>OK</t>
        </is>
      </c>
    </row>
    <row r="1659">
      <c r="A1659" s="5" t="inlineStr">
        <is>
          <t>E00418</t>
        </is>
      </c>
      <c r="B1659" s="5" t="inlineStr">
        <is>
          <t>Female</t>
        </is>
      </c>
      <c r="C1659" s="6" t="inlineStr">
        <is>
          <t>28</t>
        </is>
      </c>
      <c r="D1659" s="5" t="inlineStr">
        <is>
          <t>Married</t>
        </is>
      </c>
      <c r="E1659" s="5" t="inlineStr">
        <is>
          <t>High School</t>
        </is>
      </c>
      <c r="F1659" s="5" t="inlineStr">
        <is>
          <t>IT</t>
        </is>
      </c>
      <c r="G1659" s="5" t="inlineStr">
        <is>
          <t>IT Support</t>
        </is>
      </c>
      <c r="H1659" s="5" t="inlineStr">
        <is>
          <t>2</t>
        </is>
      </c>
      <c r="I1659" s="5" t="inlineStr">
        <is>
          <t>Delhi</t>
        </is>
      </c>
      <c r="J1659" s="5" t="inlineStr">
        <is>
          <t>Full-Time</t>
        </is>
      </c>
      <c r="K1659" s="7" t="n">
        <v>45594</v>
      </c>
      <c r="L1659" s="7" t="n">
        <v>45691</v>
      </c>
      <c r="M1659" s="5" t="inlineStr">
        <is>
          <t>No</t>
        </is>
      </c>
      <c r="N1659" s="5" t="inlineStr">
        <is>
          <t>Retirement</t>
        </is>
      </c>
      <c r="O1659" s="8" t="inlineStr">
        <is>
          <t>140500</t>
        </is>
      </c>
      <c r="P1659" s="5" t="inlineStr">
        <is>
          <t>5</t>
        </is>
      </c>
      <c r="Q1659" s="5" t="inlineStr">
        <is>
          <t>2</t>
        </is>
      </c>
      <c r="R1659" s="5" t="inlineStr">
        <is>
          <t>6</t>
        </is>
      </c>
      <c r="S1659" s="5" t="inlineStr">
        <is>
          <t>3</t>
        </is>
      </c>
      <c r="T1659" s="5" t="inlineStr">
        <is>
          <t>6</t>
        </is>
      </c>
      <c r="U1659" s="5" t="inlineStr">
        <is>
          <t>OK</t>
        </is>
      </c>
    </row>
    <row r="1660">
      <c r="A1660" s="5" t="inlineStr">
        <is>
          <t>E01009</t>
        </is>
      </c>
      <c r="B1660" s="5" t="inlineStr">
        <is>
          <t>Male</t>
        </is>
      </c>
      <c r="C1660" s="6" t="inlineStr">
        <is>
          <t>31</t>
        </is>
      </c>
      <c r="D1660" s="5" t="inlineStr">
        <is>
          <t>Married</t>
        </is>
      </c>
      <c r="E1660" s="5" t="inlineStr">
        <is>
          <t>Master</t>
        </is>
      </c>
      <c r="F1660" s="5" t="inlineStr">
        <is>
          <t>IT</t>
        </is>
      </c>
      <c r="G1660" s="5" t="inlineStr">
        <is>
          <t>DevOps Engineer</t>
        </is>
      </c>
      <c r="H1660" s="5" t="inlineStr">
        <is>
          <t>2</t>
        </is>
      </c>
      <c r="I1660" s="5" t="inlineStr">
        <is>
          <t>Bengaluru</t>
        </is>
      </c>
      <c r="J1660" s="5" t="inlineStr">
        <is>
          <t>Full-Time</t>
        </is>
      </c>
      <c r="K1660" s="7" t="n">
        <v>44251</v>
      </c>
      <c r="L1660" s="7" t="inlineStr"/>
      <c r="M1660" s="5" t="inlineStr">
        <is>
          <t>Yes</t>
        </is>
      </c>
      <c r="N1660" s="5" t="inlineStr"/>
      <c r="O1660" s="8" t="inlineStr">
        <is>
          <t>165500</t>
        </is>
      </c>
      <c r="P1660" s="5" t="inlineStr">
        <is>
          <t>15</t>
        </is>
      </c>
      <c r="Q1660" s="5" t="inlineStr">
        <is>
          <t>4</t>
        </is>
      </c>
      <c r="R1660" s="5" t="inlineStr">
        <is>
          <t>5</t>
        </is>
      </c>
      <c r="S1660" s="5" t="inlineStr">
        <is>
          <t>59</t>
        </is>
      </c>
      <c r="T1660" s="5" t="inlineStr">
        <is>
          <t>11</t>
        </is>
      </c>
      <c r="U1660" s="5" t="inlineStr">
        <is>
          <t>OK</t>
        </is>
      </c>
    </row>
    <row r="1661">
      <c r="A1661" s="5" t="inlineStr">
        <is>
          <t>E01514</t>
        </is>
      </c>
      <c r="B1661" s="5" t="inlineStr">
        <is>
          <t>Female</t>
        </is>
      </c>
      <c r="C1661" s="6" t="inlineStr">
        <is>
          <t>30</t>
        </is>
      </c>
      <c r="D1661" s="5" t="inlineStr">
        <is>
          <t>Married</t>
        </is>
      </c>
      <c r="E1661" s="5" t="inlineStr">
        <is>
          <t>Master</t>
        </is>
      </c>
      <c r="F1661" s="5" t="inlineStr">
        <is>
          <t>Finance</t>
        </is>
      </c>
      <c r="G1661" s="5" t="inlineStr">
        <is>
          <t>Financial Analyst</t>
        </is>
      </c>
      <c r="H1661" s="5" t="inlineStr">
        <is>
          <t>2</t>
        </is>
      </c>
      <c r="I1661" s="5" t="inlineStr">
        <is>
          <t>Chennai</t>
        </is>
      </c>
      <c r="J1661" s="5" t="inlineStr">
        <is>
          <t>Full-Time</t>
        </is>
      </c>
      <c r="K1661" s="7" t="n">
        <v>44385</v>
      </c>
      <c r="L1661" s="7" t="inlineStr"/>
      <c r="M1661" s="5" t="inlineStr">
        <is>
          <t>Yes</t>
        </is>
      </c>
      <c r="N1661" s="5" t="inlineStr"/>
      <c r="O1661" s="8" t="inlineStr">
        <is>
          <t>82500</t>
        </is>
      </c>
      <c r="P1661" s="5" t="inlineStr">
        <is>
          <t>10</t>
        </is>
      </c>
      <c r="Q1661" s="5" t="inlineStr">
        <is>
          <t>2</t>
        </is>
      </c>
      <c r="R1661" s="5" t="inlineStr">
        <is>
          <t>5</t>
        </is>
      </c>
      <c r="S1661" s="5" t="inlineStr">
        <is>
          <t>54</t>
        </is>
      </c>
      <c r="T1661" s="5" t="inlineStr">
        <is>
          <t>0</t>
        </is>
      </c>
      <c r="U1661" s="5" t="inlineStr">
        <is>
          <t>OK</t>
        </is>
      </c>
    </row>
    <row r="1662">
      <c r="A1662" s="5" t="inlineStr">
        <is>
          <t>E01507</t>
        </is>
      </c>
      <c r="B1662" s="5" t="inlineStr">
        <is>
          <t>Female</t>
        </is>
      </c>
      <c r="C1662" s="6" t="inlineStr">
        <is>
          <t>31</t>
        </is>
      </c>
      <c r="D1662" s="5" t="inlineStr">
        <is>
          <t>Married</t>
        </is>
      </c>
      <c r="E1662" s="5" t="inlineStr">
        <is>
          <t>High School</t>
        </is>
      </c>
      <c r="F1662" s="5" t="inlineStr">
        <is>
          <t>IT</t>
        </is>
      </c>
      <c r="G1662" s="5" t="inlineStr">
        <is>
          <t>Software Engineer</t>
        </is>
      </c>
      <c r="H1662" s="5" t="inlineStr">
        <is>
          <t>1</t>
        </is>
      </c>
      <c r="I1662" s="5" t="inlineStr">
        <is>
          <t>Bengaluru</t>
        </is>
      </c>
      <c r="J1662" s="5" t="inlineStr">
        <is>
          <t>Full-Time</t>
        </is>
      </c>
      <c r="K1662" s="7" t="n">
        <v>44479</v>
      </c>
      <c r="L1662" s="7" t="inlineStr"/>
      <c r="M1662" s="5" t="inlineStr">
        <is>
          <t>Yes</t>
        </is>
      </c>
      <c r="N1662" s="5" t="inlineStr"/>
      <c r="O1662" s="8" t="inlineStr">
        <is>
          <t>108000</t>
        </is>
      </c>
      <c r="P1662" s="5" t="inlineStr">
        <is>
          <t>0</t>
        </is>
      </c>
      <c r="Q1662" s="5" t="inlineStr">
        <is>
          <t>4</t>
        </is>
      </c>
      <c r="R1662" s="5" t="inlineStr">
        <is>
          <t>7</t>
        </is>
      </c>
      <c r="S1662" s="5" t="inlineStr">
        <is>
          <t>51</t>
        </is>
      </c>
      <c r="T1662" s="5" t="inlineStr">
        <is>
          <t>7</t>
        </is>
      </c>
      <c r="U1662" s="5" t="inlineStr">
        <is>
          <t>OK</t>
        </is>
      </c>
    </row>
    <row r="1663">
      <c r="A1663" s="5" t="inlineStr">
        <is>
          <t>E00230</t>
        </is>
      </c>
      <c r="B1663" s="5" t="inlineStr">
        <is>
          <t>Male</t>
        </is>
      </c>
      <c r="C1663" s="6" t="inlineStr">
        <is>
          <t>25</t>
        </is>
      </c>
      <c r="D1663" s="5" t="inlineStr">
        <is>
          <t>Married</t>
        </is>
      </c>
      <c r="E1663" s="5" t="inlineStr">
        <is>
          <t>Master</t>
        </is>
      </c>
      <c r="F1663" s="5" t="inlineStr">
        <is>
          <t>Customer Support</t>
        </is>
      </c>
      <c r="G1663" s="5" t="inlineStr">
        <is>
          <t>Escalation Specialist</t>
        </is>
      </c>
      <c r="H1663" s="5" t="inlineStr">
        <is>
          <t>1</t>
        </is>
      </c>
      <c r="I1663" s="5" t="inlineStr">
        <is>
          <t>Remote</t>
        </is>
      </c>
      <c r="J1663" s="5" t="inlineStr">
        <is>
          <t>Full-Time</t>
        </is>
      </c>
      <c r="K1663" s="7" t="n">
        <v>44644</v>
      </c>
      <c r="L1663" s="7" t="n">
        <v>44674</v>
      </c>
      <c r="M1663" s="5" t="inlineStr">
        <is>
          <t>No</t>
        </is>
      </c>
      <c r="N1663" s="5" t="inlineStr">
        <is>
          <t>Layoff</t>
        </is>
      </c>
      <c r="O1663" s="8" t="inlineStr">
        <is>
          <t>46500</t>
        </is>
      </c>
      <c r="P1663" s="5" t="inlineStr">
        <is>
          <t>5</t>
        </is>
      </c>
      <c r="Q1663" s="5" t="inlineStr">
        <is>
          <t>4</t>
        </is>
      </c>
      <c r="R1663" s="5" t="inlineStr">
        <is>
          <t>7</t>
        </is>
      </c>
      <c r="S1663" s="5" t="inlineStr">
        <is>
          <t>1</t>
        </is>
      </c>
      <c r="T1663" s="5" t="inlineStr">
        <is>
          <t>5</t>
        </is>
      </c>
      <c r="U1663" s="5" t="inlineStr">
        <is>
          <t>OK</t>
        </is>
      </c>
    </row>
    <row r="1664">
      <c r="A1664" s="5" t="inlineStr">
        <is>
          <t>E01061</t>
        </is>
      </c>
      <c r="B1664" s="5" t="inlineStr">
        <is>
          <t>Male</t>
        </is>
      </c>
      <c r="C1664" s="6" t="inlineStr">
        <is>
          <t>41</t>
        </is>
      </c>
      <c r="D1664" s="5" t="inlineStr">
        <is>
          <t>Married</t>
        </is>
      </c>
      <c r="E1664" s="5" t="inlineStr">
        <is>
          <t>Bachelor</t>
        </is>
      </c>
      <c r="F1664" s="5" t="inlineStr">
        <is>
          <t>Operations</t>
        </is>
      </c>
      <c r="G1664" s="5" t="inlineStr">
        <is>
          <t>Quality Analyst</t>
        </is>
      </c>
      <c r="H1664" s="5" t="inlineStr">
        <is>
          <t>5</t>
        </is>
      </c>
      <c r="I1664" s="5" t="inlineStr">
        <is>
          <t>Hyderabad</t>
        </is>
      </c>
      <c r="J1664" s="5" t="inlineStr">
        <is>
          <t>Full-Time</t>
        </is>
      </c>
      <c r="K1664" s="7" t="n">
        <v>44165</v>
      </c>
      <c r="L1664" s="7" t="inlineStr"/>
      <c r="M1664" s="5" t="inlineStr">
        <is>
          <t>Yes</t>
        </is>
      </c>
      <c r="N1664" s="5" t="inlineStr"/>
      <c r="O1664" s="8" t="inlineStr">
        <is>
          <t>99500</t>
        </is>
      </c>
      <c r="P1664" s="5" t="inlineStr">
        <is>
          <t>15</t>
        </is>
      </c>
      <c r="Q1664" s="5" t="inlineStr">
        <is>
          <t>4</t>
        </is>
      </c>
      <c r="R1664" s="5" t="inlineStr">
        <is>
          <t>6</t>
        </is>
      </c>
      <c r="S1664" s="5" t="inlineStr">
        <is>
          <t>61</t>
        </is>
      </c>
      <c r="T1664" s="5" t="inlineStr">
        <is>
          <t>9</t>
        </is>
      </c>
      <c r="U1664" s="5" t="inlineStr">
        <is>
          <t>OK</t>
        </is>
      </c>
    </row>
    <row r="1665">
      <c r="A1665" s="5" t="inlineStr">
        <is>
          <t>E02521</t>
        </is>
      </c>
      <c r="B1665" s="5" t="inlineStr">
        <is>
          <t>Female</t>
        </is>
      </c>
      <c r="C1665" s="6" t="inlineStr">
        <is>
          <t>33</t>
        </is>
      </c>
      <c r="D1665" s="5" t="inlineStr">
        <is>
          <t>Single</t>
        </is>
      </c>
      <c r="E1665" s="5" t="inlineStr">
        <is>
          <t>PhD</t>
        </is>
      </c>
      <c r="F1665" s="5" t="inlineStr">
        <is>
          <t>Customer Support</t>
        </is>
      </c>
      <c r="G1665" s="5" t="inlineStr">
        <is>
          <t>Support Agent</t>
        </is>
      </c>
      <c r="H1665" s="5" t="inlineStr">
        <is>
          <t>4</t>
        </is>
      </c>
      <c r="I1665" s="5" t="inlineStr">
        <is>
          <t>Remote</t>
        </is>
      </c>
      <c r="J1665" s="5" t="inlineStr">
        <is>
          <t>Full-Time</t>
        </is>
      </c>
      <c r="K1665" s="7" t="n">
        <v>45038</v>
      </c>
      <c r="L1665" s="7" t="n">
        <v>45074</v>
      </c>
      <c r="M1665" s="5" t="inlineStr">
        <is>
          <t>No</t>
        </is>
      </c>
      <c r="N1665" s="5" t="inlineStr">
        <is>
          <t>Relocation</t>
        </is>
      </c>
      <c r="O1665" s="8" t="inlineStr">
        <is>
          <t>105000</t>
        </is>
      </c>
      <c r="P1665" s="5" t="inlineStr">
        <is>
          <t>0</t>
        </is>
      </c>
      <c r="Q1665" s="5" t="inlineStr">
        <is>
          <t>1</t>
        </is>
      </c>
      <c r="R1665" s="5" t="inlineStr">
        <is>
          <t>4</t>
        </is>
      </c>
      <c r="S1665" s="5" t="inlineStr">
        <is>
          <t>1</t>
        </is>
      </c>
      <c r="T1665" s="5" t="inlineStr">
        <is>
          <t>6</t>
        </is>
      </c>
      <c r="U1665" s="5" t="inlineStr">
        <is>
          <t>OK</t>
        </is>
      </c>
    </row>
    <row r="1666">
      <c r="A1666" s="5" t="inlineStr">
        <is>
          <t>E00120</t>
        </is>
      </c>
      <c r="B1666" s="5" t="inlineStr">
        <is>
          <t>Male</t>
        </is>
      </c>
      <c r="C1666" s="6" t="inlineStr">
        <is>
          <t>33</t>
        </is>
      </c>
      <c r="D1666" s="5" t="inlineStr">
        <is>
          <t>Married</t>
        </is>
      </c>
      <c r="E1666" s="5" t="inlineStr">
        <is>
          <t>Master</t>
        </is>
      </c>
      <c r="F1666" s="5" t="inlineStr">
        <is>
          <t>Marketing</t>
        </is>
      </c>
      <c r="G1666" s="5" t="inlineStr">
        <is>
          <t>Content Writer</t>
        </is>
      </c>
      <c r="H1666" s="5" t="inlineStr">
        <is>
          <t>6</t>
        </is>
      </c>
      <c r="I1666" s="5" t="inlineStr">
        <is>
          <t>Hyderabad</t>
        </is>
      </c>
      <c r="J1666" s="5" t="inlineStr">
        <is>
          <t>Full-Time</t>
        </is>
      </c>
      <c r="K1666" s="7" t="n">
        <v>44996</v>
      </c>
      <c r="L1666" s="7" t="inlineStr"/>
      <c r="M1666" s="5" t="inlineStr">
        <is>
          <t>Yes</t>
        </is>
      </c>
      <c r="N1666" s="5" t="inlineStr"/>
      <c r="O1666" s="8" t="inlineStr">
        <is>
          <t>103000</t>
        </is>
      </c>
      <c r="P1666" s="5" t="inlineStr">
        <is>
          <t>5</t>
        </is>
      </c>
      <c r="Q1666" s="5" t="inlineStr">
        <is>
          <t>4</t>
        </is>
      </c>
      <c r="R1666" s="5" t="inlineStr">
        <is>
          <t>8</t>
        </is>
      </c>
      <c r="S1666" s="5" t="inlineStr">
        <is>
          <t>34</t>
        </is>
      </c>
      <c r="T1666" s="5" t="inlineStr">
        <is>
          <t>7</t>
        </is>
      </c>
      <c r="U1666" s="5" t="inlineStr">
        <is>
          <t>OK</t>
        </is>
      </c>
    </row>
    <row r="1667">
      <c r="A1667" s="5" t="inlineStr">
        <is>
          <t>E02616</t>
        </is>
      </c>
      <c r="B1667" s="5" t="inlineStr">
        <is>
          <t>Female</t>
        </is>
      </c>
      <c r="C1667" s="6" t="inlineStr">
        <is>
          <t>28</t>
        </is>
      </c>
      <c r="D1667" s="5" t="inlineStr">
        <is>
          <t>Married</t>
        </is>
      </c>
      <c r="E1667" s="5" t="inlineStr">
        <is>
          <t>Master</t>
        </is>
      </c>
      <c r="F1667" s="5" t="inlineStr">
        <is>
          <t>Operations</t>
        </is>
      </c>
      <c r="G1667" s="5" t="inlineStr">
        <is>
          <t>Operations Analyst</t>
        </is>
      </c>
      <c r="H1667" s="5" t="inlineStr">
        <is>
          <t>2</t>
        </is>
      </c>
      <c r="I1667" s="5" t="inlineStr">
        <is>
          <t>Bengaluru</t>
        </is>
      </c>
      <c r="J1667" s="5" t="inlineStr">
        <is>
          <t>Part-Time</t>
        </is>
      </c>
      <c r="K1667" s="7" t="n">
        <v>45412</v>
      </c>
      <c r="L1667" s="7" t="inlineStr"/>
      <c r="M1667" s="5" t="inlineStr">
        <is>
          <t>Yes</t>
        </is>
      </c>
      <c r="N1667" s="5" t="inlineStr"/>
      <c r="O1667" s="8" t="inlineStr">
        <is>
          <t>100500</t>
        </is>
      </c>
      <c r="P1667" s="5" t="inlineStr">
        <is>
          <t>10</t>
        </is>
      </c>
      <c r="Q1667" s="5" t="inlineStr">
        <is>
          <t>3</t>
        </is>
      </c>
      <c r="R1667" s="5" t="inlineStr">
        <is>
          <t>3</t>
        </is>
      </c>
      <c r="S1667" s="5" t="inlineStr">
        <is>
          <t>20</t>
        </is>
      </c>
      <c r="T1667" s="5" t="inlineStr">
        <is>
          <t>7</t>
        </is>
      </c>
      <c r="U1667" s="5" t="inlineStr">
        <is>
          <t>OK</t>
        </is>
      </c>
    </row>
    <row r="1668">
      <c r="A1668" s="5" t="inlineStr">
        <is>
          <t>E00292</t>
        </is>
      </c>
      <c r="B1668" s="5" t="inlineStr">
        <is>
          <t>Female</t>
        </is>
      </c>
      <c r="C1668" s="6" t="inlineStr">
        <is>
          <t>27</t>
        </is>
      </c>
      <c r="D1668" s="5" t="inlineStr">
        <is>
          <t>Married</t>
        </is>
      </c>
      <c r="E1668" s="5" t="inlineStr">
        <is>
          <t>Master</t>
        </is>
      </c>
      <c r="F1668" s="5" t="inlineStr">
        <is>
          <t>Marketing</t>
        </is>
      </c>
      <c r="G1668" s="5" t="inlineStr">
        <is>
          <t>Marketing Analyst</t>
        </is>
      </c>
      <c r="H1668" s="5" t="inlineStr">
        <is>
          <t>1</t>
        </is>
      </c>
      <c r="I1668" s="5" t="inlineStr">
        <is>
          <t>Delhi</t>
        </is>
      </c>
      <c r="J1668" s="5" t="inlineStr">
        <is>
          <t>Full-Time</t>
        </is>
      </c>
      <c r="K1668" s="7" t="n">
        <v>44123</v>
      </c>
      <c r="L1668" s="7" t="inlineStr"/>
      <c r="M1668" s="5" t="inlineStr">
        <is>
          <t>Yes</t>
        </is>
      </c>
      <c r="N1668" s="5" t="inlineStr"/>
      <c r="O1668" s="8" t="inlineStr">
        <is>
          <t>67500</t>
        </is>
      </c>
      <c r="P1668" s="5" t="inlineStr">
        <is>
          <t>5</t>
        </is>
      </c>
      <c r="Q1668" s="5" t="inlineStr">
        <is>
          <t>1</t>
        </is>
      </c>
      <c r="R1668" s="5" t="inlineStr">
        <is>
          <t>7</t>
        </is>
      </c>
      <c r="S1668" s="5" t="inlineStr">
        <is>
          <t>63</t>
        </is>
      </c>
      <c r="T1668" s="5" t="inlineStr">
        <is>
          <t>2</t>
        </is>
      </c>
      <c r="U1668" s="5" t="inlineStr">
        <is>
          <t>OK</t>
        </is>
      </c>
    </row>
    <row r="1669">
      <c r="A1669" s="5" t="inlineStr">
        <is>
          <t>E02473</t>
        </is>
      </c>
      <c r="B1669" s="5" t="inlineStr">
        <is>
          <t>Female</t>
        </is>
      </c>
      <c r="C1669" s="6" t="inlineStr">
        <is>
          <t>38</t>
        </is>
      </c>
      <c r="D1669" s="5" t="inlineStr">
        <is>
          <t>Married</t>
        </is>
      </c>
      <c r="E1669" s="5" t="inlineStr">
        <is>
          <t>High School</t>
        </is>
      </c>
      <c r="F1669" s="5" t="inlineStr">
        <is>
          <t>Customer Support</t>
        </is>
      </c>
      <c r="G1669" s="5" t="inlineStr">
        <is>
          <t>Support Agent</t>
        </is>
      </c>
      <c r="H1669" s="5" t="inlineStr">
        <is>
          <t>4</t>
        </is>
      </c>
      <c r="I1669" s="5" t="inlineStr">
        <is>
          <t>Chennai</t>
        </is>
      </c>
      <c r="J1669" s="5" t="inlineStr">
        <is>
          <t>Full-Time</t>
        </is>
      </c>
      <c r="K1669" s="7" t="n">
        <v>44586</v>
      </c>
      <c r="L1669" s="7" t="inlineStr"/>
      <c r="M1669" s="5" t="inlineStr">
        <is>
          <t>Yes</t>
        </is>
      </c>
      <c r="N1669" s="5" t="inlineStr"/>
      <c r="O1669" s="8" t="inlineStr">
        <is>
          <t>70500</t>
        </is>
      </c>
      <c r="P1669" s="5" t="inlineStr">
        <is>
          <t>0</t>
        </is>
      </c>
      <c r="Q1669" s="5" t="inlineStr">
        <is>
          <t>4</t>
        </is>
      </c>
      <c r="R1669" s="5" t="inlineStr">
        <is>
          <t>5</t>
        </is>
      </c>
      <c r="S1669" s="5" t="inlineStr">
        <is>
          <t>47</t>
        </is>
      </c>
      <c r="T1669" s="5" t="inlineStr">
        <is>
          <t>5</t>
        </is>
      </c>
      <c r="U1669" s="5" t="inlineStr">
        <is>
          <t>OK</t>
        </is>
      </c>
    </row>
    <row r="1670">
      <c r="A1670" s="5" t="inlineStr">
        <is>
          <t>E00947</t>
        </is>
      </c>
      <c r="B1670" s="5" t="inlineStr">
        <is>
          <t>Female</t>
        </is>
      </c>
      <c r="C1670" s="6" t="inlineStr">
        <is>
          <t>40</t>
        </is>
      </c>
      <c r="D1670" s="5" t="inlineStr">
        <is>
          <t>Single</t>
        </is>
      </c>
      <c r="E1670" s="5" t="inlineStr">
        <is>
          <t>Diploma</t>
        </is>
      </c>
      <c r="F1670" s="5" t="inlineStr">
        <is>
          <t>Research &amp; Development</t>
        </is>
      </c>
      <c r="G1670" s="5" t="inlineStr">
        <is>
          <t>Research Scientist</t>
        </is>
      </c>
      <c r="H1670" s="5" t="inlineStr">
        <is>
          <t>5</t>
        </is>
      </c>
      <c r="I1670" s="5" t="inlineStr">
        <is>
          <t>Mumbai</t>
        </is>
      </c>
      <c r="J1670" s="5" t="inlineStr">
        <is>
          <t>Full-Time</t>
        </is>
      </c>
      <c r="K1670" s="7" t="n">
        <v>45550</v>
      </c>
      <c r="L1670" s="7" t="inlineStr"/>
      <c r="M1670" s="5" t="inlineStr">
        <is>
          <t>Yes</t>
        </is>
      </c>
      <c r="N1670" s="5" t="inlineStr"/>
      <c r="O1670" s="8" t="inlineStr">
        <is>
          <t>162000</t>
        </is>
      </c>
      <c r="P1670" s="5" t="inlineStr">
        <is>
          <t>15</t>
        </is>
      </c>
      <c r="Q1670" s="5" t="inlineStr">
        <is>
          <t>5</t>
        </is>
      </c>
      <c r="R1670" s="5" t="inlineStr">
        <is>
          <t>8</t>
        </is>
      </c>
      <c r="S1670" s="5" t="inlineStr">
        <is>
          <t>15</t>
        </is>
      </c>
      <c r="T1670" s="5" t="inlineStr">
        <is>
          <t>2</t>
        </is>
      </c>
      <c r="U1670" s="5" t="inlineStr">
        <is>
          <t>OK</t>
        </is>
      </c>
    </row>
    <row r="1671">
      <c r="A1671" s="5" t="inlineStr">
        <is>
          <t>E00987</t>
        </is>
      </c>
      <c r="B1671" s="5" t="inlineStr">
        <is>
          <t>Female</t>
        </is>
      </c>
      <c r="C1671" s="6" t="inlineStr">
        <is>
          <t>27</t>
        </is>
      </c>
      <c r="D1671" s="5" t="inlineStr">
        <is>
          <t>Married</t>
        </is>
      </c>
      <c r="E1671" s="5" t="inlineStr">
        <is>
          <t>PhD</t>
        </is>
      </c>
      <c r="F1671" s="5" t="inlineStr">
        <is>
          <t>IT</t>
        </is>
      </c>
      <c r="G1671" s="5" t="inlineStr">
        <is>
          <t>Data Analyst</t>
        </is>
      </c>
      <c r="H1671" s="5" t="inlineStr">
        <is>
          <t>2</t>
        </is>
      </c>
      <c r="I1671" s="5" t="inlineStr">
        <is>
          <t>Remote</t>
        </is>
      </c>
      <c r="J1671" s="5" t="inlineStr">
        <is>
          <t>Full-Time</t>
        </is>
      </c>
      <c r="K1671" s="7" t="n">
        <v>45185</v>
      </c>
      <c r="L1671" s="7" t="inlineStr"/>
      <c r="M1671" s="5" t="inlineStr">
        <is>
          <t>Yes</t>
        </is>
      </c>
      <c r="N1671" s="5" t="inlineStr"/>
      <c r="O1671" s="8" t="inlineStr">
        <is>
          <t>101000</t>
        </is>
      </c>
      <c r="P1671" s="5" t="inlineStr">
        <is>
          <t>0</t>
        </is>
      </c>
      <c r="Q1671" s="5" t="inlineStr">
        <is>
          <t>2</t>
        </is>
      </c>
      <c r="R1671" s="5" t="inlineStr">
        <is>
          <t>6</t>
        </is>
      </c>
      <c r="S1671" s="5" t="inlineStr">
        <is>
          <t>27</t>
        </is>
      </c>
      <c r="T1671" s="5" t="inlineStr">
        <is>
          <t>0</t>
        </is>
      </c>
      <c r="U1671" s="5" t="inlineStr">
        <is>
          <t>OK</t>
        </is>
      </c>
    </row>
    <row r="1672">
      <c r="A1672" s="5" t="inlineStr">
        <is>
          <t>E00421</t>
        </is>
      </c>
      <c r="B1672" s="5" t="inlineStr">
        <is>
          <t>Female</t>
        </is>
      </c>
      <c r="C1672" s="6" t="inlineStr">
        <is>
          <t>28</t>
        </is>
      </c>
      <c r="D1672" s="5" t="inlineStr">
        <is>
          <t>Married</t>
        </is>
      </c>
      <c r="E1672" s="5" t="inlineStr">
        <is>
          <t>Bachelor</t>
        </is>
      </c>
      <c r="F1672" s="5" t="inlineStr">
        <is>
          <t>Operations</t>
        </is>
      </c>
      <c r="G1672" s="5" t="inlineStr">
        <is>
          <t>Logistics Coordinator</t>
        </is>
      </c>
      <c r="H1672" s="5" t="inlineStr">
        <is>
          <t>1</t>
        </is>
      </c>
      <c r="I1672" s="5" t="inlineStr">
        <is>
          <t>Hyderabad</t>
        </is>
      </c>
      <c r="J1672" s="5" t="inlineStr">
        <is>
          <t>Full-Time</t>
        </is>
      </c>
      <c r="K1672" s="7" t="n">
        <v>45412</v>
      </c>
      <c r="L1672" s="7" t="inlineStr"/>
      <c r="M1672" s="5" t="inlineStr">
        <is>
          <t>Yes</t>
        </is>
      </c>
      <c r="N1672" s="5" t="inlineStr"/>
      <c r="O1672" s="8" t="inlineStr">
        <is>
          <t>79500</t>
        </is>
      </c>
      <c r="P1672" s="5" t="inlineStr">
        <is>
          <t>0</t>
        </is>
      </c>
      <c r="Q1672" s="5" t="inlineStr">
        <is>
          <t>3</t>
        </is>
      </c>
      <c r="R1672" s="5" t="inlineStr">
        <is>
          <t>6</t>
        </is>
      </c>
      <c r="S1672" s="5" t="inlineStr">
        <is>
          <t>20</t>
        </is>
      </c>
      <c r="T1672" s="5" t="inlineStr">
        <is>
          <t>9</t>
        </is>
      </c>
      <c r="U1672" s="5" t="inlineStr">
        <is>
          <t>OK</t>
        </is>
      </c>
    </row>
    <row r="1673">
      <c r="A1673" s="5" t="inlineStr">
        <is>
          <t>E00516</t>
        </is>
      </c>
      <c r="B1673" s="5" t="inlineStr">
        <is>
          <t>Male</t>
        </is>
      </c>
      <c r="C1673" s="6" t="inlineStr">
        <is>
          <t>28</t>
        </is>
      </c>
      <c r="D1673" s="5" t="inlineStr">
        <is>
          <t>Single</t>
        </is>
      </c>
      <c r="E1673" s="5" t="inlineStr">
        <is>
          <t>PhD</t>
        </is>
      </c>
      <c r="F1673" s="5" t="inlineStr">
        <is>
          <t>Operations</t>
        </is>
      </c>
      <c r="G1673" s="5" t="inlineStr">
        <is>
          <t>Operations Analyst</t>
        </is>
      </c>
      <c r="H1673" s="5" t="inlineStr">
        <is>
          <t>2</t>
        </is>
      </c>
      <c r="I1673" s="5" t="inlineStr">
        <is>
          <t>Remote</t>
        </is>
      </c>
      <c r="J1673" s="5" t="inlineStr">
        <is>
          <t>Full-Time</t>
        </is>
      </c>
      <c r="K1673" s="7" t="n">
        <v>44911</v>
      </c>
      <c r="L1673" s="7" t="inlineStr"/>
      <c r="M1673" s="5" t="inlineStr">
        <is>
          <t>Yes</t>
        </is>
      </c>
      <c r="N1673" s="5" t="inlineStr"/>
      <c r="O1673" s="8" t="inlineStr">
        <is>
          <t>104500</t>
        </is>
      </c>
      <c r="P1673" s="5" t="inlineStr">
        <is>
          <t>5</t>
        </is>
      </c>
      <c r="Q1673" s="5" t="inlineStr">
        <is>
          <t>4</t>
        </is>
      </c>
      <c r="R1673" s="5" t="inlineStr">
        <is>
          <t>6</t>
        </is>
      </c>
      <c r="S1673" s="5" t="inlineStr">
        <is>
          <t>37</t>
        </is>
      </c>
      <c r="T1673" s="5" t="inlineStr">
        <is>
          <t>19</t>
        </is>
      </c>
      <c r="U1673" s="5" t="inlineStr">
        <is>
          <t>OK</t>
        </is>
      </c>
    </row>
    <row r="1674">
      <c r="A1674" s="5" t="inlineStr">
        <is>
          <t>E02565</t>
        </is>
      </c>
      <c r="B1674" s="5" t="inlineStr">
        <is>
          <t>Female</t>
        </is>
      </c>
      <c r="C1674" s="6" t="inlineStr">
        <is>
          <t>31</t>
        </is>
      </c>
      <c r="D1674" s="5" t="inlineStr">
        <is>
          <t>Married</t>
        </is>
      </c>
      <c r="E1674" s="5" t="inlineStr">
        <is>
          <t>Diploma</t>
        </is>
      </c>
      <c r="F1674" s="5" t="inlineStr">
        <is>
          <t>Sales</t>
        </is>
      </c>
      <c r="G1674" s="5" t="inlineStr">
        <is>
          <t>Business Development</t>
        </is>
      </c>
      <c r="H1674" s="5" t="inlineStr">
        <is>
          <t>1</t>
        </is>
      </c>
      <c r="I1674" s="5" t="inlineStr">
        <is>
          <t>Bengaluru</t>
        </is>
      </c>
      <c r="J1674" s="5" t="inlineStr">
        <is>
          <t>Full-Time</t>
        </is>
      </c>
      <c r="K1674" s="7" t="n">
        <v>44140</v>
      </c>
      <c r="L1674" s="7" t="inlineStr"/>
      <c r="M1674" s="5" t="inlineStr">
        <is>
          <t>Yes</t>
        </is>
      </c>
      <c r="N1674" s="5" t="inlineStr"/>
      <c r="O1674" s="8" t="inlineStr">
        <is>
          <t>90500</t>
        </is>
      </c>
      <c r="P1674" s="5" t="inlineStr">
        <is>
          <t>0</t>
        </is>
      </c>
      <c r="Q1674" s="5" t="inlineStr">
        <is>
          <t>2</t>
        </is>
      </c>
      <c r="R1674" s="5" t="inlineStr">
        <is>
          <t>1</t>
        </is>
      </c>
      <c r="S1674" s="5" t="inlineStr">
        <is>
          <t>62</t>
        </is>
      </c>
      <c r="T1674" s="5" t="inlineStr">
        <is>
          <t>11</t>
        </is>
      </c>
      <c r="U1674" s="5" t="inlineStr">
        <is>
          <t>OK</t>
        </is>
      </c>
    </row>
    <row r="1675">
      <c r="A1675" s="5" t="inlineStr">
        <is>
          <t>E00261</t>
        </is>
      </c>
      <c r="B1675" s="5" t="inlineStr">
        <is>
          <t>Male</t>
        </is>
      </c>
      <c r="C1675" s="6" t="inlineStr">
        <is>
          <t>31</t>
        </is>
      </c>
      <c r="D1675" s="5" t="inlineStr">
        <is>
          <t>Married</t>
        </is>
      </c>
      <c r="E1675" s="5" t="inlineStr">
        <is>
          <t>Bachelor</t>
        </is>
      </c>
      <c r="F1675" s="5" t="inlineStr"/>
      <c r="G1675" s="5" t="inlineStr">
        <is>
          <t>Content Writer</t>
        </is>
      </c>
      <c r="H1675" s="5" t="inlineStr">
        <is>
          <t>1</t>
        </is>
      </c>
      <c r="I1675" s="5" t="inlineStr">
        <is>
          <t>Bengaluru</t>
        </is>
      </c>
      <c r="J1675" s="5" t="inlineStr">
        <is>
          <t>Full-Time</t>
        </is>
      </c>
      <c r="K1675" s="7" t="n">
        <v>45989</v>
      </c>
      <c r="L1675" s="7" t="inlineStr"/>
      <c r="M1675" s="5" t="inlineStr">
        <is>
          <t>Yes</t>
        </is>
      </c>
      <c r="N1675" s="5" t="inlineStr"/>
      <c r="O1675" s="8" t="inlineStr">
        <is>
          <t>73000</t>
        </is>
      </c>
      <c r="P1675" s="5" t="inlineStr">
        <is>
          <t>0</t>
        </is>
      </c>
      <c r="Q1675" s="5" t="inlineStr">
        <is>
          <t>4</t>
        </is>
      </c>
      <c r="R1675" s="5" t="inlineStr">
        <is>
          <t>5</t>
        </is>
      </c>
      <c r="S1675" s="5" t="inlineStr">
        <is>
          <t>1</t>
        </is>
      </c>
      <c r="T1675" s="5" t="inlineStr">
        <is>
          <t>4</t>
        </is>
      </c>
      <c r="U1675" s="5" t="inlineStr">
        <is>
          <t>Blank department</t>
        </is>
      </c>
    </row>
    <row r="1676">
      <c r="A1676" s="5" t="inlineStr">
        <is>
          <t>E00580</t>
        </is>
      </c>
      <c r="B1676" s="5" t="inlineStr">
        <is>
          <t>Male</t>
        </is>
      </c>
      <c r="C1676" s="6" t="inlineStr">
        <is>
          <t>39</t>
        </is>
      </c>
      <c r="D1676" s="5" t="inlineStr">
        <is>
          <t>Single</t>
        </is>
      </c>
      <c r="E1676" s="5" t="inlineStr">
        <is>
          <t>PhD</t>
        </is>
      </c>
      <c r="F1676" s="5" t="inlineStr">
        <is>
          <t>IT</t>
        </is>
      </c>
      <c r="G1676" s="5" t="inlineStr">
        <is>
          <t>Software Engineer</t>
        </is>
      </c>
      <c r="H1676" s="5" t="inlineStr">
        <is>
          <t>5</t>
        </is>
      </c>
      <c r="I1676" s="5" t="inlineStr">
        <is>
          <t>Hyderabad</t>
        </is>
      </c>
      <c r="J1676" s="5" t="inlineStr">
        <is>
          <t>Full-Time</t>
        </is>
      </c>
      <c r="K1676" s="7" t="n">
        <v>45783</v>
      </c>
      <c r="L1676" s="7" t="n">
        <v>45886</v>
      </c>
      <c r="M1676" s="5" t="inlineStr">
        <is>
          <t>No</t>
        </is>
      </c>
      <c r="N1676" s="5" t="inlineStr">
        <is>
          <t>Performance / Termination</t>
        </is>
      </c>
      <c r="O1676" s="8" t="inlineStr">
        <is>
          <t>156500</t>
        </is>
      </c>
      <c r="P1676" s="5" t="inlineStr">
        <is>
          <t>0</t>
        </is>
      </c>
      <c r="Q1676" s="5" t="inlineStr">
        <is>
          <t>2</t>
        </is>
      </c>
      <c r="R1676" s="5" t="inlineStr">
        <is>
          <t>9</t>
        </is>
      </c>
      <c r="S1676" s="5" t="inlineStr">
        <is>
          <t>3</t>
        </is>
      </c>
      <c r="T1676" s="5" t="inlineStr">
        <is>
          <t>25</t>
        </is>
      </c>
      <c r="U1676" s="5" t="inlineStr">
        <is>
          <t>OK</t>
        </is>
      </c>
    </row>
    <row r="1677">
      <c r="A1677" s="5" t="inlineStr">
        <is>
          <t>E02158</t>
        </is>
      </c>
      <c r="B1677" s="5" t="inlineStr">
        <is>
          <t>Female</t>
        </is>
      </c>
      <c r="C1677" s="6" t="inlineStr">
        <is>
          <t>34</t>
        </is>
      </c>
      <c r="D1677" s="5" t="inlineStr">
        <is>
          <t>Single</t>
        </is>
      </c>
      <c r="E1677" s="5" t="inlineStr">
        <is>
          <t>Master</t>
        </is>
      </c>
      <c r="F1677" s="5" t="inlineStr">
        <is>
          <t>Marketing</t>
        </is>
      </c>
      <c r="G1677" s="5" t="inlineStr">
        <is>
          <t>SEO Specialist</t>
        </is>
      </c>
      <c r="H1677" s="5" t="inlineStr">
        <is>
          <t>2</t>
        </is>
      </c>
      <c r="I1677" s="5" t="inlineStr">
        <is>
          <t>Bengaluru</t>
        </is>
      </c>
      <c r="J1677" s="5" t="inlineStr">
        <is>
          <t>Contract</t>
        </is>
      </c>
      <c r="K1677" s="7" t="n">
        <v>44515</v>
      </c>
      <c r="L1677" s="7" t="inlineStr"/>
      <c r="M1677" s="5" t="inlineStr">
        <is>
          <t>Yes</t>
        </is>
      </c>
      <c r="N1677" s="5" t="inlineStr"/>
      <c r="O1677" s="8" t="inlineStr">
        <is>
          <t>64000</t>
        </is>
      </c>
      <c r="P1677" s="5" t="inlineStr">
        <is>
          <t>10</t>
        </is>
      </c>
      <c r="Q1677" s="5" t="inlineStr">
        <is>
          <t>4</t>
        </is>
      </c>
      <c r="R1677" s="5" t="inlineStr">
        <is>
          <t>5</t>
        </is>
      </c>
      <c r="S1677" s="5" t="inlineStr">
        <is>
          <t>50</t>
        </is>
      </c>
      <c r="T1677" s="5" t="inlineStr">
        <is>
          <t>1</t>
        </is>
      </c>
      <c r="U1677" s="5" t="inlineStr">
        <is>
          <t>OK</t>
        </is>
      </c>
    </row>
    <row r="1678">
      <c r="A1678" s="5" t="inlineStr">
        <is>
          <t>E02487</t>
        </is>
      </c>
      <c r="B1678" s="5" t="inlineStr">
        <is>
          <t>Unknown</t>
        </is>
      </c>
      <c r="C1678" s="6" t="inlineStr">
        <is>
          <t>27</t>
        </is>
      </c>
      <c r="D1678" s="5" t="inlineStr">
        <is>
          <t>Married</t>
        </is>
      </c>
      <c r="E1678" s="5" t="inlineStr">
        <is>
          <t>Master</t>
        </is>
      </c>
      <c r="F1678" s="5" t="inlineStr">
        <is>
          <t>IT</t>
        </is>
      </c>
      <c r="G1678" s="5" t="inlineStr">
        <is>
          <t>IT Support</t>
        </is>
      </c>
      <c r="H1678" s="5" t="inlineStr">
        <is>
          <t>2</t>
        </is>
      </c>
      <c r="I1678" s="5" t="inlineStr">
        <is>
          <t>Mumbai</t>
        </is>
      </c>
      <c r="J1678" s="5" t="inlineStr">
        <is>
          <t>Full-Time</t>
        </is>
      </c>
      <c r="K1678" s="7" t="n">
        <v>45021</v>
      </c>
      <c r="L1678" s="7" t="inlineStr"/>
      <c r="M1678" s="5" t="inlineStr">
        <is>
          <t>Yes</t>
        </is>
      </c>
      <c r="N1678" s="5" t="inlineStr"/>
      <c r="O1678" s="8" t="inlineStr">
        <is>
          <t>99000</t>
        </is>
      </c>
      <c r="P1678" s="5" t="inlineStr">
        <is>
          <t>0</t>
        </is>
      </c>
      <c r="Q1678" s="5" t="inlineStr">
        <is>
          <t>4</t>
        </is>
      </c>
      <c r="R1678" s="5" t="inlineStr">
        <is>
          <t>5</t>
        </is>
      </c>
      <c r="S1678" s="5" t="inlineStr">
        <is>
          <t>33</t>
        </is>
      </c>
      <c r="T1678" s="5" t="inlineStr">
        <is>
          <t>12</t>
        </is>
      </c>
      <c r="U1678" s="5" t="inlineStr">
        <is>
          <t>Bad gender</t>
        </is>
      </c>
    </row>
    <row r="1679">
      <c r="A1679" s="5" t="inlineStr">
        <is>
          <t>E01983</t>
        </is>
      </c>
      <c r="B1679" s="5" t="inlineStr">
        <is>
          <t>male</t>
        </is>
      </c>
      <c r="C1679" s="6" t="inlineStr">
        <is>
          <t>27</t>
        </is>
      </c>
      <c r="D1679" s="5" t="inlineStr">
        <is>
          <t>Married</t>
        </is>
      </c>
      <c r="E1679" s="5" t="inlineStr">
        <is>
          <t>Master</t>
        </is>
      </c>
      <c r="F1679" s="5" t="inlineStr">
        <is>
          <t>Finance</t>
        </is>
      </c>
      <c r="G1679" s="5" t="inlineStr">
        <is>
          <t>Financial Analyst</t>
        </is>
      </c>
      <c r="H1679" s="5" t="inlineStr">
        <is>
          <t>3</t>
        </is>
      </c>
      <c r="I1679" s="5" t="inlineStr">
        <is>
          <t>Remote</t>
        </is>
      </c>
      <c r="J1679" s="5" t="inlineStr">
        <is>
          <t>Full-Time</t>
        </is>
      </c>
      <c r="K1679" s="7" t="n">
        <v>44357</v>
      </c>
      <c r="L1679" s="7" t="inlineStr"/>
      <c r="M1679" s="5" t="inlineStr">
        <is>
          <t>Yes</t>
        </is>
      </c>
      <c r="N1679" s="5" t="inlineStr"/>
      <c r="O1679" s="8" t="inlineStr">
        <is>
          <t>84500</t>
        </is>
      </c>
      <c r="P1679" s="5" t="inlineStr">
        <is>
          <t>15</t>
        </is>
      </c>
      <c r="Q1679" s="5" t="inlineStr">
        <is>
          <t>4</t>
        </is>
      </c>
      <c r="R1679" s="5" t="inlineStr">
        <is>
          <t>7</t>
        </is>
      </c>
      <c r="S1679" s="5" t="inlineStr">
        <is>
          <t>55</t>
        </is>
      </c>
      <c r="T1679" s="5" t="inlineStr">
        <is>
          <t>10</t>
        </is>
      </c>
      <c r="U1679" s="5" t="inlineStr">
        <is>
          <t>OK</t>
        </is>
      </c>
    </row>
    <row r="1680">
      <c r="A1680" s="5" t="inlineStr">
        <is>
          <t>E01276</t>
        </is>
      </c>
      <c r="B1680" s="5" t="inlineStr">
        <is>
          <t>Female</t>
        </is>
      </c>
      <c r="C1680" s="6" t="inlineStr">
        <is>
          <t>27</t>
        </is>
      </c>
      <c r="D1680" s="5" t="inlineStr">
        <is>
          <t>Single</t>
        </is>
      </c>
      <c r="E1680" s="5" t="inlineStr">
        <is>
          <t>Bachelor</t>
        </is>
      </c>
      <c r="F1680" s="5" t="inlineStr">
        <is>
          <t>Sales</t>
        </is>
      </c>
      <c r="G1680" s="5" t="inlineStr">
        <is>
          <t>Business Development</t>
        </is>
      </c>
      <c r="H1680" s="5" t="inlineStr">
        <is>
          <t>2</t>
        </is>
      </c>
      <c r="I1680" s="5" t="inlineStr">
        <is>
          <t>Delhi</t>
        </is>
      </c>
      <c r="J1680" s="5" t="inlineStr">
        <is>
          <t>Full-Time</t>
        </is>
      </c>
      <c r="K1680" s="7" t="n">
        <v>44834</v>
      </c>
      <c r="L1680" s="7" t="inlineStr"/>
      <c r="M1680" s="5" t="inlineStr">
        <is>
          <t>Yes</t>
        </is>
      </c>
      <c r="N1680" s="5" t="inlineStr"/>
      <c r="O1680" s="8" t="inlineStr">
        <is>
          <t>120500</t>
        </is>
      </c>
      <c r="P1680" s="5" t="inlineStr">
        <is>
          <t>0</t>
        </is>
      </c>
      <c r="Q1680" s="5" t="inlineStr">
        <is>
          <t>4</t>
        </is>
      </c>
      <c r="R1680" s="5" t="inlineStr">
        <is>
          <t>10</t>
        </is>
      </c>
      <c r="S1680" s="5" t="inlineStr">
        <is>
          <t>39</t>
        </is>
      </c>
      <c r="T1680" s="5" t="inlineStr">
        <is>
          <t>0</t>
        </is>
      </c>
      <c r="U1680" s="5" t="inlineStr">
        <is>
          <t>OK</t>
        </is>
      </c>
    </row>
    <row r="1681">
      <c r="A1681" s="5" t="inlineStr">
        <is>
          <t>E00878</t>
        </is>
      </c>
      <c r="B1681" s="5" t="inlineStr">
        <is>
          <t>Female</t>
        </is>
      </c>
      <c r="C1681" s="6" t="inlineStr">
        <is>
          <t>34</t>
        </is>
      </c>
      <c r="D1681" s="5" t="inlineStr">
        <is>
          <t>Married</t>
        </is>
      </c>
      <c r="E1681" s="5" t="inlineStr">
        <is>
          <t>Master</t>
        </is>
      </c>
      <c r="F1681" s="5" t="inlineStr">
        <is>
          <t>Human Resources</t>
        </is>
      </c>
      <c r="G1681" s="5" t="inlineStr">
        <is>
          <t>HR Analyst</t>
        </is>
      </c>
      <c r="H1681" s="5" t="inlineStr">
        <is>
          <t>3</t>
        </is>
      </c>
      <c r="I1681" s="5" t="inlineStr">
        <is>
          <t>Hyderabad</t>
        </is>
      </c>
      <c r="J1681" s="5" t="inlineStr">
        <is>
          <t>Full-Time</t>
        </is>
      </c>
      <c r="K1681" s="7" t="n">
        <v>45356</v>
      </c>
      <c r="L1681" s="7" t="inlineStr"/>
      <c r="M1681" s="5" t="inlineStr">
        <is>
          <t>Yes</t>
        </is>
      </c>
      <c r="N1681" s="5" t="inlineStr"/>
      <c r="O1681" s="8" t="inlineStr">
        <is>
          <t>88500</t>
        </is>
      </c>
      <c r="P1681" s="5" t="inlineStr">
        <is>
          <t>10</t>
        </is>
      </c>
      <c r="Q1681" s="5" t="inlineStr">
        <is>
          <t>5</t>
        </is>
      </c>
      <c r="R1681" s="5" t="inlineStr">
        <is>
          <t>6</t>
        </is>
      </c>
      <c r="S1681" s="5" t="inlineStr">
        <is>
          <t>22</t>
        </is>
      </c>
      <c r="T1681" s="5" t="inlineStr">
        <is>
          <t>7</t>
        </is>
      </c>
      <c r="U1681" s="5" t="inlineStr">
        <is>
          <t>OK</t>
        </is>
      </c>
    </row>
    <row r="1682">
      <c r="A1682" s="5" t="inlineStr">
        <is>
          <t>E00798</t>
        </is>
      </c>
      <c r="B1682" s="5" t="inlineStr">
        <is>
          <t>Female</t>
        </is>
      </c>
      <c r="C1682" s="6" t="inlineStr">
        <is>
          <t>29</t>
        </is>
      </c>
      <c r="D1682" s="5" t="inlineStr">
        <is>
          <t>Single</t>
        </is>
      </c>
      <c r="E1682" s="5" t="inlineStr">
        <is>
          <t>Bachelor</t>
        </is>
      </c>
      <c r="F1682" s="5" t="inlineStr">
        <is>
          <t>IT</t>
        </is>
      </c>
      <c r="G1682" s="5" t="inlineStr">
        <is>
          <t>Software Engineer</t>
        </is>
      </c>
      <c r="H1682" s="5" t="inlineStr">
        <is>
          <t>3</t>
        </is>
      </c>
      <c r="I1682" s="5" t="inlineStr">
        <is>
          <t>Bengaluru</t>
        </is>
      </c>
      <c r="J1682" s="5" t="inlineStr">
        <is>
          <t>Full-Time</t>
        </is>
      </c>
      <c r="K1682" s="7" t="n">
        <v>45232</v>
      </c>
      <c r="L1682" s="7" t="inlineStr"/>
      <c r="M1682" s="5" t="inlineStr">
        <is>
          <t>Yes</t>
        </is>
      </c>
      <c r="N1682" s="5" t="inlineStr"/>
      <c r="O1682" s="8" t="inlineStr">
        <is>
          <t>119000</t>
        </is>
      </c>
      <c r="P1682" s="5" t="inlineStr">
        <is>
          <t>0</t>
        </is>
      </c>
      <c r="Q1682" s="5" t="inlineStr">
        <is>
          <t>3</t>
        </is>
      </c>
      <c r="R1682" s="5" t="inlineStr">
        <is>
          <t>6</t>
        </is>
      </c>
      <c r="S1682" s="5" t="inlineStr">
        <is>
          <t>26</t>
        </is>
      </c>
      <c r="T1682" s="5" t="inlineStr">
        <is>
          <t>11</t>
        </is>
      </c>
      <c r="U1682" s="5" t="inlineStr">
        <is>
          <t>OK</t>
        </is>
      </c>
    </row>
    <row r="1683">
      <c r="A1683" s="5" t="inlineStr">
        <is>
          <t>E01932</t>
        </is>
      </c>
      <c r="B1683" s="5" t="inlineStr">
        <is>
          <t>Male</t>
        </is>
      </c>
      <c r="C1683" s="6" t="inlineStr">
        <is>
          <t>26</t>
        </is>
      </c>
      <c r="D1683" s="5" t="inlineStr">
        <is>
          <t>Married</t>
        </is>
      </c>
      <c r="E1683" s="5" t="inlineStr">
        <is>
          <t>High School</t>
        </is>
      </c>
      <c r="F1683" s="5" t="inlineStr">
        <is>
          <t>Operations</t>
        </is>
      </c>
      <c r="G1683" s="5" t="inlineStr">
        <is>
          <t>Quality Analyst</t>
        </is>
      </c>
      <c r="H1683" s="5" t="inlineStr">
        <is>
          <t>2</t>
        </is>
      </c>
      <c r="I1683" s="5" t="inlineStr">
        <is>
          <t>Bengaluru</t>
        </is>
      </c>
      <c r="J1683" s="5" t="inlineStr">
        <is>
          <t>Full-Time</t>
        </is>
      </c>
      <c r="K1683" s="7" t="n">
        <v>44375</v>
      </c>
      <c r="L1683" s="7" t="inlineStr"/>
      <c r="M1683" s="5" t="inlineStr">
        <is>
          <t>Yes</t>
        </is>
      </c>
      <c r="N1683" s="5" t="inlineStr"/>
      <c r="O1683" s="8" t="inlineStr">
        <is>
          <t>101000</t>
        </is>
      </c>
      <c r="P1683" s="5" t="inlineStr">
        <is>
          <t>5</t>
        </is>
      </c>
      <c r="Q1683" s="5" t="inlineStr">
        <is>
          <t>3</t>
        </is>
      </c>
      <c r="R1683" s="5" t="inlineStr">
        <is>
          <t>6</t>
        </is>
      </c>
      <c r="S1683" s="5" t="inlineStr">
        <is>
          <t>54</t>
        </is>
      </c>
      <c r="T1683" s="5" t="inlineStr">
        <is>
          <t>4</t>
        </is>
      </c>
      <c r="U1683" s="5" t="inlineStr">
        <is>
          <t>OK</t>
        </is>
      </c>
    </row>
    <row r="1684">
      <c r="A1684" s="5" t="inlineStr">
        <is>
          <t>E00998</t>
        </is>
      </c>
      <c r="B1684" s="5" t="inlineStr">
        <is>
          <t>male</t>
        </is>
      </c>
      <c r="C1684" s="6" t="inlineStr">
        <is>
          <t>31</t>
        </is>
      </c>
      <c r="D1684" s="5" t="inlineStr">
        <is>
          <t>Married</t>
        </is>
      </c>
      <c r="E1684" s="5" t="inlineStr">
        <is>
          <t>PhD</t>
        </is>
      </c>
      <c r="F1684" s="5" t="inlineStr">
        <is>
          <t>Finance</t>
        </is>
      </c>
      <c r="G1684" s="5" t="inlineStr">
        <is>
          <t>Financial Analyst</t>
        </is>
      </c>
      <c r="H1684" s="5" t="inlineStr">
        <is>
          <t>4</t>
        </is>
      </c>
      <c r="I1684" s="5" t="inlineStr">
        <is>
          <t>Mumbai</t>
        </is>
      </c>
      <c r="J1684" s="5" t="inlineStr">
        <is>
          <t>Full-Time</t>
        </is>
      </c>
      <c r="K1684" s="7" t="n">
        <v>45603</v>
      </c>
      <c r="L1684" s="7" t="inlineStr"/>
      <c r="M1684" s="5" t="inlineStr">
        <is>
          <t>Yes</t>
        </is>
      </c>
      <c r="N1684" s="5" t="inlineStr"/>
      <c r="O1684" s="8" t="inlineStr">
        <is>
          <t>160000</t>
        </is>
      </c>
      <c r="P1684" s="5" t="inlineStr">
        <is>
          <t>10</t>
        </is>
      </c>
      <c r="Q1684" s="5" t="inlineStr">
        <is>
          <t>5</t>
        </is>
      </c>
      <c r="R1684" s="5" t="inlineStr">
        <is>
          <t>7</t>
        </is>
      </c>
      <c r="S1684" s="5" t="inlineStr">
        <is>
          <t>13</t>
        </is>
      </c>
      <c r="T1684" s="5" t="inlineStr">
        <is>
          <t>0</t>
        </is>
      </c>
      <c r="U1684" s="5" t="inlineStr">
        <is>
          <t>OK</t>
        </is>
      </c>
    </row>
    <row r="1685">
      <c r="A1685" s="5" t="inlineStr">
        <is>
          <t>E02326</t>
        </is>
      </c>
      <c r="B1685" s="5" t="inlineStr">
        <is>
          <t>male</t>
        </is>
      </c>
      <c r="C1685" s="6" t="inlineStr">
        <is>
          <t>36</t>
        </is>
      </c>
      <c r="D1685" s="5" t="inlineStr">
        <is>
          <t>Single</t>
        </is>
      </c>
      <c r="E1685" s="5" t="inlineStr">
        <is>
          <t>Master</t>
        </is>
      </c>
      <c r="F1685" s="5" t="inlineStr">
        <is>
          <t>Sales</t>
        </is>
      </c>
      <c r="G1685" s="5" t="inlineStr">
        <is>
          <t>Sales Executive</t>
        </is>
      </c>
      <c r="H1685" s="5" t="inlineStr">
        <is>
          <t>3</t>
        </is>
      </c>
      <c r="I1685" s="5" t="inlineStr">
        <is>
          <t>Bengaluru</t>
        </is>
      </c>
      <c r="J1685" s="5" t="inlineStr">
        <is>
          <t>Full-Time</t>
        </is>
      </c>
      <c r="K1685" s="7" t="n">
        <v>44839</v>
      </c>
      <c r="L1685" s="7" t="inlineStr"/>
      <c r="M1685" s="5" t="inlineStr">
        <is>
          <t>Yes</t>
        </is>
      </c>
      <c r="N1685" s="5" t="inlineStr"/>
      <c r="O1685" s="8" t="inlineStr">
        <is>
          <t>107000</t>
        </is>
      </c>
      <c r="P1685" s="5" t="inlineStr">
        <is>
          <t>15</t>
        </is>
      </c>
      <c r="Q1685" s="5" t="inlineStr">
        <is>
          <t>2</t>
        </is>
      </c>
      <c r="R1685" s="5" t="inlineStr">
        <is>
          <t>6</t>
        </is>
      </c>
      <c r="S1685" s="5" t="inlineStr">
        <is>
          <t>39</t>
        </is>
      </c>
      <c r="T1685" s="5" t="inlineStr">
        <is>
          <t>3</t>
        </is>
      </c>
      <c r="U1685" s="5" t="inlineStr">
        <is>
          <t>OK</t>
        </is>
      </c>
    </row>
    <row r="1686">
      <c r="A1686" s="5" t="inlineStr">
        <is>
          <t>E02884</t>
        </is>
      </c>
      <c r="B1686" s="5" t="inlineStr">
        <is>
          <t>Male</t>
        </is>
      </c>
      <c r="C1686" s="6" t="inlineStr">
        <is>
          <t>30</t>
        </is>
      </c>
      <c r="D1686" s="5" t="inlineStr">
        <is>
          <t>Single</t>
        </is>
      </c>
      <c r="E1686" s="5" t="inlineStr">
        <is>
          <t>Diploma</t>
        </is>
      </c>
      <c r="F1686" s="5" t="inlineStr">
        <is>
          <t>Research &amp; Development</t>
        </is>
      </c>
      <c r="G1686" s="5" t="inlineStr">
        <is>
          <t>Research Scientist</t>
        </is>
      </c>
      <c r="H1686" s="5" t="inlineStr">
        <is>
          <t>4</t>
        </is>
      </c>
      <c r="I1686" s="5" t="inlineStr">
        <is>
          <t>Delhi</t>
        </is>
      </c>
      <c r="J1686" s="5" t="inlineStr">
        <is>
          <t>Full-Time</t>
        </is>
      </c>
      <c r="K1686" s="7" t="n">
        <v>45188</v>
      </c>
      <c r="L1686" s="7" t="inlineStr"/>
      <c r="M1686" s="5" t="inlineStr">
        <is>
          <t>Yes</t>
        </is>
      </c>
      <c r="N1686" s="5" t="inlineStr"/>
      <c r="O1686" s="8" t="inlineStr">
        <is>
          <t>212500</t>
        </is>
      </c>
      <c r="P1686" s="5" t="inlineStr">
        <is>
          <t>10</t>
        </is>
      </c>
      <c r="Q1686" s="5" t="inlineStr">
        <is>
          <t>5</t>
        </is>
      </c>
      <c r="R1686" s="5" t="inlineStr">
        <is>
          <t>8</t>
        </is>
      </c>
      <c r="S1686" s="5" t="inlineStr">
        <is>
          <t>27</t>
        </is>
      </c>
      <c r="T1686" s="5" t="inlineStr">
        <is>
          <t>9</t>
        </is>
      </c>
      <c r="U1686" s="5" t="inlineStr">
        <is>
          <t>OK</t>
        </is>
      </c>
    </row>
    <row r="1687">
      <c r="A1687" s="5" t="inlineStr">
        <is>
          <t>E00820</t>
        </is>
      </c>
      <c r="B1687" s="5" t="inlineStr">
        <is>
          <t>Female</t>
        </is>
      </c>
      <c r="C1687" s="6" t="inlineStr">
        <is>
          <t>35</t>
        </is>
      </c>
      <c r="D1687" s="5" t="inlineStr">
        <is>
          <t>Married</t>
        </is>
      </c>
      <c r="E1687" s="5" t="inlineStr">
        <is>
          <t>PhD</t>
        </is>
      </c>
      <c r="F1687" s="5" t="inlineStr">
        <is>
          <t>Sales</t>
        </is>
      </c>
      <c r="G1687" s="5" t="inlineStr">
        <is>
          <t>Business Development</t>
        </is>
      </c>
      <c r="H1687" s="5" t="inlineStr">
        <is>
          <t>3</t>
        </is>
      </c>
      <c r="I1687" s="5" t="inlineStr">
        <is>
          <t>Delhi</t>
        </is>
      </c>
      <c r="J1687" s="5" t="inlineStr">
        <is>
          <t>Full-Time</t>
        </is>
      </c>
      <c r="K1687" s="7" t="n">
        <v>44160</v>
      </c>
      <c r="L1687" s="7" t="inlineStr"/>
      <c r="M1687" s="5" t="inlineStr">
        <is>
          <t>Yes</t>
        </is>
      </c>
      <c r="N1687" s="5" t="inlineStr"/>
      <c r="O1687" s="8" t="inlineStr">
        <is>
          <t>115000</t>
        </is>
      </c>
      <c r="P1687" s="5" t="inlineStr">
        <is>
          <t>0</t>
        </is>
      </c>
      <c r="Q1687" s="5" t="inlineStr">
        <is>
          <t>4</t>
        </is>
      </c>
      <c r="R1687" s="5" t="inlineStr">
        <is>
          <t>6</t>
        </is>
      </c>
      <c r="S1687" s="5" t="inlineStr">
        <is>
          <t>62</t>
        </is>
      </c>
      <c r="T1687" s="5" t="inlineStr">
        <is>
          <t>7</t>
        </is>
      </c>
      <c r="U1687" s="5" t="inlineStr">
        <is>
          <t>OK</t>
        </is>
      </c>
    </row>
    <row r="1688">
      <c r="A1688" s="5" t="inlineStr">
        <is>
          <t>E00216</t>
        </is>
      </c>
      <c r="B1688" s="5" t="inlineStr">
        <is>
          <t>Female</t>
        </is>
      </c>
      <c r="C1688" s="6" t="inlineStr">
        <is>
          <t>32</t>
        </is>
      </c>
      <c r="D1688" s="5" t="inlineStr">
        <is>
          <t>Married</t>
        </is>
      </c>
      <c r="E1688" s="5" t="inlineStr">
        <is>
          <t>Diploma</t>
        </is>
      </c>
      <c r="F1688" s="5" t="inlineStr">
        <is>
          <t>Sales</t>
        </is>
      </c>
      <c r="G1688" s="5" t="inlineStr">
        <is>
          <t>Sales Executive</t>
        </is>
      </c>
      <c r="H1688" s="5" t="inlineStr">
        <is>
          <t>1</t>
        </is>
      </c>
      <c r="I1688" s="5" t="inlineStr">
        <is>
          <t>Delhi</t>
        </is>
      </c>
      <c r="J1688" s="5" t="inlineStr">
        <is>
          <t>Full-Time</t>
        </is>
      </c>
      <c r="K1688" s="7" t="n">
        <v>45376</v>
      </c>
      <c r="L1688" s="7" t="inlineStr"/>
      <c r="M1688" s="5" t="inlineStr">
        <is>
          <t>Yes</t>
        </is>
      </c>
      <c r="N1688" s="5" t="inlineStr"/>
      <c r="O1688" s="8" t="inlineStr">
        <is>
          <t>60000</t>
        </is>
      </c>
      <c r="P1688" s="5" t="inlineStr">
        <is>
          <t>0</t>
        </is>
      </c>
      <c r="Q1688" s="5" t="inlineStr">
        <is>
          <t>3</t>
        </is>
      </c>
      <c r="R1688" s="5" t="inlineStr">
        <is>
          <t>5</t>
        </is>
      </c>
      <c r="S1688" s="5" t="inlineStr">
        <is>
          <t>21</t>
        </is>
      </c>
      <c r="T1688" s="5" t="inlineStr">
        <is>
          <t>0</t>
        </is>
      </c>
      <c r="U1688" s="5" t="inlineStr">
        <is>
          <t>OK</t>
        </is>
      </c>
    </row>
    <row r="1689">
      <c r="A1689" s="5" t="inlineStr">
        <is>
          <t>E00958</t>
        </is>
      </c>
      <c r="B1689" s="5" t="inlineStr">
        <is>
          <t>Male</t>
        </is>
      </c>
      <c r="C1689" s="6" t="inlineStr">
        <is>
          <t>35</t>
        </is>
      </c>
      <c r="D1689" s="5" t="inlineStr">
        <is>
          <t>Married</t>
        </is>
      </c>
      <c r="E1689" s="5" t="inlineStr">
        <is>
          <t>Bachelor</t>
        </is>
      </c>
      <c r="F1689" s="5" t="inlineStr">
        <is>
          <t>IT</t>
        </is>
      </c>
      <c r="G1689" s="5" t="inlineStr">
        <is>
          <t>Data Analyst</t>
        </is>
      </c>
      <c r="H1689" s="5" t="inlineStr">
        <is>
          <t>3</t>
        </is>
      </c>
      <c r="I1689" s="5" t="inlineStr">
        <is>
          <t>Remote</t>
        </is>
      </c>
      <c r="J1689" s="5" t="inlineStr">
        <is>
          <t>Full-Time</t>
        </is>
      </c>
      <c r="K1689" s="7" t="n">
        <v>45767</v>
      </c>
      <c r="L1689" s="7" t="inlineStr"/>
      <c r="M1689" s="5" t="inlineStr">
        <is>
          <t>Yes</t>
        </is>
      </c>
      <c r="N1689" s="5" t="inlineStr"/>
      <c r="O1689" s="8" t="inlineStr">
        <is>
          <t>151000</t>
        </is>
      </c>
      <c r="P1689" s="5" t="inlineStr">
        <is>
          <t>10</t>
        </is>
      </c>
      <c r="Q1689" s="5" t="inlineStr">
        <is>
          <t>4</t>
        </is>
      </c>
      <c r="R1689" s="5" t="inlineStr">
        <is>
          <t>6</t>
        </is>
      </c>
      <c r="S1689" s="5" t="inlineStr">
        <is>
          <t>8</t>
        </is>
      </c>
      <c r="T1689" s="5" t="inlineStr">
        <is>
          <t>9</t>
        </is>
      </c>
      <c r="U1689" s="5" t="inlineStr">
        <is>
          <t>OK</t>
        </is>
      </c>
    </row>
    <row r="1690">
      <c r="A1690" s="5" t="inlineStr">
        <is>
          <t>E00309</t>
        </is>
      </c>
      <c r="B1690" s="5" t="inlineStr">
        <is>
          <t>Female</t>
        </is>
      </c>
      <c r="C1690" s="6" t="inlineStr">
        <is>
          <t>40</t>
        </is>
      </c>
      <c r="D1690" s="5" t="inlineStr">
        <is>
          <t>Married</t>
        </is>
      </c>
      <c r="E1690" s="5" t="inlineStr">
        <is>
          <t>High School</t>
        </is>
      </c>
      <c r="F1690" s="5" t="inlineStr">
        <is>
          <t>Marketing</t>
        </is>
      </c>
      <c r="G1690" s="5" t="inlineStr">
        <is>
          <t>Content Writer</t>
        </is>
      </c>
      <c r="H1690" s="5" t="inlineStr">
        <is>
          <t>4</t>
        </is>
      </c>
      <c r="I1690" s="5" t="inlineStr">
        <is>
          <t>Chennai</t>
        </is>
      </c>
      <c r="J1690" s="5" t="inlineStr">
        <is>
          <t>Full-Time</t>
        </is>
      </c>
      <c r="K1690" s="7" t="n">
        <v>44965</v>
      </c>
      <c r="L1690" s="7" t="n">
        <v>45036</v>
      </c>
      <c r="M1690" s="5" t="inlineStr">
        <is>
          <t>No</t>
        </is>
      </c>
      <c r="N1690" s="5" t="inlineStr">
        <is>
          <t>Resigned</t>
        </is>
      </c>
      <c r="O1690" s="8" t="inlineStr">
        <is>
          <t>107500</t>
        </is>
      </c>
      <c r="P1690" s="5" t="inlineStr">
        <is>
          <t>20</t>
        </is>
      </c>
      <c r="Q1690" s="5" t="inlineStr">
        <is>
          <t>3</t>
        </is>
      </c>
      <c r="R1690" s="5" t="inlineStr">
        <is>
          <t>8</t>
        </is>
      </c>
      <c r="S1690" s="5" t="inlineStr">
        <is>
          <t>2</t>
        </is>
      </c>
      <c r="T1690" s="5" t="inlineStr">
        <is>
          <t>0</t>
        </is>
      </c>
      <c r="U1690" s="5" t="inlineStr">
        <is>
          <t>OK</t>
        </is>
      </c>
    </row>
    <row r="1691">
      <c r="A1691" s="5" t="inlineStr">
        <is>
          <t>E00106</t>
        </is>
      </c>
      <c r="B1691" s="5" t="inlineStr">
        <is>
          <t>Male</t>
        </is>
      </c>
      <c r="C1691" s="6" t="inlineStr">
        <is>
          <t>36</t>
        </is>
      </c>
      <c r="D1691" s="5" t="inlineStr">
        <is>
          <t>Married</t>
        </is>
      </c>
      <c r="E1691" s="5" t="inlineStr">
        <is>
          <t>Diploma</t>
        </is>
      </c>
      <c r="F1691" s="5" t="inlineStr">
        <is>
          <t>Marketing</t>
        </is>
      </c>
      <c r="G1691" s="5" t="inlineStr">
        <is>
          <t>Marketing Analyst</t>
        </is>
      </c>
      <c r="H1691" s="5" t="inlineStr">
        <is>
          <t>2</t>
        </is>
      </c>
      <c r="I1691" s="5" t="inlineStr">
        <is>
          <t>Remote</t>
        </is>
      </c>
      <c r="J1691" s="5" t="inlineStr">
        <is>
          <t>Full-Time</t>
        </is>
      </c>
      <c r="K1691" s="7" t="n">
        <v>45127</v>
      </c>
      <c r="L1691" s="7" t="inlineStr"/>
      <c r="M1691" s="5" t="inlineStr">
        <is>
          <t>Yes</t>
        </is>
      </c>
      <c r="N1691" s="5" t="inlineStr"/>
      <c r="O1691" s="8" t="inlineStr">
        <is>
          <t>89000</t>
        </is>
      </c>
      <c r="P1691" s="5" t="inlineStr">
        <is>
          <t>10</t>
        </is>
      </c>
      <c r="Q1691" s="5" t="inlineStr">
        <is>
          <t>2</t>
        </is>
      </c>
      <c r="R1691" s="5" t="inlineStr">
        <is>
          <t>6</t>
        </is>
      </c>
      <c r="S1691" s="5" t="inlineStr">
        <is>
          <t>29</t>
        </is>
      </c>
      <c r="T1691" s="5" t="inlineStr">
        <is>
          <t>12</t>
        </is>
      </c>
      <c r="U1691" s="5" t="inlineStr">
        <is>
          <t>OK</t>
        </is>
      </c>
    </row>
    <row r="1692">
      <c r="A1692" s="5" t="inlineStr">
        <is>
          <t>E02363</t>
        </is>
      </c>
      <c r="B1692" s="5" t="inlineStr">
        <is>
          <t>Female</t>
        </is>
      </c>
      <c r="C1692" s="6" t="inlineStr">
        <is>
          <t>41</t>
        </is>
      </c>
      <c r="D1692" s="5" t="inlineStr">
        <is>
          <t>Married</t>
        </is>
      </c>
      <c r="E1692" s="5" t="inlineStr">
        <is>
          <t>Master</t>
        </is>
      </c>
      <c r="F1692" s="5" t="inlineStr">
        <is>
          <t>IT</t>
        </is>
      </c>
      <c r="G1692" s="5" t="inlineStr">
        <is>
          <t>Data Analyst</t>
        </is>
      </c>
      <c r="H1692" s="5" t="inlineStr">
        <is>
          <t>6</t>
        </is>
      </c>
      <c r="I1692" s="5" t="inlineStr">
        <is>
          <t>Mumbai</t>
        </is>
      </c>
      <c r="J1692" s="5" t="inlineStr">
        <is>
          <t>Full-Time</t>
        </is>
      </c>
      <c r="K1692" s="7" t="n">
        <v>44547</v>
      </c>
      <c r="L1692" s="7" t="inlineStr"/>
      <c r="M1692" s="5" t="inlineStr">
        <is>
          <t>Yes</t>
        </is>
      </c>
      <c r="N1692" s="5" t="inlineStr"/>
      <c r="O1692" s="8" t="inlineStr">
        <is>
          <t>189000</t>
        </is>
      </c>
      <c r="P1692" s="5" t="inlineStr">
        <is>
          <t>5</t>
        </is>
      </c>
      <c r="Q1692" s="5" t="inlineStr">
        <is>
          <t>2</t>
        </is>
      </c>
      <c r="R1692" s="5" t="inlineStr">
        <is>
          <t>3</t>
        </is>
      </c>
      <c r="S1692" s="5" t="inlineStr">
        <is>
          <t>49</t>
        </is>
      </c>
      <c r="T1692" s="5" t="inlineStr">
        <is>
          <t>8</t>
        </is>
      </c>
      <c r="U1692" s="5" t="inlineStr">
        <is>
          <t>OK</t>
        </is>
      </c>
    </row>
    <row r="1693">
      <c r="A1693" s="5" t="inlineStr">
        <is>
          <t>E01029</t>
        </is>
      </c>
      <c r="B1693" s="5" t="inlineStr">
        <is>
          <t>Male</t>
        </is>
      </c>
      <c r="C1693" s="6" t="inlineStr">
        <is>
          <t>30</t>
        </is>
      </c>
      <c r="D1693" s="5" t="inlineStr">
        <is>
          <t>Married</t>
        </is>
      </c>
      <c r="E1693" s="5" t="inlineStr">
        <is>
          <t>PhD</t>
        </is>
      </c>
      <c r="F1693" s="5" t="inlineStr">
        <is>
          <t>Human Resources</t>
        </is>
      </c>
      <c r="G1693" s="5" t="inlineStr">
        <is>
          <t>HR Analyst</t>
        </is>
      </c>
      <c r="H1693" s="5" t="inlineStr">
        <is>
          <t>1</t>
        </is>
      </c>
      <c r="I1693" s="5" t="inlineStr">
        <is>
          <t>Hyderabad</t>
        </is>
      </c>
      <c r="J1693" s="5" t="inlineStr">
        <is>
          <t>Full-Time</t>
        </is>
      </c>
      <c r="K1693" s="7" t="n">
        <v>44069</v>
      </c>
      <c r="L1693" s="7" t="inlineStr"/>
      <c r="M1693" s="5" t="inlineStr">
        <is>
          <t>Yes</t>
        </is>
      </c>
      <c r="N1693" s="5" t="inlineStr"/>
      <c r="O1693" s="8" t="inlineStr">
        <is>
          <t>60000</t>
        </is>
      </c>
      <c r="P1693" s="5" t="inlineStr">
        <is>
          <t>0</t>
        </is>
      </c>
      <c r="Q1693" s="5" t="inlineStr">
        <is>
          <t>3</t>
        </is>
      </c>
      <c r="R1693" s="5" t="inlineStr">
        <is>
          <t>5</t>
        </is>
      </c>
      <c r="S1693" s="5" t="inlineStr">
        <is>
          <t>65</t>
        </is>
      </c>
      <c r="T1693" s="5" t="inlineStr">
        <is>
          <t>1</t>
        </is>
      </c>
      <c r="U1693" s="5" t="inlineStr">
        <is>
          <t>OK</t>
        </is>
      </c>
    </row>
    <row r="1694">
      <c r="A1694" s="5" t="inlineStr">
        <is>
          <t>E00948</t>
        </is>
      </c>
      <c r="B1694" s="5" t="inlineStr">
        <is>
          <t>Male</t>
        </is>
      </c>
      <c r="C1694" s="6" t="inlineStr">
        <is>
          <t>30</t>
        </is>
      </c>
      <c r="D1694" s="5" t="inlineStr">
        <is>
          <t>Married</t>
        </is>
      </c>
      <c r="E1694" s="5" t="inlineStr">
        <is>
          <t>Diploma</t>
        </is>
      </c>
      <c r="F1694" s="5" t="inlineStr">
        <is>
          <t>Marketing</t>
        </is>
      </c>
      <c r="G1694" s="5" t="inlineStr">
        <is>
          <t>Marketing Analyst</t>
        </is>
      </c>
      <c r="H1694" s="5" t="inlineStr">
        <is>
          <t>4</t>
        </is>
      </c>
      <c r="I1694" s="5" t="inlineStr">
        <is>
          <t>Bengaluru</t>
        </is>
      </c>
      <c r="J1694" s="5" t="inlineStr">
        <is>
          <t>Full-Time</t>
        </is>
      </c>
      <c r="K1694" s="7" t="n">
        <v>44999</v>
      </c>
      <c r="L1694" s="7" t="inlineStr"/>
      <c r="M1694" s="5" t="inlineStr">
        <is>
          <t>Yes</t>
        </is>
      </c>
      <c r="N1694" s="5" t="inlineStr"/>
      <c r="O1694" s="8" t="inlineStr">
        <is>
          <t>116000</t>
        </is>
      </c>
      <c r="P1694" s="5" t="inlineStr">
        <is>
          <t>5</t>
        </is>
      </c>
      <c r="Q1694" s="5" t="inlineStr">
        <is>
          <t>3</t>
        </is>
      </c>
      <c r="R1694" s="5" t="inlineStr">
        <is>
          <t>6</t>
        </is>
      </c>
      <c r="S1694" s="5" t="inlineStr">
        <is>
          <t>34</t>
        </is>
      </c>
      <c r="T1694" s="5" t="inlineStr">
        <is>
          <t>2</t>
        </is>
      </c>
      <c r="U1694" s="5" t="inlineStr">
        <is>
          <t>OK</t>
        </is>
      </c>
    </row>
    <row r="1695">
      <c r="A1695" s="5" t="inlineStr">
        <is>
          <t>E00848</t>
        </is>
      </c>
      <c r="B1695" s="5" t="inlineStr">
        <is>
          <t>Female</t>
        </is>
      </c>
      <c r="C1695" s="6" t="inlineStr">
        <is>
          <t>34</t>
        </is>
      </c>
      <c r="D1695" s="5" t="inlineStr">
        <is>
          <t>Married</t>
        </is>
      </c>
      <c r="E1695" s="5" t="inlineStr">
        <is>
          <t>Bachelor</t>
        </is>
      </c>
      <c r="F1695" s="5" t="inlineStr">
        <is>
          <t>Finance</t>
        </is>
      </c>
      <c r="G1695" s="5" t="inlineStr">
        <is>
          <t>Accountant</t>
        </is>
      </c>
      <c r="H1695" s="5" t="inlineStr">
        <is>
          <t>1</t>
        </is>
      </c>
      <c r="I1695" s="5" t="inlineStr">
        <is>
          <t>Mumbai</t>
        </is>
      </c>
      <c r="J1695" s="5" t="inlineStr">
        <is>
          <t>Full-Time</t>
        </is>
      </c>
      <c r="K1695" s="7" t="n">
        <v>44336</v>
      </c>
      <c r="L1695" s="7" t="inlineStr"/>
      <c r="M1695" s="5" t="inlineStr">
        <is>
          <t>Yes</t>
        </is>
      </c>
      <c r="N1695" s="5" t="inlineStr"/>
      <c r="O1695" s="8" t="inlineStr">
        <is>
          <t>76500</t>
        </is>
      </c>
      <c r="P1695" s="5" t="inlineStr">
        <is>
          <t>0</t>
        </is>
      </c>
      <c r="Q1695" s="5" t="inlineStr">
        <is>
          <t>4</t>
        </is>
      </c>
      <c r="R1695" s="5" t="inlineStr">
        <is>
          <t>7</t>
        </is>
      </c>
      <c r="S1695" s="5" t="inlineStr">
        <is>
          <t>56</t>
        </is>
      </c>
      <c r="T1695" s="5" t="inlineStr">
        <is>
          <t>0</t>
        </is>
      </c>
      <c r="U1695" s="5" t="inlineStr">
        <is>
          <t>OK</t>
        </is>
      </c>
    </row>
    <row r="1696">
      <c r="A1696" s="5" t="inlineStr">
        <is>
          <t>E01120</t>
        </is>
      </c>
      <c r="B1696" s="5" t="inlineStr">
        <is>
          <t>Male</t>
        </is>
      </c>
      <c r="C1696" s="6" t="inlineStr">
        <is>
          <t>29</t>
        </is>
      </c>
      <c r="D1696" s="5" t="inlineStr">
        <is>
          <t>Married</t>
        </is>
      </c>
      <c r="E1696" s="5" t="inlineStr">
        <is>
          <t>PhD</t>
        </is>
      </c>
      <c r="F1696" s="5" t="inlineStr">
        <is>
          <t>Customer Support</t>
        </is>
      </c>
      <c r="G1696" s="5" t="inlineStr">
        <is>
          <t>Escalation Specialist</t>
        </is>
      </c>
      <c r="H1696" s="5" t="inlineStr">
        <is>
          <t>2</t>
        </is>
      </c>
      <c r="I1696" s="5" t="inlineStr">
        <is>
          <t>Chennai</t>
        </is>
      </c>
      <c r="J1696" s="5" t="inlineStr">
        <is>
          <t>Full-Time</t>
        </is>
      </c>
      <c r="K1696" s="7" t="n">
        <v>45779</v>
      </c>
      <c r="L1696" s="7" t="inlineStr"/>
      <c r="M1696" s="5" t="inlineStr">
        <is>
          <t>Yes</t>
        </is>
      </c>
      <c r="N1696" s="5" t="inlineStr"/>
      <c r="O1696" s="8" t="inlineStr">
        <is>
          <t>49500</t>
        </is>
      </c>
      <c r="P1696" s="5" t="inlineStr">
        <is>
          <t>5</t>
        </is>
      </c>
      <c r="Q1696" s="5" t="inlineStr">
        <is>
          <t>4</t>
        </is>
      </c>
      <c r="R1696" s="5" t="inlineStr">
        <is>
          <t>6</t>
        </is>
      </c>
      <c r="S1696" s="5" t="inlineStr">
        <is>
          <t>8</t>
        </is>
      </c>
      <c r="T1696" s="5" t="inlineStr">
        <is>
          <t>4</t>
        </is>
      </c>
      <c r="U1696" s="5" t="inlineStr">
        <is>
          <t>OK</t>
        </is>
      </c>
    </row>
    <row r="1697">
      <c r="A1697" s="5" t="inlineStr">
        <is>
          <t>E00915</t>
        </is>
      </c>
      <c r="B1697" s="5" t="inlineStr">
        <is>
          <t>Female</t>
        </is>
      </c>
      <c r="C1697" s="6" t="inlineStr">
        <is>
          <t>32</t>
        </is>
      </c>
      <c r="D1697" s="5" t="inlineStr">
        <is>
          <t>Married</t>
        </is>
      </c>
      <c r="E1697" s="5" t="inlineStr">
        <is>
          <t>PhD</t>
        </is>
      </c>
      <c r="F1697" s="5" t="inlineStr">
        <is>
          <t>Operations</t>
        </is>
      </c>
      <c r="G1697" s="5" t="inlineStr">
        <is>
          <t>Operations Analyst</t>
        </is>
      </c>
      <c r="H1697" s="5" t="inlineStr">
        <is>
          <t>1</t>
        </is>
      </c>
      <c r="I1697" s="5" t="inlineStr">
        <is>
          <t>Hyderabad</t>
        </is>
      </c>
      <c r="J1697" s="5" t="inlineStr">
        <is>
          <t>Full-Time</t>
        </is>
      </c>
      <c r="K1697" s="7" t="n">
        <v>44431</v>
      </c>
      <c r="L1697" s="7" t="n">
        <v>44473</v>
      </c>
      <c r="M1697" s="5" t="inlineStr">
        <is>
          <t>No</t>
        </is>
      </c>
      <c r="N1697" s="5" t="inlineStr">
        <is>
          <t>Resigned</t>
        </is>
      </c>
      <c r="O1697" s="8" t="inlineStr">
        <is>
          <t>63000</t>
        </is>
      </c>
      <c r="P1697" s="5" t="inlineStr">
        <is>
          <t>15</t>
        </is>
      </c>
      <c r="Q1697" s="5" t="inlineStr">
        <is>
          <t>3</t>
        </is>
      </c>
      <c r="R1697" s="5" t="inlineStr">
        <is>
          <t>9</t>
        </is>
      </c>
      <c r="S1697" s="5" t="inlineStr">
        <is>
          <t>1</t>
        </is>
      </c>
      <c r="T1697" s="5" t="inlineStr">
        <is>
          <t>7</t>
        </is>
      </c>
      <c r="U1697" s="5" t="inlineStr">
        <is>
          <t>OK</t>
        </is>
      </c>
    </row>
    <row r="1698">
      <c r="A1698" s="5" t="inlineStr">
        <is>
          <t>E00352</t>
        </is>
      </c>
      <c r="B1698" s="5" t="inlineStr">
        <is>
          <t>Male</t>
        </is>
      </c>
      <c r="C1698" s="6" t="inlineStr">
        <is>
          <t>31</t>
        </is>
      </c>
      <c r="D1698" s="5" t="inlineStr">
        <is>
          <t>Single</t>
        </is>
      </c>
      <c r="E1698" s="5" t="inlineStr">
        <is>
          <t>Bachelor</t>
        </is>
      </c>
      <c r="F1698" s="5" t="inlineStr">
        <is>
          <t>Human Resources</t>
        </is>
      </c>
      <c r="G1698" s="5" t="inlineStr">
        <is>
          <t>HR Generalist</t>
        </is>
      </c>
      <c r="H1698" s="5" t="inlineStr">
        <is>
          <t>1</t>
        </is>
      </c>
      <c r="I1698" s="5" t="inlineStr">
        <is>
          <t>Mumbai</t>
        </is>
      </c>
      <c r="J1698" s="5" t="inlineStr">
        <is>
          <t>Part-Time</t>
        </is>
      </c>
      <c r="K1698" s="7" t="n">
        <v>45572</v>
      </c>
      <c r="L1698" s="7" t="n">
        <v>45671</v>
      </c>
      <c r="M1698" s="5" t="inlineStr">
        <is>
          <t>No</t>
        </is>
      </c>
      <c r="N1698" s="5" t="inlineStr">
        <is>
          <t>Retirement</t>
        </is>
      </c>
      <c r="O1698" s="8" t="inlineStr">
        <is>
          <t>90000</t>
        </is>
      </c>
      <c r="P1698" s="5" t="inlineStr">
        <is>
          <t>5</t>
        </is>
      </c>
      <c r="Q1698" s="5" t="inlineStr">
        <is>
          <t>5</t>
        </is>
      </c>
      <c r="R1698" s="5" t="inlineStr">
        <is>
          <t>5</t>
        </is>
      </c>
      <c r="S1698" s="5" t="inlineStr">
        <is>
          <t>3</t>
        </is>
      </c>
      <c r="T1698" s="5" t="inlineStr">
        <is>
          <t>6</t>
        </is>
      </c>
      <c r="U1698" s="5" t="inlineStr">
        <is>
          <t>OK</t>
        </is>
      </c>
    </row>
    <row r="1699">
      <c r="A1699" s="5" t="inlineStr">
        <is>
          <t>E00063</t>
        </is>
      </c>
      <c r="B1699" s="5" t="inlineStr">
        <is>
          <t>Male</t>
        </is>
      </c>
      <c r="C1699" s="6" t="inlineStr">
        <is>
          <t>33</t>
        </is>
      </c>
      <c r="D1699" s="5" t="inlineStr">
        <is>
          <t>Single</t>
        </is>
      </c>
      <c r="E1699" s="5" t="inlineStr">
        <is>
          <t>PhD</t>
        </is>
      </c>
      <c r="F1699" s="5" t="inlineStr">
        <is>
          <t>Sales</t>
        </is>
      </c>
      <c r="G1699" s="5" t="inlineStr">
        <is>
          <t>Business Development</t>
        </is>
      </c>
      <c r="H1699" s="5" t="inlineStr">
        <is>
          <t>1</t>
        </is>
      </c>
      <c r="I1699" s="5" t="inlineStr">
        <is>
          <t>Bengaluru</t>
        </is>
      </c>
      <c r="J1699" s="5" t="inlineStr">
        <is>
          <t>Full-Time</t>
        </is>
      </c>
      <c r="K1699" s="7" t="n">
        <v>44549</v>
      </c>
      <c r="L1699" s="7" t="inlineStr"/>
      <c r="M1699" s="5" t="inlineStr">
        <is>
          <t>Yes</t>
        </is>
      </c>
      <c r="N1699" s="5" t="inlineStr"/>
      <c r="O1699" s="8" t="inlineStr">
        <is>
          <t>90500</t>
        </is>
      </c>
      <c r="P1699" s="5" t="inlineStr">
        <is>
          <t>0</t>
        </is>
      </c>
      <c r="Q1699" s="5" t="inlineStr">
        <is>
          <t>4</t>
        </is>
      </c>
      <c r="R1699" s="5" t="inlineStr">
        <is>
          <t>8</t>
        </is>
      </c>
      <c r="S1699" s="5" t="inlineStr">
        <is>
          <t>49</t>
        </is>
      </c>
      <c r="T1699" s="5" t="inlineStr">
        <is>
          <t>3</t>
        </is>
      </c>
      <c r="U1699" s="5" t="inlineStr">
        <is>
          <t>OK</t>
        </is>
      </c>
    </row>
    <row r="1700">
      <c r="A1700" s="5" t="inlineStr">
        <is>
          <t>E01126</t>
        </is>
      </c>
      <c r="B1700" s="5" t="inlineStr">
        <is>
          <t>Unknown</t>
        </is>
      </c>
      <c r="C1700" s="6" t="inlineStr">
        <is>
          <t>26</t>
        </is>
      </c>
      <c r="D1700" s="5" t="inlineStr">
        <is>
          <t>Single</t>
        </is>
      </c>
      <c r="E1700" s="5" t="inlineStr">
        <is>
          <t>Diploma</t>
        </is>
      </c>
      <c r="F1700" s="5" t="inlineStr">
        <is>
          <t>IT</t>
        </is>
      </c>
      <c r="G1700" s="5" t="inlineStr">
        <is>
          <t>IT Support</t>
        </is>
      </c>
      <c r="H1700" s="5" t="inlineStr">
        <is>
          <t>1</t>
        </is>
      </c>
      <c r="I1700" s="5" t="inlineStr">
        <is>
          <t>Chennai</t>
        </is>
      </c>
      <c r="J1700" s="5" t="inlineStr">
        <is>
          <t>Full-Time</t>
        </is>
      </c>
      <c r="K1700" s="7" t="n">
        <v>44999</v>
      </c>
      <c r="L1700" s="7" t="inlineStr"/>
      <c r="M1700" s="5" t="inlineStr">
        <is>
          <t>Yes</t>
        </is>
      </c>
      <c r="N1700" s="5" t="inlineStr"/>
      <c r="O1700" s="8" t="inlineStr">
        <is>
          <t>111500</t>
        </is>
      </c>
      <c r="P1700" s="5" t="inlineStr">
        <is>
          <t>10</t>
        </is>
      </c>
      <c r="Q1700" s="5" t="inlineStr">
        <is>
          <t>5</t>
        </is>
      </c>
      <c r="R1700" s="5" t="inlineStr">
        <is>
          <t>5</t>
        </is>
      </c>
      <c r="S1700" s="5" t="inlineStr">
        <is>
          <t>34</t>
        </is>
      </c>
      <c r="T1700" s="5" t="inlineStr">
        <is>
          <t>0</t>
        </is>
      </c>
      <c r="U1700" s="5" t="inlineStr">
        <is>
          <t>Bad gender</t>
        </is>
      </c>
    </row>
    <row r="1701">
      <c r="A1701" s="5" t="inlineStr">
        <is>
          <t>E01761</t>
        </is>
      </c>
      <c r="B1701" s="5" t="inlineStr">
        <is>
          <t>Male</t>
        </is>
      </c>
      <c r="C1701" s="6" t="inlineStr">
        <is>
          <t>36</t>
        </is>
      </c>
      <c r="D1701" s="5" t="inlineStr">
        <is>
          <t>Married</t>
        </is>
      </c>
      <c r="E1701" s="5" t="inlineStr">
        <is>
          <t>PhD</t>
        </is>
      </c>
      <c r="F1701" s="5" t="inlineStr">
        <is>
          <t>IT</t>
        </is>
      </c>
      <c r="G1701" s="5" t="inlineStr">
        <is>
          <t>IT Support</t>
        </is>
      </c>
      <c r="H1701" s="5" t="inlineStr">
        <is>
          <t>3</t>
        </is>
      </c>
      <c r="I1701" s="5" t="inlineStr">
        <is>
          <t>Mumbai</t>
        </is>
      </c>
      <c r="J1701" s="5" t="inlineStr">
        <is>
          <t>Full-Time</t>
        </is>
      </c>
      <c r="K1701" s="7" t="n">
        <v>44423</v>
      </c>
      <c r="L1701" s="7" t="inlineStr"/>
      <c r="M1701" s="5" t="inlineStr">
        <is>
          <t>Yes</t>
        </is>
      </c>
      <c r="N1701" s="5" t="inlineStr"/>
      <c r="O1701" s="8" t="inlineStr">
        <is>
          <t>173000</t>
        </is>
      </c>
      <c r="P1701" s="5" t="inlineStr">
        <is>
          <t>20</t>
        </is>
      </c>
      <c r="Q1701" s="5" t="inlineStr">
        <is>
          <t>2</t>
        </is>
      </c>
      <c r="R1701" s="5" t="inlineStr">
        <is>
          <t>4</t>
        </is>
      </c>
      <c r="S1701" s="5" t="inlineStr">
        <is>
          <t>53</t>
        </is>
      </c>
      <c r="T1701" s="5" t="inlineStr">
        <is>
          <t>10</t>
        </is>
      </c>
      <c r="U1701" s="5" t="inlineStr">
        <is>
          <t>OK</t>
        </is>
      </c>
    </row>
    <row r="1702">
      <c r="A1702" s="5" t="inlineStr">
        <is>
          <t>E02969</t>
        </is>
      </c>
      <c r="B1702" s="5" t="inlineStr">
        <is>
          <t>Male</t>
        </is>
      </c>
      <c r="C1702" s="6" t="inlineStr">
        <is>
          <t>30</t>
        </is>
      </c>
      <c r="D1702" s="5" t="inlineStr">
        <is>
          <t>Married</t>
        </is>
      </c>
      <c r="E1702" s="5" t="inlineStr">
        <is>
          <t>High School</t>
        </is>
      </c>
      <c r="F1702" s="5" t="inlineStr">
        <is>
          <t>Sales</t>
        </is>
      </c>
      <c r="G1702" s="5" t="inlineStr">
        <is>
          <t>Account Executive</t>
        </is>
      </c>
      <c r="H1702" s="5" t="inlineStr">
        <is>
          <t>1</t>
        </is>
      </c>
      <c r="I1702" s="5" t="inlineStr">
        <is>
          <t>Bengaluru</t>
        </is>
      </c>
      <c r="J1702" s="5" t="inlineStr">
        <is>
          <t>Full-Time</t>
        </is>
      </c>
      <c r="K1702" s="7" t="n">
        <v>44558</v>
      </c>
      <c r="L1702" s="7" t="inlineStr"/>
      <c r="M1702" s="5" t="inlineStr">
        <is>
          <t>Yes</t>
        </is>
      </c>
      <c r="N1702" s="5" t="inlineStr"/>
      <c r="O1702" s="8" t="inlineStr">
        <is>
          <t>106000</t>
        </is>
      </c>
      <c r="P1702" s="5" t="inlineStr">
        <is>
          <t>15</t>
        </is>
      </c>
      <c r="Q1702" s="5" t="inlineStr">
        <is>
          <t>2</t>
        </is>
      </c>
      <c r="R1702" s="5" t="inlineStr">
        <is>
          <t>4</t>
        </is>
      </c>
      <c r="S1702" s="5" t="inlineStr">
        <is>
          <t>48</t>
        </is>
      </c>
      <c r="T1702" s="5" t="inlineStr">
        <is>
          <t>3</t>
        </is>
      </c>
      <c r="U1702" s="5" t="inlineStr">
        <is>
          <t>OK</t>
        </is>
      </c>
    </row>
    <row r="1703">
      <c r="A1703" s="5" t="inlineStr">
        <is>
          <t>E02605</t>
        </is>
      </c>
      <c r="B1703" s="5" t="inlineStr">
        <is>
          <t>female</t>
        </is>
      </c>
      <c r="C1703" s="6" t="inlineStr">
        <is>
          <t>37</t>
        </is>
      </c>
      <c r="D1703" s="5" t="inlineStr">
        <is>
          <t>Single</t>
        </is>
      </c>
      <c r="E1703" s="5" t="inlineStr">
        <is>
          <t>High School</t>
        </is>
      </c>
      <c r="F1703" s="5" t="inlineStr">
        <is>
          <t>Sales</t>
        </is>
      </c>
      <c r="G1703" s="5" t="inlineStr">
        <is>
          <t>Sales Executive</t>
        </is>
      </c>
      <c r="H1703" s="5" t="inlineStr">
        <is>
          <t>7</t>
        </is>
      </c>
      <c r="I1703" s="5" t="inlineStr">
        <is>
          <t>Mumbai</t>
        </is>
      </c>
      <c r="J1703" s="5" t="inlineStr">
        <is>
          <t>Full-Time</t>
        </is>
      </c>
      <c r="K1703" s="7" t="n">
        <v>44691</v>
      </c>
      <c r="L1703" s="7" t="inlineStr"/>
      <c r="M1703" s="5" t="inlineStr">
        <is>
          <t>Yes</t>
        </is>
      </c>
      <c r="N1703" s="5" t="inlineStr"/>
      <c r="O1703" s="8" t="inlineStr">
        <is>
          <t>141500</t>
        </is>
      </c>
      <c r="P1703" s="5" t="inlineStr">
        <is>
          <t>15</t>
        </is>
      </c>
      <c r="Q1703" s="5" t="inlineStr">
        <is>
          <t>4</t>
        </is>
      </c>
      <c r="R1703" s="5" t="inlineStr">
        <is>
          <t>7</t>
        </is>
      </c>
      <c r="S1703" s="5" t="inlineStr">
        <is>
          <t>44</t>
        </is>
      </c>
      <c r="T1703" s="5" t="inlineStr">
        <is>
          <t>1</t>
        </is>
      </c>
      <c r="U1703" s="5" t="inlineStr">
        <is>
          <t>OK</t>
        </is>
      </c>
    </row>
    <row r="1704">
      <c r="A1704" s="5" t="inlineStr">
        <is>
          <t>E02794</t>
        </is>
      </c>
      <c r="B1704" s="5" t="inlineStr">
        <is>
          <t>Female</t>
        </is>
      </c>
      <c r="C1704" s="6" t="inlineStr">
        <is>
          <t>38</t>
        </is>
      </c>
      <c r="D1704" s="5" t="inlineStr">
        <is>
          <t>Married</t>
        </is>
      </c>
      <c r="E1704" s="5" t="inlineStr">
        <is>
          <t>Bachelor</t>
        </is>
      </c>
      <c r="F1704" s="5" t="inlineStr">
        <is>
          <t>Marketing</t>
        </is>
      </c>
      <c r="G1704" s="5" t="inlineStr">
        <is>
          <t>Marketing Analyst</t>
        </is>
      </c>
      <c r="H1704" s="5" t="inlineStr">
        <is>
          <t>4</t>
        </is>
      </c>
      <c r="I1704" s="5" t="inlineStr">
        <is>
          <t>Remote</t>
        </is>
      </c>
      <c r="J1704" s="5" t="inlineStr">
        <is>
          <t>Full-Time</t>
        </is>
      </c>
      <c r="K1704" s="7" t="n">
        <v>45519</v>
      </c>
      <c r="L1704" s="7" t="inlineStr"/>
      <c r="M1704" s="5" t="inlineStr">
        <is>
          <t>Yes</t>
        </is>
      </c>
      <c r="N1704" s="5" t="inlineStr"/>
      <c r="O1704" s="8" t="inlineStr">
        <is>
          <t>126500</t>
        </is>
      </c>
      <c r="P1704" s="5" t="inlineStr">
        <is>
          <t>20</t>
        </is>
      </c>
      <c r="Q1704" s="5" t="inlineStr">
        <is>
          <t>3</t>
        </is>
      </c>
      <c r="R1704" s="5" t="inlineStr">
        <is>
          <t>7</t>
        </is>
      </c>
      <c r="S1704" s="5" t="inlineStr">
        <is>
          <t>16</t>
        </is>
      </c>
      <c r="T1704" s="5" t="inlineStr">
        <is>
          <t>14</t>
        </is>
      </c>
      <c r="U1704" s="5" t="inlineStr">
        <is>
          <t>OK</t>
        </is>
      </c>
    </row>
    <row r="1705">
      <c r="A1705" s="5" t="inlineStr">
        <is>
          <t>E02505</t>
        </is>
      </c>
      <c r="B1705" s="5" t="inlineStr">
        <is>
          <t>Female</t>
        </is>
      </c>
      <c r="C1705" s="6" t="inlineStr">
        <is>
          <t>36</t>
        </is>
      </c>
      <c r="D1705" s="5" t="inlineStr">
        <is>
          <t>Married</t>
        </is>
      </c>
      <c r="E1705" s="5" t="inlineStr">
        <is>
          <t>Diploma</t>
        </is>
      </c>
      <c r="F1705" s="5" t="inlineStr">
        <is>
          <t>Sales</t>
        </is>
      </c>
      <c r="G1705" s="5" t="inlineStr">
        <is>
          <t>Account Executive</t>
        </is>
      </c>
      <c r="H1705" s="5" t="inlineStr">
        <is>
          <t>2</t>
        </is>
      </c>
      <c r="I1705" s="5" t="inlineStr">
        <is>
          <t>Hyderabad</t>
        </is>
      </c>
      <c r="J1705" s="5" t="inlineStr">
        <is>
          <t>Full-Time</t>
        </is>
      </c>
      <c r="K1705" s="7" t="n">
        <v>45051</v>
      </c>
      <c r="L1705" s="7" t="inlineStr"/>
      <c r="M1705" s="5" t="inlineStr">
        <is>
          <t>Yes</t>
        </is>
      </c>
      <c r="N1705" s="5" t="inlineStr"/>
      <c r="O1705" s="8" t="inlineStr">
        <is>
          <t>110000</t>
        </is>
      </c>
      <c r="P1705" s="5" t="inlineStr">
        <is>
          <t>10</t>
        </is>
      </c>
      <c r="Q1705" s="5" t="inlineStr">
        <is>
          <t>3</t>
        </is>
      </c>
      <c r="R1705" s="5" t="inlineStr">
        <is>
          <t>6</t>
        </is>
      </c>
      <c r="S1705" s="5" t="inlineStr">
        <is>
          <t>32</t>
        </is>
      </c>
      <c r="T1705" s="5" t="inlineStr">
        <is>
          <t>4</t>
        </is>
      </c>
      <c r="U1705" s="5" t="inlineStr">
        <is>
          <t>OK</t>
        </is>
      </c>
    </row>
    <row r="1706">
      <c r="A1706" s="5" t="inlineStr">
        <is>
          <t>E01537</t>
        </is>
      </c>
      <c r="B1706" s="5" t="inlineStr">
        <is>
          <t>female</t>
        </is>
      </c>
      <c r="C1706" s="6" t="inlineStr">
        <is>
          <t>35</t>
        </is>
      </c>
      <c r="D1706" s="5" t="inlineStr">
        <is>
          <t>Single</t>
        </is>
      </c>
      <c r="E1706" s="5" t="inlineStr">
        <is>
          <t>Diploma</t>
        </is>
      </c>
      <c r="F1706" s="5" t="inlineStr">
        <is>
          <t>Human Resources</t>
        </is>
      </c>
      <c r="G1706" s="5" t="inlineStr">
        <is>
          <t>HR Analyst</t>
        </is>
      </c>
      <c r="H1706" s="5" t="inlineStr">
        <is>
          <t>6</t>
        </is>
      </c>
      <c r="I1706" s="5" t="inlineStr">
        <is>
          <t>Delhi</t>
        </is>
      </c>
      <c r="J1706" s="5" t="inlineStr">
        <is>
          <t>Full-Time</t>
        </is>
      </c>
      <c r="K1706" s="7" t="n">
        <v>44904</v>
      </c>
      <c r="L1706" s="7" t="inlineStr"/>
      <c r="M1706" s="5" t="inlineStr">
        <is>
          <t>Yes</t>
        </is>
      </c>
      <c r="N1706" s="5" t="inlineStr"/>
      <c r="O1706" s="8" t="inlineStr">
        <is>
          <t>122000</t>
        </is>
      </c>
      <c r="P1706" s="5" t="inlineStr">
        <is>
          <t>15</t>
        </is>
      </c>
      <c r="Q1706" s="5" t="inlineStr">
        <is>
          <t>2</t>
        </is>
      </c>
      <c r="R1706" s="5" t="inlineStr">
        <is>
          <t>10</t>
        </is>
      </c>
      <c r="S1706" s="5" t="inlineStr">
        <is>
          <t>37</t>
        </is>
      </c>
      <c r="T1706" s="5" t="inlineStr">
        <is>
          <t>8</t>
        </is>
      </c>
      <c r="U1706" s="5" t="inlineStr">
        <is>
          <t>OK</t>
        </is>
      </c>
    </row>
    <row r="1707">
      <c r="A1707" s="5" t="inlineStr">
        <is>
          <t>E02600</t>
        </is>
      </c>
      <c r="B1707" s="5" t="inlineStr">
        <is>
          <t>Female</t>
        </is>
      </c>
      <c r="C1707" s="6" t="inlineStr">
        <is>
          <t>35</t>
        </is>
      </c>
      <c r="D1707" s="5" t="inlineStr">
        <is>
          <t>Married</t>
        </is>
      </c>
      <c r="E1707" s="5" t="inlineStr">
        <is>
          <t>High School</t>
        </is>
      </c>
      <c r="F1707" s="5" t="inlineStr">
        <is>
          <t>Marketing</t>
        </is>
      </c>
      <c r="G1707" s="5" t="inlineStr">
        <is>
          <t>SEO Specialist</t>
        </is>
      </c>
      <c r="H1707" s="5" t="inlineStr">
        <is>
          <t>6</t>
        </is>
      </c>
      <c r="I1707" s="5" t="inlineStr">
        <is>
          <t>Hyderabad</t>
        </is>
      </c>
      <c r="J1707" s="5" t="inlineStr">
        <is>
          <t>Part-Time</t>
        </is>
      </c>
      <c r="K1707" s="7" t="n">
        <v>44745</v>
      </c>
      <c r="L1707" s="7" t="inlineStr"/>
      <c r="M1707" s="5" t="inlineStr">
        <is>
          <t>Yes</t>
        </is>
      </c>
      <c r="N1707" s="5" t="inlineStr"/>
      <c r="O1707" s="8" t="inlineStr">
        <is>
          <t>141500</t>
        </is>
      </c>
      <c r="P1707" s="5" t="inlineStr">
        <is>
          <t>0</t>
        </is>
      </c>
      <c r="Q1707" s="5" t="inlineStr">
        <is>
          <t>3</t>
        </is>
      </c>
      <c r="R1707" s="5" t="inlineStr">
        <is>
          <t>6</t>
        </is>
      </c>
      <c r="S1707" s="5" t="inlineStr">
        <is>
          <t>42</t>
        </is>
      </c>
      <c r="T1707" s="5" t="inlineStr">
        <is>
          <t>3</t>
        </is>
      </c>
      <c r="U1707" s="5" t="inlineStr">
        <is>
          <t>OK</t>
        </is>
      </c>
    </row>
    <row r="1708">
      <c r="A1708" s="5" t="inlineStr">
        <is>
          <t>E02722</t>
        </is>
      </c>
      <c r="B1708" s="5" t="inlineStr">
        <is>
          <t>Male</t>
        </is>
      </c>
      <c r="C1708" s="6" t="inlineStr">
        <is>
          <t>31</t>
        </is>
      </c>
      <c r="D1708" s="5" t="inlineStr">
        <is>
          <t>Married</t>
        </is>
      </c>
      <c r="E1708" s="5" t="inlineStr">
        <is>
          <t>PhD</t>
        </is>
      </c>
      <c r="F1708" s="5" t="inlineStr">
        <is>
          <t>Operations</t>
        </is>
      </c>
      <c r="G1708" s="5" t="inlineStr">
        <is>
          <t>Operations Analyst</t>
        </is>
      </c>
      <c r="H1708" s="5" t="inlineStr">
        <is>
          <t>1</t>
        </is>
      </c>
      <c r="I1708" s="5" t="inlineStr">
        <is>
          <t>Hyderabad</t>
        </is>
      </c>
      <c r="J1708" s="5" t="inlineStr">
        <is>
          <t>Full-Time</t>
        </is>
      </c>
      <c r="K1708" s="7" t="n">
        <v>43886</v>
      </c>
      <c r="L1708" s="7" t="n">
        <v>43957</v>
      </c>
      <c r="M1708" s="5" t="inlineStr">
        <is>
          <t>No</t>
        </is>
      </c>
      <c r="N1708" s="5" t="inlineStr">
        <is>
          <t>Performance / Termination</t>
        </is>
      </c>
      <c r="O1708" s="8" t="inlineStr">
        <is>
          <t>96000</t>
        </is>
      </c>
      <c r="P1708" s="5" t="inlineStr">
        <is>
          <t>5</t>
        </is>
      </c>
      <c r="Q1708" s="5" t="inlineStr">
        <is>
          <t>4</t>
        </is>
      </c>
      <c r="R1708" s="5" t="inlineStr">
        <is>
          <t>10</t>
        </is>
      </c>
      <c r="S1708" s="5" t="inlineStr">
        <is>
          <t>2</t>
        </is>
      </c>
      <c r="T1708" s="5" t="inlineStr">
        <is>
          <t>0</t>
        </is>
      </c>
      <c r="U1708" s="5" t="inlineStr">
        <is>
          <t>OK</t>
        </is>
      </c>
    </row>
    <row r="1709">
      <c r="A1709" s="5" t="inlineStr">
        <is>
          <t>E01952</t>
        </is>
      </c>
      <c r="B1709" s="5" t="inlineStr">
        <is>
          <t>Male</t>
        </is>
      </c>
      <c r="C1709" s="6" t="inlineStr">
        <is>
          <t>44</t>
        </is>
      </c>
      <c r="D1709" s="5" t="inlineStr">
        <is>
          <t>Married</t>
        </is>
      </c>
      <c r="E1709" s="5" t="inlineStr">
        <is>
          <t>High School</t>
        </is>
      </c>
      <c r="F1709" s="5" t="inlineStr">
        <is>
          <t>Finance</t>
        </is>
      </c>
      <c r="G1709" s="5" t="inlineStr">
        <is>
          <t>Financial Analyst</t>
        </is>
      </c>
      <c r="H1709" s="5" t="inlineStr">
        <is>
          <t>6</t>
        </is>
      </c>
      <c r="I1709" s="5" t="inlineStr">
        <is>
          <t>Bengaluru</t>
        </is>
      </c>
      <c r="J1709" s="5" t="inlineStr">
        <is>
          <t>Full-Time</t>
        </is>
      </c>
      <c r="K1709" s="7" t="n">
        <v>45005</v>
      </c>
      <c r="L1709" s="7" t="inlineStr"/>
      <c r="M1709" s="5" t="inlineStr">
        <is>
          <t>Yes</t>
        </is>
      </c>
      <c r="N1709" s="5" t="inlineStr"/>
      <c r="O1709" s="8" t="inlineStr">
        <is>
          <t>145000</t>
        </is>
      </c>
      <c r="P1709" s="5" t="inlineStr">
        <is>
          <t>10</t>
        </is>
      </c>
      <c r="Q1709" s="5" t="inlineStr">
        <is>
          <t>5</t>
        </is>
      </c>
      <c r="R1709" s="5" t="inlineStr">
        <is>
          <t>4</t>
        </is>
      </c>
      <c r="S1709" s="5" t="inlineStr">
        <is>
          <t>33</t>
        </is>
      </c>
      <c r="T1709" s="5" t="inlineStr">
        <is>
          <t>14</t>
        </is>
      </c>
      <c r="U1709" s="5" t="inlineStr">
        <is>
          <t>OK</t>
        </is>
      </c>
    </row>
    <row r="1710">
      <c r="A1710" s="5" t="inlineStr">
        <is>
          <t>E01601</t>
        </is>
      </c>
      <c r="B1710" s="5" t="inlineStr">
        <is>
          <t>Male</t>
        </is>
      </c>
      <c r="C1710" s="6" t="inlineStr">
        <is>
          <t>25</t>
        </is>
      </c>
      <c r="D1710" s="5" t="inlineStr">
        <is>
          <t>Married</t>
        </is>
      </c>
      <c r="E1710" s="5" t="inlineStr">
        <is>
          <t>Master</t>
        </is>
      </c>
      <c r="F1710" s="5" t="inlineStr">
        <is>
          <t>Marketing</t>
        </is>
      </c>
      <c r="G1710" s="5" t="inlineStr">
        <is>
          <t>Marketing Analyst</t>
        </is>
      </c>
      <c r="H1710" s="5" t="inlineStr">
        <is>
          <t>2</t>
        </is>
      </c>
      <c r="I1710" s="5" t="inlineStr">
        <is>
          <t>Mumbai</t>
        </is>
      </c>
      <c r="J1710" s="5" t="inlineStr">
        <is>
          <t>Full-Time</t>
        </is>
      </c>
      <c r="K1710" s="7" t="n">
        <v>45011</v>
      </c>
      <c r="L1710" s="7" t="inlineStr"/>
      <c r="M1710" s="5" t="inlineStr">
        <is>
          <t>Yes</t>
        </is>
      </c>
      <c r="N1710" s="5" t="inlineStr"/>
      <c r="O1710" s="8" t="inlineStr">
        <is>
          <t>63000</t>
        </is>
      </c>
      <c r="P1710" s="5" t="inlineStr">
        <is>
          <t>0</t>
        </is>
      </c>
      <c r="Q1710" s="5" t="inlineStr">
        <is>
          <t>4</t>
        </is>
      </c>
      <c r="R1710" s="5" t="inlineStr">
        <is>
          <t>2</t>
        </is>
      </c>
      <c r="S1710" s="5" t="inlineStr">
        <is>
          <t>33</t>
        </is>
      </c>
      <c r="T1710" s="5" t="inlineStr">
        <is>
          <t>10</t>
        </is>
      </c>
      <c r="U1710" s="5" t="inlineStr">
        <is>
          <t>OK</t>
        </is>
      </c>
    </row>
    <row r="1711">
      <c r="A1711" s="5" t="inlineStr">
        <is>
          <t>E02975</t>
        </is>
      </c>
      <c r="B1711" s="5" t="inlineStr">
        <is>
          <t>Female</t>
        </is>
      </c>
      <c r="C1711" s="6" t="inlineStr">
        <is>
          <t>29</t>
        </is>
      </c>
      <c r="D1711" s="5" t="inlineStr">
        <is>
          <t>Married</t>
        </is>
      </c>
      <c r="E1711" s="5" t="inlineStr">
        <is>
          <t>Bachelor</t>
        </is>
      </c>
      <c r="F1711" s="5" t="inlineStr">
        <is>
          <t>Operations</t>
        </is>
      </c>
      <c r="G1711" s="5" t="inlineStr">
        <is>
          <t>Logistics Coordinator</t>
        </is>
      </c>
      <c r="H1711" s="5" t="inlineStr">
        <is>
          <t>1</t>
        </is>
      </c>
      <c r="I1711" s="5" t="inlineStr">
        <is>
          <t>Bengaluru</t>
        </is>
      </c>
      <c r="J1711" s="5" t="inlineStr">
        <is>
          <t>Full-Time</t>
        </is>
      </c>
      <c r="K1711" s="7" t="n">
        <v>44509</v>
      </c>
      <c r="L1711" s="7" t="n">
        <v>44593</v>
      </c>
      <c r="M1711" s="5" t="inlineStr">
        <is>
          <t>No</t>
        </is>
      </c>
      <c r="N1711" s="5" t="inlineStr">
        <is>
          <t>Resigned</t>
        </is>
      </c>
      <c r="O1711" s="8" t="inlineStr">
        <is>
          <t>61000</t>
        </is>
      </c>
      <c r="P1711" s="5" t="inlineStr">
        <is>
          <t>5</t>
        </is>
      </c>
      <c r="Q1711" s="5" t="inlineStr">
        <is>
          <t>4</t>
        </is>
      </c>
      <c r="R1711" s="5" t="inlineStr">
        <is>
          <t>2</t>
        </is>
      </c>
      <c r="S1711" s="5" t="inlineStr">
        <is>
          <t>2</t>
        </is>
      </c>
      <c r="T1711" s="5" t="inlineStr">
        <is>
          <t>17</t>
        </is>
      </c>
      <c r="U1711" s="5" t="inlineStr">
        <is>
          <t>OK</t>
        </is>
      </c>
    </row>
    <row r="1712">
      <c r="A1712" s="5" t="inlineStr">
        <is>
          <t>E01226</t>
        </is>
      </c>
      <c r="B1712" s="5" t="inlineStr">
        <is>
          <t>Female</t>
        </is>
      </c>
      <c r="C1712" s="6" t="inlineStr">
        <is>
          <t>31</t>
        </is>
      </c>
      <c r="D1712" s="5" t="inlineStr">
        <is>
          <t>Married</t>
        </is>
      </c>
      <c r="E1712" s="5" t="inlineStr">
        <is>
          <t>Master</t>
        </is>
      </c>
      <c r="F1712" s="5" t="inlineStr">
        <is>
          <t>Operations</t>
        </is>
      </c>
      <c r="G1712" s="5" t="inlineStr">
        <is>
          <t>Logistics Coordinator</t>
        </is>
      </c>
      <c r="H1712" s="5" t="inlineStr">
        <is>
          <t>5</t>
        </is>
      </c>
      <c r="I1712" s="5" t="inlineStr">
        <is>
          <t>Chennai</t>
        </is>
      </c>
      <c r="J1712" s="5" t="inlineStr">
        <is>
          <t>Full-Time</t>
        </is>
      </c>
      <c r="K1712" s="7" t="n">
        <v>45253</v>
      </c>
      <c r="L1712" s="7" t="inlineStr"/>
      <c r="M1712" s="5" t="inlineStr">
        <is>
          <t>Yes</t>
        </is>
      </c>
      <c r="N1712" s="5" t="inlineStr"/>
      <c r="O1712" s="8" t="inlineStr">
        <is>
          <t>156000</t>
        </is>
      </c>
      <c r="P1712" s="5" t="inlineStr">
        <is>
          <t>5</t>
        </is>
      </c>
      <c r="Q1712" s="5" t="inlineStr">
        <is>
          <t>4</t>
        </is>
      </c>
      <c r="R1712" s="5" t="inlineStr">
        <is>
          <t>4</t>
        </is>
      </c>
      <c r="S1712" s="5" t="inlineStr">
        <is>
          <t>25</t>
        </is>
      </c>
      <c r="T1712" s="5" t="inlineStr">
        <is>
          <t>5</t>
        </is>
      </c>
      <c r="U1712" s="5" t="inlineStr">
        <is>
          <t>OK</t>
        </is>
      </c>
    </row>
    <row r="1713">
      <c r="A1713" s="5" t="inlineStr">
        <is>
          <t>E00501</t>
        </is>
      </c>
      <c r="B1713" s="5" t="inlineStr">
        <is>
          <t>Female</t>
        </is>
      </c>
      <c r="C1713" s="6" t="inlineStr">
        <is>
          <t>42</t>
        </is>
      </c>
      <c r="D1713" s="5" t="inlineStr">
        <is>
          <t>Married</t>
        </is>
      </c>
      <c r="E1713" s="5" t="inlineStr">
        <is>
          <t>Master</t>
        </is>
      </c>
      <c r="F1713" s="5" t="inlineStr">
        <is>
          <t>Sales</t>
        </is>
      </c>
      <c r="G1713" s="5" t="inlineStr">
        <is>
          <t>Account Executive</t>
        </is>
      </c>
      <c r="H1713" s="5" t="inlineStr">
        <is>
          <t>6</t>
        </is>
      </c>
      <c r="I1713" s="5" t="inlineStr">
        <is>
          <t>Chennai</t>
        </is>
      </c>
      <c r="J1713" s="5" t="inlineStr">
        <is>
          <t>Full-Time</t>
        </is>
      </c>
      <c r="K1713" s="7" t="n">
        <v>45549</v>
      </c>
      <c r="L1713" s="7" t="inlineStr"/>
      <c r="M1713" s="5" t="inlineStr">
        <is>
          <t>Yes</t>
        </is>
      </c>
      <c r="N1713" s="5" t="inlineStr"/>
      <c r="O1713" s="8" t="inlineStr">
        <is>
          <t>166500</t>
        </is>
      </c>
      <c r="P1713" s="5" t="inlineStr">
        <is>
          <t>0</t>
        </is>
      </c>
      <c r="Q1713" s="5" t="inlineStr">
        <is>
          <t>4</t>
        </is>
      </c>
      <c r="R1713" s="5" t="inlineStr">
        <is>
          <t>6</t>
        </is>
      </c>
      <c r="S1713" s="5" t="inlineStr">
        <is>
          <t>15</t>
        </is>
      </c>
      <c r="T1713" s="5" t="inlineStr">
        <is>
          <t>7</t>
        </is>
      </c>
      <c r="U1713" s="5" t="inlineStr">
        <is>
          <t>OK</t>
        </is>
      </c>
    </row>
    <row r="1714">
      <c r="A1714" s="5" t="inlineStr">
        <is>
          <t>E02067</t>
        </is>
      </c>
      <c r="B1714" s="5" t="inlineStr">
        <is>
          <t>Female</t>
        </is>
      </c>
      <c r="C1714" s="6" t="inlineStr">
        <is>
          <t>40</t>
        </is>
      </c>
      <c r="D1714" s="5" t="inlineStr">
        <is>
          <t>Single</t>
        </is>
      </c>
      <c r="E1714" s="5" t="inlineStr">
        <is>
          <t>Master</t>
        </is>
      </c>
      <c r="F1714" s="5" t="inlineStr">
        <is>
          <t>IT</t>
        </is>
      </c>
      <c r="G1714" s="5" t="inlineStr">
        <is>
          <t>Data Analyst</t>
        </is>
      </c>
      <c r="H1714" s="5" t="inlineStr">
        <is>
          <t>7</t>
        </is>
      </c>
      <c r="I1714" s="5" t="inlineStr">
        <is>
          <t>Mumbai</t>
        </is>
      </c>
      <c r="J1714" s="5" t="inlineStr">
        <is>
          <t>Full-Time</t>
        </is>
      </c>
      <c r="K1714" s="7" t="n">
        <v>44757</v>
      </c>
      <c r="L1714" s="7" t="inlineStr"/>
      <c r="M1714" s="5" t="inlineStr">
        <is>
          <t>Yes</t>
        </is>
      </c>
      <c r="N1714" s="5" t="inlineStr"/>
      <c r="O1714" s="8" t="inlineStr">
        <is>
          <t>211500</t>
        </is>
      </c>
      <c r="P1714" s="5" t="inlineStr">
        <is>
          <t>0</t>
        </is>
      </c>
      <c r="Q1714" s="5" t="inlineStr">
        <is>
          <t>3</t>
        </is>
      </c>
      <c r="R1714" s="5" t="inlineStr">
        <is>
          <t>7</t>
        </is>
      </c>
      <c r="S1714" s="5" t="inlineStr">
        <is>
          <t>42</t>
        </is>
      </c>
      <c r="T1714" s="5" t="inlineStr">
        <is>
          <t>0</t>
        </is>
      </c>
      <c r="U1714" s="5" t="inlineStr">
        <is>
          <t>OK</t>
        </is>
      </c>
    </row>
    <row r="1715">
      <c r="A1715" s="5" t="inlineStr">
        <is>
          <t>E02253</t>
        </is>
      </c>
      <c r="B1715" s="5" t="inlineStr">
        <is>
          <t>Male</t>
        </is>
      </c>
      <c r="C1715" s="6" t="inlineStr">
        <is>
          <t>32</t>
        </is>
      </c>
      <c r="D1715" s="5" t="inlineStr">
        <is>
          <t>Married</t>
        </is>
      </c>
      <c r="E1715" s="5" t="inlineStr">
        <is>
          <t>Bachelor</t>
        </is>
      </c>
      <c r="F1715" s="5" t="inlineStr">
        <is>
          <t>Customer Support</t>
        </is>
      </c>
      <c r="G1715" s="5" t="inlineStr">
        <is>
          <t>Support Lead</t>
        </is>
      </c>
      <c r="H1715" s="5" t="inlineStr">
        <is>
          <t>4</t>
        </is>
      </c>
      <c r="I1715" s="5" t="inlineStr">
        <is>
          <t>Hyderabad</t>
        </is>
      </c>
      <c r="J1715" s="5" t="inlineStr">
        <is>
          <t>Full-Time</t>
        </is>
      </c>
      <c r="K1715" s="7" t="n">
        <v>44008</v>
      </c>
      <c r="L1715" s="7" t="n">
        <v>44126</v>
      </c>
      <c r="M1715" s="5" t="inlineStr">
        <is>
          <t>No</t>
        </is>
      </c>
      <c r="N1715" s="5" t="inlineStr">
        <is>
          <t>Layoff</t>
        </is>
      </c>
      <c r="O1715" s="8" t="inlineStr">
        <is>
          <t>82000</t>
        </is>
      </c>
      <c r="P1715" s="5" t="inlineStr">
        <is>
          <t>5</t>
        </is>
      </c>
      <c r="Q1715" s="5" t="inlineStr">
        <is>
          <t>3</t>
        </is>
      </c>
      <c r="R1715" s="5" t="inlineStr">
        <is>
          <t>6</t>
        </is>
      </c>
      <c r="S1715" s="5" t="inlineStr">
        <is>
          <t>3</t>
        </is>
      </c>
      <c r="T1715" s="5" t="inlineStr">
        <is>
          <t>6</t>
        </is>
      </c>
      <c r="U1715" s="5" t="inlineStr">
        <is>
          <t>OK</t>
        </is>
      </c>
    </row>
    <row r="1716">
      <c r="A1716" s="5" t="inlineStr">
        <is>
          <t>E02122</t>
        </is>
      </c>
      <c r="B1716" s="5" t="inlineStr">
        <is>
          <t>Male</t>
        </is>
      </c>
      <c r="C1716" s="6" t="inlineStr">
        <is>
          <t>37</t>
        </is>
      </c>
      <c r="D1716" s="5" t="inlineStr">
        <is>
          <t>Married</t>
        </is>
      </c>
      <c r="E1716" s="5" t="inlineStr">
        <is>
          <t>Bachelor</t>
        </is>
      </c>
      <c r="F1716" s="5" t="inlineStr">
        <is>
          <t>Operations</t>
        </is>
      </c>
      <c r="G1716" s="5" t="inlineStr">
        <is>
          <t>Quality Analyst</t>
        </is>
      </c>
      <c r="H1716" s="5" t="inlineStr">
        <is>
          <t>3</t>
        </is>
      </c>
      <c r="I1716" s="5" t="inlineStr">
        <is>
          <t>Hyderabad</t>
        </is>
      </c>
      <c r="J1716" s="5" t="inlineStr">
        <is>
          <t>Full-Time</t>
        </is>
      </c>
      <c r="K1716" s="7" t="n">
        <v>45717</v>
      </c>
      <c r="L1716" s="7" t="inlineStr"/>
      <c r="M1716" s="5" t="inlineStr">
        <is>
          <t>Yes</t>
        </is>
      </c>
      <c r="N1716" s="5" t="inlineStr"/>
      <c r="O1716" s="8" t="inlineStr">
        <is>
          <t>113000</t>
        </is>
      </c>
      <c r="P1716" s="5" t="inlineStr">
        <is>
          <t>0</t>
        </is>
      </c>
      <c r="Q1716" s="5" t="inlineStr">
        <is>
          <t>3</t>
        </is>
      </c>
      <c r="R1716" s="5" t="inlineStr">
        <is>
          <t>8</t>
        </is>
      </c>
      <c r="S1716" s="5" t="inlineStr">
        <is>
          <t>10</t>
        </is>
      </c>
      <c r="T1716" s="5" t="inlineStr">
        <is>
          <t>13</t>
        </is>
      </c>
      <c r="U1716" s="5" t="inlineStr">
        <is>
          <t>OK</t>
        </is>
      </c>
    </row>
    <row r="1717">
      <c r="A1717" s="5" t="inlineStr">
        <is>
          <t>E00446</t>
        </is>
      </c>
      <c r="B1717" s="5" t="inlineStr">
        <is>
          <t>Male</t>
        </is>
      </c>
      <c r="C1717" s="6" t="inlineStr">
        <is>
          <t>32</t>
        </is>
      </c>
      <c r="D1717" s="5" t="inlineStr">
        <is>
          <t>Married</t>
        </is>
      </c>
      <c r="E1717" s="5" t="inlineStr">
        <is>
          <t>PhD</t>
        </is>
      </c>
      <c r="F1717" s="5" t="inlineStr">
        <is>
          <t>Operations</t>
        </is>
      </c>
      <c r="G1717" s="5" t="inlineStr">
        <is>
          <t>Quality Analyst</t>
        </is>
      </c>
      <c r="H1717" s="5" t="inlineStr">
        <is>
          <t>4</t>
        </is>
      </c>
      <c r="I1717" s="5" t="inlineStr">
        <is>
          <t>Hyderabad</t>
        </is>
      </c>
      <c r="J1717" s="5" t="inlineStr">
        <is>
          <t>Full-Time</t>
        </is>
      </c>
      <c r="K1717" s="7" t="n">
        <v>44386</v>
      </c>
      <c r="L1717" s="7" t="inlineStr"/>
      <c r="M1717" s="5" t="inlineStr">
        <is>
          <t>Yes</t>
        </is>
      </c>
      <c r="N1717" s="5" t="inlineStr"/>
      <c r="O1717" s="8" t="inlineStr">
        <is>
          <t>126000</t>
        </is>
      </c>
      <c r="P1717" s="5" t="inlineStr">
        <is>
          <t>5</t>
        </is>
      </c>
      <c r="Q1717" s="5" t="inlineStr">
        <is>
          <t>4</t>
        </is>
      </c>
      <c r="R1717" s="5" t="inlineStr">
        <is>
          <t>7</t>
        </is>
      </c>
      <c r="S1717" s="5" t="inlineStr">
        <is>
          <t>54</t>
        </is>
      </c>
      <c r="T1717" s="5" t="inlineStr">
        <is>
          <t>0</t>
        </is>
      </c>
      <c r="U1717" s="5" t="inlineStr">
        <is>
          <t>OK</t>
        </is>
      </c>
    </row>
    <row r="1718">
      <c r="A1718" s="5" t="inlineStr">
        <is>
          <t>E00616</t>
        </is>
      </c>
      <c r="B1718" s="5" t="inlineStr">
        <is>
          <t>Female</t>
        </is>
      </c>
      <c r="C1718" s="6" t="inlineStr">
        <is>
          <t>37</t>
        </is>
      </c>
      <c r="D1718" s="5" t="inlineStr">
        <is>
          <t>Single</t>
        </is>
      </c>
      <c r="E1718" s="5" t="inlineStr">
        <is>
          <t>Master</t>
        </is>
      </c>
      <c r="F1718" s="5" t="inlineStr">
        <is>
          <t>IT</t>
        </is>
      </c>
      <c r="G1718" s="5" t="inlineStr">
        <is>
          <t>Software Engineer</t>
        </is>
      </c>
      <c r="H1718" s="5" t="inlineStr">
        <is>
          <t>4</t>
        </is>
      </c>
      <c r="I1718" s="5" t="inlineStr">
        <is>
          <t>Bengaluru</t>
        </is>
      </c>
      <c r="J1718" s="5" t="inlineStr">
        <is>
          <t>Full-Time</t>
        </is>
      </c>
      <c r="K1718" s="7" t="n">
        <v>44684</v>
      </c>
      <c r="L1718" s="7" t="inlineStr"/>
      <c r="M1718" s="5" t="inlineStr">
        <is>
          <t>Yes</t>
        </is>
      </c>
      <c r="N1718" s="5" t="inlineStr"/>
      <c r="O1718" s="8" t="inlineStr">
        <is>
          <t>132000</t>
        </is>
      </c>
      <c r="P1718" s="5" t="inlineStr">
        <is>
          <t>0</t>
        </is>
      </c>
      <c r="Q1718" s="5" t="inlineStr">
        <is>
          <t>4</t>
        </is>
      </c>
      <c r="R1718" s="5" t="inlineStr">
        <is>
          <t>6</t>
        </is>
      </c>
      <c r="S1718" s="5" t="inlineStr">
        <is>
          <t>44</t>
        </is>
      </c>
      <c r="T1718" s="5" t="inlineStr">
        <is>
          <t>9</t>
        </is>
      </c>
      <c r="U1718" s="5" t="inlineStr">
        <is>
          <t>OK</t>
        </is>
      </c>
    </row>
    <row r="1719">
      <c r="A1719" s="5" t="inlineStr">
        <is>
          <t>E01903</t>
        </is>
      </c>
      <c r="B1719" s="5" t="inlineStr">
        <is>
          <t>Male</t>
        </is>
      </c>
      <c r="C1719" s="6" t="inlineStr">
        <is>
          <t>38</t>
        </is>
      </c>
      <c r="D1719" s="5" t="inlineStr">
        <is>
          <t>Married</t>
        </is>
      </c>
      <c r="E1719" s="5" t="inlineStr">
        <is>
          <t>High School</t>
        </is>
      </c>
      <c r="F1719" s="5" t="inlineStr">
        <is>
          <t>Sales</t>
        </is>
      </c>
      <c r="G1719" s="5" t="inlineStr">
        <is>
          <t>Business Development</t>
        </is>
      </c>
      <c r="H1719" s="5" t="inlineStr">
        <is>
          <t>5</t>
        </is>
      </c>
      <c r="I1719" s="5" t="inlineStr">
        <is>
          <t>Hyderabad</t>
        </is>
      </c>
      <c r="J1719" s="5" t="inlineStr">
        <is>
          <t>Full-Time</t>
        </is>
      </c>
      <c r="K1719" s="7" t="n">
        <v>45162</v>
      </c>
      <c r="L1719" s="7" t="inlineStr"/>
      <c r="M1719" s="5" t="inlineStr">
        <is>
          <t>Yes</t>
        </is>
      </c>
      <c r="N1719" s="5" t="inlineStr"/>
      <c r="O1719" s="8" t="inlineStr">
        <is>
          <t>165500</t>
        </is>
      </c>
      <c r="P1719" s="5" t="inlineStr">
        <is>
          <t>15</t>
        </is>
      </c>
      <c r="Q1719" s="5" t="inlineStr">
        <is>
          <t>4</t>
        </is>
      </c>
      <c r="R1719" s="5" t="inlineStr">
        <is>
          <t>7</t>
        </is>
      </c>
      <c r="S1719" s="5" t="inlineStr">
        <is>
          <t>28</t>
        </is>
      </c>
      <c r="T1719" s="5" t="inlineStr">
        <is>
          <t>2</t>
        </is>
      </c>
      <c r="U1719" s="5" t="inlineStr">
        <is>
          <t>OK</t>
        </is>
      </c>
    </row>
    <row r="1720">
      <c r="A1720" s="5" t="inlineStr">
        <is>
          <t>E02193</t>
        </is>
      </c>
      <c r="B1720" s="5" t="inlineStr">
        <is>
          <t>Male</t>
        </is>
      </c>
      <c r="C1720" s="6" t="inlineStr">
        <is>
          <t>41</t>
        </is>
      </c>
      <c r="D1720" s="5" t="inlineStr">
        <is>
          <t>Married</t>
        </is>
      </c>
      <c r="E1720" s="5" t="inlineStr">
        <is>
          <t>PhD</t>
        </is>
      </c>
      <c r="F1720" s="5" t="inlineStr">
        <is>
          <t>Finance</t>
        </is>
      </c>
      <c r="G1720" s="5" t="inlineStr">
        <is>
          <t>Accountant</t>
        </is>
      </c>
      <c r="H1720" s="5" t="inlineStr">
        <is>
          <t>7</t>
        </is>
      </c>
      <c r="I1720" s="5" t="inlineStr">
        <is>
          <t>Chennai</t>
        </is>
      </c>
      <c r="J1720" s="5" t="inlineStr">
        <is>
          <t>Full-Time</t>
        </is>
      </c>
      <c r="K1720" s="7" t="n">
        <v>45182</v>
      </c>
      <c r="L1720" s="7" t="inlineStr"/>
      <c r="M1720" s="5" t="inlineStr">
        <is>
          <t>Yes</t>
        </is>
      </c>
      <c r="N1720" s="5" t="inlineStr"/>
      <c r="O1720" s="8" t="inlineStr">
        <is>
          <t>125500</t>
        </is>
      </c>
      <c r="P1720" s="5" t="inlineStr">
        <is>
          <t>0</t>
        </is>
      </c>
      <c r="Q1720" s="5" t="inlineStr">
        <is>
          <t>5</t>
        </is>
      </c>
      <c r="R1720" s="5" t="inlineStr">
        <is>
          <t>5</t>
        </is>
      </c>
      <c r="S1720" s="5" t="inlineStr">
        <is>
          <t>28</t>
        </is>
      </c>
      <c r="T1720" s="5" t="inlineStr">
        <is>
          <t>0</t>
        </is>
      </c>
      <c r="U1720" s="5" t="inlineStr">
        <is>
          <t>OK</t>
        </is>
      </c>
    </row>
    <row r="1721">
      <c r="A1721" s="5" t="inlineStr">
        <is>
          <t>E02984</t>
        </is>
      </c>
      <c r="B1721" s="5" t="inlineStr">
        <is>
          <t>Male</t>
        </is>
      </c>
      <c r="C1721" s="6" t="inlineStr">
        <is>
          <t>29</t>
        </is>
      </c>
      <c r="D1721" s="5" t="inlineStr">
        <is>
          <t>Single</t>
        </is>
      </c>
      <c r="E1721" s="5" t="inlineStr">
        <is>
          <t>Diploma</t>
        </is>
      </c>
      <c r="F1721" s="5" t="inlineStr">
        <is>
          <t>Research &amp; Development</t>
        </is>
      </c>
      <c r="G1721" s="5" t="inlineStr">
        <is>
          <t>Data Scientist</t>
        </is>
      </c>
      <c r="H1721" s="5" t="inlineStr">
        <is>
          <t>4</t>
        </is>
      </c>
      <c r="I1721" s="5" t="inlineStr">
        <is>
          <t>Hyderabad</t>
        </is>
      </c>
      <c r="J1721" s="5" t="inlineStr">
        <is>
          <t>Part-Time</t>
        </is>
      </c>
      <c r="K1721" s="7" t="n">
        <v>45686</v>
      </c>
      <c r="L1721" s="7" t="inlineStr"/>
      <c r="M1721" s="5" t="inlineStr">
        <is>
          <t>Yes</t>
        </is>
      </c>
      <c r="N1721" s="5" t="inlineStr"/>
      <c r="O1721" s="8" t="inlineStr">
        <is>
          <t>211500</t>
        </is>
      </c>
      <c r="P1721" s="5" t="inlineStr">
        <is>
          <t>10</t>
        </is>
      </c>
      <c r="Q1721" s="5" t="inlineStr">
        <is>
          <t>3</t>
        </is>
      </c>
      <c r="R1721" s="5" t="inlineStr">
        <is>
          <t>5</t>
        </is>
      </c>
      <c r="S1721" s="5" t="inlineStr">
        <is>
          <t>11</t>
        </is>
      </c>
      <c r="T1721" s="5" t="inlineStr">
        <is>
          <t>0</t>
        </is>
      </c>
      <c r="U1721" s="5" t="inlineStr">
        <is>
          <t>OK</t>
        </is>
      </c>
    </row>
    <row r="1722">
      <c r="A1722" s="5" t="inlineStr">
        <is>
          <t>E02196</t>
        </is>
      </c>
      <c r="B1722" s="5" t="inlineStr">
        <is>
          <t>Female</t>
        </is>
      </c>
      <c r="C1722" s="6" t="inlineStr">
        <is>
          <t>31</t>
        </is>
      </c>
      <c r="D1722" s="5" t="inlineStr">
        <is>
          <t>Married</t>
        </is>
      </c>
      <c r="E1722" s="5" t="inlineStr">
        <is>
          <t>High School</t>
        </is>
      </c>
      <c r="F1722" s="5" t="inlineStr">
        <is>
          <t>Sales</t>
        </is>
      </c>
      <c r="G1722" s="5" t="inlineStr">
        <is>
          <t>Sales Executive</t>
        </is>
      </c>
      <c r="H1722" s="5" t="inlineStr">
        <is>
          <t>2</t>
        </is>
      </c>
      <c r="I1722" s="5" t="inlineStr">
        <is>
          <t>Bengaluru</t>
        </is>
      </c>
      <c r="J1722" s="5" t="inlineStr">
        <is>
          <t>Full-Time</t>
        </is>
      </c>
      <c r="K1722" s="7" t="n">
        <v>45121</v>
      </c>
      <c r="L1722" s="7" t="inlineStr"/>
      <c r="M1722" s="5" t="inlineStr">
        <is>
          <t>Yes</t>
        </is>
      </c>
      <c r="N1722" s="5" t="inlineStr"/>
      <c r="O1722" s="8" t="inlineStr">
        <is>
          <t>73000</t>
        </is>
      </c>
      <c r="P1722" s="5" t="inlineStr">
        <is>
          <t>0</t>
        </is>
      </c>
      <c r="Q1722" s="5" t="inlineStr">
        <is>
          <t>3</t>
        </is>
      </c>
      <c r="R1722" s="5" t="inlineStr">
        <is>
          <t>7</t>
        </is>
      </c>
      <c r="S1722" s="5" t="inlineStr">
        <is>
          <t>30</t>
        </is>
      </c>
      <c r="T1722" s="5" t="inlineStr">
        <is>
          <t>4</t>
        </is>
      </c>
      <c r="U1722" s="5" t="inlineStr">
        <is>
          <t>OK</t>
        </is>
      </c>
    </row>
    <row r="1723">
      <c r="A1723" s="5" t="inlineStr">
        <is>
          <t>E00477</t>
        </is>
      </c>
      <c r="B1723" s="5" t="inlineStr">
        <is>
          <t>Male</t>
        </is>
      </c>
      <c r="C1723" s="6" t="inlineStr">
        <is>
          <t>23</t>
        </is>
      </c>
      <c r="D1723" s="5" t="inlineStr">
        <is>
          <t>Married</t>
        </is>
      </c>
      <c r="E1723" s="5" t="inlineStr">
        <is>
          <t>Bachelor</t>
        </is>
      </c>
      <c r="F1723" s="5" t="inlineStr">
        <is>
          <t>Marketing</t>
        </is>
      </c>
      <c r="G1723" s="5" t="inlineStr">
        <is>
          <t>Content Writer</t>
        </is>
      </c>
      <c r="H1723" s="5" t="inlineStr">
        <is>
          <t>1</t>
        </is>
      </c>
      <c r="I1723" s="5" t="inlineStr">
        <is>
          <t>Bengaluru</t>
        </is>
      </c>
      <c r="J1723" s="5" t="inlineStr">
        <is>
          <t>Full-Time</t>
        </is>
      </c>
      <c r="K1723" s="7" t="n">
        <v>44629</v>
      </c>
      <c r="L1723" s="7" t="inlineStr"/>
      <c r="M1723" s="5" t="inlineStr">
        <is>
          <t>Yes</t>
        </is>
      </c>
      <c r="N1723" s="5" t="inlineStr"/>
      <c r="O1723" s="8" t="inlineStr">
        <is>
          <t>55000</t>
        </is>
      </c>
      <c r="P1723" s="5" t="inlineStr">
        <is>
          <t>5</t>
        </is>
      </c>
      <c r="Q1723" s="5" t="inlineStr">
        <is>
          <t>5</t>
        </is>
      </c>
      <c r="R1723" s="5" t="inlineStr">
        <is>
          <t>6</t>
        </is>
      </c>
      <c r="S1723" s="5" t="inlineStr">
        <is>
          <t>46</t>
        </is>
      </c>
      <c r="T1723" s="5" t="inlineStr">
        <is>
          <t>6</t>
        </is>
      </c>
      <c r="U1723" s="5" t="inlineStr">
        <is>
          <t>OK</t>
        </is>
      </c>
    </row>
    <row r="1724">
      <c r="A1724" s="5" t="inlineStr">
        <is>
          <t>E01748</t>
        </is>
      </c>
      <c r="B1724" s="5" t="inlineStr">
        <is>
          <t>Male</t>
        </is>
      </c>
      <c r="C1724" s="6" t="inlineStr">
        <is>
          <t>35</t>
        </is>
      </c>
      <c r="D1724" s="5" t="inlineStr">
        <is>
          <t>Divorced</t>
        </is>
      </c>
      <c r="E1724" s="5" t="inlineStr">
        <is>
          <t>PhD</t>
        </is>
      </c>
      <c r="F1724" s="5" t="inlineStr">
        <is>
          <t>Research &amp; Development</t>
        </is>
      </c>
      <c r="G1724" s="5" t="inlineStr">
        <is>
          <t>Product Engineer</t>
        </is>
      </c>
      <c r="H1724" s="5" t="inlineStr">
        <is>
          <t>2</t>
        </is>
      </c>
      <c r="I1724" s="5" t="inlineStr">
        <is>
          <t>Mumbai</t>
        </is>
      </c>
      <c r="J1724" s="5" t="inlineStr">
        <is>
          <t>Full-Time</t>
        </is>
      </c>
      <c r="K1724" s="7" t="n">
        <v>44713</v>
      </c>
      <c r="L1724" s="7" t="inlineStr"/>
      <c r="M1724" s="5" t="inlineStr">
        <is>
          <t>Yes</t>
        </is>
      </c>
      <c r="N1724" s="5" t="inlineStr"/>
      <c r="O1724" s="8" t="inlineStr">
        <is>
          <t>175500</t>
        </is>
      </c>
      <c r="P1724" s="5" t="inlineStr">
        <is>
          <t>0</t>
        </is>
      </c>
      <c r="Q1724" s="5" t="inlineStr">
        <is>
          <t>3</t>
        </is>
      </c>
      <c r="R1724" s="5" t="inlineStr">
        <is>
          <t>6</t>
        </is>
      </c>
      <c r="S1724" s="5" t="inlineStr">
        <is>
          <t>43</t>
        </is>
      </c>
      <c r="T1724" s="5" t="inlineStr">
        <is>
          <t>0</t>
        </is>
      </c>
      <c r="U1724" s="5" t="inlineStr">
        <is>
          <t>OK</t>
        </is>
      </c>
    </row>
    <row r="1725">
      <c r="A1725" s="5" t="inlineStr">
        <is>
          <t>E00461</t>
        </is>
      </c>
      <c r="B1725" s="5" t="inlineStr">
        <is>
          <t>Female</t>
        </is>
      </c>
      <c r="C1725" s="6" t="inlineStr">
        <is>
          <t>23</t>
        </is>
      </c>
      <c r="D1725" s="5" t="inlineStr">
        <is>
          <t>Single</t>
        </is>
      </c>
      <c r="E1725" s="5" t="inlineStr">
        <is>
          <t>Master</t>
        </is>
      </c>
      <c r="F1725" s="5" t="inlineStr">
        <is>
          <t>Operations</t>
        </is>
      </c>
      <c r="G1725" s="5" t="inlineStr">
        <is>
          <t>Operations Analyst</t>
        </is>
      </c>
      <c r="H1725" s="5" t="inlineStr">
        <is>
          <t>1</t>
        </is>
      </c>
      <c r="I1725" s="5" t="inlineStr">
        <is>
          <t>Chennai</t>
        </is>
      </c>
      <c r="J1725" s="5" t="inlineStr">
        <is>
          <t>Full-Time</t>
        </is>
      </c>
      <c r="K1725" s="7" t="n">
        <v>43926</v>
      </c>
      <c r="L1725" s="7" t="n">
        <v>44029</v>
      </c>
      <c r="M1725" s="5" t="inlineStr">
        <is>
          <t>No</t>
        </is>
      </c>
      <c r="N1725" s="5" t="inlineStr">
        <is>
          <t>Resigned</t>
        </is>
      </c>
      <c r="O1725" s="8" t="inlineStr">
        <is>
          <t>55500</t>
        </is>
      </c>
      <c r="P1725" s="5" t="inlineStr">
        <is>
          <t>20</t>
        </is>
      </c>
      <c r="Q1725" s="5" t="inlineStr">
        <is>
          <t>3</t>
        </is>
      </c>
      <c r="R1725" s="5" t="inlineStr">
        <is>
          <t>5</t>
        </is>
      </c>
      <c r="S1725" s="5" t="inlineStr">
        <is>
          <t>3</t>
        </is>
      </c>
      <c r="T1725" s="5" t="inlineStr">
        <is>
          <t>8</t>
        </is>
      </c>
      <c r="U1725" s="5" t="inlineStr">
        <is>
          <t>OK</t>
        </is>
      </c>
    </row>
    <row r="1726">
      <c r="A1726" s="5" t="inlineStr">
        <is>
          <t>E01175</t>
        </is>
      </c>
      <c r="B1726" s="5" t="inlineStr">
        <is>
          <t>Female</t>
        </is>
      </c>
      <c r="C1726" s="6" t="inlineStr">
        <is>
          <t>28</t>
        </is>
      </c>
      <c r="D1726" s="5" t="inlineStr">
        <is>
          <t>Married</t>
        </is>
      </c>
      <c r="E1726" s="5" t="inlineStr">
        <is>
          <t>Master</t>
        </is>
      </c>
      <c r="F1726" s="5" t="inlineStr">
        <is>
          <t>Sales</t>
        </is>
      </c>
      <c r="G1726" s="5" t="inlineStr">
        <is>
          <t>Sales Executive</t>
        </is>
      </c>
      <c r="H1726" s="5" t="inlineStr">
        <is>
          <t>3</t>
        </is>
      </c>
      <c r="I1726" s="5" t="inlineStr">
        <is>
          <t>Mumbai</t>
        </is>
      </c>
      <c r="J1726" s="5" t="inlineStr">
        <is>
          <t>Full-Time</t>
        </is>
      </c>
      <c r="K1726" s="7" t="n">
        <v>44185</v>
      </c>
      <c r="L1726" s="7" t="n">
        <v>44222</v>
      </c>
      <c r="M1726" s="5" t="inlineStr">
        <is>
          <t>No</t>
        </is>
      </c>
      <c r="N1726" s="5" t="inlineStr">
        <is>
          <t>Resigned</t>
        </is>
      </c>
      <c r="O1726" s="8" t="inlineStr">
        <is>
          <t>131500</t>
        </is>
      </c>
      <c r="P1726" s="5" t="inlineStr">
        <is>
          <t>5</t>
        </is>
      </c>
      <c r="Q1726" s="5" t="inlineStr">
        <is>
          <t>4</t>
        </is>
      </c>
      <c r="R1726" s="5" t="inlineStr">
        <is>
          <t>6</t>
        </is>
      </c>
      <c r="S1726" s="5" t="inlineStr">
        <is>
          <t>1</t>
        </is>
      </c>
      <c r="T1726" s="5" t="inlineStr">
        <is>
          <t>0</t>
        </is>
      </c>
      <c r="U1726" s="5" t="inlineStr">
        <is>
          <t>OK</t>
        </is>
      </c>
    </row>
    <row r="1727">
      <c r="A1727" s="5" t="inlineStr">
        <is>
          <t>E01184</t>
        </is>
      </c>
      <c r="B1727" s="5" t="inlineStr">
        <is>
          <t>Male</t>
        </is>
      </c>
      <c r="C1727" s="6" t="inlineStr">
        <is>
          <t>33</t>
        </is>
      </c>
      <c r="D1727" s="5" t="inlineStr">
        <is>
          <t>Single</t>
        </is>
      </c>
      <c r="E1727" s="5" t="inlineStr">
        <is>
          <t>Master</t>
        </is>
      </c>
      <c r="F1727" s="5" t="inlineStr">
        <is>
          <t>Operations</t>
        </is>
      </c>
      <c r="G1727" s="5" t="inlineStr">
        <is>
          <t>Quality Analyst</t>
        </is>
      </c>
      <c r="H1727" s="5" t="inlineStr">
        <is>
          <t>3</t>
        </is>
      </c>
      <c r="I1727" s="5" t="inlineStr">
        <is>
          <t>Bengaluru</t>
        </is>
      </c>
      <c r="J1727" s="5" t="inlineStr">
        <is>
          <t>Part-Time</t>
        </is>
      </c>
      <c r="K1727" s="7" t="n">
        <v>44659</v>
      </c>
      <c r="L1727" s="7" t="inlineStr"/>
      <c r="M1727" s="5" t="inlineStr">
        <is>
          <t>Yes</t>
        </is>
      </c>
      <c r="N1727" s="5" t="inlineStr"/>
      <c r="O1727" s="8" t="inlineStr">
        <is>
          <t>87500</t>
        </is>
      </c>
      <c r="P1727" s="5" t="inlineStr">
        <is>
          <t>5</t>
        </is>
      </c>
      <c r="Q1727" s="5" t="inlineStr">
        <is>
          <t>4</t>
        </is>
      </c>
      <c r="R1727" s="5" t="inlineStr">
        <is>
          <t>7</t>
        </is>
      </c>
      <c r="S1727" s="5" t="inlineStr">
        <is>
          <t>45</t>
        </is>
      </c>
      <c r="T1727" s="5" t="inlineStr">
        <is>
          <t>0</t>
        </is>
      </c>
      <c r="U1727" s="5" t="inlineStr">
        <is>
          <t>OK</t>
        </is>
      </c>
    </row>
    <row r="1728">
      <c r="A1728" s="5" t="inlineStr">
        <is>
          <t>E00270</t>
        </is>
      </c>
      <c r="B1728" s="5" t="inlineStr">
        <is>
          <t>Female</t>
        </is>
      </c>
      <c r="C1728" s="6" t="inlineStr">
        <is>
          <t>35</t>
        </is>
      </c>
      <c r="D1728" s="5" t="inlineStr">
        <is>
          <t>Single</t>
        </is>
      </c>
      <c r="E1728" s="5" t="inlineStr">
        <is>
          <t>PhD</t>
        </is>
      </c>
      <c r="F1728" s="5" t="inlineStr">
        <is>
          <t>Customer Support</t>
        </is>
      </c>
      <c r="G1728" s="5" t="inlineStr">
        <is>
          <t>Support Lead</t>
        </is>
      </c>
      <c r="H1728" s="5" t="inlineStr">
        <is>
          <t>4</t>
        </is>
      </c>
      <c r="I1728" s="5" t="inlineStr">
        <is>
          <t>Hyderabad</t>
        </is>
      </c>
      <c r="J1728" s="5" t="inlineStr">
        <is>
          <t>Full-Time</t>
        </is>
      </c>
      <c r="K1728" s="7" t="n">
        <v>45201</v>
      </c>
      <c r="L1728" s="7" t="inlineStr"/>
      <c r="M1728" s="5" t="inlineStr">
        <is>
          <t>Yes</t>
        </is>
      </c>
      <c r="N1728" s="5" t="inlineStr"/>
      <c r="O1728" s="8" t="inlineStr">
        <is>
          <t>61500</t>
        </is>
      </c>
      <c r="P1728" s="5" t="inlineStr">
        <is>
          <t>0</t>
        </is>
      </c>
      <c r="Q1728" s="5" t="inlineStr">
        <is>
          <t>4</t>
        </is>
      </c>
      <c r="R1728" s="5" t="inlineStr">
        <is>
          <t>7</t>
        </is>
      </c>
      <c r="S1728" s="5" t="inlineStr">
        <is>
          <t>27</t>
        </is>
      </c>
      <c r="T1728" s="5" t="inlineStr">
        <is>
          <t>11</t>
        </is>
      </c>
      <c r="U1728" s="5" t="inlineStr">
        <is>
          <t>OK</t>
        </is>
      </c>
    </row>
    <row r="1729">
      <c r="A1729" s="5" t="inlineStr">
        <is>
          <t>E00867</t>
        </is>
      </c>
      <c r="B1729" s="5" t="inlineStr">
        <is>
          <t>Female</t>
        </is>
      </c>
      <c r="C1729" s="6" t="inlineStr">
        <is>
          <t>35</t>
        </is>
      </c>
      <c r="D1729" s="5" t="inlineStr">
        <is>
          <t>Divorced</t>
        </is>
      </c>
      <c r="E1729" s="5" t="inlineStr">
        <is>
          <t>PhD</t>
        </is>
      </c>
      <c r="F1729" s="5" t="inlineStr">
        <is>
          <t>Sales</t>
        </is>
      </c>
      <c r="G1729" s="5" t="inlineStr">
        <is>
          <t>Business Development</t>
        </is>
      </c>
      <c r="H1729" s="5" t="inlineStr">
        <is>
          <t>4</t>
        </is>
      </c>
      <c r="I1729" s="5" t="inlineStr">
        <is>
          <t>Mumbai</t>
        </is>
      </c>
      <c r="J1729" s="5" t="inlineStr">
        <is>
          <t>Full-Time</t>
        </is>
      </c>
      <c r="K1729" s="7" t="n">
        <v>43941</v>
      </c>
      <c r="L1729" s="7" t="inlineStr"/>
      <c r="M1729" s="5" t="inlineStr">
        <is>
          <t>Yes</t>
        </is>
      </c>
      <c r="N1729" s="5" t="inlineStr"/>
      <c r="O1729" s="8" t="inlineStr">
        <is>
          <t>86500</t>
        </is>
      </c>
      <c r="P1729" s="5" t="inlineStr">
        <is>
          <t>10</t>
        </is>
      </c>
      <c r="Q1729" s="5" t="inlineStr">
        <is>
          <t>4</t>
        </is>
      </c>
      <c r="R1729" s="5" t="inlineStr">
        <is>
          <t>6</t>
        </is>
      </c>
      <c r="S1729" s="5" t="inlineStr">
        <is>
          <t>69</t>
        </is>
      </c>
      <c r="T1729" s="5" t="inlineStr">
        <is>
          <t>3</t>
        </is>
      </c>
      <c r="U1729" s="5" t="inlineStr">
        <is>
          <t>OK</t>
        </is>
      </c>
    </row>
    <row r="1730">
      <c r="A1730" s="5" t="inlineStr">
        <is>
          <t>E01128</t>
        </is>
      </c>
      <c r="B1730" s="5" t="inlineStr">
        <is>
          <t>Female</t>
        </is>
      </c>
      <c r="C1730" s="6" t="inlineStr">
        <is>
          <t>36</t>
        </is>
      </c>
      <c r="D1730" s="5" t="inlineStr">
        <is>
          <t>Divorced</t>
        </is>
      </c>
      <c r="E1730" s="5" t="inlineStr">
        <is>
          <t>Master</t>
        </is>
      </c>
      <c r="F1730" s="5" t="inlineStr">
        <is>
          <t>Finance</t>
        </is>
      </c>
      <c r="G1730" s="5" t="inlineStr">
        <is>
          <t>Financial Analyst</t>
        </is>
      </c>
      <c r="H1730" s="5" t="inlineStr">
        <is>
          <t>4</t>
        </is>
      </c>
      <c r="I1730" s="5" t="inlineStr">
        <is>
          <t>Chennai</t>
        </is>
      </c>
      <c r="J1730" s="5" t="inlineStr">
        <is>
          <t>Part-Time</t>
        </is>
      </c>
      <c r="K1730" s="7" t="n">
        <v>44826</v>
      </c>
      <c r="L1730" s="7" t="inlineStr"/>
      <c r="M1730" s="5" t="inlineStr">
        <is>
          <t>Yes</t>
        </is>
      </c>
      <c r="N1730" s="5" t="inlineStr"/>
      <c r="O1730" s="8" t="inlineStr">
        <is>
          <t>104500</t>
        </is>
      </c>
      <c r="P1730" s="5" t="inlineStr">
        <is>
          <t>0</t>
        </is>
      </c>
      <c r="Q1730" s="5" t="inlineStr">
        <is>
          <t>4</t>
        </is>
      </c>
      <c r="R1730" s="5" t="inlineStr">
        <is>
          <t>4</t>
        </is>
      </c>
      <c r="S1730" s="5" t="inlineStr">
        <is>
          <t>39</t>
        </is>
      </c>
      <c r="T1730" s="5" t="inlineStr">
        <is>
          <t>14</t>
        </is>
      </c>
      <c r="U1730" s="5" t="inlineStr">
        <is>
          <t>OK</t>
        </is>
      </c>
    </row>
    <row r="1731">
      <c r="A1731" s="5" t="inlineStr">
        <is>
          <t>E00665</t>
        </is>
      </c>
      <c r="B1731" s="5" t="inlineStr">
        <is>
          <t>Female</t>
        </is>
      </c>
      <c r="C1731" s="6" t="inlineStr">
        <is>
          <t>36</t>
        </is>
      </c>
      <c r="D1731" s="5" t="inlineStr">
        <is>
          <t>Married</t>
        </is>
      </c>
      <c r="E1731" s="5" t="inlineStr">
        <is>
          <t>Bachelor</t>
        </is>
      </c>
      <c r="F1731" s="5" t="inlineStr">
        <is>
          <t>Operations</t>
        </is>
      </c>
      <c r="G1731" s="5" t="inlineStr">
        <is>
          <t>Quality Analyst</t>
        </is>
      </c>
      <c r="H1731" s="5" t="inlineStr">
        <is>
          <t>2</t>
        </is>
      </c>
      <c r="I1731" s="5" t="inlineStr">
        <is>
          <t>Remote</t>
        </is>
      </c>
      <c r="J1731" s="5" t="inlineStr">
        <is>
          <t>Full-Time</t>
        </is>
      </c>
      <c r="K1731" s="7" t="n">
        <v>44255</v>
      </c>
      <c r="L1731" s="7" t="n">
        <v>44394</v>
      </c>
      <c r="M1731" s="5" t="inlineStr">
        <is>
          <t>No</t>
        </is>
      </c>
      <c r="N1731" s="5" t="inlineStr">
        <is>
          <t>Resigned</t>
        </is>
      </c>
      <c r="O1731" s="8" t="inlineStr">
        <is>
          <t>81500</t>
        </is>
      </c>
      <c r="P1731" s="5" t="inlineStr">
        <is>
          <t>0</t>
        </is>
      </c>
      <c r="Q1731" s="5" t="inlineStr">
        <is>
          <t>3</t>
        </is>
      </c>
      <c r="R1731" s="5" t="inlineStr">
        <is>
          <t>9</t>
        </is>
      </c>
      <c r="S1731" s="5" t="inlineStr">
        <is>
          <t>4</t>
        </is>
      </c>
      <c r="T1731" s="5" t="inlineStr">
        <is>
          <t>6</t>
        </is>
      </c>
      <c r="U1731" s="5" t="inlineStr">
        <is>
          <t>OK</t>
        </is>
      </c>
    </row>
    <row r="1732">
      <c r="A1732" s="5" t="inlineStr">
        <is>
          <t>E02255</t>
        </is>
      </c>
      <c r="B1732" s="5" t="inlineStr">
        <is>
          <t>Female</t>
        </is>
      </c>
      <c r="C1732" s="6" t="inlineStr">
        <is>
          <t>37</t>
        </is>
      </c>
      <c r="D1732" s="5" t="inlineStr">
        <is>
          <t>Married</t>
        </is>
      </c>
      <c r="E1732" s="5" t="inlineStr">
        <is>
          <t>PhD</t>
        </is>
      </c>
      <c r="F1732" s="5" t="inlineStr">
        <is>
          <t>Human Resources</t>
        </is>
      </c>
      <c r="G1732" s="5" t="inlineStr">
        <is>
          <t>HR Analyst</t>
        </is>
      </c>
      <c r="H1732" s="5" t="inlineStr">
        <is>
          <t>5</t>
        </is>
      </c>
      <c r="I1732" s="5" t="inlineStr">
        <is>
          <t>Hyderabad</t>
        </is>
      </c>
      <c r="J1732" s="5" t="inlineStr">
        <is>
          <t>Full-Time</t>
        </is>
      </c>
      <c r="K1732" s="7" t="n">
        <v>45044</v>
      </c>
      <c r="L1732" s="7" t="inlineStr"/>
      <c r="M1732" s="5" t="inlineStr">
        <is>
          <t>Yes</t>
        </is>
      </c>
      <c r="N1732" s="5" t="inlineStr"/>
      <c r="O1732" s="8" t="inlineStr">
        <is>
          <t>101000</t>
        </is>
      </c>
      <c r="P1732" s="5" t="inlineStr">
        <is>
          <t>0</t>
        </is>
      </c>
      <c r="Q1732" s="5" t="inlineStr">
        <is>
          <t>5</t>
        </is>
      </c>
      <c r="R1732" s="5" t="inlineStr">
        <is>
          <t>5</t>
        </is>
      </c>
      <c r="S1732" s="5" t="inlineStr">
        <is>
          <t>32</t>
        </is>
      </c>
      <c r="T1732" s="5" t="inlineStr">
        <is>
          <t>2</t>
        </is>
      </c>
      <c r="U1732" s="5" t="inlineStr">
        <is>
          <t>OK</t>
        </is>
      </c>
    </row>
    <row r="1733">
      <c r="A1733" s="5" t="inlineStr">
        <is>
          <t>E00657</t>
        </is>
      </c>
      <c r="B1733" s="5" t="inlineStr">
        <is>
          <t>Male</t>
        </is>
      </c>
      <c r="C1733" s="6" t="inlineStr">
        <is>
          <t>38</t>
        </is>
      </c>
      <c r="D1733" s="5" t="inlineStr">
        <is>
          <t>Married</t>
        </is>
      </c>
      <c r="E1733" s="5" t="inlineStr">
        <is>
          <t>High School</t>
        </is>
      </c>
      <c r="F1733" s="5" t="inlineStr">
        <is>
          <t>Customer Support</t>
        </is>
      </c>
      <c r="G1733" s="5" t="inlineStr">
        <is>
          <t>Support Lead</t>
        </is>
      </c>
      <c r="H1733" s="5" t="inlineStr">
        <is>
          <t>5</t>
        </is>
      </c>
      <c r="I1733" s="5" t="inlineStr">
        <is>
          <t>Chennai</t>
        </is>
      </c>
      <c r="J1733" s="5" t="inlineStr">
        <is>
          <t>Full-Time</t>
        </is>
      </c>
      <c r="K1733" s="7" t="n">
        <v>44079</v>
      </c>
      <c r="L1733" s="7" t="inlineStr"/>
      <c r="M1733" s="5" t="inlineStr">
        <is>
          <t>Yes</t>
        </is>
      </c>
      <c r="N1733" s="5" t="inlineStr"/>
      <c r="O1733" s="8" t="inlineStr">
        <is>
          <t>93000</t>
        </is>
      </c>
      <c r="P1733" s="5" t="inlineStr">
        <is>
          <t>0</t>
        </is>
      </c>
      <c r="Q1733" s="5" t="inlineStr">
        <is>
          <t>4</t>
        </is>
      </c>
      <c r="R1733" s="5" t="inlineStr">
        <is>
          <t>10</t>
        </is>
      </c>
      <c r="S1733" s="5" t="inlineStr">
        <is>
          <t>64</t>
        </is>
      </c>
      <c r="T1733" s="5" t="inlineStr">
        <is>
          <t>5</t>
        </is>
      </c>
      <c r="U1733" s="5" t="inlineStr">
        <is>
          <t>OK</t>
        </is>
      </c>
    </row>
    <row r="1734">
      <c r="A1734" s="5" t="inlineStr">
        <is>
          <t>E00077</t>
        </is>
      </c>
      <c r="B1734" s="5" t="inlineStr">
        <is>
          <t>Female</t>
        </is>
      </c>
      <c r="C1734" s="6" t="inlineStr">
        <is>
          <t>38</t>
        </is>
      </c>
      <c r="D1734" s="5" t="inlineStr">
        <is>
          <t>Married</t>
        </is>
      </c>
      <c r="E1734" s="5" t="inlineStr">
        <is>
          <t>High School</t>
        </is>
      </c>
      <c r="F1734" s="5" t="inlineStr">
        <is>
          <t>Research &amp; Development</t>
        </is>
      </c>
      <c r="G1734" s="5" t="inlineStr">
        <is>
          <t>Product Engineer</t>
        </is>
      </c>
      <c r="H1734" s="5" t="inlineStr">
        <is>
          <t>3</t>
        </is>
      </c>
      <c r="I1734" s="5" t="inlineStr">
        <is>
          <t>Bengaluru</t>
        </is>
      </c>
      <c r="J1734" s="5" t="inlineStr">
        <is>
          <t>Part-Time</t>
        </is>
      </c>
      <c r="K1734" s="7" t="n">
        <v>43838</v>
      </c>
      <c r="L1734" s="7" t="inlineStr"/>
      <c r="M1734" s="5" t="inlineStr">
        <is>
          <t>Yes</t>
        </is>
      </c>
      <c r="N1734" s="5" t="inlineStr"/>
      <c r="O1734" s="8" t="inlineStr">
        <is>
          <t>156500</t>
        </is>
      </c>
      <c r="P1734" s="5" t="inlineStr">
        <is>
          <t>5</t>
        </is>
      </c>
      <c r="Q1734" s="5" t="inlineStr">
        <is>
          <t>3</t>
        </is>
      </c>
      <c r="R1734" s="5" t="inlineStr">
        <is>
          <t>8</t>
        </is>
      </c>
      <c r="S1734" s="5" t="inlineStr">
        <is>
          <t>72</t>
        </is>
      </c>
      <c r="T1734" s="5" t="inlineStr">
        <is>
          <t>1</t>
        </is>
      </c>
      <c r="U1734" s="5" t="inlineStr">
        <is>
          <t>OK</t>
        </is>
      </c>
    </row>
    <row r="1735">
      <c r="A1735" s="5" t="inlineStr">
        <is>
          <t>E00785</t>
        </is>
      </c>
      <c r="B1735" s="5" t="inlineStr">
        <is>
          <t>Male</t>
        </is>
      </c>
      <c r="C1735" s="6" t="inlineStr">
        <is>
          <t>34</t>
        </is>
      </c>
      <c r="D1735" s="5" t="inlineStr">
        <is>
          <t>Married</t>
        </is>
      </c>
      <c r="E1735" s="5" t="inlineStr">
        <is>
          <t>High School</t>
        </is>
      </c>
      <c r="F1735" s="5" t="inlineStr">
        <is>
          <t>Finance</t>
        </is>
      </c>
      <c r="G1735" s="5" t="inlineStr">
        <is>
          <t>Financial Analyst</t>
        </is>
      </c>
      <c r="H1735" s="5" t="inlineStr">
        <is>
          <t>1</t>
        </is>
      </c>
      <c r="I1735" s="5" t="inlineStr">
        <is>
          <t>Remote</t>
        </is>
      </c>
      <c r="J1735" s="5" t="inlineStr">
        <is>
          <t>Full-Time</t>
        </is>
      </c>
      <c r="K1735" s="7" t="n">
        <v>45743</v>
      </c>
      <c r="L1735" s="7" t="inlineStr"/>
      <c r="M1735" s="5" t="inlineStr">
        <is>
          <t>Yes</t>
        </is>
      </c>
      <c r="N1735" s="5" t="inlineStr"/>
      <c r="O1735" s="8" t="inlineStr">
        <is>
          <t>105000</t>
        </is>
      </c>
      <c r="P1735" s="5" t="inlineStr">
        <is>
          <t>10</t>
        </is>
      </c>
      <c r="Q1735" s="5" t="inlineStr">
        <is>
          <t>4</t>
        </is>
      </c>
      <c r="R1735" s="5" t="inlineStr">
        <is>
          <t>8</t>
        </is>
      </c>
      <c r="S1735" s="5" t="inlineStr">
        <is>
          <t>9</t>
        </is>
      </c>
      <c r="T1735" s="5" t="inlineStr">
        <is>
          <t>12</t>
        </is>
      </c>
      <c r="U1735" s="5" t="inlineStr">
        <is>
          <t>OK</t>
        </is>
      </c>
    </row>
    <row r="1736">
      <c r="A1736" s="5" t="inlineStr">
        <is>
          <t>E02171</t>
        </is>
      </c>
      <c r="B1736" s="5" t="inlineStr">
        <is>
          <t>Male</t>
        </is>
      </c>
      <c r="C1736" s="6" t="inlineStr">
        <is>
          <t>35</t>
        </is>
      </c>
      <c r="D1736" s="5" t="inlineStr">
        <is>
          <t>Married</t>
        </is>
      </c>
      <c r="E1736" s="5" t="inlineStr">
        <is>
          <t>Master</t>
        </is>
      </c>
      <c r="F1736" s="5" t="inlineStr">
        <is>
          <t>IT</t>
        </is>
      </c>
      <c r="G1736" s="5" t="inlineStr">
        <is>
          <t>Software Engineer</t>
        </is>
      </c>
      <c r="H1736" s="5" t="inlineStr">
        <is>
          <t>7</t>
        </is>
      </c>
      <c r="I1736" s="5" t="inlineStr">
        <is>
          <t>Delhi</t>
        </is>
      </c>
      <c r="J1736" s="5" t="inlineStr">
        <is>
          <t>Full-Time</t>
        </is>
      </c>
      <c r="K1736" s="7" t="n">
        <v>45229</v>
      </c>
      <c r="L1736" s="7" t="inlineStr"/>
      <c r="M1736" s="5" t="inlineStr">
        <is>
          <t>Yes</t>
        </is>
      </c>
      <c r="N1736" s="5" t="inlineStr"/>
      <c r="O1736" s="8" t="inlineStr">
        <is>
          <t>185000</t>
        </is>
      </c>
      <c r="P1736" s="5" t="inlineStr">
        <is>
          <t>5</t>
        </is>
      </c>
      <c r="Q1736" s="5" t="inlineStr">
        <is>
          <t>3</t>
        </is>
      </c>
      <c r="R1736" s="5" t="inlineStr">
        <is>
          <t>8</t>
        </is>
      </c>
      <c r="S1736" s="5" t="inlineStr">
        <is>
          <t>26</t>
        </is>
      </c>
      <c r="T1736" s="5" t="inlineStr">
        <is>
          <t>8</t>
        </is>
      </c>
      <c r="U1736" s="5" t="inlineStr">
        <is>
          <t>OK</t>
        </is>
      </c>
    </row>
    <row r="1737">
      <c r="A1737" s="5" t="inlineStr">
        <is>
          <t>E02030</t>
        </is>
      </c>
      <c r="B1737" s="5" t="inlineStr">
        <is>
          <t>Female</t>
        </is>
      </c>
      <c r="C1737" s="6" t="inlineStr">
        <is>
          <t>39</t>
        </is>
      </c>
      <c r="D1737" s="5" t="inlineStr">
        <is>
          <t>Married</t>
        </is>
      </c>
      <c r="E1737" s="5" t="inlineStr">
        <is>
          <t>High School</t>
        </is>
      </c>
      <c r="F1737" s="5" t="inlineStr">
        <is>
          <t>Operations</t>
        </is>
      </c>
      <c r="G1737" s="5" t="inlineStr">
        <is>
          <t>Logistics Coordinator</t>
        </is>
      </c>
      <c r="H1737" s="5" t="inlineStr">
        <is>
          <t>7</t>
        </is>
      </c>
      <c r="I1737" s="5" t="inlineStr">
        <is>
          <t>Delhi</t>
        </is>
      </c>
      <c r="J1737" s="5" t="inlineStr">
        <is>
          <t>Full-Time</t>
        </is>
      </c>
      <c r="K1737" s="7" t="n">
        <v>45598</v>
      </c>
      <c r="L1737" s="7" t="inlineStr"/>
      <c r="M1737" s="5" t="inlineStr">
        <is>
          <t>Yes</t>
        </is>
      </c>
      <c r="N1737" s="5" t="inlineStr"/>
      <c r="O1737" s="8" t="inlineStr">
        <is>
          <t>159000</t>
        </is>
      </c>
      <c r="P1737" s="5" t="inlineStr">
        <is>
          <t>15</t>
        </is>
      </c>
      <c r="Q1737" s="5" t="inlineStr">
        <is>
          <t>3</t>
        </is>
      </c>
      <c r="R1737" s="5" t="inlineStr">
        <is>
          <t>7</t>
        </is>
      </c>
      <c r="S1737" s="5" t="inlineStr">
        <is>
          <t>14</t>
        </is>
      </c>
      <c r="T1737" s="5" t="inlineStr">
        <is>
          <t>11</t>
        </is>
      </c>
      <c r="U1737" s="5" t="inlineStr">
        <is>
          <t>OK</t>
        </is>
      </c>
    </row>
    <row r="1738">
      <c r="A1738" s="5" t="inlineStr">
        <is>
          <t>E00466</t>
        </is>
      </c>
      <c r="B1738" s="5" t="inlineStr">
        <is>
          <t>Unknown</t>
        </is>
      </c>
      <c r="C1738" s="6" t="inlineStr">
        <is>
          <t>45</t>
        </is>
      </c>
      <c r="D1738" s="5" t="inlineStr">
        <is>
          <t>Married</t>
        </is>
      </c>
      <c r="E1738" s="5" t="inlineStr">
        <is>
          <t>Master</t>
        </is>
      </c>
      <c r="F1738" s="5" t="inlineStr">
        <is>
          <t>Customer Support</t>
        </is>
      </c>
      <c r="G1738" s="5" t="inlineStr">
        <is>
          <t>Support Agent</t>
        </is>
      </c>
      <c r="H1738" s="5" t="inlineStr">
        <is>
          <t>7</t>
        </is>
      </c>
      <c r="I1738" s="5" t="inlineStr">
        <is>
          <t>Delhi</t>
        </is>
      </c>
      <c r="J1738" s="5" t="inlineStr">
        <is>
          <t>Part-Time</t>
        </is>
      </c>
      <c r="K1738" s="7" t="n">
        <v>45393</v>
      </c>
      <c r="L1738" s="7" t="inlineStr"/>
      <c r="M1738" s="5" t="inlineStr">
        <is>
          <t>Yes</t>
        </is>
      </c>
      <c r="N1738" s="5" t="inlineStr"/>
      <c r="O1738" s="8" t="inlineStr">
        <is>
          <t>92500</t>
        </is>
      </c>
      <c r="P1738" s="5" t="inlineStr">
        <is>
          <t>20</t>
        </is>
      </c>
      <c r="Q1738" s="5" t="inlineStr">
        <is>
          <t>2</t>
        </is>
      </c>
      <c r="R1738" s="5" t="inlineStr">
        <is>
          <t>6</t>
        </is>
      </c>
      <c r="S1738" s="5" t="inlineStr">
        <is>
          <t>20</t>
        </is>
      </c>
      <c r="T1738" s="5" t="inlineStr">
        <is>
          <t>12</t>
        </is>
      </c>
      <c r="U1738" s="5" t="inlineStr">
        <is>
          <t>Bad gender</t>
        </is>
      </c>
    </row>
    <row r="1739">
      <c r="A1739" s="5" t="inlineStr">
        <is>
          <t>E00199</t>
        </is>
      </c>
      <c r="B1739" s="5" t="inlineStr">
        <is>
          <t>Male</t>
        </is>
      </c>
      <c r="C1739" s="6" t="inlineStr">
        <is>
          <t>28</t>
        </is>
      </c>
      <c r="D1739" s="5" t="inlineStr">
        <is>
          <t>Single</t>
        </is>
      </c>
      <c r="E1739" s="5" t="inlineStr">
        <is>
          <t>Diploma</t>
        </is>
      </c>
      <c r="F1739" s="5" t="inlineStr">
        <is>
          <t>Research &amp; Development</t>
        </is>
      </c>
      <c r="G1739" s="5" t="inlineStr">
        <is>
          <t>Research Scientist</t>
        </is>
      </c>
      <c r="H1739" s="5" t="inlineStr">
        <is>
          <t>2</t>
        </is>
      </c>
      <c r="I1739" s="5" t="inlineStr">
        <is>
          <t>Remote</t>
        </is>
      </c>
      <c r="J1739" s="5" t="inlineStr">
        <is>
          <t>Full-Time</t>
        </is>
      </c>
      <c r="K1739" s="7" t="n">
        <v>44087</v>
      </c>
      <c r="L1739" s="7" t="n">
        <v>44232</v>
      </c>
      <c r="M1739" s="5" t="inlineStr">
        <is>
          <t>No</t>
        </is>
      </c>
      <c r="N1739" s="5" t="inlineStr">
        <is>
          <t>Layoff</t>
        </is>
      </c>
      <c r="O1739" s="8" t="inlineStr">
        <is>
          <t>154000</t>
        </is>
      </c>
      <c r="P1739" s="5" t="inlineStr">
        <is>
          <t>0</t>
        </is>
      </c>
      <c r="Q1739" s="5" t="inlineStr">
        <is>
          <t>3</t>
        </is>
      </c>
      <c r="R1739" s="5" t="inlineStr">
        <is>
          <t>6</t>
        </is>
      </c>
      <c r="S1739" s="5" t="inlineStr">
        <is>
          <t>4</t>
        </is>
      </c>
      <c r="T1739" s="5" t="inlineStr">
        <is>
          <t>3</t>
        </is>
      </c>
      <c r="U1739" s="5" t="inlineStr">
        <is>
          <t>OK</t>
        </is>
      </c>
    </row>
    <row r="1740">
      <c r="A1740" s="5" t="inlineStr">
        <is>
          <t>E02761</t>
        </is>
      </c>
      <c r="B1740" s="5" t="inlineStr">
        <is>
          <t>Male</t>
        </is>
      </c>
      <c r="C1740" s="6" t="inlineStr">
        <is>
          <t>31</t>
        </is>
      </c>
      <c r="D1740" s="5" t="inlineStr">
        <is>
          <t>Married</t>
        </is>
      </c>
      <c r="E1740" s="5" t="inlineStr">
        <is>
          <t>PhD</t>
        </is>
      </c>
      <c r="F1740" s="5" t="inlineStr">
        <is>
          <t>Sales</t>
        </is>
      </c>
      <c r="G1740" s="5" t="inlineStr">
        <is>
          <t>Account Executive</t>
        </is>
      </c>
      <c r="H1740" s="5" t="inlineStr">
        <is>
          <t>2</t>
        </is>
      </c>
      <c r="I1740" s="5" t="inlineStr">
        <is>
          <t>Hyderabad</t>
        </is>
      </c>
      <c r="J1740" s="5" t="inlineStr">
        <is>
          <t>Contract</t>
        </is>
      </c>
      <c r="K1740" s="7" t="n">
        <v>44669</v>
      </c>
      <c r="L1740" s="7" t="inlineStr"/>
      <c r="M1740" s="5" t="inlineStr">
        <is>
          <t>Yes</t>
        </is>
      </c>
      <c r="N1740" s="5" t="inlineStr"/>
      <c r="O1740" s="8" t="inlineStr">
        <is>
          <t>69000</t>
        </is>
      </c>
      <c r="P1740" s="5" t="inlineStr">
        <is>
          <t>10</t>
        </is>
      </c>
      <c r="Q1740" s="5" t="inlineStr">
        <is>
          <t>3</t>
        </is>
      </c>
      <c r="R1740" s="5" t="inlineStr">
        <is>
          <t>6</t>
        </is>
      </c>
      <c r="S1740" s="5" t="inlineStr">
        <is>
          <t>45</t>
        </is>
      </c>
      <c r="T1740" s="5" t="inlineStr">
        <is>
          <t>0</t>
        </is>
      </c>
      <c r="U1740" s="5" t="inlineStr">
        <is>
          <t>OK</t>
        </is>
      </c>
    </row>
    <row r="1741">
      <c r="A1741" s="5" t="inlineStr">
        <is>
          <t>E02916</t>
        </is>
      </c>
      <c r="B1741" s="5" t="inlineStr">
        <is>
          <t>Female</t>
        </is>
      </c>
      <c r="C1741" s="6" t="inlineStr">
        <is>
          <t>38</t>
        </is>
      </c>
      <c r="D1741" s="5" t="inlineStr">
        <is>
          <t>Single</t>
        </is>
      </c>
      <c r="E1741" s="5" t="inlineStr">
        <is>
          <t>High School</t>
        </is>
      </c>
      <c r="F1741" s="5" t="inlineStr">
        <is>
          <t>Operations</t>
        </is>
      </c>
      <c r="G1741" s="5" t="inlineStr">
        <is>
          <t>Operations Analyst</t>
        </is>
      </c>
      <c r="H1741" s="5" t="inlineStr">
        <is>
          <t>6</t>
        </is>
      </c>
      <c r="I1741" s="5" t="inlineStr">
        <is>
          <t>Delhi</t>
        </is>
      </c>
      <c r="J1741" s="5" t="inlineStr">
        <is>
          <t>Full-Time</t>
        </is>
      </c>
      <c r="K1741" s="7" t="n">
        <v>43939</v>
      </c>
      <c r="L1741" s="7" t="n">
        <v>44004</v>
      </c>
      <c r="M1741" s="5" t="inlineStr">
        <is>
          <t>No</t>
        </is>
      </c>
      <c r="N1741" s="5" t="inlineStr">
        <is>
          <t>Layoff</t>
        </is>
      </c>
      <c r="O1741" s="8" t="inlineStr">
        <is>
          <t>117000</t>
        </is>
      </c>
      <c r="P1741" s="5" t="inlineStr">
        <is>
          <t>0</t>
        </is>
      </c>
      <c r="Q1741" s="5" t="inlineStr">
        <is>
          <t>3</t>
        </is>
      </c>
      <c r="R1741" s="5" t="inlineStr">
        <is>
          <t>5</t>
        </is>
      </c>
      <c r="S1741" s="5" t="inlineStr">
        <is>
          <t>2</t>
        </is>
      </c>
      <c r="T1741" s="5" t="inlineStr">
        <is>
          <t>9</t>
        </is>
      </c>
      <c r="U1741" s="5" t="inlineStr">
        <is>
          <t>OK</t>
        </is>
      </c>
    </row>
    <row r="1742">
      <c r="A1742" s="5" t="inlineStr">
        <is>
          <t>E01619</t>
        </is>
      </c>
      <c r="B1742" s="5" t="inlineStr">
        <is>
          <t>Male</t>
        </is>
      </c>
      <c r="C1742" s="6" t="inlineStr">
        <is>
          <t>31</t>
        </is>
      </c>
      <c r="D1742" s="5" t="inlineStr">
        <is>
          <t>Married</t>
        </is>
      </c>
      <c r="E1742" s="5" t="inlineStr">
        <is>
          <t>Diploma</t>
        </is>
      </c>
      <c r="F1742" s="5" t="inlineStr">
        <is>
          <t>Human Resources</t>
        </is>
      </c>
      <c r="G1742" s="5" t="inlineStr">
        <is>
          <t>HR Generalist</t>
        </is>
      </c>
      <c r="H1742" s="5" t="inlineStr">
        <is>
          <t>2</t>
        </is>
      </c>
      <c r="I1742" s="5" t="inlineStr">
        <is>
          <t>Chennai</t>
        </is>
      </c>
      <c r="J1742" s="5" t="inlineStr">
        <is>
          <t>Full-Time</t>
        </is>
      </c>
      <c r="K1742" s="7" t="n">
        <v>45108</v>
      </c>
      <c r="L1742" s="7" t="inlineStr"/>
      <c r="M1742" s="5" t="inlineStr">
        <is>
          <t>Yes</t>
        </is>
      </c>
      <c r="N1742" s="5" t="inlineStr"/>
      <c r="O1742" s="8" t="inlineStr">
        <is>
          <t>92000</t>
        </is>
      </c>
      <c r="P1742" s="5" t="inlineStr">
        <is>
          <t>5</t>
        </is>
      </c>
      <c r="Q1742" s="5" t="inlineStr">
        <is>
          <t>5</t>
        </is>
      </c>
      <c r="R1742" s="5" t="inlineStr">
        <is>
          <t>5</t>
        </is>
      </c>
      <c r="S1742" s="5" t="inlineStr">
        <is>
          <t>30</t>
        </is>
      </c>
      <c r="T1742" s="5" t="inlineStr">
        <is>
          <t>5</t>
        </is>
      </c>
      <c r="U1742" s="5" t="inlineStr">
        <is>
          <t>OK</t>
        </is>
      </c>
    </row>
    <row r="1743">
      <c r="A1743" s="5" t="inlineStr">
        <is>
          <t>E01359</t>
        </is>
      </c>
      <c r="B1743" s="5" t="inlineStr">
        <is>
          <t>Male</t>
        </is>
      </c>
      <c r="C1743" s="6" t="inlineStr">
        <is>
          <t>34</t>
        </is>
      </c>
      <c r="D1743" s="5" t="inlineStr">
        <is>
          <t>Single</t>
        </is>
      </c>
      <c r="E1743" s="5" t="inlineStr">
        <is>
          <t>High School</t>
        </is>
      </c>
      <c r="F1743" s="5" t="inlineStr">
        <is>
          <t>Operations</t>
        </is>
      </c>
      <c r="G1743" s="5" t="inlineStr">
        <is>
          <t>Logistics Coordinator</t>
        </is>
      </c>
      <c r="H1743" s="5" t="inlineStr">
        <is>
          <t>1</t>
        </is>
      </c>
      <c r="I1743" s="5" t="inlineStr">
        <is>
          <t>Chennai</t>
        </is>
      </c>
      <c r="J1743" s="5" t="inlineStr">
        <is>
          <t>Full-Time</t>
        </is>
      </c>
      <c r="K1743" s="7" t="n">
        <v>44689</v>
      </c>
      <c r="L1743" s="7" t="inlineStr"/>
      <c r="M1743" s="5" t="inlineStr">
        <is>
          <t>Yes</t>
        </is>
      </c>
      <c r="N1743" s="5" t="inlineStr"/>
      <c r="O1743" s="8" t="inlineStr">
        <is>
          <t>77000</t>
        </is>
      </c>
      <c r="P1743" s="5" t="inlineStr">
        <is>
          <t>15</t>
        </is>
      </c>
      <c r="Q1743" s="5" t="inlineStr">
        <is>
          <t>3</t>
        </is>
      </c>
      <c r="R1743" s="5" t="inlineStr">
        <is>
          <t>7</t>
        </is>
      </c>
      <c r="S1743" s="5" t="inlineStr">
        <is>
          <t>44</t>
        </is>
      </c>
      <c r="T1743" s="5" t="inlineStr">
        <is>
          <t>12</t>
        </is>
      </c>
      <c r="U1743" s="5" t="inlineStr">
        <is>
          <t>OK</t>
        </is>
      </c>
    </row>
    <row r="1744">
      <c r="A1744" s="5" t="inlineStr">
        <is>
          <t>E01349</t>
        </is>
      </c>
      <c r="B1744" s="5" t="inlineStr">
        <is>
          <t>Male</t>
        </is>
      </c>
      <c r="C1744" s="6" t="inlineStr">
        <is>
          <t>36</t>
        </is>
      </c>
      <c r="D1744" s="5" t="inlineStr">
        <is>
          <t>Married</t>
        </is>
      </c>
      <c r="E1744" s="5" t="inlineStr">
        <is>
          <t>Bachelor</t>
        </is>
      </c>
      <c r="F1744" s="5" t="inlineStr">
        <is>
          <t>IT</t>
        </is>
      </c>
      <c r="G1744" s="5" t="inlineStr">
        <is>
          <t>DevOps Engineer</t>
        </is>
      </c>
      <c r="H1744" s="5" t="inlineStr">
        <is>
          <t>3</t>
        </is>
      </c>
      <c r="I1744" s="5" t="inlineStr">
        <is>
          <t>Hyderabad</t>
        </is>
      </c>
      <c r="J1744" s="5" t="inlineStr">
        <is>
          <t>Full-Time</t>
        </is>
      </c>
      <c r="K1744" s="7" t="n">
        <v>45924</v>
      </c>
      <c r="L1744" s="7" t="inlineStr"/>
      <c r="M1744" s="5" t="inlineStr">
        <is>
          <t>Yes</t>
        </is>
      </c>
      <c r="N1744" s="5" t="inlineStr"/>
      <c r="O1744" s="8" t="inlineStr">
        <is>
          <t>123500</t>
        </is>
      </c>
      <c r="P1744" s="5" t="inlineStr">
        <is>
          <t>15</t>
        </is>
      </c>
      <c r="Q1744" s="5" t="inlineStr">
        <is>
          <t>3</t>
        </is>
      </c>
      <c r="R1744" s="5" t="inlineStr">
        <is>
          <t>3</t>
        </is>
      </c>
      <c r="S1744" s="5" t="inlineStr">
        <is>
          <t>3</t>
        </is>
      </c>
      <c r="T1744" s="5" t="inlineStr">
        <is>
          <t>0</t>
        </is>
      </c>
      <c r="U1744" s="5" t="inlineStr">
        <is>
          <t>OK</t>
        </is>
      </c>
    </row>
    <row r="1745">
      <c r="A1745" s="5" t="inlineStr">
        <is>
          <t>E00334</t>
        </is>
      </c>
      <c r="B1745" s="5" t="inlineStr">
        <is>
          <t>Male</t>
        </is>
      </c>
      <c r="C1745" s="6" t="inlineStr">
        <is>
          <t>34</t>
        </is>
      </c>
      <c r="D1745" s="5" t="inlineStr">
        <is>
          <t>Single</t>
        </is>
      </c>
      <c r="E1745" s="5" t="inlineStr">
        <is>
          <t>High School</t>
        </is>
      </c>
      <c r="F1745" s="5" t="inlineStr">
        <is>
          <t>IT</t>
        </is>
      </c>
      <c r="G1745" s="5" t="inlineStr">
        <is>
          <t>DevOps Engineer</t>
        </is>
      </c>
      <c r="H1745" s="5" t="inlineStr">
        <is>
          <t>1</t>
        </is>
      </c>
      <c r="I1745" s="5" t="inlineStr">
        <is>
          <t>Bengaluru</t>
        </is>
      </c>
      <c r="J1745" s="5" t="inlineStr">
        <is>
          <t>Full-Time</t>
        </is>
      </c>
      <c r="K1745" s="7" t="n">
        <v>45140</v>
      </c>
      <c r="L1745" s="7" t="inlineStr"/>
      <c r="M1745" s="5" t="inlineStr">
        <is>
          <t>Yes</t>
        </is>
      </c>
      <c r="N1745" s="5" t="inlineStr"/>
      <c r="O1745" s="8" t="inlineStr">
        <is>
          <t>137000</t>
        </is>
      </c>
      <c r="P1745" s="5" t="inlineStr">
        <is>
          <t>0</t>
        </is>
      </c>
      <c r="Q1745" s="5" t="inlineStr">
        <is>
          <t>3</t>
        </is>
      </c>
      <c r="R1745" s="5" t="inlineStr">
        <is>
          <t>6</t>
        </is>
      </c>
      <c r="S1745" s="5" t="inlineStr">
        <is>
          <t>29</t>
        </is>
      </c>
      <c r="T1745" s="5" t="inlineStr">
        <is>
          <t>11</t>
        </is>
      </c>
      <c r="U1745" s="5" t="inlineStr">
        <is>
          <t>OK</t>
        </is>
      </c>
    </row>
    <row r="1746">
      <c r="A1746" s="5" t="inlineStr">
        <is>
          <t>E00386</t>
        </is>
      </c>
      <c r="B1746" s="5" t="inlineStr">
        <is>
          <t>Female</t>
        </is>
      </c>
      <c r="C1746" s="6" t="inlineStr">
        <is>
          <t>44</t>
        </is>
      </c>
      <c r="D1746" s="5" t="inlineStr">
        <is>
          <t>Divorced</t>
        </is>
      </c>
      <c r="E1746" s="5" t="inlineStr">
        <is>
          <t>Diploma</t>
        </is>
      </c>
      <c r="F1746" s="5" t="inlineStr">
        <is>
          <t>Human Resources</t>
        </is>
      </c>
      <c r="G1746" s="5" t="inlineStr">
        <is>
          <t>HR Generalist</t>
        </is>
      </c>
      <c r="H1746" s="5" t="inlineStr">
        <is>
          <t>6</t>
        </is>
      </c>
      <c r="I1746" s="5" t="inlineStr">
        <is>
          <t>Chennai</t>
        </is>
      </c>
      <c r="J1746" s="5" t="inlineStr">
        <is>
          <t>Full-Time</t>
        </is>
      </c>
      <c r="K1746" s="7" t="n">
        <v>45995</v>
      </c>
      <c r="L1746" s="7" t="inlineStr"/>
      <c r="M1746" s="5" t="inlineStr">
        <is>
          <t>Yes</t>
        </is>
      </c>
      <c r="N1746" s="5" t="inlineStr"/>
      <c r="O1746" s="8" t="inlineStr">
        <is>
          <t>133000</t>
        </is>
      </c>
      <c r="P1746" s="5" t="inlineStr">
        <is>
          <t>0</t>
        </is>
      </c>
      <c r="Q1746" s="5" t="inlineStr">
        <is>
          <t>4</t>
        </is>
      </c>
      <c r="R1746" s="5" t="inlineStr">
        <is>
          <t>8</t>
        </is>
      </c>
      <c r="S1746" s="5" t="inlineStr">
        <is>
          <t>1</t>
        </is>
      </c>
      <c r="T1746" s="5" t="inlineStr">
        <is>
          <t>6</t>
        </is>
      </c>
      <c r="U1746" s="5" t="inlineStr">
        <is>
          <t>OK</t>
        </is>
      </c>
    </row>
    <row r="1747">
      <c r="A1747" s="5" t="inlineStr">
        <is>
          <t>E02543</t>
        </is>
      </c>
      <c r="B1747" s="5" t="inlineStr">
        <is>
          <t>Male</t>
        </is>
      </c>
      <c r="C1747" s="6" t="inlineStr">
        <is>
          <t>28</t>
        </is>
      </c>
      <c r="D1747" s="5" t="inlineStr">
        <is>
          <t>Single</t>
        </is>
      </c>
      <c r="E1747" s="5" t="inlineStr">
        <is>
          <t>High School</t>
        </is>
      </c>
      <c r="F1747" s="5" t="inlineStr">
        <is>
          <t>IT</t>
        </is>
      </c>
      <c r="G1747" s="5" t="inlineStr">
        <is>
          <t>Data Analyst</t>
        </is>
      </c>
      <c r="H1747" s="5" t="inlineStr">
        <is>
          <t>3</t>
        </is>
      </c>
      <c r="I1747" s="5" t="inlineStr">
        <is>
          <t>Chennai</t>
        </is>
      </c>
      <c r="J1747" s="5" t="inlineStr">
        <is>
          <t>Full-Time</t>
        </is>
      </c>
      <c r="K1747" s="7" t="n">
        <v>44109</v>
      </c>
      <c r="L1747" s="7" t="inlineStr"/>
      <c r="M1747" s="5" t="inlineStr">
        <is>
          <t>Yes</t>
        </is>
      </c>
      <c r="N1747" s="5" t="inlineStr"/>
      <c r="O1747" s="8" t="inlineStr">
        <is>
          <t>121500</t>
        </is>
      </c>
      <c r="P1747" s="5" t="inlineStr">
        <is>
          <t>0</t>
        </is>
      </c>
      <c r="Q1747" s="5" t="inlineStr">
        <is>
          <t>2</t>
        </is>
      </c>
      <c r="R1747" s="5" t="inlineStr">
        <is>
          <t>5</t>
        </is>
      </c>
      <c r="S1747" s="5" t="inlineStr">
        <is>
          <t>63</t>
        </is>
      </c>
      <c r="T1747" s="5" t="inlineStr">
        <is>
          <t>11</t>
        </is>
      </c>
      <c r="U1747" s="5" t="inlineStr">
        <is>
          <t>OK</t>
        </is>
      </c>
    </row>
    <row r="1748">
      <c r="A1748" s="5" t="inlineStr">
        <is>
          <t>E01907</t>
        </is>
      </c>
      <c r="B1748" s="5" t="inlineStr">
        <is>
          <t>Male</t>
        </is>
      </c>
      <c r="C1748" s="6" t="inlineStr">
        <is>
          <t>42</t>
        </is>
      </c>
      <c r="D1748" s="5" t="inlineStr">
        <is>
          <t>Married</t>
        </is>
      </c>
      <c r="E1748" s="5" t="inlineStr">
        <is>
          <t>Bachelor</t>
        </is>
      </c>
      <c r="F1748" s="5" t="inlineStr">
        <is>
          <t>Marketing</t>
        </is>
      </c>
      <c r="G1748" s="5" t="inlineStr">
        <is>
          <t>Content Writer</t>
        </is>
      </c>
      <c r="H1748" s="5" t="inlineStr">
        <is>
          <t>5</t>
        </is>
      </c>
      <c r="I1748" s="5" t="inlineStr">
        <is>
          <t>Mumbai</t>
        </is>
      </c>
      <c r="J1748" s="5" t="inlineStr">
        <is>
          <t>Full-Time</t>
        </is>
      </c>
      <c r="K1748" s="7" t="n">
        <v>45681</v>
      </c>
      <c r="L1748" s="7" t="inlineStr"/>
      <c r="M1748" s="5" t="inlineStr">
        <is>
          <t>Yes</t>
        </is>
      </c>
      <c r="N1748" s="5" t="inlineStr"/>
      <c r="O1748" s="8" t="inlineStr">
        <is>
          <t>118500</t>
        </is>
      </c>
      <c r="P1748" s="5" t="inlineStr">
        <is>
          <t>20</t>
        </is>
      </c>
      <c r="Q1748" s="5" t="inlineStr">
        <is>
          <t>3</t>
        </is>
      </c>
      <c r="R1748" s="5" t="inlineStr">
        <is>
          <t>4</t>
        </is>
      </c>
      <c r="S1748" s="5" t="inlineStr">
        <is>
          <t>11</t>
        </is>
      </c>
      <c r="T1748" s="5" t="inlineStr">
        <is>
          <t>0</t>
        </is>
      </c>
      <c r="U1748" s="5" t="inlineStr">
        <is>
          <t>OK</t>
        </is>
      </c>
    </row>
    <row r="1749">
      <c r="A1749" s="5" t="inlineStr">
        <is>
          <t>E00923</t>
        </is>
      </c>
      <c r="B1749" s="5" t="inlineStr">
        <is>
          <t>Male</t>
        </is>
      </c>
      <c r="C1749" s="6" t="inlineStr">
        <is>
          <t>34</t>
        </is>
      </c>
      <c r="D1749" s="5" t="inlineStr">
        <is>
          <t>Married</t>
        </is>
      </c>
      <c r="E1749" s="5" t="inlineStr">
        <is>
          <t>High School</t>
        </is>
      </c>
      <c r="F1749" s="5" t="inlineStr">
        <is>
          <t>Finance</t>
        </is>
      </c>
      <c r="G1749" s="5" t="inlineStr">
        <is>
          <t>Accountant</t>
        </is>
      </c>
      <c r="H1749" s="5" t="inlineStr">
        <is>
          <t>4</t>
        </is>
      </c>
      <c r="I1749" s="5" t="inlineStr">
        <is>
          <t>Chennai</t>
        </is>
      </c>
      <c r="J1749" s="5" t="inlineStr">
        <is>
          <t>Full-Time</t>
        </is>
      </c>
      <c r="K1749" s="7" t="n">
        <v>45779</v>
      </c>
      <c r="L1749" s="7" t="inlineStr"/>
      <c r="M1749" s="5" t="inlineStr">
        <is>
          <t>Yes</t>
        </is>
      </c>
      <c r="N1749" s="5" t="inlineStr"/>
      <c r="O1749" s="8" t="inlineStr">
        <is>
          <t>165000</t>
        </is>
      </c>
      <c r="P1749" s="5" t="inlineStr">
        <is>
          <t>5</t>
        </is>
      </c>
      <c r="Q1749" s="5" t="inlineStr">
        <is>
          <t>5</t>
        </is>
      </c>
      <c r="R1749" s="5" t="inlineStr">
        <is>
          <t>6</t>
        </is>
      </c>
      <c r="S1749" s="5" t="inlineStr">
        <is>
          <t>8</t>
        </is>
      </c>
      <c r="T1749" s="5" t="inlineStr">
        <is>
          <t>9</t>
        </is>
      </c>
      <c r="U1749" s="5" t="inlineStr">
        <is>
          <t>OK</t>
        </is>
      </c>
    </row>
    <row r="1750">
      <c r="A1750" s="5" t="inlineStr">
        <is>
          <t>E00732</t>
        </is>
      </c>
      <c r="B1750" s="5" t="inlineStr">
        <is>
          <t>Female</t>
        </is>
      </c>
      <c r="C1750" s="6" t="inlineStr">
        <is>
          <t>25</t>
        </is>
      </c>
      <c r="D1750" s="5" t="inlineStr">
        <is>
          <t>Married</t>
        </is>
      </c>
      <c r="E1750" s="5" t="inlineStr">
        <is>
          <t>PhD</t>
        </is>
      </c>
      <c r="F1750" s="5" t="inlineStr">
        <is>
          <t>Operations</t>
        </is>
      </c>
      <c r="G1750" s="5" t="inlineStr">
        <is>
          <t>Quality Analyst</t>
        </is>
      </c>
      <c r="H1750" s="5" t="inlineStr">
        <is>
          <t>2</t>
        </is>
      </c>
      <c r="I1750" s="5" t="inlineStr">
        <is>
          <t>Bengaluru</t>
        </is>
      </c>
      <c r="J1750" s="5" t="inlineStr">
        <is>
          <t>Full-Time</t>
        </is>
      </c>
      <c r="K1750" s="7" t="n">
        <v>44575</v>
      </c>
      <c r="L1750" s="7" t="inlineStr"/>
      <c r="M1750" s="5" t="inlineStr">
        <is>
          <t>Yes</t>
        </is>
      </c>
      <c r="N1750" s="5" t="inlineStr"/>
      <c r="O1750" s="8" t="inlineStr">
        <is>
          <t>113000</t>
        </is>
      </c>
      <c r="P1750" s="5" t="inlineStr">
        <is>
          <t>15</t>
        </is>
      </c>
      <c r="Q1750" s="5" t="inlineStr">
        <is>
          <t>3</t>
        </is>
      </c>
      <c r="R1750" s="5" t="inlineStr">
        <is>
          <t>4</t>
        </is>
      </c>
      <c r="S1750" s="5" t="inlineStr">
        <is>
          <t>48</t>
        </is>
      </c>
      <c r="T1750" s="5" t="inlineStr">
        <is>
          <t>0</t>
        </is>
      </c>
      <c r="U1750" s="5" t="inlineStr">
        <is>
          <t>OK</t>
        </is>
      </c>
    </row>
    <row r="1751">
      <c r="A1751" s="5" t="inlineStr">
        <is>
          <t>E00013</t>
        </is>
      </c>
      <c r="B1751" s="5" t="inlineStr">
        <is>
          <t>Unknown</t>
        </is>
      </c>
      <c r="C1751" s="6" t="inlineStr">
        <is>
          <t>34</t>
        </is>
      </c>
      <c r="D1751" s="5" t="inlineStr">
        <is>
          <t>Married</t>
        </is>
      </c>
      <c r="E1751" s="5" t="inlineStr">
        <is>
          <t>High School</t>
        </is>
      </c>
      <c r="F1751" s="5" t="inlineStr">
        <is>
          <t>Operations</t>
        </is>
      </c>
      <c r="G1751" s="5" t="inlineStr">
        <is>
          <t>Operations Analyst</t>
        </is>
      </c>
      <c r="H1751" s="5" t="inlineStr">
        <is>
          <t>3</t>
        </is>
      </c>
      <c r="I1751" s="5" t="inlineStr">
        <is>
          <t>Chennai</t>
        </is>
      </c>
      <c r="J1751" s="5" t="inlineStr">
        <is>
          <t>Contract</t>
        </is>
      </c>
      <c r="K1751" s="7" t="n">
        <v>45074</v>
      </c>
      <c r="L1751" s="7" t="inlineStr"/>
      <c r="M1751" s="5" t="inlineStr">
        <is>
          <t>Yes</t>
        </is>
      </c>
      <c r="N1751" s="5" t="inlineStr"/>
      <c r="O1751" s="8" t="inlineStr">
        <is>
          <t>95500</t>
        </is>
      </c>
      <c r="P1751" s="5" t="inlineStr">
        <is>
          <t>0</t>
        </is>
      </c>
      <c r="Q1751" s="5" t="inlineStr">
        <is>
          <t>4</t>
        </is>
      </c>
      <c r="R1751" s="5" t="inlineStr">
        <is>
          <t>6</t>
        </is>
      </c>
      <c r="S1751" s="5" t="inlineStr">
        <is>
          <t>31</t>
        </is>
      </c>
      <c r="T1751" s="5" t="inlineStr">
        <is>
          <t>2</t>
        </is>
      </c>
      <c r="U1751" s="5" t="inlineStr">
        <is>
          <t>Bad gender</t>
        </is>
      </c>
    </row>
    <row r="1752">
      <c r="A1752" s="5" t="inlineStr">
        <is>
          <t>E02417</t>
        </is>
      </c>
      <c r="B1752" s="5" t="inlineStr">
        <is>
          <t>Male</t>
        </is>
      </c>
      <c r="C1752" s="6" t="inlineStr">
        <is>
          <t>30</t>
        </is>
      </c>
      <c r="D1752" s="5" t="inlineStr">
        <is>
          <t>Married</t>
        </is>
      </c>
      <c r="E1752" s="5" t="inlineStr">
        <is>
          <t>PhD</t>
        </is>
      </c>
      <c r="F1752" s="5" t="inlineStr">
        <is>
          <t>Human Resources</t>
        </is>
      </c>
      <c r="G1752" s="5" t="inlineStr">
        <is>
          <t>HR Analyst</t>
        </is>
      </c>
      <c r="H1752" s="5" t="inlineStr">
        <is>
          <t>1</t>
        </is>
      </c>
      <c r="I1752" s="5" t="inlineStr">
        <is>
          <t>Chennai</t>
        </is>
      </c>
      <c r="J1752" s="5" t="inlineStr">
        <is>
          <t>Full-Time</t>
        </is>
      </c>
      <c r="K1752" s="7" t="n">
        <v>45761</v>
      </c>
      <c r="L1752" s="7" t="inlineStr"/>
      <c r="M1752" s="5" t="inlineStr">
        <is>
          <t>Yes</t>
        </is>
      </c>
      <c r="N1752" s="5" t="inlineStr"/>
      <c r="O1752" s="8" t="inlineStr">
        <is>
          <t>85000</t>
        </is>
      </c>
      <c r="P1752" s="5" t="inlineStr">
        <is>
          <t>5</t>
        </is>
      </c>
      <c r="Q1752" s="5" t="inlineStr">
        <is>
          <t>4</t>
        </is>
      </c>
      <c r="R1752" s="5" t="inlineStr">
        <is>
          <t>5</t>
        </is>
      </c>
      <c r="S1752" s="5" t="inlineStr">
        <is>
          <t>8</t>
        </is>
      </c>
      <c r="T1752" s="5" t="inlineStr">
        <is>
          <t>9</t>
        </is>
      </c>
      <c r="U1752" s="5" t="inlineStr">
        <is>
          <t>OK</t>
        </is>
      </c>
    </row>
    <row r="1753">
      <c r="A1753" s="5" t="inlineStr">
        <is>
          <t>E02535</t>
        </is>
      </c>
      <c r="B1753" s="5" t="inlineStr">
        <is>
          <t>Female</t>
        </is>
      </c>
      <c r="C1753" s="6" t="inlineStr">
        <is>
          <t>33</t>
        </is>
      </c>
      <c r="D1753" s="5" t="inlineStr">
        <is>
          <t>Divorced</t>
        </is>
      </c>
      <c r="E1753" s="5" t="inlineStr">
        <is>
          <t>Master</t>
        </is>
      </c>
      <c r="F1753" s="5" t="inlineStr">
        <is>
          <t>Human Resources</t>
        </is>
      </c>
      <c r="G1753" s="5" t="inlineStr">
        <is>
          <t>Recruiter</t>
        </is>
      </c>
      <c r="H1753" s="5" t="inlineStr">
        <is>
          <t>1</t>
        </is>
      </c>
      <c r="I1753" s="5" t="inlineStr">
        <is>
          <t>Remote</t>
        </is>
      </c>
      <c r="J1753" s="5" t="inlineStr">
        <is>
          <t>Full-Time</t>
        </is>
      </c>
      <c r="K1753" s="7" t="n">
        <v>44273</v>
      </c>
      <c r="L1753" s="7" t="n">
        <v>44327</v>
      </c>
      <c r="M1753" s="5" t="inlineStr">
        <is>
          <t>No</t>
        </is>
      </c>
      <c r="N1753" s="5" t="inlineStr">
        <is>
          <t>Retirement</t>
        </is>
      </c>
      <c r="O1753" s="8" t="inlineStr">
        <is>
          <t>79500</t>
        </is>
      </c>
      <c r="P1753" s="5" t="inlineStr">
        <is>
          <t>0</t>
        </is>
      </c>
      <c r="Q1753" s="5" t="inlineStr">
        <is>
          <t>4</t>
        </is>
      </c>
      <c r="R1753" s="5" t="inlineStr">
        <is>
          <t>7</t>
        </is>
      </c>
      <c r="S1753" s="5" t="inlineStr">
        <is>
          <t>1</t>
        </is>
      </c>
      <c r="T1753" s="5" t="inlineStr">
        <is>
          <t>8</t>
        </is>
      </c>
      <c r="U1753" s="5" t="inlineStr">
        <is>
          <t>OK</t>
        </is>
      </c>
    </row>
    <row r="1754">
      <c r="A1754" s="5" t="inlineStr">
        <is>
          <t>E01595</t>
        </is>
      </c>
      <c r="B1754" s="5" t="inlineStr">
        <is>
          <t>Male</t>
        </is>
      </c>
      <c r="C1754" s="6" t="inlineStr">
        <is>
          <t>29</t>
        </is>
      </c>
      <c r="D1754" s="5" t="inlineStr">
        <is>
          <t>Married</t>
        </is>
      </c>
      <c r="E1754" s="5" t="inlineStr">
        <is>
          <t>Diploma</t>
        </is>
      </c>
      <c r="F1754" s="5" t="inlineStr">
        <is>
          <t>Sales</t>
        </is>
      </c>
      <c r="G1754" s="5" t="inlineStr">
        <is>
          <t>Sales Executive</t>
        </is>
      </c>
      <c r="H1754" s="5" t="inlineStr">
        <is>
          <t>1</t>
        </is>
      </c>
      <c r="I1754" s="5" t="inlineStr">
        <is>
          <t>Bengaluru</t>
        </is>
      </c>
      <c r="J1754" s="5" t="inlineStr">
        <is>
          <t>Full-Time</t>
        </is>
      </c>
      <c r="K1754" s="7" t="n">
        <v>44455</v>
      </c>
      <c r="L1754" s="7" t="n">
        <v>44598</v>
      </c>
      <c r="M1754" s="5" t="inlineStr">
        <is>
          <t>No</t>
        </is>
      </c>
      <c r="N1754" s="5" t="inlineStr">
        <is>
          <t>Resigned</t>
        </is>
      </c>
      <c r="O1754" s="8" t="inlineStr">
        <is>
          <t>105000</t>
        </is>
      </c>
      <c r="P1754" s="5" t="inlineStr">
        <is>
          <t>15</t>
        </is>
      </c>
      <c r="Q1754" s="5" t="inlineStr">
        <is>
          <t>4</t>
        </is>
      </c>
      <c r="R1754" s="5" t="inlineStr">
        <is>
          <t>3</t>
        </is>
      </c>
      <c r="S1754" s="5" t="inlineStr">
        <is>
          <t>4</t>
        </is>
      </c>
      <c r="T1754" s="5" t="inlineStr">
        <is>
          <t>18</t>
        </is>
      </c>
      <c r="U1754" s="5" t="inlineStr">
        <is>
          <t>OK</t>
        </is>
      </c>
    </row>
    <row r="1755">
      <c r="A1755" s="5" t="inlineStr">
        <is>
          <t>E01392</t>
        </is>
      </c>
      <c r="B1755" s="5" t="inlineStr">
        <is>
          <t>Male</t>
        </is>
      </c>
      <c r="C1755" s="6" t="inlineStr">
        <is>
          <t>29</t>
        </is>
      </c>
      <c r="D1755" s="5" t="inlineStr">
        <is>
          <t>Married</t>
        </is>
      </c>
      <c r="E1755" s="5" t="inlineStr">
        <is>
          <t>Bachelor</t>
        </is>
      </c>
      <c r="F1755" s="5" t="inlineStr">
        <is>
          <t>Finance</t>
        </is>
      </c>
      <c r="G1755" s="5" t="inlineStr">
        <is>
          <t>Credit Analyst</t>
        </is>
      </c>
      <c r="H1755" s="5" t="inlineStr">
        <is>
          <t>1</t>
        </is>
      </c>
      <c r="I1755" s="5" t="inlineStr">
        <is>
          <t>Chennai</t>
        </is>
      </c>
      <c r="J1755" s="5" t="inlineStr">
        <is>
          <t>Full-Time</t>
        </is>
      </c>
      <c r="K1755" s="7" t="n">
        <v>44717</v>
      </c>
      <c r="L1755" s="7" t="inlineStr"/>
      <c r="M1755" s="5" t="inlineStr">
        <is>
          <t>Yes</t>
        </is>
      </c>
      <c r="N1755" s="5" t="inlineStr"/>
      <c r="O1755" s="8" t="inlineStr">
        <is>
          <t>67000</t>
        </is>
      </c>
      <c r="P1755" s="5" t="inlineStr">
        <is>
          <t>10</t>
        </is>
      </c>
      <c r="Q1755" s="5" t="inlineStr">
        <is>
          <t>3</t>
        </is>
      </c>
      <c r="R1755" s="5" t="inlineStr">
        <is>
          <t>7</t>
        </is>
      </c>
      <c r="S1755" s="5" t="inlineStr">
        <is>
          <t>43</t>
        </is>
      </c>
      <c r="T1755" s="5" t="inlineStr">
        <is>
          <t>9</t>
        </is>
      </c>
      <c r="U1755" s="5" t="inlineStr">
        <is>
          <t>OK</t>
        </is>
      </c>
    </row>
    <row r="1756">
      <c r="A1756" s="5" t="inlineStr">
        <is>
          <t>E00380</t>
        </is>
      </c>
      <c r="B1756" s="5" t="inlineStr">
        <is>
          <t>Male</t>
        </is>
      </c>
      <c r="C1756" s="6" t="inlineStr">
        <is>
          <t>28</t>
        </is>
      </c>
      <c r="D1756" s="5" t="inlineStr">
        <is>
          <t>Single</t>
        </is>
      </c>
      <c r="E1756" s="5" t="inlineStr">
        <is>
          <t>PhD</t>
        </is>
      </c>
      <c r="F1756" s="5" t="inlineStr">
        <is>
          <t>IT</t>
        </is>
      </c>
      <c r="G1756" s="5" t="inlineStr">
        <is>
          <t>DevOps Engineer</t>
        </is>
      </c>
      <c r="H1756" s="5" t="inlineStr">
        <is>
          <t>1</t>
        </is>
      </c>
      <c r="I1756" s="5" t="inlineStr">
        <is>
          <t>Mumbai</t>
        </is>
      </c>
      <c r="J1756" s="5" t="inlineStr">
        <is>
          <t>Full-Time</t>
        </is>
      </c>
      <c r="K1756" s="7" t="n">
        <v>43891</v>
      </c>
      <c r="L1756" s="7" t="inlineStr"/>
      <c r="M1756" s="5" t="inlineStr">
        <is>
          <t>Yes</t>
        </is>
      </c>
      <c r="N1756" s="5" t="inlineStr"/>
      <c r="O1756" s="8" t="inlineStr">
        <is>
          <t>96500</t>
        </is>
      </c>
      <c r="P1756" s="5" t="inlineStr">
        <is>
          <t>10</t>
        </is>
      </c>
      <c r="Q1756" s="5" t="inlineStr">
        <is>
          <t>4</t>
        </is>
      </c>
      <c r="R1756" s="5" t="inlineStr">
        <is>
          <t>6</t>
        </is>
      </c>
      <c r="S1756" s="5" t="inlineStr">
        <is>
          <t>71</t>
        </is>
      </c>
      <c r="T1756" s="5" t="inlineStr">
        <is>
          <t>0</t>
        </is>
      </c>
      <c r="U1756" s="5" t="inlineStr">
        <is>
          <t>OK</t>
        </is>
      </c>
    </row>
    <row r="1757">
      <c r="A1757" s="5" t="inlineStr">
        <is>
          <t>E00112</t>
        </is>
      </c>
      <c r="B1757" s="5" t="inlineStr">
        <is>
          <t>Female</t>
        </is>
      </c>
      <c r="C1757" s="6" t="inlineStr">
        <is>
          <t>36</t>
        </is>
      </c>
      <c r="D1757" s="5" t="inlineStr">
        <is>
          <t>Single</t>
        </is>
      </c>
      <c r="E1757" s="5" t="inlineStr">
        <is>
          <t>Diploma</t>
        </is>
      </c>
      <c r="F1757" s="5" t="inlineStr">
        <is>
          <t>Research &amp; Development</t>
        </is>
      </c>
      <c r="G1757" s="5" t="inlineStr">
        <is>
          <t>Product Engineer</t>
        </is>
      </c>
      <c r="H1757" s="5" t="inlineStr">
        <is>
          <t>3</t>
        </is>
      </c>
      <c r="I1757" s="5" t="inlineStr">
        <is>
          <t>Remote</t>
        </is>
      </c>
      <c r="J1757" s="5" t="inlineStr">
        <is>
          <t>Full-Time</t>
        </is>
      </c>
      <c r="K1757" s="7" t="n">
        <v>45488</v>
      </c>
      <c r="L1757" s="7" t="inlineStr"/>
      <c r="M1757" s="5" t="inlineStr">
        <is>
          <t>Yes</t>
        </is>
      </c>
      <c r="N1757" s="5" t="inlineStr"/>
      <c r="O1757" s="8" t="inlineStr">
        <is>
          <t>192000</t>
        </is>
      </c>
      <c r="P1757" s="5" t="inlineStr">
        <is>
          <t>15</t>
        </is>
      </c>
      <c r="Q1757" s="5" t="inlineStr">
        <is>
          <t>5</t>
        </is>
      </c>
      <c r="R1757" s="5" t="inlineStr">
        <is>
          <t>6</t>
        </is>
      </c>
      <c r="S1757" s="5" t="inlineStr">
        <is>
          <t>17</t>
        </is>
      </c>
      <c r="T1757" s="5" t="inlineStr">
        <is>
          <t>10</t>
        </is>
      </c>
      <c r="U1757" s="5" t="inlineStr">
        <is>
          <t>OK</t>
        </is>
      </c>
    </row>
    <row r="1758">
      <c r="A1758" s="5" t="inlineStr">
        <is>
          <t>E00429</t>
        </is>
      </c>
      <c r="B1758" s="5" t="inlineStr">
        <is>
          <t>Female</t>
        </is>
      </c>
      <c r="C1758" s="6" t="inlineStr">
        <is>
          <t>29</t>
        </is>
      </c>
      <c r="D1758" s="5" t="inlineStr">
        <is>
          <t>Married</t>
        </is>
      </c>
      <c r="E1758" s="5" t="inlineStr">
        <is>
          <t>Bachelor</t>
        </is>
      </c>
      <c r="F1758" s="5" t="inlineStr">
        <is>
          <t>Finance</t>
        </is>
      </c>
      <c r="G1758" s="5" t="inlineStr">
        <is>
          <t>Financial Analyst</t>
        </is>
      </c>
      <c r="H1758" s="5" t="inlineStr">
        <is>
          <t>2</t>
        </is>
      </c>
      <c r="I1758" s="5" t="inlineStr">
        <is>
          <t>Chennai</t>
        </is>
      </c>
      <c r="J1758" s="5" t="inlineStr">
        <is>
          <t>Full-Time</t>
        </is>
      </c>
      <c r="K1758" s="7" t="n">
        <v>45590</v>
      </c>
      <c r="L1758" s="7" t="inlineStr"/>
      <c r="M1758" s="5" t="inlineStr">
        <is>
          <t>Yes</t>
        </is>
      </c>
      <c r="N1758" s="5" t="inlineStr"/>
      <c r="O1758" s="8" t="inlineStr">
        <is>
          <t>118000</t>
        </is>
      </c>
      <c r="P1758" s="5" t="inlineStr">
        <is>
          <t>5</t>
        </is>
      </c>
      <c r="Q1758" s="5" t="inlineStr">
        <is>
          <t>3</t>
        </is>
      </c>
      <c r="R1758" s="5" t="inlineStr">
        <is>
          <t>8</t>
        </is>
      </c>
      <c r="S1758" s="5" t="inlineStr">
        <is>
          <t>14</t>
        </is>
      </c>
      <c r="T1758" s="5" t="inlineStr">
        <is>
          <t>1</t>
        </is>
      </c>
      <c r="U1758" s="5" t="inlineStr">
        <is>
          <t>OK</t>
        </is>
      </c>
    </row>
    <row r="1759">
      <c r="A1759" s="5" t="inlineStr">
        <is>
          <t>E00554</t>
        </is>
      </c>
      <c r="B1759" s="5" t="inlineStr">
        <is>
          <t>Male</t>
        </is>
      </c>
      <c r="C1759" s="6" t="inlineStr">
        <is>
          <t>29</t>
        </is>
      </c>
      <c r="D1759" s="5" t="inlineStr">
        <is>
          <t>Married</t>
        </is>
      </c>
      <c r="E1759" s="5" t="inlineStr">
        <is>
          <t>Bachelor</t>
        </is>
      </c>
      <c r="F1759" s="5" t="inlineStr">
        <is>
          <t>Research &amp; Development</t>
        </is>
      </c>
      <c r="G1759" s="5" t="inlineStr">
        <is>
          <t>Data Scientist</t>
        </is>
      </c>
      <c r="H1759" s="5" t="inlineStr">
        <is>
          <t>4</t>
        </is>
      </c>
      <c r="I1759" s="5" t="inlineStr">
        <is>
          <t>Remote</t>
        </is>
      </c>
      <c r="J1759" s="5" t="inlineStr">
        <is>
          <t>Full-Time</t>
        </is>
      </c>
      <c r="K1759" s="7" t="n">
        <v>44368</v>
      </c>
      <c r="L1759" s="7" t="inlineStr"/>
      <c r="M1759" s="5" t="inlineStr">
        <is>
          <t>Yes</t>
        </is>
      </c>
      <c r="N1759" s="5" t="inlineStr"/>
      <c r="O1759" s="8" t="inlineStr">
        <is>
          <t>235500</t>
        </is>
      </c>
      <c r="P1759" s="5" t="inlineStr">
        <is>
          <t>0</t>
        </is>
      </c>
      <c r="Q1759" s="5" t="inlineStr">
        <is>
          <t>5</t>
        </is>
      </c>
      <c r="R1759" s="5" t="inlineStr">
        <is>
          <t>5</t>
        </is>
      </c>
      <c r="S1759" s="5" t="inlineStr">
        <is>
          <t>55</t>
        </is>
      </c>
      <c r="T1759" s="5" t="inlineStr">
        <is>
          <t>4</t>
        </is>
      </c>
      <c r="U1759" s="5" t="inlineStr">
        <is>
          <t>OK</t>
        </is>
      </c>
    </row>
    <row r="1760">
      <c r="A1760" s="5" t="inlineStr">
        <is>
          <t>E01465</t>
        </is>
      </c>
      <c r="B1760" s="5" t="inlineStr">
        <is>
          <t>Female</t>
        </is>
      </c>
      <c r="C1760" s="6" t="inlineStr">
        <is>
          <t>35</t>
        </is>
      </c>
      <c r="D1760" s="5" t="inlineStr">
        <is>
          <t>Married</t>
        </is>
      </c>
      <c r="E1760" s="5" t="inlineStr">
        <is>
          <t>Master</t>
        </is>
      </c>
      <c r="F1760" s="5" t="inlineStr">
        <is>
          <t>Sales</t>
        </is>
      </c>
      <c r="G1760" s="5" t="inlineStr">
        <is>
          <t>Sales Executive</t>
        </is>
      </c>
      <c r="H1760" s="5" t="inlineStr">
        <is>
          <t>2</t>
        </is>
      </c>
      <c r="I1760" s="5" t="inlineStr">
        <is>
          <t>Remote</t>
        </is>
      </c>
      <c r="J1760" s="5" t="inlineStr">
        <is>
          <t>Full-Time</t>
        </is>
      </c>
      <c r="K1760" s="7" t="n">
        <v>45711</v>
      </c>
      <c r="L1760" s="7" t="inlineStr"/>
      <c r="M1760" s="5" t="inlineStr">
        <is>
          <t>Yes</t>
        </is>
      </c>
      <c r="N1760" s="5" t="inlineStr"/>
      <c r="O1760" s="8" t="inlineStr">
        <is>
          <t>118500</t>
        </is>
      </c>
      <c r="P1760" s="5" t="inlineStr">
        <is>
          <t>5</t>
        </is>
      </c>
      <c r="Q1760" s="5" t="inlineStr">
        <is>
          <t>4</t>
        </is>
      </c>
      <c r="R1760" s="5" t="inlineStr">
        <is>
          <t>7</t>
        </is>
      </c>
      <c r="S1760" s="5" t="inlineStr">
        <is>
          <t>10</t>
        </is>
      </c>
      <c r="T1760" s="5" t="inlineStr">
        <is>
          <t>9</t>
        </is>
      </c>
      <c r="U1760" s="5" t="inlineStr">
        <is>
          <t>OK</t>
        </is>
      </c>
    </row>
    <row r="1761">
      <c r="A1761" s="5" t="inlineStr">
        <is>
          <t>E02691</t>
        </is>
      </c>
      <c r="B1761" s="5" t="inlineStr">
        <is>
          <t>Male</t>
        </is>
      </c>
      <c r="C1761" s="6" t="inlineStr">
        <is>
          <t>36</t>
        </is>
      </c>
      <c r="D1761" s="5" t="inlineStr">
        <is>
          <t>Married</t>
        </is>
      </c>
      <c r="E1761" s="5" t="inlineStr">
        <is>
          <t>Diploma</t>
        </is>
      </c>
      <c r="F1761" s="5" t="inlineStr">
        <is>
          <t>Marketing</t>
        </is>
      </c>
      <c r="G1761" s="5" t="inlineStr">
        <is>
          <t>Content Writer</t>
        </is>
      </c>
      <c r="H1761" s="5" t="inlineStr">
        <is>
          <t>5</t>
        </is>
      </c>
      <c r="I1761" s="5" t="inlineStr">
        <is>
          <t>Chennai</t>
        </is>
      </c>
      <c r="J1761" s="5" t="inlineStr">
        <is>
          <t>Full-Time</t>
        </is>
      </c>
      <c r="K1761" s="7" t="n">
        <v>44297</v>
      </c>
      <c r="L1761" s="7" t="inlineStr"/>
      <c r="M1761" s="5" t="inlineStr">
        <is>
          <t>Yes</t>
        </is>
      </c>
      <c r="N1761" s="5" t="inlineStr"/>
      <c r="O1761" s="8" t="inlineStr">
        <is>
          <t>86000</t>
        </is>
      </c>
      <c r="P1761" s="5" t="inlineStr">
        <is>
          <t>10</t>
        </is>
      </c>
      <c r="Q1761" s="5" t="inlineStr">
        <is>
          <t>4</t>
        </is>
      </c>
      <c r="R1761" s="5" t="inlineStr">
        <is>
          <t>4</t>
        </is>
      </c>
      <c r="S1761" s="5" t="inlineStr">
        <is>
          <t>57</t>
        </is>
      </c>
      <c r="T1761" s="5" t="inlineStr">
        <is>
          <t>0</t>
        </is>
      </c>
      <c r="U1761" s="5" t="inlineStr">
        <is>
          <t>OK</t>
        </is>
      </c>
    </row>
    <row r="1762">
      <c r="A1762" s="5" t="inlineStr">
        <is>
          <t>E00455</t>
        </is>
      </c>
      <c r="B1762" s="5" t="inlineStr">
        <is>
          <t>Female</t>
        </is>
      </c>
      <c r="C1762" s="6" t="inlineStr">
        <is>
          <t>35</t>
        </is>
      </c>
      <c r="D1762" s="5" t="inlineStr">
        <is>
          <t>Single</t>
        </is>
      </c>
      <c r="E1762" s="5" t="inlineStr">
        <is>
          <t>Master</t>
        </is>
      </c>
      <c r="F1762" s="5" t="inlineStr">
        <is>
          <t>Research &amp; Development</t>
        </is>
      </c>
      <c r="G1762" s="5" t="inlineStr">
        <is>
          <t>Product Engineer</t>
        </is>
      </c>
      <c r="H1762" s="5" t="inlineStr">
        <is>
          <t>3</t>
        </is>
      </c>
      <c r="I1762" s="5" t="inlineStr">
        <is>
          <t>Chennai</t>
        </is>
      </c>
      <c r="J1762" s="5" t="inlineStr">
        <is>
          <t>Full-Time</t>
        </is>
      </c>
      <c r="K1762" s="7" t="n">
        <v>45051</v>
      </c>
      <c r="L1762" s="7" t="inlineStr"/>
      <c r="M1762" s="5" t="inlineStr">
        <is>
          <t>Yes</t>
        </is>
      </c>
      <c r="N1762" s="5" t="inlineStr"/>
      <c r="O1762" s="8" t="inlineStr">
        <is>
          <t>133500</t>
        </is>
      </c>
      <c r="P1762" s="5" t="inlineStr">
        <is>
          <t>0</t>
        </is>
      </c>
      <c r="Q1762" s="5" t="inlineStr">
        <is>
          <t>4</t>
        </is>
      </c>
      <c r="R1762" s="5" t="inlineStr">
        <is>
          <t>5</t>
        </is>
      </c>
      <c r="S1762" s="5" t="inlineStr">
        <is>
          <t>32</t>
        </is>
      </c>
      <c r="T1762" s="5" t="inlineStr">
        <is>
          <t>0</t>
        </is>
      </c>
      <c r="U1762" s="5" t="inlineStr">
        <is>
          <t>OK</t>
        </is>
      </c>
    </row>
    <row r="1763">
      <c r="A1763" s="5" t="inlineStr">
        <is>
          <t>E01565</t>
        </is>
      </c>
      <c r="B1763" s="5" t="inlineStr">
        <is>
          <t>Male</t>
        </is>
      </c>
      <c r="C1763" s="6" t="inlineStr">
        <is>
          <t>30</t>
        </is>
      </c>
      <c r="D1763" s="5" t="inlineStr">
        <is>
          <t>Married</t>
        </is>
      </c>
      <c r="E1763" s="5" t="inlineStr">
        <is>
          <t>Master</t>
        </is>
      </c>
      <c r="F1763" s="5" t="inlineStr">
        <is>
          <t>Human Resources</t>
        </is>
      </c>
      <c r="G1763" s="5" t="inlineStr">
        <is>
          <t>HR Analyst</t>
        </is>
      </c>
      <c r="H1763" s="5" t="inlineStr">
        <is>
          <t>3</t>
        </is>
      </c>
      <c r="I1763" s="5" t="inlineStr">
        <is>
          <t>Mumbai</t>
        </is>
      </c>
      <c r="J1763" s="5" t="inlineStr">
        <is>
          <t>Full-Time</t>
        </is>
      </c>
      <c r="K1763" s="7" t="n">
        <v>45010</v>
      </c>
      <c r="L1763" s="7" t="inlineStr"/>
      <c r="M1763" s="5" t="inlineStr">
        <is>
          <t>Yes</t>
        </is>
      </c>
      <c r="N1763" s="5" t="inlineStr"/>
      <c r="O1763" s="8" t="inlineStr">
        <is>
          <t>109000</t>
        </is>
      </c>
      <c r="P1763" s="5" t="inlineStr">
        <is>
          <t>5</t>
        </is>
      </c>
      <c r="Q1763" s="5" t="inlineStr">
        <is>
          <t>3</t>
        </is>
      </c>
      <c r="R1763" s="5" t="inlineStr">
        <is>
          <t>9</t>
        </is>
      </c>
      <c r="S1763" s="5" t="inlineStr">
        <is>
          <t>33</t>
        </is>
      </c>
      <c r="T1763" s="5" t="inlineStr">
        <is>
          <t>1</t>
        </is>
      </c>
      <c r="U1763" s="5" t="inlineStr">
        <is>
          <t>OK</t>
        </is>
      </c>
    </row>
    <row r="1764">
      <c r="A1764" s="5" t="inlineStr">
        <is>
          <t>E00637</t>
        </is>
      </c>
      <c r="B1764" s="5" t="inlineStr">
        <is>
          <t>Male</t>
        </is>
      </c>
      <c r="C1764" s="6" t="inlineStr">
        <is>
          <t>33</t>
        </is>
      </c>
      <c r="D1764" s="5" t="inlineStr">
        <is>
          <t>Married</t>
        </is>
      </c>
      <c r="E1764" s="5" t="inlineStr">
        <is>
          <t>Diploma</t>
        </is>
      </c>
      <c r="F1764" s="5" t="inlineStr">
        <is>
          <t>Operations</t>
        </is>
      </c>
      <c r="G1764" s="5" t="inlineStr">
        <is>
          <t>Operations Analyst</t>
        </is>
      </c>
      <c r="H1764" s="5" t="inlineStr">
        <is>
          <t>4</t>
        </is>
      </c>
      <c r="I1764" s="5" t="inlineStr">
        <is>
          <t>Remote</t>
        </is>
      </c>
      <c r="J1764" s="5" t="inlineStr">
        <is>
          <t>Full-Time</t>
        </is>
      </c>
      <c r="K1764" s="7" t="n">
        <v>45150</v>
      </c>
      <c r="L1764" s="7" t="inlineStr"/>
      <c r="M1764" s="5" t="inlineStr">
        <is>
          <t>Yes</t>
        </is>
      </c>
      <c r="N1764" s="5" t="inlineStr"/>
      <c r="O1764" s="8" t="inlineStr">
        <is>
          <t>79000</t>
        </is>
      </c>
      <c r="P1764" s="5" t="inlineStr">
        <is>
          <t>15</t>
        </is>
      </c>
      <c r="Q1764" s="5" t="inlineStr">
        <is>
          <t>4</t>
        </is>
      </c>
      <c r="R1764" s="5" t="inlineStr">
        <is>
          <t>4</t>
        </is>
      </c>
      <c r="S1764" s="5" t="inlineStr">
        <is>
          <t>29</t>
        </is>
      </c>
      <c r="T1764" s="5" t="inlineStr">
        <is>
          <t>11</t>
        </is>
      </c>
      <c r="U1764" s="5" t="inlineStr">
        <is>
          <t>OK</t>
        </is>
      </c>
    </row>
    <row r="1765">
      <c r="A1765" s="5" t="inlineStr">
        <is>
          <t>E01013</t>
        </is>
      </c>
      <c r="B1765" s="5" t="inlineStr">
        <is>
          <t>Female</t>
        </is>
      </c>
      <c r="C1765" s="6" t="inlineStr">
        <is>
          <t>38</t>
        </is>
      </c>
      <c r="D1765" s="5" t="inlineStr">
        <is>
          <t>Married</t>
        </is>
      </c>
      <c r="E1765" s="5" t="inlineStr">
        <is>
          <t>High School</t>
        </is>
      </c>
      <c r="F1765" s="5" t="inlineStr">
        <is>
          <t>Research &amp; Development</t>
        </is>
      </c>
      <c r="G1765" s="5" t="inlineStr">
        <is>
          <t>Data Scientist</t>
        </is>
      </c>
      <c r="H1765" s="5" t="inlineStr">
        <is>
          <t>4</t>
        </is>
      </c>
      <c r="I1765" s="5" t="inlineStr">
        <is>
          <t>Mumbai</t>
        </is>
      </c>
      <c r="J1765" s="5" t="inlineStr">
        <is>
          <t>Full-Time</t>
        </is>
      </c>
      <c r="K1765" s="7" t="n">
        <v>43987</v>
      </c>
      <c r="L1765" s="7" t="inlineStr"/>
      <c r="M1765" s="5" t="inlineStr">
        <is>
          <t>Yes</t>
        </is>
      </c>
      <c r="N1765" s="5" t="inlineStr"/>
      <c r="O1765" s="8" t="inlineStr">
        <is>
          <t>210500</t>
        </is>
      </c>
      <c r="P1765" s="5" t="inlineStr">
        <is>
          <t>0</t>
        </is>
      </c>
      <c r="Q1765" s="5" t="inlineStr">
        <is>
          <t>4</t>
        </is>
      </c>
      <c r="R1765" s="5" t="inlineStr">
        <is>
          <t>7</t>
        </is>
      </c>
      <c r="S1765" s="5" t="inlineStr">
        <is>
          <t>67</t>
        </is>
      </c>
      <c r="T1765" s="5" t="inlineStr">
        <is>
          <t>0</t>
        </is>
      </c>
      <c r="U1765" s="5" t="inlineStr">
        <is>
          <t>OK</t>
        </is>
      </c>
    </row>
    <row r="1766">
      <c r="A1766" s="5" t="inlineStr">
        <is>
          <t>E01975</t>
        </is>
      </c>
      <c r="B1766" s="5" t="inlineStr">
        <is>
          <t>Male</t>
        </is>
      </c>
      <c r="C1766" s="6" t="inlineStr">
        <is>
          <t>33</t>
        </is>
      </c>
      <c r="D1766" s="5" t="inlineStr">
        <is>
          <t>Married</t>
        </is>
      </c>
      <c r="E1766" s="5" t="inlineStr">
        <is>
          <t>High School</t>
        </is>
      </c>
      <c r="F1766" s="5" t="inlineStr">
        <is>
          <t>Customer Support</t>
        </is>
      </c>
      <c r="G1766" s="5" t="inlineStr">
        <is>
          <t>Support Lead</t>
        </is>
      </c>
      <c r="H1766" s="5" t="inlineStr">
        <is>
          <t>3</t>
        </is>
      </c>
      <c r="I1766" s="5" t="inlineStr">
        <is>
          <t>Hyderabad</t>
        </is>
      </c>
      <c r="J1766" s="5" t="inlineStr">
        <is>
          <t>Full-Time</t>
        </is>
      </c>
      <c r="K1766" s="7" t="n">
        <v>44822</v>
      </c>
      <c r="L1766" s="7" t="inlineStr"/>
      <c r="M1766" s="5" t="inlineStr">
        <is>
          <t>Yes</t>
        </is>
      </c>
      <c r="N1766" s="5" t="inlineStr"/>
      <c r="O1766" s="8" t="inlineStr">
        <is>
          <t>65500</t>
        </is>
      </c>
      <c r="P1766" s="5" t="inlineStr">
        <is>
          <t>15</t>
        </is>
      </c>
      <c r="Q1766" s="5" t="inlineStr">
        <is>
          <t>4</t>
        </is>
      </c>
      <c r="R1766" s="5" t="inlineStr">
        <is>
          <t>6</t>
        </is>
      </c>
      <c r="S1766" s="5" t="inlineStr">
        <is>
          <t>40</t>
        </is>
      </c>
      <c r="T1766" s="5" t="inlineStr">
        <is>
          <t>0</t>
        </is>
      </c>
      <c r="U1766" s="5" t="inlineStr">
        <is>
          <t>OK</t>
        </is>
      </c>
    </row>
    <row r="1767">
      <c r="A1767" s="5" t="inlineStr">
        <is>
          <t>E01742</t>
        </is>
      </c>
      <c r="B1767" s="5" t="inlineStr">
        <is>
          <t>Female</t>
        </is>
      </c>
      <c r="C1767" s="6" t="inlineStr">
        <is>
          <t>33</t>
        </is>
      </c>
      <c r="D1767" s="5" t="inlineStr">
        <is>
          <t>Married</t>
        </is>
      </c>
      <c r="E1767" s="5" t="inlineStr">
        <is>
          <t>Diploma</t>
        </is>
      </c>
      <c r="F1767" s="5" t="inlineStr">
        <is>
          <t>IT</t>
        </is>
      </c>
      <c r="G1767" s="5" t="inlineStr">
        <is>
          <t>DevOps Engineer</t>
        </is>
      </c>
      <c r="H1767" s="5" t="inlineStr">
        <is>
          <t>1</t>
        </is>
      </c>
      <c r="I1767" s="5" t="inlineStr">
        <is>
          <t>Hyderabad</t>
        </is>
      </c>
      <c r="J1767" s="5" t="inlineStr">
        <is>
          <t>Full-Time</t>
        </is>
      </c>
      <c r="K1767" s="7" t="n">
        <v>45918</v>
      </c>
      <c r="L1767" s="7" t="inlineStr"/>
      <c r="M1767" s="5" t="inlineStr">
        <is>
          <t>Yes</t>
        </is>
      </c>
      <c r="N1767" s="5" t="inlineStr"/>
      <c r="O1767" s="8" t="inlineStr">
        <is>
          <t>113500</t>
        </is>
      </c>
      <c r="P1767" s="5" t="inlineStr">
        <is>
          <t>5</t>
        </is>
      </c>
      <c r="Q1767" s="5" t="inlineStr">
        <is>
          <t>4</t>
        </is>
      </c>
      <c r="R1767" s="5" t="inlineStr">
        <is>
          <t>9</t>
        </is>
      </c>
      <c r="S1767" s="5" t="inlineStr">
        <is>
          <t>3</t>
        </is>
      </c>
      <c r="T1767" s="5" t="inlineStr">
        <is>
          <t>6</t>
        </is>
      </c>
      <c r="U1767" s="5" t="inlineStr">
        <is>
          <t>OK</t>
        </is>
      </c>
    </row>
    <row r="1768">
      <c r="A1768" s="5" t="inlineStr">
        <is>
          <t>E00159</t>
        </is>
      </c>
      <c r="B1768" s="5" t="inlineStr">
        <is>
          <t>Female</t>
        </is>
      </c>
      <c r="C1768" s="6" t="inlineStr">
        <is>
          <t>31</t>
        </is>
      </c>
      <c r="D1768" s="5" t="inlineStr">
        <is>
          <t>Single</t>
        </is>
      </c>
      <c r="E1768" s="5" t="inlineStr">
        <is>
          <t>PhD</t>
        </is>
      </c>
      <c r="F1768" s="5" t="inlineStr">
        <is>
          <t>Human Resources</t>
        </is>
      </c>
      <c r="G1768" s="5" t="inlineStr">
        <is>
          <t>HR Generalist</t>
        </is>
      </c>
      <c r="H1768" s="5" t="inlineStr">
        <is>
          <t>3</t>
        </is>
      </c>
      <c r="I1768" s="5" t="inlineStr">
        <is>
          <t>Mumbai</t>
        </is>
      </c>
      <c r="J1768" s="5" t="inlineStr">
        <is>
          <t>Part-Time</t>
        </is>
      </c>
      <c r="K1768" s="7" t="n">
        <v>45969</v>
      </c>
      <c r="L1768" s="7" t="inlineStr"/>
      <c r="M1768" s="5" t="inlineStr">
        <is>
          <t>Yes</t>
        </is>
      </c>
      <c r="N1768" s="5" t="inlineStr"/>
      <c r="O1768" s="8" t="inlineStr">
        <is>
          <t>111500</t>
        </is>
      </c>
      <c r="P1768" s="5" t="inlineStr">
        <is>
          <t>0</t>
        </is>
      </c>
      <c r="Q1768" s="5" t="inlineStr">
        <is>
          <t>3</t>
        </is>
      </c>
      <c r="R1768" s="5" t="inlineStr">
        <is>
          <t>6</t>
        </is>
      </c>
      <c r="S1768" s="5" t="inlineStr">
        <is>
          <t>1</t>
        </is>
      </c>
      <c r="T1768" s="5" t="inlineStr">
        <is>
          <t>0</t>
        </is>
      </c>
      <c r="U1768" s="5" t="inlineStr">
        <is>
          <t>OK</t>
        </is>
      </c>
    </row>
    <row r="1769">
      <c r="A1769" s="5" t="inlineStr">
        <is>
          <t>E01945</t>
        </is>
      </c>
      <c r="B1769" s="5" t="inlineStr">
        <is>
          <t>Female</t>
        </is>
      </c>
      <c r="C1769" s="6" t="inlineStr">
        <is>
          <t>34</t>
        </is>
      </c>
      <c r="D1769" s="5" t="inlineStr">
        <is>
          <t>Married</t>
        </is>
      </c>
      <c r="E1769" s="5" t="inlineStr">
        <is>
          <t>Diploma</t>
        </is>
      </c>
      <c r="F1769" s="5" t="inlineStr">
        <is>
          <t>Customer Support</t>
        </is>
      </c>
      <c r="G1769" s="5" t="inlineStr">
        <is>
          <t>Support Agent</t>
        </is>
      </c>
      <c r="H1769" s="5" t="inlineStr">
        <is>
          <t>1</t>
        </is>
      </c>
      <c r="I1769" s="5" t="inlineStr">
        <is>
          <t>Chennai</t>
        </is>
      </c>
      <c r="J1769" s="5" t="inlineStr">
        <is>
          <t>Full-Time</t>
        </is>
      </c>
      <c r="K1769" s="7" t="n">
        <v>44954</v>
      </c>
      <c r="L1769" s="7" t="inlineStr"/>
      <c r="M1769" s="5" t="inlineStr">
        <is>
          <t>Yes</t>
        </is>
      </c>
      <c r="N1769" s="5" t="inlineStr"/>
      <c r="O1769" s="8" t="inlineStr">
        <is>
          <t>61500</t>
        </is>
      </c>
      <c r="P1769" s="5" t="inlineStr">
        <is>
          <t>5</t>
        </is>
      </c>
      <c r="Q1769" s="5" t="inlineStr">
        <is>
          <t>3</t>
        </is>
      </c>
      <c r="R1769" s="5" t="inlineStr">
        <is>
          <t>5</t>
        </is>
      </c>
      <c r="S1769" s="5" t="inlineStr">
        <is>
          <t>35</t>
        </is>
      </c>
      <c r="T1769" s="5" t="inlineStr">
        <is>
          <t>17</t>
        </is>
      </c>
      <c r="U1769" s="5" t="inlineStr">
        <is>
          <t>OK</t>
        </is>
      </c>
    </row>
    <row r="1770">
      <c r="A1770" s="5" t="inlineStr">
        <is>
          <t>E02931</t>
        </is>
      </c>
      <c r="B1770" s="5" t="inlineStr">
        <is>
          <t>Male</t>
        </is>
      </c>
      <c r="C1770" s="6" t="inlineStr">
        <is>
          <t>34</t>
        </is>
      </c>
      <c r="D1770" s="5" t="inlineStr">
        <is>
          <t>Married</t>
        </is>
      </c>
      <c r="E1770" s="5" t="inlineStr">
        <is>
          <t>Bachelor</t>
        </is>
      </c>
      <c r="F1770" s="5" t="inlineStr">
        <is>
          <t>Customer Support</t>
        </is>
      </c>
      <c r="G1770" s="5" t="inlineStr">
        <is>
          <t>Escalation Specialist</t>
        </is>
      </c>
      <c r="H1770" s="5" t="inlineStr">
        <is>
          <t>3</t>
        </is>
      </c>
      <c r="I1770" s="5" t="inlineStr">
        <is>
          <t>Hyderabad</t>
        </is>
      </c>
      <c r="J1770" s="5" t="inlineStr">
        <is>
          <t>Full-Time</t>
        </is>
      </c>
      <c r="K1770" s="7" t="n">
        <v>45205</v>
      </c>
      <c r="L1770" s="7" t="inlineStr"/>
      <c r="M1770" s="5" t="inlineStr">
        <is>
          <t>Yes</t>
        </is>
      </c>
      <c r="N1770" s="5" t="inlineStr"/>
      <c r="O1770" s="8" t="inlineStr">
        <is>
          <t>64500</t>
        </is>
      </c>
      <c r="P1770" s="5" t="inlineStr">
        <is>
          <t>0</t>
        </is>
      </c>
      <c r="Q1770" s="5" t="inlineStr">
        <is>
          <t>4</t>
        </is>
      </c>
      <c r="R1770" s="5" t="inlineStr">
        <is>
          <t>7</t>
        </is>
      </c>
      <c r="S1770" s="5" t="inlineStr">
        <is>
          <t>27</t>
        </is>
      </c>
      <c r="T1770" s="5" t="inlineStr">
        <is>
          <t>6</t>
        </is>
      </c>
      <c r="U1770" s="5" t="inlineStr">
        <is>
          <t>OK</t>
        </is>
      </c>
    </row>
    <row r="1771">
      <c r="A1771" s="5" t="inlineStr">
        <is>
          <t>E01655</t>
        </is>
      </c>
      <c r="B1771" s="5" t="inlineStr">
        <is>
          <t>Female</t>
        </is>
      </c>
      <c r="C1771" s="6" t="inlineStr">
        <is>
          <t>33</t>
        </is>
      </c>
      <c r="D1771" s="5" t="inlineStr">
        <is>
          <t>Married</t>
        </is>
      </c>
      <c r="E1771" s="5" t="inlineStr">
        <is>
          <t>PhD</t>
        </is>
      </c>
      <c r="F1771" s="5" t="inlineStr">
        <is>
          <t>IT</t>
        </is>
      </c>
      <c r="G1771" s="5" t="inlineStr">
        <is>
          <t>Software Engineer</t>
        </is>
      </c>
      <c r="H1771" s="5" t="inlineStr">
        <is>
          <t>4</t>
        </is>
      </c>
      <c r="I1771" s="5" t="inlineStr">
        <is>
          <t>Remote</t>
        </is>
      </c>
      <c r="J1771" s="5" t="inlineStr">
        <is>
          <t>Full-Time</t>
        </is>
      </c>
      <c r="K1771" s="7" t="n">
        <v>44786</v>
      </c>
      <c r="L1771" s="7" t="inlineStr"/>
      <c r="M1771" s="5" t="inlineStr">
        <is>
          <t>Yes</t>
        </is>
      </c>
      <c r="N1771" s="5" t="inlineStr"/>
      <c r="O1771" s="8" t="inlineStr">
        <is>
          <t>207000</t>
        </is>
      </c>
      <c r="P1771" s="5" t="inlineStr">
        <is>
          <t>15</t>
        </is>
      </c>
      <c r="Q1771" s="5" t="inlineStr">
        <is>
          <t>5</t>
        </is>
      </c>
      <c r="R1771" s="5" t="inlineStr">
        <is>
          <t>8</t>
        </is>
      </c>
      <c r="S1771" s="5" t="inlineStr">
        <is>
          <t>41</t>
        </is>
      </c>
      <c r="T1771" s="5" t="inlineStr">
        <is>
          <t>5</t>
        </is>
      </c>
      <c r="U1771" s="5" t="inlineStr">
        <is>
          <t>OK</t>
        </is>
      </c>
    </row>
    <row r="1772">
      <c r="A1772" s="5" t="inlineStr">
        <is>
          <t>E02659</t>
        </is>
      </c>
      <c r="B1772" s="5" t="inlineStr">
        <is>
          <t>male</t>
        </is>
      </c>
      <c r="C1772" s="6" t="inlineStr">
        <is>
          <t>30</t>
        </is>
      </c>
      <c r="D1772" s="5" t="inlineStr">
        <is>
          <t>Married</t>
        </is>
      </c>
      <c r="E1772" s="5" t="inlineStr">
        <is>
          <t>PhD</t>
        </is>
      </c>
      <c r="F1772" s="5" t="inlineStr">
        <is>
          <t>Research &amp; Development</t>
        </is>
      </c>
      <c r="G1772" s="5" t="inlineStr">
        <is>
          <t>Research Scientist</t>
        </is>
      </c>
      <c r="H1772" s="5" t="inlineStr">
        <is>
          <t>1</t>
        </is>
      </c>
      <c r="I1772" s="5" t="inlineStr">
        <is>
          <t>Chennai</t>
        </is>
      </c>
      <c r="J1772" s="5" t="inlineStr">
        <is>
          <t>Full-Time</t>
        </is>
      </c>
      <c r="K1772" s="7" t="n">
        <v>44397</v>
      </c>
      <c r="L1772" s="7" t="inlineStr"/>
      <c r="M1772" s="5" t="inlineStr">
        <is>
          <t>Yes</t>
        </is>
      </c>
      <c r="N1772" s="5" t="inlineStr"/>
      <c r="O1772" s="8" t="inlineStr">
        <is>
          <t>154000</t>
        </is>
      </c>
      <c r="P1772" s="5" t="inlineStr">
        <is>
          <t>5</t>
        </is>
      </c>
      <c r="Q1772" s="5" t="inlineStr">
        <is>
          <t>5</t>
        </is>
      </c>
      <c r="R1772" s="5" t="inlineStr">
        <is>
          <t>7</t>
        </is>
      </c>
      <c r="S1772" s="5" t="inlineStr">
        <is>
          <t>54</t>
        </is>
      </c>
      <c r="T1772" s="5" t="inlineStr">
        <is>
          <t>2</t>
        </is>
      </c>
      <c r="U1772" s="5" t="inlineStr">
        <is>
          <t>OK</t>
        </is>
      </c>
    </row>
    <row r="1773">
      <c r="A1773" s="5" t="inlineStr">
        <is>
          <t>E02406</t>
        </is>
      </c>
      <c r="B1773" s="5" t="inlineStr">
        <is>
          <t>Male</t>
        </is>
      </c>
      <c r="C1773" s="6" t="inlineStr">
        <is>
          <t>30</t>
        </is>
      </c>
      <c r="D1773" s="5" t="inlineStr">
        <is>
          <t>Married</t>
        </is>
      </c>
      <c r="E1773" s="5" t="inlineStr">
        <is>
          <t>Bachelor</t>
        </is>
      </c>
      <c r="F1773" s="5" t="inlineStr">
        <is>
          <t>Finance</t>
        </is>
      </c>
      <c r="G1773" s="5" t="inlineStr">
        <is>
          <t>Financial Analyst</t>
        </is>
      </c>
      <c r="H1773" s="5" t="inlineStr">
        <is>
          <t>4</t>
        </is>
      </c>
      <c r="I1773" s="5" t="inlineStr">
        <is>
          <t>Chennai</t>
        </is>
      </c>
      <c r="J1773" s="5" t="inlineStr">
        <is>
          <t>Full-Time</t>
        </is>
      </c>
      <c r="K1773" s="7" t="n">
        <v>45277</v>
      </c>
      <c r="L1773" s="7" t="n">
        <v>45365</v>
      </c>
      <c r="M1773" s="5" t="inlineStr">
        <is>
          <t>No</t>
        </is>
      </c>
      <c r="N1773" s="5" t="inlineStr">
        <is>
          <t>Resigned</t>
        </is>
      </c>
      <c r="O1773" s="8" t="inlineStr">
        <is>
          <t>149500</t>
        </is>
      </c>
      <c r="P1773" s="5" t="inlineStr">
        <is>
          <t>0</t>
        </is>
      </c>
      <c r="Q1773" s="5" t="inlineStr">
        <is>
          <t>4</t>
        </is>
      </c>
      <c r="R1773" s="5" t="inlineStr">
        <is>
          <t>8</t>
        </is>
      </c>
      <c r="S1773" s="5" t="inlineStr">
        <is>
          <t>2</t>
        </is>
      </c>
      <c r="T1773" s="5" t="inlineStr">
        <is>
          <t>4</t>
        </is>
      </c>
      <c r="U1773" s="5" t="inlineStr">
        <is>
          <t>OK</t>
        </is>
      </c>
    </row>
    <row r="1774">
      <c r="A1774" s="5" t="inlineStr">
        <is>
          <t>E01237</t>
        </is>
      </c>
      <c r="B1774" s="5" t="inlineStr">
        <is>
          <t>Female</t>
        </is>
      </c>
      <c r="C1774" s="6" t="inlineStr">
        <is>
          <t>28</t>
        </is>
      </c>
      <c r="D1774" s="5" t="inlineStr">
        <is>
          <t>Single</t>
        </is>
      </c>
      <c r="E1774" s="5" t="inlineStr">
        <is>
          <t>Diploma</t>
        </is>
      </c>
      <c r="F1774" s="5" t="inlineStr">
        <is>
          <t>Marketing</t>
        </is>
      </c>
      <c r="G1774" s="5" t="inlineStr">
        <is>
          <t>Content Writer</t>
        </is>
      </c>
      <c r="H1774" s="5" t="inlineStr">
        <is>
          <t>1</t>
        </is>
      </c>
      <c r="I1774" s="5" t="inlineStr">
        <is>
          <t>Delhi</t>
        </is>
      </c>
      <c r="J1774" s="5" t="inlineStr">
        <is>
          <t>Full-Time</t>
        </is>
      </c>
      <c r="K1774" s="7" t="n">
        <v>44958</v>
      </c>
      <c r="L1774" s="7" t="inlineStr"/>
      <c r="M1774" s="5" t="inlineStr">
        <is>
          <t>Yes</t>
        </is>
      </c>
      <c r="N1774" s="5" t="inlineStr"/>
      <c r="O1774" s="8" t="inlineStr">
        <is>
          <t>53500</t>
        </is>
      </c>
      <c r="P1774" s="5" t="inlineStr">
        <is>
          <t>10</t>
        </is>
      </c>
      <c r="Q1774" s="5" t="inlineStr">
        <is>
          <t>4</t>
        </is>
      </c>
      <c r="R1774" s="5" t="inlineStr">
        <is>
          <t>4</t>
        </is>
      </c>
      <c r="S1774" s="5" t="inlineStr">
        <is>
          <t>35</t>
        </is>
      </c>
      <c r="T1774" s="5" t="inlineStr">
        <is>
          <t>8</t>
        </is>
      </c>
      <c r="U1774" s="5" t="inlineStr">
        <is>
          <t>OK</t>
        </is>
      </c>
    </row>
    <row r="1775">
      <c r="A1775" s="5" t="inlineStr">
        <is>
          <t>E02582</t>
        </is>
      </c>
      <c r="B1775" s="5" t="inlineStr">
        <is>
          <t>Male</t>
        </is>
      </c>
      <c r="C1775" s="6" t="inlineStr">
        <is>
          <t>29</t>
        </is>
      </c>
      <c r="D1775" s="5" t="inlineStr">
        <is>
          <t>Married</t>
        </is>
      </c>
      <c r="E1775" s="5" t="inlineStr">
        <is>
          <t>PhD</t>
        </is>
      </c>
      <c r="F1775" s="5" t="inlineStr">
        <is>
          <t>Sales</t>
        </is>
      </c>
      <c r="G1775" s="5" t="inlineStr">
        <is>
          <t>Account Executive</t>
        </is>
      </c>
      <c r="H1775" s="5" t="inlineStr">
        <is>
          <t>1</t>
        </is>
      </c>
      <c r="I1775" s="5" t="inlineStr">
        <is>
          <t>Bengaluru</t>
        </is>
      </c>
      <c r="J1775" s="5" t="inlineStr">
        <is>
          <t>Full-Time</t>
        </is>
      </c>
      <c r="K1775" s="7" t="n">
        <v>45318</v>
      </c>
      <c r="L1775" s="7" t="inlineStr"/>
      <c r="M1775" s="5" t="inlineStr">
        <is>
          <t>Yes</t>
        </is>
      </c>
      <c r="N1775" s="5" t="inlineStr"/>
      <c r="O1775" s="8" t="inlineStr">
        <is>
          <t>103500</t>
        </is>
      </c>
      <c r="P1775" s="5" t="inlineStr">
        <is>
          <t>10</t>
        </is>
      </c>
      <c r="Q1775" s="5" t="inlineStr">
        <is>
          <t>4</t>
        </is>
      </c>
      <c r="R1775" s="5" t="inlineStr">
        <is>
          <t>6</t>
        </is>
      </c>
      <c r="S1775" s="5" t="inlineStr">
        <is>
          <t>23</t>
        </is>
      </c>
      <c r="T1775" s="5" t="inlineStr">
        <is>
          <t>3</t>
        </is>
      </c>
      <c r="U1775" s="5" t="inlineStr">
        <is>
          <t>OK</t>
        </is>
      </c>
    </row>
    <row r="1776">
      <c r="A1776" s="5" t="inlineStr">
        <is>
          <t>E01970</t>
        </is>
      </c>
      <c r="B1776" s="5" t="inlineStr">
        <is>
          <t>Female</t>
        </is>
      </c>
      <c r="C1776" s="6" t="inlineStr">
        <is>
          <t>25</t>
        </is>
      </c>
      <c r="D1776" s="5" t="inlineStr">
        <is>
          <t>Married</t>
        </is>
      </c>
      <c r="E1776" s="5" t="inlineStr">
        <is>
          <t>PhD</t>
        </is>
      </c>
      <c r="F1776" s="5" t="inlineStr">
        <is>
          <t>Finance</t>
        </is>
      </c>
      <c r="G1776" s="5" t="inlineStr">
        <is>
          <t>Financial Analyst</t>
        </is>
      </c>
      <c r="H1776" s="5" t="inlineStr">
        <is>
          <t>2</t>
        </is>
      </c>
      <c r="I1776" s="5" t="inlineStr">
        <is>
          <t>Hyderabad</t>
        </is>
      </c>
      <c r="J1776" s="5" t="inlineStr">
        <is>
          <t>Full-Time</t>
        </is>
      </c>
      <c r="K1776" s="7" t="n">
        <v>45002</v>
      </c>
      <c r="L1776" s="7" t="n">
        <v>45069</v>
      </c>
      <c r="M1776" s="5" t="inlineStr">
        <is>
          <t>No</t>
        </is>
      </c>
      <c r="N1776" s="5" t="inlineStr">
        <is>
          <t>Layoff</t>
        </is>
      </c>
      <c r="O1776" s="8" t="inlineStr">
        <is>
          <t>118500</t>
        </is>
      </c>
      <c r="P1776" s="5" t="inlineStr">
        <is>
          <t>15</t>
        </is>
      </c>
      <c r="Q1776" s="5" t="inlineStr">
        <is>
          <t>3</t>
        </is>
      </c>
      <c r="R1776" s="5" t="inlineStr">
        <is>
          <t>10</t>
        </is>
      </c>
      <c r="S1776" s="5" t="inlineStr">
        <is>
          <t>2</t>
        </is>
      </c>
      <c r="T1776" s="5" t="inlineStr">
        <is>
          <t>0</t>
        </is>
      </c>
      <c r="U1776" s="5" t="inlineStr">
        <is>
          <t>OK</t>
        </is>
      </c>
    </row>
    <row r="1777">
      <c r="A1777" s="5" t="inlineStr">
        <is>
          <t>E02410</t>
        </is>
      </c>
      <c r="B1777" s="5" t="inlineStr">
        <is>
          <t>Female</t>
        </is>
      </c>
      <c r="C1777" s="6" t="inlineStr">
        <is>
          <t>39</t>
        </is>
      </c>
      <c r="D1777" s="5" t="inlineStr">
        <is>
          <t>Single</t>
        </is>
      </c>
      <c r="E1777" s="5" t="inlineStr">
        <is>
          <t>PhD</t>
        </is>
      </c>
      <c r="F1777" s="5" t="inlineStr">
        <is>
          <t>IT</t>
        </is>
      </c>
      <c r="G1777" s="5" t="inlineStr">
        <is>
          <t>IT Support</t>
        </is>
      </c>
      <c r="H1777" s="5" t="inlineStr">
        <is>
          <t>5</t>
        </is>
      </c>
      <c r="I1777" s="5" t="inlineStr">
        <is>
          <t>Delhi</t>
        </is>
      </c>
      <c r="J1777" s="5" t="inlineStr">
        <is>
          <t>Part-Time</t>
        </is>
      </c>
      <c r="K1777" s="7" t="n">
        <v>45946</v>
      </c>
      <c r="L1777" s="7" t="inlineStr"/>
      <c r="M1777" s="5" t="inlineStr">
        <is>
          <t>Yes</t>
        </is>
      </c>
      <c r="N1777" s="5" t="inlineStr"/>
      <c r="O1777" s="8" t="inlineStr">
        <is>
          <t>192500</t>
        </is>
      </c>
      <c r="P1777" s="5" t="inlineStr">
        <is>
          <t>0</t>
        </is>
      </c>
      <c r="Q1777" s="5" t="inlineStr">
        <is>
          <t>4</t>
        </is>
      </c>
      <c r="R1777" s="5" t="inlineStr">
        <is>
          <t>7</t>
        </is>
      </c>
      <c r="S1777" s="5" t="inlineStr">
        <is>
          <t>2</t>
        </is>
      </c>
      <c r="T1777" s="5" t="inlineStr">
        <is>
          <t>22</t>
        </is>
      </c>
      <c r="U1777" s="5" t="inlineStr">
        <is>
          <t>OK</t>
        </is>
      </c>
    </row>
    <row r="1778">
      <c r="A1778" s="5" t="inlineStr">
        <is>
          <t>E02305</t>
        </is>
      </c>
      <c r="B1778" s="5" t="inlineStr">
        <is>
          <t>Unknown</t>
        </is>
      </c>
      <c r="C1778" s="6" t="inlineStr">
        <is>
          <t>27</t>
        </is>
      </c>
      <c r="D1778" s="5" t="inlineStr">
        <is>
          <t>Married</t>
        </is>
      </c>
      <c r="E1778" s="5" t="inlineStr">
        <is>
          <t>High School</t>
        </is>
      </c>
      <c r="F1778" s="5" t="inlineStr">
        <is>
          <t>Operations</t>
        </is>
      </c>
      <c r="G1778" s="5" t="inlineStr">
        <is>
          <t>Operations Analyst</t>
        </is>
      </c>
      <c r="H1778" s="5" t="inlineStr">
        <is>
          <t>3</t>
        </is>
      </c>
      <c r="I1778" s="5" t="inlineStr">
        <is>
          <t>Hyderabad</t>
        </is>
      </c>
      <c r="J1778" s="5" t="inlineStr">
        <is>
          <t>Full-Time</t>
        </is>
      </c>
      <c r="K1778" s="7" t="n">
        <v>44214</v>
      </c>
      <c r="L1778" s="7" t="inlineStr"/>
      <c r="M1778" s="5" t="inlineStr">
        <is>
          <t>Yes</t>
        </is>
      </c>
      <c r="N1778" s="5" t="inlineStr"/>
      <c r="O1778" s="8" t="inlineStr">
        <is>
          <t>91500</t>
        </is>
      </c>
      <c r="P1778" s="5" t="inlineStr">
        <is>
          <t>0</t>
        </is>
      </c>
      <c r="Q1778" s="5" t="inlineStr">
        <is>
          <t>4</t>
        </is>
      </c>
      <c r="R1778" s="5" t="inlineStr">
        <is>
          <t>7</t>
        </is>
      </c>
      <c r="S1778" s="5" t="inlineStr">
        <is>
          <t>60</t>
        </is>
      </c>
      <c r="T1778" s="5" t="inlineStr">
        <is>
          <t>13</t>
        </is>
      </c>
      <c r="U1778" s="5" t="inlineStr">
        <is>
          <t>Bad gender</t>
        </is>
      </c>
    </row>
    <row r="1779">
      <c r="A1779" s="5" t="inlineStr">
        <is>
          <t>E01985</t>
        </is>
      </c>
      <c r="B1779" s="5" t="inlineStr">
        <is>
          <t>Male</t>
        </is>
      </c>
      <c r="C1779" s="6" t="inlineStr">
        <is>
          <t>37</t>
        </is>
      </c>
      <c r="D1779" s="5" t="inlineStr">
        <is>
          <t>Married</t>
        </is>
      </c>
      <c r="E1779" s="5" t="inlineStr">
        <is>
          <t>High School</t>
        </is>
      </c>
      <c r="F1779" s="5" t="inlineStr">
        <is>
          <t>IT</t>
        </is>
      </c>
      <c r="G1779" s="5" t="inlineStr">
        <is>
          <t>DevOps Engineer</t>
        </is>
      </c>
      <c r="H1779" s="5" t="inlineStr">
        <is>
          <t>3</t>
        </is>
      </c>
      <c r="I1779" s="5" t="inlineStr">
        <is>
          <t>Delhi</t>
        </is>
      </c>
      <c r="J1779" s="5" t="inlineStr">
        <is>
          <t>Full-Time</t>
        </is>
      </c>
      <c r="K1779" s="7" t="n">
        <v>45848</v>
      </c>
      <c r="L1779" s="7" t="inlineStr"/>
      <c r="M1779" s="5" t="inlineStr">
        <is>
          <t>Yes</t>
        </is>
      </c>
      <c r="N1779" s="5" t="inlineStr"/>
      <c r="O1779" s="8" t="inlineStr">
        <is>
          <t>109000</t>
        </is>
      </c>
      <c r="P1779" s="5" t="inlineStr">
        <is>
          <t>0</t>
        </is>
      </c>
      <c r="Q1779" s="5" t="inlineStr">
        <is>
          <t>4</t>
        </is>
      </c>
      <c r="R1779" s="5" t="inlineStr">
        <is>
          <t>6</t>
        </is>
      </c>
      <c r="S1779" s="5" t="inlineStr">
        <is>
          <t>5</t>
        </is>
      </c>
      <c r="T1779" s="5" t="inlineStr">
        <is>
          <t>12</t>
        </is>
      </c>
      <c r="U1779" s="5" t="inlineStr">
        <is>
          <t>OK</t>
        </is>
      </c>
    </row>
    <row r="1780">
      <c r="A1780" s="5" t="inlineStr">
        <is>
          <t>E01088</t>
        </is>
      </c>
      <c r="B1780" s="5" t="inlineStr">
        <is>
          <t>Male</t>
        </is>
      </c>
      <c r="C1780" s="6" t="inlineStr">
        <is>
          <t>36</t>
        </is>
      </c>
      <c r="D1780" s="5" t="inlineStr">
        <is>
          <t>Single</t>
        </is>
      </c>
      <c r="E1780" s="5" t="inlineStr">
        <is>
          <t>PhD</t>
        </is>
      </c>
      <c r="F1780" s="5" t="inlineStr">
        <is>
          <t>Finance</t>
        </is>
      </c>
      <c r="G1780" s="5" t="inlineStr">
        <is>
          <t>Financial Analyst</t>
        </is>
      </c>
      <c r="H1780" s="5" t="inlineStr">
        <is>
          <t>2</t>
        </is>
      </c>
      <c r="I1780" s="5" t="inlineStr">
        <is>
          <t>Remote</t>
        </is>
      </c>
      <c r="J1780" s="5" t="inlineStr">
        <is>
          <t>Part-Time</t>
        </is>
      </c>
      <c r="K1780" s="7" t="n">
        <v>44926</v>
      </c>
      <c r="L1780" s="7" t="inlineStr"/>
      <c r="M1780" s="5" t="inlineStr">
        <is>
          <t>Yes</t>
        </is>
      </c>
      <c r="N1780" s="5" t="inlineStr"/>
      <c r="O1780" s="8" t="inlineStr">
        <is>
          <t>90000</t>
        </is>
      </c>
      <c r="P1780" s="5" t="inlineStr">
        <is>
          <t>0</t>
        </is>
      </c>
      <c r="Q1780" s="5" t="inlineStr">
        <is>
          <t>3</t>
        </is>
      </c>
      <c r="R1780" s="5" t="inlineStr">
        <is>
          <t>4</t>
        </is>
      </c>
      <c r="S1780" s="5" t="inlineStr">
        <is>
          <t>36</t>
        </is>
      </c>
      <c r="T1780" s="5" t="inlineStr">
        <is>
          <t>7</t>
        </is>
      </c>
      <c r="U1780" s="5" t="inlineStr">
        <is>
          <t>OK</t>
        </is>
      </c>
    </row>
    <row r="1781">
      <c r="A1781" s="5" t="inlineStr">
        <is>
          <t>E02203</t>
        </is>
      </c>
      <c r="B1781" s="5" t="inlineStr">
        <is>
          <t>Female</t>
        </is>
      </c>
      <c r="C1781" s="6" t="inlineStr">
        <is>
          <t>23</t>
        </is>
      </c>
      <c r="D1781" s="5" t="inlineStr">
        <is>
          <t>Married</t>
        </is>
      </c>
      <c r="E1781" s="5" t="inlineStr">
        <is>
          <t>High School</t>
        </is>
      </c>
      <c r="F1781" s="5" t="inlineStr">
        <is>
          <t>Research &amp; Development</t>
        </is>
      </c>
      <c r="G1781" s="5" t="inlineStr">
        <is>
          <t>Research Scientist</t>
        </is>
      </c>
      <c r="H1781" s="5" t="inlineStr">
        <is>
          <t>1</t>
        </is>
      </c>
      <c r="I1781" s="5" t="inlineStr">
        <is>
          <t>Chennai</t>
        </is>
      </c>
      <c r="J1781" s="5" t="inlineStr">
        <is>
          <t>Full-Time</t>
        </is>
      </c>
      <c r="K1781" s="7" t="n">
        <v>45522</v>
      </c>
      <c r="L1781" s="7" t="inlineStr"/>
      <c r="M1781" s="5" t="inlineStr">
        <is>
          <t>Yes</t>
        </is>
      </c>
      <c r="N1781" s="5" t="inlineStr"/>
      <c r="O1781" s="8" t="inlineStr">
        <is>
          <t>121500</t>
        </is>
      </c>
      <c r="P1781" s="5" t="inlineStr">
        <is>
          <t>15</t>
        </is>
      </c>
      <c r="Q1781" s="5" t="inlineStr">
        <is>
          <t>3</t>
        </is>
      </c>
      <c r="R1781" s="5" t="inlineStr">
        <is>
          <t>1</t>
        </is>
      </c>
      <c r="S1781" s="5" t="inlineStr">
        <is>
          <t>16</t>
        </is>
      </c>
      <c r="T1781" s="5" t="inlineStr">
        <is>
          <t>5</t>
        </is>
      </c>
      <c r="U1781" s="5" t="inlineStr">
        <is>
          <t>OK</t>
        </is>
      </c>
    </row>
    <row r="1782">
      <c r="A1782" s="5" t="inlineStr">
        <is>
          <t>E02099</t>
        </is>
      </c>
      <c r="B1782" s="5" t="inlineStr">
        <is>
          <t>Female</t>
        </is>
      </c>
      <c r="C1782" s="6" t="inlineStr">
        <is>
          <t>45</t>
        </is>
      </c>
      <c r="D1782" s="5" t="inlineStr">
        <is>
          <t>Married</t>
        </is>
      </c>
      <c r="E1782" s="5" t="inlineStr">
        <is>
          <t>Diploma</t>
        </is>
      </c>
      <c r="F1782" s="5" t="inlineStr">
        <is>
          <t>Marketing</t>
        </is>
      </c>
      <c r="G1782" s="5" t="inlineStr">
        <is>
          <t>Marketing Analyst</t>
        </is>
      </c>
      <c r="H1782" s="5" t="inlineStr">
        <is>
          <t>7</t>
        </is>
      </c>
      <c r="I1782" s="5" t="inlineStr">
        <is>
          <t>Mumbai</t>
        </is>
      </c>
      <c r="J1782" s="5" t="inlineStr">
        <is>
          <t>Full-Time</t>
        </is>
      </c>
      <c r="K1782" s="7" t="n">
        <v>44137</v>
      </c>
      <c r="L1782" s="7" t="n">
        <v>44200</v>
      </c>
      <c r="M1782" s="5" t="inlineStr">
        <is>
          <t>No</t>
        </is>
      </c>
      <c r="N1782" s="5" t="inlineStr">
        <is>
          <t>Resigned</t>
        </is>
      </c>
      <c r="O1782" s="8" t="inlineStr">
        <is>
          <t>100500</t>
        </is>
      </c>
      <c r="P1782" s="5" t="inlineStr">
        <is>
          <t>15</t>
        </is>
      </c>
      <c r="Q1782" s="5" t="inlineStr">
        <is>
          <t>5</t>
        </is>
      </c>
      <c r="R1782" s="5" t="inlineStr">
        <is>
          <t>7</t>
        </is>
      </c>
      <c r="S1782" s="5" t="inlineStr">
        <is>
          <t>2</t>
        </is>
      </c>
      <c r="T1782" s="5" t="inlineStr">
        <is>
          <t>8</t>
        </is>
      </c>
      <c r="U1782" s="5" t="inlineStr">
        <is>
          <t>OK</t>
        </is>
      </c>
    </row>
    <row r="1783">
      <c r="A1783" s="5" t="inlineStr">
        <is>
          <t>E01329</t>
        </is>
      </c>
      <c r="B1783" s="5" t="inlineStr">
        <is>
          <t>Male</t>
        </is>
      </c>
      <c r="C1783" s="6" t="inlineStr">
        <is>
          <t>33</t>
        </is>
      </c>
      <c r="D1783" s="5" t="inlineStr">
        <is>
          <t>Single</t>
        </is>
      </c>
      <c r="E1783" s="5" t="inlineStr">
        <is>
          <t>Bachelor</t>
        </is>
      </c>
      <c r="F1783" s="5" t="inlineStr">
        <is>
          <t>Research &amp; Development</t>
        </is>
      </c>
      <c r="G1783" s="5" t="inlineStr">
        <is>
          <t>Product Engineer</t>
        </is>
      </c>
      <c r="H1783" s="5" t="inlineStr">
        <is>
          <t>3</t>
        </is>
      </c>
      <c r="I1783" s="5" t="inlineStr">
        <is>
          <t>Mumbai</t>
        </is>
      </c>
      <c r="J1783" s="5" t="inlineStr">
        <is>
          <t>Full-Time</t>
        </is>
      </c>
      <c r="K1783" s="7" t="n">
        <v>45996</v>
      </c>
      <c r="L1783" s="7" t="inlineStr"/>
      <c r="M1783" s="5" t="inlineStr">
        <is>
          <t>Yes</t>
        </is>
      </c>
      <c r="N1783" s="5" t="inlineStr"/>
      <c r="O1783" s="8" t="inlineStr">
        <is>
          <t>150000</t>
        </is>
      </c>
      <c r="P1783" s="5" t="inlineStr">
        <is>
          <t>0</t>
        </is>
      </c>
      <c r="Q1783" s="5" t="inlineStr">
        <is>
          <t>5</t>
        </is>
      </c>
      <c r="R1783" s="5" t="inlineStr">
        <is>
          <t>6</t>
        </is>
      </c>
      <c r="S1783" s="5" t="inlineStr">
        <is>
          <t>1</t>
        </is>
      </c>
      <c r="T1783" s="5" t="inlineStr">
        <is>
          <t>9</t>
        </is>
      </c>
      <c r="U1783" s="5" t="inlineStr">
        <is>
          <t>OK</t>
        </is>
      </c>
    </row>
    <row r="1784">
      <c r="A1784" s="5" t="inlineStr">
        <is>
          <t>E01014</t>
        </is>
      </c>
      <c r="B1784" s="5" t="inlineStr">
        <is>
          <t>Male</t>
        </is>
      </c>
      <c r="C1784" s="6" t="inlineStr">
        <is>
          <t>35</t>
        </is>
      </c>
      <c r="D1784" s="5" t="inlineStr">
        <is>
          <t>Single</t>
        </is>
      </c>
      <c r="E1784" s="5" t="inlineStr">
        <is>
          <t>Diploma</t>
        </is>
      </c>
      <c r="F1784" s="5" t="inlineStr">
        <is>
          <t>Customer Support</t>
        </is>
      </c>
      <c r="G1784" s="5" t="inlineStr">
        <is>
          <t>Support Agent</t>
        </is>
      </c>
      <c r="H1784" s="5" t="inlineStr">
        <is>
          <t>3</t>
        </is>
      </c>
      <c r="I1784" s="5" t="inlineStr">
        <is>
          <t>Remote</t>
        </is>
      </c>
      <c r="J1784" s="5" t="inlineStr">
        <is>
          <t>Full-Time</t>
        </is>
      </c>
      <c r="K1784" s="7" t="n">
        <v>45182</v>
      </c>
      <c r="L1784" s="7" t="inlineStr"/>
      <c r="M1784" s="5" t="inlineStr">
        <is>
          <t>Yes</t>
        </is>
      </c>
      <c r="N1784" s="5" t="inlineStr"/>
      <c r="O1784" s="8" t="inlineStr">
        <is>
          <t>84000</t>
        </is>
      </c>
      <c r="P1784" s="5" t="inlineStr">
        <is>
          <t>5</t>
        </is>
      </c>
      <c r="Q1784" s="5" t="inlineStr">
        <is>
          <t>3</t>
        </is>
      </c>
      <c r="R1784" s="5" t="inlineStr">
        <is>
          <t>4</t>
        </is>
      </c>
      <c r="S1784" s="5" t="inlineStr">
        <is>
          <t>28</t>
        </is>
      </c>
      <c r="T1784" s="5" t="inlineStr">
        <is>
          <t>1</t>
        </is>
      </c>
      <c r="U1784" s="5" t="inlineStr">
        <is>
          <t>OK</t>
        </is>
      </c>
    </row>
    <row r="1785">
      <c r="A1785" s="5" t="inlineStr">
        <is>
          <t>E00765</t>
        </is>
      </c>
      <c r="B1785" s="5" t="inlineStr">
        <is>
          <t>Male</t>
        </is>
      </c>
      <c r="C1785" s="6" t="inlineStr">
        <is>
          <t>26</t>
        </is>
      </c>
      <c r="D1785" s="5" t="inlineStr">
        <is>
          <t>Married</t>
        </is>
      </c>
      <c r="E1785" s="5" t="inlineStr">
        <is>
          <t>Master</t>
        </is>
      </c>
      <c r="F1785" s="5" t="inlineStr">
        <is>
          <t>Customer Support</t>
        </is>
      </c>
      <c r="G1785" s="5" t="inlineStr">
        <is>
          <t>Support Agent</t>
        </is>
      </c>
      <c r="H1785" s="5" t="inlineStr">
        <is>
          <t>2</t>
        </is>
      </c>
      <c r="I1785" s="5" t="inlineStr">
        <is>
          <t>Hyderabad</t>
        </is>
      </c>
      <c r="J1785" s="5" t="inlineStr">
        <is>
          <t>Full-Time</t>
        </is>
      </c>
      <c r="K1785" s="7" t="n">
        <v>45905</v>
      </c>
      <c r="L1785" s="7" t="inlineStr"/>
      <c r="M1785" s="5" t="inlineStr">
        <is>
          <t>Yes</t>
        </is>
      </c>
      <c r="N1785" s="5" t="inlineStr"/>
      <c r="O1785" s="8" t="inlineStr">
        <is>
          <t>84000</t>
        </is>
      </c>
      <c r="P1785" s="5" t="inlineStr">
        <is>
          <t>5</t>
        </is>
      </c>
      <c r="Q1785" s="5" t="inlineStr">
        <is>
          <t>3</t>
        </is>
      </c>
      <c r="R1785" s="5" t="inlineStr">
        <is>
          <t>7</t>
        </is>
      </c>
      <c r="S1785" s="5" t="inlineStr">
        <is>
          <t>3</t>
        </is>
      </c>
      <c r="T1785" s="5" t="inlineStr">
        <is>
          <t>11</t>
        </is>
      </c>
      <c r="U1785" s="5" t="inlineStr">
        <is>
          <t>OK</t>
        </is>
      </c>
    </row>
    <row r="1786">
      <c r="A1786" s="5" t="inlineStr">
        <is>
          <t>E02643</t>
        </is>
      </c>
      <c r="B1786" s="5" t="inlineStr">
        <is>
          <t>Male</t>
        </is>
      </c>
      <c r="C1786" s="6" t="inlineStr">
        <is>
          <t>31</t>
        </is>
      </c>
      <c r="D1786" s="5" t="inlineStr">
        <is>
          <t>Divorced</t>
        </is>
      </c>
      <c r="E1786" s="5" t="inlineStr">
        <is>
          <t>Diploma</t>
        </is>
      </c>
      <c r="F1786" s="5" t="inlineStr">
        <is>
          <t>Human Resources</t>
        </is>
      </c>
      <c r="G1786" s="5" t="inlineStr">
        <is>
          <t>HR Analyst</t>
        </is>
      </c>
      <c r="H1786" s="5" t="inlineStr">
        <is>
          <t>2</t>
        </is>
      </c>
      <c r="I1786" s="5" t="inlineStr">
        <is>
          <t>Bengaluru</t>
        </is>
      </c>
      <c r="J1786" s="5" t="inlineStr">
        <is>
          <t>Full-Time</t>
        </is>
      </c>
      <c r="K1786" s="7" t="n">
        <v>44201</v>
      </c>
      <c r="L1786" s="7" t="inlineStr"/>
      <c r="M1786" s="5" t="inlineStr">
        <is>
          <t>Yes</t>
        </is>
      </c>
      <c r="N1786" s="5" t="inlineStr"/>
      <c r="O1786" s="8" t="inlineStr">
        <is>
          <t>98000</t>
        </is>
      </c>
      <c r="P1786" s="5" t="inlineStr">
        <is>
          <t>20</t>
        </is>
      </c>
      <c r="Q1786" s="5" t="inlineStr">
        <is>
          <t>1</t>
        </is>
      </c>
      <c r="R1786" s="5" t="inlineStr">
        <is>
          <t>7</t>
        </is>
      </c>
      <c r="S1786" s="5" t="inlineStr">
        <is>
          <t>60</t>
        </is>
      </c>
      <c r="T1786" s="5" t="inlineStr">
        <is>
          <t>1</t>
        </is>
      </c>
      <c r="U1786" s="5" t="inlineStr">
        <is>
          <t>OK</t>
        </is>
      </c>
    </row>
    <row r="1787">
      <c r="A1787" s="5" t="inlineStr">
        <is>
          <t>E00558</t>
        </is>
      </c>
      <c r="B1787" s="5" t="inlineStr">
        <is>
          <t>Female</t>
        </is>
      </c>
      <c r="C1787" s="6" t="inlineStr">
        <is>
          <t>29</t>
        </is>
      </c>
      <c r="D1787" s="5" t="inlineStr">
        <is>
          <t>Married</t>
        </is>
      </c>
      <c r="E1787" s="5" t="inlineStr">
        <is>
          <t>High School</t>
        </is>
      </c>
      <c r="F1787" s="5" t="inlineStr">
        <is>
          <t>Finance</t>
        </is>
      </c>
      <c r="G1787" s="5" t="inlineStr">
        <is>
          <t>Financial Analyst</t>
        </is>
      </c>
      <c r="H1787" s="5" t="inlineStr">
        <is>
          <t>2</t>
        </is>
      </c>
      <c r="I1787" s="5" t="inlineStr">
        <is>
          <t>Chennai</t>
        </is>
      </c>
      <c r="J1787" s="5" t="inlineStr">
        <is>
          <t>Full-Time</t>
        </is>
      </c>
      <c r="K1787" s="7" t="n">
        <v>44781</v>
      </c>
      <c r="L1787" s="7" t="inlineStr"/>
      <c r="M1787" s="5" t="inlineStr">
        <is>
          <t>Yes</t>
        </is>
      </c>
      <c r="N1787" s="5" t="inlineStr"/>
      <c r="O1787" s="8" t="inlineStr">
        <is>
          <t>123000</t>
        </is>
      </c>
      <c r="P1787" s="5" t="inlineStr">
        <is>
          <t>5</t>
        </is>
      </c>
      <c r="Q1787" s="5" t="inlineStr">
        <is>
          <t>3</t>
        </is>
      </c>
      <c r="R1787" s="5" t="inlineStr">
        <is>
          <t>6</t>
        </is>
      </c>
      <c r="S1787" s="5" t="inlineStr">
        <is>
          <t>41</t>
        </is>
      </c>
      <c r="T1787" s="5" t="inlineStr">
        <is>
          <t>4</t>
        </is>
      </c>
      <c r="U1787" s="5" t="inlineStr">
        <is>
          <t>OK</t>
        </is>
      </c>
    </row>
    <row r="1788">
      <c r="A1788" s="5" t="inlineStr">
        <is>
          <t>E02238</t>
        </is>
      </c>
      <c r="B1788" s="5" t="inlineStr">
        <is>
          <t>Female</t>
        </is>
      </c>
      <c r="C1788" s="6" t="inlineStr">
        <is>
          <t>29</t>
        </is>
      </c>
      <c r="D1788" s="5" t="inlineStr">
        <is>
          <t>Married</t>
        </is>
      </c>
      <c r="E1788" s="5" t="inlineStr">
        <is>
          <t>Bachelor</t>
        </is>
      </c>
      <c r="F1788" s="5" t="inlineStr">
        <is>
          <t>Marketing</t>
        </is>
      </c>
      <c r="G1788" s="5" t="inlineStr">
        <is>
          <t>SEO Specialist</t>
        </is>
      </c>
      <c r="H1788" s="5" t="inlineStr">
        <is>
          <t>1</t>
        </is>
      </c>
      <c r="I1788" s="5" t="inlineStr">
        <is>
          <t>Mumbai</t>
        </is>
      </c>
      <c r="J1788" s="5" t="inlineStr">
        <is>
          <t>Full-Time</t>
        </is>
      </c>
      <c r="K1788" s="7" t="n">
        <v>45020</v>
      </c>
      <c r="L1788" s="7" t="n">
        <v>45053</v>
      </c>
      <c r="M1788" s="5" t="inlineStr">
        <is>
          <t>No</t>
        </is>
      </c>
      <c r="N1788" s="5" t="inlineStr">
        <is>
          <t>Resigned</t>
        </is>
      </c>
      <c r="O1788" s="8" t="inlineStr">
        <is>
          <t>78000</t>
        </is>
      </c>
      <c r="P1788" s="5" t="inlineStr">
        <is>
          <t>10</t>
        </is>
      </c>
      <c r="Q1788" s="5" t="inlineStr">
        <is>
          <t>3</t>
        </is>
      </c>
      <c r="R1788" s="5" t="inlineStr">
        <is>
          <t>8</t>
        </is>
      </c>
      <c r="S1788" s="5" t="inlineStr">
        <is>
          <t>1</t>
        </is>
      </c>
      <c r="T1788" s="5" t="inlineStr">
        <is>
          <t>17</t>
        </is>
      </c>
      <c r="U1788" s="5" t="inlineStr">
        <is>
          <t>OK</t>
        </is>
      </c>
    </row>
    <row r="1789">
      <c r="A1789" s="5" t="inlineStr">
        <is>
          <t>E01110</t>
        </is>
      </c>
      <c r="B1789" s="5" t="inlineStr">
        <is>
          <t>male</t>
        </is>
      </c>
      <c r="C1789" s="6" t="inlineStr">
        <is>
          <t>42</t>
        </is>
      </c>
      <c r="D1789" s="5" t="inlineStr">
        <is>
          <t>Married</t>
        </is>
      </c>
      <c r="E1789" s="5" t="inlineStr">
        <is>
          <t>Master</t>
        </is>
      </c>
      <c r="F1789" s="5" t="inlineStr">
        <is>
          <t>Human Resources</t>
        </is>
      </c>
      <c r="G1789" s="5" t="inlineStr">
        <is>
          <t>HR Generalist</t>
        </is>
      </c>
      <c r="H1789" s="5" t="inlineStr">
        <is>
          <t>5</t>
        </is>
      </c>
      <c r="I1789" s="5" t="inlineStr">
        <is>
          <t>Hyderabad</t>
        </is>
      </c>
      <c r="J1789" s="5" t="inlineStr">
        <is>
          <t>Full-Time</t>
        </is>
      </c>
      <c r="K1789" s="7" t="n">
        <v>44117</v>
      </c>
      <c r="L1789" s="7" t="inlineStr"/>
      <c r="M1789" s="5" t="inlineStr">
        <is>
          <t>Yes</t>
        </is>
      </c>
      <c r="N1789" s="5" t="inlineStr"/>
      <c r="O1789" s="8" t="inlineStr">
        <is>
          <t>120000</t>
        </is>
      </c>
      <c r="P1789" s="5" t="inlineStr">
        <is>
          <t>10</t>
        </is>
      </c>
      <c r="Q1789" s="5" t="inlineStr">
        <is>
          <t>4</t>
        </is>
      </c>
      <c r="R1789" s="5" t="inlineStr">
        <is>
          <t>7</t>
        </is>
      </c>
      <c r="S1789" s="5" t="inlineStr">
        <is>
          <t>63</t>
        </is>
      </c>
      <c r="T1789" s="5" t="inlineStr">
        <is>
          <t>0</t>
        </is>
      </c>
      <c r="U1789" s="5" t="inlineStr">
        <is>
          <t>OK</t>
        </is>
      </c>
    </row>
    <row r="1790">
      <c r="A1790" s="5" t="inlineStr">
        <is>
          <t>E02580</t>
        </is>
      </c>
      <c r="B1790" s="5" t="inlineStr">
        <is>
          <t>Male</t>
        </is>
      </c>
      <c r="C1790" s="6" t="inlineStr">
        <is>
          <t>27</t>
        </is>
      </c>
      <c r="D1790" s="5" t="inlineStr">
        <is>
          <t>Single</t>
        </is>
      </c>
      <c r="E1790" s="5" t="inlineStr">
        <is>
          <t>Diploma</t>
        </is>
      </c>
      <c r="F1790" s="5" t="inlineStr">
        <is>
          <t>Customer Support</t>
        </is>
      </c>
      <c r="G1790" s="5" t="inlineStr">
        <is>
          <t>Support Lead</t>
        </is>
      </c>
      <c r="H1790" s="5" t="inlineStr">
        <is>
          <t>3</t>
        </is>
      </c>
      <c r="I1790" s="5" t="inlineStr">
        <is>
          <t>Delhi</t>
        </is>
      </c>
      <c r="J1790" s="5" t="inlineStr">
        <is>
          <t>Full-Time</t>
        </is>
      </c>
      <c r="K1790" s="7" t="n">
        <v>44671</v>
      </c>
      <c r="L1790" s="7" t="inlineStr"/>
      <c r="M1790" s="5" t="inlineStr">
        <is>
          <t>Yes</t>
        </is>
      </c>
      <c r="N1790" s="5" t="inlineStr"/>
      <c r="O1790" s="8" t="inlineStr">
        <is>
          <t>63500</t>
        </is>
      </c>
      <c r="P1790" s="5" t="inlineStr">
        <is>
          <t>5</t>
        </is>
      </c>
      <c r="Q1790" s="5" t="inlineStr">
        <is>
          <t>3</t>
        </is>
      </c>
      <c r="R1790" s="5" t="inlineStr">
        <is>
          <t>4</t>
        </is>
      </c>
      <c r="S1790" s="5" t="inlineStr">
        <is>
          <t>45</t>
        </is>
      </c>
      <c r="T1790" s="5" t="inlineStr">
        <is>
          <t>9</t>
        </is>
      </c>
      <c r="U1790" s="5" t="inlineStr">
        <is>
          <t>OK</t>
        </is>
      </c>
    </row>
    <row r="1791">
      <c r="A1791" s="5" t="inlineStr">
        <is>
          <t>E02667</t>
        </is>
      </c>
      <c r="B1791" s="5" t="inlineStr">
        <is>
          <t>Male</t>
        </is>
      </c>
      <c r="C1791" s="6" t="inlineStr">
        <is>
          <t>40</t>
        </is>
      </c>
      <c r="D1791" s="5" t="inlineStr">
        <is>
          <t>Single</t>
        </is>
      </c>
      <c r="E1791" s="5" t="inlineStr">
        <is>
          <t>Diploma</t>
        </is>
      </c>
      <c r="F1791" s="5" t="inlineStr">
        <is>
          <t>Operations</t>
        </is>
      </c>
      <c r="G1791" s="5" t="inlineStr">
        <is>
          <t>Logistics Coordinator</t>
        </is>
      </c>
      <c r="H1791" s="5" t="inlineStr">
        <is>
          <t>5</t>
        </is>
      </c>
      <c r="I1791" s="5" t="inlineStr">
        <is>
          <t>Remote</t>
        </is>
      </c>
      <c r="J1791" s="5" t="inlineStr">
        <is>
          <t>Full-Time</t>
        </is>
      </c>
      <c r="K1791" s="7" t="n">
        <v>45831</v>
      </c>
      <c r="L1791" s="7" t="inlineStr"/>
      <c r="M1791" s="5" t="inlineStr">
        <is>
          <t>Yes</t>
        </is>
      </c>
      <c r="N1791" s="5" t="inlineStr"/>
      <c r="O1791" s="8" t="inlineStr">
        <is>
          <t>137500</t>
        </is>
      </c>
      <c r="P1791" s="5" t="inlineStr">
        <is>
          <t>10</t>
        </is>
      </c>
      <c r="Q1791" s="5" t="inlineStr">
        <is>
          <t>3</t>
        </is>
      </c>
      <c r="R1791" s="5" t="inlineStr">
        <is>
          <t>7</t>
        </is>
      </c>
      <c r="S1791" s="5" t="inlineStr">
        <is>
          <t>6</t>
        </is>
      </c>
      <c r="T1791" s="5" t="inlineStr">
        <is>
          <t>11</t>
        </is>
      </c>
      <c r="U1791" s="5" t="inlineStr">
        <is>
          <t>OK</t>
        </is>
      </c>
    </row>
    <row r="1792">
      <c r="A1792" s="5" t="inlineStr">
        <is>
          <t>E01982</t>
        </is>
      </c>
      <c r="B1792" s="5" t="inlineStr">
        <is>
          <t>Female</t>
        </is>
      </c>
      <c r="C1792" s="6" t="inlineStr">
        <is>
          <t>34</t>
        </is>
      </c>
      <c r="D1792" s="5" t="inlineStr">
        <is>
          <t>Single</t>
        </is>
      </c>
      <c r="E1792" s="5" t="inlineStr">
        <is>
          <t>High School</t>
        </is>
      </c>
      <c r="F1792" s="5" t="inlineStr">
        <is>
          <t>IT</t>
        </is>
      </c>
      <c r="G1792" s="5" t="inlineStr">
        <is>
          <t>Data Analyst</t>
        </is>
      </c>
      <c r="H1792" s="5" t="inlineStr">
        <is>
          <t>4</t>
        </is>
      </c>
      <c r="I1792" s="5" t="inlineStr">
        <is>
          <t>Hyderabad</t>
        </is>
      </c>
      <c r="J1792" s="5" t="inlineStr">
        <is>
          <t>Full-Time</t>
        </is>
      </c>
      <c r="K1792" s="7" t="n">
        <v>45913</v>
      </c>
      <c r="L1792" s="7" t="inlineStr"/>
      <c r="M1792" s="5" t="inlineStr">
        <is>
          <t>Yes</t>
        </is>
      </c>
      <c r="N1792" s="5" t="inlineStr"/>
      <c r="O1792" s="8" t="inlineStr">
        <is>
          <t>148500</t>
        </is>
      </c>
      <c r="P1792" s="5" t="inlineStr">
        <is>
          <t>10</t>
        </is>
      </c>
      <c r="Q1792" s="5" t="inlineStr">
        <is>
          <t>4</t>
        </is>
      </c>
      <c r="R1792" s="5" t="inlineStr">
        <is>
          <t>7</t>
        </is>
      </c>
      <c r="S1792" s="5" t="inlineStr">
        <is>
          <t>3</t>
        </is>
      </c>
      <c r="T1792" s="5" t="inlineStr">
        <is>
          <t>0</t>
        </is>
      </c>
      <c r="U1792" s="5" t="inlineStr">
        <is>
          <t>OK</t>
        </is>
      </c>
    </row>
    <row r="1793">
      <c r="A1793" s="5" t="inlineStr">
        <is>
          <t>E00810</t>
        </is>
      </c>
      <c r="B1793" s="5" t="inlineStr">
        <is>
          <t>Male</t>
        </is>
      </c>
      <c r="C1793" s="6" t="inlineStr">
        <is>
          <t>30</t>
        </is>
      </c>
      <c r="D1793" s="5" t="inlineStr">
        <is>
          <t>Single</t>
        </is>
      </c>
      <c r="E1793" s="5" t="inlineStr">
        <is>
          <t>Diploma</t>
        </is>
      </c>
      <c r="F1793" s="5" t="inlineStr">
        <is>
          <t>Marketing</t>
        </is>
      </c>
      <c r="G1793" s="5" t="inlineStr">
        <is>
          <t>Marketing Analyst</t>
        </is>
      </c>
      <c r="H1793" s="5" t="inlineStr">
        <is>
          <t>2</t>
        </is>
      </c>
      <c r="I1793" s="5" t="inlineStr">
        <is>
          <t>Chennai</t>
        </is>
      </c>
      <c r="J1793" s="5" t="inlineStr">
        <is>
          <t>Full-Time</t>
        </is>
      </c>
      <c r="K1793" s="7" t="n">
        <v>44807</v>
      </c>
      <c r="L1793" s="7" t="inlineStr"/>
      <c r="M1793" s="5" t="inlineStr">
        <is>
          <t>Yes</t>
        </is>
      </c>
      <c r="N1793" s="5" t="inlineStr"/>
      <c r="O1793" s="8" t="inlineStr">
        <is>
          <t>57500</t>
        </is>
      </c>
      <c r="P1793" s="5" t="inlineStr">
        <is>
          <t>15</t>
        </is>
      </c>
      <c r="Q1793" s="5" t="inlineStr">
        <is>
          <t>3</t>
        </is>
      </c>
      <c r="R1793" s="5" t="inlineStr">
        <is>
          <t>5</t>
        </is>
      </c>
      <c r="S1793" s="5" t="inlineStr">
        <is>
          <t>40</t>
        </is>
      </c>
      <c r="T1793" s="5" t="inlineStr">
        <is>
          <t>0</t>
        </is>
      </c>
      <c r="U1793" s="5" t="inlineStr">
        <is>
          <t>OK</t>
        </is>
      </c>
    </row>
    <row r="1794">
      <c r="A1794" s="5" t="inlineStr">
        <is>
          <t>E00674</t>
        </is>
      </c>
      <c r="B1794" s="5" t="inlineStr">
        <is>
          <t>Male</t>
        </is>
      </c>
      <c r="C1794" s="6" t="inlineStr">
        <is>
          <t>31</t>
        </is>
      </c>
      <c r="D1794" s="5" t="inlineStr">
        <is>
          <t>Married</t>
        </is>
      </c>
      <c r="E1794" s="5" t="inlineStr">
        <is>
          <t>Diploma</t>
        </is>
      </c>
      <c r="F1794" s="5" t="inlineStr">
        <is>
          <t>Customer Support</t>
        </is>
      </c>
      <c r="G1794" s="5" t="inlineStr">
        <is>
          <t>Support Agent</t>
        </is>
      </c>
      <c r="H1794" s="5" t="inlineStr">
        <is>
          <t>1</t>
        </is>
      </c>
      <c r="I1794" s="5" t="inlineStr">
        <is>
          <t>Mumbai</t>
        </is>
      </c>
      <c r="J1794" s="5" t="inlineStr">
        <is>
          <t>Full-Time</t>
        </is>
      </c>
      <c r="K1794" s="7" t="n">
        <v>45839</v>
      </c>
      <c r="L1794" s="7" t="n">
        <v>45924</v>
      </c>
      <c r="M1794" s="5" t="inlineStr">
        <is>
          <t>No</t>
        </is>
      </c>
      <c r="N1794" s="5" t="inlineStr">
        <is>
          <t>Performance / Termination</t>
        </is>
      </c>
      <c r="O1794" s="8" t="inlineStr">
        <is>
          <t>45500</t>
        </is>
      </c>
      <c r="P1794" s="5" t="inlineStr">
        <is>
          <t>5</t>
        </is>
      </c>
      <c r="Q1794" s="5" t="inlineStr">
        <is>
          <t>2</t>
        </is>
      </c>
      <c r="R1794" s="5" t="inlineStr">
        <is>
          <t>4</t>
        </is>
      </c>
      <c r="S1794" s="5" t="inlineStr">
        <is>
          <t>2</t>
        </is>
      </c>
      <c r="T1794" s="5" t="inlineStr">
        <is>
          <t>3</t>
        </is>
      </c>
      <c r="U1794" s="5" t="inlineStr">
        <is>
          <t>OK</t>
        </is>
      </c>
    </row>
    <row r="1795">
      <c r="A1795" s="5" t="inlineStr">
        <is>
          <t>E00638</t>
        </is>
      </c>
      <c r="B1795" s="5" t="inlineStr">
        <is>
          <t>Female</t>
        </is>
      </c>
      <c r="C1795" s="6" t="inlineStr">
        <is>
          <t>30</t>
        </is>
      </c>
      <c r="D1795" s="5" t="inlineStr">
        <is>
          <t>Married</t>
        </is>
      </c>
      <c r="E1795" s="5" t="inlineStr">
        <is>
          <t>Bachelor</t>
        </is>
      </c>
      <c r="F1795" s="5" t="inlineStr">
        <is>
          <t>Operations</t>
        </is>
      </c>
      <c r="G1795" s="5" t="inlineStr">
        <is>
          <t>Operations Analyst</t>
        </is>
      </c>
      <c r="H1795" s="5" t="inlineStr">
        <is>
          <t>3</t>
        </is>
      </c>
      <c r="I1795" s="5" t="inlineStr">
        <is>
          <t>Hyderabad</t>
        </is>
      </c>
      <c r="J1795" s="5" t="inlineStr">
        <is>
          <t>Contract</t>
        </is>
      </c>
      <c r="K1795" s="7" t="n">
        <v>44289</v>
      </c>
      <c r="L1795" s="7" t="inlineStr"/>
      <c r="M1795" s="5" t="inlineStr">
        <is>
          <t>Yes</t>
        </is>
      </c>
      <c r="N1795" s="5" t="inlineStr"/>
      <c r="O1795" s="8" t="inlineStr">
        <is>
          <t>113000</t>
        </is>
      </c>
      <c r="P1795" s="5" t="inlineStr">
        <is>
          <t>10</t>
        </is>
      </c>
      <c r="Q1795" s="5" t="inlineStr">
        <is>
          <t>4</t>
        </is>
      </c>
      <c r="R1795" s="5" t="inlineStr">
        <is>
          <t>8</t>
        </is>
      </c>
      <c r="S1795" s="5" t="inlineStr">
        <is>
          <t>57</t>
        </is>
      </c>
      <c r="T1795" s="5" t="inlineStr">
        <is>
          <t>9</t>
        </is>
      </c>
      <c r="U1795" s="5" t="inlineStr">
        <is>
          <t>OK</t>
        </is>
      </c>
    </row>
    <row r="1796">
      <c r="A1796" s="5" t="inlineStr">
        <is>
          <t>E01800</t>
        </is>
      </c>
      <c r="B1796" s="5" t="inlineStr">
        <is>
          <t>Male</t>
        </is>
      </c>
      <c r="C1796" s="6" t="inlineStr">
        <is>
          <t>26</t>
        </is>
      </c>
      <c r="D1796" s="5" t="inlineStr">
        <is>
          <t>Married</t>
        </is>
      </c>
      <c r="E1796" s="5" t="inlineStr">
        <is>
          <t>High School</t>
        </is>
      </c>
      <c r="F1796" s="5" t="inlineStr">
        <is>
          <t>Operations</t>
        </is>
      </c>
      <c r="G1796" s="5" t="inlineStr">
        <is>
          <t>Logistics Coordinator</t>
        </is>
      </c>
      <c r="H1796" s="5" t="inlineStr">
        <is>
          <t>2</t>
        </is>
      </c>
      <c r="I1796" s="5" t="inlineStr">
        <is>
          <t>Chennai</t>
        </is>
      </c>
      <c r="J1796" s="5" t="inlineStr">
        <is>
          <t>Full-Time</t>
        </is>
      </c>
      <c r="K1796" s="7" t="n">
        <v>45789</v>
      </c>
      <c r="L1796" s="7" t="n">
        <v>45825</v>
      </c>
      <c r="M1796" s="5" t="inlineStr">
        <is>
          <t>No</t>
        </is>
      </c>
      <c r="N1796" s="5" t="inlineStr">
        <is>
          <t>Resigned</t>
        </is>
      </c>
      <c r="O1796" s="8" t="inlineStr">
        <is>
          <t>99000</t>
        </is>
      </c>
      <c r="P1796" s="5" t="inlineStr">
        <is>
          <t>15</t>
        </is>
      </c>
      <c r="Q1796" s="5" t="inlineStr">
        <is>
          <t>2</t>
        </is>
      </c>
      <c r="R1796" s="5" t="inlineStr">
        <is>
          <t>8</t>
        </is>
      </c>
      <c r="S1796" s="5" t="inlineStr">
        <is>
          <t>1</t>
        </is>
      </c>
      <c r="T1796" s="5" t="inlineStr">
        <is>
          <t>0</t>
        </is>
      </c>
      <c r="U1796" s="5" t="inlineStr">
        <is>
          <t>OK</t>
        </is>
      </c>
    </row>
    <row r="1797">
      <c r="A1797" s="5" t="inlineStr">
        <is>
          <t>E02140</t>
        </is>
      </c>
      <c r="B1797" s="5" t="inlineStr">
        <is>
          <t>Male</t>
        </is>
      </c>
      <c r="C1797" s="6" t="inlineStr">
        <is>
          <t>37</t>
        </is>
      </c>
      <c r="D1797" s="5" t="inlineStr">
        <is>
          <t>Married</t>
        </is>
      </c>
      <c r="E1797" s="5" t="inlineStr">
        <is>
          <t>Master</t>
        </is>
      </c>
      <c r="F1797" s="5" t="inlineStr">
        <is>
          <t>Sales</t>
        </is>
      </c>
      <c r="G1797" s="5" t="inlineStr">
        <is>
          <t>Business Development</t>
        </is>
      </c>
      <c r="H1797" s="5" t="inlineStr">
        <is>
          <t>4</t>
        </is>
      </c>
      <c r="I1797" s="5" t="inlineStr">
        <is>
          <t>Delhi</t>
        </is>
      </c>
      <c r="J1797" s="5" t="inlineStr">
        <is>
          <t>Contract</t>
        </is>
      </c>
      <c r="K1797" s="7" t="n">
        <v>44870</v>
      </c>
      <c r="L1797" s="7" t="inlineStr"/>
      <c r="M1797" s="5" t="inlineStr">
        <is>
          <t>Yes</t>
        </is>
      </c>
      <c r="N1797" s="5" t="inlineStr"/>
      <c r="O1797" s="8" t="inlineStr">
        <is>
          <t>95500</t>
        </is>
      </c>
      <c r="P1797" s="5" t="inlineStr">
        <is>
          <t>10</t>
        </is>
      </c>
      <c r="Q1797" s="5" t="inlineStr">
        <is>
          <t>5</t>
        </is>
      </c>
      <c r="R1797" s="5" t="inlineStr">
        <is>
          <t>4</t>
        </is>
      </c>
      <c r="S1797" s="5" t="inlineStr">
        <is>
          <t>38</t>
        </is>
      </c>
      <c r="T1797" s="5" t="inlineStr">
        <is>
          <t>7</t>
        </is>
      </c>
      <c r="U1797" s="5" t="inlineStr">
        <is>
          <t>OK</t>
        </is>
      </c>
    </row>
    <row r="1798">
      <c r="A1798" s="5" t="inlineStr">
        <is>
          <t>E00532</t>
        </is>
      </c>
      <c r="B1798" s="5" t="inlineStr">
        <is>
          <t>Male</t>
        </is>
      </c>
      <c r="C1798" s="6" t="inlineStr">
        <is>
          <t>200</t>
        </is>
      </c>
      <c r="D1798" s="5" t="inlineStr">
        <is>
          <t>Married</t>
        </is>
      </c>
      <c r="E1798" s="5" t="inlineStr">
        <is>
          <t>PhD</t>
        </is>
      </c>
      <c r="F1798" s="5" t="inlineStr">
        <is>
          <t>Finance</t>
        </is>
      </c>
      <c r="G1798" s="5" t="inlineStr">
        <is>
          <t>Credit Analyst</t>
        </is>
      </c>
      <c r="H1798" s="5" t="inlineStr">
        <is>
          <t>3</t>
        </is>
      </c>
      <c r="I1798" s="5" t="inlineStr">
        <is>
          <t>Chennai</t>
        </is>
      </c>
      <c r="J1798" s="5" t="inlineStr">
        <is>
          <t>Full-Time</t>
        </is>
      </c>
      <c r="K1798" s="7" t="n">
        <v>44989</v>
      </c>
      <c r="L1798" s="7" t="inlineStr"/>
      <c r="M1798" s="5" t="inlineStr">
        <is>
          <t>Yes</t>
        </is>
      </c>
      <c r="N1798" s="5" t="inlineStr"/>
      <c r="O1798" s="8" t="inlineStr">
        <is>
          <t>96000</t>
        </is>
      </c>
      <c r="P1798" s="5" t="inlineStr">
        <is>
          <t>0</t>
        </is>
      </c>
      <c r="Q1798" s="5" t="inlineStr">
        <is>
          <t>2</t>
        </is>
      </c>
      <c r="R1798" s="5" t="inlineStr">
        <is>
          <t>10</t>
        </is>
      </c>
      <c r="S1798" s="5" t="inlineStr">
        <is>
          <t>34</t>
        </is>
      </c>
      <c r="T1798" s="5" t="inlineStr">
        <is>
          <t>4</t>
        </is>
      </c>
      <c r="U1798" s="5" t="inlineStr">
        <is>
          <t>Age typo</t>
        </is>
      </c>
    </row>
    <row r="1799">
      <c r="A1799" s="5" t="inlineStr">
        <is>
          <t>E02771</t>
        </is>
      </c>
      <c r="B1799" s="5" t="inlineStr">
        <is>
          <t>Female</t>
        </is>
      </c>
      <c r="C1799" s="6" t="inlineStr">
        <is>
          <t>36</t>
        </is>
      </c>
      <c r="D1799" s="5" t="inlineStr">
        <is>
          <t>Married</t>
        </is>
      </c>
      <c r="E1799" s="5" t="inlineStr">
        <is>
          <t>High School</t>
        </is>
      </c>
      <c r="F1799" s="5" t="inlineStr">
        <is>
          <t>Human Resources</t>
        </is>
      </c>
      <c r="G1799" s="5" t="inlineStr">
        <is>
          <t>Recruiter</t>
        </is>
      </c>
      <c r="H1799" s="5" t="inlineStr">
        <is>
          <t>2</t>
        </is>
      </c>
      <c r="I1799" s="5" t="inlineStr">
        <is>
          <t>Chennai</t>
        </is>
      </c>
      <c r="J1799" s="5" t="inlineStr">
        <is>
          <t>Full-Time</t>
        </is>
      </c>
      <c r="K1799" s="7" t="n">
        <v>45034</v>
      </c>
      <c r="L1799" s="7" t="inlineStr"/>
      <c r="M1799" s="5" t="inlineStr">
        <is>
          <t>Yes</t>
        </is>
      </c>
      <c r="N1799" s="5" t="inlineStr"/>
      <c r="O1799" s="8" t="inlineStr">
        <is>
          <t>65000</t>
        </is>
      </c>
      <c r="P1799" s="5" t="inlineStr">
        <is>
          <t>10</t>
        </is>
      </c>
      <c r="Q1799" s="5" t="inlineStr">
        <is>
          <t>4</t>
        </is>
      </c>
      <c r="R1799" s="5" t="inlineStr">
        <is>
          <t>8</t>
        </is>
      </c>
      <c r="S1799" s="5" t="inlineStr">
        <is>
          <t>32</t>
        </is>
      </c>
      <c r="T1799" s="5" t="inlineStr">
        <is>
          <t>0</t>
        </is>
      </c>
      <c r="U1799" s="5" t="inlineStr">
        <is>
          <t>OK</t>
        </is>
      </c>
    </row>
    <row r="1800">
      <c r="A1800" s="5" t="inlineStr">
        <is>
          <t>E01043</t>
        </is>
      </c>
      <c r="B1800" s="5" t="inlineStr">
        <is>
          <t>Male</t>
        </is>
      </c>
      <c r="C1800" s="6" t="inlineStr">
        <is>
          <t>28</t>
        </is>
      </c>
      <c r="D1800" s="5" t="inlineStr">
        <is>
          <t>Single</t>
        </is>
      </c>
      <c r="E1800" s="5" t="inlineStr">
        <is>
          <t>Master</t>
        </is>
      </c>
      <c r="F1800" s="5" t="inlineStr">
        <is>
          <t>Marketing</t>
        </is>
      </c>
      <c r="G1800" s="5" t="inlineStr">
        <is>
          <t>SEO Specialist</t>
        </is>
      </c>
      <c r="H1800" s="5" t="inlineStr">
        <is>
          <t>1</t>
        </is>
      </c>
      <c r="I1800" s="5" t="inlineStr">
        <is>
          <t>Bengaluru</t>
        </is>
      </c>
      <c r="J1800" s="5" t="inlineStr">
        <is>
          <t>Full-Time</t>
        </is>
      </c>
      <c r="K1800" s="7" t="n">
        <v>44076</v>
      </c>
      <c r="L1800" s="7" t="inlineStr"/>
      <c r="M1800" s="5" t="inlineStr">
        <is>
          <t>Yes</t>
        </is>
      </c>
      <c r="N1800" s="5" t="inlineStr"/>
      <c r="O1800" s="8" t="inlineStr">
        <is>
          <t>64000</t>
        </is>
      </c>
      <c r="P1800" s="5" t="inlineStr">
        <is>
          <t>0</t>
        </is>
      </c>
      <c r="Q1800" s="5" t="inlineStr">
        <is>
          <t>3</t>
        </is>
      </c>
      <c r="R1800" s="5" t="inlineStr">
        <is>
          <t>9</t>
        </is>
      </c>
      <c r="S1800" s="5" t="inlineStr">
        <is>
          <t>64</t>
        </is>
      </c>
      <c r="T1800" s="5" t="inlineStr">
        <is>
          <t>1</t>
        </is>
      </c>
      <c r="U1800" s="5" t="inlineStr">
        <is>
          <t>OK</t>
        </is>
      </c>
    </row>
    <row r="1801">
      <c r="A1801" s="5" t="inlineStr">
        <is>
          <t>E00617</t>
        </is>
      </c>
      <c r="B1801" s="5" t="inlineStr">
        <is>
          <t>Female</t>
        </is>
      </c>
      <c r="C1801" s="6" t="inlineStr">
        <is>
          <t>32</t>
        </is>
      </c>
      <c r="D1801" s="5" t="inlineStr">
        <is>
          <t>Single</t>
        </is>
      </c>
      <c r="E1801" s="5" t="inlineStr">
        <is>
          <t>PhD</t>
        </is>
      </c>
      <c r="F1801" s="5" t="inlineStr">
        <is>
          <t>IT</t>
        </is>
      </c>
      <c r="G1801" s="5" t="inlineStr">
        <is>
          <t>Data Analyst</t>
        </is>
      </c>
      <c r="H1801" s="5" t="inlineStr">
        <is>
          <t>1</t>
        </is>
      </c>
      <c r="I1801" s="5" t="inlineStr">
        <is>
          <t>Bengaluru</t>
        </is>
      </c>
      <c r="J1801" s="5" t="inlineStr">
        <is>
          <t>Full-Time</t>
        </is>
      </c>
      <c r="K1801" s="7" t="n">
        <v>44457</v>
      </c>
      <c r="L1801" s="7" t="n">
        <v>44575</v>
      </c>
      <c r="M1801" s="5" t="inlineStr">
        <is>
          <t>No</t>
        </is>
      </c>
      <c r="N1801" s="5" t="inlineStr">
        <is>
          <t>Resigned</t>
        </is>
      </c>
      <c r="O1801" s="8" t="inlineStr">
        <is>
          <t>95000</t>
        </is>
      </c>
      <c r="P1801" s="5" t="inlineStr">
        <is>
          <t>10</t>
        </is>
      </c>
      <c r="Q1801" s="5" t="inlineStr">
        <is>
          <t>5</t>
        </is>
      </c>
      <c r="R1801" s="5" t="inlineStr">
        <is>
          <t>6</t>
        </is>
      </c>
      <c r="S1801" s="5" t="inlineStr">
        <is>
          <t>3</t>
        </is>
      </c>
      <c r="T1801" s="5" t="inlineStr">
        <is>
          <t>0</t>
        </is>
      </c>
      <c r="U1801" s="5" t="inlineStr">
        <is>
          <t>OK</t>
        </is>
      </c>
    </row>
    <row r="1802">
      <c r="A1802" s="5" t="inlineStr">
        <is>
          <t>E01266</t>
        </is>
      </c>
      <c r="B1802" s="5" t="inlineStr">
        <is>
          <t>Male</t>
        </is>
      </c>
      <c r="C1802" s="6" t="inlineStr">
        <is>
          <t>31</t>
        </is>
      </c>
      <c r="D1802" s="5" t="inlineStr">
        <is>
          <t>Single</t>
        </is>
      </c>
      <c r="E1802" s="5" t="inlineStr">
        <is>
          <t>PhD</t>
        </is>
      </c>
      <c r="F1802" s="5" t="inlineStr">
        <is>
          <t>IT</t>
        </is>
      </c>
      <c r="G1802" s="5" t="inlineStr">
        <is>
          <t>Data Analyst</t>
        </is>
      </c>
      <c r="H1802" s="5" t="inlineStr">
        <is>
          <t>3</t>
        </is>
      </c>
      <c r="I1802" s="5" t="inlineStr">
        <is>
          <t>Delhi</t>
        </is>
      </c>
      <c r="J1802" s="5" t="inlineStr">
        <is>
          <t>Full-Time</t>
        </is>
      </c>
      <c r="K1802" s="7" t="n">
        <v>45121</v>
      </c>
      <c r="L1802" s="7" t="inlineStr"/>
      <c r="M1802" s="5" t="inlineStr">
        <is>
          <t>Yes</t>
        </is>
      </c>
      <c r="N1802" s="5" t="inlineStr"/>
      <c r="O1802" s="8" t="inlineStr">
        <is>
          <t>130000</t>
        </is>
      </c>
      <c r="P1802" s="5" t="inlineStr">
        <is>
          <t>10</t>
        </is>
      </c>
      <c r="Q1802" s="5" t="inlineStr">
        <is>
          <t>4</t>
        </is>
      </c>
      <c r="R1802" s="5" t="inlineStr">
        <is>
          <t>8</t>
        </is>
      </c>
      <c r="S1802" s="5" t="inlineStr">
        <is>
          <t>30</t>
        </is>
      </c>
      <c r="T1802" s="5" t="inlineStr">
        <is>
          <t>7</t>
        </is>
      </c>
      <c r="U1802" s="5" t="inlineStr">
        <is>
          <t>OK</t>
        </is>
      </c>
    </row>
    <row r="1803">
      <c r="A1803" s="5" t="inlineStr">
        <is>
          <t>E00246</t>
        </is>
      </c>
      <c r="B1803" s="5" t="inlineStr">
        <is>
          <t>Male</t>
        </is>
      </c>
      <c r="C1803" s="6" t="inlineStr">
        <is>
          <t>30</t>
        </is>
      </c>
      <c r="D1803" s="5" t="inlineStr">
        <is>
          <t>Married</t>
        </is>
      </c>
      <c r="E1803" s="5" t="inlineStr">
        <is>
          <t>PhD</t>
        </is>
      </c>
      <c r="F1803" s="5" t="inlineStr">
        <is>
          <t>Research &amp; Development</t>
        </is>
      </c>
      <c r="G1803" s="5" t="inlineStr">
        <is>
          <t>Research Scientist</t>
        </is>
      </c>
      <c r="H1803" s="5" t="inlineStr">
        <is>
          <t>2</t>
        </is>
      </c>
      <c r="I1803" s="5" t="inlineStr">
        <is>
          <t>Bengaluru</t>
        </is>
      </c>
      <c r="J1803" s="5" t="inlineStr">
        <is>
          <t>Full-Time</t>
        </is>
      </c>
      <c r="K1803" s="7" t="n">
        <v>44705</v>
      </c>
      <c r="L1803" s="7" t="inlineStr"/>
      <c r="M1803" s="5" t="inlineStr">
        <is>
          <t>Yes</t>
        </is>
      </c>
      <c r="N1803" s="5" t="inlineStr"/>
      <c r="O1803" s="8" t="inlineStr">
        <is>
          <t>148500</t>
        </is>
      </c>
      <c r="P1803" s="5" t="inlineStr">
        <is>
          <t>10</t>
        </is>
      </c>
      <c r="Q1803" s="5" t="inlineStr">
        <is>
          <t>4</t>
        </is>
      </c>
      <c r="R1803" s="5" t="inlineStr">
        <is>
          <t>5</t>
        </is>
      </c>
      <c r="S1803" s="5" t="inlineStr">
        <is>
          <t>43</t>
        </is>
      </c>
      <c r="T1803" s="5" t="inlineStr">
        <is>
          <t>9</t>
        </is>
      </c>
      <c r="U1803" s="5" t="inlineStr">
        <is>
          <t>OK</t>
        </is>
      </c>
    </row>
    <row r="1804">
      <c r="A1804" s="5" t="inlineStr">
        <is>
          <t>E02750</t>
        </is>
      </c>
      <c r="B1804" s="5" t="inlineStr">
        <is>
          <t>Female</t>
        </is>
      </c>
      <c r="C1804" s="6" t="inlineStr">
        <is>
          <t>24</t>
        </is>
      </c>
      <c r="D1804" s="5" t="inlineStr">
        <is>
          <t>Married</t>
        </is>
      </c>
      <c r="E1804" s="5" t="inlineStr">
        <is>
          <t>High School</t>
        </is>
      </c>
      <c r="F1804" s="5" t="inlineStr">
        <is>
          <t>Operations</t>
        </is>
      </c>
      <c r="G1804" s="5" t="inlineStr">
        <is>
          <t>Logistics Coordinator</t>
        </is>
      </c>
      <c r="H1804" s="5" t="inlineStr">
        <is>
          <t>1</t>
        </is>
      </c>
      <c r="I1804" s="5" t="inlineStr">
        <is>
          <t>Hyderabad</t>
        </is>
      </c>
      <c r="J1804" s="5" t="inlineStr">
        <is>
          <t>Full-Time</t>
        </is>
      </c>
      <c r="K1804" s="7" t="n">
        <v>45493</v>
      </c>
      <c r="L1804" s="7" t="inlineStr"/>
      <c r="M1804" s="5" t="inlineStr">
        <is>
          <t>Yes</t>
        </is>
      </c>
      <c r="N1804" s="5" t="inlineStr"/>
      <c r="O1804" s="8" t="inlineStr">
        <is>
          <t>65500</t>
        </is>
      </c>
      <c r="P1804" s="5" t="inlineStr">
        <is>
          <t>15</t>
        </is>
      </c>
      <c r="Q1804" s="5" t="inlineStr">
        <is>
          <t>3</t>
        </is>
      </c>
      <c r="R1804" s="5" t="inlineStr">
        <is>
          <t>9</t>
        </is>
      </c>
      <c r="S1804" s="5" t="inlineStr">
        <is>
          <t>17</t>
        </is>
      </c>
      <c r="T1804" s="5" t="inlineStr">
        <is>
          <t>0</t>
        </is>
      </c>
      <c r="U1804" s="5" t="inlineStr">
        <is>
          <t>OK</t>
        </is>
      </c>
    </row>
    <row r="1805">
      <c r="A1805" s="5" t="inlineStr">
        <is>
          <t>E00479</t>
        </is>
      </c>
      <c r="B1805" s="5" t="inlineStr">
        <is>
          <t>Female</t>
        </is>
      </c>
      <c r="C1805" s="6" t="inlineStr">
        <is>
          <t>32</t>
        </is>
      </c>
      <c r="D1805" s="5" t="inlineStr">
        <is>
          <t>Married</t>
        </is>
      </c>
      <c r="E1805" s="5" t="inlineStr">
        <is>
          <t>Master</t>
        </is>
      </c>
      <c r="F1805" s="5" t="inlineStr">
        <is>
          <t>Operations</t>
        </is>
      </c>
      <c r="G1805" s="5" t="inlineStr">
        <is>
          <t>Quality Analyst</t>
        </is>
      </c>
      <c r="H1805" s="5" t="inlineStr">
        <is>
          <t>1</t>
        </is>
      </c>
      <c r="I1805" s="5" t="inlineStr">
        <is>
          <t>Mumbai</t>
        </is>
      </c>
      <c r="J1805" s="5" t="inlineStr">
        <is>
          <t>Full-Time</t>
        </is>
      </c>
      <c r="K1805" s="7" t="n">
        <v>44118</v>
      </c>
      <c r="L1805" s="7" t="n">
        <v>44198</v>
      </c>
      <c r="M1805" s="5" t="inlineStr">
        <is>
          <t>No</t>
        </is>
      </c>
      <c r="N1805" s="5" t="inlineStr">
        <is>
          <t>Performance / Termination</t>
        </is>
      </c>
      <c r="O1805" s="8" t="inlineStr">
        <is>
          <t>90500</t>
        </is>
      </c>
      <c r="P1805" s="5" t="inlineStr">
        <is>
          <t>0</t>
        </is>
      </c>
      <c r="Q1805" s="5" t="inlineStr">
        <is>
          <t>4</t>
        </is>
      </c>
      <c r="R1805" s="5" t="inlineStr">
        <is>
          <t>5</t>
        </is>
      </c>
      <c r="S1805" s="5" t="inlineStr">
        <is>
          <t>2</t>
        </is>
      </c>
      <c r="T1805" s="5" t="inlineStr">
        <is>
          <t>0</t>
        </is>
      </c>
      <c r="U1805" s="5" t="inlineStr">
        <is>
          <t>OK</t>
        </is>
      </c>
    </row>
    <row r="1806">
      <c r="A1806" s="5" t="inlineStr">
        <is>
          <t>E00297</t>
        </is>
      </c>
      <c r="B1806" s="5" t="inlineStr">
        <is>
          <t>Female</t>
        </is>
      </c>
      <c r="C1806" s="6" t="inlineStr">
        <is>
          <t>42</t>
        </is>
      </c>
      <c r="D1806" s="5" t="inlineStr">
        <is>
          <t>Single</t>
        </is>
      </c>
      <c r="E1806" s="5" t="inlineStr">
        <is>
          <t>High School</t>
        </is>
      </c>
      <c r="F1806" s="5" t="inlineStr">
        <is>
          <t>IT</t>
        </is>
      </c>
      <c r="G1806" s="5" t="inlineStr">
        <is>
          <t>DevOps Engineer</t>
        </is>
      </c>
      <c r="H1806" s="5" t="inlineStr">
        <is>
          <t>7</t>
        </is>
      </c>
      <c r="I1806" s="5" t="inlineStr">
        <is>
          <t>Mumbai</t>
        </is>
      </c>
      <c r="J1806" s="5" t="inlineStr">
        <is>
          <t>Full-Time</t>
        </is>
      </c>
      <c r="K1806" s="7" t="n">
        <v>45113</v>
      </c>
      <c r="L1806" s="7" t="inlineStr"/>
      <c r="M1806" s="5" t="inlineStr">
        <is>
          <t>Yes</t>
        </is>
      </c>
      <c r="N1806" s="5" t="inlineStr"/>
      <c r="O1806" s="8" t="inlineStr">
        <is>
          <t>172000</t>
        </is>
      </c>
      <c r="P1806" s="5" t="inlineStr">
        <is>
          <t>5</t>
        </is>
      </c>
      <c r="Q1806" s="5" t="inlineStr">
        <is>
          <t>4</t>
        </is>
      </c>
      <c r="R1806" s="5" t="inlineStr">
        <is>
          <t>8</t>
        </is>
      </c>
      <c r="S1806" s="5" t="inlineStr">
        <is>
          <t>30</t>
        </is>
      </c>
      <c r="T1806" s="5" t="inlineStr">
        <is>
          <t>8</t>
        </is>
      </c>
      <c r="U1806" s="5" t="inlineStr">
        <is>
          <t>OK</t>
        </is>
      </c>
    </row>
    <row r="1807">
      <c r="A1807" s="5" t="inlineStr">
        <is>
          <t>E00362</t>
        </is>
      </c>
      <c r="B1807" s="5" t="inlineStr">
        <is>
          <t>Male</t>
        </is>
      </c>
      <c r="C1807" s="6" t="inlineStr">
        <is>
          <t>33</t>
        </is>
      </c>
      <c r="D1807" s="5" t="inlineStr">
        <is>
          <t>Married</t>
        </is>
      </c>
      <c r="E1807" s="5" t="inlineStr">
        <is>
          <t>High School</t>
        </is>
      </c>
      <c r="F1807" s="5" t="inlineStr">
        <is>
          <t>Customer Support</t>
        </is>
      </c>
      <c r="G1807" s="5" t="inlineStr">
        <is>
          <t>Support Agent</t>
        </is>
      </c>
      <c r="H1807" s="5" t="inlineStr">
        <is>
          <t>5</t>
        </is>
      </c>
      <c r="I1807" s="5" t="inlineStr">
        <is>
          <t>Mumbai</t>
        </is>
      </c>
      <c r="J1807" s="5" t="inlineStr">
        <is>
          <t>Part-Time</t>
        </is>
      </c>
      <c r="K1807" s="7" t="n">
        <v>44730</v>
      </c>
      <c r="L1807" s="7" t="inlineStr"/>
      <c r="M1807" s="5" t="inlineStr">
        <is>
          <t>Yes</t>
        </is>
      </c>
      <c r="N1807" s="5" t="inlineStr"/>
      <c r="O1807" s="8" t="inlineStr">
        <is>
          <t>93500</t>
        </is>
      </c>
      <c r="P1807" s="5" t="inlineStr">
        <is>
          <t>15</t>
        </is>
      </c>
      <c r="Q1807" s="5" t="inlineStr">
        <is>
          <t>5</t>
        </is>
      </c>
      <c r="R1807" s="5" t="inlineStr">
        <is>
          <t>9</t>
        </is>
      </c>
      <c r="S1807" s="5" t="inlineStr">
        <is>
          <t>43</t>
        </is>
      </c>
      <c r="T1807" s="5" t="inlineStr">
        <is>
          <t>10</t>
        </is>
      </c>
      <c r="U1807" s="5" t="inlineStr">
        <is>
          <t>OK</t>
        </is>
      </c>
    </row>
    <row r="1808">
      <c r="A1808" s="5" t="inlineStr">
        <is>
          <t>E02603</t>
        </is>
      </c>
      <c r="B1808" s="5" t="inlineStr">
        <is>
          <t>Male</t>
        </is>
      </c>
      <c r="C1808" s="6" t="inlineStr">
        <is>
          <t>25</t>
        </is>
      </c>
      <c r="D1808" s="5" t="inlineStr">
        <is>
          <t>Single</t>
        </is>
      </c>
      <c r="E1808" s="5" t="inlineStr">
        <is>
          <t>High School</t>
        </is>
      </c>
      <c r="F1808" s="5" t="inlineStr">
        <is>
          <t>Marketing</t>
        </is>
      </c>
      <c r="G1808" s="5" t="inlineStr">
        <is>
          <t>Marketing Analyst</t>
        </is>
      </c>
      <c r="H1808" s="5" t="inlineStr">
        <is>
          <t>1</t>
        </is>
      </c>
      <c r="I1808" s="5" t="inlineStr">
        <is>
          <t>Hyderabad</t>
        </is>
      </c>
      <c r="J1808" s="5" t="inlineStr">
        <is>
          <t>Full-Time</t>
        </is>
      </c>
      <c r="K1808" s="7" t="n">
        <v>43876</v>
      </c>
      <c r="L1808" s="7" t="n">
        <v>43916</v>
      </c>
      <c r="M1808" s="5" t="inlineStr">
        <is>
          <t>No</t>
        </is>
      </c>
      <c r="N1808" s="5" t="inlineStr">
        <is>
          <t>Resigned</t>
        </is>
      </c>
      <c r="O1808" s="8" t="inlineStr">
        <is>
          <t>73500</t>
        </is>
      </c>
      <c r="P1808" s="5" t="inlineStr">
        <is>
          <t>0</t>
        </is>
      </c>
      <c r="Q1808" s="5" t="inlineStr">
        <is>
          <t>5</t>
        </is>
      </c>
      <c r="R1808" s="5" t="inlineStr">
        <is>
          <t>8</t>
        </is>
      </c>
      <c r="S1808" s="5" t="inlineStr">
        <is>
          <t>1</t>
        </is>
      </c>
      <c r="T1808" s="5" t="inlineStr">
        <is>
          <t>20</t>
        </is>
      </c>
      <c r="U1808" s="5" t="inlineStr">
        <is>
          <t>OK</t>
        </is>
      </c>
    </row>
    <row r="1809">
      <c r="A1809" s="5" t="inlineStr">
        <is>
          <t>E00226</t>
        </is>
      </c>
      <c r="B1809" s="5" t="inlineStr">
        <is>
          <t>Female</t>
        </is>
      </c>
      <c r="C1809" s="6" t="inlineStr">
        <is>
          <t>23</t>
        </is>
      </c>
      <c r="D1809" s="5" t="inlineStr">
        <is>
          <t>Single</t>
        </is>
      </c>
      <c r="E1809" s="5" t="inlineStr">
        <is>
          <t>Bachelor</t>
        </is>
      </c>
      <c r="F1809" s="5" t="inlineStr">
        <is>
          <t>Customer Support</t>
        </is>
      </c>
      <c r="G1809" s="5" t="inlineStr">
        <is>
          <t>Support Lead</t>
        </is>
      </c>
      <c r="H1809" s="5" t="inlineStr">
        <is>
          <t>1</t>
        </is>
      </c>
      <c r="I1809" s="5" t="inlineStr">
        <is>
          <t>Hyderabad</t>
        </is>
      </c>
      <c r="J1809" s="5" t="inlineStr">
        <is>
          <t>Full-Time</t>
        </is>
      </c>
      <c r="K1809" s="7" t="n">
        <v>44467</v>
      </c>
      <c r="L1809" s="7" t="inlineStr"/>
      <c r="M1809" s="5" t="inlineStr">
        <is>
          <t>Yes</t>
        </is>
      </c>
      <c r="N1809" s="5" t="inlineStr"/>
      <c r="O1809" s="8" t="inlineStr">
        <is>
          <t>43500</t>
        </is>
      </c>
      <c r="P1809" s="5" t="inlineStr">
        <is>
          <t>0</t>
        </is>
      </c>
      <c r="Q1809" s="5" t="inlineStr">
        <is>
          <t>3</t>
        </is>
      </c>
      <c r="R1809" s="5" t="inlineStr">
        <is>
          <t>1</t>
        </is>
      </c>
      <c r="S1809" s="5" t="inlineStr">
        <is>
          <t>51</t>
        </is>
      </c>
      <c r="T1809" s="5" t="inlineStr">
        <is>
          <t>2</t>
        </is>
      </c>
      <c r="U1809" s="5" t="inlineStr">
        <is>
          <t>OK</t>
        </is>
      </c>
    </row>
    <row r="1810">
      <c r="A1810" s="5" t="inlineStr">
        <is>
          <t>E00014</t>
        </is>
      </c>
      <c r="B1810" s="5" t="inlineStr">
        <is>
          <t>Male</t>
        </is>
      </c>
      <c r="C1810" s="6" t="inlineStr">
        <is>
          <t>33</t>
        </is>
      </c>
      <c r="D1810" s="5" t="inlineStr">
        <is>
          <t>Single</t>
        </is>
      </c>
      <c r="E1810" s="5" t="inlineStr">
        <is>
          <t>PhD</t>
        </is>
      </c>
      <c r="F1810" s="5" t="inlineStr">
        <is>
          <t>Finance</t>
        </is>
      </c>
      <c r="G1810" s="5" t="inlineStr">
        <is>
          <t>Credit Analyst</t>
        </is>
      </c>
      <c r="H1810" s="5" t="inlineStr">
        <is>
          <t>6</t>
        </is>
      </c>
      <c r="I1810" s="5" t="inlineStr">
        <is>
          <t>Mumbai</t>
        </is>
      </c>
      <c r="J1810" s="5" t="inlineStr">
        <is>
          <t>Full-Time</t>
        </is>
      </c>
      <c r="K1810" s="7" t="n">
        <v>45465</v>
      </c>
      <c r="L1810" s="7" t="inlineStr"/>
      <c r="M1810" s="5" t="inlineStr">
        <is>
          <t>Yes</t>
        </is>
      </c>
      <c r="N1810" s="5" t="inlineStr"/>
      <c r="O1810" s="8" t="inlineStr">
        <is>
          <t>168000</t>
        </is>
      </c>
      <c r="P1810" s="5" t="inlineStr">
        <is>
          <t>5</t>
        </is>
      </c>
      <c r="Q1810" s="5" t="inlineStr">
        <is>
          <t>4</t>
        </is>
      </c>
      <c r="R1810" s="5" t="inlineStr">
        <is>
          <t>7</t>
        </is>
      </c>
      <c r="S1810" s="5" t="inlineStr">
        <is>
          <t>18</t>
        </is>
      </c>
      <c r="T1810" s="5" t="inlineStr">
        <is>
          <t>5</t>
        </is>
      </c>
      <c r="U1810" s="5" t="inlineStr">
        <is>
          <t>OK</t>
        </is>
      </c>
    </row>
    <row r="1811">
      <c r="A1811" s="5" t="inlineStr">
        <is>
          <t>E00894</t>
        </is>
      </c>
      <c r="B1811" s="5" t="inlineStr">
        <is>
          <t>Male</t>
        </is>
      </c>
      <c r="C1811" s="6" t="inlineStr">
        <is>
          <t>29</t>
        </is>
      </c>
      <c r="D1811" s="5" t="inlineStr">
        <is>
          <t>Married</t>
        </is>
      </c>
      <c r="E1811" s="5" t="inlineStr">
        <is>
          <t>PhD</t>
        </is>
      </c>
      <c r="F1811" s="5" t="inlineStr">
        <is>
          <t>Human Resources</t>
        </is>
      </c>
      <c r="G1811" s="5" t="inlineStr">
        <is>
          <t>Recruiter</t>
        </is>
      </c>
      <c r="H1811" s="5" t="inlineStr">
        <is>
          <t>4</t>
        </is>
      </c>
      <c r="I1811" s="5" t="inlineStr">
        <is>
          <t>Remote</t>
        </is>
      </c>
      <c r="J1811" s="5" t="inlineStr">
        <is>
          <t>Full-Time</t>
        </is>
      </c>
      <c r="K1811" s="7" t="n">
        <v>44357</v>
      </c>
      <c r="L1811" s="7" t="inlineStr"/>
      <c r="M1811" s="5" t="inlineStr">
        <is>
          <t>Yes</t>
        </is>
      </c>
      <c r="N1811" s="5" t="inlineStr"/>
      <c r="O1811" s="8" t="inlineStr">
        <is>
          <t>112500</t>
        </is>
      </c>
      <c r="P1811" s="5" t="inlineStr">
        <is>
          <t>10</t>
        </is>
      </c>
      <c r="Q1811" s="5" t="inlineStr">
        <is>
          <t>4</t>
        </is>
      </c>
      <c r="R1811" s="5" t="inlineStr">
        <is>
          <t>10</t>
        </is>
      </c>
      <c r="S1811" s="5" t="inlineStr">
        <is>
          <t>55</t>
        </is>
      </c>
      <c r="T1811" s="5" t="inlineStr">
        <is>
          <t>9</t>
        </is>
      </c>
      <c r="U1811" s="5" t="inlineStr">
        <is>
          <t>OK</t>
        </is>
      </c>
    </row>
    <row r="1812">
      <c r="A1812" s="5" t="inlineStr">
        <is>
          <t>E00196</t>
        </is>
      </c>
      <c r="B1812" s="5" t="inlineStr">
        <is>
          <t>Male</t>
        </is>
      </c>
      <c r="C1812" s="6" t="inlineStr">
        <is>
          <t>29</t>
        </is>
      </c>
      <c r="D1812" s="5" t="inlineStr">
        <is>
          <t>Married</t>
        </is>
      </c>
      <c r="E1812" s="5" t="inlineStr">
        <is>
          <t>Master</t>
        </is>
      </c>
      <c r="F1812" s="5" t="inlineStr">
        <is>
          <t>Research &amp; Development</t>
        </is>
      </c>
      <c r="G1812" s="5" t="inlineStr">
        <is>
          <t>Product Engineer</t>
        </is>
      </c>
      <c r="H1812" s="5" t="inlineStr">
        <is>
          <t>1</t>
        </is>
      </c>
      <c r="I1812" s="5" t="inlineStr">
        <is>
          <t>Delhi</t>
        </is>
      </c>
      <c r="J1812" s="5" t="inlineStr">
        <is>
          <t>Full-Time</t>
        </is>
      </c>
      <c r="K1812" s="7" t="n">
        <v>44243</v>
      </c>
      <c r="L1812" s="7" t="inlineStr"/>
      <c r="M1812" s="5" t="inlineStr">
        <is>
          <t>Yes</t>
        </is>
      </c>
      <c r="N1812" s="5" t="inlineStr"/>
      <c r="O1812" s="8" t="inlineStr">
        <is>
          <t>142000</t>
        </is>
      </c>
      <c r="P1812" s="5" t="inlineStr">
        <is>
          <t>0</t>
        </is>
      </c>
      <c r="Q1812" s="5" t="inlineStr">
        <is>
          <t>4</t>
        </is>
      </c>
      <c r="R1812" s="5" t="inlineStr">
        <is>
          <t>6</t>
        </is>
      </c>
      <c r="S1812" s="5" t="inlineStr">
        <is>
          <t>59</t>
        </is>
      </c>
      <c r="T1812" s="5" t="inlineStr">
        <is>
          <t>11</t>
        </is>
      </c>
      <c r="U1812" s="5" t="inlineStr">
        <is>
          <t>OK</t>
        </is>
      </c>
    </row>
    <row r="1813">
      <c r="A1813" s="5" t="inlineStr">
        <is>
          <t>E00863</t>
        </is>
      </c>
      <c r="B1813" s="5" t="inlineStr">
        <is>
          <t>Female</t>
        </is>
      </c>
      <c r="C1813" s="6" t="inlineStr">
        <is>
          <t>32</t>
        </is>
      </c>
      <c r="D1813" s="5" t="inlineStr">
        <is>
          <t>Single</t>
        </is>
      </c>
      <c r="E1813" s="5" t="inlineStr">
        <is>
          <t>High School</t>
        </is>
      </c>
      <c r="F1813" s="5" t="inlineStr">
        <is>
          <t>Sales</t>
        </is>
      </c>
      <c r="G1813" s="5" t="inlineStr">
        <is>
          <t>Sales Executive</t>
        </is>
      </c>
      <c r="H1813" s="5" t="inlineStr">
        <is>
          <t>1</t>
        </is>
      </c>
      <c r="I1813" s="5" t="inlineStr">
        <is>
          <t>Hyderabad</t>
        </is>
      </c>
      <c r="J1813" s="5" t="inlineStr">
        <is>
          <t>Full-Time</t>
        </is>
      </c>
      <c r="K1813" s="7" t="n">
        <v>44112</v>
      </c>
      <c r="L1813" s="7" t="n">
        <v>44147</v>
      </c>
      <c r="M1813" s="5" t="inlineStr">
        <is>
          <t>No</t>
        </is>
      </c>
      <c r="N1813" s="5" t="inlineStr">
        <is>
          <t>Layoff</t>
        </is>
      </c>
      <c r="O1813" s="8" t="inlineStr">
        <is>
          <t>73000</t>
        </is>
      </c>
      <c r="P1813" s="5" t="inlineStr">
        <is>
          <t>0</t>
        </is>
      </c>
      <c r="Q1813" s="5" t="inlineStr">
        <is>
          <t>3</t>
        </is>
      </c>
      <c r="R1813" s="5" t="inlineStr">
        <is>
          <t>5</t>
        </is>
      </c>
      <c r="S1813" s="5" t="inlineStr">
        <is>
          <t>1</t>
        </is>
      </c>
      <c r="T1813" s="5" t="inlineStr">
        <is>
          <t>8</t>
        </is>
      </c>
      <c r="U1813" s="5" t="inlineStr">
        <is>
          <t>OK</t>
        </is>
      </c>
    </row>
    <row r="1814">
      <c r="A1814" s="5" t="inlineStr">
        <is>
          <t>E01951</t>
        </is>
      </c>
      <c r="B1814" s="5" t="inlineStr">
        <is>
          <t>Female</t>
        </is>
      </c>
      <c r="C1814" s="6" t="inlineStr">
        <is>
          <t>26</t>
        </is>
      </c>
      <c r="D1814" s="5" t="inlineStr">
        <is>
          <t>Single</t>
        </is>
      </c>
      <c r="E1814" s="5" t="inlineStr">
        <is>
          <t>Master</t>
        </is>
      </c>
      <c r="F1814" s="5" t="inlineStr">
        <is>
          <t>Operations</t>
        </is>
      </c>
      <c r="G1814" s="5" t="inlineStr">
        <is>
          <t>Operations Analyst</t>
        </is>
      </c>
      <c r="H1814" s="5" t="inlineStr">
        <is>
          <t>1</t>
        </is>
      </c>
      <c r="I1814" s="5" t="inlineStr">
        <is>
          <t>Hyderabad</t>
        </is>
      </c>
      <c r="J1814" s="5" t="inlineStr">
        <is>
          <t>Full-Time</t>
        </is>
      </c>
      <c r="K1814" s="7" t="n">
        <v>44879</v>
      </c>
      <c r="L1814" s="7" t="inlineStr"/>
      <c r="M1814" s="5" t="inlineStr">
        <is>
          <t>Yes</t>
        </is>
      </c>
      <c r="N1814" s="5" t="inlineStr"/>
      <c r="O1814" s="8" t="inlineStr">
        <is>
          <t>87500</t>
        </is>
      </c>
      <c r="P1814" s="5" t="inlineStr">
        <is>
          <t>10</t>
        </is>
      </c>
      <c r="Q1814" s="5" t="inlineStr">
        <is>
          <t>3</t>
        </is>
      </c>
      <c r="R1814" s="5" t="inlineStr">
        <is>
          <t>6</t>
        </is>
      </c>
      <c r="S1814" s="5" t="inlineStr">
        <is>
          <t>38</t>
        </is>
      </c>
      <c r="T1814" s="5" t="inlineStr">
        <is>
          <t>2</t>
        </is>
      </c>
      <c r="U1814" s="5" t="inlineStr">
        <is>
          <t>OK</t>
        </is>
      </c>
    </row>
    <row r="1815">
      <c r="A1815" s="5" t="inlineStr">
        <is>
          <t>E00089</t>
        </is>
      </c>
      <c r="B1815" s="5" t="inlineStr">
        <is>
          <t>Female</t>
        </is>
      </c>
      <c r="C1815" s="6" t="inlineStr">
        <is>
          <t>30</t>
        </is>
      </c>
      <c r="D1815" s="5" t="inlineStr">
        <is>
          <t>Divorced</t>
        </is>
      </c>
      <c r="E1815" s="5" t="inlineStr">
        <is>
          <t>Master</t>
        </is>
      </c>
      <c r="F1815" s="5" t="inlineStr">
        <is>
          <t>IT</t>
        </is>
      </c>
      <c r="G1815" s="5" t="inlineStr">
        <is>
          <t>DevOps Engineer</t>
        </is>
      </c>
      <c r="H1815" s="5" t="inlineStr">
        <is>
          <t>1</t>
        </is>
      </c>
      <c r="I1815" s="5" t="inlineStr">
        <is>
          <t>Remote</t>
        </is>
      </c>
      <c r="J1815" s="5" t="inlineStr">
        <is>
          <t>Full-Time</t>
        </is>
      </c>
      <c r="K1815" s="7" t="n">
        <v>45121</v>
      </c>
      <c r="L1815" s="7" t="inlineStr"/>
      <c r="M1815" s="5" t="inlineStr">
        <is>
          <t>Yes</t>
        </is>
      </c>
      <c r="N1815" s="5" t="inlineStr"/>
      <c r="O1815" s="8" t="inlineStr">
        <is>
          <t>122500</t>
        </is>
      </c>
      <c r="P1815" s="5" t="inlineStr">
        <is>
          <t>0</t>
        </is>
      </c>
      <c r="Q1815" s="5" t="inlineStr">
        <is>
          <t>5</t>
        </is>
      </c>
      <c r="R1815" s="5" t="inlineStr">
        <is>
          <t>7</t>
        </is>
      </c>
      <c r="S1815" s="5" t="inlineStr">
        <is>
          <t>30</t>
        </is>
      </c>
      <c r="T1815" s="5" t="inlineStr">
        <is>
          <t>0</t>
        </is>
      </c>
      <c r="U1815" s="5" t="inlineStr">
        <is>
          <t>OK</t>
        </is>
      </c>
    </row>
    <row r="1816">
      <c r="A1816" s="5" t="inlineStr">
        <is>
          <t>E00229</t>
        </is>
      </c>
      <c r="B1816" s="5" t="inlineStr">
        <is>
          <t>Female</t>
        </is>
      </c>
      <c r="C1816" s="6" t="inlineStr">
        <is>
          <t>34</t>
        </is>
      </c>
      <c r="D1816" s="5" t="inlineStr">
        <is>
          <t>Single</t>
        </is>
      </c>
      <c r="E1816" s="5" t="inlineStr">
        <is>
          <t>Bachelor</t>
        </is>
      </c>
      <c r="F1816" s="5" t="inlineStr">
        <is>
          <t>Sales</t>
        </is>
      </c>
      <c r="G1816" s="5" t="inlineStr">
        <is>
          <t>Account Executive</t>
        </is>
      </c>
      <c r="H1816" s="5" t="inlineStr">
        <is>
          <t>2</t>
        </is>
      </c>
      <c r="I1816" s="5" t="inlineStr">
        <is>
          <t>Hyderabad</t>
        </is>
      </c>
      <c r="J1816" s="5" t="inlineStr">
        <is>
          <t>Full-Time</t>
        </is>
      </c>
      <c r="K1816" s="7" t="n">
        <v>43919</v>
      </c>
      <c r="L1816" s="7" t="inlineStr"/>
      <c r="M1816" s="5" t="inlineStr">
        <is>
          <t>Yes</t>
        </is>
      </c>
      <c r="N1816" s="5" t="inlineStr"/>
      <c r="O1816" s="8" t="inlineStr">
        <is>
          <t>84500</t>
        </is>
      </c>
      <c r="P1816" s="5" t="inlineStr">
        <is>
          <t>10</t>
        </is>
      </c>
      <c r="Q1816" s="5" t="inlineStr">
        <is>
          <t>5</t>
        </is>
      </c>
      <c r="R1816" s="5" t="inlineStr">
        <is>
          <t>7</t>
        </is>
      </c>
      <c r="S1816" s="5" t="inlineStr">
        <is>
          <t>70</t>
        </is>
      </c>
      <c r="T1816" s="5" t="inlineStr">
        <is>
          <t>0</t>
        </is>
      </c>
      <c r="U1816" s="5" t="inlineStr">
        <is>
          <t>OK</t>
        </is>
      </c>
    </row>
    <row r="1817">
      <c r="A1817" s="5" t="inlineStr">
        <is>
          <t>E02796</t>
        </is>
      </c>
      <c r="B1817" s="5" t="inlineStr">
        <is>
          <t>Female</t>
        </is>
      </c>
      <c r="C1817" s="6" t="inlineStr">
        <is>
          <t>32</t>
        </is>
      </c>
      <c r="D1817" s="5" t="inlineStr">
        <is>
          <t>Married</t>
        </is>
      </c>
      <c r="E1817" s="5" t="inlineStr">
        <is>
          <t>High School</t>
        </is>
      </c>
      <c r="F1817" s="5" t="inlineStr">
        <is>
          <t>Marketing</t>
        </is>
      </c>
      <c r="G1817" s="5" t="inlineStr">
        <is>
          <t>SEO Specialist</t>
        </is>
      </c>
      <c r="H1817" s="5" t="inlineStr">
        <is>
          <t>2</t>
        </is>
      </c>
      <c r="I1817" s="5" t="inlineStr">
        <is>
          <t>Delhi</t>
        </is>
      </c>
      <c r="J1817" s="5" t="inlineStr">
        <is>
          <t>Full-Time</t>
        </is>
      </c>
      <c r="K1817" s="7" t="n">
        <v>45096</v>
      </c>
      <c r="L1817" s="7" t="inlineStr"/>
      <c r="M1817" s="5" t="inlineStr">
        <is>
          <t>Yes</t>
        </is>
      </c>
      <c r="N1817" s="5" t="inlineStr"/>
      <c r="O1817" s="8" t="inlineStr">
        <is>
          <t>101000</t>
        </is>
      </c>
      <c r="P1817" s="5" t="inlineStr">
        <is>
          <t>5</t>
        </is>
      </c>
      <c r="Q1817" s="5" t="inlineStr">
        <is>
          <t>4</t>
        </is>
      </c>
      <c r="R1817" s="5" t="inlineStr">
        <is>
          <t>7</t>
        </is>
      </c>
      <c r="S1817" s="5" t="inlineStr">
        <is>
          <t>30</t>
        </is>
      </c>
      <c r="T1817" s="5" t="inlineStr">
        <is>
          <t>4</t>
        </is>
      </c>
      <c r="U1817" s="5" t="inlineStr">
        <is>
          <t>OK</t>
        </is>
      </c>
    </row>
    <row r="1818">
      <c r="A1818" s="5" t="inlineStr">
        <is>
          <t>E00965</t>
        </is>
      </c>
      <c r="B1818" s="5" t="inlineStr">
        <is>
          <t>Male</t>
        </is>
      </c>
      <c r="C1818" s="6" t="inlineStr">
        <is>
          <t>31</t>
        </is>
      </c>
      <c r="D1818" s="5" t="inlineStr">
        <is>
          <t>Married</t>
        </is>
      </c>
      <c r="E1818" s="5" t="inlineStr">
        <is>
          <t>High School</t>
        </is>
      </c>
      <c r="F1818" s="5" t="inlineStr">
        <is>
          <t>Operations</t>
        </is>
      </c>
      <c r="G1818" s="5" t="inlineStr">
        <is>
          <t>Logistics Coordinator</t>
        </is>
      </c>
      <c r="H1818" s="5" t="inlineStr">
        <is>
          <t>1</t>
        </is>
      </c>
      <c r="I1818" s="5" t="inlineStr">
        <is>
          <t>Remote</t>
        </is>
      </c>
      <c r="J1818" s="5" t="inlineStr">
        <is>
          <t>Full-Time</t>
        </is>
      </c>
      <c r="K1818" s="7" t="n">
        <v>45739</v>
      </c>
      <c r="L1818" s="7" t="n">
        <v>45775</v>
      </c>
      <c r="M1818" s="5" t="inlineStr">
        <is>
          <t>No</t>
        </is>
      </c>
      <c r="N1818" s="5" t="inlineStr">
        <is>
          <t>Layoff</t>
        </is>
      </c>
      <c r="O1818" s="8" t="inlineStr">
        <is>
          <t>97000</t>
        </is>
      </c>
      <c r="P1818" s="5" t="inlineStr">
        <is>
          <t>10</t>
        </is>
      </c>
      <c r="Q1818" s="5" t="inlineStr">
        <is>
          <t>3</t>
        </is>
      </c>
      <c r="R1818" s="5" t="inlineStr">
        <is>
          <t>9</t>
        </is>
      </c>
      <c r="S1818" s="5" t="inlineStr">
        <is>
          <t>1</t>
        </is>
      </c>
      <c r="T1818" s="5" t="inlineStr">
        <is>
          <t>5</t>
        </is>
      </c>
      <c r="U1818" s="5" t="inlineStr">
        <is>
          <t>OK</t>
        </is>
      </c>
    </row>
    <row r="1819">
      <c r="A1819" s="5" t="inlineStr">
        <is>
          <t>E02504</t>
        </is>
      </c>
      <c r="B1819" s="5" t="inlineStr">
        <is>
          <t>Male</t>
        </is>
      </c>
      <c r="C1819" s="6" t="inlineStr">
        <is>
          <t>30</t>
        </is>
      </c>
      <c r="D1819" s="5" t="inlineStr">
        <is>
          <t>Married</t>
        </is>
      </c>
      <c r="E1819" s="5" t="inlineStr">
        <is>
          <t>PhD</t>
        </is>
      </c>
      <c r="F1819" s="5" t="inlineStr">
        <is>
          <t>Operations</t>
        </is>
      </c>
      <c r="G1819" s="5" t="inlineStr">
        <is>
          <t>Logistics Coordinator</t>
        </is>
      </c>
      <c r="H1819" s="5" t="inlineStr">
        <is>
          <t>2</t>
        </is>
      </c>
      <c r="I1819" s="5" t="inlineStr">
        <is>
          <t>Mumbai</t>
        </is>
      </c>
      <c r="J1819" s="5" t="inlineStr">
        <is>
          <t>Full-Time</t>
        </is>
      </c>
      <c r="K1819" s="7" t="n">
        <v>45498</v>
      </c>
      <c r="L1819" s="7" t="inlineStr"/>
      <c r="M1819" s="5" t="inlineStr">
        <is>
          <t>Yes</t>
        </is>
      </c>
      <c r="N1819" s="5" t="inlineStr"/>
      <c r="O1819" s="8" t="inlineStr">
        <is>
          <t>84000</t>
        </is>
      </c>
      <c r="P1819" s="5" t="inlineStr">
        <is>
          <t>10</t>
        </is>
      </c>
      <c r="Q1819" s="5" t="inlineStr">
        <is>
          <t>4</t>
        </is>
      </c>
      <c r="R1819" s="5" t="inlineStr">
        <is>
          <t>5</t>
        </is>
      </c>
      <c r="S1819" s="5" t="inlineStr">
        <is>
          <t>17</t>
        </is>
      </c>
      <c r="T1819" s="5" t="inlineStr">
        <is>
          <t>6</t>
        </is>
      </c>
      <c r="U1819" s="5" t="inlineStr">
        <is>
          <t>OK</t>
        </is>
      </c>
    </row>
    <row r="1820">
      <c r="A1820" s="5" t="inlineStr">
        <is>
          <t>E00813</t>
        </is>
      </c>
      <c r="B1820" s="5" t="inlineStr">
        <is>
          <t>Male</t>
        </is>
      </c>
      <c r="C1820" s="6" t="inlineStr">
        <is>
          <t>32</t>
        </is>
      </c>
      <c r="D1820" s="5" t="inlineStr">
        <is>
          <t>Married</t>
        </is>
      </c>
      <c r="E1820" s="5" t="inlineStr">
        <is>
          <t>Master</t>
        </is>
      </c>
      <c r="F1820" s="5" t="inlineStr">
        <is>
          <t>Executive</t>
        </is>
      </c>
      <c r="G1820" s="5" t="inlineStr">
        <is>
          <t>CFO</t>
        </is>
      </c>
      <c r="H1820" s="5" t="inlineStr">
        <is>
          <t>2</t>
        </is>
      </c>
      <c r="I1820" s="5" t="inlineStr">
        <is>
          <t>Delhi</t>
        </is>
      </c>
      <c r="J1820" s="5" t="inlineStr">
        <is>
          <t>Full-Time</t>
        </is>
      </c>
      <c r="K1820" s="7" t="n">
        <v>45649</v>
      </c>
      <c r="L1820" s="7" t="inlineStr"/>
      <c r="M1820" s="5" t="inlineStr">
        <is>
          <t>Yes</t>
        </is>
      </c>
      <c r="N1820" s="5" t="inlineStr"/>
      <c r="O1820" s="8" t="inlineStr">
        <is>
          <t>246500</t>
        </is>
      </c>
      <c r="P1820" s="5" t="inlineStr">
        <is>
          <t>20</t>
        </is>
      </c>
      <c r="Q1820" s="5" t="inlineStr">
        <is>
          <t>3</t>
        </is>
      </c>
      <c r="R1820" s="5" t="inlineStr">
        <is>
          <t>7</t>
        </is>
      </c>
      <c r="S1820" s="5" t="inlineStr">
        <is>
          <t>12</t>
        </is>
      </c>
      <c r="T1820" s="5" t="inlineStr">
        <is>
          <t>0</t>
        </is>
      </c>
      <c r="U1820" s="5" t="inlineStr">
        <is>
          <t>OK</t>
        </is>
      </c>
    </row>
    <row r="1821">
      <c r="A1821" s="5" t="inlineStr">
        <is>
          <t>E02501</t>
        </is>
      </c>
      <c r="B1821" s="5" t="inlineStr">
        <is>
          <t>Male</t>
        </is>
      </c>
      <c r="C1821" s="6" t="inlineStr">
        <is>
          <t>35</t>
        </is>
      </c>
      <c r="D1821" s="5" t="inlineStr">
        <is>
          <t>Married</t>
        </is>
      </c>
      <c r="E1821" s="5" t="inlineStr">
        <is>
          <t>Bachelor</t>
        </is>
      </c>
      <c r="F1821" s="5" t="inlineStr">
        <is>
          <t>Customer Support</t>
        </is>
      </c>
      <c r="G1821" s="5" t="inlineStr">
        <is>
          <t>Escalation Specialist</t>
        </is>
      </c>
      <c r="H1821" s="5" t="inlineStr">
        <is>
          <t>3</t>
        </is>
      </c>
      <c r="I1821" s="5" t="inlineStr">
        <is>
          <t>Bengaluru</t>
        </is>
      </c>
      <c r="J1821" s="5" t="inlineStr">
        <is>
          <t>Full-Time</t>
        </is>
      </c>
      <c r="K1821" s="7" t="n">
        <v>44332</v>
      </c>
      <c r="L1821" s="7" t="inlineStr"/>
      <c r="M1821" s="5" t="inlineStr">
        <is>
          <t>Yes</t>
        </is>
      </c>
      <c r="N1821" s="5" t="inlineStr"/>
      <c r="O1821" s="8" t="inlineStr">
        <is>
          <t>91000</t>
        </is>
      </c>
      <c r="P1821" s="5" t="inlineStr">
        <is>
          <t>5</t>
        </is>
      </c>
      <c r="Q1821" s="5" t="inlineStr">
        <is>
          <t>3</t>
        </is>
      </c>
      <c r="R1821" s="5" t="inlineStr">
        <is>
          <t>3</t>
        </is>
      </c>
      <c r="S1821" s="5" t="inlineStr">
        <is>
          <t>56</t>
        </is>
      </c>
      <c r="T1821" s="5" t="inlineStr">
        <is>
          <t>12</t>
        </is>
      </c>
      <c r="U1821" s="5" t="inlineStr">
        <is>
          <t>OK</t>
        </is>
      </c>
    </row>
    <row r="1822">
      <c r="A1822" s="5" t="inlineStr">
        <is>
          <t>E01146</t>
        </is>
      </c>
      <c r="B1822" s="5" t="inlineStr">
        <is>
          <t>Female</t>
        </is>
      </c>
      <c r="C1822" s="6" t="inlineStr">
        <is>
          <t>38</t>
        </is>
      </c>
      <c r="D1822" s="5" t="inlineStr">
        <is>
          <t>Married</t>
        </is>
      </c>
      <c r="E1822" s="5" t="inlineStr">
        <is>
          <t>Diploma</t>
        </is>
      </c>
      <c r="F1822" s="5" t="inlineStr">
        <is>
          <t>Marketing</t>
        </is>
      </c>
      <c r="G1822" s="5" t="inlineStr">
        <is>
          <t>Marketing Analyst</t>
        </is>
      </c>
      <c r="H1822" s="5" t="inlineStr">
        <is>
          <t>7</t>
        </is>
      </c>
      <c r="I1822" s="5" t="inlineStr">
        <is>
          <t>Remote</t>
        </is>
      </c>
      <c r="J1822" s="5" t="inlineStr">
        <is>
          <t>Full-Time</t>
        </is>
      </c>
      <c r="K1822" s="7" t="n">
        <v>45797</v>
      </c>
      <c r="L1822" s="7" t="inlineStr"/>
      <c r="M1822" s="5" t="inlineStr">
        <is>
          <t>Yes</t>
        </is>
      </c>
      <c r="N1822" s="5" t="inlineStr"/>
      <c r="O1822" s="8" t="inlineStr">
        <is>
          <t>135000</t>
        </is>
      </c>
      <c r="P1822" s="5" t="inlineStr">
        <is>
          <t>0</t>
        </is>
      </c>
      <c r="Q1822" s="5" t="inlineStr">
        <is>
          <t>3</t>
        </is>
      </c>
      <c r="R1822" s="5" t="inlineStr">
        <is>
          <t>8</t>
        </is>
      </c>
      <c r="S1822" s="5" t="inlineStr">
        <is>
          <t>7</t>
        </is>
      </c>
      <c r="T1822" s="5" t="inlineStr">
        <is>
          <t>0</t>
        </is>
      </c>
      <c r="U1822" s="5" t="inlineStr">
        <is>
          <t>OK</t>
        </is>
      </c>
    </row>
    <row r="1823">
      <c r="A1823" s="5" t="inlineStr">
        <is>
          <t>E01225</t>
        </is>
      </c>
      <c r="B1823" s="5" t="inlineStr">
        <is>
          <t>Female</t>
        </is>
      </c>
      <c r="C1823" s="6" t="inlineStr">
        <is>
          <t>40</t>
        </is>
      </c>
      <c r="D1823" s="5" t="inlineStr">
        <is>
          <t>Married</t>
        </is>
      </c>
      <c r="E1823" s="5" t="inlineStr">
        <is>
          <t>PhD</t>
        </is>
      </c>
      <c r="F1823" s="5" t="inlineStr">
        <is>
          <t>Customer Support</t>
        </is>
      </c>
      <c r="G1823" s="5" t="inlineStr">
        <is>
          <t>Support Agent</t>
        </is>
      </c>
      <c r="H1823" s="5" t="inlineStr">
        <is>
          <t>6</t>
        </is>
      </c>
      <c r="I1823" s="5" t="inlineStr">
        <is>
          <t>Mumbai</t>
        </is>
      </c>
      <c r="J1823" s="5" t="inlineStr">
        <is>
          <t>Full-Time</t>
        </is>
      </c>
      <c r="K1823" s="7" t="n">
        <v>44267</v>
      </c>
      <c r="L1823" s="7" t="inlineStr"/>
      <c r="M1823" s="5" t="inlineStr">
        <is>
          <t>Yes</t>
        </is>
      </c>
      <c r="N1823" s="5" t="inlineStr"/>
      <c r="O1823" s="8" t="inlineStr">
        <is>
          <t>108500</t>
        </is>
      </c>
      <c r="P1823" s="5" t="inlineStr">
        <is>
          <t>10</t>
        </is>
      </c>
      <c r="Q1823" s="5" t="inlineStr">
        <is>
          <t>3</t>
        </is>
      </c>
      <c r="R1823" s="5" t="inlineStr">
        <is>
          <t>4</t>
        </is>
      </c>
      <c r="S1823" s="5" t="inlineStr">
        <is>
          <t>58</t>
        </is>
      </c>
      <c r="T1823" s="5" t="inlineStr">
        <is>
          <t>11</t>
        </is>
      </c>
      <c r="U1823" s="5" t="inlineStr">
        <is>
          <t>OK</t>
        </is>
      </c>
    </row>
    <row r="1824">
      <c r="A1824" s="5" t="inlineStr">
        <is>
          <t>E00669</t>
        </is>
      </c>
      <c r="B1824" s="5" t="inlineStr">
        <is>
          <t>Unknown</t>
        </is>
      </c>
      <c r="C1824" s="6" t="inlineStr">
        <is>
          <t>24</t>
        </is>
      </c>
      <c r="D1824" s="5" t="inlineStr">
        <is>
          <t>Divorced</t>
        </is>
      </c>
      <c r="E1824" s="5" t="inlineStr">
        <is>
          <t>Master</t>
        </is>
      </c>
      <c r="F1824" s="5" t="inlineStr">
        <is>
          <t>Marketing</t>
        </is>
      </c>
      <c r="G1824" s="5" t="inlineStr">
        <is>
          <t>Content Writer</t>
        </is>
      </c>
      <c r="H1824" s="5" t="inlineStr">
        <is>
          <t>1</t>
        </is>
      </c>
      <c r="I1824" s="5" t="inlineStr">
        <is>
          <t>Chennai</t>
        </is>
      </c>
      <c r="J1824" s="5" t="inlineStr">
        <is>
          <t>Contract</t>
        </is>
      </c>
      <c r="K1824" s="7" t="n">
        <v>44590</v>
      </c>
      <c r="L1824" s="7" t="inlineStr"/>
      <c r="M1824" s="5" t="inlineStr">
        <is>
          <t>Yes</t>
        </is>
      </c>
      <c r="N1824" s="5" t="inlineStr"/>
      <c r="O1824" s="8" t="inlineStr">
        <is>
          <t>80500</t>
        </is>
      </c>
      <c r="P1824" s="5" t="inlineStr">
        <is>
          <t>15</t>
        </is>
      </c>
      <c r="Q1824" s="5" t="inlineStr">
        <is>
          <t>5</t>
        </is>
      </c>
      <c r="R1824" s="5" t="inlineStr">
        <is>
          <t>9</t>
        </is>
      </c>
      <c r="S1824" s="5" t="inlineStr">
        <is>
          <t>47</t>
        </is>
      </c>
      <c r="T1824" s="5" t="inlineStr">
        <is>
          <t>7</t>
        </is>
      </c>
      <c r="U1824" s="5" t="inlineStr">
        <is>
          <t>Bad gender</t>
        </is>
      </c>
    </row>
    <row r="1825">
      <c r="A1825" s="5" t="inlineStr">
        <is>
          <t>E02681</t>
        </is>
      </c>
      <c r="B1825" s="5" t="inlineStr">
        <is>
          <t>Female</t>
        </is>
      </c>
      <c r="C1825" s="6" t="inlineStr">
        <is>
          <t>33</t>
        </is>
      </c>
      <c r="D1825" s="5" t="inlineStr">
        <is>
          <t>Single</t>
        </is>
      </c>
      <c r="E1825" s="5" t="inlineStr">
        <is>
          <t>Diploma</t>
        </is>
      </c>
      <c r="F1825" s="5" t="inlineStr">
        <is>
          <t>Customer Support</t>
        </is>
      </c>
      <c r="G1825" s="5" t="inlineStr">
        <is>
          <t>Support Lead</t>
        </is>
      </c>
      <c r="H1825" s="5" t="inlineStr">
        <is>
          <t>4</t>
        </is>
      </c>
      <c r="I1825" s="5" t="inlineStr">
        <is>
          <t>Bengaluru</t>
        </is>
      </c>
      <c r="J1825" s="5" t="inlineStr">
        <is>
          <t>Contract</t>
        </is>
      </c>
      <c r="K1825" s="7" t="n">
        <v>44560</v>
      </c>
      <c r="L1825" s="7" t="inlineStr"/>
      <c r="M1825" s="5" t="inlineStr">
        <is>
          <t>Yes</t>
        </is>
      </c>
      <c r="N1825" s="5" t="inlineStr"/>
      <c r="O1825" s="8" t="inlineStr">
        <is>
          <t>90500</t>
        </is>
      </c>
      <c r="P1825" s="5" t="inlineStr">
        <is>
          <t>10</t>
        </is>
      </c>
      <c r="Q1825" s="5" t="inlineStr">
        <is>
          <t>3</t>
        </is>
      </c>
      <c r="R1825" s="5" t="inlineStr">
        <is>
          <t>8</t>
        </is>
      </c>
      <c r="S1825" s="5" t="inlineStr">
        <is>
          <t>48</t>
        </is>
      </c>
      <c r="T1825" s="5" t="inlineStr">
        <is>
          <t>10</t>
        </is>
      </c>
      <c r="U1825" s="5" t="inlineStr">
        <is>
          <t>OK</t>
        </is>
      </c>
    </row>
    <row r="1826">
      <c r="A1826" s="5" t="inlineStr">
        <is>
          <t>E02179</t>
        </is>
      </c>
      <c r="B1826" s="5" t="inlineStr">
        <is>
          <t>Female</t>
        </is>
      </c>
      <c r="C1826" s="6" t="inlineStr">
        <is>
          <t>27</t>
        </is>
      </c>
      <c r="D1826" s="5" t="inlineStr">
        <is>
          <t>Married</t>
        </is>
      </c>
      <c r="E1826" s="5" t="inlineStr">
        <is>
          <t>Diploma</t>
        </is>
      </c>
      <c r="F1826" s="5" t="inlineStr">
        <is>
          <t>Finance</t>
        </is>
      </c>
      <c r="G1826" s="5" t="inlineStr">
        <is>
          <t>Credit Analyst</t>
        </is>
      </c>
      <c r="H1826" s="5" t="inlineStr">
        <is>
          <t>2</t>
        </is>
      </c>
      <c r="I1826" s="5" t="inlineStr">
        <is>
          <t>Delhi</t>
        </is>
      </c>
      <c r="J1826" s="5" t="inlineStr">
        <is>
          <t>Full-Time</t>
        </is>
      </c>
      <c r="K1826" s="7" t="n">
        <v>45316</v>
      </c>
      <c r="L1826" s="7" t="n">
        <v>45364</v>
      </c>
      <c r="M1826" s="5" t="inlineStr">
        <is>
          <t>No</t>
        </is>
      </c>
      <c r="N1826" s="5" t="inlineStr">
        <is>
          <t>Retirement</t>
        </is>
      </c>
      <c r="O1826" s="8" t="inlineStr">
        <is>
          <t>113500</t>
        </is>
      </c>
      <c r="P1826" s="5" t="inlineStr">
        <is>
          <t>20</t>
        </is>
      </c>
      <c r="Q1826" s="5" t="inlineStr">
        <is>
          <t>3</t>
        </is>
      </c>
      <c r="R1826" s="5" t="inlineStr">
        <is>
          <t>4</t>
        </is>
      </c>
      <c r="S1826" s="5" t="inlineStr">
        <is>
          <t>1</t>
        </is>
      </c>
      <c r="T1826" s="5" t="inlineStr">
        <is>
          <t>12</t>
        </is>
      </c>
      <c r="U1826" s="5" t="inlineStr">
        <is>
          <t>OK</t>
        </is>
      </c>
    </row>
    <row r="1827">
      <c r="A1827" s="5" t="inlineStr">
        <is>
          <t>E01888</t>
        </is>
      </c>
      <c r="B1827" s="5" t="inlineStr">
        <is>
          <t>Male</t>
        </is>
      </c>
      <c r="C1827" s="6" t="inlineStr">
        <is>
          <t>37</t>
        </is>
      </c>
      <c r="D1827" s="5" t="inlineStr">
        <is>
          <t>Married</t>
        </is>
      </c>
      <c r="E1827" s="5" t="inlineStr">
        <is>
          <t>PhD</t>
        </is>
      </c>
      <c r="F1827" s="5" t="inlineStr">
        <is>
          <t>Operations</t>
        </is>
      </c>
      <c r="G1827" s="5" t="inlineStr">
        <is>
          <t>Quality Analyst</t>
        </is>
      </c>
      <c r="H1827" s="5" t="inlineStr">
        <is>
          <t>6</t>
        </is>
      </c>
      <c r="I1827" s="5" t="inlineStr">
        <is>
          <t>Bengaluru</t>
        </is>
      </c>
      <c r="J1827" s="5" t="inlineStr">
        <is>
          <t>Full-Time</t>
        </is>
      </c>
      <c r="K1827" s="7" t="n">
        <v>44278</v>
      </c>
      <c r="L1827" s="7" t="inlineStr"/>
      <c r="M1827" s="5" t="inlineStr">
        <is>
          <t>Yes</t>
        </is>
      </c>
      <c r="N1827" s="5" t="inlineStr"/>
      <c r="O1827" s="8" t="inlineStr">
        <is>
          <t>129500</t>
        </is>
      </c>
      <c r="P1827" s="5" t="inlineStr">
        <is>
          <t>15</t>
        </is>
      </c>
      <c r="Q1827" s="5" t="inlineStr">
        <is>
          <t>4</t>
        </is>
      </c>
      <c r="R1827" s="5" t="inlineStr">
        <is>
          <t>8</t>
        </is>
      </c>
      <c r="S1827" s="5" t="inlineStr">
        <is>
          <t>58</t>
        </is>
      </c>
      <c r="T1827" s="5" t="inlineStr">
        <is>
          <t>0</t>
        </is>
      </c>
      <c r="U1827" s="5" t="inlineStr">
        <is>
          <t>OK</t>
        </is>
      </c>
    </row>
    <row r="1828">
      <c r="A1828" s="5" t="inlineStr">
        <is>
          <t>E02566</t>
        </is>
      </c>
      <c r="B1828" s="5" t="inlineStr">
        <is>
          <t>Male</t>
        </is>
      </c>
      <c r="C1828" s="6" t="inlineStr">
        <is>
          <t>29</t>
        </is>
      </c>
      <c r="D1828" s="5" t="inlineStr">
        <is>
          <t>Married</t>
        </is>
      </c>
      <c r="E1828" s="5" t="inlineStr">
        <is>
          <t>PhD</t>
        </is>
      </c>
      <c r="F1828" s="5" t="inlineStr">
        <is>
          <t>IT</t>
        </is>
      </c>
      <c r="G1828" s="5" t="inlineStr">
        <is>
          <t>Software Engineer</t>
        </is>
      </c>
      <c r="H1828" s="5" t="inlineStr">
        <is>
          <t>1</t>
        </is>
      </c>
      <c r="I1828" s="5" t="inlineStr">
        <is>
          <t>Bengaluru</t>
        </is>
      </c>
      <c r="J1828" s="5" t="inlineStr">
        <is>
          <t>Contract</t>
        </is>
      </c>
      <c r="K1828" s="7" t="n">
        <v>45236</v>
      </c>
      <c r="L1828" s="7" t="inlineStr"/>
      <c r="M1828" s="5" t="inlineStr">
        <is>
          <t>Yes</t>
        </is>
      </c>
      <c r="N1828" s="5" t="inlineStr"/>
      <c r="O1828" s="8" t="inlineStr">
        <is>
          <t>108000</t>
        </is>
      </c>
      <c r="P1828" s="5" t="inlineStr">
        <is>
          <t>10</t>
        </is>
      </c>
      <c r="Q1828" s="5" t="inlineStr">
        <is>
          <t>3</t>
        </is>
      </c>
      <c r="R1828" s="5" t="inlineStr">
        <is>
          <t>5</t>
        </is>
      </c>
      <c r="S1828" s="5" t="inlineStr">
        <is>
          <t>26</t>
        </is>
      </c>
      <c r="T1828" s="5" t="inlineStr">
        <is>
          <t>0</t>
        </is>
      </c>
      <c r="U1828" s="5" t="inlineStr">
        <is>
          <t>OK</t>
        </is>
      </c>
    </row>
    <row r="1829">
      <c r="A1829" s="5" t="inlineStr">
        <is>
          <t>E00531</t>
        </is>
      </c>
      <c r="B1829" s="5" t="inlineStr">
        <is>
          <t>Female</t>
        </is>
      </c>
      <c r="C1829" s="6" t="inlineStr">
        <is>
          <t>32</t>
        </is>
      </c>
      <c r="D1829" s="5" t="inlineStr">
        <is>
          <t>Married</t>
        </is>
      </c>
      <c r="E1829" s="5" t="inlineStr">
        <is>
          <t>High School</t>
        </is>
      </c>
      <c r="F1829" s="5" t="inlineStr">
        <is>
          <t>IT</t>
        </is>
      </c>
      <c r="G1829" s="5" t="inlineStr">
        <is>
          <t>DevOps Engineer</t>
        </is>
      </c>
      <c r="H1829" s="5" t="inlineStr">
        <is>
          <t>4</t>
        </is>
      </c>
      <c r="I1829" s="5" t="inlineStr">
        <is>
          <t>Remote</t>
        </is>
      </c>
      <c r="J1829" s="5" t="inlineStr">
        <is>
          <t>Part-Time</t>
        </is>
      </c>
      <c r="K1829" s="7" t="n">
        <v>44473</v>
      </c>
      <c r="L1829" s="7" t="inlineStr"/>
      <c r="M1829" s="5" t="inlineStr">
        <is>
          <t>Yes</t>
        </is>
      </c>
      <c r="N1829" s="5" t="inlineStr"/>
      <c r="O1829" s="8" t="inlineStr">
        <is>
          <t>162000</t>
        </is>
      </c>
      <c r="P1829" s="5" t="inlineStr">
        <is>
          <t>5</t>
        </is>
      </c>
      <c r="Q1829" s="5" t="inlineStr">
        <is>
          <t>3</t>
        </is>
      </c>
      <c r="R1829" s="5" t="inlineStr">
        <is>
          <t>5</t>
        </is>
      </c>
      <c r="S1829" s="5" t="inlineStr">
        <is>
          <t>51</t>
        </is>
      </c>
      <c r="T1829" s="5" t="inlineStr">
        <is>
          <t>1</t>
        </is>
      </c>
      <c r="U1829" s="5" t="inlineStr">
        <is>
          <t>OK</t>
        </is>
      </c>
    </row>
    <row r="1830">
      <c r="A1830" s="5" t="inlineStr">
        <is>
          <t>E00855</t>
        </is>
      </c>
      <c r="B1830" s="5" t="inlineStr">
        <is>
          <t>Female</t>
        </is>
      </c>
      <c r="C1830" s="6" t="inlineStr">
        <is>
          <t>37</t>
        </is>
      </c>
      <c r="D1830" s="5" t="inlineStr">
        <is>
          <t>Married</t>
        </is>
      </c>
      <c r="E1830" s="5" t="inlineStr">
        <is>
          <t>Bachelor</t>
        </is>
      </c>
      <c r="F1830" s="5" t="inlineStr">
        <is>
          <t>Marketing</t>
        </is>
      </c>
      <c r="G1830" s="5" t="inlineStr">
        <is>
          <t>SEO Specialist</t>
        </is>
      </c>
      <c r="H1830" s="5" t="inlineStr">
        <is>
          <t>4</t>
        </is>
      </c>
      <c r="I1830" s="5" t="inlineStr">
        <is>
          <t>Bengaluru</t>
        </is>
      </c>
      <c r="J1830" s="5" t="inlineStr">
        <is>
          <t>Full-Time</t>
        </is>
      </c>
      <c r="K1830" s="7" t="n">
        <v>44224</v>
      </c>
      <c r="L1830" s="7" t="inlineStr"/>
      <c r="M1830" s="5" t="inlineStr">
        <is>
          <t>Yes</t>
        </is>
      </c>
      <c r="N1830" s="5" t="inlineStr"/>
      <c r="O1830" s="8" t="inlineStr">
        <is>
          <t>111500</t>
        </is>
      </c>
      <c r="P1830" s="5" t="inlineStr">
        <is>
          <t>5</t>
        </is>
      </c>
      <c r="Q1830" s="5" t="inlineStr">
        <is>
          <t>3</t>
        </is>
      </c>
      <c r="R1830" s="5" t="inlineStr">
        <is>
          <t>6</t>
        </is>
      </c>
      <c r="S1830" s="5" t="inlineStr">
        <is>
          <t>59</t>
        </is>
      </c>
      <c r="T1830" s="5" t="inlineStr">
        <is>
          <t>0</t>
        </is>
      </c>
      <c r="U1830" s="5" t="inlineStr">
        <is>
          <t>OK</t>
        </is>
      </c>
    </row>
    <row r="1831">
      <c r="A1831" s="5" t="inlineStr">
        <is>
          <t>E00218</t>
        </is>
      </c>
      <c r="B1831" s="5" t="inlineStr">
        <is>
          <t>Male</t>
        </is>
      </c>
      <c r="C1831" s="6" t="inlineStr">
        <is>
          <t>23</t>
        </is>
      </c>
      <c r="D1831" s="5" t="inlineStr">
        <is>
          <t>Single</t>
        </is>
      </c>
      <c r="E1831" s="5" t="inlineStr">
        <is>
          <t>PhD</t>
        </is>
      </c>
      <c r="F1831" s="5" t="inlineStr">
        <is>
          <t>Customer Support</t>
        </is>
      </c>
      <c r="G1831" s="5" t="inlineStr">
        <is>
          <t>Support Lead</t>
        </is>
      </c>
      <c r="H1831" s="5" t="inlineStr">
        <is>
          <t>1</t>
        </is>
      </c>
      <c r="I1831" s="5" t="inlineStr">
        <is>
          <t>Hyderabad</t>
        </is>
      </c>
      <c r="J1831" s="5" t="inlineStr">
        <is>
          <t>Full-Time</t>
        </is>
      </c>
      <c r="K1831" s="7" t="n">
        <v>44879</v>
      </c>
      <c r="L1831" s="7" t="n">
        <v>44917</v>
      </c>
      <c r="M1831" s="5" t="inlineStr">
        <is>
          <t>No</t>
        </is>
      </c>
      <c r="N1831" s="5" t="inlineStr">
        <is>
          <t>Performance / Termination</t>
        </is>
      </c>
      <c r="O1831" s="8" t="inlineStr">
        <is>
          <t>66000</t>
        </is>
      </c>
      <c r="P1831" s="5" t="inlineStr">
        <is>
          <t>5</t>
        </is>
      </c>
      <c r="Q1831" s="5" t="inlineStr">
        <is>
          <t>3</t>
        </is>
      </c>
      <c r="R1831" s="5" t="inlineStr">
        <is>
          <t>8</t>
        </is>
      </c>
      <c r="S1831" s="5" t="inlineStr">
        <is>
          <t>1</t>
        </is>
      </c>
      <c r="T1831" s="5" t="inlineStr">
        <is>
          <t>1</t>
        </is>
      </c>
      <c r="U1831" s="5" t="inlineStr">
        <is>
          <t>OK</t>
        </is>
      </c>
    </row>
    <row r="1832">
      <c r="A1832" s="5" t="inlineStr">
        <is>
          <t>E02265</t>
        </is>
      </c>
      <c r="B1832" s="5" t="inlineStr">
        <is>
          <t>Male</t>
        </is>
      </c>
      <c r="C1832" s="6" t="inlineStr">
        <is>
          <t>37</t>
        </is>
      </c>
      <c r="D1832" s="5" t="inlineStr">
        <is>
          <t>Divorced</t>
        </is>
      </c>
      <c r="E1832" s="5" t="inlineStr">
        <is>
          <t>PhD</t>
        </is>
      </c>
      <c r="F1832" s="5" t="inlineStr">
        <is>
          <t>Executive</t>
        </is>
      </c>
      <c r="G1832" s="5" t="inlineStr">
        <is>
          <t>CEO</t>
        </is>
      </c>
      <c r="H1832" s="5" t="inlineStr">
        <is>
          <t>4</t>
        </is>
      </c>
      <c r="I1832" s="5" t="inlineStr">
        <is>
          <t>Mumbai</t>
        </is>
      </c>
      <c r="J1832" s="5" t="inlineStr">
        <is>
          <t>Full-Time</t>
        </is>
      </c>
      <c r="K1832" s="7" t="n">
        <v>45409</v>
      </c>
      <c r="L1832" s="7" t="inlineStr"/>
      <c r="M1832" s="5" t="inlineStr">
        <is>
          <t>Yes</t>
        </is>
      </c>
      <c r="N1832" s="5" t="inlineStr"/>
      <c r="O1832" s="8" t="inlineStr">
        <is>
          <t>344500</t>
        </is>
      </c>
      <c r="P1832" s="5" t="inlineStr">
        <is>
          <t>10</t>
        </is>
      </c>
      <c r="Q1832" s="5" t="inlineStr">
        <is>
          <t>4</t>
        </is>
      </c>
      <c r="R1832" s="5" t="inlineStr">
        <is>
          <t>7</t>
        </is>
      </c>
      <c r="S1832" s="5" t="inlineStr">
        <is>
          <t>20</t>
        </is>
      </c>
      <c r="T1832" s="5" t="inlineStr">
        <is>
          <t>0</t>
        </is>
      </c>
      <c r="U1832" s="5" t="inlineStr">
        <is>
          <t>OK</t>
        </is>
      </c>
    </row>
    <row r="1833">
      <c r="A1833" s="5" t="inlineStr">
        <is>
          <t>E01056</t>
        </is>
      </c>
      <c r="B1833" s="5" t="inlineStr">
        <is>
          <t>Female</t>
        </is>
      </c>
      <c r="C1833" s="6" t="inlineStr">
        <is>
          <t>30</t>
        </is>
      </c>
      <c r="D1833" s="5" t="inlineStr">
        <is>
          <t>Married</t>
        </is>
      </c>
      <c r="E1833" s="5" t="inlineStr">
        <is>
          <t>Master</t>
        </is>
      </c>
      <c r="F1833" s="5" t="inlineStr">
        <is>
          <t>Sales</t>
        </is>
      </c>
      <c r="G1833" s="5" t="inlineStr">
        <is>
          <t>Business Development</t>
        </is>
      </c>
      <c r="H1833" s="5" t="inlineStr">
        <is>
          <t>2</t>
        </is>
      </c>
      <c r="I1833" s="5" t="inlineStr">
        <is>
          <t>Remote</t>
        </is>
      </c>
      <c r="J1833" s="5" t="inlineStr">
        <is>
          <t>Full-Time</t>
        </is>
      </c>
      <c r="K1833" s="7" t="n">
        <v>44019</v>
      </c>
      <c r="L1833" s="7" t="inlineStr"/>
      <c r="M1833" s="5" t="inlineStr">
        <is>
          <t>Yes</t>
        </is>
      </c>
      <c r="N1833" s="5" t="inlineStr"/>
      <c r="O1833" s="8" t="inlineStr">
        <is>
          <t>118000</t>
        </is>
      </c>
      <c r="P1833" s="5" t="inlineStr">
        <is>
          <t>0</t>
        </is>
      </c>
      <c r="Q1833" s="5" t="inlineStr">
        <is>
          <t>5</t>
        </is>
      </c>
      <c r="R1833" s="5" t="inlineStr">
        <is>
          <t>8</t>
        </is>
      </c>
      <c r="S1833" s="5" t="inlineStr">
        <is>
          <t>66</t>
        </is>
      </c>
      <c r="T1833" s="5" t="inlineStr">
        <is>
          <t>5</t>
        </is>
      </c>
      <c r="U1833" s="5" t="inlineStr">
        <is>
          <t>OK</t>
        </is>
      </c>
    </row>
    <row r="1834">
      <c r="A1834" s="5" t="inlineStr">
        <is>
          <t>E00476</t>
        </is>
      </c>
      <c r="B1834" s="5" t="inlineStr">
        <is>
          <t>Female</t>
        </is>
      </c>
      <c r="C1834" s="6" t="inlineStr">
        <is>
          <t>39</t>
        </is>
      </c>
      <c r="D1834" s="5" t="inlineStr">
        <is>
          <t>Married</t>
        </is>
      </c>
      <c r="E1834" s="5" t="inlineStr">
        <is>
          <t>High School</t>
        </is>
      </c>
      <c r="F1834" s="5" t="inlineStr">
        <is>
          <t>IT</t>
        </is>
      </c>
      <c r="G1834" s="5" t="inlineStr">
        <is>
          <t>Data Analyst</t>
        </is>
      </c>
      <c r="H1834" s="5" t="inlineStr">
        <is>
          <t>4</t>
        </is>
      </c>
      <c r="I1834" s="5" t="inlineStr">
        <is>
          <t>Remote</t>
        </is>
      </c>
      <c r="J1834" s="5" t="inlineStr">
        <is>
          <t>Full-Time</t>
        </is>
      </c>
      <c r="K1834" s="7" t="n">
        <v>44698</v>
      </c>
      <c r="L1834" s="7" t="inlineStr"/>
      <c r="M1834" s="5" t="inlineStr">
        <is>
          <t>Yes</t>
        </is>
      </c>
      <c r="N1834" s="5" t="inlineStr"/>
      <c r="O1834" s="8" t="inlineStr">
        <is>
          <t>145000</t>
        </is>
      </c>
      <c r="P1834" s="5" t="inlineStr">
        <is>
          <t>5</t>
        </is>
      </c>
      <c r="Q1834" s="5" t="inlineStr">
        <is>
          <t>4</t>
        </is>
      </c>
      <c r="R1834" s="5" t="inlineStr">
        <is>
          <t>7</t>
        </is>
      </c>
      <c r="S1834" s="5" t="inlineStr">
        <is>
          <t>44</t>
        </is>
      </c>
      <c r="T1834" s="5" t="inlineStr">
        <is>
          <t>6</t>
        </is>
      </c>
      <c r="U1834" s="5" t="inlineStr">
        <is>
          <t>OK</t>
        </is>
      </c>
    </row>
    <row r="1835">
      <c r="A1835" s="5" t="inlineStr">
        <is>
          <t>E01631</t>
        </is>
      </c>
      <c r="B1835" s="5" t="inlineStr">
        <is>
          <t>Female</t>
        </is>
      </c>
      <c r="C1835" s="6" t="inlineStr">
        <is>
          <t>29</t>
        </is>
      </c>
      <c r="D1835" s="5" t="inlineStr">
        <is>
          <t>Married</t>
        </is>
      </c>
      <c r="E1835" s="5" t="inlineStr">
        <is>
          <t>Master</t>
        </is>
      </c>
      <c r="F1835" s="5" t="inlineStr">
        <is>
          <t>Operations</t>
        </is>
      </c>
      <c r="G1835" s="5" t="inlineStr">
        <is>
          <t>Operations Analyst</t>
        </is>
      </c>
      <c r="H1835" s="5" t="inlineStr">
        <is>
          <t>2</t>
        </is>
      </c>
      <c r="I1835" s="5" t="inlineStr">
        <is>
          <t>Remote</t>
        </is>
      </c>
      <c r="J1835" s="5" t="inlineStr">
        <is>
          <t>Full-Time</t>
        </is>
      </c>
      <c r="K1835" s="7" t="n">
        <v>45424</v>
      </c>
      <c r="L1835" s="7" t="inlineStr"/>
      <c r="M1835" s="5" t="inlineStr">
        <is>
          <t>Yes</t>
        </is>
      </c>
      <c r="N1835" s="5" t="inlineStr"/>
      <c r="O1835" s="8" t="inlineStr">
        <is>
          <t>113000</t>
        </is>
      </c>
      <c r="P1835" s="5" t="inlineStr">
        <is>
          <t>10</t>
        </is>
      </c>
      <c r="Q1835" s="5" t="inlineStr">
        <is>
          <t>2</t>
        </is>
      </c>
      <c r="R1835" s="5" t="inlineStr">
        <is>
          <t>7</t>
        </is>
      </c>
      <c r="S1835" s="5" t="inlineStr">
        <is>
          <t>19</t>
        </is>
      </c>
      <c r="T1835" s="5" t="inlineStr">
        <is>
          <t>4</t>
        </is>
      </c>
      <c r="U1835" s="5" t="inlineStr">
        <is>
          <t>OK</t>
        </is>
      </c>
    </row>
    <row r="1836">
      <c r="A1836" s="5" t="inlineStr">
        <is>
          <t>E02387</t>
        </is>
      </c>
      <c r="B1836" s="5" t="inlineStr">
        <is>
          <t>Male</t>
        </is>
      </c>
      <c r="C1836" s="6" t="inlineStr">
        <is>
          <t>40</t>
        </is>
      </c>
      <c r="D1836" s="5" t="inlineStr">
        <is>
          <t>Divorced</t>
        </is>
      </c>
      <c r="E1836" s="5" t="inlineStr">
        <is>
          <t>Diploma</t>
        </is>
      </c>
      <c r="F1836" s="5" t="inlineStr">
        <is>
          <t>IT</t>
        </is>
      </c>
      <c r="G1836" s="5" t="inlineStr">
        <is>
          <t>IT Support</t>
        </is>
      </c>
      <c r="H1836" s="5" t="inlineStr">
        <is>
          <t>4</t>
        </is>
      </c>
      <c r="I1836" s="5" t="inlineStr">
        <is>
          <t>Mumbai</t>
        </is>
      </c>
      <c r="J1836" s="5" t="inlineStr">
        <is>
          <t>Full-Time</t>
        </is>
      </c>
      <c r="K1836" s="7" t="n">
        <v>45769</v>
      </c>
      <c r="L1836" s="7" t="inlineStr"/>
      <c r="M1836" s="5" t="inlineStr">
        <is>
          <t>Yes</t>
        </is>
      </c>
      <c r="N1836" s="5" t="inlineStr"/>
      <c r="O1836" s="8" t="inlineStr">
        <is>
          <t>183500</t>
        </is>
      </c>
      <c r="P1836" s="5" t="inlineStr">
        <is>
          <t>0</t>
        </is>
      </c>
      <c r="Q1836" s="5" t="inlineStr">
        <is>
          <t>2</t>
        </is>
      </c>
      <c r="R1836" s="5" t="inlineStr">
        <is>
          <t>6</t>
        </is>
      </c>
      <c r="S1836" s="5" t="inlineStr">
        <is>
          <t>8</t>
        </is>
      </c>
      <c r="T1836" s="5" t="inlineStr">
        <is>
          <t>2</t>
        </is>
      </c>
      <c r="U1836" s="5" t="inlineStr">
        <is>
          <t>OK</t>
        </is>
      </c>
    </row>
    <row r="1837">
      <c r="A1837" s="5" t="inlineStr">
        <is>
          <t>E02622</t>
        </is>
      </c>
      <c r="B1837" s="5" t="inlineStr">
        <is>
          <t>Male</t>
        </is>
      </c>
      <c r="C1837" s="6" t="inlineStr">
        <is>
          <t>27</t>
        </is>
      </c>
      <c r="D1837" s="5" t="inlineStr">
        <is>
          <t>Single</t>
        </is>
      </c>
      <c r="E1837" s="5" t="inlineStr">
        <is>
          <t>High School</t>
        </is>
      </c>
      <c r="F1837" s="5" t="inlineStr">
        <is>
          <t>Operations</t>
        </is>
      </c>
      <c r="G1837" s="5" t="inlineStr">
        <is>
          <t>Logistics Coordinator</t>
        </is>
      </c>
      <c r="H1837" s="5" t="inlineStr">
        <is>
          <t>2</t>
        </is>
      </c>
      <c r="I1837" s="5" t="inlineStr">
        <is>
          <t>Delhi</t>
        </is>
      </c>
      <c r="J1837" s="5" t="inlineStr">
        <is>
          <t>Full-Time</t>
        </is>
      </c>
      <c r="K1837" s="7" t="n">
        <v>44928</v>
      </c>
      <c r="L1837" s="7" t="n">
        <v>45025</v>
      </c>
      <c r="M1837" s="5" t="inlineStr">
        <is>
          <t>No</t>
        </is>
      </c>
      <c r="N1837" s="5" t="inlineStr">
        <is>
          <t>Resigned</t>
        </is>
      </c>
      <c r="O1837" s="8" t="inlineStr">
        <is>
          <t>95500</t>
        </is>
      </c>
      <c r="P1837" s="5" t="inlineStr">
        <is>
          <t>0</t>
        </is>
      </c>
      <c r="Q1837" s="5" t="inlineStr">
        <is>
          <t>4</t>
        </is>
      </c>
      <c r="R1837" s="5" t="inlineStr">
        <is>
          <t>6</t>
        </is>
      </c>
      <c r="S1837" s="5" t="inlineStr">
        <is>
          <t>3</t>
        </is>
      </c>
      <c r="T1837" s="5" t="inlineStr">
        <is>
          <t>0</t>
        </is>
      </c>
      <c r="U1837" s="5" t="inlineStr">
        <is>
          <t>OK</t>
        </is>
      </c>
    </row>
    <row r="1838">
      <c r="A1838" s="5" t="inlineStr">
        <is>
          <t>E00221</t>
        </is>
      </c>
      <c r="B1838" s="5" t="inlineStr">
        <is>
          <t>Male</t>
        </is>
      </c>
      <c r="C1838" s="6" t="inlineStr">
        <is>
          <t>31</t>
        </is>
      </c>
      <c r="D1838" s="5" t="inlineStr">
        <is>
          <t>Single</t>
        </is>
      </c>
      <c r="E1838" s="5" t="inlineStr">
        <is>
          <t>Master</t>
        </is>
      </c>
      <c r="F1838" s="5" t="inlineStr">
        <is>
          <t>IT</t>
        </is>
      </c>
      <c r="G1838" s="5" t="inlineStr">
        <is>
          <t>DevOps Engineer</t>
        </is>
      </c>
      <c r="H1838" s="5" t="inlineStr">
        <is>
          <t>3</t>
        </is>
      </c>
      <c r="I1838" s="5" t="inlineStr">
        <is>
          <t>Remote</t>
        </is>
      </c>
      <c r="J1838" s="5" t="inlineStr">
        <is>
          <t>Full-Time</t>
        </is>
      </c>
      <c r="K1838" s="7" t="n">
        <v>45734</v>
      </c>
      <c r="L1838" s="7" t="inlineStr"/>
      <c r="M1838" s="5" t="inlineStr">
        <is>
          <t>Yes</t>
        </is>
      </c>
      <c r="N1838" s="5" t="inlineStr"/>
      <c r="O1838" s="8" t="inlineStr">
        <is>
          <t>164000</t>
        </is>
      </c>
      <c r="P1838" s="5" t="inlineStr">
        <is>
          <t>5</t>
        </is>
      </c>
      <c r="Q1838" s="5" t="inlineStr">
        <is>
          <t>4</t>
        </is>
      </c>
      <c r="R1838" s="5" t="inlineStr">
        <is>
          <t>8</t>
        </is>
      </c>
      <c r="S1838" s="5" t="inlineStr">
        <is>
          <t>9</t>
        </is>
      </c>
      <c r="T1838" s="5" t="inlineStr">
        <is>
          <t>15</t>
        </is>
      </c>
      <c r="U1838" s="5" t="inlineStr">
        <is>
          <t>OK</t>
        </is>
      </c>
    </row>
    <row r="1839">
      <c r="A1839" s="5" t="inlineStr">
        <is>
          <t>E00934</t>
        </is>
      </c>
      <c r="B1839" s="5" t="inlineStr">
        <is>
          <t>Male</t>
        </is>
      </c>
      <c r="C1839" s="6" t="inlineStr">
        <is>
          <t>27</t>
        </is>
      </c>
      <c r="D1839" s="5" t="inlineStr">
        <is>
          <t>Married</t>
        </is>
      </c>
      <c r="E1839" s="5" t="inlineStr">
        <is>
          <t>High School</t>
        </is>
      </c>
      <c r="F1839" s="5" t="inlineStr">
        <is>
          <t>Research &amp; Development</t>
        </is>
      </c>
      <c r="G1839" s="5" t="inlineStr">
        <is>
          <t>Data Scientist</t>
        </is>
      </c>
      <c r="H1839" s="5" t="inlineStr">
        <is>
          <t>2</t>
        </is>
      </c>
      <c r="I1839" s="5" t="inlineStr">
        <is>
          <t>Remote</t>
        </is>
      </c>
      <c r="J1839" s="5" t="inlineStr">
        <is>
          <t>Full-Time</t>
        </is>
      </c>
      <c r="K1839" s="7" t="n">
        <v>44397</v>
      </c>
      <c r="L1839" s="7" t="inlineStr"/>
      <c r="M1839" s="5" t="inlineStr">
        <is>
          <t>Yes</t>
        </is>
      </c>
      <c r="N1839" s="5" t="inlineStr"/>
      <c r="O1839" s="8" t="inlineStr">
        <is>
          <t>129000</t>
        </is>
      </c>
      <c r="P1839" s="5" t="inlineStr">
        <is>
          <t>10</t>
        </is>
      </c>
      <c r="Q1839" s="5" t="inlineStr">
        <is>
          <t>2</t>
        </is>
      </c>
      <c r="R1839" s="5" t="inlineStr">
        <is>
          <t>5</t>
        </is>
      </c>
      <c r="S1839" s="5" t="inlineStr">
        <is>
          <t>54</t>
        </is>
      </c>
      <c r="T1839" s="5" t="inlineStr">
        <is>
          <t>10</t>
        </is>
      </c>
      <c r="U1839" s="5" t="inlineStr">
        <is>
          <t>OK</t>
        </is>
      </c>
    </row>
    <row r="1840">
      <c r="A1840" s="5" t="inlineStr">
        <is>
          <t>E02994</t>
        </is>
      </c>
      <c r="B1840" s="5" t="inlineStr">
        <is>
          <t>Female</t>
        </is>
      </c>
      <c r="C1840" s="6" t="inlineStr">
        <is>
          <t>31</t>
        </is>
      </c>
      <c r="D1840" s="5" t="inlineStr">
        <is>
          <t>Divorced</t>
        </is>
      </c>
      <c r="E1840" s="5" t="inlineStr">
        <is>
          <t>Master</t>
        </is>
      </c>
      <c r="F1840" s="5" t="inlineStr">
        <is>
          <t>Customer Support</t>
        </is>
      </c>
      <c r="G1840" s="5" t="inlineStr">
        <is>
          <t>Escalation Specialist</t>
        </is>
      </c>
      <c r="H1840" s="5" t="inlineStr">
        <is>
          <t>2</t>
        </is>
      </c>
      <c r="I1840" s="5" t="inlineStr">
        <is>
          <t>Bengaluru</t>
        </is>
      </c>
      <c r="J1840" s="5" t="inlineStr">
        <is>
          <t>Full-Time</t>
        </is>
      </c>
      <c r="K1840" s="7" t="n">
        <v>43854</v>
      </c>
      <c r="L1840" s="7" t="inlineStr"/>
      <c r="M1840" s="5" t="inlineStr">
        <is>
          <t>Yes</t>
        </is>
      </c>
      <c r="N1840" s="5" t="inlineStr"/>
      <c r="O1840" s="8" t="inlineStr">
        <is>
          <t>66000</t>
        </is>
      </c>
      <c r="P1840" s="5" t="inlineStr">
        <is>
          <t>10</t>
        </is>
      </c>
      <c r="Q1840" s="5" t="inlineStr">
        <is>
          <t>5</t>
        </is>
      </c>
      <c r="R1840" s="5" t="inlineStr">
        <is>
          <t>5</t>
        </is>
      </c>
      <c r="S1840" s="5" t="inlineStr">
        <is>
          <t>72</t>
        </is>
      </c>
      <c r="T1840" s="5" t="inlineStr">
        <is>
          <t>0</t>
        </is>
      </c>
      <c r="U1840" s="5" t="inlineStr">
        <is>
          <t>OK</t>
        </is>
      </c>
    </row>
    <row r="1841">
      <c r="A1841" s="5" t="inlineStr">
        <is>
          <t>E00187</t>
        </is>
      </c>
      <c r="B1841" s="5" t="inlineStr">
        <is>
          <t>Female</t>
        </is>
      </c>
      <c r="C1841" s="6" t="inlineStr">
        <is>
          <t>31</t>
        </is>
      </c>
      <c r="D1841" s="5" t="inlineStr">
        <is>
          <t>Married</t>
        </is>
      </c>
      <c r="E1841" s="5" t="inlineStr">
        <is>
          <t>Diploma</t>
        </is>
      </c>
      <c r="F1841" s="5" t="inlineStr">
        <is>
          <t>Customer Support</t>
        </is>
      </c>
      <c r="G1841" s="5" t="inlineStr">
        <is>
          <t>Support Lead</t>
        </is>
      </c>
      <c r="H1841" s="5" t="inlineStr">
        <is>
          <t>4</t>
        </is>
      </c>
      <c r="I1841" s="5" t="inlineStr">
        <is>
          <t>Mumbai</t>
        </is>
      </c>
      <c r="J1841" s="5" t="inlineStr">
        <is>
          <t>Full-Time</t>
        </is>
      </c>
      <c r="K1841" s="7" t="n">
        <v>44348</v>
      </c>
      <c r="L1841" s="7" t="inlineStr"/>
      <c r="M1841" s="5" t="inlineStr">
        <is>
          <t>Yes</t>
        </is>
      </c>
      <c r="N1841" s="5" t="inlineStr"/>
      <c r="O1841" s="8" t="inlineStr">
        <is>
          <t>103000</t>
        </is>
      </c>
      <c r="P1841" s="5" t="inlineStr">
        <is>
          <t>0</t>
        </is>
      </c>
      <c r="Q1841" s="5" t="inlineStr">
        <is>
          <t>5</t>
        </is>
      </c>
      <c r="R1841" s="5" t="inlineStr">
        <is>
          <t>9</t>
        </is>
      </c>
      <c r="S1841" s="5" t="inlineStr">
        <is>
          <t>55</t>
        </is>
      </c>
      <c r="T1841" s="5" t="inlineStr">
        <is>
          <t>2</t>
        </is>
      </c>
      <c r="U1841" s="5" t="inlineStr">
        <is>
          <t>OK</t>
        </is>
      </c>
    </row>
    <row r="1842">
      <c r="A1842" s="5" t="inlineStr">
        <is>
          <t>E02967</t>
        </is>
      </c>
      <c r="B1842" s="5" t="inlineStr">
        <is>
          <t>Female</t>
        </is>
      </c>
      <c r="C1842" s="6" t="inlineStr">
        <is>
          <t>29</t>
        </is>
      </c>
      <c r="D1842" s="5" t="inlineStr">
        <is>
          <t>Married</t>
        </is>
      </c>
      <c r="E1842" s="5" t="inlineStr">
        <is>
          <t>Master</t>
        </is>
      </c>
      <c r="F1842" s="5" t="inlineStr">
        <is>
          <t>Operations</t>
        </is>
      </c>
      <c r="G1842" s="5" t="inlineStr">
        <is>
          <t>Operations Analyst</t>
        </is>
      </c>
      <c r="H1842" s="5" t="inlineStr">
        <is>
          <t>4</t>
        </is>
      </c>
      <c r="I1842" s="5" t="inlineStr">
        <is>
          <t>Delhi</t>
        </is>
      </c>
      <c r="J1842" s="5" t="inlineStr">
        <is>
          <t>Full-Time</t>
        </is>
      </c>
      <c r="K1842" s="7" t="n">
        <v>44943</v>
      </c>
      <c r="L1842" s="7" t="inlineStr"/>
      <c r="M1842" s="5" t="inlineStr">
        <is>
          <t>Yes</t>
        </is>
      </c>
      <c r="N1842" s="5" t="inlineStr"/>
      <c r="O1842" s="8" t="inlineStr">
        <is>
          <t>107500</t>
        </is>
      </c>
      <c r="P1842" s="5" t="inlineStr">
        <is>
          <t>0</t>
        </is>
      </c>
      <c r="Q1842" s="5" t="inlineStr">
        <is>
          <t>4</t>
        </is>
      </c>
      <c r="R1842" s="5" t="inlineStr">
        <is>
          <t>6</t>
        </is>
      </c>
      <c r="S1842" s="5" t="inlineStr">
        <is>
          <t>35</t>
        </is>
      </c>
      <c r="T1842" s="5" t="inlineStr">
        <is>
          <t>1</t>
        </is>
      </c>
      <c r="U1842" s="5" t="inlineStr">
        <is>
          <t>OK</t>
        </is>
      </c>
    </row>
    <row r="1843">
      <c r="A1843" s="5" t="inlineStr">
        <is>
          <t>E00526</t>
        </is>
      </c>
      <c r="B1843" s="5" t="inlineStr">
        <is>
          <t>Male</t>
        </is>
      </c>
      <c r="C1843" s="6" t="inlineStr">
        <is>
          <t>34</t>
        </is>
      </c>
      <c r="D1843" s="5" t="inlineStr">
        <is>
          <t>Divorced</t>
        </is>
      </c>
      <c r="E1843" s="5" t="inlineStr">
        <is>
          <t>Diploma</t>
        </is>
      </c>
      <c r="F1843" s="5" t="inlineStr">
        <is>
          <t>Operations</t>
        </is>
      </c>
      <c r="G1843" s="5" t="inlineStr">
        <is>
          <t>Operations Analyst</t>
        </is>
      </c>
      <c r="H1843" s="5" t="inlineStr">
        <is>
          <t>2</t>
        </is>
      </c>
      <c r="I1843" s="5" t="inlineStr">
        <is>
          <t>Mumbai</t>
        </is>
      </c>
      <c r="J1843" s="5" t="inlineStr">
        <is>
          <t>Full-Time</t>
        </is>
      </c>
      <c r="K1843" s="7" t="n">
        <v>44460</v>
      </c>
      <c r="L1843" s="7" t="inlineStr"/>
      <c r="M1843" s="5" t="inlineStr">
        <is>
          <t>Yes</t>
        </is>
      </c>
      <c r="N1843" s="5" t="inlineStr"/>
      <c r="O1843" s="8" t="inlineStr">
        <is>
          <t>63500</t>
        </is>
      </c>
      <c r="P1843" s="5" t="inlineStr">
        <is>
          <t>5</t>
        </is>
      </c>
      <c r="Q1843" s="5" t="inlineStr">
        <is>
          <t>2</t>
        </is>
      </c>
      <c r="R1843" s="5" t="inlineStr">
        <is>
          <t>10</t>
        </is>
      </c>
      <c r="S1843" s="5" t="inlineStr">
        <is>
          <t>52</t>
        </is>
      </c>
      <c r="T1843" s="5" t="inlineStr">
        <is>
          <t>4</t>
        </is>
      </c>
      <c r="U1843" s="5" t="inlineStr">
        <is>
          <t>OK</t>
        </is>
      </c>
    </row>
    <row r="1844">
      <c r="A1844" s="5" t="inlineStr">
        <is>
          <t>E01161</t>
        </is>
      </c>
      <c r="B1844" s="5" t="inlineStr">
        <is>
          <t>Male</t>
        </is>
      </c>
      <c r="C1844" s="6" t="inlineStr">
        <is>
          <t>32</t>
        </is>
      </c>
      <c r="D1844" s="5" t="inlineStr">
        <is>
          <t>Divorced</t>
        </is>
      </c>
      <c r="E1844" s="5" t="inlineStr">
        <is>
          <t>PhD</t>
        </is>
      </c>
      <c r="F1844" s="5" t="inlineStr">
        <is>
          <t>IT</t>
        </is>
      </c>
      <c r="G1844" s="5" t="inlineStr">
        <is>
          <t>IT Support</t>
        </is>
      </c>
      <c r="H1844" s="5" t="inlineStr">
        <is>
          <t>3</t>
        </is>
      </c>
      <c r="I1844" s="5" t="inlineStr">
        <is>
          <t>Chennai</t>
        </is>
      </c>
      <c r="J1844" s="5" t="inlineStr">
        <is>
          <t>Full-Time</t>
        </is>
      </c>
      <c r="K1844" s="7" t="n">
        <v>44959</v>
      </c>
      <c r="L1844" s="7" t="n">
        <v>45041</v>
      </c>
      <c r="M1844" s="5" t="inlineStr">
        <is>
          <t>No</t>
        </is>
      </c>
      <c r="N1844" s="5" t="inlineStr">
        <is>
          <t>Resigned</t>
        </is>
      </c>
      <c r="O1844" s="8" t="inlineStr">
        <is>
          <t>187000</t>
        </is>
      </c>
      <c r="P1844" s="5" t="inlineStr">
        <is>
          <t>0</t>
        </is>
      </c>
      <c r="Q1844" s="5" t="inlineStr">
        <is>
          <t>4</t>
        </is>
      </c>
      <c r="R1844" s="5" t="inlineStr">
        <is>
          <t>6</t>
        </is>
      </c>
      <c r="S1844" s="5" t="inlineStr">
        <is>
          <t>2</t>
        </is>
      </c>
      <c r="T1844" s="5" t="inlineStr">
        <is>
          <t>10</t>
        </is>
      </c>
      <c r="U1844" s="5" t="inlineStr">
        <is>
          <t>OK</t>
        </is>
      </c>
    </row>
    <row r="1845">
      <c r="A1845" s="5" t="inlineStr">
        <is>
          <t>E02903</t>
        </is>
      </c>
      <c r="B1845" s="5" t="inlineStr">
        <is>
          <t>Female</t>
        </is>
      </c>
      <c r="C1845" s="6" t="inlineStr">
        <is>
          <t>28</t>
        </is>
      </c>
      <c r="D1845" s="5" t="inlineStr">
        <is>
          <t>Married</t>
        </is>
      </c>
      <c r="E1845" s="5" t="inlineStr">
        <is>
          <t>High School</t>
        </is>
      </c>
      <c r="F1845" s="5" t="inlineStr">
        <is>
          <t>IT</t>
        </is>
      </c>
      <c r="G1845" s="5" t="inlineStr">
        <is>
          <t>IT Support</t>
        </is>
      </c>
      <c r="H1845" s="5" t="inlineStr">
        <is>
          <t>3</t>
        </is>
      </c>
      <c r="I1845" s="5" t="inlineStr">
        <is>
          <t>Chennai</t>
        </is>
      </c>
      <c r="J1845" s="5" t="inlineStr">
        <is>
          <t>Full-Time</t>
        </is>
      </c>
      <c r="K1845" s="7" t="n">
        <v>44747</v>
      </c>
      <c r="L1845" s="7" t="inlineStr"/>
      <c r="M1845" s="5" t="inlineStr">
        <is>
          <t>Yes</t>
        </is>
      </c>
      <c r="N1845" s="5" t="inlineStr"/>
      <c r="O1845" s="8" t="inlineStr">
        <is>
          <t>167000</t>
        </is>
      </c>
      <c r="P1845" s="5" t="inlineStr">
        <is>
          <t>0</t>
        </is>
      </c>
      <c r="Q1845" s="5" t="inlineStr">
        <is>
          <t>3</t>
        </is>
      </c>
      <c r="R1845" s="5" t="inlineStr">
        <is>
          <t>6</t>
        </is>
      </c>
      <c r="S1845" s="5" t="inlineStr">
        <is>
          <t>42</t>
        </is>
      </c>
      <c r="T1845" s="5" t="inlineStr">
        <is>
          <t>0</t>
        </is>
      </c>
      <c r="U1845" s="5" t="inlineStr">
        <is>
          <t>OK</t>
        </is>
      </c>
    </row>
    <row r="1846">
      <c r="A1846" s="5" t="inlineStr">
        <is>
          <t>E02951</t>
        </is>
      </c>
      <c r="B1846" s="5" t="inlineStr">
        <is>
          <t>Female</t>
        </is>
      </c>
      <c r="C1846" s="6" t="inlineStr">
        <is>
          <t>46</t>
        </is>
      </c>
      <c r="D1846" s="5" t="inlineStr">
        <is>
          <t>Married</t>
        </is>
      </c>
      <c r="E1846" s="5" t="inlineStr">
        <is>
          <t>Bachelor</t>
        </is>
      </c>
      <c r="F1846" s="5" t="inlineStr">
        <is>
          <t>Operations</t>
        </is>
      </c>
      <c r="G1846" s="5" t="inlineStr">
        <is>
          <t>Operations Analyst</t>
        </is>
      </c>
      <c r="H1846" s="5" t="inlineStr">
        <is>
          <t>7</t>
        </is>
      </c>
      <c r="I1846" s="5" t="inlineStr">
        <is>
          <t>Bengaluru</t>
        </is>
      </c>
      <c r="J1846" s="5" t="inlineStr">
        <is>
          <t>Full-Time</t>
        </is>
      </c>
      <c r="K1846" s="7" t="n">
        <v>45923</v>
      </c>
      <c r="L1846" s="7" t="n">
        <v>46021</v>
      </c>
      <c r="M1846" s="5" t="inlineStr">
        <is>
          <t>No</t>
        </is>
      </c>
      <c r="N1846" s="5" t="inlineStr">
        <is>
          <t>Relocation</t>
        </is>
      </c>
      <c r="O1846" s="8" t="inlineStr">
        <is>
          <t>125000</t>
        </is>
      </c>
      <c r="P1846" s="5" t="inlineStr">
        <is>
          <t>0</t>
        </is>
      </c>
      <c r="Q1846" s="5" t="inlineStr">
        <is>
          <t>2</t>
        </is>
      </c>
      <c r="R1846" s="5" t="inlineStr">
        <is>
          <t>4</t>
        </is>
      </c>
      <c r="S1846" s="5" t="inlineStr">
        <is>
          <t>3</t>
        </is>
      </c>
      <c r="T1846" s="5" t="inlineStr">
        <is>
          <t>6</t>
        </is>
      </c>
      <c r="U1846" s="5" t="inlineStr">
        <is>
          <t>OK</t>
        </is>
      </c>
    </row>
    <row r="1847">
      <c r="A1847" s="5" t="inlineStr">
        <is>
          <t>E01044</t>
        </is>
      </c>
      <c r="B1847" s="5" t="inlineStr">
        <is>
          <t>Male</t>
        </is>
      </c>
      <c r="C1847" s="6" t="inlineStr">
        <is>
          <t>31</t>
        </is>
      </c>
      <c r="D1847" s="5" t="inlineStr">
        <is>
          <t>Married</t>
        </is>
      </c>
      <c r="E1847" s="5" t="inlineStr">
        <is>
          <t>Bachelor</t>
        </is>
      </c>
      <c r="F1847" s="5" t="inlineStr">
        <is>
          <t>Customer Support</t>
        </is>
      </c>
      <c r="G1847" s="5" t="inlineStr">
        <is>
          <t>Support Lead</t>
        </is>
      </c>
      <c r="H1847" s="5" t="inlineStr">
        <is>
          <t>3</t>
        </is>
      </c>
      <c r="I1847" s="5" t="inlineStr">
        <is>
          <t>Mumbai</t>
        </is>
      </c>
      <c r="J1847" s="5" t="inlineStr">
        <is>
          <t>Full-Time</t>
        </is>
      </c>
      <c r="K1847" s="7" t="n">
        <v>44285</v>
      </c>
      <c r="L1847" s="7" t="inlineStr"/>
      <c r="M1847" s="5" t="inlineStr">
        <is>
          <t>Yes</t>
        </is>
      </c>
      <c r="N1847" s="5" t="inlineStr"/>
      <c r="O1847" s="8" t="inlineStr">
        <is>
          <t>58500</t>
        </is>
      </c>
      <c r="P1847" s="5" t="inlineStr">
        <is>
          <t>0</t>
        </is>
      </c>
      <c r="Q1847" s="5" t="inlineStr">
        <is>
          <t>4</t>
        </is>
      </c>
      <c r="R1847" s="5" t="inlineStr">
        <is>
          <t>6</t>
        </is>
      </c>
      <c r="S1847" s="5" t="inlineStr">
        <is>
          <t>57</t>
        </is>
      </c>
      <c r="T1847" s="5" t="inlineStr">
        <is>
          <t>7</t>
        </is>
      </c>
      <c r="U1847" s="5" t="inlineStr">
        <is>
          <t>OK</t>
        </is>
      </c>
    </row>
    <row r="1848">
      <c r="A1848" s="5" t="inlineStr">
        <is>
          <t>E02702</t>
        </is>
      </c>
      <c r="B1848" s="5" t="inlineStr">
        <is>
          <t>Male</t>
        </is>
      </c>
      <c r="C1848" s="6" t="inlineStr">
        <is>
          <t>39</t>
        </is>
      </c>
      <c r="D1848" s="5" t="inlineStr">
        <is>
          <t>Married</t>
        </is>
      </c>
      <c r="E1848" s="5" t="inlineStr">
        <is>
          <t>High School</t>
        </is>
      </c>
      <c r="F1848" s="5" t="inlineStr">
        <is>
          <t>Customer Support</t>
        </is>
      </c>
      <c r="G1848" s="5" t="inlineStr">
        <is>
          <t>Support Lead</t>
        </is>
      </c>
      <c r="H1848" s="5" t="inlineStr">
        <is>
          <t>4</t>
        </is>
      </c>
      <c r="I1848" s="5" t="inlineStr">
        <is>
          <t>Remote</t>
        </is>
      </c>
      <c r="J1848" s="5" t="inlineStr">
        <is>
          <t>Part-Time</t>
        </is>
      </c>
      <c r="K1848" s="7" t="n">
        <v>44063</v>
      </c>
      <c r="L1848" s="7" t="inlineStr"/>
      <c r="M1848" s="5" t="inlineStr">
        <is>
          <t>Yes</t>
        </is>
      </c>
      <c r="N1848" s="5" t="inlineStr"/>
      <c r="O1848" s="8" t="inlineStr">
        <is>
          <t>101000</t>
        </is>
      </c>
      <c r="P1848" s="5" t="inlineStr">
        <is>
          <t>0</t>
        </is>
      </c>
      <c r="Q1848" s="5" t="inlineStr">
        <is>
          <t>5</t>
        </is>
      </c>
      <c r="R1848" s="5" t="inlineStr">
        <is>
          <t>4</t>
        </is>
      </c>
      <c r="S1848" s="5" t="inlineStr">
        <is>
          <t>65</t>
        </is>
      </c>
      <c r="T1848" s="5" t="inlineStr">
        <is>
          <t>10</t>
        </is>
      </c>
      <c r="U1848" s="5" t="inlineStr">
        <is>
          <t>OK</t>
        </is>
      </c>
    </row>
    <row r="1849">
      <c r="A1849" s="5" t="inlineStr">
        <is>
          <t>E00694</t>
        </is>
      </c>
      <c r="B1849" s="5" t="inlineStr">
        <is>
          <t>Male</t>
        </is>
      </c>
      <c r="C1849" s="6" t="inlineStr">
        <is>
          <t>38</t>
        </is>
      </c>
      <c r="D1849" s="5" t="inlineStr">
        <is>
          <t>Married</t>
        </is>
      </c>
      <c r="E1849" s="5" t="inlineStr">
        <is>
          <t>Diploma</t>
        </is>
      </c>
      <c r="F1849" s="5" t="inlineStr">
        <is>
          <t>Finance</t>
        </is>
      </c>
      <c r="G1849" s="5" t="inlineStr">
        <is>
          <t>Financial Analyst</t>
        </is>
      </c>
      <c r="H1849" s="5" t="inlineStr">
        <is>
          <t>3</t>
        </is>
      </c>
      <c r="I1849" s="5" t="inlineStr">
        <is>
          <t>Bengaluru</t>
        </is>
      </c>
      <c r="J1849" s="5" t="inlineStr">
        <is>
          <t>Full-Time</t>
        </is>
      </c>
      <c r="K1849" s="7" t="n">
        <v>44643</v>
      </c>
      <c r="L1849" s="7" t="inlineStr"/>
      <c r="M1849" s="5" t="inlineStr">
        <is>
          <t>Yes</t>
        </is>
      </c>
      <c r="N1849" s="5" t="inlineStr"/>
      <c r="O1849" s="8" t="inlineStr">
        <is>
          <t>122000</t>
        </is>
      </c>
      <c r="P1849" s="5" t="inlineStr">
        <is>
          <t>5</t>
        </is>
      </c>
      <c r="Q1849" s="5" t="inlineStr">
        <is>
          <t>3</t>
        </is>
      </c>
      <c r="R1849" s="5" t="inlineStr">
        <is>
          <t>7</t>
        </is>
      </c>
      <c r="S1849" s="5" t="inlineStr">
        <is>
          <t>45</t>
        </is>
      </c>
      <c r="T1849" s="5" t="inlineStr">
        <is>
          <t>17</t>
        </is>
      </c>
      <c r="U1849" s="5" t="inlineStr">
        <is>
          <t>OK</t>
        </is>
      </c>
    </row>
    <row r="1850">
      <c r="A1850" s="5" t="inlineStr">
        <is>
          <t>E02235</t>
        </is>
      </c>
      <c r="B1850" s="5" t="inlineStr">
        <is>
          <t>Female</t>
        </is>
      </c>
      <c r="C1850" s="6" t="inlineStr">
        <is>
          <t>35</t>
        </is>
      </c>
      <c r="D1850" s="5" t="inlineStr">
        <is>
          <t>Single</t>
        </is>
      </c>
      <c r="E1850" s="5" t="inlineStr">
        <is>
          <t>PhD</t>
        </is>
      </c>
      <c r="F1850" s="5" t="inlineStr">
        <is>
          <t>Sales</t>
        </is>
      </c>
      <c r="G1850" s="5" t="inlineStr">
        <is>
          <t>Business Development</t>
        </is>
      </c>
      <c r="H1850" s="5" t="inlineStr">
        <is>
          <t>6</t>
        </is>
      </c>
      <c r="I1850" s="5" t="inlineStr">
        <is>
          <t>Delhi</t>
        </is>
      </c>
      <c r="J1850" s="5" t="inlineStr">
        <is>
          <t>Full-Time</t>
        </is>
      </c>
      <c r="K1850" s="7" t="n">
        <v>44428</v>
      </c>
      <c r="L1850" s="7" t="inlineStr"/>
      <c r="M1850" s="5" t="inlineStr">
        <is>
          <t>Yes</t>
        </is>
      </c>
      <c r="N1850" s="5" t="inlineStr"/>
      <c r="O1850" s="8" t="inlineStr">
        <is>
          <t>161000</t>
        </is>
      </c>
      <c r="P1850" s="5" t="inlineStr">
        <is>
          <t>0</t>
        </is>
      </c>
      <c r="Q1850" s="5" t="inlineStr">
        <is>
          <t>5</t>
        </is>
      </c>
      <c r="R1850" s="5" t="inlineStr">
        <is>
          <t>4</t>
        </is>
      </c>
      <c r="S1850" s="5" t="inlineStr">
        <is>
          <t>53</t>
        </is>
      </c>
      <c r="T1850" s="5" t="inlineStr">
        <is>
          <t>6</t>
        </is>
      </c>
      <c r="U1850" s="5" t="inlineStr">
        <is>
          <t>OK</t>
        </is>
      </c>
    </row>
    <row r="1851">
      <c r="A1851" s="5" t="inlineStr">
        <is>
          <t>E00379</t>
        </is>
      </c>
      <c r="B1851" s="5" t="inlineStr">
        <is>
          <t>female</t>
        </is>
      </c>
      <c r="C1851" s="6" t="inlineStr">
        <is>
          <t>43</t>
        </is>
      </c>
      <c r="D1851" s="5" t="inlineStr">
        <is>
          <t>Married</t>
        </is>
      </c>
      <c r="E1851" s="5" t="inlineStr">
        <is>
          <t>PhD</t>
        </is>
      </c>
      <c r="F1851" s="5" t="inlineStr">
        <is>
          <t>Sales</t>
        </is>
      </c>
      <c r="G1851" s="5" t="inlineStr">
        <is>
          <t>Sales Executive</t>
        </is>
      </c>
      <c r="H1851" s="5" t="inlineStr">
        <is>
          <t>6</t>
        </is>
      </c>
      <c r="I1851" s="5" t="inlineStr">
        <is>
          <t>Chennai</t>
        </is>
      </c>
      <c r="J1851" s="5" t="inlineStr">
        <is>
          <t>Full-Time</t>
        </is>
      </c>
      <c r="K1851" s="7" t="n">
        <v>45069</v>
      </c>
      <c r="L1851" s="7" t="inlineStr"/>
      <c r="M1851" s="5" t="inlineStr">
        <is>
          <t>Yes</t>
        </is>
      </c>
      <c r="N1851" s="5" t="inlineStr"/>
      <c r="O1851" s="8" t="inlineStr">
        <is>
          <t>107000</t>
        </is>
      </c>
      <c r="P1851" s="5" t="inlineStr">
        <is>
          <t>20</t>
        </is>
      </c>
      <c r="Q1851" s="5" t="inlineStr">
        <is>
          <t>5</t>
        </is>
      </c>
      <c r="R1851" s="5" t="inlineStr">
        <is>
          <t>5</t>
        </is>
      </c>
      <c r="S1851" s="5" t="inlineStr">
        <is>
          <t>31</t>
        </is>
      </c>
      <c r="T1851" s="5" t="inlineStr">
        <is>
          <t>1</t>
        </is>
      </c>
      <c r="U1851" s="5" t="inlineStr">
        <is>
          <t>OK</t>
        </is>
      </c>
    </row>
    <row r="1852">
      <c r="A1852" s="5" t="inlineStr">
        <is>
          <t>E01644</t>
        </is>
      </c>
      <c r="B1852" s="5" t="inlineStr">
        <is>
          <t>Male</t>
        </is>
      </c>
      <c r="C1852" s="6" t="inlineStr">
        <is>
          <t>28</t>
        </is>
      </c>
      <c r="D1852" s="5" t="inlineStr">
        <is>
          <t>Married</t>
        </is>
      </c>
      <c r="E1852" s="5" t="inlineStr">
        <is>
          <t>Master</t>
        </is>
      </c>
      <c r="F1852" s="5" t="inlineStr">
        <is>
          <t>Customer Support</t>
        </is>
      </c>
      <c r="G1852" s="5" t="inlineStr">
        <is>
          <t>Support Lead</t>
        </is>
      </c>
      <c r="H1852" s="5" t="inlineStr">
        <is>
          <t>1</t>
        </is>
      </c>
      <c r="I1852" s="5" t="inlineStr">
        <is>
          <t>Remote</t>
        </is>
      </c>
      <c r="J1852" s="5" t="inlineStr">
        <is>
          <t>Full-Time</t>
        </is>
      </c>
      <c r="K1852" s="7" t="n">
        <v>45111</v>
      </c>
      <c r="L1852" s="7" t="inlineStr"/>
      <c r="M1852" s="5" t="inlineStr">
        <is>
          <t>Yes</t>
        </is>
      </c>
      <c r="N1852" s="5" t="inlineStr"/>
      <c r="O1852" s="8" t="inlineStr">
        <is>
          <t>48000</t>
        </is>
      </c>
      <c r="P1852" s="5" t="inlineStr">
        <is>
          <t>5</t>
        </is>
      </c>
      <c r="Q1852" s="5" t="inlineStr">
        <is>
          <t>5</t>
        </is>
      </c>
      <c r="R1852" s="5" t="inlineStr">
        <is>
          <t>6</t>
        </is>
      </c>
      <c r="S1852" s="5" t="inlineStr">
        <is>
          <t>30</t>
        </is>
      </c>
      <c r="T1852" s="5" t="inlineStr">
        <is>
          <t>0</t>
        </is>
      </c>
      <c r="U1852" s="5" t="inlineStr">
        <is>
          <t>OK</t>
        </is>
      </c>
    </row>
    <row r="1853">
      <c r="A1853" s="5" t="inlineStr">
        <is>
          <t>E00725</t>
        </is>
      </c>
      <c r="B1853" s="5" t="inlineStr">
        <is>
          <t>Male</t>
        </is>
      </c>
      <c r="C1853" s="6" t="inlineStr">
        <is>
          <t>34</t>
        </is>
      </c>
      <c r="D1853" s="5" t="inlineStr">
        <is>
          <t>Married</t>
        </is>
      </c>
      <c r="E1853" s="5" t="inlineStr">
        <is>
          <t>Diploma</t>
        </is>
      </c>
      <c r="F1853" s="5" t="inlineStr">
        <is>
          <t>Customer Support</t>
        </is>
      </c>
      <c r="G1853" s="5" t="inlineStr">
        <is>
          <t>Support Lead</t>
        </is>
      </c>
      <c r="H1853" s="5" t="inlineStr">
        <is>
          <t>4</t>
        </is>
      </c>
      <c r="I1853" s="5" t="inlineStr">
        <is>
          <t>Mumbai</t>
        </is>
      </c>
      <c r="J1853" s="5" t="inlineStr">
        <is>
          <t>Full-Time</t>
        </is>
      </c>
      <c r="K1853" s="7" t="n">
        <v>44398</v>
      </c>
      <c r="L1853" s="7" t="inlineStr"/>
      <c r="M1853" s="5" t="inlineStr">
        <is>
          <t>Yes</t>
        </is>
      </c>
      <c r="N1853" s="5" t="inlineStr"/>
      <c r="O1853" s="8" t="inlineStr">
        <is>
          <t>82000</t>
        </is>
      </c>
      <c r="P1853" s="5" t="inlineStr">
        <is>
          <t>10</t>
        </is>
      </c>
      <c r="Q1853" s="5" t="inlineStr">
        <is>
          <t>3</t>
        </is>
      </c>
      <c r="R1853" s="5" t="inlineStr">
        <is>
          <t>7</t>
        </is>
      </c>
      <c r="S1853" s="5" t="inlineStr">
        <is>
          <t>54</t>
        </is>
      </c>
      <c r="T1853" s="5" t="inlineStr">
        <is>
          <t>4</t>
        </is>
      </c>
      <c r="U1853" s="5" t="inlineStr">
        <is>
          <t>OK</t>
        </is>
      </c>
    </row>
    <row r="1854">
      <c r="A1854" s="5" t="inlineStr">
        <is>
          <t>E01499</t>
        </is>
      </c>
      <c r="B1854" s="5" t="inlineStr">
        <is>
          <t>Male</t>
        </is>
      </c>
      <c r="C1854" s="6" t="inlineStr">
        <is>
          <t>37</t>
        </is>
      </c>
      <c r="D1854" s="5" t="inlineStr">
        <is>
          <t>Married</t>
        </is>
      </c>
      <c r="E1854" s="5" t="inlineStr">
        <is>
          <t>Bachelor</t>
        </is>
      </c>
      <c r="F1854" s="5" t="inlineStr">
        <is>
          <t>Sales</t>
        </is>
      </c>
      <c r="G1854" s="5" t="inlineStr">
        <is>
          <t>Account Executive</t>
        </is>
      </c>
      <c r="H1854" s="5" t="inlineStr">
        <is>
          <t>3</t>
        </is>
      </c>
      <c r="I1854" s="5" t="inlineStr">
        <is>
          <t>Remote</t>
        </is>
      </c>
      <c r="J1854" s="5" t="inlineStr">
        <is>
          <t>Full-Time</t>
        </is>
      </c>
      <c r="K1854" s="7" t="n">
        <v>44585</v>
      </c>
      <c r="L1854" s="7" t="inlineStr"/>
      <c r="M1854" s="5" t="inlineStr">
        <is>
          <t>Yes</t>
        </is>
      </c>
      <c r="N1854" s="5" t="inlineStr"/>
      <c r="O1854" s="8" t="inlineStr">
        <is>
          <t>86500</t>
        </is>
      </c>
      <c r="P1854" s="5" t="inlineStr">
        <is>
          <t>10</t>
        </is>
      </c>
      <c r="Q1854" s="5" t="inlineStr">
        <is>
          <t>5</t>
        </is>
      </c>
      <c r="R1854" s="5" t="inlineStr">
        <is>
          <t>4</t>
        </is>
      </c>
      <c r="S1854" s="5" t="inlineStr">
        <is>
          <t>47</t>
        </is>
      </c>
      <c r="T1854" s="5" t="inlineStr">
        <is>
          <t>2</t>
        </is>
      </c>
      <c r="U1854" s="5" t="inlineStr">
        <is>
          <t>OK</t>
        </is>
      </c>
    </row>
    <row r="1855">
      <c r="A1855" s="5" t="inlineStr">
        <is>
          <t>E01109</t>
        </is>
      </c>
      <c r="B1855" s="5" t="inlineStr">
        <is>
          <t>Female</t>
        </is>
      </c>
      <c r="C1855" s="6" t="inlineStr">
        <is>
          <t>31</t>
        </is>
      </c>
      <c r="D1855" s="5" t="inlineStr">
        <is>
          <t>Married</t>
        </is>
      </c>
      <c r="E1855" s="5" t="inlineStr">
        <is>
          <t>Bachelor</t>
        </is>
      </c>
      <c r="F1855" s="5" t="inlineStr">
        <is>
          <t>Research &amp; Development</t>
        </is>
      </c>
      <c r="G1855" s="5" t="inlineStr">
        <is>
          <t>Research Scientist</t>
        </is>
      </c>
      <c r="H1855" s="5" t="inlineStr">
        <is>
          <t>1</t>
        </is>
      </c>
      <c r="I1855" s="5" t="inlineStr">
        <is>
          <t>Chennai</t>
        </is>
      </c>
      <c r="J1855" s="5" t="inlineStr">
        <is>
          <t>Full-Time</t>
        </is>
      </c>
      <c r="K1855" s="7" t="n">
        <v>45068</v>
      </c>
      <c r="L1855" s="7" t="inlineStr"/>
      <c r="M1855" s="5" t="inlineStr">
        <is>
          <t>Yes</t>
        </is>
      </c>
      <c r="N1855" s="5" t="inlineStr"/>
      <c r="O1855" s="8" t="inlineStr">
        <is>
          <t>153000</t>
        </is>
      </c>
      <c r="P1855" s="5" t="inlineStr">
        <is>
          <t>0</t>
        </is>
      </c>
      <c r="Q1855" s="5" t="inlineStr">
        <is>
          <t>3</t>
        </is>
      </c>
      <c r="R1855" s="5" t="inlineStr">
        <is>
          <t>6</t>
        </is>
      </c>
      <c r="S1855" s="5" t="inlineStr">
        <is>
          <t>31</t>
        </is>
      </c>
      <c r="T1855" s="5" t="inlineStr">
        <is>
          <t>7</t>
        </is>
      </c>
      <c r="U1855" s="5" t="inlineStr">
        <is>
          <t>OK</t>
        </is>
      </c>
    </row>
    <row r="1856">
      <c r="A1856" s="5" t="inlineStr">
        <is>
          <t>E00346</t>
        </is>
      </c>
      <c r="B1856" s="5" t="inlineStr">
        <is>
          <t>Female</t>
        </is>
      </c>
      <c r="C1856" s="6" t="inlineStr">
        <is>
          <t>34</t>
        </is>
      </c>
      <c r="D1856" s="5" t="inlineStr">
        <is>
          <t>Married</t>
        </is>
      </c>
      <c r="E1856" s="5" t="inlineStr">
        <is>
          <t>PhD</t>
        </is>
      </c>
      <c r="F1856" s="5" t="inlineStr">
        <is>
          <t>Sales</t>
        </is>
      </c>
      <c r="G1856" s="5" t="inlineStr">
        <is>
          <t>Sales Executive</t>
        </is>
      </c>
      <c r="H1856" s="5" t="inlineStr">
        <is>
          <t>2</t>
        </is>
      </c>
      <c r="I1856" s="5" t="inlineStr">
        <is>
          <t>Hyderabad</t>
        </is>
      </c>
      <c r="J1856" s="5" t="inlineStr">
        <is>
          <t>Full-Time</t>
        </is>
      </c>
      <c r="K1856" s="7" t="n">
        <v>43966</v>
      </c>
      <c r="L1856" s="7" t="n">
        <v>44062</v>
      </c>
      <c r="M1856" s="5" t="inlineStr">
        <is>
          <t>No</t>
        </is>
      </c>
      <c r="N1856" s="5" t="inlineStr">
        <is>
          <t>Retirement</t>
        </is>
      </c>
      <c r="O1856" s="8" t="inlineStr">
        <is>
          <t>87500</t>
        </is>
      </c>
      <c r="P1856" s="5" t="inlineStr">
        <is>
          <t>5</t>
        </is>
      </c>
      <c r="Q1856" s="5" t="inlineStr">
        <is>
          <t>3</t>
        </is>
      </c>
      <c r="R1856" s="5" t="inlineStr">
        <is>
          <t>1</t>
        </is>
      </c>
      <c r="S1856" s="5" t="inlineStr">
        <is>
          <t>3</t>
        </is>
      </c>
      <c r="T1856" s="5" t="inlineStr">
        <is>
          <t>6</t>
        </is>
      </c>
      <c r="U1856" s="5" t="inlineStr">
        <is>
          <t>OK</t>
        </is>
      </c>
    </row>
    <row r="1857">
      <c r="A1857" s="5" t="inlineStr">
        <is>
          <t>E00753</t>
        </is>
      </c>
      <c r="B1857" s="5" t="inlineStr">
        <is>
          <t>Female</t>
        </is>
      </c>
      <c r="C1857" s="6" t="inlineStr">
        <is>
          <t>36</t>
        </is>
      </c>
      <c r="D1857" s="5" t="inlineStr">
        <is>
          <t>Married</t>
        </is>
      </c>
      <c r="E1857" s="5" t="inlineStr">
        <is>
          <t>PhD</t>
        </is>
      </c>
      <c r="F1857" s="5" t="inlineStr">
        <is>
          <t>Research &amp; Development</t>
        </is>
      </c>
      <c r="G1857" s="5" t="inlineStr">
        <is>
          <t>Data Scientist</t>
        </is>
      </c>
      <c r="H1857" s="5" t="inlineStr">
        <is>
          <t>2</t>
        </is>
      </c>
      <c r="I1857" s="5" t="inlineStr">
        <is>
          <t>Remote</t>
        </is>
      </c>
      <c r="J1857" s="5" t="inlineStr">
        <is>
          <t>Full-Time</t>
        </is>
      </c>
      <c r="K1857" s="7" t="n">
        <v>44764</v>
      </c>
      <c r="L1857" s="7" t="inlineStr"/>
      <c r="M1857" s="5" t="inlineStr">
        <is>
          <t>Yes</t>
        </is>
      </c>
      <c r="N1857" s="5" t="inlineStr"/>
      <c r="O1857" s="8" t="inlineStr">
        <is>
          <t>153500</t>
        </is>
      </c>
      <c r="P1857" s="5" t="inlineStr">
        <is>
          <t>0</t>
        </is>
      </c>
      <c r="Q1857" s="5" t="inlineStr">
        <is>
          <t>3</t>
        </is>
      </c>
      <c r="R1857" s="5" t="inlineStr">
        <is>
          <t>7</t>
        </is>
      </c>
      <c r="S1857" s="5" t="inlineStr">
        <is>
          <t>41</t>
        </is>
      </c>
      <c r="T1857" s="5" t="inlineStr">
        <is>
          <t>9</t>
        </is>
      </c>
      <c r="U1857" s="5" t="inlineStr">
        <is>
          <t>OK</t>
        </is>
      </c>
    </row>
    <row r="1858">
      <c r="A1858" s="5" t="inlineStr">
        <is>
          <t>E02223</t>
        </is>
      </c>
      <c r="B1858" s="5" t="inlineStr">
        <is>
          <t>Female</t>
        </is>
      </c>
      <c r="C1858" s="6" t="inlineStr">
        <is>
          <t>35</t>
        </is>
      </c>
      <c r="D1858" s="5" t="inlineStr">
        <is>
          <t>Married</t>
        </is>
      </c>
      <c r="E1858" s="5" t="inlineStr">
        <is>
          <t>Bachelor</t>
        </is>
      </c>
      <c r="F1858" s="5" t="inlineStr">
        <is>
          <t>Sales</t>
        </is>
      </c>
      <c r="G1858" s="5" t="inlineStr">
        <is>
          <t>Sales Executive</t>
        </is>
      </c>
      <c r="H1858" s="5" t="inlineStr">
        <is>
          <t>3</t>
        </is>
      </c>
      <c r="I1858" s="5" t="inlineStr">
        <is>
          <t>Hyderabad</t>
        </is>
      </c>
      <c r="J1858" s="5" t="inlineStr">
        <is>
          <t>Contract</t>
        </is>
      </c>
      <c r="K1858" s="7" t="n">
        <v>44870</v>
      </c>
      <c r="L1858" s="7" t="inlineStr"/>
      <c r="M1858" s="5" t="inlineStr">
        <is>
          <t>Yes</t>
        </is>
      </c>
      <c r="N1858" s="5" t="inlineStr"/>
      <c r="O1858" s="8" t="inlineStr">
        <is>
          <t>93000</t>
        </is>
      </c>
      <c r="P1858" s="5" t="inlineStr">
        <is>
          <t>0</t>
        </is>
      </c>
      <c r="Q1858" s="5" t="inlineStr">
        <is>
          <t>3</t>
        </is>
      </c>
      <c r="R1858" s="5" t="inlineStr">
        <is>
          <t>6</t>
        </is>
      </c>
      <c r="S1858" s="5" t="inlineStr">
        <is>
          <t>38</t>
        </is>
      </c>
      <c r="T1858" s="5" t="inlineStr">
        <is>
          <t>7</t>
        </is>
      </c>
      <c r="U1858" s="5" t="inlineStr">
        <is>
          <t>OK</t>
        </is>
      </c>
    </row>
    <row r="1859">
      <c r="A1859" s="5" t="inlineStr">
        <is>
          <t>E00931</t>
        </is>
      </c>
      <c r="B1859" s="5" t="inlineStr">
        <is>
          <t>Male</t>
        </is>
      </c>
      <c r="C1859" s="6" t="inlineStr">
        <is>
          <t>40</t>
        </is>
      </c>
      <c r="D1859" s="5" t="inlineStr">
        <is>
          <t>Married</t>
        </is>
      </c>
      <c r="E1859" s="5" t="inlineStr">
        <is>
          <t>Master</t>
        </is>
      </c>
      <c r="F1859" s="5" t="inlineStr">
        <is>
          <t>Customer Support</t>
        </is>
      </c>
      <c r="G1859" s="5" t="inlineStr">
        <is>
          <t>Support Lead</t>
        </is>
      </c>
      <c r="H1859" s="5" t="inlineStr">
        <is>
          <t>6</t>
        </is>
      </c>
      <c r="I1859" s="5" t="inlineStr">
        <is>
          <t>Delhi</t>
        </is>
      </c>
      <c r="J1859" s="5" t="inlineStr">
        <is>
          <t>Full-Time</t>
        </is>
      </c>
      <c r="K1859" s="7" t="n">
        <v>44400</v>
      </c>
      <c r="L1859" s="7" t="inlineStr"/>
      <c r="M1859" s="5" t="inlineStr">
        <is>
          <t>Yes</t>
        </is>
      </c>
      <c r="N1859" s="5" t="inlineStr"/>
      <c r="O1859" s="8" t="inlineStr">
        <is>
          <t>83500</t>
        </is>
      </c>
      <c r="P1859" s="5" t="inlineStr">
        <is>
          <t>10</t>
        </is>
      </c>
      <c r="Q1859" s="5" t="inlineStr">
        <is>
          <t>5</t>
        </is>
      </c>
      <c r="R1859" s="5" t="inlineStr">
        <is>
          <t>7</t>
        </is>
      </c>
      <c r="S1859" s="5" t="inlineStr">
        <is>
          <t>54</t>
        </is>
      </c>
      <c r="T1859" s="5" t="inlineStr">
        <is>
          <t>2</t>
        </is>
      </c>
      <c r="U1859" s="5" t="inlineStr">
        <is>
          <t>OK</t>
        </is>
      </c>
    </row>
    <row r="1860">
      <c r="A1860" s="5" t="inlineStr">
        <is>
          <t>E02132</t>
        </is>
      </c>
      <c r="B1860" s="5" t="inlineStr">
        <is>
          <t>Female</t>
        </is>
      </c>
      <c r="C1860" s="6" t="inlineStr">
        <is>
          <t>27</t>
        </is>
      </c>
      <c r="D1860" s="5" t="inlineStr">
        <is>
          <t>Single</t>
        </is>
      </c>
      <c r="E1860" s="5" t="inlineStr">
        <is>
          <t>Bachelor</t>
        </is>
      </c>
      <c r="F1860" s="5" t="inlineStr">
        <is>
          <t>Sales</t>
        </is>
      </c>
      <c r="G1860" s="5" t="inlineStr">
        <is>
          <t>Business Development</t>
        </is>
      </c>
      <c r="H1860" s="5" t="inlineStr">
        <is>
          <t>2</t>
        </is>
      </c>
      <c r="I1860" s="5" t="inlineStr">
        <is>
          <t>Hyderabad</t>
        </is>
      </c>
      <c r="J1860" s="5" t="inlineStr">
        <is>
          <t>Full-Time</t>
        </is>
      </c>
      <c r="K1860" s="7" t="n">
        <v>44018</v>
      </c>
      <c r="L1860" s="7" t="inlineStr"/>
      <c r="M1860" s="5" t="inlineStr">
        <is>
          <t>Yes</t>
        </is>
      </c>
      <c r="N1860" s="5" t="inlineStr"/>
      <c r="O1860" s="8" t="inlineStr">
        <is>
          <t>91000</t>
        </is>
      </c>
      <c r="P1860" s="5" t="inlineStr">
        <is>
          <t>15</t>
        </is>
      </c>
      <c r="Q1860" s="5" t="inlineStr">
        <is>
          <t>3</t>
        </is>
      </c>
      <c r="R1860" s="5" t="inlineStr">
        <is>
          <t>4</t>
        </is>
      </c>
      <c r="S1860" s="5" t="inlineStr">
        <is>
          <t>66</t>
        </is>
      </c>
      <c r="T1860" s="5" t="inlineStr">
        <is>
          <t>10</t>
        </is>
      </c>
      <c r="U1860" s="5" t="inlineStr">
        <is>
          <t>OK</t>
        </is>
      </c>
    </row>
    <row r="1861">
      <c r="A1861" s="5" t="inlineStr">
        <is>
          <t>E01820</t>
        </is>
      </c>
      <c r="B1861" s="5" t="inlineStr">
        <is>
          <t>Female</t>
        </is>
      </c>
      <c r="C1861" s="6" t="inlineStr">
        <is>
          <t>30</t>
        </is>
      </c>
      <c r="D1861" s="5" t="inlineStr">
        <is>
          <t>Married</t>
        </is>
      </c>
      <c r="E1861" s="5" t="inlineStr">
        <is>
          <t>Bachelor</t>
        </is>
      </c>
      <c r="F1861" s="5" t="inlineStr">
        <is>
          <t>Sales</t>
        </is>
      </c>
      <c r="G1861" s="5" t="inlineStr">
        <is>
          <t>Account Executive</t>
        </is>
      </c>
      <c r="H1861" s="5" t="inlineStr">
        <is>
          <t>3</t>
        </is>
      </c>
      <c r="I1861" s="5" t="inlineStr">
        <is>
          <t>Hyderabad</t>
        </is>
      </c>
      <c r="J1861" s="5" t="inlineStr">
        <is>
          <t>Full-Time</t>
        </is>
      </c>
      <c r="K1861" s="7" t="n">
        <v>43928</v>
      </c>
      <c r="L1861" s="7" t="inlineStr"/>
      <c r="M1861" s="5" t="inlineStr">
        <is>
          <t>Yes</t>
        </is>
      </c>
      <c r="N1861" s="5" t="inlineStr"/>
      <c r="O1861" s="8" t="inlineStr">
        <is>
          <t>131500</t>
        </is>
      </c>
      <c r="P1861" s="5" t="inlineStr">
        <is>
          <t>10</t>
        </is>
      </c>
      <c r="Q1861" s="5" t="inlineStr">
        <is>
          <t>3</t>
        </is>
      </c>
      <c r="R1861" s="5" t="inlineStr">
        <is>
          <t>6</t>
        </is>
      </c>
      <c r="S1861" s="5" t="inlineStr">
        <is>
          <t>69</t>
        </is>
      </c>
      <c r="T1861" s="5" t="inlineStr">
        <is>
          <t>7</t>
        </is>
      </c>
      <c r="U1861" s="5" t="inlineStr">
        <is>
          <t>OK</t>
        </is>
      </c>
    </row>
    <row r="1862">
      <c r="A1862" s="5" t="inlineStr">
        <is>
          <t>E02447</t>
        </is>
      </c>
      <c r="B1862" s="5" t="inlineStr">
        <is>
          <t>Male</t>
        </is>
      </c>
      <c r="C1862" s="6" t="inlineStr">
        <is>
          <t>33</t>
        </is>
      </c>
      <c r="D1862" s="5" t="inlineStr">
        <is>
          <t>Married</t>
        </is>
      </c>
      <c r="E1862" s="5" t="inlineStr">
        <is>
          <t>Diploma</t>
        </is>
      </c>
      <c r="F1862" s="5" t="inlineStr">
        <is>
          <t>Operations</t>
        </is>
      </c>
      <c r="G1862" s="5" t="inlineStr">
        <is>
          <t>Quality Analyst</t>
        </is>
      </c>
      <c r="H1862" s="5" t="inlineStr">
        <is>
          <t>2</t>
        </is>
      </c>
      <c r="I1862" s="5" t="inlineStr">
        <is>
          <t>Remote</t>
        </is>
      </c>
      <c r="J1862" s="5" t="inlineStr">
        <is>
          <t>Full-Time</t>
        </is>
      </c>
      <c r="K1862" s="7" t="n">
        <v>44858</v>
      </c>
      <c r="L1862" s="7" t="inlineStr"/>
      <c r="M1862" s="5" t="inlineStr">
        <is>
          <t>Yes</t>
        </is>
      </c>
      <c r="N1862" s="5" t="inlineStr"/>
      <c r="O1862" s="8" t="inlineStr">
        <is>
          <t>100500</t>
        </is>
      </c>
      <c r="P1862" s="5" t="inlineStr">
        <is>
          <t>0</t>
        </is>
      </c>
      <c r="Q1862" s="5" t="inlineStr">
        <is>
          <t>2</t>
        </is>
      </c>
      <c r="R1862" s="5" t="inlineStr">
        <is>
          <t>4</t>
        </is>
      </c>
      <c r="S1862" s="5" t="inlineStr">
        <is>
          <t>38</t>
        </is>
      </c>
      <c r="T1862" s="5" t="inlineStr">
        <is>
          <t>4</t>
        </is>
      </c>
      <c r="U1862" s="5" t="inlineStr">
        <is>
          <t>OK</t>
        </is>
      </c>
    </row>
    <row r="1863">
      <c r="A1863" s="5" t="inlineStr">
        <is>
          <t>E02045</t>
        </is>
      </c>
      <c r="B1863" s="5" t="inlineStr">
        <is>
          <t>Male</t>
        </is>
      </c>
      <c r="C1863" s="6" t="inlineStr">
        <is>
          <t>33</t>
        </is>
      </c>
      <c r="D1863" s="5" t="inlineStr">
        <is>
          <t>Married</t>
        </is>
      </c>
      <c r="E1863" s="5" t="inlineStr">
        <is>
          <t>High School</t>
        </is>
      </c>
      <c r="F1863" s="5" t="inlineStr">
        <is>
          <t>Sales</t>
        </is>
      </c>
      <c r="G1863" s="5" t="inlineStr">
        <is>
          <t>Account Executive</t>
        </is>
      </c>
      <c r="H1863" s="5" t="inlineStr">
        <is>
          <t>2</t>
        </is>
      </c>
      <c r="I1863" s="5" t="inlineStr">
        <is>
          <t>Chennai</t>
        </is>
      </c>
      <c r="J1863" s="5" t="inlineStr">
        <is>
          <t>Part-Time</t>
        </is>
      </c>
      <c r="K1863" s="7" t="n">
        <v>44368</v>
      </c>
      <c r="L1863" s="7" t="n">
        <v>44502</v>
      </c>
      <c r="M1863" s="5" t="inlineStr">
        <is>
          <t>No</t>
        </is>
      </c>
      <c r="N1863" s="5" t="inlineStr">
        <is>
          <t>Resigned</t>
        </is>
      </c>
      <c r="O1863" s="8" t="inlineStr">
        <is>
          <t>103000</t>
        </is>
      </c>
      <c r="P1863" s="5" t="inlineStr">
        <is>
          <t>5</t>
        </is>
      </c>
      <c r="Q1863" s="5" t="inlineStr">
        <is>
          <t>5</t>
        </is>
      </c>
      <c r="R1863" s="5" t="inlineStr">
        <is>
          <t>8</t>
        </is>
      </c>
      <c r="S1863" s="5" t="inlineStr">
        <is>
          <t>4</t>
        </is>
      </c>
      <c r="T1863" s="5" t="inlineStr">
        <is>
          <t>0</t>
        </is>
      </c>
      <c r="U1863" s="5" t="inlineStr">
        <is>
          <t>OK</t>
        </is>
      </c>
    </row>
    <row r="1864">
      <c r="A1864" s="5" t="inlineStr">
        <is>
          <t>E02469</t>
        </is>
      </c>
      <c r="B1864" s="5" t="inlineStr">
        <is>
          <t>Female</t>
        </is>
      </c>
      <c r="C1864" s="6" t="inlineStr">
        <is>
          <t>36</t>
        </is>
      </c>
      <c r="D1864" s="5" t="inlineStr">
        <is>
          <t>Married</t>
        </is>
      </c>
      <c r="E1864" s="5" t="inlineStr">
        <is>
          <t>Bachelor</t>
        </is>
      </c>
      <c r="F1864" s="5" t="inlineStr">
        <is>
          <t>Research &amp; Development</t>
        </is>
      </c>
      <c r="G1864" s="5" t="inlineStr">
        <is>
          <t>Product Engineer</t>
        </is>
      </c>
      <c r="H1864" s="5" t="inlineStr">
        <is>
          <t>3</t>
        </is>
      </c>
      <c r="I1864" s="5" t="inlineStr">
        <is>
          <t>Hyderabad</t>
        </is>
      </c>
      <c r="J1864" s="5" t="inlineStr">
        <is>
          <t>Full-Time</t>
        </is>
      </c>
      <c r="K1864" s="7" t="n">
        <v>45134</v>
      </c>
      <c r="L1864" s="7" t="inlineStr"/>
      <c r="M1864" s="5" t="inlineStr">
        <is>
          <t>Yes</t>
        </is>
      </c>
      <c r="N1864" s="5" t="inlineStr"/>
      <c r="O1864" s="8" t="inlineStr">
        <is>
          <t>209000</t>
        </is>
      </c>
      <c r="P1864" s="5" t="inlineStr">
        <is>
          <t>5</t>
        </is>
      </c>
      <c r="Q1864" s="5" t="inlineStr">
        <is>
          <t>5</t>
        </is>
      </c>
      <c r="R1864" s="5" t="inlineStr">
        <is>
          <t>8</t>
        </is>
      </c>
      <c r="S1864" s="5" t="inlineStr">
        <is>
          <t>29</t>
        </is>
      </c>
      <c r="T1864" s="5" t="inlineStr">
        <is>
          <t>2</t>
        </is>
      </c>
      <c r="U1864" s="5" t="inlineStr">
        <is>
          <t>OK</t>
        </is>
      </c>
    </row>
    <row r="1865">
      <c r="A1865" s="5" t="inlineStr">
        <is>
          <t>E01821</t>
        </is>
      </c>
      <c r="B1865" s="5" t="inlineStr">
        <is>
          <t>Male</t>
        </is>
      </c>
      <c r="C1865" s="6" t="inlineStr">
        <is>
          <t>44</t>
        </is>
      </c>
      <c r="D1865" s="5" t="inlineStr">
        <is>
          <t>Single</t>
        </is>
      </c>
      <c r="E1865" s="5" t="inlineStr">
        <is>
          <t>Diploma</t>
        </is>
      </c>
      <c r="F1865" s="5" t="inlineStr">
        <is>
          <t>Human Resources</t>
        </is>
      </c>
      <c r="G1865" s="5" t="inlineStr">
        <is>
          <t>Recruiter</t>
        </is>
      </c>
      <c r="H1865" s="5" t="inlineStr">
        <is>
          <t>7</t>
        </is>
      </c>
      <c r="I1865" s="5" t="inlineStr">
        <is>
          <t>Delhi</t>
        </is>
      </c>
      <c r="J1865" s="5" t="inlineStr">
        <is>
          <t>Full-Time</t>
        </is>
      </c>
      <c r="K1865" s="7" t="n">
        <v>43957</v>
      </c>
      <c r="L1865" s="7" t="inlineStr"/>
      <c r="M1865" s="5" t="inlineStr">
        <is>
          <t>Yes</t>
        </is>
      </c>
      <c r="N1865" s="5" t="inlineStr"/>
      <c r="O1865" s="8" t="inlineStr">
        <is>
          <t>148000</t>
        </is>
      </c>
      <c r="P1865" s="5" t="inlineStr">
        <is>
          <t>5</t>
        </is>
      </c>
      <c r="Q1865" s="5" t="inlineStr">
        <is>
          <t>4</t>
        </is>
      </c>
      <c r="R1865" s="5" t="inlineStr">
        <is>
          <t>6</t>
        </is>
      </c>
      <c r="S1865" s="5" t="inlineStr">
        <is>
          <t>68</t>
        </is>
      </c>
      <c r="T1865" s="5" t="inlineStr">
        <is>
          <t>17</t>
        </is>
      </c>
      <c r="U1865" s="5" t="inlineStr">
        <is>
          <t>OK</t>
        </is>
      </c>
    </row>
    <row r="1866">
      <c r="A1866" s="5" t="inlineStr">
        <is>
          <t>E00451</t>
        </is>
      </c>
      <c r="B1866" s="5" t="inlineStr">
        <is>
          <t>Male</t>
        </is>
      </c>
      <c r="C1866" s="6" t="inlineStr">
        <is>
          <t>36</t>
        </is>
      </c>
      <c r="D1866" s="5" t="inlineStr">
        <is>
          <t>Single</t>
        </is>
      </c>
      <c r="E1866" s="5" t="inlineStr">
        <is>
          <t>Bachelor</t>
        </is>
      </c>
      <c r="F1866" s="5" t="inlineStr">
        <is>
          <t>IT</t>
        </is>
      </c>
      <c r="G1866" s="5" t="inlineStr">
        <is>
          <t>Software Engineer</t>
        </is>
      </c>
      <c r="H1866" s="5" t="inlineStr">
        <is>
          <t>3</t>
        </is>
      </c>
      <c r="I1866" s="5" t="inlineStr">
        <is>
          <t>Delhi</t>
        </is>
      </c>
      <c r="J1866" s="5" t="inlineStr">
        <is>
          <t>Full-Time</t>
        </is>
      </c>
      <c r="K1866" s="7" t="n">
        <v>43845</v>
      </c>
      <c r="L1866" s="7" t="inlineStr"/>
      <c r="M1866" s="5" t="inlineStr">
        <is>
          <t>Yes</t>
        </is>
      </c>
      <c r="N1866" s="5" t="inlineStr"/>
      <c r="O1866" s="8" t="inlineStr">
        <is>
          <t>176000</t>
        </is>
      </c>
      <c r="P1866" s="5" t="inlineStr">
        <is>
          <t>15</t>
        </is>
      </c>
      <c r="Q1866" s="5" t="inlineStr">
        <is>
          <t>4</t>
        </is>
      </c>
      <c r="R1866" s="5" t="inlineStr">
        <is>
          <t>7</t>
        </is>
      </c>
      <c r="S1866" s="5" t="inlineStr">
        <is>
          <t>72</t>
        </is>
      </c>
      <c r="T1866" s="5" t="inlineStr">
        <is>
          <t>15</t>
        </is>
      </c>
      <c r="U1866" s="5" t="inlineStr">
        <is>
          <t>OK</t>
        </is>
      </c>
    </row>
    <row r="1867">
      <c r="A1867" s="5" t="inlineStr">
        <is>
          <t>E01818</t>
        </is>
      </c>
      <c r="B1867" s="5" t="inlineStr">
        <is>
          <t>Male</t>
        </is>
      </c>
      <c r="C1867" s="6" t="inlineStr">
        <is>
          <t>30</t>
        </is>
      </c>
      <c r="D1867" s="5" t="inlineStr">
        <is>
          <t>Married</t>
        </is>
      </c>
      <c r="E1867" s="5" t="inlineStr">
        <is>
          <t>PhD</t>
        </is>
      </c>
      <c r="F1867" s="5" t="inlineStr"/>
      <c r="G1867" s="5" t="inlineStr">
        <is>
          <t>Operations Analyst</t>
        </is>
      </c>
      <c r="H1867" s="5" t="inlineStr">
        <is>
          <t>2</t>
        </is>
      </c>
      <c r="I1867" s="5" t="inlineStr">
        <is>
          <t>Chennai</t>
        </is>
      </c>
      <c r="J1867" s="5" t="inlineStr">
        <is>
          <t>Full-Time</t>
        </is>
      </c>
      <c r="K1867" s="7" t="n">
        <v>45469</v>
      </c>
      <c r="L1867" s="7" t="n">
        <v>45568</v>
      </c>
      <c r="M1867" s="5" t="inlineStr">
        <is>
          <t>No</t>
        </is>
      </c>
      <c r="N1867" s="5" t="inlineStr">
        <is>
          <t>Resigned</t>
        </is>
      </c>
      <c r="O1867" s="8" t="inlineStr">
        <is>
          <t>72000</t>
        </is>
      </c>
      <c r="P1867" s="5" t="inlineStr">
        <is>
          <t>0</t>
        </is>
      </c>
      <c r="Q1867" s="5" t="inlineStr">
        <is>
          <t>4</t>
        </is>
      </c>
      <c r="R1867" s="5" t="inlineStr">
        <is>
          <t>5</t>
        </is>
      </c>
      <c r="S1867" s="5" t="inlineStr">
        <is>
          <t>3</t>
        </is>
      </c>
      <c r="T1867" s="5" t="inlineStr">
        <is>
          <t>13</t>
        </is>
      </c>
      <c r="U1867" s="5" t="inlineStr">
        <is>
          <t>Blank department</t>
        </is>
      </c>
    </row>
    <row r="1868">
      <c r="A1868" s="5" t="inlineStr">
        <is>
          <t>E02889</t>
        </is>
      </c>
      <c r="B1868" s="5" t="inlineStr">
        <is>
          <t>Female</t>
        </is>
      </c>
      <c r="C1868" s="6" t="inlineStr">
        <is>
          <t>32</t>
        </is>
      </c>
      <c r="D1868" s="5" t="inlineStr">
        <is>
          <t>Single</t>
        </is>
      </c>
      <c r="E1868" s="5" t="inlineStr">
        <is>
          <t>Diploma</t>
        </is>
      </c>
      <c r="F1868" s="5" t="inlineStr">
        <is>
          <t>Marketing</t>
        </is>
      </c>
      <c r="G1868" s="5" t="inlineStr">
        <is>
          <t>Marketing Analyst</t>
        </is>
      </c>
      <c r="H1868" s="5" t="inlineStr">
        <is>
          <t>3</t>
        </is>
      </c>
      <c r="I1868" s="5" t="inlineStr">
        <is>
          <t>Chennai</t>
        </is>
      </c>
      <c r="J1868" s="5" t="inlineStr">
        <is>
          <t>Full-Time</t>
        </is>
      </c>
      <c r="K1868" s="7" t="n">
        <v>45225</v>
      </c>
      <c r="L1868" s="7" t="inlineStr"/>
      <c r="M1868" s="5" t="inlineStr">
        <is>
          <t>Yes</t>
        </is>
      </c>
      <c r="N1868" s="5" t="inlineStr"/>
      <c r="O1868" s="8" t="inlineStr">
        <is>
          <t>112500</t>
        </is>
      </c>
      <c r="P1868" s="5" t="inlineStr">
        <is>
          <t>15</t>
        </is>
      </c>
      <c r="Q1868" s="5" t="inlineStr">
        <is>
          <t>3</t>
        </is>
      </c>
      <c r="R1868" s="5" t="inlineStr">
        <is>
          <t>3</t>
        </is>
      </c>
      <c r="S1868" s="5" t="inlineStr">
        <is>
          <t>26</t>
        </is>
      </c>
      <c r="T1868" s="5" t="inlineStr">
        <is>
          <t>1</t>
        </is>
      </c>
      <c r="U1868" s="5" t="inlineStr">
        <is>
          <t>OK</t>
        </is>
      </c>
    </row>
    <row r="1869">
      <c r="A1869" s="5" t="inlineStr">
        <is>
          <t>E01272</t>
        </is>
      </c>
      <c r="B1869" s="5" t="inlineStr">
        <is>
          <t>Female</t>
        </is>
      </c>
      <c r="C1869" s="6" t="inlineStr">
        <is>
          <t>41</t>
        </is>
      </c>
      <c r="D1869" s="5" t="inlineStr">
        <is>
          <t>Married</t>
        </is>
      </c>
      <c r="E1869" s="5" t="inlineStr">
        <is>
          <t>Diploma</t>
        </is>
      </c>
      <c r="F1869" s="5" t="inlineStr">
        <is>
          <t>Sales</t>
        </is>
      </c>
      <c r="G1869" s="5" t="inlineStr">
        <is>
          <t>Account Executive</t>
        </is>
      </c>
      <c r="H1869" s="5" t="inlineStr">
        <is>
          <t>7</t>
        </is>
      </c>
      <c r="I1869" s="5" t="inlineStr">
        <is>
          <t>Delhi</t>
        </is>
      </c>
      <c r="J1869" s="5" t="inlineStr">
        <is>
          <t>Full-Time</t>
        </is>
      </c>
      <c r="K1869" s="7" t="n">
        <v>44117</v>
      </c>
      <c r="L1869" s="7" t="inlineStr"/>
      <c r="M1869" s="5" t="inlineStr">
        <is>
          <t>Yes</t>
        </is>
      </c>
      <c r="N1869" s="5" t="inlineStr"/>
      <c r="O1869" s="8" t="inlineStr">
        <is>
          <t>168500</t>
        </is>
      </c>
      <c r="P1869" s="5" t="inlineStr">
        <is>
          <t>10</t>
        </is>
      </c>
      <c r="Q1869" s="5" t="inlineStr">
        <is>
          <t>5</t>
        </is>
      </c>
      <c r="R1869" s="5" t="inlineStr">
        <is>
          <t>6</t>
        </is>
      </c>
      <c r="S1869" s="5" t="inlineStr">
        <is>
          <t>63</t>
        </is>
      </c>
      <c r="T1869" s="5" t="inlineStr">
        <is>
          <t>0</t>
        </is>
      </c>
      <c r="U1869" s="5" t="inlineStr">
        <is>
          <t>OK</t>
        </is>
      </c>
    </row>
    <row r="1870">
      <c r="A1870" s="5" t="inlineStr">
        <is>
          <t>E02095</t>
        </is>
      </c>
      <c r="B1870" s="5" t="inlineStr">
        <is>
          <t>Male</t>
        </is>
      </c>
      <c r="C1870" s="6" t="inlineStr">
        <is>
          <t>30</t>
        </is>
      </c>
      <c r="D1870" s="5" t="inlineStr">
        <is>
          <t>Married</t>
        </is>
      </c>
      <c r="E1870" s="5" t="inlineStr">
        <is>
          <t>Master</t>
        </is>
      </c>
      <c r="F1870" s="5" t="inlineStr">
        <is>
          <t>IT</t>
        </is>
      </c>
      <c r="G1870" s="5" t="inlineStr">
        <is>
          <t>IT Support</t>
        </is>
      </c>
      <c r="H1870" s="5" t="inlineStr">
        <is>
          <t>1</t>
        </is>
      </c>
      <c r="I1870" s="5" t="inlineStr">
        <is>
          <t>Delhi</t>
        </is>
      </c>
      <c r="J1870" s="5" t="inlineStr">
        <is>
          <t>Full-Time</t>
        </is>
      </c>
      <c r="K1870" s="7" t="n">
        <v>44541</v>
      </c>
      <c r="L1870" s="7" t="inlineStr"/>
      <c r="M1870" s="5" t="inlineStr">
        <is>
          <t>Yes</t>
        </is>
      </c>
      <c r="N1870" s="5" t="inlineStr"/>
      <c r="O1870" s="8" t="inlineStr">
        <is>
          <t>87000</t>
        </is>
      </c>
      <c r="P1870" s="5" t="inlineStr">
        <is>
          <t>5</t>
        </is>
      </c>
      <c r="Q1870" s="5" t="inlineStr">
        <is>
          <t>4</t>
        </is>
      </c>
      <c r="R1870" s="5" t="inlineStr">
        <is>
          <t>6</t>
        </is>
      </c>
      <c r="S1870" s="5" t="inlineStr">
        <is>
          <t>49</t>
        </is>
      </c>
      <c r="T1870" s="5" t="inlineStr">
        <is>
          <t>13</t>
        </is>
      </c>
      <c r="U1870" s="5" t="inlineStr">
        <is>
          <t>OK</t>
        </is>
      </c>
    </row>
    <row r="1871">
      <c r="A1871" s="5" t="inlineStr">
        <is>
          <t>E01740</t>
        </is>
      </c>
      <c r="B1871" s="5" t="inlineStr">
        <is>
          <t>Male</t>
        </is>
      </c>
      <c r="C1871" s="6" t="inlineStr">
        <is>
          <t>32</t>
        </is>
      </c>
      <c r="D1871" s="5" t="inlineStr">
        <is>
          <t>Married</t>
        </is>
      </c>
      <c r="E1871" s="5" t="inlineStr">
        <is>
          <t>Diploma</t>
        </is>
      </c>
      <c r="F1871" s="5" t="inlineStr">
        <is>
          <t>IT</t>
        </is>
      </c>
      <c r="G1871" s="5" t="inlineStr">
        <is>
          <t>Software Engineer</t>
        </is>
      </c>
      <c r="H1871" s="5" t="inlineStr">
        <is>
          <t>1</t>
        </is>
      </c>
      <c r="I1871" s="5" t="inlineStr">
        <is>
          <t>Remote</t>
        </is>
      </c>
      <c r="J1871" s="5" t="inlineStr">
        <is>
          <t>Full-Time</t>
        </is>
      </c>
      <c r="K1871" s="7" t="n">
        <v>45116</v>
      </c>
      <c r="L1871" s="7" t="inlineStr"/>
      <c r="M1871" s="5" t="inlineStr">
        <is>
          <t>Yes</t>
        </is>
      </c>
      <c r="N1871" s="5" t="inlineStr"/>
      <c r="O1871" s="8" t="inlineStr">
        <is>
          <t>123000</t>
        </is>
      </c>
      <c r="P1871" s="5" t="inlineStr">
        <is>
          <t>10</t>
        </is>
      </c>
      <c r="Q1871" s="5" t="inlineStr">
        <is>
          <t>3</t>
        </is>
      </c>
      <c r="R1871" s="5" t="inlineStr">
        <is>
          <t>3</t>
        </is>
      </c>
      <c r="S1871" s="5" t="inlineStr">
        <is>
          <t>30</t>
        </is>
      </c>
      <c r="T1871" s="5" t="inlineStr">
        <is>
          <t>9</t>
        </is>
      </c>
      <c r="U1871" s="5" t="inlineStr">
        <is>
          <t>OK</t>
        </is>
      </c>
    </row>
    <row r="1872">
      <c r="A1872" s="5" t="inlineStr">
        <is>
          <t>E00365</t>
        </is>
      </c>
      <c r="B1872" s="5" t="inlineStr">
        <is>
          <t>Male</t>
        </is>
      </c>
      <c r="C1872" s="6" t="inlineStr">
        <is>
          <t>29</t>
        </is>
      </c>
      <c r="D1872" s="5" t="inlineStr">
        <is>
          <t>Single</t>
        </is>
      </c>
      <c r="E1872" s="5" t="inlineStr">
        <is>
          <t>Master</t>
        </is>
      </c>
      <c r="F1872" s="5" t="inlineStr">
        <is>
          <t>Operations</t>
        </is>
      </c>
      <c r="G1872" s="5" t="inlineStr">
        <is>
          <t>Quality Analyst</t>
        </is>
      </c>
      <c r="H1872" s="5" t="inlineStr">
        <is>
          <t>2</t>
        </is>
      </c>
      <c r="I1872" s="5" t="inlineStr">
        <is>
          <t>Mumbai</t>
        </is>
      </c>
      <c r="J1872" s="5" t="inlineStr">
        <is>
          <t>Full-Time</t>
        </is>
      </c>
      <c r="K1872" s="7" t="n">
        <v>45570</v>
      </c>
      <c r="L1872" s="7" t="inlineStr"/>
      <c r="M1872" s="5" t="inlineStr">
        <is>
          <t>Yes</t>
        </is>
      </c>
      <c r="N1872" s="5" t="inlineStr"/>
      <c r="O1872" s="8" t="inlineStr">
        <is>
          <t>103500</t>
        </is>
      </c>
      <c r="P1872" s="5" t="inlineStr">
        <is>
          <t>5</t>
        </is>
      </c>
      <c r="Q1872" s="5" t="inlineStr">
        <is>
          <t>1</t>
        </is>
      </c>
      <c r="R1872" s="5" t="inlineStr">
        <is>
          <t>1</t>
        </is>
      </c>
      <c r="S1872" s="5" t="inlineStr">
        <is>
          <t>15</t>
        </is>
      </c>
      <c r="T1872" s="5" t="inlineStr">
        <is>
          <t>17</t>
        </is>
      </c>
      <c r="U1872" s="5" t="inlineStr">
        <is>
          <t>OK</t>
        </is>
      </c>
    </row>
    <row r="1873">
      <c r="A1873" s="5" t="inlineStr">
        <is>
          <t>E00324</t>
        </is>
      </c>
      <c r="B1873" s="5" t="inlineStr">
        <is>
          <t>Male</t>
        </is>
      </c>
      <c r="C1873" s="6" t="inlineStr">
        <is>
          <t>33</t>
        </is>
      </c>
      <c r="D1873" s="5" t="inlineStr">
        <is>
          <t>Married</t>
        </is>
      </c>
      <c r="E1873" s="5" t="inlineStr">
        <is>
          <t>High School</t>
        </is>
      </c>
      <c r="F1873" s="5" t="inlineStr">
        <is>
          <t>Human Resources</t>
        </is>
      </c>
      <c r="G1873" s="5" t="inlineStr">
        <is>
          <t>Recruiter</t>
        </is>
      </c>
      <c r="H1873" s="5" t="inlineStr">
        <is>
          <t>3</t>
        </is>
      </c>
      <c r="I1873" s="5" t="inlineStr">
        <is>
          <t>Mumbai</t>
        </is>
      </c>
      <c r="J1873" s="5" t="inlineStr">
        <is>
          <t>Full-Time</t>
        </is>
      </c>
      <c r="K1873" s="7" t="n">
        <v>45640</v>
      </c>
      <c r="L1873" s="7" t="inlineStr"/>
      <c r="M1873" s="5" t="inlineStr">
        <is>
          <t>Yes</t>
        </is>
      </c>
      <c r="N1873" s="5" t="inlineStr"/>
      <c r="O1873" s="8" t="inlineStr">
        <is>
          <t>107500</t>
        </is>
      </c>
      <c r="P1873" s="5" t="inlineStr">
        <is>
          <t>5</t>
        </is>
      </c>
      <c r="Q1873" s="5" t="inlineStr">
        <is>
          <t>5</t>
        </is>
      </c>
      <c r="R1873" s="5" t="inlineStr">
        <is>
          <t>6</t>
        </is>
      </c>
      <c r="S1873" s="5" t="inlineStr">
        <is>
          <t>12</t>
        </is>
      </c>
      <c r="T1873" s="5" t="inlineStr">
        <is>
          <t>7</t>
        </is>
      </c>
      <c r="U1873" s="5" t="inlineStr">
        <is>
          <t>OK</t>
        </is>
      </c>
    </row>
    <row r="1874">
      <c r="A1874" s="5" t="inlineStr">
        <is>
          <t>E00622</t>
        </is>
      </c>
      <c r="B1874" s="5" t="inlineStr">
        <is>
          <t>Male</t>
        </is>
      </c>
      <c r="C1874" s="6" t="inlineStr">
        <is>
          <t>29</t>
        </is>
      </c>
      <c r="D1874" s="5" t="inlineStr">
        <is>
          <t>Married</t>
        </is>
      </c>
      <c r="E1874" s="5" t="inlineStr">
        <is>
          <t>Bachelor</t>
        </is>
      </c>
      <c r="F1874" s="5" t="inlineStr">
        <is>
          <t>Customer Support</t>
        </is>
      </c>
      <c r="G1874" s="5" t="inlineStr">
        <is>
          <t>Support Lead</t>
        </is>
      </c>
      <c r="H1874" s="5" t="inlineStr">
        <is>
          <t>3</t>
        </is>
      </c>
      <c r="I1874" s="5" t="inlineStr">
        <is>
          <t>Bengaluru</t>
        </is>
      </c>
      <c r="J1874" s="5" t="inlineStr">
        <is>
          <t>Full-Time</t>
        </is>
      </c>
      <c r="K1874" s="7" t="n">
        <v>45081</v>
      </c>
      <c r="L1874" s="7" t="inlineStr"/>
      <c r="M1874" s="5" t="inlineStr">
        <is>
          <t>Yes</t>
        </is>
      </c>
      <c r="N1874" s="5" t="inlineStr"/>
      <c r="O1874" s="8" t="inlineStr">
        <is>
          <t>57500</t>
        </is>
      </c>
      <c r="P1874" s="5" t="inlineStr">
        <is>
          <t>5</t>
        </is>
      </c>
      <c r="Q1874" s="5" t="inlineStr">
        <is>
          <t>3</t>
        </is>
      </c>
      <c r="R1874" s="5" t="inlineStr">
        <is>
          <t>10</t>
        </is>
      </c>
      <c r="S1874" s="5" t="inlineStr">
        <is>
          <t>31</t>
        </is>
      </c>
      <c r="T1874" s="5" t="inlineStr">
        <is>
          <t>10</t>
        </is>
      </c>
      <c r="U1874" s="5" t="inlineStr">
        <is>
          <t>OK</t>
        </is>
      </c>
    </row>
    <row r="1875">
      <c r="A1875" s="5" t="inlineStr">
        <is>
          <t>E00142</t>
        </is>
      </c>
      <c r="B1875" s="5" t="inlineStr">
        <is>
          <t>Male</t>
        </is>
      </c>
      <c r="C1875" s="6" t="inlineStr">
        <is>
          <t>32</t>
        </is>
      </c>
      <c r="D1875" s="5" t="inlineStr">
        <is>
          <t>Married</t>
        </is>
      </c>
      <c r="E1875" s="5" t="inlineStr">
        <is>
          <t>Bachelor</t>
        </is>
      </c>
      <c r="F1875" s="5" t="inlineStr">
        <is>
          <t>Finance</t>
        </is>
      </c>
      <c r="G1875" s="5" t="inlineStr">
        <is>
          <t>Accountant</t>
        </is>
      </c>
      <c r="H1875" s="5" t="inlineStr">
        <is>
          <t>1</t>
        </is>
      </c>
      <c r="I1875" s="5" t="inlineStr">
        <is>
          <t>Hyderabad</t>
        </is>
      </c>
      <c r="J1875" s="5" t="inlineStr">
        <is>
          <t>Full-Time</t>
        </is>
      </c>
      <c r="K1875" s="7" t="n">
        <v>44763</v>
      </c>
      <c r="L1875" s="7" t="inlineStr"/>
      <c r="M1875" s="5" t="inlineStr">
        <is>
          <t>Yes</t>
        </is>
      </c>
      <c r="N1875" s="5" t="inlineStr"/>
      <c r="O1875" s="8" t="inlineStr">
        <is>
          <t>114500</t>
        </is>
      </c>
      <c r="P1875" s="5" t="inlineStr">
        <is>
          <t>0</t>
        </is>
      </c>
      <c r="Q1875" s="5" t="inlineStr">
        <is>
          <t>4</t>
        </is>
      </c>
      <c r="R1875" s="5" t="inlineStr">
        <is>
          <t>8</t>
        </is>
      </c>
      <c r="S1875" s="5" t="inlineStr">
        <is>
          <t>41</t>
        </is>
      </c>
      <c r="T1875" s="5" t="inlineStr">
        <is>
          <t>0</t>
        </is>
      </c>
      <c r="U1875" s="5" t="inlineStr">
        <is>
          <t>OK</t>
        </is>
      </c>
    </row>
    <row r="1876">
      <c r="A1876" s="5" t="inlineStr">
        <is>
          <t>E01477</t>
        </is>
      </c>
      <c r="B1876" s="5" t="inlineStr">
        <is>
          <t>Female</t>
        </is>
      </c>
      <c r="C1876" s="6" t="inlineStr">
        <is>
          <t>39</t>
        </is>
      </c>
      <c r="D1876" s="5" t="inlineStr">
        <is>
          <t>Married</t>
        </is>
      </c>
      <c r="E1876" s="5" t="inlineStr">
        <is>
          <t>PhD</t>
        </is>
      </c>
      <c r="F1876" s="5" t="inlineStr">
        <is>
          <t>Operations</t>
        </is>
      </c>
      <c r="G1876" s="5" t="inlineStr">
        <is>
          <t>Operations Analyst</t>
        </is>
      </c>
      <c r="H1876" s="5" t="inlineStr">
        <is>
          <t>7</t>
        </is>
      </c>
      <c r="I1876" s="5" t="inlineStr">
        <is>
          <t>Chennai</t>
        </is>
      </c>
      <c r="J1876" s="5" t="inlineStr">
        <is>
          <t>Full-Time</t>
        </is>
      </c>
      <c r="K1876" s="7" t="n">
        <v>44751</v>
      </c>
      <c r="L1876" s="7" t="inlineStr"/>
      <c r="M1876" s="5" t="inlineStr">
        <is>
          <t>Yes</t>
        </is>
      </c>
      <c r="N1876" s="5" t="inlineStr"/>
      <c r="O1876" s="8" t="inlineStr">
        <is>
          <t>153500</t>
        </is>
      </c>
      <c r="P1876" s="5" t="inlineStr">
        <is>
          <t>0</t>
        </is>
      </c>
      <c r="Q1876" s="5" t="inlineStr">
        <is>
          <t>3</t>
        </is>
      </c>
      <c r="R1876" s="5" t="inlineStr">
        <is>
          <t>10</t>
        </is>
      </c>
      <c r="S1876" s="5" t="inlineStr">
        <is>
          <t>42</t>
        </is>
      </c>
      <c r="T1876" s="5" t="inlineStr">
        <is>
          <t>17</t>
        </is>
      </c>
      <c r="U1876" s="5" t="inlineStr">
        <is>
          <t>OK</t>
        </is>
      </c>
    </row>
    <row r="1877">
      <c r="A1877" s="5" t="inlineStr">
        <is>
          <t>E01031</t>
        </is>
      </c>
      <c r="B1877" s="5" t="inlineStr">
        <is>
          <t>Female</t>
        </is>
      </c>
      <c r="C1877" s="6" t="inlineStr">
        <is>
          <t>250</t>
        </is>
      </c>
      <c r="D1877" s="5" t="inlineStr">
        <is>
          <t>Single</t>
        </is>
      </c>
      <c r="E1877" s="5" t="inlineStr">
        <is>
          <t>Diploma</t>
        </is>
      </c>
      <c r="F1877" s="5" t="inlineStr">
        <is>
          <t>Operations</t>
        </is>
      </c>
      <c r="G1877" s="5" t="inlineStr">
        <is>
          <t>Quality Analyst</t>
        </is>
      </c>
      <c r="H1877" s="5" t="inlineStr">
        <is>
          <t>1</t>
        </is>
      </c>
      <c r="I1877" s="5" t="inlineStr">
        <is>
          <t>Remote</t>
        </is>
      </c>
      <c r="J1877" s="5" t="inlineStr">
        <is>
          <t>Full-Time</t>
        </is>
      </c>
      <c r="K1877" s="7" t="n">
        <v>45241</v>
      </c>
      <c r="L1877" s="7" t="n">
        <v>45313</v>
      </c>
      <c r="M1877" s="5" t="inlineStr">
        <is>
          <t>No</t>
        </is>
      </c>
      <c r="N1877" s="5" t="inlineStr">
        <is>
          <t>Retirement</t>
        </is>
      </c>
      <c r="O1877" s="8" t="inlineStr"/>
      <c r="P1877" s="5" t="inlineStr">
        <is>
          <t>0</t>
        </is>
      </c>
      <c r="Q1877" s="5" t="inlineStr">
        <is>
          <t>4</t>
        </is>
      </c>
      <c r="R1877" s="5" t="inlineStr">
        <is>
          <t>5</t>
        </is>
      </c>
      <c r="S1877" s="5" t="inlineStr">
        <is>
          <t>2</t>
        </is>
      </c>
      <c r="T1877" s="5" t="inlineStr">
        <is>
          <t>14</t>
        </is>
      </c>
      <c r="U1877" s="5" t="inlineStr">
        <is>
          <t>Blank salary; Age typo</t>
        </is>
      </c>
    </row>
    <row r="1878">
      <c r="A1878" s="5" t="inlineStr">
        <is>
          <t>E00345</t>
        </is>
      </c>
      <c r="B1878" s="5" t="inlineStr">
        <is>
          <t>Female</t>
        </is>
      </c>
      <c r="C1878" s="6" t="inlineStr">
        <is>
          <t>26</t>
        </is>
      </c>
      <c r="D1878" s="5" t="inlineStr">
        <is>
          <t>Married</t>
        </is>
      </c>
      <c r="E1878" s="5" t="inlineStr">
        <is>
          <t>Master</t>
        </is>
      </c>
      <c r="F1878" s="5" t="inlineStr">
        <is>
          <t>IT</t>
        </is>
      </c>
      <c r="G1878" s="5" t="inlineStr">
        <is>
          <t>DevOps Engineer</t>
        </is>
      </c>
      <c r="H1878" s="5" t="inlineStr">
        <is>
          <t>2</t>
        </is>
      </c>
      <c r="I1878" s="5" t="inlineStr">
        <is>
          <t>Delhi</t>
        </is>
      </c>
      <c r="J1878" s="5" t="inlineStr">
        <is>
          <t>Full-Time</t>
        </is>
      </c>
      <c r="K1878" s="7" t="n">
        <v>44338</v>
      </c>
      <c r="L1878" s="7" t="inlineStr"/>
      <c r="M1878" s="5" t="inlineStr">
        <is>
          <t>Yes</t>
        </is>
      </c>
      <c r="N1878" s="5" t="inlineStr"/>
      <c r="O1878" s="8" t="inlineStr">
        <is>
          <t>167000</t>
        </is>
      </c>
      <c r="P1878" s="5" t="inlineStr">
        <is>
          <t>5</t>
        </is>
      </c>
      <c r="Q1878" s="5" t="inlineStr">
        <is>
          <t>4</t>
        </is>
      </c>
      <c r="R1878" s="5" t="inlineStr">
        <is>
          <t>8</t>
        </is>
      </c>
      <c r="S1878" s="5" t="inlineStr">
        <is>
          <t>56</t>
        </is>
      </c>
      <c r="T1878" s="5" t="inlineStr">
        <is>
          <t>2</t>
        </is>
      </c>
      <c r="U1878" s="5" t="inlineStr">
        <is>
          <t>OK</t>
        </is>
      </c>
    </row>
    <row r="1879">
      <c r="A1879" s="5" t="inlineStr">
        <is>
          <t>E01291</t>
        </is>
      </c>
      <c r="B1879" s="5" t="inlineStr">
        <is>
          <t>Male</t>
        </is>
      </c>
      <c r="C1879" s="6" t="inlineStr">
        <is>
          <t>32</t>
        </is>
      </c>
      <c r="D1879" s="5" t="inlineStr">
        <is>
          <t>Married</t>
        </is>
      </c>
      <c r="E1879" s="5" t="inlineStr">
        <is>
          <t>Diploma</t>
        </is>
      </c>
      <c r="F1879" s="5" t="inlineStr">
        <is>
          <t>Research &amp; Development</t>
        </is>
      </c>
      <c r="G1879" s="5" t="inlineStr">
        <is>
          <t>Data Scientist</t>
        </is>
      </c>
      <c r="H1879" s="5" t="inlineStr">
        <is>
          <t>4</t>
        </is>
      </c>
      <c r="I1879" s="5" t="inlineStr">
        <is>
          <t>Remote</t>
        </is>
      </c>
      <c r="J1879" s="5" t="inlineStr">
        <is>
          <t>Full-Time</t>
        </is>
      </c>
      <c r="K1879" s="7" t="n">
        <v>43831</v>
      </c>
      <c r="L1879" s="7" t="inlineStr"/>
      <c r="M1879" s="5" t="inlineStr">
        <is>
          <t>Yes</t>
        </is>
      </c>
      <c r="N1879" s="5" t="inlineStr"/>
      <c r="O1879" s="8" t="inlineStr">
        <is>
          <t>210500</t>
        </is>
      </c>
      <c r="P1879" s="5" t="inlineStr">
        <is>
          <t>15</t>
        </is>
      </c>
      <c r="Q1879" s="5" t="inlineStr">
        <is>
          <t>4</t>
        </is>
      </c>
      <c r="R1879" s="5" t="inlineStr">
        <is>
          <t>7</t>
        </is>
      </c>
      <c r="S1879" s="5" t="inlineStr">
        <is>
          <t>73</t>
        </is>
      </c>
      <c r="T1879" s="5" t="inlineStr">
        <is>
          <t>6</t>
        </is>
      </c>
      <c r="U1879" s="5" t="inlineStr">
        <is>
          <t>OK</t>
        </is>
      </c>
    </row>
    <row r="1880">
      <c r="A1880" s="5" t="inlineStr">
        <is>
          <t>E02563</t>
        </is>
      </c>
      <c r="B1880" s="5" t="inlineStr">
        <is>
          <t>Female</t>
        </is>
      </c>
      <c r="C1880" s="6" t="inlineStr">
        <is>
          <t>23</t>
        </is>
      </c>
      <c r="D1880" s="5" t="inlineStr">
        <is>
          <t>Married</t>
        </is>
      </c>
      <c r="E1880" s="5" t="inlineStr">
        <is>
          <t>Master</t>
        </is>
      </c>
      <c r="F1880" s="5" t="inlineStr">
        <is>
          <t>Marketing</t>
        </is>
      </c>
      <c r="G1880" s="5" t="inlineStr">
        <is>
          <t>SEO Specialist</t>
        </is>
      </c>
      <c r="H1880" s="5" t="inlineStr">
        <is>
          <t>1</t>
        </is>
      </c>
      <c r="I1880" s="5" t="inlineStr">
        <is>
          <t>Bengaluru</t>
        </is>
      </c>
      <c r="J1880" s="5" t="inlineStr">
        <is>
          <t>Full-Time</t>
        </is>
      </c>
      <c r="K1880" s="7" t="n">
        <v>45538</v>
      </c>
      <c r="L1880" s="7" t="inlineStr"/>
      <c r="M1880" s="5" t="inlineStr">
        <is>
          <t>Yes</t>
        </is>
      </c>
      <c r="N1880" s="5" t="inlineStr"/>
      <c r="O1880" s="8" t="inlineStr">
        <is>
          <t>76000</t>
        </is>
      </c>
      <c r="P1880" s="5" t="inlineStr">
        <is>
          <t>0</t>
        </is>
      </c>
      <c r="Q1880" s="5" t="inlineStr">
        <is>
          <t>5</t>
        </is>
      </c>
      <c r="R1880" s="5" t="inlineStr">
        <is>
          <t>4</t>
        </is>
      </c>
      <c r="S1880" s="5" t="inlineStr">
        <is>
          <t>16</t>
        </is>
      </c>
      <c r="T1880" s="5" t="inlineStr">
        <is>
          <t>7</t>
        </is>
      </c>
      <c r="U1880" s="5" t="inlineStr">
        <is>
          <t>OK</t>
        </is>
      </c>
    </row>
    <row r="1881">
      <c r="A1881" s="5" t="inlineStr">
        <is>
          <t>E01379</t>
        </is>
      </c>
      <c r="B1881" s="5" t="inlineStr">
        <is>
          <t>Female</t>
        </is>
      </c>
      <c r="C1881" s="6" t="inlineStr">
        <is>
          <t>29</t>
        </is>
      </c>
      <c r="D1881" s="5" t="inlineStr">
        <is>
          <t>Married</t>
        </is>
      </c>
      <c r="E1881" s="5" t="inlineStr">
        <is>
          <t>Bachelor</t>
        </is>
      </c>
      <c r="F1881" s="5" t="inlineStr">
        <is>
          <t>Operations</t>
        </is>
      </c>
      <c r="G1881" s="5" t="inlineStr">
        <is>
          <t>Quality Analyst</t>
        </is>
      </c>
      <c r="H1881" s="5" t="inlineStr">
        <is>
          <t>2</t>
        </is>
      </c>
      <c r="I1881" s="5" t="inlineStr">
        <is>
          <t>Bengaluru</t>
        </is>
      </c>
      <c r="J1881" s="5" t="inlineStr">
        <is>
          <t>Full-Time</t>
        </is>
      </c>
      <c r="K1881" s="7" t="n">
        <v>44189</v>
      </c>
      <c r="L1881" s="7" t="inlineStr"/>
      <c r="M1881" s="5" t="inlineStr">
        <is>
          <t>Yes</t>
        </is>
      </c>
      <c r="N1881" s="5" t="inlineStr"/>
      <c r="O1881" s="8" t="inlineStr">
        <is>
          <t>85500</t>
        </is>
      </c>
      <c r="P1881" s="5" t="inlineStr">
        <is>
          <t>0</t>
        </is>
      </c>
      <c r="Q1881" s="5" t="inlineStr">
        <is>
          <t>3</t>
        </is>
      </c>
      <c r="R1881" s="5" t="inlineStr">
        <is>
          <t>7</t>
        </is>
      </c>
      <c r="S1881" s="5" t="inlineStr">
        <is>
          <t>61</t>
        </is>
      </c>
      <c r="T1881" s="5" t="inlineStr">
        <is>
          <t>17</t>
        </is>
      </c>
      <c r="U1881" s="5" t="inlineStr">
        <is>
          <t>OK</t>
        </is>
      </c>
    </row>
    <row r="1882">
      <c r="A1882" s="5" t="inlineStr">
        <is>
          <t>E00628</t>
        </is>
      </c>
      <c r="B1882" s="5" t="inlineStr">
        <is>
          <t>Male</t>
        </is>
      </c>
      <c r="C1882" s="6" t="inlineStr">
        <is>
          <t>39</t>
        </is>
      </c>
      <c r="D1882" s="5" t="inlineStr">
        <is>
          <t>Married</t>
        </is>
      </c>
      <c r="E1882" s="5" t="inlineStr">
        <is>
          <t>Bachelor</t>
        </is>
      </c>
      <c r="F1882" s="5" t="inlineStr">
        <is>
          <t>Customer Support</t>
        </is>
      </c>
      <c r="G1882" s="5" t="inlineStr">
        <is>
          <t>Support Agent</t>
        </is>
      </c>
      <c r="H1882" s="5" t="inlineStr">
        <is>
          <t>7</t>
        </is>
      </c>
      <c r="I1882" s="5" t="inlineStr">
        <is>
          <t>Delhi</t>
        </is>
      </c>
      <c r="J1882" s="5" t="inlineStr">
        <is>
          <t>Full-Time</t>
        </is>
      </c>
      <c r="K1882" s="7" t="n">
        <v>45363</v>
      </c>
      <c r="L1882" s="7" t="inlineStr"/>
      <c r="M1882" s="5" t="inlineStr">
        <is>
          <t>Yes</t>
        </is>
      </c>
      <c r="N1882" s="5" t="inlineStr"/>
      <c r="O1882" s="8" t="inlineStr">
        <is>
          <t>137500</t>
        </is>
      </c>
      <c r="P1882" s="5" t="inlineStr">
        <is>
          <t>20</t>
        </is>
      </c>
      <c r="Q1882" s="5" t="inlineStr">
        <is>
          <t>3</t>
        </is>
      </c>
      <c r="R1882" s="5" t="inlineStr">
        <is>
          <t>6</t>
        </is>
      </c>
      <c r="S1882" s="5" t="inlineStr">
        <is>
          <t>21</t>
        </is>
      </c>
      <c r="T1882" s="5" t="inlineStr">
        <is>
          <t>0</t>
        </is>
      </c>
      <c r="U1882" s="5" t="inlineStr">
        <is>
          <t>OK</t>
        </is>
      </c>
    </row>
    <row r="1883">
      <c r="A1883" s="5" t="inlineStr">
        <is>
          <t>E00374</t>
        </is>
      </c>
      <c r="B1883" s="5" t="inlineStr">
        <is>
          <t>Male</t>
        </is>
      </c>
      <c r="C1883" s="6" t="inlineStr">
        <is>
          <t>39</t>
        </is>
      </c>
      <c r="D1883" s="5" t="inlineStr">
        <is>
          <t>Married</t>
        </is>
      </c>
      <c r="E1883" s="5" t="inlineStr">
        <is>
          <t>Diploma</t>
        </is>
      </c>
      <c r="F1883" s="5" t="inlineStr">
        <is>
          <t>Operations</t>
        </is>
      </c>
      <c r="G1883" s="5" t="inlineStr">
        <is>
          <t>Operations Analyst</t>
        </is>
      </c>
      <c r="H1883" s="5" t="inlineStr">
        <is>
          <t>6</t>
        </is>
      </c>
      <c r="I1883" s="5" t="inlineStr">
        <is>
          <t>Delhi</t>
        </is>
      </c>
      <c r="J1883" s="5" t="inlineStr">
        <is>
          <t>Full-Time</t>
        </is>
      </c>
      <c r="K1883" s="7" t="n">
        <v>45617</v>
      </c>
      <c r="L1883" s="7" t="n">
        <v>45674</v>
      </c>
      <c r="M1883" s="5" t="inlineStr">
        <is>
          <t>No</t>
        </is>
      </c>
      <c r="N1883" s="5" t="inlineStr">
        <is>
          <t>Layoff</t>
        </is>
      </c>
      <c r="O1883" s="8" t="inlineStr">
        <is>
          <t>128000</t>
        </is>
      </c>
      <c r="P1883" s="5" t="inlineStr">
        <is>
          <t>0</t>
        </is>
      </c>
      <c r="Q1883" s="5" t="inlineStr">
        <is>
          <t>3</t>
        </is>
      </c>
      <c r="R1883" s="5" t="inlineStr">
        <is>
          <t>7</t>
        </is>
      </c>
      <c r="S1883" s="5" t="inlineStr">
        <is>
          <t>1</t>
        </is>
      </c>
      <c r="T1883" s="5" t="inlineStr">
        <is>
          <t>3</t>
        </is>
      </c>
      <c r="U1883" s="5" t="inlineStr">
        <is>
          <t>OK</t>
        </is>
      </c>
    </row>
    <row r="1884">
      <c r="A1884" s="5" t="inlineStr">
        <is>
          <t>E00982</t>
        </is>
      </c>
      <c r="B1884" s="5" t="inlineStr">
        <is>
          <t>Female</t>
        </is>
      </c>
      <c r="C1884" s="6" t="inlineStr">
        <is>
          <t>28</t>
        </is>
      </c>
      <c r="D1884" s="5" t="inlineStr">
        <is>
          <t>Married</t>
        </is>
      </c>
      <c r="E1884" s="5" t="inlineStr">
        <is>
          <t>Bachelor</t>
        </is>
      </c>
      <c r="F1884" s="5" t="inlineStr">
        <is>
          <t>IT</t>
        </is>
      </c>
      <c r="G1884" s="5" t="inlineStr">
        <is>
          <t>Software Engineer</t>
        </is>
      </c>
      <c r="H1884" s="5" t="inlineStr">
        <is>
          <t>3</t>
        </is>
      </c>
      <c r="I1884" s="5" t="inlineStr">
        <is>
          <t>Bengaluru</t>
        </is>
      </c>
      <c r="J1884" s="5" t="inlineStr">
        <is>
          <t>Full-Time</t>
        </is>
      </c>
      <c r="K1884" s="7" t="n">
        <v>45124</v>
      </c>
      <c r="L1884" s="7" t="inlineStr"/>
      <c r="M1884" s="5" t="inlineStr">
        <is>
          <t>Yes</t>
        </is>
      </c>
      <c r="N1884" s="5" t="inlineStr"/>
      <c r="O1884" s="8" t="inlineStr">
        <is>
          <t>136000</t>
        </is>
      </c>
      <c r="P1884" s="5" t="inlineStr">
        <is>
          <t>0</t>
        </is>
      </c>
      <c r="Q1884" s="5" t="inlineStr">
        <is>
          <t>3</t>
        </is>
      </c>
      <c r="R1884" s="5" t="inlineStr">
        <is>
          <t>8</t>
        </is>
      </c>
      <c r="S1884" s="5" t="inlineStr">
        <is>
          <t>29</t>
        </is>
      </c>
      <c r="T1884" s="5" t="inlineStr">
        <is>
          <t>16</t>
        </is>
      </c>
      <c r="U1884" s="5" t="inlineStr">
        <is>
          <t>OK</t>
        </is>
      </c>
    </row>
    <row r="1885">
      <c r="A1885" s="5" t="inlineStr">
        <is>
          <t>E01232</t>
        </is>
      </c>
      <c r="B1885" s="5" t="inlineStr">
        <is>
          <t>Female</t>
        </is>
      </c>
      <c r="C1885" s="6" t="inlineStr">
        <is>
          <t>31</t>
        </is>
      </c>
      <c r="D1885" s="5" t="inlineStr">
        <is>
          <t>Married</t>
        </is>
      </c>
      <c r="E1885" s="5" t="inlineStr">
        <is>
          <t>PhD</t>
        </is>
      </c>
      <c r="F1885" s="5" t="inlineStr">
        <is>
          <t>Operations</t>
        </is>
      </c>
      <c r="G1885" s="5" t="inlineStr">
        <is>
          <t>Logistics Coordinator</t>
        </is>
      </c>
      <c r="H1885" s="5" t="inlineStr">
        <is>
          <t>1</t>
        </is>
      </c>
      <c r="I1885" s="5" t="inlineStr">
        <is>
          <t>Mumbai</t>
        </is>
      </c>
      <c r="J1885" s="5" t="inlineStr">
        <is>
          <t>Full-Time</t>
        </is>
      </c>
      <c r="K1885" s="7" t="n">
        <v>44224</v>
      </c>
      <c r="L1885" s="7" t="n">
        <v>44357</v>
      </c>
      <c r="M1885" s="5" t="inlineStr">
        <is>
          <t>No</t>
        </is>
      </c>
      <c r="N1885" s="5" t="inlineStr">
        <is>
          <t>Resigned</t>
        </is>
      </c>
      <c r="O1885" s="8" t="inlineStr">
        <is>
          <t>68500</t>
        </is>
      </c>
      <c r="P1885" s="5" t="inlineStr">
        <is>
          <t>0</t>
        </is>
      </c>
      <c r="Q1885" s="5" t="inlineStr">
        <is>
          <t>4</t>
        </is>
      </c>
      <c r="R1885" s="5" t="inlineStr">
        <is>
          <t>4</t>
        </is>
      </c>
      <c r="S1885" s="5" t="inlineStr">
        <is>
          <t>4</t>
        </is>
      </c>
      <c r="T1885" s="5" t="inlineStr">
        <is>
          <t>5</t>
        </is>
      </c>
      <c r="U1885" s="5" t="inlineStr">
        <is>
          <t>OK</t>
        </is>
      </c>
    </row>
    <row r="1886">
      <c r="A1886" s="5" t="inlineStr">
        <is>
          <t>E02101</t>
        </is>
      </c>
      <c r="B1886" s="5" t="inlineStr">
        <is>
          <t>Female</t>
        </is>
      </c>
      <c r="C1886" s="6" t="inlineStr">
        <is>
          <t>25</t>
        </is>
      </c>
      <c r="D1886" s="5" t="inlineStr">
        <is>
          <t>Married</t>
        </is>
      </c>
      <c r="E1886" s="5" t="inlineStr">
        <is>
          <t>PhD</t>
        </is>
      </c>
      <c r="F1886" s="5" t="inlineStr">
        <is>
          <t>Human Resources</t>
        </is>
      </c>
      <c r="G1886" s="5" t="inlineStr">
        <is>
          <t>Recruiter</t>
        </is>
      </c>
      <c r="H1886" s="5" t="inlineStr">
        <is>
          <t>2</t>
        </is>
      </c>
      <c r="I1886" s="5" t="inlineStr">
        <is>
          <t>Bengaluru</t>
        </is>
      </c>
      <c r="J1886" s="5" t="inlineStr">
        <is>
          <t>Full-Time</t>
        </is>
      </c>
      <c r="K1886" s="7" t="n">
        <v>45520</v>
      </c>
      <c r="L1886" s="7" t="inlineStr"/>
      <c r="M1886" s="5" t="inlineStr">
        <is>
          <t>Yes</t>
        </is>
      </c>
      <c r="N1886" s="5" t="inlineStr"/>
      <c r="O1886" s="8" t="inlineStr">
        <is>
          <t>66500</t>
        </is>
      </c>
      <c r="P1886" s="5" t="inlineStr">
        <is>
          <t>15</t>
        </is>
      </c>
      <c r="Q1886" s="5" t="inlineStr">
        <is>
          <t>4</t>
        </is>
      </c>
      <c r="R1886" s="5" t="inlineStr">
        <is>
          <t>8</t>
        </is>
      </c>
      <c r="S1886" s="5" t="inlineStr">
        <is>
          <t>16</t>
        </is>
      </c>
      <c r="T1886" s="5" t="inlineStr">
        <is>
          <t>11</t>
        </is>
      </c>
      <c r="U1886" s="5" t="inlineStr">
        <is>
          <t>OK</t>
        </is>
      </c>
    </row>
    <row r="1887">
      <c r="A1887" s="5" t="inlineStr">
        <is>
          <t>E01154</t>
        </is>
      </c>
      <c r="B1887" s="5" t="inlineStr">
        <is>
          <t>Female</t>
        </is>
      </c>
      <c r="C1887" s="6" t="inlineStr">
        <is>
          <t>23</t>
        </is>
      </c>
      <c r="D1887" s="5" t="inlineStr">
        <is>
          <t>Single</t>
        </is>
      </c>
      <c r="E1887" s="5" t="inlineStr">
        <is>
          <t>PhD</t>
        </is>
      </c>
      <c r="F1887" s="5" t="inlineStr">
        <is>
          <t>Customer Support</t>
        </is>
      </c>
      <c r="G1887" s="5" t="inlineStr">
        <is>
          <t>Support Lead</t>
        </is>
      </c>
      <c r="H1887" s="5" t="inlineStr">
        <is>
          <t>1</t>
        </is>
      </c>
      <c r="I1887" s="5" t="inlineStr">
        <is>
          <t>Mumbai</t>
        </is>
      </c>
      <c r="J1887" s="5" t="inlineStr">
        <is>
          <t>Full-Time</t>
        </is>
      </c>
      <c r="K1887" s="7" t="n">
        <v>44637</v>
      </c>
      <c r="L1887" s="7" t="n">
        <v>44694</v>
      </c>
      <c r="M1887" s="5" t="inlineStr">
        <is>
          <t>No</t>
        </is>
      </c>
      <c r="N1887" s="5" t="inlineStr">
        <is>
          <t>Resigned</t>
        </is>
      </c>
      <c r="O1887" s="8" t="inlineStr">
        <is>
          <t>60500</t>
        </is>
      </c>
      <c r="P1887" s="5" t="inlineStr">
        <is>
          <t>10</t>
        </is>
      </c>
      <c r="Q1887" s="5" t="inlineStr">
        <is>
          <t>1</t>
        </is>
      </c>
      <c r="R1887" s="5" t="inlineStr">
        <is>
          <t>6</t>
        </is>
      </c>
      <c r="S1887" s="5" t="inlineStr">
        <is>
          <t>1</t>
        </is>
      </c>
      <c r="T1887" s="5" t="inlineStr">
        <is>
          <t>14</t>
        </is>
      </c>
      <c r="U1887" s="5" t="inlineStr">
        <is>
          <t>OK</t>
        </is>
      </c>
    </row>
    <row r="1888">
      <c r="A1888" s="5" t="inlineStr">
        <is>
          <t>E01673</t>
        </is>
      </c>
      <c r="B1888" s="5" t="inlineStr">
        <is>
          <t>Female</t>
        </is>
      </c>
      <c r="C1888" s="6" t="inlineStr">
        <is>
          <t>25</t>
        </is>
      </c>
      <c r="D1888" s="5" t="inlineStr">
        <is>
          <t>Married</t>
        </is>
      </c>
      <c r="E1888" s="5" t="inlineStr">
        <is>
          <t>Bachelor</t>
        </is>
      </c>
      <c r="F1888" s="5" t="inlineStr">
        <is>
          <t>Sales</t>
        </is>
      </c>
      <c r="G1888" s="5" t="inlineStr">
        <is>
          <t>Sales Executive</t>
        </is>
      </c>
      <c r="H1888" s="5" t="inlineStr">
        <is>
          <t>1</t>
        </is>
      </c>
      <c r="I1888" s="5" t="inlineStr">
        <is>
          <t>Bengaluru</t>
        </is>
      </c>
      <c r="J1888" s="5" t="inlineStr">
        <is>
          <t>Part-Time</t>
        </is>
      </c>
      <c r="K1888" s="7" t="n">
        <v>44963</v>
      </c>
      <c r="L1888" s="7" t="inlineStr"/>
      <c r="M1888" s="5" t="inlineStr">
        <is>
          <t>Yes</t>
        </is>
      </c>
      <c r="N1888" s="5" t="inlineStr"/>
      <c r="O1888" s="8" t="inlineStr">
        <is>
          <t>94000</t>
        </is>
      </c>
      <c r="P1888" s="5" t="inlineStr">
        <is>
          <t>0</t>
        </is>
      </c>
      <c r="Q1888" s="5" t="inlineStr">
        <is>
          <t>4</t>
        </is>
      </c>
      <c r="R1888" s="5" t="inlineStr">
        <is>
          <t>9</t>
        </is>
      </c>
      <c r="S1888" s="5" t="inlineStr">
        <is>
          <t>35</t>
        </is>
      </c>
      <c r="T1888" s="5" t="inlineStr">
        <is>
          <t>12</t>
        </is>
      </c>
      <c r="U1888" s="5" t="inlineStr">
        <is>
          <t>OK</t>
        </is>
      </c>
    </row>
    <row r="1889">
      <c r="A1889" s="5" t="inlineStr">
        <is>
          <t>E00433</t>
        </is>
      </c>
      <c r="B1889" s="5" t="inlineStr">
        <is>
          <t>Male</t>
        </is>
      </c>
      <c r="C1889" s="6" t="inlineStr">
        <is>
          <t>33</t>
        </is>
      </c>
      <c r="D1889" s="5" t="inlineStr">
        <is>
          <t>Married</t>
        </is>
      </c>
      <c r="E1889" s="5" t="inlineStr">
        <is>
          <t>Diploma</t>
        </is>
      </c>
      <c r="F1889" s="5" t="inlineStr">
        <is>
          <t>IT</t>
        </is>
      </c>
      <c r="G1889" s="5" t="inlineStr">
        <is>
          <t>IT Support</t>
        </is>
      </c>
      <c r="H1889" s="5" t="inlineStr">
        <is>
          <t>5</t>
        </is>
      </c>
      <c r="I1889" s="5" t="inlineStr">
        <is>
          <t>Delhi</t>
        </is>
      </c>
      <c r="J1889" s="5" t="inlineStr">
        <is>
          <t>Full-Time</t>
        </is>
      </c>
      <c r="K1889" s="7" t="n">
        <v>45113</v>
      </c>
      <c r="L1889" s="7" t="inlineStr"/>
      <c r="M1889" s="5" t="inlineStr">
        <is>
          <t>Yes</t>
        </is>
      </c>
      <c r="N1889" s="5" t="inlineStr"/>
      <c r="O1889" s="8" t="inlineStr">
        <is>
          <t>134000</t>
        </is>
      </c>
      <c r="P1889" s="5" t="inlineStr">
        <is>
          <t>10</t>
        </is>
      </c>
      <c r="Q1889" s="5" t="inlineStr">
        <is>
          <t>5</t>
        </is>
      </c>
      <c r="R1889" s="5" t="inlineStr">
        <is>
          <t>5</t>
        </is>
      </c>
      <c r="S1889" s="5" t="inlineStr">
        <is>
          <t>30</t>
        </is>
      </c>
      <c r="T1889" s="5" t="inlineStr">
        <is>
          <t>11</t>
        </is>
      </c>
      <c r="U1889" s="5" t="inlineStr">
        <is>
          <t>OK</t>
        </is>
      </c>
    </row>
    <row r="1890">
      <c r="A1890" s="5" t="inlineStr">
        <is>
          <t>E01919</t>
        </is>
      </c>
      <c r="B1890" s="5" t="inlineStr">
        <is>
          <t>Male</t>
        </is>
      </c>
      <c r="C1890" s="6" t="inlineStr">
        <is>
          <t>29</t>
        </is>
      </c>
      <c r="D1890" s="5" t="inlineStr">
        <is>
          <t>Married</t>
        </is>
      </c>
      <c r="E1890" s="5" t="inlineStr">
        <is>
          <t>Bachelor</t>
        </is>
      </c>
      <c r="F1890" s="5" t="inlineStr">
        <is>
          <t>Operations</t>
        </is>
      </c>
      <c r="G1890" s="5" t="inlineStr">
        <is>
          <t>Quality Analyst</t>
        </is>
      </c>
      <c r="H1890" s="5" t="inlineStr">
        <is>
          <t>2</t>
        </is>
      </c>
      <c r="I1890" s="5" t="inlineStr">
        <is>
          <t>Bengaluru</t>
        </is>
      </c>
      <c r="J1890" s="5" t="inlineStr">
        <is>
          <t>Part-Time</t>
        </is>
      </c>
      <c r="K1890" s="7" t="n">
        <v>45489</v>
      </c>
      <c r="L1890" s="7" t="n">
        <v>45630</v>
      </c>
      <c r="M1890" s="5" t="inlineStr">
        <is>
          <t>No</t>
        </is>
      </c>
      <c r="N1890" s="5" t="inlineStr">
        <is>
          <t>Performance / Termination</t>
        </is>
      </c>
      <c r="O1890" s="8" t="inlineStr">
        <is>
          <t>70000</t>
        </is>
      </c>
      <c r="P1890" s="5" t="inlineStr">
        <is>
          <t>0</t>
        </is>
      </c>
      <c r="Q1890" s="5" t="inlineStr">
        <is>
          <t>5</t>
        </is>
      </c>
      <c r="R1890" s="5" t="inlineStr">
        <is>
          <t>9</t>
        </is>
      </c>
      <c r="S1890" s="5" t="inlineStr">
        <is>
          <t>4</t>
        </is>
      </c>
      <c r="T1890" s="5" t="inlineStr">
        <is>
          <t>11</t>
        </is>
      </c>
      <c r="U1890" s="5" t="inlineStr">
        <is>
          <t>OK</t>
        </is>
      </c>
    </row>
    <row r="1891">
      <c r="A1891" s="5" t="inlineStr">
        <is>
          <t>E02845</t>
        </is>
      </c>
      <c r="B1891" s="5" t="inlineStr">
        <is>
          <t>Male</t>
        </is>
      </c>
      <c r="C1891" s="6" t="inlineStr">
        <is>
          <t>25</t>
        </is>
      </c>
      <c r="D1891" s="5" t="inlineStr">
        <is>
          <t>Married</t>
        </is>
      </c>
      <c r="E1891" s="5" t="inlineStr">
        <is>
          <t>Bachelor</t>
        </is>
      </c>
      <c r="F1891" s="5" t="inlineStr">
        <is>
          <t>Operations</t>
        </is>
      </c>
      <c r="G1891" s="5" t="inlineStr">
        <is>
          <t>Operations Analyst</t>
        </is>
      </c>
      <c r="H1891" s="5" t="inlineStr">
        <is>
          <t>2</t>
        </is>
      </c>
      <c r="I1891" s="5" t="inlineStr">
        <is>
          <t>Remote</t>
        </is>
      </c>
      <c r="J1891" s="5" t="inlineStr">
        <is>
          <t>Full-Time</t>
        </is>
      </c>
      <c r="K1891" s="7" t="n">
        <v>45022</v>
      </c>
      <c r="L1891" s="7" t="inlineStr"/>
      <c r="M1891" s="5" t="inlineStr">
        <is>
          <t>Yes</t>
        </is>
      </c>
      <c r="N1891" s="5" t="inlineStr"/>
      <c r="O1891" s="8" t="inlineStr">
        <is>
          <t>93500</t>
        </is>
      </c>
      <c r="P1891" s="5" t="inlineStr">
        <is>
          <t>0</t>
        </is>
      </c>
      <c r="Q1891" s="5" t="inlineStr">
        <is>
          <t>3</t>
        </is>
      </c>
      <c r="R1891" s="5" t="inlineStr">
        <is>
          <t>10</t>
        </is>
      </c>
      <c r="S1891" s="5" t="inlineStr">
        <is>
          <t>33</t>
        </is>
      </c>
      <c r="T1891" s="5" t="inlineStr">
        <is>
          <t>8</t>
        </is>
      </c>
      <c r="U1891" s="5" t="inlineStr">
        <is>
          <t>OK</t>
        </is>
      </c>
    </row>
    <row r="1892">
      <c r="A1892" s="5" t="inlineStr">
        <is>
          <t>E02063</t>
        </is>
      </c>
      <c r="B1892" s="5" t="inlineStr">
        <is>
          <t>female</t>
        </is>
      </c>
      <c r="C1892" s="6" t="inlineStr">
        <is>
          <t>35</t>
        </is>
      </c>
      <c r="D1892" s="5" t="inlineStr">
        <is>
          <t>Single</t>
        </is>
      </c>
      <c r="E1892" s="5" t="inlineStr">
        <is>
          <t>PhD</t>
        </is>
      </c>
      <c r="F1892" s="5" t="inlineStr">
        <is>
          <t>Sales</t>
        </is>
      </c>
      <c r="G1892" s="5" t="inlineStr">
        <is>
          <t>Business Development</t>
        </is>
      </c>
      <c r="H1892" s="5" t="inlineStr">
        <is>
          <t>4</t>
        </is>
      </c>
      <c r="I1892" s="5" t="inlineStr">
        <is>
          <t>Delhi</t>
        </is>
      </c>
      <c r="J1892" s="5" t="inlineStr">
        <is>
          <t>Part-Time</t>
        </is>
      </c>
      <c r="K1892" s="7" t="n">
        <v>44359</v>
      </c>
      <c r="L1892" s="7" t="inlineStr"/>
      <c r="M1892" s="5" t="inlineStr">
        <is>
          <t>Yes</t>
        </is>
      </c>
      <c r="N1892" s="5" t="inlineStr"/>
      <c r="O1892" s="8" t="inlineStr">
        <is>
          <t>110500</t>
        </is>
      </c>
      <c r="P1892" s="5" t="inlineStr">
        <is>
          <t>0</t>
        </is>
      </c>
      <c r="Q1892" s="5" t="inlineStr">
        <is>
          <t>4</t>
        </is>
      </c>
      <c r="R1892" s="5" t="inlineStr">
        <is>
          <t>6</t>
        </is>
      </c>
      <c r="S1892" s="5" t="inlineStr">
        <is>
          <t>55</t>
        </is>
      </c>
      <c r="T1892" s="5" t="inlineStr">
        <is>
          <t>3</t>
        </is>
      </c>
      <c r="U1892" s="5" t="inlineStr">
        <is>
          <t>OK</t>
        </is>
      </c>
    </row>
    <row r="1893">
      <c r="A1893" s="5" t="inlineStr">
        <is>
          <t>E00351</t>
        </is>
      </c>
      <c r="B1893" s="5" t="inlineStr">
        <is>
          <t>Female</t>
        </is>
      </c>
      <c r="C1893" s="6" t="inlineStr">
        <is>
          <t>39</t>
        </is>
      </c>
      <c r="D1893" s="5" t="inlineStr">
        <is>
          <t>Married</t>
        </is>
      </c>
      <c r="E1893" s="5" t="inlineStr">
        <is>
          <t>Bachelor</t>
        </is>
      </c>
      <c r="F1893" s="5" t="inlineStr">
        <is>
          <t>Customer Support</t>
        </is>
      </c>
      <c r="G1893" s="5" t="inlineStr">
        <is>
          <t>Support Lead</t>
        </is>
      </c>
      <c r="H1893" s="5" t="inlineStr">
        <is>
          <t>4</t>
        </is>
      </c>
      <c r="I1893" s="5" t="inlineStr">
        <is>
          <t>Remote</t>
        </is>
      </c>
      <c r="J1893" s="5" t="inlineStr">
        <is>
          <t>Full-Time</t>
        </is>
      </c>
      <c r="K1893" s="7" t="n">
        <v>44431</v>
      </c>
      <c r="L1893" s="7" t="inlineStr"/>
      <c r="M1893" s="5" t="inlineStr">
        <is>
          <t>Yes</t>
        </is>
      </c>
      <c r="N1893" s="5" t="inlineStr"/>
      <c r="O1893" s="8" t="inlineStr">
        <is>
          <t>92000</t>
        </is>
      </c>
      <c r="P1893" s="5" t="inlineStr">
        <is>
          <t>15</t>
        </is>
      </c>
      <c r="Q1893" s="5" t="inlineStr">
        <is>
          <t>2</t>
        </is>
      </c>
      <c r="R1893" s="5" t="inlineStr">
        <is>
          <t>8</t>
        </is>
      </c>
      <c r="S1893" s="5" t="inlineStr">
        <is>
          <t>53</t>
        </is>
      </c>
      <c r="T1893" s="5" t="inlineStr">
        <is>
          <t>0</t>
        </is>
      </c>
      <c r="U1893" s="5" t="inlineStr">
        <is>
          <t>OK</t>
        </is>
      </c>
    </row>
    <row r="1894">
      <c r="A1894" s="5" t="inlineStr">
        <is>
          <t>E02715</t>
        </is>
      </c>
      <c r="B1894" s="5" t="inlineStr">
        <is>
          <t>Male</t>
        </is>
      </c>
      <c r="C1894" s="6" t="inlineStr">
        <is>
          <t>33</t>
        </is>
      </c>
      <c r="D1894" s="5" t="inlineStr">
        <is>
          <t>Single</t>
        </is>
      </c>
      <c r="E1894" s="5" t="inlineStr">
        <is>
          <t>PhD</t>
        </is>
      </c>
      <c r="F1894" s="5" t="inlineStr">
        <is>
          <t>IT</t>
        </is>
      </c>
      <c r="G1894" s="5" t="inlineStr">
        <is>
          <t>DevOps Engineer</t>
        </is>
      </c>
      <c r="H1894" s="5" t="inlineStr">
        <is>
          <t>1</t>
        </is>
      </c>
      <c r="I1894" s="5" t="inlineStr">
        <is>
          <t>Chennai</t>
        </is>
      </c>
      <c r="J1894" s="5" t="inlineStr">
        <is>
          <t>Full-Time</t>
        </is>
      </c>
      <c r="K1894" s="7" t="n">
        <v>45174</v>
      </c>
      <c r="L1894" s="7" t="inlineStr"/>
      <c r="M1894" s="5" t="inlineStr">
        <is>
          <t>Yes</t>
        </is>
      </c>
      <c r="N1894" s="5" t="inlineStr"/>
      <c r="O1894" s="8" t="inlineStr">
        <is>
          <t>125500</t>
        </is>
      </c>
      <c r="P1894" s="5" t="inlineStr">
        <is>
          <t>10</t>
        </is>
      </c>
      <c r="Q1894" s="5" t="inlineStr">
        <is>
          <t>4</t>
        </is>
      </c>
      <c r="R1894" s="5" t="inlineStr">
        <is>
          <t>6</t>
        </is>
      </c>
      <c r="S1894" s="5" t="inlineStr">
        <is>
          <t>28</t>
        </is>
      </c>
      <c r="T1894" s="5" t="inlineStr">
        <is>
          <t>0</t>
        </is>
      </c>
      <c r="U1894" s="5" t="inlineStr">
        <is>
          <t>OK</t>
        </is>
      </c>
    </row>
    <row r="1895">
      <c r="A1895" s="5" t="inlineStr">
        <is>
          <t>E01241</t>
        </is>
      </c>
      <c r="B1895" s="5" t="inlineStr">
        <is>
          <t>Male</t>
        </is>
      </c>
      <c r="C1895" s="6" t="inlineStr">
        <is>
          <t>27</t>
        </is>
      </c>
      <c r="D1895" s="5" t="inlineStr">
        <is>
          <t>Married</t>
        </is>
      </c>
      <c r="E1895" s="5" t="inlineStr">
        <is>
          <t>High School</t>
        </is>
      </c>
      <c r="F1895" s="5" t="inlineStr">
        <is>
          <t>Sales</t>
        </is>
      </c>
      <c r="G1895" s="5" t="inlineStr">
        <is>
          <t>Account Executive</t>
        </is>
      </c>
      <c r="H1895" s="5" t="inlineStr">
        <is>
          <t>3</t>
        </is>
      </c>
      <c r="I1895" s="5" t="inlineStr">
        <is>
          <t>Mumbai</t>
        </is>
      </c>
      <c r="J1895" s="5" t="inlineStr">
        <is>
          <t>Full-Time</t>
        </is>
      </c>
      <c r="K1895" s="7" t="n">
        <v>45155</v>
      </c>
      <c r="L1895" s="7" t="inlineStr"/>
      <c r="M1895" s="5" t="inlineStr">
        <is>
          <t>Yes</t>
        </is>
      </c>
      <c r="N1895" s="5" t="inlineStr"/>
      <c r="O1895" s="8" t="inlineStr">
        <is>
          <t>87500</t>
        </is>
      </c>
      <c r="P1895" s="5" t="inlineStr">
        <is>
          <t>0</t>
        </is>
      </c>
      <c r="Q1895" s="5" t="inlineStr">
        <is>
          <t>5</t>
        </is>
      </c>
      <c r="R1895" s="5" t="inlineStr">
        <is>
          <t>8</t>
        </is>
      </c>
      <c r="S1895" s="5" t="inlineStr">
        <is>
          <t>28</t>
        </is>
      </c>
      <c r="T1895" s="5" t="inlineStr">
        <is>
          <t>4</t>
        </is>
      </c>
      <c r="U1895" s="5" t="inlineStr">
        <is>
          <t>OK</t>
        </is>
      </c>
    </row>
    <row r="1896">
      <c r="A1896" s="5" t="inlineStr">
        <is>
          <t>E02787</t>
        </is>
      </c>
      <c r="B1896" s="5" t="inlineStr">
        <is>
          <t>Male</t>
        </is>
      </c>
      <c r="C1896" s="6" t="inlineStr">
        <is>
          <t>31</t>
        </is>
      </c>
      <c r="D1896" s="5" t="inlineStr">
        <is>
          <t>Married</t>
        </is>
      </c>
      <c r="E1896" s="5" t="inlineStr">
        <is>
          <t>Diploma</t>
        </is>
      </c>
      <c r="F1896" s="5" t="inlineStr">
        <is>
          <t>IT</t>
        </is>
      </c>
      <c r="G1896" s="5" t="inlineStr">
        <is>
          <t>Data Analyst</t>
        </is>
      </c>
      <c r="H1896" s="5" t="inlineStr">
        <is>
          <t>5</t>
        </is>
      </c>
      <c r="I1896" s="5" t="inlineStr">
        <is>
          <t>Hyderabad</t>
        </is>
      </c>
      <c r="J1896" s="5" t="inlineStr">
        <is>
          <t>Full-Time</t>
        </is>
      </c>
      <c r="K1896" s="7" t="n">
        <v>45497</v>
      </c>
      <c r="L1896" s="7" t="inlineStr"/>
      <c r="M1896" s="5" t="inlineStr">
        <is>
          <t>Yes</t>
        </is>
      </c>
      <c r="N1896" s="5" t="inlineStr"/>
      <c r="O1896" s="8" t="inlineStr">
        <is>
          <t>159500</t>
        </is>
      </c>
      <c r="P1896" s="5" t="inlineStr">
        <is>
          <t>0</t>
        </is>
      </c>
      <c r="Q1896" s="5" t="inlineStr">
        <is>
          <t>4</t>
        </is>
      </c>
      <c r="R1896" s="5" t="inlineStr">
        <is>
          <t>8</t>
        </is>
      </c>
      <c r="S1896" s="5" t="inlineStr">
        <is>
          <t>17</t>
        </is>
      </c>
      <c r="T1896" s="5" t="inlineStr">
        <is>
          <t>4</t>
        </is>
      </c>
      <c r="U1896" s="5" t="inlineStr">
        <is>
          <t>OK</t>
        </is>
      </c>
    </row>
    <row r="1897">
      <c r="A1897" s="5" t="inlineStr">
        <is>
          <t>E02528</t>
        </is>
      </c>
      <c r="B1897" s="5" t="inlineStr">
        <is>
          <t>Female</t>
        </is>
      </c>
      <c r="C1897" s="6" t="inlineStr">
        <is>
          <t>33</t>
        </is>
      </c>
      <c r="D1897" s="5" t="inlineStr">
        <is>
          <t>Divorced</t>
        </is>
      </c>
      <c r="E1897" s="5" t="inlineStr">
        <is>
          <t>Bachelor</t>
        </is>
      </c>
      <c r="F1897" s="5" t="inlineStr">
        <is>
          <t>Human Resources</t>
        </is>
      </c>
      <c r="G1897" s="5" t="inlineStr">
        <is>
          <t>HR Analyst</t>
        </is>
      </c>
      <c r="H1897" s="5" t="inlineStr">
        <is>
          <t>4</t>
        </is>
      </c>
      <c r="I1897" s="5" t="inlineStr">
        <is>
          <t>Chennai</t>
        </is>
      </c>
      <c r="J1897" s="5" t="inlineStr">
        <is>
          <t>Full-Time</t>
        </is>
      </c>
      <c r="K1897" s="7" t="n">
        <v>44207</v>
      </c>
      <c r="L1897" s="7" t="inlineStr"/>
      <c r="M1897" s="5" t="inlineStr">
        <is>
          <t>Yes</t>
        </is>
      </c>
      <c r="N1897" s="5" t="inlineStr"/>
      <c r="O1897" s="8" t="inlineStr">
        <is>
          <t>99000</t>
        </is>
      </c>
      <c r="P1897" s="5" t="inlineStr">
        <is>
          <t>0</t>
        </is>
      </c>
      <c r="Q1897" s="5" t="inlineStr">
        <is>
          <t>4</t>
        </is>
      </c>
      <c r="R1897" s="5" t="inlineStr">
        <is>
          <t>7</t>
        </is>
      </c>
      <c r="S1897" s="5" t="inlineStr">
        <is>
          <t>60</t>
        </is>
      </c>
      <c r="T1897" s="5" t="inlineStr">
        <is>
          <t>11</t>
        </is>
      </c>
      <c r="U1897" s="5" t="inlineStr">
        <is>
          <t>OK</t>
        </is>
      </c>
    </row>
    <row r="1898">
      <c r="A1898" s="5" t="inlineStr">
        <is>
          <t>E02263</t>
        </is>
      </c>
      <c r="B1898" s="5" t="inlineStr">
        <is>
          <t>Male</t>
        </is>
      </c>
      <c r="C1898" s="6" t="inlineStr">
        <is>
          <t>33</t>
        </is>
      </c>
      <c r="D1898" s="5" t="inlineStr">
        <is>
          <t>Divorced</t>
        </is>
      </c>
      <c r="E1898" s="5" t="inlineStr">
        <is>
          <t>PhD</t>
        </is>
      </c>
      <c r="F1898" s="5" t="inlineStr">
        <is>
          <t>Marketing</t>
        </is>
      </c>
      <c r="G1898" s="5" t="inlineStr">
        <is>
          <t>SEO Specialist</t>
        </is>
      </c>
      <c r="H1898" s="5" t="inlineStr">
        <is>
          <t>1</t>
        </is>
      </c>
      <c r="I1898" s="5" t="inlineStr">
        <is>
          <t>Mumbai</t>
        </is>
      </c>
      <c r="J1898" s="5" t="inlineStr">
        <is>
          <t>Full-Time</t>
        </is>
      </c>
      <c r="K1898" s="7" t="n">
        <v>44848</v>
      </c>
      <c r="L1898" s="7" t="n">
        <v>44990</v>
      </c>
      <c r="M1898" s="5" t="inlineStr">
        <is>
          <t>No</t>
        </is>
      </c>
      <c r="N1898" s="5" t="inlineStr">
        <is>
          <t>Resigned</t>
        </is>
      </c>
      <c r="O1898" s="8" t="inlineStr">
        <is>
          <t>61000</t>
        </is>
      </c>
      <c r="P1898" s="5" t="inlineStr">
        <is>
          <t>0</t>
        </is>
      </c>
      <c r="Q1898" s="5" t="inlineStr">
        <is>
          <t>3</t>
        </is>
      </c>
      <c r="R1898" s="5" t="inlineStr">
        <is>
          <t>4</t>
        </is>
      </c>
      <c r="S1898" s="5" t="inlineStr">
        <is>
          <t>4</t>
        </is>
      </c>
      <c r="T1898" s="5" t="inlineStr">
        <is>
          <t>4</t>
        </is>
      </c>
      <c r="U1898" s="5" t="inlineStr">
        <is>
          <t>OK</t>
        </is>
      </c>
    </row>
    <row r="1899">
      <c r="A1899" s="5" t="inlineStr">
        <is>
          <t>E02546</t>
        </is>
      </c>
      <c r="B1899" s="5" t="inlineStr">
        <is>
          <t>Male</t>
        </is>
      </c>
      <c r="C1899" s="6" t="inlineStr">
        <is>
          <t>28</t>
        </is>
      </c>
      <c r="D1899" s="5" t="inlineStr">
        <is>
          <t>Married</t>
        </is>
      </c>
      <c r="E1899" s="5" t="inlineStr">
        <is>
          <t>PhD</t>
        </is>
      </c>
      <c r="F1899" s="5" t="inlineStr">
        <is>
          <t>Finance</t>
        </is>
      </c>
      <c r="G1899" s="5" t="inlineStr">
        <is>
          <t>Credit Analyst</t>
        </is>
      </c>
      <c r="H1899" s="5" t="inlineStr">
        <is>
          <t>2</t>
        </is>
      </c>
      <c r="I1899" s="5" t="inlineStr">
        <is>
          <t>Mumbai</t>
        </is>
      </c>
      <c r="J1899" s="5" t="inlineStr">
        <is>
          <t>Full-Time</t>
        </is>
      </c>
      <c r="K1899" s="7" t="n">
        <v>44886</v>
      </c>
      <c r="L1899" s="7" t="inlineStr"/>
      <c r="M1899" s="5" t="inlineStr">
        <is>
          <t>Yes</t>
        </is>
      </c>
      <c r="N1899" s="5" t="inlineStr"/>
      <c r="O1899" s="8" t="inlineStr">
        <is>
          <t>108000</t>
        </is>
      </c>
      <c r="P1899" s="5" t="inlineStr">
        <is>
          <t>5</t>
        </is>
      </c>
      <c r="Q1899" s="5" t="inlineStr">
        <is>
          <t>4</t>
        </is>
      </c>
      <c r="R1899" s="5" t="inlineStr">
        <is>
          <t>6</t>
        </is>
      </c>
      <c r="S1899" s="5" t="inlineStr">
        <is>
          <t>37</t>
        </is>
      </c>
      <c r="T1899" s="5" t="inlineStr">
        <is>
          <t>0</t>
        </is>
      </c>
      <c r="U1899" s="5" t="inlineStr">
        <is>
          <t>OK</t>
        </is>
      </c>
    </row>
    <row r="1900">
      <c r="A1900" s="5" t="inlineStr">
        <is>
          <t>E02432</t>
        </is>
      </c>
      <c r="B1900" s="5" t="inlineStr">
        <is>
          <t>Female</t>
        </is>
      </c>
      <c r="C1900" s="6" t="inlineStr">
        <is>
          <t>27</t>
        </is>
      </c>
      <c r="D1900" s="5" t="inlineStr">
        <is>
          <t>Single</t>
        </is>
      </c>
      <c r="E1900" s="5" t="inlineStr">
        <is>
          <t>Master</t>
        </is>
      </c>
      <c r="F1900" s="5" t="inlineStr">
        <is>
          <t>Executive</t>
        </is>
      </c>
      <c r="G1900" s="5" t="inlineStr">
        <is>
          <t>CFO</t>
        </is>
      </c>
      <c r="H1900" s="5" t="inlineStr">
        <is>
          <t>2</t>
        </is>
      </c>
      <c r="I1900" s="5" t="inlineStr">
        <is>
          <t>Mumbai</t>
        </is>
      </c>
      <c r="J1900" s="5" t="inlineStr">
        <is>
          <t>Full-Time</t>
        </is>
      </c>
      <c r="K1900" s="7" t="n">
        <v>45787</v>
      </c>
      <c r="L1900" s="7" t="inlineStr"/>
      <c r="M1900" s="5" t="inlineStr">
        <is>
          <t>Yes</t>
        </is>
      </c>
      <c r="N1900" s="5" t="inlineStr"/>
      <c r="O1900" s="8" t="inlineStr">
        <is>
          <t>189500</t>
        </is>
      </c>
      <c r="P1900" s="5" t="inlineStr">
        <is>
          <t>0</t>
        </is>
      </c>
      <c r="Q1900" s="5" t="inlineStr">
        <is>
          <t>3</t>
        </is>
      </c>
      <c r="R1900" s="5" t="inlineStr">
        <is>
          <t>5</t>
        </is>
      </c>
      <c r="S1900" s="5" t="inlineStr">
        <is>
          <t>7</t>
        </is>
      </c>
      <c r="T1900" s="5" t="inlineStr">
        <is>
          <t>4</t>
        </is>
      </c>
      <c r="U1900" s="5" t="inlineStr">
        <is>
          <t>OK</t>
        </is>
      </c>
    </row>
    <row r="1901">
      <c r="A1901" s="5" t="inlineStr">
        <is>
          <t>E02785</t>
        </is>
      </c>
      <c r="B1901" s="5" t="inlineStr">
        <is>
          <t>Male</t>
        </is>
      </c>
      <c r="C1901" s="6" t="inlineStr">
        <is>
          <t>26</t>
        </is>
      </c>
      <c r="D1901" s="5" t="inlineStr">
        <is>
          <t>Married</t>
        </is>
      </c>
      <c r="E1901" s="5" t="inlineStr">
        <is>
          <t>PhD</t>
        </is>
      </c>
      <c r="F1901" s="5" t="inlineStr">
        <is>
          <t>IT</t>
        </is>
      </c>
      <c r="G1901" s="5" t="inlineStr">
        <is>
          <t>IT Support</t>
        </is>
      </c>
      <c r="H1901" s="5" t="inlineStr">
        <is>
          <t>1</t>
        </is>
      </c>
      <c r="I1901" s="5" t="inlineStr">
        <is>
          <t>Hyderabad</t>
        </is>
      </c>
      <c r="J1901" s="5" t="inlineStr">
        <is>
          <t>Full-Time</t>
        </is>
      </c>
      <c r="K1901" s="7" t="n">
        <v>45032</v>
      </c>
      <c r="L1901" s="7" t="inlineStr"/>
      <c r="M1901" s="5" t="inlineStr">
        <is>
          <t>Yes</t>
        </is>
      </c>
      <c r="N1901" s="5" t="inlineStr"/>
      <c r="O1901" s="8" t="inlineStr">
        <is>
          <t>137500</t>
        </is>
      </c>
      <c r="P1901" s="5" t="inlineStr">
        <is>
          <t>5</t>
        </is>
      </c>
      <c r="Q1901" s="5" t="inlineStr">
        <is>
          <t>3</t>
        </is>
      </c>
      <c r="R1901" s="5" t="inlineStr">
        <is>
          <t>7</t>
        </is>
      </c>
      <c r="S1901" s="5" t="inlineStr">
        <is>
          <t>33</t>
        </is>
      </c>
      <c r="T1901" s="5" t="inlineStr">
        <is>
          <t>9</t>
        </is>
      </c>
      <c r="U1901" s="5" t="inlineStr">
        <is>
          <t>OK</t>
        </is>
      </c>
    </row>
    <row r="1902">
      <c r="A1902" s="5" t="inlineStr">
        <is>
          <t>E01339</t>
        </is>
      </c>
      <c r="B1902" s="5" t="inlineStr">
        <is>
          <t>Female</t>
        </is>
      </c>
      <c r="C1902" s="6" t="inlineStr">
        <is>
          <t>32</t>
        </is>
      </c>
      <c r="D1902" s="5" t="inlineStr">
        <is>
          <t>Single</t>
        </is>
      </c>
      <c r="E1902" s="5" t="inlineStr">
        <is>
          <t>Diploma</t>
        </is>
      </c>
      <c r="F1902" s="5" t="inlineStr">
        <is>
          <t>Customer Support</t>
        </is>
      </c>
      <c r="G1902" s="5" t="inlineStr">
        <is>
          <t>Support Lead</t>
        </is>
      </c>
      <c r="H1902" s="5" t="inlineStr">
        <is>
          <t>5</t>
        </is>
      </c>
      <c r="I1902" s="5" t="inlineStr">
        <is>
          <t>Bengaluru</t>
        </is>
      </c>
      <c r="J1902" s="5" t="inlineStr">
        <is>
          <t>Full-Time</t>
        </is>
      </c>
      <c r="K1902" s="7" t="n">
        <v>45806</v>
      </c>
      <c r="L1902" s="7" t="inlineStr"/>
      <c r="M1902" s="5" t="inlineStr">
        <is>
          <t>Yes</t>
        </is>
      </c>
      <c r="N1902" s="5" t="inlineStr"/>
      <c r="O1902" s="8" t="inlineStr">
        <is>
          <t>91500</t>
        </is>
      </c>
      <c r="P1902" s="5" t="inlineStr">
        <is>
          <t>0</t>
        </is>
      </c>
      <c r="Q1902" s="5" t="inlineStr">
        <is>
          <t>4</t>
        </is>
      </c>
      <c r="R1902" s="5" t="inlineStr">
        <is>
          <t>7</t>
        </is>
      </c>
      <c r="S1902" s="5" t="inlineStr">
        <is>
          <t>7</t>
        </is>
      </c>
      <c r="T1902" s="5" t="inlineStr">
        <is>
          <t>5</t>
        </is>
      </c>
      <c r="U1902" s="5" t="inlineStr">
        <is>
          <t>OK</t>
        </is>
      </c>
    </row>
    <row r="1903">
      <c r="A1903" s="5" t="inlineStr">
        <is>
          <t>E01743</t>
        </is>
      </c>
      <c r="B1903" s="5" t="inlineStr">
        <is>
          <t>Male</t>
        </is>
      </c>
      <c r="C1903" s="6" t="inlineStr">
        <is>
          <t>37</t>
        </is>
      </c>
      <c r="D1903" s="5" t="inlineStr">
        <is>
          <t>Divorced</t>
        </is>
      </c>
      <c r="E1903" s="5" t="inlineStr">
        <is>
          <t>High School</t>
        </is>
      </c>
      <c r="F1903" s="5" t="inlineStr">
        <is>
          <t>Sales</t>
        </is>
      </c>
      <c r="G1903" s="5" t="inlineStr">
        <is>
          <t>Business Development</t>
        </is>
      </c>
      <c r="H1903" s="5" t="inlineStr">
        <is>
          <t>4</t>
        </is>
      </c>
      <c r="I1903" s="5" t="inlineStr">
        <is>
          <t>Chennai</t>
        </is>
      </c>
      <c r="J1903" s="5" t="inlineStr">
        <is>
          <t>Full-Time</t>
        </is>
      </c>
      <c r="K1903" s="7" t="n">
        <v>45016</v>
      </c>
      <c r="L1903" s="7" t="inlineStr"/>
      <c r="M1903" s="5" t="inlineStr">
        <is>
          <t>Yes</t>
        </is>
      </c>
      <c r="N1903" s="5" t="inlineStr"/>
      <c r="O1903" s="8" t="inlineStr">
        <is>
          <t>107500</t>
        </is>
      </c>
      <c r="P1903" s="5" t="inlineStr">
        <is>
          <t>10</t>
        </is>
      </c>
      <c r="Q1903" s="5" t="inlineStr">
        <is>
          <t>3</t>
        </is>
      </c>
      <c r="R1903" s="5" t="inlineStr">
        <is>
          <t>8</t>
        </is>
      </c>
      <c r="S1903" s="5" t="inlineStr">
        <is>
          <t>33</t>
        </is>
      </c>
      <c r="T1903" s="5" t="inlineStr">
        <is>
          <t>14</t>
        </is>
      </c>
      <c r="U1903" s="5" t="inlineStr">
        <is>
          <t>OK</t>
        </is>
      </c>
    </row>
    <row r="1904">
      <c r="A1904" s="5" t="inlineStr">
        <is>
          <t>E02623</t>
        </is>
      </c>
      <c r="B1904" s="5" t="inlineStr">
        <is>
          <t>Male</t>
        </is>
      </c>
      <c r="C1904" s="6" t="inlineStr">
        <is>
          <t>37</t>
        </is>
      </c>
      <c r="D1904" s="5" t="inlineStr">
        <is>
          <t>Single</t>
        </is>
      </c>
      <c r="E1904" s="5" t="inlineStr">
        <is>
          <t>High School</t>
        </is>
      </c>
      <c r="F1904" s="5" t="inlineStr">
        <is>
          <t>Human Resources</t>
        </is>
      </c>
      <c r="G1904" s="5" t="inlineStr">
        <is>
          <t>Recruiter</t>
        </is>
      </c>
      <c r="H1904" s="5" t="inlineStr">
        <is>
          <t>3</t>
        </is>
      </c>
      <c r="I1904" s="5" t="inlineStr">
        <is>
          <t>Bengaluru</t>
        </is>
      </c>
      <c r="J1904" s="5" t="inlineStr">
        <is>
          <t>Full-Time</t>
        </is>
      </c>
      <c r="K1904" s="7" t="n">
        <v>45183</v>
      </c>
      <c r="L1904" s="7" t="inlineStr"/>
      <c r="M1904" s="5" t="inlineStr">
        <is>
          <t>Yes</t>
        </is>
      </c>
      <c r="N1904" s="5" t="inlineStr"/>
      <c r="O1904" s="8" t="inlineStr">
        <is>
          <t>79000</t>
        </is>
      </c>
      <c r="P1904" s="5" t="inlineStr">
        <is>
          <t>5</t>
        </is>
      </c>
      <c r="Q1904" s="5" t="inlineStr">
        <is>
          <t>3</t>
        </is>
      </c>
      <c r="R1904" s="5" t="inlineStr">
        <is>
          <t>6</t>
        </is>
      </c>
      <c r="S1904" s="5" t="inlineStr">
        <is>
          <t>27</t>
        </is>
      </c>
      <c r="T1904" s="5" t="inlineStr">
        <is>
          <t>3</t>
        </is>
      </c>
      <c r="U1904" s="5" t="inlineStr">
        <is>
          <t>OK</t>
        </is>
      </c>
    </row>
    <row r="1905">
      <c r="A1905" s="5" t="inlineStr">
        <is>
          <t>E01908</t>
        </is>
      </c>
      <c r="B1905" s="5" t="inlineStr">
        <is>
          <t>Female</t>
        </is>
      </c>
      <c r="C1905" s="6" t="inlineStr">
        <is>
          <t>29</t>
        </is>
      </c>
      <c r="D1905" s="5" t="inlineStr">
        <is>
          <t>Married</t>
        </is>
      </c>
      <c r="E1905" s="5" t="inlineStr">
        <is>
          <t>High School</t>
        </is>
      </c>
      <c r="F1905" s="5" t="inlineStr">
        <is>
          <t>Research &amp; Development</t>
        </is>
      </c>
      <c r="G1905" s="5" t="inlineStr">
        <is>
          <t>Product Engineer</t>
        </is>
      </c>
      <c r="H1905" s="5" t="inlineStr">
        <is>
          <t>1</t>
        </is>
      </c>
      <c r="I1905" s="5" t="inlineStr">
        <is>
          <t>Chennai</t>
        </is>
      </c>
      <c r="J1905" s="5" t="inlineStr">
        <is>
          <t>Full-Time</t>
        </is>
      </c>
      <c r="K1905" s="7" t="n">
        <v>45457</v>
      </c>
      <c r="L1905" s="7" t="inlineStr"/>
      <c r="M1905" s="5" t="inlineStr">
        <is>
          <t>Yes</t>
        </is>
      </c>
      <c r="N1905" s="5" t="inlineStr"/>
      <c r="O1905" s="8" t="inlineStr">
        <is>
          <t>126500</t>
        </is>
      </c>
      <c r="P1905" s="5" t="inlineStr">
        <is>
          <t>20</t>
        </is>
      </c>
      <c r="Q1905" s="5" t="inlineStr">
        <is>
          <t>4</t>
        </is>
      </c>
      <c r="R1905" s="5" t="inlineStr">
        <is>
          <t>3</t>
        </is>
      </c>
      <c r="S1905" s="5" t="inlineStr">
        <is>
          <t>18</t>
        </is>
      </c>
      <c r="T1905" s="5" t="inlineStr">
        <is>
          <t>11</t>
        </is>
      </c>
      <c r="U1905" s="5" t="inlineStr">
        <is>
          <t>OK</t>
        </is>
      </c>
    </row>
    <row r="1906">
      <c r="A1906" s="5" t="inlineStr">
        <is>
          <t>E00183</t>
        </is>
      </c>
      <c r="B1906" s="5" t="inlineStr">
        <is>
          <t>Female</t>
        </is>
      </c>
      <c r="C1906" s="6" t="inlineStr">
        <is>
          <t>29</t>
        </is>
      </c>
      <c r="D1906" s="5" t="inlineStr">
        <is>
          <t>Married</t>
        </is>
      </c>
      <c r="E1906" s="5" t="inlineStr">
        <is>
          <t>High School</t>
        </is>
      </c>
      <c r="F1906" s="5" t="inlineStr">
        <is>
          <t>Operations</t>
        </is>
      </c>
      <c r="G1906" s="5" t="inlineStr">
        <is>
          <t>Operations Analyst</t>
        </is>
      </c>
      <c r="H1906" s="5" t="inlineStr">
        <is>
          <t>2</t>
        </is>
      </c>
      <c r="I1906" s="5" t="inlineStr">
        <is>
          <t>Remote</t>
        </is>
      </c>
      <c r="J1906" s="5" t="inlineStr">
        <is>
          <t>Full-Time</t>
        </is>
      </c>
      <c r="K1906" s="7" t="n">
        <v>45626</v>
      </c>
      <c r="L1906" s="7" t="inlineStr"/>
      <c r="M1906" s="5" t="inlineStr">
        <is>
          <t>Yes</t>
        </is>
      </c>
      <c r="N1906" s="5" t="inlineStr"/>
      <c r="O1906" s="8" t="inlineStr">
        <is>
          <t>83000</t>
        </is>
      </c>
      <c r="P1906" s="5" t="inlineStr">
        <is>
          <t>5</t>
        </is>
      </c>
      <c r="Q1906" s="5" t="inlineStr">
        <is>
          <t>3</t>
        </is>
      </c>
      <c r="R1906" s="5" t="inlineStr">
        <is>
          <t>8</t>
        </is>
      </c>
      <c r="S1906" s="5" t="inlineStr">
        <is>
          <t>13</t>
        </is>
      </c>
      <c r="T1906" s="5" t="inlineStr">
        <is>
          <t>9</t>
        </is>
      </c>
      <c r="U1906" s="5" t="inlineStr">
        <is>
          <t>OK</t>
        </is>
      </c>
    </row>
    <row r="1907">
      <c r="A1907" s="5" t="inlineStr">
        <is>
          <t>E01754</t>
        </is>
      </c>
      <c r="B1907" s="5" t="inlineStr">
        <is>
          <t>Male</t>
        </is>
      </c>
      <c r="C1907" s="6" t="inlineStr">
        <is>
          <t>39</t>
        </is>
      </c>
      <c r="D1907" s="5" t="inlineStr">
        <is>
          <t>Single</t>
        </is>
      </c>
      <c r="E1907" s="5" t="inlineStr">
        <is>
          <t>High School</t>
        </is>
      </c>
      <c r="F1907" s="5" t="inlineStr">
        <is>
          <t>Sales</t>
        </is>
      </c>
      <c r="G1907" s="5" t="inlineStr">
        <is>
          <t>Account Executive</t>
        </is>
      </c>
      <c r="H1907" s="5" t="inlineStr">
        <is>
          <t>5</t>
        </is>
      </c>
      <c r="I1907" s="5" t="inlineStr">
        <is>
          <t>Bengaluru</t>
        </is>
      </c>
      <c r="J1907" s="5" t="inlineStr">
        <is>
          <t>Full-Time</t>
        </is>
      </c>
      <c r="K1907" s="7" t="n">
        <v>45633</v>
      </c>
      <c r="L1907" s="7" t="inlineStr"/>
      <c r="M1907" s="5" t="inlineStr">
        <is>
          <t>Yes</t>
        </is>
      </c>
      <c r="N1907" s="5" t="inlineStr"/>
      <c r="O1907" s="8" t="inlineStr">
        <is>
          <t>135000</t>
        </is>
      </c>
      <c r="P1907" s="5" t="inlineStr">
        <is>
          <t>0</t>
        </is>
      </c>
      <c r="Q1907" s="5" t="inlineStr">
        <is>
          <t>3</t>
        </is>
      </c>
      <c r="R1907" s="5" t="inlineStr">
        <is>
          <t>6</t>
        </is>
      </c>
      <c r="S1907" s="5" t="inlineStr">
        <is>
          <t>12</t>
        </is>
      </c>
      <c r="T1907" s="5" t="inlineStr">
        <is>
          <t>0</t>
        </is>
      </c>
      <c r="U1907" s="5" t="inlineStr">
        <is>
          <t>OK</t>
        </is>
      </c>
    </row>
    <row r="1908">
      <c r="A1908" s="5" t="inlineStr">
        <is>
          <t>E02957</t>
        </is>
      </c>
      <c r="B1908" s="5" t="inlineStr">
        <is>
          <t>Female</t>
        </is>
      </c>
      <c r="C1908" s="6" t="inlineStr">
        <is>
          <t>33</t>
        </is>
      </c>
      <c r="D1908" s="5" t="inlineStr">
        <is>
          <t>Married</t>
        </is>
      </c>
      <c r="E1908" s="5" t="inlineStr">
        <is>
          <t>Diploma</t>
        </is>
      </c>
      <c r="F1908" s="5" t="inlineStr">
        <is>
          <t>Operations</t>
        </is>
      </c>
      <c r="G1908" s="5" t="inlineStr">
        <is>
          <t>Logistics Coordinator</t>
        </is>
      </c>
      <c r="H1908" s="5" t="inlineStr">
        <is>
          <t>1</t>
        </is>
      </c>
      <c r="I1908" s="5" t="inlineStr">
        <is>
          <t>Remote</t>
        </is>
      </c>
      <c r="J1908" s="5" t="inlineStr">
        <is>
          <t>Full-Time</t>
        </is>
      </c>
      <c r="K1908" s="7" t="n">
        <v>44333</v>
      </c>
      <c r="L1908" s="7" t="inlineStr"/>
      <c r="M1908" s="5" t="inlineStr">
        <is>
          <t>Yes</t>
        </is>
      </c>
      <c r="N1908" s="5" t="inlineStr"/>
      <c r="O1908" s="8" t="inlineStr">
        <is>
          <t>72500</t>
        </is>
      </c>
      <c r="P1908" s="5" t="inlineStr">
        <is>
          <t>15</t>
        </is>
      </c>
      <c r="Q1908" s="5" t="inlineStr">
        <is>
          <t>5</t>
        </is>
      </c>
      <c r="R1908" s="5" t="inlineStr">
        <is>
          <t>7</t>
        </is>
      </c>
      <c r="S1908" s="5" t="inlineStr">
        <is>
          <t>56</t>
        </is>
      </c>
      <c r="T1908" s="5" t="inlineStr">
        <is>
          <t>4</t>
        </is>
      </c>
      <c r="U1908" s="5" t="inlineStr">
        <is>
          <t>OK</t>
        </is>
      </c>
    </row>
    <row r="1909">
      <c r="A1909" s="5" t="inlineStr">
        <is>
          <t>E00376</t>
        </is>
      </c>
      <c r="B1909" s="5" t="inlineStr">
        <is>
          <t>Female</t>
        </is>
      </c>
      <c r="C1909" s="6" t="inlineStr">
        <is>
          <t>31</t>
        </is>
      </c>
      <c r="D1909" s="5" t="inlineStr">
        <is>
          <t>Married</t>
        </is>
      </c>
      <c r="E1909" s="5" t="inlineStr">
        <is>
          <t>Diploma</t>
        </is>
      </c>
      <c r="F1909" s="5" t="inlineStr">
        <is>
          <t>Customer Support</t>
        </is>
      </c>
      <c r="G1909" s="5" t="inlineStr">
        <is>
          <t>Escalation Specialist</t>
        </is>
      </c>
      <c r="H1909" s="5" t="inlineStr">
        <is>
          <t>1</t>
        </is>
      </c>
      <c r="I1909" s="5" t="inlineStr">
        <is>
          <t>Hyderabad</t>
        </is>
      </c>
      <c r="J1909" s="5" t="inlineStr">
        <is>
          <t>Full-Time</t>
        </is>
      </c>
      <c r="K1909" s="7" t="n">
        <v>44624</v>
      </c>
      <c r="L1909" s="7" t="inlineStr"/>
      <c r="M1909" s="5" t="inlineStr">
        <is>
          <t>Yes</t>
        </is>
      </c>
      <c r="N1909" s="5" t="inlineStr"/>
      <c r="O1909" s="8" t="inlineStr">
        <is>
          <t>66500</t>
        </is>
      </c>
      <c r="P1909" s="5" t="inlineStr">
        <is>
          <t>15</t>
        </is>
      </c>
      <c r="Q1909" s="5" t="inlineStr">
        <is>
          <t>4</t>
        </is>
      </c>
      <c r="R1909" s="5" t="inlineStr">
        <is>
          <t>10</t>
        </is>
      </c>
      <c r="S1909" s="5" t="inlineStr">
        <is>
          <t>46</t>
        </is>
      </c>
      <c r="T1909" s="5" t="inlineStr">
        <is>
          <t>3</t>
        </is>
      </c>
      <c r="U1909" s="5" t="inlineStr">
        <is>
          <t>OK</t>
        </is>
      </c>
    </row>
    <row r="1910">
      <c r="A1910" s="5" t="inlineStr">
        <is>
          <t>E02472</t>
        </is>
      </c>
      <c r="B1910" s="5" t="inlineStr">
        <is>
          <t>Male</t>
        </is>
      </c>
      <c r="C1910" s="6" t="inlineStr">
        <is>
          <t>36</t>
        </is>
      </c>
      <c r="D1910" s="5" t="inlineStr">
        <is>
          <t>Married</t>
        </is>
      </c>
      <c r="E1910" s="5" t="inlineStr">
        <is>
          <t>PhD</t>
        </is>
      </c>
      <c r="F1910" s="5" t="inlineStr">
        <is>
          <t>Marketing</t>
        </is>
      </c>
      <c r="G1910" s="5" t="inlineStr">
        <is>
          <t>Content Writer</t>
        </is>
      </c>
      <c r="H1910" s="5" t="inlineStr">
        <is>
          <t>3</t>
        </is>
      </c>
      <c r="I1910" s="5" t="inlineStr">
        <is>
          <t>Chennai</t>
        </is>
      </c>
      <c r="J1910" s="5" t="inlineStr">
        <is>
          <t>Full-Time</t>
        </is>
      </c>
      <c r="K1910" s="7" t="n">
        <v>45794</v>
      </c>
      <c r="L1910" s="7" t="inlineStr"/>
      <c r="M1910" s="5" t="inlineStr">
        <is>
          <t>Yes</t>
        </is>
      </c>
      <c r="N1910" s="5" t="inlineStr"/>
      <c r="O1910" s="8" t="inlineStr">
        <is>
          <t>68000</t>
        </is>
      </c>
      <c r="P1910" s="5" t="inlineStr">
        <is>
          <t>0</t>
        </is>
      </c>
      <c r="Q1910" s="5" t="inlineStr">
        <is>
          <t>3</t>
        </is>
      </c>
      <c r="R1910" s="5" t="inlineStr">
        <is>
          <t>6</t>
        </is>
      </c>
      <c r="S1910" s="5" t="inlineStr">
        <is>
          <t>7</t>
        </is>
      </c>
      <c r="T1910" s="5" t="inlineStr">
        <is>
          <t>1</t>
        </is>
      </c>
      <c r="U1910" s="5" t="inlineStr">
        <is>
          <t>OK</t>
        </is>
      </c>
    </row>
    <row r="1911">
      <c r="A1911" s="5" t="inlineStr">
        <is>
          <t>E00886</t>
        </is>
      </c>
      <c r="B1911" s="5" t="inlineStr">
        <is>
          <t>Male</t>
        </is>
      </c>
      <c r="C1911" s="6" t="inlineStr">
        <is>
          <t>32</t>
        </is>
      </c>
      <c r="D1911" s="5" t="inlineStr">
        <is>
          <t>Single</t>
        </is>
      </c>
      <c r="E1911" s="5" t="inlineStr">
        <is>
          <t>Diploma</t>
        </is>
      </c>
      <c r="F1911" s="5" t="inlineStr">
        <is>
          <t>Sales</t>
        </is>
      </c>
      <c r="G1911" s="5" t="inlineStr">
        <is>
          <t>Business Development</t>
        </is>
      </c>
      <c r="H1911" s="5" t="inlineStr">
        <is>
          <t>3</t>
        </is>
      </c>
      <c r="I1911" s="5" t="inlineStr">
        <is>
          <t>Delhi</t>
        </is>
      </c>
      <c r="J1911" s="5" t="inlineStr">
        <is>
          <t>Full-Time</t>
        </is>
      </c>
      <c r="K1911" s="7" t="n">
        <v>45045</v>
      </c>
      <c r="L1911" s="7" t="inlineStr"/>
      <c r="M1911" s="5" t="inlineStr">
        <is>
          <t>Yes</t>
        </is>
      </c>
      <c r="N1911" s="5" t="inlineStr"/>
      <c r="O1911" s="8" t="inlineStr">
        <is>
          <t>112000</t>
        </is>
      </c>
      <c r="P1911" s="5" t="inlineStr">
        <is>
          <t>0</t>
        </is>
      </c>
      <c r="Q1911" s="5" t="inlineStr">
        <is>
          <t>3</t>
        </is>
      </c>
      <c r="R1911" s="5" t="inlineStr">
        <is>
          <t>9</t>
        </is>
      </c>
      <c r="S1911" s="5" t="inlineStr">
        <is>
          <t>32</t>
        </is>
      </c>
      <c r="T1911" s="5" t="inlineStr">
        <is>
          <t>4</t>
        </is>
      </c>
      <c r="U1911" s="5" t="inlineStr">
        <is>
          <t>OK</t>
        </is>
      </c>
    </row>
    <row r="1912">
      <c r="A1912" s="5" t="inlineStr">
        <is>
          <t>E00047</t>
        </is>
      </c>
      <c r="B1912" s="5" t="inlineStr">
        <is>
          <t>Female</t>
        </is>
      </c>
      <c r="C1912" s="6" t="inlineStr">
        <is>
          <t>35</t>
        </is>
      </c>
      <c r="D1912" s="5" t="inlineStr">
        <is>
          <t>Married</t>
        </is>
      </c>
      <c r="E1912" s="5" t="inlineStr">
        <is>
          <t>Bachelor</t>
        </is>
      </c>
      <c r="F1912" s="5" t="inlineStr">
        <is>
          <t>IT</t>
        </is>
      </c>
      <c r="G1912" s="5" t="inlineStr">
        <is>
          <t>Data Analyst</t>
        </is>
      </c>
      <c r="H1912" s="5" t="inlineStr">
        <is>
          <t>2</t>
        </is>
      </c>
      <c r="I1912" s="5" t="inlineStr">
        <is>
          <t>Remote</t>
        </is>
      </c>
      <c r="J1912" s="5" t="inlineStr">
        <is>
          <t>Full-Time</t>
        </is>
      </c>
      <c r="K1912" s="7" t="n">
        <v>45605</v>
      </c>
      <c r="L1912" s="7" t="inlineStr"/>
      <c r="M1912" s="5" t="inlineStr">
        <is>
          <t>Yes</t>
        </is>
      </c>
      <c r="N1912" s="5" t="inlineStr"/>
      <c r="O1912" s="8" t="inlineStr">
        <is>
          <t>126000</t>
        </is>
      </c>
      <c r="P1912" s="5" t="inlineStr">
        <is>
          <t>5</t>
        </is>
      </c>
      <c r="Q1912" s="5" t="inlineStr">
        <is>
          <t>5</t>
        </is>
      </c>
      <c r="R1912" s="5" t="inlineStr">
        <is>
          <t>6</t>
        </is>
      </c>
      <c r="S1912" s="5" t="inlineStr">
        <is>
          <t>13</t>
        </is>
      </c>
      <c r="T1912" s="5" t="inlineStr">
        <is>
          <t>9</t>
        </is>
      </c>
      <c r="U1912" s="5" t="inlineStr">
        <is>
          <t>OK</t>
        </is>
      </c>
    </row>
    <row r="1913">
      <c r="A1913" s="5" t="inlineStr">
        <is>
          <t>E01736</t>
        </is>
      </c>
      <c r="B1913" s="5" t="inlineStr">
        <is>
          <t>Female</t>
        </is>
      </c>
      <c r="C1913" s="6" t="inlineStr">
        <is>
          <t>36</t>
        </is>
      </c>
      <c r="D1913" s="5" t="inlineStr">
        <is>
          <t>Married</t>
        </is>
      </c>
      <c r="E1913" s="5" t="inlineStr">
        <is>
          <t>PhD</t>
        </is>
      </c>
      <c r="F1913" s="5" t="inlineStr">
        <is>
          <t>Finance</t>
        </is>
      </c>
      <c r="G1913" s="5" t="inlineStr">
        <is>
          <t>Financial Analyst</t>
        </is>
      </c>
      <c r="H1913" s="5" t="inlineStr">
        <is>
          <t>2</t>
        </is>
      </c>
      <c r="I1913" s="5" t="inlineStr">
        <is>
          <t>Remote</t>
        </is>
      </c>
      <c r="J1913" s="5" t="inlineStr">
        <is>
          <t>Full-Time</t>
        </is>
      </c>
      <c r="K1913" s="7" t="n">
        <v>45066</v>
      </c>
      <c r="L1913" s="7" t="inlineStr"/>
      <c r="M1913" s="5" t="inlineStr">
        <is>
          <t>Yes</t>
        </is>
      </c>
      <c r="N1913" s="5" t="inlineStr"/>
      <c r="O1913" s="8" t="inlineStr">
        <is>
          <t>117000</t>
        </is>
      </c>
      <c r="P1913" s="5" t="inlineStr">
        <is>
          <t>0</t>
        </is>
      </c>
      <c r="Q1913" s="5" t="inlineStr">
        <is>
          <t>3</t>
        </is>
      </c>
      <c r="R1913" s="5" t="inlineStr">
        <is>
          <t>8</t>
        </is>
      </c>
      <c r="S1913" s="5" t="inlineStr">
        <is>
          <t>31</t>
        </is>
      </c>
      <c r="T1913" s="5" t="inlineStr">
        <is>
          <t>0</t>
        </is>
      </c>
      <c r="U1913" s="5" t="inlineStr">
        <is>
          <t>OK</t>
        </is>
      </c>
    </row>
    <row r="1914">
      <c r="A1914" s="5" t="inlineStr">
        <is>
          <t>E00611</t>
        </is>
      </c>
      <c r="B1914" s="5" t="inlineStr">
        <is>
          <t>Female</t>
        </is>
      </c>
      <c r="C1914" s="6" t="inlineStr">
        <is>
          <t>30</t>
        </is>
      </c>
      <c r="D1914" s="5" t="inlineStr">
        <is>
          <t>Married</t>
        </is>
      </c>
      <c r="E1914" s="5" t="inlineStr">
        <is>
          <t>High School</t>
        </is>
      </c>
      <c r="F1914" s="5" t="inlineStr">
        <is>
          <t>Research &amp; Development</t>
        </is>
      </c>
      <c r="G1914" s="5" t="inlineStr">
        <is>
          <t>Product Engineer</t>
        </is>
      </c>
      <c r="H1914" s="5" t="inlineStr">
        <is>
          <t>2</t>
        </is>
      </c>
      <c r="I1914" s="5" t="inlineStr">
        <is>
          <t>Bengaluru</t>
        </is>
      </c>
      <c r="J1914" s="5" t="inlineStr">
        <is>
          <t>Full-Time</t>
        </is>
      </c>
      <c r="K1914" s="7" t="n">
        <v>44547</v>
      </c>
      <c r="L1914" s="7" t="inlineStr"/>
      <c r="M1914" s="5" t="inlineStr">
        <is>
          <t>Yes</t>
        </is>
      </c>
      <c r="N1914" s="5" t="inlineStr"/>
      <c r="O1914" s="8" t="inlineStr">
        <is>
          <t>146500</t>
        </is>
      </c>
      <c r="P1914" s="5" t="inlineStr">
        <is>
          <t>0</t>
        </is>
      </c>
      <c r="Q1914" s="5" t="inlineStr">
        <is>
          <t>4</t>
        </is>
      </c>
      <c r="R1914" s="5" t="inlineStr">
        <is>
          <t>9</t>
        </is>
      </c>
      <c r="S1914" s="5" t="inlineStr">
        <is>
          <t>49</t>
        </is>
      </c>
      <c r="T1914" s="5" t="inlineStr">
        <is>
          <t>5</t>
        </is>
      </c>
      <c r="U1914" s="5" t="inlineStr">
        <is>
          <t>OK</t>
        </is>
      </c>
    </row>
    <row r="1915">
      <c r="A1915" s="5" t="inlineStr">
        <is>
          <t>E00026</t>
        </is>
      </c>
      <c r="B1915" s="5" t="inlineStr">
        <is>
          <t>Unknown</t>
        </is>
      </c>
      <c r="C1915" s="6" t="inlineStr">
        <is>
          <t>32</t>
        </is>
      </c>
      <c r="D1915" s="5" t="inlineStr">
        <is>
          <t>Single</t>
        </is>
      </c>
      <c r="E1915" s="5" t="inlineStr">
        <is>
          <t>High School</t>
        </is>
      </c>
      <c r="F1915" s="5" t="inlineStr">
        <is>
          <t>Operations</t>
        </is>
      </c>
      <c r="G1915" s="5" t="inlineStr">
        <is>
          <t>Operations Analyst</t>
        </is>
      </c>
      <c r="H1915" s="5" t="inlineStr">
        <is>
          <t>2</t>
        </is>
      </c>
      <c r="I1915" s="5" t="inlineStr">
        <is>
          <t>Bengaluru</t>
        </is>
      </c>
      <c r="J1915" s="5" t="inlineStr">
        <is>
          <t>Full-Time</t>
        </is>
      </c>
      <c r="K1915" s="7" t="n">
        <v>44960</v>
      </c>
      <c r="L1915" s="7" t="inlineStr"/>
      <c r="M1915" s="5" t="inlineStr">
        <is>
          <t>Yes</t>
        </is>
      </c>
      <c r="N1915" s="5" t="inlineStr"/>
      <c r="O1915" s="8" t="inlineStr">
        <is>
          <t>92000</t>
        </is>
      </c>
      <c r="P1915" s="5" t="inlineStr">
        <is>
          <t>0</t>
        </is>
      </c>
      <c r="Q1915" s="5" t="inlineStr">
        <is>
          <t>4</t>
        </is>
      </c>
      <c r="R1915" s="5" t="inlineStr">
        <is>
          <t>4</t>
        </is>
      </c>
      <c r="S1915" s="5" t="inlineStr">
        <is>
          <t>35</t>
        </is>
      </c>
      <c r="T1915" s="5" t="inlineStr">
        <is>
          <t>3</t>
        </is>
      </c>
      <c r="U1915" s="5" t="inlineStr">
        <is>
          <t>Bad gender</t>
        </is>
      </c>
    </row>
    <row r="1916">
      <c r="A1916" s="5" t="inlineStr">
        <is>
          <t>E00097</t>
        </is>
      </c>
      <c r="B1916" s="5" t="inlineStr">
        <is>
          <t>Male</t>
        </is>
      </c>
      <c r="C1916" s="6" t="inlineStr">
        <is>
          <t>27</t>
        </is>
      </c>
      <c r="D1916" s="5" t="inlineStr">
        <is>
          <t>Married</t>
        </is>
      </c>
      <c r="E1916" s="5" t="inlineStr">
        <is>
          <t>Diploma</t>
        </is>
      </c>
      <c r="F1916" s="5" t="inlineStr">
        <is>
          <t>Sales</t>
        </is>
      </c>
      <c r="G1916" s="5" t="inlineStr">
        <is>
          <t>Account Executive</t>
        </is>
      </c>
      <c r="H1916" s="5" t="inlineStr">
        <is>
          <t>1</t>
        </is>
      </c>
      <c r="I1916" s="5" t="inlineStr">
        <is>
          <t>Bengaluru</t>
        </is>
      </c>
      <c r="J1916" s="5" t="inlineStr">
        <is>
          <t>Full-Time</t>
        </is>
      </c>
      <c r="K1916" s="7" t="n">
        <v>44917</v>
      </c>
      <c r="L1916" s="7" t="inlineStr"/>
      <c r="M1916" s="5" t="inlineStr">
        <is>
          <t>Yes</t>
        </is>
      </c>
      <c r="N1916" s="5" t="inlineStr"/>
      <c r="O1916" s="8" t="inlineStr">
        <is>
          <t>81000</t>
        </is>
      </c>
      <c r="P1916" s="5" t="inlineStr">
        <is>
          <t>5</t>
        </is>
      </c>
      <c r="Q1916" s="5" t="inlineStr">
        <is>
          <t>5</t>
        </is>
      </c>
      <c r="R1916" s="5" t="inlineStr">
        <is>
          <t>5</t>
        </is>
      </c>
      <c r="S1916" s="5" t="inlineStr">
        <is>
          <t>36</t>
        </is>
      </c>
      <c r="T1916" s="5" t="inlineStr">
        <is>
          <t>4</t>
        </is>
      </c>
      <c r="U1916" s="5" t="inlineStr">
        <is>
          <t>OK</t>
        </is>
      </c>
    </row>
    <row r="1917">
      <c r="A1917" s="5" t="inlineStr">
        <is>
          <t>E01134</t>
        </is>
      </c>
      <c r="B1917" s="5" t="inlineStr">
        <is>
          <t>Male</t>
        </is>
      </c>
      <c r="C1917" s="6" t="inlineStr">
        <is>
          <t>35</t>
        </is>
      </c>
      <c r="D1917" s="5" t="inlineStr">
        <is>
          <t>Single</t>
        </is>
      </c>
      <c r="E1917" s="5" t="inlineStr">
        <is>
          <t>High School</t>
        </is>
      </c>
      <c r="F1917" s="5" t="inlineStr">
        <is>
          <t>Customer Support</t>
        </is>
      </c>
      <c r="G1917" s="5" t="inlineStr">
        <is>
          <t>Support Lead</t>
        </is>
      </c>
      <c r="H1917" s="5" t="inlineStr">
        <is>
          <t>5</t>
        </is>
      </c>
      <c r="I1917" s="5" t="inlineStr">
        <is>
          <t>Bengaluru</t>
        </is>
      </c>
      <c r="J1917" s="5" t="inlineStr">
        <is>
          <t>Full-Time</t>
        </is>
      </c>
      <c r="K1917" s="7" t="n">
        <v>45906</v>
      </c>
      <c r="L1917" s="7" t="inlineStr"/>
      <c r="M1917" s="5" t="inlineStr">
        <is>
          <t>Yes</t>
        </is>
      </c>
      <c r="N1917" s="5" t="inlineStr"/>
      <c r="O1917" s="8" t="inlineStr">
        <is>
          <t>65500</t>
        </is>
      </c>
      <c r="P1917" s="5" t="inlineStr">
        <is>
          <t>0</t>
        </is>
      </c>
      <c r="Q1917" s="5" t="inlineStr">
        <is>
          <t>2</t>
        </is>
      </c>
      <c r="R1917" s="5" t="inlineStr">
        <is>
          <t>4</t>
        </is>
      </c>
      <c r="S1917" s="5" t="inlineStr">
        <is>
          <t>3</t>
        </is>
      </c>
      <c r="T1917" s="5" t="inlineStr">
        <is>
          <t>6</t>
        </is>
      </c>
      <c r="U1917" s="5" t="inlineStr">
        <is>
          <t>OK</t>
        </is>
      </c>
    </row>
    <row r="1918">
      <c r="A1918" s="5" t="inlineStr">
        <is>
          <t>E01931</t>
        </is>
      </c>
      <c r="B1918" s="5" t="inlineStr">
        <is>
          <t>Male</t>
        </is>
      </c>
      <c r="C1918" s="6" t="inlineStr">
        <is>
          <t>30</t>
        </is>
      </c>
      <c r="D1918" s="5" t="inlineStr">
        <is>
          <t>Married</t>
        </is>
      </c>
      <c r="E1918" s="5" t="inlineStr">
        <is>
          <t>High School</t>
        </is>
      </c>
      <c r="F1918" s="5" t="inlineStr">
        <is>
          <t>Research &amp; Development</t>
        </is>
      </c>
      <c r="G1918" s="5" t="inlineStr">
        <is>
          <t>Data Scientist</t>
        </is>
      </c>
      <c r="H1918" s="5" t="inlineStr">
        <is>
          <t>2</t>
        </is>
      </c>
      <c r="I1918" s="5" t="inlineStr">
        <is>
          <t>Chennai</t>
        </is>
      </c>
      <c r="J1918" s="5" t="inlineStr">
        <is>
          <t>Full-Time</t>
        </is>
      </c>
      <c r="K1918" s="7" t="n">
        <v>45240</v>
      </c>
      <c r="L1918" s="7" t="n">
        <v>45373</v>
      </c>
      <c r="M1918" s="5" t="inlineStr">
        <is>
          <t>No</t>
        </is>
      </c>
      <c r="N1918" s="5" t="inlineStr">
        <is>
          <t>Resigned</t>
        </is>
      </c>
      <c r="O1918" s="8" t="inlineStr">
        <is>
          <t>144500</t>
        </is>
      </c>
      <c r="P1918" s="5" t="inlineStr">
        <is>
          <t>5</t>
        </is>
      </c>
      <c r="Q1918" s="5" t="inlineStr">
        <is>
          <t>4</t>
        </is>
      </c>
      <c r="R1918" s="5" t="inlineStr">
        <is>
          <t>10</t>
        </is>
      </c>
      <c r="S1918" s="5" t="inlineStr">
        <is>
          <t>4</t>
        </is>
      </c>
      <c r="T1918" s="5" t="inlineStr">
        <is>
          <t>11</t>
        </is>
      </c>
      <c r="U1918" s="5" t="inlineStr">
        <is>
          <t>OK</t>
        </is>
      </c>
    </row>
    <row r="1919">
      <c r="A1919" s="5" t="inlineStr">
        <is>
          <t>E01246</t>
        </is>
      </c>
      <c r="B1919" s="5" t="inlineStr">
        <is>
          <t>Female</t>
        </is>
      </c>
      <c r="C1919" s="6" t="inlineStr">
        <is>
          <t>30</t>
        </is>
      </c>
      <c r="D1919" s="5" t="inlineStr">
        <is>
          <t>Married</t>
        </is>
      </c>
      <c r="E1919" s="5" t="inlineStr">
        <is>
          <t>Master</t>
        </is>
      </c>
      <c r="F1919" s="5" t="inlineStr">
        <is>
          <t>Operations</t>
        </is>
      </c>
      <c r="G1919" s="5" t="inlineStr">
        <is>
          <t>Logistics Coordinator</t>
        </is>
      </c>
      <c r="H1919" s="5" t="inlineStr">
        <is>
          <t>2</t>
        </is>
      </c>
      <c r="I1919" s="5" t="inlineStr">
        <is>
          <t>Delhi</t>
        </is>
      </c>
      <c r="J1919" s="5" t="inlineStr">
        <is>
          <t>Full-Time</t>
        </is>
      </c>
      <c r="K1919" s="7" t="n">
        <v>45576</v>
      </c>
      <c r="L1919" s="7" t="n">
        <v>45668</v>
      </c>
      <c r="M1919" s="5" t="inlineStr">
        <is>
          <t>No</t>
        </is>
      </c>
      <c r="N1919" s="5" t="inlineStr">
        <is>
          <t>Performance / Termination</t>
        </is>
      </c>
      <c r="O1919" s="8" t="inlineStr">
        <is>
          <t>97000</t>
        </is>
      </c>
      <c r="P1919" s="5" t="inlineStr">
        <is>
          <t>10</t>
        </is>
      </c>
      <c r="Q1919" s="5" t="inlineStr">
        <is>
          <t>3</t>
        </is>
      </c>
      <c r="R1919" s="5" t="inlineStr">
        <is>
          <t>6</t>
        </is>
      </c>
      <c r="S1919" s="5" t="inlineStr">
        <is>
          <t>3</t>
        </is>
      </c>
      <c r="T1919" s="5" t="inlineStr">
        <is>
          <t>11</t>
        </is>
      </c>
      <c r="U1919" s="5" t="inlineStr">
        <is>
          <t>OK</t>
        </is>
      </c>
    </row>
    <row r="1920">
      <c r="A1920" s="5" t="inlineStr">
        <is>
          <t>E01967</t>
        </is>
      </c>
      <c r="B1920" s="5" t="inlineStr">
        <is>
          <t>Male</t>
        </is>
      </c>
      <c r="C1920" s="6" t="inlineStr">
        <is>
          <t>35</t>
        </is>
      </c>
      <c r="D1920" s="5" t="inlineStr">
        <is>
          <t>Married</t>
        </is>
      </c>
      <c r="E1920" s="5" t="inlineStr">
        <is>
          <t>Diploma</t>
        </is>
      </c>
      <c r="F1920" s="5" t="inlineStr">
        <is>
          <t>IT</t>
        </is>
      </c>
      <c r="G1920" s="5" t="inlineStr">
        <is>
          <t>IT Support</t>
        </is>
      </c>
      <c r="H1920" s="5" t="inlineStr">
        <is>
          <t>5</t>
        </is>
      </c>
      <c r="I1920" s="5" t="inlineStr">
        <is>
          <t>Delhi</t>
        </is>
      </c>
      <c r="J1920" s="5" t="inlineStr">
        <is>
          <t>Full-Time</t>
        </is>
      </c>
      <c r="K1920" s="7" t="n">
        <v>44941</v>
      </c>
      <c r="L1920" s="7" t="n">
        <v>45054</v>
      </c>
      <c r="M1920" s="5" t="inlineStr">
        <is>
          <t>No</t>
        </is>
      </c>
      <c r="N1920" s="5" t="inlineStr">
        <is>
          <t>Resigned</t>
        </is>
      </c>
      <c r="O1920" s="8" t="inlineStr">
        <is>
          <t>136500</t>
        </is>
      </c>
      <c r="P1920" s="5" t="inlineStr">
        <is>
          <t>20</t>
        </is>
      </c>
      <c r="Q1920" s="5" t="inlineStr">
        <is>
          <t>2</t>
        </is>
      </c>
      <c r="R1920" s="5" t="inlineStr">
        <is>
          <t>8</t>
        </is>
      </c>
      <c r="S1920" s="5" t="inlineStr">
        <is>
          <t>3</t>
        </is>
      </c>
      <c r="T1920" s="5" t="inlineStr">
        <is>
          <t>1</t>
        </is>
      </c>
      <c r="U1920" s="5" t="inlineStr">
        <is>
          <t>OK</t>
        </is>
      </c>
    </row>
    <row r="1921">
      <c r="A1921" s="5" t="inlineStr">
        <is>
          <t>E01035</t>
        </is>
      </c>
      <c r="B1921" s="5" t="inlineStr">
        <is>
          <t>Female</t>
        </is>
      </c>
      <c r="C1921" s="6" t="inlineStr">
        <is>
          <t>33</t>
        </is>
      </c>
      <c r="D1921" s="5" t="inlineStr">
        <is>
          <t>Married</t>
        </is>
      </c>
      <c r="E1921" s="5" t="inlineStr">
        <is>
          <t>High School</t>
        </is>
      </c>
      <c r="F1921" s="5" t="inlineStr">
        <is>
          <t>Operations</t>
        </is>
      </c>
      <c r="G1921" s="5" t="inlineStr">
        <is>
          <t>Operations Analyst</t>
        </is>
      </c>
      <c r="H1921" s="5" t="inlineStr">
        <is>
          <t>3</t>
        </is>
      </c>
      <c r="I1921" s="5" t="inlineStr">
        <is>
          <t>Remote</t>
        </is>
      </c>
      <c r="J1921" s="5" t="inlineStr">
        <is>
          <t>Full-Time</t>
        </is>
      </c>
      <c r="K1921" s="7" t="n">
        <v>45244</v>
      </c>
      <c r="L1921" s="7" t="inlineStr"/>
      <c r="M1921" s="5" t="inlineStr">
        <is>
          <t>Yes</t>
        </is>
      </c>
      <c r="N1921" s="5" t="inlineStr"/>
      <c r="O1921" s="8" t="inlineStr">
        <is>
          <t>73500</t>
        </is>
      </c>
      <c r="P1921" s="5" t="inlineStr">
        <is>
          <t>0</t>
        </is>
      </c>
      <c r="Q1921" s="5" t="inlineStr">
        <is>
          <t>3</t>
        </is>
      </c>
      <c r="R1921" s="5" t="inlineStr">
        <is>
          <t>6</t>
        </is>
      </c>
      <c r="S1921" s="5" t="inlineStr">
        <is>
          <t>25</t>
        </is>
      </c>
      <c r="T1921" s="5" t="inlineStr">
        <is>
          <t>20</t>
        </is>
      </c>
      <c r="U1921" s="5" t="inlineStr">
        <is>
          <t>OK</t>
        </is>
      </c>
    </row>
    <row r="1922">
      <c r="A1922" s="5" t="inlineStr">
        <is>
          <t>E02332</t>
        </is>
      </c>
      <c r="B1922" s="5" t="inlineStr">
        <is>
          <t>Female</t>
        </is>
      </c>
      <c r="C1922" s="6" t="inlineStr">
        <is>
          <t>33</t>
        </is>
      </c>
      <c r="D1922" s="5" t="inlineStr">
        <is>
          <t>Married</t>
        </is>
      </c>
      <c r="E1922" s="5" t="inlineStr">
        <is>
          <t>Master</t>
        </is>
      </c>
      <c r="F1922" s="5" t="inlineStr">
        <is>
          <t>Marketing</t>
        </is>
      </c>
      <c r="G1922" s="5" t="inlineStr">
        <is>
          <t>SEO Specialist</t>
        </is>
      </c>
      <c r="H1922" s="5" t="inlineStr">
        <is>
          <t>4</t>
        </is>
      </c>
      <c r="I1922" s="5" t="inlineStr">
        <is>
          <t>Mumbai</t>
        </is>
      </c>
      <c r="J1922" s="5" t="inlineStr">
        <is>
          <t>Full-Time</t>
        </is>
      </c>
      <c r="K1922" s="7" t="n">
        <v>45791</v>
      </c>
      <c r="L1922" s="7" t="inlineStr"/>
      <c r="M1922" s="5" t="inlineStr">
        <is>
          <t>Yes</t>
        </is>
      </c>
      <c r="N1922" s="5" t="inlineStr"/>
      <c r="O1922" s="8" t="inlineStr">
        <is>
          <t>87000</t>
        </is>
      </c>
      <c r="P1922" s="5" t="inlineStr">
        <is>
          <t>15</t>
        </is>
      </c>
      <c r="Q1922" s="5" t="inlineStr">
        <is>
          <t>4</t>
        </is>
      </c>
      <c r="R1922" s="5" t="inlineStr">
        <is>
          <t>5</t>
        </is>
      </c>
      <c r="S1922" s="5" t="inlineStr">
        <is>
          <t>7</t>
        </is>
      </c>
      <c r="T1922" s="5" t="inlineStr">
        <is>
          <t>3</t>
        </is>
      </c>
      <c r="U1922" s="5" t="inlineStr">
        <is>
          <t>OK</t>
        </is>
      </c>
    </row>
    <row r="1923">
      <c r="A1923" s="5" t="inlineStr">
        <is>
          <t>E02556</t>
        </is>
      </c>
      <c r="B1923" s="5" t="inlineStr">
        <is>
          <t>Male</t>
        </is>
      </c>
      <c r="C1923" s="6" t="inlineStr">
        <is>
          <t>32</t>
        </is>
      </c>
      <c r="D1923" s="5" t="inlineStr">
        <is>
          <t>Married</t>
        </is>
      </c>
      <c r="E1923" s="5" t="inlineStr">
        <is>
          <t>High School</t>
        </is>
      </c>
      <c r="F1923" s="5" t="inlineStr">
        <is>
          <t>Operations</t>
        </is>
      </c>
      <c r="G1923" s="5" t="inlineStr">
        <is>
          <t>Quality Analyst</t>
        </is>
      </c>
      <c r="H1923" s="5" t="inlineStr">
        <is>
          <t>3</t>
        </is>
      </c>
      <c r="I1923" s="5" t="inlineStr">
        <is>
          <t>Remote</t>
        </is>
      </c>
      <c r="J1923" s="5" t="inlineStr">
        <is>
          <t>Full-Time</t>
        </is>
      </c>
      <c r="K1923" s="7" t="n">
        <v>44488</v>
      </c>
      <c r="L1923" s="7" t="n">
        <v>44545</v>
      </c>
      <c r="M1923" s="5" t="inlineStr">
        <is>
          <t>No</t>
        </is>
      </c>
      <c r="N1923" s="5" t="inlineStr">
        <is>
          <t>Relocation</t>
        </is>
      </c>
      <c r="O1923" s="8" t="inlineStr">
        <is>
          <t>111500</t>
        </is>
      </c>
      <c r="P1923" s="5" t="inlineStr">
        <is>
          <t>0</t>
        </is>
      </c>
      <c r="Q1923" s="5" t="inlineStr">
        <is>
          <t>2</t>
        </is>
      </c>
      <c r="R1923" s="5" t="inlineStr">
        <is>
          <t>6</t>
        </is>
      </c>
      <c r="S1923" s="5" t="inlineStr">
        <is>
          <t>1</t>
        </is>
      </c>
      <c r="T1923" s="5" t="inlineStr">
        <is>
          <t>0</t>
        </is>
      </c>
      <c r="U1923" s="5" t="inlineStr">
        <is>
          <t>OK</t>
        </is>
      </c>
    </row>
    <row r="1924">
      <c r="A1924" s="5" t="inlineStr">
        <is>
          <t>E02236</t>
        </is>
      </c>
      <c r="B1924" s="5" t="inlineStr">
        <is>
          <t>Male</t>
        </is>
      </c>
      <c r="C1924" s="6" t="inlineStr">
        <is>
          <t>28</t>
        </is>
      </c>
      <c r="D1924" s="5" t="inlineStr">
        <is>
          <t>Married</t>
        </is>
      </c>
      <c r="E1924" s="5" t="inlineStr">
        <is>
          <t>High School</t>
        </is>
      </c>
      <c r="F1924" s="5" t="inlineStr">
        <is>
          <t>IT</t>
        </is>
      </c>
      <c r="G1924" s="5" t="inlineStr">
        <is>
          <t>DevOps Engineer</t>
        </is>
      </c>
      <c r="H1924" s="5" t="inlineStr">
        <is>
          <t>2</t>
        </is>
      </c>
      <c r="I1924" s="5" t="inlineStr">
        <is>
          <t>Remote</t>
        </is>
      </c>
      <c r="J1924" s="5" t="inlineStr">
        <is>
          <t>Contract</t>
        </is>
      </c>
      <c r="K1924" s="7" t="n">
        <v>45217</v>
      </c>
      <c r="L1924" s="7" t="inlineStr"/>
      <c r="M1924" s="5" t="inlineStr">
        <is>
          <t>Yes</t>
        </is>
      </c>
      <c r="N1924" s="5" t="inlineStr"/>
      <c r="O1924" s="8" t="inlineStr">
        <is>
          <t>119500</t>
        </is>
      </c>
      <c r="P1924" s="5" t="inlineStr">
        <is>
          <t>5</t>
        </is>
      </c>
      <c r="Q1924" s="5" t="inlineStr">
        <is>
          <t>5</t>
        </is>
      </c>
      <c r="R1924" s="5" t="inlineStr">
        <is>
          <t>4</t>
        </is>
      </c>
      <c r="S1924" s="5" t="inlineStr">
        <is>
          <t>26</t>
        </is>
      </c>
      <c r="T1924" s="5" t="inlineStr">
        <is>
          <t>3</t>
        </is>
      </c>
      <c r="U1924" s="5" t="inlineStr">
        <is>
          <t>OK</t>
        </is>
      </c>
    </row>
    <row r="1925">
      <c r="A1925" s="5" t="inlineStr">
        <is>
          <t>E00033</t>
        </is>
      </c>
      <c r="B1925" s="5" t="inlineStr">
        <is>
          <t>Female</t>
        </is>
      </c>
      <c r="C1925" s="6" t="inlineStr">
        <is>
          <t>36</t>
        </is>
      </c>
      <c r="D1925" s="5" t="inlineStr">
        <is>
          <t>Married</t>
        </is>
      </c>
      <c r="E1925" s="5" t="inlineStr">
        <is>
          <t>Bachelor</t>
        </is>
      </c>
      <c r="F1925" s="5" t="inlineStr">
        <is>
          <t>Operations</t>
        </is>
      </c>
      <c r="G1925" s="5" t="inlineStr">
        <is>
          <t>Quality Analyst</t>
        </is>
      </c>
      <c r="H1925" s="5" t="inlineStr">
        <is>
          <t>2</t>
        </is>
      </c>
      <c r="I1925" s="5" t="inlineStr">
        <is>
          <t>Hyderabad</t>
        </is>
      </c>
      <c r="J1925" s="5" t="inlineStr">
        <is>
          <t>Full-Time</t>
        </is>
      </c>
      <c r="K1925" s="7" t="n">
        <v>45162</v>
      </c>
      <c r="L1925" s="7" t="n">
        <v>45288</v>
      </c>
      <c r="M1925" s="5" t="inlineStr">
        <is>
          <t>No</t>
        </is>
      </c>
      <c r="N1925" s="5" t="inlineStr">
        <is>
          <t>Retirement</t>
        </is>
      </c>
      <c r="O1925" s="8" t="inlineStr">
        <is>
          <t>86000</t>
        </is>
      </c>
      <c r="P1925" s="5" t="inlineStr">
        <is>
          <t>15</t>
        </is>
      </c>
      <c r="Q1925" s="5" t="inlineStr">
        <is>
          <t>4</t>
        </is>
      </c>
      <c r="R1925" s="5" t="inlineStr">
        <is>
          <t>4</t>
        </is>
      </c>
      <c r="S1925" s="5" t="inlineStr">
        <is>
          <t>4</t>
        </is>
      </c>
      <c r="T1925" s="5" t="inlineStr">
        <is>
          <t>6</t>
        </is>
      </c>
      <c r="U1925" s="5" t="inlineStr">
        <is>
          <t>OK</t>
        </is>
      </c>
    </row>
    <row r="1926">
      <c r="A1926" s="5" t="inlineStr">
        <is>
          <t>E02072</t>
        </is>
      </c>
      <c r="B1926" s="5" t="inlineStr">
        <is>
          <t>Female</t>
        </is>
      </c>
      <c r="C1926" s="6" t="inlineStr">
        <is>
          <t>28</t>
        </is>
      </c>
      <c r="D1926" s="5" t="inlineStr">
        <is>
          <t>Married</t>
        </is>
      </c>
      <c r="E1926" s="5" t="inlineStr">
        <is>
          <t>PhD</t>
        </is>
      </c>
      <c r="F1926" s="5" t="inlineStr">
        <is>
          <t>Human Resources</t>
        </is>
      </c>
      <c r="G1926" s="5" t="inlineStr">
        <is>
          <t>Recruiter</t>
        </is>
      </c>
      <c r="H1926" s="5" t="inlineStr">
        <is>
          <t>1</t>
        </is>
      </c>
      <c r="I1926" s="5" t="inlineStr">
        <is>
          <t>Delhi</t>
        </is>
      </c>
      <c r="J1926" s="5" t="inlineStr">
        <is>
          <t>Contract</t>
        </is>
      </c>
      <c r="K1926" s="7" t="n">
        <v>46011</v>
      </c>
      <c r="L1926" s="7" t="n">
        <v>46021</v>
      </c>
      <c r="M1926" s="5" t="inlineStr">
        <is>
          <t>No</t>
        </is>
      </c>
      <c r="N1926" s="5" t="inlineStr">
        <is>
          <t>Resigned</t>
        </is>
      </c>
      <c r="O1926" s="8" t="inlineStr">
        <is>
          <t>89000</t>
        </is>
      </c>
      <c r="P1926" s="5" t="inlineStr">
        <is>
          <t>10</t>
        </is>
      </c>
      <c r="Q1926" s="5" t="inlineStr">
        <is>
          <t>3</t>
        </is>
      </c>
      <c r="R1926" s="5" t="inlineStr">
        <is>
          <t>6</t>
        </is>
      </c>
      <c r="S1926" s="5" t="inlineStr">
        <is>
          <t>1</t>
        </is>
      </c>
      <c r="T1926" s="5" t="inlineStr">
        <is>
          <t>6</t>
        </is>
      </c>
      <c r="U1926" s="5" t="inlineStr">
        <is>
          <t>OK</t>
        </is>
      </c>
    </row>
    <row r="1927">
      <c r="A1927" s="5" t="inlineStr">
        <is>
          <t>E00146</t>
        </is>
      </c>
      <c r="B1927" s="5" t="inlineStr">
        <is>
          <t>Female</t>
        </is>
      </c>
      <c r="C1927" s="6" t="inlineStr">
        <is>
          <t>29</t>
        </is>
      </c>
      <c r="D1927" s="5" t="inlineStr">
        <is>
          <t>Married</t>
        </is>
      </c>
      <c r="E1927" s="5" t="inlineStr">
        <is>
          <t>PhD</t>
        </is>
      </c>
      <c r="F1927" s="5" t="inlineStr">
        <is>
          <t>Executive</t>
        </is>
      </c>
      <c r="G1927" s="5" t="inlineStr">
        <is>
          <t>CFO</t>
        </is>
      </c>
      <c r="H1927" s="5" t="inlineStr">
        <is>
          <t>2</t>
        </is>
      </c>
      <c r="I1927" s="5" t="inlineStr">
        <is>
          <t>Chennai</t>
        </is>
      </c>
      <c r="J1927" s="5" t="inlineStr">
        <is>
          <t>Full-Time</t>
        </is>
      </c>
      <c r="K1927" s="7" t="n">
        <v>45587</v>
      </c>
      <c r="L1927" s="7" t="inlineStr"/>
      <c r="M1927" s="5" t="inlineStr">
        <is>
          <t>Yes</t>
        </is>
      </c>
      <c r="N1927" s="5" t="inlineStr"/>
      <c r="O1927" s="8" t="inlineStr">
        <is>
          <t>262000</t>
        </is>
      </c>
      <c r="P1927" s="5" t="inlineStr">
        <is>
          <t>15</t>
        </is>
      </c>
      <c r="Q1927" s="5" t="inlineStr">
        <is>
          <t>4</t>
        </is>
      </c>
      <c r="R1927" s="5" t="inlineStr">
        <is>
          <t>7</t>
        </is>
      </c>
      <c r="S1927" s="5" t="inlineStr">
        <is>
          <t>14</t>
        </is>
      </c>
      <c r="T1927" s="5" t="inlineStr">
        <is>
          <t>16</t>
        </is>
      </c>
      <c r="U1927" s="5" t="inlineStr">
        <is>
          <t>OK</t>
        </is>
      </c>
    </row>
    <row r="1928">
      <c r="A1928" s="5" t="inlineStr">
        <is>
          <t>E01779</t>
        </is>
      </c>
      <c r="B1928" s="5" t="inlineStr">
        <is>
          <t>Male</t>
        </is>
      </c>
      <c r="C1928" s="6" t="inlineStr">
        <is>
          <t>32</t>
        </is>
      </c>
      <c r="D1928" s="5" t="inlineStr">
        <is>
          <t>Married</t>
        </is>
      </c>
      <c r="E1928" s="5" t="inlineStr">
        <is>
          <t>High School</t>
        </is>
      </c>
      <c r="F1928" s="5" t="inlineStr">
        <is>
          <t>IT</t>
        </is>
      </c>
      <c r="G1928" s="5" t="inlineStr">
        <is>
          <t>IT Support</t>
        </is>
      </c>
      <c r="H1928" s="5" t="inlineStr">
        <is>
          <t>2</t>
        </is>
      </c>
      <c r="I1928" s="5" t="inlineStr">
        <is>
          <t>Chennai</t>
        </is>
      </c>
      <c r="J1928" s="5" t="inlineStr">
        <is>
          <t>Full-Time</t>
        </is>
      </c>
      <c r="K1928" s="7" t="n">
        <v>45323</v>
      </c>
      <c r="L1928" s="7" t="inlineStr"/>
      <c r="M1928" s="5" t="inlineStr">
        <is>
          <t>Yes</t>
        </is>
      </c>
      <c r="N1928" s="5" t="inlineStr"/>
      <c r="O1928" s="8" t="inlineStr">
        <is>
          <t>107500</t>
        </is>
      </c>
      <c r="P1928" s="5" t="inlineStr">
        <is>
          <t>5</t>
        </is>
      </c>
      <c r="Q1928" s="5" t="inlineStr">
        <is>
          <t>4</t>
        </is>
      </c>
      <c r="R1928" s="5" t="inlineStr">
        <is>
          <t>7</t>
        </is>
      </c>
      <c r="S1928" s="5" t="inlineStr">
        <is>
          <t>23</t>
        </is>
      </c>
      <c r="T1928" s="5" t="inlineStr">
        <is>
          <t>4</t>
        </is>
      </c>
      <c r="U1928" s="5" t="inlineStr">
        <is>
          <t>OK</t>
        </is>
      </c>
    </row>
    <row r="1929">
      <c r="A1929" s="5" t="inlineStr">
        <is>
          <t>E01050</t>
        </is>
      </c>
      <c r="B1929" s="5" t="inlineStr">
        <is>
          <t>Male</t>
        </is>
      </c>
      <c r="C1929" s="6" t="inlineStr">
        <is>
          <t>32</t>
        </is>
      </c>
      <c r="D1929" s="5" t="inlineStr">
        <is>
          <t>Married</t>
        </is>
      </c>
      <c r="E1929" s="5" t="inlineStr">
        <is>
          <t>Diploma</t>
        </is>
      </c>
      <c r="F1929" s="5" t="inlineStr">
        <is>
          <t>Sales</t>
        </is>
      </c>
      <c r="G1929" s="5" t="inlineStr">
        <is>
          <t>Sales Executive</t>
        </is>
      </c>
      <c r="H1929" s="5" t="inlineStr">
        <is>
          <t>1</t>
        </is>
      </c>
      <c r="I1929" s="5" t="inlineStr">
        <is>
          <t>Delhi</t>
        </is>
      </c>
      <c r="J1929" s="5" t="inlineStr">
        <is>
          <t>Full-Time</t>
        </is>
      </c>
      <c r="K1929" s="7" t="n">
        <v>45930</v>
      </c>
      <c r="L1929" s="7" t="inlineStr"/>
      <c r="M1929" s="5" t="inlineStr">
        <is>
          <t>Yes</t>
        </is>
      </c>
      <c r="N1929" s="5" t="inlineStr"/>
      <c r="O1929" s="8" t="inlineStr">
        <is>
          <t>100500</t>
        </is>
      </c>
      <c r="P1929" s="5" t="inlineStr">
        <is>
          <t>10</t>
        </is>
      </c>
      <c r="Q1929" s="5" t="inlineStr">
        <is>
          <t>4</t>
        </is>
      </c>
      <c r="R1929" s="5" t="inlineStr">
        <is>
          <t>7</t>
        </is>
      </c>
      <c r="S1929" s="5" t="inlineStr">
        <is>
          <t>3</t>
        </is>
      </c>
      <c r="T1929" s="5" t="inlineStr">
        <is>
          <t>9</t>
        </is>
      </c>
      <c r="U1929" s="5" t="inlineStr">
        <is>
          <t>OK</t>
        </is>
      </c>
    </row>
    <row r="1930">
      <c r="A1930" s="5" t="inlineStr">
        <is>
          <t>E02679</t>
        </is>
      </c>
      <c r="B1930" s="5" t="inlineStr">
        <is>
          <t>Female</t>
        </is>
      </c>
      <c r="C1930" s="6" t="inlineStr">
        <is>
          <t>43</t>
        </is>
      </c>
      <c r="D1930" s="5" t="inlineStr">
        <is>
          <t>Married</t>
        </is>
      </c>
      <c r="E1930" s="5" t="inlineStr">
        <is>
          <t>Diploma</t>
        </is>
      </c>
      <c r="F1930" s="5" t="inlineStr">
        <is>
          <t>Marketing</t>
        </is>
      </c>
      <c r="G1930" s="5" t="inlineStr">
        <is>
          <t>Marketing Analyst</t>
        </is>
      </c>
      <c r="H1930" s="5" t="inlineStr">
        <is>
          <t>7</t>
        </is>
      </c>
      <c r="I1930" s="5" t="inlineStr">
        <is>
          <t>Bengaluru</t>
        </is>
      </c>
      <c r="J1930" s="5" t="inlineStr">
        <is>
          <t>Part-Time</t>
        </is>
      </c>
      <c r="K1930" s="7" t="n">
        <v>45871</v>
      </c>
      <c r="L1930" s="7" t="inlineStr"/>
      <c r="M1930" s="5" t="inlineStr">
        <is>
          <t>Yes</t>
        </is>
      </c>
      <c r="N1930" s="5" t="inlineStr"/>
      <c r="O1930" s="8" t="inlineStr">
        <is>
          <t>99000</t>
        </is>
      </c>
      <c r="P1930" s="5" t="inlineStr">
        <is>
          <t>5</t>
        </is>
      </c>
      <c r="Q1930" s="5" t="inlineStr">
        <is>
          <t>5</t>
        </is>
      </c>
      <c r="R1930" s="5" t="inlineStr">
        <is>
          <t>5</t>
        </is>
      </c>
      <c r="S1930" s="5" t="inlineStr">
        <is>
          <t>5</t>
        </is>
      </c>
      <c r="T1930" s="5" t="inlineStr">
        <is>
          <t>7</t>
        </is>
      </c>
      <c r="U1930" s="5" t="inlineStr">
        <is>
          <t>OK</t>
        </is>
      </c>
    </row>
    <row r="1931">
      <c r="A1931" s="5" t="inlineStr">
        <is>
          <t>E01338</t>
        </is>
      </c>
      <c r="B1931" s="5" t="inlineStr">
        <is>
          <t>Female</t>
        </is>
      </c>
      <c r="C1931" s="6" t="inlineStr">
        <is>
          <t>41</t>
        </is>
      </c>
      <c r="D1931" s="5" t="inlineStr">
        <is>
          <t>Single</t>
        </is>
      </c>
      <c r="E1931" s="5" t="inlineStr">
        <is>
          <t>High School</t>
        </is>
      </c>
      <c r="F1931" s="5" t="inlineStr">
        <is>
          <t>Sales</t>
        </is>
      </c>
      <c r="G1931" s="5" t="inlineStr">
        <is>
          <t>Business Development</t>
        </is>
      </c>
      <c r="H1931" s="5" t="inlineStr">
        <is>
          <t>6</t>
        </is>
      </c>
      <c r="I1931" s="5" t="inlineStr">
        <is>
          <t>Delhi</t>
        </is>
      </c>
      <c r="J1931" s="5" t="inlineStr">
        <is>
          <t>Part-Time</t>
        </is>
      </c>
      <c r="K1931" s="7" t="n">
        <v>44636</v>
      </c>
      <c r="L1931" s="7" t="inlineStr"/>
      <c r="M1931" s="5" t="inlineStr">
        <is>
          <t>Yes</t>
        </is>
      </c>
      <c r="N1931" s="5" t="inlineStr"/>
      <c r="O1931" s="8" t="inlineStr">
        <is>
          <t>108000</t>
        </is>
      </c>
      <c r="P1931" s="5" t="inlineStr">
        <is>
          <t>15</t>
        </is>
      </c>
      <c r="Q1931" s="5" t="inlineStr">
        <is>
          <t>3</t>
        </is>
      </c>
      <c r="R1931" s="5" t="inlineStr">
        <is>
          <t>6</t>
        </is>
      </c>
      <c r="S1931" s="5" t="inlineStr">
        <is>
          <t>46</t>
        </is>
      </c>
      <c r="T1931" s="5" t="inlineStr">
        <is>
          <t>0</t>
        </is>
      </c>
      <c r="U1931" s="5" t="inlineStr">
        <is>
          <t>OK</t>
        </is>
      </c>
    </row>
    <row r="1932">
      <c r="A1932" s="5" t="inlineStr">
        <is>
          <t>E02976</t>
        </is>
      </c>
      <c r="B1932" s="5" t="inlineStr">
        <is>
          <t>Female</t>
        </is>
      </c>
      <c r="C1932" s="6" t="inlineStr">
        <is>
          <t>35</t>
        </is>
      </c>
      <c r="D1932" s="5" t="inlineStr">
        <is>
          <t>Single</t>
        </is>
      </c>
      <c r="E1932" s="5" t="inlineStr">
        <is>
          <t>Master</t>
        </is>
      </c>
      <c r="F1932" s="5" t="inlineStr">
        <is>
          <t>Finance</t>
        </is>
      </c>
      <c r="G1932" s="5" t="inlineStr">
        <is>
          <t>Financial Analyst</t>
        </is>
      </c>
      <c r="H1932" s="5" t="inlineStr">
        <is>
          <t>4</t>
        </is>
      </c>
      <c r="I1932" s="5" t="inlineStr">
        <is>
          <t>Mumbai</t>
        </is>
      </c>
      <c r="J1932" s="5" t="inlineStr">
        <is>
          <t>Contract</t>
        </is>
      </c>
      <c r="K1932" s="7" t="n">
        <v>44206</v>
      </c>
      <c r="L1932" s="7" t="inlineStr"/>
      <c r="M1932" s="5" t="inlineStr">
        <is>
          <t>Yes</t>
        </is>
      </c>
      <c r="N1932" s="5" t="inlineStr"/>
      <c r="O1932" s="8" t="inlineStr">
        <is>
          <t>156000</t>
        </is>
      </c>
      <c r="P1932" s="5" t="inlineStr">
        <is>
          <t>10</t>
        </is>
      </c>
      <c r="Q1932" s="5" t="inlineStr">
        <is>
          <t>3</t>
        </is>
      </c>
      <c r="R1932" s="5" t="inlineStr">
        <is>
          <t>8</t>
        </is>
      </c>
      <c r="S1932" s="5" t="inlineStr">
        <is>
          <t>60</t>
        </is>
      </c>
      <c r="T1932" s="5" t="inlineStr">
        <is>
          <t>10</t>
        </is>
      </c>
      <c r="U1932" s="5" t="inlineStr">
        <is>
          <t>OK</t>
        </is>
      </c>
    </row>
    <row r="1933">
      <c r="A1933" s="5" t="inlineStr">
        <is>
          <t>E01431</t>
        </is>
      </c>
      <c r="B1933" s="5" t="inlineStr">
        <is>
          <t>male</t>
        </is>
      </c>
      <c r="C1933" s="6" t="inlineStr">
        <is>
          <t>39</t>
        </is>
      </c>
      <c r="D1933" s="5" t="inlineStr">
        <is>
          <t>Single</t>
        </is>
      </c>
      <c r="E1933" s="5" t="inlineStr">
        <is>
          <t>Bachelor</t>
        </is>
      </c>
      <c r="F1933" s="5" t="inlineStr">
        <is>
          <t>Human Resources</t>
        </is>
      </c>
      <c r="G1933" s="5" t="inlineStr">
        <is>
          <t>Recruiter</t>
        </is>
      </c>
      <c r="H1933" s="5" t="inlineStr">
        <is>
          <t>4</t>
        </is>
      </c>
      <c r="I1933" s="5" t="inlineStr">
        <is>
          <t>Mumbai</t>
        </is>
      </c>
      <c r="J1933" s="5" t="inlineStr">
        <is>
          <t>Full-Time</t>
        </is>
      </c>
      <c r="K1933" s="7" t="n">
        <v>44004</v>
      </c>
      <c r="L1933" s="7" t="inlineStr"/>
      <c r="M1933" s="5" t="inlineStr">
        <is>
          <t>Yes</t>
        </is>
      </c>
      <c r="N1933" s="5" t="inlineStr"/>
      <c r="O1933" s="8" t="inlineStr">
        <is>
          <t>88000</t>
        </is>
      </c>
      <c r="P1933" s="5" t="inlineStr">
        <is>
          <t>5</t>
        </is>
      </c>
      <c r="Q1933" s="5" t="inlineStr">
        <is>
          <t>4</t>
        </is>
      </c>
      <c r="R1933" s="5" t="inlineStr">
        <is>
          <t>9</t>
        </is>
      </c>
      <c r="S1933" s="5" t="inlineStr">
        <is>
          <t>67</t>
        </is>
      </c>
      <c r="T1933" s="5" t="inlineStr">
        <is>
          <t>0</t>
        </is>
      </c>
      <c r="U1933" s="5" t="inlineStr">
        <is>
          <t>OK</t>
        </is>
      </c>
    </row>
    <row r="1934">
      <c r="A1934" s="5" t="inlineStr">
        <is>
          <t>E01141</t>
        </is>
      </c>
      <c r="B1934" s="5" t="inlineStr">
        <is>
          <t>Male</t>
        </is>
      </c>
      <c r="C1934" s="6" t="inlineStr">
        <is>
          <t>36</t>
        </is>
      </c>
      <c r="D1934" s="5" t="inlineStr">
        <is>
          <t>Married</t>
        </is>
      </c>
      <c r="E1934" s="5" t="inlineStr">
        <is>
          <t>PhD</t>
        </is>
      </c>
      <c r="F1934" s="5" t="inlineStr">
        <is>
          <t>Finance</t>
        </is>
      </c>
      <c r="G1934" s="5" t="inlineStr">
        <is>
          <t>Accountant</t>
        </is>
      </c>
      <c r="H1934" s="5" t="inlineStr">
        <is>
          <t>3</t>
        </is>
      </c>
      <c r="I1934" s="5" t="inlineStr">
        <is>
          <t>Chennai</t>
        </is>
      </c>
      <c r="J1934" s="5" t="inlineStr">
        <is>
          <t>Full-Time</t>
        </is>
      </c>
      <c r="K1934" s="7" t="n">
        <v>45230</v>
      </c>
      <c r="L1934" s="7" t="inlineStr"/>
      <c r="M1934" s="5" t="inlineStr">
        <is>
          <t>Yes</t>
        </is>
      </c>
      <c r="N1934" s="5" t="inlineStr"/>
      <c r="O1934" s="8" t="inlineStr">
        <is>
          <t>135000</t>
        </is>
      </c>
      <c r="P1934" s="5" t="inlineStr">
        <is>
          <t>5</t>
        </is>
      </c>
      <c r="Q1934" s="5" t="inlineStr">
        <is>
          <t>5</t>
        </is>
      </c>
      <c r="R1934" s="5" t="inlineStr">
        <is>
          <t>3</t>
        </is>
      </c>
      <c r="S1934" s="5" t="inlineStr">
        <is>
          <t>26</t>
        </is>
      </c>
      <c r="T1934" s="5" t="inlineStr">
        <is>
          <t>5</t>
        </is>
      </c>
      <c r="U1934" s="5" t="inlineStr">
        <is>
          <t>OK</t>
        </is>
      </c>
    </row>
    <row r="1935">
      <c r="A1935" s="5" t="inlineStr">
        <is>
          <t>E02590</t>
        </is>
      </c>
      <c r="B1935" s="5" t="inlineStr">
        <is>
          <t>Female</t>
        </is>
      </c>
      <c r="C1935" s="6" t="inlineStr">
        <is>
          <t>35</t>
        </is>
      </c>
      <c r="D1935" s="5" t="inlineStr">
        <is>
          <t>Single</t>
        </is>
      </c>
      <c r="E1935" s="5" t="inlineStr">
        <is>
          <t>PhD</t>
        </is>
      </c>
      <c r="F1935" s="5" t="inlineStr">
        <is>
          <t>Customer Support</t>
        </is>
      </c>
      <c r="G1935" s="5" t="inlineStr">
        <is>
          <t>Support Agent</t>
        </is>
      </c>
      <c r="H1935" s="5" t="inlineStr">
        <is>
          <t>2</t>
        </is>
      </c>
      <c r="I1935" s="5" t="inlineStr">
        <is>
          <t>Bengaluru</t>
        </is>
      </c>
      <c r="J1935" s="5" t="inlineStr">
        <is>
          <t>Full-Time</t>
        </is>
      </c>
      <c r="K1935" s="7" t="n">
        <v>45277</v>
      </c>
      <c r="L1935" s="7" t="inlineStr"/>
      <c r="M1935" s="5" t="inlineStr">
        <is>
          <t>Yes</t>
        </is>
      </c>
      <c r="N1935" s="5" t="inlineStr"/>
      <c r="O1935" s="8" t="inlineStr">
        <is>
          <t>73500</t>
        </is>
      </c>
      <c r="P1935" s="5" t="inlineStr">
        <is>
          <t>0</t>
        </is>
      </c>
      <c r="Q1935" s="5" t="inlineStr">
        <is>
          <t>5</t>
        </is>
      </c>
      <c r="R1935" s="5" t="inlineStr">
        <is>
          <t>3</t>
        </is>
      </c>
      <c r="S1935" s="5" t="inlineStr">
        <is>
          <t>24</t>
        </is>
      </c>
      <c r="T1935" s="5" t="inlineStr">
        <is>
          <t>0</t>
        </is>
      </c>
      <c r="U1935" s="5" t="inlineStr">
        <is>
          <t>OK</t>
        </is>
      </c>
    </row>
    <row r="1936">
      <c r="A1936" s="5" t="inlineStr">
        <is>
          <t>E01606</t>
        </is>
      </c>
      <c r="B1936" s="5" t="inlineStr">
        <is>
          <t>Female</t>
        </is>
      </c>
      <c r="C1936" s="6" t="inlineStr">
        <is>
          <t>37</t>
        </is>
      </c>
      <c r="D1936" s="5" t="inlineStr">
        <is>
          <t>Married</t>
        </is>
      </c>
      <c r="E1936" s="5" t="inlineStr">
        <is>
          <t>Bachelor</t>
        </is>
      </c>
      <c r="F1936" s="5" t="inlineStr">
        <is>
          <t>Marketing</t>
        </is>
      </c>
      <c r="G1936" s="5" t="inlineStr">
        <is>
          <t>Marketing Analyst</t>
        </is>
      </c>
      <c r="H1936" s="5" t="inlineStr">
        <is>
          <t>5</t>
        </is>
      </c>
      <c r="I1936" s="5" t="inlineStr">
        <is>
          <t>Mumbai</t>
        </is>
      </c>
      <c r="J1936" s="5" t="inlineStr">
        <is>
          <t>Full-Time</t>
        </is>
      </c>
      <c r="K1936" s="7" t="n">
        <v>44477</v>
      </c>
      <c r="L1936" s="7" t="inlineStr"/>
      <c r="M1936" s="5" t="inlineStr">
        <is>
          <t>Yes</t>
        </is>
      </c>
      <c r="N1936" s="5" t="inlineStr"/>
      <c r="O1936" s="8" t="inlineStr">
        <is>
          <t>98000</t>
        </is>
      </c>
      <c r="P1936" s="5" t="inlineStr">
        <is>
          <t>10</t>
        </is>
      </c>
      <c r="Q1936" s="5" t="inlineStr">
        <is>
          <t>3</t>
        </is>
      </c>
      <c r="R1936" s="5" t="inlineStr">
        <is>
          <t>4</t>
        </is>
      </c>
      <c r="S1936" s="5" t="inlineStr">
        <is>
          <t>51</t>
        </is>
      </c>
      <c r="T1936" s="5" t="inlineStr">
        <is>
          <t>8</t>
        </is>
      </c>
      <c r="U1936" s="5" t="inlineStr">
        <is>
          <t>OK</t>
        </is>
      </c>
    </row>
    <row r="1937">
      <c r="A1937" s="5" t="inlineStr">
        <is>
          <t>E02955</t>
        </is>
      </c>
      <c r="B1937" s="5" t="inlineStr">
        <is>
          <t>Male</t>
        </is>
      </c>
      <c r="C1937" s="6" t="inlineStr">
        <is>
          <t>29</t>
        </is>
      </c>
      <c r="D1937" s="5" t="inlineStr">
        <is>
          <t>Single</t>
        </is>
      </c>
      <c r="E1937" s="5" t="inlineStr">
        <is>
          <t>Master</t>
        </is>
      </c>
      <c r="F1937" s="5" t="inlineStr">
        <is>
          <t>Customer Support</t>
        </is>
      </c>
      <c r="G1937" s="5" t="inlineStr">
        <is>
          <t>Escalation Specialist</t>
        </is>
      </c>
      <c r="H1937" s="5" t="inlineStr">
        <is>
          <t>2</t>
        </is>
      </c>
      <c r="I1937" s="5" t="inlineStr">
        <is>
          <t>Remote</t>
        </is>
      </c>
      <c r="J1937" s="5" t="inlineStr">
        <is>
          <t>Full-Time</t>
        </is>
      </c>
      <c r="K1937" s="7" t="n">
        <v>44562</v>
      </c>
      <c r="L1937" s="7" t="n">
        <v>44653</v>
      </c>
      <c r="M1937" s="5" t="inlineStr">
        <is>
          <t>No</t>
        </is>
      </c>
      <c r="N1937" s="5" t="inlineStr">
        <is>
          <t>Retirement</t>
        </is>
      </c>
      <c r="O1937" s="8" t="inlineStr">
        <is>
          <t>70500</t>
        </is>
      </c>
      <c r="P1937" s="5" t="inlineStr">
        <is>
          <t>0</t>
        </is>
      </c>
      <c r="Q1937" s="5" t="inlineStr">
        <is>
          <t>4</t>
        </is>
      </c>
      <c r="R1937" s="5" t="inlineStr">
        <is>
          <t>3</t>
        </is>
      </c>
      <c r="S1937" s="5" t="inlineStr">
        <is>
          <t>3</t>
        </is>
      </c>
      <c r="T1937" s="5" t="inlineStr">
        <is>
          <t>6</t>
        </is>
      </c>
      <c r="U1937" s="5" t="inlineStr">
        <is>
          <t>OK</t>
        </is>
      </c>
    </row>
    <row r="1938">
      <c r="A1938" s="5" t="inlineStr">
        <is>
          <t>E01937</t>
        </is>
      </c>
      <c r="B1938" s="5" t="inlineStr">
        <is>
          <t>male</t>
        </is>
      </c>
      <c r="C1938" s="6" t="inlineStr">
        <is>
          <t>42</t>
        </is>
      </c>
      <c r="D1938" s="5" t="inlineStr">
        <is>
          <t>Divorced</t>
        </is>
      </c>
      <c r="E1938" s="5" t="inlineStr">
        <is>
          <t>Master</t>
        </is>
      </c>
      <c r="F1938" s="5" t="inlineStr">
        <is>
          <t>Research &amp; Development</t>
        </is>
      </c>
      <c r="G1938" s="5" t="inlineStr">
        <is>
          <t>Data Scientist</t>
        </is>
      </c>
      <c r="H1938" s="5" t="inlineStr">
        <is>
          <t>6</t>
        </is>
      </c>
      <c r="I1938" s="5" t="inlineStr">
        <is>
          <t>Mumbai</t>
        </is>
      </c>
      <c r="J1938" s="5" t="inlineStr">
        <is>
          <t>Full-Time</t>
        </is>
      </c>
      <c r="K1938" s="7" t="n">
        <v>45681</v>
      </c>
      <c r="L1938" s="7" t="inlineStr"/>
      <c r="M1938" s="5" t="inlineStr">
        <is>
          <t>Yes</t>
        </is>
      </c>
      <c r="N1938" s="5" t="inlineStr"/>
      <c r="O1938" s="8" t="inlineStr">
        <is>
          <t>184000</t>
        </is>
      </c>
      <c r="P1938" s="5" t="inlineStr">
        <is>
          <t>0</t>
        </is>
      </c>
      <c r="Q1938" s="5" t="inlineStr">
        <is>
          <t>5</t>
        </is>
      </c>
      <c r="R1938" s="5" t="inlineStr">
        <is>
          <t>6</t>
        </is>
      </c>
      <c r="S1938" s="5" t="inlineStr">
        <is>
          <t>11</t>
        </is>
      </c>
      <c r="T1938" s="5" t="inlineStr">
        <is>
          <t>3</t>
        </is>
      </c>
      <c r="U1938" s="5" t="inlineStr">
        <is>
          <t>OK</t>
        </is>
      </c>
    </row>
    <row r="1939">
      <c r="A1939" s="5" t="inlineStr">
        <is>
          <t>E00049</t>
        </is>
      </c>
      <c r="B1939" s="5" t="inlineStr">
        <is>
          <t>Female</t>
        </is>
      </c>
      <c r="C1939" s="6" t="inlineStr">
        <is>
          <t>25</t>
        </is>
      </c>
      <c r="D1939" s="5" t="inlineStr">
        <is>
          <t>Married</t>
        </is>
      </c>
      <c r="E1939" s="5" t="inlineStr">
        <is>
          <t>Bachelor</t>
        </is>
      </c>
      <c r="F1939" s="5" t="inlineStr">
        <is>
          <t>Human Resources</t>
        </is>
      </c>
      <c r="G1939" s="5" t="inlineStr">
        <is>
          <t>Recruiter</t>
        </is>
      </c>
      <c r="H1939" s="5" t="inlineStr">
        <is>
          <t>1</t>
        </is>
      </c>
      <c r="I1939" s="5" t="inlineStr">
        <is>
          <t>Hyderabad</t>
        </is>
      </c>
      <c r="J1939" s="5" t="inlineStr">
        <is>
          <t>Full-Time</t>
        </is>
      </c>
      <c r="K1939" s="7" t="n">
        <v>45606</v>
      </c>
      <c r="L1939" s="7" t="inlineStr"/>
      <c r="M1939" s="5" t="inlineStr">
        <is>
          <t>Yes</t>
        </is>
      </c>
      <c r="N1939" s="5" t="inlineStr"/>
      <c r="O1939" s="8" t="inlineStr">
        <is>
          <t>70500</t>
        </is>
      </c>
      <c r="P1939" s="5" t="inlineStr">
        <is>
          <t>0</t>
        </is>
      </c>
      <c r="Q1939" s="5" t="inlineStr">
        <is>
          <t>4</t>
        </is>
      </c>
      <c r="R1939" s="5" t="inlineStr">
        <is>
          <t>9</t>
        </is>
      </c>
      <c r="S1939" s="5" t="inlineStr">
        <is>
          <t>13</t>
        </is>
      </c>
      <c r="T1939" s="5" t="inlineStr">
        <is>
          <t>0</t>
        </is>
      </c>
      <c r="U1939" s="5" t="inlineStr">
        <is>
          <t>OK</t>
        </is>
      </c>
    </row>
    <row r="1940">
      <c r="A1940" s="5" t="inlineStr">
        <is>
          <t>E02852</t>
        </is>
      </c>
      <c r="B1940" s="5" t="inlineStr">
        <is>
          <t>Female</t>
        </is>
      </c>
      <c r="C1940" s="6" t="inlineStr">
        <is>
          <t>37</t>
        </is>
      </c>
      <c r="D1940" s="5" t="inlineStr">
        <is>
          <t>Married</t>
        </is>
      </c>
      <c r="E1940" s="5" t="inlineStr">
        <is>
          <t>PhD</t>
        </is>
      </c>
      <c r="F1940" s="5" t="inlineStr">
        <is>
          <t>Customer Support</t>
        </is>
      </c>
      <c r="G1940" s="5" t="inlineStr">
        <is>
          <t>Support Lead</t>
        </is>
      </c>
      <c r="H1940" s="5" t="inlineStr">
        <is>
          <t>5</t>
        </is>
      </c>
      <c r="I1940" s="5" t="inlineStr">
        <is>
          <t>Chennai</t>
        </is>
      </c>
      <c r="J1940" s="5" t="inlineStr">
        <is>
          <t>Full-Time</t>
        </is>
      </c>
      <c r="K1940" s="7" t="n">
        <v>44497</v>
      </c>
      <c r="L1940" s="7" t="inlineStr"/>
      <c r="M1940" s="5" t="inlineStr">
        <is>
          <t>Yes</t>
        </is>
      </c>
      <c r="N1940" s="5" t="inlineStr"/>
      <c r="O1940" s="8" t="inlineStr">
        <is>
          <t>76500</t>
        </is>
      </c>
      <c r="P1940" s="5" t="inlineStr">
        <is>
          <t>20</t>
        </is>
      </c>
      <c r="Q1940" s="5" t="inlineStr">
        <is>
          <t>3</t>
        </is>
      </c>
      <c r="R1940" s="5" t="inlineStr">
        <is>
          <t>8</t>
        </is>
      </c>
      <c r="S1940" s="5" t="inlineStr">
        <is>
          <t>50</t>
        </is>
      </c>
      <c r="T1940" s="5" t="inlineStr">
        <is>
          <t>0</t>
        </is>
      </c>
      <c r="U1940" s="5" t="inlineStr">
        <is>
          <t>OK</t>
        </is>
      </c>
    </row>
    <row r="1941">
      <c r="A1941" s="5" t="inlineStr">
        <is>
          <t>E01006</t>
        </is>
      </c>
      <c r="B1941" s="5" t="inlineStr">
        <is>
          <t>Female</t>
        </is>
      </c>
      <c r="C1941" s="6" t="inlineStr">
        <is>
          <t>24</t>
        </is>
      </c>
      <c r="D1941" s="5" t="inlineStr">
        <is>
          <t>Married</t>
        </is>
      </c>
      <c r="E1941" s="5" t="inlineStr">
        <is>
          <t>Bachelor</t>
        </is>
      </c>
      <c r="F1941" s="5" t="inlineStr">
        <is>
          <t>IT</t>
        </is>
      </c>
      <c r="G1941" s="5" t="inlineStr">
        <is>
          <t>DevOps Engineer</t>
        </is>
      </c>
      <c r="H1941" s="5" t="inlineStr">
        <is>
          <t>1</t>
        </is>
      </c>
      <c r="I1941" s="5" t="inlineStr">
        <is>
          <t>Chennai</t>
        </is>
      </c>
      <c r="J1941" s="5" t="inlineStr">
        <is>
          <t>Part-Time</t>
        </is>
      </c>
      <c r="K1941" s="7" t="n">
        <v>44909</v>
      </c>
      <c r="L1941" s="7" t="inlineStr"/>
      <c r="M1941" s="5" t="inlineStr">
        <is>
          <t>Yes</t>
        </is>
      </c>
      <c r="N1941" s="5" t="inlineStr"/>
      <c r="O1941" s="8" t="inlineStr">
        <is>
          <t>147500</t>
        </is>
      </c>
      <c r="P1941" s="5" t="inlineStr">
        <is>
          <t>0</t>
        </is>
      </c>
      <c r="Q1941" s="5" t="inlineStr">
        <is>
          <t>4</t>
        </is>
      </c>
      <c r="R1941" s="5" t="inlineStr">
        <is>
          <t>6</t>
        </is>
      </c>
      <c r="S1941" s="5" t="inlineStr">
        <is>
          <t>37</t>
        </is>
      </c>
      <c r="T1941" s="5" t="inlineStr">
        <is>
          <t>4</t>
        </is>
      </c>
      <c r="U1941" s="5" t="inlineStr">
        <is>
          <t>OK</t>
        </is>
      </c>
    </row>
    <row r="1942">
      <c r="A1942" s="5" t="inlineStr">
        <is>
          <t>E00305</t>
        </is>
      </c>
      <c r="B1942" s="5" t="inlineStr">
        <is>
          <t>Male</t>
        </is>
      </c>
      <c r="C1942" s="6" t="inlineStr">
        <is>
          <t>31</t>
        </is>
      </c>
      <c r="D1942" s="5" t="inlineStr">
        <is>
          <t>Single</t>
        </is>
      </c>
      <c r="E1942" s="5" t="inlineStr">
        <is>
          <t>High School</t>
        </is>
      </c>
      <c r="F1942" s="5" t="inlineStr">
        <is>
          <t>Human Resources</t>
        </is>
      </c>
      <c r="G1942" s="5" t="inlineStr">
        <is>
          <t>HR Analyst</t>
        </is>
      </c>
      <c r="H1942" s="5" t="inlineStr">
        <is>
          <t>2</t>
        </is>
      </c>
      <c r="I1942" s="5" t="inlineStr">
        <is>
          <t>Remote</t>
        </is>
      </c>
      <c r="J1942" s="5" t="inlineStr">
        <is>
          <t>Full-Time</t>
        </is>
      </c>
      <c r="K1942" s="7" t="n">
        <v>44131</v>
      </c>
      <c r="L1942" s="7" t="inlineStr"/>
      <c r="M1942" s="5" t="inlineStr">
        <is>
          <t>Yes</t>
        </is>
      </c>
      <c r="N1942" s="5" t="inlineStr"/>
      <c r="O1942" s="8" t="inlineStr">
        <is>
          <t>78000</t>
        </is>
      </c>
      <c r="P1942" s="5" t="inlineStr">
        <is>
          <t>0</t>
        </is>
      </c>
      <c r="Q1942" s="5" t="inlineStr">
        <is>
          <t>1</t>
        </is>
      </c>
      <c r="R1942" s="5" t="inlineStr">
        <is>
          <t>5</t>
        </is>
      </c>
      <c r="S1942" s="5" t="inlineStr">
        <is>
          <t>63</t>
        </is>
      </c>
      <c r="T1942" s="5" t="inlineStr">
        <is>
          <t>0</t>
        </is>
      </c>
      <c r="U1942" s="5" t="inlineStr">
        <is>
          <t>OK</t>
        </is>
      </c>
    </row>
    <row r="1943">
      <c r="A1943" s="5" t="inlineStr">
        <is>
          <t>E00811</t>
        </is>
      </c>
      <c r="B1943" s="5" t="inlineStr">
        <is>
          <t>male</t>
        </is>
      </c>
      <c r="C1943" s="6" t="inlineStr">
        <is>
          <t>34</t>
        </is>
      </c>
      <c r="D1943" s="5" t="inlineStr">
        <is>
          <t>Married</t>
        </is>
      </c>
      <c r="E1943" s="5" t="inlineStr">
        <is>
          <t>Diploma</t>
        </is>
      </c>
      <c r="F1943" s="5" t="inlineStr"/>
      <c r="G1943" s="5" t="inlineStr">
        <is>
          <t>Support Agent</t>
        </is>
      </c>
      <c r="H1943" s="5" t="inlineStr">
        <is>
          <t>2</t>
        </is>
      </c>
      <c r="I1943" s="5" t="inlineStr">
        <is>
          <t>Mumbai</t>
        </is>
      </c>
      <c r="J1943" s="5" t="inlineStr">
        <is>
          <t>Part-Time</t>
        </is>
      </c>
      <c r="K1943" s="7" t="n">
        <v>45044</v>
      </c>
      <c r="L1943" s="7" t="inlineStr"/>
      <c r="M1943" s="5" t="inlineStr">
        <is>
          <t>Yes</t>
        </is>
      </c>
      <c r="N1943" s="5" t="inlineStr"/>
      <c r="O1943" s="8" t="inlineStr">
        <is>
          <t>78500</t>
        </is>
      </c>
      <c r="P1943" s="5" t="inlineStr">
        <is>
          <t>5</t>
        </is>
      </c>
      <c r="Q1943" s="5" t="inlineStr">
        <is>
          <t>3</t>
        </is>
      </c>
      <c r="R1943" s="5" t="inlineStr">
        <is>
          <t>5</t>
        </is>
      </c>
      <c r="S1943" s="5" t="inlineStr">
        <is>
          <t>32</t>
        </is>
      </c>
      <c r="T1943" s="5" t="inlineStr">
        <is>
          <t>0</t>
        </is>
      </c>
      <c r="U1943" s="5" t="inlineStr">
        <is>
          <t>Blank department</t>
        </is>
      </c>
    </row>
    <row r="1944">
      <c r="A1944" s="5" t="inlineStr">
        <is>
          <t>E01910</t>
        </is>
      </c>
      <c r="B1944" s="5" t="inlineStr">
        <is>
          <t>Male</t>
        </is>
      </c>
      <c r="C1944" s="6" t="inlineStr">
        <is>
          <t>37</t>
        </is>
      </c>
      <c r="D1944" s="5" t="inlineStr">
        <is>
          <t>Married</t>
        </is>
      </c>
      <c r="E1944" s="5" t="inlineStr">
        <is>
          <t>Master</t>
        </is>
      </c>
      <c r="F1944" s="5" t="inlineStr">
        <is>
          <t>Marketing</t>
        </is>
      </c>
      <c r="G1944" s="5" t="inlineStr">
        <is>
          <t>SEO Specialist</t>
        </is>
      </c>
      <c r="H1944" s="5" t="inlineStr">
        <is>
          <t>5</t>
        </is>
      </c>
      <c r="I1944" s="5" t="inlineStr">
        <is>
          <t>Delhi</t>
        </is>
      </c>
      <c r="J1944" s="5" t="inlineStr">
        <is>
          <t>Full-Time</t>
        </is>
      </c>
      <c r="K1944" s="7" t="n">
        <v>45336</v>
      </c>
      <c r="L1944" s="7" t="inlineStr"/>
      <c r="M1944" s="5" t="inlineStr">
        <is>
          <t>Yes</t>
        </is>
      </c>
      <c r="N1944" s="5" t="inlineStr"/>
      <c r="O1944" s="8" t="inlineStr">
        <is>
          <t>91500</t>
        </is>
      </c>
      <c r="P1944" s="5" t="inlineStr">
        <is>
          <t>15</t>
        </is>
      </c>
      <c r="Q1944" s="5" t="inlineStr">
        <is>
          <t>5</t>
        </is>
      </c>
      <c r="R1944" s="5" t="inlineStr">
        <is>
          <t>5</t>
        </is>
      </c>
      <c r="S1944" s="5" t="inlineStr">
        <is>
          <t>22</t>
        </is>
      </c>
      <c r="T1944" s="5" t="inlineStr">
        <is>
          <t>2</t>
        </is>
      </c>
      <c r="U1944" s="5" t="inlineStr">
        <is>
          <t>OK</t>
        </is>
      </c>
    </row>
    <row r="1945">
      <c r="A1945" s="5" t="inlineStr">
        <is>
          <t>E02615</t>
        </is>
      </c>
      <c r="B1945" s="5" t="inlineStr">
        <is>
          <t>Male</t>
        </is>
      </c>
      <c r="C1945" s="6" t="inlineStr">
        <is>
          <t>27</t>
        </is>
      </c>
      <c r="D1945" s="5" t="inlineStr">
        <is>
          <t>Married</t>
        </is>
      </c>
      <c r="E1945" s="5" t="inlineStr">
        <is>
          <t>Diploma</t>
        </is>
      </c>
      <c r="F1945" s="5" t="inlineStr">
        <is>
          <t>IT</t>
        </is>
      </c>
      <c r="G1945" s="5" t="inlineStr">
        <is>
          <t>Software Engineer</t>
        </is>
      </c>
      <c r="H1945" s="5" t="inlineStr">
        <is>
          <t>1</t>
        </is>
      </c>
      <c r="I1945" s="5" t="inlineStr">
        <is>
          <t>Hyderabad</t>
        </is>
      </c>
      <c r="J1945" s="5" t="inlineStr">
        <is>
          <t>Full-Time</t>
        </is>
      </c>
      <c r="K1945" s="7" t="n">
        <v>44459</v>
      </c>
      <c r="L1945" s="7" t="inlineStr"/>
      <c r="M1945" s="5" t="inlineStr">
        <is>
          <t>Yes</t>
        </is>
      </c>
      <c r="N1945" s="5" t="inlineStr"/>
      <c r="O1945" s="8" t="inlineStr">
        <is>
          <t>122500</t>
        </is>
      </c>
      <c r="P1945" s="5" t="inlineStr">
        <is>
          <t>5</t>
        </is>
      </c>
      <c r="Q1945" s="5" t="inlineStr">
        <is>
          <t>4</t>
        </is>
      </c>
      <c r="R1945" s="5" t="inlineStr">
        <is>
          <t>8</t>
        </is>
      </c>
      <c r="S1945" s="5" t="inlineStr">
        <is>
          <t>52</t>
        </is>
      </c>
      <c r="T1945" s="5" t="inlineStr">
        <is>
          <t>10</t>
        </is>
      </c>
      <c r="U1945" s="5" t="inlineStr">
        <is>
          <t>OK</t>
        </is>
      </c>
    </row>
    <row r="1946">
      <c r="A1946" s="5" t="inlineStr">
        <is>
          <t>E01497</t>
        </is>
      </c>
      <c r="B1946" s="5" t="inlineStr">
        <is>
          <t>Female</t>
        </is>
      </c>
      <c r="C1946" s="6" t="inlineStr">
        <is>
          <t>32</t>
        </is>
      </c>
      <c r="D1946" s="5" t="inlineStr">
        <is>
          <t>Married</t>
        </is>
      </c>
      <c r="E1946" s="5" t="inlineStr">
        <is>
          <t>PhD</t>
        </is>
      </c>
      <c r="F1946" s="5" t="inlineStr">
        <is>
          <t>Marketing</t>
        </is>
      </c>
      <c r="G1946" s="5" t="inlineStr">
        <is>
          <t>Content Writer</t>
        </is>
      </c>
      <c r="H1946" s="5" t="inlineStr">
        <is>
          <t>2</t>
        </is>
      </c>
      <c r="I1946" s="5" t="inlineStr">
        <is>
          <t>Remote</t>
        </is>
      </c>
      <c r="J1946" s="5" t="inlineStr">
        <is>
          <t>Full-Time</t>
        </is>
      </c>
      <c r="K1946" s="7" t="n">
        <v>44800</v>
      </c>
      <c r="L1946" s="7" t="inlineStr"/>
      <c r="M1946" s="5" t="inlineStr">
        <is>
          <t>Yes</t>
        </is>
      </c>
      <c r="N1946" s="5" t="inlineStr"/>
      <c r="O1946" s="8" t="inlineStr">
        <is>
          <t>65500</t>
        </is>
      </c>
      <c r="P1946" s="5" t="inlineStr">
        <is>
          <t>10</t>
        </is>
      </c>
      <c r="Q1946" s="5" t="inlineStr">
        <is>
          <t>4</t>
        </is>
      </c>
      <c r="R1946" s="5" t="inlineStr">
        <is>
          <t>4</t>
        </is>
      </c>
      <c r="S1946" s="5" t="inlineStr">
        <is>
          <t>40</t>
        </is>
      </c>
      <c r="T1946" s="5" t="inlineStr">
        <is>
          <t>0</t>
        </is>
      </c>
      <c r="U1946" s="5" t="inlineStr">
        <is>
          <t>OK</t>
        </is>
      </c>
    </row>
    <row r="1947">
      <c r="A1947" s="5" t="inlineStr">
        <is>
          <t>E00740</t>
        </is>
      </c>
      <c r="B1947" s="5" t="inlineStr">
        <is>
          <t>Male</t>
        </is>
      </c>
      <c r="C1947" s="6" t="inlineStr">
        <is>
          <t>31</t>
        </is>
      </c>
      <c r="D1947" s="5" t="inlineStr">
        <is>
          <t>Single</t>
        </is>
      </c>
      <c r="E1947" s="5" t="inlineStr">
        <is>
          <t>Master</t>
        </is>
      </c>
      <c r="F1947" s="5" t="inlineStr">
        <is>
          <t>Human Resources</t>
        </is>
      </c>
      <c r="G1947" s="5" t="inlineStr">
        <is>
          <t>Recruiter</t>
        </is>
      </c>
      <c r="H1947" s="5" t="inlineStr">
        <is>
          <t>3</t>
        </is>
      </c>
      <c r="I1947" s="5" t="inlineStr">
        <is>
          <t>Remote</t>
        </is>
      </c>
      <c r="J1947" s="5" t="inlineStr">
        <is>
          <t>Full-Time</t>
        </is>
      </c>
      <c r="K1947" s="7" t="n">
        <v>44873</v>
      </c>
      <c r="L1947" s="7" t="inlineStr"/>
      <c r="M1947" s="5" t="inlineStr">
        <is>
          <t>Yes</t>
        </is>
      </c>
      <c r="N1947" s="5" t="inlineStr"/>
      <c r="O1947" s="8" t="inlineStr">
        <is>
          <t>71000</t>
        </is>
      </c>
      <c r="P1947" s="5" t="inlineStr">
        <is>
          <t>0</t>
        </is>
      </c>
      <c r="Q1947" s="5" t="inlineStr">
        <is>
          <t>4</t>
        </is>
      </c>
      <c r="R1947" s="5" t="inlineStr">
        <is>
          <t>6</t>
        </is>
      </c>
      <c r="S1947" s="5" t="inlineStr">
        <is>
          <t>38</t>
        </is>
      </c>
      <c r="T1947" s="5" t="inlineStr">
        <is>
          <t>7</t>
        </is>
      </c>
      <c r="U1947" s="5" t="inlineStr">
        <is>
          <t>OK</t>
        </is>
      </c>
    </row>
    <row r="1948">
      <c r="A1948" s="5" t="inlineStr">
        <is>
          <t>E02359</t>
        </is>
      </c>
      <c r="B1948" s="5" t="inlineStr">
        <is>
          <t>Male</t>
        </is>
      </c>
      <c r="C1948" s="6" t="inlineStr">
        <is>
          <t>33</t>
        </is>
      </c>
      <c r="D1948" s="5" t="inlineStr">
        <is>
          <t>Married</t>
        </is>
      </c>
      <c r="E1948" s="5" t="inlineStr">
        <is>
          <t>Master</t>
        </is>
      </c>
      <c r="F1948" s="5" t="inlineStr">
        <is>
          <t>Finance</t>
        </is>
      </c>
      <c r="G1948" s="5" t="inlineStr">
        <is>
          <t>Financial Analyst</t>
        </is>
      </c>
      <c r="H1948" s="5" t="inlineStr">
        <is>
          <t>2</t>
        </is>
      </c>
      <c r="I1948" s="5" t="inlineStr">
        <is>
          <t>Mumbai</t>
        </is>
      </c>
      <c r="J1948" s="5" t="inlineStr">
        <is>
          <t>Full-Time</t>
        </is>
      </c>
      <c r="K1948" s="7" t="n">
        <v>44848</v>
      </c>
      <c r="L1948" s="7" t="inlineStr"/>
      <c r="M1948" s="5" t="inlineStr">
        <is>
          <t>Yes</t>
        </is>
      </c>
      <c r="N1948" s="5" t="inlineStr"/>
      <c r="O1948" s="8" t="inlineStr">
        <is>
          <t>100000</t>
        </is>
      </c>
      <c r="P1948" s="5" t="inlineStr">
        <is>
          <t>15</t>
        </is>
      </c>
      <c r="Q1948" s="5" t="inlineStr">
        <is>
          <t>3</t>
        </is>
      </c>
      <c r="R1948" s="5" t="inlineStr">
        <is>
          <t>8</t>
        </is>
      </c>
      <c r="S1948" s="5" t="inlineStr">
        <is>
          <t>39</t>
        </is>
      </c>
      <c r="T1948" s="5" t="inlineStr">
        <is>
          <t>11</t>
        </is>
      </c>
      <c r="U1948" s="5" t="inlineStr">
        <is>
          <t>OK</t>
        </is>
      </c>
    </row>
    <row r="1949">
      <c r="A1949" s="5" t="inlineStr">
        <is>
          <t>E02782</t>
        </is>
      </c>
      <c r="B1949" s="5" t="inlineStr">
        <is>
          <t>Female</t>
        </is>
      </c>
      <c r="C1949" s="6" t="inlineStr">
        <is>
          <t>29</t>
        </is>
      </c>
      <c r="D1949" s="5" t="inlineStr">
        <is>
          <t>Married</t>
        </is>
      </c>
      <c r="E1949" s="5" t="inlineStr">
        <is>
          <t>Master</t>
        </is>
      </c>
      <c r="F1949" s="5" t="inlineStr">
        <is>
          <t>Finance</t>
        </is>
      </c>
      <c r="G1949" s="5" t="inlineStr">
        <is>
          <t>Financial Analyst</t>
        </is>
      </c>
      <c r="H1949" s="5" t="inlineStr">
        <is>
          <t>1</t>
        </is>
      </c>
      <c r="I1949" s="5" t="inlineStr">
        <is>
          <t>Hyderabad</t>
        </is>
      </c>
      <c r="J1949" s="5" t="inlineStr">
        <is>
          <t>Full-Time</t>
        </is>
      </c>
      <c r="K1949" s="7" t="n">
        <v>45125</v>
      </c>
      <c r="L1949" s="7" t="inlineStr"/>
      <c r="M1949" s="5" t="inlineStr">
        <is>
          <t>Yes</t>
        </is>
      </c>
      <c r="N1949" s="5" t="inlineStr"/>
      <c r="O1949" s="8" t="inlineStr">
        <is>
          <t>111000</t>
        </is>
      </c>
      <c r="P1949" s="5" t="inlineStr">
        <is>
          <t>5</t>
        </is>
      </c>
      <c r="Q1949" s="5" t="inlineStr">
        <is>
          <t>3</t>
        </is>
      </c>
      <c r="R1949" s="5" t="inlineStr">
        <is>
          <t>7</t>
        </is>
      </c>
      <c r="S1949" s="5" t="inlineStr">
        <is>
          <t>29</t>
        </is>
      </c>
      <c r="T1949" s="5" t="inlineStr">
        <is>
          <t>0</t>
        </is>
      </c>
      <c r="U1949" s="5" t="inlineStr">
        <is>
          <t>OK</t>
        </is>
      </c>
    </row>
    <row r="1950">
      <c r="A1950" s="5" t="inlineStr">
        <is>
          <t>E00011</t>
        </is>
      </c>
      <c r="B1950" s="5" t="inlineStr">
        <is>
          <t>Female</t>
        </is>
      </c>
      <c r="C1950" s="6" t="inlineStr">
        <is>
          <t>46</t>
        </is>
      </c>
      <c r="D1950" s="5" t="inlineStr">
        <is>
          <t>Married</t>
        </is>
      </c>
      <c r="E1950" s="5" t="inlineStr">
        <is>
          <t>Master</t>
        </is>
      </c>
      <c r="F1950" s="5" t="inlineStr">
        <is>
          <t>Operations</t>
        </is>
      </c>
      <c r="G1950" s="5" t="inlineStr">
        <is>
          <t>Operations Analyst</t>
        </is>
      </c>
      <c r="H1950" s="5" t="inlineStr">
        <is>
          <t>7</t>
        </is>
      </c>
      <c r="I1950" s="5" t="inlineStr">
        <is>
          <t>Mumbai</t>
        </is>
      </c>
      <c r="J1950" s="5" t="inlineStr">
        <is>
          <t>Full-Time</t>
        </is>
      </c>
      <c r="K1950" s="7" t="n">
        <v>44744</v>
      </c>
      <c r="L1950" s="7" t="inlineStr"/>
      <c r="M1950" s="5" t="inlineStr">
        <is>
          <t>Yes</t>
        </is>
      </c>
      <c r="N1950" s="5" t="inlineStr"/>
      <c r="O1950" s="8" t="inlineStr">
        <is>
          <t>168000</t>
        </is>
      </c>
      <c r="P1950" s="5" t="inlineStr">
        <is>
          <t>15</t>
        </is>
      </c>
      <c r="Q1950" s="5" t="inlineStr">
        <is>
          <t>4</t>
        </is>
      </c>
      <c r="R1950" s="5" t="inlineStr">
        <is>
          <t>8</t>
        </is>
      </c>
      <c r="S1950" s="5" t="inlineStr">
        <is>
          <t>42</t>
        </is>
      </c>
      <c r="T1950" s="5" t="inlineStr">
        <is>
          <t>10</t>
        </is>
      </c>
      <c r="U1950" s="5" t="inlineStr">
        <is>
          <t>OK</t>
        </is>
      </c>
    </row>
    <row r="1951">
      <c r="A1951" s="5" t="inlineStr">
        <is>
          <t>E02960</t>
        </is>
      </c>
      <c r="B1951" s="5" t="inlineStr">
        <is>
          <t>Female</t>
        </is>
      </c>
      <c r="C1951" s="6" t="inlineStr">
        <is>
          <t>28</t>
        </is>
      </c>
      <c r="D1951" s="5" t="inlineStr">
        <is>
          <t>Single</t>
        </is>
      </c>
      <c r="E1951" s="5" t="inlineStr">
        <is>
          <t>Master</t>
        </is>
      </c>
      <c r="F1951" s="5" t="inlineStr">
        <is>
          <t>Customer Support</t>
        </is>
      </c>
      <c r="G1951" s="5" t="inlineStr">
        <is>
          <t>Escalation Specialist</t>
        </is>
      </c>
      <c r="H1951" s="5" t="inlineStr">
        <is>
          <t>1</t>
        </is>
      </c>
      <c r="I1951" s="5" t="inlineStr">
        <is>
          <t>Mumbai</t>
        </is>
      </c>
      <c r="J1951" s="5" t="inlineStr">
        <is>
          <t>Full-Time</t>
        </is>
      </c>
      <c r="K1951" s="7" t="n">
        <v>45900</v>
      </c>
      <c r="L1951" s="7" t="n">
        <v>45966</v>
      </c>
      <c r="M1951" s="5" t="inlineStr">
        <is>
          <t>No</t>
        </is>
      </c>
      <c r="N1951" s="5" t="inlineStr">
        <is>
          <t>Performance / Termination</t>
        </is>
      </c>
      <c r="O1951" s="8" t="inlineStr">
        <is>
          <t>52000</t>
        </is>
      </c>
      <c r="P1951" s="5" t="inlineStr">
        <is>
          <t>5</t>
        </is>
      </c>
      <c r="Q1951" s="5" t="inlineStr">
        <is>
          <t>4</t>
        </is>
      </c>
      <c r="R1951" s="5" t="inlineStr">
        <is>
          <t>7</t>
        </is>
      </c>
      <c r="S1951" s="5" t="inlineStr">
        <is>
          <t>2</t>
        </is>
      </c>
      <c r="T1951" s="5" t="inlineStr">
        <is>
          <t>13</t>
        </is>
      </c>
      <c r="U1951" s="5" t="inlineStr">
        <is>
          <t>OK</t>
        </is>
      </c>
    </row>
    <row r="1952">
      <c r="A1952" s="5" t="inlineStr">
        <is>
          <t>E02499</t>
        </is>
      </c>
      <c r="B1952" s="5" t="inlineStr">
        <is>
          <t>Male</t>
        </is>
      </c>
      <c r="C1952" s="6" t="inlineStr">
        <is>
          <t>37</t>
        </is>
      </c>
      <c r="D1952" s="5" t="inlineStr">
        <is>
          <t>Married</t>
        </is>
      </c>
      <c r="E1952" s="5" t="inlineStr">
        <is>
          <t>High School</t>
        </is>
      </c>
      <c r="F1952" s="5" t="inlineStr">
        <is>
          <t>Operations</t>
        </is>
      </c>
      <c r="G1952" s="5" t="inlineStr">
        <is>
          <t>Operations Analyst</t>
        </is>
      </c>
      <c r="H1952" s="5" t="inlineStr">
        <is>
          <t>3</t>
        </is>
      </c>
      <c r="I1952" s="5" t="inlineStr">
        <is>
          <t>Remote</t>
        </is>
      </c>
      <c r="J1952" s="5" t="inlineStr">
        <is>
          <t>Full-Time</t>
        </is>
      </c>
      <c r="K1952" s="7" t="n">
        <v>44894</v>
      </c>
      <c r="L1952" s="7" t="inlineStr"/>
      <c r="M1952" s="5" t="inlineStr">
        <is>
          <t>Yes</t>
        </is>
      </c>
      <c r="N1952" s="5" t="inlineStr"/>
      <c r="O1952" s="8" t="inlineStr">
        <is>
          <t>89500</t>
        </is>
      </c>
      <c r="P1952" s="5" t="inlineStr">
        <is>
          <t>0</t>
        </is>
      </c>
      <c r="Q1952" s="5" t="inlineStr">
        <is>
          <t>3</t>
        </is>
      </c>
      <c r="R1952" s="5" t="inlineStr">
        <is>
          <t>3</t>
        </is>
      </c>
      <c r="S1952" s="5" t="inlineStr">
        <is>
          <t>37</t>
        </is>
      </c>
      <c r="T1952" s="5" t="inlineStr">
        <is>
          <t>4</t>
        </is>
      </c>
      <c r="U1952" s="5" t="inlineStr">
        <is>
          <t>OK</t>
        </is>
      </c>
    </row>
    <row r="1953">
      <c r="A1953" s="5" t="inlineStr">
        <is>
          <t>E02899</t>
        </is>
      </c>
      <c r="B1953" s="5" t="inlineStr">
        <is>
          <t>Male</t>
        </is>
      </c>
      <c r="C1953" s="6" t="inlineStr">
        <is>
          <t>39</t>
        </is>
      </c>
      <c r="D1953" s="5" t="inlineStr">
        <is>
          <t>Single</t>
        </is>
      </c>
      <c r="E1953" s="5" t="inlineStr">
        <is>
          <t>PhD</t>
        </is>
      </c>
      <c r="F1953" s="5" t="inlineStr">
        <is>
          <t>Sales</t>
        </is>
      </c>
      <c r="G1953" s="5" t="inlineStr">
        <is>
          <t>Sales Executive</t>
        </is>
      </c>
      <c r="H1953" s="5" t="inlineStr">
        <is>
          <t>6</t>
        </is>
      </c>
      <c r="I1953" s="5" t="inlineStr">
        <is>
          <t>Hyderabad</t>
        </is>
      </c>
      <c r="J1953" s="5" t="inlineStr">
        <is>
          <t>Full-Time</t>
        </is>
      </c>
      <c r="K1953" s="7" t="n">
        <v>44104</v>
      </c>
      <c r="L1953" s="7" t="inlineStr"/>
      <c r="M1953" s="5" t="inlineStr">
        <is>
          <t>Yes</t>
        </is>
      </c>
      <c r="N1953" s="5" t="inlineStr"/>
      <c r="O1953" s="8" t="inlineStr">
        <is>
          <t>144000</t>
        </is>
      </c>
      <c r="P1953" s="5" t="inlineStr">
        <is>
          <t>5</t>
        </is>
      </c>
      <c r="Q1953" s="5" t="inlineStr">
        <is>
          <t>3</t>
        </is>
      </c>
      <c r="R1953" s="5" t="inlineStr">
        <is>
          <t>7</t>
        </is>
      </c>
      <c r="S1953" s="5" t="inlineStr">
        <is>
          <t>63</t>
        </is>
      </c>
      <c r="T1953" s="5" t="inlineStr">
        <is>
          <t>0</t>
        </is>
      </c>
      <c r="U1953" s="5" t="inlineStr">
        <is>
          <t>OK</t>
        </is>
      </c>
    </row>
    <row r="1954">
      <c r="A1954" s="5" t="inlineStr">
        <is>
          <t>E00041</t>
        </is>
      </c>
      <c r="B1954" s="5" t="inlineStr">
        <is>
          <t>Male</t>
        </is>
      </c>
      <c r="C1954" s="6" t="inlineStr">
        <is>
          <t>44</t>
        </is>
      </c>
      <c r="D1954" s="5" t="inlineStr">
        <is>
          <t>Single</t>
        </is>
      </c>
      <c r="E1954" s="5" t="inlineStr">
        <is>
          <t>PhD</t>
        </is>
      </c>
      <c r="F1954" s="5" t="inlineStr">
        <is>
          <t>Sales</t>
        </is>
      </c>
      <c r="G1954" s="5" t="inlineStr">
        <is>
          <t>Account Executive</t>
        </is>
      </c>
      <c r="H1954" s="5" t="inlineStr">
        <is>
          <t>7</t>
        </is>
      </c>
      <c r="I1954" s="5" t="inlineStr">
        <is>
          <t>Mumbai</t>
        </is>
      </c>
      <c r="J1954" s="5" t="inlineStr">
        <is>
          <t>Full-Time</t>
        </is>
      </c>
      <c r="K1954" s="7" t="n">
        <v>45915</v>
      </c>
      <c r="L1954" s="7" t="inlineStr"/>
      <c r="M1954" s="5" t="inlineStr">
        <is>
          <t>Yes</t>
        </is>
      </c>
      <c r="N1954" s="5" t="inlineStr"/>
      <c r="O1954" s="8" t="inlineStr">
        <is>
          <t>140500</t>
        </is>
      </c>
      <c r="P1954" s="5" t="inlineStr">
        <is>
          <t>0</t>
        </is>
      </c>
      <c r="Q1954" s="5" t="inlineStr">
        <is>
          <t>2</t>
        </is>
      </c>
      <c r="R1954" s="5" t="inlineStr">
        <is>
          <t>4</t>
        </is>
      </c>
      <c r="S1954" s="5" t="inlineStr">
        <is>
          <t>3</t>
        </is>
      </c>
      <c r="T1954" s="5" t="inlineStr">
        <is>
          <t>5</t>
        </is>
      </c>
      <c r="U1954" s="5" t="inlineStr">
        <is>
          <t>OK</t>
        </is>
      </c>
    </row>
    <row r="1955">
      <c r="A1955" s="5" t="inlineStr">
        <is>
          <t>E01215</t>
        </is>
      </c>
      <c r="B1955" s="5" t="inlineStr">
        <is>
          <t>Male</t>
        </is>
      </c>
      <c r="C1955" s="6" t="inlineStr">
        <is>
          <t>37</t>
        </is>
      </c>
      <c r="D1955" s="5" t="inlineStr">
        <is>
          <t>Married</t>
        </is>
      </c>
      <c r="E1955" s="5" t="inlineStr">
        <is>
          <t>Bachelor</t>
        </is>
      </c>
      <c r="F1955" s="5" t="inlineStr">
        <is>
          <t>Operations</t>
        </is>
      </c>
      <c r="G1955" s="5" t="inlineStr">
        <is>
          <t>Quality Analyst</t>
        </is>
      </c>
      <c r="H1955" s="5" t="inlineStr">
        <is>
          <t>4</t>
        </is>
      </c>
      <c r="I1955" s="5" t="inlineStr">
        <is>
          <t>Remote</t>
        </is>
      </c>
      <c r="J1955" s="5" t="inlineStr">
        <is>
          <t>Full-Time</t>
        </is>
      </c>
      <c r="K1955" s="7" t="n">
        <v>44971</v>
      </c>
      <c r="L1955" s="7" t="inlineStr"/>
      <c r="M1955" s="5" t="inlineStr">
        <is>
          <t>Yes</t>
        </is>
      </c>
      <c r="N1955" s="5" t="inlineStr"/>
      <c r="O1955" s="8" t="inlineStr">
        <is>
          <t>109000</t>
        </is>
      </c>
      <c r="P1955" s="5" t="inlineStr">
        <is>
          <t>5</t>
        </is>
      </c>
      <c r="Q1955" s="5" t="inlineStr">
        <is>
          <t>3</t>
        </is>
      </c>
      <c r="R1955" s="5" t="inlineStr">
        <is>
          <t>6</t>
        </is>
      </c>
      <c r="S1955" s="5" t="inlineStr">
        <is>
          <t>35</t>
        </is>
      </c>
      <c r="T1955" s="5" t="inlineStr">
        <is>
          <t>4</t>
        </is>
      </c>
      <c r="U1955" s="5" t="inlineStr">
        <is>
          <t>OK</t>
        </is>
      </c>
    </row>
    <row r="1956">
      <c r="A1956" s="5" t="inlineStr">
        <is>
          <t>E01978</t>
        </is>
      </c>
      <c r="B1956" s="5" t="inlineStr">
        <is>
          <t>Male</t>
        </is>
      </c>
      <c r="C1956" s="6" t="inlineStr">
        <is>
          <t>29</t>
        </is>
      </c>
      <c r="D1956" s="5" t="inlineStr">
        <is>
          <t>Married</t>
        </is>
      </c>
      <c r="E1956" s="5" t="inlineStr">
        <is>
          <t>Master</t>
        </is>
      </c>
      <c r="F1956" s="5" t="inlineStr">
        <is>
          <t>Customer Support</t>
        </is>
      </c>
      <c r="G1956" s="5" t="inlineStr">
        <is>
          <t>Support Lead</t>
        </is>
      </c>
      <c r="H1956" s="5" t="inlineStr">
        <is>
          <t>2</t>
        </is>
      </c>
      <c r="I1956" s="5" t="inlineStr">
        <is>
          <t>Bengaluru</t>
        </is>
      </c>
      <c r="J1956" s="5" t="inlineStr">
        <is>
          <t>Full-Time</t>
        </is>
      </c>
      <c r="K1956" s="7" t="n">
        <v>45472</v>
      </c>
      <c r="L1956" s="7" t="inlineStr"/>
      <c r="M1956" s="5" t="inlineStr">
        <is>
          <t>Yes</t>
        </is>
      </c>
      <c r="N1956" s="5" t="inlineStr"/>
      <c r="O1956" s="8" t="inlineStr">
        <is>
          <t>69500</t>
        </is>
      </c>
      <c r="P1956" s="5" t="inlineStr">
        <is>
          <t>5</t>
        </is>
      </c>
      <c r="Q1956" s="5" t="inlineStr">
        <is>
          <t>4</t>
        </is>
      </c>
      <c r="R1956" s="5" t="inlineStr">
        <is>
          <t>7</t>
        </is>
      </c>
      <c r="S1956" s="5" t="inlineStr">
        <is>
          <t>18</t>
        </is>
      </c>
      <c r="T1956" s="5" t="inlineStr">
        <is>
          <t>6</t>
        </is>
      </c>
      <c r="U1956" s="5" t="inlineStr">
        <is>
          <t>OK</t>
        </is>
      </c>
    </row>
    <row r="1957">
      <c r="A1957" s="5" t="inlineStr">
        <is>
          <t>E01388</t>
        </is>
      </c>
      <c r="B1957" s="5" t="inlineStr">
        <is>
          <t>Male</t>
        </is>
      </c>
      <c r="C1957" s="6" t="inlineStr">
        <is>
          <t>33</t>
        </is>
      </c>
      <c r="D1957" s="5" t="inlineStr">
        <is>
          <t>Divorced</t>
        </is>
      </c>
      <c r="E1957" s="5" t="inlineStr">
        <is>
          <t>Bachelor</t>
        </is>
      </c>
      <c r="F1957" s="5" t="inlineStr">
        <is>
          <t>Operations</t>
        </is>
      </c>
      <c r="G1957" s="5" t="inlineStr">
        <is>
          <t>Quality Analyst</t>
        </is>
      </c>
      <c r="H1957" s="5" t="inlineStr">
        <is>
          <t>1</t>
        </is>
      </c>
      <c r="I1957" s="5" t="inlineStr">
        <is>
          <t>Bengaluru</t>
        </is>
      </c>
      <c r="J1957" s="5" t="inlineStr">
        <is>
          <t>Full-Time</t>
        </is>
      </c>
      <c r="K1957" s="7" t="n">
        <v>45491</v>
      </c>
      <c r="L1957" s="7" t="inlineStr"/>
      <c r="M1957" s="5" t="inlineStr">
        <is>
          <t>Yes</t>
        </is>
      </c>
      <c r="N1957" s="5" t="inlineStr"/>
      <c r="O1957" s="8" t="inlineStr">
        <is>
          <t>79000</t>
        </is>
      </c>
      <c r="P1957" s="5" t="inlineStr">
        <is>
          <t>10</t>
        </is>
      </c>
      <c r="Q1957" s="5" t="inlineStr">
        <is>
          <t>1</t>
        </is>
      </c>
      <c r="R1957" s="5" t="inlineStr">
        <is>
          <t>7</t>
        </is>
      </c>
      <c r="S1957" s="5" t="inlineStr">
        <is>
          <t>17</t>
        </is>
      </c>
      <c r="T1957" s="5" t="inlineStr">
        <is>
          <t>5</t>
        </is>
      </c>
      <c r="U1957" s="5" t="inlineStr">
        <is>
          <t>OK</t>
        </is>
      </c>
    </row>
    <row r="1958">
      <c r="A1958" s="5" t="inlineStr">
        <is>
          <t>E01471</t>
        </is>
      </c>
      <c r="B1958" s="5" t="inlineStr">
        <is>
          <t>Male</t>
        </is>
      </c>
      <c r="C1958" s="6" t="inlineStr">
        <is>
          <t>36</t>
        </is>
      </c>
      <c r="D1958" s="5" t="inlineStr">
        <is>
          <t>Married</t>
        </is>
      </c>
      <c r="E1958" s="5" t="inlineStr">
        <is>
          <t>Master</t>
        </is>
      </c>
      <c r="F1958" s="5" t="inlineStr">
        <is>
          <t>Sales</t>
        </is>
      </c>
      <c r="G1958" s="5" t="inlineStr">
        <is>
          <t>Account Executive</t>
        </is>
      </c>
      <c r="H1958" s="5" t="inlineStr">
        <is>
          <t>3</t>
        </is>
      </c>
      <c r="I1958" s="5" t="inlineStr">
        <is>
          <t>Chennai</t>
        </is>
      </c>
      <c r="J1958" s="5" t="inlineStr">
        <is>
          <t>Part-Time</t>
        </is>
      </c>
      <c r="K1958" s="7" t="n">
        <v>44045</v>
      </c>
      <c r="L1958" s="7" t="n">
        <v>44121</v>
      </c>
      <c r="M1958" s="5" t="inlineStr">
        <is>
          <t>No</t>
        </is>
      </c>
      <c r="N1958" s="5" t="inlineStr">
        <is>
          <t>Performance / Termination</t>
        </is>
      </c>
      <c r="O1958" s="8" t="inlineStr">
        <is>
          <t>94000</t>
        </is>
      </c>
      <c r="P1958" s="5" t="inlineStr">
        <is>
          <t>10</t>
        </is>
      </c>
      <c r="Q1958" s="5" t="inlineStr">
        <is>
          <t>2</t>
        </is>
      </c>
      <c r="R1958" s="5" t="inlineStr">
        <is>
          <t>6</t>
        </is>
      </c>
      <c r="S1958" s="5" t="inlineStr">
        <is>
          <t>2</t>
        </is>
      </c>
      <c r="T1958" s="5" t="inlineStr">
        <is>
          <t>0</t>
        </is>
      </c>
      <c r="U1958" s="5" t="inlineStr">
        <is>
          <t>OK</t>
        </is>
      </c>
    </row>
    <row r="1959">
      <c r="A1959" s="5" t="inlineStr">
        <is>
          <t>E02062</t>
        </is>
      </c>
      <c r="B1959" s="5" t="inlineStr">
        <is>
          <t>Male</t>
        </is>
      </c>
      <c r="C1959" s="6" t="inlineStr">
        <is>
          <t>42</t>
        </is>
      </c>
      <c r="D1959" s="5" t="inlineStr">
        <is>
          <t>Married</t>
        </is>
      </c>
      <c r="E1959" s="5" t="inlineStr">
        <is>
          <t>High School</t>
        </is>
      </c>
      <c r="F1959" s="5" t="inlineStr">
        <is>
          <t>Research &amp; Development</t>
        </is>
      </c>
      <c r="G1959" s="5" t="inlineStr">
        <is>
          <t>Data Scientist</t>
        </is>
      </c>
      <c r="H1959" s="5" t="inlineStr">
        <is>
          <t>7</t>
        </is>
      </c>
      <c r="I1959" s="5" t="inlineStr">
        <is>
          <t>Chennai</t>
        </is>
      </c>
      <c r="J1959" s="5" t="inlineStr">
        <is>
          <t>Full-Time</t>
        </is>
      </c>
      <c r="K1959" s="7" t="n">
        <v>45170</v>
      </c>
      <c r="L1959" s="7" t="inlineStr"/>
      <c r="M1959" s="5" t="inlineStr">
        <is>
          <t>Yes</t>
        </is>
      </c>
      <c r="N1959" s="5" t="inlineStr"/>
      <c r="O1959" s="8" t="inlineStr">
        <is>
          <t>257500</t>
        </is>
      </c>
      <c r="P1959" s="5" t="inlineStr">
        <is>
          <t>0</t>
        </is>
      </c>
      <c r="Q1959" s="5" t="inlineStr">
        <is>
          <t>5</t>
        </is>
      </c>
      <c r="R1959" s="5" t="inlineStr">
        <is>
          <t>4</t>
        </is>
      </c>
      <c r="S1959" s="5" t="inlineStr">
        <is>
          <t>28</t>
        </is>
      </c>
      <c r="T1959" s="5" t="inlineStr">
        <is>
          <t>0</t>
        </is>
      </c>
      <c r="U1959" s="5" t="inlineStr">
        <is>
          <t>OK</t>
        </is>
      </c>
    </row>
    <row r="1960">
      <c r="A1960" s="5" t="inlineStr">
        <is>
          <t>E01341</t>
        </is>
      </c>
      <c r="B1960" s="5" t="inlineStr">
        <is>
          <t>Male</t>
        </is>
      </c>
      <c r="C1960" s="6" t="inlineStr">
        <is>
          <t>26</t>
        </is>
      </c>
      <c r="D1960" s="5" t="inlineStr">
        <is>
          <t>Married</t>
        </is>
      </c>
      <c r="E1960" s="5" t="inlineStr">
        <is>
          <t>Bachelor</t>
        </is>
      </c>
      <c r="F1960" s="5" t="inlineStr">
        <is>
          <t>Marketing</t>
        </is>
      </c>
      <c r="G1960" s="5" t="inlineStr">
        <is>
          <t>Marketing Analyst</t>
        </is>
      </c>
      <c r="H1960" s="5" t="inlineStr">
        <is>
          <t>2</t>
        </is>
      </c>
      <c r="I1960" s="5" t="inlineStr">
        <is>
          <t>Remote</t>
        </is>
      </c>
      <c r="J1960" s="5" t="inlineStr">
        <is>
          <t>Full-Time</t>
        </is>
      </c>
      <c r="K1960" s="7" t="n">
        <v>45832</v>
      </c>
      <c r="L1960" s="7" t="inlineStr"/>
      <c r="M1960" s="5" t="inlineStr">
        <is>
          <t>Yes</t>
        </is>
      </c>
      <c r="N1960" s="5" t="inlineStr"/>
      <c r="O1960" s="8" t="inlineStr">
        <is>
          <t>94500</t>
        </is>
      </c>
      <c r="P1960" s="5" t="inlineStr">
        <is>
          <t>0</t>
        </is>
      </c>
      <c r="Q1960" s="5" t="inlineStr">
        <is>
          <t>3</t>
        </is>
      </c>
      <c r="R1960" s="5" t="inlineStr">
        <is>
          <t>9</t>
        </is>
      </c>
      <c r="S1960" s="5" t="inlineStr">
        <is>
          <t>6</t>
        </is>
      </c>
      <c r="T1960" s="5" t="inlineStr">
        <is>
          <t>8</t>
        </is>
      </c>
      <c r="U1960" s="5" t="inlineStr">
        <is>
          <t>OK</t>
        </is>
      </c>
    </row>
    <row r="1961">
      <c r="A1961" s="5" t="inlineStr">
        <is>
          <t>E00854</t>
        </is>
      </c>
      <c r="B1961" s="5" t="inlineStr">
        <is>
          <t>Female</t>
        </is>
      </c>
      <c r="C1961" s="6" t="inlineStr">
        <is>
          <t>32</t>
        </is>
      </c>
      <c r="D1961" s="5" t="inlineStr">
        <is>
          <t>Divorced</t>
        </is>
      </c>
      <c r="E1961" s="5" t="inlineStr">
        <is>
          <t>High School</t>
        </is>
      </c>
      <c r="F1961" s="5" t="inlineStr">
        <is>
          <t>Human Resources</t>
        </is>
      </c>
      <c r="G1961" s="5" t="inlineStr">
        <is>
          <t>HR Generalist</t>
        </is>
      </c>
      <c r="H1961" s="5" t="inlineStr">
        <is>
          <t>2</t>
        </is>
      </c>
      <c r="I1961" s="5" t="inlineStr">
        <is>
          <t>Hyderabad</t>
        </is>
      </c>
      <c r="J1961" s="5" t="inlineStr">
        <is>
          <t>Full-Time</t>
        </is>
      </c>
      <c r="K1961" s="7" t="n">
        <v>45174</v>
      </c>
      <c r="L1961" s="7" t="inlineStr"/>
      <c r="M1961" s="5" t="inlineStr">
        <is>
          <t>Yes</t>
        </is>
      </c>
      <c r="N1961" s="5" t="inlineStr"/>
      <c r="O1961" s="8" t="inlineStr">
        <is>
          <t>108500</t>
        </is>
      </c>
      <c r="P1961" s="5" t="inlineStr">
        <is>
          <t>10</t>
        </is>
      </c>
      <c r="Q1961" s="5" t="inlineStr">
        <is>
          <t>2</t>
        </is>
      </c>
      <c r="R1961" s="5" t="inlineStr">
        <is>
          <t>6</t>
        </is>
      </c>
      <c r="S1961" s="5" t="inlineStr">
        <is>
          <t>28</t>
        </is>
      </c>
      <c r="T1961" s="5" t="inlineStr">
        <is>
          <t>2</t>
        </is>
      </c>
      <c r="U1961" s="5" t="inlineStr">
        <is>
          <t>OK</t>
        </is>
      </c>
    </row>
    <row r="1962">
      <c r="A1962" s="5" t="inlineStr">
        <is>
          <t>E01531</t>
        </is>
      </c>
      <c r="B1962" s="5" t="inlineStr">
        <is>
          <t>Male</t>
        </is>
      </c>
      <c r="C1962" s="6" t="inlineStr">
        <is>
          <t>23</t>
        </is>
      </c>
      <c r="D1962" s="5" t="inlineStr">
        <is>
          <t>Married</t>
        </is>
      </c>
      <c r="E1962" s="5" t="inlineStr">
        <is>
          <t>High School</t>
        </is>
      </c>
      <c r="F1962" s="5" t="inlineStr">
        <is>
          <t>Sales</t>
        </is>
      </c>
      <c r="G1962" s="5" t="inlineStr">
        <is>
          <t>Account Executive</t>
        </is>
      </c>
      <c r="H1962" s="5" t="inlineStr">
        <is>
          <t>1</t>
        </is>
      </c>
      <c r="I1962" s="5" t="inlineStr">
        <is>
          <t>Chennai</t>
        </is>
      </c>
      <c r="J1962" s="5" t="inlineStr">
        <is>
          <t>Full-Time</t>
        </is>
      </c>
      <c r="K1962" s="7" t="n">
        <v>44660</v>
      </c>
      <c r="L1962" s="7" t="n">
        <v>44711</v>
      </c>
      <c r="M1962" s="5" t="inlineStr">
        <is>
          <t>No</t>
        </is>
      </c>
      <c r="N1962" s="5" t="inlineStr">
        <is>
          <t>Resigned</t>
        </is>
      </c>
      <c r="O1962" s="8" t="inlineStr">
        <is>
          <t>81000</t>
        </is>
      </c>
      <c r="P1962" s="5" t="inlineStr">
        <is>
          <t>10</t>
        </is>
      </c>
      <c r="Q1962" s="5" t="inlineStr">
        <is>
          <t>2</t>
        </is>
      </c>
      <c r="R1962" s="5" t="inlineStr">
        <is>
          <t>7</t>
        </is>
      </c>
      <c r="S1962" s="5" t="inlineStr">
        <is>
          <t>1</t>
        </is>
      </c>
      <c r="T1962" s="5" t="inlineStr">
        <is>
          <t>8</t>
        </is>
      </c>
      <c r="U1962" s="5" t="inlineStr">
        <is>
          <t>OK</t>
        </is>
      </c>
    </row>
    <row r="1963">
      <c r="A1963" s="5" t="inlineStr">
        <is>
          <t>E01036</t>
        </is>
      </c>
      <c r="B1963" s="5" t="inlineStr">
        <is>
          <t>Male</t>
        </is>
      </c>
      <c r="C1963" s="6" t="inlineStr">
        <is>
          <t>35</t>
        </is>
      </c>
      <c r="D1963" s="5" t="inlineStr">
        <is>
          <t>Married</t>
        </is>
      </c>
      <c r="E1963" s="5" t="inlineStr">
        <is>
          <t>PhD</t>
        </is>
      </c>
      <c r="F1963" s="5" t="inlineStr">
        <is>
          <t>Customer Support</t>
        </is>
      </c>
      <c r="G1963" s="5" t="inlineStr">
        <is>
          <t>Support Agent</t>
        </is>
      </c>
      <c r="H1963" s="5" t="inlineStr">
        <is>
          <t>3</t>
        </is>
      </c>
      <c r="I1963" s="5" t="inlineStr">
        <is>
          <t>Remote</t>
        </is>
      </c>
      <c r="J1963" s="5" t="inlineStr">
        <is>
          <t>Full-Time</t>
        </is>
      </c>
      <c r="K1963" s="7" t="n">
        <v>44445</v>
      </c>
      <c r="L1963" s="7" t="inlineStr"/>
      <c r="M1963" s="5" t="inlineStr">
        <is>
          <t>Yes</t>
        </is>
      </c>
      <c r="N1963" s="5" t="inlineStr"/>
      <c r="O1963" s="8" t="inlineStr">
        <is>
          <t>73000</t>
        </is>
      </c>
      <c r="P1963" s="5" t="inlineStr">
        <is>
          <t>5</t>
        </is>
      </c>
      <c r="Q1963" s="5" t="inlineStr">
        <is>
          <t>4</t>
        </is>
      </c>
      <c r="R1963" s="5" t="inlineStr">
        <is>
          <t>6</t>
        </is>
      </c>
      <c r="S1963" s="5" t="inlineStr">
        <is>
          <t>52</t>
        </is>
      </c>
      <c r="T1963" s="5" t="inlineStr">
        <is>
          <t>8</t>
        </is>
      </c>
      <c r="U1963" s="5" t="inlineStr">
        <is>
          <t>OK</t>
        </is>
      </c>
    </row>
    <row r="1964">
      <c r="A1964" s="5" t="inlineStr">
        <is>
          <t>E02705</t>
        </is>
      </c>
      <c r="B1964" s="5" t="inlineStr">
        <is>
          <t>Female</t>
        </is>
      </c>
      <c r="C1964" s="6" t="inlineStr">
        <is>
          <t>25</t>
        </is>
      </c>
      <c r="D1964" s="5" t="inlineStr">
        <is>
          <t>Married</t>
        </is>
      </c>
      <c r="E1964" s="5" t="inlineStr">
        <is>
          <t>Diploma</t>
        </is>
      </c>
      <c r="F1964" s="5" t="inlineStr">
        <is>
          <t>Customer Support</t>
        </is>
      </c>
      <c r="G1964" s="5" t="inlineStr">
        <is>
          <t>Escalation Specialist</t>
        </is>
      </c>
      <c r="H1964" s="5" t="inlineStr">
        <is>
          <t>1</t>
        </is>
      </c>
      <c r="I1964" s="5" t="inlineStr">
        <is>
          <t>Bengaluru</t>
        </is>
      </c>
      <c r="J1964" s="5" t="inlineStr">
        <is>
          <t>Full-Time</t>
        </is>
      </c>
      <c r="K1964" s="7" t="n">
        <v>44261</v>
      </c>
      <c r="L1964" s="7" t="n">
        <v>44307</v>
      </c>
      <c r="M1964" s="5" t="inlineStr">
        <is>
          <t>No</t>
        </is>
      </c>
      <c r="N1964" s="5" t="inlineStr">
        <is>
          <t>Layoff</t>
        </is>
      </c>
      <c r="O1964" s="8" t="inlineStr">
        <is>
          <t>64500</t>
        </is>
      </c>
      <c r="P1964" s="5" t="inlineStr">
        <is>
          <t>0</t>
        </is>
      </c>
      <c r="Q1964" s="5" t="inlineStr">
        <is>
          <t>1</t>
        </is>
      </c>
      <c r="R1964" s="5" t="inlineStr">
        <is>
          <t>4</t>
        </is>
      </c>
      <c r="S1964" s="5" t="inlineStr">
        <is>
          <t>1</t>
        </is>
      </c>
      <c r="T1964" s="5" t="inlineStr">
        <is>
          <t>10</t>
        </is>
      </c>
      <c r="U1964" s="5" t="inlineStr">
        <is>
          <t>OK</t>
        </is>
      </c>
    </row>
    <row r="1965">
      <c r="A1965" s="5" t="inlineStr">
        <is>
          <t>E02482</t>
        </is>
      </c>
      <c r="B1965" s="5" t="inlineStr">
        <is>
          <t>Male</t>
        </is>
      </c>
      <c r="C1965" s="6" t="inlineStr">
        <is>
          <t>46</t>
        </is>
      </c>
      <c r="D1965" s="5" t="inlineStr">
        <is>
          <t>Married</t>
        </is>
      </c>
      <c r="E1965" s="5" t="inlineStr">
        <is>
          <t>Master</t>
        </is>
      </c>
      <c r="F1965" s="5" t="inlineStr">
        <is>
          <t>Customer Support</t>
        </is>
      </c>
      <c r="G1965" s="5" t="inlineStr">
        <is>
          <t>Support Lead</t>
        </is>
      </c>
      <c r="H1965" s="5" t="inlineStr">
        <is>
          <t>7</t>
        </is>
      </c>
      <c r="I1965" s="5" t="inlineStr">
        <is>
          <t>Remote</t>
        </is>
      </c>
      <c r="J1965" s="5" t="inlineStr">
        <is>
          <t>Full-Time</t>
        </is>
      </c>
      <c r="K1965" s="7" t="n">
        <v>44441</v>
      </c>
      <c r="L1965" s="7" t="inlineStr"/>
      <c r="M1965" s="5" t="inlineStr">
        <is>
          <t>Yes</t>
        </is>
      </c>
      <c r="N1965" s="5" t="inlineStr"/>
      <c r="O1965" s="8" t="inlineStr">
        <is>
          <t>103000</t>
        </is>
      </c>
      <c r="P1965" s="5" t="inlineStr">
        <is>
          <t>5</t>
        </is>
      </c>
      <c r="Q1965" s="5" t="inlineStr">
        <is>
          <t>4</t>
        </is>
      </c>
      <c r="R1965" s="5" t="inlineStr">
        <is>
          <t>7</t>
        </is>
      </c>
      <c r="S1965" s="5" t="inlineStr">
        <is>
          <t>52</t>
        </is>
      </c>
      <c r="T1965" s="5" t="inlineStr">
        <is>
          <t>8</t>
        </is>
      </c>
      <c r="U1965" s="5" t="inlineStr">
        <is>
          <t>OK</t>
        </is>
      </c>
    </row>
    <row r="1966">
      <c r="A1966" s="5" t="inlineStr">
        <is>
          <t>E02970</t>
        </is>
      </c>
      <c r="B1966" s="5" t="inlineStr">
        <is>
          <t>Female</t>
        </is>
      </c>
      <c r="C1966" s="6" t="inlineStr">
        <is>
          <t>39</t>
        </is>
      </c>
      <c r="D1966" s="5" t="inlineStr">
        <is>
          <t>Married</t>
        </is>
      </c>
      <c r="E1966" s="5" t="inlineStr">
        <is>
          <t>High School</t>
        </is>
      </c>
      <c r="F1966" s="5" t="inlineStr">
        <is>
          <t>Finance</t>
        </is>
      </c>
      <c r="G1966" s="5" t="inlineStr">
        <is>
          <t>Financial Analyst</t>
        </is>
      </c>
      <c r="H1966" s="5" t="inlineStr">
        <is>
          <t>5</t>
        </is>
      </c>
      <c r="I1966" s="5" t="inlineStr">
        <is>
          <t>Hyderabad</t>
        </is>
      </c>
      <c r="J1966" s="5" t="inlineStr">
        <is>
          <t>Full-Time</t>
        </is>
      </c>
      <c r="K1966" s="7" t="n">
        <v>44889</v>
      </c>
      <c r="L1966" s="7" t="n">
        <v>44961</v>
      </c>
      <c r="M1966" s="5" t="inlineStr">
        <is>
          <t>No</t>
        </is>
      </c>
      <c r="N1966" s="5" t="inlineStr">
        <is>
          <t>Relocation</t>
        </is>
      </c>
      <c r="O1966" s="8" t="inlineStr">
        <is>
          <t>138500</t>
        </is>
      </c>
      <c r="P1966" s="5" t="inlineStr">
        <is>
          <t>5</t>
        </is>
      </c>
      <c r="Q1966" s="5" t="inlineStr">
        <is>
          <t>4</t>
        </is>
      </c>
      <c r="R1966" s="5" t="inlineStr">
        <is>
          <t>6</t>
        </is>
      </c>
      <c r="S1966" s="5" t="inlineStr">
        <is>
          <t>2</t>
        </is>
      </c>
      <c r="T1966" s="5" t="inlineStr">
        <is>
          <t>16</t>
        </is>
      </c>
      <c r="U1966" s="5" t="inlineStr">
        <is>
          <t>OK</t>
        </is>
      </c>
    </row>
    <row r="1967">
      <c r="A1967" s="5" t="inlineStr">
        <is>
          <t>E00890</t>
        </is>
      </c>
      <c r="B1967" s="5" t="inlineStr">
        <is>
          <t>Female</t>
        </is>
      </c>
      <c r="C1967" s="6" t="inlineStr">
        <is>
          <t>30</t>
        </is>
      </c>
      <c r="D1967" s="5" t="inlineStr">
        <is>
          <t>Married</t>
        </is>
      </c>
      <c r="E1967" s="5" t="inlineStr">
        <is>
          <t>Diploma</t>
        </is>
      </c>
      <c r="F1967" s="5" t="inlineStr">
        <is>
          <t>Sales</t>
        </is>
      </c>
      <c r="G1967" s="5" t="inlineStr">
        <is>
          <t>Account Executive</t>
        </is>
      </c>
      <c r="H1967" s="5" t="inlineStr">
        <is>
          <t>2</t>
        </is>
      </c>
      <c r="I1967" s="5" t="inlineStr">
        <is>
          <t>Hyderabad</t>
        </is>
      </c>
      <c r="J1967" s="5" t="inlineStr">
        <is>
          <t>Full-Time</t>
        </is>
      </c>
      <c r="K1967" s="7" t="n">
        <v>45443</v>
      </c>
      <c r="L1967" s="7" t="n">
        <v>45483</v>
      </c>
      <c r="M1967" s="5" t="inlineStr">
        <is>
          <t>No</t>
        </is>
      </c>
      <c r="N1967" s="5" t="inlineStr">
        <is>
          <t>Resigned</t>
        </is>
      </c>
      <c r="O1967" s="8" t="inlineStr">
        <is>
          <t>104000</t>
        </is>
      </c>
      <c r="P1967" s="5" t="inlineStr">
        <is>
          <t>10</t>
        </is>
      </c>
      <c r="Q1967" s="5" t="inlineStr">
        <is>
          <t>3</t>
        </is>
      </c>
      <c r="R1967" s="5" t="inlineStr">
        <is>
          <t>5</t>
        </is>
      </c>
      <c r="S1967" s="5" t="inlineStr">
        <is>
          <t>1</t>
        </is>
      </c>
      <c r="T1967" s="5" t="inlineStr">
        <is>
          <t>6</t>
        </is>
      </c>
      <c r="U1967" s="5" t="inlineStr">
        <is>
          <t>OK</t>
        </is>
      </c>
    </row>
    <row r="1968">
      <c r="A1968" s="5" t="inlineStr">
        <is>
          <t>E00608</t>
        </is>
      </c>
      <c r="B1968" s="5" t="inlineStr">
        <is>
          <t>Unknown</t>
        </is>
      </c>
      <c r="C1968" s="6" t="inlineStr">
        <is>
          <t>41</t>
        </is>
      </c>
      <c r="D1968" s="5" t="inlineStr">
        <is>
          <t>Married</t>
        </is>
      </c>
      <c r="E1968" s="5" t="inlineStr">
        <is>
          <t>PhD</t>
        </is>
      </c>
      <c r="F1968" s="5" t="inlineStr">
        <is>
          <t>IT</t>
        </is>
      </c>
      <c r="G1968" s="5" t="inlineStr">
        <is>
          <t>Software Engineer</t>
        </is>
      </c>
      <c r="H1968" s="5" t="inlineStr">
        <is>
          <t>6</t>
        </is>
      </c>
      <c r="I1968" s="5" t="inlineStr">
        <is>
          <t>Mumbai</t>
        </is>
      </c>
      <c r="J1968" s="5" t="inlineStr">
        <is>
          <t>Full-Time</t>
        </is>
      </c>
      <c r="K1968" s="7" t="n">
        <v>45536</v>
      </c>
      <c r="L1968" s="7" t="n">
        <v>45643</v>
      </c>
      <c r="M1968" s="5" t="inlineStr">
        <is>
          <t>No</t>
        </is>
      </c>
      <c r="N1968" s="5" t="inlineStr">
        <is>
          <t>Resigned</t>
        </is>
      </c>
      <c r="O1968" s="8" t="inlineStr">
        <is>
          <t>202000</t>
        </is>
      </c>
      <c r="P1968" s="5" t="inlineStr">
        <is>
          <t>5</t>
        </is>
      </c>
      <c r="Q1968" s="5" t="inlineStr">
        <is>
          <t>4</t>
        </is>
      </c>
      <c r="R1968" s="5" t="inlineStr">
        <is>
          <t>7</t>
        </is>
      </c>
      <c r="S1968" s="5" t="inlineStr">
        <is>
          <t>3</t>
        </is>
      </c>
      <c r="T1968" s="5" t="inlineStr">
        <is>
          <t>15</t>
        </is>
      </c>
      <c r="U1968" s="5" t="inlineStr">
        <is>
          <t>Bad gender</t>
        </is>
      </c>
    </row>
    <row r="1969">
      <c r="A1969" s="5" t="inlineStr">
        <is>
          <t>E00898</t>
        </is>
      </c>
      <c r="B1969" s="5" t="inlineStr">
        <is>
          <t>Male</t>
        </is>
      </c>
      <c r="C1969" s="6" t="inlineStr">
        <is>
          <t>36</t>
        </is>
      </c>
      <c r="D1969" s="5" t="inlineStr">
        <is>
          <t>Single</t>
        </is>
      </c>
      <c r="E1969" s="5" t="inlineStr">
        <is>
          <t>High School</t>
        </is>
      </c>
      <c r="F1969" s="5" t="inlineStr">
        <is>
          <t>IT</t>
        </is>
      </c>
      <c r="G1969" s="5" t="inlineStr">
        <is>
          <t>Software Engineer</t>
        </is>
      </c>
      <c r="H1969" s="5" t="inlineStr">
        <is>
          <t>7</t>
        </is>
      </c>
      <c r="I1969" s="5" t="inlineStr">
        <is>
          <t>Mumbai</t>
        </is>
      </c>
      <c r="J1969" s="5" t="inlineStr">
        <is>
          <t>Full-Time</t>
        </is>
      </c>
      <c r="K1969" s="7" t="n">
        <v>45251</v>
      </c>
      <c r="L1969" s="7" t="inlineStr"/>
      <c r="M1969" s="5" t="inlineStr">
        <is>
          <t>Yes</t>
        </is>
      </c>
      <c r="N1969" s="5" t="inlineStr"/>
      <c r="O1969" s="8" t="inlineStr">
        <is>
          <t>199000</t>
        </is>
      </c>
      <c r="P1969" s="5" t="inlineStr">
        <is>
          <t>15</t>
        </is>
      </c>
      <c r="Q1969" s="5" t="inlineStr">
        <is>
          <t>3</t>
        </is>
      </c>
      <c r="R1969" s="5" t="inlineStr">
        <is>
          <t>3</t>
        </is>
      </c>
      <c r="S1969" s="5" t="inlineStr">
        <is>
          <t>25</t>
        </is>
      </c>
      <c r="T1969" s="5" t="inlineStr">
        <is>
          <t>1</t>
        </is>
      </c>
      <c r="U1969" s="5" t="inlineStr">
        <is>
          <t>OK</t>
        </is>
      </c>
    </row>
    <row r="1970">
      <c r="A1970" s="5" t="inlineStr">
        <is>
          <t>E01264</t>
        </is>
      </c>
      <c r="B1970" s="5" t="inlineStr">
        <is>
          <t>Female</t>
        </is>
      </c>
      <c r="C1970" s="6" t="inlineStr">
        <is>
          <t>32</t>
        </is>
      </c>
      <c r="D1970" s="5" t="inlineStr">
        <is>
          <t>Single</t>
        </is>
      </c>
      <c r="E1970" s="5" t="inlineStr">
        <is>
          <t>Diploma</t>
        </is>
      </c>
      <c r="F1970" s="5" t="inlineStr">
        <is>
          <t>Human Resources</t>
        </is>
      </c>
      <c r="G1970" s="5" t="inlineStr">
        <is>
          <t>HR Analyst</t>
        </is>
      </c>
      <c r="H1970" s="5" t="inlineStr">
        <is>
          <t>2</t>
        </is>
      </c>
      <c r="I1970" s="5" t="inlineStr">
        <is>
          <t>Remote</t>
        </is>
      </c>
      <c r="J1970" s="5" t="inlineStr">
        <is>
          <t>Full-Time</t>
        </is>
      </c>
      <c r="K1970" s="7" t="n">
        <v>45463</v>
      </c>
      <c r="L1970" s="7" t="inlineStr"/>
      <c r="M1970" s="5" t="inlineStr">
        <is>
          <t>Yes</t>
        </is>
      </c>
      <c r="N1970" s="5" t="inlineStr"/>
      <c r="O1970" s="8" t="inlineStr">
        <is>
          <t>66000</t>
        </is>
      </c>
      <c r="P1970" s="5" t="inlineStr">
        <is>
          <t>0</t>
        </is>
      </c>
      <c r="Q1970" s="5" t="inlineStr">
        <is>
          <t>3</t>
        </is>
      </c>
      <c r="R1970" s="5" t="inlineStr">
        <is>
          <t>5</t>
        </is>
      </c>
      <c r="S1970" s="5" t="inlineStr">
        <is>
          <t>18</t>
        </is>
      </c>
      <c r="T1970" s="5" t="inlineStr">
        <is>
          <t>2</t>
        </is>
      </c>
      <c r="U1970" s="5" t="inlineStr">
        <is>
          <t>OK</t>
        </is>
      </c>
    </row>
    <row r="1971">
      <c r="A1971" s="5" t="inlineStr">
        <is>
          <t>E01900</t>
        </is>
      </c>
      <c r="B1971" s="5" t="inlineStr">
        <is>
          <t>Male</t>
        </is>
      </c>
      <c r="C1971" s="6" t="inlineStr">
        <is>
          <t>38</t>
        </is>
      </c>
      <c r="D1971" s="5" t="inlineStr">
        <is>
          <t>Married</t>
        </is>
      </c>
      <c r="E1971" s="5" t="inlineStr">
        <is>
          <t>Diploma</t>
        </is>
      </c>
      <c r="F1971" s="5" t="inlineStr">
        <is>
          <t>Operations</t>
        </is>
      </c>
      <c r="G1971" s="5" t="inlineStr">
        <is>
          <t>Logistics Coordinator</t>
        </is>
      </c>
      <c r="H1971" s="5" t="inlineStr">
        <is>
          <t>4</t>
        </is>
      </c>
      <c r="I1971" s="5" t="inlineStr">
        <is>
          <t>Hyderabad</t>
        </is>
      </c>
      <c r="J1971" s="5" t="inlineStr">
        <is>
          <t>Full-Time</t>
        </is>
      </c>
      <c r="K1971" s="7" t="n">
        <v>44206</v>
      </c>
      <c r="L1971" s="7" t="inlineStr"/>
      <c r="M1971" s="5" t="inlineStr">
        <is>
          <t>Yes</t>
        </is>
      </c>
      <c r="N1971" s="5" t="inlineStr"/>
      <c r="O1971" s="8" t="inlineStr">
        <is>
          <t>101000</t>
        </is>
      </c>
      <c r="P1971" s="5" t="inlineStr">
        <is>
          <t>15</t>
        </is>
      </c>
      <c r="Q1971" s="5" t="inlineStr">
        <is>
          <t>3</t>
        </is>
      </c>
      <c r="R1971" s="5" t="inlineStr">
        <is>
          <t>6</t>
        </is>
      </c>
      <c r="S1971" s="5" t="inlineStr">
        <is>
          <t>60</t>
        </is>
      </c>
      <c r="T1971" s="5" t="inlineStr">
        <is>
          <t>6</t>
        </is>
      </c>
      <c r="U1971" s="5" t="inlineStr">
        <is>
          <t>OK</t>
        </is>
      </c>
    </row>
    <row r="1972">
      <c r="A1972" s="5" t="inlineStr">
        <is>
          <t>E00288</t>
        </is>
      </c>
      <c r="B1972" s="5" t="inlineStr">
        <is>
          <t>Male</t>
        </is>
      </c>
      <c r="C1972" s="6" t="inlineStr">
        <is>
          <t>37</t>
        </is>
      </c>
      <c r="D1972" s="5" t="inlineStr">
        <is>
          <t>Married</t>
        </is>
      </c>
      <c r="E1972" s="5" t="inlineStr">
        <is>
          <t>Diploma</t>
        </is>
      </c>
      <c r="F1972" s="5" t="inlineStr">
        <is>
          <t>Sales</t>
        </is>
      </c>
      <c r="G1972" s="5" t="inlineStr">
        <is>
          <t>Sales Executive</t>
        </is>
      </c>
      <c r="H1972" s="5" t="inlineStr">
        <is>
          <t>3</t>
        </is>
      </c>
      <c r="I1972" s="5" t="inlineStr">
        <is>
          <t>Delhi</t>
        </is>
      </c>
      <c r="J1972" s="5" t="inlineStr">
        <is>
          <t>Full-Time</t>
        </is>
      </c>
      <c r="K1972" s="7" t="n">
        <v>44195</v>
      </c>
      <c r="L1972" s="7" t="inlineStr"/>
      <c r="M1972" s="5" t="inlineStr">
        <is>
          <t>Yes</t>
        </is>
      </c>
      <c r="N1972" s="5" t="inlineStr"/>
      <c r="O1972" s="8" t="inlineStr">
        <is>
          <t>82500</t>
        </is>
      </c>
      <c r="P1972" s="5" t="inlineStr">
        <is>
          <t>0</t>
        </is>
      </c>
      <c r="Q1972" s="5" t="inlineStr">
        <is>
          <t>5</t>
        </is>
      </c>
      <c r="R1972" s="5" t="inlineStr">
        <is>
          <t>5</t>
        </is>
      </c>
      <c r="S1972" s="5" t="inlineStr">
        <is>
          <t>60</t>
        </is>
      </c>
      <c r="T1972" s="5" t="inlineStr">
        <is>
          <t>0</t>
        </is>
      </c>
      <c r="U1972" s="5" t="inlineStr">
        <is>
          <t>OK</t>
        </is>
      </c>
    </row>
    <row r="1973">
      <c r="A1973" s="5" t="inlineStr">
        <is>
          <t>E00079</t>
        </is>
      </c>
      <c r="B1973" s="5" t="inlineStr">
        <is>
          <t>Female</t>
        </is>
      </c>
      <c r="C1973" s="6" t="inlineStr">
        <is>
          <t>35</t>
        </is>
      </c>
      <c r="D1973" s="5" t="inlineStr">
        <is>
          <t>Single</t>
        </is>
      </c>
      <c r="E1973" s="5" t="inlineStr">
        <is>
          <t>Diploma</t>
        </is>
      </c>
      <c r="F1973" s="5" t="inlineStr">
        <is>
          <t>Customer Support</t>
        </is>
      </c>
      <c r="G1973" s="5" t="inlineStr">
        <is>
          <t>Support Lead</t>
        </is>
      </c>
      <c r="H1973" s="5" t="inlineStr">
        <is>
          <t>3</t>
        </is>
      </c>
      <c r="I1973" s="5" t="inlineStr">
        <is>
          <t>Delhi</t>
        </is>
      </c>
      <c r="J1973" s="5" t="inlineStr">
        <is>
          <t>Full-Time</t>
        </is>
      </c>
      <c r="K1973" s="7" t="n">
        <v>43925</v>
      </c>
      <c r="L1973" s="7" t="inlineStr"/>
      <c r="M1973" s="5" t="inlineStr">
        <is>
          <t>Yes</t>
        </is>
      </c>
      <c r="N1973" s="5" t="inlineStr"/>
      <c r="O1973" s="8" t="inlineStr">
        <is>
          <t>66000</t>
        </is>
      </c>
      <c r="P1973" s="5" t="inlineStr">
        <is>
          <t>15</t>
        </is>
      </c>
      <c r="Q1973" s="5" t="inlineStr">
        <is>
          <t>4</t>
        </is>
      </c>
      <c r="R1973" s="5" t="inlineStr">
        <is>
          <t>7</t>
        </is>
      </c>
      <c r="S1973" s="5" t="inlineStr">
        <is>
          <t>69</t>
        </is>
      </c>
      <c r="T1973" s="5" t="inlineStr">
        <is>
          <t>9</t>
        </is>
      </c>
      <c r="U1973" s="5" t="inlineStr">
        <is>
          <t>OK</t>
        </is>
      </c>
    </row>
    <row r="1974">
      <c r="A1974" s="5" t="inlineStr">
        <is>
          <t>E00652</t>
        </is>
      </c>
      <c r="B1974" s="5" t="inlineStr">
        <is>
          <t>male</t>
        </is>
      </c>
      <c r="C1974" s="6" t="inlineStr">
        <is>
          <t>39</t>
        </is>
      </c>
      <c r="D1974" s="5" t="inlineStr">
        <is>
          <t>Married</t>
        </is>
      </c>
      <c r="E1974" s="5" t="inlineStr">
        <is>
          <t>Diploma</t>
        </is>
      </c>
      <c r="F1974" s="5" t="inlineStr">
        <is>
          <t>Research &amp; Development</t>
        </is>
      </c>
      <c r="G1974" s="5" t="inlineStr">
        <is>
          <t>Research Scientist</t>
        </is>
      </c>
      <c r="H1974" s="5" t="inlineStr">
        <is>
          <t>4</t>
        </is>
      </c>
      <c r="I1974" s="5" t="inlineStr">
        <is>
          <t>Remote</t>
        </is>
      </c>
      <c r="J1974" s="5" t="inlineStr">
        <is>
          <t>Full-Time</t>
        </is>
      </c>
      <c r="K1974" s="7" t="n">
        <v>44458</v>
      </c>
      <c r="L1974" s="7" t="inlineStr"/>
      <c r="M1974" s="5" t="inlineStr">
        <is>
          <t>Yes</t>
        </is>
      </c>
      <c r="N1974" s="5" t="inlineStr"/>
      <c r="O1974" s="8" t="inlineStr">
        <is>
          <t>166000</t>
        </is>
      </c>
      <c r="P1974" s="5" t="inlineStr">
        <is>
          <t>15</t>
        </is>
      </c>
      <c r="Q1974" s="5" t="inlineStr">
        <is>
          <t>2</t>
        </is>
      </c>
      <c r="R1974" s="5" t="inlineStr">
        <is>
          <t>8</t>
        </is>
      </c>
      <c r="S1974" s="5" t="inlineStr">
        <is>
          <t>52</t>
        </is>
      </c>
      <c r="T1974" s="5" t="inlineStr">
        <is>
          <t>0</t>
        </is>
      </c>
      <c r="U1974" s="5" t="inlineStr">
        <is>
          <t>OK</t>
        </is>
      </c>
    </row>
    <row r="1975">
      <c r="A1975" s="5" t="inlineStr">
        <is>
          <t>E00599</t>
        </is>
      </c>
      <c r="B1975" s="5" t="inlineStr">
        <is>
          <t>Male</t>
        </is>
      </c>
      <c r="C1975" s="6" t="inlineStr">
        <is>
          <t>28</t>
        </is>
      </c>
      <c r="D1975" s="5" t="inlineStr">
        <is>
          <t>Married</t>
        </is>
      </c>
      <c r="E1975" s="5" t="inlineStr">
        <is>
          <t>Master</t>
        </is>
      </c>
      <c r="F1975" s="5" t="inlineStr">
        <is>
          <t>Research &amp; Development</t>
        </is>
      </c>
      <c r="G1975" s="5" t="inlineStr">
        <is>
          <t>Data Scientist</t>
        </is>
      </c>
      <c r="H1975" s="5" t="inlineStr">
        <is>
          <t>1</t>
        </is>
      </c>
      <c r="I1975" s="5" t="inlineStr">
        <is>
          <t>Bengaluru</t>
        </is>
      </c>
      <c r="J1975" s="5" t="inlineStr">
        <is>
          <t>Part-Time</t>
        </is>
      </c>
      <c r="K1975" s="7" t="n">
        <v>43876</v>
      </c>
      <c r="L1975" s="7" t="n">
        <v>43954</v>
      </c>
      <c r="M1975" s="5" t="inlineStr">
        <is>
          <t>No</t>
        </is>
      </c>
      <c r="N1975" s="5" t="inlineStr">
        <is>
          <t>Retirement</t>
        </is>
      </c>
      <c r="O1975" s="8" t="inlineStr">
        <is>
          <t>163000</t>
        </is>
      </c>
      <c r="P1975" s="5" t="inlineStr">
        <is>
          <t>5</t>
        </is>
      </c>
      <c r="Q1975" s="5" t="inlineStr">
        <is>
          <t>3</t>
        </is>
      </c>
      <c r="R1975" s="5" t="inlineStr">
        <is>
          <t>9</t>
        </is>
      </c>
      <c r="S1975" s="5" t="inlineStr">
        <is>
          <t>2</t>
        </is>
      </c>
      <c r="T1975" s="5" t="inlineStr">
        <is>
          <t>11</t>
        </is>
      </c>
      <c r="U1975" s="5" t="inlineStr">
        <is>
          <t>OK</t>
        </is>
      </c>
    </row>
    <row r="1976">
      <c r="A1976" s="5" t="inlineStr">
        <is>
          <t>E00835</t>
        </is>
      </c>
      <c r="B1976" s="5" t="inlineStr">
        <is>
          <t>Male</t>
        </is>
      </c>
      <c r="C1976" s="6" t="inlineStr">
        <is>
          <t>29</t>
        </is>
      </c>
      <c r="D1976" s="5" t="inlineStr">
        <is>
          <t>Married</t>
        </is>
      </c>
      <c r="E1976" s="5" t="inlineStr">
        <is>
          <t>High School</t>
        </is>
      </c>
      <c r="F1976" s="5" t="inlineStr">
        <is>
          <t>Human Resources</t>
        </is>
      </c>
      <c r="G1976" s="5" t="inlineStr">
        <is>
          <t>HR Generalist</t>
        </is>
      </c>
      <c r="H1976" s="5" t="inlineStr">
        <is>
          <t>3</t>
        </is>
      </c>
      <c r="I1976" s="5" t="inlineStr">
        <is>
          <t>Hyderabad</t>
        </is>
      </c>
      <c r="J1976" s="5" t="inlineStr">
        <is>
          <t>Contract</t>
        </is>
      </c>
      <c r="K1976" s="7" t="n">
        <v>44466</v>
      </c>
      <c r="L1976" s="7" t="inlineStr"/>
      <c r="M1976" s="5" t="inlineStr">
        <is>
          <t>Yes</t>
        </is>
      </c>
      <c r="N1976" s="5" t="inlineStr"/>
      <c r="O1976" s="8" t="inlineStr">
        <is>
          <t>89500</t>
        </is>
      </c>
      <c r="P1976" s="5" t="inlineStr">
        <is>
          <t>0</t>
        </is>
      </c>
      <c r="Q1976" s="5" t="inlineStr">
        <is>
          <t>2</t>
        </is>
      </c>
      <c r="R1976" s="5" t="inlineStr">
        <is>
          <t>5</t>
        </is>
      </c>
      <c r="S1976" s="5" t="inlineStr">
        <is>
          <t>51</t>
        </is>
      </c>
      <c r="T1976" s="5" t="inlineStr">
        <is>
          <t>12</t>
        </is>
      </c>
      <c r="U1976" s="5" t="inlineStr">
        <is>
          <t>OK</t>
        </is>
      </c>
    </row>
    <row r="1977">
      <c r="A1977" s="5" t="inlineStr">
        <is>
          <t>E00364</t>
        </is>
      </c>
      <c r="B1977" s="5" t="inlineStr">
        <is>
          <t>Female</t>
        </is>
      </c>
      <c r="C1977" s="6" t="inlineStr">
        <is>
          <t>34</t>
        </is>
      </c>
      <c r="D1977" s="5" t="inlineStr">
        <is>
          <t>Married</t>
        </is>
      </c>
      <c r="E1977" s="5" t="inlineStr">
        <is>
          <t>Bachelor</t>
        </is>
      </c>
      <c r="F1977" s="5" t="inlineStr">
        <is>
          <t>Operations</t>
        </is>
      </c>
      <c r="G1977" s="5" t="inlineStr">
        <is>
          <t>Operations Analyst</t>
        </is>
      </c>
      <c r="H1977" s="5" t="inlineStr">
        <is>
          <t>2</t>
        </is>
      </c>
      <c r="I1977" s="5" t="inlineStr">
        <is>
          <t>Hyderabad</t>
        </is>
      </c>
      <c r="J1977" s="5" t="inlineStr">
        <is>
          <t>Full-Time</t>
        </is>
      </c>
      <c r="K1977" s="7" t="n">
        <v>44684</v>
      </c>
      <c r="L1977" s="7" t="n">
        <v>44750</v>
      </c>
      <c r="M1977" s="5" t="inlineStr">
        <is>
          <t>No</t>
        </is>
      </c>
      <c r="N1977" s="5" t="inlineStr">
        <is>
          <t>Performance / Termination</t>
        </is>
      </c>
      <c r="O1977" s="8" t="inlineStr">
        <is>
          <t>74500</t>
        </is>
      </c>
      <c r="P1977" s="5" t="inlineStr">
        <is>
          <t>0</t>
        </is>
      </c>
      <c r="Q1977" s="5" t="inlineStr">
        <is>
          <t>2</t>
        </is>
      </c>
      <c r="R1977" s="5" t="inlineStr">
        <is>
          <t>6</t>
        </is>
      </c>
      <c r="S1977" s="5" t="inlineStr">
        <is>
          <t>2</t>
        </is>
      </c>
      <c r="T1977" s="5" t="inlineStr">
        <is>
          <t>8</t>
        </is>
      </c>
      <c r="U1977" s="5" t="inlineStr">
        <is>
          <t>OK</t>
        </is>
      </c>
    </row>
    <row r="1978">
      <c r="A1978" s="5" t="inlineStr">
        <is>
          <t>E00663</t>
        </is>
      </c>
      <c r="B1978" s="5" t="inlineStr">
        <is>
          <t>Male</t>
        </is>
      </c>
      <c r="C1978" s="6" t="inlineStr">
        <is>
          <t>36</t>
        </is>
      </c>
      <c r="D1978" s="5" t="inlineStr">
        <is>
          <t>Single</t>
        </is>
      </c>
      <c r="E1978" s="5" t="inlineStr">
        <is>
          <t>High School</t>
        </is>
      </c>
      <c r="F1978" s="5" t="inlineStr">
        <is>
          <t>Sales</t>
        </is>
      </c>
      <c r="G1978" s="5" t="inlineStr">
        <is>
          <t>Account Executive</t>
        </is>
      </c>
      <c r="H1978" s="5" t="inlineStr">
        <is>
          <t>4</t>
        </is>
      </c>
      <c r="I1978" s="5" t="inlineStr">
        <is>
          <t>Delhi</t>
        </is>
      </c>
      <c r="J1978" s="5" t="inlineStr">
        <is>
          <t>Full-Time</t>
        </is>
      </c>
      <c r="K1978" s="7" t="n">
        <v>44149</v>
      </c>
      <c r="L1978" s="7" t="inlineStr"/>
      <c r="M1978" s="5" t="inlineStr">
        <is>
          <t>Yes</t>
        </is>
      </c>
      <c r="N1978" s="5" t="inlineStr"/>
      <c r="O1978" s="8" t="inlineStr">
        <is>
          <t>104000</t>
        </is>
      </c>
      <c r="P1978" s="5" t="inlineStr">
        <is>
          <t>0</t>
        </is>
      </c>
      <c r="Q1978" s="5" t="inlineStr">
        <is>
          <t>3</t>
        </is>
      </c>
      <c r="R1978" s="5" t="inlineStr">
        <is>
          <t>6</t>
        </is>
      </c>
      <c r="S1978" s="5" t="inlineStr">
        <is>
          <t>62</t>
        </is>
      </c>
      <c r="T1978" s="5" t="inlineStr">
        <is>
          <t>13</t>
        </is>
      </c>
      <c r="U1978" s="5" t="inlineStr">
        <is>
          <t>OK</t>
        </is>
      </c>
    </row>
    <row r="1979">
      <c r="A1979" s="5" t="inlineStr">
        <is>
          <t>E00498</t>
        </is>
      </c>
      <c r="B1979" s="5" t="inlineStr">
        <is>
          <t>Male</t>
        </is>
      </c>
      <c r="C1979" s="6" t="inlineStr">
        <is>
          <t>41</t>
        </is>
      </c>
      <c r="D1979" s="5" t="inlineStr">
        <is>
          <t>Single</t>
        </is>
      </c>
      <c r="E1979" s="5" t="inlineStr">
        <is>
          <t>Diploma</t>
        </is>
      </c>
      <c r="F1979" s="5" t="inlineStr">
        <is>
          <t>Operations</t>
        </is>
      </c>
      <c r="G1979" s="5" t="inlineStr">
        <is>
          <t>Operations Analyst</t>
        </is>
      </c>
      <c r="H1979" s="5" t="inlineStr">
        <is>
          <t>7</t>
        </is>
      </c>
      <c r="I1979" s="5" t="inlineStr">
        <is>
          <t>Delhi</t>
        </is>
      </c>
      <c r="J1979" s="5" t="inlineStr">
        <is>
          <t>Full-Time</t>
        </is>
      </c>
      <c r="K1979" s="7" t="n">
        <v>45607</v>
      </c>
      <c r="L1979" s="7" t="inlineStr"/>
      <c r="M1979" s="5" t="inlineStr">
        <is>
          <t>Yes</t>
        </is>
      </c>
      <c r="N1979" s="5" t="inlineStr"/>
      <c r="O1979" s="8" t="inlineStr"/>
      <c r="P1979" s="5" t="inlineStr">
        <is>
          <t>10</t>
        </is>
      </c>
      <c r="Q1979" s="5" t="inlineStr">
        <is>
          <t>5</t>
        </is>
      </c>
      <c r="R1979" s="5" t="inlineStr">
        <is>
          <t>5</t>
        </is>
      </c>
      <c r="S1979" s="5" t="inlineStr">
        <is>
          <t>13</t>
        </is>
      </c>
      <c r="T1979" s="5" t="inlineStr">
        <is>
          <t>7</t>
        </is>
      </c>
      <c r="U1979" s="5" t="inlineStr">
        <is>
          <t>Blank salary</t>
        </is>
      </c>
    </row>
    <row r="1980">
      <c r="A1980" s="5" t="inlineStr">
        <is>
          <t>E01628</t>
        </is>
      </c>
      <c r="B1980" s="5" t="inlineStr">
        <is>
          <t>Male</t>
        </is>
      </c>
      <c r="C1980" s="6" t="inlineStr">
        <is>
          <t>32</t>
        </is>
      </c>
      <c r="D1980" s="5" t="inlineStr">
        <is>
          <t>Married</t>
        </is>
      </c>
      <c r="E1980" s="5" t="inlineStr">
        <is>
          <t>PhD</t>
        </is>
      </c>
      <c r="F1980" s="5" t="inlineStr">
        <is>
          <t>Customer Support</t>
        </is>
      </c>
      <c r="G1980" s="5" t="inlineStr">
        <is>
          <t>Support Agent</t>
        </is>
      </c>
      <c r="H1980" s="5" t="inlineStr">
        <is>
          <t>3</t>
        </is>
      </c>
      <c r="I1980" s="5" t="inlineStr">
        <is>
          <t>Bengaluru</t>
        </is>
      </c>
      <c r="J1980" s="5" t="inlineStr">
        <is>
          <t>Full-Time</t>
        </is>
      </c>
      <c r="K1980" s="7" t="n">
        <v>44949</v>
      </c>
      <c r="L1980" s="7" t="inlineStr"/>
      <c r="M1980" s="5" t="inlineStr">
        <is>
          <t>Yes</t>
        </is>
      </c>
      <c r="N1980" s="5" t="inlineStr"/>
      <c r="O1980" s="8" t="inlineStr">
        <is>
          <t>69500</t>
        </is>
      </c>
      <c r="P1980" s="5" t="inlineStr">
        <is>
          <t>5</t>
        </is>
      </c>
      <c r="Q1980" s="5" t="inlineStr">
        <is>
          <t>4</t>
        </is>
      </c>
      <c r="R1980" s="5" t="inlineStr">
        <is>
          <t>4</t>
        </is>
      </c>
      <c r="S1980" s="5" t="inlineStr">
        <is>
          <t>35</t>
        </is>
      </c>
      <c r="T1980" s="5" t="inlineStr">
        <is>
          <t>2</t>
        </is>
      </c>
      <c r="U1980" s="5" t="inlineStr">
        <is>
          <t>OK</t>
        </is>
      </c>
    </row>
    <row r="1981">
      <c r="A1981" s="5" t="inlineStr">
        <is>
          <t>E01701</t>
        </is>
      </c>
      <c r="B1981" s="5" t="inlineStr">
        <is>
          <t>Female</t>
        </is>
      </c>
      <c r="C1981" s="6" t="inlineStr">
        <is>
          <t>32</t>
        </is>
      </c>
      <c r="D1981" s="5" t="inlineStr">
        <is>
          <t>Single</t>
        </is>
      </c>
      <c r="E1981" s="5" t="inlineStr">
        <is>
          <t>Master</t>
        </is>
      </c>
      <c r="F1981" s="5" t="inlineStr">
        <is>
          <t>Finance</t>
        </is>
      </c>
      <c r="G1981" s="5" t="inlineStr">
        <is>
          <t>Credit Analyst</t>
        </is>
      </c>
      <c r="H1981" s="5" t="inlineStr">
        <is>
          <t>1</t>
        </is>
      </c>
      <c r="I1981" s="5" t="inlineStr">
        <is>
          <t>Chennai</t>
        </is>
      </c>
      <c r="J1981" s="5" t="inlineStr">
        <is>
          <t>Part-Time</t>
        </is>
      </c>
      <c r="K1981" s="7" t="n">
        <v>44845</v>
      </c>
      <c r="L1981" s="7" t="n">
        <v>44942</v>
      </c>
      <c r="M1981" s="5" t="inlineStr">
        <is>
          <t>No</t>
        </is>
      </c>
      <c r="N1981" s="5" t="inlineStr">
        <is>
          <t>Resigned</t>
        </is>
      </c>
      <c r="O1981" s="8" t="inlineStr">
        <is>
          <t>86500</t>
        </is>
      </c>
      <c r="P1981" s="5" t="inlineStr">
        <is>
          <t>0</t>
        </is>
      </c>
      <c r="Q1981" s="5" t="inlineStr">
        <is>
          <t>2</t>
        </is>
      </c>
      <c r="R1981" s="5" t="inlineStr">
        <is>
          <t>5</t>
        </is>
      </c>
      <c r="S1981" s="5" t="inlineStr">
        <is>
          <t>3</t>
        </is>
      </c>
      <c r="T1981" s="5" t="inlineStr">
        <is>
          <t>0</t>
        </is>
      </c>
      <c r="U1981" s="5" t="inlineStr">
        <is>
          <t>OK</t>
        </is>
      </c>
    </row>
    <row r="1982">
      <c r="A1982" s="5" t="inlineStr">
        <is>
          <t>E02075</t>
        </is>
      </c>
      <c r="B1982" s="5" t="inlineStr">
        <is>
          <t>Female</t>
        </is>
      </c>
      <c r="C1982" s="6" t="inlineStr">
        <is>
          <t>30</t>
        </is>
      </c>
      <c r="D1982" s="5" t="inlineStr">
        <is>
          <t>Married</t>
        </is>
      </c>
      <c r="E1982" s="5" t="inlineStr">
        <is>
          <t>PhD</t>
        </is>
      </c>
      <c r="F1982" s="5" t="inlineStr">
        <is>
          <t>Sales</t>
        </is>
      </c>
      <c r="G1982" s="5" t="inlineStr">
        <is>
          <t>Business Development</t>
        </is>
      </c>
      <c r="H1982" s="5" t="inlineStr">
        <is>
          <t>1</t>
        </is>
      </c>
      <c r="I1982" s="5" t="inlineStr">
        <is>
          <t>Remote</t>
        </is>
      </c>
      <c r="J1982" s="5" t="inlineStr">
        <is>
          <t>Full-Time</t>
        </is>
      </c>
      <c r="K1982" s="7" t="n">
        <v>44162</v>
      </c>
      <c r="L1982" s="7" t="n">
        <v>44209</v>
      </c>
      <c r="M1982" s="5" t="inlineStr">
        <is>
          <t>No</t>
        </is>
      </c>
      <c r="N1982" s="5" t="inlineStr">
        <is>
          <t>Performance / Termination</t>
        </is>
      </c>
      <c r="O1982" s="8" t="inlineStr">
        <is>
          <t>100500</t>
        </is>
      </c>
      <c r="P1982" s="5" t="inlineStr">
        <is>
          <t>5</t>
        </is>
      </c>
      <c r="Q1982" s="5" t="inlineStr">
        <is>
          <t>4</t>
        </is>
      </c>
      <c r="R1982" s="5" t="inlineStr">
        <is>
          <t>6</t>
        </is>
      </c>
      <c r="S1982" s="5" t="inlineStr">
        <is>
          <t>1</t>
        </is>
      </c>
      <c r="T1982" s="5" t="inlineStr">
        <is>
          <t>1</t>
        </is>
      </c>
      <c r="U1982" s="5" t="inlineStr">
        <is>
          <t>OK</t>
        </is>
      </c>
    </row>
    <row r="1983">
      <c r="A1983" s="5" t="inlineStr">
        <is>
          <t>E02025</t>
        </is>
      </c>
      <c r="B1983" s="5" t="inlineStr">
        <is>
          <t>Female</t>
        </is>
      </c>
      <c r="C1983" s="6" t="inlineStr">
        <is>
          <t>36</t>
        </is>
      </c>
      <c r="D1983" s="5" t="inlineStr">
        <is>
          <t>Married</t>
        </is>
      </c>
      <c r="E1983" s="5" t="inlineStr">
        <is>
          <t>High School</t>
        </is>
      </c>
      <c r="F1983" s="5" t="inlineStr"/>
      <c r="G1983" s="5" t="inlineStr">
        <is>
          <t>Escalation Specialist</t>
        </is>
      </c>
      <c r="H1983" s="5" t="inlineStr">
        <is>
          <t>6</t>
        </is>
      </c>
      <c r="I1983" s="5" t="inlineStr">
        <is>
          <t>Bengaluru</t>
        </is>
      </c>
      <c r="J1983" s="5" t="inlineStr">
        <is>
          <t>Full-Time</t>
        </is>
      </c>
      <c r="K1983" s="7" t="n">
        <v>44512</v>
      </c>
      <c r="L1983" s="7" t="n">
        <v>44645</v>
      </c>
      <c r="M1983" s="5" t="inlineStr">
        <is>
          <t>No</t>
        </is>
      </c>
      <c r="N1983" s="5" t="inlineStr">
        <is>
          <t>Resigned</t>
        </is>
      </c>
      <c r="O1983" s="8" t="inlineStr">
        <is>
          <t>110000</t>
        </is>
      </c>
      <c r="P1983" s="5" t="inlineStr">
        <is>
          <t>5</t>
        </is>
      </c>
      <c r="Q1983" s="5" t="inlineStr">
        <is>
          <t>4</t>
        </is>
      </c>
      <c r="R1983" s="5" t="inlineStr">
        <is>
          <t>5</t>
        </is>
      </c>
      <c r="S1983" s="5" t="inlineStr">
        <is>
          <t>4</t>
        </is>
      </c>
      <c r="T1983" s="5" t="inlineStr">
        <is>
          <t>3</t>
        </is>
      </c>
      <c r="U1983" s="5" t="inlineStr">
        <is>
          <t>Blank department</t>
        </is>
      </c>
    </row>
    <row r="1984">
      <c r="A1984" s="5" t="inlineStr">
        <is>
          <t>E02323</t>
        </is>
      </c>
      <c r="B1984" s="5" t="inlineStr">
        <is>
          <t>Female</t>
        </is>
      </c>
      <c r="C1984" s="6" t="inlineStr">
        <is>
          <t>32</t>
        </is>
      </c>
      <c r="D1984" s="5" t="inlineStr">
        <is>
          <t>Married</t>
        </is>
      </c>
      <c r="E1984" s="5" t="inlineStr">
        <is>
          <t>Bachelor</t>
        </is>
      </c>
      <c r="F1984" s="5" t="inlineStr">
        <is>
          <t>Customer Support</t>
        </is>
      </c>
      <c r="G1984" s="5" t="inlineStr">
        <is>
          <t>Escalation Specialist</t>
        </is>
      </c>
      <c r="H1984" s="5" t="inlineStr">
        <is>
          <t>2</t>
        </is>
      </c>
      <c r="I1984" s="5" t="inlineStr">
        <is>
          <t>Chennai</t>
        </is>
      </c>
      <c r="J1984" s="5" t="inlineStr">
        <is>
          <t>Contract</t>
        </is>
      </c>
      <c r="K1984" s="7" t="n">
        <v>45344</v>
      </c>
      <c r="L1984" s="7" t="n">
        <v>45463</v>
      </c>
      <c r="M1984" s="5" t="inlineStr">
        <is>
          <t>No</t>
        </is>
      </c>
      <c r="N1984" s="5" t="inlineStr">
        <is>
          <t>Resigned</t>
        </is>
      </c>
      <c r="O1984" s="8" t="inlineStr">
        <is>
          <t>54000</t>
        </is>
      </c>
      <c r="P1984" s="5" t="inlineStr">
        <is>
          <t>0</t>
        </is>
      </c>
      <c r="Q1984" s="5" t="inlineStr">
        <is>
          <t>3</t>
        </is>
      </c>
      <c r="R1984" s="5" t="inlineStr">
        <is>
          <t>6</t>
        </is>
      </c>
      <c r="S1984" s="5" t="inlineStr">
        <is>
          <t>3</t>
        </is>
      </c>
      <c r="T1984" s="5" t="inlineStr">
        <is>
          <t>4</t>
        </is>
      </c>
      <c r="U1984" s="5" t="inlineStr">
        <is>
          <t>OK</t>
        </is>
      </c>
    </row>
    <row r="1985">
      <c r="A1985" s="5" t="inlineStr">
        <is>
          <t>E00264</t>
        </is>
      </c>
      <c r="B1985" s="5" t="inlineStr">
        <is>
          <t>Female</t>
        </is>
      </c>
      <c r="C1985" s="6" t="inlineStr">
        <is>
          <t>34</t>
        </is>
      </c>
      <c r="D1985" s="5" t="inlineStr">
        <is>
          <t>Divorced</t>
        </is>
      </c>
      <c r="E1985" s="5" t="inlineStr">
        <is>
          <t>Bachelor</t>
        </is>
      </c>
      <c r="F1985" s="5" t="inlineStr">
        <is>
          <t>Finance</t>
        </is>
      </c>
      <c r="G1985" s="5" t="inlineStr">
        <is>
          <t>Accountant</t>
        </is>
      </c>
      <c r="H1985" s="5" t="inlineStr">
        <is>
          <t>1</t>
        </is>
      </c>
      <c r="I1985" s="5" t="inlineStr">
        <is>
          <t>Bengaluru</t>
        </is>
      </c>
      <c r="J1985" s="5" t="inlineStr">
        <is>
          <t>Full-Time</t>
        </is>
      </c>
      <c r="K1985" s="7" t="n">
        <v>45848</v>
      </c>
      <c r="L1985" s="7" t="inlineStr"/>
      <c r="M1985" s="5" t="inlineStr">
        <is>
          <t>Yes</t>
        </is>
      </c>
      <c r="N1985" s="5" t="inlineStr"/>
      <c r="O1985" s="8" t="inlineStr">
        <is>
          <t>110500</t>
        </is>
      </c>
      <c r="P1985" s="5" t="inlineStr">
        <is>
          <t>0</t>
        </is>
      </c>
      <c r="Q1985" s="5" t="inlineStr">
        <is>
          <t>4</t>
        </is>
      </c>
      <c r="R1985" s="5" t="inlineStr">
        <is>
          <t>5</t>
        </is>
      </c>
      <c r="S1985" s="5" t="inlineStr">
        <is>
          <t>5</t>
        </is>
      </c>
      <c r="T1985" s="5" t="inlineStr">
        <is>
          <t>11</t>
        </is>
      </c>
      <c r="U1985" s="5" t="inlineStr">
        <is>
          <t>OK</t>
        </is>
      </c>
    </row>
    <row r="1986">
      <c r="A1986" s="5" t="inlineStr">
        <is>
          <t>E00815</t>
        </is>
      </c>
      <c r="B1986" s="5" t="inlineStr">
        <is>
          <t>Male</t>
        </is>
      </c>
      <c r="C1986" s="6" t="inlineStr">
        <is>
          <t>41</t>
        </is>
      </c>
      <c r="D1986" s="5" t="inlineStr">
        <is>
          <t>Married</t>
        </is>
      </c>
      <c r="E1986" s="5" t="inlineStr">
        <is>
          <t>PhD</t>
        </is>
      </c>
      <c r="F1986" s="5" t="inlineStr">
        <is>
          <t>Sales</t>
        </is>
      </c>
      <c r="G1986" s="5" t="inlineStr">
        <is>
          <t>Business Development</t>
        </is>
      </c>
      <c r="H1986" s="5" t="inlineStr">
        <is>
          <t>5</t>
        </is>
      </c>
      <c r="I1986" s="5" t="inlineStr">
        <is>
          <t>Remote</t>
        </is>
      </c>
      <c r="J1986" s="5" t="inlineStr">
        <is>
          <t>Full-Time</t>
        </is>
      </c>
      <c r="K1986" s="7" t="n">
        <v>45943</v>
      </c>
      <c r="L1986" s="7" t="inlineStr"/>
      <c r="M1986" s="5" t="inlineStr">
        <is>
          <t>Yes</t>
        </is>
      </c>
      <c r="N1986" s="5" t="inlineStr"/>
      <c r="O1986" s="8" t="inlineStr">
        <is>
          <t>106500</t>
        </is>
      </c>
      <c r="P1986" s="5" t="inlineStr">
        <is>
          <t>10</t>
        </is>
      </c>
      <c r="Q1986" s="5" t="inlineStr">
        <is>
          <t>5</t>
        </is>
      </c>
      <c r="R1986" s="5" t="inlineStr">
        <is>
          <t>4</t>
        </is>
      </c>
      <c r="S1986" s="5" t="inlineStr">
        <is>
          <t>2</t>
        </is>
      </c>
      <c r="T1986" s="5" t="inlineStr">
        <is>
          <t>9</t>
        </is>
      </c>
      <c r="U1986" s="5" t="inlineStr">
        <is>
          <t>OK</t>
        </is>
      </c>
    </row>
    <row r="1987">
      <c r="A1987" s="5" t="inlineStr">
        <is>
          <t>E02476</t>
        </is>
      </c>
      <c r="B1987" s="5" t="inlineStr">
        <is>
          <t>Male</t>
        </is>
      </c>
      <c r="C1987" s="6" t="inlineStr">
        <is>
          <t>36</t>
        </is>
      </c>
      <c r="D1987" s="5" t="inlineStr">
        <is>
          <t>Married</t>
        </is>
      </c>
      <c r="E1987" s="5" t="inlineStr">
        <is>
          <t>PhD</t>
        </is>
      </c>
      <c r="F1987" s="5" t="inlineStr">
        <is>
          <t>Marketing</t>
        </is>
      </c>
      <c r="G1987" s="5" t="inlineStr">
        <is>
          <t>Content Writer</t>
        </is>
      </c>
      <c r="H1987" s="5" t="inlineStr">
        <is>
          <t>7</t>
        </is>
      </c>
      <c r="I1987" s="5" t="inlineStr">
        <is>
          <t>Chennai</t>
        </is>
      </c>
      <c r="J1987" s="5" t="inlineStr">
        <is>
          <t>Full-Time</t>
        </is>
      </c>
      <c r="K1987" s="7" t="n">
        <v>43944</v>
      </c>
      <c r="L1987" s="7" t="inlineStr"/>
      <c r="M1987" s="5" t="inlineStr">
        <is>
          <t>Yes</t>
        </is>
      </c>
      <c r="N1987" s="5" t="inlineStr"/>
      <c r="O1987" s="8" t="inlineStr">
        <is>
          <t>137500</t>
        </is>
      </c>
      <c r="P1987" s="5" t="inlineStr">
        <is>
          <t>5</t>
        </is>
      </c>
      <c r="Q1987" s="5" t="inlineStr">
        <is>
          <t>4</t>
        </is>
      </c>
      <c r="R1987" s="5" t="inlineStr">
        <is>
          <t>10</t>
        </is>
      </c>
      <c r="S1987" s="5" t="inlineStr">
        <is>
          <t>69</t>
        </is>
      </c>
      <c r="T1987" s="5" t="inlineStr">
        <is>
          <t>12</t>
        </is>
      </c>
      <c r="U1987" s="5" t="inlineStr">
        <is>
          <t>OK</t>
        </is>
      </c>
    </row>
    <row r="1988">
      <c r="A1988" s="5" t="inlineStr">
        <is>
          <t>E00344</t>
        </is>
      </c>
      <c r="B1988" s="5" t="inlineStr">
        <is>
          <t>Female</t>
        </is>
      </c>
      <c r="C1988" s="6" t="inlineStr">
        <is>
          <t>43</t>
        </is>
      </c>
      <c r="D1988" s="5" t="inlineStr">
        <is>
          <t>Married</t>
        </is>
      </c>
      <c r="E1988" s="5" t="inlineStr">
        <is>
          <t>PhD</t>
        </is>
      </c>
      <c r="F1988" s="5" t="inlineStr">
        <is>
          <t>Sales</t>
        </is>
      </c>
      <c r="G1988" s="5" t="inlineStr">
        <is>
          <t>Business Development</t>
        </is>
      </c>
      <c r="H1988" s="5" t="inlineStr">
        <is>
          <t>6</t>
        </is>
      </c>
      <c r="I1988" s="5" t="inlineStr">
        <is>
          <t>Remote</t>
        </is>
      </c>
      <c r="J1988" s="5" t="inlineStr">
        <is>
          <t>Full-Time</t>
        </is>
      </c>
      <c r="K1988" s="7" t="n">
        <v>44092</v>
      </c>
      <c r="L1988" s="7" t="inlineStr"/>
      <c r="M1988" s="5" t="inlineStr">
        <is>
          <t>Yes</t>
        </is>
      </c>
      <c r="N1988" s="5" t="inlineStr"/>
      <c r="O1988" s="8" t="inlineStr"/>
      <c r="P1988" s="5" t="inlineStr">
        <is>
          <t>0</t>
        </is>
      </c>
      <c r="Q1988" s="5" t="inlineStr">
        <is>
          <t>3</t>
        </is>
      </c>
      <c r="R1988" s="5" t="inlineStr">
        <is>
          <t>4</t>
        </is>
      </c>
      <c r="S1988" s="5" t="inlineStr">
        <is>
          <t>64</t>
        </is>
      </c>
      <c r="T1988" s="5" t="inlineStr">
        <is>
          <t>8</t>
        </is>
      </c>
      <c r="U1988" s="5" t="inlineStr">
        <is>
          <t>Blank salary</t>
        </is>
      </c>
    </row>
    <row r="1989">
      <c r="A1989" s="5" t="inlineStr">
        <is>
          <t>E02570</t>
        </is>
      </c>
      <c r="B1989" s="5" t="inlineStr">
        <is>
          <t>Male</t>
        </is>
      </c>
      <c r="C1989" s="6" t="inlineStr">
        <is>
          <t>30</t>
        </is>
      </c>
      <c r="D1989" s="5" t="inlineStr">
        <is>
          <t>Married</t>
        </is>
      </c>
      <c r="E1989" s="5" t="inlineStr">
        <is>
          <t>Diploma</t>
        </is>
      </c>
      <c r="F1989" s="5" t="inlineStr">
        <is>
          <t>IT</t>
        </is>
      </c>
      <c r="G1989" s="5" t="inlineStr">
        <is>
          <t>DevOps Engineer</t>
        </is>
      </c>
      <c r="H1989" s="5" t="inlineStr">
        <is>
          <t>1</t>
        </is>
      </c>
      <c r="I1989" s="5" t="inlineStr">
        <is>
          <t>Mumbai</t>
        </is>
      </c>
      <c r="J1989" s="5" t="inlineStr">
        <is>
          <t>Full-Time</t>
        </is>
      </c>
      <c r="K1989" s="7" t="n">
        <v>44492</v>
      </c>
      <c r="L1989" s="7" t="inlineStr"/>
      <c r="M1989" s="5" t="inlineStr">
        <is>
          <t>Yes</t>
        </is>
      </c>
      <c r="N1989" s="5" t="inlineStr"/>
      <c r="O1989" s="8" t="inlineStr">
        <is>
          <t>121000</t>
        </is>
      </c>
      <c r="P1989" s="5" t="inlineStr">
        <is>
          <t>10</t>
        </is>
      </c>
      <c r="Q1989" s="5" t="inlineStr">
        <is>
          <t>4</t>
        </is>
      </c>
      <c r="R1989" s="5" t="inlineStr">
        <is>
          <t>5</t>
        </is>
      </c>
      <c r="S1989" s="5" t="inlineStr">
        <is>
          <t>51</t>
        </is>
      </c>
      <c r="T1989" s="5" t="inlineStr">
        <is>
          <t>9</t>
        </is>
      </c>
      <c r="U1989" s="5" t="inlineStr">
        <is>
          <t>OK</t>
        </is>
      </c>
    </row>
    <row r="1990">
      <c r="A1990" s="5" t="inlineStr">
        <is>
          <t>E00285</t>
        </is>
      </c>
      <c r="B1990" s="5" t="inlineStr">
        <is>
          <t>Female</t>
        </is>
      </c>
      <c r="C1990" s="6" t="inlineStr">
        <is>
          <t>200</t>
        </is>
      </c>
      <c r="D1990" s="5" t="inlineStr">
        <is>
          <t>Single</t>
        </is>
      </c>
      <c r="E1990" s="5" t="inlineStr">
        <is>
          <t>PhD</t>
        </is>
      </c>
      <c r="F1990" s="5" t="inlineStr">
        <is>
          <t>Operations</t>
        </is>
      </c>
      <c r="G1990" s="5" t="inlineStr">
        <is>
          <t>Logistics Coordinator</t>
        </is>
      </c>
      <c r="H1990" s="5" t="inlineStr">
        <is>
          <t>5</t>
        </is>
      </c>
      <c r="I1990" s="5" t="inlineStr">
        <is>
          <t>Hyderabad</t>
        </is>
      </c>
      <c r="J1990" s="5" t="inlineStr">
        <is>
          <t>Full-Time</t>
        </is>
      </c>
      <c r="K1990" s="7" t="n">
        <v>45673</v>
      </c>
      <c r="L1990" s="7" t="n">
        <v>45740</v>
      </c>
      <c r="M1990" s="5" t="inlineStr">
        <is>
          <t>No</t>
        </is>
      </c>
      <c r="N1990" s="5" t="inlineStr">
        <is>
          <t>Layoff</t>
        </is>
      </c>
      <c r="O1990" s="8" t="inlineStr">
        <is>
          <t>141500</t>
        </is>
      </c>
      <c r="P1990" s="5" t="inlineStr">
        <is>
          <t>5</t>
        </is>
      </c>
      <c r="Q1990" s="5" t="inlineStr">
        <is>
          <t>4</t>
        </is>
      </c>
      <c r="R1990" s="5" t="inlineStr">
        <is>
          <t>5</t>
        </is>
      </c>
      <c r="S1990" s="5" t="inlineStr">
        <is>
          <t>2</t>
        </is>
      </c>
      <c r="T1990" s="5" t="inlineStr">
        <is>
          <t>14</t>
        </is>
      </c>
      <c r="U1990" s="5" t="inlineStr">
        <is>
          <t>Age typo</t>
        </is>
      </c>
    </row>
    <row r="1991">
      <c r="A1991" s="5" t="inlineStr">
        <is>
          <t>E01645</t>
        </is>
      </c>
      <c r="B1991" s="5" t="inlineStr">
        <is>
          <t>Female</t>
        </is>
      </c>
      <c r="C1991" s="6" t="inlineStr">
        <is>
          <t>31</t>
        </is>
      </c>
      <c r="D1991" s="5" t="inlineStr">
        <is>
          <t>Single</t>
        </is>
      </c>
      <c r="E1991" s="5" t="inlineStr">
        <is>
          <t>Diploma</t>
        </is>
      </c>
      <c r="F1991" s="5" t="inlineStr">
        <is>
          <t>Human Resources</t>
        </is>
      </c>
      <c r="G1991" s="5" t="inlineStr">
        <is>
          <t>HR Analyst</t>
        </is>
      </c>
      <c r="H1991" s="5" t="inlineStr">
        <is>
          <t>4</t>
        </is>
      </c>
      <c r="I1991" s="5" t="inlineStr">
        <is>
          <t>Remote</t>
        </is>
      </c>
      <c r="J1991" s="5" t="inlineStr">
        <is>
          <t>Full-Time</t>
        </is>
      </c>
      <c r="K1991" s="7" t="n">
        <v>44651</v>
      </c>
      <c r="L1991" s="7" t="inlineStr"/>
      <c r="M1991" s="5" t="inlineStr">
        <is>
          <t>Yes</t>
        </is>
      </c>
      <c r="N1991" s="5" t="inlineStr"/>
      <c r="O1991" s="8" t="inlineStr">
        <is>
          <t>105000</t>
        </is>
      </c>
      <c r="P1991" s="5" t="inlineStr">
        <is>
          <t>5</t>
        </is>
      </c>
      <c r="Q1991" s="5" t="inlineStr">
        <is>
          <t>5</t>
        </is>
      </c>
      <c r="R1991" s="5" t="inlineStr">
        <is>
          <t>10</t>
        </is>
      </c>
      <c r="S1991" s="5" t="inlineStr">
        <is>
          <t>45</t>
        </is>
      </c>
      <c r="T1991" s="5" t="inlineStr">
        <is>
          <t>6</t>
        </is>
      </c>
      <c r="U1991" s="5" t="inlineStr">
        <is>
          <t>OK</t>
        </is>
      </c>
    </row>
    <row r="1992">
      <c r="A1992" s="5" t="inlineStr">
        <is>
          <t>E02674</t>
        </is>
      </c>
      <c r="B1992" s="5" t="inlineStr">
        <is>
          <t>Male</t>
        </is>
      </c>
      <c r="C1992" s="6" t="inlineStr">
        <is>
          <t>31</t>
        </is>
      </c>
      <c r="D1992" s="5" t="inlineStr">
        <is>
          <t>Divorced</t>
        </is>
      </c>
      <c r="E1992" s="5" t="inlineStr">
        <is>
          <t>Bachelor</t>
        </is>
      </c>
      <c r="F1992" s="5" t="inlineStr">
        <is>
          <t>Human Resources</t>
        </is>
      </c>
      <c r="G1992" s="5" t="inlineStr">
        <is>
          <t>HR Analyst</t>
        </is>
      </c>
      <c r="H1992" s="5" t="inlineStr">
        <is>
          <t>4</t>
        </is>
      </c>
      <c r="I1992" s="5" t="inlineStr">
        <is>
          <t>Delhi</t>
        </is>
      </c>
      <c r="J1992" s="5" t="inlineStr">
        <is>
          <t>Full-Time</t>
        </is>
      </c>
      <c r="K1992" s="7" t="n">
        <v>44390</v>
      </c>
      <c r="L1992" s="7" t="inlineStr"/>
      <c r="M1992" s="5" t="inlineStr">
        <is>
          <t>Yes</t>
        </is>
      </c>
      <c r="N1992" s="5" t="inlineStr"/>
      <c r="O1992" s="8" t="inlineStr">
        <is>
          <t>116500</t>
        </is>
      </c>
      <c r="P1992" s="5" t="inlineStr">
        <is>
          <t>20</t>
        </is>
      </c>
      <c r="Q1992" s="5" t="inlineStr">
        <is>
          <t>3</t>
        </is>
      </c>
      <c r="R1992" s="5" t="inlineStr">
        <is>
          <t>6</t>
        </is>
      </c>
      <c r="S1992" s="5" t="inlineStr">
        <is>
          <t>54</t>
        </is>
      </c>
      <c r="T1992" s="5" t="inlineStr">
        <is>
          <t>3</t>
        </is>
      </c>
      <c r="U1992" s="5" t="inlineStr">
        <is>
          <t>OK</t>
        </is>
      </c>
    </row>
    <row r="1993">
      <c r="A1993" s="5" t="inlineStr">
        <is>
          <t>E01487</t>
        </is>
      </c>
      <c r="B1993" s="5" t="inlineStr">
        <is>
          <t>Male</t>
        </is>
      </c>
      <c r="C1993" s="6" t="inlineStr">
        <is>
          <t>32</t>
        </is>
      </c>
      <c r="D1993" s="5" t="inlineStr">
        <is>
          <t>Married</t>
        </is>
      </c>
      <c r="E1993" s="5" t="inlineStr">
        <is>
          <t>PhD</t>
        </is>
      </c>
      <c r="F1993" s="5" t="inlineStr">
        <is>
          <t>Operations</t>
        </is>
      </c>
      <c r="G1993" s="5" t="inlineStr">
        <is>
          <t>Logistics Coordinator</t>
        </is>
      </c>
      <c r="H1993" s="5" t="inlineStr">
        <is>
          <t>1</t>
        </is>
      </c>
      <c r="I1993" s="5" t="inlineStr">
        <is>
          <t>Mumbai</t>
        </is>
      </c>
      <c r="J1993" s="5" t="inlineStr">
        <is>
          <t>Full-Time</t>
        </is>
      </c>
      <c r="K1993" s="7" t="n">
        <v>44848</v>
      </c>
      <c r="L1993" s="7" t="inlineStr"/>
      <c r="M1993" s="5" t="inlineStr">
        <is>
          <t>Yes</t>
        </is>
      </c>
      <c r="N1993" s="5" t="inlineStr"/>
      <c r="O1993" s="8" t="inlineStr">
        <is>
          <t>92500</t>
        </is>
      </c>
      <c r="P1993" s="5" t="inlineStr">
        <is>
          <t>15</t>
        </is>
      </c>
      <c r="Q1993" s="5" t="inlineStr">
        <is>
          <t>5</t>
        </is>
      </c>
      <c r="R1993" s="5" t="inlineStr">
        <is>
          <t>7</t>
        </is>
      </c>
      <c r="S1993" s="5" t="inlineStr">
        <is>
          <t>39</t>
        </is>
      </c>
      <c r="T1993" s="5" t="inlineStr">
        <is>
          <t>6</t>
        </is>
      </c>
      <c r="U1993" s="5" t="inlineStr">
        <is>
          <t>OK</t>
        </is>
      </c>
    </row>
    <row r="1994">
      <c r="A1994" s="5" t="inlineStr">
        <is>
          <t>E01182</t>
        </is>
      </c>
      <c r="B1994" s="5" t="inlineStr">
        <is>
          <t>Male</t>
        </is>
      </c>
      <c r="C1994" s="6" t="inlineStr">
        <is>
          <t>35</t>
        </is>
      </c>
      <c r="D1994" s="5" t="inlineStr">
        <is>
          <t>Single</t>
        </is>
      </c>
      <c r="E1994" s="5" t="inlineStr">
        <is>
          <t>Bachelor</t>
        </is>
      </c>
      <c r="F1994" s="5" t="inlineStr">
        <is>
          <t>Finance</t>
        </is>
      </c>
      <c r="G1994" s="5" t="inlineStr">
        <is>
          <t>Financial Analyst</t>
        </is>
      </c>
      <c r="H1994" s="5" t="inlineStr">
        <is>
          <t>6</t>
        </is>
      </c>
      <c r="I1994" s="5" t="inlineStr">
        <is>
          <t>Remote</t>
        </is>
      </c>
      <c r="J1994" s="5" t="inlineStr">
        <is>
          <t>Full-Time</t>
        </is>
      </c>
      <c r="K1994" s="7" t="n">
        <v>44599</v>
      </c>
      <c r="L1994" s="7" t="inlineStr"/>
      <c r="M1994" s="5" t="inlineStr">
        <is>
          <t>Yes</t>
        </is>
      </c>
      <c r="N1994" s="5" t="inlineStr"/>
      <c r="O1994" s="8" t="inlineStr"/>
      <c r="P1994" s="5" t="inlineStr">
        <is>
          <t>10</t>
        </is>
      </c>
      <c r="Q1994" s="5" t="inlineStr">
        <is>
          <t>4</t>
        </is>
      </c>
      <c r="R1994" s="5" t="inlineStr">
        <is>
          <t>2</t>
        </is>
      </c>
      <c r="S1994" s="5" t="inlineStr">
        <is>
          <t>47</t>
        </is>
      </c>
      <c r="T1994" s="5" t="inlineStr">
        <is>
          <t>6</t>
        </is>
      </c>
      <c r="U1994" s="5" t="inlineStr">
        <is>
          <t>Blank salary</t>
        </is>
      </c>
    </row>
    <row r="1995">
      <c r="A1995" s="5" t="inlineStr">
        <is>
          <t>E02494</t>
        </is>
      </c>
      <c r="B1995" s="5" t="inlineStr">
        <is>
          <t>Female</t>
        </is>
      </c>
      <c r="C1995" s="6" t="inlineStr">
        <is>
          <t>31</t>
        </is>
      </c>
      <c r="D1995" s="5" t="inlineStr">
        <is>
          <t>Married</t>
        </is>
      </c>
      <c r="E1995" s="5" t="inlineStr">
        <is>
          <t>PhD</t>
        </is>
      </c>
      <c r="F1995" s="5" t="inlineStr">
        <is>
          <t>Customer Support</t>
        </is>
      </c>
      <c r="G1995" s="5" t="inlineStr">
        <is>
          <t>Escalation Specialist</t>
        </is>
      </c>
      <c r="H1995" s="5" t="inlineStr">
        <is>
          <t>2</t>
        </is>
      </c>
      <c r="I1995" s="5" t="inlineStr">
        <is>
          <t>Bengaluru</t>
        </is>
      </c>
      <c r="J1995" s="5" t="inlineStr">
        <is>
          <t>Full-Time</t>
        </is>
      </c>
      <c r="K1995" s="7" t="n">
        <v>45003</v>
      </c>
      <c r="L1995" s="7" t="inlineStr"/>
      <c r="M1995" s="5" t="inlineStr">
        <is>
          <t>Yes</t>
        </is>
      </c>
      <c r="N1995" s="5" t="inlineStr"/>
      <c r="O1995" s="8" t="inlineStr">
        <is>
          <t>51000</t>
        </is>
      </c>
      <c r="P1995" s="5" t="inlineStr">
        <is>
          <t>0</t>
        </is>
      </c>
      <c r="Q1995" s="5" t="inlineStr">
        <is>
          <t>3</t>
        </is>
      </c>
      <c r="R1995" s="5" t="inlineStr">
        <is>
          <t>4</t>
        </is>
      </c>
      <c r="S1995" s="5" t="inlineStr">
        <is>
          <t>33</t>
        </is>
      </c>
      <c r="T1995" s="5" t="inlineStr">
        <is>
          <t>1</t>
        </is>
      </c>
      <c r="U1995" s="5" t="inlineStr">
        <is>
          <t>OK</t>
        </is>
      </c>
    </row>
    <row r="1996">
      <c r="A1996" s="5" t="inlineStr">
        <is>
          <t>E00564</t>
        </is>
      </c>
      <c r="B1996" s="5" t="inlineStr">
        <is>
          <t>Female</t>
        </is>
      </c>
      <c r="C1996" s="6" t="inlineStr">
        <is>
          <t>26</t>
        </is>
      </c>
      <c r="D1996" s="5" t="inlineStr">
        <is>
          <t>Married</t>
        </is>
      </c>
      <c r="E1996" s="5" t="inlineStr">
        <is>
          <t>Diploma</t>
        </is>
      </c>
      <c r="F1996" s="5" t="inlineStr">
        <is>
          <t>Finance</t>
        </is>
      </c>
      <c r="G1996" s="5" t="inlineStr">
        <is>
          <t>Credit Analyst</t>
        </is>
      </c>
      <c r="H1996" s="5" t="inlineStr">
        <is>
          <t>1</t>
        </is>
      </c>
      <c r="I1996" s="5" t="inlineStr">
        <is>
          <t>Delhi</t>
        </is>
      </c>
      <c r="J1996" s="5" t="inlineStr">
        <is>
          <t>Full-Time</t>
        </is>
      </c>
      <c r="K1996" s="7" t="n">
        <v>44103</v>
      </c>
      <c r="L1996" s="7" t="n">
        <v>44145</v>
      </c>
      <c r="M1996" s="5" t="inlineStr">
        <is>
          <t>No</t>
        </is>
      </c>
      <c r="N1996" s="5" t="inlineStr">
        <is>
          <t>Resigned</t>
        </is>
      </c>
      <c r="O1996" s="8" t="inlineStr">
        <is>
          <t>106500</t>
        </is>
      </c>
      <c r="P1996" s="5" t="inlineStr">
        <is>
          <t>0</t>
        </is>
      </c>
      <c r="Q1996" s="5" t="inlineStr">
        <is>
          <t>5</t>
        </is>
      </c>
      <c r="R1996" s="5" t="inlineStr">
        <is>
          <t>5</t>
        </is>
      </c>
      <c r="S1996" s="5" t="inlineStr">
        <is>
          <t>1</t>
        </is>
      </c>
      <c r="T1996" s="5" t="inlineStr">
        <is>
          <t>0</t>
        </is>
      </c>
      <c r="U1996" s="5" t="inlineStr">
        <is>
          <t>OK</t>
        </is>
      </c>
    </row>
    <row r="1997">
      <c r="A1997" s="5" t="inlineStr">
        <is>
          <t>E02865</t>
        </is>
      </c>
      <c r="B1997" s="5" t="inlineStr">
        <is>
          <t>Male</t>
        </is>
      </c>
      <c r="C1997" s="6" t="inlineStr">
        <is>
          <t>35</t>
        </is>
      </c>
      <c r="D1997" s="5" t="inlineStr">
        <is>
          <t>Married</t>
        </is>
      </c>
      <c r="E1997" s="5" t="inlineStr">
        <is>
          <t>Diploma</t>
        </is>
      </c>
      <c r="F1997" s="5" t="inlineStr">
        <is>
          <t>Sales</t>
        </is>
      </c>
      <c r="G1997" s="5" t="inlineStr">
        <is>
          <t>Business Development</t>
        </is>
      </c>
      <c r="H1997" s="5" t="inlineStr">
        <is>
          <t>7</t>
        </is>
      </c>
      <c r="I1997" s="5" t="inlineStr">
        <is>
          <t>Chennai</t>
        </is>
      </c>
      <c r="J1997" s="5" t="inlineStr">
        <is>
          <t>Full-Time</t>
        </is>
      </c>
      <c r="K1997" s="7" t="n">
        <v>45291</v>
      </c>
      <c r="L1997" s="7" t="inlineStr"/>
      <c r="M1997" s="5" t="inlineStr">
        <is>
          <t>Yes</t>
        </is>
      </c>
      <c r="N1997" s="5" t="inlineStr"/>
      <c r="O1997" s="8" t="inlineStr">
        <is>
          <t>193500</t>
        </is>
      </c>
      <c r="P1997" s="5" t="inlineStr">
        <is>
          <t>0</t>
        </is>
      </c>
      <c r="Q1997" s="5" t="inlineStr">
        <is>
          <t>3</t>
        </is>
      </c>
      <c r="R1997" s="5" t="inlineStr">
        <is>
          <t>7</t>
        </is>
      </c>
      <c r="S1997" s="5" t="inlineStr">
        <is>
          <t>24</t>
        </is>
      </c>
      <c r="T1997" s="5" t="inlineStr">
        <is>
          <t>22</t>
        </is>
      </c>
      <c r="U1997" s="5" t="inlineStr">
        <is>
          <t>OK</t>
        </is>
      </c>
    </row>
    <row r="1998">
      <c r="A1998" s="5" t="inlineStr">
        <is>
          <t>E00171</t>
        </is>
      </c>
      <c r="B1998" s="5" t="inlineStr">
        <is>
          <t>Female</t>
        </is>
      </c>
      <c r="C1998" s="6" t="inlineStr">
        <is>
          <t>35</t>
        </is>
      </c>
      <c r="D1998" s="5" t="inlineStr">
        <is>
          <t>Single</t>
        </is>
      </c>
      <c r="E1998" s="5" t="inlineStr">
        <is>
          <t>High School</t>
        </is>
      </c>
      <c r="F1998" s="5" t="inlineStr">
        <is>
          <t>Operations</t>
        </is>
      </c>
      <c r="G1998" s="5" t="inlineStr">
        <is>
          <t>Quality Analyst</t>
        </is>
      </c>
      <c r="H1998" s="5" t="inlineStr">
        <is>
          <t>4</t>
        </is>
      </c>
      <c r="I1998" s="5" t="inlineStr">
        <is>
          <t>Delhi</t>
        </is>
      </c>
      <c r="J1998" s="5" t="inlineStr">
        <is>
          <t>Full-Time</t>
        </is>
      </c>
      <c r="K1998" s="7" t="n">
        <v>44600</v>
      </c>
      <c r="L1998" s="7" t="n">
        <v>44639</v>
      </c>
      <c r="M1998" s="5" t="inlineStr">
        <is>
          <t>No</t>
        </is>
      </c>
      <c r="N1998" s="5" t="inlineStr">
        <is>
          <t>Resigned</t>
        </is>
      </c>
      <c r="O1998" s="8" t="inlineStr">
        <is>
          <t>130500</t>
        </is>
      </c>
      <c r="P1998" s="5" t="inlineStr">
        <is>
          <t>0</t>
        </is>
      </c>
      <c r="Q1998" s="5" t="inlineStr">
        <is>
          <t>5</t>
        </is>
      </c>
      <c r="R1998" s="5" t="inlineStr">
        <is>
          <t>3</t>
        </is>
      </c>
      <c r="S1998" s="5" t="inlineStr">
        <is>
          <t>1</t>
        </is>
      </c>
      <c r="T1998" s="5" t="inlineStr">
        <is>
          <t>13</t>
        </is>
      </c>
      <c r="U1998" s="5" t="inlineStr">
        <is>
          <t>OK</t>
        </is>
      </c>
    </row>
    <row r="1999">
      <c r="A1999" s="5" t="inlineStr">
        <is>
          <t>E01878</t>
        </is>
      </c>
      <c r="B1999" s="5" t="inlineStr">
        <is>
          <t>Male</t>
        </is>
      </c>
      <c r="C1999" s="6" t="inlineStr">
        <is>
          <t>33</t>
        </is>
      </c>
      <c r="D1999" s="5" t="inlineStr">
        <is>
          <t>Married</t>
        </is>
      </c>
      <c r="E1999" s="5" t="inlineStr">
        <is>
          <t>Bachelor</t>
        </is>
      </c>
      <c r="F1999" s="5" t="inlineStr">
        <is>
          <t>IT</t>
        </is>
      </c>
      <c r="G1999" s="5" t="inlineStr">
        <is>
          <t>DevOps Engineer</t>
        </is>
      </c>
      <c r="H1999" s="5" t="inlineStr">
        <is>
          <t>4</t>
        </is>
      </c>
      <c r="I1999" s="5" t="inlineStr">
        <is>
          <t>Delhi</t>
        </is>
      </c>
      <c r="J1999" s="5" t="inlineStr">
        <is>
          <t>Part-Time</t>
        </is>
      </c>
      <c r="K1999" s="7" t="n">
        <v>43985</v>
      </c>
      <c r="L1999" s="7" t="inlineStr"/>
      <c r="M1999" s="5" t="inlineStr">
        <is>
          <t>Yes</t>
        </is>
      </c>
      <c r="N1999" s="5" t="inlineStr"/>
      <c r="O1999" s="8" t="inlineStr">
        <is>
          <t>164500</t>
        </is>
      </c>
      <c r="P1999" s="5" t="inlineStr">
        <is>
          <t>5</t>
        </is>
      </c>
      <c r="Q1999" s="5" t="inlineStr">
        <is>
          <t>5</t>
        </is>
      </c>
      <c r="R1999" s="5" t="inlineStr">
        <is>
          <t>5</t>
        </is>
      </c>
      <c r="S1999" s="5" t="inlineStr">
        <is>
          <t>67</t>
        </is>
      </c>
      <c r="T1999" s="5" t="inlineStr">
        <is>
          <t>0</t>
        </is>
      </c>
      <c r="U1999" s="5" t="inlineStr">
        <is>
          <t>OK</t>
        </is>
      </c>
    </row>
    <row r="2000">
      <c r="A2000" s="5" t="inlineStr">
        <is>
          <t>E01192</t>
        </is>
      </c>
      <c r="B2000" s="5" t="inlineStr">
        <is>
          <t>Female</t>
        </is>
      </c>
      <c r="C2000" s="6" t="inlineStr">
        <is>
          <t>25</t>
        </is>
      </c>
      <c r="D2000" s="5" t="inlineStr">
        <is>
          <t>Married</t>
        </is>
      </c>
      <c r="E2000" s="5" t="inlineStr">
        <is>
          <t>High School</t>
        </is>
      </c>
      <c r="F2000" s="5" t="inlineStr">
        <is>
          <t>Customer Support</t>
        </is>
      </c>
      <c r="G2000" s="5" t="inlineStr">
        <is>
          <t>Support Lead</t>
        </is>
      </c>
      <c r="H2000" s="5" t="inlineStr">
        <is>
          <t>1</t>
        </is>
      </c>
      <c r="I2000" s="5" t="inlineStr">
        <is>
          <t>Mumbai</t>
        </is>
      </c>
      <c r="J2000" s="5" t="inlineStr">
        <is>
          <t>Part-Time</t>
        </is>
      </c>
      <c r="K2000" s="7" t="n">
        <v>45526</v>
      </c>
      <c r="L2000" s="7" t="n">
        <v>45582</v>
      </c>
      <c r="M2000" s="5" t="inlineStr">
        <is>
          <t>No</t>
        </is>
      </c>
      <c r="N2000" s="5" t="inlineStr">
        <is>
          <t>Resigned</t>
        </is>
      </c>
      <c r="O2000" s="8" t="inlineStr">
        <is>
          <t>69500</t>
        </is>
      </c>
      <c r="P2000" s="5" t="inlineStr">
        <is>
          <t>10</t>
        </is>
      </c>
      <c r="Q2000" s="5" t="inlineStr">
        <is>
          <t>3</t>
        </is>
      </c>
      <c r="R2000" s="5" t="inlineStr">
        <is>
          <t>4</t>
        </is>
      </c>
      <c r="S2000" s="5" t="inlineStr">
        <is>
          <t>1</t>
        </is>
      </c>
      <c r="T2000" s="5" t="inlineStr">
        <is>
          <t>3</t>
        </is>
      </c>
      <c r="U2000" s="5" t="inlineStr">
        <is>
          <t>OK</t>
        </is>
      </c>
    </row>
    <row r="2001">
      <c r="A2001" s="5" t="inlineStr">
        <is>
          <t>E02317</t>
        </is>
      </c>
      <c r="B2001" s="5" t="inlineStr">
        <is>
          <t>Unknown</t>
        </is>
      </c>
      <c r="C2001" s="6" t="inlineStr">
        <is>
          <t>36</t>
        </is>
      </c>
      <c r="D2001" s="5" t="inlineStr">
        <is>
          <t>Married</t>
        </is>
      </c>
      <c r="E2001" s="5" t="inlineStr">
        <is>
          <t>High School</t>
        </is>
      </c>
      <c r="F2001" s="5" t="inlineStr">
        <is>
          <t>Human Resources</t>
        </is>
      </c>
      <c r="G2001" s="5" t="inlineStr">
        <is>
          <t>HR Generalist</t>
        </is>
      </c>
      <c r="H2001" s="5" t="inlineStr">
        <is>
          <t>2</t>
        </is>
      </c>
      <c r="I2001" s="5" t="inlineStr">
        <is>
          <t>Mumbai</t>
        </is>
      </c>
      <c r="J2001" s="5" t="inlineStr">
        <is>
          <t>Full-Time</t>
        </is>
      </c>
      <c r="K2001" s="7" t="n">
        <v>44741</v>
      </c>
      <c r="L2001" s="7" t="inlineStr"/>
      <c r="M2001" s="5" t="inlineStr">
        <is>
          <t>Yes</t>
        </is>
      </c>
      <c r="N2001" s="5" t="inlineStr"/>
      <c r="O2001" s="8" t="inlineStr">
        <is>
          <t>99000</t>
        </is>
      </c>
      <c r="P2001" s="5" t="inlineStr">
        <is>
          <t>5</t>
        </is>
      </c>
      <c r="Q2001" s="5" t="inlineStr">
        <is>
          <t>4</t>
        </is>
      </c>
      <c r="R2001" s="5" t="inlineStr">
        <is>
          <t>9</t>
        </is>
      </c>
      <c r="S2001" s="5" t="inlineStr">
        <is>
          <t>42</t>
        </is>
      </c>
      <c r="T2001" s="5" t="inlineStr">
        <is>
          <t>0</t>
        </is>
      </c>
      <c r="U2001" s="5" t="inlineStr">
        <is>
          <t>Bad gender</t>
        </is>
      </c>
    </row>
    <row r="2002">
      <c r="A2002" s="5" t="inlineStr">
        <is>
          <t>E01068</t>
        </is>
      </c>
      <c r="B2002" s="5" t="inlineStr">
        <is>
          <t>Female</t>
        </is>
      </c>
      <c r="C2002" s="6" t="inlineStr">
        <is>
          <t>32</t>
        </is>
      </c>
      <c r="D2002" s="5" t="inlineStr">
        <is>
          <t>Married</t>
        </is>
      </c>
      <c r="E2002" s="5" t="inlineStr">
        <is>
          <t>Bachelor</t>
        </is>
      </c>
      <c r="F2002" s="5" t="inlineStr">
        <is>
          <t>Sales</t>
        </is>
      </c>
      <c r="G2002" s="5" t="inlineStr">
        <is>
          <t>Account Executive</t>
        </is>
      </c>
      <c r="H2002" s="5" t="inlineStr">
        <is>
          <t>1</t>
        </is>
      </c>
      <c r="I2002" s="5" t="inlineStr">
        <is>
          <t>Chennai</t>
        </is>
      </c>
      <c r="J2002" s="5" t="inlineStr">
        <is>
          <t>Contract</t>
        </is>
      </c>
      <c r="K2002" s="7" t="n">
        <v>44642</v>
      </c>
      <c r="L2002" s="7" t="n">
        <v>44732</v>
      </c>
      <c r="M2002" s="5" t="inlineStr">
        <is>
          <t>No</t>
        </is>
      </c>
      <c r="N2002" s="5" t="inlineStr">
        <is>
          <t>Layoff</t>
        </is>
      </c>
      <c r="O2002" s="8" t="inlineStr">
        <is>
          <t>96500</t>
        </is>
      </c>
      <c r="P2002" s="5" t="inlineStr">
        <is>
          <t>0</t>
        </is>
      </c>
      <c r="Q2002" s="5" t="inlineStr">
        <is>
          <t>4</t>
        </is>
      </c>
      <c r="R2002" s="5" t="inlineStr">
        <is>
          <t>8</t>
        </is>
      </c>
      <c r="S2002" s="5" t="inlineStr">
        <is>
          <t>3</t>
        </is>
      </c>
      <c r="T2002" s="5" t="inlineStr">
        <is>
          <t>3</t>
        </is>
      </c>
      <c r="U2002" s="5" t="inlineStr">
        <is>
          <t>OK</t>
        </is>
      </c>
    </row>
    <row r="2003">
      <c r="A2003" s="5" t="inlineStr">
        <is>
          <t>E02195</t>
        </is>
      </c>
      <c r="B2003" s="5" t="inlineStr">
        <is>
          <t>Male</t>
        </is>
      </c>
      <c r="C2003" s="6" t="inlineStr">
        <is>
          <t>38</t>
        </is>
      </c>
      <c r="D2003" s="5" t="inlineStr">
        <is>
          <t>Married</t>
        </is>
      </c>
      <c r="E2003" s="5" t="inlineStr">
        <is>
          <t>PhD</t>
        </is>
      </c>
      <c r="F2003" s="5" t="inlineStr">
        <is>
          <t>Operations</t>
        </is>
      </c>
      <c r="G2003" s="5" t="inlineStr">
        <is>
          <t>Operations Analyst</t>
        </is>
      </c>
      <c r="H2003" s="5" t="inlineStr">
        <is>
          <t>4</t>
        </is>
      </c>
      <c r="I2003" s="5" t="inlineStr">
        <is>
          <t>Bengaluru</t>
        </is>
      </c>
      <c r="J2003" s="5" t="inlineStr">
        <is>
          <t>Full-Time</t>
        </is>
      </c>
      <c r="K2003" s="7" t="n">
        <v>43973</v>
      </c>
      <c r="L2003" s="7" t="inlineStr"/>
      <c r="M2003" s="5" t="inlineStr">
        <is>
          <t>Yes</t>
        </is>
      </c>
      <c r="N2003" s="5" t="inlineStr"/>
      <c r="O2003" s="8" t="inlineStr">
        <is>
          <t>89500</t>
        </is>
      </c>
      <c r="P2003" s="5" t="inlineStr">
        <is>
          <t>5</t>
        </is>
      </c>
      <c r="Q2003" s="5" t="inlineStr">
        <is>
          <t>3</t>
        </is>
      </c>
      <c r="R2003" s="5" t="inlineStr">
        <is>
          <t>6</t>
        </is>
      </c>
      <c r="S2003" s="5" t="inlineStr">
        <is>
          <t>68</t>
        </is>
      </c>
      <c r="T2003" s="5" t="inlineStr">
        <is>
          <t>0</t>
        </is>
      </c>
      <c r="U2003" s="5" t="inlineStr">
        <is>
          <t>OK</t>
        </is>
      </c>
    </row>
    <row r="2004">
      <c r="A2004" s="5" t="inlineStr">
        <is>
          <t>E01319</t>
        </is>
      </c>
      <c r="B2004" s="5" t="inlineStr">
        <is>
          <t>Male</t>
        </is>
      </c>
      <c r="C2004" s="6" t="inlineStr">
        <is>
          <t>25</t>
        </is>
      </c>
      <c r="D2004" s="5" t="inlineStr">
        <is>
          <t>Married</t>
        </is>
      </c>
      <c r="E2004" s="5" t="inlineStr">
        <is>
          <t>PhD</t>
        </is>
      </c>
      <c r="F2004" s="5" t="inlineStr">
        <is>
          <t>Sales</t>
        </is>
      </c>
      <c r="G2004" s="5" t="inlineStr">
        <is>
          <t>Sales Executive</t>
        </is>
      </c>
      <c r="H2004" s="5" t="inlineStr">
        <is>
          <t>2</t>
        </is>
      </c>
      <c r="I2004" s="5" t="inlineStr">
        <is>
          <t>Bengaluru</t>
        </is>
      </c>
      <c r="J2004" s="5" t="inlineStr">
        <is>
          <t>Full-Time</t>
        </is>
      </c>
      <c r="K2004" s="7" t="n">
        <v>45889</v>
      </c>
      <c r="L2004" s="7" t="inlineStr"/>
      <c r="M2004" s="5" t="inlineStr">
        <is>
          <t>Yes</t>
        </is>
      </c>
      <c r="N2004" s="5" t="inlineStr"/>
      <c r="O2004" s="8" t="inlineStr">
        <is>
          <t>73500</t>
        </is>
      </c>
      <c r="P2004" s="5" t="inlineStr">
        <is>
          <t>0</t>
        </is>
      </c>
      <c r="Q2004" s="5" t="inlineStr">
        <is>
          <t>2</t>
        </is>
      </c>
      <c r="R2004" s="5" t="inlineStr">
        <is>
          <t>8</t>
        </is>
      </c>
      <c r="S2004" s="5" t="inlineStr">
        <is>
          <t>4</t>
        </is>
      </c>
      <c r="T2004" s="5" t="inlineStr">
        <is>
          <t>16</t>
        </is>
      </c>
      <c r="U2004" s="5" t="inlineStr">
        <is>
          <t>OK</t>
        </is>
      </c>
    </row>
    <row r="2005">
      <c r="A2005" s="5" t="inlineStr">
        <is>
          <t>E02052</t>
        </is>
      </c>
      <c r="B2005" s="5" t="inlineStr">
        <is>
          <t>Unknown</t>
        </is>
      </c>
      <c r="C2005" s="6" t="inlineStr">
        <is>
          <t>36</t>
        </is>
      </c>
      <c r="D2005" s="5" t="inlineStr">
        <is>
          <t>Married</t>
        </is>
      </c>
      <c r="E2005" s="5" t="inlineStr">
        <is>
          <t>Bachelor</t>
        </is>
      </c>
      <c r="F2005" s="5" t="inlineStr">
        <is>
          <t>Customer Support</t>
        </is>
      </c>
      <c r="G2005" s="5" t="inlineStr">
        <is>
          <t>Support Lead</t>
        </is>
      </c>
      <c r="H2005" s="5" t="inlineStr">
        <is>
          <t>4</t>
        </is>
      </c>
      <c r="I2005" s="5" t="inlineStr">
        <is>
          <t>Remote</t>
        </is>
      </c>
      <c r="J2005" s="5" t="inlineStr">
        <is>
          <t>Full-Time</t>
        </is>
      </c>
      <c r="K2005" s="7" t="n">
        <v>44208</v>
      </c>
      <c r="L2005" s="7" t="inlineStr"/>
      <c r="M2005" s="5" t="inlineStr">
        <is>
          <t>Yes</t>
        </is>
      </c>
      <c r="N2005" s="5" t="inlineStr"/>
      <c r="O2005" s="8" t="inlineStr">
        <is>
          <t>59000</t>
        </is>
      </c>
      <c r="P2005" s="5" t="inlineStr">
        <is>
          <t>10</t>
        </is>
      </c>
      <c r="Q2005" s="5" t="inlineStr">
        <is>
          <t>4</t>
        </is>
      </c>
      <c r="R2005" s="5" t="inlineStr">
        <is>
          <t>7</t>
        </is>
      </c>
      <c r="S2005" s="5" t="inlineStr">
        <is>
          <t>60</t>
        </is>
      </c>
      <c r="T2005" s="5" t="inlineStr">
        <is>
          <t>14</t>
        </is>
      </c>
      <c r="U2005" s="5" t="inlineStr">
        <is>
          <t>Bad gender</t>
        </is>
      </c>
    </row>
    <row r="2006">
      <c r="A2006" s="5" t="inlineStr">
        <is>
          <t>E00955</t>
        </is>
      </c>
      <c r="B2006" s="5" t="inlineStr">
        <is>
          <t>Male</t>
        </is>
      </c>
      <c r="C2006" s="6" t="inlineStr">
        <is>
          <t>27</t>
        </is>
      </c>
      <c r="D2006" s="5" t="inlineStr">
        <is>
          <t>Married</t>
        </is>
      </c>
      <c r="E2006" s="5" t="inlineStr">
        <is>
          <t>PhD</t>
        </is>
      </c>
      <c r="F2006" s="5" t="inlineStr">
        <is>
          <t>Customer Support</t>
        </is>
      </c>
      <c r="G2006" s="5" t="inlineStr">
        <is>
          <t>Support Lead</t>
        </is>
      </c>
      <c r="H2006" s="5" t="inlineStr">
        <is>
          <t>1</t>
        </is>
      </c>
      <c r="I2006" s="5" t="inlineStr">
        <is>
          <t>Remote</t>
        </is>
      </c>
      <c r="J2006" s="5" t="inlineStr">
        <is>
          <t>Full-Time</t>
        </is>
      </c>
      <c r="K2006" s="7" t="n">
        <v>45779</v>
      </c>
      <c r="L2006" s="7" t="n">
        <v>45891</v>
      </c>
      <c r="M2006" s="5" t="inlineStr">
        <is>
          <t>No</t>
        </is>
      </c>
      <c r="N2006" s="5" t="inlineStr">
        <is>
          <t>Layoff</t>
        </is>
      </c>
      <c r="O2006" s="8" t="inlineStr">
        <is>
          <t>69500</t>
        </is>
      </c>
      <c r="P2006" s="5" t="inlineStr">
        <is>
          <t>5</t>
        </is>
      </c>
      <c r="Q2006" s="5" t="inlineStr">
        <is>
          <t>1</t>
        </is>
      </c>
      <c r="R2006" s="5" t="inlineStr">
        <is>
          <t>6</t>
        </is>
      </c>
      <c r="S2006" s="5" t="inlineStr">
        <is>
          <t>3</t>
        </is>
      </c>
      <c r="T2006" s="5" t="inlineStr">
        <is>
          <t>5</t>
        </is>
      </c>
      <c r="U2006" s="5" t="inlineStr">
        <is>
          <t>OK</t>
        </is>
      </c>
    </row>
    <row r="2007">
      <c r="A2007" s="5" t="inlineStr">
        <is>
          <t>E01893</t>
        </is>
      </c>
      <c r="B2007" s="5" t="inlineStr">
        <is>
          <t>Male</t>
        </is>
      </c>
      <c r="C2007" s="6" t="inlineStr">
        <is>
          <t>34</t>
        </is>
      </c>
      <c r="D2007" s="5" t="inlineStr">
        <is>
          <t>Single</t>
        </is>
      </c>
      <c r="E2007" s="5" t="inlineStr">
        <is>
          <t>Bachelor</t>
        </is>
      </c>
      <c r="F2007" s="5" t="inlineStr">
        <is>
          <t>Research &amp; Development</t>
        </is>
      </c>
      <c r="G2007" s="5" t="inlineStr">
        <is>
          <t>Research Scientist</t>
        </is>
      </c>
      <c r="H2007" s="5" t="inlineStr">
        <is>
          <t>5</t>
        </is>
      </c>
      <c r="I2007" s="5" t="inlineStr">
        <is>
          <t>Bengaluru</t>
        </is>
      </c>
      <c r="J2007" s="5" t="inlineStr">
        <is>
          <t>Full-Time</t>
        </is>
      </c>
      <c r="K2007" s="7" t="n">
        <v>43857</v>
      </c>
      <c r="L2007" s="7" t="inlineStr"/>
      <c r="M2007" s="5" t="inlineStr">
        <is>
          <t>Yes</t>
        </is>
      </c>
      <c r="N2007" s="5" t="inlineStr"/>
      <c r="O2007" s="8" t="inlineStr">
        <is>
          <t>188000</t>
        </is>
      </c>
      <c r="P2007" s="5" t="inlineStr">
        <is>
          <t>5</t>
        </is>
      </c>
      <c r="Q2007" s="5" t="inlineStr">
        <is>
          <t>3</t>
        </is>
      </c>
      <c r="R2007" s="5" t="inlineStr">
        <is>
          <t>3</t>
        </is>
      </c>
      <c r="S2007" s="5" t="inlineStr">
        <is>
          <t>72</t>
        </is>
      </c>
      <c r="T2007" s="5" t="inlineStr">
        <is>
          <t>13</t>
        </is>
      </c>
      <c r="U2007" s="5" t="inlineStr">
        <is>
          <t>OK</t>
        </is>
      </c>
    </row>
    <row r="2008">
      <c r="A2008" s="5" t="inlineStr">
        <is>
          <t>E00871</t>
        </is>
      </c>
      <c r="B2008" s="5" t="inlineStr">
        <is>
          <t>Male</t>
        </is>
      </c>
      <c r="C2008" s="6" t="inlineStr">
        <is>
          <t>35</t>
        </is>
      </c>
      <c r="D2008" s="5" t="inlineStr">
        <is>
          <t>Single</t>
        </is>
      </c>
      <c r="E2008" s="5" t="inlineStr">
        <is>
          <t>Master</t>
        </is>
      </c>
      <c r="F2008" s="5" t="inlineStr">
        <is>
          <t>Operations</t>
        </is>
      </c>
      <c r="G2008" s="5" t="inlineStr">
        <is>
          <t>Logistics Coordinator</t>
        </is>
      </c>
      <c r="H2008" s="5" t="inlineStr">
        <is>
          <t>6</t>
        </is>
      </c>
      <c r="I2008" s="5" t="inlineStr">
        <is>
          <t>Bengaluru</t>
        </is>
      </c>
      <c r="J2008" s="5" t="inlineStr">
        <is>
          <t>Full-Time</t>
        </is>
      </c>
      <c r="K2008" s="7" t="n">
        <v>44290</v>
      </c>
      <c r="L2008" s="7" t="inlineStr"/>
      <c r="M2008" s="5" t="inlineStr">
        <is>
          <t>Yes</t>
        </is>
      </c>
      <c r="N2008" s="5" t="inlineStr"/>
      <c r="O2008" s="8" t="inlineStr">
        <is>
          <t>143500</t>
        </is>
      </c>
      <c r="P2008" s="5" t="inlineStr">
        <is>
          <t>0</t>
        </is>
      </c>
      <c r="Q2008" s="5" t="inlineStr">
        <is>
          <t>4</t>
        </is>
      </c>
      <c r="R2008" s="5" t="inlineStr">
        <is>
          <t>5</t>
        </is>
      </c>
      <c r="S2008" s="5" t="inlineStr">
        <is>
          <t>57</t>
        </is>
      </c>
      <c r="T2008" s="5" t="inlineStr">
        <is>
          <t>0</t>
        </is>
      </c>
      <c r="U2008" s="5" t="inlineStr">
        <is>
          <t>OK</t>
        </is>
      </c>
    </row>
    <row r="2009">
      <c r="A2009" s="5" t="inlineStr">
        <is>
          <t>E01375</t>
        </is>
      </c>
      <c r="B2009" s="5" t="inlineStr">
        <is>
          <t>Male</t>
        </is>
      </c>
      <c r="C2009" s="6" t="inlineStr">
        <is>
          <t>30</t>
        </is>
      </c>
      <c r="D2009" s="5" t="inlineStr">
        <is>
          <t>Married</t>
        </is>
      </c>
      <c r="E2009" s="5" t="inlineStr">
        <is>
          <t>PhD</t>
        </is>
      </c>
      <c r="F2009" s="5" t="inlineStr">
        <is>
          <t>Sales</t>
        </is>
      </c>
      <c r="G2009" s="5" t="inlineStr">
        <is>
          <t>Account Executive</t>
        </is>
      </c>
      <c r="H2009" s="5" t="inlineStr">
        <is>
          <t>4</t>
        </is>
      </c>
      <c r="I2009" s="5" t="inlineStr">
        <is>
          <t>Mumbai</t>
        </is>
      </c>
      <c r="J2009" s="5" t="inlineStr">
        <is>
          <t>Full-Time</t>
        </is>
      </c>
      <c r="K2009" s="7" t="n">
        <v>45992</v>
      </c>
      <c r="L2009" s="7" t="n">
        <v>46007</v>
      </c>
      <c r="M2009" s="5" t="inlineStr">
        <is>
          <t>No</t>
        </is>
      </c>
      <c r="N2009" s="5" t="inlineStr">
        <is>
          <t>Resigned</t>
        </is>
      </c>
      <c r="O2009" s="8" t="inlineStr">
        <is>
          <t>117000</t>
        </is>
      </c>
      <c r="P2009" s="5" t="inlineStr">
        <is>
          <t>0</t>
        </is>
      </c>
      <c r="Q2009" s="5" t="inlineStr">
        <is>
          <t>4</t>
        </is>
      </c>
      <c r="R2009" s="5" t="inlineStr">
        <is>
          <t>6</t>
        </is>
      </c>
      <c r="S2009" s="5" t="inlineStr">
        <is>
          <t>1</t>
        </is>
      </c>
      <c r="T2009" s="5" t="inlineStr">
        <is>
          <t>4</t>
        </is>
      </c>
      <c r="U2009" s="5" t="inlineStr">
        <is>
          <t>OK</t>
        </is>
      </c>
    </row>
    <row r="2010">
      <c r="A2010" s="5" t="inlineStr">
        <is>
          <t>E01218</t>
        </is>
      </c>
      <c r="B2010" s="5" t="inlineStr">
        <is>
          <t>Male</t>
        </is>
      </c>
      <c r="C2010" s="6" t="inlineStr">
        <is>
          <t>41</t>
        </is>
      </c>
      <c r="D2010" s="5" t="inlineStr">
        <is>
          <t>Married</t>
        </is>
      </c>
      <c r="E2010" s="5" t="inlineStr">
        <is>
          <t>Diploma</t>
        </is>
      </c>
      <c r="F2010" s="5" t="inlineStr">
        <is>
          <t>Operations</t>
        </is>
      </c>
      <c r="G2010" s="5" t="inlineStr">
        <is>
          <t>Quality Analyst</t>
        </is>
      </c>
      <c r="H2010" s="5" t="inlineStr">
        <is>
          <t>5</t>
        </is>
      </c>
      <c r="I2010" s="5" t="inlineStr">
        <is>
          <t>Mumbai</t>
        </is>
      </c>
      <c r="J2010" s="5" t="inlineStr">
        <is>
          <t>Full-Time</t>
        </is>
      </c>
      <c r="K2010" s="7" t="n">
        <v>45794</v>
      </c>
      <c r="L2010" s="7" t="n">
        <v>45868</v>
      </c>
      <c r="M2010" s="5" t="inlineStr">
        <is>
          <t>No</t>
        </is>
      </c>
      <c r="N2010" s="5" t="inlineStr">
        <is>
          <t>Resigned</t>
        </is>
      </c>
      <c r="O2010" s="8" t="inlineStr">
        <is>
          <t>91000</t>
        </is>
      </c>
      <c r="P2010" s="5" t="inlineStr">
        <is>
          <t>10</t>
        </is>
      </c>
      <c r="Q2010" s="5" t="inlineStr">
        <is>
          <t>3</t>
        </is>
      </c>
      <c r="R2010" s="5" t="inlineStr">
        <is>
          <t>2</t>
        </is>
      </c>
      <c r="S2010" s="5" t="inlineStr">
        <is>
          <t>2</t>
        </is>
      </c>
      <c r="T2010" s="5" t="inlineStr">
        <is>
          <t>16</t>
        </is>
      </c>
      <c r="U2010" s="5" t="inlineStr">
        <is>
          <t>OK</t>
        </is>
      </c>
    </row>
    <row r="2011">
      <c r="A2011" s="5" t="inlineStr">
        <is>
          <t>E01663</t>
        </is>
      </c>
      <c r="B2011" s="5" t="inlineStr">
        <is>
          <t>female</t>
        </is>
      </c>
      <c r="C2011" s="6" t="inlineStr">
        <is>
          <t>38</t>
        </is>
      </c>
      <c r="D2011" s="5" t="inlineStr">
        <is>
          <t>Married</t>
        </is>
      </c>
      <c r="E2011" s="5" t="inlineStr">
        <is>
          <t>Master</t>
        </is>
      </c>
      <c r="F2011" s="5" t="inlineStr">
        <is>
          <t>Research &amp; Development</t>
        </is>
      </c>
      <c r="G2011" s="5" t="inlineStr">
        <is>
          <t>Research Scientist</t>
        </is>
      </c>
      <c r="H2011" s="5" t="inlineStr">
        <is>
          <t>3</t>
        </is>
      </c>
      <c r="I2011" s="5" t="inlineStr">
        <is>
          <t>Delhi</t>
        </is>
      </c>
      <c r="J2011" s="5" t="inlineStr">
        <is>
          <t>Full-Time</t>
        </is>
      </c>
      <c r="K2011" s="7" t="n">
        <v>45767</v>
      </c>
      <c r="L2011" s="7" t="inlineStr"/>
      <c r="M2011" s="5" t="inlineStr">
        <is>
          <t>Yes</t>
        </is>
      </c>
      <c r="N2011" s="5" t="inlineStr"/>
      <c r="O2011" s="8" t="inlineStr">
        <is>
          <t>187500</t>
        </is>
      </c>
      <c r="P2011" s="5" t="inlineStr">
        <is>
          <t>15</t>
        </is>
      </c>
      <c r="Q2011" s="5" t="inlineStr">
        <is>
          <t>3</t>
        </is>
      </c>
      <c r="R2011" s="5" t="inlineStr">
        <is>
          <t>2</t>
        </is>
      </c>
      <c r="S2011" s="5" t="inlineStr">
        <is>
          <t>8</t>
        </is>
      </c>
      <c r="T2011" s="5" t="inlineStr">
        <is>
          <t>2</t>
        </is>
      </c>
      <c r="U2011" s="5" t="inlineStr">
        <is>
          <t>OK</t>
        </is>
      </c>
    </row>
    <row r="2012">
      <c r="A2012" s="5" t="inlineStr">
        <is>
          <t>E01612</t>
        </is>
      </c>
      <c r="B2012" s="5" t="inlineStr">
        <is>
          <t>Female</t>
        </is>
      </c>
      <c r="C2012" s="6" t="inlineStr">
        <is>
          <t>40</t>
        </is>
      </c>
      <c r="D2012" s="5" t="inlineStr">
        <is>
          <t>Married</t>
        </is>
      </c>
      <c r="E2012" s="5" t="inlineStr">
        <is>
          <t>Bachelor</t>
        </is>
      </c>
      <c r="F2012" s="5" t="inlineStr">
        <is>
          <t>Marketing</t>
        </is>
      </c>
      <c r="G2012" s="5" t="inlineStr">
        <is>
          <t>Content Writer</t>
        </is>
      </c>
      <c r="H2012" s="5" t="inlineStr">
        <is>
          <t>6</t>
        </is>
      </c>
      <c r="I2012" s="5" t="inlineStr">
        <is>
          <t>Bengaluru</t>
        </is>
      </c>
      <c r="J2012" s="5" t="inlineStr">
        <is>
          <t>Full-Time</t>
        </is>
      </c>
      <c r="K2012" s="7" t="n">
        <v>45904</v>
      </c>
      <c r="L2012" s="7" t="n">
        <v>46021</v>
      </c>
      <c r="M2012" s="5" t="inlineStr">
        <is>
          <t>No</t>
        </is>
      </c>
      <c r="N2012" s="5" t="inlineStr">
        <is>
          <t>Resigned</t>
        </is>
      </c>
      <c r="O2012" s="8" t="inlineStr">
        <is>
          <t>155500</t>
        </is>
      </c>
      <c r="P2012" s="5" t="inlineStr">
        <is>
          <t>0</t>
        </is>
      </c>
      <c r="Q2012" s="5" t="inlineStr">
        <is>
          <t>3</t>
        </is>
      </c>
      <c r="R2012" s="5" t="inlineStr">
        <is>
          <t>2</t>
        </is>
      </c>
      <c r="S2012" s="5" t="inlineStr">
        <is>
          <t>3</t>
        </is>
      </c>
      <c r="T2012" s="5" t="inlineStr">
        <is>
          <t>4</t>
        </is>
      </c>
      <c r="U2012" s="5" t="inlineStr">
        <is>
          <t>OK</t>
        </is>
      </c>
    </row>
    <row r="2013">
      <c r="A2013" s="5" t="inlineStr">
        <is>
          <t>E01004</t>
        </is>
      </c>
      <c r="B2013" s="5" t="inlineStr">
        <is>
          <t>Male</t>
        </is>
      </c>
      <c r="C2013" s="6" t="inlineStr">
        <is>
          <t>29</t>
        </is>
      </c>
      <c r="D2013" s="5" t="inlineStr">
        <is>
          <t>Married</t>
        </is>
      </c>
      <c r="E2013" s="5" t="inlineStr">
        <is>
          <t>PhD</t>
        </is>
      </c>
      <c r="F2013" s="5" t="inlineStr">
        <is>
          <t>Finance</t>
        </is>
      </c>
      <c r="G2013" s="5" t="inlineStr">
        <is>
          <t>Financial Analyst</t>
        </is>
      </c>
      <c r="H2013" s="5" t="inlineStr">
        <is>
          <t>2</t>
        </is>
      </c>
      <c r="I2013" s="5" t="inlineStr">
        <is>
          <t>Delhi</t>
        </is>
      </c>
      <c r="J2013" s="5" t="inlineStr">
        <is>
          <t>Full-Time</t>
        </is>
      </c>
      <c r="K2013" s="7" t="n">
        <v>43972</v>
      </c>
      <c r="L2013" s="7" t="inlineStr"/>
      <c r="M2013" s="5" t="inlineStr">
        <is>
          <t>Yes</t>
        </is>
      </c>
      <c r="N2013" s="5" t="inlineStr"/>
      <c r="O2013" s="8" t="inlineStr">
        <is>
          <t>81000</t>
        </is>
      </c>
      <c r="P2013" s="5" t="inlineStr">
        <is>
          <t>20</t>
        </is>
      </c>
      <c r="Q2013" s="5" t="inlineStr">
        <is>
          <t>4</t>
        </is>
      </c>
      <c r="R2013" s="5" t="inlineStr">
        <is>
          <t>9</t>
        </is>
      </c>
      <c r="S2013" s="5" t="inlineStr">
        <is>
          <t>68</t>
        </is>
      </c>
      <c r="T2013" s="5" t="inlineStr">
        <is>
          <t>9</t>
        </is>
      </c>
      <c r="U2013" s="5" t="inlineStr">
        <is>
          <t>OK</t>
        </is>
      </c>
    </row>
    <row r="2014">
      <c r="A2014" s="5" t="inlineStr">
        <is>
          <t>E02953</t>
        </is>
      </c>
      <c r="B2014" s="5" t="inlineStr">
        <is>
          <t>Female</t>
        </is>
      </c>
      <c r="C2014" s="6" t="inlineStr">
        <is>
          <t>41</t>
        </is>
      </c>
      <c r="D2014" s="5" t="inlineStr">
        <is>
          <t>Divorced</t>
        </is>
      </c>
      <c r="E2014" s="5" t="inlineStr">
        <is>
          <t>PhD</t>
        </is>
      </c>
      <c r="F2014" s="5" t="inlineStr">
        <is>
          <t>Operations</t>
        </is>
      </c>
      <c r="G2014" s="5" t="inlineStr">
        <is>
          <t>Operations Analyst</t>
        </is>
      </c>
      <c r="H2014" s="5" t="inlineStr">
        <is>
          <t>7</t>
        </is>
      </c>
      <c r="I2014" s="5" t="inlineStr">
        <is>
          <t>Chennai</t>
        </is>
      </c>
      <c r="J2014" s="5" t="inlineStr">
        <is>
          <t>Full-Time</t>
        </is>
      </c>
      <c r="K2014" s="7" t="n">
        <v>45423</v>
      </c>
      <c r="L2014" s="7" t="inlineStr"/>
      <c r="M2014" s="5" t="inlineStr">
        <is>
          <t>Yes</t>
        </is>
      </c>
      <c r="N2014" s="5" t="inlineStr"/>
      <c r="O2014" s="8" t="inlineStr">
        <is>
          <t>151500</t>
        </is>
      </c>
      <c r="P2014" s="5" t="inlineStr">
        <is>
          <t>0</t>
        </is>
      </c>
      <c r="Q2014" s="5" t="inlineStr">
        <is>
          <t>4</t>
        </is>
      </c>
      <c r="R2014" s="5" t="inlineStr">
        <is>
          <t>5</t>
        </is>
      </c>
      <c r="S2014" s="5" t="inlineStr">
        <is>
          <t>19</t>
        </is>
      </c>
      <c r="T2014" s="5" t="inlineStr">
        <is>
          <t>6</t>
        </is>
      </c>
      <c r="U2014" s="5" t="inlineStr">
        <is>
          <t>OK</t>
        </is>
      </c>
    </row>
    <row r="2015">
      <c r="A2015" s="5" t="inlineStr">
        <is>
          <t>E01520</t>
        </is>
      </c>
      <c r="B2015" s="5" t="inlineStr">
        <is>
          <t>Male</t>
        </is>
      </c>
      <c r="C2015" s="6" t="inlineStr">
        <is>
          <t>35</t>
        </is>
      </c>
      <c r="D2015" s="5" t="inlineStr">
        <is>
          <t>Single</t>
        </is>
      </c>
      <c r="E2015" s="5" t="inlineStr">
        <is>
          <t>PhD</t>
        </is>
      </c>
      <c r="F2015" s="5" t="inlineStr">
        <is>
          <t>Operations</t>
        </is>
      </c>
      <c r="G2015" s="5" t="inlineStr">
        <is>
          <t>Operations Analyst</t>
        </is>
      </c>
      <c r="H2015" s="5" t="inlineStr">
        <is>
          <t>3</t>
        </is>
      </c>
      <c r="I2015" s="5" t="inlineStr">
        <is>
          <t>Chennai</t>
        </is>
      </c>
      <c r="J2015" s="5" t="inlineStr">
        <is>
          <t>Full-Time</t>
        </is>
      </c>
      <c r="K2015" s="7" t="n">
        <v>45586</v>
      </c>
      <c r="L2015" s="7" t="inlineStr"/>
      <c r="M2015" s="5" t="inlineStr">
        <is>
          <t>Yes</t>
        </is>
      </c>
      <c r="N2015" s="5" t="inlineStr"/>
      <c r="O2015" s="8" t="inlineStr">
        <is>
          <t>102500</t>
        </is>
      </c>
      <c r="P2015" s="5" t="inlineStr">
        <is>
          <t>5</t>
        </is>
      </c>
      <c r="Q2015" s="5" t="inlineStr">
        <is>
          <t>3</t>
        </is>
      </c>
      <c r="R2015" s="5" t="inlineStr">
        <is>
          <t>5</t>
        </is>
      </c>
      <c r="S2015" s="5" t="inlineStr">
        <is>
          <t>14</t>
        </is>
      </c>
      <c r="T2015" s="5" t="inlineStr">
        <is>
          <t>7</t>
        </is>
      </c>
      <c r="U2015" s="5" t="inlineStr">
        <is>
          <t>OK</t>
        </is>
      </c>
    </row>
    <row r="2016">
      <c r="A2016" s="5" t="inlineStr">
        <is>
          <t>E00405</t>
        </is>
      </c>
      <c r="B2016" s="5" t="inlineStr">
        <is>
          <t>Male</t>
        </is>
      </c>
      <c r="C2016" s="6" t="inlineStr">
        <is>
          <t>34</t>
        </is>
      </c>
      <c r="D2016" s="5" t="inlineStr">
        <is>
          <t>Married</t>
        </is>
      </c>
      <c r="E2016" s="5" t="inlineStr">
        <is>
          <t>PhD</t>
        </is>
      </c>
      <c r="F2016" s="5" t="inlineStr">
        <is>
          <t>Sales</t>
        </is>
      </c>
      <c r="G2016" s="5" t="inlineStr">
        <is>
          <t>Account Executive</t>
        </is>
      </c>
      <c r="H2016" s="5" t="inlineStr">
        <is>
          <t>4</t>
        </is>
      </c>
      <c r="I2016" s="5" t="inlineStr">
        <is>
          <t>Bengaluru</t>
        </is>
      </c>
      <c r="J2016" s="5" t="inlineStr">
        <is>
          <t>Full-Time</t>
        </is>
      </c>
      <c r="K2016" s="7" t="n">
        <v>45773</v>
      </c>
      <c r="L2016" s="7" t="inlineStr"/>
      <c r="M2016" s="5" t="inlineStr">
        <is>
          <t>Yes</t>
        </is>
      </c>
      <c r="N2016" s="5" t="inlineStr"/>
      <c r="O2016" s="8" t="inlineStr">
        <is>
          <t>128000</t>
        </is>
      </c>
      <c r="P2016" s="5" t="inlineStr">
        <is>
          <t>0</t>
        </is>
      </c>
      <c r="Q2016" s="5" t="inlineStr">
        <is>
          <t>5</t>
        </is>
      </c>
      <c r="R2016" s="5" t="inlineStr">
        <is>
          <t>6</t>
        </is>
      </c>
      <c r="S2016" s="5" t="inlineStr">
        <is>
          <t>8</t>
        </is>
      </c>
      <c r="T2016" s="5" t="inlineStr">
        <is>
          <t>0</t>
        </is>
      </c>
      <c r="U2016" s="5" t="inlineStr">
        <is>
          <t>OK</t>
        </is>
      </c>
    </row>
    <row r="2017">
      <c r="A2017" s="5" t="inlineStr">
        <is>
          <t>E01197</t>
        </is>
      </c>
      <c r="B2017" s="5" t="inlineStr">
        <is>
          <t>Female</t>
        </is>
      </c>
      <c r="C2017" s="6" t="inlineStr">
        <is>
          <t>43</t>
        </is>
      </c>
      <c r="D2017" s="5" t="inlineStr">
        <is>
          <t>Married</t>
        </is>
      </c>
      <c r="E2017" s="5" t="inlineStr">
        <is>
          <t>Bachelor</t>
        </is>
      </c>
      <c r="F2017" s="5" t="inlineStr">
        <is>
          <t>Human Resources</t>
        </is>
      </c>
      <c r="G2017" s="5" t="inlineStr">
        <is>
          <t>HR Generalist</t>
        </is>
      </c>
      <c r="H2017" s="5" t="inlineStr">
        <is>
          <t>6</t>
        </is>
      </c>
      <c r="I2017" s="5" t="inlineStr">
        <is>
          <t>Chennai</t>
        </is>
      </c>
      <c r="J2017" s="5" t="inlineStr">
        <is>
          <t>Full-Time</t>
        </is>
      </c>
      <c r="K2017" s="7" t="n">
        <v>45921</v>
      </c>
      <c r="L2017" s="7" t="n">
        <v>46021</v>
      </c>
      <c r="M2017" s="5" t="inlineStr">
        <is>
          <t>No</t>
        </is>
      </c>
      <c r="N2017" s="5" t="inlineStr">
        <is>
          <t>Resigned</t>
        </is>
      </c>
      <c r="O2017" s="8" t="inlineStr">
        <is>
          <t>95500</t>
        </is>
      </c>
      <c r="P2017" s="5" t="inlineStr">
        <is>
          <t>15</t>
        </is>
      </c>
      <c r="Q2017" s="5" t="inlineStr">
        <is>
          <t>3</t>
        </is>
      </c>
      <c r="R2017" s="5" t="inlineStr">
        <is>
          <t>4</t>
        </is>
      </c>
      <c r="S2017" s="5" t="inlineStr">
        <is>
          <t>3</t>
        </is>
      </c>
      <c r="T2017" s="5" t="inlineStr">
        <is>
          <t>10</t>
        </is>
      </c>
      <c r="U2017" s="5" t="inlineStr">
        <is>
          <t>OK</t>
        </is>
      </c>
    </row>
    <row r="2018">
      <c r="A2018" s="5" t="inlineStr">
        <is>
          <t>E01522</t>
        </is>
      </c>
      <c r="B2018" s="5" t="inlineStr">
        <is>
          <t>Female</t>
        </is>
      </c>
      <c r="C2018" s="6" t="inlineStr">
        <is>
          <t>42</t>
        </is>
      </c>
      <c r="D2018" s="5" t="inlineStr">
        <is>
          <t>Married</t>
        </is>
      </c>
      <c r="E2018" s="5" t="inlineStr">
        <is>
          <t>Bachelor</t>
        </is>
      </c>
      <c r="F2018" s="5" t="inlineStr">
        <is>
          <t>Sales</t>
        </is>
      </c>
      <c r="G2018" s="5" t="inlineStr">
        <is>
          <t>Account Executive</t>
        </is>
      </c>
      <c r="H2018" s="5" t="inlineStr">
        <is>
          <t>5</t>
        </is>
      </c>
      <c r="I2018" s="5" t="inlineStr">
        <is>
          <t>Chennai</t>
        </is>
      </c>
      <c r="J2018" s="5" t="inlineStr">
        <is>
          <t>Full-Time</t>
        </is>
      </c>
      <c r="K2018" s="7" t="n">
        <v>45464</v>
      </c>
      <c r="L2018" s="7" t="inlineStr"/>
      <c r="M2018" s="5" t="inlineStr">
        <is>
          <t>Yes</t>
        </is>
      </c>
      <c r="N2018" s="5" t="inlineStr"/>
      <c r="O2018" s="8" t="inlineStr">
        <is>
          <t>112000</t>
        </is>
      </c>
      <c r="P2018" s="5" t="inlineStr">
        <is>
          <t>5</t>
        </is>
      </c>
      <c r="Q2018" s="5" t="inlineStr">
        <is>
          <t>4</t>
        </is>
      </c>
      <c r="R2018" s="5" t="inlineStr">
        <is>
          <t>7</t>
        </is>
      </c>
      <c r="S2018" s="5" t="inlineStr">
        <is>
          <t>18</t>
        </is>
      </c>
      <c r="T2018" s="5" t="inlineStr">
        <is>
          <t>6</t>
        </is>
      </c>
      <c r="U2018" s="5" t="inlineStr">
        <is>
          <t>OK</t>
        </is>
      </c>
    </row>
    <row r="2019">
      <c r="A2019" s="5" t="inlineStr">
        <is>
          <t>E01389</t>
        </is>
      </c>
      <c r="B2019" s="5" t="inlineStr">
        <is>
          <t>Female</t>
        </is>
      </c>
      <c r="C2019" s="6" t="inlineStr">
        <is>
          <t>42</t>
        </is>
      </c>
      <c r="D2019" s="5" t="inlineStr">
        <is>
          <t>Married</t>
        </is>
      </c>
      <c r="E2019" s="5" t="inlineStr">
        <is>
          <t>Master</t>
        </is>
      </c>
      <c r="F2019" s="5" t="inlineStr"/>
      <c r="G2019" s="5" t="inlineStr">
        <is>
          <t>Escalation Specialist</t>
        </is>
      </c>
      <c r="H2019" s="5" t="inlineStr">
        <is>
          <t>7</t>
        </is>
      </c>
      <c r="I2019" s="5" t="inlineStr">
        <is>
          <t>Remote</t>
        </is>
      </c>
      <c r="J2019" s="5" t="inlineStr">
        <is>
          <t>Full-Time</t>
        </is>
      </c>
      <c r="K2019" s="7" t="n">
        <v>45651</v>
      </c>
      <c r="L2019" s="7" t="inlineStr"/>
      <c r="M2019" s="5" t="inlineStr">
        <is>
          <t>Yes</t>
        </is>
      </c>
      <c r="N2019" s="5" t="inlineStr"/>
      <c r="O2019" s="8" t="inlineStr">
        <is>
          <t>106500</t>
        </is>
      </c>
      <c r="P2019" s="5" t="inlineStr">
        <is>
          <t>0</t>
        </is>
      </c>
      <c r="Q2019" s="5" t="inlineStr">
        <is>
          <t>3</t>
        </is>
      </c>
      <c r="R2019" s="5" t="inlineStr">
        <is>
          <t>5</t>
        </is>
      </c>
      <c r="S2019" s="5" t="inlineStr">
        <is>
          <t>12</t>
        </is>
      </c>
      <c r="T2019" s="5" t="inlineStr">
        <is>
          <t>11</t>
        </is>
      </c>
      <c r="U2019" s="5" t="inlineStr">
        <is>
          <t>Blank department</t>
        </is>
      </c>
    </row>
    <row r="2020">
      <c r="A2020" s="5" t="inlineStr">
        <is>
          <t>E00039</t>
        </is>
      </c>
      <c r="B2020" s="5" t="inlineStr">
        <is>
          <t>female</t>
        </is>
      </c>
      <c r="C2020" s="6" t="inlineStr">
        <is>
          <t>30</t>
        </is>
      </c>
      <c r="D2020" s="5" t="inlineStr">
        <is>
          <t>Married</t>
        </is>
      </c>
      <c r="E2020" s="5" t="inlineStr">
        <is>
          <t>Bachelor</t>
        </is>
      </c>
      <c r="F2020" s="5" t="inlineStr">
        <is>
          <t>Human Resources</t>
        </is>
      </c>
      <c r="G2020" s="5" t="inlineStr">
        <is>
          <t>HR Analyst</t>
        </is>
      </c>
      <c r="H2020" s="5" t="inlineStr">
        <is>
          <t>3</t>
        </is>
      </c>
      <c r="I2020" s="5" t="inlineStr">
        <is>
          <t>Bengaluru</t>
        </is>
      </c>
      <c r="J2020" s="5" t="inlineStr">
        <is>
          <t>Part-Time</t>
        </is>
      </c>
      <c r="K2020" s="7" t="n">
        <v>44013</v>
      </c>
      <c r="L2020" s="7" t="inlineStr"/>
      <c r="M2020" s="5" t="inlineStr">
        <is>
          <t>Yes</t>
        </is>
      </c>
      <c r="N2020" s="5" t="inlineStr"/>
      <c r="O2020" s="8" t="inlineStr">
        <is>
          <t>90500</t>
        </is>
      </c>
      <c r="P2020" s="5" t="inlineStr">
        <is>
          <t>5</t>
        </is>
      </c>
      <c r="Q2020" s="5" t="inlineStr">
        <is>
          <t>5</t>
        </is>
      </c>
      <c r="R2020" s="5" t="inlineStr">
        <is>
          <t>8</t>
        </is>
      </c>
      <c r="S2020" s="5" t="inlineStr">
        <is>
          <t>66</t>
        </is>
      </c>
      <c r="T2020" s="5" t="inlineStr">
        <is>
          <t>1</t>
        </is>
      </c>
      <c r="U2020" s="5" t="inlineStr">
        <is>
          <t>OK</t>
        </is>
      </c>
    </row>
    <row r="2021">
      <c r="A2021" s="5" t="inlineStr">
        <is>
          <t>E02205</t>
        </is>
      </c>
      <c r="B2021" s="5" t="inlineStr">
        <is>
          <t>Male</t>
        </is>
      </c>
      <c r="C2021" s="6" t="inlineStr">
        <is>
          <t>39</t>
        </is>
      </c>
      <c r="D2021" s="5" t="inlineStr">
        <is>
          <t>Married</t>
        </is>
      </c>
      <c r="E2021" s="5" t="inlineStr">
        <is>
          <t>Diploma</t>
        </is>
      </c>
      <c r="F2021" s="5" t="inlineStr">
        <is>
          <t>IT</t>
        </is>
      </c>
      <c r="G2021" s="5" t="inlineStr">
        <is>
          <t>DevOps Engineer</t>
        </is>
      </c>
      <c r="H2021" s="5" t="inlineStr">
        <is>
          <t>7</t>
        </is>
      </c>
      <c r="I2021" s="5" t="inlineStr">
        <is>
          <t>Mumbai</t>
        </is>
      </c>
      <c r="J2021" s="5" t="inlineStr">
        <is>
          <t>Full-Time</t>
        </is>
      </c>
      <c r="K2021" s="7" t="n">
        <v>45326</v>
      </c>
      <c r="L2021" s="7" t="inlineStr"/>
      <c r="M2021" s="5" t="inlineStr">
        <is>
          <t>Yes</t>
        </is>
      </c>
      <c r="N2021" s="5" t="inlineStr"/>
      <c r="O2021" s="8" t="inlineStr">
        <is>
          <t>191500</t>
        </is>
      </c>
      <c r="P2021" s="5" t="inlineStr">
        <is>
          <t>0</t>
        </is>
      </c>
      <c r="Q2021" s="5" t="inlineStr">
        <is>
          <t>4</t>
        </is>
      </c>
      <c r="R2021" s="5" t="inlineStr">
        <is>
          <t>7</t>
        </is>
      </c>
      <c r="S2021" s="5" t="inlineStr">
        <is>
          <t>23</t>
        </is>
      </c>
      <c r="T2021" s="5" t="inlineStr">
        <is>
          <t>12</t>
        </is>
      </c>
      <c r="U2021" s="5" t="inlineStr">
        <is>
          <t>OK</t>
        </is>
      </c>
    </row>
    <row r="2022">
      <c r="A2022" s="5" t="inlineStr">
        <is>
          <t>E02243</t>
        </is>
      </c>
      <c r="B2022" s="5" t="inlineStr">
        <is>
          <t>Male</t>
        </is>
      </c>
      <c r="C2022" s="6" t="inlineStr">
        <is>
          <t>42</t>
        </is>
      </c>
      <c r="D2022" s="5" t="inlineStr">
        <is>
          <t>Married</t>
        </is>
      </c>
      <c r="E2022" s="5" t="inlineStr">
        <is>
          <t>Diploma</t>
        </is>
      </c>
      <c r="F2022" s="5" t="inlineStr">
        <is>
          <t>Sales</t>
        </is>
      </c>
      <c r="G2022" s="5" t="inlineStr">
        <is>
          <t>Business Development</t>
        </is>
      </c>
      <c r="H2022" s="5" t="inlineStr">
        <is>
          <t>5</t>
        </is>
      </c>
      <c r="I2022" s="5" t="inlineStr">
        <is>
          <t>Hyderabad</t>
        </is>
      </c>
      <c r="J2022" s="5" t="inlineStr">
        <is>
          <t>Full-Time</t>
        </is>
      </c>
      <c r="K2022" s="7" t="n">
        <v>44602</v>
      </c>
      <c r="L2022" s="7" t="n">
        <v>44719</v>
      </c>
      <c r="M2022" s="5" t="inlineStr">
        <is>
          <t>No</t>
        </is>
      </c>
      <c r="N2022" s="5" t="inlineStr">
        <is>
          <t>Retirement</t>
        </is>
      </c>
      <c r="O2022" s="8" t="inlineStr">
        <is>
          <t>106000</t>
        </is>
      </c>
      <c r="P2022" s="5" t="inlineStr">
        <is>
          <t>0</t>
        </is>
      </c>
      <c r="Q2022" s="5" t="inlineStr">
        <is>
          <t>4</t>
        </is>
      </c>
      <c r="R2022" s="5" t="inlineStr">
        <is>
          <t>4</t>
        </is>
      </c>
      <c r="S2022" s="5" t="inlineStr">
        <is>
          <t>3</t>
        </is>
      </c>
      <c r="T2022" s="5" t="inlineStr">
        <is>
          <t>4</t>
        </is>
      </c>
      <c r="U2022" s="5" t="inlineStr">
        <is>
          <t>OK</t>
        </is>
      </c>
    </row>
    <row r="2023">
      <c r="A2023" s="5" t="inlineStr">
        <is>
          <t>E02264</t>
        </is>
      </c>
      <c r="B2023" s="5" t="inlineStr">
        <is>
          <t>Male</t>
        </is>
      </c>
      <c r="C2023" s="6" t="inlineStr">
        <is>
          <t>38</t>
        </is>
      </c>
      <c r="D2023" s="5" t="inlineStr">
        <is>
          <t>Married</t>
        </is>
      </c>
      <c r="E2023" s="5" t="inlineStr">
        <is>
          <t>PhD</t>
        </is>
      </c>
      <c r="F2023" s="5" t="inlineStr">
        <is>
          <t>Customer Support</t>
        </is>
      </c>
      <c r="G2023" s="5" t="inlineStr">
        <is>
          <t>Support Lead</t>
        </is>
      </c>
      <c r="H2023" s="5" t="inlineStr">
        <is>
          <t>5</t>
        </is>
      </c>
      <c r="I2023" s="5" t="inlineStr">
        <is>
          <t>Mumbai</t>
        </is>
      </c>
      <c r="J2023" s="5" t="inlineStr">
        <is>
          <t>Full-Time</t>
        </is>
      </c>
      <c r="K2023" s="7" t="n">
        <v>45810</v>
      </c>
      <c r="L2023" s="7" t="inlineStr"/>
      <c r="M2023" s="5" t="inlineStr">
        <is>
          <t>Yes</t>
        </is>
      </c>
      <c r="N2023" s="5" t="inlineStr"/>
      <c r="O2023" s="8" t="inlineStr">
        <is>
          <t>98500</t>
        </is>
      </c>
      <c r="P2023" s="5" t="inlineStr">
        <is>
          <t>5</t>
        </is>
      </c>
      <c r="Q2023" s="5" t="inlineStr">
        <is>
          <t>4</t>
        </is>
      </c>
      <c r="R2023" s="5" t="inlineStr">
        <is>
          <t>5</t>
        </is>
      </c>
      <c r="S2023" s="5" t="inlineStr">
        <is>
          <t>7</t>
        </is>
      </c>
      <c r="T2023" s="5" t="inlineStr">
        <is>
          <t>0</t>
        </is>
      </c>
      <c r="U2023" s="5" t="inlineStr">
        <is>
          <t>OK</t>
        </is>
      </c>
    </row>
    <row r="2024">
      <c r="A2024" s="5" t="inlineStr">
        <is>
          <t>E02803</t>
        </is>
      </c>
      <c r="B2024" s="5" t="inlineStr">
        <is>
          <t>Female</t>
        </is>
      </c>
      <c r="C2024" s="6" t="inlineStr">
        <is>
          <t>33</t>
        </is>
      </c>
      <c r="D2024" s="5" t="inlineStr">
        <is>
          <t>Married</t>
        </is>
      </c>
      <c r="E2024" s="5" t="inlineStr">
        <is>
          <t>High School</t>
        </is>
      </c>
      <c r="F2024" s="5" t="inlineStr">
        <is>
          <t>Operations</t>
        </is>
      </c>
      <c r="G2024" s="5" t="inlineStr">
        <is>
          <t>Quality Analyst</t>
        </is>
      </c>
      <c r="H2024" s="5" t="inlineStr">
        <is>
          <t>6</t>
        </is>
      </c>
      <c r="I2024" s="5" t="inlineStr">
        <is>
          <t>Remote</t>
        </is>
      </c>
      <c r="J2024" s="5" t="inlineStr">
        <is>
          <t>Full-Time</t>
        </is>
      </c>
      <c r="K2024" s="7" t="n">
        <v>45042</v>
      </c>
      <c r="L2024" s="7" t="inlineStr"/>
      <c r="M2024" s="5" t="inlineStr">
        <is>
          <t>Yes</t>
        </is>
      </c>
      <c r="N2024" s="5" t="inlineStr"/>
      <c r="O2024" s="8" t="inlineStr">
        <is>
          <t>140000</t>
        </is>
      </c>
      <c r="P2024" s="5" t="inlineStr">
        <is>
          <t>0</t>
        </is>
      </c>
      <c r="Q2024" s="5" t="inlineStr">
        <is>
          <t>4</t>
        </is>
      </c>
      <c r="R2024" s="5" t="inlineStr">
        <is>
          <t>5</t>
        </is>
      </c>
      <c r="S2024" s="5" t="inlineStr">
        <is>
          <t>32</t>
        </is>
      </c>
      <c r="T2024" s="5" t="inlineStr">
        <is>
          <t>7</t>
        </is>
      </c>
      <c r="U2024" s="5" t="inlineStr">
        <is>
          <t>OK</t>
        </is>
      </c>
    </row>
    <row r="2025">
      <c r="A2025" s="5" t="inlineStr">
        <is>
          <t>E01755</t>
        </is>
      </c>
      <c r="B2025" s="5" t="inlineStr">
        <is>
          <t>Unknown</t>
        </is>
      </c>
      <c r="C2025" s="6" t="inlineStr">
        <is>
          <t>27</t>
        </is>
      </c>
      <c r="D2025" s="5" t="inlineStr">
        <is>
          <t>Single</t>
        </is>
      </c>
      <c r="E2025" s="5" t="inlineStr">
        <is>
          <t>Master</t>
        </is>
      </c>
      <c r="F2025" s="5" t="inlineStr">
        <is>
          <t>Human Resources</t>
        </is>
      </c>
      <c r="G2025" s="5" t="inlineStr">
        <is>
          <t>HR Analyst</t>
        </is>
      </c>
      <c r="H2025" s="5" t="inlineStr">
        <is>
          <t>1</t>
        </is>
      </c>
      <c r="I2025" s="5" t="inlineStr">
        <is>
          <t>Chennai</t>
        </is>
      </c>
      <c r="J2025" s="5" t="inlineStr">
        <is>
          <t>Full-Time</t>
        </is>
      </c>
      <c r="K2025" s="7" t="n">
        <v>45721</v>
      </c>
      <c r="L2025" s="7" t="inlineStr"/>
      <c r="M2025" s="5" t="inlineStr">
        <is>
          <t>Yes</t>
        </is>
      </c>
      <c r="N2025" s="5" t="inlineStr"/>
      <c r="O2025" s="8" t="inlineStr">
        <is>
          <t>90000</t>
        </is>
      </c>
      <c r="P2025" s="5" t="inlineStr">
        <is>
          <t>0</t>
        </is>
      </c>
      <c r="Q2025" s="5" t="inlineStr">
        <is>
          <t>5</t>
        </is>
      </c>
      <c r="R2025" s="5" t="inlineStr">
        <is>
          <t>4</t>
        </is>
      </c>
      <c r="S2025" s="5" t="inlineStr">
        <is>
          <t>10</t>
        </is>
      </c>
      <c r="T2025" s="5" t="inlineStr">
        <is>
          <t>5</t>
        </is>
      </c>
      <c r="U2025" s="5" t="inlineStr">
        <is>
          <t>Bad gender</t>
        </is>
      </c>
    </row>
    <row r="2026">
      <c r="A2026" s="5" t="inlineStr">
        <is>
          <t>E00760</t>
        </is>
      </c>
      <c r="B2026" s="5" t="inlineStr">
        <is>
          <t>Male</t>
        </is>
      </c>
      <c r="C2026" s="6" t="inlineStr">
        <is>
          <t>41</t>
        </is>
      </c>
      <c r="D2026" s="5" t="inlineStr">
        <is>
          <t>Single</t>
        </is>
      </c>
      <c r="E2026" s="5" t="inlineStr">
        <is>
          <t>Master</t>
        </is>
      </c>
      <c r="F2026" s="5" t="inlineStr">
        <is>
          <t>Sales</t>
        </is>
      </c>
      <c r="G2026" s="5" t="inlineStr">
        <is>
          <t>Sales Executive</t>
        </is>
      </c>
      <c r="H2026" s="5" t="inlineStr">
        <is>
          <t>5</t>
        </is>
      </c>
      <c r="I2026" s="5" t="inlineStr">
        <is>
          <t>Delhi</t>
        </is>
      </c>
      <c r="J2026" s="5" t="inlineStr">
        <is>
          <t>Full-Time</t>
        </is>
      </c>
      <c r="K2026" s="7" t="n">
        <v>45228</v>
      </c>
      <c r="L2026" s="7" t="inlineStr"/>
      <c r="M2026" s="5" t="inlineStr">
        <is>
          <t>Yes</t>
        </is>
      </c>
      <c r="N2026" s="5" t="inlineStr"/>
      <c r="O2026" s="8" t="inlineStr">
        <is>
          <t>117500</t>
        </is>
      </c>
      <c r="P2026" s="5" t="inlineStr">
        <is>
          <t>15</t>
        </is>
      </c>
      <c r="Q2026" s="5" t="inlineStr">
        <is>
          <t>2</t>
        </is>
      </c>
      <c r="R2026" s="5" t="inlineStr">
        <is>
          <t>5</t>
        </is>
      </c>
      <c r="S2026" s="5" t="inlineStr">
        <is>
          <t>26</t>
        </is>
      </c>
      <c r="T2026" s="5" t="inlineStr">
        <is>
          <t>10</t>
        </is>
      </c>
      <c r="U2026" s="5" t="inlineStr">
        <is>
          <t>OK</t>
        </is>
      </c>
    </row>
    <row r="2027">
      <c r="A2027" s="5" t="inlineStr">
        <is>
          <t>E01775</t>
        </is>
      </c>
      <c r="B2027" s="5" t="inlineStr">
        <is>
          <t>Female</t>
        </is>
      </c>
      <c r="C2027" s="6" t="inlineStr">
        <is>
          <t>27</t>
        </is>
      </c>
      <c r="D2027" s="5" t="inlineStr">
        <is>
          <t>Married</t>
        </is>
      </c>
      <c r="E2027" s="5" t="inlineStr">
        <is>
          <t>Master</t>
        </is>
      </c>
      <c r="F2027" s="5" t="inlineStr">
        <is>
          <t>IT</t>
        </is>
      </c>
      <c r="G2027" s="5" t="inlineStr">
        <is>
          <t>IT Support</t>
        </is>
      </c>
      <c r="H2027" s="5" t="inlineStr">
        <is>
          <t>3</t>
        </is>
      </c>
      <c r="I2027" s="5" t="inlineStr">
        <is>
          <t>Remote</t>
        </is>
      </c>
      <c r="J2027" s="5" t="inlineStr">
        <is>
          <t>Full-Time</t>
        </is>
      </c>
      <c r="K2027" s="7" t="n">
        <v>44538</v>
      </c>
      <c r="L2027" s="7" t="inlineStr"/>
      <c r="M2027" s="5" t="inlineStr">
        <is>
          <t>Yes</t>
        </is>
      </c>
      <c r="N2027" s="5" t="inlineStr"/>
      <c r="O2027" s="8" t="inlineStr">
        <is>
          <t>145500</t>
        </is>
      </c>
      <c r="P2027" s="5" t="inlineStr">
        <is>
          <t>5</t>
        </is>
      </c>
      <c r="Q2027" s="5" t="inlineStr">
        <is>
          <t>3</t>
        </is>
      </c>
      <c r="R2027" s="5" t="inlineStr">
        <is>
          <t>7</t>
        </is>
      </c>
      <c r="S2027" s="5" t="inlineStr">
        <is>
          <t>49</t>
        </is>
      </c>
      <c r="T2027" s="5" t="inlineStr">
        <is>
          <t>1</t>
        </is>
      </c>
      <c r="U2027" s="5" t="inlineStr">
        <is>
          <t>OK</t>
        </is>
      </c>
    </row>
    <row r="2028">
      <c r="A2028" s="5" t="inlineStr">
        <is>
          <t>E02620</t>
        </is>
      </c>
      <c r="B2028" s="5" t="inlineStr">
        <is>
          <t>Female</t>
        </is>
      </c>
      <c r="C2028" s="6" t="inlineStr">
        <is>
          <t>29</t>
        </is>
      </c>
      <c r="D2028" s="5" t="inlineStr">
        <is>
          <t>Married</t>
        </is>
      </c>
      <c r="E2028" s="5" t="inlineStr">
        <is>
          <t>Bachelor</t>
        </is>
      </c>
      <c r="F2028" s="5" t="inlineStr">
        <is>
          <t>Customer Support</t>
        </is>
      </c>
      <c r="G2028" s="5" t="inlineStr">
        <is>
          <t>Support Lead</t>
        </is>
      </c>
      <c r="H2028" s="5" t="inlineStr">
        <is>
          <t>1</t>
        </is>
      </c>
      <c r="I2028" s="5" t="inlineStr">
        <is>
          <t>Chennai</t>
        </is>
      </c>
      <c r="J2028" s="5" t="inlineStr">
        <is>
          <t>Full-Time</t>
        </is>
      </c>
      <c r="K2028" s="7" t="n">
        <v>44906</v>
      </c>
      <c r="L2028" s="7" t="inlineStr"/>
      <c r="M2028" s="5" t="inlineStr">
        <is>
          <t>Yes</t>
        </is>
      </c>
      <c r="N2028" s="5" t="inlineStr"/>
      <c r="O2028" s="8" t="inlineStr">
        <is>
          <t>55500</t>
        </is>
      </c>
      <c r="P2028" s="5" t="inlineStr">
        <is>
          <t>5</t>
        </is>
      </c>
      <c r="Q2028" s="5" t="inlineStr">
        <is>
          <t>3</t>
        </is>
      </c>
      <c r="R2028" s="5" t="inlineStr">
        <is>
          <t>6</t>
        </is>
      </c>
      <c r="S2028" s="5" t="inlineStr">
        <is>
          <t>37</t>
        </is>
      </c>
      <c r="T2028" s="5" t="inlineStr">
        <is>
          <t>0</t>
        </is>
      </c>
      <c r="U2028" s="5" t="inlineStr">
        <is>
          <t>OK</t>
        </is>
      </c>
    </row>
    <row r="2029">
      <c r="A2029" s="5" t="inlineStr">
        <is>
          <t>E01105</t>
        </is>
      </c>
      <c r="B2029" s="5" t="inlineStr">
        <is>
          <t>Female</t>
        </is>
      </c>
      <c r="C2029" s="6" t="inlineStr">
        <is>
          <t>32</t>
        </is>
      </c>
      <c r="D2029" s="5" t="inlineStr">
        <is>
          <t>Married</t>
        </is>
      </c>
      <c r="E2029" s="5" t="inlineStr">
        <is>
          <t>Bachelor</t>
        </is>
      </c>
      <c r="F2029" s="5" t="inlineStr">
        <is>
          <t>Customer Support</t>
        </is>
      </c>
      <c r="G2029" s="5" t="inlineStr">
        <is>
          <t>Support Lead</t>
        </is>
      </c>
      <c r="H2029" s="5" t="inlineStr">
        <is>
          <t>1</t>
        </is>
      </c>
      <c r="I2029" s="5" t="inlineStr">
        <is>
          <t>Chennai</t>
        </is>
      </c>
      <c r="J2029" s="5" t="inlineStr">
        <is>
          <t>Full-Time</t>
        </is>
      </c>
      <c r="K2029" s="7" t="n">
        <v>44819</v>
      </c>
      <c r="L2029" s="7" t="inlineStr"/>
      <c r="M2029" s="5" t="inlineStr">
        <is>
          <t>Yes</t>
        </is>
      </c>
      <c r="N2029" s="5" t="inlineStr"/>
      <c r="O2029" s="8" t="inlineStr">
        <is>
          <t>56500</t>
        </is>
      </c>
      <c r="P2029" s="5" t="inlineStr">
        <is>
          <t>0</t>
        </is>
      </c>
      <c r="Q2029" s="5" t="inlineStr">
        <is>
          <t>2</t>
        </is>
      </c>
      <c r="R2029" s="5" t="inlineStr">
        <is>
          <t>7</t>
        </is>
      </c>
      <c r="S2029" s="5" t="inlineStr">
        <is>
          <t>40</t>
        </is>
      </c>
      <c r="T2029" s="5" t="inlineStr">
        <is>
          <t>0</t>
        </is>
      </c>
      <c r="U2029" s="5" t="inlineStr">
        <is>
          <t>OK</t>
        </is>
      </c>
    </row>
    <row r="2030">
      <c r="A2030" s="5" t="inlineStr">
        <is>
          <t>E02055</t>
        </is>
      </c>
      <c r="B2030" s="5" t="inlineStr">
        <is>
          <t>Female</t>
        </is>
      </c>
      <c r="C2030" s="6" t="inlineStr">
        <is>
          <t>32</t>
        </is>
      </c>
      <c r="D2030" s="5" t="inlineStr">
        <is>
          <t>Single</t>
        </is>
      </c>
      <c r="E2030" s="5" t="inlineStr">
        <is>
          <t>High School</t>
        </is>
      </c>
      <c r="F2030" s="5" t="inlineStr">
        <is>
          <t>IT</t>
        </is>
      </c>
      <c r="G2030" s="5" t="inlineStr">
        <is>
          <t>Software Engineer</t>
        </is>
      </c>
      <c r="H2030" s="5" t="inlineStr">
        <is>
          <t>3</t>
        </is>
      </c>
      <c r="I2030" s="5" t="inlineStr">
        <is>
          <t>Mumbai</t>
        </is>
      </c>
      <c r="J2030" s="5" t="inlineStr">
        <is>
          <t>Full-Time</t>
        </is>
      </c>
      <c r="K2030" s="7" t="n">
        <v>44892</v>
      </c>
      <c r="L2030" s="7" t="inlineStr"/>
      <c r="M2030" s="5" t="inlineStr">
        <is>
          <t>Yes</t>
        </is>
      </c>
      <c r="N2030" s="5" t="inlineStr"/>
      <c r="O2030" s="8" t="inlineStr">
        <is>
          <t>169000</t>
        </is>
      </c>
      <c r="P2030" s="5" t="inlineStr">
        <is>
          <t>10</t>
        </is>
      </c>
      <c r="Q2030" s="5" t="inlineStr">
        <is>
          <t>3</t>
        </is>
      </c>
      <c r="R2030" s="5" t="inlineStr">
        <is>
          <t>6</t>
        </is>
      </c>
      <c r="S2030" s="5" t="inlineStr">
        <is>
          <t>37</t>
        </is>
      </c>
      <c r="T2030" s="5" t="inlineStr">
        <is>
          <t>2</t>
        </is>
      </c>
      <c r="U2030" s="5" t="inlineStr">
        <is>
          <t>OK</t>
        </is>
      </c>
    </row>
    <row r="2031">
      <c r="A2031" s="5" t="inlineStr">
        <is>
          <t>E01717</t>
        </is>
      </c>
      <c r="B2031" s="5" t="inlineStr">
        <is>
          <t>Male</t>
        </is>
      </c>
      <c r="C2031" s="6" t="inlineStr">
        <is>
          <t>30</t>
        </is>
      </c>
      <c r="D2031" s="5" t="inlineStr">
        <is>
          <t>Married</t>
        </is>
      </c>
      <c r="E2031" s="5" t="inlineStr">
        <is>
          <t>PhD</t>
        </is>
      </c>
      <c r="F2031" s="5" t="inlineStr">
        <is>
          <t>Human Resources</t>
        </is>
      </c>
      <c r="G2031" s="5" t="inlineStr">
        <is>
          <t>Recruiter</t>
        </is>
      </c>
      <c r="H2031" s="5" t="inlineStr">
        <is>
          <t>1</t>
        </is>
      </c>
      <c r="I2031" s="5" t="inlineStr">
        <is>
          <t>Mumbai</t>
        </is>
      </c>
      <c r="J2031" s="5" t="inlineStr">
        <is>
          <t>Full-Time</t>
        </is>
      </c>
      <c r="K2031" s="7" t="n">
        <v>45286</v>
      </c>
      <c r="L2031" s="7" t="inlineStr"/>
      <c r="M2031" s="5" t="inlineStr">
        <is>
          <t>Yes</t>
        </is>
      </c>
      <c r="N2031" s="5" t="inlineStr"/>
      <c r="O2031" s="8" t="inlineStr">
        <is>
          <t>96000</t>
        </is>
      </c>
      <c r="P2031" s="5" t="inlineStr">
        <is>
          <t>15</t>
        </is>
      </c>
      <c r="Q2031" s="5" t="inlineStr">
        <is>
          <t>4</t>
        </is>
      </c>
      <c r="R2031" s="5" t="inlineStr">
        <is>
          <t>6</t>
        </is>
      </c>
      <c r="S2031" s="5" t="inlineStr">
        <is>
          <t>24</t>
        </is>
      </c>
      <c r="T2031" s="5" t="inlineStr">
        <is>
          <t>8</t>
        </is>
      </c>
      <c r="U2031" s="5" t="inlineStr">
        <is>
          <t>OK</t>
        </is>
      </c>
    </row>
    <row r="2032">
      <c r="A2032" s="5" t="inlineStr">
        <is>
          <t>E01017</t>
        </is>
      </c>
      <c r="B2032" s="5" t="inlineStr">
        <is>
          <t>Male</t>
        </is>
      </c>
      <c r="C2032" s="6" t="inlineStr">
        <is>
          <t>36</t>
        </is>
      </c>
      <c r="D2032" s="5" t="inlineStr">
        <is>
          <t>Single</t>
        </is>
      </c>
      <c r="E2032" s="5" t="inlineStr">
        <is>
          <t>High School</t>
        </is>
      </c>
      <c r="F2032" s="5" t="inlineStr">
        <is>
          <t>Human Resources</t>
        </is>
      </c>
      <c r="G2032" s="5" t="inlineStr">
        <is>
          <t>HR Generalist</t>
        </is>
      </c>
      <c r="H2032" s="5" t="inlineStr">
        <is>
          <t>5</t>
        </is>
      </c>
      <c r="I2032" s="5" t="inlineStr">
        <is>
          <t>Bengaluru</t>
        </is>
      </c>
      <c r="J2032" s="5" t="inlineStr">
        <is>
          <t>Full-Time</t>
        </is>
      </c>
      <c r="K2032" s="7" t="n">
        <v>45182</v>
      </c>
      <c r="L2032" s="7" t="inlineStr"/>
      <c r="M2032" s="5" t="inlineStr">
        <is>
          <t>Yes</t>
        </is>
      </c>
      <c r="N2032" s="5" t="inlineStr"/>
      <c r="O2032" s="8" t="inlineStr">
        <is>
          <t>139000</t>
        </is>
      </c>
      <c r="P2032" s="5" t="inlineStr">
        <is>
          <t>15</t>
        </is>
      </c>
      <c r="Q2032" s="5" t="inlineStr">
        <is>
          <t>2</t>
        </is>
      </c>
      <c r="R2032" s="5" t="inlineStr">
        <is>
          <t>5</t>
        </is>
      </c>
      <c r="S2032" s="5" t="inlineStr">
        <is>
          <t>28</t>
        </is>
      </c>
      <c r="T2032" s="5" t="inlineStr">
        <is>
          <t>5</t>
        </is>
      </c>
      <c r="U2032" s="5" t="inlineStr">
        <is>
          <t>OK</t>
        </is>
      </c>
    </row>
    <row r="2033">
      <c r="A2033" s="5" t="inlineStr">
        <is>
          <t>E01928</t>
        </is>
      </c>
      <c r="B2033" s="5" t="inlineStr">
        <is>
          <t>Male</t>
        </is>
      </c>
      <c r="C2033" s="6" t="inlineStr">
        <is>
          <t>27</t>
        </is>
      </c>
      <c r="D2033" s="5" t="inlineStr">
        <is>
          <t>Divorced</t>
        </is>
      </c>
      <c r="E2033" s="5" t="inlineStr">
        <is>
          <t>Master</t>
        </is>
      </c>
      <c r="F2033" s="5" t="inlineStr">
        <is>
          <t>Marketing</t>
        </is>
      </c>
      <c r="G2033" s="5" t="inlineStr">
        <is>
          <t>SEO Specialist</t>
        </is>
      </c>
      <c r="H2033" s="5" t="inlineStr">
        <is>
          <t>1</t>
        </is>
      </c>
      <c r="I2033" s="5" t="inlineStr">
        <is>
          <t>Delhi</t>
        </is>
      </c>
      <c r="J2033" s="5" t="inlineStr">
        <is>
          <t>Full-Time</t>
        </is>
      </c>
      <c r="K2033" s="7" t="n">
        <v>44388</v>
      </c>
      <c r="L2033" s="7" t="inlineStr"/>
      <c r="M2033" s="5" t="inlineStr">
        <is>
          <t>Yes</t>
        </is>
      </c>
      <c r="N2033" s="5" t="inlineStr"/>
      <c r="O2033" s="8" t="inlineStr">
        <is>
          <t>81500</t>
        </is>
      </c>
      <c r="P2033" s="5" t="inlineStr">
        <is>
          <t>0</t>
        </is>
      </c>
      <c r="Q2033" s="5" t="inlineStr">
        <is>
          <t>4</t>
        </is>
      </c>
      <c r="R2033" s="5" t="inlineStr">
        <is>
          <t>8</t>
        </is>
      </c>
      <c r="S2033" s="5" t="inlineStr">
        <is>
          <t>54</t>
        </is>
      </c>
      <c r="T2033" s="5" t="inlineStr">
        <is>
          <t>2</t>
        </is>
      </c>
      <c r="U2033" s="5" t="inlineStr">
        <is>
          <t>OK</t>
        </is>
      </c>
    </row>
    <row r="2034">
      <c r="A2034" s="5" t="inlineStr">
        <is>
          <t>E00056</t>
        </is>
      </c>
      <c r="B2034" s="5" t="inlineStr">
        <is>
          <t>Female</t>
        </is>
      </c>
      <c r="C2034" s="6" t="inlineStr">
        <is>
          <t>25</t>
        </is>
      </c>
      <c r="D2034" s="5" t="inlineStr">
        <is>
          <t>Single</t>
        </is>
      </c>
      <c r="E2034" s="5" t="inlineStr">
        <is>
          <t>High School</t>
        </is>
      </c>
      <c r="F2034" s="5" t="inlineStr">
        <is>
          <t>Customer Support</t>
        </is>
      </c>
      <c r="G2034" s="5" t="inlineStr">
        <is>
          <t>Support Lead</t>
        </is>
      </c>
      <c r="H2034" s="5" t="inlineStr">
        <is>
          <t>2</t>
        </is>
      </c>
      <c r="I2034" s="5" t="inlineStr">
        <is>
          <t>Mumbai</t>
        </is>
      </c>
      <c r="J2034" s="5" t="inlineStr">
        <is>
          <t>Full-Time</t>
        </is>
      </c>
      <c r="K2034" s="7" t="n">
        <v>44285</v>
      </c>
      <c r="L2034" s="7" t="n">
        <v>44369</v>
      </c>
      <c r="M2034" s="5" t="inlineStr">
        <is>
          <t>No</t>
        </is>
      </c>
      <c r="N2034" s="5" t="inlineStr">
        <is>
          <t>Retirement</t>
        </is>
      </c>
      <c r="O2034" s="8" t="inlineStr">
        <is>
          <t>57000</t>
        </is>
      </c>
      <c r="P2034" s="5" t="inlineStr">
        <is>
          <t>0</t>
        </is>
      </c>
      <c r="Q2034" s="5" t="inlineStr">
        <is>
          <t>3</t>
        </is>
      </c>
      <c r="R2034" s="5" t="inlineStr">
        <is>
          <t>9</t>
        </is>
      </c>
      <c r="S2034" s="5" t="inlineStr">
        <is>
          <t>2</t>
        </is>
      </c>
      <c r="T2034" s="5" t="inlineStr">
        <is>
          <t>9</t>
        </is>
      </c>
      <c r="U2034" s="5" t="inlineStr">
        <is>
          <t>OK</t>
        </is>
      </c>
    </row>
    <row r="2035">
      <c r="A2035" s="5" t="inlineStr">
        <is>
          <t>E02792</t>
        </is>
      </c>
      <c r="B2035" s="5" t="inlineStr">
        <is>
          <t>Male</t>
        </is>
      </c>
      <c r="C2035" s="6" t="inlineStr">
        <is>
          <t>28</t>
        </is>
      </c>
      <c r="D2035" s="5" t="inlineStr">
        <is>
          <t>Married</t>
        </is>
      </c>
      <c r="E2035" s="5" t="inlineStr">
        <is>
          <t>Bachelor</t>
        </is>
      </c>
      <c r="F2035" s="5" t="inlineStr">
        <is>
          <t>IT</t>
        </is>
      </c>
      <c r="G2035" s="5" t="inlineStr">
        <is>
          <t>IT Support</t>
        </is>
      </c>
      <c r="H2035" s="5" t="inlineStr">
        <is>
          <t>3</t>
        </is>
      </c>
      <c r="I2035" s="5" t="inlineStr">
        <is>
          <t>Hyderabad</t>
        </is>
      </c>
      <c r="J2035" s="5" t="inlineStr">
        <is>
          <t>Full-Time</t>
        </is>
      </c>
      <c r="K2035" s="7" t="n">
        <v>44811</v>
      </c>
      <c r="L2035" s="7" t="inlineStr"/>
      <c r="M2035" s="5" t="inlineStr">
        <is>
          <t>Yes</t>
        </is>
      </c>
      <c r="N2035" s="5" t="inlineStr"/>
      <c r="O2035" s="8" t="inlineStr">
        <is>
          <t>159000</t>
        </is>
      </c>
      <c r="P2035" s="5" t="inlineStr">
        <is>
          <t>10</t>
        </is>
      </c>
      <c r="Q2035" s="5" t="inlineStr">
        <is>
          <t>3</t>
        </is>
      </c>
      <c r="R2035" s="5" t="inlineStr">
        <is>
          <t>6</t>
        </is>
      </c>
      <c r="S2035" s="5" t="inlineStr">
        <is>
          <t>40</t>
        </is>
      </c>
      <c r="T2035" s="5" t="inlineStr">
        <is>
          <t>17</t>
        </is>
      </c>
      <c r="U2035" s="5" t="inlineStr">
        <is>
          <t>OK</t>
        </is>
      </c>
    </row>
    <row r="2036">
      <c r="A2036" s="5" t="inlineStr">
        <is>
          <t>E01513</t>
        </is>
      </c>
      <c r="B2036" s="5" t="inlineStr">
        <is>
          <t>Female</t>
        </is>
      </c>
      <c r="C2036" s="6" t="inlineStr">
        <is>
          <t>31</t>
        </is>
      </c>
      <c r="D2036" s="5" t="inlineStr">
        <is>
          <t>Married</t>
        </is>
      </c>
      <c r="E2036" s="5" t="inlineStr">
        <is>
          <t>Diploma</t>
        </is>
      </c>
      <c r="F2036" s="5" t="inlineStr">
        <is>
          <t>IT</t>
        </is>
      </c>
      <c r="G2036" s="5" t="inlineStr">
        <is>
          <t>IT Support</t>
        </is>
      </c>
      <c r="H2036" s="5" t="inlineStr">
        <is>
          <t>3</t>
        </is>
      </c>
      <c r="I2036" s="5" t="inlineStr">
        <is>
          <t>Bengaluru</t>
        </is>
      </c>
      <c r="J2036" s="5" t="inlineStr">
        <is>
          <t>Full-Time</t>
        </is>
      </c>
      <c r="K2036" s="7" t="n">
        <v>44130</v>
      </c>
      <c r="L2036" s="7" t="inlineStr"/>
      <c r="M2036" s="5" t="inlineStr">
        <is>
          <t>Yes</t>
        </is>
      </c>
      <c r="N2036" s="5" t="inlineStr"/>
      <c r="O2036" s="8" t="inlineStr">
        <is>
          <t>135000</t>
        </is>
      </c>
      <c r="P2036" s="5" t="inlineStr">
        <is>
          <t>0</t>
        </is>
      </c>
      <c r="Q2036" s="5" t="inlineStr">
        <is>
          <t>3</t>
        </is>
      </c>
      <c r="R2036" s="5" t="inlineStr">
        <is>
          <t>4</t>
        </is>
      </c>
      <c r="S2036" s="5" t="inlineStr">
        <is>
          <t>63</t>
        </is>
      </c>
      <c r="T2036" s="5" t="inlineStr">
        <is>
          <t>11</t>
        </is>
      </c>
      <c r="U2036" s="5" t="inlineStr">
        <is>
          <t>OK</t>
        </is>
      </c>
    </row>
    <row r="2037">
      <c r="A2037" s="5" t="inlineStr">
        <is>
          <t>E02128</t>
        </is>
      </c>
      <c r="B2037" s="5" t="inlineStr">
        <is>
          <t>Female</t>
        </is>
      </c>
      <c r="C2037" s="6" t="inlineStr">
        <is>
          <t>34</t>
        </is>
      </c>
      <c r="D2037" s="5" t="inlineStr">
        <is>
          <t>Married</t>
        </is>
      </c>
      <c r="E2037" s="5" t="inlineStr">
        <is>
          <t>Diploma</t>
        </is>
      </c>
      <c r="F2037" s="5" t="inlineStr">
        <is>
          <t>Research &amp; Development</t>
        </is>
      </c>
      <c r="G2037" s="5" t="inlineStr">
        <is>
          <t>Product Engineer</t>
        </is>
      </c>
      <c r="H2037" s="5" t="inlineStr">
        <is>
          <t>4</t>
        </is>
      </c>
      <c r="I2037" s="5" t="inlineStr">
        <is>
          <t>Hyderabad</t>
        </is>
      </c>
      <c r="J2037" s="5" t="inlineStr">
        <is>
          <t>Full-Time</t>
        </is>
      </c>
      <c r="K2037" s="7" t="n">
        <v>45612</v>
      </c>
      <c r="L2037" s="7" t="inlineStr"/>
      <c r="M2037" s="5" t="inlineStr">
        <is>
          <t>Yes</t>
        </is>
      </c>
      <c r="N2037" s="5" t="inlineStr"/>
      <c r="O2037" s="8" t="inlineStr">
        <is>
          <t>178500</t>
        </is>
      </c>
      <c r="P2037" s="5" t="inlineStr">
        <is>
          <t>0</t>
        </is>
      </c>
      <c r="Q2037" s="5" t="inlineStr">
        <is>
          <t>3</t>
        </is>
      </c>
      <c r="R2037" s="5" t="inlineStr">
        <is>
          <t>9</t>
        </is>
      </c>
      <c r="S2037" s="5" t="inlineStr">
        <is>
          <t>13</t>
        </is>
      </c>
      <c r="T2037" s="5" t="inlineStr">
        <is>
          <t>4</t>
        </is>
      </c>
      <c r="U2037" s="5" t="inlineStr">
        <is>
          <t>OK</t>
        </is>
      </c>
    </row>
    <row r="2038">
      <c r="A2038" s="5" t="inlineStr">
        <is>
          <t>E01462</t>
        </is>
      </c>
      <c r="B2038" s="5" t="inlineStr">
        <is>
          <t>Female</t>
        </is>
      </c>
      <c r="C2038" s="6" t="inlineStr">
        <is>
          <t>33</t>
        </is>
      </c>
      <c r="D2038" s="5" t="inlineStr">
        <is>
          <t>Married</t>
        </is>
      </c>
      <c r="E2038" s="5" t="inlineStr">
        <is>
          <t>High School</t>
        </is>
      </c>
      <c r="F2038" s="5" t="inlineStr">
        <is>
          <t>Operations</t>
        </is>
      </c>
      <c r="G2038" s="5" t="inlineStr">
        <is>
          <t>Quality Analyst</t>
        </is>
      </c>
      <c r="H2038" s="5" t="inlineStr">
        <is>
          <t>3</t>
        </is>
      </c>
      <c r="I2038" s="5" t="inlineStr">
        <is>
          <t>Remote</t>
        </is>
      </c>
      <c r="J2038" s="5" t="inlineStr">
        <is>
          <t>Full-Time</t>
        </is>
      </c>
      <c r="K2038" s="7" t="n">
        <v>45413</v>
      </c>
      <c r="L2038" s="7" t="inlineStr"/>
      <c r="M2038" s="5" t="inlineStr">
        <is>
          <t>Yes</t>
        </is>
      </c>
      <c r="N2038" s="5" t="inlineStr"/>
      <c r="O2038" s="8" t="inlineStr">
        <is>
          <t>91500</t>
        </is>
      </c>
      <c r="P2038" s="5" t="inlineStr">
        <is>
          <t>10</t>
        </is>
      </c>
      <c r="Q2038" s="5" t="inlineStr">
        <is>
          <t>4</t>
        </is>
      </c>
      <c r="R2038" s="5" t="inlineStr">
        <is>
          <t>6</t>
        </is>
      </c>
      <c r="S2038" s="5" t="inlineStr">
        <is>
          <t>20</t>
        </is>
      </c>
      <c r="T2038" s="5" t="inlineStr">
        <is>
          <t>9</t>
        </is>
      </c>
      <c r="U2038" s="5" t="inlineStr">
        <is>
          <t>OK</t>
        </is>
      </c>
    </row>
    <row r="2039">
      <c r="A2039" s="5" t="inlineStr">
        <is>
          <t>E00408</t>
        </is>
      </c>
      <c r="B2039" s="5" t="inlineStr">
        <is>
          <t>Male</t>
        </is>
      </c>
      <c r="C2039" s="6" t="inlineStr">
        <is>
          <t>29</t>
        </is>
      </c>
      <c r="D2039" s="5" t="inlineStr">
        <is>
          <t>Married</t>
        </is>
      </c>
      <c r="E2039" s="5" t="inlineStr">
        <is>
          <t>PhD</t>
        </is>
      </c>
      <c r="F2039" s="5" t="inlineStr">
        <is>
          <t>Operations</t>
        </is>
      </c>
      <c r="G2039" s="5" t="inlineStr">
        <is>
          <t>Operations Analyst</t>
        </is>
      </c>
      <c r="H2039" s="5" t="inlineStr">
        <is>
          <t>2</t>
        </is>
      </c>
      <c r="I2039" s="5" t="inlineStr">
        <is>
          <t>Delhi</t>
        </is>
      </c>
      <c r="J2039" s="5" t="inlineStr">
        <is>
          <t>Full-Time</t>
        </is>
      </c>
      <c r="K2039" s="7" t="n">
        <v>44266</v>
      </c>
      <c r="L2039" s="7" t="inlineStr"/>
      <c r="M2039" s="5" t="inlineStr">
        <is>
          <t>Yes</t>
        </is>
      </c>
      <c r="N2039" s="5" t="inlineStr"/>
      <c r="O2039" s="8" t="inlineStr">
        <is>
          <t>101000</t>
        </is>
      </c>
      <c r="P2039" s="5" t="inlineStr">
        <is>
          <t>0</t>
        </is>
      </c>
      <c r="Q2039" s="5" t="inlineStr">
        <is>
          <t>3</t>
        </is>
      </c>
      <c r="R2039" s="5" t="inlineStr">
        <is>
          <t>4</t>
        </is>
      </c>
      <c r="S2039" s="5" t="inlineStr">
        <is>
          <t>58</t>
        </is>
      </c>
      <c r="T2039" s="5" t="inlineStr">
        <is>
          <t>6</t>
        </is>
      </c>
      <c r="U2039" s="5" t="inlineStr">
        <is>
          <t>OK</t>
        </is>
      </c>
    </row>
    <row r="2040">
      <c r="A2040" s="5" t="inlineStr">
        <is>
          <t>E02784</t>
        </is>
      </c>
      <c r="B2040" s="5" t="inlineStr">
        <is>
          <t>Male</t>
        </is>
      </c>
      <c r="C2040" s="6" t="inlineStr">
        <is>
          <t>27</t>
        </is>
      </c>
      <c r="D2040" s="5" t="inlineStr">
        <is>
          <t>Married</t>
        </is>
      </c>
      <c r="E2040" s="5" t="inlineStr">
        <is>
          <t>Diploma</t>
        </is>
      </c>
      <c r="F2040" s="5" t="inlineStr">
        <is>
          <t>Research &amp; Development</t>
        </is>
      </c>
      <c r="G2040" s="5" t="inlineStr">
        <is>
          <t>Data Scientist</t>
        </is>
      </c>
      <c r="H2040" s="5" t="inlineStr">
        <is>
          <t>2</t>
        </is>
      </c>
      <c r="I2040" s="5" t="inlineStr">
        <is>
          <t>Bengaluru</t>
        </is>
      </c>
      <c r="J2040" s="5" t="inlineStr">
        <is>
          <t>Full-Time</t>
        </is>
      </c>
      <c r="K2040" s="7" t="n">
        <v>45420</v>
      </c>
      <c r="L2040" s="7" t="inlineStr"/>
      <c r="M2040" s="5" t="inlineStr">
        <is>
          <t>Yes</t>
        </is>
      </c>
      <c r="N2040" s="5" t="inlineStr"/>
      <c r="O2040" s="8" t="inlineStr">
        <is>
          <t>155500</t>
        </is>
      </c>
      <c r="P2040" s="5" t="inlineStr">
        <is>
          <t>0</t>
        </is>
      </c>
      <c r="Q2040" s="5" t="inlineStr">
        <is>
          <t>3</t>
        </is>
      </c>
      <c r="R2040" s="5" t="inlineStr">
        <is>
          <t>3</t>
        </is>
      </c>
      <c r="S2040" s="5" t="inlineStr">
        <is>
          <t>20</t>
        </is>
      </c>
      <c r="T2040" s="5" t="inlineStr">
        <is>
          <t>8</t>
        </is>
      </c>
      <c r="U2040" s="5" t="inlineStr">
        <is>
          <t>OK</t>
        </is>
      </c>
    </row>
    <row r="2041">
      <c r="A2041" s="5" t="inlineStr">
        <is>
          <t>E02610</t>
        </is>
      </c>
      <c r="B2041" s="5" t="inlineStr">
        <is>
          <t>Female</t>
        </is>
      </c>
      <c r="C2041" s="6" t="inlineStr">
        <is>
          <t>31</t>
        </is>
      </c>
      <c r="D2041" s="5" t="inlineStr">
        <is>
          <t>Divorced</t>
        </is>
      </c>
      <c r="E2041" s="5" t="inlineStr">
        <is>
          <t>Bachelor</t>
        </is>
      </c>
      <c r="F2041" s="5" t="inlineStr">
        <is>
          <t>Finance</t>
        </is>
      </c>
      <c r="G2041" s="5" t="inlineStr">
        <is>
          <t>Accountant</t>
        </is>
      </c>
      <c r="H2041" s="5" t="inlineStr">
        <is>
          <t>5</t>
        </is>
      </c>
      <c r="I2041" s="5" t="inlineStr">
        <is>
          <t>Chennai</t>
        </is>
      </c>
      <c r="J2041" s="5" t="inlineStr">
        <is>
          <t>Full-Time</t>
        </is>
      </c>
      <c r="K2041" s="7" t="n">
        <v>44092</v>
      </c>
      <c r="L2041" s="7" t="inlineStr"/>
      <c r="M2041" s="5" t="inlineStr">
        <is>
          <t>Yes</t>
        </is>
      </c>
      <c r="N2041" s="5" t="inlineStr"/>
      <c r="O2041" s="8" t="inlineStr">
        <is>
          <t>171000</t>
        </is>
      </c>
      <c r="P2041" s="5" t="inlineStr">
        <is>
          <t>0</t>
        </is>
      </c>
      <c r="Q2041" s="5" t="inlineStr">
        <is>
          <t>5</t>
        </is>
      </c>
      <c r="R2041" s="5" t="inlineStr">
        <is>
          <t>7</t>
        </is>
      </c>
      <c r="S2041" s="5" t="inlineStr">
        <is>
          <t>64</t>
        </is>
      </c>
      <c r="T2041" s="5" t="inlineStr">
        <is>
          <t>16</t>
        </is>
      </c>
      <c r="U2041" s="5" t="inlineStr">
        <is>
          <t>OK</t>
        </is>
      </c>
    </row>
    <row r="2042">
      <c r="A2042" s="5" t="inlineStr">
        <is>
          <t>E01001</t>
        </is>
      </c>
      <c r="B2042" s="5" t="inlineStr">
        <is>
          <t>Male</t>
        </is>
      </c>
      <c r="C2042" s="6" t="inlineStr">
        <is>
          <t>37</t>
        </is>
      </c>
      <c r="D2042" s="5" t="inlineStr">
        <is>
          <t>Single</t>
        </is>
      </c>
      <c r="E2042" s="5" t="inlineStr">
        <is>
          <t>Diploma</t>
        </is>
      </c>
      <c r="F2042" s="5" t="inlineStr">
        <is>
          <t>Customer Support</t>
        </is>
      </c>
      <c r="G2042" s="5" t="inlineStr">
        <is>
          <t>Support Agent</t>
        </is>
      </c>
      <c r="H2042" s="5" t="inlineStr">
        <is>
          <t>4</t>
        </is>
      </c>
      <c r="I2042" s="5" t="inlineStr">
        <is>
          <t>Delhi</t>
        </is>
      </c>
      <c r="J2042" s="5" t="inlineStr">
        <is>
          <t>Full-Time</t>
        </is>
      </c>
      <c r="K2042" s="7" t="n">
        <v>44748</v>
      </c>
      <c r="L2042" s="7" t="inlineStr"/>
      <c r="M2042" s="5" t="inlineStr">
        <is>
          <t>Yes</t>
        </is>
      </c>
      <c r="N2042" s="5" t="inlineStr"/>
      <c r="O2042" s="8" t="inlineStr">
        <is>
          <t>75000</t>
        </is>
      </c>
      <c r="P2042" s="5" t="inlineStr">
        <is>
          <t>0</t>
        </is>
      </c>
      <c r="Q2042" s="5" t="inlineStr">
        <is>
          <t>4</t>
        </is>
      </c>
      <c r="R2042" s="5" t="inlineStr">
        <is>
          <t>3</t>
        </is>
      </c>
      <c r="S2042" s="5" t="inlineStr">
        <is>
          <t>42</t>
        </is>
      </c>
      <c r="T2042" s="5" t="inlineStr">
        <is>
          <t>11</t>
        </is>
      </c>
      <c r="U2042" s="5" t="inlineStr">
        <is>
          <t>OK</t>
        </is>
      </c>
    </row>
    <row r="2043">
      <c r="A2043" s="5" t="inlineStr">
        <is>
          <t>E00215</t>
        </is>
      </c>
      <c r="B2043" s="5" t="inlineStr">
        <is>
          <t>Male</t>
        </is>
      </c>
      <c r="C2043" s="6" t="inlineStr">
        <is>
          <t>34</t>
        </is>
      </c>
      <c r="D2043" s="5" t="inlineStr">
        <is>
          <t>Married</t>
        </is>
      </c>
      <c r="E2043" s="5" t="inlineStr">
        <is>
          <t>Diploma</t>
        </is>
      </c>
      <c r="F2043" s="5" t="inlineStr">
        <is>
          <t>Operations</t>
        </is>
      </c>
      <c r="G2043" s="5" t="inlineStr">
        <is>
          <t>Quality Analyst</t>
        </is>
      </c>
      <c r="H2043" s="5" t="inlineStr">
        <is>
          <t>1</t>
        </is>
      </c>
      <c r="I2043" s="5" t="inlineStr">
        <is>
          <t>Mumbai</t>
        </is>
      </c>
      <c r="J2043" s="5" t="inlineStr">
        <is>
          <t>Full-Time</t>
        </is>
      </c>
      <c r="K2043" s="7" t="n">
        <v>45998</v>
      </c>
      <c r="L2043" s="7" t="inlineStr"/>
      <c r="M2043" s="5" t="inlineStr">
        <is>
          <t>Yes</t>
        </is>
      </c>
      <c r="N2043" s="5" t="inlineStr"/>
      <c r="O2043" s="8" t="inlineStr">
        <is>
          <t>81000</t>
        </is>
      </c>
      <c r="P2043" s="5" t="inlineStr">
        <is>
          <t>5</t>
        </is>
      </c>
      <c r="Q2043" s="5" t="inlineStr">
        <is>
          <t>4</t>
        </is>
      </c>
      <c r="R2043" s="5" t="inlineStr">
        <is>
          <t>7</t>
        </is>
      </c>
      <c r="S2043" s="5" t="inlineStr">
        <is>
          <t>1</t>
        </is>
      </c>
      <c r="T2043" s="5" t="inlineStr">
        <is>
          <t>11</t>
        </is>
      </c>
      <c r="U2043" s="5" t="inlineStr">
        <is>
          <t>OK</t>
        </is>
      </c>
    </row>
    <row r="2044">
      <c r="A2044" s="5" t="inlineStr">
        <is>
          <t>E00704</t>
        </is>
      </c>
      <c r="B2044" s="5" t="inlineStr">
        <is>
          <t>Female</t>
        </is>
      </c>
      <c r="C2044" s="6" t="inlineStr">
        <is>
          <t>42</t>
        </is>
      </c>
      <c r="D2044" s="5" t="inlineStr">
        <is>
          <t>Single</t>
        </is>
      </c>
      <c r="E2044" s="5" t="inlineStr">
        <is>
          <t>Master</t>
        </is>
      </c>
      <c r="F2044" s="5" t="inlineStr">
        <is>
          <t>IT</t>
        </is>
      </c>
      <c r="G2044" s="5" t="inlineStr">
        <is>
          <t>DevOps Engineer</t>
        </is>
      </c>
      <c r="H2044" s="5" t="inlineStr">
        <is>
          <t>5</t>
        </is>
      </c>
      <c r="I2044" s="5" t="inlineStr">
        <is>
          <t>Delhi</t>
        </is>
      </c>
      <c r="J2044" s="5" t="inlineStr">
        <is>
          <t>Full-Time</t>
        </is>
      </c>
      <c r="K2044" s="7" t="n">
        <v>44705</v>
      </c>
      <c r="L2044" s="7" t="inlineStr"/>
      <c r="M2044" s="5" t="inlineStr">
        <is>
          <t>Yes</t>
        </is>
      </c>
      <c r="N2044" s="5" t="inlineStr"/>
      <c r="O2044" s="8" t="inlineStr">
        <is>
          <t>190000</t>
        </is>
      </c>
      <c r="P2044" s="5" t="inlineStr">
        <is>
          <t>5</t>
        </is>
      </c>
      <c r="Q2044" s="5" t="inlineStr">
        <is>
          <t>4</t>
        </is>
      </c>
      <c r="R2044" s="5" t="inlineStr">
        <is>
          <t>3</t>
        </is>
      </c>
      <c r="S2044" s="5" t="inlineStr">
        <is>
          <t>43</t>
        </is>
      </c>
      <c r="T2044" s="5" t="inlineStr">
        <is>
          <t>16</t>
        </is>
      </c>
      <c r="U2044" s="5" t="inlineStr">
        <is>
          <t>OK</t>
        </is>
      </c>
    </row>
    <row r="2045">
      <c r="A2045" s="5" t="inlineStr">
        <is>
          <t>E02104</t>
        </is>
      </c>
      <c r="B2045" s="5" t="inlineStr">
        <is>
          <t>Female</t>
        </is>
      </c>
      <c r="C2045" s="6" t="inlineStr">
        <is>
          <t>27</t>
        </is>
      </c>
      <c r="D2045" s="5" t="inlineStr">
        <is>
          <t>Married</t>
        </is>
      </c>
      <c r="E2045" s="5" t="inlineStr">
        <is>
          <t>Diploma</t>
        </is>
      </c>
      <c r="F2045" s="5" t="inlineStr">
        <is>
          <t>Sales</t>
        </is>
      </c>
      <c r="G2045" s="5" t="inlineStr">
        <is>
          <t>Account Executive</t>
        </is>
      </c>
      <c r="H2045" s="5" t="inlineStr">
        <is>
          <t>1</t>
        </is>
      </c>
      <c r="I2045" s="5" t="inlineStr">
        <is>
          <t>Mumbai</t>
        </is>
      </c>
      <c r="J2045" s="5" t="inlineStr">
        <is>
          <t>Full-Time</t>
        </is>
      </c>
      <c r="K2045" s="7" t="n">
        <v>45322</v>
      </c>
      <c r="L2045" s="7" t="inlineStr"/>
      <c r="M2045" s="5" t="inlineStr">
        <is>
          <t>Yes</t>
        </is>
      </c>
      <c r="N2045" s="5" t="inlineStr"/>
      <c r="O2045" s="8" t="inlineStr">
        <is>
          <t>100500</t>
        </is>
      </c>
      <c r="P2045" s="5" t="inlineStr">
        <is>
          <t>0</t>
        </is>
      </c>
      <c r="Q2045" s="5" t="inlineStr">
        <is>
          <t>2</t>
        </is>
      </c>
      <c r="R2045" s="5" t="inlineStr">
        <is>
          <t>6</t>
        </is>
      </c>
      <c r="S2045" s="5" t="inlineStr">
        <is>
          <t>23</t>
        </is>
      </c>
      <c r="T2045" s="5" t="inlineStr">
        <is>
          <t>0</t>
        </is>
      </c>
      <c r="U2045" s="5" t="inlineStr">
        <is>
          <t>OK</t>
        </is>
      </c>
    </row>
    <row r="2046">
      <c r="A2046" s="5" t="inlineStr">
        <is>
          <t>E00038</t>
        </is>
      </c>
      <c r="B2046" s="5" t="inlineStr">
        <is>
          <t>Male</t>
        </is>
      </c>
      <c r="C2046" s="6" t="inlineStr">
        <is>
          <t>28</t>
        </is>
      </c>
      <c r="D2046" s="5" t="inlineStr">
        <is>
          <t>Single</t>
        </is>
      </c>
      <c r="E2046" s="5" t="inlineStr">
        <is>
          <t>Bachelor</t>
        </is>
      </c>
      <c r="F2046" s="5" t="inlineStr">
        <is>
          <t>Research &amp; Development</t>
        </is>
      </c>
      <c r="G2046" s="5" t="inlineStr">
        <is>
          <t>Research Scientist</t>
        </is>
      </c>
      <c r="H2046" s="5" t="inlineStr">
        <is>
          <t>2</t>
        </is>
      </c>
      <c r="I2046" s="5" t="inlineStr">
        <is>
          <t>Hyderabad</t>
        </is>
      </c>
      <c r="J2046" s="5" t="inlineStr">
        <is>
          <t>Full-Time</t>
        </is>
      </c>
      <c r="K2046" s="7" t="n">
        <v>43877</v>
      </c>
      <c r="L2046" s="7" t="inlineStr"/>
      <c r="M2046" s="5" t="inlineStr">
        <is>
          <t>Yes</t>
        </is>
      </c>
      <c r="N2046" s="5" t="inlineStr"/>
      <c r="O2046" s="8" t="inlineStr">
        <is>
          <t>112000</t>
        </is>
      </c>
      <c r="P2046" s="5" t="inlineStr">
        <is>
          <t>5</t>
        </is>
      </c>
      <c r="Q2046" s="5" t="inlineStr">
        <is>
          <t>5</t>
        </is>
      </c>
      <c r="R2046" s="5" t="inlineStr">
        <is>
          <t>7</t>
        </is>
      </c>
      <c r="S2046" s="5" t="inlineStr">
        <is>
          <t>71</t>
        </is>
      </c>
      <c r="T2046" s="5" t="inlineStr">
        <is>
          <t>14</t>
        </is>
      </c>
      <c r="U2046" s="5" t="inlineStr">
        <is>
          <t>OK</t>
        </is>
      </c>
    </row>
    <row r="2047">
      <c r="A2047" s="5" t="inlineStr">
        <is>
          <t>E01889</t>
        </is>
      </c>
      <c r="B2047" s="5" t="inlineStr">
        <is>
          <t>Male</t>
        </is>
      </c>
      <c r="C2047" s="6" t="inlineStr">
        <is>
          <t>29</t>
        </is>
      </c>
      <c r="D2047" s="5" t="inlineStr">
        <is>
          <t>Married</t>
        </is>
      </c>
      <c r="E2047" s="5" t="inlineStr">
        <is>
          <t>High School</t>
        </is>
      </c>
      <c r="F2047" s="5" t="inlineStr">
        <is>
          <t>Finance</t>
        </is>
      </c>
      <c r="G2047" s="5" t="inlineStr">
        <is>
          <t>Accountant</t>
        </is>
      </c>
      <c r="H2047" s="5" t="inlineStr">
        <is>
          <t>1</t>
        </is>
      </c>
      <c r="I2047" s="5" t="inlineStr">
        <is>
          <t>Bengaluru</t>
        </is>
      </c>
      <c r="J2047" s="5" t="inlineStr">
        <is>
          <t>Full-Time</t>
        </is>
      </c>
      <c r="K2047" s="7" t="n">
        <v>44606</v>
      </c>
      <c r="L2047" s="7" t="inlineStr"/>
      <c r="M2047" s="5" t="inlineStr">
        <is>
          <t>Yes</t>
        </is>
      </c>
      <c r="N2047" s="5" t="inlineStr"/>
      <c r="O2047" s="8" t="inlineStr">
        <is>
          <t>73000</t>
        </is>
      </c>
      <c r="P2047" s="5" t="inlineStr">
        <is>
          <t>5</t>
        </is>
      </c>
      <c r="Q2047" s="5" t="inlineStr">
        <is>
          <t>3</t>
        </is>
      </c>
      <c r="R2047" s="5" t="inlineStr">
        <is>
          <t>2</t>
        </is>
      </c>
      <c r="S2047" s="5" t="inlineStr">
        <is>
          <t>47</t>
        </is>
      </c>
      <c r="T2047" s="5" t="inlineStr">
        <is>
          <t>0</t>
        </is>
      </c>
      <c r="U2047" s="5" t="inlineStr">
        <is>
          <t>OK</t>
        </is>
      </c>
    </row>
    <row r="2048">
      <c r="A2048" s="5" t="inlineStr">
        <is>
          <t>E01901</t>
        </is>
      </c>
      <c r="B2048" s="5" t="inlineStr">
        <is>
          <t>Male</t>
        </is>
      </c>
      <c r="C2048" s="6" t="inlineStr">
        <is>
          <t>30</t>
        </is>
      </c>
      <c r="D2048" s="5" t="inlineStr">
        <is>
          <t>Married</t>
        </is>
      </c>
      <c r="E2048" s="5" t="inlineStr">
        <is>
          <t>Diploma</t>
        </is>
      </c>
      <c r="F2048" s="5" t="inlineStr">
        <is>
          <t>Research &amp; Development</t>
        </is>
      </c>
      <c r="G2048" s="5" t="inlineStr">
        <is>
          <t>Product Engineer</t>
        </is>
      </c>
      <c r="H2048" s="5" t="inlineStr">
        <is>
          <t>2</t>
        </is>
      </c>
      <c r="I2048" s="5" t="inlineStr">
        <is>
          <t>Remote</t>
        </is>
      </c>
      <c r="J2048" s="5" t="inlineStr">
        <is>
          <t>Full-Time</t>
        </is>
      </c>
      <c r="K2048" s="7" t="n">
        <v>44120</v>
      </c>
      <c r="L2048" s="7" t="inlineStr"/>
      <c r="M2048" s="5" t="inlineStr">
        <is>
          <t>Yes</t>
        </is>
      </c>
      <c r="N2048" s="5" t="inlineStr"/>
      <c r="O2048" s="8" t="inlineStr">
        <is>
          <t>147500</t>
        </is>
      </c>
      <c r="P2048" s="5" t="inlineStr">
        <is>
          <t>0</t>
        </is>
      </c>
      <c r="Q2048" s="5" t="inlineStr">
        <is>
          <t>5</t>
        </is>
      </c>
      <c r="R2048" s="5" t="inlineStr">
        <is>
          <t>4</t>
        </is>
      </c>
      <c r="S2048" s="5" t="inlineStr">
        <is>
          <t>63</t>
        </is>
      </c>
      <c r="T2048" s="5" t="inlineStr">
        <is>
          <t>10</t>
        </is>
      </c>
      <c r="U2048" s="5" t="inlineStr">
        <is>
          <t>Duplicate</t>
        </is>
      </c>
    </row>
    <row r="2049">
      <c r="A2049" s="5" t="inlineStr">
        <is>
          <t>E02176</t>
        </is>
      </c>
      <c r="B2049" s="5" t="inlineStr">
        <is>
          <t>Male</t>
        </is>
      </c>
      <c r="C2049" s="6" t="inlineStr">
        <is>
          <t>28</t>
        </is>
      </c>
      <c r="D2049" s="5" t="inlineStr">
        <is>
          <t>Single</t>
        </is>
      </c>
      <c r="E2049" s="5" t="inlineStr">
        <is>
          <t>Master</t>
        </is>
      </c>
      <c r="F2049" s="5" t="inlineStr">
        <is>
          <t>Customer Support</t>
        </is>
      </c>
      <c r="G2049" s="5" t="inlineStr">
        <is>
          <t>Escalation Specialist</t>
        </is>
      </c>
      <c r="H2049" s="5" t="inlineStr">
        <is>
          <t>1</t>
        </is>
      </c>
      <c r="I2049" s="5" t="inlineStr">
        <is>
          <t>Remote</t>
        </is>
      </c>
      <c r="J2049" s="5" t="inlineStr">
        <is>
          <t>Part-Time</t>
        </is>
      </c>
      <c r="K2049" s="7" t="n">
        <v>45540</v>
      </c>
      <c r="L2049" s="7" t="inlineStr"/>
      <c r="M2049" s="5" t="inlineStr">
        <is>
          <t>Yes</t>
        </is>
      </c>
      <c r="N2049" s="5" t="inlineStr"/>
      <c r="O2049" s="8" t="inlineStr">
        <is>
          <t>67500</t>
        </is>
      </c>
      <c r="P2049" s="5" t="inlineStr">
        <is>
          <t>15</t>
        </is>
      </c>
      <c r="Q2049" s="5" t="inlineStr">
        <is>
          <t>2</t>
        </is>
      </c>
      <c r="R2049" s="5" t="inlineStr">
        <is>
          <t>7</t>
        </is>
      </c>
      <c r="S2049" s="5" t="inlineStr">
        <is>
          <t>16</t>
        </is>
      </c>
      <c r="T2049" s="5" t="inlineStr">
        <is>
          <t>5</t>
        </is>
      </c>
      <c r="U2049" s="5" t="inlineStr">
        <is>
          <t>OK</t>
        </is>
      </c>
    </row>
    <row r="2050">
      <c r="A2050" s="5" t="inlineStr">
        <is>
          <t>E02675</t>
        </is>
      </c>
      <c r="B2050" s="5" t="inlineStr">
        <is>
          <t>Male</t>
        </is>
      </c>
      <c r="C2050" s="6" t="inlineStr">
        <is>
          <t>32</t>
        </is>
      </c>
      <c r="D2050" s="5" t="inlineStr">
        <is>
          <t>Married</t>
        </is>
      </c>
      <c r="E2050" s="5" t="inlineStr">
        <is>
          <t>Diploma</t>
        </is>
      </c>
      <c r="F2050" s="5" t="inlineStr">
        <is>
          <t>IT</t>
        </is>
      </c>
      <c r="G2050" s="5" t="inlineStr">
        <is>
          <t>Data Analyst</t>
        </is>
      </c>
      <c r="H2050" s="5" t="inlineStr">
        <is>
          <t>3</t>
        </is>
      </c>
      <c r="I2050" s="5" t="inlineStr">
        <is>
          <t>Remote</t>
        </is>
      </c>
      <c r="J2050" s="5" t="inlineStr">
        <is>
          <t>Full-Time</t>
        </is>
      </c>
      <c r="K2050" s="7" t="n">
        <v>45436</v>
      </c>
      <c r="L2050" s="7" t="inlineStr"/>
      <c r="M2050" s="5" t="inlineStr">
        <is>
          <t>Yes</t>
        </is>
      </c>
      <c r="N2050" s="5" t="inlineStr"/>
      <c r="O2050" s="8" t="inlineStr">
        <is>
          <t>173500</t>
        </is>
      </c>
      <c r="P2050" s="5" t="inlineStr">
        <is>
          <t>20</t>
        </is>
      </c>
      <c r="Q2050" s="5" t="inlineStr">
        <is>
          <t>4</t>
        </is>
      </c>
      <c r="R2050" s="5" t="inlineStr">
        <is>
          <t>7</t>
        </is>
      </c>
      <c r="S2050" s="5" t="inlineStr">
        <is>
          <t>19</t>
        </is>
      </c>
      <c r="T2050" s="5" t="inlineStr">
        <is>
          <t>0</t>
        </is>
      </c>
      <c r="U2050" s="5" t="inlineStr">
        <is>
          <t>OK</t>
        </is>
      </c>
    </row>
    <row r="2051">
      <c r="A2051" s="5" t="inlineStr">
        <is>
          <t>E02201</t>
        </is>
      </c>
      <c r="B2051" s="5" t="inlineStr">
        <is>
          <t>Female</t>
        </is>
      </c>
      <c r="C2051" s="6" t="inlineStr">
        <is>
          <t>39</t>
        </is>
      </c>
      <c r="D2051" s="5" t="inlineStr">
        <is>
          <t>Divorced</t>
        </is>
      </c>
      <c r="E2051" s="5" t="inlineStr">
        <is>
          <t>Bachelor</t>
        </is>
      </c>
      <c r="F2051" s="5" t="inlineStr">
        <is>
          <t>IT</t>
        </is>
      </c>
      <c r="G2051" s="5" t="inlineStr">
        <is>
          <t>Software Engineer</t>
        </is>
      </c>
      <c r="H2051" s="5" t="inlineStr">
        <is>
          <t>4</t>
        </is>
      </c>
      <c r="I2051" s="5" t="inlineStr">
        <is>
          <t>Hyderabad</t>
        </is>
      </c>
      <c r="J2051" s="5" t="inlineStr">
        <is>
          <t>Full-Time</t>
        </is>
      </c>
      <c r="K2051" s="7" t="n">
        <v>43862</v>
      </c>
      <c r="L2051" s="7" t="n">
        <v>44006</v>
      </c>
      <c r="M2051" s="5" t="inlineStr">
        <is>
          <t>No</t>
        </is>
      </c>
      <c r="N2051" s="5" t="inlineStr">
        <is>
          <t>Resigned</t>
        </is>
      </c>
      <c r="O2051" s="8" t="inlineStr">
        <is>
          <t>177500</t>
        </is>
      </c>
      <c r="P2051" s="5" t="inlineStr">
        <is>
          <t>10</t>
        </is>
      </c>
      <c r="Q2051" s="5" t="inlineStr">
        <is>
          <t>5</t>
        </is>
      </c>
      <c r="R2051" s="5" t="inlineStr">
        <is>
          <t>5</t>
        </is>
      </c>
      <c r="S2051" s="5" t="inlineStr">
        <is>
          <t>4</t>
        </is>
      </c>
      <c r="T2051" s="5" t="inlineStr">
        <is>
          <t>4</t>
        </is>
      </c>
      <c r="U2051" s="5" t="inlineStr">
        <is>
          <t>OK</t>
        </is>
      </c>
    </row>
    <row r="2052">
      <c r="A2052" s="5" t="inlineStr">
        <is>
          <t>E02418</t>
        </is>
      </c>
      <c r="B2052" s="5" t="inlineStr">
        <is>
          <t>Male</t>
        </is>
      </c>
      <c r="C2052" s="6" t="inlineStr">
        <is>
          <t>31</t>
        </is>
      </c>
      <c r="D2052" s="5" t="inlineStr">
        <is>
          <t>Married</t>
        </is>
      </c>
      <c r="E2052" s="5" t="inlineStr">
        <is>
          <t>PhD</t>
        </is>
      </c>
      <c r="F2052" s="5" t="inlineStr">
        <is>
          <t>Marketing</t>
        </is>
      </c>
      <c r="G2052" s="5" t="inlineStr">
        <is>
          <t>Marketing Analyst</t>
        </is>
      </c>
      <c r="H2052" s="5" t="inlineStr">
        <is>
          <t>2</t>
        </is>
      </c>
      <c r="I2052" s="5" t="inlineStr">
        <is>
          <t>Bengaluru</t>
        </is>
      </c>
      <c r="J2052" s="5" t="inlineStr">
        <is>
          <t>Full-Time</t>
        </is>
      </c>
      <c r="K2052" s="7" t="n">
        <v>43907</v>
      </c>
      <c r="L2052" s="7" t="inlineStr"/>
      <c r="M2052" s="5" t="inlineStr">
        <is>
          <t>Yes</t>
        </is>
      </c>
      <c r="N2052" s="5" t="inlineStr"/>
      <c r="O2052" s="8" t="inlineStr">
        <is>
          <t>67000</t>
        </is>
      </c>
      <c r="P2052" s="5" t="inlineStr">
        <is>
          <t>15</t>
        </is>
      </c>
      <c r="Q2052" s="5" t="inlineStr">
        <is>
          <t>2</t>
        </is>
      </c>
      <c r="R2052" s="5" t="inlineStr">
        <is>
          <t>6</t>
        </is>
      </c>
      <c r="S2052" s="5" t="inlineStr">
        <is>
          <t>70</t>
        </is>
      </c>
      <c r="T2052" s="5" t="inlineStr">
        <is>
          <t>0</t>
        </is>
      </c>
      <c r="U2052" s="5" t="inlineStr">
        <is>
          <t>OK</t>
        </is>
      </c>
    </row>
    <row r="2053">
      <c r="A2053" s="5" t="inlineStr">
        <is>
          <t>E01528</t>
        </is>
      </c>
      <c r="B2053" s="5" t="inlineStr">
        <is>
          <t>Male</t>
        </is>
      </c>
      <c r="C2053" s="6" t="inlineStr">
        <is>
          <t>26</t>
        </is>
      </c>
      <c r="D2053" s="5" t="inlineStr">
        <is>
          <t>Married</t>
        </is>
      </c>
      <c r="E2053" s="5" t="inlineStr">
        <is>
          <t>Bachelor</t>
        </is>
      </c>
      <c r="F2053" s="5" t="inlineStr">
        <is>
          <t>Operations</t>
        </is>
      </c>
      <c r="G2053" s="5" t="inlineStr">
        <is>
          <t>Logistics Coordinator</t>
        </is>
      </c>
      <c r="H2053" s="5" t="inlineStr">
        <is>
          <t>1</t>
        </is>
      </c>
      <c r="I2053" s="5" t="inlineStr">
        <is>
          <t>Remote</t>
        </is>
      </c>
      <c r="J2053" s="5" t="inlineStr">
        <is>
          <t>Contract</t>
        </is>
      </c>
      <c r="K2053" s="7" t="n">
        <v>44566</v>
      </c>
      <c r="L2053" s="7" t="inlineStr"/>
      <c r="M2053" s="5" t="inlineStr">
        <is>
          <t>Yes</t>
        </is>
      </c>
      <c r="N2053" s="5" t="inlineStr"/>
      <c r="O2053" s="8" t="inlineStr">
        <is>
          <t>89500</t>
        </is>
      </c>
      <c r="P2053" s="5" t="inlineStr">
        <is>
          <t>0</t>
        </is>
      </c>
      <c r="Q2053" s="5" t="inlineStr">
        <is>
          <t>5</t>
        </is>
      </c>
      <c r="R2053" s="5" t="inlineStr">
        <is>
          <t>6</t>
        </is>
      </c>
      <c r="S2053" s="5" t="inlineStr">
        <is>
          <t>48</t>
        </is>
      </c>
      <c r="T2053" s="5" t="inlineStr">
        <is>
          <t>6</t>
        </is>
      </c>
      <c r="U2053" s="5" t="inlineStr">
        <is>
          <t>OK</t>
        </is>
      </c>
    </row>
    <row r="2054">
      <c r="A2054" s="5" t="inlineStr">
        <is>
          <t>E02936</t>
        </is>
      </c>
      <c r="B2054" s="5" t="inlineStr">
        <is>
          <t>Female</t>
        </is>
      </c>
      <c r="C2054" s="6" t="inlineStr">
        <is>
          <t>35</t>
        </is>
      </c>
      <c r="D2054" s="5" t="inlineStr">
        <is>
          <t>Married</t>
        </is>
      </c>
      <c r="E2054" s="5" t="inlineStr">
        <is>
          <t>High School</t>
        </is>
      </c>
      <c r="F2054" s="5" t="inlineStr">
        <is>
          <t>Finance</t>
        </is>
      </c>
      <c r="G2054" s="5" t="inlineStr">
        <is>
          <t>Financial Analyst</t>
        </is>
      </c>
      <c r="H2054" s="5" t="inlineStr">
        <is>
          <t>3</t>
        </is>
      </c>
      <c r="I2054" s="5" t="inlineStr">
        <is>
          <t>Delhi</t>
        </is>
      </c>
      <c r="J2054" s="5" t="inlineStr">
        <is>
          <t>Full-Time</t>
        </is>
      </c>
      <c r="K2054" s="7" t="n">
        <v>45848</v>
      </c>
      <c r="L2054" s="7" t="inlineStr"/>
      <c r="M2054" s="5" t="inlineStr">
        <is>
          <t>Yes</t>
        </is>
      </c>
      <c r="N2054" s="5" t="inlineStr"/>
      <c r="O2054" s="8" t="inlineStr">
        <is>
          <t>112500</t>
        </is>
      </c>
      <c r="P2054" s="5" t="inlineStr">
        <is>
          <t>10</t>
        </is>
      </c>
      <c r="Q2054" s="5" t="inlineStr">
        <is>
          <t>3</t>
        </is>
      </c>
      <c r="R2054" s="5" t="inlineStr">
        <is>
          <t>6</t>
        </is>
      </c>
      <c r="S2054" s="5" t="inlineStr">
        <is>
          <t>5</t>
        </is>
      </c>
      <c r="T2054" s="5" t="inlineStr">
        <is>
          <t>10</t>
        </is>
      </c>
      <c r="U2054" s="5" t="inlineStr">
        <is>
          <t>OK</t>
        </is>
      </c>
    </row>
    <row r="2055">
      <c r="A2055" s="5" t="inlineStr">
        <is>
          <t>E01436</t>
        </is>
      </c>
      <c r="B2055" s="5" t="inlineStr">
        <is>
          <t>Male</t>
        </is>
      </c>
      <c r="C2055" s="6" t="inlineStr">
        <is>
          <t>34</t>
        </is>
      </c>
      <c r="D2055" s="5" t="inlineStr">
        <is>
          <t>Married</t>
        </is>
      </c>
      <c r="E2055" s="5" t="inlineStr">
        <is>
          <t>Diploma</t>
        </is>
      </c>
      <c r="F2055" s="5" t="inlineStr">
        <is>
          <t>Operations</t>
        </is>
      </c>
      <c r="G2055" s="5" t="inlineStr">
        <is>
          <t>Quality Analyst</t>
        </is>
      </c>
      <c r="H2055" s="5" t="inlineStr">
        <is>
          <t>5</t>
        </is>
      </c>
      <c r="I2055" s="5" t="inlineStr">
        <is>
          <t>Bengaluru</t>
        </is>
      </c>
      <c r="J2055" s="5" t="inlineStr">
        <is>
          <t>Full-Time</t>
        </is>
      </c>
      <c r="K2055" s="7" t="n">
        <v>45253</v>
      </c>
      <c r="L2055" s="7" t="inlineStr"/>
      <c r="M2055" s="5" t="inlineStr">
        <is>
          <t>Yes</t>
        </is>
      </c>
      <c r="N2055" s="5" t="inlineStr"/>
      <c r="O2055" s="8" t="inlineStr"/>
      <c r="P2055" s="5" t="inlineStr">
        <is>
          <t>0</t>
        </is>
      </c>
      <c r="Q2055" s="5" t="inlineStr">
        <is>
          <t>4</t>
        </is>
      </c>
      <c r="R2055" s="5" t="inlineStr">
        <is>
          <t>3</t>
        </is>
      </c>
      <c r="S2055" s="5" t="inlineStr">
        <is>
          <t>25</t>
        </is>
      </c>
      <c r="T2055" s="5" t="inlineStr">
        <is>
          <t>4</t>
        </is>
      </c>
      <c r="U2055" s="5" t="inlineStr">
        <is>
          <t>Blank salary</t>
        </is>
      </c>
    </row>
    <row r="2056">
      <c r="A2056" s="5" t="inlineStr">
        <is>
          <t>E02401</t>
        </is>
      </c>
      <c r="B2056" s="5" t="inlineStr">
        <is>
          <t>Female</t>
        </is>
      </c>
      <c r="C2056" s="6" t="inlineStr">
        <is>
          <t>33</t>
        </is>
      </c>
      <c r="D2056" s="5" t="inlineStr">
        <is>
          <t>Married</t>
        </is>
      </c>
      <c r="E2056" s="5" t="inlineStr">
        <is>
          <t>High School</t>
        </is>
      </c>
      <c r="F2056" s="5" t="inlineStr">
        <is>
          <t>Research &amp; Development</t>
        </is>
      </c>
      <c r="G2056" s="5" t="inlineStr">
        <is>
          <t>Research Scientist</t>
        </is>
      </c>
      <c r="H2056" s="5" t="inlineStr">
        <is>
          <t>2</t>
        </is>
      </c>
      <c r="I2056" s="5" t="inlineStr">
        <is>
          <t>Bengaluru</t>
        </is>
      </c>
      <c r="J2056" s="5" t="inlineStr">
        <is>
          <t>Full-Time</t>
        </is>
      </c>
      <c r="K2056" s="7" t="n">
        <v>45567</v>
      </c>
      <c r="L2056" s="7" t="inlineStr"/>
      <c r="M2056" s="5" t="inlineStr">
        <is>
          <t>Yes</t>
        </is>
      </c>
      <c r="N2056" s="5" t="inlineStr"/>
      <c r="O2056" s="8" t="inlineStr">
        <is>
          <t>144500</t>
        </is>
      </c>
      <c r="P2056" s="5" t="inlineStr">
        <is>
          <t>0</t>
        </is>
      </c>
      <c r="Q2056" s="5" t="inlineStr">
        <is>
          <t>3</t>
        </is>
      </c>
      <c r="R2056" s="5" t="inlineStr">
        <is>
          <t>6</t>
        </is>
      </c>
      <c r="S2056" s="5" t="inlineStr">
        <is>
          <t>15</t>
        </is>
      </c>
      <c r="T2056" s="5" t="inlineStr">
        <is>
          <t>13</t>
        </is>
      </c>
      <c r="U2056" s="5" t="inlineStr">
        <is>
          <t>OK</t>
        </is>
      </c>
    </row>
    <row r="2057">
      <c r="A2057" s="5" t="inlineStr">
        <is>
          <t>E00441</t>
        </is>
      </c>
      <c r="B2057" s="5" t="inlineStr">
        <is>
          <t>Male</t>
        </is>
      </c>
      <c r="C2057" s="6" t="inlineStr">
        <is>
          <t>29</t>
        </is>
      </c>
      <c r="D2057" s="5" t="inlineStr">
        <is>
          <t>Married</t>
        </is>
      </c>
      <c r="E2057" s="5" t="inlineStr">
        <is>
          <t>High School</t>
        </is>
      </c>
      <c r="F2057" s="5" t="inlineStr">
        <is>
          <t>Sales</t>
        </is>
      </c>
      <c r="G2057" s="5" t="inlineStr">
        <is>
          <t>Business Development</t>
        </is>
      </c>
      <c r="H2057" s="5" t="inlineStr">
        <is>
          <t>3</t>
        </is>
      </c>
      <c r="I2057" s="5" t="inlineStr">
        <is>
          <t>Mumbai</t>
        </is>
      </c>
      <c r="J2057" s="5" t="inlineStr">
        <is>
          <t>Contract</t>
        </is>
      </c>
      <c r="K2057" s="7" t="n">
        <v>44456</v>
      </c>
      <c r="L2057" s="7" t="inlineStr"/>
      <c r="M2057" s="5" t="inlineStr">
        <is>
          <t>Yes</t>
        </is>
      </c>
      <c r="N2057" s="5" t="inlineStr"/>
      <c r="O2057" s="8" t="inlineStr">
        <is>
          <t>109500</t>
        </is>
      </c>
      <c r="P2057" s="5" t="inlineStr">
        <is>
          <t>10</t>
        </is>
      </c>
      <c r="Q2057" s="5" t="inlineStr">
        <is>
          <t>4</t>
        </is>
      </c>
      <c r="R2057" s="5" t="inlineStr">
        <is>
          <t>7</t>
        </is>
      </c>
      <c r="S2057" s="5" t="inlineStr">
        <is>
          <t>52</t>
        </is>
      </c>
      <c r="T2057" s="5" t="inlineStr">
        <is>
          <t>9</t>
        </is>
      </c>
      <c r="U2057" s="5" t="inlineStr">
        <is>
          <t>OK</t>
        </is>
      </c>
    </row>
    <row r="2058">
      <c r="A2058" s="5" t="inlineStr">
        <is>
          <t>E02886</t>
        </is>
      </c>
      <c r="B2058" s="5" t="inlineStr">
        <is>
          <t>Female</t>
        </is>
      </c>
      <c r="C2058" s="6" t="inlineStr">
        <is>
          <t>25</t>
        </is>
      </c>
      <c r="D2058" s="5" t="inlineStr">
        <is>
          <t>Married</t>
        </is>
      </c>
      <c r="E2058" s="5" t="inlineStr">
        <is>
          <t>High School</t>
        </is>
      </c>
      <c r="F2058" s="5" t="inlineStr">
        <is>
          <t>Finance</t>
        </is>
      </c>
      <c r="G2058" s="5" t="inlineStr">
        <is>
          <t>Financial Analyst</t>
        </is>
      </c>
      <c r="H2058" s="5" t="inlineStr">
        <is>
          <t>1</t>
        </is>
      </c>
      <c r="I2058" s="5" t="inlineStr">
        <is>
          <t>Remote</t>
        </is>
      </c>
      <c r="J2058" s="5" t="inlineStr">
        <is>
          <t>Full-Time</t>
        </is>
      </c>
      <c r="K2058" s="7" t="n">
        <v>44356</v>
      </c>
      <c r="L2058" s="7" t="inlineStr"/>
      <c r="M2058" s="5" t="inlineStr">
        <is>
          <t>Yes</t>
        </is>
      </c>
      <c r="N2058" s="5" t="inlineStr"/>
      <c r="O2058" s="8" t="inlineStr">
        <is>
          <t>111000</t>
        </is>
      </c>
      <c r="P2058" s="5" t="inlineStr">
        <is>
          <t>0</t>
        </is>
      </c>
      <c r="Q2058" s="5" t="inlineStr">
        <is>
          <t>5</t>
        </is>
      </c>
      <c r="R2058" s="5" t="inlineStr">
        <is>
          <t>5</t>
        </is>
      </c>
      <c r="S2058" s="5" t="inlineStr">
        <is>
          <t>55</t>
        </is>
      </c>
      <c r="T2058" s="5" t="inlineStr">
        <is>
          <t>11</t>
        </is>
      </c>
      <c r="U2058" s="5" t="inlineStr">
        <is>
          <t>OK</t>
        </is>
      </c>
    </row>
    <row r="2059">
      <c r="A2059" s="5" t="inlineStr">
        <is>
          <t>E00793</t>
        </is>
      </c>
      <c r="B2059" s="5" t="inlineStr">
        <is>
          <t>Male</t>
        </is>
      </c>
      <c r="C2059" s="6" t="inlineStr">
        <is>
          <t>24</t>
        </is>
      </c>
      <c r="D2059" s="5" t="inlineStr">
        <is>
          <t>Married</t>
        </is>
      </c>
      <c r="E2059" s="5" t="inlineStr">
        <is>
          <t>Master</t>
        </is>
      </c>
      <c r="F2059" s="5" t="inlineStr">
        <is>
          <t>Marketing</t>
        </is>
      </c>
      <c r="G2059" s="5" t="inlineStr">
        <is>
          <t>Content Writer</t>
        </is>
      </c>
      <c r="H2059" s="5" t="inlineStr">
        <is>
          <t>1</t>
        </is>
      </c>
      <c r="I2059" s="5" t="inlineStr">
        <is>
          <t>Hyderabad</t>
        </is>
      </c>
      <c r="J2059" s="5" t="inlineStr">
        <is>
          <t>Full-Time</t>
        </is>
      </c>
      <c r="K2059" s="7" t="n">
        <v>44703</v>
      </c>
      <c r="L2059" s="7" t="n">
        <v>44746</v>
      </c>
      <c r="M2059" s="5" t="inlineStr">
        <is>
          <t>No</t>
        </is>
      </c>
      <c r="N2059" s="5" t="inlineStr">
        <is>
          <t>Resigned</t>
        </is>
      </c>
      <c r="O2059" s="8" t="inlineStr">
        <is>
          <t>67000</t>
        </is>
      </c>
      <c r="P2059" s="5" t="inlineStr">
        <is>
          <t>15</t>
        </is>
      </c>
      <c r="Q2059" s="5" t="inlineStr">
        <is>
          <t>2</t>
        </is>
      </c>
      <c r="R2059" s="5" t="inlineStr">
        <is>
          <t>7</t>
        </is>
      </c>
      <c r="S2059" s="5" t="inlineStr">
        <is>
          <t>1</t>
        </is>
      </c>
      <c r="T2059" s="5" t="inlineStr">
        <is>
          <t>7</t>
        </is>
      </c>
      <c r="U2059" s="5" t="inlineStr">
        <is>
          <t>OK</t>
        </is>
      </c>
    </row>
    <row r="2060">
      <c r="A2060" s="5" t="inlineStr">
        <is>
          <t>E00676</t>
        </is>
      </c>
      <c r="B2060" s="5" t="inlineStr">
        <is>
          <t>Unknown</t>
        </is>
      </c>
      <c r="C2060" s="6" t="inlineStr">
        <is>
          <t>32</t>
        </is>
      </c>
      <c r="D2060" s="5" t="inlineStr">
        <is>
          <t>Married</t>
        </is>
      </c>
      <c r="E2060" s="5" t="inlineStr">
        <is>
          <t>Master</t>
        </is>
      </c>
      <c r="F2060" s="5" t="inlineStr">
        <is>
          <t>Marketing</t>
        </is>
      </c>
      <c r="G2060" s="5" t="inlineStr">
        <is>
          <t>SEO Specialist</t>
        </is>
      </c>
      <c r="H2060" s="5" t="inlineStr">
        <is>
          <t>2</t>
        </is>
      </c>
      <c r="I2060" s="5" t="inlineStr">
        <is>
          <t>Bengaluru</t>
        </is>
      </c>
      <c r="J2060" s="5" t="inlineStr">
        <is>
          <t>Full-Time</t>
        </is>
      </c>
      <c r="K2060" s="7" t="n">
        <v>44907</v>
      </c>
      <c r="L2060" s="7" t="n">
        <v>45031</v>
      </c>
      <c r="M2060" s="5" t="inlineStr">
        <is>
          <t>No</t>
        </is>
      </c>
      <c r="N2060" s="5" t="inlineStr">
        <is>
          <t>Layoff</t>
        </is>
      </c>
      <c r="O2060" s="8" t="inlineStr">
        <is>
          <t>1000000</t>
        </is>
      </c>
      <c r="P2060" s="5" t="inlineStr">
        <is>
          <t>0</t>
        </is>
      </c>
      <c r="Q2060" s="5" t="inlineStr">
        <is>
          <t>4</t>
        </is>
      </c>
      <c r="R2060" s="5" t="inlineStr">
        <is>
          <t>5</t>
        </is>
      </c>
      <c r="S2060" s="5" t="inlineStr">
        <is>
          <t>4</t>
        </is>
      </c>
      <c r="T2060" s="5" t="inlineStr">
        <is>
          <t>2</t>
        </is>
      </c>
      <c r="U2060" s="5" t="inlineStr">
        <is>
          <t>Outlier salary; Bad gender</t>
        </is>
      </c>
    </row>
    <row r="2061">
      <c r="A2061" s="5" t="inlineStr">
        <is>
          <t>E00865</t>
        </is>
      </c>
      <c r="B2061" s="5" t="inlineStr">
        <is>
          <t>Female</t>
        </is>
      </c>
      <c r="C2061" s="6" t="inlineStr">
        <is>
          <t>30</t>
        </is>
      </c>
      <c r="D2061" s="5" t="inlineStr">
        <is>
          <t>Married</t>
        </is>
      </c>
      <c r="E2061" s="5" t="inlineStr">
        <is>
          <t>Master</t>
        </is>
      </c>
      <c r="F2061" s="5" t="inlineStr">
        <is>
          <t>Human Resources</t>
        </is>
      </c>
      <c r="G2061" s="5" t="inlineStr">
        <is>
          <t>Recruiter</t>
        </is>
      </c>
      <c r="H2061" s="5" t="inlineStr">
        <is>
          <t>4</t>
        </is>
      </c>
      <c r="I2061" s="5" t="inlineStr">
        <is>
          <t>Hyderabad</t>
        </is>
      </c>
      <c r="J2061" s="5" t="inlineStr">
        <is>
          <t>Full-Time</t>
        </is>
      </c>
      <c r="K2061" s="7" t="n">
        <v>45423</v>
      </c>
      <c r="L2061" s="7" t="inlineStr"/>
      <c r="M2061" s="5" t="inlineStr">
        <is>
          <t>Yes</t>
        </is>
      </c>
      <c r="N2061" s="5" t="inlineStr"/>
      <c r="O2061" s="8" t="inlineStr">
        <is>
          <t>85000</t>
        </is>
      </c>
      <c r="P2061" s="5" t="inlineStr">
        <is>
          <t>0</t>
        </is>
      </c>
      <c r="Q2061" s="5" t="inlineStr">
        <is>
          <t>5</t>
        </is>
      </c>
      <c r="R2061" s="5" t="inlineStr">
        <is>
          <t>7</t>
        </is>
      </c>
      <c r="S2061" s="5" t="inlineStr">
        <is>
          <t>19</t>
        </is>
      </c>
      <c r="T2061" s="5" t="inlineStr">
        <is>
          <t>0</t>
        </is>
      </c>
      <c r="U2061" s="5" t="inlineStr">
        <is>
          <t>OK</t>
        </is>
      </c>
    </row>
    <row r="2062">
      <c r="A2062" s="5" t="inlineStr">
        <is>
          <t>E02859</t>
        </is>
      </c>
      <c r="B2062" s="5" t="inlineStr">
        <is>
          <t>Female</t>
        </is>
      </c>
      <c r="C2062" s="6" t="inlineStr">
        <is>
          <t>38</t>
        </is>
      </c>
      <c r="D2062" s="5" t="inlineStr">
        <is>
          <t>Single</t>
        </is>
      </c>
      <c r="E2062" s="5" t="inlineStr">
        <is>
          <t>Diploma</t>
        </is>
      </c>
      <c r="F2062" s="5" t="inlineStr">
        <is>
          <t>Customer Support</t>
        </is>
      </c>
      <c r="G2062" s="5" t="inlineStr">
        <is>
          <t>Support Agent</t>
        </is>
      </c>
      <c r="H2062" s="5" t="inlineStr">
        <is>
          <t>4</t>
        </is>
      </c>
      <c r="I2062" s="5" t="inlineStr">
        <is>
          <t>Chennai</t>
        </is>
      </c>
      <c r="J2062" s="5" t="inlineStr">
        <is>
          <t>Full-Time</t>
        </is>
      </c>
      <c r="K2062" s="7" t="n">
        <v>45434</v>
      </c>
      <c r="L2062" s="7" t="n">
        <v>45508</v>
      </c>
      <c r="M2062" s="5" t="inlineStr">
        <is>
          <t>No</t>
        </is>
      </c>
      <c r="N2062" s="5" t="inlineStr">
        <is>
          <t>Performance / Termination</t>
        </is>
      </c>
      <c r="O2062" s="8" t="inlineStr">
        <is>
          <t>999999</t>
        </is>
      </c>
      <c r="P2062" s="5" t="inlineStr">
        <is>
          <t>0</t>
        </is>
      </c>
      <c r="Q2062" s="5" t="inlineStr">
        <is>
          <t>3</t>
        </is>
      </c>
      <c r="R2062" s="5" t="inlineStr">
        <is>
          <t>7</t>
        </is>
      </c>
      <c r="S2062" s="5" t="inlineStr">
        <is>
          <t>2</t>
        </is>
      </c>
      <c r="T2062" s="5" t="inlineStr">
        <is>
          <t>2</t>
        </is>
      </c>
      <c r="U2062" s="5" t="inlineStr">
        <is>
          <t>Outlier salary</t>
        </is>
      </c>
    </row>
    <row r="2063">
      <c r="A2063" s="5" t="inlineStr">
        <is>
          <t>E01456</t>
        </is>
      </c>
      <c r="B2063" s="5" t="inlineStr">
        <is>
          <t>Female</t>
        </is>
      </c>
      <c r="C2063" s="6" t="inlineStr">
        <is>
          <t>36</t>
        </is>
      </c>
      <c r="D2063" s="5" t="inlineStr">
        <is>
          <t>Single</t>
        </is>
      </c>
      <c r="E2063" s="5" t="inlineStr">
        <is>
          <t>High School</t>
        </is>
      </c>
      <c r="F2063" s="5" t="inlineStr"/>
      <c r="G2063" s="5" t="inlineStr">
        <is>
          <t>Marketing Analyst</t>
        </is>
      </c>
      <c r="H2063" s="5" t="inlineStr">
        <is>
          <t>2</t>
        </is>
      </c>
      <c r="I2063" s="5" t="inlineStr">
        <is>
          <t>Delhi</t>
        </is>
      </c>
      <c r="J2063" s="5" t="inlineStr">
        <is>
          <t>Full-Time</t>
        </is>
      </c>
      <c r="K2063" s="7" t="n">
        <v>44724</v>
      </c>
      <c r="L2063" s="7" t="inlineStr"/>
      <c r="M2063" s="5" t="inlineStr">
        <is>
          <t>Yes</t>
        </is>
      </c>
      <c r="N2063" s="5" t="inlineStr"/>
      <c r="O2063" s="8" t="inlineStr">
        <is>
          <t>67500</t>
        </is>
      </c>
      <c r="P2063" s="5" t="inlineStr">
        <is>
          <t>20</t>
        </is>
      </c>
      <c r="Q2063" s="5" t="inlineStr">
        <is>
          <t>5</t>
        </is>
      </c>
      <c r="R2063" s="5" t="inlineStr">
        <is>
          <t>6</t>
        </is>
      </c>
      <c r="S2063" s="5" t="inlineStr">
        <is>
          <t>43</t>
        </is>
      </c>
      <c r="T2063" s="5" t="inlineStr">
        <is>
          <t>4</t>
        </is>
      </c>
      <c r="U2063" s="5" t="inlineStr">
        <is>
          <t>Blank department</t>
        </is>
      </c>
    </row>
    <row r="2064">
      <c r="A2064" s="5" t="inlineStr">
        <is>
          <t>E00064</t>
        </is>
      </c>
      <c r="B2064" s="5" t="inlineStr">
        <is>
          <t>Female</t>
        </is>
      </c>
      <c r="C2064" s="6" t="inlineStr">
        <is>
          <t>32</t>
        </is>
      </c>
      <c r="D2064" s="5" t="inlineStr">
        <is>
          <t>Married</t>
        </is>
      </c>
      <c r="E2064" s="5" t="inlineStr">
        <is>
          <t>High School</t>
        </is>
      </c>
      <c r="F2064" s="5" t="inlineStr">
        <is>
          <t>Operations</t>
        </is>
      </c>
      <c r="G2064" s="5" t="inlineStr">
        <is>
          <t>Logistics Coordinator</t>
        </is>
      </c>
      <c r="H2064" s="5" t="inlineStr">
        <is>
          <t>1</t>
        </is>
      </c>
      <c r="I2064" s="5" t="inlineStr">
        <is>
          <t>Hyderabad</t>
        </is>
      </c>
      <c r="J2064" s="5" t="inlineStr">
        <is>
          <t>Full-Time</t>
        </is>
      </c>
      <c r="K2064" s="7" t="n">
        <v>44435</v>
      </c>
      <c r="L2064" s="7" t="n">
        <v>44472</v>
      </c>
      <c r="M2064" s="5" t="inlineStr">
        <is>
          <t>No</t>
        </is>
      </c>
      <c r="N2064" s="5" t="inlineStr">
        <is>
          <t>Resigned</t>
        </is>
      </c>
      <c r="O2064" s="8" t="inlineStr">
        <is>
          <t>80500</t>
        </is>
      </c>
      <c r="P2064" s="5" t="inlineStr">
        <is>
          <t>0</t>
        </is>
      </c>
      <c r="Q2064" s="5" t="inlineStr">
        <is>
          <t>3</t>
        </is>
      </c>
      <c r="R2064" s="5" t="inlineStr">
        <is>
          <t>7</t>
        </is>
      </c>
      <c r="S2064" s="5" t="inlineStr">
        <is>
          <t>1</t>
        </is>
      </c>
      <c r="T2064" s="5" t="inlineStr">
        <is>
          <t>12</t>
        </is>
      </c>
      <c r="U2064" s="5" t="inlineStr">
        <is>
          <t>OK</t>
        </is>
      </c>
    </row>
    <row r="2065">
      <c r="A2065" s="5" t="inlineStr">
        <is>
          <t>E01848</t>
        </is>
      </c>
      <c r="B2065" s="5" t="inlineStr">
        <is>
          <t>Male</t>
        </is>
      </c>
      <c r="C2065" s="6" t="inlineStr">
        <is>
          <t>40</t>
        </is>
      </c>
      <c r="D2065" s="5" t="inlineStr">
        <is>
          <t>Married</t>
        </is>
      </c>
      <c r="E2065" s="5" t="inlineStr">
        <is>
          <t>PhD</t>
        </is>
      </c>
      <c r="F2065" s="5" t="inlineStr">
        <is>
          <t>Customer Support</t>
        </is>
      </c>
      <c r="G2065" s="5" t="inlineStr">
        <is>
          <t>Escalation Specialist</t>
        </is>
      </c>
      <c r="H2065" s="5" t="inlineStr">
        <is>
          <t>4</t>
        </is>
      </c>
      <c r="I2065" s="5" t="inlineStr">
        <is>
          <t>Remote</t>
        </is>
      </c>
      <c r="J2065" s="5" t="inlineStr">
        <is>
          <t>Full-Time</t>
        </is>
      </c>
      <c r="K2065" s="7" t="n">
        <v>45261</v>
      </c>
      <c r="L2065" s="7" t="inlineStr"/>
      <c r="M2065" s="5" t="inlineStr">
        <is>
          <t>Yes</t>
        </is>
      </c>
      <c r="N2065" s="5" t="inlineStr"/>
      <c r="O2065" s="8" t="inlineStr">
        <is>
          <t>80000</t>
        </is>
      </c>
      <c r="P2065" s="5" t="inlineStr">
        <is>
          <t>5</t>
        </is>
      </c>
      <c r="Q2065" s="5" t="inlineStr">
        <is>
          <t>4</t>
        </is>
      </c>
      <c r="R2065" s="5" t="inlineStr">
        <is>
          <t>6</t>
        </is>
      </c>
      <c r="S2065" s="5" t="inlineStr">
        <is>
          <t>25</t>
        </is>
      </c>
      <c r="T2065" s="5" t="inlineStr">
        <is>
          <t>8</t>
        </is>
      </c>
      <c r="U2065" s="5" t="inlineStr">
        <is>
          <t>OK</t>
        </is>
      </c>
    </row>
    <row r="2066">
      <c r="A2066" s="5" t="inlineStr">
        <is>
          <t>E02408</t>
        </is>
      </c>
      <c r="B2066" s="5" t="inlineStr">
        <is>
          <t>Female</t>
        </is>
      </c>
      <c r="C2066" s="6" t="inlineStr">
        <is>
          <t>27</t>
        </is>
      </c>
      <c r="D2066" s="5" t="inlineStr">
        <is>
          <t>Married</t>
        </is>
      </c>
      <c r="E2066" s="5" t="inlineStr">
        <is>
          <t>PhD</t>
        </is>
      </c>
      <c r="F2066" s="5" t="inlineStr">
        <is>
          <t>Customer Support</t>
        </is>
      </c>
      <c r="G2066" s="5" t="inlineStr">
        <is>
          <t>Escalation Specialist</t>
        </is>
      </c>
      <c r="H2066" s="5" t="inlineStr">
        <is>
          <t>3</t>
        </is>
      </c>
      <c r="I2066" s="5" t="inlineStr">
        <is>
          <t>Mumbai</t>
        </is>
      </c>
      <c r="J2066" s="5" t="inlineStr">
        <is>
          <t>Full-Time</t>
        </is>
      </c>
      <c r="K2066" s="7" t="n">
        <v>44148</v>
      </c>
      <c r="L2066" s="7" t="inlineStr"/>
      <c r="M2066" s="5" t="inlineStr">
        <is>
          <t>Yes</t>
        </is>
      </c>
      <c r="N2066" s="5" t="inlineStr"/>
      <c r="O2066" s="8" t="inlineStr">
        <is>
          <t>70000</t>
        </is>
      </c>
      <c r="P2066" s="5" t="inlineStr">
        <is>
          <t>5</t>
        </is>
      </c>
      <c r="Q2066" s="5" t="inlineStr">
        <is>
          <t>3</t>
        </is>
      </c>
      <c r="R2066" s="5" t="inlineStr">
        <is>
          <t>7</t>
        </is>
      </c>
      <c r="S2066" s="5" t="inlineStr">
        <is>
          <t>62</t>
        </is>
      </c>
      <c r="T2066" s="5" t="inlineStr">
        <is>
          <t>0</t>
        </is>
      </c>
      <c r="U2066" s="5" t="inlineStr">
        <is>
          <t>OK</t>
        </is>
      </c>
    </row>
    <row r="2067">
      <c r="A2067" s="5" t="inlineStr">
        <is>
          <t>E02309</t>
        </is>
      </c>
      <c r="B2067" s="5" t="inlineStr">
        <is>
          <t>Female</t>
        </is>
      </c>
      <c r="C2067" s="6" t="inlineStr">
        <is>
          <t>23</t>
        </is>
      </c>
      <c r="D2067" s="5" t="inlineStr">
        <is>
          <t>Married</t>
        </is>
      </c>
      <c r="E2067" s="5" t="inlineStr">
        <is>
          <t>PhD</t>
        </is>
      </c>
      <c r="F2067" s="5" t="inlineStr">
        <is>
          <t>IT</t>
        </is>
      </c>
      <c r="G2067" s="5" t="inlineStr">
        <is>
          <t>IT Support</t>
        </is>
      </c>
      <c r="H2067" s="5" t="inlineStr">
        <is>
          <t>1</t>
        </is>
      </c>
      <c r="I2067" s="5" t="inlineStr">
        <is>
          <t>Delhi</t>
        </is>
      </c>
      <c r="J2067" s="5" t="inlineStr">
        <is>
          <t>Full-Time</t>
        </is>
      </c>
      <c r="K2067" s="7" t="n">
        <v>44226</v>
      </c>
      <c r="L2067" s="7" t="n">
        <v>44287</v>
      </c>
      <c r="M2067" s="5" t="inlineStr">
        <is>
          <t>No</t>
        </is>
      </c>
      <c r="N2067" s="5" t="inlineStr">
        <is>
          <t>Resigned</t>
        </is>
      </c>
      <c r="O2067" s="8" t="inlineStr">
        <is>
          <t>110500</t>
        </is>
      </c>
      <c r="P2067" s="5" t="inlineStr">
        <is>
          <t>0</t>
        </is>
      </c>
      <c r="Q2067" s="5" t="inlineStr">
        <is>
          <t>3</t>
        </is>
      </c>
      <c r="R2067" s="5" t="inlineStr">
        <is>
          <t>8</t>
        </is>
      </c>
      <c r="S2067" s="5" t="inlineStr">
        <is>
          <t>2</t>
        </is>
      </c>
      <c r="T2067" s="5" t="inlineStr">
        <is>
          <t>0</t>
        </is>
      </c>
      <c r="U2067" s="5" t="inlineStr">
        <is>
          <t>OK</t>
        </is>
      </c>
    </row>
    <row r="2068">
      <c r="A2068" s="5" t="inlineStr">
        <is>
          <t>E01290</t>
        </is>
      </c>
      <c r="B2068" s="5" t="inlineStr">
        <is>
          <t>Female</t>
        </is>
      </c>
      <c r="C2068" s="6" t="inlineStr">
        <is>
          <t>33</t>
        </is>
      </c>
      <c r="D2068" s="5" t="inlineStr">
        <is>
          <t>Married</t>
        </is>
      </c>
      <c r="E2068" s="5" t="inlineStr">
        <is>
          <t>Diploma</t>
        </is>
      </c>
      <c r="F2068" s="5" t="inlineStr">
        <is>
          <t>Customer Support</t>
        </is>
      </c>
      <c r="G2068" s="5" t="inlineStr">
        <is>
          <t>Support Lead</t>
        </is>
      </c>
      <c r="H2068" s="5" t="inlineStr">
        <is>
          <t>2</t>
        </is>
      </c>
      <c r="I2068" s="5" t="inlineStr">
        <is>
          <t>Hyderabad</t>
        </is>
      </c>
      <c r="J2068" s="5" t="inlineStr">
        <is>
          <t>Full-Time</t>
        </is>
      </c>
      <c r="K2068" s="7" t="n">
        <v>45471</v>
      </c>
      <c r="L2068" s="7" t="n">
        <v>45609</v>
      </c>
      <c r="M2068" s="5" t="inlineStr">
        <is>
          <t>No</t>
        </is>
      </c>
      <c r="N2068" s="5" t="inlineStr">
        <is>
          <t>Retirement</t>
        </is>
      </c>
      <c r="O2068" s="8" t="inlineStr">
        <is>
          <t>58500</t>
        </is>
      </c>
      <c r="P2068" s="5" t="inlineStr">
        <is>
          <t>10</t>
        </is>
      </c>
      <c r="Q2068" s="5" t="inlineStr">
        <is>
          <t>3</t>
        </is>
      </c>
      <c r="R2068" s="5" t="inlineStr">
        <is>
          <t>9</t>
        </is>
      </c>
      <c r="S2068" s="5" t="inlineStr">
        <is>
          <t>4</t>
        </is>
      </c>
      <c r="T2068" s="5" t="inlineStr">
        <is>
          <t>0</t>
        </is>
      </c>
      <c r="U2068" s="5" t="inlineStr">
        <is>
          <t>OK</t>
        </is>
      </c>
    </row>
    <row r="2069">
      <c r="A2069" s="5" t="inlineStr">
        <is>
          <t>E01340</t>
        </is>
      </c>
      <c r="B2069" s="5" t="inlineStr">
        <is>
          <t>Female</t>
        </is>
      </c>
      <c r="C2069" s="6" t="inlineStr">
        <is>
          <t>39</t>
        </is>
      </c>
      <c r="D2069" s="5" t="inlineStr">
        <is>
          <t>Married</t>
        </is>
      </c>
      <c r="E2069" s="5" t="inlineStr">
        <is>
          <t>High School</t>
        </is>
      </c>
      <c r="F2069" s="5" t="inlineStr">
        <is>
          <t>Human Resources</t>
        </is>
      </c>
      <c r="G2069" s="5" t="inlineStr">
        <is>
          <t>Recruiter</t>
        </is>
      </c>
      <c r="H2069" s="5" t="inlineStr">
        <is>
          <t>7</t>
        </is>
      </c>
      <c r="I2069" s="5" t="inlineStr">
        <is>
          <t>Bengaluru</t>
        </is>
      </c>
      <c r="J2069" s="5" t="inlineStr">
        <is>
          <t>Part-Time</t>
        </is>
      </c>
      <c r="K2069" s="7" t="n">
        <v>45678</v>
      </c>
      <c r="L2069" s="7" t="n">
        <v>45726</v>
      </c>
      <c r="M2069" s="5" t="inlineStr">
        <is>
          <t>No</t>
        </is>
      </c>
      <c r="N2069" s="5" t="inlineStr">
        <is>
          <t>Retirement</t>
        </is>
      </c>
      <c r="O2069" s="8" t="inlineStr">
        <is>
          <t>124000</t>
        </is>
      </c>
      <c r="P2069" s="5" t="inlineStr">
        <is>
          <t>5</t>
        </is>
      </c>
      <c r="Q2069" s="5" t="inlineStr">
        <is>
          <t>4</t>
        </is>
      </c>
      <c r="R2069" s="5" t="inlineStr">
        <is>
          <t>6</t>
        </is>
      </c>
      <c r="S2069" s="5" t="inlineStr">
        <is>
          <t>1</t>
        </is>
      </c>
      <c r="T2069" s="5" t="inlineStr">
        <is>
          <t>8</t>
        </is>
      </c>
      <c r="U2069" s="5" t="inlineStr">
        <is>
          <t>OK</t>
        </is>
      </c>
    </row>
    <row r="2070">
      <c r="A2070" s="5" t="inlineStr">
        <is>
          <t>E00590</t>
        </is>
      </c>
      <c r="B2070" s="5" t="inlineStr">
        <is>
          <t>Male</t>
        </is>
      </c>
      <c r="C2070" s="6" t="inlineStr">
        <is>
          <t>38</t>
        </is>
      </c>
      <c r="D2070" s="5" t="inlineStr">
        <is>
          <t>Married</t>
        </is>
      </c>
      <c r="E2070" s="5" t="inlineStr">
        <is>
          <t>Bachelor</t>
        </is>
      </c>
      <c r="F2070" s="5" t="inlineStr">
        <is>
          <t>Finance</t>
        </is>
      </c>
      <c r="G2070" s="5" t="inlineStr">
        <is>
          <t>Financial Analyst</t>
        </is>
      </c>
      <c r="H2070" s="5" t="inlineStr">
        <is>
          <t>5</t>
        </is>
      </c>
      <c r="I2070" s="5" t="inlineStr">
        <is>
          <t>Bengaluru</t>
        </is>
      </c>
      <c r="J2070" s="5" t="inlineStr">
        <is>
          <t>Full-Time</t>
        </is>
      </c>
      <c r="K2070" s="7" t="n">
        <v>45388</v>
      </c>
      <c r="L2070" s="7" t="inlineStr"/>
      <c r="M2070" s="5" t="inlineStr">
        <is>
          <t>Yes</t>
        </is>
      </c>
      <c r="N2070" s="5" t="inlineStr"/>
      <c r="O2070" s="8" t="inlineStr">
        <is>
          <t>175500</t>
        </is>
      </c>
      <c r="P2070" s="5" t="inlineStr">
        <is>
          <t>0</t>
        </is>
      </c>
      <c r="Q2070" s="5" t="inlineStr">
        <is>
          <t>4</t>
        </is>
      </c>
      <c r="R2070" s="5" t="inlineStr">
        <is>
          <t>5</t>
        </is>
      </c>
      <c r="S2070" s="5" t="inlineStr">
        <is>
          <t>21</t>
        </is>
      </c>
      <c r="T2070" s="5" t="inlineStr">
        <is>
          <t>9</t>
        </is>
      </c>
      <c r="U2070" s="5" t="inlineStr">
        <is>
          <t>OK</t>
        </is>
      </c>
    </row>
    <row r="2071">
      <c r="A2071" s="5" t="inlineStr">
        <is>
          <t>E02344</t>
        </is>
      </c>
      <c r="B2071" s="5" t="inlineStr">
        <is>
          <t>Female</t>
        </is>
      </c>
      <c r="C2071" s="6" t="inlineStr">
        <is>
          <t>25</t>
        </is>
      </c>
      <c r="D2071" s="5" t="inlineStr">
        <is>
          <t>Married</t>
        </is>
      </c>
      <c r="E2071" s="5" t="inlineStr">
        <is>
          <t>Diploma</t>
        </is>
      </c>
      <c r="F2071" s="5" t="inlineStr">
        <is>
          <t>Operations</t>
        </is>
      </c>
      <c r="G2071" s="5" t="inlineStr">
        <is>
          <t>Operations Analyst</t>
        </is>
      </c>
      <c r="H2071" s="5" t="inlineStr">
        <is>
          <t>1</t>
        </is>
      </c>
      <c r="I2071" s="5" t="inlineStr">
        <is>
          <t>Mumbai</t>
        </is>
      </c>
      <c r="J2071" s="5" t="inlineStr">
        <is>
          <t>Full-Time</t>
        </is>
      </c>
      <c r="K2071" s="7" t="n">
        <v>44731</v>
      </c>
      <c r="L2071" s="7" t="inlineStr"/>
      <c r="M2071" s="5" t="inlineStr">
        <is>
          <t>Yes</t>
        </is>
      </c>
      <c r="N2071" s="5" t="inlineStr"/>
      <c r="O2071" s="8" t="inlineStr">
        <is>
          <t>82500</t>
        </is>
      </c>
      <c r="P2071" s="5" t="inlineStr">
        <is>
          <t>0</t>
        </is>
      </c>
      <c r="Q2071" s="5" t="inlineStr">
        <is>
          <t>5</t>
        </is>
      </c>
      <c r="R2071" s="5" t="inlineStr">
        <is>
          <t>6</t>
        </is>
      </c>
      <c r="S2071" s="5" t="inlineStr">
        <is>
          <t>43</t>
        </is>
      </c>
      <c r="T2071" s="5" t="inlineStr">
        <is>
          <t>0</t>
        </is>
      </c>
      <c r="U2071" s="5" t="inlineStr">
        <is>
          <t>OK</t>
        </is>
      </c>
    </row>
    <row r="2072">
      <c r="A2072" s="5" t="inlineStr">
        <is>
          <t>E00470</t>
        </is>
      </c>
      <c r="B2072" s="5" t="inlineStr">
        <is>
          <t>Female</t>
        </is>
      </c>
      <c r="C2072" s="6" t="inlineStr">
        <is>
          <t>32</t>
        </is>
      </c>
      <c r="D2072" s="5" t="inlineStr">
        <is>
          <t>Married</t>
        </is>
      </c>
      <c r="E2072" s="5" t="inlineStr">
        <is>
          <t>PhD</t>
        </is>
      </c>
      <c r="F2072" s="5" t="inlineStr">
        <is>
          <t>IT</t>
        </is>
      </c>
      <c r="G2072" s="5" t="inlineStr">
        <is>
          <t>Data Analyst</t>
        </is>
      </c>
      <c r="H2072" s="5" t="inlineStr">
        <is>
          <t>2</t>
        </is>
      </c>
      <c r="I2072" s="5" t="inlineStr">
        <is>
          <t>Delhi</t>
        </is>
      </c>
      <c r="J2072" s="5" t="inlineStr">
        <is>
          <t>Full-Time</t>
        </is>
      </c>
      <c r="K2072" s="7" t="n">
        <v>45788</v>
      </c>
      <c r="L2072" s="7" t="inlineStr"/>
      <c r="M2072" s="5" t="inlineStr">
        <is>
          <t>Yes</t>
        </is>
      </c>
      <c r="N2072" s="5" t="inlineStr"/>
      <c r="O2072" s="8" t="inlineStr">
        <is>
          <t>99000</t>
        </is>
      </c>
      <c r="P2072" s="5" t="inlineStr">
        <is>
          <t>0</t>
        </is>
      </c>
      <c r="Q2072" s="5" t="inlineStr">
        <is>
          <t>2</t>
        </is>
      </c>
      <c r="R2072" s="5" t="inlineStr">
        <is>
          <t>5</t>
        </is>
      </c>
      <c r="S2072" s="5" t="inlineStr">
        <is>
          <t>7</t>
        </is>
      </c>
      <c r="T2072" s="5" t="inlineStr">
        <is>
          <t>4</t>
        </is>
      </c>
      <c r="U2072" s="5" t="inlineStr">
        <is>
          <t>OK</t>
        </is>
      </c>
    </row>
    <row r="2073">
      <c r="A2073" s="5" t="inlineStr">
        <is>
          <t>E01224</t>
        </is>
      </c>
      <c r="B2073" s="5" t="inlineStr">
        <is>
          <t>Male</t>
        </is>
      </c>
      <c r="C2073" s="6" t="inlineStr">
        <is>
          <t>36</t>
        </is>
      </c>
      <c r="D2073" s="5" t="inlineStr">
        <is>
          <t>Married</t>
        </is>
      </c>
      <c r="E2073" s="5" t="inlineStr">
        <is>
          <t>Diploma</t>
        </is>
      </c>
      <c r="F2073" s="5" t="inlineStr">
        <is>
          <t>IT</t>
        </is>
      </c>
      <c r="G2073" s="5" t="inlineStr">
        <is>
          <t>IT Support</t>
        </is>
      </c>
      <c r="H2073" s="5" t="inlineStr">
        <is>
          <t>4</t>
        </is>
      </c>
      <c r="I2073" s="5" t="inlineStr">
        <is>
          <t>Chennai</t>
        </is>
      </c>
      <c r="J2073" s="5" t="inlineStr">
        <is>
          <t>Full-Time</t>
        </is>
      </c>
      <c r="K2073" s="7" t="n">
        <v>44616</v>
      </c>
      <c r="L2073" s="7" t="inlineStr"/>
      <c r="M2073" s="5" t="inlineStr">
        <is>
          <t>Yes</t>
        </is>
      </c>
      <c r="N2073" s="5" t="inlineStr"/>
      <c r="O2073" s="8" t="inlineStr">
        <is>
          <t>200000</t>
        </is>
      </c>
      <c r="P2073" s="5" t="inlineStr">
        <is>
          <t>10</t>
        </is>
      </c>
      <c r="Q2073" s="5" t="inlineStr">
        <is>
          <t>4</t>
        </is>
      </c>
      <c r="R2073" s="5" t="inlineStr">
        <is>
          <t>8</t>
        </is>
      </c>
      <c r="S2073" s="5" t="inlineStr">
        <is>
          <t>46</t>
        </is>
      </c>
      <c r="T2073" s="5" t="inlineStr">
        <is>
          <t>0</t>
        </is>
      </c>
      <c r="U2073" s="5" t="inlineStr">
        <is>
          <t>OK</t>
        </is>
      </c>
    </row>
    <row r="2074">
      <c r="A2074" s="5" t="inlineStr">
        <is>
          <t>E02437</t>
        </is>
      </c>
      <c r="B2074" s="5" t="inlineStr">
        <is>
          <t>Female</t>
        </is>
      </c>
      <c r="C2074" s="6" t="inlineStr">
        <is>
          <t>38</t>
        </is>
      </c>
      <c r="D2074" s="5" t="inlineStr">
        <is>
          <t>Married</t>
        </is>
      </c>
      <c r="E2074" s="5" t="inlineStr">
        <is>
          <t>PhD</t>
        </is>
      </c>
      <c r="F2074" s="5" t="inlineStr">
        <is>
          <t>Executive</t>
        </is>
      </c>
      <c r="G2074" s="5" t="inlineStr">
        <is>
          <t>CEO</t>
        </is>
      </c>
      <c r="H2074" s="5" t="inlineStr">
        <is>
          <t>3</t>
        </is>
      </c>
      <c r="I2074" s="5" t="inlineStr">
        <is>
          <t>Remote</t>
        </is>
      </c>
      <c r="J2074" s="5" t="inlineStr">
        <is>
          <t>Full-Time</t>
        </is>
      </c>
      <c r="K2074" s="7" t="n">
        <v>45245</v>
      </c>
      <c r="L2074" s="7" t="inlineStr"/>
      <c r="M2074" s="5" t="inlineStr">
        <is>
          <t>Yes</t>
        </is>
      </c>
      <c r="N2074" s="5" t="inlineStr"/>
      <c r="O2074" s="8" t="inlineStr">
        <is>
          <t>213500</t>
        </is>
      </c>
      <c r="P2074" s="5" t="inlineStr">
        <is>
          <t>5</t>
        </is>
      </c>
      <c r="Q2074" s="5" t="inlineStr">
        <is>
          <t>3</t>
        </is>
      </c>
      <c r="R2074" s="5" t="inlineStr">
        <is>
          <t>4</t>
        </is>
      </c>
      <c r="S2074" s="5" t="inlineStr">
        <is>
          <t>25</t>
        </is>
      </c>
      <c r="T2074" s="5" t="inlineStr">
        <is>
          <t>4</t>
        </is>
      </c>
      <c r="U2074" s="5" t="inlineStr">
        <is>
          <t>OK</t>
        </is>
      </c>
    </row>
    <row r="2075">
      <c r="A2075" s="5" t="inlineStr">
        <is>
          <t>E01374</t>
        </is>
      </c>
      <c r="B2075" s="5" t="inlineStr">
        <is>
          <t>Female</t>
        </is>
      </c>
      <c r="C2075" s="6" t="inlineStr">
        <is>
          <t>31</t>
        </is>
      </c>
      <c r="D2075" s="5" t="inlineStr">
        <is>
          <t>Married</t>
        </is>
      </c>
      <c r="E2075" s="5" t="inlineStr">
        <is>
          <t>High School</t>
        </is>
      </c>
      <c r="F2075" s="5" t="inlineStr">
        <is>
          <t>Sales</t>
        </is>
      </c>
      <c r="G2075" s="5" t="inlineStr">
        <is>
          <t>Sales Executive</t>
        </is>
      </c>
      <c r="H2075" s="5" t="inlineStr">
        <is>
          <t>5</t>
        </is>
      </c>
      <c r="I2075" s="5" t="inlineStr">
        <is>
          <t>Bengaluru</t>
        </is>
      </c>
      <c r="J2075" s="5" t="inlineStr">
        <is>
          <t>Full-Time</t>
        </is>
      </c>
      <c r="K2075" s="7" t="n">
        <v>44731</v>
      </c>
      <c r="L2075" s="7" t="inlineStr"/>
      <c r="M2075" s="5" t="inlineStr">
        <is>
          <t>Yes</t>
        </is>
      </c>
      <c r="N2075" s="5" t="inlineStr"/>
      <c r="O2075" s="8" t="inlineStr">
        <is>
          <t>136500</t>
        </is>
      </c>
      <c r="P2075" s="5" t="inlineStr">
        <is>
          <t>0</t>
        </is>
      </c>
      <c r="Q2075" s="5" t="inlineStr">
        <is>
          <t>3</t>
        </is>
      </c>
      <c r="R2075" s="5" t="inlineStr">
        <is>
          <t>5</t>
        </is>
      </c>
      <c r="S2075" s="5" t="inlineStr">
        <is>
          <t>43</t>
        </is>
      </c>
      <c r="T2075" s="5" t="inlineStr">
        <is>
          <t>0</t>
        </is>
      </c>
      <c r="U2075" s="5" t="inlineStr">
        <is>
          <t>OK</t>
        </is>
      </c>
    </row>
    <row r="2076">
      <c r="A2076" s="5" t="inlineStr">
        <is>
          <t>E01240</t>
        </is>
      </c>
      <c r="B2076" s="5" t="inlineStr">
        <is>
          <t>Female</t>
        </is>
      </c>
      <c r="C2076" s="6" t="inlineStr">
        <is>
          <t>34</t>
        </is>
      </c>
      <c r="D2076" s="5" t="inlineStr">
        <is>
          <t>Married</t>
        </is>
      </c>
      <c r="E2076" s="5" t="inlineStr">
        <is>
          <t>Bachelor</t>
        </is>
      </c>
      <c r="F2076" s="5" t="inlineStr">
        <is>
          <t>Finance</t>
        </is>
      </c>
      <c r="G2076" s="5" t="inlineStr">
        <is>
          <t>Financial Analyst</t>
        </is>
      </c>
      <c r="H2076" s="5" t="inlineStr">
        <is>
          <t>4</t>
        </is>
      </c>
      <c r="I2076" s="5" t="inlineStr">
        <is>
          <t>Mumbai</t>
        </is>
      </c>
      <c r="J2076" s="5" t="inlineStr">
        <is>
          <t>Full-Time</t>
        </is>
      </c>
      <c r="K2076" s="7" t="n">
        <v>44065</v>
      </c>
      <c r="L2076" s="7" t="inlineStr"/>
      <c r="M2076" s="5" t="inlineStr">
        <is>
          <t>Yes</t>
        </is>
      </c>
      <c r="N2076" s="5" t="inlineStr"/>
      <c r="O2076" s="8" t="inlineStr">
        <is>
          <t>124500</t>
        </is>
      </c>
      <c r="P2076" s="5" t="inlineStr">
        <is>
          <t>10</t>
        </is>
      </c>
      <c r="Q2076" s="5" t="inlineStr">
        <is>
          <t>3</t>
        </is>
      </c>
      <c r="R2076" s="5" t="inlineStr">
        <is>
          <t>3</t>
        </is>
      </c>
      <c r="S2076" s="5" t="inlineStr">
        <is>
          <t>65</t>
        </is>
      </c>
      <c r="T2076" s="5" t="inlineStr">
        <is>
          <t>12</t>
        </is>
      </c>
      <c r="U2076" s="5" t="inlineStr">
        <is>
          <t>OK</t>
        </is>
      </c>
    </row>
    <row r="2077">
      <c r="A2077" s="5" t="inlineStr">
        <is>
          <t>E00993</t>
        </is>
      </c>
      <c r="B2077" s="5" t="inlineStr">
        <is>
          <t>Male</t>
        </is>
      </c>
      <c r="C2077" s="6" t="inlineStr">
        <is>
          <t>25</t>
        </is>
      </c>
      <c r="D2077" s="5" t="inlineStr">
        <is>
          <t>Married</t>
        </is>
      </c>
      <c r="E2077" s="5" t="inlineStr">
        <is>
          <t>PhD</t>
        </is>
      </c>
      <c r="F2077" s="5" t="inlineStr">
        <is>
          <t>Finance</t>
        </is>
      </c>
      <c r="G2077" s="5" t="inlineStr">
        <is>
          <t>Accountant</t>
        </is>
      </c>
      <c r="H2077" s="5" t="inlineStr">
        <is>
          <t>2</t>
        </is>
      </c>
      <c r="I2077" s="5" t="inlineStr">
        <is>
          <t>Delhi</t>
        </is>
      </c>
      <c r="J2077" s="5" t="inlineStr">
        <is>
          <t>Full-Time</t>
        </is>
      </c>
      <c r="K2077" s="7" t="n">
        <v>45347</v>
      </c>
      <c r="L2077" s="7" t="inlineStr"/>
      <c r="M2077" s="5" t="inlineStr">
        <is>
          <t>Yes</t>
        </is>
      </c>
      <c r="N2077" s="5" t="inlineStr"/>
      <c r="O2077" s="8" t="inlineStr">
        <is>
          <t>106500</t>
        </is>
      </c>
      <c r="P2077" s="5" t="inlineStr">
        <is>
          <t>20</t>
        </is>
      </c>
      <c r="Q2077" s="5" t="inlineStr">
        <is>
          <t>4</t>
        </is>
      </c>
      <c r="R2077" s="5" t="inlineStr">
        <is>
          <t>7</t>
        </is>
      </c>
      <c r="S2077" s="5" t="inlineStr">
        <is>
          <t>22</t>
        </is>
      </c>
      <c r="T2077" s="5" t="inlineStr">
        <is>
          <t>4</t>
        </is>
      </c>
      <c r="U2077" s="5" t="inlineStr">
        <is>
          <t>OK</t>
        </is>
      </c>
    </row>
    <row r="2078">
      <c r="A2078" s="5" t="inlineStr">
        <is>
          <t>E01592</t>
        </is>
      </c>
      <c r="B2078" s="5" t="inlineStr">
        <is>
          <t>Male</t>
        </is>
      </c>
      <c r="C2078" s="6" t="inlineStr">
        <is>
          <t>32</t>
        </is>
      </c>
      <c r="D2078" s="5" t="inlineStr">
        <is>
          <t>Divorced</t>
        </is>
      </c>
      <c r="E2078" s="5" t="inlineStr">
        <is>
          <t>PhD</t>
        </is>
      </c>
      <c r="F2078" s="5" t="inlineStr">
        <is>
          <t>Finance</t>
        </is>
      </c>
      <c r="G2078" s="5" t="inlineStr">
        <is>
          <t>Accountant</t>
        </is>
      </c>
      <c r="H2078" s="5" t="inlineStr">
        <is>
          <t>3</t>
        </is>
      </c>
      <c r="I2078" s="5" t="inlineStr">
        <is>
          <t>Hyderabad</t>
        </is>
      </c>
      <c r="J2078" s="5" t="inlineStr">
        <is>
          <t>Full-Time</t>
        </is>
      </c>
      <c r="K2078" s="7" t="n">
        <v>44037</v>
      </c>
      <c r="L2078" s="7" t="inlineStr"/>
      <c r="M2078" s="5" t="inlineStr">
        <is>
          <t>Yes</t>
        </is>
      </c>
      <c r="N2078" s="5" t="inlineStr"/>
      <c r="O2078" s="8" t="inlineStr">
        <is>
          <t>115000</t>
        </is>
      </c>
      <c r="P2078" s="5" t="inlineStr">
        <is>
          <t>5</t>
        </is>
      </c>
      <c r="Q2078" s="5" t="inlineStr">
        <is>
          <t>4</t>
        </is>
      </c>
      <c r="R2078" s="5" t="inlineStr">
        <is>
          <t>6</t>
        </is>
      </c>
      <c r="S2078" s="5" t="inlineStr">
        <is>
          <t>66</t>
        </is>
      </c>
      <c r="T2078" s="5" t="inlineStr">
        <is>
          <t>0</t>
        </is>
      </c>
      <c r="U2078" s="5" t="inlineStr">
        <is>
          <t>OK</t>
        </is>
      </c>
    </row>
    <row r="2079">
      <c r="A2079" s="5" t="inlineStr">
        <is>
          <t>E02720</t>
        </is>
      </c>
      <c r="B2079" s="5" t="inlineStr">
        <is>
          <t>Male</t>
        </is>
      </c>
      <c r="C2079" s="6" t="inlineStr">
        <is>
          <t>33</t>
        </is>
      </c>
      <c r="D2079" s="5" t="inlineStr">
        <is>
          <t>Single</t>
        </is>
      </c>
      <c r="E2079" s="5" t="inlineStr">
        <is>
          <t>PhD</t>
        </is>
      </c>
      <c r="F2079" s="5" t="inlineStr">
        <is>
          <t>Research &amp; Development</t>
        </is>
      </c>
      <c r="G2079" s="5" t="inlineStr">
        <is>
          <t>Product Engineer</t>
        </is>
      </c>
      <c r="H2079" s="5" t="inlineStr">
        <is>
          <t>1</t>
        </is>
      </c>
      <c r="I2079" s="5" t="inlineStr">
        <is>
          <t>Hyderabad</t>
        </is>
      </c>
      <c r="J2079" s="5" t="inlineStr">
        <is>
          <t>Full-Time</t>
        </is>
      </c>
      <c r="K2079" s="7" t="n">
        <v>44135</v>
      </c>
      <c r="L2079" s="7" t="inlineStr"/>
      <c r="M2079" s="5" t="inlineStr">
        <is>
          <t>Yes</t>
        </is>
      </c>
      <c r="N2079" s="5" t="inlineStr"/>
      <c r="O2079" s="8" t="inlineStr">
        <is>
          <t>155500</t>
        </is>
      </c>
      <c r="P2079" s="5" t="inlineStr">
        <is>
          <t>0</t>
        </is>
      </c>
      <c r="Q2079" s="5" t="inlineStr">
        <is>
          <t>3</t>
        </is>
      </c>
      <c r="R2079" s="5" t="inlineStr">
        <is>
          <t>7</t>
        </is>
      </c>
      <c r="S2079" s="5" t="inlineStr">
        <is>
          <t>62</t>
        </is>
      </c>
      <c r="T2079" s="5" t="inlineStr">
        <is>
          <t>11</t>
        </is>
      </c>
      <c r="U2079" s="5" t="inlineStr">
        <is>
          <t>OK</t>
        </is>
      </c>
    </row>
    <row r="2080">
      <c r="A2080" s="5" t="inlineStr">
        <is>
          <t>E01027</t>
        </is>
      </c>
      <c r="B2080" s="5" t="inlineStr">
        <is>
          <t>Male</t>
        </is>
      </c>
      <c r="C2080" s="6" t="inlineStr">
        <is>
          <t>34</t>
        </is>
      </c>
      <c r="D2080" s="5" t="inlineStr">
        <is>
          <t>Single</t>
        </is>
      </c>
      <c r="E2080" s="5" t="inlineStr">
        <is>
          <t>PhD</t>
        </is>
      </c>
      <c r="F2080" s="5" t="inlineStr">
        <is>
          <t>Research &amp; Development</t>
        </is>
      </c>
      <c r="G2080" s="5" t="inlineStr">
        <is>
          <t>Data Scientist</t>
        </is>
      </c>
      <c r="H2080" s="5" t="inlineStr">
        <is>
          <t>5</t>
        </is>
      </c>
      <c r="I2080" s="5" t="inlineStr">
        <is>
          <t>Hyderabad</t>
        </is>
      </c>
      <c r="J2080" s="5" t="inlineStr">
        <is>
          <t>Full-Time</t>
        </is>
      </c>
      <c r="K2080" s="7" t="n">
        <v>45914</v>
      </c>
      <c r="L2080" s="7" t="inlineStr"/>
      <c r="M2080" s="5" t="inlineStr">
        <is>
          <t>Yes</t>
        </is>
      </c>
      <c r="N2080" s="5" t="inlineStr"/>
      <c r="O2080" s="8" t="inlineStr">
        <is>
          <t>184500</t>
        </is>
      </c>
      <c r="P2080" s="5" t="inlineStr">
        <is>
          <t>15</t>
        </is>
      </c>
      <c r="Q2080" s="5" t="inlineStr">
        <is>
          <t>3</t>
        </is>
      </c>
      <c r="R2080" s="5" t="inlineStr">
        <is>
          <t>8</t>
        </is>
      </c>
      <c r="S2080" s="5" t="inlineStr">
        <is>
          <t>3</t>
        </is>
      </c>
      <c r="T2080" s="5" t="inlineStr">
        <is>
          <t>0</t>
        </is>
      </c>
      <c r="U2080" s="5" t="inlineStr">
        <is>
          <t>OK</t>
        </is>
      </c>
    </row>
    <row r="2081">
      <c r="A2081" s="5" t="inlineStr">
        <is>
          <t>E00100</t>
        </is>
      </c>
      <c r="B2081" s="5" t="inlineStr">
        <is>
          <t>Female</t>
        </is>
      </c>
      <c r="C2081" s="6" t="inlineStr">
        <is>
          <t>31</t>
        </is>
      </c>
      <c r="D2081" s="5" t="inlineStr">
        <is>
          <t>Married</t>
        </is>
      </c>
      <c r="E2081" s="5" t="inlineStr">
        <is>
          <t>High School</t>
        </is>
      </c>
      <c r="F2081" s="5" t="inlineStr">
        <is>
          <t>Operations</t>
        </is>
      </c>
      <c r="G2081" s="5" t="inlineStr">
        <is>
          <t>Operations Analyst</t>
        </is>
      </c>
      <c r="H2081" s="5" t="inlineStr">
        <is>
          <t>1</t>
        </is>
      </c>
      <c r="I2081" s="5" t="inlineStr">
        <is>
          <t>Bengaluru</t>
        </is>
      </c>
      <c r="J2081" s="5" t="inlineStr">
        <is>
          <t>Contract</t>
        </is>
      </c>
      <c r="K2081" s="7" t="n">
        <v>45360</v>
      </c>
      <c r="L2081" s="7" t="inlineStr"/>
      <c r="M2081" s="5" t="inlineStr">
        <is>
          <t>Yes</t>
        </is>
      </c>
      <c r="N2081" s="5" t="inlineStr"/>
      <c r="O2081" s="8" t="inlineStr">
        <is>
          <t>59000</t>
        </is>
      </c>
      <c r="P2081" s="5" t="inlineStr">
        <is>
          <t>5</t>
        </is>
      </c>
      <c r="Q2081" s="5" t="inlineStr">
        <is>
          <t>5</t>
        </is>
      </c>
      <c r="R2081" s="5" t="inlineStr">
        <is>
          <t>3</t>
        </is>
      </c>
      <c r="S2081" s="5" t="inlineStr">
        <is>
          <t>22</t>
        </is>
      </c>
      <c r="T2081" s="5" t="inlineStr">
        <is>
          <t>7</t>
        </is>
      </c>
      <c r="U2081" s="5" t="inlineStr">
        <is>
          <t>OK</t>
        </is>
      </c>
    </row>
    <row r="2082">
      <c r="A2082" s="5" t="inlineStr">
        <is>
          <t>E00561</t>
        </is>
      </c>
      <c r="B2082" s="5" t="inlineStr">
        <is>
          <t>Male</t>
        </is>
      </c>
      <c r="C2082" s="6" t="inlineStr">
        <is>
          <t>26</t>
        </is>
      </c>
      <c r="D2082" s="5" t="inlineStr">
        <is>
          <t>Married</t>
        </is>
      </c>
      <c r="E2082" s="5" t="inlineStr">
        <is>
          <t>Bachelor</t>
        </is>
      </c>
      <c r="F2082" s="5" t="inlineStr">
        <is>
          <t>Human Resources</t>
        </is>
      </c>
      <c r="G2082" s="5" t="inlineStr">
        <is>
          <t>HR Analyst</t>
        </is>
      </c>
      <c r="H2082" s="5" t="inlineStr">
        <is>
          <t>1</t>
        </is>
      </c>
      <c r="I2082" s="5" t="inlineStr">
        <is>
          <t>Delhi</t>
        </is>
      </c>
      <c r="J2082" s="5" t="inlineStr">
        <is>
          <t>Contract</t>
        </is>
      </c>
      <c r="K2082" s="7" t="n">
        <v>45926</v>
      </c>
      <c r="L2082" s="7" t="inlineStr"/>
      <c r="M2082" s="5" t="inlineStr">
        <is>
          <t>Yes</t>
        </is>
      </c>
      <c r="N2082" s="5" t="inlineStr"/>
      <c r="O2082" s="8" t="inlineStr">
        <is>
          <t>67000</t>
        </is>
      </c>
      <c r="P2082" s="5" t="inlineStr">
        <is>
          <t>0</t>
        </is>
      </c>
      <c r="Q2082" s="5" t="inlineStr">
        <is>
          <t>4</t>
        </is>
      </c>
      <c r="R2082" s="5" t="inlineStr">
        <is>
          <t>6</t>
        </is>
      </c>
      <c r="S2082" s="5" t="inlineStr">
        <is>
          <t>3</t>
        </is>
      </c>
      <c r="T2082" s="5" t="inlineStr">
        <is>
          <t>5</t>
        </is>
      </c>
      <c r="U2082" s="5" t="inlineStr">
        <is>
          <t>OK</t>
        </is>
      </c>
    </row>
    <row r="2083">
      <c r="A2083" s="5" t="inlineStr">
        <is>
          <t>E00992</t>
        </is>
      </c>
      <c r="B2083" s="5" t="inlineStr">
        <is>
          <t>Female</t>
        </is>
      </c>
      <c r="C2083" s="6" t="inlineStr">
        <is>
          <t>29</t>
        </is>
      </c>
      <c r="D2083" s="5" t="inlineStr">
        <is>
          <t>Married</t>
        </is>
      </c>
      <c r="E2083" s="5" t="inlineStr">
        <is>
          <t>PhD</t>
        </is>
      </c>
      <c r="F2083" s="5" t="inlineStr">
        <is>
          <t>Customer Support</t>
        </is>
      </c>
      <c r="G2083" s="5" t="inlineStr">
        <is>
          <t>Support Agent</t>
        </is>
      </c>
      <c r="H2083" s="5" t="inlineStr">
        <is>
          <t>3</t>
        </is>
      </c>
      <c r="I2083" s="5" t="inlineStr">
        <is>
          <t>Bengaluru</t>
        </is>
      </c>
      <c r="J2083" s="5" t="inlineStr">
        <is>
          <t>Full-Time</t>
        </is>
      </c>
      <c r="K2083" s="7" t="n">
        <v>45948</v>
      </c>
      <c r="L2083" s="7" t="n">
        <v>46021</v>
      </c>
      <c r="M2083" s="5" t="inlineStr">
        <is>
          <t>No</t>
        </is>
      </c>
      <c r="N2083" s="5" t="inlineStr">
        <is>
          <t>Resigned</t>
        </is>
      </c>
      <c r="O2083" s="8" t="inlineStr">
        <is>
          <t>82000</t>
        </is>
      </c>
      <c r="P2083" s="5" t="inlineStr">
        <is>
          <t>10</t>
        </is>
      </c>
      <c r="Q2083" s="5" t="inlineStr">
        <is>
          <t>4</t>
        </is>
      </c>
      <c r="R2083" s="5" t="inlineStr">
        <is>
          <t>1</t>
        </is>
      </c>
      <c r="S2083" s="5" t="inlineStr">
        <is>
          <t>2</t>
        </is>
      </c>
      <c r="T2083" s="5" t="inlineStr">
        <is>
          <t>0</t>
        </is>
      </c>
      <c r="U2083" s="5" t="inlineStr">
        <is>
          <t>OK</t>
        </is>
      </c>
    </row>
    <row r="2084">
      <c r="A2084" s="5" t="inlineStr">
        <is>
          <t>E01850</t>
        </is>
      </c>
      <c r="B2084" s="5" t="inlineStr">
        <is>
          <t>Female</t>
        </is>
      </c>
      <c r="C2084" s="6" t="inlineStr">
        <is>
          <t>37</t>
        </is>
      </c>
      <c r="D2084" s="5" t="inlineStr">
        <is>
          <t>Single</t>
        </is>
      </c>
      <c r="E2084" s="5" t="inlineStr">
        <is>
          <t>Diploma</t>
        </is>
      </c>
      <c r="F2084" s="5" t="inlineStr">
        <is>
          <t>IT</t>
        </is>
      </c>
      <c r="G2084" s="5" t="inlineStr">
        <is>
          <t>Data Analyst</t>
        </is>
      </c>
      <c r="H2084" s="5" t="inlineStr">
        <is>
          <t>3</t>
        </is>
      </c>
      <c r="I2084" s="5" t="inlineStr">
        <is>
          <t>Remote</t>
        </is>
      </c>
      <c r="J2084" s="5" t="inlineStr">
        <is>
          <t>Full-Time</t>
        </is>
      </c>
      <c r="K2084" s="7" t="n">
        <v>45073</v>
      </c>
      <c r="L2084" s="7" t="inlineStr"/>
      <c r="M2084" s="5" t="inlineStr">
        <is>
          <t>Yes</t>
        </is>
      </c>
      <c r="N2084" s="5" t="inlineStr"/>
      <c r="O2084" s="8" t="inlineStr">
        <is>
          <t>163500</t>
        </is>
      </c>
      <c r="P2084" s="5" t="inlineStr">
        <is>
          <t>5</t>
        </is>
      </c>
      <c r="Q2084" s="5" t="inlineStr">
        <is>
          <t>4</t>
        </is>
      </c>
      <c r="R2084" s="5" t="inlineStr">
        <is>
          <t>6</t>
        </is>
      </c>
      <c r="S2084" s="5" t="inlineStr">
        <is>
          <t>31</t>
        </is>
      </c>
      <c r="T2084" s="5" t="inlineStr">
        <is>
          <t>13</t>
        </is>
      </c>
      <c r="U2084" s="5" t="inlineStr">
        <is>
          <t>OK</t>
        </is>
      </c>
    </row>
    <row r="2085">
      <c r="A2085" s="5" t="inlineStr">
        <is>
          <t>E01386</t>
        </is>
      </c>
      <c r="B2085" s="5" t="inlineStr">
        <is>
          <t>Male</t>
        </is>
      </c>
      <c r="C2085" s="6" t="inlineStr">
        <is>
          <t>35</t>
        </is>
      </c>
      <c r="D2085" s="5" t="inlineStr">
        <is>
          <t>Married</t>
        </is>
      </c>
      <c r="E2085" s="5" t="inlineStr">
        <is>
          <t>Diploma</t>
        </is>
      </c>
      <c r="F2085" s="5" t="inlineStr">
        <is>
          <t>Customer Support</t>
        </is>
      </c>
      <c r="G2085" s="5" t="inlineStr">
        <is>
          <t>Support Agent</t>
        </is>
      </c>
      <c r="H2085" s="5" t="inlineStr">
        <is>
          <t>3</t>
        </is>
      </c>
      <c r="I2085" s="5" t="inlineStr">
        <is>
          <t>Delhi</t>
        </is>
      </c>
      <c r="J2085" s="5" t="inlineStr">
        <is>
          <t>Full-Time</t>
        </is>
      </c>
      <c r="K2085" s="7" t="n">
        <v>44667</v>
      </c>
      <c r="L2085" s="7" t="inlineStr"/>
      <c r="M2085" s="5" t="inlineStr">
        <is>
          <t>Yes</t>
        </is>
      </c>
      <c r="N2085" s="5" t="inlineStr"/>
      <c r="O2085" s="8" t="inlineStr">
        <is>
          <t>54000</t>
        </is>
      </c>
      <c r="P2085" s="5" t="inlineStr">
        <is>
          <t>15</t>
        </is>
      </c>
      <c r="Q2085" s="5" t="inlineStr">
        <is>
          <t>3</t>
        </is>
      </c>
      <c r="R2085" s="5" t="inlineStr">
        <is>
          <t>4</t>
        </is>
      </c>
      <c r="S2085" s="5" t="inlineStr">
        <is>
          <t>45</t>
        </is>
      </c>
      <c r="T2085" s="5" t="inlineStr">
        <is>
          <t>11</t>
        </is>
      </c>
      <c r="U2085" s="5" t="inlineStr">
        <is>
          <t>OK</t>
        </is>
      </c>
    </row>
    <row r="2086">
      <c r="A2086" s="5" t="inlineStr">
        <is>
          <t>E02006</t>
        </is>
      </c>
      <c r="B2086" s="5" t="inlineStr">
        <is>
          <t>Male</t>
        </is>
      </c>
      <c r="C2086" s="6" t="inlineStr">
        <is>
          <t>31</t>
        </is>
      </c>
      <c r="D2086" s="5" t="inlineStr">
        <is>
          <t>Married</t>
        </is>
      </c>
      <c r="E2086" s="5" t="inlineStr">
        <is>
          <t>Bachelor</t>
        </is>
      </c>
      <c r="F2086" s="5" t="inlineStr">
        <is>
          <t>Finance</t>
        </is>
      </c>
      <c r="G2086" s="5" t="inlineStr">
        <is>
          <t>Credit Analyst</t>
        </is>
      </c>
      <c r="H2086" s="5" t="inlineStr">
        <is>
          <t>2</t>
        </is>
      </c>
      <c r="I2086" s="5" t="inlineStr">
        <is>
          <t>Chennai</t>
        </is>
      </c>
      <c r="J2086" s="5" t="inlineStr">
        <is>
          <t>Full-Time</t>
        </is>
      </c>
      <c r="K2086" s="7" t="n">
        <v>44449</v>
      </c>
      <c r="L2086" s="7" t="inlineStr"/>
      <c r="M2086" s="5" t="inlineStr">
        <is>
          <t>Yes</t>
        </is>
      </c>
      <c r="N2086" s="5" t="inlineStr"/>
      <c r="O2086" s="8" t="inlineStr">
        <is>
          <t>74000</t>
        </is>
      </c>
      <c r="P2086" s="5" t="inlineStr">
        <is>
          <t>0</t>
        </is>
      </c>
      <c r="Q2086" s="5" t="inlineStr">
        <is>
          <t>4</t>
        </is>
      </c>
      <c r="R2086" s="5" t="inlineStr">
        <is>
          <t>4</t>
        </is>
      </c>
      <c r="S2086" s="5" t="inlineStr">
        <is>
          <t>52</t>
        </is>
      </c>
      <c r="T2086" s="5" t="inlineStr">
        <is>
          <t>15</t>
        </is>
      </c>
      <c r="U2086" s="5" t="inlineStr">
        <is>
          <t>OK</t>
        </is>
      </c>
    </row>
    <row r="2087">
      <c r="A2087" s="5" t="inlineStr">
        <is>
          <t>E00019</t>
        </is>
      </c>
      <c r="B2087" s="5" t="inlineStr">
        <is>
          <t>Female</t>
        </is>
      </c>
      <c r="C2087" s="6" t="inlineStr">
        <is>
          <t>29</t>
        </is>
      </c>
      <c r="D2087" s="5" t="inlineStr">
        <is>
          <t>Single</t>
        </is>
      </c>
      <c r="E2087" s="5" t="inlineStr">
        <is>
          <t>PhD</t>
        </is>
      </c>
      <c r="F2087" s="5" t="inlineStr">
        <is>
          <t>Human Resources</t>
        </is>
      </c>
      <c r="G2087" s="5" t="inlineStr">
        <is>
          <t>Recruiter</t>
        </is>
      </c>
      <c r="H2087" s="5" t="inlineStr">
        <is>
          <t>1</t>
        </is>
      </c>
      <c r="I2087" s="5" t="inlineStr">
        <is>
          <t>Chennai</t>
        </is>
      </c>
      <c r="J2087" s="5" t="inlineStr">
        <is>
          <t>Part-Time</t>
        </is>
      </c>
      <c r="K2087" s="7" t="n">
        <v>45119</v>
      </c>
      <c r="L2087" s="7" t="inlineStr"/>
      <c r="M2087" s="5" t="inlineStr">
        <is>
          <t>Yes</t>
        </is>
      </c>
      <c r="N2087" s="5" t="inlineStr"/>
      <c r="O2087" s="8" t="inlineStr">
        <is>
          <t>57000</t>
        </is>
      </c>
      <c r="P2087" s="5" t="inlineStr">
        <is>
          <t>0</t>
        </is>
      </c>
      <c r="Q2087" s="5" t="inlineStr">
        <is>
          <t>5</t>
        </is>
      </c>
      <c r="R2087" s="5" t="inlineStr">
        <is>
          <t>7</t>
        </is>
      </c>
      <c r="S2087" s="5" t="inlineStr">
        <is>
          <t>30</t>
        </is>
      </c>
      <c r="T2087" s="5" t="inlineStr">
        <is>
          <t>3</t>
        </is>
      </c>
      <c r="U2087" s="5" t="inlineStr">
        <is>
          <t>OK</t>
        </is>
      </c>
    </row>
    <row r="2088">
      <c r="A2088" s="5" t="inlineStr">
        <is>
          <t>E01623</t>
        </is>
      </c>
      <c r="B2088" s="5" t="inlineStr">
        <is>
          <t>Male</t>
        </is>
      </c>
      <c r="C2088" s="6" t="inlineStr">
        <is>
          <t>31</t>
        </is>
      </c>
      <c r="D2088" s="5" t="inlineStr">
        <is>
          <t>Single</t>
        </is>
      </c>
      <c r="E2088" s="5" t="inlineStr">
        <is>
          <t>Bachelor</t>
        </is>
      </c>
      <c r="F2088" s="5" t="inlineStr">
        <is>
          <t>IT</t>
        </is>
      </c>
      <c r="G2088" s="5" t="inlineStr">
        <is>
          <t>Software Engineer</t>
        </is>
      </c>
      <c r="H2088" s="5" t="inlineStr">
        <is>
          <t>5</t>
        </is>
      </c>
      <c r="I2088" s="5" t="inlineStr">
        <is>
          <t>Remote</t>
        </is>
      </c>
      <c r="J2088" s="5" t="inlineStr">
        <is>
          <t>Full-Time</t>
        </is>
      </c>
      <c r="K2088" s="7" t="n">
        <v>45452</v>
      </c>
      <c r="L2088" s="7" t="inlineStr"/>
      <c r="M2088" s="5" t="inlineStr">
        <is>
          <t>Yes</t>
        </is>
      </c>
      <c r="N2088" s="5" t="inlineStr"/>
      <c r="O2088" s="8" t="inlineStr">
        <is>
          <t>178500</t>
        </is>
      </c>
      <c r="P2088" s="5" t="inlineStr">
        <is>
          <t>10</t>
        </is>
      </c>
      <c r="Q2088" s="5" t="inlineStr">
        <is>
          <t>3</t>
        </is>
      </c>
      <c r="R2088" s="5" t="inlineStr">
        <is>
          <t>7</t>
        </is>
      </c>
      <c r="S2088" s="5" t="inlineStr">
        <is>
          <t>19</t>
        </is>
      </c>
      <c r="T2088" s="5" t="inlineStr">
        <is>
          <t>0</t>
        </is>
      </c>
      <c r="U2088" s="5" t="inlineStr">
        <is>
          <t>OK</t>
        </is>
      </c>
    </row>
    <row r="2089">
      <c r="A2089" s="5" t="inlineStr">
        <is>
          <t>E02846</t>
        </is>
      </c>
      <c r="B2089" s="5" t="inlineStr">
        <is>
          <t>Male</t>
        </is>
      </c>
      <c r="C2089" s="6" t="inlineStr">
        <is>
          <t>23</t>
        </is>
      </c>
      <c r="D2089" s="5" t="inlineStr">
        <is>
          <t>Single</t>
        </is>
      </c>
      <c r="E2089" s="5" t="inlineStr">
        <is>
          <t>Master</t>
        </is>
      </c>
      <c r="F2089" s="5" t="inlineStr">
        <is>
          <t>Customer Support</t>
        </is>
      </c>
      <c r="G2089" s="5" t="inlineStr">
        <is>
          <t>Support Agent</t>
        </is>
      </c>
      <c r="H2089" s="5" t="inlineStr">
        <is>
          <t>1</t>
        </is>
      </c>
      <c r="I2089" s="5" t="inlineStr">
        <is>
          <t>Mumbai</t>
        </is>
      </c>
      <c r="J2089" s="5" t="inlineStr">
        <is>
          <t>Full-Time</t>
        </is>
      </c>
      <c r="K2089" s="7" t="n">
        <v>44441</v>
      </c>
      <c r="L2089" s="7" t="n">
        <v>44555</v>
      </c>
      <c r="M2089" s="5" t="inlineStr">
        <is>
          <t>No</t>
        </is>
      </c>
      <c r="N2089" s="5" t="inlineStr">
        <is>
          <t>Resigned</t>
        </is>
      </c>
      <c r="O2089" s="8" t="inlineStr">
        <is>
          <t>68500</t>
        </is>
      </c>
      <c r="P2089" s="5" t="inlineStr">
        <is>
          <t>20</t>
        </is>
      </c>
      <c r="Q2089" s="5" t="inlineStr">
        <is>
          <t>4</t>
        </is>
      </c>
      <c r="R2089" s="5" t="inlineStr">
        <is>
          <t>3</t>
        </is>
      </c>
      <c r="S2089" s="5" t="inlineStr">
        <is>
          <t>3</t>
        </is>
      </c>
      <c r="T2089" s="5" t="inlineStr">
        <is>
          <t>7</t>
        </is>
      </c>
      <c r="U2089" s="5" t="inlineStr">
        <is>
          <t>OK</t>
        </is>
      </c>
    </row>
    <row r="2090">
      <c r="A2090" s="5" t="inlineStr">
        <is>
          <t>E02872</t>
        </is>
      </c>
      <c r="B2090" s="5" t="inlineStr">
        <is>
          <t>female</t>
        </is>
      </c>
      <c r="C2090" s="6" t="inlineStr">
        <is>
          <t>27</t>
        </is>
      </c>
      <c r="D2090" s="5" t="inlineStr">
        <is>
          <t>Married</t>
        </is>
      </c>
      <c r="E2090" s="5" t="inlineStr">
        <is>
          <t>Master</t>
        </is>
      </c>
      <c r="F2090" s="5" t="inlineStr">
        <is>
          <t>Human Resources</t>
        </is>
      </c>
      <c r="G2090" s="5" t="inlineStr">
        <is>
          <t>HR Analyst</t>
        </is>
      </c>
      <c r="H2090" s="5" t="inlineStr">
        <is>
          <t>3</t>
        </is>
      </c>
      <c r="I2090" s="5" t="inlineStr">
        <is>
          <t>Hyderabad</t>
        </is>
      </c>
      <c r="J2090" s="5" t="inlineStr">
        <is>
          <t>Full-Time</t>
        </is>
      </c>
      <c r="K2090" s="7" t="n">
        <v>45216</v>
      </c>
      <c r="L2090" s="7" t="inlineStr"/>
      <c r="M2090" s="5" t="inlineStr">
        <is>
          <t>Yes</t>
        </is>
      </c>
      <c r="N2090" s="5" t="inlineStr"/>
      <c r="O2090" s="8" t="inlineStr">
        <is>
          <t>79000</t>
        </is>
      </c>
      <c r="P2090" s="5" t="inlineStr">
        <is>
          <t>0</t>
        </is>
      </c>
      <c r="Q2090" s="5" t="inlineStr">
        <is>
          <t>5</t>
        </is>
      </c>
      <c r="R2090" s="5" t="inlineStr">
        <is>
          <t>8</t>
        </is>
      </c>
      <c r="S2090" s="5" t="inlineStr">
        <is>
          <t>26</t>
        </is>
      </c>
      <c r="T2090" s="5" t="inlineStr">
        <is>
          <t>17</t>
        </is>
      </c>
      <c r="U2090" s="5" t="inlineStr">
        <is>
          <t>OK</t>
        </is>
      </c>
    </row>
    <row r="2091">
      <c r="A2091" s="5" t="inlineStr">
        <is>
          <t>E02448</t>
        </is>
      </c>
      <c r="B2091" s="5" t="inlineStr">
        <is>
          <t>Unknown</t>
        </is>
      </c>
      <c r="C2091" s="6" t="inlineStr">
        <is>
          <t>25</t>
        </is>
      </c>
      <c r="D2091" s="5" t="inlineStr">
        <is>
          <t>Married</t>
        </is>
      </c>
      <c r="E2091" s="5" t="inlineStr">
        <is>
          <t>Bachelor</t>
        </is>
      </c>
      <c r="F2091" s="5" t="inlineStr">
        <is>
          <t>IT</t>
        </is>
      </c>
      <c r="G2091" s="5" t="inlineStr">
        <is>
          <t>DevOps Engineer</t>
        </is>
      </c>
      <c r="H2091" s="5" t="inlineStr">
        <is>
          <t>2</t>
        </is>
      </c>
      <c r="I2091" s="5" t="inlineStr">
        <is>
          <t>Chennai</t>
        </is>
      </c>
      <c r="J2091" s="5" t="inlineStr">
        <is>
          <t>Full-Time</t>
        </is>
      </c>
      <c r="K2091" s="7" t="n">
        <v>43940</v>
      </c>
      <c r="L2091" s="7" t="n">
        <v>43990</v>
      </c>
      <c r="M2091" s="5" t="inlineStr">
        <is>
          <t>No</t>
        </is>
      </c>
      <c r="N2091" s="5" t="inlineStr">
        <is>
          <t>Resigned</t>
        </is>
      </c>
      <c r="O2091" s="8" t="inlineStr">
        <is>
          <t>101500</t>
        </is>
      </c>
      <c r="P2091" s="5" t="inlineStr">
        <is>
          <t>5</t>
        </is>
      </c>
      <c r="Q2091" s="5" t="inlineStr">
        <is>
          <t>3</t>
        </is>
      </c>
      <c r="R2091" s="5" t="inlineStr">
        <is>
          <t>2</t>
        </is>
      </c>
      <c r="S2091" s="5" t="inlineStr">
        <is>
          <t>1</t>
        </is>
      </c>
      <c r="T2091" s="5" t="inlineStr">
        <is>
          <t>8</t>
        </is>
      </c>
      <c r="U2091" s="5" t="inlineStr">
        <is>
          <t>Bad gender</t>
        </is>
      </c>
    </row>
    <row r="2092">
      <c r="A2092" s="5" t="inlineStr">
        <is>
          <t>E02637</t>
        </is>
      </c>
      <c r="B2092" s="5" t="inlineStr">
        <is>
          <t>Male</t>
        </is>
      </c>
      <c r="C2092" s="6" t="inlineStr">
        <is>
          <t>32</t>
        </is>
      </c>
      <c r="D2092" s="5" t="inlineStr">
        <is>
          <t>Married</t>
        </is>
      </c>
      <c r="E2092" s="5" t="inlineStr">
        <is>
          <t>Bachelor</t>
        </is>
      </c>
      <c r="F2092" s="5" t="inlineStr">
        <is>
          <t>Operations</t>
        </is>
      </c>
      <c r="G2092" s="5" t="inlineStr">
        <is>
          <t>Operations Analyst</t>
        </is>
      </c>
      <c r="H2092" s="5" t="inlineStr">
        <is>
          <t>2</t>
        </is>
      </c>
      <c r="I2092" s="5" t="inlineStr">
        <is>
          <t>Mumbai</t>
        </is>
      </c>
      <c r="J2092" s="5" t="inlineStr">
        <is>
          <t>Part-Time</t>
        </is>
      </c>
      <c r="K2092" s="7" t="n">
        <v>45747</v>
      </c>
      <c r="L2092" s="7" t="n">
        <v>45877</v>
      </c>
      <c r="M2092" s="5" t="inlineStr">
        <is>
          <t>No</t>
        </is>
      </c>
      <c r="N2092" s="5" t="inlineStr">
        <is>
          <t>Resigned</t>
        </is>
      </c>
      <c r="O2092" s="8" t="inlineStr">
        <is>
          <t>72000</t>
        </is>
      </c>
      <c r="P2092" s="5" t="inlineStr">
        <is>
          <t>5</t>
        </is>
      </c>
      <c r="Q2092" s="5" t="inlineStr">
        <is>
          <t>4</t>
        </is>
      </c>
      <c r="R2092" s="5" t="inlineStr">
        <is>
          <t>3</t>
        </is>
      </c>
      <c r="S2092" s="5" t="inlineStr">
        <is>
          <t>4</t>
        </is>
      </c>
      <c r="T2092" s="5" t="inlineStr">
        <is>
          <t>1</t>
        </is>
      </c>
      <c r="U2092" s="5" t="inlineStr">
        <is>
          <t>OK</t>
        </is>
      </c>
    </row>
    <row r="2093">
      <c r="A2093" s="5" t="inlineStr">
        <is>
          <t>E02096</t>
        </is>
      </c>
      <c r="B2093" s="5" t="inlineStr">
        <is>
          <t>Male</t>
        </is>
      </c>
      <c r="C2093" s="6" t="inlineStr">
        <is>
          <t>37</t>
        </is>
      </c>
      <c r="D2093" s="5" t="inlineStr">
        <is>
          <t>Married</t>
        </is>
      </c>
      <c r="E2093" s="5" t="inlineStr">
        <is>
          <t>High School</t>
        </is>
      </c>
      <c r="F2093" s="5" t="inlineStr">
        <is>
          <t>Sales</t>
        </is>
      </c>
      <c r="G2093" s="5" t="inlineStr">
        <is>
          <t>Account Executive</t>
        </is>
      </c>
      <c r="H2093" s="5" t="inlineStr">
        <is>
          <t>3</t>
        </is>
      </c>
      <c r="I2093" s="5" t="inlineStr">
        <is>
          <t>Bengaluru</t>
        </is>
      </c>
      <c r="J2093" s="5" t="inlineStr">
        <is>
          <t>Full-Time</t>
        </is>
      </c>
      <c r="K2093" s="7" t="n">
        <v>44084</v>
      </c>
      <c r="L2093" s="7" t="inlineStr"/>
      <c r="M2093" s="5" t="inlineStr">
        <is>
          <t>Yes</t>
        </is>
      </c>
      <c r="N2093" s="5" t="inlineStr"/>
      <c r="O2093" s="8" t="inlineStr">
        <is>
          <t>125000</t>
        </is>
      </c>
      <c r="P2093" s="5" t="inlineStr">
        <is>
          <t>10</t>
        </is>
      </c>
      <c r="Q2093" s="5" t="inlineStr">
        <is>
          <t>3</t>
        </is>
      </c>
      <c r="R2093" s="5" t="inlineStr">
        <is>
          <t>5</t>
        </is>
      </c>
      <c r="S2093" s="5" t="inlineStr">
        <is>
          <t>64</t>
        </is>
      </c>
      <c r="T2093" s="5" t="inlineStr">
        <is>
          <t>9</t>
        </is>
      </c>
      <c r="U2093" s="5" t="inlineStr">
        <is>
          <t>OK</t>
        </is>
      </c>
    </row>
    <row r="2094">
      <c r="A2094" s="5" t="inlineStr">
        <is>
          <t>E01802</t>
        </is>
      </c>
      <c r="B2094" s="5" t="inlineStr">
        <is>
          <t>Male</t>
        </is>
      </c>
      <c r="C2094" s="6" t="inlineStr">
        <is>
          <t>25</t>
        </is>
      </c>
      <c r="D2094" s="5" t="inlineStr">
        <is>
          <t>Married</t>
        </is>
      </c>
      <c r="E2094" s="5" t="inlineStr">
        <is>
          <t>Master</t>
        </is>
      </c>
      <c r="F2094" s="5" t="inlineStr">
        <is>
          <t>IT</t>
        </is>
      </c>
      <c r="G2094" s="5" t="inlineStr">
        <is>
          <t>DevOps Engineer</t>
        </is>
      </c>
      <c r="H2094" s="5" t="inlineStr">
        <is>
          <t>1</t>
        </is>
      </c>
      <c r="I2094" s="5" t="inlineStr">
        <is>
          <t>Remote</t>
        </is>
      </c>
      <c r="J2094" s="5" t="inlineStr">
        <is>
          <t>Full-Time</t>
        </is>
      </c>
      <c r="K2094" s="7" t="n">
        <v>44558</v>
      </c>
      <c r="L2094" s="7" t="n">
        <v>44702</v>
      </c>
      <c r="M2094" s="5" t="inlineStr">
        <is>
          <t>No</t>
        </is>
      </c>
      <c r="N2094" s="5" t="inlineStr">
        <is>
          <t>Resigned</t>
        </is>
      </c>
      <c r="O2094" s="8" t="inlineStr">
        <is>
          <t>125500</t>
        </is>
      </c>
      <c r="P2094" s="5" t="inlineStr">
        <is>
          <t>0</t>
        </is>
      </c>
      <c r="Q2094" s="5" t="inlineStr">
        <is>
          <t>4</t>
        </is>
      </c>
      <c r="R2094" s="5" t="inlineStr">
        <is>
          <t>3</t>
        </is>
      </c>
      <c r="S2094" s="5" t="inlineStr">
        <is>
          <t>4</t>
        </is>
      </c>
      <c r="T2094" s="5" t="inlineStr">
        <is>
          <t>1</t>
        </is>
      </c>
      <c r="U2094" s="5" t="inlineStr">
        <is>
          <t>OK</t>
        </is>
      </c>
    </row>
    <row r="2095">
      <c r="A2095" s="5" t="inlineStr">
        <is>
          <t>E00062</t>
        </is>
      </c>
      <c r="B2095" s="5" t="inlineStr">
        <is>
          <t>Male</t>
        </is>
      </c>
      <c r="C2095" s="6" t="inlineStr">
        <is>
          <t>26</t>
        </is>
      </c>
      <c r="D2095" s="5" t="inlineStr">
        <is>
          <t>Divorced</t>
        </is>
      </c>
      <c r="E2095" s="5" t="inlineStr">
        <is>
          <t>Bachelor</t>
        </is>
      </c>
      <c r="F2095" s="5" t="inlineStr">
        <is>
          <t>Sales</t>
        </is>
      </c>
      <c r="G2095" s="5" t="inlineStr">
        <is>
          <t>Sales Executive</t>
        </is>
      </c>
      <c r="H2095" s="5" t="inlineStr">
        <is>
          <t>1</t>
        </is>
      </c>
      <c r="I2095" s="5" t="inlineStr">
        <is>
          <t>Remote</t>
        </is>
      </c>
      <c r="J2095" s="5" t="inlineStr">
        <is>
          <t>Full-Time</t>
        </is>
      </c>
      <c r="K2095" s="7" t="n">
        <v>43917</v>
      </c>
      <c r="L2095" s="7" t="inlineStr"/>
      <c r="M2095" s="5" t="inlineStr">
        <is>
          <t>Yes</t>
        </is>
      </c>
      <c r="N2095" s="5" t="inlineStr"/>
      <c r="O2095" s="8" t="inlineStr">
        <is>
          <t>68000</t>
        </is>
      </c>
      <c r="P2095" s="5" t="inlineStr">
        <is>
          <t>10</t>
        </is>
      </c>
      <c r="Q2095" s="5" t="inlineStr">
        <is>
          <t>5</t>
        </is>
      </c>
      <c r="R2095" s="5" t="inlineStr">
        <is>
          <t>4</t>
        </is>
      </c>
      <c r="S2095" s="5" t="inlineStr">
        <is>
          <t>70</t>
        </is>
      </c>
      <c r="T2095" s="5" t="inlineStr">
        <is>
          <t>1</t>
        </is>
      </c>
      <c r="U2095" s="5" t="inlineStr">
        <is>
          <t>OK</t>
        </is>
      </c>
    </row>
    <row r="2096">
      <c r="A2096" s="5" t="inlineStr">
        <is>
          <t>E00001</t>
        </is>
      </c>
      <c r="B2096" s="5" t="inlineStr">
        <is>
          <t>female</t>
        </is>
      </c>
      <c r="C2096" s="6" t="inlineStr">
        <is>
          <t>40</t>
        </is>
      </c>
      <c r="D2096" s="5" t="inlineStr">
        <is>
          <t>Single</t>
        </is>
      </c>
      <c r="E2096" s="5" t="inlineStr">
        <is>
          <t>PhD</t>
        </is>
      </c>
      <c r="F2096" s="5" t="inlineStr">
        <is>
          <t>IT</t>
        </is>
      </c>
      <c r="G2096" s="5" t="inlineStr">
        <is>
          <t>Software Engineer</t>
        </is>
      </c>
      <c r="H2096" s="5" t="inlineStr">
        <is>
          <t>5</t>
        </is>
      </c>
      <c r="I2096" s="5" t="inlineStr">
        <is>
          <t>Delhi</t>
        </is>
      </c>
      <c r="J2096" s="5" t="inlineStr">
        <is>
          <t>Full-Time</t>
        </is>
      </c>
      <c r="K2096" s="7" t="n">
        <v>44318</v>
      </c>
      <c r="L2096" s="7" t="inlineStr"/>
      <c r="M2096" s="5" t="inlineStr">
        <is>
          <t>Yes</t>
        </is>
      </c>
      <c r="N2096" s="5" t="inlineStr"/>
      <c r="O2096" s="8" t="inlineStr">
        <is>
          <t>212000</t>
        </is>
      </c>
      <c r="P2096" s="5" t="inlineStr">
        <is>
          <t>5</t>
        </is>
      </c>
      <c r="Q2096" s="5" t="inlineStr">
        <is>
          <t>4</t>
        </is>
      </c>
      <c r="R2096" s="5" t="inlineStr">
        <is>
          <t>4</t>
        </is>
      </c>
      <c r="S2096" s="5" t="inlineStr">
        <is>
          <t>56</t>
        </is>
      </c>
      <c r="T2096" s="5" t="inlineStr">
        <is>
          <t>9</t>
        </is>
      </c>
      <c r="U2096" s="5" t="inlineStr">
        <is>
          <t>OK</t>
        </is>
      </c>
    </row>
    <row r="2097">
      <c r="A2097" s="5" t="inlineStr">
        <is>
          <t>E02880</t>
        </is>
      </c>
      <c r="B2097" s="5" t="inlineStr">
        <is>
          <t>Male</t>
        </is>
      </c>
      <c r="C2097" s="6" t="inlineStr">
        <is>
          <t>28</t>
        </is>
      </c>
      <c r="D2097" s="5" t="inlineStr">
        <is>
          <t>Married</t>
        </is>
      </c>
      <c r="E2097" s="5" t="inlineStr">
        <is>
          <t>High School</t>
        </is>
      </c>
      <c r="F2097" s="5" t="inlineStr">
        <is>
          <t>Marketing</t>
        </is>
      </c>
      <c r="G2097" s="5" t="inlineStr">
        <is>
          <t>Marketing Analyst</t>
        </is>
      </c>
      <c r="H2097" s="5" t="inlineStr">
        <is>
          <t>3</t>
        </is>
      </c>
      <c r="I2097" s="5" t="inlineStr">
        <is>
          <t>Hyderabad</t>
        </is>
      </c>
      <c r="J2097" s="5" t="inlineStr">
        <is>
          <t>Part-Time</t>
        </is>
      </c>
      <c r="K2097" s="7" t="n">
        <v>44628</v>
      </c>
      <c r="L2097" s="7" t="inlineStr"/>
      <c r="M2097" s="5" t="inlineStr">
        <is>
          <t>Yes</t>
        </is>
      </c>
      <c r="N2097" s="5" t="inlineStr"/>
      <c r="O2097" s="8" t="inlineStr">
        <is>
          <t>78000</t>
        </is>
      </c>
      <c r="P2097" s="5" t="inlineStr">
        <is>
          <t>0</t>
        </is>
      </c>
      <c r="Q2097" s="5" t="inlineStr">
        <is>
          <t>4</t>
        </is>
      </c>
      <c r="R2097" s="5" t="inlineStr">
        <is>
          <t>7</t>
        </is>
      </c>
      <c r="S2097" s="5" t="inlineStr">
        <is>
          <t>46</t>
        </is>
      </c>
      <c r="T2097" s="5" t="inlineStr">
        <is>
          <t>8</t>
        </is>
      </c>
      <c r="U2097" s="5" t="inlineStr">
        <is>
          <t>OK</t>
        </is>
      </c>
    </row>
    <row r="2098">
      <c r="A2098" s="5" t="inlineStr">
        <is>
          <t>E00742</t>
        </is>
      </c>
      <c r="B2098" s="5" t="inlineStr">
        <is>
          <t>Female</t>
        </is>
      </c>
      <c r="C2098" s="6" t="inlineStr">
        <is>
          <t>30</t>
        </is>
      </c>
      <c r="D2098" s="5" t="inlineStr">
        <is>
          <t>Single</t>
        </is>
      </c>
      <c r="E2098" s="5" t="inlineStr">
        <is>
          <t>Bachelor</t>
        </is>
      </c>
      <c r="F2098" s="5" t="inlineStr">
        <is>
          <t>Sales</t>
        </is>
      </c>
      <c r="G2098" s="5" t="inlineStr">
        <is>
          <t>Account Executive</t>
        </is>
      </c>
      <c r="H2098" s="5" t="inlineStr">
        <is>
          <t>3</t>
        </is>
      </c>
      <c r="I2098" s="5" t="inlineStr">
        <is>
          <t>Mumbai</t>
        </is>
      </c>
      <c r="J2098" s="5" t="inlineStr">
        <is>
          <t>Full-Time</t>
        </is>
      </c>
      <c r="K2098" s="7" t="n">
        <v>43994</v>
      </c>
      <c r="L2098" s="7" t="inlineStr"/>
      <c r="M2098" s="5" t="inlineStr">
        <is>
          <t>Yes</t>
        </is>
      </c>
      <c r="N2098" s="5" t="inlineStr"/>
      <c r="O2098" s="8" t="inlineStr">
        <is>
          <t>98000</t>
        </is>
      </c>
      <c r="P2098" s="5" t="inlineStr">
        <is>
          <t>0</t>
        </is>
      </c>
      <c r="Q2098" s="5" t="inlineStr">
        <is>
          <t>4</t>
        </is>
      </c>
      <c r="R2098" s="5" t="inlineStr">
        <is>
          <t>1</t>
        </is>
      </c>
      <c r="S2098" s="5" t="inlineStr">
        <is>
          <t>67</t>
        </is>
      </c>
      <c r="T2098" s="5" t="inlineStr">
        <is>
          <t>0</t>
        </is>
      </c>
      <c r="U2098" s="5" t="inlineStr">
        <is>
          <t>OK</t>
        </is>
      </c>
    </row>
    <row r="2099">
      <c r="A2099" s="5" t="inlineStr">
        <is>
          <t>E02035</t>
        </is>
      </c>
      <c r="B2099" s="5" t="inlineStr">
        <is>
          <t>Male</t>
        </is>
      </c>
      <c r="C2099" s="6" t="inlineStr">
        <is>
          <t>28</t>
        </is>
      </c>
      <c r="D2099" s="5" t="inlineStr">
        <is>
          <t>Married</t>
        </is>
      </c>
      <c r="E2099" s="5" t="inlineStr">
        <is>
          <t>Bachelor</t>
        </is>
      </c>
      <c r="F2099" s="5" t="inlineStr">
        <is>
          <t>Finance</t>
        </is>
      </c>
      <c r="G2099" s="5" t="inlineStr">
        <is>
          <t>Accountant</t>
        </is>
      </c>
      <c r="H2099" s="5" t="inlineStr">
        <is>
          <t>2</t>
        </is>
      </c>
      <c r="I2099" s="5" t="inlineStr">
        <is>
          <t>Mumbai</t>
        </is>
      </c>
      <c r="J2099" s="5" t="inlineStr">
        <is>
          <t>Full-Time</t>
        </is>
      </c>
      <c r="K2099" s="7" t="n">
        <v>43958</v>
      </c>
      <c r="L2099" s="7" t="n">
        <v>44084</v>
      </c>
      <c r="M2099" s="5" t="inlineStr">
        <is>
          <t>No</t>
        </is>
      </c>
      <c r="N2099" s="5" t="inlineStr">
        <is>
          <t>Resigned</t>
        </is>
      </c>
      <c r="O2099" s="8" t="inlineStr">
        <is>
          <t>104500</t>
        </is>
      </c>
      <c r="P2099" s="5" t="inlineStr">
        <is>
          <t>10</t>
        </is>
      </c>
      <c r="Q2099" s="5" t="inlineStr">
        <is>
          <t>4</t>
        </is>
      </c>
      <c r="R2099" s="5" t="inlineStr">
        <is>
          <t>9</t>
        </is>
      </c>
      <c r="S2099" s="5" t="inlineStr">
        <is>
          <t>4</t>
        </is>
      </c>
      <c r="T2099" s="5" t="inlineStr">
        <is>
          <t>0</t>
        </is>
      </c>
      <c r="U2099" s="5" t="inlineStr">
        <is>
          <t>OK</t>
        </is>
      </c>
    </row>
    <row r="2100">
      <c r="A2100" s="5" t="inlineStr">
        <is>
          <t>E02256</t>
        </is>
      </c>
      <c r="B2100" s="5" t="inlineStr">
        <is>
          <t>Male</t>
        </is>
      </c>
      <c r="C2100" s="6" t="inlineStr">
        <is>
          <t>35</t>
        </is>
      </c>
      <c r="D2100" s="5" t="inlineStr">
        <is>
          <t>Single</t>
        </is>
      </c>
      <c r="E2100" s="5" t="inlineStr">
        <is>
          <t>PhD</t>
        </is>
      </c>
      <c r="F2100" s="5" t="inlineStr">
        <is>
          <t>IT</t>
        </is>
      </c>
      <c r="G2100" s="5" t="inlineStr">
        <is>
          <t>DevOps Engineer</t>
        </is>
      </c>
      <c r="H2100" s="5" t="inlineStr">
        <is>
          <t>6</t>
        </is>
      </c>
      <c r="I2100" s="5" t="inlineStr">
        <is>
          <t>Remote</t>
        </is>
      </c>
      <c r="J2100" s="5" t="inlineStr">
        <is>
          <t>Full-Time</t>
        </is>
      </c>
      <c r="K2100" s="7" t="n">
        <v>45919</v>
      </c>
      <c r="L2100" s="7" t="inlineStr"/>
      <c r="M2100" s="5" t="inlineStr">
        <is>
          <t>Yes</t>
        </is>
      </c>
      <c r="N2100" s="5" t="inlineStr"/>
      <c r="O2100" s="8" t="inlineStr">
        <is>
          <t>224000</t>
        </is>
      </c>
      <c r="P2100" s="5" t="inlineStr">
        <is>
          <t>10</t>
        </is>
      </c>
      <c r="Q2100" s="5" t="inlineStr">
        <is>
          <t>3</t>
        </is>
      </c>
      <c r="R2100" s="5" t="inlineStr">
        <is>
          <t>6</t>
        </is>
      </c>
      <c r="S2100" s="5" t="inlineStr">
        <is>
          <t>3</t>
        </is>
      </c>
      <c r="T2100" s="5" t="inlineStr">
        <is>
          <t>1</t>
        </is>
      </c>
      <c r="U2100" s="5" t="inlineStr">
        <is>
          <t>OK</t>
        </is>
      </c>
    </row>
    <row r="2101">
      <c r="A2101" s="5" t="inlineStr">
        <is>
          <t>E01622</t>
        </is>
      </c>
      <c r="B2101" s="5" t="inlineStr">
        <is>
          <t>Male</t>
        </is>
      </c>
      <c r="C2101" s="6" t="inlineStr">
        <is>
          <t>26</t>
        </is>
      </c>
      <c r="D2101" s="5" t="inlineStr">
        <is>
          <t>Single</t>
        </is>
      </c>
      <c r="E2101" s="5" t="inlineStr">
        <is>
          <t>Diploma</t>
        </is>
      </c>
      <c r="F2101" s="5" t="inlineStr">
        <is>
          <t>Marketing</t>
        </is>
      </c>
      <c r="G2101" s="5" t="inlineStr">
        <is>
          <t>Content Writer</t>
        </is>
      </c>
      <c r="H2101" s="5" t="inlineStr">
        <is>
          <t>1</t>
        </is>
      </c>
      <c r="I2101" s="5" t="inlineStr">
        <is>
          <t>Mumbai</t>
        </is>
      </c>
      <c r="J2101" s="5" t="inlineStr">
        <is>
          <t>Full-Time</t>
        </is>
      </c>
      <c r="K2101" s="7" t="n">
        <v>44142</v>
      </c>
      <c r="L2101" s="7" t="inlineStr"/>
      <c r="M2101" s="5" t="inlineStr">
        <is>
          <t>Yes</t>
        </is>
      </c>
      <c r="N2101" s="5" t="inlineStr"/>
      <c r="O2101" s="8" t="inlineStr">
        <is>
          <t>62500</t>
        </is>
      </c>
      <c r="P2101" s="5" t="inlineStr">
        <is>
          <t>5</t>
        </is>
      </c>
      <c r="Q2101" s="5" t="inlineStr">
        <is>
          <t>4</t>
        </is>
      </c>
      <c r="R2101" s="5" t="inlineStr">
        <is>
          <t>5</t>
        </is>
      </c>
      <c r="S2101" s="5" t="inlineStr">
        <is>
          <t>62</t>
        </is>
      </c>
      <c r="T2101" s="5" t="inlineStr">
        <is>
          <t>0</t>
        </is>
      </c>
      <c r="U2101" s="5" t="inlineStr">
        <is>
          <t>OK</t>
        </is>
      </c>
    </row>
    <row r="2102">
      <c r="A2102" s="5" t="inlineStr">
        <is>
          <t>E01229</t>
        </is>
      </c>
      <c r="B2102" s="5" t="inlineStr">
        <is>
          <t>Male</t>
        </is>
      </c>
      <c r="C2102" s="6" t="inlineStr">
        <is>
          <t>39</t>
        </is>
      </c>
      <c r="D2102" s="5" t="inlineStr">
        <is>
          <t>Married</t>
        </is>
      </c>
      <c r="E2102" s="5" t="inlineStr">
        <is>
          <t>Diploma</t>
        </is>
      </c>
      <c r="F2102" s="5" t="inlineStr">
        <is>
          <t>Operations</t>
        </is>
      </c>
      <c r="G2102" s="5" t="inlineStr">
        <is>
          <t>Operations Analyst</t>
        </is>
      </c>
      <c r="H2102" s="5" t="inlineStr">
        <is>
          <t>5</t>
        </is>
      </c>
      <c r="I2102" s="5" t="inlineStr">
        <is>
          <t>Bengaluru</t>
        </is>
      </c>
      <c r="J2102" s="5" t="inlineStr">
        <is>
          <t>Full-Time</t>
        </is>
      </c>
      <c r="K2102" s="7" t="n">
        <v>44888</v>
      </c>
      <c r="L2102" s="7" t="inlineStr"/>
      <c r="M2102" s="5" t="inlineStr">
        <is>
          <t>Yes</t>
        </is>
      </c>
      <c r="N2102" s="5" t="inlineStr"/>
      <c r="O2102" s="8" t="inlineStr">
        <is>
          <t>124000</t>
        </is>
      </c>
      <c r="P2102" s="5" t="inlineStr">
        <is>
          <t>5</t>
        </is>
      </c>
      <c r="Q2102" s="5" t="inlineStr">
        <is>
          <t>4</t>
        </is>
      </c>
      <c r="R2102" s="5" t="inlineStr">
        <is>
          <t>3</t>
        </is>
      </c>
      <c r="S2102" s="5" t="inlineStr">
        <is>
          <t>37</t>
        </is>
      </c>
      <c r="T2102" s="5" t="inlineStr">
        <is>
          <t>19</t>
        </is>
      </c>
      <c r="U2102" s="5" t="inlineStr">
        <is>
          <t>OK</t>
        </is>
      </c>
    </row>
    <row r="2103">
      <c r="A2103" s="5" t="inlineStr">
        <is>
          <t>E01529</t>
        </is>
      </c>
      <c r="B2103" s="5" t="inlineStr">
        <is>
          <t>Female</t>
        </is>
      </c>
      <c r="C2103" s="6" t="inlineStr">
        <is>
          <t>35</t>
        </is>
      </c>
      <c r="D2103" s="5" t="inlineStr">
        <is>
          <t>Single</t>
        </is>
      </c>
      <c r="E2103" s="5" t="inlineStr">
        <is>
          <t>High School</t>
        </is>
      </c>
      <c r="F2103" s="5" t="inlineStr">
        <is>
          <t>Human Resources</t>
        </is>
      </c>
      <c r="G2103" s="5" t="inlineStr">
        <is>
          <t>Recruiter</t>
        </is>
      </c>
      <c r="H2103" s="5" t="inlineStr">
        <is>
          <t>2</t>
        </is>
      </c>
      <c r="I2103" s="5" t="inlineStr">
        <is>
          <t>Remote</t>
        </is>
      </c>
      <c r="J2103" s="5" t="inlineStr">
        <is>
          <t>Full-Time</t>
        </is>
      </c>
      <c r="K2103" s="7" t="n">
        <v>45596</v>
      </c>
      <c r="L2103" s="7" t="n">
        <v>45704</v>
      </c>
      <c r="M2103" s="5" t="inlineStr">
        <is>
          <t>No</t>
        </is>
      </c>
      <c r="N2103" s="5" t="inlineStr">
        <is>
          <t>Resigned</t>
        </is>
      </c>
      <c r="O2103" s="8" t="inlineStr">
        <is>
          <t>101500</t>
        </is>
      </c>
      <c r="P2103" s="5" t="inlineStr">
        <is>
          <t>5</t>
        </is>
      </c>
      <c r="Q2103" s="5" t="inlineStr">
        <is>
          <t>4</t>
        </is>
      </c>
      <c r="R2103" s="5" t="inlineStr">
        <is>
          <t>5</t>
        </is>
      </c>
      <c r="S2103" s="5" t="inlineStr">
        <is>
          <t>3</t>
        </is>
      </c>
      <c r="T2103" s="5" t="inlineStr">
        <is>
          <t>6</t>
        </is>
      </c>
      <c r="U2103" s="5" t="inlineStr">
        <is>
          <t>OK</t>
        </is>
      </c>
    </row>
    <row r="2104">
      <c r="A2104" s="5" t="inlineStr">
        <is>
          <t>E00990</t>
        </is>
      </c>
      <c r="B2104" s="5" t="inlineStr">
        <is>
          <t>Female</t>
        </is>
      </c>
      <c r="C2104" s="6" t="inlineStr">
        <is>
          <t>34</t>
        </is>
      </c>
      <c r="D2104" s="5" t="inlineStr">
        <is>
          <t>Married</t>
        </is>
      </c>
      <c r="E2104" s="5" t="inlineStr">
        <is>
          <t>High School</t>
        </is>
      </c>
      <c r="F2104" s="5" t="inlineStr">
        <is>
          <t>Customer Support</t>
        </is>
      </c>
      <c r="G2104" s="5" t="inlineStr">
        <is>
          <t>Support Lead</t>
        </is>
      </c>
      <c r="H2104" s="5" t="inlineStr">
        <is>
          <t>4</t>
        </is>
      </c>
      <c r="I2104" s="5" t="inlineStr">
        <is>
          <t>Remote</t>
        </is>
      </c>
      <c r="J2104" s="5" t="inlineStr">
        <is>
          <t>Full-Time</t>
        </is>
      </c>
      <c r="K2104" s="7" t="n">
        <v>43976</v>
      </c>
      <c r="L2104" s="7" t="n">
        <v>44036</v>
      </c>
      <c r="M2104" s="5" t="inlineStr">
        <is>
          <t>No</t>
        </is>
      </c>
      <c r="N2104" s="5" t="inlineStr">
        <is>
          <t>Performance / Termination</t>
        </is>
      </c>
      <c r="O2104" s="8" t="inlineStr">
        <is>
          <t>93000</t>
        </is>
      </c>
      <c r="P2104" s="5" t="inlineStr">
        <is>
          <t>10</t>
        </is>
      </c>
      <c r="Q2104" s="5" t="inlineStr">
        <is>
          <t>4</t>
        </is>
      </c>
      <c r="R2104" s="5" t="inlineStr">
        <is>
          <t>6</t>
        </is>
      </c>
      <c r="S2104" s="5" t="inlineStr">
        <is>
          <t>2</t>
        </is>
      </c>
      <c r="T2104" s="5" t="inlineStr">
        <is>
          <t>4</t>
        </is>
      </c>
      <c r="U2104" s="5" t="inlineStr">
        <is>
          <t>OK</t>
        </is>
      </c>
    </row>
    <row r="2105">
      <c r="A2105" s="5" t="inlineStr">
        <is>
          <t>E02925</t>
        </is>
      </c>
      <c r="B2105" s="5" t="inlineStr">
        <is>
          <t>Female</t>
        </is>
      </c>
      <c r="C2105" s="6" t="inlineStr">
        <is>
          <t>37</t>
        </is>
      </c>
      <c r="D2105" s="5" t="inlineStr">
        <is>
          <t>Married</t>
        </is>
      </c>
      <c r="E2105" s="5" t="inlineStr">
        <is>
          <t>High School</t>
        </is>
      </c>
      <c r="F2105" s="5" t="inlineStr">
        <is>
          <t>Customer Support</t>
        </is>
      </c>
      <c r="G2105" s="5" t="inlineStr">
        <is>
          <t>Support Agent</t>
        </is>
      </c>
      <c r="H2105" s="5" t="inlineStr">
        <is>
          <t>4</t>
        </is>
      </c>
      <c r="I2105" s="5" t="inlineStr">
        <is>
          <t>Chennai</t>
        </is>
      </c>
      <c r="J2105" s="5" t="inlineStr">
        <is>
          <t>Full-Time</t>
        </is>
      </c>
      <c r="K2105" s="7" t="n">
        <v>44933</v>
      </c>
      <c r="L2105" s="7" t="inlineStr"/>
      <c r="M2105" s="5" t="inlineStr">
        <is>
          <t>Yes</t>
        </is>
      </c>
      <c r="N2105" s="5" t="inlineStr"/>
      <c r="O2105" s="8" t="inlineStr">
        <is>
          <t>71000</t>
        </is>
      </c>
      <c r="P2105" s="5" t="inlineStr">
        <is>
          <t>5</t>
        </is>
      </c>
      <c r="Q2105" s="5" t="inlineStr">
        <is>
          <t>5</t>
        </is>
      </c>
      <c r="R2105" s="5" t="inlineStr">
        <is>
          <t>4</t>
        </is>
      </c>
      <c r="S2105" s="5" t="inlineStr">
        <is>
          <t>36</t>
        </is>
      </c>
      <c r="T2105" s="5" t="inlineStr">
        <is>
          <t>0</t>
        </is>
      </c>
      <c r="U2105" s="5" t="inlineStr">
        <is>
          <t>OK</t>
        </is>
      </c>
    </row>
    <row r="2106">
      <c r="A2106" s="5" t="inlineStr">
        <is>
          <t>E00866</t>
        </is>
      </c>
      <c r="B2106" s="5" t="inlineStr">
        <is>
          <t>Male</t>
        </is>
      </c>
      <c r="C2106" s="6" t="inlineStr">
        <is>
          <t>32</t>
        </is>
      </c>
      <c r="D2106" s="5" t="inlineStr">
        <is>
          <t>Married</t>
        </is>
      </c>
      <c r="E2106" s="5" t="inlineStr">
        <is>
          <t>High School</t>
        </is>
      </c>
      <c r="F2106" s="5" t="inlineStr">
        <is>
          <t>Research &amp; Development</t>
        </is>
      </c>
      <c r="G2106" s="5" t="inlineStr">
        <is>
          <t>Research Scientist</t>
        </is>
      </c>
      <c r="H2106" s="5" t="inlineStr">
        <is>
          <t>1</t>
        </is>
      </c>
      <c r="I2106" s="5" t="inlineStr">
        <is>
          <t>Chennai</t>
        </is>
      </c>
      <c r="J2106" s="5" t="inlineStr">
        <is>
          <t>Full-Time</t>
        </is>
      </c>
      <c r="K2106" s="7" t="n">
        <v>46012</v>
      </c>
      <c r="L2106" s="7" t="inlineStr"/>
      <c r="M2106" s="5" t="inlineStr">
        <is>
          <t>Yes</t>
        </is>
      </c>
      <c r="N2106" s="5" t="inlineStr"/>
      <c r="O2106" s="8" t="inlineStr">
        <is>
          <t>120500</t>
        </is>
      </c>
      <c r="P2106" s="5" t="inlineStr">
        <is>
          <t>0</t>
        </is>
      </c>
      <c r="Q2106" s="5" t="inlineStr">
        <is>
          <t>3</t>
        </is>
      </c>
      <c r="R2106" s="5" t="inlineStr">
        <is>
          <t>6</t>
        </is>
      </c>
      <c r="S2106" s="5" t="inlineStr">
        <is>
          <t>1</t>
        </is>
      </c>
      <c r="T2106" s="5" t="inlineStr">
        <is>
          <t>0</t>
        </is>
      </c>
      <c r="U2106" s="5" t="inlineStr">
        <is>
          <t>OK</t>
        </is>
      </c>
    </row>
    <row r="2107">
      <c r="A2107" s="5" t="inlineStr">
        <is>
          <t>E02703</t>
        </is>
      </c>
      <c r="B2107" s="5" t="inlineStr">
        <is>
          <t>Male</t>
        </is>
      </c>
      <c r="C2107" s="6" t="inlineStr">
        <is>
          <t>39</t>
        </is>
      </c>
      <c r="D2107" s="5" t="inlineStr">
        <is>
          <t>Married</t>
        </is>
      </c>
      <c r="E2107" s="5" t="inlineStr">
        <is>
          <t>PhD</t>
        </is>
      </c>
      <c r="F2107" s="5" t="inlineStr">
        <is>
          <t>Marketing</t>
        </is>
      </c>
      <c r="G2107" s="5" t="inlineStr">
        <is>
          <t>Content Writer</t>
        </is>
      </c>
      <c r="H2107" s="5" t="inlineStr">
        <is>
          <t>4</t>
        </is>
      </c>
      <c r="I2107" s="5" t="inlineStr">
        <is>
          <t>Bengaluru</t>
        </is>
      </c>
      <c r="J2107" s="5" t="inlineStr">
        <is>
          <t>Full-Time</t>
        </is>
      </c>
      <c r="K2107" s="7" t="n">
        <v>44200</v>
      </c>
      <c r="L2107" s="7" t="inlineStr"/>
      <c r="M2107" s="5" t="inlineStr">
        <is>
          <t>Yes</t>
        </is>
      </c>
      <c r="N2107" s="5" t="inlineStr"/>
      <c r="O2107" s="8" t="inlineStr">
        <is>
          <t>122500</t>
        </is>
      </c>
      <c r="P2107" s="5" t="inlineStr">
        <is>
          <t>0</t>
        </is>
      </c>
      <c r="Q2107" s="5" t="inlineStr">
        <is>
          <t>5</t>
        </is>
      </c>
      <c r="R2107" s="5" t="inlineStr">
        <is>
          <t>6</t>
        </is>
      </c>
      <c r="S2107" s="5" t="inlineStr">
        <is>
          <t>60</t>
        </is>
      </c>
      <c r="T2107" s="5" t="inlineStr">
        <is>
          <t>6</t>
        </is>
      </c>
      <c r="U2107" s="5" t="inlineStr">
        <is>
          <t>OK</t>
        </is>
      </c>
    </row>
    <row r="2108">
      <c r="A2108" s="5" t="inlineStr">
        <is>
          <t>E00202</t>
        </is>
      </c>
      <c r="B2108" s="5" t="inlineStr">
        <is>
          <t>Female</t>
        </is>
      </c>
      <c r="C2108" s="6" t="inlineStr">
        <is>
          <t>34</t>
        </is>
      </c>
      <c r="D2108" s="5" t="inlineStr">
        <is>
          <t>Single</t>
        </is>
      </c>
      <c r="E2108" s="5" t="inlineStr">
        <is>
          <t>Master</t>
        </is>
      </c>
      <c r="F2108" s="5" t="inlineStr">
        <is>
          <t>Sales</t>
        </is>
      </c>
      <c r="G2108" s="5" t="inlineStr">
        <is>
          <t>Business Development</t>
        </is>
      </c>
      <c r="H2108" s="5" t="inlineStr">
        <is>
          <t>1</t>
        </is>
      </c>
      <c r="I2108" s="5" t="inlineStr">
        <is>
          <t>Mumbai</t>
        </is>
      </c>
      <c r="J2108" s="5" t="inlineStr">
        <is>
          <t>Full-Time</t>
        </is>
      </c>
      <c r="K2108" s="7" t="n">
        <v>43880</v>
      </c>
      <c r="L2108" s="7" t="n">
        <v>43986</v>
      </c>
      <c r="M2108" s="5" t="inlineStr">
        <is>
          <t>No</t>
        </is>
      </c>
      <c r="N2108" s="5" t="inlineStr">
        <is>
          <t>Resigned</t>
        </is>
      </c>
      <c r="O2108" s="8" t="inlineStr">
        <is>
          <t>64000</t>
        </is>
      </c>
      <c r="P2108" s="5" t="inlineStr">
        <is>
          <t>0</t>
        </is>
      </c>
      <c r="Q2108" s="5" t="inlineStr">
        <is>
          <t>3</t>
        </is>
      </c>
      <c r="R2108" s="5" t="inlineStr">
        <is>
          <t>1</t>
        </is>
      </c>
      <c r="S2108" s="5" t="inlineStr">
        <is>
          <t>3</t>
        </is>
      </c>
      <c r="T2108" s="5" t="inlineStr">
        <is>
          <t>0</t>
        </is>
      </c>
      <c r="U2108" s="5" t="inlineStr">
        <is>
          <t>OK</t>
        </is>
      </c>
    </row>
    <row r="2109">
      <c r="A2109" s="5" t="inlineStr">
        <is>
          <t>E01285</t>
        </is>
      </c>
      <c r="B2109" s="5" t="inlineStr">
        <is>
          <t>male</t>
        </is>
      </c>
      <c r="C2109" s="6" t="inlineStr">
        <is>
          <t>26</t>
        </is>
      </c>
      <c r="D2109" s="5" t="inlineStr">
        <is>
          <t>Married</t>
        </is>
      </c>
      <c r="E2109" s="5" t="inlineStr">
        <is>
          <t>Bachelor</t>
        </is>
      </c>
      <c r="F2109" s="5" t="inlineStr">
        <is>
          <t>IT</t>
        </is>
      </c>
      <c r="G2109" s="5" t="inlineStr">
        <is>
          <t>IT Support</t>
        </is>
      </c>
      <c r="H2109" s="5" t="inlineStr">
        <is>
          <t>2</t>
        </is>
      </c>
      <c r="I2109" s="5" t="inlineStr">
        <is>
          <t>Bengaluru</t>
        </is>
      </c>
      <c r="J2109" s="5" t="inlineStr">
        <is>
          <t>Full-Time</t>
        </is>
      </c>
      <c r="K2109" s="7" t="n">
        <v>45154</v>
      </c>
      <c r="L2109" s="7" t="n">
        <v>45212</v>
      </c>
      <c r="M2109" s="5" t="inlineStr">
        <is>
          <t>No</t>
        </is>
      </c>
      <c r="N2109" s="5" t="inlineStr">
        <is>
          <t>Retirement</t>
        </is>
      </c>
      <c r="O2109" s="8" t="inlineStr">
        <is>
          <t>148000</t>
        </is>
      </c>
      <c r="P2109" s="5" t="inlineStr">
        <is>
          <t>15</t>
        </is>
      </c>
      <c r="Q2109" s="5" t="inlineStr">
        <is>
          <t>3</t>
        </is>
      </c>
      <c r="R2109" s="5" t="inlineStr">
        <is>
          <t>9</t>
        </is>
      </c>
      <c r="S2109" s="5" t="inlineStr">
        <is>
          <t>1</t>
        </is>
      </c>
      <c r="T2109" s="5" t="inlineStr">
        <is>
          <t>7</t>
        </is>
      </c>
      <c r="U2109" s="5" t="inlineStr">
        <is>
          <t>OK</t>
        </is>
      </c>
    </row>
    <row r="2110">
      <c r="A2110" s="5" t="inlineStr">
        <is>
          <t>E01166</t>
        </is>
      </c>
      <c r="B2110" s="5" t="inlineStr">
        <is>
          <t>male</t>
        </is>
      </c>
      <c r="C2110" s="6" t="inlineStr">
        <is>
          <t>25</t>
        </is>
      </c>
      <c r="D2110" s="5" t="inlineStr">
        <is>
          <t>Married</t>
        </is>
      </c>
      <c r="E2110" s="5" t="inlineStr">
        <is>
          <t>Master</t>
        </is>
      </c>
      <c r="F2110" s="5" t="inlineStr">
        <is>
          <t>IT</t>
        </is>
      </c>
      <c r="G2110" s="5" t="inlineStr">
        <is>
          <t>Software Engineer</t>
        </is>
      </c>
      <c r="H2110" s="5" t="inlineStr">
        <is>
          <t>1</t>
        </is>
      </c>
      <c r="I2110" s="5" t="inlineStr">
        <is>
          <t>Chennai</t>
        </is>
      </c>
      <c r="J2110" s="5" t="inlineStr">
        <is>
          <t>Full-Time</t>
        </is>
      </c>
      <c r="K2110" s="7" t="n">
        <v>44686</v>
      </c>
      <c r="L2110" s="7" t="inlineStr"/>
      <c r="M2110" s="5" t="inlineStr">
        <is>
          <t>Yes</t>
        </is>
      </c>
      <c r="N2110" s="5" t="inlineStr"/>
      <c r="O2110" s="8" t="inlineStr">
        <is>
          <t>91000</t>
        </is>
      </c>
      <c r="P2110" s="5" t="inlineStr">
        <is>
          <t>15</t>
        </is>
      </c>
      <c r="Q2110" s="5" t="inlineStr">
        <is>
          <t>4</t>
        </is>
      </c>
      <c r="R2110" s="5" t="inlineStr">
        <is>
          <t>8</t>
        </is>
      </c>
      <c r="S2110" s="5" t="inlineStr">
        <is>
          <t>44</t>
        </is>
      </c>
      <c r="T2110" s="5" t="inlineStr">
        <is>
          <t>7</t>
        </is>
      </c>
      <c r="U2110" s="5" t="inlineStr">
        <is>
          <t>OK</t>
        </is>
      </c>
    </row>
    <row r="2111">
      <c r="A2111" s="5" t="inlineStr">
        <is>
          <t>E02834</t>
        </is>
      </c>
      <c r="B2111" s="5" t="inlineStr">
        <is>
          <t>Female</t>
        </is>
      </c>
      <c r="C2111" s="6" t="inlineStr">
        <is>
          <t>42</t>
        </is>
      </c>
      <c r="D2111" s="5" t="inlineStr">
        <is>
          <t>Single</t>
        </is>
      </c>
      <c r="E2111" s="5" t="inlineStr">
        <is>
          <t>PhD</t>
        </is>
      </c>
      <c r="F2111" s="5" t="inlineStr">
        <is>
          <t>IT</t>
        </is>
      </c>
      <c r="G2111" s="5" t="inlineStr">
        <is>
          <t>IT Support</t>
        </is>
      </c>
      <c r="H2111" s="5" t="inlineStr">
        <is>
          <t>5</t>
        </is>
      </c>
      <c r="I2111" s="5" t="inlineStr">
        <is>
          <t>Delhi</t>
        </is>
      </c>
      <c r="J2111" s="5" t="inlineStr">
        <is>
          <t>Part-Time</t>
        </is>
      </c>
      <c r="K2111" s="7" t="n">
        <v>45484</v>
      </c>
      <c r="L2111" s="7" t="n">
        <v>45516</v>
      </c>
      <c r="M2111" s="5" t="inlineStr">
        <is>
          <t>No</t>
        </is>
      </c>
      <c r="N2111" s="5" t="inlineStr">
        <is>
          <t>Resigned</t>
        </is>
      </c>
      <c r="O2111" s="8" t="inlineStr">
        <is>
          <t>159500</t>
        </is>
      </c>
      <c r="P2111" s="5" t="inlineStr">
        <is>
          <t>15</t>
        </is>
      </c>
      <c r="Q2111" s="5" t="inlineStr">
        <is>
          <t>5</t>
        </is>
      </c>
      <c r="R2111" s="5" t="inlineStr">
        <is>
          <t>5</t>
        </is>
      </c>
      <c r="S2111" s="5" t="inlineStr">
        <is>
          <t>1</t>
        </is>
      </c>
      <c r="T2111" s="5" t="inlineStr">
        <is>
          <t>2</t>
        </is>
      </c>
      <c r="U2111" s="5" t="inlineStr">
        <is>
          <t>OK</t>
        </is>
      </c>
    </row>
    <row r="2112">
      <c r="A2112" s="5" t="inlineStr">
        <is>
          <t>E01834</t>
        </is>
      </c>
      <c r="B2112" s="5" t="inlineStr">
        <is>
          <t>Male</t>
        </is>
      </c>
      <c r="C2112" s="6" t="inlineStr">
        <is>
          <t>38</t>
        </is>
      </c>
      <c r="D2112" s="5" t="inlineStr">
        <is>
          <t>Married</t>
        </is>
      </c>
      <c r="E2112" s="5" t="inlineStr">
        <is>
          <t>Bachelor</t>
        </is>
      </c>
      <c r="F2112" s="5" t="inlineStr">
        <is>
          <t>Sales</t>
        </is>
      </c>
      <c r="G2112" s="5" t="inlineStr">
        <is>
          <t>Account Executive</t>
        </is>
      </c>
      <c r="H2112" s="5" t="inlineStr">
        <is>
          <t>5</t>
        </is>
      </c>
      <c r="I2112" s="5" t="inlineStr">
        <is>
          <t>Mumbai</t>
        </is>
      </c>
      <c r="J2112" s="5" t="inlineStr">
        <is>
          <t>Full-Time</t>
        </is>
      </c>
      <c r="K2112" s="7" t="n">
        <v>45662</v>
      </c>
      <c r="L2112" s="7" t="inlineStr"/>
      <c r="M2112" s="5" t="inlineStr">
        <is>
          <t>Yes</t>
        </is>
      </c>
      <c r="N2112" s="5" t="inlineStr"/>
      <c r="O2112" s="8" t="inlineStr">
        <is>
          <t>144000</t>
        </is>
      </c>
      <c r="P2112" s="5" t="inlineStr">
        <is>
          <t>10</t>
        </is>
      </c>
      <c r="Q2112" s="5" t="inlineStr">
        <is>
          <t>2</t>
        </is>
      </c>
      <c r="R2112" s="5" t="inlineStr">
        <is>
          <t>7</t>
        </is>
      </c>
      <c r="S2112" s="5" t="inlineStr">
        <is>
          <t>12</t>
        </is>
      </c>
      <c r="T2112" s="5" t="inlineStr">
        <is>
          <t>0</t>
        </is>
      </c>
      <c r="U2112" s="5" t="inlineStr">
        <is>
          <t>OK</t>
        </is>
      </c>
    </row>
    <row r="2113">
      <c r="A2113" s="5" t="inlineStr">
        <is>
          <t>E02550</t>
        </is>
      </c>
      <c r="B2113" s="5" t="inlineStr">
        <is>
          <t>Male</t>
        </is>
      </c>
      <c r="C2113" s="6" t="inlineStr">
        <is>
          <t>44</t>
        </is>
      </c>
      <c r="D2113" s="5" t="inlineStr">
        <is>
          <t>Divorced</t>
        </is>
      </c>
      <c r="E2113" s="5" t="inlineStr">
        <is>
          <t>Diploma</t>
        </is>
      </c>
      <c r="F2113" s="5" t="inlineStr">
        <is>
          <t>Sales</t>
        </is>
      </c>
      <c r="G2113" s="5" t="inlineStr">
        <is>
          <t>Account Executive</t>
        </is>
      </c>
      <c r="H2113" s="5" t="inlineStr">
        <is>
          <t>6</t>
        </is>
      </c>
      <c r="I2113" s="5" t="inlineStr">
        <is>
          <t>Bengaluru</t>
        </is>
      </c>
      <c r="J2113" s="5" t="inlineStr">
        <is>
          <t>Full-Time</t>
        </is>
      </c>
      <c r="K2113" s="7" t="n">
        <v>45451</v>
      </c>
      <c r="L2113" s="7" t="inlineStr"/>
      <c r="M2113" s="5" t="inlineStr">
        <is>
          <t>Yes</t>
        </is>
      </c>
      <c r="N2113" s="5" t="inlineStr"/>
      <c r="O2113" s="8" t="inlineStr">
        <is>
          <t>165500</t>
        </is>
      </c>
      <c r="P2113" s="5" t="inlineStr">
        <is>
          <t>0</t>
        </is>
      </c>
      <c r="Q2113" s="5" t="inlineStr">
        <is>
          <t>3</t>
        </is>
      </c>
      <c r="R2113" s="5" t="inlineStr">
        <is>
          <t>8</t>
        </is>
      </c>
      <c r="S2113" s="5" t="inlineStr">
        <is>
          <t>19</t>
        </is>
      </c>
      <c r="T2113" s="5" t="inlineStr">
        <is>
          <t>5</t>
        </is>
      </c>
      <c r="U2113" s="5" t="inlineStr">
        <is>
          <t>OK</t>
        </is>
      </c>
    </row>
    <row r="2114">
      <c r="A2114" s="5" t="inlineStr">
        <is>
          <t>E02474</t>
        </is>
      </c>
      <c r="B2114" s="5" t="inlineStr">
        <is>
          <t>Female</t>
        </is>
      </c>
      <c r="C2114" s="6" t="inlineStr">
        <is>
          <t>28</t>
        </is>
      </c>
      <c r="D2114" s="5" t="inlineStr">
        <is>
          <t>Married</t>
        </is>
      </c>
      <c r="E2114" s="5" t="inlineStr">
        <is>
          <t>Diploma</t>
        </is>
      </c>
      <c r="F2114" s="5" t="inlineStr">
        <is>
          <t>Sales</t>
        </is>
      </c>
      <c r="G2114" s="5" t="inlineStr">
        <is>
          <t>Business Development</t>
        </is>
      </c>
      <c r="H2114" s="5" t="inlineStr">
        <is>
          <t>3</t>
        </is>
      </c>
      <c r="I2114" s="5" t="inlineStr">
        <is>
          <t>Bengaluru</t>
        </is>
      </c>
      <c r="J2114" s="5" t="inlineStr">
        <is>
          <t>Full-Time</t>
        </is>
      </c>
      <c r="K2114" s="7" t="n">
        <v>44996</v>
      </c>
      <c r="L2114" s="7" t="inlineStr"/>
      <c r="M2114" s="5" t="inlineStr">
        <is>
          <t>Yes</t>
        </is>
      </c>
      <c r="N2114" s="5" t="inlineStr"/>
      <c r="O2114" s="8" t="inlineStr">
        <is>
          <t>105500</t>
        </is>
      </c>
      <c r="P2114" s="5" t="inlineStr">
        <is>
          <t>10</t>
        </is>
      </c>
      <c r="Q2114" s="5" t="inlineStr">
        <is>
          <t>3</t>
        </is>
      </c>
      <c r="R2114" s="5" t="inlineStr">
        <is>
          <t>10</t>
        </is>
      </c>
      <c r="S2114" s="5" t="inlineStr">
        <is>
          <t>34</t>
        </is>
      </c>
      <c r="T2114" s="5" t="inlineStr">
        <is>
          <t>12</t>
        </is>
      </c>
      <c r="U2114" s="5" t="inlineStr">
        <is>
          <t>OK</t>
        </is>
      </c>
    </row>
    <row r="2115">
      <c r="A2115" s="5" t="inlineStr">
        <is>
          <t>E01157</t>
        </is>
      </c>
      <c r="B2115" s="5" t="inlineStr">
        <is>
          <t>Male</t>
        </is>
      </c>
      <c r="C2115" s="6" t="inlineStr">
        <is>
          <t>30</t>
        </is>
      </c>
      <c r="D2115" s="5" t="inlineStr">
        <is>
          <t>Married</t>
        </is>
      </c>
      <c r="E2115" s="5" t="inlineStr">
        <is>
          <t>Master</t>
        </is>
      </c>
      <c r="F2115" s="5" t="inlineStr">
        <is>
          <t>Sales</t>
        </is>
      </c>
      <c r="G2115" s="5" t="inlineStr">
        <is>
          <t>Business Development</t>
        </is>
      </c>
      <c r="H2115" s="5" t="inlineStr">
        <is>
          <t>4</t>
        </is>
      </c>
      <c r="I2115" s="5" t="inlineStr">
        <is>
          <t>Chennai</t>
        </is>
      </c>
      <c r="J2115" s="5" t="inlineStr">
        <is>
          <t>Full-Time</t>
        </is>
      </c>
      <c r="K2115" s="7" t="n">
        <v>43935</v>
      </c>
      <c r="L2115" s="7" t="n">
        <v>44011</v>
      </c>
      <c r="M2115" s="5" t="inlineStr">
        <is>
          <t>No</t>
        </is>
      </c>
      <c r="N2115" s="5" t="inlineStr">
        <is>
          <t>Resigned</t>
        </is>
      </c>
      <c r="O2115" s="8" t="inlineStr">
        <is>
          <t>100500</t>
        </is>
      </c>
      <c r="P2115" s="5" t="inlineStr">
        <is>
          <t>20</t>
        </is>
      </c>
      <c r="Q2115" s="5" t="inlineStr">
        <is>
          <t>4</t>
        </is>
      </c>
      <c r="R2115" s="5" t="inlineStr">
        <is>
          <t>6</t>
        </is>
      </c>
      <c r="S2115" s="5" t="inlineStr">
        <is>
          <t>2</t>
        </is>
      </c>
      <c r="T2115" s="5" t="inlineStr">
        <is>
          <t>0</t>
        </is>
      </c>
      <c r="U2115" s="5" t="inlineStr">
        <is>
          <t>OK</t>
        </is>
      </c>
    </row>
    <row r="2116">
      <c r="A2116" s="5" t="inlineStr">
        <is>
          <t>E00057</t>
        </is>
      </c>
      <c r="B2116" s="5" t="inlineStr">
        <is>
          <t>male</t>
        </is>
      </c>
      <c r="C2116" s="6" t="inlineStr">
        <is>
          <t>34</t>
        </is>
      </c>
      <c r="D2116" s="5" t="inlineStr">
        <is>
          <t>Married</t>
        </is>
      </c>
      <c r="E2116" s="5" t="inlineStr">
        <is>
          <t>Master</t>
        </is>
      </c>
      <c r="F2116" s="5" t="inlineStr">
        <is>
          <t>Customer Support</t>
        </is>
      </c>
      <c r="G2116" s="5" t="inlineStr">
        <is>
          <t>Escalation Specialist</t>
        </is>
      </c>
      <c r="H2116" s="5" t="inlineStr">
        <is>
          <t>4</t>
        </is>
      </c>
      <c r="I2116" s="5" t="inlineStr">
        <is>
          <t>Delhi</t>
        </is>
      </c>
      <c r="J2116" s="5" t="inlineStr">
        <is>
          <t>Full-Time</t>
        </is>
      </c>
      <c r="K2116" s="7" t="n">
        <v>44304</v>
      </c>
      <c r="L2116" s="7" t="inlineStr"/>
      <c r="M2116" s="5" t="inlineStr">
        <is>
          <t>Yes</t>
        </is>
      </c>
      <c r="N2116" s="5" t="inlineStr"/>
      <c r="O2116" s="8" t="inlineStr">
        <is>
          <t>83500</t>
        </is>
      </c>
      <c r="P2116" s="5" t="inlineStr">
        <is>
          <t>15</t>
        </is>
      </c>
      <c r="Q2116" s="5" t="inlineStr">
        <is>
          <t>5</t>
        </is>
      </c>
      <c r="R2116" s="5" t="inlineStr">
        <is>
          <t>9</t>
        </is>
      </c>
      <c r="S2116" s="5" t="inlineStr">
        <is>
          <t>57</t>
        </is>
      </c>
      <c r="T2116" s="5" t="inlineStr">
        <is>
          <t>4</t>
        </is>
      </c>
      <c r="U2116" s="5" t="inlineStr">
        <is>
          <t>OK</t>
        </is>
      </c>
    </row>
    <row r="2117">
      <c r="A2117" s="5" t="inlineStr">
        <is>
          <t>E01856</t>
        </is>
      </c>
      <c r="B2117" s="5" t="inlineStr">
        <is>
          <t>Male</t>
        </is>
      </c>
      <c r="C2117" s="6" t="inlineStr">
        <is>
          <t>31</t>
        </is>
      </c>
      <c r="D2117" s="5" t="inlineStr">
        <is>
          <t>Married</t>
        </is>
      </c>
      <c r="E2117" s="5" t="inlineStr">
        <is>
          <t>High School</t>
        </is>
      </c>
      <c r="F2117" s="5" t="inlineStr">
        <is>
          <t>Finance</t>
        </is>
      </c>
      <c r="G2117" s="5" t="inlineStr">
        <is>
          <t>Financial Analyst</t>
        </is>
      </c>
      <c r="H2117" s="5" t="inlineStr">
        <is>
          <t>5</t>
        </is>
      </c>
      <c r="I2117" s="5" t="inlineStr">
        <is>
          <t>Hyderabad</t>
        </is>
      </c>
      <c r="J2117" s="5" t="inlineStr">
        <is>
          <t>Full-Time</t>
        </is>
      </c>
      <c r="K2117" s="7" t="n">
        <v>44621</v>
      </c>
      <c r="L2117" s="7" t="inlineStr"/>
      <c r="M2117" s="5" t="inlineStr">
        <is>
          <t>Yes</t>
        </is>
      </c>
      <c r="N2117" s="5" t="inlineStr"/>
      <c r="O2117" s="8" t="inlineStr">
        <is>
          <t>174500</t>
        </is>
      </c>
      <c r="P2117" s="5" t="inlineStr">
        <is>
          <t>10</t>
        </is>
      </c>
      <c r="Q2117" s="5" t="inlineStr">
        <is>
          <t>4</t>
        </is>
      </c>
      <c r="R2117" s="5" t="inlineStr">
        <is>
          <t>8</t>
        </is>
      </c>
      <c r="S2117" s="5" t="inlineStr">
        <is>
          <t>46</t>
        </is>
      </c>
      <c r="T2117" s="5" t="inlineStr">
        <is>
          <t>6</t>
        </is>
      </c>
      <c r="U2117" s="5" t="inlineStr">
        <is>
          <t>OK</t>
        </is>
      </c>
    </row>
    <row r="2118">
      <c r="A2118" s="5" t="inlineStr">
        <is>
          <t>E02513</t>
        </is>
      </c>
      <c r="B2118" s="5" t="inlineStr">
        <is>
          <t>Female</t>
        </is>
      </c>
      <c r="C2118" s="6" t="inlineStr">
        <is>
          <t>40</t>
        </is>
      </c>
      <c r="D2118" s="5" t="inlineStr">
        <is>
          <t>Married</t>
        </is>
      </c>
      <c r="E2118" s="5" t="inlineStr">
        <is>
          <t>Master</t>
        </is>
      </c>
      <c r="F2118" s="5" t="inlineStr">
        <is>
          <t>Customer Support</t>
        </is>
      </c>
      <c r="G2118" s="5" t="inlineStr">
        <is>
          <t>Escalation Specialist</t>
        </is>
      </c>
      <c r="H2118" s="5" t="inlineStr">
        <is>
          <t>4</t>
        </is>
      </c>
      <c r="I2118" s="5" t="inlineStr">
        <is>
          <t>Bengaluru</t>
        </is>
      </c>
      <c r="J2118" s="5" t="inlineStr">
        <is>
          <t>Full-Time</t>
        </is>
      </c>
      <c r="K2118" s="7" t="n">
        <v>45138</v>
      </c>
      <c r="L2118" s="7" t="inlineStr"/>
      <c r="M2118" s="5" t="inlineStr">
        <is>
          <t>Yes</t>
        </is>
      </c>
      <c r="N2118" s="5" t="inlineStr"/>
      <c r="O2118" s="8" t="inlineStr">
        <is>
          <t>93500</t>
        </is>
      </c>
      <c r="P2118" s="5" t="inlineStr">
        <is>
          <t>0</t>
        </is>
      </c>
      <c r="Q2118" s="5" t="inlineStr">
        <is>
          <t>4</t>
        </is>
      </c>
      <c r="R2118" s="5" t="inlineStr">
        <is>
          <t>6</t>
        </is>
      </c>
      <c r="S2118" s="5" t="inlineStr">
        <is>
          <t>29</t>
        </is>
      </c>
      <c r="T2118" s="5" t="inlineStr">
        <is>
          <t>8</t>
        </is>
      </c>
      <c r="U2118" s="5" t="inlineStr">
        <is>
          <t>OK</t>
        </is>
      </c>
    </row>
    <row r="2119">
      <c r="A2119" s="5" t="inlineStr">
        <is>
          <t>E00839</t>
        </is>
      </c>
      <c r="B2119" s="5" t="inlineStr">
        <is>
          <t>Male</t>
        </is>
      </c>
      <c r="C2119" s="6" t="inlineStr">
        <is>
          <t>31</t>
        </is>
      </c>
      <c r="D2119" s="5" t="inlineStr">
        <is>
          <t>Married</t>
        </is>
      </c>
      <c r="E2119" s="5" t="inlineStr">
        <is>
          <t>High School</t>
        </is>
      </c>
      <c r="F2119" s="5" t="inlineStr">
        <is>
          <t>Research &amp; Development</t>
        </is>
      </c>
      <c r="G2119" s="5" t="inlineStr">
        <is>
          <t>Data Scientist</t>
        </is>
      </c>
      <c r="H2119" s="5" t="inlineStr">
        <is>
          <t>2</t>
        </is>
      </c>
      <c r="I2119" s="5" t="inlineStr">
        <is>
          <t>Bengaluru</t>
        </is>
      </c>
      <c r="J2119" s="5" t="inlineStr">
        <is>
          <t>Full-Time</t>
        </is>
      </c>
      <c r="K2119" s="7" t="n">
        <v>44902</v>
      </c>
      <c r="L2119" s="7" t="inlineStr"/>
      <c r="M2119" s="5" t="inlineStr">
        <is>
          <t>Yes</t>
        </is>
      </c>
      <c r="N2119" s="5" t="inlineStr"/>
      <c r="O2119" s="8" t="inlineStr">
        <is>
          <t>182000</t>
        </is>
      </c>
      <c r="P2119" s="5" t="inlineStr">
        <is>
          <t>5</t>
        </is>
      </c>
      <c r="Q2119" s="5" t="inlineStr">
        <is>
          <t>5</t>
        </is>
      </c>
      <c r="R2119" s="5" t="inlineStr">
        <is>
          <t>10</t>
        </is>
      </c>
      <c r="S2119" s="5" t="inlineStr">
        <is>
          <t>37</t>
        </is>
      </c>
      <c r="T2119" s="5" t="inlineStr">
        <is>
          <t>0</t>
        </is>
      </c>
      <c r="U2119" s="5" t="inlineStr">
        <is>
          <t>OK</t>
        </is>
      </c>
    </row>
    <row r="2120">
      <c r="A2120" s="5" t="inlineStr">
        <is>
          <t>E00756</t>
        </is>
      </c>
      <c r="B2120" s="5" t="inlineStr">
        <is>
          <t>Female</t>
        </is>
      </c>
      <c r="C2120" s="6" t="inlineStr">
        <is>
          <t>33</t>
        </is>
      </c>
      <c r="D2120" s="5" t="inlineStr">
        <is>
          <t>Single</t>
        </is>
      </c>
      <c r="E2120" s="5" t="inlineStr">
        <is>
          <t>High School</t>
        </is>
      </c>
      <c r="F2120" s="5" t="inlineStr">
        <is>
          <t>Human Resources</t>
        </is>
      </c>
      <c r="G2120" s="5" t="inlineStr">
        <is>
          <t>HR Generalist</t>
        </is>
      </c>
      <c r="H2120" s="5" t="inlineStr">
        <is>
          <t>2</t>
        </is>
      </c>
      <c r="I2120" s="5" t="inlineStr">
        <is>
          <t>Bengaluru</t>
        </is>
      </c>
      <c r="J2120" s="5" t="inlineStr">
        <is>
          <t>Full-Time</t>
        </is>
      </c>
      <c r="K2120" s="7" t="n">
        <v>44338</v>
      </c>
      <c r="L2120" s="7" t="inlineStr"/>
      <c r="M2120" s="5" t="inlineStr">
        <is>
          <t>Yes</t>
        </is>
      </c>
      <c r="N2120" s="5" t="inlineStr"/>
      <c r="O2120" s="8" t="inlineStr">
        <is>
          <t>96500</t>
        </is>
      </c>
      <c r="P2120" s="5" t="inlineStr">
        <is>
          <t>10</t>
        </is>
      </c>
      <c r="Q2120" s="5" t="inlineStr">
        <is>
          <t>4</t>
        </is>
      </c>
      <c r="R2120" s="5" t="inlineStr">
        <is>
          <t>8</t>
        </is>
      </c>
      <c r="S2120" s="5" t="inlineStr">
        <is>
          <t>56</t>
        </is>
      </c>
      <c r="T2120" s="5" t="inlineStr">
        <is>
          <t>9</t>
        </is>
      </c>
      <c r="U2120" s="5" t="inlineStr">
        <is>
          <t>OK</t>
        </is>
      </c>
    </row>
    <row r="2121">
      <c r="A2121" s="5" t="inlineStr">
        <is>
          <t>E02162</t>
        </is>
      </c>
      <c r="B2121" s="5" t="inlineStr">
        <is>
          <t>Female</t>
        </is>
      </c>
      <c r="C2121" s="6" t="inlineStr">
        <is>
          <t>25</t>
        </is>
      </c>
      <c r="D2121" s="5" t="inlineStr">
        <is>
          <t>Married</t>
        </is>
      </c>
      <c r="E2121" s="5" t="inlineStr">
        <is>
          <t>High School</t>
        </is>
      </c>
      <c r="F2121" s="5" t="inlineStr">
        <is>
          <t>Customer Support</t>
        </is>
      </c>
      <c r="G2121" s="5" t="inlineStr">
        <is>
          <t>Support Lead</t>
        </is>
      </c>
      <c r="H2121" s="5" t="inlineStr">
        <is>
          <t>2</t>
        </is>
      </c>
      <c r="I2121" s="5" t="inlineStr">
        <is>
          <t>Remote</t>
        </is>
      </c>
      <c r="J2121" s="5" t="inlineStr">
        <is>
          <t>Full-Time</t>
        </is>
      </c>
      <c r="K2121" s="7" t="n">
        <v>45809</v>
      </c>
      <c r="L2121" s="7" t="inlineStr"/>
      <c r="M2121" s="5" t="inlineStr">
        <is>
          <t>Yes</t>
        </is>
      </c>
      <c r="N2121" s="5" t="inlineStr"/>
      <c r="O2121" s="8" t="inlineStr">
        <is>
          <t>52000</t>
        </is>
      </c>
      <c r="P2121" s="5" t="inlineStr">
        <is>
          <t>0</t>
        </is>
      </c>
      <c r="Q2121" s="5" t="inlineStr">
        <is>
          <t>5</t>
        </is>
      </c>
      <c r="R2121" s="5" t="inlineStr">
        <is>
          <t>7</t>
        </is>
      </c>
      <c r="S2121" s="5" t="inlineStr">
        <is>
          <t>7</t>
        </is>
      </c>
      <c r="T2121" s="5" t="inlineStr">
        <is>
          <t>3</t>
        </is>
      </c>
      <c r="U2121" s="5" t="inlineStr">
        <is>
          <t>OK</t>
        </is>
      </c>
    </row>
    <row r="2122">
      <c r="A2122" s="5" t="inlineStr">
        <is>
          <t>E01180</t>
        </is>
      </c>
      <c r="B2122" s="5" t="inlineStr">
        <is>
          <t>Female</t>
        </is>
      </c>
      <c r="C2122" s="6" t="inlineStr">
        <is>
          <t>30</t>
        </is>
      </c>
      <c r="D2122" s="5" t="inlineStr">
        <is>
          <t>Married</t>
        </is>
      </c>
      <c r="E2122" s="5" t="inlineStr">
        <is>
          <t>PhD</t>
        </is>
      </c>
      <c r="F2122" s="5" t="inlineStr">
        <is>
          <t>IT</t>
        </is>
      </c>
      <c r="G2122" s="5" t="inlineStr">
        <is>
          <t>IT Support</t>
        </is>
      </c>
      <c r="H2122" s="5" t="inlineStr">
        <is>
          <t>2</t>
        </is>
      </c>
      <c r="I2122" s="5" t="inlineStr">
        <is>
          <t>Mumbai</t>
        </is>
      </c>
      <c r="J2122" s="5" t="inlineStr">
        <is>
          <t>Full-Time</t>
        </is>
      </c>
      <c r="K2122" s="7" t="n">
        <v>44764</v>
      </c>
      <c r="L2122" s="7" t="inlineStr"/>
      <c r="M2122" s="5" t="inlineStr">
        <is>
          <t>Yes</t>
        </is>
      </c>
      <c r="N2122" s="5" t="inlineStr"/>
      <c r="O2122" s="8" t="inlineStr">
        <is>
          <t>102500</t>
        </is>
      </c>
      <c r="P2122" s="5" t="inlineStr">
        <is>
          <t>10</t>
        </is>
      </c>
      <c r="Q2122" s="5" t="inlineStr">
        <is>
          <t>5</t>
        </is>
      </c>
      <c r="R2122" s="5" t="inlineStr">
        <is>
          <t>3</t>
        </is>
      </c>
      <c r="S2122" s="5" t="inlineStr">
        <is>
          <t>41</t>
        </is>
      </c>
      <c r="T2122" s="5" t="inlineStr">
        <is>
          <t>6</t>
        </is>
      </c>
      <c r="U2122" s="5" t="inlineStr">
        <is>
          <t>OK</t>
        </is>
      </c>
    </row>
    <row r="2123">
      <c r="A2123" s="5" t="inlineStr">
        <is>
          <t>E00008</t>
        </is>
      </c>
      <c r="B2123" s="5" t="inlineStr">
        <is>
          <t>Female</t>
        </is>
      </c>
      <c r="C2123" s="6" t="inlineStr">
        <is>
          <t>26</t>
        </is>
      </c>
      <c r="D2123" s="5" t="inlineStr">
        <is>
          <t>Married</t>
        </is>
      </c>
      <c r="E2123" s="5" t="inlineStr">
        <is>
          <t>Master</t>
        </is>
      </c>
      <c r="F2123" s="5" t="inlineStr">
        <is>
          <t>Customer Support</t>
        </is>
      </c>
      <c r="G2123" s="5" t="inlineStr">
        <is>
          <t>Support Lead</t>
        </is>
      </c>
      <c r="H2123" s="5" t="inlineStr">
        <is>
          <t>2</t>
        </is>
      </c>
      <c r="I2123" s="5" t="inlineStr">
        <is>
          <t>Delhi</t>
        </is>
      </c>
      <c r="J2123" s="5" t="inlineStr">
        <is>
          <t>Full-Time</t>
        </is>
      </c>
      <c r="K2123" s="7" t="n">
        <v>43968</v>
      </c>
      <c r="L2123" s="7" t="n">
        <v>44098</v>
      </c>
      <c r="M2123" s="5" t="inlineStr">
        <is>
          <t>No</t>
        </is>
      </c>
      <c r="N2123" s="5" t="inlineStr">
        <is>
          <t>Resigned</t>
        </is>
      </c>
      <c r="O2123" s="8" t="inlineStr">
        <is>
          <t>82000</t>
        </is>
      </c>
      <c r="P2123" s="5" t="inlineStr">
        <is>
          <t>0</t>
        </is>
      </c>
      <c r="Q2123" s="5" t="inlineStr">
        <is>
          <t>3</t>
        </is>
      </c>
      <c r="R2123" s="5" t="inlineStr">
        <is>
          <t>5</t>
        </is>
      </c>
      <c r="S2123" s="5" t="inlineStr">
        <is>
          <t>4</t>
        </is>
      </c>
      <c r="T2123" s="5" t="inlineStr">
        <is>
          <t>0</t>
        </is>
      </c>
      <c r="U2123" s="5" t="inlineStr">
        <is>
          <t>OK</t>
        </is>
      </c>
    </row>
    <row r="2124">
      <c r="A2124" s="5" t="inlineStr">
        <is>
          <t>E00912</t>
        </is>
      </c>
      <c r="B2124" s="5" t="inlineStr">
        <is>
          <t>Female</t>
        </is>
      </c>
      <c r="C2124" s="6" t="inlineStr">
        <is>
          <t>27</t>
        </is>
      </c>
      <c r="D2124" s="5" t="inlineStr">
        <is>
          <t>Married</t>
        </is>
      </c>
      <c r="E2124" s="5" t="inlineStr">
        <is>
          <t>Bachelor</t>
        </is>
      </c>
      <c r="F2124" s="5" t="inlineStr">
        <is>
          <t>Customer Support</t>
        </is>
      </c>
      <c r="G2124" s="5" t="inlineStr">
        <is>
          <t>Escalation Specialist</t>
        </is>
      </c>
      <c r="H2124" s="5" t="inlineStr">
        <is>
          <t>3</t>
        </is>
      </c>
      <c r="I2124" s="5" t="inlineStr">
        <is>
          <t>Hyderabad</t>
        </is>
      </c>
      <c r="J2124" s="5" t="inlineStr">
        <is>
          <t>Full-Time</t>
        </is>
      </c>
      <c r="K2124" s="7" t="n">
        <v>44937</v>
      </c>
      <c r="L2124" s="7" t="n">
        <v>45000</v>
      </c>
      <c r="M2124" s="5" t="inlineStr">
        <is>
          <t>No</t>
        </is>
      </c>
      <c r="N2124" s="5" t="inlineStr">
        <is>
          <t>Relocation</t>
        </is>
      </c>
      <c r="O2124" s="8" t="inlineStr">
        <is>
          <t>79000</t>
        </is>
      </c>
      <c r="P2124" s="5" t="inlineStr">
        <is>
          <t>0</t>
        </is>
      </c>
      <c r="Q2124" s="5" t="inlineStr">
        <is>
          <t>3</t>
        </is>
      </c>
      <c r="R2124" s="5" t="inlineStr">
        <is>
          <t>8</t>
        </is>
      </c>
      <c r="S2124" s="5" t="inlineStr">
        <is>
          <t>2</t>
        </is>
      </c>
      <c r="T2124" s="5" t="inlineStr">
        <is>
          <t>6</t>
        </is>
      </c>
      <c r="U2124" s="5" t="inlineStr">
        <is>
          <t>OK</t>
        </is>
      </c>
    </row>
    <row r="2125">
      <c r="A2125" s="5" t="inlineStr">
        <is>
          <t>E00587</t>
        </is>
      </c>
      <c r="B2125" s="5" t="inlineStr">
        <is>
          <t>Female</t>
        </is>
      </c>
      <c r="C2125" s="6" t="inlineStr">
        <is>
          <t>44</t>
        </is>
      </c>
      <c r="D2125" s="5" t="inlineStr">
        <is>
          <t>Single</t>
        </is>
      </c>
      <c r="E2125" s="5" t="inlineStr">
        <is>
          <t>High School</t>
        </is>
      </c>
      <c r="F2125" s="5" t="inlineStr">
        <is>
          <t>Research &amp; Development</t>
        </is>
      </c>
      <c r="G2125" s="5" t="inlineStr">
        <is>
          <t>Product Engineer</t>
        </is>
      </c>
      <c r="H2125" s="5" t="inlineStr">
        <is>
          <t>6</t>
        </is>
      </c>
      <c r="I2125" s="5" t="inlineStr">
        <is>
          <t>Remote</t>
        </is>
      </c>
      <c r="J2125" s="5" t="inlineStr">
        <is>
          <t>Full-Time</t>
        </is>
      </c>
      <c r="K2125" s="7" t="n">
        <v>45312</v>
      </c>
      <c r="L2125" s="7" t="inlineStr"/>
      <c r="M2125" s="5" t="inlineStr">
        <is>
          <t>Yes</t>
        </is>
      </c>
      <c r="N2125" s="5" t="inlineStr"/>
      <c r="O2125" s="8" t="inlineStr">
        <is>
          <t>269000</t>
        </is>
      </c>
      <c r="P2125" s="5" t="inlineStr">
        <is>
          <t>5</t>
        </is>
      </c>
      <c r="Q2125" s="5" t="inlineStr">
        <is>
          <t>3</t>
        </is>
      </c>
      <c r="R2125" s="5" t="inlineStr">
        <is>
          <t>9</t>
        </is>
      </c>
      <c r="S2125" s="5" t="inlineStr">
        <is>
          <t>23</t>
        </is>
      </c>
      <c r="T2125" s="5" t="inlineStr">
        <is>
          <t>6</t>
        </is>
      </c>
      <c r="U2125" s="5" t="inlineStr">
        <is>
          <t>OK</t>
        </is>
      </c>
    </row>
    <row r="2126">
      <c r="A2126" s="5" t="inlineStr">
        <is>
          <t>E01069</t>
        </is>
      </c>
      <c r="B2126" s="5" t="inlineStr">
        <is>
          <t>Male</t>
        </is>
      </c>
      <c r="C2126" s="6" t="inlineStr">
        <is>
          <t>32</t>
        </is>
      </c>
      <c r="D2126" s="5" t="inlineStr">
        <is>
          <t>Married</t>
        </is>
      </c>
      <c r="E2126" s="5" t="inlineStr">
        <is>
          <t>Diploma</t>
        </is>
      </c>
      <c r="F2126" s="5" t="inlineStr">
        <is>
          <t>Research &amp; Development</t>
        </is>
      </c>
      <c r="G2126" s="5" t="inlineStr">
        <is>
          <t>Research Scientist</t>
        </is>
      </c>
      <c r="H2126" s="5" t="inlineStr">
        <is>
          <t>5</t>
        </is>
      </c>
      <c r="I2126" s="5" t="inlineStr">
        <is>
          <t>Remote</t>
        </is>
      </c>
      <c r="J2126" s="5" t="inlineStr">
        <is>
          <t>Full-Time</t>
        </is>
      </c>
      <c r="K2126" s="7" t="n">
        <v>45375</v>
      </c>
      <c r="L2126" s="7" t="inlineStr"/>
      <c r="M2126" s="5" t="inlineStr">
        <is>
          <t>Yes</t>
        </is>
      </c>
      <c r="N2126" s="5" t="inlineStr"/>
      <c r="O2126" s="8" t="inlineStr">
        <is>
          <t>252500</t>
        </is>
      </c>
      <c r="P2126" s="5" t="inlineStr">
        <is>
          <t>0</t>
        </is>
      </c>
      <c r="Q2126" s="5" t="inlineStr">
        <is>
          <t>4</t>
        </is>
      </c>
      <c r="R2126" s="5" t="inlineStr">
        <is>
          <t>6</t>
        </is>
      </c>
      <c r="S2126" s="5" t="inlineStr">
        <is>
          <t>21</t>
        </is>
      </c>
      <c r="T2126" s="5" t="inlineStr">
        <is>
          <t>3</t>
        </is>
      </c>
      <c r="U2126" s="5" t="inlineStr">
        <is>
          <t>OK</t>
        </is>
      </c>
    </row>
    <row r="2127">
      <c r="A2127" s="5" t="inlineStr">
        <is>
          <t>E01824</t>
        </is>
      </c>
      <c r="B2127" s="5" t="inlineStr">
        <is>
          <t>Female</t>
        </is>
      </c>
      <c r="C2127" s="6" t="inlineStr">
        <is>
          <t>32</t>
        </is>
      </c>
      <c r="D2127" s="5" t="inlineStr">
        <is>
          <t>Married</t>
        </is>
      </c>
      <c r="E2127" s="5" t="inlineStr">
        <is>
          <t>High School</t>
        </is>
      </c>
      <c r="F2127" s="5" t="inlineStr">
        <is>
          <t>Finance</t>
        </is>
      </c>
      <c r="G2127" s="5" t="inlineStr">
        <is>
          <t>Financial Analyst</t>
        </is>
      </c>
      <c r="H2127" s="5" t="inlineStr">
        <is>
          <t>1</t>
        </is>
      </c>
      <c r="I2127" s="5" t="inlineStr">
        <is>
          <t>Delhi</t>
        </is>
      </c>
      <c r="J2127" s="5" t="inlineStr">
        <is>
          <t>Full-Time</t>
        </is>
      </c>
      <c r="K2127" s="7" t="n">
        <v>45125</v>
      </c>
      <c r="L2127" s="7" t="inlineStr"/>
      <c r="M2127" s="5" t="inlineStr">
        <is>
          <t>Yes</t>
        </is>
      </c>
      <c r="N2127" s="5" t="inlineStr"/>
      <c r="O2127" s="8" t="inlineStr">
        <is>
          <t>87500</t>
        </is>
      </c>
      <c r="P2127" s="5" t="inlineStr">
        <is>
          <t>10</t>
        </is>
      </c>
      <c r="Q2127" s="5" t="inlineStr">
        <is>
          <t>5</t>
        </is>
      </c>
      <c r="R2127" s="5" t="inlineStr">
        <is>
          <t>4</t>
        </is>
      </c>
      <c r="S2127" s="5" t="inlineStr">
        <is>
          <t>29</t>
        </is>
      </c>
      <c r="T2127" s="5" t="inlineStr">
        <is>
          <t>13</t>
        </is>
      </c>
      <c r="U2127" s="5" t="inlineStr">
        <is>
          <t>OK</t>
        </is>
      </c>
    </row>
    <row r="2128">
      <c r="A2128" s="5" t="inlineStr">
        <is>
          <t>E01234</t>
        </is>
      </c>
      <c r="B2128" s="5" t="inlineStr">
        <is>
          <t>male</t>
        </is>
      </c>
      <c r="C2128" s="6" t="inlineStr">
        <is>
          <t>30</t>
        </is>
      </c>
      <c r="D2128" s="5" t="inlineStr">
        <is>
          <t>Married</t>
        </is>
      </c>
      <c r="E2128" s="5" t="inlineStr">
        <is>
          <t>Master</t>
        </is>
      </c>
      <c r="F2128" s="5" t="inlineStr">
        <is>
          <t>Finance</t>
        </is>
      </c>
      <c r="G2128" s="5" t="inlineStr">
        <is>
          <t>Accountant</t>
        </is>
      </c>
      <c r="H2128" s="5" t="inlineStr">
        <is>
          <t>1</t>
        </is>
      </c>
      <c r="I2128" s="5" t="inlineStr">
        <is>
          <t>Bengaluru</t>
        </is>
      </c>
      <c r="J2128" s="5" t="inlineStr">
        <is>
          <t>Full-Time</t>
        </is>
      </c>
      <c r="K2128" s="7" t="n">
        <v>44553</v>
      </c>
      <c r="L2128" s="7" t="inlineStr"/>
      <c r="M2128" s="5" t="inlineStr">
        <is>
          <t>Yes</t>
        </is>
      </c>
      <c r="N2128" s="5" t="inlineStr"/>
      <c r="O2128" s="8" t="inlineStr">
        <is>
          <t>91000</t>
        </is>
      </c>
      <c r="P2128" s="5" t="inlineStr">
        <is>
          <t>5</t>
        </is>
      </c>
      <c r="Q2128" s="5" t="inlineStr">
        <is>
          <t>5</t>
        </is>
      </c>
      <c r="R2128" s="5" t="inlineStr">
        <is>
          <t>7</t>
        </is>
      </c>
      <c r="S2128" s="5" t="inlineStr">
        <is>
          <t>48</t>
        </is>
      </c>
      <c r="T2128" s="5" t="inlineStr">
        <is>
          <t>7</t>
        </is>
      </c>
      <c r="U2128" s="5" t="inlineStr">
        <is>
          <t>OK</t>
        </is>
      </c>
    </row>
    <row r="2129">
      <c r="A2129" s="5" t="inlineStr">
        <is>
          <t>E02553</t>
        </is>
      </c>
      <c r="B2129" s="5" t="inlineStr">
        <is>
          <t>Female</t>
        </is>
      </c>
      <c r="C2129" s="6" t="inlineStr">
        <is>
          <t>26</t>
        </is>
      </c>
      <c r="D2129" s="5" t="inlineStr">
        <is>
          <t>Single</t>
        </is>
      </c>
      <c r="E2129" s="5" t="inlineStr">
        <is>
          <t>High School</t>
        </is>
      </c>
      <c r="F2129" s="5" t="inlineStr">
        <is>
          <t>Sales</t>
        </is>
      </c>
      <c r="G2129" s="5" t="inlineStr">
        <is>
          <t>Business Development</t>
        </is>
      </c>
      <c r="H2129" s="5" t="inlineStr">
        <is>
          <t>1</t>
        </is>
      </c>
      <c r="I2129" s="5" t="inlineStr">
        <is>
          <t>Bengaluru</t>
        </is>
      </c>
      <c r="J2129" s="5" t="inlineStr">
        <is>
          <t>Full-Time</t>
        </is>
      </c>
      <c r="K2129" s="7" t="n">
        <v>45673</v>
      </c>
      <c r="L2129" s="7" t="inlineStr"/>
      <c r="M2129" s="5" t="inlineStr">
        <is>
          <t>Yes</t>
        </is>
      </c>
      <c r="N2129" s="5" t="inlineStr"/>
      <c r="O2129" s="8" t="inlineStr">
        <is>
          <t>81000</t>
        </is>
      </c>
      <c r="P2129" s="5" t="inlineStr">
        <is>
          <t>5</t>
        </is>
      </c>
      <c r="Q2129" s="5" t="inlineStr">
        <is>
          <t>3</t>
        </is>
      </c>
      <c r="R2129" s="5" t="inlineStr">
        <is>
          <t>9</t>
        </is>
      </c>
      <c r="S2129" s="5" t="inlineStr">
        <is>
          <t>11</t>
        </is>
      </c>
      <c r="T2129" s="5" t="inlineStr">
        <is>
          <t>12</t>
        </is>
      </c>
      <c r="U2129" s="5" t="inlineStr">
        <is>
          <t>OK</t>
        </is>
      </c>
    </row>
    <row r="2130">
      <c r="A2130" s="5" t="inlineStr">
        <is>
          <t>E02676</t>
        </is>
      </c>
      <c r="B2130" s="5" t="inlineStr">
        <is>
          <t>Female</t>
        </is>
      </c>
      <c r="C2130" s="6" t="inlineStr">
        <is>
          <t>33</t>
        </is>
      </c>
      <c r="D2130" s="5" t="inlineStr">
        <is>
          <t>Single</t>
        </is>
      </c>
      <c r="E2130" s="5" t="inlineStr">
        <is>
          <t>Bachelor</t>
        </is>
      </c>
      <c r="F2130" s="5" t="inlineStr">
        <is>
          <t>Sales</t>
        </is>
      </c>
      <c r="G2130" s="5" t="inlineStr">
        <is>
          <t>Account Executive</t>
        </is>
      </c>
      <c r="H2130" s="5" t="inlineStr">
        <is>
          <t>1</t>
        </is>
      </c>
      <c r="I2130" s="5" t="inlineStr">
        <is>
          <t>Chennai</t>
        </is>
      </c>
      <c r="J2130" s="5" t="inlineStr">
        <is>
          <t>Full-Time</t>
        </is>
      </c>
      <c r="K2130" s="7" t="n">
        <v>44817</v>
      </c>
      <c r="L2130" s="7" t="n">
        <v>44859</v>
      </c>
      <c r="M2130" s="5" t="inlineStr">
        <is>
          <t>No</t>
        </is>
      </c>
      <c r="N2130" s="5" t="inlineStr">
        <is>
          <t>Retirement</t>
        </is>
      </c>
      <c r="O2130" s="8" t="inlineStr">
        <is>
          <t>88000</t>
        </is>
      </c>
      <c r="P2130" s="5" t="inlineStr">
        <is>
          <t>10</t>
        </is>
      </c>
      <c r="Q2130" s="5" t="inlineStr">
        <is>
          <t>4</t>
        </is>
      </c>
      <c r="R2130" s="5" t="inlineStr">
        <is>
          <t>7</t>
        </is>
      </c>
      <c r="S2130" s="5" t="inlineStr">
        <is>
          <t>1</t>
        </is>
      </c>
      <c r="T2130" s="5" t="inlineStr">
        <is>
          <t>9</t>
        </is>
      </c>
      <c r="U2130" s="5" t="inlineStr">
        <is>
          <t>OK</t>
        </is>
      </c>
    </row>
    <row r="2131">
      <c r="A2131" s="5" t="inlineStr">
        <is>
          <t>E01788</t>
        </is>
      </c>
      <c r="B2131" s="5" t="inlineStr">
        <is>
          <t>Male</t>
        </is>
      </c>
      <c r="C2131" s="6" t="inlineStr">
        <is>
          <t>27</t>
        </is>
      </c>
      <c r="D2131" s="5" t="inlineStr">
        <is>
          <t>Divorced</t>
        </is>
      </c>
      <c r="E2131" s="5" t="inlineStr">
        <is>
          <t>High School</t>
        </is>
      </c>
      <c r="F2131" s="5" t="inlineStr">
        <is>
          <t>Executive</t>
        </is>
      </c>
      <c r="G2131" s="5" t="inlineStr">
        <is>
          <t>CEO</t>
        </is>
      </c>
      <c r="H2131" s="5" t="inlineStr">
        <is>
          <t>2</t>
        </is>
      </c>
      <c r="I2131" s="5" t="inlineStr">
        <is>
          <t>Mumbai</t>
        </is>
      </c>
      <c r="J2131" s="5" t="inlineStr">
        <is>
          <t>Full-Time</t>
        </is>
      </c>
      <c r="K2131" s="7" t="n">
        <v>43909</v>
      </c>
      <c r="L2131" s="7" t="inlineStr"/>
      <c r="M2131" s="5" t="inlineStr">
        <is>
          <t>Yes</t>
        </is>
      </c>
      <c r="N2131" s="5" t="inlineStr"/>
      <c r="O2131" s="8" t="inlineStr">
        <is>
          <t>239000</t>
        </is>
      </c>
      <c r="P2131" s="5" t="inlineStr">
        <is>
          <t>5</t>
        </is>
      </c>
      <c r="Q2131" s="5" t="inlineStr">
        <is>
          <t>2</t>
        </is>
      </c>
      <c r="R2131" s="5" t="inlineStr">
        <is>
          <t>9</t>
        </is>
      </c>
      <c r="S2131" s="5" t="inlineStr">
        <is>
          <t>70</t>
        </is>
      </c>
      <c r="T2131" s="5" t="inlineStr">
        <is>
          <t>7</t>
        </is>
      </c>
      <c r="U2131" s="5" t="inlineStr">
        <is>
          <t>OK</t>
        </is>
      </c>
    </row>
    <row r="2132">
      <c r="A2132" s="5" t="inlineStr">
        <is>
          <t>E01671</t>
        </is>
      </c>
      <c r="B2132" s="5" t="inlineStr">
        <is>
          <t>Male</t>
        </is>
      </c>
      <c r="C2132" s="6" t="inlineStr">
        <is>
          <t>36</t>
        </is>
      </c>
      <c r="D2132" s="5" t="inlineStr">
        <is>
          <t>Married</t>
        </is>
      </c>
      <c r="E2132" s="5" t="inlineStr">
        <is>
          <t>PhD</t>
        </is>
      </c>
      <c r="F2132" s="5" t="inlineStr">
        <is>
          <t>Sales</t>
        </is>
      </c>
      <c r="G2132" s="5" t="inlineStr">
        <is>
          <t>Account Executive</t>
        </is>
      </c>
      <c r="H2132" s="5" t="inlineStr">
        <is>
          <t>4</t>
        </is>
      </c>
      <c r="I2132" s="5" t="inlineStr">
        <is>
          <t>Mumbai</t>
        </is>
      </c>
      <c r="J2132" s="5" t="inlineStr">
        <is>
          <t>Full-Time</t>
        </is>
      </c>
      <c r="K2132" s="7" t="n">
        <v>45800</v>
      </c>
      <c r="L2132" s="7" t="n">
        <v>45940</v>
      </c>
      <c r="M2132" s="5" t="inlineStr">
        <is>
          <t>No</t>
        </is>
      </c>
      <c r="N2132" s="5" t="inlineStr">
        <is>
          <t>Layoff</t>
        </is>
      </c>
      <c r="O2132" s="8" t="inlineStr">
        <is>
          <t>131000</t>
        </is>
      </c>
      <c r="P2132" s="5" t="inlineStr">
        <is>
          <t>15</t>
        </is>
      </c>
      <c r="Q2132" s="5" t="inlineStr">
        <is>
          <t>3</t>
        </is>
      </c>
      <c r="R2132" s="5" t="inlineStr">
        <is>
          <t>4</t>
        </is>
      </c>
      <c r="S2132" s="5" t="inlineStr">
        <is>
          <t>4</t>
        </is>
      </c>
      <c r="T2132" s="5" t="inlineStr">
        <is>
          <t>23</t>
        </is>
      </c>
      <c r="U2132" s="5" t="inlineStr">
        <is>
          <t>OK</t>
        </is>
      </c>
    </row>
    <row r="2133">
      <c r="A2133" s="5" t="inlineStr">
        <is>
          <t>E00717</t>
        </is>
      </c>
      <c r="B2133" s="5" t="inlineStr">
        <is>
          <t>Unknown</t>
        </is>
      </c>
      <c r="C2133" s="6" t="inlineStr">
        <is>
          <t>30</t>
        </is>
      </c>
      <c r="D2133" s="5" t="inlineStr">
        <is>
          <t>Married</t>
        </is>
      </c>
      <c r="E2133" s="5" t="inlineStr">
        <is>
          <t>Master</t>
        </is>
      </c>
      <c r="F2133" s="5" t="inlineStr">
        <is>
          <t>IT</t>
        </is>
      </c>
      <c r="G2133" s="5" t="inlineStr">
        <is>
          <t>Data Analyst</t>
        </is>
      </c>
      <c r="H2133" s="5" t="inlineStr">
        <is>
          <t>4</t>
        </is>
      </c>
      <c r="I2133" s="5" t="inlineStr">
        <is>
          <t>Delhi</t>
        </is>
      </c>
      <c r="J2133" s="5" t="inlineStr">
        <is>
          <t>Full-Time</t>
        </is>
      </c>
      <c r="K2133" s="7" t="n">
        <v>43850</v>
      </c>
      <c r="L2133" s="7" t="n">
        <v>43981</v>
      </c>
      <c r="M2133" s="5" t="inlineStr">
        <is>
          <t>No</t>
        </is>
      </c>
      <c r="N2133" s="5" t="inlineStr">
        <is>
          <t>Retirement</t>
        </is>
      </c>
      <c r="O2133" s="8" t="inlineStr">
        <is>
          <t>133000</t>
        </is>
      </c>
      <c r="P2133" s="5" t="inlineStr">
        <is>
          <t>5</t>
        </is>
      </c>
      <c r="Q2133" s="5" t="inlineStr">
        <is>
          <t>3</t>
        </is>
      </c>
      <c r="R2133" s="5" t="inlineStr">
        <is>
          <t>9</t>
        </is>
      </c>
      <c r="S2133" s="5" t="inlineStr">
        <is>
          <t>4</t>
        </is>
      </c>
      <c r="T2133" s="5" t="inlineStr">
        <is>
          <t>13</t>
        </is>
      </c>
      <c r="U2133" s="5" t="inlineStr">
        <is>
          <t>Bad gender</t>
        </is>
      </c>
    </row>
    <row r="2134">
      <c r="A2134" s="5" t="inlineStr">
        <is>
          <t>E01080</t>
        </is>
      </c>
      <c r="B2134" s="5" t="inlineStr">
        <is>
          <t>Female</t>
        </is>
      </c>
      <c r="C2134" s="6" t="inlineStr">
        <is>
          <t>38</t>
        </is>
      </c>
      <c r="D2134" s="5" t="inlineStr">
        <is>
          <t>Married</t>
        </is>
      </c>
      <c r="E2134" s="5" t="inlineStr">
        <is>
          <t>High School</t>
        </is>
      </c>
      <c r="F2134" s="5" t="inlineStr">
        <is>
          <t>Sales</t>
        </is>
      </c>
      <c r="G2134" s="5" t="inlineStr">
        <is>
          <t>Business Development</t>
        </is>
      </c>
      <c r="H2134" s="5" t="inlineStr">
        <is>
          <t>3</t>
        </is>
      </c>
      <c r="I2134" s="5" t="inlineStr">
        <is>
          <t>Hyderabad</t>
        </is>
      </c>
      <c r="J2134" s="5" t="inlineStr">
        <is>
          <t>Full-Time</t>
        </is>
      </c>
      <c r="K2134" s="7" t="n">
        <v>44871</v>
      </c>
      <c r="L2134" s="7" t="inlineStr"/>
      <c r="M2134" s="5" t="inlineStr">
        <is>
          <t>Yes</t>
        </is>
      </c>
      <c r="N2134" s="5" t="inlineStr"/>
      <c r="O2134" s="8" t="inlineStr">
        <is>
          <t>130500</t>
        </is>
      </c>
      <c r="P2134" s="5" t="inlineStr">
        <is>
          <t>5</t>
        </is>
      </c>
      <c r="Q2134" s="5" t="inlineStr">
        <is>
          <t>4</t>
        </is>
      </c>
      <c r="R2134" s="5" t="inlineStr">
        <is>
          <t>5</t>
        </is>
      </c>
      <c r="S2134" s="5" t="inlineStr">
        <is>
          <t>38</t>
        </is>
      </c>
      <c r="T2134" s="5" t="inlineStr">
        <is>
          <t>1</t>
        </is>
      </c>
      <c r="U2134" s="5" t="inlineStr">
        <is>
          <t>OK</t>
        </is>
      </c>
    </row>
    <row r="2135">
      <c r="A2135" s="5" t="inlineStr">
        <is>
          <t>E02982</t>
        </is>
      </c>
      <c r="B2135" s="5" t="inlineStr">
        <is>
          <t>Female</t>
        </is>
      </c>
      <c r="C2135" s="6" t="inlineStr">
        <is>
          <t>31</t>
        </is>
      </c>
      <c r="D2135" s="5" t="inlineStr">
        <is>
          <t>Married</t>
        </is>
      </c>
      <c r="E2135" s="5" t="inlineStr">
        <is>
          <t>Bachelor</t>
        </is>
      </c>
      <c r="F2135" s="5" t="inlineStr">
        <is>
          <t>Operations</t>
        </is>
      </c>
      <c r="G2135" s="5" t="inlineStr">
        <is>
          <t>Operations Analyst</t>
        </is>
      </c>
      <c r="H2135" s="5" t="inlineStr">
        <is>
          <t>3</t>
        </is>
      </c>
      <c r="I2135" s="5" t="inlineStr">
        <is>
          <t>Chennai</t>
        </is>
      </c>
      <c r="J2135" s="5" t="inlineStr">
        <is>
          <t>Full-Time</t>
        </is>
      </c>
      <c r="K2135" s="7" t="n">
        <v>45631</v>
      </c>
      <c r="L2135" s="7" t="n">
        <v>45706</v>
      </c>
      <c r="M2135" s="5" t="inlineStr">
        <is>
          <t>No</t>
        </is>
      </c>
      <c r="N2135" s="5" t="inlineStr">
        <is>
          <t>Layoff</t>
        </is>
      </c>
      <c r="O2135" s="8" t="inlineStr">
        <is>
          <t>91000</t>
        </is>
      </c>
      <c r="P2135" s="5" t="inlineStr">
        <is>
          <t>0</t>
        </is>
      </c>
      <c r="Q2135" s="5" t="inlineStr">
        <is>
          <t>3</t>
        </is>
      </c>
      <c r="R2135" s="5" t="inlineStr">
        <is>
          <t>5</t>
        </is>
      </c>
      <c r="S2135" s="5" t="inlineStr">
        <is>
          <t>2</t>
        </is>
      </c>
      <c r="T2135" s="5" t="inlineStr">
        <is>
          <t>8</t>
        </is>
      </c>
      <c r="U2135" s="5" t="inlineStr">
        <is>
          <t>OK</t>
        </is>
      </c>
    </row>
    <row r="2136">
      <c r="A2136" s="5" t="inlineStr">
        <is>
          <t>E01751</t>
        </is>
      </c>
      <c r="B2136" s="5" t="inlineStr">
        <is>
          <t>Female</t>
        </is>
      </c>
      <c r="C2136" s="6" t="inlineStr">
        <is>
          <t>38</t>
        </is>
      </c>
      <c r="D2136" s="5" t="inlineStr">
        <is>
          <t>Married</t>
        </is>
      </c>
      <c r="E2136" s="5" t="inlineStr">
        <is>
          <t>Master</t>
        </is>
      </c>
      <c r="F2136" s="5" t="inlineStr">
        <is>
          <t>Sales</t>
        </is>
      </c>
      <c r="G2136" s="5" t="inlineStr">
        <is>
          <t>Sales Executive</t>
        </is>
      </c>
      <c r="H2136" s="5" t="inlineStr">
        <is>
          <t>4</t>
        </is>
      </c>
      <c r="I2136" s="5" t="inlineStr">
        <is>
          <t>Hyderabad</t>
        </is>
      </c>
      <c r="J2136" s="5" t="inlineStr">
        <is>
          <t>Full-Time</t>
        </is>
      </c>
      <c r="K2136" s="7" t="n">
        <v>44635</v>
      </c>
      <c r="L2136" s="7" t="inlineStr"/>
      <c r="M2136" s="5" t="inlineStr">
        <is>
          <t>Yes</t>
        </is>
      </c>
      <c r="N2136" s="5" t="inlineStr"/>
      <c r="O2136" s="8" t="inlineStr">
        <is>
          <t>136000</t>
        </is>
      </c>
      <c r="P2136" s="5" t="inlineStr">
        <is>
          <t>20</t>
        </is>
      </c>
      <c r="Q2136" s="5" t="inlineStr">
        <is>
          <t>5</t>
        </is>
      </c>
      <c r="R2136" s="5" t="inlineStr">
        <is>
          <t>7</t>
        </is>
      </c>
      <c r="S2136" s="5" t="inlineStr">
        <is>
          <t>46</t>
        </is>
      </c>
      <c r="T2136" s="5" t="inlineStr">
        <is>
          <t>5</t>
        </is>
      </c>
      <c r="U2136" s="5" t="inlineStr">
        <is>
          <t>OK</t>
        </is>
      </c>
    </row>
    <row r="2137">
      <c r="A2137" s="5" t="inlineStr">
        <is>
          <t>E00672</t>
        </is>
      </c>
      <c r="B2137" s="5" t="inlineStr">
        <is>
          <t>Female</t>
        </is>
      </c>
      <c r="C2137" s="6" t="inlineStr">
        <is>
          <t>36</t>
        </is>
      </c>
      <c r="D2137" s="5" t="inlineStr">
        <is>
          <t>Married</t>
        </is>
      </c>
      <c r="E2137" s="5" t="inlineStr">
        <is>
          <t>Bachelor</t>
        </is>
      </c>
      <c r="F2137" s="5" t="inlineStr">
        <is>
          <t>Sales</t>
        </is>
      </c>
      <c r="G2137" s="5" t="inlineStr">
        <is>
          <t>Sales Executive</t>
        </is>
      </c>
      <c r="H2137" s="5" t="inlineStr">
        <is>
          <t>4</t>
        </is>
      </c>
      <c r="I2137" s="5" t="inlineStr">
        <is>
          <t>Remote</t>
        </is>
      </c>
      <c r="J2137" s="5" t="inlineStr">
        <is>
          <t>Full-Time</t>
        </is>
      </c>
      <c r="K2137" s="7" t="n">
        <v>44976</v>
      </c>
      <c r="L2137" s="7" t="inlineStr"/>
      <c r="M2137" s="5" t="inlineStr">
        <is>
          <t>Yes</t>
        </is>
      </c>
      <c r="N2137" s="5" t="inlineStr"/>
      <c r="O2137" s="8" t="inlineStr">
        <is>
          <t>107000</t>
        </is>
      </c>
      <c r="P2137" s="5" t="inlineStr">
        <is>
          <t>20</t>
        </is>
      </c>
      <c r="Q2137" s="5" t="inlineStr">
        <is>
          <t>4</t>
        </is>
      </c>
      <c r="R2137" s="5" t="inlineStr">
        <is>
          <t>7</t>
        </is>
      </c>
      <c r="S2137" s="5" t="inlineStr">
        <is>
          <t>34</t>
        </is>
      </c>
      <c r="T2137" s="5" t="inlineStr">
        <is>
          <t>6</t>
        </is>
      </c>
      <c r="U2137" s="5" t="inlineStr">
        <is>
          <t>OK</t>
        </is>
      </c>
    </row>
    <row r="2138">
      <c r="A2138" s="5" t="inlineStr">
        <is>
          <t>E01599</t>
        </is>
      </c>
      <c r="B2138" s="5" t="inlineStr">
        <is>
          <t>Female</t>
        </is>
      </c>
      <c r="C2138" s="6" t="inlineStr">
        <is>
          <t>34</t>
        </is>
      </c>
      <c r="D2138" s="5" t="inlineStr">
        <is>
          <t>Married</t>
        </is>
      </c>
      <c r="E2138" s="5" t="inlineStr">
        <is>
          <t>Diploma</t>
        </is>
      </c>
      <c r="F2138" s="5" t="inlineStr">
        <is>
          <t>IT</t>
        </is>
      </c>
      <c r="G2138" s="5" t="inlineStr">
        <is>
          <t>Software Engineer</t>
        </is>
      </c>
      <c r="H2138" s="5" t="inlineStr">
        <is>
          <t>2</t>
        </is>
      </c>
      <c r="I2138" s="5" t="inlineStr">
        <is>
          <t>Mumbai</t>
        </is>
      </c>
      <c r="J2138" s="5" t="inlineStr">
        <is>
          <t>Full-Time</t>
        </is>
      </c>
      <c r="K2138" s="7" t="n">
        <v>45082</v>
      </c>
      <c r="L2138" s="7" t="inlineStr"/>
      <c r="M2138" s="5" t="inlineStr">
        <is>
          <t>Yes</t>
        </is>
      </c>
      <c r="N2138" s="5" t="inlineStr"/>
      <c r="O2138" s="8" t="inlineStr">
        <is>
          <t>124500</t>
        </is>
      </c>
      <c r="P2138" s="5" t="inlineStr">
        <is>
          <t>0</t>
        </is>
      </c>
      <c r="Q2138" s="5" t="inlineStr">
        <is>
          <t>3</t>
        </is>
      </c>
      <c r="R2138" s="5" t="inlineStr">
        <is>
          <t>8</t>
        </is>
      </c>
      <c r="S2138" s="5" t="inlineStr">
        <is>
          <t>31</t>
        </is>
      </c>
      <c r="T2138" s="5" t="inlineStr">
        <is>
          <t>0</t>
        </is>
      </c>
      <c r="U2138" s="5" t="inlineStr">
        <is>
          <t>OK</t>
        </is>
      </c>
    </row>
    <row r="2139">
      <c r="A2139" s="5" t="inlineStr">
        <is>
          <t>E02559</t>
        </is>
      </c>
      <c r="B2139" s="5" t="inlineStr">
        <is>
          <t>Male</t>
        </is>
      </c>
      <c r="C2139" s="6" t="inlineStr">
        <is>
          <t>29</t>
        </is>
      </c>
      <c r="D2139" s="5" t="inlineStr">
        <is>
          <t>Married</t>
        </is>
      </c>
      <c r="E2139" s="5" t="inlineStr">
        <is>
          <t>Bachelor</t>
        </is>
      </c>
      <c r="F2139" s="5" t="inlineStr">
        <is>
          <t>Research &amp; Development</t>
        </is>
      </c>
      <c r="G2139" s="5" t="inlineStr">
        <is>
          <t>Product Engineer</t>
        </is>
      </c>
      <c r="H2139" s="5" t="inlineStr">
        <is>
          <t>4</t>
        </is>
      </c>
      <c r="I2139" s="5" t="inlineStr">
        <is>
          <t>Mumbai</t>
        </is>
      </c>
      <c r="J2139" s="5" t="inlineStr">
        <is>
          <t>Full-Time</t>
        </is>
      </c>
      <c r="K2139" s="7" t="n">
        <v>44840</v>
      </c>
      <c r="L2139" s="7" t="inlineStr"/>
      <c r="M2139" s="5" t="inlineStr">
        <is>
          <t>Yes</t>
        </is>
      </c>
      <c r="N2139" s="5" t="inlineStr"/>
      <c r="O2139" s="8" t="inlineStr">
        <is>
          <t>234000</t>
        </is>
      </c>
      <c r="P2139" s="5" t="inlineStr">
        <is>
          <t>5</t>
        </is>
      </c>
      <c r="Q2139" s="5" t="inlineStr">
        <is>
          <t>3</t>
        </is>
      </c>
      <c r="R2139" s="5" t="inlineStr">
        <is>
          <t>6</t>
        </is>
      </c>
      <c r="S2139" s="5" t="inlineStr">
        <is>
          <t>39</t>
        </is>
      </c>
      <c r="T2139" s="5" t="inlineStr">
        <is>
          <t>12</t>
        </is>
      </c>
      <c r="U2139" s="5" t="inlineStr">
        <is>
          <t>OK</t>
        </is>
      </c>
    </row>
    <row r="2140">
      <c r="A2140" s="5" t="inlineStr">
        <is>
          <t>E01376</t>
        </is>
      </c>
      <c r="B2140" s="5" t="inlineStr">
        <is>
          <t>Male</t>
        </is>
      </c>
      <c r="C2140" s="6" t="inlineStr">
        <is>
          <t>28</t>
        </is>
      </c>
      <c r="D2140" s="5" t="inlineStr">
        <is>
          <t>Married</t>
        </is>
      </c>
      <c r="E2140" s="5" t="inlineStr">
        <is>
          <t>Bachelor</t>
        </is>
      </c>
      <c r="F2140" s="5" t="inlineStr">
        <is>
          <t>Sales</t>
        </is>
      </c>
      <c r="G2140" s="5" t="inlineStr">
        <is>
          <t>Account Executive</t>
        </is>
      </c>
      <c r="H2140" s="5" t="inlineStr">
        <is>
          <t>2</t>
        </is>
      </c>
      <c r="I2140" s="5" t="inlineStr">
        <is>
          <t>Mumbai</t>
        </is>
      </c>
      <c r="J2140" s="5" t="inlineStr">
        <is>
          <t>Full-Time</t>
        </is>
      </c>
      <c r="K2140" s="7" t="n">
        <v>45972</v>
      </c>
      <c r="L2140" s="7" t="inlineStr"/>
      <c r="M2140" s="5" t="inlineStr">
        <is>
          <t>Yes</t>
        </is>
      </c>
      <c r="N2140" s="5" t="inlineStr"/>
      <c r="O2140" s="8" t="inlineStr">
        <is>
          <t>76500</t>
        </is>
      </c>
      <c r="P2140" s="5" t="inlineStr">
        <is>
          <t>20</t>
        </is>
      </c>
      <c r="Q2140" s="5" t="inlineStr">
        <is>
          <t>3</t>
        </is>
      </c>
      <c r="R2140" s="5" t="inlineStr">
        <is>
          <t>6</t>
        </is>
      </c>
      <c r="S2140" s="5" t="inlineStr">
        <is>
          <t>1</t>
        </is>
      </c>
      <c r="T2140" s="5" t="inlineStr">
        <is>
          <t>0</t>
        </is>
      </c>
      <c r="U2140" s="5" t="inlineStr">
        <is>
          <t>OK</t>
        </is>
      </c>
    </row>
    <row r="2141">
      <c r="A2141" s="5" t="inlineStr">
        <is>
          <t>E02980</t>
        </is>
      </c>
      <c r="B2141" s="5" t="inlineStr">
        <is>
          <t>Female</t>
        </is>
      </c>
      <c r="C2141" s="6" t="inlineStr">
        <is>
          <t>31</t>
        </is>
      </c>
      <c r="D2141" s="5" t="inlineStr">
        <is>
          <t>Married</t>
        </is>
      </c>
      <c r="E2141" s="5" t="inlineStr">
        <is>
          <t>High School</t>
        </is>
      </c>
      <c r="F2141" s="5" t="inlineStr">
        <is>
          <t>Finance</t>
        </is>
      </c>
      <c r="G2141" s="5" t="inlineStr">
        <is>
          <t>Financial Analyst</t>
        </is>
      </c>
      <c r="H2141" s="5" t="inlineStr">
        <is>
          <t>3</t>
        </is>
      </c>
      <c r="I2141" s="5" t="inlineStr">
        <is>
          <t>Chennai</t>
        </is>
      </c>
      <c r="J2141" s="5" t="inlineStr">
        <is>
          <t>Full-Time</t>
        </is>
      </c>
      <c r="K2141" s="7" t="n">
        <v>44536</v>
      </c>
      <c r="L2141" s="7" t="inlineStr"/>
      <c r="M2141" s="5" t="inlineStr">
        <is>
          <t>Yes</t>
        </is>
      </c>
      <c r="N2141" s="5" t="inlineStr"/>
      <c r="O2141" s="8" t="inlineStr">
        <is>
          <t>134000</t>
        </is>
      </c>
      <c r="P2141" s="5" t="inlineStr">
        <is>
          <t>5</t>
        </is>
      </c>
      <c r="Q2141" s="5" t="inlineStr">
        <is>
          <t>5</t>
        </is>
      </c>
      <c r="R2141" s="5" t="inlineStr">
        <is>
          <t>6</t>
        </is>
      </c>
      <c r="S2141" s="5" t="inlineStr">
        <is>
          <t>49</t>
        </is>
      </c>
      <c r="T2141" s="5" t="inlineStr">
        <is>
          <t>8</t>
        </is>
      </c>
      <c r="U2141" s="5" t="inlineStr">
        <is>
          <t>OK</t>
        </is>
      </c>
    </row>
    <row r="2142">
      <c r="A2142" s="5" t="inlineStr">
        <is>
          <t>E02863</t>
        </is>
      </c>
      <c r="B2142" s="5" t="inlineStr">
        <is>
          <t>Female</t>
        </is>
      </c>
      <c r="C2142" s="6" t="inlineStr">
        <is>
          <t>32</t>
        </is>
      </c>
      <c r="D2142" s="5" t="inlineStr">
        <is>
          <t>Single</t>
        </is>
      </c>
      <c r="E2142" s="5" t="inlineStr">
        <is>
          <t>Master</t>
        </is>
      </c>
      <c r="F2142" s="5" t="inlineStr">
        <is>
          <t>Operations</t>
        </is>
      </c>
      <c r="G2142" s="5" t="inlineStr">
        <is>
          <t>Operations Analyst</t>
        </is>
      </c>
      <c r="H2142" s="5" t="inlineStr">
        <is>
          <t>5</t>
        </is>
      </c>
      <c r="I2142" s="5" t="inlineStr">
        <is>
          <t>Chennai</t>
        </is>
      </c>
      <c r="J2142" s="5" t="inlineStr">
        <is>
          <t>Part-Time</t>
        </is>
      </c>
      <c r="K2142" s="7" t="n">
        <v>44848</v>
      </c>
      <c r="L2142" s="7" t="inlineStr"/>
      <c r="M2142" s="5" t="inlineStr">
        <is>
          <t>Yes</t>
        </is>
      </c>
      <c r="N2142" s="5" t="inlineStr"/>
      <c r="O2142" s="8" t="inlineStr">
        <is>
          <t>130500</t>
        </is>
      </c>
      <c r="P2142" s="5" t="inlineStr">
        <is>
          <t>0</t>
        </is>
      </c>
      <c r="Q2142" s="5" t="inlineStr">
        <is>
          <t>4</t>
        </is>
      </c>
      <c r="R2142" s="5" t="inlineStr">
        <is>
          <t>7</t>
        </is>
      </c>
      <c r="S2142" s="5" t="inlineStr">
        <is>
          <t>39</t>
        </is>
      </c>
      <c r="T2142" s="5" t="inlineStr">
        <is>
          <t>6</t>
        </is>
      </c>
      <c r="U2142" s="5" t="inlineStr">
        <is>
          <t>OK</t>
        </is>
      </c>
    </row>
    <row r="2143">
      <c r="A2143" s="5" t="inlineStr">
        <is>
          <t>E00560</t>
        </is>
      </c>
      <c r="B2143" s="5" t="inlineStr">
        <is>
          <t>Male</t>
        </is>
      </c>
      <c r="C2143" s="6" t="inlineStr">
        <is>
          <t>32</t>
        </is>
      </c>
      <c r="D2143" s="5" t="inlineStr">
        <is>
          <t>Single</t>
        </is>
      </c>
      <c r="E2143" s="5" t="inlineStr">
        <is>
          <t>High School</t>
        </is>
      </c>
      <c r="F2143" s="5" t="inlineStr">
        <is>
          <t>Finance</t>
        </is>
      </c>
      <c r="G2143" s="5" t="inlineStr">
        <is>
          <t>Credit Analyst</t>
        </is>
      </c>
      <c r="H2143" s="5" t="inlineStr">
        <is>
          <t>4</t>
        </is>
      </c>
      <c r="I2143" s="5" t="inlineStr">
        <is>
          <t>Delhi</t>
        </is>
      </c>
      <c r="J2143" s="5" t="inlineStr">
        <is>
          <t>Full-Time</t>
        </is>
      </c>
      <c r="K2143" s="7" t="n">
        <v>43901</v>
      </c>
      <c r="L2143" s="7" t="inlineStr"/>
      <c r="M2143" s="5" t="inlineStr">
        <is>
          <t>Yes</t>
        </is>
      </c>
      <c r="N2143" s="5" t="inlineStr"/>
      <c r="O2143" s="8" t="inlineStr">
        <is>
          <t>162500</t>
        </is>
      </c>
      <c r="P2143" s="5" t="inlineStr">
        <is>
          <t>20</t>
        </is>
      </c>
      <c r="Q2143" s="5" t="inlineStr">
        <is>
          <t>3</t>
        </is>
      </c>
      <c r="R2143" s="5" t="inlineStr">
        <is>
          <t>4</t>
        </is>
      </c>
      <c r="S2143" s="5" t="inlineStr">
        <is>
          <t>70</t>
        </is>
      </c>
      <c r="T2143" s="5" t="inlineStr">
        <is>
          <t>19</t>
        </is>
      </c>
      <c r="U2143" s="5" t="inlineStr">
        <is>
          <t>OK</t>
        </is>
      </c>
    </row>
    <row r="2144">
      <c r="A2144" s="5" t="inlineStr">
        <is>
          <t>E02026</t>
        </is>
      </c>
      <c r="B2144" s="5" t="inlineStr">
        <is>
          <t>Male</t>
        </is>
      </c>
      <c r="C2144" s="6" t="inlineStr">
        <is>
          <t>36</t>
        </is>
      </c>
      <c r="D2144" s="5" t="inlineStr">
        <is>
          <t>Married</t>
        </is>
      </c>
      <c r="E2144" s="5" t="inlineStr">
        <is>
          <t>Diploma</t>
        </is>
      </c>
      <c r="F2144" s="5" t="inlineStr">
        <is>
          <t>Sales</t>
        </is>
      </c>
      <c r="G2144" s="5" t="inlineStr">
        <is>
          <t>Sales Executive</t>
        </is>
      </c>
      <c r="H2144" s="5" t="inlineStr">
        <is>
          <t>2</t>
        </is>
      </c>
      <c r="I2144" s="5" t="inlineStr">
        <is>
          <t>Remote</t>
        </is>
      </c>
      <c r="J2144" s="5" t="inlineStr">
        <is>
          <t>Full-Time</t>
        </is>
      </c>
      <c r="K2144" s="7" t="n">
        <v>43874</v>
      </c>
      <c r="L2144" s="7" t="n">
        <v>43926</v>
      </c>
      <c r="M2144" s="5" t="inlineStr">
        <is>
          <t>No</t>
        </is>
      </c>
      <c r="N2144" s="5" t="inlineStr">
        <is>
          <t>Retirement</t>
        </is>
      </c>
      <c r="O2144" s="8" t="inlineStr">
        <is>
          <t>75000</t>
        </is>
      </c>
      <c r="P2144" s="5" t="inlineStr">
        <is>
          <t>0</t>
        </is>
      </c>
      <c r="Q2144" s="5" t="inlineStr">
        <is>
          <t>4</t>
        </is>
      </c>
      <c r="R2144" s="5" t="inlineStr">
        <is>
          <t>6</t>
        </is>
      </c>
      <c r="S2144" s="5" t="inlineStr">
        <is>
          <t>1</t>
        </is>
      </c>
      <c r="T2144" s="5" t="inlineStr">
        <is>
          <t>11</t>
        </is>
      </c>
      <c r="U2144" s="5" t="inlineStr">
        <is>
          <t>OK</t>
        </is>
      </c>
    </row>
    <row r="2145">
      <c r="A2145" s="5" t="inlineStr">
        <is>
          <t>E01117</t>
        </is>
      </c>
      <c r="B2145" s="5" t="inlineStr">
        <is>
          <t>Female</t>
        </is>
      </c>
      <c r="C2145" s="6" t="inlineStr">
        <is>
          <t>40</t>
        </is>
      </c>
      <c r="D2145" s="5" t="inlineStr">
        <is>
          <t>Married</t>
        </is>
      </c>
      <c r="E2145" s="5" t="inlineStr">
        <is>
          <t>High School</t>
        </is>
      </c>
      <c r="F2145" s="5" t="inlineStr">
        <is>
          <t>Human Resources</t>
        </is>
      </c>
      <c r="G2145" s="5" t="inlineStr">
        <is>
          <t>HR Analyst</t>
        </is>
      </c>
      <c r="H2145" s="5" t="inlineStr">
        <is>
          <t>5</t>
        </is>
      </c>
      <c r="I2145" s="5" t="inlineStr">
        <is>
          <t>Hyderabad</t>
        </is>
      </c>
      <c r="J2145" s="5" t="inlineStr">
        <is>
          <t>Full-Time</t>
        </is>
      </c>
      <c r="K2145" s="7" t="n">
        <v>45188</v>
      </c>
      <c r="L2145" s="7" t="inlineStr"/>
      <c r="M2145" s="5" t="inlineStr">
        <is>
          <t>Yes</t>
        </is>
      </c>
      <c r="N2145" s="5" t="inlineStr"/>
      <c r="O2145" s="8" t="inlineStr">
        <is>
          <t>138500</t>
        </is>
      </c>
      <c r="P2145" s="5" t="inlineStr">
        <is>
          <t>10</t>
        </is>
      </c>
      <c r="Q2145" s="5" t="inlineStr">
        <is>
          <t>3</t>
        </is>
      </c>
      <c r="R2145" s="5" t="inlineStr">
        <is>
          <t>6</t>
        </is>
      </c>
      <c r="S2145" s="5" t="inlineStr">
        <is>
          <t>27</t>
        </is>
      </c>
      <c r="T2145" s="5" t="inlineStr">
        <is>
          <t>13</t>
        </is>
      </c>
      <c r="U2145" s="5" t="inlineStr">
        <is>
          <t>OK</t>
        </is>
      </c>
    </row>
    <row r="2146">
      <c r="A2146" s="5" t="inlineStr">
        <is>
          <t>E02612</t>
        </is>
      </c>
      <c r="B2146" s="5" t="inlineStr">
        <is>
          <t>Female</t>
        </is>
      </c>
      <c r="C2146" s="6" t="inlineStr">
        <is>
          <t>35</t>
        </is>
      </c>
      <c r="D2146" s="5" t="inlineStr">
        <is>
          <t>Married</t>
        </is>
      </c>
      <c r="E2146" s="5" t="inlineStr">
        <is>
          <t>Bachelor</t>
        </is>
      </c>
      <c r="F2146" s="5" t="inlineStr">
        <is>
          <t>Marketing</t>
        </is>
      </c>
      <c r="G2146" s="5" t="inlineStr">
        <is>
          <t>Content Writer</t>
        </is>
      </c>
      <c r="H2146" s="5" t="inlineStr">
        <is>
          <t>3</t>
        </is>
      </c>
      <c r="I2146" s="5" t="inlineStr">
        <is>
          <t>Bengaluru</t>
        </is>
      </c>
      <c r="J2146" s="5" t="inlineStr">
        <is>
          <t>Full-Time</t>
        </is>
      </c>
      <c r="K2146" s="7" t="n">
        <v>45285</v>
      </c>
      <c r="L2146" s="7" t="n">
        <v>45357</v>
      </c>
      <c r="M2146" s="5" t="inlineStr">
        <is>
          <t>No</t>
        </is>
      </c>
      <c r="N2146" s="5" t="inlineStr">
        <is>
          <t>Resigned</t>
        </is>
      </c>
      <c r="O2146" s="8" t="inlineStr">
        <is>
          <t>102000</t>
        </is>
      </c>
      <c r="P2146" s="5" t="inlineStr">
        <is>
          <t>0</t>
        </is>
      </c>
      <c r="Q2146" s="5" t="inlineStr">
        <is>
          <t>5</t>
        </is>
      </c>
      <c r="R2146" s="5" t="inlineStr">
        <is>
          <t>8</t>
        </is>
      </c>
      <c r="S2146" s="5" t="inlineStr">
        <is>
          <t>2</t>
        </is>
      </c>
      <c r="T2146" s="5" t="inlineStr">
        <is>
          <t>11</t>
        </is>
      </c>
      <c r="U2146" s="5" t="inlineStr">
        <is>
          <t>OK</t>
        </is>
      </c>
    </row>
    <row r="2147">
      <c r="A2147" s="5" t="inlineStr">
        <is>
          <t>E01624</t>
        </is>
      </c>
      <c r="B2147" s="5" t="inlineStr">
        <is>
          <t>Male</t>
        </is>
      </c>
      <c r="C2147" s="6" t="inlineStr">
        <is>
          <t>32</t>
        </is>
      </c>
      <c r="D2147" s="5" t="inlineStr">
        <is>
          <t>Married</t>
        </is>
      </c>
      <c r="E2147" s="5" t="inlineStr">
        <is>
          <t>Master</t>
        </is>
      </c>
      <c r="F2147" s="5" t="inlineStr">
        <is>
          <t>Sales</t>
        </is>
      </c>
      <c r="G2147" s="5" t="inlineStr">
        <is>
          <t>Account Executive</t>
        </is>
      </c>
      <c r="H2147" s="5" t="inlineStr">
        <is>
          <t>3</t>
        </is>
      </c>
      <c r="I2147" s="5" t="inlineStr">
        <is>
          <t>Hyderabad</t>
        </is>
      </c>
      <c r="J2147" s="5" t="inlineStr">
        <is>
          <t>Full-Time</t>
        </is>
      </c>
      <c r="K2147" s="7" t="n">
        <v>45138</v>
      </c>
      <c r="L2147" s="7" t="inlineStr"/>
      <c r="M2147" s="5" t="inlineStr">
        <is>
          <t>Yes</t>
        </is>
      </c>
      <c r="N2147" s="5" t="inlineStr"/>
      <c r="O2147" s="8" t="inlineStr">
        <is>
          <t>87500</t>
        </is>
      </c>
      <c r="P2147" s="5" t="inlineStr">
        <is>
          <t>0</t>
        </is>
      </c>
      <c r="Q2147" s="5" t="inlineStr">
        <is>
          <t>3</t>
        </is>
      </c>
      <c r="R2147" s="5" t="inlineStr">
        <is>
          <t>6</t>
        </is>
      </c>
      <c r="S2147" s="5" t="inlineStr">
        <is>
          <t>29</t>
        </is>
      </c>
      <c r="T2147" s="5" t="inlineStr">
        <is>
          <t>0</t>
        </is>
      </c>
      <c r="U2147" s="5" t="inlineStr">
        <is>
          <t>OK</t>
        </is>
      </c>
    </row>
    <row r="2148">
      <c r="A2148" s="5" t="inlineStr">
        <is>
          <t>E01078</t>
        </is>
      </c>
      <c r="B2148" s="5" t="inlineStr">
        <is>
          <t>Female</t>
        </is>
      </c>
      <c r="C2148" s="6" t="inlineStr">
        <is>
          <t>23</t>
        </is>
      </c>
      <c r="D2148" s="5" t="inlineStr">
        <is>
          <t>Married</t>
        </is>
      </c>
      <c r="E2148" s="5" t="inlineStr">
        <is>
          <t>High School</t>
        </is>
      </c>
      <c r="F2148" s="5" t="inlineStr">
        <is>
          <t>Finance</t>
        </is>
      </c>
      <c r="G2148" s="5" t="inlineStr">
        <is>
          <t>Accountant</t>
        </is>
      </c>
      <c r="H2148" s="5" t="inlineStr">
        <is>
          <t>1</t>
        </is>
      </c>
      <c r="I2148" s="5" t="inlineStr">
        <is>
          <t>Hyderabad</t>
        </is>
      </c>
      <c r="J2148" s="5" t="inlineStr">
        <is>
          <t>Full-Time</t>
        </is>
      </c>
      <c r="K2148" s="7" t="n">
        <v>44034</v>
      </c>
      <c r="L2148" s="7" t="n">
        <v>44173</v>
      </c>
      <c r="M2148" s="5" t="inlineStr">
        <is>
          <t>No</t>
        </is>
      </c>
      <c r="N2148" s="5" t="inlineStr">
        <is>
          <t>Resigned</t>
        </is>
      </c>
      <c r="O2148" s="8" t="inlineStr">
        <is>
          <t>96500</t>
        </is>
      </c>
      <c r="P2148" s="5" t="inlineStr">
        <is>
          <t>5</t>
        </is>
      </c>
      <c r="Q2148" s="5" t="inlineStr">
        <is>
          <t>3</t>
        </is>
      </c>
      <c r="R2148" s="5" t="inlineStr">
        <is>
          <t>6</t>
        </is>
      </c>
      <c r="S2148" s="5" t="inlineStr">
        <is>
          <t>4</t>
        </is>
      </c>
      <c r="T2148" s="5" t="inlineStr">
        <is>
          <t>3</t>
        </is>
      </c>
      <c r="U2148" s="5" t="inlineStr">
        <is>
          <t>OK</t>
        </is>
      </c>
    </row>
    <row r="2149">
      <c r="A2149" s="5" t="inlineStr">
        <is>
          <t>E02894</t>
        </is>
      </c>
      <c r="B2149" s="5" t="inlineStr">
        <is>
          <t>Male</t>
        </is>
      </c>
      <c r="C2149" s="6" t="inlineStr">
        <is>
          <t>42</t>
        </is>
      </c>
      <c r="D2149" s="5" t="inlineStr">
        <is>
          <t>Single</t>
        </is>
      </c>
      <c r="E2149" s="5" t="inlineStr">
        <is>
          <t>Bachelor</t>
        </is>
      </c>
      <c r="F2149" s="5" t="inlineStr">
        <is>
          <t>Research &amp; Development</t>
        </is>
      </c>
      <c r="G2149" s="5" t="inlineStr">
        <is>
          <t>Product Engineer</t>
        </is>
      </c>
      <c r="H2149" s="5" t="inlineStr">
        <is>
          <t>7</t>
        </is>
      </c>
      <c r="I2149" s="5" t="inlineStr">
        <is>
          <t>Mumbai</t>
        </is>
      </c>
      <c r="J2149" s="5" t="inlineStr">
        <is>
          <t>Full-Time</t>
        </is>
      </c>
      <c r="K2149" s="7" t="n">
        <v>44243</v>
      </c>
      <c r="L2149" s="7" t="inlineStr"/>
      <c r="M2149" s="5" t="inlineStr">
        <is>
          <t>Yes</t>
        </is>
      </c>
      <c r="N2149" s="5" t="inlineStr"/>
      <c r="O2149" s="8" t="inlineStr">
        <is>
          <t>224000</t>
        </is>
      </c>
      <c r="P2149" s="5" t="inlineStr">
        <is>
          <t>5</t>
        </is>
      </c>
      <c r="Q2149" s="5" t="inlineStr">
        <is>
          <t>5</t>
        </is>
      </c>
      <c r="R2149" s="5" t="inlineStr">
        <is>
          <t>4</t>
        </is>
      </c>
      <c r="S2149" s="5" t="inlineStr">
        <is>
          <t>59</t>
        </is>
      </c>
      <c r="T2149" s="5" t="inlineStr">
        <is>
          <t>5</t>
        </is>
      </c>
      <c r="U2149" s="5" t="inlineStr">
        <is>
          <t>OK</t>
        </is>
      </c>
    </row>
    <row r="2150">
      <c r="A2150" s="5" t="inlineStr">
        <is>
          <t>E02416</t>
        </is>
      </c>
      <c r="B2150" s="5" t="inlineStr">
        <is>
          <t>Female</t>
        </is>
      </c>
      <c r="C2150" s="6" t="inlineStr">
        <is>
          <t>35</t>
        </is>
      </c>
      <c r="D2150" s="5" t="inlineStr">
        <is>
          <t>Married</t>
        </is>
      </c>
      <c r="E2150" s="5" t="inlineStr">
        <is>
          <t>Diploma</t>
        </is>
      </c>
      <c r="F2150" s="5" t="inlineStr">
        <is>
          <t>Marketing</t>
        </is>
      </c>
      <c r="G2150" s="5" t="inlineStr">
        <is>
          <t>Content Writer</t>
        </is>
      </c>
      <c r="H2150" s="5" t="inlineStr">
        <is>
          <t>3</t>
        </is>
      </c>
      <c r="I2150" s="5" t="inlineStr">
        <is>
          <t>Remote</t>
        </is>
      </c>
      <c r="J2150" s="5" t="inlineStr">
        <is>
          <t>Full-Time</t>
        </is>
      </c>
      <c r="K2150" s="7" t="n">
        <v>45150</v>
      </c>
      <c r="L2150" s="7" t="inlineStr"/>
      <c r="M2150" s="5" t="inlineStr">
        <is>
          <t>Yes</t>
        </is>
      </c>
      <c r="N2150" s="5" t="inlineStr"/>
      <c r="O2150" s="8" t="inlineStr">
        <is>
          <t>97500</t>
        </is>
      </c>
      <c r="P2150" s="5" t="inlineStr">
        <is>
          <t>0</t>
        </is>
      </c>
      <c r="Q2150" s="5" t="inlineStr">
        <is>
          <t>4</t>
        </is>
      </c>
      <c r="R2150" s="5" t="inlineStr">
        <is>
          <t>5</t>
        </is>
      </c>
      <c r="S2150" s="5" t="inlineStr">
        <is>
          <t>29</t>
        </is>
      </c>
      <c r="T2150" s="5" t="inlineStr">
        <is>
          <t>2</t>
        </is>
      </c>
      <c r="U2150" s="5" t="inlineStr">
        <is>
          <t>OK</t>
        </is>
      </c>
    </row>
    <row r="2151">
      <c r="A2151" s="5" t="inlineStr">
        <is>
          <t>E00910</t>
        </is>
      </c>
      <c r="B2151" s="5" t="inlineStr">
        <is>
          <t>Male</t>
        </is>
      </c>
      <c r="C2151" s="6" t="inlineStr">
        <is>
          <t>43</t>
        </is>
      </c>
      <c r="D2151" s="5" t="inlineStr">
        <is>
          <t>Single</t>
        </is>
      </c>
      <c r="E2151" s="5" t="inlineStr">
        <is>
          <t>Master</t>
        </is>
      </c>
      <c r="F2151" s="5" t="inlineStr">
        <is>
          <t>Sales</t>
        </is>
      </c>
      <c r="G2151" s="5" t="inlineStr">
        <is>
          <t>Business Development</t>
        </is>
      </c>
      <c r="H2151" s="5" t="inlineStr">
        <is>
          <t>6</t>
        </is>
      </c>
      <c r="I2151" s="5" t="inlineStr">
        <is>
          <t>Delhi</t>
        </is>
      </c>
      <c r="J2151" s="5" t="inlineStr">
        <is>
          <t>Full-Time</t>
        </is>
      </c>
      <c r="K2151" s="7" t="n">
        <v>45195</v>
      </c>
      <c r="L2151" s="7" t="inlineStr"/>
      <c r="M2151" s="5" t="inlineStr">
        <is>
          <t>Yes</t>
        </is>
      </c>
      <c r="N2151" s="5" t="inlineStr"/>
      <c r="O2151" s="8" t="inlineStr">
        <is>
          <t>160500</t>
        </is>
      </c>
      <c r="P2151" s="5" t="inlineStr">
        <is>
          <t>5</t>
        </is>
      </c>
      <c r="Q2151" s="5" t="inlineStr">
        <is>
          <t>4</t>
        </is>
      </c>
      <c r="R2151" s="5" t="inlineStr">
        <is>
          <t>7</t>
        </is>
      </c>
      <c r="S2151" s="5" t="inlineStr">
        <is>
          <t>27</t>
        </is>
      </c>
      <c r="T2151" s="5" t="inlineStr">
        <is>
          <t>0</t>
        </is>
      </c>
      <c r="U2151" s="5" t="inlineStr">
        <is>
          <t>OK</t>
        </is>
      </c>
    </row>
    <row r="2152">
      <c r="A2152" s="5" t="inlineStr">
        <is>
          <t>E02660</t>
        </is>
      </c>
      <c r="B2152" s="5" t="inlineStr">
        <is>
          <t>Male</t>
        </is>
      </c>
      <c r="C2152" s="6" t="inlineStr">
        <is>
          <t>29</t>
        </is>
      </c>
      <c r="D2152" s="5" t="inlineStr">
        <is>
          <t>Married</t>
        </is>
      </c>
      <c r="E2152" s="5" t="inlineStr">
        <is>
          <t>Diploma</t>
        </is>
      </c>
      <c r="F2152" s="5" t="inlineStr">
        <is>
          <t>Marketing</t>
        </is>
      </c>
      <c r="G2152" s="5" t="inlineStr">
        <is>
          <t>Content Writer</t>
        </is>
      </c>
      <c r="H2152" s="5" t="inlineStr">
        <is>
          <t>2</t>
        </is>
      </c>
      <c r="I2152" s="5" t="inlineStr">
        <is>
          <t>Hyderabad</t>
        </is>
      </c>
      <c r="J2152" s="5" t="inlineStr">
        <is>
          <t>Full-Time</t>
        </is>
      </c>
      <c r="K2152" s="7" t="n">
        <v>45758</v>
      </c>
      <c r="L2152" s="7" t="n">
        <v>45800</v>
      </c>
      <c r="M2152" s="5" t="inlineStr">
        <is>
          <t>No</t>
        </is>
      </c>
      <c r="N2152" s="5" t="inlineStr">
        <is>
          <t>Layoff</t>
        </is>
      </c>
      <c r="O2152" s="8" t="inlineStr">
        <is>
          <t>60500</t>
        </is>
      </c>
      <c r="P2152" s="5" t="inlineStr">
        <is>
          <t>5</t>
        </is>
      </c>
      <c r="Q2152" s="5" t="inlineStr">
        <is>
          <t>4</t>
        </is>
      </c>
      <c r="R2152" s="5" t="inlineStr">
        <is>
          <t>6</t>
        </is>
      </c>
      <c r="S2152" s="5" t="inlineStr">
        <is>
          <t>1</t>
        </is>
      </c>
      <c r="T2152" s="5" t="inlineStr">
        <is>
          <t>13</t>
        </is>
      </c>
      <c r="U2152" s="5" t="inlineStr">
        <is>
          <t>OK</t>
        </is>
      </c>
    </row>
    <row r="2153">
      <c r="A2153" s="5" t="inlineStr">
        <is>
          <t>E01426</t>
        </is>
      </c>
      <c r="B2153" s="5" t="inlineStr">
        <is>
          <t>Female</t>
        </is>
      </c>
      <c r="C2153" s="6" t="inlineStr">
        <is>
          <t>31</t>
        </is>
      </c>
      <c r="D2153" s="5" t="inlineStr">
        <is>
          <t>Married</t>
        </is>
      </c>
      <c r="E2153" s="5" t="inlineStr">
        <is>
          <t>Master</t>
        </is>
      </c>
      <c r="F2153" s="5" t="inlineStr">
        <is>
          <t>Research &amp; Development</t>
        </is>
      </c>
      <c r="G2153" s="5" t="inlineStr">
        <is>
          <t>Product Engineer</t>
        </is>
      </c>
      <c r="H2153" s="5" t="inlineStr">
        <is>
          <t>4</t>
        </is>
      </c>
      <c r="I2153" s="5" t="inlineStr">
        <is>
          <t>Delhi</t>
        </is>
      </c>
      <c r="J2153" s="5" t="inlineStr">
        <is>
          <t>Part-Time</t>
        </is>
      </c>
      <c r="K2153" s="7" t="n">
        <v>45579</v>
      </c>
      <c r="L2153" s="7" t="n">
        <v>45665</v>
      </c>
      <c r="M2153" s="5" t="inlineStr">
        <is>
          <t>No</t>
        </is>
      </c>
      <c r="N2153" s="5" t="inlineStr">
        <is>
          <t>Performance / Termination</t>
        </is>
      </c>
      <c r="O2153" s="8" t="inlineStr">
        <is>
          <t>139000</t>
        </is>
      </c>
      <c r="P2153" s="5" t="inlineStr">
        <is>
          <t>0</t>
        </is>
      </c>
      <c r="Q2153" s="5" t="inlineStr">
        <is>
          <t>4</t>
        </is>
      </c>
      <c r="R2153" s="5" t="inlineStr">
        <is>
          <t>9</t>
        </is>
      </c>
      <c r="S2153" s="5" t="inlineStr">
        <is>
          <t>2</t>
        </is>
      </c>
      <c r="T2153" s="5" t="inlineStr">
        <is>
          <t>11</t>
        </is>
      </c>
      <c r="U2153" s="5" t="inlineStr">
        <is>
          <t>OK</t>
        </is>
      </c>
    </row>
    <row r="2154">
      <c r="A2154" s="5" t="inlineStr">
        <is>
          <t>E01255</t>
        </is>
      </c>
      <c r="B2154" s="5" t="inlineStr">
        <is>
          <t>Female</t>
        </is>
      </c>
      <c r="C2154" s="6" t="inlineStr">
        <is>
          <t>40</t>
        </is>
      </c>
      <c r="D2154" s="5" t="inlineStr">
        <is>
          <t>Married</t>
        </is>
      </c>
      <c r="E2154" s="5" t="inlineStr">
        <is>
          <t>PhD</t>
        </is>
      </c>
      <c r="F2154" s="5" t="inlineStr">
        <is>
          <t>Customer Support</t>
        </is>
      </c>
      <c r="G2154" s="5" t="inlineStr">
        <is>
          <t>Escalation Specialist</t>
        </is>
      </c>
      <c r="H2154" s="5" t="inlineStr">
        <is>
          <t>5</t>
        </is>
      </c>
      <c r="I2154" s="5" t="inlineStr">
        <is>
          <t>Mumbai</t>
        </is>
      </c>
      <c r="J2154" s="5" t="inlineStr">
        <is>
          <t>Full-Time</t>
        </is>
      </c>
      <c r="K2154" s="7" t="n">
        <v>44902</v>
      </c>
      <c r="L2154" s="7" t="n">
        <v>44943</v>
      </c>
      <c r="M2154" s="5" t="inlineStr">
        <is>
          <t>No</t>
        </is>
      </c>
      <c r="N2154" s="5" t="inlineStr">
        <is>
          <t>Resigned</t>
        </is>
      </c>
      <c r="O2154" s="8" t="inlineStr">
        <is>
          <t>79000</t>
        </is>
      </c>
      <c r="P2154" s="5" t="inlineStr">
        <is>
          <t>5</t>
        </is>
      </c>
      <c r="Q2154" s="5" t="inlineStr">
        <is>
          <t>2</t>
        </is>
      </c>
      <c r="R2154" s="5" t="inlineStr">
        <is>
          <t>6</t>
        </is>
      </c>
      <c r="S2154" s="5" t="inlineStr">
        <is>
          <t>1</t>
        </is>
      </c>
      <c r="T2154" s="5" t="inlineStr">
        <is>
          <t>5</t>
        </is>
      </c>
      <c r="U2154" s="5" t="inlineStr">
        <is>
          <t>OK</t>
        </is>
      </c>
    </row>
    <row r="2155">
      <c r="A2155" s="5" t="inlineStr">
        <is>
          <t>E02143</t>
        </is>
      </c>
      <c r="B2155" s="5" t="inlineStr">
        <is>
          <t>Male</t>
        </is>
      </c>
      <c r="C2155" s="6" t="inlineStr">
        <is>
          <t>35</t>
        </is>
      </c>
      <c r="D2155" s="5" t="inlineStr">
        <is>
          <t>Married</t>
        </is>
      </c>
      <c r="E2155" s="5" t="inlineStr">
        <is>
          <t>High School</t>
        </is>
      </c>
      <c r="F2155" s="5" t="inlineStr">
        <is>
          <t>Sales</t>
        </is>
      </c>
      <c r="G2155" s="5" t="inlineStr">
        <is>
          <t>Business Development</t>
        </is>
      </c>
      <c r="H2155" s="5" t="inlineStr">
        <is>
          <t>2</t>
        </is>
      </c>
      <c r="I2155" s="5" t="inlineStr">
        <is>
          <t>Chennai</t>
        </is>
      </c>
      <c r="J2155" s="5" t="inlineStr">
        <is>
          <t>Full-Time</t>
        </is>
      </c>
      <c r="K2155" s="7" t="n">
        <v>45991</v>
      </c>
      <c r="L2155" s="7" t="n">
        <v>46006</v>
      </c>
      <c r="M2155" s="5" t="inlineStr">
        <is>
          <t>No</t>
        </is>
      </c>
      <c r="N2155" s="5" t="inlineStr">
        <is>
          <t>Relocation</t>
        </is>
      </c>
      <c r="O2155" s="8" t="inlineStr">
        <is>
          <t>117000</t>
        </is>
      </c>
      <c r="P2155" s="5" t="inlineStr">
        <is>
          <t>0</t>
        </is>
      </c>
      <c r="Q2155" s="5" t="inlineStr">
        <is>
          <t>5</t>
        </is>
      </c>
      <c r="R2155" s="5" t="inlineStr">
        <is>
          <t>9</t>
        </is>
      </c>
      <c r="S2155" s="5" t="inlineStr">
        <is>
          <t>1</t>
        </is>
      </c>
      <c r="T2155" s="5" t="inlineStr">
        <is>
          <t>16</t>
        </is>
      </c>
      <c r="U2155" s="5" t="inlineStr">
        <is>
          <t>OK</t>
        </is>
      </c>
    </row>
    <row r="2156">
      <c r="A2156" s="5" t="inlineStr">
        <is>
          <t>E00730</t>
        </is>
      </c>
      <c r="B2156" s="5" t="inlineStr">
        <is>
          <t>male</t>
        </is>
      </c>
      <c r="C2156" s="6" t="inlineStr">
        <is>
          <t>33</t>
        </is>
      </c>
      <c r="D2156" s="5" t="inlineStr">
        <is>
          <t>Married</t>
        </is>
      </c>
      <c r="E2156" s="5" t="inlineStr">
        <is>
          <t>Diploma</t>
        </is>
      </c>
      <c r="F2156" s="5" t="inlineStr">
        <is>
          <t>Sales</t>
        </is>
      </c>
      <c r="G2156" s="5" t="inlineStr">
        <is>
          <t>Sales Executive</t>
        </is>
      </c>
      <c r="H2156" s="5" t="inlineStr">
        <is>
          <t>2</t>
        </is>
      </c>
      <c r="I2156" s="5" t="inlineStr">
        <is>
          <t>Delhi</t>
        </is>
      </c>
      <c r="J2156" s="5" t="inlineStr">
        <is>
          <t>Full-Time</t>
        </is>
      </c>
      <c r="K2156" s="7" t="n">
        <v>44729</v>
      </c>
      <c r="L2156" s="7" t="inlineStr"/>
      <c r="M2156" s="5" t="inlineStr">
        <is>
          <t>Yes</t>
        </is>
      </c>
      <c r="N2156" s="5" t="inlineStr"/>
      <c r="O2156" s="8" t="inlineStr">
        <is>
          <t>74500</t>
        </is>
      </c>
      <c r="P2156" s="5" t="inlineStr">
        <is>
          <t>0</t>
        </is>
      </c>
      <c r="Q2156" s="5" t="inlineStr">
        <is>
          <t>4</t>
        </is>
      </c>
      <c r="R2156" s="5" t="inlineStr">
        <is>
          <t>3</t>
        </is>
      </c>
      <c r="S2156" s="5" t="inlineStr">
        <is>
          <t>43</t>
        </is>
      </c>
      <c r="T2156" s="5" t="inlineStr">
        <is>
          <t>17</t>
        </is>
      </c>
      <c r="U2156" s="5" t="inlineStr">
        <is>
          <t>OK</t>
        </is>
      </c>
    </row>
    <row r="2157">
      <c r="A2157" s="5" t="inlineStr">
        <is>
          <t>E02357</t>
        </is>
      </c>
      <c r="B2157" s="5" t="inlineStr">
        <is>
          <t>Male</t>
        </is>
      </c>
      <c r="C2157" s="6" t="inlineStr">
        <is>
          <t>37</t>
        </is>
      </c>
      <c r="D2157" s="5" t="inlineStr">
        <is>
          <t>Married</t>
        </is>
      </c>
      <c r="E2157" s="5" t="inlineStr">
        <is>
          <t>PhD</t>
        </is>
      </c>
      <c r="F2157" s="5" t="inlineStr">
        <is>
          <t>Customer Support</t>
        </is>
      </c>
      <c r="G2157" s="5" t="inlineStr">
        <is>
          <t>Escalation Specialist</t>
        </is>
      </c>
      <c r="H2157" s="5" t="inlineStr">
        <is>
          <t>4</t>
        </is>
      </c>
      <c r="I2157" s="5" t="inlineStr">
        <is>
          <t>Hyderabad</t>
        </is>
      </c>
      <c r="J2157" s="5" t="inlineStr">
        <is>
          <t>Full-Time</t>
        </is>
      </c>
      <c r="K2157" s="7" t="n">
        <v>45990</v>
      </c>
      <c r="L2157" s="7" t="inlineStr"/>
      <c r="M2157" s="5" t="inlineStr">
        <is>
          <t>Yes</t>
        </is>
      </c>
      <c r="N2157" s="5" t="inlineStr"/>
      <c r="O2157" s="8" t="inlineStr">
        <is>
          <t>96000</t>
        </is>
      </c>
      <c r="P2157" s="5" t="inlineStr">
        <is>
          <t>5</t>
        </is>
      </c>
      <c r="Q2157" s="5" t="inlineStr">
        <is>
          <t>3</t>
        </is>
      </c>
      <c r="R2157" s="5" t="inlineStr">
        <is>
          <t>8</t>
        </is>
      </c>
      <c r="S2157" s="5" t="inlineStr">
        <is>
          <t>1</t>
        </is>
      </c>
      <c r="T2157" s="5" t="inlineStr">
        <is>
          <t>4</t>
        </is>
      </c>
      <c r="U2157" s="5" t="inlineStr">
        <is>
          <t>OK</t>
        </is>
      </c>
    </row>
    <row r="2158">
      <c r="A2158" s="5" t="inlineStr">
        <is>
          <t>E00471</t>
        </is>
      </c>
      <c r="B2158" s="5" t="inlineStr">
        <is>
          <t>Male</t>
        </is>
      </c>
      <c r="C2158" s="6" t="inlineStr">
        <is>
          <t>27</t>
        </is>
      </c>
      <c r="D2158" s="5" t="inlineStr">
        <is>
          <t>Divorced</t>
        </is>
      </c>
      <c r="E2158" s="5" t="inlineStr">
        <is>
          <t>PhD</t>
        </is>
      </c>
      <c r="F2158" s="5" t="inlineStr">
        <is>
          <t>Finance</t>
        </is>
      </c>
      <c r="G2158" s="5" t="inlineStr">
        <is>
          <t>Credit Analyst</t>
        </is>
      </c>
      <c r="H2158" s="5" t="inlineStr">
        <is>
          <t>3</t>
        </is>
      </c>
      <c r="I2158" s="5" t="inlineStr">
        <is>
          <t>Chennai</t>
        </is>
      </c>
      <c r="J2158" s="5" t="inlineStr">
        <is>
          <t>Full-Time</t>
        </is>
      </c>
      <c r="K2158" s="7" t="n">
        <v>44059</v>
      </c>
      <c r="L2158" s="7" t="inlineStr"/>
      <c r="M2158" s="5" t="inlineStr">
        <is>
          <t>Yes</t>
        </is>
      </c>
      <c r="N2158" s="5" t="inlineStr"/>
      <c r="O2158" s="8" t="inlineStr">
        <is>
          <t>143500</t>
        </is>
      </c>
      <c r="P2158" s="5" t="inlineStr">
        <is>
          <t>5</t>
        </is>
      </c>
      <c r="Q2158" s="5" t="inlineStr">
        <is>
          <t>3</t>
        </is>
      </c>
      <c r="R2158" s="5" t="inlineStr">
        <is>
          <t>10</t>
        </is>
      </c>
      <c r="S2158" s="5" t="inlineStr">
        <is>
          <t>65</t>
        </is>
      </c>
      <c r="T2158" s="5" t="inlineStr">
        <is>
          <t>4</t>
        </is>
      </c>
      <c r="U2158" s="5" t="inlineStr">
        <is>
          <t>OK</t>
        </is>
      </c>
    </row>
    <row r="2159">
      <c r="A2159" s="5" t="inlineStr">
        <is>
          <t>E00284</t>
        </is>
      </c>
      <c r="B2159" s="5" t="inlineStr">
        <is>
          <t>Female</t>
        </is>
      </c>
      <c r="C2159" s="6" t="inlineStr">
        <is>
          <t>36</t>
        </is>
      </c>
      <c r="D2159" s="5" t="inlineStr">
        <is>
          <t>Married</t>
        </is>
      </c>
      <c r="E2159" s="5" t="inlineStr">
        <is>
          <t>Master</t>
        </is>
      </c>
      <c r="F2159" s="5" t="inlineStr">
        <is>
          <t>Human Resources</t>
        </is>
      </c>
      <c r="G2159" s="5" t="inlineStr">
        <is>
          <t>HR Analyst</t>
        </is>
      </c>
      <c r="H2159" s="5" t="inlineStr">
        <is>
          <t>5</t>
        </is>
      </c>
      <c r="I2159" s="5" t="inlineStr">
        <is>
          <t>Chennai</t>
        </is>
      </c>
      <c r="J2159" s="5" t="inlineStr">
        <is>
          <t>Full-Time</t>
        </is>
      </c>
      <c r="K2159" s="7" t="n">
        <v>44724</v>
      </c>
      <c r="L2159" s="7" t="inlineStr"/>
      <c r="M2159" s="5" t="inlineStr">
        <is>
          <t>Yes</t>
        </is>
      </c>
      <c r="N2159" s="5" t="inlineStr"/>
      <c r="O2159" s="8" t="inlineStr">
        <is>
          <t>96000</t>
        </is>
      </c>
      <c r="P2159" s="5" t="inlineStr">
        <is>
          <t>20</t>
        </is>
      </c>
      <c r="Q2159" s="5" t="inlineStr">
        <is>
          <t>4</t>
        </is>
      </c>
      <c r="R2159" s="5" t="inlineStr">
        <is>
          <t>6</t>
        </is>
      </c>
      <c r="S2159" s="5" t="inlineStr">
        <is>
          <t>43</t>
        </is>
      </c>
      <c r="T2159" s="5" t="inlineStr">
        <is>
          <t>4</t>
        </is>
      </c>
      <c r="U2159" s="5" t="inlineStr">
        <is>
          <t>OK</t>
        </is>
      </c>
    </row>
    <row r="2160">
      <c r="A2160" s="5" t="inlineStr">
        <is>
          <t>E00692</t>
        </is>
      </c>
      <c r="B2160" s="5" t="inlineStr">
        <is>
          <t>Female</t>
        </is>
      </c>
      <c r="C2160" s="6" t="inlineStr">
        <is>
          <t>39</t>
        </is>
      </c>
      <c r="D2160" s="5" t="inlineStr">
        <is>
          <t>Married</t>
        </is>
      </c>
      <c r="E2160" s="5" t="inlineStr">
        <is>
          <t>PhD</t>
        </is>
      </c>
      <c r="F2160" s="5" t="inlineStr">
        <is>
          <t>Human Resources</t>
        </is>
      </c>
      <c r="G2160" s="5" t="inlineStr">
        <is>
          <t>HR Generalist</t>
        </is>
      </c>
      <c r="H2160" s="5" t="inlineStr">
        <is>
          <t>5</t>
        </is>
      </c>
      <c r="I2160" s="5" t="inlineStr">
        <is>
          <t>Bengaluru</t>
        </is>
      </c>
      <c r="J2160" s="5" t="inlineStr">
        <is>
          <t>Full-Time</t>
        </is>
      </c>
      <c r="K2160" s="7" t="n">
        <v>44918</v>
      </c>
      <c r="L2160" s="7" t="inlineStr"/>
      <c r="M2160" s="5" t="inlineStr">
        <is>
          <t>Yes</t>
        </is>
      </c>
      <c r="N2160" s="5" t="inlineStr"/>
      <c r="O2160" s="8" t="inlineStr">
        <is>
          <t>100000</t>
        </is>
      </c>
      <c r="P2160" s="5" t="inlineStr">
        <is>
          <t>0</t>
        </is>
      </c>
      <c r="Q2160" s="5" t="inlineStr">
        <is>
          <t>3</t>
        </is>
      </c>
      <c r="R2160" s="5" t="inlineStr">
        <is>
          <t>7</t>
        </is>
      </c>
      <c r="S2160" s="5" t="inlineStr">
        <is>
          <t>36</t>
        </is>
      </c>
      <c r="T2160" s="5" t="inlineStr">
        <is>
          <t>2</t>
        </is>
      </c>
      <c r="U2160" s="5" t="inlineStr">
        <is>
          <t>OK</t>
        </is>
      </c>
    </row>
    <row r="2161">
      <c r="A2161" s="5" t="inlineStr">
        <is>
          <t>E01488</t>
        </is>
      </c>
      <c r="B2161" s="5" t="inlineStr">
        <is>
          <t>Male</t>
        </is>
      </c>
      <c r="C2161" s="6" t="inlineStr">
        <is>
          <t>31</t>
        </is>
      </c>
      <c r="D2161" s="5" t="inlineStr">
        <is>
          <t>Married</t>
        </is>
      </c>
      <c r="E2161" s="5" t="inlineStr">
        <is>
          <t>Master</t>
        </is>
      </c>
      <c r="F2161" s="5" t="inlineStr"/>
      <c r="G2161" s="5" t="inlineStr">
        <is>
          <t>Support Agent</t>
        </is>
      </c>
      <c r="H2161" s="5" t="inlineStr">
        <is>
          <t>4</t>
        </is>
      </c>
      <c r="I2161" s="5" t="inlineStr">
        <is>
          <t>Delhi</t>
        </is>
      </c>
      <c r="J2161" s="5" t="inlineStr">
        <is>
          <t>Full-Time</t>
        </is>
      </c>
      <c r="K2161" s="7" t="n">
        <v>44748</v>
      </c>
      <c r="L2161" s="7" t="inlineStr"/>
      <c r="M2161" s="5" t="inlineStr">
        <is>
          <t>Yes</t>
        </is>
      </c>
      <c r="N2161" s="5" t="inlineStr"/>
      <c r="O2161" s="8" t="inlineStr">
        <is>
          <t>98000</t>
        </is>
      </c>
      <c r="P2161" s="5" t="inlineStr">
        <is>
          <t>10</t>
        </is>
      </c>
      <c r="Q2161" s="5" t="inlineStr">
        <is>
          <t>3</t>
        </is>
      </c>
      <c r="R2161" s="5" t="inlineStr">
        <is>
          <t>10</t>
        </is>
      </c>
      <c r="S2161" s="5" t="inlineStr">
        <is>
          <t>42</t>
        </is>
      </c>
      <c r="T2161" s="5" t="inlineStr">
        <is>
          <t>11</t>
        </is>
      </c>
      <c r="U2161" s="5" t="inlineStr">
        <is>
          <t>Blank department</t>
        </is>
      </c>
    </row>
    <row r="2162">
      <c r="A2162" s="5" t="inlineStr">
        <is>
          <t>E01265</t>
        </is>
      </c>
      <c r="B2162" s="5" t="inlineStr">
        <is>
          <t>Female</t>
        </is>
      </c>
      <c r="C2162" s="6" t="inlineStr">
        <is>
          <t>33</t>
        </is>
      </c>
      <c r="D2162" s="5" t="inlineStr">
        <is>
          <t>Single</t>
        </is>
      </c>
      <c r="E2162" s="5" t="inlineStr">
        <is>
          <t>High School</t>
        </is>
      </c>
      <c r="F2162" s="5" t="inlineStr">
        <is>
          <t>IT</t>
        </is>
      </c>
      <c r="G2162" s="5" t="inlineStr">
        <is>
          <t>IT Support</t>
        </is>
      </c>
      <c r="H2162" s="5" t="inlineStr">
        <is>
          <t>2</t>
        </is>
      </c>
      <c r="I2162" s="5" t="inlineStr">
        <is>
          <t>Hyderabad</t>
        </is>
      </c>
      <c r="J2162" s="5" t="inlineStr">
        <is>
          <t>Full-Time</t>
        </is>
      </c>
      <c r="K2162" s="7" t="n">
        <v>44199</v>
      </c>
      <c r="L2162" s="7" t="n">
        <v>44276</v>
      </c>
      <c r="M2162" s="5" t="inlineStr">
        <is>
          <t>No</t>
        </is>
      </c>
      <c r="N2162" s="5" t="inlineStr">
        <is>
          <t>Resigned</t>
        </is>
      </c>
      <c r="O2162" s="8" t="inlineStr">
        <is>
          <t>96000</t>
        </is>
      </c>
      <c r="P2162" s="5" t="inlineStr">
        <is>
          <t>0</t>
        </is>
      </c>
      <c r="Q2162" s="5" t="inlineStr">
        <is>
          <t>5</t>
        </is>
      </c>
      <c r="R2162" s="5" t="inlineStr">
        <is>
          <t>9</t>
        </is>
      </c>
      <c r="S2162" s="5" t="inlineStr">
        <is>
          <t>2</t>
        </is>
      </c>
      <c r="T2162" s="5" t="inlineStr">
        <is>
          <t>7</t>
        </is>
      </c>
      <c r="U2162" s="5" t="inlineStr">
        <is>
          <t>OK</t>
        </is>
      </c>
    </row>
    <row r="2163">
      <c r="A2163" s="5" t="inlineStr">
        <is>
          <t>E00237</t>
        </is>
      </c>
      <c r="B2163" s="5" t="inlineStr">
        <is>
          <t>Male</t>
        </is>
      </c>
      <c r="C2163" s="6" t="inlineStr">
        <is>
          <t>33</t>
        </is>
      </c>
      <c r="D2163" s="5" t="inlineStr">
        <is>
          <t>Single</t>
        </is>
      </c>
      <c r="E2163" s="5" t="inlineStr">
        <is>
          <t>High School</t>
        </is>
      </c>
      <c r="F2163" s="5" t="inlineStr">
        <is>
          <t>IT</t>
        </is>
      </c>
      <c r="G2163" s="5" t="inlineStr">
        <is>
          <t>DevOps Engineer</t>
        </is>
      </c>
      <c r="H2163" s="5" t="inlineStr">
        <is>
          <t>2</t>
        </is>
      </c>
      <c r="I2163" s="5" t="inlineStr">
        <is>
          <t>Mumbai</t>
        </is>
      </c>
      <c r="J2163" s="5" t="inlineStr">
        <is>
          <t>Full-Time</t>
        </is>
      </c>
      <c r="K2163" s="7" t="n">
        <v>43935</v>
      </c>
      <c r="L2163" s="7" t="n">
        <v>44004</v>
      </c>
      <c r="M2163" s="5" t="inlineStr">
        <is>
          <t>No</t>
        </is>
      </c>
      <c r="N2163" s="5" t="inlineStr">
        <is>
          <t>Performance / Termination</t>
        </is>
      </c>
      <c r="O2163" s="8" t="inlineStr">
        <is>
          <t>166500</t>
        </is>
      </c>
      <c r="P2163" s="5" t="inlineStr">
        <is>
          <t>0</t>
        </is>
      </c>
      <c r="Q2163" s="5" t="inlineStr">
        <is>
          <t>4</t>
        </is>
      </c>
      <c r="R2163" s="5" t="inlineStr">
        <is>
          <t>6</t>
        </is>
      </c>
      <c r="S2163" s="5" t="inlineStr">
        <is>
          <t>2</t>
        </is>
      </c>
      <c r="T2163" s="5" t="inlineStr">
        <is>
          <t>0</t>
        </is>
      </c>
      <c r="U2163" s="5" t="inlineStr">
        <is>
          <t>OK</t>
        </is>
      </c>
    </row>
    <row r="2164">
      <c r="A2164" s="5" t="inlineStr">
        <is>
          <t>E02732</t>
        </is>
      </c>
      <c r="B2164" s="5" t="inlineStr">
        <is>
          <t>Male</t>
        </is>
      </c>
      <c r="C2164" s="6" t="inlineStr">
        <is>
          <t>28</t>
        </is>
      </c>
      <c r="D2164" s="5" t="inlineStr">
        <is>
          <t>Married</t>
        </is>
      </c>
      <c r="E2164" s="5" t="inlineStr">
        <is>
          <t>Diploma</t>
        </is>
      </c>
      <c r="F2164" s="5" t="inlineStr">
        <is>
          <t>Operations</t>
        </is>
      </c>
      <c r="G2164" s="5" t="inlineStr">
        <is>
          <t>Logistics Coordinator</t>
        </is>
      </c>
      <c r="H2164" s="5" t="inlineStr">
        <is>
          <t>3</t>
        </is>
      </c>
      <c r="I2164" s="5" t="inlineStr">
        <is>
          <t>Chennai</t>
        </is>
      </c>
      <c r="J2164" s="5" t="inlineStr">
        <is>
          <t>Full-Time</t>
        </is>
      </c>
      <c r="K2164" s="7" t="n">
        <v>45483</v>
      </c>
      <c r="L2164" s="7" t="inlineStr"/>
      <c r="M2164" s="5" t="inlineStr">
        <is>
          <t>Yes</t>
        </is>
      </c>
      <c r="N2164" s="5" t="inlineStr"/>
      <c r="O2164" s="8" t="inlineStr">
        <is>
          <t>107000</t>
        </is>
      </c>
      <c r="P2164" s="5" t="inlineStr">
        <is>
          <t>0</t>
        </is>
      </c>
      <c r="Q2164" s="5" t="inlineStr">
        <is>
          <t>3</t>
        </is>
      </c>
      <c r="R2164" s="5" t="inlineStr">
        <is>
          <t>7</t>
        </is>
      </c>
      <c r="S2164" s="5" t="inlineStr">
        <is>
          <t>17</t>
        </is>
      </c>
      <c r="T2164" s="5" t="inlineStr">
        <is>
          <t>8</t>
        </is>
      </c>
      <c r="U2164" s="5" t="inlineStr">
        <is>
          <t>OK</t>
        </is>
      </c>
    </row>
    <row r="2165">
      <c r="A2165" s="5" t="inlineStr">
        <is>
          <t>E00734</t>
        </is>
      </c>
      <c r="B2165" s="5" t="inlineStr">
        <is>
          <t>Female</t>
        </is>
      </c>
      <c r="C2165" s="6" t="inlineStr">
        <is>
          <t>34</t>
        </is>
      </c>
      <c r="D2165" s="5" t="inlineStr">
        <is>
          <t>Married</t>
        </is>
      </c>
      <c r="E2165" s="5" t="inlineStr">
        <is>
          <t>High School</t>
        </is>
      </c>
      <c r="F2165" s="5" t="inlineStr">
        <is>
          <t>Research &amp; Development</t>
        </is>
      </c>
      <c r="G2165" s="5" t="inlineStr">
        <is>
          <t>Data Scientist</t>
        </is>
      </c>
      <c r="H2165" s="5" t="inlineStr">
        <is>
          <t>3</t>
        </is>
      </c>
      <c r="I2165" s="5" t="inlineStr">
        <is>
          <t>Remote</t>
        </is>
      </c>
      <c r="J2165" s="5" t="inlineStr">
        <is>
          <t>Full-Time</t>
        </is>
      </c>
      <c r="K2165" s="7" t="n">
        <v>45468</v>
      </c>
      <c r="L2165" s="7" t="inlineStr"/>
      <c r="M2165" s="5" t="inlineStr">
        <is>
          <t>Yes</t>
        </is>
      </c>
      <c r="N2165" s="5" t="inlineStr"/>
      <c r="O2165" s="8" t="inlineStr">
        <is>
          <t>128000</t>
        </is>
      </c>
      <c r="P2165" s="5" t="inlineStr">
        <is>
          <t>0</t>
        </is>
      </c>
      <c r="Q2165" s="5" t="inlineStr">
        <is>
          <t>4</t>
        </is>
      </c>
      <c r="R2165" s="5" t="inlineStr">
        <is>
          <t>1</t>
        </is>
      </c>
      <c r="S2165" s="5" t="inlineStr">
        <is>
          <t>18</t>
        </is>
      </c>
      <c r="T2165" s="5" t="inlineStr">
        <is>
          <t>11</t>
        </is>
      </c>
      <c r="U2165" s="5" t="inlineStr">
        <is>
          <t>OK</t>
        </is>
      </c>
    </row>
    <row r="2166">
      <c r="A2166" s="5" t="inlineStr">
        <is>
          <t>E02804</t>
        </is>
      </c>
      <c r="B2166" s="5" t="inlineStr">
        <is>
          <t>Female</t>
        </is>
      </c>
      <c r="C2166" s="6" t="inlineStr">
        <is>
          <t>35</t>
        </is>
      </c>
      <c r="D2166" s="5" t="inlineStr">
        <is>
          <t>Single</t>
        </is>
      </c>
      <c r="E2166" s="5" t="inlineStr">
        <is>
          <t>Master</t>
        </is>
      </c>
      <c r="F2166" s="5" t="inlineStr">
        <is>
          <t>Operations</t>
        </is>
      </c>
      <c r="G2166" s="5" t="inlineStr">
        <is>
          <t>Operations Analyst</t>
        </is>
      </c>
      <c r="H2166" s="5" t="inlineStr">
        <is>
          <t>2</t>
        </is>
      </c>
      <c r="I2166" s="5" t="inlineStr">
        <is>
          <t>Chennai</t>
        </is>
      </c>
      <c r="J2166" s="5" t="inlineStr">
        <is>
          <t>Full-Time</t>
        </is>
      </c>
      <c r="K2166" s="7" t="n">
        <v>45304</v>
      </c>
      <c r="L2166" s="7" t="n">
        <v>45425</v>
      </c>
      <c r="M2166" s="5" t="inlineStr">
        <is>
          <t>No</t>
        </is>
      </c>
      <c r="N2166" s="5" t="inlineStr">
        <is>
          <t>Performance / Termination</t>
        </is>
      </c>
      <c r="O2166" s="8" t="inlineStr">
        <is>
          <t>83500</t>
        </is>
      </c>
      <c r="P2166" s="5" t="inlineStr">
        <is>
          <t>0</t>
        </is>
      </c>
      <c r="Q2166" s="5" t="inlineStr">
        <is>
          <t>4</t>
        </is>
      </c>
      <c r="R2166" s="5" t="inlineStr">
        <is>
          <t>9</t>
        </is>
      </c>
      <c r="S2166" s="5" t="inlineStr">
        <is>
          <t>4</t>
        </is>
      </c>
      <c r="T2166" s="5" t="inlineStr">
        <is>
          <t>14</t>
        </is>
      </c>
      <c r="U2166" s="5" t="inlineStr">
        <is>
          <t>OK</t>
        </is>
      </c>
    </row>
    <row r="2167">
      <c r="A2167" s="5" t="inlineStr">
        <is>
          <t>E00581</t>
        </is>
      </c>
      <c r="B2167" s="5" t="inlineStr">
        <is>
          <t>Male</t>
        </is>
      </c>
      <c r="C2167" s="6" t="inlineStr">
        <is>
          <t>25</t>
        </is>
      </c>
      <c r="D2167" s="5" t="inlineStr">
        <is>
          <t>Single</t>
        </is>
      </c>
      <c r="E2167" s="5" t="inlineStr">
        <is>
          <t>High School</t>
        </is>
      </c>
      <c r="F2167" s="5" t="inlineStr">
        <is>
          <t>Research &amp; Development</t>
        </is>
      </c>
      <c r="G2167" s="5" t="inlineStr">
        <is>
          <t>Product Engineer</t>
        </is>
      </c>
      <c r="H2167" s="5" t="inlineStr">
        <is>
          <t>1</t>
        </is>
      </c>
      <c r="I2167" s="5" t="inlineStr">
        <is>
          <t>Mumbai</t>
        </is>
      </c>
      <c r="J2167" s="5" t="inlineStr">
        <is>
          <t>Full-Time</t>
        </is>
      </c>
      <c r="K2167" s="7" t="n">
        <v>43991</v>
      </c>
      <c r="L2167" s="7" t="inlineStr"/>
      <c r="M2167" s="5" t="inlineStr">
        <is>
          <t>Yes</t>
        </is>
      </c>
      <c r="N2167" s="5" t="inlineStr"/>
      <c r="O2167" s="8" t="inlineStr">
        <is>
          <t>114500</t>
        </is>
      </c>
      <c r="P2167" s="5" t="inlineStr">
        <is>
          <t>20</t>
        </is>
      </c>
      <c r="Q2167" s="5" t="inlineStr">
        <is>
          <t>3</t>
        </is>
      </c>
      <c r="R2167" s="5" t="inlineStr">
        <is>
          <t>4</t>
        </is>
      </c>
      <c r="S2167" s="5" t="inlineStr">
        <is>
          <t>67</t>
        </is>
      </c>
      <c r="T2167" s="5" t="inlineStr">
        <is>
          <t>0</t>
        </is>
      </c>
      <c r="U2167" s="5" t="inlineStr">
        <is>
          <t>OK</t>
        </is>
      </c>
    </row>
    <row r="2168">
      <c r="A2168" s="5" t="inlineStr">
        <is>
          <t>E00943</t>
        </is>
      </c>
      <c r="B2168" s="5" t="inlineStr">
        <is>
          <t>Female</t>
        </is>
      </c>
      <c r="C2168" s="6" t="inlineStr">
        <is>
          <t>34</t>
        </is>
      </c>
      <c r="D2168" s="5" t="inlineStr">
        <is>
          <t>Married</t>
        </is>
      </c>
      <c r="E2168" s="5" t="inlineStr">
        <is>
          <t>High School</t>
        </is>
      </c>
      <c r="F2168" s="5" t="inlineStr">
        <is>
          <t>Operations</t>
        </is>
      </c>
      <c r="G2168" s="5" t="inlineStr">
        <is>
          <t>Logistics Coordinator</t>
        </is>
      </c>
      <c r="H2168" s="5" t="inlineStr">
        <is>
          <t>4</t>
        </is>
      </c>
      <c r="I2168" s="5" t="inlineStr">
        <is>
          <t>Delhi</t>
        </is>
      </c>
      <c r="J2168" s="5" t="inlineStr">
        <is>
          <t>Full-Time</t>
        </is>
      </c>
      <c r="K2168" s="7" t="n">
        <v>45472</v>
      </c>
      <c r="L2168" s="7" t="inlineStr"/>
      <c r="M2168" s="5" t="inlineStr">
        <is>
          <t>Yes</t>
        </is>
      </c>
      <c r="N2168" s="5" t="inlineStr"/>
      <c r="O2168" s="8" t="inlineStr">
        <is>
          <t>110500</t>
        </is>
      </c>
      <c r="P2168" s="5" t="inlineStr">
        <is>
          <t>0</t>
        </is>
      </c>
      <c r="Q2168" s="5" t="inlineStr">
        <is>
          <t>3</t>
        </is>
      </c>
      <c r="R2168" s="5" t="inlineStr">
        <is>
          <t>8</t>
        </is>
      </c>
      <c r="S2168" s="5" t="inlineStr">
        <is>
          <t>18</t>
        </is>
      </c>
      <c r="T2168" s="5" t="inlineStr">
        <is>
          <t>12</t>
        </is>
      </c>
      <c r="U2168" s="5" t="inlineStr">
        <is>
          <t>OK</t>
        </is>
      </c>
    </row>
    <row r="2169">
      <c r="A2169" s="5" t="inlineStr">
        <is>
          <t>E01490</t>
        </is>
      </c>
      <c r="B2169" s="5" t="inlineStr">
        <is>
          <t>Female</t>
        </is>
      </c>
      <c r="C2169" s="6" t="inlineStr">
        <is>
          <t>32</t>
        </is>
      </c>
      <c r="D2169" s="5" t="inlineStr">
        <is>
          <t>Single</t>
        </is>
      </c>
      <c r="E2169" s="5" t="inlineStr">
        <is>
          <t>Master</t>
        </is>
      </c>
      <c r="F2169" s="5" t="inlineStr">
        <is>
          <t>Operations</t>
        </is>
      </c>
      <c r="G2169" s="5" t="inlineStr">
        <is>
          <t>Logistics Coordinator</t>
        </is>
      </c>
      <c r="H2169" s="5" t="inlineStr">
        <is>
          <t>2</t>
        </is>
      </c>
      <c r="I2169" s="5" t="inlineStr">
        <is>
          <t>Delhi</t>
        </is>
      </c>
      <c r="J2169" s="5" t="inlineStr">
        <is>
          <t>Full-Time</t>
        </is>
      </c>
      <c r="K2169" s="7" t="n">
        <v>44819</v>
      </c>
      <c r="L2169" s="7" t="n">
        <v>44961</v>
      </c>
      <c r="M2169" s="5" t="inlineStr">
        <is>
          <t>No</t>
        </is>
      </c>
      <c r="N2169" s="5" t="inlineStr">
        <is>
          <t>Relocation</t>
        </is>
      </c>
      <c r="O2169" s="8" t="inlineStr">
        <is>
          <t>79500</t>
        </is>
      </c>
      <c r="P2169" s="5" t="inlineStr">
        <is>
          <t>5</t>
        </is>
      </c>
      <c r="Q2169" s="5" t="inlineStr">
        <is>
          <t>5</t>
        </is>
      </c>
      <c r="R2169" s="5" t="inlineStr">
        <is>
          <t>5</t>
        </is>
      </c>
      <c r="S2169" s="5" t="inlineStr">
        <is>
          <t>4</t>
        </is>
      </c>
      <c r="T2169" s="5" t="inlineStr">
        <is>
          <t>10</t>
        </is>
      </c>
      <c r="U2169" s="5" t="inlineStr">
        <is>
          <t>OK</t>
        </is>
      </c>
    </row>
    <row r="2170">
      <c r="A2170" s="5" t="inlineStr">
        <is>
          <t>E00165</t>
        </is>
      </c>
      <c r="B2170" s="5" t="inlineStr">
        <is>
          <t>Male</t>
        </is>
      </c>
      <c r="C2170" s="6" t="inlineStr">
        <is>
          <t>34</t>
        </is>
      </c>
      <c r="D2170" s="5" t="inlineStr">
        <is>
          <t>Divorced</t>
        </is>
      </c>
      <c r="E2170" s="5" t="inlineStr">
        <is>
          <t>Diploma</t>
        </is>
      </c>
      <c r="F2170" s="5" t="inlineStr">
        <is>
          <t>IT</t>
        </is>
      </c>
      <c r="G2170" s="5" t="inlineStr">
        <is>
          <t>Software Engineer</t>
        </is>
      </c>
      <c r="H2170" s="5" t="inlineStr">
        <is>
          <t>1</t>
        </is>
      </c>
      <c r="I2170" s="5" t="inlineStr">
        <is>
          <t>Delhi</t>
        </is>
      </c>
      <c r="J2170" s="5" t="inlineStr">
        <is>
          <t>Full-Time</t>
        </is>
      </c>
      <c r="K2170" s="7" t="n">
        <v>43876</v>
      </c>
      <c r="L2170" s="7" t="inlineStr"/>
      <c r="M2170" s="5" t="inlineStr">
        <is>
          <t>Yes</t>
        </is>
      </c>
      <c r="N2170" s="5" t="inlineStr"/>
      <c r="O2170" s="8" t="inlineStr">
        <is>
          <t>127000</t>
        </is>
      </c>
      <c r="P2170" s="5" t="inlineStr">
        <is>
          <t>0</t>
        </is>
      </c>
      <c r="Q2170" s="5" t="inlineStr">
        <is>
          <t>4</t>
        </is>
      </c>
      <c r="R2170" s="5" t="inlineStr">
        <is>
          <t>4</t>
        </is>
      </c>
      <c r="S2170" s="5" t="inlineStr">
        <is>
          <t>71</t>
        </is>
      </c>
      <c r="T2170" s="5" t="inlineStr">
        <is>
          <t>6</t>
        </is>
      </c>
      <c r="U2170" s="5" t="inlineStr">
        <is>
          <t>OK</t>
        </is>
      </c>
    </row>
    <row r="2171">
      <c r="A2171" s="5" t="inlineStr">
        <is>
          <t>E00575</t>
        </is>
      </c>
      <c r="B2171" s="5" t="inlineStr">
        <is>
          <t>Male</t>
        </is>
      </c>
      <c r="C2171" s="6" t="inlineStr">
        <is>
          <t>28</t>
        </is>
      </c>
      <c r="D2171" s="5" t="inlineStr">
        <is>
          <t>Divorced</t>
        </is>
      </c>
      <c r="E2171" s="5" t="inlineStr">
        <is>
          <t>Bachelor</t>
        </is>
      </c>
      <c r="F2171" s="5" t="inlineStr">
        <is>
          <t>Customer Support</t>
        </is>
      </c>
      <c r="G2171" s="5" t="inlineStr">
        <is>
          <t>Support Lead</t>
        </is>
      </c>
      <c r="H2171" s="5" t="inlineStr">
        <is>
          <t>2</t>
        </is>
      </c>
      <c r="I2171" s="5" t="inlineStr">
        <is>
          <t>Mumbai</t>
        </is>
      </c>
      <c r="J2171" s="5" t="inlineStr">
        <is>
          <t>Full-Time</t>
        </is>
      </c>
      <c r="K2171" s="7" t="n">
        <v>44824</v>
      </c>
      <c r="L2171" s="7" t="inlineStr"/>
      <c r="M2171" s="5" t="inlineStr">
        <is>
          <t>Yes</t>
        </is>
      </c>
      <c r="N2171" s="5" t="inlineStr"/>
      <c r="O2171" s="8" t="inlineStr">
        <is>
          <t>64500</t>
        </is>
      </c>
      <c r="P2171" s="5" t="inlineStr">
        <is>
          <t>0</t>
        </is>
      </c>
      <c r="Q2171" s="5" t="inlineStr">
        <is>
          <t>4</t>
        </is>
      </c>
      <c r="R2171" s="5" t="inlineStr">
        <is>
          <t>5</t>
        </is>
      </c>
      <c r="S2171" s="5" t="inlineStr">
        <is>
          <t>39</t>
        </is>
      </c>
      <c r="T2171" s="5" t="inlineStr">
        <is>
          <t>8</t>
        </is>
      </c>
      <c r="U2171" s="5" t="inlineStr">
        <is>
          <t>OK</t>
        </is>
      </c>
    </row>
    <row r="2172">
      <c r="A2172" s="5" t="inlineStr">
        <is>
          <t>E02827</t>
        </is>
      </c>
      <c r="B2172" s="5" t="inlineStr">
        <is>
          <t>Male</t>
        </is>
      </c>
      <c r="C2172" s="6" t="inlineStr">
        <is>
          <t>30</t>
        </is>
      </c>
      <c r="D2172" s="5" t="inlineStr">
        <is>
          <t>Single</t>
        </is>
      </c>
      <c r="E2172" s="5" t="inlineStr">
        <is>
          <t>High School</t>
        </is>
      </c>
      <c r="F2172" s="5" t="inlineStr">
        <is>
          <t>Customer Support</t>
        </is>
      </c>
      <c r="G2172" s="5" t="inlineStr">
        <is>
          <t>Support Lead</t>
        </is>
      </c>
      <c r="H2172" s="5" t="inlineStr">
        <is>
          <t>2</t>
        </is>
      </c>
      <c r="I2172" s="5" t="inlineStr">
        <is>
          <t>Mumbai</t>
        </is>
      </c>
      <c r="J2172" s="5" t="inlineStr">
        <is>
          <t>Full-Time</t>
        </is>
      </c>
      <c r="K2172" s="7" t="n">
        <v>45368</v>
      </c>
      <c r="L2172" s="7" t="inlineStr"/>
      <c r="M2172" s="5" t="inlineStr">
        <is>
          <t>Yes</t>
        </is>
      </c>
      <c r="N2172" s="5" t="inlineStr"/>
      <c r="O2172" s="8" t="inlineStr">
        <is>
          <t>50500</t>
        </is>
      </c>
      <c r="P2172" s="5" t="inlineStr">
        <is>
          <t>10</t>
        </is>
      </c>
      <c r="Q2172" s="5" t="inlineStr">
        <is>
          <t>3</t>
        </is>
      </c>
      <c r="R2172" s="5" t="inlineStr">
        <is>
          <t>8</t>
        </is>
      </c>
      <c r="S2172" s="5" t="inlineStr">
        <is>
          <t>21</t>
        </is>
      </c>
      <c r="T2172" s="5" t="inlineStr">
        <is>
          <t>16</t>
        </is>
      </c>
      <c r="U2172" s="5" t="inlineStr">
        <is>
          <t>OK</t>
        </is>
      </c>
    </row>
    <row r="2173">
      <c r="A2173" s="5" t="inlineStr">
        <is>
          <t>E01583</t>
        </is>
      </c>
      <c r="B2173" s="5" t="inlineStr">
        <is>
          <t>Female</t>
        </is>
      </c>
      <c r="C2173" s="6" t="inlineStr">
        <is>
          <t>39</t>
        </is>
      </c>
      <c r="D2173" s="5" t="inlineStr">
        <is>
          <t>Married</t>
        </is>
      </c>
      <c r="E2173" s="5" t="inlineStr">
        <is>
          <t>Diploma</t>
        </is>
      </c>
      <c r="F2173" s="5" t="inlineStr">
        <is>
          <t>Finance</t>
        </is>
      </c>
      <c r="G2173" s="5" t="inlineStr">
        <is>
          <t>Financial Analyst</t>
        </is>
      </c>
      <c r="H2173" s="5" t="inlineStr">
        <is>
          <t>7</t>
        </is>
      </c>
      <c r="I2173" s="5" t="inlineStr">
        <is>
          <t>Bengaluru</t>
        </is>
      </c>
      <c r="J2173" s="5" t="inlineStr">
        <is>
          <t>Part-Time</t>
        </is>
      </c>
      <c r="K2173" s="7" t="n">
        <v>45271</v>
      </c>
      <c r="L2173" s="7" t="inlineStr"/>
      <c r="M2173" s="5" t="inlineStr">
        <is>
          <t>Yes</t>
        </is>
      </c>
      <c r="N2173" s="5" t="inlineStr"/>
      <c r="O2173" s="8" t="inlineStr">
        <is>
          <t>120500</t>
        </is>
      </c>
      <c r="P2173" s="5" t="inlineStr">
        <is>
          <t>5</t>
        </is>
      </c>
      <c r="Q2173" s="5" t="inlineStr">
        <is>
          <t>4</t>
        </is>
      </c>
      <c r="R2173" s="5" t="inlineStr">
        <is>
          <t>3</t>
        </is>
      </c>
      <c r="S2173" s="5" t="inlineStr">
        <is>
          <t>25</t>
        </is>
      </c>
      <c r="T2173" s="5" t="inlineStr">
        <is>
          <t>0</t>
        </is>
      </c>
      <c r="U2173" s="5" t="inlineStr">
        <is>
          <t>OK</t>
        </is>
      </c>
    </row>
    <row r="2174">
      <c r="A2174" s="5" t="inlineStr">
        <is>
          <t>E00598</t>
        </is>
      </c>
      <c r="B2174" s="5" t="inlineStr">
        <is>
          <t>Female</t>
        </is>
      </c>
      <c r="C2174" s="6" t="inlineStr">
        <is>
          <t>34</t>
        </is>
      </c>
      <c r="D2174" s="5" t="inlineStr">
        <is>
          <t>Married</t>
        </is>
      </c>
      <c r="E2174" s="5" t="inlineStr">
        <is>
          <t>Bachelor</t>
        </is>
      </c>
      <c r="F2174" s="5" t="inlineStr">
        <is>
          <t>Operations</t>
        </is>
      </c>
      <c r="G2174" s="5" t="inlineStr">
        <is>
          <t>Logistics Coordinator</t>
        </is>
      </c>
      <c r="H2174" s="5" t="inlineStr">
        <is>
          <t>4</t>
        </is>
      </c>
      <c r="I2174" s="5" t="inlineStr">
        <is>
          <t>Mumbai</t>
        </is>
      </c>
      <c r="J2174" s="5" t="inlineStr">
        <is>
          <t>Full-Time</t>
        </is>
      </c>
      <c r="K2174" s="7" t="n">
        <v>45773</v>
      </c>
      <c r="L2174" s="7" t="inlineStr"/>
      <c r="M2174" s="5" t="inlineStr">
        <is>
          <t>Yes</t>
        </is>
      </c>
      <c r="N2174" s="5" t="inlineStr"/>
      <c r="O2174" s="8" t="inlineStr">
        <is>
          <t>107500</t>
        </is>
      </c>
      <c r="P2174" s="5" t="inlineStr">
        <is>
          <t>15</t>
        </is>
      </c>
      <c r="Q2174" s="5" t="inlineStr">
        <is>
          <t>4</t>
        </is>
      </c>
      <c r="R2174" s="5" t="inlineStr">
        <is>
          <t>5</t>
        </is>
      </c>
      <c r="S2174" s="5" t="inlineStr">
        <is>
          <t>8</t>
        </is>
      </c>
      <c r="T2174" s="5" t="inlineStr">
        <is>
          <t>7</t>
        </is>
      </c>
      <c r="U2174" s="5" t="inlineStr">
        <is>
          <t>OK</t>
        </is>
      </c>
    </row>
    <row r="2175">
      <c r="A2175" s="5" t="inlineStr">
        <is>
          <t>E01155</t>
        </is>
      </c>
      <c r="B2175" s="5" t="inlineStr">
        <is>
          <t>Female</t>
        </is>
      </c>
      <c r="C2175" s="6" t="inlineStr">
        <is>
          <t>34</t>
        </is>
      </c>
      <c r="D2175" s="5" t="inlineStr">
        <is>
          <t>Married</t>
        </is>
      </c>
      <c r="E2175" s="5" t="inlineStr">
        <is>
          <t>PhD</t>
        </is>
      </c>
      <c r="F2175" s="5" t="inlineStr">
        <is>
          <t>Executive</t>
        </is>
      </c>
      <c r="G2175" s="5" t="inlineStr">
        <is>
          <t>COO</t>
        </is>
      </c>
      <c r="H2175" s="5" t="inlineStr">
        <is>
          <t>4</t>
        </is>
      </c>
      <c r="I2175" s="5" t="inlineStr">
        <is>
          <t>Remote</t>
        </is>
      </c>
      <c r="J2175" s="5" t="inlineStr">
        <is>
          <t>Full-Time</t>
        </is>
      </c>
      <c r="K2175" s="7" t="n">
        <v>45174</v>
      </c>
      <c r="L2175" s="7" t="inlineStr"/>
      <c r="M2175" s="5" t="inlineStr">
        <is>
          <t>Yes</t>
        </is>
      </c>
      <c r="N2175" s="5" t="inlineStr"/>
      <c r="O2175" s="8" t="inlineStr">
        <is>
          <t>227000</t>
        </is>
      </c>
      <c r="P2175" s="5" t="inlineStr">
        <is>
          <t>0</t>
        </is>
      </c>
      <c r="Q2175" s="5" t="inlineStr">
        <is>
          <t>3</t>
        </is>
      </c>
      <c r="R2175" s="5" t="inlineStr">
        <is>
          <t>8</t>
        </is>
      </c>
      <c r="S2175" s="5" t="inlineStr">
        <is>
          <t>28</t>
        </is>
      </c>
      <c r="T2175" s="5" t="inlineStr">
        <is>
          <t>11</t>
        </is>
      </c>
      <c r="U2175" s="5" t="inlineStr">
        <is>
          <t>OK</t>
        </is>
      </c>
    </row>
    <row r="2176">
      <c r="A2176" s="5" t="inlineStr">
        <is>
          <t>E00040</t>
        </is>
      </c>
      <c r="B2176" s="5" t="inlineStr">
        <is>
          <t>Male</t>
        </is>
      </c>
      <c r="C2176" s="6" t="inlineStr">
        <is>
          <t>28</t>
        </is>
      </c>
      <c r="D2176" s="5" t="inlineStr">
        <is>
          <t>Married</t>
        </is>
      </c>
      <c r="E2176" s="5" t="inlineStr">
        <is>
          <t>Master</t>
        </is>
      </c>
      <c r="F2176" s="5" t="inlineStr">
        <is>
          <t>Sales</t>
        </is>
      </c>
      <c r="G2176" s="5" t="inlineStr">
        <is>
          <t>Sales Executive</t>
        </is>
      </c>
      <c r="H2176" s="5" t="inlineStr">
        <is>
          <t>1</t>
        </is>
      </c>
      <c r="I2176" s="5" t="inlineStr">
        <is>
          <t>Delhi</t>
        </is>
      </c>
      <c r="J2176" s="5" t="inlineStr">
        <is>
          <t>Full-Time</t>
        </is>
      </c>
      <c r="K2176" s="7" t="n">
        <v>43981</v>
      </c>
      <c r="L2176" s="7" t="n">
        <v>44065</v>
      </c>
      <c r="M2176" s="5" t="inlineStr">
        <is>
          <t>No</t>
        </is>
      </c>
      <c r="N2176" s="5" t="inlineStr">
        <is>
          <t>Resigned</t>
        </is>
      </c>
      <c r="O2176" s="8" t="inlineStr">
        <is>
          <t>99500</t>
        </is>
      </c>
      <c r="P2176" s="5" t="inlineStr">
        <is>
          <t>0</t>
        </is>
      </c>
      <c r="Q2176" s="5" t="inlineStr">
        <is>
          <t>3</t>
        </is>
      </c>
      <c r="R2176" s="5" t="inlineStr">
        <is>
          <t>6</t>
        </is>
      </c>
      <c r="S2176" s="5" t="inlineStr">
        <is>
          <t>2</t>
        </is>
      </c>
      <c r="T2176" s="5" t="inlineStr">
        <is>
          <t>2</t>
        </is>
      </c>
      <c r="U2176" s="5" t="inlineStr">
        <is>
          <t>OK</t>
        </is>
      </c>
    </row>
    <row r="2177">
      <c r="A2177" s="5" t="inlineStr">
        <is>
          <t>E01756</t>
        </is>
      </c>
      <c r="B2177" s="5" t="inlineStr">
        <is>
          <t>Female</t>
        </is>
      </c>
      <c r="C2177" s="6" t="inlineStr">
        <is>
          <t>34</t>
        </is>
      </c>
      <c r="D2177" s="5" t="inlineStr">
        <is>
          <t>Married</t>
        </is>
      </c>
      <c r="E2177" s="5" t="inlineStr">
        <is>
          <t>Diploma</t>
        </is>
      </c>
      <c r="F2177" s="5" t="inlineStr">
        <is>
          <t>Research &amp; Development</t>
        </is>
      </c>
      <c r="G2177" s="5" t="inlineStr">
        <is>
          <t>Product Engineer</t>
        </is>
      </c>
      <c r="H2177" s="5" t="inlineStr">
        <is>
          <t>5</t>
        </is>
      </c>
      <c r="I2177" s="5" t="inlineStr">
        <is>
          <t>Remote</t>
        </is>
      </c>
      <c r="J2177" s="5" t="inlineStr">
        <is>
          <t>Full-Time</t>
        </is>
      </c>
      <c r="K2177" s="7" t="n">
        <v>45060</v>
      </c>
      <c r="L2177" s="7" t="inlineStr"/>
      <c r="M2177" s="5" t="inlineStr">
        <is>
          <t>Yes</t>
        </is>
      </c>
      <c r="N2177" s="5" t="inlineStr"/>
      <c r="O2177" s="8" t="inlineStr">
        <is>
          <t>209000</t>
        </is>
      </c>
      <c r="P2177" s="5" t="inlineStr">
        <is>
          <t>0</t>
        </is>
      </c>
      <c r="Q2177" s="5" t="inlineStr">
        <is>
          <t>3</t>
        </is>
      </c>
      <c r="R2177" s="5" t="inlineStr">
        <is>
          <t>9</t>
        </is>
      </c>
      <c r="S2177" s="5" t="inlineStr">
        <is>
          <t>32</t>
        </is>
      </c>
      <c r="T2177" s="5" t="inlineStr">
        <is>
          <t>13</t>
        </is>
      </c>
      <c r="U2177" s="5" t="inlineStr">
        <is>
          <t>OK</t>
        </is>
      </c>
    </row>
    <row r="2178">
      <c r="A2178" s="5" t="inlineStr">
        <is>
          <t>E01355</t>
        </is>
      </c>
      <c r="B2178" s="5" t="inlineStr">
        <is>
          <t>Male</t>
        </is>
      </c>
      <c r="C2178" s="6" t="inlineStr">
        <is>
          <t>30</t>
        </is>
      </c>
      <c r="D2178" s="5" t="inlineStr">
        <is>
          <t>Single</t>
        </is>
      </c>
      <c r="E2178" s="5" t="inlineStr">
        <is>
          <t>Bachelor</t>
        </is>
      </c>
      <c r="F2178" s="5" t="inlineStr">
        <is>
          <t>Customer Support</t>
        </is>
      </c>
      <c r="G2178" s="5" t="inlineStr">
        <is>
          <t>Support Agent</t>
        </is>
      </c>
      <c r="H2178" s="5" t="inlineStr">
        <is>
          <t>2</t>
        </is>
      </c>
      <c r="I2178" s="5" t="inlineStr">
        <is>
          <t>Delhi</t>
        </is>
      </c>
      <c r="J2178" s="5" t="inlineStr">
        <is>
          <t>Full-Time</t>
        </is>
      </c>
      <c r="K2178" s="7" t="n">
        <v>44186</v>
      </c>
      <c r="L2178" s="7" t="inlineStr"/>
      <c r="M2178" s="5" t="inlineStr">
        <is>
          <t>Yes</t>
        </is>
      </c>
      <c r="N2178" s="5" t="inlineStr"/>
      <c r="O2178" s="8" t="inlineStr">
        <is>
          <t>76500</t>
        </is>
      </c>
      <c r="P2178" s="5" t="inlineStr">
        <is>
          <t>10</t>
        </is>
      </c>
      <c r="Q2178" s="5" t="inlineStr">
        <is>
          <t>3</t>
        </is>
      </c>
      <c r="R2178" s="5" t="inlineStr">
        <is>
          <t>4</t>
        </is>
      </c>
      <c r="S2178" s="5" t="inlineStr">
        <is>
          <t>61</t>
        </is>
      </c>
      <c r="T2178" s="5" t="inlineStr">
        <is>
          <t>14</t>
        </is>
      </c>
      <c r="U2178" s="5" t="inlineStr">
        <is>
          <t>OK</t>
        </is>
      </c>
    </row>
    <row r="2179">
      <c r="A2179" s="5" t="inlineStr">
        <is>
          <t>E01926</t>
        </is>
      </c>
      <c r="B2179" s="5" t="inlineStr">
        <is>
          <t>Male</t>
        </is>
      </c>
      <c r="C2179" s="6" t="inlineStr">
        <is>
          <t>26</t>
        </is>
      </c>
      <c r="D2179" s="5" t="inlineStr">
        <is>
          <t>Married</t>
        </is>
      </c>
      <c r="E2179" s="5" t="inlineStr">
        <is>
          <t>Diploma</t>
        </is>
      </c>
      <c r="F2179" s="5" t="inlineStr">
        <is>
          <t>Finance</t>
        </is>
      </c>
      <c r="G2179" s="5" t="inlineStr">
        <is>
          <t>Credit Analyst</t>
        </is>
      </c>
      <c r="H2179" s="5" t="inlineStr">
        <is>
          <t>1</t>
        </is>
      </c>
      <c r="I2179" s="5" t="inlineStr">
        <is>
          <t>Delhi</t>
        </is>
      </c>
      <c r="J2179" s="5" t="inlineStr">
        <is>
          <t>Full-Time</t>
        </is>
      </c>
      <c r="K2179" s="7" t="n">
        <v>44699</v>
      </c>
      <c r="L2179" s="7" t="inlineStr"/>
      <c r="M2179" s="5" t="inlineStr">
        <is>
          <t>Yes</t>
        </is>
      </c>
      <c r="N2179" s="5" t="inlineStr"/>
      <c r="O2179" s="8" t="inlineStr">
        <is>
          <t>77000</t>
        </is>
      </c>
      <c r="P2179" s="5" t="inlineStr">
        <is>
          <t>0</t>
        </is>
      </c>
      <c r="Q2179" s="5" t="inlineStr">
        <is>
          <t>4</t>
        </is>
      </c>
      <c r="R2179" s="5" t="inlineStr">
        <is>
          <t>7</t>
        </is>
      </c>
      <c r="S2179" s="5" t="inlineStr">
        <is>
          <t>44</t>
        </is>
      </c>
      <c r="T2179" s="5" t="inlineStr">
        <is>
          <t>8</t>
        </is>
      </c>
      <c r="U2179" s="5" t="inlineStr">
        <is>
          <t>OK</t>
        </is>
      </c>
    </row>
    <row r="2180">
      <c r="A2180" s="5" t="inlineStr">
        <is>
          <t>E02965</t>
        </is>
      </c>
      <c r="B2180" s="5" t="inlineStr">
        <is>
          <t>Female</t>
        </is>
      </c>
      <c r="C2180" s="6" t="inlineStr">
        <is>
          <t>42</t>
        </is>
      </c>
      <c r="D2180" s="5" t="inlineStr">
        <is>
          <t>Married</t>
        </is>
      </c>
      <c r="E2180" s="5" t="inlineStr">
        <is>
          <t>Bachelor</t>
        </is>
      </c>
      <c r="F2180" s="5" t="inlineStr"/>
      <c r="G2180" s="5" t="inlineStr">
        <is>
          <t>Account Executive</t>
        </is>
      </c>
      <c r="H2180" s="5" t="inlineStr">
        <is>
          <t>5</t>
        </is>
      </c>
      <c r="I2180" s="5" t="inlineStr">
        <is>
          <t>Bengaluru</t>
        </is>
      </c>
      <c r="J2180" s="5" t="inlineStr">
        <is>
          <t>Full-Time</t>
        </is>
      </c>
      <c r="K2180" s="7" t="n">
        <v>44032</v>
      </c>
      <c r="L2180" s="7" t="inlineStr"/>
      <c r="M2180" s="5" t="inlineStr">
        <is>
          <t>Yes</t>
        </is>
      </c>
      <c r="N2180" s="5" t="inlineStr"/>
      <c r="O2180" s="8" t="inlineStr">
        <is>
          <t>100000</t>
        </is>
      </c>
      <c r="P2180" s="5" t="inlineStr">
        <is>
          <t>5</t>
        </is>
      </c>
      <c r="Q2180" s="5" t="inlineStr">
        <is>
          <t>4</t>
        </is>
      </c>
      <c r="R2180" s="5" t="inlineStr">
        <is>
          <t>7</t>
        </is>
      </c>
      <c r="S2180" s="5" t="inlineStr">
        <is>
          <t>66</t>
        </is>
      </c>
      <c r="T2180" s="5" t="inlineStr">
        <is>
          <t>5</t>
        </is>
      </c>
      <c r="U2180" s="5" t="inlineStr">
        <is>
          <t>Blank department</t>
        </is>
      </c>
    </row>
    <row r="2181">
      <c r="A2181" s="5" t="inlineStr">
        <is>
          <t>E01675</t>
        </is>
      </c>
      <c r="B2181" s="5" t="inlineStr">
        <is>
          <t>Male</t>
        </is>
      </c>
      <c r="C2181" s="6" t="inlineStr">
        <is>
          <t>38</t>
        </is>
      </c>
      <c r="D2181" s="5" t="inlineStr">
        <is>
          <t>Divorced</t>
        </is>
      </c>
      <c r="E2181" s="5" t="inlineStr">
        <is>
          <t>Bachelor</t>
        </is>
      </c>
      <c r="F2181" s="5" t="inlineStr">
        <is>
          <t>Sales</t>
        </is>
      </c>
      <c r="G2181" s="5" t="inlineStr">
        <is>
          <t>Business Development</t>
        </is>
      </c>
      <c r="H2181" s="5" t="inlineStr">
        <is>
          <t>3</t>
        </is>
      </c>
      <c r="I2181" s="5" t="inlineStr">
        <is>
          <t>Hyderabad</t>
        </is>
      </c>
      <c r="J2181" s="5" t="inlineStr">
        <is>
          <t>Full-Time</t>
        </is>
      </c>
      <c r="K2181" s="7" t="n">
        <v>45419</v>
      </c>
      <c r="L2181" s="7" t="n">
        <v>45568</v>
      </c>
      <c r="M2181" s="5" t="inlineStr">
        <is>
          <t>No</t>
        </is>
      </c>
      <c r="N2181" s="5" t="inlineStr">
        <is>
          <t>Resigned</t>
        </is>
      </c>
      <c r="O2181" s="8" t="inlineStr">
        <is>
          <t>111000</t>
        </is>
      </c>
      <c r="P2181" s="5" t="inlineStr">
        <is>
          <t>5</t>
        </is>
      </c>
      <c r="Q2181" s="5" t="inlineStr">
        <is>
          <t>4</t>
        </is>
      </c>
      <c r="R2181" s="5" t="inlineStr">
        <is>
          <t>6</t>
        </is>
      </c>
      <c r="S2181" s="5" t="inlineStr">
        <is>
          <t>4</t>
        </is>
      </c>
      <c r="T2181" s="5" t="inlineStr">
        <is>
          <t>8</t>
        </is>
      </c>
      <c r="U2181" s="5" t="inlineStr">
        <is>
          <t>OK</t>
        </is>
      </c>
    </row>
    <row r="2182">
      <c r="A2182" s="5" t="inlineStr">
        <is>
          <t>E00356</t>
        </is>
      </c>
      <c r="B2182" s="5" t="inlineStr">
        <is>
          <t>Male</t>
        </is>
      </c>
      <c r="C2182" s="6" t="inlineStr">
        <is>
          <t>34</t>
        </is>
      </c>
      <c r="D2182" s="5" t="inlineStr">
        <is>
          <t>Divorced</t>
        </is>
      </c>
      <c r="E2182" s="5" t="inlineStr">
        <is>
          <t>Diploma</t>
        </is>
      </c>
      <c r="F2182" s="5" t="inlineStr">
        <is>
          <t>IT</t>
        </is>
      </c>
      <c r="G2182" s="5" t="inlineStr">
        <is>
          <t>Data Analyst</t>
        </is>
      </c>
      <c r="H2182" s="5" t="inlineStr">
        <is>
          <t>3</t>
        </is>
      </c>
      <c r="I2182" s="5" t="inlineStr">
        <is>
          <t>Chennai</t>
        </is>
      </c>
      <c r="J2182" s="5" t="inlineStr">
        <is>
          <t>Full-Time</t>
        </is>
      </c>
      <c r="K2182" s="7" t="n">
        <v>45891</v>
      </c>
      <c r="L2182" s="7" t="inlineStr"/>
      <c r="M2182" s="5" t="inlineStr">
        <is>
          <t>Yes</t>
        </is>
      </c>
      <c r="N2182" s="5" t="inlineStr"/>
      <c r="O2182" s="8" t="inlineStr">
        <is>
          <t>117000</t>
        </is>
      </c>
      <c r="P2182" s="5" t="inlineStr">
        <is>
          <t>0</t>
        </is>
      </c>
      <c r="Q2182" s="5" t="inlineStr">
        <is>
          <t>5</t>
        </is>
      </c>
      <c r="R2182" s="5" t="inlineStr">
        <is>
          <t>4</t>
        </is>
      </c>
      <c r="S2182" s="5" t="inlineStr">
        <is>
          <t>4</t>
        </is>
      </c>
      <c r="T2182" s="5" t="inlineStr">
        <is>
          <t>6</t>
        </is>
      </c>
      <c r="U2182" s="5" t="inlineStr">
        <is>
          <t>OK</t>
        </is>
      </c>
    </row>
    <row r="2183">
      <c r="A2183" s="5" t="inlineStr">
        <is>
          <t>E01855</t>
        </is>
      </c>
      <c r="B2183" s="5" t="inlineStr">
        <is>
          <t>Male</t>
        </is>
      </c>
      <c r="C2183" s="6" t="inlineStr">
        <is>
          <t>36</t>
        </is>
      </c>
      <c r="D2183" s="5" t="inlineStr">
        <is>
          <t>Married</t>
        </is>
      </c>
      <c r="E2183" s="5" t="inlineStr">
        <is>
          <t>Bachelor</t>
        </is>
      </c>
      <c r="F2183" s="5" t="inlineStr">
        <is>
          <t>Finance</t>
        </is>
      </c>
      <c r="G2183" s="5" t="inlineStr">
        <is>
          <t>Financial Analyst</t>
        </is>
      </c>
      <c r="H2183" s="5" t="inlineStr">
        <is>
          <t>3</t>
        </is>
      </c>
      <c r="I2183" s="5" t="inlineStr">
        <is>
          <t>Delhi</t>
        </is>
      </c>
      <c r="J2183" s="5" t="inlineStr">
        <is>
          <t>Contract</t>
        </is>
      </c>
      <c r="K2183" s="7" t="n">
        <v>45940</v>
      </c>
      <c r="L2183" s="7" t="inlineStr"/>
      <c r="M2183" s="5" t="inlineStr">
        <is>
          <t>Yes</t>
        </is>
      </c>
      <c r="N2183" s="5" t="inlineStr"/>
      <c r="O2183" s="8" t="inlineStr">
        <is>
          <t>146000</t>
        </is>
      </c>
      <c r="P2183" s="5" t="inlineStr">
        <is>
          <t>10</t>
        </is>
      </c>
      <c r="Q2183" s="5" t="inlineStr">
        <is>
          <t>4</t>
        </is>
      </c>
      <c r="R2183" s="5" t="inlineStr">
        <is>
          <t>4</t>
        </is>
      </c>
      <c r="S2183" s="5" t="inlineStr">
        <is>
          <t>2</t>
        </is>
      </c>
      <c r="T2183" s="5" t="inlineStr">
        <is>
          <t>2</t>
        </is>
      </c>
      <c r="U2183" s="5" t="inlineStr">
        <is>
          <t>OK</t>
        </is>
      </c>
    </row>
    <row r="2184">
      <c r="A2184" s="5" t="inlineStr">
        <is>
          <t>E01589</t>
        </is>
      </c>
      <c r="B2184" s="5" t="inlineStr">
        <is>
          <t>Male</t>
        </is>
      </c>
      <c r="C2184" s="6" t="inlineStr">
        <is>
          <t>29</t>
        </is>
      </c>
      <c r="D2184" s="5" t="inlineStr">
        <is>
          <t>Married</t>
        </is>
      </c>
      <c r="E2184" s="5" t="inlineStr">
        <is>
          <t>Bachelor</t>
        </is>
      </c>
      <c r="F2184" s="5" t="inlineStr">
        <is>
          <t>Operations</t>
        </is>
      </c>
      <c r="G2184" s="5" t="inlineStr">
        <is>
          <t>Quality Analyst</t>
        </is>
      </c>
      <c r="H2184" s="5" t="inlineStr">
        <is>
          <t>2</t>
        </is>
      </c>
      <c r="I2184" s="5" t="inlineStr">
        <is>
          <t>Remote</t>
        </is>
      </c>
      <c r="J2184" s="5" t="inlineStr">
        <is>
          <t>Full-Time</t>
        </is>
      </c>
      <c r="K2184" s="7" t="n">
        <v>44889</v>
      </c>
      <c r="L2184" s="7" t="n">
        <v>44941</v>
      </c>
      <c r="M2184" s="5" t="inlineStr">
        <is>
          <t>No</t>
        </is>
      </c>
      <c r="N2184" s="5" t="inlineStr">
        <is>
          <t>Retirement</t>
        </is>
      </c>
      <c r="O2184" s="8" t="inlineStr">
        <is>
          <t>104000</t>
        </is>
      </c>
      <c r="P2184" s="5" t="inlineStr">
        <is>
          <t>5</t>
        </is>
      </c>
      <c r="Q2184" s="5" t="inlineStr">
        <is>
          <t>4</t>
        </is>
      </c>
      <c r="R2184" s="5" t="inlineStr">
        <is>
          <t>5</t>
        </is>
      </c>
      <c r="S2184" s="5" t="inlineStr">
        <is>
          <t>1</t>
        </is>
      </c>
      <c r="T2184" s="5" t="inlineStr">
        <is>
          <t>0</t>
        </is>
      </c>
      <c r="U2184" s="5" t="inlineStr">
        <is>
          <t>OK</t>
        </is>
      </c>
    </row>
    <row r="2185">
      <c r="A2185" s="5" t="inlineStr">
        <is>
          <t>E02512</t>
        </is>
      </c>
      <c r="B2185" s="5" t="inlineStr">
        <is>
          <t>Male</t>
        </is>
      </c>
      <c r="C2185" s="6" t="inlineStr">
        <is>
          <t>30</t>
        </is>
      </c>
      <c r="D2185" s="5" t="inlineStr">
        <is>
          <t>Married</t>
        </is>
      </c>
      <c r="E2185" s="5" t="inlineStr">
        <is>
          <t>Bachelor</t>
        </is>
      </c>
      <c r="F2185" s="5" t="inlineStr">
        <is>
          <t>Sales</t>
        </is>
      </c>
      <c r="G2185" s="5" t="inlineStr">
        <is>
          <t>Sales Executive</t>
        </is>
      </c>
      <c r="H2185" s="5" t="inlineStr">
        <is>
          <t>4</t>
        </is>
      </c>
      <c r="I2185" s="5" t="inlineStr">
        <is>
          <t>Remote</t>
        </is>
      </c>
      <c r="J2185" s="5" t="inlineStr">
        <is>
          <t>Full-Time</t>
        </is>
      </c>
      <c r="K2185" s="7" t="n">
        <v>44392</v>
      </c>
      <c r="L2185" s="7" t="inlineStr"/>
      <c r="M2185" s="5" t="inlineStr">
        <is>
          <t>Yes</t>
        </is>
      </c>
      <c r="N2185" s="5" t="inlineStr"/>
      <c r="O2185" s="8" t="inlineStr">
        <is>
          <t>138500</t>
        </is>
      </c>
      <c r="P2185" s="5" t="inlineStr">
        <is>
          <t>0</t>
        </is>
      </c>
      <c r="Q2185" s="5" t="inlineStr">
        <is>
          <t>4</t>
        </is>
      </c>
      <c r="R2185" s="5" t="inlineStr">
        <is>
          <t>8</t>
        </is>
      </c>
      <c r="S2185" s="5" t="inlineStr">
        <is>
          <t>54</t>
        </is>
      </c>
      <c r="T2185" s="5" t="inlineStr">
        <is>
          <t>16</t>
        </is>
      </c>
      <c r="U2185" s="5" t="inlineStr">
        <is>
          <t>OK</t>
        </is>
      </c>
    </row>
    <row r="2186">
      <c r="A2186" s="5" t="inlineStr">
        <is>
          <t>E00668</t>
        </is>
      </c>
      <c r="B2186" s="5" t="inlineStr">
        <is>
          <t>Female</t>
        </is>
      </c>
      <c r="C2186" s="6" t="inlineStr">
        <is>
          <t>23</t>
        </is>
      </c>
      <c r="D2186" s="5" t="inlineStr">
        <is>
          <t>Married</t>
        </is>
      </c>
      <c r="E2186" s="5" t="inlineStr">
        <is>
          <t>Diploma</t>
        </is>
      </c>
      <c r="F2186" s="5" t="inlineStr">
        <is>
          <t>Sales</t>
        </is>
      </c>
      <c r="G2186" s="5" t="inlineStr">
        <is>
          <t>Business Development</t>
        </is>
      </c>
      <c r="H2186" s="5" t="inlineStr">
        <is>
          <t>1</t>
        </is>
      </c>
      <c r="I2186" s="5" t="inlineStr">
        <is>
          <t>Hyderabad</t>
        </is>
      </c>
      <c r="J2186" s="5" t="inlineStr">
        <is>
          <t>Full-Time</t>
        </is>
      </c>
      <c r="K2186" s="7" t="n">
        <v>45983</v>
      </c>
      <c r="L2186" s="7" t="inlineStr"/>
      <c r="M2186" s="5" t="inlineStr">
        <is>
          <t>Yes</t>
        </is>
      </c>
      <c r="N2186" s="5" t="inlineStr"/>
      <c r="O2186" s="8" t="inlineStr">
        <is>
          <t>65000</t>
        </is>
      </c>
      <c r="P2186" s="5" t="inlineStr">
        <is>
          <t>0</t>
        </is>
      </c>
      <c r="Q2186" s="5" t="inlineStr">
        <is>
          <t>4</t>
        </is>
      </c>
      <c r="R2186" s="5" t="inlineStr">
        <is>
          <t>5</t>
        </is>
      </c>
      <c r="S2186" s="5" t="inlineStr">
        <is>
          <t>1</t>
        </is>
      </c>
      <c r="T2186" s="5" t="inlineStr">
        <is>
          <t>8</t>
        </is>
      </c>
      <c r="U2186" s="5" t="inlineStr">
        <is>
          <t>OK</t>
        </is>
      </c>
    </row>
    <row r="2187">
      <c r="A2187" s="5" t="inlineStr">
        <is>
          <t>E00776</t>
        </is>
      </c>
      <c r="B2187" s="5" t="inlineStr">
        <is>
          <t>Male</t>
        </is>
      </c>
      <c r="C2187" s="6" t="inlineStr">
        <is>
          <t>29</t>
        </is>
      </c>
      <c r="D2187" s="5" t="inlineStr">
        <is>
          <t>Married</t>
        </is>
      </c>
      <c r="E2187" s="5" t="inlineStr">
        <is>
          <t>High School</t>
        </is>
      </c>
      <c r="F2187" s="5" t="inlineStr">
        <is>
          <t>Research &amp; Development</t>
        </is>
      </c>
      <c r="G2187" s="5" t="inlineStr">
        <is>
          <t>Data Scientist</t>
        </is>
      </c>
      <c r="H2187" s="5" t="inlineStr">
        <is>
          <t>1</t>
        </is>
      </c>
      <c r="I2187" s="5" t="inlineStr">
        <is>
          <t>Remote</t>
        </is>
      </c>
      <c r="J2187" s="5" t="inlineStr">
        <is>
          <t>Full-Time</t>
        </is>
      </c>
      <c r="K2187" s="7" t="n">
        <v>43955</v>
      </c>
      <c r="L2187" s="7" t="n">
        <v>44051</v>
      </c>
      <c r="M2187" s="5" t="inlineStr">
        <is>
          <t>No</t>
        </is>
      </c>
      <c r="N2187" s="5" t="inlineStr">
        <is>
          <t>Resigned</t>
        </is>
      </c>
      <c r="O2187" s="8" t="inlineStr"/>
      <c r="P2187" s="5" t="inlineStr">
        <is>
          <t>0</t>
        </is>
      </c>
      <c r="Q2187" s="5" t="inlineStr">
        <is>
          <t>5</t>
        </is>
      </c>
      <c r="R2187" s="5" t="inlineStr">
        <is>
          <t>6</t>
        </is>
      </c>
      <c r="S2187" s="5" t="inlineStr">
        <is>
          <t>3</t>
        </is>
      </c>
      <c r="T2187" s="5" t="inlineStr">
        <is>
          <t>9</t>
        </is>
      </c>
      <c r="U2187" s="5" t="inlineStr">
        <is>
          <t>Blank salary</t>
        </is>
      </c>
    </row>
    <row r="2188">
      <c r="A2188" s="5" t="inlineStr">
        <is>
          <t>E00341</t>
        </is>
      </c>
      <c r="B2188" s="5" t="inlineStr">
        <is>
          <t>Unknown</t>
        </is>
      </c>
      <c r="C2188" s="6" t="inlineStr">
        <is>
          <t>33</t>
        </is>
      </c>
      <c r="D2188" s="5" t="inlineStr">
        <is>
          <t>Married</t>
        </is>
      </c>
      <c r="E2188" s="5" t="inlineStr">
        <is>
          <t>Master</t>
        </is>
      </c>
      <c r="F2188" s="5" t="inlineStr">
        <is>
          <t>Human Resources</t>
        </is>
      </c>
      <c r="G2188" s="5" t="inlineStr">
        <is>
          <t>HR Generalist</t>
        </is>
      </c>
      <c r="H2188" s="5" t="inlineStr">
        <is>
          <t>4</t>
        </is>
      </c>
      <c r="I2188" s="5" t="inlineStr">
        <is>
          <t>Delhi</t>
        </is>
      </c>
      <c r="J2188" s="5" t="inlineStr">
        <is>
          <t>Full-Time</t>
        </is>
      </c>
      <c r="K2188" s="7" t="n">
        <v>44764</v>
      </c>
      <c r="L2188" s="7" t="inlineStr"/>
      <c r="M2188" s="5" t="inlineStr">
        <is>
          <t>Yes</t>
        </is>
      </c>
      <c r="N2188" s="5" t="inlineStr"/>
      <c r="O2188" s="8" t="inlineStr">
        <is>
          <t>100500</t>
        </is>
      </c>
      <c r="P2188" s="5" t="inlineStr">
        <is>
          <t>20</t>
        </is>
      </c>
      <c r="Q2188" s="5" t="inlineStr">
        <is>
          <t>3</t>
        </is>
      </c>
      <c r="R2188" s="5" t="inlineStr">
        <is>
          <t>9</t>
        </is>
      </c>
      <c r="S2188" s="5" t="inlineStr">
        <is>
          <t>41</t>
        </is>
      </c>
      <c r="T2188" s="5" t="inlineStr">
        <is>
          <t>5</t>
        </is>
      </c>
      <c r="U2188" s="5" t="inlineStr">
        <is>
          <t>Bad gender</t>
        </is>
      </c>
    </row>
    <row r="2189">
      <c r="A2189" s="5" t="inlineStr">
        <is>
          <t>E02728</t>
        </is>
      </c>
      <c r="B2189" s="5" t="inlineStr">
        <is>
          <t>Female</t>
        </is>
      </c>
      <c r="C2189" s="6" t="inlineStr">
        <is>
          <t>40</t>
        </is>
      </c>
      <c r="D2189" s="5" t="inlineStr">
        <is>
          <t>Married</t>
        </is>
      </c>
      <c r="E2189" s="5" t="inlineStr">
        <is>
          <t>High School</t>
        </is>
      </c>
      <c r="F2189" s="5" t="inlineStr">
        <is>
          <t>Sales</t>
        </is>
      </c>
      <c r="G2189" s="5" t="inlineStr">
        <is>
          <t>Business Development</t>
        </is>
      </c>
      <c r="H2189" s="5" t="inlineStr">
        <is>
          <t>6</t>
        </is>
      </c>
      <c r="I2189" s="5" t="inlineStr">
        <is>
          <t>Remote</t>
        </is>
      </c>
      <c r="J2189" s="5" t="inlineStr">
        <is>
          <t>Part-Time</t>
        </is>
      </c>
      <c r="K2189" s="7" t="n">
        <v>44239</v>
      </c>
      <c r="L2189" s="7" t="inlineStr"/>
      <c r="M2189" s="5" t="inlineStr">
        <is>
          <t>Yes</t>
        </is>
      </c>
      <c r="N2189" s="5" t="inlineStr"/>
      <c r="O2189" s="8" t="inlineStr">
        <is>
          <t>134500</t>
        </is>
      </c>
      <c r="P2189" s="5" t="inlineStr">
        <is>
          <t>20</t>
        </is>
      </c>
      <c r="Q2189" s="5" t="inlineStr">
        <is>
          <t>4</t>
        </is>
      </c>
      <c r="R2189" s="5" t="inlineStr">
        <is>
          <t>6</t>
        </is>
      </c>
      <c r="S2189" s="5" t="inlineStr">
        <is>
          <t>59</t>
        </is>
      </c>
      <c r="T2189" s="5" t="inlineStr">
        <is>
          <t>0</t>
        </is>
      </c>
      <c r="U2189" s="5" t="inlineStr">
        <is>
          <t>OK</t>
        </is>
      </c>
    </row>
    <row r="2190">
      <c r="A2190" s="5" t="inlineStr">
        <is>
          <t>E00081</t>
        </is>
      </c>
      <c r="B2190" s="5" t="inlineStr">
        <is>
          <t>Female</t>
        </is>
      </c>
      <c r="C2190" s="6" t="inlineStr">
        <is>
          <t>200</t>
        </is>
      </c>
      <c r="D2190" s="5" t="inlineStr">
        <is>
          <t>Married</t>
        </is>
      </c>
      <c r="E2190" s="5" t="inlineStr">
        <is>
          <t>Bachelor</t>
        </is>
      </c>
      <c r="F2190" s="5" t="inlineStr">
        <is>
          <t>Research &amp; Development</t>
        </is>
      </c>
      <c r="G2190" s="5" t="inlineStr">
        <is>
          <t>Research Scientist</t>
        </is>
      </c>
      <c r="H2190" s="5" t="inlineStr">
        <is>
          <t>7</t>
        </is>
      </c>
      <c r="I2190" s="5" t="inlineStr">
        <is>
          <t>Chennai</t>
        </is>
      </c>
      <c r="J2190" s="5" t="inlineStr">
        <is>
          <t>Full-Time</t>
        </is>
      </c>
      <c r="K2190" s="7" t="n">
        <v>44104</v>
      </c>
      <c r="L2190" s="7" t="inlineStr"/>
      <c r="M2190" s="5" t="inlineStr">
        <is>
          <t>Yes</t>
        </is>
      </c>
      <c r="N2190" s="5" t="inlineStr"/>
      <c r="O2190" s="8" t="inlineStr">
        <is>
          <t>274000</t>
        </is>
      </c>
      <c r="P2190" s="5" t="inlineStr">
        <is>
          <t>10</t>
        </is>
      </c>
      <c r="Q2190" s="5" t="inlineStr">
        <is>
          <t>4</t>
        </is>
      </c>
      <c r="R2190" s="5" t="inlineStr">
        <is>
          <t>8</t>
        </is>
      </c>
      <c r="S2190" s="5" t="inlineStr">
        <is>
          <t>63</t>
        </is>
      </c>
      <c r="T2190" s="5" t="inlineStr">
        <is>
          <t>7</t>
        </is>
      </c>
      <c r="U2190" s="5" t="inlineStr">
        <is>
          <t>Age typo</t>
        </is>
      </c>
    </row>
    <row r="2191">
      <c r="A2191" s="5" t="inlineStr">
        <is>
          <t>E00733</t>
        </is>
      </c>
      <c r="B2191" s="5" t="inlineStr">
        <is>
          <t>Unknown</t>
        </is>
      </c>
      <c r="C2191" s="6" t="inlineStr">
        <is>
          <t>38</t>
        </is>
      </c>
      <c r="D2191" s="5" t="inlineStr">
        <is>
          <t>Married</t>
        </is>
      </c>
      <c r="E2191" s="5" t="inlineStr">
        <is>
          <t>High School</t>
        </is>
      </c>
      <c r="F2191" s="5" t="inlineStr">
        <is>
          <t>IT</t>
        </is>
      </c>
      <c r="G2191" s="5" t="inlineStr">
        <is>
          <t>Data Analyst</t>
        </is>
      </c>
      <c r="H2191" s="5" t="inlineStr">
        <is>
          <t>3</t>
        </is>
      </c>
      <c r="I2191" s="5" t="inlineStr">
        <is>
          <t>Hyderabad</t>
        </is>
      </c>
      <c r="J2191" s="5" t="inlineStr">
        <is>
          <t>Full-Time</t>
        </is>
      </c>
      <c r="K2191" s="7" t="n">
        <v>45120</v>
      </c>
      <c r="L2191" s="7" t="inlineStr"/>
      <c r="M2191" s="5" t="inlineStr">
        <is>
          <t>Yes</t>
        </is>
      </c>
      <c r="N2191" s="5" t="inlineStr"/>
      <c r="O2191" s="8" t="inlineStr">
        <is>
          <t>151000</t>
        </is>
      </c>
      <c r="P2191" s="5" t="inlineStr">
        <is>
          <t>5</t>
        </is>
      </c>
      <c r="Q2191" s="5" t="inlineStr">
        <is>
          <t>4</t>
        </is>
      </c>
      <c r="R2191" s="5" t="inlineStr">
        <is>
          <t>5</t>
        </is>
      </c>
      <c r="S2191" s="5" t="inlineStr">
        <is>
          <t>30</t>
        </is>
      </c>
      <c r="T2191" s="5" t="inlineStr">
        <is>
          <t>1</t>
        </is>
      </c>
      <c r="U2191" s="5" t="inlineStr">
        <is>
          <t>Bad gender</t>
        </is>
      </c>
    </row>
    <row r="2192">
      <c r="A2192" s="5" t="inlineStr">
        <is>
          <t>E01764</t>
        </is>
      </c>
      <c r="B2192" s="5" t="inlineStr">
        <is>
          <t>Female</t>
        </is>
      </c>
      <c r="C2192" s="6" t="inlineStr">
        <is>
          <t>34</t>
        </is>
      </c>
      <c r="D2192" s="5" t="inlineStr">
        <is>
          <t>Married</t>
        </is>
      </c>
      <c r="E2192" s="5" t="inlineStr">
        <is>
          <t>PhD</t>
        </is>
      </c>
      <c r="F2192" s="5" t="inlineStr">
        <is>
          <t>Finance</t>
        </is>
      </c>
      <c r="G2192" s="5" t="inlineStr">
        <is>
          <t>Financial Analyst</t>
        </is>
      </c>
      <c r="H2192" s="5" t="inlineStr">
        <is>
          <t>3</t>
        </is>
      </c>
      <c r="I2192" s="5" t="inlineStr">
        <is>
          <t>Chennai</t>
        </is>
      </c>
      <c r="J2192" s="5" t="inlineStr">
        <is>
          <t>Full-Time</t>
        </is>
      </c>
      <c r="K2192" s="7" t="n">
        <v>44070</v>
      </c>
      <c r="L2192" s="7" t="inlineStr"/>
      <c r="M2192" s="5" t="inlineStr">
        <is>
          <t>Yes</t>
        </is>
      </c>
      <c r="N2192" s="5" t="inlineStr"/>
      <c r="O2192" s="8" t="inlineStr">
        <is>
          <t>132000</t>
        </is>
      </c>
      <c r="P2192" s="5" t="inlineStr">
        <is>
          <t>0</t>
        </is>
      </c>
      <c r="Q2192" s="5" t="inlineStr">
        <is>
          <t>4</t>
        </is>
      </c>
      <c r="R2192" s="5" t="inlineStr">
        <is>
          <t>5</t>
        </is>
      </c>
      <c r="S2192" s="5" t="inlineStr">
        <is>
          <t>65</t>
        </is>
      </c>
      <c r="T2192" s="5" t="inlineStr">
        <is>
          <t>3</t>
        </is>
      </c>
      <c r="U2192" s="5" t="inlineStr">
        <is>
          <t>OK</t>
        </is>
      </c>
    </row>
    <row r="2193">
      <c r="A2193" s="5" t="inlineStr">
        <is>
          <t>E02993</t>
        </is>
      </c>
      <c r="B2193" s="5" t="inlineStr">
        <is>
          <t>Male</t>
        </is>
      </c>
      <c r="C2193" s="6" t="inlineStr">
        <is>
          <t>35</t>
        </is>
      </c>
      <c r="D2193" s="5" t="inlineStr">
        <is>
          <t>Married</t>
        </is>
      </c>
      <c r="E2193" s="5" t="inlineStr">
        <is>
          <t>Diploma</t>
        </is>
      </c>
      <c r="F2193" s="5" t="inlineStr">
        <is>
          <t>Human Resources</t>
        </is>
      </c>
      <c r="G2193" s="5" t="inlineStr">
        <is>
          <t>HR Generalist</t>
        </is>
      </c>
      <c r="H2193" s="5" t="inlineStr">
        <is>
          <t>4</t>
        </is>
      </c>
      <c r="I2193" s="5" t="inlineStr">
        <is>
          <t>Bengaluru</t>
        </is>
      </c>
      <c r="J2193" s="5" t="inlineStr">
        <is>
          <t>Full-Time</t>
        </is>
      </c>
      <c r="K2193" s="7" t="n">
        <v>44648</v>
      </c>
      <c r="L2193" s="7" t="inlineStr"/>
      <c r="M2193" s="5" t="inlineStr">
        <is>
          <t>Yes</t>
        </is>
      </c>
      <c r="N2193" s="5" t="inlineStr"/>
      <c r="O2193" s="8" t="inlineStr">
        <is>
          <t>108500</t>
        </is>
      </c>
      <c r="P2193" s="5" t="inlineStr">
        <is>
          <t>20</t>
        </is>
      </c>
      <c r="Q2193" s="5" t="inlineStr">
        <is>
          <t>4</t>
        </is>
      </c>
      <c r="R2193" s="5" t="inlineStr">
        <is>
          <t>8</t>
        </is>
      </c>
      <c r="S2193" s="5" t="inlineStr">
        <is>
          <t>45</t>
        </is>
      </c>
      <c r="T2193" s="5" t="inlineStr">
        <is>
          <t>0</t>
        </is>
      </c>
      <c r="U2193" s="5" t="inlineStr">
        <is>
          <t>OK</t>
        </is>
      </c>
    </row>
    <row r="2194">
      <c r="A2194" s="5" t="inlineStr">
        <is>
          <t>E00758</t>
        </is>
      </c>
      <c r="B2194" s="5" t="inlineStr">
        <is>
          <t>Male</t>
        </is>
      </c>
      <c r="C2194" s="6" t="inlineStr">
        <is>
          <t>33</t>
        </is>
      </c>
      <c r="D2194" s="5" t="inlineStr">
        <is>
          <t>Single</t>
        </is>
      </c>
      <c r="E2194" s="5" t="inlineStr">
        <is>
          <t>PhD</t>
        </is>
      </c>
      <c r="F2194" s="5" t="inlineStr">
        <is>
          <t>Sales</t>
        </is>
      </c>
      <c r="G2194" s="5" t="inlineStr">
        <is>
          <t>Sales Executive</t>
        </is>
      </c>
      <c r="H2194" s="5" t="inlineStr">
        <is>
          <t>3</t>
        </is>
      </c>
      <c r="I2194" s="5" t="inlineStr">
        <is>
          <t>Mumbai</t>
        </is>
      </c>
      <c r="J2194" s="5" t="inlineStr">
        <is>
          <t>Full-Time</t>
        </is>
      </c>
      <c r="K2194" s="7" t="n">
        <v>45204</v>
      </c>
      <c r="L2194" s="7" t="inlineStr"/>
      <c r="M2194" s="5" t="inlineStr">
        <is>
          <t>Yes</t>
        </is>
      </c>
      <c r="N2194" s="5" t="inlineStr"/>
      <c r="O2194" s="8" t="inlineStr">
        <is>
          <t>116000</t>
        </is>
      </c>
      <c r="P2194" s="5" t="inlineStr">
        <is>
          <t>5</t>
        </is>
      </c>
      <c r="Q2194" s="5" t="inlineStr">
        <is>
          <t>4</t>
        </is>
      </c>
      <c r="R2194" s="5" t="inlineStr">
        <is>
          <t>5</t>
        </is>
      </c>
      <c r="S2194" s="5" t="inlineStr">
        <is>
          <t>27</t>
        </is>
      </c>
      <c r="T2194" s="5" t="inlineStr">
        <is>
          <t>10</t>
        </is>
      </c>
      <c r="U2194" s="5" t="inlineStr">
        <is>
          <t>OK</t>
        </is>
      </c>
    </row>
    <row r="2195">
      <c r="A2195" s="5" t="inlineStr">
        <is>
          <t>E00976</t>
        </is>
      </c>
      <c r="B2195" s="5" t="inlineStr">
        <is>
          <t>Male</t>
        </is>
      </c>
      <c r="C2195" s="6" t="inlineStr">
        <is>
          <t>30</t>
        </is>
      </c>
      <c r="D2195" s="5" t="inlineStr">
        <is>
          <t>Married</t>
        </is>
      </c>
      <c r="E2195" s="5" t="inlineStr">
        <is>
          <t>Master</t>
        </is>
      </c>
      <c r="F2195" s="5" t="inlineStr">
        <is>
          <t>Operations</t>
        </is>
      </c>
      <c r="G2195" s="5" t="inlineStr">
        <is>
          <t>Quality Analyst</t>
        </is>
      </c>
      <c r="H2195" s="5" t="inlineStr">
        <is>
          <t>2</t>
        </is>
      </c>
      <c r="I2195" s="5" t="inlineStr">
        <is>
          <t>Mumbai</t>
        </is>
      </c>
      <c r="J2195" s="5" t="inlineStr">
        <is>
          <t>Full-Time</t>
        </is>
      </c>
      <c r="K2195" s="7" t="n">
        <v>45560</v>
      </c>
      <c r="L2195" s="7" t="n">
        <v>45702</v>
      </c>
      <c r="M2195" s="5" t="inlineStr">
        <is>
          <t>No</t>
        </is>
      </c>
      <c r="N2195" s="5" t="inlineStr">
        <is>
          <t>Retirement</t>
        </is>
      </c>
      <c r="O2195" s="8" t="inlineStr">
        <is>
          <t>102500</t>
        </is>
      </c>
      <c r="P2195" s="5" t="inlineStr">
        <is>
          <t>20</t>
        </is>
      </c>
      <c r="Q2195" s="5" t="inlineStr">
        <is>
          <t>3</t>
        </is>
      </c>
      <c r="R2195" s="5" t="inlineStr">
        <is>
          <t>8</t>
        </is>
      </c>
      <c r="S2195" s="5" t="inlineStr">
        <is>
          <t>4</t>
        </is>
      </c>
      <c r="T2195" s="5" t="inlineStr">
        <is>
          <t>0</t>
        </is>
      </c>
      <c r="U2195" s="5" t="inlineStr">
        <is>
          <t>OK</t>
        </is>
      </c>
    </row>
    <row r="2196">
      <c r="A2196" s="5" t="inlineStr">
        <is>
          <t>E02241</t>
        </is>
      </c>
      <c r="B2196" s="5" t="inlineStr">
        <is>
          <t>Male</t>
        </is>
      </c>
      <c r="C2196" s="6" t="inlineStr">
        <is>
          <t>40</t>
        </is>
      </c>
      <c r="D2196" s="5" t="inlineStr">
        <is>
          <t>Single</t>
        </is>
      </c>
      <c r="E2196" s="5" t="inlineStr">
        <is>
          <t>High School</t>
        </is>
      </c>
      <c r="F2196" s="5" t="inlineStr">
        <is>
          <t>IT</t>
        </is>
      </c>
      <c r="G2196" s="5" t="inlineStr">
        <is>
          <t>DevOps Engineer</t>
        </is>
      </c>
      <c r="H2196" s="5" t="inlineStr">
        <is>
          <t>5</t>
        </is>
      </c>
      <c r="I2196" s="5" t="inlineStr">
        <is>
          <t>Mumbai</t>
        </is>
      </c>
      <c r="J2196" s="5" t="inlineStr">
        <is>
          <t>Full-Time</t>
        </is>
      </c>
      <c r="K2196" s="7" t="n">
        <v>44456</v>
      </c>
      <c r="L2196" s="7" t="inlineStr"/>
      <c r="M2196" s="5" t="inlineStr">
        <is>
          <t>Yes</t>
        </is>
      </c>
      <c r="N2196" s="5" t="inlineStr"/>
      <c r="O2196" s="8" t="inlineStr">
        <is>
          <t>140500</t>
        </is>
      </c>
      <c r="P2196" s="5" t="inlineStr">
        <is>
          <t>0</t>
        </is>
      </c>
      <c r="Q2196" s="5" t="inlineStr">
        <is>
          <t>5</t>
        </is>
      </c>
      <c r="R2196" s="5" t="inlineStr">
        <is>
          <t>6</t>
        </is>
      </c>
      <c r="S2196" s="5" t="inlineStr">
        <is>
          <t>52</t>
        </is>
      </c>
      <c r="T2196" s="5" t="inlineStr">
        <is>
          <t>4</t>
        </is>
      </c>
      <c r="U2196" s="5" t="inlineStr">
        <is>
          <t>OK</t>
        </is>
      </c>
    </row>
    <row r="2197">
      <c r="A2197" s="5" t="inlineStr">
        <is>
          <t>E01696</t>
        </is>
      </c>
      <c r="B2197" s="5" t="inlineStr">
        <is>
          <t>Female</t>
        </is>
      </c>
      <c r="C2197" s="6" t="inlineStr">
        <is>
          <t>32</t>
        </is>
      </c>
      <c r="D2197" s="5" t="inlineStr">
        <is>
          <t>Married</t>
        </is>
      </c>
      <c r="E2197" s="5" t="inlineStr">
        <is>
          <t>Master</t>
        </is>
      </c>
      <c r="F2197" s="5" t="inlineStr">
        <is>
          <t>Sales</t>
        </is>
      </c>
      <c r="G2197" s="5" t="inlineStr">
        <is>
          <t>Business Development</t>
        </is>
      </c>
      <c r="H2197" s="5" t="inlineStr">
        <is>
          <t>1</t>
        </is>
      </c>
      <c r="I2197" s="5" t="inlineStr">
        <is>
          <t>Remote</t>
        </is>
      </c>
      <c r="J2197" s="5" t="inlineStr">
        <is>
          <t>Contract</t>
        </is>
      </c>
      <c r="K2197" s="7" t="n">
        <v>45005</v>
      </c>
      <c r="L2197" s="7" t="inlineStr"/>
      <c r="M2197" s="5" t="inlineStr">
        <is>
          <t>Yes</t>
        </is>
      </c>
      <c r="N2197" s="5" t="inlineStr"/>
      <c r="O2197" s="8" t="inlineStr">
        <is>
          <t>97000</t>
        </is>
      </c>
      <c r="P2197" s="5" t="inlineStr">
        <is>
          <t>0</t>
        </is>
      </c>
      <c r="Q2197" s="5" t="inlineStr">
        <is>
          <t>4</t>
        </is>
      </c>
      <c r="R2197" s="5" t="inlineStr">
        <is>
          <t>5</t>
        </is>
      </c>
      <c r="S2197" s="5" t="inlineStr">
        <is>
          <t>33</t>
        </is>
      </c>
      <c r="T2197" s="5" t="inlineStr">
        <is>
          <t>0</t>
        </is>
      </c>
      <c r="U2197" s="5" t="inlineStr">
        <is>
          <t>OK</t>
        </is>
      </c>
    </row>
    <row r="2198">
      <c r="A2198" s="5" t="inlineStr">
        <is>
          <t>E01022</t>
        </is>
      </c>
      <c r="B2198" s="5" t="inlineStr">
        <is>
          <t>Male</t>
        </is>
      </c>
      <c r="C2198" s="6" t="inlineStr">
        <is>
          <t>34</t>
        </is>
      </c>
      <c r="D2198" s="5" t="inlineStr">
        <is>
          <t>Divorced</t>
        </is>
      </c>
      <c r="E2198" s="5" t="inlineStr">
        <is>
          <t>Bachelor</t>
        </is>
      </c>
      <c r="F2198" s="5" t="inlineStr">
        <is>
          <t>Research &amp; Development</t>
        </is>
      </c>
      <c r="G2198" s="5" t="inlineStr">
        <is>
          <t>Research Scientist</t>
        </is>
      </c>
      <c r="H2198" s="5" t="inlineStr">
        <is>
          <t>3</t>
        </is>
      </c>
      <c r="I2198" s="5" t="inlineStr">
        <is>
          <t>Delhi</t>
        </is>
      </c>
      <c r="J2198" s="5" t="inlineStr">
        <is>
          <t>Full-Time</t>
        </is>
      </c>
      <c r="K2198" s="7" t="n">
        <v>44505</v>
      </c>
      <c r="L2198" s="7" t="inlineStr"/>
      <c r="M2198" s="5" t="inlineStr">
        <is>
          <t>Yes</t>
        </is>
      </c>
      <c r="N2198" s="5" t="inlineStr"/>
      <c r="O2198" s="8" t="inlineStr">
        <is>
          <t>121500</t>
        </is>
      </c>
      <c r="P2198" s="5" t="inlineStr">
        <is>
          <t>0</t>
        </is>
      </c>
      <c r="Q2198" s="5" t="inlineStr">
        <is>
          <t>4</t>
        </is>
      </c>
      <c r="R2198" s="5" t="inlineStr">
        <is>
          <t>5</t>
        </is>
      </c>
      <c r="S2198" s="5" t="inlineStr">
        <is>
          <t>50</t>
        </is>
      </c>
      <c r="T2198" s="5" t="inlineStr">
        <is>
          <t>19</t>
        </is>
      </c>
      <c r="U2198" s="5" t="inlineStr">
        <is>
          <t>OK</t>
        </is>
      </c>
    </row>
    <row r="2199">
      <c r="A2199" s="5" t="inlineStr">
        <is>
          <t>E00085</t>
        </is>
      </c>
      <c r="B2199" s="5" t="inlineStr">
        <is>
          <t>male</t>
        </is>
      </c>
      <c r="C2199" s="6" t="inlineStr">
        <is>
          <t>36</t>
        </is>
      </c>
      <c r="D2199" s="5" t="inlineStr">
        <is>
          <t>Married</t>
        </is>
      </c>
      <c r="E2199" s="5" t="inlineStr">
        <is>
          <t>PhD</t>
        </is>
      </c>
      <c r="F2199" s="5" t="inlineStr">
        <is>
          <t>Customer Support</t>
        </is>
      </c>
      <c r="G2199" s="5" t="inlineStr">
        <is>
          <t>Support Agent</t>
        </is>
      </c>
      <c r="H2199" s="5" t="inlineStr">
        <is>
          <t>4</t>
        </is>
      </c>
      <c r="I2199" s="5" t="inlineStr">
        <is>
          <t>Remote</t>
        </is>
      </c>
      <c r="J2199" s="5" t="inlineStr">
        <is>
          <t>Full-Time</t>
        </is>
      </c>
      <c r="K2199" s="7" t="n">
        <v>44286</v>
      </c>
      <c r="L2199" s="7" t="inlineStr"/>
      <c r="M2199" s="5" t="inlineStr">
        <is>
          <t>Yes</t>
        </is>
      </c>
      <c r="N2199" s="5" t="inlineStr"/>
      <c r="O2199" s="8" t="inlineStr">
        <is>
          <t>68500</t>
        </is>
      </c>
      <c r="P2199" s="5" t="inlineStr">
        <is>
          <t>0</t>
        </is>
      </c>
      <c r="Q2199" s="5" t="inlineStr">
        <is>
          <t>4</t>
        </is>
      </c>
      <c r="R2199" s="5" t="inlineStr">
        <is>
          <t>7</t>
        </is>
      </c>
      <c r="S2199" s="5" t="inlineStr">
        <is>
          <t>57</t>
        </is>
      </c>
      <c r="T2199" s="5" t="inlineStr">
        <is>
          <t>0</t>
        </is>
      </c>
      <c r="U2199" s="5" t="inlineStr">
        <is>
          <t>OK</t>
        </is>
      </c>
    </row>
    <row r="2200">
      <c r="A2200" s="5" t="inlineStr">
        <is>
          <t>E00602</t>
        </is>
      </c>
      <c r="B2200" s="5" t="inlineStr">
        <is>
          <t>Male</t>
        </is>
      </c>
      <c r="C2200" s="6" t="inlineStr">
        <is>
          <t>30</t>
        </is>
      </c>
      <c r="D2200" s="5" t="inlineStr">
        <is>
          <t>Single</t>
        </is>
      </c>
      <c r="E2200" s="5" t="inlineStr">
        <is>
          <t>Bachelor</t>
        </is>
      </c>
      <c r="F2200" s="5" t="inlineStr">
        <is>
          <t>Human Resources</t>
        </is>
      </c>
      <c r="G2200" s="5" t="inlineStr">
        <is>
          <t>Recruiter</t>
        </is>
      </c>
      <c r="H2200" s="5" t="inlineStr">
        <is>
          <t>3</t>
        </is>
      </c>
      <c r="I2200" s="5" t="inlineStr">
        <is>
          <t>Remote</t>
        </is>
      </c>
      <c r="J2200" s="5" t="inlineStr">
        <is>
          <t>Full-Time</t>
        </is>
      </c>
      <c r="K2200" s="7" t="n">
        <v>45575</v>
      </c>
      <c r="L2200" s="7" t="inlineStr"/>
      <c r="M2200" s="5" t="inlineStr">
        <is>
          <t>Yes</t>
        </is>
      </c>
      <c r="N2200" s="5" t="inlineStr"/>
      <c r="O2200" s="8" t="inlineStr">
        <is>
          <t>101500</t>
        </is>
      </c>
      <c r="P2200" s="5" t="inlineStr">
        <is>
          <t>0</t>
        </is>
      </c>
      <c r="Q2200" s="5" t="inlineStr">
        <is>
          <t>4</t>
        </is>
      </c>
      <c r="R2200" s="5" t="inlineStr">
        <is>
          <t>7</t>
        </is>
      </c>
      <c r="S2200" s="5" t="inlineStr">
        <is>
          <t>14</t>
        </is>
      </c>
      <c r="T2200" s="5" t="inlineStr">
        <is>
          <t>10</t>
        </is>
      </c>
      <c r="U2200" s="5" t="inlineStr">
        <is>
          <t>OK</t>
        </is>
      </c>
    </row>
    <row r="2201">
      <c r="A2201" s="5" t="inlineStr">
        <is>
          <t>E01458</t>
        </is>
      </c>
      <c r="B2201" s="5" t="inlineStr">
        <is>
          <t>Female</t>
        </is>
      </c>
      <c r="C2201" s="6" t="inlineStr">
        <is>
          <t>37</t>
        </is>
      </c>
      <c r="D2201" s="5" t="inlineStr">
        <is>
          <t>Married</t>
        </is>
      </c>
      <c r="E2201" s="5" t="inlineStr">
        <is>
          <t>Bachelor</t>
        </is>
      </c>
      <c r="F2201" s="5" t="inlineStr">
        <is>
          <t>Marketing</t>
        </is>
      </c>
      <c r="G2201" s="5" t="inlineStr">
        <is>
          <t>SEO Specialist</t>
        </is>
      </c>
      <c r="H2201" s="5" t="inlineStr">
        <is>
          <t>6</t>
        </is>
      </c>
      <c r="I2201" s="5" t="inlineStr">
        <is>
          <t>Mumbai</t>
        </is>
      </c>
      <c r="J2201" s="5" t="inlineStr">
        <is>
          <t>Full-Time</t>
        </is>
      </c>
      <c r="K2201" s="7" t="n">
        <v>43920</v>
      </c>
      <c r="L2201" s="7" t="inlineStr"/>
      <c r="M2201" s="5" t="inlineStr">
        <is>
          <t>Yes</t>
        </is>
      </c>
      <c r="N2201" s="5" t="inlineStr"/>
      <c r="O2201" s="8" t="inlineStr">
        <is>
          <t>114000</t>
        </is>
      </c>
      <c r="P2201" s="5" t="inlineStr">
        <is>
          <t>10</t>
        </is>
      </c>
      <c r="Q2201" s="5" t="inlineStr">
        <is>
          <t>3</t>
        </is>
      </c>
      <c r="R2201" s="5" t="inlineStr">
        <is>
          <t>6</t>
        </is>
      </c>
      <c r="S2201" s="5" t="inlineStr">
        <is>
          <t>70</t>
        </is>
      </c>
      <c r="T2201" s="5" t="inlineStr">
        <is>
          <t>0</t>
        </is>
      </c>
      <c r="U2201" s="5" t="inlineStr">
        <is>
          <t>OK</t>
        </is>
      </c>
    </row>
    <row r="2202">
      <c r="A2202" s="5" t="inlineStr">
        <is>
          <t>E00042</t>
        </is>
      </c>
      <c r="B2202" s="5" t="inlineStr">
        <is>
          <t>Male</t>
        </is>
      </c>
      <c r="C2202" s="6" t="inlineStr">
        <is>
          <t>33</t>
        </is>
      </c>
      <c r="D2202" s="5" t="inlineStr">
        <is>
          <t>Married</t>
        </is>
      </c>
      <c r="E2202" s="5" t="inlineStr">
        <is>
          <t>Bachelor</t>
        </is>
      </c>
      <c r="F2202" s="5" t="inlineStr">
        <is>
          <t>Research &amp; Development</t>
        </is>
      </c>
      <c r="G2202" s="5" t="inlineStr">
        <is>
          <t>Product Engineer</t>
        </is>
      </c>
      <c r="H2202" s="5" t="inlineStr">
        <is>
          <t>3</t>
        </is>
      </c>
      <c r="I2202" s="5" t="inlineStr">
        <is>
          <t>Remote</t>
        </is>
      </c>
      <c r="J2202" s="5" t="inlineStr">
        <is>
          <t>Full-Time</t>
        </is>
      </c>
      <c r="K2202" s="7" t="n">
        <v>44885</v>
      </c>
      <c r="L2202" s="7" t="n">
        <v>44963</v>
      </c>
      <c r="M2202" s="5" t="inlineStr">
        <is>
          <t>No</t>
        </is>
      </c>
      <c r="N2202" s="5" t="inlineStr">
        <is>
          <t>Resigned</t>
        </is>
      </c>
      <c r="O2202" s="8" t="inlineStr">
        <is>
          <t>141000</t>
        </is>
      </c>
      <c r="P2202" s="5" t="inlineStr">
        <is>
          <t>5</t>
        </is>
      </c>
      <c r="Q2202" s="5" t="inlineStr">
        <is>
          <t>4</t>
        </is>
      </c>
      <c r="R2202" s="5" t="inlineStr">
        <is>
          <t>10</t>
        </is>
      </c>
      <c r="S2202" s="5" t="inlineStr">
        <is>
          <t>2</t>
        </is>
      </c>
      <c r="T2202" s="5" t="inlineStr">
        <is>
          <t>0</t>
        </is>
      </c>
      <c r="U2202" s="5" t="inlineStr">
        <is>
          <t>OK</t>
        </is>
      </c>
    </row>
    <row r="2203">
      <c r="A2203" s="5" t="inlineStr">
        <is>
          <t>E02102</t>
        </is>
      </c>
      <c r="B2203" s="5" t="inlineStr">
        <is>
          <t>Male</t>
        </is>
      </c>
      <c r="C2203" s="6" t="inlineStr">
        <is>
          <t>29</t>
        </is>
      </c>
      <c r="D2203" s="5" t="inlineStr">
        <is>
          <t>Married</t>
        </is>
      </c>
      <c r="E2203" s="5" t="inlineStr">
        <is>
          <t>PhD</t>
        </is>
      </c>
      <c r="F2203" s="5" t="inlineStr">
        <is>
          <t>Marketing</t>
        </is>
      </c>
      <c r="G2203" s="5" t="inlineStr">
        <is>
          <t>Content Writer</t>
        </is>
      </c>
      <c r="H2203" s="5" t="inlineStr">
        <is>
          <t>1</t>
        </is>
      </c>
      <c r="I2203" s="5" t="inlineStr">
        <is>
          <t>Bengaluru</t>
        </is>
      </c>
      <c r="J2203" s="5" t="inlineStr">
        <is>
          <t>Full-Time</t>
        </is>
      </c>
      <c r="K2203" s="7" t="n">
        <v>45684</v>
      </c>
      <c r="L2203" s="7" t="inlineStr"/>
      <c r="M2203" s="5" t="inlineStr">
        <is>
          <t>Yes</t>
        </is>
      </c>
      <c r="N2203" s="5" t="inlineStr"/>
      <c r="O2203" s="8" t="inlineStr">
        <is>
          <t>73000</t>
        </is>
      </c>
      <c r="P2203" s="5" t="inlineStr">
        <is>
          <t>15</t>
        </is>
      </c>
      <c r="Q2203" s="5" t="inlineStr">
        <is>
          <t>4</t>
        </is>
      </c>
      <c r="R2203" s="5" t="inlineStr">
        <is>
          <t>8</t>
        </is>
      </c>
      <c r="S2203" s="5" t="inlineStr">
        <is>
          <t>11</t>
        </is>
      </c>
      <c r="T2203" s="5" t="inlineStr">
        <is>
          <t>7</t>
        </is>
      </c>
      <c r="U2203" s="5" t="inlineStr">
        <is>
          <t>OK</t>
        </is>
      </c>
    </row>
    <row r="2204">
      <c r="A2204" s="5" t="inlineStr">
        <is>
          <t>E01028</t>
        </is>
      </c>
      <c r="B2204" s="5" t="inlineStr">
        <is>
          <t>Female</t>
        </is>
      </c>
      <c r="C2204" s="6" t="inlineStr">
        <is>
          <t>27</t>
        </is>
      </c>
      <c r="D2204" s="5" t="inlineStr">
        <is>
          <t>Single</t>
        </is>
      </c>
      <c r="E2204" s="5" t="inlineStr">
        <is>
          <t>Bachelor</t>
        </is>
      </c>
      <c r="F2204" s="5" t="inlineStr">
        <is>
          <t>Research &amp; Development</t>
        </is>
      </c>
      <c r="G2204" s="5" t="inlineStr">
        <is>
          <t>Data Scientist</t>
        </is>
      </c>
      <c r="H2204" s="5" t="inlineStr">
        <is>
          <t>2</t>
        </is>
      </c>
      <c r="I2204" s="5" t="inlineStr">
        <is>
          <t>Hyderabad</t>
        </is>
      </c>
      <c r="J2204" s="5" t="inlineStr">
        <is>
          <t>Full-Time</t>
        </is>
      </c>
      <c r="K2204" s="7" t="n">
        <v>43894</v>
      </c>
      <c r="L2204" s="7" t="inlineStr"/>
      <c r="M2204" s="5" t="inlineStr">
        <is>
          <t>Yes</t>
        </is>
      </c>
      <c r="N2204" s="5" t="inlineStr"/>
      <c r="O2204" s="8" t="inlineStr">
        <is>
          <t>155500</t>
        </is>
      </c>
      <c r="P2204" s="5" t="inlineStr">
        <is>
          <t>10</t>
        </is>
      </c>
      <c r="Q2204" s="5" t="inlineStr">
        <is>
          <t>4</t>
        </is>
      </c>
      <c r="R2204" s="5" t="inlineStr">
        <is>
          <t>6</t>
        </is>
      </c>
      <c r="S2204" s="5" t="inlineStr">
        <is>
          <t>70</t>
        </is>
      </c>
      <c r="T2204" s="5" t="inlineStr">
        <is>
          <t>7</t>
        </is>
      </c>
      <c r="U2204" s="5" t="inlineStr">
        <is>
          <t>OK</t>
        </is>
      </c>
    </row>
    <row r="2205">
      <c r="A2205" s="5" t="inlineStr">
        <is>
          <t>E00927</t>
        </is>
      </c>
      <c r="B2205" s="5" t="inlineStr">
        <is>
          <t>Female</t>
        </is>
      </c>
      <c r="C2205" s="6" t="inlineStr">
        <is>
          <t>33</t>
        </is>
      </c>
      <c r="D2205" s="5" t="inlineStr">
        <is>
          <t>Married</t>
        </is>
      </c>
      <c r="E2205" s="5" t="inlineStr">
        <is>
          <t>Master</t>
        </is>
      </c>
      <c r="F2205" s="5" t="inlineStr">
        <is>
          <t>IT</t>
        </is>
      </c>
      <c r="G2205" s="5" t="inlineStr">
        <is>
          <t>Data Analyst</t>
        </is>
      </c>
      <c r="H2205" s="5" t="inlineStr">
        <is>
          <t>1</t>
        </is>
      </c>
      <c r="I2205" s="5" t="inlineStr">
        <is>
          <t>Remote</t>
        </is>
      </c>
      <c r="J2205" s="5" t="inlineStr">
        <is>
          <t>Full-Time</t>
        </is>
      </c>
      <c r="K2205" s="7" t="n">
        <v>45185</v>
      </c>
      <c r="L2205" s="7" t="inlineStr"/>
      <c r="M2205" s="5" t="inlineStr">
        <is>
          <t>Yes</t>
        </is>
      </c>
      <c r="N2205" s="5" t="inlineStr"/>
      <c r="O2205" s="8" t="inlineStr">
        <is>
          <t>120500</t>
        </is>
      </c>
      <c r="P2205" s="5" t="inlineStr">
        <is>
          <t>5</t>
        </is>
      </c>
      <c r="Q2205" s="5" t="inlineStr">
        <is>
          <t>3</t>
        </is>
      </c>
      <c r="R2205" s="5" t="inlineStr">
        <is>
          <t>6</t>
        </is>
      </c>
      <c r="S2205" s="5" t="inlineStr">
        <is>
          <t>27</t>
        </is>
      </c>
      <c r="T2205" s="5" t="inlineStr">
        <is>
          <t>6</t>
        </is>
      </c>
      <c r="U2205" s="5" t="inlineStr">
        <is>
          <t>OK</t>
        </is>
      </c>
    </row>
    <row r="2206">
      <c r="A2206" s="5" t="inlineStr">
        <is>
          <t>E00310</t>
        </is>
      </c>
      <c r="B2206" s="5" t="inlineStr">
        <is>
          <t>Female</t>
        </is>
      </c>
      <c r="C2206" s="6" t="inlineStr">
        <is>
          <t>35</t>
        </is>
      </c>
      <c r="D2206" s="5" t="inlineStr">
        <is>
          <t>Single</t>
        </is>
      </c>
      <c r="E2206" s="5" t="inlineStr">
        <is>
          <t>PhD</t>
        </is>
      </c>
      <c r="F2206" s="5" t="inlineStr">
        <is>
          <t>Human Resources</t>
        </is>
      </c>
      <c r="G2206" s="5" t="inlineStr">
        <is>
          <t>Recruiter</t>
        </is>
      </c>
      <c r="H2206" s="5" t="inlineStr">
        <is>
          <t>5</t>
        </is>
      </c>
      <c r="I2206" s="5" t="inlineStr">
        <is>
          <t>Remote</t>
        </is>
      </c>
      <c r="J2206" s="5" t="inlineStr">
        <is>
          <t>Full-Time</t>
        </is>
      </c>
      <c r="K2206" s="7" t="n">
        <v>45342</v>
      </c>
      <c r="L2206" s="7" t="inlineStr"/>
      <c r="M2206" s="5" t="inlineStr">
        <is>
          <t>Yes</t>
        </is>
      </c>
      <c r="N2206" s="5" t="inlineStr"/>
      <c r="O2206" s="8" t="inlineStr">
        <is>
          <t>102000</t>
        </is>
      </c>
      <c r="P2206" s="5" t="inlineStr">
        <is>
          <t>5</t>
        </is>
      </c>
      <c r="Q2206" s="5" t="inlineStr">
        <is>
          <t>4</t>
        </is>
      </c>
      <c r="R2206" s="5" t="inlineStr">
        <is>
          <t>9</t>
        </is>
      </c>
      <c r="S2206" s="5" t="inlineStr">
        <is>
          <t>22</t>
        </is>
      </c>
      <c r="T2206" s="5" t="inlineStr">
        <is>
          <t>14</t>
        </is>
      </c>
      <c r="U2206" s="5" t="inlineStr">
        <is>
          <t>OK</t>
        </is>
      </c>
    </row>
    <row r="2207">
      <c r="A2207" s="5" t="inlineStr">
        <is>
          <t>E00487</t>
        </is>
      </c>
      <c r="B2207" s="5" t="inlineStr">
        <is>
          <t>female</t>
        </is>
      </c>
      <c r="C2207" s="6" t="inlineStr">
        <is>
          <t>28</t>
        </is>
      </c>
      <c r="D2207" s="5" t="inlineStr">
        <is>
          <t>Married</t>
        </is>
      </c>
      <c r="E2207" s="5" t="inlineStr">
        <is>
          <t>Bachelor</t>
        </is>
      </c>
      <c r="F2207" s="5" t="inlineStr">
        <is>
          <t>Finance</t>
        </is>
      </c>
      <c r="G2207" s="5" t="inlineStr">
        <is>
          <t>Financial Analyst</t>
        </is>
      </c>
      <c r="H2207" s="5" t="inlineStr">
        <is>
          <t>2</t>
        </is>
      </c>
      <c r="I2207" s="5" t="inlineStr">
        <is>
          <t>Hyderabad</t>
        </is>
      </c>
      <c r="J2207" s="5" t="inlineStr">
        <is>
          <t>Full-Time</t>
        </is>
      </c>
      <c r="K2207" s="7" t="n">
        <v>45413</v>
      </c>
      <c r="L2207" s="7" t="inlineStr"/>
      <c r="M2207" s="5" t="inlineStr">
        <is>
          <t>Yes</t>
        </is>
      </c>
      <c r="N2207" s="5" t="inlineStr"/>
      <c r="O2207" s="8" t="inlineStr">
        <is>
          <t>117500</t>
        </is>
      </c>
      <c r="P2207" s="5" t="inlineStr">
        <is>
          <t>0</t>
        </is>
      </c>
      <c r="Q2207" s="5" t="inlineStr">
        <is>
          <t>5</t>
        </is>
      </c>
      <c r="R2207" s="5" t="inlineStr">
        <is>
          <t>7</t>
        </is>
      </c>
      <c r="S2207" s="5" t="inlineStr">
        <is>
          <t>20</t>
        </is>
      </c>
      <c r="T2207" s="5" t="inlineStr">
        <is>
          <t>0</t>
        </is>
      </c>
      <c r="U2207" s="5" t="inlineStr">
        <is>
          <t>OK</t>
        </is>
      </c>
    </row>
    <row r="2208">
      <c r="A2208" s="5" t="inlineStr">
        <is>
          <t>E00551</t>
        </is>
      </c>
      <c r="B2208" s="5" t="inlineStr">
        <is>
          <t>Male</t>
        </is>
      </c>
      <c r="C2208" s="6" t="inlineStr">
        <is>
          <t>32</t>
        </is>
      </c>
      <c r="D2208" s="5" t="inlineStr">
        <is>
          <t>Married</t>
        </is>
      </c>
      <c r="E2208" s="5" t="inlineStr">
        <is>
          <t>Bachelor</t>
        </is>
      </c>
      <c r="F2208" s="5" t="inlineStr">
        <is>
          <t>Customer Support</t>
        </is>
      </c>
      <c r="G2208" s="5" t="inlineStr">
        <is>
          <t>Support Lead</t>
        </is>
      </c>
      <c r="H2208" s="5" t="inlineStr">
        <is>
          <t>3</t>
        </is>
      </c>
      <c r="I2208" s="5" t="inlineStr">
        <is>
          <t>Mumbai</t>
        </is>
      </c>
      <c r="J2208" s="5" t="inlineStr">
        <is>
          <t>Part-Time</t>
        </is>
      </c>
      <c r="K2208" s="7" t="n">
        <v>46017</v>
      </c>
      <c r="L2208" s="7" t="n">
        <v>46021</v>
      </c>
      <c r="M2208" s="5" t="inlineStr">
        <is>
          <t>No</t>
        </is>
      </c>
      <c r="N2208" s="5" t="inlineStr">
        <is>
          <t>Resigned</t>
        </is>
      </c>
      <c r="O2208" s="8" t="inlineStr">
        <is>
          <t>68500</t>
        </is>
      </c>
      <c r="P2208" s="5" t="inlineStr">
        <is>
          <t>0</t>
        </is>
      </c>
      <c r="Q2208" s="5" t="inlineStr">
        <is>
          <t>3</t>
        </is>
      </c>
      <c r="R2208" s="5" t="inlineStr">
        <is>
          <t>8</t>
        </is>
      </c>
      <c r="S2208" s="5" t="inlineStr">
        <is>
          <t>1</t>
        </is>
      </c>
      <c r="T2208" s="5" t="inlineStr">
        <is>
          <t>0</t>
        </is>
      </c>
      <c r="U2208" s="5" t="inlineStr">
        <is>
          <t>OK</t>
        </is>
      </c>
    </row>
    <row r="2209">
      <c r="A2209" s="5" t="inlineStr">
        <is>
          <t>E02915</t>
        </is>
      </c>
      <c r="B2209" s="5" t="inlineStr">
        <is>
          <t>Male</t>
        </is>
      </c>
      <c r="C2209" s="6" t="inlineStr">
        <is>
          <t>29</t>
        </is>
      </c>
      <c r="D2209" s="5" t="inlineStr">
        <is>
          <t>Divorced</t>
        </is>
      </c>
      <c r="E2209" s="5" t="inlineStr">
        <is>
          <t>Diploma</t>
        </is>
      </c>
      <c r="F2209" s="5" t="inlineStr">
        <is>
          <t>Customer Support</t>
        </is>
      </c>
      <c r="G2209" s="5" t="inlineStr">
        <is>
          <t>Support Lead</t>
        </is>
      </c>
      <c r="H2209" s="5" t="inlineStr">
        <is>
          <t>3</t>
        </is>
      </c>
      <c r="I2209" s="5" t="inlineStr">
        <is>
          <t>Remote</t>
        </is>
      </c>
      <c r="J2209" s="5" t="inlineStr">
        <is>
          <t>Full-Time</t>
        </is>
      </c>
      <c r="K2209" s="7" t="n">
        <v>45183</v>
      </c>
      <c r="L2209" s="7" t="inlineStr"/>
      <c r="M2209" s="5" t="inlineStr">
        <is>
          <t>Yes</t>
        </is>
      </c>
      <c r="N2209" s="5" t="inlineStr"/>
      <c r="O2209" s="8" t="inlineStr">
        <is>
          <t>55500</t>
        </is>
      </c>
      <c r="P2209" s="5" t="inlineStr">
        <is>
          <t>0</t>
        </is>
      </c>
      <c r="Q2209" s="5" t="inlineStr">
        <is>
          <t>3</t>
        </is>
      </c>
      <c r="R2209" s="5" t="inlineStr">
        <is>
          <t>6</t>
        </is>
      </c>
      <c r="S2209" s="5" t="inlineStr">
        <is>
          <t>27</t>
        </is>
      </c>
      <c r="T2209" s="5" t="inlineStr">
        <is>
          <t>9</t>
        </is>
      </c>
      <c r="U2209" s="5" t="inlineStr">
        <is>
          <t>OK</t>
        </is>
      </c>
    </row>
    <row r="2210">
      <c r="A2210" s="5" t="inlineStr">
        <is>
          <t>E02801</t>
        </is>
      </c>
      <c r="B2210" s="5" t="inlineStr">
        <is>
          <t>male</t>
        </is>
      </c>
      <c r="C2210" s="6" t="inlineStr">
        <is>
          <t>32</t>
        </is>
      </c>
      <c r="D2210" s="5" t="inlineStr">
        <is>
          <t>Married</t>
        </is>
      </c>
      <c r="E2210" s="5" t="inlineStr">
        <is>
          <t>PhD</t>
        </is>
      </c>
      <c r="F2210" s="5" t="inlineStr">
        <is>
          <t>Human Resources</t>
        </is>
      </c>
      <c r="G2210" s="5" t="inlineStr">
        <is>
          <t>HR Analyst</t>
        </is>
      </c>
      <c r="H2210" s="5" t="inlineStr">
        <is>
          <t>4</t>
        </is>
      </c>
      <c r="I2210" s="5" t="inlineStr">
        <is>
          <t>Mumbai</t>
        </is>
      </c>
      <c r="J2210" s="5" t="inlineStr">
        <is>
          <t>Full-Time</t>
        </is>
      </c>
      <c r="K2210" s="7" t="n">
        <v>44209</v>
      </c>
      <c r="L2210" s="7" t="n">
        <v>44317</v>
      </c>
      <c r="M2210" s="5" t="inlineStr">
        <is>
          <t>No</t>
        </is>
      </c>
      <c r="N2210" s="5" t="inlineStr">
        <is>
          <t>Resigned</t>
        </is>
      </c>
      <c r="O2210" s="8" t="inlineStr">
        <is>
          <t>115500</t>
        </is>
      </c>
      <c r="P2210" s="5" t="inlineStr">
        <is>
          <t>10</t>
        </is>
      </c>
      <c r="Q2210" s="5" t="inlineStr">
        <is>
          <t>5</t>
        </is>
      </c>
      <c r="R2210" s="5" t="inlineStr">
        <is>
          <t>8</t>
        </is>
      </c>
      <c r="S2210" s="5" t="inlineStr">
        <is>
          <t>3</t>
        </is>
      </c>
      <c r="T2210" s="5" t="inlineStr">
        <is>
          <t>0</t>
        </is>
      </c>
      <c r="U2210" s="5" t="inlineStr">
        <is>
          <t>OK</t>
        </is>
      </c>
    </row>
    <row r="2211">
      <c r="A2211" s="5" t="inlineStr">
        <is>
          <t>E01172</t>
        </is>
      </c>
      <c r="B2211" s="5" t="inlineStr">
        <is>
          <t>Female</t>
        </is>
      </c>
      <c r="C2211" s="6" t="inlineStr">
        <is>
          <t>27</t>
        </is>
      </c>
      <c r="D2211" s="5" t="inlineStr">
        <is>
          <t>Married</t>
        </is>
      </c>
      <c r="E2211" s="5" t="inlineStr">
        <is>
          <t>Bachelor</t>
        </is>
      </c>
      <c r="F2211" s="5" t="inlineStr">
        <is>
          <t>Finance</t>
        </is>
      </c>
      <c r="G2211" s="5" t="inlineStr">
        <is>
          <t>Credit Analyst</t>
        </is>
      </c>
      <c r="H2211" s="5" t="inlineStr">
        <is>
          <t>3</t>
        </is>
      </c>
      <c r="I2211" s="5" t="inlineStr">
        <is>
          <t>Delhi</t>
        </is>
      </c>
      <c r="J2211" s="5" t="inlineStr">
        <is>
          <t>Full-Time</t>
        </is>
      </c>
      <c r="K2211" s="7" t="n">
        <v>44911</v>
      </c>
      <c r="L2211" s="7" t="inlineStr"/>
      <c r="M2211" s="5" t="inlineStr">
        <is>
          <t>Yes</t>
        </is>
      </c>
      <c r="N2211" s="5" t="inlineStr"/>
      <c r="O2211" s="8" t="inlineStr">
        <is>
          <t>124000</t>
        </is>
      </c>
      <c r="P2211" s="5" t="inlineStr">
        <is>
          <t>5</t>
        </is>
      </c>
      <c r="Q2211" s="5" t="inlineStr">
        <is>
          <t>3</t>
        </is>
      </c>
      <c r="R2211" s="5" t="inlineStr">
        <is>
          <t>3</t>
        </is>
      </c>
      <c r="S2211" s="5" t="inlineStr">
        <is>
          <t>37</t>
        </is>
      </c>
      <c r="T2211" s="5" t="inlineStr">
        <is>
          <t>11</t>
        </is>
      </c>
      <c r="U2211" s="5" t="inlineStr">
        <is>
          <t>OK</t>
        </is>
      </c>
    </row>
    <row r="2212">
      <c r="A2212" s="5" t="inlineStr">
        <is>
          <t>E02647</t>
        </is>
      </c>
      <c r="B2212" s="5" t="inlineStr">
        <is>
          <t>Male</t>
        </is>
      </c>
      <c r="C2212" s="6" t="inlineStr">
        <is>
          <t>31</t>
        </is>
      </c>
      <c r="D2212" s="5" t="inlineStr">
        <is>
          <t>Married</t>
        </is>
      </c>
      <c r="E2212" s="5" t="inlineStr">
        <is>
          <t>PhD</t>
        </is>
      </c>
      <c r="F2212" s="5" t="inlineStr">
        <is>
          <t>Customer Support</t>
        </is>
      </c>
      <c r="G2212" s="5" t="inlineStr">
        <is>
          <t>Support Lead</t>
        </is>
      </c>
      <c r="H2212" s="5" t="inlineStr">
        <is>
          <t>4</t>
        </is>
      </c>
      <c r="I2212" s="5" t="inlineStr">
        <is>
          <t>Mumbai</t>
        </is>
      </c>
      <c r="J2212" s="5" t="inlineStr">
        <is>
          <t>Full-Time</t>
        </is>
      </c>
      <c r="K2212" s="7" t="n">
        <v>45602</v>
      </c>
      <c r="L2212" s="7" t="inlineStr"/>
      <c r="M2212" s="5" t="inlineStr">
        <is>
          <t>Yes</t>
        </is>
      </c>
      <c r="N2212" s="5" t="inlineStr"/>
      <c r="O2212" s="8" t="inlineStr">
        <is>
          <t>59500</t>
        </is>
      </c>
      <c r="P2212" s="5" t="inlineStr">
        <is>
          <t>15</t>
        </is>
      </c>
      <c r="Q2212" s="5" t="inlineStr">
        <is>
          <t>4</t>
        </is>
      </c>
      <c r="R2212" s="5" t="inlineStr">
        <is>
          <t>8</t>
        </is>
      </c>
      <c r="S2212" s="5" t="inlineStr">
        <is>
          <t>14</t>
        </is>
      </c>
      <c r="T2212" s="5" t="inlineStr">
        <is>
          <t>8</t>
        </is>
      </c>
      <c r="U2212" s="5" t="inlineStr">
        <is>
          <t>OK</t>
        </is>
      </c>
    </row>
    <row r="2213">
      <c r="A2213" s="5" t="inlineStr">
        <is>
          <t>E02954</t>
        </is>
      </c>
      <c r="B2213" s="5" t="inlineStr">
        <is>
          <t>Female</t>
        </is>
      </c>
      <c r="C2213" s="6" t="inlineStr">
        <is>
          <t>39</t>
        </is>
      </c>
      <c r="D2213" s="5" t="inlineStr">
        <is>
          <t>Married</t>
        </is>
      </c>
      <c r="E2213" s="5" t="inlineStr">
        <is>
          <t>Diploma</t>
        </is>
      </c>
      <c r="F2213" s="5" t="inlineStr">
        <is>
          <t>Customer Support</t>
        </is>
      </c>
      <c r="G2213" s="5" t="inlineStr">
        <is>
          <t>Support Lead</t>
        </is>
      </c>
      <c r="H2213" s="5" t="inlineStr">
        <is>
          <t>4</t>
        </is>
      </c>
      <c r="I2213" s="5" t="inlineStr">
        <is>
          <t>Chennai</t>
        </is>
      </c>
      <c r="J2213" s="5" t="inlineStr">
        <is>
          <t>Full-Time</t>
        </is>
      </c>
      <c r="K2213" s="7" t="n">
        <v>44862</v>
      </c>
      <c r="L2213" s="7" t="inlineStr"/>
      <c r="M2213" s="5" t="inlineStr">
        <is>
          <t>Yes</t>
        </is>
      </c>
      <c r="N2213" s="5" t="inlineStr"/>
      <c r="O2213" s="8" t="inlineStr">
        <is>
          <t>86000</t>
        </is>
      </c>
      <c r="P2213" s="5" t="inlineStr">
        <is>
          <t>0</t>
        </is>
      </c>
      <c r="Q2213" s="5" t="inlineStr">
        <is>
          <t>2</t>
        </is>
      </c>
      <c r="R2213" s="5" t="inlineStr">
        <is>
          <t>2</t>
        </is>
      </c>
      <c r="S2213" s="5" t="inlineStr">
        <is>
          <t>38</t>
        </is>
      </c>
      <c r="T2213" s="5" t="inlineStr">
        <is>
          <t>2</t>
        </is>
      </c>
      <c r="U2213" s="5" t="inlineStr">
        <is>
          <t>OK</t>
        </is>
      </c>
    </row>
    <row r="2214">
      <c r="A2214" s="5" t="inlineStr">
        <is>
          <t>E02276</t>
        </is>
      </c>
      <c r="B2214" s="5" t="inlineStr">
        <is>
          <t>Female</t>
        </is>
      </c>
      <c r="C2214" s="6" t="inlineStr">
        <is>
          <t>34</t>
        </is>
      </c>
      <c r="D2214" s="5" t="inlineStr">
        <is>
          <t>Married</t>
        </is>
      </c>
      <c r="E2214" s="5" t="inlineStr">
        <is>
          <t>Master</t>
        </is>
      </c>
      <c r="F2214" s="5" t="inlineStr">
        <is>
          <t>Operations</t>
        </is>
      </c>
      <c r="G2214" s="5" t="inlineStr">
        <is>
          <t>Logistics Coordinator</t>
        </is>
      </c>
      <c r="H2214" s="5" t="inlineStr">
        <is>
          <t>2</t>
        </is>
      </c>
      <c r="I2214" s="5" t="inlineStr">
        <is>
          <t>Bengaluru</t>
        </is>
      </c>
      <c r="J2214" s="5" t="inlineStr">
        <is>
          <t>Full-Time</t>
        </is>
      </c>
      <c r="K2214" s="7" t="n">
        <v>44442</v>
      </c>
      <c r="L2214" s="7" t="inlineStr"/>
      <c r="M2214" s="5" t="inlineStr">
        <is>
          <t>Yes</t>
        </is>
      </c>
      <c r="N2214" s="5" t="inlineStr"/>
      <c r="O2214" s="8" t="inlineStr">
        <is>
          <t>90000</t>
        </is>
      </c>
      <c r="P2214" s="5" t="inlineStr">
        <is>
          <t>5</t>
        </is>
      </c>
      <c r="Q2214" s="5" t="inlineStr">
        <is>
          <t>4</t>
        </is>
      </c>
      <c r="R2214" s="5" t="inlineStr">
        <is>
          <t>5</t>
        </is>
      </c>
      <c r="S2214" s="5" t="inlineStr">
        <is>
          <t>52</t>
        </is>
      </c>
      <c r="T2214" s="5" t="inlineStr">
        <is>
          <t>7</t>
        </is>
      </c>
      <c r="U2214" s="5" t="inlineStr">
        <is>
          <t>OK</t>
        </is>
      </c>
    </row>
    <row r="2215">
      <c r="A2215" s="5" t="inlineStr">
        <is>
          <t>E00847</t>
        </is>
      </c>
      <c r="B2215" s="5" t="inlineStr">
        <is>
          <t>Male</t>
        </is>
      </c>
      <c r="C2215" s="6" t="inlineStr">
        <is>
          <t>33</t>
        </is>
      </c>
      <c r="D2215" s="5" t="inlineStr">
        <is>
          <t>Single</t>
        </is>
      </c>
      <c r="E2215" s="5" t="inlineStr">
        <is>
          <t>PhD</t>
        </is>
      </c>
      <c r="F2215" s="5" t="inlineStr">
        <is>
          <t>Marketing</t>
        </is>
      </c>
      <c r="G2215" s="5" t="inlineStr">
        <is>
          <t>Marketing Analyst</t>
        </is>
      </c>
      <c r="H2215" s="5" t="inlineStr">
        <is>
          <t>1</t>
        </is>
      </c>
      <c r="I2215" s="5" t="inlineStr">
        <is>
          <t>Hyderabad</t>
        </is>
      </c>
      <c r="J2215" s="5" t="inlineStr">
        <is>
          <t>Full-Time</t>
        </is>
      </c>
      <c r="K2215" s="7" t="n">
        <v>44762</v>
      </c>
      <c r="L2215" s="7" t="inlineStr"/>
      <c r="M2215" s="5" t="inlineStr">
        <is>
          <t>Yes</t>
        </is>
      </c>
      <c r="N2215" s="5" t="inlineStr"/>
      <c r="O2215" s="8" t="inlineStr">
        <is>
          <t>78000</t>
        </is>
      </c>
      <c r="P2215" s="5" t="inlineStr">
        <is>
          <t>0</t>
        </is>
      </c>
      <c r="Q2215" s="5" t="inlineStr">
        <is>
          <t>3</t>
        </is>
      </c>
      <c r="R2215" s="5" t="inlineStr">
        <is>
          <t>6</t>
        </is>
      </c>
      <c r="S2215" s="5" t="inlineStr">
        <is>
          <t>42</t>
        </is>
      </c>
      <c r="T2215" s="5" t="inlineStr">
        <is>
          <t>5</t>
        </is>
      </c>
      <c r="U2215" s="5" t="inlineStr">
        <is>
          <t>OK</t>
        </is>
      </c>
    </row>
    <row r="2216">
      <c r="A2216" s="5" t="inlineStr">
        <is>
          <t>E01372</t>
        </is>
      </c>
      <c r="B2216" s="5" t="inlineStr">
        <is>
          <t>Female</t>
        </is>
      </c>
      <c r="C2216" s="6" t="inlineStr">
        <is>
          <t>32</t>
        </is>
      </c>
      <c r="D2216" s="5" t="inlineStr">
        <is>
          <t>Married</t>
        </is>
      </c>
      <c r="E2216" s="5" t="inlineStr">
        <is>
          <t>High School</t>
        </is>
      </c>
      <c r="F2216" s="5" t="inlineStr">
        <is>
          <t>Research &amp; Development</t>
        </is>
      </c>
      <c r="G2216" s="5" t="inlineStr">
        <is>
          <t>Research Scientist</t>
        </is>
      </c>
      <c r="H2216" s="5" t="inlineStr">
        <is>
          <t>4</t>
        </is>
      </c>
      <c r="I2216" s="5" t="inlineStr">
        <is>
          <t>Bengaluru</t>
        </is>
      </c>
      <c r="J2216" s="5" t="inlineStr">
        <is>
          <t>Full-Time</t>
        </is>
      </c>
      <c r="K2216" s="7" t="n">
        <v>44209</v>
      </c>
      <c r="L2216" s="7" t="inlineStr"/>
      <c r="M2216" s="5" t="inlineStr">
        <is>
          <t>Yes</t>
        </is>
      </c>
      <c r="N2216" s="5" t="inlineStr"/>
      <c r="O2216" s="8" t="inlineStr">
        <is>
          <t>189000</t>
        </is>
      </c>
      <c r="P2216" s="5" t="inlineStr">
        <is>
          <t>0</t>
        </is>
      </c>
      <c r="Q2216" s="5" t="inlineStr">
        <is>
          <t>2</t>
        </is>
      </c>
      <c r="R2216" s="5" t="inlineStr">
        <is>
          <t>6</t>
        </is>
      </c>
      <c r="S2216" s="5" t="inlineStr">
        <is>
          <t>60</t>
        </is>
      </c>
      <c r="T2216" s="5" t="inlineStr">
        <is>
          <t>7</t>
        </is>
      </c>
      <c r="U2216" s="5" t="inlineStr">
        <is>
          <t>OK</t>
        </is>
      </c>
    </row>
    <row r="2217">
      <c r="A2217" s="5" t="inlineStr">
        <is>
          <t>E02573</t>
        </is>
      </c>
      <c r="B2217" s="5" t="inlineStr">
        <is>
          <t>Male</t>
        </is>
      </c>
      <c r="C2217" s="6" t="inlineStr">
        <is>
          <t>25</t>
        </is>
      </c>
      <c r="D2217" s="5" t="inlineStr">
        <is>
          <t>Single</t>
        </is>
      </c>
      <c r="E2217" s="5" t="inlineStr">
        <is>
          <t>PhD</t>
        </is>
      </c>
      <c r="F2217" s="5" t="inlineStr">
        <is>
          <t>Sales</t>
        </is>
      </c>
      <c r="G2217" s="5" t="inlineStr">
        <is>
          <t>Account Executive</t>
        </is>
      </c>
      <c r="H2217" s="5" t="inlineStr">
        <is>
          <t>1</t>
        </is>
      </c>
      <c r="I2217" s="5" t="inlineStr">
        <is>
          <t>Bengaluru</t>
        </is>
      </c>
      <c r="J2217" s="5" t="inlineStr">
        <is>
          <t>Full-Time</t>
        </is>
      </c>
      <c r="K2217" s="7" t="n">
        <v>44459</v>
      </c>
      <c r="L2217" s="7" t="inlineStr"/>
      <c r="M2217" s="5" t="inlineStr">
        <is>
          <t>Yes</t>
        </is>
      </c>
      <c r="N2217" s="5" t="inlineStr"/>
      <c r="O2217" s="8" t="inlineStr">
        <is>
          <t>93000</t>
        </is>
      </c>
      <c r="P2217" s="5" t="inlineStr">
        <is>
          <t>0</t>
        </is>
      </c>
      <c r="Q2217" s="5" t="inlineStr">
        <is>
          <t>4</t>
        </is>
      </c>
      <c r="R2217" s="5" t="inlineStr">
        <is>
          <t>6</t>
        </is>
      </c>
      <c r="S2217" s="5" t="inlineStr">
        <is>
          <t>52</t>
        </is>
      </c>
      <c r="T2217" s="5" t="inlineStr">
        <is>
          <t>2</t>
        </is>
      </c>
      <c r="U2217" s="5" t="inlineStr">
        <is>
          <t>OK</t>
        </is>
      </c>
    </row>
    <row r="2218">
      <c r="A2218" s="5" t="inlineStr">
        <is>
          <t>E02652</t>
        </is>
      </c>
      <c r="B2218" s="5" t="inlineStr">
        <is>
          <t>Male</t>
        </is>
      </c>
      <c r="C2218" s="6" t="inlineStr">
        <is>
          <t>36</t>
        </is>
      </c>
      <c r="D2218" s="5" t="inlineStr">
        <is>
          <t>Single</t>
        </is>
      </c>
      <c r="E2218" s="5" t="inlineStr">
        <is>
          <t>High School</t>
        </is>
      </c>
      <c r="F2218" s="5" t="inlineStr">
        <is>
          <t>Customer Support</t>
        </is>
      </c>
      <c r="G2218" s="5" t="inlineStr">
        <is>
          <t>Support Agent</t>
        </is>
      </c>
      <c r="H2218" s="5" t="inlineStr">
        <is>
          <t>3</t>
        </is>
      </c>
      <c r="I2218" s="5" t="inlineStr">
        <is>
          <t>Bengaluru</t>
        </is>
      </c>
      <c r="J2218" s="5" t="inlineStr">
        <is>
          <t>Full-Time</t>
        </is>
      </c>
      <c r="K2218" s="7" t="n">
        <v>44782</v>
      </c>
      <c r="L2218" s="7" t="n">
        <v>44920</v>
      </c>
      <c r="M2218" s="5" t="inlineStr">
        <is>
          <t>No</t>
        </is>
      </c>
      <c r="N2218" s="5" t="inlineStr">
        <is>
          <t>Retirement</t>
        </is>
      </c>
      <c r="O2218" s="8" t="inlineStr">
        <is>
          <t>71000</t>
        </is>
      </c>
      <c r="P2218" s="5" t="inlineStr">
        <is>
          <t>5</t>
        </is>
      </c>
      <c r="Q2218" s="5" t="inlineStr">
        <is>
          <t>5</t>
        </is>
      </c>
      <c r="R2218" s="5" t="inlineStr">
        <is>
          <t>10</t>
        </is>
      </c>
      <c r="S2218" s="5" t="inlineStr">
        <is>
          <t>4</t>
        </is>
      </c>
      <c r="T2218" s="5" t="inlineStr">
        <is>
          <t>0</t>
        </is>
      </c>
      <c r="U2218" s="5" t="inlineStr">
        <is>
          <t>OK</t>
        </is>
      </c>
    </row>
    <row r="2219">
      <c r="A2219" s="5" t="inlineStr">
        <is>
          <t>E00108</t>
        </is>
      </c>
      <c r="B2219" s="5" t="inlineStr">
        <is>
          <t>Female</t>
        </is>
      </c>
      <c r="C2219" s="6" t="inlineStr">
        <is>
          <t>25</t>
        </is>
      </c>
      <c r="D2219" s="5" t="inlineStr">
        <is>
          <t>Single</t>
        </is>
      </c>
      <c r="E2219" s="5" t="inlineStr">
        <is>
          <t>High School</t>
        </is>
      </c>
      <c r="F2219" s="5" t="inlineStr">
        <is>
          <t>Finance</t>
        </is>
      </c>
      <c r="G2219" s="5" t="inlineStr">
        <is>
          <t>Accountant</t>
        </is>
      </c>
      <c r="H2219" s="5" t="inlineStr">
        <is>
          <t>1</t>
        </is>
      </c>
      <c r="I2219" s="5" t="inlineStr">
        <is>
          <t>Remote</t>
        </is>
      </c>
      <c r="J2219" s="5" t="inlineStr">
        <is>
          <t>Full-Time</t>
        </is>
      </c>
      <c r="K2219" s="7" t="n">
        <v>44464</v>
      </c>
      <c r="L2219" s="7" t="n">
        <v>44523</v>
      </c>
      <c r="M2219" s="5" t="inlineStr">
        <is>
          <t>No</t>
        </is>
      </c>
      <c r="N2219" s="5" t="inlineStr">
        <is>
          <t>Relocation</t>
        </is>
      </c>
      <c r="O2219" s="8" t="inlineStr">
        <is>
          <t>109000</t>
        </is>
      </c>
      <c r="P2219" s="5" t="inlineStr">
        <is>
          <t>10</t>
        </is>
      </c>
      <c r="Q2219" s="5" t="inlineStr">
        <is>
          <t>4</t>
        </is>
      </c>
      <c r="R2219" s="5" t="inlineStr">
        <is>
          <t>9</t>
        </is>
      </c>
      <c r="S2219" s="5" t="inlineStr">
        <is>
          <t>1</t>
        </is>
      </c>
      <c r="T2219" s="5" t="inlineStr">
        <is>
          <t>2</t>
        </is>
      </c>
      <c r="U2219" s="5" t="inlineStr">
        <is>
          <t>OK</t>
        </is>
      </c>
    </row>
    <row r="2220">
      <c r="A2220" s="5" t="inlineStr">
        <is>
          <t>E01281</t>
        </is>
      </c>
      <c r="B2220" s="5" t="inlineStr">
        <is>
          <t>Male</t>
        </is>
      </c>
      <c r="C2220" s="6" t="inlineStr">
        <is>
          <t>27</t>
        </is>
      </c>
      <c r="D2220" s="5" t="inlineStr">
        <is>
          <t>Married</t>
        </is>
      </c>
      <c r="E2220" s="5" t="inlineStr">
        <is>
          <t>Bachelor</t>
        </is>
      </c>
      <c r="F2220" s="5" t="inlineStr">
        <is>
          <t>Customer Support</t>
        </is>
      </c>
      <c r="G2220" s="5" t="inlineStr">
        <is>
          <t>Support Agent</t>
        </is>
      </c>
      <c r="H2220" s="5" t="inlineStr">
        <is>
          <t>3</t>
        </is>
      </c>
      <c r="I2220" s="5" t="inlineStr">
        <is>
          <t>Delhi</t>
        </is>
      </c>
      <c r="J2220" s="5" t="inlineStr">
        <is>
          <t>Full-Time</t>
        </is>
      </c>
      <c r="K2220" s="7" t="n">
        <v>44594</v>
      </c>
      <c r="L2220" s="7" t="inlineStr"/>
      <c r="M2220" s="5" t="inlineStr">
        <is>
          <t>Yes</t>
        </is>
      </c>
      <c r="N2220" s="5" t="inlineStr"/>
      <c r="O2220" s="8" t="inlineStr">
        <is>
          <t>57500</t>
        </is>
      </c>
      <c r="P2220" s="5" t="inlineStr">
        <is>
          <t>0</t>
        </is>
      </c>
      <c r="Q2220" s="5" t="inlineStr">
        <is>
          <t>5</t>
        </is>
      </c>
      <c r="R2220" s="5" t="inlineStr">
        <is>
          <t>6</t>
        </is>
      </c>
      <c r="S2220" s="5" t="inlineStr">
        <is>
          <t>47</t>
        </is>
      </c>
      <c r="T2220" s="5" t="inlineStr">
        <is>
          <t>1</t>
        </is>
      </c>
      <c r="U2220" s="5" t="inlineStr">
        <is>
          <t>OK</t>
        </is>
      </c>
    </row>
    <row r="2221">
      <c r="A2221" s="5" t="inlineStr">
        <is>
          <t>E01410</t>
        </is>
      </c>
      <c r="B2221" s="5" t="inlineStr">
        <is>
          <t>Female</t>
        </is>
      </c>
      <c r="C2221" s="6" t="inlineStr">
        <is>
          <t>25</t>
        </is>
      </c>
      <c r="D2221" s="5" t="inlineStr">
        <is>
          <t>Married</t>
        </is>
      </c>
      <c r="E2221" s="5" t="inlineStr">
        <is>
          <t>Diploma</t>
        </is>
      </c>
      <c r="F2221" s="5" t="inlineStr">
        <is>
          <t>Research &amp; Development</t>
        </is>
      </c>
      <c r="G2221" s="5" t="inlineStr">
        <is>
          <t>Data Scientist</t>
        </is>
      </c>
      <c r="H2221" s="5" t="inlineStr">
        <is>
          <t>2</t>
        </is>
      </c>
      <c r="I2221" s="5" t="inlineStr">
        <is>
          <t>Remote</t>
        </is>
      </c>
      <c r="J2221" s="5" t="inlineStr">
        <is>
          <t>Full-Time</t>
        </is>
      </c>
      <c r="K2221" s="7" t="n">
        <v>45437</v>
      </c>
      <c r="L2221" s="7" t="inlineStr"/>
      <c r="M2221" s="5" t="inlineStr">
        <is>
          <t>Yes</t>
        </is>
      </c>
      <c r="N2221" s="5" t="inlineStr"/>
      <c r="O2221" s="8" t="inlineStr">
        <is>
          <t>175000</t>
        </is>
      </c>
      <c r="P2221" s="5" t="inlineStr">
        <is>
          <t>5</t>
        </is>
      </c>
      <c r="Q2221" s="5" t="inlineStr">
        <is>
          <t>2</t>
        </is>
      </c>
      <c r="R2221" s="5" t="inlineStr">
        <is>
          <t>7</t>
        </is>
      </c>
      <c r="S2221" s="5" t="inlineStr">
        <is>
          <t>19</t>
        </is>
      </c>
      <c r="T2221" s="5" t="inlineStr">
        <is>
          <t>2</t>
        </is>
      </c>
      <c r="U2221" s="5" t="inlineStr">
        <is>
          <t>OK</t>
        </is>
      </c>
    </row>
    <row r="2222">
      <c r="A2222" s="5" t="inlineStr">
        <is>
          <t>E00856</t>
        </is>
      </c>
      <c r="B2222" s="5" t="inlineStr">
        <is>
          <t>Female</t>
        </is>
      </c>
      <c r="C2222" s="6" t="inlineStr">
        <is>
          <t>36</t>
        </is>
      </c>
      <c r="D2222" s="5" t="inlineStr">
        <is>
          <t>Single</t>
        </is>
      </c>
      <c r="E2222" s="5" t="inlineStr">
        <is>
          <t>Diploma</t>
        </is>
      </c>
      <c r="F2222" s="5" t="inlineStr">
        <is>
          <t>Sales</t>
        </is>
      </c>
      <c r="G2222" s="5" t="inlineStr">
        <is>
          <t>Sales Executive</t>
        </is>
      </c>
      <c r="H2222" s="5" t="inlineStr">
        <is>
          <t>2</t>
        </is>
      </c>
      <c r="I2222" s="5" t="inlineStr">
        <is>
          <t>Hyderabad</t>
        </is>
      </c>
      <c r="J2222" s="5" t="inlineStr">
        <is>
          <t>Full-Time</t>
        </is>
      </c>
      <c r="K2222" s="7" t="n">
        <v>44794</v>
      </c>
      <c r="L2222" s="7" t="n">
        <v>44833</v>
      </c>
      <c r="M2222" s="5" t="inlineStr">
        <is>
          <t>No</t>
        </is>
      </c>
      <c r="N2222" s="5" t="inlineStr">
        <is>
          <t>Resigned</t>
        </is>
      </c>
      <c r="O2222" s="8" t="inlineStr">
        <is>
          <t>74000</t>
        </is>
      </c>
      <c r="P2222" s="5" t="inlineStr">
        <is>
          <t>10</t>
        </is>
      </c>
      <c r="Q2222" s="5" t="inlineStr">
        <is>
          <t>4</t>
        </is>
      </c>
      <c r="R2222" s="5" t="inlineStr">
        <is>
          <t>5</t>
        </is>
      </c>
      <c r="S2222" s="5" t="inlineStr">
        <is>
          <t>1</t>
        </is>
      </c>
      <c r="T2222" s="5" t="inlineStr">
        <is>
          <t>1</t>
        </is>
      </c>
      <c r="U2222" s="5" t="inlineStr">
        <is>
          <t>OK</t>
        </is>
      </c>
    </row>
    <row r="2223">
      <c r="A2223" s="5" t="inlineStr">
        <is>
          <t>E02772</t>
        </is>
      </c>
      <c r="B2223" s="5" t="inlineStr">
        <is>
          <t>Female</t>
        </is>
      </c>
      <c r="C2223" s="6" t="inlineStr">
        <is>
          <t>40</t>
        </is>
      </c>
      <c r="D2223" s="5" t="inlineStr">
        <is>
          <t>Single</t>
        </is>
      </c>
      <c r="E2223" s="5" t="inlineStr">
        <is>
          <t>Bachelor</t>
        </is>
      </c>
      <c r="F2223" s="5" t="inlineStr">
        <is>
          <t>Marketing</t>
        </is>
      </c>
      <c r="G2223" s="5" t="inlineStr">
        <is>
          <t>Content Writer</t>
        </is>
      </c>
      <c r="H2223" s="5" t="inlineStr">
        <is>
          <t>4</t>
        </is>
      </c>
      <c r="I2223" s="5" t="inlineStr">
        <is>
          <t>Chennai</t>
        </is>
      </c>
      <c r="J2223" s="5" t="inlineStr">
        <is>
          <t>Full-Time</t>
        </is>
      </c>
      <c r="K2223" s="7" t="n">
        <v>45793</v>
      </c>
      <c r="L2223" s="7" t="inlineStr"/>
      <c r="M2223" s="5" t="inlineStr">
        <is>
          <t>Yes</t>
        </is>
      </c>
      <c r="N2223" s="5" t="inlineStr"/>
      <c r="O2223" s="8" t="inlineStr">
        <is>
          <t>80500</t>
        </is>
      </c>
      <c r="P2223" s="5" t="inlineStr">
        <is>
          <t>10</t>
        </is>
      </c>
      <c r="Q2223" s="5" t="inlineStr">
        <is>
          <t>4</t>
        </is>
      </c>
      <c r="R2223" s="5" t="inlineStr">
        <is>
          <t>7</t>
        </is>
      </c>
      <c r="S2223" s="5" t="inlineStr">
        <is>
          <t>7</t>
        </is>
      </c>
      <c r="T2223" s="5" t="inlineStr">
        <is>
          <t>23</t>
        </is>
      </c>
      <c r="U2223" s="5" t="inlineStr">
        <is>
          <t>OK</t>
        </is>
      </c>
    </row>
    <row r="2224">
      <c r="A2224" s="5" t="inlineStr">
        <is>
          <t>E00190</t>
        </is>
      </c>
      <c r="B2224" s="5" t="inlineStr">
        <is>
          <t>female</t>
        </is>
      </c>
      <c r="C2224" s="6" t="inlineStr">
        <is>
          <t>38</t>
        </is>
      </c>
      <c r="D2224" s="5" t="inlineStr">
        <is>
          <t>Married</t>
        </is>
      </c>
      <c r="E2224" s="5" t="inlineStr">
        <is>
          <t>Diploma</t>
        </is>
      </c>
      <c r="F2224" s="5" t="inlineStr">
        <is>
          <t>Research &amp; Development</t>
        </is>
      </c>
      <c r="G2224" s="5" t="inlineStr">
        <is>
          <t>Research Scientist</t>
        </is>
      </c>
      <c r="H2224" s="5" t="inlineStr">
        <is>
          <t>3</t>
        </is>
      </c>
      <c r="I2224" s="5" t="inlineStr">
        <is>
          <t>Bengaluru</t>
        </is>
      </c>
      <c r="J2224" s="5" t="inlineStr">
        <is>
          <t>Full-Time</t>
        </is>
      </c>
      <c r="K2224" s="7" t="n">
        <v>45185</v>
      </c>
      <c r="L2224" s="7" t="inlineStr"/>
      <c r="M2224" s="5" t="inlineStr">
        <is>
          <t>Yes</t>
        </is>
      </c>
      <c r="N2224" s="5" t="inlineStr"/>
      <c r="O2224" s="8" t="inlineStr">
        <is>
          <t>124500</t>
        </is>
      </c>
      <c r="P2224" s="5" t="inlineStr">
        <is>
          <t>20</t>
        </is>
      </c>
      <c r="Q2224" s="5" t="inlineStr">
        <is>
          <t>4</t>
        </is>
      </c>
      <c r="R2224" s="5" t="inlineStr">
        <is>
          <t>8</t>
        </is>
      </c>
      <c r="S2224" s="5" t="inlineStr">
        <is>
          <t>27</t>
        </is>
      </c>
      <c r="T2224" s="5" t="inlineStr">
        <is>
          <t>9</t>
        </is>
      </c>
      <c r="U2224" s="5" t="inlineStr">
        <is>
          <t>OK</t>
        </is>
      </c>
    </row>
    <row r="2225">
      <c r="A2225" s="5" t="inlineStr">
        <is>
          <t>E00298</t>
        </is>
      </c>
      <c r="B2225" s="5" t="inlineStr">
        <is>
          <t>Male</t>
        </is>
      </c>
      <c r="C2225" s="6" t="inlineStr">
        <is>
          <t>26</t>
        </is>
      </c>
      <c r="D2225" s="5" t="inlineStr">
        <is>
          <t>Married</t>
        </is>
      </c>
      <c r="E2225" s="5" t="inlineStr">
        <is>
          <t>High School</t>
        </is>
      </c>
      <c r="F2225" s="5" t="inlineStr">
        <is>
          <t>Finance</t>
        </is>
      </c>
      <c r="G2225" s="5" t="inlineStr">
        <is>
          <t>Credit Analyst</t>
        </is>
      </c>
      <c r="H2225" s="5" t="inlineStr">
        <is>
          <t>1</t>
        </is>
      </c>
      <c r="I2225" s="5" t="inlineStr">
        <is>
          <t>Remote</t>
        </is>
      </c>
      <c r="J2225" s="5" t="inlineStr">
        <is>
          <t>Contract</t>
        </is>
      </c>
      <c r="K2225" s="7" t="n">
        <v>45181</v>
      </c>
      <c r="L2225" s="7" t="inlineStr"/>
      <c r="M2225" s="5" t="inlineStr">
        <is>
          <t>Yes</t>
        </is>
      </c>
      <c r="N2225" s="5" t="inlineStr"/>
      <c r="O2225" s="8" t="inlineStr">
        <is>
          <t>70500</t>
        </is>
      </c>
      <c r="P2225" s="5" t="inlineStr">
        <is>
          <t>5</t>
        </is>
      </c>
      <c r="Q2225" s="5" t="inlineStr">
        <is>
          <t>3</t>
        </is>
      </c>
      <c r="R2225" s="5" t="inlineStr">
        <is>
          <t>5</t>
        </is>
      </c>
      <c r="S2225" s="5" t="inlineStr">
        <is>
          <t>28</t>
        </is>
      </c>
      <c r="T2225" s="5" t="inlineStr">
        <is>
          <t>8</t>
        </is>
      </c>
      <c r="U2225" s="5" t="inlineStr">
        <is>
          <t>OK</t>
        </is>
      </c>
    </row>
    <row r="2226">
      <c r="A2226" s="5" t="inlineStr">
        <is>
          <t>E00304</t>
        </is>
      </c>
      <c r="B2226" s="5" t="inlineStr">
        <is>
          <t>Female</t>
        </is>
      </c>
      <c r="C2226" s="6" t="inlineStr">
        <is>
          <t>29</t>
        </is>
      </c>
      <c r="D2226" s="5" t="inlineStr">
        <is>
          <t>Married</t>
        </is>
      </c>
      <c r="E2226" s="5" t="inlineStr">
        <is>
          <t>High School</t>
        </is>
      </c>
      <c r="F2226" s="5" t="inlineStr">
        <is>
          <t>Operations</t>
        </is>
      </c>
      <c r="G2226" s="5" t="inlineStr">
        <is>
          <t>Quality Analyst</t>
        </is>
      </c>
      <c r="H2226" s="5" t="inlineStr">
        <is>
          <t>3</t>
        </is>
      </c>
      <c r="I2226" s="5" t="inlineStr">
        <is>
          <t>Delhi</t>
        </is>
      </c>
      <c r="J2226" s="5" t="inlineStr">
        <is>
          <t>Full-Time</t>
        </is>
      </c>
      <c r="K2226" s="7" t="n">
        <v>45765</v>
      </c>
      <c r="L2226" s="7" t="n">
        <v>45846</v>
      </c>
      <c r="M2226" s="5" t="inlineStr">
        <is>
          <t>No</t>
        </is>
      </c>
      <c r="N2226" s="5" t="inlineStr">
        <is>
          <t>Resigned</t>
        </is>
      </c>
      <c r="O2226" s="8" t="inlineStr">
        <is>
          <t>90000</t>
        </is>
      </c>
      <c r="P2226" s="5" t="inlineStr">
        <is>
          <t>0</t>
        </is>
      </c>
      <c r="Q2226" s="5" t="inlineStr">
        <is>
          <t>4</t>
        </is>
      </c>
      <c r="R2226" s="5" t="inlineStr">
        <is>
          <t>6</t>
        </is>
      </c>
      <c r="S2226" s="5" t="inlineStr">
        <is>
          <t>2</t>
        </is>
      </c>
      <c r="T2226" s="5" t="inlineStr">
        <is>
          <t>8</t>
        </is>
      </c>
      <c r="U2226" s="5" t="inlineStr">
        <is>
          <t>OK</t>
        </is>
      </c>
    </row>
    <row r="2227">
      <c r="A2227" s="5" t="inlineStr">
        <is>
          <t>E02066</t>
        </is>
      </c>
      <c r="B2227" s="5" t="inlineStr">
        <is>
          <t>Male</t>
        </is>
      </c>
      <c r="C2227" s="6" t="inlineStr">
        <is>
          <t>39</t>
        </is>
      </c>
      <c r="D2227" s="5" t="inlineStr">
        <is>
          <t>Married</t>
        </is>
      </c>
      <c r="E2227" s="5" t="inlineStr">
        <is>
          <t>Diploma</t>
        </is>
      </c>
      <c r="F2227" s="5" t="inlineStr">
        <is>
          <t>Operations</t>
        </is>
      </c>
      <c r="G2227" s="5" t="inlineStr">
        <is>
          <t>Logistics Coordinator</t>
        </is>
      </c>
      <c r="H2227" s="5" t="inlineStr">
        <is>
          <t>6</t>
        </is>
      </c>
      <c r="I2227" s="5" t="inlineStr">
        <is>
          <t>Hyderabad</t>
        </is>
      </c>
      <c r="J2227" s="5" t="inlineStr">
        <is>
          <t>Full-Time</t>
        </is>
      </c>
      <c r="K2227" s="7" t="n">
        <v>44556</v>
      </c>
      <c r="L2227" s="7" t="inlineStr"/>
      <c r="M2227" s="5" t="inlineStr">
        <is>
          <t>Yes</t>
        </is>
      </c>
      <c r="N2227" s="5" t="inlineStr"/>
      <c r="O2227" s="8" t="inlineStr">
        <is>
          <t>130000</t>
        </is>
      </c>
      <c r="P2227" s="5" t="inlineStr">
        <is>
          <t>5</t>
        </is>
      </c>
      <c r="Q2227" s="5" t="inlineStr">
        <is>
          <t>3</t>
        </is>
      </c>
      <c r="R2227" s="5" t="inlineStr">
        <is>
          <t>5</t>
        </is>
      </c>
      <c r="S2227" s="5" t="inlineStr">
        <is>
          <t>48</t>
        </is>
      </c>
      <c r="T2227" s="5" t="inlineStr">
        <is>
          <t>16</t>
        </is>
      </c>
      <c r="U2227" s="5" t="inlineStr">
        <is>
          <t>OK</t>
        </is>
      </c>
    </row>
    <row r="2228">
      <c r="A2228" s="5" t="inlineStr">
        <is>
          <t>E00986</t>
        </is>
      </c>
      <c r="B2228" s="5" t="inlineStr">
        <is>
          <t>Male</t>
        </is>
      </c>
      <c r="C2228" s="6" t="inlineStr">
        <is>
          <t>25</t>
        </is>
      </c>
      <c r="D2228" s="5" t="inlineStr">
        <is>
          <t>Married</t>
        </is>
      </c>
      <c r="E2228" s="5" t="inlineStr">
        <is>
          <t>Bachelor</t>
        </is>
      </c>
      <c r="F2228" s="5" t="inlineStr">
        <is>
          <t>Customer Support</t>
        </is>
      </c>
      <c r="G2228" s="5" t="inlineStr">
        <is>
          <t>Escalation Specialist</t>
        </is>
      </c>
      <c r="H2228" s="5" t="inlineStr">
        <is>
          <t>2</t>
        </is>
      </c>
      <c r="I2228" s="5" t="inlineStr">
        <is>
          <t>Mumbai</t>
        </is>
      </c>
      <c r="J2228" s="5" t="inlineStr">
        <is>
          <t>Full-Time</t>
        </is>
      </c>
      <c r="K2228" s="7" t="n">
        <v>45150</v>
      </c>
      <c r="L2228" s="7" t="inlineStr"/>
      <c r="M2228" s="5" t="inlineStr">
        <is>
          <t>Yes</t>
        </is>
      </c>
      <c r="N2228" s="5" t="inlineStr"/>
      <c r="O2228" s="8" t="inlineStr">
        <is>
          <t>76000</t>
        </is>
      </c>
      <c r="P2228" s="5" t="inlineStr">
        <is>
          <t>5</t>
        </is>
      </c>
      <c r="Q2228" s="5" t="inlineStr">
        <is>
          <t>3</t>
        </is>
      </c>
      <c r="R2228" s="5" t="inlineStr">
        <is>
          <t>6</t>
        </is>
      </c>
      <c r="S2228" s="5" t="inlineStr">
        <is>
          <t>29</t>
        </is>
      </c>
      <c r="T2228" s="5" t="inlineStr">
        <is>
          <t>7</t>
        </is>
      </c>
      <c r="U2228" s="5" t="inlineStr">
        <is>
          <t>OK</t>
        </is>
      </c>
    </row>
    <row r="2229">
      <c r="A2229" s="5" t="inlineStr">
        <is>
          <t>E00997</t>
        </is>
      </c>
      <c r="B2229" s="5" t="inlineStr">
        <is>
          <t>Female</t>
        </is>
      </c>
      <c r="C2229" s="6" t="inlineStr">
        <is>
          <t>28</t>
        </is>
      </c>
      <c r="D2229" s="5" t="inlineStr">
        <is>
          <t>Married</t>
        </is>
      </c>
      <c r="E2229" s="5" t="inlineStr">
        <is>
          <t>PhD</t>
        </is>
      </c>
      <c r="F2229" s="5" t="inlineStr">
        <is>
          <t>Finance</t>
        </is>
      </c>
      <c r="G2229" s="5" t="inlineStr">
        <is>
          <t>Credit Analyst</t>
        </is>
      </c>
      <c r="H2229" s="5" t="inlineStr">
        <is>
          <t>1</t>
        </is>
      </c>
      <c r="I2229" s="5" t="inlineStr">
        <is>
          <t>Bengaluru</t>
        </is>
      </c>
      <c r="J2229" s="5" t="inlineStr">
        <is>
          <t>Full-Time</t>
        </is>
      </c>
      <c r="K2229" s="7" t="n">
        <v>44557</v>
      </c>
      <c r="L2229" s="7" t="n">
        <v>44687</v>
      </c>
      <c r="M2229" s="5" t="inlineStr">
        <is>
          <t>No</t>
        </is>
      </c>
      <c r="N2229" s="5" t="inlineStr">
        <is>
          <t>Layoff</t>
        </is>
      </c>
      <c r="O2229" s="8" t="inlineStr">
        <is>
          <t>79500</t>
        </is>
      </c>
      <c r="P2229" s="5" t="inlineStr">
        <is>
          <t>10</t>
        </is>
      </c>
      <c r="Q2229" s="5" t="inlineStr">
        <is>
          <t>4</t>
        </is>
      </c>
      <c r="R2229" s="5" t="inlineStr">
        <is>
          <t>7</t>
        </is>
      </c>
      <c r="S2229" s="5" t="inlineStr">
        <is>
          <t>4</t>
        </is>
      </c>
      <c r="T2229" s="5" t="inlineStr">
        <is>
          <t>0</t>
        </is>
      </c>
      <c r="U2229" s="5" t="inlineStr">
        <is>
          <t>OK</t>
        </is>
      </c>
    </row>
    <row r="2230">
      <c r="A2230" s="5" t="inlineStr">
        <is>
          <t>E01144</t>
        </is>
      </c>
      <c r="B2230" s="5" t="inlineStr">
        <is>
          <t>Female</t>
        </is>
      </c>
      <c r="C2230" s="6" t="inlineStr">
        <is>
          <t>36</t>
        </is>
      </c>
      <c r="D2230" s="5" t="inlineStr">
        <is>
          <t>Single</t>
        </is>
      </c>
      <c r="E2230" s="5" t="inlineStr">
        <is>
          <t>Diploma</t>
        </is>
      </c>
      <c r="F2230" s="5" t="inlineStr">
        <is>
          <t>Finance</t>
        </is>
      </c>
      <c r="G2230" s="5" t="inlineStr">
        <is>
          <t>Financial Analyst</t>
        </is>
      </c>
      <c r="H2230" s="5" t="inlineStr">
        <is>
          <t>2</t>
        </is>
      </c>
      <c r="I2230" s="5" t="inlineStr">
        <is>
          <t>Remote</t>
        </is>
      </c>
      <c r="J2230" s="5" t="inlineStr">
        <is>
          <t>Full-Time</t>
        </is>
      </c>
      <c r="K2230" s="7" t="n">
        <v>44715</v>
      </c>
      <c r="L2230" s="7" t="inlineStr"/>
      <c r="M2230" s="5" t="inlineStr">
        <is>
          <t>Yes</t>
        </is>
      </c>
      <c r="N2230" s="5" t="inlineStr"/>
      <c r="O2230" s="8" t="inlineStr">
        <is>
          <t>84500</t>
        </is>
      </c>
      <c r="P2230" s="5" t="inlineStr">
        <is>
          <t>20</t>
        </is>
      </c>
      <c r="Q2230" s="5" t="inlineStr">
        <is>
          <t>3</t>
        </is>
      </c>
      <c r="R2230" s="5" t="inlineStr">
        <is>
          <t>5</t>
        </is>
      </c>
      <c r="S2230" s="5" t="inlineStr">
        <is>
          <t>43</t>
        </is>
      </c>
      <c r="T2230" s="5" t="inlineStr">
        <is>
          <t>10</t>
        </is>
      </c>
      <c r="U2230" s="5" t="inlineStr">
        <is>
          <t>OK</t>
        </is>
      </c>
    </row>
    <row r="2231">
      <c r="A2231" s="5" t="inlineStr">
        <is>
          <t>E02607</t>
        </is>
      </c>
      <c r="B2231" s="5" t="inlineStr">
        <is>
          <t>Female</t>
        </is>
      </c>
      <c r="C2231" s="6" t="inlineStr">
        <is>
          <t>33</t>
        </is>
      </c>
      <c r="D2231" s="5" t="inlineStr">
        <is>
          <t>Married</t>
        </is>
      </c>
      <c r="E2231" s="5" t="inlineStr">
        <is>
          <t>Diploma</t>
        </is>
      </c>
      <c r="F2231" s="5" t="inlineStr">
        <is>
          <t>Human Resources</t>
        </is>
      </c>
      <c r="G2231" s="5" t="inlineStr">
        <is>
          <t>Recruiter</t>
        </is>
      </c>
      <c r="H2231" s="5" t="inlineStr">
        <is>
          <t>3</t>
        </is>
      </c>
      <c r="I2231" s="5" t="inlineStr">
        <is>
          <t>Chennai</t>
        </is>
      </c>
      <c r="J2231" s="5" t="inlineStr">
        <is>
          <t>Full-Time</t>
        </is>
      </c>
      <c r="K2231" s="7" t="n">
        <v>45049</v>
      </c>
      <c r="L2231" s="7" t="inlineStr"/>
      <c r="M2231" s="5" t="inlineStr">
        <is>
          <t>Yes</t>
        </is>
      </c>
      <c r="N2231" s="5" t="inlineStr"/>
      <c r="O2231" s="8" t="inlineStr">
        <is>
          <t>117000</t>
        </is>
      </c>
      <c r="P2231" s="5" t="inlineStr">
        <is>
          <t>15</t>
        </is>
      </c>
      <c r="Q2231" s="5" t="inlineStr">
        <is>
          <t>4</t>
        </is>
      </c>
      <c r="R2231" s="5" t="inlineStr">
        <is>
          <t>6</t>
        </is>
      </c>
      <c r="S2231" s="5" t="inlineStr">
        <is>
          <t>32</t>
        </is>
      </c>
      <c r="T2231" s="5" t="inlineStr">
        <is>
          <t>3</t>
        </is>
      </c>
      <c r="U2231" s="5" t="inlineStr">
        <is>
          <t>OK</t>
        </is>
      </c>
    </row>
    <row r="2232">
      <c r="A2232" s="5" t="inlineStr">
        <is>
          <t>E02220</t>
        </is>
      </c>
      <c r="B2232" s="5" t="inlineStr">
        <is>
          <t>Female</t>
        </is>
      </c>
      <c r="C2232" s="6" t="inlineStr">
        <is>
          <t>30</t>
        </is>
      </c>
      <c r="D2232" s="5" t="inlineStr">
        <is>
          <t>Single</t>
        </is>
      </c>
      <c r="E2232" s="5" t="inlineStr">
        <is>
          <t>Master</t>
        </is>
      </c>
      <c r="F2232" s="5" t="inlineStr">
        <is>
          <t>IT</t>
        </is>
      </c>
      <c r="G2232" s="5" t="inlineStr">
        <is>
          <t>DevOps Engineer</t>
        </is>
      </c>
      <c r="H2232" s="5" t="inlineStr">
        <is>
          <t>1</t>
        </is>
      </c>
      <c r="I2232" s="5" t="inlineStr">
        <is>
          <t>Hyderabad</t>
        </is>
      </c>
      <c r="J2232" s="5" t="inlineStr">
        <is>
          <t>Full-Time</t>
        </is>
      </c>
      <c r="K2232" s="7" t="n">
        <v>44469</v>
      </c>
      <c r="L2232" s="7" t="inlineStr"/>
      <c r="M2232" s="5" t="inlineStr">
        <is>
          <t>Yes</t>
        </is>
      </c>
      <c r="N2232" s="5" t="inlineStr"/>
      <c r="O2232" s="8" t="inlineStr">
        <is>
          <t>101500</t>
        </is>
      </c>
      <c r="P2232" s="5" t="inlineStr">
        <is>
          <t>0</t>
        </is>
      </c>
      <c r="Q2232" s="5" t="inlineStr">
        <is>
          <t>4</t>
        </is>
      </c>
      <c r="R2232" s="5" t="inlineStr">
        <is>
          <t>7</t>
        </is>
      </c>
      <c r="S2232" s="5" t="inlineStr">
        <is>
          <t>51</t>
        </is>
      </c>
      <c r="T2232" s="5" t="inlineStr">
        <is>
          <t>5</t>
        </is>
      </c>
      <c r="U2232" s="5" t="inlineStr">
        <is>
          <t>OK</t>
        </is>
      </c>
    </row>
    <row r="2233">
      <c r="A2233" s="5" t="inlineStr">
        <is>
          <t>E01429</t>
        </is>
      </c>
      <c r="B2233" s="5" t="inlineStr">
        <is>
          <t>Female</t>
        </is>
      </c>
      <c r="C2233" s="6" t="inlineStr">
        <is>
          <t>25</t>
        </is>
      </c>
      <c r="D2233" s="5" t="inlineStr">
        <is>
          <t>Married</t>
        </is>
      </c>
      <c r="E2233" s="5" t="inlineStr">
        <is>
          <t>Diploma</t>
        </is>
      </c>
      <c r="F2233" s="5" t="inlineStr">
        <is>
          <t>Finance</t>
        </is>
      </c>
      <c r="G2233" s="5" t="inlineStr">
        <is>
          <t>Financial Analyst</t>
        </is>
      </c>
      <c r="H2233" s="5" t="inlineStr">
        <is>
          <t>2</t>
        </is>
      </c>
      <c r="I2233" s="5" t="inlineStr">
        <is>
          <t>Hyderabad</t>
        </is>
      </c>
      <c r="J2233" s="5" t="inlineStr">
        <is>
          <t>Full-Time</t>
        </is>
      </c>
      <c r="K2233" s="7" t="n">
        <v>44923</v>
      </c>
      <c r="L2233" s="7" t="n">
        <v>45008</v>
      </c>
      <c r="M2233" s="5" t="inlineStr">
        <is>
          <t>No</t>
        </is>
      </c>
      <c r="N2233" s="5" t="inlineStr">
        <is>
          <t>Retirement</t>
        </is>
      </c>
      <c r="O2233" s="8" t="inlineStr">
        <is>
          <t>119500</t>
        </is>
      </c>
      <c r="P2233" s="5" t="inlineStr">
        <is>
          <t>20</t>
        </is>
      </c>
      <c r="Q2233" s="5" t="inlineStr">
        <is>
          <t>3</t>
        </is>
      </c>
      <c r="R2233" s="5" t="inlineStr">
        <is>
          <t>7</t>
        </is>
      </c>
      <c r="S2233" s="5" t="inlineStr">
        <is>
          <t>2</t>
        </is>
      </c>
      <c r="T2233" s="5" t="inlineStr">
        <is>
          <t>9</t>
        </is>
      </c>
      <c r="U2233" s="5" t="inlineStr">
        <is>
          <t>OK</t>
        </is>
      </c>
    </row>
    <row r="2234">
      <c r="A2234" s="5" t="inlineStr">
        <is>
          <t>E00354</t>
        </is>
      </c>
      <c r="B2234" s="5" t="inlineStr">
        <is>
          <t>Female</t>
        </is>
      </c>
      <c r="C2234" s="6" t="inlineStr">
        <is>
          <t>29</t>
        </is>
      </c>
      <c r="D2234" s="5" t="inlineStr">
        <is>
          <t>Single</t>
        </is>
      </c>
      <c r="E2234" s="5" t="inlineStr">
        <is>
          <t>High School</t>
        </is>
      </c>
      <c r="F2234" s="5" t="inlineStr">
        <is>
          <t>Finance</t>
        </is>
      </c>
      <c r="G2234" s="5" t="inlineStr">
        <is>
          <t>Financial Analyst</t>
        </is>
      </c>
      <c r="H2234" s="5" t="inlineStr">
        <is>
          <t>2</t>
        </is>
      </c>
      <c r="I2234" s="5" t="inlineStr">
        <is>
          <t>Mumbai</t>
        </is>
      </c>
      <c r="J2234" s="5" t="inlineStr">
        <is>
          <t>Full-Time</t>
        </is>
      </c>
      <c r="K2234" s="7" t="n">
        <v>45327</v>
      </c>
      <c r="L2234" s="7" t="inlineStr"/>
      <c r="M2234" s="5" t="inlineStr">
        <is>
          <t>Yes</t>
        </is>
      </c>
      <c r="N2234" s="5" t="inlineStr"/>
      <c r="O2234" s="8" t="inlineStr">
        <is>
          <t>74500</t>
        </is>
      </c>
      <c r="P2234" s="5" t="inlineStr">
        <is>
          <t>0</t>
        </is>
      </c>
      <c r="Q2234" s="5" t="inlineStr">
        <is>
          <t>4</t>
        </is>
      </c>
      <c r="R2234" s="5" t="inlineStr">
        <is>
          <t>5</t>
        </is>
      </c>
      <c r="S2234" s="5" t="inlineStr">
        <is>
          <t>23</t>
        </is>
      </c>
      <c r="T2234" s="5" t="inlineStr">
        <is>
          <t>0</t>
        </is>
      </c>
      <c r="U2234" s="5" t="inlineStr">
        <is>
          <t>OK</t>
        </is>
      </c>
    </row>
    <row r="2235">
      <c r="A2235" s="5" t="inlineStr">
        <is>
          <t>E00044</t>
        </is>
      </c>
      <c r="B2235" s="5" t="inlineStr">
        <is>
          <t>Male</t>
        </is>
      </c>
      <c r="C2235" s="6" t="inlineStr">
        <is>
          <t>29</t>
        </is>
      </c>
      <c r="D2235" s="5" t="inlineStr">
        <is>
          <t>Married</t>
        </is>
      </c>
      <c r="E2235" s="5" t="inlineStr">
        <is>
          <t>Diploma</t>
        </is>
      </c>
      <c r="F2235" s="5" t="inlineStr">
        <is>
          <t>Customer Support</t>
        </is>
      </c>
      <c r="G2235" s="5" t="inlineStr">
        <is>
          <t>Support Agent</t>
        </is>
      </c>
      <c r="H2235" s="5" t="inlineStr">
        <is>
          <t>2</t>
        </is>
      </c>
      <c r="I2235" s="5" t="inlineStr">
        <is>
          <t>Remote</t>
        </is>
      </c>
      <c r="J2235" s="5" t="inlineStr">
        <is>
          <t>Contract</t>
        </is>
      </c>
      <c r="K2235" s="7" t="n">
        <v>44081</v>
      </c>
      <c r="L2235" s="7" t="inlineStr"/>
      <c r="M2235" s="5" t="inlineStr">
        <is>
          <t>Yes</t>
        </is>
      </c>
      <c r="N2235" s="5" t="inlineStr"/>
      <c r="O2235" s="8" t="inlineStr">
        <is>
          <t>60500</t>
        </is>
      </c>
      <c r="P2235" s="5" t="inlineStr">
        <is>
          <t>5</t>
        </is>
      </c>
      <c r="Q2235" s="5" t="inlineStr">
        <is>
          <t>5</t>
        </is>
      </c>
      <c r="R2235" s="5" t="inlineStr">
        <is>
          <t>7</t>
        </is>
      </c>
      <c r="S2235" s="5" t="inlineStr">
        <is>
          <t>64</t>
        </is>
      </c>
      <c r="T2235" s="5" t="inlineStr">
        <is>
          <t>10</t>
        </is>
      </c>
      <c r="U2235" s="5" t="inlineStr">
        <is>
          <t>OK</t>
        </is>
      </c>
    </row>
    <row r="2236">
      <c r="A2236" s="5" t="inlineStr">
        <is>
          <t>E02653</t>
        </is>
      </c>
      <c r="B2236" s="5" t="inlineStr">
        <is>
          <t>Male</t>
        </is>
      </c>
      <c r="C2236" s="6" t="inlineStr">
        <is>
          <t>30</t>
        </is>
      </c>
      <c r="D2236" s="5" t="inlineStr">
        <is>
          <t>Single</t>
        </is>
      </c>
      <c r="E2236" s="5" t="inlineStr">
        <is>
          <t>Master</t>
        </is>
      </c>
      <c r="F2236" s="5" t="inlineStr">
        <is>
          <t>Sales</t>
        </is>
      </c>
      <c r="G2236" s="5" t="inlineStr">
        <is>
          <t>Business Development</t>
        </is>
      </c>
      <c r="H2236" s="5" t="inlineStr">
        <is>
          <t>1</t>
        </is>
      </c>
      <c r="I2236" s="5" t="inlineStr">
        <is>
          <t>Mumbai</t>
        </is>
      </c>
      <c r="J2236" s="5" t="inlineStr">
        <is>
          <t>Full-Time</t>
        </is>
      </c>
      <c r="K2236" s="7" t="n">
        <v>45870</v>
      </c>
      <c r="L2236" s="7" t="n">
        <v>45900</v>
      </c>
      <c r="M2236" s="5" t="inlineStr">
        <is>
          <t>No</t>
        </is>
      </c>
      <c r="N2236" s="5" t="inlineStr">
        <is>
          <t>Layoff</t>
        </is>
      </c>
      <c r="O2236" s="8" t="inlineStr">
        <is>
          <t>99500</t>
        </is>
      </c>
      <c r="P2236" s="5" t="inlineStr">
        <is>
          <t>15</t>
        </is>
      </c>
      <c r="Q2236" s="5" t="inlineStr">
        <is>
          <t>4</t>
        </is>
      </c>
      <c r="R2236" s="5" t="inlineStr">
        <is>
          <t>10</t>
        </is>
      </c>
      <c r="S2236" s="5" t="inlineStr">
        <is>
          <t>1</t>
        </is>
      </c>
      <c r="T2236" s="5" t="inlineStr">
        <is>
          <t>8</t>
        </is>
      </c>
      <c r="U2236" s="5" t="inlineStr">
        <is>
          <t>OK</t>
        </is>
      </c>
    </row>
    <row r="2237">
      <c r="A2237" s="5" t="inlineStr">
        <is>
          <t>E02509</t>
        </is>
      </c>
      <c r="B2237" s="5" t="inlineStr">
        <is>
          <t>Female</t>
        </is>
      </c>
      <c r="C2237" s="6" t="inlineStr">
        <is>
          <t>25</t>
        </is>
      </c>
      <c r="D2237" s="5" t="inlineStr">
        <is>
          <t>Married</t>
        </is>
      </c>
      <c r="E2237" s="5" t="inlineStr">
        <is>
          <t>Bachelor</t>
        </is>
      </c>
      <c r="F2237" s="5" t="inlineStr">
        <is>
          <t>IT</t>
        </is>
      </c>
      <c r="G2237" s="5" t="inlineStr">
        <is>
          <t>Data Analyst</t>
        </is>
      </c>
      <c r="H2237" s="5" t="inlineStr">
        <is>
          <t>1</t>
        </is>
      </c>
      <c r="I2237" s="5" t="inlineStr">
        <is>
          <t>Remote</t>
        </is>
      </c>
      <c r="J2237" s="5" t="inlineStr">
        <is>
          <t>Full-Time</t>
        </is>
      </c>
      <c r="K2237" s="7" t="n">
        <v>45926</v>
      </c>
      <c r="L2237" s="7" t="inlineStr"/>
      <c r="M2237" s="5" t="inlineStr">
        <is>
          <t>Yes</t>
        </is>
      </c>
      <c r="N2237" s="5" t="inlineStr"/>
      <c r="O2237" s="8" t="inlineStr">
        <is>
          <t>131000</t>
        </is>
      </c>
      <c r="P2237" s="5" t="inlineStr">
        <is>
          <t>15</t>
        </is>
      </c>
      <c r="Q2237" s="5" t="inlineStr">
        <is>
          <t>3</t>
        </is>
      </c>
      <c r="R2237" s="5" t="inlineStr">
        <is>
          <t>3</t>
        </is>
      </c>
      <c r="S2237" s="5" t="inlineStr">
        <is>
          <t>3</t>
        </is>
      </c>
      <c r="T2237" s="5" t="inlineStr">
        <is>
          <t>18</t>
        </is>
      </c>
      <c r="U2237" s="5" t="inlineStr">
        <is>
          <t>OK</t>
        </is>
      </c>
    </row>
    <row r="2238">
      <c r="A2238" s="5" t="inlineStr">
        <is>
          <t>E02672</t>
        </is>
      </c>
      <c r="B2238" s="5" t="inlineStr">
        <is>
          <t>Male</t>
        </is>
      </c>
      <c r="C2238" s="6" t="inlineStr">
        <is>
          <t>34</t>
        </is>
      </c>
      <c r="D2238" s="5" t="inlineStr">
        <is>
          <t>Married</t>
        </is>
      </c>
      <c r="E2238" s="5" t="inlineStr">
        <is>
          <t>Master</t>
        </is>
      </c>
      <c r="F2238" s="5" t="inlineStr">
        <is>
          <t>Sales</t>
        </is>
      </c>
      <c r="G2238" s="5" t="inlineStr">
        <is>
          <t>Account Executive</t>
        </is>
      </c>
      <c r="H2238" s="5" t="inlineStr">
        <is>
          <t>1</t>
        </is>
      </c>
      <c r="I2238" s="5" t="inlineStr">
        <is>
          <t>Mumbai</t>
        </is>
      </c>
      <c r="J2238" s="5" t="inlineStr">
        <is>
          <t>Full-Time</t>
        </is>
      </c>
      <c r="K2238" s="7" t="n">
        <v>44247</v>
      </c>
      <c r="L2238" s="7" t="inlineStr"/>
      <c r="M2238" s="5" t="inlineStr">
        <is>
          <t>Yes</t>
        </is>
      </c>
      <c r="N2238" s="5" t="inlineStr"/>
      <c r="O2238" s="8" t="inlineStr">
        <is>
          <t>69500</t>
        </is>
      </c>
      <c r="P2238" s="5" t="inlineStr">
        <is>
          <t>0</t>
        </is>
      </c>
      <c r="Q2238" s="5" t="inlineStr">
        <is>
          <t>2</t>
        </is>
      </c>
      <c r="R2238" s="5" t="inlineStr">
        <is>
          <t>7</t>
        </is>
      </c>
      <c r="S2238" s="5" t="inlineStr">
        <is>
          <t>59</t>
        </is>
      </c>
      <c r="T2238" s="5" t="inlineStr">
        <is>
          <t>0</t>
        </is>
      </c>
      <c r="U2238" s="5" t="inlineStr">
        <is>
          <t>OK</t>
        </is>
      </c>
    </row>
    <row r="2239">
      <c r="A2239" s="5" t="inlineStr">
        <is>
          <t>E00052</t>
        </is>
      </c>
      <c r="B2239" s="5" t="inlineStr">
        <is>
          <t>Male</t>
        </is>
      </c>
      <c r="C2239" s="6" t="inlineStr">
        <is>
          <t>35</t>
        </is>
      </c>
      <c r="D2239" s="5" t="inlineStr">
        <is>
          <t>Married</t>
        </is>
      </c>
      <c r="E2239" s="5" t="inlineStr">
        <is>
          <t>PhD</t>
        </is>
      </c>
      <c r="F2239" s="5" t="inlineStr">
        <is>
          <t>Marketing</t>
        </is>
      </c>
      <c r="G2239" s="5" t="inlineStr">
        <is>
          <t>Marketing Analyst</t>
        </is>
      </c>
      <c r="H2239" s="5" t="inlineStr">
        <is>
          <t>6</t>
        </is>
      </c>
      <c r="I2239" s="5" t="inlineStr">
        <is>
          <t>Delhi</t>
        </is>
      </c>
      <c r="J2239" s="5" t="inlineStr">
        <is>
          <t>Full-Time</t>
        </is>
      </c>
      <c r="K2239" s="7" t="n">
        <v>45791</v>
      </c>
      <c r="L2239" s="7" t="inlineStr"/>
      <c r="M2239" s="5" t="inlineStr">
        <is>
          <t>Yes</t>
        </is>
      </c>
      <c r="N2239" s="5" t="inlineStr"/>
      <c r="O2239" s="8" t="inlineStr">
        <is>
          <t>88500</t>
        </is>
      </c>
      <c r="P2239" s="5" t="inlineStr">
        <is>
          <t>0</t>
        </is>
      </c>
      <c r="Q2239" s="5" t="inlineStr">
        <is>
          <t>2</t>
        </is>
      </c>
      <c r="R2239" s="5" t="inlineStr">
        <is>
          <t>5</t>
        </is>
      </c>
      <c r="S2239" s="5" t="inlineStr">
        <is>
          <t>7</t>
        </is>
      </c>
      <c r="T2239" s="5" t="inlineStr">
        <is>
          <t>8</t>
        </is>
      </c>
      <c r="U2239" s="5" t="inlineStr">
        <is>
          <t>OK</t>
        </is>
      </c>
    </row>
    <row r="2240">
      <c r="A2240" s="5" t="inlineStr">
        <is>
          <t>E01149</t>
        </is>
      </c>
      <c r="B2240" s="5" t="inlineStr">
        <is>
          <t>Female</t>
        </is>
      </c>
      <c r="C2240" s="6" t="inlineStr">
        <is>
          <t>33</t>
        </is>
      </c>
      <c r="D2240" s="5" t="inlineStr">
        <is>
          <t>Married</t>
        </is>
      </c>
      <c r="E2240" s="5" t="inlineStr">
        <is>
          <t>Bachelor</t>
        </is>
      </c>
      <c r="F2240" s="5" t="inlineStr">
        <is>
          <t>IT</t>
        </is>
      </c>
      <c r="G2240" s="5" t="inlineStr">
        <is>
          <t>Data Analyst</t>
        </is>
      </c>
      <c r="H2240" s="5" t="inlineStr">
        <is>
          <t>1</t>
        </is>
      </c>
      <c r="I2240" s="5" t="inlineStr">
        <is>
          <t>Delhi</t>
        </is>
      </c>
      <c r="J2240" s="5" t="inlineStr">
        <is>
          <t>Full-Time</t>
        </is>
      </c>
      <c r="K2240" s="7" t="n">
        <v>44186</v>
      </c>
      <c r="L2240" s="7" t="n">
        <v>44246</v>
      </c>
      <c r="M2240" s="5" t="inlineStr">
        <is>
          <t>No</t>
        </is>
      </c>
      <c r="N2240" s="5" t="inlineStr">
        <is>
          <t>Retirement</t>
        </is>
      </c>
      <c r="O2240" s="8" t="inlineStr">
        <is>
          <t>100500</t>
        </is>
      </c>
      <c r="P2240" s="5" t="inlineStr">
        <is>
          <t>10</t>
        </is>
      </c>
      <c r="Q2240" s="5" t="inlineStr">
        <is>
          <t>5</t>
        </is>
      </c>
      <c r="R2240" s="5" t="inlineStr">
        <is>
          <t>7</t>
        </is>
      </c>
      <c r="S2240" s="5" t="inlineStr">
        <is>
          <t>2</t>
        </is>
      </c>
      <c r="T2240" s="5" t="inlineStr">
        <is>
          <t>11</t>
        </is>
      </c>
      <c r="U2240" s="5" t="inlineStr">
        <is>
          <t>OK</t>
        </is>
      </c>
    </row>
    <row r="2241">
      <c r="A2241" s="5" t="inlineStr">
        <is>
          <t>E01053</t>
        </is>
      </c>
      <c r="B2241" s="5" t="inlineStr">
        <is>
          <t>Male</t>
        </is>
      </c>
      <c r="C2241" s="6" t="inlineStr">
        <is>
          <t>44</t>
        </is>
      </c>
      <c r="D2241" s="5" t="inlineStr">
        <is>
          <t>Married</t>
        </is>
      </c>
      <c r="E2241" s="5" t="inlineStr">
        <is>
          <t>Bachelor</t>
        </is>
      </c>
      <c r="F2241" s="5" t="inlineStr">
        <is>
          <t>Operations</t>
        </is>
      </c>
      <c r="G2241" s="5" t="inlineStr">
        <is>
          <t>Quality Analyst</t>
        </is>
      </c>
      <c r="H2241" s="5" t="inlineStr">
        <is>
          <t>6</t>
        </is>
      </c>
      <c r="I2241" s="5" t="inlineStr">
        <is>
          <t>Bengaluru</t>
        </is>
      </c>
      <c r="J2241" s="5" t="inlineStr">
        <is>
          <t>Full-Time</t>
        </is>
      </c>
      <c r="K2241" s="7" t="n">
        <v>45916</v>
      </c>
      <c r="L2241" s="7" t="inlineStr"/>
      <c r="M2241" s="5" t="inlineStr">
        <is>
          <t>Yes</t>
        </is>
      </c>
      <c r="N2241" s="5" t="inlineStr"/>
      <c r="O2241" s="8" t="inlineStr">
        <is>
          <t>164500</t>
        </is>
      </c>
      <c r="P2241" s="5" t="inlineStr">
        <is>
          <t>0</t>
        </is>
      </c>
      <c r="Q2241" s="5" t="inlineStr">
        <is>
          <t>2</t>
        </is>
      </c>
      <c r="R2241" s="5" t="inlineStr">
        <is>
          <t>4</t>
        </is>
      </c>
      <c r="S2241" s="5" t="inlineStr">
        <is>
          <t>3</t>
        </is>
      </c>
      <c r="T2241" s="5" t="inlineStr">
        <is>
          <t>2</t>
        </is>
      </c>
      <c r="U2241" s="5" t="inlineStr">
        <is>
          <t>OK</t>
        </is>
      </c>
    </row>
    <row r="2242">
      <c r="A2242" s="5" t="inlineStr">
        <is>
          <t>E02714</t>
        </is>
      </c>
      <c r="B2242" s="5" t="inlineStr">
        <is>
          <t>Male</t>
        </is>
      </c>
      <c r="C2242" s="6" t="inlineStr">
        <is>
          <t>25</t>
        </is>
      </c>
      <c r="D2242" s="5" t="inlineStr">
        <is>
          <t>Single</t>
        </is>
      </c>
      <c r="E2242" s="5" t="inlineStr">
        <is>
          <t>Master</t>
        </is>
      </c>
      <c r="F2242" s="5" t="inlineStr">
        <is>
          <t>Finance</t>
        </is>
      </c>
      <c r="G2242" s="5" t="inlineStr">
        <is>
          <t>Accountant</t>
        </is>
      </c>
      <c r="H2242" s="5" t="inlineStr">
        <is>
          <t>1</t>
        </is>
      </c>
      <c r="I2242" s="5" t="inlineStr">
        <is>
          <t>Hyderabad</t>
        </is>
      </c>
      <c r="J2242" s="5" t="inlineStr">
        <is>
          <t>Full-Time</t>
        </is>
      </c>
      <c r="K2242" s="7" t="n">
        <v>45902</v>
      </c>
      <c r="L2242" s="7" t="n">
        <v>45950</v>
      </c>
      <c r="M2242" s="5" t="inlineStr">
        <is>
          <t>No</t>
        </is>
      </c>
      <c r="N2242" s="5" t="inlineStr">
        <is>
          <t>Performance / Termination</t>
        </is>
      </c>
      <c r="O2242" s="8" t="inlineStr">
        <is>
          <t>69500</t>
        </is>
      </c>
      <c r="P2242" s="5" t="inlineStr">
        <is>
          <t>0</t>
        </is>
      </c>
      <c r="Q2242" s="5" t="inlineStr">
        <is>
          <t>3</t>
        </is>
      </c>
      <c r="R2242" s="5" t="inlineStr">
        <is>
          <t>4</t>
        </is>
      </c>
      <c r="S2242" s="5" t="inlineStr">
        <is>
          <t>1</t>
        </is>
      </c>
      <c r="T2242" s="5" t="inlineStr">
        <is>
          <t>5</t>
        </is>
      </c>
      <c r="U2242" s="5" t="inlineStr">
        <is>
          <t>OK</t>
        </is>
      </c>
    </row>
    <row r="2243">
      <c r="A2243" s="5" t="inlineStr">
        <is>
          <t>E01106</t>
        </is>
      </c>
      <c r="B2243" s="5" t="inlineStr">
        <is>
          <t>Male</t>
        </is>
      </c>
      <c r="C2243" s="6" t="inlineStr">
        <is>
          <t>25</t>
        </is>
      </c>
      <c r="D2243" s="5" t="inlineStr">
        <is>
          <t>Married</t>
        </is>
      </c>
      <c r="E2243" s="5" t="inlineStr">
        <is>
          <t>High School</t>
        </is>
      </c>
      <c r="F2243" s="5" t="inlineStr">
        <is>
          <t>Sales</t>
        </is>
      </c>
      <c r="G2243" s="5" t="inlineStr">
        <is>
          <t>Account Executive</t>
        </is>
      </c>
      <c r="H2243" s="5" t="inlineStr">
        <is>
          <t>2</t>
        </is>
      </c>
      <c r="I2243" s="5" t="inlineStr">
        <is>
          <t>Remote</t>
        </is>
      </c>
      <c r="J2243" s="5" t="inlineStr">
        <is>
          <t>Full-Time</t>
        </is>
      </c>
      <c r="K2243" s="7" t="n">
        <v>45295</v>
      </c>
      <c r="L2243" s="7" t="inlineStr"/>
      <c r="M2243" s="5" t="inlineStr">
        <is>
          <t>Yes</t>
        </is>
      </c>
      <c r="N2243" s="5" t="inlineStr"/>
      <c r="O2243" s="8" t="inlineStr">
        <is>
          <t>110500</t>
        </is>
      </c>
      <c r="P2243" s="5" t="inlineStr">
        <is>
          <t>5</t>
        </is>
      </c>
      <c r="Q2243" s="5" t="inlineStr">
        <is>
          <t>2</t>
        </is>
      </c>
      <c r="R2243" s="5" t="inlineStr">
        <is>
          <t>3</t>
        </is>
      </c>
      <c r="S2243" s="5" t="inlineStr">
        <is>
          <t>24</t>
        </is>
      </c>
      <c r="T2243" s="5" t="inlineStr">
        <is>
          <t>0</t>
        </is>
      </c>
      <c r="U2243" s="5" t="inlineStr">
        <is>
          <t>OK</t>
        </is>
      </c>
    </row>
    <row r="2244">
      <c r="A2244" s="5" t="inlineStr">
        <is>
          <t>E00124</t>
        </is>
      </c>
      <c r="B2244" s="5" t="inlineStr">
        <is>
          <t>Male</t>
        </is>
      </c>
      <c r="C2244" s="6" t="inlineStr">
        <is>
          <t>25</t>
        </is>
      </c>
      <c r="D2244" s="5" t="inlineStr">
        <is>
          <t>Married</t>
        </is>
      </c>
      <c r="E2244" s="5" t="inlineStr">
        <is>
          <t>Master</t>
        </is>
      </c>
      <c r="F2244" s="5" t="inlineStr">
        <is>
          <t>Marketing</t>
        </is>
      </c>
      <c r="G2244" s="5" t="inlineStr">
        <is>
          <t>Content Writer</t>
        </is>
      </c>
      <c r="H2244" s="5" t="inlineStr">
        <is>
          <t>2</t>
        </is>
      </c>
      <c r="I2244" s="5" t="inlineStr">
        <is>
          <t>Chennai</t>
        </is>
      </c>
      <c r="J2244" s="5" t="inlineStr">
        <is>
          <t>Full-Time</t>
        </is>
      </c>
      <c r="K2244" s="7" t="n">
        <v>45951</v>
      </c>
      <c r="L2244" s="7" t="n">
        <v>46021</v>
      </c>
      <c r="M2244" s="5" t="inlineStr">
        <is>
          <t>No</t>
        </is>
      </c>
      <c r="N2244" s="5" t="inlineStr">
        <is>
          <t>Layoff</t>
        </is>
      </c>
      <c r="O2244" s="8" t="inlineStr">
        <is>
          <t>58000</t>
        </is>
      </c>
      <c r="P2244" s="5" t="inlineStr">
        <is>
          <t>5</t>
        </is>
      </c>
      <c r="Q2244" s="5" t="inlineStr">
        <is>
          <t>2</t>
        </is>
      </c>
      <c r="R2244" s="5" t="inlineStr">
        <is>
          <t>6</t>
        </is>
      </c>
      <c r="S2244" s="5" t="inlineStr">
        <is>
          <t>2</t>
        </is>
      </c>
      <c r="T2244" s="5" t="inlineStr">
        <is>
          <t>0</t>
        </is>
      </c>
      <c r="U2244" s="5" t="inlineStr">
        <is>
          <t>OK</t>
        </is>
      </c>
    </row>
    <row r="2245">
      <c r="A2245" s="5" t="inlineStr">
        <is>
          <t>E01781</t>
        </is>
      </c>
      <c r="B2245" s="5" t="inlineStr">
        <is>
          <t>Female</t>
        </is>
      </c>
      <c r="C2245" s="6" t="inlineStr">
        <is>
          <t>24</t>
        </is>
      </c>
      <c r="D2245" s="5" t="inlineStr">
        <is>
          <t>Married</t>
        </is>
      </c>
      <c r="E2245" s="5" t="inlineStr">
        <is>
          <t>PhD</t>
        </is>
      </c>
      <c r="F2245" s="5" t="inlineStr">
        <is>
          <t>Operations</t>
        </is>
      </c>
      <c r="G2245" s="5" t="inlineStr">
        <is>
          <t>Quality Analyst</t>
        </is>
      </c>
      <c r="H2245" s="5" t="inlineStr">
        <is>
          <t>1</t>
        </is>
      </c>
      <c r="I2245" s="5" t="inlineStr">
        <is>
          <t>Remote</t>
        </is>
      </c>
      <c r="J2245" s="5" t="inlineStr">
        <is>
          <t>Full-Time</t>
        </is>
      </c>
      <c r="K2245" s="7" t="n">
        <v>45676</v>
      </c>
      <c r="L2245" s="7" t="inlineStr"/>
      <c r="M2245" s="5" t="inlineStr">
        <is>
          <t>Yes</t>
        </is>
      </c>
      <c r="N2245" s="5" t="inlineStr"/>
      <c r="O2245" s="8" t="inlineStr">
        <is>
          <t>55000</t>
        </is>
      </c>
      <c r="P2245" s="5" t="inlineStr">
        <is>
          <t>0</t>
        </is>
      </c>
      <c r="Q2245" s="5" t="inlineStr">
        <is>
          <t>4</t>
        </is>
      </c>
      <c r="R2245" s="5" t="inlineStr">
        <is>
          <t>4</t>
        </is>
      </c>
      <c r="S2245" s="5" t="inlineStr">
        <is>
          <t>11</t>
        </is>
      </c>
      <c r="T2245" s="5" t="inlineStr">
        <is>
          <t>8</t>
        </is>
      </c>
      <c r="U2245" s="5" t="inlineStr">
        <is>
          <t>OK</t>
        </is>
      </c>
    </row>
    <row r="2246">
      <c r="A2246" s="5" t="inlineStr">
        <is>
          <t>E00510</t>
        </is>
      </c>
      <c r="B2246" s="5" t="inlineStr">
        <is>
          <t>Male</t>
        </is>
      </c>
      <c r="C2246" s="6" t="inlineStr">
        <is>
          <t>31</t>
        </is>
      </c>
      <c r="D2246" s="5" t="inlineStr">
        <is>
          <t>Married</t>
        </is>
      </c>
      <c r="E2246" s="5" t="inlineStr">
        <is>
          <t>Diploma</t>
        </is>
      </c>
      <c r="F2246" s="5" t="inlineStr">
        <is>
          <t>Operations</t>
        </is>
      </c>
      <c r="G2246" s="5" t="inlineStr">
        <is>
          <t>Operations Analyst</t>
        </is>
      </c>
      <c r="H2246" s="5" t="inlineStr">
        <is>
          <t>4</t>
        </is>
      </c>
      <c r="I2246" s="5" t="inlineStr">
        <is>
          <t>Chennai</t>
        </is>
      </c>
      <c r="J2246" s="5" t="inlineStr">
        <is>
          <t>Full-Time</t>
        </is>
      </c>
      <c r="K2246" s="7" t="n">
        <v>45372</v>
      </c>
      <c r="L2246" s="7" t="n">
        <v>45491</v>
      </c>
      <c r="M2246" s="5" t="inlineStr">
        <is>
          <t>No</t>
        </is>
      </c>
      <c r="N2246" s="5" t="inlineStr">
        <is>
          <t>Resigned</t>
        </is>
      </c>
      <c r="O2246" s="8" t="inlineStr">
        <is>
          <t>142000</t>
        </is>
      </c>
      <c r="P2246" s="5" t="inlineStr">
        <is>
          <t>15</t>
        </is>
      </c>
      <c r="Q2246" s="5" t="inlineStr">
        <is>
          <t>3</t>
        </is>
      </c>
      <c r="R2246" s="5" t="inlineStr">
        <is>
          <t>6</t>
        </is>
      </c>
      <c r="S2246" s="5" t="inlineStr">
        <is>
          <t>3</t>
        </is>
      </c>
      <c r="T2246" s="5" t="inlineStr">
        <is>
          <t>4</t>
        </is>
      </c>
      <c r="U2246" s="5" t="inlineStr">
        <is>
          <t>OK</t>
        </is>
      </c>
    </row>
    <row r="2247">
      <c r="A2247" s="5" t="inlineStr">
        <is>
          <t>E01753</t>
        </is>
      </c>
      <c r="B2247" s="5" t="inlineStr">
        <is>
          <t>Male</t>
        </is>
      </c>
      <c r="C2247" s="6" t="inlineStr">
        <is>
          <t>27</t>
        </is>
      </c>
      <c r="D2247" s="5" t="inlineStr">
        <is>
          <t>Married</t>
        </is>
      </c>
      <c r="E2247" s="5" t="inlineStr">
        <is>
          <t>Master</t>
        </is>
      </c>
      <c r="F2247" s="5" t="inlineStr">
        <is>
          <t>Sales</t>
        </is>
      </c>
      <c r="G2247" s="5" t="inlineStr">
        <is>
          <t>Sales Executive</t>
        </is>
      </c>
      <c r="H2247" s="5" t="inlineStr">
        <is>
          <t>1</t>
        </is>
      </c>
      <c r="I2247" s="5" t="inlineStr">
        <is>
          <t>Mumbai</t>
        </is>
      </c>
      <c r="J2247" s="5" t="inlineStr">
        <is>
          <t>Full-Time</t>
        </is>
      </c>
      <c r="K2247" s="7" t="n">
        <v>44925</v>
      </c>
      <c r="L2247" s="7" t="inlineStr"/>
      <c r="M2247" s="5" t="inlineStr">
        <is>
          <t>Yes</t>
        </is>
      </c>
      <c r="N2247" s="5" t="inlineStr"/>
      <c r="O2247" s="8" t="inlineStr">
        <is>
          <t>92000</t>
        </is>
      </c>
      <c r="P2247" s="5" t="inlineStr">
        <is>
          <t>0</t>
        </is>
      </c>
      <c r="Q2247" s="5" t="inlineStr">
        <is>
          <t>4</t>
        </is>
      </c>
      <c r="R2247" s="5" t="inlineStr">
        <is>
          <t>5</t>
        </is>
      </c>
      <c r="S2247" s="5" t="inlineStr">
        <is>
          <t>36</t>
        </is>
      </c>
      <c r="T2247" s="5" t="inlineStr">
        <is>
          <t>1</t>
        </is>
      </c>
      <c r="U2247" s="5" t="inlineStr">
        <is>
          <t>OK</t>
        </is>
      </c>
    </row>
    <row r="2248">
      <c r="A2248" s="5" t="inlineStr">
        <is>
          <t>E01843</t>
        </is>
      </c>
      <c r="B2248" s="5" t="inlineStr">
        <is>
          <t>Female</t>
        </is>
      </c>
      <c r="C2248" s="6" t="inlineStr">
        <is>
          <t>37</t>
        </is>
      </c>
      <c r="D2248" s="5" t="inlineStr">
        <is>
          <t>Married</t>
        </is>
      </c>
      <c r="E2248" s="5" t="inlineStr">
        <is>
          <t>Diploma</t>
        </is>
      </c>
      <c r="F2248" s="5" t="inlineStr">
        <is>
          <t>Executive</t>
        </is>
      </c>
      <c r="G2248" s="5" t="inlineStr">
        <is>
          <t>CFO</t>
        </is>
      </c>
      <c r="H2248" s="5" t="inlineStr">
        <is>
          <t>3</t>
        </is>
      </c>
      <c r="I2248" s="5" t="inlineStr">
        <is>
          <t>Mumbai</t>
        </is>
      </c>
      <c r="J2248" s="5" t="inlineStr">
        <is>
          <t>Full-Time</t>
        </is>
      </c>
      <c r="K2248" s="7" t="n">
        <v>44971</v>
      </c>
      <c r="L2248" s="7" t="inlineStr"/>
      <c r="M2248" s="5" t="inlineStr">
        <is>
          <t>Yes</t>
        </is>
      </c>
      <c r="N2248" s="5" t="inlineStr"/>
      <c r="O2248" s="8" t="inlineStr">
        <is>
          <t>336000</t>
        </is>
      </c>
      <c r="P2248" s="5" t="inlineStr">
        <is>
          <t>10</t>
        </is>
      </c>
      <c r="Q2248" s="5" t="inlineStr">
        <is>
          <t>3</t>
        </is>
      </c>
      <c r="R2248" s="5" t="inlineStr">
        <is>
          <t>4</t>
        </is>
      </c>
      <c r="S2248" s="5" t="inlineStr">
        <is>
          <t>35</t>
        </is>
      </c>
      <c r="T2248" s="5" t="inlineStr">
        <is>
          <t>5</t>
        </is>
      </c>
      <c r="U2248" s="5" t="inlineStr">
        <is>
          <t>OK</t>
        </is>
      </c>
    </row>
    <row r="2249">
      <c r="A2249" s="5" t="inlineStr">
        <is>
          <t>E01863</t>
        </is>
      </c>
      <c r="B2249" s="5" t="inlineStr">
        <is>
          <t>Male</t>
        </is>
      </c>
      <c r="C2249" s="6" t="inlineStr">
        <is>
          <t>38</t>
        </is>
      </c>
      <c r="D2249" s="5" t="inlineStr">
        <is>
          <t>Married</t>
        </is>
      </c>
      <c r="E2249" s="5" t="inlineStr">
        <is>
          <t>Diploma</t>
        </is>
      </c>
      <c r="F2249" s="5" t="inlineStr">
        <is>
          <t>Marketing</t>
        </is>
      </c>
      <c r="G2249" s="5" t="inlineStr">
        <is>
          <t>Marketing Analyst</t>
        </is>
      </c>
      <c r="H2249" s="5" t="inlineStr">
        <is>
          <t>4</t>
        </is>
      </c>
      <c r="I2249" s="5" t="inlineStr">
        <is>
          <t>Hyderabad</t>
        </is>
      </c>
      <c r="J2249" s="5" t="inlineStr">
        <is>
          <t>Full-Time</t>
        </is>
      </c>
      <c r="K2249" s="7" t="n">
        <v>45144</v>
      </c>
      <c r="L2249" s="7" t="inlineStr"/>
      <c r="M2249" s="5" t="inlineStr">
        <is>
          <t>Yes</t>
        </is>
      </c>
      <c r="N2249" s="5" t="inlineStr"/>
      <c r="O2249" s="8" t="inlineStr">
        <is>
          <t>95500</t>
        </is>
      </c>
      <c r="P2249" s="5" t="inlineStr">
        <is>
          <t>5</t>
        </is>
      </c>
      <c r="Q2249" s="5" t="inlineStr">
        <is>
          <t>4</t>
        </is>
      </c>
      <c r="R2249" s="5" t="inlineStr">
        <is>
          <t>5</t>
        </is>
      </c>
      <c r="S2249" s="5" t="inlineStr">
        <is>
          <t>29</t>
        </is>
      </c>
      <c r="T2249" s="5" t="inlineStr">
        <is>
          <t>7</t>
        </is>
      </c>
      <c r="U2249" s="5" t="inlineStr">
        <is>
          <t>OK</t>
        </is>
      </c>
    </row>
    <row r="2250">
      <c r="A2250" s="5" t="inlineStr">
        <is>
          <t>E00368</t>
        </is>
      </c>
      <c r="B2250" s="5" t="inlineStr">
        <is>
          <t>Female</t>
        </is>
      </c>
      <c r="C2250" s="6" t="inlineStr">
        <is>
          <t>31</t>
        </is>
      </c>
      <c r="D2250" s="5" t="inlineStr">
        <is>
          <t>Married</t>
        </is>
      </c>
      <c r="E2250" s="5" t="inlineStr">
        <is>
          <t>Bachelor</t>
        </is>
      </c>
      <c r="F2250" s="5" t="inlineStr">
        <is>
          <t>Operations</t>
        </is>
      </c>
      <c r="G2250" s="5" t="inlineStr">
        <is>
          <t>Operations Analyst</t>
        </is>
      </c>
      <c r="H2250" s="5" t="inlineStr">
        <is>
          <t>2</t>
        </is>
      </c>
      <c r="I2250" s="5" t="inlineStr">
        <is>
          <t>Hyderabad</t>
        </is>
      </c>
      <c r="J2250" s="5" t="inlineStr">
        <is>
          <t>Full-Time</t>
        </is>
      </c>
      <c r="K2250" s="7" t="n">
        <v>43939</v>
      </c>
      <c r="L2250" s="7" t="inlineStr"/>
      <c r="M2250" s="5" t="inlineStr">
        <is>
          <t>Yes</t>
        </is>
      </c>
      <c r="N2250" s="5" t="inlineStr"/>
      <c r="O2250" s="8" t="inlineStr">
        <is>
          <t>74000</t>
        </is>
      </c>
      <c r="P2250" s="5" t="inlineStr">
        <is>
          <t>5</t>
        </is>
      </c>
      <c r="Q2250" s="5" t="inlineStr">
        <is>
          <t>4</t>
        </is>
      </c>
      <c r="R2250" s="5" t="inlineStr">
        <is>
          <t>8</t>
        </is>
      </c>
      <c r="S2250" s="5" t="inlineStr">
        <is>
          <t>69</t>
        </is>
      </c>
      <c r="T2250" s="5" t="inlineStr">
        <is>
          <t>11</t>
        </is>
      </c>
      <c r="U2250" s="5" t="inlineStr">
        <is>
          <t>OK</t>
        </is>
      </c>
    </row>
    <row r="2251">
      <c r="A2251" s="5" t="inlineStr">
        <is>
          <t>E00809</t>
        </is>
      </c>
      <c r="B2251" s="5" t="inlineStr">
        <is>
          <t>Male</t>
        </is>
      </c>
      <c r="C2251" s="6" t="inlineStr">
        <is>
          <t>26</t>
        </is>
      </c>
      <c r="D2251" s="5" t="inlineStr">
        <is>
          <t>Single</t>
        </is>
      </c>
      <c r="E2251" s="5" t="inlineStr">
        <is>
          <t>High School</t>
        </is>
      </c>
      <c r="F2251" s="5" t="inlineStr">
        <is>
          <t>Sales</t>
        </is>
      </c>
      <c r="G2251" s="5" t="inlineStr">
        <is>
          <t>Business Development</t>
        </is>
      </c>
      <c r="H2251" s="5" t="inlineStr">
        <is>
          <t>1</t>
        </is>
      </c>
      <c r="I2251" s="5" t="inlineStr">
        <is>
          <t>Delhi</t>
        </is>
      </c>
      <c r="J2251" s="5" t="inlineStr">
        <is>
          <t>Full-Time</t>
        </is>
      </c>
      <c r="K2251" s="7" t="n">
        <v>45938</v>
      </c>
      <c r="L2251" s="7" t="inlineStr"/>
      <c r="M2251" s="5" t="inlineStr">
        <is>
          <t>Yes</t>
        </is>
      </c>
      <c r="N2251" s="5" t="inlineStr"/>
      <c r="O2251" s="8" t="inlineStr">
        <is>
          <t>61000</t>
        </is>
      </c>
      <c r="P2251" s="5" t="inlineStr">
        <is>
          <t>0</t>
        </is>
      </c>
      <c r="Q2251" s="5" t="inlineStr">
        <is>
          <t>3</t>
        </is>
      </c>
      <c r="R2251" s="5" t="inlineStr">
        <is>
          <t>5</t>
        </is>
      </c>
      <c r="S2251" s="5" t="inlineStr">
        <is>
          <t>2</t>
        </is>
      </c>
      <c r="T2251" s="5" t="inlineStr">
        <is>
          <t>0</t>
        </is>
      </c>
      <c r="U2251" s="5" t="inlineStr">
        <is>
          <t>OK</t>
        </is>
      </c>
    </row>
    <row r="2252">
      <c r="A2252" s="5" t="inlineStr">
        <is>
          <t>E02207</t>
        </is>
      </c>
      <c r="B2252" s="5" t="inlineStr">
        <is>
          <t>Female</t>
        </is>
      </c>
      <c r="C2252" s="6" t="inlineStr">
        <is>
          <t>28</t>
        </is>
      </c>
      <c r="D2252" s="5" t="inlineStr">
        <is>
          <t>Married</t>
        </is>
      </c>
      <c r="E2252" s="5" t="inlineStr">
        <is>
          <t>Bachelor</t>
        </is>
      </c>
      <c r="F2252" s="5" t="inlineStr">
        <is>
          <t>Customer Support</t>
        </is>
      </c>
      <c r="G2252" s="5" t="inlineStr">
        <is>
          <t>Escalation Specialist</t>
        </is>
      </c>
      <c r="H2252" s="5" t="inlineStr">
        <is>
          <t>3</t>
        </is>
      </c>
      <c r="I2252" s="5" t="inlineStr">
        <is>
          <t>Bengaluru</t>
        </is>
      </c>
      <c r="J2252" s="5" t="inlineStr">
        <is>
          <t>Full-Time</t>
        </is>
      </c>
      <c r="K2252" s="7" t="n">
        <v>44885</v>
      </c>
      <c r="L2252" s="7" t="inlineStr"/>
      <c r="M2252" s="5" t="inlineStr">
        <is>
          <t>Yes</t>
        </is>
      </c>
      <c r="N2252" s="5" t="inlineStr"/>
      <c r="O2252" s="8" t="inlineStr">
        <is>
          <t>89000</t>
        </is>
      </c>
      <c r="P2252" s="5" t="inlineStr">
        <is>
          <t>10</t>
        </is>
      </c>
      <c r="Q2252" s="5" t="inlineStr">
        <is>
          <t>3</t>
        </is>
      </c>
      <c r="R2252" s="5" t="inlineStr">
        <is>
          <t>2</t>
        </is>
      </c>
      <c r="S2252" s="5" t="inlineStr">
        <is>
          <t>37</t>
        </is>
      </c>
      <c r="T2252" s="5" t="inlineStr">
        <is>
          <t>8</t>
        </is>
      </c>
      <c r="U2252" s="5" t="inlineStr">
        <is>
          <t>OK</t>
        </is>
      </c>
    </row>
    <row r="2253">
      <c r="A2253" s="5" t="inlineStr">
        <is>
          <t>E00996</t>
        </is>
      </c>
      <c r="B2253" s="5" t="inlineStr">
        <is>
          <t>Female</t>
        </is>
      </c>
      <c r="C2253" s="6" t="inlineStr">
        <is>
          <t>35</t>
        </is>
      </c>
      <c r="D2253" s="5" t="inlineStr">
        <is>
          <t>Married</t>
        </is>
      </c>
      <c r="E2253" s="5" t="inlineStr">
        <is>
          <t>Diploma</t>
        </is>
      </c>
      <c r="F2253" s="5" t="inlineStr">
        <is>
          <t>Operations</t>
        </is>
      </c>
      <c r="G2253" s="5" t="inlineStr">
        <is>
          <t>Operations Analyst</t>
        </is>
      </c>
      <c r="H2253" s="5" t="inlineStr">
        <is>
          <t>3</t>
        </is>
      </c>
      <c r="I2253" s="5" t="inlineStr">
        <is>
          <t>Remote</t>
        </is>
      </c>
      <c r="J2253" s="5" t="inlineStr">
        <is>
          <t>Full-Time</t>
        </is>
      </c>
      <c r="K2253" s="7" t="n">
        <v>45828</v>
      </c>
      <c r="L2253" s="7" t="inlineStr"/>
      <c r="M2253" s="5" t="inlineStr">
        <is>
          <t>Yes</t>
        </is>
      </c>
      <c r="N2253" s="5" t="inlineStr"/>
      <c r="O2253" s="8" t="inlineStr">
        <is>
          <t>83500</t>
        </is>
      </c>
      <c r="P2253" s="5" t="inlineStr">
        <is>
          <t>0</t>
        </is>
      </c>
      <c r="Q2253" s="5" t="inlineStr">
        <is>
          <t>3</t>
        </is>
      </c>
      <c r="R2253" s="5" t="inlineStr">
        <is>
          <t>6</t>
        </is>
      </c>
      <c r="S2253" s="5" t="inlineStr">
        <is>
          <t>6</t>
        </is>
      </c>
      <c r="T2253" s="5" t="inlineStr">
        <is>
          <t>13</t>
        </is>
      </c>
      <c r="U2253" s="5" t="inlineStr">
        <is>
          <t>OK</t>
        </is>
      </c>
    </row>
    <row r="2254">
      <c r="A2254" s="5" t="inlineStr">
        <is>
          <t>E01137</t>
        </is>
      </c>
      <c r="B2254" s="5" t="inlineStr">
        <is>
          <t>Male</t>
        </is>
      </c>
      <c r="C2254" s="6" t="inlineStr">
        <is>
          <t>33</t>
        </is>
      </c>
      <c r="D2254" s="5" t="inlineStr">
        <is>
          <t>Single</t>
        </is>
      </c>
      <c r="E2254" s="5" t="inlineStr">
        <is>
          <t>Master</t>
        </is>
      </c>
      <c r="F2254" s="5" t="inlineStr">
        <is>
          <t>Customer Support</t>
        </is>
      </c>
      <c r="G2254" s="5" t="inlineStr">
        <is>
          <t>Support Lead</t>
        </is>
      </c>
      <c r="H2254" s="5" t="inlineStr">
        <is>
          <t>3</t>
        </is>
      </c>
      <c r="I2254" s="5" t="inlineStr">
        <is>
          <t>Bengaluru</t>
        </is>
      </c>
      <c r="J2254" s="5" t="inlineStr">
        <is>
          <t>Full-Time</t>
        </is>
      </c>
      <c r="K2254" s="7" t="n">
        <v>44803</v>
      </c>
      <c r="L2254" s="7" t="inlineStr"/>
      <c r="M2254" s="5" t="inlineStr">
        <is>
          <t>Yes</t>
        </is>
      </c>
      <c r="N2254" s="5" t="inlineStr"/>
      <c r="O2254" s="8" t="inlineStr">
        <is>
          <t>78500</t>
        </is>
      </c>
      <c r="P2254" s="5" t="inlineStr">
        <is>
          <t>5</t>
        </is>
      </c>
      <c r="Q2254" s="5" t="inlineStr">
        <is>
          <t>5</t>
        </is>
      </c>
      <c r="R2254" s="5" t="inlineStr">
        <is>
          <t>9</t>
        </is>
      </c>
      <c r="S2254" s="5" t="inlineStr">
        <is>
          <t>40</t>
        </is>
      </c>
      <c r="T2254" s="5" t="inlineStr">
        <is>
          <t>11</t>
        </is>
      </c>
      <c r="U2254" s="5" t="inlineStr">
        <is>
          <t>OK</t>
        </is>
      </c>
    </row>
    <row r="2255">
      <c r="A2255" s="5" t="inlineStr">
        <is>
          <t>E02928</t>
        </is>
      </c>
      <c r="B2255" s="5" t="inlineStr">
        <is>
          <t>Male</t>
        </is>
      </c>
      <c r="C2255" s="6" t="inlineStr">
        <is>
          <t>30</t>
        </is>
      </c>
      <c r="D2255" s="5" t="inlineStr">
        <is>
          <t>Single</t>
        </is>
      </c>
      <c r="E2255" s="5" t="inlineStr">
        <is>
          <t>Bachelor</t>
        </is>
      </c>
      <c r="F2255" s="5" t="inlineStr">
        <is>
          <t>Sales</t>
        </is>
      </c>
      <c r="G2255" s="5" t="inlineStr">
        <is>
          <t>Sales Executive</t>
        </is>
      </c>
      <c r="H2255" s="5" t="inlineStr">
        <is>
          <t>3</t>
        </is>
      </c>
      <c r="I2255" s="5" t="inlineStr">
        <is>
          <t>Chennai</t>
        </is>
      </c>
      <c r="J2255" s="5" t="inlineStr">
        <is>
          <t>Full-Time</t>
        </is>
      </c>
      <c r="K2255" s="7" t="n">
        <v>44231</v>
      </c>
      <c r="L2255" s="7" t="inlineStr"/>
      <c r="M2255" s="5" t="inlineStr">
        <is>
          <t>Yes</t>
        </is>
      </c>
      <c r="N2255" s="5" t="inlineStr"/>
      <c r="O2255" s="8" t="inlineStr">
        <is>
          <t>1500000</t>
        </is>
      </c>
      <c r="P2255" s="5" t="inlineStr">
        <is>
          <t>10</t>
        </is>
      </c>
      <c r="Q2255" s="5" t="inlineStr">
        <is>
          <t>2</t>
        </is>
      </c>
      <c r="R2255" s="5" t="inlineStr">
        <is>
          <t>9</t>
        </is>
      </c>
      <c r="S2255" s="5" t="inlineStr">
        <is>
          <t>59</t>
        </is>
      </c>
      <c r="T2255" s="5" t="inlineStr">
        <is>
          <t>6</t>
        </is>
      </c>
      <c r="U2255" s="5" t="inlineStr">
        <is>
          <t>Outlier salary</t>
        </is>
      </c>
    </row>
    <row r="2256">
      <c r="A2256" s="5" t="inlineStr">
        <is>
          <t>E02805</t>
        </is>
      </c>
      <c r="B2256" s="5" t="inlineStr">
        <is>
          <t>Female</t>
        </is>
      </c>
      <c r="C2256" s="6" t="inlineStr">
        <is>
          <t>37</t>
        </is>
      </c>
      <c r="D2256" s="5" t="inlineStr">
        <is>
          <t>Single</t>
        </is>
      </c>
      <c r="E2256" s="5" t="inlineStr">
        <is>
          <t>Bachelor</t>
        </is>
      </c>
      <c r="F2256" s="5" t="inlineStr">
        <is>
          <t>Marketing</t>
        </is>
      </c>
      <c r="G2256" s="5" t="inlineStr">
        <is>
          <t>Marketing Analyst</t>
        </is>
      </c>
      <c r="H2256" s="5" t="inlineStr">
        <is>
          <t>4</t>
        </is>
      </c>
      <c r="I2256" s="5" t="inlineStr">
        <is>
          <t>Chennai</t>
        </is>
      </c>
      <c r="J2256" s="5" t="inlineStr">
        <is>
          <t>Full-Time</t>
        </is>
      </c>
      <c r="K2256" s="7" t="n">
        <v>44612</v>
      </c>
      <c r="L2256" s="7" t="inlineStr"/>
      <c r="M2256" s="5" t="inlineStr">
        <is>
          <t>Yes</t>
        </is>
      </c>
      <c r="N2256" s="5" t="inlineStr"/>
      <c r="O2256" s="8" t="inlineStr">
        <is>
          <t>125000</t>
        </is>
      </c>
      <c r="P2256" s="5" t="inlineStr">
        <is>
          <t>0</t>
        </is>
      </c>
      <c r="Q2256" s="5" t="inlineStr">
        <is>
          <t>3</t>
        </is>
      </c>
      <c r="R2256" s="5" t="inlineStr">
        <is>
          <t>7</t>
        </is>
      </c>
      <c r="S2256" s="5" t="inlineStr">
        <is>
          <t>47</t>
        </is>
      </c>
      <c r="T2256" s="5" t="inlineStr">
        <is>
          <t>0</t>
        </is>
      </c>
      <c r="U2256" s="5" t="inlineStr">
        <is>
          <t>OK</t>
        </is>
      </c>
    </row>
    <row r="2257">
      <c r="A2257" s="5" t="inlineStr">
        <is>
          <t>E02106</t>
        </is>
      </c>
      <c r="B2257" s="5" t="inlineStr">
        <is>
          <t>Female</t>
        </is>
      </c>
      <c r="C2257" s="6" t="inlineStr">
        <is>
          <t>36</t>
        </is>
      </c>
      <c r="D2257" s="5" t="inlineStr">
        <is>
          <t>Married</t>
        </is>
      </c>
      <c r="E2257" s="5" t="inlineStr">
        <is>
          <t>Bachelor</t>
        </is>
      </c>
      <c r="F2257" s="5" t="inlineStr">
        <is>
          <t>Sales</t>
        </is>
      </c>
      <c r="G2257" s="5" t="inlineStr">
        <is>
          <t>Business Development</t>
        </is>
      </c>
      <c r="H2257" s="5" t="inlineStr">
        <is>
          <t>3</t>
        </is>
      </c>
      <c r="I2257" s="5" t="inlineStr">
        <is>
          <t>Hyderabad</t>
        </is>
      </c>
      <c r="J2257" s="5" t="inlineStr">
        <is>
          <t>Full-Time</t>
        </is>
      </c>
      <c r="K2257" s="7" t="n">
        <v>44252</v>
      </c>
      <c r="L2257" s="7" t="inlineStr"/>
      <c r="M2257" s="5" t="inlineStr">
        <is>
          <t>Yes</t>
        </is>
      </c>
      <c r="N2257" s="5" t="inlineStr"/>
      <c r="O2257" s="8" t="inlineStr">
        <is>
          <t>92000</t>
        </is>
      </c>
      <c r="P2257" s="5" t="inlineStr">
        <is>
          <t>5</t>
        </is>
      </c>
      <c r="Q2257" s="5" t="inlineStr">
        <is>
          <t>4</t>
        </is>
      </c>
      <c r="R2257" s="5" t="inlineStr">
        <is>
          <t>8</t>
        </is>
      </c>
      <c r="S2257" s="5" t="inlineStr">
        <is>
          <t>59</t>
        </is>
      </c>
      <c r="T2257" s="5" t="inlineStr">
        <is>
          <t>14</t>
        </is>
      </c>
      <c r="U2257" s="5" t="inlineStr">
        <is>
          <t>OK</t>
        </is>
      </c>
    </row>
    <row r="2258">
      <c r="A2258" s="5" t="inlineStr">
        <is>
          <t>E00241</t>
        </is>
      </c>
      <c r="B2258" s="5" t="inlineStr">
        <is>
          <t>Female</t>
        </is>
      </c>
      <c r="C2258" s="6" t="inlineStr">
        <is>
          <t>28</t>
        </is>
      </c>
      <c r="D2258" s="5" t="inlineStr">
        <is>
          <t>Married</t>
        </is>
      </c>
      <c r="E2258" s="5" t="inlineStr">
        <is>
          <t>High School</t>
        </is>
      </c>
      <c r="F2258" s="5" t="inlineStr">
        <is>
          <t>IT</t>
        </is>
      </c>
      <c r="G2258" s="5" t="inlineStr">
        <is>
          <t>Software Engineer</t>
        </is>
      </c>
      <c r="H2258" s="5" t="inlineStr">
        <is>
          <t>2</t>
        </is>
      </c>
      <c r="I2258" s="5" t="inlineStr">
        <is>
          <t>Mumbai</t>
        </is>
      </c>
      <c r="J2258" s="5" t="inlineStr">
        <is>
          <t>Full-Time</t>
        </is>
      </c>
      <c r="K2258" s="7" t="n">
        <v>45551</v>
      </c>
      <c r="L2258" s="7" t="n">
        <v>45596</v>
      </c>
      <c r="M2258" s="5" t="inlineStr">
        <is>
          <t>No</t>
        </is>
      </c>
      <c r="N2258" s="5" t="inlineStr">
        <is>
          <t>Performance / Termination</t>
        </is>
      </c>
      <c r="O2258" s="8" t="inlineStr">
        <is>
          <t>167000</t>
        </is>
      </c>
      <c r="P2258" s="5" t="inlineStr">
        <is>
          <t>0</t>
        </is>
      </c>
      <c r="Q2258" s="5" t="inlineStr">
        <is>
          <t>4</t>
        </is>
      </c>
      <c r="R2258" s="5" t="inlineStr">
        <is>
          <t>5</t>
        </is>
      </c>
      <c r="S2258" s="5" t="inlineStr">
        <is>
          <t>1</t>
        </is>
      </c>
      <c r="T2258" s="5" t="inlineStr">
        <is>
          <t>10</t>
        </is>
      </c>
      <c r="U2258" s="5" t="inlineStr">
        <is>
          <t>OK</t>
        </is>
      </c>
    </row>
    <row r="2259">
      <c r="A2259" s="5" t="inlineStr">
        <is>
          <t>E01615</t>
        </is>
      </c>
      <c r="B2259" s="5" t="inlineStr">
        <is>
          <t>female</t>
        </is>
      </c>
      <c r="C2259" s="6" t="inlineStr">
        <is>
          <t>28</t>
        </is>
      </c>
      <c r="D2259" s="5" t="inlineStr">
        <is>
          <t>Married</t>
        </is>
      </c>
      <c r="E2259" s="5" t="inlineStr">
        <is>
          <t>High School</t>
        </is>
      </c>
      <c r="F2259" s="5" t="inlineStr">
        <is>
          <t>IT</t>
        </is>
      </c>
      <c r="G2259" s="5" t="inlineStr">
        <is>
          <t>Data Analyst</t>
        </is>
      </c>
      <c r="H2259" s="5" t="inlineStr">
        <is>
          <t>2</t>
        </is>
      </c>
      <c r="I2259" s="5" t="inlineStr">
        <is>
          <t>Delhi</t>
        </is>
      </c>
      <c r="J2259" s="5" t="inlineStr">
        <is>
          <t>Full-Time</t>
        </is>
      </c>
      <c r="K2259" s="7" t="n">
        <v>44741</v>
      </c>
      <c r="L2259" s="7" t="n">
        <v>44804</v>
      </c>
      <c r="M2259" s="5" t="inlineStr">
        <is>
          <t>No</t>
        </is>
      </c>
      <c r="N2259" s="5" t="inlineStr">
        <is>
          <t>Resigned</t>
        </is>
      </c>
      <c r="O2259" s="8" t="inlineStr">
        <is>
          <t>122500</t>
        </is>
      </c>
      <c r="P2259" s="5" t="inlineStr">
        <is>
          <t>20</t>
        </is>
      </c>
      <c r="Q2259" s="5" t="inlineStr">
        <is>
          <t>5</t>
        </is>
      </c>
      <c r="R2259" s="5" t="inlineStr">
        <is>
          <t>6</t>
        </is>
      </c>
      <c r="S2259" s="5" t="inlineStr">
        <is>
          <t>2</t>
        </is>
      </c>
      <c r="T2259" s="5" t="inlineStr">
        <is>
          <t>0</t>
        </is>
      </c>
      <c r="U2259" s="5" t="inlineStr">
        <is>
          <t>OK</t>
        </is>
      </c>
    </row>
    <row r="2260">
      <c r="A2260" s="5" t="inlineStr">
        <is>
          <t>E00834</t>
        </is>
      </c>
      <c r="B2260" s="5" t="inlineStr">
        <is>
          <t>Female</t>
        </is>
      </c>
      <c r="C2260" s="6" t="inlineStr">
        <is>
          <t>210</t>
        </is>
      </c>
      <c r="D2260" s="5" t="inlineStr">
        <is>
          <t>Single</t>
        </is>
      </c>
      <c r="E2260" s="5" t="inlineStr">
        <is>
          <t>Bachelor</t>
        </is>
      </c>
      <c r="F2260" s="5" t="inlineStr">
        <is>
          <t>IT</t>
        </is>
      </c>
      <c r="G2260" s="5" t="inlineStr">
        <is>
          <t>DevOps Engineer</t>
        </is>
      </c>
      <c r="H2260" s="5" t="inlineStr">
        <is>
          <t>4</t>
        </is>
      </c>
      <c r="I2260" s="5" t="inlineStr">
        <is>
          <t>Hyderabad</t>
        </is>
      </c>
      <c r="J2260" s="5" t="inlineStr">
        <is>
          <t>Full-Time</t>
        </is>
      </c>
      <c r="K2260" s="7" t="n">
        <v>44697</v>
      </c>
      <c r="L2260" s="7" t="inlineStr"/>
      <c r="M2260" s="5" t="inlineStr">
        <is>
          <t>Yes</t>
        </is>
      </c>
      <c r="N2260" s="5" t="inlineStr"/>
      <c r="O2260" s="8" t="inlineStr">
        <is>
          <t>193500</t>
        </is>
      </c>
      <c r="P2260" s="5" t="inlineStr">
        <is>
          <t>10</t>
        </is>
      </c>
      <c r="Q2260" s="5" t="inlineStr">
        <is>
          <t>4</t>
        </is>
      </c>
      <c r="R2260" s="5" t="inlineStr">
        <is>
          <t>6</t>
        </is>
      </c>
      <c r="S2260" s="5" t="inlineStr">
        <is>
          <t>44</t>
        </is>
      </c>
      <c r="T2260" s="5" t="inlineStr">
        <is>
          <t>3</t>
        </is>
      </c>
      <c r="U2260" s="5" t="inlineStr">
        <is>
          <t>Age typo</t>
        </is>
      </c>
    </row>
    <row r="2261">
      <c r="A2261" s="5" t="inlineStr">
        <is>
          <t>E02924</t>
        </is>
      </c>
      <c r="B2261" s="5" t="inlineStr">
        <is>
          <t>Female</t>
        </is>
      </c>
      <c r="C2261" s="6" t="inlineStr">
        <is>
          <t>29</t>
        </is>
      </c>
      <c r="D2261" s="5" t="inlineStr">
        <is>
          <t>Married</t>
        </is>
      </c>
      <c r="E2261" s="5" t="inlineStr">
        <is>
          <t>Bachelor</t>
        </is>
      </c>
      <c r="F2261" s="5" t="inlineStr">
        <is>
          <t>Customer Support</t>
        </is>
      </c>
      <c r="G2261" s="5" t="inlineStr">
        <is>
          <t>Support Lead</t>
        </is>
      </c>
      <c r="H2261" s="5" t="inlineStr">
        <is>
          <t>1</t>
        </is>
      </c>
      <c r="I2261" s="5" t="inlineStr">
        <is>
          <t>Mumbai</t>
        </is>
      </c>
      <c r="J2261" s="5" t="inlineStr">
        <is>
          <t>Full-Time</t>
        </is>
      </c>
      <c r="K2261" s="7" t="n">
        <v>44539</v>
      </c>
      <c r="L2261" s="7" t="inlineStr"/>
      <c r="M2261" s="5" t="inlineStr">
        <is>
          <t>Yes</t>
        </is>
      </c>
      <c r="N2261" s="5" t="inlineStr"/>
      <c r="O2261" s="8" t="inlineStr">
        <is>
          <t>61000</t>
        </is>
      </c>
      <c r="P2261" s="5" t="inlineStr">
        <is>
          <t>20</t>
        </is>
      </c>
      <c r="Q2261" s="5" t="inlineStr">
        <is>
          <t>5</t>
        </is>
      </c>
      <c r="R2261" s="5" t="inlineStr">
        <is>
          <t>4</t>
        </is>
      </c>
      <c r="S2261" s="5" t="inlineStr">
        <is>
          <t>49</t>
        </is>
      </c>
      <c r="T2261" s="5" t="inlineStr">
        <is>
          <t>0</t>
        </is>
      </c>
      <c r="U2261" s="5" t="inlineStr">
        <is>
          <t>OK</t>
        </is>
      </c>
    </row>
    <row r="2262">
      <c r="A2262" s="5" t="inlineStr">
        <is>
          <t>E02257</t>
        </is>
      </c>
      <c r="B2262" s="5" t="inlineStr">
        <is>
          <t>Female</t>
        </is>
      </c>
      <c r="C2262" s="6" t="inlineStr">
        <is>
          <t>30</t>
        </is>
      </c>
      <c r="D2262" s="5" t="inlineStr">
        <is>
          <t>Single</t>
        </is>
      </c>
      <c r="E2262" s="5" t="inlineStr">
        <is>
          <t>PhD</t>
        </is>
      </c>
      <c r="F2262" s="5" t="inlineStr">
        <is>
          <t>Research &amp; Development</t>
        </is>
      </c>
      <c r="G2262" s="5" t="inlineStr">
        <is>
          <t>Data Scientist</t>
        </is>
      </c>
      <c r="H2262" s="5" t="inlineStr">
        <is>
          <t>1</t>
        </is>
      </c>
      <c r="I2262" s="5" t="inlineStr">
        <is>
          <t>Bengaluru</t>
        </is>
      </c>
      <c r="J2262" s="5" t="inlineStr">
        <is>
          <t>Full-Time</t>
        </is>
      </c>
      <c r="K2262" s="7" t="n">
        <v>44363</v>
      </c>
      <c r="L2262" s="7" t="n">
        <v>44496</v>
      </c>
      <c r="M2262" s="5" t="inlineStr">
        <is>
          <t>No</t>
        </is>
      </c>
      <c r="N2262" s="5" t="inlineStr">
        <is>
          <t>Layoff</t>
        </is>
      </c>
      <c r="O2262" s="8" t="inlineStr">
        <is>
          <t>113000</t>
        </is>
      </c>
      <c r="P2262" s="5" t="inlineStr">
        <is>
          <t>5</t>
        </is>
      </c>
      <c r="Q2262" s="5" t="inlineStr">
        <is>
          <t>4</t>
        </is>
      </c>
      <c r="R2262" s="5" t="inlineStr">
        <is>
          <t>4</t>
        </is>
      </c>
      <c r="S2262" s="5" t="inlineStr">
        <is>
          <t>4</t>
        </is>
      </c>
      <c r="T2262" s="5" t="inlineStr">
        <is>
          <t>0</t>
        </is>
      </c>
      <c r="U2262" s="5" t="inlineStr">
        <is>
          <t>OK</t>
        </is>
      </c>
    </row>
    <row r="2263">
      <c r="A2263" s="5" t="inlineStr">
        <is>
          <t>E02435</t>
        </is>
      </c>
      <c r="B2263" s="5" t="inlineStr">
        <is>
          <t>Male</t>
        </is>
      </c>
      <c r="C2263" s="6" t="inlineStr">
        <is>
          <t>36</t>
        </is>
      </c>
      <c r="D2263" s="5" t="inlineStr">
        <is>
          <t>Married</t>
        </is>
      </c>
      <c r="E2263" s="5" t="inlineStr">
        <is>
          <t>High School</t>
        </is>
      </c>
      <c r="F2263" s="5" t="inlineStr">
        <is>
          <t>Human Resources</t>
        </is>
      </c>
      <c r="G2263" s="5" t="inlineStr">
        <is>
          <t>HR Generalist</t>
        </is>
      </c>
      <c r="H2263" s="5" t="inlineStr">
        <is>
          <t>2</t>
        </is>
      </c>
      <c r="I2263" s="5" t="inlineStr">
        <is>
          <t>Hyderabad</t>
        </is>
      </c>
      <c r="J2263" s="5" t="inlineStr">
        <is>
          <t>Full-Time</t>
        </is>
      </c>
      <c r="K2263" s="7" t="n">
        <v>44181</v>
      </c>
      <c r="L2263" s="7" t="inlineStr"/>
      <c r="M2263" s="5" t="inlineStr">
        <is>
          <t>Yes</t>
        </is>
      </c>
      <c r="N2263" s="5" t="inlineStr"/>
      <c r="O2263" s="8" t="inlineStr">
        <is>
          <t>91000</t>
        </is>
      </c>
      <c r="P2263" s="5" t="inlineStr">
        <is>
          <t>5</t>
        </is>
      </c>
      <c r="Q2263" s="5" t="inlineStr">
        <is>
          <t>3</t>
        </is>
      </c>
      <c r="R2263" s="5" t="inlineStr">
        <is>
          <t>7</t>
        </is>
      </c>
      <c r="S2263" s="5" t="inlineStr">
        <is>
          <t>61</t>
        </is>
      </c>
      <c r="T2263" s="5" t="inlineStr">
        <is>
          <t>0</t>
        </is>
      </c>
      <c r="U2263" s="5" t="inlineStr">
        <is>
          <t>OK</t>
        </is>
      </c>
    </row>
    <row r="2264">
      <c r="A2264" s="5" t="inlineStr">
        <is>
          <t>E01694</t>
        </is>
      </c>
      <c r="B2264" s="5" t="inlineStr">
        <is>
          <t>Male</t>
        </is>
      </c>
      <c r="C2264" s="6" t="inlineStr">
        <is>
          <t>29</t>
        </is>
      </c>
      <c r="D2264" s="5" t="inlineStr">
        <is>
          <t>Single</t>
        </is>
      </c>
      <c r="E2264" s="5" t="inlineStr">
        <is>
          <t>PhD</t>
        </is>
      </c>
      <c r="F2264" s="5" t="inlineStr">
        <is>
          <t>Operations</t>
        </is>
      </c>
      <c r="G2264" s="5" t="inlineStr">
        <is>
          <t>Logistics Coordinator</t>
        </is>
      </c>
      <c r="H2264" s="5" t="inlineStr">
        <is>
          <t>2</t>
        </is>
      </c>
      <c r="I2264" s="5" t="inlineStr">
        <is>
          <t>Mumbai</t>
        </is>
      </c>
      <c r="J2264" s="5" t="inlineStr">
        <is>
          <t>Part-Time</t>
        </is>
      </c>
      <c r="K2264" s="7" t="n">
        <v>45406</v>
      </c>
      <c r="L2264" s="7" t="inlineStr"/>
      <c r="M2264" s="5" t="inlineStr">
        <is>
          <t>Yes</t>
        </is>
      </c>
      <c r="N2264" s="5" t="inlineStr"/>
      <c r="O2264" s="8" t="inlineStr">
        <is>
          <t>69500</t>
        </is>
      </c>
      <c r="P2264" s="5" t="inlineStr">
        <is>
          <t>0</t>
        </is>
      </c>
      <c r="Q2264" s="5" t="inlineStr">
        <is>
          <t>4</t>
        </is>
      </c>
      <c r="R2264" s="5" t="inlineStr">
        <is>
          <t>5</t>
        </is>
      </c>
      <c r="S2264" s="5" t="inlineStr">
        <is>
          <t>20</t>
        </is>
      </c>
      <c r="T2264" s="5" t="inlineStr">
        <is>
          <t>4</t>
        </is>
      </c>
      <c r="U2264" s="5" t="inlineStr">
        <is>
          <t>OK</t>
        </is>
      </c>
    </row>
    <row r="2265">
      <c r="A2265" s="5" t="inlineStr">
        <is>
          <t>E00729</t>
        </is>
      </c>
      <c r="B2265" s="5" t="inlineStr">
        <is>
          <t>Male</t>
        </is>
      </c>
      <c r="C2265" s="6" t="inlineStr">
        <is>
          <t>28</t>
        </is>
      </c>
      <c r="D2265" s="5" t="inlineStr">
        <is>
          <t>Married</t>
        </is>
      </c>
      <c r="E2265" s="5" t="inlineStr">
        <is>
          <t>Master</t>
        </is>
      </c>
      <c r="F2265" s="5" t="inlineStr">
        <is>
          <t>IT</t>
        </is>
      </c>
      <c r="G2265" s="5" t="inlineStr">
        <is>
          <t>Data Analyst</t>
        </is>
      </c>
      <c r="H2265" s="5" t="inlineStr">
        <is>
          <t>1</t>
        </is>
      </c>
      <c r="I2265" s="5" t="inlineStr">
        <is>
          <t>Hyderabad</t>
        </is>
      </c>
      <c r="J2265" s="5" t="inlineStr">
        <is>
          <t>Full-Time</t>
        </is>
      </c>
      <c r="K2265" s="7" t="n">
        <v>45067</v>
      </c>
      <c r="L2265" s="7" t="inlineStr"/>
      <c r="M2265" s="5" t="inlineStr">
        <is>
          <t>Yes</t>
        </is>
      </c>
      <c r="N2265" s="5" t="inlineStr"/>
      <c r="O2265" s="8" t="inlineStr">
        <is>
          <t>117500</t>
        </is>
      </c>
      <c r="P2265" s="5" t="inlineStr">
        <is>
          <t>0</t>
        </is>
      </c>
      <c r="Q2265" s="5" t="inlineStr">
        <is>
          <t>3</t>
        </is>
      </c>
      <c r="R2265" s="5" t="inlineStr">
        <is>
          <t>7</t>
        </is>
      </c>
      <c r="S2265" s="5" t="inlineStr">
        <is>
          <t>31</t>
        </is>
      </c>
      <c r="T2265" s="5" t="inlineStr">
        <is>
          <t>8</t>
        </is>
      </c>
      <c r="U2265" s="5" t="inlineStr">
        <is>
          <t>OK</t>
        </is>
      </c>
    </row>
    <row r="2266">
      <c r="A2266" s="5" t="inlineStr">
        <is>
          <t>E02668</t>
        </is>
      </c>
      <c r="B2266" s="5" t="inlineStr">
        <is>
          <t>Male</t>
        </is>
      </c>
      <c r="C2266" s="6" t="inlineStr">
        <is>
          <t>33</t>
        </is>
      </c>
      <c r="D2266" s="5" t="inlineStr">
        <is>
          <t>Married</t>
        </is>
      </c>
      <c r="E2266" s="5" t="inlineStr">
        <is>
          <t>Bachelor</t>
        </is>
      </c>
      <c r="F2266" s="5" t="inlineStr">
        <is>
          <t>IT</t>
        </is>
      </c>
      <c r="G2266" s="5" t="inlineStr">
        <is>
          <t>Software Engineer</t>
        </is>
      </c>
      <c r="H2266" s="5" t="inlineStr">
        <is>
          <t>2</t>
        </is>
      </c>
      <c r="I2266" s="5" t="inlineStr">
        <is>
          <t>Bengaluru</t>
        </is>
      </c>
      <c r="J2266" s="5" t="inlineStr">
        <is>
          <t>Full-Time</t>
        </is>
      </c>
      <c r="K2266" s="7" t="n">
        <v>44998</v>
      </c>
      <c r="L2266" s="7" t="n">
        <v>45143</v>
      </c>
      <c r="M2266" s="5" t="inlineStr">
        <is>
          <t>No</t>
        </is>
      </c>
      <c r="N2266" s="5" t="inlineStr">
        <is>
          <t>Relocation</t>
        </is>
      </c>
      <c r="O2266" s="8" t="inlineStr">
        <is>
          <t>117500</t>
        </is>
      </c>
      <c r="P2266" s="5" t="inlineStr">
        <is>
          <t>0</t>
        </is>
      </c>
      <c r="Q2266" s="5" t="inlineStr">
        <is>
          <t>3</t>
        </is>
      </c>
      <c r="R2266" s="5" t="inlineStr">
        <is>
          <t>8</t>
        </is>
      </c>
      <c r="S2266" s="5" t="inlineStr">
        <is>
          <t>4</t>
        </is>
      </c>
      <c r="T2266" s="5" t="inlineStr">
        <is>
          <t>9</t>
        </is>
      </c>
      <c r="U2266" s="5" t="inlineStr">
        <is>
          <t>OK</t>
        </is>
      </c>
    </row>
    <row r="2267">
      <c r="A2267" s="5" t="inlineStr">
        <is>
          <t>E02393</t>
        </is>
      </c>
      <c r="B2267" s="5" t="inlineStr">
        <is>
          <t>Female</t>
        </is>
      </c>
      <c r="C2267" s="6" t="inlineStr">
        <is>
          <t>34</t>
        </is>
      </c>
      <c r="D2267" s="5" t="inlineStr">
        <is>
          <t>Divorced</t>
        </is>
      </c>
      <c r="E2267" s="5" t="inlineStr">
        <is>
          <t>PhD</t>
        </is>
      </c>
      <c r="F2267" s="5" t="inlineStr">
        <is>
          <t>Customer Support</t>
        </is>
      </c>
      <c r="G2267" s="5" t="inlineStr">
        <is>
          <t>Support Lead</t>
        </is>
      </c>
      <c r="H2267" s="5" t="inlineStr">
        <is>
          <t>1</t>
        </is>
      </c>
      <c r="I2267" s="5" t="inlineStr">
        <is>
          <t>Bengaluru</t>
        </is>
      </c>
      <c r="J2267" s="5" t="inlineStr">
        <is>
          <t>Full-Time</t>
        </is>
      </c>
      <c r="K2267" s="7" t="n">
        <v>44636</v>
      </c>
      <c r="L2267" s="7" t="n">
        <v>44775</v>
      </c>
      <c r="M2267" s="5" t="inlineStr">
        <is>
          <t>No</t>
        </is>
      </c>
      <c r="N2267" s="5" t="inlineStr">
        <is>
          <t>Relocation</t>
        </is>
      </c>
      <c r="O2267" s="8" t="inlineStr">
        <is>
          <t>54000</t>
        </is>
      </c>
      <c r="P2267" s="5" t="inlineStr">
        <is>
          <t>5</t>
        </is>
      </c>
      <c r="Q2267" s="5" t="inlineStr">
        <is>
          <t>4</t>
        </is>
      </c>
      <c r="R2267" s="5" t="inlineStr">
        <is>
          <t>6</t>
        </is>
      </c>
      <c r="S2267" s="5" t="inlineStr">
        <is>
          <t>4</t>
        </is>
      </c>
      <c r="T2267" s="5" t="inlineStr">
        <is>
          <t>17</t>
        </is>
      </c>
      <c r="U2267" s="5" t="inlineStr">
        <is>
          <t>OK</t>
        </is>
      </c>
    </row>
    <row r="2268">
      <c r="A2268" s="5" t="inlineStr">
        <is>
          <t>E01826</t>
        </is>
      </c>
      <c r="B2268" s="5" t="inlineStr">
        <is>
          <t>Male</t>
        </is>
      </c>
      <c r="C2268" s="6" t="inlineStr">
        <is>
          <t>35</t>
        </is>
      </c>
      <c r="D2268" s="5" t="inlineStr">
        <is>
          <t>Married</t>
        </is>
      </c>
      <c r="E2268" s="5" t="inlineStr">
        <is>
          <t>PhD</t>
        </is>
      </c>
      <c r="F2268" s="5" t="inlineStr">
        <is>
          <t>Human Resources</t>
        </is>
      </c>
      <c r="G2268" s="5" t="inlineStr">
        <is>
          <t>HR Analyst</t>
        </is>
      </c>
      <c r="H2268" s="5" t="inlineStr">
        <is>
          <t>4</t>
        </is>
      </c>
      <c r="I2268" s="5" t="inlineStr">
        <is>
          <t>Delhi</t>
        </is>
      </c>
      <c r="J2268" s="5" t="inlineStr">
        <is>
          <t>Part-Time</t>
        </is>
      </c>
      <c r="K2268" s="7" t="n">
        <v>44147</v>
      </c>
      <c r="L2268" s="7" t="inlineStr"/>
      <c r="M2268" s="5" t="inlineStr">
        <is>
          <t>Yes</t>
        </is>
      </c>
      <c r="N2268" s="5" t="inlineStr"/>
      <c r="O2268" s="8" t="inlineStr">
        <is>
          <t>102000</t>
        </is>
      </c>
      <c r="P2268" s="5" t="inlineStr">
        <is>
          <t>0</t>
        </is>
      </c>
      <c r="Q2268" s="5" t="inlineStr">
        <is>
          <t>3</t>
        </is>
      </c>
      <c r="R2268" s="5" t="inlineStr">
        <is>
          <t>6</t>
        </is>
      </c>
      <c r="S2268" s="5" t="inlineStr">
        <is>
          <t>62</t>
        </is>
      </c>
      <c r="T2268" s="5" t="inlineStr">
        <is>
          <t>13</t>
        </is>
      </c>
      <c r="U2268" s="5" t="inlineStr">
        <is>
          <t>OK</t>
        </is>
      </c>
    </row>
    <row r="2269">
      <c r="A2269" s="5" t="inlineStr">
        <is>
          <t>E00573</t>
        </is>
      </c>
      <c r="B2269" s="5" t="inlineStr">
        <is>
          <t>Female</t>
        </is>
      </c>
      <c r="C2269" s="6" t="inlineStr">
        <is>
          <t>32</t>
        </is>
      </c>
      <c r="D2269" s="5" t="inlineStr">
        <is>
          <t>Single</t>
        </is>
      </c>
      <c r="E2269" s="5" t="inlineStr">
        <is>
          <t>High School</t>
        </is>
      </c>
      <c r="F2269" s="5" t="inlineStr">
        <is>
          <t>Human Resources</t>
        </is>
      </c>
      <c r="G2269" s="5" t="inlineStr">
        <is>
          <t>HR Generalist</t>
        </is>
      </c>
      <c r="H2269" s="5" t="inlineStr">
        <is>
          <t>1</t>
        </is>
      </c>
      <c r="I2269" s="5" t="inlineStr">
        <is>
          <t>Hyderabad</t>
        </is>
      </c>
      <c r="J2269" s="5" t="inlineStr">
        <is>
          <t>Full-Time</t>
        </is>
      </c>
      <c r="K2269" s="7" t="n">
        <v>44382</v>
      </c>
      <c r="L2269" s="7" t="inlineStr"/>
      <c r="M2269" s="5" t="inlineStr">
        <is>
          <t>Yes</t>
        </is>
      </c>
      <c r="N2269" s="5" t="inlineStr"/>
      <c r="O2269" s="8" t="inlineStr">
        <is>
          <t>65500</t>
        </is>
      </c>
      <c r="P2269" s="5" t="inlineStr">
        <is>
          <t>5</t>
        </is>
      </c>
      <c r="Q2269" s="5" t="inlineStr">
        <is>
          <t>5</t>
        </is>
      </c>
      <c r="R2269" s="5" t="inlineStr">
        <is>
          <t>4</t>
        </is>
      </c>
      <c r="S2269" s="5" t="inlineStr">
        <is>
          <t>54</t>
        </is>
      </c>
      <c r="T2269" s="5" t="inlineStr">
        <is>
          <t>24</t>
        </is>
      </c>
      <c r="U2269" s="5" t="inlineStr">
        <is>
          <t>OK</t>
        </is>
      </c>
    </row>
    <row r="2270">
      <c r="A2270" s="5" t="inlineStr">
        <is>
          <t>E01306</t>
        </is>
      </c>
      <c r="B2270" s="5" t="inlineStr">
        <is>
          <t>Female</t>
        </is>
      </c>
      <c r="C2270" s="6" t="inlineStr">
        <is>
          <t>28</t>
        </is>
      </c>
      <c r="D2270" s="5" t="inlineStr">
        <is>
          <t>Married</t>
        </is>
      </c>
      <c r="E2270" s="5" t="inlineStr">
        <is>
          <t>Diploma</t>
        </is>
      </c>
      <c r="F2270" s="5" t="inlineStr">
        <is>
          <t>Customer Support</t>
        </is>
      </c>
      <c r="G2270" s="5" t="inlineStr">
        <is>
          <t>Support Agent</t>
        </is>
      </c>
      <c r="H2270" s="5" t="inlineStr">
        <is>
          <t>3</t>
        </is>
      </c>
      <c r="I2270" s="5" t="inlineStr">
        <is>
          <t>Chennai</t>
        </is>
      </c>
      <c r="J2270" s="5" t="inlineStr">
        <is>
          <t>Full-Time</t>
        </is>
      </c>
      <c r="K2270" s="7" t="n">
        <v>46020</v>
      </c>
      <c r="L2270" s="7" t="inlineStr"/>
      <c r="M2270" s="5" t="inlineStr">
        <is>
          <t>Yes</t>
        </is>
      </c>
      <c r="N2270" s="5" t="inlineStr"/>
      <c r="O2270" s="8" t="inlineStr">
        <is>
          <t>71000</t>
        </is>
      </c>
      <c r="P2270" s="5" t="inlineStr">
        <is>
          <t>5</t>
        </is>
      </c>
      <c r="Q2270" s="5" t="inlineStr">
        <is>
          <t>4</t>
        </is>
      </c>
      <c r="R2270" s="5" t="inlineStr">
        <is>
          <t>10</t>
        </is>
      </c>
      <c r="S2270" s="5" t="inlineStr">
        <is>
          <t>1</t>
        </is>
      </c>
      <c r="T2270" s="5" t="inlineStr">
        <is>
          <t>1</t>
        </is>
      </c>
      <c r="U2270" s="5" t="inlineStr">
        <is>
          <t>OK</t>
        </is>
      </c>
    </row>
    <row r="2271">
      <c r="A2271" s="5" t="inlineStr">
        <is>
          <t>E01915</t>
        </is>
      </c>
      <c r="B2271" s="5" t="inlineStr">
        <is>
          <t>Female</t>
        </is>
      </c>
      <c r="C2271" s="6" t="inlineStr">
        <is>
          <t>30</t>
        </is>
      </c>
      <c r="D2271" s="5" t="inlineStr">
        <is>
          <t>Single</t>
        </is>
      </c>
      <c r="E2271" s="5" t="inlineStr">
        <is>
          <t>Diploma</t>
        </is>
      </c>
      <c r="F2271" s="5" t="inlineStr">
        <is>
          <t>Sales</t>
        </is>
      </c>
      <c r="G2271" s="5" t="inlineStr">
        <is>
          <t>Account Executive</t>
        </is>
      </c>
      <c r="H2271" s="5" t="inlineStr">
        <is>
          <t>4</t>
        </is>
      </c>
      <c r="I2271" s="5" t="inlineStr">
        <is>
          <t>Remote</t>
        </is>
      </c>
      <c r="J2271" s="5" t="inlineStr">
        <is>
          <t>Full-Time</t>
        </is>
      </c>
      <c r="K2271" s="7" t="n">
        <v>45786</v>
      </c>
      <c r="L2271" s="7" t="inlineStr"/>
      <c r="M2271" s="5" t="inlineStr">
        <is>
          <t>Yes</t>
        </is>
      </c>
      <c r="N2271" s="5" t="inlineStr"/>
      <c r="O2271" s="8" t="inlineStr">
        <is>
          <t>144500</t>
        </is>
      </c>
      <c r="P2271" s="5" t="inlineStr">
        <is>
          <t>10</t>
        </is>
      </c>
      <c r="Q2271" s="5" t="inlineStr">
        <is>
          <t>3</t>
        </is>
      </c>
      <c r="R2271" s="5" t="inlineStr">
        <is>
          <t>4</t>
        </is>
      </c>
      <c r="S2271" s="5" t="inlineStr">
        <is>
          <t>7</t>
        </is>
      </c>
      <c r="T2271" s="5" t="inlineStr">
        <is>
          <t>0</t>
        </is>
      </c>
      <c r="U2271" s="5" t="inlineStr">
        <is>
          <t>OK</t>
        </is>
      </c>
    </row>
    <row r="2272">
      <c r="A2272" s="5" t="inlineStr">
        <is>
          <t>E02219</t>
        </is>
      </c>
      <c r="B2272" s="5" t="inlineStr">
        <is>
          <t>Female</t>
        </is>
      </c>
      <c r="C2272" s="6" t="inlineStr">
        <is>
          <t>27</t>
        </is>
      </c>
      <c r="D2272" s="5" t="inlineStr">
        <is>
          <t>Married</t>
        </is>
      </c>
      <c r="E2272" s="5" t="inlineStr">
        <is>
          <t>Diploma</t>
        </is>
      </c>
      <c r="F2272" s="5" t="inlineStr">
        <is>
          <t>Customer Support</t>
        </is>
      </c>
      <c r="G2272" s="5" t="inlineStr">
        <is>
          <t>Support Agent</t>
        </is>
      </c>
      <c r="H2272" s="5" t="inlineStr">
        <is>
          <t>1</t>
        </is>
      </c>
      <c r="I2272" s="5" t="inlineStr">
        <is>
          <t>Hyderabad</t>
        </is>
      </c>
      <c r="J2272" s="5" t="inlineStr">
        <is>
          <t>Full-Time</t>
        </is>
      </c>
      <c r="K2272" s="7" t="n">
        <v>45767</v>
      </c>
      <c r="L2272" s="7" t="inlineStr"/>
      <c r="M2272" s="5" t="inlineStr">
        <is>
          <t>Yes</t>
        </is>
      </c>
      <c r="N2272" s="5" t="inlineStr"/>
      <c r="O2272" s="8" t="inlineStr">
        <is>
          <t>68500</t>
        </is>
      </c>
      <c r="P2272" s="5" t="inlineStr">
        <is>
          <t>0</t>
        </is>
      </c>
      <c r="Q2272" s="5" t="inlineStr">
        <is>
          <t>1</t>
        </is>
      </c>
      <c r="R2272" s="5" t="inlineStr">
        <is>
          <t>7</t>
        </is>
      </c>
      <c r="S2272" s="5" t="inlineStr">
        <is>
          <t>8</t>
        </is>
      </c>
      <c r="T2272" s="5" t="inlineStr">
        <is>
          <t>0</t>
        </is>
      </c>
      <c r="U2272" s="5" t="inlineStr">
        <is>
          <t>OK</t>
        </is>
      </c>
    </row>
    <row r="2273">
      <c r="A2273" s="5" t="inlineStr">
        <is>
          <t>E01962</t>
        </is>
      </c>
      <c r="B2273" s="5" t="inlineStr">
        <is>
          <t>Male</t>
        </is>
      </c>
      <c r="C2273" s="6" t="inlineStr">
        <is>
          <t>41</t>
        </is>
      </c>
      <c r="D2273" s="5" t="inlineStr">
        <is>
          <t>Married</t>
        </is>
      </c>
      <c r="E2273" s="5" t="inlineStr">
        <is>
          <t>Diploma</t>
        </is>
      </c>
      <c r="F2273" s="5" t="inlineStr">
        <is>
          <t>Marketing</t>
        </is>
      </c>
      <c r="G2273" s="5" t="inlineStr">
        <is>
          <t>Marketing Analyst</t>
        </is>
      </c>
      <c r="H2273" s="5" t="inlineStr">
        <is>
          <t>5</t>
        </is>
      </c>
      <c r="I2273" s="5" t="inlineStr">
        <is>
          <t>Mumbai</t>
        </is>
      </c>
      <c r="J2273" s="5" t="inlineStr">
        <is>
          <t>Full-Time</t>
        </is>
      </c>
      <c r="K2273" s="7" t="n">
        <v>44969</v>
      </c>
      <c r="L2273" s="7" t="inlineStr"/>
      <c r="M2273" s="5" t="inlineStr">
        <is>
          <t>Yes</t>
        </is>
      </c>
      <c r="N2273" s="5" t="inlineStr"/>
      <c r="O2273" s="8" t="inlineStr">
        <is>
          <t>113500</t>
        </is>
      </c>
      <c r="P2273" s="5" t="inlineStr">
        <is>
          <t>15</t>
        </is>
      </c>
      <c r="Q2273" s="5" t="inlineStr">
        <is>
          <t>3</t>
        </is>
      </c>
      <c r="R2273" s="5" t="inlineStr">
        <is>
          <t>5</t>
        </is>
      </c>
      <c r="S2273" s="5" t="inlineStr">
        <is>
          <t>35</t>
        </is>
      </c>
      <c r="T2273" s="5" t="inlineStr">
        <is>
          <t>8</t>
        </is>
      </c>
      <c r="U2273" s="5" t="inlineStr">
        <is>
          <t>OK</t>
        </is>
      </c>
    </row>
    <row r="2274">
      <c r="A2274" s="5" t="inlineStr">
        <is>
          <t>E00952</t>
        </is>
      </c>
      <c r="B2274" s="5" t="inlineStr">
        <is>
          <t>Female</t>
        </is>
      </c>
      <c r="C2274" s="6" t="inlineStr">
        <is>
          <t>27</t>
        </is>
      </c>
      <c r="D2274" s="5" t="inlineStr">
        <is>
          <t>Married</t>
        </is>
      </c>
      <c r="E2274" s="5" t="inlineStr">
        <is>
          <t>Master</t>
        </is>
      </c>
      <c r="F2274" s="5" t="inlineStr">
        <is>
          <t>Customer Support</t>
        </is>
      </c>
      <c r="G2274" s="5" t="inlineStr">
        <is>
          <t>Support Agent</t>
        </is>
      </c>
      <c r="H2274" s="5" t="inlineStr">
        <is>
          <t>2</t>
        </is>
      </c>
      <c r="I2274" s="5" t="inlineStr">
        <is>
          <t>Chennai</t>
        </is>
      </c>
      <c r="J2274" s="5" t="inlineStr">
        <is>
          <t>Full-Time</t>
        </is>
      </c>
      <c r="K2274" s="7" t="n">
        <v>44363</v>
      </c>
      <c r="L2274" s="7" t="n">
        <v>44423</v>
      </c>
      <c r="M2274" s="5" t="inlineStr">
        <is>
          <t>No</t>
        </is>
      </c>
      <c r="N2274" s="5" t="inlineStr">
        <is>
          <t>Retirement</t>
        </is>
      </c>
      <c r="O2274" s="8" t="inlineStr">
        <is>
          <t>63500</t>
        </is>
      </c>
      <c r="P2274" s="5" t="inlineStr">
        <is>
          <t>10</t>
        </is>
      </c>
      <c r="Q2274" s="5" t="inlineStr">
        <is>
          <t>5</t>
        </is>
      </c>
      <c r="R2274" s="5" t="inlineStr">
        <is>
          <t>5</t>
        </is>
      </c>
      <c r="S2274" s="5" t="inlineStr">
        <is>
          <t>2</t>
        </is>
      </c>
      <c r="T2274" s="5" t="inlineStr">
        <is>
          <t>8</t>
        </is>
      </c>
      <c r="U2274" s="5" t="inlineStr">
        <is>
          <t>OK</t>
        </is>
      </c>
    </row>
    <row r="2275">
      <c r="A2275" s="5" t="inlineStr">
        <is>
          <t>E01953</t>
        </is>
      </c>
      <c r="B2275" s="5" t="inlineStr">
        <is>
          <t>Male</t>
        </is>
      </c>
      <c r="C2275" s="6" t="inlineStr">
        <is>
          <t>28</t>
        </is>
      </c>
      <c r="D2275" s="5" t="inlineStr">
        <is>
          <t>Married</t>
        </is>
      </c>
      <c r="E2275" s="5" t="inlineStr">
        <is>
          <t>High School</t>
        </is>
      </c>
      <c r="F2275" s="5" t="inlineStr">
        <is>
          <t>Finance</t>
        </is>
      </c>
      <c r="G2275" s="5" t="inlineStr">
        <is>
          <t>Credit Analyst</t>
        </is>
      </c>
      <c r="H2275" s="5" t="inlineStr">
        <is>
          <t>2</t>
        </is>
      </c>
      <c r="I2275" s="5" t="inlineStr">
        <is>
          <t>Bengaluru</t>
        </is>
      </c>
      <c r="J2275" s="5" t="inlineStr">
        <is>
          <t>Full-Time</t>
        </is>
      </c>
      <c r="K2275" s="7" t="n">
        <v>44377</v>
      </c>
      <c r="L2275" s="7" t="n">
        <v>44440</v>
      </c>
      <c r="M2275" s="5" t="inlineStr">
        <is>
          <t>No</t>
        </is>
      </c>
      <c r="N2275" s="5" t="inlineStr">
        <is>
          <t>Performance / Termination</t>
        </is>
      </c>
      <c r="O2275" s="8" t="inlineStr">
        <is>
          <t>126500</t>
        </is>
      </c>
      <c r="P2275" s="5" t="inlineStr">
        <is>
          <t>0</t>
        </is>
      </c>
      <c r="Q2275" s="5" t="inlineStr">
        <is>
          <t>3</t>
        </is>
      </c>
      <c r="R2275" s="5" t="inlineStr">
        <is>
          <t>7</t>
        </is>
      </c>
      <c r="S2275" s="5" t="inlineStr">
        <is>
          <t>2</t>
        </is>
      </c>
      <c r="T2275" s="5" t="inlineStr">
        <is>
          <t>0</t>
        </is>
      </c>
      <c r="U2275" s="5" t="inlineStr">
        <is>
          <t>OK</t>
        </is>
      </c>
    </row>
    <row r="2276">
      <c r="A2276" s="5" t="inlineStr">
        <is>
          <t>E02002</t>
        </is>
      </c>
      <c r="B2276" s="5" t="inlineStr">
        <is>
          <t>Male</t>
        </is>
      </c>
      <c r="C2276" s="6" t="inlineStr">
        <is>
          <t>27</t>
        </is>
      </c>
      <c r="D2276" s="5" t="inlineStr">
        <is>
          <t>Married</t>
        </is>
      </c>
      <c r="E2276" s="5" t="inlineStr">
        <is>
          <t>Diploma</t>
        </is>
      </c>
      <c r="F2276" s="5" t="inlineStr">
        <is>
          <t>Human Resources</t>
        </is>
      </c>
      <c r="G2276" s="5" t="inlineStr">
        <is>
          <t>HR Analyst</t>
        </is>
      </c>
      <c r="H2276" s="5" t="inlineStr">
        <is>
          <t>1</t>
        </is>
      </c>
      <c r="I2276" s="5" t="inlineStr">
        <is>
          <t>Chennai</t>
        </is>
      </c>
      <c r="J2276" s="5" t="inlineStr">
        <is>
          <t>Full-Time</t>
        </is>
      </c>
      <c r="K2276" s="7" t="n">
        <v>44846</v>
      </c>
      <c r="L2276" s="7" t="inlineStr"/>
      <c r="M2276" s="5" t="inlineStr">
        <is>
          <t>Yes</t>
        </is>
      </c>
      <c r="N2276" s="5" t="inlineStr"/>
      <c r="O2276" s="8" t="inlineStr">
        <is>
          <t>73000</t>
        </is>
      </c>
      <c r="P2276" s="5" t="inlineStr">
        <is>
          <t>5</t>
        </is>
      </c>
      <c r="Q2276" s="5" t="inlineStr">
        <is>
          <t>4</t>
        </is>
      </c>
      <c r="R2276" s="5" t="inlineStr">
        <is>
          <t>7</t>
        </is>
      </c>
      <c r="S2276" s="5" t="inlineStr">
        <is>
          <t>39</t>
        </is>
      </c>
      <c r="T2276" s="5" t="inlineStr">
        <is>
          <t>3</t>
        </is>
      </c>
      <c r="U2276" s="5" t="inlineStr">
        <is>
          <t>OK</t>
        </is>
      </c>
    </row>
    <row r="2277">
      <c r="A2277" s="5" t="inlineStr">
        <is>
          <t>E02286</t>
        </is>
      </c>
      <c r="B2277" s="5" t="inlineStr">
        <is>
          <t>Female</t>
        </is>
      </c>
      <c r="C2277" s="6" t="inlineStr">
        <is>
          <t>28</t>
        </is>
      </c>
      <c r="D2277" s="5" t="inlineStr">
        <is>
          <t>Single</t>
        </is>
      </c>
      <c r="E2277" s="5" t="inlineStr">
        <is>
          <t>Bachelor</t>
        </is>
      </c>
      <c r="F2277" s="5" t="inlineStr">
        <is>
          <t>Sales</t>
        </is>
      </c>
      <c r="G2277" s="5" t="inlineStr">
        <is>
          <t>Account Executive</t>
        </is>
      </c>
      <c r="H2277" s="5" t="inlineStr">
        <is>
          <t>1</t>
        </is>
      </c>
      <c r="I2277" s="5" t="inlineStr">
        <is>
          <t>Bengaluru</t>
        </is>
      </c>
      <c r="J2277" s="5" t="inlineStr">
        <is>
          <t>Full-Time</t>
        </is>
      </c>
      <c r="K2277" s="7" t="n">
        <v>45107</v>
      </c>
      <c r="L2277" s="7" t="inlineStr"/>
      <c r="M2277" s="5" t="inlineStr">
        <is>
          <t>Yes</t>
        </is>
      </c>
      <c r="N2277" s="5" t="inlineStr"/>
      <c r="O2277" s="8" t="inlineStr">
        <is>
          <t>100000</t>
        </is>
      </c>
      <c r="P2277" s="5" t="inlineStr">
        <is>
          <t>0</t>
        </is>
      </c>
      <c r="Q2277" s="5" t="inlineStr">
        <is>
          <t>5</t>
        </is>
      </c>
      <c r="R2277" s="5" t="inlineStr">
        <is>
          <t>8</t>
        </is>
      </c>
      <c r="S2277" s="5" t="inlineStr">
        <is>
          <t>30</t>
        </is>
      </c>
      <c r="T2277" s="5" t="inlineStr">
        <is>
          <t>11</t>
        </is>
      </c>
      <c r="U2277" s="5" t="inlineStr">
        <is>
          <t>OK</t>
        </is>
      </c>
    </row>
    <row r="2278">
      <c r="A2278" s="5" t="inlineStr">
        <is>
          <t>E02169</t>
        </is>
      </c>
      <c r="B2278" s="5" t="inlineStr">
        <is>
          <t>Male</t>
        </is>
      </c>
      <c r="C2278" s="6" t="inlineStr">
        <is>
          <t>29</t>
        </is>
      </c>
      <c r="D2278" s="5" t="inlineStr">
        <is>
          <t>Married</t>
        </is>
      </c>
      <c r="E2278" s="5" t="inlineStr">
        <is>
          <t>Master</t>
        </is>
      </c>
      <c r="F2278" s="5" t="inlineStr">
        <is>
          <t>Sales</t>
        </is>
      </c>
      <c r="G2278" s="5" t="inlineStr">
        <is>
          <t>Business Development</t>
        </is>
      </c>
      <c r="H2278" s="5" t="inlineStr">
        <is>
          <t>1</t>
        </is>
      </c>
      <c r="I2278" s="5" t="inlineStr">
        <is>
          <t>Delhi</t>
        </is>
      </c>
      <c r="J2278" s="5" t="inlineStr">
        <is>
          <t>Full-Time</t>
        </is>
      </c>
      <c r="K2278" s="7" t="n">
        <v>45488</v>
      </c>
      <c r="L2278" s="7" t="inlineStr"/>
      <c r="M2278" s="5" t="inlineStr">
        <is>
          <t>Yes</t>
        </is>
      </c>
      <c r="N2278" s="5" t="inlineStr"/>
      <c r="O2278" s="8" t="inlineStr">
        <is>
          <t>89000</t>
        </is>
      </c>
      <c r="P2278" s="5" t="inlineStr">
        <is>
          <t>15</t>
        </is>
      </c>
      <c r="Q2278" s="5" t="inlineStr">
        <is>
          <t>2</t>
        </is>
      </c>
      <c r="R2278" s="5" t="inlineStr">
        <is>
          <t>6</t>
        </is>
      </c>
      <c r="S2278" s="5" t="inlineStr">
        <is>
          <t>17</t>
        </is>
      </c>
      <c r="T2278" s="5" t="inlineStr">
        <is>
          <t>11</t>
        </is>
      </c>
      <c r="U2278" s="5" t="inlineStr">
        <is>
          <t>OK</t>
        </is>
      </c>
    </row>
    <row r="2279">
      <c r="A2279" s="5" t="inlineStr">
        <is>
          <t>E00917</t>
        </is>
      </c>
      <c r="B2279" s="5" t="inlineStr">
        <is>
          <t>Female</t>
        </is>
      </c>
      <c r="C2279" s="6" t="inlineStr">
        <is>
          <t>33</t>
        </is>
      </c>
      <c r="D2279" s="5" t="inlineStr">
        <is>
          <t>Married</t>
        </is>
      </c>
      <c r="E2279" s="5" t="inlineStr">
        <is>
          <t>High School</t>
        </is>
      </c>
      <c r="F2279" s="5" t="inlineStr">
        <is>
          <t>Research &amp; Development</t>
        </is>
      </c>
      <c r="G2279" s="5" t="inlineStr">
        <is>
          <t>Research Scientist</t>
        </is>
      </c>
      <c r="H2279" s="5" t="inlineStr">
        <is>
          <t>3</t>
        </is>
      </c>
      <c r="I2279" s="5" t="inlineStr">
        <is>
          <t>Delhi</t>
        </is>
      </c>
      <c r="J2279" s="5" t="inlineStr">
        <is>
          <t>Full-Time</t>
        </is>
      </c>
      <c r="K2279" s="7" t="n">
        <v>45843</v>
      </c>
      <c r="L2279" s="7" t="inlineStr"/>
      <c r="M2279" s="5" t="inlineStr">
        <is>
          <t>Yes</t>
        </is>
      </c>
      <c r="N2279" s="5" t="inlineStr"/>
      <c r="O2279" s="8" t="inlineStr">
        <is>
          <t>134000</t>
        </is>
      </c>
      <c r="P2279" s="5" t="inlineStr">
        <is>
          <t>0</t>
        </is>
      </c>
      <c r="Q2279" s="5" t="inlineStr">
        <is>
          <t>4</t>
        </is>
      </c>
      <c r="R2279" s="5" t="inlineStr">
        <is>
          <t>9</t>
        </is>
      </c>
      <c r="S2279" s="5" t="inlineStr">
        <is>
          <t>5</t>
        </is>
      </c>
      <c r="T2279" s="5" t="inlineStr">
        <is>
          <t>1</t>
        </is>
      </c>
      <c r="U2279" s="5" t="inlineStr">
        <is>
          <t>OK</t>
        </is>
      </c>
    </row>
    <row r="2280">
      <c r="A2280" s="5" t="inlineStr">
        <is>
          <t>E02766</t>
        </is>
      </c>
      <c r="B2280" s="5" t="inlineStr">
        <is>
          <t>Female</t>
        </is>
      </c>
      <c r="C2280" s="6" t="inlineStr">
        <is>
          <t>39</t>
        </is>
      </c>
      <c r="D2280" s="5" t="inlineStr">
        <is>
          <t>Married</t>
        </is>
      </c>
      <c r="E2280" s="5" t="inlineStr">
        <is>
          <t>PhD</t>
        </is>
      </c>
      <c r="F2280" s="5" t="inlineStr">
        <is>
          <t>Research &amp; Development</t>
        </is>
      </c>
      <c r="G2280" s="5" t="inlineStr">
        <is>
          <t>Research Scientist</t>
        </is>
      </c>
      <c r="H2280" s="5" t="inlineStr">
        <is>
          <t>4</t>
        </is>
      </c>
      <c r="I2280" s="5" t="inlineStr">
        <is>
          <t>Remote</t>
        </is>
      </c>
      <c r="J2280" s="5" t="inlineStr">
        <is>
          <t>Full-Time</t>
        </is>
      </c>
      <c r="K2280" s="7" t="n">
        <v>45037</v>
      </c>
      <c r="L2280" s="7" t="n">
        <v>45130</v>
      </c>
      <c r="M2280" s="5" t="inlineStr">
        <is>
          <t>No</t>
        </is>
      </c>
      <c r="N2280" s="5" t="inlineStr">
        <is>
          <t>Resigned</t>
        </is>
      </c>
      <c r="O2280" s="8" t="inlineStr">
        <is>
          <t>216000</t>
        </is>
      </c>
      <c r="P2280" s="5" t="inlineStr">
        <is>
          <t>0</t>
        </is>
      </c>
      <c r="Q2280" s="5" t="inlineStr">
        <is>
          <t>4</t>
        </is>
      </c>
      <c r="R2280" s="5" t="inlineStr">
        <is>
          <t>6</t>
        </is>
      </c>
      <c r="S2280" s="5" t="inlineStr">
        <is>
          <t>3</t>
        </is>
      </c>
      <c r="T2280" s="5" t="inlineStr">
        <is>
          <t>7</t>
        </is>
      </c>
      <c r="U2280" s="5" t="inlineStr">
        <is>
          <t>OK</t>
        </is>
      </c>
    </row>
    <row r="2281">
      <c r="A2281" s="5" t="inlineStr">
        <is>
          <t>E02446</t>
        </is>
      </c>
      <c r="B2281" s="5" t="inlineStr">
        <is>
          <t>Female</t>
        </is>
      </c>
      <c r="C2281" s="6" t="inlineStr">
        <is>
          <t>33</t>
        </is>
      </c>
      <c r="D2281" s="5" t="inlineStr">
        <is>
          <t>Single</t>
        </is>
      </c>
      <c r="E2281" s="5" t="inlineStr">
        <is>
          <t>Bachelor</t>
        </is>
      </c>
      <c r="F2281" s="5" t="inlineStr">
        <is>
          <t>Customer Support</t>
        </is>
      </c>
      <c r="G2281" s="5" t="inlineStr">
        <is>
          <t>Escalation Specialist</t>
        </is>
      </c>
      <c r="H2281" s="5" t="inlineStr">
        <is>
          <t>1</t>
        </is>
      </c>
      <c r="I2281" s="5" t="inlineStr">
        <is>
          <t>Mumbai</t>
        </is>
      </c>
      <c r="J2281" s="5" t="inlineStr">
        <is>
          <t>Full-Time</t>
        </is>
      </c>
      <c r="K2281" s="7" t="n">
        <v>45723</v>
      </c>
      <c r="L2281" s="7" t="inlineStr"/>
      <c r="M2281" s="5" t="inlineStr">
        <is>
          <t>Yes</t>
        </is>
      </c>
      <c r="N2281" s="5" t="inlineStr"/>
      <c r="O2281" s="8" t="inlineStr">
        <is>
          <t>63000</t>
        </is>
      </c>
      <c r="P2281" s="5" t="inlineStr">
        <is>
          <t>15</t>
        </is>
      </c>
      <c r="Q2281" s="5" t="inlineStr">
        <is>
          <t>5</t>
        </is>
      </c>
      <c r="R2281" s="5" t="inlineStr">
        <is>
          <t>5</t>
        </is>
      </c>
      <c r="S2281" s="5" t="inlineStr">
        <is>
          <t>9</t>
        </is>
      </c>
      <c r="T2281" s="5" t="inlineStr">
        <is>
          <t>8</t>
        </is>
      </c>
      <c r="U2281" s="5" t="inlineStr">
        <is>
          <t>OK</t>
        </is>
      </c>
    </row>
    <row r="2282">
      <c r="A2282" s="5" t="inlineStr">
        <is>
          <t>E02617</t>
        </is>
      </c>
      <c r="B2282" s="5" t="inlineStr">
        <is>
          <t>Female</t>
        </is>
      </c>
      <c r="C2282" s="6" t="inlineStr">
        <is>
          <t>27</t>
        </is>
      </c>
      <c r="D2282" s="5" t="inlineStr">
        <is>
          <t>Married</t>
        </is>
      </c>
      <c r="E2282" s="5" t="inlineStr">
        <is>
          <t>Master</t>
        </is>
      </c>
      <c r="F2282" s="5" t="inlineStr">
        <is>
          <t>Sales</t>
        </is>
      </c>
      <c r="G2282" s="5" t="inlineStr">
        <is>
          <t>Business Development</t>
        </is>
      </c>
      <c r="H2282" s="5" t="inlineStr">
        <is>
          <t>1</t>
        </is>
      </c>
      <c r="I2282" s="5" t="inlineStr">
        <is>
          <t>Delhi</t>
        </is>
      </c>
      <c r="J2282" s="5" t="inlineStr">
        <is>
          <t>Contract</t>
        </is>
      </c>
      <c r="K2282" s="7" t="n">
        <v>44774</v>
      </c>
      <c r="L2282" s="7" t="inlineStr"/>
      <c r="M2282" s="5" t="inlineStr">
        <is>
          <t>Yes</t>
        </is>
      </c>
      <c r="N2282" s="5" t="inlineStr"/>
      <c r="O2282" s="8" t="inlineStr">
        <is>
          <t>75500</t>
        </is>
      </c>
      <c r="P2282" s="5" t="inlineStr">
        <is>
          <t>20</t>
        </is>
      </c>
      <c r="Q2282" s="5" t="inlineStr">
        <is>
          <t>5</t>
        </is>
      </c>
      <c r="R2282" s="5" t="inlineStr">
        <is>
          <t>7</t>
        </is>
      </c>
      <c r="S2282" s="5" t="inlineStr">
        <is>
          <t>41</t>
        </is>
      </c>
      <c r="T2282" s="5" t="inlineStr">
        <is>
          <t>4</t>
        </is>
      </c>
      <c r="U2282" s="5" t="inlineStr">
        <is>
          <t>OK</t>
        </is>
      </c>
    </row>
    <row r="2283">
      <c r="A2283" s="5" t="inlineStr">
        <is>
          <t>E00792</t>
        </is>
      </c>
      <c r="B2283" s="5" t="inlineStr">
        <is>
          <t>Male</t>
        </is>
      </c>
      <c r="C2283" s="6" t="inlineStr">
        <is>
          <t>40</t>
        </is>
      </c>
      <c r="D2283" s="5" t="inlineStr">
        <is>
          <t>Single</t>
        </is>
      </c>
      <c r="E2283" s="5" t="inlineStr">
        <is>
          <t>Diploma</t>
        </is>
      </c>
      <c r="F2283" s="5" t="inlineStr">
        <is>
          <t>Customer Support</t>
        </is>
      </c>
      <c r="G2283" s="5" t="inlineStr">
        <is>
          <t>Support Agent</t>
        </is>
      </c>
      <c r="H2283" s="5" t="inlineStr">
        <is>
          <t>6</t>
        </is>
      </c>
      <c r="I2283" s="5" t="inlineStr">
        <is>
          <t>Hyderabad</t>
        </is>
      </c>
      <c r="J2283" s="5" t="inlineStr">
        <is>
          <t>Full-Time</t>
        </is>
      </c>
      <c r="K2283" s="7" t="n">
        <v>44106</v>
      </c>
      <c r="L2283" s="7" t="n">
        <v>44185</v>
      </c>
      <c r="M2283" s="5" t="inlineStr">
        <is>
          <t>No</t>
        </is>
      </c>
      <c r="N2283" s="5" t="inlineStr">
        <is>
          <t>Resigned</t>
        </is>
      </c>
      <c r="O2283" s="8" t="inlineStr">
        <is>
          <t>93500</t>
        </is>
      </c>
      <c r="P2283" s="5" t="inlineStr">
        <is>
          <t>0</t>
        </is>
      </c>
      <c r="Q2283" s="5" t="inlineStr">
        <is>
          <t>3</t>
        </is>
      </c>
      <c r="R2283" s="5" t="inlineStr">
        <is>
          <t>9</t>
        </is>
      </c>
      <c r="S2283" s="5" t="inlineStr">
        <is>
          <t>2</t>
        </is>
      </c>
      <c r="T2283" s="5" t="inlineStr">
        <is>
          <t>5</t>
        </is>
      </c>
      <c r="U2283" s="5" t="inlineStr">
        <is>
          <t>OK</t>
        </is>
      </c>
    </row>
    <row r="2284">
      <c r="A2284" s="5" t="inlineStr">
        <is>
          <t>E00327</t>
        </is>
      </c>
      <c r="B2284" s="5" t="inlineStr">
        <is>
          <t>Female</t>
        </is>
      </c>
      <c r="C2284" s="6" t="inlineStr">
        <is>
          <t>31</t>
        </is>
      </c>
      <c r="D2284" s="5" t="inlineStr">
        <is>
          <t>Married</t>
        </is>
      </c>
      <c r="E2284" s="5" t="inlineStr">
        <is>
          <t>Bachelor</t>
        </is>
      </c>
      <c r="F2284" s="5" t="inlineStr">
        <is>
          <t>Marketing</t>
        </is>
      </c>
      <c r="G2284" s="5" t="inlineStr">
        <is>
          <t>SEO Specialist</t>
        </is>
      </c>
      <c r="H2284" s="5" t="inlineStr">
        <is>
          <t>3</t>
        </is>
      </c>
      <c r="I2284" s="5" t="inlineStr">
        <is>
          <t>Hyderabad</t>
        </is>
      </c>
      <c r="J2284" s="5" t="inlineStr">
        <is>
          <t>Full-Time</t>
        </is>
      </c>
      <c r="K2284" s="7" t="n">
        <v>44105</v>
      </c>
      <c r="L2284" s="7" t="inlineStr"/>
      <c r="M2284" s="5" t="inlineStr">
        <is>
          <t>Yes</t>
        </is>
      </c>
      <c r="N2284" s="5" t="inlineStr"/>
      <c r="O2284" s="8" t="inlineStr">
        <is>
          <t>109000</t>
        </is>
      </c>
      <c r="P2284" s="5" t="inlineStr">
        <is>
          <t>0</t>
        </is>
      </c>
      <c r="Q2284" s="5" t="inlineStr">
        <is>
          <t>4</t>
        </is>
      </c>
      <c r="R2284" s="5" t="inlineStr">
        <is>
          <t>3</t>
        </is>
      </c>
      <c r="S2284" s="5" t="inlineStr">
        <is>
          <t>63</t>
        </is>
      </c>
      <c r="T2284" s="5" t="inlineStr">
        <is>
          <t>11</t>
        </is>
      </c>
      <c r="U2284" s="5" t="inlineStr">
        <is>
          <t>OK</t>
        </is>
      </c>
    </row>
    <row r="2285">
      <c r="A2285" s="5" t="inlineStr">
        <is>
          <t>E01831</t>
        </is>
      </c>
      <c r="B2285" s="5" t="inlineStr">
        <is>
          <t>Female</t>
        </is>
      </c>
      <c r="C2285" s="6" t="inlineStr">
        <is>
          <t>41</t>
        </is>
      </c>
      <c r="D2285" s="5" t="inlineStr">
        <is>
          <t>Married</t>
        </is>
      </c>
      <c r="E2285" s="5" t="inlineStr">
        <is>
          <t>Diploma</t>
        </is>
      </c>
      <c r="F2285" s="5" t="inlineStr">
        <is>
          <t>IT</t>
        </is>
      </c>
      <c r="G2285" s="5" t="inlineStr">
        <is>
          <t>IT Support</t>
        </is>
      </c>
      <c r="H2285" s="5" t="inlineStr">
        <is>
          <t>6</t>
        </is>
      </c>
      <c r="I2285" s="5" t="inlineStr">
        <is>
          <t>Bengaluru</t>
        </is>
      </c>
      <c r="J2285" s="5" t="inlineStr">
        <is>
          <t>Full-Time</t>
        </is>
      </c>
      <c r="K2285" s="7" t="n">
        <v>44310</v>
      </c>
      <c r="L2285" s="7" t="inlineStr"/>
      <c r="M2285" s="5" t="inlineStr">
        <is>
          <t>Yes</t>
        </is>
      </c>
      <c r="N2285" s="5" t="inlineStr"/>
      <c r="O2285" s="8" t="inlineStr">
        <is>
          <t>211000</t>
        </is>
      </c>
      <c r="P2285" s="5" t="inlineStr">
        <is>
          <t>5</t>
        </is>
      </c>
      <c r="Q2285" s="5" t="inlineStr">
        <is>
          <t>4</t>
        </is>
      </c>
      <c r="R2285" s="5" t="inlineStr">
        <is>
          <t>6</t>
        </is>
      </c>
      <c r="S2285" s="5" t="inlineStr">
        <is>
          <t>57</t>
        </is>
      </c>
      <c r="T2285" s="5" t="inlineStr">
        <is>
          <t>0</t>
        </is>
      </c>
      <c r="U2285" s="5" t="inlineStr">
        <is>
          <t>OK</t>
        </is>
      </c>
    </row>
    <row r="2286">
      <c r="A2286" s="5" t="inlineStr">
        <is>
          <t>E02875</t>
        </is>
      </c>
      <c r="B2286" s="5" t="inlineStr">
        <is>
          <t>Female</t>
        </is>
      </c>
      <c r="C2286" s="6" t="inlineStr">
        <is>
          <t>28</t>
        </is>
      </c>
      <c r="D2286" s="5" t="inlineStr">
        <is>
          <t>Married</t>
        </is>
      </c>
      <c r="E2286" s="5" t="inlineStr">
        <is>
          <t>Bachelor</t>
        </is>
      </c>
      <c r="F2286" s="5" t="inlineStr">
        <is>
          <t>Finance</t>
        </is>
      </c>
      <c r="G2286" s="5" t="inlineStr">
        <is>
          <t>Financial Analyst</t>
        </is>
      </c>
      <c r="H2286" s="5" t="inlineStr">
        <is>
          <t>2</t>
        </is>
      </c>
      <c r="I2286" s="5" t="inlineStr">
        <is>
          <t>Mumbai</t>
        </is>
      </c>
      <c r="J2286" s="5" t="inlineStr">
        <is>
          <t>Full-Time</t>
        </is>
      </c>
      <c r="K2286" s="7" t="n">
        <v>45010</v>
      </c>
      <c r="L2286" s="7" t="inlineStr"/>
      <c r="M2286" s="5" t="inlineStr">
        <is>
          <t>Yes</t>
        </is>
      </c>
      <c r="N2286" s="5" t="inlineStr"/>
      <c r="O2286" s="8" t="inlineStr">
        <is>
          <t>121000</t>
        </is>
      </c>
      <c r="P2286" s="5" t="inlineStr">
        <is>
          <t>5</t>
        </is>
      </c>
      <c r="Q2286" s="5" t="inlineStr">
        <is>
          <t>5</t>
        </is>
      </c>
      <c r="R2286" s="5" t="inlineStr">
        <is>
          <t>2</t>
        </is>
      </c>
      <c r="S2286" s="5" t="inlineStr">
        <is>
          <t>33</t>
        </is>
      </c>
      <c r="T2286" s="5" t="inlineStr">
        <is>
          <t>6</t>
        </is>
      </c>
      <c r="U2286" s="5" t="inlineStr">
        <is>
          <t>OK</t>
        </is>
      </c>
    </row>
    <row r="2287">
      <c r="A2287" s="5" t="inlineStr">
        <is>
          <t>E01545</t>
        </is>
      </c>
      <c r="B2287" s="5" t="inlineStr">
        <is>
          <t>Female</t>
        </is>
      </c>
      <c r="C2287" s="6" t="inlineStr">
        <is>
          <t>44</t>
        </is>
      </c>
      <c r="D2287" s="5" t="inlineStr">
        <is>
          <t>Single</t>
        </is>
      </c>
      <c r="E2287" s="5" t="inlineStr">
        <is>
          <t>Bachelor</t>
        </is>
      </c>
      <c r="F2287" s="5" t="inlineStr">
        <is>
          <t>Sales</t>
        </is>
      </c>
      <c r="G2287" s="5" t="inlineStr">
        <is>
          <t>Account Executive</t>
        </is>
      </c>
      <c r="H2287" s="5" t="inlineStr">
        <is>
          <t>6</t>
        </is>
      </c>
      <c r="I2287" s="5" t="inlineStr">
        <is>
          <t>Remote</t>
        </is>
      </c>
      <c r="J2287" s="5" t="inlineStr">
        <is>
          <t>Full-Time</t>
        </is>
      </c>
      <c r="K2287" s="7" t="n">
        <v>43900</v>
      </c>
      <c r="L2287" s="7" t="inlineStr"/>
      <c r="M2287" s="5" t="inlineStr">
        <is>
          <t>Yes</t>
        </is>
      </c>
      <c r="N2287" s="5" t="inlineStr"/>
      <c r="O2287" s="8" t="inlineStr">
        <is>
          <t>114000</t>
        </is>
      </c>
      <c r="P2287" s="5" t="inlineStr">
        <is>
          <t>0</t>
        </is>
      </c>
      <c r="Q2287" s="5" t="inlineStr">
        <is>
          <t>3</t>
        </is>
      </c>
      <c r="R2287" s="5" t="inlineStr">
        <is>
          <t>9</t>
        </is>
      </c>
      <c r="S2287" s="5" t="inlineStr">
        <is>
          <t>70</t>
        </is>
      </c>
      <c r="T2287" s="5" t="inlineStr">
        <is>
          <t>15</t>
        </is>
      </c>
      <c r="U2287" s="5" t="inlineStr">
        <is>
          <t>OK</t>
        </is>
      </c>
    </row>
    <row r="2288">
      <c r="A2288" s="5" t="inlineStr">
        <is>
          <t>E00061</t>
        </is>
      </c>
      <c r="B2288" s="5" t="inlineStr">
        <is>
          <t>Female</t>
        </is>
      </c>
      <c r="C2288" s="6" t="inlineStr">
        <is>
          <t>31</t>
        </is>
      </c>
      <c r="D2288" s="5" t="inlineStr">
        <is>
          <t>Married</t>
        </is>
      </c>
      <c r="E2288" s="5" t="inlineStr">
        <is>
          <t>Bachelor</t>
        </is>
      </c>
      <c r="F2288" s="5" t="inlineStr">
        <is>
          <t>Sales</t>
        </is>
      </c>
      <c r="G2288" s="5" t="inlineStr">
        <is>
          <t>Account Executive</t>
        </is>
      </c>
      <c r="H2288" s="5" t="inlineStr">
        <is>
          <t>1</t>
        </is>
      </c>
      <c r="I2288" s="5" t="inlineStr">
        <is>
          <t>Delhi</t>
        </is>
      </c>
      <c r="J2288" s="5" t="inlineStr">
        <is>
          <t>Full-Time</t>
        </is>
      </c>
      <c r="K2288" s="7" t="n">
        <v>44441</v>
      </c>
      <c r="L2288" s="7" t="inlineStr"/>
      <c r="M2288" s="5" t="inlineStr">
        <is>
          <t>Yes</t>
        </is>
      </c>
      <c r="N2288" s="5" t="inlineStr"/>
      <c r="O2288" s="8" t="inlineStr">
        <is>
          <t>83000</t>
        </is>
      </c>
      <c r="P2288" s="5" t="inlineStr">
        <is>
          <t>5</t>
        </is>
      </c>
      <c r="Q2288" s="5" t="inlineStr">
        <is>
          <t>3</t>
        </is>
      </c>
      <c r="R2288" s="5" t="inlineStr">
        <is>
          <t>8</t>
        </is>
      </c>
      <c r="S2288" s="5" t="inlineStr">
        <is>
          <t>52</t>
        </is>
      </c>
      <c r="T2288" s="5" t="inlineStr">
        <is>
          <t>6</t>
        </is>
      </c>
      <c r="U2288" s="5" t="inlineStr">
        <is>
          <t>OK</t>
        </is>
      </c>
    </row>
    <row r="2289">
      <c r="A2289" s="5" t="inlineStr">
        <is>
          <t>E00714</t>
        </is>
      </c>
      <c r="B2289" s="5" t="inlineStr">
        <is>
          <t>Female</t>
        </is>
      </c>
      <c r="C2289" s="6" t="inlineStr">
        <is>
          <t>36</t>
        </is>
      </c>
      <c r="D2289" s="5" t="inlineStr">
        <is>
          <t>Married</t>
        </is>
      </c>
      <c r="E2289" s="5" t="inlineStr">
        <is>
          <t>Diploma</t>
        </is>
      </c>
      <c r="F2289" s="5" t="inlineStr">
        <is>
          <t>Marketing</t>
        </is>
      </c>
      <c r="G2289" s="5" t="inlineStr">
        <is>
          <t>Content Writer</t>
        </is>
      </c>
      <c r="H2289" s="5" t="inlineStr">
        <is>
          <t>4</t>
        </is>
      </c>
      <c r="I2289" s="5" t="inlineStr">
        <is>
          <t>Hyderabad</t>
        </is>
      </c>
      <c r="J2289" s="5" t="inlineStr">
        <is>
          <t>Full-Time</t>
        </is>
      </c>
      <c r="K2289" s="7" t="n">
        <v>45264</v>
      </c>
      <c r="L2289" s="7" t="inlineStr"/>
      <c r="M2289" s="5" t="inlineStr">
        <is>
          <t>Yes</t>
        </is>
      </c>
      <c r="N2289" s="5" t="inlineStr"/>
      <c r="O2289" s="8" t="inlineStr">
        <is>
          <t>90500</t>
        </is>
      </c>
      <c r="P2289" s="5" t="inlineStr">
        <is>
          <t>10</t>
        </is>
      </c>
      <c r="Q2289" s="5" t="inlineStr">
        <is>
          <t>5</t>
        </is>
      </c>
      <c r="R2289" s="5" t="inlineStr">
        <is>
          <t>5</t>
        </is>
      </c>
      <c r="S2289" s="5" t="inlineStr">
        <is>
          <t>25</t>
        </is>
      </c>
      <c r="T2289" s="5" t="inlineStr">
        <is>
          <t>13</t>
        </is>
      </c>
      <c r="U2289" s="5" t="inlineStr">
        <is>
          <t>OK</t>
        </is>
      </c>
    </row>
    <row r="2290">
      <c r="A2290" s="5" t="inlineStr">
        <is>
          <t>E00562</t>
        </is>
      </c>
      <c r="B2290" s="5" t="inlineStr">
        <is>
          <t>Female</t>
        </is>
      </c>
      <c r="C2290" s="6" t="inlineStr">
        <is>
          <t>44</t>
        </is>
      </c>
      <c r="D2290" s="5" t="inlineStr">
        <is>
          <t>Married</t>
        </is>
      </c>
      <c r="E2290" s="5" t="inlineStr">
        <is>
          <t>Master</t>
        </is>
      </c>
      <c r="F2290" s="5" t="inlineStr">
        <is>
          <t>Operations</t>
        </is>
      </c>
      <c r="G2290" s="5" t="inlineStr">
        <is>
          <t>Operations Analyst</t>
        </is>
      </c>
      <c r="H2290" s="5" t="inlineStr">
        <is>
          <t>7</t>
        </is>
      </c>
      <c r="I2290" s="5" t="inlineStr">
        <is>
          <t>Chennai</t>
        </is>
      </c>
      <c r="J2290" s="5" t="inlineStr">
        <is>
          <t>Full-Time</t>
        </is>
      </c>
      <c r="K2290" s="7" t="n">
        <v>44216</v>
      </c>
      <c r="L2290" s="7" t="inlineStr"/>
      <c r="M2290" s="5" t="inlineStr">
        <is>
          <t>Yes</t>
        </is>
      </c>
      <c r="N2290" s="5" t="inlineStr"/>
      <c r="O2290" s="8" t="inlineStr">
        <is>
          <t>126000</t>
        </is>
      </c>
      <c r="P2290" s="5" t="inlineStr">
        <is>
          <t>0</t>
        </is>
      </c>
      <c r="Q2290" s="5" t="inlineStr">
        <is>
          <t>3</t>
        </is>
      </c>
      <c r="R2290" s="5" t="inlineStr">
        <is>
          <t>8</t>
        </is>
      </c>
      <c r="S2290" s="5" t="inlineStr">
        <is>
          <t>60</t>
        </is>
      </c>
      <c r="T2290" s="5" t="inlineStr">
        <is>
          <t>0</t>
        </is>
      </c>
      <c r="U2290" s="5" t="inlineStr">
        <is>
          <t>OK</t>
        </is>
      </c>
    </row>
    <row r="2291">
      <c r="A2291" s="5" t="inlineStr">
        <is>
          <t>E01998</t>
        </is>
      </c>
      <c r="B2291" s="5" t="inlineStr">
        <is>
          <t>Female</t>
        </is>
      </c>
      <c r="C2291" s="6" t="inlineStr">
        <is>
          <t>41</t>
        </is>
      </c>
      <c r="D2291" s="5" t="inlineStr">
        <is>
          <t>Married</t>
        </is>
      </c>
      <c r="E2291" s="5" t="inlineStr">
        <is>
          <t>Master</t>
        </is>
      </c>
      <c r="F2291" s="5" t="inlineStr">
        <is>
          <t>Research &amp; Development</t>
        </is>
      </c>
      <c r="G2291" s="5" t="inlineStr">
        <is>
          <t>Product Engineer</t>
        </is>
      </c>
      <c r="H2291" s="5" t="inlineStr">
        <is>
          <t>5</t>
        </is>
      </c>
      <c r="I2291" s="5" t="inlineStr">
        <is>
          <t>Hyderabad</t>
        </is>
      </c>
      <c r="J2291" s="5" t="inlineStr">
        <is>
          <t>Full-Time</t>
        </is>
      </c>
      <c r="K2291" s="7" t="n">
        <v>44099</v>
      </c>
      <c r="L2291" s="7" t="inlineStr"/>
      <c r="M2291" s="5" t="inlineStr">
        <is>
          <t>Yes</t>
        </is>
      </c>
      <c r="N2291" s="5" t="inlineStr"/>
      <c r="O2291" s="8" t="inlineStr">
        <is>
          <t>258000</t>
        </is>
      </c>
      <c r="P2291" s="5" t="inlineStr">
        <is>
          <t>10</t>
        </is>
      </c>
      <c r="Q2291" s="5" t="inlineStr">
        <is>
          <t>4</t>
        </is>
      </c>
      <c r="R2291" s="5" t="inlineStr">
        <is>
          <t>1</t>
        </is>
      </c>
      <c r="S2291" s="5" t="inlineStr">
        <is>
          <t>64</t>
        </is>
      </c>
      <c r="T2291" s="5" t="inlineStr">
        <is>
          <t>0</t>
        </is>
      </c>
      <c r="U2291" s="5" t="inlineStr">
        <is>
          <t>OK</t>
        </is>
      </c>
    </row>
    <row r="2292">
      <c r="A2292" s="5" t="inlineStr">
        <is>
          <t>E02274</t>
        </is>
      </c>
      <c r="B2292" s="5" t="inlineStr">
        <is>
          <t>Male</t>
        </is>
      </c>
      <c r="C2292" s="6" t="inlineStr">
        <is>
          <t>34</t>
        </is>
      </c>
      <c r="D2292" s="5" t="inlineStr">
        <is>
          <t>Married</t>
        </is>
      </c>
      <c r="E2292" s="5" t="inlineStr">
        <is>
          <t>Diploma</t>
        </is>
      </c>
      <c r="F2292" s="5" t="inlineStr">
        <is>
          <t>Marketing</t>
        </is>
      </c>
      <c r="G2292" s="5" t="inlineStr">
        <is>
          <t>SEO Specialist</t>
        </is>
      </c>
      <c r="H2292" s="5" t="inlineStr">
        <is>
          <t>5</t>
        </is>
      </c>
      <c r="I2292" s="5" t="inlineStr">
        <is>
          <t>Bengaluru</t>
        </is>
      </c>
      <c r="J2292" s="5" t="inlineStr">
        <is>
          <t>Full-Time</t>
        </is>
      </c>
      <c r="K2292" s="7" t="n">
        <v>43941</v>
      </c>
      <c r="L2292" s="7" t="inlineStr"/>
      <c r="M2292" s="5" t="inlineStr">
        <is>
          <t>Yes</t>
        </is>
      </c>
      <c r="N2292" s="5" t="inlineStr"/>
      <c r="O2292" s="8" t="inlineStr">
        <is>
          <t>132500</t>
        </is>
      </c>
      <c r="P2292" s="5" t="inlineStr">
        <is>
          <t>10</t>
        </is>
      </c>
      <c r="Q2292" s="5" t="inlineStr">
        <is>
          <t>3</t>
        </is>
      </c>
      <c r="R2292" s="5" t="inlineStr">
        <is>
          <t>6</t>
        </is>
      </c>
      <c r="S2292" s="5" t="inlineStr">
        <is>
          <t>69</t>
        </is>
      </c>
      <c r="T2292" s="5" t="inlineStr">
        <is>
          <t>12</t>
        </is>
      </c>
      <c r="U2292" s="5" t="inlineStr">
        <is>
          <t>OK</t>
        </is>
      </c>
    </row>
    <row r="2293">
      <c r="A2293" s="5" t="inlineStr">
        <is>
          <t>E02372</t>
        </is>
      </c>
      <c r="B2293" s="5" t="inlineStr">
        <is>
          <t>Male</t>
        </is>
      </c>
      <c r="C2293" s="6" t="inlineStr">
        <is>
          <t>23</t>
        </is>
      </c>
      <c r="D2293" s="5" t="inlineStr">
        <is>
          <t>Married</t>
        </is>
      </c>
      <c r="E2293" s="5" t="inlineStr">
        <is>
          <t>Bachelor</t>
        </is>
      </c>
      <c r="F2293" s="5" t="inlineStr">
        <is>
          <t>Sales</t>
        </is>
      </c>
      <c r="G2293" s="5" t="inlineStr">
        <is>
          <t>Sales Executive</t>
        </is>
      </c>
      <c r="H2293" s="5" t="inlineStr">
        <is>
          <t>1</t>
        </is>
      </c>
      <c r="I2293" s="5" t="inlineStr">
        <is>
          <t>Hyderabad</t>
        </is>
      </c>
      <c r="J2293" s="5" t="inlineStr">
        <is>
          <t>Full-Time</t>
        </is>
      </c>
      <c r="K2293" s="7" t="n">
        <v>45378</v>
      </c>
      <c r="L2293" s="7" t="n">
        <v>45521</v>
      </c>
      <c r="M2293" s="5" t="inlineStr">
        <is>
          <t>No</t>
        </is>
      </c>
      <c r="N2293" s="5" t="inlineStr">
        <is>
          <t>Resigned</t>
        </is>
      </c>
      <c r="O2293" s="8" t="inlineStr">
        <is>
          <t>72500</t>
        </is>
      </c>
      <c r="P2293" s="5" t="inlineStr">
        <is>
          <t>20</t>
        </is>
      </c>
      <c r="Q2293" s="5" t="inlineStr">
        <is>
          <t>3</t>
        </is>
      </c>
      <c r="R2293" s="5" t="inlineStr">
        <is>
          <t>3</t>
        </is>
      </c>
      <c r="S2293" s="5" t="inlineStr">
        <is>
          <t>4</t>
        </is>
      </c>
      <c r="T2293" s="5" t="inlineStr">
        <is>
          <t>4</t>
        </is>
      </c>
      <c r="U2293" s="5" t="inlineStr">
        <is>
          <t>OK</t>
        </is>
      </c>
    </row>
    <row r="2294">
      <c r="A2294" s="5" t="inlineStr">
        <is>
          <t>E00541</t>
        </is>
      </c>
      <c r="B2294" s="5" t="inlineStr">
        <is>
          <t>Male</t>
        </is>
      </c>
      <c r="C2294" s="6" t="inlineStr">
        <is>
          <t>37</t>
        </is>
      </c>
      <c r="D2294" s="5" t="inlineStr">
        <is>
          <t>Married</t>
        </is>
      </c>
      <c r="E2294" s="5" t="inlineStr">
        <is>
          <t>Diploma</t>
        </is>
      </c>
      <c r="F2294" s="5" t="inlineStr">
        <is>
          <t>Sales</t>
        </is>
      </c>
      <c r="G2294" s="5" t="inlineStr">
        <is>
          <t>Business Development</t>
        </is>
      </c>
      <c r="H2294" s="5" t="inlineStr">
        <is>
          <t>3</t>
        </is>
      </c>
      <c r="I2294" s="5" t="inlineStr">
        <is>
          <t>Remote</t>
        </is>
      </c>
      <c r="J2294" s="5" t="inlineStr">
        <is>
          <t>Full-Time</t>
        </is>
      </c>
      <c r="K2294" s="7" t="n">
        <v>45272</v>
      </c>
      <c r="L2294" s="7" t="inlineStr"/>
      <c r="M2294" s="5" t="inlineStr">
        <is>
          <t>Yes</t>
        </is>
      </c>
      <c r="N2294" s="5" t="inlineStr"/>
      <c r="O2294" s="8" t="inlineStr">
        <is>
          <t>138000</t>
        </is>
      </c>
      <c r="P2294" s="5" t="inlineStr">
        <is>
          <t>0</t>
        </is>
      </c>
      <c r="Q2294" s="5" t="inlineStr">
        <is>
          <t>4</t>
        </is>
      </c>
      <c r="R2294" s="5" t="inlineStr">
        <is>
          <t>6</t>
        </is>
      </c>
      <c r="S2294" s="5" t="inlineStr">
        <is>
          <t>25</t>
        </is>
      </c>
      <c r="T2294" s="5" t="inlineStr">
        <is>
          <t>8</t>
        </is>
      </c>
      <c r="U2294" s="5" t="inlineStr">
        <is>
          <t>OK</t>
        </is>
      </c>
    </row>
    <row r="2295">
      <c r="A2295" s="5" t="inlineStr">
        <is>
          <t>E00186</t>
        </is>
      </c>
      <c r="B2295" s="5" t="inlineStr">
        <is>
          <t>Female</t>
        </is>
      </c>
      <c r="C2295" s="6" t="inlineStr">
        <is>
          <t>37</t>
        </is>
      </c>
      <c r="D2295" s="5" t="inlineStr">
        <is>
          <t>Married</t>
        </is>
      </c>
      <c r="E2295" s="5" t="inlineStr">
        <is>
          <t>Master</t>
        </is>
      </c>
      <c r="F2295" s="5" t="inlineStr">
        <is>
          <t>Finance</t>
        </is>
      </c>
      <c r="G2295" s="5" t="inlineStr">
        <is>
          <t>Financial Analyst</t>
        </is>
      </c>
      <c r="H2295" s="5" t="inlineStr">
        <is>
          <t>7</t>
        </is>
      </c>
      <c r="I2295" s="5" t="inlineStr">
        <is>
          <t>Delhi</t>
        </is>
      </c>
      <c r="J2295" s="5" t="inlineStr">
        <is>
          <t>Full-Time</t>
        </is>
      </c>
      <c r="K2295" s="7" t="n">
        <v>45898</v>
      </c>
      <c r="L2295" s="7" t="inlineStr"/>
      <c r="M2295" s="5" t="inlineStr">
        <is>
          <t>Yes</t>
        </is>
      </c>
      <c r="N2295" s="5" t="inlineStr"/>
      <c r="O2295" s="8" t="inlineStr">
        <is>
          <t>197000</t>
        </is>
      </c>
      <c r="P2295" s="5" t="inlineStr">
        <is>
          <t>20</t>
        </is>
      </c>
      <c r="Q2295" s="5" t="inlineStr">
        <is>
          <t>2</t>
        </is>
      </c>
      <c r="R2295" s="5" t="inlineStr">
        <is>
          <t>7</t>
        </is>
      </c>
      <c r="S2295" s="5" t="inlineStr">
        <is>
          <t>4</t>
        </is>
      </c>
      <c r="T2295" s="5" t="inlineStr">
        <is>
          <t>4</t>
        </is>
      </c>
      <c r="U2295" s="5" t="inlineStr">
        <is>
          <t>OK</t>
        </is>
      </c>
    </row>
    <row r="2296">
      <c r="A2296" s="5" t="inlineStr">
        <is>
          <t>E02091</t>
        </is>
      </c>
      <c r="B2296" s="5" t="inlineStr">
        <is>
          <t>Female</t>
        </is>
      </c>
      <c r="C2296" s="6" t="inlineStr">
        <is>
          <t>35</t>
        </is>
      </c>
      <c r="D2296" s="5" t="inlineStr">
        <is>
          <t>Married</t>
        </is>
      </c>
      <c r="E2296" s="5" t="inlineStr">
        <is>
          <t>PhD</t>
        </is>
      </c>
      <c r="F2296" s="5" t="inlineStr">
        <is>
          <t>Sales</t>
        </is>
      </c>
      <c r="G2296" s="5" t="inlineStr">
        <is>
          <t>Business Development</t>
        </is>
      </c>
      <c r="H2296" s="5" t="inlineStr">
        <is>
          <t>5</t>
        </is>
      </c>
      <c r="I2296" s="5" t="inlineStr">
        <is>
          <t>Remote</t>
        </is>
      </c>
      <c r="J2296" s="5" t="inlineStr">
        <is>
          <t>Contract</t>
        </is>
      </c>
      <c r="K2296" s="7" t="n">
        <v>44876</v>
      </c>
      <c r="L2296" s="7" t="inlineStr"/>
      <c r="M2296" s="5" t="inlineStr">
        <is>
          <t>Yes</t>
        </is>
      </c>
      <c r="N2296" s="5" t="inlineStr"/>
      <c r="O2296" s="8" t="inlineStr">
        <is>
          <t>165500</t>
        </is>
      </c>
      <c r="P2296" s="5" t="inlineStr">
        <is>
          <t>15</t>
        </is>
      </c>
      <c r="Q2296" s="5" t="inlineStr">
        <is>
          <t>5</t>
        </is>
      </c>
      <c r="R2296" s="5" t="inlineStr">
        <is>
          <t>10</t>
        </is>
      </c>
      <c r="S2296" s="5" t="inlineStr">
        <is>
          <t>38</t>
        </is>
      </c>
      <c r="T2296" s="5" t="inlineStr">
        <is>
          <t>7</t>
        </is>
      </c>
      <c r="U2296" s="5" t="inlineStr">
        <is>
          <t>OK</t>
        </is>
      </c>
    </row>
    <row r="2297">
      <c r="A2297" s="5" t="inlineStr">
        <is>
          <t>E00675</t>
        </is>
      </c>
      <c r="B2297" s="5" t="inlineStr">
        <is>
          <t>Female</t>
        </is>
      </c>
      <c r="C2297" s="6" t="inlineStr">
        <is>
          <t>32</t>
        </is>
      </c>
      <c r="D2297" s="5" t="inlineStr">
        <is>
          <t>Married</t>
        </is>
      </c>
      <c r="E2297" s="5" t="inlineStr">
        <is>
          <t>Bachelor</t>
        </is>
      </c>
      <c r="F2297" s="5" t="inlineStr">
        <is>
          <t>Operations</t>
        </is>
      </c>
      <c r="G2297" s="5" t="inlineStr">
        <is>
          <t>Logistics Coordinator</t>
        </is>
      </c>
      <c r="H2297" s="5" t="inlineStr">
        <is>
          <t>4</t>
        </is>
      </c>
      <c r="I2297" s="5" t="inlineStr">
        <is>
          <t>Chennai</t>
        </is>
      </c>
      <c r="J2297" s="5" t="inlineStr">
        <is>
          <t>Full-Time</t>
        </is>
      </c>
      <c r="K2297" s="7" t="n">
        <v>43874</v>
      </c>
      <c r="L2297" s="7" t="inlineStr"/>
      <c r="M2297" s="5" t="inlineStr">
        <is>
          <t>Yes</t>
        </is>
      </c>
      <c r="N2297" s="5" t="inlineStr"/>
      <c r="O2297" s="8" t="inlineStr">
        <is>
          <t>110500</t>
        </is>
      </c>
      <c r="P2297" s="5" t="inlineStr">
        <is>
          <t>0</t>
        </is>
      </c>
      <c r="Q2297" s="5" t="inlineStr">
        <is>
          <t>5</t>
        </is>
      </c>
      <c r="R2297" s="5" t="inlineStr">
        <is>
          <t>6</t>
        </is>
      </c>
      <c r="S2297" s="5" t="inlineStr">
        <is>
          <t>71</t>
        </is>
      </c>
      <c r="T2297" s="5" t="inlineStr">
        <is>
          <t>17</t>
        </is>
      </c>
      <c r="U2297" s="5" t="inlineStr">
        <is>
          <t>OK</t>
        </is>
      </c>
    </row>
    <row r="2298">
      <c r="A2298" s="5" t="inlineStr">
        <is>
          <t>E02730</t>
        </is>
      </c>
      <c r="B2298" s="5" t="inlineStr">
        <is>
          <t>Male</t>
        </is>
      </c>
      <c r="C2298" s="6" t="inlineStr">
        <is>
          <t>32</t>
        </is>
      </c>
      <c r="D2298" s="5" t="inlineStr">
        <is>
          <t>Divorced</t>
        </is>
      </c>
      <c r="E2298" s="5" t="inlineStr">
        <is>
          <t>Master</t>
        </is>
      </c>
      <c r="F2298" s="5" t="inlineStr">
        <is>
          <t>Operations</t>
        </is>
      </c>
      <c r="G2298" s="5" t="inlineStr">
        <is>
          <t>Operations Analyst</t>
        </is>
      </c>
      <c r="H2298" s="5" t="inlineStr">
        <is>
          <t>1</t>
        </is>
      </c>
      <c r="I2298" s="5" t="inlineStr">
        <is>
          <t>Bengaluru</t>
        </is>
      </c>
      <c r="J2298" s="5" t="inlineStr">
        <is>
          <t>Full-Time</t>
        </is>
      </c>
      <c r="K2298" s="7" t="n">
        <v>44097</v>
      </c>
      <c r="L2298" s="7" t="n">
        <v>44177</v>
      </c>
      <c r="M2298" s="5" t="inlineStr">
        <is>
          <t>No</t>
        </is>
      </c>
      <c r="N2298" s="5" t="inlineStr">
        <is>
          <t>Retirement</t>
        </is>
      </c>
      <c r="O2298" s="8" t="inlineStr">
        <is>
          <t>88000</t>
        </is>
      </c>
      <c r="P2298" s="5" t="inlineStr">
        <is>
          <t>0</t>
        </is>
      </c>
      <c r="Q2298" s="5" t="inlineStr">
        <is>
          <t>5</t>
        </is>
      </c>
      <c r="R2298" s="5" t="inlineStr">
        <is>
          <t>8</t>
        </is>
      </c>
      <c r="S2298" s="5" t="inlineStr">
        <is>
          <t>2</t>
        </is>
      </c>
      <c r="T2298" s="5" t="inlineStr">
        <is>
          <t>4</t>
        </is>
      </c>
      <c r="U2298" s="5" t="inlineStr">
        <is>
          <t>OK</t>
        </is>
      </c>
    </row>
    <row r="2299">
      <c r="A2299" s="5" t="inlineStr">
        <is>
          <t>E00360</t>
        </is>
      </c>
      <c r="B2299" s="5" t="inlineStr">
        <is>
          <t>Female</t>
        </is>
      </c>
      <c r="C2299" s="6" t="inlineStr">
        <is>
          <t>25</t>
        </is>
      </c>
      <c r="D2299" s="5" t="inlineStr">
        <is>
          <t>Married</t>
        </is>
      </c>
      <c r="E2299" s="5" t="inlineStr">
        <is>
          <t>Bachelor</t>
        </is>
      </c>
      <c r="F2299" s="5" t="inlineStr">
        <is>
          <t>Customer Support</t>
        </is>
      </c>
      <c r="G2299" s="5" t="inlineStr">
        <is>
          <t>Escalation Specialist</t>
        </is>
      </c>
      <c r="H2299" s="5" t="inlineStr">
        <is>
          <t>1</t>
        </is>
      </c>
      <c r="I2299" s="5" t="inlineStr">
        <is>
          <t>Chennai</t>
        </is>
      </c>
      <c r="J2299" s="5" t="inlineStr">
        <is>
          <t>Full-Time</t>
        </is>
      </c>
      <c r="K2299" s="7" t="n">
        <v>43993</v>
      </c>
      <c r="L2299" s="7" t="inlineStr"/>
      <c r="M2299" s="5" t="inlineStr">
        <is>
          <t>Yes</t>
        </is>
      </c>
      <c r="N2299" s="5" t="inlineStr"/>
      <c r="O2299" s="8" t="inlineStr">
        <is>
          <t>57000</t>
        </is>
      </c>
      <c r="P2299" s="5" t="inlineStr">
        <is>
          <t>10</t>
        </is>
      </c>
      <c r="Q2299" s="5" t="inlineStr">
        <is>
          <t>5</t>
        </is>
      </c>
      <c r="R2299" s="5" t="inlineStr">
        <is>
          <t>6</t>
        </is>
      </c>
      <c r="S2299" s="5" t="inlineStr">
        <is>
          <t>67</t>
        </is>
      </c>
      <c r="T2299" s="5" t="inlineStr">
        <is>
          <t>0</t>
        </is>
      </c>
      <c r="U2299" s="5" t="inlineStr">
        <is>
          <t>OK</t>
        </is>
      </c>
    </row>
    <row r="2300">
      <c r="A2300" s="5" t="inlineStr">
        <is>
          <t>E02184</t>
        </is>
      </c>
      <c r="B2300" s="5" t="inlineStr">
        <is>
          <t>Male</t>
        </is>
      </c>
      <c r="C2300" s="6" t="inlineStr">
        <is>
          <t>33</t>
        </is>
      </c>
      <c r="D2300" s="5" t="inlineStr">
        <is>
          <t>Married</t>
        </is>
      </c>
      <c r="E2300" s="5" t="inlineStr">
        <is>
          <t>High School</t>
        </is>
      </c>
      <c r="F2300" s="5" t="inlineStr">
        <is>
          <t>Marketing</t>
        </is>
      </c>
      <c r="G2300" s="5" t="inlineStr">
        <is>
          <t>Content Writer</t>
        </is>
      </c>
      <c r="H2300" s="5" t="inlineStr">
        <is>
          <t>1</t>
        </is>
      </c>
      <c r="I2300" s="5" t="inlineStr">
        <is>
          <t>Bengaluru</t>
        </is>
      </c>
      <c r="J2300" s="5" t="inlineStr">
        <is>
          <t>Full-Time</t>
        </is>
      </c>
      <c r="K2300" s="7" t="n">
        <v>43998</v>
      </c>
      <c r="L2300" s="7" t="inlineStr"/>
      <c r="M2300" s="5" t="inlineStr">
        <is>
          <t>Yes</t>
        </is>
      </c>
      <c r="N2300" s="5" t="inlineStr"/>
      <c r="O2300" s="8" t="inlineStr">
        <is>
          <t>63000</t>
        </is>
      </c>
      <c r="P2300" s="5" t="inlineStr">
        <is>
          <t>0</t>
        </is>
      </c>
      <c r="Q2300" s="5" t="inlineStr">
        <is>
          <t>3</t>
        </is>
      </c>
      <c r="R2300" s="5" t="inlineStr">
        <is>
          <t>5</t>
        </is>
      </c>
      <c r="S2300" s="5" t="inlineStr">
        <is>
          <t>67</t>
        </is>
      </c>
      <c r="T2300" s="5" t="inlineStr">
        <is>
          <t>8</t>
        </is>
      </c>
      <c r="U2300" s="5" t="inlineStr">
        <is>
          <t>OK</t>
        </is>
      </c>
    </row>
    <row r="2301">
      <c r="A2301" s="5" t="inlineStr">
        <is>
          <t>E02086</t>
        </is>
      </c>
      <c r="B2301" s="5" t="inlineStr">
        <is>
          <t>Female</t>
        </is>
      </c>
      <c r="C2301" s="6" t="inlineStr">
        <is>
          <t>32</t>
        </is>
      </c>
      <c r="D2301" s="5" t="inlineStr">
        <is>
          <t>Married</t>
        </is>
      </c>
      <c r="E2301" s="5" t="inlineStr">
        <is>
          <t>High School</t>
        </is>
      </c>
      <c r="F2301" s="5" t="inlineStr">
        <is>
          <t>Marketing</t>
        </is>
      </c>
      <c r="G2301" s="5" t="inlineStr">
        <is>
          <t>SEO Specialist</t>
        </is>
      </c>
      <c r="H2301" s="5" t="inlineStr">
        <is>
          <t>3</t>
        </is>
      </c>
      <c r="I2301" s="5" t="inlineStr">
        <is>
          <t>Mumbai</t>
        </is>
      </c>
      <c r="J2301" s="5" t="inlineStr">
        <is>
          <t>Full-Time</t>
        </is>
      </c>
      <c r="K2301" s="7" t="n">
        <v>45577</v>
      </c>
      <c r="L2301" s="7" t="inlineStr"/>
      <c r="M2301" s="5" t="inlineStr">
        <is>
          <t>Yes</t>
        </is>
      </c>
      <c r="N2301" s="5" t="inlineStr"/>
      <c r="O2301" s="8" t="inlineStr">
        <is>
          <t>103000</t>
        </is>
      </c>
      <c r="P2301" s="5" t="inlineStr">
        <is>
          <t>10</t>
        </is>
      </c>
      <c r="Q2301" s="5" t="inlineStr">
        <is>
          <t>3</t>
        </is>
      </c>
      <c r="R2301" s="5" t="inlineStr">
        <is>
          <t>6</t>
        </is>
      </c>
      <c r="S2301" s="5" t="inlineStr">
        <is>
          <t>14</t>
        </is>
      </c>
      <c r="T2301" s="5" t="inlineStr">
        <is>
          <t>8</t>
        </is>
      </c>
      <c r="U2301" s="5" t="inlineStr">
        <is>
          <t>OK</t>
        </is>
      </c>
    </row>
    <row r="2302">
      <c r="A2302" s="5" t="inlineStr">
        <is>
          <t>E00623</t>
        </is>
      </c>
      <c r="B2302" s="5" t="inlineStr">
        <is>
          <t>Male</t>
        </is>
      </c>
      <c r="C2302" s="6" t="inlineStr">
        <is>
          <t>41</t>
        </is>
      </c>
      <c r="D2302" s="5" t="inlineStr">
        <is>
          <t>Married</t>
        </is>
      </c>
      <c r="E2302" s="5" t="inlineStr">
        <is>
          <t>Diploma</t>
        </is>
      </c>
      <c r="F2302" s="5" t="inlineStr">
        <is>
          <t>Finance</t>
        </is>
      </c>
      <c r="G2302" s="5" t="inlineStr">
        <is>
          <t>Accountant</t>
        </is>
      </c>
      <c r="H2302" s="5" t="inlineStr">
        <is>
          <t>7</t>
        </is>
      </c>
      <c r="I2302" s="5" t="inlineStr">
        <is>
          <t>Mumbai</t>
        </is>
      </c>
      <c r="J2302" s="5" t="inlineStr">
        <is>
          <t>Full-Time</t>
        </is>
      </c>
      <c r="K2302" s="7" t="n">
        <v>44775</v>
      </c>
      <c r="L2302" s="7" t="inlineStr"/>
      <c r="M2302" s="5" t="inlineStr">
        <is>
          <t>Yes</t>
        </is>
      </c>
      <c r="N2302" s="5" t="inlineStr"/>
      <c r="O2302" s="8" t="inlineStr">
        <is>
          <t>134500</t>
        </is>
      </c>
      <c r="P2302" s="5" t="inlineStr">
        <is>
          <t>0</t>
        </is>
      </c>
      <c r="Q2302" s="5" t="inlineStr">
        <is>
          <t>3</t>
        </is>
      </c>
      <c r="R2302" s="5" t="inlineStr">
        <is>
          <t>4</t>
        </is>
      </c>
      <c r="S2302" s="5" t="inlineStr">
        <is>
          <t>41</t>
        </is>
      </c>
      <c r="T2302" s="5" t="inlineStr">
        <is>
          <t>0</t>
        </is>
      </c>
      <c r="U2302" s="5" t="inlineStr">
        <is>
          <t>OK</t>
        </is>
      </c>
    </row>
    <row r="2303">
      <c r="A2303" s="5" t="inlineStr">
        <is>
          <t>E02824</t>
        </is>
      </c>
      <c r="B2303" s="5" t="inlineStr">
        <is>
          <t>Female</t>
        </is>
      </c>
      <c r="C2303" s="6" t="inlineStr">
        <is>
          <t>26</t>
        </is>
      </c>
      <c r="D2303" s="5" t="inlineStr">
        <is>
          <t>Single</t>
        </is>
      </c>
      <c r="E2303" s="5" t="inlineStr">
        <is>
          <t>PhD</t>
        </is>
      </c>
      <c r="F2303" s="5" t="inlineStr">
        <is>
          <t>Marketing</t>
        </is>
      </c>
      <c r="G2303" s="5" t="inlineStr">
        <is>
          <t>Marketing Analyst</t>
        </is>
      </c>
      <c r="H2303" s="5" t="inlineStr">
        <is>
          <t>2</t>
        </is>
      </c>
      <c r="I2303" s="5" t="inlineStr">
        <is>
          <t>Mumbai</t>
        </is>
      </c>
      <c r="J2303" s="5" t="inlineStr">
        <is>
          <t>Full-Time</t>
        </is>
      </c>
      <c r="K2303" s="7" t="n">
        <v>45947</v>
      </c>
      <c r="L2303" s="7" t="inlineStr"/>
      <c r="M2303" s="5" t="inlineStr">
        <is>
          <t>Yes</t>
        </is>
      </c>
      <c r="N2303" s="5" t="inlineStr"/>
      <c r="O2303" s="8" t="inlineStr">
        <is>
          <t>94000</t>
        </is>
      </c>
      <c r="P2303" s="5" t="inlineStr">
        <is>
          <t>0</t>
        </is>
      </c>
      <c r="Q2303" s="5" t="inlineStr">
        <is>
          <t>4</t>
        </is>
      </c>
      <c r="R2303" s="5" t="inlineStr">
        <is>
          <t>7</t>
        </is>
      </c>
      <c r="S2303" s="5" t="inlineStr">
        <is>
          <t>2</t>
        </is>
      </c>
      <c r="T2303" s="5" t="inlineStr">
        <is>
          <t>14</t>
        </is>
      </c>
      <c r="U2303" s="5" t="inlineStr">
        <is>
          <t>OK</t>
        </is>
      </c>
    </row>
    <row r="2304">
      <c r="A2304" s="5" t="inlineStr">
        <is>
          <t>E00449</t>
        </is>
      </c>
      <c r="B2304" s="5" t="inlineStr">
        <is>
          <t>Female</t>
        </is>
      </c>
      <c r="C2304" s="6" t="inlineStr">
        <is>
          <t>27</t>
        </is>
      </c>
      <c r="D2304" s="5" t="inlineStr">
        <is>
          <t>Married</t>
        </is>
      </c>
      <c r="E2304" s="5" t="inlineStr">
        <is>
          <t>Diploma</t>
        </is>
      </c>
      <c r="F2304" s="5" t="inlineStr">
        <is>
          <t>Operations</t>
        </is>
      </c>
      <c r="G2304" s="5" t="inlineStr">
        <is>
          <t>Operations Analyst</t>
        </is>
      </c>
      <c r="H2304" s="5" t="inlineStr">
        <is>
          <t>2</t>
        </is>
      </c>
      <c r="I2304" s="5" t="inlineStr">
        <is>
          <t>Remote</t>
        </is>
      </c>
      <c r="J2304" s="5" t="inlineStr">
        <is>
          <t>Full-Time</t>
        </is>
      </c>
      <c r="K2304" s="7" t="n">
        <v>45051</v>
      </c>
      <c r="L2304" s="7" t="inlineStr"/>
      <c r="M2304" s="5" t="inlineStr">
        <is>
          <t>Yes</t>
        </is>
      </c>
      <c r="N2304" s="5" t="inlineStr"/>
      <c r="O2304" s="8" t="inlineStr">
        <is>
          <t>108000</t>
        </is>
      </c>
      <c r="P2304" s="5" t="inlineStr">
        <is>
          <t>0</t>
        </is>
      </c>
      <c r="Q2304" s="5" t="inlineStr">
        <is>
          <t>3</t>
        </is>
      </c>
      <c r="R2304" s="5" t="inlineStr">
        <is>
          <t>5</t>
        </is>
      </c>
      <c r="S2304" s="5" t="inlineStr">
        <is>
          <t>32</t>
        </is>
      </c>
      <c r="T2304" s="5" t="inlineStr">
        <is>
          <t>12</t>
        </is>
      </c>
      <c r="U2304" s="5" t="inlineStr">
        <is>
          <t>OK</t>
        </is>
      </c>
    </row>
    <row r="2305">
      <c r="A2305" s="5" t="inlineStr">
        <is>
          <t>E02246</t>
        </is>
      </c>
      <c r="B2305" s="5" t="inlineStr">
        <is>
          <t>Male</t>
        </is>
      </c>
      <c r="C2305" s="6" t="inlineStr">
        <is>
          <t>27</t>
        </is>
      </c>
      <c r="D2305" s="5" t="inlineStr">
        <is>
          <t>Married</t>
        </is>
      </c>
      <c r="E2305" s="5" t="inlineStr">
        <is>
          <t>Master</t>
        </is>
      </c>
      <c r="F2305" s="5" t="inlineStr">
        <is>
          <t>Sales</t>
        </is>
      </c>
      <c r="G2305" s="5" t="inlineStr">
        <is>
          <t>Business Development</t>
        </is>
      </c>
      <c r="H2305" s="5" t="inlineStr">
        <is>
          <t>1</t>
        </is>
      </c>
      <c r="I2305" s="5" t="inlineStr">
        <is>
          <t>Hyderabad</t>
        </is>
      </c>
      <c r="J2305" s="5" t="inlineStr">
        <is>
          <t>Full-Time</t>
        </is>
      </c>
      <c r="K2305" s="7" t="n">
        <v>45678</v>
      </c>
      <c r="L2305" s="7" t="inlineStr"/>
      <c r="M2305" s="5" t="inlineStr">
        <is>
          <t>Yes</t>
        </is>
      </c>
      <c r="N2305" s="5" t="inlineStr"/>
      <c r="O2305" s="8" t="inlineStr">
        <is>
          <t>63000</t>
        </is>
      </c>
      <c r="P2305" s="5" t="inlineStr">
        <is>
          <t>0</t>
        </is>
      </c>
      <c r="Q2305" s="5" t="inlineStr">
        <is>
          <t>3</t>
        </is>
      </c>
      <c r="R2305" s="5" t="inlineStr">
        <is>
          <t>3</t>
        </is>
      </c>
      <c r="S2305" s="5" t="inlineStr">
        <is>
          <t>11</t>
        </is>
      </c>
      <c r="T2305" s="5" t="inlineStr">
        <is>
          <t>4</t>
        </is>
      </c>
      <c r="U2305" s="5" t="inlineStr">
        <is>
          <t>OK</t>
        </is>
      </c>
    </row>
    <row r="2306">
      <c r="A2306" s="5" t="inlineStr">
        <is>
          <t>E02503</t>
        </is>
      </c>
      <c r="B2306" s="5" t="inlineStr">
        <is>
          <t>Male</t>
        </is>
      </c>
      <c r="C2306" s="6" t="inlineStr">
        <is>
          <t>36</t>
        </is>
      </c>
      <c r="D2306" s="5" t="inlineStr">
        <is>
          <t>Married</t>
        </is>
      </c>
      <c r="E2306" s="5" t="inlineStr">
        <is>
          <t>Diploma</t>
        </is>
      </c>
      <c r="F2306" s="5" t="inlineStr">
        <is>
          <t>Sales</t>
        </is>
      </c>
      <c r="G2306" s="5" t="inlineStr">
        <is>
          <t>Business Development</t>
        </is>
      </c>
      <c r="H2306" s="5" t="inlineStr">
        <is>
          <t>4</t>
        </is>
      </c>
      <c r="I2306" s="5" t="inlineStr">
        <is>
          <t>Hyderabad</t>
        </is>
      </c>
      <c r="J2306" s="5" t="inlineStr">
        <is>
          <t>Full-Time</t>
        </is>
      </c>
      <c r="K2306" s="7" t="n">
        <v>44914</v>
      </c>
      <c r="L2306" s="7" t="inlineStr"/>
      <c r="M2306" s="5" t="inlineStr">
        <is>
          <t>Yes</t>
        </is>
      </c>
      <c r="N2306" s="5" t="inlineStr"/>
      <c r="O2306" s="8" t="inlineStr">
        <is>
          <t>148500</t>
        </is>
      </c>
      <c r="P2306" s="5" t="inlineStr">
        <is>
          <t>20</t>
        </is>
      </c>
      <c r="Q2306" s="5" t="inlineStr">
        <is>
          <t>2</t>
        </is>
      </c>
      <c r="R2306" s="5" t="inlineStr">
        <is>
          <t>7</t>
        </is>
      </c>
      <c r="S2306" s="5" t="inlineStr">
        <is>
          <t>36</t>
        </is>
      </c>
      <c r="T2306" s="5" t="inlineStr">
        <is>
          <t>6</t>
        </is>
      </c>
      <c r="U2306" s="5" t="inlineStr">
        <is>
          <t>OK</t>
        </is>
      </c>
    </row>
    <row r="2307">
      <c r="A2307" s="5" t="inlineStr">
        <is>
          <t>E02701</t>
        </is>
      </c>
      <c r="B2307" s="5" t="inlineStr">
        <is>
          <t>Male</t>
        </is>
      </c>
      <c r="C2307" s="6" t="inlineStr">
        <is>
          <t>31</t>
        </is>
      </c>
      <c r="D2307" s="5" t="inlineStr">
        <is>
          <t>Single</t>
        </is>
      </c>
      <c r="E2307" s="5" t="inlineStr">
        <is>
          <t>High School</t>
        </is>
      </c>
      <c r="F2307" s="5" t="inlineStr">
        <is>
          <t>Customer Support</t>
        </is>
      </c>
      <c r="G2307" s="5" t="inlineStr">
        <is>
          <t>Support Agent</t>
        </is>
      </c>
      <c r="H2307" s="5" t="inlineStr">
        <is>
          <t>5</t>
        </is>
      </c>
      <c r="I2307" s="5" t="inlineStr">
        <is>
          <t>Hyderabad</t>
        </is>
      </c>
      <c r="J2307" s="5" t="inlineStr">
        <is>
          <t>Full-Time</t>
        </is>
      </c>
      <c r="K2307" s="7" t="n">
        <v>44177</v>
      </c>
      <c r="L2307" s="7" t="inlineStr"/>
      <c r="M2307" s="5" t="inlineStr">
        <is>
          <t>Yes</t>
        </is>
      </c>
      <c r="N2307" s="5" t="inlineStr"/>
      <c r="O2307" s="8" t="inlineStr">
        <is>
          <t>105000</t>
        </is>
      </c>
      <c r="P2307" s="5" t="inlineStr">
        <is>
          <t>0</t>
        </is>
      </c>
      <c r="Q2307" s="5" t="inlineStr">
        <is>
          <t>3</t>
        </is>
      </c>
      <c r="R2307" s="5" t="inlineStr">
        <is>
          <t>6</t>
        </is>
      </c>
      <c r="S2307" s="5" t="inlineStr">
        <is>
          <t>61</t>
        </is>
      </c>
      <c r="T2307" s="5" t="inlineStr">
        <is>
          <t>5</t>
        </is>
      </c>
      <c r="U2307" s="5" t="inlineStr">
        <is>
          <t>OK</t>
        </is>
      </c>
    </row>
    <row r="2308">
      <c r="A2308" s="5" t="inlineStr">
        <is>
          <t>E02089</t>
        </is>
      </c>
      <c r="B2308" s="5" t="inlineStr">
        <is>
          <t>male</t>
        </is>
      </c>
      <c r="C2308" s="6" t="inlineStr">
        <is>
          <t>38</t>
        </is>
      </c>
      <c r="D2308" s="5" t="inlineStr">
        <is>
          <t>Single</t>
        </is>
      </c>
      <c r="E2308" s="5" t="inlineStr">
        <is>
          <t>Master</t>
        </is>
      </c>
      <c r="F2308" s="5" t="inlineStr">
        <is>
          <t>Operations</t>
        </is>
      </c>
      <c r="G2308" s="5" t="inlineStr">
        <is>
          <t>Operations Analyst</t>
        </is>
      </c>
      <c r="H2308" s="5" t="inlineStr">
        <is>
          <t>4</t>
        </is>
      </c>
      <c r="I2308" s="5" t="inlineStr">
        <is>
          <t>Remote</t>
        </is>
      </c>
      <c r="J2308" s="5" t="inlineStr">
        <is>
          <t>Part-Time</t>
        </is>
      </c>
      <c r="K2308" s="7" t="n">
        <v>44055</v>
      </c>
      <c r="L2308" s="7" t="inlineStr"/>
      <c r="M2308" s="5" t="inlineStr">
        <is>
          <t>Yes</t>
        </is>
      </c>
      <c r="N2308" s="5" t="inlineStr"/>
      <c r="O2308" s="8" t="inlineStr">
        <is>
          <t>117500</t>
        </is>
      </c>
      <c r="P2308" s="5" t="inlineStr">
        <is>
          <t>10</t>
        </is>
      </c>
      <c r="Q2308" s="5" t="inlineStr">
        <is>
          <t>4</t>
        </is>
      </c>
      <c r="R2308" s="5" t="inlineStr">
        <is>
          <t>4</t>
        </is>
      </c>
      <c r="S2308" s="5" t="inlineStr">
        <is>
          <t>65</t>
        </is>
      </c>
      <c r="T2308" s="5" t="inlineStr">
        <is>
          <t>3</t>
        </is>
      </c>
      <c r="U2308" s="5" t="inlineStr">
        <is>
          <t>OK</t>
        </is>
      </c>
    </row>
    <row r="2309">
      <c r="A2309" s="5" t="inlineStr">
        <is>
          <t>E02920</t>
        </is>
      </c>
      <c r="B2309" s="5" t="inlineStr">
        <is>
          <t>Unknown</t>
        </is>
      </c>
      <c r="C2309" s="6" t="inlineStr">
        <is>
          <t>27</t>
        </is>
      </c>
      <c r="D2309" s="5" t="inlineStr">
        <is>
          <t>Married</t>
        </is>
      </c>
      <c r="E2309" s="5" t="inlineStr">
        <is>
          <t>Bachelor</t>
        </is>
      </c>
      <c r="F2309" s="5" t="inlineStr">
        <is>
          <t>Sales</t>
        </is>
      </c>
      <c r="G2309" s="5" t="inlineStr">
        <is>
          <t>Account Executive</t>
        </is>
      </c>
      <c r="H2309" s="5" t="inlineStr">
        <is>
          <t>3</t>
        </is>
      </c>
      <c r="I2309" s="5" t="inlineStr">
        <is>
          <t>Mumbai</t>
        </is>
      </c>
      <c r="J2309" s="5" t="inlineStr">
        <is>
          <t>Full-Time</t>
        </is>
      </c>
      <c r="K2309" s="7" t="n">
        <v>44603</v>
      </c>
      <c r="L2309" s="7" t="inlineStr"/>
      <c r="M2309" s="5" t="inlineStr">
        <is>
          <t>Yes</t>
        </is>
      </c>
      <c r="N2309" s="5" t="inlineStr"/>
      <c r="O2309" s="8" t="inlineStr">
        <is>
          <t>106500</t>
        </is>
      </c>
      <c r="P2309" s="5" t="inlineStr">
        <is>
          <t>10</t>
        </is>
      </c>
      <c r="Q2309" s="5" t="inlineStr">
        <is>
          <t>5</t>
        </is>
      </c>
      <c r="R2309" s="5" t="inlineStr">
        <is>
          <t>6</t>
        </is>
      </c>
      <c r="S2309" s="5" t="inlineStr">
        <is>
          <t>47</t>
        </is>
      </c>
      <c r="T2309" s="5" t="inlineStr">
        <is>
          <t>10</t>
        </is>
      </c>
      <c r="U2309" s="5" t="inlineStr">
        <is>
          <t>Bad gender</t>
        </is>
      </c>
    </row>
    <row r="2310">
      <c r="A2310" s="5" t="inlineStr">
        <is>
          <t>E02069</t>
        </is>
      </c>
      <c r="B2310" s="5" t="inlineStr">
        <is>
          <t>Female</t>
        </is>
      </c>
      <c r="C2310" s="6" t="inlineStr">
        <is>
          <t>34</t>
        </is>
      </c>
      <c r="D2310" s="5" t="inlineStr">
        <is>
          <t>Married</t>
        </is>
      </c>
      <c r="E2310" s="5" t="inlineStr">
        <is>
          <t>Bachelor</t>
        </is>
      </c>
      <c r="F2310" s="5" t="inlineStr">
        <is>
          <t>Research &amp; Development</t>
        </is>
      </c>
      <c r="G2310" s="5" t="inlineStr">
        <is>
          <t>Research Scientist</t>
        </is>
      </c>
      <c r="H2310" s="5" t="inlineStr">
        <is>
          <t>1</t>
        </is>
      </c>
      <c r="I2310" s="5" t="inlineStr">
        <is>
          <t>Mumbai</t>
        </is>
      </c>
      <c r="J2310" s="5" t="inlineStr">
        <is>
          <t>Full-Time</t>
        </is>
      </c>
      <c r="K2310" s="7" t="n">
        <v>45390</v>
      </c>
      <c r="L2310" s="7" t="inlineStr"/>
      <c r="M2310" s="5" t="inlineStr">
        <is>
          <t>Yes</t>
        </is>
      </c>
      <c r="N2310" s="5" t="inlineStr"/>
      <c r="O2310" s="8" t="inlineStr">
        <is>
          <t>117000</t>
        </is>
      </c>
      <c r="P2310" s="5" t="inlineStr">
        <is>
          <t>0</t>
        </is>
      </c>
      <c r="Q2310" s="5" t="inlineStr">
        <is>
          <t>3</t>
        </is>
      </c>
      <c r="R2310" s="5" t="inlineStr">
        <is>
          <t>2</t>
        </is>
      </c>
      <c r="S2310" s="5" t="inlineStr">
        <is>
          <t>21</t>
        </is>
      </c>
      <c r="T2310" s="5" t="inlineStr">
        <is>
          <t>2</t>
        </is>
      </c>
      <c r="U2310" s="5" t="inlineStr">
        <is>
          <t>OK</t>
        </is>
      </c>
    </row>
    <row r="2311">
      <c r="A2311" s="5" t="inlineStr">
        <is>
          <t>E02864</t>
        </is>
      </c>
      <c r="B2311" s="5" t="inlineStr">
        <is>
          <t>Female</t>
        </is>
      </c>
      <c r="C2311" s="6" t="inlineStr">
        <is>
          <t>29</t>
        </is>
      </c>
      <c r="D2311" s="5" t="inlineStr">
        <is>
          <t>Married</t>
        </is>
      </c>
      <c r="E2311" s="5" t="inlineStr">
        <is>
          <t>Diploma</t>
        </is>
      </c>
      <c r="F2311" s="5" t="inlineStr">
        <is>
          <t>Finance</t>
        </is>
      </c>
      <c r="G2311" s="5" t="inlineStr">
        <is>
          <t>Financial Analyst</t>
        </is>
      </c>
      <c r="H2311" s="5" t="inlineStr">
        <is>
          <t>4</t>
        </is>
      </c>
      <c r="I2311" s="5" t="inlineStr">
        <is>
          <t>Chennai</t>
        </is>
      </c>
      <c r="J2311" s="5" t="inlineStr">
        <is>
          <t>Full-Time</t>
        </is>
      </c>
      <c r="K2311" s="7" t="n">
        <v>45637</v>
      </c>
      <c r="L2311" s="7" t="inlineStr"/>
      <c r="M2311" s="5" t="inlineStr">
        <is>
          <t>Yes</t>
        </is>
      </c>
      <c r="N2311" s="5" t="inlineStr"/>
      <c r="O2311" s="8" t="inlineStr">
        <is>
          <t>93500</t>
        </is>
      </c>
      <c r="P2311" s="5" t="inlineStr">
        <is>
          <t>5</t>
        </is>
      </c>
      <c r="Q2311" s="5" t="inlineStr">
        <is>
          <t>4</t>
        </is>
      </c>
      <c r="R2311" s="5" t="inlineStr">
        <is>
          <t>6</t>
        </is>
      </c>
      <c r="S2311" s="5" t="inlineStr">
        <is>
          <t>12</t>
        </is>
      </c>
      <c r="T2311" s="5" t="inlineStr">
        <is>
          <t>11</t>
        </is>
      </c>
      <c r="U2311" s="5" t="inlineStr">
        <is>
          <t>OK</t>
        </is>
      </c>
    </row>
    <row r="2312">
      <c r="A2312" s="5" t="inlineStr">
        <is>
          <t>E01194</t>
        </is>
      </c>
      <c r="B2312" s="5" t="inlineStr">
        <is>
          <t>Female</t>
        </is>
      </c>
      <c r="C2312" s="6" t="inlineStr">
        <is>
          <t>27</t>
        </is>
      </c>
      <c r="D2312" s="5" t="inlineStr">
        <is>
          <t>Married</t>
        </is>
      </c>
      <c r="E2312" s="5" t="inlineStr">
        <is>
          <t>Bachelor</t>
        </is>
      </c>
      <c r="F2312" s="5" t="inlineStr">
        <is>
          <t>Finance</t>
        </is>
      </c>
      <c r="G2312" s="5" t="inlineStr">
        <is>
          <t>Accountant</t>
        </is>
      </c>
      <c r="H2312" s="5" t="inlineStr">
        <is>
          <t>3</t>
        </is>
      </c>
      <c r="I2312" s="5" t="inlineStr">
        <is>
          <t>Mumbai</t>
        </is>
      </c>
      <c r="J2312" s="5" t="inlineStr">
        <is>
          <t>Full-Time</t>
        </is>
      </c>
      <c r="K2312" s="7" t="n">
        <v>44893</v>
      </c>
      <c r="L2312" s="7" t="inlineStr"/>
      <c r="M2312" s="5" t="inlineStr">
        <is>
          <t>Yes</t>
        </is>
      </c>
      <c r="N2312" s="5" t="inlineStr"/>
      <c r="O2312" s="8" t="inlineStr">
        <is>
          <t>133500</t>
        </is>
      </c>
      <c r="P2312" s="5" t="inlineStr">
        <is>
          <t>5</t>
        </is>
      </c>
      <c r="Q2312" s="5" t="inlineStr">
        <is>
          <t>1</t>
        </is>
      </c>
      <c r="R2312" s="5" t="inlineStr">
        <is>
          <t>5</t>
        </is>
      </c>
      <c r="S2312" s="5" t="inlineStr">
        <is>
          <t>37</t>
        </is>
      </c>
      <c r="T2312" s="5" t="inlineStr">
        <is>
          <t>0</t>
        </is>
      </c>
      <c r="U2312" s="5" t="inlineStr">
        <is>
          <t>OK</t>
        </is>
      </c>
    </row>
    <row r="2313">
      <c r="A2313" s="5" t="inlineStr">
        <is>
          <t>E00680</t>
        </is>
      </c>
      <c r="B2313" s="5" t="inlineStr">
        <is>
          <t>Female</t>
        </is>
      </c>
      <c r="C2313" s="6" t="inlineStr">
        <is>
          <t>33</t>
        </is>
      </c>
      <c r="D2313" s="5" t="inlineStr">
        <is>
          <t>Married</t>
        </is>
      </c>
      <c r="E2313" s="5" t="inlineStr">
        <is>
          <t>PhD</t>
        </is>
      </c>
      <c r="F2313" s="5" t="inlineStr">
        <is>
          <t>Sales</t>
        </is>
      </c>
      <c r="G2313" s="5" t="inlineStr">
        <is>
          <t>Account Executive</t>
        </is>
      </c>
      <c r="H2313" s="5" t="inlineStr">
        <is>
          <t>1</t>
        </is>
      </c>
      <c r="I2313" s="5" t="inlineStr">
        <is>
          <t>Hyderabad</t>
        </is>
      </c>
      <c r="J2313" s="5" t="inlineStr">
        <is>
          <t>Full-Time</t>
        </is>
      </c>
      <c r="K2313" s="7" t="n">
        <v>45252</v>
      </c>
      <c r="L2313" s="7" t="inlineStr"/>
      <c r="M2313" s="5" t="inlineStr">
        <is>
          <t>Yes</t>
        </is>
      </c>
      <c r="N2313" s="5" t="inlineStr"/>
      <c r="O2313" s="8" t="inlineStr">
        <is>
          <t>81000</t>
        </is>
      </c>
      <c r="P2313" s="5" t="inlineStr">
        <is>
          <t>0</t>
        </is>
      </c>
      <c r="Q2313" s="5" t="inlineStr">
        <is>
          <t>1</t>
        </is>
      </c>
      <c r="R2313" s="5" t="inlineStr">
        <is>
          <t>5</t>
        </is>
      </c>
      <c r="S2313" s="5" t="inlineStr">
        <is>
          <t>25</t>
        </is>
      </c>
      <c r="T2313" s="5" t="inlineStr">
        <is>
          <t>8</t>
        </is>
      </c>
      <c r="U2313" s="5" t="inlineStr">
        <is>
          <t>OK</t>
        </is>
      </c>
    </row>
    <row r="2314">
      <c r="A2314" s="5" t="inlineStr">
        <is>
          <t>E02879</t>
        </is>
      </c>
      <c r="B2314" s="5" t="inlineStr">
        <is>
          <t>Female</t>
        </is>
      </c>
      <c r="C2314" s="6" t="inlineStr">
        <is>
          <t>25</t>
        </is>
      </c>
      <c r="D2314" s="5" t="inlineStr">
        <is>
          <t>Married</t>
        </is>
      </c>
      <c r="E2314" s="5" t="inlineStr">
        <is>
          <t>High School</t>
        </is>
      </c>
      <c r="F2314" s="5" t="inlineStr">
        <is>
          <t>Customer Support</t>
        </is>
      </c>
      <c r="G2314" s="5" t="inlineStr">
        <is>
          <t>Support Lead</t>
        </is>
      </c>
      <c r="H2314" s="5" t="inlineStr">
        <is>
          <t>1</t>
        </is>
      </c>
      <c r="I2314" s="5" t="inlineStr">
        <is>
          <t>Chennai</t>
        </is>
      </c>
      <c r="J2314" s="5" t="inlineStr">
        <is>
          <t>Full-Time</t>
        </is>
      </c>
      <c r="K2314" s="7" t="n">
        <v>45445</v>
      </c>
      <c r="L2314" s="7" t="inlineStr"/>
      <c r="M2314" s="5" t="inlineStr">
        <is>
          <t>Yes</t>
        </is>
      </c>
      <c r="N2314" s="5" t="inlineStr"/>
      <c r="O2314" s="8" t="inlineStr">
        <is>
          <t>65500</t>
        </is>
      </c>
      <c r="P2314" s="5" t="inlineStr">
        <is>
          <t>0</t>
        </is>
      </c>
      <c r="Q2314" s="5" t="inlineStr">
        <is>
          <t>3</t>
        </is>
      </c>
      <c r="R2314" s="5" t="inlineStr">
        <is>
          <t>5</t>
        </is>
      </c>
      <c r="S2314" s="5" t="inlineStr">
        <is>
          <t>19</t>
        </is>
      </c>
      <c r="T2314" s="5" t="inlineStr">
        <is>
          <t>5</t>
        </is>
      </c>
      <c r="U2314" s="5" t="inlineStr">
        <is>
          <t>OK</t>
        </is>
      </c>
    </row>
    <row r="2315">
      <c r="A2315" s="5" t="inlineStr">
        <is>
          <t>E02023</t>
        </is>
      </c>
      <c r="B2315" s="5" t="inlineStr">
        <is>
          <t>Female</t>
        </is>
      </c>
      <c r="C2315" s="6" t="inlineStr">
        <is>
          <t>38</t>
        </is>
      </c>
      <c r="D2315" s="5" t="inlineStr">
        <is>
          <t>Single</t>
        </is>
      </c>
      <c r="E2315" s="5" t="inlineStr">
        <is>
          <t>PhD</t>
        </is>
      </c>
      <c r="F2315" s="5" t="inlineStr">
        <is>
          <t>Human Resources</t>
        </is>
      </c>
      <c r="G2315" s="5" t="inlineStr">
        <is>
          <t>HR Generalist</t>
        </is>
      </c>
      <c r="H2315" s="5" t="inlineStr">
        <is>
          <t>4</t>
        </is>
      </c>
      <c r="I2315" s="5" t="inlineStr">
        <is>
          <t>Bengaluru</t>
        </is>
      </c>
      <c r="J2315" s="5" t="inlineStr">
        <is>
          <t>Full-Time</t>
        </is>
      </c>
      <c r="K2315" s="7" t="n">
        <v>45628</v>
      </c>
      <c r="L2315" s="7" t="inlineStr"/>
      <c r="M2315" s="5" t="inlineStr">
        <is>
          <t>Yes</t>
        </is>
      </c>
      <c r="N2315" s="5" t="inlineStr"/>
      <c r="O2315" s="8" t="inlineStr">
        <is>
          <t>141500</t>
        </is>
      </c>
      <c r="P2315" s="5" t="inlineStr">
        <is>
          <t>0</t>
        </is>
      </c>
      <c r="Q2315" s="5" t="inlineStr">
        <is>
          <t>2</t>
        </is>
      </c>
      <c r="R2315" s="5" t="inlineStr">
        <is>
          <t>2</t>
        </is>
      </c>
      <c r="S2315" s="5" t="inlineStr">
        <is>
          <t>13</t>
        </is>
      </c>
      <c r="T2315" s="5" t="inlineStr">
        <is>
          <t>4</t>
        </is>
      </c>
      <c r="U2315" s="5" t="inlineStr">
        <is>
          <t>OK</t>
        </is>
      </c>
    </row>
    <row r="2316">
      <c r="A2316" s="5" t="inlineStr">
        <is>
          <t>E02557</t>
        </is>
      </c>
      <c r="B2316" s="5" t="inlineStr">
        <is>
          <t>Female</t>
        </is>
      </c>
      <c r="C2316" s="6" t="inlineStr">
        <is>
          <t>28</t>
        </is>
      </c>
      <c r="D2316" s="5" t="inlineStr">
        <is>
          <t>Married</t>
        </is>
      </c>
      <c r="E2316" s="5" t="inlineStr">
        <is>
          <t>Diploma</t>
        </is>
      </c>
      <c r="F2316" s="5" t="inlineStr">
        <is>
          <t>Sales</t>
        </is>
      </c>
      <c r="G2316" s="5" t="inlineStr">
        <is>
          <t>Business Development</t>
        </is>
      </c>
      <c r="H2316" s="5" t="inlineStr">
        <is>
          <t>2</t>
        </is>
      </c>
      <c r="I2316" s="5" t="inlineStr">
        <is>
          <t>Delhi</t>
        </is>
      </c>
      <c r="J2316" s="5" t="inlineStr">
        <is>
          <t>Full-Time</t>
        </is>
      </c>
      <c r="K2316" s="7" t="n">
        <v>44049</v>
      </c>
      <c r="L2316" s="7" t="inlineStr"/>
      <c r="M2316" s="5" t="inlineStr">
        <is>
          <t>Yes</t>
        </is>
      </c>
      <c r="N2316" s="5" t="inlineStr"/>
      <c r="O2316" s="8" t="inlineStr">
        <is>
          <t>86500</t>
        </is>
      </c>
      <c r="P2316" s="5" t="inlineStr">
        <is>
          <t>20</t>
        </is>
      </c>
      <c r="Q2316" s="5" t="inlineStr">
        <is>
          <t>3</t>
        </is>
      </c>
      <c r="R2316" s="5" t="inlineStr">
        <is>
          <t>2</t>
        </is>
      </c>
      <c r="S2316" s="5" t="inlineStr">
        <is>
          <t>65</t>
        </is>
      </c>
      <c r="T2316" s="5" t="inlineStr">
        <is>
          <t>5</t>
        </is>
      </c>
      <c r="U2316" s="5" t="inlineStr">
        <is>
          <t>OK</t>
        </is>
      </c>
    </row>
    <row r="2317">
      <c r="A2317" s="5" t="inlineStr">
        <is>
          <t>E02493</t>
        </is>
      </c>
      <c r="B2317" s="5" t="inlineStr">
        <is>
          <t>Female</t>
        </is>
      </c>
      <c r="C2317" s="6" t="inlineStr">
        <is>
          <t>32</t>
        </is>
      </c>
      <c r="D2317" s="5" t="inlineStr">
        <is>
          <t>Married</t>
        </is>
      </c>
      <c r="E2317" s="5" t="inlineStr">
        <is>
          <t>High School</t>
        </is>
      </c>
      <c r="F2317" s="5" t="inlineStr">
        <is>
          <t>Marketing</t>
        </is>
      </c>
      <c r="G2317" s="5" t="inlineStr">
        <is>
          <t>Marketing Analyst</t>
        </is>
      </c>
      <c r="H2317" s="5" t="inlineStr">
        <is>
          <t>3</t>
        </is>
      </c>
      <c r="I2317" s="5" t="inlineStr">
        <is>
          <t>Bengaluru</t>
        </is>
      </c>
      <c r="J2317" s="5" t="inlineStr">
        <is>
          <t>Full-Time</t>
        </is>
      </c>
      <c r="K2317" s="7" t="n">
        <v>44258</v>
      </c>
      <c r="L2317" s="7" t="inlineStr"/>
      <c r="M2317" s="5" t="inlineStr">
        <is>
          <t>Yes</t>
        </is>
      </c>
      <c r="N2317" s="5" t="inlineStr"/>
      <c r="O2317" s="8" t="inlineStr">
        <is>
          <t>105000</t>
        </is>
      </c>
      <c r="P2317" s="5" t="inlineStr">
        <is>
          <t>0</t>
        </is>
      </c>
      <c r="Q2317" s="5" t="inlineStr">
        <is>
          <t>3</t>
        </is>
      </c>
      <c r="R2317" s="5" t="inlineStr">
        <is>
          <t>9</t>
        </is>
      </c>
      <c r="S2317" s="5" t="inlineStr">
        <is>
          <t>58</t>
        </is>
      </c>
      <c r="T2317" s="5" t="inlineStr">
        <is>
          <t>0</t>
        </is>
      </c>
      <c r="U2317" s="5" t="inlineStr">
        <is>
          <t>OK</t>
        </is>
      </c>
    </row>
    <row r="2318">
      <c r="A2318" s="5" t="inlineStr">
        <is>
          <t>E00639</t>
        </is>
      </c>
      <c r="B2318" s="5" t="inlineStr">
        <is>
          <t>Male</t>
        </is>
      </c>
      <c r="C2318" s="6" t="inlineStr">
        <is>
          <t>28</t>
        </is>
      </c>
      <c r="D2318" s="5" t="inlineStr">
        <is>
          <t>Single</t>
        </is>
      </c>
      <c r="E2318" s="5" t="inlineStr">
        <is>
          <t>Diploma</t>
        </is>
      </c>
      <c r="F2318" s="5" t="inlineStr">
        <is>
          <t>Operations</t>
        </is>
      </c>
      <c r="G2318" s="5" t="inlineStr">
        <is>
          <t>Logistics Coordinator</t>
        </is>
      </c>
      <c r="H2318" s="5" t="inlineStr">
        <is>
          <t>3</t>
        </is>
      </c>
      <c r="I2318" s="5" t="inlineStr">
        <is>
          <t>Delhi</t>
        </is>
      </c>
      <c r="J2318" s="5" t="inlineStr">
        <is>
          <t>Full-Time</t>
        </is>
      </c>
      <c r="K2318" s="7" t="n">
        <v>45581</v>
      </c>
      <c r="L2318" s="7" t="inlineStr"/>
      <c r="M2318" s="5" t="inlineStr">
        <is>
          <t>Yes</t>
        </is>
      </c>
      <c r="N2318" s="5" t="inlineStr"/>
      <c r="O2318" s="8" t="inlineStr">
        <is>
          <t>86500</t>
        </is>
      </c>
      <c r="P2318" s="5" t="inlineStr">
        <is>
          <t>0</t>
        </is>
      </c>
      <c r="Q2318" s="5" t="inlineStr">
        <is>
          <t>3</t>
        </is>
      </c>
      <c r="R2318" s="5" t="inlineStr">
        <is>
          <t>7</t>
        </is>
      </c>
      <c r="S2318" s="5" t="inlineStr">
        <is>
          <t>14</t>
        </is>
      </c>
      <c r="T2318" s="5" t="inlineStr">
        <is>
          <t>8</t>
        </is>
      </c>
      <c r="U2318" s="5" t="inlineStr">
        <is>
          <t>OK</t>
        </is>
      </c>
    </row>
    <row r="2319">
      <c r="A2319" s="5" t="inlineStr">
        <is>
          <t>E00269</t>
        </is>
      </c>
      <c r="B2319" s="5" t="inlineStr">
        <is>
          <t>Male</t>
        </is>
      </c>
      <c r="C2319" s="6" t="inlineStr">
        <is>
          <t>34</t>
        </is>
      </c>
      <c r="D2319" s="5" t="inlineStr">
        <is>
          <t>Married</t>
        </is>
      </c>
      <c r="E2319" s="5" t="inlineStr">
        <is>
          <t>Master</t>
        </is>
      </c>
      <c r="F2319" s="5" t="inlineStr">
        <is>
          <t>Operations</t>
        </is>
      </c>
      <c r="G2319" s="5" t="inlineStr">
        <is>
          <t>Logistics Coordinator</t>
        </is>
      </c>
      <c r="H2319" s="5" t="inlineStr">
        <is>
          <t>3</t>
        </is>
      </c>
      <c r="I2319" s="5" t="inlineStr">
        <is>
          <t>Delhi</t>
        </is>
      </c>
      <c r="J2319" s="5" t="inlineStr">
        <is>
          <t>Full-Time</t>
        </is>
      </c>
      <c r="K2319" s="7" t="n">
        <v>45747</v>
      </c>
      <c r="L2319" s="7" t="inlineStr"/>
      <c r="M2319" s="5" t="inlineStr">
        <is>
          <t>Yes</t>
        </is>
      </c>
      <c r="N2319" s="5" t="inlineStr"/>
      <c r="O2319" s="8" t="inlineStr">
        <is>
          <t>126000</t>
        </is>
      </c>
      <c r="P2319" s="5" t="inlineStr">
        <is>
          <t>10</t>
        </is>
      </c>
      <c r="Q2319" s="5" t="inlineStr">
        <is>
          <t>3</t>
        </is>
      </c>
      <c r="R2319" s="5" t="inlineStr">
        <is>
          <t>5</t>
        </is>
      </c>
      <c r="S2319" s="5" t="inlineStr">
        <is>
          <t>9</t>
        </is>
      </c>
      <c r="T2319" s="5" t="inlineStr">
        <is>
          <t>0</t>
        </is>
      </c>
      <c r="U2319" s="5" t="inlineStr">
        <is>
          <t>OK</t>
        </is>
      </c>
    </row>
    <row r="2320">
      <c r="A2320" s="5" t="inlineStr">
        <is>
          <t>E02209</t>
        </is>
      </c>
      <c r="B2320" s="5" t="inlineStr">
        <is>
          <t>Male</t>
        </is>
      </c>
      <c r="C2320" s="6" t="inlineStr">
        <is>
          <t>27</t>
        </is>
      </c>
      <c r="D2320" s="5" t="inlineStr">
        <is>
          <t>Single</t>
        </is>
      </c>
      <c r="E2320" s="5" t="inlineStr">
        <is>
          <t>High School</t>
        </is>
      </c>
      <c r="F2320" s="5" t="inlineStr">
        <is>
          <t>Customer Support</t>
        </is>
      </c>
      <c r="G2320" s="5" t="inlineStr">
        <is>
          <t>Support Agent</t>
        </is>
      </c>
      <c r="H2320" s="5" t="inlineStr">
        <is>
          <t>3</t>
        </is>
      </c>
      <c r="I2320" s="5" t="inlineStr">
        <is>
          <t>Mumbai</t>
        </is>
      </c>
      <c r="J2320" s="5" t="inlineStr">
        <is>
          <t>Full-Time</t>
        </is>
      </c>
      <c r="K2320" s="7" t="n">
        <v>45635</v>
      </c>
      <c r="L2320" s="7" t="inlineStr"/>
      <c r="M2320" s="5" t="inlineStr">
        <is>
          <t>Yes</t>
        </is>
      </c>
      <c r="N2320" s="5" t="inlineStr"/>
      <c r="O2320" s="8" t="inlineStr">
        <is>
          <t>94000</t>
        </is>
      </c>
      <c r="P2320" s="5" t="inlineStr">
        <is>
          <t>20</t>
        </is>
      </c>
      <c r="Q2320" s="5" t="inlineStr">
        <is>
          <t>2</t>
        </is>
      </c>
      <c r="R2320" s="5" t="inlineStr">
        <is>
          <t>7</t>
        </is>
      </c>
      <c r="S2320" s="5" t="inlineStr">
        <is>
          <t>12</t>
        </is>
      </c>
      <c r="T2320" s="5" t="inlineStr">
        <is>
          <t>4</t>
        </is>
      </c>
      <c r="U2320" s="5" t="inlineStr">
        <is>
          <t>OK</t>
        </is>
      </c>
    </row>
    <row r="2321">
      <c r="A2321" s="5" t="inlineStr">
        <is>
          <t>E00475</t>
        </is>
      </c>
      <c r="B2321" s="5" t="inlineStr">
        <is>
          <t>Male</t>
        </is>
      </c>
      <c r="C2321" s="6" t="inlineStr">
        <is>
          <t>33</t>
        </is>
      </c>
      <c r="D2321" s="5" t="inlineStr">
        <is>
          <t>Married</t>
        </is>
      </c>
      <c r="E2321" s="5" t="inlineStr">
        <is>
          <t>High School</t>
        </is>
      </c>
      <c r="F2321" s="5" t="inlineStr">
        <is>
          <t>Finance</t>
        </is>
      </c>
      <c r="G2321" s="5" t="inlineStr">
        <is>
          <t>Accountant</t>
        </is>
      </c>
      <c r="H2321" s="5" t="inlineStr">
        <is>
          <t>3</t>
        </is>
      </c>
      <c r="I2321" s="5" t="inlineStr">
        <is>
          <t>Remote</t>
        </is>
      </c>
      <c r="J2321" s="5" t="inlineStr">
        <is>
          <t>Full-Time</t>
        </is>
      </c>
      <c r="K2321" s="7" t="n">
        <v>45601</v>
      </c>
      <c r="L2321" s="7" t="inlineStr"/>
      <c r="M2321" s="5" t="inlineStr">
        <is>
          <t>Yes</t>
        </is>
      </c>
      <c r="N2321" s="5" t="inlineStr"/>
      <c r="O2321" s="8" t="inlineStr">
        <is>
          <t>113000</t>
        </is>
      </c>
      <c r="P2321" s="5" t="inlineStr">
        <is>
          <t>0</t>
        </is>
      </c>
      <c r="Q2321" s="5" t="inlineStr">
        <is>
          <t>4</t>
        </is>
      </c>
      <c r="R2321" s="5" t="inlineStr">
        <is>
          <t>6</t>
        </is>
      </c>
      <c r="S2321" s="5" t="inlineStr">
        <is>
          <t>14</t>
        </is>
      </c>
      <c r="T2321" s="5" t="inlineStr">
        <is>
          <t>12</t>
        </is>
      </c>
      <c r="U2321" s="5" t="inlineStr">
        <is>
          <t>OK</t>
        </is>
      </c>
    </row>
    <row r="2322">
      <c r="A2322" s="5" t="inlineStr">
        <is>
          <t>E02606</t>
        </is>
      </c>
      <c r="B2322" s="5" t="inlineStr">
        <is>
          <t>Female</t>
        </is>
      </c>
      <c r="C2322" s="6" t="inlineStr">
        <is>
          <t>36</t>
        </is>
      </c>
      <c r="D2322" s="5" t="inlineStr">
        <is>
          <t>Divorced</t>
        </is>
      </c>
      <c r="E2322" s="5" t="inlineStr">
        <is>
          <t>High School</t>
        </is>
      </c>
      <c r="F2322" s="5" t="inlineStr">
        <is>
          <t>Operations</t>
        </is>
      </c>
      <c r="G2322" s="5" t="inlineStr">
        <is>
          <t>Logistics Coordinator</t>
        </is>
      </c>
      <c r="H2322" s="5" t="inlineStr">
        <is>
          <t>2</t>
        </is>
      </c>
      <c r="I2322" s="5" t="inlineStr">
        <is>
          <t>Hyderabad</t>
        </is>
      </c>
      <c r="J2322" s="5" t="inlineStr">
        <is>
          <t>Full-Time</t>
        </is>
      </c>
      <c r="K2322" s="7" t="n">
        <v>45418</v>
      </c>
      <c r="L2322" s="7" t="inlineStr"/>
      <c r="M2322" s="5" t="inlineStr">
        <is>
          <t>Yes</t>
        </is>
      </c>
      <c r="N2322" s="5" t="inlineStr"/>
      <c r="O2322" s="8" t="inlineStr">
        <is>
          <t>102000</t>
        </is>
      </c>
      <c r="P2322" s="5" t="inlineStr">
        <is>
          <t>5</t>
        </is>
      </c>
      <c r="Q2322" s="5" t="inlineStr">
        <is>
          <t>4</t>
        </is>
      </c>
      <c r="R2322" s="5" t="inlineStr">
        <is>
          <t>6</t>
        </is>
      </c>
      <c r="S2322" s="5" t="inlineStr">
        <is>
          <t>20</t>
        </is>
      </c>
      <c r="T2322" s="5" t="inlineStr">
        <is>
          <t>1</t>
        </is>
      </c>
      <c r="U2322" s="5" t="inlineStr">
        <is>
          <t>OK</t>
        </is>
      </c>
    </row>
    <row r="2323">
      <c r="A2323" s="5" t="inlineStr">
        <is>
          <t>E02958</t>
        </is>
      </c>
      <c r="B2323" s="5" t="inlineStr">
        <is>
          <t>Male</t>
        </is>
      </c>
      <c r="C2323" s="6" t="inlineStr">
        <is>
          <t>33</t>
        </is>
      </c>
      <c r="D2323" s="5" t="inlineStr">
        <is>
          <t>Married</t>
        </is>
      </c>
      <c r="E2323" s="5" t="inlineStr">
        <is>
          <t>Master</t>
        </is>
      </c>
      <c r="F2323" s="5" t="inlineStr">
        <is>
          <t>IT</t>
        </is>
      </c>
      <c r="G2323" s="5" t="inlineStr">
        <is>
          <t>Software Engineer</t>
        </is>
      </c>
      <c r="H2323" s="5" t="inlineStr">
        <is>
          <t>4</t>
        </is>
      </c>
      <c r="I2323" s="5" t="inlineStr">
        <is>
          <t>Bengaluru</t>
        </is>
      </c>
      <c r="J2323" s="5" t="inlineStr">
        <is>
          <t>Full-Time</t>
        </is>
      </c>
      <c r="K2323" s="7" t="n">
        <v>44272</v>
      </c>
      <c r="L2323" s="7" t="inlineStr"/>
      <c r="M2323" s="5" t="inlineStr">
        <is>
          <t>Yes</t>
        </is>
      </c>
      <c r="N2323" s="5" t="inlineStr"/>
      <c r="O2323" s="8" t="inlineStr">
        <is>
          <t>177000</t>
        </is>
      </c>
      <c r="P2323" s="5" t="inlineStr">
        <is>
          <t>0</t>
        </is>
      </c>
      <c r="Q2323" s="5" t="inlineStr">
        <is>
          <t>4</t>
        </is>
      </c>
      <c r="R2323" s="5" t="inlineStr">
        <is>
          <t>7</t>
        </is>
      </c>
      <c r="S2323" s="5" t="inlineStr">
        <is>
          <t>58</t>
        </is>
      </c>
      <c r="T2323" s="5" t="inlineStr">
        <is>
          <t>13</t>
        </is>
      </c>
      <c r="U2323" s="5" t="inlineStr">
        <is>
          <t>OK</t>
        </is>
      </c>
    </row>
    <row r="2324">
      <c r="A2324" s="5" t="inlineStr">
        <is>
          <t>E02690</t>
        </is>
      </c>
      <c r="B2324" s="5" t="inlineStr">
        <is>
          <t>Unknown</t>
        </is>
      </c>
      <c r="C2324" s="6" t="inlineStr">
        <is>
          <t>31</t>
        </is>
      </c>
      <c r="D2324" s="5" t="inlineStr">
        <is>
          <t>Married</t>
        </is>
      </c>
      <c r="E2324" s="5" t="inlineStr">
        <is>
          <t>Master</t>
        </is>
      </c>
      <c r="F2324" s="5" t="inlineStr">
        <is>
          <t>Human Resources</t>
        </is>
      </c>
      <c r="G2324" s="5" t="inlineStr">
        <is>
          <t>HR Analyst</t>
        </is>
      </c>
      <c r="H2324" s="5" t="inlineStr">
        <is>
          <t>5</t>
        </is>
      </c>
      <c r="I2324" s="5" t="inlineStr">
        <is>
          <t>Bengaluru</t>
        </is>
      </c>
      <c r="J2324" s="5" t="inlineStr">
        <is>
          <t>Full-Time</t>
        </is>
      </c>
      <c r="K2324" s="7" t="n">
        <v>44277</v>
      </c>
      <c r="L2324" s="7" t="inlineStr"/>
      <c r="M2324" s="5" t="inlineStr">
        <is>
          <t>Yes</t>
        </is>
      </c>
      <c r="N2324" s="5" t="inlineStr"/>
      <c r="O2324" s="8" t="inlineStr">
        <is>
          <t>130000</t>
        </is>
      </c>
      <c r="P2324" s="5" t="inlineStr">
        <is>
          <t>0</t>
        </is>
      </c>
      <c r="Q2324" s="5" t="inlineStr">
        <is>
          <t>5</t>
        </is>
      </c>
      <c r="R2324" s="5" t="inlineStr">
        <is>
          <t>8</t>
        </is>
      </c>
      <c r="S2324" s="5" t="inlineStr">
        <is>
          <t>58</t>
        </is>
      </c>
      <c r="T2324" s="5" t="inlineStr">
        <is>
          <t>1</t>
        </is>
      </c>
      <c r="U2324" s="5" t="inlineStr">
        <is>
          <t>Bad gender</t>
        </is>
      </c>
    </row>
    <row r="2325">
      <c r="A2325" s="5" t="inlineStr">
        <is>
          <t>E00872</t>
        </is>
      </c>
      <c r="B2325" s="5" t="inlineStr">
        <is>
          <t>Male</t>
        </is>
      </c>
      <c r="C2325" s="6" t="inlineStr">
        <is>
          <t>35</t>
        </is>
      </c>
      <c r="D2325" s="5" t="inlineStr">
        <is>
          <t>Married</t>
        </is>
      </c>
      <c r="E2325" s="5" t="inlineStr">
        <is>
          <t>Master</t>
        </is>
      </c>
      <c r="F2325" s="5" t="inlineStr">
        <is>
          <t>Finance</t>
        </is>
      </c>
      <c r="G2325" s="5" t="inlineStr">
        <is>
          <t>Financial Analyst</t>
        </is>
      </c>
      <c r="H2325" s="5" t="inlineStr">
        <is>
          <t>5</t>
        </is>
      </c>
      <c r="I2325" s="5" t="inlineStr">
        <is>
          <t>Remote</t>
        </is>
      </c>
      <c r="J2325" s="5" t="inlineStr">
        <is>
          <t>Full-Time</t>
        </is>
      </c>
      <c r="K2325" s="7" t="n">
        <v>45177</v>
      </c>
      <c r="L2325" s="7" t="inlineStr"/>
      <c r="M2325" s="5" t="inlineStr">
        <is>
          <t>Yes</t>
        </is>
      </c>
      <c r="N2325" s="5" t="inlineStr"/>
      <c r="O2325" s="8" t="inlineStr">
        <is>
          <t>122000</t>
        </is>
      </c>
      <c r="P2325" s="5" t="inlineStr">
        <is>
          <t>0</t>
        </is>
      </c>
      <c r="Q2325" s="5" t="inlineStr">
        <is>
          <t>5</t>
        </is>
      </c>
      <c r="R2325" s="5" t="inlineStr">
        <is>
          <t>5</t>
        </is>
      </c>
      <c r="S2325" s="5" t="inlineStr">
        <is>
          <t>28</t>
        </is>
      </c>
      <c r="T2325" s="5" t="inlineStr">
        <is>
          <t>7</t>
        </is>
      </c>
      <c r="U2325" s="5" t="inlineStr">
        <is>
          <t>OK</t>
        </is>
      </c>
    </row>
    <row r="2326">
      <c r="A2326" s="5" t="inlineStr">
        <is>
          <t>E01362</t>
        </is>
      </c>
      <c r="B2326" s="5" t="inlineStr">
        <is>
          <t>Female</t>
        </is>
      </c>
      <c r="C2326" s="6" t="inlineStr">
        <is>
          <t>29</t>
        </is>
      </c>
      <c r="D2326" s="5" t="inlineStr">
        <is>
          <t>Divorced</t>
        </is>
      </c>
      <c r="E2326" s="5" t="inlineStr">
        <is>
          <t>Diploma</t>
        </is>
      </c>
      <c r="F2326" s="5" t="inlineStr">
        <is>
          <t>Marketing</t>
        </is>
      </c>
      <c r="G2326" s="5" t="inlineStr">
        <is>
          <t>Content Writer</t>
        </is>
      </c>
      <c r="H2326" s="5" t="inlineStr">
        <is>
          <t>1</t>
        </is>
      </c>
      <c r="I2326" s="5" t="inlineStr">
        <is>
          <t>Delhi</t>
        </is>
      </c>
      <c r="J2326" s="5" t="inlineStr">
        <is>
          <t>Full-Time</t>
        </is>
      </c>
      <c r="K2326" s="7" t="n">
        <v>43892</v>
      </c>
      <c r="L2326" s="7" t="n">
        <v>43957</v>
      </c>
      <c r="M2326" s="5" t="inlineStr">
        <is>
          <t>No</t>
        </is>
      </c>
      <c r="N2326" s="5" t="inlineStr">
        <is>
          <t>Relocation</t>
        </is>
      </c>
      <c r="O2326" s="8" t="inlineStr">
        <is>
          <t>63000</t>
        </is>
      </c>
      <c r="P2326" s="5" t="inlineStr">
        <is>
          <t>5</t>
        </is>
      </c>
      <c r="Q2326" s="5" t="inlineStr">
        <is>
          <t>3</t>
        </is>
      </c>
      <c r="R2326" s="5" t="inlineStr">
        <is>
          <t>5</t>
        </is>
      </c>
      <c r="S2326" s="5" t="inlineStr">
        <is>
          <t>2</t>
        </is>
      </c>
      <c r="T2326" s="5" t="inlineStr">
        <is>
          <t>8</t>
        </is>
      </c>
      <c r="U2326" s="5" t="inlineStr">
        <is>
          <t>OK</t>
        </is>
      </c>
    </row>
    <row r="2327">
      <c r="A2327" s="5" t="inlineStr">
        <is>
          <t>E02608</t>
        </is>
      </c>
      <c r="B2327" s="5" t="inlineStr">
        <is>
          <t>Female</t>
        </is>
      </c>
      <c r="C2327" s="6" t="inlineStr">
        <is>
          <t>42</t>
        </is>
      </c>
      <c r="D2327" s="5" t="inlineStr">
        <is>
          <t>Married</t>
        </is>
      </c>
      <c r="E2327" s="5" t="inlineStr">
        <is>
          <t>Master</t>
        </is>
      </c>
      <c r="F2327" s="5" t="inlineStr">
        <is>
          <t>Finance</t>
        </is>
      </c>
      <c r="G2327" s="5" t="inlineStr">
        <is>
          <t>Financial Analyst</t>
        </is>
      </c>
      <c r="H2327" s="5" t="inlineStr">
        <is>
          <t>5</t>
        </is>
      </c>
      <c r="I2327" s="5" t="inlineStr">
        <is>
          <t>Mumbai</t>
        </is>
      </c>
      <c r="J2327" s="5" t="inlineStr">
        <is>
          <t>Full-Time</t>
        </is>
      </c>
      <c r="K2327" s="7" t="n">
        <v>45418</v>
      </c>
      <c r="L2327" s="7" t="inlineStr"/>
      <c r="M2327" s="5" t="inlineStr">
        <is>
          <t>Yes</t>
        </is>
      </c>
      <c r="N2327" s="5" t="inlineStr"/>
      <c r="O2327" s="8" t="inlineStr">
        <is>
          <t>145000</t>
        </is>
      </c>
      <c r="P2327" s="5" t="inlineStr">
        <is>
          <t>10</t>
        </is>
      </c>
      <c r="Q2327" s="5" t="inlineStr">
        <is>
          <t>3</t>
        </is>
      </c>
      <c r="R2327" s="5" t="inlineStr">
        <is>
          <t>6</t>
        </is>
      </c>
      <c r="S2327" s="5" t="inlineStr">
        <is>
          <t>20</t>
        </is>
      </c>
      <c r="T2327" s="5" t="inlineStr">
        <is>
          <t>25</t>
        </is>
      </c>
      <c r="U2327" s="5" t="inlineStr">
        <is>
          <t>OK</t>
        </is>
      </c>
    </row>
    <row r="2328">
      <c r="A2328" s="5" t="inlineStr">
        <is>
          <t>E00325</t>
        </is>
      </c>
      <c r="B2328" s="5" t="inlineStr">
        <is>
          <t>Male</t>
        </is>
      </c>
      <c r="C2328" s="6" t="inlineStr">
        <is>
          <t>33</t>
        </is>
      </c>
      <c r="D2328" s="5" t="inlineStr">
        <is>
          <t>Married</t>
        </is>
      </c>
      <c r="E2328" s="5" t="inlineStr">
        <is>
          <t>PhD</t>
        </is>
      </c>
      <c r="F2328" s="5" t="inlineStr">
        <is>
          <t>Marketing</t>
        </is>
      </c>
      <c r="G2328" s="5" t="inlineStr">
        <is>
          <t>SEO Specialist</t>
        </is>
      </c>
      <c r="H2328" s="5" t="inlineStr">
        <is>
          <t>2</t>
        </is>
      </c>
      <c r="I2328" s="5" t="inlineStr">
        <is>
          <t>Bengaluru</t>
        </is>
      </c>
      <c r="J2328" s="5" t="inlineStr">
        <is>
          <t>Full-Time</t>
        </is>
      </c>
      <c r="K2328" s="7" t="n">
        <v>45296</v>
      </c>
      <c r="L2328" s="7" t="n">
        <v>45387</v>
      </c>
      <c r="M2328" s="5" t="inlineStr">
        <is>
          <t>No</t>
        </is>
      </c>
      <c r="N2328" s="5" t="inlineStr">
        <is>
          <t>Retirement</t>
        </is>
      </c>
      <c r="O2328" s="8" t="inlineStr">
        <is>
          <t>65000</t>
        </is>
      </c>
      <c r="P2328" s="5" t="inlineStr">
        <is>
          <t>5</t>
        </is>
      </c>
      <c r="Q2328" s="5" t="inlineStr">
        <is>
          <t>4</t>
        </is>
      </c>
      <c r="R2328" s="5" t="inlineStr">
        <is>
          <t>9</t>
        </is>
      </c>
      <c r="S2328" s="5" t="inlineStr">
        <is>
          <t>3</t>
        </is>
      </c>
      <c r="T2328" s="5" t="inlineStr">
        <is>
          <t>3</t>
        </is>
      </c>
      <c r="U2328" s="5" t="inlineStr">
        <is>
          <t>OK</t>
        </is>
      </c>
    </row>
    <row r="2329">
      <c r="A2329" s="5" t="inlineStr">
        <is>
          <t>E02024</t>
        </is>
      </c>
      <c r="B2329" s="5" t="inlineStr">
        <is>
          <t>Male</t>
        </is>
      </c>
      <c r="C2329" s="6" t="inlineStr">
        <is>
          <t>33</t>
        </is>
      </c>
      <c r="D2329" s="5" t="inlineStr">
        <is>
          <t>Married</t>
        </is>
      </c>
      <c r="E2329" s="5" t="inlineStr">
        <is>
          <t>Bachelor</t>
        </is>
      </c>
      <c r="F2329" s="5" t="inlineStr">
        <is>
          <t>Sales</t>
        </is>
      </c>
      <c r="G2329" s="5" t="inlineStr">
        <is>
          <t>Account Executive</t>
        </is>
      </c>
      <c r="H2329" s="5" t="inlineStr">
        <is>
          <t>1</t>
        </is>
      </c>
      <c r="I2329" s="5" t="inlineStr">
        <is>
          <t>Remote</t>
        </is>
      </c>
      <c r="J2329" s="5" t="inlineStr">
        <is>
          <t>Full-Time</t>
        </is>
      </c>
      <c r="K2329" s="7" t="n">
        <v>45647</v>
      </c>
      <c r="L2329" s="7" t="n">
        <v>45746</v>
      </c>
      <c r="M2329" s="5" t="inlineStr">
        <is>
          <t>No</t>
        </is>
      </c>
      <c r="N2329" s="5" t="inlineStr">
        <is>
          <t>Resigned</t>
        </is>
      </c>
      <c r="O2329" s="8" t="inlineStr">
        <is>
          <t>81000</t>
        </is>
      </c>
      <c r="P2329" s="5" t="inlineStr">
        <is>
          <t>15</t>
        </is>
      </c>
      <c r="Q2329" s="5" t="inlineStr">
        <is>
          <t>3</t>
        </is>
      </c>
      <c r="R2329" s="5" t="inlineStr">
        <is>
          <t>6</t>
        </is>
      </c>
      <c r="S2329" s="5" t="inlineStr">
        <is>
          <t>3</t>
        </is>
      </c>
      <c r="T2329" s="5" t="inlineStr">
        <is>
          <t>4</t>
        </is>
      </c>
      <c r="U2329" s="5" t="inlineStr">
        <is>
          <t>OK</t>
        </is>
      </c>
    </row>
    <row r="2330">
      <c r="A2330" s="5" t="inlineStr">
        <is>
          <t>E01731</t>
        </is>
      </c>
      <c r="B2330" s="5" t="inlineStr">
        <is>
          <t>Male</t>
        </is>
      </c>
      <c r="C2330" s="6" t="inlineStr">
        <is>
          <t>39</t>
        </is>
      </c>
      <c r="D2330" s="5" t="inlineStr">
        <is>
          <t>Divorced</t>
        </is>
      </c>
      <c r="E2330" s="5" t="inlineStr">
        <is>
          <t>PhD</t>
        </is>
      </c>
      <c r="F2330" s="5" t="inlineStr">
        <is>
          <t>Customer Support</t>
        </is>
      </c>
      <c r="G2330" s="5" t="inlineStr">
        <is>
          <t>Escalation Specialist</t>
        </is>
      </c>
      <c r="H2330" s="5" t="inlineStr">
        <is>
          <t>6</t>
        </is>
      </c>
      <c r="I2330" s="5" t="inlineStr">
        <is>
          <t>Hyderabad</t>
        </is>
      </c>
      <c r="J2330" s="5" t="inlineStr">
        <is>
          <t>Full-Time</t>
        </is>
      </c>
      <c r="K2330" s="7" t="n">
        <v>44315</v>
      </c>
      <c r="L2330" s="7" t="inlineStr"/>
      <c r="M2330" s="5" t="inlineStr">
        <is>
          <t>Yes</t>
        </is>
      </c>
      <c r="N2330" s="5" t="inlineStr"/>
      <c r="O2330" s="8" t="inlineStr">
        <is>
          <t>119000</t>
        </is>
      </c>
      <c r="P2330" s="5" t="inlineStr">
        <is>
          <t>5</t>
        </is>
      </c>
      <c r="Q2330" s="5" t="inlineStr">
        <is>
          <t>4</t>
        </is>
      </c>
      <c r="R2330" s="5" t="inlineStr">
        <is>
          <t>4</t>
        </is>
      </c>
      <c r="S2330" s="5" t="inlineStr">
        <is>
          <t>56</t>
        </is>
      </c>
      <c r="T2330" s="5" t="inlineStr">
        <is>
          <t>15</t>
        </is>
      </c>
      <c r="U2330" s="5" t="inlineStr">
        <is>
          <t>OK</t>
        </is>
      </c>
    </row>
    <row r="2331">
      <c r="A2331" s="5" t="inlineStr">
        <is>
          <t>E02737</t>
        </is>
      </c>
      <c r="B2331" s="5" t="inlineStr">
        <is>
          <t>Male</t>
        </is>
      </c>
      <c r="C2331" s="6" t="inlineStr">
        <is>
          <t>33</t>
        </is>
      </c>
      <c r="D2331" s="5" t="inlineStr">
        <is>
          <t>Divorced</t>
        </is>
      </c>
      <c r="E2331" s="5" t="inlineStr">
        <is>
          <t>Master</t>
        </is>
      </c>
      <c r="F2331" s="5" t="inlineStr">
        <is>
          <t>Sales</t>
        </is>
      </c>
      <c r="G2331" s="5" t="inlineStr">
        <is>
          <t>Account Executive</t>
        </is>
      </c>
      <c r="H2331" s="5" t="inlineStr">
        <is>
          <t>1</t>
        </is>
      </c>
      <c r="I2331" s="5" t="inlineStr">
        <is>
          <t>Bengaluru</t>
        </is>
      </c>
      <c r="J2331" s="5" t="inlineStr">
        <is>
          <t>Full-Time</t>
        </is>
      </c>
      <c r="K2331" s="7" t="n">
        <v>44707</v>
      </c>
      <c r="L2331" s="7" t="inlineStr"/>
      <c r="M2331" s="5" t="inlineStr">
        <is>
          <t>Yes</t>
        </is>
      </c>
      <c r="N2331" s="5" t="inlineStr"/>
      <c r="O2331" s="8" t="inlineStr">
        <is>
          <t>97500</t>
        </is>
      </c>
      <c r="P2331" s="5" t="inlineStr">
        <is>
          <t>15</t>
        </is>
      </c>
      <c r="Q2331" s="5" t="inlineStr">
        <is>
          <t>2</t>
        </is>
      </c>
      <c r="R2331" s="5" t="inlineStr">
        <is>
          <t>5</t>
        </is>
      </c>
      <c r="S2331" s="5" t="inlineStr">
        <is>
          <t>43</t>
        </is>
      </c>
      <c r="T2331" s="5" t="inlineStr">
        <is>
          <t>9</t>
        </is>
      </c>
      <c r="U2331" s="5" t="inlineStr">
        <is>
          <t>OK</t>
        </is>
      </c>
    </row>
    <row r="2332">
      <c r="A2332" s="5" t="inlineStr">
        <is>
          <t>E02422</t>
        </is>
      </c>
      <c r="B2332" s="5" t="inlineStr">
        <is>
          <t>Male</t>
        </is>
      </c>
      <c r="C2332" s="6" t="inlineStr">
        <is>
          <t>30</t>
        </is>
      </c>
      <c r="D2332" s="5" t="inlineStr">
        <is>
          <t>Married</t>
        </is>
      </c>
      <c r="E2332" s="5" t="inlineStr">
        <is>
          <t>Bachelor</t>
        </is>
      </c>
      <c r="F2332" s="5" t="inlineStr">
        <is>
          <t>Operations</t>
        </is>
      </c>
      <c r="G2332" s="5" t="inlineStr">
        <is>
          <t>Quality Analyst</t>
        </is>
      </c>
      <c r="H2332" s="5" t="inlineStr">
        <is>
          <t>3</t>
        </is>
      </c>
      <c r="I2332" s="5" t="inlineStr">
        <is>
          <t>Remote</t>
        </is>
      </c>
      <c r="J2332" s="5" t="inlineStr">
        <is>
          <t>Full-Time</t>
        </is>
      </c>
      <c r="K2332" s="7" t="n">
        <v>45093</v>
      </c>
      <c r="L2332" s="7" t="inlineStr"/>
      <c r="M2332" s="5" t="inlineStr">
        <is>
          <t>Yes</t>
        </is>
      </c>
      <c r="N2332" s="5" t="inlineStr"/>
      <c r="O2332" s="8" t="inlineStr">
        <is>
          <t>93500</t>
        </is>
      </c>
      <c r="P2332" s="5" t="inlineStr">
        <is>
          <t>20</t>
        </is>
      </c>
      <c r="Q2332" s="5" t="inlineStr">
        <is>
          <t>3</t>
        </is>
      </c>
      <c r="R2332" s="5" t="inlineStr">
        <is>
          <t>5</t>
        </is>
      </c>
      <c r="S2332" s="5" t="inlineStr">
        <is>
          <t>30</t>
        </is>
      </c>
      <c r="T2332" s="5" t="inlineStr">
        <is>
          <t>20</t>
        </is>
      </c>
      <c r="U2332" s="5" t="inlineStr">
        <is>
          <t>OK</t>
        </is>
      </c>
    </row>
    <row r="2333">
      <c r="A2333" s="5" t="inlineStr">
        <is>
          <t>E01287</t>
        </is>
      </c>
      <c r="B2333" s="5" t="inlineStr">
        <is>
          <t>Male</t>
        </is>
      </c>
      <c r="C2333" s="6" t="inlineStr">
        <is>
          <t>31</t>
        </is>
      </c>
      <c r="D2333" s="5" t="inlineStr">
        <is>
          <t>Married</t>
        </is>
      </c>
      <c r="E2333" s="5" t="inlineStr">
        <is>
          <t>Diploma</t>
        </is>
      </c>
      <c r="F2333" s="5" t="inlineStr">
        <is>
          <t>Customer Support</t>
        </is>
      </c>
      <c r="G2333" s="5" t="inlineStr">
        <is>
          <t>Support Agent</t>
        </is>
      </c>
      <c r="H2333" s="5" t="inlineStr">
        <is>
          <t>5</t>
        </is>
      </c>
      <c r="I2333" s="5" t="inlineStr">
        <is>
          <t>Hyderabad</t>
        </is>
      </c>
      <c r="J2333" s="5" t="inlineStr">
        <is>
          <t>Part-Time</t>
        </is>
      </c>
      <c r="K2333" s="7" t="n">
        <v>44186</v>
      </c>
      <c r="L2333" s="7" t="inlineStr"/>
      <c r="M2333" s="5" t="inlineStr">
        <is>
          <t>Yes</t>
        </is>
      </c>
      <c r="N2333" s="5" t="inlineStr"/>
      <c r="O2333" s="8" t="inlineStr">
        <is>
          <t>100500</t>
        </is>
      </c>
      <c r="P2333" s="5" t="inlineStr">
        <is>
          <t>0</t>
        </is>
      </c>
      <c r="Q2333" s="5" t="inlineStr">
        <is>
          <t>3</t>
        </is>
      </c>
      <c r="R2333" s="5" t="inlineStr">
        <is>
          <t>7</t>
        </is>
      </c>
      <c r="S2333" s="5" t="inlineStr">
        <is>
          <t>61</t>
        </is>
      </c>
      <c r="T2333" s="5" t="inlineStr">
        <is>
          <t>11</t>
        </is>
      </c>
      <c r="U2333" s="5" t="inlineStr">
        <is>
          <t>OK</t>
        </is>
      </c>
    </row>
    <row r="2334">
      <c r="A2334" s="5" t="inlineStr">
        <is>
          <t>E01960</t>
        </is>
      </c>
      <c r="B2334" s="5" t="inlineStr">
        <is>
          <t>Male</t>
        </is>
      </c>
      <c r="C2334" s="6" t="inlineStr">
        <is>
          <t>34</t>
        </is>
      </c>
      <c r="D2334" s="5" t="inlineStr">
        <is>
          <t>Married</t>
        </is>
      </c>
      <c r="E2334" s="5" t="inlineStr">
        <is>
          <t>Bachelor</t>
        </is>
      </c>
      <c r="F2334" s="5" t="inlineStr">
        <is>
          <t>Customer Support</t>
        </is>
      </c>
      <c r="G2334" s="5" t="inlineStr">
        <is>
          <t>Escalation Specialist</t>
        </is>
      </c>
      <c r="H2334" s="5" t="inlineStr">
        <is>
          <t>3</t>
        </is>
      </c>
      <c r="I2334" s="5" t="inlineStr">
        <is>
          <t>Bengaluru</t>
        </is>
      </c>
      <c r="J2334" s="5" t="inlineStr">
        <is>
          <t>Full-Time</t>
        </is>
      </c>
      <c r="K2334" s="7" t="n">
        <v>45039</v>
      </c>
      <c r="L2334" s="7" t="inlineStr"/>
      <c r="M2334" s="5" t="inlineStr">
        <is>
          <t>Yes</t>
        </is>
      </c>
      <c r="N2334" s="5" t="inlineStr"/>
      <c r="O2334" s="8" t="inlineStr">
        <is>
          <t>94000</t>
        </is>
      </c>
      <c r="P2334" s="5" t="inlineStr">
        <is>
          <t>0</t>
        </is>
      </c>
      <c r="Q2334" s="5" t="inlineStr">
        <is>
          <t>4</t>
        </is>
      </c>
      <c r="R2334" s="5" t="inlineStr">
        <is>
          <t>7</t>
        </is>
      </c>
      <c r="S2334" s="5" t="inlineStr">
        <is>
          <t>32</t>
        </is>
      </c>
      <c r="T2334" s="5" t="inlineStr">
        <is>
          <t>0</t>
        </is>
      </c>
      <c r="U2334" s="5" t="inlineStr">
        <is>
          <t>OK</t>
        </is>
      </c>
    </row>
    <row r="2335">
      <c r="A2335" s="5" t="inlineStr">
        <is>
          <t>E01352</t>
        </is>
      </c>
      <c r="B2335" s="5" t="inlineStr">
        <is>
          <t>Male</t>
        </is>
      </c>
      <c r="C2335" s="6" t="inlineStr">
        <is>
          <t>25</t>
        </is>
      </c>
      <c r="D2335" s="5" t="inlineStr">
        <is>
          <t>Married</t>
        </is>
      </c>
      <c r="E2335" s="5" t="inlineStr">
        <is>
          <t>High School</t>
        </is>
      </c>
      <c r="F2335" s="5" t="inlineStr">
        <is>
          <t>Sales</t>
        </is>
      </c>
      <c r="G2335" s="5" t="inlineStr">
        <is>
          <t>Sales Executive</t>
        </is>
      </c>
      <c r="H2335" s="5" t="inlineStr">
        <is>
          <t>2</t>
        </is>
      </c>
      <c r="I2335" s="5" t="inlineStr">
        <is>
          <t>Hyderabad</t>
        </is>
      </c>
      <c r="J2335" s="5" t="inlineStr">
        <is>
          <t>Full-Time</t>
        </is>
      </c>
      <c r="K2335" s="7" t="n">
        <v>45976</v>
      </c>
      <c r="L2335" s="7" t="inlineStr"/>
      <c r="M2335" s="5" t="inlineStr">
        <is>
          <t>Yes</t>
        </is>
      </c>
      <c r="N2335" s="5" t="inlineStr"/>
      <c r="O2335" s="8" t="inlineStr">
        <is>
          <t>117000</t>
        </is>
      </c>
      <c r="P2335" s="5" t="inlineStr">
        <is>
          <t>10</t>
        </is>
      </c>
      <c r="Q2335" s="5" t="inlineStr">
        <is>
          <t>4</t>
        </is>
      </c>
      <c r="R2335" s="5" t="inlineStr">
        <is>
          <t>8</t>
        </is>
      </c>
      <c r="S2335" s="5" t="inlineStr">
        <is>
          <t>1</t>
        </is>
      </c>
      <c r="T2335" s="5" t="inlineStr">
        <is>
          <t>0</t>
        </is>
      </c>
      <c r="U2335" s="5" t="inlineStr">
        <is>
          <t>OK</t>
        </is>
      </c>
    </row>
    <row r="2336">
      <c r="A2336" s="5" t="inlineStr">
        <is>
          <t>E02375</t>
        </is>
      </c>
      <c r="B2336" s="5" t="inlineStr">
        <is>
          <t>Female</t>
        </is>
      </c>
      <c r="C2336" s="6" t="inlineStr">
        <is>
          <t>34</t>
        </is>
      </c>
      <c r="D2336" s="5" t="inlineStr">
        <is>
          <t>Married</t>
        </is>
      </c>
      <c r="E2336" s="5" t="inlineStr">
        <is>
          <t>PhD</t>
        </is>
      </c>
      <c r="F2336" s="5" t="inlineStr">
        <is>
          <t>Customer Support</t>
        </is>
      </c>
      <c r="G2336" s="5" t="inlineStr">
        <is>
          <t>Escalation Specialist</t>
        </is>
      </c>
      <c r="H2336" s="5" t="inlineStr">
        <is>
          <t>3</t>
        </is>
      </c>
      <c r="I2336" s="5" t="inlineStr">
        <is>
          <t>Remote</t>
        </is>
      </c>
      <c r="J2336" s="5" t="inlineStr">
        <is>
          <t>Full-Time</t>
        </is>
      </c>
      <c r="K2336" s="7" t="n">
        <v>44981</v>
      </c>
      <c r="L2336" s="7" t="inlineStr"/>
      <c r="M2336" s="5" t="inlineStr">
        <is>
          <t>Yes</t>
        </is>
      </c>
      <c r="N2336" s="5" t="inlineStr"/>
      <c r="O2336" s="8" t="inlineStr">
        <is>
          <t>69000</t>
        </is>
      </c>
      <c r="P2336" s="5" t="inlineStr">
        <is>
          <t>0</t>
        </is>
      </c>
      <c r="Q2336" s="5" t="inlineStr">
        <is>
          <t>3</t>
        </is>
      </c>
      <c r="R2336" s="5" t="inlineStr">
        <is>
          <t>5</t>
        </is>
      </c>
      <c r="S2336" s="5" t="inlineStr">
        <is>
          <t>34</t>
        </is>
      </c>
      <c r="T2336" s="5" t="inlineStr">
        <is>
          <t>5</t>
        </is>
      </c>
      <c r="U2336" s="5" t="inlineStr">
        <is>
          <t>OK</t>
        </is>
      </c>
    </row>
    <row r="2337">
      <c r="A2337" s="5" t="inlineStr">
        <is>
          <t>E02488</t>
        </is>
      </c>
      <c r="B2337" s="5" t="inlineStr">
        <is>
          <t>Female</t>
        </is>
      </c>
      <c r="C2337" s="6" t="inlineStr">
        <is>
          <t>36</t>
        </is>
      </c>
      <c r="D2337" s="5" t="inlineStr">
        <is>
          <t>Married</t>
        </is>
      </c>
      <c r="E2337" s="5" t="inlineStr">
        <is>
          <t>Master</t>
        </is>
      </c>
      <c r="F2337" s="5" t="inlineStr">
        <is>
          <t>Sales</t>
        </is>
      </c>
      <c r="G2337" s="5" t="inlineStr">
        <is>
          <t>Business Development</t>
        </is>
      </c>
      <c r="H2337" s="5" t="inlineStr">
        <is>
          <t>2</t>
        </is>
      </c>
      <c r="I2337" s="5" t="inlineStr">
        <is>
          <t>Delhi</t>
        </is>
      </c>
      <c r="J2337" s="5" t="inlineStr">
        <is>
          <t>Part-Time</t>
        </is>
      </c>
      <c r="K2337" s="7" t="n">
        <v>46012</v>
      </c>
      <c r="L2337" s="7" t="inlineStr"/>
      <c r="M2337" s="5" t="inlineStr">
        <is>
          <t>Yes</t>
        </is>
      </c>
      <c r="N2337" s="5" t="inlineStr"/>
      <c r="O2337" s="8" t="inlineStr">
        <is>
          <t>69000</t>
        </is>
      </c>
      <c r="P2337" s="5" t="inlineStr">
        <is>
          <t>15</t>
        </is>
      </c>
      <c r="Q2337" s="5" t="inlineStr">
        <is>
          <t>1</t>
        </is>
      </c>
      <c r="R2337" s="5" t="inlineStr">
        <is>
          <t>8</t>
        </is>
      </c>
      <c r="S2337" s="5" t="inlineStr">
        <is>
          <t>1</t>
        </is>
      </c>
      <c r="T2337" s="5" t="inlineStr">
        <is>
          <t>0</t>
        </is>
      </c>
      <c r="U2337" s="5" t="inlineStr">
        <is>
          <t>OK</t>
        </is>
      </c>
    </row>
    <row r="2338">
      <c r="A2338" s="5" t="inlineStr">
        <is>
          <t>E01777</t>
        </is>
      </c>
      <c r="B2338" s="5" t="inlineStr">
        <is>
          <t>Female</t>
        </is>
      </c>
      <c r="C2338" s="6" t="inlineStr">
        <is>
          <t>38</t>
        </is>
      </c>
      <c r="D2338" s="5" t="inlineStr">
        <is>
          <t>Single</t>
        </is>
      </c>
      <c r="E2338" s="5" t="inlineStr">
        <is>
          <t>Diploma</t>
        </is>
      </c>
      <c r="F2338" s="5" t="inlineStr">
        <is>
          <t>Sales</t>
        </is>
      </c>
      <c r="G2338" s="5" t="inlineStr">
        <is>
          <t>Account Executive</t>
        </is>
      </c>
      <c r="H2338" s="5" t="inlineStr">
        <is>
          <t>3</t>
        </is>
      </c>
      <c r="I2338" s="5" t="inlineStr">
        <is>
          <t>Mumbai</t>
        </is>
      </c>
      <c r="J2338" s="5" t="inlineStr">
        <is>
          <t>Full-Time</t>
        </is>
      </c>
      <c r="K2338" s="7" t="n">
        <v>45066</v>
      </c>
      <c r="L2338" s="7" t="inlineStr"/>
      <c r="M2338" s="5" t="inlineStr">
        <is>
          <t>Yes</t>
        </is>
      </c>
      <c r="N2338" s="5" t="inlineStr"/>
      <c r="O2338" s="8" t="inlineStr">
        <is>
          <t>91000</t>
        </is>
      </c>
      <c r="P2338" s="5" t="inlineStr">
        <is>
          <t>15</t>
        </is>
      </c>
      <c r="Q2338" s="5" t="inlineStr">
        <is>
          <t>3</t>
        </is>
      </c>
      <c r="R2338" s="5" t="inlineStr">
        <is>
          <t>6</t>
        </is>
      </c>
      <c r="S2338" s="5" t="inlineStr">
        <is>
          <t>31</t>
        </is>
      </c>
      <c r="T2338" s="5" t="inlineStr">
        <is>
          <t>0</t>
        </is>
      </c>
      <c r="U2338" s="5" t="inlineStr">
        <is>
          <t>OK</t>
        </is>
      </c>
    </row>
    <row r="2339">
      <c r="A2339" s="5" t="inlineStr">
        <is>
          <t>E01018</t>
        </is>
      </c>
      <c r="B2339" s="5" t="inlineStr">
        <is>
          <t>Male</t>
        </is>
      </c>
      <c r="C2339" s="6" t="inlineStr">
        <is>
          <t>30</t>
        </is>
      </c>
      <c r="D2339" s="5" t="inlineStr">
        <is>
          <t>Married</t>
        </is>
      </c>
      <c r="E2339" s="5" t="inlineStr">
        <is>
          <t>PhD</t>
        </is>
      </c>
      <c r="F2339" s="5" t="inlineStr">
        <is>
          <t>IT</t>
        </is>
      </c>
      <c r="G2339" s="5" t="inlineStr">
        <is>
          <t>IT Support</t>
        </is>
      </c>
      <c r="H2339" s="5" t="inlineStr">
        <is>
          <t>3</t>
        </is>
      </c>
      <c r="I2339" s="5" t="inlineStr">
        <is>
          <t>Bengaluru</t>
        </is>
      </c>
      <c r="J2339" s="5" t="inlineStr">
        <is>
          <t>Full-Time</t>
        </is>
      </c>
      <c r="K2339" s="7" t="n">
        <v>45063</v>
      </c>
      <c r="L2339" s="7" t="inlineStr"/>
      <c r="M2339" s="5" t="inlineStr">
        <is>
          <t>Yes</t>
        </is>
      </c>
      <c r="N2339" s="5" t="inlineStr"/>
      <c r="O2339" s="8" t="inlineStr">
        <is>
          <t>159000</t>
        </is>
      </c>
      <c r="P2339" s="5" t="inlineStr">
        <is>
          <t>10</t>
        </is>
      </c>
      <c r="Q2339" s="5" t="inlineStr">
        <is>
          <t>4</t>
        </is>
      </c>
      <c r="R2339" s="5" t="inlineStr">
        <is>
          <t>5</t>
        </is>
      </c>
      <c r="S2339" s="5" t="inlineStr">
        <is>
          <t>31</t>
        </is>
      </c>
      <c r="T2339" s="5" t="inlineStr">
        <is>
          <t>0</t>
        </is>
      </c>
      <c r="U2339" s="5" t="inlineStr">
        <is>
          <t>OK</t>
        </is>
      </c>
    </row>
    <row r="2340">
      <c r="A2340" s="5" t="inlineStr">
        <is>
          <t>E02699</t>
        </is>
      </c>
      <c r="B2340" s="5" t="inlineStr">
        <is>
          <t>Female</t>
        </is>
      </c>
      <c r="C2340" s="6" t="inlineStr">
        <is>
          <t>34</t>
        </is>
      </c>
      <c r="D2340" s="5" t="inlineStr">
        <is>
          <t>Single</t>
        </is>
      </c>
      <c r="E2340" s="5" t="inlineStr">
        <is>
          <t>PhD</t>
        </is>
      </c>
      <c r="F2340" s="5" t="inlineStr">
        <is>
          <t>Finance</t>
        </is>
      </c>
      <c r="G2340" s="5" t="inlineStr">
        <is>
          <t>Financial Analyst</t>
        </is>
      </c>
      <c r="H2340" s="5" t="inlineStr">
        <is>
          <t>1</t>
        </is>
      </c>
      <c r="I2340" s="5" t="inlineStr">
        <is>
          <t>Bengaluru</t>
        </is>
      </c>
      <c r="J2340" s="5" t="inlineStr">
        <is>
          <t>Full-Time</t>
        </is>
      </c>
      <c r="K2340" s="7" t="n">
        <v>43862</v>
      </c>
      <c r="L2340" s="7" t="inlineStr"/>
      <c r="M2340" s="5" t="inlineStr">
        <is>
          <t>Yes</t>
        </is>
      </c>
      <c r="N2340" s="5" t="inlineStr"/>
      <c r="O2340" s="8" t="inlineStr">
        <is>
          <t>76500</t>
        </is>
      </c>
      <c r="P2340" s="5" t="inlineStr">
        <is>
          <t>0</t>
        </is>
      </c>
      <c r="Q2340" s="5" t="inlineStr">
        <is>
          <t>5</t>
        </is>
      </c>
      <c r="R2340" s="5" t="inlineStr">
        <is>
          <t>6</t>
        </is>
      </c>
      <c r="S2340" s="5" t="inlineStr">
        <is>
          <t>72</t>
        </is>
      </c>
      <c r="T2340" s="5" t="inlineStr">
        <is>
          <t>0</t>
        </is>
      </c>
      <c r="U2340" s="5" t="inlineStr">
        <is>
          <t>OK</t>
        </is>
      </c>
    </row>
    <row r="2341">
      <c r="A2341" s="5" t="inlineStr">
        <is>
          <t>E00574</t>
        </is>
      </c>
      <c r="B2341" s="5" t="inlineStr">
        <is>
          <t>Female</t>
        </is>
      </c>
      <c r="C2341" s="6" t="inlineStr">
        <is>
          <t>34</t>
        </is>
      </c>
      <c r="D2341" s="5" t="inlineStr">
        <is>
          <t>Married</t>
        </is>
      </c>
      <c r="E2341" s="5" t="inlineStr">
        <is>
          <t>High School</t>
        </is>
      </c>
      <c r="F2341" s="5" t="inlineStr">
        <is>
          <t>Customer Support</t>
        </is>
      </c>
      <c r="G2341" s="5" t="inlineStr">
        <is>
          <t>Support Agent</t>
        </is>
      </c>
      <c r="H2341" s="5" t="inlineStr">
        <is>
          <t>1</t>
        </is>
      </c>
      <c r="I2341" s="5" t="inlineStr">
        <is>
          <t>Bengaluru</t>
        </is>
      </c>
      <c r="J2341" s="5" t="inlineStr">
        <is>
          <t>Full-Time</t>
        </is>
      </c>
      <c r="K2341" s="7" t="n">
        <v>45907</v>
      </c>
      <c r="L2341" s="7" t="inlineStr"/>
      <c r="M2341" s="5" t="inlineStr">
        <is>
          <t>Yes</t>
        </is>
      </c>
      <c r="N2341" s="5" t="inlineStr"/>
      <c r="O2341" s="8" t="inlineStr">
        <is>
          <t>47500</t>
        </is>
      </c>
      <c r="P2341" s="5" t="inlineStr">
        <is>
          <t>10</t>
        </is>
      </c>
      <c r="Q2341" s="5" t="inlineStr">
        <is>
          <t>4</t>
        </is>
      </c>
      <c r="R2341" s="5" t="inlineStr">
        <is>
          <t>9</t>
        </is>
      </c>
      <c r="S2341" s="5" t="inlineStr">
        <is>
          <t>3</t>
        </is>
      </c>
      <c r="T2341" s="5" t="inlineStr">
        <is>
          <t>9</t>
        </is>
      </c>
      <c r="U2341" s="5" t="inlineStr">
        <is>
          <t>OK</t>
        </is>
      </c>
    </row>
    <row r="2342">
      <c r="A2342" s="5" t="inlineStr">
        <is>
          <t>E02125</t>
        </is>
      </c>
      <c r="B2342" s="5" t="inlineStr">
        <is>
          <t>Female</t>
        </is>
      </c>
      <c r="C2342" s="6" t="inlineStr">
        <is>
          <t>36</t>
        </is>
      </c>
      <c r="D2342" s="5" t="inlineStr">
        <is>
          <t>Married</t>
        </is>
      </c>
      <c r="E2342" s="5" t="inlineStr">
        <is>
          <t>PhD</t>
        </is>
      </c>
      <c r="F2342" s="5" t="inlineStr">
        <is>
          <t>Marketing</t>
        </is>
      </c>
      <c r="G2342" s="5" t="inlineStr">
        <is>
          <t>SEO Specialist</t>
        </is>
      </c>
      <c r="H2342" s="5" t="inlineStr">
        <is>
          <t>7</t>
        </is>
      </c>
      <c r="I2342" s="5" t="inlineStr">
        <is>
          <t>Delhi</t>
        </is>
      </c>
      <c r="J2342" s="5" t="inlineStr">
        <is>
          <t>Full-Time</t>
        </is>
      </c>
      <c r="K2342" s="7" t="n">
        <v>45817</v>
      </c>
      <c r="L2342" s="7" t="n">
        <v>45951</v>
      </c>
      <c r="M2342" s="5" t="inlineStr">
        <is>
          <t>No</t>
        </is>
      </c>
      <c r="N2342" s="5" t="inlineStr">
        <is>
          <t>Performance / Termination</t>
        </is>
      </c>
      <c r="O2342" s="8" t="inlineStr">
        <is>
          <t>122500</t>
        </is>
      </c>
      <c r="P2342" s="5" t="inlineStr">
        <is>
          <t>10</t>
        </is>
      </c>
      <c r="Q2342" s="5" t="inlineStr">
        <is>
          <t>2</t>
        </is>
      </c>
      <c r="R2342" s="5" t="inlineStr">
        <is>
          <t>5</t>
        </is>
      </c>
      <c r="S2342" s="5" t="inlineStr">
        <is>
          <t>4</t>
        </is>
      </c>
      <c r="T2342" s="5" t="inlineStr">
        <is>
          <t>3</t>
        </is>
      </c>
      <c r="U2342" s="5" t="inlineStr">
        <is>
          <t>OK</t>
        </is>
      </c>
    </row>
    <row r="2343">
      <c r="A2343" s="5" t="inlineStr">
        <is>
          <t>E01244</t>
        </is>
      </c>
      <c r="B2343" s="5" t="inlineStr">
        <is>
          <t>Female</t>
        </is>
      </c>
      <c r="C2343" s="6" t="inlineStr">
        <is>
          <t>32</t>
        </is>
      </c>
      <c r="D2343" s="5" t="inlineStr">
        <is>
          <t>Single</t>
        </is>
      </c>
      <c r="E2343" s="5" t="inlineStr">
        <is>
          <t>High School</t>
        </is>
      </c>
      <c r="F2343" s="5" t="inlineStr">
        <is>
          <t>Operations</t>
        </is>
      </c>
      <c r="G2343" s="5" t="inlineStr">
        <is>
          <t>Logistics Coordinator</t>
        </is>
      </c>
      <c r="H2343" s="5" t="inlineStr">
        <is>
          <t>1</t>
        </is>
      </c>
      <c r="I2343" s="5" t="inlineStr">
        <is>
          <t>Delhi</t>
        </is>
      </c>
      <c r="J2343" s="5" t="inlineStr">
        <is>
          <t>Full-Time</t>
        </is>
      </c>
      <c r="K2343" s="7" t="n">
        <v>45090</v>
      </c>
      <c r="L2343" s="7" t="inlineStr"/>
      <c r="M2343" s="5" t="inlineStr">
        <is>
          <t>Yes</t>
        </is>
      </c>
      <c r="N2343" s="5" t="inlineStr"/>
      <c r="O2343" s="8" t="inlineStr">
        <is>
          <t>62000</t>
        </is>
      </c>
      <c r="P2343" s="5" t="inlineStr">
        <is>
          <t>0</t>
        </is>
      </c>
      <c r="Q2343" s="5" t="inlineStr">
        <is>
          <t>3</t>
        </is>
      </c>
      <c r="R2343" s="5" t="inlineStr">
        <is>
          <t>4</t>
        </is>
      </c>
      <c r="S2343" s="5" t="inlineStr">
        <is>
          <t>31</t>
        </is>
      </c>
      <c r="T2343" s="5" t="inlineStr">
        <is>
          <t>3</t>
        </is>
      </c>
      <c r="U2343" s="5" t="inlineStr">
        <is>
          <t>OK</t>
        </is>
      </c>
    </row>
    <row r="2344">
      <c r="A2344" s="5" t="inlineStr">
        <is>
          <t>E02630</t>
        </is>
      </c>
      <c r="B2344" s="5" t="inlineStr">
        <is>
          <t>Female</t>
        </is>
      </c>
      <c r="C2344" s="6" t="inlineStr">
        <is>
          <t>42</t>
        </is>
      </c>
      <c r="D2344" s="5" t="inlineStr">
        <is>
          <t>Married</t>
        </is>
      </c>
      <c r="E2344" s="5" t="inlineStr">
        <is>
          <t>Bachelor</t>
        </is>
      </c>
      <c r="F2344" s="5" t="inlineStr">
        <is>
          <t>Marketing</t>
        </is>
      </c>
      <c r="G2344" s="5" t="inlineStr">
        <is>
          <t>Content Writer</t>
        </is>
      </c>
      <c r="H2344" s="5" t="inlineStr">
        <is>
          <t>7</t>
        </is>
      </c>
      <c r="I2344" s="5" t="inlineStr">
        <is>
          <t>Hyderabad</t>
        </is>
      </c>
      <c r="J2344" s="5" t="inlineStr">
        <is>
          <t>Part-Time</t>
        </is>
      </c>
      <c r="K2344" s="7" t="n">
        <v>45910</v>
      </c>
      <c r="L2344" s="7" t="inlineStr"/>
      <c r="M2344" s="5" t="inlineStr">
        <is>
          <t>Yes</t>
        </is>
      </c>
      <c r="N2344" s="5" t="inlineStr"/>
      <c r="O2344" s="8" t="inlineStr">
        <is>
          <t>124000</t>
        </is>
      </c>
      <c r="P2344" s="5" t="inlineStr">
        <is>
          <t>5</t>
        </is>
      </c>
      <c r="Q2344" s="5" t="inlineStr">
        <is>
          <t>3</t>
        </is>
      </c>
      <c r="R2344" s="5" t="inlineStr">
        <is>
          <t>6</t>
        </is>
      </c>
      <c r="S2344" s="5" t="inlineStr">
        <is>
          <t>3</t>
        </is>
      </c>
      <c r="T2344" s="5" t="inlineStr">
        <is>
          <t>7</t>
        </is>
      </c>
      <c r="U2344" s="5" t="inlineStr">
        <is>
          <t>OK</t>
        </is>
      </c>
    </row>
    <row r="2345">
      <c r="A2345" s="5" t="inlineStr">
        <is>
          <t>E02767</t>
        </is>
      </c>
      <c r="B2345" s="5" t="inlineStr">
        <is>
          <t>male</t>
        </is>
      </c>
      <c r="C2345" s="6" t="inlineStr">
        <is>
          <t>37</t>
        </is>
      </c>
      <c r="D2345" s="5" t="inlineStr">
        <is>
          <t>Married</t>
        </is>
      </c>
      <c r="E2345" s="5" t="inlineStr">
        <is>
          <t>PhD</t>
        </is>
      </c>
      <c r="F2345" s="5" t="inlineStr">
        <is>
          <t>Customer Support</t>
        </is>
      </c>
      <c r="G2345" s="5" t="inlineStr">
        <is>
          <t>Support Agent</t>
        </is>
      </c>
      <c r="H2345" s="5" t="inlineStr">
        <is>
          <t>4</t>
        </is>
      </c>
      <c r="I2345" s="5" t="inlineStr">
        <is>
          <t>Mumbai</t>
        </is>
      </c>
      <c r="J2345" s="5" t="inlineStr">
        <is>
          <t>Full-Time</t>
        </is>
      </c>
      <c r="K2345" s="7" t="n">
        <v>44635</v>
      </c>
      <c r="L2345" s="7" t="inlineStr"/>
      <c r="M2345" s="5" t="inlineStr">
        <is>
          <t>Yes</t>
        </is>
      </c>
      <c r="N2345" s="5" t="inlineStr"/>
      <c r="O2345" s="8" t="inlineStr">
        <is>
          <t>72500</t>
        </is>
      </c>
      <c r="P2345" s="5" t="inlineStr">
        <is>
          <t>5</t>
        </is>
      </c>
      <c r="Q2345" s="5" t="inlineStr">
        <is>
          <t>3</t>
        </is>
      </c>
      <c r="R2345" s="5" t="inlineStr">
        <is>
          <t>5</t>
        </is>
      </c>
      <c r="S2345" s="5" t="inlineStr">
        <is>
          <t>46</t>
        </is>
      </c>
      <c r="T2345" s="5" t="inlineStr">
        <is>
          <t>2</t>
        </is>
      </c>
      <c r="U2345" s="5" t="inlineStr">
        <is>
          <t>OK</t>
        </is>
      </c>
    </row>
    <row r="2346">
      <c r="A2346" s="5" t="inlineStr">
        <is>
          <t>E00445</t>
        </is>
      </c>
      <c r="B2346" s="5" t="inlineStr">
        <is>
          <t>Female</t>
        </is>
      </c>
      <c r="C2346" s="6" t="inlineStr">
        <is>
          <t>29</t>
        </is>
      </c>
      <c r="D2346" s="5" t="inlineStr">
        <is>
          <t>Married</t>
        </is>
      </c>
      <c r="E2346" s="5" t="inlineStr">
        <is>
          <t>Master</t>
        </is>
      </c>
      <c r="F2346" s="5" t="inlineStr">
        <is>
          <t>Customer Support</t>
        </is>
      </c>
      <c r="G2346" s="5" t="inlineStr">
        <is>
          <t>Support Lead</t>
        </is>
      </c>
      <c r="H2346" s="5" t="inlineStr">
        <is>
          <t>3</t>
        </is>
      </c>
      <c r="I2346" s="5" t="inlineStr">
        <is>
          <t>Hyderabad</t>
        </is>
      </c>
      <c r="J2346" s="5" t="inlineStr">
        <is>
          <t>Full-Time</t>
        </is>
      </c>
      <c r="K2346" s="7" t="n">
        <v>44977</v>
      </c>
      <c r="L2346" s="7" t="inlineStr"/>
      <c r="M2346" s="5" t="inlineStr">
        <is>
          <t>Yes</t>
        </is>
      </c>
      <c r="N2346" s="5" t="inlineStr"/>
      <c r="O2346" s="8" t="inlineStr">
        <is>
          <t>66500</t>
        </is>
      </c>
      <c r="P2346" s="5" t="inlineStr">
        <is>
          <t>0</t>
        </is>
      </c>
      <c r="Q2346" s="5" t="inlineStr">
        <is>
          <t>3</t>
        </is>
      </c>
      <c r="R2346" s="5" t="inlineStr">
        <is>
          <t>4</t>
        </is>
      </c>
      <c r="S2346" s="5" t="inlineStr">
        <is>
          <t>34</t>
        </is>
      </c>
      <c r="T2346" s="5" t="inlineStr">
        <is>
          <t>3</t>
        </is>
      </c>
      <c r="U2346" s="5" t="inlineStr">
        <is>
          <t>OK</t>
        </is>
      </c>
    </row>
    <row r="2347">
      <c r="A2347" s="5" t="inlineStr">
        <is>
          <t>E01716</t>
        </is>
      </c>
      <c r="B2347" s="5" t="inlineStr">
        <is>
          <t>Male</t>
        </is>
      </c>
      <c r="C2347" s="6" t="inlineStr">
        <is>
          <t>32</t>
        </is>
      </c>
      <c r="D2347" s="5" t="inlineStr">
        <is>
          <t>Single</t>
        </is>
      </c>
      <c r="E2347" s="5" t="inlineStr">
        <is>
          <t>Bachelor</t>
        </is>
      </c>
      <c r="F2347" s="5" t="inlineStr">
        <is>
          <t>Operations</t>
        </is>
      </c>
      <c r="G2347" s="5" t="inlineStr">
        <is>
          <t>Logistics Coordinator</t>
        </is>
      </c>
      <c r="H2347" s="5" t="inlineStr">
        <is>
          <t>3</t>
        </is>
      </c>
      <c r="I2347" s="5" t="inlineStr">
        <is>
          <t>Hyderabad</t>
        </is>
      </c>
      <c r="J2347" s="5" t="inlineStr">
        <is>
          <t>Full-Time</t>
        </is>
      </c>
      <c r="K2347" s="7" t="n">
        <v>43957</v>
      </c>
      <c r="L2347" s="7" t="inlineStr"/>
      <c r="M2347" s="5" t="inlineStr">
        <is>
          <t>Yes</t>
        </is>
      </c>
      <c r="N2347" s="5" t="inlineStr"/>
      <c r="O2347" s="8" t="inlineStr">
        <is>
          <t>72000</t>
        </is>
      </c>
      <c r="P2347" s="5" t="inlineStr">
        <is>
          <t>0</t>
        </is>
      </c>
      <c r="Q2347" s="5" t="inlineStr">
        <is>
          <t>3</t>
        </is>
      </c>
      <c r="R2347" s="5" t="inlineStr">
        <is>
          <t>10</t>
        </is>
      </c>
      <c r="S2347" s="5" t="inlineStr">
        <is>
          <t>68</t>
        </is>
      </c>
      <c r="T2347" s="5" t="inlineStr">
        <is>
          <t>4</t>
        </is>
      </c>
      <c r="U2347" s="5" t="inlineStr">
        <is>
          <t>OK</t>
        </is>
      </c>
    </row>
    <row r="2348">
      <c r="A2348" s="5" t="inlineStr">
        <is>
          <t>E01357</t>
        </is>
      </c>
      <c r="B2348" s="5" t="inlineStr">
        <is>
          <t>Female</t>
        </is>
      </c>
      <c r="C2348" s="6" t="inlineStr">
        <is>
          <t>25</t>
        </is>
      </c>
      <c r="D2348" s="5" t="inlineStr">
        <is>
          <t>Married</t>
        </is>
      </c>
      <c r="E2348" s="5" t="inlineStr">
        <is>
          <t>PhD</t>
        </is>
      </c>
      <c r="F2348" s="5" t="inlineStr">
        <is>
          <t>Operations</t>
        </is>
      </c>
      <c r="G2348" s="5" t="inlineStr">
        <is>
          <t>Logistics Coordinator</t>
        </is>
      </c>
      <c r="H2348" s="5" t="inlineStr">
        <is>
          <t>1</t>
        </is>
      </c>
      <c r="I2348" s="5" t="inlineStr">
        <is>
          <t>Delhi</t>
        </is>
      </c>
      <c r="J2348" s="5" t="inlineStr">
        <is>
          <t>Full-Time</t>
        </is>
      </c>
      <c r="K2348" s="7" t="n">
        <v>45642</v>
      </c>
      <c r="L2348" s="7" t="inlineStr"/>
      <c r="M2348" s="5" t="inlineStr">
        <is>
          <t>Yes</t>
        </is>
      </c>
      <c r="N2348" s="5" t="inlineStr"/>
      <c r="O2348" s="8" t="inlineStr"/>
      <c r="P2348" s="5" t="inlineStr">
        <is>
          <t>15</t>
        </is>
      </c>
      <c r="Q2348" s="5" t="inlineStr">
        <is>
          <t>5</t>
        </is>
      </c>
      <c r="R2348" s="5" t="inlineStr">
        <is>
          <t>7</t>
        </is>
      </c>
      <c r="S2348" s="5" t="inlineStr">
        <is>
          <t>12</t>
        </is>
      </c>
      <c r="T2348" s="5" t="inlineStr">
        <is>
          <t>8</t>
        </is>
      </c>
      <c r="U2348" s="5" t="inlineStr">
        <is>
          <t>Blank salary</t>
        </is>
      </c>
    </row>
    <row r="2349">
      <c r="A2349" s="5" t="inlineStr">
        <is>
          <t>E00294</t>
        </is>
      </c>
      <c r="B2349" s="5" t="inlineStr">
        <is>
          <t>Female</t>
        </is>
      </c>
      <c r="C2349" s="6" t="inlineStr">
        <is>
          <t>38</t>
        </is>
      </c>
      <c r="D2349" s="5" t="inlineStr">
        <is>
          <t>Married</t>
        </is>
      </c>
      <c r="E2349" s="5" t="inlineStr">
        <is>
          <t>Bachelor</t>
        </is>
      </c>
      <c r="F2349" s="5" t="inlineStr">
        <is>
          <t>Operations</t>
        </is>
      </c>
      <c r="G2349" s="5" t="inlineStr">
        <is>
          <t>Quality Analyst</t>
        </is>
      </c>
      <c r="H2349" s="5" t="inlineStr">
        <is>
          <t>6</t>
        </is>
      </c>
      <c r="I2349" s="5" t="inlineStr">
        <is>
          <t>Mumbai</t>
        </is>
      </c>
      <c r="J2349" s="5" t="inlineStr">
        <is>
          <t>Full-Time</t>
        </is>
      </c>
      <c r="K2349" s="7" t="n">
        <v>45310</v>
      </c>
      <c r="L2349" s="7" t="inlineStr"/>
      <c r="M2349" s="5" t="inlineStr">
        <is>
          <t>Yes</t>
        </is>
      </c>
      <c r="N2349" s="5" t="inlineStr"/>
      <c r="O2349" s="8" t="inlineStr">
        <is>
          <t>120000</t>
        </is>
      </c>
      <c r="P2349" s="5" t="inlineStr">
        <is>
          <t>0</t>
        </is>
      </c>
      <c r="Q2349" s="5" t="inlineStr">
        <is>
          <t>2</t>
        </is>
      </c>
      <c r="R2349" s="5" t="inlineStr">
        <is>
          <t>6</t>
        </is>
      </c>
      <c r="S2349" s="5" t="inlineStr">
        <is>
          <t>23</t>
        </is>
      </c>
      <c r="T2349" s="5" t="inlineStr">
        <is>
          <t>5</t>
        </is>
      </c>
      <c r="U2349" s="5" t="inlineStr">
        <is>
          <t>OK</t>
        </is>
      </c>
    </row>
    <row r="2350">
      <c r="A2350" s="5" t="inlineStr">
        <is>
          <t>E02644</t>
        </is>
      </c>
      <c r="B2350" s="5" t="inlineStr">
        <is>
          <t>Female</t>
        </is>
      </c>
      <c r="C2350" s="6" t="inlineStr">
        <is>
          <t>33</t>
        </is>
      </c>
      <c r="D2350" s="5" t="inlineStr">
        <is>
          <t>Married</t>
        </is>
      </c>
      <c r="E2350" s="5" t="inlineStr">
        <is>
          <t>High School</t>
        </is>
      </c>
      <c r="F2350" s="5" t="inlineStr">
        <is>
          <t>IT</t>
        </is>
      </c>
      <c r="G2350" s="5" t="inlineStr">
        <is>
          <t>Data Analyst</t>
        </is>
      </c>
      <c r="H2350" s="5" t="inlineStr">
        <is>
          <t>2</t>
        </is>
      </c>
      <c r="I2350" s="5" t="inlineStr">
        <is>
          <t>Chennai</t>
        </is>
      </c>
      <c r="J2350" s="5" t="inlineStr">
        <is>
          <t>Contract</t>
        </is>
      </c>
      <c r="K2350" s="7" t="n">
        <v>45142</v>
      </c>
      <c r="L2350" s="7" t="inlineStr"/>
      <c r="M2350" s="5" t="inlineStr">
        <is>
          <t>Yes</t>
        </is>
      </c>
      <c r="N2350" s="5" t="inlineStr"/>
      <c r="O2350" s="8" t="inlineStr">
        <is>
          <t>162000</t>
        </is>
      </c>
      <c r="P2350" s="5" t="inlineStr">
        <is>
          <t>0</t>
        </is>
      </c>
      <c r="Q2350" s="5" t="inlineStr">
        <is>
          <t>4</t>
        </is>
      </c>
      <c r="R2350" s="5" t="inlineStr">
        <is>
          <t>8</t>
        </is>
      </c>
      <c r="S2350" s="5" t="inlineStr">
        <is>
          <t>29</t>
        </is>
      </c>
      <c r="T2350" s="5" t="inlineStr">
        <is>
          <t>0</t>
        </is>
      </c>
      <c r="U2350" s="5" t="inlineStr">
        <is>
          <t>OK</t>
        </is>
      </c>
    </row>
    <row r="2351">
      <c r="A2351" s="5" t="inlineStr">
        <is>
          <t>E00363</t>
        </is>
      </c>
      <c r="B2351" s="5" t="inlineStr">
        <is>
          <t>Male</t>
        </is>
      </c>
      <c r="C2351" s="6" t="inlineStr">
        <is>
          <t>37</t>
        </is>
      </c>
      <c r="D2351" s="5" t="inlineStr">
        <is>
          <t>Married</t>
        </is>
      </c>
      <c r="E2351" s="5" t="inlineStr">
        <is>
          <t>High School</t>
        </is>
      </c>
      <c r="F2351" s="5" t="inlineStr">
        <is>
          <t>Marketing</t>
        </is>
      </c>
      <c r="G2351" s="5" t="inlineStr">
        <is>
          <t>Marketing Analyst</t>
        </is>
      </c>
      <c r="H2351" s="5" t="inlineStr">
        <is>
          <t>4</t>
        </is>
      </c>
      <c r="I2351" s="5" t="inlineStr">
        <is>
          <t>Remote</t>
        </is>
      </c>
      <c r="J2351" s="5" t="inlineStr">
        <is>
          <t>Full-Time</t>
        </is>
      </c>
      <c r="K2351" s="7" t="n">
        <v>45197</v>
      </c>
      <c r="L2351" s="7" t="inlineStr"/>
      <c r="M2351" s="5" t="inlineStr">
        <is>
          <t>Yes</t>
        </is>
      </c>
      <c r="N2351" s="5" t="inlineStr"/>
      <c r="O2351" s="8" t="inlineStr">
        <is>
          <t>97000</t>
        </is>
      </c>
      <c r="P2351" s="5" t="inlineStr">
        <is>
          <t>0</t>
        </is>
      </c>
      <c r="Q2351" s="5" t="inlineStr">
        <is>
          <t>4</t>
        </is>
      </c>
      <c r="R2351" s="5" t="inlineStr">
        <is>
          <t>6</t>
        </is>
      </c>
      <c r="S2351" s="5" t="inlineStr">
        <is>
          <t>27</t>
        </is>
      </c>
      <c r="T2351" s="5" t="inlineStr">
        <is>
          <t>0</t>
        </is>
      </c>
      <c r="U2351" s="5" t="inlineStr">
        <is>
          <t>OK</t>
        </is>
      </c>
    </row>
    <row r="2352">
      <c r="A2352" s="5" t="inlineStr">
        <is>
          <t>E01674</t>
        </is>
      </c>
      <c r="B2352" s="5" t="inlineStr">
        <is>
          <t>Female</t>
        </is>
      </c>
      <c r="C2352" s="6" t="inlineStr">
        <is>
          <t>39</t>
        </is>
      </c>
      <c r="D2352" s="5" t="inlineStr">
        <is>
          <t>Married</t>
        </is>
      </c>
      <c r="E2352" s="5" t="inlineStr">
        <is>
          <t>High School</t>
        </is>
      </c>
      <c r="F2352" s="5" t="inlineStr">
        <is>
          <t>Customer Support</t>
        </is>
      </c>
      <c r="G2352" s="5" t="inlineStr">
        <is>
          <t>Escalation Specialist</t>
        </is>
      </c>
      <c r="H2352" s="5" t="inlineStr">
        <is>
          <t>5</t>
        </is>
      </c>
      <c r="I2352" s="5" t="inlineStr">
        <is>
          <t>Delhi</t>
        </is>
      </c>
      <c r="J2352" s="5" t="inlineStr">
        <is>
          <t>Full-Time</t>
        </is>
      </c>
      <c r="K2352" s="7" t="n">
        <v>44978</v>
      </c>
      <c r="L2352" s="7" t="inlineStr"/>
      <c r="M2352" s="5" t="inlineStr">
        <is>
          <t>Yes</t>
        </is>
      </c>
      <c r="N2352" s="5" t="inlineStr"/>
      <c r="O2352" s="8" t="inlineStr">
        <is>
          <t>98000</t>
        </is>
      </c>
      <c r="P2352" s="5" t="inlineStr">
        <is>
          <t>0</t>
        </is>
      </c>
      <c r="Q2352" s="5" t="inlineStr">
        <is>
          <t>3</t>
        </is>
      </c>
      <c r="R2352" s="5" t="inlineStr">
        <is>
          <t>5</t>
        </is>
      </c>
      <c r="S2352" s="5" t="inlineStr">
        <is>
          <t>34</t>
        </is>
      </c>
      <c r="T2352" s="5" t="inlineStr">
        <is>
          <t>3</t>
        </is>
      </c>
      <c r="U2352" s="5" t="inlineStr">
        <is>
          <t>OK</t>
        </is>
      </c>
    </row>
    <row r="2353">
      <c r="A2353" s="5" t="inlineStr">
        <is>
          <t>E01538</t>
        </is>
      </c>
      <c r="B2353" s="5" t="inlineStr">
        <is>
          <t>Male</t>
        </is>
      </c>
      <c r="C2353" s="6" t="inlineStr">
        <is>
          <t>36</t>
        </is>
      </c>
      <c r="D2353" s="5" t="inlineStr">
        <is>
          <t>Married</t>
        </is>
      </c>
      <c r="E2353" s="5" t="inlineStr">
        <is>
          <t>Diploma</t>
        </is>
      </c>
      <c r="F2353" s="5" t="inlineStr">
        <is>
          <t>Sales</t>
        </is>
      </c>
      <c r="G2353" s="5" t="inlineStr">
        <is>
          <t>Business Development</t>
        </is>
      </c>
      <c r="H2353" s="5" t="inlineStr">
        <is>
          <t>7</t>
        </is>
      </c>
      <c r="I2353" s="5" t="inlineStr">
        <is>
          <t>Delhi</t>
        </is>
      </c>
      <c r="J2353" s="5" t="inlineStr">
        <is>
          <t>Full-Time</t>
        </is>
      </c>
      <c r="K2353" s="7" t="n">
        <v>44796</v>
      </c>
      <c r="L2353" s="7" t="inlineStr"/>
      <c r="M2353" s="5" t="inlineStr">
        <is>
          <t>Yes</t>
        </is>
      </c>
      <c r="N2353" s="5" t="inlineStr"/>
      <c r="O2353" s="8" t="inlineStr">
        <is>
          <t>153500</t>
        </is>
      </c>
      <c r="P2353" s="5" t="inlineStr">
        <is>
          <t>10</t>
        </is>
      </c>
      <c r="Q2353" s="5" t="inlineStr">
        <is>
          <t>5</t>
        </is>
      </c>
      <c r="R2353" s="5" t="inlineStr">
        <is>
          <t>6</t>
        </is>
      </c>
      <c r="S2353" s="5" t="inlineStr">
        <is>
          <t>40</t>
        </is>
      </c>
      <c r="T2353" s="5" t="inlineStr">
        <is>
          <t>2</t>
        </is>
      </c>
      <c r="U2353" s="5" t="inlineStr">
        <is>
          <t>OK</t>
        </is>
      </c>
    </row>
    <row r="2354">
      <c r="A2354" s="5" t="inlineStr">
        <is>
          <t>E01836</t>
        </is>
      </c>
      <c r="B2354" s="5" t="inlineStr">
        <is>
          <t>Female</t>
        </is>
      </c>
      <c r="C2354" s="6" t="inlineStr">
        <is>
          <t>26</t>
        </is>
      </c>
      <c r="D2354" s="5" t="inlineStr">
        <is>
          <t>Married</t>
        </is>
      </c>
      <c r="E2354" s="5" t="inlineStr">
        <is>
          <t>Master</t>
        </is>
      </c>
      <c r="F2354" s="5" t="inlineStr"/>
      <c r="G2354" s="5" t="inlineStr">
        <is>
          <t>Logistics Coordinator</t>
        </is>
      </c>
      <c r="H2354" s="5" t="inlineStr">
        <is>
          <t>1</t>
        </is>
      </c>
      <c r="I2354" s="5" t="inlineStr">
        <is>
          <t>Delhi</t>
        </is>
      </c>
      <c r="J2354" s="5" t="inlineStr">
        <is>
          <t>Full-Time</t>
        </is>
      </c>
      <c r="K2354" s="7" t="n">
        <v>45489</v>
      </c>
      <c r="L2354" s="7" t="inlineStr"/>
      <c r="M2354" s="5" t="inlineStr">
        <is>
          <t>Yes</t>
        </is>
      </c>
      <c r="N2354" s="5" t="inlineStr"/>
      <c r="O2354" s="8" t="inlineStr">
        <is>
          <t>74500</t>
        </is>
      </c>
      <c r="P2354" s="5" t="inlineStr">
        <is>
          <t>10</t>
        </is>
      </c>
      <c r="Q2354" s="5" t="inlineStr">
        <is>
          <t>5</t>
        </is>
      </c>
      <c r="R2354" s="5" t="inlineStr">
        <is>
          <t>4</t>
        </is>
      </c>
      <c r="S2354" s="5" t="inlineStr">
        <is>
          <t>17</t>
        </is>
      </c>
      <c r="T2354" s="5" t="inlineStr">
        <is>
          <t>1</t>
        </is>
      </c>
      <c r="U2354" s="5" t="inlineStr">
        <is>
          <t>Blank department</t>
        </is>
      </c>
    </row>
    <row r="2355">
      <c r="A2355" s="5" t="inlineStr">
        <is>
          <t>E00656</t>
        </is>
      </c>
      <c r="B2355" s="5" t="inlineStr">
        <is>
          <t>Male</t>
        </is>
      </c>
      <c r="C2355" s="6" t="inlineStr">
        <is>
          <t>26</t>
        </is>
      </c>
      <c r="D2355" s="5" t="inlineStr">
        <is>
          <t>Married</t>
        </is>
      </c>
      <c r="E2355" s="5" t="inlineStr">
        <is>
          <t>Bachelor</t>
        </is>
      </c>
      <c r="F2355" s="5" t="inlineStr">
        <is>
          <t>Sales</t>
        </is>
      </c>
      <c r="G2355" s="5" t="inlineStr">
        <is>
          <t>Business Development</t>
        </is>
      </c>
      <c r="H2355" s="5" t="inlineStr">
        <is>
          <t>2</t>
        </is>
      </c>
      <c r="I2355" s="5" t="inlineStr">
        <is>
          <t>Chennai</t>
        </is>
      </c>
      <c r="J2355" s="5" t="inlineStr">
        <is>
          <t>Full-Time</t>
        </is>
      </c>
      <c r="K2355" s="7" t="n">
        <v>45915</v>
      </c>
      <c r="L2355" s="7" t="inlineStr"/>
      <c r="M2355" s="5" t="inlineStr">
        <is>
          <t>Yes</t>
        </is>
      </c>
      <c r="N2355" s="5" t="inlineStr"/>
      <c r="O2355" s="8" t="inlineStr">
        <is>
          <t>72500</t>
        </is>
      </c>
      <c r="P2355" s="5" t="inlineStr">
        <is>
          <t>0</t>
        </is>
      </c>
      <c r="Q2355" s="5" t="inlineStr">
        <is>
          <t>2</t>
        </is>
      </c>
      <c r="R2355" s="5" t="inlineStr">
        <is>
          <t>5</t>
        </is>
      </c>
      <c r="S2355" s="5" t="inlineStr">
        <is>
          <t>3</t>
        </is>
      </c>
      <c r="T2355" s="5" t="inlineStr">
        <is>
          <t>2</t>
        </is>
      </c>
      <c r="U2355" s="5" t="inlineStr">
        <is>
          <t>OK</t>
        </is>
      </c>
    </row>
    <row r="2356">
      <c r="A2356" s="5" t="inlineStr">
        <is>
          <t>E00807</t>
        </is>
      </c>
      <c r="B2356" s="5" t="inlineStr">
        <is>
          <t>Male</t>
        </is>
      </c>
      <c r="C2356" s="6" t="inlineStr">
        <is>
          <t>31</t>
        </is>
      </c>
      <c r="D2356" s="5" t="inlineStr">
        <is>
          <t>Married</t>
        </is>
      </c>
      <c r="E2356" s="5" t="inlineStr">
        <is>
          <t>Master</t>
        </is>
      </c>
      <c r="F2356" s="5" t="inlineStr">
        <is>
          <t>Finance</t>
        </is>
      </c>
      <c r="G2356" s="5" t="inlineStr">
        <is>
          <t>Accountant</t>
        </is>
      </c>
      <c r="H2356" s="5" t="inlineStr">
        <is>
          <t>1</t>
        </is>
      </c>
      <c r="I2356" s="5" t="inlineStr">
        <is>
          <t>Hyderabad</t>
        </is>
      </c>
      <c r="J2356" s="5" t="inlineStr">
        <is>
          <t>Full-Time</t>
        </is>
      </c>
      <c r="K2356" s="7" t="n">
        <v>45229</v>
      </c>
      <c r="L2356" s="7" t="n">
        <v>45310</v>
      </c>
      <c r="M2356" s="5" t="inlineStr">
        <is>
          <t>No</t>
        </is>
      </c>
      <c r="N2356" s="5" t="inlineStr">
        <is>
          <t>Layoff</t>
        </is>
      </c>
      <c r="O2356" s="8" t="inlineStr">
        <is>
          <t>70500</t>
        </is>
      </c>
      <c r="P2356" s="5" t="inlineStr">
        <is>
          <t>0</t>
        </is>
      </c>
      <c r="Q2356" s="5" t="inlineStr">
        <is>
          <t>3</t>
        </is>
      </c>
      <c r="R2356" s="5" t="inlineStr">
        <is>
          <t>5</t>
        </is>
      </c>
      <c r="S2356" s="5" t="inlineStr">
        <is>
          <t>2</t>
        </is>
      </c>
      <c r="T2356" s="5" t="inlineStr">
        <is>
          <t>7</t>
        </is>
      </c>
      <c r="U2356" s="5" t="inlineStr">
        <is>
          <t>OK</t>
        </is>
      </c>
    </row>
    <row r="2357">
      <c r="A2357" s="5" t="inlineStr">
        <is>
          <t>E01553</t>
        </is>
      </c>
      <c r="B2357" s="5" t="inlineStr">
        <is>
          <t>Male</t>
        </is>
      </c>
      <c r="C2357" s="6" t="inlineStr">
        <is>
          <t>30</t>
        </is>
      </c>
      <c r="D2357" s="5" t="inlineStr">
        <is>
          <t>Single</t>
        </is>
      </c>
      <c r="E2357" s="5" t="inlineStr">
        <is>
          <t>PhD</t>
        </is>
      </c>
      <c r="F2357" s="5" t="inlineStr">
        <is>
          <t>Customer Support</t>
        </is>
      </c>
      <c r="G2357" s="5" t="inlineStr">
        <is>
          <t>Escalation Specialist</t>
        </is>
      </c>
      <c r="H2357" s="5" t="inlineStr">
        <is>
          <t>1</t>
        </is>
      </c>
      <c r="I2357" s="5" t="inlineStr">
        <is>
          <t>Hyderabad</t>
        </is>
      </c>
      <c r="J2357" s="5" t="inlineStr">
        <is>
          <t>Full-Time</t>
        </is>
      </c>
      <c r="K2357" s="7" t="n">
        <v>44901</v>
      </c>
      <c r="L2357" s="7" t="inlineStr"/>
      <c r="M2357" s="5" t="inlineStr">
        <is>
          <t>Yes</t>
        </is>
      </c>
      <c r="N2357" s="5" t="inlineStr"/>
      <c r="O2357" s="8" t="inlineStr">
        <is>
          <t>48000</t>
        </is>
      </c>
      <c r="P2357" s="5" t="inlineStr">
        <is>
          <t>0</t>
        </is>
      </c>
      <c r="Q2357" s="5" t="inlineStr">
        <is>
          <t>5</t>
        </is>
      </c>
      <c r="R2357" s="5" t="inlineStr">
        <is>
          <t>7</t>
        </is>
      </c>
      <c r="S2357" s="5" t="inlineStr">
        <is>
          <t>37</t>
        </is>
      </c>
      <c r="T2357" s="5" t="inlineStr">
        <is>
          <t>3</t>
        </is>
      </c>
      <c r="U2357" s="5" t="inlineStr">
        <is>
          <t>OK</t>
        </is>
      </c>
    </row>
    <row r="2358">
      <c r="A2358" s="5" t="inlineStr">
        <is>
          <t>E00306</t>
        </is>
      </c>
      <c r="B2358" s="5" t="inlineStr">
        <is>
          <t>Female</t>
        </is>
      </c>
      <c r="C2358" s="6" t="inlineStr">
        <is>
          <t>38</t>
        </is>
      </c>
      <c r="D2358" s="5" t="inlineStr">
        <is>
          <t>Married</t>
        </is>
      </c>
      <c r="E2358" s="5" t="inlineStr">
        <is>
          <t>High School</t>
        </is>
      </c>
      <c r="F2358" s="5" t="inlineStr">
        <is>
          <t>IT</t>
        </is>
      </c>
      <c r="G2358" s="5" t="inlineStr">
        <is>
          <t>Data Analyst</t>
        </is>
      </c>
      <c r="H2358" s="5" t="inlineStr">
        <is>
          <t>7</t>
        </is>
      </c>
      <c r="I2358" s="5" t="inlineStr">
        <is>
          <t>Chennai</t>
        </is>
      </c>
      <c r="J2358" s="5" t="inlineStr">
        <is>
          <t>Full-Time</t>
        </is>
      </c>
      <c r="K2358" s="7" t="n">
        <v>44665</v>
      </c>
      <c r="L2358" s="7" t="n">
        <v>44760</v>
      </c>
      <c r="M2358" s="5" t="inlineStr">
        <is>
          <t>No</t>
        </is>
      </c>
      <c r="N2358" s="5" t="inlineStr">
        <is>
          <t>Performance / Termination</t>
        </is>
      </c>
      <c r="O2358" s="8" t="inlineStr">
        <is>
          <t>235500</t>
        </is>
      </c>
      <c r="P2358" s="5" t="inlineStr">
        <is>
          <t>20</t>
        </is>
      </c>
      <c r="Q2358" s="5" t="inlineStr">
        <is>
          <t>2</t>
        </is>
      </c>
      <c r="R2358" s="5" t="inlineStr">
        <is>
          <t>6</t>
        </is>
      </c>
      <c r="S2358" s="5" t="inlineStr">
        <is>
          <t>3</t>
        </is>
      </c>
      <c r="T2358" s="5" t="inlineStr">
        <is>
          <t>0</t>
        </is>
      </c>
      <c r="U2358" s="5" t="inlineStr">
        <is>
          <t>OK</t>
        </is>
      </c>
    </row>
    <row r="2359">
      <c r="A2359" s="5" t="inlineStr">
        <is>
          <t>E02127</t>
        </is>
      </c>
      <c r="B2359" s="5" t="inlineStr">
        <is>
          <t>Male</t>
        </is>
      </c>
      <c r="C2359" s="6" t="inlineStr">
        <is>
          <t>30</t>
        </is>
      </c>
      <c r="D2359" s="5" t="inlineStr">
        <is>
          <t>Married</t>
        </is>
      </c>
      <c r="E2359" s="5" t="inlineStr">
        <is>
          <t>Bachelor</t>
        </is>
      </c>
      <c r="F2359" s="5" t="inlineStr">
        <is>
          <t>IT</t>
        </is>
      </c>
      <c r="G2359" s="5" t="inlineStr">
        <is>
          <t>DevOps Engineer</t>
        </is>
      </c>
      <c r="H2359" s="5" t="inlineStr">
        <is>
          <t>1</t>
        </is>
      </c>
      <c r="I2359" s="5" t="inlineStr">
        <is>
          <t>Bengaluru</t>
        </is>
      </c>
      <c r="J2359" s="5" t="inlineStr">
        <is>
          <t>Full-Time</t>
        </is>
      </c>
      <c r="K2359" s="7" t="n">
        <v>44809</v>
      </c>
      <c r="L2359" s="7" t="n">
        <v>44941</v>
      </c>
      <c r="M2359" s="5" t="inlineStr">
        <is>
          <t>No</t>
        </is>
      </c>
      <c r="N2359" s="5" t="inlineStr">
        <is>
          <t>Resigned</t>
        </is>
      </c>
      <c r="O2359" s="8" t="inlineStr">
        <is>
          <t>142000</t>
        </is>
      </c>
      <c r="P2359" s="5" t="inlineStr">
        <is>
          <t>0</t>
        </is>
      </c>
      <c r="Q2359" s="5" t="inlineStr">
        <is>
          <t>3</t>
        </is>
      </c>
      <c r="R2359" s="5" t="inlineStr">
        <is>
          <t>5</t>
        </is>
      </c>
      <c r="S2359" s="5" t="inlineStr">
        <is>
          <t>4</t>
        </is>
      </c>
      <c r="T2359" s="5" t="inlineStr">
        <is>
          <t>2</t>
        </is>
      </c>
      <c r="U2359" s="5" t="inlineStr">
        <is>
          <t>OK</t>
        </is>
      </c>
    </row>
    <row r="2360">
      <c r="A2360" s="5" t="inlineStr">
        <is>
          <t>E02427</t>
        </is>
      </c>
      <c r="B2360" s="5" t="inlineStr">
        <is>
          <t>Male</t>
        </is>
      </c>
      <c r="C2360" s="6" t="inlineStr">
        <is>
          <t>39</t>
        </is>
      </c>
      <c r="D2360" s="5" t="inlineStr">
        <is>
          <t>Married</t>
        </is>
      </c>
      <c r="E2360" s="5" t="inlineStr">
        <is>
          <t>PhD</t>
        </is>
      </c>
      <c r="F2360" s="5" t="inlineStr">
        <is>
          <t>Operations</t>
        </is>
      </c>
      <c r="G2360" s="5" t="inlineStr">
        <is>
          <t>Logistics Coordinator</t>
        </is>
      </c>
      <c r="H2360" s="5" t="inlineStr">
        <is>
          <t>4</t>
        </is>
      </c>
      <c r="I2360" s="5" t="inlineStr">
        <is>
          <t>Delhi</t>
        </is>
      </c>
      <c r="J2360" s="5" t="inlineStr">
        <is>
          <t>Full-Time</t>
        </is>
      </c>
      <c r="K2360" s="7" t="n">
        <v>43959</v>
      </c>
      <c r="L2360" s="7" t="inlineStr"/>
      <c r="M2360" s="5" t="inlineStr">
        <is>
          <t>Yes</t>
        </is>
      </c>
      <c r="N2360" s="5" t="inlineStr"/>
      <c r="O2360" s="8" t="inlineStr">
        <is>
          <t>137000</t>
        </is>
      </c>
      <c r="P2360" s="5" t="inlineStr">
        <is>
          <t>10</t>
        </is>
      </c>
      <c r="Q2360" s="5" t="inlineStr">
        <is>
          <t>4</t>
        </is>
      </c>
      <c r="R2360" s="5" t="inlineStr">
        <is>
          <t>6</t>
        </is>
      </c>
      <c r="S2360" s="5" t="inlineStr">
        <is>
          <t>68</t>
        </is>
      </c>
      <c r="T2360" s="5" t="inlineStr">
        <is>
          <t>6</t>
        </is>
      </c>
      <c r="U2360" s="5" t="inlineStr">
        <is>
          <t>OK</t>
        </is>
      </c>
    </row>
    <row r="2361">
      <c r="A2361" s="5" t="inlineStr">
        <is>
          <t>E00530</t>
        </is>
      </c>
      <c r="B2361" s="5" t="inlineStr">
        <is>
          <t>Female</t>
        </is>
      </c>
      <c r="C2361" s="6" t="inlineStr">
        <is>
          <t>28</t>
        </is>
      </c>
      <c r="D2361" s="5" t="inlineStr">
        <is>
          <t>Married</t>
        </is>
      </c>
      <c r="E2361" s="5" t="inlineStr">
        <is>
          <t>Master</t>
        </is>
      </c>
      <c r="F2361" s="5" t="inlineStr">
        <is>
          <t>Operations</t>
        </is>
      </c>
      <c r="G2361" s="5" t="inlineStr">
        <is>
          <t>Operations Analyst</t>
        </is>
      </c>
      <c r="H2361" s="5" t="inlineStr">
        <is>
          <t>3</t>
        </is>
      </c>
      <c r="I2361" s="5" t="inlineStr">
        <is>
          <t>Delhi</t>
        </is>
      </c>
      <c r="J2361" s="5" t="inlineStr">
        <is>
          <t>Full-Time</t>
        </is>
      </c>
      <c r="K2361" s="7" t="n">
        <v>45424</v>
      </c>
      <c r="L2361" s="7" t="inlineStr"/>
      <c r="M2361" s="5" t="inlineStr">
        <is>
          <t>Yes</t>
        </is>
      </c>
      <c r="N2361" s="5" t="inlineStr"/>
      <c r="O2361" s="8" t="inlineStr">
        <is>
          <t>76500</t>
        </is>
      </c>
      <c r="P2361" s="5" t="inlineStr">
        <is>
          <t>0</t>
        </is>
      </c>
      <c r="Q2361" s="5" t="inlineStr">
        <is>
          <t>3</t>
        </is>
      </c>
      <c r="R2361" s="5" t="inlineStr">
        <is>
          <t>5</t>
        </is>
      </c>
      <c r="S2361" s="5" t="inlineStr">
        <is>
          <t>19</t>
        </is>
      </c>
      <c r="T2361" s="5" t="inlineStr">
        <is>
          <t>1</t>
        </is>
      </c>
      <c r="U2361" s="5" t="inlineStr">
        <is>
          <t>OK</t>
        </is>
      </c>
    </row>
    <row r="2362">
      <c r="A2362" s="5" t="inlineStr">
        <is>
          <t>E01562</t>
        </is>
      </c>
      <c r="B2362" s="5" t="inlineStr">
        <is>
          <t>Female</t>
        </is>
      </c>
      <c r="C2362" s="6" t="inlineStr">
        <is>
          <t>31</t>
        </is>
      </c>
      <c r="D2362" s="5" t="inlineStr">
        <is>
          <t>Married</t>
        </is>
      </c>
      <c r="E2362" s="5" t="inlineStr">
        <is>
          <t>Bachelor</t>
        </is>
      </c>
      <c r="F2362" s="5" t="inlineStr">
        <is>
          <t>Operations</t>
        </is>
      </c>
      <c r="G2362" s="5" t="inlineStr">
        <is>
          <t>Quality Analyst</t>
        </is>
      </c>
      <c r="H2362" s="5" t="inlineStr">
        <is>
          <t>2</t>
        </is>
      </c>
      <c r="I2362" s="5" t="inlineStr">
        <is>
          <t>Chennai</t>
        </is>
      </c>
      <c r="J2362" s="5" t="inlineStr">
        <is>
          <t>Full-Time</t>
        </is>
      </c>
      <c r="K2362" s="7" t="n">
        <v>45745</v>
      </c>
      <c r="L2362" s="7" t="n">
        <v>45861</v>
      </c>
      <c r="M2362" s="5" t="inlineStr">
        <is>
          <t>No</t>
        </is>
      </c>
      <c r="N2362" s="5" t="inlineStr">
        <is>
          <t>Resigned</t>
        </is>
      </c>
      <c r="O2362" s="8" t="inlineStr">
        <is>
          <t>102500</t>
        </is>
      </c>
      <c r="P2362" s="5" t="inlineStr">
        <is>
          <t>0</t>
        </is>
      </c>
      <c r="Q2362" s="5" t="inlineStr">
        <is>
          <t>4</t>
        </is>
      </c>
      <c r="R2362" s="5" t="inlineStr">
        <is>
          <t>5</t>
        </is>
      </c>
      <c r="S2362" s="5" t="inlineStr">
        <is>
          <t>3</t>
        </is>
      </c>
      <c r="T2362" s="5" t="inlineStr">
        <is>
          <t>3</t>
        </is>
      </c>
      <c r="U2362" s="5" t="inlineStr">
        <is>
          <t>OK</t>
        </is>
      </c>
    </row>
    <row r="2363">
      <c r="A2363" s="5" t="inlineStr">
        <is>
          <t>E00967</t>
        </is>
      </c>
      <c r="B2363" s="5" t="inlineStr">
        <is>
          <t>Male</t>
        </is>
      </c>
      <c r="C2363" s="6" t="inlineStr">
        <is>
          <t>30</t>
        </is>
      </c>
      <c r="D2363" s="5" t="inlineStr">
        <is>
          <t>Married</t>
        </is>
      </c>
      <c r="E2363" s="5" t="inlineStr">
        <is>
          <t>Bachelor</t>
        </is>
      </c>
      <c r="F2363" s="5" t="inlineStr">
        <is>
          <t>Customer Support</t>
        </is>
      </c>
      <c r="G2363" s="5" t="inlineStr">
        <is>
          <t>Support Agent</t>
        </is>
      </c>
      <c r="H2363" s="5" t="inlineStr">
        <is>
          <t>2</t>
        </is>
      </c>
      <c r="I2363" s="5" t="inlineStr">
        <is>
          <t>Delhi</t>
        </is>
      </c>
      <c r="J2363" s="5" t="inlineStr">
        <is>
          <t>Full-Time</t>
        </is>
      </c>
      <c r="K2363" s="7" t="n">
        <v>45709</v>
      </c>
      <c r="L2363" s="7" t="inlineStr"/>
      <c r="M2363" s="5" t="inlineStr">
        <is>
          <t>Yes</t>
        </is>
      </c>
      <c r="N2363" s="5" t="inlineStr"/>
      <c r="O2363" s="8" t="inlineStr">
        <is>
          <t>51000</t>
        </is>
      </c>
      <c r="P2363" s="5" t="inlineStr">
        <is>
          <t>0</t>
        </is>
      </c>
      <c r="Q2363" s="5" t="inlineStr">
        <is>
          <t>2</t>
        </is>
      </c>
      <c r="R2363" s="5" t="inlineStr">
        <is>
          <t>9</t>
        </is>
      </c>
      <c r="S2363" s="5" t="inlineStr">
        <is>
          <t>10</t>
        </is>
      </c>
      <c r="T2363" s="5" t="inlineStr">
        <is>
          <t>5</t>
        </is>
      </c>
      <c r="U2363" s="5" t="inlineStr">
        <is>
          <t>OK</t>
        </is>
      </c>
    </row>
    <row r="2364">
      <c r="A2364" s="5" t="inlineStr">
        <is>
          <t>E01693</t>
        </is>
      </c>
      <c r="B2364" s="5" t="inlineStr">
        <is>
          <t>Male</t>
        </is>
      </c>
      <c r="C2364" s="6" t="inlineStr">
        <is>
          <t>30</t>
        </is>
      </c>
      <c r="D2364" s="5" t="inlineStr">
        <is>
          <t>Married</t>
        </is>
      </c>
      <c r="E2364" s="5" t="inlineStr">
        <is>
          <t>High School</t>
        </is>
      </c>
      <c r="F2364" s="5" t="inlineStr">
        <is>
          <t>Marketing</t>
        </is>
      </c>
      <c r="G2364" s="5" t="inlineStr">
        <is>
          <t>Marketing Analyst</t>
        </is>
      </c>
      <c r="H2364" s="5" t="inlineStr">
        <is>
          <t>1</t>
        </is>
      </c>
      <c r="I2364" s="5" t="inlineStr">
        <is>
          <t>Chennai</t>
        </is>
      </c>
      <c r="J2364" s="5" t="inlineStr">
        <is>
          <t>Full-Time</t>
        </is>
      </c>
      <c r="K2364" s="7" t="n">
        <v>44119</v>
      </c>
      <c r="L2364" s="7" t="n">
        <v>44157</v>
      </c>
      <c r="M2364" s="5" t="inlineStr">
        <is>
          <t>No</t>
        </is>
      </c>
      <c r="N2364" s="5" t="inlineStr">
        <is>
          <t>Resigned</t>
        </is>
      </c>
      <c r="O2364" s="8" t="inlineStr">
        <is>
          <t>85500</t>
        </is>
      </c>
      <c r="P2364" s="5" t="inlineStr">
        <is>
          <t>0</t>
        </is>
      </c>
      <c r="Q2364" s="5" t="inlineStr">
        <is>
          <t>3</t>
        </is>
      </c>
      <c r="R2364" s="5" t="inlineStr">
        <is>
          <t>4</t>
        </is>
      </c>
      <c r="S2364" s="5" t="inlineStr">
        <is>
          <t>1</t>
        </is>
      </c>
      <c r="T2364" s="5" t="inlineStr">
        <is>
          <t>1</t>
        </is>
      </c>
      <c r="U2364" s="5" t="inlineStr">
        <is>
          <t>OK</t>
        </is>
      </c>
    </row>
    <row r="2365">
      <c r="A2365" s="5" t="inlineStr">
        <is>
          <t>E00540</t>
        </is>
      </c>
      <c r="B2365" s="5" t="inlineStr">
        <is>
          <t>Female</t>
        </is>
      </c>
      <c r="C2365" s="6" t="inlineStr">
        <is>
          <t>35</t>
        </is>
      </c>
      <c r="D2365" s="5" t="inlineStr">
        <is>
          <t>Married</t>
        </is>
      </c>
      <c r="E2365" s="5" t="inlineStr">
        <is>
          <t>Diploma</t>
        </is>
      </c>
      <c r="F2365" s="5" t="inlineStr">
        <is>
          <t>Finance</t>
        </is>
      </c>
      <c r="G2365" s="5" t="inlineStr">
        <is>
          <t>Accountant</t>
        </is>
      </c>
      <c r="H2365" s="5" t="inlineStr">
        <is>
          <t>3</t>
        </is>
      </c>
      <c r="I2365" s="5" t="inlineStr">
        <is>
          <t>Mumbai</t>
        </is>
      </c>
      <c r="J2365" s="5" t="inlineStr">
        <is>
          <t>Full-Time</t>
        </is>
      </c>
      <c r="K2365" s="7" t="n">
        <v>45472</v>
      </c>
      <c r="L2365" s="7" t="inlineStr"/>
      <c r="M2365" s="5" t="inlineStr">
        <is>
          <t>Yes</t>
        </is>
      </c>
      <c r="N2365" s="5" t="inlineStr"/>
      <c r="O2365" s="8" t="inlineStr">
        <is>
          <t>139500</t>
        </is>
      </c>
      <c r="P2365" s="5" t="inlineStr">
        <is>
          <t>0</t>
        </is>
      </c>
      <c r="Q2365" s="5" t="inlineStr">
        <is>
          <t>4</t>
        </is>
      </c>
      <c r="R2365" s="5" t="inlineStr">
        <is>
          <t>5</t>
        </is>
      </c>
      <c r="S2365" s="5" t="inlineStr">
        <is>
          <t>18</t>
        </is>
      </c>
      <c r="T2365" s="5" t="inlineStr">
        <is>
          <t>8</t>
        </is>
      </c>
      <c r="U2365" s="5" t="inlineStr">
        <is>
          <t>OK</t>
        </is>
      </c>
    </row>
    <row r="2366">
      <c r="A2366" s="5" t="inlineStr">
        <is>
          <t>E02484</t>
        </is>
      </c>
      <c r="B2366" s="5" t="inlineStr">
        <is>
          <t>Female</t>
        </is>
      </c>
      <c r="C2366" s="6" t="inlineStr">
        <is>
          <t>32</t>
        </is>
      </c>
      <c r="D2366" s="5" t="inlineStr">
        <is>
          <t>Married</t>
        </is>
      </c>
      <c r="E2366" s="5" t="inlineStr">
        <is>
          <t>Diploma</t>
        </is>
      </c>
      <c r="F2366" s="5" t="inlineStr">
        <is>
          <t>Operations</t>
        </is>
      </c>
      <c r="G2366" s="5" t="inlineStr">
        <is>
          <t>Quality Analyst</t>
        </is>
      </c>
      <c r="H2366" s="5" t="inlineStr">
        <is>
          <t>1</t>
        </is>
      </c>
      <c r="I2366" s="5" t="inlineStr">
        <is>
          <t>Delhi</t>
        </is>
      </c>
      <c r="J2366" s="5" t="inlineStr">
        <is>
          <t>Full-Time</t>
        </is>
      </c>
      <c r="K2366" s="7" t="n">
        <v>45022</v>
      </c>
      <c r="L2366" s="7" t="inlineStr"/>
      <c r="M2366" s="5" t="inlineStr">
        <is>
          <t>Yes</t>
        </is>
      </c>
      <c r="N2366" s="5" t="inlineStr"/>
      <c r="O2366" s="8" t="inlineStr">
        <is>
          <t>65500</t>
        </is>
      </c>
      <c r="P2366" s="5" t="inlineStr">
        <is>
          <t>0</t>
        </is>
      </c>
      <c r="Q2366" s="5" t="inlineStr">
        <is>
          <t>3</t>
        </is>
      </c>
      <c r="R2366" s="5" t="inlineStr">
        <is>
          <t>6</t>
        </is>
      </c>
      <c r="S2366" s="5" t="inlineStr">
        <is>
          <t>33</t>
        </is>
      </c>
      <c r="T2366" s="5" t="inlineStr">
        <is>
          <t>14</t>
        </is>
      </c>
      <c r="U2366" s="5" t="inlineStr">
        <is>
          <t>OK</t>
        </is>
      </c>
    </row>
    <row r="2367">
      <c r="A2367" s="5" t="inlineStr">
        <is>
          <t>E02854</t>
        </is>
      </c>
      <c r="B2367" s="5" t="inlineStr">
        <is>
          <t>Female</t>
        </is>
      </c>
      <c r="C2367" s="6" t="inlineStr">
        <is>
          <t>34</t>
        </is>
      </c>
      <c r="D2367" s="5" t="inlineStr">
        <is>
          <t>Married</t>
        </is>
      </c>
      <c r="E2367" s="5" t="inlineStr">
        <is>
          <t>PhD</t>
        </is>
      </c>
      <c r="F2367" s="5" t="inlineStr">
        <is>
          <t>IT</t>
        </is>
      </c>
      <c r="G2367" s="5" t="inlineStr">
        <is>
          <t>DevOps Engineer</t>
        </is>
      </c>
      <c r="H2367" s="5" t="inlineStr">
        <is>
          <t>3</t>
        </is>
      </c>
      <c r="I2367" s="5" t="inlineStr">
        <is>
          <t>Remote</t>
        </is>
      </c>
      <c r="J2367" s="5" t="inlineStr">
        <is>
          <t>Full-Time</t>
        </is>
      </c>
      <c r="K2367" s="7" t="n">
        <v>45460</v>
      </c>
      <c r="L2367" s="7" t="inlineStr"/>
      <c r="M2367" s="5" t="inlineStr">
        <is>
          <t>Yes</t>
        </is>
      </c>
      <c r="N2367" s="5" t="inlineStr"/>
      <c r="O2367" s="8" t="inlineStr">
        <is>
          <t>135500</t>
        </is>
      </c>
      <c r="P2367" s="5" t="inlineStr">
        <is>
          <t>5</t>
        </is>
      </c>
      <c r="Q2367" s="5" t="inlineStr">
        <is>
          <t>5</t>
        </is>
      </c>
      <c r="R2367" s="5" t="inlineStr">
        <is>
          <t>10</t>
        </is>
      </c>
      <c r="S2367" s="5" t="inlineStr">
        <is>
          <t>18</t>
        </is>
      </c>
      <c r="T2367" s="5" t="inlineStr">
        <is>
          <t>3</t>
        </is>
      </c>
      <c r="U2367" s="5" t="inlineStr">
        <is>
          <t>OK</t>
        </is>
      </c>
    </row>
    <row r="2368">
      <c r="A2368" s="5" t="inlineStr">
        <is>
          <t>E02739</t>
        </is>
      </c>
      <c r="B2368" s="5" t="inlineStr">
        <is>
          <t>Female</t>
        </is>
      </c>
      <c r="C2368" s="6" t="inlineStr">
        <is>
          <t>30</t>
        </is>
      </c>
      <c r="D2368" s="5" t="inlineStr">
        <is>
          <t>Single</t>
        </is>
      </c>
      <c r="E2368" s="5" t="inlineStr">
        <is>
          <t>Bachelor</t>
        </is>
      </c>
      <c r="F2368" s="5" t="inlineStr">
        <is>
          <t>Operations</t>
        </is>
      </c>
      <c r="G2368" s="5" t="inlineStr">
        <is>
          <t>Operations Analyst</t>
        </is>
      </c>
      <c r="H2368" s="5" t="inlineStr">
        <is>
          <t>1</t>
        </is>
      </c>
      <c r="I2368" s="5" t="inlineStr">
        <is>
          <t>Mumbai</t>
        </is>
      </c>
      <c r="J2368" s="5" t="inlineStr">
        <is>
          <t>Full-Time</t>
        </is>
      </c>
      <c r="K2368" s="7" t="n">
        <v>45717</v>
      </c>
      <c r="L2368" s="7" t="n">
        <v>45786</v>
      </c>
      <c r="M2368" s="5" t="inlineStr">
        <is>
          <t>No</t>
        </is>
      </c>
      <c r="N2368" s="5" t="inlineStr">
        <is>
          <t>Resigned</t>
        </is>
      </c>
      <c r="O2368" s="8" t="inlineStr">
        <is>
          <t>68000</t>
        </is>
      </c>
      <c r="P2368" s="5" t="inlineStr">
        <is>
          <t>0</t>
        </is>
      </c>
      <c r="Q2368" s="5" t="inlineStr">
        <is>
          <t>4</t>
        </is>
      </c>
      <c r="R2368" s="5" t="inlineStr">
        <is>
          <t>5</t>
        </is>
      </c>
      <c r="S2368" s="5" t="inlineStr">
        <is>
          <t>2</t>
        </is>
      </c>
      <c r="T2368" s="5" t="inlineStr">
        <is>
          <t>9</t>
        </is>
      </c>
      <c r="U2368" s="5" t="inlineStr">
        <is>
          <t>OK</t>
        </is>
      </c>
    </row>
    <row r="2369">
      <c r="A2369" s="5" t="inlineStr">
        <is>
          <t>E02774</t>
        </is>
      </c>
      <c r="B2369" s="5" t="inlineStr">
        <is>
          <t>Female</t>
        </is>
      </c>
      <c r="C2369" s="6" t="inlineStr">
        <is>
          <t>37</t>
        </is>
      </c>
      <c r="D2369" s="5" t="inlineStr">
        <is>
          <t>Single</t>
        </is>
      </c>
      <c r="E2369" s="5" t="inlineStr">
        <is>
          <t>Diploma</t>
        </is>
      </c>
      <c r="F2369" s="5" t="inlineStr">
        <is>
          <t>Operations</t>
        </is>
      </c>
      <c r="G2369" s="5" t="inlineStr">
        <is>
          <t>Operations Analyst</t>
        </is>
      </c>
      <c r="H2369" s="5" t="inlineStr">
        <is>
          <t>4</t>
        </is>
      </c>
      <c r="I2369" s="5" t="inlineStr">
        <is>
          <t>Mumbai</t>
        </is>
      </c>
      <c r="J2369" s="5" t="inlineStr">
        <is>
          <t>Full-Time</t>
        </is>
      </c>
      <c r="K2369" s="7" t="n">
        <v>44581</v>
      </c>
      <c r="L2369" s="7" t="inlineStr"/>
      <c r="M2369" s="5" t="inlineStr">
        <is>
          <t>Yes</t>
        </is>
      </c>
      <c r="N2369" s="5" t="inlineStr"/>
      <c r="O2369" s="8" t="inlineStr">
        <is>
          <t>139500</t>
        </is>
      </c>
      <c r="P2369" s="5" t="inlineStr">
        <is>
          <t>10</t>
        </is>
      </c>
      <c r="Q2369" s="5" t="inlineStr">
        <is>
          <t>3</t>
        </is>
      </c>
      <c r="R2369" s="5" t="inlineStr">
        <is>
          <t>5</t>
        </is>
      </c>
      <c r="S2369" s="5" t="inlineStr">
        <is>
          <t>48</t>
        </is>
      </c>
      <c r="T2369" s="5" t="inlineStr">
        <is>
          <t>15</t>
        </is>
      </c>
      <c r="U2369" s="5" t="inlineStr">
        <is>
          <t>OK</t>
        </is>
      </c>
    </row>
    <row r="2370">
      <c r="A2370" s="5" t="inlineStr">
        <is>
          <t>E00353</t>
        </is>
      </c>
      <c r="B2370" s="5" t="inlineStr">
        <is>
          <t>Female</t>
        </is>
      </c>
      <c r="C2370" s="6" t="inlineStr">
        <is>
          <t>36</t>
        </is>
      </c>
      <c r="D2370" s="5" t="inlineStr">
        <is>
          <t>Married</t>
        </is>
      </c>
      <c r="E2370" s="5" t="inlineStr">
        <is>
          <t>High School</t>
        </is>
      </c>
      <c r="F2370" s="5" t="inlineStr">
        <is>
          <t>Customer Support</t>
        </is>
      </c>
      <c r="G2370" s="5" t="inlineStr">
        <is>
          <t>Support Agent</t>
        </is>
      </c>
      <c r="H2370" s="5" t="inlineStr">
        <is>
          <t>2</t>
        </is>
      </c>
      <c r="I2370" s="5" t="inlineStr">
        <is>
          <t>Bengaluru</t>
        </is>
      </c>
      <c r="J2370" s="5" t="inlineStr">
        <is>
          <t>Full-Time</t>
        </is>
      </c>
      <c r="K2370" s="7" t="n">
        <v>44590</v>
      </c>
      <c r="L2370" s="7" t="inlineStr"/>
      <c r="M2370" s="5" t="inlineStr">
        <is>
          <t>Yes</t>
        </is>
      </c>
      <c r="N2370" s="5" t="inlineStr"/>
      <c r="O2370" s="8" t="inlineStr">
        <is>
          <t>66000</t>
        </is>
      </c>
      <c r="P2370" s="5" t="inlineStr">
        <is>
          <t>20</t>
        </is>
      </c>
      <c r="Q2370" s="5" t="inlineStr">
        <is>
          <t>5</t>
        </is>
      </c>
      <c r="R2370" s="5" t="inlineStr">
        <is>
          <t>5</t>
        </is>
      </c>
      <c r="S2370" s="5" t="inlineStr">
        <is>
          <t>47</t>
        </is>
      </c>
      <c r="T2370" s="5" t="inlineStr">
        <is>
          <t>8</t>
        </is>
      </c>
      <c r="U2370" s="5" t="inlineStr">
        <is>
          <t>OK</t>
        </is>
      </c>
    </row>
    <row r="2371">
      <c r="A2371" s="5" t="inlineStr">
        <is>
          <t>E00043</t>
        </is>
      </c>
      <c r="B2371" s="5" t="inlineStr">
        <is>
          <t>Male</t>
        </is>
      </c>
      <c r="C2371" s="6" t="inlineStr">
        <is>
          <t>36</t>
        </is>
      </c>
      <c r="D2371" s="5" t="inlineStr">
        <is>
          <t>Married</t>
        </is>
      </c>
      <c r="E2371" s="5" t="inlineStr">
        <is>
          <t>Diploma</t>
        </is>
      </c>
      <c r="F2371" s="5" t="inlineStr">
        <is>
          <t>Human Resources</t>
        </is>
      </c>
      <c r="G2371" s="5" t="inlineStr">
        <is>
          <t>HR Analyst</t>
        </is>
      </c>
      <c r="H2371" s="5" t="inlineStr">
        <is>
          <t>5</t>
        </is>
      </c>
      <c r="I2371" s="5" t="inlineStr">
        <is>
          <t>Remote</t>
        </is>
      </c>
      <c r="J2371" s="5" t="inlineStr">
        <is>
          <t>Full-Time</t>
        </is>
      </c>
      <c r="K2371" s="7" t="n">
        <v>45832</v>
      </c>
      <c r="L2371" s="7" t="inlineStr"/>
      <c r="M2371" s="5" t="inlineStr">
        <is>
          <t>Yes</t>
        </is>
      </c>
      <c r="N2371" s="5" t="inlineStr"/>
      <c r="O2371" s="8" t="inlineStr">
        <is>
          <t>100500</t>
        </is>
      </c>
      <c r="P2371" s="5" t="inlineStr">
        <is>
          <t>5</t>
        </is>
      </c>
      <c r="Q2371" s="5" t="inlineStr">
        <is>
          <t>3</t>
        </is>
      </c>
      <c r="R2371" s="5" t="inlineStr">
        <is>
          <t>5</t>
        </is>
      </c>
      <c r="S2371" s="5" t="inlineStr">
        <is>
          <t>6</t>
        </is>
      </c>
      <c r="T2371" s="5" t="inlineStr">
        <is>
          <t>0</t>
        </is>
      </c>
      <c r="U2371" s="5" t="inlineStr">
        <is>
          <t>OK</t>
        </is>
      </c>
    </row>
    <row r="2372">
      <c r="A2372" s="5" t="inlineStr">
        <is>
          <t>E00645</t>
        </is>
      </c>
      <c r="B2372" s="5" t="inlineStr">
        <is>
          <t>Female</t>
        </is>
      </c>
      <c r="C2372" s="6" t="inlineStr">
        <is>
          <t>24</t>
        </is>
      </c>
      <c r="D2372" s="5" t="inlineStr">
        <is>
          <t>Divorced</t>
        </is>
      </c>
      <c r="E2372" s="5" t="inlineStr">
        <is>
          <t>Diploma</t>
        </is>
      </c>
      <c r="F2372" s="5" t="inlineStr">
        <is>
          <t>IT</t>
        </is>
      </c>
      <c r="G2372" s="5" t="inlineStr">
        <is>
          <t>Data Analyst</t>
        </is>
      </c>
      <c r="H2372" s="5" t="inlineStr">
        <is>
          <t>1</t>
        </is>
      </c>
      <c r="I2372" s="5" t="inlineStr">
        <is>
          <t>Mumbai</t>
        </is>
      </c>
      <c r="J2372" s="5" t="inlineStr">
        <is>
          <t>Full-Time</t>
        </is>
      </c>
      <c r="K2372" s="7" t="n">
        <v>45369</v>
      </c>
      <c r="L2372" s="7" t="inlineStr"/>
      <c r="M2372" s="5" t="inlineStr">
        <is>
          <t>Yes</t>
        </is>
      </c>
      <c r="N2372" s="5" t="inlineStr"/>
      <c r="O2372" s="8" t="inlineStr">
        <is>
          <t>82500</t>
        </is>
      </c>
      <c r="P2372" s="5" t="inlineStr">
        <is>
          <t>0</t>
        </is>
      </c>
      <c r="Q2372" s="5" t="inlineStr">
        <is>
          <t>4</t>
        </is>
      </c>
      <c r="R2372" s="5" t="inlineStr">
        <is>
          <t>7</t>
        </is>
      </c>
      <c r="S2372" s="5" t="inlineStr">
        <is>
          <t>21</t>
        </is>
      </c>
      <c r="T2372" s="5" t="inlineStr">
        <is>
          <t>0</t>
        </is>
      </c>
      <c r="U2372" s="5" t="inlineStr">
        <is>
          <t>OK</t>
        </is>
      </c>
    </row>
    <row r="2373">
      <c r="A2373" s="5" t="inlineStr">
        <is>
          <t>E01697</t>
        </is>
      </c>
      <c r="B2373" s="5" t="inlineStr">
        <is>
          <t>Male</t>
        </is>
      </c>
      <c r="C2373" s="6" t="inlineStr">
        <is>
          <t>41</t>
        </is>
      </c>
      <c r="D2373" s="5" t="inlineStr">
        <is>
          <t>Married</t>
        </is>
      </c>
      <c r="E2373" s="5" t="inlineStr">
        <is>
          <t>Bachelor</t>
        </is>
      </c>
      <c r="F2373" s="5" t="inlineStr">
        <is>
          <t>Research &amp; Development</t>
        </is>
      </c>
      <c r="G2373" s="5" t="inlineStr">
        <is>
          <t>Research Scientist</t>
        </is>
      </c>
      <c r="H2373" s="5" t="inlineStr">
        <is>
          <t>5</t>
        </is>
      </c>
      <c r="I2373" s="5" t="inlineStr">
        <is>
          <t>Hyderabad</t>
        </is>
      </c>
      <c r="J2373" s="5" t="inlineStr">
        <is>
          <t>Full-Time</t>
        </is>
      </c>
      <c r="K2373" s="7" t="n">
        <v>45100</v>
      </c>
      <c r="L2373" s="7" t="inlineStr"/>
      <c r="M2373" s="5" t="inlineStr">
        <is>
          <t>Yes</t>
        </is>
      </c>
      <c r="N2373" s="5" t="inlineStr"/>
      <c r="O2373" s="8" t="inlineStr">
        <is>
          <t>224500</t>
        </is>
      </c>
      <c r="P2373" s="5" t="inlineStr">
        <is>
          <t>5</t>
        </is>
      </c>
      <c r="Q2373" s="5" t="inlineStr">
        <is>
          <t>4</t>
        </is>
      </c>
      <c r="R2373" s="5" t="inlineStr">
        <is>
          <t>2</t>
        </is>
      </c>
      <c r="S2373" s="5" t="inlineStr">
        <is>
          <t>30</t>
        </is>
      </c>
      <c r="T2373" s="5" t="inlineStr">
        <is>
          <t>0</t>
        </is>
      </c>
      <c r="U2373" s="5" t="inlineStr">
        <is>
          <t>OK</t>
        </is>
      </c>
    </row>
    <row r="2374">
      <c r="A2374" s="5" t="inlineStr">
        <is>
          <t>E01523</t>
        </is>
      </c>
      <c r="B2374" s="5" t="inlineStr">
        <is>
          <t>Male</t>
        </is>
      </c>
      <c r="C2374" s="6" t="inlineStr">
        <is>
          <t>28</t>
        </is>
      </c>
      <c r="D2374" s="5" t="inlineStr">
        <is>
          <t>Divorced</t>
        </is>
      </c>
      <c r="E2374" s="5" t="inlineStr">
        <is>
          <t>PhD</t>
        </is>
      </c>
      <c r="F2374" s="5" t="inlineStr">
        <is>
          <t>Operations</t>
        </is>
      </c>
      <c r="G2374" s="5" t="inlineStr">
        <is>
          <t>Logistics Coordinator</t>
        </is>
      </c>
      <c r="H2374" s="5" t="inlineStr">
        <is>
          <t>1</t>
        </is>
      </c>
      <c r="I2374" s="5" t="inlineStr">
        <is>
          <t>Chennai</t>
        </is>
      </c>
      <c r="J2374" s="5" t="inlineStr">
        <is>
          <t>Full-Time</t>
        </is>
      </c>
      <c r="K2374" s="7" t="n">
        <v>45811</v>
      </c>
      <c r="L2374" s="7" t="inlineStr"/>
      <c r="M2374" s="5" t="inlineStr">
        <is>
          <t>Yes</t>
        </is>
      </c>
      <c r="N2374" s="5" t="inlineStr"/>
      <c r="O2374" s="8" t="inlineStr">
        <is>
          <t>84000</t>
        </is>
      </c>
      <c r="P2374" s="5" t="inlineStr">
        <is>
          <t>5</t>
        </is>
      </c>
      <c r="Q2374" s="5" t="inlineStr">
        <is>
          <t>3</t>
        </is>
      </c>
      <c r="R2374" s="5" t="inlineStr">
        <is>
          <t>6</t>
        </is>
      </c>
      <c r="S2374" s="5" t="inlineStr">
        <is>
          <t>7</t>
        </is>
      </c>
      <c r="T2374" s="5" t="inlineStr">
        <is>
          <t>4</t>
        </is>
      </c>
      <c r="U2374" s="5" t="inlineStr">
        <is>
          <t>OK</t>
        </is>
      </c>
    </row>
    <row r="2375">
      <c r="A2375" s="5" t="inlineStr">
        <is>
          <t>E01579</t>
        </is>
      </c>
      <c r="B2375" s="5" t="inlineStr">
        <is>
          <t>Female</t>
        </is>
      </c>
      <c r="C2375" s="6" t="inlineStr">
        <is>
          <t>46</t>
        </is>
      </c>
      <c r="D2375" s="5" t="inlineStr">
        <is>
          <t>Single</t>
        </is>
      </c>
      <c r="E2375" s="5" t="inlineStr">
        <is>
          <t>Diploma</t>
        </is>
      </c>
      <c r="F2375" s="5" t="inlineStr">
        <is>
          <t>Customer Support</t>
        </is>
      </c>
      <c r="G2375" s="5" t="inlineStr">
        <is>
          <t>Support Lead</t>
        </is>
      </c>
      <c r="H2375" s="5" t="inlineStr">
        <is>
          <t>7</t>
        </is>
      </c>
      <c r="I2375" s="5" t="inlineStr">
        <is>
          <t>Mumbai</t>
        </is>
      </c>
      <c r="J2375" s="5" t="inlineStr">
        <is>
          <t>Full-Time</t>
        </is>
      </c>
      <c r="K2375" s="7" t="n">
        <v>45398</v>
      </c>
      <c r="L2375" s="7" t="inlineStr"/>
      <c r="M2375" s="5" t="inlineStr">
        <is>
          <t>Yes</t>
        </is>
      </c>
      <c r="N2375" s="5" t="inlineStr"/>
      <c r="O2375" s="8" t="inlineStr">
        <is>
          <t>87000</t>
        </is>
      </c>
      <c r="P2375" s="5" t="inlineStr">
        <is>
          <t>0</t>
        </is>
      </c>
      <c r="Q2375" s="5" t="inlineStr">
        <is>
          <t>1</t>
        </is>
      </c>
      <c r="R2375" s="5" t="inlineStr">
        <is>
          <t>4</t>
        </is>
      </c>
      <c r="S2375" s="5" t="inlineStr">
        <is>
          <t>20</t>
        </is>
      </c>
      <c r="T2375" s="5" t="inlineStr">
        <is>
          <t>7</t>
        </is>
      </c>
      <c r="U2375" s="5" t="inlineStr">
        <is>
          <t>OK</t>
        </is>
      </c>
    </row>
    <row r="2376">
      <c r="A2376" s="5" t="inlineStr">
        <is>
          <t>E02587</t>
        </is>
      </c>
      <c r="B2376" s="5" t="inlineStr">
        <is>
          <t>Female</t>
        </is>
      </c>
      <c r="C2376" s="6" t="inlineStr">
        <is>
          <t>27</t>
        </is>
      </c>
      <c r="D2376" s="5" t="inlineStr">
        <is>
          <t>Married</t>
        </is>
      </c>
      <c r="E2376" s="5" t="inlineStr">
        <is>
          <t>Master</t>
        </is>
      </c>
      <c r="F2376" s="5" t="inlineStr">
        <is>
          <t>Finance</t>
        </is>
      </c>
      <c r="G2376" s="5" t="inlineStr">
        <is>
          <t>Credit Analyst</t>
        </is>
      </c>
      <c r="H2376" s="5" t="inlineStr">
        <is>
          <t>1</t>
        </is>
      </c>
      <c r="I2376" s="5" t="inlineStr">
        <is>
          <t>Remote</t>
        </is>
      </c>
      <c r="J2376" s="5" t="inlineStr">
        <is>
          <t>Full-Time</t>
        </is>
      </c>
      <c r="K2376" s="7" t="n">
        <v>44730</v>
      </c>
      <c r="L2376" s="7" t="inlineStr"/>
      <c r="M2376" s="5" t="inlineStr">
        <is>
          <t>Yes</t>
        </is>
      </c>
      <c r="N2376" s="5" t="inlineStr"/>
      <c r="O2376" s="8" t="inlineStr">
        <is>
          <t>77000</t>
        </is>
      </c>
      <c r="P2376" s="5" t="inlineStr">
        <is>
          <t>0</t>
        </is>
      </c>
      <c r="Q2376" s="5" t="inlineStr">
        <is>
          <t>3</t>
        </is>
      </c>
      <c r="R2376" s="5" t="inlineStr">
        <is>
          <t>7</t>
        </is>
      </c>
      <c r="S2376" s="5" t="inlineStr">
        <is>
          <t>43</t>
        </is>
      </c>
      <c r="T2376" s="5" t="inlineStr">
        <is>
          <t>6</t>
        </is>
      </c>
      <c r="U2376" s="5" t="inlineStr">
        <is>
          <t>OK</t>
        </is>
      </c>
    </row>
    <row r="2377">
      <c r="A2377" s="5" t="inlineStr">
        <is>
          <t>E00447</t>
        </is>
      </c>
      <c r="B2377" s="5" t="inlineStr">
        <is>
          <t>Female</t>
        </is>
      </c>
      <c r="C2377" s="6" t="inlineStr">
        <is>
          <t>38</t>
        </is>
      </c>
      <c r="D2377" s="5" t="inlineStr">
        <is>
          <t>Married</t>
        </is>
      </c>
      <c r="E2377" s="5" t="inlineStr">
        <is>
          <t>Bachelor</t>
        </is>
      </c>
      <c r="F2377" s="5" t="inlineStr">
        <is>
          <t>Human Resources</t>
        </is>
      </c>
      <c r="G2377" s="5" t="inlineStr">
        <is>
          <t>Recruiter</t>
        </is>
      </c>
      <c r="H2377" s="5" t="inlineStr">
        <is>
          <t>3</t>
        </is>
      </c>
      <c r="I2377" s="5" t="inlineStr">
        <is>
          <t>Chennai</t>
        </is>
      </c>
      <c r="J2377" s="5" t="inlineStr">
        <is>
          <t>Full-Time</t>
        </is>
      </c>
      <c r="K2377" s="7" t="n">
        <v>43889</v>
      </c>
      <c r="L2377" s="7" t="inlineStr"/>
      <c r="M2377" s="5" t="inlineStr">
        <is>
          <t>Yes</t>
        </is>
      </c>
      <c r="N2377" s="5" t="inlineStr"/>
      <c r="O2377" s="8" t="inlineStr">
        <is>
          <t>124500</t>
        </is>
      </c>
      <c r="P2377" s="5" t="inlineStr">
        <is>
          <t>20</t>
        </is>
      </c>
      <c r="Q2377" s="5" t="inlineStr">
        <is>
          <t>4</t>
        </is>
      </c>
      <c r="R2377" s="5" t="inlineStr">
        <is>
          <t>7</t>
        </is>
      </c>
      <c r="S2377" s="5" t="inlineStr">
        <is>
          <t>71</t>
        </is>
      </c>
      <c r="T2377" s="5" t="inlineStr">
        <is>
          <t>15</t>
        </is>
      </c>
      <c r="U2377" s="5" t="inlineStr">
        <is>
          <t>OK</t>
        </is>
      </c>
    </row>
    <row r="2378">
      <c r="A2378" s="5" t="inlineStr">
        <is>
          <t>E00468</t>
        </is>
      </c>
      <c r="B2378" s="5" t="inlineStr">
        <is>
          <t>Male</t>
        </is>
      </c>
      <c r="C2378" s="6" t="inlineStr">
        <is>
          <t>37</t>
        </is>
      </c>
      <c r="D2378" s="5" t="inlineStr">
        <is>
          <t>Single</t>
        </is>
      </c>
      <c r="E2378" s="5" t="inlineStr">
        <is>
          <t>Master</t>
        </is>
      </c>
      <c r="F2378" s="5" t="inlineStr">
        <is>
          <t>Marketing</t>
        </is>
      </c>
      <c r="G2378" s="5" t="inlineStr">
        <is>
          <t>Content Writer</t>
        </is>
      </c>
      <c r="H2378" s="5" t="inlineStr">
        <is>
          <t>5</t>
        </is>
      </c>
      <c r="I2378" s="5" t="inlineStr">
        <is>
          <t>Chennai</t>
        </is>
      </c>
      <c r="J2378" s="5" t="inlineStr">
        <is>
          <t>Full-Time</t>
        </is>
      </c>
      <c r="K2378" s="7" t="n">
        <v>45129</v>
      </c>
      <c r="L2378" s="7" t="inlineStr"/>
      <c r="M2378" s="5" t="inlineStr">
        <is>
          <t>Yes</t>
        </is>
      </c>
      <c r="N2378" s="5" t="inlineStr"/>
      <c r="O2378" s="8" t="inlineStr">
        <is>
          <t>95000</t>
        </is>
      </c>
      <c r="P2378" s="5" t="inlineStr">
        <is>
          <t>5</t>
        </is>
      </c>
      <c r="Q2378" s="5" t="inlineStr">
        <is>
          <t>4</t>
        </is>
      </c>
      <c r="R2378" s="5" t="inlineStr">
        <is>
          <t>8</t>
        </is>
      </c>
      <c r="S2378" s="5" t="inlineStr">
        <is>
          <t>29</t>
        </is>
      </c>
      <c r="T2378" s="5" t="inlineStr">
        <is>
          <t>0</t>
        </is>
      </c>
      <c r="U2378" s="5" t="inlineStr">
        <is>
          <t>OK</t>
        </is>
      </c>
    </row>
    <row r="2379">
      <c r="A2379" s="5" t="inlineStr">
        <is>
          <t>E02421</t>
        </is>
      </c>
      <c r="B2379" s="5" t="inlineStr">
        <is>
          <t>Female</t>
        </is>
      </c>
      <c r="C2379" s="6" t="inlineStr">
        <is>
          <t>31</t>
        </is>
      </c>
      <c r="D2379" s="5" t="inlineStr">
        <is>
          <t>Married</t>
        </is>
      </c>
      <c r="E2379" s="5" t="inlineStr">
        <is>
          <t>Diploma</t>
        </is>
      </c>
      <c r="F2379" s="5" t="inlineStr">
        <is>
          <t>Sales</t>
        </is>
      </c>
      <c r="G2379" s="5" t="inlineStr">
        <is>
          <t>Business Development</t>
        </is>
      </c>
      <c r="H2379" s="5" t="inlineStr">
        <is>
          <t>1</t>
        </is>
      </c>
      <c r="I2379" s="5" t="inlineStr">
        <is>
          <t>Delhi</t>
        </is>
      </c>
      <c r="J2379" s="5" t="inlineStr">
        <is>
          <t>Full-Time</t>
        </is>
      </c>
      <c r="K2379" s="7" t="n">
        <v>44766</v>
      </c>
      <c r="L2379" s="7" t="inlineStr"/>
      <c r="M2379" s="5" t="inlineStr">
        <is>
          <t>Yes</t>
        </is>
      </c>
      <c r="N2379" s="5" t="inlineStr"/>
      <c r="O2379" s="8" t="inlineStr">
        <is>
          <t>76000</t>
        </is>
      </c>
      <c r="P2379" s="5" t="inlineStr">
        <is>
          <t>0</t>
        </is>
      </c>
      <c r="Q2379" s="5" t="inlineStr">
        <is>
          <t>3</t>
        </is>
      </c>
      <c r="R2379" s="5" t="inlineStr">
        <is>
          <t>5</t>
        </is>
      </c>
      <c r="S2379" s="5" t="inlineStr">
        <is>
          <t>41</t>
        </is>
      </c>
      <c r="T2379" s="5" t="inlineStr">
        <is>
          <t>14</t>
        </is>
      </c>
      <c r="U2379" s="5" t="inlineStr">
        <is>
          <t>OK</t>
        </is>
      </c>
    </row>
    <row r="2380">
      <c r="A2380" s="5" t="inlineStr">
        <is>
          <t>E00054</t>
        </is>
      </c>
      <c r="B2380" s="5" t="inlineStr">
        <is>
          <t>Male</t>
        </is>
      </c>
      <c r="C2380" s="6" t="inlineStr">
        <is>
          <t>36</t>
        </is>
      </c>
      <c r="D2380" s="5" t="inlineStr">
        <is>
          <t>Married</t>
        </is>
      </c>
      <c r="E2380" s="5" t="inlineStr">
        <is>
          <t>PhD</t>
        </is>
      </c>
      <c r="F2380" s="5" t="inlineStr">
        <is>
          <t>Operations</t>
        </is>
      </c>
      <c r="G2380" s="5" t="inlineStr">
        <is>
          <t>Operations Analyst</t>
        </is>
      </c>
      <c r="H2380" s="5" t="inlineStr">
        <is>
          <t>3</t>
        </is>
      </c>
      <c r="I2380" s="5" t="inlineStr">
        <is>
          <t>Bengaluru</t>
        </is>
      </c>
      <c r="J2380" s="5" t="inlineStr">
        <is>
          <t>Part-Time</t>
        </is>
      </c>
      <c r="K2380" s="7" t="n">
        <v>44585</v>
      </c>
      <c r="L2380" s="7" t="inlineStr"/>
      <c r="M2380" s="5" t="inlineStr">
        <is>
          <t>Yes</t>
        </is>
      </c>
      <c r="N2380" s="5" t="inlineStr"/>
      <c r="O2380" s="8" t="inlineStr">
        <is>
          <t>112500</t>
        </is>
      </c>
      <c r="P2380" s="5" t="inlineStr">
        <is>
          <t>5</t>
        </is>
      </c>
      <c r="Q2380" s="5" t="inlineStr">
        <is>
          <t>3</t>
        </is>
      </c>
      <c r="R2380" s="5" t="inlineStr">
        <is>
          <t>4</t>
        </is>
      </c>
      <c r="S2380" s="5" t="inlineStr">
        <is>
          <t>47</t>
        </is>
      </c>
      <c r="T2380" s="5" t="inlineStr">
        <is>
          <t>4</t>
        </is>
      </c>
      <c r="U2380" s="5" t="inlineStr">
        <is>
          <t>OK</t>
        </is>
      </c>
    </row>
    <row r="2381">
      <c r="A2381" s="5" t="inlineStr">
        <is>
          <t>E01251</t>
        </is>
      </c>
      <c r="B2381" s="5" t="inlineStr">
        <is>
          <t>Male</t>
        </is>
      </c>
      <c r="C2381" s="6" t="inlineStr">
        <is>
          <t>27</t>
        </is>
      </c>
      <c r="D2381" s="5" t="inlineStr">
        <is>
          <t>Married</t>
        </is>
      </c>
      <c r="E2381" s="5" t="inlineStr">
        <is>
          <t>High School</t>
        </is>
      </c>
      <c r="F2381" s="5" t="inlineStr">
        <is>
          <t>Sales</t>
        </is>
      </c>
      <c r="G2381" s="5" t="inlineStr">
        <is>
          <t>Account Executive</t>
        </is>
      </c>
      <c r="H2381" s="5" t="inlineStr">
        <is>
          <t>3</t>
        </is>
      </c>
      <c r="I2381" s="5" t="inlineStr">
        <is>
          <t>Bengaluru</t>
        </is>
      </c>
      <c r="J2381" s="5" t="inlineStr">
        <is>
          <t>Full-Time</t>
        </is>
      </c>
      <c r="K2381" s="7" t="n">
        <v>45465</v>
      </c>
      <c r="L2381" s="7" t="inlineStr"/>
      <c r="M2381" s="5" t="inlineStr">
        <is>
          <t>Yes</t>
        </is>
      </c>
      <c r="N2381" s="5" t="inlineStr"/>
      <c r="O2381" s="8" t="inlineStr">
        <is>
          <t>92500</t>
        </is>
      </c>
      <c r="P2381" s="5" t="inlineStr">
        <is>
          <t>5</t>
        </is>
      </c>
      <c r="Q2381" s="5" t="inlineStr">
        <is>
          <t>5</t>
        </is>
      </c>
      <c r="R2381" s="5" t="inlineStr">
        <is>
          <t>4</t>
        </is>
      </c>
      <c r="S2381" s="5" t="inlineStr">
        <is>
          <t>18</t>
        </is>
      </c>
      <c r="T2381" s="5" t="inlineStr">
        <is>
          <t>0</t>
        </is>
      </c>
      <c r="U2381" s="5" t="inlineStr">
        <is>
          <t>OK</t>
        </is>
      </c>
    </row>
    <row r="2382">
      <c r="A2382" s="5" t="inlineStr">
        <is>
          <t>E02009</t>
        </is>
      </c>
      <c r="B2382" s="5" t="inlineStr">
        <is>
          <t>Female</t>
        </is>
      </c>
      <c r="C2382" s="6" t="inlineStr">
        <is>
          <t>28</t>
        </is>
      </c>
      <c r="D2382" s="5" t="inlineStr">
        <is>
          <t>Married</t>
        </is>
      </c>
      <c r="E2382" s="5" t="inlineStr">
        <is>
          <t>Master</t>
        </is>
      </c>
      <c r="F2382" s="5" t="inlineStr">
        <is>
          <t>Operations</t>
        </is>
      </c>
      <c r="G2382" s="5" t="inlineStr">
        <is>
          <t>Quality Analyst</t>
        </is>
      </c>
      <c r="H2382" s="5" t="inlineStr">
        <is>
          <t>1</t>
        </is>
      </c>
      <c r="I2382" s="5" t="inlineStr">
        <is>
          <t>Remote</t>
        </is>
      </c>
      <c r="J2382" s="5" t="inlineStr">
        <is>
          <t>Full-Time</t>
        </is>
      </c>
      <c r="K2382" s="7" t="n">
        <v>44149</v>
      </c>
      <c r="L2382" s="7" t="inlineStr"/>
      <c r="M2382" s="5" t="inlineStr">
        <is>
          <t>Yes</t>
        </is>
      </c>
      <c r="N2382" s="5" t="inlineStr"/>
      <c r="O2382" s="8" t="inlineStr">
        <is>
          <t>87500</t>
        </is>
      </c>
      <c r="P2382" s="5" t="inlineStr">
        <is>
          <t>10</t>
        </is>
      </c>
      <c r="Q2382" s="5" t="inlineStr">
        <is>
          <t>5</t>
        </is>
      </c>
      <c r="R2382" s="5" t="inlineStr">
        <is>
          <t>5</t>
        </is>
      </c>
      <c r="S2382" s="5" t="inlineStr">
        <is>
          <t>62</t>
        </is>
      </c>
      <c r="T2382" s="5" t="inlineStr">
        <is>
          <t>1</t>
        </is>
      </c>
      <c r="U2382" s="5" t="inlineStr">
        <is>
          <t>OK</t>
        </is>
      </c>
    </row>
    <row r="2383">
      <c r="A2383" s="5" t="inlineStr">
        <is>
          <t>E01864</t>
        </is>
      </c>
      <c r="B2383" s="5" t="inlineStr">
        <is>
          <t>Male</t>
        </is>
      </c>
      <c r="C2383" s="6" t="inlineStr">
        <is>
          <t>32</t>
        </is>
      </c>
      <c r="D2383" s="5" t="inlineStr">
        <is>
          <t>Married</t>
        </is>
      </c>
      <c r="E2383" s="5" t="inlineStr">
        <is>
          <t>PhD</t>
        </is>
      </c>
      <c r="F2383" s="5" t="inlineStr">
        <is>
          <t>Customer Support</t>
        </is>
      </c>
      <c r="G2383" s="5" t="inlineStr">
        <is>
          <t>Escalation Specialist</t>
        </is>
      </c>
      <c r="H2383" s="5" t="inlineStr">
        <is>
          <t>1</t>
        </is>
      </c>
      <c r="I2383" s="5" t="inlineStr">
        <is>
          <t>Chennai</t>
        </is>
      </c>
      <c r="J2383" s="5" t="inlineStr">
        <is>
          <t>Contract</t>
        </is>
      </c>
      <c r="K2383" s="7" t="n">
        <v>45055</v>
      </c>
      <c r="L2383" s="7" t="inlineStr"/>
      <c r="M2383" s="5" t="inlineStr">
        <is>
          <t>Yes</t>
        </is>
      </c>
      <c r="N2383" s="5" t="inlineStr"/>
      <c r="O2383" s="8" t="inlineStr">
        <is>
          <t>46000</t>
        </is>
      </c>
      <c r="P2383" s="5" t="inlineStr">
        <is>
          <t>0</t>
        </is>
      </c>
      <c r="Q2383" s="5" t="inlineStr">
        <is>
          <t>4</t>
        </is>
      </c>
      <c r="R2383" s="5" t="inlineStr">
        <is>
          <t>6</t>
        </is>
      </c>
      <c r="S2383" s="5" t="inlineStr">
        <is>
          <t>32</t>
        </is>
      </c>
      <c r="T2383" s="5" t="inlineStr">
        <is>
          <t>17</t>
        </is>
      </c>
      <c r="U2383" s="5" t="inlineStr">
        <is>
          <t>OK</t>
        </is>
      </c>
    </row>
    <row r="2384">
      <c r="A2384" s="5" t="inlineStr">
        <is>
          <t>E00572</t>
        </is>
      </c>
      <c r="B2384" s="5" t="inlineStr">
        <is>
          <t>Male</t>
        </is>
      </c>
      <c r="C2384" s="6" t="inlineStr">
        <is>
          <t>32</t>
        </is>
      </c>
      <c r="D2384" s="5" t="inlineStr">
        <is>
          <t>Married</t>
        </is>
      </c>
      <c r="E2384" s="5" t="inlineStr">
        <is>
          <t>PhD</t>
        </is>
      </c>
      <c r="F2384" s="5" t="inlineStr">
        <is>
          <t>Operations</t>
        </is>
      </c>
      <c r="G2384" s="5" t="inlineStr">
        <is>
          <t>Logistics Coordinator</t>
        </is>
      </c>
      <c r="H2384" s="5" t="inlineStr">
        <is>
          <t>3</t>
        </is>
      </c>
      <c r="I2384" s="5" t="inlineStr">
        <is>
          <t>Bengaluru</t>
        </is>
      </c>
      <c r="J2384" s="5" t="inlineStr">
        <is>
          <t>Full-Time</t>
        </is>
      </c>
      <c r="K2384" s="7" t="n">
        <v>44865</v>
      </c>
      <c r="L2384" s="7" t="inlineStr"/>
      <c r="M2384" s="5" t="inlineStr">
        <is>
          <t>Yes</t>
        </is>
      </c>
      <c r="N2384" s="5" t="inlineStr"/>
      <c r="O2384" s="8" t="inlineStr">
        <is>
          <t>125500</t>
        </is>
      </c>
      <c r="P2384" s="5" t="inlineStr">
        <is>
          <t>5</t>
        </is>
      </c>
      <c r="Q2384" s="5" t="inlineStr">
        <is>
          <t>5</t>
        </is>
      </c>
      <c r="R2384" s="5" t="inlineStr">
        <is>
          <t>6</t>
        </is>
      </c>
      <c r="S2384" s="5" t="inlineStr">
        <is>
          <t>38</t>
        </is>
      </c>
      <c r="T2384" s="5" t="inlineStr">
        <is>
          <t>0</t>
        </is>
      </c>
      <c r="U2384" s="5" t="inlineStr">
        <is>
          <t>OK</t>
        </is>
      </c>
    </row>
    <row r="2385">
      <c r="A2385" s="5" t="inlineStr">
        <is>
          <t>E01399</t>
        </is>
      </c>
      <c r="B2385" s="5" t="inlineStr">
        <is>
          <t>Male</t>
        </is>
      </c>
      <c r="C2385" s="6" t="inlineStr">
        <is>
          <t>33</t>
        </is>
      </c>
      <c r="D2385" s="5" t="inlineStr">
        <is>
          <t>Married</t>
        </is>
      </c>
      <c r="E2385" s="5" t="inlineStr">
        <is>
          <t>Diploma</t>
        </is>
      </c>
      <c r="F2385" s="5" t="inlineStr">
        <is>
          <t>Sales</t>
        </is>
      </c>
      <c r="G2385" s="5" t="inlineStr">
        <is>
          <t>Account Executive</t>
        </is>
      </c>
      <c r="H2385" s="5" t="inlineStr">
        <is>
          <t>4</t>
        </is>
      </c>
      <c r="I2385" s="5" t="inlineStr">
        <is>
          <t>Delhi</t>
        </is>
      </c>
      <c r="J2385" s="5" t="inlineStr">
        <is>
          <t>Full-Time</t>
        </is>
      </c>
      <c r="K2385" s="7" t="n">
        <v>43902</v>
      </c>
      <c r="L2385" s="7" t="inlineStr"/>
      <c r="M2385" s="5" t="inlineStr">
        <is>
          <t>Yes</t>
        </is>
      </c>
      <c r="N2385" s="5" t="inlineStr"/>
      <c r="O2385" s="8" t="inlineStr">
        <is>
          <t>142000</t>
        </is>
      </c>
      <c r="P2385" s="5" t="inlineStr">
        <is>
          <t>5</t>
        </is>
      </c>
      <c r="Q2385" s="5" t="inlineStr">
        <is>
          <t>4</t>
        </is>
      </c>
      <c r="R2385" s="5" t="inlineStr">
        <is>
          <t>5</t>
        </is>
      </c>
      <c r="S2385" s="5" t="inlineStr">
        <is>
          <t>70</t>
        </is>
      </c>
      <c r="T2385" s="5" t="inlineStr">
        <is>
          <t>2</t>
        </is>
      </c>
      <c r="U2385" s="5" t="inlineStr">
        <is>
          <t>OK</t>
        </is>
      </c>
    </row>
    <row r="2386">
      <c r="A2386" s="5" t="inlineStr">
        <is>
          <t>E00821</t>
        </is>
      </c>
      <c r="B2386" s="5" t="inlineStr">
        <is>
          <t>Male</t>
        </is>
      </c>
      <c r="C2386" s="6" t="inlineStr">
        <is>
          <t>200</t>
        </is>
      </c>
      <c r="D2386" s="5" t="inlineStr">
        <is>
          <t>Single</t>
        </is>
      </c>
      <c r="E2386" s="5" t="inlineStr">
        <is>
          <t>Master</t>
        </is>
      </c>
      <c r="F2386" s="5" t="inlineStr">
        <is>
          <t>Operations</t>
        </is>
      </c>
      <c r="G2386" s="5" t="inlineStr">
        <is>
          <t>Quality Analyst</t>
        </is>
      </c>
      <c r="H2386" s="5" t="inlineStr">
        <is>
          <t>3</t>
        </is>
      </c>
      <c r="I2386" s="5" t="inlineStr">
        <is>
          <t>Bengaluru</t>
        </is>
      </c>
      <c r="J2386" s="5" t="inlineStr">
        <is>
          <t>Full-Time</t>
        </is>
      </c>
      <c r="K2386" s="7" t="n">
        <v>45259</v>
      </c>
      <c r="L2386" s="7" t="inlineStr"/>
      <c r="M2386" s="5" t="inlineStr">
        <is>
          <t>Yes</t>
        </is>
      </c>
      <c r="N2386" s="5" t="inlineStr"/>
      <c r="O2386" s="8" t="inlineStr">
        <is>
          <t>71000</t>
        </is>
      </c>
      <c r="P2386" s="5" t="inlineStr">
        <is>
          <t>20</t>
        </is>
      </c>
      <c r="Q2386" s="5" t="inlineStr">
        <is>
          <t>4</t>
        </is>
      </c>
      <c r="R2386" s="5" t="inlineStr">
        <is>
          <t>5</t>
        </is>
      </c>
      <c r="S2386" s="5" t="inlineStr">
        <is>
          <t>25</t>
        </is>
      </c>
      <c r="T2386" s="5" t="inlineStr">
        <is>
          <t>1</t>
        </is>
      </c>
      <c r="U2386" s="5" t="inlineStr">
        <is>
          <t>Age typo</t>
        </is>
      </c>
    </row>
    <row r="2387">
      <c r="A2387" s="5" t="inlineStr">
        <is>
          <t>E01377</t>
        </is>
      </c>
      <c r="B2387" s="5" t="inlineStr">
        <is>
          <t>Male</t>
        </is>
      </c>
      <c r="C2387" s="6" t="inlineStr">
        <is>
          <t>31</t>
        </is>
      </c>
      <c r="D2387" s="5" t="inlineStr">
        <is>
          <t>Married</t>
        </is>
      </c>
      <c r="E2387" s="5" t="inlineStr">
        <is>
          <t>High School</t>
        </is>
      </c>
      <c r="F2387" s="5" t="inlineStr">
        <is>
          <t>Customer Support</t>
        </is>
      </c>
      <c r="G2387" s="5" t="inlineStr">
        <is>
          <t>Support Agent</t>
        </is>
      </c>
      <c r="H2387" s="5" t="inlineStr">
        <is>
          <t>2</t>
        </is>
      </c>
      <c r="I2387" s="5" t="inlineStr">
        <is>
          <t>Chennai</t>
        </is>
      </c>
      <c r="J2387" s="5" t="inlineStr">
        <is>
          <t>Full-Time</t>
        </is>
      </c>
      <c r="K2387" s="7" t="n">
        <v>44076</v>
      </c>
      <c r="L2387" s="7" t="inlineStr"/>
      <c r="M2387" s="5" t="inlineStr">
        <is>
          <t>Yes</t>
        </is>
      </c>
      <c r="N2387" s="5" t="inlineStr"/>
      <c r="O2387" s="8" t="inlineStr">
        <is>
          <t>83500</t>
        </is>
      </c>
      <c r="P2387" s="5" t="inlineStr">
        <is>
          <t>15</t>
        </is>
      </c>
      <c r="Q2387" s="5" t="inlineStr">
        <is>
          <t>4</t>
        </is>
      </c>
      <c r="R2387" s="5" t="inlineStr">
        <is>
          <t>6</t>
        </is>
      </c>
      <c r="S2387" s="5" t="inlineStr">
        <is>
          <t>64</t>
        </is>
      </c>
      <c r="T2387" s="5" t="inlineStr">
        <is>
          <t>0</t>
        </is>
      </c>
      <c r="U2387" s="5" t="inlineStr">
        <is>
          <t>OK</t>
        </is>
      </c>
    </row>
    <row r="2388">
      <c r="A2388" s="5" t="inlineStr">
        <is>
          <t>E01178</t>
        </is>
      </c>
      <c r="B2388" s="5" t="inlineStr">
        <is>
          <t>Male</t>
        </is>
      </c>
      <c r="C2388" s="6" t="inlineStr">
        <is>
          <t>37</t>
        </is>
      </c>
      <c r="D2388" s="5" t="inlineStr">
        <is>
          <t>Single</t>
        </is>
      </c>
      <c r="E2388" s="5" t="inlineStr">
        <is>
          <t>Diploma</t>
        </is>
      </c>
      <c r="F2388" s="5" t="inlineStr">
        <is>
          <t>Customer Support</t>
        </is>
      </c>
      <c r="G2388" s="5" t="inlineStr">
        <is>
          <t>Escalation Specialist</t>
        </is>
      </c>
      <c r="H2388" s="5" t="inlineStr">
        <is>
          <t>4</t>
        </is>
      </c>
      <c r="I2388" s="5" t="inlineStr">
        <is>
          <t>Bengaluru</t>
        </is>
      </c>
      <c r="J2388" s="5" t="inlineStr">
        <is>
          <t>Full-Time</t>
        </is>
      </c>
      <c r="K2388" s="7" t="n">
        <v>44731</v>
      </c>
      <c r="L2388" s="7" t="inlineStr"/>
      <c r="M2388" s="5" t="inlineStr">
        <is>
          <t>Yes</t>
        </is>
      </c>
      <c r="N2388" s="5" t="inlineStr"/>
      <c r="O2388" s="8" t="inlineStr">
        <is>
          <t>95500</t>
        </is>
      </c>
      <c r="P2388" s="5" t="inlineStr">
        <is>
          <t>10</t>
        </is>
      </c>
      <c r="Q2388" s="5" t="inlineStr">
        <is>
          <t>4</t>
        </is>
      </c>
      <c r="R2388" s="5" t="inlineStr">
        <is>
          <t>6</t>
        </is>
      </c>
      <c r="S2388" s="5" t="inlineStr">
        <is>
          <t>43</t>
        </is>
      </c>
      <c r="T2388" s="5" t="inlineStr">
        <is>
          <t>0</t>
        </is>
      </c>
      <c r="U2388" s="5" t="inlineStr">
        <is>
          <t>OK</t>
        </is>
      </c>
    </row>
    <row r="2389">
      <c r="A2389" s="5" t="inlineStr">
        <is>
          <t>E01482</t>
        </is>
      </c>
      <c r="B2389" s="5" t="inlineStr">
        <is>
          <t>Female</t>
        </is>
      </c>
      <c r="C2389" s="6" t="inlineStr">
        <is>
          <t>25</t>
        </is>
      </c>
      <c r="D2389" s="5" t="inlineStr">
        <is>
          <t>Single</t>
        </is>
      </c>
      <c r="E2389" s="5" t="inlineStr">
        <is>
          <t>Diploma</t>
        </is>
      </c>
      <c r="F2389" s="5" t="inlineStr">
        <is>
          <t>Marketing</t>
        </is>
      </c>
      <c r="G2389" s="5" t="inlineStr">
        <is>
          <t>Content Writer</t>
        </is>
      </c>
      <c r="H2389" s="5" t="inlineStr">
        <is>
          <t>2</t>
        </is>
      </c>
      <c r="I2389" s="5" t="inlineStr">
        <is>
          <t>Mumbai</t>
        </is>
      </c>
      <c r="J2389" s="5" t="inlineStr">
        <is>
          <t>Full-Time</t>
        </is>
      </c>
      <c r="K2389" s="7" t="n">
        <v>45582</v>
      </c>
      <c r="L2389" s="7" t="n">
        <v>45643</v>
      </c>
      <c r="M2389" s="5" t="inlineStr">
        <is>
          <t>No</t>
        </is>
      </c>
      <c r="N2389" s="5" t="inlineStr">
        <is>
          <t>Relocation</t>
        </is>
      </c>
      <c r="O2389" s="8" t="inlineStr">
        <is>
          <t>64000</t>
        </is>
      </c>
      <c r="P2389" s="5" t="inlineStr">
        <is>
          <t>15</t>
        </is>
      </c>
      <c r="Q2389" s="5" t="inlineStr">
        <is>
          <t>4</t>
        </is>
      </c>
      <c r="R2389" s="5" t="inlineStr">
        <is>
          <t>4</t>
        </is>
      </c>
      <c r="S2389" s="5" t="inlineStr">
        <is>
          <t>2</t>
        </is>
      </c>
      <c r="T2389" s="5" t="inlineStr">
        <is>
          <t>2</t>
        </is>
      </c>
      <c r="U2389" s="5" t="inlineStr">
        <is>
          <t>OK</t>
        </is>
      </c>
    </row>
    <row r="2390">
      <c r="A2390" s="5" t="inlineStr">
        <is>
          <t>E01935</t>
        </is>
      </c>
      <c r="B2390" s="5" t="inlineStr">
        <is>
          <t>Female</t>
        </is>
      </c>
      <c r="C2390" s="6" t="inlineStr">
        <is>
          <t>33</t>
        </is>
      </c>
      <c r="D2390" s="5" t="inlineStr">
        <is>
          <t>Single</t>
        </is>
      </c>
      <c r="E2390" s="5" t="inlineStr">
        <is>
          <t>PhD</t>
        </is>
      </c>
      <c r="F2390" s="5" t="inlineStr">
        <is>
          <t>Finance</t>
        </is>
      </c>
      <c r="G2390" s="5" t="inlineStr">
        <is>
          <t>Accountant</t>
        </is>
      </c>
      <c r="H2390" s="5" t="inlineStr">
        <is>
          <t>5</t>
        </is>
      </c>
      <c r="I2390" s="5" t="inlineStr">
        <is>
          <t>Delhi</t>
        </is>
      </c>
      <c r="J2390" s="5" t="inlineStr">
        <is>
          <t>Full-Time</t>
        </is>
      </c>
      <c r="K2390" s="7" t="n">
        <v>45024</v>
      </c>
      <c r="L2390" s="7" t="inlineStr"/>
      <c r="M2390" s="5" t="inlineStr">
        <is>
          <t>Yes</t>
        </is>
      </c>
      <c r="N2390" s="5" t="inlineStr"/>
      <c r="O2390" s="8" t="inlineStr">
        <is>
          <t>127500</t>
        </is>
      </c>
      <c r="P2390" s="5" t="inlineStr">
        <is>
          <t>5</t>
        </is>
      </c>
      <c r="Q2390" s="5" t="inlineStr">
        <is>
          <t>3</t>
        </is>
      </c>
      <c r="R2390" s="5" t="inlineStr">
        <is>
          <t>6</t>
        </is>
      </c>
      <c r="S2390" s="5" t="inlineStr">
        <is>
          <t>33</t>
        </is>
      </c>
      <c r="T2390" s="5" t="inlineStr">
        <is>
          <t>10</t>
        </is>
      </c>
      <c r="U2390" s="5" t="inlineStr">
        <is>
          <t>OK</t>
        </is>
      </c>
    </row>
    <row r="2391">
      <c r="A2391" s="5" t="inlineStr">
        <is>
          <t>E01363</t>
        </is>
      </c>
      <c r="B2391" s="5" t="inlineStr">
        <is>
          <t>Male</t>
        </is>
      </c>
      <c r="C2391" s="6" t="inlineStr">
        <is>
          <t>37</t>
        </is>
      </c>
      <c r="D2391" s="5" t="inlineStr">
        <is>
          <t>Divorced</t>
        </is>
      </c>
      <c r="E2391" s="5" t="inlineStr">
        <is>
          <t>High School</t>
        </is>
      </c>
      <c r="F2391" s="5" t="inlineStr">
        <is>
          <t>Human Resources</t>
        </is>
      </c>
      <c r="G2391" s="5" t="inlineStr">
        <is>
          <t>Recruiter</t>
        </is>
      </c>
      <c r="H2391" s="5" t="inlineStr">
        <is>
          <t>5</t>
        </is>
      </c>
      <c r="I2391" s="5" t="inlineStr">
        <is>
          <t>Bengaluru</t>
        </is>
      </c>
      <c r="J2391" s="5" t="inlineStr">
        <is>
          <t>Full-Time</t>
        </is>
      </c>
      <c r="K2391" s="7" t="n">
        <v>44046</v>
      </c>
      <c r="L2391" s="7" t="inlineStr"/>
      <c r="M2391" s="5" t="inlineStr">
        <is>
          <t>Yes</t>
        </is>
      </c>
      <c r="N2391" s="5" t="inlineStr"/>
      <c r="O2391" s="8" t="inlineStr">
        <is>
          <t>120500</t>
        </is>
      </c>
      <c r="P2391" s="5" t="inlineStr">
        <is>
          <t>10</t>
        </is>
      </c>
      <c r="Q2391" s="5" t="inlineStr">
        <is>
          <t>4</t>
        </is>
      </c>
      <c r="R2391" s="5" t="inlineStr">
        <is>
          <t>6</t>
        </is>
      </c>
      <c r="S2391" s="5" t="inlineStr">
        <is>
          <t>65</t>
        </is>
      </c>
      <c r="T2391" s="5" t="inlineStr">
        <is>
          <t>8</t>
        </is>
      </c>
      <c r="U2391" s="5" t="inlineStr">
        <is>
          <t>OK</t>
        </is>
      </c>
    </row>
    <row r="2392">
      <c r="A2392" s="5" t="inlineStr">
        <is>
          <t>E00173</t>
        </is>
      </c>
      <c r="B2392" s="5" t="inlineStr">
        <is>
          <t>Male</t>
        </is>
      </c>
      <c r="C2392" s="6" t="inlineStr">
        <is>
          <t>31</t>
        </is>
      </c>
      <c r="D2392" s="5" t="inlineStr">
        <is>
          <t>Married</t>
        </is>
      </c>
      <c r="E2392" s="5" t="inlineStr">
        <is>
          <t>Master</t>
        </is>
      </c>
      <c r="F2392" s="5" t="inlineStr">
        <is>
          <t>Sales</t>
        </is>
      </c>
      <c r="G2392" s="5" t="inlineStr">
        <is>
          <t>Account Executive</t>
        </is>
      </c>
      <c r="H2392" s="5" t="inlineStr">
        <is>
          <t>1</t>
        </is>
      </c>
      <c r="I2392" s="5" t="inlineStr">
        <is>
          <t>Hyderabad</t>
        </is>
      </c>
      <c r="J2392" s="5" t="inlineStr">
        <is>
          <t>Full-Time</t>
        </is>
      </c>
      <c r="K2392" s="7" t="n">
        <v>45531</v>
      </c>
      <c r="L2392" s="7" t="inlineStr"/>
      <c r="M2392" s="5" t="inlineStr">
        <is>
          <t>Yes</t>
        </is>
      </c>
      <c r="N2392" s="5" t="inlineStr"/>
      <c r="O2392" s="8" t="inlineStr">
        <is>
          <t>106000</t>
        </is>
      </c>
      <c r="P2392" s="5" t="inlineStr">
        <is>
          <t>5</t>
        </is>
      </c>
      <c r="Q2392" s="5" t="inlineStr">
        <is>
          <t>4</t>
        </is>
      </c>
      <c r="R2392" s="5" t="inlineStr">
        <is>
          <t>5</t>
        </is>
      </c>
      <c r="S2392" s="5" t="inlineStr">
        <is>
          <t>16</t>
        </is>
      </c>
      <c r="T2392" s="5" t="inlineStr">
        <is>
          <t>14</t>
        </is>
      </c>
      <c r="U2392" s="5" t="inlineStr">
        <is>
          <t>OK</t>
        </is>
      </c>
    </row>
    <row r="2393">
      <c r="A2393" s="5" t="inlineStr">
        <is>
          <t>E02536</t>
        </is>
      </c>
      <c r="B2393" s="5" t="inlineStr">
        <is>
          <t>Male</t>
        </is>
      </c>
      <c r="C2393" s="6" t="inlineStr">
        <is>
          <t>25</t>
        </is>
      </c>
      <c r="D2393" s="5" t="inlineStr">
        <is>
          <t>Married</t>
        </is>
      </c>
      <c r="E2393" s="5" t="inlineStr">
        <is>
          <t>Master</t>
        </is>
      </c>
      <c r="F2393" s="5" t="inlineStr">
        <is>
          <t>Research &amp; Development</t>
        </is>
      </c>
      <c r="G2393" s="5" t="inlineStr">
        <is>
          <t>Research Scientist</t>
        </is>
      </c>
      <c r="H2393" s="5" t="inlineStr">
        <is>
          <t>2</t>
        </is>
      </c>
      <c r="I2393" s="5" t="inlineStr">
        <is>
          <t>Hyderabad</t>
        </is>
      </c>
      <c r="J2393" s="5" t="inlineStr">
        <is>
          <t>Full-Time</t>
        </is>
      </c>
      <c r="K2393" s="7" t="n">
        <v>44443</v>
      </c>
      <c r="L2393" s="7" t="inlineStr"/>
      <c r="M2393" s="5" t="inlineStr">
        <is>
          <t>Yes</t>
        </is>
      </c>
      <c r="N2393" s="5" t="inlineStr"/>
      <c r="O2393" s="8" t="inlineStr">
        <is>
          <t>167500</t>
        </is>
      </c>
      <c r="P2393" s="5" t="inlineStr">
        <is>
          <t>10</t>
        </is>
      </c>
      <c r="Q2393" s="5" t="inlineStr">
        <is>
          <t>3</t>
        </is>
      </c>
      <c r="R2393" s="5" t="inlineStr">
        <is>
          <t>6</t>
        </is>
      </c>
      <c r="S2393" s="5" t="inlineStr">
        <is>
          <t>52</t>
        </is>
      </c>
      <c r="T2393" s="5" t="inlineStr">
        <is>
          <t>12</t>
        </is>
      </c>
      <c r="U2393" s="5" t="inlineStr">
        <is>
          <t>OK</t>
        </is>
      </c>
    </row>
    <row r="2394">
      <c r="A2394" s="5" t="inlineStr">
        <is>
          <t>E00751</t>
        </is>
      </c>
      <c r="B2394" s="5" t="inlineStr">
        <is>
          <t>Female</t>
        </is>
      </c>
      <c r="C2394" s="6" t="inlineStr">
        <is>
          <t>38</t>
        </is>
      </c>
      <c r="D2394" s="5" t="inlineStr">
        <is>
          <t>Single</t>
        </is>
      </c>
      <c r="E2394" s="5" t="inlineStr">
        <is>
          <t>High School</t>
        </is>
      </c>
      <c r="F2394" s="5" t="inlineStr">
        <is>
          <t>Finance</t>
        </is>
      </c>
      <c r="G2394" s="5" t="inlineStr">
        <is>
          <t>Credit Analyst</t>
        </is>
      </c>
      <c r="H2394" s="5" t="inlineStr">
        <is>
          <t>7</t>
        </is>
      </c>
      <c r="I2394" s="5" t="inlineStr">
        <is>
          <t>Bengaluru</t>
        </is>
      </c>
      <c r="J2394" s="5" t="inlineStr">
        <is>
          <t>Full-Time</t>
        </is>
      </c>
      <c r="K2394" s="7" t="n">
        <v>46009</v>
      </c>
      <c r="L2394" s="7" t="n">
        <v>46021</v>
      </c>
      <c r="M2394" s="5" t="inlineStr">
        <is>
          <t>No</t>
        </is>
      </c>
      <c r="N2394" s="5" t="inlineStr">
        <is>
          <t>Resigned</t>
        </is>
      </c>
      <c r="O2394" s="8" t="inlineStr">
        <is>
          <t>156000</t>
        </is>
      </c>
      <c r="P2394" s="5" t="inlineStr">
        <is>
          <t>15</t>
        </is>
      </c>
      <c r="Q2394" s="5" t="inlineStr">
        <is>
          <t>3</t>
        </is>
      </c>
      <c r="R2394" s="5" t="inlineStr">
        <is>
          <t>3</t>
        </is>
      </c>
      <c r="S2394" s="5" t="inlineStr">
        <is>
          <t>1</t>
        </is>
      </c>
      <c r="T2394" s="5" t="inlineStr">
        <is>
          <t>1</t>
        </is>
      </c>
      <c r="U2394" s="5" t="inlineStr">
        <is>
          <t>OK</t>
        </is>
      </c>
    </row>
    <row r="2395">
      <c r="A2395" s="5" t="inlineStr">
        <is>
          <t>E00773</t>
        </is>
      </c>
      <c r="B2395" s="5" t="inlineStr">
        <is>
          <t>Female</t>
        </is>
      </c>
      <c r="C2395" s="6" t="inlineStr">
        <is>
          <t>28</t>
        </is>
      </c>
      <c r="D2395" s="5" t="inlineStr">
        <is>
          <t>Married</t>
        </is>
      </c>
      <c r="E2395" s="5" t="inlineStr">
        <is>
          <t>High School</t>
        </is>
      </c>
      <c r="F2395" s="5" t="inlineStr">
        <is>
          <t>Research &amp; Development</t>
        </is>
      </c>
      <c r="G2395" s="5" t="inlineStr">
        <is>
          <t>Product Engineer</t>
        </is>
      </c>
      <c r="H2395" s="5" t="inlineStr">
        <is>
          <t>1</t>
        </is>
      </c>
      <c r="I2395" s="5" t="inlineStr">
        <is>
          <t>Bengaluru</t>
        </is>
      </c>
      <c r="J2395" s="5" t="inlineStr">
        <is>
          <t>Full-Time</t>
        </is>
      </c>
      <c r="K2395" s="7" t="n">
        <v>44686</v>
      </c>
      <c r="L2395" s="7" t="inlineStr"/>
      <c r="M2395" s="5" t="inlineStr">
        <is>
          <t>Yes</t>
        </is>
      </c>
      <c r="N2395" s="5" t="inlineStr"/>
      <c r="O2395" s="8" t="inlineStr">
        <is>
          <t>104000</t>
        </is>
      </c>
      <c r="P2395" s="5" t="inlineStr">
        <is>
          <t>0</t>
        </is>
      </c>
      <c r="Q2395" s="5" t="inlineStr">
        <is>
          <t>4</t>
        </is>
      </c>
      <c r="R2395" s="5" t="inlineStr">
        <is>
          <t>5</t>
        </is>
      </c>
      <c r="S2395" s="5" t="inlineStr">
        <is>
          <t>44</t>
        </is>
      </c>
      <c r="T2395" s="5" t="inlineStr">
        <is>
          <t>3</t>
        </is>
      </c>
      <c r="U2395" s="5" t="inlineStr">
        <is>
          <t>OK</t>
        </is>
      </c>
    </row>
    <row r="2396">
      <c r="A2396" s="5" t="inlineStr">
        <is>
          <t>E02786</t>
        </is>
      </c>
      <c r="B2396" s="5" t="inlineStr">
        <is>
          <t>Male</t>
        </is>
      </c>
      <c r="C2396" s="6" t="inlineStr">
        <is>
          <t>31</t>
        </is>
      </c>
      <c r="D2396" s="5" t="inlineStr">
        <is>
          <t>Married</t>
        </is>
      </c>
      <c r="E2396" s="5" t="inlineStr">
        <is>
          <t>Diploma</t>
        </is>
      </c>
      <c r="F2396" s="5" t="inlineStr">
        <is>
          <t>Operations</t>
        </is>
      </c>
      <c r="G2396" s="5" t="inlineStr">
        <is>
          <t>Logistics Coordinator</t>
        </is>
      </c>
      <c r="H2396" s="5" t="inlineStr">
        <is>
          <t>4</t>
        </is>
      </c>
      <c r="I2396" s="5" t="inlineStr">
        <is>
          <t>Mumbai</t>
        </is>
      </c>
      <c r="J2396" s="5" t="inlineStr">
        <is>
          <t>Part-Time</t>
        </is>
      </c>
      <c r="K2396" s="7" t="n">
        <v>44202</v>
      </c>
      <c r="L2396" s="7" t="inlineStr"/>
      <c r="M2396" s="5" t="inlineStr">
        <is>
          <t>Yes</t>
        </is>
      </c>
      <c r="N2396" s="5" t="inlineStr"/>
      <c r="O2396" s="8" t="inlineStr">
        <is>
          <t>133500</t>
        </is>
      </c>
      <c r="P2396" s="5" t="inlineStr">
        <is>
          <t>0</t>
        </is>
      </c>
      <c r="Q2396" s="5" t="inlineStr">
        <is>
          <t>4</t>
        </is>
      </c>
      <c r="R2396" s="5" t="inlineStr">
        <is>
          <t>7</t>
        </is>
      </c>
      <c r="S2396" s="5" t="inlineStr">
        <is>
          <t>60</t>
        </is>
      </c>
      <c r="T2396" s="5" t="inlineStr">
        <is>
          <t>0</t>
        </is>
      </c>
      <c r="U2396" s="5" t="inlineStr">
        <is>
          <t>OK</t>
        </is>
      </c>
    </row>
    <row r="2397">
      <c r="A2397" s="5" t="inlineStr">
        <is>
          <t>E00701</t>
        </is>
      </c>
      <c r="B2397" s="5" t="inlineStr">
        <is>
          <t>Female</t>
        </is>
      </c>
      <c r="C2397" s="6" t="inlineStr">
        <is>
          <t>38</t>
        </is>
      </c>
      <c r="D2397" s="5" t="inlineStr">
        <is>
          <t>Single</t>
        </is>
      </c>
      <c r="E2397" s="5" t="inlineStr">
        <is>
          <t>Diploma</t>
        </is>
      </c>
      <c r="F2397" s="5" t="inlineStr">
        <is>
          <t>Finance</t>
        </is>
      </c>
      <c r="G2397" s="5" t="inlineStr">
        <is>
          <t>Financial Analyst</t>
        </is>
      </c>
      <c r="H2397" s="5" t="inlineStr">
        <is>
          <t>4</t>
        </is>
      </c>
      <c r="I2397" s="5" t="inlineStr">
        <is>
          <t>Bengaluru</t>
        </is>
      </c>
      <c r="J2397" s="5" t="inlineStr">
        <is>
          <t>Full-Time</t>
        </is>
      </c>
      <c r="K2397" s="7" t="n">
        <v>44564</v>
      </c>
      <c r="L2397" s="7" t="inlineStr"/>
      <c r="M2397" s="5" t="inlineStr">
        <is>
          <t>Yes</t>
        </is>
      </c>
      <c r="N2397" s="5" t="inlineStr"/>
      <c r="O2397" s="8" t="inlineStr">
        <is>
          <t>157000</t>
        </is>
      </c>
      <c r="P2397" s="5" t="inlineStr">
        <is>
          <t>0</t>
        </is>
      </c>
      <c r="Q2397" s="5" t="inlineStr">
        <is>
          <t>4</t>
        </is>
      </c>
      <c r="R2397" s="5" t="inlineStr">
        <is>
          <t>7</t>
        </is>
      </c>
      <c r="S2397" s="5" t="inlineStr">
        <is>
          <t>48</t>
        </is>
      </c>
      <c r="T2397" s="5" t="inlineStr">
        <is>
          <t>7</t>
        </is>
      </c>
      <c r="U2397" s="5" t="inlineStr">
        <is>
          <t>OK</t>
        </is>
      </c>
    </row>
    <row r="2398">
      <c r="A2398" s="5" t="inlineStr">
        <is>
          <t>E00236</t>
        </is>
      </c>
      <c r="B2398" s="5" t="inlineStr">
        <is>
          <t>Male</t>
        </is>
      </c>
      <c r="C2398" s="6" t="inlineStr">
        <is>
          <t>31</t>
        </is>
      </c>
      <c r="D2398" s="5" t="inlineStr">
        <is>
          <t>Single</t>
        </is>
      </c>
      <c r="E2398" s="5" t="inlineStr">
        <is>
          <t>Diploma</t>
        </is>
      </c>
      <c r="F2398" s="5" t="inlineStr">
        <is>
          <t>Customer Support</t>
        </is>
      </c>
      <c r="G2398" s="5" t="inlineStr">
        <is>
          <t>Escalation Specialist</t>
        </is>
      </c>
      <c r="H2398" s="5" t="inlineStr">
        <is>
          <t>2</t>
        </is>
      </c>
      <c r="I2398" s="5" t="inlineStr">
        <is>
          <t>Mumbai</t>
        </is>
      </c>
      <c r="J2398" s="5" t="inlineStr">
        <is>
          <t>Full-Time</t>
        </is>
      </c>
      <c r="K2398" s="7" t="n">
        <v>45817</v>
      </c>
      <c r="L2398" s="7" t="inlineStr"/>
      <c r="M2398" s="5" t="inlineStr">
        <is>
          <t>Yes</t>
        </is>
      </c>
      <c r="N2398" s="5" t="inlineStr"/>
      <c r="O2398" s="8" t="inlineStr">
        <is>
          <t>60000</t>
        </is>
      </c>
      <c r="P2398" s="5" t="inlineStr">
        <is>
          <t>5</t>
        </is>
      </c>
      <c r="Q2398" s="5" t="inlineStr">
        <is>
          <t>4</t>
        </is>
      </c>
      <c r="R2398" s="5" t="inlineStr">
        <is>
          <t>8</t>
        </is>
      </c>
      <c r="S2398" s="5" t="inlineStr">
        <is>
          <t>6</t>
        </is>
      </c>
      <c r="T2398" s="5" t="inlineStr">
        <is>
          <t>11</t>
        </is>
      </c>
      <c r="U2398" s="5" t="inlineStr">
        <is>
          <t>OK</t>
        </is>
      </c>
    </row>
    <row r="2399">
      <c r="A2399" s="5" t="inlineStr">
        <is>
          <t>E01360</t>
        </is>
      </c>
      <c r="B2399" s="5" t="inlineStr">
        <is>
          <t>Female</t>
        </is>
      </c>
      <c r="C2399" s="6" t="inlineStr">
        <is>
          <t>33</t>
        </is>
      </c>
      <c r="D2399" s="5" t="inlineStr">
        <is>
          <t>Married</t>
        </is>
      </c>
      <c r="E2399" s="5" t="inlineStr">
        <is>
          <t>High School</t>
        </is>
      </c>
      <c r="F2399" s="5" t="inlineStr">
        <is>
          <t>Marketing</t>
        </is>
      </c>
      <c r="G2399" s="5" t="inlineStr">
        <is>
          <t>SEO Specialist</t>
        </is>
      </c>
      <c r="H2399" s="5" t="inlineStr">
        <is>
          <t>2</t>
        </is>
      </c>
      <c r="I2399" s="5" t="inlineStr">
        <is>
          <t>Mumbai</t>
        </is>
      </c>
      <c r="J2399" s="5" t="inlineStr">
        <is>
          <t>Full-Time</t>
        </is>
      </c>
      <c r="K2399" s="7" t="n">
        <v>44219</v>
      </c>
      <c r="L2399" s="7" t="inlineStr"/>
      <c r="M2399" s="5" t="inlineStr">
        <is>
          <t>Yes</t>
        </is>
      </c>
      <c r="N2399" s="5" t="inlineStr"/>
      <c r="O2399" s="8" t="inlineStr">
        <is>
          <t>69500</t>
        </is>
      </c>
      <c r="P2399" s="5" t="inlineStr">
        <is>
          <t>5</t>
        </is>
      </c>
      <c r="Q2399" s="5" t="inlineStr">
        <is>
          <t>5</t>
        </is>
      </c>
      <c r="R2399" s="5" t="inlineStr">
        <is>
          <t>5</t>
        </is>
      </c>
      <c r="S2399" s="5" t="inlineStr">
        <is>
          <t>60</t>
        </is>
      </c>
      <c r="T2399" s="5" t="inlineStr">
        <is>
          <t>6</t>
        </is>
      </c>
      <c r="U2399" s="5" t="inlineStr">
        <is>
          <t>OK</t>
        </is>
      </c>
    </row>
    <row r="2400">
      <c r="A2400" s="5" t="inlineStr">
        <is>
          <t>E00397</t>
        </is>
      </c>
      <c r="B2400" s="5" t="inlineStr">
        <is>
          <t>Male</t>
        </is>
      </c>
      <c r="C2400" s="6" t="inlineStr">
        <is>
          <t>35</t>
        </is>
      </c>
      <c r="D2400" s="5" t="inlineStr">
        <is>
          <t>Single</t>
        </is>
      </c>
      <c r="E2400" s="5" t="inlineStr">
        <is>
          <t>Diploma</t>
        </is>
      </c>
      <c r="F2400" s="5" t="inlineStr">
        <is>
          <t>Marketing</t>
        </is>
      </c>
      <c r="G2400" s="5" t="inlineStr">
        <is>
          <t>Marketing Analyst</t>
        </is>
      </c>
      <c r="H2400" s="5" t="inlineStr">
        <is>
          <t>6</t>
        </is>
      </c>
      <c r="I2400" s="5" t="inlineStr">
        <is>
          <t>Chennai</t>
        </is>
      </c>
      <c r="J2400" s="5" t="inlineStr">
        <is>
          <t>Full-Time</t>
        </is>
      </c>
      <c r="K2400" s="7" t="n">
        <v>45768</v>
      </c>
      <c r="L2400" s="7" t="inlineStr"/>
      <c r="M2400" s="5" t="inlineStr">
        <is>
          <t>Yes</t>
        </is>
      </c>
      <c r="N2400" s="5" t="inlineStr"/>
      <c r="O2400" s="8" t="inlineStr">
        <is>
          <t>127500</t>
        </is>
      </c>
      <c r="P2400" s="5" t="inlineStr">
        <is>
          <t>0</t>
        </is>
      </c>
      <c r="Q2400" s="5" t="inlineStr">
        <is>
          <t>2</t>
        </is>
      </c>
      <c r="R2400" s="5" t="inlineStr">
        <is>
          <t>7</t>
        </is>
      </c>
      <c r="S2400" s="5" t="inlineStr">
        <is>
          <t>8</t>
        </is>
      </c>
      <c r="T2400" s="5" t="inlineStr">
        <is>
          <t>0</t>
        </is>
      </c>
      <c r="U2400" s="5" t="inlineStr">
        <is>
          <t>OK</t>
        </is>
      </c>
    </row>
    <row r="2401">
      <c r="A2401" s="5" t="inlineStr">
        <is>
          <t>E01849</t>
        </is>
      </c>
      <c r="B2401" s="5" t="inlineStr">
        <is>
          <t>Male</t>
        </is>
      </c>
      <c r="C2401" s="6" t="inlineStr">
        <is>
          <t>38</t>
        </is>
      </c>
      <c r="D2401" s="5" t="inlineStr">
        <is>
          <t>Married</t>
        </is>
      </c>
      <c r="E2401" s="5" t="inlineStr">
        <is>
          <t>Diploma</t>
        </is>
      </c>
      <c r="F2401" s="5" t="inlineStr">
        <is>
          <t>Sales</t>
        </is>
      </c>
      <c r="G2401" s="5" t="inlineStr">
        <is>
          <t>Account Executive</t>
        </is>
      </c>
      <c r="H2401" s="5" t="inlineStr">
        <is>
          <t>7</t>
        </is>
      </c>
      <c r="I2401" s="5" t="inlineStr">
        <is>
          <t>Chennai</t>
        </is>
      </c>
      <c r="J2401" s="5" t="inlineStr">
        <is>
          <t>Full-Time</t>
        </is>
      </c>
      <c r="K2401" s="7" t="n">
        <v>44156</v>
      </c>
      <c r="L2401" s="7" t="inlineStr"/>
      <c r="M2401" s="5" t="inlineStr">
        <is>
          <t>Yes</t>
        </is>
      </c>
      <c r="N2401" s="5" t="inlineStr"/>
      <c r="O2401" s="8" t="inlineStr"/>
      <c r="P2401" s="5" t="inlineStr">
        <is>
          <t>0</t>
        </is>
      </c>
      <c r="Q2401" s="5" t="inlineStr">
        <is>
          <t>3</t>
        </is>
      </c>
      <c r="R2401" s="5" t="inlineStr">
        <is>
          <t>6</t>
        </is>
      </c>
      <c r="S2401" s="5" t="inlineStr">
        <is>
          <t>62</t>
        </is>
      </c>
      <c r="T2401" s="5" t="inlineStr">
        <is>
          <t>1</t>
        </is>
      </c>
      <c r="U2401" s="5" t="inlineStr">
        <is>
          <t>Blank salary</t>
        </is>
      </c>
    </row>
    <row r="2402">
      <c r="A2402" s="5" t="inlineStr">
        <is>
          <t>E00787</t>
        </is>
      </c>
      <c r="B2402" s="5" t="inlineStr">
        <is>
          <t>Female</t>
        </is>
      </c>
      <c r="C2402" s="6" t="inlineStr">
        <is>
          <t>33</t>
        </is>
      </c>
      <c r="D2402" s="5" t="inlineStr">
        <is>
          <t>Married</t>
        </is>
      </c>
      <c r="E2402" s="5" t="inlineStr">
        <is>
          <t>High School</t>
        </is>
      </c>
      <c r="F2402" s="5" t="inlineStr">
        <is>
          <t>Operations</t>
        </is>
      </c>
      <c r="G2402" s="5" t="inlineStr">
        <is>
          <t>Logistics Coordinator</t>
        </is>
      </c>
      <c r="H2402" s="5" t="inlineStr">
        <is>
          <t>6</t>
        </is>
      </c>
      <c r="I2402" s="5" t="inlineStr">
        <is>
          <t>Remote</t>
        </is>
      </c>
      <c r="J2402" s="5" t="inlineStr">
        <is>
          <t>Full-Time</t>
        </is>
      </c>
      <c r="K2402" s="7" t="n">
        <v>44781</v>
      </c>
      <c r="L2402" s="7" t="inlineStr"/>
      <c r="M2402" s="5" t="inlineStr">
        <is>
          <t>Yes</t>
        </is>
      </c>
      <c r="N2402" s="5" t="inlineStr"/>
      <c r="O2402" s="8" t="inlineStr">
        <is>
          <t>101500</t>
        </is>
      </c>
      <c r="P2402" s="5" t="inlineStr">
        <is>
          <t>0</t>
        </is>
      </c>
      <c r="Q2402" s="5" t="inlineStr">
        <is>
          <t>5</t>
        </is>
      </c>
      <c r="R2402" s="5" t="inlineStr">
        <is>
          <t>3</t>
        </is>
      </c>
      <c r="S2402" s="5" t="inlineStr">
        <is>
          <t>41</t>
        </is>
      </c>
      <c r="T2402" s="5" t="inlineStr">
        <is>
          <t>0</t>
        </is>
      </c>
      <c r="U2402" s="5" t="inlineStr">
        <is>
          <t>OK</t>
        </is>
      </c>
    </row>
    <row r="2403">
      <c r="A2403" s="5" t="inlineStr">
        <is>
          <t>E01364</t>
        </is>
      </c>
      <c r="B2403" s="5" t="inlineStr">
        <is>
          <t>Female</t>
        </is>
      </c>
      <c r="C2403" s="6" t="inlineStr">
        <is>
          <t>42</t>
        </is>
      </c>
      <c r="D2403" s="5" t="inlineStr">
        <is>
          <t>Married</t>
        </is>
      </c>
      <c r="E2403" s="5" t="inlineStr">
        <is>
          <t>High School</t>
        </is>
      </c>
      <c r="F2403" s="5" t="inlineStr">
        <is>
          <t>IT</t>
        </is>
      </c>
      <c r="G2403" s="5" t="inlineStr">
        <is>
          <t>Data Analyst</t>
        </is>
      </c>
      <c r="H2403" s="5" t="inlineStr">
        <is>
          <t>6</t>
        </is>
      </c>
      <c r="I2403" s="5" t="inlineStr">
        <is>
          <t>Hyderabad</t>
        </is>
      </c>
      <c r="J2403" s="5" t="inlineStr">
        <is>
          <t>Full-Time</t>
        </is>
      </c>
      <c r="K2403" s="7" t="n">
        <v>44264</v>
      </c>
      <c r="L2403" s="7" t="inlineStr"/>
      <c r="M2403" s="5" t="inlineStr">
        <is>
          <t>Yes</t>
        </is>
      </c>
      <c r="N2403" s="5" t="inlineStr"/>
      <c r="O2403" s="8" t="inlineStr">
        <is>
          <t>146500</t>
        </is>
      </c>
      <c r="P2403" s="5" t="inlineStr">
        <is>
          <t>5</t>
        </is>
      </c>
      <c r="Q2403" s="5" t="inlineStr">
        <is>
          <t>2</t>
        </is>
      </c>
      <c r="R2403" s="5" t="inlineStr">
        <is>
          <t>6</t>
        </is>
      </c>
      <c r="S2403" s="5" t="inlineStr">
        <is>
          <t>58</t>
        </is>
      </c>
      <c r="T2403" s="5" t="inlineStr">
        <is>
          <t>0</t>
        </is>
      </c>
      <c r="U2403" s="5" t="inlineStr">
        <is>
          <t>OK</t>
        </is>
      </c>
    </row>
    <row r="2404">
      <c r="A2404" s="5" t="inlineStr">
        <is>
          <t>E00125</t>
        </is>
      </c>
      <c r="B2404" s="5" t="inlineStr">
        <is>
          <t>Female</t>
        </is>
      </c>
      <c r="C2404" s="6" t="inlineStr">
        <is>
          <t>27</t>
        </is>
      </c>
      <c r="D2404" s="5" t="inlineStr">
        <is>
          <t>Single</t>
        </is>
      </c>
      <c r="E2404" s="5" t="inlineStr">
        <is>
          <t>Master</t>
        </is>
      </c>
      <c r="F2404" s="5" t="inlineStr">
        <is>
          <t>Research &amp; Development</t>
        </is>
      </c>
      <c r="G2404" s="5" t="inlineStr">
        <is>
          <t>Product Engineer</t>
        </is>
      </c>
      <c r="H2404" s="5" t="inlineStr">
        <is>
          <t>2</t>
        </is>
      </c>
      <c r="I2404" s="5" t="inlineStr">
        <is>
          <t>Hyderabad</t>
        </is>
      </c>
      <c r="J2404" s="5" t="inlineStr">
        <is>
          <t>Full-Time</t>
        </is>
      </c>
      <c r="K2404" s="7" t="n">
        <v>44424</v>
      </c>
      <c r="L2404" s="7" t="inlineStr"/>
      <c r="M2404" s="5" t="inlineStr">
        <is>
          <t>Yes</t>
        </is>
      </c>
      <c r="N2404" s="5" t="inlineStr"/>
      <c r="O2404" s="8" t="inlineStr">
        <is>
          <t>186500</t>
        </is>
      </c>
      <c r="P2404" s="5" t="inlineStr">
        <is>
          <t>0</t>
        </is>
      </c>
      <c r="Q2404" s="5" t="inlineStr">
        <is>
          <t>5</t>
        </is>
      </c>
      <c r="R2404" s="5" t="inlineStr">
        <is>
          <t>5</t>
        </is>
      </c>
      <c r="S2404" s="5" t="inlineStr">
        <is>
          <t>53</t>
        </is>
      </c>
      <c r="T2404" s="5" t="inlineStr">
        <is>
          <t>5</t>
        </is>
      </c>
      <c r="U2404" s="5" t="inlineStr">
        <is>
          <t>OK</t>
        </is>
      </c>
    </row>
    <row r="2405">
      <c r="A2405" s="5" t="inlineStr">
        <is>
          <t>E00248</t>
        </is>
      </c>
      <c r="B2405" s="5" t="inlineStr">
        <is>
          <t>Male</t>
        </is>
      </c>
      <c r="C2405" s="6" t="inlineStr">
        <is>
          <t>42</t>
        </is>
      </c>
      <c r="D2405" s="5" t="inlineStr">
        <is>
          <t>Married</t>
        </is>
      </c>
      <c r="E2405" s="5" t="inlineStr">
        <is>
          <t>Diploma</t>
        </is>
      </c>
      <c r="F2405" s="5" t="inlineStr">
        <is>
          <t>Sales</t>
        </is>
      </c>
      <c r="G2405" s="5" t="inlineStr">
        <is>
          <t>Account Executive</t>
        </is>
      </c>
      <c r="H2405" s="5" t="inlineStr">
        <is>
          <t>6</t>
        </is>
      </c>
      <c r="I2405" s="5" t="inlineStr">
        <is>
          <t>Delhi</t>
        </is>
      </c>
      <c r="J2405" s="5" t="inlineStr">
        <is>
          <t>Part-Time</t>
        </is>
      </c>
      <c r="K2405" s="7" t="n">
        <v>45403</v>
      </c>
      <c r="L2405" s="7" t="n">
        <v>45447</v>
      </c>
      <c r="M2405" s="5" t="inlineStr">
        <is>
          <t>No</t>
        </is>
      </c>
      <c r="N2405" s="5" t="inlineStr">
        <is>
          <t>Layoff</t>
        </is>
      </c>
      <c r="O2405" s="8" t="inlineStr">
        <is>
          <t>166000</t>
        </is>
      </c>
      <c r="P2405" s="5" t="inlineStr">
        <is>
          <t>0</t>
        </is>
      </c>
      <c r="Q2405" s="5" t="inlineStr">
        <is>
          <t>3</t>
        </is>
      </c>
      <c r="R2405" s="5" t="inlineStr">
        <is>
          <t>9</t>
        </is>
      </c>
      <c r="S2405" s="5" t="inlineStr">
        <is>
          <t>1</t>
        </is>
      </c>
      <c r="T2405" s="5" t="inlineStr">
        <is>
          <t>1</t>
        </is>
      </c>
      <c r="U2405" s="5" t="inlineStr">
        <is>
          <t>OK</t>
        </is>
      </c>
    </row>
    <row r="2406">
      <c r="A2406" s="5" t="inlineStr">
        <is>
          <t>E01054</t>
        </is>
      </c>
      <c r="B2406" s="5" t="inlineStr">
        <is>
          <t>Female</t>
        </is>
      </c>
      <c r="C2406" s="6" t="inlineStr">
        <is>
          <t>28</t>
        </is>
      </c>
      <c r="D2406" s="5" t="inlineStr">
        <is>
          <t>Married</t>
        </is>
      </c>
      <c r="E2406" s="5" t="inlineStr">
        <is>
          <t>Master</t>
        </is>
      </c>
      <c r="F2406" s="5" t="inlineStr">
        <is>
          <t>Finance</t>
        </is>
      </c>
      <c r="G2406" s="5" t="inlineStr">
        <is>
          <t>Credit Analyst</t>
        </is>
      </c>
      <c r="H2406" s="5" t="inlineStr">
        <is>
          <t>1</t>
        </is>
      </c>
      <c r="I2406" s="5" t="inlineStr">
        <is>
          <t>Bengaluru</t>
        </is>
      </c>
      <c r="J2406" s="5" t="inlineStr">
        <is>
          <t>Full-Time</t>
        </is>
      </c>
      <c r="K2406" s="7" t="n">
        <v>45250</v>
      </c>
      <c r="L2406" s="7" t="inlineStr"/>
      <c r="M2406" s="5" t="inlineStr">
        <is>
          <t>Yes</t>
        </is>
      </c>
      <c r="N2406" s="5" t="inlineStr"/>
      <c r="O2406" s="8" t="inlineStr">
        <is>
          <t>110500</t>
        </is>
      </c>
      <c r="P2406" s="5" t="inlineStr">
        <is>
          <t>0</t>
        </is>
      </c>
      <c r="Q2406" s="5" t="inlineStr">
        <is>
          <t>5</t>
        </is>
      </c>
      <c r="R2406" s="5" t="inlineStr">
        <is>
          <t>8</t>
        </is>
      </c>
      <c r="S2406" s="5" t="inlineStr">
        <is>
          <t>25</t>
        </is>
      </c>
      <c r="T2406" s="5" t="inlineStr">
        <is>
          <t>0</t>
        </is>
      </c>
      <c r="U2406" s="5" t="inlineStr">
        <is>
          <t>OK</t>
        </is>
      </c>
    </row>
    <row r="2407">
      <c r="A2407" s="5" t="inlineStr">
        <is>
          <t>E00249</t>
        </is>
      </c>
      <c r="B2407" s="5" t="inlineStr">
        <is>
          <t>Male</t>
        </is>
      </c>
      <c r="C2407" s="6" t="inlineStr">
        <is>
          <t>34</t>
        </is>
      </c>
      <c r="D2407" s="5" t="inlineStr">
        <is>
          <t>Married</t>
        </is>
      </c>
      <c r="E2407" s="5" t="inlineStr">
        <is>
          <t>Master</t>
        </is>
      </c>
      <c r="F2407" s="5" t="inlineStr">
        <is>
          <t>Finance</t>
        </is>
      </c>
      <c r="G2407" s="5" t="inlineStr">
        <is>
          <t>Accountant</t>
        </is>
      </c>
      <c r="H2407" s="5" t="inlineStr">
        <is>
          <t>2</t>
        </is>
      </c>
      <c r="I2407" s="5" t="inlineStr">
        <is>
          <t>Mumbai</t>
        </is>
      </c>
      <c r="J2407" s="5" t="inlineStr">
        <is>
          <t>Full-Time</t>
        </is>
      </c>
      <c r="K2407" s="7" t="n">
        <v>44093</v>
      </c>
      <c r="L2407" s="7" t="inlineStr"/>
      <c r="M2407" s="5" t="inlineStr">
        <is>
          <t>Yes</t>
        </is>
      </c>
      <c r="N2407" s="5" t="inlineStr"/>
      <c r="O2407" s="8" t="inlineStr">
        <is>
          <t>113000</t>
        </is>
      </c>
      <c r="P2407" s="5" t="inlineStr">
        <is>
          <t>0</t>
        </is>
      </c>
      <c r="Q2407" s="5" t="inlineStr">
        <is>
          <t>5</t>
        </is>
      </c>
      <c r="R2407" s="5" t="inlineStr">
        <is>
          <t>6</t>
        </is>
      </c>
      <c r="S2407" s="5" t="inlineStr">
        <is>
          <t>64</t>
        </is>
      </c>
      <c r="T2407" s="5" t="inlineStr">
        <is>
          <t>0</t>
        </is>
      </c>
      <c r="U2407" s="5" t="inlineStr">
        <is>
          <t>OK</t>
        </is>
      </c>
    </row>
    <row r="2408">
      <c r="A2408" s="5" t="inlineStr">
        <is>
          <t>E02404</t>
        </is>
      </c>
      <c r="B2408" s="5" t="inlineStr">
        <is>
          <t>Male</t>
        </is>
      </c>
      <c r="C2408" s="6" t="inlineStr">
        <is>
          <t>31</t>
        </is>
      </c>
      <c r="D2408" s="5" t="inlineStr">
        <is>
          <t>Married</t>
        </is>
      </c>
      <c r="E2408" s="5" t="inlineStr">
        <is>
          <t>High School</t>
        </is>
      </c>
      <c r="F2408" s="5" t="inlineStr">
        <is>
          <t>Sales</t>
        </is>
      </c>
      <c r="G2408" s="5" t="inlineStr">
        <is>
          <t>Sales Executive</t>
        </is>
      </c>
      <c r="H2408" s="5" t="inlineStr">
        <is>
          <t>5</t>
        </is>
      </c>
      <c r="I2408" s="5" t="inlineStr">
        <is>
          <t>Bengaluru</t>
        </is>
      </c>
      <c r="J2408" s="5" t="inlineStr">
        <is>
          <t>Full-Time</t>
        </is>
      </c>
      <c r="K2408" s="7" t="n">
        <v>44479</v>
      </c>
      <c r="L2408" s="7" t="inlineStr"/>
      <c r="M2408" s="5" t="inlineStr">
        <is>
          <t>Yes</t>
        </is>
      </c>
      <c r="N2408" s="5" t="inlineStr"/>
      <c r="O2408" s="8" t="inlineStr">
        <is>
          <t>107000</t>
        </is>
      </c>
      <c r="P2408" s="5" t="inlineStr">
        <is>
          <t>0</t>
        </is>
      </c>
      <c r="Q2408" s="5" t="inlineStr">
        <is>
          <t>2</t>
        </is>
      </c>
      <c r="R2408" s="5" t="inlineStr">
        <is>
          <t>4</t>
        </is>
      </c>
      <c r="S2408" s="5" t="inlineStr">
        <is>
          <t>51</t>
        </is>
      </c>
      <c r="T2408" s="5" t="inlineStr">
        <is>
          <t>7</t>
        </is>
      </c>
      <c r="U2408" s="5" t="inlineStr">
        <is>
          <t>OK</t>
        </is>
      </c>
    </row>
    <row r="2409">
      <c r="A2409" s="5" t="inlineStr">
        <is>
          <t>E00426</t>
        </is>
      </c>
      <c r="B2409" s="5" t="inlineStr">
        <is>
          <t>Female</t>
        </is>
      </c>
      <c r="C2409" s="6" t="inlineStr">
        <is>
          <t>27</t>
        </is>
      </c>
      <c r="D2409" s="5" t="inlineStr">
        <is>
          <t>Married</t>
        </is>
      </c>
      <c r="E2409" s="5" t="inlineStr">
        <is>
          <t>Master</t>
        </is>
      </c>
      <c r="F2409" s="5" t="inlineStr">
        <is>
          <t>Finance</t>
        </is>
      </c>
      <c r="G2409" s="5" t="inlineStr">
        <is>
          <t>Financial Analyst</t>
        </is>
      </c>
      <c r="H2409" s="5" t="inlineStr">
        <is>
          <t>3</t>
        </is>
      </c>
      <c r="I2409" s="5" t="inlineStr">
        <is>
          <t>Hyderabad</t>
        </is>
      </c>
      <c r="J2409" s="5" t="inlineStr">
        <is>
          <t>Full-Time</t>
        </is>
      </c>
      <c r="K2409" s="7" t="n">
        <v>43981</v>
      </c>
      <c r="L2409" s="7" t="inlineStr"/>
      <c r="M2409" s="5" t="inlineStr">
        <is>
          <t>Yes</t>
        </is>
      </c>
      <c r="N2409" s="5" t="inlineStr"/>
      <c r="O2409" s="8" t="inlineStr">
        <is>
          <t>138000</t>
        </is>
      </c>
      <c r="P2409" s="5" t="inlineStr">
        <is>
          <t>20</t>
        </is>
      </c>
      <c r="Q2409" s="5" t="inlineStr">
        <is>
          <t>3</t>
        </is>
      </c>
      <c r="R2409" s="5" t="inlineStr">
        <is>
          <t>5</t>
        </is>
      </c>
      <c r="S2409" s="5" t="inlineStr">
        <is>
          <t>68</t>
        </is>
      </c>
      <c r="T2409" s="5" t="inlineStr">
        <is>
          <t>11</t>
        </is>
      </c>
      <c r="U2409" s="5" t="inlineStr">
        <is>
          <t>OK</t>
        </is>
      </c>
    </row>
    <row r="2410">
      <c r="A2410" s="5" t="inlineStr">
        <is>
          <t>E02873</t>
        </is>
      </c>
      <c r="B2410" s="5" t="inlineStr">
        <is>
          <t>Male</t>
        </is>
      </c>
      <c r="C2410" s="6" t="inlineStr">
        <is>
          <t>35</t>
        </is>
      </c>
      <c r="D2410" s="5" t="inlineStr">
        <is>
          <t>Married</t>
        </is>
      </c>
      <c r="E2410" s="5" t="inlineStr">
        <is>
          <t>High School</t>
        </is>
      </c>
      <c r="F2410" s="5" t="inlineStr">
        <is>
          <t>IT</t>
        </is>
      </c>
      <c r="G2410" s="5" t="inlineStr">
        <is>
          <t>Software Engineer</t>
        </is>
      </c>
      <c r="H2410" s="5" t="inlineStr">
        <is>
          <t>3</t>
        </is>
      </c>
      <c r="I2410" s="5" t="inlineStr">
        <is>
          <t>Bengaluru</t>
        </is>
      </c>
      <c r="J2410" s="5" t="inlineStr">
        <is>
          <t>Contract</t>
        </is>
      </c>
      <c r="K2410" s="7" t="n">
        <v>45758</v>
      </c>
      <c r="L2410" s="7" t="inlineStr"/>
      <c r="M2410" s="5" t="inlineStr">
        <is>
          <t>Yes</t>
        </is>
      </c>
      <c r="N2410" s="5" t="inlineStr"/>
      <c r="O2410" s="8" t="inlineStr">
        <is>
          <t>160000</t>
        </is>
      </c>
      <c r="P2410" s="5" t="inlineStr">
        <is>
          <t>5</t>
        </is>
      </c>
      <c r="Q2410" s="5" t="inlineStr">
        <is>
          <t>3</t>
        </is>
      </c>
      <c r="R2410" s="5" t="inlineStr">
        <is>
          <t>6</t>
        </is>
      </c>
      <c r="S2410" s="5" t="inlineStr">
        <is>
          <t>8</t>
        </is>
      </c>
      <c r="T2410" s="5" t="inlineStr">
        <is>
          <t>0</t>
        </is>
      </c>
      <c r="U2410" s="5" t="inlineStr">
        <is>
          <t>OK</t>
        </is>
      </c>
    </row>
    <row r="2411">
      <c r="A2411" s="5" t="inlineStr">
        <is>
          <t>E02943</t>
        </is>
      </c>
      <c r="B2411" s="5" t="inlineStr">
        <is>
          <t>Male</t>
        </is>
      </c>
      <c r="C2411" s="6" t="inlineStr">
        <is>
          <t>35</t>
        </is>
      </c>
      <c r="D2411" s="5" t="inlineStr">
        <is>
          <t>Single</t>
        </is>
      </c>
      <c r="E2411" s="5" t="inlineStr">
        <is>
          <t>Diploma</t>
        </is>
      </c>
      <c r="F2411" s="5" t="inlineStr">
        <is>
          <t>Operations</t>
        </is>
      </c>
      <c r="G2411" s="5" t="inlineStr">
        <is>
          <t>Logistics Coordinator</t>
        </is>
      </c>
      <c r="H2411" s="5" t="inlineStr">
        <is>
          <t>4</t>
        </is>
      </c>
      <c r="I2411" s="5" t="inlineStr">
        <is>
          <t>Remote</t>
        </is>
      </c>
      <c r="J2411" s="5" t="inlineStr">
        <is>
          <t>Full-Time</t>
        </is>
      </c>
      <c r="K2411" s="7" t="n">
        <v>44802</v>
      </c>
      <c r="L2411" s="7" t="inlineStr"/>
      <c r="M2411" s="5" t="inlineStr">
        <is>
          <t>Yes</t>
        </is>
      </c>
      <c r="N2411" s="5" t="inlineStr"/>
      <c r="O2411" s="8" t="inlineStr">
        <is>
          <t>119000</t>
        </is>
      </c>
      <c r="P2411" s="5" t="inlineStr">
        <is>
          <t>0</t>
        </is>
      </c>
      <c r="Q2411" s="5" t="inlineStr">
        <is>
          <t>3</t>
        </is>
      </c>
      <c r="R2411" s="5" t="inlineStr">
        <is>
          <t>6</t>
        </is>
      </c>
      <c r="S2411" s="5" t="inlineStr">
        <is>
          <t>40</t>
        </is>
      </c>
      <c r="T2411" s="5" t="inlineStr">
        <is>
          <t>3</t>
        </is>
      </c>
      <c r="U2411" s="5" t="inlineStr">
        <is>
          <t>OK</t>
        </is>
      </c>
    </row>
    <row r="2412">
      <c r="A2412" s="5" t="inlineStr">
        <is>
          <t>E00737</t>
        </is>
      </c>
      <c r="B2412" s="5" t="inlineStr">
        <is>
          <t>Male</t>
        </is>
      </c>
      <c r="C2412" s="6" t="inlineStr">
        <is>
          <t>250</t>
        </is>
      </c>
      <c r="D2412" s="5" t="inlineStr">
        <is>
          <t>Married</t>
        </is>
      </c>
      <c r="E2412" s="5" t="inlineStr">
        <is>
          <t>High School</t>
        </is>
      </c>
      <c r="F2412" s="5" t="inlineStr">
        <is>
          <t>Sales</t>
        </is>
      </c>
      <c r="G2412" s="5" t="inlineStr">
        <is>
          <t>Business Development</t>
        </is>
      </c>
      <c r="H2412" s="5" t="inlineStr">
        <is>
          <t>1</t>
        </is>
      </c>
      <c r="I2412" s="5" t="inlineStr">
        <is>
          <t>Remote</t>
        </is>
      </c>
      <c r="J2412" s="5" t="inlineStr">
        <is>
          <t>Full-Time</t>
        </is>
      </c>
      <c r="K2412" s="7" t="n">
        <v>45804</v>
      </c>
      <c r="L2412" s="7" t="inlineStr"/>
      <c r="M2412" s="5" t="inlineStr">
        <is>
          <t>Yes</t>
        </is>
      </c>
      <c r="N2412" s="5" t="inlineStr"/>
      <c r="O2412" s="8" t="inlineStr">
        <is>
          <t>96500</t>
        </is>
      </c>
      <c r="P2412" s="5" t="inlineStr">
        <is>
          <t>15</t>
        </is>
      </c>
      <c r="Q2412" s="5" t="inlineStr">
        <is>
          <t>3</t>
        </is>
      </c>
      <c r="R2412" s="5" t="inlineStr">
        <is>
          <t>5</t>
        </is>
      </c>
      <c r="S2412" s="5" t="inlineStr">
        <is>
          <t>7</t>
        </is>
      </c>
      <c r="T2412" s="5" t="inlineStr">
        <is>
          <t>4</t>
        </is>
      </c>
      <c r="U2412" s="5" t="inlineStr">
        <is>
          <t>Age typo</t>
        </is>
      </c>
    </row>
    <row r="2413">
      <c r="A2413" s="5" t="inlineStr">
        <is>
          <t>E01508</t>
        </is>
      </c>
      <c r="B2413" s="5" t="inlineStr">
        <is>
          <t>Unknown</t>
        </is>
      </c>
      <c r="C2413" s="6" t="inlineStr">
        <is>
          <t>31</t>
        </is>
      </c>
      <c r="D2413" s="5" t="inlineStr">
        <is>
          <t>Single</t>
        </is>
      </c>
      <c r="E2413" s="5" t="inlineStr">
        <is>
          <t>Master</t>
        </is>
      </c>
      <c r="F2413" s="5" t="inlineStr">
        <is>
          <t>Marketing</t>
        </is>
      </c>
      <c r="G2413" s="5" t="inlineStr">
        <is>
          <t>SEO Specialist</t>
        </is>
      </c>
      <c r="H2413" s="5" t="inlineStr">
        <is>
          <t>4</t>
        </is>
      </c>
      <c r="I2413" s="5" t="inlineStr">
        <is>
          <t>Delhi</t>
        </is>
      </c>
      <c r="J2413" s="5" t="inlineStr">
        <is>
          <t>Full-Time</t>
        </is>
      </c>
      <c r="K2413" s="7" t="n">
        <v>45099</v>
      </c>
      <c r="L2413" s="7" t="inlineStr"/>
      <c r="M2413" s="5" t="inlineStr">
        <is>
          <t>Yes</t>
        </is>
      </c>
      <c r="N2413" s="5" t="inlineStr"/>
      <c r="O2413" s="8" t="inlineStr">
        <is>
          <t>83500</t>
        </is>
      </c>
      <c r="P2413" s="5" t="inlineStr">
        <is>
          <t>0</t>
        </is>
      </c>
      <c r="Q2413" s="5" t="inlineStr">
        <is>
          <t>4</t>
        </is>
      </c>
      <c r="R2413" s="5" t="inlineStr">
        <is>
          <t>6</t>
        </is>
      </c>
      <c r="S2413" s="5" t="inlineStr">
        <is>
          <t>30</t>
        </is>
      </c>
      <c r="T2413" s="5" t="inlineStr">
        <is>
          <t>7</t>
        </is>
      </c>
      <c r="U2413" s="5" t="inlineStr">
        <is>
          <t>Bad gender</t>
        </is>
      </c>
    </row>
    <row r="2414">
      <c r="A2414" s="5" t="inlineStr">
        <is>
          <t>E01369</t>
        </is>
      </c>
      <c r="B2414" s="5" t="inlineStr">
        <is>
          <t>Male</t>
        </is>
      </c>
      <c r="C2414" s="6" t="inlineStr">
        <is>
          <t>30</t>
        </is>
      </c>
      <c r="D2414" s="5" t="inlineStr">
        <is>
          <t>Married</t>
        </is>
      </c>
      <c r="E2414" s="5" t="inlineStr">
        <is>
          <t>Bachelor</t>
        </is>
      </c>
      <c r="F2414" s="5" t="inlineStr">
        <is>
          <t>Human Resources</t>
        </is>
      </c>
      <c r="G2414" s="5" t="inlineStr">
        <is>
          <t>Recruiter</t>
        </is>
      </c>
      <c r="H2414" s="5" t="inlineStr">
        <is>
          <t>1</t>
        </is>
      </c>
      <c r="I2414" s="5" t="inlineStr">
        <is>
          <t>Bengaluru</t>
        </is>
      </c>
      <c r="J2414" s="5" t="inlineStr">
        <is>
          <t>Full-Time</t>
        </is>
      </c>
      <c r="K2414" s="7" t="n">
        <v>45957</v>
      </c>
      <c r="L2414" s="7" t="n">
        <v>46021</v>
      </c>
      <c r="M2414" s="5" t="inlineStr">
        <is>
          <t>No</t>
        </is>
      </c>
      <c r="N2414" s="5" t="inlineStr">
        <is>
          <t>Retirement</t>
        </is>
      </c>
      <c r="O2414" s="8" t="inlineStr">
        <is>
          <t>80000</t>
        </is>
      </c>
      <c r="P2414" s="5" t="inlineStr">
        <is>
          <t>0</t>
        </is>
      </c>
      <c r="Q2414" s="5" t="inlineStr">
        <is>
          <t>3</t>
        </is>
      </c>
      <c r="R2414" s="5" t="inlineStr">
        <is>
          <t>9</t>
        </is>
      </c>
      <c r="S2414" s="5" t="inlineStr">
        <is>
          <t>2</t>
        </is>
      </c>
      <c r="T2414" s="5" t="inlineStr">
        <is>
          <t>7</t>
        </is>
      </c>
      <c r="U2414" s="5" t="inlineStr">
        <is>
          <t>OK</t>
        </is>
      </c>
    </row>
    <row r="2415">
      <c r="A2415" s="5" t="inlineStr">
        <is>
          <t>E00651</t>
        </is>
      </c>
      <c r="B2415" s="5" t="inlineStr">
        <is>
          <t>Male</t>
        </is>
      </c>
      <c r="C2415" s="6" t="inlineStr">
        <is>
          <t>30</t>
        </is>
      </c>
      <c r="D2415" s="5" t="inlineStr">
        <is>
          <t>Married</t>
        </is>
      </c>
      <c r="E2415" s="5" t="inlineStr">
        <is>
          <t>Master</t>
        </is>
      </c>
      <c r="F2415" s="5" t="inlineStr">
        <is>
          <t>Customer Support</t>
        </is>
      </c>
      <c r="G2415" s="5" t="inlineStr">
        <is>
          <t>Support Agent</t>
        </is>
      </c>
      <c r="H2415" s="5" t="inlineStr">
        <is>
          <t>2</t>
        </is>
      </c>
      <c r="I2415" s="5" t="inlineStr">
        <is>
          <t>Mumbai</t>
        </is>
      </c>
      <c r="J2415" s="5" t="inlineStr">
        <is>
          <t>Full-Time</t>
        </is>
      </c>
      <c r="K2415" s="7" t="n">
        <v>45712</v>
      </c>
      <c r="L2415" s="7" t="n">
        <v>45812</v>
      </c>
      <c r="M2415" s="5" t="inlineStr">
        <is>
          <t>No</t>
        </is>
      </c>
      <c r="N2415" s="5" t="inlineStr">
        <is>
          <t>Retirement</t>
        </is>
      </c>
      <c r="O2415" s="8" t="inlineStr">
        <is>
          <t>68000</t>
        </is>
      </c>
      <c r="P2415" s="5" t="inlineStr">
        <is>
          <t>15</t>
        </is>
      </c>
      <c r="Q2415" s="5" t="inlineStr">
        <is>
          <t>5</t>
        </is>
      </c>
      <c r="R2415" s="5" t="inlineStr">
        <is>
          <t>10</t>
        </is>
      </c>
      <c r="S2415" s="5" t="inlineStr">
        <is>
          <t>3</t>
        </is>
      </c>
      <c r="T2415" s="5" t="inlineStr">
        <is>
          <t>0</t>
        </is>
      </c>
      <c r="U2415" s="5" t="inlineStr">
        <is>
          <t>OK</t>
        </is>
      </c>
    </row>
    <row r="2416">
      <c r="A2416" s="5" t="inlineStr">
        <is>
          <t>E00795</t>
        </is>
      </c>
      <c r="B2416" s="5" t="inlineStr">
        <is>
          <t>Male</t>
        </is>
      </c>
      <c r="C2416" s="6" t="inlineStr">
        <is>
          <t>36</t>
        </is>
      </c>
      <c r="D2416" s="5" t="inlineStr">
        <is>
          <t>Married</t>
        </is>
      </c>
      <c r="E2416" s="5" t="inlineStr">
        <is>
          <t>High School</t>
        </is>
      </c>
      <c r="F2416" s="5" t="inlineStr">
        <is>
          <t>IT</t>
        </is>
      </c>
      <c r="G2416" s="5" t="inlineStr">
        <is>
          <t>Software Engineer</t>
        </is>
      </c>
      <c r="H2416" s="5" t="inlineStr">
        <is>
          <t>4</t>
        </is>
      </c>
      <c r="I2416" s="5" t="inlineStr">
        <is>
          <t>Delhi</t>
        </is>
      </c>
      <c r="J2416" s="5" t="inlineStr">
        <is>
          <t>Full-Time</t>
        </is>
      </c>
      <c r="K2416" s="7" t="n">
        <v>44518</v>
      </c>
      <c r="L2416" s="7" t="inlineStr"/>
      <c r="M2416" s="5" t="inlineStr">
        <is>
          <t>Yes</t>
        </is>
      </c>
      <c r="N2416" s="5" t="inlineStr"/>
      <c r="O2416" s="8" t="inlineStr">
        <is>
          <t>165000</t>
        </is>
      </c>
      <c r="P2416" s="5" t="inlineStr">
        <is>
          <t>15</t>
        </is>
      </c>
      <c r="Q2416" s="5" t="inlineStr">
        <is>
          <t>3</t>
        </is>
      </c>
      <c r="R2416" s="5" t="inlineStr">
        <is>
          <t>6</t>
        </is>
      </c>
      <c r="S2416" s="5" t="inlineStr">
        <is>
          <t>50</t>
        </is>
      </c>
      <c r="T2416" s="5" t="inlineStr">
        <is>
          <t>15</t>
        </is>
      </c>
      <c r="U2416" s="5" t="inlineStr">
        <is>
          <t>OK</t>
        </is>
      </c>
    </row>
    <row r="2417">
      <c r="A2417" s="5" t="inlineStr">
        <is>
          <t>E01965</t>
        </is>
      </c>
      <c r="B2417" s="5" t="inlineStr">
        <is>
          <t>Male</t>
        </is>
      </c>
      <c r="C2417" s="6" t="inlineStr">
        <is>
          <t>39</t>
        </is>
      </c>
      <c r="D2417" s="5" t="inlineStr">
        <is>
          <t>Married</t>
        </is>
      </c>
      <c r="E2417" s="5" t="inlineStr">
        <is>
          <t>Diploma</t>
        </is>
      </c>
      <c r="F2417" s="5" t="inlineStr">
        <is>
          <t>Human Resources</t>
        </is>
      </c>
      <c r="G2417" s="5" t="inlineStr">
        <is>
          <t>Recruiter</t>
        </is>
      </c>
      <c r="H2417" s="5" t="inlineStr">
        <is>
          <t>5</t>
        </is>
      </c>
      <c r="I2417" s="5" t="inlineStr">
        <is>
          <t>Chennai</t>
        </is>
      </c>
      <c r="J2417" s="5" t="inlineStr">
        <is>
          <t>Full-Time</t>
        </is>
      </c>
      <c r="K2417" s="7" t="n">
        <v>44668</v>
      </c>
      <c r="L2417" s="7" t="inlineStr"/>
      <c r="M2417" s="5" t="inlineStr">
        <is>
          <t>Yes</t>
        </is>
      </c>
      <c r="N2417" s="5" t="inlineStr"/>
      <c r="O2417" s="8" t="inlineStr">
        <is>
          <t>110000</t>
        </is>
      </c>
      <c r="P2417" s="5" t="inlineStr">
        <is>
          <t>0</t>
        </is>
      </c>
      <c r="Q2417" s="5" t="inlineStr">
        <is>
          <t>4</t>
        </is>
      </c>
      <c r="R2417" s="5" t="inlineStr">
        <is>
          <t>6</t>
        </is>
      </c>
      <c r="S2417" s="5" t="inlineStr">
        <is>
          <t>45</t>
        </is>
      </c>
      <c r="T2417" s="5" t="inlineStr">
        <is>
          <t>0</t>
        </is>
      </c>
      <c r="U2417" s="5" t="inlineStr">
        <is>
          <t>OK</t>
        </is>
      </c>
    </row>
    <row r="2418">
      <c r="A2418" s="5" t="inlineStr">
        <is>
          <t>E01627</t>
        </is>
      </c>
      <c r="B2418" s="5" t="inlineStr">
        <is>
          <t>Female</t>
        </is>
      </c>
      <c r="C2418" s="6" t="inlineStr">
        <is>
          <t>32</t>
        </is>
      </c>
      <c r="D2418" s="5" t="inlineStr">
        <is>
          <t>Married</t>
        </is>
      </c>
      <c r="E2418" s="5" t="inlineStr">
        <is>
          <t>PhD</t>
        </is>
      </c>
      <c r="F2418" s="5" t="inlineStr">
        <is>
          <t>Marketing</t>
        </is>
      </c>
      <c r="G2418" s="5" t="inlineStr">
        <is>
          <t>SEO Specialist</t>
        </is>
      </c>
      <c r="H2418" s="5" t="inlineStr">
        <is>
          <t>1</t>
        </is>
      </c>
      <c r="I2418" s="5" t="inlineStr">
        <is>
          <t>Chennai</t>
        </is>
      </c>
      <c r="J2418" s="5" t="inlineStr">
        <is>
          <t>Contract</t>
        </is>
      </c>
      <c r="K2418" s="7" t="n">
        <v>45338</v>
      </c>
      <c r="L2418" s="7" t="inlineStr"/>
      <c r="M2418" s="5" t="inlineStr">
        <is>
          <t>Yes</t>
        </is>
      </c>
      <c r="N2418" s="5" t="inlineStr"/>
      <c r="O2418" s="8" t="inlineStr">
        <is>
          <t>75500</t>
        </is>
      </c>
      <c r="P2418" s="5" t="inlineStr">
        <is>
          <t>0</t>
        </is>
      </c>
      <c r="Q2418" s="5" t="inlineStr">
        <is>
          <t>5</t>
        </is>
      </c>
      <c r="R2418" s="5" t="inlineStr">
        <is>
          <t>5</t>
        </is>
      </c>
      <c r="S2418" s="5" t="inlineStr">
        <is>
          <t>22</t>
        </is>
      </c>
      <c r="T2418" s="5" t="inlineStr">
        <is>
          <t>3</t>
        </is>
      </c>
      <c r="U2418" s="5" t="inlineStr">
        <is>
          <t>OK</t>
        </is>
      </c>
    </row>
    <row r="2419">
      <c r="A2419" s="5" t="inlineStr">
        <is>
          <t>E01596</t>
        </is>
      </c>
      <c r="B2419" s="5" t="inlineStr">
        <is>
          <t>Male</t>
        </is>
      </c>
      <c r="C2419" s="6" t="inlineStr">
        <is>
          <t>34</t>
        </is>
      </c>
      <c r="D2419" s="5" t="inlineStr">
        <is>
          <t>Married</t>
        </is>
      </c>
      <c r="E2419" s="5" t="inlineStr">
        <is>
          <t>High School</t>
        </is>
      </c>
      <c r="F2419" s="5" t="inlineStr">
        <is>
          <t>Marketing</t>
        </is>
      </c>
      <c r="G2419" s="5" t="inlineStr">
        <is>
          <t>SEO Specialist</t>
        </is>
      </c>
      <c r="H2419" s="5" t="inlineStr">
        <is>
          <t>2</t>
        </is>
      </c>
      <c r="I2419" s="5" t="inlineStr">
        <is>
          <t>Chennai</t>
        </is>
      </c>
      <c r="J2419" s="5" t="inlineStr">
        <is>
          <t>Full-Time</t>
        </is>
      </c>
      <c r="K2419" s="7" t="n">
        <v>45084</v>
      </c>
      <c r="L2419" s="7" t="inlineStr"/>
      <c r="M2419" s="5" t="inlineStr">
        <is>
          <t>Yes</t>
        </is>
      </c>
      <c r="N2419" s="5" t="inlineStr"/>
      <c r="O2419" s="8" t="inlineStr">
        <is>
          <t>60500</t>
        </is>
      </c>
      <c r="P2419" s="5" t="inlineStr">
        <is>
          <t>10</t>
        </is>
      </c>
      <c r="Q2419" s="5" t="inlineStr">
        <is>
          <t>3</t>
        </is>
      </c>
      <c r="R2419" s="5" t="inlineStr">
        <is>
          <t>6</t>
        </is>
      </c>
      <c r="S2419" s="5" t="inlineStr">
        <is>
          <t>31</t>
        </is>
      </c>
      <c r="T2419" s="5" t="inlineStr">
        <is>
          <t>0</t>
        </is>
      </c>
      <c r="U2419" s="5" t="inlineStr">
        <is>
          <t>OK</t>
        </is>
      </c>
    </row>
    <row r="2420">
      <c r="A2420" s="5" t="inlineStr">
        <is>
          <t>E00258</t>
        </is>
      </c>
      <c r="B2420" s="5" t="inlineStr">
        <is>
          <t>Female</t>
        </is>
      </c>
      <c r="C2420" s="6" t="inlineStr">
        <is>
          <t>250</t>
        </is>
      </c>
      <c r="D2420" s="5" t="inlineStr">
        <is>
          <t>Married</t>
        </is>
      </c>
      <c r="E2420" s="5" t="inlineStr">
        <is>
          <t>Diploma</t>
        </is>
      </c>
      <c r="F2420" s="5" t="inlineStr">
        <is>
          <t>Sales</t>
        </is>
      </c>
      <c r="G2420" s="5" t="inlineStr">
        <is>
          <t>Business Development</t>
        </is>
      </c>
      <c r="H2420" s="5" t="inlineStr">
        <is>
          <t>3</t>
        </is>
      </c>
      <c r="I2420" s="5" t="inlineStr">
        <is>
          <t>Bengaluru</t>
        </is>
      </c>
      <c r="J2420" s="5" t="inlineStr">
        <is>
          <t>Contract</t>
        </is>
      </c>
      <c r="K2420" s="7" t="n">
        <v>44129</v>
      </c>
      <c r="L2420" s="7" t="inlineStr"/>
      <c r="M2420" s="5" t="inlineStr">
        <is>
          <t>Yes</t>
        </is>
      </c>
      <c r="N2420" s="5" t="inlineStr"/>
      <c r="O2420" s="8" t="inlineStr">
        <is>
          <t>130000</t>
        </is>
      </c>
      <c r="P2420" s="5" t="inlineStr">
        <is>
          <t>0</t>
        </is>
      </c>
      <c r="Q2420" s="5" t="inlineStr">
        <is>
          <t>4</t>
        </is>
      </c>
      <c r="R2420" s="5" t="inlineStr">
        <is>
          <t>7</t>
        </is>
      </c>
      <c r="S2420" s="5" t="inlineStr">
        <is>
          <t>63</t>
        </is>
      </c>
      <c r="T2420" s="5" t="inlineStr">
        <is>
          <t>8</t>
        </is>
      </c>
      <c r="U2420" s="5" t="inlineStr">
        <is>
          <t>Age typo</t>
        </is>
      </c>
    </row>
    <row r="2421">
      <c r="A2421" s="5" t="inlineStr">
        <is>
          <t>E00396</t>
        </is>
      </c>
      <c r="B2421" s="5" t="inlineStr">
        <is>
          <t>Female</t>
        </is>
      </c>
      <c r="C2421" s="6" t="inlineStr">
        <is>
          <t>28</t>
        </is>
      </c>
      <c r="D2421" s="5" t="inlineStr">
        <is>
          <t>Married</t>
        </is>
      </c>
      <c r="E2421" s="5" t="inlineStr">
        <is>
          <t>Bachelor</t>
        </is>
      </c>
      <c r="F2421" s="5" t="inlineStr">
        <is>
          <t>Operations</t>
        </is>
      </c>
      <c r="G2421" s="5" t="inlineStr">
        <is>
          <t>Logistics Coordinator</t>
        </is>
      </c>
      <c r="H2421" s="5" t="inlineStr">
        <is>
          <t>2</t>
        </is>
      </c>
      <c r="I2421" s="5" t="inlineStr">
        <is>
          <t>Delhi</t>
        </is>
      </c>
      <c r="J2421" s="5" t="inlineStr">
        <is>
          <t>Full-Time</t>
        </is>
      </c>
      <c r="K2421" s="7" t="n">
        <v>44592</v>
      </c>
      <c r="L2421" s="7" t="inlineStr"/>
      <c r="M2421" s="5" t="inlineStr">
        <is>
          <t>Yes</t>
        </is>
      </c>
      <c r="N2421" s="5" t="inlineStr"/>
      <c r="O2421" s="8" t="inlineStr">
        <is>
          <t>109000</t>
        </is>
      </c>
      <c r="P2421" s="5" t="inlineStr">
        <is>
          <t>0</t>
        </is>
      </c>
      <c r="Q2421" s="5" t="inlineStr">
        <is>
          <t>4</t>
        </is>
      </c>
      <c r="R2421" s="5" t="inlineStr">
        <is>
          <t>9</t>
        </is>
      </c>
      <c r="S2421" s="5" t="inlineStr">
        <is>
          <t>47</t>
        </is>
      </c>
      <c r="T2421" s="5" t="inlineStr">
        <is>
          <t>13</t>
        </is>
      </c>
      <c r="U2421" s="5" t="inlineStr">
        <is>
          <t>OK</t>
        </is>
      </c>
    </row>
    <row r="2422">
      <c r="A2422" s="5" t="inlineStr">
        <is>
          <t>E01045</t>
        </is>
      </c>
      <c r="B2422" s="5" t="inlineStr">
        <is>
          <t>Female</t>
        </is>
      </c>
      <c r="C2422" s="6" t="inlineStr">
        <is>
          <t>32</t>
        </is>
      </c>
      <c r="D2422" s="5" t="inlineStr">
        <is>
          <t>Single</t>
        </is>
      </c>
      <c r="E2422" s="5" t="inlineStr">
        <is>
          <t>Master</t>
        </is>
      </c>
      <c r="F2422" s="5" t="inlineStr">
        <is>
          <t>Sales</t>
        </is>
      </c>
      <c r="G2422" s="5" t="inlineStr">
        <is>
          <t>Business Development</t>
        </is>
      </c>
      <c r="H2422" s="5" t="inlineStr">
        <is>
          <t>4</t>
        </is>
      </c>
      <c r="I2422" s="5" t="inlineStr">
        <is>
          <t>Remote</t>
        </is>
      </c>
      <c r="J2422" s="5" t="inlineStr">
        <is>
          <t>Full-Time</t>
        </is>
      </c>
      <c r="K2422" s="7" t="n">
        <v>45275</v>
      </c>
      <c r="L2422" s="7" t="n">
        <v>45340</v>
      </c>
      <c r="M2422" s="5" t="inlineStr">
        <is>
          <t>No</t>
        </is>
      </c>
      <c r="N2422" s="5" t="inlineStr">
        <is>
          <t>Resigned</t>
        </is>
      </c>
      <c r="O2422" s="8" t="inlineStr">
        <is>
          <t>116000</t>
        </is>
      </c>
      <c r="P2422" s="5" t="inlineStr">
        <is>
          <t>0</t>
        </is>
      </c>
      <c r="Q2422" s="5" t="inlineStr">
        <is>
          <t>3</t>
        </is>
      </c>
      <c r="R2422" s="5" t="inlineStr">
        <is>
          <t>4</t>
        </is>
      </c>
      <c r="S2422" s="5" t="inlineStr">
        <is>
          <t>2</t>
        </is>
      </c>
      <c r="T2422" s="5" t="inlineStr">
        <is>
          <t>7</t>
        </is>
      </c>
      <c r="U2422" s="5" t="inlineStr">
        <is>
          <t>OK</t>
        </is>
      </c>
    </row>
    <row r="2423">
      <c r="A2423" s="5" t="inlineStr">
        <is>
          <t>E00253</t>
        </is>
      </c>
      <c r="B2423" s="5" t="inlineStr">
        <is>
          <t>Female</t>
        </is>
      </c>
      <c r="C2423" s="6" t="inlineStr">
        <is>
          <t>33</t>
        </is>
      </c>
      <c r="D2423" s="5" t="inlineStr">
        <is>
          <t>Single</t>
        </is>
      </c>
      <c r="E2423" s="5" t="inlineStr">
        <is>
          <t>Master</t>
        </is>
      </c>
      <c r="F2423" s="5" t="inlineStr">
        <is>
          <t>Customer Support</t>
        </is>
      </c>
      <c r="G2423" s="5" t="inlineStr">
        <is>
          <t>Support Agent</t>
        </is>
      </c>
      <c r="H2423" s="5" t="inlineStr">
        <is>
          <t>3</t>
        </is>
      </c>
      <c r="I2423" s="5" t="inlineStr">
        <is>
          <t>Bengaluru</t>
        </is>
      </c>
      <c r="J2423" s="5" t="inlineStr">
        <is>
          <t>Full-Time</t>
        </is>
      </c>
      <c r="K2423" s="7" t="n">
        <v>45104</v>
      </c>
      <c r="L2423" s="7" t="inlineStr"/>
      <c r="M2423" s="5" t="inlineStr">
        <is>
          <t>Yes</t>
        </is>
      </c>
      <c r="N2423" s="5" t="inlineStr"/>
      <c r="O2423" s="8" t="inlineStr">
        <is>
          <t>54000</t>
        </is>
      </c>
      <c r="P2423" s="5" t="inlineStr">
        <is>
          <t>15</t>
        </is>
      </c>
      <c r="Q2423" s="5" t="inlineStr">
        <is>
          <t>4</t>
        </is>
      </c>
      <c r="R2423" s="5" t="inlineStr">
        <is>
          <t>6</t>
        </is>
      </c>
      <c r="S2423" s="5" t="inlineStr">
        <is>
          <t>30</t>
        </is>
      </c>
      <c r="T2423" s="5" t="inlineStr">
        <is>
          <t>1</t>
        </is>
      </c>
      <c r="U2423" s="5" t="inlineStr">
        <is>
          <t>OK</t>
        </is>
      </c>
    </row>
    <row r="2424">
      <c r="A2424" s="5" t="inlineStr">
        <is>
          <t>E00968</t>
        </is>
      </c>
      <c r="B2424" s="5" t="inlineStr">
        <is>
          <t>Male</t>
        </is>
      </c>
      <c r="C2424" s="6" t="inlineStr">
        <is>
          <t>30</t>
        </is>
      </c>
      <c r="D2424" s="5" t="inlineStr">
        <is>
          <t>Married</t>
        </is>
      </c>
      <c r="E2424" s="5" t="inlineStr">
        <is>
          <t>High School</t>
        </is>
      </c>
      <c r="F2424" s="5" t="inlineStr">
        <is>
          <t>Human Resources</t>
        </is>
      </c>
      <c r="G2424" s="5" t="inlineStr">
        <is>
          <t>HR Analyst</t>
        </is>
      </c>
      <c r="H2424" s="5" t="inlineStr">
        <is>
          <t>2</t>
        </is>
      </c>
      <c r="I2424" s="5" t="inlineStr">
        <is>
          <t>Chennai</t>
        </is>
      </c>
      <c r="J2424" s="5" t="inlineStr">
        <is>
          <t>Full-Time</t>
        </is>
      </c>
      <c r="K2424" s="7" t="n">
        <v>45264</v>
      </c>
      <c r="L2424" s="7" t="n">
        <v>45407</v>
      </c>
      <c r="M2424" s="5" t="inlineStr">
        <is>
          <t>No</t>
        </is>
      </c>
      <c r="N2424" s="5" t="inlineStr">
        <is>
          <t>Resigned</t>
        </is>
      </c>
      <c r="O2424" s="8" t="inlineStr">
        <is>
          <t>92000</t>
        </is>
      </c>
      <c r="P2424" s="5" t="inlineStr">
        <is>
          <t>0</t>
        </is>
      </c>
      <c r="Q2424" s="5" t="inlineStr">
        <is>
          <t>3</t>
        </is>
      </c>
      <c r="R2424" s="5" t="inlineStr">
        <is>
          <t>5</t>
        </is>
      </c>
      <c r="S2424" s="5" t="inlineStr">
        <is>
          <t>4</t>
        </is>
      </c>
      <c r="T2424" s="5" t="inlineStr">
        <is>
          <t>5</t>
        </is>
      </c>
      <c r="U2424" s="5" t="inlineStr">
        <is>
          <t>OK</t>
        </is>
      </c>
    </row>
    <row r="2425">
      <c r="A2425" s="5" t="inlineStr">
        <is>
          <t>E01165</t>
        </is>
      </c>
      <c r="B2425" s="5" t="inlineStr">
        <is>
          <t>Female</t>
        </is>
      </c>
      <c r="C2425" s="6" t="inlineStr">
        <is>
          <t>35</t>
        </is>
      </c>
      <c r="D2425" s="5" t="inlineStr">
        <is>
          <t>Divorced</t>
        </is>
      </c>
      <c r="E2425" s="5" t="inlineStr">
        <is>
          <t>Diploma</t>
        </is>
      </c>
      <c r="F2425" s="5" t="inlineStr">
        <is>
          <t>Sales</t>
        </is>
      </c>
      <c r="G2425" s="5" t="inlineStr">
        <is>
          <t>Sales Executive</t>
        </is>
      </c>
      <c r="H2425" s="5" t="inlineStr">
        <is>
          <t>3</t>
        </is>
      </c>
      <c r="I2425" s="5" t="inlineStr">
        <is>
          <t>Remote</t>
        </is>
      </c>
      <c r="J2425" s="5" t="inlineStr">
        <is>
          <t>Full-Time</t>
        </is>
      </c>
      <c r="K2425" s="7" t="n">
        <v>44484</v>
      </c>
      <c r="L2425" s="7" t="inlineStr"/>
      <c r="M2425" s="5" t="inlineStr">
        <is>
          <t>Yes</t>
        </is>
      </c>
      <c r="N2425" s="5" t="inlineStr"/>
      <c r="O2425" s="8" t="inlineStr">
        <is>
          <t>100000</t>
        </is>
      </c>
      <c r="P2425" s="5" t="inlineStr">
        <is>
          <t>20</t>
        </is>
      </c>
      <c r="Q2425" s="5" t="inlineStr">
        <is>
          <t>3</t>
        </is>
      </c>
      <c r="R2425" s="5" t="inlineStr">
        <is>
          <t>6</t>
        </is>
      </c>
      <c r="S2425" s="5" t="inlineStr">
        <is>
          <t>51</t>
        </is>
      </c>
      <c r="T2425" s="5" t="inlineStr">
        <is>
          <t>1</t>
        </is>
      </c>
      <c r="U2425" s="5" t="inlineStr">
        <is>
          <t>OK</t>
        </is>
      </c>
    </row>
    <row r="2426">
      <c r="A2426" s="5" t="inlineStr">
        <is>
          <t>E02638</t>
        </is>
      </c>
      <c r="B2426" s="5" t="inlineStr">
        <is>
          <t>Male</t>
        </is>
      </c>
      <c r="C2426" s="6" t="inlineStr">
        <is>
          <t>42</t>
        </is>
      </c>
      <c r="D2426" s="5" t="inlineStr">
        <is>
          <t>Divorced</t>
        </is>
      </c>
      <c r="E2426" s="5" t="inlineStr">
        <is>
          <t>Diploma</t>
        </is>
      </c>
      <c r="F2426" s="5" t="inlineStr">
        <is>
          <t>Customer Support</t>
        </is>
      </c>
      <c r="G2426" s="5" t="inlineStr">
        <is>
          <t>Support Lead</t>
        </is>
      </c>
      <c r="H2426" s="5" t="inlineStr">
        <is>
          <t>5</t>
        </is>
      </c>
      <c r="I2426" s="5" t="inlineStr">
        <is>
          <t>Hyderabad</t>
        </is>
      </c>
      <c r="J2426" s="5" t="inlineStr">
        <is>
          <t>Part-Time</t>
        </is>
      </c>
      <c r="K2426" s="7" t="n">
        <v>45748</v>
      </c>
      <c r="L2426" s="7" t="inlineStr"/>
      <c r="M2426" s="5" t="inlineStr">
        <is>
          <t>Yes</t>
        </is>
      </c>
      <c r="N2426" s="5" t="inlineStr"/>
      <c r="O2426" s="8" t="inlineStr">
        <is>
          <t>77500</t>
        </is>
      </c>
      <c r="P2426" s="5" t="inlineStr">
        <is>
          <t>0</t>
        </is>
      </c>
      <c r="Q2426" s="5" t="inlineStr">
        <is>
          <t>3</t>
        </is>
      </c>
      <c r="R2426" s="5" t="inlineStr">
        <is>
          <t>6</t>
        </is>
      </c>
      <c r="S2426" s="5" t="inlineStr">
        <is>
          <t>9</t>
        </is>
      </c>
      <c r="T2426" s="5" t="inlineStr">
        <is>
          <t>11</t>
        </is>
      </c>
      <c r="U2426" s="5" t="inlineStr">
        <is>
          <t>OK</t>
        </is>
      </c>
    </row>
    <row r="2427">
      <c r="A2427" s="5" t="inlineStr">
        <is>
          <t>E01576</t>
        </is>
      </c>
      <c r="B2427" s="5" t="inlineStr">
        <is>
          <t>Male</t>
        </is>
      </c>
      <c r="C2427" s="6" t="inlineStr">
        <is>
          <t>30</t>
        </is>
      </c>
      <c r="D2427" s="5" t="inlineStr">
        <is>
          <t>Divorced</t>
        </is>
      </c>
      <c r="E2427" s="5" t="inlineStr">
        <is>
          <t>Bachelor</t>
        </is>
      </c>
      <c r="F2427" s="5" t="inlineStr">
        <is>
          <t>Customer Support</t>
        </is>
      </c>
      <c r="G2427" s="5" t="inlineStr">
        <is>
          <t>Support Lead</t>
        </is>
      </c>
      <c r="H2427" s="5" t="inlineStr">
        <is>
          <t>1</t>
        </is>
      </c>
      <c r="I2427" s="5" t="inlineStr">
        <is>
          <t>Remote</t>
        </is>
      </c>
      <c r="J2427" s="5" t="inlineStr">
        <is>
          <t>Full-Time</t>
        </is>
      </c>
      <c r="K2427" s="7" t="n">
        <v>44111</v>
      </c>
      <c r="L2427" s="7" t="n">
        <v>44170</v>
      </c>
      <c r="M2427" s="5" t="inlineStr">
        <is>
          <t>No</t>
        </is>
      </c>
      <c r="N2427" s="5" t="inlineStr">
        <is>
          <t>Resigned</t>
        </is>
      </c>
      <c r="O2427" s="8" t="inlineStr">
        <is>
          <t>63000</t>
        </is>
      </c>
      <c r="P2427" s="5" t="inlineStr">
        <is>
          <t>5</t>
        </is>
      </c>
      <c r="Q2427" s="5" t="inlineStr">
        <is>
          <t>4</t>
        </is>
      </c>
      <c r="R2427" s="5" t="inlineStr">
        <is>
          <t>4</t>
        </is>
      </c>
      <c r="S2427" s="5" t="inlineStr">
        <is>
          <t>1</t>
        </is>
      </c>
      <c r="T2427" s="5" t="inlineStr">
        <is>
          <t>6</t>
        </is>
      </c>
      <c r="U2427" s="5" t="inlineStr">
        <is>
          <t>OK</t>
        </is>
      </c>
    </row>
    <row r="2428">
      <c r="A2428" s="5" t="inlineStr">
        <is>
          <t>E00321</t>
        </is>
      </c>
      <c r="B2428" s="5" t="inlineStr">
        <is>
          <t>Female</t>
        </is>
      </c>
      <c r="C2428" s="6" t="inlineStr">
        <is>
          <t>27</t>
        </is>
      </c>
      <c r="D2428" s="5" t="inlineStr">
        <is>
          <t>Married</t>
        </is>
      </c>
      <c r="E2428" s="5" t="inlineStr">
        <is>
          <t>Master</t>
        </is>
      </c>
      <c r="F2428" s="5" t="inlineStr">
        <is>
          <t>IT</t>
        </is>
      </c>
      <c r="G2428" s="5" t="inlineStr">
        <is>
          <t>Software Engineer</t>
        </is>
      </c>
      <c r="H2428" s="5" t="inlineStr">
        <is>
          <t>2</t>
        </is>
      </c>
      <c r="I2428" s="5" t="inlineStr">
        <is>
          <t>Remote</t>
        </is>
      </c>
      <c r="J2428" s="5" t="inlineStr">
        <is>
          <t>Full-Time</t>
        </is>
      </c>
      <c r="K2428" s="7" t="n">
        <v>44283</v>
      </c>
      <c r="L2428" s="7" t="inlineStr"/>
      <c r="M2428" s="5" t="inlineStr">
        <is>
          <t>Yes</t>
        </is>
      </c>
      <c r="N2428" s="5" t="inlineStr"/>
      <c r="O2428" s="8" t="inlineStr">
        <is>
          <t>163000</t>
        </is>
      </c>
      <c r="P2428" s="5" t="inlineStr">
        <is>
          <t>10</t>
        </is>
      </c>
      <c r="Q2428" s="5" t="inlineStr">
        <is>
          <t>3</t>
        </is>
      </c>
      <c r="R2428" s="5" t="inlineStr">
        <is>
          <t>5</t>
        </is>
      </c>
      <c r="S2428" s="5" t="inlineStr">
        <is>
          <t>57</t>
        </is>
      </c>
      <c r="T2428" s="5" t="inlineStr">
        <is>
          <t>0</t>
        </is>
      </c>
      <c r="U2428" s="5" t="inlineStr">
        <is>
          <t>OK</t>
        </is>
      </c>
    </row>
    <row r="2429">
      <c r="A2429" s="5" t="inlineStr">
        <is>
          <t>E02433</t>
        </is>
      </c>
      <c r="B2429" s="5" t="inlineStr">
        <is>
          <t>Male</t>
        </is>
      </c>
      <c r="C2429" s="6" t="inlineStr">
        <is>
          <t>30</t>
        </is>
      </c>
      <c r="D2429" s="5" t="inlineStr">
        <is>
          <t>Single</t>
        </is>
      </c>
      <c r="E2429" s="5" t="inlineStr">
        <is>
          <t>Diploma</t>
        </is>
      </c>
      <c r="F2429" s="5" t="inlineStr">
        <is>
          <t>Customer Support</t>
        </is>
      </c>
      <c r="G2429" s="5" t="inlineStr">
        <is>
          <t>Escalation Specialist</t>
        </is>
      </c>
      <c r="H2429" s="5" t="inlineStr">
        <is>
          <t>4</t>
        </is>
      </c>
      <c r="I2429" s="5" t="inlineStr">
        <is>
          <t>Mumbai</t>
        </is>
      </c>
      <c r="J2429" s="5" t="inlineStr">
        <is>
          <t>Full-Time</t>
        </is>
      </c>
      <c r="K2429" s="7" t="n">
        <v>43911</v>
      </c>
      <c r="L2429" s="7" t="n">
        <v>44031</v>
      </c>
      <c r="M2429" s="5" t="inlineStr">
        <is>
          <t>No</t>
        </is>
      </c>
      <c r="N2429" s="5" t="inlineStr">
        <is>
          <t>Layoff</t>
        </is>
      </c>
      <c r="O2429" s="8" t="inlineStr">
        <is>
          <t>83500</t>
        </is>
      </c>
      <c r="P2429" s="5" t="inlineStr">
        <is>
          <t>0</t>
        </is>
      </c>
      <c r="Q2429" s="5" t="inlineStr">
        <is>
          <t>3</t>
        </is>
      </c>
      <c r="R2429" s="5" t="inlineStr">
        <is>
          <t>5</t>
        </is>
      </c>
      <c r="S2429" s="5" t="inlineStr">
        <is>
          <t>4</t>
        </is>
      </c>
      <c r="T2429" s="5" t="inlineStr">
        <is>
          <t>8</t>
        </is>
      </c>
      <c r="U2429" s="5" t="inlineStr">
        <is>
          <t>OK</t>
        </is>
      </c>
    </row>
    <row r="2430">
      <c r="A2430" s="5" t="inlineStr">
        <is>
          <t>E00515</t>
        </is>
      </c>
      <c r="B2430" s="5" t="inlineStr">
        <is>
          <t>Female</t>
        </is>
      </c>
      <c r="C2430" s="6" t="inlineStr">
        <is>
          <t>33</t>
        </is>
      </c>
      <c r="D2430" s="5" t="inlineStr">
        <is>
          <t>Married</t>
        </is>
      </c>
      <c r="E2430" s="5" t="inlineStr">
        <is>
          <t>Bachelor</t>
        </is>
      </c>
      <c r="F2430" s="5" t="inlineStr">
        <is>
          <t>Operations</t>
        </is>
      </c>
      <c r="G2430" s="5" t="inlineStr">
        <is>
          <t>Quality Analyst</t>
        </is>
      </c>
      <c r="H2430" s="5" t="inlineStr">
        <is>
          <t>1</t>
        </is>
      </c>
      <c r="I2430" s="5" t="inlineStr">
        <is>
          <t>Chennai</t>
        </is>
      </c>
      <c r="J2430" s="5" t="inlineStr">
        <is>
          <t>Full-Time</t>
        </is>
      </c>
      <c r="K2430" s="7" t="n">
        <v>44636</v>
      </c>
      <c r="L2430" s="7" t="n">
        <v>44773</v>
      </c>
      <c r="M2430" s="5" t="inlineStr">
        <is>
          <t>No</t>
        </is>
      </c>
      <c r="N2430" s="5" t="inlineStr">
        <is>
          <t>Relocation</t>
        </is>
      </c>
      <c r="O2430" s="8" t="inlineStr">
        <is>
          <t>80500</t>
        </is>
      </c>
      <c r="P2430" s="5" t="inlineStr">
        <is>
          <t>0</t>
        </is>
      </c>
      <c r="Q2430" s="5" t="inlineStr">
        <is>
          <t>4</t>
        </is>
      </c>
      <c r="R2430" s="5" t="inlineStr">
        <is>
          <t>4</t>
        </is>
      </c>
      <c r="S2430" s="5" t="inlineStr">
        <is>
          <t>4</t>
        </is>
      </c>
      <c r="T2430" s="5" t="inlineStr">
        <is>
          <t>11</t>
        </is>
      </c>
      <c r="U2430" s="5" t="inlineStr">
        <is>
          <t>OK</t>
        </is>
      </c>
    </row>
    <row r="2431">
      <c r="A2431" s="5" t="inlineStr">
        <is>
          <t>E01060</t>
        </is>
      </c>
      <c r="B2431" s="5" t="inlineStr">
        <is>
          <t>Female</t>
        </is>
      </c>
      <c r="C2431" s="6" t="inlineStr">
        <is>
          <t>30</t>
        </is>
      </c>
      <c r="D2431" s="5" t="inlineStr">
        <is>
          <t>Married</t>
        </is>
      </c>
      <c r="E2431" s="5" t="inlineStr">
        <is>
          <t>Diploma</t>
        </is>
      </c>
      <c r="F2431" s="5" t="inlineStr">
        <is>
          <t>Marketing</t>
        </is>
      </c>
      <c r="G2431" s="5" t="inlineStr">
        <is>
          <t>SEO Specialist</t>
        </is>
      </c>
      <c r="H2431" s="5" t="inlineStr">
        <is>
          <t>4</t>
        </is>
      </c>
      <c r="I2431" s="5" t="inlineStr">
        <is>
          <t>Remote</t>
        </is>
      </c>
      <c r="J2431" s="5" t="inlineStr">
        <is>
          <t>Full-Time</t>
        </is>
      </c>
      <c r="K2431" s="7" t="n">
        <v>45910</v>
      </c>
      <c r="L2431" s="7" t="inlineStr"/>
      <c r="M2431" s="5" t="inlineStr">
        <is>
          <t>Yes</t>
        </is>
      </c>
      <c r="N2431" s="5" t="inlineStr"/>
      <c r="O2431" s="8" t="inlineStr">
        <is>
          <t>101500</t>
        </is>
      </c>
      <c r="P2431" s="5" t="inlineStr">
        <is>
          <t>20</t>
        </is>
      </c>
      <c r="Q2431" s="5" t="inlineStr">
        <is>
          <t>4</t>
        </is>
      </c>
      <c r="R2431" s="5" t="inlineStr">
        <is>
          <t>6</t>
        </is>
      </c>
      <c r="S2431" s="5" t="inlineStr">
        <is>
          <t>3</t>
        </is>
      </c>
      <c r="T2431" s="5" t="inlineStr">
        <is>
          <t>0</t>
        </is>
      </c>
      <c r="U2431" s="5" t="inlineStr">
        <is>
          <t>OK</t>
        </is>
      </c>
    </row>
    <row r="2432">
      <c r="A2432" s="5" t="inlineStr">
        <is>
          <t>E01326</t>
        </is>
      </c>
      <c r="B2432" s="5" t="inlineStr">
        <is>
          <t>Female</t>
        </is>
      </c>
      <c r="C2432" s="6" t="inlineStr">
        <is>
          <t>31</t>
        </is>
      </c>
      <c r="D2432" s="5" t="inlineStr">
        <is>
          <t>Single</t>
        </is>
      </c>
      <c r="E2432" s="5" t="inlineStr">
        <is>
          <t>PhD</t>
        </is>
      </c>
      <c r="F2432" s="5" t="inlineStr"/>
      <c r="G2432" s="5" t="inlineStr">
        <is>
          <t>Operations Analyst</t>
        </is>
      </c>
      <c r="H2432" s="5" t="inlineStr">
        <is>
          <t>4</t>
        </is>
      </c>
      <c r="I2432" s="5" t="inlineStr">
        <is>
          <t>Remote</t>
        </is>
      </c>
      <c r="J2432" s="5" t="inlineStr">
        <is>
          <t>Full-Time</t>
        </is>
      </c>
      <c r="K2432" s="7" t="n">
        <v>44204</v>
      </c>
      <c r="L2432" s="7" t="inlineStr"/>
      <c r="M2432" s="5" t="inlineStr">
        <is>
          <t>Yes</t>
        </is>
      </c>
      <c r="N2432" s="5" t="inlineStr"/>
      <c r="O2432" s="8" t="inlineStr">
        <is>
          <t>116500</t>
        </is>
      </c>
      <c r="P2432" s="5" t="inlineStr">
        <is>
          <t>0</t>
        </is>
      </c>
      <c r="Q2432" s="5" t="inlineStr">
        <is>
          <t>3</t>
        </is>
      </c>
      <c r="R2432" s="5" t="inlineStr">
        <is>
          <t>8</t>
        </is>
      </c>
      <c r="S2432" s="5" t="inlineStr">
        <is>
          <t>60</t>
        </is>
      </c>
      <c r="T2432" s="5" t="inlineStr">
        <is>
          <t>4</t>
        </is>
      </c>
      <c r="U2432" s="5" t="inlineStr">
        <is>
          <t>Blank department</t>
        </is>
      </c>
    </row>
    <row r="2433">
      <c r="A2433" s="5" t="inlineStr">
        <is>
          <t>E00578</t>
        </is>
      </c>
      <c r="B2433" s="5" t="inlineStr">
        <is>
          <t>Female</t>
        </is>
      </c>
      <c r="C2433" s="6" t="inlineStr">
        <is>
          <t>26</t>
        </is>
      </c>
      <c r="D2433" s="5" t="inlineStr">
        <is>
          <t>Married</t>
        </is>
      </c>
      <c r="E2433" s="5" t="inlineStr">
        <is>
          <t>PhD</t>
        </is>
      </c>
      <c r="F2433" s="5" t="inlineStr">
        <is>
          <t>Operations</t>
        </is>
      </c>
      <c r="G2433" s="5" t="inlineStr">
        <is>
          <t>Logistics Coordinator</t>
        </is>
      </c>
      <c r="H2433" s="5" t="inlineStr">
        <is>
          <t>2</t>
        </is>
      </c>
      <c r="I2433" s="5" t="inlineStr">
        <is>
          <t>Bengaluru</t>
        </is>
      </c>
      <c r="J2433" s="5" t="inlineStr">
        <is>
          <t>Full-Time</t>
        </is>
      </c>
      <c r="K2433" s="7" t="n">
        <v>45754</v>
      </c>
      <c r="L2433" s="7" t="inlineStr"/>
      <c r="M2433" s="5" t="inlineStr">
        <is>
          <t>Yes</t>
        </is>
      </c>
      <c r="N2433" s="5" t="inlineStr"/>
      <c r="O2433" s="8" t="inlineStr">
        <is>
          <t>99000</t>
        </is>
      </c>
      <c r="P2433" s="5" t="inlineStr">
        <is>
          <t>10</t>
        </is>
      </c>
      <c r="Q2433" s="5" t="inlineStr">
        <is>
          <t>4</t>
        </is>
      </c>
      <c r="R2433" s="5" t="inlineStr">
        <is>
          <t>6</t>
        </is>
      </c>
      <c r="S2433" s="5" t="inlineStr">
        <is>
          <t>8</t>
        </is>
      </c>
      <c r="T2433" s="5" t="inlineStr">
        <is>
          <t>11</t>
        </is>
      </c>
      <c r="U2433" s="5" t="inlineStr">
        <is>
          <t>OK</t>
        </is>
      </c>
    </row>
    <row r="2434">
      <c r="A2434" s="5" t="inlineStr">
        <is>
          <t>E00693</t>
        </is>
      </c>
      <c r="B2434" s="5" t="inlineStr">
        <is>
          <t>Male</t>
        </is>
      </c>
      <c r="C2434" s="6" t="inlineStr">
        <is>
          <t>27</t>
        </is>
      </c>
      <c r="D2434" s="5" t="inlineStr">
        <is>
          <t>Married</t>
        </is>
      </c>
      <c r="E2434" s="5" t="inlineStr">
        <is>
          <t>PhD</t>
        </is>
      </c>
      <c r="F2434" s="5" t="inlineStr">
        <is>
          <t>Operations</t>
        </is>
      </c>
      <c r="G2434" s="5" t="inlineStr">
        <is>
          <t>Quality Analyst</t>
        </is>
      </c>
      <c r="H2434" s="5" t="inlineStr">
        <is>
          <t>2</t>
        </is>
      </c>
      <c r="I2434" s="5" t="inlineStr">
        <is>
          <t>Bengaluru</t>
        </is>
      </c>
      <c r="J2434" s="5" t="inlineStr">
        <is>
          <t>Full-Time</t>
        </is>
      </c>
      <c r="K2434" s="7" t="n">
        <v>45977</v>
      </c>
      <c r="L2434" s="7" t="n">
        <v>45992</v>
      </c>
      <c r="M2434" s="5" t="inlineStr">
        <is>
          <t>No</t>
        </is>
      </c>
      <c r="N2434" s="5" t="inlineStr">
        <is>
          <t>Retirement</t>
        </is>
      </c>
      <c r="O2434" s="8" t="inlineStr">
        <is>
          <t>79500</t>
        </is>
      </c>
      <c r="P2434" s="5" t="inlineStr">
        <is>
          <t>5</t>
        </is>
      </c>
      <c r="Q2434" s="5" t="inlineStr">
        <is>
          <t>3</t>
        </is>
      </c>
      <c r="R2434" s="5" t="inlineStr">
        <is>
          <t>3</t>
        </is>
      </c>
      <c r="S2434" s="5" t="inlineStr">
        <is>
          <t>1</t>
        </is>
      </c>
      <c r="T2434" s="5" t="inlineStr">
        <is>
          <t>11</t>
        </is>
      </c>
      <c r="U2434" s="5" t="inlineStr">
        <is>
          <t>OK</t>
        </is>
      </c>
    </row>
    <row r="2435">
      <c r="A2435" s="5" t="inlineStr">
        <is>
          <t>E02108</t>
        </is>
      </c>
      <c r="B2435" s="5" t="inlineStr">
        <is>
          <t>Male</t>
        </is>
      </c>
      <c r="C2435" s="6" t="inlineStr">
        <is>
          <t>23</t>
        </is>
      </c>
      <c r="D2435" s="5" t="inlineStr">
        <is>
          <t>Married</t>
        </is>
      </c>
      <c r="E2435" s="5" t="inlineStr">
        <is>
          <t>PhD</t>
        </is>
      </c>
      <c r="F2435" s="5" t="inlineStr">
        <is>
          <t>Research &amp; Development</t>
        </is>
      </c>
      <c r="G2435" s="5" t="inlineStr">
        <is>
          <t>Product Engineer</t>
        </is>
      </c>
      <c r="H2435" s="5" t="inlineStr">
        <is>
          <t>1</t>
        </is>
      </c>
      <c r="I2435" s="5" t="inlineStr">
        <is>
          <t>Delhi</t>
        </is>
      </c>
      <c r="J2435" s="5" t="inlineStr">
        <is>
          <t>Full-Time</t>
        </is>
      </c>
      <c r="K2435" s="7" t="n">
        <v>43878</v>
      </c>
      <c r="L2435" s="7" t="inlineStr"/>
      <c r="M2435" s="5" t="inlineStr">
        <is>
          <t>Yes</t>
        </is>
      </c>
      <c r="N2435" s="5" t="inlineStr"/>
      <c r="O2435" s="8" t="inlineStr">
        <is>
          <t>106000</t>
        </is>
      </c>
      <c r="P2435" s="5" t="inlineStr">
        <is>
          <t>10</t>
        </is>
      </c>
      <c r="Q2435" s="5" t="inlineStr">
        <is>
          <t>5</t>
        </is>
      </c>
      <c r="R2435" s="5" t="inlineStr">
        <is>
          <t>9</t>
        </is>
      </c>
      <c r="S2435" s="5" t="inlineStr">
        <is>
          <t>71</t>
        </is>
      </c>
      <c r="T2435" s="5" t="inlineStr">
        <is>
          <t>0</t>
        </is>
      </c>
      <c r="U2435" s="5" t="inlineStr">
        <is>
          <t>OK</t>
        </is>
      </c>
    </row>
    <row r="2436">
      <c r="A2436" s="5" t="inlineStr">
        <is>
          <t>E01650</t>
        </is>
      </c>
      <c r="B2436" s="5" t="inlineStr">
        <is>
          <t>Female</t>
        </is>
      </c>
      <c r="C2436" s="6" t="inlineStr">
        <is>
          <t>33</t>
        </is>
      </c>
      <c r="D2436" s="5" t="inlineStr">
        <is>
          <t>Divorced</t>
        </is>
      </c>
      <c r="E2436" s="5" t="inlineStr">
        <is>
          <t>High School</t>
        </is>
      </c>
      <c r="F2436" s="5" t="inlineStr">
        <is>
          <t>Finance</t>
        </is>
      </c>
      <c r="G2436" s="5" t="inlineStr">
        <is>
          <t>Financial Analyst</t>
        </is>
      </c>
      <c r="H2436" s="5" t="inlineStr">
        <is>
          <t>6</t>
        </is>
      </c>
      <c r="I2436" s="5" t="inlineStr">
        <is>
          <t>Hyderabad</t>
        </is>
      </c>
      <c r="J2436" s="5" t="inlineStr">
        <is>
          <t>Full-Time</t>
        </is>
      </c>
      <c r="K2436" s="7" t="n">
        <v>45602</v>
      </c>
      <c r="L2436" s="7" t="inlineStr"/>
      <c r="M2436" s="5" t="inlineStr">
        <is>
          <t>Yes</t>
        </is>
      </c>
      <c r="N2436" s="5" t="inlineStr"/>
      <c r="O2436" s="8" t="inlineStr">
        <is>
          <t>168500</t>
        </is>
      </c>
      <c r="P2436" s="5" t="inlineStr">
        <is>
          <t>0</t>
        </is>
      </c>
      <c r="Q2436" s="5" t="inlineStr">
        <is>
          <t>4</t>
        </is>
      </c>
      <c r="R2436" s="5" t="inlineStr">
        <is>
          <t>6</t>
        </is>
      </c>
      <c r="S2436" s="5" t="inlineStr">
        <is>
          <t>14</t>
        </is>
      </c>
      <c r="T2436" s="5" t="inlineStr">
        <is>
          <t>20</t>
        </is>
      </c>
      <c r="U2436" s="5" t="inlineStr">
        <is>
          <t>OK</t>
        </is>
      </c>
    </row>
    <row r="2437">
      <c r="A2437" s="5" t="inlineStr">
        <is>
          <t>E02839</t>
        </is>
      </c>
      <c r="B2437" s="5" t="inlineStr">
        <is>
          <t>Female</t>
        </is>
      </c>
      <c r="C2437" s="6" t="inlineStr">
        <is>
          <t>38</t>
        </is>
      </c>
      <c r="D2437" s="5" t="inlineStr">
        <is>
          <t>Married</t>
        </is>
      </c>
      <c r="E2437" s="5" t="inlineStr">
        <is>
          <t>Diploma</t>
        </is>
      </c>
      <c r="F2437" s="5" t="inlineStr">
        <is>
          <t>Marketing</t>
        </is>
      </c>
      <c r="G2437" s="5" t="inlineStr">
        <is>
          <t>Content Writer</t>
        </is>
      </c>
      <c r="H2437" s="5" t="inlineStr">
        <is>
          <t>7</t>
        </is>
      </c>
      <c r="I2437" s="5" t="inlineStr">
        <is>
          <t>Bengaluru</t>
        </is>
      </c>
      <c r="J2437" s="5" t="inlineStr">
        <is>
          <t>Full-Time</t>
        </is>
      </c>
      <c r="K2437" s="7" t="n">
        <v>45188</v>
      </c>
      <c r="L2437" s="7" t="n">
        <v>45230</v>
      </c>
      <c r="M2437" s="5" t="inlineStr">
        <is>
          <t>No</t>
        </is>
      </c>
      <c r="N2437" s="5" t="inlineStr">
        <is>
          <t>Layoff</t>
        </is>
      </c>
      <c r="O2437" s="8" t="inlineStr">
        <is>
          <t>149500</t>
        </is>
      </c>
      <c r="P2437" s="5" t="inlineStr">
        <is>
          <t>5</t>
        </is>
      </c>
      <c r="Q2437" s="5" t="inlineStr">
        <is>
          <t>2</t>
        </is>
      </c>
      <c r="R2437" s="5" t="inlineStr">
        <is>
          <t>4</t>
        </is>
      </c>
      <c r="S2437" s="5" t="inlineStr">
        <is>
          <t>1</t>
        </is>
      </c>
      <c r="T2437" s="5" t="inlineStr">
        <is>
          <t>13</t>
        </is>
      </c>
      <c r="U2437" s="5" t="inlineStr">
        <is>
          <t>OK</t>
        </is>
      </c>
    </row>
    <row r="2438">
      <c r="A2438" s="5" t="inlineStr">
        <is>
          <t>E01476</t>
        </is>
      </c>
      <c r="B2438" s="5" t="inlineStr">
        <is>
          <t>Unknown</t>
        </is>
      </c>
      <c r="C2438" s="6" t="inlineStr">
        <is>
          <t>29</t>
        </is>
      </c>
      <c r="D2438" s="5" t="inlineStr">
        <is>
          <t>Married</t>
        </is>
      </c>
      <c r="E2438" s="5" t="inlineStr">
        <is>
          <t>High School</t>
        </is>
      </c>
      <c r="F2438" s="5" t="inlineStr">
        <is>
          <t>Marketing</t>
        </is>
      </c>
      <c r="G2438" s="5" t="inlineStr">
        <is>
          <t>SEO Specialist</t>
        </is>
      </c>
      <c r="H2438" s="5" t="inlineStr">
        <is>
          <t>3</t>
        </is>
      </c>
      <c r="I2438" s="5" t="inlineStr">
        <is>
          <t>Delhi</t>
        </is>
      </c>
      <c r="J2438" s="5" t="inlineStr">
        <is>
          <t>Full-Time</t>
        </is>
      </c>
      <c r="K2438" s="7" t="n">
        <v>45443</v>
      </c>
      <c r="L2438" s="7" t="inlineStr"/>
      <c r="M2438" s="5" t="inlineStr">
        <is>
          <t>Yes</t>
        </is>
      </c>
      <c r="N2438" s="5" t="inlineStr"/>
      <c r="O2438" s="8" t="inlineStr">
        <is>
          <t>94500</t>
        </is>
      </c>
      <c r="P2438" s="5" t="inlineStr">
        <is>
          <t>5</t>
        </is>
      </c>
      <c r="Q2438" s="5" t="inlineStr">
        <is>
          <t>4</t>
        </is>
      </c>
      <c r="R2438" s="5" t="inlineStr">
        <is>
          <t>3</t>
        </is>
      </c>
      <c r="S2438" s="5" t="inlineStr">
        <is>
          <t>19</t>
        </is>
      </c>
      <c r="T2438" s="5" t="inlineStr">
        <is>
          <t>11</t>
        </is>
      </c>
      <c r="U2438" s="5" t="inlineStr">
        <is>
          <t>Bad gender</t>
        </is>
      </c>
    </row>
    <row r="2439">
      <c r="A2439" s="5" t="inlineStr">
        <is>
          <t>E02118</t>
        </is>
      </c>
      <c r="B2439" s="5" t="inlineStr">
        <is>
          <t>Female</t>
        </is>
      </c>
      <c r="C2439" s="6" t="inlineStr">
        <is>
          <t>31</t>
        </is>
      </c>
      <c r="D2439" s="5" t="inlineStr">
        <is>
          <t>Married</t>
        </is>
      </c>
      <c r="E2439" s="5" t="inlineStr">
        <is>
          <t>Master</t>
        </is>
      </c>
      <c r="F2439" s="5" t="inlineStr">
        <is>
          <t>Operations</t>
        </is>
      </c>
      <c r="G2439" s="5" t="inlineStr">
        <is>
          <t>Logistics Coordinator</t>
        </is>
      </c>
      <c r="H2439" s="5" t="inlineStr">
        <is>
          <t>2</t>
        </is>
      </c>
      <c r="I2439" s="5" t="inlineStr">
        <is>
          <t>Mumbai</t>
        </is>
      </c>
      <c r="J2439" s="5" t="inlineStr">
        <is>
          <t>Full-Time</t>
        </is>
      </c>
      <c r="K2439" s="7" t="n">
        <v>44043</v>
      </c>
      <c r="L2439" s="7" t="inlineStr"/>
      <c r="M2439" s="5" t="inlineStr">
        <is>
          <t>Yes</t>
        </is>
      </c>
      <c r="N2439" s="5" t="inlineStr"/>
      <c r="O2439" s="8" t="inlineStr">
        <is>
          <t>90500</t>
        </is>
      </c>
      <c r="P2439" s="5" t="inlineStr">
        <is>
          <t>5</t>
        </is>
      </c>
      <c r="Q2439" s="5" t="inlineStr">
        <is>
          <t>4</t>
        </is>
      </c>
      <c r="R2439" s="5" t="inlineStr">
        <is>
          <t>6</t>
        </is>
      </c>
      <c r="S2439" s="5" t="inlineStr">
        <is>
          <t>65</t>
        </is>
      </c>
      <c r="T2439" s="5" t="inlineStr">
        <is>
          <t>0</t>
        </is>
      </c>
      <c r="U2439" s="5" t="inlineStr">
        <is>
          <t>OK</t>
        </is>
      </c>
    </row>
    <row r="2440">
      <c r="A2440" s="5" t="inlineStr">
        <is>
          <t>E01296</t>
        </is>
      </c>
      <c r="B2440" s="5" t="inlineStr">
        <is>
          <t>Male</t>
        </is>
      </c>
      <c r="C2440" s="6" t="inlineStr">
        <is>
          <t>28</t>
        </is>
      </c>
      <c r="D2440" s="5" t="inlineStr">
        <is>
          <t>Single</t>
        </is>
      </c>
      <c r="E2440" s="5" t="inlineStr">
        <is>
          <t>Master</t>
        </is>
      </c>
      <c r="F2440" s="5" t="inlineStr">
        <is>
          <t>Research &amp; Development</t>
        </is>
      </c>
      <c r="G2440" s="5" t="inlineStr">
        <is>
          <t>Data Scientist</t>
        </is>
      </c>
      <c r="H2440" s="5" t="inlineStr">
        <is>
          <t>3</t>
        </is>
      </c>
      <c r="I2440" s="5" t="inlineStr">
        <is>
          <t>Delhi</t>
        </is>
      </c>
      <c r="J2440" s="5" t="inlineStr">
        <is>
          <t>Full-Time</t>
        </is>
      </c>
      <c r="K2440" s="7" t="n">
        <v>44799</v>
      </c>
      <c r="L2440" s="7" t="inlineStr"/>
      <c r="M2440" s="5" t="inlineStr">
        <is>
          <t>Yes</t>
        </is>
      </c>
      <c r="N2440" s="5" t="inlineStr"/>
      <c r="O2440" s="8" t="inlineStr">
        <is>
          <t>168000</t>
        </is>
      </c>
      <c r="P2440" s="5" t="inlineStr">
        <is>
          <t>20</t>
        </is>
      </c>
      <c r="Q2440" s="5" t="inlineStr">
        <is>
          <t>3</t>
        </is>
      </c>
      <c r="R2440" s="5" t="inlineStr">
        <is>
          <t>7</t>
        </is>
      </c>
      <c r="S2440" s="5" t="inlineStr">
        <is>
          <t>40</t>
        </is>
      </c>
      <c r="T2440" s="5" t="inlineStr">
        <is>
          <t>10</t>
        </is>
      </c>
      <c r="U2440" s="5" t="inlineStr">
        <is>
          <t>OK</t>
        </is>
      </c>
    </row>
    <row r="2441">
      <c r="A2441" s="5" t="inlineStr">
        <is>
          <t>E00658</t>
        </is>
      </c>
      <c r="B2441" s="5" t="inlineStr">
        <is>
          <t>Female</t>
        </is>
      </c>
      <c r="C2441" s="6" t="inlineStr">
        <is>
          <t>34</t>
        </is>
      </c>
      <c r="D2441" s="5" t="inlineStr">
        <is>
          <t>Married</t>
        </is>
      </c>
      <c r="E2441" s="5" t="inlineStr">
        <is>
          <t>Diploma</t>
        </is>
      </c>
      <c r="F2441" s="5" t="inlineStr">
        <is>
          <t>Marketing</t>
        </is>
      </c>
      <c r="G2441" s="5" t="inlineStr">
        <is>
          <t>SEO Specialist</t>
        </is>
      </c>
      <c r="H2441" s="5" t="inlineStr">
        <is>
          <t>2</t>
        </is>
      </c>
      <c r="I2441" s="5" t="inlineStr">
        <is>
          <t>Mumbai</t>
        </is>
      </c>
      <c r="J2441" s="5" t="inlineStr">
        <is>
          <t>Full-Time</t>
        </is>
      </c>
      <c r="K2441" s="7" t="n">
        <v>44622</v>
      </c>
      <c r="L2441" s="7" t="inlineStr"/>
      <c r="M2441" s="5" t="inlineStr">
        <is>
          <t>Yes</t>
        </is>
      </c>
      <c r="N2441" s="5" t="inlineStr"/>
      <c r="O2441" s="8" t="inlineStr">
        <is>
          <t>100500</t>
        </is>
      </c>
      <c r="P2441" s="5" t="inlineStr">
        <is>
          <t>0</t>
        </is>
      </c>
      <c r="Q2441" s="5" t="inlineStr">
        <is>
          <t>3</t>
        </is>
      </c>
      <c r="R2441" s="5" t="inlineStr">
        <is>
          <t>6</t>
        </is>
      </c>
      <c r="S2441" s="5" t="inlineStr">
        <is>
          <t>46</t>
        </is>
      </c>
      <c r="T2441" s="5" t="inlineStr">
        <is>
          <t>2</t>
        </is>
      </c>
      <c r="U2441" s="5" t="inlineStr">
        <is>
          <t>OK</t>
        </is>
      </c>
    </row>
    <row r="2442">
      <c r="A2442" s="5" t="inlineStr">
        <is>
          <t>E00802</t>
        </is>
      </c>
      <c r="B2442" s="5" t="inlineStr">
        <is>
          <t>Male</t>
        </is>
      </c>
      <c r="C2442" s="6" t="inlineStr">
        <is>
          <t>36</t>
        </is>
      </c>
      <c r="D2442" s="5" t="inlineStr">
        <is>
          <t>Married</t>
        </is>
      </c>
      <c r="E2442" s="5" t="inlineStr">
        <is>
          <t>Bachelor</t>
        </is>
      </c>
      <c r="F2442" s="5" t="inlineStr">
        <is>
          <t>Customer Support</t>
        </is>
      </c>
      <c r="G2442" s="5" t="inlineStr">
        <is>
          <t>Support Agent</t>
        </is>
      </c>
      <c r="H2442" s="5" t="inlineStr">
        <is>
          <t>7</t>
        </is>
      </c>
      <c r="I2442" s="5" t="inlineStr">
        <is>
          <t>Bengaluru</t>
        </is>
      </c>
      <c r="J2442" s="5" t="inlineStr">
        <is>
          <t>Full-Time</t>
        </is>
      </c>
      <c r="K2442" s="7" t="n">
        <v>45814</v>
      </c>
      <c r="L2442" s="7" t="inlineStr"/>
      <c r="M2442" s="5" t="inlineStr">
        <is>
          <t>Yes</t>
        </is>
      </c>
      <c r="N2442" s="5" t="inlineStr"/>
      <c r="O2442" s="8" t="inlineStr">
        <is>
          <t>111500</t>
        </is>
      </c>
      <c r="P2442" s="5" t="inlineStr">
        <is>
          <t>10</t>
        </is>
      </c>
      <c r="Q2442" s="5" t="inlineStr">
        <is>
          <t>3</t>
        </is>
      </c>
      <c r="R2442" s="5" t="inlineStr">
        <is>
          <t>4</t>
        </is>
      </c>
      <c r="S2442" s="5" t="inlineStr">
        <is>
          <t>6</t>
        </is>
      </c>
      <c r="T2442" s="5" t="inlineStr">
        <is>
          <t>9</t>
        </is>
      </c>
      <c r="U2442" s="5" t="inlineStr">
        <is>
          <t>OK</t>
        </is>
      </c>
    </row>
    <row r="2443">
      <c r="A2443" s="5" t="inlineStr">
        <is>
          <t>E00121</t>
        </is>
      </c>
      <c r="B2443" s="5" t="inlineStr">
        <is>
          <t>Male</t>
        </is>
      </c>
      <c r="C2443" s="6" t="inlineStr">
        <is>
          <t>29</t>
        </is>
      </c>
      <c r="D2443" s="5" t="inlineStr">
        <is>
          <t>Married</t>
        </is>
      </c>
      <c r="E2443" s="5" t="inlineStr">
        <is>
          <t>PhD</t>
        </is>
      </c>
      <c r="F2443" s="5" t="inlineStr">
        <is>
          <t>Executive</t>
        </is>
      </c>
      <c r="G2443" s="5" t="inlineStr">
        <is>
          <t>COO</t>
        </is>
      </c>
      <c r="H2443" s="5" t="inlineStr">
        <is>
          <t>2</t>
        </is>
      </c>
      <c r="I2443" s="5" t="inlineStr">
        <is>
          <t>Mumbai</t>
        </is>
      </c>
      <c r="J2443" s="5" t="inlineStr">
        <is>
          <t>Full-Time</t>
        </is>
      </c>
      <c r="K2443" s="7" t="n">
        <v>44278</v>
      </c>
      <c r="L2443" s="7" t="inlineStr"/>
      <c r="M2443" s="5" t="inlineStr">
        <is>
          <t>Yes</t>
        </is>
      </c>
      <c r="N2443" s="5" t="inlineStr"/>
      <c r="O2443" s="8" t="inlineStr">
        <is>
          <t>285500</t>
        </is>
      </c>
      <c r="P2443" s="5" t="inlineStr">
        <is>
          <t>5</t>
        </is>
      </c>
      <c r="Q2443" s="5" t="inlineStr">
        <is>
          <t>3</t>
        </is>
      </c>
      <c r="R2443" s="5" t="inlineStr">
        <is>
          <t>7</t>
        </is>
      </c>
      <c r="S2443" s="5" t="inlineStr">
        <is>
          <t>58</t>
        </is>
      </c>
      <c r="T2443" s="5" t="inlineStr">
        <is>
          <t>1</t>
        </is>
      </c>
      <c r="U2443" s="5" t="inlineStr">
        <is>
          <t>OK</t>
        </is>
      </c>
    </row>
    <row r="2444">
      <c r="A2444" s="5" t="inlineStr">
        <is>
          <t>E01295</t>
        </is>
      </c>
      <c r="B2444" s="5" t="inlineStr">
        <is>
          <t>male</t>
        </is>
      </c>
      <c r="C2444" s="6" t="inlineStr">
        <is>
          <t>37</t>
        </is>
      </c>
      <c r="D2444" s="5" t="inlineStr">
        <is>
          <t>Married</t>
        </is>
      </c>
      <c r="E2444" s="5" t="inlineStr">
        <is>
          <t>Bachelor</t>
        </is>
      </c>
      <c r="F2444" s="5" t="inlineStr">
        <is>
          <t>Human Resources</t>
        </is>
      </c>
      <c r="G2444" s="5" t="inlineStr">
        <is>
          <t>HR Analyst</t>
        </is>
      </c>
      <c r="H2444" s="5" t="inlineStr">
        <is>
          <t>4</t>
        </is>
      </c>
      <c r="I2444" s="5" t="inlineStr">
        <is>
          <t>Bengaluru</t>
        </is>
      </c>
      <c r="J2444" s="5" t="inlineStr">
        <is>
          <t>Full-Time</t>
        </is>
      </c>
      <c r="K2444" s="7" t="n">
        <v>44584</v>
      </c>
      <c r="L2444" s="7" t="inlineStr"/>
      <c r="M2444" s="5" t="inlineStr">
        <is>
          <t>Yes</t>
        </is>
      </c>
      <c r="N2444" s="5" t="inlineStr"/>
      <c r="O2444" s="8" t="inlineStr">
        <is>
          <t>138000</t>
        </is>
      </c>
      <c r="P2444" s="5" t="inlineStr">
        <is>
          <t>5</t>
        </is>
      </c>
      <c r="Q2444" s="5" t="inlineStr">
        <is>
          <t>4</t>
        </is>
      </c>
      <c r="R2444" s="5" t="inlineStr">
        <is>
          <t>6</t>
        </is>
      </c>
      <c r="S2444" s="5" t="inlineStr">
        <is>
          <t>47</t>
        </is>
      </c>
      <c r="T2444" s="5" t="inlineStr">
        <is>
          <t>5</t>
        </is>
      </c>
      <c r="U2444" s="5" t="inlineStr">
        <is>
          <t>OK</t>
        </is>
      </c>
    </row>
    <row r="2445">
      <c r="A2445" s="5" t="inlineStr">
        <is>
          <t>E00450</t>
        </is>
      </c>
      <c r="B2445" s="5" t="inlineStr">
        <is>
          <t>Female</t>
        </is>
      </c>
      <c r="C2445" s="6" t="inlineStr">
        <is>
          <t>36</t>
        </is>
      </c>
      <c r="D2445" s="5" t="inlineStr">
        <is>
          <t>Single</t>
        </is>
      </c>
      <c r="E2445" s="5" t="inlineStr">
        <is>
          <t>Diploma</t>
        </is>
      </c>
      <c r="F2445" s="5" t="inlineStr">
        <is>
          <t>Human Resources</t>
        </is>
      </c>
      <c r="G2445" s="5" t="inlineStr">
        <is>
          <t>HR Generalist</t>
        </is>
      </c>
      <c r="H2445" s="5" t="inlineStr">
        <is>
          <t>4</t>
        </is>
      </c>
      <c r="I2445" s="5" t="inlineStr">
        <is>
          <t>Bengaluru</t>
        </is>
      </c>
      <c r="J2445" s="5" t="inlineStr">
        <is>
          <t>Part-Time</t>
        </is>
      </c>
      <c r="K2445" s="7" t="n">
        <v>43884</v>
      </c>
      <c r="L2445" s="7" t="inlineStr"/>
      <c r="M2445" s="5" t="inlineStr">
        <is>
          <t>Yes</t>
        </is>
      </c>
      <c r="N2445" s="5" t="inlineStr"/>
      <c r="O2445" s="8" t="inlineStr">
        <is>
          <t>115000</t>
        </is>
      </c>
      <c r="P2445" s="5" t="inlineStr">
        <is>
          <t>10</t>
        </is>
      </c>
      <c r="Q2445" s="5" t="inlineStr">
        <is>
          <t>3</t>
        </is>
      </c>
      <c r="R2445" s="5" t="inlineStr">
        <is>
          <t>5</t>
        </is>
      </c>
      <c r="S2445" s="5" t="inlineStr">
        <is>
          <t>71</t>
        </is>
      </c>
      <c r="T2445" s="5" t="inlineStr">
        <is>
          <t>12</t>
        </is>
      </c>
      <c r="U2445" s="5" t="inlineStr">
        <is>
          <t>OK</t>
        </is>
      </c>
    </row>
    <row r="2446">
      <c r="A2446" s="5" t="inlineStr">
        <is>
          <t>E01214</t>
        </is>
      </c>
      <c r="B2446" s="5" t="inlineStr">
        <is>
          <t>Unknown</t>
        </is>
      </c>
      <c r="C2446" s="6" t="inlineStr">
        <is>
          <t>33</t>
        </is>
      </c>
      <c r="D2446" s="5" t="inlineStr">
        <is>
          <t>Married</t>
        </is>
      </c>
      <c r="E2446" s="5" t="inlineStr">
        <is>
          <t>Diploma</t>
        </is>
      </c>
      <c r="F2446" s="5" t="inlineStr">
        <is>
          <t>Sales</t>
        </is>
      </c>
      <c r="G2446" s="5" t="inlineStr">
        <is>
          <t>Business Development</t>
        </is>
      </c>
      <c r="H2446" s="5" t="inlineStr">
        <is>
          <t>2</t>
        </is>
      </c>
      <c r="I2446" s="5" t="inlineStr">
        <is>
          <t>Remote</t>
        </is>
      </c>
      <c r="J2446" s="5" t="inlineStr">
        <is>
          <t>Full-Time</t>
        </is>
      </c>
      <c r="K2446" s="7" t="n">
        <v>45276</v>
      </c>
      <c r="L2446" s="7" t="inlineStr"/>
      <c r="M2446" s="5" t="inlineStr">
        <is>
          <t>Yes</t>
        </is>
      </c>
      <c r="N2446" s="5" t="inlineStr"/>
      <c r="O2446" s="8" t="inlineStr">
        <is>
          <t>113000</t>
        </is>
      </c>
      <c r="P2446" s="5" t="inlineStr">
        <is>
          <t>0</t>
        </is>
      </c>
      <c r="Q2446" s="5" t="inlineStr">
        <is>
          <t>3</t>
        </is>
      </c>
      <c r="R2446" s="5" t="inlineStr">
        <is>
          <t>6</t>
        </is>
      </c>
      <c r="S2446" s="5" t="inlineStr">
        <is>
          <t>24</t>
        </is>
      </c>
      <c r="T2446" s="5" t="inlineStr">
        <is>
          <t>0</t>
        </is>
      </c>
      <c r="U2446" s="5" t="inlineStr">
        <is>
          <t>Bad gender</t>
        </is>
      </c>
    </row>
    <row r="2447">
      <c r="A2447" s="5" t="inlineStr">
        <is>
          <t>E01550</t>
        </is>
      </c>
      <c r="B2447" s="5" t="inlineStr">
        <is>
          <t>Female</t>
        </is>
      </c>
      <c r="C2447" s="6" t="inlineStr">
        <is>
          <t>38</t>
        </is>
      </c>
      <c r="D2447" s="5" t="inlineStr">
        <is>
          <t>Married</t>
        </is>
      </c>
      <c r="E2447" s="5" t="inlineStr">
        <is>
          <t>Bachelor</t>
        </is>
      </c>
      <c r="F2447" s="5" t="inlineStr">
        <is>
          <t>Operations</t>
        </is>
      </c>
      <c r="G2447" s="5" t="inlineStr">
        <is>
          <t>Quality Analyst</t>
        </is>
      </c>
      <c r="H2447" s="5" t="inlineStr">
        <is>
          <t>6</t>
        </is>
      </c>
      <c r="I2447" s="5" t="inlineStr">
        <is>
          <t>Hyderabad</t>
        </is>
      </c>
      <c r="J2447" s="5" t="inlineStr">
        <is>
          <t>Full-Time</t>
        </is>
      </c>
      <c r="K2447" s="7" t="n">
        <v>45773</v>
      </c>
      <c r="L2447" s="7" t="inlineStr"/>
      <c r="M2447" s="5" t="inlineStr">
        <is>
          <t>Yes</t>
        </is>
      </c>
      <c r="N2447" s="5" t="inlineStr"/>
      <c r="O2447" s="8" t="inlineStr">
        <is>
          <t>134000</t>
        </is>
      </c>
      <c r="P2447" s="5" t="inlineStr">
        <is>
          <t>10</t>
        </is>
      </c>
      <c r="Q2447" s="5" t="inlineStr">
        <is>
          <t>4</t>
        </is>
      </c>
      <c r="R2447" s="5" t="inlineStr">
        <is>
          <t>4</t>
        </is>
      </c>
      <c r="S2447" s="5" t="inlineStr">
        <is>
          <t>8</t>
        </is>
      </c>
      <c r="T2447" s="5" t="inlineStr">
        <is>
          <t>5</t>
        </is>
      </c>
      <c r="U2447" s="5" t="inlineStr">
        <is>
          <t>OK</t>
        </is>
      </c>
    </row>
    <row r="2448">
      <c r="A2448" s="5" t="inlineStr">
        <is>
          <t>E01307</t>
        </is>
      </c>
      <c r="B2448" s="5" t="inlineStr">
        <is>
          <t>Male</t>
        </is>
      </c>
      <c r="C2448" s="6" t="inlineStr">
        <is>
          <t>29</t>
        </is>
      </c>
      <c r="D2448" s="5" t="inlineStr">
        <is>
          <t>Married</t>
        </is>
      </c>
      <c r="E2448" s="5" t="inlineStr">
        <is>
          <t>PhD</t>
        </is>
      </c>
      <c r="F2448" s="5" t="inlineStr">
        <is>
          <t>Research &amp; Development</t>
        </is>
      </c>
      <c r="G2448" s="5" t="inlineStr">
        <is>
          <t>Data Scientist</t>
        </is>
      </c>
      <c r="H2448" s="5" t="inlineStr">
        <is>
          <t>2</t>
        </is>
      </c>
      <c r="I2448" s="5" t="inlineStr">
        <is>
          <t>Hyderabad</t>
        </is>
      </c>
      <c r="J2448" s="5" t="inlineStr">
        <is>
          <t>Full-Time</t>
        </is>
      </c>
      <c r="K2448" s="7" t="n">
        <v>45152</v>
      </c>
      <c r="L2448" s="7" t="inlineStr"/>
      <c r="M2448" s="5" t="inlineStr">
        <is>
          <t>Yes</t>
        </is>
      </c>
      <c r="N2448" s="5" t="inlineStr"/>
      <c r="O2448" s="8" t="inlineStr">
        <is>
          <t>111500</t>
        </is>
      </c>
      <c r="P2448" s="5" t="inlineStr">
        <is>
          <t>10</t>
        </is>
      </c>
      <c r="Q2448" s="5" t="inlineStr">
        <is>
          <t>3</t>
        </is>
      </c>
      <c r="R2448" s="5" t="inlineStr">
        <is>
          <t>7</t>
        </is>
      </c>
      <c r="S2448" s="5" t="inlineStr">
        <is>
          <t>29</t>
        </is>
      </c>
      <c r="T2448" s="5" t="inlineStr">
        <is>
          <t>6</t>
        </is>
      </c>
      <c r="U2448" s="5" t="inlineStr">
        <is>
          <t>OK</t>
        </is>
      </c>
    </row>
    <row r="2449">
      <c r="A2449" s="5" t="inlineStr">
        <is>
          <t>E00005</t>
        </is>
      </c>
      <c r="B2449" s="5" t="inlineStr">
        <is>
          <t>Male</t>
        </is>
      </c>
      <c r="C2449" s="6" t="inlineStr">
        <is>
          <t>27</t>
        </is>
      </c>
      <c r="D2449" s="5" t="inlineStr">
        <is>
          <t>Married</t>
        </is>
      </c>
      <c r="E2449" s="5" t="inlineStr">
        <is>
          <t>Diploma</t>
        </is>
      </c>
      <c r="F2449" s="5" t="inlineStr">
        <is>
          <t>Customer Support</t>
        </is>
      </c>
      <c r="G2449" s="5" t="inlineStr">
        <is>
          <t>Escalation Specialist</t>
        </is>
      </c>
      <c r="H2449" s="5" t="inlineStr">
        <is>
          <t>2</t>
        </is>
      </c>
      <c r="I2449" s="5" t="inlineStr">
        <is>
          <t>Delhi</t>
        </is>
      </c>
      <c r="J2449" s="5" t="inlineStr">
        <is>
          <t>Full-Time</t>
        </is>
      </c>
      <c r="K2449" s="7" t="n">
        <v>45952</v>
      </c>
      <c r="L2449" s="7" t="inlineStr"/>
      <c r="M2449" s="5" t="inlineStr">
        <is>
          <t>Yes</t>
        </is>
      </c>
      <c r="N2449" s="5" t="inlineStr"/>
      <c r="O2449" s="8" t="inlineStr">
        <is>
          <t>74000</t>
        </is>
      </c>
      <c r="P2449" s="5" t="inlineStr">
        <is>
          <t>5</t>
        </is>
      </c>
      <c r="Q2449" s="5" t="inlineStr">
        <is>
          <t>5</t>
        </is>
      </c>
      <c r="R2449" s="5" t="inlineStr">
        <is>
          <t>8</t>
        </is>
      </c>
      <c r="S2449" s="5" t="inlineStr">
        <is>
          <t>2</t>
        </is>
      </c>
      <c r="T2449" s="5" t="inlineStr">
        <is>
          <t>4</t>
        </is>
      </c>
      <c r="U2449" s="5" t="inlineStr">
        <is>
          <t>OK</t>
        </is>
      </c>
    </row>
    <row r="2450">
      <c r="A2450" s="5" t="inlineStr">
        <is>
          <t>E01064</t>
        </is>
      </c>
      <c r="B2450" s="5" t="inlineStr">
        <is>
          <t>Male</t>
        </is>
      </c>
      <c r="C2450" s="6" t="inlineStr">
        <is>
          <t>23</t>
        </is>
      </c>
      <c r="D2450" s="5" t="inlineStr">
        <is>
          <t>Married</t>
        </is>
      </c>
      <c r="E2450" s="5" t="inlineStr">
        <is>
          <t>Diploma</t>
        </is>
      </c>
      <c r="F2450" s="5" t="inlineStr">
        <is>
          <t>Customer Support</t>
        </is>
      </c>
      <c r="G2450" s="5" t="inlineStr">
        <is>
          <t>Support Agent</t>
        </is>
      </c>
      <c r="H2450" s="5" t="inlineStr">
        <is>
          <t>1</t>
        </is>
      </c>
      <c r="I2450" s="5" t="inlineStr">
        <is>
          <t>Hyderabad</t>
        </is>
      </c>
      <c r="J2450" s="5" t="inlineStr">
        <is>
          <t>Full-Time</t>
        </is>
      </c>
      <c r="K2450" s="7" t="n">
        <v>44817</v>
      </c>
      <c r="L2450" s="7" t="inlineStr"/>
      <c r="M2450" s="5" t="inlineStr">
        <is>
          <t>Yes</t>
        </is>
      </c>
      <c r="N2450" s="5" t="inlineStr"/>
      <c r="O2450" s="8" t="inlineStr">
        <is>
          <t>53000</t>
        </is>
      </c>
      <c r="P2450" s="5" t="inlineStr">
        <is>
          <t>0</t>
        </is>
      </c>
      <c r="Q2450" s="5" t="inlineStr">
        <is>
          <t>5</t>
        </is>
      </c>
      <c r="R2450" s="5" t="inlineStr">
        <is>
          <t>6</t>
        </is>
      </c>
      <c r="S2450" s="5" t="inlineStr">
        <is>
          <t>40</t>
        </is>
      </c>
      <c r="T2450" s="5" t="inlineStr">
        <is>
          <t>0</t>
        </is>
      </c>
      <c r="U2450" s="5" t="inlineStr">
        <is>
          <t>OK</t>
        </is>
      </c>
    </row>
    <row r="2451">
      <c r="A2451" s="5" t="inlineStr">
        <is>
          <t>E02755</t>
        </is>
      </c>
      <c r="B2451" s="5" t="inlineStr">
        <is>
          <t>Male</t>
        </is>
      </c>
      <c r="C2451" s="6" t="inlineStr">
        <is>
          <t>30</t>
        </is>
      </c>
      <c r="D2451" s="5" t="inlineStr">
        <is>
          <t>Married</t>
        </is>
      </c>
      <c r="E2451" s="5" t="inlineStr">
        <is>
          <t>PhD</t>
        </is>
      </c>
      <c r="F2451" s="5" t="inlineStr">
        <is>
          <t>Operations</t>
        </is>
      </c>
      <c r="G2451" s="5" t="inlineStr">
        <is>
          <t>Operations Analyst</t>
        </is>
      </c>
      <c r="H2451" s="5" t="inlineStr">
        <is>
          <t>2</t>
        </is>
      </c>
      <c r="I2451" s="5" t="inlineStr">
        <is>
          <t>Bengaluru</t>
        </is>
      </c>
      <c r="J2451" s="5" t="inlineStr">
        <is>
          <t>Full-Time</t>
        </is>
      </c>
      <c r="K2451" s="7" t="n">
        <v>45462</v>
      </c>
      <c r="L2451" s="7" t="inlineStr"/>
      <c r="M2451" s="5" t="inlineStr">
        <is>
          <t>Yes</t>
        </is>
      </c>
      <c r="N2451" s="5" t="inlineStr"/>
      <c r="O2451" s="8" t="inlineStr">
        <is>
          <t>71500</t>
        </is>
      </c>
      <c r="P2451" s="5" t="inlineStr">
        <is>
          <t>0</t>
        </is>
      </c>
      <c r="Q2451" s="5" t="inlineStr">
        <is>
          <t>4</t>
        </is>
      </c>
      <c r="R2451" s="5" t="inlineStr">
        <is>
          <t>9</t>
        </is>
      </c>
      <c r="S2451" s="5" t="inlineStr">
        <is>
          <t>18</t>
        </is>
      </c>
      <c r="T2451" s="5" t="inlineStr">
        <is>
          <t>10</t>
        </is>
      </c>
      <c r="U2451" s="5" t="inlineStr">
        <is>
          <t>OK</t>
        </is>
      </c>
    </row>
    <row r="2452">
      <c r="A2452" s="5" t="inlineStr">
        <is>
          <t>E00068</t>
        </is>
      </c>
      <c r="B2452" s="5" t="inlineStr">
        <is>
          <t>Female</t>
        </is>
      </c>
      <c r="C2452" s="6" t="inlineStr">
        <is>
          <t>29</t>
        </is>
      </c>
      <c r="D2452" s="5" t="inlineStr">
        <is>
          <t>Married</t>
        </is>
      </c>
      <c r="E2452" s="5" t="inlineStr">
        <is>
          <t>PhD</t>
        </is>
      </c>
      <c r="F2452" s="5" t="inlineStr">
        <is>
          <t>Customer Support</t>
        </is>
      </c>
      <c r="G2452" s="5" t="inlineStr">
        <is>
          <t>Escalation Specialist</t>
        </is>
      </c>
      <c r="H2452" s="5" t="inlineStr">
        <is>
          <t>2</t>
        </is>
      </c>
      <c r="I2452" s="5" t="inlineStr">
        <is>
          <t>Chennai</t>
        </is>
      </c>
      <c r="J2452" s="5" t="inlineStr">
        <is>
          <t>Full-Time</t>
        </is>
      </c>
      <c r="K2452" s="7" t="n">
        <v>43979</v>
      </c>
      <c r="L2452" s="7" t="inlineStr"/>
      <c r="M2452" s="5" t="inlineStr">
        <is>
          <t>Yes</t>
        </is>
      </c>
      <c r="N2452" s="5" t="inlineStr"/>
      <c r="O2452" s="8" t="inlineStr">
        <is>
          <t>80500</t>
        </is>
      </c>
      <c r="P2452" s="5" t="inlineStr">
        <is>
          <t>15</t>
        </is>
      </c>
      <c r="Q2452" s="5" t="inlineStr">
        <is>
          <t>5</t>
        </is>
      </c>
      <c r="R2452" s="5" t="inlineStr">
        <is>
          <t>6</t>
        </is>
      </c>
      <c r="S2452" s="5" t="inlineStr">
        <is>
          <t>68</t>
        </is>
      </c>
      <c r="T2452" s="5" t="inlineStr">
        <is>
          <t>15</t>
        </is>
      </c>
      <c r="U2452" s="5" t="inlineStr">
        <is>
          <t>OK</t>
        </is>
      </c>
    </row>
    <row r="2453">
      <c r="A2453" s="5" t="inlineStr">
        <is>
          <t>E00881</t>
        </is>
      </c>
      <c r="B2453" s="5" t="inlineStr">
        <is>
          <t>Male</t>
        </is>
      </c>
      <c r="C2453" s="6" t="inlineStr">
        <is>
          <t>43</t>
        </is>
      </c>
      <c r="D2453" s="5" t="inlineStr">
        <is>
          <t>Single</t>
        </is>
      </c>
      <c r="E2453" s="5" t="inlineStr">
        <is>
          <t>High School</t>
        </is>
      </c>
      <c r="F2453" s="5" t="inlineStr">
        <is>
          <t>IT</t>
        </is>
      </c>
      <c r="G2453" s="5" t="inlineStr">
        <is>
          <t>IT Support</t>
        </is>
      </c>
      <c r="H2453" s="5" t="inlineStr">
        <is>
          <t>6</t>
        </is>
      </c>
      <c r="I2453" s="5" t="inlineStr">
        <is>
          <t>Delhi</t>
        </is>
      </c>
      <c r="J2453" s="5" t="inlineStr">
        <is>
          <t>Full-Time</t>
        </is>
      </c>
      <c r="K2453" s="7" t="n">
        <v>45747</v>
      </c>
      <c r="L2453" s="7" t="inlineStr"/>
      <c r="M2453" s="5" t="inlineStr">
        <is>
          <t>Yes</t>
        </is>
      </c>
      <c r="N2453" s="5" t="inlineStr"/>
      <c r="O2453" s="8" t="inlineStr">
        <is>
          <t>195000</t>
        </is>
      </c>
      <c r="P2453" s="5" t="inlineStr">
        <is>
          <t>5</t>
        </is>
      </c>
      <c r="Q2453" s="5" t="inlineStr">
        <is>
          <t>5</t>
        </is>
      </c>
      <c r="R2453" s="5" t="inlineStr">
        <is>
          <t>5</t>
        </is>
      </c>
      <c r="S2453" s="5" t="inlineStr">
        <is>
          <t>9</t>
        </is>
      </c>
      <c r="T2453" s="5" t="inlineStr">
        <is>
          <t>2</t>
        </is>
      </c>
      <c r="U2453" s="5" t="inlineStr">
        <is>
          <t>OK</t>
        </is>
      </c>
    </row>
    <row r="2454">
      <c r="A2454" s="5" t="inlineStr">
        <is>
          <t>E01475</t>
        </is>
      </c>
      <c r="B2454" s="5" t="inlineStr">
        <is>
          <t>Female</t>
        </is>
      </c>
      <c r="C2454" s="6" t="inlineStr">
        <is>
          <t>30</t>
        </is>
      </c>
      <c r="D2454" s="5" t="inlineStr">
        <is>
          <t>Married</t>
        </is>
      </c>
      <c r="E2454" s="5" t="inlineStr">
        <is>
          <t>PhD</t>
        </is>
      </c>
      <c r="F2454" s="5" t="inlineStr">
        <is>
          <t>Operations</t>
        </is>
      </c>
      <c r="G2454" s="5" t="inlineStr">
        <is>
          <t>Quality Analyst</t>
        </is>
      </c>
      <c r="H2454" s="5" t="inlineStr">
        <is>
          <t>3</t>
        </is>
      </c>
      <c r="I2454" s="5" t="inlineStr">
        <is>
          <t>Mumbai</t>
        </is>
      </c>
      <c r="J2454" s="5" t="inlineStr">
        <is>
          <t>Full-Time</t>
        </is>
      </c>
      <c r="K2454" s="7" t="n">
        <v>44545</v>
      </c>
      <c r="L2454" s="7" t="inlineStr"/>
      <c r="M2454" s="5" t="inlineStr">
        <is>
          <t>Yes</t>
        </is>
      </c>
      <c r="N2454" s="5" t="inlineStr"/>
      <c r="O2454" s="8" t="inlineStr">
        <is>
          <t>90000</t>
        </is>
      </c>
      <c r="P2454" s="5" t="inlineStr">
        <is>
          <t>5</t>
        </is>
      </c>
      <c r="Q2454" s="5" t="inlineStr">
        <is>
          <t>3</t>
        </is>
      </c>
      <c r="R2454" s="5" t="inlineStr">
        <is>
          <t>5</t>
        </is>
      </c>
      <c r="S2454" s="5" t="inlineStr">
        <is>
          <t>49</t>
        </is>
      </c>
      <c r="T2454" s="5" t="inlineStr">
        <is>
          <t>5</t>
        </is>
      </c>
      <c r="U2454" s="5" t="inlineStr">
        <is>
          <t>OK</t>
        </is>
      </c>
    </row>
    <row r="2455">
      <c r="A2455" s="5" t="inlineStr">
        <is>
          <t>E02321</t>
        </is>
      </c>
      <c r="B2455" s="5" t="inlineStr">
        <is>
          <t>Female</t>
        </is>
      </c>
      <c r="C2455" s="6" t="inlineStr">
        <is>
          <t>31</t>
        </is>
      </c>
      <c r="D2455" s="5" t="inlineStr">
        <is>
          <t>Divorced</t>
        </is>
      </c>
      <c r="E2455" s="5" t="inlineStr">
        <is>
          <t>Bachelor</t>
        </is>
      </c>
      <c r="F2455" s="5" t="inlineStr">
        <is>
          <t>Sales</t>
        </is>
      </c>
      <c r="G2455" s="5" t="inlineStr">
        <is>
          <t>Business Development</t>
        </is>
      </c>
      <c r="H2455" s="5" t="inlineStr">
        <is>
          <t>1</t>
        </is>
      </c>
      <c r="I2455" s="5" t="inlineStr">
        <is>
          <t>Bengaluru</t>
        </is>
      </c>
      <c r="J2455" s="5" t="inlineStr">
        <is>
          <t>Part-Time</t>
        </is>
      </c>
      <c r="K2455" s="7" t="n">
        <v>45046</v>
      </c>
      <c r="L2455" s="7" t="inlineStr"/>
      <c r="M2455" s="5" t="inlineStr">
        <is>
          <t>Yes</t>
        </is>
      </c>
      <c r="N2455" s="5" t="inlineStr"/>
      <c r="O2455" s="8" t="inlineStr">
        <is>
          <t>71500</t>
        </is>
      </c>
      <c r="P2455" s="5" t="inlineStr">
        <is>
          <t>0</t>
        </is>
      </c>
      <c r="Q2455" s="5" t="inlineStr">
        <is>
          <t>5</t>
        </is>
      </c>
      <c r="R2455" s="5" t="inlineStr">
        <is>
          <t>6</t>
        </is>
      </c>
      <c r="S2455" s="5" t="inlineStr">
        <is>
          <t>32</t>
        </is>
      </c>
      <c r="T2455" s="5" t="inlineStr">
        <is>
          <t>12</t>
        </is>
      </c>
      <c r="U2455" s="5" t="inlineStr">
        <is>
          <t>OK</t>
        </is>
      </c>
    </row>
    <row r="2456">
      <c r="A2456" s="5" t="inlineStr">
        <is>
          <t>E02281</t>
        </is>
      </c>
      <c r="B2456" s="5" t="inlineStr">
        <is>
          <t>Female</t>
        </is>
      </c>
      <c r="C2456" s="6" t="inlineStr">
        <is>
          <t>32</t>
        </is>
      </c>
      <c r="D2456" s="5" t="inlineStr">
        <is>
          <t>Married</t>
        </is>
      </c>
      <c r="E2456" s="5" t="inlineStr">
        <is>
          <t>Master</t>
        </is>
      </c>
      <c r="F2456" s="5" t="inlineStr">
        <is>
          <t>Research &amp; Development</t>
        </is>
      </c>
      <c r="G2456" s="5" t="inlineStr">
        <is>
          <t>Research Scientist</t>
        </is>
      </c>
      <c r="H2456" s="5" t="inlineStr">
        <is>
          <t>2</t>
        </is>
      </c>
      <c r="I2456" s="5" t="inlineStr">
        <is>
          <t>Remote</t>
        </is>
      </c>
      <c r="J2456" s="5" t="inlineStr">
        <is>
          <t>Full-Time</t>
        </is>
      </c>
      <c r="K2456" s="7" t="n">
        <v>45641</v>
      </c>
      <c r="L2456" s="7" t="inlineStr"/>
      <c r="M2456" s="5" t="inlineStr">
        <is>
          <t>Yes</t>
        </is>
      </c>
      <c r="N2456" s="5" t="inlineStr"/>
      <c r="O2456" s="8" t="inlineStr">
        <is>
          <t>159500</t>
        </is>
      </c>
      <c r="P2456" s="5" t="inlineStr">
        <is>
          <t>0</t>
        </is>
      </c>
      <c r="Q2456" s="5" t="inlineStr">
        <is>
          <t>3</t>
        </is>
      </c>
      <c r="R2456" s="5" t="inlineStr">
        <is>
          <t>5</t>
        </is>
      </c>
      <c r="S2456" s="5" t="inlineStr">
        <is>
          <t>12</t>
        </is>
      </c>
      <c r="T2456" s="5" t="inlineStr">
        <is>
          <t>3</t>
        </is>
      </c>
      <c r="U2456" s="5" t="inlineStr">
        <is>
          <t>OK</t>
        </is>
      </c>
    </row>
    <row r="2457">
      <c r="A2457" s="5" t="inlineStr">
        <is>
          <t>E02619</t>
        </is>
      </c>
      <c r="B2457" s="5" t="inlineStr">
        <is>
          <t>Female</t>
        </is>
      </c>
      <c r="C2457" s="6" t="inlineStr">
        <is>
          <t>30</t>
        </is>
      </c>
      <c r="D2457" s="5" t="inlineStr">
        <is>
          <t>Married</t>
        </is>
      </c>
      <c r="E2457" s="5" t="inlineStr">
        <is>
          <t>Master</t>
        </is>
      </c>
      <c r="F2457" s="5" t="inlineStr">
        <is>
          <t>Executive</t>
        </is>
      </c>
      <c r="G2457" s="5" t="inlineStr">
        <is>
          <t>CEO</t>
        </is>
      </c>
      <c r="H2457" s="5" t="inlineStr">
        <is>
          <t>2</t>
        </is>
      </c>
      <c r="I2457" s="5" t="inlineStr">
        <is>
          <t>Chennai</t>
        </is>
      </c>
      <c r="J2457" s="5" t="inlineStr">
        <is>
          <t>Full-Time</t>
        </is>
      </c>
      <c r="K2457" s="7" t="n">
        <v>45971</v>
      </c>
      <c r="L2457" s="7" t="inlineStr"/>
      <c r="M2457" s="5" t="inlineStr">
        <is>
          <t>Yes</t>
        </is>
      </c>
      <c r="N2457" s="5" t="inlineStr"/>
      <c r="O2457" s="8" t="inlineStr">
        <is>
          <t>286500</t>
        </is>
      </c>
      <c r="P2457" s="5" t="inlineStr">
        <is>
          <t>10</t>
        </is>
      </c>
      <c r="Q2457" s="5" t="inlineStr">
        <is>
          <t>3</t>
        </is>
      </c>
      <c r="R2457" s="5" t="inlineStr">
        <is>
          <t>8</t>
        </is>
      </c>
      <c r="S2457" s="5" t="inlineStr">
        <is>
          <t>1</t>
        </is>
      </c>
      <c r="T2457" s="5" t="inlineStr">
        <is>
          <t>1</t>
        </is>
      </c>
      <c r="U2457" s="5" t="inlineStr">
        <is>
          <t>OK</t>
        </is>
      </c>
    </row>
    <row r="2458">
      <c r="A2458" s="5" t="inlineStr">
        <is>
          <t>E01260</t>
        </is>
      </c>
      <c r="B2458" s="5" t="inlineStr">
        <is>
          <t>Female</t>
        </is>
      </c>
      <c r="C2458" s="6" t="inlineStr">
        <is>
          <t>23</t>
        </is>
      </c>
      <c r="D2458" s="5" t="inlineStr">
        <is>
          <t>Married</t>
        </is>
      </c>
      <c r="E2458" s="5" t="inlineStr">
        <is>
          <t>High School</t>
        </is>
      </c>
      <c r="F2458" s="5" t="inlineStr">
        <is>
          <t>Sales</t>
        </is>
      </c>
      <c r="G2458" s="5" t="inlineStr">
        <is>
          <t>Business Development</t>
        </is>
      </c>
      <c r="H2458" s="5" t="inlineStr">
        <is>
          <t>1</t>
        </is>
      </c>
      <c r="I2458" s="5" t="inlineStr">
        <is>
          <t>Delhi</t>
        </is>
      </c>
      <c r="J2458" s="5" t="inlineStr">
        <is>
          <t>Full-Time</t>
        </is>
      </c>
      <c r="K2458" s="7" t="n">
        <v>44620</v>
      </c>
      <c r="L2458" s="7" t="inlineStr"/>
      <c r="M2458" s="5" t="inlineStr">
        <is>
          <t>Yes</t>
        </is>
      </c>
      <c r="N2458" s="5" t="inlineStr"/>
      <c r="O2458" s="8" t="inlineStr">
        <is>
          <t>75000</t>
        </is>
      </c>
      <c r="P2458" s="5" t="inlineStr">
        <is>
          <t>0</t>
        </is>
      </c>
      <c r="Q2458" s="5" t="inlineStr">
        <is>
          <t>4</t>
        </is>
      </c>
      <c r="R2458" s="5" t="inlineStr">
        <is>
          <t>8</t>
        </is>
      </c>
      <c r="S2458" s="5" t="inlineStr">
        <is>
          <t>46</t>
        </is>
      </c>
      <c r="T2458" s="5" t="inlineStr">
        <is>
          <t>9</t>
        </is>
      </c>
      <c r="U2458" s="5" t="inlineStr">
        <is>
          <t>OK</t>
        </is>
      </c>
    </row>
    <row r="2459">
      <c r="A2459" s="5" t="inlineStr">
        <is>
          <t>E02964</t>
        </is>
      </c>
      <c r="B2459" s="5" t="inlineStr">
        <is>
          <t>Female</t>
        </is>
      </c>
      <c r="C2459" s="6" t="inlineStr">
        <is>
          <t>34</t>
        </is>
      </c>
      <c r="D2459" s="5" t="inlineStr">
        <is>
          <t>Married</t>
        </is>
      </c>
      <c r="E2459" s="5" t="inlineStr">
        <is>
          <t>Bachelor</t>
        </is>
      </c>
      <c r="F2459" s="5" t="inlineStr">
        <is>
          <t>Marketing</t>
        </is>
      </c>
      <c r="G2459" s="5" t="inlineStr">
        <is>
          <t>SEO Specialist</t>
        </is>
      </c>
      <c r="H2459" s="5" t="inlineStr">
        <is>
          <t>2</t>
        </is>
      </c>
      <c r="I2459" s="5" t="inlineStr">
        <is>
          <t>Remote</t>
        </is>
      </c>
      <c r="J2459" s="5" t="inlineStr">
        <is>
          <t>Full-Time</t>
        </is>
      </c>
      <c r="K2459" s="7" t="n">
        <v>45020</v>
      </c>
      <c r="L2459" s="7" t="inlineStr"/>
      <c r="M2459" s="5" t="inlineStr">
        <is>
          <t>Yes</t>
        </is>
      </c>
      <c r="N2459" s="5" t="inlineStr"/>
      <c r="O2459" s="8" t="inlineStr">
        <is>
          <t>102000</t>
        </is>
      </c>
      <c r="P2459" s="5" t="inlineStr">
        <is>
          <t>10</t>
        </is>
      </c>
      <c r="Q2459" s="5" t="inlineStr">
        <is>
          <t>3</t>
        </is>
      </c>
      <c r="R2459" s="5" t="inlineStr">
        <is>
          <t>3</t>
        </is>
      </c>
      <c r="S2459" s="5" t="inlineStr">
        <is>
          <t>33</t>
        </is>
      </c>
      <c r="T2459" s="5" t="inlineStr">
        <is>
          <t>2</t>
        </is>
      </c>
      <c r="U2459" s="5" t="inlineStr">
        <is>
          <t>OK</t>
        </is>
      </c>
    </row>
    <row r="2460">
      <c r="A2460" s="5" t="inlineStr">
        <is>
          <t>E01846</t>
        </is>
      </c>
      <c r="B2460" s="5" t="inlineStr">
        <is>
          <t>Male</t>
        </is>
      </c>
      <c r="C2460" s="6" t="inlineStr">
        <is>
          <t>27</t>
        </is>
      </c>
      <c r="D2460" s="5" t="inlineStr">
        <is>
          <t>Single</t>
        </is>
      </c>
      <c r="E2460" s="5" t="inlineStr">
        <is>
          <t>High School</t>
        </is>
      </c>
      <c r="F2460" s="5" t="inlineStr">
        <is>
          <t>Customer Support</t>
        </is>
      </c>
      <c r="G2460" s="5" t="inlineStr">
        <is>
          <t>Support Lead</t>
        </is>
      </c>
      <c r="H2460" s="5" t="inlineStr">
        <is>
          <t>1</t>
        </is>
      </c>
      <c r="I2460" s="5" t="inlineStr">
        <is>
          <t>Chennai</t>
        </is>
      </c>
      <c r="J2460" s="5" t="inlineStr">
        <is>
          <t>Full-Time</t>
        </is>
      </c>
      <c r="K2460" s="7" t="n">
        <v>44898</v>
      </c>
      <c r="L2460" s="7" t="inlineStr"/>
      <c r="M2460" s="5" t="inlineStr">
        <is>
          <t>Yes</t>
        </is>
      </c>
      <c r="N2460" s="5" t="inlineStr"/>
      <c r="O2460" s="8" t="inlineStr">
        <is>
          <t>66000</t>
        </is>
      </c>
      <c r="P2460" s="5" t="inlineStr">
        <is>
          <t>10</t>
        </is>
      </c>
      <c r="Q2460" s="5" t="inlineStr">
        <is>
          <t>3</t>
        </is>
      </c>
      <c r="R2460" s="5" t="inlineStr">
        <is>
          <t>9</t>
        </is>
      </c>
      <c r="S2460" s="5" t="inlineStr">
        <is>
          <t>37</t>
        </is>
      </c>
      <c r="T2460" s="5" t="inlineStr">
        <is>
          <t>5</t>
        </is>
      </c>
      <c r="U2460" s="5" t="inlineStr">
        <is>
          <t>OK</t>
        </is>
      </c>
    </row>
    <row r="2461">
      <c r="A2461" s="5" t="inlineStr">
        <is>
          <t>E01825</t>
        </is>
      </c>
      <c r="B2461" s="5" t="inlineStr">
        <is>
          <t>Male</t>
        </is>
      </c>
      <c r="C2461" s="6" t="inlineStr">
        <is>
          <t>36</t>
        </is>
      </c>
      <c r="D2461" s="5" t="inlineStr">
        <is>
          <t>Single</t>
        </is>
      </c>
      <c r="E2461" s="5" t="inlineStr">
        <is>
          <t>High School</t>
        </is>
      </c>
      <c r="F2461" s="5" t="inlineStr">
        <is>
          <t>Human Resources</t>
        </is>
      </c>
      <c r="G2461" s="5" t="inlineStr">
        <is>
          <t>HR Analyst</t>
        </is>
      </c>
      <c r="H2461" s="5" t="inlineStr">
        <is>
          <t>2</t>
        </is>
      </c>
      <c r="I2461" s="5" t="inlineStr">
        <is>
          <t>Chennai</t>
        </is>
      </c>
      <c r="J2461" s="5" t="inlineStr">
        <is>
          <t>Full-Time</t>
        </is>
      </c>
      <c r="K2461" s="7" t="n">
        <v>43940</v>
      </c>
      <c r="L2461" s="7" t="inlineStr"/>
      <c r="M2461" s="5" t="inlineStr">
        <is>
          <t>Yes</t>
        </is>
      </c>
      <c r="N2461" s="5" t="inlineStr"/>
      <c r="O2461" s="8" t="inlineStr">
        <is>
          <t>73500</t>
        </is>
      </c>
      <c r="P2461" s="5" t="inlineStr">
        <is>
          <t>0</t>
        </is>
      </c>
      <c r="Q2461" s="5" t="inlineStr">
        <is>
          <t>3</t>
        </is>
      </c>
      <c r="R2461" s="5" t="inlineStr">
        <is>
          <t>7</t>
        </is>
      </c>
      <c r="S2461" s="5" t="inlineStr">
        <is>
          <t>69</t>
        </is>
      </c>
      <c r="T2461" s="5" t="inlineStr">
        <is>
          <t>4</t>
        </is>
      </c>
      <c r="U2461" s="5" t="inlineStr">
        <is>
          <t>OK</t>
        </is>
      </c>
    </row>
    <row r="2462">
      <c r="A2462" s="5" t="inlineStr">
        <is>
          <t>E01806</t>
        </is>
      </c>
      <c r="B2462" s="5" t="inlineStr">
        <is>
          <t>Male</t>
        </is>
      </c>
      <c r="C2462" s="6" t="inlineStr">
        <is>
          <t>36</t>
        </is>
      </c>
      <c r="D2462" s="5" t="inlineStr">
        <is>
          <t>Single</t>
        </is>
      </c>
      <c r="E2462" s="5" t="inlineStr">
        <is>
          <t>Diploma</t>
        </is>
      </c>
      <c r="F2462" s="5" t="inlineStr">
        <is>
          <t>Sales</t>
        </is>
      </c>
      <c r="G2462" s="5" t="inlineStr">
        <is>
          <t>Business Development</t>
        </is>
      </c>
      <c r="H2462" s="5" t="inlineStr">
        <is>
          <t>5</t>
        </is>
      </c>
      <c r="I2462" s="5" t="inlineStr">
        <is>
          <t>Delhi</t>
        </is>
      </c>
      <c r="J2462" s="5" t="inlineStr">
        <is>
          <t>Part-Time</t>
        </is>
      </c>
      <c r="K2462" s="7" t="n">
        <v>44845</v>
      </c>
      <c r="L2462" s="7" t="inlineStr"/>
      <c r="M2462" s="5" t="inlineStr">
        <is>
          <t>Yes</t>
        </is>
      </c>
      <c r="N2462" s="5" t="inlineStr"/>
      <c r="O2462" s="8" t="inlineStr">
        <is>
          <t>147500</t>
        </is>
      </c>
      <c r="P2462" s="5" t="inlineStr">
        <is>
          <t>0</t>
        </is>
      </c>
      <c r="Q2462" s="5" t="inlineStr">
        <is>
          <t>3</t>
        </is>
      </c>
      <c r="R2462" s="5" t="inlineStr">
        <is>
          <t>5</t>
        </is>
      </c>
      <c r="S2462" s="5" t="inlineStr">
        <is>
          <t>39</t>
        </is>
      </c>
      <c r="T2462" s="5" t="inlineStr">
        <is>
          <t>15</t>
        </is>
      </c>
      <c r="U2462" s="5" t="inlineStr">
        <is>
          <t>OK</t>
        </is>
      </c>
    </row>
    <row r="2463">
      <c r="A2463" s="5" t="inlineStr">
        <is>
          <t>E00349</t>
        </is>
      </c>
      <c r="B2463" s="5" t="inlineStr">
        <is>
          <t>Female</t>
        </is>
      </c>
      <c r="C2463" s="6" t="inlineStr">
        <is>
          <t>27</t>
        </is>
      </c>
      <c r="D2463" s="5" t="inlineStr">
        <is>
          <t>Married</t>
        </is>
      </c>
      <c r="E2463" s="5" t="inlineStr">
        <is>
          <t>High School</t>
        </is>
      </c>
      <c r="F2463" s="5" t="inlineStr">
        <is>
          <t>Research &amp; Development</t>
        </is>
      </c>
      <c r="G2463" s="5" t="inlineStr">
        <is>
          <t>Product Engineer</t>
        </is>
      </c>
      <c r="H2463" s="5" t="inlineStr">
        <is>
          <t>2</t>
        </is>
      </c>
      <c r="I2463" s="5" t="inlineStr">
        <is>
          <t>Remote</t>
        </is>
      </c>
      <c r="J2463" s="5" t="inlineStr">
        <is>
          <t>Full-Time</t>
        </is>
      </c>
      <c r="K2463" s="7" t="n">
        <v>44291</v>
      </c>
      <c r="L2463" s="7" t="n">
        <v>44362</v>
      </c>
      <c r="M2463" s="5" t="inlineStr">
        <is>
          <t>No</t>
        </is>
      </c>
      <c r="N2463" s="5" t="inlineStr">
        <is>
          <t>Retirement</t>
        </is>
      </c>
      <c r="O2463" s="8" t="inlineStr">
        <is>
          <t>187000</t>
        </is>
      </c>
      <c r="P2463" s="5" t="inlineStr">
        <is>
          <t>20</t>
        </is>
      </c>
      <c r="Q2463" s="5" t="inlineStr">
        <is>
          <t>4</t>
        </is>
      </c>
      <c r="R2463" s="5" t="inlineStr">
        <is>
          <t>7</t>
        </is>
      </c>
      <c r="S2463" s="5" t="inlineStr">
        <is>
          <t>2</t>
        </is>
      </c>
      <c r="T2463" s="5" t="inlineStr">
        <is>
          <t>0</t>
        </is>
      </c>
      <c r="U2463" s="5" t="inlineStr">
        <is>
          <t>OK</t>
        </is>
      </c>
    </row>
    <row r="2464">
      <c r="A2464" s="5" t="inlineStr">
        <is>
          <t>E00336</t>
        </is>
      </c>
      <c r="B2464" s="5" t="inlineStr">
        <is>
          <t>Male</t>
        </is>
      </c>
      <c r="C2464" s="6" t="inlineStr">
        <is>
          <t>40</t>
        </is>
      </c>
      <c r="D2464" s="5" t="inlineStr">
        <is>
          <t>Single</t>
        </is>
      </c>
      <c r="E2464" s="5" t="inlineStr">
        <is>
          <t>Bachelor</t>
        </is>
      </c>
      <c r="F2464" s="5" t="inlineStr">
        <is>
          <t>IT</t>
        </is>
      </c>
      <c r="G2464" s="5" t="inlineStr">
        <is>
          <t>Software Engineer</t>
        </is>
      </c>
      <c r="H2464" s="5" t="inlineStr">
        <is>
          <t>4</t>
        </is>
      </c>
      <c r="I2464" s="5" t="inlineStr">
        <is>
          <t>Remote</t>
        </is>
      </c>
      <c r="J2464" s="5" t="inlineStr">
        <is>
          <t>Part-Time</t>
        </is>
      </c>
      <c r="K2464" s="7" t="n">
        <v>45791</v>
      </c>
      <c r="L2464" s="7" t="inlineStr"/>
      <c r="M2464" s="5" t="inlineStr">
        <is>
          <t>Yes</t>
        </is>
      </c>
      <c r="N2464" s="5" t="inlineStr"/>
      <c r="O2464" s="8" t="inlineStr">
        <is>
          <t>119500</t>
        </is>
      </c>
      <c r="P2464" s="5" t="inlineStr">
        <is>
          <t>0</t>
        </is>
      </c>
      <c r="Q2464" s="5" t="inlineStr">
        <is>
          <t>4</t>
        </is>
      </c>
      <c r="R2464" s="5" t="inlineStr">
        <is>
          <t>5</t>
        </is>
      </c>
      <c r="S2464" s="5" t="inlineStr">
        <is>
          <t>7</t>
        </is>
      </c>
      <c r="T2464" s="5" t="inlineStr">
        <is>
          <t>7</t>
        </is>
      </c>
      <c r="U2464" s="5" t="inlineStr">
        <is>
          <t>OK</t>
        </is>
      </c>
    </row>
    <row r="2465">
      <c r="A2465" s="5" t="inlineStr">
        <is>
          <t>E02729</t>
        </is>
      </c>
      <c r="B2465" s="5" t="inlineStr">
        <is>
          <t>Male</t>
        </is>
      </c>
      <c r="C2465" s="6" t="inlineStr">
        <is>
          <t>27</t>
        </is>
      </c>
      <c r="D2465" s="5" t="inlineStr">
        <is>
          <t>Married</t>
        </is>
      </c>
      <c r="E2465" s="5" t="inlineStr">
        <is>
          <t>High School</t>
        </is>
      </c>
      <c r="F2465" s="5" t="inlineStr">
        <is>
          <t>Human Resources</t>
        </is>
      </c>
      <c r="G2465" s="5" t="inlineStr">
        <is>
          <t>HR Generalist</t>
        </is>
      </c>
      <c r="H2465" s="5" t="inlineStr">
        <is>
          <t>1</t>
        </is>
      </c>
      <c r="I2465" s="5" t="inlineStr">
        <is>
          <t>Bengaluru</t>
        </is>
      </c>
      <c r="J2465" s="5" t="inlineStr">
        <is>
          <t>Full-Time</t>
        </is>
      </c>
      <c r="K2465" s="7" t="n">
        <v>43993</v>
      </c>
      <c r="L2465" s="7" t="inlineStr"/>
      <c r="M2465" s="5" t="inlineStr">
        <is>
          <t>Yes</t>
        </is>
      </c>
      <c r="N2465" s="5" t="inlineStr"/>
      <c r="O2465" s="8" t="inlineStr">
        <is>
          <t>70000</t>
        </is>
      </c>
      <c r="P2465" s="5" t="inlineStr">
        <is>
          <t>10</t>
        </is>
      </c>
      <c r="Q2465" s="5" t="inlineStr">
        <is>
          <t>3</t>
        </is>
      </c>
      <c r="R2465" s="5" t="inlineStr">
        <is>
          <t>7</t>
        </is>
      </c>
      <c r="S2465" s="5" t="inlineStr">
        <is>
          <t>67</t>
        </is>
      </c>
      <c r="T2465" s="5" t="inlineStr">
        <is>
          <t>6</t>
        </is>
      </c>
      <c r="U2465" s="5" t="inlineStr">
        <is>
          <t>OK</t>
        </is>
      </c>
    </row>
    <row r="2466">
      <c r="A2466" s="5" t="inlineStr">
        <is>
          <t>E00205</t>
        </is>
      </c>
      <c r="B2466" s="5" t="inlineStr">
        <is>
          <t>Female</t>
        </is>
      </c>
      <c r="C2466" s="6" t="inlineStr">
        <is>
          <t>33</t>
        </is>
      </c>
      <c r="D2466" s="5" t="inlineStr">
        <is>
          <t>Married</t>
        </is>
      </c>
      <c r="E2466" s="5" t="inlineStr">
        <is>
          <t>Master</t>
        </is>
      </c>
      <c r="F2466" s="5" t="inlineStr">
        <is>
          <t>IT</t>
        </is>
      </c>
      <c r="G2466" s="5" t="inlineStr">
        <is>
          <t>DevOps Engineer</t>
        </is>
      </c>
      <c r="H2466" s="5" t="inlineStr">
        <is>
          <t>3</t>
        </is>
      </c>
      <c r="I2466" s="5" t="inlineStr">
        <is>
          <t>Chennai</t>
        </is>
      </c>
      <c r="J2466" s="5" t="inlineStr">
        <is>
          <t>Full-Time</t>
        </is>
      </c>
      <c r="K2466" s="7" t="n">
        <v>44312</v>
      </c>
      <c r="L2466" s="7" t="inlineStr"/>
      <c r="M2466" s="5" t="inlineStr">
        <is>
          <t>Yes</t>
        </is>
      </c>
      <c r="N2466" s="5" t="inlineStr"/>
      <c r="O2466" s="8" t="inlineStr">
        <is>
          <t>166500</t>
        </is>
      </c>
      <c r="P2466" s="5" t="inlineStr">
        <is>
          <t>5</t>
        </is>
      </c>
      <c r="Q2466" s="5" t="inlineStr">
        <is>
          <t>4</t>
        </is>
      </c>
      <c r="R2466" s="5" t="inlineStr">
        <is>
          <t>9</t>
        </is>
      </c>
      <c r="S2466" s="5" t="inlineStr">
        <is>
          <t>57</t>
        </is>
      </c>
      <c r="T2466" s="5" t="inlineStr">
        <is>
          <t>0</t>
        </is>
      </c>
      <c r="U2466" s="5" t="inlineStr">
        <is>
          <t>OK</t>
        </is>
      </c>
    </row>
    <row r="2467">
      <c r="A2467" s="5" t="inlineStr">
        <is>
          <t>E00612</t>
        </is>
      </c>
      <c r="B2467" s="5" t="inlineStr">
        <is>
          <t>Female</t>
        </is>
      </c>
      <c r="C2467" s="6" t="inlineStr">
        <is>
          <t>39</t>
        </is>
      </c>
      <c r="D2467" s="5" t="inlineStr">
        <is>
          <t>Married</t>
        </is>
      </c>
      <c r="E2467" s="5" t="inlineStr">
        <is>
          <t>High School</t>
        </is>
      </c>
      <c r="F2467" s="5" t="inlineStr">
        <is>
          <t>Finance</t>
        </is>
      </c>
      <c r="G2467" s="5" t="inlineStr">
        <is>
          <t>Credit Analyst</t>
        </is>
      </c>
      <c r="H2467" s="5" t="inlineStr">
        <is>
          <t>4</t>
        </is>
      </c>
      <c r="I2467" s="5" t="inlineStr">
        <is>
          <t>Bengaluru</t>
        </is>
      </c>
      <c r="J2467" s="5" t="inlineStr">
        <is>
          <t>Full-Time</t>
        </is>
      </c>
      <c r="K2467" s="7" t="n">
        <v>45280</v>
      </c>
      <c r="L2467" s="7" t="inlineStr"/>
      <c r="M2467" s="5" t="inlineStr">
        <is>
          <t>Yes</t>
        </is>
      </c>
      <c r="N2467" s="5" t="inlineStr"/>
      <c r="O2467" s="8" t="inlineStr">
        <is>
          <t>139000</t>
        </is>
      </c>
      <c r="P2467" s="5" t="inlineStr">
        <is>
          <t>10</t>
        </is>
      </c>
      <c r="Q2467" s="5" t="inlineStr">
        <is>
          <t>5</t>
        </is>
      </c>
      <c r="R2467" s="5" t="inlineStr">
        <is>
          <t>4</t>
        </is>
      </c>
      <c r="S2467" s="5" t="inlineStr">
        <is>
          <t>24</t>
        </is>
      </c>
      <c r="T2467" s="5" t="inlineStr">
        <is>
          <t>11</t>
        </is>
      </c>
      <c r="U2467" s="5" t="inlineStr">
        <is>
          <t>OK</t>
        </is>
      </c>
    </row>
    <row r="2468">
      <c r="A2468" s="5" t="inlineStr">
        <is>
          <t>E01174</t>
        </is>
      </c>
      <c r="B2468" s="5" t="inlineStr">
        <is>
          <t>Male</t>
        </is>
      </c>
      <c r="C2468" s="6" t="inlineStr">
        <is>
          <t>29</t>
        </is>
      </c>
      <c r="D2468" s="5" t="inlineStr">
        <is>
          <t>Married</t>
        </is>
      </c>
      <c r="E2468" s="5" t="inlineStr">
        <is>
          <t>Master</t>
        </is>
      </c>
      <c r="F2468" s="5" t="inlineStr">
        <is>
          <t>Finance</t>
        </is>
      </c>
      <c r="G2468" s="5" t="inlineStr">
        <is>
          <t>Accountant</t>
        </is>
      </c>
      <c r="H2468" s="5" t="inlineStr">
        <is>
          <t>1</t>
        </is>
      </c>
      <c r="I2468" s="5" t="inlineStr">
        <is>
          <t>Remote</t>
        </is>
      </c>
      <c r="J2468" s="5" t="inlineStr">
        <is>
          <t>Full-Time</t>
        </is>
      </c>
      <c r="K2468" s="7" t="n">
        <v>44865</v>
      </c>
      <c r="L2468" s="7" t="inlineStr"/>
      <c r="M2468" s="5" t="inlineStr">
        <is>
          <t>Yes</t>
        </is>
      </c>
      <c r="N2468" s="5" t="inlineStr"/>
      <c r="O2468" s="8" t="inlineStr">
        <is>
          <t>114500</t>
        </is>
      </c>
      <c r="P2468" s="5" t="inlineStr">
        <is>
          <t>15</t>
        </is>
      </c>
      <c r="Q2468" s="5" t="inlineStr">
        <is>
          <t>4</t>
        </is>
      </c>
      <c r="R2468" s="5" t="inlineStr">
        <is>
          <t>4</t>
        </is>
      </c>
      <c r="S2468" s="5" t="inlineStr">
        <is>
          <t>38</t>
        </is>
      </c>
      <c r="T2468" s="5" t="inlineStr">
        <is>
          <t>7</t>
        </is>
      </c>
      <c r="U2468" s="5" t="inlineStr">
        <is>
          <t>OK</t>
        </is>
      </c>
    </row>
    <row r="2469">
      <c r="A2469" s="5" t="inlineStr">
        <is>
          <t>E02370</t>
        </is>
      </c>
      <c r="B2469" s="5" t="inlineStr">
        <is>
          <t>Female</t>
        </is>
      </c>
      <c r="C2469" s="6" t="inlineStr">
        <is>
          <t>32</t>
        </is>
      </c>
      <c r="D2469" s="5" t="inlineStr">
        <is>
          <t>Single</t>
        </is>
      </c>
      <c r="E2469" s="5" t="inlineStr">
        <is>
          <t>Diploma</t>
        </is>
      </c>
      <c r="F2469" s="5" t="inlineStr">
        <is>
          <t>Marketing</t>
        </is>
      </c>
      <c r="G2469" s="5" t="inlineStr">
        <is>
          <t>SEO Specialist</t>
        </is>
      </c>
      <c r="H2469" s="5" t="inlineStr">
        <is>
          <t>1</t>
        </is>
      </c>
      <c r="I2469" s="5" t="inlineStr">
        <is>
          <t>Delhi</t>
        </is>
      </c>
      <c r="J2469" s="5" t="inlineStr">
        <is>
          <t>Part-Time</t>
        </is>
      </c>
      <c r="K2469" s="7" t="n">
        <v>45807</v>
      </c>
      <c r="L2469" s="7" t="inlineStr"/>
      <c r="M2469" s="5" t="inlineStr">
        <is>
          <t>Yes</t>
        </is>
      </c>
      <c r="N2469" s="5" t="inlineStr"/>
      <c r="O2469" s="8" t="inlineStr">
        <is>
          <t>58500</t>
        </is>
      </c>
      <c r="P2469" s="5" t="inlineStr">
        <is>
          <t>0</t>
        </is>
      </c>
      <c r="Q2469" s="5" t="inlineStr">
        <is>
          <t>3</t>
        </is>
      </c>
      <c r="R2469" s="5" t="inlineStr">
        <is>
          <t>6</t>
        </is>
      </c>
      <c r="S2469" s="5" t="inlineStr">
        <is>
          <t>7</t>
        </is>
      </c>
      <c r="T2469" s="5" t="inlineStr">
        <is>
          <t>12</t>
        </is>
      </c>
      <c r="U2469" s="5" t="inlineStr">
        <is>
          <t>OK</t>
        </is>
      </c>
    </row>
    <row r="2470">
      <c r="A2470" s="5" t="inlineStr">
        <is>
          <t>E01424</t>
        </is>
      </c>
      <c r="B2470" s="5" t="inlineStr">
        <is>
          <t>Female</t>
        </is>
      </c>
      <c r="C2470" s="6" t="inlineStr">
        <is>
          <t>31</t>
        </is>
      </c>
      <c r="D2470" s="5" t="inlineStr">
        <is>
          <t>Married</t>
        </is>
      </c>
      <c r="E2470" s="5" t="inlineStr">
        <is>
          <t>High School</t>
        </is>
      </c>
      <c r="F2470" s="5" t="inlineStr">
        <is>
          <t>Customer Support</t>
        </is>
      </c>
      <c r="G2470" s="5" t="inlineStr">
        <is>
          <t>Support Agent</t>
        </is>
      </c>
      <c r="H2470" s="5" t="inlineStr">
        <is>
          <t>3</t>
        </is>
      </c>
      <c r="I2470" s="5" t="inlineStr">
        <is>
          <t>Remote</t>
        </is>
      </c>
      <c r="J2470" s="5" t="inlineStr">
        <is>
          <t>Part-Time</t>
        </is>
      </c>
      <c r="K2470" s="7" t="n">
        <v>45814</v>
      </c>
      <c r="L2470" s="7" t="inlineStr"/>
      <c r="M2470" s="5" t="inlineStr">
        <is>
          <t>Yes</t>
        </is>
      </c>
      <c r="N2470" s="5" t="inlineStr"/>
      <c r="O2470" s="8" t="inlineStr">
        <is>
          <t>76500</t>
        </is>
      </c>
      <c r="P2470" s="5" t="inlineStr">
        <is>
          <t>0</t>
        </is>
      </c>
      <c r="Q2470" s="5" t="inlineStr">
        <is>
          <t>5</t>
        </is>
      </c>
      <c r="R2470" s="5" t="inlineStr">
        <is>
          <t>5</t>
        </is>
      </c>
      <c r="S2470" s="5" t="inlineStr">
        <is>
          <t>6</t>
        </is>
      </c>
      <c r="T2470" s="5" t="inlineStr">
        <is>
          <t>0</t>
        </is>
      </c>
      <c r="U2470" s="5" t="inlineStr">
        <is>
          <t>OK</t>
        </is>
      </c>
    </row>
    <row r="2471">
      <c r="A2471" s="5" t="inlineStr">
        <is>
          <t>E02618</t>
        </is>
      </c>
      <c r="B2471" s="5" t="inlineStr">
        <is>
          <t>Male</t>
        </is>
      </c>
      <c r="C2471" s="6" t="inlineStr">
        <is>
          <t>30</t>
        </is>
      </c>
      <c r="D2471" s="5" t="inlineStr">
        <is>
          <t>Married</t>
        </is>
      </c>
      <c r="E2471" s="5" t="inlineStr">
        <is>
          <t>High School</t>
        </is>
      </c>
      <c r="F2471" s="5" t="inlineStr">
        <is>
          <t>Research &amp; Development</t>
        </is>
      </c>
      <c r="G2471" s="5" t="inlineStr">
        <is>
          <t>Research Scientist</t>
        </is>
      </c>
      <c r="H2471" s="5" t="inlineStr">
        <is>
          <t>2</t>
        </is>
      </c>
      <c r="I2471" s="5" t="inlineStr">
        <is>
          <t>Hyderabad</t>
        </is>
      </c>
      <c r="J2471" s="5" t="inlineStr">
        <is>
          <t>Full-Time</t>
        </is>
      </c>
      <c r="K2471" s="7" t="n">
        <v>44100</v>
      </c>
      <c r="L2471" s="7" t="inlineStr"/>
      <c r="M2471" s="5" t="inlineStr">
        <is>
          <t>Yes</t>
        </is>
      </c>
      <c r="N2471" s="5" t="inlineStr"/>
      <c r="O2471" s="8" t="inlineStr">
        <is>
          <t>140500</t>
        </is>
      </c>
      <c r="P2471" s="5" t="inlineStr">
        <is>
          <t>5</t>
        </is>
      </c>
      <c r="Q2471" s="5" t="inlineStr">
        <is>
          <t>3</t>
        </is>
      </c>
      <c r="R2471" s="5" t="inlineStr">
        <is>
          <t>3</t>
        </is>
      </c>
      <c r="S2471" s="5" t="inlineStr">
        <is>
          <t>64</t>
        </is>
      </c>
      <c r="T2471" s="5" t="inlineStr">
        <is>
          <t>6</t>
        </is>
      </c>
      <c r="U2471" s="5" t="inlineStr">
        <is>
          <t>OK</t>
        </is>
      </c>
    </row>
    <row r="2472">
      <c r="A2472" s="5" t="inlineStr">
        <is>
          <t>E02807</t>
        </is>
      </c>
      <c r="B2472" s="5" t="inlineStr">
        <is>
          <t>Male</t>
        </is>
      </c>
      <c r="C2472" s="6" t="inlineStr">
        <is>
          <t>26</t>
        </is>
      </c>
      <c r="D2472" s="5" t="inlineStr">
        <is>
          <t>Divorced</t>
        </is>
      </c>
      <c r="E2472" s="5" t="inlineStr">
        <is>
          <t>Master</t>
        </is>
      </c>
      <c r="F2472" s="5" t="inlineStr">
        <is>
          <t>Research &amp; Development</t>
        </is>
      </c>
      <c r="G2472" s="5" t="inlineStr">
        <is>
          <t>Research Scientist</t>
        </is>
      </c>
      <c r="H2472" s="5" t="inlineStr">
        <is>
          <t>1</t>
        </is>
      </c>
      <c r="I2472" s="5" t="inlineStr">
        <is>
          <t>Chennai</t>
        </is>
      </c>
      <c r="J2472" s="5" t="inlineStr">
        <is>
          <t>Full-Time</t>
        </is>
      </c>
      <c r="K2472" s="7" t="n">
        <v>45439</v>
      </c>
      <c r="L2472" s="7" t="n">
        <v>45579</v>
      </c>
      <c r="M2472" s="5" t="inlineStr">
        <is>
          <t>No</t>
        </is>
      </c>
      <c r="N2472" s="5" t="inlineStr">
        <is>
          <t>Resigned</t>
        </is>
      </c>
      <c r="O2472" s="8" t="inlineStr">
        <is>
          <t>130000</t>
        </is>
      </c>
      <c r="P2472" s="5" t="inlineStr">
        <is>
          <t>5</t>
        </is>
      </c>
      <c r="Q2472" s="5" t="inlineStr">
        <is>
          <t>4</t>
        </is>
      </c>
      <c r="R2472" s="5" t="inlineStr">
        <is>
          <t>4</t>
        </is>
      </c>
      <c r="S2472" s="5" t="inlineStr">
        <is>
          <t>4</t>
        </is>
      </c>
      <c r="T2472" s="5" t="inlineStr">
        <is>
          <t>3</t>
        </is>
      </c>
      <c r="U2472" s="5" t="inlineStr">
        <is>
          <t>OK</t>
        </is>
      </c>
    </row>
    <row r="2473">
      <c r="A2473" s="5" t="inlineStr">
        <is>
          <t>E02726</t>
        </is>
      </c>
      <c r="B2473" s="5" t="inlineStr">
        <is>
          <t>Male</t>
        </is>
      </c>
      <c r="C2473" s="6" t="inlineStr">
        <is>
          <t>23</t>
        </is>
      </c>
      <c r="D2473" s="5" t="inlineStr">
        <is>
          <t>Married</t>
        </is>
      </c>
      <c r="E2473" s="5" t="inlineStr">
        <is>
          <t>Bachelor</t>
        </is>
      </c>
      <c r="F2473" s="5" t="inlineStr">
        <is>
          <t>Sales</t>
        </is>
      </c>
      <c r="G2473" s="5" t="inlineStr">
        <is>
          <t>Account Executive</t>
        </is>
      </c>
      <c r="H2473" s="5" t="inlineStr">
        <is>
          <t>1</t>
        </is>
      </c>
      <c r="I2473" s="5" t="inlineStr">
        <is>
          <t>Chennai</t>
        </is>
      </c>
      <c r="J2473" s="5" t="inlineStr">
        <is>
          <t>Full-Time</t>
        </is>
      </c>
      <c r="K2473" s="7" t="n">
        <v>44336</v>
      </c>
      <c r="L2473" s="7" t="inlineStr"/>
      <c r="M2473" s="5" t="inlineStr">
        <is>
          <t>Yes</t>
        </is>
      </c>
      <c r="N2473" s="5" t="inlineStr"/>
      <c r="O2473" s="8" t="inlineStr">
        <is>
          <t>94500</t>
        </is>
      </c>
      <c r="P2473" s="5" t="inlineStr">
        <is>
          <t>10</t>
        </is>
      </c>
      <c r="Q2473" s="5" t="inlineStr">
        <is>
          <t>3</t>
        </is>
      </c>
      <c r="R2473" s="5" t="inlineStr">
        <is>
          <t>7</t>
        </is>
      </c>
      <c r="S2473" s="5" t="inlineStr">
        <is>
          <t>56</t>
        </is>
      </c>
      <c r="T2473" s="5" t="inlineStr">
        <is>
          <t>6</t>
        </is>
      </c>
      <c r="U2473" s="5" t="inlineStr">
        <is>
          <t>OK</t>
        </is>
      </c>
    </row>
    <row r="2474">
      <c r="A2474" s="5" t="inlineStr">
        <is>
          <t>E02781</t>
        </is>
      </c>
      <c r="B2474" s="5" t="inlineStr">
        <is>
          <t>Male</t>
        </is>
      </c>
      <c r="C2474" s="6" t="inlineStr">
        <is>
          <t>24</t>
        </is>
      </c>
      <c r="D2474" s="5" t="inlineStr">
        <is>
          <t>Married</t>
        </is>
      </c>
      <c r="E2474" s="5" t="inlineStr">
        <is>
          <t>Master</t>
        </is>
      </c>
      <c r="F2474" s="5" t="inlineStr">
        <is>
          <t>IT</t>
        </is>
      </c>
      <c r="G2474" s="5" t="inlineStr">
        <is>
          <t>DevOps Engineer</t>
        </is>
      </c>
      <c r="H2474" s="5" t="inlineStr">
        <is>
          <t>1</t>
        </is>
      </c>
      <c r="I2474" s="5" t="inlineStr">
        <is>
          <t>Hyderabad</t>
        </is>
      </c>
      <c r="J2474" s="5" t="inlineStr">
        <is>
          <t>Full-Time</t>
        </is>
      </c>
      <c r="K2474" s="7" t="n">
        <v>44840</v>
      </c>
      <c r="L2474" s="7" t="n">
        <v>44989</v>
      </c>
      <c r="M2474" s="5" t="inlineStr">
        <is>
          <t>No</t>
        </is>
      </c>
      <c r="N2474" s="5" t="inlineStr">
        <is>
          <t>Retirement</t>
        </is>
      </c>
      <c r="O2474" s="8" t="inlineStr">
        <is>
          <t>88500</t>
        </is>
      </c>
      <c r="P2474" s="5" t="inlineStr">
        <is>
          <t>5</t>
        </is>
      </c>
      <c r="Q2474" s="5" t="inlineStr">
        <is>
          <t>4</t>
        </is>
      </c>
      <c r="R2474" s="5" t="inlineStr">
        <is>
          <t>6</t>
        </is>
      </c>
      <c r="S2474" s="5" t="inlineStr">
        <is>
          <t>4</t>
        </is>
      </c>
      <c r="T2474" s="5" t="inlineStr">
        <is>
          <t>2</t>
        </is>
      </c>
      <c r="U2474" s="5" t="inlineStr">
        <is>
          <t>OK</t>
        </is>
      </c>
    </row>
    <row r="2475">
      <c r="A2475" s="5" t="inlineStr">
        <is>
          <t>E00128</t>
        </is>
      </c>
      <c r="B2475" s="5" t="inlineStr">
        <is>
          <t>Unknown</t>
        </is>
      </c>
      <c r="C2475" s="6" t="inlineStr">
        <is>
          <t>25</t>
        </is>
      </c>
      <c r="D2475" s="5" t="inlineStr">
        <is>
          <t>Married</t>
        </is>
      </c>
      <c r="E2475" s="5" t="inlineStr">
        <is>
          <t>Master</t>
        </is>
      </c>
      <c r="F2475" s="5" t="inlineStr">
        <is>
          <t>Marketing</t>
        </is>
      </c>
      <c r="G2475" s="5" t="inlineStr">
        <is>
          <t>SEO Specialist</t>
        </is>
      </c>
      <c r="H2475" s="5" t="inlineStr">
        <is>
          <t>1</t>
        </is>
      </c>
      <c r="I2475" s="5" t="inlineStr">
        <is>
          <t>Delhi</t>
        </is>
      </c>
      <c r="J2475" s="5" t="inlineStr">
        <is>
          <t>Part-Time</t>
        </is>
      </c>
      <c r="K2475" s="7" t="n">
        <v>45453</v>
      </c>
      <c r="L2475" s="7" t="inlineStr"/>
      <c r="M2475" s="5" t="inlineStr">
        <is>
          <t>Yes</t>
        </is>
      </c>
      <c r="N2475" s="5" t="inlineStr"/>
      <c r="O2475" s="8" t="inlineStr">
        <is>
          <t>55000</t>
        </is>
      </c>
      <c r="P2475" s="5" t="inlineStr">
        <is>
          <t>15</t>
        </is>
      </c>
      <c r="Q2475" s="5" t="inlineStr">
        <is>
          <t>4</t>
        </is>
      </c>
      <c r="R2475" s="5" t="inlineStr">
        <is>
          <t>8</t>
        </is>
      </c>
      <c r="S2475" s="5" t="inlineStr">
        <is>
          <t>18</t>
        </is>
      </c>
      <c r="T2475" s="5" t="inlineStr">
        <is>
          <t>9</t>
        </is>
      </c>
      <c r="U2475" s="5" t="inlineStr">
        <is>
          <t>Bad gender</t>
        </is>
      </c>
    </row>
    <row r="2476">
      <c r="A2476" s="5" t="inlineStr">
        <is>
          <t>E01321</t>
        </is>
      </c>
      <c r="B2476" s="5" t="inlineStr">
        <is>
          <t>Female</t>
        </is>
      </c>
      <c r="C2476" s="6" t="inlineStr">
        <is>
          <t>29</t>
        </is>
      </c>
      <c r="D2476" s="5" t="inlineStr">
        <is>
          <t>Married</t>
        </is>
      </c>
      <c r="E2476" s="5" t="inlineStr">
        <is>
          <t>Bachelor</t>
        </is>
      </c>
      <c r="F2476" s="5" t="inlineStr">
        <is>
          <t>Sales</t>
        </is>
      </c>
      <c r="G2476" s="5" t="inlineStr">
        <is>
          <t>Business Development</t>
        </is>
      </c>
      <c r="H2476" s="5" t="inlineStr">
        <is>
          <t>2</t>
        </is>
      </c>
      <c r="I2476" s="5" t="inlineStr">
        <is>
          <t>Hyderabad</t>
        </is>
      </c>
      <c r="J2476" s="5" t="inlineStr">
        <is>
          <t>Full-Time</t>
        </is>
      </c>
      <c r="K2476" s="7" t="n">
        <v>45574</v>
      </c>
      <c r="L2476" s="7" t="inlineStr"/>
      <c r="M2476" s="5" t="inlineStr">
        <is>
          <t>Yes</t>
        </is>
      </c>
      <c r="N2476" s="5" t="inlineStr"/>
      <c r="O2476" s="8" t="inlineStr">
        <is>
          <t>80500</t>
        </is>
      </c>
      <c r="P2476" s="5" t="inlineStr">
        <is>
          <t>5</t>
        </is>
      </c>
      <c r="Q2476" s="5" t="inlineStr">
        <is>
          <t>3</t>
        </is>
      </c>
      <c r="R2476" s="5" t="inlineStr">
        <is>
          <t>7</t>
        </is>
      </c>
      <c r="S2476" s="5" t="inlineStr">
        <is>
          <t>14</t>
        </is>
      </c>
      <c r="T2476" s="5" t="inlineStr">
        <is>
          <t>16</t>
        </is>
      </c>
      <c r="U2476" s="5" t="inlineStr">
        <is>
          <t>OK</t>
        </is>
      </c>
    </row>
    <row r="2477">
      <c r="A2477" s="5" t="inlineStr">
        <is>
          <t>E02336</t>
        </is>
      </c>
      <c r="B2477" s="5" t="inlineStr">
        <is>
          <t>Female</t>
        </is>
      </c>
      <c r="C2477" s="6" t="inlineStr">
        <is>
          <t>40</t>
        </is>
      </c>
      <c r="D2477" s="5" t="inlineStr">
        <is>
          <t>Single</t>
        </is>
      </c>
      <c r="E2477" s="5" t="inlineStr">
        <is>
          <t>Bachelor</t>
        </is>
      </c>
      <c r="F2477" s="5" t="inlineStr">
        <is>
          <t>Customer Support</t>
        </is>
      </c>
      <c r="G2477" s="5" t="inlineStr">
        <is>
          <t>Support Agent</t>
        </is>
      </c>
      <c r="H2477" s="5" t="inlineStr">
        <is>
          <t>5</t>
        </is>
      </c>
      <c r="I2477" s="5" t="inlineStr">
        <is>
          <t>Hyderabad</t>
        </is>
      </c>
      <c r="J2477" s="5" t="inlineStr">
        <is>
          <t>Full-Time</t>
        </is>
      </c>
      <c r="K2477" s="7" t="n">
        <v>45117</v>
      </c>
      <c r="L2477" s="7" t="inlineStr"/>
      <c r="M2477" s="5" t="inlineStr">
        <is>
          <t>Yes</t>
        </is>
      </c>
      <c r="N2477" s="5" t="inlineStr"/>
      <c r="O2477" s="8" t="inlineStr">
        <is>
          <t>68000</t>
        </is>
      </c>
      <c r="P2477" s="5" t="inlineStr">
        <is>
          <t>5</t>
        </is>
      </c>
      <c r="Q2477" s="5" t="inlineStr">
        <is>
          <t>5</t>
        </is>
      </c>
      <c r="R2477" s="5" t="inlineStr">
        <is>
          <t>6</t>
        </is>
      </c>
      <c r="S2477" s="5" t="inlineStr">
        <is>
          <t>30</t>
        </is>
      </c>
      <c r="T2477" s="5" t="inlineStr">
        <is>
          <t>8</t>
        </is>
      </c>
      <c r="U2477" s="5" t="inlineStr">
        <is>
          <t>OK</t>
        </is>
      </c>
    </row>
    <row r="2478">
      <c r="A2478" s="5" t="inlineStr">
        <is>
          <t>E00240</t>
        </is>
      </c>
      <c r="B2478" s="5" t="inlineStr">
        <is>
          <t>Male</t>
        </is>
      </c>
      <c r="C2478" s="6" t="inlineStr">
        <is>
          <t>36</t>
        </is>
      </c>
      <c r="D2478" s="5" t="inlineStr">
        <is>
          <t>Single</t>
        </is>
      </c>
      <c r="E2478" s="5" t="inlineStr">
        <is>
          <t>Bachelor</t>
        </is>
      </c>
      <c r="F2478" s="5" t="inlineStr">
        <is>
          <t>Marketing</t>
        </is>
      </c>
      <c r="G2478" s="5" t="inlineStr">
        <is>
          <t>SEO Specialist</t>
        </is>
      </c>
      <c r="H2478" s="5" t="inlineStr">
        <is>
          <t>2</t>
        </is>
      </c>
      <c r="I2478" s="5" t="inlineStr">
        <is>
          <t>Bengaluru</t>
        </is>
      </c>
      <c r="J2478" s="5" t="inlineStr">
        <is>
          <t>Full-Time</t>
        </is>
      </c>
      <c r="K2478" s="7" t="n">
        <v>44892</v>
      </c>
      <c r="L2478" s="7" t="inlineStr"/>
      <c r="M2478" s="5" t="inlineStr">
        <is>
          <t>Yes</t>
        </is>
      </c>
      <c r="N2478" s="5" t="inlineStr"/>
      <c r="O2478" s="8" t="inlineStr">
        <is>
          <t>64500</t>
        </is>
      </c>
      <c r="P2478" s="5" t="inlineStr">
        <is>
          <t>0</t>
        </is>
      </c>
      <c r="Q2478" s="5" t="inlineStr">
        <is>
          <t>4</t>
        </is>
      </c>
      <c r="R2478" s="5" t="inlineStr">
        <is>
          <t>3</t>
        </is>
      </c>
      <c r="S2478" s="5" t="inlineStr">
        <is>
          <t>37</t>
        </is>
      </c>
      <c r="T2478" s="5" t="inlineStr">
        <is>
          <t>0</t>
        </is>
      </c>
      <c r="U2478" s="5" t="inlineStr">
        <is>
          <t>OK</t>
        </is>
      </c>
    </row>
    <row r="2479">
      <c r="A2479" s="5" t="inlineStr">
        <is>
          <t>E00768</t>
        </is>
      </c>
      <c r="B2479" s="5" t="inlineStr">
        <is>
          <t>female</t>
        </is>
      </c>
      <c r="C2479" s="6" t="inlineStr">
        <is>
          <t>23</t>
        </is>
      </c>
      <c r="D2479" s="5" t="inlineStr">
        <is>
          <t>Married</t>
        </is>
      </c>
      <c r="E2479" s="5" t="inlineStr">
        <is>
          <t>PhD</t>
        </is>
      </c>
      <c r="F2479" s="5" t="inlineStr">
        <is>
          <t>Human Resources</t>
        </is>
      </c>
      <c r="G2479" s="5" t="inlineStr">
        <is>
          <t>HR Analyst</t>
        </is>
      </c>
      <c r="H2479" s="5" t="inlineStr">
        <is>
          <t>1</t>
        </is>
      </c>
      <c r="I2479" s="5" t="inlineStr">
        <is>
          <t>Hyderabad</t>
        </is>
      </c>
      <c r="J2479" s="5" t="inlineStr">
        <is>
          <t>Full-Time</t>
        </is>
      </c>
      <c r="K2479" s="7" t="n">
        <v>45632</v>
      </c>
      <c r="L2479" s="7" t="n">
        <v>45695</v>
      </c>
      <c r="M2479" s="5" t="inlineStr">
        <is>
          <t>No</t>
        </is>
      </c>
      <c r="N2479" s="5" t="inlineStr">
        <is>
          <t>Resigned</t>
        </is>
      </c>
      <c r="O2479" s="8" t="inlineStr">
        <is>
          <t>76500</t>
        </is>
      </c>
      <c r="P2479" s="5" t="inlineStr">
        <is>
          <t>0</t>
        </is>
      </c>
      <c r="Q2479" s="5" t="inlineStr">
        <is>
          <t>4</t>
        </is>
      </c>
      <c r="R2479" s="5" t="inlineStr">
        <is>
          <t>8</t>
        </is>
      </c>
      <c r="S2479" s="5" t="inlineStr">
        <is>
          <t>2</t>
        </is>
      </c>
      <c r="T2479" s="5" t="inlineStr">
        <is>
          <t>1</t>
        </is>
      </c>
      <c r="U2479" s="5" t="inlineStr">
        <is>
          <t>OK</t>
        </is>
      </c>
    </row>
    <row r="2480">
      <c r="A2480" s="5" t="inlineStr">
        <is>
          <t>E00600</t>
        </is>
      </c>
      <c r="B2480" s="5" t="inlineStr">
        <is>
          <t>Female</t>
        </is>
      </c>
      <c r="C2480" s="6" t="inlineStr">
        <is>
          <t>26</t>
        </is>
      </c>
      <c r="D2480" s="5" t="inlineStr">
        <is>
          <t>Married</t>
        </is>
      </c>
      <c r="E2480" s="5" t="inlineStr">
        <is>
          <t>Master</t>
        </is>
      </c>
      <c r="F2480" s="5" t="inlineStr">
        <is>
          <t>Marketing</t>
        </is>
      </c>
      <c r="G2480" s="5" t="inlineStr">
        <is>
          <t>Marketing Analyst</t>
        </is>
      </c>
      <c r="H2480" s="5" t="inlineStr">
        <is>
          <t>1</t>
        </is>
      </c>
      <c r="I2480" s="5" t="inlineStr">
        <is>
          <t>Remote</t>
        </is>
      </c>
      <c r="J2480" s="5" t="inlineStr">
        <is>
          <t>Full-Time</t>
        </is>
      </c>
      <c r="K2480" s="7" t="n">
        <v>44932</v>
      </c>
      <c r="L2480" s="7" t="inlineStr"/>
      <c r="M2480" s="5" t="inlineStr">
        <is>
          <t>Yes</t>
        </is>
      </c>
      <c r="N2480" s="5" t="inlineStr"/>
      <c r="O2480" s="8" t="inlineStr">
        <is>
          <t>56000</t>
        </is>
      </c>
      <c r="P2480" s="5" t="inlineStr">
        <is>
          <t>10</t>
        </is>
      </c>
      <c r="Q2480" s="5" t="inlineStr">
        <is>
          <t>4</t>
        </is>
      </c>
      <c r="R2480" s="5" t="inlineStr">
        <is>
          <t>8</t>
        </is>
      </c>
      <c r="S2480" s="5" t="inlineStr">
        <is>
          <t>36</t>
        </is>
      </c>
      <c r="T2480" s="5" t="inlineStr">
        <is>
          <t>0</t>
        </is>
      </c>
      <c r="U2480" s="5" t="inlineStr">
        <is>
          <t>OK</t>
        </is>
      </c>
    </row>
    <row r="2481">
      <c r="A2481" s="5" t="inlineStr">
        <is>
          <t>E01518</t>
        </is>
      </c>
      <c r="B2481" s="5" t="inlineStr">
        <is>
          <t>Female</t>
        </is>
      </c>
      <c r="C2481" s="6" t="inlineStr">
        <is>
          <t>32</t>
        </is>
      </c>
      <c r="D2481" s="5" t="inlineStr">
        <is>
          <t>Married</t>
        </is>
      </c>
      <c r="E2481" s="5" t="inlineStr">
        <is>
          <t>Bachelor</t>
        </is>
      </c>
      <c r="F2481" s="5" t="inlineStr">
        <is>
          <t>Research &amp; Development</t>
        </is>
      </c>
      <c r="G2481" s="5" t="inlineStr">
        <is>
          <t>Data Scientist</t>
        </is>
      </c>
      <c r="H2481" s="5" t="inlineStr">
        <is>
          <t>1</t>
        </is>
      </c>
      <c r="I2481" s="5" t="inlineStr">
        <is>
          <t>Bengaluru</t>
        </is>
      </c>
      <c r="J2481" s="5" t="inlineStr">
        <is>
          <t>Full-Time</t>
        </is>
      </c>
      <c r="K2481" s="7" t="n">
        <v>45154</v>
      </c>
      <c r="L2481" s="7" t="inlineStr"/>
      <c r="M2481" s="5" t="inlineStr">
        <is>
          <t>Yes</t>
        </is>
      </c>
      <c r="N2481" s="5" t="inlineStr"/>
      <c r="O2481" s="8" t="inlineStr">
        <is>
          <t>116000</t>
        </is>
      </c>
      <c r="P2481" s="5" t="inlineStr">
        <is>
          <t>5</t>
        </is>
      </c>
      <c r="Q2481" s="5" t="inlineStr">
        <is>
          <t>4</t>
        </is>
      </c>
      <c r="R2481" s="5" t="inlineStr">
        <is>
          <t>8</t>
        </is>
      </c>
      <c r="S2481" s="5" t="inlineStr">
        <is>
          <t>28</t>
        </is>
      </c>
      <c r="T2481" s="5" t="inlineStr">
        <is>
          <t>1</t>
        </is>
      </c>
      <c r="U2481" s="5" t="inlineStr">
        <is>
          <t>OK</t>
        </is>
      </c>
    </row>
    <row r="2482">
      <c r="A2482" s="5" t="inlineStr">
        <is>
          <t>E00225</t>
        </is>
      </c>
      <c r="B2482" s="5" t="inlineStr">
        <is>
          <t>Female</t>
        </is>
      </c>
      <c r="C2482" s="6" t="inlineStr">
        <is>
          <t>27</t>
        </is>
      </c>
      <c r="D2482" s="5" t="inlineStr">
        <is>
          <t>Married</t>
        </is>
      </c>
      <c r="E2482" s="5" t="inlineStr">
        <is>
          <t>Bachelor</t>
        </is>
      </c>
      <c r="F2482" s="5" t="inlineStr">
        <is>
          <t>IT</t>
        </is>
      </c>
      <c r="G2482" s="5" t="inlineStr">
        <is>
          <t>Software Engineer</t>
        </is>
      </c>
      <c r="H2482" s="5" t="inlineStr">
        <is>
          <t>1</t>
        </is>
      </c>
      <c r="I2482" s="5" t="inlineStr">
        <is>
          <t>Chennai</t>
        </is>
      </c>
      <c r="J2482" s="5" t="inlineStr">
        <is>
          <t>Full-Time</t>
        </is>
      </c>
      <c r="K2482" s="7" t="n">
        <v>45148</v>
      </c>
      <c r="L2482" s="7" t="n">
        <v>45240</v>
      </c>
      <c r="M2482" s="5" t="inlineStr">
        <is>
          <t>No</t>
        </is>
      </c>
      <c r="N2482" s="5" t="inlineStr">
        <is>
          <t>Resigned</t>
        </is>
      </c>
      <c r="O2482" s="8" t="inlineStr">
        <is>
          <t>124000</t>
        </is>
      </c>
      <c r="P2482" s="5" t="inlineStr">
        <is>
          <t>0</t>
        </is>
      </c>
      <c r="Q2482" s="5" t="inlineStr">
        <is>
          <t>3</t>
        </is>
      </c>
      <c r="R2482" s="5" t="inlineStr">
        <is>
          <t>5</t>
        </is>
      </c>
      <c r="S2482" s="5" t="inlineStr">
        <is>
          <t>3</t>
        </is>
      </c>
      <c r="T2482" s="5" t="inlineStr">
        <is>
          <t>4</t>
        </is>
      </c>
      <c r="U2482" s="5" t="inlineStr">
        <is>
          <t>OK</t>
        </is>
      </c>
    </row>
    <row r="2483">
      <c r="A2483" s="5" t="inlineStr">
        <is>
          <t>E02826</t>
        </is>
      </c>
      <c r="B2483" s="5" t="inlineStr">
        <is>
          <t>Female</t>
        </is>
      </c>
      <c r="C2483" s="6" t="inlineStr">
        <is>
          <t>36</t>
        </is>
      </c>
      <c r="D2483" s="5" t="inlineStr">
        <is>
          <t>Married</t>
        </is>
      </c>
      <c r="E2483" s="5" t="inlineStr">
        <is>
          <t>Diploma</t>
        </is>
      </c>
      <c r="F2483" s="5" t="inlineStr">
        <is>
          <t>Human Resources</t>
        </is>
      </c>
      <c r="G2483" s="5" t="inlineStr">
        <is>
          <t>Recruiter</t>
        </is>
      </c>
      <c r="H2483" s="5" t="inlineStr">
        <is>
          <t>5</t>
        </is>
      </c>
      <c r="I2483" s="5" t="inlineStr">
        <is>
          <t>Bengaluru</t>
        </is>
      </c>
      <c r="J2483" s="5" t="inlineStr">
        <is>
          <t>Full-Time</t>
        </is>
      </c>
      <c r="K2483" s="7" t="n">
        <v>45613</v>
      </c>
      <c r="L2483" s="7" t="inlineStr"/>
      <c r="M2483" s="5" t="inlineStr">
        <is>
          <t>Yes</t>
        </is>
      </c>
      <c r="N2483" s="5" t="inlineStr"/>
      <c r="O2483" s="8" t="inlineStr">
        <is>
          <t>120000</t>
        </is>
      </c>
      <c r="P2483" s="5" t="inlineStr">
        <is>
          <t>10</t>
        </is>
      </c>
      <c r="Q2483" s="5" t="inlineStr">
        <is>
          <t>4</t>
        </is>
      </c>
      <c r="R2483" s="5" t="inlineStr">
        <is>
          <t>3</t>
        </is>
      </c>
      <c r="S2483" s="5" t="inlineStr">
        <is>
          <t>13</t>
        </is>
      </c>
      <c r="T2483" s="5" t="inlineStr">
        <is>
          <t>12</t>
        </is>
      </c>
      <c r="U2483" s="5" t="inlineStr">
        <is>
          <t>OK</t>
        </is>
      </c>
    </row>
    <row r="2484">
      <c r="A2484" s="5" t="inlineStr">
        <is>
          <t>E01955</t>
        </is>
      </c>
      <c r="B2484" s="5" t="inlineStr">
        <is>
          <t>Male</t>
        </is>
      </c>
      <c r="C2484" s="6" t="inlineStr">
        <is>
          <t>35</t>
        </is>
      </c>
      <c r="D2484" s="5" t="inlineStr">
        <is>
          <t>Married</t>
        </is>
      </c>
      <c r="E2484" s="5" t="inlineStr">
        <is>
          <t>PhD</t>
        </is>
      </c>
      <c r="F2484" s="5" t="inlineStr">
        <is>
          <t>Marketing</t>
        </is>
      </c>
      <c r="G2484" s="5" t="inlineStr">
        <is>
          <t>Marketing Analyst</t>
        </is>
      </c>
      <c r="H2484" s="5" t="inlineStr">
        <is>
          <t>6</t>
        </is>
      </c>
      <c r="I2484" s="5" t="inlineStr">
        <is>
          <t>Chennai</t>
        </is>
      </c>
      <c r="J2484" s="5" t="inlineStr">
        <is>
          <t>Full-Time</t>
        </is>
      </c>
      <c r="K2484" s="7" t="n">
        <v>44606</v>
      </c>
      <c r="L2484" s="7" t="inlineStr"/>
      <c r="M2484" s="5" t="inlineStr">
        <is>
          <t>Yes</t>
        </is>
      </c>
      <c r="N2484" s="5" t="inlineStr"/>
      <c r="O2484" s="8" t="inlineStr">
        <is>
          <t>131500</t>
        </is>
      </c>
      <c r="P2484" s="5" t="inlineStr">
        <is>
          <t>5</t>
        </is>
      </c>
      <c r="Q2484" s="5" t="inlineStr">
        <is>
          <t>5</t>
        </is>
      </c>
      <c r="R2484" s="5" t="inlineStr">
        <is>
          <t>7</t>
        </is>
      </c>
      <c r="S2484" s="5" t="inlineStr">
        <is>
          <t>47</t>
        </is>
      </c>
      <c r="T2484" s="5" t="inlineStr">
        <is>
          <t>0</t>
        </is>
      </c>
      <c r="U2484" s="5" t="inlineStr">
        <is>
          <t>OK</t>
        </is>
      </c>
    </row>
    <row r="2485">
      <c r="A2485" s="5" t="inlineStr">
        <is>
          <t>E02581</t>
        </is>
      </c>
      <c r="B2485" s="5" t="inlineStr">
        <is>
          <t>Male</t>
        </is>
      </c>
      <c r="C2485" s="6" t="inlineStr">
        <is>
          <t>36</t>
        </is>
      </c>
      <c r="D2485" s="5" t="inlineStr">
        <is>
          <t>Married</t>
        </is>
      </c>
      <c r="E2485" s="5" t="inlineStr">
        <is>
          <t>Bachelor</t>
        </is>
      </c>
      <c r="F2485" s="5" t="inlineStr">
        <is>
          <t>Sales</t>
        </is>
      </c>
      <c r="G2485" s="5" t="inlineStr">
        <is>
          <t>Account Executive</t>
        </is>
      </c>
      <c r="H2485" s="5" t="inlineStr">
        <is>
          <t>2</t>
        </is>
      </c>
      <c r="I2485" s="5" t="inlineStr">
        <is>
          <t>Hyderabad</t>
        </is>
      </c>
      <c r="J2485" s="5" t="inlineStr">
        <is>
          <t>Full-Time</t>
        </is>
      </c>
      <c r="K2485" s="7" t="n">
        <v>45987</v>
      </c>
      <c r="L2485" s="7" t="n">
        <v>46002</v>
      </c>
      <c r="M2485" s="5" t="inlineStr">
        <is>
          <t>No</t>
        </is>
      </c>
      <c r="N2485" s="5" t="inlineStr">
        <is>
          <t>Resigned</t>
        </is>
      </c>
      <c r="O2485" s="8" t="inlineStr">
        <is>
          <t>70500</t>
        </is>
      </c>
      <c r="P2485" s="5" t="inlineStr">
        <is>
          <t>10</t>
        </is>
      </c>
      <c r="Q2485" s="5" t="inlineStr">
        <is>
          <t>4</t>
        </is>
      </c>
      <c r="R2485" s="5" t="inlineStr">
        <is>
          <t>4</t>
        </is>
      </c>
      <c r="S2485" s="5" t="inlineStr">
        <is>
          <t>1</t>
        </is>
      </c>
      <c r="T2485" s="5" t="inlineStr">
        <is>
          <t>6</t>
        </is>
      </c>
      <c r="U2485" s="5" t="inlineStr">
        <is>
          <t>OK</t>
        </is>
      </c>
    </row>
    <row r="2486">
      <c r="A2486" s="5" t="inlineStr">
        <is>
          <t>E02817</t>
        </is>
      </c>
      <c r="B2486" s="5" t="inlineStr">
        <is>
          <t>Female</t>
        </is>
      </c>
      <c r="C2486" s="6" t="inlineStr">
        <is>
          <t>26</t>
        </is>
      </c>
      <c r="D2486" s="5" t="inlineStr">
        <is>
          <t>Married</t>
        </is>
      </c>
      <c r="E2486" s="5" t="inlineStr">
        <is>
          <t>Diploma</t>
        </is>
      </c>
      <c r="F2486" s="5" t="inlineStr">
        <is>
          <t>Customer Support</t>
        </is>
      </c>
      <c r="G2486" s="5" t="inlineStr">
        <is>
          <t>Support Agent</t>
        </is>
      </c>
      <c r="H2486" s="5" t="inlineStr">
        <is>
          <t>1</t>
        </is>
      </c>
      <c r="I2486" s="5" t="inlineStr">
        <is>
          <t>Remote</t>
        </is>
      </c>
      <c r="J2486" s="5" t="inlineStr">
        <is>
          <t>Full-Time</t>
        </is>
      </c>
      <c r="K2486" s="7" t="n">
        <v>45693</v>
      </c>
      <c r="L2486" s="7" t="n">
        <v>45751</v>
      </c>
      <c r="M2486" s="5" t="inlineStr">
        <is>
          <t>No</t>
        </is>
      </c>
      <c r="N2486" s="5" t="inlineStr">
        <is>
          <t>Resigned</t>
        </is>
      </c>
      <c r="O2486" s="8" t="inlineStr">
        <is>
          <t>43000</t>
        </is>
      </c>
      <c r="P2486" s="5" t="inlineStr">
        <is>
          <t>20</t>
        </is>
      </c>
      <c r="Q2486" s="5" t="inlineStr">
        <is>
          <t>4</t>
        </is>
      </c>
      <c r="R2486" s="5" t="inlineStr">
        <is>
          <t>3</t>
        </is>
      </c>
      <c r="S2486" s="5" t="inlineStr">
        <is>
          <t>1</t>
        </is>
      </c>
      <c r="T2486" s="5" t="inlineStr">
        <is>
          <t>12</t>
        </is>
      </c>
      <c r="U2486" s="5" t="inlineStr">
        <is>
          <t>OK</t>
        </is>
      </c>
    </row>
    <row r="2487">
      <c r="A2487" s="5" t="inlineStr">
        <is>
          <t>E00162</t>
        </is>
      </c>
      <c r="B2487" s="5" t="inlineStr">
        <is>
          <t>Male</t>
        </is>
      </c>
      <c r="C2487" s="6" t="inlineStr">
        <is>
          <t>27</t>
        </is>
      </c>
      <c r="D2487" s="5" t="inlineStr">
        <is>
          <t>Divorced</t>
        </is>
      </c>
      <c r="E2487" s="5" t="inlineStr">
        <is>
          <t>PhD</t>
        </is>
      </c>
      <c r="F2487" s="5" t="inlineStr">
        <is>
          <t>IT</t>
        </is>
      </c>
      <c r="G2487" s="5" t="inlineStr">
        <is>
          <t>Data Analyst</t>
        </is>
      </c>
      <c r="H2487" s="5" t="inlineStr">
        <is>
          <t>2</t>
        </is>
      </c>
      <c r="I2487" s="5" t="inlineStr">
        <is>
          <t>Mumbai</t>
        </is>
      </c>
      <c r="J2487" s="5" t="inlineStr">
        <is>
          <t>Part-Time</t>
        </is>
      </c>
      <c r="K2487" s="7" t="n">
        <v>45646</v>
      </c>
      <c r="L2487" s="7" t="inlineStr"/>
      <c r="M2487" s="5" t="inlineStr">
        <is>
          <t>Yes</t>
        </is>
      </c>
      <c r="N2487" s="5" t="inlineStr"/>
      <c r="O2487" s="8" t="inlineStr">
        <is>
          <t>152000</t>
        </is>
      </c>
      <c r="P2487" s="5" t="inlineStr">
        <is>
          <t>0</t>
        </is>
      </c>
      <c r="Q2487" s="5" t="inlineStr">
        <is>
          <t>5</t>
        </is>
      </c>
      <c r="R2487" s="5" t="inlineStr">
        <is>
          <t>6</t>
        </is>
      </c>
      <c r="S2487" s="5" t="inlineStr">
        <is>
          <t>12</t>
        </is>
      </c>
      <c r="T2487" s="5" t="inlineStr">
        <is>
          <t>6</t>
        </is>
      </c>
      <c r="U2487" s="5" t="inlineStr">
        <is>
          <t>OK</t>
        </is>
      </c>
    </row>
    <row r="2488">
      <c r="A2488" s="5" t="inlineStr">
        <is>
          <t>E02977</t>
        </is>
      </c>
      <c r="B2488" s="5" t="inlineStr">
        <is>
          <t>Female</t>
        </is>
      </c>
      <c r="C2488" s="6" t="inlineStr">
        <is>
          <t>34</t>
        </is>
      </c>
      <c r="D2488" s="5" t="inlineStr">
        <is>
          <t>Single</t>
        </is>
      </c>
      <c r="E2488" s="5" t="inlineStr">
        <is>
          <t>Diploma</t>
        </is>
      </c>
      <c r="F2488" s="5" t="inlineStr">
        <is>
          <t>Sales</t>
        </is>
      </c>
      <c r="G2488" s="5" t="inlineStr">
        <is>
          <t>Business Development</t>
        </is>
      </c>
      <c r="H2488" s="5" t="inlineStr">
        <is>
          <t>5</t>
        </is>
      </c>
      <c r="I2488" s="5" t="inlineStr">
        <is>
          <t>Bengaluru</t>
        </is>
      </c>
      <c r="J2488" s="5" t="inlineStr">
        <is>
          <t>Full-Time</t>
        </is>
      </c>
      <c r="K2488" s="7" t="n">
        <v>44754</v>
      </c>
      <c r="L2488" s="7" t="inlineStr"/>
      <c r="M2488" s="5" t="inlineStr">
        <is>
          <t>Yes</t>
        </is>
      </c>
      <c r="N2488" s="5" t="inlineStr"/>
      <c r="O2488" s="8" t="inlineStr">
        <is>
          <t>144500</t>
        </is>
      </c>
      <c r="P2488" s="5" t="inlineStr">
        <is>
          <t>5</t>
        </is>
      </c>
      <c r="Q2488" s="5" t="inlineStr">
        <is>
          <t>2</t>
        </is>
      </c>
      <c r="R2488" s="5" t="inlineStr">
        <is>
          <t>4</t>
        </is>
      </c>
      <c r="S2488" s="5" t="inlineStr">
        <is>
          <t>42</t>
        </is>
      </c>
      <c r="T2488" s="5" t="inlineStr">
        <is>
          <t>10</t>
        </is>
      </c>
      <c r="U2488" s="5" t="inlineStr">
        <is>
          <t>OK</t>
        </is>
      </c>
    </row>
    <row r="2489">
      <c r="A2489" s="5" t="inlineStr">
        <is>
          <t>E01786</t>
        </is>
      </c>
      <c r="B2489" s="5" t="inlineStr">
        <is>
          <t>Female</t>
        </is>
      </c>
      <c r="C2489" s="6" t="inlineStr">
        <is>
          <t>35</t>
        </is>
      </c>
      <c r="D2489" s="5" t="inlineStr">
        <is>
          <t>Married</t>
        </is>
      </c>
      <c r="E2489" s="5" t="inlineStr">
        <is>
          <t>Diploma</t>
        </is>
      </c>
      <c r="F2489" s="5" t="inlineStr">
        <is>
          <t>Sales</t>
        </is>
      </c>
      <c r="G2489" s="5" t="inlineStr">
        <is>
          <t>Sales Executive</t>
        </is>
      </c>
      <c r="H2489" s="5" t="inlineStr">
        <is>
          <t>2</t>
        </is>
      </c>
      <c r="I2489" s="5" t="inlineStr">
        <is>
          <t>Mumbai</t>
        </is>
      </c>
      <c r="J2489" s="5" t="inlineStr">
        <is>
          <t>Full-Time</t>
        </is>
      </c>
      <c r="K2489" s="7" t="n">
        <v>44840</v>
      </c>
      <c r="L2489" s="7" t="inlineStr"/>
      <c r="M2489" s="5" t="inlineStr">
        <is>
          <t>Yes</t>
        </is>
      </c>
      <c r="N2489" s="5" t="inlineStr"/>
      <c r="O2489" s="8" t="inlineStr">
        <is>
          <t>94000</t>
        </is>
      </c>
      <c r="P2489" s="5" t="inlineStr">
        <is>
          <t>15</t>
        </is>
      </c>
      <c r="Q2489" s="5" t="inlineStr">
        <is>
          <t>3</t>
        </is>
      </c>
      <c r="R2489" s="5" t="inlineStr">
        <is>
          <t>6</t>
        </is>
      </c>
      <c r="S2489" s="5" t="inlineStr">
        <is>
          <t>39</t>
        </is>
      </c>
      <c r="T2489" s="5" t="inlineStr">
        <is>
          <t>10</t>
        </is>
      </c>
      <c r="U2489" s="5" t="inlineStr">
        <is>
          <t>OK</t>
        </is>
      </c>
    </row>
    <row r="2490">
      <c r="A2490" s="5" t="inlineStr">
        <is>
          <t>E02797</t>
        </is>
      </c>
      <c r="B2490" s="5" t="inlineStr">
        <is>
          <t>Male</t>
        </is>
      </c>
      <c r="C2490" s="6" t="inlineStr">
        <is>
          <t>25</t>
        </is>
      </c>
      <c r="D2490" s="5" t="inlineStr">
        <is>
          <t>Single</t>
        </is>
      </c>
      <c r="E2490" s="5" t="inlineStr">
        <is>
          <t>PhD</t>
        </is>
      </c>
      <c r="F2490" s="5" t="inlineStr">
        <is>
          <t>Research &amp; Development</t>
        </is>
      </c>
      <c r="G2490" s="5" t="inlineStr">
        <is>
          <t>Research Scientist</t>
        </is>
      </c>
      <c r="H2490" s="5" t="inlineStr">
        <is>
          <t>2</t>
        </is>
      </c>
      <c r="I2490" s="5" t="inlineStr">
        <is>
          <t>Hyderabad</t>
        </is>
      </c>
      <c r="J2490" s="5" t="inlineStr">
        <is>
          <t>Full-Time</t>
        </is>
      </c>
      <c r="K2490" s="7" t="n">
        <v>44577</v>
      </c>
      <c r="L2490" s="7" t="inlineStr"/>
      <c r="M2490" s="5" t="inlineStr">
        <is>
          <t>Yes</t>
        </is>
      </c>
      <c r="N2490" s="5" t="inlineStr"/>
      <c r="O2490" s="8" t="inlineStr">
        <is>
          <t>181500</t>
        </is>
      </c>
      <c r="P2490" s="5" t="inlineStr">
        <is>
          <t>0</t>
        </is>
      </c>
      <c r="Q2490" s="5" t="inlineStr">
        <is>
          <t>5</t>
        </is>
      </c>
      <c r="R2490" s="5" t="inlineStr">
        <is>
          <t>8</t>
        </is>
      </c>
      <c r="S2490" s="5" t="inlineStr">
        <is>
          <t>48</t>
        </is>
      </c>
      <c r="T2490" s="5" t="inlineStr">
        <is>
          <t>21</t>
        </is>
      </c>
      <c r="U2490" s="5" t="inlineStr">
        <is>
          <t>OK</t>
        </is>
      </c>
    </row>
    <row r="2491">
      <c r="A2491" s="5" t="inlineStr">
        <is>
          <t>E02312</t>
        </is>
      </c>
      <c r="B2491" s="5" t="inlineStr">
        <is>
          <t>Male</t>
        </is>
      </c>
      <c r="C2491" s="6" t="inlineStr">
        <is>
          <t>35</t>
        </is>
      </c>
      <c r="D2491" s="5" t="inlineStr">
        <is>
          <t>Single</t>
        </is>
      </c>
      <c r="E2491" s="5" t="inlineStr">
        <is>
          <t>Master</t>
        </is>
      </c>
      <c r="F2491" s="5" t="inlineStr">
        <is>
          <t>Customer Support</t>
        </is>
      </c>
      <c r="G2491" s="5" t="inlineStr">
        <is>
          <t>Support Agent</t>
        </is>
      </c>
      <c r="H2491" s="5" t="inlineStr">
        <is>
          <t>2</t>
        </is>
      </c>
      <c r="I2491" s="5" t="inlineStr">
        <is>
          <t>Hyderabad</t>
        </is>
      </c>
      <c r="J2491" s="5" t="inlineStr">
        <is>
          <t>Full-Time</t>
        </is>
      </c>
      <c r="K2491" s="7" t="n">
        <v>44483</v>
      </c>
      <c r="L2491" s="7" t="inlineStr"/>
      <c r="M2491" s="5" t="inlineStr">
        <is>
          <t>Yes</t>
        </is>
      </c>
      <c r="N2491" s="5" t="inlineStr"/>
      <c r="O2491" s="8" t="inlineStr">
        <is>
          <t>65000</t>
        </is>
      </c>
      <c r="P2491" s="5" t="inlineStr">
        <is>
          <t>10</t>
        </is>
      </c>
      <c r="Q2491" s="5" t="inlineStr">
        <is>
          <t>4</t>
        </is>
      </c>
      <c r="R2491" s="5" t="inlineStr">
        <is>
          <t>6</t>
        </is>
      </c>
      <c r="S2491" s="5" t="inlineStr">
        <is>
          <t>51</t>
        </is>
      </c>
      <c r="T2491" s="5" t="inlineStr">
        <is>
          <t>10</t>
        </is>
      </c>
      <c r="U2491" s="5" t="inlineStr">
        <is>
          <t>OK</t>
        </is>
      </c>
    </row>
    <row r="2492">
      <c r="A2492" s="5" t="inlineStr">
        <is>
          <t>E00242</t>
        </is>
      </c>
      <c r="B2492" s="5" t="inlineStr">
        <is>
          <t>Male</t>
        </is>
      </c>
      <c r="C2492" s="6" t="inlineStr">
        <is>
          <t>33</t>
        </is>
      </c>
      <c r="D2492" s="5" t="inlineStr">
        <is>
          <t>Single</t>
        </is>
      </c>
      <c r="E2492" s="5" t="inlineStr">
        <is>
          <t>Diploma</t>
        </is>
      </c>
      <c r="F2492" s="5" t="inlineStr">
        <is>
          <t>IT</t>
        </is>
      </c>
      <c r="G2492" s="5" t="inlineStr">
        <is>
          <t>Software Engineer</t>
        </is>
      </c>
      <c r="H2492" s="5" t="inlineStr">
        <is>
          <t>4</t>
        </is>
      </c>
      <c r="I2492" s="5" t="inlineStr">
        <is>
          <t>Chennai</t>
        </is>
      </c>
      <c r="J2492" s="5" t="inlineStr">
        <is>
          <t>Full-Time</t>
        </is>
      </c>
      <c r="K2492" s="7" t="n">
        <v>44949</v>
      </c>
      <c r="L2492" s="7" t="inlineStr"/>
      <c r="M2492" s="5" t="inlineStr">
        <is>
          <t>Yes</t>
        </is>
      </c>
      <c r="N2492" s="5" t="inlineStr"/>
      <c r="O2492" s="8" t="inlineStr">
        <is>
          <t>210000</t>
        </is>
      </c>
      <c r="P2492" s="5" t="inlineStr">
        <is>
          <t>5</t>
        </is>
      </c>
      <c r="Q2492" s="5" t="inlineStr">
        <is>
          <t>3</t>
        </is>
      </c>
      <c r="R2492" s="5" t="inlineStr">
        <is>
          <t>5</t>
        </is>
      </c>
      <c r="S2492" s="5" t="inlineStr">
        <is>
          <t>35</t>
        </is>
      </c>
      <c r="T2492" s="5" t="inlineStr">
        <is>
          <t>8</t>
        </is>
      </c>
      <c r="U2492" s="5" t="inlineStr">
        <is>
          <t>OK</t>
        </is>
      </c>
    </row>
    <row r="2493">
      <c r="A2493" s="5" t="inlineStr">
        <is>
          <t>E01957</t>
        </is>
      </c>
      <c r="B2493" s="5" t="inlineStr">
        <is>
          <t>Female</t>
        </is>
      </c>
      <c r="C2493" s="6" t="inlineStr">
        <is>
          <t>26</t>
        </is>
      </c>
      <c r="D2493" s="5" t="inlineStr">
        <is>
          <t>Married</t>
        </is>
      </c>
      <c r="E2493" s="5" t="inlineStr">
        <is>
          <t>PhD</t>
        </is>
      </c>
      <c r="F2493" s="5" t="inlineStr">
        <is>
          <t>IT</t>
        </is>
      </c>
      <c r="G2493" s="5" t="inlineStr">
        <is>
          <t>Data Analyst</t>
        </is>
      </c>
      <c r="H2493" s="5" t="inlineStr">
        <is>
          <t>2</t>
        </is>
      </c>
      <c r="I2493" s="5" t="inlineStr">
        <is>
          <t>Hyderabad</t>
        </is>
      </c>
      <c r="J2493" s="5" t="inlineStr">
        <is>
          <t>Full-Time</t>
        </is>
      </c>
      <c r="K2493" s="7" t="n">
        <v>44169</v>
      </c>
      <c r="L2493" s="7" t="inlineStr"/>
      <c r="M2493" s="5" t="inlineStr">
        <is>
          <t>Yes</t>
        </is>
      </c>
      <c r="N2493" s="5" t="inlineStr"/>
      <c r="O2493" s="8" t="inlineStr">
        <is>
          <t>95000</t>
        </is>
      </c>
      <c r="P2493" s="5" t="inlineStr">
        <is>
          <t>5</t>
        </is>
      </c>
      <c r="Q2493" s="5" t="inlineStr">
        <is>
          <t>3</t>
        </is>
      </c>
      <c r="R2493" s="5" t="inlineStr">
        <is>
          <t>8</t>
        </is>
      </c>
      <c r="S2493" s="5" t="inlineStr">
        <is>
          <t>61</t>
        </is>
      </c>
      <c r="T2493" s="5" t="inlineStr">
        <is>
          <t>9</t>
        </is>
      </c>
      <c r="U2493" s="5" t="inlineStr">
        <is>
          <t>OK</t>
        </is>
      </c>
    </row>
    <row r="2494">
      <c r="A2494" s="5" t="inlineStr">
        <is>
          <t>E02860</t>
        </is>
      </c>
      <c r="B2494" s="5" t="inlineStr">
        <is>
          <t>Female</t>
        </is>
      </c>
      <c r="C2494" s="6" t="inlineStr">
        <is>
          <t>33</t>
        </is>
      </c>
      <c r="D2494" s="5" t="inlineStr">
        <is>
          <t>Married</t>
        </is>
      </c>
      <c r="E2494" s="5" t="inlineStr">
        <is>
          <t>Diploma</t>
        </is>
      </c>
      <c r="F2494" s="5" t="inlineStr">
        <is>
          <t>Marketing</t>
        </is>
      </c>
      <c r="G2494" s="5" t="inlineStr">
        <is>
          <t>Content Writer</t>
        </is>
      </c>
      <c r="H2494" s="5" t="inlineStr">
        <is>
          <t>5</t>
        </is>
      </c>
      <c r="I2494" s="5" t="inlineStr">
        <is>
          <t>Mumbai</t>
        </is>
      </c>
      <c r="J2494" s="5" t="inlineStr">
        <is>
          <t>Full-Time</t>
        </is>
      </c>
      <c r="K2494" s="7" t="n">
        <v>45876</v>
      </c>
      <c r="L2494" s="7" t="inlineStr"/>
      <c r="M2494" s="5" t="inlineStr">
        <is>
          <t>Yes</t>
        </is>
      </c>
      <c r="N2494" s="5" t="inlineStr"/>
      <c r="O2494" s="8" t="inlineStr">
        <is>
          <t>97500</t>
        </is>
      </c>
      <c r="P2494" s="5" t="inlineStr">
        <is>
          <t>5</t>
        </is>
      </c>
      <c r="Q2494" s="5" t="inlineStr">
        <is>
          <t>3</t>
        </is>
      </c>
      <c r="R2494" s="5" t="inlineStr">
        <is>
          <t>7</t>
        </is>
      </c>
      <c r="S2494" s="5" t="inlineStr">
        <is>
          <t>4</t>
        </is>
      </c>
      <c r="T2494" s="5" t="inlineStr">
        <is>
          <t>4</t>
        </is>
      </c>
      <c r="U2494" s="5" t="inlineStr">
        <is>
          <t>OK</t>
        </is>
      </c>
    </row>
    <row r="2495">
      <c r="A2495" s="5" t="inlineStr">
        <is>
          <t>E02407</t>
        </is>
      </c>
      <c r="B2495" s="5" t="inlineStr">
        <is>
          <t>Male</t>
        </is>
      </c>
      <c r="C2495" s="6" t="inlineStr">
        <is>
          <t>31</t>
        </is>
      </c>
      <c r="D2495" s="5" t="inlineStr">
        <is>
          <t>Divorced</t>
        </is>
      </c>
      <c r="E2495" s="5" t="inlineStr">
        <is>
          <t>Diploma</t>
        </is>
      </c>
      <c r="F2495" s="5" t="inlineStr">
        <is>
          <t>IT</t>
        </is>
      </c>
      <c r="G2495" s="5" t="inlineStr">
        <is>
          <t>IT Support</t>
        </is>
      </c>
      <c r="H2495" s="5" t="inlineStr">
        <is>
          <t>5</t>
        </is>
      </c>
      <c r="I2495" s="5" t="inlineStr">
        <is>
          <t>Remote</t>
        </is>
      </c>
      <c r="J2495" s="5" t="inlineStr">
        <is>
          <t>Full-Time</t>
        </is>
      </c>
      <c r="K2495" s="7" t="n">
        <v>44154</v>
      </c>
      <c r="L2495" s="7" t="inlineStr"/>
      <c r="M2495" s="5" t="inlineStr">
        <is>
          <t>Yes</t>
        </is>
      </c>
      <c r="N2495" s="5" t="inlineStr"/>
      <c r="O2495" s="8" t="inlineStr">
        <is>
          <t>195500</t>
        </is>
      </c>
      <c r="P2495" s="5" t="inlineStr">
        <is>
          <t>15</t>
        </is>
      </c>
      <c r="Q2495" s="5" t="inlineStr">
        <is>
          <t>3</t>
        </is>
      </c>
      <c r="R2495" s="5" t="inlineStr">
        <is>
          <t>4</t>
        </is>
      </c>
      <c r="S2495" s="5" t="inlineStr">
        <is>
          <t>62</t>
        </is>
      </c>
      <c r="T2495" s="5" t="inlineStr">
        <is>
          <t>11</t>
        </is>
      </c>
      <c r="U2495" s="5" t="inlineStr">
        <is>
          <t>OK</t>
        </is>
      </c>
    </row>
    <row r="2496">
      <c r="A2496" s="5" t="inlineStr">
        <is>
          <t>E01997</t>
        </is>
      </c>
      <c r="B2496" s="5" t="inlineStr">
        <is>
          <t>Female</t>
        </is>
      </c>
      <c r="C2496" s="6" t="inlineStr">
        <is>
          <t>27</t>
        </is>
      </c>
      <c r="D2496" s="5" t="inlineStr">
        <is>
          <t>Married</t>
        </is>
      </c>
      <c r="E2496" s="5" t="inlineStr">
        <is>
          <t>PhD</t>
        </is>
      </c>
      <c r="F2496" s="5" t="inlineStr">
        <is>
          <t>Operations</t>
        </is>
      </c>
      <c r="G2496" s="5" t="inlineStr">
        <is>
          <t>Operations Analyst</t>
        </is>
      </c>
      <c r="H2496" s="5" t="inlineStr">
        <is>
          <t>3</t>
        </is>
      </c>
      <c r="I2496" s="5" t="inlineStr">
        <is>
          <t>Bengaluru</t>
        </is>
      </c>
      <c r="J2496" s="5" t="inlineStr">
        <is>
          <t>Full-Time</t>
        </is>
      </c>
      <c r="K2496" s="7" t="n">
        <v>45184</v>
      </c>
      <c r="L2496" s="7" t="inlineStr"/>
      <c r="M2496" s="5" t="inlineStr">
        <is>
          <t>Yes</t>
        </is>
      </c>
      <c r="N2496" s="5" t="inlineStr"/>
      <c r="O2496" s="8" t="inlineStr">
        <is>
          <t>92000</t>
        </is>
      </c>
      <c r="P2496" s="5" t="inlineStr">
        <is>
          <t>5</t>
        </is>
      </c>
      <c r="Q2496" s="5" t="inlineStr">
        <is>
          <t>3</t>
        </is>
      </c>
      <c r="R2496" s="5" t="inlineStr">
        <is>
          <t>5</t>
        </is>
      </c>
      <c r="S2496" s="5" t="inlineStr">
        <is>
          <t>27</t>
        </is>
      </c>
      <c r="T2496" s="5" t="inlineStr">
        <is>
          <t>0</t>
        </is>
      </c>
      <c r="U2496" s="5" t="inlineStr">
        <is>
          <t>OK</t>
        </is>
      </c>
    </row>
    <row r="2497">
      <c r="A2497" s="5" t="inlineStr">
        <is>
          <t>E00706</t>
        </is>
      </c>
      <c r="B2497" s="5" t="inlineStr">
        <is>
          <t>Female</t>
        </is>
      </c>
      <c r="C2497" s="6" t="inlineStr">
        <is>
          <t>35</t>
        </is>
      </c>
      <c r="D2497" s="5" t="inlineStr">
        <is>
          <t>Married</t>
        </is>
      </c>
      <c r="E2497" s="5" t="inlineStr">
        <is>
          <t>PhD</t>
        </is>
      </c>
      <c r="F2497" s="5" t="inlineStr">
        <is>
          <t>Customer Support</t>
        </is>
      </c>
      <c r="G2497" s="5" t="inlineStr">
        <is>
          <t>Escalation Specialist</t>
        </is>
      </c>
      <c r="H2497" s="5" t="inlineStr">
        <is>
          <t>2</t>
        </is>
      </c>
      <c r="I2497" s="5" t="inlineStr">
        <is>
          <t>Hyderabad</t>
        </is>
      </c>
      <c r="J2497" s="5" t="inlineStr">
        <is>
          <t>Full-Time</t>
        </is>
      </c>
      <c r="K2497" s="7" t="n">
        <v>44010</v>
      </c>
      <c r="L2497" s="7" t="n">
        <v>44057</v>
      </c>
      <c r="M2497" s="5" t="inlineStr">
        <is>
          <t>No</t>
        </is>
      </c>
      <c r="N2497" s="5" t="inlineStr">
        <is>
          <t>Resigned</t>
        </is>
      </c>
      <c r="O2497" s="8" t="inlineStr">
        <is>
          <t>77500</t>
        </is>
      </c>
      <c r="P2497" s="5" t="inlineStr">
        <is>
          <t>5</t>
        </is>
      </c>
      <c r="Q2497" s="5" t="inlineStr">
        <is>
          <t>3</t>
        </is>
      </c>
      <c r="R2497" s="5" t="inlineStr">
        <is>
          <t>4</t>
        </is>
      </c>
      <c r="S2497" s="5" t="inlineStr">
        <is>
          <t>1</t>
        </is>
      </c>
      <c r="T2497" s="5" t="inlineStr">
        <is>
          <t>7</t>
        </is>
      </c>
      <c r="U2497" s="5" t="inlineStr">
        <is>
          <t>OK</t>
        </is>
      </c>
    </row>
    <row r="2498">
      <c r="A2498" s="5" t="inlineStr">
        <is>
          <t>E01785</t>
        </is>
      </c>
      <c r="B2498" s="5" t="inlineStr">
        <is>
          <t>Female</t>
        </is>
      </c>
      <c r="C2498" s="6" t="inlineStr">
        <is>
          <t>38</t>
        </is>
      </c>
      <c r="D2498" s="5" t="inlineStr">
        <is>
          <t>Single</t>
        </is>
      </c>
      <c r="E2498" s="5" t="inlineStr">
        <is>
          <t>PhD</t>
        </is>
      </c>
      <c r="F2498" s="5" t="inlineStr">
        <is>
          <t>Sales</t>
        </is>
      </c>
      <c r="G2498" s="5" t="inlineStr">
        <is>
          <t>Business Development</t>
        </is>
      </c>
      <c r="H2498" s="5" t="inlineStr">
        <is>
          <t>3</t>
        </is>
      </c>
      <c r="I2498" s="5" t="inlineStr">
        <is>
          <t>Delhi</t>
        </is>
      </c>
      <c r="J2498" s="5" t="inlineStr">
        <is>
          <t>Full-Time</t>
        </is>
      </c>
      <c r="K2498" s="7" t="n">
        <v>45881</v>
      </c>
      <c r="L2498" s="7" t="inlineStr"/>
      <c r="M2498" s="5" t="inlineStr">
        <is>
          <t>Yes</t>
        </is>
      </c>
      <c r="N2498" s="5" t="inlineStr"/>
      <c r="O2498" s="8" t="inlineStr">
        <is>
          <t>96000</t>
        </is>
      </c>
      <c r="P2498" s="5" t="inlineStr">
        <is>
          <t>10</t>
        </is>
      </c>
      <c r="Q2498" s="5" t="inlineStr">
        <is>
          <t>3</t>
        </is>
      </c>
      <c r="R2498" s="5" t="inlineStr">
        <is>
          <t>5</t>
        </is>
      </c>
      <c r="S2498" s="5" t="inlineStr">
        <is>
          <t>4</t>
        </is>
      </c>
      <c r="T2498" s="5" t="inlineStr">
        <is>
          <t>15</t>
        </is>
      </c>
      <c r="U2498" s="5" t="inlineStr">
        <is>
          <t>OK</t>
        </is>
      </c>
    </row>
    <row r="2499">
      <c r="A2499" s="5" t="inlineStr">
        <is>
          <t>E00944</t>
        </is>
      </c>
      <c r="B2499" s="5" t="inlineStr">
        <is>
          <t>Male</t>
        </is>
      </c>
      <c r="C2499" s="6" t="inlineStr">
        <is>
          <t>34</t>
        </is>
      </c>
      <c r="D2499" s="5" t="inlineStr">
        <is>
          <t>Married</t>
        </is>
      </c>
      <c r="E2499" s="5" t="inlineStr">
        <is>
          <t>Bachelor</t>
        </is>
      </c>
      <c r="F2499" s="5" t="inlineStr">
        <is>
          <t>IT</t>
        </is>
      </c>
      <c r="G2499" s="5" t="inlineStr">
        <is>
          <t>DevOps Engineer</t>
        </is>
      </c>
      <c r="H2499" s="5" t="inlineStr">
        <is>
          <t>6</t>
        </is>
      </c>
      <c r="I2499" s="5" t="inlineStr">
        <is>
          <t>Chennai</t>
        </is>
      </c>
      <c r="J2499" s="5" t="inlineStr">
        <is>
          <t>Full-Time</t>
        </is>
      </c>
      <c r="K2499" s="7" t="n">
        <v>44360</v>
      </c>
      <c r="L2499" s="7" t="inlineStr"/>
      <c r="M2499" s="5" t="inlineStr">
        <is>
          <t>Yes</t>
        </is>
      </c>
      <c r="N2499" s="5" t="inlineStr"/>
      <c r="O2499" s="8" t="inlineStr">
        <is>
          <t>244500</t>
        </is>
      </c>
      <c r="P2499" s="5" t="inlineStr">
        <is>
          <t>5</t>
        </is>
      </c>
      <c r="Q2499" s="5" t="inlineStr">
        <is>
          <t>2</t>
        </is>
      </c>
      <c r="R2499" s="5" t="inlineStr">
        <is>
          <t>9</t>
        </is>
      </c>
      <c r="S2499" s="5" t="inlineStr">
        <is>
          <t>55</t>
        </is>
      </c>
      <c r="T2499" s="5" t="inlineStr">
        <is>
          <t>10</t>
        </is>
      </c>
      <c r="U2499" s="5" t="inlineStr">
        <is>
          <t>OK</t>
        </is>
      </c>
    </row>
    <row r="2500">
      <c r="A2500" s="5" t="inlineStr">
        <is>
          <t>E00402</t>
        </is>
      </c>
      <c r="B2500" s="5" t="inlineStr">
        <is>
          <t>Male</t>
        </is>
      </c>
      <c r="C2500" s="6" t="inlineStr">
        <is>
          <t>32</t>
        </is>
      </c>
      <c r="D2500" s="5" t="inlineStr">
        <is>
          <t>Married</t>
        </is>
      </c>
      <c r="E2500" s="5" t="inlineStr">
        <is>
          <t>PhD</t>
        </is>
      </c>
      <c r="F2500" s="5" t="inlineStr">
        <is>
          <t>Operations</t>
        </is>
      </c>
      <c r="G2500" s="5" t="inlineStr">
        <is>
          <t>Quality Analyst</t>
        </is>
      </c>
      <c r="H2500" s="5" t="inlineStr">
        <is>
          <t>3</t>
        </is>
      </c>
      <c r="I2500" s="5" t="inlineStr">
        <is>
          <t>Bengaluru</t>
        </is>
      </c>
      <c r="J2500" s="5" t="inlineStr">
        <is>
          <t>Full-Time</t>
        </is>
      </c>
      <c r="K2500" s="7" t="n">
        <v>45926</v>
      </c>
      <c r="L2500" s="7" t="inlineStr"/>
      <c r="M2500" s="5" t="inlineStr">
        <is>
          <t>Yes</t>
        </is>
      </c>
      <c r="N2500" s="5" t="inlineStr"/>
      <c r="O2500" s="8" t="inlineStr">
        <is>
          <t>98000</t>
        </is>
      </c>
      <c r="P2500" s="5" t="inlineStr">
        <is>
          <t>5</t>
        </is>
      </c>
      <c r="Q2500" s="5" t="inlineStr">
        <is>
          <t>2</t>
        </is>
      </c>
      <c r="R2500" s="5" t="inlineStr">
        <is>
          <t>4</t>
        </is>
      </c>
      <c r="S2500" s="5" t="inlineStr">
        <is>
          <t>3</t>
        </is>
      </c>
      <c r="T2500" s="5" t="inlineStr">
        <is>
          <t>2</t>
        </is>
      </c>
      <c r="U2500" s="5" t="inlineStr">
        <is>
          <t>OK</t>
        </is>
      </c>
    </row>
    <row r="2501">
      <c r="A2501" s="5" t="inlineStr">
        <is>
          <t>E01440</t>
        </is>
      </c>
      <c r="B2501" s="5" t="inlineStr">
        <is>
          <t>Female</t>
        </is>
      </c>
      <c r="C2501" s="6" t="inlineStr">
        <is>
          <t>35</t>
        </is>
      </c>
      <c r="D2501" s="5" t="inlineStr">
        <is>
          <t>Married</t>
        </is>
      </c>
      <c r="E2501" s="5" t="inlineStr">
        <is>
          <t>Bachelor</t>
        </is>
      </c>
      <c r="F2501" s="5" t="inlineStr">
        <is>
          <t>Operations</t>
        </is>
      </c>
      <c r="G2501" s="5" t="inlineStr">
        <is>
          <t>Operations Analyst</t>
        </is>
      </c>
      <c r="H2501" s="5" t="inlineStr">
        <is>
          <t>3</t>
        </is>
      </c>
      <c r="I2501" s="5" t="inlineStr">
        <is>
          <t>Delhi</t>
        </is>
      </c>
      <c r="J2501" s="5" t="inlineStr">
        <is>
          <t>Full-Time</t>
        </is>
      </c>
      <c r="K2501" s="7" t="n">
        <v>44868</v>
      </c>
      <c r="L2501" s="7" t="inlineStr"/>
      <c r="M2501" s="5" t="inlineStr">
        <is>
          <t>Yes</t>
        </is>
      </c>
      <c r="N2501" s="5" t="inlineStr"/>
      <c r="O2501" s="8" t="inlineStr">
        <is>
          <t>75000</t>
        </is>
      </c>
      <c r="P2501" s="5" t="inlineStr">
        <is>
          <t>5</t>
        </is>
      </c>
      <c r="Q2501" s="5" t="inlineStr">
        <is>
          <t>4</t>
        </is>
      </c>
      <c r="R2501" s="5" t="inlineStr">
        <is>
          <t>7</t>
        </is>
      </c>
      <c r="S2501" s="5" t="inlineStr">
        <is>
          <t>38</t>
        </is>
      </c>
      <c r="T2501" s="5" t="inlineStr">
        <is>
          <t>0</t>
        </is>
      </c>
      <c r="U2501" s="5" t="inlineStr">
        <is>
          <t>OK</t>
        </is>
      </c>
    </row>
    <row r="2502">
      <c r="A2502" s="5" t="inlineStr">
        <is>
          <t>E01956</t>
        </is>
      </c>
      <c r="B2502" s="5" t="inlineStr">
        <is>
          <t>Female</t>
        </is>
      </c>
      <c r="C2502" s="6" t="inlineStr">
        <is>
          <t>24</t>
        </is>
      </c>
      <c r="D2502" s="5" t="inlineStr">
        <is>
          <t>Single</t>
        </is>
      </c>
      <c r="E2502" s="5" t="inlineStr">
        <is>
          <t>Master</t>
        </is>
      </c>
      <c r="F2502" s="5" t="inlineStr">
        <is>
          <t>Operations</t>
        </is>
      </c>
      <c r="G2502" s="5" t="inlineStr">
        <is>
          <t>Logistics Coordinator</t>
        </is>
      </c>
      <c r="H2502" s="5" t="inlineStr">
        <is>
          <t>1</t>
        </is>
      </c>
      <c r="I2502" s="5" t="inlineStr">
        <is>
          <t>Bengaluru</t>
        </is>
      </c>
      <c r="J2502" s="5" t="inlineStr">
        <is>
          <t>Full-Time</t>
        </is>
      </c>
      <c r="K2502" s="7" t="n">
        <v>45271</v>
      </c>
      <c r="L2502" s="7" t="inlineStr"/>
      <c r="M2502" s="5" t="inlineStr">
        <is>
          <t>Yes</t>
        </is>
      </c>
      <c r="N2502" s="5" t="inlineStr"/>
      <c r="O2502" s="8" t="inlineStr">
        <is>
          <t>81000</t>
        </is>
      </c>
      <c r="P2502" s="5" t="inlineStr">
        <is>
          <t>10</t>
        </is>
      </c>
      <c r="Q2502" s="5" t="inlineStr">
        <is>
          <t>4</t>
        </is>
      </c>
      <c r="R2502" s="5" t="inlineStr">
        <is>
          <t>6</t>
        </is>
      </c>
      <c r="S2502" s="5" t="inlineStr">
        <is>
          <t>25</t>
        </is>
      </c>
      <c r="T2502" s="5" t="inlineStr">
        <is>
          <t>8</t>
        </is>
      </c>
      <c r="U2502" s="5" t="inlineStr">
        <is>
          <t>OK</t>
        </is>
      </c>
    </row>
    <row r="2503">
      <c r="A2503" s="5" t="inlineStr">
        <is>
          <t>E01790</t>
        </is>
      </c>
      <c r="B2503" s="5" t="inlineStr">
        <is>
          <t>Male</t>
        </is>
      </c>
      <c r="C2503" s="6" t="inlineStr">
        <is>
          <t>33</t>
        </is>
      </c>
      <c r="D2503" s="5" t="inlineStr">
        <is>
          <t>Divorced</t>
        </is>
      </c>
      <c r="E2503" s="5" t="inlineStr">
        <is>
          <t>Master</t>
        </is>
      </c>
      <c r="F2503" s="5" t="inlineStr">
        <is>
          <t>Human Resources</t>
        </is>
      </c>
      <c r="G2503" s="5" t="inlineStr">
        <is>
          <t>HR Generalist</t>
        </is>
      </c>
      <c r="H2503" s="5" t="inlineStr">
        <is>
          <t>3</t>
        </is>
      </c>
      <c r="I2503" s="5" t="inlineStr">
        <is>
          <t>Remote</t>
        </is>
      </c>
      <c r="J2503" s="5" t="inlineStr">
        <is>
          <t>Full-Time</t>
        </is>
      </c>
      <c r="K2503" s="7" t="n">
        <v>44642</v>
      </c>
      <c r="L2503" s="7" t="n">
        <v>44776</v>
      </c>
      <c r="M2503" s="5" t="inlineStr">
        <is>
          <t>No</t>
        </is>
      </c>
      <c r="N2503" s="5" t="inlineStr">
        <is>
          <t>Resigned</t>
        </is>
      </c>
      <c r="O2503" s="8" t="inlineStr">
        <is>
          <t>73000</t>
        </is>
      </c>
      <c r="P2503" s="5" t="inlineStr">
        <is>
          <t>5</t>
        </is>
      </c>
      <c r="Q2503" s="5" t="inlineStr">
        <is>
          <t>4</t>
        </is>
      </c>
      <c r="R2503" s="5" t="inlineStr">
        <is>
          <t>4</t>
        </is>
      </c>
      <c r="S2503" s="5" t="inlineStr">
        <is>
          <t>4</t>
        </is>
      </c>
      <c r="T2503" s="5" t="inlineStr">
        <is>
          <t>10</t>
        </is>
      </c>
      <c r="U2503" s="5" t="inlineStr">
        <is>
          <t>OK</t>
        </is>
      </c>
    </row>
    <row r="2504">
      <c r="A2504" s="5" t="inlineStr">
        <is>
          <t>E00046</t>
        </is>
      </c>
      <c r="B2504" s="5" t="inlineStr">
        <is>
          <t>Male</t>
        </is>
      </c>
      <c r="C2504" s="6" t="inlineStr">
        <is>
          <t>28</t>
        </is>
      </c>
      <c r="D2504" s="5" t="inlineStr">
        <is>
          <t>Married</t>
        </is>
      </c>
      <c r="E2504" s="5" t="inlineStr">
        <is>
          <t>High School</t>
        </is>
      </c>
      <c r="F2504" s="5" t="inlineStr">
        <is>
          <t>Finance</t>
        </is>
      </c>
      <c r="G2504" s="5" t="inlineStr">
        <is>
          <t>Financial Analyst</t>
        </is>
      </c>
      <c r="H2504" s="5" t="inlineStr">
        <is>
          <t>1</t>
        </is>
      </c>
      <c r="I2504" s="5" t="inlineStr">
        <is>
          <t>Hyderabad</t>
        </is>
      </c>
      <c r="J2504" s="5" t="inlineStr">
        <is>
          <t>Full-Time</t>
        </is>
      </c>
      <c r="K2504" s="7" t="n">
        <v>45912</v>
      </c>
      <c r="L2504" s="7" t="n">
        <v>46021</v>
      </c>
      <c r="M2504" s="5" t="inlineStr">
        <is>
          <t>No</t>
        </is>
      </c>
      <c r="N2504" s="5" t="inlineStr">
        <is>
          <t>Resigned</t>
        </is>
      </c>
      <c r="O2504" s="8" t="inlineStr">
        <is>
          <t>102500</t>
        </is>
      </c>
      <c r="P2504" s="5" t="inlineStr">
        <is>
          <t>0</t>
        </is>
      </c>
      <c r="Q2504" s="5" t="inlineStr">
        <is>
          <t>4</t>
        </is>
      </c>
      <c r="R2504" s="5" t="inlineStr">
        <is>
          <t>5</t>
        </is>
      </c>
      <c r="S2504" s="5" t="inlineStr">
        <is>
          <t>3</t>
        </is>
      </c>
      <c r="T2504" s="5" t="inlineStr">
        <is>
          <t>0</t>
        </is>
      </c>
      <c r="U2504" s="5" t="inlineStr">
        <is>
          <t>OK</t>
        </is>
      </c>
    </row>
    <row r="2505">
      <c r="A2505" s="5" t="inlineStr">
        <is>
          <t>E01563</t>
        </is>
      </c>
      <c r="B2505" s="5" t="inlineStr">
        <is>
          <t>Female</t>
        </is>
      </c>
      <c r="C2505" s="6" t="inlineStr">
        <is>
          <t>33</t>
        </is>
      </c>
      <c r="D2505" s="5" t="inlineStr">
        <is>
          <t>Married</t>
        </is>
      </c>
      <c r="E2505" s="5" t="inlineStr">
        <is>
          <t>High School</t>
        </is>
      </c>
      <c r="F2505" s="5" t="inlineStr">
        <is>
          <t>IT</t>
        </is>
      </c>
      <c r="G2505" s="5" t="inlineStr">
        <is>
          <t>DevOps Engineer</t>
        </is>
      </c>
      <c r="H2505" s="5" t="inlineStr">
        <is>
          <t>2</t>
        </is>
      </c>
      <c r="I2505" s="5" t="inlineStr">
        <is>
          <t>Bengaluru</t>
        </is>
      </c>
      <c r="J2505" s="5" t="inlineStr">
        <is>
          <t>Full-Time</t>
        </is>
      </c>
      <c r="K2505" s="7" t="n">
        <v>43836</v>
      </c>
      <c r="L2505" s="7" t="n">
        <v>43911</v>
      </c>
      <c r="M2505" s="5" t="inlineStr">
        <is>
          <t>No</t>
        </is>
      </c>
      <c r="N2505" s="5" t="inlineStr">
        <is>
          <t>Resigned</t>
        </is>
      </c>
      <c r="O2505" s="8" t="inlineStr">
        <is>
          <t>117500</t>
        </is>
      </c>
      <c r="P2505" s="5" t="inlineStr">
        <is>
          <t>0</t>
        </is>
      </c>
      <c r="Q2505" s="5" t="inlineStr">
        <is>
          <t>3</t>
        </is>
      </c>
      <c r="R2505" s="5" t="inlineStr">
        <is>
          <t>6</t>
        </is>
      </c>
      <c r="S2505" s="5" t="inlineStr">
        <is>
          <t>2</t>
        </is>
      </c>
      <c r="T2505" s="5" t="inlineStr">
        <is>
          <t>1</t>
        </is>
      </c>
      <c r="U2505" s="5" t="inlineStr">
        <is>
          <t>OK</t>
        </is>
      </c>
    </row>
    <row r="2506">
      <c r="A2506" s="5" t="inlineStr">
        <is>
          <t>E01413</t>
        </is>
      </c>
      <c r="B2506" s="5" t="inlineStr">
        <is>
          <t>Female</t>
        </is>
      </c>
      <c r="C2506" s="6" t="inlineStr">
        <is>
          <t>32</t>
        </is>
      </c>
      <c r="D2506" s="5" t="inlineStr">
        <is>
          <t>Married</t>
        </is>
      </c>
      <c r="E2506" s="5" t="inlineStr">
        <is>
          <t>Bachelor</t>
        </is>
      </c>
      <c r="F2506" s="5" t="inlineStr">
        <is>
          <t>Marketing</t>
        </is>
      </c>
      <c r="G2506" s="5" t="inlineStr">
        <is>
          <t>Content Writer</t>
        </is>
      </c>
      <c r="H2506" s="5" t="inlineStr">
        <is>
          <t>2</t>
        </is>
      </c>
      <c r="I2506" s="5" t="inlineStr">
        <is>
          <t>Bengaluru</t>
        </is>
      </c>
      <c r="J2506" s="5" t="inlineStr">
        <is>
          <t>Full-Time</t>
        </is>
      </c>
      <c r="K2506" s="7" t="n">
        <v>44719</v>
      </c>
      <c r="L2506" s="7" t="inlineStr"/>
      <c r="M2506" s="5" t="inlineStr">
        <is>
          <t>Yes</t>
        </is>
      </c>
      <c r="N2506" s="5" t="inlineStr"/>
      <c r="O2506" s="8" t="inlineStr">
        <is>
          <t>59000</t>
        </is>
      </c>
      <c r="P2506" s="5" t="inlineStr">
        <is>
          <t>10</t>
        </is>
      </c>
      <c r="Q2506" s="5" t="inlineStr">
        <is>
          <t>5</t>
        </is>
      </c>
      <c r="R2506" s="5" t="inlineStr">
        <is>
          <t>5</t>
        </is>
      </c>
      <c r="S2506" s="5" t="inlineStr">
        <is>
          <t>43</t>
        </is>
      </c>
      <c r="T2506" s="5" t="inlineStr">
        <is>
          <t>11</t>
        </is>
      </c>
      <c r="U2506" s="5" t="inlineStr">
        <is>
          <t>OK</t>
        </is>
      </c>
    </row>
    <row r="2507">
      <c r="A2507" s="5" t="inlineStr">
        <is>
          <t>E00060</t>
        </is>
      </c>
      <c r="B2507" s="5" t="inlineStr">
        <is>
          <t>Male</t>
        </is>
      </c>
      <c r="C2507" s="6" t="inlineStr">
        <is>
          <t>35</t>
        </is>
      </c>
      <c r="D2507" s="5" t="inlineStr">
        <is>
          <t>Married</t>
        </is>
      </c>
      <c r="E2507" s="5" t="inlineStr">
        <is>
          <t>Master</t>
        </is>
      </c>
      <c r="F2507" s="5" t="inlineStr">
        <is>
          <t>Operations</t>
        </is>
      </c>
      <c r="G2507" s="5" t="inlineStr">
        <is>
          <t>Logistics Coordinator</t>
        </is>
      </c>
      <c r="H2507" s="5" t="inlineStr">
        <is>
          <t>2</t>
        </is>
      </c>
      <c r="I2507" s="5" t="inlineStr">
        <is>
          <t>Remote</t>
        </is>
      </c>
      <c r="J2507" s="5" t="inlineStr">
        <is>
          <t>Full-Time</t>
        </is>
      </c>
      <c r="K2507" s="7" t="n">
        <v>44647</v>
      </c>
      <c r="L2507" s="7" t="n">
        <v>44748</v>
      </c>
      <c r="M2507" s="5" t="inlineStr">
        <is>
          <t>No</t>
        </is>
      </c>
      <c r="N2507" s="5" t="inlineStr">
        <is>
          <t>Retirement</t>
        </is>
      </c>
      <c r="O2507" s="8" t="inlineStr">
        <is>
          <t>100500</t>
        </is>
      </c>
      <c r="P2507" s="5" t="inlineStr">
        <is>
          <t>20</t>
        </is>
      </c>
      <c r="Q2507" s="5" t="inlineStr">
        <is>
          <t>4</t>
        </is>
      </c>
      <c r="R2507" s="5" t="inlineStr">
        <is>
          <t>6</t>
        </is>
      </c>
      <c r="S2507" s="5" t="inlineStr">
        <is>
          <t>3</t>
        </is>
      </c>
      <c r="T2507" s="5" t="inlineStr">
        <is>
          <t>6</t>
        </is>
      </c>
      <c r="U2507" s="5" t="inlineStr">
        <is>
          <t>OK</t>
        </is>
      </c>
    </row>
    <row r="2508">
      <c r="A2508" s="5" t="inlineStr">
        <is>
          <t>E00511</t>
        </is>
      </c>
      <c r="B2508" s="5" t="inlineStr">
        <is>
          <t>Male</t>
        </is>
      </c>
      <c r="C2508" s="6" t="inlineStr">
        <is>
          <t>39</t>
        </is>
      </c>
      <c r="D2508" s="5" t="inlineStr">
        <is>
          <t>Single</t>
        </is>
      </c>
      <c r="E2508" s="5" t="inlineStr">
        <is>
          <t>Diploma</t>
        </is>
      </c>
      <c r="F2508" s="5" t="inlineStr">
        <is>
          <t>Sales</t>
        </is>
      </c>
      <c r="G2508" s="5" t="inlineStr">
        <is>
          <t>Account Executive</t>
        </is>
      </c>
      <c r="H2508" s="5" t="inlineStr">
        <is>
          <t>7</t>
        </is>
      </c>
      <c r="I2508" s="5" t="inlineStr">
        <is>
          <t>Mumbai</t>
        </is>
      </c>
      <c r="J2508" s="5" t="inlineStr">
        <is>
          <t>Full-Time</t>
        </is>
      </c>
      <c r="K2508" s="7" t="n">
        <v>45305</v>
      </c>
      <c r="L2508" s="7" t="inlineStr"/>
      <c r="M2508" s="5" t="inlineStr">
        <is>
          <t>Yes</t>
        </is>
      </c>
      <c r="N2508" s="5" t="inlineStr"/>
      <c r="O2508" s="8" t="inlineStr">
        <is>
          <t>177500</t>
        </is>
      </c>
      <c r="P2508" s="5" t="inlineStr">
        <is>
          <t>15</t>
        </is>
      </c>
      <c r="Q2508" s="5" t="inlineStr">
        <is>
          <t>3</t>
        </is>
      </c>
      <c r="R2508" s="5" t="inlineStr">
        <is>
          <t>8</t>
        </is>
      </c>
      <c r="S2508" s="5" t="inlineStr">
        <is>
          <t>23</t>
        </is>
      </c>
      <c r="T2508" s="5" t="inlineStr">
        <is>
          <t>8</t>
        </is>
      </c>
      <c r="U2508" s="5" t="inlineStr">
        <is>
          <t>OK</t>
        </is>
      </c>
    </row>
    <row r="2509">
      <c r="A2509" s="5" t="inlineStr">
        <is>
          <t>E02082</t>
        </is>
      </c>
      <c r="B2509" s="5" t="inlineStr">
        <is>
          <t>Unknown</t>
        </is>
      </c>
      <c r="C2509" s="6" t="inlineStr">
        <is>
          <t>39</t>
        </is>
      </c>
      <c r="D2509" s="5" t="inlineStr">
        <is>
          <t>Married</t>
        </is>
      </c>
      <c r="E2509" s="5" t="inlineStr">
        <is>
          <t>Diploma</t>
        </is>
      </c>
      <c r="F2509" s="5" t="inlineStr">
        <is>
          <t>IT</t>
        </is>
      </c>
      <c r="G2509" s="5" t="inlineStr">
        <is>
          <t>Software Engineer</t>
        </is>
      </c>
      <c r="H2509" s="5" t="inlineStr">
        <is>
          <t>7</t>
        </is>
      </c>
      <c r="I2509" s="5" t="inlineStr">
        <is>
          <t>Mumbai</t>
        </is>
      </c>
      <c r="J2509" s="5" t="inlineStr">
        <is>
          <t>Full-Time</t>
        </is>
      </c>
      <c r="K2509" s="7" t="n">
        <v>44887</v>
      </c>
      <c r="L2509" s="7" t="inlineStr"/>
      <c r="M2509" s="5" t="inlineStr">
        <is>
          <t>Yes</t>
        </is>
      </c>
      <c r="N2509" s="5" t="inlineStr"/>
      <c r="O2509" s="8" t="inlineStr">
        <is>
          <t>256000</t>
        </is>
      </c>
      <c r="P2509" s="5" t="inlineStr">
        <is>
          <t>0</t>
        </is>
      </c>
      <c r="Q2509" s="5" t="inlineStr">
        <is>
          <t>5</t>
        </is>
      </c>
      <c r="R2509" s="5" t="inlineStr">
        <is>
          <t>6</t>
        </is>
      </c>
      <c r="S2509" s="5" t="inlineStr">
        <is>
          <t>37</t>
        </is>
      </c>
      <c r="T2509" s="5" t="inlineStr">
        <is>
          <t>8</t>
        </is>
      </c>
      <c r="U2509" s="5" t="inlineStr">
        <is>
          <t>Bad gender</t>
        </is>
      </c>
    </row>
    <row r="2510">
      <c r="A2510" s="5" t="inlineStr">
        <is>
          <t>E02068</t>
        </is>
      </c>
      <c r="B2510" s="5" t="inlineStr">
        <is>
          <t>Unknown</t>
        </is>
      </c>
      <c r="C2510" s="6" t="inlineStr">
        <is>
          <t>34</t>
        </is>
      </c>
      <c r="D2510" s="5" t="inlineStr">
        <is>
          <t>Married</t>
        </is>
      </c>
      <c r="E2510" s="5" t="inlineStr">
        <is>
          <t>PhD</t>
        </is>
      </c>
      <c r="F2510" s="5" t="inlineStr">
        <is>
          <t>Sales</t>
        </is>
      </c>
      <c r="G2510" s="5" t="inlineStr">
        <is>
          <t>Account Executive</t>
        </is>
      </c>
      <c r="H2510" s="5" t="inlineStr">
        <is>
          <t>2</t>
        </is>
      </c>
      <c r="I2510" s="5" t="inlineStr">
        <is>
          <t>Remote</t>
        </is>
      </c>
      <c r="J2510" s="5" t="inlineStr">
        <is>
          <t>Full-Time</t>
        </is>
      </c>
      <c r="K2510" s="7" t="n">
        <v>44603</v>
      </c>
      <c r="L2510" s="7" t="n">
        <v>44674</v>
      </c>
      <c r="M2510" s="5" t="inlineStr">
        <is>
          <t>No</t>
        </is>
      </c>
      <c r="N2510" s="5" t="inlineStr">
        <is>
          <t>Resigned</t>
        </is>
      </c>
      <c r="O2510" s="8" t="inlineStr">
        <is>
          <t>81500</t>
        </is>
      </c>
      <c r="P2510" s="5" t="inlineStr">
        <is>
          <t>0</t>
        </is>
      </c>
      <c r="Q2510" s="5" t="inlineStr">
        <is>
          <t>4</t>
        </is>
      </c>
      <c r="R2510" s="5" t="inlineStr">
        <is>
          <t>5</t>
        </is>
      </c>
      <c r="S2510" s="5" t="inlineStr">
        <is>
          <t>2</t>
        </is>
      </c>
      <c r="T2510" s="5" t="inlineStr">
        <is>
          <t>13</t>
        </is>
      </c>
      <c r="U2510" s="5" t="inlineStr">
        <is>
          <t>Bad gender</t>
        </is>
      </c>
    </row>
    <row r="2511">
      <c r="A2511" s="5" t="inlineStr">
        <is>
          <t>E02724</t>
        </is>
      </c>
      <c r="B2511" s="5" t="inlineStr">
        <is>
          <t>Male</t>
        </is>
      </c>
      <c r="C2511" s="6" t="inlineStr">
        <is>
          <t>34</t>
        </is>
      </c>
      <c r="D2511" s="5" t="inlineStr">
        <is>
          <t>Married</t>
        </is>
      </c>
      <c r="E2511" s="5" t="inlineStr">
        <is>
          <t>High School</t>
        </is>
      </c>
      <c r="F2511" s="5" t="inlineStr">
        <is>
          <t>IT</t>
        </is>
      </c>
      <c r="G2511" s="5" t="inlineStr">
        <is>
          <t>DevOps Engineer</t>
        </is>
      </c>
      <c r="H2511" s="5" t="inlineStr">
        <is>
          <t>5</t>
        </is>
      </c>
      <c r="I2511" s="5" t="inlineStr">
        <is>
          <t>Mumbai</t>
        </is>
      </c>
      <c r="J2511" s="5" t="inlineStr">
        <is>
          <t>Part-Time</t>
        </is>
      </c>
      <c r="K2511" s="7" t="n">
        <v>44403</v>
      </c>
      <c r="L2511" s="7" t="inlineStr"/>
      <c r="M2511" s="5" t="inlineStr">
        <is>
          <t>Yes</t>
        </is>
      </c>
      <c r="N2511" s="5" t="inlineStr"/>
      <c r="O2511" s="8" t="inlineStr">
        <is>
          <t>158000</t>
        </is>
      </c>
      <c r="P2511" s="5" t="inlineStr">
        <is>
          <t>10</t>
        </is>
      </c>
      <c r="Q2511" s="5" t="inlineStr">
        <is>
          <t>5</t>
        </is>
      </c>
      <c r="R2511" s="5" t="inlineStr">
        <is>
          <t>3</t>
        </is>
      </c>
      <c r="S2511" s="5" t="inlineStr">
        <is>
          <t>53</t>
        </is>
      </c>
      <c r="T2511" s="5" t="inlineStr">
        <is>
          <t>0</t>
        </is>
      </c>
      <c r="U2511" s="5" t="inlineStr">
        <is>
          <t>OK</t>
        </is>
      </c>
    </row>
    <row r="2512">
      <c r="A2512" s="5" t="inlineStr">
        <is>
          <t>E01695</t>
        </is>
      </c>
      <c r="B2512" s="5" t="inlineStr">
        <is>
          <t>Male</t>
        </is>
      </c>
      <c r="C2512" s="6" t="inlineStr">
        <is>
          <t>32</t>
        </is>
      </c>
      <c r="D2512" s="5" t="inlineStr">
        <is>
          <t>Married</t>
        </is>
      </c>
      <c r="E2512" s="5" t="inlineStr">
        <is>
          <t>Master</t>
        </is>
      </c>
      <c r="F2512" s="5" t="inlineStr">
        <is>
          <t>IT</t>
        </is>
      </c>
      <c r="G2512" s="5" t="inlineStr">
        <is>
          <t>DevOps Engineer</t>
        </is>
      </c>
      <c r="H2512" s="5" t="inlineStr">
        <is>
          <t>2</t>
        </is>
      </c>
      <c r="I2512" s="5" t="inlineStr">
        <is>
          <t>Hyderabad</t>
        </is>
      </c>
      <c r="J2512" s="5" t="inlineStr">
        <is>
          <t>Full-Time</t>
        </is>
      </c>
      <c r="K2512" s="7" t="n">
        <v>44914</v>
      </c>
      <c r="L2512" s="7" t="inlineStr"/>
      <c r="M2512" s="5" t="inlineStr">
        <is>
          <t>Yes</t>
        </is>
      </c>
      <c r="N2512" s="5" t="inlineStr"/>
      <c r="O2512" s="8" t="inlineStr">
        <is>
          <t>103500</t>
        </is>
      </c>
      <c r="P2512" s="5" t="inlineStr">
        <is>
          <t>0</t>
        </is>
      </c>
      <c r="Q2512" s="5" t="inlineStr">
        <is>
          <t>3</t>
        </is>
      </c>
      <c r="R2512" s="5" t="inlineStr">
        <is>
          <t>4</t>
        </is>
      </c>
      <c r="S2512" s="5" t="inlineStr">
        <is>
          <t>36</t>
        </is>
      </c>
      <c r="T2512" s="5" t="inlineStr">
        <is>
          <t>9</t>
        </is>
      </c>
      <c r="U2512" s="5" t="inlineStr">
        <is>
          <t>OK</t>
        </is>
      </c>
    </row>
    <row r="2513">
      <c r="A2513" s="5" t="inlineStr">
        <is>
          <t>E00684</t>
        </is>
      </c>
      <c r="B2513" s="5" t="inlineStr">
        <is>
          <t>Female</t>
        </is>
      </c>
      <c r="C2513" s="6" t="inlineStr">
        <is>
          <t>33</t>
        </is>
      </c>
      <c r="D2513" s="5" t="inlineStr">
        <is>
          <t>Married</t>
        </is>
      </c>
      <c r="E2513" s="5" t="inlineStr">
        <is>
          <t>PhD</t>
        </is>
      </c>
      <c r="F2513" s="5" t="inlineStr">
        <is>
          <t>Human Resources</t>
        </is>
      </c>
      <c r="G2513" s="5" t="inlineStr">
        <is>
          <t>Recruiter</t>
        </is>
      </c>
      <c r="H2513" s="5" t="inlineStr">
        <is>
          <t>3</t>
        </is>
      </c>
      <c r="I2513" s="5" t="inlineStr">
        <is>
          <t>Remote</t>
        </is>
      </c>
      <c r="J2513" s="5" t="inlineStr">
        <is>
          <t>Full-Time</t>
        </is>
      </c>
      <c r="K2513" s="7" t="n">
        <v>45154</v>
      </c>
      <c r="L2513" s="7" t="inlineStr"/>
      <c r="M2513" s="5" t="inlineStr">
        <is>
          <t>Yes</t>
        </is>
      </c>
      <c r="N2513" s="5" t="inlineStr"/>
      <c r="O2513" s="8" t="inlineStr">
        <is>
          <t>110500</t>
        </is>
      </c>
      <c r="P2513" s="5" t="inlineStr">
        <is>
          <t>5</t>
        </is>
      </c>
      <c r="Q2513" s="5" t="inlineStr">
        <is>
          <t>3</t>
        </is>
      </c>
      <c r="R2513" s="5" t="inlineStr">
        <is>
          <t>3</t>
        </is>
      </c>
      <c r="S2513" s="5" t="inlineStr">
        <is>
          <t>28</t>
        </is>
      </c>
      <c r="T2513" s="5" t="inlineStr">
        <is>
          <t>17</t>
        </is>
      </c>
      <c r="U2513" s="5" t="inlineStr">
        <is>
          <t>OK</t>
        </is>
      </c>
    </row>
    <row r="2514">
      <c r="A2514" s="5" t="inlineStr">
        <is>
          <t>E00406</t>
        </is>
      </c>
      <c r="B2514" s="5" t="inlineStr">
        <is>
          <t>Male</t>
        </is>
      </c>
      <c r="C2514" s="6" t="inlineStr">
        <is>
          <t>33</t>
        </is>
      </c>
      <c r="D2514" s="5" t="inlineStr">
        <is>
          <t>Married</t>
        </is>
      </c>
      <c r="E2514" s="5" t="inlineStr">
        <is>
          <t>Diploma</t>
        </is>
      </c>
      <c r="F2514" s="5" t="inlineStr">
        <is>
          <t>Sales</t>
        </is>
      </c>
      <c r="G2514" s="5" t="inlineStr">
        <is>
          <t>Business Development</t>
        </is>
      </c>
      <c r="H2514" s="5" t="inlineStr">
        <is>
          <t>3</t>
        </is>
      </c>
      <c r="I2514" s="5" t="inlineStr">
        <is>
          <t>Chennai</t>
        </is>
      </c>
      <c r="J2514" s="5" t="inlineStr">
        <is>
          <t>Full-Time</t>
        </is>
      </c>
      <c r="K2514" s="7" t="n">
        <v>44273</v>
      </c>
      <c r="L2514" s="7" t="inlineStr"/>
      <c r="M2514" s="5" t="inlineStr">
        <is>
          <t>Yes</t>
        </is>
      </c>
      <c r="N2514" s="5" t="inlineStr"/>
      <c r="O2514" s="8" t="inlineStr">
        <is>
          <t>85000</t>
        </is>
      </c>
      <c r="P2514" s="5" t="inlineStr">
        <is>
          <t>0</t>
        </is>
      </c>
      <c r="Q2514" s="5" t="inlineStr">
        <is>
          <t>2</t>
        </is>
      </c>
      <c r="R2514" s="5" t="inlineStr">
        <is>
          <t>6</t>
        </is>
      </c>
      <c r="S2514" s="5" t="inlineStr">
        <is>
          <t>58</t>
        </is>
      </c>
      <c r="T2514" s="5" t="inlineStr">
        <is>
          <t>7</t>
        </is>
      </c>
      <c r="U2514" s="5" t="inlineStr">
        <is>
          <t>OK</t>
        </is>
      </c>
    </row>
    <row r="2515">
      <c r="A2515" s="5" t="inlineStr">
        <is>
          <t>E02636</t>
        </is>
      </c>
      <c r="B2515" s="5" t="inlineStr">
        <is>
          <t>Male</t>
        </is>
      </c>
      <c r="C2515" s="6" t="inlineStr">
        <is>
          <t>33</t>
        </is>
      </c>
      <c r="D2515" s="5" t="inlineStr">
        <is>
          <t>Married</t>
        </is>
      </c>
      <c r="E2515" s="5" t="inlineStr">
        <is>
          <t>Diploma</t>
        </is>
      </c>
      <c r="F2515" s="5" t="inlineStr">
        <is>
          <t>Human Resources</t>
        </is>
      </c>
      <c r="G2515" s="5" t="inlineStr">
        <is>
          <t>Recruiter</t>
        </is>
      </c>
      <c r="H2515" s="5" t="inlineStr">
        <is>
          <t>4</t>
        </is>
      </c>
      <c r="I2515" s="5" t="inlineStr">
        <is>
          <t>Bengaluru</t>
        </is>
      </c>
      <c r="J2515" s="5" t="inlineStr">
        <is>
          <t>Full-Time</t>
        </is>
      </c>
      <c r="K2515" s="7" t="n">
        <v>45139</v>
      </c>
      <c r="L2515" s="7" t="n">
        <v>45258</v>
      </c>
      <c r="M2515" s="5" t="inlineStr">
        <is>
          <t>No</t>
        </is>
      </c>
      <c r="N2515" s="5" t="inlineStr">
        <is>
          <t>Resigned</t>
        </is>
      </c>
      <c r="O2515" s="8" t="inlineStr">
        <is>
          <t>136000</t>
        </is>
      </c>
      <c r="P2515" s="5" t="inlineStr">
        <is>
          <t>0</t>
        </is>
      </c>
      <c r="Q2515" s="5" t="inlineStr">
        <is>
          <t>5</t>
        </is>
      </c>
      <c r="R2515" s="5" t="inlineStr">
        <is>
          <t>10</t>
        </is>
      </c>
      <c r="S2515" s="5" t="inlineStr">
        <is>
          <t>3</t>
        </is>
      </c>
      <c r="T2515" s="5" t="inlineStr">
        <is>
          <t>0</t>
        </is>
      </c>
      <c r="U2515" s="5" t="inlineStr">
        <is>
          <t>OK</t>
        </is>
      </c>
    </row>
    <row r="2516">
      <c r="A2516" s="5" t="inlineStr">
        <is>
          <t>E01236</t>
        </is>
      </c>
      <c r="B2516" s="5" t="inlineStr">
        <is>
          <t>male</t>
        </is>
      </c>
      <c r="C2516" s="6" t="inlineStr">
        <is>
          <t>38</t>
        </is>
      </c>
      <c r="D2516" s="5" t="inlineStr">
        <is>
          <t>Married</t>
        </is>
      </c>
      <c r="E2516" s="5" t="inlineStr">
        <is>
          <t>PhD</t>
        </is>
      </c>
      <c r="F2516" s="5" t="inlineStr">
        <is>
          <t>Finance</t>
        </is>
      </c>
      <c r="G2516" s="5" t="inlineStr">
        <is>
          <t>Credit Analyst</t>
        </is>
      </c>
      <c r="H2516" s="5" t="inlineStr">
        <is>
          <t>3</t>
        </is>
      </c>
      <c r="I2516" s="5" t="inlineStr">
        <is>
          <t>Chennai</t>
        </is>
      </c>
      <c r="J2516" s="5" t="inlineStr">
        <is>
          <t>Full-Time</t>
        </is>
      </c>
      <c r="K2516" s="7" t="n">
        <v>45975</v>
      </c>
      <c r="L2516" s="7" t="inlineStr"/>
      <c r="M2516" s="5" t="inlineStr">
        <is>
          <t>Yes</t>
        </is>
      </c>
      <c r="N2516" s="5" t="inlineStr"/>
      <c r="O2516" s="8" t="inlineStr">
        <is>
          <t>84500</t>
        </is>
      </c>
      <c r="P2516" s="5" t="inlineStr">
        <is>
          <t>10</t>
        </is>
      </c>
      <c r="Q2516" s="5" t="inlineStr">
        <is>
          <t>4</t>
        </is>
      </c>
      <c r="R2516" s="5" t="inlineStr">
        <is>
          <t>6</t>
        </is>
      </c>
      <c r="S2516" s="5" t="inlineStr">
        <is>
          <t>1</t>
        </is>
      </c>
      <c r="T2516" s="5" t="inlineStr">
        <is>
          <t>10</t>
        </is>
      </c>
      <c r="U2516" s="5" t="inlineStr">
        <is>
          <t>OK</t>
        </is>
      </c>
    </row>
    <row r="2517">
      <c r="A2517" s="5" t="inlineStr">
        <is>
          <t>E01179</t>
        </is>
      </c>
      <c r="B2517" s="5" t="inlineStr">
        <is>
          <t>Male</t>
        </is>
      </c>
      <c r="C2517" s="6" t="inlineStr">
        <is>
          <t>34</t>
        </is>
      </c>
      <c r="D2517" s="5" t="inlineStr">
        <is>
          <t>Divorced</t>
        </is>
      </c>
      <c r="E2517" s="5" t="inlineStr">
        <is>
          <t>Bachelor</t>
        </is>
      </c>
      <c r="F2517" s="5" t="inlineStr">
        <is>
          <t>Research &amp; Development</t>
        </is>
      </c>
      <c r="G2517" s="5" t="inlineStr">
        <is>
          <t>Research Scientist</t>
        </is>
      </c>
      <c r="H2517" s="5" t="inlineStr">
        <is>
          <t>1</t>
        </is>
      </c>
      <c r="I2517" s="5" t="inlineStr">
        <is>
          <t>Delhi</t>
        </is>
      </c>
      <c r="J2517" s="5" t="inlineStr">
        <is>
          <t>Part-Time</t>
        </is>
      </c>
      <c r="K2517" s="7" t="n">
        <v>43925</v>
      </c>
      <c r="L2517" s="7" t="inlineStr"/>
      <c r="M2517" s="5" t="inlineStr">
        <is>
          <t>Yes</t>
        </is>
      </c>
      <c r="N2517" s="5" t="inlineStr"/>
      <c r="O2517" s="8" t="inlineStr">
        <is>
          <t>123000</t>
        </is>
      </c>
      <c r="P2517" s="5" t="inlineStr">
        <is>
          <t>10</t>
        </is>
      </c>
      <c r="Q2517" s="5" t="inlineStr">
        <is>
          <t>4</t>
        </is>
      </c>
      <c r="R2517" s="5" t="inlineStr">
        <is>
          <t>6</t>
        </is>
      </c>
      <c r="S2517" s="5" t="inlineStr">
        <is>
          <t>69</t>
        </is>
      </c>
      <c r="T2517" s="5" t="inlineStr">
        <is>
          <t>0</t>
        </is>
      </c>
      <c r="U2517" s="5" t="inlineStr">
        <is>
          <t>OK</t>
        </is>
      </c>
    </row>
    <row r="2518">
      <c r="A2518" s="5" t="inlineStr">
        <is>
          <t>E00566</t>
        </is>
      </c>
      <c r="B2518" s="5" t="inlineStr">
        <is>
          <t>Male</t>
        </is>
      </c>
      <c r="C2518" s="6" t="inlineStr">
        <is>
          <t>36</t>
        </is>
      </c>
      <c r="D2518" s="5" t="inlineStr">
        <is>
          <t>Divorced</t>
        </is>
      </c>
      <c r="E2518" s="5" t="inlineStr">
        <is>
          <t>Diploma</t>
        </is>
      </c>
      <c r="F2518" s="5" t="inlineStr">
        <is>
          <t>Operations</t>
        </is>
      </c>
      <c r="G2518" s="5" t="inlineStr">
        <is>
          <t>Logistics Coordinator</t>
        </is>
      </c>
      <c r="H2518" s="5" t="inlineStr">
        <is>
          <t>3</t>
        </is>
      </c>
      <c r="I2518" s="5" t="inlineStr">
        <is>
          <t>Remote</t>
        </is>
      </c>
      <c r="J2518" s="5" t="inlineStr">
        <is>
          <t>Full-Time</t>
        </is>
      </c>
      <c r="K2518" s="7" t="n">
        <v>45236</v>
      </c>
      <c r="L2518" s="7" t="inlineStr"/>
      <c r="M2518" s="5" t="inlineStr">
        <is>
          <t>Yes</t>
        </is>
      </c>
      <c r="N2518" s="5" t="inlineStr"/>
      <c r="O2518" s="8" t="inlineStr">
        <is>
          <t>100000</t>
        </is>
      </c>
      <c r="P2518" s="5" t="inlineStr">
        <is>
          <t>10</t>
        </is>
      </c>
      <c r="Q2518" s="5" t="inlineStr">
        <is>
          <t>4</t>
        </is>
      </c>
      <c r="R2518" s="5" t="inlineStr">
        <is>
          <t>8</t>
        </is>
      </c>
      <c r="S2518" s="5" t="inlineStr">
        <is>
          <t>26</t>
        </is>
      </c>
      <c r="T2518" s="5" t="inlineStr">
        <is>
          <t>6</t>
        </is>
      </c>
      <c r="U2518" s="5" t="inlineStr">
        <is>
          <t>OK</t>
        </is>
      </c>
    </row>
    <row r="2519">
      <c r="A2519" s="5" t="inlineStr">
        <is>
          <t>E01558</t>
        </is>
      </c>
      <c r="B2519" s="5" t="inlineStr">
        <is>
          <t>Male</t>
        </is>
      </c>
      <c r="C2519" s="6" t="inlineStr">
        <is>
          <t>26</t>
        </is>
      </c>
      <c r="D2519" s="5" t="inlineStr">
        <is>
          <t>Married</t>
        </is>
      </c>
      <c r="E2519" s="5" t="inlineStr">
        <is>
          <t>Bachelor</t>
        </is>
      </c>
      <c r="F2519" s="5" t="inlineStr">
        <is>
          <t>Customer Support</t>
        </is>
      </c>
      <c r="G2519" s="5" t="inlineStr">
        <is>
          <t>Escalation Specialist</t>
        </is>
      </c>
      <c r="H2519" s="5" t="inlineStr">
        <is>
          <t>1</t>
        </is>
      </c>
      <c r="I2519" s="5" t="inlineStr">
        <is>
          <t>Remote</t>
        </is>
      </c>
      <c r="J2519" s="5" t="inlineStr">
        <is>
          <t>Full-Time</t>
        </is>
      </c>
      <c r="K2519" s="7" t="n">
        <v>45048</v>
      </c>
      <c r="L2519" s="7" t="inlineStr"/>
      <c r="M2519" s="5" t="inlineStr">
        <is>
          <t>Yes</t>
        </is>
      </c>
      <c r="N2519" s="5" t="inlineStr"/>
      <c r="O2519" s="8" t="inlineStr">
        <is>
          <t>58500</t>
        </is>
      </c>
      <c r="P2519" s="5" t="inlineStr">
        <is>
          <t>0</t>
        </is>
      </c>
      <c r="Q2519" s="5" t="inlineStr">
        <is>
          <t>2</t>
        </is>
      </c>
      <c r="R2519" s="5" t="inlineStr">
        <is>
          <t>5</t>
        </is>
      </c>
      <c r="S2519" s="5" t="inlineStr">
        <is>
          <t>32</t>
        </is>
      </c>
      <c r="T2519" s="5" t="inlineStr">
        <is>
          <t>8</t>
        </is>
      </c>
      <c r="U2519" s="5" t="inlineStr">
        <is>
          <t>OK</t>
        </is>
      </c>
    </row>
    <row r="2520">
      <c r="A2520" s="5" t="inlineStr">
        <is>
          <t>E02689</t>
        </is>
      </c>
      <c r="B2520" s="5" t="inlineStr">
        <is>
          <t>Female</t>
        </is>
      </c>
      <c r="C2520" s="6" t="inlineStr">
        <is>
          <t>30</t>
        </is>
      </c>
      <c r="D2520" s="5" t="inlineStr">
        <is>
          <t>Married</t>
        </is>
      </c>
      <c r="E2520" s="5" t="inlineStr">
        <is>
          <t>High School</t>
        </is>
      </c>
      <c r="F2520" s="5" t="inlineStr">
        <is>
          <t>Executive</t>
        </is>
      </c>
      <c r="G2520" s="5" t="inlineStr">
        <is>
          <t>CEO</t>
        </is>
      </c>
      <c r="H2520" s="5" t="inlineStr">
        <is>
          <t>1</t>
        </is>
      </c>
      <c r="I2520" s="5" t="inlineStr">
        <is>
          <t>Hyderabad</t>
        </is>
      </c>
      <c r="J2520" s="5" t="inlineStr">
        <is>
          <t>Full-Time</t>
        </is>
      </c>
      <c r="K2520" s="7" t="n">
        <v>45511</v>
      </c>
      <c r="L2520" s="7" t="n">
        <v>45640</v>
      </c>
      <c r="M2520" s="5" t="inlineStr">
        <is>
          <t>No</t>
        </is>
      </c>
      <c r="N2520" s="5" t="inlineStr">
        <is>
          <t>Resigned</t>
        </is>
      </c>
      <c r="O2520" s="8" t="inlineStr">
        <is>
          <t>262000</t>
        </is>
      </c>
      <c r="P2520" s="5" t="inlineStr">
        <is>
          <t>10</t>
        </is>
      </c>
      <c r="Q2520" s="5" t="inlineStr">
        <is>
          <t>2</t>
        </is>
      </c>
      <c r="R2520" s="5" t="inlineStr">
        <is>
          <t>7</t>
        </is>
      </c>
      <c r="S2520" s="5" t="inlineStr">
        <is>
          <t>4</t>
        </is>
      </c>
      <c r="T2520" s="5" t="inlineStr">
        <is>
          <t>0</t>
        </is>
      </c>
      <c r="U2520" s="5" t="inlineStr">
        <is>
          <t>OK</t>
        </is>
      </c>
    </row>
    <row r="2521">
      <c r="A2521" s="5" t="inlineStr">
        <is>
          <t>E02247</t>
        </is>
      </c>
      <c r="B2521" s="5" t="inlineStr">
        <is>
          <t>Female</t>
        </is>
      </c>
      <c r="C2521" s="6" t="inlineStr">
        <is>
          <t>34</t>
        </is>
      </c>
      <c r="D2521" s="5" t="inlineStr">
        <is>
          <t>Married</t>
        </is>
      </c>
      <c r="E2521" s="5" t="inlineStr">
        <is>
          <t>Master</t>
        </is>
      </c>
      <c r="F2521" s="5" t="inlineStr">
        <is>
          <t>Operations</t>
        </is>
      </c>
      <c r="G2521" s="5" t="inlineStr">
        <is>
          <t>Operations Analyst</t>
        </is>
      </c>
      <c r="H2521" s="5" t="inlineStr">
        <is>
          <t>1</t>
        </is>
      </c>
      <c r="I2521" s="5" t="inlineStr">
        <is>
          <t>Bengaluru</t>
        </is>
      </c>
      <c r="J2521" s="5" t="inlineStr">
        <is>
          <t>Full-Time</t>
        </is>
      </c>
      <c r="K2521" s="7" t="n">
        <v>44546</v>
      </c>
      <c r="L2521" s="7" t="inlineStr"/>
      <c r="M2521" s="5" t="inlineStr">
        <is>
          <t>Yes</t>
        </is>
      </c>
      <c r="N2521" s="5" t="inlineStr"/>
      <c r="O2521" s="8" t="inlineStr">
        <is>
          <t>61500</t>
        </is>
      </c>
      <c r="P2521" s="5" t="inlineStr">
        <is>
          <t>5</t>
        </is>
      </c>
      <c r="Q2521" s="5" t="inlineStr">
        <is>
          <t>4</t>
        </is>
      </c>
      <c r="R2521" s="5" t="inlineStr">
        <is>
          <t>6</t>
        </is>
      </c>
      <c r="S2521" s="5" t="inlineStr">
        <is>
          <t>49</t>
        </is>
      </c>
      <c r="T2521" s="5" t="inlineStr">
        <is>
          <t>0</t>
        </is>
      </c>
      <c r="U2521" s="5" t="inlineStr">
        <is>
          <t>OK</t>
        </is>
      </c>
    </row>
    <row r="2522">
      <c r="A2522" s="5" t="inlineStr">
        <is>
          <t>E01318</t>
        </is>
      </c>
      <c r="B2522" s="5" t="inlineStr">
        <is>
          <t>Female</t>
        </is>
      </c>
      <c r="C2522" s="6" t="inlineStr">
        <is>
          <t>29</t>
        </is>
      </c>
      <c r="D2522" s="5" t="inlineStr">
        <is>
          <t>Single</t>
        </is>
      </c>
      <c r="E2522" s="5" t="inlineStr">
        <is>
          <t>Master</t>
        </is>
      </c>
      <c r="F2522" s="5" t="inlineStr">
        <is>
          <t>Operations</t>
        </is>
      </c>
      <c r="G2522" s="5" t="inlineStr">
        <is>
          <t>Logistics Coordinator</t>
        </is>
      </c>
      <c r="H2522" s="5" t="inlineStr">
        <is>
          <t>4</t>
        </is>
      </c>
      <c r="I2522" s="5" t="inlineStr">
        <is>
          <t>Delhi</t>
        </is>
      </c>
      <c r="J2522" s="5" t="inlineStr">
        <is>
          <t>Full-Time</t>
        </is>
      </c>
      <c r="K2522" s="7" t="n">
        <v>43833</v>
      </c>
      <c r="L2522" s="7" t="inlineStr"/>
      <c r="M2522" s="5" t="inlineStr">
        <is>
          <t>Yes</t>
        </is>
      </c>
      <c r="N2522" s="5" t="inlineStr"/>
      <c r="O2522" s="8" t="inlineStr">
        <is>
          <t>105500</t>
        </is>
      </c>
      <c r="P2522" s="5" t="inlineStr">
        <is>
          <t>0</t>
        </is>
      </c>
      <c r="Q2522" s="5" t="inlineStr">
        <is>
          <t>5</t>
        </is>
      </c>
      <c r="R2522" s="5" t="inlineStr">
        <is>
          <t>6</t>
        </is>
      </c>
      <c r="S2522" s="5" t="inlineStr">
        <is>
          <t>72</t>
        </is>
      </c>
      <c r="T2522" s="5" t="inlineStr">
        <is>
          <t>2</t>
        </is>
      </c>
      <c r="U2522" s="5" t="inlineStr">
        <is>
          <t>OK</t>
        </is>
      </c>
    </row>
    <row r="2523">
      <c r="A2523" s="5" t="inlineStr">
        <is>
          <t>E00419</t>
        </is>
      </c>
      <c r="B2523" s="5" t="inlineStr">
        <is>
          <t>Female</t>
        </is>
      </c>
      <c r="C2523" s="6" t="inlineStr">
        <is>
          <t>26</t>
        </is>
      </c>
      <c r="D2523" s="5" t="inlineStr">
        <is>
          <t>Married</t>
        </is>
      </c>
      <c r="E2523" s="5" t="inlineStr">
        <is>
          <t>PhD</t>
        </is>
      </c>
      <c r="F2523" s="5" t="inlineStr">
        <is>
          <t>Sales</t>
        </is>
      </c>
      <c r="G2523" s="5" t="inlineStr">
        <is>
          <t>Account Executive</t>
        </is>
      </c>
      <c r="H2523" s="5" t="inlineStr">
        <is>
          <t>2</t>
        </is>
      </c>
      <c r="I2523" s="5" t="inlineStr">
        <is>
          <t>Delhi</t>
        </is>
      </c>
      <c r="J2523" s="5" t="inlineStr">
        <is>
          <t>Full-Time</t>
        </is>
      </c>
      <c r="K2523" s="7" t="n">
        <v>43873</v>
      </c>
      <c r="L2523" s="7" t="inlineStr"/>
      <c r="M2523" s="5" t="inlineStr">
        <is>
          <t>Yes</t>
        </is>
      </c>
      <c r="N2523" s="5" t="inlineStr"/>
      <c r="O2523" s="8" t="inlineStr">
        <is>
          <t>101000</t>
        </is>
      </c>
      <c r="P2523" s="5" t="inlineStr">
        <is>
          <t>15</t>
        </is>
      </c>
      <c r="Q2523" s="5" t="inlineStr">
        <is>
          <t>3</t>
        </is>
      </c>
      <c r="R2523" s="5" t="inlineStr">
        <is>
          <t>5</t>
        </is>
      </c>
      <c r="S2523" s="5" t="inlineStr">
        <is>
          <t>71</t>
        </is>
      </c>
      <c r="T2523" s="5" t="inlineStr">
        <is>
          <t>11</t>
        </is>
      </c>
      <c r="U2523" s="5" t="inlineStr">
        <is>
          <t>OK</t>
        </is>
      </c>
    </row>
    <row r="2524">
      <c r="A2524" s="5" t="inlineStr">
        <is>
          <t>E00308</t>
        </is>
      </c>
      <c r="B2524" s="5" t="inlineStr">
        <is>
          <t>Male</t>
        </is>
      </c>
      <c r="C2524" s="6" t="inlineStr">
        <is>
          <t>44</t>
        </is>
      </c>
      <c r="D2524" s="5" t="inlineStr">
        <is>
          <t>Divorced</t>
        </is>
      </c>
      <c r="E2524" s="5" t="inlineStr">
        <is>
          <t>High School</t>
        </is>
      </c>
      <c r="F2524" s="5" t="inlineStr">
        <is>
          <t>Sales</t>
        </is>
      </c>
      <c r="G2524" s="5" t="inlineStr">
        <is>
          <t>Business Development</t>
        </is>
      </c>
      <c r="H2524" s="5" t="inlineStr">
        <is>
          <t>7</t>
        </is>
      </c>
      <c r="I2524" s="5" t="inlineStr">
        <is>
          <t>Hyderabad</t>
        </is>
      </c>
      <c r="J2524" s="5" t="inlineStr">
        <is>
          <t>Full-Time</t>
        </is>
      </c>
      <c r="K2524" s="7" t="n">
        <v>44759</v>
      </c>
      <c r="L2524" s="7" t="inlineStr"/>
      <c r="M2524" s="5" t="inlineStr">
        <is>
          <t>Yes</t>
        </is>
      </c>
      <c r="N2524" s="5" t="inlineStr"/>
      <c r="O2524" s="8" t="inlineStr">
        <is>
          <t>132500</t>
        </is>
      </c>
      <c r="P2524" s="5" t="inlineStr">
        <is>
          <t>0</t>
        </is>
      </c>
      <c r="Q2524" s="5" t="inlineStr">
        <is>
          <t>4</t>
        </is>
      </c>
      <c r="R2524" s="5" t="inlineStr">
        <is>
          <t>3</t>
        </is>
      </c>
      <c r="S2524" s="5" t="inlineStr">
        <is>
          <t>42</t>
        </is>
      </c>
      <c r="T2524" s="5" t="inlineStr">
        <is>
          <t>8</t>
        </is>
      </c>
      <c r="U2524" s="5" t="inlineStr">
        <is>
          <t>OK</t>
        </is>
      </c>
    </row>
    <row r="2525">
      <c r="A2525" s="5" t="inlineStr">
        <is>
          <t>E02000</t>
        </is>
      </c>
      <c r="B2525" s="5" t="inlineStr">
        <is>
          <t>Male</t>
        </is>
      </c>
      <c r="C2525" s="6" t="inlineStr">
        <is>
          <t>37</t>
        </is>
      </c>
      <c r="D2525" s="5" t="inlineStr">
        <is>
          <t>Single</t>
        </is>
      </c>
      <c r="E2525" s="5" t="inlineStr">
        <is>
          <t>Bachelor</t>
        </is>
      </c>
      <c r="F2525" s="5" t="inlineStr">
        <is>
          <t>Operations</t>
        </is>
      </c>
      <c r="G2525" s="5" t="inlineStr">
        <is>
          <t>Quality Analyst</t>
        </is>
      </c>
      <c r="H2525" s="5" t="inlineStr">
        <is>
          <t>6</t>
        </is>
      </c>
      <c r="I2525" s="5" t="inlineStr">
        <is>
          <t>Chennai</t>
        </is>
      </c>
      <c r="J2525" s="5" t="inlineStr">
        <is>
          <t>Full-Time</t>
        </is>
      </c>
      <c r="K2525" s="7" t="n">
        <v>44047</v>
      </c>
      <c r="L2525" s="7" t="inlineStr"/>
      <c r="M2525" s="5" t="inlineStr">
        <is>
          <t>Yes</t>
        </is>
      </c>
      <c r="N2525" s="5" t="inlineStr"/>
      <c r="O2525" s="8" t="inlineStr">
        <is>
          <t>113500</t>
        </is>
      </c>
      <c r="P2525" s="5" t="inlineStr">
        <is>
          <t>15</t>
        </is>
      </c>
      <c r="Q2525" s="5" t="inlineStr">
        <is>
          <t>3</t>
        </is>
      </c>
      <c r="R2525" s="5" t="inlineStr">
        <is>
          <t>8</t>
        </is>
      </c>
      <c r="S2525" s="5" t="inlineStr">
        <is>
          <t>65</t>
        </is>
      </c>
      <c r="T2525" s="5" t="inlineStr">
        <is>
          <t>0</t>
        </is>
      </c>
      <c r="U2525" s="5" t="inlineStr">
        <is>
          <t>OK</t>
        </is>
      </c>
    </row>
    <row r="2526">
      <c r="A2526" s="5" t="inlineStr">
        <is>
          <t>E01204</t>
        </is>
      </c>
      <c r="B2526" s="5" t="inlineStr">
        <is>
          <t>Female</t>
        </is>
      </c>
      <c r="C2526" s="6" t="inlineStr">
        <is>
          <t>31</t>
        </is>
      </c>
      <c r="D2526" s="5" t="inlineStr">
        <is>
          <t>Single</t>
        </is>
      </c>
      <c r="E2526" s="5" t="inlineStr">
        <is>
          <t>PhD</t>
        </is>
      </c>
      <c r="F2526" s="5" t="inlineStr">
        <is>
          <t>Marketing</t>
        </is>
      </c>
      <c r="G2526" s="5" t="inlineStr">
        <is>
          <t>SEO Specialist</t>
        </is>
      </c>
      <c r="H2526" s="5" t="inlineStr">
        <is>
          <t>1</t>
        </is>
      </c>
      <c r="I2526" s="5" t="inlineStr">
        <is>
          <t>Remote</t>
        </is>
      </c>
      <c r="J2526" s="5" t="inlineStr">
        <is>
          <t>Full-Time</t>
        </is>
      </c>
      <c r="K2526" s="7" t="n">
        <v>43990</v>
      </c>
      <c r="L2526" s="7" t="inlineStr"/>
      <c r="M2526" s="5" t="inlineStr">
        <is>
          <t>Yes</t>
        </is>
      </c>
      <c r="N2526" s="5" t="inlineStr"/>
      <c r="O2526" s="8" t="inlineStr">
        <is>
          <t>89000</t>
        </is>
      </c>
      <c r="P2526" s="5" t="inlineStr">
        <is>
          <t>0</t>
        </is>
      </c>
      <c r="Q2526" s="5" t="inlineStr">
        <is>
          <t>3</t>
        </is>
      </c>
      <c r="R2526" s="5" t="inlineStr">
        <is>
          <t>3</t>
        </is>
      </c>
      <c r="S2526" s="5" t="inlineStr">
        <is>
          <t>67</t>
        </is>
      </c>
      <c r="T2526" s="5" t="inlineStr">
        <is>
          <t>13</t>
        </is>
      </c>
      <c r="U2526" s="5" t="inlineStr">
        <is>
          <t>OK</t>
        </is>
      </c>
    </row>
    <row r="2527">
      <c r="A2527" s="5" t="inlineStr">
        <is>
          <t>E01079</t>
        </is>
      </c>
      <c r="B2527" s="5" t="inlineStr">
        <is>
          <t>Female</t>
        </is>
      </c>
      <c r="C2527" s="6" t="inlineStr">
        <is>
          <t>30</t>
        </is>
      </c>
      <c r="D2527" s="5" t="inlineStr">
        <is>
          <t>Divorced</t>
        </is>
      </c>
      <c r="E2527" s="5" t="inlineStr">
        <is>
          <t>Bachelor</t>
        </is>
      </c>
      <c r="F2527" s="5" t="inlineStr">
        <is>
          <t>Research &amp; Development</t>
        </is>
      </c>
      <c r="G2527" s="5" t="inlineStr">
        <is>
          <t>Research Scientist</t>
        </is>
      </c>
      <c r="H2527" s="5" t="inlineStr">
        <is>
          <t>1</t>
        </is>
      </c>
      <c r="I2527" s="5" t="inlineStr">
        <is>
          <t>Bengaluru</t>
        </is>
      </c>
      <c r="J2527" s="5" t="inlineStr">
        <is>
          <t>Full-Time</t>
        </is>
      </c>
      <c r="K2527" s="7" t="n">
        <v>44231</v>
      </c>
      <c r="L2527" s="7" t="n">
        <v>44291</v>
      </c>
      <c r="M2527" s="5" t="inlineStr">
        <is>
          <t>No</t>
        </is>
      </c>
      <c r="N2527" s="5" t="inlineStr">
        <is>
          <t>Relocation</t>
        </is>
      </c>
      <c r="O2527" s="8" t="inlineStr">
        <is>
          <t>116500</t>
        </is>
      </c>
      <c r="P2527" s="5" t="inlineStr">
        <is>
          <t>5</t>
        </is>
      </c>
      <c r="Q2527" s="5" t="inlineStr">
        <is>
          <t>4</t>
        </is>
      </c>
      <c r="R2527" s="5" t="inlineStr">
        <is>
          <t>4</t>
        </is>
      </c>
      <c r="S2527" s="5" t="inlineStr">
        <is>
          <t>2</t>
        </is>
      </c>
      <c r="T2527" s="5" t="inlineStr">
        <is>
          <t>4</t>
        </is>
      </c>
      <c r="U2527" s="5" t="inlineStr">
        <is>
          <t>OK</t>
        </is>
      </c>
    </row>
    <row r="2528">
      <c r="A2528" s="5" t="inlineStr">
        <is>
          <t>E00625</t>
        </is>
      </c>
      <c r="B2528" s="5" t="inlineStr">
        <is>
          <t>Female</t>
        </is>
      </c>
      <c r="C2528" s="6" t="inlineStr">
        <is>
          <t>40</t>
        </is>
      </c>
      <c r="D2528" s="5" t="inlineStr">
        <is>
          <t>Married</t>
        </is>
      </c>
      <c r="E2528" s="5" t="inlineStr">
        <is>
          <t>PhD</t>
        </is>
      </c>
      <c r="F2528" s="5" t="inlineStr">
        <is>
          <t>Finance</t>
        </is>
      </c>
      <c r="G2528" s="5" t="inlineStr">
        <is>
          <t>Credit Analyst</t>
        </is>
      </c>
      <c r="H2528" s="5" t="inlineStr">
        <is>
          <t>5</t>
        </is>
      </c>
      <c r="I2528" s="5" t="inlineStr">
        <is>
          <t>Mumbai</t>
        </is>
      </c>
      <c r="J2528" s="5" t="inlineStr">
        <is>
          <t>Full-Time</t>
        </is>
      </c>
      <c r="K2528" s="7" t="n">
        <v>45277</v>
      </c>
      <c r="L2528" s="7" t="inlineStr"/>
      <c r="M2528" s="5" t="inlineStr">
        <is>
          <t>Yes</t>
        </is>
      </c>
      <c r="N2528" s="5" t="inlineStr"/>
      <c r="O2528" s="8" t="inlineStr">
        <is>
          <t>129500</t>
        </is>
      </c>
      <c r="P2528" s="5" t="inlineStr">
        <is>
          <t>0</t>
        </is>
      </c>
      <c r="Q2528" s="5" t="inlineStr">
        <is>
          <t>2</t>
        </is>
      </c>
      <c r="R2528" s="5" t="inlineStr">
        <is>
          <t>6</t>
        </is>
      </c>
      <c r="S2528" s="5" t="inlineStr">
        <is>
          <t>24</t>
        </is>
      </c>
      <c r="T2528" s="5" t="inlineStr">
        <is>
          <t>0</t>
        </is>
      </c>
      <c r="U2528" s="5" t="inlineStr">
        <is>
          <t>OK</t>
        </is>
      </c>
    </row>
    <row r="2529">
      <c r="A2529" s="5" t="inlineStr">
        <is>
          <t>E02800</t>
        </is>
      </c>
      <c r="B2529" s="5" t="inlineStr">
        <is>
          <t>Male</t>
        </is>
      </c>
      <c r="C2529" s="6" t="inlineStr">
        <is>
          <t>34</t>
        </is>
      </c>
      <c r="D2529" s="5" t="inlineStr">
        <is>
          <t>Divorced</t>
        </is>
      </c>
      <c r="E2529" s="5" t="inlineStr">
        <is>
          <t>Diploma</t>
        </is>
      </c>
      <c r="F2529" s="5" t="inlineStr">
        <is>
          <t>Sales</t>
        </is>
      </c>
      <c r="G2529" s="5" t="inlineStr">
        <is>
          <t>Account Executive</t>
        </is>
      </c>
      <c r="H2529" s="5" t="inlineStr">
        <is>
          <t>2</t>
        </is>
      </c>
      <c r="I2529" s="5" t="inlineStr">
        <is>
          <t>Delhi</t>
        </is>
      </c>
      <c r="J2529" s="5" t="inlineStr">
        <is>
          <t>Full-Time</t>
        </is>
      </c>
      <c r="K2529" s="7" t="n">
        <v>45512</v>
      </c>
      <c r="L2529" s="7" t="inlineStr"/>
      <c r="M2529" s="5" t="inlineStr">
        <is>
          <t>Yes</t>
        </is>
      </c>
      <c r="N2529" s="5" t="inlineStr"/>
      <c r="O2529" s="8" t="inlineStr">
        <is>
          <t>109500</t>
        </is>
      </c>
      <c r="P2529" s="5" t="inlineStr">
        <is>
          <t>5</t>
        </is>
      </c>
      <c r="Q2529" s="5" t="inlineStr">
        <is>
          <t>4</t>
        </is>
      </c>
      <c r="R2529" s="5" t="inlineStr">
        <is>
          <t>7</t>
        </is>
      </c>
      <c r="S2529" s="5" t="inlineStr">
        <is>
          <t>17</t>
        </is>
      </c>
      <c r="T2529" s="5" t="inlineStr">
        <is>
          <t>6</t>
        </is>
      </c>
      <c r="U2529" s="5" t="inlineStr">
        <is>
          <t>OK</t>
        </is>
      </c>
    </row>
    <row r="2530">
      <c r="A2530" s="5" t="inlineStr">
        <is>
          <t>E01827</t>
        </is>
      </c>
      <c r="B2530" s="5" t="inlineStr">
        <is>
          <t>Male</t>
        </is>
      </c>
      <c r="C2530" s="6" t="inlineStr">
        <is>
          <t>30</t>
        </is>
      </c>
      <c r="D2530" s="5" t="inlineStr">
        <is>
          <t>Single</t>
        </is>
      </c>
      <c r="E2530" s="5" t="inlineStr">
        <is>
          <t>Bachelor</t>
        </is>
      </c>
      <c r="F2530" s="5" t="inlineStr">
        <is>
          <t>Customer Support</t>
        </is>
      </c>
      <c r="G2530" s="5" t="inlineStr">
        <is>
          <t>Support Lead</t>
        </is>
      </c>
      <c r="H2530" s="5" t="inlineStr">
        <is>
          <t>2</t>
        </is>
      </c>
      <c r="I2530" s="5" t="inlineStr">
        <is>
          <t>Delhi</t>
        </is>
      </c>
      <c r="J2530" s="5" t="inlineStr">
        <is>
          <t>Full-Time</t>
        </is>
      </c>
      <c r="K2530" s="7" t="n">
        <v>45038</v>
      </c>
      <c r="L2530" s="7" t="inlineStr"/>
      <c r="M2530" s="5" t="inlineStr">
        <is>
          <t>Yes</t>
        </is>
      </c>
      <c r="N2530" s="5" t="inlineStr"/>
      <c r="O2530" s="8" t="inlineStr">
        <is>
          <t>58000</t>
        </is>
      </c>
      <c r="P2530" s="5" t="inlineStr">
        <is>
          <t>10</t>
        </is>
      </c>
      <c r="Q2530" s="5" t="inlineStr">
        <is>
          <t>3</t>
        </is>
      </c>
      <c r="R2530" s="5" t="inlineStr">
        <is>
          <t>8</t>
        </is>
      </c>
      <c r="S2530" s="5" t="inlineStr">
        <is>
          <t>32</t>
        </is>
      </c>
      <c r="T2530" s="5" t="inlineStr">
        <is>
          <t>8</t>
        </is>
      </c>
      <c r="U2530" s="5" t="inlineStr">
        <is>
          <t>OK</t>
        </is>
      </c>
    </row>
    <row r="2531">
      <c r="A2531" s="5" t="inlineStr">
        <is>
          <t>E00563</t>
        </is>
      </c>
      <c r="B2531" s="5" t="inlineStr">
        <is>
          <t>Female</t>
        </is>
      </c>
      <c r="C2531" s="6" t="inlineStr">
        <is>
          <t>40</t>
        </is>
      </c>
      <c r="D2531" s="5" t="inlineStr">
        <is>
          <t>Married</t>
        </is>
      </c>
      <c r="E2531" s="5" t="inlineStr">
        <is>
          <t>Master</t>
        </is>
      </c>
      <c r="F2531" s="5" t="inlineStr">
        <is>
          <t>IT</t>
        </is>
      </c>
      <c r="G2531" s="5" t="inlineStr">
        <is>
          <t>Data Analyst</t>
        </is>
      </c>
      <c r="H2531" s="5" t="inlineStr">
        <is>
          <t>6</t>
        </is>
      </c>
      <c r="I2531" s="5" t="inlineStr">
        <is>
          <t>Hyderabad</t>
        </is>
      </c>
      <c r="J2531" s="5" t="inlineStr">
        <is>
          <t>Part-Time</t>
        </is>
      </c>
      <c r="K2531" s="7" t="n">
        <v>45371</v>
      </c>
      <c r="L2531" s="7" t="inlineStr"/>
      <c r="M2531" s="5" t="inlineStr">
        <is>
          <t>Yes</t>
        </is>
      </c>
      <c r="N2531" s="5" t="inlineStr"/>
      <c r="O2531" s="8" t="inlineStr">
        <is>
          <t>144500</t>
        </is>
      </c>
      <c r="P2531" s="5" t="inlineStr">
        <is>
          <t>20</t>
        </is>
      </c>
      <c r="Q2531" s="5" t="inlineStr">
        <is>
          <t>4</t>
        </is>
      </c>
      <c r="R2531" s="5" t="inlineStr">
        <is>
          <t>2</t>
        </is>
      </c>
      <c r="S2531" s="5" t="inlineStr">
        <is>
          <t>21</t>
        </is>
      </c>
      <c r="T2531" s="5" t="inlineStr">
        <is>
          <t>0</t>
        </is>
      </c>
      <c r="U2531" s="5" t="inlineStr">
        <is>
          <t>OK</t>
        </is>
      </c>
    </row>
    <row r="2532">
      <c r="A2532" s="5" t="inlineStr">
        <is>
          <t>E00160</t>
        </is>
      </c>
      <c r="B2532" s="5" t="inlineStr">
        <is>
          <t>Male</t>
        </is>
      </c>
      <c r="C2532" s="6" t="inlineStr">
        <is>
          <t>30</t>
        </is>
      </c>
      <c r="D2532" s="5" t="inlineStr">
        <is>
          <t>Married</t>
        </is>
      </c>
      <c r="E2532" s="5" t="inlineStr">
        <is>
          <t>PhD</t>
        </is>
      </c>
      <c r="F2532" s="5" t="inlineStr">
        <is>
          <t>Customer Support</t>
        </is>
      </c>
      <c r="G2532" s="5" t="inlineStr">
        <is>
          <t>Support Lead</t>
        </is>
      </c>
      <c r="H2532" s="5" t="inlineStr">
        <is>
          <t>2</t>
        </is>
      </c>
      <c r="I2532" s="5" t="inlineStr">
        <is>
          <t>Bengaluru</t>
        </is>
      </c>
      <c r="J2532" s="5" t="inlineStr">
        <is>
          <t>Full-Time</t>
        </is>
      </c>
      <c r="K2532" s="7" t="n">
        <v>44416</v>
      </c>
      <c r="L2532" s="7" t="n">
        <v>44531</v>
      </c>
      <c r="M2532" s="5" t="inlineStr">
        <is>
          <t>No</t>
        </is>
      </c>
      <c r="N2532" s="5" t="inlineStr">
        <is>
          <t>Layoff</t>
        </is>
      </c>
      <c r="O2532" s="8" t="inlineStr">
        <is>
          <t>57000</t>
        </is>
      </c>
      <c r="P2532" s="5" t="inlineStr">
        <is>
          <t>10</t>
        </is>
      </c>
      <c r="Q2532" s="5" t="inlineStr">
        <is>
          <t>3</t>
        </is>
      </c>
      <c r="R2532" s="5" t="inlineStr">
        <is>
          <t>8</t>
        </is>
      </c>
      <c r="S2532" s="5" t="inlineStr">
        <is>
          <t>3</t>
        </is>
      </c>
      <c r="T2532" s="5" t="inlineStr">
        <is>
          <t>0</t>
        </is>
      </c>
      <c r="U2532" s="5" t="inlineStr">
        <is>
          <t>OK</t>
        </is>
      </c>
    </row>
    <row r="2533">
      <c r="A2533" s="5" t="inlineStr">
        <is>
          <t>E02270</t>
        </is>
      </c>
      <c r="B2533" s="5" t="inlineStr">
        <is>
          <t>Male</t>
        </is>
      </c>
      <c r="C2533" s="6" t="inlineStr">
        <is>
          <t>37</t>
        </is>
      </c>
      <c r="D2533" s="5" t="inlineStr">
        <is>
          <t>Single</t>
        </is>
      </c>
      <c r="E2533" s="5" t="inlineStr">
        <is>
          <t>Diploma</t>
        </is>
      </c>
      <c r="F2533" s="5" t="inlineStr">
        <is>
          <t>IT</t>
        </is>
      </c>
      <c r="G2533" s="5" t="inlineStr">
        <is>
          <t>Software Engineer</t>
        </is>
      </c>
      <c r="H2533" s="5" t="inlineStr">
        <is>
          <t>3</t>
        </is>
      </c>
      <c r="I2533" s="5" t="inlineStr">
        <is>
          <t>Hyderabad</t>
        </is>
      </c>
      <c r="J2533" s="5" t="inlineStr">
        <is>
          <t>Full-Time</t>
        </is>
      </c>
      <c r="K2533" s="7" t="n">
        <v>45326</v>
      </c>
      <c r="L2533" s="7" t="inlineStr"/>
      <c r="M2533" s="5" t="inlineStr">
        <is>
          <t>Yes</t>
        </is>
      </c>
      <c r="N2533" s="5" t="inlineStr"/>
      <c r="O2533" s="8" t="inlineStr">
        <is>
          <t>126000</t>
        </is>
      </c>
      <c r="P2533" s="5" t="inlineStr">
        <is>
          <t>0</t>
        </is>
      </c>
      <c r="Q2533" s="5" t="inlineStr">
        <is>
          <t>5</t>
        </is>
      </c>
      <c r="R2533" s="5" t="inlineStr">
        <is>
          <t>5</t>
        </is>
      </c>
      <c r="S2533" s="5" t="inlineStr">
        <is>
          <t>23</t>
        </is>
      </c>
      <c r="T2533" s="5" t="inlineStr">
        <is>
          <t>0</t>
        </is>
      </c>
      <c r="U2533" s="5" t="inlineStr">
        <is>
          <t>OK</t>
        </is>
      </c>
    </row>
    <row r="2534">
      <c r="A2534" s="5" t="inlineStr">
        <is>
          <t>E02704</t>
        </is>
      </c>
      <c r="B2534" s="5" t="inlineStr">
        <is>
          <t>Female</t>
        </is>
      </c>
      <c r="C2534" s="6" t="inlineStr">
        <is>
          <t>33</t>
        </is>
      </c>
      <c r="D2534" s="5" t="inlineStr">
        <is>
          <t>Married</t>
        </is>
      </c>
      <c r="E2534" s="5" t="inlineStr">
        <is>
          <t>Bachelor</t>
        </is>
      </c>
      <c r="F2534" s="5" t="inlineStr">
        <is>
          <t>IT</t>
        </is>
      </c>
      <c r="G2534" s="5" t="inlineStr">
        <is>
          <t>Data Analyst</t>
        </is>
      </c>
      <c r="H2534" s="5" t="inlineStr">
        <is>
          <t>1</t>
        </is>
      </c>
      <c r="I2534" s="5" t="inlineStr">
        <is>
          <t>Bengaluru</t>
        </is>
      </c>
      <c r="J2534" s="5" t="inlineStr">
        <is>
          <t>Full-Time</t>
        </is>
      </c>
      <c r="K2534" s="7" t="n">
        <v>44398</v>
      </c>
      <c r="L2534" s="7" t="inlineStr"/>
      <c r="M2534" s="5" t="inlineStr">
        <is>
          <t>Yes</t>
        </is>
      </c>
      <c r="N2534" s="5" t="inlineStr"/>
      <c r="O2534" s="8" t="inlineStr">
        <is>
          <t>109500</t>
        </is>
      </c>
      <c r="P2534" s="5" t="inlineStr">
        <is>
          <t>10</t>
        </is>
      </c>
      <c r="Q2534" s="5" t="inlineStr">
        <is>
          <t>5</t>
        </is>
      </c>
      <c r="R2534" s="5" t="inlineStr">
        <is>
          <t>6</t>
        </is>
      </c>
      <c r="S2534" s="5" t="inlineStr">
        <is>
          <t>54</t>
        </is>
      </c>
      <c r="T2534" s="5" t="inlineStr">
        <is>
          <t>8</t>
        </is>
      </c>
      <c r="U2534" s="5" t="inlineStr">
        <is>
          <t>OK</t>
        </is>
      </c>
    </row>
    <row r="2535">
      <c r="A2535" s="5" t="inlineStr">
        <is>
          <t>E00178</t>
        </is>
      </c>
      <c r="B2535" s="5" t="inlineStr">
        <is>
          <t>Male</t>
        </is>
      </c>
      <c r="C2535" s="6" t="inlineStr">
        <is>
          <t>33</t>
        </is>
      </c>
      <c r="D2535" s="5" t="inlineStr">
        <is>
          <t>Married</t>
        </is>
      </c>
      <c r="E2535" s="5" t="inlineStr">
        <is>
          <t>PhD</t>
        </is>
      </c>
      <c r="F2535" s="5" t="inlineStr">
        <is>
          <t>Sales</t>
        </is>
      </c>
      <c r="G2535" s="5" t="inlineStr">
        <is>
          <t>Business Development</t>
        </is>
      </c>
      <c r="H2535" s="5" t="inlineStr">
        <is>
          <t>6</t>
        </is>
      </c>
      <c r="I2535" s="5" t="inlineStr">
        <is>
          <t>Hyderabad</t>
        </is>
      </c>
      <c r="J2535" s="5" t="inlineStr">
        <is>
          <t>Part-Time</t>
        </is>
      </c>
      <c r="K2535" s="7" t="n">
        <v>45103</v>
      </c>
      <c r="L2535" s="7" t="inlineStr"/>
      <c r="M2535" s="5" t="inlineStr">
        <is>
          <t>Yes</t>
        </is>
      </c>
      <c r="N2535" s="5" t="inlineStr"/>
      <c r="O2535" s="8" t="inlineStr">
        <is>
          <t>131500</t>
        </is>
      </c>
      <c r="P2535" s="5" t="inlineStr">
        <is>
          <t>0</t>
        </is>
      </c>
      <c r="Q2535" s="5" t="inlineStr">
        <is>
          <t>4</t>
        </is>
      </c>
      <c r="R2535" s="5" t="inlineStr">
        <is>
          <t>4</t>
        </is>
      </c>
      <c r="S2535" s="5" t="inlineStr">
        <is>
          <t>30</t>
        </is>
      </c>
      <c r="T2535" s="5" t="inlineStr">
        <is>
          <t>4</t>
        </is>
      </c>
      <c r="U2535" s="5" t="inlineStr">
        <is>
          <t>OK</t>
        </is>
      </c>
    </row>
    <row r="2536">
      <c r="A2536" s="5" t="inlineStr">
        <is>
          <t>E01533</t>
        </is>
      </c>
      <c r="B2536" s="5" t="inlineStr">
        <is>
          <t>Female</t>
        </is>
      </c>
      <c r="C2536" s="6" t="inlineStr">
        <is>
          <t>35</t>
        </is>
      </c>
      <c r="D2536" s="5" t="inlineStr">
        <is>
          <t>Married</t>
        </is>
      </c>
      <c r="E2536" s="5" t="inlineStr">
        <is>
          <t>Master</t>
        </is>
      </c>
      <c r="F2536" s="5" t="inlineStr">
        <is>
          <t>Operations</t>
        </is>
      </c>
      <c r="G2536" s="5" t="inlineStr">
        <is>
          <t>Quality Analyst</t>
        </is>
      </c>
      <c r="H2536" s="5" t="inlineStr">
        <is>
          <t>4</t>
        </is>
      </c>
      <c r="I2536" s="5" t="inlineStr">
        <is>
          <t>Hyderabad</t>
        </is>
      </c>
      <c r="J2536" s="5" t="inlineStr">
        <is>
          <t>Full-Time</t>
        </is>
      </c>
      <c r="K2536" s="7" t="n">
        <v>45369</v>
      </c>
      <c r="L2536" s="7" t="inlineStr"/>
      <c r="M2536" s="5" t="inlineStr">
        <is>
          <t>Yes</t>
        </is>
      </c>
      <c r="N2536" s="5" t="inlineStr"/>
      <c r="O2536" s="8" t="inlineStr">
        <is>
          <t>130000</t>
        </is>
      </c>
      <c r="P2536" s="5" t="inlineStr">
        <is>
          <t>15</t>
        </is>
      </c>
      <c r="Q2536" s="5" t="inlineStr">
        <is>
          <t>4</t>
        </is>
      </c>
      <c r="R2536" s="5" t="inlineStr">
        <is>
          <t>7</t>
        </is>
      </c>
      <c r="S2536" s="5" t="inlineStr">
        <is>
          <t>21</t>
        </is>
      </c>
      <c r="T2536" s="5" t="inlineStr">
        <is>
          <t>2</t>
        </is>
      </c>
      <c r="U2536" s="5" t="inlineStr">
        <is>
          <t>OK</t>
        </is>
      </c>
    </row>
    <row r="2537">
      <c r="A2537" s="5" t="inlineStr">
        <is>
          <t>E02968</t>
        </is>
      </c>
      <c r="B2537" s="5" t="inlineStr">
        <is>
          <t>Male</t>
        </is>
      </c>
      <c r="C2537" s="6" t="inlineStr">
        <is>
          <t>31</t>
        </is>
      </c>
      <c r="D2537" s="5" t="inlineStr">
        <is>
          <t>Single</t>
        </is>
      </c>
      <c r="E2537" s="5" t="inlineStr">
        <is>
          <t>Bachelor</t>
        </is>
      </c>
      <c r="F2537" s="5" t="inlineStr">
        <is>
          <t>Operations</t>
        </is>
      </c>
      <c r="G2537" s="5" t="inlineStr">
        <is>
          <t>Quality Analyst</t>
        </is>
      </c>
      <c r="H2537" s="5" t="inlineStr">
        <is>
          <t>5</t>
        </is>
      </c>
      <c r="I2537" s="5" t="inlineStr">
        <is>
          <t>Bengaluru</t>
        </is>
      </c>
      <c r="J2537" s="5" t="inlineStr">
        <is>
          <t>Full-Time</t>
        </is>
      </c>
      <c r="K2537" s="7" t="n">
        <v>44101</v>
      </c>
      <c r="L2537" s="7" t="inlineStr"/>
      <c r="M2537" s="5" t="inlineStr">
        <is>
          <t>Yes</t>
        </is>
      </c>
      <c r="N2537" s="5" t="inlineStr"/>
      <c r="O2537" s="8" t="inlineStr">
        <is>
          <t>103500</t>
        </is>
      </c>
      <c r="P2537" s="5" t="inlineStr">
        <is>
          <t>0</t>
        </is>
      </c>
      <c r="Q2537" s="5" t="inlineStr">
        <is>
          <t>3</t>
        </is>
      </c>
      <c r="R2537" s="5" t="inlineStr">
        <is>
          <t>7</t>
        </is>
      </c>
      <c r="S2537" s="5" t="inlineStr">
        <is>
          <t>64</t>
        </is>
      </c>
      <c r="T2537" s="5" t="inlineStr">
        <is>
          <t>4</t>
        </is>
      </c>
      <c r="U2537" s="5" t="inlineStr">
        <is>
          <t>OK</t>
        </is>
      </c>
    </row>
    <row r="2538">
      <c r="A2538" s="5" t="inlineStr">
        <is>
          <t>E02908</t>
        </is>
      </c>
      <c r="B2538" s="5" t="inlineStr">
        <is>
          <t>Female</t>
        </is>
      </c>
      <c r="C2538" s="6" t="inlineStr">
        <is>
          <t>35</t>
        </is>
      </c>
      <c r="D2538" s="5" t="inlineStr">
        <is>
          <t>Single</t>
        </is>
      </c>
      <c r="E2538" s="5" t="inlineStr">
        <is>
          <t>Master</t>
        </is>
      </c>
      <c r="F2538" s="5" t="inlineStr">
        <is>
          <t>Operations</t>
        </is>
      </c>
      <c r="G2538" s="5" t="inlineStr">
        <is>
          <t>Operations Analyst</t>
        </is>
      </c>
      <c r="H2538" s="5" t="inlineStr">
        <is>
          <t>5</t>
        </is>
      </c>
      <c r="I2538" s="5" t="inlineStr">
        <is>
          <t>Bengaluru</t>
        </is>
      </c>
      <c r="J2538" s="5" t="inlineStr">
        <is>
          <t>Full-Time</t>
        </is>
      </c>
      <c r="K2538" s="7" t="n">
        <v>45833</v>
      </c>
      <c r="L2538" s="7" t="inlineStr"/>
      <c r="M2538" s="5" t="inlineStr">
        <is>
          <t>Yes</t>
        </is>
      </c>
      <c r="N2538" s="5" t="inlineStr"/>
      <c r="O2538" s="8" t="inlineStr">
        <is>
          <t>104000</t>
        </is>
      </c>
      <c r="P2538" s="5" t="inlineStr">
        <is>
          <t>20</t>
        </is>
      </c>
      <c r="Q2538" s="5" t="inlineStr">
        <is>
          <t>3</t>
        </is>
      </c>
      <c r="R2538" s="5" t="inlineStr">
        <is>
          <t>8</t>
        </is>
      </c>
      <c r="S2538" s="5" t="inlineStr">
        <is>
          <t>6</t>
        </is>
      </c>
      <c r="T2538" s="5" t="inlineStr">
        <is>
          <t>0</t>
        </is>
      </c>
      <c r="U2538" s="5" t="inlineStr">
        <is>
          <t>OK</t>
        </is>
      </c>
    </row>
    <row r="2539">
      <c r="A2539" s="5" t="inlineStr">
        <is>
          <t>E00342</t>
        </is>
      </c>
      <c r="B2539" s="5" t="inlineStr">
        <is>
          <t>Female</t>
        </is>
      </c>
      <c r="C2539" s="6" t="inlineStr">
        <is>
          <t>40</t>
        </is>
      </c>
      <c r="D2539" s="5" t="inlineStr">
        <is>
          <t>Married</t>
        </is>
      </c>
      <c r="E2539" s="5" t="inlineStr">
        <is>
          <t>Bachelor</t>
        </is>
      </c>
      <c r="F2539" s="5" t="inlineStr">
        <is>
          <t>Sales</t>
        </is>
      </c>
      <c r="G2539" s="5" t="inlineStr">
        <is>
          <t>Sales Executive</t>
        </is>
      </c>
      <c r="H2539" s="5" t="inlineStr">
        <is>
          <t>4</t>
        </is>
      </c>
      <c r="I2539" s="5" t="inlineStr">
        <is>
          <t>Delhi</t>
        </is>
      </c>
      <c r="J2539" s="5" t="inlineStr">
        <is>
          <t>Full-Time</t>
        </is>
      </c>
      <c r="K2539" s="7" t="n">
        <v>45580</v>
      </c>
      <c r="L2539" s="7" t="inlineStr"/>
      <c r="M2539" s="5" t="inlineStr">
        <is>
          <t>Yes</t>
        </is>
      </c>
      <c r="N2539" s="5" t="inlineStr"/>
      <c r="O2539" s="8" t="inlineStr">
        <is>
          <t>141000</t>
        </is>
      </c>
      <c r="P2539" s="5" t="inlineStr">
        <is>
          <t>5</t>
        </is>
      </c>
      <c r="Q2539" s="5" t="inlineStr">
        <is>
          <t>3</t>
        </is>
      </c>
      <c r="R2539" s="5" t="inlineStr">
        <is>
          <t>6</t>
        </is>
      </c>
      <c r="S2539" s="5" t="inlineStr">
        <is>
          <t>14</t>
        </is>
      </c>
      <c r="T2539" s="5" t="inlineStr">
        <is>
          <t>4</t>
        </is>
      </c>
      <c r="U2539" s="5" t="inlineStr">
        <is>
          <t>OK</t>
        </is>
      </c>
    </row>
    <row r="2540">
      <c r="A2540" s="5" t="inlineStr">
        <is>
          <t>E00015</t>
        </is>
      </c>
      <c r="B2540" s="5" t="inlineStr">
        <is>
          <t>Female</t>
        </is>
      </c>
      <c r="C2540" s="6" t="inlineStr">
        <is>
          <t>25</t>
        </is>
      </c>
      <c r="D2540" s="5" t="inlineStr">
        <is>
          <t>Married</t>
        </is>
      </c>
      <c r="E2540" s="5" t="inlineStr">
        <is>
          <t>Master</t>
        </is>
      </c>
      <c r="F2540" s="5" t="inlineStr">
        <is>
          <t>Customer Support</t>
        </is>
      </c>
      <c r="G2540" s="5" t="inlineStr">
        <is>
          <t>Support Agent</t>
        </is>
      </c>
      <c r="H2540" s="5" t="inlineStr">
        <is>
          <t>1</t>
        </is>
      </c>
      <c r="I2540" s="5" t="inlineStr">
        <is>
          <t>Bengaluru</t>
        </is>
      </c>
      <c r="J2540" s="5" t="inlineStr">
        <is>
          <t>Part-Time</t>
        </is>
      </c>
      <c r="K2540" s="7" t="n">
        <v>45948</v>
      </c>
      <c r="L2540" s="7" t="n">
        <v>46021</v>
      </c>
      <c r="M2540" s="5" t="inlineStr">
        <is>
          <t>No</t>
        </is>
      </c>
      <c r="N2540" s="5" t="inlineStr">
        <is>
          <t>Resigned</t>
        </is>
      </c>
      <c r="O2540" s="8" t="inlineStr">
        <is>
          <t>51000</t>
        </is>
      </c>
      <c r="P2540" s="5" t="inlineStr">
        <is>
          <t>0</t>
        </is>
      </c>
      <c r="Q2540" s="5" t="inlineStr">
        <is>
          <t>3</t>
        </is>
      </c>
      <c r="R2540" s="5" t="inlineStr">
        <is>
          <t>4</t>
        </is>
      </c>
      <c r="S2540" s="5" t="inlineStr">
        <is>
          <t>2</t>
        </is>
      </c>
      <c r="T2540" s="5" t="inlineStr">
        <is>
          <t>8</t>
        </is>
      </c>
      <c r="U2540" s="5" t="inlineStr">
        <is>
          <t>OK</t>
        </is>
      </c>
    </row>
    <row r="2541">
      <c r="A2541" s="5" t="inlineStr">
        <is>
          <t>E01108</t>
        </is>
      </c>
      <c r="B2541" s="5" t="inlineStr">
        <is>
          <t>Male</t>
        </is>
      </c>
      <c r="C2541" s="6" t="inlineStr">
        <is>
          <t>34</t>
        </is>
      </c>
      <c r="D2541" s="5" t="inlineStr">
        <is>
          <t>Single</t>
        </is>
      </c>
      <c r="E2541" s="5" t="inlineStr">
        <is>
          <t>Diploma</t>
        </is>
      </c>
      <c r="F2541" s="5" t="inlineStr">
        <is>
          <t>Operations</t>
        </is>
      </c>
      <c r="G2541" s="5" t="inlineStr">
        <is>
          <t>Quality Analyst</t>
        </is>
      </c>
      <c r="H2541" s="5" t="inlineStr">
        <is>
          <t>4</t>
        </is>
      </c>
      <c r="I2541" s="5" t="inlineStr">
        <is>
          <t>Bengaluru</t>
        </is>
      </c>
      <c r="J2541" s="5" t="inlineStr">
        <is>
          <t>Full-Time</t>
        </is>
      </c>
      <c r="K2541" s="7" t="n">
        <v>44174</v>
      </c>
      <c r="L2541" s="7" t="n">
        <v>44293</v>
      </c>
      <c r="M2541" s="5" t="inlineStr">
        <is>
          <t>No</t>
        </is>
      </c>
      <c r="N2541" s="5" t="inlineStr">
        <is>
          <t>Resigned</t>
        </is>
      </c>
      <c r="O2541" s="8" t="inlineStr">
        <is>
          <t>88500</t>
        </is>
      </c>
      <c r="P2541" s="5" t="inlineStr">
        <is>
          <t>20</t>
        </is>
      </c>
      <c r="Q2541" s="5" t="inlineStr">
        <is>
          <t>5</t>
        </is>
      </c>
      <c r="R2541" s="5" t="inlineStr">
        <is>
          <t>6</t>
        </is>
      </c>
      <c r="S2541" s="5" t="inlineStr">
        <is>
          <t>3</t>
        </is>
      </c>
      <c r="T2541" s="5" t="inlineStr">
        <is>
          <t>8</t>
        </is>
      </c>
      <c r="U2541" s="5" t="inlineStr">
        <is>
          <t>OK</t>
        </is>
      </c>
    </row>
    <row r="2542">
      <c r="A2542" s="5" t="inlineStr">
        <is>
          <t>E02111</t>
        </is>
      </c>
      <c r="B2542" s="5" t="inlineStr">
        <is>
          <t>Female</t>
        </is>
      </c>
      <c r="C2542" s="6" t="inlineStr">
        <is>
          <t>30</t>
        </is>
      </c>
      <c r="D2542" s="5" t="inlineStr">
        <is>
          <t>Married</t>
        </is>
      </c>
      <c r="E2542" s="5" t="inlineStr">
        <is>
          <t>Bachelor</t>
        </is>
      </c>
      <c r="F2542" s="5" t="inlineStr">
        <is>
          <t>Finance</t>
        </is>
      </c>
      <c r="G2542" s="5" t="inlineStr">
        <is>
          <t>Credit Analyst</t>
        </is>
      </c>
      <c r="H2542" s="5" t="inlineStr">
        <is>
          <t>3</t>
        </is>
      </c>
      <c r="I2542" s="5" t="inlineStr">
        <is>
          <t>Bengaluru</t>
        </is>
      </c>
      <c r="J2542" s="5" t="inlineStr">
        <is>
          <t>Full-Time</t>
        </is>
      </c>
      <c r="K2542" s="7" t="n">
        <v>45628</v>
      </c>
      <c r="L2542" s="7" t="inlineStr"/>
      <c r="M2542" s="5" t="inlineStr">
        <is>
          <t>Yes</t>
        </is>
      </c>
      <c r="N2542" s="5" t="inlineStr"/>
      <c r="O2542" s="8" t="inlineStr">
        <is>
          <t>139000</t>
        </is>
      </c>
      <c r="P2542" s="5" t="inlineStr">
        <is>
          <t>5</t>
        </is>
      </c>
      <c r="Q2542" s="5" t="inlineStr">
        <is>
          <t>5</t>
        </is>
      </c>
      <c r="R2542" s="5" t="inlineStr">
        <is>
          <t>5</t>
        </is>
      </c>
      <c r="S2542" s="5" t="inlineStr">
        <is>
          <t>13</t>
        </is>
      </c>
      <c r="T2542" s="5" t="inlineStr">
        <is>
          <t>13</t>
        </is>
      </c>
      <c r="U2542" s="5" t="inlineStr">
        <is>
          <t>OK</t>
        </is>
      </c>
    </row>
    <row r="2543">
      <c r="A2543" s="5" t="inlineStr">
        <is>
          <t>E01247</t>
        </is>
      </c>
      <c r="B2543" s="5" t="inlineStr">
        <is>
          <t>Female</t>
        </is>
      </c>
      <c r="C2543" s="6" t="inlineStr">
        <is>
          <t>34</t>
        </is>
      </c>
      <c r="D2543" s="5" t="inlineStr">
        <is>
          <t>Married</t>
        </is>
      </c>
      <c r="E2543" s="5" t="inlineStr">
        <is>
          <t>Diploma</t>
        </is>
      </c>
      <c r="F2543" s="5" t="inlineStr">
        <is>
          <t>Human Resources</t>
        </is>
      </c>
      <c r="G2543" s="5" t="inlineStr">
        <is>
          <t>HR Generalist</t>
        </is>
      </c>
      <c r="H2543" s="5" t="inlineStr">
        <is>
          <t>2</t>
        </is>
      </c>
      <c r="I2543" s="5" t="inlineStr">
        <is>
          <t>Remote</t>
        </is>
      </c>
      <c r="J2543" s="5" t="inlineStr">
        <is>
          <t>Full-Time</t>
        </is>
      </c>
      <c r="K2543" s="7" t="n">
        <v>44974</v>
      </c>
      <c r="L2543" s="7" t="n">
        <v>45076</v>
      </c>
      <c r="M2543" s="5" t="inlineStr">
        <is>
          <t>No</t>
        </is>
      </c>
      <c r="N2543" s="5" t="inlineStr">
        <is>
          <t>Retirement</t>
        </is>
      </c>
      <c r="O2543" s="8" t="inlineStr">
        <is>
          <t>95500</t>
        </is>
      </c>
      <c r="P2543" s="5" t="inlineStr">
        <is>
          <t>0</t>
        </is>
      </c>
      <c r="Q2543" s="5" t="inlineStr">
        <is>
          <t>2</t>
        </is>
      </c>
      <c r="R2543" s="5" t="inlineStr">
        <is>
          <t>5</t>
        </is>
      </c>
      <c r="S2543" s="5" t="inlineStr">
        <is>
          <t>3</t>
        </is>
      </c>
      <c r="T2543" s="5" t="inlineStr">
        <is>
          <t>7</t>
        </is>
      </c>
      <c r="U2543" s="5" t="inlineStr">
        <is>
          <t>OK</t>
        </is>
      </c>
    </row>
    <row r="2544">
      <c r="A2544" s="5" t="inlineStr">
        <is>
          <t>E00328</t>
        </is>
      </c>
      <c r="B2544" s="5" t="inlineStr">
        <is>
          <t>Female</t>
        </is>
      </c>
      <c r="C2544" s="6" t="inlineStr">
        <is>
          <t>36</t>
        </is>
      </c>
      <c r="D2544" s="5" t="inlineStr">
        <is>
          <t>Married</t>
        </is>
      </c>
      <c r="E2544" s="5" t="inlineStr">
        <is>
          <t>Diploma</t>
        </is>
      </c>
      <c r="F2544" s="5" t="inlineStr">
        <is>
          <t>Sales</t>
        </is>
      </c>
      <c r="G2544" s="5" t="inlineStr">
        <is>
          <t>Sales Executive</t>
        </is>
      </c>
      <c r="H2544" s="5" t="inlineStr">
        <is>
          <t>5</t>
        </is>
      </c>
      <c r="I2544" s="5" t="inlineStr">
        <is>
          <t>Delhi</t>
        </is>
      </c>
      <c r="J2544" s="5" t="inlineStr">
        <is>
          <t>Full-Time</t>
        </is>
      </c>
      <c r="K2544" s="7" t="n">
        <v>45101</v>
      </c>
      <c r="L2544" s="7" t="inlineStr"/>
      <c r="M2544" s="5" t="inlineStr">
        <is>
          <t>Yes</t>
        </is>
      </c>
      <c r="N2544" s="5" t="inlineStr"/>
      <c r="O2544" s="8" t="inlineStr">
        <is>
          <t>147500</t>
        </is>
      </c>
      <c r="P2544" s="5" t="inlineStr">
        <is>
          <t>0</t>
        </is>
      </c>
      <c r="Q2544" s="5" t="inlineStr">
        <is>
          <t>3</t>
        </is>
      </c>
      <c r="R2544" s="5" t="inlineStr">
        <is>
          <t>7</t>
        </is>
      </c>
      <c r="S2544" s="5" t="inlineStr">
        <is>
          <t>30</t>
        </is>
      </c>
      <c r="T2544" s="5" t="inlineStr">
        <is>
          <t>0</t>
        </is>
      </c>
      <c r="U2544" s="5" t="inlineStr">
        <is>
          <t>OK</t>
        </is>
      </c>
    </row>
    <row r="2545">
      <c r="A2545" s="5" t="inlineStr">
        <is>
          <t>E00283</t>
        </is>
      </c>
      <c r="B2545" s="5" t="inlineStr">
        <is>
          <t>Female</t>
        </is>
      </c>
      <c r="C2545" s="6" t="inlineStr">
        <is>
          <t>27</t>
        </is>
      </c>
      <c r="D2545" s="5" t="inlineStr">
        <is>
          <t>Married</t>
        </is>
      </c>
      <c r="E2545" s="5" t="inlineStr">
        <is>
          <t>Diploma</t>
        </is>
      </c>
      <c r="F2545" s="5" t="inlineStr">
        <is>
          <t>Operations</t>
        </is>
      </c>
      <c r="G2545" s="5" t="inlineStr">
        <is>
          <t>Quality Analyst</t>
        </is>
      </c>
      <c r="H2545" s="5" t="inlineStr">
        <is>
          <t>2</t>
        </is>
      </c>
      <c r="I2545" s="5" t="inlineStr">
        <is>
          <t>Bengaluru</t>
        </is>
      </c>
      <c r="J2545" s="5" t="inlineStr">
        <is>
          <t>Full-Time</t>
        </is>
      </c>
      <c r="K2545" s="7" t="n">
        <v>44775</v>
      </c>
      <c r="L2545" s="7" t="inlineStr"/>
      <c r="M2545" s="5" t="inlineStr">
        <is>
          <t>Yes</t>
        </is>
      </c>
      <c r="N2545" s="5" t="inlineStr"/>
      <c r="O2545" s="8" t="inlineStr">
        <is>
          <t>72500</t>
        </is>
      </c>
      <c r="P2545" s="5" t="inlineStr">
        <is>
          <t>10</t>
        </is>
      </c>
      <c r="Q2545" s="5" t="inlineStr">
        <is>
          <t>5</t>
        </is>
      </c>
      <c r="R2545" s="5" t="inlineStr">
        <is>
          <t>5</t>
        </is>
      </c>
      <c r="S2545" s="5" t="inlineStr">
        <is>
          <t>41</t>
        </is>
      </c>
      <c r="T2545" s="5" t="inlineStr">
        <is>
          <t>5</t>
        </is>
      </c>
      <c r="U2545" s="5" t="inlineStr">
        <is>
          <t>OK</t>
        </is>
      </c>
    </row>
    <row r="2546">
      <c r="A2546" s="5" t="inlineStr">
        <is>
          <t>E01316</t>
        </is>
      </c>
      <c r="B2546" s="5" t="inlineStr">
        <is>
          <t>Female</t>
        </is>
      </c>
      <c r="C2546" s="6" t="inlineStr">
        <is>
          <t>30</t>
        </is>
      </c>
      <c r="D2546" s="5" t="inlineStr">
        <is>
          <t>Married</t>
        </is>
      </c>
      <c r="E2546" s="5" t="inlineStr">
        <is>
          <t>PhD</t>
        </is>
      </c>
      <c r="F2546" s="5" t="inlineStr">
        <is>
          <t>Research &amp; Development</t>
        </is>
      </c>
      <c r="G2546" s="5" t="inlineStr">
        <is>
          <t>Research Scientist</t>
        </is>
      </c>
      <c r="H2546" s="5" t="inlineStr">
        <is>
          <t>3</t>
        </is>
      </c>
      <c r="I2546" s="5" t="inlineStr">
        <is>
          <t>Remote</t>
        </is>
      </c>
      <c r="J2546" s="5" t="inlineStr">
        <is>
          <t>Full-Time</t>
        </is>
      </c>
      <c r="K2546" s="7" t="n">
        <v>44760</v>
      </c>
      <c r="L2546" s="7" t="inlineStr"/>
      <c r="M2546" s="5" t="inlineStr">
        <is>
          <t>Yes</t>
        </is>
      </c>
      <c r="N2546" s="5" t="inlineStr"/>
      <c r="O2546" s="8" t="inlineStr">
        <is>
          <t>154000</t>
        </is>
      </c>
      <c r="P2546" s="5" t="inlineStr">
        <is>
          <t>0</t>
        </is>
      </c>
      <c r="Q2546" s="5" t="inlineStr">
        <is>
          <t>2</t>
        </is>
      </c>
      <c r="R2546" s="5" t="inlineStr">
        <is>
          <t>6</t>
        </is>
      </c>
      <c r="S2546" s="5" t="inlineStr">
        <is>
          <t>42</t>
        </is>
      </c>
      <c r="T2546" s="5" t="inlineStr">
        <is>
          <t>8</t>
        </is>
      </c>
      <c r="U2546" s="5" t="inlineStr">
        <is>
          <t>OK</t>
        </is>
      </c>
    </row>
    <row r="2547">
      <c r="A2547" s="5" t="inlineStr">
        <is>
          <t>E01140</t>
        </is>
      </c>
      <c r="B2547" s="5" t="inlineStr">
        <is>
          <t>Female</t>
        </is>
      </c>
      <c r="C2547" s="6" t="inlineStr">
        <is>
          <t>32</t>
        </is>
      </c>
      <c r="D2547" s="5" t="inlineStr">
        <is>
          <t>Single</t>
        </is>
      </c>
      <c r="E2547" s="5" t="inlineStr">
        <is>
          <t>Master</t>
        </is>
      </c>
      <c r="F2547" s="5" t="inlineStr">
        <is>
          <t>Sales</t>
        </is>
      </c>
      <c r="G2547" s="5" t="inlineStr">
        <is>
          <t>Account Executive</t>
        </is>
      </c>
      <c r="H2547" s="5" t="inlineStr">
        <is>
          <t>3</t>
        </is>
      </c>
      <c r="I2547" s="5" t="inlineStr">
        <is>
          <t>Hyderabad</t>
        </is>
      </c>
      <c r="J2547" s="5" t="inlineStr">
        <is>
          <t>Full-Time</t>
        </is>
      </c>
      <c r="K2547" s="7" t="n">
        <v>45108</v>
      </c>
      <c r="L2547" s="7" t="n">
        <v>45179</v>
      </c>
      <c r="M2547" s="5" t="inlineStr">
        <is>
          <t>No</t>
        </is>
      </c>
      <c r="N2547" s="5" t="inlineStr">
        <is>
          <t>Retirement</t>
        </is>
      </c>
      <c r="O2547" s="8" t="inlineStr">
        <is>
          <t>116000</t>
        </is>
      </c>
      <c r="P2547" s="5" t="inlineStr">
        <is>
          <t>20</t>
        </is>
      </c>
      <c r="Q2547" s="5" t="inlineStr">
        <is>
          <t>3</t>
        </is>
      </c>
      <c r="R2547" s="5" t="inlineStr">
        <is>
          <t>8</t>
        </is>
      </c>
      <c r="S2547" s="5" t="inlineStr">
        <is>
          <t>2</t>
        </is>
      </c>
      <c r="T2547" s="5" t="inlineStr">
        <is>
          <t>0</t>
        </is>
      </c>
      <c r="U2547" s="5" t="inlineStr">
        <is>
          <t>OK</t>
        </is>
      </c>
    </row>
    <row r="2548">
      <c r="A2548" s="5" t="inlineStr">
        <is>
          <t>E00329</t>
        </is>
      </c>
      <c r="B2548" s="5" t="inlineStr">
        <is>
          <t>Female</t>
        </is>
      </c>
      <c r="C2548" s="6" t="inlineStr">
        <is>
          <t>34</t>
        </is>
      </c>
      <c r="D2548" s="5" t="inlineStr">
        <is>
          <t>Single</t>
        </is>
      </c>
      <c r="E2548" s="5" t="inlineStr">
        <is>
          <t>High School</t>
        </is>
      </c>
      <c r="F2548" s="5" t="inlineStr">
        <is>
          <t>Customer Support</t>
        </is>
      </c>
      <c r="G2548" s="5" t="inlineStr">
        <is>
          <t>Support Lead</t>
        </is>
      </c>
      <c r="H2548" s="5" t="inlineStr">
        <is>
          <t>4</t>
        </is>
      </c>
      <c r="I2548" s="5" t="inlineStr">
        <is>
          <t>Delhi</t>
        </is>
      </c>
      <c r="J2548" s="5" t="inlineStr">
        <is>
          <t>Part-Time</t>
        </is>
      </c>
      <c r="K2548" s="7" t="n">
        <v>44877</v>
      </c>
      <c r="L2548" s="7" t="inlineStr"/>
      <c r="M2548" s="5" t="inlineStr">
        <is>
          <t>Yes</t>
        </is>
      </c>
      <c r="N2548" s="5" t="inlineStr"/>
      <c r="O2548" s="8" t="inlineStr">
        <is>
          <t>93500</t>
        </is>
      </c>
      <c r="P2548" s="5" t="inlineStr">
        <is>
          <t>5</t>
        </is>
      </c>
      <c r="Q2548" s="5" t="inlineStr">
        <is>
          <t>3</t>
        </is>
      </c>
      <c r="R2548" s="5" t="inlineStr">
        <is>
          <t>6</t>
        </is>
      </c>
      <c r="S2548" s="5" t="inlineStr">
        <is>
          <t>38</t>
        </is>
      </c>
      <c r="T2548" s="5" t="inlineStr">
        <is>
          <t>13</t>
        </is>
      </c>
      <c r="U2548" s="5" t="inlineStr">
        <is>
          <t>OK</t>
        </is>
      </c>
    </row>
    <row r="2549">
      <c r="A2549" s="5" t="inlineStr">
        <is>
          <t>E01147</t>
        </is>
      </c>
      <c r="B2549" s="5" t="inlineStr">
        <is>
          <t>Male</t>
        </is>
      </c>
      <c r="C2549" s="6" t="inlineStr">
        <is>
          <t>26</t>
        </is>
      </c>
      <c r="D2549" s="5" t="inlineStr">
        <is>
          <t>Married</t>
        </is>
      </c>
      <c r="E2549" s="5" t="inlineStr">
        <is>
          <t>Bachelor</t>
        </is>
      </c>
      <c r="F2549" s="5" t="inlineStr">
        <is>
          <t>Finance</t>
        </is>
      </c>
      <c r="G2549" s="5" t="inlineStr">
        <is>
          <t>Accountant</t>
        </is>
      </c>
      <c r="H2549" s="5" t="inlineStr">
        <is>
          <t>2</t>
        </is>
      </c>
      <c r="I2549" s="5" t="inlineStr">
        <is>
          <t>Hyderabad</t>
        </is>
      </c>
      <c r="J2549" s="5" t="inlineStr">
        <is>
          <t>Contract</t>
        </is>
      </c>
      <c r="K2549" s="7" t="n">
        <v>44502</v>
      </c>
      <c r="L2549" s="7" t="n">
        <v>44574</v>
      </c>
      <c r="M2549" s="5" t="inlineStr">
        <is>
          <t>No</t>
        </is>
      </c>
      <c r="N2549" s="5" t="inlineStr">
        <is>
          <t>Resigned</t>
        </is>
      </c>
      <c r="O2549" s="8" t="inlineStr">
        <is>
          <t>128500</t>
        </is>
      </c>
      <c r="P2549" s="5" t="inlineStr">
        <is>
          <t>5</t>
        </is>
      </c>
      <c r="Q2549" s="5" t="inlineStr">
        <is>
          <t>3</t>
        </is>
      </c>
      <c r="R2549" s="5" t="inlineStr">
        <is>
          <t>4</t>
        </is>
      </c>
      <c r="S2549" s="5" t="inlineStr">
        <is>
          <t>2</t>
        </is>
      </c>
      <c r="T2549" s="5" t="inlineStr">
        <is>
          <t>2</t>
        </is>
      </c>
      <c r="U2549" s="5" t="inlineStr">
        <is>
          <t>OK</t>
        </is>
      </c>
    </row>
    <row r="2550">
      <c r="A2550" s="5" t="inlineStr">
        <is>
          <t>E01133</t>
        </is>
      </c>
      <c r="B2550" s="5" t="inlineStr">
        <is>
          <t>Male</t>
        </is>
      </c>
      <c r="C2550" s="6" t="inlineStr">
        <is>
          <t>35</t>
        </is>
      </c>
      <c r="D2550" s="5" t="inlineStr">
        <is>
          <t>Married</t>
        </is>
      </c>
      <c r="E2550" s="5" t="inlineStr">
        <is>
          <t>PhD</t>
        </is>
      </c>
      <c r="F2550" s="5" t="inlineStr">
        <is>
          <t>IT</t>
        </is>
      </c>
      <c r="G2550" s="5" t="inlineStr">
        <is>
          <t>Data Analyst</t>
        </is>
      </c>
      <c r="H2550" s="5" t="inlineStr">
        <is>
          <t>3</t>
        </is>
      </c>
      <c r="I2550" s="5" t="inlineStr">
        <is>
          <t>Delhi</t>
        </is>
      </c>
      <c r="J2550" s="5" t="inlineStr">
        <is>
          <t>Contract</t>
        </is>
      </c>
      <c r="K2550" s="7" t="n">
        <v>44817</v>
      </c>
      <c r="L2550" s="7" t="inlineStr"/>
      <c r="M2550" s="5" t="inlineStr">
        <is>
          <t>Yes</t>
        </is>
      </c>
      <c r="N2550" s="5" t="inlineStr"/>
      <c r="O2550" s="8" t="inlineStr">
        <is>
          <t>146000</t>
        </is>
      </c>
      <c r="P2550" s="5" t="inlineStr">
        <is>
          <t>0</t>
        </is>
      </c>
      <c r="Q2550" s="5" t="inlineStr">
        <is>
          <t>2</t>
        </is>
      </c>
      <c r="R2550" s="5" t="inlineStr">
        <is>
          <t>7</t>
        </is>
      </c>
      <c r="S2550" s="5" t="inlineStr">
        <is>
          <t>40</t>
        </is>
      </c>
      <c r="T2550" s="5" t="inlineStr">
        <is>
          <t>8</t>
        </is>
      </c>
      <c r="U2550" s="5" t="inlineStr">
        <is>
          <t>OK</t>
        </is>
      </c>
    </row>
    <row r="2551">
      <c r="A2551" s="5" t="inlineStr">
        <is>
          <t>E00577</t>
        </is>
      </c>
      <c r="B2551" s="5" t="inlineStr">
        <is>
          <t>Male</t>
        </is>
      </c>
      <c r="C2551" s="6" t="inlineStr">
        <is>
          <t>30</t>
        </is>
      </c>
      <c r="D2551" s="5" t="inlineStr">
        <is>
          <t>Married</t>
        </is>
      </c>
      <c r="E2551" s="5" t="inlineStr">
        <is>
          <t>Diploma</t>
        </is>
      </c>
      <c r="F2551" s="5" t="inlineStr">
        <is>
          <t>Marketing</t>
        </is>
      </c>
      <c r="G2551" s="5" t="inlineStr">
        <is>
          <t>Marketing Analyst</t>
        </is>
      </c>
      <c r="H2551" s="5" t="inlineStr">
        <is>
          <t>3</t>
        </is>
      </c>
      <c r="I2551" s="5" t="inlineStr">
        <is>
          <t>Remote</t>
        </is>
      </c>
      <c r="J2551" s="5" t="inlineStr">
        <is>
          <t>Full-Time</t>
        </is>
      </c>
      <c r="K2551" s="7" t="n">
        <v>44627</v>
      </c>
      <c r="L2551" s="7" t="inlineStr"/>
      <c r="M2551" s="5" t="inlineStr">
        <is>
          <t>Yes</t>
        </is>
      </c>
      <c r="N2551" s="5" t="inlineStr"/>
      <c r="O2551" s="8" t="inlineStr">
        <is>
          <t>93500</t>
        </is>
      </c>
      <c r="P2551" s="5" t="inlineStr">
        <is>
          <t>5</t>
        </is>
      </c>
      <c r="Q2551" s="5" t="inlineStr">
        <is>
          <t>4</t>
        </is>
      </c>
      <c r="R2551" s="5" t="inlineStr">
        <is>
          <t>6</t>
        </is>
      </c>
      <c r="S2551" s="5" t="inlineStr">
        <is>
          <t>46</t>
        </is>
      </c>
      <c r="T2551" s="5" t="inlineStr">
        <is>
          <t>9</t>
        </is>
      </c>
      <c r="U2551" s="5" t="inlineStr">
        <is>
          <t>OK</t>
        </is>
      </c>
    </row>
    <row r="2552">
      <c r="A2552" s="5" t="inlineStr">
        <is>
          <t>E00311</t>
        </is>
      </c>
      <c r="B2552" s="5" t="inlineStr">
        <is>
          <t>Unknown</t>
        </is>
      </c>
      <c r="C2552" s="6" t="inlineStr">
        <is>
          <t>34</t>
        </is>
      </c>
      <c r="D2552" s="5" t="inlineStr">
        <is>
          <t>Single</t>
        </is>
      </c>
      <c r="E2552" s="5" t="inlineStr">
        <is>
          <t>Bachelor</t>
        </is>
      </c>
      <c r="F2552" s="5" t="inlineStr">
        <is>
          <t>Operations</t>
        </is>
      </c>
      <c r="G2552" s="5" t="inlineStr">
        <is>
          <t>Operations Analyst</t>
        </is>
      </c>
      <c r="H2552" s="5" t="inlineStr">
        <is>
          <t>1</t>
        </is>
      </c>
      <c r="I2552" s="5" t="inlineStr">
        <is>
          <t>Hyderabad</t>
        </is>
      </c>
      <c r="J2552" s="5" t="inlineStr">
        <is>
          <t>Full-Time</t>
        </is>
      </c>
      <c r="K2552" s="7" t="n">
        <v>44827</v>
      </c>
      <c r="L2552" s="7" t="n">
        <v>44923</v>
      </c>
      <c r="M2552" s="5" t="inlineStr">
        <is>
          <t>No</t>
        </is>
      </c>
      <c r="N2552" s="5" t="inlineStr">
        <is>
          <t>Resigned</t>
        </is>
      </c>
      <c r="O2552" s="8" t="inlineStr">
        <is>
          <t>59000</t>
        </is>
      </c>
      <c r="P2552" s="5" t="inlineStr">
        <is>
          <t>20</t>
        </is>
      </c>
      <c r="Q2552" s="5" t="inlineStr">
        <is>
          <t>4</t>
        </is>
      </c>
      <c r="R2552" s="5" t="inlineStr">
        <is>
          <t>8</t>
        </is>
      </c>
      <c r="S2552" s="5" t="inlineStr">
        <is>
          <t>3</t>
        </is>
      </c>
      <c r="T2552" s="5" t="inlineStr">
        <is>
          <t>18</t>
        </is>
      </c>
      <c r="U2552" s="5" t="inlineStr">
        <is>
          <t>Bad gender</t>
        </is>
      </c>
    </row>
    <row r="2553">
      <c r="A2553" s="5" t="inlineStr">
        <is>
          <t>E00517</t>
        </is>
      </c>
      <c r="B2553" s="5" t="inlineStr">
        <is>
          <t>Male</t>
        </is>
      </c>
      <c r="C2553" s="6" t="inlineStr">
        <is>
          <t>29</t>
        </is>
      </c>
      <c r="D2553" s="5" t="inlineStr">
        <is>
          <t>Married</t>
        </is>
      </c>
      <c r="E2553" s="5" t="inlineStr">
        <is>
          <t>PhD</t>
        </is>
      </c>
      <c r="F2553" s="5" t="inlineStr">
        <is>
          <t>Customer Support</t>
        </is>
      </c>
      <c r="G2553" s="5" t="inlineStr">
        <is>
          <t>Support Lead</t>
        </is>
      </c>
      <c r="H2553" s="5" t="inlineStr">
        <is>
          <t>1</t>
        </is>
      </c>
      <c r="I2553" s="5" t="inlineStr">
        <is>
          <t>Hyderabad</t>
        </is>
      </c>
      <c r="J2553" s="5" t="inlineStr">
        <is>
          <t>Full-Time</t>
        </is>
      </c>
      <c r="K2553" s="7" t="n">
        <v>45289</v>
      </c>
      <c r="L2553" s="7" t="inlineStr"/>
      <c r="M2553" s="5" t="inlineStr">
        <is>
          <t>Yes</t>
        </is>
      </c>
      <c r="N2553" s="5" t="inlineStr"/>
      <c r="O2553" s="8" t="inlineStr">
        <is>
          <t>50500</t>
        </is>
      </c>
      <c r="P2553" s="5" t="inlineStr">
        <is>
          <t>0</t>
        </is>
      </c>
      <c r="Q2553" s="5" t="inlineStr">
        <is>
          <t>4</t>
        </is>
      </c>
      <c r="R2553" s="5" t="inlineStr">
        <is>
          <t>9</t>
        </is>
      </c>
      <c r="S2553" s="5" t="inlineStr">
        <is>
          <t>24</t>
        </is>
      </c>
      <c r="T2553" s="5" t="inlineStr">
        <is>
          <t>8</t>
        </is>
      </c>
      <c r="U2553" s="5" t="inlineStr">
        <is>
          <t>OK</t>
        </is>
      </c>
    </row>
    <row r="2554">
      <c r="A2554" s="5" t="inlineStr">
        <is>
          <t>E01485</t>
        </is>
      </c>
      <c r="B2554" s="5" t="inlineStr">
        <is>
          <t>Male</t>
        </is>
      </c>
      <c r="C2554" s="6" t="inlineStr">
        <is>
          <t>25</t>
        </is>
      </c>
      <c r="D2554" s="5" t="inlineStr">
        <is>
          <t>Married</t>
        </is>
      </c>
      <c r="E2554" s="5" t="inlineStr">
        <is>
          <t>PhD</t>
        </is>
      </c>
      <c r="F2554" s="5" t="inlineStr">
        <is>
          <t>Customer Support</t>
        </is>
      </c>
      <c r="G2554" s="5" t="inlineStr">
        <is>
          <t>Escalation Specialist</t>
        </is>
      </c>
      <c r="H2554" s="5" t="inlineStr">
        <is>
          <t>2</t>
        </is>
      </c>
      <c r="I2554" s="5" t="inlineStr">
        <is>
          <t>Chennai</t>
        </is>
      </c>
      <c r="J2554" s="5" t="inlineStr">
        <is>
          <t>Full-Time</t>
        </is>
      </c>
      <c r="K2554" s="7" t="n">
        <v>45666</v>
      </c>
      <c r="L2554" s="7" t="inlineStr"/>
      <c r="M2554" s="5" t="inlineStr">
        <is>
          <t>Yes</t>
        </is>
      </c>
      <c r="N2554" s="5" t="inlineStr"/>
      <c r="O2554" s="8" t="inlineStr">
        <is>
          <t>53000</t>
        </is>
      </c>
      <c r="P2554" s="5" t="inlineStr">
        <is>
          <t>5</t>
        </is>
      </c>
      <c r="Q2554" s="5" t="inlineStr">
        <is>
          <t>4</t>
        </is>
      </c>
      <c r="R2554" s="5" t="inlineStr">
        <is>
          <t>8</t>
        </is>
      </c>
      <c r="S2554" s="5" t="inlineStr">
        <is>
          <t>11</t>
        </is>
      </c>
      <c r="T2554" s="5" t="inlineStr">
        <is>
          <t>6</t>
        </is>
      </c>
      <c r="U2554" s="5" t="inlineStr">
        <is>
          <t>OK</t>
        </is>
      </c>
    </row>
    <row r="2555">
      <c r="A2555" s="5" t="inlineStr">
        <is>
          <t>E02549</t>
        </is>
      </c>
      <c r="B2555" s="5" t="inlineStr">
        <is>
          <t>Female</t>
        </is>
      </c>
      <c r="C2555" s="6" t="inlineStr">
        <is>
          <t>32</t>
        </is>
      </c>
      <c r="D2555" s="5" t="inlineStr">
        <is>
          <t>Single</t>
        </is>
      </c>
      <c r="E2555" s="5" t="inlineStr">
        <is>
          <t>Bachelor</t>
        </is>
      </c>
      <c r="F2555" s="5" t="inlineStr">
        <is>
          <t>Operations</t>
        </is>
      </c>
      <c r="G2555" s="5" t="inlineStr">
        <is>
          <t>Operations Analyst</t>
        </is>
      </c>
      <c r="H2555" s="5" t="inlineStr">
        <is>
          <t>2</t>
        </is>
      </c>
      <c r="I2555" s="5" t="inlineStr">
        <is>
          <t>Mumbai</t>
        </is>
      </c>
      <c r="J2555" s="5" t="inlineStr">
        <is>
          <t>Full-Time</t>
        </is>
      </c>
      <c r="K2555" s="7" t="n">
        <v>45709</v>
      </c>
      <c r="L2555" s="7" t="n">
        <v>45844</v>
      </c>
      <c r="M2555" s="5" t="inlineStr">
        <is>
          <t>No</t>
        </is>
      </c>
      <c r="N2555" s="5" t="inlineStr">
        <is>
          <t>Resigned</t>
        </is>
      </c>
      <c r="O2555" s="8" t="inlineStr">
        <is>
          <t>110000</t>
        </is>
      </c>
      <c r="P2555" s="5" t="inlineStr">
        <is>
          <t>0</t>
        </is>
      </c>
      <c r="Q2555" s="5" t="inlineStr">
        <is>
          <t>3</t>
        </is>
      </c>
      <c r="R2555" s="5" t="inlineStr">
        <is>
          <t>4</t>
        </is>
      </c>
      <c r="S2555" s="5" t="inlineStr">
        <is>
          <t>4</t>
        </is>
      </c>
      <c r="T2555" s="5" t="inlineStr">
        <is>
          <t>18</t>
        </is>
      </c>
      <c r="U2555" s="5" t="inlineStr">
        <is>
          <t>OK</t>
        </is>
      </c>
    </row>
    <row r="2556">
      <c r="A2556" s="5" t="inlineStr">
        <is>
          <t>E00348</t>
        </is>
      </c>
      <c r="B2556" s="5" t="inlineStr">
        <is>
          <t>Female</t>
        </is>
      </c>
      <c r="C2556" s="6" t="inlineStr">
        <is>
          <t>34</t>
        </is>
      </c>
      <c r="D2556" s="5" t="inlineStr">
        <is>
          <t>Married</t>
        </is>
      </c>
      <c r="E2556" s="5" t="inlineStr">
        <is>
          <t>PhD</t>
        </is>
      </c>
      <c r="F2556" s="5" t="inlineStr">
        <is>
          <t>Sales</t>
        </is>
      </c>
      <c r="G2556" s="5" t="inlineStr">
        <is>
          <t>Account Executive</t>
        </is>
      </c>
      <c r="H2556" s="5" t="inlineStr">
        <is>
          <t>5</t>
        </is>
      </c>
      <c r="I2556" s="5" t="inlineStr">
        <is>
          <t>Bengaluru</t>
        </is>
      </c>
      <c r="J2556" s="5" t="inlineStr">
        <is>
          <t>Contract</t>
        </is>
      </c>
      <c r="K2556" s="7" t="n">
        <v>44570</v>
      </c>
      <c r="L2556" s="7" t="n">
        <v>44640</v>
      </c>
      <c r="M2556" s="5" t="inlineStr">
        <is>
          <t>No</t>
        </is>
      </c>
      <c r="N2556" s="5" t="inlineStr">
        <is>
          <t>Resigned</t>
        </is>
      </c>
      <c r="O2556" s="8" t="inlineStr">
        <is>
          <t>153000</t>
        </is>
      </c>
      <c r="P2556" s="5" t="inlineStr">
        <is>
          <t>0</t>
        </is>
      </c>
      <c r="Q2556" s="5" t="inlineStr">
        <is>
          <t>3</t>
        </is>
      </c>
      <c r="R2556" s="5" t="inlineStr">
        <is>
          <t>5</t>
        </is>
      </c>
      <c r="S2556" s="5" t="inlineStr">
        <is>
          <t>2</t>
        </is>
      </c>
      <c r="T2556" s="5" t="inlineStr">
        <is>
          <t>9</t>
        </is>
      </c>
      <c r="U2556" s="5" t="inlineStr">
        <is>
          <t>OK</t>
        </is>
      </c>
    </row>
    <row r="2557">
      <c r="A2557" s="5" t="inlineStr">
        <is>
          <t>E01201</t>
        </is>
      </c>
      <c r="B2557" s="5" t="inlineStr">
        <is>
          <t>Male</t>
        </is>
      </c>
      <c r="C2557" s="6" t="inlineStr">
        <is>
          <t>28</t>
        </is>
      </c>
      <c r="D2557" s="5" t="inlineStr">
        <is>
          <t>Married</t>
        </is>
      </c>
      <c r="E2557" s="5" t="inlineStr">
        <is>
          <t>High School</t>
        </is>
      </c>
      <c r="F2557" s="5" t="inlineStr">
        <is>
          <t>Finance</t>
        </is>
      </c>
      <c r="G2557" s="5" t="inlineStr">
        <is>
          <t>Financial Analyst</t>
        </is>
      </c>
      <c r="H2557" s="5" t="inlineStr">
        <is>
          <t>2</t>
        </is>
      </c>
      <c r="I2557" s="5" t="inlineStr">
        <is>
          <t>Chennai</t>
        </is>
      </c>
      <c r="J2557" s="5" t="inlineStr">
        <is>
          <t>Full-Time</t>
        </is>
      </c>
      <c r="K2557" s="7" t="n">
        <v>44352</v>
      </c>
      <c r="L2557" s="7" t="n">
        <v>44490</v>
      </c>
      <c r="M2557" s="5" t="inlineStr">
        <is>
          <t>No</t>
        </is>
      </c>
      <c r="N2557" s="5" t="inlineStr">
        <is>
          <t>Performance / Termination</t>
        </is>
      </c>
      <c r="O2557" s="8" t="inlineStr">
        <is>
          <t>113000</t>
        </is>
      </c>
      <c r="P2557" s="5" t="inlineStr">
        <is>
          <t>0</t>
        </is>
      </c>
      <c r="Q2557" s="5" t="inlineStr">
        <is>
          <t>3</t>
        </is>
      </c>
      <c r="R2557" s="5" t="inlineStr">
        <is>
          <t>4</t>
        </is>
      </c>
      <c r="S2557" s="5" t="inlineStr">
        <is>
          <t>4</t>
        </is>
      </c>
      <c r="T2557" s="5" t="inlineStr">
        <is>
          <t>0</t>
        </is>
      </c>
      <c r="U2557" s="5" t="inlineStr">
        <is>
          <t>OK</t>
        </is>
      </c>
    </row>
    <row r="2558">
      <c r="A2558" s="5" t="inlineStr">
        <is>
          <t>E00597</t>
        </is>
      </c>
      <c r="B2558" s="5" t="inlineStr">
        <is>
          <t>Male</t>
        </is>
      </c>
      <c r="C2558" s="6" t="inlineStr">
        <is>
          <t>34</t>
        </is>
      </c>
      <c r="D2558" s="5" t="inlineStr">
        <is>
          <t>Married</t>
        </is>
      </c>
      <c r="E2558" s="5" t="inlineStr">
        <is>
          <t>Diploma</t>
        </is>
      </c>
      <c r="F2558" s="5" t="inlineStr">
        <is>
          <t>Research &amp; Development</t>
        </is>
      </c>
      <c r="G2558" s="5" t="inlineStr">
        <is>
          <t>Data Scientist</t>
        </is>
      </c>
      <c r="H2558" s="5" t="inlineStr">
        <is>
          <t>2</t>
        </is>
      </c>
      <c r="I2558" s="5" t="inlineStr">
        <is>
          <t>Remote</t>
        </is>
      </c>
      <c r="J2558" s="5" t="inlineStr">
        <is>
          <t>Full-Time</t>
        </is>
      </c>
      <c r="K2558" s="7" t="n">
        <v>45749</v>
      </c>
      <c r="L2558" s="7" t="inlineStr"/>
      <c r="M2558" s="5" t="inlineStr">
        <is>
          <t>Yes</t>
        </is>
      </c>
      <c r="N2558" s="5" t="inlineStr"/>
      <c r="O2558" s="8" t="inlineStr">
        <is>
          <t>114000</t>
        </is>
      </c>
      <c r="P2558" s="5" t="inlineStr">
        <is>
          <t>0</t>
        </is>
      </c>
      <c r="Q2558" s="5" t="inlineStr">
        <is>
          <t>4</t>
        </is>
      </c>
      <c r="R2558" s="5" t="inlineStr">
        <is>
          <t>6</t>
        </is>
      </c>
      <c r="S2558" s="5" t="inlineStr">
        <is>
          <t>9</t>
        </is>
      </c>
      <c r="T2558" s="5" t="inlineStr">
        <is>
          <t>1</t>
        </is>
      </c>
      <c r="U2558" s="5" t="inlineStr">
        <is>
          <t>OK</t>
        </is>
      </c>
    </row>
    <row r="2559">
      <c r="A2559" s="5" t="inlineStr">
        <is>
          <t>E01874</t>
        </is>
      </c>
      <c r="B2559" s="5" t="inlineStr">
        <is>
          <t>Female</t>
        </is>
      </c>
      <c r="C2559" s="6" t="inlineStr">
        <is>
          <t>30</t>
        </is>
      </c>
      <c r="D2559" s="5" t="inlineStr">
        <is>
          <t>Married</t>
        </is>
      </c>
      <c r="E2559" s="5" t="inlineStr">
        <is>
          <t>Master</t>
        </is>
      </c>
      <c r="F2559" s="5" t="inlineStr">
        <is>
          <t>Operations</t>
        </is>
      </c>
      <c r="G2559" s="5" t="inlineStr">
        <is>
          <t>Logistics Coordinator</t>
        </is>
      </c>
      <c r="H2559" s="5" t="inlineStr">
        <is>
          <t>1</t>
        </is>
      </c>
      <c r="I2559" s="5" t="inlineStr">
        <is>
          <t>Remote</t>
        </is>
      </c>
      <c r="J2559" s="5" t="inlineStr">
        <is>
          <t>Full-Time</t>
        </is>
      </c>
      <c r="K2559" s="7" t="n">
        <v>44668</v>
      </c>
      <c r="L2559" s="7" t="inlineStr"/>
      <c r="M2559" s="5" t="inlineStr">
        <is>
          <t>Yes</t>
        </is>
      </c>
      <c r="N2559" s="5" t="inlineStr"/>
      <c r="O2559" s="8" t="inlineStr">
        <is>
          <t>93000</t>
        </is>
      </c>
      <c r="P2559" s="5" t="inlineStr">
        <is>
          <t>10</t>
        </is>
      </c>
      <c r="Q2559" s="5" t="inlineStr">
        <is>
          <t>3</t>
        </is>
      </c>
      <c r="R2559" s="5" t="inlineStr">
        <is>
          <t>3</t>
        </is>
      </c>
      <c r="S2559" s="5" t="inlineStr">
        <is>
          <t>45</t>
        </is>
      </c>
      <c r="T2559" s="5" t="inlineStr">
        <is>
          <t>11</t>
        </is>
      </c>
      <c r="U2559" s="5" t="inlineStr">
        <is>
          <t>OK</t>
        </is>
      </c>
    </row>
    <row r="2560">
      <c r="A2560" s="5" t="inlineStr">
        <is>
          <t>E02295</t>
        </is>
      </c>
      <c r="B2560" s="5" t="inlineStr">
        <is>
          <t>Female</t>
        </is>
      </c>
      <c r="C2560" s="6" t="inlineStr">
        <is>
          <t>32</t>
        </is>
      </c>
      <c r="D2560" s="5" t="inlineStr">
        <is>
          <t>Single</t>
        </is>
      </c>
      <c r="E2560" s="5" t="inlineStr">
        <is>
          <t>PhD</t>
        </is>
      </c>
      <c r="F2560" s="5" t="inlineStr">
        <is>
          <t>IT</t>
        </is>
      </c>
      <c r="G2560" s="5" t="inlineStr">
        <is>
          <t>IT Support</t>
        </is>
      </c>
      <c r="H2560" s="5" t="inlineStr">
        <is>
          <t>4</t>
        </is>
      </c>
      <c r="I2560" s="5" t="inlineStr">
        <is>
          <t>Hyderabad</t>
        </is>
      </c>
      <c r="J2560" s="5" t="inlineStr">
        <is>
          <t>Full-Time</t>
        </is>
      </c>
      <c r="K2560" s="7" t="n">
        <v>45873</v>
      </c>
      <c r="L2560" s="7" t="n">
        <v>45952</v>
      </c>
      <c r="M2560" s="5" t="inlineStr">
        <is>
          <t>No</t>
        </is>
      </c>
      <c r="N2560" s="5" t="inlineStr">
        <is>
          <t>Retirement</t>
        </is>
      </c>
      <c r="O2560" s="8" t="inlineStr">
        <is>
          <t>149000</t>
        </is>
      </c>
      <c r="P2560" s="5" t="inlineStr">
        <is>
          <t>0</t>
        </is>
      </c>
      <c r="Q2560" s="5" t="inlineStr">
        <is>
          <t>5</t>
        </is>
      </c>
      <c r="R2560" s="5" t="inlineStr">
        <is>
          <t>7</t>
        </is>
      </c>
      <c r="S2560" s="5" t="inlineStr">
        <is>
          <t>2</t>
        </is>
      </c>
      <c r="T2560" s="5" t="inlineStr">
        <is>
          <t>2</t>
        </is>
      </c>
      <c r="U2560" s="5" t="inlineStr">
        <is>
          <t>OK</t>
        </is>
      </c>
    </row>
    <row r="2561">
      <c r="A2561" s="5" t="inlineStr">
        <is>
          <t>E02004</t>
        </is>
      </c>
      <c r="B2561" s="5" t="inlineStr">
        <is>
          <t>Female</t>
        </is>
      </c>
      <c r="C2561" s="6" t="inlineStr">
        <is>
          <t>36</t>
        </is>
      </c>
      <c r="D2561" s="5" t="inlineStr">
        <is>
          <t>Married</t>
        </is>
      </c>
      <c r="E2561" s="5" t="inlineStr">
        <is>
          <t>Master</t>
        </is>
      </c>
      <c r="F2561" s="5" t="inlineStr">
        <is>
          <t>Operations</t>
        </is>
      </c>
      <c r="G2561" s="5" t="inlineStr">
        <is>
          <t>Logistics Coordinator</t>
        </is>
      </c>
      <c r="H2561" s="5" t="inlineStr">
        <is>
          <t>2</t>
        </is>
      </c>
      <c r="I2561" s="5" t="inlineStr">
        <is>
          <t>Delhi</t>
        </is>
      </c>
      <c r="J2561" s="5" t="inlineStr">
        <is>
          <t>Part-Time</t>
        </is>
      </c>
      <c r="K2561" s="7" t="n">
        <v>44986</v>
      </c>
      <c r="L2561" s="7" t="inlineStr"/>
      <c r="M2561" s="5" t="inlineStr">
        <is>
          <t>Yes</t>
        </is>
      </c>
      <c r="N2561" s="5" t="inlineStr"/>
      <c r="O2561" s="8" t="inlineStr">
        <is>
          <t>110500</t>
        </is>
      </c>
      <c r="P2561" s="5" t="inlineStr">
        <is>
          <t>15</t>
        </is>
      </c>
      <c r="Q2561" s="5" t="inlineStr">
        <is>
          <t>5</t>
        </is>
      </c>
      <c r="R2561" s="5" t="inlineStr">
        <is>
          <t>5</t>
        </is>
      </c>
      <c r="S2561" s="5" t="inlineStr">
        <is>
          <t>34</t>
        </is>
      </c>
      <c r="T2561" s="5" t="inlineStr">
        <is>
          <t>8</t>
        </is>
      </c>
      <c r="U2561" s="5" t="inlineStr">
        <is>
          <t>OK</t>
        </is>
      </c>
    </row>
    <row r="2562">
      <c r="A2562" s="5" t="inlineStr">
        <is>
          <t>E01082</t>
        </is>
      </c>
      <c r="B2562" s="5" t="inlineStr">
        <is>
          <t>male</t>
        </is>
      </c>
      <c r="C2562" s="6" t="inlineStr">
        <is>
          <t>28</t>
        </is>
      </c>
      <c r="D2562" s="5" t="inlineStr">
        <is>
          <t>Married</t>
        </is>
      </c>
      <c r="E2562" s="5" t="inlineStr">
        <is>
          <t>High School</t>
        </is>
      </c>
      <c r="F2562" s="5" t="inlineStr">
        <is>
          <t>Research &amp; Development</t>
        </is>
      </c>
      <c r="G2562" s="5" t="inlineStr">
        <is>
          <t>Research Scientist</t>
        </is>
      </c>
      <c r="H2562" s="5" t="inlineStr">
        <is>
          <t>2</t>
        </is>
      </c>
      <c r="I2562" s="5" t="inlineStr">
        <is>
          <t>Mumbai</t>
        </is>
      </c>
      <c r="J2562" s="5" t="inlineStr">
        <is>
          <t>Full-Time</t>
        </is>
      </c>
      <c r="K2562" s="7" t="n">
        <v>45848</v>
      </c>
      <c r="L2562" s="7" t="inlineStr"/>
      <c r="M2562" s="5" t="inlineStr">
        <is>
          <t>Yes</t>
        </is>
      </c>
      <c r="N2562" s="5" t="inlineStr"/>
      <c r="O2562" s="8" t="inlineStr">
        <is>
          <t>132500</t>
        </is>
      </c>
      <c r="P2562" s="5" t="inlineStr">
        <is>
          <t>0</t>
        </is>
      </c>
      <c r="Q2562" s="5" t="inlineStr">
        <is>
          <t>4</t>
        </is>
      </c>
      <c r="R2562" s="5" t="inlineStr">
        <is>
          <t>6</t>
        </is>
      </c>
      <c r="S2562" s="5" t="inlineStr">
        <is>
          <t>5</t>
        </is>
      </c>
      <c r="T2562" s="5" t="inlineStr">
        <is>
          <t>4</t>
        </is>
      </c>
      <c r="U2562" s="5" t="inlineStr">
        <is>
          <t>OK</t>
        </is>
      </c>
    </row>
    <row r="2563">
      <c r="A2563" s="5" t="inlineStr">
        <is>
          <t>E01093</t>
        </is>
      </c>
      <c r="B2563" s="5" t="inlineStr">
        <is>
          <t>Female</t>
        </is>
      </c>
      <c r="C2563" s="6" t="inlineStr">
        <is>
          <t>39</t>
        </is>
      </c>
      <c r="D2563" s="5" t="inlineStr">
        <is>
          <t>Married</t>
        </is>
      </c>
      <c r="E2563" s="5" t="inlineStr">
        <is>
          <t>Bachelor</t>
        </is>
      </c>
      <c r="F2563" s="5" t="inlineStr">
        <is>
          <t>Research &amp; Development</t>
        </is>
      </c>
      <c r="G2563" s="5" t="inlineStr">
        <is>
          <t>Product Engineer</t>
        </is>
      </c>
      <c r="H2563" s="5" t="inlineStr">
        <is>
          <t>4</t>
        </is>
      </c>
      <c r="I2563" s="5" t="inlineStr">
        <is>
          <t>Bengaluru</t>
        </is>
      </c>
      <c r="J2563" s="5" t="inlineStr">
        <is>
          <t>Full-Time</t>
        </is>
      </c>
      <c r="K2563" s="7" t="n">
        <v>45065</v>
      </c>
      <c r="L2563" s="7" t="inlineStr"/>
      <c r="M2563" s="5" t="inlineStr">
        <is>
          <t>Yes</t>
        </is>
      </c>
      <c r="N2563" s="5" t="inlineStr"/>
      <c r="O2563" s="8" t="inlineStr">
        <is>
          <t>137000</t>
        </is>
      </c>
      <c r="P2563" s="5" t="inlineStr">
        <is>
          <t>0</t>
        </is>
      </c>
      <c r="Q2563" s="5" t="inlineStr">
        <is>
          <t>4</t>
        </is>
      </c>
      <c r="R2563" s="5" t="inlineStr">
        <is>
          <t>6</t>
        </is>
      </c>
      <c r="S2563" s="5" t="inlineStr">
        <is>
          <t>31</t>
        </is>
      </c>
      <c r="T2563" s="5" t="inlineStr">
        <is>
          <t>0</t>
        </is>
      </c>
      <c r="U2563" s="5" t="inlineStr">
        <is>
          <t>OK</t>
        </is>
      </c>
    </row>
    <row r="2564">
      <c r="A2564" s="5" t="inlineStr">
        <is>
          <t>E01213</t>
        </is>
      </c>
      <c r="B2564" s="5" t="inlineStr">
        <is>
          <t>Female</t>
        </is>
      </c>
      <c r="C2564" s="6" t="inlineStr">
        <is>
          <t>39</t>
        </is>
      </c>
      <c r="D2564" s="5" t="inlineStr">
        <is>
          <t>Married</t>
        </is>
      </c>
      <c r="E2564" s="5" t="inlineStr">
        <is>
          <t>High School</t>
        </is>
      </c>
      <c r="F2564" s="5" t="inlineStr">
        <is>
          <t>Sales</t>
        </is>
      </c>
      <c r="G2564" s="5" t="inlineStr">
        <is>
          <t>Account Executive</t>
        </is>
      </c>
      <c r="H2564" s="5" t="inlineStr">
        <is>
          <t>7</t>
        </is>
      </c>
      <c r="I2564" s="5" t="inlineStr">
        <is>
          <t>Bengaluru</t>
        </is>
      </c>
      <c r="J2564" s="5" t="inlineStr">
        <is>
          <t>Full-Time</t>
        </is>
      </c>
      <c r="K2564" s="7" t="n">
        <v>45092</v>
      </c>
      <c r="L2564" s="7" t="inlineStr"/>
      <c r="M2564" s="5" t="inlineStr">
        <is>
          <t>Yes</t>
        </is>
      </c>
      <c r="N2564" s="5" t="inlineStr"/>
      <c r="O2564" s="8" t="inlineStr">
        <is>
          <t>150000</t>
        </is>
      </c>
      <c r="P2564" s="5" t="inlineStr">
        <is>
          <t>0</t>
        </is>
      </c>
      <c r="Q2564" s="5" t="inlineStr">
        <is>
          <t>4</t>
        </is>
      </c>
      <c r="R2564" s="5" t="inlineStr">
        <is>
          <t>7</t>
        </is>
      </c>
      <c r="S2564" s="5" t="inlineStr">
        <is>
          <t>31</t>
        </is>
      </c>
      <c r="T2564" s="5" t="inlineStr">
        <is>
          <t>1</t>
        </is>
      </c>
      <c r="U2564" s="5" t="inlineStr">
        <is>
          <t>OK</t>
        </is>
      </c>
    </row>
    <row r="2565">
      <c r="A2565" s="5" t="inlineStr">
        <is>
          <t>E01773</t>
        </is>
      </c>
      <c r="B2565" s="5" t="inlineStr">
        <is>
          <t>Female</t>
        </is>
      </c>
      <c r="C2565" s="6" t="inlineStr">
        <is>
          <t>36</t>
        </is>
      </c>
      <c r="D2565" s="5" t="inlineStr">
        <is>
          <t>Married</t>
        </is>
      </c>
      <c r="E2565" s="5" t="inlineStr">
        <is>
          <t>Bachelor</t>
        </is>
      </c>
      <c r="F2565" s="5" t="inlineStr">
        <is>
          <t>Research &amp; Development</t>
        </is>
      </c>
      <c r="G2565" s="5" t="inlineStr">
        <is>
          <t>Data Scientist</t>
        </is>
      </c>
      <c r="H2565" s="5" t="inlineStr">
        <is>
          <t>2</t>
        </is>
      </c>
      <c r="I2565" s="5" t="inlineStr">
        <is>
          <t>Bengaluru</t>
        </is>
      </c>
      <c r="J2565" s="5" t="inlineStr">
        <is>
          <t>Full-Time</t>
        </is>
      </c>
      <c r="K2565" s="7" t="n">
        <v>44792</v>
      </c>
      <c r="L2565" s="7" t="inlineStr"/>
      <c r="M2565" s="5" t="inlineStr">
        <is>
          <t>Yes</t>
        </is>
      </c>
      <c r="N2565" s="5" t="inlineStr"/>
      <c r="O2565" s="8" t="inlineStr">
        <is>
          <t>168000</t>
        </is>
      </c>
      <c r="P2565" s="5" t="inlineStr">
        <is>
          <t>0</t>
        </is>
      </c>
      <c r="Q2565" s="5" t="inlineStr">
        <is>
          <t>3</t>
        </is>
      </c>
      <c r="R2565" s="5" t="inlineStr">
        <is>
          <t>6</t>
        </is>
      </c>
      <c r="S2565" s="5" t="inlineStr">
        <is>
          <t>41</t>
        </is>
      </c>
      <c r="T2565" s="5" t="inlineStr">
        <is>
          <t>8</t>
        </is>
      </c>
      <c r="U2565" s="5" t="inlineStr">
        <is>
          <t>OK</t>
        </is>
      </c>
    </row>
    <row r="2566">
      <c r="A2566" s="5" t="inlineStr">
        <is>
          <t>E01402</t>
        </is>
      </c>
      <c r="B2566" s="5" t="inlineStr">
        <is>
          <t>Male</t>
        </is>
      </c>
      <c r="C2566" s="6" t="inlineStr">
        <is>
          <t>36</t>
        </is>
      </c>
      <c r="D2566" s="5" t="inlineStr">
        <is>
          <t>Married</t>
        </is>
      </c>
      <c r="E2566" s="5" t="inlineStr">
        <is>
          <t>PhD</t>
        </is>
      </c>
      <c r="F2566" s="5" t="inlineStr">
        <is>
          <t>Sales</t>
        </is>
      </c>
      <c r="G2566" s="5" t="inlineStr">
        <is>
          <t>Account Executive</t>
        </is>
      </c>
      <c r="H2566" s="5" t="inlineStr">
        <is>
          <t>2</t>
        </is>
      </c>
      <c r="I2566" s="5" t="inlineStr">
        <is>
          <t>Chennai</t>
        </is>
      </c>
      <c r="J2566" s="5" t="inlineStr">
        <is>
          <t>Full-Time</t>
        </is>
      </c>
      <c r="K2566" s="7" t="n">
        <v>45830</v>
      </c>
      <c r="L2566" s="7" t="inlineStr"/>
      <c r="M2566" s="5" t="inlineStr">
        <is>
          <t>Yes</t>
        </is>
      </c>
      <c r="N2566" s="5" t="inlineStr"/>
      <c r="O2566" s="8" t="inlineStr">
        <is>
          <t>113500</t>
        </is>
      </c>
      <c r="P2566" s="5" t="inlineStr">
        <is>
          <t>20</t>
        </is>
      </c>
      <c r="Q2566" s="5" t="inlineStr">
        <is>
          <t>5</t>
        </is>
      </c>
      <c r="R2566" s="5" t="inlineStr">
        <is>
          <t>4</t>
        </is>
      </c>
      <c r="S2566" s="5" t="inlineStr">
        <is>
          <t>6</t>
        </is>
      </c>
      <c r="T2566" s="5" t="inlineStr">
        <is>
          <t>12</t>
        </is>
      </c>
      <c r="U2566" s="5" t="inlineStr">
        <is>
          <t>OK</t>
        </is>
      </c>
    </row>
    <row r="2567">
      <c r="A2567" s="5" t="inlineStr">
        <is>
          <t>E02525</t>
        </is>
      </c>
      <c r="B2567" s="5" t="inlineStr">
        <is>
          <t>Female</t>
        </is>
      </c>
      <c r="C2567" s="6" t="inlineStr">
        <is>
          <t>38</t>
        </is>
      </c>
      <c r="D2567" s="5" t="inlineStr">
        <is>
          <t>Married</t>
        </is>
      </c>
      <c r="E2567" s="5" t="inlineStr">
        <is>
          <t>High School</t>
        </is>
      </c>
      <c r="F2567" s="5" t="inlineStr">
        <is>
          <t>Sales</t>
        </is>
      </c>
      <c r="G2567" s="5" t="inlineStr">
        <is>
          <t>Sales Executive</t>
        </is>
      </c>
      <c r="H2567" s="5" t="inlineStr">
        <is>
          <t>6</t>
        </is>
      </c>
      <c r="I2567" s="5" t="inlineStr">
        <is>
          <t>Bengaluru</t>
        </is>
      </c>
      <c r="J2567" s="5" t="inlineStr">
        <is>
          <t>Full-Time</t>
        </is>
      </c>
      <c r="K2567" s="7" t="n">
        <v>44566</v>
      </c>
      <c r="L2567" s="7" t="inlineStr"/>
      <c r="M2567" s="5" t="inlineStr">
        <is>
          <t>Yes</t>
        </is>
      </c>
      <c r="N2567" s="5" t="inlineStr"/>
      <c r="O2567" s="8" t="inlineStr">
        <is>
          <t>183500</t>
        </is>
      </c>
      <c r="P2567" s="5" t="inlineStr">
        <is>
          <t>0</t>
        </is>
      </c>
      <c r="Q2567" s="5" t="inlineStr">
        <is>
          <t>3</t>
        </is>
      </c>
      <c r="R2567" s="5" t="inlineStr">
        <is>
          <t>4</t>
        </is>
      </c>
      <c r="S2567" s="5" t="inlineStr">
        <is>
          <t>48</t>
        </is>
      </c>
      <c r="T2567" s="5" t="inlineStr">
        <is>
          <t>3</t>
        </is>
      </c>
      <c r="U2567" s="5" t="inlineStr">
        <is>
          <t>OK</t>
        </is>
      </c>
    </row>
    <row r="2568">
      <c r="A2568" s="5" t="inlineStr">
        <is>
          <t>E02742</t>
        </is>
      </c>
      <c r="B2568" s="5" t="inlineStr">
        <is>
          <t>female</t>
        </is>
      </c>
      <c r="C2568" s="6" t="inlineStr">
        <is>
          <t>33</t>
        </is>
      </c>
      <c r="D2568" s="5" t="inlineStr">
        <is>
          <t>Single</t>
        </is>
      </c>
      <c r="E2568" s="5" t="inlineStr">
        <is>
          <t>High School</t>
        </is>
      </c>
      <c r="F2568" s="5" t="inlineStr">
        <is>
          <t>Customer Support</t>
        </is>
      </c>
      <c r="G2568" s="5" t="inlineStr">
        <is>
          <t>Support Agent</t>
        </is>
      </c>
      <c r="H2568" s="5" t="inlineStr">
        <is>
          <t>1</t>
        </is>
      </c>
      <c r="I2568" s="5" t="inlineStr">
        <is>
          <t>Remote</t>
        </is>
      </c>
      <c r="J2568" s="5" t="inlineStr">
        <is>
          <t>Full-Time</t>
        </is>
      </c>
      <c r="K2568" s="7" t="n">
        <v>45667</v>
      </c>
      <c r="L2568" s="7" t="n">
        <v>45808</v>
      </c>
      <c r="M2568" s="5" t="inlineStr">
        <is>
          <t>No</t>
        </is>
      </c>
      <c r="N2568" s="5" t="inlineStr">
        <is>
          <t>Relocation</t>
        </is>
      </c>
      <c r="O2568" s="8" t="inlineStr">
        <is>
          <t>42500</t>
        </is>
      </c>
      <c r="P2568" s="5" t="inlineStr">
        <is>
          <t>5</t>
        </is>
      </c>
      <c r="Q2568" s="5" t="inlineStr">
        <is>
          <t>3</t>
        </is>
      </c>
      <c r="R2568" s="5" t="inlineStr">
        <is>
          <t>7</t>
        </is>
      </c>
      <c r="S2568" s="5" t="inlineStr">
        <is>
          <t>4</t>
        </is>
      </c>
      <c r="T2568" s="5" t="inlineStr">
        <is>
          <t>6</t>
        </is>
      </c>
      <c r="U2568" s="5" t="inlineStr">
        <is>
          <t>OK</t>
        </is>
      </c>
    </row>
    <row r="2569">
      <c r="A2569" s="5" t="inlineStr">
        <is>
          <t>E02930</t>
        </is>
      </c>
      <c r="B2569" s="5" t="inlineStr">
        <is>
          <t>Female</t>
        </is>
      </c>
      <c r="C2569" s="6" t="inlineStr">
        <is>
          <t>29</t>
        </is>
      </c>
      <c r="D2569" s="5" t="inlineStr">
        <is>
          <t>Married</t>
        </is>
      </c>
      <c r="E2569" s="5" t="inlineStr">
        <is>
          <t>Master</t>
        </is>
      </c>
      <c r="F2569" s="5" t="inlineStr">
        <is>
          <t>IT</t>
        </is>
      </c>
      <c r="G2569" s="5" t="inlineStr">
        <is>
          <t>Software Engineer</t>
        </is>
      </c>
      <c r="H2569" s="5" t="inlineStr">
        <is>
          <t>2</t>
        </is>
      </c>
      <c r="I2569" s="5" t="inlineStr">
        <is>
          <t>Chennai</t>
        </is>
      </c>
      <c r="J2569" s="5" t="inlineStr">
        <is>
          <t>Full-Time</t>
        </is>
      </c>
      <c r="K2569" s="7" t="n">
        <v>45261</v>
      </c>
      <c r="L2569" s="7" t="n">
        <v>45362</v>
      </c>
      <c r="M2569" s="5" t="inlineStr">
        <is>
          <t>No</t>
        </is>
      </c>
      <c r="N2569" s="5" t="inlineStr">
        <is>
          <t>Retirement</t>
        </is>
      </c>
      <c r="O2569" s="8" t="inlineStr">
        <is>
          <t>137000</t>
        </is>
      </c>
      <c r="P2569" s="5" t="inlineStr">
        <is>
          <t>0</t>
        </is>
      </c>
      <c r="Q2569" s="5" t="inlineStr">
        <is>
          <t>3</t>
        </is>
      </c>
      <c r="R2569" s="5" t="inlineStr">
        <is>
          <t>6</t>
        </is>
      </c>
      <c r="S2569" s="5" t="inlineStr">
        <is>
          <t>3</t>
        </is>
      </c>
      <c r="T2569" s="5" t="inlineStr">
        <is>
          <t>8</t>
        </is>
      </c>
      <c r="U2569" s="5" t="inlineStr">
        <is>
          <t>OK</t>
        </is>
      </c>
    </row>
    <row r="2570">
      <c r="A2570" s="5" t="inlineStr">
        <is>
          <t>E01382</t>
        </is>
      </c>
      <c r="B2570" s="5" t="inlineStr">
        <is>
          <t>Male</t>
        </is>
      </c>
      <c r="C2570" s="6" t="inlineStr">
        <is>
          <t>29</t>
        </is>
      </c>
      <c r="D2570" s="5" t="inlineStr">
        <is>
          <t>Married</t>
        </is>
      </c>
      <c r="E2570" s="5" t="inlineStr">
        <is>
          <t>Diploma</t>
        </is>
      </c>
      <c r="F2570" s="5" t="inlineStr">
        <is>
          <t>Research &amp; Development</t>
        </is>
      </c>
      <c r="G2570" s="5" t="inlineStr">
        <is>
          <t>Product Engineer</t>
        </is>
      </c>
      <c r="H2570" s="5" t="inlineStr">
        <is>
          <t>2</t>
        </is>
      </c>
      <c r="I2570" s="5" t="inlineStr">
        <is>
          <t>Delhi</t>
        </is>
      </c>
      <c r="J2570" s="5" t="inlineStr">
        <is>
          <t>Full-Time</t>
        </is>
      </c>
      <c r="K2570" s="7" t="n">
        <v>44229</v>
      </c>
      <c r="L2570" s="7" t="inlineStr"/>
      <c r="M2570" s="5" t="inlineStr">
        <is>
          <t>Yes</t>
        </is>
      </c>
      <c r="N2570" s="5" t="inlineStr"/>
      <c r="O2570" s="8" t="inlineStr">
        <is>
          <t>151000</t>
        </is>
      </c>
      <c r="P2570" s="5" t="inlineStr">
        <is>
          <t>5</t>
        </is>
      </c>
      <c r="Q2570" s="5" t="inlineStr">
        <is>
          <t>3</t>
        </is>
      </c>
      <c r="R2570" s="5" t="inlineStr">
        <is>
          <t>7</t>
        </is>
      </c>
      <c r="S2570" s="5" t="inlineStr">
        <is>
          <t>59</t>
        </is>
      </c>
      <c r="T2570" s="5" t="inlineStr">
        <is>
          <t>0</t>
        </is>
      </c>
      <c r="U2570" s="5" t="inlineStr">
        <is>
          <t>OK</t>
        </is>
      </c>
    </row>
    <row r="2571">
      <c r="A2571" s="5" t="inlineStr">
        <is>
          <t>E02381</t>
        </is>
      </c>
      <c r="B2571" s="5" t="inlineStr">
        <is>
          <t>Male</t>
        </is>
      </c>
      <c r="C2571" s="6" t="inlineStr">
        <is>
          <t>28</t>
        </is>
      </c>
      <c r="D2571" s="5" t="inlineStr">
        <is>
          <t>Single</t>
        </is>
      </c>
      <c r="E2571" s="5" t="inlineStr">
        <is>
          <t>Diploma</t>
        </is>
      </c>
      <c r="F2571" s="5" t="inlineStr">
        <is>
          <t>Marketing</t>
        </is>
      </c>
      <c r="G2571" s="5" t="inlineStr">
        <is>
          <t>Content Writer</t>
        </is>
      </c>
      <c r="H2571" s="5" t="inlineStr">
        <is>
          <t>3</t>
        </is>
      </c>
      <c r="I2571" s="5" t="inlineStr">
        <is>
          <t>Chennai</t>
        </is>
      </c>
      <c r="J2571" s="5" t="inlineStr">
        <is>
          <t>Full-Time</t>
        </is>
      </c>
      <c r="K2571" s="7" t="n">
        <v>45402</v>
      </c>
      <c r="L2571" s="7" t="inlineStr"/>
      <c r="M2571" s="5" t="inlineStr">
        <is>
          <t>Yes</t>
        </is>
      </c>
      <c r="N2571" s="5" t="inlineStr"/>
      <c r="O2571" s="8" t="inlineStr">
        <is>
          <t>84500</t>
        </is>
      </c>
      <c r="P2571" s="5" t="inlineStr">
        <is>
          <t>0</t>
        </is>
      </c>
      <c r="Q2571" s="5" t="inlineStr">
        <is>
          <t>4</t>
        </is>
      </c>
      <c r="R2571" s="5" t="inlineStr">
        <is>
          <t>8</t>
        </is>
      </c>
      <c r="S2571" s="5" t="inlineStr">
        <is>
          <t>20</t>
        </is>
      </c>
      <c r="T2571" s="5" t="inlineStr">
        <is>
          <t>6</t>
        </is>
      </c>
      <c r="U2571" s="5" t="inlineStr">
        <is>
          <t>OK</t>
        </is>
      </c>
    </row>
    <row r="2572">
      <c r="A2572" s="5" t="inlineStr">
        <is>
          <t>E01776</t>
        </is>
      </c>
      <c r="B2572" s="5" t="inlineStr">
        <is>
          <t>Female</t>
        </is>
      </c>
      <c r="C2572" s="6" t="inlineStr">
        <is>
          <t>30</t>
        </is>
      </c>
      <c r="D2572" s="5" t="inlineStr">
        <is>
          <t>Married</t>
        </is>
      </c>
      <c r="E2572" s="5" t="inlineStr">
        <is>
          <t>High School</t>
        </is>
      </c>
      <c r="F2572" s="5" t="inlineStr">
        <is>
          <t>Marketing</t>
        </is>
      </c>
      <c r="G2572" s="5" t="inlineStr">
        <is>
          <t>SEO Specialist</t>
        </is>
      </c>
      <c r="H2572" s="5" t="inlineStr">
        <is>
          <t>4</t>
        </is>
      </c>
      <c r="I2572" s="5" t="inlineStr">
        <is>
          <t>Hyderabad</t>
        </is>
      </c>
      <c r="J2572" s="5" t="inlineStr">
        <is>
          <t>Full-Time</t>
        </is>
      </c>
      <c r="K2572" s="7" t="n">
        <v>44133</v>
      </c>
      <c r="L2572" s="7" t="inlineStr"/>
      <c r="M2572" s="5" t="inlineStr">
        <is>
          <t>Yes</t>
        </is>
      </c>
      <c r="N2572" s="5" t="inlineStr"/>
      <c r="O2572" s="8" t="inlineStr">
        <is>
          <t>129500</t>
        </is>
      </c>
      <c r="P2572" s="5" t="inlineStr">
        <is>
          <t>10</t>
        </is>
      </c>
      <c r="Q2572" s="5" t="inlineStr">
        <is>
          <t>3</t>
        </is>
      </c>
      <c r="R2572" s="5" t="inlineStr">
        <is>
          <t>4</t>
        </is>
      </c>
      <c r="S2572" s="5" t="inlineStr">
        <is>
          <t>62</t>
        </is>
      </c>
      <c r="T2572" s="5" t="inlineStr">
        <is>
          <t>5</t>
        </is>
      </c>
      <c r="U2572" s="5" t="inlineStr">
        <is>
          <t>OK</t>
        </is>
      </c>
    </row>
    <row r="2573">
      <c r="A2573" s="5" t="inlineStr">
        <is>
          <t>E00534</t>
        </is>
      </c>
      <c r="B2573" s="5" t="inlineStr">
        <is>
          <t>Male</t>
        </is>
      </c>
      <c r="C2573" s="6" t="inlineStr">
        <is>
          <t>29</t>
        </is>
      </c>
      <c r="D2573" s="5" t="inlineStr">
        <is>
          <t>Married</t>
        </is>
      </c>
      <c r="E2573" s="5" t="inlineStr">
        <is>
          <t>Bachelor</t>
        </is>
      </c>
      <c r="F2573" s="5" t="inlineStr">
        <is>
          <t>Human Resources</t>
        </is>
      </c>
      <c r="G2573" s="5" t="inlineStr">
        <is>
          <t>HR Generalist</t>
        </is>
      </c>
      <c r="H2573" s="5" t="inlineStr">
        <is>
          <t>2</t>
        </is>
      </c>
      <c r="I2573" s="5" t="inlineStr">
        <is>
          <t>Mumbai</t>
        </is>
      </c>
      <c r="J2573" s="5" t="inlineStr">
        <is>
          <t>Part-Time</t>
        </is>
      </c>
      <c r="K2573" s="7" t="n">
        <v>45868</v>
      </c>
      <c r="L2573" s="7" t="inlineStr"/>
      <c r="M2573" s="5" t="inlineStr">
        <is>
          <t>Yes</t>
        </is>
      </c>
      <c r="N2573" s="5" t="inlineStr"/>
      <c r="O2573" s="8" t="inlineStr">
        <is>
          <t>91000</t>
        </is>
      </c>
      <c r="P2573" s="5" t="inlineStr">
        <is>
          <t>0</t>
        </is>
      </c>
      <c r="Q2573" s="5" t="inlineStr">
        <is>
          <t>2</t>
        </is>
      </c>
      <c r="R2573" s="5" t="inlineStr">
        <is>
          <t>5</t>
        </is>
      </c>
      <c r="S2573" s="5" t="inlineStr">
        <is>
          <t>5</t>
        </is>
      </c>
      <c r="T2573" s="5" t="inlineStr">
        <is>
          <t>2</t>
        </is>
      </c>
      <c r="U2573" s="5" t="inlineStr">
        <is>
          <t>OK</t>
        </is>
      </c>
    </row>
    <row r="2574">
      <c r="A2574" s="5" t="inlineStr">
        <is>
          <t>E02601</t>
        </is>
      </c>
      <c r="B2574" s="5" t="inlineStr">
        <is>
          <t>Male</t>
        </is>
      </c>
      <c r="C2574" s="6" t="inlineStr">
        <is>
          <t>35</t>
        </is>
      </c>
      <c r="D2574" s="5" t="inlineStr">
        <is>
          <t>Married</t>
        </is>
      </c>
      <c r="E2574" s="5" t="inlineStr">
        <is>
          <t>High School</t>
        </is>
      </c>
      <c r="F2574" s="5" t="inlineStr">
        <is>
          <t>Human Resources</t>
        </is>
      </c>
      <c r="G2574" s="5" t="inlineStr">
        <is>
          <t>HR Generalist</t>
        </is>
      </c>
      <c r="H2574" s="5" t="inlineStr">
        <is>
          <t>2</t>
        </is>
      </c>
      <c r="I2574" s="5" t="inlineStr">
        <is>
          <t>Delhi</t>
        </is>
      </c>
      <c r="J2574" s="5" t="inlineStr">
        <is>
          <t>Full-Time</t>
        </is>
      </c>
      <c r="K2574" s="7" t="n">
        <v>43851</v>
      </c>
      <c r="L2574" s="7" t="inlineStr"/>
      <c r="M2574" s="5" t="inlineStr">
        <is>
          <t>Yes</t>
        </is>
      </c>
      <c r="N2574" s="5" t="inlineStr"/>
      <c r="O2574" s="8" t="inlineStr">
        <is>
          <t>107000</t>
        </is>
      </c>
      <c r="P2574" s="5" t="inlineStr">
        <is>
          <t>0</t>
        </is>
      </c>
      <c r="Q2574" s="5" t="inlineStr">
        <is>
          <t>5</t>
        </is>
      </c>
      <c r="R2574" s="5" t="inlineStr">
        <is>
          <t>8</t>
        </is>
      </c>
      <c r="S2574" s="5" t="inlineStr">
        <is>
          <t>72</t>
        </is>
      </c>
      <c r="T2574" s="5" t="inlineStr">
        <is>
          <t>14</t>
        </is>
      </c>
      <c r="U2574" s="5" t="inlineStr">
        <is>
          <t>OK</t>
        </is>
      </c>
    </row>
    <row r="2575">
      <c r="A2575" s="5" t="inlineStr">
        <is>
          <t>E01007</t>
        </is>
      </c>
      <c r="B2575" s="5" t="inlineStr">
        <is>
          <t>Female</t>
        </is>
      </c>
      <c r="C2575" s="6" t="inlineStr">
        <is>
          <t>35</t>
        </is>
      </c>
      <c r="D2575" s="5" t="inlineStr">
        <is>
          <t>Single</t>
        </is>
      </c>
      <c r="E2575" s="5" t="inlineStr">
        <is>
          <t>PhD</t>
        </is>
      </c>
      <c r="F2575" s="5" t="inlineStr">
        <is>
          <t>Operations</t>
        </is>
      </c>
      <c r="G2575" s="5" t="inlineStr">
        <is>
          <t>Logistics Coordinator</t>
        </is>
      </c>
      <c r="H2575" s="5" t="inlineStr">
        <is>
          <t>2</t>
        </is>
      </c>
      <c r="I2575" s="5" t="inlineStr">
        <is>
          <t>Bengaluru</t>
        </is>
      </c>
      <c r="J2575" s="5" t="inlineStr">
        <is>
          <t>Full-Time</t>
        </is>
      </c>
      <c r="K2575" s="7" t="n">
        <v>43955</v>
      </c>
      <c r="L2575" s="7" t="inlineStr"/>
      <c r="M2575" s="5" t="inlineStr">
        <is>
          <t>Yes</t>
        </is>
      </c>
      <c r="N2575" s="5" t="inlineStr"/>
      <c r="O2575" s="8" t="inlineStr">
        <is>
          <t>108000</t>
        </is>
      </c>
      <c r="P2575" s="5" t="inlineStr">
        <is>
          <t>10</t>
        </is>
      </c>
      <c r="Q2575" s="5" t="inlineStr">
        <is>
          <t>3</t>
        </is>
      </c>
      <c r="R2575" s="5" t="inlineStr">
        <is>
          <t>3</t>
        </is>
      </c>
      <c r="S2575" s="5" t="inlineStr">
        <is>
          <t>68</t>
        </is>
      </c>
      <c r="T2575" s="5" t="inlineStr">
        <is>
          <t>7</t>
        </is>
      </c>
      <c r="U2575" s="5" t="inlineStr">
        <is>
          <t>OK</t>
        </is>
      </c>
    </row>
    <row r="2576">
      <c r="A2576" s="5" t="inlineStr">
        <is>
          <t>E01284</t>
        </is>
      </c>
      <c r="B2576" s="5" t="inlineStr">
        <is>
          <t>Female</t>
        </is>
      </c>
      <c r="C2576" s="6" t="inlineStr">
        <is>
          <t>24</t>
        </is>
      </c>
      <c r="D2576" s="5" t="inlineStr">
        <is>
          <t>Single</t>
        </is>
      </c>
      <c r="E2576" s="5" t="inlineStr">
        <is>
          <t>Master</t>
        </is>
      </c>
      <c r="F2576" s="5" t="inlineStr">
        <is>
          <t>Customer Support</t>
        </is>
      </c>
      <c r="G2576" s="5" t="inlineStr">
        <is>
          <t>Support Lead</t>
        </is>
      </c>
      <c r="H2576" s="5" t="inlineStr">
        <is>
          <t>1</t>
        </is>
      </c>
      <c r="I2576" s="5" t="inlineStr">
        <is>
          <t>Bengaluru</t>
        </is>
      </c>
      <c r="J2576" s="5" t="inlineStr">
        <is>
          <t>Full-Time</t>
        </is>
      </c>
      <c r="K2576" s="7" t="n">
        <v>45336</v>
      </c>
      <c r="L2576" s="7" t="n">
        <v>45428</v>
      </c>
      <c r="M2576" s="5" t="inlineStr">
        <is>
          <t>No</t>
        </is>
      </c>
      <c r="N2576" s="5" t="inlineStr">
        <is>
          <t>Resigned</t>
        </is>
      </c>
      <c r="O2576" s="8" t="inlineStr">
        <is>
          <t>69000</t>
        </is>
      </c>
      <c r="P2576" s="5" t="inlineStr">
        <is>
          <t>10</t>
        </is>
      </c>
      <c r="Q2576" s="5" t="inlineStr">
        <is>
          <t>3</t>
        </is>
      </c>
      <c r="R2576" s="5" t="inlineStr">
        <is>
          <t>7</t>
        </is>
      </c>
      <c r="S2576" s="5" t="inlineStr">
        <is>
          <t>3</t>
        </is>
      </c>
      <c r="T2576" s="5" t="inlineStr">
        <is>
          <t>27</t>
        </is>
      </c>
      <c r="U2576" s="5" t="inlineStr">
        <is>
          <t>OK</t>
        </is>
      </c>
    </row>
    <row r="2577">
      <c r="A2577" s="5" t="inlineStr">
        <is>
          <t>E00830</t>
        </is>
      </c>
      <c r="B2577" s="5" t="inlineStr">
        <is>
          <t>Male</t>
        </is>
      </c>
      <c r="C2577" s="6" t="inlineStr">
        <is>
          <t>36</t>
        </is>
      </c>
      <c r="D2577" s="5" t="inlineStr">
        <is>
          <t>Married</t>
        </is>
      </c>
      <c r="E2577" s="5" t="inlineStr">
        <is>
          <t>Bachelor</t>
        </is>
      </c>
      <c r="F2577" s="5" t="inlineStr">
        <is>
          <t>Customer Support</t>
        </is>
      </c>
      <c r="G2577" s="5" t="inlineStr">
        <is>
          <t>Escalation Specialist</t>
        </is>
      </c>
      <c r="H2577" s="5" t="inlineStr">
        <is>
          <t>2</t>
        </is>
      </c>
      <c r="I2577" s="5" t="inlineStr">
        <is>
          <t>Delhi</t>
        </is>
      </c>
      <c r="J2577" s="5" t="inlineStr">
        <is>
          <t>Full-Time</t>
        </is>
      </c>
      <c r="K2577" s="7" t="n">
        <v>45831</v>
      </c>
      <c r="L2577" s="7" t="n">
        <v>45918</v>
      </c>
      <c r="M2577" s="5" t="inlineStr">
        <is>
          <t>No</t>
        </is>
      </c>
      <c r="N2577" s="5" t="inlineStr">
        <is>
          <t>Resigned</t>
        </is>
      </c>
      <c r="O2577" s="8" t="inlineStr">
        <is>
          <t>77500</t>
        </is>
      </c>
      <c r="P2577" s="5" t="inlineStr">
        <is>
          <t>0</t>
        </is>
      </c>
      <c r="Q2577" s="5" t="inlineStr">
        <is>
          <t>4</t>
        </is>
      </c>
      <c r="R2577" s="5" t="inlineStr">
        <is>
          <t>6</t>
        </is>
      </c>
      <c r="S2577" s="5" t="inlineStr">
        <is>
          <t>2</t>
        </is>
      </c>
      <c r="T2577" s="5" t="inlineStr">
        <is>
          <t>2</t>
        </is>
      </c>
      <c r="U2577" s="5" t="inlineStr">
        <is>
          <t>OK</t>
        </is>
      </c>
    </row>
    <row r="2578">
      <c r="A2578" s="5" t="inlineStr">
        <is>
          <t>E01302</t>
        </is>
      </c>
      <c r="B2578" s="5" t="inlineStr">
        <is>
          <t>Female</t>
        </is>
      </c>
      <c r="C2578" s="6" t="inlineStr">
        <is>
          <t>29</t>
        </is>
      </c>
      <c r="D2578" s="5" t="inlineStr">
        <is>
          <t>Divorced</t>
        </is>
      </c>
      <c r="E2578" s="5" t="inlineStr">
        <is>
          <t>Diploma</t>
        </is>
      </c>
      <c r="F2578" s="5" t="inlineStr">
        <is>
          <t>Customer Support</t>
        </is>
      </c>
      <c r="G2578" s="5" t="inlineStr">
        <is>
          <t>Support Lead</t>
        </is>
      </c>
      <c r="H2578" s="5" t="inlineStr">
        <is>
          <t>4</t>
        </is>
      </c>
      <c r="I2578" s="5" t="inlineStr">
        <is>
          <t>Bengaluru</t>
        </is>
      </c>
      <c r="J2578" s="5" t="inlineStr">
        <is>
          <t>Full-Time</t>
        </is>
      </c>
      <c r="K2578" s="7" t="n">
        <v>44910</v>
      </c>
      <c r="L2578" s="7" t="inlineStr"/>
      <c r="M2578" s="5" t="inlineStr">
        <is>
          <t>Yes</t>
        </is>
      </c>
      <c r="N2578" s="5" t="inlineStr"/>
      <c r="O2578" s="8" t="inlineStr">
        <is>
          <t>82500</t>
        </is>
      </c>
      <c r="P2578" s="5" t="inlineStr">
        <is>
          <t>0</t>
        </is>
      </c>
      <c r="Q2578" s="5" t="inlineStr">
        <is>
          <t>5</t>
        </is>
      </c>
      <c r="R2578" s="5" t="inlineStr">
        <is>
          <t>10</t>
        </is>
      </c>
      <c r="S2578" s="5" t="inlineStr">
        <is>
          <t>37</t>
        </is>
      </c>
      <c r="T2578" s="5" t="inlineStr">
        <is>
          <t>7</t>
        </is>
      </c>
      <c r="U2578" s="5" t="inlineStr">
        <is>
          <t>OK</t>
        </is>
      </c>
    </row>
    <row r="2579">
      <c r="A2579" s="5" t="inlineStr">
        <is>
          <t>E00101</t>
        </is>
      </c>
      <c r="B2579" s="5" t="inlineStr">
        <is>
          <t>Male</t>
        </is>
      </c>
      <c r="C2579" s="6" t="inlineStr">
        <is>
          <t>25</t>
        </is>
      </c>
      <c r="D2579" s="5" t="inlineStr">
        <is>
          <t>Divorced</t>
        </is>
      </c>
      <c r="E2579" s="5" t="inlineStr">
        <is>
          <t>Bachelor</t>
        </is>
      </c>
      <c r="F2579" s="5" t="inlineStr">
        <is>
          <t>IT</t>
        </is>
      </c>
      <c r="G2579" s="5" t="inlineStr">
        <is>
          <t>Software Engineer</t>
        </is>
      </c>
      <c r="H2579" s="5" t="inlineStr">
        <is>
          <t>1</t>
        </is>
      </c>
      <c r="I2579" s="5" t="inlineStr">
        <is>
          <t>Mumbai</t>
        </is>
      </c>
      <c r="J2579" s="5" t="inlineStr">
        <is>
          <t>Full-Time</t>
        </is>
      </c>
      <c r="K2579" s="7" t="n">
        <v>45472</v>
      </c>
      <c r="L2579" s="7" t="n">
        <v>45563</v>
      </c>
      <c r="M2579" s="5" t="inlineStr">
        <is>
          <t>No</t>
        </is>
      </c>
      <c r="N2579" s="5" t="inlineStr">
        <is>
          <t>Resigned</t>
        </is>
      </c>
      <c r="O2579" s="8" t="inlineStr">
        <is>
          <t>102000</t>
        </is>
      </c>
      <c r="P2579" s="5" t="inlineStr">
        <is>
          <t>5</t>
        </is>
      </c>
      <c r="Q2579" s="5" t="inlineStr">
        <is>
          <t>2</t>
        </is>
      </c>
      <c r="R2579" s="5" t="inlineStr">
        <is>
          <t>2</t>
        </is>
      </c>
      <c r="S2579" s="5" t="inlineStr">
        <is>
          <t>3</t>
        </is>
      </c>
      <c r="T2579" s="5" t="inlineStr">
        <is>
          <t>4</t>
        </is>
      </c>
      <c r="U2579" s="5" t="inlineStr">
        <is>
          <t>OK</t>
        </is>
      </c>
    </row>
    <row r="2580">
      <c r="A2580" s="5" t="inlineStr">
        <is>
          <t>E00382</t>
        </is>
      </c>
      <c r="B2580" s="5" t="inlineStr">
        <is>
          <t>Female</t>
        </is>
      </c>
      <c r="C2580" s="6" t="inlineStr">
        <is>
          <t>27</t>
        </is>
      </c>
      <c r="D2580" s="5" t="inlineStr">
        <is>
          <t>Married</t>
        </is>
      </c>
      <c r="E2580" s="5" t="inlineStr">
        <is>
          <t>High School</t>
        </is>
      </c>
      <c r="F2580" s="5" t="inlineStr">
        <is>
          <t>Human Resources</t>
        </is>
      </c>
      <c r="G2580" s="5" t="inlineStr">
        <is>
          <t>HR Analyst</t>
        </is>
      </c>
      <c r="H2580" s="5" t="inlineStr">
        <is>
          <t>1</t>
        </is>
      </c>
      <c r="I2580" s="5" t="inlineStr">
        <is>
          <t>Bengaluru</t>
        </is>
      </c>
      <c r="J2580" s="5" t="inlineStr">
        <is>
          <t>Full-Time</t>
        </is>
      </c>
      <c r="K2580" s="7" t="n">
        <v>45433</v>
      </c>
      <c r="L2580" s="7" t="n">
        <v>45485</v>
      </c>
      <c r="M2580" s="5" t="inlineStr">
        <is>
          <t>No</t>
        </is>
      </c>
      <c r="N2580" s="5" t="inlineStr">
        <is>
          <t>Resigned</t>
        </is>
      </c>
      <c r="O2580" s="8" t="inlineStr">
        <is>
          <t>74500</t>
        </is>
      </c>
      <c r="P2580" s="5" t="inlineStr">
        <is>
          <t>10</t>
        </is>
      </c>
      <c r="Q2580" s="5" t="inlineStr">
        <is>
          <t>5</t>
        </is>
      </c>
      <c r="R2580" s="5" t="inlineStr">
        <is>
          <t>7</t>
        </is>
      </c>
      <c r="S2580" s="5" t="inlineStr">
        <is>
          <t>1</t>
        </is>
      </c>
      <c r="T2580" s="5" t="inlineStr">
        <is>
          <t>11</t>
        </is>
      </c>
      <c r="U2580" s="5" t="inlineStr">
        <is>
          <t>OK</t>
        </is>
      </c>
    </row>
    <row r="2581">
      <c r="A2581" s="5" t="inlineStr">
        <is>
          <t>E00490</t>
        </is>
      </c>
      <c r="B2581" s="5" t="inlineStr">
        <is>
          <t>Female</t>
        </is>
      </c>
      <c r="C2581" s="6" t="inlineStr">
        <is>
          <t>33</t>
        </is>
      </c>
      <c r="D2581" s="5" t="inlineStr">
        <is>
          <t>Single</t>
        </is>
      </c>
      <c r="E2581" s="5" t="inlineStr">
        <is>
          <t>High School</t>
        </is>
      </c>
      <c r="F2581" s="5" t="inlineStr">
        <is>
          <t>Finance</t>
        </is>
      </c>
      <c r="G2581" s="5" t="inlineStr">
        <is>
          <t>Credit Analyst</t>
        </is>
      </c>
      <c r="H2581" s="5" t="inlineStr">
        <is>
          <t>5</t>
        </is>
      </c>
      <c r="I2581" s="5" t="inlineStr">
        <is>
          <t>Hyderabad</t>
        </is>
      </c>
      <c r="J2581" s="5" t="inlineStr">
        <is>
          <t>Part-Time</t>
        </is>
      </c>
      <c r="K2581" s="7" t="n">
        <v>44217</v>
      </c>
      <c r="L2581" s="7" t="n">
        <v>44268</v>
      </c>
      <c r="M2581" s="5" t="inlineStr">
        <is>
          <t>No</t>
        </is>
      </c>
      <c r="N2581" s="5" t="inlineStr">
        <is>
          <t>Retirement</t>
        </is>
      </c>
      <c r="O2581" s="8" t="inlineStr">
        <is>
          <t>129500</t>
        </is>
      </c>
      <c r="P2581" s="5" t="inlineStr">
        <is>
          <t>20</t>
        </is>
      </c>
      <c r="Q2581" s="5" t="inlineStr">
        <is>
          <t>2</t>
        </is>
      </c>
      <c r="R2581" s="5" t="inlineStr">
        <is>
          <t>7</t>
        </is>
      </c>
      <c r="S2581" s="5" t="inlineStr">
        <is>
          <t>1</t>
        </is>
      </c>
      <c r="T2581" s="5" t="inlineStr">
        <is>
          <t>12</t>
        </is>
      </c>
      <c r="U2581" s="5" t="inlineStr">
        <is>
          <t>OK</t>
        </is>
      </c>
    </row>
    <row r="2582">
      <c r="A2582" s="5" t="inlineStr">
        <is>
          <t>E01976</t>
        </is>
      </c>
      <c r="B2582" s="5" t="inlineStr">
        <is>
          <t>Male</t>
        </is>
      </c>
      <c r="C2582" s="6" t="inlineStr">
        <is>
          <t>24</t>
        </is>
      </c>
      <c r="D2582" s="5" t="inlineStr">
        <is>
          <t>Divorced</t>
        </is>
      </c>
      <c r="E2582" s="5" t="inlineStr">
        <is>
          <t>PhD</t>
        </is>
      </c>
      <c r="F2582" s="5" t="inlineStr">
        <is>
          <t>Finance</t>
        </is>
      </c>
      <c r="G2582" s="5" t="inlineStr">
        <is>
          <t>Credit Analyst</t>
        </is>
      </c>
      <c r="H2582" s="5" t="inlineStr">
        <is>
          <t>1</t>
        </is>
      </c>
      <c r="I2582" s="5" t="inlineStr">
        <is>
          <t>Hyderabad</t>
        </is>
      </c>
      <c r="J2582" s="5" t="inlineStr">
        <is>
          <t>Full-Time</t>
        </is>
      </c>
      <c r="K2582" s="7" t="n">
        <v>45156</v>
      </c>
      <c r="L2582" s="7" t="inlineStr"/>
      <c r="M2582" s="5" t="inlineStr">
        <is>
          <t>Yes</t>
        </is>
      </c>
      <c r="N2582" s="5" t="inlineStr"/>
      <c r="O2582" s="8" t="inlineStr">
        <is>
          <t>97000</t>
        </is>
      </c>
      <c r="P2582" s="5" t="inlineStr">
        <is>
          <t>5</t>
        </is>
      </c>
      <c r="Q2582" s="5" t="inlineStr">
        <is>
          <t>3</t>
        </is>
      </c>
      <c r="R2582" s="5" t="inlineStr">
        <is>
          <t>4</t>
        </is>
      </c>
      <c r="S2582" s="5" t="inlineStr">
        <is>
          <t>28</t>
        </is>
      </c>
      <c r="T2582" s="5" t="inlineStr">
        <is>
          <t>3</t>
        </is>
      </c>
      <c r="U2582" s="5" t="inlineStr">
        <is>
          <t>OK</t>
        </is>
      </c>
    </row>
    <row r="2583">
      <c r="A2583" s="5" t="inlineStr">
        <is>
          <t>E00188</t>
        </is>
      </c>
      <c r="B2583" s="5" t="inlineStr">
        <is>
          <t>Male</t>
        </is>
      </c>
      <c r="C2583" s="6" t="inlineStr">
        <is>
          <t>31</t>
        </is>
      </c>
      <c r="D2583" s="5" t="inlineStr">
        <is>
          <t>Married</t>
        </is>
      </c>
      <c r="E2583" s="5" t="inlineStr">
        <is>
          <t>High School</t>
        </is>
      </c>
      <c r="F2583" s="5" t="inlineStr">
        <is>
          <t>Operations</t>
        </is>
      </c>
      <c r="G2583" s="5" t="inlineStr">
        <is>
          <t>Quality Analyst</t>
        </is>
      </c>
      <c r="H2583" s="5" t="inlineStr">
        <is>
          <t>3</t>
        </is>
      </c>
      <c r="I2583" s="5" t="inlineStr">
        <is>
          <t>Mumbai</t>
        </is>
      </c>
      <c r="J2583" s="5" t="inlineStr">
        <is>
          <t>Full-Time</t>
        </is>
      </c>
      <c r="K2583" s="7" t="n">
        <v>44107</v>
      </c>
      <c r="L2583" s="7" t="inlineStr"/>
      <c r="M2583" s="5" t="inlineStr">
        <is>
          <t>Yes</t>
        </is>
      </c>
      <c r="N2583" s="5" t="inlineStr"/>
      <c r="O2583" s="8" t="inlineStr">
        <is>
          <t>117000</t>
        </is>
      </c>
      <c r="P2583" s="5" t="inlineStr">
        <is>
          <t>0</t>
        </is>
      </c>
      <c r="Q2583" s="5" t="inlineStr">
        <is>
          <t>4</t>
        </is>
      </c>
      <c r="R2583" s="5" t="inlineStr">
        <is>
          <t>6</t>
        </is>
      </c>
      <c r="S2583" s="5" t="inlineStr">
        <is>
          <t>63</t>
        </is>
      </c>
      <c r="T2583" s="5" t="inlineStr">
        <is>
          <t>9</t>
        </is>
      </c>
      <c r="U2583" s="5" t="inlineStr">
        <is>
          <t>OK</t>
        </is>
      </c>
    </row>
    <row r="2584">
      <c r="A2584" s="5" t="inlineStr">
        <is>
          <t>E01286</t>
        </is>
      </c>
      <c r="B2584" s="5" t="inlineStr">
        <is>
          <t>Male</t>
        </is>
      </c>
      <c r="C2584" s="6" t="inlineStr">
        <is>
          <t>28</t>
        </is>
      </c>
      <c r="D2584" s="5" t="inlineStr">
        <is>
          <t>Married</t>
        </is>
      </c>
      <c r="E2584" s="5" t="inlineStr">
        <is>
          <t>PhD</t>
        </is>
      </c>
      <c r="F2584" s="5" t="inlineStr">
        <is>
          <t>Research &amp; Development</t>
        </is>
      </c>
      <c r="G2584" s="5" t="inlineStr">
        <is>
          <t>Research Scientist</t>
        </is>
      </c>
      <c r="H2584" s="5" t="inlineStr">
        <is>
          <t>1</t>
        </is>
      </c>
      <c r="I2584" s="5" t="inlineStr">
        <is>
          <t>Remote</t>
        </is>
      </c>
      <c r="J2584" s="5" t="inlineStr">
        <is>
          <t>Full-Time</t>
        </is>
      </c>
      <c r="K2584" s="7" t="n">
        <v>45231</v>
      </c>
      <c r="L2584" s="7" t="inlineStr"/>
      <c r="M2584" s="5" t="inlineStr">
        <is>
          <t>Yes</t>
        </is>
      </c>
      <c r="N2584" s="5" t="inlineStr"/>
      <c r="O2584" s="8" t="inlineStr">
        <is>
          <t>113500</t>
        </is>
      </c>
      <c r="P2584" s="5" t="inlineStr">
        <is>
          <t>10</t>
        </is>
      </c>
      <c r="Q2584" s="5" t="inlineStr">
        <is>
          <t>5</t>
        </is>
      </c>
      <c r="R2584" s="5" t="inlineStr">
        <is>
          <t>7</t>
        </is>
      </c>
      <c r="S2584" s="5" t="inlineStr">
        <is>
          <t>26</t>
        </is>
      </c>
      <c r="T2584" s="5" t="inlineStr">
        <is>
          <t>8</t>
        </is>
      </c>
      <c r="U2584" s="5" t="inlineStr">
        <is>
          <t>OK</t>
        </is>
      </c>
    </row>
    <row r="2585">
      <c r="A2585" s="5" t="inlineStr">
        <is>
          <t>E02516</t>
        </is>
      </c>
      <c r="B2585" s="5" t="inlineStr">
        <is>
          <t>Male</t>
        </is>
      </c>
      <c r="C2585" s="6" t="inlineStr">
        <is>
          <t>29</t>
        </is>
      </c>
      <c r="D2585" s="5" t="inlineStr">
        <is>
          <t>Divorced</t>
        </is>
      </c>
      <c r="E2585" s="5" t="inlineStr">
        <is>
          <t>PhD</t>
        </is>
      </c>
      <c r="F2585" s="5" t="inlineStr">
        <is>
          <t>IT</t>
        </is>
      </c>
      <c r="G2585" s="5" t="inlineStr">
        <is>
          <t>IT Support</t>
        </is>
      </c>
      <c r="H2585" s="5" t="inlineStr">
        <is>
          <t>2</t>
        </is>
      </c>
      <c r="I2585" s="5" t="inlineStr">
        <is>
          <t>Hyderabad</t>
        </is>
      </c>
      <c r="J2585" s="5" t="inlineStr">
        <is>
          <t>Full-Time</t>
        </is>
      </c>
      <c r="K2585" s="7" t="n">
        <v>45538</v>
      </c>
      <c r="L2585" s="7" t="inlineStr"/>
      <c r="M2585" s="5" t="inlineStr">
        <is>
          <t>Yes</t>
        </is>
      </c>
      <c r="N2585" s="5" t="inlineStr"/>
      <c r="O2585" s="8" t="inlineStr">
        <is>
          <t>152500</t>
        </is>
      </c>
      <c r="P2585" s="5" t="inlineStr">
        <is>
          <t>0</t>
        </is>
      </c>
      <c r="Q2585" s="5" t="inlineStr">
        <is>
          <t>4</t>
        </is>
      </c>
      <c r="R2585" s="5" t="inlineStr">
        <is>
          <t>7</t>
        </is>
      </c>
      <c r="S2585" s="5" t="inlineStr">
        <is>
          <t>16</t>
        </is>
      </c>
      <c r="T2585" s="5" t="inlineStr">
        <is>
          <t>6</t>
        </is>
      </c>
      <c r="U2585" s="5" t="inlineStr">
        <is>
          <t>OK</t>
        </is>
      </c>
    </row>
    <row r="2586">
      <c r="A2586" s="5" t="inlineStr">
        <is>
          <t>E02477</t>
        </is>
      </c>
      <c r="B2586" s="5" t="inlineStr">
        <is>
          <t>Male</t>
        </is>
      </c>
      <c r="C2586" s="6" t="inlineStr">
        <is>
          <t>31</t>
        </is>
      </c>
      <c r="D2586" s="5" t="inlineStr">
        <is>
          <t>Married</t>
        </is>
      </c>
      <c r="E2586" s="5" t="inlineStr">
        <is>
          <t>High School</t>
        </is>
      </c>
      <c r="F2586" s="5" t="inlineStr">
        <is>
          <t>Operations</t>
        </is>
      </c>
      <c r="G2586" s="5" t="inlineStr">
        <is>
          <t>Logistics Coordinator</t>
        </is>
      </c>
      <c r="H2586" s="5" t="inlineStr">
        <is>
          <t>1</t>
        </is>
      </c>
      <c r="I2586" s="5" t="inlineStr">
        <is>
          <t>Remote</t>
        </is>
      </c>
      <c r="J2586" s="5" t="inlineStr">
        <is>
          <t>Full-Time</t>
        </is>
      </c>
      <c r="K2586" s="7" t="n">
        <v>45539</v>
      </c>
      <c r="L2586" s="7" t="inlineStr"/>
      <c r="M2586" s="5" t="inlineStr">
        <is>
          <t>Yes</t>
        </is>
      </c>
      <c r="N2586" s="5" t="inlineStr"/>
      <c r="O2586" s="8" t="inlineStr">
        <is>
          <t>89500</t>
        </is>
      </c>
      <c r="P2586" s="5" t="inlineStr">
        <is>
          <t>10</t>
        </is>
      </c>
      <c r="Q2586" s="5" t="inlineStr">
        <is>
          <t>3</t>
        </is>
      </c>
      <c r="R2586" s="5" t="inlineStr">
        <is>
          <t>7</t>
        </is>
      </c>
      <c r="S2586" s="5" t="inlineStr">
        <is>
          <t>16</t>
        </is>
      </c>
      <c r="T2586" s="5" t="inlineStr">
        <is>
          <t>3</t>
        </is>
      </c>
      <c r="U2586" s="5" t="inlineStr">
        <is>
          <t>OK</t>
        </is>
      </c>
    </row>
    <row r="2587">
      <c r="A2587" s="5" t="inlineStr">
        <is>
          <t>E01847</t>
        </is>
      </c>
      <c r="B2587" s="5" t="inlineStr">
        <is>
          <t>Female</t>
        </is>
      </c>
      <c r="C2587" s="6" t="inlineStr">
        <is>
          <t>32</t>
        </is>
      </c>
      <c r="D2587" s="5" t="inlineStr">
        <is>
          <t>Single</t>
        </is>
      </c>
      <c r="E2587" s="5" t="inlineStr">
        <is>
          <t>Master</t>
        </is>
      </c>
      <c r="F2587" s="5" t="inlineStr">
        <is>
          <t>Operations</t>
        </is>
      </c>
      <c r="G2587" s="5" t="inlineStr">
        <is>
          <t>Quality Analyst</t>
        </is>
      </c>
      <c r="H2587" s="5" t="inlineStr">
        <is>
          <t>2</t>
        </is>
      </c>
      <c r="I2587" s="5" t="inlineStr">
        <is>
          <t>Chennai</t>
        </is>
      </c>
      <c r="J2587" s="5" t="inlineStr">
        <is>
          <t>Part-Time</t>
        </is>
      </c>
      <c r="K2587" s="7" t="n">
        <v>45334</v>
      </c>
      <c r="L2587" s="7" t="n">
        <v>45418</v>
      </c>
      <c r="M2587" s="5" t="inlineStr">
        <is>
          <t>No</t>
        </is>
      </c>
      <c r="N2587" s="5" t="inlineStr">
        <is>
          <t>Resigned</t>
        </is>
      </c>
      <c r="O2587" s="8" t="inlineStr">
        <is>
          <t>88000</t>
        </is>
      </c>
      <c r="P2587" s="5" t="inlineStr">
        <is>
          <t>10</t>
        </is>
      </c>
      <c r="Q2587" s="5" t="inlineStr">
        <is>
          <t>5</t>
        </is>
      </c>
      <c r="R2587" s="5" t="inlineStr">
        <is>
          <t>7</t>
        </is>
      </c>
      <c r="S2587" s="5" t="inlineStr">
        <is>
          <t>2</t>
        </is>
      </c>
      <c r="T2587" s="5" t="inlineStr">
        <is>
          <t>4</t>
        </is>
      </c>
      <c r="U2587" s="5" t="inlineStr">
        <is>
          <t>OK</t>
        </is>
      </c>
    </row>
    <row r="2588">
      <c r="A2588" s="5" t="inlineStr">
        <is>
          <t>E01417</t>
        </is>
      </c>
      <c r="B2588" s="5" t="inlineStr">
        <is>
          <t>female</t>
        </is>
      </c>
      <c r="C2588" s="6" t="inlineStr">
        <is>
          <t>28</t>
        </is>
      </c>
      <c r="D2588" s="5" t="inlineStr">
        <is>
          <t>Married</t>
        </is>
      </c>
      <c r="E2588" s="5" t="inlineStr">
        <is>
          <t>Bachelor</t>
        </is>
      </c>
      <c r="F2588" s="5" t="inlineStr">
        <is>
          <t>Sales</t>
        </is>
      </c>
      <c r="G2588" s="5" t="inlineStr">
        <is>
          <t>Account Executive</t>
        </is>
      </c>
      <c r="H2588" s="5" t="inlineStr">
        <is>
          <t>1</t>
        </is>
      </c>
      <c r="I2588" s="5" t="inlineStr">
        <is>
          <t>Bengaluru</t>
        </is>
      </c>
      <c r="J2588" s="5" t="inlineStr">
        <is>
          <t>Full-Time</t>
        </is>
      </c>
      <c r="K2588" s="7" t="n">
        <v>45903</v>
      </c>
      <c r="L2588" s="7" t="n">
        <v>45944</v>
      </c>
      <c r="M2588" s="5" t="inlineStr">
        <is>
          <t>No</t>
        </is>
      </c>
      <c r="N2588" s="5" t="inlineStr">
        <is>
          <t>Resigned</t>
        </is>
      </c>
      <c r="O2588" s="8" t="inlineStr">
        <is>
          <t>80500</t>
        </is>
      </c>
      <c r="P2588" s="5" t="inlineStr">
        <is>
          <t>10</t>
        </is>
      </c>
      <c r="Q2588" s="5" t="inlineStr">
        <is>
          <t>3</t>
        </is>
      </c>
      <c r="R2588" s="5" t="inlineStr">
        <is>
          <t>7</t>
        </is>
      </c>
      <c r="S2588" s="5" t="inlineStr">
        <is>
          <t>1</t>
        </is>
      </c>
      <c r="T2588" s="5" t="inlineStr">
        <is>
          <t>12</t>
        </is>
      </c>
      <c r="U2588" s="5" t="inlineStr">
        <is>
          <t>OK</t>
        </is>
      </c>
    </row>
    <row r="2589">
      <c r="A2589" s="5" t="inlineStr">
        <is>
          <t>E01557</t>
        </is>
      </c>
      <c r="B2589" s="5" t="inlineStr">
        <is>
          <t>Female</t>
        </is>
      </c>
      <c r="C2589" s="6" t="inlineStr">
        <is>
          <t>31</t>
        </is>
      </c>
      <c r="D2589" s="5" t="inlineStr">
        <is>
          <t>Married</t>
        </is>
      </c>
      <c r="E2589" s="5" t="inlineStr">
        <is>
          <t>Bachelor</t>
        </is>
      </c>
      <c r="F2589" s="5" t="inlineStr">
        <is>
          <t>Sales</t>
        </is>
      </c>
      <c r="G2589" s="5" t="inlineStr">
        <is>
          <t>Sales Executive</t>
        </is>
      </c>
      <c r="H2589" s="5" t="inlineStr">
        <is>
          <t>5</t>
        </is>
      </c>
      <c r="I2589" s="5" t="inlineStr">
        <is>
          <t>Mumbai</t>
        </is>
      </c>
      <c r="J2589" s="5" t="inlineStr">
        <is>
          <t>Contract</t>
        </is>
      </c>
      <c r="K2589" s="7" t="n">
        <v>45779</v>
      </c>
      <c r="L2589" s="7" t="inlineStr"/>
      <c r="M2589" s="5" t="inlineStr">
        <is>
          <t>Yes</t>
        </is>
      </c>
      <c r="N2589" s="5" t="inlineStr"/>
      <c r="O2589" s="8" t="inlineStr">
        <is>
          <t>137500</t>
        </is>
      </c>
      <c r="P2589" s="5" t="inlineStr">
        <is>
          <t>0</t>
        </is>
      </c>
      <c r="Q2589" s="5" t="inlineStr">
        <is>
          <t>4</t>
        </is>
      </c>
      <c r="R2589" s="5" t="inlineStr">
        <is>
          <t>9</t>
        </is>
      </c>
      <c r="S2589" s="5" t="inlineStr">
        <is>
          <t>8</t>
        </is>
      </c>
      <c r="T2589" s="5" t="inlineStr">
        <is>
          <t>3</t>
        </is>
      </c>
      <c r="U2589" s="5" t="inlineStr">
        <is>
          <t>OK</t>
        </is>
      </c>
    </row>
    <row r="2590">
      <c r="A2590" s="5" t="inlineStr">
        <is>
          <t>E01314</t>
        </is>
      </c>
      <c r="B2590" s="5" t="inlineStr">
        <is>
          <t>Unknown</t>
        </is>
      </c>
      <c r="C2590" s="6" t="inlineStr">
        <is>
          <t>38</t>
        </is>
      </c>
      <c r="D2590" s="5" t="inlineStr">
        <is>
          <t>Married</t>
        </is>
      </c>
      <c r="E2590" s="5" t="inlineStr">
        <is>
          <t>Diploma</t>
        </is>
      </c>
      <c r="F2590" s="5" t="inlineStr">
        <is>
          <t>Sales</t>
        </is>
      </c>
      <c r="G2590" s="5" t="inlineStr">
        <is>
          <t>Business Development</t>
        </is>
      </c>
      <c r="H2590" s="5" t="inlineStr">
        <is>
          <t>6</t>
        </is>
      </c>
      <c r="I2590" s="5" t="inlineStr">
        <is>
          <t>Chennai</t>
        </is>
      </c>
      <c r="J2590" s="5" t="inlineStr">
        <is>
          <t>Full-Time</t>
        </is>
      </c>
      <c r="K2590" s="7" t="n">
        <v>45086</v>
      </c>
      <c r="L2590" s="7" t="inlineStr"/>
      <c r="M2590" s="5" t="inlineStr">
        <is>
          <t>Yes</t>
        </is>
      </c>
      <c r="N2590" s="5" t="inlineStr"/>
      <c r="O2590" s="8" t="inlineStr">
        <is>
          <t>112000</t>
        </is>
      </c>
      <c r="P2590" s="5" t="inlineStr">
        <is>
          <t>5</t>
        </is>
      </c>
      <c r="Q2590" s="5" t="inlineStr">
        <is>
          <t>3</t>
        </is>
      </c>
      <c r="R2590" s="5" t="inlineStr">
        <is>
          <t>7</t>
        </is>
      </c>
      <c r="S2590" s="5" t="inlineStr">
        <is>
          <t>31</t>
        </is>
      </c>
      <c r="T2590" s="5" t="inlineStr">
        <is>
          <t>11</t>
        </is>
      </c>
      <c r="U2590" s="5" t="inlineStr">
        <is>
          <t>Bad gender</t>
        </is>
      </c>
    </row>
    <row r="2591">
      <c r="A2591" s="5" t="inlineStr">
        <is>
          <t>E02940</t>
        </is>
      </c>
      <c r="B2591" s="5" t="inlineStr">
        <is>
          <t>Male</t>
        </is>
      </c>
      <c r="C2591" s="6" t="inlineStr">
        <is>
          <t>23</t>
        </is>
      </c>
      <c r="D2591" s="5" t="inlineStr">
        <is>
          <t>Married</t>
        </is>
      </c>
      <c r="E2591" s="5" t="inlineStr">
        <is>
          <t>Diploma</t>
        </is>
      </c>
      <c r="F2591" s="5" t="inlineStr">
        <is>
          <t>IT</t>
        </is>
      </c>
      <c r="G2591" s="5" t="inlineStr">
        <is>
          <t>Data Analyst</t>
        </is>
      </c>
      <c r="H2591" s="5" t="inlineStr">
        <is>
          <t>1</t>
        </is>
      </c>
      <c r="I2591" s="5" t="inlineStr">
        <is>
          <t>Bengaluru</t>
        </is>
      </c>
      <c r="J2591" s="5" t="inlineStr">
        <is>
          <t>Full-Time</t>
        </is>
      </c>
      <c r="K2591" s="7" t="n">
        <v>44065</v>
      </c>
      <c r="L2591" s="7" t="inlineStr"/>
      <c r="M2591" s="5" t="inlineStr">
        <is>
          <t>Yes</t>
        </is>
      </c>
      <c r="N2591" s="5" t="inlineStr"/>
      <c r="O2591" s="8" t="inlineStr">
        <is>
          <t>110000</t>
        </is>
      </c>
      <c r="P2591" s="5" t="inlineStr">
        <is>
          <t>0</t>
        </is>
      </c>
      <c r="Q2591" s="5" t="inlineStr">
        <is>
          <t>2</t>
        </is>
      </c>
      <c r="R2591" s="5" t="inlineStr">
        <is>
          <t>8</t>
        </is>
      </c>
      <c r="S2591" s="5" t="inlineStr">
        <is>
          <t>65</t>
        </is>
      </c>
      <c r="T2591" s="5" t="inlineStr">
        <is>
          <t>8</t>
        </is>
      </c>
      <c r="U2591" s="5" t="inlineStr">
        <is>
          <t>OK</t>
        </is>
      </c>
    </row>
    <row r="2592">
      <c r="A2592" s="5" t="inlineStr">
        <is>
          <t>E01875</t>
        </is>
      </c>
      <c r="B2592" s="5" t="inlineStr">
        <is>
          <t>Female</t>
        </is>
      </c>
      <c r="C2592" s="6" t="inlineStr">
        <is>
          <t>46</t>
        </is>
      </c>
      <c r="D2592" s="5" t="inlineStr">
        <is>
          <t>Married</t>
        </is>
      </c>
      <c r="E2592" s="5" t="inlineStr">
        <is>
          <t>Bachelor</t>
        </is>
      </c>
      <c r="F2592" s="5" t="inlineStr">
        <is>
          <t>Human Resources</t>
        </is>
      </c>
      <c r="G2592" s="5" t="inlineStr">
        <is>
          <t>HR Analyst</t>
        </is>
      </c>
      <c r="H2592" s="5" t="inlineStr">
        <is>
          <t>7</t>
        </is>
      </c>
      <c r="I2592" s="5" t="inlineStr">
        <is>
          <t>Delhi</t>
        </is>
      </c>
      <c r="J2592" s="5" t="inlineStr">
        <is>
          <t>Part-Time</t>
        </is>
      </c>
      <c r="K2592" s="7" t="n">
        <v>45537</v>
      </c>
      <c r="L2592" s="7" t="inlineStr"/>
      <c r="M2592" s="5" t="inlineStr">
        <is>
          <t>Yes</t>
        </is>
      </c>
      <c r="N2592" s="5" t="inlineStr"/>
      <c r="O2592" s="8" t="inlineStr">
        <is>
          <t>117500</t>
        </is>
      </c>
      <c r="P2592" s="5" t="inlineStr">
        <is>
          <t>0</t>
        </is>
      </c>
      <c r="Q2592" s="5" t="inlineStr">
        <is>
          <t>3</t>
        </is>
      </c>
      <c r="R2592" s="5" t="inlineStr">
        <is>
          <t>3</t>
        </is>
      </c>
      <c r="S2592" s="5" t="inlineStr">
        <is>
          <t>16</t>
        </is>
      </c>
      <c r="T2592" s="5" t="inlineStr">
        <is>
          <t>0</t>
        </is>
      </c>
      <c r="U2592" s="5" t="inlineStr">
        <is>
          <t>OK</t>
        </is>
      </c>
    </row>
    <row r="2593">
      <c r="A2593" s="5" t="inlineStr">
        <is>
          <t>E02117</t>
        </is>
      </c>
      <c r="B2593" s="5" t="inlineStr">
        <is>
          <t>male</t>
        </is>
      </c>
      <c r="C2593" s="6" t="inlineStr">
        <is>
          <t>31</t>
        </is>
      </c>
      <c r="D2593" s="5" t="inlineStr">
        <is>
          <t>Single</t>
        </is>
      </c>
      <c r="E2593" s="5" t="inlineStr">
        <is>
          <t>Master</t>
        </is>
      </c>
      <c r="F2593" s="5" t="inlineStr">
        <is>
          <t>Customer Support</t>
        </is>
      </c>
      <c r="G2593" s="5" t="inlineStr">
        <is>
          <t>Support Agent</t>
        </is>
      </c>
      <c r="H2593" s="5" t="inlineStr">
        <is>
          <t>1</t>
        </is>
      </c>
      <c r="I2593" s="5" t="inlineStr">
        <is>
          <t>Delhi</t>
        </is>
      </c>
      <c r="J2593" s="5" t="inlineStr">
        <is>
          <t>Full-Time</t>
        </is>
      </c>
      <c r="K2593" s="7" t="n">
        <v>45385</v>
      </c>
      <c r="L2593" s="7" t="inlineStr"/>
      <c r="M2593" s="5" t="inlineStr">
        <is>
          <t>Yes</t>
        </is>
      </c>
      <c r="N2593" s="5" t="inlineStr"/>
      <c r="O2593" s="8" t="inlineStr">
        <is>
          <t>45000</t>
        </is>
      </c>
      <c r="P2593" s="5" t="inlineStr">
        <is>
          <t>0</t>
        </is>
      </c>
      <c r="Q2593" s="5" t="inlineStr">
        <is>
          <t>4</t>
        </is>
      </c>
      <c r="R2593" s="5" t="inlineStr">
        <is>
          <t>6</t>
        </is>
      </c>
      <c r="S2593" s="5" t="inlineStr">
        <is>
          <t>21</t>
        </is>
      </c>
      <c r="T2593" s="5" t="inlineStr">
        <is>
          <t>8</t>
        </is>
      </c>
      <c r="U2593" s="5" t="inlineStr">
        <is>
          <t>OK</t>
        </is>
      </c>
    </row>
    <row r="2594">
      <c r="A2594" s="5" t="inlineStr">
        <is>
          <t>E01672</t>
        </is>
      </c>
      <c r="B2594" s="5" t="inlineStr">
        <is>
          <t>Female</t>
        </is>
      </c>
      <c r="C2594" s="6" t="inlineStr">
        <is>
          <t>36</t>
        </is>
      </c>
      <c r="D2594" s="5" t="inlineStr">
        <is>
          <t>Divorced</t>
        </is>
      </c>
      <c r="E2594" s="5" t="inlineStr">
        <is>
          <t>High School</t>
        </is>
      </c>
      <c r="F2594" s="5" t="inlineStr">
        <is>
          <t>Marketing</t>
        </is>
      </c>
      <c r="G2594" s="5" t="inlineStr">
        <is>
          <t>Marketing Analyst</t>
        </is>
      </c>
      <c r="H2594" s="5" t="inlineStr">
        <is>
          <t>6</t>
        </is>
      </c>
      <c r="I2594" s="5" t="inlineStr">
        <is>
          <t>Mumbai</t>
        </is>
      </c>
      <c r="J2594" s="5" t="inlineStr">
        <is>
          <t>Full-Time</t>
        </is>
      </c>
      <c r="K2594" s="7" t="n">
        <v>44385</v>
      </c>
      <c r="L2594" s="7" t="inlineStr"/>
      <c r="M2594" s="5" t="inlineStr">
        <is>
          <t>Yes</t>
        </is>
      </c>
      <c r="N2594" s="5" t="inlineStr"/>
      <c r="O2594" s="8" t="inlineStr">
        <is>
          <t>99000</t>
        </is>
      </c>
      <c r="P2594" s="5" t="inlineStr">
        <is>
          <t>15</t>
        </is>
      </c>
      <c r="Q2594" s="5" t="inlineStr">
        <is>
          <t>5</t>
        </is>
      </c>
      <c r="R2594" s="5" t="inlineStr">
        <is>
          <t>6</t>
        </is>
      </c>
      <c r="S2594" s="5" t="inlineStr">
        <is>
          <t>54</t>
        </is>
      </c>
      <c r="T2594" s="5" t="inlineStr">
        <is>
          <t>0</t>
        </is>
      </c>
      <c r="U2594" s="5" t="inlineStr">
        <is>
          <t>OK</t>
        </is>
      </c>
    </row>
    <row r="2595">
      <c r="A2595" s="5" t="inlineStr">
        <is>
          <t>E01238</t>
        </is>
      </c>
      <c r="B2595" s="5" t="inlineStr">
        <is>
          <t>Male</t>
        </is>
      </c>
      <c r="C2595" s="6" t="inlineStr">
        <is>
          <t>26</t>
        </is>
      </c>
      <c r="D2595" s="5" t="inlineStr">
        <is>
          <t>Single</t>
        </is>
      </c>
      <c r="E2595" s="5" t="inlineStr">
        <is>
          <t>Diploma</t>
        </is>
      </c>
      <c r="F2595" s="5" t="inlineStr">
        <is>
          <t>Research &amp; Development</t>
        </is>
      </c>
      <c r="G2595" s="5" t="inlineStr">
        <is>
          <t>Research Scientist</t>
        </is>
      </c>
      <c r="H2595" s="5" t="inlineStr">
        <is>
          <t>1</t>
        </is>
      </c>
      <c r="I2595" s="5" t="inlineStr">
        <is>
          <t>Delhi</t>
        </is>
      </c>
      <c r="J2595" s="5" t="inlineStr">
        <is>
          <t>Full-Time</t>
        </is>
      </c>
      <c r="K2595" s="7" t="n">
        <v>45701</v>
      </c>
      <c r="L2595" s="7" t="inlineStr"/>
      <c r="M2595" s="5" t="inlineStr">
        <is>
          <t>Yes</t>
        </is>
      </c>
      <c r="N2595" s="5" t="inlineStr"/>
      <c r="O2595" s="8" t="inlineStr">
        <is>
          <t>152500</t>
        </is>
      </c>
      <c r="P2595" s="5" t="inlineStr">
        <is>
          <t>10</t>
        </is>
      </c>
      <c r="Q2595" s="5" t="inlineStr">
        <is>
          <t>4</t>
        </is>
      </c>
      <c r="R2595" s="5" t="inlineStr">
        <is>
          <t>3</t>
        </is>
      </c>
      <c r="S2595" s="5" t="inlineStr">
        <is>
          <t>10</t>
        </is>
      </c>
      <c r="T2595" s="5" t="inlineStr">
        <is>
          <t>12</t>
        </is>
      </c>
      <c r="U2595" s="5" t="inlineStr">
        <is>
          <t>OK</t>
        </is>
      </c>
    </row>
    <row r="2596">
      <c r="A2596" s="5" t="inlineStr">
        <is>
          <t>E00006</t>
        </is>
      </c>
      <c r="B2596" s="5" t="inlineStr">
        <is>
          <t>Female</t>
        </is>
      </c>
      <c r="C2596" s="6" t="inlineStr">
        <is>
          <t>41</t>
        </is>
      </c>
      <c r="D2596" s="5" t="inlineStr">
        <is>
          <t>Married</t>
        </is>
      </c>
      <c r="E2596" s="5" t="inlineStr">
        <is>
          <t>Bachelor</t>
        </is>
      </c>
      <c r="F2596" s="5" t="inlineStr">
        <is>
          <t>Sales</t>
        </is>
      </c>
      <c r="G2596" s="5" t="inlineStr">
        <is>
          <t>Business Development</t>
        </is>
      </c>
      <c r="H2596" s="5" t="inlineStr">
        <is>
          <t>6</t>
        </is>
      </c>
      <c r="I2596" s="5" t="inlineStr">
        <is>
          <t>Bengaluru</t>
        </is>
      </c>
      <c r="J2596" s="5" t="inlineStr">
        <is>
          <t>Full-Time</t>
        </is>
      </c>
      <c r="K2596" s="7" t="n">
        <v>45702</v>
      </c>
      <c r="L2596" s="7" t="inlineStr"/>
      <c r="M2596" s="5" t="inlineStr">
        <is>
          <t>Yes</t>
        </is>
      </c>
      <c r="N2596" s="5" t="inlineStr"/>
      <c r="O2596" s="8" t="inlineStr">
        <is>
          <t>156500</t>
        </is>
      </c>
      <c r="P2596" s="5" t="inlineStr">
        <is>
          <t>10</t>
        </is>
      </c>
      <c r="Q2596" s="5" t="inlineStr">
        <is>
          <t>3</t>
        </is>
      </c>
      <c r="R2596" s="5" t="inlineStr">
        <is>
          <t>1</t>
        </is>
      </c>
      <c r="S2596" s="5" t="inlineStr">
        <is>
          <t>10</t>
        </is>
      </c>
      <c r="T2596" s="5" t="inlineStr">
        <is>
          <t>18</t>
        </is>
      </c>
      <c r="U2596" s="5" t="inlineStr">
        <is>
          <t>OK</t>
        </is>
      </c>
    </row>
    <row r="2597">
      <c r="A2597" s="5" t="inlineStr">
        <is>
          <t>E01294</t>
        </is>
      </c>
      <c r="B2597" s="5" t="inlineStr">
        <is>
          <t>Female</t>
        </is>
      </c>
      <c r="C2597" s="6" t="inlineStr">
        <is>
          <t>39</t>
        </is>
      </c>
      <c r="D2597" s="5" t="inlineStr">
        <is>
          <t>Married</t>
        </is>
      </c>
      <c r="E2597" s="5" t="inlineStr">
        <is>
          <t>High School</t>
        </is>
      </c>
      <c r="F2597" s="5" t="inlineStr">
        <is>
          <t>Research &amp; Development</t>
        </is>
      </c>
      <c r="G2597" s="5" t="inlineStr">
        <is>
          <t>Product Engineer</t>
        </is>
      </c>
      <c r="H2597" s="5" t="inlineStr">
        <is>
          <t>7</t>
        </is>
      </c>
      <c r="I2597" s="5" t="inlineStr">
        <is>
          <t>Chennai</t>
        </is>
      </c>
      <c r="J2597" s="5" t="inlineStr">
        <is>
          <t>Full-Time</t>
        </is>
      </c>
      <c r="K2597" s="7" t="n">
        <v>45755</v>
      </c>
      <c r="L2597" s="7" t="inlineStr"/>
      <c r="M2597" s="5" t="inlineStr">
        <is>
          <t>Yes</t>
        </is>
      </c>
      <c r="N2597" s="5" t="inlineStr"/>
      <c r="O2597" s="8" t="inlineStr">
        <is>
          <t>243000</t>
        </is>
      </c>
      <c r="P2597" s="5" t="inlineStr">
        <is>
          <t>5</t>
        </is>
      </c>
      <c r="Q2597" s="5" t="inlineStr">
        <is>
          <t>3</t>
        </is>
      </c>
      <c r="R2597" s="5" t="inlineStr">
        <is>
          <t>10</t>
        </is>
      </c>
      <c r="S2597" s="5" t="inlineStr">
        <is>
          <t>8</t>
        </is>
      </c>
      <c r="T2597" s="5" t="inlineStr">
        <is>
          <t>16</t>
        </is>
      </c>
      <c r="U2597" s="5" t="inlineStr">
        <is>
          <t>OK</t>
        </is>
      </c>
    </row>
    <row r="2598">
      <c r="A2598" s="5" t="inlineStr">
        <is>
          <t>E01416</t>
        </is>
      </c>
      <c r="B2598" s="5" t="inlineStr">
        <is>
          <t>Male</t>
        </is>
      </c>
      <c r="C2598" s="6" t="inlineStr">
        <is>
          <t>38</t>
        </is>
      </c>
      <c r="D2598" s="5" t="inlineStr">
        <is>
          <t>Married</t>
        </is>
      </c>
      <c r="E2598" s="5" t="inlineStr">
        <is>
          <t>Bachelor</t>
        </is>
      </c>
      <c r="F2598" s="5" t="inlineStr">
        <is>
          <t>Operations</t>
        </is>
      </c>
      <c r="G2598" s="5" t="inlineStr">
        <is>
          <t>Logistics Coordinator</t>
        </is>
      </c>
      <c r="H2598" s="5" t="inlineStr">
        <is>
          <t>4</t>
        </is>
      </c>
      <c r="I2598" s="5" t="inlineStr">
        <is>
          <t>Remote</t>
        </is>
      </c>
      <c r="J2598" s="5" t="inlineStr">
        <is>
          <t>Full-Time</t>
        </is>
      </c>
      <c r="K2598" s="7" t="n">
        <v>44207</v>
      </c>
      <c r="L2598" s="7" t="inlineStr"/>
      <c r="M2598" s="5" t="inlineStr">
        <is>
          <t>Yes</t>
        </is>
      </c>
      <c r="N2598" s="5" t="inlineStr"/>
      <c r="O2598" s="8" t="inlineStr">
        <is>
          <t>124000</t>
        </is>
      </c>
      <c r="P2598" s="5" t="inlineStr">
        <is>
          <t>0</t>
        </is>
      </c>
      <c r="Q2598" s="5" t="inlineStr">
        <is>
          <t>4</t>
        </is>
      </c>
      <c r="R2598" s="5" t="inlineStr">
        <is>
          <t>6</t>
        </is>
      </c>
      <c r="S2598" s="5" t="inlineStr">
        <is>
          <t>60</t>
        </is>
      </c>
      <c r="T2598" s="5" t="inlineStr">
        <is>
          <t>11</t>
        </is>
      </c>
      <c r="U2598" s="5" t="inlineStr">
        <is>
          <t>OK</t>
        </is>
      </c>
    </row>
    <row r="2599">
      <c r="A2599" s="5" t="inlineStr">
        <is>
          <t>E02366</t>
        </is>
      </c>
      <c r="B2599" s="5" t="inlineStr">
        <is>
          <t>Female</t>
        </is>
      </c>
      <c r="C2599" s="6" t="inlineStr">
        <is>
          <t>35</t>
        </is>
      </c>
      <c r="D2599" s="5" t="inlineStr">
        <is>
          <t>Divorced</t>
        </is>
      </c>
      <c r="E2599" s="5" t="inlineStr">
        <is>
          <t>Master</t>
        </is>
      </c>
      <c r="F2599" s="5" t="inlineStr">
        <is>
          <t>Customer Support</t>
        </is>
      </c>
      <c r="G2599" s="5" t="inlineStr">
        <is>
          <t>Support Lead</t>
        </is>
      </c>
      <c r="H2599" s="5" t="inlineStr">
        <is>
          <t>2</t>
        </is>
      </c>
      <c r="I2599" s="5" t="inlineStr">
        <is>
          <t>Hyderabad</t>
        </is>
      </c>
      <c r="J2599" s="5" t="inlineStr">
        <is>
          <t>Full-Time</t>
        </is>
      </c>
      <c r="K2599" s="7" t="n">
        <v>45349</v>
      </c>
      <c r="L2599" s="7" t="inlineStr"/>
      <c r="M2599" s="5" t="inlineStr">
        <is>
          <t>Yes</t>
        </is>
      </c>
      <c r="N2599" s="5" t="inlineStr"/>
      <c r="O2599" s="8" t="inlineStr">
        <is>
          <t>60500</t>
        </is>
      </c>
      <c r="P2599" s="5" t="inlineStr">
        <is>
          <t>0</t>
        </is>
      </c>
      <c r="Q2599" s="5" t="inlineStr">
        <is>
          <t>5</t>
        </is>
      </c>
      <c r="R2599" s="5" t="inlineStr">
        <is>
          <t>5</t>
        </is>
      </c>
      <c r="S2599" s="5" t="inlineStr">
        <is>
          <t>22</t>
        </is>
      </c>
      <c r="T2599" s="5" t="inlineStr">
        <is>
          <t>1</t>
        </is>
      </c>
      <c r="U2599" s="5" t="inlineStr">
        <is>
          <t>OK</t>
        </is>
      </c>
    </row>
    <row r="2600">
      <c r="A2600" s="5" t="inlineStr">
        <is>
          <t>E00791</t>
        </is>
      </c>
      <c r="B2600" s="5" t="inlineStr">
        <is>
          <t>Female</t>
        </is>
      </c>
      <c r="C2600" s="6" t="inlineStr">
        <is>
          <t>31</t>
        </is>
      </c>
      <c r="D2600" s="5" t="inlineStr">
        <is>
          <t>Married</t>
        </is>
      </c>
      <c r="E2600" s="5" t="inlineStr">
        <is>
          <t>High School</t>
        </is>
      </c>
      <c r="F2600" s="5" t="inlineStr">
        <is>
          <t>Sales</t>
        </is>
      </c>
      <c r="G2600" s="5" t="inlineStr">
        <is>
          <t>Business Development</t>
        </is>
      </c>
      <c r="H2600" s="5" t="inlineStr">
        <is>
          <t>1</t>
        </is>
      </c>
      <c r="I2600" s="5" t="inlineStr">
        <is>
          <t>Delhi</t>
        </is>
      </c>
      <c r="J2600" s="5" t="inlineStr">
        <is>
          <t>Full-Time</t>
        </is>
      </c>
      <c r="K2600" s="7" t="n">
        <v>45860</v>
      </c>
      <c r="L2600" s="7" t="inlineStr"/>
      <c r="M2600" s="5" t="inlineStr">
        <is>
          <t>Yes</t>
        </is>
      </c>
      <c r="N2600" s="5" t="inlineStr"/>
      <c r="O2600" s="8" t="inlineStr">
        <is>
          <t>68000</t>
        </is>
      </c>
      <c r="P2600" s="5" t="inlineStr">
        <is>
          <t>5</t>
        </is>
      </c>
      <c r="Q2600" s="5" t="inlineStr">
        <is>
          <t>5</t>
        </is>
      </c>
      <c r="R2600" s="5" t="inlineStr">
        <is>
          <t>4</t>
        </is>
      </c>
      <c r="S2600" s="5" t="inlineStr">
        <is>
          <t>5</t>
        </is>
      </c>
      <c r="T2600" s="5" t="inlineStr">
        <is>
          <t>10</t>
        </is>
      </c>
      <c r="U2600" s="5" t="inlineStr">
        <is>
          <t>OK</t>
        </is>
      </c>
    </row>
    <row r="2601">
      <c r="A2601" s="5" t="inlineStr">
        <is>
          <t>E02996</t>
        </is>
      </c>
      <c r="B2601" s="5" t="inlineStr">
        <is>
          <t>Female</t>
        </is>
      </c>
      <c r="C2601" s="6" t="inlineStr">
        <is>
          <t>35</t>
        </is>
      </c>
      <c r="D2601" s="5" t="inlineStr">
        <is>
          <t>Married</t>
        </is>
      </c>
      <c r="E2601" s="5" t="inlineStr">
        <is>
          <t>High School</t>
        </is>
      </c>
      <c r="F2601" s="5" t="inlineStr">
        <is>
          <t>Customer Support</t>
        </is>
      </c>
      <c r="G2601" s="5" t="inlineStr">
        <is>
          <t>Escalation Specialist</t>
        </is>
      </c>
      <c r="H2601" s="5" t="inlineStr">
        <is>
          <t>6</t>
        </is>
      </c>
      <c r="I2601" s="5" t="inlineStr">
        <is>
          <t>Delhi</t>
        </is>
      </c>
      <c r="J2601" s="5" t="inlineStr">
        <is>
          <t>Full-Time</t>
        </is>
      </c>
      <c r="K2601" s="7" t="n">
        <v>44279</v>
      </c>
      <c r="L2601" s="7" t="inlineStr"/>
      <c r="M2601" s="5" t="inlineStr">
        <is>
          <t>Yes</t>
        </is>
      </c>
      <c r="N2601" s="5" t="inlineStr"/>
      <c r="O2601" s="8" t="inlineStr">
        <is>
          <t>128000</t>
        </is>
      </c>
      <c r="P2601" s="5" t="inlineStr">
        <is>
          <t>20</t>
        </is>
      </c>
      <c r="Q2601" s="5" t="inlineStr">
        <is>
          <t>3</t>
        </is>
      </c>
      <c r="R2601" s="5" t="inlineStr">
        <is>
          <t>4</t>
        </is>
      </c>
      <c r="S2601" s="5" t="inlineStr">
        <is>
          <t>58</t>
        </is>
      </c>
      <c r="T2601" s="5" t="inlineStr">
        <is>
          <t>0</t>
        </is>
      </c>
      <c r="U2601" s="5" t="inlineStr">
        <is>
          <t>OK</t>
        </is>
      </c>
    </row>
    <row r="2602">
      <c r="A2602" s="5" t="inlineStr">
        <is>
          <t>E01163</t>
        </is>
      </c>
      <c r="B2602" s="5" t="inlineStr">
        <is>
          <t>Female</t>
        </is>
      </c>
      <c r="C2602" s="6" t="inlineStr">
        <is>
          <t>36</t>
        </is>
      </c>
      <c r="D2602" s="5" t="inlineStr">
        <is>
          <t>Married</t>
        </is>
      </c>
      <c r="E2602" s="5" t="inlineStr">
        <is>
          <t>Bachelor</t>
        </is>
      </c>
      <c r="F2602" s="5" t="inlineStr">
        <is>
          <t>IT</t>
        </is>
      </c>
      <c r="G2602" s="5" t="inlineStr">
        <is>
          <t>Data Analyst</t>
        </is>
      </c>
      <c r="H2602" s="5" t="inlineStr">
        <is>
          <t>4</t>
        </is>
      </c>
      <c r="I2602" s="5" t="inlineStr">
        <is>
          <t>Bengaluru</t>
        </is>
      </c>
      <c r="J2602" s="5" t="inlineStr">
        <is>
          <t>Full-Time</t>
        </is>
      </c>
      <c r="K2602" s="7" t="n">
        <v>44692</v>
      </c>
      <c r="L2602" s="7" t="inlineStr"/>
      <c r="M2602" s="5" t="inlineStr">
        <is>
          <t>Yes</t>
        </is>
      </c>
      <c r="N2602" s="5" t="inlineStr"/>
      <c r="O2602" s="8" t="inlineStr">
        <is>
          <t>171500</t>
        </is>
      </c>
      <c r="P2602" s="5" t="inlineStr">
        <is>
          <t>0</t>
        </is>
      </c>
      <c r="Q2602" s="5" t="inlineStr">
        <is>
          <t>4</t>
        </is>
      </c>
      <c r="R2602" s="5" t="inlineStr">
        <is>
          <t>7</t>
        </is>
      </c>
      <c r="S2602" s="5" t="inlineStr">
        <is>
          <t>44</t>
        </is>
      </c>
      <c r="T2602" s="5" t="inlineStr">
        <is>
          <t>12</t>
        </is>
      </c>
      <c r="U2602" s="5" t="inlineStr">
        <is>
          <t>OK</t>
        </is>
      </c>
    </row>
    <row r="2603">
      <c r="A2603" s="5" t="inlineStr">
        <is>
          <t>E01869</t>
        </is>
      </c>
      <c r="B2603" s="5" t="inlineStr">
        <is>
          <t>Male</t>
        </is>
      </c>
      <c r="C2603" s="6" t="inlineStr">
        <is>
          <t>45</t>
        </is>
      </c>
      <c r="D2603" s="5" t="inlineStr">
        <is>
          <t>Married</t>
        </is>
      </c>
      <c r="E2603" s="5" t="inlineStr">
        <is>
          <t>Diploma</t>
        </is>
      </c>
      <c r="F2603" s="5" t="inlineStr">
        <is>
          <t>Operations</t>
        </is>
      </c>
      <c r="G2603" s="5" t="inlineStr">
        <is>
          <t>Quality Analyst</t>
        </is>
      </c>
      <c r="H2603" s="5" t="inlineStr">
        <is>
          <t>7</t>
        </is>
      </c>
      <c r="I2603" s="5" t="inlineStr">
        <is>
          <t>Bengaluru</t>
        </is>
      </c>
      <c r="J2603" s="5" t="inlineStr">
        <is>
          <t>Contract</t>
        </is>
      </c>
      <c r="K2603" s="7" t="n">
        <v>45273</v>
      </c>
      <c r="L2603" s="7" t="inlineStr"/>
      <c r="M2603" s="5" t="inlineStr">
        <is>
          <t>Yes</t>
        </is>
      </c>
      <c r="N2603" s="5" t="inlineStr"/>
      <c r="O2603" s="8" t="inlineStr">
        <is>
          <t>169000</t>
        </is>
      </c>
      <c r="P2603" s="5" t="inlineStr">
        <is>
          <t>0</t>
        </is>
      </c>
      <c r="Q2603" s="5" t="inlineStr">
        <is>
          <t>2</t>
        </is>
      </c>
      <c r="R2603" s="5" t="inlineStr">
        <is>
          <t>5</t>
        </is>
      </c>
      <c r="S2603" s="5" t="inlineStr">
        <is>
          <t>24</t>
        </is>
      </c>
      <c r="T2603" s="5" t="inlineStr">
        <is>
          <t>11</t>
        </is>
      </c>
      <c r="U2603" s="5" t="inlineStr">
        <is>
          <t>OK</t>
        </is>
      </c>
    </row>
    <row r="2604">
      <c r="A2604" s="5" t="inlineStr">
        <is>
          <t>E02020</t>
        </is>
      </c>
      <c r="B2604" s="5" t="inlineStr">
        <is>
          <t>female</t>
        </is>
      </c>
      <c r="C2604" s="6" t="inlineStr">
        <is>
          <t>31</t>
        </is>
      </c>
      <c r="D2604" s="5" t="inlineStr">
        <is>
          <t>Married</t>
        </is>
      </c>
      <c r="E2604" s="5" t="inlineStr">
        <is>
          <t>Bachelor</t>
        </is>
      </c>
      <c r="F2604" s="5" t="inlineStr">
        <is>
          <t>IT</t>
        </is>
      </c>
      <c r="G2604" s="5" t="inlineStr">
        <is>
          <t>DevOps Engineer</t>
        </is>
      </c>
      <c r="H2604" s="5" t="inlineStr">
        <is>
          <t>1</t>
        </is>
      </c>
      <c r="I2604" s="5" t="inlineStr">
        <is>
          <t>Remote</t>
        </is>
      </c>
      <c r="J2604" s="5" t="inlineStr">
        <is>
          <t>Full-Time</t>
        </is>
      </c>
      <c r="K2604" s="7" t="n">
        <v>44269</v>
      </c>
      <c r="L2604" s="7" t="inlineStr"/>
      <c r="M2604" s="5" t="inlineStr">
        <is>
          <t>Yes</t>
        </is>
      </c>
      <c r="N2604" s="5" t="inlineStr"/>
      <c r="O2604" s="8" t="inlineStr">
        <is>
          <t>1500000</t>
        </is>
      </c>
      <c r="P2604" s="5" t="inlineStr">
        <is>
          <t>0</t>
        </is>
      </c>
      <c r="Q2604" s="5" t="inlineStr">
        <is>
          <t>3</t>
        </is>
      </c>
      <c r="R2604" s="5" t="inlineStr">
        <is>
          <t>5</t>
        </is>
      </c>
      <c r="S2604" s="5" t="inlineStr">
        <is>
          <t>58</t>
        </is>
      </c>
      <c r="T2604" s="5" t="inlineStr">
        <is>
          <t>15</t>
        </is>
      </c>
      <c r="U2604" s="5" t="inlineStr">
        <is>
          <t>Outlier salary</t>
        </is>
      </c>
    </row>
    <row r="2605">
      <c r="A2605" s="5" t="inlineStr">
        <is>
          <t>E01111</t>
        </is>
      </c>
      <c r="B2605" s="5" t="inlineStr">
        <is>
          <t>Female</t>
        </is>
      </c>
      <c r="C2605" s="6" t="inlineStr">
        <is>
          <t>33</t>
        </is>
      </c>
      <c r="D2605" s="5" t="inlineStr">
        <is>
          <t>Divorced</t>
        </is>
      </c>
      <c r="E2605" s="5" t="inlineStr">
        <is>
          <t>Master</t>
        </is>
      </c>
      <c r="F2605" s="5" t="inlineStr">
        <is>
          <t>Human Resources</t>
        </is>
      </c>
      <c r="G2605" s="5" t="inlineStr">
        <is>
          <t>HR Generalist</t>
        </is>
      </c>
      <c r="H2605" s="5" t="inlineStr">
        <is>
          <t>1</t>
        </is>
      </c>
      <c r="I2605" s="5" t="inlineStr">
        <is>
          <t>Bengaluru</t>
        </is>
      </c>
      <c r="J2605" s="5" t="inlineStr">
        <is>
          <t>Full-Time</t>
        </is>
      </c>
      <c r="K2605" s="7" t="n">
        <v>44297</v>
      </c>
      <c r="L2605" s="7" t="inlineStr"/>
      <c r="M2605" s="5" t="inlineStr">
        <is>
          <t>Yes</t>
        </is>
      </c>
      <c r="N2605" s="5" t="inlineStr"/>
      <c r="O2605" s="8" t="inlineStr">
        <is>
          <t>85500</t>
        </is>
      </c>
      <c r="P2605" s="5" t="inlineStr">
        <is>
          <t>5</t>
        </is>
      </c>
      <c r="Q2605" s="5" t="inlineStr">
        <is>
          <t>4</t>
        </is>
      </c>
      <c r="R2605" s="5" t="inlineStr">
        <is>
          <t>6</t>
        </is>
      </c>
      <c r="S2605" s="5" t="inlineStr">
        <is>
          <t>57</t>
        </is>
      </c>
      <c r="T2605" s="5" t="inlineStr">
        <is>
          <t>8</t>
        </is>
      </c>
      <c r="U2605" s="5" t="inlineStr">
        <is>
          <t>OK</t>
        </is>
      </c>
    </row>
    <row r="2606">
      <c r="A2606" s="5" t="inlineStr">
        <is>
          <t>E02080</t>
        </is>
      </c>
      <c r="B2606" s="5" t="inlineStr">
        <is>
          <t>Male</t>
        </is>
      </c>
      <c r="C2606" s="6" t="inlineStr">
        <is>
          <t>29</t>
        </is>
      </c>
      <c r="D2606" s="5" t="inlineStr">
        <is>
          <t>Married</t>
        </is>
      </c>
      <c r="E2606" s="5" t="inlineStr">
        <is>
          <t>PhD</t>
        </is>
      </c>
      <c r="F2606" s="5" t="inlineStr">
        <is>
          <t>IT</t>
        </is>
      </c>
      <c r="G2606" s="5" t="inlineStr">
        <is>
          <t>DevOps Engineer</t>
        </is>
      </c>
      <c r="H2606" s="5" t="inlineStr">
        <is>
          <t>1</t>
        </is>
      </c>
      <c r="I2606" s="5" t="inlineStr">
        <is>
          <t>Mumbai</t>
        </is>
      </c>
      <c r="J2606" s="5" t="inlineStr">
        <is>
          <t>Full-Time</t>
        </is>
      </c>
      <c r="K2606" s="7" t="n">
        <v>45997</v>
      </c>
      <c r="L2606" s="7" t="inlineStr"/>
      <c r="M2606" s="5" t="inlineStr">
        <is>
          <t>Yes</t>
        </is>
      </c>
      <c r="N2606" s="5" t="inlineStr"/>
      <c r="O2606" s="8" t="inlineStr">
        <is>
          <t>114000</t>
        </is>
      </c>
      <c r="P2606" s="5" t="inlineStr">
        <is>
          <t>0</t>
        </is>
      </c>
      <c r="Q2606" s="5" t="inlineStr">
        <is>
          <t>3</t>
        </is>
      </c>
      <c r="R2606" s="5" t="inlineStr">
        <is>
          <t>3</t>
        </is>
      </c>
      <c r="S2606" s="5" t="inlineStr">
        <is>
          <t>1</t>
        </is>
      </c>
      <c r="T2606" s="5" t="inlineStr">
        <is>
          <t>4</t>
        </is>
      </c>
      <c r="U2606" s="5" t="inlineStr">
        <is>
          <t>Duplicate</t>
        </is>
      </c>
    </row>
    <row r="2607">
      <c r="A2607" s="5" t="inlineStr">
        <is>
          <t>E01665</t>
        </is>
      </c>
      <c r="B2607" s="5" t="inlineStr">
        <is>
          <t>Female</t>
        </is>
      </c>
      <c r="C2607" s="6" t="inlineStr">
        <is>
          <t>40</t>
        </is>
      </c>
      <c r="D2607" s="5" t="inlineStr">
        <is>
          <t>Married</t>
        </is>
      </c>
      <c r="E2607" s="5" t="inlineStr">
        <is>
          <t>PhD</t>
        </is>
      </c>
      <c r="F2607" s="5" t="inlineStr">
        <is>
          <t>Marketing</t>
        </is>
      </c>
      <c r="G2607" s="5" t="inlineStr">
        <is>
          <t>Marketing Analyst</t>
        </is>
      </c>
      <c r="H2607" s="5" t="inlineStr">
        <is>
          <t>7</t>
        </is>
      </c>
      <c r="I2607" s="5" t="inlineStr">
        <is>
          <t>Bengaluru</t>
        </is>
      </c>
      <c r="J2607" s="5" t="inlineStr">
        <is>
          <t>Full-Time</t>
        </is>
      </c>
      <c r="K2607" s="7" t="n">
        <v>45708</v>
      </c>
      <c r="L2607" s="7" t="inlineStr"/>
      <c r="M2607" s="5" t="inlineStr">
        <is>
          <t>Yes</t>
        </is>
      </c>
      <c r="N2607" s="5" t="inlineStr"/>
      <c r="O2607" s="8" t="inlineStr">
        <is>
          <t>136500</t>
        </is>
      </c>
      <c r="P2607" s="5" t="inlineStr">
        <is>
          <t>5</t>
        </is>
      </c>
      <c r="Q2607" s="5" t="inlineStr">
        <is>
          <t>4</t>
        </is>
      </c>
      <c r="R2607" s="5" t="inlineStr">
        <is>
          <t>5</t>
        </is>
      </c>
      <c r="S2607" s="5" t="inlineStr">
        <is>
          <t>10</t>
        </is>
      </c>
      <c r="T2607" s="5" t="inlineStr">
        <is>
          <t>22</t>
        </is>
      </c>
      <c r="U2607" s="5" t="inlineStr">
        <is>
          <t>OK</t>
        </is>
      </c>
    </row>
    <row r="2608">
      <c r="A2608" s="5" t="inlineStr">
        <is>
          <t>E02823</t>
        </is>
      </c>
      <c r="B2608" s="5" t="inlineStr">
        <is>
          <t>Male</t>
        </is>
      </c>
      <c r="C2608" s="6" t="inlineStr">
        <is>
          <t>37</t>
        </is>
      </c>
      <c r="D2608" s="5" t="inlineStr">
        <is>
          <t>Married</t>
        </is>
      </c>
      <c r="E2608" s="5" t="inlineStr">
        <is>
          <t>High School</t>
        </is>
      </c>
      <c r="F2608" s="5" t="inlineStr">
        <is>
          <t>Human Resources</t>
        </is>
      </c>
      <c r="G2608" s="5" t="inlineStr">
        <is>
          <t>HR Generalist</t>
        </is>
      </c>
      <c r="H2608" s="5" t="inlineStr">
        <is>
          <t>3</t>
        </is>
      </c>
      <c r="I2608" s="5" t="inlineStr">
        <is>
          <t>Hyderabad</t>
        </is>
      </c>
      <c r="J2608" s="5" t="inlineStr">
        <is>
          <t>Full-Time</t>
        </is>
      </c>
      <c r="K2608" s="7" t="n">
        <v>45016</v>
      </c>
      <c r="L2608" s="7" t="inlineStr"/>
      <c r="M2608" s="5" t="inlineStr">
        <is>
          <t>Yes</t>
        </is>
      </c>
      <c r="N2608" s="5" t="inlineStr"/>
      <c r="O2608" s="8" t="inlineStr">
        <is>
          <t>75500</t>
        </is>
      </c>
      <c r="P2608" s="5" t="inlineStr">
        <is>
          <t>0</t>
        </is>
      </c>
      <c r="Q2608" s="5" t="inlineStr">
        <is>
          <t>3</t>
        </is>
      </c>
      <c r="R2608" s="5" t="inlineStr">
        <is>
          <t>8</t>
        </is>
      </c>
      <c r="S2608" s="5" t="inlineStr">
        <is>
          <t>33</t>
        </is>
      </c>
      <c r="T2608" s="5" t="inlineStr">
        <is>
          <t>0</t>
        </is>
      </c>
      <c r="U2608" s="5" t="inlineStr">
        <is>
          <t>OK</t>
        </is>
      </c>
    </row>
    <row r="2609">
      <c r="A2609" s="5" t="inlineStr">
        <is>
          <t>E02242</t>
        </is>
      </c>
      <c r="B2609" s="5" t="inlineStr">
        <is>
          <t>Male</t>
        </is>
      </c>
      <c r="C2609" s="6" t="inlineStr">
        <is>
          <t>34</t>
        </is>
      </c>
      <c r="D2609" s="5" t="inlineStr">
        <is>
          <t>Married</t>
        </is>
      </c>
      <c r="E2609" s="5" t="inlineStr">
        <is>
          <t>PhD</t>
        </is>
      </c>
      <c r="F2609" s="5" t="inlineStr">
        <is>
          <t>Finance</t>
        </is>
      </c>
      <c r="G2609" s="5" t="inlineStr">
        <is>
          <t>Accountant</t>
        </is>
      </c>
      <c r="H2609" s="5" t="inlineStr">
        <is>
          <t>4</t>
        </is>
      </c>
      <c r="I2609" s="5" t="inlineStr">
        <is>
          <t>Remote</t>
        </is>
      </c>
      <c r="J2609" s="5" t="inlineStr">
        <is>
          <t>Full-Time</t>
        </is>
      </c>
      <c r="K2609" s="7" t="n">
        <v>43930</v>
      </c>
      <c r="L2609" s="7" t="inlineStr"/>
      <c r="M2609" s="5" t="inlineStr">
        <is>
          <t>Yes</t>
        </is>
      </c>
      <c r="N2609" s="5" t="inlineStr"/>
      <c r="O2609" s="8" t="inlineStr">
        <is>
          <t>155000</t>
        </is>
      </c>
      <c r="P2609" s="5" t="inlineStr">
        <is>
          <t>15</t>
        </is>
      </c>
      <c r="Q2609" s="5" t="inlineStr">
        <is>
          <t>3</t>
        </is>
      </c>
      <c r="R2609" s="5" t="inlineStr">
        <is>
          <t>5</t>
        </is>
      </c>
      <c r="S2609" s="5" t="inlineStr">
        <is>
          <t>69</t>
        </is>
      </c>
      <c r="T2609" s="5" t="inlineStr">
        <is>
          <t>1</t>
        </is>
      </c>
      <c r="U2609" s="5" t="inlineStr">
        <is>
          <t>OK</t>
        </is>
      </c>
    </row>
    <row r="2610">
      <c r="A2610" s="5" t="inlineStr">
        <is>
          <t>E01331</t>
        </is>
      </c>
      <c r="B2610" s="5" t="inlineStr">
        <is>
          <t>Female</t>
        </is>
      </c>
      <c r="C2610" s="6" t="inlineStr">
        <is>
          <t>40</t>
        </is>
      </c>
      <c r="D2610" s="5" t="inlineStr">
        <is>
          <t>Married</t>
        </is>
      </c>
      <c r="E2610" s="5" t="inlineStr">
        <is>
          <t>High School</t>
        </is>
      </c>
      <c r="F2610" s="5" t="inlineStr">
        <is>
          <t>Sales</t>
        </is>
      </c>
      <c r="G2610" s="5" t="inlineStr">
        <is>
          <t>Business Development</t>
        </is>
      </c>
      <c r="H2610" s="5" t="inlineStr">
        <is>
          <t>5</t>
        </is>
      </c>
      <c r="I2610" s="5" t="inlineStr">
        <is>
          <t>Bengaluru</t>
        </is>
      </c>
      <c r="J2610" s="5" t="inlineStr">
        <is>
          <t>Full-Time</t>
        </is>
      </c>
      <c r="K2610" s="7" t="n">
        <v>44056</v>
      </c>
      <c r="L2610" s="7" t="inlineStr"/>
      <c r="M2610" s="5" t="inlineStr">
        <is>
          <t>Yes</t>
        </is>
      </c>
      <c r="N2610" s="5" t="inlineStr"/>
      <c r="O2610" s="8" t="inlineStr">
        <is>
          <t>108500</t>
        </is>
      </c>
      <c r="P2610" s="5" t="inlineStr">
        <is>
          <t>10</t>
        </is>
      </c>
      <c r="Q2610" s="5" t="inlineStr">
        <is>
          <t>3</t>
        </is>
      </c>
      <c r="R2610" s="5" t="inlineStr">
        <is>
          <t>1</t>
        </is>
      </c>
      <c r="S2610" s="5" t="inlineStr">
        <is>
          <t>65</t>
        </is>
      </c>
      <c r="T2610" s="5" t="inlineStr">
        <is>
          <t>0</t>
        </is>
      </c>
      <c r="U2610" s="5" t="inlineStr">
        <is>
          <t>OK</t>
        </is>
      </c>
    </row>
    <row r="2611">
      <c r="A2611" s="5" t="inlineStr">
        <is>
          <t>E01101</t>
        </is>
      </c>
      <c r="B2611" s="5" t="inlineStr">
        <is>
          <t>Female</t>
        </is>
      </c>
      <c r="C2611" s="6" t="inlineStr">
        <is>
          <t>34</t>
        </is>
      </c>
      <c r="D2611" s="5" t="inlineStr">
        <is>
          <t>Married</t>
        </is>
      </c>
      <c r="E2611" s="5" t="inlineStr">
        <is>
          <t>High School</t>
        </is>
      </c>
      <c r="F2611" s="5" t="inlineStr">
        <is>
          <t>Sales</t>
        </is>
      </c>
      <c r="G2611" s="5" t="inlineStr">
        <is>
          <t>Account Executive</t>
        </is>
      </c>
      <c r="H2611" s="5" t="inlineStr">
        <is>
          <t>2</t>
        </is>
      </c>
      <c r="I2611" s="5" t="inlineStr">
        <is>
          <t>Chennai</t>
        </is>
      </c>
      <c r="J2611" s="5" t="inlineStr">
        <is>
          <t>Full-Time</t>
        </is>
      </c>
      <c r="K2611" s="7" t="n">
        <v>45452</v>
      </c>
      <c r="L2611" s="7" t="inlineStr"/>
      <c r="M2611" s="5" t="inlineStr">
        <is>
          <t>Yes</t>
        </is>
      </c>
      <c r="N2611" s="5" t="inlineStr"/>
      <c r="O2611" s="8" t="inlineStr">
        <is>
          <t>95000</t>
        </is>
      </c>
      <c r="P2611" s="5" t="inlineStr">
        <is>
          <t>0</t>
        </is>
      </c>
      <c r="Q2611" s="5" t="inlineStr">
        <is>
          <t>3</t>
        </is>
      </c>
      <c r="R2611" s="5" t="inlineStr">
        <is>
          <t>3</t>
        </is>
      </c>
      <c r="S2611" s="5" t="inlineStr">
        <is>
          <t>19</t>
        </is>
      </c>
      <c r="T2611" s="5" t="inlineStr">
        <is>
          <t>12</t>
        </is>
      </c>
      <c r="U2611" s="5" t="inlineStr">
        <is>
          <t>OK</t>
        </is>
      </c>
    </row>
    <row r="2612">
      <c r="A2612" s="5" t="inlineStr">
        <is>
          <t>E00059</t>
        </is>
      </c>
      <c r="B2612" s="5" t="inlineStr">
        <is>
          <t>Male</t>
        </is>
      </c>
      <c r="C2612" s="6" t="inlineStr">
        <is>
          <t>30</t>
        </is>
      </c>
      <c r="D2612" s="5" t="inlineStr">
        <is>
          <t>Single</t>
        </is>
      </c>
      <c r="E2612" s="5" t="inlineStr">
        <is>
          <t>Diploma</t>
        </is>
      </c>
      <c r="F2612" s="5" t="inlineStr">
        <is>
          <t>Operations</t>
        </is>
      </c>
      <c r="G2612" s="5" t="inlineStr">
        <is>
          <t>Operations Analyst</t>
        </is>
      </c>
      <c r="H2612" s="5" t="inlineStr">
        <is>
          <t>3</t>
        </is>
      </c>
      <c r="I2612" s="5" t="inlineStr">
        <is>
          <t>Chennai</t>
        </is>
      </c>
      <c r="J2612" s="5" t="inlineStr">
        <is>
          <t>Full-Time</t>
        </is>
      </c>
      <c r="K2612" s="7" t="n">
        <v>44805</v>
      </c>
      <c r="L2612" s="7" t="n">
        <v>44838</v>
      </c>
      <c r="M2612" s="5" t="inlineStr">
        <is>
          <t>No</t>
        </is>
      </c>
      <c r="N2612" s="5" t="inlineStr">
        <is>
          <t>Retirement</t>
        </is>
      </c>
      <c r="O2612" s="8" t="inlineStr">
        <is>
          <t>93000</t>
        </is>
      </c>
      <c r="P2612" s="5" t="inlineStr">
        <is>
          <t>0</t>
        </is>
      </c>
      <c r="Q2612" s="5" t="inlineStr">
        <is>
          <t>4</t>
        </is>
      </c>
      <c r="R2612" s="5" t="inlineStr">
        <is>
          <t>5</t>
        </is>
      </c>
      <c r="S2612" s="5" t="inlineStr">
        <is>
          <t>1</t>
        </is>
      </c>
      <c r="T2612" s="5" t="inlineStr">
        <is>
          <t>7</t>
        </is>
      </c>
      <c r="U2612" s="5" t="inlineStr">
        <is>
          <t>OK</t>
        </is>
      </c>
    </row>
    <row r="2613">
      <c r="A2613" s="5" t="inlineStr">
        <is>
          <t>E00393</t>
        </is>
      </c>
      <c r="B2613" s="5" t="inlineStr">
        <is>
          <t>Female</t>
        </is>
      </c>
      <c r="C2613" s="6" t="inlineStr">
        <is>
          <t>32</t>
        </is>
      </c>
      <c r="D2613" s="5" t="inlineStr">
        <is>
          <t>Married</t>
        </is>
      </c>
      <c r="E2613" s="5" t="inlineStr">
        <is>
          <t>Bachelor</t>
        </is>
      </c>
      <c r="F2613" s="5" t="inlineStr">
        <is>
          <t>Research &amp; Development</t>
        </is>
      </c>
      <c r="G2613" s="5" t="inlineStr">
        <is>
          <t>Data Scientist</t>
        </is>
      </c>
      <c r="H2613" s="5" t="inlineStr">
        <is>
          <t>2</t>
        </is>
      </c>
      <c r="I2613" s="5" t="inlineStr">
        <is>
          <t>Chennai</t>
        </is>
      </c>
      <c r="J2613" s="5" t="inlineStr">
        <is>
          <t>Full-Time</t>
        </is>
      </c>
      <c r="K2613" s="7" t="n">
        <v>43834</v>
      </c>
      <c r="L2613" s="7" t="inlineStr"/>
      <c r="M2613" s="5" t="inlineStr">
        <is>
          <t>Yes</t>
        </is>
      </c>
      <c r="N2613" s="5" t="inlineStr"/>
      <c r="O2613" s="8" t="inlineStr">
        <is>
          <t>105000</t>
        </is>
      </c>
      <c r="P2613" s="5" t="inlineStr">
        <is>
          <t>0</t>
        </is>
      </c>
      <c r="Q2613" s="5" t="inlineStr">
        <is>
          <t>3</t>
        </is>
      </c>
      <c r="R2613" s="5" t="inlineStr">
        <is>
          <t>6</t>
        </is>
      </c>
      <c r="S2613" s="5" t="inlineStr">
        <is>
          <t>72</t>
        </is>
      </c>
      <c r="T2613" s="5" t="inlineStr">
        <is>
          <t>2</t>
        </is>
      </c>
      <c r="U2613" s="5" t="inlineStr">
        <is>
          <t>OK</t>
        </is>
      </c>
    </row>
    <row r="2614">
      <c r="A2614" s="5" t="inlineStr">
        <is>
          <t>E00570</t>
        </is>
      </c>
      <c r="B2614" s="5" t="inlineStr">
        <is>
          <t>Male</t>
        </is>
      </c>
      <c r="C2614" s="6" t="inlineStr">
        <is>
          <t>29</t>
        </is>
      </c>
      <c r="D2614" s="5" t="inlineStr">
        <is>
          <t>Married</t>
        </is>
      </c>
      <c r="E2614" s="5" t="inlineStr">
        <is>
          <t>High School</t>
        </is>
      </c>
      <c r="F2614" s="5" t="inlineStr">
        <is>
          <t>Research &amp; Development</t>
        </is>
      </c>
      <c r="G2614" s="5" t="inlineStr">
        <is>
          <t>Product Engineer</t>
        </is>
      </c>
      <c r="H2614" s="5" t="inlineStr">
        <is>
          <t>1</t>
        </is>
      </c>
      <c r="I2614" s="5" t="inlineStr">
        <is>
          <t>Hyderabad</t>
        </is>
      </c>
      <c r="J2614" s="5" t="inlineStr">
        <is>
          <t>Full-Time</t>
        </is>
      </c>
      <c r="K2614" s="7" t="n">
        <v>44241</v>
      </c>
      <c r="L2614" s="7" t="inlineStr"/>
      <c r="M2614" s="5" t="inlineStr">
        <is>
          <t>Yes</t>
        </is>
      </c>
      <c r="N2614" s="5" t="inlineStr"/>
      <c r="O2614" s="8" t="inlineStr">
        <is>
          <t>126500</t>
        </is>
      </c>
      <c r="P2614" s="5" t="inlineStr">
        <is>
          <t>0</t>
        </is>
      </c>
      <c r="Q2614" s="5" t="inlineStr">
        <is>
          <t>4</t>
        </is>
      </c>
      <c r="R2614" s="5" t="inlineStr">
        <is>
          <t>3</t>
        </is>
      </c>
      <c r="S2614" s="5" t="inlineStr">
        <is>
          <t>59</t>
        </is>
      </c>
      <c r="T2614" s="5" t="inlineStr">
        <is>
          <t>7</t>
        </is>
      </c>
      <c r="U2614" s="5" t="inlineStr">
        <is>
          <t>OK</t>
        </is>
      </c>
    </row>
    <row r="2615">
      <c r="A2615" s="5" t="inlineStr">
        <is>
          <t>E01552</t>
        </is>
      </c>
      <c r="B2615" s="5" t="inlineStr">
        <is>
          <t>Female</t>
        </is>
      </c>
      <c r="C2615" s="6" t="inlineStr">
        <is>
          <t>24</t>
        </is>
      </c>
      <c r="D2615" s="5" t="inlineStr">
        <is>
          <t>Married</t>
        </is>
      </c>
      <c r="E2615" s="5" t="inlineStr">
        <is>
          <t>Bachelor</t>
        </is>
      </c>
      <c r="F2615" s="5" t="inlineStr">
        <is>
          <t>Sales</t>
        </is>
      </c>
      <c r="G2615" s="5" t="inlineStr">
        <is>
          <t>Business Development</t>
        </is>
      </c>
      <c r="H2615" s="5" t="inlineStr">
        <is>
          <t>1</t>
        </is>
      </c>
      <c r="I2615" s="5" t="inlineStr">
        <is>
          <t>Bengaluru</t>
        </is>
      </c>
      <c r="J2615" s="5" t="inlineStr">
        <is>
          <t>Part-Time</t>
        </is>
      </c>
      <c r="K2615" s="7" t="n">
        <v>45490</v>
      </c>
      <c r="L2615" s="7" t="n">
        <v>45568</v>
      </c>
      <c r="M2615" s="5" t="inlineStr">
        <is>
          <t>No</t>
        </is>
      </c>
      <c r="N2615" s="5" t="inlineStr">
        <is>
          <t>Resigned</t>
        </is>
      </c>
      <c r="O2615" s="8" t="inlineStr">
        <is>
          <t>103000</t>
        </is>
      </c>
      <c r="P2615" s="5" t="inlineStr">
        <is>
          <t>0</t>
        </is>
      </c>
      <c r="Q2615" s="5" t="inlineStr">
        <is>
          <t>3</t>
        </is>
      </c>
      <c r="R2615" s="5" t="inlineStr">
        <is>
          <t>6</t>
        </is>
      </c>
      <c r="S2615" s="5" t="inlineStr">
        <is>
          <t>2</t>
        </is>
      </c>
      <c r="T2615" s="5" t="inlineStr">
        <is>
          <t>15</t>
        </is>
      </c>
      <c r="U2615" s="5" t="inlineStr">
        <is>
          <t>OK</t>
        </is>
      </c>
    </row>
    <row r="2616">
      <c r="A2616" s="5" t="inlineStr">
        <is>
          <t>E00254</t>
        </is>
      </c>
      <c r="B2616" s="5" t="inlineStr">
        <is>
          <t>female</t>
        </is>
      </c>
      <c r="C2616" s="6" t="inlineStr">
        <is>
          <t>29</t>
        </is>
      </c>
      <c r="D2616" s="5" t="inlineStr">
        <is>
          <t>Married</t>
        </is>
      </c>
      <c r="E2616" s="5" t="inlineStr">
        <is>
          <t>High School</t>
        </is>
      </c>
      <c r="F2616" s="5" t="inlineStr">
        <is>
          <t>Operations</t>
        </is>
      </c>
      <c r="G2616" s="5" t="inlineStr">
        <is>
          <t>Quality Analyst</t>
        </is>
      </c>
      <c r="H2616" s="5" t="inlineStr">
        <is>
          <t>2</t>
        </is>
      </c>
      <c r="I2616" s="5" t="inlineStr">
        <is>
          <t>Delhi</t>
        </is>
      </c>
      <c r="J2616" s="5" t="inlineStr">
        <is>
          <t>Full-Time</t>
        </is>
      </c>
      <c r="K2616" s="7" t="n">
        <v>45143</v>
      </c>
      <c r="L2616" s="7" t="inlineStr"/>
      <c r="M2616" s="5" t="inlineStr">
        <is>
          <t>Yes</t>
        </is>
      </c>
      <c r="N2616" s="5" t="inlineStr"/>
      <c r="O2616" s="8" t="inlineStr">
        <is>
          <t>82000</t>
        </is>
      </c>
      <c r="P2616" s="5" t="inlineStr">
        <is>
          <t>0</t>
        </is>
      </c>
      <c r="Q2616" s="5" t="inlineStr">
        <is>
          <t>4</t>
        </is>
      </c>
      <c r="R2616" s="5" t="inlineStr">
        <is>
          <t>7</t>
        </is>
      </c>
      <c r="S2616" s="5" t="inlineStr">
        <is>
          <t>29</t>
        </is>
      </c>
      <c r="T2616" s="5" t="inlineStr">
        <is>
          <t>1</t>
        </is>
      </c>
      <c r="U2616" s="5" t="inlineStr">
        <is>
          <t>OK</t>
        </is>
      </c>
    </row>
    <row r="2617">
      <c r="A2617" s="5" t="inlineStr">
        <is>
          <t>E00208</t>
        </is>
      </c>
      <c r="B2617" s="5" t="inlineStr">
        <is>
          <t>Male</t>
        </is>
      </c>
      <c r="C2617" s="6" t="inlineStr">
        <is>
          <t>25</t>
        </is>
      </c>
      <c r="D2617" s="5" t="inlineStr">
        <is>
          <t>Single</t>
        </is>
      </c>
      <c r="E2617" s="5" t="inlineStr">
        <is>
          <t>Bachelor</t>
        </is>
      </c>
      <c r="F2617" s="5" t="inlineStr">
        <is>
          <t>Operations</t>
        </is>
      </c>
      <c r="G2617" s="5" t="inlineStr">
        <is>
          <t>Quality Analyst</t>
        </is>
      </c>
      <c r="H2617" s="5" t="inlineStr">
        <is>
          <t>2</t>
        </is>
      </c>
      <c r="I2617" s="5" t="inlineStr">
        <is>
          <t>Remote</t>
        </is>
      </c>
      <c r="J2617" s="5" t="inlineStr">
        <is>
          <t>Full-Time</t>
        </is>
      </c>
      <c r="K2617" s="7" t="n">
        <v>45748</v>
      </c>
      <c r="L2617" s="7" t="n">
        <v>45874</v>
      </c>
      <c r="M2617" s="5" t="inlineStr">
        <is>
          <t>No</t>
        </is>
      </c>
      <c r="N2617" s="5" t="inlineStr">
        <is>
          <t>Retirement</t>
        </is>
      </c>
      <c r="O2617" s="8" t="inlineStr">
        <is>
          <t>92000</t>
        </is>
      </c>
      <c r="P2617" s="5" t="inlineStr">
        <is>
          <t>0</t>
        </is>
      </c>
      <c r="Q2617" s="5" t="inlineStr">
        <is>
          <t>3</t>
        </is>
      </c>
      <c r="R2617" s="5" t="inlineStr">
        <is>
          <t>6</t>
        </is>
      </c>
      <c r="S2617" s="5" t="inlineStr">
        <is>
          <t>4</t>
        </is>
      </c>
      <c r="T2617" s="5" t="inlineStr">
        <is>
          <t>9</t>
        </is>
      </c>
      <c r="U2617" s="5" t="inlineStr">
        <is>
          <t>OK</t>
        </is>
      </c>
    </row>
    <row r="2618">
      <c r="A2618" s="5" t="inlineStr">
        <is>
          <t>E00497</t>
        </is>
      </c>
      <c r="B2618" s="5" t="inlineStr">
        <is>
          <t>Female</t>
        </is>
      </c>
      <c r="C2618" s="6" t="inlineStr">
        <is>
          <t>39</t>
        </is>
      </c>
      <c r="D2618" s="5" t="inlineStr">
        <is>
          <t>Divorced</t>
        </is>
      </c>
      <c r="E2618" s="5" t="inlineStr">
        <is>
          <t>Master</t>
        </is>
      </c>
      <c r="F2618" s="5" t="inlineStr">
        <is>
          <t>Marketing</t>
        </is>
      </c>
      <c r="G2618" s="5" t="inlineStr">
        <is>
          <t>SEO Specialist</t>
        </is>
      </c>
      <c r="H2618" s="5" t="inlineStr">
        <is>
          <t>5</t>
        </is>
      </c>
      <c r="I2618" s="5" t="inlineStr">
        <is>
          <t>Chennai</t>
        </is>
      </c>
      <c r="J2618" s="5" t="inlineStr">
        <is>
          <t>Full-Time</t>
        </is>
      </c>
      <c r="K2618" s="7" t="n">
        <v>43926</v>
      </c>
      <c r="L2618" s="7" t="inlineStr"/>
      <c r="M2618" s="5" t="inlineStr">
        <is>
          <t>Yes</t>
        </is>
      </c>
      <c r="N2618" s="5" t="inlineStr"/>
      <c r="O2618" s="8" t="inlineStr">
        <is>
          <t>111000</t>
        </is>
      </c>
      <c r="P2618" s="5" t="inlineStr">
        <is>
          <t>5</t>
        </is>
      </c>
      <c r="Q2618" s="5" t="inlineStr">
        <is>
          <t>4</t>
        </is>
      </c>
      <c r="R2618" s="5" t="inlineStr">
        <is>
          <t>6</t>
        </is>
      </c>
      <c r="S2618" s="5" t="inlineStr">
        <is>
          <t>69</t>
        </is>
      </c>
      <c r="T2618" s="5" t="inlineStr">
        <is>
          <t>0</t>
        </is>
      </c>
      <c r="U2618" s="5" t="inlineStr">
        <is>
          <t>OK</t>
        </is>
      </c>
    </row>
    <row r="2619">
      <c r="A2619" s="5" t="inlineStr">
        <is>
          <t>E00905</t>
        </is>
      </c>
      <c r="B2619" s="5" t="inlineStr">
        <is>
          <t>Female</t>
        </is>
      </c>
      <c r="C2619" s="6" t="inlineStr">
        <is>
          <t>30</t>
        </is>
      </c>
      <c r="D2619" s="5" t="inlineStr">
        <is>
          <t>Divorced</t>
        </is>
      </c>
      <c r="E2619" s="5" t="inlineStr">
        <is>
          <t>Bachelor</t>
        </is>
      </c>
      <c r="F2619" s="5" t="inlineStr">
        <is>
          <t>Marketing</t>
        </is>
      </c>
      <c r="G2619" s="5" t="inlineStr">
        <is>
          <t>Marketing Analyst</t>
        </is>
      </c>
      <c r="H2619" s="5" t="inlineStr">
        <is>
          <t>1</t>
        </is>
      </c>
      <c r="I2619" s="5" t="inlineStr">
        <is>
          <t>Delhi</t>
        </is>
      </c>
      <c r="J2619" s="5" t="inlineStr">
        <is>
          <t>Full-Time</t>
        </is>
      </c>
      <c r="K2619" s="7" t="n">
        <v>44521</v>
      </c>
      <c r="L2619" s="7" t="inlineStr"/>
      <c r="M2619" s="5" t="inlineStr">
        <is>
          <t>Yes</t>
        </is>
      </c>
      <c r="N2619" s="5" t="inlineStr"/>
      <c r="O2619" s="8" t="inlineStr">
        <is>
          <t>51000</t>
        </is>
      </c>
      <c r="P2619" s="5" t="inlineStr">
        <is>
          <t>0</t>
        </is>
      </c>
      <c r="Q2619" s="5" t="inlineStr">
        <is>
          <t>4</t>
        </is>
      </c>
      <c r="R2619" s="5" t="inlineStr">
        <is>
          <t>6</t>
        </is>
      </c>
      <c r="S2619" s="5" t="inlineStr">
        <is>
          <t>50</t>
        </is>
      </c>
      <c r="T2619" s="5" t="inlineStr">
        <is>
          <t>0</t>
        </is>
      </c>
      <c r="U2619" s="5" t="inlineStr">
        <is>
          <t>OK</t>
        </is>
      </c>
    </row>
    <row r="2620">
      <c r="A2620" s="5" t="inlineStr">
        <is>
          <t>E02345</t>
        </is>
      </c>
      <c r="B2620" s="5" t="inlineStr">
        <is>
          <t>Male</t>
        </is>
      </c>
      <c r="C2620" s="6" t="inlineStr">
        <is>
          <t>24</t>
        </is>
      </c>
      <c r="D2620" s="5" t="inlineStr">
        <is>
          <t>Single</t>
        </is>
      </c>
      <c r="E2620" s="5" t="inlineStr">
        <is>
          <t>PhD</t>
        </is>
      </c>
      <c r="F2620" s="5" t="inlineStr">
        <is>
          <t>Customer Support</t>
        </is>
      </c>
      <c r="G2620" s="5" t="inlineStr">
        <is>
          <t>Support Agent</t>
        </is>
      </c>
      <c r="H2620" s="5" t="inlineStr">
        <is>
          <t>1</t>
        </is>
      </c>
      <c r="I2620" s="5" t="inlineStr">
        <is>
          <t>Delhi</t>
        </is>
      </c>
      <c r="J2620" s="5" t="inlineStr">
        <is>
          <t>Full-Time</t>
        </is>
      </c>
      <c r="K2620" s="7" t="n">
        <v>45631</v>
      </c>
      <c r="L2620" s="7" t="inlineStr"/>
      <c r="M2620" s="5" t="inlineStr">
        <is>
          <t>Yes</t>
        </is>
      </c>
      <c r="N2620" s="5" t="inlineStr"/>
      <c r="O2620" s="8" t="inlineStr">
        <is>
          <t>64500</t>
        </is>
      </c>
      <c r="P2620" s="5" t="inlineStr">
        <is>
          <t>0</t>
        </is>
      </c>
      <c r="Q2620" s="5" t="inlineStr">
        <is>
          <t>3</t>
        </is>
      </c>
      <c r="R2620" s="5" t="inlineStr">
        <is>
          <t>6</t>
        </is>
      </c>
      <c r="S2620" s="5" t="inlineStr">
        <is>
          <t>13</t>
        </is>
      </c>
      <c r="T2620" s="5" t="inlineStr">
        <is>
          <t>18</t>
        </is>
      </c>
      <c r="U2620" s="5" t="inlineStr">
        <is>
          <t>OK</t>
        </is>
      </c>
    </row>
    <row r="2621">
      <c r="A2621" s="5" t="inlineStr">
        <is>
          <t>E01310</t>
        </is>
      </c>
      <c r="B2621" s="5" t="inlineStr">
        <is>
          <t>Male</t>
        </is>
      </c>
      <c r="C2621" s="6" t="inlineStr">
        <is>
          <t>36</t>
        </is>
      </c>
      <c r="D2621" s="5" t="inlineStr">
        <is>
          <t>Divorced</t>
        </is>
      </c>
      <c r="E2621" s="5" t="inlineStr">
        <is>
          <t>High School</t>
        </is>
      </c>
      <c r="F2621" s="5" t="inlineStr">
        <is>
          <t>Sales</t>
        </is>
      </c>
      <c r="G2621" s="5" t="inlineStr">
        <is>
          <t>Sales Executive</t>
        </is>
      </c>
      <c r="H2621" s="5" t="inlineStr">
        <is>
          <t>2</t>
        </is>
      </c>
      <c r="I2621" s="5" t="inlineStr">
        <is>
          <t>Chennai</t>
        </is>
      </c>
      <c r="J2621" s="5" t="inlineStr">
        <is>
          <t>Contract</t>
        </is>
      </c>
      <c r="K2621" s="7" t="n">
        <v>45329</v>
      </c>
      <c r="L2621" s="7" t="n">
        <v>45423</v>
      </c>
      <c r="M2621" s="5" t="inlineStr">
        <is>
          <t>No</t>
        </is>
      </c>
      <c r="N2621" s="5" t="inlineStr">
        <is>
          <t>Resigned</t>
        </is>
      </c>
      <c r="O2621" s="8" t="inlineStr">
        <is>
          <t>71000</t>
        </is>
      </c>
      <c r="P2621" s="5" t="inlineStr">
        <is>
          <t>15</t>
        </is>
      </c>
      <c r="Q2621" s="5" t="inlineStr">
        <is>
          <t>3</t>
        </is>
      </c>
      <c r="R2621" s="5" t="inlineStr">
        <is>
          <t>5</t>
        </is>
      </c>
      <c r="S2621" s="5" t="inlineStr">
        <is>
          <t>3</t>
        </is>
      </c>
      <c r="T2621" s="5" t="inlineStr">
        <is>
          <t>15</t>
        </is>
      </c>
      <c r="U2621" s="5" t="inlineStr">
        <is>
          <t>OK</t>
        </is>
      </c>
    </row>
    <row r="2622">
      <c r="A2622" s="5" t="inlineStr">
        <is>
          <t>E01660</t>
        </is>
      </c>
      <c r="B2622" s="5" t="inlineStr">
        <is>
          <t>Female</t>
        </is>
      </c>
      <c r="C2622" s="6" t="inlineStr">
        <is>
          <t>33</t>
        </is>
      </c>
      <c r="D2622" s="5" t="inlineStr">
        <is>
          <t>Married</t>
        </is>
      </c>
      <c r="E2622" s="5" t="inlineStr">
        <is>
          <t>Diploma</t>
        </is>
      </c>
      <c r="F2622" s="5" t="inlineStr">
        <is>
          <t>Operations</t>
        </is>
      </c>
      <c r="G2622" s="5" t="inlineStr">
        <is>
          <t>Operations Analyst</t>
        </is>
      </c>
      <c r="H2622" s="5" t="inlineStr">
        <is>
          <t>2</t>
        </is>
      </c>
      <c r="I2622" s="5" t="inlineStr">
        <is>
          <t>Mumbai</t>
        </is>
      </c>
      <c r="J2622" s="5" t="inlineStr">
        <is>
          <t>Full-Time</t>
        </is>
      </c>
      <c r="K2622" s="7" t="n">
        <v>43858</v>
      </c>
      <c r="L2622" s="7" t="inlineStr"/>
      <c r="M2622" s="5" t="inlineStr">
        <is>
          <t>Yes</t>
        </is>
      </c>
      <c r="N2622" s="5" t="inlineStr"/>
      <c r="O2622" s="8" t="inlineStr">
        <is>
          <t>110500</t>
        </is>
      </c>
      <c r="P2622" s="5" t="inlineStr">
        <is>
          <t>15</t>
        </is>
      </c>
      <c r="Q2622" s="5" t="inlineStr">
        <is>
          <t>5</t>
        </is>
      </c>
      <c r="R2622" s="5" t="inlineStr">
        <is>
          <t>6</t>
        </is>
      </c>
      <c r="S2622" s="5" t="inlineStr">
        <is>
          <t>72</t>
        </is>
      </c>
      <c r="T2622" s="5" t="inlineStr">
        <is>
          <t>9</t>
        </is>
      </c>
      <c r="U2622" s="5" t="inlineStr">
        <is>
          <t>OK</t>
        </is>
      </c>
    </row>
    <row r="2623">
      <c r="A2623" s="5" t="inlineStr">
        <is>
          <t>E00478</t>
        </is>
      </c>
      <c r="B2623" s="5" t="inlineStr">
        <is>
          <t>Male</t>
        </is>
      </c>
      <c r="C2623" s="6" t="inlineStr">
        <is>
          <t>32</t>
        </is>
      </c>
      <c r="D2623" s="5" t="inlineStr">
        <is>
          <t>Married</t>
        </is>
      </c>
      <c r="E2623" s="5" t="inlineStr">
        <is>
          <t>High School</t>
        </is>
      </c>
      <c r="F2623" s="5" t="inlineStr">
        <is>
          <t>Customer Support</t>
        </is>
      </c>
      <c r="G2623" s="5" t="inlineStr">
        <is>
          <t>Support Agent</t>
        </is>
      </c>
      <c r="H2623" s="5" t="inlineStr">
        <is>
          <t>3</t>
        </is>
      </c>
      <c r="I2623" s="5" t="inlineStr">
        <is>
          <t>Bengaluru</t>
        </is>
      </c>
      <c r="J2623" s="5" t="inlineStr">
        <is>
          <t>Full-Time</t>
        </is>
      </c>
      <c r="K2623" s="7" t="n">
        <v>44725</v>
      </c>
      <c r="L2623" s="7" t="inlineStr"/>
      <c r="M2623" s="5" t="inlineStr">
        <is>
          <t>Yes</t>
        </is>
      </c>
      <c r="N2623" s="5" t="inlineStr"/>
      <c r="O2623" s="8" t="inlineStr">
        <is>
          <t>83000</t>
        </is>
      </c>
      <c r="P2623" s="5" t="inlineStr">
        <is>
          <t>15</t>
        </is>
      </c>
      <c r="Q2623" s="5" t="inlineStr">
        <is>
          <t>4</t>
        </is>
      </c>
      <c r="R2623" s="5" t="inlineStr">
        <is>
          <t>8</t>
        </is>
      </c>
      <c r="S2623" s="5" t="inlineStr">
        <is>
          <t>43</t>
        </is>
      </c>
      <c r="T2623" s="5" t="inlineStr">
        <is>
          <t>8</t>
        </is>
      </c>
      <c r="U2623" s="5" t="inlineStr">
        <is>
          <t>OK</t>
        </is>
      </c>
    </row>
    <row r="2624">
      <c r="A2624" s="5" t="inlineStr">
        <is>
          <t>E00315</t>
        </is>
      </c>
      <c r="B2624" s="5" t="inlineStr">
        <is>
          <t>Male</t>
        </is>
      </c>
      <c r="C2624" s="6" t="inlineStr">
        <is>
          <t>28</t>
        </is>
      </c>
      <c r="D2624" s="5" t="inlineStr">
        <is>
          <t>Married</t>
        </is>
      </c>
      <c r="E2624" s="5" t="inlineStr">
        <is>
          <t>High School</t>
        </is>
      </c>
      <c r="F2624" s="5" t="inlineStr">
        <is>
          <t>Sales</t>
        </is>
      </c>
      <c r="G2624" s="5" t="inlineStr">
        <is>
          <t>Account Executive</t>
        </is>
      </c>
      <c r="H2624" s="5" t="inlineStr">
        <is>
          <t>3</t>
        </is>
      </c>
      <c r="I2624" s="5" t="inlineStr">
        <is>
          <t>Bengaluru</t>
        </is>
      </c>
      <c r="J2624" s="5" t="inlineStr">
        <is>
          <t>Full-Time</t>
        </is>
      </c>
      <c r="K2624" s="7" t="n">
        <v>45134</v>
      </c>
      <c r="L2624" s="7" t="n">
        <v>45272</v>
      </c>
      <c r="M2624" s="5" t="inlineStr">
        <is>
          <t>No</t>
        </is>
      </c>
      <c r="N2624" s="5" t="inlineStr">
        <is>
          <t>Performance / Termination</t>
        </is>
      </c>
      <c r="O2624" s="8" t="inlineStr">
        <is>
          <t>87500</t>
        </is>
      </c>
      <c r="P2624" s="5" t="inlineStr">
        <is>
          <t>0</t>
        </is>
      </c>
      <c r="Q2624" s="5" t="inlineStr">
        <is>
          <t>3</t>
        </is>
      </c>
      <c r="R2624" s="5" t="inlineStr">
        <is>
          <t>3</t>
        </is>
      </c>
      <c r="S2624" s="5" t="inlineStr">
        <is>
          <t>4</t>
        </is>
      </c>
      <c r="T2624" s="5" t="inlineStr">
        <is>
          <t>4</t>
        </is>
      </c>
      <c r="U2624" s="5" t="inlineStr">
        <is>
          <t>OK</t>
        </is>
      </c>
    </row>
    <row r="2625">
      <c r="A2625" s="5" t="inlineStr">
        <is>
          <t>E02051</t>
        </is>
      </c>
      <c r="B2625" s="5" t="inlineStr">
        <is>
          <t>Male</t>
        </is>
      </c>
      <c r="C2625" s="6" t="inlineStr">
        <is>
          <t>28</t>
        </is>
      </c>
      <c r="D2625" s="5" t="inlineStr">
        <is>
          <t>Married</t>
        </is>
      </c>
      <c r="E2625" s="5" t="inlineStr">
        <is>
          <t>PhD</t>
        </is>
      </c>
      <c r="F2625" s="5" t="inlineStr">
        <is>
          <t>Customer Support</t>
        </is>
      </c>
      <c r="G2625" s="5" t="inlineStr">
        <is>
          <t>Support Agent</t>
        </is>
      </c>
      <c r="H2625" s="5" t="inlineStr">
        <is>
          <t>3</t>
        </is>
      </c>
      <c r="I2625" s="5" t="inlineStr">
        <is>
          <t>Hyderabad</t>
        </is>
      </c>
      <c r="J2625" s="5" t="inlineStr">
        <is>
          <t>Full-Time</t>
        </is>
      </c>
      <c r="K2625" s="7" t="n">
        <v>44100</v>
      </c>
      <c r="L2625" s="7" t="inlineStr"/>
      <c r="M2625" s="5" t="inlineStr">
        <is>
          <t>Yes</t>
        </is>
      </c>
      <c r="N2625" s="5" t="inlineStr"/>
      <c r="O2625" s="8" t="inlineStr">
        <is>
          <t>75500</t>
        </is>
      </c>
      <c r="P2625" s="5" t="inlineStr">
        <is>
          <t>0</t>
        </is>
      </c>
      <c r="Q2625" s="5" t="inlineStr">
        <is>
          <t>3</t>
        </is>
      </c>
      <c r="R2625" s="5" t="inlineStr">
        <is>
          <t>6</t>
        </is>
      </c>
      <c r="S2625" s="5" t="inlineStr">
        <is>
          <t>64</t>
        </is>
      </c>
      <c r="T2625" s="5" t="inlineStr">
        <is>
          <t>4</t>
        </is>
      </c>
      <c r="U2625" s="5" t="inlineStr">
        <is>
          <t>OK</t>
        </is>
      </c>
    </row>
    <row r="2626">
      <c r="A2626" s="5" t="inlineStr">
        <is>
          <t>E01099</t>
        </is>
      </c>
      <c r="B2626" s="5" t="inlineStr">
        <is>
          <t>Female</t>
        </is>
      </c>
      <c r="C2626" s="6" t="inlineStr">
        <is>
          <t>30</t>
        </is>
      </c>
      <c r="D2626" s="5" t="inlineStr">
        <is>
          <t>Single</t>
        </is>
      </c>
      <c r="E2626" s="5" t="inlineStr">
        <is>
          <t>PhD</t>
        </is>
      </c>
      <c r="F2626" s="5" t="inlineStr">
        <is>
          <t>Customer Support</t>
        </is>
      </c>
      <c r="G2626" s="5" t="inlineStr">
        <is>
          <t>Escalation Specialist</t>
        </is>
      </c>
      <c r="H2626" s="5" t="inlineStr">
        <is>
          <t>2</t>
        </is>
      </c>
      <c r="I2626" s="5" t="inlineStr">
        <is>
          <t>Chennai</t>
        </is>
      </c>
      <c r="J2626" s="5" t="inlineStr">
        <is>
          <t>Full-Time</t>
        </is>
      </c>
      <c r="K2626" s="7" t="n">
        <v>44966</v>
      </c>
      <c r="L2626" s="7" t="n">
        <v>45058</v>
      </c>
      <c r="M2626" s="5" t="inlineStr">
        <is>
          <t>No</t>
        </is>
      </c>
      <c r="N2626" s="5" t="inlineStr">
        <is>
          <t>Resigned</t>
        </is>
      </c>
      <c r="O2626" s="8" t="inlineStr">
        <is>
          <t>57500</t>
        </is>
      </c>
      <c r="P2626" s="5" t="inlineStr">
        <is>
          <t>0</t>
        </is>
      </c>
      <c r="Q2626" s="5" t="inlineStr">
        <is>
          <t>3</t>
        </is>
      </c>
      <c r="R2626" s="5" t="inlineStr">
        <is>
          <t>5</t>
        </is>
      </c>
      <c r="S2626" s="5" t="inlineStr">
        <is>
          <t>3</t>
        </is>
      </c>
      <c r="T2626" s="5" t="inlineStr">
        <is>
          <t>4</t>
        </is>
      </c>
      <c r="U2626" s="5" t="inlineStr">
        <is>
          <t>OK</t>
        </is>
      </c>
    </row>
    <row r="2627">
      <c r="A2627" s="5" t="inlineStr">
        <is>
          <t>E01784</t>
        </is>
      </c>
      <c r="B2627" s="5" t="inlineStr">
        <is>
          <t>Male</t>
        </is>
      </c>
      <c r="C2627" s="6" t="inlineStr">
        <is>
          <t>24</t>
        </is>
      </c>
      <c r="D2627" s="5" t="inlineStr">
        <is>
          <t>Married</t>
        </is>
      </c>
      <c r="E2627" s="5" t="inlineStr">
        <is>
          <t>Bachelor</t>
        </is>
      </c>
      <c r="F2627" s="5" t="inlineStr">
        <is>
          <t>Customer Support</t>
        </is>
      </c>
      <c r="G2627" s="5" t="inlineStr">
        <is>
          <t>Escalation Specialist</t>
        </is>
      </c>
      <c r="H2627" s="5" t="inlineStr">
        <is>
          <t>1</t>
        </is>
      </c>
      <c r="I2627" s="5" t="inlineStr">
        <is>
          <t>Remote</t>
        </is>
      </c>
      <c r="J2627" s="5" t="inlineStr">
        <is>
          <t>Full-Time</t>
        </is>
      </c>
      <c r="K2627" s="7" t="n">
        <v>43929</v>
      </c>
      <c r="L2627" s="7" t="inlineStr"/>
      <c r="M2627" s="5" t="inlineStr">
        <is>
          <t>Yes</t>
        </is>
      </c>
      <c r="N2627" s="5" t="inlineStr"/>
      <c r="O2627" s="8" t="inlineStr">
        <is>
          <t>43500</t>
        </is>
      </c>
      <c r="P2627" s="5" t="inlineStr">
        <is>
          <t>0</t>
        </is>
      </c>
      <c r="Q2627" s="5" t="inlineStr">
        <is>
          <t>3</t>
        </is>
      </c>
      <c r="R2627" s="5" t="inlineStr">
        <is>
          <t>6</t>
        </is>
      </c>
      <c r="S2627" s="5" t="inlineStr">
        <is>
          <t>69</t>
        </is>
      </c>
      <c r="T2627" s="5" t="inlineStr">
        <is>
          <t>3</t>
        </is>
      </c>
      <c r="U2627" s="5" t="inlineStr">
        <is>
          <t>OK</t>
        </is>
      </c>
    </row>
    <row r="2628">
      <c r="A2628" s="5" t="inlineStr">
        <is>
          <t>E01721</t>
        </is>
      </c>
      <c r="B2628" s="5" t="inlineStr">
        <is>
          <t>Male</t>
        </is>
      </c>
      <c r="C2628" s="6" t="inlineStr">
        <is>
          <t>37</t>
        </is>
      </c>
      <c r="D2628" s="5" t="inlineStr">
        <is>
          <t>Single</t>
        </is>
      </c>
      <c r="E2628" s="5" t="inlineStr">
        <is>
          <t>Diploma</t>
        </is>
      </c>
      <c r="F2628" s="5" t="inlineStr">
        <is>
          <t>Research &amp; Development</t>
        </is>
      </c>
      <c r="G2628" s="5" t="inlineStr">
        <is>
          <t>Product Engineer</t>
        </is>
      </c>
      <c r="H2628" s="5" t="inlineStr">
        <is>
          <t>6</t>
        </is>
      </c>
      <c r="I2628" s="5" t="inlineStr">
        <is>
          <t>Delhi</t>
        </is>
      </c>
      <c r="J2628" s="5" t="inlineStr">
        <is>
          <t>Full-Time</t>
        </is>
      </c>
      <c r="K2628" s="7" t="n">
        <v>45715</v>
      </c>
      <c r="L2628" s="7" t="inlineStr"/>
      <c r="M2628" s="5" t="inlineStr">
        <is>
          <t>Yes</t>
        </is>
      </c>
      <c r="N2628" s="5" t="inlineStr"/>
      <c r="O2628" s="8" t="inlineStr">
        <is>
          <t>177500</t>
        </is>
      </c>
      <c r="P2628" s="5" t="inlineStr">
        <is>
          <t>10</t>
        </is>
      </c>
      <c r="Q2628" s="5" t="inlineStr">
        <is>
          <t>5</t>
        </is>
      </c>
      <c r="R2628" s="5" t="inlineStr">
        <is>
          <t>4</t>
        </is>
      </c>
      <c r="S2628" s="5" t="inlineStr">
        <is>
          <t>10</t>
        </is>
      </c>
      <c r="T2628" s="5" t="inlineStr">
        <is>
          <t>4</t>
        </is>
      </c>
      <c r="U2628" s="5" t="inlineStr">
        <is>
          <t>OK</t>
        </is>
      </c>
    </row>
    <row r="2629">
      <c r="A2629" s="5" t="inlineStr">
        <is>
          <t>E00018</t>
        </is>
      </c>
      <c r="B2629" s="5" t="inlineStr">
        <is>
          <t>Female</t>
        </is>
      </c>
      <c r="C2629" s="6" t="inlineStr">
        <is>
          <t>29</t>
        </is>
      </c>
      <c r="D2629" s="5" t="inlineStr">
        <is>
          <t>Married</t>
        </is>
      </c>
      <c r="E2629" s="5" t="inlineStr">
        <is>
          <t>High School</t>
        </is>
      </c>
      <c r="F2629" s="5" t="inlineStr">
        <is>
          <t>Finance</t>
        </is>
      </c>
      <c r="G2629" s="5" t="inlineStr">
        <is>
          <t>Accountant</t>
        </is>
      </c>
      <c r="H2629" s="5" t="inlineStr">
        <is>
          <t>1</t>
        </is>
      </c>
      <c r="I2629" s="5" t="inlineStr">
        <is>
          <t>Bengaluru</t>
        </is>
      </c>
      <c r="J2629" s="5" t="inlineStr">
        <is>
          <t>Full-Time</t>
        </is>
      </c>
      <c r="K2629" s="7" t="n">
        <v>44374</v>
      </c>
      <c r="L2629" s="7" t="inlineStr"/>
      <c r="M2629" s="5" t="inlineStr">
        <is>
          <t>Yes</t>
        </is>
      </c>
      <c r="N2629" s="5" t="inlineStr"/>
      <c r="O2629" s="8" t="inlineStr">
        <is>
          <t>73500</t>
        </is>
      </c>
      <c r="P2629" s="5" t="inlineStr">
        <is>
          <t>5</t>
        </is>
      </c>
      <c r="Q2629" s="5" t="inlineStr">
        <is>
          <t>3</t>
        </is>
      </c>
      <c r="R2629" s="5" t="inlineStr">
        <is>
          <t>5</t>
        </is>
      </c>
      <c r="S2629" s="5" t="inlineStr">
        <is>
          <t>54</t>
        </is>
      </c>
      <c r="T2629" s="5" t="inlineStr">
        <is>
          <t>0</t>
        </is>
      </c>
      <c r="U2629" s="5" t="inlineStr">
        <is>
          <t>OK</t>
        </is>
      </c>
    </row>
    <row r="2630">
      <c r="A2630" s="5" t="inlineStr">
        <is>
          <t>E02434</t>
        </is>
      </c>
      <c r="B2630" s="5" t="inlineStr">
        <is>
          <t>Male</t>
        </is>
      </c>
      <c r="C2630" s="6" t="inlineStr">
        <is>
          <t>30</t>
        </is>
      </c>
      <c r="D2630" s="5" t="inlineStr">
        <is>
          <t>Single</t>
        </is>
      </c>
      <c r="E2630" s="5" t="inlineStr">
        <is>
          <t>PhD</t>
        </is>
      </c>
      <c r="F2630" s="5" t="inlineStr">
        <is>
          <t>Operations</t>
        </is>
      </c>
      <c r="G2630" s="5" t="inlineStr">
        <is>
          <t>Operations Analyst</t>
        </is>
      </c>
      <c r="H2630" s="5" t="inlineStr">
        <is>
          <t>1</t>
        </is>
      </c>
      <c r="I2630" s="5" t="inlineStr">
        <is>
          <t>Remote</t>
        </is>
      </c>
      <c r="J2630" s="5" t="inlineStr">
        <is>
          <t>Full-Time</t>
        </is>
      </c>
      <c r="K2630" s="7" t="n">
        <v>45288</v>
      </c>
      <c r="L2630" s="7" t="inlineStr"/>
      <c r="M2630" s="5" t="inlineStr">
        <is>
          <t>Yes</t>
        </is>
      </c>
      <c r="N2630" s="5" t="inlineStr"/>
      <c r="O2630" s="8" t="inlineStr">
        <is>
          <t>55500</t>
        </is>
      </c>
      <c r="P2630" s="5" t="inlineStr">
        <is>
          <t>10</t>
        </is>
      </c>
      <c r="Q2630" s="5" t="inlineStr">
        <is>
          <t>1</t>
        </is>
      </c>
      <c r="R2630" s="5" t="inlineStr">
        <is>
          <t>4</t>
        </is>
      </c>
      <c r="S2630" s="5" t="inlineStr">
        <is>
          <t>24</t>
        </is>
      </c>
      <c r="T2630" s="5" t="inlineStr">
        <is>
          <t>4</t>
        </is>
      </c>
      <c r="U2630" s="5" t="inlineStr">
        <is>
          <t>OK</t>
        </is>
      </c>
    </row>
    <row r="2631">
      <c r="A2631" s="5" t="inlineStr">
        <is>
          <t>E02718</t>
        </is>
      </c>
      <c r="B2631" s="5" t="inlineStr">
        <is>
          <t>Female</t>
        </is>
      </c>
      <c r="C2631" s="6" t="inlineStr">
        <is>
          <t>42</t>
        </is>
      </c>
      <c r="D2631" s="5" t="inlineStr">
        <is>
          <t>Married</t>
        </is>
      </c>
      <c r="E2631" s="5" t="inlineStr">
        <is>
          <t>Master</t>
        </is>
      </c>
      <c r="F2631" s="5" t="inlineStr">
        <is>
          <t>Operations</t>
        </is>
      </c>
      <c r="G2631" s="5" t="inlineStr">
        <is>
          <t>Operations Analyst</t>
        </is>
      </c>
      <c r="H2631" s="5" t="inlineStr">
        <is>
          <t>7</t>
        </is>
      </c>
      <c r="I2631" s="5" t="inlineStr">
        <is>
          <t>Hyderabad</t>
        </is>
      </c>
      <c r="J2631" s="5" t="inlineStr">
        <is>
          <t>Full-Time</t>
        </is>
      </c>
      <c r="K2631" s="7" t="n">
        <v>45117</v>
      </c>
      <c r="L2631" s="7" t="inlineStr"/>
      <c r="M2631" s="5" t="inlineStr">
        <is>
          <t>Yes</t>
        </is>
      </c>
      <c r="N2631" s="5" t="inlineStr"/>
      <c r="O2631" s="8" t="inlineStr">
        <is>
          <t>159500</t>
        </is>
      </c>
      <c r="P2631" s="5" t="inlineStr">
        <is>
          <t>5</t>
        </is>
      </c>
      <c r="Q2631" s="5" t="inlineStr">
        <is>
          <t>3</t>
        </is>
      </c>
      <c r="R2631" s="5" t="inlineStr">
        <is>
          <t>8</t>
        </is>
      </c>
      <c r="S2631" s="5" t="inlineStr">
        <is>
          <t>30</t>
        </is>
      </c>
      <c r="T2631" s="5" t="inlineStr">
        <is>
          <t>1</t>
        </is>
      </c>
      <c r="U2631" s="5" t="inlineStr">
        <is>
          <t>OK</t>
        </is>
      </c>
    </row>
    <row r="2632">
      <c r="A2632" s="5" t="inlineStr">
        <is>
          <t>E00940</t>
        </is>
      </c>
      <c r="B2632" s="5" t="inlineStr">
        <is>
          <t>Male</t>
        </is>
      </c>
      <c r="C2632" s="6" t="inlineStr">
        <is>
          <t>37</t>
        </is>
      </c>
      <c r="D2632" s="5" t="inlineStr">
        <is>
          <t>Married</t>
        </is>
      </c>
      <c r="E2632" s="5" t="inlineStr">
        <is>
          <t>Master</t>
        </is>
      </c>
      <c r="F2632" s="5" t="inlineStr">
        <is>
          <t>Customer Support</t>
        </is>
      </c>
      <c r="G2632" s="5" t="inlineStr">
        <is>
          <t>Support Lead</t>
        </is>
      </c>
      <c r="H2632" s="5" t="inlineStr">
        <is>
          <t>4</t>
        </is>
      </c>
      <c r="I2632" s="5" t="inlineStr">
        <is>
          <t>Delhi</t>
        </is>
      </c>
      <c r="J2632" s="5" t="inlineStr">
        <is>
          <t>Part-Time</t>
        </is>
      </c>
      <c r="K2632" s="7" t="n">
        <v>44000</v>
      </c>
      <c r="L2632" s="7" t="inlineStr"/>
      <c r="M2632" s="5" t="inlineStr">
        <is>
          <t>Yes</t>
        </is>
      </c>
      <c r="N2632" s="5" t="inlineStr"/>
      <c r="O2632" s="8" t="inlineStr">
        <is>
          <t>61000</t>
        </is>
      </c>
      <c r="P2632" s="5" t="inlineStr">
        <is>
          <t>5</t>
        </is>
      </c>
      <c r="Q2632" s="5" t="inlineStr">
        <is>
          <t>4</t>
        </is>
      </c>
      <c r="R2632" s="5" t="inlineStr">
        <is>
          <t>4</t>
        </is>
      </c>
      <c r="S2632" s="5" t="inlineStr">
        <is>
          <t>67</t>
        </is>
      </c>
      <c r="T2632" s="5" t="inlineStr">
        <is>
          <t>8</t>
        </is>
      </c>
      <c r="U2632" s="5" t="inlineStr">
        <is>
          <t>OK</t>
        </is>
      </c>
    </row>
    <row r="2633">
      <c r="A2633" s="5" t="inlineStr">
        <is>
          <t>E00020</t>
        </is>
      </c>
      <c r="B2633" s="5" t="inlineStr">
        <is>
          <t>Male</t>
        </is>
      </c>
      <c r="C2633" s="6" t="inlineStr">
        <is>
          <t>37</t>
        </is>
      </c>
      <c r="D2633" s="5" t="inlineStr">
        <is>
          <t>Married</t>
        </is>
      </c>
      <c r="E2633" s="5" t="inlineStr">
        <is>
          <t>PhD</t>
        </is>
      </c>
      <c r="F2633" s="5" t="inlineStr">
        <is>
          <t>IT</t>
        </is>
      </c>
      <c r="G2633" s="5" t="inlineStr">
        <is>
          <t>IT Support</t>
        </is>
      </c>
      <c r="H2633" s="5" t="inlineStr">
        <is>
          <t>3</t>
        </is>
      </c>
      <c r="I2633" s="5" t="inlineStr">
        <is>
          <t>Remote</t>
        </is>
      </c>
      <c r="J2633" s="5" t="inlineStr">
        <is>
          <t>Full-Time</t>
        </is>
      </c>
      <c r="K2633" s="7" t="n">
        <v>45265</v>
      </c>
      <c r="L2633" s="7" t="inlineStr"/>
      <c r="M2633" s="5" t="inlineStr">
        <is>
          <t>Yes</t>
        </is>
      </c>
      <c r="N2633" s="5" t="inlineStr"/>
      <c r="O2633" s="8" t="inlineStr">
        <is>
          <t>157000</t>
        </is>
      </c>
      <c r="P2633" s="5" t="inlineStr">
        <is>
          <t>5</t>
        </is>
      </c>
      <c r="Q2633" s="5" t="inlineStr">
        <is>
          <t>4</t>
        </is>
      </c>
      <c r="R2633" s="5" t="inlineStr">
        <is>
          <t>8</t>
        </is>
      </c>
      <c r="S2633" s="5" t="inlineStr">
        <is>
          <t>25</t>
        </is>
      </c>
      <c r="T2633" s="5" t="inlineStr">
        <is>
          <t>7</t>
        </is>
      </c>
      <c r="U2633" s="5" t="inlineStr">
        <is>
          <t>OK</t>
        </is>
      </c>
    </row>
    <row r="2634">
      <c r="A2634" s="5" t="inlineStr">
        <is>
          <t>E02495</t>
        </is>
      </c>
      <c r="B2634" s="5" t="inlineStr">
        <is>
          <t>Female</t>
        </is>
      </c>
      <c r="C2634" s="6" t="inlineStr">
        <is>
          <t>33</t>
        </is>
      </c>
      <c r="D2634" s="5" t="inlineStr">
        <is>
          <t>Married</t>
        </is>
      </c>
      <c r="E2634" s="5" t="inlineStr">
        <is>
          <t>Master</t>
        </is>
      </c>
      <c r="F2634" s="5" t="inlineStr">
        <is>
          <t>Sales</t>
        </is>
      </c>
      <c r="G2634" s="5" t="inlineStr">
        <is>
          <t>Business Development</t>
        </is>
      </c>
      <c r="H2634" s="5" t="inlineStr">
        <is>
          <t>3</t>
        </is>
      </c>
      <c r="I2634" s="5" t="inlineStr">
        <is>
          <t>Hyderabad</t>
        </is>
      </c>
      <c r="J2634" s="5" t="inlineStr">
        <is>
          <t>Full-Time</t>
        </is>
      </c>
      <c r="K2634" s="7" t="n">
        <v>44754</v>
      </c>
      <c r="L2634" s="7" t="inlineStr"/>
      <c r="M2634" s="5" t="inlineStr">
        <is>
          <t>Yes</t>
        </is>
      </c>
      <c r="N2634" s="5" t="inlineStr"/>
      <c r="O2634" s="8" t="inlineStr">
        <is>
          <t>77000</t>
        </is>
      </c>
      <c r="P2634" s="5" t="inlineStr">
        <is>
          <t>5</t>
        </is>
      </c>
      <c r="Q2634" s="5" t="inlineStr">
        <is>
          <t>4</t>
        </is>
      </c>
      <c r="R2634" s="5" t="inlineStr">
        <is>
          <t>3</t>
        </is>
      </c>
      <c r="S2634" s="5" t="inlineStr">
        <is>
          <t>42</t>
        </is>
      </c>
      <c r="T2634" s="5" t="inlineStr">
        <is>
          <t>10</t>
        </is>
      </c>
      <c r="U2634" s="5" t="inlineStr">
        <is>
          <t>OK</t>
        </is>
      </c>
    </row>
    <row r="2635">
      <c r="A2635" s="5" t="inlineStr">
        <is>
          <t>E00757</t>
        </is>
      </c>
      <c r="B2635" s="5" t="inlineStr">
        <is>
          <t>Female</t>
        </is>
      </c>
      <c r="C2635" s="6" t="inlineStr">
        <is>
          <t>33</t>
        </is>
      </c>
      <c r="D2635" s="5" t="inlineStr">
        <is>
          <t>Married</t>
        </is>
      </c>
      <c r="E2635" s="5" t="inlineStr">
        <is>
          <t>Master</t>
        </is>
      </c>
      <c r="F2635" s="5" t="inlineStr">
        <is>
          <t>Finance</t>
        </is>
      </c>
      <c r="G2635" s="5" t="inlineStr">
        <is>
          <t>Financial Analyst</t>
        </is>
      </c>
      <c r="H2635" s="5" t="inlineStr">
        <is>
          <t>5</t>
        </is>
      </c>
      <c r="I2635" s="5" t="inlineStr">
        <is>
          <t>Bengaluru</t>
        </is>
      </c>
      <c r="J2635" s="5" t="inlineStr">
        <is>
          <t>Full-Time</t>
        </is>
      </c>
      <c r="K2635" s="7" t="n">
        <v>45587</v>
      </c>
      <c r="L2635" s="7" t="inlineStr"/>
      <c r="M2635" s="5" t="inlineStr">
        <is>
          <t>Yes</t>
        </is>
      </c>
      <c r="N2635" s="5" t="inlineStr"/>
      <c r="O2635" s="8" t="inlineStr">
        <is>
          <t>149000</t>
        </is>
      </c>
      <c r="P2635" s="5" t="inlineStr">
        <is>
          <t>5</t>
        </is>
      </c>
      <c r="Q2635" s="5" t="inlineStr">
        <is>
          <t>2</t>
        </is>
      </c>
      <c r="R2635" s="5" t="inlineStr">
        <is>
          <t>6</t>
        </is>
      </c>
      <c r="S2635" s="5" t="inlineStr">
        <is>
          <t>14</t>
        </is>
      </c>
      <c r="T2635" s="5" t="inlineStr">
        <is>
          <t>7</t>
        </is>
      </c>
      <c r="U2635" s="5" t="inlineStr">
        <is>
          <t>OK</t>
        </is>
      </c>
    </row>
    <row r="2636">
      <c r="A2636" s="5" t="inlineStr">
        <is>
          <t>E02716</t>
        </is>
      </c>
      <c r="B2636" s="5" t="inlineStr">
        <is>
          <t>Male</t>
        </is>
      </c>
      <c r="C2636" s="6" t="inlineStr">
        <is>
          <t>29</t>
        </is>
      </c>
      <c r="D2636" s="5" t="inlineStr">
        <is>
          <t>Single</t>
        </is>
      </c>
      <c r="E2636" s="5" t="inlineStr">
        <is>
          <t>Master</t>
        </is>
      </c>
      <c r="F2636" s="5" t="inlineStr">
        <is>
          <t>Research &amp; Development</t>
        </is>
      </c>
      <c r="G2636" s="5" t="inlineStr">
        <is>
          <t>Data Scientist</t>
        </is>
      </c>
      <c r="H2636" s="5" t="inlineStr">
        <is>
          <t>2</t>
        </is>
      </c>
      <c r="I2636" s="5" t="inlineStr">
        <is>
          <t>Chennai</t>
        </is>
      </c>
      <c r="J2636" s="5" t="inlineStr">
        <is>
          <t>Full-Time</t>
        </is>
      </c>
      <c r="K2636" s="7" t="n">
        <v>44327</v>
      </c>
      <c r="L2636" s="7" t="n">
        <v>44366</v>
      </c>
      <c r="M2636" s="5" t="inlineStr">
        <is>
          <t>No</t>
        </is>
      </c>
      <c r="N2636" s="5" t="inlineStr">
        <is>
          <t>Retirement</t>
        </is>
      </c>
      <c r="O2636" s="8" t="inlineStr">
        <is>
          <t>174500</t>
        </is>
      </c>
      <c r="P2636" s="5" t="inlineStr">
        <is>
          <t>20</t>
        </is>
      </c>
      <c r="Q2636" s="5" t="inlineStr">
        <is>
          <t>3</t>
        </is>
      </c>
      <c r="R2636" s="5" t="inlineStr">
        <is>
          <t>8</t>
        </is>
      </c>
      <c r="S2636" s="5" t="inlineStr">
        <is>
          <t>1</t>
        </is>
      </c>
      <c r="T2636" s="5" t="inlineStr">
        <is>
          <t>4</t>
        </is>
      </c>
      <c r="U2636" s="5" t="inlineStr">
        <is>
          <t>OK</t>
        </is>
      </c>
    </row>
    <row r="2637">
      <c r="A2637" s="5" t="inlineStr">
        <is>
          <t>E00271</t>
        </is>
      </c>
      <c r="B2637" s="5" t="inlineStr">
        <is>
          <t>Unknown</t>
        </is>
      </c>
      <c r="C2637" s="6" t="inlineStr">
        <is>
          <t>34</t>
        </is>
      </c>
      <c r="D2637" s="5" t="inlineStr">
        <is>
          <t>Married</t>
        </is>
      </c>
      <c r="E2637" s="5" t="inlineStr">
        <is>
          <t>High School</t>
        </is>
      </c>
      <c r="F2637" s="5" t="inlineStr">
        <is>
          <t>Operations</t>
        </is>
      </c>
      <c r="G2637" s="5" t="inlineStr">
        <is>
          <t>Logistics Coordinator</t>
        </is>
      </c>
      <c r="H2637" s="5" t="inlineStr">
        <is>
          <t>1</t>
        </is>
      </c>
      <c r="I2637" s="5" t="inlineStr">
        <is>
          <t>Bengaluru</t>
        </is>
      </c>
      <c r="J2637" s="5" t="inlineStr">
        <is>
          <t>Full-Time</t>
        </is>
      </c>
      <c r="K2637" s="7" t="n">
        <v>44423</v>
      </c>
      <c r="L2637" s="7" t="inlineStr"/>
      <c r="M2637" s="5" t="inlineStr">
        <is>
          <t>Yes</t>
        </is>
      </c>
      <c r="N2637" s="5" t="inlineStr"/>
      <c r="O2637" s="8" t="inlineStr">
        <is>
          <t>86500</t>
        </is>
      </c>
      <c r="P2637" s="5" t="inlineStr">
        <is>
          <t>0</t>
        </is>
      </c>
      <c r="Q2637" s="5" t="inlineStr">
        <is>
          <t>4</t>
        </is>
      </c>
      <c r="R2637" s="5" t="inlineStr">
        <is>
          <t>6</t>
        </is>
      </c>
      <c r="S2637" s="5" t="inlineStr">
        <is>
          <t>53</t>
        </is>
      </c>
      <c r="T2637" s="5" t="inlineStr">
        <is>
          <t>6</t>
        </is>
      </c>
      <c r="U2637" s="5" t="inlineStr">
        <is>
          <t>Bad gender</t>
        </is>
      </c>
    </row>
    <row r="2638">
      <c r="A2638" s="5" t="inlineStr">
        <is>
          <t>E01738</t>
        </is>
      </c>
      <c r="B2638" s="5" t="inlineStr">
        <is>
          <t>female</t>
        </is>
      </c>
      <c r="C2638" s="6" t="inlineStr">
        <is>
          <t>30</t>
        </is>
      </c>
      <c r="D2638" s="5" t="inlineStr">
        <is>
          <t>Married</t>
        </is>
      </c>
      <c r="E2638" s="5" t="inlineStr">
        <is>
          <t>Master</t>
        </is>
      </c>
      <c r="F2638" s="5" t="inlineStr">
        <is>
          <t>Customer Support</t>
        </is>
      </c>
      <c r="G2638" s="5" t="inlineStr">
        <is>
          <t>Escalation Specialist</t>
        </is>
      </c>
      <c r="H2638" s="5" t="inlineStr">
        <is>
          <t>1</t>
        </is>
      </c>
      <c r="I2638" s="5" t="inlineStr">
        <is>
          <t>Remote</t>
        </is>
      </c>
      <c r="J2638" s="5" t="inlineStr">
        <is>
          <t>Full-Time</t>
        </is>
      </c>
      <c r="K2638" s="7" t="n">
        <v>44700</v>
      </c>
      <c r="L2638" s="7" t="n">
        <v>44770</v>
      </c>
      <c r="M2638" s="5" t="inlineStr">
        <is>
          <t>No</t>
        </is>
      </c>
      <c r="N2638" s="5" t="inlineStr">
        <is>
          <t>Performance / Termination</t>
        </is>
      </c>
      <c r="O2638" s="8" t="inlineStr">
        <is>
          <t>50500</t>
        </is>
      </c>
      <c r="P2638" s="5" t="inlineStr">
        <is>
          <t>0</t>
        </is>
      </c>
      <c r="Q2638" s="5" t="inlineStr">
        <is>
          <t>4</t>
        </is>
      </c>
      <c r="R2638" s="5" t="inlineStr">
        <is>
          <t>8</t>
        </is>
      </c>
      <c r="S2638" s="5" t="inlineStr">
        <is>
          <t>2</t>
        </is>
      </c>
      <c r="T2638" s="5" t="inlineStr">
        <is>
          <t>16</t>
        </is>
      </c>
      <c r="U2638" s="5" t="inlineStr">
        <is>
          <t>OK</t>
        </is>
      </c>
    </row>
    <row r="2639">
      <c r="A2639" s="5" t="inlineStr">
        <is>
          <t>E02341</t>
        </is>
      </c>
      <c r="B2639" s="5" t="inlineStr">
        <is>
          <t>Male</t>
        </is>
      </c>
      <c r="C2639" s="6" t="inlineStr">
        <is>
          <t>43</t>
        </is>
      </c>
      <c r="D2639" s="5" t="inlineStr">
        <is>
          <t>Married</t>
        </is>
      </c>
      <c r="E2639" s="5" t="inlineStr">
        <is>
          <t>Master</t>
        </is>
      </c>
      <c r="F2639" s="5" t="inlineStr">
        <is>
          <t>Executive</t>
        </is>
      </c>
      <c r="G2639" s="5" t="inlineStr">
        <is>
          <t>COO</t>
        </is>
      </c>
      <c r="H2639" s="5" t="inlineStr">
        <is>
          <t>6</t>
        </is>
      </c>
      <c r="I2639" s="5" t="inlineStr">
        <is>
          <t>Hyderabad</t>
        </is>
      </c>
      <c r="J2639" s="5" t="inlineStr">
        <is>
          <t>Part-Time</t>
        </is>
      </c>
      <c r="K2639" s="7" t="n">
        <v>45389</v>
      </c>
      <c r="L2639" s="7" t="inlineStr"/>
      <c r="M2639" s="5" t="inlineStr">
        <is>
          <t>Yes</t>
        </is>
      </c>
      <c r="N2639" s="5" t="inlineStr"/>
      <c r="O2639" s="8" t="inlineStr">
        <is>
          <t>255500</t>
        </is>
      </c>
      <c r="P2639" s="5" t="inlineStr">
        <is>
          <t>10</t>
        </is>
      </c>
      <c r="Q2639" s="5" t="inlineStr">
        <is>
          <t>3</t>
        </is>
      </c>
      <c r="R2639" s="5" t="inlineStr">
        <is>
          <t>7</t>
        </is>
      </c>
      <c r="S2639" s="5" t="inlineStr">
        <is>
          <t>21</t>
        </is>
      </c>
      <c r="T2639" s="5" t="inlineStr">
        <is>
          <t>9</t>
        </is>
      </c>
      <c r="U2639" s="5" t="inlineStr">
        <is>
          <t>OK</t>
        </is>
      </c>
    </row>
    <row r="2640">
      <c r="A2640" s="5" t="inlineStr">
        <is>
          <t>E00710</t>
        </is>
      </c>
      <c r="B2640" s="5" t="inlineStr">
        <is>
          <t>Female</t>
        </is>
      </c>
      <c r="C2640" s="6" t="inlineStr">
        <is>
          <t>36</t>
        </is>
      </c>
      <c r="D2640" s="5" t="inlineStr">
        <is>
          <t>Single</t>
        </is>
      </c>
      <c r="E2640" s="5" t="inlineStr">
        <is>
          <t>Bachelor</t>
        </is>
      </c>
      <c r="F2640" s="5" t="inlineStr">
        <is>
          <t>Human Resources</t>
        </is>
      </c>
      <c r="G2640" s="5" t="inlineStr">
        <is>
          <t>HR Analyst</t>
        </is>
      </c>
      <c r="H2640" s="5" t="inlineStr">
        <is>
          <t>2</t>
        </is>
      </c>
      <c r="I2640" s="5" t="inlineStr">
        <is>
          <t>Remote</t>
        </is>
      </c>
      <c r="J2640" s="5" t="inlineStr">
        <is>
          <t>Full-Time</t>
        </is>
      </c>
      <c r="K2640" s="7" t="n">
        <v>45532</v>
      </c>
      <c r="L2640" s="7" t="inlineStr"/>
      <c r="M2640" s="5" t="inlineStr">
        <is>
          <t>Yes</t>
        </is>
      </c>
      <c r="N2640" s="5" t="inlineStr"/>
      <c r="O2640" s="8" t="inlineStr">
        <is>
          <t>80000</t>
        </is>
      </c>
      <c r="P2640" s="5" t="inlineStr">
        <is>
          <t>0</t>
        </is>
      </c>
      <c r="Q2640" s="5" t="inlineStr">
        <is>
          <t>5</t>
        </is>
      </c>
      <c r="R2640" s="5" t="inlineStr">
        <is>
          <t>5</t>
        </is>
      </c>
      <c r="S2640" s="5" t="inlineStr">
        <is>
          <t>16</t>
        </is>
      </c>
      <c r="T2640" s="5" t="inlineStr">
        <is>
          <t>10</t>
        </is>
      </c>
      <c r="U2640" s="5" t="inlineStr">
        <is>
          <t>OK</t>
        </is>
      </c>
    </row>
    <row r="2641">
      <c r="A2641" s="5" t="inlineStr">
        <is>
          <t>E01365</t>
        </is>
      </c>
      <c r="B2641" s="5" t="inlineStr">
        <is>
          <t>Female</t>
        </is>
      </c>
      <c r="C2641" s="6" t="inlineStr">
        <is>
          <t>28</t>
        </is>
      </c>
      <c r="D2641" s="5" t="inlineStr">
        <is>
          <t>Married</t>
        </is>
      </c>
      <c r="E2641" s="5" t="inlineStr">
        <is>
          <t>High School</t>
        </is>
      </c>
      <c r="F2641" s="5" t="inlineStr">
        <is>
          <t>Customer Support</t>
        </is>
      </c>
      <c r="G2641" s="5" t="inlineStr">
        <is>
          <t>Support Agent</t>
        </is>
      </c>
      <c r="H2641" s="5" t="inlineStr">
        <is>
          <t>1</t>
        </is>
      </c>
      <c r="I2641" s="5" t="inlineStr">
        <is>
          <t>Chennai</t>
        </is>
      </c>
      <c r="J2641" s="5" t="inlineStr">
        <is>
          <t>Full-Time</t>
        </is>
      </c>
      <c r="K2641" s="7" t="n">
        <v>44494</v>
      </c>
      <c r="L2641" s="7" t="inlineStr"/>
      <c r="M2641" s="5" t="inlineStr">
        <is>
          <t>Yes</t>
        </is>
      </c>
      <c r="N2641" s="5" t="inlineStr"/>
      <c r="O2641" s="8" t="inlineStr">
        <is>
          <t>56000</t>
        </is>
      </c>
      <c r="P2641" s="5" t="inlineStr">
        <is>
          <t>5</t>
        </is>
      </c>
      <c r="Q2641" s="5" t="inlineStr">
        <is>
          <t>4</t>
        </is>
      </c>
      <c r="R2641" s="5" t="inlineStr">
        <is>
          <t>3</t>
        </is>
      </c>
      <c r="S2641" s="5" t="inlineStr">
        <is>
          <t>50</t>
        </is>
      </c>
      <c r="T2641" s="5" t="inlineStr">
        <is>
          <t>14</t>
        </is>
      </c>
      <c r="U2641" s="5" t="inlineStr">
        <is>
          <t>OK</t>
        </is>
      </c>
    </row>
    <row r="2642">
      <c r="A2642" s="5" t="inlineStr">
        <is>
          <t>E01669</t>
        </is>
      </c>
      <c r="B2642" s="5" t="inlineStr">
        <is>
          <t>Male</t>
        </is>
      </c>
      <c r="C2642" s="6" t="inlineStr">
        <is>
          <t>31</t>
        </is>
      </c>
      <c r="D2642" s="5" t="inlineStr">
        <is>
          <t>Married</t>
        </is>
      </c>
      <c r="E2642" s="5" t="inlineStr">
        <is>
          <t>High School</t>
        </is>
      </c>
      <c r="F2642" s="5" t="inlineStr">
        <is>
          <t>Operations</t>
        </is>
      </c>
      <c r="G2642" s="5" t="inlineStr">
        <is>
          <t>Quality Analyst</t>
        </is>
      </c>
      <c r="H2642" s="5" t="inlineStr">
        <is>
          <t>2</t>
        </is>
      </c>
      <c r="I2642" s="5" t="inlineStr">
        <is>
          <t>Remote</t>
        </is>
      </c>
      <c r="J2642" s="5" t="inlineStr">
        <is>
          <t>Full-Time</t>
        </is>
      </c>
      <c r="K2642" s="7" t="n">
        <v>43995</v>
      </c>
      <c r="L2642" s="7" t="inlineStr"/>
      <c r="M2642" s="5" t="inlineStr">
        <is>
          <t>Yes</t>
        </is>
      </c>
      <c r="N2642" s="5" t="inlineStr"/>
      <c r="O2642" s="8" t="inlineStr">
        <is>
          <t>79000</t>
        </is>
      </c>
      <c r="P2642" s="5" t="inlineStr">
        <is>
          <t>5</t>
        </is>
      </c>
      <c r="Q2642" s="5" t="inlineStr">
        <is>
          <t>3</t>
        </is>
      </c>
      <c r="R2642" s="5" t="inlineStr">
        <is>
          <t>6</t>
        </is>
      </c>
      <c r="S2642" s="5" t="inlineStr">
        <is>
          <t>67</t>
        </is>
      </c>
      <c r="T2642" s="5" t="inlineStr">
        <is>
          <t>0</t>
        </is>
      </c>
      <c r="U2642" s="5" t="inlineStr">
        <is>
          <t>OK</t>
        </is>
      </c>
    </row>
    <row r="2643">
      <c r="A2643" s="5" t="inlineStr">
        <is>
          <t>E00331</t>
        </is>
      </c>
      <c r="B2643" s="5" t="inlineStr">
        <is>
          <t>Male</t>
        </is>
      </c>
      <c r="C2643" s="6" t="inlineStr">
        <is>
          <t>31</t>
        </is>
      </c>
      <c r="D2643" s="5" t="inlineStr">
        <is>
          <t>Married</t>
        </is>
      </c>
      <c r="E2643" s="5" t="inlineStr">
        <is>
          <t>Bachelor</t>
        </is>
      </c>
      <c r="F2643" s="5" t="inlineStr">
        <is>
          <t>Sales</t>
        </is>
      </c>
      <c r="G2643" s="5" t="inlineStr">
        <is>
          <t>Sales Executive</t>
        </is>
      </c>
      <c r="H2643" s="5" t="inlineStr">
        <is>
          <t>5</t>
        </is>
      </c>
      <c r="I2643" s="5" t="inlineStr">
        <is>
          <t>Chennai</t>
        </is>
      </c>
      <c r="J2643" s="5" t="inlineStr">
        <is>
          <t>Full-Time</t>
        </is>
      </c>
      <c r="K2643" s="7" t="n">
        <v>44936</v>
      </c>
      <c r="L2643" s="7" t="n">
        <v>45037</v>
      </c>
      <c r="M2643" s="5" t="inlineStr">
        <is>
          <t>No</t>
        </is>
      </c>
      <c r="N2643" s="5" t="inlineStr">
        <is>
          <t>Relocation</t>
        </is>
      </c>
      <c r="O2643" s="8" t="inlineStr">
        <is>
          <t>98500</t>
        </is>
      </c>
      <c r="P2643" s="5" t="inlineStr">
        <is>
          <t>15</t>
        </is>
      </c>
      <c r="Q2643" s="5" t="inlineStr">
        <is>
          <t>4</t>
        </is>
      </c>
      <c r="R2643" s="5" t="inlineStr">
        <is>
          <t>2</t>
        </is>
      </c>
      <c r="S2643" s="5" t="inlineStr">
        <is>
          <t>3</t>
        </is>
      </c>
      <c r="T2643" s="5" t="inlineStr">
        <is>
          <t>14</t>
        </is>
      </c>
      <c r="U2643" s="5" t="inlineStr">
        <is>
          <t>OK</t>
        </is>
      </c>
    </row>
    <row r="2644">
      <c r="A2644" s="5" t="inlineStr">
        <is>
          <t>E02999</t>
        </is>
      </c>
      <c r="B2644" s="5" t="inlineStr">
        <is>
          <t>Male</t>
        </is>
      </c>
      <c r="C2644" s="6" t="inlineStr">
        <is>
          <t>26</t>
        </is>
      </c>
      <c r="D2644" s="5" t="inlineStr">
        <is>
          <t>Married</t>
        </is>
      </c>
      <c r="E2644" s="5" t="inlineStr">
        <is>
          <t>Master</t>
        </is>
      </c>
      <c r="F2644" s="5" t="inlineStr">
        <is>
          <t>Marketing</t>
        </is>
      </c>
      <c r="G2644" s="5" t="inlineStr">
        <is>
          <t>SEO Specialist</t>
        </is>
      </c>
      <c r="H2644" s="5" t="inlineStr">
        <is>
          <t>2</t>
        </is>
      </c>
      <c r="I2644" s="5" t="inlineStr">
        <is>
          <t>Remote</t>
        </is>
      </c>
      <c r="J2644" s="5" t="inlineStr">
        <is>
          <t>Full-Time</t>
        </is>
      </c>
      <c r="K2644" s="7" t="n">
        <v>45580</v>
      </c>
      <c r="L2644" s="7" t="inlineStr"/>
      <c r="M2644" s="5" t="inlineStr">
        <is>
          <t>Yes</t>
        </is>
      </c>
      <c r="N2644" s="5" t="inlineStr"/>
      <c r="O2644" s="8" t="inlineStr">
        <is>
          <t>96500</t>
        </is>
      </c>
      <c r="P2644" s="5" t="inlineStr">
        <is>
          <t>0</t>
        </is>
      </c>
      <c r="Q2644" s="5" t="inlineStr">
        <is>
          <t>4</t>
        </is>
      </c>
      <c r="R2644" s="5" t="inlineStr">
        <is>
          <t>9</t>
        </is>
      </c>
      <c r="S2644" s="5" t="inlineStr">
        <is>
          <t>14</t>
        </is>
      </c>
      <c r="T2644" s="5" t="inlineStr">
        <is>
          <t>3</t>
        </is>
      </c>
      <c r="U2644" s="5" t="inlineStr">
        <is>
          <t>OK</t>
        </is>
      </c>
    </row>
    <row r="2645">
      <c r="A2645" s="5" t="inlineStr">
        <is>
          <t>E00104</t>
        </is>
      </c>
      <c r="B2645" s="5" t="inlineStr">
        <is>
          <t>Male</t>
        </is>
      </c>
      <c r="C2645" s="6" t="inlineStr">
        <is>
          <t>38</t>
        </is>
      </c>
      <c r="D2645" s="5" t="inlineStr">
        <is>
          <t>Married</t>
        </is>
      </c>
      <c r="E2645" s="5" t="inlineStr">
        <is>
          <t>Master</t>
        </is>
      </c>
      <c r="F2645" s="5" t="inlineStr">
        <is>
          <t>IT</t>
        </is>
      </c>
      <c r="G2645" s="5" t="inlineStr">
        <is>
          <t>Software Engineer</t>
        </is>
      </c>
      <c r="H2645" s="5" t="inlineStr">
        <is>
          <t>5</t>
        </is>
      </c>
      <c r="I2645" s="5" t="inlineStr">
        <is>
          <t>Delhi</t>
        </is>
      </c>
      <c r="J2645" s="5" t="inlineStr">
        <is>
          <t>Full-Time</t>
        </is>
      </c>
      <c r="K2645" s="7" t="n">
        <v>44610</v>
      </c>
      <c r="L2645" s="7" t="inlineStr"/>
      <c r="M2645" s="5" t="inlineStr">
        <is>
          <t>Yes</t>
        </is>
      </c>
      <c r="N2645" s="5" t="inlineStr"/>
      <c r="O2645" s="8" t="inlineStr">
        <is>
          <t>222500</t>
        </is>
      </c>
      <c r="P2645" s="5" t="inlineStr">
        <is>
          <t>0</t>
        </is>
      </c>
      <c r="Q2645" s="5" t="inlineStr">
        <is>
          <t>4</t>
        </is>
      </c>
      <c r="R2645" s="5" t="inlineStr">
        <is>
          <t>8</t>
        </is>
      </c>
      <c r="S2645" s="5" t="inlineStr">
        <is>
          <t>47</t>
        </is>
      </c>
      <c r="T2645" s="5" t="inlineStr">
        <is>
          <t>9</t>
        </is>
      </c>
      <c r="U2645" s="5" t="inlineStr">
        <is>
          <t>OK</t>
        </is>
      </c>
    </row>
    <row r="2646">
      <c r="A2646" s="5" t="inlineStr">
        <is>
          <t>E01525</t>
        </is>
      </c>
      <c r="B2646" s="5" t="inlineStr">
        <is>
          <t>Female</t>
        </is>
      </c>
      <c r="C2646" s="6" t="inlineStr">
        <is>
          <t>27</t>
        </is>
      </c>
      <c r="D2646" s="5" t="inlineStr">
        <is>
          <t>Married</t>
        </is>
      </c>
      <c r="E2646" s="5" t="inlineStr">
        <is>
          <t>Diploma</t>
        </is>
      </c>
      <c r="F2646" s="5" t="inlineStr">
        <is>
          <t>Customer Support</t>
        </is>
      </c>
      <c r="G2646" s="5" t="inlineStr">
        <is>
          <t>Escalation Specialist</t>
        </is>
      </c>
      <c r="H2646" s="5" t="inlineStr">
        <is>
          <t>3</t>
        </is>
      </c>
      <c r="I2646" s="5" t="inlineStr">
        <is>
          <t>Bengaluru</t>
        </is>
      </c>
      <c r="J2646" s="5" t="inlineStr">
        <is>
          <t>Full-Time</t>
        </is>
      </c>
      <c r="K2646" s="7" t="n">
        <v>45964</v>
      </c>
      <c r="L2646" s="7" t="inlineStr"/>
      <c r="M2646" s="5" t="inlineStr">
        <is>
          <t>Yes</t>
        </is>
      </c>
      <c r="N2646" s="5" t="inlineStr"/>
      <c r="O2646" s="8" t="inlineStr">
        <is>
          <t>82000</t>
        </is>
      </c>
      <c r="P2646" s="5" t="inlineStr">
        <is>
          <t>0</t>
        </is>
      </c>
      <c r="Q2646" s="5" t="inlineStr">
        <is>
          <t>4</t>
        </is>
      </c>
      <c r="R2646" s="5" t="inlineStr">
        <is>
          <t>6</t>
        </is>
      </c>
      <c r="S2646" s="5" t="inlineStr">
        <is>
          <t>1</t>
        </is>
      </c>
      <c r="T2646" s="5" t="inlineStr">
        <is>
          <t>10</t>
        </is>
      </c>
      <c r="U2646" s="5" t="inlineStr">
        <is>
          <t>OK</t>
        </is>
      </c>
    </row>
    <row r="2647">
      <c r="A2647" s="5" t="inlineStr">
        <is>
          <t>E00412</t>
        </is>
      </c>
      <c r="B2647" s="5" t="inlineStr">
        <is>
          <t>Female</t>
        </is>
      </c>
      <c r="C2647" s="6" t="inlineStr">
        <is>
          <t>25</t>
        </is>
      </c>
      <c r="D2647" s="5" t="inlineStr">
        <is>
          <t>Married</t>
        </is>
      </c>
      <c r="E2647" s="5" t="inlineStr">
        <is>
          <t>Diploma</t>
        </is>
      </c>
      <c r="F2647" s="5" t="inlineStr">
        <is>
          <t>Marketing</t>
        </is>
      </c>
      <c r="G2647" s="5" t="inlineStr">
        <is>
          <t>Content Writer</t>
        </is>
      </c>
      <c r="H2647" s="5" t="inlineStr">
        <is>
          <t>1</t>
        </is>
      </c>
      <c r="I2647" s="5" t="inlineStr">
        <is>
          <t>Bengaluru</t>
        </is>
      </c>
      <c r="J2647" s="5" t="inlineStr">
        <is>
          <t>Contract</t>
        </is>
      </c>
      <c r="K2647" s="7" t="n">
        <v>44947</v>
      </c>
      <c r="L2647" s="7" t="n">
        <v>45003</v>
      </c>
      <c r="M2647" s="5" t="inlineStr">
        <is>
          <t>No</t>
        </is>
      </c>
      <c r="N2647" s="5" t="inlineStr">
        <is>
          <t>Layoff</t>
        </is>
      </c>
      <c r="O2647" s="8" t="inlineStr">
        <is>
          <t>55000</t>
        </is>
      </c>
      <c r="P2647" s="5" t="inlineStr">
        <is>
          <t>0</t>
        </is>
      </c>
      <c r="Q2647" s="5" t="inlineStr">
        <is>
          <t>3</t>
        </is>
      </c>
      <c r="R2647" s="5" t="inlineStr">
        <is>
          <t>5</t>
        </is>
      </c>
      <c r="S2647" s="5" t="inlineStr">
        <is>
          <t>1</t>
        </is>
      </c>
      <c r="T2647" s="5" t="inlineStr">
        <is>
          <t>6</t>
        </is>
      </c>
      <c r="U2647" s="5" t="inlineStr">
        <is>
          <t>OK</t>
        </is>
      </c>
    </row>
    <row r="2648">
      <c r="A2648" s="5" t="inlineStr">
        <is>
          <t>E02227</t>
        </is>
      </c>
      <c r="B2648" s="5" t="inlineStr">
        <is>
          <t>Female</t>
        </is>
      </c>
      <c r="C2648" s="6" t="inlineStr">
        <is>
          <t>25</t>
        </is>
      </c>
      <c r="D2648" s="5" t="inlineStr">
        <is>
          <t>Single</t>
        </is>
      </c>
      <c r="E2648" s="5" t="inlineStr">
        <is>
          <t>High School</t>
        </is>
      </c>
      <c r="F2648" s="5" t="inlineStr">
        <is>
          <t>Operations</t>
        </is>
      </c>
      <c r="G2648" s="5" t="inlineStr">
        <is>
          <t>Quality Analyst</t>
        </is>
      </c>
      <c r="H2648" s="5" t="inlineStr">
        <is>
          <t>1</t>
        </is>
      </c>
      <c r="I2648" s="5" t="inlineStr">
        <is>
          <t>Chennai</t>
        </is>
      </c>
      <c r="J2648" s="5" t="inlineStr">
        <is>
          <t>Full-Time</t>
        </is>
      </c>
      <c r="K2648" s="7" t="n">
        <v>44140</v>
      </c>
      <c r="L2648" s="7" t="inlineStr"/>
      <c r="M2648" s="5" t="inlineStr">
        <is>
          <t>Yes</t>
        </is>
      </c>
      <c r="N2648" s="5" t="inlineStr"/>
      <c r="O2648" s="8" t="inlineStr">
        <is>
          <t>60500</t>
        </is>
      </c>
      <c r="P2648" s="5" t="inlineStr">
        <is>
          <t>0</t>
        </is>
      </c>
      <c r="Q2648" s="5" t="inlineStr">
        <is>
          <t>3</t>
        </is>
      </c>
      <c r="R2648" s="5" t="inlineStr">
        <is>
          <t>4</t>
        </is>
      </c>
      <c r="S2648" s="5" t="inlineStr">
        <is>
          <t>62</t>
        </is>
      </c>
      <c r="T2648" s="5" t="inlineStr">
        <is>
          <t>9</t>
        </is>
      </c>
      <c r="U2648" s="5" t="inlineStr">
        <is>
          <t>OK</t>
        </is>
      </c>
    </row>
    <row r="2649">
      <c r="A2649" s="5" t="inlineStr">
        <is>
          <t>E02961</t>
        </is>
      </c>
      <c r="B2649" s="5" t="inlineStr">
        <is>
          <t>Male</t>
        </is>
      </c>
      <c r="C2649" s="6" t="inlineStr">
        <is>
          <t>27</t>
        </is>
      </c>
      <c r="D2649" s="5" t="inlineStr">
        <is>
          <t>Single</t>
        </is>
      </c>
      <c r="E2649" s="5" t="inlineStr">
        <is>
          <t>Diploma</t>
        </is>
      </c>
      <c r="F2649" s="5" t="inlineStr">
        <is>
          <t>Customer Support</t>
        </is>
      </c>
      <c r="G2649" s="5" t="inlineStr">
        <is>
          <t>Support Lead</t>
        </is>
      </c>
      <c r="H2649" s="5" t="inlineStr">
        <is>
          <t>1</t>
        </is>
      </c>
      <c r="I2649" s="5" t="inlineStr">
        <is>
          <t>Bengaluru</t>
        </is>
      </c>
      <c r="J2649" s="5" t="inlineStr">
        <is>
          <t>Full-Time</t>
        </is>
      </c>
      <c r="K2649" s="7" t="n">
        <v>45761</v>
      </c>
      <c r="L2649" s="7" t="inlineStr"/>
      <c r="M2649" s="5" t="inlineStr">
        <is>
          <t>Yes</t>
        </is>
      </c>
      <c r="N2649" s="5" t="inlineStr"/>
      <c r="O2649" s="8" t="inlineStr">
        <is>
          <t>47000</t>
        </is>
      </c>
      <c r="P2649" s="5" t="inlineStr">
        <is>
          <t>20</t>
        </is>
      </c>
      <c r="Q2649" s="5" t="inlineStr">
        <is>
          <t>3</t>
        </is>
      </c>
      <c r="R2649" s="5" t="inlineStr">
        <is>
          <t>5</t>
        </is>
      </c>
      <c r="S2649" s="5" t="inlineStr">
        <is>
          <t>8</t>
        </is>
      </c>
      <c r="T2649" s="5" t="inlineStr">
        <is>
          <t>4</t>
        </is>
      </c>
      <c r="U2649" s="5" t="inlineStr">
        <is>
          <t>OK</t>
        </is>
      </c>
    </row>
    <row r="2650">
      <c r="A2650" s="5" t="inlineStr">
        <is>
          <t>E00907</t>
        </is>
      </c>
      <c r="B2650" s="5" t="inlineStr">
        <is>
          <t>Female</t>
        </is>
      </c>
      <c r="C2650" s="6" t="inlineStr">
        <is>
          <t>45</t>
        </is>
      </c>
      <c r="D2650" s="5" t="inlineStr">
        <is>
          <t>Single</t>
        </is>
      </c>
      <c r="E2650" s="5" t="inlineStr">
        <is>
          <t>PhD</t>
        </is>
      </c>
      <c r="F2650" s="5" t="inlineStr">
        <is>
          <t>Operations</t>
        </is>
      </c>
      <c r="G2650" s="5" t="inlineStr">
        <is>
          <t>Operations Analyst</t>
        </is>
      </c>
      <c r="H2650" s="5" t="inlineStr">
        <is>
          <t>7</t>
        </is>
      </c>
      <c r="I2650" s="5" t="inlineStr">
        <is>
          <t>Bengaluru</t>
        </is>
      </c>
      <c r="J2650" s="5" t="inlineStr">
        <is>
          <t>Part-Time</t>
        </is>
      </c>
      <c r="K2650" s="7" t="n">
        <v>44360</v>
      </c>
      <c r="L2650" s="7" t="inlineStr"/>
      <c r="M2650" s="5" t="inlineStr">
        <is>
          <t>Yes</t>
        </is>
      </c>
      <c r="N2650" s="5" t="inlineStr"/>
      <c r="O2650" s="8" t="inlineStr">
        <is>
          <t>145500</t>
        </is>
      </c>
      <c r="P2650" s="5" t="inlineStr">
        <is>
          <t>5</t>
        </is>
      </c>
      <c r="Q2650" s="5" t="inlineStr">
        <is>
          <t>4</t>
        </is>
      </c>
      <c r="R2650" s="5" t="inlineStr">
        <is>
          <t>6</t>
        </is>
      </c>
      <c r="S2650" s="5" t="inlineStr">
        <is>
          <t>55</t>
        </is>
      </c>
      <c r="T2650" s="5" t="inlineStr">
        <is>
          <t>9</t>
        </is>
      </c>
      <c r="U2650" s="5" t="inlineStr">
        <is>
          <t>OK</t>
        </is>
      </c>
    </row>
    <row r="2651">
      <c r="A2651" s="5" t="inlineStr">
        <is>
          <t>E01231</t>
        </is>
      </c>
      <c r="B2651" s="5" t="inlineStr">
        <is>
          <t>Female</t>
        </is>
      </c>
      <c r="C2651" s="6" t="inlineStr">
        <is>
          <t>29</t>
        </is>
      </c>
      <c r="D2651" s="5" t="inlineStr">
        <is>
          <t>Married</t>
        </is>
      </c>
      <c r="E2651" s="5" t="inlineStr">
        <is>
          <t>PhD</t>
        </is>
      </c>
      <c r="F2651" s="5" t="inlineStr">
        <is>
          <t>Finance</t>
        </is>
      </c>
      <c r="G2651" s="5" t="inlineStr">
        <is>
          <t>Accountant</t>
        </is>
      </c>
      <c r="H2651" s="5" t="inlineStr">
        <is>
          <t>4</t>
        </is>
      </c>
      <c r="I2651" s="5" t="inlineStr">
        <is>
          <t>Mumbai</t>
        </is>
      </c>
      <c r="J2651" s="5" t="inlineStr">
        <is>
          <t>Part-Time</t>
        </is>
      </c>
      <c r="K2651" s="7" t="n">
        <v>45615</v>
      </c>
      <c r="L2651" s="7" t="inlineStr"/>
      <c r="M2651" s="5" t="inlineStr">
        <is>
          <t>Yes</t>
        </is>
      </c>
      <c r="N2651" s="5" t="inlineStr"/>
      <c r="O2651" s="8" t="inlineStr">
        <is>
          <t>149000</t>
        </is>
      </c>
      <c r="P2651" s="5" t="inlineStr">
        <is>
          <t>0</t>
        </is>
      </c>
      <c r="Q2651" s="5" t="inlineStr">
        <is>
          <t>4</t>
        </is>
      </c>
      <c r="R2651" s="5" t="inlineStr">
        <is>
          <t>8</t>
        </is>
      </c>
      <c r="S2651" s="5" t="inlineStr">
        <is>
          <t>13</t>
        </is>
      </c>
      <c r="T2651" s="5" t="inlineStr">
        <is>
          <t>6</t>
        </is>
      </c>
      <c r="U2651" s="5" t="inlineStr">
        <is>
          <t>OK</t>
        </is>
      </c>
    </row>
    <row r="2652">
      <c r="A2652" s="5" t="inlineStr">
        <is>
          <t>E00861</t>
        </is>
      </c>
      <c r="B2652" s="5" t="inlineStr">
        <is>
          <t>Female</t>
        </is>
      </c>
      <c r="C2652" s="6" t="inlineStr">
        <is>
          <t>40</t>
        </is>
      </c>
      <c r="D2652" s="5" t="inlineStr">
        <is>
          <t>Single</t>
        </is>
      </c>
      <c r="E2652" s="5" t="inlineStr">
        <is>
          <t>Bachelor</t>
        </is>
      </c>
      <c r="F2652" s="5" t="inlineStr">
        <is>
          <t>Human Resources</t>
        </is>
      </c>
      <c r="G2652" s="5" t="inlineStr">
        <is>
          <t>HR Analyst</t>
        </is>
      </c>
      <c r="H2652" s="5" t="inlineStr">
        <is>
          <t>4</t>
        </is>
      </c>
      <c r="I2652" s="5" t="inlineStr">
        <is>
          <t>Bengaluru</t>
        </is>
      </c>
      <c r="J2652" s="5" t="inlineStr">
        <is>
          <t>Full-Time</t>
        </is>
      </c>
      <c r="K2652" s="7" t="n">
        <v>44698</v>
      </c>
      <c r="L2652" s="7" t="n">
        <v>44823</v>
      </c>
      <c r="M2652" s="5" t="inlineStr">
        <is>
          <t>No</t>
        </is>
      </c>
      <c r="N2652" s="5" t="inlineStr">
        <is>
          <t>Resigned</t>
        </is>
      </c>
      <c r="O2652" s="8" t="inlineStr">
        <is>
          <t>105000</t>
        </is>
      </c>
      <c r="P2652" s="5" t="inlineStr">
        <is>
          <t>5</t>
        </is>
      </c>
      <c r="Q2652" s="5" t="inlineStr">
        <is>
          <t>3</t>
        </is>
      </c>
      <c r="R2652" s="5" t="inlineStr">
        <is>
          <t>2</t>
        </is>
      </c>
      <c r="S2652" s="5" t="inlineStr">
        <is>
          <t>4</t>
        </is>
      </c>
      <c r="T2652" s="5" t="inlineStr">
        <is>
          <t>9</t>
        </is>
      </c>
      <c r="U2652" s="5" t="inlineStr">
        <is>
          <t>OK</t>
        </is>
      </c>
    </row>
    <row r="2653">
      <c r="A2653" s="5" t="inlineStr">
        <is>
          <t>E00816</t>
        </is>
      </c>
      <c r="B2653" s="5" t="inlineStr">
        <is>
          <t>Female</t>
        </is>
      </c>
      <c r="C2653" s="6" t="inlineStr">
        <is>
          <t>25</t>
        </is>
      </c>
      <c r="D2653" s="5" t="inlineStr">
        <is>
          <t>Married</t>
        </is>
      </c>
      <c r="E2653" s="5" t="inlineStr">
        <is>
          <t>High School</t>
        </is>
      </c>
      <c r="F2653" s="5" t="inlineStr">
        <is>
          <t>Sales</t>
        </is>
      </c>
      <c r="G2653" s="5" t="inlineStr">
        <is>
          <t>Sales Executive</t>
        </is>
      </c>
      <c r="H2653" s="5" t="inlineStr">
        <is>
          <t>1</t>
        </is>
      </c>
      <c r="I2653" s="5" t="inlineStr">
        <is>
          <t>Mumbai</t>
        </is>
      </c>
      <c r="J2653" s="5" t="inlineStr">
        <is>
          <t>Contract</t>
        </is>
      </c>
      <c r="K2653" s="7" t="n">
        <v>44444</v>
      </c>
      <c r="L2653" s="7" t="inlineStr"/>
      <c r="M2653" s="5" t="inlineStr">
        <is>
          <t>Yes</t>
        </is>
      </c>
      <c r="N2653" s="5" t="inlineStr"/>
      <c r="O2653" s="8" t="inlineStr">
        <is>
          <t>66500</t>
        </is>
      </c>
      <c r="P2653" s="5" t="inlineStr">
        <is>
          <t>0</t>
        </is>
      </c>
      <c r="Q2653" s="5" t="inlineStr">
        <is>
          <t>5</t>
        </is>
      </c>
      <c r="R2653" s="5" t="inlineStr">
        <is>
          <t>5</t>
        </is>
      </c>
      <c r="S2653" s="5" t="inlineStr">
        <is>
          <t>52</t>
        </is>
      </c>
      <c r="T2653" s="5" t="inlineStr">
        <is>
          <t>10</t>
        </is>
      </c>
      <c r="U2653" s="5" t="inlineStr">
        <is>
          <t>OK</t>
        </is>
      </c>
    </row>
    <row r="2654">
      <c r="A2654" s="5" t="inlineStr">
        <is>
          <t>E00398</t>
        </is>
      </c>
      <c r="B2654" s="5" t="inlineStr">
        <is>
          <t>Male</t>
        </is>
      </c>
      <c r="C2654" s="6" t="inlineStr">
        <is>
          <t>30</t>
        </is>
      </c>
      <c r="D2654" s="5" t="inlineStr">
        <is>
          <t>Married</t>
        </is>
      </c>
      <c r="E2654" s="5" t="inlineStr">
        <is>
          <t>PhD</t>
        </is>
      </c>
      <c r="F2654" s="5" t="inlineStr">
        <is>
          <t>Human Resources</t>
        </is>
      </c>
      <c r="G2654" s="5" t="inlineStr">
        <is>
          <t>HR Generalist</t>
        </is>
      </c>
      <c r="H2654" s="5" t="inlineStr">
        <is>
          <t>4</t>
        </is>
      </c>
      <c r="I2654" s="5" t="inlineStr">
        <is>
          <t>Hyderabad</t>
        </is>
      </c>
      <c r="J2654" s="5" t="inlineStr">
        <is>
          <t>Full-Time</t>
        </is>
      </c>
      <c r="K2654" s="7" t="n">
        <v>44080</v>
      </c>
      <c r="L2654" s="7" t="inlineStr"/>
      <c r="M2654" s="5" t="inlineStr">
        <is>
          <t>Yes</t>
        </is>
      </c>
      <c r="N2654" s="5" t="inlineStr"/>
      <c r="O2654" s="8" t="inlineStr">
        <is>
          <t>129500</t>
        </is>
      </c>
      <c r="P2654" s="5" t="inlineStr">
        <is>
          <t>0</t>
        </is>
      </c>
      <c r="Q2654" s="5" t="inlineStr">
        <is>
          <t>4</t>
        </is>
      </c>
      <c r="R2654" s="5" t="inlineStr">
        <is>
          <t>7</t>
        </is>
      </c>
      <c r="S2654" s="5" t="inlineStr">
        <is>
          <t>64</t>
        </is>
      </c>
      <c r="T2654" s="5" t="inlineStr">
        <is>
          <t>14</t>
        </is>
      </c>
      <c r="U2654" s="5" t="inlineStr">
        <is>
          <t>OK</t>
        </is>
      </c>
    </row>
    <row r="2655">
      <c r="A2655" s="5" t="inlineStr">
        <is>
          <t>E01223</t>
        </is>
      </c>
      <c r="B2655" s="5" t="inlineStr">
        <is>
          <t>Female</t>
        </is>
      </c>
      <c r="C2655" s="6" t="inlineStr">
        <is>
          <t>26</t>
        </is>
      </c>
      <c r="D2655" s="5" t="inlineStr">
        <is>
          <t>Single</t>
        </is>
      </c>
      <c r="E2655" s="5" t="inlineStr">
        <is>
          <t>Bachelor</t>
        </is>
      </c>
      <c r="F2655" s="5" t="inlineStr">
        <is>
          <t>Research &amp; Development</t>
        </is>
      </c>
      <c r="G2655" s="5" t="inlineStr">
        <is>
          <t>Data Scientist</t>
        </is>
      </c>
      <c r="H2655" s="5" t="inlineStr">
        <is>
          <t>2</t>
        </is>
      </c>
      <c r="I2655" s="5" t="inlineStr">
        <is>
          <t>Mumbai</t>
        </is>
      </c>
      <c r="J2655" s="5" t="inlineStr">
        <is>
          <t>Full-Time</t>
        </is>
      </c>
      <c r="K2655" s="7" t="n">
        <v>45209</v>
      </c>
      <c r="L2655" s="7" t="inlineStr"/>
      <c r="M2655" s="5" t="inlineStr">
        <is>
          <t>Yes</t>
        </is>
      </c>
      <c r="N2655" s="5" t="inlineStr"/>
      <c r="O2655" s="8" t="inlineStr">
        <is>
          <t>178500</t>
        </is>
      </c>
      <c r="P2655" s="5" t="inlineStr">
        <is>
          <t>5</t>
        </is>
      </c>
      <c r="Q2655" s="5" t="inlineStr">
        <is>
          <t>4</t>
        </is>
      </c>
      <c r="R2655" s="5" t="inlineStr">
        <is>
          <t>6</t>
        </is>
      </c>
      <c r="S2655" s="5" t="inlineStr">
        <is>
          <t>27</t>
        </is>
      </c>
      <c r="T2655" s="5" t="inlineStr">
        <is>
          <t>10</t>
        </is>
      </c>
      <c r="U2655" s="5" t="inlineStr">
        <is>
          <t>OK</t>
        </is>
      </c>
    </row>
    <row r="2656">
      <c r="A2656" s="5" t="inlineStr">
        <is>
          <t>E02531</t>
        </is>
      </c>
      <c r="B2656" s="5" t="inlineStr">
        <is>
          <t>Female</t>
        </is>
      </c>
      <c r="C2656" s="6" t="inlineStr">
        <is>
          <t>35</t>
        </is>
      </c>
      <c r="D2656" s="5" t="inlineStr">
        <is>
          <t>Single</t>
        </is>
      </c>
      <c r="E2656" s="5" t="inlineStr">
        <is>
          <t>Diploma</t>
        </is>
      </c>
      <c r="F2656" s="5" t="inlineStr">
        <is>
          <t>Sales</t>
        </is>
      </c>
      <c r="G2656" s="5" t="inlineStr">
        <is>
          <t>Business Development</t>
        </is>
      </c>
      <c r="H2656" s="5" t="inlineStr">
        <is>
          <t>5</t>
        </is>
      </c>
      <c r="I2656" s="5" t="inlineStr">
        <is>
          <t>Chennai</t>
        </is>
      </c>
      <c r="J2656" s="5" t="inlineStr">
        <is>
          <t>Full-Time</t>
        </is>
      </c>
      <c r="K2656" s="7" t="n">
        <v>44333</v>
      </c>
      <c r="L2656" s="7" t="inlineStr"/>
      <c r="M2656" s="5" t="inlineStr">
        <is>
          <t>Yes</t>
        </is>
      </c>
      <c r="N2656" s="5" t="inlineStr"/>
      <c r="O2656" s="8" t="inlineStr">
        <is>
          <t>130500</t>
        </is>
      </c>
      <c r="P2656" s="5" t="inlineStr">
        <is>
          <t>15</t>
        </is>
      </c>
      <c r="Q2656" s="5" t="inlineStr">
        <is>
          <t>3</t>
        </is>
      </c>
      <c r="R2656" s="5" t="inlineStr">
        <is>
          <t>10</t>
        </is>
      </c>
      <c r="S2656" s="5" t="inlineStr">
        <is>
          <t>56</t>
        </is>
      </c>
      <c r="T2656" s="5" t="inlineStr">
        <is>
          <t>4</t>
        </is>
      </c>
      <c r="U2656" s="5" t="inlineStr">
        <is>
          <t>OK</t>
        </is>
      </c>
    </row>
    <row r="2657">
      <c r="A2657" s="5" t="inlineStr">
        <is>
          <t>E00805</t>
        </is>
      </c>
      <c r="B2657" s="5" t="inlineStr">
        <is>
          <t>Female</t>
        </is>
      </c>
      <c r="C2657" s="6" t="inlineStr">
        <is>
          <t>30</t>
        </is>
      </c>
      <c r="D2657" s="5" t="inlineStr">
        <is>
          <t>Divorced</t>
        </is>
      </c>
      <c r="E2657" s="5" t="inlineStr">
        <is>
          <t>Diploma</t>
        </is>
      </c>
      <c r="F2657" s="5" t="inlineStr">
        <is>
          <t>IT</t>
        </is>
      </c>
      <c r="G2657" s="5" t="inlineStr">
        <is>
          <t>Data Analyst</t>
        </is>
      </c>
      <c r="H2657" s="5" t="inlineStr">
        <is>
          <t>3</t>
        </is>
      </c>
      <c r="I2657" s="5" t="inlineStr">
        <is>
          <t>Bengaluru</t>
        </is>
      </c>
      <c r="J2657" s="5" t="inlineStr">
        <is>
          <t>Contract</t>
        </is>
      </c>
      <c r="K2657" s="7" t="n">
        <v>45363</v>
      </c>
      <c r="L2657" s="7" t="inlineStr"/>
      <c r="M2657" s="5" t="inlineStr">
        <is>
          <t>Yes</t>
        </is>
      </c>
      <c r="N2657" s="5" t="inlineStr"/>
      <c r="O2657" s="8" t="inlineStr">
        <is>
          <t>168000</t>
        </is>
      </c>
      <c r="P2657" s="5" t="inlineStr">
        <is>
          <t>0</t>
        </is>
      </c>
      <c r="Q2657" s="5" t="inlineStr">
        <is>
          <t>3</t>
        </is>
      </c>
      <c r="R2657" s="5" t="inlineStr">
        <is>
          <t>9</t>
        </is>
      </c>
      <c r="S2657" s="5" t="inlineStr">
        <is>
          <t>21</t>
        </is>
      </c>
      <c r="T2657" s="5" t="inlineStr">
        <is>
          <t>0</t>
        </is>
      </c>
      <c r="U2657" s="5" t="inlineStr">
        <is>
          <t>OK</t>
        </is>
      </c>
    </row>
    <row r="2658">
      <c r="A2658" s="5" t="inlineStr">
        <is>
          <t>E02350</t>
        </is>
      </c>
      <c r="B2658" s="5" t="inlineStr">
        <is>
          <t>Male</t>
        </is>
      </c>
      <c r="C2658" s="6" t="inlineStr">
        <is>
          <t>34</t>
        </is>
      </c>
      <c r="D2658" s="5" t="inlineStr">
        <is>
          <t>Married</t>
        </is>
      </c>
      <c r="E2658" s="5" t="inlineStr">
        <is>
          <t>Diploma</t>
        </is>
      </c>
      <c r="F2658" s="5" t="inlineStr">
        <is>
          <t>Finance</t>
        </is>
      </c>
      <c r="G2658" s="5" t="inlineStr">
        <is>
          <t>Financial Analyst</t>
        </is>
      </c>
      <c r="H2658" s="5" t="inlineStr">
        <is>
          <t>6</t>
        </is>
      </c>
      <c r="I2658" s="5" t="inlineStr">
        <is>
          <t>Bengaluru</t>
        </is>
      </c>
      <c r="J2658" s="5" t="inlineStr">
        <is>
          <t>Full-Time</t>
        </is>
      </c>
      <c r="K2658" s="7" t="n">
        <v>45549</v>
      </c>
      <c r="L2658" s="7" t="inlineStr"/>
      <c r="M2658" s="5" t="inlineStr">
        <is>
          <t>Yes</t>
        </is>
      </c>
      <c r="N2658" s="5" t="inlineStr"/>
      <c r="O2658" s="8" t="inlineStr">
        <is>
          <t>193500</t>
        </is>
      </c>
      <c r="P2658" s="5" t="inlineStr">
        <is>
          <t>15</t>
        </is>
      </c>
      <c r="Q2658" s="5" t="inlineStr">
        <is>
          <t>4</t>
        </is>
      </c>
      <c r="R2658" s="5" t="inlineStr">
        <is>
          <t>4</t>
        </is>
      </c>
      <c r="S2658" s="5" t="inlineStr">
        <is>
          <t>15</t>
        </is>
      </c>
      <c r="T2658" s="5" t="inlineStr">
        <is>
          <t>15</t>
        </is>
      </c>
      <c r="U2658" s="5" t="inlineStr">
        <is>
          <t>OK</t>
        </is>
      </c>
    </row>
    <row r="2659">
      <c r="A2659" s="5" t="inlineStr">
        <is>
          <t>E00594</t>
        </is>
      </c>
      <c r="B2659" s="5" t="inlineStr">
        <is>
          <t>Male</t>
        </is>
      </c>
      <c r="C2659" s="6" t="inlineStr">
        <is>
          <t>35</t>
        </is>
      </c>
      <c r="D2659" s="5" t="inlineStr">
        <is>
          <t>Married</t>
        </is>
      </c>
      <c r="E2659" s="5" t="inlineStr">
        <is>
          <t>High School</t>
        </is>
      </c>
      <c r="F2659" s="5" t="inlineStr">
        <is>
          <t>IT</t>
        </is>
      </c>
      <c r="G2659" s="5" t="inlineStr">
        <is>
          <t>Data Analyst</t>
        </is>
      </c>
      <c r="H2659" s="5" t="inlineStr">
        <is>
          <t>4</t>
        </is>
      </c>
      <c r="I2659" s="5" t="inlineStr">
        <is>
          <t>Chennai</t>
        </is>
      </c>
      <c r="J2659" s="5" t="inlineStr">
        <is>
          <t>Full-Time</t>
        </is>
      </c>
      <c r="K2659" s="7" t="n">
        <v>44603</v>
      </c>
      <c r="L2659" s="7" t="n">
        <v>44640</v>
      </c>
      <c r="M2659" s="5" t="inlineStr">
        <is>
          <t>No</t>
        </is>
      </c>
      <c r="N2659" s="5" t="inlineStr">
        <is>
          <t>Resigned</t>
        </is>
      </c>
      <c r="O2659" s="8" t="inlineStr">
        <is>
          <t>174000</t>
        </is>
      </c>
      <c r="P2659" s="5" t="inlineStr">
        <is>
          <t>0</t>
        </is>
      </c>
      <c r="Q2659" s="5" t="inlineStr">
        <is>
          <t>3</t>
        </is>
      </c>
      <c r="R2659" s="5" t="inlineStr">
        <is>
          <t>5</t>
        </is>
      </c>
      <c r="S2659" s="5" t="inlineStr">
        <is>
          <t>1</t>
        </is>
      </c>
      <c r="T2659" s="5" t="inlineStr">
        <is>
          <t>8</t>
        </is>
      </c>
      <c r="U2659" s="5" t="inlineStr">
        <is>
          <t>OK</t>
        </is>
      </c>
    </row>
    <row r="2660">
      <c r="A2660" s="5" t="inlineStr">
        <is>
          <t>E01345</t>
        </is>
      </c>
      <c r="B2660" s="5" t="inlineStr">
        <is>
          <t>Female</t>
        </is>
      </c>
      <c r="C2660" s="6" t="inlineStr">
        <is>
          <t>30</t>
        </is>
      </c>
      <c r="D2660" s="5" t="inlineStr">
        <is>
          <t>Married</t>
        </is>
      </c>
      <c r="E2660" s="5" t="inlineStr">
        <is>
          <t>High School</t>
        </is>
      </c>
      <c r="F2660" s="5" t="inlineStr">
        <is>
          <t>Finance</t>
        </is>
      </c>
      <c r="G2660" s="5" t="inlineStr">
        <is>
          <t>Accountant</t>
        </is>
      </c>
      <c r="H2660" s="5" t="inlineStr">
        <is>
          <t>1</t>
        </is>
      </c>
      <c r="I2660" s="5" t="inlineStr">
        <is>
          <t>Hyderabad</t>
        </is>
      </c>
      <c r="J2660" s="5" t="inlineStr">
        <is>
          <t>Full-Time</t>
        </is>
      </c>
      <c r="K2660" s="7" t="n">
        <v>45667</v>
      </c>
      <c r="L2660" s="7" t="inlineStr"/>
      <c r="M2660" s="5" t="inlineStr">
        <is>
          <t>Yes</t>
        </is>
      </c>
      <c r="N2660" s="5" t="inlineStr"/>
      <c r="O2660" s="8" t="inlineStr">
        <is>
          <t>95500</t>
        </is>
      </c>
      <c r="P2660" s="5" t="inlineStr">
        <is>
          <t>5</t>
        </is>
      </c>
      <c r="Q2660" s="5" t="inlineStr">
        <is>
          <t>4</t>
        </is>
      </c>
      <c r="R2660" s="5" t="inlineStr">
        <is>
          <t>8</t>
        </is>
      </c>
      <c r="S2660" s="5" t="inlineStr">
        <is>
          <t>11</t>
        </is>
      </c>
      <c r="T2660" s="5" t="inlineStr">
        <is>
          <t>3</t>
        </is>
      </c>
      <c r="U2660" s="5" t="inlineStr">
        <is>
          <t>OK</t>
        </is>
      </c>
    </row>
    <row r="2661">
      <c r="A2661" s="5" t="inlineStr">
        <is>
          <t>E01449</t>
        </is>
      </c>
      <c r="B2661" s="5" t="inlineStr">
        <is>
          <t>Female</t>
        </is>
      </c>
      <c r="C2661" s="6" t="inlineStr">
        <is>
          <t>30</t>
        </is>
      </c>
      <c r="D2661" s="5" t="inlineStr">
        <is>
          <t>Married</t>
        </is>
      </c>
      <c r="E2661" s="5" t="inlineStr">
        <is>
          <t>Bachelor</t>
        </is>
      </c>
      <c r="F2661" s="5" t="inlineStr">
        <is>
          <t>IT</t>
        </is>
      </c>
      <c r="G2661" s="5" t="inlineStr">
        <is>
          <t>Data Analyst</t>
        </is>
      </c>
      <c r="H2661" s="5" t="inlineStr">
        <is>
          <t>2</t>
        </is>
      </c>
      <c r="I2661" s="5" t="inlineStr">
        <is>
          <t>Delhi</t>
        </is>
      </c>
      <c r="J2661" s="5" t="inlineStr">
        <is>
          <t>Full-Time</t>
        </is>
      </c>
      <c r="K2661" s="7" t="n">
        <v>44403</v>
      </c>
      <c r="L2661" s="7" t="inlineStr"/>
      <c r="M2661" s="5" t="inlineStr">
        <is>
          <t>Yes</t>
        </is>
      </c>
      <c r="N2661" s="5" t="inlineStr"/>
      <c r="O2661" s="8" t="inlineStr">
        <is>
          <t>102500</t>
        </is>
      </c>
      <c r="P2661" s="5" t="inlineStr">
        <is>
          <t>10</t>
        </is>
      </c>
      <c r="Q2661" s="5" t="inlineStr">
        <is>
          <t>2</t>
        </is>
      </c>
      <c r="R2661" s="5" t="inlineStr">
        <is>
          <t>6</t>
        </is>
      </c>
      <c r="S2661" s="5" t="inlineStr">
        <is>
          <t>53</t>
        </is>
      </c>
      <c r="T2661" s="5" t="inlineStr">
        <is>
          <t>10</t>
        </is>
      </c>
      <c r="U2661" s="5" t="inlineStr">
        <is>
          <t>OK</t>
        </is>
      </c>
    </row>
    <row r="2662">
      <c r="A2662" s="5" t="inlineStr">
        <is>
          <t>E02572</t>
        </is>
      </c>
      <c r="B2662" s="5" t="inlineStr">
        <is>
          <t>Female</t>
        </is>
      </c>
      <c r="C2662" s="6" t="inlineStr">
        <is>
          <t>30</t>
        </is>
      </c>
      <c r="D2662" s="5" t="inlineStr">
        <is>
          <t>Married</t>
        </is>
      </c>
      <c r="E2662" s="5" t="inlineStr">
        <is>
          <t>Master</t>
        </is>
      </c>
      <c r="F2662" s="5" t="inlineStr">
        <is>
          <t>Operations</t>
        </is>
      </c>
      <c r="G2662" s="5" t="inlineStr">
        <is>
          <t>Operations Analyst</t>
        </is>
      </c>
      <c r="H2662" s="5" t="inlineStr">
        <is>
          <t>1</t>
        </is>
      </c>
      <c r="I2662" s="5" t="inlineStr">
        <is>
          <t>Chennai</t>
        </is>
      </c>
      <c r="J2662" s="5" t="inlineStr">
        <is>
          <t>Full-Time</t>
        </is>
      </c>
      <c r="K2662" s="7" t="n">
        <v>44972</v>
      </c>
      <c r="L2662" s="7" t="n">
        <v>45030</v>
      </c>
      <c r="M2662" s="5" t="inlineStr">
        <is>
          <t>No</t>
        </is>
      </c>
      <c r="N2662" s="5" t="inlineStr">
        <is>
          <t>Retirement</t>
        </is>
      </c>
      <c r="O2662" s="8" t="inlineStr">
        <is>
          <t>87500</t>
        </is>
      </c>
      <c r="P2662" s="5" t="inlineStr">
        <is>
          <t>0</t>
        </is>
      </c>
      <c r="Q2662" s="5" t="inlineStr">
        <is>
          <t>3</t>
        </is>
      </c>
      <c r="R2662" s="5" t="inlineStr">
        <is>
          <t>6</t>
        </is>
      </c>
      <c r="S2662" s="5" t="inlineStr">
        <is>
          <t>1</t>
        </is>
      </c>
      <c r="T2662" s="5" t="inlineStr">
        <is>
          <t>2</t>
        </is>
      </c>
      <c r="U2662" s="5" t="inlineStr">
        <is>
          <t>OK</t>
        </is>
      </c>
    </row>
    <row r="2663">
      <c r="A2663" s="5" t="inlineStr">
        <is>
          <t>E02018</t>
        </is>
      </c>
      <c r="B2663" s="5" t="inlineStr">
        <is>
          <t>Male</t>
        </is>
      </c>
      <c r="C2663" s="6" t="inlineStr">
        <is>
          <t>39</t>
        </is>
      </c>
      <c r="D2663" s="5" t="inlineStr">
        <is>
          <t>Married</t>
        </is>
      </c>
      <c r="E2663" s="5" t="inlineStr">
        <is>
          <t>High School</t>
        </is>
      </c>
      <c r="F2663" s="5" t="inlineStr">
        <is>
          <t>Finance</t>
        </is>
      </c>
      <c r="G2663" s="5" t="inlineStr">
        <is>
          <t>Credit Analyst</t>
        </is>
      </c>
      <c r="H2663" s="5" t="inlineStr">
        <is>
          <t>5</t>
        </is>
      </c>
      <c r="I2663" s="5" t="inlineStr">
        <is>
          <t>Mumbai</t>
        </is>
      </c>
      <c r="J2663" s="5" t="inlineStr">
        <is>
          <t>Part-Time</t>
        </is>
      </c>
      <c r="K2663" s="7" t="n">
        <v>45843</v>
      </c>
      <c r="L2663" s="7" t="inlineStr"/>
      <c r="M2663" s="5" t="inlineStr">
        <is>
          <t>Yes</t>
        </is>
      </c>
      <c r="N2663" s="5" t="inlineStr"/>
      <c r="O2663" s="8" t="inlineStr">
        <is>
          <t>173500</t>
        </is>
      </c>
      <c r="P2663" s="5" t="inlineStr">
        <is>
          <t>0</t>
        </is>
      </c>
      <c r="Q2663" s="5" t="inlineStr">
        <is>
          <t>3</t>
        </is>
      </c>
      <c r="R2663" s="5" t="inlineStr">
        <is>
          <t>7</t>
        </is>
      </c>
      <c r="S2663" s="5" t="inlineStr">
        <is>
          <t>5</t>
        </is>
      </c>
      <c r="T2663" s="5" t="inlineStr">
        <is>
          <t>13</t>
        </is>
      </c>
      <c r="U2663" s="5" t="inlineStr">
        <is>
          <t>OK</t>
        </is>
      </c>
    </row>
    <row r="2664">
      <c r="A2664" s="5" t="inlineStr">
        <is>
          <t>E02711</t>
        </is>
      </c>
      <c r="B2664" s="5" t="inlineStr">
        <is>
          <t>Female</t>
        </is>
      </c>
      <c r="C2664" s="6" t="inlineStr">
        <is>
          <t>44</t>
        </is>
      </c>
      <c r="D2664" s="5" t="inlineStr">
        <is>
          <t>Married</t>
        </is>
      </c>
      <c r="E2664" s="5" t="inlineStr">
        <is>
          <t>Master</t>
        </is>
      </c>
      <c r="F2664" s="5" t="inlineStr"/>
      <c r="G2664" s="5" t="inlineStr">
        <is>
          <t>Account Executive</t>
        </is>
      </c>
      <c r="H2664" s="5" t="inlineStr">
        <is>
          <t>7</t>
        </is>
      </c>
      <c r="I2664" s="5" t="inlineStr">
        <is>
          <t>Hyderabad</t>
        </is>
      </c>
      <c r="J2664" s="5" t="inlineStr">
        <is>
          <t>Full-Time</t>
        </is>
      </c>
      <c r="K2664" s="7" t="n">
        <v>45981</v>
      </c>
      <c r="L2664" s="7" t="inlineStr"/>
      <c r="M2664" s="5" t="inlineStr">
        <is>
          <t>Yes</t>
        </is>
      </c>
      <c r="N2664" s="5" t="inlineStr"/>
      <c r="O2664" s="8" t="inlineStr">
        <is>
          <t>195500</t>
        </is>
      </c>
      <c r="P2664" s="5" t="inlineStr">
        <is>
          <t>10</t>
        </is>
      </c>
      <c r="Q2664" s="5" t="inlineStr">
        <is>
          <t>4</t>
        </is>
      </c>
      <c r="R2664" s="5" t="inlineStr">
        <is>
          <t>5</t>
        </is>
      </c>
      <c r="S2664" s="5" t="inlineStr">
        <is>
          <t>1</t>
        </is>
      </c>
      <c r="T2664" s="5" t="inlineStr">
        <is>
          <t>5</t>
        </is>
      </c>
      <c r="U2664" s="5" t="inlineStr">
        <is>
          <t>Blank department</t>
        </is>
      </c>
    </row>
    <row r="2665">
      <c r="A2665" s="5" t="inlineStr">
        <is>
          <t>E02240</t>
        </is>
      </c>
      <c r="B2665" s="5" t="inlineStr">
        <is>
          <t>female</t>
        </is>
      </c>
      <c r="C2665" s="6" t="inlineStr">
        <is>
          <t>29</t>
        </is>
      </c>
      <c r="D2665" s="5" t="inlineStr">
        <is>
          <t>Single</t>
        </is>
      </c>
      <c r="E2665" s="5" t="inlineStr">
        <is>
          <t>High School</t>
        </is>
      </c>
      <c r="F2665" s="5" t="inlineStr">
        <is>
          <t>IT</t>
        </is>
      </c>
      <c r="G2665" s="5" t="inlineStr">
        <is>
          <t>DevOps Engineer</t>
        </is>
      </c>
      <c r="H2665" s="5" t="inlineStr">
        <is>
          <t>1</t>
        </is>
      </c>
      <c r="I2665" s="5" t="inlineStr">
        <is>
          <t>Hyderabad</t>
        </is>
      </c>
      <c r="J2665" s="5" t="inlineStr">
        <is>
          <t>Full-Time</t>
        </is>
      </c>
      <c r="K2665" s="7" t="n">
        <v>44527</v>
      </c>
      <c r="L2665" s="7" t="inlineStr"/>
      <c r="M2665" s="5" t="inlineStr">
        <is>
          <t>Yes</t>
        </is>
      </c>
      <c r="N2665" s="5" t="inlineStr"/>
      <c r="O2665" s="8" t="inlineStr">
        <is>
          <t>90500</t>
        </is>
      </c>
      <c r="P2665" s="5" t="inlineStr">
        <is>
          <t>0</t>
        </is>
      </c>
      <c r="Q2665" s="5" t="inlineStr">
        <is>
          <t>3</t>
        </is>
      </c>
      <c r="R2665" s="5" t="inlineStr">
        <is>
          <t>8</t>
        </is>
      </c>
      <c r="S2665" s="5" t="inlineStr">
        <is>
          <t>49</t>
        </is>
      </c>
      <c r="T2665" s="5" t="inlineStr">
        <is>
          <t>10</t>
        </is>
      </c>
      <c r="U2665" s="5" t="inlineStr">
        <is>
          <t>OK</t>
        </is>
      </c>
    </row>
    <row r="2666">
      <c r="A2666" s="5" t="inlineStr">
        <is>
          <t>E01002</t>
        </is>
      </c>
      <c r="B2666" s="5" t="inlineStr">
        <is>
          <t>Female</t>
        </is>
      </c>
      <c r="C2666" s="6" t="inlineStr">
        <is>
          <t>30</t>
        </is>
      </c>
      <c r="D2666" s="5" t="inlineStr">
        <is>
          <t>Married</t>
        </is>
      </c>
      <c r="E2666" s="5" t="inlineStr">
        <is>
          <t>Master</t>
        </is>
      </c>
      <c r="F2666" s="5" t="inlineStr">
        <is>
          <t>Operations</t>
        </is>
      </c>
      <c r="G2666" s="5" t="inlineStr">
        <is>
          <t>Operations Analyst</t>
        </is>
      </c>
      <c r="H2666" s="5" t="inlineStr">
        <is>
          <t>4</t>
        </is>
      </c>
      <c r="I2666" s="5" t="inlineStr">
        <is>
          <t>Remote</t>
        </is>
      </c>
      <c r="J2666" s="5" t="inlineStr">
        <is>
          <t>Full-Time</t>
        </is>
      </c>
      <c r="K2666" s="7" t="n">
        <v>45873</v>
      </c>
      <c r="L2666" s="7" t="inlineStr"/>
      <c r="M2666" s="5" t="inlineStr">
        <is>
          <t>Yes</t>
        </is>
      </c>
      <c r="N2666" s="5" t="inlineStr"/>
      <c r="O2666" s="8" t="inlineStr">
        <is>
          <t>81000</t>
        </is>
      </c>
      <c r="P2666" s="5" t="inlineStr">
        <is>
          <t>0</t>
        </is>
      </c>
      <c r="Q2666" s="5" t="inlineStr">
        <is>
          <t>4</t>
        </is>
      </c>
      <c r="R2666" s="5" t="inlineStr">
        <is>
          <t>7</t>
        </is>
      </c>
      <c r="S2666" s="5" t="inlineStr">
        <is>
          <t>4</t>
        </is>
      </c>
      <c r="T2666" s="5" t="inlineStr">
        <is>
          <t>1</t>
        </is>
      </c>
      <c r="U2666" s="5" t="inlineStr">
        <is>
          <t>OK</t>
        </is>
      </c>
    </row>
    <row r="2667">
      <c r="A2667" s="5" t="inlineStr">
        <is>
          <t>E01084</t>
        </is>
      </c>
      <c r="B2667" s="5" t="inlineStr">
        <is>
          <t>Female</t>
        </is>
      </c>
      <c r="C2667" s="6" t="inlineStr">
        <is>
          <t>36</t>
        </is>
      </c>
      <c r="D2667" s="5" t="inlineStr">
        <is>
          <t>Single</t>
        </is>
      </c>
      <c r="E2667" s="5" t="inlineStr">
        <is>
          <t>Diploma</t>
        </is>
      </c>
      <c r="F2667" s="5" t="inlineStr">
        <is>
          <t>Operations</t>
        </is>
      </c>
      <c r="G2667" s="5" t="inlineStr">
        <is>
          <t>Logistics Coordinator</t>
        </is>
      </c>
      <c r="H2667" s="5" t="inlineStr">
        <is>
          <t>5</t>
        </is>
      </c>
      <c r="I2667" s="5" t="inlineStr">
        <is>
          <t>Bengaluru</t>
        </is>
      </c>
      <c r="J2667" s="5" t="inlineStr">
        <is>
          <t>Full-Time</t>
        </is>
      </c>
      <c r="K2667" s="7" t="n">
        <v>44544</v>
      </c>
      <c r="L2667" s="7" t="inlineStr"/>
      <c r="M2667" s="5" t="inlineStr">
        <is>
          <t>Yes</t>
        </is>
      </c>
      <c r="N2667" s="5" t="inlineStr"/>
      <c r="O2667" s="8" t="inlineStr">
        <is>
          <t>1500000</t>
        </is>
      </c>
      <c r="P2667" s="5" t="inlineStr">
        <is>
          <t>15</t>
        </is>
      </c>
      <c r="Q2667" s="5" t="inlineStr">
        <is>
          <t>3</t>
        </is>
      </c>
      <c r="R2667" s="5" t="inlineStr">
        <is>
          <t>4</t>
        </is>
      </c>
      <c r="S2667" s="5" t="inlineStr">
        <is>
          <t>49</t>
        </is>
      </c>
      <c r="T2667" s="5" t="inlineStr">
        <is>
          <t>11</t>
        </is>
      </c>
      <c r="U2667" s="5" t="inlineStr">
        <is>
          <t>Outlier salary</t>
        </is>
      </c>
    </row>
    <row r="2668">
      <c r="A2668" s="5" t="inlineStr">
        <is>
          <t>E01581</t>
        </is>
      </c>
      <c r="B2668" s="5" t="inlineStr">
        <is>
          <t>Male</t>
        </is>
      </c>
      <c r="C2668" s="6" t="inlineStr">
        <is>
          <t>33</t>
        </is>
      </c>
      <c r="D2668" s="5" t="inlineStr">
        <is>
          <t>Married</t>
        </is>
      </c>
      <c r="E2668" s="5" t="inlineStr">
        <is>
          <t>PhD</t>
        </is>
      </c>
      <c r="F2668" s="5" t="inlineStr">
        <is>
          <t>Sales</t>
        </is>
      </c>
      <c r="G2668" s="5" t="inlineStr">
        <is>
          <t>Sales Executive</t>
        </is>
      </c>
      <c r="H2668" s="5" t="inlineStr">
        <is>
          <t>4</t>
        </is>
      </c>
      <c r="I2668" s="5" t="inlineStr">
        <is>
          <t>Bengaluru</t>
        </is>
      </c>
      <c r="J2668" s="5" t="inlineStr">
        <is>
          <t>Full-Time</t>
        </is>
      </c>
      <c r="K2668" s="7" t="n">
        <v>45308</v>
      </c>
      <c r="L2668" s="7" t="n">
        <v>45401</v>
      </c>
      <c r="M2668" s="5" t="inlineStr">
        <is>
          <t>No</t>
        </is>
      </c>
      <c r="N2668" s="5" t="inlineStr">
        <is>
          <t>Relocation</t>
        </is>
      </c>
      <c r="O2668" s="8" t="inlineStr">
        <is>
          <t>151000</t>
        </is>
      </c>
      <c r="P2668" s="5" t="inlineStr">
        <is>
          <t>0</t>
        </is>
      </c>
      <c r="Q2668" s="5" t="inlineStr">
        <is>
          <t>3</t>
        </is>
      </c>
      <c r="R2668" s="5" t="inlineStr">
        <is>
          <t>5</t>
        </is>
      </c>
      <c r="S2668" s="5" t="inlineStr">
        <is>
          <t>3</t>
        </is>
      </c>
      <c r="T2668" s="5" t="inlineStr">
        <is>
          <t>7</t>
        </is>
      </c>
      <c r="U2668" s="5" t="inlineStr">
        <is>
          <t>OK</t>
        </is>
      </c>
    </row>
    <row r="2669">
      <c r="A2669" s="5" t="inlineStr">
        <is>
          <t>E02813</t>
        </is>
      </c>
      <c r="B2669" s="5" t="inlineStr">
        <is>
          <t>Female</t>
        </is>
      </c>
      <c r="C2669" s="6" t="inlineStr">
        <is>
          <t>25</t>
        </is>
      </c>
      <c r="D2669" s="5" t="inlineStr">
        <is>
          <t>Married</t>
        </is>
      </c>
      <c r="E2669" s="5" t="inlineStr">
        <is>
          <t>Master</t>
        </is>
      </c>
      <c r="F2669" s="5" t="inlineStr">
        <is>
          <t>IT</t>
        </is>
      </c>
      <c r="G2669" s="5" t="inlineStr">
        <is>
          <t>Software Engineer</t>
        </is>
      </c>
      <c r="H2669" s="5" t="inlineStr">
        <is>
          <t>2</t>
        </is>
      </c>
      <c r="I2669" s="5" t="inlineStr">
        <is>
          <t>Hyderabad</t>
        </is>
      </c>
      <c r="J2669" s="5" t="inlineStr">
        <is>
          <t>Full-Time</t>
        </is>
      </c>
      <c r="K2669" s="7" t="n">
        <v>45634</v>
      </c>
      <c r="L2669" s="7" t="n">
        <v>45744</v>
      </c>
      <c r="M2669" s="5" t="inlineStr">
        <is>
          <t>No</t>
        </is>
      </c>
      <c r="N2669" s="5" t="inlineStr">
        <is>
          <t>Resigned</t>
        </is>
      </c>
      <c r="O2669" s="8" t="inlineStr">
        <is>
          <t>99500</t>
        </is>
      </c>
      <c r="P2669" s="5" t="inlineStr">
        <is>
          <t>10</t>
        </is>
      </c>
      <c r="Q2669" s="5" t="inlineStr">
        <is>
          <t>4</t>
        </is>
      </c>
      <c r="R2669" s="5" t="inlineStr">
        <is>
          <t>5</t>
        </is>
      </c>
      <c r="S2669" s="5" t="inlineStr">
        <is>
          <t>3</t>
        </is>
      </c>
      <c r="T2669" s="5" t="inlineStr">
        <is>
          <t>0</t>
        </is>
      </c>
      <c r="U2669" s="5" t="inlineStr">
        <is>
          <t>OK</t>
        </is>
      </c>
    </row>
    <row r="2670">
      <c r="A2670" s="5" t="inlineStr">
        <is>
          <t>E01129</t>
        </is>
      </c>
      <c r="B2670" s="5" t="inlineStr">
        <is>
          <t>Male</t>
        </is>
      </c>
      <c r="C2670" s="6" t="inlineStr">
        <is>
          <t>24</t>
        </is>
      </c>
      <c r="D2670" s="5" t="inlineStr">
        <is>
          <t>Married</t>
        </is>
      </c>
      <c r="E2670" s="5" t="inlineStr">
        <is>
          <t>Diploma</t>
        </is>
      </c>
      <c r="F2670" s="5" t="inlineStr">
        <is>
          <t>Marketing</t>
        </is>
      </c>
      <c r="G2670" s="5" t="inlineStr">
        <is>
          <t>Marketing Analyst</t>
        </is>
      </c>
      <c r="H2670" s="5" t="inlineStr">
        <is>
          <t>1</t>
        </is>
      </c>
      <c r="I2670" s="5" t="inlineStr">
        <is>
          <t>Remote</t>
        </is>
      </c>
      <c r="J2670" s="5" t="inlineStr">
        <is>
          <t>Full-Time</t>
        </is>
      </c>
      <c r="K2670" s="7" t="n">
        <v>44916</v>
      </c>
      <c r="L2670" s="7" t="n">
        <v>44950</v>
      </c>
      <c r="M2670" s="5" t="inlineStr">
        <is>
          <t>No</t>
        </is>
      </c>
      <c r="N2670" s="5" t="inlineStr">
        <is>
          <t>Retirement</t>
        </is>
      </c>
      <c r="O2670" s="8" t="inlineStr">
        <is>
          <t>89000</t>
        </is>
      </c>
      <c r="P2670" s="5" t="inlineStr">
        <is>
          <t>10</t>
        </is>
      </c>
      <c r="Q2670" s="5" t="inlineStr">
        <is>
          <t>3</t>
        </is>
      </c>
      <c r="R2670" s="5" t="inlineStr">
        <is>
          <t>9</t>
        </is>
      </c>
      <c r="S2670" s="5" t="inlineStr">
        <is>
          <t>1</t>
        </is>
      </c>
      <c r="T2670" s="5" t="inlineStr">
        <is>
          <t>24</t>
        </is>
      </c>
      <c r="U2670" s="5" t="inlineStr">
        <is>
          <t>OK</t>
        </is>
      </c>
    </row>
    <row r="2671">
      <c r="A2671" s="5" t="inlineStr">
        <is>
          <t>E01996</t>
        </is>
      </c>
      <c r="B2671" s="5" t="inlineStr">
        <is>
          <t>Male</t>
        </is>
      </c>
      <c r="C2671" s="6" t="inlineStr">
        <is>
          <t>25</t>
        </is>
      </c>
      <c r="D2671" s="5" t="inlineStr">
        <is>
          <t>Married</t>
        </is>
      </c>
      <c r="E2671" s="5" t="inlineStr">
        <is>
          <t>Diploma</t>
        </is>
      </c>
      <c r="F2671" s="5" t="inlineStr">
        <is>
          <t>IT</t>
        </is>
      </c>
      <c r="G2671" s="5" t="inlineStr">
        <is>
          <t>IT Support</t>
        </is>
      </c>
      <c r="H2671" s="5" t="inlineStr">
        <is>
          <t>2</t>
        </is>
      </c>
      <c r="I2671" s="5" t="inlineStr">
        <is>
          <t>Bengaluru</t>
        </is>
      </c>
      <c r="J2671" s="5" t="inlineStr">
        <is>
          <t>Full-Time</t>
        </is>
      </c>
      <c r="K2671" s="7" t="n">
        <v>44420</v>
      </c>
      <c r="L2671" s="7" t="inlineStr"/>
      <c r="M2671" s="5" t="inlineStr">
        <is>
          <t>Yes</t>
        </is>
      </c>
      <c r="N2671" s="5" t="inlineStr"/>
      <c r="O2671" s="8" t="inlineStr"/>
      <c r="P2671" s="5" t="inlineStr">
        <is>
          <t>10</t>
        </is>
      </c>
      <c r="Q2671" s="5" t="inlineStr">
        <is>
          <t>5</t>
        </is>
      </c>
      <c r="R2671" s="5" t="inlineStr">
        <is>
          <t>5</t>
        </is>
      </c>
      <c r="S2671" s="5" t="inlineStr">
        <is>
          <t>53</t>
        </is>
      </c>
      <c r="T2671" s="5" t="inlineStr">
        <is>
          <t>10</t>
        </is>
      </c>
      <c r="U2671" s="5" t="inlineStr">
        <is>
          <t>Blank salary</t>
        </is>
      </c>
    </row>
    <row r="2672">
      <c r="A2672" s="5" t="inlineStr">
        <is>
          <t>E02251</t>
        </is>
      </c>
      <c r="B2672" s="5" t="inlineStr">
        <is>
          <t>Female</t>
        </is>
      </c>
      <c r="C2672" s="6" t="inlineStr">
        <is>
          <t>29</t>
        </is>
      </c>
      <c r="D2672" s="5" t="inlineStr">
        <is>
          <t>Married</t>
        </is>
      </c>
      <c r="E2672" s="5" t="inlineStr">
        <is>
          <t>Diploma</t>
        </is>
      </c>
      <c r="F2672" s="5" t="inlineStr">
        <is>
          <t>Operations</t>
        </is>
      </c>
      <c r="G2672" s="5" t="inlineStr">
        <is>
          <t>Operations Analyst</t>
        </is>
      </c>
      <c r="H2672" s="5" t="inlineStr">
        <is>
          <t>1</t>
        </is>
      </c>
      <c r="I2672" s="5" t="inlineStr">
        <is>
          <t>Hyderabad</t>
        </is>
      </c>
      <c r="J2672" s="5" t="inlineStr">
        <is>
          <t>Part-Time</t>
        </is>
      </c>
      <c r="K2672" s="7" t="n">
        <v>44910</v>
      </c>
      <c r="L2672" s="7" t="inlineStr"/>
      <c r="M2672" s="5" t="inlineStr">
        <is>
          <t>Yes</t>
        </is>
      </c>
      <c r="N2672" s="5" t="inlineStr"/>
      <c r="O2672" s="8" t="inlineStr">
        <is>
          <t>98000</t>
        </is>
      </c>
      <c r="P2672" s="5" t="inlineStr">
        <is>
          <t>0</t>
        </is>
      </c>
      <c r="Q2672" s="5" t="inlineStr">
        <is>
          <t>3</t>
        </is>
      </c>
      <c r="R2672" s="5" t="inlineStr">
        <is>
          <t>9</t>
        </is>
      </c>
      <c r="S2672" s="5" t="inlineStr">
        <is>
          <t>37</t>
        </is>
      </c>
      <c r="T2672" s="5" t="inlineStr">
        <is>
          <t>9</t>
        </is>
      </c>
      <c r="U2672" s="5" t="inlineStr">
        <is>
          <t>OK</t>
        </is>
      </c>
    </row>
    <row r="2673">
      <c r="A2673" s="5" t="inlineStr">
        <is>
          <t>E02212</t>
        </is>
      </c>
      <c r="B2673" s="5" t="inlineStr">
        <is>
          <t>Male</t>
        </is>
      </c>
      <c r="C2673" s="6" t="inlineStr">
        <is>
          <t>33</t>
        </is>
      </c>
      <c r="D2673" s="5" t="inlineStr">
        <is>
          <t>Single</t>
        </is>
      </c>
      <c r="E2673" s="5" t="inlineStr">
        <is>
          <t>Master</t>
        </is>
      </c>
      <c r="F2673" s="5" t="inlineStr">
        <is>
          <t>Sales</t>
        </is>
      </c>
      <c r="G2673" s="5" t="inlineStr">
        <is>
          <t>Account Executive</t>
        </is>
      </c>
      <c r="H2673" s="5" t="inlineStr">
        <is>
          <t>1</t>
        </is>
      </c>
      <c r="I2673" s="5" t="inlineStr">
        <is>
          <t>Delhi</t>
        </is>
      </c>
      <c r="J2673" s="5" t="inlineStr">
        <is>
          <t>Full-Time</t>
        </is>
      </c>
      <c r="K2673" s="7" t="n">
        <v>45076</v>
      </c>
      <c r="L2673" s="7" t="inlineStr"/>
      <c r="M2673" s="5" t="inlineStr">
        <is>
          <t>Yes</t>
        </is>
      </c>
      <c r="N2673" s="5" t="inlineStr"/>
      <c r="O2673" s="8" t="inlineStr">
        <is>
          <t>100000</t>
        </is>
      </c>
      <c r="P2673" s="5" t="inlineStr">
        <is>
          <t>0</t>
        </is>
      </c>
      <c r="Q2673" s="5" t="inlineStr">
        <is>
          <t>5</t>
        </is>
      </c>
      <c r="R2673" s="5" t="inlineStr">
        <is>
          <t>6</t>
        </is>
      </c>
      <c r="S2673" s="5" t="inlineStr">
        <is>
          <t>31</t>
        </is>
      </c>
      <c r="T2673" s="5" t="inlineStr">
        <is>
          <t>8</t>
        </is>
      </c>
      <c r="U2673" s="5" t="inlineStr">
        <is>
          <t>OK</t>
        </is>
      </c>
    </row>
    <row r="2674">
      <c r="A2674" s="5" t="inlineStr">
        <is>
          <t>E02164</t>
        </is>
      </c>
      <c r="B2674" s="5" t="inlineStr">
        <is>
          <t>Male</t>
        </is>
      </c>
      <c r="C2674" s="6" t="inlineStr">
        <is>
          <t>28</t>
        </is>
      </c>
      <c r="D2674" s="5" t="inlineStr">
        <is>
          <t>Single</t>
        </is>
      </c>
      <c r="E2674" s="5" t="inlineStr">
        <is>
          <t>Master</t>
        </is>
      </c>
      <c r="F2674" s="5" t="inlineStr">
        <is>
          <t>Marketing</t>
        </is>
      </c>
      <c r="G2674" s="5" t="inlineStr">
        <is>
          <t>Marketing Analyst</t>
        </is>
      </c>
      <c r="H2674" s="5" t="inlineStr">
        <is>
          <t>1</t>
        </is>
      </c>
      <c r="I2674" s="5" t="inlineStr">
        <is>
          <t>Mumbai</t>
        </is>
      </c>
      <c r="J2674" s="5" t="inlineStr">
        <is>
          <t>Full-Time</t>
        </is>
      </c>
      <c r="K2674" s="7" t="n">
        <v>45873</v>
      </c>
      <c r="L2674" s="7" t="inlineStr"/>
      <c r="M2674" s="5" t="inlineStr">
        <is>
          <t>Yes</t>
        </is>
      </c>
      <c r="N2674" s="5" t="inlineStr"/>
      <c r="O2674" s="8" t="inlineStr">
        <is>
          <t>76000</t>
        </is>
      </c>
      <c r="P2674" s="5" t="inlineStr">
        <is>
          <t>5</t>
        </is>
      </c>
      <c r="Q2674" s="5" t="inlineStr">
        <is>
          <t>3</t>
        </is>
      </c>
      <c r="R2674" s="5" t="inlineStr">
        <is>
          <t>5</t>
        </is>
      </c>
      <c r="S2674" s="5" t="inlineStr">
        <is>
          <t>4</t>
        </is>
      </c>
      <c r="T2674" s="5" t="inlineStr">
        <is>
          <t>0</t>
        </is>
      </c>
      <c r="U2674" s="5" t="inlineStr">
        <is>
          <t>OK</t>
        </is>
      </c>
    </row>
    <row r="2675">
      <c r="A2675" s="5" t="inlineStr">
        <is>
          <t>E01714</t>
        </is>
      </c>
      <c r="B2675" s="5" t="inlineStr">
        <is>
          <t>Female</t>
        </is>
      </c>
      <c r="C2675" s="6" t="inlineStr">
        <is>
          <t>35</t>
        </is>
      </c>
      <c r="D2675" s="5" t="inlineStr">
        <is>
          <t>Married</t>
        </is>
      </c>
      <c r="E2675" s="5" t="inlineStr">
        <is>
          <t>Bachelor</t>
        </is>
      </c>
      <c r="F2675" s="5" t="inlineStr">
        <is>
          <t>Marketing</t>
        </is>
      </c>
      <c r="G2675" s="5" t="inlineStr">
        <is>
          <t>Content Writer</t>
        </is>
      </c>
      <c r="H2675" s="5" t="inlineStr">
        <is>
          <t>2</t>
        </is>
      </c>
      <c r="I2675" s="5" t="inlineStr">
        <is>
          <t>Hyderabad</t>
        </is>
      </c>
      <c r="J2675" s="5" t="inlineStr">
        <is>
          <t>Full-Time</t>
        </is>
      </c>
      <c r="K2675" s="7" t="n">
        <v>43885</v>
      </c>
      <c r="L2675" s="7" t="n">
        <v>43996</v>
      </c>
      <c r="M2675" s="5" t="inlineStr">
        <is>
          <t>No</t>
        </is>
      </c>
      <c r="N2675" s="5" t="inlineStr">
        <is>
          <t>Layoff</t>
        </is>
      </c>
      <c r="O2675" s="8" t="inlineStr">
        <is>
          <t>72500</t>
        </is>
      </c>
      <c r="P2675" s="5" t="inlineStr">
        <is>
          <t>5</t>
        </is>
      </c>
      <c r="Q2675" s="5" t="inlineStr">
        <is>
          <t>3</t>
        </is>
      </c>
      <c r="R2675" s="5" t="inlineStr">
        <is>
          <t>5</t>
        </is>
      </c>
      <c r="S2675" s="5" t="inlineStr">
        <is>
          <t>3</t>
        </is>
      </c>
      <c r="T2675" s="5" t="inlineStr">
        <is>
          <t>7</t>
        </is>
      </c>
      <c r="U2675" s="5" t="inlineStr">
        <is>
          <t>OK</t>
        </is>
      </c>
    </row>
    <row r="2676">
      <c r="A2676" s="5" t="inlineStr">
        <is>
          <t>E00147</t>
        </is>
      </c>
      <c r="B2676" s="5" t="inlineStr">
        <is>
          <t>Male</t>
        </is>
      </c>
      <c r="C2676" s="6" t="inlineStr">
        <is>
          <t>25</t>
        </is>
      </c>
      <c r="D2676" s="5" t="inlineStr">
        <is>
          <t>Married</t>
        </is>
      </c>
      <c r="E2676" s="5" t="inlineStr">
        <is>
          <t>Bachelor</t>
        </is>
      </c>
      <c r="F2676" s="5" t="inlineStr">
        <is>
          <t>Operations</t>
        </is>
      </c>
      <c r="G2676" s="5" t="inlineStr">
        <is>
          <t>Operations Analyst</t>
        </is>
      </c>
      <c r="H2676" s="5" t="inlineStr">
        <is>
          <t>1</t>
        </is>
      </c>
      <c r="I2676" s="5" t="inlineStr">
        <is>
          <t>Delhi</t>
        </is>
      </c>
      <c r="J2676" s="5" t="inlineStr">
        <is>
          <t>Full-Time</t>
        </is>
      </c>
      <c r="K2676" s="7" t="n">
        <v>45854</v>
      </c>
      <c r="L2676" s="7" t="n">
        <v>45953</v>
      </c>
      <c r="M2676" s="5" t="inlineStr">
        <is>
          <t>No</t>
        </is>
      </c>
      <c r="N2676" s="5" t="inlineStr">
        <is>
          <t>Layoff</t>
        </is>
      </c>
      <c r="O2676" s="8" t="inlineStr">
        <is>
          <t>74500</t>
        </is>
      </c>
      <c r="P2676" s="5" t="inlineStr">
        <is>
          <t>5</t>
        </is>
      </c>
      <c r="Q2676" s="5" t="inlineStr">
        <is>
          <t>3</t>
        </is>
      </c>
      <c r="R2676" s="5" t="inlineStr">
        <is>
          <t>5</t>
        </is>
      </c>
      <c r="S2676" s="5" t="inlineStr">
        <is>
          <t>3</t>
        </is>
      </c>
      <c r="T2676" s="5" t="inlineStr">
        <is>
          <t>12</t>
        </is>
      </c>
      <c r="U2676" s="5" t="inlineStr">
        <is>
          <t>OK</t>
        </is>
      </c>
    </row>
    <row r="2677">
      <c r="A2677" s="5" t="inlineStr">
        <is>
          <t>E02832</t>
        </is>
      </c>
      <c r="B2677" s="5" t="inlineStr">
        <is>
          <t>Male</t>
        </is>
      </c>
      <c r="C2677" s="6" t="inlineStr">
        <is>
          <t>40</t>
        </is>
      </c>
      <c r="D2677" s="5" t="inlineStr">
        <is>
          <t>Married</t>
        </is>
      </c>
      <c r="E2677" s="5" t="inlineStr">
        <is>
          <t>PhD</t>
        </is>
      </c>
      <c r="F2677" s="5" t="inlineStr">
        <is>
          <t>IT</t>
        </is>
      </c>
      <c r="G2677" s="5" t="inlineStr">
        <is>
          <t>DevOps Engineer</t>
        </is>
      </c>
      <c r="H2677" s="5" t="inlineStr">
        <is>
          <t>5</t>
        </is>
      </c>
      <c r="I2677" s="5" t="inlineStr">
        <is>
          <t>Hyderabad</t>
        </is>
      </c>
      <c r="J2677" s="5" t="inlineStr">
        <is>
          <t>Full-Time</t>
        </is>
      </c>
      <c r="K2677" s="7" t="n">
        <v>44866</v>
      </c>
      <c r="L2677" s="7" t="inlineStr"/>
      <c r="M2677" s="5" t="inlineStr">
        <is>
          <t>Yes</t>
        </is>
      </c>
      <c r="N2677" s="5" t="inlineStr"/>
      <c r="O2677" s="8" t="inlineStr">
        <is>
          <t>188000</t>
        </is>
      </c>
      <c r="P2677" s="5" t="inlineStr">
        <is>
          <t>0</t>
        </is>
      </c>
      <c r="Q2677" s="5" t="inlineStr">
        <is>
          <t>3</t>
        </is>
      </c>
      <c r="R2677" s="5" t="inlineStr">
        <is>
          <t>5</t>
        </is>
      </c>
      <c r="S2677" s="5" t="inlineStr">
        <is>
          <t>38</t>
        </is>
      </c>
      <c r="T2677" s="5" t="inlineStr">
        <is>
          <t>11</t>
        </is>
      </c>
      <c r="U2677" s="5" t="inlineStr">
        <is>
          <t>OK</t>
        </is>
      </c>
    </row>
    <row r="2678">
      <c r="A2678" s="5" t="inlineStr">
        <is>
          <t>E02244</t>
        </is>
      </c>
      <c r="B2678" s="5" t="inlineStr">
        <is>
          <t>Male</t>
        </is>
      </c>
      <c r="C2678" s="6" t="inlineStr">
        <is>
          <t>45</t>
        </is>
      </c>
      <c r="D2678" s="5" t="inlineStr">
        <is>
          <t>Single</t>
        </is>
      </c>
      <c r="E2678" s="5" t="inlineStr">
        <is>
          <t>High School</t>
        </is>
      </c>
      <c r="F2678" s="5" t="inlineStr">
        <is>
          <t>Customer Support</t>
        </is>
      </c>
      <c r="G2678" s="5" t="inlineStr">
        <is>
          <t>Support Agent</t>
        </is>
      </c>
      <c r="H2678" s="5" t="inlineStr">
        <is>
          <t>7</t>
        </is>
      </c>
      <c r="I2678" s="5" t="inlineStr">
        <is>
          <t>Chennai</t>
        </is>
      </c>
      <c r="J2678" s="5" t="inlineStr">
        <is>
          <t>Full-Time</t>
        </is>
      </c>
      <c r="K2678" s="7" t="n">
        <v>45011</v>
      </c>
      <c r="L2678" s="7" t="inlineStr"/>
      <c r="M2678" s="5" t="inlineStr">
        <is>
          <t>Yes</t>
        </is>
      </c>
      <c r="N2678" s="5" t="inlineStr"/>
      <c r="O2678" s="8" t="inlineStr">
        <is>
          <t>84000</t>
        </is>
      </c>
      <c r="P2678" s="5" t="inlineStr">
        <is>
          <t>10</t>
        </is>
      </c>
      <c r="Q2678" s="5" t="inlineStr">
        <is>
          <t>1</t>
        </is>
      </c>
      <c r="R2678" s="5" t="inlineStr">
        <is>
          <t>8</t>
        </is>
      </c>
      <c r="S2678" s="5" t="inlineStr">
        <is>
          <t>33</t>
        </is>
      </c>
      <c r="T2678" s="5" t="inlineStr">
        <is>
          <t>12</t>
        </is>
      </c>
      <c r="U2678" s="5" t="inlineStr">
        <is>
          <t>OK</t>
        </is>
      </c>
    </row>
    <row r="2679">
      <c r="A2679" s="5" t="inlineStr">
        <is>
          <t>E02175</t>
        </is>
      </c>
      <c r="B2679" s="5" t="inlineStr">
        <is>
          <t>Female</t>
        </is>
      </c>
      <c r="C2679" s="6" t="inlineStr">
        <is>
          <t>33</t>
        </is>
      </c>
      <c r="D2679" s="5" t="inlineStr">
        <is>
          <t>Single</t>
        </is>
      </c>
      <c r="E2679" s="5" t="inlineStr">
        <is>
          <t>Diploma</t>
        </is>
      </c>
      <c r="F2679" s="5" t="inlineStr">
        <is>
          <t>IT</t>
        </is>
      </c>
      <c r="G2679" s="5" t="inlineStr">
        <is>
          <t>Software Engineer</t>
        </is>
      </c>
      <c r="H2679" s="5" t="inlineStr">
        <is>
          <t>2</t>
        </is>
      </c>
      <c r="I2679" s="5" t="inlineStr">
        <is>
          <t>Hyderabad</t>
        </is>
      </c>
      <c r="J2679" s="5" t="inlineStr">
        <is>
          <t>Full-Time</t>
        </is>
      </c>
      <c r="K2679" s="7" t="n">
        <v>44447</v>
      </c>
      <c r="L2679" s="7" t="inlineStr"/>
      <c r="M2679" s="5" t="inlineStr">
        <is>
          <t>Yes</t>
        </is>
      </c>
      <c r="N2679" s="5" t="inlineStr"/>
      <c r="O2679" s="8" t="inlineStr">
        <is>
          <t>110500</t>
        </is>
      </c>
      <c r="P2679" s="5" t="inlineStr">
        <is>
          <t>5</t>
        </is>
      </c>
      <c r="Q2679" s="5" t="inlineStr">
        <is>
          <t>5</t>
        </is>
      </c>
      <c r="R2679" s="5" t="inlineStr">
        <is>
          <t>4</t>
        </is>
      </c>
      <c r="S2679" s="5" t="inlineStr">
        <is>
          <t>52</t>
        </is>
      </c>
      <c r="T2679" s="5" t="inlineStr">
        <is>
          <t>3</t>
        </is>
      </c>
      <c r="U2679" s="5" t="inlineStr">
        <is>
          <t>OK</t>
        </is>
      </c>
    </row>
    <row r="2680">
      <c r="A2680" s="5" t="inlineStr">
        <is>
          <t>E00981</t>
        </is>
      </c>
      <c r="B2680" s="5" t="inlineStr">
        <is>
          <t>Male</t>
        </is>
      </c>
      <c r="C2680" s="6" t="inlineStr">
        <is>
          <t>32</t>
        </is>
      </c>
      <c r="D2680" s="5" t="inlineStr">
        <is>
          <t>Divorced</t>
        </is>
      </c>
      <c r="E2680" s="5" t="inlineStr">
        <is>
          <t>Diploma</t>
        </is>
      </c>
      <c r="F2680" s="5" t="inlineStr">
        <is>
          <t>Operations</t>
        </is>
      </c>
      <c r="G2680" s="5" t="inlineStr">
        <is>
          <t>Logistics Coordinator</t>
        </is>
      </c>
      <c r="H2680" s="5" t="inlineStr">
        <is>
          <t>5</t>
        </is>
      </c>
      <c r="I2680" s="5" t="inlineStr">
        <is>
          <t>Mumbai</t>
        </is>
      </c>
      <c r="J2680" s="5" t="inlineStr">
        <is>
          <t>Full-Time</t>
        </is>
      </c>
      <c r="K2680" s="7" t="n">
        <v>45493</v>
      </c>
      <c r="L2680" s="7" t="n">
        <v>45566</v>
      </c>
      <c r="M2680" s="5" t="inlineStr">
        <is>
          <t>No</t>
        </is>
      </c>
      <c r="N2680" s="5" t="inlineStr">
        <is>
          <t>Resigned</t>
        </is>
      </c>
      <c r="O2680" s="8" t="inlineStr">
        <is>
          <t>157000</t>
        </is>
      </c>
      <c r="P2680" s="5" t="inlineStr">
        <is>
          <t>10</t>
        </is>
      </c>
      <c r="Q2680" s="5" t="inlineStr">
        <is>
          <t>2</t>
        </is>
      </c>
      <c r="R2680" s="5" t="inlineStr">
        <is>
          <t>6</t>
        </is>
      </c>
      <c r="S2680" s="5" t="inlineStr">
        <is>
          <t>2</t>
        </is>
      </c>
      <c r="T2680" s="5" t="inlineStr">
        <is>
          <t>11</t>
        </is>
      </c>
      <c r="U2680" s="5" t="inlineStr">
        <is>
          <t>OK</t>
        </is>
      </c>
    </row>
    <row r="2681">
      <c r="A2681" s="5" t="inlineStr">
        <is>
          <t>E00808</t>
        </is>
      </c>
      <c r="B2681" s="5" t="inlineStr">
        <is>
          <t>Male</t>
        </is>
      </c>
      <c r="C2681" s="6" t="inlineStr">
        <is>
          <t>25</t>
        </is>
      </c>
      <c r="D2681" s="5" t="inlineStr">
        <is>
          <t>Married</t>
        </is>
      </c>
      <c r="E2681" s="5" t="inlineStr">
        <is>
          <t>High School</t>
        </is>
      </c>
      <c r="F2681" s="5" t="inlineStr">
        <is>
          <t>Marketing</t>
        </is>
      </c>
      <c r="G2681" s="5" t="inlineStr">
        <is>
          <t>Content Writer</t>
        </is>
      </c>
      <c r="H2681" s="5" t="inlineStr">
        <is>
          <t>2</t>
        </is>
      </c>
      <c r="I2681" s="5" t="inlineStr">
        <is>
          <t>Remote</t>
        </is>
      </c>
      <c r="J2681" s="5" t="inlineStr">
        <is>
          <t>Full-Time</t>
        </is>
      </c>
      <c r="K2681" s="7" t="n">
        <v>45846</v>
      </c>
      <c r="L2681" s="7" t="inlineStr"/>
      <c r="M2681" s="5" t="inlineStr">
        <is>
          <t>Yes</t>
        </is>
      </c>
      <c r="N2681" s="5" t="inlineStr"/>
      <c r="O2681" s="8" t="inlineStr">
        <is>
          <t>73000</t>
        </is>
      </c>
      <c r="P2681" s="5" t="inlineStr">
        <is>
          <t>0</t>
        </is>
      </c>
      <c r="Q2681" s="5" t="inlineStr">
        <is>
          <t>3</t>
        </is>
      </c>
      <c r="R2681" s="5" t="inlineStr">
        <is>
          <t>6</t>
        </is>
      </c>
      <c r="S2681" s="5" t="inlineStr">
        <is>
          <t>5</t>
        </is>
      </c>
      <c r="T2681" s="5" t="inlineStr">
        <is>
          <t>6</t>
        </is>
      </c>
      <c r="U2681" s="5" t="inlineStr">
        <is>
          <t>OK</t>
        </is>
      </c>
    </row>
    <row r="2682">
      <c r="A2682" s="5" t="inlineStr">
        <is>
          <t>E02988</t>
        </is>
      </c>
      <c r="B2682" s="5" t="inlineStr">
        <is>
          <t>Female</t>
        </is>
      </c>
      <c r="C2682" s="6" t="inlineStr">
        <is>
          <t>31</t>
        </is>
      </c>
      <c r="D2682" s="5" t="inlineStr">
        <is>
          <t>Single</t>
        </is>
      </c>
      <c r="E2682" s="5" t="inlineStr">
        <is>
          <t>High School</t>
        </is>
      </c>
      <c r="F2682" s="5" t="inlineStr">
        <is>
          <t>Sales</t>
        </is>
      </c>
      <c r="G2682" s="5" t="inlineStr">
        <is>
          <t>Business Development</t>
        </is>
      </c>
      <c r="H2682" s="5" t="inlineStr">
        <is>
          <t>1</t>
        </is>
      </c>
      <c r="I2682" s="5" t="inlineStr">
        <is>
          <t>Remote</t>
        </is>
      </c>
      <c r="J2682" s="5" t="inlineStr">
        <is>
          <t>Full-Time</t>
        </is>
      </c>
      <c r="K2682" s="7" t="n">
        <v>45911</v>
      </c>
      <c r="L2682" s="7" t="n">
        <v>46021</v>
      </c>
      <c r="M2682" s="5" t="inlineStr">
        <is>
          <t>No</t>
        </is>
      </c>
      <c r="N2682" s="5" t="inlineStr">
        <is>
          <t>Resigned</t>
        </is>
      </c>
      <c r="O2682" s="8" t="inlineStr">
        <is>
          <t>70000</t>
        </is>
      </c>
      <c r="P2682" s="5" t="inlineStr">
        <is>
          <t>10</t>
        </is>
      </c>
      <c r="Q2682" s="5" t="inlineStr">
        <is>
          <t>2</t>
        </is>
      </c>
      <c r="R2682" s="5" t="inlineStr">
        <is>
          <t>9</t>
        </is>
      </c>
      <c r="S2682" s="5" t="inlineStr">
        <is>
          <t>3</t>
        </is>
      </c>
      <c r="T2682" s="5" t="inlineStr">
        <is>
          <t>2</t>
        </is>
      </c>
      <c r="U2682" s="5" t="inlineStr">
        <is>
          <t>OK</t>
        </is>
      </c>
    </row>
    <row r="2683">
      <c r="A2683" s="5" t="inlineStr">
        <is>
          <t>E00409</t>
        </is>
      </c>
      <c r="B2683" s="5" t="inlineStr">
        <is>
          <t>Male</t>
        </is>
      </c>
      <c r="C2683" s="6" t="inlineStr">
        <is>
          <t>28</t>
        </is>
      </c>
      <c r="D2683" s="5" t="inlineStr">
        <is>
          <t>Single</t>
        </is>
      </c>
      <c r="E2683" s="5" t="inlineStr">
        <is>
          <t>High School</t>
        </is>
      </c>
      <c r="F2683" s="5" t="inlineStr">
        <is>
          <t>IT</t>
        </is>
      </c>
      <c r="G2683" s="5" t="inlineStr">
        <is>
          <t>DevOps Engineer</t>
        </is>
      </c>
      <c r="H2683" s="5" t="inlineStr">
        <is>
          <t>2</t>
        </is>
      </c>
      <c r="I2683" s="5" t="inlineStr">
        <is>
          <t>Delhi</t>
        </is>
      </c>
      <c r="J2683" s="5" t="inlineStr">
        <is>
          <t>Full-Time</t>
        </is>
      </c>
      <c r="K2683" s="7" t="n">
        <v>44342</v>
      </c>
      <c r="L2683" s="7" t="inlineStr"/>
      <c r="M2683" s="5" t="inlineStr">
        <is>
          <t>Yes</t>
        </is>
      </c>
      <c r="N2683" s="5" t="inlineStr"/>
      <c r="O2683" s="8" t="inlineStr">
        <is>
          <t>144000</t>
        </is>
      </c>
      <c r="P2683" s="5" t="inlineStr">
        <is>
          <t>10</t>
        </is>
      </c>
      <c r="Q2683" s="5" t="inlineStr">
        <is>
          <t>5</t>
        </is>
      </c>
      <c r="R2683" s="5" t="inlineStr">
        <is>
          <t>6</t>
        </is>
      </c>
      <c r="S2683" s="5" t="inlineStr">
        <is>
          <t>56</t>
        </is>
      </c>
      <c r="T2683" s="5" t="inlineStr">
        <is>
          <t>0</t>
        </is>
      </c>
      <c r="U2683" s="5" t="inlineStr">
        <is>
          <t>OK</t>
        </is>
      </c>
    </row>
    <row r="2684">
      <c r="A2684" s="5" t="inlineStr">
        <is>
          <t>E02917</t>
        </is>
      </c>
      <c r="B2684" s="5" t="inlineStr">
        <is>
          <t>Female</t>
        </is>
      </c>
      <c r="C2684" s="6" t="inlineStr">
        <is>
          <t>31</t>
        </is>
      </c>
      <c r="D2684" s="5" t="inlineStr">
        <is>
          <t>Divorced</t>
        </is>
      </c>
      <c r="E2684" s="5" t="inlineStr">
        <is>
          <t>High School</t>
        </is>
      </c>
      <c r="F2684" s="5" t="inlineStr">
        <is>
          <t>Marketing</t>
        </is>
      </c>
      <c r="G2684" s="5" t="inlineStr">
        <is>
          <t>SEO Specialist</t>
        </is>
      </c>
      <c r="H2684" s="5" t="inlineStr">
        <is>
          <t>4</t>
        </is>
      </c>
      <c r="I2684" s="5" t="inlineStr">
        <is>
          <t>Mumbai</t>
        </is>
      </c>
      <c r="J2684" s="5" t="inlineStr">
        <is>
          <t>Full-Time</t>
        </is>
      </c>
      <c r="K2684" s="7" t="n">
        <v>43949</v>
      </c>
      <c r="L2684" s="7" t="inlineStr"/>
      <c r="M2684" s="5" t="inlineStr">
        <is>
          <t>Yes</t>
        </is>
      </c>
      <c r="N2684" s="5" t="inlineStr"/>
      <c r="O2684" s="8" t="inlineStr">
        <is>
          <t>100000</t>
        </is>
      </c>
      <c r="P2684" s="5" t="inlineStr">
        <is>
          <t>0</t>
        </is>
      </c>
      <c r="Q2684" s="5" t="inlineStr">
        <is>
          <t>4</t>
        </is>
      </c>
      <c r="R2684" s="5" t="inlineStr">
        <is>
          <t>5</t>
        </is>
      </c>
      <c r="S2684" s="5" t="inlineStr">
        <is>
          <t>69</t>
        </is>
      </c>
      <c r="T2684" s="5" t="inlineStr">
        <is>
          <t>0</t>
        </is>
      </c>
      <c r="U2684" s="5" t="inlineStr">
        <is>
          <t>OK</t>
        </is>
      </c>
    </row>
    <row r="2685">
      <c r="A2685" s="5" t="inlineStr">
        <is>
          <t>E02775</t>
        </is>
      </c>
      <c r="B2685" s="5" t="inlineStr">
        <is>
          <t>Male</t>
        </is>
      </c>
      <c r="C2685" s="6" t="inlineStr">
        <is>
          <t>27</t>
        </is>
      </c>
      <c r="D2685" s="5" t="inlineStr">
        <is>
          <t>Married</t>
        </is>
      </c>
      <c r="E2685" s="5" t="inlineStr">
        <is>
          <t>Master</t>
        </is>
      </c>
      <c r="F2685" s="5" t="inlineStr">
        <is>
          <t>Sales</t>
        </is>
      </c>
      <c r="G2685" s="5" t="inlineStr">
        <is>
          <t>Business Development</t>
        </is>
      </c>
      <c r="H2685" s="5" t="inlineStr">
        <is>
          <t>3</t>
        </is>
      </c>
      <c r="I2685" s="5" t="inlineStr">
        <is>
          <t>Bengaluru</t>
        </is>
      </c>
      <c r="J2685" s="5" t="inlineStr">
        <is>
          <t>Full-Time</t>
        </is>
      </c>
      <c r="K2685" s="7" t="n">
        <v>45981</v>
      </c>
      <c r="L2685" s="7" t="n">
        <v>45996</v>
      </c>
      <c r="M2685" s="5" t="inlineStr">
        <is>
          <t>No</t>
        </is>
      </c>
      <c r="N2685" s="5" t="inlineStr">
        <is>
          <t>Resigned</t>
        </is>
      </c>
      <c r="O2685" s="8" t="inlineStr">
        <is>
          <t>108500</t>
        </is>
      </c>
      <c r="P2685" s="5" t="inlineStr">
        <is>
          <t>0</t>
        </is>
      </c>
      <c r="Q2685" s="5" t="inlineStr">
        <is>
          <t>3</t>
        </is>
      </c>
      <c r="R2685" s="5" t="inlineStr">
        <is>
          <t>5</t>
        </is>
      </c>
      <c r="S2685" s="5" t="inlineStr">
        <is>
          <t>1</t>
        </is>
      </c>
      <c r="T2685" s="5" t="inlineStr">
        <is>
          <t>9</t>
        </is>
      </c>
      <c r="U2685" s="5" t="inlineStr">
        <is>
          <t>OK</t>
        </is>
      </c>
    </row>
    <row r="2686">
      <c r="A2686" s="5" t="inlineStr">
        <is>
          <t>E01792</t>
        </is>
      </c>
      <c r="B2686" s="5" t="inlineStr">
        <is>
          <t>Female</t>
        </is>
      </c>
      <c r="C2686" s="6" t="inlineStr">
        <is>
          <t>34</t>
        </is>
      </c>
      <c r="D2686" s="5" t="inlineStr">
        <is>
          <t>Married</t>
        </is>
      </c>
      <c r="E2686" s="5" t="inlineStr">
        <is>
          <t>High School</t>
        </is>
      </c>
      <c r="F2686" s="5" t="inlineStr">
        <is>
          <t>IT</t>
        </is>
      </c>
      <c r="G2686" s="5" t="inlineStr">
        <is>
          <t>Data Analyst</t>
        </is>
      </c>
      <c r="H2686" s="5" t="inlineStr">
        <is>
          <t>6</t>
        </is>
      </c>
      <c r="I2686" s="5" t="inlineStr">
        <is>
          <t>Bengaluru</t>
        </is>
      </c>
      <c r="J2686" s="5" t="inlineStr">
        <is>
          <t>Full-Time</t>
        </is>
      </c>
      <c r="K2686" s="7" t="n">
        <v>44208</v>
      </c>
      <c r="L2686" s="7" t="inlineStr"/>
      <c r="M2686" s="5" t="inlineStr">
        <is>
          <t>Yes</t>
        </is>
      </c>
      <c r="N2686" s="5" t="inlineStr"/>
      <c r="O2686" s="8" t="inlineStr">
        <is>
          <t>243500</t>
        </is>
      </c>
      <c r="P2686" s="5" t="inlineStr">
        <is>
          <t>0</t>
        </is>
      </c>
      <c r="Q2686" s="5" t="inlineStr">
        <is>
          <t>2</t>
        </is>
      </c>
      <c r="R2686" s="5" t="inlineStr">
        <is>
          <t>3</t>
        </is>
      </c>
      <c r="S2686" s="5" t="inlineStr">
        <is>
          <t>60</t>
        </is>
      </c>
      <c r="T2686" s="5" t="inlineStr">
        <is>
          <t>12</t>
        </is>
      </c>
      <c r="U2686" s="5" t="inlineStr">
        <is>
          <t>OK</t>
        </is>
      </c>
    </row>
    <row r="2687">
      <c r="A2687" s="5" t="inlineStr">
        <is>
          <t>E01366</t>
        </is>
      </c>
      <c r="B2687" s="5" t="inlineStr">
        <is>
          <t>Male</t>
        </is>
      </c>
      <c r="C2687" s="6" t="inlineStr">
        <is>
          <t>32</t>
        </is>
      </c>
      <c r="D2687" s="5" t="inlineStr">
        <is>
          <t>Married</t>
        </is>
      </c>
      <c r="E2687" s="5" t="inlineStr">
        <is>
          <t>Diploma</t>
        </is>
      </c>
      <c r="F2687" s="5" t="inlineStr">
        <is>
          <t>Operations</t>
        </is>
      </c>
      <c r="G2687" s="5" t="inlineStr">
        <is>
          <t>Quality Analyst</t>
        </is>
      </c>
      <c r="H2687" s="5" t="inlineStr">
        <is>
          <t>2</t>
        </is>
      </c>
      <c r="I2687" s="5" t="inlineStr">
        <is>
          <t>Chennai</t>
        </is>
      </c>
      <c r="J2687" s="5" t="inlineStr">
        <is>
          <t>Full-Time</t>
        </is>
      </c>
      <c r="K2687" s="7" t="n">
        <v>45780</v>
      </c>
      <c r="L2687" s="7" t="inlineStr"/>
      <c r="M2687" s="5" t="inlineStr">
        <is>
          <t>Yes</t>
        </is>
      </c>
      <c r="N2687" s="5" t="inlineStr"/>
      <c r="O2687" s="8" t="inlineStr">
        <is>
          <t>76000</t>
        </is>
      </c>
      <c r="P2687" s="5" t="inlineStr">
        <is>
          <t>5</t>
        </is>
      </c>
      <c r="Q2687" s="5" t="inlineStr">
        <is>
          <t>4</t>
        </is>
      </c>
      <c r="R2687" s="5" t="inlineStr">
        <is>
          <t>8</t>
        </is>
      </c>
      <c r="S2687" s="5" t="inlineStr">
        <is>
          <t>8</t>
        </is>
      </c>
      <c r="T2687" s="5" t="inlineStr">
        <is>
          <t>8</t>
        </is>
      </c>
      <c r="U2687" s="5" t="inlineStr">
        <is>
          <t>OK</t>
        </is>
      </c>
    </row>
    <row r="2688">
      <c r="A2688" s="5" t="inlineStr">
        <is>
          <t>E00184</t>
        </is>
      </c>
      <c r="B2688" s="5" t="inlineStr">
        <is>
          <t>Female</t>
        </is>
      </c>
      <c r="C2688" s="6" t="inlineStr">
        <is>
          <t>37</t>
        </is>
      </c>
      <c r="D2688" s="5" t="inlineStr">
        <is>
          <t>Single</t>
        </is>
      </c>
      <c r="E2688" s="5" t="inlineStr">
        <is>
          <t>High School</t>
        </is>
      </c>
      <c r="F2688" s="5" t="inlineStr">
        <is>
          <t>Research &amp; Development</t>
        </is>
      </c>
      <c r="G2688" s="5" t="inlineStr">
        <is>
          <t>Research Scientist</t>
        </is>
      </c>
      <c r="H2688" s="5" t="inlineStr">
        <is>
          <t>6</t>
        </is>
      </c>
      <c r="I2688" s="5" t="inlineStr">
        <is>
          <t>Bengaluru</t>
        </is>
      </c>
      <c r="J2688" s="5" t="inlineStr">
        <is>
          <t>Full-Time</t>
        </is>
      </c>
      <c r="K2688" s="7" t="n">
        <v>45614</v>
      </c>
      <c r="L2688" s="7" t="inlineStr"/>
      <c r="M2688" s="5" t="inlineStr">
        <is>
          <t>Yes</t>
        </is>
      </c>
      <c r="N2688" s="5" t="inlineStr"/>
      <c r="O2688" s="8" t="inlineStr">
        <is>
          <t>195000</t>
        </is>
      </c>
      <c r="P2688" s="5" t="inlineStr">
        <is>
          <t>5</t>
        </is>
      </c>
      <c r="Q2688" s="5" t="inlineStr">
        <is>
          <t>4</t>
        </is>
      </c>
      <c r="R2688" s="5" t="inlineStr">
        <is>
          <t>10</t>
        </is>
      </c>
      <c r="S2688" s="5" t="inlineStr">
        <is>
          <t>13</t>
        </is>
      </c>
      <c r="T2688" s="5" t="inlineStr">
        <is>
          <t>10</t>
        </is>
      </c>
      <c r="U2688" s="5" t="inlineStr">
        <is>
          <t>OK</t>
        </is>
      </c>
    </row>
    <row r="2689">
      <c r="A2689" s="5" t="inlineStr">
        <is>
          <t>E01647</t>
        </is>
      </c>
      <c r="B2689" s="5" t="inlineStr">
        <is>
          <t>Female</t>
        </is>
      </c>
      <c r="C2689" s="6" t="inlineStr">
        <is>
          <t>34</t>
        </is>
      </c>
      <c r="D2689" s="5" t="inlineStr">
        <is>
          <t>Single</t>
        </is>
      </c>
      <c r="E2689" s="5" t="inlineStr">
        <is>
          <t>High School</t>
        </is>
      </c>
      <c r="F2689" s="5" t="inlineStr"/>
      <c r="G2689" s="5" t="inlineStr">
        <is>
          <t>Marketing Analyst</t>
        </is>
      </c>
      <c r="H2689" s="5" t="inlineStr">
        <is>
          <t>4</t>
        </is>
      </c>
      <c r="I2689" s="5" t="inlineStr">
        <is>
          <t>Mumbai</t>
        </is>
      </c>
      <c r="J2689" s="5" t="inlineStr">
        <is>
          <t>Full-Time</t>
        </is>
      </c>
      <c r="K2689" s="7" t="n">
        <v>43919</v>
      </c>
      <c r="L2689" s="7" t="inlineStr"/>
      <c r="M2689" s="5" t="inlineStr">
        <is>
          <t>Yes</t>
        </is>
      </c>
      <c r="N2689" s="5" t="inlineStr"/>
      <c r="O2689" s="8" t="inlineStr">
        <is>
          <t>79500</t>
        </is>
      </c>
      <c r="P2689" s="5" t="inlineStr">
        <is>
          <t>15</t>
        </is>
      </c>
      <c r="Q2689" s="5" t="inlineStr">
        <is>
          <t>3</t>
        </is>
      </c>
      <c r="R2689" s="5" t="inlineStr">
        <is>
          <t>6</t>
        </is>
      </c>
      <c r="S2689" s="5" t="inlineStr">
        <is>
          <t>70</t>
        </is>
      </c>
      <c r="T2689" s="5" t="inlineStr">
        <is>
          <t>2</t>
        </is>
      </c>
      <c r="U2689" s="5" t="inlineStr">
        <is>
          <t>Blank department</t>
        </is>
      </c>
    </row>
    <row r="2690">
      <c r="A2690" s="5" t="inlineStr">
        <is>
          <t>E01943</t>
        </is>
      </c>
      <c r="B2690" s="5" t="inlineStr">
        <is>
          <t>Female</t>
        </is>
      </c>
      <c r="C2690" s="6" t="inlineStr">
        <is>
          <t>30</t>
        </is>
      </c>
      <c r="D2690" s="5" t="inlineStr">
        <is>
          <t>Married</t>
        </is>
      </c>
      <c r="E2690" s="5" t="inlineStr">
        <is>
          <t>Diploma</t>
        </is>
      </c>
      <c r="F2690" s="5" t="inlineStr">
        <is>
          <t>Customer Support</t>
        </is>
      </c>
      <c r="G2690" s="5" t="inlineStr">
        <is>
          <t>Escalation Specialist</t>
        </is>
      </c>
      <c r="H2690" s="5" t="inlineStr">
        <is>
          <t>3</t>
        </is>
      </c>
      <c r="I2690" s="5" t="inlineStr">
        <is>
          <t>Chennai</t>
        </is>
      </c>
      <c r="J2690" s="5" t="inlineStr">
        <is>
          <t>Full-Time</t>
        </is>
      </c>
      <c r="K2690" s="7" t="n">
        <v>44183</v>
      </c>
      <c r="L2690" s="7" t="inlineStr"/>
      <c r="M2690" s="5" t="inlineStr">
        <is>
          <t>Yes</t>
        </is>
      </c>
      <c r="N2690" s="5" t="inlineStr"/>
      <c r="O2690" s="8" t="inlineStr">
        <is>
          <t>79000</t>
        </is>
      </c>
      <c r="P2690" s="5" t="inlineStr">
        <is>
          <t>10</t>
        </is>
      </c>
      <c r="Q2690" s="5" t="inlineStr">
        <is>
          <t>4</t>
        </is>
      </c>
      <c r="R2690" s="5" t="inlineStr">
        <is>
          <t>8</t>
        </is>
      </c>
      <c r="S2690" s="5" t="inlineStr">
        <is>
          <t>61</t>
        </is>
      </c>
      <c r="T2690" s="5" t="inlineStr">
        <is>
          <t>9</t>
        </is>
      </c>
      <c r="U2690" s="5" t="inlineStr">
        <is>
          <t>OK</t>
        </is>
      </c>
    </row>
    <row r="2691">
      <c r="A2691" s="5" t="inlineStr">
        <is>
          <t>E02947</t>
        </is>
      </c>
      <c r="B2691" s="5" t="inlineStr">
        <is>
          <t>Female</t>
        </is>
      </c>
      <c r="C2691" s="6" t="inlineStr">
        <is>
          <t>25</t>
        </is>
      </c>
      <c r="D2691" s="5" t="inlineStr">
        <is>
          <t>Single</t>
        </is>
      </c>
      <c r="E2691" s="5" t="inlineStr">
        <is>
          <t>Diploma</t>
        </is>
      </c>
      <c r="F2691" s="5" t="inlineStr">
        <is>
          <t>IT</t>
        </is>
      </c>
      <c r="G2691" s="5" t="inlineStr">
        <is>
          <t>Data Analyst</t>
        </is>
      </c>
      <c r="H2691" s="5" t="inlineStr">
        <is>
          <t>1</t>
        </is>
      </c>
      <c r="I2691" s="5" t="inlineStr">
        <is>
          <t>Delhi</t>
        </is>
      </c>
      <c r="J2691" s="5" t="inlineStr">
        <is>
          <t>Full-Time</t>
        </is>
      </c>
      <c r="K2691" s="7" t="n">
        <v>44254</v>
      </c>
      <c r="L2691" s="7" t="n">
        <v>44390</v>
      </c>
      <c r="M2691" s="5" t="inlineStr">
        <is>
          <t>No</t>
        </is>
      </c>
      <c r="N2691" s="5" t="inlineStr">
        <is>
          <t>Layoff</t>
        </is>
      </c>
      <c r="O2691" s="8" t="inlineStr">
        <is>
          <t>90000</t>
        </is>
      </c>
      <c r="P2691" s="5" t="inlineStr">
        <is>
          <t>15</t>
        </is>
      </c>
      <c r="Q2691" s="5" t="inlineStr">
        <is>
          <t>3</t>
        </is>
      </c>
      <c r="R2691" s="5" t="inlineStr">
        <is>
          <t>7</t>
        </is>
      </c>
      <c r="S2691" s="5" t="inlineStr">
        <is>
          <t>4</t>
        </is>
      </c>
      <c r="T2691" s="5" t="inlineStr">
        <is>
          <t>4</t>
        </is>
      </c>
      <c r="U2691" s="5" t="inlineStr">
        <is>
          <t>OK</t>
        </is>
      </c>
    </row>
    <row r="2692">
      <c r="A2692" s="5" t="inlineStr">
        <is>
          <t>E00913</t>
        </is>
      </c>
      <c r="B2692" s="5" t="inlineStr">
        <is>
          <t>Female</t>
        </is>
      </c>
      <c r="C2692" s="6" t="inlineStr">
        <is>
          <t>30</t>
        </is>
      </c>
      <c r="D2692" s="5" t="inlineStr">
        <is>
          <t>Married</t>
        </is>
      </c>
      <c r="E2692" s="5" t="inlineStr">
        <is>
          <t>High School</t>
        </is>
      </c>
      <c r="F2692" s="5" t="inlineStr">
        <is>
          <t>IT</t>
        </is>
      </c>
      <c r="G2692" s="5" t="inlineStr">
        <is>
          <t>Data Analyst</t>
        </is>
      </c>
      <c r="H2692" s="5" t="inlineStr">
        <is>
          <t>2</t>
        </is>
      </c>
      <c r="I2692" s="5" t="inlineStr">
        <is>
          <t>Hyderabad</t>
        </is>
      </c>
      <c r="J2692" s="5" t="inlineStr">
        <is>
          <t>Full-Time</t>
        </is>
      </c>
      <c r="K2692" s="7" t="n">
        <v>45078</v>
      </c>
      <c r="L2692" s="7" t="inlineStr"/>
      <c r="M2692" s="5" t="inlineStr">
        <is>
          <t>Yes</t>
        </is>
      </c>
      <c r="N2692" s="5" t="inlineStr"/>
      <c r="O2692" s="8" t="inlineStr">
        <is>
          <t>136500</t>
        </is>
      </c>
      <c r="P2692" s="5" t="inlineStr">
        <is>
          <t>10</t>
        </is>
      </c>
      <c r="Q2692" s="5" t="inlineStr">
        <is>
          <t>4</t>
        </is>
      </c>
      <c r="R2692" s="5" t="inlineStr">
        <is>
          <t>7</t>
        </is>
      </c>
      <c r="S2692" s="5" t="inlineStr">
        <is>
          <t>31</t>
        </is>
      </c>
      <c r="T2692" s="5" t="inlineStr">
        <is>
          <t>12</t>
        </is>
      </c>
      <c r="U2692" s="5" t="inlineStr">
        <is>
          <t>OK</t>
        </is>
      </c>
    </row>
    <row r="2693">
      <c r="A2693" s="5" t="inlineStr">
        <is>
          <t>E01584</t>
        </is>
      </c>
      <c r="B2693" s="5" t="inlineStr">
        <is>
          <t>Female</t>
        </is>
      </c>
      <c r="C2693" s="6" t="inlineStr">
        <is>
          <t>40</t>
        </is>
      </c>
      <c r="D2693" s="5" t="inlineStr">
        <is>
          <t>Married</t>
        </is>
      </c>
      <c r="E2693" s="5" t="inlineStr">
        <is>
          <t>Master</t>
        </is>
      </c>
      <c r="F2693" s="5" t="inlineStr">
        <is>
          <t>Research &amp; Development</t>
        </is>
      </c>
      <c r="G2693" s="5" t="inlineStr">
        <is>
          <t>Data Scientist</t>
        </is>
      </c>
      <c r="H2693" s="5" t="inlineStr">
        <is>
          <t>4</t>
        </is>
      </c>
      <c r="I2693" s="5" t="inlineStr">
        <is>
          <t>Mumbai</t>
        </is>
      </c>
      <c r="J2693" s="5" t="inlineStr">
        <is>
          <t>Full-Time</t>
        </is>
      </c>
      <c r="K2693" s="7" t="n">
        <v>44894</v>
      </c>
      <c r="L2693" s="7" t="n">
        <v>45028</v>
      </c>
      <c r="M2693" s="5" t="inlineStr">
        <is>
          <t>No</t>
        </is>
      </c>
      <c r="N2693" s="5" t="inlineStr">
        <is>
          <t>Resigned</t>
        </is>
      </c>
      <c r="O2693" s="8" t="inlineStr">
        <is>
          <t>223500</t>
        </is>
      </c>
      <c r="P2693" s="5" t="inlineStr">
        <is>
          <t>10</t>
        </is>
      </c>
      <c r="Q2693" s="5" t="inlineStr">
        <is>
          <t>5</t>
        </is>
      </c>
      <c r="R2693" s="5" t="inlineStr">
        <is>
          <t>5</t>
        </is>
      </c>
      <c r="S2693" s="5" t="inlineStr">
        <is>
          <t>4</t>
        </is>
      </c>
      <c r="T2693" s="5" t="inlineStr">
        <is>
          <t>2</t>
        </is>
      </c>
      <c r="U2693" s="5" t="inlineStr">
        <is>
          <t>OK</t>
        </is>
      </c>
    </row>
    <row r="2694">
      <c r="A2694" s="5" t="inlineStr">
        <is>
          <t>E02221</t>
        </is>
      </c>
      <c r="B2694" s="5" t="inlineStr">
        <is>
          <t>Male</t>
        </is>
      </c>
      <c r="C2694" s="6" t="inlineStr">
        <is>
          <t>36</t>
        </is>
      </c>
      <c r="D2694" s="5" t="inlineStr">
        <is>
          <t>Divorced</t>
        </is>
      </c>
      <c r="E2694" s="5" t="inlineStr">
        <is>
          <t>Bachelor</t>
        </is>
      </c>
      <c r="F2694" s="5" t="inlineStr">
        <is>
          <t>Marketing</t>
        </is>
      </c>
      <c r="G2694" s="5" t="inlineStr">
        <is>
          <t>Content Writer</t>
        </is>
      </c>
      <c r="H2694" s="5" t="inlineStr">
        <is>
          <t>2</t>
        </is>
      </c>
      <c r="I2694" s="5" t="inlineStr">
        <is>
          <t>Bengaluru</t>
        </is>
      </c>
      <c r="J2694" s="5" t="inlineStr">
        <is>
          <t>Full-Time</t>
        </is>
      </c>
      <c r="K2694" s="7" t="n">
        <v>45697</v>
      </c>
      <c r="L2694" s="7" t="inlineStr"/>
      <c r="M2694" s="5" t="inlineStr">
        <is>
          <t>Yes</t>
        </is>
      </c>
      <c r="N2694" s="5" t="inlineStr"/>
      <c r="O2694" s="8" t="inlineStr">
        <is>
          <t>76000</t>
        </is>
      </c>
      <c r="P2694" s="5" t="inlineStr">
        <is>
          <t>0</t>
        </is>
      </c>
      <c r="Q2694" s="5" t="inlineStr">
        <is>
          <t>4</t>
        </is>
      </c>
      <c r="R2694" s="5" t="inlineStr">
        <is>
          <t>4</t>
        </is>
      </c>
      <c r="S2694" s="5" t="inlineStr">
        <is>
          <t>10</t>
        </is>
      </c>
      <c r="T2694" s="5" t="inlineStr">
        <is>
          <t>18</t>
        </is>
      </c>
      <c r="U2694" s="5" t="inlineStr">
        <is>
          <t>OK</t>
        </is>
      </c>
    </row>
    <row r="2695">
      <c r="A2695" s="5" t="inlineStr">
        <is>
          <t>E00539</t>
        </is>
      </c>
      <c r="B2695" s="5" t="inlineStr">
        <is>
          <t>Female</t>
        </is>
      </c>
      <c r="C2695" s="6" t="inlineStr">
        <is>
          <t>32</t>
        </is>
      </c>
      <c r="D2695" s="5" t="inlineStr">
        <is>
          <t>Single</t>
        </is>
      </c>
      <c r="E2695" s="5" t="inlineStr">
        <is>
          <t>PhD</t>
        </is>
      </c>
      <c r="F2695" s="5" t="inlineStr">
        <is>
          <t>Sales</t>
        </is>
      </c>
      <c r="G2695" s="5" t="inlineStr">
        <is>
          <t>Business Development</t>
        </is>
      </c>
      <c r="H2695" s="5" t="inlineStr">
        <is>
          <t>5</t>
        </is>
      </c>
      <c r="I2695" s="5" t="inlineStr">
        <is>
          <t>Hyderabad</t>
        </is>
      </c>
      <c r="J2695" s="5" t="inlineStr">
        <is>
          <t>Full-Time</t>
        </is>
      </c>
      <c r="K2695" s="7" t="n">
        <v>43903</v>
      </c>
      <c r="L2695" s="7" t="inlineStr"/>
      <c r="M2695" s="5" t="inlineStr">
        <is>
          <t>Yes</t>
        </is>
      </c>
      <c r="N2695" s="5" t="inlineStr"/>
      <c r="O2695" s="8" t="inlineStr">
        <is>
          <t>157000</t>
        </is>
      </c>
      <c r="P2695" s="5" t="inlineStr">
        <is>
          <t>0</t>
        </is>
      </c>
      <c r="Q2695" s="5" t="inlineStr">
        <is>
          <t>3</t>
        </is>
      </c>
      <c r="R2695" s="5" t="inlineStr">
        <is>
          <t>6</t>
        </is>
      </c>
      <c r="S2695" s="5" t="inlineStr">
        <is>
          <t>70</t>
        </is>
      </c>
      <c r="T2695" s="5" t="inlineStr">
        <is>
          <t>8</t>
        </is>
      </c>
      <c r="U2695" s="5" t="inlineStr">
        <is>
          <t>OK</t>
        </is>
      </c>
    </row>
    <row r="2696">
      <c r="A2696" s="5" t="inlineStr">
        <is>
          <t>E01455</t>
        </is>
      </c>
      <c r="B2696" s="5" t="inlineStr">
        <is>
          <t>Female</t>
        </is>
      </c>
      <c r="C2696" s="6" t="inlineStr">
        <is>
          <t>33</t>
        </is>
      </c>
      <c r="D2696" s="5" t="inlineStr">
        <is>
          <t>Single</t>
        </is>
      </c>
      <c r="E2696" s="5" t="inlineStr">
        <is>
          <t>Master</t>
        </is>
      </c>
      <c r="F2696" s="5" t="inlineStr">
        <is>
          <t>IT</t>
        </is>
      </c>
      <c r="G2696" s="5" t="inlineStr">
        <is>
          <t>Software Engineer</t>
        </is>
      </c>
      <c r="H2696" s="5" t="inlineStr">
        <is>
          <t>3</t>
        </is>
      </c>
      <c r="I2696" s="5" t="inlineStr">
        <is>
          <t>Hyderabad</t>
        </is>
      </c>
      <c r="J2696" s="5" t="inlineStr">
        <is>
          <t>Contract</t>
        </is>
      </c>
      <c r="K2696" s="7" t="n">
        <v>45618</v>
      </c>
      <c r="L2696" s="7" t="inlineStr"/>
      <c r="M2696" s="5" t="inlineStr">
        <is>
          <t>Yes</t>
        </is>
      </c>
      <c r="N2696" s="5" t="inlineStr"/>
      <c r="O2696" s="8" t="inlineStr">
        <is>
          <t>109500</t>
        </is>
      </c>
      <c r="P2696" s="5" t="inlineStr">
        <is>
          <t>10</t>
        </is>
      </c>
      <c r="Q2696" s="5" t="inlineStr">
        <is>
          <t>5</t>
        </is>
      </c>
      <c r="R2696" s="5" t="inlineStr">
        <is>
          <t>8</t>
        </is>
      </c>
      <c r="S2696" s="5" t="inlineStr">
        <is>
          <t>13</t>
        </is>
      </c>
      <c r="T2696" s="5" t="inlineStr">
        <is>
          <t>7</t>
        </is>
      </c>
      <c r="U2696" s="5" t="inlineStr">
        <is>
          <t>OK</t>
        </is>
      </c>
    </row>
    <row r="2697">
      <c r="A2697" s="5" t="inlineStr">
        <is>
          <t>E02077</t>
        </is>
      </c>
      <c r="B2697" s="5" t="inlineStr">
        <is>
          <t>Female</t>
        </is>
      </c>
      <c r="C2697" s="6" t="inlineStr">
        <is>
          <t>38</t>
        </is>
      </c>
      <c r="D2697" s="5" t="inlineStr">
        <is>
          <t>Married</t>
        </is>
      </c>
      <c r="E2697" s="5" t="inlineStr">
        <is>
          <t>PhD</t>
        </is>
      </c>
      <c r="F2697" s="5" t="inlineStr">
        <is>
          <t>Sales</t>
        </is>
      </c>
      <c r="G2697" s="5" t="inlineStr">
        <is>
          <t>Sales Executive</t>
        </is>
      </c>
      <c r="H2697" s="5" t="inlineStr">
        <is>
          <t>4</t>
        </is>
      </c>
      <c r="I2697" s="5" t="inlineStr">
        <is>
          <t>Mumbai</t>
        </is>
      </c>
      <c r="J2697" s="5" t="inlineStr">
        <is>
          <t>Full-Time</t>
        </is>
      </c>
      <c r="K2697" s="7" t="n">
        <v>45534</v>
      </c>
      <c r="L2697" s="7" t="inlineStr"/>
      <c r="M2697" s="5" t="inlineStr">
        <is>
          <t>Yes</t>
        </is>
      </c>
      <c r="N2697" s="5" t="inlineStr"/>
      <c r="O2697" s="8" t="inlineStr">
        <is>
          <t>87000</t>
        </is>
      </c>
      <c r="P2697" s="5" t="inlineStr">
        <is>
          <t>0</t>
        </is>
      </c>
      <c r="Q2697" s="5" t="inlineStr">
        <is>
          <t>3</t>
        </is>
      </c>
      <c r="R2697" s="5" t="inlineStr">
        <is>
          <t>7</t>
        </is>
      </c>
      <c r="S2697" s="5" t="inlineStr">
        <is>
          <t>16</t>
        </is>
      </c>
      <c r="T2697" s="5" t="inlineStr">
        <is>
          <t>0</t>
        </is>
      </c>
      <c r="U2697" s="5" t="inlineStr">
        <is>
          <t>OK</t>
        </is>
      </c>
    </row>
    <row r="2698">
      <c r="A2698" s="5" t="inlineStr">
        <is>
          <t>E02489</t>
        </is>
      </c>
      <c r="B2698" s="5" t="inlineStr">
        <is>
          <t>Male</t>
        </is>
      </c>
      <c r="C2698" s="6" t="inlineStr">
        <is>
          <t>38</t>
        </is>
      </c>
      <c r="D2698" s="5" t="inlineStr">
        <is>
          <t>Married</t>
        </is>
      </c>
      <c r="E2698" s="5" t="inlineStr">
        <is>
          <t>Bachelor</t>
        </is>
      </c>
      <c r="F2698" s="5" t="inlineStr">
        <is>
          <t>Human Resources</t>
        </is>
      </c>
      <c r="G2698" s="5" t="inlineStr">
        <is>
          <t>HR Generalist</t>
        </is>
      </c>
      <c r="H2698" s="5" t="inlineStr">
        <is>
          <t>4</t>
        </is>
      </c>
      <c r="I2698" s="5" t="inlineStr">
        <is>
          <t>Chennai</t>
        </is>
      </c>
      <c r="J2698" s="5" t="inlineStr">
        <is>
          <t>Full-Time</t>
        </is>
      </c>
      <c r="K2698" s="7" t="n">
        <v>44148</v>
      </c>
      <c r="L2698" s="7" t="inlineStr"/>
      <c r="M2698" s="5" t="inlineStr">
        <is>
          <t>Yes</t>
        </is>
      </c>
      <c r="N2698" s="5" t="inlineStr"/>
      <c r="O2698" s="8" t="inlineStr"/>
      <c r="P2698" s="5" t="inlineStr">
        <is>
          <t>10</t>
        </is>
      </c>
      <c r="Q2698" s="5" t="inlineStr">
        <is>
          <t>3</t>
        </is>
      </c>
      <c r="R2698" s="5" t="inlineStr">
        <is>
          <t>7</t>
        </is>
      </c>
      <c r="S2698" s="5" t="inlineStr">
        <is>
          <t>62</t>
        </is>
      </c>
      <c r="T2698" s="5" t="inlineStr">
        <is>
          <t>3</t>
        </is>
      </c>
      <c r="U2698" s="5" t="inlineStr">
        <is>
          <t>Blank salary</t>
        </is>
      </c>
    </row>
    <row r="2699">
      <c r="A2699" s="5" t="inlineStr">
        <is>
          <t>E02157</t>
        </is>
      </c>
      <c r="B2699" s="5" t="inlineStr">
        <is>
          <t>Male</t>
        </is>
      </c>
      <c r="C2699" s="6" t="inlineStr">
        <is>
          <t>38</t>
        </is>
      </c>
      <c r="D2699" s="5" t="inlineStr">
        <is>
          <t>Divorced</t>
        </is>
      </c>
      <c r="E2699" s="5" t="inlineStr">
        <is>
          <t>Bachelor</t>
        </is>
      </c>
      <c r="F2699" s="5" t="inlineStr">
        <is>
          <t>Research &amp; Development</t>
        </is>
      </c>
      <c r="G2699" s="5" t="inlineStr">
        <is>
          <t>Research Scientist</t>
        </is>
      </c>
      <c r="H2699" s="5" t="inlineStr">
        <is>
          <t>5</t>
        </is>
      </c>
      <c r="I2699" s="5" t="inlineStr">
        <is>
          <t>Bengaluru</t>
        </is>
      </c>
      <c r="J2699" s="5" t="inlineStr">
        <is>
          <t>Full-Time</t>
        </is>
      </c>
      <c r="K2699" s="7" t="n">
        <v>44957</v>
      </c>
      <c r="L2699" s="7" t="inlineStr"/>
      <c r="M2699" s="5" t="inlineStr">
        <is>
          <t>Yes</t>
        </is>
      </c>
      <c r="N2699" s="5" t="inlineStr"/>
      <c r="O2699" s="8" t="inlineStr">
        <is>
          <t>159500</t>
        </is>
      </c>
      <c r="P2699" s="5" t="inlineStr">
        <is>
          <t>15</t>
        </is>
      </c>
      <c r="Q2699" s="5" t="inlineStr">
        <is>
          <t>4</t>
        </is>
      </c>
      <c r="R2699" s="5" t="inlineStr">
        <is>
          <t>6</t>
        </is>
      </c>
      <c r="S2699" s="5" t="inlineStr">
        <is>
          <t>35</t>
        </is>
      </c>
      <c r="T2699" s="5" t="inlineStr">
        <is>
          <t>4</t>
        </is>
      </c>
      <c r="U2699" s="5" t="inlineStr">
        <is>
          <t>OK</t>
        </is>
      </c>
    </row>
    <row r="2700">
      <c r="A2700" s="5" t="inlineStr">
        <is>
          <t>E02869</t>
        </is>
      </c>
      <c r="B2700" s="5" t="inlineStr">
        <is>
          <t>Female</t>
        </is>
      </c>
      <c r="C2700" s="6" t="inlineStr">
        <is>
          <t>35</t>
        </is>
      </c>
      <c r="D2700" s="5" t="inlineStr">
        <is>
          <t>Married</t>
        </is>
      </c>
      <c r="E2700" s="5" t="inlineStr">
        <is>
          <t>Bachelor</t>
        </is>
      </c>
      <c r="F2700" s="5" t="inlineStr">
        <is>
          <t>Operations</t>
        </is>
      </c>
      <c r="G2700" s="5" t="inlineStr">
        <is>
          <t>Quality Analyst</t>
        </is>
      </c>
      <c r="H2700" s="5" t="inlineStr">
        <is>
          <t>2</t>
        </is>
      </c>
      <c r="I2700" s="5" t="inlineStr">
        <is>
          <t>Delhi</t>
        </is>
      </c>
      <c r="J2700" s="5" t="inlineStr">
        <is>
          <t>Full-Time</t>
        </is>
      </c>
      <c r="K2700" s="7" t="n">
        <v>45730</v>
      </c>
      <c r="L2700" s="7" t="inlineStr"/>
      <c r="M2700" s="5" t="inlineStr">
        <is>
          <t>Yes</t>
        </is>
      </c>
      <c r="N2700" s="5" t="inlineStr"/>
      <c r="O2700" s="8" t="inlineStr">
        <is>
          <t>69500</t>
        </is>
      </c>
      <c r="P2700" s="5" t="inlineStr">
        <is>
          <t>20</t>
        </is>
      </c>
      <c r="Q2700" s="5" t="inlineStr">
        <is>
          <t>5</t>
        </is>
      </c>
      <c r="R2700" s="5" t="inlineStr">
        <is>
          <t>8</t>
        </is>
      </c>
      <c r="S2700" s="5" t="inlineStr">
        <is>
          <t>9</t>
        </is>
      </c>
      <c r="T2700" s="5" t="inlineStr">
        <is>
          <t>2</t>
        </is>
      </c>
      <c r="U2700" s="5" t="inlineStr">
        <is>
          <t>OK</t>
        </is>
      </c>
    </row>
    <row r="2701">
      <c r="A2701" s="5" t="inlineStr">
        <is>
          <t>E02043</t>
        </is>
      </c>
      <c r="B2701" s="5" t="inlineStr">
        <is>
          <t>Female</t>
        </is>
      </c>
      <c r="C2701" s="6" t="inlineStr">
        <is>
          <t>34</t>
        </is>
      </c>
      <c r="D2701" s="5" t="inlineStr">
        <is>
          <t>Single</t>
        </is>
      </c>
      <c r="E2701" s="5" t="inlineStr">
        <is>
          <t>PhD</t>
        </is>
      </c>
      <c r="F2701" s="5" t="inlineStr">
        <is>
          <t>Human Resources</t>
        </is>
      </c>
      <c r="G2701" s="5" t="inlineStr">
        <is>
          <t>HR Generalist</t>
        </is>
      </c>
      <c r="H2701" s="5" t="inlineStr">
        <is>
          <t>1</t>
        </is>
      </c>
      <c r="I2701" s="5" t="inlineStr">
        <is>
          <t>Hyderabad</t>
        </is>
      </c>
      <c r="J2701" s="5" t="inlineStr">
        <is>
          <t>Full-Time</t>
        </is>
      </c>
      <c r="K2701" s="7" t="n">
        <v>45182</v>
      </c>
      <c r="L2701" s="7" t="inlineStr"/>
      <c r="M2701" s="5" t="inlineStr">
        <is>
          <t>Yes</t>
        </is>
      </c>
      <c r="N2701" s="5" t="inlineStr"/>
      <c r="O2701" s="8" t="inlineStr">
        <is>
          <t>60500</t>
        </is>
      </c>
      <c r="P2701" s="5" t="inlineStr">
        <is>
          <t>0</t>
        </is>
      </c>
      <c r="Q2701" s="5" t="inlineStr">
        <is>
          <t>4</t>
        </is>
      </c>
      <c r="R2701" s="5" t="inlineStr">
        <is>
          <t>7</t>
        </is>
      </c>
      <c r="S2701" s="5" t="inlineStr">
        <is>
          <t>28</t>
        </is>
      </c>
      <c r="T2701" s="5" t="inlineStr">
        <is>
          <t>8</t>
        </is>
      </c>
      <c r="U2701" s="5" t="inlineStr">
        <is>
          <t>OK</t>
        </is>
      </c>
    </row>
    <row r="2702">
      <c r="A2702" s="5" t="inlineStr">
        <is>
          <t>E02514</t>
        </is>
      </c>
      <c r="B2702" s="5" t="inlineStr">
        <is>
          <t>Male</t>
        </is>
      </c>
      <c r="C2702" s="6" t="inlineStr">
        <is>
          <t>29</t>
        </is>
      </c>
      <c r="D2702" s="5" t="inlineStr">
        <is>
          <t>Married</t>
        </is>
      </c>
      <c r="E2702" s="5" t="inlineStr">
        <is>
          <t>PhD</t>
        </is>
      </c>
      <c r="F2702" s="5" t="inlineStr">
        <is>
          <t>Human Resources</t>
        </is>
      </c>
      <c r="G2702" s="5" t="inlineStr">
        <is>
          <t>Recruiter</t>
        </is>
      </c>
      <c r="H2702" s="5" t="inlineStr">
        <is>
          <t>2</t>
        </is>
      </c>
      <c r="I2702" s="5" t="inlineStr">
        <is>
          <t>Delhi</t>
        </is>
      </c>
      <c r="J2702" s="5" t="inlineStr">
        <is>
          <t>Full-Time</t>
        </is>
      </c>
      <c r="K2702" s="7" t="n">
        <v>44137</v>
      </c>
      <c r="L2702" s="7" t="inlineStr"/>
      <c r="M2702" s="5" t="inlineStr">
        <is>
          <t>Yes</t>
        </is>
      </c>
      <c r="N2702" s="5" t="inlineStr"/>
      <c r="O2702" s="8" t="inlineStr">
        <is>
          <t>75000</t>
        </is>
      </c>
      <c r="P2702" s="5" t="inlineStr">
        <is>
          <t>0</t>
        </is>
      </c>
      <c r="Q2702" s="5" t="inlineStr">
        <is>
          <t>5</t>
        </is>
      </c>
      <c r="R2702" s="5" t="inlineStr">
        <is>
          <t>8</t>
        </is>
      </c>
      <c r="S2702" s="5" t="inlineStr">
        <is>
          <t>62</t>
        </is>
      </c>
      <c r="T2702" s="5" t="inlineStr">
        <is>
          <t>12</t>
        </is>
      </c>
      <c r="U2702" s="5" t="inlineStr">
        <is>
          <t>OK</t>
        </is>
      </c>
    </row>
    <row r="2703">
      <c r="A2703" s="5" t="inlineStr">
        <is>
          <t>E01972</t>
        </is>
      </c>
      <c r="B2703" s="5" t="inlineStr">
        <is>
          <t>Female</t>
        </is>
      </c>
      <c r="C2703" s="6" t="inlineStr">
        <is>
          <t>34</t>
        </is>
      </c>
      <c r="D2703" s="5" t="inlineStr">
        <is>
          <t>Married</t>
        </is>
      </c>
      <c r="E2703" s="5" t="inlineStr">
        <is>
          <t>High School</t>
        </is>
      </c>
      <c r="F2703" s="5" t="inlineStr">
        <is>
          <t>IT</t>
        </is>
      </c>
      <c r="G2703" s="5" t="inlineStr">
        <is>
          <t>Data Analyst</t>
        </is>
      </c>
      <c r="H2703" s="5" t="inlineStr">
        <is>
          <t>2</t>
        </is>
      </c>
      <c r="I2703" s="5" t="inlineStr">
        <is>
          <t>Bengaluru</t>
        </is>
      </c>
      <c r="J2703" s="5" t="inlineStr">
        <is>
          <t>Full-Time</t>
        </is>
      </c>
      <c r="K2703" s="7" t="n">
        <v>45492</v>
      </c>
      <c r="L2703" s="7" t="inlineStr"/>
      <c r="M2703" s="5" t="inlineStr">
        <is>
          <t>Yes</t>
        </is>
      </c>
      <c r="N2703" s="5" t="inlineStr"/>
      <c r="O2703" s="8" t="inlineStr">
        <is>
          <t>102500</t>
        </is>
      </c>
      <c r="P2703" s="5" t="inlineStr">
        <is>
          <t>0</t>
        </is>
      </c>
      <c r="Q2703" s="5" t="inlineStr">
        <is>
          <t>4</t>
        </is>
      </c>
      <c r="R2703" s="5" t="inlineStr">
        <is>
          <t>5</t>
        </is>
      </c>
      <c r="S2703" s="5" t="inlineStr">
        <is>
          <t>17</t>
        </is>
      </c>
      <c r="T2703" s="5" t="inlineStr">
        <is>
          <t>7</t>
        </is>
      </c>
      <c r="U2703" s="5" t="inlineStr">
        <is>
          <t>OK</t>
        </is>
      </c>
    </row>
    <row r="2704">
      <c r="A2704" s="5" t="inlineStr">
        <is>
          <t>E00687</t>
        </is>
      </c>
      <c r="B2704" s="5" t="inlineStr">
        <is>
          <t>male</t>
        </is>
      </c>
      <c r="C2704" s="6" t="inlineStr">
        <is>
          <t>32</t>
        </is>
      </c>
      <c r="D2704" s="5" t="inlineStr">
        <is>
          <t>Married</t>
        </is>
      </c>
      <c r="E2704" s="5" t="inlineStr">
        <is>
          <t>Diploma</t>
        </is>
      </c>
      <c r="F2704" s="5" t="inlineStr">
        <is>
          <t>IT</t>
        </is>
      </c>
      <c r="G2704" s="5" t="inlineStr">
        <is>
          <t>IT Support</t>
        </is>
      </c>
      <c r="H2704" s="5" t="inlineStr">
        <is>
          <t>2</t>
        </is>
      </c>
      <c r="I2704" s="5" t="inlineStr">
        <is>
          <t>Chennai</t>
        </is>
      </c>
      <c r="J2704" s="5" t="inlineStr">
        <is>
          <t>Full-Time</t>
        </is>
      </c>
      <c r="K2704" s="7" t="n">
        <v>45878</v>
      </c>
      <c r="L2704" s="7" t="inlineStr"/>
      <c r="M2704" s="5" t="inlineStr">
        <is>
          <t>Yes</t>
        </is>
      </c>
      <c r="N2704" s="5" t="inlineStr"/>
      <c r="O2704" s="8" t="inlineStr">
        <is>
          <t>136500</t>
        </is>
      </c>
      <c r="P2704" s="5" t="inlineStr">
        <is>
          <t>5</t>
        </is>
      </c>
      <c r="Q2704" s="5" t="inlineStr">
        <is>
          <t>3</t>
        </is>
      </c>
      <c r="R2704" s="5" t="inlineStr">
        <is>
          <t>4</t>
        </is>
      </c>
      <c r="S2704" s="5" t="inlineStr">
        <is>
          <t>4</t>
        </is>
      </c>
      <c r="T2704" s="5" t="inlineStr">
        <is>
          <t>0</t>
        </is>
      </c>
      <c r="U2704" s="5" t="inlineStr">
        <is>
          <t>OK</t>
        </is>
      </c>
    </row>
    <row r="2705">
      <c r="A2705" s="5" t="inlineStr">
        <is>
          <t>E00185</t>
        </is>
      </c>
      <c r="B2705" s="5" t="inlineStr">
        <is>
          <t>Male</t>
        </is>
      </c>
      <c r="C2705" s="6" t="inlineStr">
        <is>
          <t>37</t>
        </is>
      </c>
      <c r="D2705" s="5" t="inlineStr">
        <is>
          <t>Single</t>
        </is>
      </c>
      <c r="E2705" s="5" t="inlineStr">
        <is>
          <t>High School</t>
        </is>
      </c>
      <c r="F2705" s="5" t="inlineStr">
        <is>
          <t>Human Resources</t>
        </is>
      </c>
      <c r="G2705" s="5" t="inlineStr">
        <is>
          <t>HR Analyst</t>
        </is>
      </c>
      <c r="H2705" s="5" t="inlineStr">
        <is>
          <t>3</t>
        </is>
      </c>
      <c r="I2705" s="5" t="inlineStr">
        <is>
          <t>Delhi</t>
        </is>
      </c>
      <c r="J2705" s="5" t="inlineStr">
        <is>
          <t>Full-Time</t>
        </is>
      </c>
      <c r="K2705" s="7" t="n">
        <v>44010</v>
      </c>
      <c r="L2705" s="7" t="inlineStr"/>
      <c r="M2705" s="5" t="inlineStr">
        <is>
          <t>Yes</t>
        </is>
      </c>
      <c r="N2705" s="5" t="inlineStr"/>
      <c r="O2705" s="8" t="inlineStr">
        <is>
          <t>88500</t>
        </is>
      </c>
      <c r="P2705" s="5" t="inlineStr">
        <is>
          <t>5</t>
        </is>
      </c>
      <c r="Q2705" s="5" t="inlineStr">
        <is>
          <t>5</t>
        </is>
      </c>
      <c r="R2705" s="5" t="inlineStr">
        <is>
          <t>6</t>
        </is>
      </c>
      <c r="S2705" s="5" t="inlineStr">
        <is>
          <t>67</t>
        </is>
      </c>
      <c r="T2705" s="5" t="inlineStr">
        <is>
          <t>0</t>
        </is>
      </c>
      <c r="U2705" s="5" t="inlineStr">
        <is>
          <t>OK</t>
        </is>
      </c>
    </row>
    <row r="2706">
      <c r="A2706" s="5" t="inlineStr">
        <is>
          <t>E01797</t>
        </is>
      </c>
      <c r="B2706" s="5" t="inlineStr">
        <is>
          <t>Female</t>
        </is>
      </c>
      <c r="C2706" s="6" t="inlineStr">
        <is>
          <t>28</t>
        </is>
      </c>
      <c r="D2706" s="5" t="inlineStr">
        <is>
          <t>Single</t>
        </is>
      </c>
      <c r="E2706" s="5" t="inlineStr">
        <is>
          <t>High School</t>
        </is>
      </c>
      <c r="F2706" s="5" t="inlineStr">
        <is>
          <t>Marketing</t>
        </is>
      </c>
      <c r="G2706" s="5" t="inlineStr">
        <is>
          <t>Marketing Analyst</t>
        </is>
      </c>
      <c r="H2706" s="5" t="inlineStr">
        <is>
          <t>2</t>
        </is>
      </c>
      <c r="I2706" s="5" t="inlineStr">
        <is>
          <t>Delhi</t>
        </is>
      </c>
      <c r="J2706" s="5" t="inlineStr">
        <is>
          <t>Full-Time</t>
        </is>
      </c>
      <c r="K2706" s="7" t="n">
        <v>45527</v>
      </c>
      <c r="L2706" s="7" t="inlineStr"/>
      <c r="M2706" s="5" t="inlineStr">
        <is>
          <t>Yes</t>
        </is>
      </c>
      <c r="N2706" s="5" t="inlineStr"/>
      <c r="O2706" s="8" t="inlineStr">
        <is>
          <t>58500</t>
        </is>
      </c>
      <c r="P2706" s="5" t="inlineStr">
        <is>
          <t>5</t>
        </is>
      </c>
      <c r="Q2706" s="5" t="inlineStr">
        <is>
          <t>4</t>
        </is>
      </c>
      <c r="R2706" s="5" t="inlineStr">
        <is>
          <t>4</t>
        </is>
      </c>
      <c r="S2706" s="5" t="inlineStr">
        <is>
          <t>16</t>
        </is>
      </c>
      <c r="T2706" s="5" t="inlineStr">
        <is>
          <t>10</t>
        </is>
      </c>
      <c r="U2706" s="5" t="inlineStr">
        <is>
          <t>OK</t>
        </is>
      </c>
    </row>
    <row r="2707">
      <c r="A2707" s="5" t="inlineStr">
        <is>
          <t>E00584</t>
        </is>
      </c>
      <c r="B2707" s="5" t="inlineStr">
        <is>
          <t>Male</t>
        </is>
      </c>
      <c r="C2707" s="6" t="inlineStr">
        <is>
          <t>39</t>
        </is>
      </c>
      <c r="D2707" s="5" t="inlineStr">
        <is>
          <t>Single</t>
        </is>
      </c>
      <c r="E2707" s="5" t="inlineStr">
        <is>
          <t>Diploma</t>
        </is>
      </c>
      <c r="F2707" s="5" t="inlineStr">
        <is>
          <t>Customer Support</t>
        </is>
      </c>
      <c r="G2707" s="5" t="inlineStr">
        <is>
          <t>Escalation Specialist</t>
        </is>
      </c>
      <c r="H2707" s="5" t="inlineStr">
        <is>
          <t>4</t>
        </is>
      </c>
      <c r="I2707" s="5" t="inlineStr">
        <is>
          <t>Hyderabad</t>
        </is>
      </c>
      <c r="J2707" s="5" t="inlineStr">
        <is>
          <t>Full-Time</t>
        </is>
      </c>
      <c r="K2707" s="7" t="n">
        <v>44657</v>
      </c>
      <c r="L2707" s="7" t="n">
        <v>44767</v>
      </c>
      <c r="M2707" s="5" t="inlineStr">
        <is>
          <t>No</t>
        </is>
      </c>
      <c r="N2707" s="5" t="inlineStr">
        <is>
          <t>Resigned</t>
        </is>
      </c>
      <c r="O2707" s="8" t="inlineStr">
        <is>
          <t>59500</t>
        </is>
      </c>
      <c r="P2707" s="5" t="inlineStr">
        <is>
          <t>15</t>
        </is>
      </c>
      <c r="Q2707" s="5" t="inlineStr">
        <is>
          <t>4</t>
        </is>
      </c>
      <c r="R2707" s="5" t="inlineStr">
        <is>
          <t>6</t>
        </is>
      </c>
      <c r="S2707" s="5" t="inlineStr">
        <is>
          <t>3</t>
        </is>
      </c>
      <c r="T2707" s="5" t="inlineStr">
        <is>
          <t>12</t>
        </is>
      </c>
      <c r="U2707" s="5" t="inlineStr">
        <is>
          <t>OK</t>
        </is>
      </c>
    </row>
    <row r="2708">
      <c r="A2708" s="5" t="inlineStr">
        <is>
          <t>E02358</t>
        </is>
      </c>
      <c r="B2708" s="5" t="inlineStr">
        <is>
          <t>Male</t>
        </is>
      </c>
      <c r="C2708" s="6" t="inlineStr">
        <is>
          <t>35</t>
        </is>
      </c>
      <c r="D2708" s="5" t="inlineStr">
        <is>
          <t>Married</t>
        </is>
      </c>
      <c r="E2708" s="5" t="inlineStr">
        <is>
          <t>Master</t>
        </is>
      </c>
      <c r="F2708" s="5" t="inlineStr">
        <is>
          <t>Human Resources</t>
        </is>
      </c>
      <c r="G2708" s="5" t="inlineStr">
        <is>
          <t>Recruiter</t>
        </is>
      </c>
      <c r="H2708" s="5" t="inlineStr">
        <is>
          <t>3</t>
        </is>
      </c>
      <c r="I2708" s="5" t="inlineStr">
        <is>
          <t>Remote</t>
        </is>
      </c>
      <c r="J2708" s="5" t="inlineStr">
        <is>
          <t>Contract</t>
        </is>
      </c>
      <c r="K2708" s="7" t="n">
        <v>45486</v>
      </c>
      <c r="L2708" s="7" t="inlineStr"/>
      <c r="M2708" s="5" t="inlineStr">
        <is>
          <t>Yes</t>
        </is>
      </c>
      <c r="N2708" s="5" t="inlineStr"/>
      <c r="O2708" s="8" t="inlineStr">
        <is>
          <t>107500</t>
        </is>
      </c>
      <c r="P2708" s="5" t="inlineStr">
        <is>
          <t>10</t>
        </is>
      </c>
      <c r="Q2708" s="5" t="inlineStr">
        <is>
          <t>3</t>
        </is>
      </c>
      <c r="R2708" s="5" t="inlineStr">
        <is>
          <t>5</t>
        </is>
      </c>
      <c r="S2708" s="5" t="inlineStr">
        <is>
          <t>17</t>
        </is>
      </c>
      <c r="T2708" s="5" t="inlineStr">
        <is>
          <t>0</t>
        </is>
      </c>
      <c r="U2708" s="5" t="inlineStr">
        <is>
          <t>OK</t>
        </is>
      </c>
    </row>
    <row r="2709">
      <c r="A2709" s="5" t="inlineStr">
        <is>
          <t>E01274</t>
        </is>
      </c>
      <c r="B2709" s="5" t="inlineStr">
        <is>
          <t>Male</t>
        </is>
      </c>
      <c r="C2709" s="6" t="inlineStr">
        <is>
          <t>36</t>
        </is>
      </c>
      <c r="D2709" s="5" t="inlineStr">
        <is>
          <t>Married</t>
        </is>
      </c>
      <c r="E2709" s="5" t="inlineStr">
        <is>
          <t>Master</t>
        </is>
      </c>
      <c r="F2709" s="5" t="inlineStr">
        <is>
          <t>Operations</t>
        </is>
      </c>
      <c r="G2709" s="5" t="inlineStr">
        <is>
          <t>Logistics Coordinator</t>
        </is>
      </c>
      <c r="H2709" s="5" t="inlineStr">
        <is>
          <t>4</t>
        </is>
      </c>
      <c r="I2709" s="5" t="inlineStr">
        <is>
          <t>Remote</t>
        </is>
      </c>
      <c r="J2709" s="5" t="inlineStr">
        <is>
          <t>Full-Time</t>
        </is>
      </c>
      <c r="K2709" s="7" t="n">
        <v>44200</v>
      </c>
      <c r="L2709" s="7" t="inlineStr"/>
      <c r="M2709" s="5" t="inlineStr">
        <is>
          <t>Yes</t>
        </is>
      </c>
      <c r="N2709" s="5" t="inlineStr"/>
      <c r="O2709" s="8" t="inlineStr">
        <is>
          <t>128500</t>
        </is>
      </c>
      <c r="P2709" s="5" t="inlineStr">
        <is>
          <t>0</t>
        </is>
      </c>
      <c r="Q2709" s="5" t="inlineStr">
        <is>
          <t>3</t>
        </is>
      </c>
      <c r="R2709" s="5" t="inlineStr">
        <is>
          <t>10</t>
        </is>
      </c>
      <c r="S2709" s="5" t="inlineStr">
        <is>
          <t>60</t>
        </is>
      </c>
      <c r="T2709" s="5" t="inlineStr">
        <is>
          <t>6</t>
        </is>
      </c>
      <c r="U2709" s="5" t="inlineStr">
        <is>
          <t>OK</t>
        </is>
      </c>
    </row>
    <row r="2710">
      <c r="A2710" s="5" t="inlineStr">
        <is>
          <t>E02963</t>
        </is>
      </c>
      <c r="B2710" s="5" t="inlineStr">
        <is>
          <t>Female</t>
        </is>
      </c>
      <c r="C2710" s="6" t="inlineStr">
        <is>
          <t>33</t>
        </is>
      </c>
      <c r="D2710" s="5" t="inlineStr">
        <is>
          <t>Married</t>
        </is>
      </c>
      <c r="E2710" s="5" t="inlineStr">
        <is>
          <t>Bachelor</t>
        </is>
      </c>
      <c r="F2710" s="5" t="inlineStr">
        <is>
          <t>Human Resources</t>
        </is>
      </c>
      <c r="G2710" s="5" t="inlineStr">
        <is>
          <t>HR Generalist</t>
        </is>
      </c>
      <c r="H2710" s="5" t="inlineStr">
        <is>
          <t>3</t>
        </is>
      </c>
      <c r="I2710" s="5" t="inlineStr">
        <is>
          <t>Remote</t>
        </is>
      </c>
      <c r="J2710" s="5" t="inlineStr">
        <is>
          <t>Full-Time</t>
        </is>
      </c>
      <c r="K2710" s="7" t="n">
        <v>45016</v>
      </c>
      <c r="L2710" s="7" t="inlineStr"/>
      <c r="M2710" s="5" t="inlineStr">
        <is>
          <t>Yes</t>
        </is>
      </c>
      <c r="N2710" s="5" t="inlineStr"/>
      <c r="O2710" s="8" t="inlineStr">
        <is>
          <t>111500</t>
        </is>
      </c>
      <c r="P2710" s="5" t="inlineStr">
        <is>
          <t>5</t>
        </is>
      </c>
      <c r="Q2710" s="5" t="inlineStr">
        <is>
          <t>3</t>
        </is>
      </c>
      <c r="R2710" s="5" t="inlineStr">
        <is>
          <t>4</t>
        </is>
      </c>
      <c r="S2710" s="5" t="inlineStr">
        <is>
          <t>33</t>
        </is>
      </c>
      <c r="T2710" s="5" t="inlineStr">
        <is>
          <t>9</t>
        </is>
      </c>
      <c r="U2710" s="5" t="inlineStr">
        <is>
          <t>OK</t>
        </is>
      </c>
    </row>
    <row r="2711">
      <c r="A2711" s="5" t="inlineStr">
        <is>
          <t>E01435</t>
        </is>
      </c>
      <c r="B2711" s="5" t="inlineStr">
        <is>
          <t>Female</t>
        </is>
      </c>
      <c r="C2711" s="6" t="inlineStr">
        <is>
          <t>38</t>
        </is>
      </c>
      <c r="D2711" s="5" t="inlineStr">
        <is>
          <t>Single</t>
        </is>
      </c>
      <c r="E2711" s="5" t="inlineStr">
        <is>
          <t>Master</t>
        </is>
      </c>
      <c r="F2711" s="5" t="inlineStr">
        <is>
          <t>Sales</t>
        </is>
      </c>
      <c r="G2711" s="5" t="inlineStr">
        <is>
          <t>Sales Executive</t>
        </is>
      </c>
      <c r="H2711" s="5" t="inlineStr">
        <is>
          <t>6</t>
        </is>
      </c>
      <c r="I2711" s="5" t="inlineStr">
        <is>
          <t>Bengaluru</t>
        </is>
      </c>
      <c r="J2711" s="5" t="inlineStr">
        <is>
          <t>Full-Time</t>
        </is>
      </c>
      <c r="K2711" s="7" t="n">
        <v>45206</v>
      </c>
      <c r="L2711" s="7" t="inlineStr"/>
      <c r="M2711" s="5" t="inlineStr">
        <is>
          <t>Yes</t>
        </is>
      </c>
      <c r="N2711" s="5" t="inlineStr"/>
      <c r="O2711" s="8" t="inlineStr">
        <is>
          <t>167000</t>
        </is>
      </c>
      <c r="P2711" s="5" t="inlineStr">
        <is>
          <t>15</t>
        </is>
      </c>
      <c r="Q2711" s="5" t="inlineStr">
        <is>
          <t>4</t>
        </is>
      </c>
      <c r="R2711" s="5" t="inlineStr">
        <is>
          <t>5</t>
        </is>
      </c>
      <c r="S2711" s="5" t="inlineStr">
        <is>
          <t>27</t>
        </is>
      </c>
      <c r="T2711" s="5" t="inlineStr">
        <is>
          <t>2</t>
        </is>
      </c>
      <c r="U2711" s="5" t="inlineStr">
        <is>
          <t>OK</t>
        </is>
      </c>
    </row>
    <row r="2712">
      <c r="A2712" s="5" t="inlineStr">
        <is>
          <t>E01434</t>
        </is>
      </c>
      <c r="B2712" s="5" t="inlineStr">
        <is>
          <t>Female</t>
        </is>
      </c>
      <c r="C2712" s="6" t="inlineStr">
        <is>
          <t>26</t>
        </is>
      </c>
      <c r="D2712" s="5" t="inlineStr">
        <is>
          <t>Married</t>
        </is>
      </c>
      <c r="E2712" s="5" t="inlineStr">
        <is>
          <t>PhD</t>
        </is>
      </c>
      <c r="F2712" s="5" t="inlineStr">
        <is>
          <t>Human Resources</t>
        </is>
      </c>
      <c r="G2712" s="5" t="inlineStr">
        <is>
          <t>Recruiter</t>
        </is>
      </c>
      <c r="H2712" s="5" t="inlineStr">
        <is>
          <t>1</t>
        </is>
      </c>
      <c r="I2712" s="5" t="inlineStr">
        <is>
          <t>Bengaluru</t>
        </is>
      </c>
      <c r="J2712" s="5" t="inlineStr">
        <is>
          <t>Full-Time</t>
        </is>
      </c>
      <c r="K2712" s="7" t="n">
        <v>45143</v>
      </c>
      <c r="L2712" s="7" t="inlineStr"/>
      <c r="M2712" s="5" t="inlineStr">
        <is>
          <t>Yes</t>
        </is>
      </c>
      <c r="N2712" s="5" t="inlineStr"/>
      <c r="O2712" s="8" t="inlineStr">
        <is>
          <t>96000</t>
        </is>
      </c>
      <c r="P2712" s="5" t="inlineStr">
        <is>
          <t>0</t>
        </is>
      </c>
      <c r="Q2712" s="5" t="inlineStr">
        <is>
          <t>4</t>
        </is>
      </c>
      <c r="R2712" s="5" t="inlineStr">
        <is>
          <t>8</t>
        </is>
      </c>
      <c r="S2712" s="5" t="inlineStr">
        <is>
          <t>29</t>
        </is>
      </c>
      <c r="T2712" s="5" t="inlineStr">
        <is>
          <t>0</t>
        </is>
      </c>
      <c r="U2712" s="5" t="inlineStr">
        <is>
          <t>OK</t>
        </is>
      </c>
    </row>
    <row r="2713">
      <c r="A2713" s="5" t="inlineStr">
        <is>
          <t>E01868</t>
        </is>
      </c>
      <c r="B2713" s="5" t="inlineStr">
        <is>
          <t>Male</t>
        </is>
      </c>
      <c r="C2713" s="6" t="inlineStr">
        <is>
          <t>29</t>
        </is>
      </c>
      <c r="D2713" s="5" t="inlineStr">
        <is>
          <t>Married</t>
        </is>
      </c>
      <c r="E2713" s="5" t="inlineStr">
        <is>
          <t>High School</t>
        </is>
      </c>
      <c r="F2713" s="5" t="inlineStr">
        <is>
          <t>IT</t>
        </is>
      </c>
      <c r="G2713" s="5" t="inlineStr">
        <is>
          <t>Software Engineer</t>
        </is>
      </c>
      <c r="H2713" s="5" t="inlineStr">
        <is>
          <t>4</t>
        </is>
      </c>
      <c r="I2713" s="5" t="inlineStr">
        <is>
          <t>Mumbai</t>
        </is>
      </c>
      <c r="J2713" s="5" t="inlineStr">
        <is>
          <t>Full-Time</t>
        </is>
      </c>
      <c r="K2713" s="7" t="n">
        <v>45924</v>
      </c>
      <c r="L2713" s="7" t="inlineStr"/>
      <c r="M2713" s="5" t="inlineStr">
        <is>
          <t>Yes</t>
        </is>
      </c>
      <c r="N2713" s="5" t="inlineStr"/>
      <c r="O2713" s="8" t="inlineStr">
        <is>
          <t>173000</t>
        </is>
      </c>
      <c r="P2713" s="5" t="inlineStr">
        <is>
          <t>0</t>
        </is>
      </c>
      <c r="Q2713" s="5" t="inlineStr">
        <is>
          <t>3</t>
        </is>
      </c>
      <c r="R2713" s="5" t="inlineStr">
        <is>
          <t>7</t>
        </is>
      </c>
      <c r="S2713" s="5" t="inlineStr">
        <is>
          <t>3</t>
        </is>
      </c>
      <c r="T2713" s="5" t="inlineStr">
        <is>
          <t>6</t>
        </is>
      </c>
      <c r="U2713" s="5" t="inlineStr">
        <is>
          <t>OK</t>
        </is>
      </c>
    </row>
    <row r="2714">
      <c r="A2714" s="5" t="inlineStr">
        <is>
          <t>E01162</t>
        </is>
      </c>
      <c r="B2714" s="5" t="inlineStr">
        <is>
          <t>Female</t>
        </is>
      </c>
      <c r="C2714" s="6" t="inlineStr">
        <is>
          <t>37</t>
        </is>
      </c>
      <c r="D2714" s="5" t="inlineStr">
        <is>
          <t>Married</t>
        </is>
      </c>
      <c r="E2714" s="5" t="inlineStr">
        <is>
          <t>High School</t>
        </is>
      </c>
      <c r="F2714" s="5" t="inlineStr">
        <is>
          <t>Customer Support</t>
        </is>
      </c>
      <c r="G2714" s="5" t="inlineStr">
        <is>
          <t>Support Agent</t>
        </is>
      </c>
      <c r="H2714" s="5" t="inlineStr">
        <is>
          <t>5</t>
        </is>
      </c>
      <c r="I2714" s="5" t="inlineStr">
        <is>
          <t>Hyderabad</t>
        </is>
      </c>
      <c r="J2714" s="5" t="inlineStr">
        <is>
          <t>Full-Time</t>
        </is>
      </c>
      <c r="K2714" s="7" t="n">
        <v>44448</v>
      </c>
      <c r="L2714" s="7" t="n">
        <v>44498</v>
      </c>
      <c r="M2714" s="5" t="inlineStr">
        <is>
          <t>No</t>
        </is>
      </c>
      <c r="N2714" s="5" t="inlineStr">
        <is>
          <t>Resigned</t>
        </is>
      </c>
      <c r="O2714" s="8" t="inlineStr">
        <is>
          <t>91500</t>
        </is>
      </c>
      <c r="P2714" s="5" t="inlineStr">
        <is>
          <t>0</t>
        </is>
      </c>
      <c r="Q2714" s="5" t="inlineStr">
        <is>
          <t>4</t>
        </is>
      </c>
      <c r="R2714" s="5" t="inlineStr">
        <is>
          <t>7</t>
        </is>
      </c>
      <c r="S2714" s="5" t="inlineStr">
        <is>
          <t>1</t>
        </is>
      </c>
      <c r="T2714" s="5" t="inlineStr">
        <is>
          <t>0</t>
        </is>
      </c>
      <c r="U2714" s="5" t="inlineStr">
        <is>
          <t>OK</t>
        </is>
      </c>
    </row>
    <row r="2715">
      <c r="A2715" s="5" t="inlineStr">
        <is>
          <t>E01167</t>
        </is>
      </c>
      <c r="B2715" s="5" t="inlineStr">
        <is>
          <t>Female</t>
        </is>
      </c>
      <c r="C2715" s="6" t="inlineStr">
        <is>
          <t>30</t>
        </is>
      </c>
      <c r="D2715" s="5" t="inlineStr">
        <is>
          <t>Married</t>
        </is>
      </c>
      <c r="E2715" s="5" t="inlineStr">
        <is>
          <t>High School</t>
        </is>
      </c>
      <c r="F2715" s="5" t="inlineStr">
        <is>
          <t>Operations</t>
        </is>
      </c>
      <c r="G2715" s="5" t="inlineStr">
        <is>
          <t>Quality Analyst</t>
        </is>
      </c>
      <c r="H2715" s="5" t="inlineStr">
        <is>
          <t>1</t>
        </is>
      </c>
      <c r="I2715" s="5" t="inlineStr">
        <is>
          <t>Bengaluru</t>
        </is>
      </c>
      <c r="J2715" s="5" t="inlineStr">
        <is>
          <t>Full-Time</t>
        </is>
      </c>
      <c r="K2715" s="7" t="n">
        <v>44824</v>
      </c>
      <c r="L2715" s="7" t="n">
        <v>44946</v>
      </c>
      <c r="M2715" s="5" t="inlineStr">
        <is>
          <t>No</t>
        </is>
      </c>
      <c r="N2715" s="5" t="inlineStr">
        <is>
          <t>Resigned</t>
        </is>
      </c>
      <c r="O2715" s="8" t="inlineStr">
        <is>
          <t>63000</t>
        </is>
      </c>
      <c r="P2715" s="5" t="inlineStr">
        <is>
          <t>10</t>
        </is>
      </c>
      <c r="Q2715" s="5" t="inlineStr">
        <is>
          <t>5</t>
        </is>
      </c>
      <c r="R2715" s="5" t="inlineStr">
        <is>
          <t>6</t>
        </is>
      </c>
      <c r="S2715" s="5" t="inlineStr">
        <is>
          <t>4</t>
        </is>
      </c>
      <c r="T2715" s="5" t="inlineStr">
        <is>
          <t>8</t>
        </is>
      </c>
      <c r="U2715" s="5" t="inlineStr">
        <is>
          <t>OK</t>
        </is>
      </c>
    </row>
    <row r="2716">
      <c r="A2716" s="5" t="inlineStr">
        <is>
          <t>E02626</t>
        </is>
      </c>
      <c r="B2716" s="5" t="inlineStr">
        <is>
          <t>Male</t>
        </is>
      </c>
      <c r="C2716" s="6" t="inlineStr">
        <is>
          <t>33</t>
        </is>
      </c>
      <c r="D2716" s="5" t="inlineStr">
        <is>
          <t>Divorced</t>
        </is>
      </c>
      <c r="E2716" s="5" t="inlineStr">
        <is>
          <t>Bachelor</t>
        </is>
      </c>
      <c r="F2716" s="5" t="inlineStr">
        <is>
          <t>Customer Support</t>
        </is>
      </c>
      <c r="G2716" s="5" t="inlineStr">
        <is>
          <t>Support Agent</t>
        </is>
      </c>
      <c r="H2716" s="5" t="inlineStr">
        <is>
          <t>2</t>
        </is>
      </c>
      <c r="I2716" s="5" t="inlineStr">
        <is>
          <t>Chennai</t>
        </is>
      </c>
      <c r="J2716" s="5" t="inlineStr">
        <is>
          <t>Full-Time</t>
        </is>
      </c>
      <c r="K2716" s="7" t="n">
        <v>44998</v>
      </c>
      <c r="L2716" s="7" t="inlineStr"/>
      <c r="M2716" s="5" t="inlineStr">
        <is>
          <t>Yes</t>
        </is>
      </c>
      <c r="N2716" s="5" t="inlineStr"/>
      <c r="O2716" s="8" t="inlineStr">
        <is>
          <t>57500</t>
        </is>
      </c>
      <c r="P2716" s="5" t="inlineStr">
        <is>
          <t>0</t>
        </is>
      </c>
      <c r="Q2716" s="5" t="inlineStr">
        <is>
          <t>4</t>
        </is>
      </c>
      <c r="R2716" s="5" t="inlineStr">
        <is>
          <t>8</t>
        </is>
      </c>
      <c r="S2716" s="5" t="inlineStr">
        <is>
          <t>34</t>
        </is>
      </c>
      <c r="T2716" s="5" t="inlineStr">
        <is>
          <t>0</t>
        </is>
      </c>
      <c r="U2716" s="5" t="inlineStr">
        <is>
          <t>OK</t>
        </is>
      </c>
    </row>
    <row r="2717">
      <c r="A2717" s="5" t="inlineStr">
        <is>
          <t>E01570</t>
        </is>
      </c>
      <c r="B2717" s="5" t="inlineStr">
        <is>
          <t>Male</t>
        </is>
      </c>
      <c r="C2717" s="6" t="inlineStr">
        <is>
          <t>23</t>
        </is>
      </c>
      <c r="D2717" s="5" t="inlineStr">
        <is>
          <t>Married</t>
        </is>
      </c>
      <c r="E2717" s="5" t="inlineStr">
        <is>
          <t>Diploma</t>
        </is>
      </c>
      <c r="F2717" s="5" t="inlineStr">
        <is>
          <t>Marketing</t>
        </is>
      </c>
      <c r="G2717" s="5" t="inlineStr">
        <is>
          <t>SEO Specialist</t>
        </is>
      </c>
      <c r="H2717" s="5" t="inlineStr">
        <is>
          <t>1</t>
        </is>
      </c>
      <c r="I2717" s="5" t="inlineStr">
        <is>
          <t>Bengaluru</t>
        </is>
      </c>
      <c r="J2717" s="5" t="inlineStr">
        <is>
          <t>Full-Time</t>
        </is>
      </c>
      <c r="K2717" s="7" t="n">
        <v>45374</v>
      </c>
      <c r="L2717" s="7" t="inlineStr"/>
      <c r="M2717" s="5" t="inlineStr">
        <is>
          <t>Yes</t>
        </is>
      </c>
      <c r="N2717" s="5" t="inlineStr"/>
      <c r="O2717" s="8" t="inlineStr">
        <is>
          <t>61500</t>
        </is>
      </c>
      <c r="P2717" s="5" t="inlineStr">
        <is>
          <t>10</t>
        </is>
      </c>
      <c r="Q2717" s="5" t="inlineStr">
        <is>
          <t>2</t>
        </is>
      </c>
      <c r="R2717" s="5" t="inlineStr">
        <is>
          <t>7</t>
        </is>
      </c>
      <c r="S2717" s="5" t="inlineStr">
        <is>
          <t>21</t>
        </is>
      </c>
      <c r="T2717" s="5" t="inlineStr">
        <is>
          <t>13</t>
        </is>
      </c>
      <c r="U2717" s="5" t="inlineStr">
        <is>
          <t>OK</t>
        </is>
      </c>
    </row>
    <row r="2718">
      <c r="A2718" s="5" t="inlineStr">
        <is>
          <t>E02248</t>
        </is>
      </c>
      <c r="B2718" s="5" t="inlineStr">
        <is>
          <t>Female</t>
        </is>
      </c>
      <c r="C2718" s="6" t="inlineStr">
        <is>
          <t>30</t>
        </is>
      </c>
      <c r="D2718" s="5" t="inlineStr">
        <is>
          <t>Single</t>
        </is>
      </c>
      <c r="E2718" s="5" t="inlineStr">
        <is>
          <t>PhD</t>
        </is>
      </c>
      <c r="F2718" s="5" t="inlineStr">
        <is>
          <t>Sales</t>
        </is>
      </c>
      <c r="G2718" s="5" t="inlineStr">
        <is>
          <t>Account Executive</t>
        </is>
      </c>
      <c r="H2718" s="5" t="inlineStr">
        <is>
          <t>3</t>
        </is>
      </c>
      <c r="I2718" s="5" t="inlineStr">
        <is>
          <t>Mumbai</t>
        </is>
      </c>
      <c r="J2718" s="5" t="inlineStr">
        <is>
          <t>Full-Time</t>
        </is>
      </c>
      <c r="K2718" s="7" t="n">
        <v>45545</v>
      </c>
      <c r="L2718" s="7" t="inlineStr"/>
      <c r="M2718" s="5" t="inlineStr">
        <is>
          <t>Yes</t>
        </is>
      </c>
      <c r="N2718" s="5" t="inlineStr"/>
      <c r="O2718" s="8" t="inlineStr">
        <is>
          <t>96500</t>
        </is>
      </c>
      <c r="P2718" s="5" t="inlineStr">
        <is>
          <t>10</t>
        </is>
      </c>
      <c r="Q2718" s="5" t="inlineStr">
        <is>
          <t>3</t>
        </is>
      </c>
      <c r="R2718" s="5" t="inlineStr">
        <is>
          <t>7</t>
        </is>
      </c>
      <c r="S2718" s="5" t="inlineStr">
        <is>
          <t>15</t>
        </is>
      </c>
      <c r="T2718" s="5" t="inlineStr">
        <is>
          <t>11</t>
        </is>
      </c>
      <c r="U2718" s="5" t="inlineStr">
        <is>
          <t>OK</t>
        </is>
      </c>
    </row>
    <row r="2719">
      <c r="A2719" s="5" t="inlineStr">
        <is>
          <t>E01098</t>
        </is>
      </c>
      <c r="B2719" s="5" t="inlineStr">
        <is>
          <t>female</t>
        </is>
      </c>
      <c r="C2719" s="6" t="inlineStr">
        <is>
          <t>36</t>
        </is>
      </c>
      <c r="D2719" s="5" t="inlineStr">
        <is>
          <t>Married</t>
        </is>
      </c>
      <c r="E2719" s="5" t="inlineStr">
        <is>
          <t>PhD</t>
        </is>
      </c>
      <c r="F2719" s="5" t="inlineStr">
        <is>
          <t>Marketing</t>
        </is>
      </c>
      <c r="G2719" s="5" t="inlineStr">
        <is>
          <t>Content Writer</t>
        </is>
      </c>
      <c r="H2719" s="5" t="inlineStr">
        <is>
          <t>6</t>
        </is>
      </c>
      <c r="I2719" s="5" t="inlineStr">
        <is>
          <t>Mumbai</t>
        </is>
      </c>
      <c r="J2719" s="5" t="inlineStr">
        <is>
          <t>Full-Time</t>
        </is>
      </c>
      <c r="K2719" s="7" t="n">
        <v>45231</v>
      </c>
      <c r="L2719" s="7" t="inlineStr"/>
      <c r="M2719" s="5" t="inlineStr">
        <is>
          <t>Yes</t>
        </is>
      </c>
      <c r="N2719" s="5" t="inlineStr"/>
      <c r="O2719" s="8" t="inlineStr">
        <is>
          <t>106000</t>
        </is>
      </c>
      <c r="P2719" s="5" t="inlineStr">
        <is>
          <t>15</t>
        </is>
      </c>
      <c r="Q2719" s="5" t="inlineStr">
        <is>
          <t>3</t>
        </is>
      </c>
      <c r="R2719" s="5" t="inlineStr">
        <is>
          <t>6</t>
        </is>
      </c>
      <c r="S2719" s="5" t="inlineStr">
        <is>
          <t>26</t>
        </is>
      </c>
      <c r="T2719" s="5" t="inlineStr">
        <is>
          <t>2</t>
        </is>
      </c>
      <c r="U2719" s="5" t="inlineStr">
        <is>
          <t>OK</t>
        </is>
      </c>
    </row>
    <row r="2720">
      <c r="A2720" s="5" t="inlineStr">
        <is>
          <t>E01209</t>
        </is>
      </c>
      <c r="B2720" s="5" t="inlineStr">
        <is>
          <t>Male</t>
        </is>
      </c>
      <c r="C2720" s="6" t="inlineStr">
        <is>
          <t>35</t>
        </is>
      </c>
      <c r="D2720" s="5" t="inlineStr">
        <is>
          <t>Married</t>
        </is>
      </c>
      <c r="E2720" s="5" t="inlineStr">
        <is>
          <t>Bachelor</t>
        </is>
      </c>
      <c r="F2720" s="5" t="inlineStr">
        <is>
          <t>Finance</t>
        </is>
      </c>
      <c r="G2720" s="5" t="inlineStr">
        <is>
          <t>Accountant</t>
        </is>
      </c>
      <c r="H2720" s="5" t="inlineStr">
        <is>
          <t>6</t>
        </is>
      </c>
      <c r="I2720" s="5" t="inlineStr">
        <is>
          <t>Delhi</t>
        </is>
      </c>
      <c r="J2720" s="5" t="inlineStr">
        <is>
          <t>Full-Time</t>
        </is>
      </c>
      <c r="K2720" s="7" t="n">
        <v>44599</v>
      </c>
      <c r="L2720" s="7" t="inlineStr"/>
      <c r="M2720" s="5" t="inlineStr">
        <is>
          <t>Yes</t>
        </is>
      </c>
      <c r="N2720" s="5" t="inlineStr"/>
      <c r="O2720" s="8" t="inlineStr">
        <is>
          <t>177500</t>
        </is>
      </c>
      <c r="P2720" s="5" t="inlineStr">
        <is>
          <t>0</t>
        </is>
      </c>
      <c r="Q2720" s="5" t="inlineStr">
        <is>
          <t>2</t>
        </is>
      </c>
      <c r="R2720" s="5" t="inlineStr">
        <is>
          <t>8</t>
        </is>
      </c>
      <c r="S2720" s="5" t="inlineStr">
        <is>
          <t>47</t>
        </is>
      </c>
      <c r="T2720" s="5" t="inlineStr">
        <is>
          <t>4</t>
        </is>
      </c>
      <c r="U2720" s="5" t="inlineStr">
        <is>
          <t>OK</t>
        </is>
      </c>
    </row>
    <row r="2721">
      <c r="A2721" s="5" t="inlineStr">
        <is>
          <t>E01750</t>
        </is>
      </c>
      <c r="B2721" s="5" t="inlineStr">
        <is>
          <t>Female</t>
        </is>
      </c>
      <c r="C2721" s="6" t="inlineStr">
        <is>
          <t>33</t>
        </is>
      </c>
      <c r="D2721" s="5" t="inlineStr">
        <is>
          <t>Married</t>
        </is>
      </c>
      <c r="E2721" s="5" t="inlineStr">
        <is>
          <t>PhD</t>
        </is>
      </c>
      <c r="F2721" s="5" t="inlineStr">
        <is>
          <t>Operations</t>
        </is>
      </c>
      <c r="G2721" s="5" t="inlineStr">
        <is>
          <t>Quality Analyst</t>
        </is>
      </c>
      <c r="H2721" s="5" t="inlineStr">
        <is>
          <t>4</t>
        </is>
      </c>
      <c r="I2721" s="5" t="inlineStr">
        <is>
          <t>Remote</t>
        </is>
      </c>
      <c r="J2721" s="5" t="inlineStr">
        <is>
          <t>Full-Time</t>
        </is>
      </c>
      <c r="K2721" s="7" t="n">
        <v>45218</v>
      </c>
      <c r="L2721" s="7" t="n">
        <v>45270</v>
      </c>
      <c r="M2721" s="5" t="inlineStr">
        <is>
          <t>No</t>
        </is>
      </c>
      <c r="N2721" s="5" t="inlineStr">
        <is>
          <t>Resigned</t>
        </is>
      </c>
      <c r="O2721" s="8" t="inlineStr">
        <is>
          <t>83500</t>
        </is>
      </c>
      <c r="P2721" s="5" t="inlineStr">
        <is>
          <t>0</t>
        </is>
      </c>
      <c r="Q2721" s="5" t="inlineStr">
        <is>
          <t>5</t>
        </is>
      </c>
      <c r="R2721" s="5" t="inlineStr">
        <is>
          <t>3</t>
        </is>
      </c>
      <c r="S2721" s="5" t="inlineStr">
        <is>
          <t>1</t>
        </is>
      </c>
      <c r="T2721" s="5" t="inlineStr">
        <is>
          <t>0</t>
        </is>
      </c>
      <c r="U2721" s="5" t="inlineStr">
        <is>
          <t>Duplicate</t>
        </is>
      </c>
    </row>
    <row r="2722">
      <c r="A2722" s="5" t="inlineStr">
        <is>
          <t>E02036</t>
        </is>
      </c>
      <c r="B2722" s="5" t="inlineStr">
        <is>
          <t>Male</t>
        </is>
      </c>
      <c r="C2722" s="6" t="inlineStr">
        <is>
          <t>42</t>
        </is>
      </c>
      <c r="D2722" s="5" t="inlineStr">
        <is>
          <t>Married</t>
        </is>
      </c>
      <c r="E2722" s="5" t="inlineStr">
        <is>
          <t>High School</t>
        </is>
      </c>
      <c r="F2722" s="5" t="inlineStr"/>
      <c r="G2722" s="5" t="inlineStr">
        <is>
          <t>Escalation Specialist</t>
        </is>
      </c>
      <c r="H2722" s="5" t="inlineStr">
        <is>
          <t>6</t>
        </is>
      </c>
      <c r="I2722" s="5" t="inlineStr">
        <is>
          <t>Bengaluru</t>
        </is>
      </c>
      <c r="J2722" s="5" t="inlineStr">
        <is>
          <t>Part-Time</t>
        </is>
      </c>
      <c r="K2722" s="7" t="n">
        <v>45389</v>
      </c>
      <c r="L2722" s="7" t="inlineStr"/>
      <c r="M2722" s="5" t="inlineStr">
        <is>
          <t>Yes</t>
        </is>
      </c>
      <c r="N2722" s="5" t="inlineStr"/>
      <c r="O2722" s="8" t="inlineStr">
        <is>
          <t>113500</t>
        </is>
      </c>
      <c r="P2722" s="5" t="inlineStr">
        <is>
          <t>5</t>
        </is>
      </c>
      <c r="Q2722" s="5" t="inlineStr">
        <is>
          <t>5</t>
        </is>
      </c>
      <c r="R2722" s="5" t="inlineStr">
        <is>
          <t>4</t>
        </is>
      </c>
      <c r="S2722" s="5" t="inlineStr">
        <is>
          <t>21</t>
        </is>
      </c>
      <c r="T2722" s="5" t="inlineStr">
        <is>
          <t>9</t>
        </is>
      </c>
      <c r="U2722" s="5" t="inlineStr">
        <is>
          <t>Blank department</t>
        </is>
      </c>
    </row>
    <row r="2723">
      <c r="A2723" s="5" t="inlineStr">
        <is>
          <t>E02452</t>
        </is>
      </c>
      <c r="B2723" s="5" t="inlineStr">
        <is>
          <t>Male</t>
        </is>
      </c>
      <c r="C2723" s="6" t="inlineStr">
        <is>
          <t>30</t>
        </is>
      </c>
      <c r="D2723" s="5" t="inlineStr">
        <is>
          <t>Married</t>
        </is>
      </c>
      <c r="E2723" s="5" t="inlineStr">
        <is>
          <t>PhD</t>
        </is>
      </c>
      <c r="F2723" s="5" t="inlineStr">
        <is>
          <t>IT</t>
        </is>
      </c>
      <c r="G2723" s="5" t="inlineStr">
        <is>
          <t>Data Analyst</t>
        </is>
      </c>
      <c r="H2723" s="5" t="inlineStr">
        <is>
          <t>1</t>
        </is>
      </c>
      <c r="I2723" s="5" t="inlineStr">
        <is>
          <t>Bengaluru</t>
        </is>
      </c>
      <c r="J2723" s="5" t="inlineStr">
        <is>
          <t>Full-Time</t>
        </is>
      </c>
      <c r="K2723" s="7" t="n">
        <v>43873</v>
      </c>
      <c r="L2723" s="7" t="inlineStr"/>
      <c r="M2723" s="5" t="inlineStr">
        <is>
          <t>Yes</t>
        </is>
      </c>
      <c r="N2723" s="5" t="inlineStr"/>
      <c r="O2723" s="8" t="inlineStr">
        <is>
          <t>120000</t>
        </is>
      </c>
      <c r="P2723" s="5" t="inlineStr">
        <is>
          <t>10</t>
        </is>
      </c>
      <c r="Q2723" s="5" t="inlineStr">
        <is>
          <t>4</t>
        </is>
      </c>
      <c r="R2723" s="5" t="inlineStr">
        <is>
          <t>4</t>
        </is>
      </c>
      <c r="S2723" s="5" t="inlineStr">
        <is>
          <t>71</t>
        </is>
      </c>
      <c r="T2723" s="5" t="inlineStr">
        <is>
          <t>12</t>
        </is>
      </c>
      <c r="U2723" s="5" t="inlineStr">
        <is>
          <t>OK</t>
        </is>
      </c>
    </row>
    <row r="2724">
      <c r="A2724" s="5" t="inlineStr">
        <is>
          <t>E02224</t>
        </is>
      </c>
      <c r="B2724" s="5" t="inlineStr">
        <is>
          <t>Female</t>
        </is>
      </c>
      <c r="C2724" s="6" t="inlineStr">
        <is>
          <t>29</t>
        </is>
      </c>
      <c r="D2724" s="5" t="inlineStr">
        <is>
          <t>Single</t>
        </is>
      </c>
      <c r="E2724" s="5" t="inlineStr">
        <is>
          <t>Master</t>
        </is>
      </c>
      <c r="F2724" s="5" t="inlineStr"/>
      <c r="G2724" s="5" t="inlineStr">
        <is>
          <t>Support Agent</t>
        </is>
      </c>
      <c r="H2724" s="5" t="inlineStr">
        <is>
          <t>1</t>
        </is>
      </c>
      <c r="I2724" s="5" t="inlineStr">
        <is>
          <t>Mumbai</t>
        </is>
      </c>
      <c r="J2724" s="5" t="inlineStr">
        <is>
          <t>Full-Time</t>
        </is>
      </c>
      <c r="K2724" s="7" t="n">
        <v>44441</v>
      </c>
      <c r="L2724" s="7" t="n">
        <v>44580</v>
      </c>
      <c r="M2724" s="5" t="inlineStr">
        <is>
          <t>No</t>
        </is>
      </c>
      <c r="N2724" s="5" t="inlineStr">
        <is>
          <t>Performance / Termination</t>
        </is>
      </c>
      <c r="O2724" s="8" t="inlineStr">
        <is>
          <t>50000</t>
        </is>
      </c>
      <c r="P2724" s="5" t="inlineStr">
        <is>
          <t>20</t>
        </is>
      </c>
      <c r="Q2724" s="5" t="inlineStr">
        <is>
          <t>5</t>
        </is>
      </c>
      <c r="R2724" s="5" t="inlineStr">
        <is>
          <t>4</t>
        </is>
      </c>
      <c r="S2724" s="5" t="inlineStr">
        <is>
          <t>4</t>
        </is>
      </c>
      <c r="T2724" s="5" t="inlineStr">
        <is>
          <t>10</t>
        </is>
      </c>
      <c r="U2724" s="5" t="inlineStr">
        <is>
          <t>Blank department</t>
        </is>
      </c>
    </row>
    <row r="2725">
      <c r="A2725" s="5" t="inlineStr">
        <is>
          <t>E01577</t>
        </is>
      </c>
      <c r="B2725" s="5" t="inlineStr">
        <is>
          <t>Female</t>
        </is>
      </c>
      <c r="C2725" s="6" t="inlineStr">
        <is>
          <t>35</t>
        </is>
      </c>
      <c r="D2725" s="5" t="inlineStr">
        <is>
          <t>Married</t>
        </is>
      </c>
      <c r="E2725" s="5" t="inlineStr">
        <is>
          <t>Master</t>
        </is>
      </c>
      <c r="F2725" s="5" t="inlineStr">
        <is>
          <t>Marketing</t>
        </is>
      </c>
      <c r="G2725" s="5" t="inlineStr">
        <is>
          <t>Marketing Analyst</t>
        </is>
      </c>
      <c r="H2725" s="5" t="inlineStr">
        <is>
          <t>7</t>
        </is>
      </c>
      <c r="I2725" s="5" t="inlineStr">
        <is>
          <t>Mumbai</t>
        </is>
      </c>
      <c r="J2725" s="5" t="inlineStr">
        <is>
          <t>Full-Time</t>
        </is>
      </c>
      <c r="K2725" s="7" t="n">
        <v>44262</v>
      </c>
      <c r="L2725" s="7" t="inlineStr"/>
      <c r="M2725" s="5" t="inlineStr">
        <is>
          <t>Yes</t>
        </is>
      </c>
      <c r="N2725" s="5" t="inlineStr"/>
      <c r="O2725" s="8" t="inlineStr">
        <is>
          <t>129000</t>
        </is>
      </c>
      <c r="P2725" s="5" t="inlineStr">
        <is>
          <t>0</t>
        </is>
      </c>
      <c r="Q2725" s="5" t="inlineStr">
        <is>
          <t>3</t>
        </is>
      </c>
      <c r="R2725" s="5" t="inlineStr">
        <is>
          <t>6</t>
        </is>
      </c>
      <c r="S2725" s="5" t="inlineStr">
        <is>
          <t>58</t>
        </is>
      </c>
      <c r="T2725" s="5" t="inlineStr">
        <is>
          <t>6</t>
        </is>
      </c>
      <c r="U2725" s="5" t="inlineStr">
        <is>
          <t>OK</t>
        </is>
      </c>
    </row>
    <row r="2726">
      <c r="A2726" s="5" t="inlineStr">
        <is>
          <t>E02544</t>
        </is>
      </c>
      <c r="B2726" s="5" t="inlineStr">
        <is>
          <t>Female</t>
        </is>
      </c>
      <c r="C2726" s="6" t="inlineStr">
        <is>
          <t>36</t>
        </is>
      </c>
      <c r="D2726" s="5" t="inlineStr">
        <is>
          <t>Married</t>
        </is>
      </c>
      <c r="E2726" s="5" t="inlineStr">
        <is>
          <t>Master</t>
        </is>
      </c>
      <c r="F2726" s="5" t="inlineStr">
        <is>
          <t>IT</t>
        </is>
      </c>
      <c r="G2726" s="5" t="inlineStr">
        <is>
          <t>Software Engineer</t>
        </is>
      </c>
      <c r="H2726" s="5" t="inlineStr">
        <is>
          <t>4</t>
        </is>
      </c>
      <c r="I2726" s="5" t="inlineStr">
        <is>
          <t>Delhi</t>
        </is>
      </c>
      <c r="J2726" s="5" t="inlineStr">
        <is>
          <t>Contract</t>
        </is>
      </c>
      <c r="K2726" s="7" t="n">
        <v>44544</v>
      </c>
      <c r="L2726" s="7" t="inlineStr"/>
      <c r="M2726" s="5" t="inlineStr">
        <is>
          <t>Yes</t>
        </is>
      </c>
      <c r="N2726" s="5" t="inlineStr"/>
      <c r="O2726" s="8" t="inlineStr">
        <is>
          <t>166000</t>
        </is>
      </c>
      <c r="P2726" s="5" t="inlineStr">
        <is>
          <t>0</t>
        </is>
      </c>
      <c r="Q2726" s="5" t="inlineStr">
        <is>
          <t>2</t>
        </is>
      </c>
      <c r="R2726" s="5" t="inlineStr">
        <is>
          <t>8</t>
        </is>
      </c>
      <c r="S2726" s="5" t="inlineStr">
        <is>
          <t>49</t>
        </is>
      </c>
      <c r="T2726" s="5" t="inlineStr">
        <is>
          <t>15</t>
        </is>
      </c>
      <c r="U2726" s="5" t="inlineStr">
        <is>
          <t>OK</t>
        </is>
      </c>
    </row>
    <row r="2727">
      <c r="A2727" s="5" t="inlineStr">
        <is>
          <t>E02534</t>
        </is>
      </c>
      <c r="B2727" s="5" t="inlineStr">
        <is>
          <t>Male</t>
        </is>
      </c>
      <c r="C2727" s="6" t="inlineStr">
        <is>
          <t>27</t>
        </is>
      </c>
      <c r="D2727" s="5" t="inlineStr">
        <is>
          <t>Married</t>
        </is>
      </c>
      <c r="E2727" s="5" t="inlineStr">
        <is>
          <t>Master</t>
        </is>
      </c>
      <c r="F2727" s="5" t="inlineStr">
        <is>
          <t>Marketing</t>
        </is>
      </c>
      <c r="G2727" s="5" t="inlineStr">
        <is>
          <t>SEO Specialist</t>
        </is>
      </c>
      <c r="H2727" s="5" t="inlineStr">
        <is>
          <t>2</t>
        </is>
      </c>
      <c r="I2727" s="5" t="inlineStr">
        <is>
          <t>Mumbai</t>
        </is>
      </c>
      <c r="J2727" s="5" t="inlineStr">
        <is>
          <t>Part-Time</t>
        </is>
      </c>
      <c r="K2727" s="7" t="n">
        <v>44793</v>
      </c>
      <c r="L2727" s="7" t="inlineStr"/>
      <c r="M2727" s="5" t="inlineStr">
        <is>
          <t>Yes</t>
        </is>
      </c>
      <c r="N2727" s="5" t="inlineStr"/>
      <c r="O2727" s="8" t="inlineStr">
        <is>
          <t>62500</t>
        </is>
      </c>
      <c r="P2727" s="5" t="inlineStr">
        <is>
          <t>5</t>
        </is>
      </c>
      <c r="Q2727" s="5" t="inlineStr">
        <is>
          <t>4</t>
        </is>
      </c>
      <c r="R2727" s="5" t="inlineStr">
        <is>
          <t>10</t>
        </is>
      </c>
      <c r="S2727" s="5" t="inlineStr">
        <is>
          <t>40</t>
        </is>
      </c>
      <c r="T2727" s="5" t="inlineStr">
        <is>
          <t>7</t>
        </is>
      </c>
      <c r="U2727" s="5" t="inlineStr">
        <is>
          <t>OK</t>
        </is>
      </c>
    </row>
    <row r="2728">
      <c r="A2728" s="5" t="inlineStr">
        <is>
          <t>E00528</t>
        </is>
      </c>
      <c r="B2728" s="5" t="inlineStr">
        <is>
          <t>male</t>
        </is>
      </c>
      <c r="C2728" s="6" t="inlineStr">
        <is>
          <t>27</t>
        </is>
      </c>
      <c r="D2728" s="5" t="inlineStr">
        <is>
          <t>Single</t>
        </is>
      </c>
      <c r="E2728" s="5" t="inlineStr">
        <is>
          <t>Master</t>
        </is>
      </c>
      <c r="F2728" s="5" t="inlineStr">
        <is>
          <t>Finance</t>
        </is>
      </c>
      <c r="G2728" s="5" t="inlineStr">
        <is>
          <t>Financial Analyst</t>
        </is>
      </c>
      <c r="H2728" s="5" t="inlineStr">
        <is>
          <t>3</t>
        </is>
      </c>
      <c r="I2728" s="5" t="inlineStr">
        <is>
          <t>Hyderabad</t>
        </is>
      </c>
      <c r="J2728" s="5" t="inlineStr">
        <is>
          <t>Full-Time</t>
        </is>
      </c>
      <c r="K2728" s="7" t="n">
        <v>44765</v>
      </c>
      <c r="L2728" s="7" t="inlineStr"/>
      <c r="M2728" s="5" t="inlineStr">
        <is>
          <t>Yes</t>
        </is>
      </c>
      <c r="N2728" s="5" t="inlineStr"/>
      <c r="O2728" s="8" t="inlineStr">
        <is>
          <t>104000</t>
        </is>
      </c>
      <c r="P2728" s="5" t="inlineStr">
        <is>
          <t>10</t>
        </is>
      </c>
      <c r="Q2728" s="5" t="inlineStr">
        <is>
          <t>2</t>
        </is>
      </c>
      <c r="R2728" s="5" t="inlineStr">
        <is>
          <t>5</t>
        </is>
      </c>
      <c r="S2728" s="5" t="inlineStr">
        <is>
          <t>41</t>
        </is>
      </c>
      <c r="T2728" s="5" t="inlineStr">
        <is>
          <t>2</t>
        </is>
      </c>
      <c r="U2728" s="5" t="inlineStr">
        <is>
          <t>OK</t>
        </is>
      </c>
    </row>
    <row r="2729">
      <c r="A2729" s="5" t="inlineStr">
        <is>
          <t>E01373</t>
        </is>
      </c>
      <c r="B2729" s="5" t="inlineStr">
        <is>
          <t>Female</t>
        </is>
      </c>
      <c r="C2729" s="6" t="inlineStr">
        <is>
          <t>35</t>
        </is>
      </c>
      <c r="D2729" s="5" t="inlineStr">
        <is>
          <t>Married</t>
        </is>
      </c>
      <c r="E2729" s="5" t="inlineStr">
        <is>
          <t>Bachelor</t>
        </is>
      </c>
      <c r="F2729" s="5" t="inlineStr">
        <is>
          <t>IT</t>
        </is>
      </c>
      <c r="G2729" s="5" t="inlineStr">
        <is>
          <t>IT Support</t>
        </is>
      </c>
      <c r="H2729" s="5" t="inlineStr">
        <is>
          <t>6</t>
        </is>
      </c>
      <c r="I2729" s="5" t="inlineStr">
        <is>
          <t>Hyderabad</t>
        </is>
      </c>
      <c r="J2729" s="5" t="inlineStr">
        <is>
          <t>Full-Time</t>
        </is>
      </c>
      <c r="K2729" s="7" t="n">
        <v>45620</v>
      </c>
      <c r="L2729" s="7" t="inlineStr"/>
      <c r="M2729" s="5" t="inlineStr">
        <is>
          <t>Yes</t>
        </is>
      </c>
      <c r="N2729" s="5" t="inlineStr"/>
      <c r="O2729" s="8" t="inlineStr">
        <is>
          <t>211500</t>
        </is>
      </c>
      <c r="P2729" s="5" t="inlineStr">
        <is>
          <t>0</t>
        </is>
      </c>
      <c r="Q2729" s="5" t="inlineStr">
        <is>
          <t>1</t>
        </is>
      </c>
      <c r="R2729" s="5" t="inlineStr">
        <is>
          <t>10</t>
        </is>
      </c>
      <c r="S2729" s="5" t="inlineStr">
        <is>
          <t>13</t>
        </is>
      </c>
      <c r="T2729" s="5" t="inlineStr">
        <is>
          <t>5</t>
        </is>
      </c>
      <c r="U2729" s="5" t="inlineStr">
        <is>
          <t>OK</t>
        </is>
      </c>
    </row>
    <row r="2730">
      <c r="A2730" s="5" t="inlineStr">
        <is>
          <t>E01730</t>
        </is>
      </c>
      <c r="B2730" s="5" t="inlineStr">
        <is>
          <t>Female</t>
        </is>
      </c>
      <c r="C2730" s="6" t="inlineStr">
        <is>
          <t>27</t>
        </is>
      </c>
      <c r="D2730" s="5" t="inlineStr">
        <is>
          <t>Married</t>
        </is>
      </c>
      <c r="E2730" s="5" t="inlineStr">
        <is>
          <t>Diploma</t>
        </is>
      </c>
      <c r="F2730" s="5" t="inlineStr">
        <is>
          <t>Customer Support</t>
        </is>
      </c>
      <c r="G2730" s="5" t="inlineStr">
        <is>
          <t>Support Lead</t>
        </is>
      </c>
      <c r="H2730" s="5" t="inlineStr">
        <is>
          <t>3</t>
        </is>
      </c>
      <c r="I2730" s="5" t="inlineStr">
        <is>
          <t>Bengaluru</t>
        </is>
      </c>
      <c r="J2730" s="5" t="inlineStr">
        <is>
          <t>Full-Time</t>
        </is>
      </c>
      <c r="K2730" s="7" t="n">
        <v>45999</v>
      </c>
      <c r="L2730" s="7" t="n">
        <v>46014</v>
      </c>
      <c r="M2730" s="5" t="inlineStr">
        <is>
          <t>No</t>
        </is>
      </c>
      <c r="N2730" s="5" t="inlineStr">
        <is>
          <t>Resigned</t>
        </is>
      </c>
      <c r="O2730" s="8" t="inlineStr">
        <is>
          <t>71000</t>
        </is>
      </c>
      <c r="P2730" s="5" t="inlineStr">
        <is>
          <t>15</t>
        </is>
      </c>
      <c r="Q2730" s="5" t="inlineStr">
        <is>
          <t>4</t>
        </is>
      </c>
      <c r="R2730" s="5" t="inlineStr">
        <is>
          <t>7</t>
        </is>
      </c>
      <c r="S2730" s="5" t="inlineStr">
        <is>
          <t>1</t>
        </is>
      </c>
      <c r="T2730" s="5" t="inlineStr">
        <is>
          <t>4</t>
        </is>
      </c>
      <c r="U2730" s="5" t="inlineStr">
        <is>
          <t>OK</t>
        </is>
      </c>
    </row>
    <row r="2731">
      <c r="A2731" s="5" t="inlineStr">
        <is>
          <t>E02390</t>
        </is>
      </c>
      <c r="B2731" s="5" t="inlineStr">
        <is>
          <t>Female</t>
        </is>
      </c>
      <c r="C2731" s="6" t="inlineStr">
        <is>
          <t>26</t>
        </is>
      </c>
      <c r="D2731" s="5" t="inlineStr">
        <is>
          <t>Married</t>
        </is>
      </c>
      <c r="E2731" s="5" t="inlineStr">
        <is>
          <t>High School</t>
        </is>
      </c>
      <c r="F2731" s="5" t="inlineStr">
        <is>
          <t>IT</t>
        </is>
      </c>
      <c r="G2731" s="5" t="inlineStr">
        <is>
          <t>Data Analyst</t>
        </is>
      </c>
      <c r="H2731" s="5" t="inlineStr">
        <is>
          <t>2</t>
        </is>
      </c>
      <c r="I2731" s="5" t="inlineStr">
        <is>
          <t>Delhi</t>
        </is>
      </c>
      <c r="J2731" s="5" t="inlineStr">
        <is>
          <t>Full-Time</t>
        </is>
      </c>
      <c r="K2731" s="7" t="n">
        <v>45651</v>
      </c>
      <c r="L2731" s="7" t="n">
        <v>45762</v>
      </c>
      <c r="M2731" s="5" t="inlineStr">
        <is>
          <t>No</t>
        </is>
      </c>
      <c r="N2731" s="5" t="inlineStr">
        <is>
          <t>Resigned</t>
        </is>
      </c>
      <c r="O2731" s="8" t="inlineStr">
        <is>
          <t>100000</t>
        </is>
      </c>
      <c r="P2731" s="5" t="inlineStr">
        <is>
          <t>0</t>
        </is>
      </c>
      <c r="Q2731" s="5" t="inlineStr">
        <is>
          <t>4</t>
        </is>
      </c>
      <c r="R2731" s="5" t="inlineStr">
        <is>
          <t>7</t>
        </is>
      </c>
      <c r="S2731" s="5" t="inlineStr">
        <is>
          <t>3</t>
        </is>
      </c>
      <c r="T2731" s="5" t="inlineStr">
        <is>
          <t>10</t>
        </is>
      </c>
      <c r="U2731" s="5" t="inlineStr">
        <is>
          <t>OK</t>
        </is>
      </c>
    </row>
    <row r="2732">
      <c r="A2732" s="5" t="inlineStr">
        <is>
          <t>E01633</t>
        </is>
      </c>
      <c r="B2732" s="5" t="inlineStr">
        <is>
          <t>Male</t>
        </is>
      </c>
      <c r="C2732" s="6" t="inlineStr">
        <is>
          <t>43</t>
        </is>
      </c>
      <c r="D2732" s="5" t="inlineStr">
        <is>
          <t>Divorced</t>
        </is>
      </c>
      <c r="E2732" s="5" t="inlineStr">
        <is>
          <t>High School</t>
        </is>
      </c>
      <c r="F2732" s="5" t="inlineStr">
        <is>
          <t>Customer Support</t>
        </is>
      </c>
      <c r="G2732" s="5" t="inlineStr">
        <is>
          <t>Support Agent</t>
        </is>
      </c>
      <c r="H2732" s="5" t="inlineStr">
        <is>
          <t>6</t>
        </is>
      </c>
      <c r="I2732" s="5" t="inlineStr">
        <is>
          <t>Delhi</t>
        </is>
      </c>
      <c r="J2732" s="5" t="inlineStr">
        <is>
          <t>Full-Time</t>
        </is>
      </c>
      <c r="K2732" s="7" t="n">
        <v>45448</v>
      </c>
      <c r="L2732" s="7" t="inlineStr"/>
      <c r="M2732" s="5" t="inlineStr">
        <is>
          <t>Yes</t>
        </is>
      </c>
      <c r="N2732" s="5" t="inlineStr"/>
      <c r="O2732" s="8" t="inlineStr">
        <is>
          <t>107500</t>
        </is>
      </c>
      <c r="P2732" s="5" t="inlineStr">
        <is>
          <t>0</t>
        </is>
      </c>
      <c r="Q2732" s="5" t="inlineStr">
        <is>
          <t>4</t>
        </is>
      </c>
      <c r="R2732" s="5" t="inlineStr">
        <is>
          <t>7</t>
        </is>
      </c>
      <c r="S2732" s="5" t="inlineStr">
        <is>
          <t>19</t>
        </is>
      </c>
      <c r="T2732" s="5" t="inlineStr">
        <is>
          <t>12</t>
        </is>
      </c>
      <c r="U2732" s="5" t="inlineStr">
        <is>
          <t>OK</t>
        </is>
      </c>
    </row>
    <row r="2733">
      <c r="A2733" s="5" t="inlineStr">
        <is>
          <t>E01662</t>
        </is>
      </c>
      <c r="B2733" s="5" t="inlineStr">
        <is>
          <t>Male</t>
        </is>
      </c>
      <c r="C2733" s="6" t="inlineStr">
        <is>
          <t>34</t>
        </is>
      </c>
      <c r="D2733" s="5" t="inlineStr">
        <is>
          <t>Single</t>
        </is>
      </c>
      <c r="E2733" s="5" t="inlineStr">
        <is>
          <t>Bachelor</t>
        </is>
      </c>
      <c r="F2733" s="5" t="inlineStr"/>
      <c r="G2733" s="5" t="inlineStr">
        <is>
          <t>Credit Analyst</t>
        </is>
      </c>
      <c r="H2733" s="5" t="inlineStr">
        <is>
          <t>6</t>
        </is>
      </c>
      <c r="I2733" s="5" t="inlineStr">
        <is>
          <t>Delhi</t>
        </is>
      </c>
      <c r="J2733" s="5" t="inlineStr">
        <is>
          <t>Full-Time</t>
        </is>
      </c>
      <c r="K2733" s="7" t="n">
        <v>45680</v>
      </c>
      <c r="L2733" s="7" t="inlineStr"/>
      <c r="M2733" s="5" t="inlineStr">
        <is>
          <t>Yes</t>
        </is>
      </c>
      <c r="N2733" s="5" t="inlineStr"/>
      <c r="O2733" s="8" t="inlineStr">
        <is>
          <t>184500</t>
        </is>
      </c>
      <c r="P2733" s="5" t="inlineStr">
        <is>
          <t>10</t>
        </is>
      </c>
      <c r="Q2733" s="5" t="inlineStr">
        <is>
          <t>5</t>
        </is>
      </c>
      <c r="R2733" s="5" t="inlineStr">
        <is>
          <t>4</t>
        </is>
      </c>
      <c r="S2733" s="5" t="inlineStr">
        <is>
          <t>11</t>
        </is>
      </c>
      <c r="T2733" s="5" t="inlineStr">
        <is>
          <t>6</t>
        </is>
      </c>
      <c r="U2733" s="5" t="inlineStr">
        <is>
          <t>Blank department</t>
        </is>
      </c>
    </row>
    <row r="2734">
      <c r="A2734" s="5" t="inlineStr">
        <is>
          <t>E01832</t>
        </is>
      </c>
      <c r="B2734" s="5" t="inlineStr">
        <is>
          <t>Female</t>
        </is>
      </c>
      <c r="C2734" s="6" t="inlineStr">
        <is>
          <t>30</t>
        </is>
      </c>
      <c r="D2734" s="5" t="inlineStr">
        <is>
          <t>Married</t>
        </is>
      </c>
      <c r="E2734" s="5" t="inlineStr">
        <is>
          <t>Diploma</t>
        </is>
      </c>
      <c r="F2734" s="5" t="inlineStr">
        <is>
          <t>Sales</t>
        </is>
      </c>
      <c r="G2734" s="5" t="inlineStr">
        <is>
          <t>Business Development</t>
        </is>
      </c>
      <c r="H2734" s="5" t="inlineStr">
        <is>
          <t>2</t>
        </is>
      </c>
      <c r="I2734" s="5" t="inlineStr">
        <is>
          <t>Delhi</t>
        </is>
      </c>
      <c r="J2734" s="5" t="inlineStr">
        <is>
          <t>Full-Time</t>
        </is>
      </c>
      <c r="K2734" s="7" t="n">
        <v>44745</v>
      </c>
      <c r="L2734" s="7" t="inlineStr"/>
      <c r="M2734" s="5" t="inlineStr">
        <is>
          <t>Yes</t>
        </is>
      </c>
      <c r="N2734" s="5" t="inlineStr"/>
      <c r="O2734" s="8" t="inlineStr">
        <is>
          <t>81000</t>
        </is>
      </c>
      <c r="P2734" s="5" t="inlineStr">
        <is>
          <t>5</t>
        </is>
      </c>
      <c r="Q2734" s="5" t="inlineStr">
        <is>
          <t>3</t>
        </is>
      </c>
      <c r="R2734" s="5" t="inlineStr">
        <is>
          <t>6</t>
        </is>
      </c>
      <c r="S2734" s="5" t="inlineStr">
        <is>
          <t>42</t>
        </is>
      </c>
      <c r="T2734" s="5" t="inlineStr">
        <is>
          <t>5</t>
        </is>
      </c>
      <c r="U2734" s="5" t="inlineStr">
        <is>
          <t>OK</t>
        </is>
      </c>
    </row>
    <row r="2735">
      <c r="A2735" s="5" t="inlineStr">
        <is>
          <t>E01332</t>
        </is>
      </c>
      <c r="B2735" s="5" t="inlineStr">
        <is>
          <t>Female</t>
        </is>
      </c>
      <c r="C2735" s="6" t="inlineStr">
        <is>
          <t>24</t>
        </is>
      </c>
      <c r="D2735" s="5" t="inlineStr">
        <is>
          <t>Married</t>
        </is>
      </c>
      <c r="E2735" s="5" t="inlineStr">
        <is>
          <t>High School</t>
        </is>
      </c>
      <c r="F2735" s="5" t="inlineStr">
        <is>
          <t>Customer Support</t>
        </is>
      </c>
      <c r="G2735" s="5" t="inlineStr">
        <is>
          <t>Support Lead</t>
        </is>
      </c>
      <c r="H2735" s="5" t="inlineStr">
        <is>
          <t>1</t>
        </is>
      </c>
      <c r="I2735" s="5" t="inlineStr">
        <is>
          <t>Bengaluru</t>
        </is>
      </c>
      <c r="J2735" s="5" t="inlineStr">
        <is>
          <t>Full-Time</t>
        </is>
      </c>
      <c r="K2735" s="7" t="n">
        <v>45605</v>
      </c>
      <c r="L2735" s="7" t="inlineStr"/>
      <c r="M2735" s="5" t="inlineStr">
        <is>
          <t>Yes</t>
        </is>
      </c>
      <c r="N2735" s="5" t="inlineStr"/>
      <c r="O2735" s="8" t="inlineStr">
        <is>
          <t>47500</t>
        </is>
      </c>
      <c r="P2735" s="5" t="inlineStr">
        <is>
          <t>5</t>
        </is>
      </c>
      <c r="Q2735" s="5" t="inlineStr">
        <is>
          <t>4</t>
        </is>
      </c>
      <c r="R2735" s="5" t="inlineStr">
        <is>
          <t>8</t>
        </is>
      </c>
      <c r="S2735" s="5" t="inlineStr">
        <is>
          <t>13</t>
        </is>
      </c>
      <c r="T2735" s="5" t="inlineStr">
        <is>
          <t>8</t>
        </is>
      </c>
      <c r="U2735" s="5" t="inlineStr">
        <is>
          <t>OK</t>
        </is>
      </c>
    </row>
    <row r="2736">
      <c r="A2736" s="5" t="inlineStr">
        <is>
          <t>E00899</t>
        </is>
      </c>
      <c r="B2736" s="5" t="inlineStr">
        <is>
          <t>Female</t>
        </is>
      </c>
      <c r="C2736" s="6" t="inlineStr">
        <is>
          <t>35</t>
        </is>
      </c>
      <c r="D2736" s="5" t="inlineStr">
        <is>
          <t>Married</t>
        </is>
      </c>
      <c r="E2736" s="5" t="inlineStr">
        <is>
          <t>Master</t>
        </is>
      </c>
      <c r="F2736" s="5" t="inlineStr">
        <is>
          <t>Customer Support</t>
        </is>
      </c>
      <c r="G2736" s="5" t="inlineStr">
        <is>
          <t>Support Agent</t>
        </is>
      </c>
      <c r="H2736" s="5" t="inlineStr">
        <is>
          <t>2</t>
        </is>
      </c>
      <c r="I2736" s="5" t="inlineStr">
        <is>
          <t>Chennai</t>
        </is>
      </c>
      <c r="J2736" s="5" t="inlineStr">
        <is>
          <t>Full-Time</t>
        </is>
      </c>
      <c r="K2736" s="7" t="n">
        <v>45000</v>
      </c>
      <c r="L2736" s="7" t="inlineStr"/>
      <c r="M2736" s="5" t="inlineStr">
        <is>
          <t>Yes</t>
        </is>
      </c>
      <c r="N2736" s="5" t="inlineStr"/>
      <c r="O2736" s="8" t="inlineStr">
        <is>
          <t>69000</t>
        </is>
      </c>
      <c r="P2736" s="5" t="inlineStr">
        <is>
          <t>15</t>
        </is>
      </c>
      <c r="Q2736" s="5" t="inlineStr">
        <is>
          <t>3</t>
        </is>
      </c>
      <c r="R2736" s="5" t="inlineStr">
        <is>
          <t>6</t>
        </is>
      </c>
      <c r="S2736" s="5" t="inlineStr">
        <is>
          <t>34</t>
        </is>
      </c>
      <c r="T2736" s="5" t="inlineStr">
        <is>
          <t>1</t>
        </is>
      </c>
      <c r="U2736" s="5" t="inlineStr">
        <is>
          <t>OK</t>
        </is>
      </c>
    </row>
    <row r="2737">
      <c r="A2737" s="5" t="inlineStr">
        <is>
          <t>E01445</t>
        </is>
      </c>
      <c r="B2737" s="5" t="inlineStr">
        <is>
          <t>Female</t>
        </is>
      </c>
      <c r="C2737" s="6" t="inlineStr">
        <is>
          <t>31</t>
        </is>
      </c>
      <c r="D2737" s="5" t="inlineStr">
        <is>
          <t>Single</t>
        </is>
      </c>
      <c r="E2737" s="5" t="inlineStr">
        <is>
          <t>Master</t>
        </is>
      </c>
      <c r="F2737" s="5" t="inlineStr">
        <is>
          <t>Sales</t>
        </is>
      </c>
      <c r="G2737" s="5" t="inlineStr">
        <is>
          <t>Business Development</t>
        </is>
      </c>
      <c r="H2737" s="5" t="inlineStr">
        <is>
          <t>2</t>
        </is>
      </c>
      <c r="I2737" s="5" t="inlineStr">
        <is>
          <t>Hyderabad</t>
        </is>
      </c>
      <c r="J2737" s="5" t="inlineStr">
        <is>
          <t>Contract</t>
        </is>
      </c>
      <c r="K2737" s="7" t="n">
        <v>44805</v>
      </c>
      <c r="L2737" s="7" t="n">
        <v>44865</v>
      </c>
      <c r="M2737" s="5" t="inlineStr">
        <is>
          <t>No</t>
        </is>
      </c>
      <c r="N2737" s="5" t="inlineStr">
        <is>
          <t>Resigned</t>
        </is>
      </c>
      <c r="O2737" s="8" t="inlineStr">
        <is>
          <t>97000</t>
        </is>
      </c>
      <c r="P2737" s="5" t="inlineStr">
        <is>
          <t>5</t>
        </is>
      </c>
      <c r="Q2737" s="5" t="inlineStr">
        <is>
          <t>4</t>
        </is>
      </c>
      <c r="R2737" s="5" t="inlineStr">
        <is>
          <t>4</t>
        </is>
      </c>
      <c r="S2737" s="5" t="inlineStr">
        <is>
          <t>2</t>
        </is>
      </c>
      <c r="T2737" s="5" t="inlineStr">
        <is>
          <t>8</t>
        </is>
      </c>
      <c r="U2737" s="5" t="inlineStr">
        <is>
          <t>OK</t>
        </is>
      </c>
    </row>
    <row r="2738">
      <c r="A2738" s="5" t="inlineStr">
        <is>
          <t>E01988</t>
        </is>
      </c>
      <c r="B2738" s="5" t="inlineStr">
        <is>
          <t>Female</t>
        </is>
      </c>
      <c r="C2738" s="6" t="inlineStr">
        <is>
          <t>46</t>
        </is>
      </c>
      <c r="D2738" s="5" t="inlineStr">
        <is>
          <t>Married</t>
        </is>
      </c>
      <c r="E2738" s="5" t="inlineStr">
        <is>
          <t>High School</t>
        </is>
      </c>
      <c r="F2738" s="5" t="inlineStr">
        <is>
          <t>Marketing</t>
        </is>
      </c>
      <c r="G2738" s="5" t="inlineStr">
        <is>
          <t>Marketing Analyst</t>
        </is>
      </c>
      <c r="H2738" s="5" t="inlineStr">
        <is>
          <t>7</t>
        </is>
      </c>
      <c r="I2738" s="5" t="inlineStr">
        <is>
          <t>Remote</t>
        </is>
      </c>
      <c r="J2738" s="5" t="inlineStr">
        <is>
          <t>Contract</t>
        </is>
      </c>
      <c r="K2738" s="7" t="n">
        <v>45814</v>
      </c>
      <c r="L2738" s="7" t="n">
        <v>45950</v>
      </c>
      <c r="M2738" s="5" t="inlineStr">
        <is>
          <t>No</t>
        </is>
      </c>
      <c r="N2738" s="5" t="inlineStr">
        <is>
          <t>Resigned</t>
        </is>
      </c>
      <c r="O2738" s="8" t="inlineStr">
        <is>
          <t>152000</t>
        </is>
      </c>
      <c r="P2738" s="5" t="inlineStr">
        <is>
          <t>0</t>
        </is>
      </c>
      <c r="Q2738" s="5" t="inlineStr">
        <is>
          <t>4</t>
        </is>
      </c>
      <c r="R2738" s="5" t="inlineStr">
        <is>
          <t>6</t>
        </is>
      </c>
      <c r="S2738" s="5" t="inlineStr">
        <is>
          <t>4</t>
        </is>
      </c>
      <c r="T2738" s="5" t="inlineStr">
        <is>
          <t>14</t>
        </is>
      </c>
      <c r="U2738" s="5" t="inlineStr">
        <is>
          <t>OK</t>
        </is>
      </c>
    </row>
    <row r="2739">
      <c r="A2739" s="5" t="inlineStr">
        <is>
          <t>E00642</t>
        </is>
      </c>
      <c r="B2739" s="5" t="inlineStr">
        <is>
          <t>Male</t>
        </is>
      </c>
      <c r="C2739" s="6" t="inlineStr">
        <is>
          <t>32</t>
        </is>
      </c>
      <c r="D2739" s="5" t="inlineStr">
        <is>
          <t>Married</t>
        </is>
      </c>
      <c r="E2739" s="5" t="inlineStr">
        <is>
          <t>Diploma</t>
        </is>
      </c>
      <c r="F2739" s="5" t="inlineStr">
        <is>
          <t>Sales</t>
        </is>
      </c>
      <c r="G2739" s="5" t="inlineStr">
        <is>
          <t>Sales Executive</t>
        </is>
      </c>
      <c r="H2739" s="5" t="inlineStr">
        <is>
          <t>3</t>
        </is>
      </c>
      <c r="I2739" s="5" t="inlineStr">
        <is>
          <t>Delhi</t>
        </is>
      </c>
      <c r="J2739" s="5" t="inlineStr">
        <is>
          <t>Full-Time</t>
        </is>
      </c>
      <c r="K2739" s="7" t="n">
        <v>44944</v>
      </c>
      <c r="L2739" s="7" t="inlineStr"/>
      <c r="M2739" s="5" t="inlineStr">
        <is>
          <t>Yes</t>
        </is>
      </c>
      <c r="N2739" s="5" t="inlineStr"/>
      <c r="O2739" s="8" t="inlineStr">
        <is>
          <t>130500</t>
        </is>
      </c>
      <c r="P2739" s="5" t="inlineStr">
        <is>
          <t>5</t>
        </is>
      </c>
      <c r="Q2739" s="5" t="inlineStr">
        <is>
          <t>2</t>
        </is>
      </c>
      <c r="R2739" s="5" t="inlineStr">
        <is>
          <t>6</t>
        </is>
      </c>
      <c r="S2739" s="5" t="inlineStr">
        <is>
          <t>35</t>
        </is>
      </c>
      <c r="T2739" s="5" t="inlineStr">
        <is>
          <t>10</t>
        </is>
      </c>
      <c r="U2739" s="5" t="inlineStr">
        <is>
          <t>OK</t>
        </is>
      </c>
    </row>
    <row r="2740">
      <c r="A2740" s="5" t="inlineStr">
        <is>
          <t>E01258</t>
        </is>
      </c>
      <c r="B2740" s="5" t="inlineStr">
        <is>
          <t>Female</t>
        </is>
      </c>
      <c r="C2740" s="6" t="inlineStr">
        <is>
          <t>31</t>
        </is>
      </c>
      <c r="D2740" s="5" t="inlineStr">
        <is>
          <t>Single</t>
        </is>
      </c>
      <c r="E2740" s="5" t="inlineStr">
        <is>
          <t>Bachelor</t>
        </is>
      </c>
      <c r="F2740" s="5" t="inlineStr">
        <is>
          <t>IT</t>
        </is>
      </c>
      <c r="G2740" s="5" t="inlineStr">
        <is>
          <t>DevOps Engineer</t>
        </is>
      </c>
      <c r="H2740" s="5" t="inlineStr">
        <is>
          <t>3</t>
        </is>
      </c>
      <c r="I2740" s="5" t="inlineStr">
        <is>
          <t>Hyderabad</t>
        </is>
      </c>
      <c r="J2740" s="5" t="inlineStr">
        <is>
          <t>Full-Time</t>
        </is>
      </c>
      <c r="K2740" s="7" t="n">
        <v>43897</v>
      </c>
      <c r="L2740" s="7" t="inlineStr"/>
      <c r="M2740" s="5" t="inlineStr">
        <is>
          <t>Yes</t>
        </is>
      </c>
      <c r="N2740" s="5" t="inlineStr"/>
      <c r="O2740" s="8" t="inlineStr">
        <is>
          <t>180000</t>
        </is>
      </c>
      <c r="P2740" s="5" t="inlineStr">
        <is>
          <t>0</t>
        </is>
      </c>
      <c r="Q2740" s="5" t="inlineStr">
        <is>
          <t>4</t>
        </is>
      </c>
      <c r="R2740" s="5" t="inlineStr">
        <is>
          <t>5</t>
        </is>
      </c>
      <c r="S2740" s="5" t="inlineStr">
        <is>
          <t>70</t>
        </is>
      </c>
      <c r="T2740" s="5" t="inlineStr">
        <is>
          <t>2</t>
        </is>
      </c>
      <c r="U2740" s="5" t="inlineStr">
        <is>
          <t>OK</t>
        </is>
      </c>
    </row>
    <row r="2741">
      <c r="A2741" s="5" t="inlineStr">
        <is>
          <t>E02455</t>
        </is>
      </c>
      <c r="B2741" s="5" t="inlineStr">
        <is>
          <t>Male</t>
        </is>
      </c>
      <c r="C2741" s="6" t="inlineStr">
        <is>
          <t>34</t>
        </is>
      </c>
      <c r="D2741" s="5" t="inlineStr">
        <is>
          <t>Single</t>
        </is>
      </c>
      <c r="E2741" s="5" t="inlineStr">
        <is>
          <t>Diploma</t>
        </is>
      </c>
      <c r="F2741" s="5" t="inlineStr">
        <is>
          <t>Operations</t>
        </is>
      </c>
      <c r="G2741" s="5" t="inlineStr">
        <is>
          <t>Quality Analyst</t>
        </is>
      </c>
      <c r="H2741" s="5" t="inlineStr">
        <is>
          <t>1</t>
        </is>
      </c>
      <c r="I2741" s="5" t="inlineStr">
        <is>
          <t>Bengaluru</t>
        </is>
      </c>
      <c r="J2741" s="5" t="inlineStr">
        <is>
          <t>Full-Time</t>
        </is>
      </c>
      <c r="K2741" s="7" t="n">
        <v>46006</v>
      </c>
      <c r="L2741" s="7" t="inlineStr"/>
      <c r="M2741" s="5" t="inlineStr">
        <is>
          <t>Yes</t>
        </is>
      </c>
      <c r="N2741" s="5" t="inlineStr"/>
      <c r="O2741" s="8" t="inlineStr">
        <is>
          <t>75500</t>
        </is>
      </c>
      <c r="P2741" s="5" t="inlineStr">
        <is>
          <t>10</t>
        </is>
      </c>
      <c r="Q2741" s="5" t="inlineStr">
        <is>
          <t>4</t>
        </is>
      </c>
      <c r="R2741" s="5" t="inlineStr">
        <is>
          <t>4</t>
        </is>
      </c>
      <c r="S2741" s="5" t="inlineStr">
        <is>
          <t>1</t>
        </is>
      </c>
      <c r="T2741" s="5" t="inlineStr">
        <is>
          <t>10</t>
        </is>
      </c>
      <c r="U2741" s="5" t="inlineStr">
        <is>
          <t>OK</t>
        </is>
      </c>
    </row>
    <row r="2742">
      <c r="A2742" s="5" t="inlineStr">
        <is>
          <t>E01263</t>
        </is>
      </c>
      <c r="B2742" s="5" t="inlineStr">
        <is>
          <t>Female</t>
        </is>
      </c>
      <c r="C2742" s="6" t="inlineStr">
        <is>
          <t>34</t>
        </is>
      </c>
      <c r="D2742" s="5" t="inlineStr">
        <is>
          <t>Married</t>
        </is>
      </c>
      <c r="E2742" s="5" t="inlineStr">
        <is>
          <t>Diploma</t>
        </is>
      </c>
      <c r="F2742" s="5" t="inlineStr">
        <is>
          <t>Operations</t>
        </is>
      </c>
      <c r="G2742" s="5" t="inlineStr">
        <is>
          <t>Logistics Coordinator</t>
        </is>
      </c>
      <c r="H2742" s="5" t="inlineStr">
        <is>
          <t>2</t>
        </is>
      </c>
      <c r="I2742" s="5" t="inlineStr">
        <is>
          <t>Delhi</t>
        </is>
      </c>
      <c r="J2742" s="5" t="inlineStr">
        <is>
          <t>Full-Time</t>
        </is>
      </c>
      <c r="K2742" s="7" t="n">
        <v>45630</v>
      </c>
      <c r="L2742" s="7" t="inlineStr"/>
      <c r="M2742" s="5" t="inlineStr">
        <is>
          <t>Yes</t>
        </is>
      </c>
      <c r="N2742" s="5" t="inlineStr"/>
      <c r="O2742" s="8" t="inlineStr">
        <is>
          <t>69500</t>
        </is>
      </c>
      <c r="P2742" s="5" t="inlineStr">
        <is>
          <t>5</t>
        </is>
      </c>
      <c r="Q2742" s="5" t="inlineStr">
        <is>
          <t>2</t>
        </is>
      </c>
      <c r="R2742" s="5" t="inlineStr">
        <is>
          <t>6</t>
        </is>
      </c>
      <c r="S2742" s="5" t="inlineStr">
        <is>
          <t>13</t>
        </is>
      </c>
      <c r="T2742" s="5" t="inlineStr">
        <is>
          <t>0</t>
        </is>
      </c>
      <c r="U2742" s="5" t="inlineStr">
        <is>
          <t>OK</t>
        </is>
      </c>
    </row>
    <row r="2743">
      <c r="A2743" s="5" t="inlineStr">
        <is>
          <t>E01611</t>
        </is>
      </c>
      <c r="B2743" s="5" t="inlineStr">
        <is>
          <t>Female</t>
        </is>
      </c>
      <c r="C2743" s="6" t="inlineStr">
        <is>
          <t>26</t>
        </is>
      </c>
      <c r="D2743" s="5" t="inlineStr">
        <is>
          <t>Married</t>
        </is>
      </c>
      <c r="E2743" s="5" t="inlineStr">
        <is>
          <t>Diploma</t>
        </is>
      </c>
      <c r="F2743" s="5" t="inlineStr">
        <is>
          <t>Research &amp; Development</t>
        </is>
      </c>
      <c r="G2743" s="5" t="inlineStr">
        <is>
          <t>Product Engineer</t>
        </is>
      </c>
      <c r="H2743" s="5" t="inlineStr">
        <is>
          <t>2</t>
        </is>
      </c>
      <c r="I2743" s="5" t="inlineStr">
        <is>
          <t>Remote</t>
        </is>
      </c>
      <c r="J2743" s="5" t="inlineStr">
        <is>
          <t>Part-Time</t>
        </is>
      </c>
      <c r="K2743" s="7" t="n">
        <v>44584</v>
      </c>
      <c r="L2743" s="7" t="inlineStr"/>
      <c r="M2743" s="5" t="inlineStr">
        <is>
          <t>Yes</t>
        </is>
      </c>
      <c r="N2743" s="5" t="inlineStr"/>
      <c r="O2743" s="8" t="inlineStr">
        <is>
          <t>124000</t>
        </is>
      </c>
      <c r="P2743" s="5" t="inlineStr">
        <is>
          <t>5</t>
        </is>
      </c>
      <c r="Q2743" s="5" t="inlineStr">
        <is>
          <t>5</t>
        </is>
      </c>
      <c r="R2743" s="5" t="inlineStr">
        <is>
          <t>5</t>
        </is>
      </c>
      <c r="S2743" s="5" t="inlineStr">
        <is>
          <t>47</t>
        </is>
      </c>
      <c r="T2743" s="5" t="inlineStr">
        <is>
          <t>7</t>
        </is>
      </c>
      <c r="U2743" s="5" t="inlineStr">
        <is>
          <t>OK</t>
        </is>
      </c>
    </row>
    <row r="2744">
      <c r="A2744" s="5" t="inlineStr">
        <is>
          <t>E00135</t>
        </is>
      </c>
      <c r="B2744" s="5" t="inlineStr">
        <is>
          <t>Female</t>
        </is>
      </c>
      <c r="C2744" s="6" t="inlineStr">
        <is>
          <t>33</t>
        </is>
      </c>
      <c r="D2744" s="5" t="inlineStr">
        <is>
          <t>Married</t>
        </is>
      </c>
      <c r="E2744" s="5" t="inlineStr">
        <is>
          <t>Bachelor</t>
        </is>
      </c>
      <c r="F2744" s="5" t="inlineStr">
        <is>
          <t>Customer Support</t>
        </is>
      </c>
      <c r="G2744" s="5" t="inlineStr">
        <is>
          <t>Escalation Specialist</t>
        </is>
      </c>
      <c r="H2744" s="5" t="inlineStr">
        <is>
          <t>5</t>
        </is>
      </c>
      <c r="I2744" s="5" t="inlineStr">
        <is>
          <t>Mumbai</t>
        </is>
      </c>
      <c r="J2744" s="5" t="inlineStr">
        <is>
          <t>Part-Time</t>
        </is>
      </c>
      <c r="K2744" s="7" t="n">
        <v>43990</v>
      </c>
      <c r="L2744" s="7" t="inlineStr"/>
      <c r="M2744" s="5" t="inlineStr">
        <is>
          <t>Yes</t>
        </is>
      </c>
      <c r="N2744" s="5" t="inlineStr"/>
      <c r="O2744" s="8" t="inlineStr">
        <is>
          <t>108500</t>
        </is>
      </c>
      <c r="P2744" s="5" t="inlineStr">
        <is>
          <t>10</t>
        </is>
      </c>
      <c r="Q2744" s="5" t="inlineStr">
        <is>
          <t>5</t>
        </is>
      </c>
      <c r="R2744" s="5" t="inlineStr">
        <is>
          <t>7</t>
        </is>
      </c>
      <c r="S2744" s="5" t="inlineStr">
        <is>
          <t>67</t>
        </is>
      </c>
      <c r="T2744" s="5" t="inlineStr">
        <is>
          <t>0</t>
        </is>
      </c>
      <c r="U2744" s="5" t="inlineStr">
        <is>
          <t>OK</t>
        </is>
      </c>
    </row>
    <row r="2745">
      <c r="A2745" s="5" t="inlineStr">
        <is>
          <t>E02353</t>
        </is>
      </c>
      <c r="B2745" s="5" t="inlineStr">
        <is>
          <t>Unknown</t>
        </is>
      </c>
      <c r="C2745" s="6" t="inlineStr">
        <is>
          <t>32</t>
        </is>
      </c>
      <c r="D2745" s="5" t="inlineStr">
        <is>
          <t>Married</t>
        </is>
      </c>
      <c r="E2745" s="5" t="inlineStr">
        <is>
          <t>PhD</t>
        </is>
      </c>
      <c r="F2745" s="5" t="inlineStr">
        <is>
          <t>Operations</t>
        </is>
      </c>
      <c r="G2745" s="5" t="inlineStr">
        <is>
          <t>Quality Analyst</t>
        </is>
      </c>
      <c r="H2745" s="5" t="inlineStr">
        <is>
          <t>4</t>
        </is>
      </c>
      <c r="I2745" s="5" t="inlineStr">
        <is>
          <t>Mumbai</t>
        </is>
      </c>
      <c r="J2745" s="5" t="inlineStr">
        <is>
          <t>Full-Time</t>
        </is>
      </c>
      <c r="K2745" s="7" t="n">
        <v>43842</v>
      </c>
      <c r="L2745" s="7" t="inlineStr"/>
      <c r="M2745" s="5" t="inlineStr">
        <is>
          <t>Yes</t>
        </is>
      </c>
      <c r="N2745" s="5" t="inlineStr"/>
      <c r="O2745" s="8" t="inlineStr"/>
      <c r="P2745" s="5" t="inlineStr">
        <is>
          <t>15</t>
        </is>
      </c>
      <c r="Q2745" s="5" t="inlineStr">
        <is>
          <t>3</t>
        </is>
      </c>
      <c r="R2745" s="5" t="inlineStr">
        <is>
          <t>5</t>
        </is>
      </c>
      <c r="S2745" s="5" t="inlineStr">
        <is>
          <t>72</t>
        </is>
      </c>
      <c r="T2745" s="5" t="inlineStr">
        <is>
          <t>12</t>
        </is>
      </c>
      <c r="U2745" s="5" t="inlineStr">
        <is>
          <t>Blank salary; Bad gender</t>
        </is>
      </c>
    </row>
    <row r="2746">
      <c r="A2746" s="5" t="inlineStr">
        <is>
          <t>E00250</t>
        </is>
      </c>
      <c r="B2746" s="5" t="inlineStr">
        <is>
          <t>male</t>
        </is>
      </c>
      <c r="C2746" s="6" t="inlineStr">
        <is>
          <t>29</t>
        </is>
      </c>
      <c r="D2746" s="5" t="inlineStr">
        <is>
          <t>Married</t>
        </is>
      </c>
      <c r="E2746" s="5" t="inlineStr">
        <is>
          <t>Bachelor</t>
        </is>
      </c>
      <c r="F2746" s="5" t="inlineStr">
        <is>
          <t>Executive</t>
        </is>
      </c>
      <c r="G2746" s="5" t="inlineStr">
        <is>
          <t>COO</t>
        </is>
      </c>
      <c r="H2746" s="5" t="inlineStr">
        <is>
          <t>2</t>
        </is>
      </c>
      <c r="I2746" s="5" t="inlineStr">
        <is>
          <t>Delhi</t>
        </is>
      </c>
      <c r="J2746" s="5" t="inlineStr">
        <is>
          <t>Full-Time</t>
        </is>
      </c>
      <c r="K2746" s="7" t="n">
        <v>44735</v>
      </c>
      <c r="L2746" s="7" t="inlineStr"/>
      <c r="M2746" s="5" t="inlineStr">
        <is>
          <t>Yes</t>
        </is>
      </c>
      <c r="N2746" s="5" t="inlineStr"/>
      <c r="O2746" s="8" t="inlineStr">
        <is>
          <t>219000</t>
        </is>
      </c>
      <c r="P2746" s="5" t="inlineStr">
        <is>
          <t>5</t>
        </is>
      </c>
      <c r="Q2746" s="5" t="inlineStr">
        <is>
          <t>3</t>
        </is>
      </c>
      <c r="R2746" s="5" t="inlineStr">
        <is>
          <t>4</t>
        </is>
      </c>
      <c r="S2746" s="5" t="inlineStr">
        <is>
          <t>42</t>
        </is>
      </c>
      <c r="T2746" s="5" t="inlineStr">
        <is>
          <t>2</t>
        </is>
      </c>
      <c r="U2746" s="5" t="inlineStr">
        <is>
          <t>OK</t>
        </is>
      </c>
    </row>
    <row r="2747">
      <c r="A2747" s="5" t="inlineStr">
        <is>
          <t>E01256</t>
        </is>
      </c>
      <c r="B2747" s="5" t="inlineStr">
        <is>
          <t>Female</t>
        </is>
      </c>
      <c r="C2747" s="6" t="inlineStr">
        <is>
          <t>40</t>
        </is>
      </c>
      <c r="D2747" s="5" t="inlineStr">
        <is>
          <t>Divorced</t>
        </is>
      </c>
      <c r="E2747" s="5" t="inlineStr">
        <is>
          <t>Master</t>
        </is>
      </c>
      <c r="F2747" s="5" t="inlineStr">
        <is>
          <t>Customer Support</t>
        </is>
      </c>
      <c r="G2747" s="5" t="inlineStr">
        <is>
          <t>Support Agent</t>
        </is>
      </c>
      <c r="H2747" s="5" t="inlineStr">
        <is>
          <t>4</t>
        </is>
      </c>
      <c r="I2747" s="5" t="inlineStr">
        <is>
          <t>Bengaluru</t>
        </is>
      </c>
      <c r="J2747" s="5" t="inlineStr">
        <is>
          <t>Part-Time</t>
        </is>
      </c>
      <c r="K2747" s="7" t="n">
        <v>44006</v>
      </c>
      <c r="L2747" s="7" t="n">
        <v>44131</v>
      </c>
      <c r="M2747" s="5" t="inlineStr">
        <is>
          <t>No</t>
        </is>
      </c>
      <c r="N2747" s="5" t="inlineStr">
        <is>
          <t>Resigned</t>
        </is>
      </c>
      <c r="O2747" s="8" t="inlineStr">
        <is>
          <t>83000</t>
        </is>
      </c>
      <c r="P2747" s="5" t="inlineStr">
        <is>
          <t>0</t>
        </is>
      </c>
      <c r="Q2747" s="5" t="inlineStr">
        <is>
          <t>2</t>
        </is>
      </c>
      <c r="R2747" s="5" t="inlineStr">
        <is>
          <t>7</t>
        </is>
      </c>
      <c r="S2747" s="5" t="inlineStr">
        <is>
          <t>4</t>
        </is>
      </c>
      <c r="T2747" s="5" t="inlineStr">
        <is>
          <t>23</t>
        </is>
      </c>
      <c r="U2747" s="5" t="inlineStr">
        <is>
          <t>OK</t>
        </is>
      </c>
    </row>
    <row r="2748">
      <c r="A2748" s="5" t="inlineStr">
        <is>
          <t>E01590</t>
        </is>
      </c>
      <c r="B2748" s="5" t="inlineStr">
        <is>
          <t>Male</t>
        </is>
      </c>
      <c r="C2748" s="6" t="inlineStr">
        <is>
          <t>24</t>
        </is>
      </c>
      <c r="D2748" s="5" t="inlineStr">
        <is>
          <t>Married</t>
        </is>
      </c>
      <c r="E2748" s="5" t="inlineStr">
        <is>
          <t>Master</t>
        </is>
      </c>
      <c r="F2748" s="5" t="inlineStr">
        <is>
          <t>Research &amp; Development</t>
        </is>
      </c>
      <c r="G2748" s="5" t="inlineStr">
        <is>
          <t>Data Scientist</t>
        </is>
      </c>
      <c r="H2748" s="5" t="inlineStr">
        <is>
          <t>1</t>
        </is>
      </c>
      <c r="I2748" s="5" t="inlineStr">
        <is>
          <t>Mumbai</t>
        </is>
      </c>
      <c r="J2748" s="5" t="inlineStr">
        <is>
          <t>Full-Time</t>
        </is>
      </c>
      <c r="K2748" s="7" t="n">
        <v>44944</v>
      </c>
      <c r="L2748" s="7" t="inlineStr"/>
      <c r="M2748" s="5" t="inlineStr">
        <is>
          <t>Yes</t>
        </is>
      </c>
      <c r="N2748" s="5" t="inlineStr"/>
      <c r="O2748" s="8" t="inlineStr">
        <is>
          <t>93500</t>
        </is>
      </c>
      <c r="P2748" s="5" t="inlineStr">
        <is>
          <t>0</t>
        </is>
      </c>
      <c r="Q2748" s="5" t="inlineStr">
        <is>
          <t>3</t>
        </is>
      </c>
      <c r="R2748" s="5" t="inlineStr">
        <is>
          <t>7</t>
        </is>
      </c>
      <c r="S2748" s="5" t="inlineStr">
        <is>
          <t>35</t>
        </is>
      </c>
      <c r="T2748" s="5" t="inlineStr">
        <is>
          <t>10</t>
        </is>
      </c>
      <c r="U2748" s="5" t="inlineStr">
        <is>
          <t>OK</t>
        </is>
      </c>
    </row>
    <row r="2749">
      <c r="A2749" s="5" t="inlineStr">
        <is>
          <t>E02391</t>
        </is>
      </c>
      <c r="B2749" s="5" t="inlineStr">
        <is>
          <t>Female</t>
        </is>
      </c>
      <c r="C2749" s="6" t="inlineStr">
        <is>
          <t>27</t>
        </is>
      </c>
      <c r="D2749" s="5" t="inlineStr">
        <is>
          <t>Divorced</t>
        </is>
      </c>
      <c r="E2749" s="5" t="inlineStr">
        <is>
          <t>Bachelor</t>
        </is>
      </c>
      <c r="F2749" s="5" t="inlineStr">
        <is>
          <t>Research &amp; Development</t>
        </is>
      </c>
      <c r="G2749" s="5" t="inlineStr">
        <is>
          <t>Data Scientist</t>
        </is>
      </c>
      <c r="H2749" s="5" t="inlineStr">
        <is>
          <t>2</t>
        </is>
      </c>
      <c r="I2749" s="5" t="inlineStr">
        <is>
          <t>Chennai</t>
        </is>
      </c>
      <c r="J2749" s="5" t="inlineStr">
        <is>
          <t>Full-Time</t>
        </is>
      </c>
      <c r="K2749" s="7" t="n">
        <v>45777</v>
      </c>
      <c r="L2749" s="7" t="inlineStr"/>
      <c r="M2749" s="5" t="inlineStr">
        <is>
          <t>Yes</t>
        </is>
      </c>
      <c r="N2749" s="5" t="inlineStr"/>
      <c r="O2749" s="8" t="inlineStr">
        <is>
          <t>160500</t>
        </is>
      </c>
      <c r="P2749" s="5" t="inlineStr">
        <is>
          <t>5</t>
        </is>
      </c>
      <c r="Q2749" s="5" t="inlineStr">
        <is>
          <t>4</t>
        </is>
      </c>
      <c r="R2749" s="5" t="inlineStr">
        <is>
          <t>6</t>
        </is>
      </c>
      <c r="S2749" s="5" t="inlineStr">
        <is>
          <t>8</t>
        </is>
      </c>
      <c r="T2749" s="5" t="inlineStr">
        <is>
          <t>13</t>
        </is>
      </c>
      <c r="U2749" s="5" t="inlineStr">
        <is>
          <t>OK</t>
        </is>
      </c>
    </row>
    <row r="2750">
      <c r="A2750" s="5" t="inlineStr">
        <is>
          <t>E00547</t>
        </is>
      </c>
      <c r="B2750" s="5" t="inlineStr">
        <is>
          <t>Female</t>
        </is>
      </c>
      <c r="C2750" s="6" t="inlineStr">
        <is>
          <t>23</t>
        </is>
      </c>
      <c r="D2750" s="5" t="inlineStr">
        <is>
          <t>Married</t>
        </is>
      </c>
      <c r="E2750" s="5" t="inlineStr">
        <is>
          <t>High School</t>
        </is>
      </c>
      <c r="F2750" s="5" t="inlineStr">
        <is>
          <t>Sales</t>
        </is>
      </c>
      <c r="G2750" s="5" t="inlineStr">
        <is>
          <t>Sales Executive</t>
        </is>
      </c>
      <c r="H2750" s="5" t="inlineStr">
        <is>
          <t>1</t>
        </is>
      </c>
      <c r="I2750" s="5" t="inlineStr">
        <is>
          <t>Hyderabad</t>
        </is>
      </c>
      <c r="J2750" s="5" t="inlineStr">
        <is>
          <t>Full-Time</t>
        </is>
      </c>
      <c r="K2750" s="7" t="n">
        <v>45656</v>
      </c>
      <c r="L2750" s="7" t="inlineStr"/>
      <c r="M2750" s="5" t="inlineStr">
        <is>
          <t>Yes</t>
        </is>
      </c>
      <c r="N2750" s="5" t="inlineStr"/>
      <c r="O2750" s="8" t="inlineStr">
        <is>
          <t>79500</t>
        </is>
      </c>
      <c r="P2750" s="5" t="inlineStr">
        <is>
          <t>5</t>
        </is>
      </c>
      <c r="Q2750" s="5" t="inlineStr">
        <is>
          <t>5</t>
        </is>
      </c>
      <c r="R2750" s="5" t="inlineStr">
        <is>
          <t>5</t>
        </is>
      </c>
      <c r="S2750" s="5" t="inlineStr">
        <is>
          <t>12</t>
        </is>
      </c>
      <c r="T2750" s="5" t="inlineStr">
        <is>
          <t>4</t>
        </is>
      </c>
      <c r="U2750" s="5" t="inlineStr">
        <is>
          <t>OK</t>
        </is>
      </c>
    </row>
    <row r="2751">
      <c r="A2751" s="5" t="inlineStr">
        <is>
          <t>E02695</t>
        </is>
      </c>
      <c r="B2751" s="5" t="inlineStr">
        <is>
          <t>Male</t>
        </is>
      </c>
      <c r="C2751" s="6" t="inlineStr">
        <is>
          <t>37</t>
        </is>
      </c>
      <c r="D2751" s="5" t="inlineStr">
        <is>
          <t>Married</t>
        </is>
      </c>
      <c r="E2751" s="5" t="inlineStr">
        <is>
          <t>Master</t>
        </is>
      </c>
      <c r="F2751" s="5" t="inlineStr">
        <is>
          <t>Finance</t>
        </is>
      </c>
      <c r="G2751" s="5" t="inlineStr">
        <is>
          <t>Financial Analyst</t>
        </is>
      </c>
      <c r="H2751" s="5" t="inlineStr">
        <is>
          <t>4</t>
        </is>
      </c>
      <c r="I2751" s="5" t="inlineStr">
        <is>
          <t>Hyderabad</t>
        </is>
      </c>
      <c r="J2751" s="5" t="inlineStr">
        <is>
          <t>Full-Time</t>
        </is>
      </c>
      <c r="K2751" s="7" t="n">
        <v>44397</v>
      </c>
      <c r="L2751" s="7" t="inlineStr"/>
      <c r="M2751" s="5" t="inlineStr">
        <is>
          <t>Yes</t>
        </is>
      </c>
      <c r="N2751" s="5" t="inlineStr"/>
      <c r="O2751" s="8" t="inlineStr">
        <is>
          <t>154500</t>
        </is>
      </c>
      <c r="P2751" s="5" t="inlineStr">
        <is>
          <t>0</t>
        </is>
      </c>
      <c r="Q2751" s="5" t="inlineStr">
        <is>
          <t>4</t>
        </is>
      </c>
      <c r="R2751" s="5" t="inlineStr">
        <is>
          <t>4</t>
        </is>
      </c>
      <c r="S2751" s="5" t="inlineStr">
        <is>
          <t>54</t>
        </is>
      </c>
      <c r="T2751" s="5" t="inlineStr">
        <is>
          <t>11</t>
        </is>
      </c>
      <c r="U2751" s="5" t="inlineStr">
        <is>
          <t>OK</t>
        </is>
      </c>
    </row>
    <row r="2752">
      <c r="A2752" s="5" t="inlineStr">
        <is>
          <t>E01621</t>
        </is>
      </c>
      <c r="B2752" s="5" t="inlineStr">
        <is>
          <t>Female</t>
        </is>
      </c>
      <c r="C2752" s="6" t="inlineStr">
        <is>
          <t>34</t>
        </is>
      </c>
      <c r="D2752" s="5" t="inlineStr">
        <is>
          <t>Married</t>
        </is>
      </c>
      <c r="E2752" s="5" t="inlineStr">
        <is>
          <t>PhD</t>
        </is>
      </c>
      <c r="F2752" s="5" t="inlineStr">
        <is>
          <t>Marketing</t>
        </is>
      </c>
      <c r="G2752" s="5" t="inlineStr">
        <is>
          <t>Marketing Analyst</t>
        </is>
      </c>
      <c r="H2752" s="5" t="inlineStr">
        <is>
          <t>5</t>
        </is>
      </c>
      <c r="I2752" s="5" t="inlineStr">
        <is>
          <t>Delhi</t>
        </is>
      </c>
      <c r="J2752" s="5" t="inlineStr">
        <is>
          <t>Full-Time</t>
        </is>
      </c>
      <c r="K2752" s="7" t="n">
        <v>45897</v>
      </c>
      <c r="L2752" s="7" t="inlineStr"/>
      <c r="M2752" s="5" t="inlineStr">
        <is>
          <t>Yes</t>
        </is>
      </c>
      <c r="N2752" s="5" t="inlineStr"/>
      <c r="O2752" s="8" t="inlineStr">
        <is>
          <t>126500</t>
        </is>
      </c>
      <c r="P2752" s="5" t="inlineStr">
        <is>
          <t>10</t>
        </is>
      </c>
      <c r="Q2752" s="5" t="inlineStr">
        <is>
          <t>4</t>
        </is>
      </c>
      <c r="R2752" s="5" t="inlineStr">
        <is>
          <t>6</t>
        </is>
      </c>
      <c r="S2752" s="5" t="inlineStr">
        <is>
          <t>4</t>
        </is>
      </c>
      <c r="T2752" s="5" t="inlineStr">
        <is>
          <t>3</t>
        </is>
      </c>
      <c r="U2752" s="5" t="inlineStr">
        <is>
          <t>OK</t>
        </is>
      </c>
    </row>
    <row r="2753">
      <c r="A2753" s="5" t="inlineStr">
        <is>
          <t>E01113</t>
        </is>
      </c>
      <c r="B2753" s="5" t="inlineStr">
        <is>
          <t>Female</t>
        </is>
      </c>
      <c r="C2753" s="6" t="inlineStr">
        <is>
          <t>38</t>
        </is>
      </c>
      <c r="D2753" s="5" t="inlineStr">
        <is>
          <t>Married</t>
        </is>
      </c>
      <c r="E2753" s="5" t="inlineStr">
        <is>
          <t>Master</t>
        </is>
      </c>
      <c r="F2753" s="5" t="inlineStr">
        <is>
          <t>Research &amp; Development</t>
        </is>
      </c>
      <c r="G2753" s="5" t="inlineStr">
        <is>
          <t>Research Scientist</t>
        </is>
      </c>
      <c r="H2753" s="5" t="inlineStr">
        <is>
          <t>5</t>
        </is>
      </c>
      <c r="I2753" s="5" t="inlineStr">
        <is>
          <t>Mumbai</t>
        </is>
      </c>
      <c r="J2753" s="5" t="inlineStr">
        <is>
          <t>Full-Time</t>
        </is>
      </c>
      <c r="K2753" s="7" t="n">
        <v>43974</v>
      </c>
      <c r="L2753" s="7" t="inlineStr"/>
      <c r="M2753" s="5" t="inlineStr">
        <is>
          <t>Yes</t>
        </is>
      </c>
      <c r="N2753" s="5" t="inlineStr"/>
      <c r="O2753" s="8" t="inlineStr">
        <is>
          <t>160500</t>
        </is>
      </c>
      <c r="P2753" s="5" t="inlineStr">
        <is>
          <t>20</t>
        </is>
      </c>
      <c r="Q2753" s="5" t="inlineStr">
        <is>
          <t>2</t>
        </is>
      </c>
      <c r="R2753" s="5" t="inlineStr">
        <is>
          <t>3</t>
        </is>
      </c>
      <c r="S2753" s="5" t="inlineStr">
        <is>
          <t>68</t>
        </is>
      </c>
      <c r="T2753" s="5" t="inlineStr">
        <is>
          <t>0</t>
        </is>
      </c>
      <c r="U2753" s="5" t="inlineStr">
        <is>
          <t>OK</t>
        </is>
      </c>
    </row>
    <row r="2754">
      <c r="A2754" s="5" t="inlineStr">
        <is>
          <t>E00679</t>
        </is>
      </c>
      <c r="B2754" s="5" t="inlineStr">
        <is>
          <t>female</t>
        </is>
      </c>
      <c r="C2754" s="6" t="inlineStr">
        <is>
          <t>29</t>
        </is>
      </c>
      <c r="D2754" s="5" t="inlineStr">
        <is>
          <t>Single</t>
        </is>
      </c>
      <c r="E2754" s="5" t="inlineStr">
        <is>
          <t>PhD</t>
        </is>
      </c>
      <c r="F2754" s="5" t="inlineStr">
        <is>
          <t>Sales</t>
        </is>
      </c>
      <c r="G2754" s="5" t="inlineStr">
        <is>
          <t>Sales Executive</t>
        </is>
      </c>
      <c r="H2754" s="5" t="inlineStr">
        <is>
          <t>2</t>
        </is>
      </c>
      <c r="I2754" s="5" t="inlineStr">
        <is>
          <t>Mumbai</t>
        </is>
      </c>
      <c r="J2754" s="5" t="inlineStr">
        <is>
          <t>Full-Time</t>
        </is>
      </c>
      <c r="K2754" s="7" t="n">
        <v>43837</v>
      </c>
      <c r="L2754" s="7" t="n">
        <v>43918</v>
      </c>
      <c r="M2754" s="5" t="inlineStr">
        <is>
          <t>No</t>
        </is>
      </c>
      <c r="N2754" s="5" t="inlineStr">
        <is>
          <t>Performance / Termination</t>
        </is>
      </c>
      <c r="O2754" s="8" t="inlineStr">
        <is>
          <t>119000</t>
        </is>
      </c>
      <c r="P2754" s="5" t="inlineStr">
        <is>
          <t>0</t>
        </is>
      </c>
      <c r="Q2754" s="5" t="inlineStr">
        <is>
          <t>5</t>
        </is>
      </c>
      <c r="R2754" s="5" t="inlineStr">
        <is>
          <t>5</t>
        </is>
      </c>
      <c r="S2754" s="5" t="inlineStr">
        <is>
          <t>2</t>
        </is>
      </c>
      <c r="T2754" s="5" t="inlineStr">
        <is>
          <t>7</t>
        </is>
      </c>
      <c r="U2754" s="5" t="inlineStr">
        <is>
          <t>OK</t>
        </is>
      </c>
    </row>
    <row r="2755">
      <c r="A2755" s="5" t="inlineStr">
        <is>
          <t>E01521</t>
        </is>
      </c>
      <c r="B2755" s="5" t="inlineStr">
        <is>
          <t>Female</t>
        </is>
      </c>
      <c r="C2755" s="6" t="inlineStr">
        <is>
          <t>30</t>
        </is>
      </c>
      <c r="D2755" s="5" t="inlineStr">
        <is>
          <t>Married</t>
        </is>
      </c>
      <c r="E2755" s="5" t="inlineStr">
        <is>
          <t>Master</t>
        </is>
      </c>
      <c r="F2755" s="5" t="inlineStr">
        <is>
          <t>IT</t>
        </is>
      </c>
      <c r="G2755" s="5" t="inlineStr">
        <is>
          <t>Software Engineer</t>
        </is>
      </c>
      <c r="H2755" s="5" t="inlineStr">
        <is>
          <t>1</t>
        </is>
      </c>
      <c r="I2755" s="5" t="inlineStr">
        <is>
          <t>Chennai</t>
        </is>
      </c>
      <c r="J2755" s="5" t="inlineStr">
        <is>
          <t>Full-Time</t>
        </is>
      </c>
      <c r="K2755" s="7" t="n">
        <v>44255</v>
      </c>
      <c r="L2755" s="7" t="inlineStr"/>
      <c r="M2755" s="5" t="inlineStr">
        <is>
          <t>Yes</t>
        </is>
      </c>
      <c r="N2755" s="5" t="inlineStr"/>
      <c r="O2755" s="8" t="inlineStr">
        <is>
          <t>92000</t>
        </is>
      </c>
      <c r="P2755" s="5" t="inlineStr">
        <is>
          <t>10</t>
        </is>
      </c>
      <c r="Q2755" s="5" t="inlineStr">
        <is>
          <t>3</t>
        </is>
      </c>
      <c r="R2755" s="5" t="inlineStr">
        <is>
          <t>5</t>
        </is>
      </c>
      <c r="S2755" s="5" t="inlineStr">
        <is>
          <t>58</t>
        </is>
      </c>
      <c r="T2755" s="5" t="inlineStr">
        <is>
          <t>12</t>
        </is>
      </c>
      <c r="U2755" s="5" t="inlineStr">
        <is>
          <t>OK</t>
        </is>
      </c>
    </row>
    <row r="2756">
      <c r="A2756" s="5" t="inlineStr">
        <is>
          <t>E02215</t>
        </is>
      </c>
      <c r="B2756" s="5" t="inlineStr">
        <is>
          <t>Female</t>
        </is>
      </c>
      <c r="C2756" s="6" t="inlineStr">
        <is>
          <t>36</t>
        </is>
      </c>
      <c r="D2756" s="5" t="inlineStr">
        <is>
          <t>Married</t>
        </is>
      </c>
      <c r="E2756" s="5" t="inlineStr">
        <is>
          <t>Master</t>
        </is>
      </c>
      <c r="F2756" s="5" t="inlineStr">
        <is>
          <t>IT</t>
        </is>
      </c>
      <c r="G2756" s="5" t="inlineStr">
        <is>
          <t>Data Analyst</t>
        </is>
      </c>
      <c r="H2756" s="5" t="inlineStr">
        <is>
          <t>4</t>
        </is>
      </c>
      <c r="I2756" s="5" t="inlineStr">
        <is>
          <t>Bengaluru</t>
        </is>
      </c>
      <c r="J2756" s="5" t="inlineStr">
        <is>
          <t>Full-Time</t>
        </is>
      </c>
      <c r="K2756" s="7" t="n">
        <v>45322</v>
      </c>
      <c r="L2756" s="7" t="inlineStr"/>
      <c r="M2756" s="5" t="inlineStr">
        <is>
          <t>Yes</t>
        </is>
      </c>
      <c r="N2756" s="5" t="inlineStr"/>
      <c r="O2756" s="8" t="inlineStr">
        <is>
          <t>183500</t>
        </is>
      </c>
      <c r="P2756" s="5" t="inlineStr">
        <is>
          <t>10</t>
        </is>
      </c>
      <c r="Q2756" s="5" t="inlineStr">
        <is>
          <t>3</t>
        </is>
      </c>
      <c r="R2756" s="5" t="inlineStr">
        <is>
          <t>9</t>
        </is>
      </c>
      <c r="S2756" s="5" t="inlineStr">
        <is>
          <t>23</t>
        </is>
      </c>
      <c r="T2756" s="5" t="inlineStr">
        <is>
          <t>11</t>
        </is>
      </c>
      <c r="U2756" s="5" t="inlineStr">
        <is>
          <t>OK</t>
        </is>
      </c>
    </row>
    <row r="2757">
      <c r="A2757" s="5" t="inlineStr">
        <is>
          <t>E00648</t>
        </is>
      </c>
      <c r="B2757" s="5" t="inlineStr">
        <is>
          <t>Female</t>
        </is>
      </c>
      <c r="C2757" s="6" t="inlineStr">
        <is>
          <t>30</t>
        </is>
      </c>
      <c r="D2757" s="5" t="inlineStr">
        <is>
          <t>Married</t>
        </is>
      </c>
      <c r="E2757" s="5" t="inlineStr">
        <is>
          <t>Bachelor</t>
        </is>
      </c>
      <c r="F2757" s="5" t="inlineStr">
        <is>
          <t>Human Resources</t>
        </is>
      </c>
      <c r="G2757" s="5" t="inlineStr">
        <is>
          <t>HR Generalist</t>
        </is>
      </c>
      <c r="H2757" s="5" t="inlineStr">
        <is>
          <t>1</t>
        </is>
      </c>
      <c r="I2757" s="5" t="inlineStr">
        <is>
          <t>Delhi</t>
        </is>
      </c>
      <c r="J2757" s="5" t="inlineStr">
        <is>
          <t>Full-Time</t>
        </is>
      </c>
      <c r="K2757" s="7" t="n">
        <v>45703</v>
      </c>
      <c r="L2757" s="7" t="n">
        <v>45824</v>
      </c>
      <c r="M2757" s="5" t="inlineStr">
        <is>
          <t>No</t>
        </is>
      </c>
      <c r="N2757" s="5" t="inlineStr">
        <is>
          <t>Resigned</t>
        </is>
      </c>
      <c r="O2757" s="8" t="inlineStr">
        <is>
          <t>80500</t>
        </is>
      </c>
      <c r="P2757" s="5" t="inlineStr">
        <is>
          <t>5</t>
        </is>
      </c>
      <c r="Q2757" s="5" t="inlineStr">
        <is>
          <t>4</t>
        </is>
      </c>
      <c r="R2757" s="5" t="inlineStr">
        <is>
          <t>9</t>
        </is>
      </c>
      <c r="S2757" s="5" t="inlineStr">
        <is>
          <t>4</t>
        </is>
      </c>
      <c r="T2757" s="5" t="inlineStr">
        <is>
          <t>0</t>
        </is>
      </c>
      <c r="U2757" s="5" t="inlineStr">
        <is>
          <t>OK</t>
        </is>
      </c>
    </row>
    <row r="2758">
      <c r="A2758" s="5" t="inlineStr">
        <is>
          <t>E00489</t>
        </is>
      </c>
      <c r="B2758" s="5" t="inlineStr">
        <is>
          <t>Female</t>
        </is>
      </c>
      <c r="C2758" s="6" t="inlineStr">
        <is>
          <t>34</t>
        </is>
      </c>
      <c r="D2758" s="5" t="inlineStr">
        <is>
          <t>Married</t>
        </is>
      </c>
      <c r="E2758" s="5" t="inlineStr">
        <is>
          <t>High School</t>
        </is>
      </c>
      <c r="F2758" s="5" t="inlineStr">
        <is>
          <t>Customer Support</t>
        </is>
      </c>
      <c r="G2758" s="5" t="inlineStr">
        <is>
          <t>Escalation Specialist</t>
        </is>
      </c>
      <c r="H2758" s="5" t="inlineStr">
        <is>
          <t>4</t>
        </is>
      </c>
      <c r="I2758" s="5" t="inlineStr">
        <is>
          <t>Delhi</t>
        </is>
      </c>
      <c r="J2758" s="5" t="inlineStr">
        <is>
          <t>Full-Time</t>
        </is>
      </c>
      <c r="K2758" s="7" t="n">
        <v>45128</v>
      </c>
      <c r="L2758" s="7" t="n">
        <v>45204</v>
      </c>
      <c r="M2758" s="5" t="inlineStr">
        <is>
          <t>No</t>
        </is>
      </c>
      <c r="N2758" s="5" t="inlineStr">
        <is>
          <t>Layoff</t>
        </is>
      </c>
      <c r="O2758" s="8" t="inlineStr">
        <is>
          <t>81500</t>
        </is>
      </c>
      <c r="P2758" s="5" t="inlineStr">
        <is>
          <t>0</t>
        </is>
      </c>
      <c r="Q2758" s="5" t="inlineStr">
        <is>
          <t>4</t>
        </is>
      </c>
      <c r="R2758" s="5" t="inlineStr">
        <is>
          <t>10</t>
        </is>
      </c>
      <c r="S2758" s="5" t="inlineStr">
        <is>
          <t>2</t>
        </is>
      </c>
      <c r="T2758" s="5" t="inlineStr">
        <is>
          <t>0</t>
        </is>
      </c>
      <c r="U2758" s="5" t="inlineStr">
        <is>
          <t>OK</t>
        </is>
      </c>
    </row>
    <row r="2759">
      <c r="A2759" s="5" t="inlineStr">
        <is>
          <t>E01895</t>
        </is>
      </c>
      <c r="B2759" s="5" t="inlineStr">
        <is>
          <t>Unknown</t>
        </is>
      </c>
      <c r="C2759" s="6" t="inlineStr">
        <is>
          <t>32</t>
        </is>
      </c>
      <c r="D2759" s="5" t="inlineStr">
        <is>
          <t>Divorced</t>
        </is>
      </c>
      <c r="E2759" s="5" t="inlineStr">
        <is>
          <t>Master</t>
        </is>
      </c>
      <c r="F2759" s="5" t="inlineStr">
        <is>
          <t>Finance</t>
        </is>
      </c>
      <c r="G2759" s="5" t="inlineStr">
        <is>
          <t>Financial Analyst</t>
        </is>
      </c>
      <c r="H2759" s="5" t="inlineStr">
        <is>
          <t>1</t>
        </is>
      </c>
      <c r="I2759" s="5" t="inlineStr">
        <is>
          <t>Mumbai</t>
        </is>
      </c>
      <c r="J2759" s="5" t="inlineStr">
        <is>
          <t>Full-Time</t>
        </is>
      </c>
      <c r="K2759" s="7" t="n">
        <v>44572</v>
      </c>
      <c r="L2759" s="7" t="inlineStr"/>
      <c r="M2759" s="5" t="inlineStr">
        <is>
          <t>Yes</t>
        </is>
      </c>
      <c r="N2759" s="5" t="inlineStr"/>
      <c r="O2759" s="8" t="inlineStr">
        <is>
          <t>111000</t>
        </is>
      </c>
      <c r="P2759" s="5" t="inlineStr">
        <is>
          <t>0</t>
        </is>
      </c>
      <c r="Q2759" s="5" t="inlineStr">
        <is>
          <t>3</t>
        </is>
      </c>
      <c r="R2759" s="5" t="inlineStr">
        <is>
          <t>8</t>
        </is>
      </c>
      <c r="S2759" s="5" t="inlineStr">
        <is>
          <t>48</t>
        </is>
      </c>
      <c r="T2759" s="5" t="inlineStr">
        <is>
          <t>11</t>
        </is>
      </c>
      <c r="U2759" s="5" t="inlineStr">
        <is>
          <t>Bad gender</t>
        </is>
      </c>
    </row>
    <row r="2760">
      <c r="A2760" s="5" t="inlineStr">
        <is>
          <t>E02734</t>
        </is>
      </c>
      <c r="B2760" s="5" t="inlineStr">
        <is>
          <t>Female</t>
        </is>
      </c>
      <c r="C2760" s="6" t="inlineStr">
        <is>
          <t>30</t>
        </is>
      </c>
      <c r="D2760" s="5" t="inlineStr">
        <is>
          <t>Married</t>
        </is>
      </c>
      <c r="E2760" s="5" t="inlineStr">
        <is>
          <t>PhD</t>
        </is>
      </c>
      <c r="F2760" s="5" t="inlineStr">
        <is>
          <t>Operations</t>
        </is>
      </c>
      <c r="G2760" s="5" t="inlineStr">
        <is>
          <t>Quality Analyst</t>
        </is>
      </c>
      <c r="H2760" s="5" t="inlineStr">
        <is>
          <t>1</t>
        </is>
      </c>
      <c r="I2760" s="5" t="inlineStr">
        <is>
          <t>Hyderabad</t>
        </is>
      </c>
      <c r="J2760" s="5" t="inlineStr">
        <is>
          <t>Full-Time</t>
        </is>
      </c>
      <c r="K2760" s="7" t="n">
        <v>44708</v>
      </c>
      <c r="L2760" s="7" t="inlineStr"/>
      <c r="M2760" s="5" t="inlineStr">
        <is>
          <t>Yes</t>
        </is>
      </c>
      <c r="N2760" s="5" t="inlineStr"/>
      <c r="O2760" s="8" t="inlineStr">
        <is>
          <t>93500</t>
        </is>
      </c>
      <c r="P2760" s="5" t="inlineStr">
        <is>
          <t>0</t>
        </is>
      </c>
      <c r="Q2760" s="5" t="inlineStr">
        <is>
          <t>5</t>
        </is>
      </c>
      <c r="R2760" s="5" t="inlineStr">
        <is>
          <t>6</t>
        </is>
      </c>
      <c r="S2760" s="5" t="inlineStr">
        <is>
          <t>43</t>
        </is>
      </c>
      <c r="T2760" s="5" t="inlineStr">
        <is>
          <t>5</t>
        </is>
      </c>
      <c r="U2760" s="5" t="inlineStr">
        <is>
          <t>OK</t>
        </is>
      </c>
    </row>
    <row r="2761">
      <c r="A2761" s="5" t="inlineStr">
        <is>
          <t>E02841</t>
        </is>
      </c>
      <c r="B2761" s="5" t="inlineStr">
        <is>
          <t>Female</t>
        </is>
      </c>
      <c r="C2761" s="6" t="inlineStr">
        <is>
          <t>31</t>
        </is>
      </c>
      <c r="D2761" s="5" t="inlineStr">
        <is>
          <t>Single</t>
        </is>
      </c>
      <c r="E2761" s="5" t="inlineStr">
        <is>
          <t>PhD</t>
        </is>
      </c>
      <c r="F2761" s="5" t="inlineStr">
        <is>
          <t>Operations</t>
        </is>
      </c>
      <c r="G2761" s="5" t="inlineStr">
        <is>
          <t>Quality Analyst</t>
        </is>
      </c>
      <c r="H2761" s="5" t="inlineStr">
        <is>
          <t>1</t>
        </is>
      </c>
      <c r="I2761" s="5" t="inlineStr">
        <is>
          <t>Chennai</t>
        </is>
      </c>
      <c r="J2761" s="5" t="inlineStr">
        <is>
          <t>Full-Time</t>
        </is>
      </c>
      <c r="K2761" s="7" t="n">
        <v>45297</v>
      </c>
      <c r="L2761" s="7" t="inlineStr"/>
      <c r="M2761" s="5" t="inlineStr">
        <is>
          <t>Yes</t>
        </is>
      </c>
      <c r="N2761" s="5" t="inlineStr"/>
      <c r="O2761" s="8" t="inlineStr">
        <is>
          <t>67000</t>
        </is>
      </c>
      <c r="P2761" s="5" t="inlineStr">
        <is>
          <t>0</t>
        </is>
      </c>
      <c r="Q2761" s="5" t="inlineStr">
        <is>
          <t>3</t>
        </is>
      </c>
      <c r="R2761" s="5" t="inlineStr">
        <is>
          <t>7</t>
        </is>
      </c>
      <c r="S2761" s="5" t="inlineStr">
        <is>
          <t>24</t>
        </is>
      </c>
      <c r="T2761" s="5" t="inlineStr">
        <is>
          <t>9</t>
        </is>
      </c>
      <c r="U2761" s="5" t="inlineStr">
        <is>
          <t>OK</t>
        </is>
      </c>
    </row>
    <row r="2762">
      <c r="A2762" s="5" t="inlineStr">
        <is>
          <t>E02135</t>
        </is>
      </c>
      <c r="B2762" s="5" t="inlineStr">
        <is>
          <t>Male</t>
        </is>
      </c>
      <c r="C2762" s="6" t="inlineStr">
        <is>
          <t>33</t>
        </is>
      </c>
      <c r="D2762" s="5" t="inlineStr">
        <is>
          <t>Married</t>
        </is>
      </c>
      <c r="E2762" s="5" t="inlineStr">
        <is>
          <t>Diploma</t>
        </is>
      </c>
      <c r="F2762" s="5" t="inlineStr">
        <is>
          <t>Sales</t>
        </is>
      </c>
      <c r="G2762" s="5" t="inlineStr">
        <is>
          <t>Business Development</t>
        </is>
      </c>
      <c r="H2762" s="5" t="inlineStr">
        <is>
          <t>1</t>
        </is>
      </c>
      <c r="I2762" s="5" t="inlineStr">
        <is>
          <t>Bengaluru</t>
        </is>
      </c>
      <c r="J2762" s="5" t="inlineStr">
        <is>
          <t>Full-Time</t>
        </is>
      </c>
      <c r="K2762" s="7" t="n">
        <v>44667</v>
      </c>
      <c r="L2762" s="7" t="inlineStr"/>
      <c r="M2762" s="5" t="inlineStr">
        <is>
          <t>Yes</t>
        </is>
      </c>
      <c r="N2762" s="5" t="inlineStr"/>
      <c r="O2762" s="8" t="inlineStr">
        <is>
          <t>81500</t>
        </is>
      </c>
      <c r="P2762" s="5" t="inlineStr">
        <is>
          <t>5</t>
        </is>
      </c>
      <c r="Q2762" s="5" t="inlineStr">
        <is>
          <t>3</t>
        </is>
      </c>
      <c r="R2762" s="5" t="inlineStr">
        <is>
          <t>5</t>
        </is>
      </c>
      <c r="S2762" s="5" t="inlineStr">
        <is>
          <t>45</t>
        </is>
      </c>
      <c r="T2762" s="5" t="inlineStr">
        <is>
          <t>7</t>
        </is>
      </c>
      <c r="U2762" s="5" t="inlineStr">
        <is>
          <t>OK</t>
        </is>
      </c>
    </row>
    <row r="2763">
      <c r="A2763" s="5" t="inlineStr">
        <is>
          <t>E00520</t>
        </is>
      </c>
      <c r="B2763" s="5" t="inlineStr">
        <is>
          <t>Male</t>
        </is>
      </c>
      <c r="C2763" s="6" t="inlineStr">
        <is>
          <t>30</t>
        </is>
      </c>
      <c r="D2763" s="5" t="inlineStr">
        <is>
          <t>Married</t>
        </is>
      </c>
      <c r="E2763" s="5" t="inlineStr">
        <is>
          <t>Master</t>
        </is>
      </c>
      <c r="F2763" s="5" t="inlineStr">
        <is>
          <t>Customer Support</t>
        </is>
      </c>
      <c r="G2763" s="5" t="inlineStr">
        <is>
          <t>Support Agent</t>
        </is>
      </c>
      <c r="H2763" s="5" t="inlineStr">
        <is>
          <t>2</t>
        </is>
      </c>
      <c r="I2763" s="5" t="inlineStr">
        <is>
          <t>Remote</t>
        </is>
      </c>
      <c r="J2763" s="5" t="inlineStr">
        <is>
          <t>Full-Time</t>
        </is>
      </c>
      <c r="K2763" s="7" t="n">
        <v>44749</v>
      </c>
      <c r="L2763" s="7" t="inlineStr"/>
      <c r="M2763" s="5" t="inlineStr">
        <is>
          <t>Yes</t>
        </is>
      </c>
      <c r="N2763" s="5" t="inlineStr"/>
      <c r="O2763" s="8" t="inlineStr">
        <is>
          <t>59500</t>
        </is>
      </c>
      <c r="P2763" s="5" t="inlineStr">
        <is>
          <t>15</t>
        </is>
      </c>
      <c r="Q2763" s="5" t="inlineStr">
        <is>
          <t>3</t>
        </is>
      </c>
      <c r="R2763" s="5" t="inlineStr">
        <is>
          <t>7</t>
        </is>
      </c>
      <c r="S2763" s="5" t="inlineStr">
        <is>
          <t>42</t>
        </is>
      </c>
      <c r="T2763" s="5" t="inlineStr">
        <is>
          <t>14</t>
        </is>
      </c>
      <c r="U2763" s="5" t="inlineStr">
        <is>
          <t>OK</t>
        </is>
      </c>
    </row>
    <row r="2764">
      <c r="A2764" s="5" t="inlineStr">
        <is>
          <t>E02948</t>
        </is>
      </c>
      <c r="B2764" s="5" t="inlineStr">
        <is>
          <t>Male</t>
        </is>
      </c>
      <c r="C2764" s="6" t="inlineStr">
        <is>
          <t>32</t>
        </is>
      </c>
      <c r="D2764" s="5" t="inlineStr">
        <is>
          <t>Single</t>
        </is>
      </c>
      <c r="E2764" s="5" t="inlineStr">
        <is>
          <t>Bachelor</t>
        </is>
      </c>
      <c r="F2764" s="5" t="inlineStr">
        <is>
          <t>Finance</t>
        </is>
      </c>
      <c r="G2764" s="5" t="inlineStr">
        <is>
          <t>Credit Analyst</t>
        </is>
      </c>
      <c r="H2764" s="5" t="inlineStr">
        <is>
          <t>3</t>
        </is>
      </c>
      <c r="I2764" s="5" t="inlineStr">
        <is>
          <t>Bengaluru</t>
        </is>
      </c>
      <c r="J2764" s="5" t="inlineStr">
        <is>
          <t>Full-Time</t>
        </is>
      </c>
      <c r="K2764" s="7" t="n">
        <v>45875</v>
      </c>
      <c r="L2764" s="7" t="inlineStr"/>
      <c r="M2764" s="5" t="inlineStr">
        <is>
          <t>Yes</t>
        </is>
      </c>
      <c r="N2764" s="5" t="inlineStr"/>
      <c r="O2764" s="8" t="inlineStr">
        <is>
          <t>106000</t>
        </is>
      </c>
      <c r="P2764" s="5" t="inlineStr">
        <is>
          <t>0</t>
        </is>
      </c>
      <c r="Q2764" s="5" t="inlineStr">
        <is>
          <t>5</t>
        </is>
      </c>
      <c r="R2764" s="5" t="inlineStr">
        <is>
          <t>4</t>
        </is>
      </c>
      <c r="S2764" s="5" t="inlineStr">
        <is>
          <t>4</t>
        </is>
      </c>
      <c r="T2764" s="5" t="inlineStr">
        <is>
          <t>12</t>
        </is>
      </c>
      <c r="U2764" s="5" t="inlineStr">
        <is>
          <t>OK</t>
        </is>
      </c>
    </row>
    <row r="2765">
      <c r="A2765" s="5" t="inlineStr">
        <is>
          <t>E00289</t>
        </is>
      </c>
      <c r="B2765" s="5" t="inlineStr">
        <is>
          <t>Male</t>
        </is>
      </c>
      <c r="C2765" s="6" t="inlineStr">
        <is>
          <t>33</t>
        </is>
      </c>
      <c r="D2765" s="5" t="inlineStr">
        <is>
          <t>Single</t>
        </is>
      </c>
      <c r="E2765" s="5" t="inlineStr">
        <is>
          <t>Bachelor</t>
        </is>
      </c>
      <c r="F2765" s="5" t="inlineStr">
        <is>
          <t>Customer Support</t>
        </is>
      </c>
      <c r="G2765" s="5" t="inlineStr">
        <is>
          <t>Support Agent</t>
        </is>
      </c>
      <c r="H2765" s="5" t="inlineStr">
        <is>
          <t>3</t>
        </is>
      </c>
      <c r="I2765" s="5" t="inlineStr">
        <is>
          <t>Bengaluru</t>
        </is>
      </c>
      <c r="J2765" s="5" t="inlineStr">
        <is>
          <t>Full-Time</t>
        </is>
      </c>
      <c r="K2765" s="7" t="n">
        <v>45365</v>
      </c>
      <c r="L2765" s="7" t="n">
        <v>45515</v>
      </c>
      <c r="M2765" s="5" t="inlineStr">
        <is>
          <t>No</t>
        </is>
      </c>
      <c r="N2765" s="5" t="inlineStr">
        <is>
          <t>Performance / Termination</t>
        </is>
      </c>
      <c r="O2765" s="8" t="inlineStr">
        <is>
          <t>94500</t>
        </is>
      </c>
      <c r="P2765" s="5" t="inlineStr">
        <is>
          <t>5</t>
        </is>
      </c>
      <c r="Q2765" s="5" t="inlineStr">
        <is>
          <t>3</t>
        </is>
      </c>
      <c r="R2765" s="5" t="inlineStr">
        <is>
          <t>6</t>
        </is>
      </c>
      <c r="S2765" s="5" t="inlineStr">
        <is>
          <t>5</t>
        </is>
      </c>
      <c r="T2765" s="5" t="inlineStr">
        <is>
          <t>0</t>
        </is>
      </c>
      <c r="U2765" s="5" t="inlineStr">
        <is>
          <t>OK</t>
        </is>
      </c>
    </row>
    <row r="2766">
      <c r="A2766" s="5" t="inlineStr">
        <is>
          <t>E02853</t>
        </is>
      </c>
      <c r="B2766" s="5" t="inlineStr">
        <is>
          <t>Female</t>
        </is>
      </c>
      <c r="C2766" s="6" t="inlineStr">
        <is>
          <t>35</t>
        </is>
      </c>
      <c r="D2766" s="5" t="inlineStr">
        <is>
          <t>Married</t>
        </is>
      </c>
      <c r="E2766" s="5" t="inlineStr">
        <is>
          <t>Bachelor</t>
        </is>
      </c>
      <c r="F2766" s="5" t="inlineStr">
        <is>
          <t>Operations</t>
        </is>
      </c>
      <c r="G2766" s="5" t="inlineStr">
        <is>
          <t>Quality Analyst</t>
        </is>
      </c>
      <c r="H2766" s="5" t="inlineStr">
        <is>
          <t>2</t>
        </is>
      </c>
      <c r="I2766" s="5" t="inlineStr">
        <is>
          <t>Bengaluru</t>
        </is>
      </c>
      <c r="J2766" s="5" t="inlineStr">
        <is>
          <t>Full-Time</t>
        </is>
      </c>
      <c r="K2766" s="7" t="n">
        <v>44558</v>
      </c>
      <c r="L2766" s="7" t="inlineStr"/>
      <c r="M2766" s="5" t="inlineStr">
        <is>
          <t>Yes</t>
        </is>
      </c>
      <c r="N2766" s="5" t="inlineStr"/>
      <c r="O2766" s="8" t="inlineStr">
        <is>
          <t>69500</t>
        </is>
      </c>
      <c r="P2766" s="5" t="inlineStr">
        <is>
          <t>10</t>
        </is>
      </c>
      <c r="Q2766" s="5" t="inlineStr">
        <is>
          <t>1</t>
        </is>
      </c>
      <c r="R2766" s="5" t="inlineStr">
        <is>
          <t>7</t>
        </is>
      </c>
      <c r="S2766" s="5" t="inlineStr">
        <is>
          <t>48</t>
        </is>
      </c>
      <c r="T2766" s="5" t="inlineStr">
        <is>
          <t>0</t>
        </is>
      </c>
      <c r="U2766" s="5" t="inlineStr">
        <is>
          <t>OK</t>
        </is>
      </c>
    </row>
    <row r="2767">
      <c r="A2767" s="5" t="inlineStr">
        <is>
          <t>E00933</t>
        </is>
      </c>
      <c r="B2767" s="5" t="inlineStr">
        <is>
          <t>Male</t>
        </is>
      </c>
      <c r="C2767" s="6" t="inlineStr">
        <is>
          <t>25</t>
        </is>
      </c>
      <c r="D2767" s="5" t="inlineStr">
        <is>
          <t>Married</t>
        </is>
      </c>
      <c r="E2767" s="5" t="inlineStr">
        <is>
          <t>Bachelor</t>
        </is>
      </c>
      <c r="F2767" s="5" t="inlineStr">
        <is>
          <t>Operations</t>
        </is>
      </c>
      <c r="G2767" s="5" t="inlineStr">
        <is>
          <t>Quality Analyst</t>
        </is>
      </c>
      <c r="H2767" s="5" t="inlineStr">
        <is>
          <t>2</t>
        </is>
      </c>
      <c r="I2767" s="5" t="inlineStr">
        <is>
          <t>Bengaluru</t>
        </is>
      </c>
      <c r="J2767" s="5" t="inlineStr">
        <is>
          <t>Part-Time</t>
        </is>
      </c>
      <c r="K2767" s="7" t="n">
        <v>45570</v>
      </c>
      <c r="L2767" s="7" t="n">
        <v>45642</v>
      </c>
      <c r="M2767" s="5" t="inlineStr">
        <is>
          <t>No</t>
        </is>
      </c>
      <c r="N2767" s="5" t="inlineStr">
        <is>
          <t>Resigned</t>
        </is>
      </c>
      <c r="O2767" s="8" t="inlineStr">
        <is>
          <t>93000</t>
        </is>
      </c>
      <c r="P2767" s="5" t="inlineStr">
        <is>
          <t>0</t>
        </is>
      </c>
      <c r="Q2767" s="5" t="inlineStr">
        <is>
          <t>2</t>
        </is>
      </c>
      <c r="R2767" s="5" t="inlineStr">
        <is>
          <t>8</t>
        </is>
      </c>
      <c r="S2767" s="5" t="inlineStr">
        <is>
          <t>2</t>
        </is>
      </c>
      <c r="T2767" s="5" t="inlineStr">
        <is>
          <t>12</t>
        </is>
      </c>
      <c r="U2767" s="5" t="inlineStr">
        <is>
          <t>OK</t>
        </is>
      </c>
    </row>
    <row r="2768">
      <c r="A2768" s="5" t="inlineStr">
        <is>
          <t>E02464</t>
        </is>
      </c>
      <c r="B2768" s="5" t="inlineStr">
        <is>
          <t>Male</t>
        </is>
      </c>
      <c r="C2768" s="6" t="inlineStr">
        <is>
          <t>34</t>
        </is>
      </c>
      <c r="D2768" s="5" t="inlineStr">
        <is>
          <t>Married</t>
        </is>
      </c>
      <c r="E2768" s="5" t="inlineStr">
        <is>
          <t>Diploma</t>
        </is>
      </c>
      <c r="F2768" s="5" t="inlineStr">
        <is>
          <t>Marketing</t>
        </is>
      </c>
      <c r="G2768" s="5" t="inlineStr">
        <is>
          <t>Marketing Analyst</t>
        </is>
      </c>
      <c r="H2768" s="5" t="inlineStr">
        <is>
          <t>3</t>
        </is>
      </c>
      <c r="I2768" s="5" t="inlineStr">
        <is>
          <t>Mumbai</t>
        </is>
      </c>
      <c r="J2768" s="5" t="inlineStr">
        <is>
          <t>Full-Time</t>
        </is>
      </c>
      <c r="K2768" s="7" t="n">
        <v>46019</v>
      </c>
      <c r="L2768" s="7" t="inlineStr"/>
      <c r="M2768" s="5" t="inlineStr">
        <is>
          <t>Yes</t>
        </is>
      </c>
      <c r="N2768" s="5" t="inlineStr"/>
      <c r="O2768" s="8" t="inlineStr">
        <is>
          <t>74000</t>
        </is>
      </c>
      <c r="P2768" s="5" t="inlineStr">
        <is>
          <t>0</t>
        </is>
      </c>
      <c r="Q2768" s="5" t="inlineStr">
        <is>
          <t>3</t>
        </is>
      </c>
      <c r="R2768" s="5" t="inlineStr">
        <is>
          <t>4</t>
        </is>
      </c>
      <c r="S2768" s="5" t="inlineStr">
        <is>
          <t>1</t>
        </is>
      </c>
      <c r="T2768" s="5" t="inlineStr">
        <is>
          <t>5</t>
        </is>
      </c>
      <c r="U2768" s="5" t="inlineStr">
        <is>
          <t>OK</t>
        </is>
      </c>
    </row>
    <row r="2769">
      <c r="A2769" s="5" t="inlineStr">
        <is>
          <t>E01936</t>
        </is>
      </c>
      <c r="B2769" s="5" t="inlineStr">
        <is>
          <t>Male</t>
        </is>
      </c>
      <c r="C2769" s="6" t="inlineStr">
        <is>
          <t>30</t>
        </is>
      </c>
      <c r="D2769" s="5" t="inlineStr">
        <is>
          <t>Single</t>
        </is>
      </c>
      <c r="E2769" s="5" t="inlineStr">
        <is>
          <t>Master</t>
        </is>
      </c>
      <c r="F2769" s="5" t="inlineStr">
        <is>
          <t>IT</t>
        </is>
      </c>
      <c r="G2769" s="5" t="inlineStr">
        <is>
          <t>DevOps Engineer</t>
        </is>
      </c>
      <c r="H2769" s="5" t="inlineStr">
        <is>
          <t>2</t>
        </is>
      </c>
      <c r="I2769" s="5" t="inlineStr">
        <is>
          <t>Remote</t>
        </is>
      </c>
      <c r="J2769" s="5" t="inlineStr">
        <is>
          <t>Full-Time</t>
        </is>
      </c>
      <c r="K2769" s="7" t="n">
        <v>43884</v>
      </c>
      <c r="L2769" s="7" t="inlineStr"/>
      <c r="M2769" s="5" t="inlineStr">
        <is>
          <t>Yes</t>
        </is>
      </c>
      <c r="N2769" s="5" t="inlineStr"/>
      <c r="O2769" s="8" t="inlineStr">
        <is>
          <t>136000</t>
        </is>
      </c>
      <c r="P2769" s="5" t="inlineStr">
        <is>
          <t>10</t>
        </is>
      </c>
      <c r="Q2769" s="5" t="inlineStr">
        <is>
          <t>4</t>
        </is>
      </c>
      <c r="R2769" s="5" t="inlineStr">
        <is>
          <t>5</t>
        </is>
      </c>
      <c r="S2769" s="5" t="inlineStr">
        <is>
          <t>71</t>
        </is>
      </c>
      <c r="T2769" s="5" t="inlineStr">
        <is>
          <t>18</t>
        </is>
      </c>
      <c r="U2769" s="5" t="inlineStr">
        <is>
          <t>OK</t>
        </is>
      </c>
    </row>
    <row r="2770">
      <c r="A2770" s="5" t="inlineStr">
        <is>
          <t>E01648</t>
        </is>
      </c>
      <c r="B2770" s="5" t="inlineStr">
        <is>
          <t>Male</t>
        </is>
      </c>
      <c r="C2770" s="6" t="inlineStr">
        <is>
          <t>38</t>
        </is>
      </c>
      <c r="D2770" s="5" t="inlineStr">
        <is>
          <t>Single</t>
        </is>
      </c>
      <c r="E2770" s="5" t="inlineStr">
        <is>
          <t>Diploma</t>
        </is>
      </c>
      <c r="F2770" s="5" t="inlineStr">
        <is>
          <t>Marketing</t>
        </is>
      </c>
      <c r="G2770" s="5" t="inlineStr">
        <is>
          <t>SEO Specialist</t>
        </is>
      </c>
      <c r="H2770" s="5" t="inlineStr">
        <is>
          <t>4</t>
        </is>
      </c>
      <c r="I2770" s="5" t="inlineStr">
        <is>
          <t>Chennai</t>
        </is>
      </c>
      <c r="J2770" s="5" t="inlineStr">
        <is>
          <t>Full-Time</t>
        </is>
      </c>
      <c r="K2770" s="7" t="n">
        <v>44108</v>
      </c>
      <c r="L2770" s="7" t="inlineStr"/>
      <c r="M2770" s="5" t="inlineStr">
        <is>
          <t>Yes</t>
        </is>
      </c>
      <c r="N2770" s="5" t="inlineStr"/>
      <c r="O2770" s="8" t="inlineStr">
        <is>
          <t>118500</t>
        </is>
      </c>
      <c r="P2770" s="5" t="inlineStr">
        <is>
          <t>15</t>
        </is>
      </c>
      <c r="Q2770" s="5" t="inlineStr">
        <is>
          <t>4</t>
        </is>
      </c>
      <c r="R2770" s="5" t="inlineStr">
        <is>
          <t>3</t>
        </is>
      </c>
      <c r="S2770" s="5" t="inlineStr">
        <is>
          <t>63</t>
        </is>
      </c>
      <c r="T2770" s="5" t="inlineStr">
        <is>
          <t>1</t>
        </is>
      </c>
      <c r="U2770" s="5" t="inlineStr">
        <is>
          <t>OK</t>
        </is>
      </c>
    </row>
    <row r="2771">
      <c r="A2771" s="5" t="inlineStr">
        <is>
          <t>E00763</t>
        </is>
      </c>
      <c r="B2771" s="5" t="inlineStr">
        <is>
          <t>Female</t>
        </is>
      </c>
      <c r="C2771" s="6" t="inlineStr">
        <is>
          <t>34</t>
        </is>
      </c>
      <c r="D2771" s="5" t="inlineStr">
        <is>
          <t>Single</t>
        </is>
      </c>
      <c r="E2771" s="5" t="inlineStr">
        <is>
          <t>Diploma</t>
        </is>
      </c>
      <c r="F2771" s="5" t="inlineStr">
        <is>
          <t>Operations</t>
        </is>
      </c>
      <c r="G2771" s="5" t="inlineStr">
        <is>
          <t>Logistics Coordinator</t>
        </is>
      </c>
      <c r="H2771" s="5" t="inlineStr">
        <is>
          <t>2</t>
        </is>
      </c>
      <c r="I2771" s="5" t="inlineStr">
        <is>
          <t>Chennai</t>
        </is>
      </c>
      <c r="J2771" s="5" t="inlineStr">
        <is>
          <t>Full-Time</t>
        </is>
      </c>
      <c r="K2771" s="7" t="n">
        <v>44627</v>
      </c>
      <c r="L2771" s="7" t="inlineStr"/>
      <c r="M2771" s="5" t="inlineStr">
        <is>
          <t>Yes</t>
        </is>
      </c>
      <c r="N2771" s="5" t="inlineStr"/>
      <c r="O2771" s="8" t="inlineStr">
        <is>
          <t>80000</t>
        </is>
      </c>
      <c r="P2771" s="5" t="inlineStr">
        <is>
          <t>0</t>
        </is>
      </c>
      <c r="Q2771" s="5" t="inlineStr">
        <is>
          <t>3</t>
        </is>
      </c>
      <c r="R2771" s="5" t="inlineStr">
        <is>
          <t>3</t>
        </is>
      </c>
      <c r="S2771" s="5" t="inlineStr">
        <is>
          <t>46</t>
        </is>
      </c>
      <c r="T2771" s="5" t="inlineStr">
        <is>
          <t>11</t>
        </is>
      </c>
      <c r="U2771" s="5" t="inlineStr">
        <is>
          <t>OK</t>
        </is>
      </c>
    </row>
    <row r="2772">
      <c r="A2772" s="5" t="inlineStr">
        <is>
          <t>E02085</t>
        </is>
      </c>
      <c r="B2772" s="5" t="inlineStr">
        <is>
          <t>Female</t>
        </is>
      </c>
      <c r="C2772" s="6" t="inlineStr">
        <is>
          <t>27</t>
        </is>
      </c>
      <c r="D2772" s="5" t="inlineStr">
        <is>
          <t>Married</t>
        </is>
      </c>
      <c r="E2772" s="5" t="inlineStr">
        <is>
          <t>Master</t>
        </is>
      </c>
      <c r="F2772" s="5" t="inlineStr">
        <is>
          <t>Operations</t>
        </is>
      </c>
      <c r="G2772" s="5" t="inlineStr">
        <is>
          <t>Operations Analyst</t>
        </is>
      </c>
      <c r="H2772" s="5" t="inlineStr">
        <is>
          <t>3</t>
        </is>
      </c>
      <c r="I2772" s="5" t="inlineStr">
        <is>
          <t>Delhi</t>
        </is>
      </c>
      <c r="J2772" s="5" t="inlineStr">
        <is>
          <t>Full-Time</t>
        </is>
      </c>
      <c r="K2772" s="7" t="n">
        <v>44183</v>
      </c>
      <c r="L2772" s="7" t="inlineStr"/>
      <c r="M2772" s="5" t="inlineStr">
        <is>
          <t>Yes</t>
        </is>
      </c>
      <c r="N2772" s="5" t="inlineStr"/>
      <c r="O2772" s="8" t="inlineStr">
        <is>
          <t>109500</t>
        </is>
      </c>
      <c r="P2772" s="5" t="inlineStr">
        <is>
          <t>0</t>
        </is>
      </c>
      <c r="Q2772" s="5" t="inlineStr">
        <is>
          <t>4</t>
        </is>
      </c>
      <c r="R2772" s="5" t="inlineStr">
        <is>
          <t>4</t>
        </is>
      </c>
      <c r="S2772" s="5" t="inlineStr">
        <is>
          <t>61</t>
        </is>
      </c>
      <c r="T2772" s="5" t="inlineStr">
        <is>
          <t>3</t>
        </is>
      </c>
      <c r="U2772" s="5" t="inlineStr">
        <is>
          <t>OK</t>
        </is>
      </c>
    </row>
    <row r="2773">
      <c r="A2773" s="5" t="inlineStr">
        <is>
          <t>E01350</t>
        </is>
      </c>
      <c r="B2773" s="5" t="inlineStr">
        <is>
          <t>Female</t>
        </is>
      </c>
      <c r="C2773" s="6" t="inlineStr">
        <is>
          <t>29</t>
        </is>
      </c>
      <c r="D2773" s="5" t="inlineStr">
        <is>
          <t>Married</t>
        </is>
      </c>
      <c r="E2773" s="5" t="inlineStr">
        <is>
          <t>High School</t>
        </is>
      </c>
      <c r="F2773" s="5" t="inlineStr">
        <is>
          <t>Executive</t>
        </is>
      </c>
      <c r="G2773" s="5" t="inlineStr">
        <is>
          <t>COO</t>
        </is>
      </c>
      <c r="H2773" s="5" t="inlineStr">
        <is>
          <t>2</t>
        </is>
      </c>
      <c r="I2773" s="5" t="inlineStr">
        <is>
          <t>Bengaluru</t>
        </is>
      </c>
      <c r="J2773" s="5" t="inlineStr">
        <is>
          <t>Full-Time</t>
        </is>
      </c>
      <c r="K2773" s="7" t="n">
        <v>44258</v>
      </c>
      <c r="L2773" s="7" t="n">
        <v>44342</v>
      </c>
      <c r="M2773" s="5" t="inlineStr">
        <is>
          <t>No</t>
        </is>
      </c>
      <c r="N2773" s="5" t="inlineStr">
        <is>
          <t>Resigned</t>
        </is>
      </c>
      <c r="O2773" s="8" t="inlineStr">
        <is>
          <t>181500</t>
        </is>
      </c>
      <c r="P2773" s="5" t="inlineStr">
        <is>
          <t>5</t>
        </is>
      </c>
      <c r="Q2773" s="5" t="inlineStr">
        <is>
          <t>3</t>
        </is>
      </c>
      <c r="R2773" s="5" t="inlineStr">
        <is>
          <t>7</t>
        </is>
      </c>
      <c r="S2773" s="5" t="inlineStr">
        <is>
          <t>2</t>
        </is>
      </c>
      <c r="T2773" s="5" t="inlineStr">
        <is>
          <t>5</t>
        </is>
      </c>
      <c r="U2773" s="5" t="inlineStr">
        <is>
          <t>OK</t>
        </is>
      </c>
    </row>
    <row r="2774">
      <c r="A2774" s="5" t="inlineStr">
        <is>
          <t>E00887</t>
        </is>
      </c>
      <c r="B2774" s="5" t="inlineStr">
        <is>
          <t>Female</t>
        </is>
      </c>
      <c r="C2774" s="6" t="inlineStr">
        <is>
          <t>34</t>
        </is>
      </c>
      <c r="D2774" s="5" t="inlineStr">
        <is>
          <t>Married</t>
        </is>
      </c>
      <c r="E2774" s="5" t="inlineStr">
        <is>
          <t>PhD</t>
        </is>
      </c>
      <c r="F2774" s="5" t="inlineStr">
        <is>
          <t>Finance</t>
        </is>
      </c>
      <c r="G2774" s="5" t="inlineStr">
        <is>
          <t>Credit Analyst</t>
        </is>
      </c>
      <c r="H2774" s="5" t="inlineStr">
        <is>
          <t>3</t>
        </is>
      </c>
      <c r="I2774" s="5" t="inlineStr">
        <is>
          <t>Mumbai</t>
        </is>
      </c>
      <c r="J2774" s="5" t="inlineStr">
        <is>
          <t>Full-Time</t>
        </is>
      </c>
      <c r="K2774" s="7" t="n">
        <v>45813</v>
      </c>
      <c r="L2774" s="7" t="inlineStr"/>
      <c r="M2774" s="5" t="inlineStr">
        <is>
          <t>Yes</t>
        </is>
      </c>
      <c r="N2774" s="5" t="inlineStr"/>
      <c r="O2774" s="8" t="inlineStr">
        <is>
          <t>144500</t>
        </is>
      </c>
      <c r="P2774" s="5" t="inlineStr">
        <is>
          <t>0</t>
        </is>
      </c>
      <c r="Q2774" s="5" t="inlineStr">
        <is>
          <t>4</t>
        </is>
      </c>
      <c r="R2774" s="5" t="inlineStr">
        <is>
          <t>8</t>
        </is>
      </c>
      <c r="S2774" s="5" t="inlineStr">
        <is>
          <t>6</t>
        </is>
      </c>
      <c r="T2774" s="5" t="inlineStr">
        <is>
          <t>5</t>
        </is>
      </c>
      <c r="U2774" s="5" t="inlineStr">
        <is>
          <t>OK</t>
        </is>
      </c>
    </row>
    <row r="2775">
      <c r="A2775" s="5" t="inlineStr">
        <is>
          <t>E01356</t>
        </is>
      </c>
      <c r="B2775" s="5" t="inlineStr">
        <is>
          <t>Male</t>
        </is>
      </c>
      <c r="C2775" s="6" t="inlineStr">
        <is>
          <t>34</t>
        </is>
      </c>
      <c r="D2775" s="5" t="inlineStr">
        <is>
          <t>Married</t>
        </is>
      </c>
      <c r="E2775" s="5" t="inlineStr">
        <is>
          <t>Bachelor</t>
        </is>
      </c>
      <c r="F2775" s="5" t="inlineStr">
        <is>
          <t>Sales</t>
        </is>
      </c>
      <c r="G2775" s="5" t="inlineStr">
        <is>
          <t>Business Development</t>
        </is>
      </c>
      <c r="H2775" s="5" t="inlineStr">
        <is>
          <t>2</t>
        </is>
      </c>
      <c r="I2775" s="5" t="inlineStr">
        <is>
          <t>Chennai</t>
        </is>
      </c>
      <c r="J2775" s="5" t="inlineStr">
        <is>
          <t>Full-Time</t>
        </is>
      </c>
      <c r="K2775" s="7" t="n">
        <v>45896</v>
      </c>
      <c r="L2775" s="7" t="n">
        <v>45975</v>
      </c>
      <c r="M2775" s="5" t="inlineStr">
        <is>
          <t>No</t>
        </is>
      </c>
      <c r="N2775" s="5" t="inlineStr">
        <is>
          <t>Resigned</t>
        </is>
      </c>
      <c r="O2775" s="8" t="inlineStr">
        <is>
          <t>121500</t>
        </is>
      </c>
      <c r="P2775" s="5" t="inlineStr">
        <is>
          <t>15</t>
        </is>
      </c>
      <c r="Q2775" s="5" t="inlineStr">
        <is>
          <t>4</t>
        </is>
      </c>
      <c r="R2775" s="5" t="inlineStr">
        <is>
          <t>7</t>
        </is>
      </c>
      <c r="S2775" s="5" t="inlineStr">
        <is>
          <t>2</t>
        </is>
      </c>
      <c r="T2775" s="5" t="inlineStr">
        <is>
          <t>4</t>
        </is>
      </c>
      <c r="U2775" s="5" t="inlineStr">
        <is>
          <t>OK</t>
        </is>
      </c>
    </row>
    <row r="2776">
      <c r="A2776" s="5" t="inlineStr">
        <is>
          <t>E01211</t>
        </is>
      </c>
      <c r="B2776" s="5" t="inlineStr">
        <is>
          <t>Male</t>
        </is>
      </c>
      <c r="C2776" s="6" t="inlineStr">
        <is>
          <t>25</t>
        </is>
      </c>
      <c r="D2776" s="5" t="inlineStr">
        <is>
          <t>Single</t>
        </is>
      </c>
      <c r="E2776" s="5" t="inlineStr">
        <is>
          <t>Bachelor</t>
        </is>
      </c>
      <c r="F2776" s="5" t="inlineStr">
        <is>
          <t>Operations</t>
        </is>
      </c>
      <c r="G2776" s="5" t="inlineStr">
        <is>
          <t>Quality Analyst</t>
        </is>
      </c>
      <c r="H2776" s="5" t="inlineStr">
        <is>
          <t>1</t>
        </is>
      </c>
      <c r="I2776" s="5" t="inlineStr">
        <is>
          <t>Bengaluru</t>
        </is>
      </c>
      <c r="J2776" s="5" t="inlineStr">
        <is>
          <t>Full-Time</t>
        </is>
      </c>
      <c r="K2776" s="7" t="n">
        <v>43865</v>
      </c>
      <c r="L2776" s="7" t="inlineStr"/>
      <c r="M2776" s="5" t="inlineStr">
        <is>
          <t>Yes</t>
        </is>
      </c>
      <c r="N2776" s="5" t="inlineStr"/>
      <c r="O2776" s="8" t="inlineStr">
        <is>
          <t>89500</t>
        </is>
      </c>
      <c r="P2776" s="5" t="inlineStr">
        <is>
          <t>0</t>
        </is>
      </c>
      <c r="Q2776" s="5" t="inlineStr">
        <is>
          <t>4</t>
        </is>
      </c>
      <c r="R2776" s="5" t="inlineStr">
        <is>
          <t>5</t>
        </is>
      </c>
      <c r="S2776" s="5" t="inlineStr">
        <is>
          <t>71</t>
        </is>
      </c>
      <c r="T2776" s="5" t="inlineStr">
        <is>
          <t>0</t>
        </is>
      </c>
      <c r="U2776" s="5" t="inlineStr">
        <is>
          <t>OK</t>
        </is>
      </c>
    </row>
    <row r="2777">
      <c r="A2777" s="5" t="inlineStr">
        <is>
          <t>E02694</t>
        </is>
      </c>
      <c r="B2777" s="5" t="inlineStr">
        <is>
          <t>Male</t>
        </is>
      </c>
      <c r="C2777" s="6" t="inlineStr">
        <is>
          <t>29</t>
        </is>
      </c>
      <c r="D2777" s="5" t="inlineStr">
        <is>
          <t>Married</t>
        </is>
      </c>
      <c r="E2777" s="5" t="inlineStr">
        <is>
          <t>Bachelor</t>
        </is>
      </c>
      <c r="F2777" s="5" t="inlineStr">
        <is>
          <t>Customer Support</t>
        </is>
      </c>
      <c r="G2777" s="5" t="inlineStr">
        <is>
          <t>Support Lead</t>
        </is>
      </c>
      <c r="H2777" s="5" t="inlineStr">
        <is>
          <t>2</t>
        </is>
      </c>
      <c r="I2777" s="5" t="inlineStr">
        <is>
          <t>Remote</t>
        </is>
      </c>
      <c r="J2777" s="5" t="inlineStr">
        <is>
          <t>Full-Time</t>
        </is>
      </c>
      <c r="K2777" s="7" t="n">
        <v>45016</v>
      </c>
      <c r="L2777" s="7" t="inlineStr"/>
      <c r="M2777" s="5" t="inlineStr">
        <is>
          <t>Yes</t>
        </is>
      </c>
      <c r="N2777" s="5" t="inlineStr"/>
      <c r="O2777" s="8" t="inlineStr">
        <is>
          <t>73500</t>
        </is>
      </c>
      <c r="P2777" s="5" t="inlineStr">
        <is>
          <t>10</t>
        </is>
      </c>
      <c r="Q2777" s="5" t="inlineStr">
        <is>
          <t>3</t>
        </is>
      </c>
      <c r="R2777" s="5" t="inlineStr">
        <is>
          <t>2</t>
        </is>
      </c>
      <c r="S2777" s="5" t="inlineStr">
        <is>
          <t>33</t>
        </is>
      </c>
      <c r="T2777" s="5" t="inlineStr">
        <is>
          <t>8</t>
        </is>
      </c>
      <c r="U2777" s="5" t="inlineStr">
        <is>
          <t>OK</t>
        </is>
      </c>
    </row>
    <row r="2778">
      <c r="A2778" s="5" t="inlineStr">
        <is>
          <t>E02475</t>
        </is>
      </c>
      <c r="B2778" s="5" t="inlineStr">
        <is>
          <t>Female</t>
        </is>
      </c>
      <c r="C2778" s="6" t="inlineStr">
        <is>
          <t>30</t>
        </is>
      </c>
      <c r="D2778" s="5" t="inlineStr">
        <is>
          <t>Single</t>
        </is>
      </c>
      <c r="E2778" s="5" t="inlineStr">
        <is>
          <t>High School</t>
        </is>
      </c>
      <c r="F2778" s="5" t="inlineStr">
        <is>
          <t>Finance</t>
        </is>
      </c>
      <c r="G2778" s="5" t="inlineStr">
        <is>
          <t>Financial Analyst</t>
        </is>
      </c>
      <c r="H2778" s="5" t="inlineStr">
        <is>
          <t>1</t>
        </is>
      </c>
      <c r="I2778" s="5" t="inlineStr">
        <is>
          <t>Chennai</t>
        </is>
      </c>
      <c r="J2778" s="5" t="inlineStr">
        <is>
          <t>Contract</t>
        </is>
      </c>
      <c r="K2778" s="7" t="n">
        <v>44171</v>
      </c>
      <c r="L2778" s="7" t="n">
        <v>44310</v>
      </c>
      <c r="M2778" s="5" t="inlineStr">
        <is>
          <t>No</t>
        </is>
      </c>
      <c r="N2778" s="5" t="inlineStr">
        <is>
          <t>Resigned</t>
        </is>
      </c>
      <c r="O2778" s="8" t="inlineStr">
        <is>
          <t>70500</t>
        </is>
      </c>
      <c r="P2778" s="5" t="inlineStr">
        <is>
          <t>5</t>
        </is>
      </c>
      <c r="Q2778" s="5" t="inlineStr">
        <is>
          <t>4</t>
        </is>
      </c>
      <c r="R2778" s="5" t="inlineStr">
        <is>
          <t>6</t>
        </is>
      </c>
      <c r="S2778" s="5" t="inlineStr">
        <is>
          <t>4</t>
        </is>
      </c>
      <c r="T2778" s="5" t="inlineStr">
        <is>
          <t>4</t>
        </is>
      </c>
      <c r="U2778" s="5" t="inlineStr">
        <is>
          <t>OK</t>
        </is>
      </c>
    </row>
    <row r="2779">
      <c r="A2779" s="5" t="inlineStr">
        <is>
          <t>E01902</t>
        </is>
      </c>
      <c r="B2779" s="5" t="inlineStr">
        <is>
          <t>Male</t>
        </is>
      </c>
      <c r="C2779" s="6" t="inlineStr">
        <is>
          <t>36</t>
        </is>
      </c>
      <c r="D2779" s="5" t="inlineStr">
        <is>
          <t>Married</t>
        </is>
      </c>
      <c r="E2779" s="5" t="inlineStr">
        <is>
          <t>Master</t>
        </is>
      </c>
      <c r="F2779" s="5" t="inlineStr">
        <is>
          <t>Operations</t>
        </is>
      </c>
      <c r="G2779" s="5" t="inlineStr">
        <is>
          <t>Operations Analyst</t>
        </is>
      </c>
      <c r="H2779" s="5" t="inlineStr">
        <is>
          <t>3</t>
        </is>
      </c>
      <c r="I2779" s="5" t="inlineStr">
        <is>
          <t>Mumbai</t>
        </is>
      </c>
      <c r="J2779" s="5" t="inlineStr">
        <is>
          <t>Full-Time</t>
        </is>
      </c>
      <c r="K2779" s="7" t="n">
        <v>44620</v>
      </c>
      <c r="L2779" s="7" t="inlineStr"/>
      <c r="M2779" s="5" t="inlineStr">
        <is>
          <t>Yes</t>
        </is>
      </c>
      <c r="N2779" s="5" t="inlineStr"/>
      <c r="O2779" s="8" t="inlineStr">
        <is>
          <t>96500</t>
        </is>
      </c>
      <c r="P2779" s="5" t="inlineStr">
        <is>
          <t>10</t>
        </is>
      </c>
      <c r="Q2779" s="5" t="inlineStr">
        <is>
          <t>3</t>
        </is>
      </c>
      <c r="R2779" s="5" t="inlineStr">
        <is>
          <t>4</t>
        </is>
      </c>
      <c r="S2779" s="5" t="inlineStr">
        <is>
          <t>46</t>
        </is>
      </c>
      <c r="T2779" s="5" t="inlineStr">
        <is>
          <t>10</t>
        </is>
      </c>
      <c r="U2779" s="5" t="inlineStr">
        <is>
          <t>OK</t>
        </is>
      </c>
    </row>
    <row r="2780">
      <c r="A2780" s="5" t="inlineStr">
        <is>
          <t>E00908</t>
        </is>
      </c>
      <c r="B2780" s="5" t="inlineStr">
        <is>
          <t>male</t>
        </is>
      </c>
      <c r="C2780" s="6" t="inlineStr">
        <is>
          <t>36</t>
        </is>
      </c>
      <c r="D2780" s="5" t="inlineStr">
        <is>
          <t>Married</t>
        </is>
      </c>
      <c r="E2780" s="5" t="inlineStr">
        <is>
          <t>High School</t>
        </is>
      </c>
      <c r="F2780" s="5" t="inlineStr">
        <is>
          <t>Finance</t>
        </is>
      </c>
      <c r="G2780" s="5" t="inlineStr">
        <is>
          <t>Accountant</t>
        </is>
      </c>
      <c r="H2780" s="5" t="inlineStr">
        <is>
          <t>7</t>
        </is>
      </c>
      <c r="I2780" s="5" t="inlineStr">
        <is>
          <t>Chennai</t>
        </is>
      </c>
      <c r="J2780" s="5" t="inlineStr">
        <is>
          <t>Full-Time</t>
        </is>
      </c>
      <c r="K2780" s="7" t="n">
        <v>44934</v>
      </c>
      <c r="L2780" s="7" t="inlineStr"/>
      <c r="M2780" s="5" t="inlineStr">
        <is>
          <t>Yes</t>
        </is>
      </c>
      <c r="N2780" s="5" t="inlineStr"/>
      <c r="O2780" s="8" t="inlineStr">
        <is>
          <t>161000</t>
        </is>
      </c>
      <c r="P2780" s="5" t="inlineStr">
        <is>
          <t>15</t>
        </is>
      </c>
      <c r="Q2780" s="5" t="inlineStr">
        <is>
          <t>4</t>
        </is>
      </c>
      <c r="R2780" s="5" t="inlineStr">
        <is>
          <t>6</t>
        </is>
      </c>
      <c r="S2780" s="5" t="inlineStr">
        <is>
          <t>36</t>
        </is>
      </c>
      <c r="T2780" s="5" t="inlineStr">
        <is>
          <t>5</t>
        </is>
      </c>
      <c r="U2780" s="5" t="inlineStr">
        <is>
          <t>OK</t>
        </is>
      </c>
    </row>
    <row r="2781">
      <c r="A2781" s="5" t="inlineStr">
        <is>
          <t>E00443</t>
        </is>
      </c>
      <c r="B2781" s="5" t="inlineStr">
        <is>
          <t>Male</t>
        </is>
      </c>
      <c r="C2781" s="6" t="inlineStr">
        <is>
          <t>25</t>
        </is>
      </c>
      <c r="D2781" s="5" t="inlineStr">
        <is>
          <t>Married</t>
        </is>
      </c>
      <c r="E2781" s="5" t="inlineStr">
        <is>
          <t>High School</t>
        </is>
      </c>
      <c r="F2781" s="5" t="inlineStr">
        <is>
          <t>Human Resources</t>
        </is>
      </c>
      <c r="G2781" s="5" t="inlineStr">
        <is>
          <t>HR Generalist</t>
        </is>
      </c>
      <c r="H2781" s="5" t="inlineStr">
        <is>
          <t>2</t>
        </is>
      </c>
      <c r="I2781" s="5" t="inlineStr">
        <is>
          <t>Bengaluru</t>
        </is>
      </c>
      <c r="J2781" s="5" t="inlineStr">
        <is>
          <t>Full-Time</t>
        </is>
      </c>
      <c r="K2781" s="7" t="n">
        <v>45946</v>
      </c>
      <c r="L2781" s="7" t="inlineStr"/>
      <c r="M2781" s="5" t="inlineStr">
        <is>
          <t>Yes</t>
        </is>
      </c>
      <c r="N2781" s="5" t="inlineStr"/>
      <c r="O2781" s="8" t="inlineStr">
        <is>
          <t>109500</t>
        </is>
      </c>
      <c r="P2781" s="5" t="inlineStr">
        <is>
          <t>10</t>
        </is>
      </c>
      <c r="Q2781" s="5" t="inlineStr">
        <is>
          <t>4</t>
        </is>
      </c>
      <c r="R2781" s="5" t="inlineStr">
        <is>
          <t>5</t>
        </is>
      </c>
      <c r="S2781" s="5" t="inlineStr">
        <is>
          <t>2</t>
        </is>
      </c>
      <c r="T2781" s="5" t="inlineStr">
        <is>
          <t>4</t>
        </is>
      </c>
      <c r="U2781" s="5" t="inlineStr">
        <is>
          <t>OK</t>
        </is>
      </c>
    </row>
    <row r="2782">
      <c r="A2782" s="5" t="inlineStr">
        <is>
          <t>E02511</t>
        </is>
      </c>
      <c r="B2782" s="5" t="inlineStr">
        <is>
          <t>Female</t>
        </is>
      </c>
      <c r="C2782" s="6" t="inlineStr">
        <is>
          <t>33</t>
        </is>
      </c>
      <c r="D2782" s="5" t="inlineStr">
        <is>
          <t>Married</t>
        </is>
      </c>
      <c r="E2782" s="5" t="inlineStr">
        <is>
          <t>Bachelor</t>
        </is>
      </c>
      <c r="F2782" s="5" t="inlineStr">
        <is>
          <t>Sales</t>
        </is>
      </c>
      <c r="G2782" s="5" t="inlineStr">
        <is>
          <t>Account Executive</t>
        </is>
      </c>
      <c r="H2782" s="5" t="inlineStr">
        <is>
          <t>1</t>
        </is>
      </c>
      <c r="I2782" s="5" t="inlineStr">
        <is>
          <t>Bengaluru</t>
        </is>
      </c>
      <c r="J2782" s="5" t="inlineStr">
        <is>
          <t>Full-Time</t>
        </is>
      </c>
      <c r="K2782" s="7" t="n">
        <v>44543</v>
      </c>
      <c r="L2782" s="7" t="inlineStr"/>
      <c r="M2782" s="5" t="inlineStr">
        <is>
          <t>Yes</t>
        </is>
      </c>
      <c r="N2782" s="5" t="inlineStr"/>
      <c r="O2782" s="8" t="inlineStr">
        <is>
          <t>90500</t>
        </is>
      </c>
      <c r="P2782" s="5" t="inlineStr">
        <is>
          <t>10</t>
        </is>
      </c>
      <c r="Q2782" s="5" t="inlineStr">
        <is>
          <t>4</t>
        </is>
      </c>
      <c r="R2782" s="5" t="inlineStr">
        <is>
          <t>3</t>
        </is>
      </c>
      <c r="S2782" s="5" t="inlineStr">
        <is>
          <t>49</t>
        </is>
      </c>
      <c r="T2782" s="5" t="inlineStr">
        <is>
          <t>2</t>
        </is>
      </c>
      <c r="U2782" s="5" t="inlineStr">
        <is>
          <t>OK</t>
        </is>
      </c>
    </row>
    <row r="2783">
      <c r="A2783" s="5" t="inlineStr">
        <is>
          <t>E00195</t>
        </is>
      </c>
      <c r="B2783" s="5" t="inlineStr">
        <is>
          <t>Male</t>
        </is>
      </c>
      <c r="C2783" s="6" t="inlineStr">
        <is>
          <t>31</t>
        </is>
      </c>
      <c r="D2783" s="5" t="inlineStr">
        <is>
          <t>Single</t>
        </is>
      </c>
      <c r="E2783" s="5" t="inlineStr">
        <is>
          <t>Diploma</t>
        </is>
      </c>
      <c r="F2783" s="5" t="inlineStr">
        <is>
          <t>Sales</t>
        </is>
      </c>
      <c r="G2783" s="5" t="inlineStr">
        <is>
          <t>Business Development</t>
        </is>
      </c>
      <c r="H2783" s="5" t="inlineStr">
        <is>
          <t>3</t>
        </is>
      </c>
      <c r="I2783" s="5" t="inlineStr">
        <is>
          <t>Remote</t>
        </is>
      </c>
      <c r="J2783" s="5" t="inlineStr">
        <is>
          <t>Part-Time</t>
        </is>
      </c>
      <c r="K2783" s="7" t="n">
        <v>45823</v>
      </c>
      <c r="L2783" s="7" t="inlineStr"/>
      <c r="M2783" s="5" t="inlineStr">
        <is>
          <t>Yes</t>
        </is>
      </c>
      <c r="N2783" s="5" t="inlineStr"/>
      <c r="O2783" s="8" t="inlineStr">
        <is>
          <t>83500</t>
        </is>
      </c>
      <c r="P2783" s="5" t="inlineStr">
        <is>
          <t>5</t>
        </is>
      </c>
      <c r="Q2783" s="5" t="inlineStr">
        <is>
          <t>2</t>
        </is>
      </c>
      <c r="R2783" s="5" t="inlineStr">
        <is>
          <t>5</t>
        </is>
      </c>
      <c r="S2783" s="5" t="inlineStr">
        <is>
          <t>6</t>
        </is>
      </c>
      <c r="T2783" s="5" t="inlineStr">
        <is>
          <t>0</t>
        </is>
      </c>
      <c r="U2783" s="5" t="inlineStr">
        <is>
          <t>OK</t>
        </is>
      </c>
    </row>
    <row r="2784">
      <c r="A2784" s="5" t="inlineStr">
        <is>
          <t>E00028</t>
        </is>
      </c>
      <c r="B2784" s="5" t="inlineStr">
        <is>
          <t>Female</t>
        </is>
      </c>
      <c r="C2784" s="6" t="inlineStr">
        <is>
          <t>35</t>
        </is>
      </c>
      <c r="D2784" s="5" t="inlineStr">
        <is>
          <t>Married</t>
        </is>
      </c>
      <c r="E2784" s="5" t="inlineStr">
        <is>
          <t>PhD</t>
        </is>
      </c>
      <c r="F2784" s="5" t="inlineStr">
        <is>
          <t>Research &amp; Development</t>
        </is>
      </c>
      <c r="G2784" s="5" t="inlineStr">
        <is>
          <t>Data Scientist</t>
        </is>
      </c>
      <c r="H2784" s="5" t="inlineStr">
        <is>
          <t>3</t>
        </is>
      </c>
      <c r="I2784" s="5" t="inlineStr">
        <is>
          <t>Remote</t>
        </is>
      </c>
      <c r="J2784" s="5" t="inlineStr">
        <is>
          <t>Full-Time</t>
        </is>
      </c>
      <c r="K2784" s="7" t="n">
        <v>44013</v>
      </c>
      <c r="L2784" s="7" t="inlineStr"/>
      <c r="M2784" s="5" t="inlineStr">
        <is>
          <t>Yes</t>
        </is>
      </c>
      <c r="N2784" s="5" t="inlineStr"/>
      <c r="O2784" s="8" t="inlineStr">
        <is>
          <t>131500</t>
        </is>
      </c>
      <c r="P2784" s="5" t="inlineStr">
        <is>
          <t>0</t>
        </is>
      </c>
      <c r="Q2784" s="5" t="inlineStr">
        <is>
          <t>5</t>
        </is>
      </c>
      <c r="R2784" s="5" t="inlineStr">
        <is>
          <t>4</t>
        </is>
      </c>
      <c r="S2784" s="5" t="inlineStr">
        <is>
          <t>66</t>
        </is>
      </c>
      <c r="T2784" s="5" t="inlineStr">
        <is>
          <t>0</t>
        </is>
      </c>
      <c r="U2784" s="5" t="inlineStr">
        <is>
          <t>OK</t>
        </is>
      </c>
    </row>
    <row r="2785">
      <c r="A2785" s="5" t="inlineStr">
        <is>
          <t>E00427</t>
        </is>
      </c>
      <c r="B2785" s="5" t="inlineStr">
        <is>
          <t>Female</t>
        </is>
      </c>
      <c r="C2785" s="6" t="inlineStr">
        <is>
          <t>36</t>
        </is>
      </c>
      <c r="D2785" s="5" t="inlineStr">
        <is>
          <t>Single</t>
        </is>
      </c>
      <c r="E2785" s="5" t="inlineStr">
        <is>
          <t>Diploma</t>
        </is>
      </c>
      <c r="F2785" s="5" t="inlineStr">
        <is>
          <t>Sales</t>
        </is>
      </c>
      <c r="G2785" s="5" t="inlineStr">
        <is>
          <t>Account Executive</t>
        </is>
      </c>
      <c r="H2785" s="5" t="inlineStr">
        <is>
          <t>2</t>
        </is>
      </c>
      <c r="I2785" s="5" t="inlineStr">
        <is>
          <t>Bengaluru</t>
        </is>
      </c>
      <c r="J2785" s="5" t="inlineStr">
        <is>
          <t>Full-Time</t>
        </is>
      </c>
      <c r="K2785" s="7" t="n">
        <v>45244</v>
      </c>
      <c r="L2785" s="7" t="n">
        <v>45363</v>
      </c>
      <c r="M2785" s="5" t="inlineStr">
        <is>
          <t>No</t>
        </is>
      </c>
      <c r="N2785" s="5" t="inlineStr">
        <is>
          <t>Retirement</t>
        </is>
      </c>
      <c r="O2785" s="8" t="inlineStr">
        <is>
          <t>101000</t>
        </is>
      </c>
      <c r="P2785" s="5" t="inlineStr">
        <is>
          <t>0</t>
        </is>
      </c>
      <c r="Q2785" s="5" t="inlineStr">
        <is>
          <t>2</t>
        </is>
      </c>
      <c r="R2785" s="5" t="inlineStr">
        <is>
          <t>6</t>
        </is>
      </c>
      <c r="S2785" s="5" t="inlineStr">
        <is>
          <t>3</t>
        </is>
      </c>
      <c r="T2785" s="5" t="inlineStr">
        <is>
          <t>4</t>
        </is>
      </c>
      <c r="U2785" s="5" t="inlineStr">
        <is>
          <t>OK</t>
        </is>
      </c>
    </row>
    <row r="2786">
      <c r="A2786" s="5" t="inlineStr">
        <is>
          <t>E00352</t>
        </is>
      </c>
      <c r="B2786" s="5" t="inlineStr">
        <is>
          <t>Male</t>
        </is>
      </c>
      <c r="C2786" s="6" t="inlineStr">
        <is>
          <t>31</t>
        </is>
      </c>
      <c r="D2786" s="5" t="inlineStr">
        <is>
          <t>Single</t>
        </is>
      </c>
      <c r="E2786" s="5" t="inlineStr">
        <is>
          <t>Bachelor</t>
        </is>
      </c>
      <c r="F2786" s="5" t="inlineStr">
        <is>
          <t>Human Resources</t>
        </is>
      </c>
      <c r="G2786" s="5" t="inlineStr">
        <is>
          <t>HR Generalist</t>
        </is>
      </c>
      <c r="H2786" s="5" t="inlineStr">
        <is>
          <t>1</t>
        </is>
      </c>
      <c r="I2786" s="5" t="inlineStr">
        <is>
          <t>Mumbai</t>
        </is>
      </c>
      <c r="J2786" s="5" t="inlineStr">
        <is>
          <t>Part-Time</t>
        </is>
      </c>
      <c r="K2786" s="7" t="n">
        <v>45572</v>
      </c>
      <c r="L2786" s="7" t="n">
        <v>45671</v>
      </c>
      <c r="M2786" s="5" t="inlineStr">
        <is>
          <t>No</t>
        </is>
      </c>
      <c r="N2786" s="5" t="inlineStr">
        <is>
          <t>Retirement</t>
        </is>
      </c>
      <c r="O2786" s="8" t="inlineStr">
        <is>
          <t>90000</t>
        </is>
      </c>
      <c r="P2786" s="5" t="inlineStr">
        <is>
          <t>5</t>
        </is>
      </c>
      <c r="Q2786" s="5" t="inlineStr">
        <is>
          <t>5</t>
        </is>
      </c>
      <c r="R2786" s="5" t="inlineStr">
        <is>
          <t>5</t>
        </is>
      </c>
      <c r="S2786" s="5" t="inlineStr">
        <is>
          <t>3</t>
        </is>
      </c>
      <c r="T2786" s="5" t="inlineStr">
        <is>
          <t>6</t>
        </is>
      </c>
      <c r="U2786" s="5" t="inlineStr">
        <is>
          <t>Duplicate</t>
        </is>
      </c>
    </row>
    <row r="2787">
      <c r="A2787" s="5" t="inlineStr">
        <is>
          <t>E01594</t>
        </is>
      </c>
      <c r="B2787" s="5" t="inlineStr">
        <is>
          <t>Female</t>
        </is>
      </c>
      <c r="C2787" s="6" t="inlineStr">
        <is>
          <t>27</t>
        </is>
      </c>
      <c r="D2787" s="5" t="inlineStr">
        <is>
          <t>Single</t>
        </is>
      </c>
      <c r="E2787" s="5" t="inlineStr">
        <is>
          <t>PhD</t>
        </is>
      </c>
      <c r="F2787" s="5" t="inlineStr">
        <is>
          <t>Sales</t>
        </is>
      </c>
      <c r="G2787" s="5" t="inlineStr">
        <is>
          <t>Sales Executive</t>
        </is>
      </c>
      <c r="H2787" s="5" t="inlineStr">
        <is>
          <t>1</t>
        </is>
      </c>
      <c r="I2787" s="5" t="inlineStr">
        <is>
          <t>Delhi</t>
        </is>
      </c>
      <c r="J2787" s="5" t="inlineStr">
        <is>
          <t>Full-Time</t>
        </is>
      </c>
      <c r="K2787" s="7" t="n">
        <v>45600</v>
      </c>
      <c r="L2787" s="7" t="inlineStr"/>
      <c r="M2787" s="5" t="inlineStr">
        <is>
          <t>Yes</t>
        </is>
      </c>
      <c r="N2787" s="5" t="inlineStr"/>
      <c r="O2787" s="8" t="inlineStr">
        <is>
          <t>82000</t>
        </is>
      </c>
      <c r="P2787" s="5" t="inlineStr">
        <is>
          <t>15</t>
        </is>
      </c>
      <c r="Q2787" s="5" t="inlineStr">
        <is>
          <t>2</t>
        </is>
      </c>
      <c r="R2787" s="5" t="inlineStr">
        <is>
          <t>5</t>
        </is>
      </c>
      <c r="S2787" s="5" t="inlineStr">
        <is>
          <t>14</t>
        </is>
      </c>
      <c r="T2787" s="5" t="inlineStr">
        <is>
          <t>5</t>
        </is>
      </c>
      <c r="U2787" s="5" t="inlineStr">
        <is>
          <t>OK</t>
        </is>
      </c>
    </row>
    <row r="2788">
      <c r="A2788" s="5" t="inlineStr">
        <is>
          <t>E02049</t>
        </is>
      </c>
      <c r="B2788" s="5" t="inlineStr">
        <is>
          <t>Male</t>
        </is>
      </c>
      <c r="C2788" s="6" t="inlineStr">
        <is>
          <t>31</t>
        </is>
      </c>
      <c r="D2788" s="5" t="inlineStr">
        <is>
          <t>Single</t>
        </is>
      </c>
      <c r="E2788" s="5" t="inlineStr">
        <is>
          <t>Master</t>
        </is>
      </c>
      <c r="F2788" s="5" t="inlineStr">
        <is>
          <t>Operations</t>
        </is>
      </c>
      <c r="G2788" s="5" t="inlineStr">
        <is>
          <t>Operations Analyst</t>
        </is>
      </c>
      <c r="H2788" s="5" t="inlineStr">
        <is>
          <t>2</t>
        </is>
      </c>
      <c r="I2788" s="5" t="inlineStr">
        <is>
          <t>Delhi</t>
        </is>
      </c>
      <c r="J2788" s="5" t="inlineStr">
        <is>
          <t>Full-Time</t>
        </is>
      </c>
      <c r="K2788" s="7" t="n">
        <v>45402</v>
      </c>
      <c r="L2788" s="7" t="n">
        <v>45522</v>
      </c>
      <c r="M2788" s="5" t="inlineStr">
        <is>
          <t>No</t>
        </is>
      </c>
      <c r="N2788" s="5" t="inlineStr">
        <is>
          <t>Resigned</t>
        </is>
      </c>
      <c r="O2788" s="8" t="inlineStr">
        <is>
          <t>91500</t>
        </is>
      </c>
      <c r="P2788" s="5" t="inlineStr">
        <is>
          <t>15</t>
        </is>
      </c>
      <c r="Q2788" s="5" t="inlineStr">
        <is>
          <t>2</t>
        </is>
      </c>
      <c r="R2788" s="5" t="inlineStr">
        <is>
          <t>9</t>
        </is>
      </c>
      <c r="S2788" s="5" t="inlineStr">
        <is>
          <t>4</t>
        </is>
      </c>
      <c r="T2788" s="5" t="inlineStr">
        <is>
          <t>12</t>
        </is>
      </c>
      <c r="U2788" s="5" t="inlineStr">
        <is>
          <t>OK</t>
        </is>
      </c>
    </row>
    <row r="2789">
      <c r="A2789" s="5" t="inlineStr">
        <is>
          <t>E02624</t>
        </is>
      </c>
      <c r="B2789" s="5" t="inlineStr">
        <is>
          <t>Female</t>
        </is>
      </c>
      <c r="C2789" s="6" t="inlineStr">
        <is>
          <t>32</t>
        </is>
      </c>
      <c r="D2789" s="5" t="inlineStr">
        <is>
          <t>Single</t>
        </is>
      </c>
      <c r="E2789" s="5" t="inlineStr">
        <is>
          <t>Bachelor</t>
        </is>
      </c>
      <c r="F2789" s="5" t="inlineStr">
        <is>
          <t>Operations</t>
        </is>
      </c>
      <c r="G2789" s="5" t="inlineStr">
        <is>
          <t>Quality Analyst</t>
        </is>
      </c>
      <c r="H2789" s="5" t="inlineStr">
        <is>
          <t>3</t>
        </is>
      </c>
      <c r="I2789" s="5" t="inlineStr">
        <is>
          <t>Mumbai</t>
        </is>
      </c>
      <c r="J2789" s="5" t="inlineStr">
        <is>
          <t>Full-Time</t>
        </is>
      </c>
      <c r="K2789" s="7" t="n">
        <v>43857</v>
      </c>
      <c r="L2789" s="7" t="inlineStr"/>
      <c r="M2789" s="5" t="inlineStr">
        <is>
          <t>Yes</t>
        </is>
      </c>
      <c r="N2789" s="5" t="inlineStr"/>
      <c r="O2789" s="8" t="inlineStr">
        <is>
          <t>84500</t>
        </is>
      </c>
      <c r="P2789" s="5" t="inlineStr">
        <is>
          <t>0</t>
        </is>
      </c>
      <c r="Q2789" s="5" t="inlineStr">
        <is>
          <t>4</t>
        </is>
      </c>
      <c r="R2789" s="5" t="inlineStr">
        <is>
          <t>6</t>
        </is>
      </c>
      <c r="S2789" s="5" t="inlineStr">
        <is>
          <t>72</t>
        </is>
      </c>
      <c r="T2789" s="5" t="inlineStr">
        <is>
          <t>12</t>
        </is>
      </c>
      <c r="U2789" s="5" t="inlineStr">
        <is>
          <t>OK</t>
        </is>
      </c>
    </row>
    <row r="2790">
      <c r="A2790" s="5" t="inlineStr">
        <is>
          <t>E00017</t>
        </is>
      </c>
      <c r="B2790" s="5" t="inlineStr">
        <is>
          <t>Male</t>
        </is>
      </c>
      <c r="C2790" s="6" t="inlineStr">
        <is>
          <t>36</t>
        </is>
      </c>
      <c r="D2790" s="5" t="inlineStr">
        <is>
          <t>Married</t>
        </is>
      </c>
      <c r="E2790" s="5" t="inlineStr">
        <is>
          <t>PhD</t>
        </is>
      </c>
      <c r="F2790" s="5" t="inlineStr">
        <is>
          <t>Research &amp; Development</t>
        </is>
      </c>
      <c r="G2790" s="5" t="inlineStr">
        <is>
          <t>Data Scientist</t>
        </is>
      </c>
      <c r="H2790" s="5" t="inlineStr">
        <is>
          <t>5</t>
        </is>
      </c>
      <c r="I2790" s="5" t="inlineStr">
        <is>
          <t>Bengaluru</t>
        </is>
      </c>
      <c r="J2790" s="5" t="inlineStr">
        <is>
          <t>Full-Time</t>
        </is>
      </c>
      <c r="K2790" s="7" t="n">
        <v>44578</v>
      </c>
      <c r="L2790" s="7" t="inlineStr"/>
      <c r="M2790" s="5" t="inlineStr">
        <is>
          <t>Yes</t>
        </is>
      </c>
      <c r="N2790" s="5" t="inlineStr"/>
      <c r="O2790" s="8" t="inlineStr">
        <is>
          <t>228500</t>
        </is>
      </c>
      <c r="P2790" s="5" t="inlineStr">
        <is>
          <t>5</t>
        </is>
      </c>
      <c r="Q2790" s="5" t="inlineStr">
        <is>
          <t>4</t>
        </is>
      </c>
      <c r="R2790" s="5" t="inlineStr">
        <is>
          <t>4</t>
        </is>
      </c>
      <c r="S2790" s="5" t="inlineStr">
        <is>
          <t>48</t>
        </is>
      </c>
      <c r="T2790" s="5" t="inlineStr">
        <is>
          <t>2</t>
        </is>
      </c>
      <c r="U2790" s="5" t="inlineStr">
        <is>
          <t>OK</t>
        </is>
      </c>
    </row>
    <row r="2791">
      <c r="A2791" s="5" t="inlineStr">
        <is>
          <t>E02283</t>
        </is>
      </c>
      <c r="B2791" s="5" t="inlineStr">
        <is>
          <t>Male</t>
        </is>
      </c>
      <c r="C2791" s="6" t="inlineStr">
        <is>
          <t>34</t>
        </is>
      </c>
      <c r="D2791" s="5" t="inlineStr">
        <is>
          <t>Married</t>
        </is>
      </c>
      <c r="E2791" s="5" t="inlineStr">
        <is>
          <t>High School</t>
        </is>
      </c>
      <c r="F2791" s="5" t="inlineStr">
        <is>
          <t>Operations</t>
        </is>
      </c>
      <c r="G2791" s="5" t="inlineStr">
        <is>
          <t>Operations Analyst</t>
        </is>
      </c>
      <c r="H2791" s="5" t="inlineStr">
        <is>
          <t>5</t>
        </is>
      </c>
      <c r="I2791" s="5" t="inlineStr">
        <is>
          <t>Chennai</t>
        </is>
      </c>
      <c r="J2791" s="5" t="inlineStr">
        <is>
          <t>Full-Time</t>
        </is>
      </c>
      <c r="K2791" s="7" t="n">
        <v>45691</v>
      </c>
      <c r="L2791" s="7" t="n">
        <v>45754</v>
      </c>
      <c r="M2791" s="5" t="inlineStr">
        <is>
          <t>No</t>
        </is>
      </c>
      <c r="N2791" s="5" t="inlineStr">
        <is>
          <t>Retirement</t>
        </is>
      </c>
      <c r="O2791" s="8" t="inlineStr">
        <is>
          <t>91500</t>
        </is>
      </c>
      <c r="P2791" s="5" t="inlineStr">
        <is>
          <t>5</t>
        </is>
      </c>
      <c r="Q2791" s="5" t="inlineStr">
        <is>
          <t>4</t>
        </is>
      </c>
      <c r="R2791" s="5" t="inlineStr">
        <is>
          <t>6</t>
        </is>
      </c>
      <c r="S2791" s="5" t="inlineStr">
        <is>
          <t>2</t>
        </is>
      </c>
      <c r="T2791" s="5" t="inlineStr">
        <is>
          <t>4</t>
        </is>
      </c>
      <c r="U2791" s="5" t="inlineStr">
        <is>
          <t>OK</t>
        </is>
      </c>
    </row>
    <row r="2792">
      <c r="A2792" s="5" t="inlineStr">
        <is>
          <t>E02292</t>
        </is>
      </c>
      <c r="B2792" s="5" t="inlineStr">
        <is>
          <t>Female</t>
        </is>
      </c>
      <c r="C2792" s="6" t="inlineStr">
        <is>
          <t>37</t>
        </is>
      </c>
      <c r="D2792" s="5" t="inlineStr">
        <is>
          <t>Married</t>
        </is>
      </c>
      <c r="E2792" s="5" t="inlineStr">
        <is>
          <t>Master</t>
        </is>
      </c>
      <c r="F2792" s="5" t="inlineStr">
        <is>
          <t>Research &amp; Development</t>
        </is>
      </c>
      <c r="G2792" s="5" t="inlineStr">
        <is>
          <t>Product Engineer</t>
        </is>
      </c>
      <c r="H2792" s="5" t="inlineStr">
        <is>
          <t>3</t>
        </is>
      </c>
      <c r="I2792" s="5" t="inlineStr">
        <is>
          <t>Mumbai</t>
        </is>
      </c>
      <c r="J2792" s="5" t="inlineStr">
        <is>
          <t>Part-Time</t>
        </is>
      </c>
      <c r="K2792" s="7" t="n">
        <v>45381</v>
      </c>
      <c r="L2792" s="7" t="inlineStr"/>
      <c r="M2792" s="5" t="inlineStr">
        <is>
          <t>Yes</t>
        </is>
      </c>
      <c r="N2792" s="5" t="inlineStr"/>
      <c r="O2792" s="8" t="inlineStr">
        <is>
          <t>186000</t>
        </is>
      </c>
      <c r="P2792" s="5" t="inlineStr">
        <is>
          <t>0</t>
        </is>
      </c>
      <c r="Q2792" s="5" t="inlineStr">
        <is>
          <t>4</t>
        </is>
      </c>
      <c r="R2792" s="5" t="inlineStr">
        <is>
          <t>6</t>
        </is>
      </c>
      <c r="S2792" s="5" t="inlineStr">
        <is>
          <t>21</t>
        </is>
      </c>
      <c r="T2792" s="5" t="inlineStr">
        <is>
          <t>13</t>
        </is>
      </c>
      <c r="U2792" s="5" t="inlineStr">
        <is>
          <t>OK</t>
        </is>
      </c>
    </row>
    <row r="2793">
      <c r="A2793" s="5" t="inlineStr">
        <is>
          <t>E00438</t>
        </is>
      </c>
      <c r="B2793" s="5" t="inlineStr">
        <is>
          <t>Male</t>
        </is>
      </c>
      <c r="C2793" s="6" t="inlineStr">
        <is>
          <t>40</t>
        </is>
      </c>
      <c r="D2793" s="5" t="inlineStr">
        <is>
          <t>Married</t>
        </is>
      </c>
      <c r="E2793" s="5" t="inlineStr">
        <is>
          <t>PhD</t>
        </is>
      </c>
      <c r="F2793" s="5" t="inlineStr">
        <is>
          <t>Operations</t>
        </is>
      </c>
      <c r="G2793" s="5" t="inlineStr">
        <is>
          <t>Quality Analyst</t>
        </is>
      </c>
      <c r="H2793" s="5" t="inlineStr">
        <is>
          <t>4</t>
        </is>
      </c>
      <c r="I2793" s="5" t="inlineStr">
        <is>
          <t>Hyderabad</t>
        </is>
      </c>
      <c r="J2793" s="5" t="inlineStr">
        <is>
          <t>Full-Time</t>
        </is>
      </c>
      <c r="K2793" s="7" t="n">
        <v>45817</v>
      </c>
      <c r="L2793" s="7" t="inlineStr"/>
      <c r="M2793" s="5" t="inlineStr">
        <is>
          <t>Yes</t>
        </is>
      </c>
      <c r="N2793" s="5" t="inlineStr"/>
      <c r="O2793" s="8" t="inlineStr">
        <is>
          <t>104000</t>
        </is>
      </c>
      <c r="P2793" s="5" t="inlineStr">
        <is>
          <t>0</t>
        </is>
      </c>
      <c r="Q2793" s="5" t="inlineStr">
        <is>
          <t>4</t>
        </is>
      </c>
      <c r="R2793" s="5" t="inlineStr">
        <is>
          <t>6</t>
        </is>
      </c>
      <c r="S2793" s="5" t="inlineStr">
        <is>
          <t>6</t>
        </is>
      </c>
      <c r="T2793" s="5" t="inlineStr">
        <is>
          <t>0</t>
        </is>
      </c>
      <c r="U2793" s="5" t="inlineStr">
        <is>
          <t>OK</t>
        </is>
      </c>
    </row>
    <row r="2794">
      <c r="A2794" s="5" t="inlineStr">
        <is>
          <t>E00559</t>
        </is>
      </c>
      <c r="B2794" s="5" t="inlineStr">
        <is>
          <t>Male</t>
        </is>
      </c>
      <c r="C2794" s="6" t="inlineStr">
        <is>
          <t>36</t>
        </is>
      </c>
      <c r="D2794" s="5" t="inlineStr">
        <is>
          <t>Single</t>
        </is>
      </c>
      <c r="E2794" s="5" t="inlineStr">
        <is>
          <t>Master</t>
        </is>
      </c>
      <c r="F2794" s="5" t="inlineStr">
        <is>
          <t>Finance</t>
        </is>
      </c>
      <c r="G2794" s="5" t="inlineStr">
        <is>
          <t>Financial Analyst</t>
        </is>
      </c>
      <c r="H2794" s="5" t="inlineStr">
        <is>
          <t>2</t>
        </is>
      </c>
      <c r="I2794" s="5" t="inlineStr">
        <is>
          <t>Remote</t>
        </is>
      </c>
      <c r="J2794" s="5" t="inlineStr">
        <is>
          <t>Full-Time</t>
        </is>
      </c>
      <c r="K2794" s="7" t="n">
        <v>44775</v>
      </c>
      <c r="L2794" s="7" t="n">
        <v>44866</v>
      </c>
      <c r="M2794" s="5" t="inlineStr">
        <is>
          <t>No</t>
        </is>
      </c>
      <c r="N2794" s="5" t="inlineStr">
        <is>
          <t>Resigned</t>
        </is>
      </c>
      <c r="O2794" s="8" t="inlineStr">
        <is>
          <t>86500</t>
        </is>
      </c>
      <c r="P2794" s="5" t="inlineStr">
        <is>
          <t>5</t>
        </is>
      </c>
      <c r="Q2794" s="5" t="inlineStr">
        <is>
          <t>3</t>
        </is>
      </c>
      <c r="R2794" s="5" t="inlineStr">
        <is>
          <t>4</t>
        </is>
      </c>
      <c r="S2794" s="5" t="inlineStr">
        <is>
          <t>3</t>
        </is>
      </c>
      <c r="T2794" s="5" t="inlineStr">
        <is>
          <t>4</t>
        </is>
      </c>
      <c r="U2794" s="5" t="inlineStr">
        <is>
          <t>OK</t>
        </is>
      </c>
    </row>
    <row r="2795">
      <c r="A2795" s="5" t="inlineStr">
        <is>
          <t>E00689</t>
        </is>
      </c>
      <c r="B2795" s="5" t="inlineStr">
        <is>
          <t>Female</t>
        </is>
      </c>
      <c r="C2795" s="6" t="inlineStr">
        <is>
          <t>30</t>
        </is>
      </c>
      <c r="D2795" s="5" t="inlineStr">
        <is>
          <t>Married</t>
        </is>
      </c>
      <c r="E2795" s="5" t="inlineStr">
        <is>
          <t>PhD</t>
        </is>
      </c>
      <c r="F2795" s="5" t="inlineStr">
        <is>
          <t>IT</t>
        </is>
      </c>
      <c r="G2795" s="5" t="inlineStr">
        <is>
          <t>DevOps Engineer</t>
        </is>
      </c>
      <c r="H2795" s="5" t="inlineStr">
        <is>
          <t>2</t>
        </is>
      </c>
      <c r="I2795" s="5" t="inlineStr">
        <is>
          <t>Bengaluru</t>
        </is>
      </c>
      <c r="J2795" s="5" t="inlineStr">
        <is>
          <t>Full-Time</t>
        </is>
      </c>
      <c r="K2795" s="7" t="n">
        <v>45903</v>
      </c>
      <c r="L2795" s="7" t="inlineStr"/>
      <c r="M2795" s="5" t="inlineStr">
        <is>
          <t>Yes</t>
        </is>
      </c>
      <c r="N2795" s="5" t="inlineStr"/>
      <c r="O2795" s="8" t="inlineStr">
        <is>
          <t>156500</t>
        </is>
      </c>
      <c r="P2795" s="5" t="inlineStr">
        <is>
          <t>0</t>
        </is>
      </c>
      <c r="Q2795" s="5" t="inlineStr">
        <is>
          <t>5</t>
        </is>
      </c>
      <c r="R2795" s="5" t="inlineStr">
        <is>
          <t>10</t>
        </is>
      </c>
      <c r="S2795" s="5" t="inlineStr">
        <is>
          <t>3</t>
        </is>
      </c>
      <c r="T2795" s="5" t="inlineStr">
        <is>
          <t>15</t>
        </is>
      </c>
      <c r="U2795" s="5" t="inlineStr">
        <is>
          <t>OK</t>
        </is>
      </c>
    </row>
    <row r="2796">
      <c r="A2796" s="5" t="inlineStr">
        <is>
          <t>E01394</t>
        </is>
      </c>
      <c r="B2796" s="5" t="inlineStr">
        <is>
          <t>Male</t>
        </is>
      </c>
      <c r="C2796" s="6" t="inlineStr">
        <is>
          <t>30</t>
        </is>
      </c>
      <c r="D2796" s="5" t="inlineStr">
        <is>
          <t>Single</t>
        </is>
      </c>
      <c r="E2796" s="5" t="inlineStr">
        <is>
          <t>PhD</t>
        </is>
      </c>
      <c r="F2796" s="5" t="inlineStr">
        <is>
          <t>Marketing</t>
        </is>
      </c>
      <c r="G2796" s="5" t="inlineStr">
        <is>
          <t>Marketing Analyst</t>
        </is>
      </c>
      <c r="H2796" s="5" t="inlineStr">
        <is>
          <t>3</t>
        </is>
      </c>
      <c r="I2796" s="5" t="inlineStr">
        <is>
          <t>Remote</t>
        </is>
      </c>
      <c r="J2796" s="5" t="inlineStr">
        <is>
          <t>Contract</t>
        </is>
      </c>
      <c r="K2796" s="7" t="n">
        <v>44747</v>
      </c>
      <c r="L2796" s="7" t="inlineStr"/>
      <c r="M2796" s="5" t="inlineStr">
        <is>
          <t>Yes</t>
        </is>
      </c>
      <c r="N2796" s="5" t="inlineStr"/>
      <c r="O2796" s="8" t="inlineStr">
        <is>
          <t>86000</t>
        </is>
      </c>
      <c r="P2796" s="5" t="inlineStr">
        <is>
          <t>10</t>
        </is>
      </c>
      <c r="Q2796" s="5" t="inlineStr">
        <is>
          <t>2</t>
        </is>
      </c>
      <c r="R2796" s="5" t="inlineStr">
        <is>
          <t>8</t>
        </is>
      </c>
      <c r="S2796" s="5" t="inlineStr">
        <is>
          <t>42</t>
        </is>
      </c>
      <c r="T2796" s="5" t="inlineStr">
        <is>
          <t>0</t>
        </is>
      </c>
      <c r="U2796" s="5" t="inlineStr">
        <is>
          <t>OK</t>
        </is>
      </c>
    </row>
    <row r="2797">
      <c r="A2797" s="5" t="inlineStr">
        <is>
          <t>E01070</t>
        </is>
      </c>
      <c r="B2797" s="5" t="inlineStr">
        <is>
          <t>Male</t>
        </is>
      </c>
      <c r="C2797" s="6" t="inlineStr">
        <is>
          <t>29</t>
        </is>
      </c>
      <c r="D2797" s="5" t="inlineStr">
        <is>
          <t>Married</t>
        </is>
      </c>
      <c r="E2797" s="5" t="inlineStr">
        <is>
          <t>PhD</t>
        </is>
      </c>
      <c r="F2797" s="5" t="inlineStr">
        <is>
          <t>Sales</t>
        </is>
      </c>
      <c r="G2797" s="5" t="inlineStr">
        <is>
          <t>Business Development</t>
        </is>
      </c>
      <c r="H2797" s="5" t="inlineStr">
        <is>
          <t>1</t>
        </is>
      </c>
      <c r="I2797" s="5" t="inlineStr">
        <is>
          <t>Bengaluru</t>
        </is>
      </c>
      <c r="J2797" s="5" t="inlineStr">
        <is>
          <t>Full-Time</t>
        </is>
      </c>
      <c r="K2797" s="7" t="n">
        <v>44755</v>
      </c>
      <c r="L2797" s="7" t="inlineStr"/>
      <c r="M2797" s="5" t="inlineStr">
        <is>
          <t>Yes</t>
        </is>
      </c>
      <c r="N2797" s="5" t="inlineStr"/>
      <c r="O2797" s="8" t="inlineStr">
        <is>
          <t>75000</t>
        </is>
      </c>
      <c r="P2797" s="5" t="inlineStr">
        <is>
          <t>15</t>
        </is>
      </c>
      <c r="Q2797" s="5" t="inlineStr">
        <is>
          <t>5</t>
        </is>
      </c>
      <c r="R2797" s="5" t="inlineStr">
        <is>
          <t>8</t>
        </is>
      </c>
      <c r="S2797" s="5" t="inlineStr">
        <is>
          <t>42</t>
        </is>
      </c>
      <c r="T2797" s="5" t="inlineStr">
        <is>
          <t>6</t>
        </is>
      </c>
      <c r="U2797" s="5" t="inlineStr">
        <is>
          <t>OK</t>
        </is>
      </c>
    </row>
    <row r="2798">
      <c r="A2798" s="5" t="inlineStr">
        <is>
          <t>E00565</t>
        </is>
      </c>
      <c r="B2798" s="5" t="inlineStr">
        <is>
          <t>Female</t>
        </is>
      </c>
      <c r="C2798" s="6" t="inlineStr">
        <is>
          <t>35</t>
        </is>
      </c>
      <c r="D2798" s="5" t="inlineStr">
        <is>
          <t>Single</t>
        </is>
      </c>
      <c r="E2798" s="5" t="inlineStr">
        <is>
          <t>High School</t>
        </is>
      </c>
      <c r="F2798" s="5" t="inlineStr">
        <is>
          <t>IT</t>
        </is>
      </c>
      <c r="G2798" s="5" t="inlineStr">
        <is>
          <t>DevOps Engineer</t>
        </is>
      </c>
      <c r="H2798" s="5" t="inlineStr">
        <is>
          <t>5</t>
        </is>
      </c>
      <c r="I2798" s="5" t="inlineStr">
        <is>
          <t>Delhi</t>
        </is>
      </c>
      <c r="J2798" s="5" t="inlineStr">
        <is>
          <t>Full-Time</t>
        </is>
      </c>
      <c r="K2798" s="7" t="n">
        <v>44049</v>
      </c>
      <c r="L2798" s="7" t="inlineStr"/>
      <c r="M2798" s="5" t="inlineStr">
        <is>
          <t>Yes</t>
        </is>
      </c>
      <c r="N2798" s="5" t="inlineStr"/>
      <c r="O2798" s="8" t="inlineStr">
        <is>
          <t>175500</t>
        </is>
      </c>
      <c r="P2798" s="5" t="inlineStr">
        <is>
          <t>10</t>
        </is>
      </c>
      <c r="Q2798" s="5" t="inlineStr">
        <is>
          <t>5</t>
        </is>
      </c>
      <c r="R2798" s="5" t="inlineStr">
        <is>
          <t>5</t>
        </is>
      </c>
      <c r="S2798" s="5" t="inlineStr">
        <is>
          <t>65</t>
        </is>
      </c>
      <c r="T2798" s="5" t="inlineStr">
        <is>
          <t>0</t>
        </is>
      </c>
      <c r="U2798" s="5" t="inlineStr">
        <is>
          <t>OK</t>
        </is>
      </c>
    </row>
    <row r="2799">
      <c r="A2799" s="5" t="inlineStr">
        <is>
          <t>E01303</t>
        </is>
      </c>
      <c r="B2799" s="5" t="inlineStr">
        <is>
          <t>Female</t>
        </is>
      </c>
      <c r="C2799" s="6" t="inlineStr">
        <is>
          <t>29</t>
        </is>
      </c>
      <c r="D2799" s="5" t="inlineStr">
        <is>
          <t>Married</t>
        </is>
      </c>
      <c r="E2799" s="5" t="inlineStr">
        <is>
          <t>Bachelor</t>
        </is>
      </c>
      <c r="F2799" s="5" t="inlineStr">
        <is>
          <t>Customer Support</t>
        </is>
      </c>
      <c r="G2799" s="5" t="inlineStr">
        <is>
          <t>Support Lead</t>
        </is>
      </c>
      <c r="H2799" s="5" t="inlineStr">
        <is>
          <t>2</t>
        </is>
      </c>
      <c r="I2799" s="5" t="inlineStr">
        <is>
          <t>Delhi</t>
        </is>
      </c>
      <c r="J2799" s="5" t="inlineStr">
        <is>
          <t>Full-Time</t>
        </is>
      </c>
      <c r="K2799" s="7" t="n">
        <v>44332</v>
      </c>
      <c r="L2799" s="7" t="n">
        <v>44480</v>
      </c>
      <c r="M2799" s="5" t="inlineStr">
        <is>
          <t>No</t>
        </is>
      </c>
      <c r="N2799" s="5" t="inlineStr">
        <is>
          <t>Resigned</t>
        </is>
      </c>
      <c r="O2799" s="8" t="inlineStr">
        <is>
          <t>84000</t>
        </is>
      </c>
      <c r="P2799" s="5" t="inlineStr">
        <is>
          <t>5</t>
        </is>
      </c>
      <c r="Q2799" s="5" t="inlineStr">
        <is>
          <t>5</t>
        </is>
      </c>
      <c r="R2799" s="5" t="inlineStr">
        <is>
          <t>5</t>
        </is>
      </c>
      <c r="S2799" s="5" t="inlineStr">
        <is>
          <t>4</t>
        </is>
      </c>
      <c r="T2799" s="5" t="inlineStr">
        <is>
          <t>7</t>
        </is>
      </c>
      <c r="U2799" s="5" t="inlineStr">
        <is>
          <t>OK</t>
        </is>
      </c>
    </row>
    <row r="2800">
      <c r="A2800" s="5" t="inlineStr">
        <is>
          <t>E00535</t>
        </is>
      </c>
      <c r="B2800" s="5" t="inlineStr">
        <is>
          <t>Male</t>
        </is>
      </c>
      <c r="C2800" s="6" t="inlineStr">
        <is>
          <t>28</t>
        </is>
      </c>
      <c r="D2800" s="5" t="inlineStr">
        <is>
          <t>Single</t>
        </is>
      </c>
      <c r="E2800" s="5" t="inlineStr">
        <is>
          <t>Master</t>
        </is>
      </c>
      <c r="F2800" s="5" t="inlineStr">
        <is>
          <t>Customer Support</t>
        </is>
      </c>
      <c r="G2800" s="5" t="inlineStr">
        <is>
          <t>Escalation Specialist</t>
        </is>
      </c>
      <c r="H2800" s="5" t="inlineStr">
        <is>
          <t>3</t>
        </is>
      </c>
      <c r="I2800" s="5" t="inlineStr">
        <is>
          <t>Hyderabad</t>
        </is>
      </c>
      <c r="J2800" s="5" t="inlineStr">
        <is>
          <t>Full-Time</t>
        </is>
      </c>
      <c r="K2800" s="7" t="n">
        <v>45652</v>
      </c>
      <c r="L2800" s="7" t="inlineStr"/>
      <c r="M2800" s="5" t="inlineStr">
        <is>
          <t>Yes</t>
        </is>
      </c>
      <c r="N2800" s="5" t="inlineStr"/>
      <c r="O2800" s="8" t="inlineStr">
        <is>
          <t>80000</t>
        </is>
      </c>
      <c r="P2800" s="5" t="inlineStr">
        <is>
          <t>0</t>
        </is>
      </c>
      <c r="Q2800" s="5" t="inlineStr">
        <is>
          <t>1</t>
        </is>
      </c>
      <c r="R2800" s="5" t="inlineStr">
        <is>
          <t>8</t>
        </is>
      </c>
      <c r="S2800" s="5" t="inlineStr">
        <is>
          <t>12</t>
        </is>
      </c>
      <c r="T2800" s="5" t="inlineStr">
        <is>
          <t>0</t>
        </is>
      </c>
      <c r="U2800" s="5" t="inlineStr">
        <is>
          <t>OK</t>
        </is>
      </c>
    </row>
    <row r="2801">
      <c r="A2801" s="5" t="inlineStr">
        <is>
          <t>E01638</t>
        </is>
      </c>
      <c r="B2801" s="5" t="inlineStr">
        <is>
          <t>Male</t>
        </is>
      </c>
      <c r="C2801" s="6" t="inlineStr">
        <is>
          <t>33</t>
        </is>
      </c>
      <c r="D2801" s="5" t="inlineStr">
        <is>
          <t>Married</t>
        </is>
      </c>
      <c r="E2801" s="5" t="inlineStr">
        <is>
          <t>Diploma</t>
        </is>
      </c>
      <c r="F2801" s="5" t="inlineStr">
        <is>
          <t>Customer Support</t>
        </is>
      </c>
      <c r="G2801" s="5" t="inlineStr">
        <is>
          <t>Escalation Specialist</t>
        </is>
      </c>
      <c r="H2801" s="5" t="inlineStr">
        <is>
          <t>1</t>
        </is>
      </c>
      <c r="I2801" s="5" t="inlineStr">
        <is>
          <t>Hyderabad</t>
        </is>
      </c>
      <c r="J2801" s="5" t="inlineStr">
        <is>
          <t>Full-Time</t>
        </is>
      </c>
      <c r="K2801" s="7" t="n">
        <v>45735</v>
      </c>
      <c r="L2801" s="7" t="inlineStr"/>
      <c r="M2801" s="5" t="inlineStr">
        <is>
          <t>Yes</t>
        </is>
      </c>
      <c r="N2801" s="5" t="inlineStr"/>
      <c r="O2801" s="8" t="inlineStr">
        <is>
          <t>41500</t>
        </is>
      </c>
      <c r="P2801" s="5" t="inlineStr">
        <is>
          <t>5</t>
        </is>
      </c>
      <c r="Q2801" s="5" t="inlineStr">
        <is>
          <t>5</t>
        </is>
      </c>
      <c r="R2801" s="5" t="inlineStr">
        <is>
          <t>9</t>
        </is>
      </c>
      <c r="S2801" s="5" t="inlineStr">
        <is>
          <t>9</t>
        </is>
      </c>
      <c r="T2801" s="5" t="inlineStr">
        <is>
          <t>0</t>
        </is>
      </c>
      <c r="U2801" s="5" t="inlineStr">
        <is>
          <t>OK</t>
        </is>
      </c>
    </row>
    <row r="2802">
      <c r="A2802" s="5" t="inlineStr">
        <is>
          <t>E02708</t>
        </is>
      </c>
      <c r="B2802" s="5" t="inlineStr">
        <is>
          <t>Female</t>
        </is>
      </c>
      <c r="C2802" s="6" t="inlineStr">
        <is>
          <t>34</t>
        </is>
      </c>
      <c r="D2802" s="5" t="inlineStr">
        <is>
          <t>Single</t>
        </is>
      </c>
      <c r="E2802" s="5" t="inlineStr">
        <is>
          <t>Master</t>
        </is>
      </c>
      <c r="F2802" s="5" t="inlineStr">
        <is>
          <t>Customer Support</t>
        </is>
      </c>
      <c r="G2802" s="5" t="inlineStr">
        <is>
          <t>Support Lead</t>
        </is>
      </c>
      <c r="H2802" s="5" t="inlineStr">
        <is>
          <t>4</t>
        </is>
      </c>
      <c r="I2802" s="5" t="inlineStr">
        <is>
          <t>Delhi</t>
        </is>
      </c>
      <c r="J2802" s="5" t="inlineStr">
        <is>
          <t>Full-Time</t>
        </is>
      </c>
      <c r="K2802" s="7" t="n">
        <v>45754</v>
      </c>
      <c r="L2802" s="7" t="inlineStr"/>
      <c r="M2802" s="5" t="inlineStr">
        <is>
          <t>Yes</t>
        </is>
      </c>
      <c r="N2802" s="5" t="inlineStr"/>
      <c r="O2802" s="8" t="inlineStr">
        <is>
          <t>74500</t>
        </is>
      </c>
      <c r="P2802" s="5" t="inlineStr">
        <is>
          <t>5</t>
        </is>
      </c>
      <c r="Q2802" s="5" t="inlineStr">
        <is>
          <t>4</t>
        </is>
      </c>
      <c r="R2802" s="5" t="inlineStr">
        <is>
          <t>3</t>
        </is>
      </c>
      <c r="S2802" s="5" t="inlineStr">
        <is>
          <t>8</t>
        </is>
      </c>
      <c r="T2802" s="5" t="inlineStr">
        <is>
          <t>0</t>
        </is>
      </c>
      <c r="U2802" s="5" t="inlineStr">
        <is>
          <t>OK</t>
        </is>
      </c>
    </row>
    <row r="2803">
      <c r="A2803" s="5" t="inlineStr">
        <is>
          <t>E02914</t>
        </is>
      </c>
      <c r="B2803" s="5" t="inlineStr">
        <is>
          <t>Female</t>
        </is>
      </c>
      <c r="C2803" s="6" t="inlineStr">
        <is>
          <t>34</t>
        </is>
      </c>
      <c r="D2803" s="5" t="inlineStr">
        <is>
          <t>Married</t>
        </is>
      </c>
      <c r="E2803" s="5" t="inlineStr">
        <is>
          <t>Diploma</t>
        </is>
      </c>
      <c r="F2803" s="5" t="inlineStr">
        <is>
          <t>Marketing</t>
        </is>
      </c>
      <c r="G2803" s="5" t="inlineStr">
        <is>
          <t>Marketing Analyst</t>
        </is>
      </c>
      <c r="H2803" s="5" t="inlineStr">
        <is>
          <t>1</t>
        </is>
      </c>
      <c r="I2803" s="5" t="inlineStr">
        <is>
          <t>Chennai</t>
        </is>
      </c>
      <c r="J2803" s="5" t="inlineStr">
        <is>
          <t>Full-Time</t>
        </is>
      </c>
      <c r="K2803" s="7" t="n">
        <v>45131</v>
      </c>
      <c r="L2803" s="7" t="inlineStr"/>
      <c r="M2803" s="5" t="inlineStr">
        <is>
          <t>Yes</t>
        </is>
      </c>
      <c r="N2803" s="5" t="inlineStr"/>
      <c r="O2803" s="8" t="inlineStr">
        <is>
          <t>51000</t>
        </is>
      </c>
      <c r="P2803" s="5" t="inlineStr">
        <is>
          <t>15</t>
        </is>
      </c>
      <c r="Q2803" s="5" t="inlineStr">
        <is>
          <t>5</t>
        </is>
      </c>
      <c r="R2803" s="5" t="inlineStr">
        <is>
          <t>5</t>
        </is>
      </c>
      <c r="S2803" s="5" t="inlineStr">
        <is>
          <t>29</t>
        </is>
      </c>
      <c r="T2803" s="5" t="inlineStr">
        <is>
          <t>0</t>
        </is>
      </c>
      <c r="U2803" s="5" t="inlineStr">
        <is>
          <t>OK</t>
        </is>
      </c>
    </row>
    <row r="2804">
      <c r="A2804" s="5" t="inlineStr">
        <is>
          <t>E00995</t>
        </is>
      </c>
      <c r="B2804" s="5" t="inlineStr">
        <is>
          <t>Male</t>
        </is>
      </c>
      <c r="C2804" s="6" t="inlineStr">
        <is>
          <t>43</t>
        </is>
      </c>
      <c r="D2804" s="5" t="inlineStr">
        <is>
          <t>Married</t>
        </is>
      </c>
      <c r="E2804" s="5" t="inlineStr">
        <is>
          <t>PhD</t>
        </is>
      </c>
      <c r="F2804" s="5" t="inlineStr">
        <is>
          <t>Sales</t>
        </is>
      </c>
      <c r="G2804" s="5" t="inlineStr">
        <is>
          <t>Sales Executive</t>
        </is>
      </c>
      <c r="H2804" s="5" t="inlineStr">
        <is>
          <t>7</t>
        </is>
      </c>
      <c r="I2804" s="5" t="inlineStr">
        <is>
          <t>Chennai</t>
        </is>
      </c>
      <c r="J2804" s="5" t="inlineStr">
        <is>
          <t>Full-Time</t>
        </is>
      </c>
      <c r="K2804" s="7" t="n">
        <v>45944</v>
      </c>
      <c r="L2804" s="7" t="inlineStr"/>
      <c r="M2804" s="5" t="inlineStr">
        <is>
          <t>Yes</t>
        </is>
      </c>
      <c r="N2804" s="5" t="inlineStr"/>
      <c r="O2804" s="8" t="inlineStr">
        <is>
          <t>135500</t>
        </is>
      </c>
      <c r="P2804" s="5" t="inlineStr">
        <is>
          <t>5</t>
        </is>
      </c>
      <c r="Q2804" s="5" t="inlineStr">
        <is>
          <t>3</t>
        </is>
      </c>
      <c r="R2804" s="5" t="inlineStr">
        <is>
          <t>6</t>
        </is>
      </c>
      <c r="S2804" s="5" t="inlineStr">
        <is>
          <t>2</t>
        </is>
      </c>
      <c r="T2804" s="5" t="inlineStr">
        <is>
          <t>2</t>
        </is>
      </c>
      <c r="U2804" s="5" t="inlineStr">
        <is>
          <t>OK</t>
        </is>
      </c>
    </row>
    <row r="2805">
      <c r="A2805" s="5" t="inlineStr">
        <is>
          <t>E00766</t>
        </is>
      </c>
      <c r="B2805" s="5" t="inlineStr">
        <is>
          <t>Male</t>
        </is>
      </c>
      <c r="C2805" s="6" t="inlineStr">
        <is>
          <t>30</t>
        </is>
      </c>
      <c r="D2805" s="5" t="inlineStr">
        <is>
          <t>Married</t>
        </is>
      </c>
      <c r="E2805" s="5" t="inlineStr">
        <is>
          <t>PhD</t>
        </is>
      </c>
      <c r="F2805" s="5" t="inlineStr">
        <is>
          <t>IT</t>
        </is>
      </c>
      <c r="G2805" s="5" t="inlineStr">
        <is>
          <t>IT Support</t>
        </is>
      </c>
      <c r="H2805" s="5" t="inlineStr">
        <is>
          <t>3</t>
        </is>
      </c>
      <c r="I2805" s="5" t="inlineStr">
        <is>
          <t>Delhi</t>
        </is>
      </c>
      <c r="J2805" s="5" t="inlineStr">
        <is>
          <t>Full-Time</t>
        </is>
      </c>
      <c r="K2805" s="7" t="n">
        <v>44653</v>
      </c>
      <c r="L2805" s="7" t="inlineStr"/>
      <c r="M2805" s="5" t="inlineStr">
        <is>
          <t>Yes</t>
        </is>
      </c>
      <c r="N2805" s="5" t="inlineStr"/>
      <c r="O2805" s="8" t="inlineStr">
        <is>
          <t>145500</t>
        </is>
      </c>
      <c r="P2805" s="5" t="inlineStr">
        <is>
          <t>10</t>
        </is>
      </c>
      <c r="Q2805" s="5" t="inlineStr">
        <is>
          <t>3</t>
        </is>
      </c>
      <c r="R2805" s="5" t="inlineStr">
        <is>
          <t>6</t>
        </is>
      </c>
      <c r="S2805" s="5" t="inlineStr">
        <is>
          <t>45</t>
        </is>
      </c>
      <c r="T2805" s="5" t="inlineStr">
        <is>
          <t>12</t>
        </is>
      </c>
      <c r="U2805" s="5" t="inlineStr">
        <is>
          <t>OK</t>
        </is>
      </c>
    </row>
    <row r="2806">
      <c r="A2806" s="5" t="inlineStr">
        <is>
          <t>E00143</t>
        </is>
      </c>
      <c r="B2806" s="5" t="inlineStr">
        <is>
          <t>Male</t>
        </is>
      </c>
      <c r="C2806" s="6" t="inlineStr">
        <is>
          <t>34</t>
        </is>
      </c>
      <c r="D2806" s="5" t="inlineStr">
        <is>
          <t>Single</t>
        </is>
      </c>
      <c r="E2806" s="5" t="inlineStr">
        <is>
          <t>Bachelor</t>
        </is>
      </c>
      <c r="F2806" s="5" t="inlineStr">
        <is>
          <t>Marketing</t>
        </is>
      </c>
      <c r="G2806" s="5" t="inlineStr">
        <is>
          <t>Content Writer</t>
        </is>
      </c>
      <c r="H2806" s="5" t="inlineStr">
        <is>
          <t>1</t>
        </is>
      </c>
      <c r="I2806" s="5" t="inlineStr">
        <is>
          <t>Chennai</t>
        </is>
      </c>
      <c r="J2806" s="5" t="inlineStr">
        <is>
          <t>Full-Time</t>
        </is>
      </c>
      <c r="K2806" s="7" t="n">
        <v>45626</v>
      </c>
      <c r="L2806" s="7" t="n">
        <v>45664</v>
      </c>
      <c r="M2806" s="5" t="inlineStr">
        <is>
          <t>No</t>
        </is>
      </c>
      <c r="N2806" s="5" t="inlineStr">
        <is>
          <t>Resigned</t>
        </is>
      </c>
      <c r="O2806" s="8" t="inlineStr">
        <is>
          <t>56000</t>
        </is>
      </c>
      <c r="P2806" s="5" t="inlineStr">
        <is>
          <t>20</t>
        </is>
      </c>
      <c r="Q2806" s="5" t="inlineStr">
        <is>
          <t>3</t>
        </is>
      </c>
      <c r="R2806" s="5" t="inlineStr">
        <is>
          <t>5</t>
        </is>
      </c>
      <c r="S2806" s="5" t="inlineStr">
        <is>
          <t>1</t>
        </is>
      </c>
      <c r="T2806" s="5" t="inlineStr">
        <is>
          <t>9</t>
        </is>
      </c>
      <c r="U2806" s="5" t="inlineStr">
        <is>
          <t>OK</t>
        </is>
      </c>
    </row>
    <row r="2807">
      <c r="A2807" s="5" t="inlineStr">
        <is>
          <t>E02749</t>
        </is>
      </c>
      <c r="B2807" s="5" t="inlineStr">
        <is>
          <t>Male</t>
        </is>
      </c>
      <c r="C2807" s="6" t="inlineStr">
        <is>
          <t>39</t>
        </is>
      </c>
      <c r="D2807" s="5" t="inlineStr">
        <is>
          <t>Married</t>
        </is>
      </c>
      <c r="E2807" s="5" t="inlineStr">
        <is>
          <t>Bachelor</t>
        </is>
      </c>
      <c r="F2807" s="5" t="inlineStr">
        <is>
          <t>Sales</t>
        </is>
      </c>
      <c r="G2807" s="5" t="inlineStr">
        <is>
          <t>Business Development</t>
        </is>
      </c>
      <c r="H2807" s="5" t="inlineStr">
        <is>
          <t>5</t>
        </is>
      </c>
      <c r="I2807" s="5" t="inlineStr">
        <is>
          <t>Delhi</t>
        </is>
      </c>
      <c r="J2807" s="5" t="inlineStr">
        <is>
          <t>Full-Time</t>
        </is>
      </c>
      <c r="K2807" s="7" t="n">
        <v>44022</v>
      </c>
      <c r="L2807" s="7" t="n">
        <v>44119</v>
      </c>
      <c r="M2807" s="5" t="inlineStr">
        <is>
          <t>No</t>
        </is>
      </c>
      <c r="N2807" s="5" t="inlineStr">
        <is>
          <t>Layoff</t>
        </is>
      </c>
      <c r="O2807" s="8" t="inlineStr">
        <is>
          <t>124000</t>
        </is>
      </c>
      <c r="P2807" s="5" t="inlineStr">
        <is>
          <t>20</t>
        </is>
      </c>
      <c r="Q2807" s="5" t="inlineStr">
        <is>
          <t>4</t>
        </is>
      </c>
      <c r="R2807" s="5" t="inlineStr">
        <is>
          <t>6</t>
        </is>
      </c>
      <c r="S2807" s="5" t="inlineStr">
        <is>
          <t>3</t>
        </is>
      </c>
      <c r="T2807" s="5" t="inlineStr">
        <is>
          <t>11</t>
        </is>
      </c>
      <c r="U2807" s="5" t="inlineStr">
        <is>
          <t>OK</t>
        </is>
      </c>
    </row>
    <row r="2808">
      <c r="A2808" s="5" t="inlineStr">
        <is>
          <t>E01473</t>
        </is>
      </c>
      <c r="B2808" s="5" t="inlineStr">
        <is>
          <t>Male</t>
        </is>
      </c>
      <c r="C2808" s="6" t="inlineStr">
        <is>
          <t>35</t>
        </is>
      </c>
      <c r="D2808" s="5" t="inlineStr">
        <is>
          <t>Married</t>
        </is>
      </c>
      <c r="E2808" s="5" t="inlineStr">
        <is>
          <t>Bachelor</t>
        </is>
      </c>
      <c r="F2808" s="5" t="inlineStr">
        <is>
          <t>Marketing</t>
        </is>
      </c>
      <c r="G2808" s="5" t="inlineStr">
        <is>
          <t>Content Writer</t>
        </is>
      </c>
      <c r="H2808" s="5" t="inlineStr">
        <is>
          <t>2</t>
        </is>
      </c>
      <c r="I2808" s="5" t="inlineStr">
        <is>
          <t>Remote</t>
        </is>
      </c>
      <c r="J2808" s="5" t="inlineStr">
        <is>
          <t>Full-Time</t>
        </is>
      </c>
      <c r="K2808" s="7" t="n">
        <v>44127</v>
      </c>
      <c r="L2808" s="7" t="inlineStr"/>
      <c r="M2808" s="5" t="inlineStr">
        <is>
          <t>Yes</t>
        </is>
      </c>
      <c r="N2808" s="5" t="inlineStr"/>
      <c r="O2808" s="8" t="inlineStr">
        <is>
          <t>66500</t>
        </is>
      </c>
      <c r="P2808" s="5" t="inlineStr">
        <is>
          <t>20</t>
        </is>
      </c>
      <c r="Q2808" s="5" t="inlineStr">
        <is>
          <t>4</t>
        </is>
      </c>
      <c r="R2808" s="5" t="inlineStr">
        <is>
          <t>8</t>
        </is>
      </c>
      <c r="S2808" s="5" t="inlineStr">
        <is>
          <t>63</t>
        </is>
      </c>
      <c r="T2808" s="5" t="inlineStr">
        <is>
          <t>11</t>
        </is>
      </c>
      <c r="U2808" s="5" t="inlineStr">
        <is>
          <t>OK</t>
        </is>
      </c>
    </row>
    <row r="2809">
      <c r="A2809" s="5" t="inlineStr">
        <is>
          <t>E02167</t>
        </is>
      </c>
      <c r="B2809" s="5" t="inlineStr">
        <is>
          <t>Male</t>
        </is>
      </c>
      <c r="C2809" s="6" t="inlineStr">
        <is>
          <t>36</t>
        </is>
      </c>
      <c r="D2809" s="5" t="inlineStr">
        <is>
          <t>Married</t>
        </is>
      </c>
      <c r="E2809" s="5" t="inlineStr">
        <is>
          <t>Master</t>
        </is>
      </c>
      <c r="F2809" s="5" t="inlineStr">
        <is>
          <t>Research &amp; Development</t>
        </is>
      </c>
      <c r="G2809" s="5" t="inlineStr">
        <is>
          <t>Research Scientist</t>
        </is>
      </c>
      <c r="H2809" s="5" t="inlineStr">
        <is>
          <t>4</t>
        </is>
      </c>
      <c r="I2809" s="5" t="inlineStr">
        <is>
          <t>Hyderabad</t>
        </is>
      </c>
      <c r="J2809" s="5" t="inlineStr">
        <is>
          <t>Contract</t>
        </is>
      </c>
      <c r="K2809" s="7" t="n">
        <v>45172</v>
      </c>
      <c r="L2809" s="7" t="inlineStr"/>
      <c r="M2809" s="5" t="inlineStr">
        <is>
          <t>Yes</t>
        </is>
      </c>
      <c r="N2809" s="5" t="inlineStr"/>
      <c r="O2809" s="8" t="inlineStr">
        <is>
          <t>143500</t>
        </is>
      </c>
      <c r="P2809" s="5" t="inlineStr">
        <is>
          <t>10</t>
        </is>
      </c>
      <c r="Q2809" s="5" t="inlineStr">
        <is>
          <t>5</t>
        </is>
      </c>
      <c r="R2809" s="5" t="inlineStr">
        <is>
          <t>8</t>
        </is>
      </c>
      <c r="S2809" s="5" t="inlineStr">
        <is>
          <t>28</t>
        </is>
      </c>
      <c r="T2809" s="5" t="inlineStr">
        <is>
          <t>5</t>
        </is>
      </c>
      <c r="U2809" s="5" t="inlineStr">
        <is>
          <t>OK</t>
        </is>
      </c>
    </row>
    <row r="2810">
      <c r="A2810" s="5" t="inlineStr">
        <is>
          <t>E01733</t>
        </is>
      </c>
      <c r="B2810" s="5" t="inlineStr">
        <is>
          <t>Male</t>
        </is>
      </c>
      <c r="C2810" s="6" t="inlineStr">
        <is>
          <t>25</t>
        </is>
      </c>
      <c r="D2810" s="5" t="inlineStr">
        <is>
          <t>Married</t>
        </is>
      </c>
      <c r="E2810" s="5" t="inlineStr">
        <is>
          <t>Bachelor</t>
        </is>
      </c>
      <c r="F2810" s="5" t="inlineStr">
        <is>
          <t>IT</t>
        </is>
      </c>
      <c r="G2810" s="5" t="inlineStr">
        <is>
          <t>Data Analyst</t>
        </is>
      </c>
      <c r="H2810" s="5" t="inlineStr">
        <is>
          <t>2</t>
        </is>
      </c>
      <c r="I2810" s="5" t="inlineStr">
        <is>
          <t>Delhi</t>
        </is>
      </c>
      <c r="J2810" s="5" t="inlineStr">
        <is>
          <t>Full-Time</t>
        </is>
      </c>
      <c r="K2810" s="7" t="n">
        <v>45987</v>
      </c>
      <c r="L2810" s="7" t="n">
        <v>46002</v>
      </c>
      <c r="M2810" s="5" t="inlineStr">
        <is>
          <t>No</t>
        </is>
      </c>
      <c r="N2810" s="5" t="inlineStr">
        <is>
          <t>Relocation</t>
        </is>
      </c>
      <c r="O2810" s="8" t="inlineStr">
        <is>
          <t>151500</t>
        </is>
      </c>
      <c r="P2810" s="5" t="inlineStr">
        <is>
          <t>0</t>
        </is>
      </c>
      <c r="Q2810" s="5" t="inlineStr">
        <is>
          <t>1</t>
        </is>
      </c>
      <c r="R2810" s="5" t="inlineStr">
        <is>
          <t>3</t>
        </is>
      </c>
      <c r="S2810" s="5" t="inlineStr">
        <is>
          <t>1</t>
        </is>
      </c>
      <c r="T2810" s="5" t="inlineStr">
        <is>
          <t>14</t>
        </is>
      </c>
      <c r="U2810" s="5" t="inlineStr">
        <is>
          <t>OK</t>
        </is>
      </c>
    </row>
    <row r="2811">
      <c r="A2811" s="5" t="inlineStr">
        <is>
          <t>E00083</t>
        </is>
      </c>
      <c r="B2811" s="5" t="inlineStr">
        <is>
          <t>Female</t>
        </is>
      </c>
      <c r="C2811" s="6" t="inlineStr">
        <is>
          <t>30</t>
        </is>
      </c>
      <c r="D2811" s="5" t="inlineStr">
        <is>
          <t>Single</t>
        </is>
      </c>
      <c r="E2811" s="5" t="inlineStr">
        <is>
          <t>Bachelor</t>
        </is>
      </c>
      <c r="F2811" s="5" t="inlineStr">
        <is>
          <t>Customer Support</t>
        </is>
      </c>
      <c r="G2811" s="5" t="inlineStr">
        <is>
          <t>Support Lead</t>
        </is>
      </c>
      <c r="H2811" s="5" t="inlineStr">
        <is>
          <t>4</t>
        </is>
      </c>
      <c r="I2811" s="5" t="inlineStr">
        <is>
          <t>Delhi</t>
        </is>
      </c>
      <c r="J2811" s="5" t="inlineStr">
        <is>
          <t>Full-Time</t>
        </is>
      </c>
      <c r="K2811" s="7" t="n">
        <v>44432</v>
      </c>
      <c r="L2811" s="7" t="inlineStr"/>
      <c r="M2811" s="5" t="inlineStr">
        <is>
          <t>Yes</t>
        </is>
      </c>
      <c r="N2811" s="5" t="inlineStr"/>
      <c r="O2811" s="8" t="inlineStr">
        <is>
          <t>84000</t>
        </is>
      </c>
      <c r="P2811" s="5" t="inlineStr">
        <is>
          <t>0</t>
        </is>
      </c>
      <c r="Q2811" s="5" t="inlineStr">
        <is>
          <t>4</t>
        </is>
      </c>
      <c r="R2811" s="5" t="inlineStr">
        <is>
          <t>5</t>
        </is>
      </c>
      <c r="S2811" s="5" t="inlineStr">
        <is>
          <t>53</t>
        </is>
      </c>
      <c r="T2811" s="5" t="inlineStr">
        <is>
          <t>8</t>
        </is>
      </c>
      <c r="U2811" s="5" t="inlineStr">
        <is>
          <t>OK</t>
        </is>
      </c>
    </row>
    <row r="2812">
      <c r="A2812" s="5" t="inlineStr">
        <is>
          <t>E02641</t>
        </is>
      </c>
      <c r="B2812" s="5" t="inlineStr">
        <is>
          <t>Male</t>
        </is>
      </c>
      <c r="C2812" s="6" t="inlineStr">
        <is>
          <t>36</t>
        </is>
      </c>
      <c r="D2812" s="5" t="inlineStr">
        <is>
          <t>Married</t>
        </is>
      </c>
      <c r="E2812" s="5" t="inlineStr">
        <is>
          <t>High School</t>
        </is>
      </c>
      <c r="F2812" s="5" t="inlineStr">
        <is>
          <t>Customer Support</t>
        </is>
      </c>
      <c r="G2812" s="5" t="inlineStr">
        <is>
          <t>Escalation Specialist</t>
        </is>
      </c>
      <c r="H2812" s="5" t="inlineStr">
        <is>
          <t>3</t>
        </is>
      </c>
      <c r="I2812" s="5" t="inlineStr">
        <is>
          <t>Chennai</t>
        </is>
      </c>
      <c r="J2812" s="5" t="inlineStr">
        <is>
          <t>Full-Time</t>
        </is>
      </c>
      <c r="K2812" s="7" t="n">
        <v>45533</v>
      </c>
      <c r="L2812" s="7" t="inlineStr"/>
      <c r="M2812" s="5" t="inlineStr">
        <is>
          <t>Yes</t>
        </is>
      </c>
      <c r="N2812" s="5" t="inlineStr"/>
      <c r="O2812" s="8" t="inlineStr">
        <is>
          <t>91500</t>
        </is>
      </c>
      <c r="P2812" s="5" t="inlineStr">
        <is>
          <t>5</t>
        </is>
      </c>
      <c r="Q2812" s="5" t="inlineStr">
        <is>
          <t>2</t>
        </is>
      </c>
      <c r="R2812" s="5" t="inlineStr">
        <is>
          <t>5</t>
        </is>
      </c>
      <c r="S2812" s="5" t="inlineStr">
        <is>
          <t>16</t>
        </is>
      </c>
      <c r="T2812" s="5" t="inlineStr">
        <is>
          <t>10</t>
        </is>
      </c>
      <c r="U2812" s="5" t="inlineStr">
        <is>
          <t>OK</t>
        </is>
      </c>
    </row>
    <row r="2813">
      <c r="A2813" s="5" t="inlineStr">
        <is>
          <t>E02686</t>
        </is>
      </c>
      <c r="B2813" s="5" t="inlineStr">
        <is>
          <t>Male</t>
        </is>
      </c>
      <c r="C2813" s="6" t="inlineStr">
        <is>
          <t>37</t>
        </is>
      </c>
      <c r="D2813" s="5" t="inlineStr">
        <is>
          <t>Married</t>
        </is>
      </c>
      <c r="E2813" s="5" t="inlineStr">
        <is>
          <t>PhD</t>
        </is>
      </c>
      <c r="F2813" s="5" t="inlineStr">
        <is>
          <t>Research &amp; Development</t>
        </is>
      </c>
      <c r="G2813" s="5" t="inlineStr">
        <is>
          <t>Research Scientist</t>
        </is>
      </c>
      <c r="H2813" s="5" t="inlineStr">
        <is>
          <t>7</t>
        </is>
      </c>
      <c r="I2813" s="5" t="inlineStr">
        <is>
          <t>Hyderabad</t>
        </is>
      </c>
      <c r="J2813" s="5" t="inlineStr">
        <is>
          <t>Full-Time</t>
        </is>
      </c>
      <c r="K2813" s="7" t="n">
        <v>44965</v>
      </c>
      <c r="L2813" s="7" t="n">
        <v>45044</v>
      </c>
      <c r="M2813" s="5" t="inlineStr">
        <is>
          <t>No</t>
        </is>
      </c>
      <c r="N2813" s="5" t="inlineStr">
        <is>
          <t>Relocation</t>
        </is>
      </c>
      <c r="O2813" s="8" t="inlineStr">
        <is>
          <t>250000</t>
        </is>
      </c>
      <c r="P2813" s="5" t="inlineStr">
        <is>
          <t>10</t>
        </is>
      </c>
      <c r="Q2813" s="5" t="inlineStr">
        <is>
          <t>4</t>
        </is>
      </c>
      <c r="R2813" s="5" t="inlineStr">
        <is>
          <t>8</t>
        </is>
      </c>
      <c r="S2813" s="5" t="inlineStr">
        <is>
          <t>2</t>
        </is>
      </c>
      <c r="T2813" s="5" t="inlineStr">
        <is>
          <t>0</t>
        </is>
      </c>
      <c r="U2813" s="5" t="inlineStr">
        <is>
          <t>OK</t>
        </is>
      </c>
    </row>
    <row r="2814">
      <c r="A2814" s="5" t="inlineStr">
        <is>
          <t>E01872</t>
        </is>
      </c>
      <c r="B2814" s="5" t="inlineStr">
        <is>
          <t>Male</t>
        </is>
      </c>
      <c r="C2814" s="6" t="inlineStr">
        <is>
          <t>27</t>
        </is>
      </c>
      <c r="D2814" s="5" t="inlineStr">
        <is>
          <t>Single</t>
        </is>
      </c>
      <c r="E2814" s="5" t="inlineStr">
        <is>
          <t>PhD</t>
        </is>
      </c>
      <c r="F2814" s="5" t="inlineStr">
        <is>
          <t>Operations</t>
        </is>
      </c>
      <c r="G2814" s="5" t="inlineStr">
        <is>
          <t>Quality Analyst</t>
        </is>
      </c>
      <c r="H2814" s="5" t="inlineStr">
        <is>
          <t>2</t>
        </is>
      </c>
      <c r="I2814" s="5" t="inlineStr">
        <is>
          <t>Hyderabad</t>
        </is>
      </c>
      <c r="J2814" s="5" t="inlineStr">
        <is>
          <t>Full-Time</t>
        </is>
      </c>
      <c r="K2814" s="7" t="n">
        <v>45630</v>
      </c>
      <c r="L2814" s="7" t="inlineStr"/>
      <c r="M2814" s="5" t="inlineStr">
        <is>
          <t>Yes</t>
        </is>
      </c>
      <c r="N2814" s="5" t="inlineStr"/>
      <c r="O2814" s="8" t="inlineStr">
        <is>
          <t>85500</t>
        </is>
      </c>
      <c r="P2814" s="5" t="inlineStr">
        <is>
          <t>0</t>
        </is>
      </c>
      <c r="Q2814" s="5" t="inlineStr">
        <is>
          <t>3</t>
        </is>
      </c>
      <c r="R2814" s="5" t="inlineStr">
        <is>
          <t>7</t>
        </is>
      </c>
      <c r="S2814" s="5" t="inlineStr">
        <is>
          <t>13</t>
        </is>
      </c>
      <c r="T2814" s="5" t="inlineStr">
        <is>
          <t>6</t>
        </is>
      </c>
      <c r="U2814" s="5" t="inlineStr">
        <is>
          <t>OK</t>
        </is>
      </c>
    </row>
    <row r="2815">
      <c r="A2815" s="5" t="inlineStr">
        <is>
          <t>E00922</t>
        </is>
      </c>
      <c r="B2815" s="5" t="inlineStr">
        <is>
          <t>Female</t>
        </is>
      </c>
      <c r="C2815" s="6" t="inlineStr">
        <is>
          <t>30</t>
        </is>
      </c>
      <c r="D2815" s="5" t="inlineStr">
        <is>
          <t>Single</t>
        </is>
      </c>
      <c r="E2815" s="5" t="inlineStr">
        <is>
          <t>Diploma</t>
        </is>
      </c>
      <c r="F2815" s="5" t="inlineStr">
        <is>
          <t>Marketing</t>
        </is>
      </c>
      <c r="G2815" s="5" t="inlineStr">
        <is>
          <t>SEO Specialist</t>
        </is>
      </c>
      <c r="H2815" s="5" t="inlineStr">
        <is>
          <t>1</t>
        </is>
      </c>
      <c r="I2815" s="5" t="inlineStr">
        <is>
          <t>Hyderabad</t>
        </is>
      </c>
      <c r="J2815" s="5" t="inlineStr">
        <is>
          <t>Full-Time</t>
        </is>
      </c>
      <c r="K2815" s="7" t="n">
        <v>45727</v>
      </c>
      <c r="L2815" s="7" t="n">
        <v>45861</v>
      </c>
      <c r="M2815" s="5" t="inlineStr">
        <is>
          <t>No</t>
        </is>
      </c>
      <c r="N2815" s="5" t="inlineStr">
        <is>
          <t>Resigned</t>
        </is>
      </c>
      <c r="O2815" s="8" t="inlineStr">
        <is>
          <t>81000</t>
        </is>
      </c>
      <c r="P2815" s="5" t="inlineStr">
        <is>
          <t>10</t>
        </is>
      </c>
      <c r="Q2815" s="5" t="inlineStr">
        <is>
          <t>3</t>
        </is>
      </c>
      <c r="R2815" s="5" t="inlineStr">
        <is>
          <t>5</t>
        </is>
      </c>
      <c r="S2815" s="5" t="inlineStr">
        <is>
          <t>4</t>
        </is>
      </c>
      <c r="T2815" s="5" t="inlineStr">
        <is>
          <t>1</t>
        </is>
      </c>
      <c r="U2815" s="5" t="inlineStr">
        <is>
          <t>OK</t>
        </is>
      </c>
    </row>
    <row r="2816">
      <c r="A2816" s="5" t="inlineStr">
        <is>
          <t>E01354</t>
        </is>
      </c>
      <c r="B2816" s="5" t="inlineStr">
        <is>
          <t>Male</t>
        </is>
      </c>
      <c r="C2816" s="6" t="inlineStr">
        <is>
          <t>32</t>
        </is>
      </c>
      <c r="D2816" s="5" t="inlineStr">
        <is>
          <t>Married</t>
        </is>
      </c>
      <c r="E2816" s="5" t="inlineStr">
        <is>
          <t>PhD</t>
        </is>
      </c>
      <c r="F2816" s="5" t="inlineStr">
        <is>
          <t>Customer Support</t>
        </is>
      </c>
      <c r="G2816" s="5" t="inlineStr">
        <is>
          <t>Support Agent</t>
        </is>
      </c>
      <c r="H2816" s="5" t="inlineStr">
        <is>
          <t>3</t>
        </is>
      </c>
      <c r="I2816" s="5" t="inlineStr">
        <is>
          <t>Mumbai</t>
        </is>
      </c>
      <c r="J2816" s="5" t="inlineStr">
        <is>
          <t>Full-Time</t>
        </is>
      </c>
      <c r="K2816" s="7" t="n">
        <v>44240</v>
      </c>
      <c r="L2816" s="7" t="inlineStr"/>
      <c r="M2816" s="5" t="inlineStr">
        <is>
          <t>Yes</t>
        </is>
      </c>
      <c r="N2816" s="5" t="inlineStr"/>
      <c r="O2816" s="8" t="inlineStr">
        <is>
          <t>79000</t>
        </is>
      </c>
      <c r="P2816" s="5" t="inlineStr">
        <is>
          <t>0</t>
        </is>
      </c>
      <c r="Q2816" s="5" t="inlineStr">
        <is>
          <t>4</t>
        </is>
      </c>
      <c r="R2816" s="5" t="inlineStr">
        <is>
          <t>7</t>
        </is>
      </c>
      <c r="S2816" s="5" t="inlineStr">
        <is>
          <t>59</t>
        </is>
      </c>
      <c r="T2816" s="5" t="inlineStr">
        <is>
          <t>10</t>
        </is>
      </c>
      <c r="U2816" s="5" t="inlineStr">
        <is>
          <t>OK</t>
        </is>
      </c>
    </row>
    <row r="2817">
      <c r="A2817" s="5" t="inlineStr">
        <is>
          <t>E02584</t>
        </is>
      </c>
      <c r="B2817" s="5" t="inlineStr">
        <is>
          <t>Female</t>
        </is>
      </c>
      <c r="C2817" s="6" t="inlineStr">
        <is>
          <t>36</t>
        </is>
      </c>
      <c r="D2817" s="5" t="inlineStr">
        <is>
          <t>Married</t>
        </is>
      </c>
      <c r="E2817" s="5" t="inlineStr">
        <is>
          <t>High School</t>
        </is>
      </c>
      <c r="F2817" s="5" t="inlineStr">
        <is>
          <t>Operations</t>
        </is>
      </c>
      <c r="G2817" s="5" t="inlineStr">
        <is>
          <t>Quality Analyst</t>
        </is>
      </c>
      <c r="H2817" s="5" t="inlineStr">
        <is>
          <t>2</t>
        </is>
      </c>
      <c r="I2817" s="5" t="inlineStr">
        <is>
          <t>Delhi</t>
        </is>
      </c>
      <c r="J2817" s="5" t="inlineStr">
        <is>
          <t>Full-Time</t>
        </is>
      </c>
      <c r="K2817" s="7" t="n">
        <v>45212</v>
      </c>
      <c r="L2817" s="7" t="inlineStr"/>
      <c r="M2817" s="5" t="inlineStr">
        <is>
          <t>Yes</t>
        </is>
      </c>
      <c r="N2817" s="5" t="inlineStr"/>
      <c r="O2817" s="8" t="inlineStr">
        <is>
          <t>90500</t>
        </is>
      </c>
      <c r="P2817" s="5" t="inlineStr">
        <is>
          <t>0</t>
        </is>
      </c>
      <c r="Q2817" s="5" t="inlineStr">
        <is>
          <t>5</t>
        </is>
      </c>
      <c r="R2817" s="5" t="inlineStr">
        <is>
          <t>8</t>
        </is>
      </c>
      <c r="S2817" s="5" t="inlineStr">
        <is>
          <t>27</t>
        </is>
      </c>
      <c r="T2817" s="5" t="inlineStr">
        <is>
          <t>6</t>
        </is>
      </c>
      <c r="U2817" s="5" t="inlineStr">
        <is>
          <t>OK</t>
        </is>
      </c>
    </row>
    <row r="2818">
      <c r="A2818" s="5" t="inlineStr">
        <is>
          <t>E01911</t>
        </is>
      </c>
      <c r="B2818" s="5" t="inlineStr">
        <is>
          <t>Male</t>
        </is>
      </c>
      <c r="C2818" s="6" t="inlineStr">
        <is>
          <t>200</t>
        </is>
      </c>
      <c r="D2818" s="5" t="inlineStr">
        <is>
          <t>Divorced</t>
        </is>
      </c>
      <c r="E2818" s="5" t="inlineStr">
        <is>
          <t>PhD</t>
        </is>
      </c>
      <c r="F2818" s="5" t="inlineStr">
        <is>
          <t>Customer Support</t>
        </is>
      </c>
      <c r="G2818" s="5" t="inlineStr">
        <is>
          <t>Escalation Specialist</t>
        </is>
      </c>
      <c r="H2818" s="5" t="inlineStr">
        <is>
          <t>5</t>
        </is>
      </c>
      <c r="I2818" s="5" t="inlineStr">
        <is>
          <t>Hyderabad</t>
        </is>
      </c>
      <c r="J2818" s="5" t="inlineStr">
        <is>
          <t>Full-Time</t>
        </is>
      </c>
      <c r="K2818" s="7" t="n">
        <v>45232</v>
      </c>
      <c r="L2818" s="7" t="n">
        <v>45353</v>
      </c>
      <c r="M2818" s="5" t="inlineStr">
        <is>
          <t>No</t>
        </is>
      </c>
      <c r="N2818" s="5" t="inlineStr">
        <is>
          <t>Retirement</t>
        </is>
      </c>
      <c r="O2818" s="8" t="inlineStr">
        <is>
          <t>93000</t>
        </is>
      </c>
      <c r="P2818" s="5" t="inlineStr">
        <is>
          <t>10</t>
        </is>
      </c>
      <c r="Q2818" s="5" t="inlineStr">
        <is>
          <t>3</t>
        </is>
      </c>
      <c r="R2818" s="5" t="inlineStr">
        <is>
          <t>4</t>
        </is>
      </c>
      <c r="S2818" s="5" t="inlineStr">
        <is>
          <t>4</t>
        </is>
      </c>
      <c r="T2818" s="5" t="inlineStr">
        <is>
          <t>1</t>
        </is>
      </c>
      <c r="U2818" s="5" t="inlineStr">
        <is>
          <t>Age typo</t>
        </is>
      </c>
    </row>
    <row r="2819">
      <c r="A2819" s="5" t="inlineStr">
        <is>
          <t>E01390</t>
        </is>
      </c>
      <c r="B2819" s="5" t="inlineStr">
        <is>
          <t>Female</t>
        </is>
      </c>
      <c r="C2819" s="6" t="inlineStr">
        <is>
          <t>31</t>
        </is>
      </c>
      <c r="D2819" s="5" t="inlineStr">
        <is>
          <t>Married</t>
        </is>
      </c>
      <c r="E2819" s="5" t="inlineStr">
        <is>
          <t>PhD</t>
        </is>
      </c>
      <c r="F2819" s="5" t="inlineStr">
        <is>
          <t>Customer Support</t>
        </is>
      </c>
      <c r="G2819" s="5" t="inlineStr">
        <is>
          <t>Support Lead</t>
        </is>
      </c>
      <c r="H2819" s="5" t="inlineStr">
        <is>
          <t>2</t>
        </is>
      </c>
      <c r="I2819" s="5" t="inlineStr">
        <is>
          <t>Chennai</t>
        </is>
      </c>
      <c r="J2819" s="5" t="inlineStr">
        <is>
          <t>Full-Time</t>
        </is>
      </c>
      <c r="K2819" s="7" t="n">
        <v>45072</v>
      </c>
      <c r="L2819" s="7" t="inlineStr"/>
      <c r="M2819" s="5" t="inlineStr">
        <is>
          <t>Yes</t>
        </is>
      </c>
      <c r="N2819" s="5" t="inlineStr"/>
      <c r="O2819" s="8" t="inlineStr">
        <is>
          <t>59000</t>
        </is>
      </c>
      <c r="P2819" s="5" t="inlineStr">
        <is>
          <t>0</t>
        </is>
      </c>
      <c r="Q2819" s="5" t="inlineStr">
        <is>
          <t>3</t>
        </is>
      </c>
      <c r="R2819" s="5" t="inlineStr">
        <is>
          <t>10</t>
        </is>
      </c>
      <c r="S2819" s="5" t="inlineStr">
        <is>
          <t>31</t>
        </is>
      </c>
      <c r="T2819" s="5" t="inlineStr">
        <is>
          <t>6</t>
        </is>
      </c>
      <c r="U2819" s="5" t="inlineStr">
        <is>
          <t>OK</t>
        </is>
      </c>
    </row>
    <row r="2820">
      <c r="A2820" s="5" t="inlineStr">
        <is>
          <t>E02896</t>
        </is>
      </c>
      <c r="B2820" s="5" t="inlineStr">
        <is>
          <t>Male</t>
        </is>
      </c>
      <c r="C2820" s="6" t="inlineStr">
        <is>
          <t>30</t>
        </is>
      </c>
      <c r="D2820" s="5" t="inlineStr">
        <is>
          <t>Married</t>
        </is>
      </c>
      <c r="E2820" s="5" t="inlineStr">
        <is>
          <t>High School</t>
        </is>
      </c>
      <c r="F2820" s="5" t="inlineStr">
        <is>
          <t>IT</t>
        </is>
      </c>
      <c r="G2820" s="5" t="inlineStr">
        <is>
          <t>Software Engineer</t>
        </is>
      </c>
      <c r="H2820" s="5" t="inlineStr">
        <is>
          <t>3</t>
        </is>
      </c>
      <c r="I2820" s="5" t="inlineStr">
        <is>
          <t>Mumbai</t>
        </is>
      </c>
      <c r="J2820" s="5" t="inlineStr">
        <is>
          <t>Full-Time</t>
        </is>
      </c>
      <c r="K2820" s="7" t="n">
        <v>45701</v>
      </c>
      <c r="L2820" s="7" t="inlineStr"/>
      <c r="M2820" s="5" t="inlineStr">
        <is>
          <t>Yes</t>
        </is>
      </c>
      <c r="N2820" s="5" t="inlineStr"/>
      <c r="O2820" s="8" t="inlineStr">
        <is>
          <t>181500</t>
        </is>
      </c>
      <c r="P2820" s="5" t="inlineStr">
        <is>
          <t>0</t>
        </is>
      </c>
      <c r="Q2820" s="5" t="inlineStr">
        <is>
          <t>5</t>
        </is>
      </c>
      <c r="R2820" s="5" t="inlineStr">
        <is>
          <t>5</t>
        </is>
      </c>
      <c r="S2820" s="5" t="inlineStr">
        <is>
          <t>10</t>
        </is>
      </c>
      <c r="T2820" s="5" t="inlineStr">
        <is>
          <t>14</t>
        </is>
      </c>
      <c r="U2820" s="5" t="inlineStr">
        <is>
          <t>OK</t>
        </is>
      </c>
    </row>
    <row r="2821">
      <c r="A2821" s="5" t="inlineStr">
        <is>
          <t>E02518</t>
        </is>
      </c>
      <c r="B2821" s="5" t="inlineStr">
        <is>
          <t>Male</t>
        </is>
      </c>
      <c r="C2821" s="6" t="inlineStr">
        <is>
          <t>34</t>
        </is>
      </c>
      <c r="D2821" s="5" t="inlineStr">
        <is>
          <t>Married</t>
        </is>
      </c>
      <c r="E2821" s="5" t="inlineStr">
        <is>
          <t>Master</t>
        </is>
      </c>
      <c r="F2821" s="5" t="inlineStr">
        <is>
          <t>Marketing</t>
        </is>
      </c>
      <c r="G2821" s="5" t="inlineStr">
        <is>
          <t>SEO Specialist</t>
        </is>
      </c>
      <c r="H2821" s="5" t="inlineStr">
        <is>
          <t>1</t>
        </is>
      </c>
      <c r="I2821" s="5" t="inlineStr">
        <is>
          <t>Delhi</t>
        </is>
      </c>
      <c r="J2821" s="5" t="inlineStr">
        <is>
          <t>Full-Time</t>
        </is>
      </c>
      <c r="K2821" s="7" t="n">
        <v>44792</v>
      </c>
      <c r="L2821" s="7" t="inlineStr"/>
      <c r="M2821" s="5" t="inlineStr">
        <is>
          <t>Yes</t>
        </is>
      </c>
      <c r="N2821" s="5" t="inlineStr"/>
      <c r="O2821" s="8" t="inlineStr">
        <is>
          <t>77500</t>
        </is>
      </c>
      <c r="P2821" s="5" t="inlineStr">
        <is>
          <t>15</t>
        </is>
      </c>
      <c r="Q2821" s="5" t="inlineStr">
        <is>
          <t>3</t>
        </is>
      </c>
      <c r="R2821" s="5" t="inlineStr">
        <is>
          <t>6</t>
        </is>
      </c>
      <c r="S2821" s="5" t="inlineStr">
        <is>
          <t>41</t>
        </is>
      </c>
      <c r="T2821" s="5" t="inlineStr">
        <is>
          <t>6</t>
        </is>
      </c>
      <c r="U2821" s="5" t="inlineStr">
        <is>
          <t>OK</t>
        </is>
      </c>
    </row>
    <row r="2822">
      <c r="A2822" s="5" t="inlineStr">
        <is>
          <t>E00851</t>
        </is>
      </c>
      <c r="B2822" s="5" t="inlineStr">
        <is>
          <t>Female</t>
        </is>
      </c>
      <c r="C2822" s="6" t="inlineStr">
        <is>
          <t>36</t>
        </is>
      </c>
      <c r="D2822" s="5" t="inlineStr">
        <is>
          <t>Married</t>
        </is>
      </c>
      <c r="E2822" s="5" t="inlineStr">
        <is>
          <t>PhD</t>
        </is>
      </c>
      <c r="F2822" s="5" t="inlineStr">
        <is>
          <t>Sales</t>
        </is>
      </c>
      <c r="G2822" s="5" t="inlineStr">
        <is>
          <t>Account Executive</t>
        </is>
      </c>
      <c r="H2822" s="5" t="inlineStr">
        <is>
          <t>2</t>
        </is>
      </c>
      <c r="I2822" s="5" t="inlineStr">
        <is>
          <t>Chennai</t>
        </is>
      </c>
      <c r="J2822" s="5" t="inlineStr">
        <is>
          <t>Full-Time</t>
        </is>
      </c>
      <c r="K2822" s="7" t="n">
        <v>44642</v>
      </c>
      <c r="L2822" s="7" t="inlineStr"/>
      <c r="M2822" s="5" t="inlineStr">
        <is>
          <t>Yes</t>
        </is>
      </c>
      <c r="N2822" s="5" t="inlineStr"/>
      <c r="O2822" s="8" t="inlineStr">
        <is>
          <t>75000</t>
        </is>
      </c>
      <c r="P2822" s="5" t="inlineStr">
        <is>
          <t>10</t>
        </is>
      </c>
      <c r="Q2822" s="5" t="inlineStr">
        <is>
          <t>3</t>
        </is>
      </c>
      <c r="R2822" s="5" t="inlineStr">
        <is>
          <t>8</t>
        </is>
      </c>
      <c r="S2822" s="5" t="inlineStr">
        <is>
          <t>46</t>
        </is>
      </c>
      <c r="T2822" s="5" t="inlineStr">
        <is>
          <t>9</t>
        </is>
      </c>
      <c r="U2822" s="5" t="inlineStr">
        <is>
          <t>OK</t>
        </is>
      </c>
    </row>
    <row r="2823">
      <c r="A2823" s="5" t="inlineStr">
        <is>
          <t>E01293</t>
        </is>
      </c>
      <c r="B2823" s="5" t="inlineStr">
        <is>
          <t>Female</t>
        </is>
      </c>
      <c r="C2823" s="6" t="inlineStr">
        <is>
          <t>34</t>
        </is>
      </c>
      <c r="D2823" s="5" t="inlineStr">
        <is>
          <t>Married</t>
        </is>
      </c>
      <c r="E2823" s="5" t="inlineStr">
        <is>
          <t>Master</t>
        </is>
      </c>
      <c r="F2823" s="5" t="inlineStr"/>
      <c r="G2823" s="5" t="inlineStr">
        <is>
          <t>Financial Analyst</t>
        </is>
      </c>
      <c r="H2823" s="5" t="inlineStr">
        <is>
          <t>2</t>
        </is>
      </c>
      <c r="I2823" s="5" t="inlineStr">
        <is>
          <t>Bengaluru</t>
        </is>
      </c>
      <c r="J2823" s="5" t="inlineStr">
        <is>
          <t>Full-Time</t>
        </is>
      </c>
      <c r="K2823" s="7" t="n">
        <v>45458</v>
      </c>
      <c r="L2823" s="7" t="inlineStr"/>
      <c r="M2823" s="5" t="inlineStr">
        <is>
          <t>Yes</t>
        </is>
      </c>
      <c r="N2823" s="5" t="inlineStr"/>
      <c r="O2823" s="8" t="inlineStr">
        <is>
          <t>92500</t>
        </is>
      </c>
      <c r="P2823" s="5" t="inlineStr">
        <is>
          <t>0</t>
        </is>
      </c>
      <c r="Q2823" s="5" t="inlineStr">
        <is>
          <t>5</t>
        </is>
      </c>
      <c r="R2823" s="5" t="inlineStr">
        <is>
          <t>7</t>
        </is>
      </c>
      <c r="S2823" s="5" t="inlineStr">
        <is>
          <t>18</t>
        </is>
      </c>
      <c r="T2823" s="5" t="inlineStr">
        <is>
          <t>11</t>
        </is>
      </c>
      <c r="U2823" s="5" t="inlineStr">
        <is>
          <t>Blank department</t>
        </is>
      </c>
    </row>
    <row r="2824">
      <c r="A2824" s="5" t="inlineStr">
        <is>
          <t>E00960</t>
        </is>
      </c>
      <c r="B2824" s="5" t="inlineStr">
        <is>
          <t>Male</t>
        </is>
      </c>
      <c r="C2824" s="6" t="inlineStr">
        <is>
          <t>33</t>
        </is>
      </c>
      <c r="D2824" s="5" t="inlineStr">
        <is>
          <t>Single</t>
        </is>
      </c>
      <c r="E2824" s="5" t="inlineStr">
        <is>
          <t>Diploma</t>
        </is>
      </c>
      <c r="F2824" s="5" t="inlineStr">
        <is>
          <t>Operations</t>
        </is>
      </c>
      <c r="G2824" s="5" t="inlineStr">
        <is>
          <t>Logistics Coordinator</t>
        </is>
      </c>
      <c r="H2824" s="5" t="inlineStr">
        <is>
          <t>3</t>
        </is>
      </c>
      <c r="I2824" s="5" t="inlineStr">
        <is>
          <t>Mumbai</t>
        </is>
      </c>
      <c r="J2824" s="5" t="inlineStr">
        <is>
          <t>Full-Time</t>
        </is>
      </c>
      <c r="K2824" s="7" t="n">
        <v>43983</v>
      </c>
      <c r="L2824" s="7" t="inlineStr"/>
      <c r="M2824" s="5" t="inlineStr">
        <is>
          <t>Yes</t>
        </is>
      </c>
      <c r="N2824" s="5" t="inlineStr"/>
      <c r="O2824" s="8" t="inlineStr">
        <is>
          <t>94500</t>
        </is>
      </c>
      <c r="P2824" s="5" t="inlineStr">
        <is>
          <t>5</t>
        </is>
      </c>
      <c r="Q2824" s="5" t="inlineStr">
        <is>
          <t>3</t>
        </is>
      </c>
      <c r="R2824" s="5" t="inlineStr">
        <is>
          <t>6</t>
        </is>
      </c>
      <c r="S2824" s="5" t="inlineStr">
        <is>
          <t>67</t>
        </is>
      </c>
      <c r="T2824" s="5" t="inlineStr">
        <is>
          <t>9</t>
        </is>
      </c>
      <c r="U2824" s="5" t="inlineStr">
        <is>
          <t>OK</t>
        </is>
      </c>
    </row>
    <row r="2825">
      <c r="A2825" s="5" t="inlineStr">
        <is>
          <t>E01918</t>
        </is>
      </c>
      <c r="B2825" s="5" t="inlineStr">
        <is>
          <t>Male</t>
        </is>
      </c>
      <c r="C2825" s="6" t="inlineStr">
        <is>
          <t>23</t>
        </is>
      </c>
      <c r="D2825" s="5" t="inlineStr">
        <is>
          <t>Divorced</t>
        </is>
      </c>
      <c r="E2825" s="5" t="inlineStr">
        <is>
          <t>PhD</t>
        </is>
      </c>
      <c r="F2825" s="5" t="inlineStr">
        <is>
          <t>Customer Support</t>
        </is>
      </c>
      <c r="G2825" s="5" t="inlineStr">
        <is>
          <t>Support Agent</t>
        </is>
      </c>
      <c r="H2825" s="5" t="inlineStr">
        <is>
          <t>1</t>
        </is>
      </c>
      <c r="I2825" s="5" t="inlineStr">
        <is>
          <t>Delhi</t>
        </is>
      </c>
      <c r="J2825" s="5" t="inlineStr">
        <is>
          <t>Full-Time</t>
        </is>
      </c>
      <c r="K2825" s="7" t="n">
        <v>45783</v>
      </c>
      <c r="L2825" s="7" t="n">
        <v>45921</v>
      </c>
      <c r="M2825" s="5" t="inlineStr">
        <is>
          <t>No</t>
        </is>
      </c>
      <c r="N2825" s="5" t="inlineStr">
        <is>
          <t>Retirement</t>
        </is>
      </c>
      <c r="O2825" s="8" t="inlineStr">
        <is>
          <t>43500</t>
        </is>
      </c>
      <c r="P2825" s="5" t="inlineStr">
        <is>
          <t>5</t>
        </is>
      </c>
      <c r="Q2825" s="5" t="inlineStr">
        <is>
          <t>4</t>
        </is>
      </c>
      <c r="R2825" s="5" t="inlineStr">
        <is>
          <t>8</t>
        </is>
      </c>
      <c r="S2825" s="5" t="inlineStr">
        <is>
          <t>4</t>
        </is>
      </c>
      <c r="T2825" s="5" t="inlineStr">
        <is>
          <t>4</t>
        </is>
      </c>
      <c r="U2825" s="5" t="inlineStr">
        <is>
          <t>OK</t>
        </is>
      </c>
    </row>
    <row r="2826">
      <c r="A2826" s="5" t="inlineStr">
        <is>
          <t>E00504</t>
        </is>
      </c>
      <c r="B2826" s="5" t="inlineStr">
        <is>
          <t>Female</t>
        </is>
      </c>
      <c r="C2826" s="6" t="inlineStr">
        <is>
          <t>28</t>
        </is>
      </c>
      <c r="D2826" s="5" t="inlineStr">
        <is>
          <t>Married</t>
        </is>
      </c>
      <c r="E2826" s="5" t="inlineStr">
        <is>
          <t>Master</t>
        </is>
      </c>
      <c r="F2826" s="5" t="inlineStr">
        <is>
          <t>Research &amp; Development</t>
        </is>
      </c>
      <c r="G2826" s="5" t="inlineStr">
        <is>
          <t>Research Scientist</t>
        </is>
      </c>
      <c r="H2826" s="5" t="inlineStr">
        <is>
          <t>2</t>
        </is>
      </c>
      <c r="I2826" s="5" t="inlineStr">
        <is>
          <t>Chennai</t>
        </is>
      </c>
      <c r="J2826" s="5" t="inlineStr">
        <is>
          <t>Full-Time</t>
        </is>
      </c>
      <c r="K2826" s="7" t="n">
        <v>43889</v>
      </c>
      <c r="L2826" s="7" t="inlineStr"/>
      <c r="M2826" s="5" t="inlineStr">
        <is>
          <t>Yes</t>
        </is>
      </c>
      <c r="N2826" s="5" t="inlineStr"/>
      <c r="O2826" s="8" t="inlineStr">
        <is>
          <t>182500</t>
        </is>
      </c>
      <c r="P2826" s="5" t="inlineStr">
        <is>
          <t>15</t>
        </is>
      </c>
      <c r="Q2826" s="5" t="inlineStr">
        <is>
          <t>5</t>
        </is>
      </c>
      <c r="R2826" s="5" t="inlineStr">
        <is>
          <t>7</t>
        </is>
      </c>
      <c r="S2826" s="5" t="inlineStr">
        <is>
          <t>71</t>
        </is>
      </c>
      <c r="T2826" s="5" t="inlineStr">
        <is>
          <t>7</t>
        </is>
      </c>
      <c r="U2826" s="5" t="inlineStr">
        <is>
          <t>OK</t>
        </is>
      </c>
    </row>
    <row r="2827">
      <c r="A2827" s="5" t="inlineStr">
        <is>
          <t>E00010</t>
        </is>
      </c>
      <c r="B2827" s="5" t="inlineStr">
        <is>
          <t>Female</t>
        </is>
      </c>
      <c r="C2827" s="6" t="inlineStr">
        <is>
          <t>45</t>
        </is>
      </c>
      <c r="D2827" s="5" t="inlineStr">
        <is>
          <t>Married</t>
        </is>
      </c>
      <c r="E2827" s="5" t="inlineStr">
        <is>
          <t>Diploma</t>
        </is>
      </c>
      <c r="F2827" s="5" t="inlineStr">
        <is>
          <t>Sales</t>
        </is>
      </c>
      <c r="G2827" s="5" t="inlineStr">
        <is>
          <t>Business Development</t>
        </is>
      </c>
      <c r="H2827" s="5" t="inlineStr">
        <is>
          <t>7</t>
        </is>
      </c>
      <c r="I2827" s="5" t="inlineStr">
        <is>
          <t>Chennai</t>
        </is>
      </c>
      <c r="J2827" s="5" t="inlineStr">
        <is>
          <t>Full-Time</t>
        </is>
      </c>
      <c r="K2827" s="7" t="n">
        <v>44325</v>
      </c>
      <c r="L2827" s="7" t="inlineStr"/>
      <c r="M2827" s="5" t="inlineStr">
        <is>
          <t>Yes</t>
        </is>
      </c>
      <c r="N2827" s="5" t="inlineStr"/>
      <c r="O2827" s="8" t="inlineStr">
        <is>
          <t>163500</t>
        </is>
      </c>
      <c r="P2827" s="5" t="inlineStr">
        <is>
          <t>15</t>
        </is>
      </c>
      <c r="Q2827" s="5" t="inlineStr">
        <is>
          <t>4</t>
        </is>
      </c>
      <c r="R2827" s="5" t="inlineStr">
        <is>
          <t>6</t>
        </is>
      </c>
      <c r="S2827" s="5" t="inlineStr">
        <is>
          <t>56</t>
        </is>
      </c>
      <c r="T2827" s="5" t="inlineStr">
        <is>
          <t>6</t>
        </is>
      </c>
      <c r="U2827" s="5" t="inlineStr">
        <is>
          <t>OK</t>
        </is>
      </c>
    </row>
    <row r="2828">
      <c r="A2828" s="5" t="inlineStr">
        <is>
          <t>E00319</t>
        </is>
      </c>
      <c r="B2828" s="5" t="inlineStr">
        <is>
          <t>Male</t>
        </is>
      </c>
      <c r="C2828" s="6" t="inlineStr">
        <is>
          <t>31</t>
        </is>
      </c>
      <c r="D2828" s="5" t="inlineStr">
        <is>
          <t>Married</t>
        </is>
      </c>
      <c r="E2828" s="5" t="inlineStr">
        <is>
          <t>Bachelor</t>
        </is>
      </c>
      <c r="F2828" s="5" t="inlineStr">
        <is>
          <t>Sales</t>
        </is>
      </c>
      <c r="G2828" s="5" t="inlineStr">
        <is>
          <t>Account Executive</t>
        </is>
      </c>
      <c r="H2828" s="5" t="inlineStr">
        <is>
          <t>3</t>
        </is>
      </c>
      <c r="I2828" s="5" t="inlineStr">
        <is>
          <t>Hyderabad</t>
        </is>
      </c>
      <c r="J2828" s="5" t="inlineStr">
        <is>
          <t>Full-Time</t>
        </is>
      </c>
      <c r="K2828" s="7" t="n">
        <v>45406</v>
      </c>
      <c r="L2828" s="7" t="inlineStr"/>
      <c r="M2828" s="5" t="inlineStr">
        <is>
          <t>Yes</t>
        </is>
      </c>
      <c r="N2828" s="5" t="inlineStr"/>
      <c r="O2828" s="8" t="inlineStr"/>
      <c r="P2828" s="5" t="inlineStr">
        <is>
          <t>0</t>
        </is>
      </c>
      <c r="Q2828" s="5" t="inlineStr">
        <is>
          <t>4</t>
        </is>
      </c>
      <c r="R2828" s="5" t="inlineStr">
        <is>
          <t>9</t>
        </is>
      </c>
      <c r="S2828" s="5" t="inlineStr">
        <is>
          <t>20</t>
        </is>
      </c>
      <c r="T2828" s="5" t="inlineStr">
        <is>
          <t>5</t>
        </is>
      </c>
      <c r="U2828" s="5" t="inlineStr">
        <is>
          <t>Blank salary</t>
        </is>
      </c>
    </row>
    <row r="2829">
      <c r="A2829" s="5" t="inlineStr">
        <is>
          <t>E00925</t>
        </is>
      </c>
      <c r="B2829" s="5" t="inlineStr">
        <is>
          <t>Female</t>
        </is>
      </c>
      <c r="C2829" s="6" t="inlineStr">
        <is>
          <t>29</t>
        </is>
      </c>
      <c r="D2829" s="5" t="inlineStr">
        <is>
          <t>Married</t>
        </is>
      </c>
      <c r="E2829" s="5" t="inlineStr">
        <is>
          <t>Diploma</t>
        </is>
      </c>
      <c r="F2829" s="5" t="inlineStr">
        <is>
          <t>IT</t>
        </is>
      </c>
      <c r="G2829" s="5" t="inlineStr">
        <is>
          <t>Software Engineer</t>
        </is>
      </c>
      <c r="H2829" s="5" t="inlineStr">
        <is>
          <t>2</t>
        </is>
      </c>
      <c r="I2829" s="5" t="inlineStr">
        <is>
          <t>Chennai</t>
        </is>
      </c>
      <c r="J2829" s="5" t="inlineStr">
        <is>
          <t>Contract</t>
        </is>
      </c>
      <c r="K2829" s="7" t="n">
        <v>45360</v>
      </c>
      <c r="L2829" s="7" t="inlineStr"/>
      <c r="M2829" s="5" t="inlineStr">
        <is>
          <t>Yes</t>
        </is>
      </c>
      <c r="N2829" s="5" t="inlineStr"/>
      <c r="O2829" s="8" t="inlineStr">
        <is>
          <t>112000</t>
        </is>
      </c>
      <c r="P2829" s="5" t="inlineStr">
        <is>
          <t>5</t>
        </is>
      </c>
      <c r="Q2829" s="5" t="inlineStr">
        <is>
          <t>2</t>
        </is>
      </c>
      <c r="R2829" s="5" t="inlineStr">
        <is>
          <t>7</t>
        </is>
      </c>
      <c r="S2829" s="5" t="inlineStr">
        <is>
          <t>22</t>
        </is>
      </c>
      <c r="T2829" s="5" t="inlineStr">
        <is>
          <t>0</t>
        </is>
      </c>
      <c r="U2829" s="5" t="inlineStr">
        <is>
          <t>OK</t>
        </is>
      </c>
    </row>
    <row r="2830">
      <c r="A2830" s="5" t="inlineStr">
        <is>
          <t>E01658</t>
        </is>
      </c>
      <c r="B2830" s="5" t="inlineStr">
        <is>
          <t>Male</t>
        </is>
      </c>
      <c r="C2830" s="6" t="inlineStr">
        <is>
          <t>36</t>
        </is>
      </c>
      <c r="D2830" s="5" t="inlineStr">
        <is>
          <t>Single</t>
        </is>
      </c>
      <c r="E2830" s="5" t="inlineStr">
        <is>
          <t>Bachelor</t>
        </is>
      </c>
      <c r="F2830" s="5" t="inlineStr"/>
      <c r="G2830" s="5" t="inlineStr">
        <is>
          <t>Financial Analyst</t>
        </is>
      </c>
      <c r="H2830" s="5" t="inlineStr">
        <is>
          <t>5</t>
        </is>
      </c>
      <c r="I2830" s="5" t="inlineStr">
        <is>
          <t>Remote</t>
        </is>
      </c>
      <c r="J2830" s="5" t="inlineStr">
        <is>
          <t>Full-Time</t>
        </is>
      </c>
      <c r="K2830" s="7" t="n">
        <v>44491</v>
      </c>
      <c r="L2830" s="7" t="inlineStr"/>
      <c r="M2830" s="5" t="inlineStr">
        <is>
          <t>Yes</t>
        </is>
      </c>
      <c r="N2830" s="5" t="inlineStr"/>
      <c r="O2830" s="8" t="inlineStr">
        <is>
          <t>111000</t>
        </is>
      </c>
      <c r="P2830" s="5" t="inlineStr">
        <is>
          <t>5</t>
        </is>
      </c>
      <c r="Q2830" s="5" t="inlineStr">
        <is>
          <t>4</t>
        </is>
      </c>
      <c r="R2830" s="5" t="inlineStr">
        <is>
          <t>6</t>
        </is>
      </c>
      <c r="S2830" s="5" t="inlineStr">
        <is>
          <t>51</t>
        </is>
      </c>
      <c r="T2830" s="5" t="inlineStr">
        <is>
          <t>7</t>
        </is>
      </c>
      <c r="U2830" s="5" t="inlineStr">
        <is>
          <t>Blank department</t>
        </is>
      </c>
    </row>
    <row r="2831">
      <c r="A2831" s="5" t="inlineStr">
        <is>
          <t>E02463</t>
        </is>
      </c>
      <c r="B2831" s="5" t="inlineStr">
        <is>
          <t>Male</t>
        </is>
      </c>
      <c r="C2831" s="6" t="inlineStr">
        <is>
          <t>36</t>
        </is>
      </c>
      <c r="D2831" s="5" t="inlineStr">
        <is>
          <t>Married</t>
        </is>
      </c>
      <c r="E2831" s="5" t="inlineStr">
        <is>
          <t>Bachelor</t>
        </is>
      </c>
      <c r="F2831" s="5" t="inlineStr">
        <is>
          <t>Customer Support</t>
        </is>
      </c>
      <c r="G2831" s="5" t="inlineStr">
        <is>
          <t>Escalation Specialist</t>
        </is>
      </c>
      <c r="H2831" s="5" t="inlineStr">
        <is>
          <t>6</t>
        </is>
      </c>
      <c r="I2831" s="5" t="inlineStr">
        <is>
          <t>Chennai</t>
        </is>
      </c>
      <c r="J2831" s="5" t="inlineStr">
        <is>
          <t>Full-Time</t>
        </is>
      </c>
      <c r="K2831" s="7" t="n">
        <v>45290</v>
      </c>
      <c r="L2831" s="7" t="n">
        <v>45331</v>
      </c>
      <c r="M2831" s="5" t="inlineStr">
        <is>
          <t>No</t>
        </is>
      </c>
      <c r="N2831" s="5" t="inlineStr">
        <is>
          <t>Relocation</t>
        </is>
      </c>
      <c r="O2831" s="8" t="inlineStr">
        <is>
          <t>125500</t>
        </is>
      </c>
      <c r="P2831" s="5" t="inlineStr">
        <is>
          <t>10</t>
        </is>
      </c>
      <c r="Q2831" s="5" t="inlineStr">
        <is>
          <t>3</t>
        </is>
      </c>
      <c r="R2831" s="5" t="inlineStr">
        <is>
          <t>5</t>
        </is>
      </c>
      <c r="S2831" s="5" t="inlineStr">
        <is>
          <t>1</t>
        </is>
      </c>
      <c r="T2831" s="5" t="inlineStr">
        <is>
          <t>11</t>
        </is>
      </c>
      <c r="U2831" s="5" t="inlineStr">
        <is>
          <t>OK</t>
        </is>
      </c>
    </row>
    <row r="2832">
      <c r="A2832" s="5" t="inlineStr">
        <is>
          <t>E00255</t>
        </is>
      </c>
      <c r="B2832" s="5" t="inlineStr">
        <is>
          <t>Female</t>
        </is>
      </c>
      <c r="C2832" s="6" t="inlineStr">
        <is>
          <t>34</t>
        </is>
      </c>
      <c r="D2832" s="5" t="inlineStr">
        <is>
          <t>Married</t>
        </is>
      </c>
      <c r="E2832" s="5" t="inlineStr">
        <is>
          <t>Bachelor</t>
        </is>
      </c>
      <c r="F2832" s="5" t="inlineStr">
        <is>
          <t>Sales</t>
        </is>
      </c>
      <c r="G2832" s="5" t="inlineStr">
        <is>
          <t>Business Development</t>
        </is>
      </c>
      <c r="H2832" s="5" t="inlineStr">
        <is>
          <t>4</t>
        </is>
      </c>
      <c r="I2832" s="5" t="inlineStr">
        <is>
          <t>Bengaluru</t>
        </is>
      </c>
      <c r="J2832" s="5" t="inlineStr">
        <is>
          <t>Full-Time</t>
        </is>
      </c>
      <c r="K2832" s="7" t="n">
        <v>44526</v>
      </c>
      <c r="L2832" s="7" t="inlineStr"/>
      <c r="M2832" s="5" t="inlineStr">
        <is>
          <t>Yes</t>
        </is>
      </c>
      <c r="N2832" s="5" t="inlineStr"/>
      <c r="O2832" s="8" t="inlineStr">
        <is>
          <t>114500</t>
        </is>
      </c>
      <c r="P2832" s="5" t="inlineStr">
        <is>
          <t>10</t>
        </is>
      </c>
      <c r="Q2832" s="5" t="inlineStr">
        <is>
          <t>4</t>
        </is>
      </c>
      <c r="R2832" s="5" t="inlineStr">
        <is>
          <t>6</t>
        </is>
      </c>
      <c r="S2832" s="5" t="inlineStr">
        <is>
          <t>49</t>
        </is>
      </c>
      <c r="T2832" s="5" t="inlineStr">
        <is>
          <t>0</t>
        </is>
      </c>
      <c r="U2832" s="5" t="inlineStr">
        <is>
          <t>Duplicate</t>
        </is>
      </c>
    </row>
    <row r="2833">
      <c r="A2833" s="5" t="inlineStr">
        <is>
          <t>E00895</t>
        </is>
      </c>
      <c r="B2833" s="5" t="inlineStr">
        <is>
          <t>Male</t>
        </is>
      </c>
      <c r="C2833" s="6" t="inlineStr">
        <is>
          <t>25</t>
        </is>
      </c>
      <c r="D2833" s="5" t="inlineStr">
        <is>
          <t>Single</t>
        </is>
      </c>
      <c r="E2833" s="5" t="inlineStr">
        <is>
          <t>PhD</t>
        </is>
      </c>
      <c r="F2833" s="5" t="inlineStr">
        <is>
          <t>Marketing</t>
        </is>
      </c>
      <c r="G2833" s="5" t="inlineStr">
        <is>
          <t>SEO Specialist</t>
        </is>
      </c>
      <c r="H2833" s="5" t="inlineStr">
        <is>
          <t>2</t>
        </is>
      </c>
      <c r="I2833" s="5" t="inlineStr">
        <is>
          <t>Bengaluru</t>
        </is>
      </c>
      <c r="J2833" s="5" t="inlineStr">
        <is>
          <t>Contract</t>
        </is>
      </c>
      <c r="K2833" s="7" t="n">
        <v>44154</v>
      </c>
      <c r="L2833" s="7" t="inlineStr"/>
      <c r="M2833" s="5" t="inlineStr">
        <is>
          <t>Yes</t>
        </is>
      </c>
      <c r="N2833" s="5" t="inlineStr"/>
      <c r="O2833" s="8" t="inlineStr">
        <is>
          <t>82000</t>
        </is>
      </c>
      <c r="P2833" s="5" t="inlineStr">
        <is>
          <t>0</t>
        </is>
      </c>
      <c r="Q2833" s="5" t="inlineStr">
        <is>
          <t>5</t>
        </is>
      </c>
      <c r="R2833" s="5" t="inlineStr">
        <is>
          <t>8</t>
        </is>
      </c>
      <c r="S2833" s="5" t="inlineStr">
        <is>
          <t>62</t>
        </is>
      </c>
      <c r="T2833" s="5" t="inlineStr">
        <is>
          <t>10</t>
        </is>
      </c>
      <c r="U2833" s="5" t="inlineStr">
        <is>
          <t>OK</t>
        </is>
      </c>
    </row>
    <row r="2834">
      <c r="A2834" s="5" t="inlineStr">
        <is>
          <t>E00824</t>
        </is>
      </c>
      <c r="B2834" s="5" t="inlineStr">
        <is>
          <t>Male</t>
        </is>
      </c>
      <c r="C2834" s="6" t="inlineStr">
        <is>
          <t>35</t>
        </is>
      </c>
      <c r="D2834" s="5" t="inlineStr">
        <is>
          <t>Single</t>
        </is>
      </c>
      <c r="E2834" s="5" t="inlineStr">
        <is>
          <t>High School</t>
        </is>
      </c>
      <c r="F2834" s="5" t="inlineStr">
        <is>
          <t>IT</t>
        </is>
      </c>
      <c r="G2834" s="5" t="inlineStr">
        <is>
          <t>Data Analyst</t>
        </is>
      </c>
      <c r="H2834" s="5" t="inlineStr">
        <is>
          <t>3</t>
        </is>
      </c>
      <c r="I2834" s="5" t="inlineStr">
        <is>
          <t>Chennai</t>
        </is>
      </c>
      <c r="J2834" s="5" t="inlineStr">
        <is>
          <t>Full-Time</t>
        </is>
      </c>
      <c r="K2834" s="7" t="n">
        <v>44360</v>
      </c>
      <c r="L2834" s="7" t="inlineStr"/>
      <c r="M2834" s="5" t="inlineStr">
        <is>
          <t>Yes</t>
        </is>
      </c>
      <c r="N2834" s="5" t="inlineStr"/>
      <c r="O2834" s="8" t="inlineStr">
        <is>
          <t>156000</t>
        </is>
      </c>
      <c r="P2834" s="5" t="inlineStr">
        <is>
          <t>0</t>
        </is>
      </c>
      <c r="Q2834" s="5" t="inlineStr">
        <is>
          <t>4</t>
        </is>
      </c>
      <c r="R2834" s="5" t="inlineStr">
        <is>
          <t>7</t>
        </is>
      </c>
      <c r="S2834" s="5" t="inlineStr">
        <is>
          <t>55</t>
        </is>
      </c>
      <c r="T2834" s="5" t="inlineStr">
        <is>
          <t>5</t>
        </is>
      </c>
      <c r="U2834" s="5" t="inlineStr">
        <is>
          <t>OK</t>
        </is>
      </c>
    </row>
    <row r="2835">
      <c r="A2835" s="5" t="inlineStr">
        <is>
          <t>E02450</t>
        </is>
      </c>
      <c r="B2835" s="5" t="inlineStr">
        <is>
          <t>Male</t>
        </is>
      </c>
      <c r="C2835" s="6" t="inlineStr">
        <is>
          <t>32</t>
        </is>
      </c>
      <c r="D2835" s="5" t="inlineStr">
        <is>
          <t>Married</t>
        </is>
      </c>
      <c r="E2835" s="5" t="inlineStr">
        <is>
          <t>PhD</t>
        </is>
      </c>
      <c r="F2835" s="5" t="inlineStr">
        <is>
          <t>Customer Support</t>
        </is>
      </c>
      <c r="G2835" s="5" t="inlineStr">
        <is>
          <t>Support Lead</t>
        </is>
      </c>
      <c r="H2835" s="5" t="inlineStr">
        <is>
          <t>1</t>
        </is>
      </c>
      <c r="I2835" s="5" t="inlineStr">
        <is>
          <t>Bengaluru</t>
        </is>
      </c>
      <c r="J2835" s="5" t="inlineStr">
        <is>
          <t>Part-Time</t>
        </is>
      </c>
      <c r="K2835" s="7" t="n">
        <v>45667</v>
      </c>
      <c r="L2835" s="7" t="n">
        <v>45799</v>
      </c>
      <c r="M2835" s="5" t="inlineStr">
        <is>
          <t>No</t>
        </is>
      </c>
      <c r="N2835" s="5" t="inlineStr">
        <is>
          <t>Resigned</t>
        </is>
      </c>
      <c r="O2835" s="8" t="inlineStr">
        <is>
          <t>49500</t>
        </is>
      </c>
      <c r="P2835" s="5" t="inlineStr">
        <is>
          <t>10</t>
        </is>
      </c>
      <c r="Q2835" s="5" t="inlineStr">
        <is>
          <t>4</t>
        </is>
      </c>
      <c r="R2835" s="5" t="inlineStr">
        <is>
          <t>6</t>
        </is>
      </c>
      <c r="S2835" s="5" t="inlineStr">
        <is>
          <t>4</t>
        </is>
      </c>
      <c r="T2835" s="5" t="inlineStr">
        <is>
          <t>4</t>
        </is>
      </c>
      <c r="U2835" s="5" t="inlineStr">
        <is>
          <t>OK</t>
        </is>
      </c>
    </row>
    <row r="2836">
      <c r="A2836" s="5" t="inlineStr">
        <is>
          <t>E01454</t>
        </is>
      </c>
      <c r="B2836" s="5" t="inlineStr">
        <is>
          <t>Male</t>
        </is>
      </c>
      <c r="C2836" s="6" t="inlineStr">
        <is>
          <t>33</t>
        </is>
      </c>
      <c r="D2836" s="5" t="inlineStr">
        <is>
          <t>Married</t>
        </is>
      </c>
      <c r="E2836" s="5" t="inlineStr">
        <is>
          <t>Diploma</t>
        </is>
      </c>
      <c r="F2836" s="5" t="inlineStr">
        <is>
          <t>IT</t>
        </is>
      </c>
      <c r="G2836" s="5" t="inlineStr">
        <is>
          <t>Software Engineer</t>
        </is>
      </c>
      <c r="H2836" s="5" t="inlineStr">
        <is>
          <t>6</t>
        </is>
      </c>
      <c r="I2836" s="5" t="inlineStr">
        <is>
          <t>Hyderabad</t>
        </is>
      </c>
      <c r="J2836" s="5" t="inlineStr">
        <is>
          <t>Full-Time</t>
        </is>
      </c>
      <c r="K2836" s="7" t="n">
        <v>43842</v>
      </c>
      <c r="L2836" s="7" t="inlineStr"/>
      <c r="M2836" s="5" t="inlineStr">
        <is>
          <t>Yes</t>
        </is>
      </c>
      <c r="N2836" s="5" t="inlineStr"/>
      <c r="O2836" s="8" t="inlineStr">
        <is>
          <t>251500</t>
        </is>
      </c>
      <c r="P2836" s="5" t="inlineStr">
        <is>
          <t>20</t>
        </is>
      </c>
      <c r="Q2836" s="5" t="inlineStr">
        <is>
          <t>4</t>
        </is>
      </c>
      <c r="R2836" s="5" t="inlineStr">
        <is>
          <t>4</t>
        </is>
      </c>
      <c r="S2836" s="5" t="inlineStr">
        <is>
          <t>72</t>
        </is>
      </c>
      <c r="T2836" s="5" t="inlineStr">
        <is>
          <t>0</t>
        </is>
      </c>
      <c r="U2836" s="5" t="inlineStr">
        <is>
          <t>OK</t>
        </is>
      </c>
    </row>
    <row r="2837">
      <c r="A2837" s="5" t="inlineStr">
        <is>
          <t>E01385</t>
        </is>
      </c>
      <c r="B2837" s="5" t="inlineStr">
        <is>
          <t>Male</t>
        </is>
      </c>
      <c r="C2837" s="6" t="inlineStr">
        <is>
          <t>23</t>
        </is>
      </c>
      <c r="D2837" s="5" t="inlineStr">
        <is>
          <t>Married</t>
        </is>
      </c>
      <c r="E2837" s="5" t="inlineStr">
        <is>
          <t>Master</t>
        </is>
      </c>
      <c r="F2837" s="5" t="inlineStr">
        <is>
          <t>Operations</t>
        </is>
      </c>
      <c r="G2837" s="5" t="inlineStr">
        <is>
          <t>Operations Analyst</t>
        </is>
      </c>
      <c r="H2837" s="5" t="inlineStr">
        <is>
          <t>1</t>
        </is>
      </c>
      <c r="I2837" s="5" t="inlineStr">
        <is>
          <t>Remote</t>
        </is>
      </c>
      <c r="J2837" s="5" t="inlineStr">
        <is>
          <t>Full-Time</t>
        </is>
      </c>
      <c r="K2837" s="7" t="n">
        <v>45034</v>
      </c>
      <c r="L2837" s="7" t="inlineStr"/>
      <c r="M2837" s="5" t="inlineStr">
        <is>
          <t>Yes</t>
        </is>
      </c>
      <c r="N2837" s="5" t="inlineStr"/>
      <c r="O2837" s="8" t="inlineStr">
        <is>
          <t>83000</t>
        </is>
      </c>
      <c r="P2837" s="5" t="inlineStr">
        <is>
          <t>0</t>
        </is>
      </c>
      <c r="Q2837" s="5" t="inlineStr">
        <is>
          <t>4</t>
        </is>
      </c>
      <c r="R2837" s="5" t="inlineStr">
        <is>
          <t>4</t>
        </is>
      </c>
      <c r="S2837" s="5" t="inlineStr">
        <is>
          <t>32</t>
        </is>
      </c>
      <c r="T2837" s="5" t="inlineStr">
        <is>
          <t>8</t>
        </is>
      </c>
      <c r="U2837" s="5" t="inlineStr">
        <is>
          <t>OK</t>
        </is>
      </c>
    </row>
    <row r="2838">
      <c r="A2838" s="5" t="inlineStr">
        <is>
          <t>E02107</t>
        </is>
      </c>
      <c r="B2838" s="5" t="inlineStr">
        <is>
          <t>Male</t>
        </is>
      </c>
      <c r="C2838" s="6" t="inlineStr">
        <is>
          <t>36</t>
        </is>
      </c>
      <c r="D2838" s="5" t="inlineStr">
        <is>
          <t>Single</t>
        </is>
      </c>
      <c r="E2838" s="5" t="inlineStr">
        <is>
          <t>Bachelor</t>
        </is>
      </c>
      <c r="F2838" s="5" t="inlineStr">
        <is>
          <t>IT</t>
        </is>
      </c>
      <c r="G2838" s="5" t="inlineStr">
        <is>
          <t>Software Engineer</t>
        </is>
      </c>
      <c r="H2838" s="5" t="inlineStr">
        <is>
          <t>5</t>
        </is>
      </c>
      <c r="I2838" s="5" t="inlineStr">
        <is>
          <t>Mumbai</t>
        </is>
      </c>
      <c r="J2838" s="5" t="inlineStr">
        <is>
          <t>Full-Time</t>
        </is>
      </c>
      <c r="K2838" s="7" t="n">
        <v>44977</v>
      </c>
      <c r="L2838" s="7" t="inlineStr"/>
      <c r="M2838" s="5" t="inlineStr">
        <is>
          <t>Yes</t>
        </is>
      </c>
      <c r="N2838" s="5" t="inlineStr"/>
      <c r="O2838" s="8" t="inlineStr">
        <is>
          <t>139000</t>
        </is>
      </c>
      <c r="P2838" s="5" t="inlineStr">
        <is>
          <t>5</t>
        </is>
      </c>
      <c r="Q2838" s="5" t="inlineStr">
        <is>
          <t>5</t>
        </is>
      </c>
      <c r="R2838" s="5" t="inlineStr">
        <is>
          <t>5</t>
        </is>
      </c>
      <c r="S2838" s="5" t="inlineStr">
        <is>
          <t>34</t>
        </is>
      </c>
      <c r="T2838" s="5" t="inlineStr">
        <is>
          <t>11</t>
        </is>
      </c>
      <c r="U2838" s="5" t="inlineStr">
        <is>
          <t>OK</t>
        </is>
      </c>
    </row>
    <row r="2839">
      <c r="A2839" s="5" t="inlineStr">
        <is>
          <t>E02595</t>
        </is>
      </c>
      <c r="B2839" s="5" t="inlineStr">
        <is>
          <t>Male</t>
        </is>
      </c>
      <c r="C2839" s="6" t="inlineStr">
        <is>
          <t>33</t>
        </is>
      </c>
      <c r="D2839" s="5" t="inlineStr">
        <is>
          <t>Married</t>
        </is>
      </c>
      <c r="E2839" s="5" t="inlineStr">
        <is>
          <t>Bachelor</t>
        </is>
      </c>
      <c r="F2839" s="5" t="inlineStr">
        <is>
          <t>Operations</t>
        </is>
      </c>
      <c r="G2839" s="5" t="inlineStr">
        <is>
          <t>Quality Analyst</t>
        </is>
      </c>
      <c r="H2839" s="5" t="inlineStr">
        <is>
          <t>1</t>
        </is>
      </c>
      <c r="I2839" s="5" t="inlineStr">
        <is>
          <t>Remote</t>
        </is>
      </c>
      <c r="J2839" s="5" t="inlineStr">
        <is>
          <t>Full-Time</t>
        </is>
      </c>
      <c r="K2839" s="7" t="n">
        <v>45406</v>
      </c>
      <c r="L2839" s="7" t="n">
        <v>45454</v>
      </c>
      <c r="M2839" s="5" t="inlineStr">
        <is>
          <t>No</t>
        </is>
      </c>
      <c r="N2839" s="5" t="inlineStr">
        <is>
          <t>Performance / Termination</t>
        </is>
      </c>
      <c r="O2839" s="8" t="inlineStr">
        <is>
          <t>72500</t>
        </is>
      </c>
      <c r="P2839" s="5" t="inlineStr">
        <is>
          <t>0</t>
        </is>
      </c>
      <c r="Q2839" s="5" t="inlineStr">
        <is>
          <t>3</t>
        </is>
      </c>
      <c r="R2839" s="5" t="inlineStr">
        <is>
          <t>5</t>
        </is>
      </c>
      <c r="S2839" s="5" t="inlineStr">
        <is>
          <t>1</t>
        </is>
      </c>
      <c r="T2839" s="5" t="inlineStr">
        <is>
          <t>3</t>
        </is>
      </c>
      <c r="U2839" s="5" t="inlineStr">
        <is>
          <t>OK</t>
        </is>
      </c>
    </row>
    <row r="2840">
      <c r="A2840" s="5" t="inlineStr">
        <is>
          <t>E01091</t>
        </is>
      </c>
      <c r="B2840" s="5" t="inlineStr">
        <is>
          <t>Male</t>
        </is>
      </c>
      <c r="C2840" s="6" t="inlineStr">
        <is>
          <t>27</t>
        </is>
      </c>
      <c r="D2840" s="5" t="inlineStr">
        <is>
          <t>Married</t>
        </is>
      </c>
      <c r="E2840" s="5" t="inlineStr">
        <is>
          <t>PhD</t>
        </is>
      </c>
      <c r="F2840" s="5" t="inlineStr">
        <is>
          <t>Research &amp; Development</t>
        </is>
      </c>
      <c r="G2840" s="5" t="inlineStr">
        <is>
          <t>Data Scientist</t>
        </is>
      </c>
      <c r="H2840" s="5" t="inlineStr">
        <is>
          <t>3</t>
        </is>
      </c>
      <c r="I2840" s="5" t="inlineStr">
        <is>
          <t>Chennai</t>
        </is>
      </c>
      <c r="J2840" s="5" t="inlineStr">
        <is>
          <t>Full-Time</t>
        </is>
      </c>
      <c r="K2840" s="7" t="n">
        <v>45858</v>
      </c>
      <c r="L2840" s="7" t="n">
        <v>45896</v>
      </c>
      <c r="M2840" s="5" t="inlineStr">
        <is>
          <t>No</t>
        </is>
      </c>
      <c r="N2840" s="5" t="inlineStr">
        <is>
          <t>Resigned</t>
        </is>
      </c>
      <c r="O2840" s="8" t="inlineStr">
        <is>
          <t>137000</t>
        </is>
      </c>
      <c r="P2840" s="5" t="inlineStr">
        <is>
          <t>15</t>
        </is>
      </c>
      <c r="Q2840" s="5" t="inlineStr">
        <is>
          <t>4</t>
        </is>
      </c>
      <c r="R2840" s="5" t="inlineStr">
        <is>
          <t>10</t>
        </is>
      </c>
      <c r="S2840" s="5" t="inlineStr">
        <is>
          <t>1</t>
        </is>
      </c>
      <c r="T2840" s="5" t="inlineStr">
        <is>
          <t>8</t>
        </is>
      </c>
      <c r="U2840" s="5" t="inlineStr">
        <is>
          <t>OK</t>
        </is>
      </c>
    </row>
    <row r="2841">
      <c r="A2841" s="5" t="inlineStr">
        <is>
          <t>E00430</t>
        </is>
      </c>
      <c r="B2841" s="5" t="inlineStr">
        <is>
          <t>Male</t>
        </is>
      </c>
      <c r="C2841" s="6" t="inlineStr">
        <is>
          <t>34</t>
        </is>
      </c>
      <c r="D2841" s="5" t="inlineStr">
        <is>
          <t>Married</t>
        </is>
      </c>
      <c r="E2841" s="5" t="inlineStr">
        <is>
          <t>Master</t>
        </is>
      </c>
      <c r="F2841" s="5" t="inlineStr">
        <is>
          <t>Customer Support</t>
        </is>
      </c>
      <c r="G2841" s="5" t="inlineStr">
        <is>
          <t>Support Lead</t>
        </is>
      </c>
      <c r="H2841" s="5" t="inlineStr">
        <is>
          <t>4</t>
        </is>
      </c>
      <c r="I2841" s="5" t="inlineStr">
        <is>
          <t>Bengaluru</t>
        </is>
      </c>
      <c r="J2841" s="5" t="inlineStr">
        <is>
          <t>Full-Time</t>
        </is>
      </c>
      <c r="K2841" s="7" t="n">
        <v>44883</v>
      </c>
      <c r="L2841" s="7" t="n">
        <v>44948</v>
      </c>
      <c r="M2841" s="5" t="inlineStr">
        <is>
          <t>No</t>
        </is>
      </c>
      <c r="N2841" s="5" t="inlineStr">
        <is>
          <t>Resigned</t>
        </is>
      </c>
      <c r="O2841" s="8" t="inlineStr">
        <is>
          <t>80000</t>
        </is>
      </c>
      <c r="P2841" s="5" t="inlineStr">
        <is>
          <t>5</t>
        </is>
      </c>
      <c r="Q2841" s="5" t="inlineStr">
        <is>
          <t>5</t>
        </is>
      </c>
      <c r="R2841" s="5" t="inlineStr">
        <is>
          <t>3</t>
        </is>
      </c>
      <c r="S2841" s="5" t="inlineStr">
        <is>
          <t>2</t>
        </is>
      </c>
      <c r="T2841" s="5" t="inlineStr">
        <is>
          <t>17</t>
        </is>
      </c>
      <c r="U2841" s="5" t="inlineStr">
        <is>
          <t>OK</t>
        </is>
      </c>
    </row>
    <row r="2842">
      <c r="A2842" s="5" t="inlineStr">
        <is>
          <t>E00873</t>
        </is>
      </c>
      <c r="B2842" s="5" t="inlineStr">
        <is>
          <t>Female</t>
        </is>
      </c>
      <c r="C2842" s="6" t="inlineStr">
        <is>
          <t>29</t>
        </is>
      </c>
      <c r="D2842" s="5" t="inlineStr">
        <is>
          <t>Married</t>
        </is>
      </c>
      <c r="E2842" s="5" t="inlineStr">
        <is>
          <t>High School</t>
        </is>
      </c>
      <c r="F2842" s="5" t="inlineStr">
        <is>
          <t>Finance</t>
        </is>
      </c>
      <c r="G2842" s="5" t="inlineStr">
        <is>
          <t>Financial Analyst</t>
        </is>
      </c>
      <c r="H2842" s="5" t="inlineStr">
        <is>
          <t>2</t>
        </is>
      </c>
      <c r="I2842" s="5" t="inlineStr">
        <is>
          <t>Delhi</t>
        </is>
      </c>
      <c r="J2842" s="5" t="inlineStr">
        <is>
          <t>Contract</t>
        </is>
      </c>
      <c r="K2842" s="7" t="n">
        <v>44498</v>
      </c>
      <c r="L2842" s="7" t="inlineStr"/>
      <c r="M2842" s="5" t="inlineStr">
        <is>
          <t>Yes</t>
        </is>
      </c>
      <c r="N2842" s="5" t="inlineStr"/>
      <c r="O2842" s="8" t="inlineStr">
        <is>
          <t>83000</t>
        </is>
      </c>
      <c r="P2842" s="5" t="inlineStr">
        <is>
          <t>15</t>
        </is>
      </c>
      <c r="Q2842" s="5" t="inlineStr">
        <is>
          <t>3</t>
        </is>
      </c>
      <c r="R2842" s="5" t="inlineStr">
        <is>
          <t>8</t>
        </is>
      </c>
      <c r="S2842" s="5" t="inlineStr">
        <is>
          <t>50</t>
        </is>
      </c>
      <c r="T2842" s="5" t="inlineStr">
        <is>
          <t>13</t>
        </is>
      </c>
      <c r="U2842" s="5" t="inlineStr">
        <is>
          <t>OK</t>
        </is>
      </c>
    </row>
    <row r="2843">
      <c r="A2843" s="5" t="inlineStr">
        <is>
          <t>E01654</t>
        </is>
      </c>
      <c r="B2843" s="5" t="inlineStr">
        <is>
          <t>Male</t>
        </is>
      </c>
      <c r="C2843" s="6" t="inlineStr">
        <is>
          <t>36</t>
        </is>
      </c>
      <c r="D2843" s="5" t="inlineStr">
        <is>
          <t>Married</t>
        </is>
      </c>
      <c r="E2843" s="5" t="inlineStr">
        <is>
          <t>Master</t>
        </is>
      </c>
      <c r="F2843" s="5" t="inlineStr">
        <is>
          <t>Finance</t>
        </is>
      </c>
      <c r="G2843" s="5" t="inlineStr">
        <is>
          <t>Accountant</t>
        </is>
      </c>
      <c r="H2843" s="5" t="inlineStr">
        <is>
          <t>4</t>
        </is>
      </c>
      <c r="I2843" s="5" t="inlineStr">
        <is>
          <t>Delhi</t>
        </is>
      </c>
      <c r="J2843" s="5" t="inlineStr">
        <is>
          <t>Full-Time</t>
        </is>
      </c>
      <c r="K2843" s="7" t="n">
        <v>45460</v>
      </c>
      <c r="L2843" s="7" t="inlineStr"/>
      <c r="M2843" s="5" t="inlineStr">
        <is>
          <t>Yes</t>
        </is>
      </c>
      <c r="N2843" s="5" t="inlineStr"/>
      <c r="O2843" s="8" t="inlineStr">
        <is>
          <t>152500</t>
        </is>
      </c>
      <c r="P2843" s="5" t="inlineStr">
        <is>
          <t>5</t>
        </is>
      </c>
      <c r="Q2843" s="5" t="inlineStr">
        <is>
          <t>5</t>
        </is>
      </c>
      <c r="R2843" s="5" t="inlineStr">
        <is>
          <t>5</t>
        </is>
      </c>
      <c r="S2843" s="5" t="inlineStr">
        <is>
          <t>18</t>
        </is>
      </c>
      <c r="T2843" s="5" t="inlineStr">
        <is>
          <t>16</t>
        </is>
      </c>
      <c r="U2843" s="5" t="inlineStr">
        <is>
          <t>OK</t>
        </is>
      </c>
    </row>
    <row r="2844">
      <c r="A2844" s="5" t="inlineStr">
        <is>
          <t>E01688</t>
        </is>
      </c>
      <c r="B2844" s="5" t="inlineStr">
        <is>
          <t>Male</t>
        </is>
      </c>
      <c r="C2844" s="6" t="inlineStr">
        <is>
          <t>28</t>
        </is>
      </c>
      <c r="D2844" s="5" t="inlineStr">
        <is>
          <t>Married</t>
        </is>
      </c>
      <c r="E2844" s="5" t="inlineStr">
        <is>
          <t>High School</t>
        </is>
      </c>
      <c r="F2844" s="5" t="inlineStr">
        <is>
          <t>Marketing</t>
        </is>
      </c>
      <c r="G2844" s="5" t="inlineStr">
        <is>
          <t>Marketing Analyst</t>
        </is>
      </c>
      <c r="H2844" s="5" t="inlineStr">
        <is>
          <t>3</t>
        </is>
      </c>
      <c r="I2844" s="5" t="inlineStr">
        <is>
          <t>Hyderabad</t>
        </is>
      </c>
      <c r="J2844" s="5" t="inlineStr">
        <is>
          <t>Full-Time</t>
        </is>
      </c>
      <c r="K2844" s="7" t="n">
        <v>45702</v>
      </c>
      <c r="L2844" s="7" t="inlineStr"/>
      <c r="M2844" s="5" t="inlineStr">
        <is>
          <t>Yes</t>
        </is>
      </c>
      <c r="N2844" s="5" t="inlineStr"/>
      <c r="O2844" s="8" t="inlineStr">
        <is>
          <t>88000</t>
        </is>
      </c>
      <c r="P2844" s="5" t="inlineStr">
        <is>
          <t>10</t>
        </is>
      </c>
      <c r="Q2844" s="5" t="inlineStr">
        <is>
          <t>3</t>
        </is>
      </c>
      <c r="R2844" s="5" t="inlineStr">
        <is>
          <t>7</t>
        </is>
      </c>
      <c r="S2844" s="5" t="inlineStr">
        <is>
          <t>10</t>
        </is>
      </c>
      <c r="T2844" s="5" t="inlineStr">
        <is>
          <t>7</t>
        </is>
      </c>
      <c r="U2844" s="5" t="inlineStr">
        <is>
          <t>OK</t>
        </is>
      </c>
    </row>
    <row r="2845">
      <c r="A2845" s="5" t="inlineStr">
        <is>
          <t>E01677</t>
        </is>
      </c>
      <c r="B2845" s="5" t="inlineStr">
        <is>
          <t>Female</t>
        </is>
      </c>
      <c r="C2845" s="6" t="inlineStr">
        <is>
          <t>29</t>
        </is>
      </c>
      <c r="D2845" s="5" t="inlineStr">
        <is>
          <t>Single</t>
        </is>
      </c>
      <c r="E2845" s="5" t="inlineStr">
        <is>
          <t>High School</t>
        </is>
      </c>
      <c r="F2845" s="5" t="inlineStr">
        <is>
          <t>Finance</t>
        </is>
      </c>
      <c r="G2845" s="5" t="inlineStr">
        <is>
          <t>Credit Analyst</t>
        </is>
      </c>
      <c r="H2845" s="5" t="inlineStr">
        <is>
          <t>1</t>
        </is>
      </c>
      <c r="I2845" s="5" t="inlineStr">
        <is>
          <t>Bengaluru</t>
        </is>
      </c>
      <c r="J2845" s="5" t="inlineStr">
        <is>
          <t>Full-Time</t>
        </is>
      </c>
      <c r="K2845" s="7" t="n">
        <v>45706</v>
      </c>
      <c r="L2845" s="7" t="n">
        <v>45800</v>
      </c>
      <c r="M2845" s="5" t="inlineStr">
        <is>
          <t>No</t>
        </is>
      </c>
      <c r="N2845" s="5" t="inlineStr">
        <is>
          <t>Performance / Termination</t>
        </is>
      </c>
      <c r="O2845" s="8" t="inlineStr">
        <is>
          <t>74500</t>
        </is>
      </c>
      <c r="P2845" s="5" t="inlineStr">
        <is>
          <t>15</t>
        </is>
      </c>
      <c r="Q2845" s="5" t="inlineStr">
        <is>
          <t>4</t>
        </is>
      </c>
      <c r="R2845" s="5" t="inlineStr">
        <is>
          <t>10</t>
        </is>
      </c>
      <c r="S2845" s="5" t="inlineStr">
        <is>
          <t>3</t>
        </is>
      </c>
      <c r="T2845" s="5" t="inlineStr">
        <is>
          <t>8</t>
        </is>
      </c>
      <c r="U2845" s="5" t="inlineStr">
        <is>
          <t>OK</t>
        </is>
      </c>
    </row>
    <row r="2846">
      <c r="A2846" s="5" t="inlineStr">
        <is>
          <t>E00721</t>
        </is>
      </c>
      <c r="B2846" s="5" t="inlineStr">
        <is>
          <t>Female</t>
        </is>
      </c>
      <c r="C2846" s="6" t="inlineStr">
        <is>
          <t>28</t>
        </is>
      </c>
      <c r="D2846" s="5" t="inlineStr">
        <is>
          <t>Married</t>
        </is>
      </c>
      <c r="E2846" s="5" t="inlineStr">
        <is>
          <t>PhD</t>
        </is>
      </c>
      <c r="F2846" s="5" t="inlineStr">
        <is>
          <t>Customer Support</t>
        </is>
      </c>
      <c r="G2846" s="5" t="inlineStr">
        <is>
          <t>Support Agent</t>
        </is>
      </c>
      <c r="H2846" s="5" t="inlineStr">
        <is>
          <t>2</t>
        </is>
      </c>
      <c r="I2846" s="5" t="inlineStr">
        <is>
          <t>Bengaluru</t>
        </is>
      </c>
      <c r="J2846" s="5" t="inlineStr">
        <is>
          <t>Full-Time</t>
        </is>
      </c>
      <c r="K2846" s="7" t="n">
        <v>44920</v>
      </c>
      <c r="L2846" s="7" t="inlineStr"/>
      <c r="M2846" s="5" t="inlineStr">
        <is>
          <t>Yes</t>
        </is>
      </c>
      <c r="N2846" s="5" t="inlineStr"/>
      <c r="O2846" s="8" t="inlineStr">
        <is>
          <t>66000</t>
        </is>
      </c>
      <c r="P2846" s="5" t="inlineStr">
        <is>
          <t>5</t>
        </is>
      </c>
      <c r="Q2846" s="5" t="inlineStr">
        <is>
          <t>5</t>
        </is>
      </c>
      <c r="R2846" s="5" t="inlineStr">
        <is>
          <t>5</t>
        </is>
      </c>
      <c r="S2846" s="5" t="inlineStr">
        <is>
          <t>36</t>
        </is>
      </c>
      <c r="T2846" s="5" t="inlineStr">
        <is>
          <t>10</t>
        </is>
      </c>
      <c r="U2846" s="5" t="inlineStr">
        <is>
          <t>OK</t>
        </is>
      </c>
    </row>
    <row r="2847">
      <c r="A2847" s="5" t="inlineStr">
        <is>
          <t>E02308</t>
        </is>
      </c>
      <c r="B2847" s="5" t="inlineStr">
        <is>
          <t>Female</t>
        </is>
      </c>
      <c r="C2847" s="6" t="inlineStr">
        <is>
          <t>24</t>
        </is>
      </c>
      <c r="D2847" s="5" t="inlineStr">
        <is>
          <t>Single</t>
        </is>
      </c>
      <c r="E2847" s="5" t="inlineStr">
        <is>
          <t>High School</t>
        </is>
      </c>
      <c r="F2847" s="5" t="inlineStr">
        <is>
          <t>Operations</t>
        </is>
      </c>
      <c r="G2847" s="5" t="inlineStr">
        <is>
          <t>Logistics Coordinator</t>
        </is>
      </c>
      <c r="H2847" s="5" t="inlineStr">
        <is>
          <t>1</t>
        </is>
      </c>
      <c r="I2847" s="5" t="inlineStr">
        <is>
          <t>Delhi</t>
        </is>
      </c>
      <c r="J2847" s="5" t="inlineStr">
        <is>
          <t>Full-Time</t>
        </is>
      </c>
      <c r="K2847" s="7" t="n">
        <v>45219</v>
      </c>
      <c r="L2847" s="7" t="inlineStr"/>
      <c r="M2847" s="5" t="inlineStr">
        <is>
          <t>Yes</t>
        </is>
      </c>
      <c r="N2847" s="5" t="inlineStr"/>
      <c r="O2847" s="8" t="inlineStr">
        <is>
          <t>81000</t>
        </is>
      </c>
      <c r="P2847" s="5" t="inlineStr">
        <is>
          <t>5</t>
        </is>
      </c>
      <c r="Q2847" s="5" t="inlineStr">
        <is>
          <t>5</t>
        </is>
      </c>
      <c r="R2847" s="5" t="inlineStr">
        <is>
          <t>7</t>
        </is>
      </c>
      <c r="S2847" s="5" t="inlineStr">
        <is>
          <t>26</t>
        </is>
      </c>
      <c r="T2847" s="5" t="inlineStr">
        <is>
          <t>12</t>
        </is>
      </c>
      <c r="U2847" s="5" t="inlineStr">
        <is>
          <t>OK</t>
        </is>
      </c>
    </row>
    <row r="2848">
      <c r="A2848" s="5" t="inlineStr">
        <is>
          <t>E02094</t>
        </is>
      </c>
      <c r="B2848" s="5" t="inlineStr">
        <is>
          <t>Male</t>
        </is>
      </c>
      <c r="C2848" s="6" t="inlineStr">
        <is>
          <t>26</t>
        </is>
      </c>
      <c r="D2848" s="5" t="inlineStr">
        <is>
          <t>Single</t>
        </is>
      </c>
      <c r="E2848" s="5" t="inlineStr">
        <is>
          <t>Master</t>
        </is>
      </c>
      <c r="F2848" s="5" t="inlineStr">
        <is>
          <t>Sales</t>
        </is>
      </c>
      <c r="G2848" s="5" t="inlineStr">
        <is>
          <t>Sales Executive</t>
        </is>
      </c>
      <c r="H2848" s="5" t="inlineStr">
        <is>
          <t>1</t>
        </is>
      </c>
      <c r="I2848" s="5" t="inlineStr">
        <is>
          <t>Bengaluru</t>
        </is>
      </c>
      <c r="J2848" s="5" t="inlineStr">
        <is>
          <t>Full-Time</t>
        </is>
      </c>
      <c r="K2848" s="7" t="n">
        <v>44941</v>
      </c>
      <c r="L2848" s="7" t="n">
        <v>44974</v>
      </c>
      <c r="M2848" s="5" t="inlineStr">
        <is>
          <t>No</t>
        </is>
      </c>
      <c r="N2848" s="5" t="inlineStr">
        <is>
          <t>Layoff</t>
        </is>
      </c>
      <c r="O2848" s="8" t="inlineStr">
        <is>
          <t>81000</t>
        </is>
      </c>
      <c r="P2848" s="5" t="inlineStr">
        <is>
          <t>15</t>
        </is>
      </c>
      <c r="Q2848" s="5" t="inlineStr">
        <is>
          <t>4</t>
        </is>
      </c>
      <c r="R2848" s="5" t="inlineStr">
        <is>
          <t>6</t>
        </is>
      </c>
      <c r="S2848" s="5" t="inlineStr">
        <is>
          <t>1</t>
        </is>
      </c>
      <c r="T2848" s="5" t="inlineStr">
        <is>
          <t>0</t>
        </is>
      </c>
      <c r="U2848" s="5" t="inlineStr">
        <is>
          <t>OK</t>
        </is>
      </c>
    </row>
    <row r="2849">
      <c r="A2849" s="5" t="inlineStr">
        <is>
          <t>E00031</t>
        </is>
      </c>
      <c r="B2849" s="5" t="inlineStr">
        <is>
          <t>Male</t>
        </is>
      </c>
      <c r="C2849" s="6" t="inlineStr">
        <is>
          <t>26</t>
        </is>
      </c>
      <c r="D2849" s="5" t="inlineStr">
        <is>
          <t>Married</t>
        </is>
      </c>
      <c r="E2849" s="5" t="inlineStr">
        <is>
          <t>Master</t>
        </is>
      </c>
      <c r="F2849" s="5" t="inlineStr">
        <is>
          <t>Human Resources</t>
        </is>
      </c>
      <c r="G2849" s="5" t="inlineStr">
        <is>
          <t>HR Analyst</t>
        </is>
      </c>
      <c r="H2849" s="5" t="inlineStr">
        <is>
          <t>2</t>
        </is>
      </c>
      <c r="I2849" s="5" t="inlineStr">
        <is>
          <t>Delhi</t>
        </is>
      </c>
      <c r="J2849" s="5" t="inlineStr">
        <is>
          <t>Full-Time</t>
        </is>
      </c>
      <c r="K2849" s="7" t="n">
        <v>46010</v>
      </c>
      <c r="L2849" s="7" t="inlineStr"/>
      <c r="M2849" s="5" t="inlineStr">
        <is>
          <t>Yes</t>
        </is>
      </c>
      <c r="N2849" s="5" t="inlineStr"/>
      <c r="O2849" s="8" t="inlineStr">
        <is>
          <t>82000</t>
        </is>
      </c>
      <c r="P2849" s="5" t="inlineStr">
        <is>
          <t>5</t>
        </is>
      </c>
      <c r="Q2849" s="5" t="inlineStr">
        <is>
          <t>5</t>
        </is>
      </c>
      <c r="R2849" s="5" t="inlineStr">
        <is>
          <t>2</t>
        </is>
      </c>
      <c r="S2849" s="5" t="inlineStr">
        <is>
          <t>1</t>
        </is>
      </c>
      <c r="T2849" s="5" t="inlineStr">
        <is>
          <t>7</t>
        </is>
      </c>
      <c r="U2849" s="5" t="inlineStr">
        <is>
          <t>OK</t>
        </is>
      </c>
    </row>
    <row r="2850">
      <c r="A2850" s="5" t="inlineStr">
        <is>
          <t>E00831</t>
        </is>
      </c>
      <c r="B2850" s="5" t="inlineStr">
        <is>
          <t>Male</t>
        </is>
      </c>
      <c r="C2850" s="6" t="inlineStr">
        <is>
          <t>34</t>
        </is>
      </c>
      <c r="D2850" s="5" t="inlineStr">
        <is>
          <t>Married</t>
        </is>
      </c>
      <c r="E2850" s="5" t="inlineStr">
        <is>
          <t>Master</t>
        </is>
      </c>
      <c r="F2850" s="5" t="inlineStr">
        <is>
          <t>Operations</t>
        </is>
      </c>
      <c r="G2850" s="5" t="inlineStr">
        <is>
          <t>Logistics Coordinator</t>
        </is>
      </c>
      <c r="H2850" s="5" t="inlineStr">
        <is>
          <t>3</t>
        </is>
      </c>
      <c r="I2850" s="5" t="inlineStr">
        <is>
          <t>Mumbai</t>
        </is>
      </c>
      <c r="J2850" s="5" t="inlineStr">
        <is>
          <t>Full-Time</t>
        </is>
      </c>
      <c r="K2850" s="7" t="n">
        <v>44995</v>
      </c>
      <c r="L2850" s="7" t="inlineStr"/>
      <c r="M2850" s="5" t="inlineStr">
        <is>
          <t>Yes</t>
        </is>
      </c>
      <c r="N2850" s="5" t="inlineStr"/>
      <c r="O2850" s="8" t="inlineStr">
        <is>
          <t>120500</t>
        </is>
      </c>
      <c r="P2850" s="5" t="inlineStr">
        <is>
          <t>5</t>
        </is>
      </c>
      <c r="Q2850" s="5" t="inlineStr">
        <is>
          <t>3</t>
        </is>
      </c>
      <c r="R2850" s="5" t="inlineStr">
        <is>
          <t>4</t>
        </is>
      </c>
      <c r="S2850" s="5" t="inlineStr">
        <is>
          <t>34</t>
        </is>
      </c>
      <c r="T2850" s="5" t="inlineStr">
        <is>
          <t>5</t>
        </is>
      </c>
      <c r="U2850" s="5" t="inlineStr">
        <is>
          <t>OK</t>
        </is>
      </c>
    </row>
    <row r="2851">
      <c r="A2851" s="5" t="inlineStr">
        <is>
          <t>E01511</t>
        </is>
      </c>
      <c r="B2851" s="5" t="inlineStr">
        <is>
          <t>Female</t>
        </is>
      </c>
      <c r="C2851" s="6" t="inlineStr">
        <is>
          <t>37</t>
        </is>
      </c>
      <c r="D2851" s="5" t="inlineStr">
        <is>
          <t>Married</t>
        </is>
      </c>
      <c r="E2851" s="5" t="inlineStr">
        <is>
          <t>Bachelor</t>
        </is>
      </c>
      <c r="F2851" s="5" t="inlineStr">
        <is>
          <t>IT</t>
        </is>
      </c>
      <c r="G2851" s="5" t="inlineStr">
        <is>
          <t>Software Engineer</t>
        </is>
      </c>
      <c r="H2851" s="5" t="inlineStr">
        <is>
          <t>5</t>
        </is>
      </c>
      <c r="I2851" s="5" t="inlineStr">
        <is>
          <t>Mumbai</t>
        </is>
      </c>
      <c r="J2851" s="5" t="inlineStr">
        <is>
          <t>Full-Time</t>
        </is>
      </c>
      <c r="K2851" s="7" t="n">
        <v>44780</v>
      </c>
      <c r="L2851" s="7" t="inlineStr"/>
      <c r="M2851" s="5" t="inlineStr">
        <is>
          <t>Yes</t>
        </is>
      </c>
      <c r="N2851" s="5" t="inlineStr"/>
      <c r="O2851" s="8" t="inlineStr">
        <is>
          <t>172500</t>
        </is>
      </c>
      <c r="P2851" s="5" t="inlineStr">
        <is>
          <t>15</t>
        </is>
      </c>
      <c r="Q2851" s="5" t="inlineStr">
        <is>
          <t>3</t>
        </is>
      </c>
      <c r="R2851" s="5" t="inlineStr">
        <is>
          <t>6</t>
        </is>
      </c>
      <c r="S2851" s="5" t="inlineStr">
        <is>
          <t>41</t>
        </is>
      </c>
      <c r="T2851" s="5" t="inlineStr">
        <is>
          <t>8</t>
        </is>
      </c>
      <c r="U2851" s="5" t="inlineStr">
        <is>
          <t>OK</t>
        </is>
      </c>
    </row>
    <row r="2852">
      <c r="A2852" s="5" t="inlineStr">
        <is>
          <t>E02304</t>
        </is>
      </c>
      <c r="B2852" s="5" t="inlineStr">
        <is>
          <t>Female</t>
        </is>
      </c>
      <c r="C2852" s="6" t="inlineStr">
        <is>
          <t>27</t>
        </is>
      </c>
      <c r="D2852" s="5" t="inlineStr">
        <is>
          <t>Divorced</t>
        </is>
      </c>
      <c r="E2852" s="5" t="inlineStr">
        <is>
          <t>PhD</t>
        </is>
      </c>
      <c r="F2852" s="5" t="inlineStr">
        <is>
          <t>Operations</t>
        </is>
      </c>
      <c r="G2852" s="5" t="inlineStr">
        <is>
          <t>Quality Analyst</t>
        </is>
      </c>
      <c r="H2852" s="5" t="inlineStr">
        <is>
          <t>1</t>
        </is>
      </c>
      <c r="I2852" s="5" t="inlineStr">
        <is>
          <t>Mumbai</t>
        </is>
      </c>
      <c r="J2852" s="5" t="inlineStr">
        <is>
          <t>Full-Time</t>
        </is>
      </c>
      <c r="K2852" s="7" t="n">
        <v>44648</v>
      </c>
      <c r="L2852" s="7" t="inlineStr"/>
      <c r="M2852" s="5" t="inlineStr">
        <is>
          <t>Yes</t>
        </is>
      </c>
      <c r="N2852" s="5" t="inlineStr"/>
      <c r="O2852" s="8" t="inlineStr"/>
      <c r="P2852" s="5" t="inlineStr">
        <is>
          <t>10</t>
        </is>
      </c>
      <c r="Q2852" s="5" t="inlineStr">
        <is>
          <t>4</t>
        </is>
      </c>
      <c r="R2852" s="5" t="inlineStr">
        <is>
          <t>7</t>
        </is>
      </c>
      <c r="S2852" s="5" t="inlineStr">
        <is>
          <t>45</t>
        </is>
      </c>
      <c r="T2852" s="5" t="inlineStr">
        <is>
          <t>8</t>
        </is>
      </c>
      <c r="U2852" s="5" t="inlineStr">
        <is>
          <t>Blank salary</t>
        </is>
      </c>
    </row>
    <row r="2853">
      <c r="A2853" s="5" t="inlineStr">
        <is>
          <t>E01796</t>
        </is>
      </c>
      <c r="B2853" s="5" t="inlineStr">
        <is>
          <t>Male</t>
        </is>
      </c>
      <c r="C2853" s="6" t="inlineStr">
        <is>
          <t>34</t>
        </is>
      </c>
      <c r="D2853" s="5" t="inlineStr">
        <is>
          <t>Married</t>
        </is>
      </c>
      <c r="E2853" s="5" t="inlineStr">
        <is>
          <t>High School</t>
        </is>
      </c>
      <c r="F2853" s="5" t="inlineStr">
        <is>
          <t>Marketing</t>
        </is>
      </c>
      <c r="G2853" s="5" t="inlineStr">
        <is>
          <t>Content Writer</t>
        </is>
      </c>
      <c r="H2853" s="5" t="inlineStr">
        <is>
          <t>1</t>
        </is>
      </c>
      <c r="I2853" s="5" t="inlineStr">
        <is>
          <t>Chennai</t>
        </is>
      </c>
      <c r="J2853" s="5" t="inlineStr">
        <is>
          <t>Part-Time</t>
        </is>
      </c>
      <c r="K2853" s="7" t="n">
        <v>44087</v>
      </c>
      <c r="L2853" s="7" t="inlineStr"/>
      <c r="M2853" s="5" t="inlineStr">
        <is>
          <t>Yes</t>
        </is>
      </c>
      <c r="N2853" s="5" t="inlineStr"/>
      <c r="O2853" s="8" t="inlineStr"/>
      <c r="P2853" s="5" t="inlineStr">
        <is>
          <t>5</t>
        </is>
      </c>
      <c r="Q2853" s="5" t="inlineStr">
        <is>
          <t>3</t>
        </is>
      </c>
      <c r="R2853" s="5" t="inlineStr">
        <is>
          <t>5</t>
        </is>
      </c>
      <c r="S2853" s="5" t="inlineStr">
        <is>
          <t>64</t>
        </is>
      </c>
      <c r="T2853" s="5" t="inlineStr">
        <is>
          <t>7</t>
        </is>
      </c>
      <c r="U2853" s="5" t="inlineStr">
        <is>
          <t>Blank salary</t>
        </is>
      </c>
    </row>
    <row r="2854">
      <c r="A2854" s="5" t="inlineStr">
        <is>
          <t>E02376</t>
        </is>
      </c>
      <c r="B2854" s="5" t="inlineStr">
        <is>
          <t>Male</t>
        </is>
      </c>
      <c r="C2854" s="6" t="inlineStr">
        <is>
          <t>26</t>
        </is>
      </c>
      <c r="D2854" s="5" t="inlineStr">
        <is>
          <t>Married</t>
        </is>
      </c>
      <c r="E2854" s="5" t="inlineStr">
        <is>
          <t>Master</t>
        </is>
      </c>
      <c r="F2854" s="5" t="inlineStr">
        <is>
          <t>Operations</t>
        </is>
      </c>
      <c r="G2854" s="5" t="inlineStr">
        <is>
          <t>Logistics Coordinator</t>
        </is>
      </c>
      <c r="H2854" s="5" t="inlineStr">
        <is>
          <t>2</t>
        </is>
      </c>
      <c r="I2854" s="5" t="inlineStr">
        <is>
          <t>Mumbai</t>
        </is>
      </c>
      <c r="J2854" s="5" t="inlineStr">
        <is>
          <t>Full-Time</t>
        </is>
      </c>
      <c r="K2854" s="7" t="n">
        <v>45267</v>
      </c>
      <c r="L2854" s="7" t="inlineStr"/>
      <c r="M2854" s="5" t="inlineStr">
        <is>
          <t>Yes</t>
        </is>
      </c>
      <c r="N2854" s="5" t="inlineStr"/>
      <c r="O2854" s="8" t="inlineStr">
        <is>
          <t>98500</t>
        </is>
      </c>
      <c r="P2854" s="5" t="inlineStr">
        <is>
          <t>5</t>
        </is>
      </c>
      <c r="Q2854" s="5" t="inlineStr">
        <is>
          <t>4</t>
        </is>
      </c>
      <c r="R2854" s="5" t="inlineStr">
        <is>
          <t>7</t>
        </is>
      </c>
      <c r="S2854" s="5" t="inlineStr">
        <is>
          <t>25</t>
        </is>
      </c>
      <c r="T2854" s="5" t="inlineStr">
        <is>
          <t>14</t>
        </is>
      </c>
      <c r="U2854" s="5" t="inlineStr">
        <is>
          <t>OK</t>
        </is>
      </c>
    </row>
    <row r="2855">
      <c r="A2855" s="5" t="inlineStr">
        <is>
          <t>E01987</t>
        </is>
      </c>
      <c r="B2855" s="5" t="inlineStr">
        <is>
          <t>Female</t>
        </is>
      </c>
      <c r="C2855" s="6" t="inlineStr">
        <is>
          <t>38</t>
        </is>
      </c>
      <c r="D2855" s="5" t="inlineStr">
        <is>
          <t>Single</t>
        </is>
      </c>
      <c r="E2855" s="5" t="inlineStr">
        <is>
          <t>Bachelor</t>
        </is>
      </c>
      <c r="F2855" s="5" t="inlineStr">
        <is>
          <t>Operations</t>
        </is>
      </c>
      <c r="G2855" s="5" t="inlineStr">
        <is>
          <t>Logistics Coordinator</t>
        </is>
      </c>
      <c r="H2855" s="5" t="inlineStr">
        <is>
          <t>4</t>
        </is>
      </c>
      <c r="I2855" s="5" t="inlineStr">
        <is>
          <t>Chennai</t>
        </is>
      </c>
      <c r="J2855" s="5" t="inlineStr">
        <is>
          <t>Contract</t>
        </is>
      </c>
      <c r="K2855" s="7" t="n">
        <v>45436</v>
      </c>
      <c r="L2855" s="7" t="inlineStr"/>
      <c r="M2855" s="5" t="inlineStr">
        <is>
          <t>Yes</t>
        </is>
      </c>
      <c r="N2855" s="5" t="inlineStr"/>
      <c r="O2855" s="8" t="inlineStr">
        <is>
          <t>133500</t>
        </is>
      </c>
      <c r="P2855" s="5" t="inlineStr">
        <is>
          <t>10</t>
        </is>
      </c>
      <c r="Q2855" s="5" t="inlineStr">
        <is>
          <t>3</t>
        </is>
      </c>
      <c r="R2855" s="5" t="inlineStr">
        <is>
          <t>2</t>
        </is>
      </c>
      <c r="S2855" s="5" t="inlineStr">
        <is>
          <t>19</t>
        </is>
      </c>
      <c r="T2855" s="5" t="inlineStr">
        <is>
          <t>7</t>
        </is>
      </c>
      <c r="U2855" s="5" t="inlineStr">
        <is>
          <t>OK</t>
        </is>
      </c>
    </row>
    <row r="2856">
      <c r="A2856" s="5" t="inlineStr">
        <is>
          <t>E01710</t>
        </is>
      </c>
      <c r="B2856" s="5" t="inlineStr">
        <is>
          <t>Male</t>
        </is>
      </c>
      <c r="C2856" s="6" t="inlineStr">
        <is>
          <t>34</t>
        </is>
      </c>
      <c r="D2856" s="5" t="inlineStr">
        <is>
          <t>Married</t>
        </is>
      </c>
      <c r="E2856" s="5" t="inlineStr">
        <is>
          <t>Master</t>
        </is>
      </c>
      <c r="F2856" s="5" t="inlineStr">
        <is>
          <t>Finance</t>
        </is>
      </c>
      <c r="G2856" s="5" t="inlineStr">
        <is>
          <t>Financial Analyst</t>
        </is>
      </c>
      <c r="H2856" s="5" t="inlineStr">
        <is>
          <t>2</t>
        </is>
      </c>
      <c r="I2856" s="5" t="inlineStr">
        <is>
          <t>Chennai</t>
        </is>
      </c>
      <c r="J2856" s="5" t="inlineStr">
        <is>
          <t>Full-Time</t>
        </is>
      </c>
      <c r="K2856" s="7" t="n">
        <v>44919</v>
      </c>
      <c r="L2856" s="7" t="inlineStr"/>
      <c r="M2856" s="5" t="inlineStr">
        <is>
          <t>Yes</t>
        </is>
      </c>
      <c r="N2856" s="5" t="inlineStr"/>
      <c r="O2856" s="8" t="inlineStr">
        <is>
          <t>96500</t>
        </is>
      </c>
      <c r="P2856" s="5" t="inlineStr">
        <is>
          <t>0</t>
        </is>
      </c>
      <c r="Q2856" s="5" t="inlineStr">
        <is>
          <t>5</t>
        </is>
      </c>
      <c r="R2856" s="5" t="inlineStr">
        <is>
          <t>7</t>
        </is>
      </c>
      <c r="S2856" s="5" t="inlineStr">
        <is>
          <t>36</t>
        </is>
      </c>
      <c r="T2856" s="5" t="inlineStr">
        <is>
          <t>0</t>
        </is>
      </c>
      <c r="U2856" s="5" t="inlineStr">
        <is>
          <t>OK</t>
        </is>
      </c>
    </row>
    <row r="2857">
      <c r="A2857" s="5" t="inlineStr">
        <is>
          <t>E00217</t>
        </is>
      </c>
      <c r="B2857" s="5" t="inlineStr">
        <is>
          <t>Female</t>
        </is>
      </c>
      <c r="C2857" s="6" t="inlineStr">
        <is>
          <t>29</t>
        </is>
      </c>
      <c r="D2857" s="5" t="inlineStr">
        <is>
          <t>Married</t>
        </is>
      </c>
      <c r="E2857" s="5" t="inlineStr">
        <is>
          <t>Master</t>
        </is>
      </c>
      <c r="F2857" s="5" t="inlineStr">
        <is>
          <t>Research &amp; Development</t>
        </is>
      </c>
      <c r="G2857" s="5" t="inlineStr">
        <is>
          <t>Research Scientist</t>
        </is>
      </c>
      <c r="H2857" s="5" t="inlineStr">
        <is>
          <t>2</t>
        </is>
      </c>
      <c r="I2857" s="5" t="inlineStr">
        <is>
          <t>Bengaluru</t>
        </is>
      </c>
      <c r="J2857" s="5" t="inlineStr">
        <is>
          <t>Contract</t>
        </is>
      </c>
      <c r="K2857" s="7" t="n">
        <v>45515</v>
      </c>
      <c r="L2857" s="7" t="inlineStr"/>
      <c r="M2857" s="5" t="inlineStr">
        <is>
          <t>Yes</t>
        </is>
      </c>
      <c r="N2857" s="5" t="inlineStr"/>
      <c r="O2857" s="8" t="inlineStr">
        <is>
          <t>163500</t>
        </is>
      </c>
      <c r="P2857" s="5" t="inlineStr">
        <is>
          <t>10</t>
        </is>
      </c>
      <c r="Q2857" s="5" t="inlineStr">
        <is>
          <t>4</t>
        </is>
      </c>
      <c r="R2857" s="5" t="inlineStr">
        <is>
          <t>7</t>
        </is>
      </c>
      <c r="S2857" s="5" t="inlineStr">
        <is>
          <t>16</t>
        </is>
      </c>
      <c r="T2857" s="5" t="inlineStr">
        <is>
          <t>8</t>
        </is>
      </c>
      <c r="U2857" s="5" t="inlineStr">
        <is>
          <t>OK</t>
        </is>
      </c>
    </row>
    <row r="2858">
      <c r="A2858" s="5" t="inlineStr">
        <is>
          <t>E01541</t>
        </is>
      </c>
      <c r="B2858" s="5" t="inlineStr">
        <is>
          <t>Female</t>
        </is>
      </c>
      <c r="C2858" s="6" t="inlineStr">
        <is>
          <t>32</t>
        </is>
      </c>
      <c r="D2858" s="5" t="inlineStr">
        <is>
          <t>Married</t>
        </is>
      </c>
      <c r="E2858" s="5" t="inlineStr">
        <is>
          <t>PhD</t>
        </is>
      </c>
      <c r="F2858" s="5" t="inlineStr">
        <is>
          <t>IT</t>
        </is>
      </c>
      <c r="G2858" s="5" t="inlineStr">
        <is>
          <t>IT Support</t>
        </is>
      </c>
      <c r="H2858" s="5" t="inlineStr">
        <is>
          <t>3</t>
        </is>
      </c>
      <c r="I2858" s="5" t="inlineStr">
        <is>
          <t>Hyderabad</t>
        </is>
      </c>
      <c r="J2858" s="5" t="inlineStr">
        <is>
          <t>Contract</t>
        </is>
      </c>
      <c r="K2858" s="7" t="n">
        <v>44971</v>
      </c>
      <c r="L2858" s="7" t="inlineStr"/>
      <c r="M2858" s="5" t="inlineStr">
        <is>
          <t>Yes</t>
        </is>
      </c>
      <c r="N2858" s="5" t="inlineStr"/>
      <c r="O2858" s="8" t="inlineStr">
        <is>
          <t>140500</t>
        </is>
      </c>
      <c r="P2858" s="5" t="inlineStr">
        <is>
          <t>5</t>
        </is>
      </c>
      <c r="Q2858" s="5" t="inlineStr">
        <is>
          <t>3</t>
        </is>
      </c>
      <c r="R2858" s="5" t="inlineStr">
        <is>
          <t>5</t>
        </is>
      </c>
      <c r="S2858" s="5" t="inlineStr">
        <is>
          <t>35</t>
        </is>
      </c>
      <c r="T2858" s="5" t="inlineStr">
        <is>
          <t>13</t>
        </is>
      </c>
      <c r="U2858" s="5" t="inlineStr">
        <is>
          <t>OK</t>
        </is>
      </c>
    </row>
    <row r="2859">
      <c r="A2859" s="5" t="inlineStr">
        <is>
          <t>E02506</t>
        </is>
      </c>
      <c r="B2859" s="5" t="inlineStr">
        <is>
          <t>Female</t>
        </is>
      </c>
      <c r="C2859" s="6" t="inlineStr">
        <is>
          <t>31</t>
        </is>
      </c>
      <c r="D2859" s="5" t="inlineStr">
        <is>
          <t>Married</t>
        </is>
      </c>
      <c r="E2859" s="5" t="inlineStr">
        <is>
          <t>High School</t>
        </is>
      </c>
      <c r="F2859" s="5" t="inlineStr">
        <is>
          <t>Sales</t>
        </is>
      </c>
      <c r="G2859" s="5" t="inlineStr">
        <is>
          <t>Account Executive</t>
        </is>
      </c>
      <c r="H2859" s="5" t="inlineStr">
        <is>
          <t>4</t>
        </is>
      </c>
      <c r="I2859" s="5" t="inlineStr">
        <is>
          <t>Hyderabad</t>
        </is>
      </c>
      <c r="J2859" s="5" t="inlineStr">
        <is>
          <t>Full-Time</t>
        </is>
      </c>
      <c r="K2859" s="7" t="n">
        <v>45220</v>
      </c>
      <c r="L2859" s="7" t="n">
        <v>45353</v>
      </c>
      <c r="M2859" s="5" t="inlineStr">
        <is>
          <t>No</t>
        </is>
      </c>
      <c r="N2859" s="5" t="inlineStr">
        <is>
          <t>Resigned</t>
        </is>
      </c>
      <c r="O2859" s="8" t="inlineStr">
        <is>
          <t>106500</t>
        </is>
      </c>
      <c r="P2859" s="5" t="inlineStr">
        <is>
          <t>10</t>
        </is>
      </c>
      <c r="Q2859" s="5" t="inlineStr">
        <is>
          <t>4</t>
        </is>
      </c>
      <c r="R2859" s="5" t="inlineStr">
        <is>
          <t>6</t>
        </is>
      </c>
      <c r="S2859" s="5" t="inlineStr">
        <is>
          <t>4</t>
        </is>
      </c>
      <c r="T2859" s="5" t="inlineStr">
        <is>
          <t>11</t>
        </is>
      </c>
      <c r="U2859" s="5" t="inlineStr">
        <is>
          <t>OK</t>
        </is>
      </c>
    </row>
    <row r="2860">
      <c r="A2860" s="5" t="inlineStr">
        <is>
          <t>E01805</t>
        </is>
      </c>
      <c r="B2860" s="5" t="inlineStr">
        <is>
          <t>Female</t>
        </is>
      </c>
      <c r="C2860" s="6" t="inlineStr">
        <is>
          <t>25</t>
        </is>
      </c>
      <c r="D2860" s="5" t="inlineStr">
        <is>
          <t>Married</t>
        </is>
      </c>
      <c r="E2860" s="5" t="inlineStr">
        <is>
          <t>Bachelor</t>
        </is>
      </c>
      <c r="F2860" s="5" t="inlineStr">
        <is>
          <t>Sales</t>
        </is>
      </c>
      <c r="G2860" s="5" t="inlineStr">
        <is>
          <t>Sales Executive</t>
        </is>
      </c>
      <c r="H2860" s="5" t="inlineStr">
        <is>
          <t>2</t>
        </is>
      </c>
      <c r="I2860" s="5" t="inlineStr">
        <is>
          <t>Mumbai</t>
        </is>
      </c>
      <c r="J2860" s="5" t="inlineStr">
        <is>
          <t>Full-Time</t>
        </is>
      </c>
      <c r="K2860" s="7" t="n">
        <v>45320</v>
      </c>
      <c r="L2860" s="7" t="inlineStr"/>
      <c r="M2860" s="5" t="inlineStr">
        <is>
          <t>Yes</t>
        </is>
      </c>
      <c r="N2860" s="5" t="inlineStr"/>
      <c r="O2860" s="8" t="inlineStr">
        <is>
          <t>108500</t>
        </is>
      </c>
      <c r="P2860" s="5" t="inlineStr">
        <is>
          <t>0</t>
        </is>
      </c>
      <c r="Q2860" s="5" t="inlineStr">
        <is>
          <t>3</t>
        </is>
      </c>
      <c r="R2860" s="5" t="inlineStr">
        <is>
          <t>5</t>
        </is>
      </c>
      <c r="S2860" s="5" t="inlineStr">
        <is>
          <t>23</t>
        </is>
      </c>
      <c r="T2860" s="5" t="inlineStr">
        <is>
          <t>1</t>
        </is>
      </c>
      <c r="U2860" s="5" t="inlineStr">
        <is>
          <t>OK</t>
        </is>
      </c>
    </row>
    <row r="2861">
      <c r="A2861" s="5" t="inlineStr">
        <is>
          <t>E00774</t>
        </is>
      </c>
      <c r="B2861" s="5" t="inlineStr">
        <is>
          <t>Male</t>
        </is>
      </c>
      <c r="C2861" s="6" t="inlineStr">
        <is>
          <t>31</t>
        </is>
      </c>
      <c r="D2861" s="5" t="inlineStr">
        <is>
          <t>Married</t>
        </is>
      </c>
      <c r="E2861" s="5" t="inlineStr">
        <is>
          <t>Master</t>
        </is>
      </c>
      <c r="F2861" s="5" t="inlineStr">
        <is>
          <t>Customer Support</t>
        </is>
      </c>
      <c r="G2861" s="5" t="inlineStr">
        <is>
          <t>Support Agent</t>
        </is>
      </c>
      <c r="H2861" s="5" t="inlineStr">
        <is>
          <t>1</t>
        </is>
      </c>
      <c r="I2861" s="5" t="inlineStr">
        <is>
          <t>Remote</t>
        </is>
      </c>
      <c r="J2861" s="5" t="inlineStr">
        <is>
          <t>Full-Time</t>
        </is>
      </c>
      <c r="K2861" s="7" t="n">
        <v>45444</v>
      </c>
      <c r="L2861" s="7" t="inlineStr"/>
      <c r="M2861" s="5" t="inlineStr">
        <is>
          <t>Yes</t>
        </is>
      </c>
      <c r="N2861" s="5" t="inlineStr"/>
      <c r="O2861" s="8" t="inlineStr">
        <is>
          <t>47000</t>
        </is>
      </c>
      <c r="P2861" s="5" t="inlineStr">
        <is>
          <t>0</t>
        </is>
      </c>
      <c r="Q2861" s="5" t="inlineStr">
        <is>
          <t>4</t>
        </is>
      </c>
      <c r="R2861" s="5" t="inlineStr">
        <is>
          <t>6</t>
        </is>
      </c>
      <c r="S2861" s="5" t="inlineStr">
        <is>
          <t>19</t>
        </is>
      </c>
      <c r="T2861" s="5" t="inlineStr">
        <is>
          <t>11</t>
        </is>
      </c>
      <c r="U2861" s="5" t="inlineStr">
        <is>
          <t>OK</t>
        </is>
      </c>
    </row>
    <row r="2862">
      <c r="A2862" s="5" t="inlineStr">
        <is>
          <t>E02137</t>
        </is>
      </c>
      <c r="B2862" s="5" t="inlineStr">
        <is>
          <t>Female</t>
        </is>
      </c>
      <c r="C2862" s="6" t="inlineStr">
        <is>
          <t>39</t>
        </is>
      </c>
      <c r="D2862" s="5" t="inlineStr">
        <is>
          <t>Single</t>
        </is>
      </c>
      <c r="E2862" s="5" t="inlineStr">
        <is>
          <t>Master</t>
        </is>
      </c>
      <c r="F2862" s="5" t="inlineStr">
        <is>
          <t>Operations</t>
        </is>
      </c>
      <c r="G2862" s="5" t="inlineStr">
        <is>
          <t>Quality Analyst</t>
        </is>
      </c>
      <c r="H2862" s="5" t="inlineStr">
        <is>
          <t>6</t>
        </is>
      </c>
      <c r="I2862" s="5" t="inlineStr">
        <is>
          <t>Delhi</t>
        </is>
      </c>
      <c r="J2862" s="5" t="inlineStr">
        <is>
          <t>Full-Time</t>
        </is>
      </c>
      <c r="K2862" s="7" t="n">
        <v>44971</v>
      </c>
      <c r="L2862" s="7" t="inlineStr"/>
      <c r="M2862" s="5" t="inlineStr">
        <is>
          <t>Yes</t>
        </is>
      </c>
      <c r="N2862" s="5" t="inlineStr"/>
      <c r="O2862" s="8" t="inlineStr">
        <is>
          <t>102500</t>
        </is>
      </c>
      <c r="P2862" s="5" t="inlineStr">
        <is>
          <t>0</t>
        </is>
      </c>
      <c r="Q2862" s="5" t="inlineStr">
        <is>
          <t>5</t>
        </is>
      </c>
      <c r="R2862" s="5" t="inlineStr">
        <is>
          <t>8</t>
        </is>
      </c>
      <c r="S2862" s="5" t="inlineStr">
        <is>
          <t>35</t>
        </is>
      </c>
      <c r="T2862" s="5" t="inlineStr">
        <is>
          <t>11</t>
        </is>
      </c>
      <c r="U2862" s="5" t="inlineStr">
        <is>
          <t>OK</t>
        </is>
      </c>
    </row>
    <row r="2863">
      <c r="A2863" s="5" t="inlineStr">
        <is>
          <t>E00900</t>
        </is>
      </c>
      <c r="B2863" s="5" t="inlineStr">
        <is>
          <t>Male</t>
        </is>
      </c>
      <c r="C2863" s="6" t="inlineStr">
        <is>
          <t>34</t>
        </is>
      </c>
      <c r="D2863" s="5" t="inlineStr">
        <is>
          <t>Divorced</t>
        </is>
      </c>
      <c r="E2863" s="5" t="inlineStr">
        <is>
          <t>Bachelor</t>
        </is>
      </c>
      <c r="F2863" s="5" t="inlineStr">
        <is>
          <t>Sales</t>
        </is>
      </c>
      <c r="G2863" s="5" t="inlineStr">
        <is>
          <t>Business Development</t>
        </is>
      </c>
      <c r="H2863" s="5" t="inlineStr">
        <is>
          <t>3</t>
        </is>
      </c>
      <c r="I2863" s="5" t="inlineStr">
        <is>
          <t>Mumbai</t>
        </is>
      </c>
      <c r="J2863" s="5" t="inlineStr">
        <is>
          <t>Full-Time</t>
        </is>
      </c>
      <c r="K2863" s="7" t="n">
        <v>44712</v>
      </c>
      <c r="L2863" s="7" t="inlineStr"/>
      <c r="M2863" s="5" t="inlineStr">
        <is>
          <t>Yes</t>
        </is>
      </c>
      <c r="N2863" s="5" t="inlineStr"/>
      <c r="O2863" s="8" t="inlineStr">
        <is>
          <t>111500</t>
        </is>
      </c>
      <c r="P2863" s="5" t="inlineStr">
        <is>
          <t>0</t>
        </is>
      </c>
      <c r="Q2863" s="5" t="inlineStr">
        <is>
          <t>4</t>
        </is>
      </c>
      <c r="R2863" s="5" t="inlineStr">
        <is>
          <t>8</t>
        </is>
      </c>
      <c r="S2863" s="5" t="inlineStr">
        <is>
          <t>43</t>
        </is>
      </c>
      <c r="T2863" s="5" t="inlineStr">
        <is>
          <t>2</t>
        </is>
      </c>
      <c r="U2863" s="5" t="inlineStr">
        <is>
          <t>OK</t>
        </is>
      </c>
    </row>
    <row r="2864">
      <c r="A2864" s="5" t="inlineStr">
        <is>
          <t>E00094</t>
        </is>
      </c>
      <c r="B2864" s="5" t="inlineStr">
        <is>
          <t>Male</t>
        </is>
      </c>
      <c r="C2864" s="6" t="inlineStr">
        <is>
          <t>36</t>
        </is>
      </c>
      <c r="D2864" s="5" t="inlineStr">
        <is>
          <t>Divorced</t>
        </is>
      </c>
      <c r="E2864" s="5" t="inlineStr">
        <is>
          <t>PhD</t>
        </is>
      </c>
      <c r="F2864" s="5" t="inlineStr">
        <is>
          <t>Sales</t>
        </is>
      </c>
      <c r="G2864" s="5" t="inlineStr">
        <is>
          <t>Business Development</t>
        </is>
      </c>
      <c r="H2864" s="5" t="inlineStr">
        <is>
          <t>5</t>
        </is>
      </c>
      <c r="I2864" s="5" t="inlineStr">
        <is>
          <t>Hyderabad</t>
        </is>
      </c>
      <c r="J2864" s="5" t="inlineStr">
        <is>
          <t>Full-Time</t>
        </is>
      </c>
      <c r="K2864" s="7" t="n">
        <v>44809</v>
      </c>
      <c r="L2864" s="7" t="inlineStr"/>
      <c r="M2864" s="5" t="inlineStr">
        <is>
          <t>Yes</t>
        </is>
      </c>
      <c r="N2864" s="5" t="inlineStr"/>
      <c r="O2864" s="8" t="inlineStr">
        <is>
          <t>129000</t>
        </is>
      </c>
      <c r="P2864" s="5" t="inlineStr">
        <is>
          <t>0</t>
        </is>
      </c>
      <c r="Q2864" s="5" t="inlineStr">
        <is>
          <t>4</t>
        </is>
      </c>
      <c r="R2864" s="5" t="inlineStr">
        <is>
          <t>8</t>
        </is>
      </c>
      <c r="S2864" s="5" t="inlineStr">
        <is>
          <t>40</t>
        </is>
      </c>
      <c r="T2864" s="5" t="inlineStr">
        <is>
          <t>0</t>
        </is>
      </c>
      <c r="U2864" s="5" t="inlineStr">
        <is>
          <t>OK</t>
        </is>
      </c>
    </row>
    <row r="2865">
      <c r="A2865" s="5" t="inlineStr">
        <is>
          <t>E01807</t>
        </is>
      </c>
      <c r="B2865" s="5" t="inlineStr">
        <is>
          <t>Female</t>
        </is>
      </c>
      <c r="C2865" s="6" t="inlineStr">
        <is>
          <t>32</t>
        </is>
      </c>
      <c r="D2865" s="5" t="inlineStr">
        <is>
          <t>Married</t>
        </is>
      </c>
      <c r="E2865" s="5" t="inlineStr">
        <is>
          <t>High School</t>
        </is>
      </c>
      <c r="F2865" s="5" t="inlineStr">
        <is>
          <t>Operations</t>
        </is>
      </c>
      <c r="G2865" s="5" t="inlineStr">
        <is>
          <t>Operations Analyst</t>
        </is>
      </c>
      <c r="H2865" s="5" t="inlineStr">
        <is>
          <t>2</t>
        </is>
      </c>
      <c r="I2865" s="5" t="inlineStr">
        <is>
          <t>Bengaluru</t>
        </is>
      </c>
      <c r="J2865" s="5" t="inlineStr">
        <is>
          <t>Full-Time</t>
        </is>
      </c>
      <c r="K2865" s="7" t="n">
        <v>45271</v>
      </c>
      <c r="L2865" s="7" t="inlineStr"/>
      <c r="M2865" s="5" t="inlineStr">
        <is>
          <t>Yes</t>
        </is>
      </c>
      <c r="N2865" s="5" t="inlineStr"/>
      <c r="O2865" s="8" t="inlineStr">
        <is>
          <t>79000</t>
        </is>
      </c>
      <c r="P2865" s="5" t="inlineStr">
        <is>
          <t>20</t>
        </is>
      </c>
      <c r="Q2865" s="5" t="inlineStr">
        <is>
          <t>3</t>
        </is>
      </c>
      <c r="R2865" s="5" t="inlineStr">
        <is>
          <t>4</t>
        </is>
      </c>
      <c r="S2865" s="5" t="inlineStr">
        <is>
          <t>25</t>
        </is>
      </c>
      <c r="T2865" s="5" t="inlineStr">
        <is>
          <t>3</t>
        </is>
      </c>
      <c r="U2865" s="5" t="inlineStr">
        <is>
          <t>OK</t>
        </is>
      </c>
    </row>
    <row r="2866">
      <c r="A2866" s="5" t="inlineStr">
        <is>
          <t>E01641</t>
        </is>
      </c>
      <c r="B2866" s="5" t="inlineStr">
        <is>
          <t>Male</t>
        </is>
      </c>
      <c r="C2866" s="6" t="inlineStr">
        <is>
          <t>37</t>
        </is>
      </c>
      <c r="D2866" s="5" t="inlineStr">
        <is>
          <t>Married</t>
        </is>
      </c>
      <c r="E2866" s="5" t="inlineStr">
        <is>
          <t>Diploma</t>
        </is>
      </c>
      <c r="F2866" s="5" t="inlineStr">
        <is>
          <t>Sales</t>
        </is>
      </c>
      <c r="G2866" s="5" t="inlineStr">
        <is>
          <t>Sales Executive</t>
        </is>
      </c>
      <c r="H2866" s="5" t="inlineStr">
        <is>
          <t>7</t>
        </is>
      </c>
      <c r="I2866" s="5" t="inlineStr">
        <is>
          <t>Delhi</t>
        </is>
      </c>
      <c r="J2866" s="5" t="inlineStr">
        <is>
          <t>Full-Time</t>
        </is>
      </c>
      <c r="K2866" s="7" t="n">
        <v>44417</v>
      </c>
      <c r="L2866" s="7" t="n">
        <v>44466</v>
      </c>
      <c r="M2866" s="5" t="inlineStr">
        <is>
          <t>No</t>
        </is>
      </c>
      <c r="N2866" s="5" t="inlineStr">
        <is>
          <t>Layoff</t>
        </is>
      </c>
      <c r="O2866" s="8" t="inlineStr">
        <is>
          <t>144000</t>
        </is>
      </c>
      <c r="P2866" s="5" t="inlineStr">
        <is>
          <t>0</t>
        </is>
      </c>
      <c r="Q2866" s="5" t="inlineStr">
        <is>
          <t>3</t>
        </is>
      </c>
      <c r="R2866" s="5" t="inlineStr">
        <is>
          <t>4</t>
        </is>
      </c>
      <c r="S2866" s="5" t="inlineStr">
        <is>
          <t>1</t>
        </is>
      </c>
      <c r="T2866" s="5" t="inlineStr">
        <is>
          <t>4</t>
        </is>
      </c>
      <c r="U2866" s="5" t="inlineStr">
        <is>
          <t>OK</t>
        </is>
      </c>
    </row>
    <row r="2867">
      <c r="A2867" s="5" t="inlineStr">
        <is>
          <t>E02439</t>
        </is>
      </c>
      <c r="B2867" s="5" t="inlineStr">
        <is>
          <t>Female</t>
        </is>
      </c>
      <c r="C2867" s="6" t="inlineStr">
        <is>
          <t>35</t>
        </is>
      </c>
      <c r="D2867" s="5" t="inlineStr">
        <is>
          <t>Married</t>
        </is>
      </c>
      <c r="E2867" s="5" t="inlineStr">
        <is>
          <t>Bachelor</t>
        </is>
      </c>
      <c r="F2867" s="5" t="inlineStr">
        <is>
          <t>IT</t>
        </is>
      </c>
      <c r="G2867" s="5" t="inlineStr">
        <is>
          <t>Software Engineer</t>
        </is>
      </c>
      <c r="H2867" s="5" t="inlineStr">
        <is>
          <t>3</t>
        </is>
      </c>
      <c r="I2867" s="5" t="inlineStr">
        <is>
          <t>Hyderabad</t>
        </is>
      </c>
      <c r="J2867" s="5" t="inlineStr">
        <is>
          <t>Full-Time</t>
        </is>
      </c>
      <c r="K2867" s="7" t="n">
        <v>44021</v>
      </c>
      <c r="L2867" s="7" t="inlineStr"/>
      <c r="M2867" s="5" t="inlineStr">
        <is>
          <t>Yes</t>
        </is>
      </c>
      <c r="N2867" s="5" t="inlineStr"/>
      <c r="O2867" s="8" t="inlineStr">
        <is>
          <t>110500</t>
        </is>
      </c>
      <c r="P2867" s="5" t="inlineStr">
        <is>
          <t>0</t>
        </is>
      </c>
      <c r="Q2867" s="5" t="inlineStr">
        <is>
          <t>3</t>
        </is>
      </c>
      <c r="R2867" s="5" t="inlineStr">
        <is>
          <t>6</t>
        </is>
      </c>
      <c r="S2867" s="5" t="inlineStr">
        <is>
          <t>66</t>
        </is>
      </c>
      <c r="T2867" s="5" t="inlineStr">
        <is>
          <t>0</t>
        </is>
      </c>
      <c r="U2867" s="5" t="inlineStr">
        <is>
          <t>OK</t>
        </is>
      </c>
    </row>
    <row r="2868">
      <c r="A2868" s="5" t="inlineStr">
        <is>
          <t>E00726</t>
        </is>
      </c>
      <c r="B2868" s="5" t="inlineStr">
        <is>
          <t>Female</t>
        </is>
      </c>
      <c r="C2868" s="6" t="inlineStr">
        <is>
          <t>35</t>
        </is>
      </c>
      <c r="D2868" s="5" t="inlineStr">
        <is>
          <t>Married</t>
        </is>
      </c>
      <c r="E2868" s="5" t="inlineStr">
        <is>
          <t>PhD</t>
        </is>
      </c>
      <c r="F2868" s="5" t="inlineStr">
        <is>
          <t>Customer Support</t>
        </is>
      </c>
      <c r="G2868" s="5" t="inlineStr">
        <is>
          <t>Escalation Specialist</t>
        </is>
      </c>
      <c r="H2868" s="5" t="inlineStr">
        <is>
          <t>3</t>
        </is>
      </c>
      <c r="I2868" s="5" t="inlineStr">
        <is>
          <t>Chennai</t>
        </is>
      </c>
      <c r="J2868" s="5" t="inlineStr">
        <is>
          <t>Part-Time</t>
        </is>
      </c>
      <c r="K2868" s="7" t="n">
        <v>44734</v>
      </c>
      <c r="L2868" s="7" t="inlineStr"/>
      <c r="M2868" s="5" t="inlineStr">
        <is>
          <t>Yes</t>
        </is>
      </c>
      <c r="N2868" s="5" t="inlineStr"/>
      <c r="O2868" s="8" t="inlineStr">
        <is>
          <t>68000</t>
        </is>
      </c>
      <c r="P2868" s="5" t="inlineStr">
        <is>
          <t>0</t>
        </is>
      </c>
      <c r="Q2868" s="5" t="inlineStr">
        <is>
          <t>3</t>
        </is>
      </c>
      <c r="R2868" s="5" t="inlineStr">
        <is>
          <t>6</t>
        </is>
      </c>
      <c r="S2868" s="5" t="inlineStr">
        <is>
          <t>42</t>
        </is>
      </c>
      <c r="T2868" s="5" t="inlineStr">
        <is>
          <t>13</t>
        </is>
      </c>
      <c r="U2868" s="5" t="inlineStr">
        <is>
          <t>OK</t>
        </is>
      </c>
    </row>
    <row r="2869">
      <c r="A2869" s="5" t="inlineStr">
        <is>
          <t>E00978</t>
        </is>
      </c>
      <c r="B2869" s="5" t="inlineStr">
        <is>
          <t>Unknown</t>
        </is>
      </c>
      <c r="C2869" s="6" t="inlineStr">
        <is>
          <t>28</t>
        </is>
      </c>
      <c r="D2869" s="5" t="inlineStr">
        <is>
          <t>Married</t>
        </is>
      </c>
      <c r="E2869" s="5" t="inlineStr">
        <is>
          <t>Diploma</t>
        </is>
      </c>
      <c r="F2869" s="5" t="inlineStr">
        <is>
          <t>Human Resources</t>
        </is>
      </c>
      <c r="G2869" s="5" t="inlineStr">
        <is>
          <t>HR Analyst</t>
        </is>
      </c>
      <c r="H2869" s="5" t="inlineStr">
        <is>
          <t>1</t>
        </is>
      </c>
      <c r="I2869" s="5" t="inlineStr">
        <is>
          <t>Remote</t>
        </is>
      </c>
      <c r="J2869" s="5" t="inlineStr">
        <is>
          <t>Full-Time</t>
        </is>
      </c>
      <c r="K2869" s="7" t="n">
        <v>43976</v>
      </c>
      <c r="L2869" s="7" t="n">
        <v>44008</v>
      </c>
      <c r="M2869" s="5" t="inlineStr">
        <is>
          <t>No</t>
        </is>
      </c>
      <c r="N2869" s="5" t="inlineStr">
        <is>
          <t>Resigned</t>
        </is>
      </c>
      <c r="O2869" s="8" t="inlineStr">
        <is>
          <t>60500</t>
        </is>
      </c>
      <c r="P2869" s="5" t="inlineStr">
        <is>
          <t>15</t>
        </is>
      </c>
      <c r="Q2869" s="5" t="inlineStr">
        <is>
          <t>3</t>
        </is>
      </c>
      <c r="R2869" s="5" t="inlineStr">
        <is>
          <t>7</t>
        </is>
      </c>
      <c r="S2869" s="5" t="inlineStr">
        <is>
          <t>1</t>
        </is>
      </c>
      <c r="T2869" s="5" t="inlineStr">
        <is>
          <t>8</t>
        </is>
      </c>
      <c r="U2869" s="5" t="inlineStr">
        <is>
          <t>Bad gender</t>
        </is>
      </c>
    </row>
    <row r="2870">
      <c r="A2870" s="5" t="inlineStr">
        <is>
          <t>E02987</t>
        </is>
      </c>
      <c r="B2870" s="5" t="inlineStr">
        <is>
          <t>Female</t>
        </is>
      </c>
      <c r="C2870" s="6" t="inlineStr">
        <is>
          <t>33</t>
        </is>
      </c>
      <c r="D2870" s="5" t="inlineStr">
        <is>
          <t>Single</t>
        </is>
      </c>
      <c r="E2870" s="5" t="inlineStr">
        <is>
          <t>High School</t>
        </is>
      </c>
      <c r="F2870" s="5" t="inlineStr">
        <is>
          <t>Human Resources</t>
        </is>
      </c>
      <c r="G2870" s="5" t="inlineStr">
        <is>
          <t>Recruiter</t>
        </is>
      </c>
      <c r="H2870" s="5" t="inlineStr">
        <is>
          <t>1</t>
        </is>
      </c>
      <c r="I2870" s="5" t="inlineStr">
        <is>
          <t>Remote</t>
        </is>
      </c>
      <c r="J2870" s="5" t="inlineStr">
        <is>
          <t>Part-Time</t>
        </is>
      </c>
      <c r="K2870" s="7" t="n">
        <v>45874</v>
      </c>
      <c r="L2870" s="7" t="inlineStr"/>
      <c r="M2870" s="5" t="inlineStr">
        <is>
          <t>Yes</t>
        </is>
      </c>
      <c r="N2870" s="5" t="inlineStr"/>
      <c r="O2870" s="8" t="inlineStr">
        <is>
          <t>1500000</t>
        </is>
      </c>
      <c r="P2870" s="5" t="inlineStr">
        <is>
          <t>0</t>
        </is>
      </c>
      <c r="Q2870" s="5" t="inlineStr">
        <is>
          <t>4</t>
        </is>
      </c>
      <c r="R2870" s="5" t="inlineStr">
        <is>
          <t>7</t>
        </is>
      </c>
      <c r="S2870" s="5" t="inlineStr">
        <is>
          <t>4</t>
        </is>
      </c>
      <c r="T2870" s="5" t="inlineStr">
        <is>
          <t>0</t>
        </is>
      </c>
      <c r="U2870" s="5" t="inlineStr">
        <is>
          <t>Outlier salary</t>
        </is>
      </c>
    </row>
    <row r="2871">
      <c r="A2871" s="5" t="inlineStr">
        <is>
          <t>E01964</t>
        </is>
      </c>
      <c r="B2871" s="5" t="inlineStr">
        <is>
          <t>Male</t>
        </is>
      </c>
      <c r="C2871" s="6" t="inlineStr">
        <is>
          <t>31</t>
        </is>
      </c>
      <c r="D2871" s="5" t="inlineStr">
        <is>
          <t>Married</t>
        </is>
      </c>
      <c r="E2871" s="5" t="inlineStr">
        <is>
          <t>Master</t>
        </is>
      </c>
      <c r="F2871" s="5" t="inlineStr">
        <is>
          <t>Marketing</t>
        </is>
      </c>
      <c r="G2871" s="5" t="inlineStr">
        <is>
          <t>SEO Specialist</t>
        </is>
      </c>
      <c r="H2871" s="5" t="inlineStr">
        <is>
          <t>2</t>
        </is>
      </c>
      <c r="I2871" s="5" t="inlineStr">
        <is>
          <t>Hyderabad</t>
        </is>
      </c>
      <c r="J2871" s="5" t="inlineStr">
        <is>
          <t>Part-Time</t>
        </is>
      </c>
      <c r="K2871" s="7" t="n">
        <v>43848</v>
      </c>
      <c r="L2871" s="7" t="inlineStr"/>
      <c r="M2871" s="5" t="inlineStr">
        <is>
          <t>Yes</t>
        </is>
      </c>
      <c r="N2871" s="5" t="inlineStr"/>
      <c r="O2871" s="8" t="inlineStr">
        <is>
          <t>66500</t>
        </is>
      </c>
      <c r="P2871" s="5" t="inlineStr">
        <is>
          <t>10</t>
        </is>
      </c>
      <c r="Q2871" s="5" t="inlineStr">
        <is>
          <t>1</t>
        </is>
      </c>
      <c r="R2871" s="5" t="inlineStr">
        <is>
          <t>6</t>
        </is>
      </c>
      <c r="S2871" s="5" t="inlineStr">
        <is>
          <t>72</t>
        </is>
      </c>
      <c r="T2871" s="5" t="inlineStr">
        <is>
          <t>4</t>
        </is>
      </c>
      <c r="U2871" s="5" t="inlineStr">
        <is>
          <t>OK</t>
        </is>
      </c>
    </row>
    <row r="2872">
      <c r="A2872" s="5" t="inlineStr">
        <is>
          <t>E02206</t>
        </is>
      </c>
      <c r="B2872" s="5" t="inlineStr">
        <is>
          <t>Male</t>
        </is>
      </c>
      <c r="C2872" s="6" t="inlineStr">
        <is>
          <t>33</t>
        </is>
      </c>
      <c r="D2872" s="5" t="inlineStr">
        <is>
          <t>Married</t>
        </is>
      </c>
      <c r="E2872" s="5" t="inlineStr">
        <is>
          <t>High School</t>
        </is>
      </c>
      <c r="F2872" s="5" t="inlineStr">
        <is>
          <t>Operations</t>
        </is>
      </c>
      <c r="G2872" s="5" t="inlineStr">
        <is>
          <t>Logistics Coordinator</t>
        </is>
      </c>
      <c r="H2872" s="5" t="inlineStr">
        <is>
          <t>3</t>
        </is>
      </c>
      <c r="I2872" s="5" t="inlineStr">
        <is>
          <t>Chennai</t>
        </is>
      </c>
      <c r="J2872" s="5" t="inlineStr">
        <is>
          <t>Full-Time</t>
        </is>
      </c>
      <c r="K2872" s="7" t="n">
        <v>44396</v>
      </c>
      <c r="L2872" s="7" t="inlineStr"/>
      <c r="M2872" s="5" t="inlineStr">
        <is>
          <t>Yes</t>
        </is>
      </c>
      <c r="N2872" s="5" t="inlineStr"/>
      <c r="O2872" s="8" t="inlineStr">
        <is>
          <t>86000</t>
        </is>
      </c>
      <c r="P2872" s="5" t="inlineStr">
        <is>
          <t>5</t>
        </is>
      </c>
      <c r="Q2872" s="5" t="inlineStr">
        <is>
          <t>2</t>
        </is>
      </c>
      <c r="R2872" s="5" t="inlineStr">
        <is>
          <t>6</t>
        </is>
      </c>
      <c r="S2872" s="5" t="inlineStr">
        <is>
          <t>54</t>
        </is>
      </c>
      <c r="T2872" s="5" t="inlineStr">
        <is>
          <t>2</t>
        </is>
      </c>
      <c r="U2872" s="5" t="inlineStr">
        <is>
          <t>OK</t>
        </is>
      </c>
    </row>
    <row r="2873">
      <c r="A2873" s="5" t="inlineStr">
        <is>
          <t>E02598</t>
        </is>
      </c>
      <c r="B2873" s="5" t="inlineStr">
        <is>
          <t>Male</t>
        </is>
      </c>
      <c r="C2873" s="6" t="inlineStr">
        <is>
          <t>34</t>
        </is>
      </c>
      <c r="D2873" s="5" t="inlineStr">
        <is>
          <t>Married</t>
        </is>
      </c>
      <c r="E2873" s="5" t="inlineStr">
        <is>
          <t>High School</t>
        </is>
      </c>
      <c r="F2873" s="5" t="inlineStr">
        <is>
          <t>IT</t>
        </is>
      </c>
      <c r="G2873" s="5" t="inlineStr">
        <is>
          <t>Software Engineer</t>
        </is>
      </c>
      <c r="H2873" s="5" t="inlineStr">
        <is>
          <t>3</t>
        </is>
      </c>
      <c r="I2873" s="5" t="inlineStr">
        <is>
          <t>Bengaluru</t>
        </is>
      </c>
      <c r="J2873" s="5" t="inlineStr">
        <is>
          <t>Full-Time</t>
        </is>
      </c>
      <c r="K2873" s="7" t="n">
        <v>44240</v>
      </c>
      <c r="L2873" s="7" t="inlineStr"/>
      <c r="M2873" s="5" t="inlineStr">
        <is>
          <t>Yes</t>
        </is>
      </c>
      <c r="N2873" s="5" t="inlineStr"/>
      <c r="O2873" s="8" t="inlineStr">
        <is>
          <t>148500</t>
        </is>
      </c>
      <c r="P2873" s="5" t="inlineStr">
        <is>
          <t>0</t>
        </is>
      </c>
      <c r="Q2873" s="5" t="inlineStr">
        <is>
          <t>2</t>
        </is>
      </c>
      <c r="R2873" s="5" t="inlineStr">
        <is>
          <t>8</t>
        </is>
      </c>
      <c r="S2873" s="5" t="inlineStr">
        <is>
          <t>59</t>
        </is>
      </c>
      <c r="T2873" s="5" t="inlineStr">
        <is>
          <t>0</t>
        </is>
      </c>
      <c r="U2873" s="5" t="inlineStr">
        <is>
          <t>OK</t>
        </is>
      </c>
    </row>
    <row r="2874">
      <c r="A2874" s="5" t="inlineStr">
        <is>
          <t>E00268</t>
        </is>
      </c>
      <c r="B2874" s="5" t="inlineStr">
        <is>
          <t>Female</t>
        </is>
      </c>
      <c r="C2874" s="6" t="inlineStr">
        <is>
          <t>25</t>
        </is>
      </c>
      <c r="D2874" s="5" t="inlineStr">
        <is>
          <t>Single</t>
        </is>
      </c>
      <c r="E2874" s="5" t="inlineStr">
        <is>
          <t>High School</t>
        </is>
      </c>
      <c r="F2874" s="5" t="inlineStr">
        <is>
          <t>Research &amp; Development</t>
        </is>
      </c>
      <c r="G2874" s="5" t="inlineStr">
        <is>
          <t>Research Scientist</t>
        </is>
      </c>
      <c r="H2874" s="5" t="inlineStr">
        <is>
          <t>1</t>
        </is>
      </c>
      <c r="I2874" s="5" t="inlineStr">
        <is>
          <t>Mumbai</t>
        </is>
      </c>
      <c r="J2874" s="5" t="inlineStr">
        <is>
          <t>Full-Time</t>
        </is>
      </c>
      <c r="K2874" s="7" t="n">
        <v>44522</v>
      </c>
      <c r="L2874" s="7" t="inlineStr"/>
      <c r="M2874" s="5" t="inlineStr">
        <is>
          <t>Yes</t>
        </is>
      </c>
      <c r="N2874" s="5" t="inlineStr"/>
      <c r="O2874" s="8" t="inlineStr">
        <is>
          <t>126500</t>
        </is>
      </c>
      <c r="P2874" s="5" t="inlineStr">
        <is>
          <t>0</t>
        </is>
      </c>
      <c r="Q2874" s="5" t="inlineStr">
        <is>
          <t>4</t>
        </is>
      </c>
      <c r="R2874" s="5" t="inlineStr">
        <is>
          <t>2</t>
        </is>
      </c>
      <c r="S2874" s="5" t="inlineStr">
        <is>
          <t>50</t>
        </is>
      </c>
      <c r="T2874" s="5" t="inlineStr">
        <is>
          <t>7</t>
        </is>
      </c>
      <c r="U2874" s="5" t="inlineStr">
        <is>
          <t>OK</t>
        </is>
      </c>
    </row>
    <row r="2875">
      <c r="A2875" s="5" t="inlineStr">
        <is>
          <t>E01539</t>
        </is>
      </c>
      <c r="B2875" s="5" t="inlineStr">
        <is>
          <t>Female</t>
        </is>
      </c>
      <c r="C2875" s="6" t="inlineStr">
        <is>
          <t>35</t>
        </is>
      </c>
      <c r="D2875" s="5" t="inlineStr">
        <is>
          <t>Married</t>
        </is>
      </c>
      <c r="E2875" s="5" t="inlineStr">
        <is>
          <t>High School</t>
        </is>
      </c>
      <c r="F2875" s="5" t="inlineStr">
        <is>
          <t>Sales</t>
        </is>
      </c>
      <c r="G2875" s="5" t="inlineStr">
        <is>
          <t>Business Development</t>
        </is>
      </c>
      <c r="H2875" s="5" t="inlineStr">
        <is>
          <t>3</t>
        </is>
      </c>
      <c r="I2875" s="5" t="inlineStr">
        <is>
          <t>Delhi</t>
        </is>
      </c>
      <c r="J2875" s="5" t="inlineStr">
        <is>
          <t>Full-Time</t>
        </is>
      </c>
      <c r="K2875" s="7" t="n">
        <v>45713</v>
      </c>
      <c r="L2875" s="7" t="inlineStr"/>
      <c r="M2875" s="5" t="inlineStr">
        <is>
          <t>Yes</t>
        </is>
      </c>
      <c r="N2875" s="5" t="inlineStr"/>
      <c r="O2875" s="8" t="inlineStr">
        <is>
          <t>134500</t>
        </is>
      </c>
      <c r="P2875" s="5" t="inlineStr">
        <is>
          <t>5</t>
        </is>
      </c>
      <c r="Q2875" s="5" t="inlineStr">
        <is>
          <t>5</t>
        </is>
      </c>
      <c r="R2875" s="5" t="inlineStr">
        <is>
          <t>9</t>
        </is>
      </c>
      <c r="S2875" s="5" t="inlineStr">
        <is>
          <t>10</t>
        </is>
      </c>
      <c r="T2875" s="5" t="inlineStr">
        <is>
          <t>0</t>
        </is>
      </c>
      <c r="U2875" s="5" t="inlineStr">
        <is>
          <t>OK</t>
        </is>
      </c>
    </row>
    <row r="2876">
      <c r="A2876" s="5" t="inlineStr">
        <is>
          <t>E02629</t>
        </is>
      </c>
      <c r="B2876" s="5" t="inlineStr">
        <is>
          <t>Female</t>
        </is>
      </c>
      <c r="C2876" s="6" t="inlineStr">
        <is>
          <t>31</t>
        </is>
      </c>
      <c r="D2876" s="5" t="inlineStr">
        <is>
          <t>Married</t>
        </is>
      </c>
      <c r="E2876" s="5" t="inlineStr">
        <is>
          <t>PhD</t>
        </is>
      </c>
      <c r="F2876" s="5" t="inlineStr">
        <is>
          <t>Marketing</t>
        </is>
      </c>
      <c r="G2876" s="5" t="inlineStr">
        <is>
          <t>SEO Specialist</t>
        </is>
      </c>
      <c r="H2876" s="5" t="inlineStr">
        <is>
          <t>2</t>
        </is>
      </c>
      <c r="I2876" s="5" t="inlineStr">
        <is>
          <t>Remote</t>
        </is>
      </c>
      <c r="J2876" s="5" t="inlineStr">
        <is>
          <t>Full-Time</t>
        </is>
      </c>
      <c r="K2876" s="7" t="n">
        <v>44673</v>
      </c>
      <c r="L2876" s="7" t="inlineStr"/>
      <c r="M2876" s="5" t="inlineStr">
        <is>
          <t>Yes</t>
        </is>
      </c>
      <c r="N2876" s="5" t="inlineStr"/>
      <c r="O2876" s="8" t="inlineStr">
        <is>
          <t>93000</t>
        </is>
      </c>
      <c r="P2876" s="5" t="inlineStr">
        <is>
          <t>10</t>
        </is>
      </c>
      <c r="Q2876" s="5" t="inlineStr">
        <is>
          <t>4</t>
        </is>
      </c>
      <c r="R2876" s="5" t="inlineStr">
        <is>
          <t>8</t>
        </is>
      </c>
      <c r="S2876" s="5" t="inlineStr">
        <is>
          <t>44</t>
        </is>
      </c>
      <c r="T2876" s="5" t="inlineStr">
        <is>
          <t>0</t>
        </is>
      </c>
      <c r="U2876" s="5" t="inlineStr">
        <is>
          <t>OK</t>
        </is>
      </c>
    </row>
    <row r="2877">
      <c r="A2877" s="5" t="inlineStr">
        <is>
          <t>E01122</t>
        </is>
      </c>
      <c r="B2877" s="5" t="inlineStr">
        <is>
          <t>Male</t>
        </is>
      </c>
      <c r="C2877" s="6" t="inlineStr">
        <is>
          <t>43</t>
        </is>
      </c>
      <c r="D2877" s="5" t="inlineStr">
        <is>
          <t>Married</t>
        </is>
      </c>
      <c r="E2877" s="5" t="inlineStr">
        <is>
          <t>Diploma</t>
        </is>
      </c>
      <c r="F2877" s="5" t="inlineStr">
        <is>
          <t>IT</t>
        </is>
      </c>
      <c r="G2877" s="5" t="inlineStr">
        <is>
          <t>Software Engineer</t>
        </is>
      </c>
      <c r="H2877" s="5" t="inlineStr">
        <is>
          <t>6</t>
        </is>
      </c>
      <c r="I2877" s="5" t="inlineStr">
        <is>
          <t>Mumbai</t>
        </is>
      </c>
      <c r="J2877" s="5" t="inlineStr">
        <is>
          <t>Full-Time</t>
        </is>
      </c>
      <c r="K2877" s="7" t="n">
        <v>45174</v>
      </c>
      <c r="L2877" s="7" t="inlineStr"/>
      <c r="M2877" s="5" t="inlineStr">
        <is>
          <t>Yes</t>
        </is>
      </c>
      <c r="N2877" s="5" t="inlineStr"/>
      <c r="O2877" s="8" t="inlineStr">
        <is>
          <t>185500</t>
        </is>
      </c>
      <c r="P2877" s="5" t="inlineStr">
        <is>
          <t>0</t>
        </is>
      </c>
      <c r="Q2877" s="5" t="inlineStr">
        <is>
          <t>3</t>
        </is>
      </c>
      <c r="R2877" s="5" t="inlineStr">
        <is>
          <t>6</t>
        </is>
      </c>
      <c r="S2877" s="5" t="inlineStr">
        <is>
          <t>28</t>
        </is>
      </c>
      <c r="T2877" s="5" t="inlineStr">
        <is>
          <t>11</t>
        </is>
      </c>
      <c r="U2877" s="5" t="inlineStr">
        <is>
          <t>OK</t>
        </is>
      </c>
    </row>
    <row r="2878">
      <c r="A2878" s="5" t="inlineStr">
        <is>
          <t>E00942</t>
        </is>
      </c>
      <c r="B2878" s="5" t="inlineStr">
        <is>
          <t>Male</t>
        </is>
      </c>
      <c r="C2878" s="6" t="inlineStr">
        <is>
          <t>41</t>
        </is>
      </c>
      <c r="D2878" s="5" t="inlineStr">
        <is>
          <t>Single</t>
        </is>
      </c>
      <c r="E2878" s="5" t="inlineStr">
        <is>
          <t>High School</t>
        </is>
      </c>
      <c r="F2878" s="5" t="inlineStr">
        <is>
          <t>Human Resources</t>
        </is>
      </c>
      <c r="G2878" s="5" t="inlineStr">
        <is>
          <t>Recruiter</t>
        </is>
      </c>
      <c r="H2878" s="5" t="inlineStr">
        <is>
          <t>7</t>
        </is>
      </c>
      <c r="I2878" s="5" t="inlineStr">
        <is>
          <t>Bengaluru</t>
        </is>
      </c>
      <c r="J2878" s="5" t="inlineStr">
        <is>
          <t>Full-Time</t>
        </is>
      </c>
      <c r="K2878" s="7" t="n">
        <v>44031</v>
      </c>
      <c r="L2878" s="7" t="inlineStr"/>
      <c r="M2878" s="5" t="inlineStr">
        <is>
          <t>Yes</t>
        </is>
      </c>
      <c r="N2878" s="5" t="inlineStr"/>
      <c r="O2878" s="8" t="inlineStr">
        <is>
          <t>122000</t>
        </is>
      </c>
      <c r="P2878" s="5" t="inlineStr">
        <is>
          <t>0</t>
        </is>
      </c>
      <c r="Q2878" s="5" t="inlineStr">
        <is>
          <t>2</t>
        </is>
      </c>
      <c r="R2878" s="5" t="inlineStr">
        <is>
          <t>7</t>
        </is>
      </c>
      <c r="S2878" s="5" t="inlineStr">
        <is>
          <t>66</t>
        </is>
      </c>
      <c r="T2878" s="5" t="inlineStr">
        <is>
          <t>6</t>
        </is>
      </c>
      <c r="U2878" s="5" t="inlineStr">
        <is>
          <t>OK</t>
        </is>
      </c>
    </row>
    <row r="2879">
      <c r="A2879" s="5" t="inlineStr">
        <is>
          <t>E01809</t>
        </is>
      </c>
      <c r="B2879" s="5" t="inlineStr">
        <is>
          <t>Female</t>
        </is>
      </c>
      <c r="C2879" s="6" t="inlineStr">
        <is>
          <t>36</t>
        </is>
      </c>
      <c r="D2879" s="5" t="inlineStr">
        <is>
          <t>Single</t>
        </is>
      </c>
      <c r="E2879" s="5" t="inlineStr">
        <is>
          <t>Bachelor</t>
        </is>
      </c>
      <c r="F2879" s="5" t="inlineStr">
        <is>
          <t>Customer Support</t>
        </is>
      </c>
      <c r="G2879" s="5" t="inlineStr">
        <is>
          <t>Escalation Specialist</t>
        </is>
      </c>
      <c r="H2879" s="5" t="inlineStr">
        <is>
          <t>6</t>
        </is>
      </c>
      <c r="I2879" s="5" t="inlineStr">
        <is>
          <t>Mumbai</t>
        </is>
      </c>
      <c r="J2879" s="5" t="inlineStr">
        <is>
          <t>Full-Time</t>
        </is>
      </c>
      <c r="K2879" s="7" t="n">
        <v>44658</v>
      </c>
      <c r="L2879" s="7" t="inlineStr"/>
      <c r="M2879" s="5" t="inlineStr">
        <is>
          <t>Yes</t>
        </is>
      </c>
      <c r="N2879" s="5" t="inlineStr"/>
      <c r="O2879" s="8" t="inlineStr">
        <is>
          <t>92500</t>
        </is>
      </c>
      <c r="P2879" s="5" t="inlineStr">
        <is>
          <t>0</t>
        </is>
      </c>
      <c r="Q2879" s="5" t="inlineStr">
        <is>
          <t>4</t>
        </is>
      </c>
      <c r="R2879" s="5" t="inlineStr">
        <is>
          <t>9</t>
        </is>
      </c>
      <c r="S2879" s="5" t="inlineStr">
        <is>
          <t>45</t>
        </is>
      </c>
      <c r="T2879" s="5" t="inlineStr">
        <is>
          <t>2</t>
        </is>
      </c>
      <c r="U2879" s="5" t="inlineStr">
        <is>
          <t>OK</t>
        </is>
      </c>
    </row>
    <row r="2880">
      <c r="A2880" s="5" t="inlineStr">
        <is>
          <t>E01262</t>
        </is>
      </c>
      <c r="B2880" s="5" t="inlineStr">
        <is>
          <t>Female</t>
        </is>
      </c>
      <c r="C2880" s="6" t="inlineStr">
        <is>
          <t>31</t>
        </is>
      </c>
      <c r="D2880" s="5" t="inlineStr">
        <is>
          <t>Married</t>
        </is>
      </c>
      <c r="E2880" s="5" t="inlineStr">
        <is>
          <t>High School</t>
        </is>
      </c>
      <c r="F2880" s="5" t="inlineStr">
        <is>
          <t>Operations</t>
        </is>
      </c>
      <c r="G2880" s="5" t="inlineStr">
        <is>
          <t>Operations Analyst</t>
        </is>
      </c>
      <c r="H2880" s="5" t="inlineStr">
        <is>
          <t>2</t>
        </is>
      </c>
      <c r="I2880" s="5" t="inlineStr">
        <is>
          <t>Bengaluru</t>
        </is>
      </c>
      <c r="J2880" s="5" t="inlineStr">
        <is>
          <t>Full-Time</t>
        </is>
      </c>
      <c r="K2880" s="7" t="n">
        <v>44526</v>
      </c>
      <c r="L2880" s="7" t="n">
        <v>44612</v>
      </c>
      <c r="M2880" s="5" t="inlineStr">
        <is>
          <t>No</t>
        </is>
      </c>
      <c r="N2880" s="5" t="inlineStr">
        <is>
          <t>Resigned</t>
        </is>
      </c>
      <c r="O2880" s="8" t="inlineStr">
        <is>
          <t>104000</t>
        </is>
      </c>
      <c r="P2880" s="5" t="inlineStr">
        <is>
          <t>5</t>
        </is>
      </c>
      <c r="Q2880" s="5" t="inlineStr">
        <is>
          <t>1</t>
        </is>
      </c>
      <c r="R2880" s="5" t="inlineStr">
        <is>
          <t>5</t>
        </is>
      </c>
      <c r="S2880" s="5" t="inlineStr">
        <is>
          <t>2</t>
        </is>
      </c>
      <c r="T2880" s="5" t="inlineStr">
        <is>
          <t>11</t>
        </is>
      </c>
      <c r="U2880" s="5" t="inlineStr">
        <is>
          <t>OK</t>
        </is>
      </c>
    </row>
    <row r="2881">
      <c r="A2881" s="5" t="inlineStr">
        <is>
          <t>E01259</t>
        </is>
      </c>
      <c r="B2881" s="5" t="inlineStr">
        <is>
          <t>Female</t>
        </is>
      </c>
      <c r="C2881" s="6" t="inlineStr">
        <is>
          <t>32</t>
        </is>
      </c>
      <c r="D2881" s="5" t="inlineStr">
        <is>
          <t>Married</t>
        </is>
      </c>
      <c r="E2881" s="5" t="inlineStr">
        <is>
          <t>Diploma</t>
        </is>
      </c>
      <c r="F2881" s="5" t="inlineStr">
        <is>
          <t>Operations</t>
        </is>
      </c>
      <c r="G2881" s="5" t="inlineStr">
        <is>
          <t>Operations Analyst</t>
        </is>
      </c>
      <c r="H2881" s="5" t="inlineStr">
        <is>
          <t>3</t>
        </is>
      </c>
      <c r="I2881" s="5" t="inlineStr">
        <is>
          <t>Bengaluru</t>
        </is>
      </c>
      <c r="J2881" s="5" t="inlineStr">
        <is>
          <t>Full-Time</t>
        </is>
      </c>
      <c r="K2881" s="7" t="n">
        <v>43889</v>
      </c>
      <c r="L2881" s="7" t="n">
        <v>43990</v>
      </c>
      <c r="M2881" s="5" t="inlineStr">
        <is>
          <t>No</t>
        </is>
      </c>
      <c r="N2881" s="5" t="inlineStr">
        <is>
          <t>Relocation</t>
        </is>
      </c>
      <c r="O2881" s="8" t="inlineStr">
        <is>
          <t>89000</t>
        </is>
      </c>
      <c r="P2881" s="5" t="inlineStr">
        <is>
          <t>5</t>
        </is>
      </c>
      <c r="Q2881" s="5" t="inlineStr">
        <is>
          <t>4</t>
        </is>
      </c>
      <c r="R2881" s="5" t="inlineStr">
        <is>
          <t>5</t>
        </is>
      </c>
      <c r="S2881" s="5" t="inlineStr">
        <is>
          <t>3</t>
        </is>
      </c>
      <c r="T2881" s="5" t="inlineStr">
        <is>
          <t>6</t>
        </is>
      </c>
      <c r="U2881" s="5" t="inlineStr">
        <is>
          <t>OK</t>
        </is>
      </c>
    </row>
    <row r="2882">
      <c r="A2882" s="5" t="inlineStr">
        <is>
          <t>E02211</t>
        </is>
      </c>
      <c r="B2882" s="5" t="inlineStr">
        <is>
          <t>Male</t>
        </is>
      </c>
      <c r="C2882" s="6" t="inlineStr">
        <is>
          <t>27</t>
        </is>
      </c>
      <c r="D2882" s="5" t="inlineStr">
        <is>
          <t>Married</t>
        </is>
      </c>
      <c r="E2882" s="5" t="inlineStr">
        <is>
          <t>PhD</t>
        </is>
      </c>
      <c r="F2882" s="5" t="inlineStr">
        <is>
          <t>Finance</t>
        </is>
      </c>
      <c r="G2882" s="5" t="inlineStr">
        <is>
          <t>Financial Analyst</t>
        </is>
      </c>
      <c r="H2882" s="5" t="inlineStr">
        <is>
          <t>2</t>
        </is>
      </c>
      <c r="I2882" s="5" t="inlineStr">
        <is>
          <t>Remote</t>
        </is>
      </c>
      <c r="J2882" s="5" t="inlineStr">
        <is>
          <t>Full-Time</t>
        </is>
      </c>
      <c r="K2882" s="7" t="n">
        <v>44383</v>
      </c>
      <c r="L2882" s="7" t="inlineStr"/>
      <c r="M2882" s="5" t="inlineStr">
        <is>
          <t>Yes</t>
        </is>
      </c>
      <c r="N2882" s="5" t="inlineStr"/>
      <c r="O2882" s="8" t="inlineStr">
        <is>
          <t>85000</t>
        </is>
      </c>
      <c r="P2882" s="5" t="inlineStr">
        <is>
          <t>0</t>
        </is>
      </c>
      <c r="Q2882" s="5" t="inlineStr">
        <is>
          <t>4</t>
        </is>
      </c>
      <c r="R2882" s="5" t="inlineStr">
        <is>
          <t>4</t>
        </is>
      </c>
      <c r="S2882" s="5" t="inlineStr">
        <is>
          <t>54</t>
        </is>
      </c>
      <c r="T2882" s="5" t="inlineStr">
        <is>
          <t>19</t>
        </is>
      </c>
      <c r="U2882" s="5" t="inlineStr">
        <is>
          <t>OK</t>
        </is>
      </c>
    </row>
    <row r="2883">
      <c r="A2883" s="5" t="inlineStr">
        <is>
          <t>E02712</t>
        </is>
      </c>
      <c r="B2883" s="5" t="inlineStr">
        <is>
          <t>Female</t>
        </is>
      </c>
      <c r="C2883" s="6" t="inlineStr">
        <is>
          <t>44</t>
        </is>
      </c>
      <c r="D2883" s="5" t="inlineStr">
        <is>
          <t>Married</t>
        </is>
      </c>
      <c r="E2883" s="5" t="inlineStr">
        <is>
          <t>High School</t>
        </is>
      </c>
      <c r="F2883" s="5" t="inlineStr">
        <is>
          <t>Finance</t>
        </is>
      </c>
      <c r="G2883" s="5" t="inlineStr">
        <is>
          <t>Credit Analyst</t>
        </is>
      </c>
      <c r="H2883" s="5" t="inlineStr">
        <is>
          <t>6</t>
        </is>
      </c>
      <c r="I2883" s="5" t="inlineStr">
        <is>
          <t>Mumbai</t>
        </is>
      </c>
      <c r="J2883" s="5" t="inlineStr">
        <is>
          <t>Full-Time</t>
        </is>
      </c>
      <c r="K2883" s="7" t="n">
        <v>45365</v>
      </c>
      <c r="L2883" s="7" t="inlineStr"/>
      <c r="M2883" s="5" t="inlineStr">
        <is>
          <t>Yes</t>
        </is>
      </c>
      <c r="N2883" s="5" t="inlineStr"/>
      <c r="O2883" s="8" t="inlineStr">
        <is>
          <t>111500</t>
        </is>
      </c>
      <c r="P2883" s="5" t="inlineStr">
        <is>
          <t>20</t>
        </is>
      </c>
      <c r="Q2883" s="5" t="inlineStr">
        <is>
          <t>3</t>
        </is>
      </c>
      <c r="R2883" s="5" t="inlineStr">
        <is>
          <t>7</t>
        </is>
      </c>
      <c r="S2883" s="5" t="inlineStr">
        <is>
          <t>21</t>
        </is>
      </c>
      <c r="T2883" s="5" t="inlineStr">
        <is>
          <t>5</t>
        </is>
      </c>
      <c r="U2883" s="5" t="inlineStr">
        <is>
          <t>OK</t>
        </is>
      </c>
    </row>
    <row r="2884">
      <c r="A2884" s="5" t="inlineStr">
        <is>
          <t>E02661</t>
        </is>
      </c>
      <c r="B2884" s="5" t="inlineStr">
        <is>
          <t>Female</t>
        </is>
      </c>
      <c r="C2884" s="6" t="inlineStr">
        <is>
          <t>26</t>
        </is>
      </c>
      <c r="D2884" s="5" t="inlineStr">
        <is>
          <t>Married</t>
        </is>
      </c>
      <c r="E2884" s="5" t="inlineStr">
        <is>
          <t>Diploma</t>
        </is>
      </c>
      <c r="F2884" s="5" t="inlineStr">
        <is>
          <t>Research &amp; Development</t>
        </is>
      </c>
      <c r="G2884" s="5" t="inlineStr">
        <is>
          <t>Product Engineer</t>
        </is>
      </c>
      <c r="H2884" s="5" t="inlineStr">
        <is>
          <t>1</t>
        </is>
      </c>
      <c r="I2884" s="5" t="inlineStr">
        <is>
          <t>Bengaluru</t>
        </is>
      </c>
      <c r="J2884" s="5" t="inlineStr">
        <is>
          <t>Full-Time</t>
        </is>
      </c>
      <c r="K2884" s="7" t="n">
        <v>44929</v>
      </c>
      <c r="L2884" s="7" t="inlineStr"/>
      <c r="M2884" s="5" t="inlineStr">
        <is>
          <t>Yes</t>
        </is>
      </c>
      <c r="N2884" s="5" t="inlineStr"/>
      <c r="O2884" s="8" t="inlineStr">
        <is>
          <t>138000</t>
        </is>
      </c>
      <c r="P2884" s="5" t="inlineStr">
        <is>
          <t>5</t>
        </is>
      </c>
      <c r="Q2884" s="5" t="inlineStr">
        <is>
          <t>4</t>
        </is>
      </c>
      <c r="R2884" s="5" t="inlineStr">
        <is>
          <t>6</t>
        </is>
      </c>
      <c r="S2884" s="5" t="inlineStr">
        <is>
          <t>36</t>
        </is>
      </c>
      <c r="T2884" s="5" t="inlineStr">
        <is>
          <t>7</t>
        </is>
      </c>
      <c r="U2884" s="5" t="inlineStr">
        <is>
          <t>OK</t>
        </is>
      </c>
    </row>
    <row r="2885">
      <c r="A2885" s="5" t="inlineStr">
        <is>
          <t>E01270</t>
        </is>
      </c>
      <c r="B2885" s="5" t="inlineStr">
        <is>
          <t>Male</t>
        </is>
      </c>
      <c r="C2885" s="6" t="inlineStr">
        <is>
          <t>24</t>
        </is>
      </c>
      <c r="D2885" s="5" t="inlineStr">
        <is>
          <t>Married</t>
        </is>
      </c>
      <c r="E2885" s="5" t="inlineStr">
        <is>
          <t>Bachelor</t>
        </is>
      </c>
      <c r="F2885" s="5" t="inlineStr">
        <is>
          <t>Marketing</t>
        </is>
      </c>
      <c r="G2885" s="5" t="inlineStr">
        <is>
          <t>Marketing Analyst</t>
        </is>
      </c>
      <c r="H2885" s="5" t="inlineStr">
        <is>
          <t>1</t>
        </is>
      </c>
      <c r="I2885" s="5" t="inlineStr">
        <is>
          <t>Delhi</t>
        </is>
      </c>
      <c r="J2885" s="5" t="inlineStr">
        <is>
          <t>Full-Time</t>
        </is>
      </c>
      <c r="K2885" s="7" t="n">
        <v>45602</v>
      </c>
      <c r="L2885" s="7" t="inlineStr"/>
      <c r="M2885" s="5" t="inlineStr">
        <is>
          <t>Yes</t>
        </is>
      </c>
      <c r="N2885" s="5" t="inlineStr"/>
      <c r="O2885" s="8" t="inlineStr">
        <is>
          <t>52500</t>
        </is>
      </c>
      <c r="P2885" s="5" t="inlineStr">
        <is>
          <t>15</t>
        </is>
      </c>
      <c r="Q2885" s="5" t="inlineStr">
        <is>
          <t>3</t>
        </is>
      </c>
      <c r="R2885" s="5" t="inlineStr">
        <is>
          <t>4</t>
        </is>
      </c>
      <c r="S2885" s="5" t="inlineStr">
        <is>
          <t>14</t>
        </is>
      </c>
      <c r="T2885" s="5" t="inlineStr">
        <is>
          <t>12</t>
        </is>
      </c>
      <c r="U2885" s="5" t="inlineStr">
        <is>
          <t>OK</t>
        </is>
      </c>
    </row>
    <row r="2886">
      <c r="A2886" s="5" t="inlineStr">
        <is>
          <t>E00681</t>
        </is>
      </c>
      <c r="B2886" s="5" t="inlineStr">
        <is>
          <t>Male</t>
        </is>
      </c>
      <c r="C2886" s="6" t="inlineStr">
        <is>
          <t>30</t>
        </is>
      </c>
      <c r="D2886" s="5" t="inlineStr">
        <is>
          <t>Married</t>
        </is>
      </c>
      <c r="E2886" s="5" t="inlineStr">
        <is>
          <t>PhD</t>
        </is>
      </c>
      <c r="F2886" s="5" t="inlineStr">
        <is>
          <t>IT</t>
        </is>
      </c>
      <c r="G2886" s="5" t="inlineStr">
        <is>
          <t>IT Support</t>
        </is>
      </c>
      <c r="H2886" s="5" t="inlineStr">
        <is>
          <t>3</t>
        </is>
      </c>
      <c r="I2886" s="5" t="inlineStr">
        <is>
          <t>Bengaluru</t>
        </is>
      </c>
      <c r="J2886" s="5" t="inlineStr">
        <is>
          <t>Full-Time</t>
        </is>
      </c>
      <c r="K2886" s="7" t="n">
        <v>44747</v>
      </c>
      <c r="L2886" s="7" t="inlineStr"/>
      <c r="M2886" s="5" t="inlineStr">
        <is>
          <t>Yes</t>
        </is>
      </c>
      <c r="N2886" s="5" t="inlineStr"/>
      <c r="O2886" s="8" t="inlineStr">
        <is>
          <t>186500</t>
        </is>
      </c>
      <c r="P2886" s="5" t="inlineStr">
        <is>
          <t>0</t>
        </is>
      </c>
      <c r="Q2886" s="5" t="inlineStr">
        <is>
          <t>4</t>
        </is>
      </c>
      <c r="R2886" s="5" t="inlineStr">
        <is>
          <t>9</t>
        </is>
      </c>
      <c r="S2886" s="5" t="inlineStr">
        <is>
          <t>42</t>
        </is>
      </c>
      <c r="T2886" s="5" t="inlineStr">
        <is>
          <t>10</t>
        </is>
      </c>
      <c r="U2886" s="5" t="inlineStr">
        <is>
          <t>OK</t>
        </is>
      </c>
    </row>
    <row r="2887">
      <c r="A2887" s="5" t="inlineStr">
        <is>
          <t>E02385</t>
        </is>
      </c>
      <c r="B2887" s="5" t="inlineStr">
        <is>
          <t>Male</t>
        </is>
      </c>
      <c r="C2887" s="6" t="inlineStr">
        <is>
          <t>27</t>
        </is>
      </c>
      <c r="D2887" s="5" t="inlineStr">
        <is>
          <t>Single</t>
        </is>
      </c>
      <c r="E2887" s="5" t="inlineStr">
        <is>
          <t>PhD</t>
        </is>
      </c>
      <c r="F2887" s="5" t="inlineStr">
        <is>
          <t>Finance</t>
        </is>
      </c>
      <c r="G2887" s="5" t="inlineStr">
        <is>
          <t>Accountant</t>
        </is>
      </c>
      <c r="H2887" s="5" t="inlineStr">
        <is>
          <t>1</t>
        </is>
      </c>
      <c r="I2887" s="5" t="inlineStr">
        <is>
          <t>Mumbai</t>
        </is>
      </c>
      <c r="J2887" s="5" t="inlineStr">
        <is>
          <t>Full-Time</t>
        </is>
      </c>
      <c r="K2887" s="7" t="n">
        <v>44918</v>
      </c>
      <c r="L2887" s="7" t="inlineStr"/>
      <c r="M2887" s="5" t="inlineStr">
        <is>
          <t>Yes</t>
        </is>
      </c>
      <c r="N2887" s="5" t="inlineStr"/>
      <c r="O2887" s="8" t="inlineStr">
        <is>
          <t>83000</t>
        </is>
      </c>
      <c r="P2887" s="5" t="inlineStr">
        <is>
          <t>0</t>
        </is>
      </c>
      <c r="Q2887" s="5" t="inlineStr">
        <is>
          <t>5</t>
        </is>
      </c>
      <c r="R2887" s="5" t="inlineStr">
        <is>
          <t>2</t>
        </is>
      </c>
      <c r="S2887" s="5" t="inlineStr">
        <is>
          <t>36</t>
        </is>
      </c>
      <c r="T2887" s="5" t="inlineStr">
        <is>
          <t>7</t>
        </is>
      </c>
      <c r="U2887" s="5" t="inlineStr">
        <is>
          <t>OK</t>
        </is>
      </c>
    </row>
    <row r="2888">
      <c r="A2888" s="5" t="inlineStr">
        <is>
          <t>E02692</t>
        </is>
      </c>
      <c r="B2888" s="5" t="inlineStr">
        <is>
          <t>Male</t>
        </is>
      </c>
      <c r="C2888" s="6" t="inlineStr">
        <is>
          <t>29</t>
        </is>
      </c>
      <c r="D2888" s="5" t="inlineStr">
        <is>
          <t>Married</t>
        </is>
      </c>
      <c r="E2888" s="5" t="inlineStr">
        <is>
          <t>Master</t>
        </is>
      </c>
      <c r="F2888" s="5" t="inlineStr">
        <is>
          <t>Finance</t>
        </is>
      </c>
      <c r="G2888" s="5" t="inlineStr">
        <is>
          <t>Accountant</t>
        </is>
      </c>
      <c r="H2888" s="5" t="inlineStr">
        <is>
          <t>3</t>
        </is>
      </c>
      <c r="I2888" s="5" t="inlineStr">
        <is>
          <t>Chennai</t>
        </is>
      </c>
      <c r="J2888" s="5" t="inlineStr">
        <is>
          <t>Full-Time</t>
        </is>
      </c>
      <c r="K2888" s="7" t="n">
        <v>44965</v>
      </c>
      <c r="L2888" s="7" t="inlineStr"/>
      <c r="M2888" s="5" t="inlineStr">
        <is>
          <t>Yes</t>
        </is>
      </c>
      <c r="N2888" s="5" t="inlineStr"/>
      <c r="O2888" s="8" t="inlineStr">
        <is>
          <t>130000</t>
        </is>
      </c>
      <c r="P2888" s="5" t="inlineStr">
        <is>
          <t>10</t>
        </is>
      </c>
      <c r="Q2888" s="5" t="inlineStr">
        <is>
          <t>3</t>
        </is>
      </c>
      <c r="R2888" s="5" t="inlineStr">
        <is>
          <t>7</t>
        </is>
      </c>
      <c r="S2888" s="5" t="inlineStr">
        <is>
          <t>35</t>
        </is>
      </c>
      <c r="T2888" s="5" t="inlineStr">
        <is>
          <t>13</t>
        </is>
      </c>
      <c r="U2888" s="5" t="inlineStr">
        <is>
          <t>OK</t>
        </is>
      </c>
    </row>
    <row r="2889">
      <c r="A2889" s="5" t="inlineStr">
        <is>
          <t>E00189</t>
        </is>
      </c>
      <c r="B2889" s="5" t="inlineStr">
        <is>
          <t>Male</t>
        </is>
      </c>
      <c r="C2889" s="6" t="inlineStr">
        <is>
          <t>34</t>
        </is>
      </c>
      <c r="D2889" s="5" t="inlineStr">
        <is>
          <t>Married</t>
        </is>
      </c>
      <c r="E2889" s="5" t="inlineStr">
        <is>
          <t>PhD</t>
        </is>
      </c>
      <c r="F2889" s="5" t="inlineStr">
        <is>
          <t>Sales</t>
        </is>
      </c>
      <c r="G2889" s="5" t="inlineStr">
        <is>
          <t>Account Executive</t>
        </is>
      </c>
      <c r="H2889" s="5" t="inlineStr">
        <is>
          <t>6</t>
        </is>
      </c>
      <c r="I2889" s="5" t="inlineStr">
        <is>
          <t>Mumbai</t>
        </is>
      </c>
      <c r="J2889" s="5" t="inlineStr">
        <is>
          <t>Full-Time</t>
        </is>
      </c>
      <c r="K2889" s="7" t="n">
        <v>44035</v>
      </c>
      <c r="L2889" s="7" t="inlineStr"/>
      <c r="M2889" s="5" t="inlineStr">
        <is>
          <t>Yes</t>
        </is>
      </c>
      <c r="N2889" s="5" t="inlineStr"/>
      <c r="O2889" s="8" t="inlineStr">
        <is>
          <t>150000</t>
        </is>
      </c>
      <c r="P2889" s="5" t="inlineStr">
        <is>
          <t>10</t>
        </is>
      </c>
      <c r="Q2889" s="5" t="inlineStr">
        <is>
          <t>3</t>
        </is>
      </c>
      <c r="R2889" s="5" t="inlineStr">
        <is>
          <t>8</t>
        </is>
      </c>
      <c r="S2889" s="5" t="inlineStr">
        <is>
          <t>66</t>
        </is>
      </c>
      <c r="T2889" s="5" t="inlineStr">
        <is>
          <t>6</t>
        </is>
      </c>
      <c r="U2889" s="5" t="inlineStr">
        <is>
          <t>OK</t>
        </is>
      </c>
    </row>
    <row r="2890">
      <c r="A2890" s="5" t="inlineStr">
        <is>
          <t>E02395</t>
        </is>
      </c>
      <c r="B2890" s="5" t="inlineStr">
        <is>
          <t>Female</t>
        </is>
      </c>
      <c r="C2890" s="6" t="inlineStr">
        <is>
          <t>28</t>
        </is>
      </c>
      <c r="D2890" s="5" t="inlineStr">
        <is>
          <t>Divorced</t>
        </is>
      </c>
      <c r="E2890" s="5" t="inlineStr">
        <is>
          <t>Master</t>
        </is>
      </c>
      <c r="F2890" s="5" t="inlineStr">
        <is>
          <t>Finance</t>
        </is>
      </c>
      <c r="G2890" s="5" t="inlineStr">
        <is>
          <t>Accountant</t>
        </is>
      </c>
      <c r="H2890" s="5" t="inlineStr">
        <is>
          <t>3</t>
        </is>
      </c>
      <c r="I2890" s="5" t="inlineStr">
        <is>
          <t>Bengaluru</t>
        </is>
      </c>
      <c r="J2890" s="5" t="inlineStr">
        <is>
          <t>Full-Time</t>
        </is>
      </c>
      <c r="K2890" s="7" t="n">
        <v>43832</v>
      </c>
      <c r="L2890" s="7" t="inlineStr"/>
      <c r="M2890" s="5" t="inlineStr">
        <is>
          <t>Yes</t>
        </is>
      </c>
      <c r="N2890" s="5" t="inlineStr"/>
      <c r="O2890" s="8" t="inlineStr">
        <is>
          <t>99500</t>
        </is>
      </c>
      <c r="P2890" s="5" t="inlineStr">
        <is>
          <t>15</t>
        </is>
      </c>
      <c r="Q2890" s="5" t="inlineStr">
        <is>
          <t>3</t>
        </is>
      </c>
      <c r="R2890" s="5" t="inlineStr">
        <is>
          <t>9</t>
        </is>
      </c>
      <c r="S2890" s="5" t="inlineStr">
        <is>
          <t>73</t>
        </is>
      </c>
      <c r="T2890" s="5" t="inlineStr">
        <is>
          <t>6</t>
        </is>
      </c>
      <c r="U2890" s="5" t="inlineStr">
        <is>
          <t>OK</t>
        </is>
      </c>
    </row>
    <row r="2891">
      <c r="A2891" s="5" t="inlineStr">
        <is>
          <t>E02656</t>
        </is>
      </c>
      <c r="B2891" s="5" t="inlineStr">
        <is>
          <t>Female</t>
        </is>
      </c>
      <c r="C2891" s="6" t="inlineStr">
        <is>
          <t>24</t>
        </is>
      </c>
      <c r="D2891" s="5" t="inlineStr">
        <is>
          <t>Divorced</t>
        </is>
      </c>
      <c r="E2891" s="5" t="inlineStr">
        <is>
          <t>Bachelor</t>
        </is>
      </c>
      <c r="F2891" s="5" t="inlineStr">
        <is>
          <t>Marketing</t>
        </is>
      </c>
      <c r="G2891" s="5" t="inlineStr">
        <is>
          <t>SEO Specialist</t>
        </is>
      </c>
      <c r="H2891" s="5" t="inlineStr">
        <is>
          <t>1</t>
        </is>
      </c>
      <c r="I2891" s="5" t="inlineStr">
        <is>
          <t>Mumbai</t>
        </is>
      </c>
      <c r="J2891" s="5" t="inlineStr">
        <is>
          <t>Contract</t>
        </is>
      </c>
      <c r="K2891" s="7" t="n">
        <v>45229</v>
      </c>
      <c r="L2891" s="7" t="inlineStr"/>
      <c r="M2891" s="5" t="inlineStr">
        <is>
          <t>Yes</t>
        </is>
      </c>
      <c r="N2891" s="5" t="inlineStr"/>
      <c r="O2891" s="8" t="inlineStr">
        <is>
          <t>78500</t>
        </is>
      </c>
      <c r="P2891" s="5" t="inlineStr">
        <is>
          <t>0</t>
        </is>
      </c>
      <c r="Q2891" s="5" t="inlineStr">
        <is>
          <t>3</t>
        </is>
      </c>
      <c r="R2891" s="5" t="inlineStr">
        <is>
          <t>5</t>
        </is>
      </c>
      <c r="S2891" s="5" t="inlineStr">
        <is>
          <t>26</t>
        </is>
      </c>
      <c r="T2891" s="5" t="inlineStr">
        <is>
          <t>7</t>
        </is>
      </c>
      <c r="U2891" s="5" t="inlineStr">
        <is>
          <t>OK</t>
        </is>
      </c>
    </row>
    <row r="2892">
      <c r="A2892" s="5" t="inlineStr">
        <is>
          <t>E01145</t>
        </is>
      </c>
      <c r="B2892" s="5" t="inlineStr">
        <is>
          <t>Female</t>
        </is>
      </c>
      <c r="C2892" s="6" t="inlineStr">
        <is>
          <t>25</t>
        </is>
      </c>
      <c r="D2892" s="5" t="inlineStr">
        <is>
          <t>Married</t>
        </is>
      </c>
      <c r="E2892" s="5" t="inlineStr">
        <is>
          <t>Diploma</t>
        </is>
      </c>
      <c r="F2892" s="5" t="inlineStr">
        <is>
          <t>Operations</t>
        </is>
      </c>
      <c r="G2892" s="5" t="inlineStr">
        <is>
          <t>Quality Analyst</t>
        </is>
      </c>
      <c r="H2892" s="5" t="inlineStr">
        <is>
          <t>1</t>
        </is>
      </c>
      <c r="I2892" s="5" t="inlineStr">
        <is>
          <t>Mumbai</t>
        </is>
      </c>
      <c r="J2892" s="5" t="inlineStr">
        <is>
          <t>Full-Time</t>
        </is>
      </c>
      <c r="K2892" s="7" t="n">
        <v>44203</v>
      </c>
      <c r="L2892" s="7" t="inlineStr"/>
      <c r="M2892" s="5" t="inlineStr">
        <is>
          <t>Yes</t>
        </is>
      </c>
      <c r="N2892" s="5" t="inlineStr"/>
      <c r="O2892" s="8" t="inlineStr">
        <is>
          <t>65500</t>
        </is>
      </c>
      <c r="P2892" s="5" t="inlineStr">
        <is>
          <t>5</t>
        </is>
      </c>
      <c r="Q2892" s="5" t="inlineStr">
        <is>
          <t>5</t>
        </is>
      </c>
      <c r="R2892" s="5" t="inlineStr">
        <is>
          <t>9</t>
        </is>
      </c>
      <c r="S2892" s="5" t="inlineStr">
        <is>
          <t>60</t>
        </is>
      </c>
      <c r="T2892" s="5" t="inlineStr">
        <is>
          <t>12</t>
        </is>
      </c>
      <c r="U2892" s="5" t="inlineStr">
        <is>
          <t>OK</t>
        </is>
      </c>
    </row>
    <row r="2893">
      <c r="A2893" s="5" t="inlineStr">
        <is>
          <t>E02438</t>
        </is>
      </c>
      <c r="B2893" s="5" t="inlineStr">
        <is>
          <t>Male</t>
        </is>
      </c>
      <c r="C2893" s="6" t="inlineStr">
        <is>
          <t>31</t>
        </is>
      </c>
      <c r="D2893" s="5" t="inlineStr">
        <is>
          <t>Married</t>
        </is>
      </c>
      <c r="E2893" s="5" t="inlineStr">
        <is>
          <t>Master</t>
        </is>
      </c>
      <c r="F2893" s="5" t="inlineStr">
        <is>
          <t>Operations</t>
        </is>
      </c>
      <c r="G2893" s="5" t="inlineStr">
        <is>
          <t>Logistics Coordinator</t>
        </is>
      </c>
      <c r="H2893" s="5" t="inlineStr">
        <is>
          <t>3</t>
        </is>
      </c>
      <c r="I2893" s="5" t="inlineStr">
        <is>
          <t>Delhi</t>
        </is>
      </c>
      <c r="J2893" s="5" t="inlineStr">
        <is>
          <t>Full-Time</t>
        </is>
      </c>
      <c r="K2893" s="7" t="n">
        <v>45083</v>
      </c>
      <c r="L2893" s="7" t="inlineStr"/>
      <c r="M2893" s="5" t="inlineStr">
        <is>
          <t>Yes</t>
        </is>
      </c>
      <c r="N2893" s="5" t="inlineStr"/>
      <c r="O2893" s="8" t="inlineStr">
        <is>
          <t>101500</t>
        </is>
      </c>
      <c r="P2893" s="5" t="inlineStr">
        <is>
          <t>0</t>
        </is>
      </c>
      <c r="Q2893" s="5" t="inlineStr">
        <is>
          <t>3</t>
        </is>
      </c>
      <c r="R2893" s="5" t="inlineStr">
        <is>
          <t>5</t>
        </is>
      </c>
      <c r="S2893" s="5" t="inlineStr">
        <is>
          <t>31</t>
        </is>
      </c>
      <c r="T2893" s="5" t="inlineStr">
        <is>
          <t>19</t>
        </is>
      </c>
      <c r="U2893" s="5" t="inlineStr">
        <is>
          <t>OK</t>
        </is>
      </c>
    </row>
    <row r="2894">
      <c r="A2894" s="5" t="inlineStr">
        <is>
          <t>E00607</t>
        </is>
      </c>
      <c r="B2894" s="5" t="inlineStr">
        <is>
          <t>Female</t>
        </is>
      </c>
      <c r="C2894" s="6" t="inlineStr">
        <is>
          <t>30</t>
        </is>
      </c>
      <c r="D2894" s="5" t="inlineStr">
        <is>
          <t>Single</t>
        </is>
      </c>
      <c r="E2894" s="5" t="inlineStr">
        <is>
          <t>Master</t>
        </is>
      </c>
      <c r="F2894" s="5" t="inlineStr">
        <is>
          <t>Operations</t>
        </is>
      </c>
      <c r="G2894" s="5" t="inlineStr">
        <is>
          <t>Logistics Coordinator</t>
        </is>
      </c>
      <c r="H2894" s="5" t="inlineStr">
        <is>
          <t>3</t>
        </is>
      </c>
      <c r="I2894" s="5" t="inlineStr">
        <is>
          <t>Remote</t>
        </is>
      </c>
      <c r="J2894" s="5" t="inlineStr">
        <is>
          <t>Full-Time</t>
        </is>
      </c>
      <c r="K2894" s="7" t="n">
        <v>44683</v>
      </c>
      <c r="L2894" s="7" t="inlineStr"/>
      <c r="M2894" s="5" t="inlineStr">
        <is>
          <t>Yes</t>
        </is>
      </c>
      <c r="N2894" s="5" t="inlineStr"/>
      <c r="O2894" s="8" t="inlineStr">
        <is>
          <t>93000</t>
        </is>
      </c>
      <c r="P2894" s="5" t="inlineStr">
        <is>
          <t>5</t>
        </is>
      </c>
      <c r="Q2894" s="5" t="inlineStr">
        <is>
          <t>4</t>
        </is>
      </c>
      <c r="R2894" s="5" t="inlineStr">
        <is>
          <t>4</t>
        </is>
      </c>
      <c r="S2894" s="5" t="inlineStr">
        <is>
          <t>44</t>
        </is>
      </c>
      <c r="T2894" s="5" t="inlineStr">
        <is>
          <t>7</t>
        </is>
      </c>
      <c r="U2894" s="5" t="inlineStr">
        <is>
          <t>OK</t>
        </is>
      </c>
    </row>
    <row r="2895">
      <c r="A2895" s="5" t="inlineStr">
        <is>
          <t>E02481</t>
        </is>
      </c>
      <c r="B2895" s="5" t="inlineStr">
        <is>
          <t>Female</t>
        </is>
      </c>
      <c r="C2895" s="6" t="inlineStr">
        <is>
          <t>34</t>
        </is>
      </c>
      <c r="D2895" s="5" t="inlineStr">
        <is>
          <t>Divorced</t>
        </is>
      </c>
      <c r="E2895" s="5" t="inlineStr">
        <is>
          <t>High School</t>
        </is>
      </c>
      <c r="F2895" s="5" t="inlineStr">
        <is>
          <t>Marketing</t>
        </is>
      </c>
      <c r="G2895" s="5" t="inlineStr">
        <is>
          <t>SEO Specialist</t>
        </is>
      </c>
      <c r="H2895" s="5" t="inlineStr">
        <is>
          <t>2</t>
        </is>
      </c>
      <c r="I2895" s="5" t="inlineStr">
        <is>
          <t>Bengaluru</t>
        </is>
      </c>
      <c r="J2895" s="5" t="inlineStr">
        <is>
          <t>Full-Time</t>
        </is>
      </c>
      <c r="K2895" s="7" t="n">
        <v>45414</v>
      </c>
      <c r="L2895" s="7" t="n">
        <v>45532</v>
      </c>
      <c r="M2895" s="5" t="inlineStr">
        <is>
          <t>No</t>
        </is>
      </c>
      <c r="N2895" s="5" t="inlineStr">
        <is>
          <t>Resigned</t>
        </is>
      </c>
      <c r="O2895" s="8" t="inlineStr">
        <is>
          <t>80000</t>
        </is>
      </c>
      <c r="P2895" s="5" t="inlineStr">
        <is>
          <t>0</t>
        </is>
      </c>
      <c r="Q2895" s="5" t="inlineStr">
        <is>
          <t>3</t>
        </is>
      </c>
      <c r="R2895" s="5" t="inlineStr">
        <is>
          <t>7</t>
        </is>
      </c>
      <c r="S2895" s="5" t="inlineStr">
        <is>
          <t>3</t>
        </is>
      </c>
      <c r="T2895" s="5" t="inlineStr">
        <is>
          <t>9</t>
        </is>
      </c>
      <c r="U2895" s="5" t="inlineStr">
        <is>
          <t>OK</t>
        </is>
      </c>
    </row>
    <row r="2896">
      <c r="A2896" s="5" t="inlineStr">
        <is>
          <t>E00274</t>
        </is>
      </c>
      <c r="B2896" s="5" t="inlineStr">
        <is>
          <t>Female</t>
        </is>
      </c>
      <c r="C2896" s="6" t="inlineStr">
        <is>
          <t>35</t>
        </is>
      </c>
      <c r="D2896" s="5" t="inlineStr">
        <is>
          <t>Divorced</t>
        </is>
      </c>
      <c r="E2896" s="5" t="inlineStr">
        <is>
          <t>Master</t>
        </is>
      </c>
      <c r="F2896" s="5" t="inlineStr">
        <is>
          <t>Executive</t>
        </is>
      </c>
      <c r="G2896" s="5" t="inlineStr">
        <is>
          <t>COO</t>
        </is>
      </c>
      <c r="H2896" s="5" t="inlineStr">
        <is>
          <t>2</t>
        </is>
      </c>
      <c r="I2896" s="5" t="inlineStr">
        <is>
          <t>Chennai</t>
        </is>
      </c>
      <c r="J2896" s="5" t="inlineStr">
        <is>
          <t>Full-Time</t>
        </is>
      </c>
      <c r="K2896" s="7" t="n">
        <v>45772</v>
      </c>
      <c r="L2896" s="7" t="inlineStr"/>
      <c r="M2896" s="5" t="inlineStr">
        <is>
          <t>Yes</t>
        </is>
      </c>
      <c r="N2896" s="5" t="inlineStr"/>
      <c r="O2896" s="8" t="inlineStr">
        <is>
          <t>204000</t>
        </is>
      </c>
      <c r="P2896" s="5" t="inlineStr">
        <is>
          <t>0</t>
        </is>
      </c>
      <c r="Q2896" s="5" t="inlineStr">
        <is>
          <t>3</t>
        </is>
      </c>
      <c r="R2896" s="5" t="inlineStr">
        <is>
          <t>6</t>
        </is>
      </c>
      <c r="S2896" s="5" t="inlineStr">
        <is>
          <t>8</t>
        </is>
      </c>
      <c r="T2896" s="5" t="inlineStr">
        <is>
          <t>1</t>
        </is>
      </c>
      <c r="U2896" s="5" t="inlineStr">
        <is>
          <t>OK</t>
        </is>
      </c>
    </row>
    <row r="2897">
      <c r="A2897" s="5" t="inlineStr">
        <is>
          <t>E00022</t>
        </is>
      </c>
      <c r="B2897" s="5" t="inlineStr">
        <is>
          <t>Female</t>
        </is>
      </c>
      <c r="C2897" s="6" t="inlineStr">
        <is>
          <t>23</t>
        </is>
      </c>
      <c r="D2897" s="5" t="inlineStr">
        <is>
          <t>Single</t>
        </is>
      </c>
      <c r="E2897" s="5" t="inlineStr">
        <is>
          <t>PhD</t>
        </is>
      </c>
      <c r="F2897" s="5" t="inlineStr">
        <is>
          <t>Marketing</t>
        </is>
      </c>
      <c r="G2897" s="5" t="inlineStr">
        <is>
          <t>Content Writer</t>
        </is>
      </c>
      <c r="H2897" s="5" t="inlineStr">
        <is>
          <t>1</t>
        </is>
      </c>
      <c r="I2897" s="5" t="inlineStr">
        <is>
          <t>Mumbai</t>
        </is>
      </c>
      <c r="J2897" s="5" t="inlineStr">
        <is>
          <t>Full-Time</t>
        </is>
      </c>
      <c r="K2897" s="7" t="n">
        <v>43914</v>
      </c>
      <c r="L2897" s="7" t="n">
        <v>44038</v>
      </c>
      <c r="M2897" s="5" t="inlineStr">
        <is>
          <t>No</t>
        </is>
      </c>
      <c r="N2897" s="5" t="inlineStr">
        <is>
          <t>Layoff</t>
        </is>
      </c>
      <c r="O2897" s="8" t="inlineStr"/>
      <c r="P2897" s="5" t="inlineStr">
        <is>
          <t>0</t>
        </is>
      </c>
      <c r="Q2897" s="5" t="inlineStr">
        <is>
          <t>4</t>
        </is>
      </c>
      <c r="R2897" s="5" t="inlineStr">
        <is>
          <t>8</t>
        </is>
      </c>
      <c r="S2897" s="5" t="inlineStr">
        <is>
          <t>4</t>
        </is>
      </c>
      <c r="T2897" s="5" t="inlineStr">
        <is>
          <t>11</t>
        </is>
      </c>
      <c r="U2897" s="5" t="inlineStr">
        <is>
          <t>Blank salary</t>
        </is>
      </c>
    </row>
    <row r="2898">
      <c r="A2898" s="5" t="inlineStr">
        <is>
          <t>E02602</t>
        </is>
      </c>
      <c r="B2898" s="5" t="inlineStr">
        <is>
          <t>female</t>
        </is>
      </c>
      <c r="C2898" s="6" t="inlineStr">
        <is>
          <t>38</t>
        </is>
      </c>
      <c r="D2898" s="5" t="inlineStr">
        <is>
          <t>Single</t>
        </is>
      </c>
      <c r="E2898" s="5" t="inlineStr">
        <is>
          <t>PhD</t>
        </is>
      </c>
      <c r="F2898" s="5" t="inlineStr">
        <is>
          <t>IT</t>
        </is>
      </c>
      <c r="G2898" s="5" t="inlineStr">
        <is>
          <t>IT Support</t>
        </is>
      </c>
      <c r="H2898" s="5" t="inlineStr">
        <is>
          <t>7</t>
        </is>
      </c>
      <c r="I2898" s="5" t="inlineStr">
        <is>
          <t>Bengaluru</t>
        </is>
      </c>
      <c r="J2898" s="5" t="inlineStr">
        <is>
          <t>Part-Time</t>
        </is>
      </c>
      <c r="K2898" s="7" t="n">
        <v>44074</v>
      </c>
      <c r="L2898" s="7" t="inlineStr"/>
      <c r="M2898" s="5" t="inlineStr">
        <is>
          <t>Yes</t>
        </is>
      </c>
      <c r="N2898" s="5" t="inlineStr"/>
      <c r="O2898" s="8" t="inlineStr">
        <is>
          <t>198000</t>
        </is>
      </c>
      <c r="P2898" s="5" t="inlineStr">
        <is>
          <t>0</t>
        </is>
      </c>
      <c r="Q2898" s="5" t="inlineStr">
        <is>
          <t>3</t>
        </is>
      </c>
      <c r="R2898" s="5" t="inlineStr">
        <is>
          <t>4</t>
        </is>
      </c>
      <c r="S2898" s="5" t="inlineStr">
        <is>
          <t>64</t>
        </is>
      </c>
      <c r="T2898" s="5" t="inlineStr">
        <is>
          <t>2</t>
        </is>
      </c>
      <c r="U2898" s="5" t="inlineStr">
        <is>
          <t>OK</t>
        </is>
      </c>
    </row>
    <row r="2899">
      <c r="A2899" s="5" t="inlineStr">
        <is>
          <t>E00568</t>
        </is>
      </c>
      <c r="B2899" s="5" t="inlineStr">
        <is>
          <t>Male</t>
        </is>
      </c>
      <c r="C2899" s="6" t="inlineStr">
        <is>
          <t>36</t>
        </is>
      </c>
      <c r="D2899" s="5" t="inlineStr">
        <is>
          <t>Married</t>
        </is>
      </c>
      <c r="E2899" s="5" t="inlineStr">
        <is>
          <t>High School</t>
        </is>
      </c>
      <c r="F2899" s="5" t="inlineStr">
        <is>
          <t>Operations</t>
        </is>
      </c>
      <c r="G2899" s="5" t="inlineStr">
        <is>
          <t>Logistics Coordinator</t>
        </is>
      </c>
      <c r="H2899" s="5" t="inlineStr">
        <is>
          <t>2</t>
        </is>
      </c>
      <c r="I2899" s="5" t="inlineStr">
        <is>
          <t>Mumbai</t>
        </is>
      </c>
      <c r="J2899" s="5" t="inlineStr">
        <is>
          <t>Contract</t>
        </is>
      </c>
      <c r="K2899" s="7" t="n">
        <v>44863</v>
      </c>
      <c r="L2899" s="7" t="inlineStr"/>
      <c r="M2899" s="5" t="inlineStr">
        <is>
          <t>Yes</t>
        </is>
      </c>
      <c r="N2899" s="5" t="inlineStr"/>
      <c r="O2899" s="8" t="inlineStr">
        <is>
          <t>112500</t>
        </is>
      </c>
      <c r="P2899" s="5" t="inlineStr">
        <is>
          <t>0</t>
        </is>
      </c>
      <c r="Q2899" s="5" t="inlineStr">
        <is>
          <t>3</t>
        </is>
      </c>
      <c r="R2899" s="5" t="inlineStr">
        <is>
          <t>6</t>
        </is>
      </c>
      <c r="S2899" s="5" t="inlineStr">
        <is>
          <t>38</t>
        </is>
      </c>
      <c r="T2899" s="5" t="inlineStr">
        <is>
          <t>1</t>
        </is>
      </c>
      <c r="U2899" s="5" t="inlineStr">
        <is>
          <t>OK</t>
        </is>
      </c>
    </row>
    <row r="2900">
      <c r="A2900" s="5" t="inlineStr">
        <is>
          <t>E01774</t>
        </is>
      </c>
      <c r="B2900" s="5" t="inlineStr">
        <is>
          <t>Female</t>
        </is>
      </c>
      <c r="C2900" s="6" t="inlineStr">
        <is>
          <t>37</t>
        </is>
      </c>
      <c r="D2900" s="5" t="inlineStr">
        <is>
          <t>Married</t>
        </is>
      </c>
      <c r="E2900" s="5" t="inlineStr">
        <is>
          <t>Master</t>
        </is>
      </c>
      <c r="F2900" s="5" t="inlineStr">
        <is>
          <t>Operations</t>
        </is>
      </c>
      <c r="G2900" s="5" t="inlineStr">
        <is>
          <t>Operations Analyst</t>
        </is>
      </c>
      <c r="H2900" s="5" t="inlineStr">
        <is>
          <t>3</t>
        </is>
      </c>
      <c r="I2900" s="5" t="inlineStr">
        <is>
          <t>Delhi</t>
        </is>
      </c>
      <c r="J2900" s="5" t="inlineStr">
        <is>
          <t>Full-Time</t>
        </is>
      </c>
      <c r="K2900" s="7" t="n">
        <v>44512</v>
      </c>
      <c r="L2900" s="7" t="inlineStr"/>
      <c r="M2900" s="5" t="inlineStr">
        <is>
          <t>Yes</t>
        </is>
      </c>
      <c r="N2900" s="5" t="inlineStr"/>
      <c r="O2900" s="8" t="inlineStr">
        <is>
          <t>77000</t>
        </is>
      </c>
      <c r="P2900" s="5" t="inlineStr">
        <is>
          <t>20</t>
        </is>
      </c>
      <c r="Q2900" s="5" t="inlineStr">
        <is>
          <t>5</t>
        </is>
      </c>
      <c r="R2900" s="5" t="inlineStr">
        <is>
          <t>7</t>
        </is>
      </c>
      <c r="S2900" s="5" t="inlineStr">
        <is>
          <t>50</t>
        </is>
      </c>
      <c r="T2900" s="5" t="inlineStr">
        <is>
          <t>10</t>
        </is>
      </c>
      <c r="U2900" s="5" t="inlineStr">
        <is>
          <t>OK</t>
        </is>
      </c>
    </row>
    <row r="2901">
      <c r="A2901" s="5" t="inlineStr">
        <is>
          <t>E01443</t>
        </is>
      </c>
      <c r="B2901" s="5" t="inlineStr">
        <is>
          <t>Female</t>
        </is>
      </c>
      <c r="C2901" s="6" t="inlineStr">
        <is>
          <t>39</t>
        </is>
      </c>
      <c r="D2901" s="5" t="inlineStr">
        <is>
          <t>Married</t>
        </is>
      </c>
      <c r="E2901" s="5" t="inlineStr">
        <is>
          <t>High School</t>
        </is>
      </c>
      <c r="F2901" s="5" t="inlineStr">
        <is>
          <t>Human Resources</t>
        </is>
      </c>
      <c r="G2901" s="5" t="inlineStr">
        <is>
          <t>Recruiter</t>
        </is>
      </c>
      <c r="H2901" s="5" t="inlineStr">
        <is>
          <t>5</t>
        </is>
      </c>
      <c r="I2901" s="5" t="inlineStr">
        <is>
          <t>Remote</t>
        </is>
      </c>
      <c r="J2901" s="5" t="inlineStr">
        <is>
          <t>Full-Time</t>
        </is>
      </c>
      <c r="K2901" s="7" t="n">
        <v>43888</v>
      </c>
      <c r="L2901" s="7" t="inlineStr"/>
      <c r="M2901" s="5" t="inlineStr">
        <is>
          <t>Yes</t>
        </is>
      </c>
      <c r="N2901" s="5" t="inlineStr"/>
      <c r="O2901" s="8" t="inlineStr">
        <is>
          <t>113500</t>
        </is>
      </c>
      <c r="P2901" s="5" t="inlineStr">
        <is>
          <t>15</t>
        </is>
      </c>
      <c r="Q2901" s="5" t="inlineStr">
        <is>
          <t>2</t>
        </is>
      </c>
      <c r="R2901" s="5" t="inlineStr">
        <is>
          <t>4</t>
        </is>
      </c>
      <c r="S2901" s="5" t="inlineStr">
        <is>
          <t>71</t>
        </is>
      </c>
      <c r="T2901" s="5" t="inlineStr">
        <is>
          <t>2</t>
        </is>
      </c>
      <c r="U2901" s="5" t="inlineStr">
        <is>
          <t>OK</t>
        </is>
      </c>
    </row>
    <row r="2902">
      <c r="A2902" s="5" t="inlineStr">
        <is>
          <t>E01556</t>
        </is>
      </c>
      <c r="B2902" s="5" t="inlineStr">
        <is>
          <t>Male</t>
        </is>
      </c>
      <c r="C2902" s="6" t="inlineStr">
        <is>
          <t>27</t>
        </is>
      </c>
      <c r="D2902" s="5" t="inlineStr">
        <is>
          <t>Divorced</t>
        </is>
      </c>
      <c r="E2902" s="5" t="inlineStr">
        <is>
          <t>PhD</t>
        </is>
      </c>
      <c r="F2902" s="5" t="inlineStr">
        <is>
          <t>Marketing</t>
        </is>
      </c>
      <c r="G2902" s="5" t="inlineStr">
        <is>
          <t>Content Writer</t>
        </is>
      </c>
      <c r="H2902" s="5" t="inlineStr">
        <is>
          <t>1</t>
        </is>
      </c>
      <c r="I2902" s="5" t="inlineStr">
        <is>
          <t>Remote</t>
        </is>
      </c>
      <c r="J2902" s="5" t="inlineStr">
        <is>
          <t>Full-Time</t>
        </is>
      </c>
      <c r="K2902" s="7" t="n">
        <v>44174</v>
      </c>
      <c r="L2902" s="7" t="n">
        <v>44258</v>
      </c>
      <c r="M2902" s="5" t="inlineStr">
        <is>
          <t>No</t>
        </is>
      </c>
      <c r="N2902" s="5" t="inlineStr">
        <is>
          <t>Resigned</t>
        </is>
      </c>
      <c r="O2902" s="8" t="inlineStr">
        <is>
          <t>56000</t>
        </is>
      </c>
      <c r="P2902" s="5" t="inlineStr">
        <is>
          <t>15</t>
        </is>
      </c>
      <c r="Q2902" s="5" t="inlineStr">
        <is>
          <t>3</t>
        </is>
      </c>
      <c r="R2902" s="5" t="inlineStr">
        <is>
          <t>3</t>
        </is>
      </c>
      <c r="S2902" s="5" t="inlineStr">
        <is>
          <t>2</t>
        </is>
      </c>
      <c r="T2902" s="5" t="inlineStr">
        <is>
          <t>1</t>
        </is>
      </c>
      <c r="U2902" s="5" t="inlineStr">
        <is>
          <t>OK</t>
        </is>
      </c>
    </row>
    <row r="2903">
      <c r="A2903" s="5" t="inlineStr">
        <is>
          <t>E01707</t>
        </is>
      </c>
      <c r="B2903" s="5" t="inlineStr">
        <is>
          <t>Male</t>
        </is>
      </c>
      <c r="C2903" s="6" t="inlineStr">
        <is>
          <t>31</t>
        </is>
      </c>
      <c r="D2903" s="5" t="inlineStr">
        <is>
          <t>Single</t>
        </is>
      </c>
      <c r="E2903" s="5" t="inlineStr">
        <is>
          <t>Diploma</t>
        </is>
      </c>
      <c r="F2903" s="5" t="inlineStr">
        <is>
          <t>Finance</t>
        </is>
      </c>
      <c r="G2903" s="5" t="inlineStr">
        <is>
          <t>Accountant</t>
        </is>
      </c>
      <c r="H2903" s="5" t="inlineStr">
        <is>
          <t>1</t>
        </is>
      </c>
      <c r="I2903" s="5" t="inlineStr">
        <is>
          <t>Bengaluru</t>
        </is>
      </c>
      <c r="J2903" s="5" t="inlineStr">
        <is>
          <t>Full-Time</t>
        </is>
      </c>
      <c r="K2903" s="7" t="n">
        <v>45486</v>
      </c>
      <c r="L2903" s="7" t="n">
        <v>45521</v>
      </c>
      <c r="M2903" s="5" t="inlineStr">
        <is>
          <t>No</t>
        </is>
      </c>
      <c r="N2903" s="5" t="inlineStr">
        <is>
          <t>Relocation</t>
        </is>
      </c>
      <c r="O2903" s="8" t="inlineStr">
        <is>
          <t>77500</t>
        </is>
      </c>
      <c r="P2903" s="5" t="inlineStr">
        <is>
          <t>10</t>
        </is>
      </c>
      <c r="Q2903" s="5" t="inlineStr">
        <is>
          <t>3</t>
        </is>
      </c>
      <c r="R2903" s="5" t="inlineStr">
        <is>
          <t>7</t>
        </is>
      </c>
      <c r="S2903" s="5" t="inlineStr">
        <is>
          <t>1</t>
        </is>
      </c>
      <c r="T2903" s="5" t="inlineStr">
        <is>
          <t>2</t>
        </is>
      </c>
      <c r="U2903" s="5" t="inlineStr">
        <is>
          <t>OK</t>
        </is>
      </c>
    </row>
    <row r="2904">
      <c r="A2904" s="5" t="inlineStr">
        <is>
          <t>E00778</t>
        </is>
      </c>
      <c r="B2904" s="5" t="inlineStr">
        <is>
          <t>Male</t>
        </is>
      </c>
      <c r="C2904" s="6" t="inlineStr">
        <is>
          <t>30</t>
        </is>
      </c>
      <c r="D2904" s="5" t="inlineStr">
        <is>
          <t>Married</t>
        </is>
      </c>
      <c r="E2904" s="5" t="inlineStr">
        <is>
          <t>High School</t>
        </is>
      </c>
      <c r="F2904" s="5" t="inlineStr">
        <is>
          <t>Human Resources</t>
        </is>
      </c>
      <c r="G2904" s="5" t="inlineStr">
        <is>
          <t>HR Analyst</t>
        </is>
      </c>
      <c r="H2904" s="5" t="inlineStr">
        <is>
          <t>4</t>
        </is>
      </c>
      <c r="I2904" s="5" t="inlineStr">
        <is>
          <t>Remote</t>
        </is>
      </c>
      <c r="J2904" s="5" t="inlineStr">
        <is>
          <t>Full-Time</t>
        </is>
      </c>
      <c r="K2904" s="7" t="n">
        <v>45501</v>
      </c>
      <c r="L2904" s="7" t="inlineStr"/>
      <c r="M2904" s="5" t="inlineStr">
        <is>
          <t>Yes</t>
        </is>
      </c>
      <c r="N2904" s="5" t="inlineStr"/>
      <c r="O2904" s="8" t="inlineStr">
        <is>
          <t>103000</t>
        </is>
      </c>
      <c r="P2904" s="5" t="inlineStr">
        <is>
          <t>5</t>
        </is>
      </c>
      <c r="Q2904" s="5" t="inlineStr">
        <is>
          <t>3</t>
        </is>
      </c>
      <c r="R2904" s="5" t="inlineStr">
        <is>
          <t>6</t>
        </is>
      </c>
      <c r="S2904" s="5" t="inlineStr">
        <is>
          <t>17</t>
        </is>
      </c>
      <c r="T2904" s="5" t="inlineStr">
        <is>
          <t>0</t>
        </is>
      </c>
      <c r="U2904" s="5" t="inlineStr">
        <is>
          <t>OK</t>
        </is>
      </c>
    </row>
    <row r="2905">
      <c r="A2905" s="5" t="inlineStr">
        <is>
          <t>E03000</t>
        </is>
      </c>
      <c r="B2905" s="5" t="inlineStr">
        <is>
          <t>Female</t>
        </is>
      </c>
      <c r="C2905" s="6" t="inlineStr">
        <is>
          <t>30</t>
        </is>
      </c>
      <c r="D2905" s="5" t="inlineStr">
        <is>
          <t>Married</t>
        </is>
      </c>
      <c r="E2905" s="5" t="inlineStr">
        <is>
          <t>PhD</t>
        </is>
      </c>
      <c r="F2905" s="5" t="inlineStr">
        <is>
          <t>Research &amp; Development</t>
        </is>
      </c>
      <c r="G2905" s="5" t="inlineStr">
        <is>
          <t>Research Scientist</t>
        </is>
      </c>
      <c r="H2905" s="5" t="inlineStr">
        <is>
          <t>1</t>
        </is>
      </c>
      <c r="I2905" s="5" t="inlineStr">
        <is>
          <t>Chennai</t>
        </is>
      </c>
      <c r="J2905" s="5" t="inlineStr">
        <is>
          <t>Full-Time</t>
        </is>
      </c>
      <c r="K2905" s="7" t="n">
        <v>45132</v>
      </c>
      <c r="L2905" s="7" t="inlineStr"/>
      <c r="M2905" s="5" t="inlineStr">
        <is>
          <t>Yes</t>
        </is>
      </c>
      <c r="N2905" s="5" t="inlineStr"/>
      <c r="O2905" s="8" t="inlineStr">
        <is>
          <t>98500</t>
        </is>
      </c>
      <c r="P2905" s="5" t="inlineStr">
        <is>
          <t>5</t>
        </is>
      </c>
      <c r="Q2905" s="5" t="inlineStr">
        <is>
          <t>4</t>
        </is>
      </c>
      <c r="R2905" s="5" t="inlineStr">
        <is>
          <t>1</t>
        </is>
      </c>
      <c r="S2905" s="5" t="inlineStr">
        <is>
          <t>29</t>
        </is>
      </c>
      <c r="T2905" s="5" t="inlineStr">
        <is>
          <t>3</t>
        </is>
      </c>
      <c r="U2905" s="5" t="inlineStr">
        <is>
          <t>OK</t>
        </is>
      </c>
    </row>
    <row r="2906">
      <c r="A2906" s="5" t="inlineStr">
        <is>
          <t>E02932</t>
        </is>
      </c>
      <c r="B2906" s="5" t="inlineStr">
        <is>
          <t>Male</t>
        </is>
      </c>
      <c r="C2906" s="6" t="inlineStr">
        <is>
          <t>34</t>
        </is>
      </c>
      <c r="D2906" s="5" t="inlineStr">
        <is>
          <t>Single</t>
        </is>
      </c>
      <c r="E2906" s="5" t="inlineStr">
        <is>
          <t>Master</t>
        </is>
      </c>
      <c r="F2906" s="5" t="inlineStr">
        <is>
          <t>Human Resources</t>
        </is>
      </c>
      <c r="G2906" s="5" t="inlineStr">
        <is>
          <t>Recruiter</t>
        </is>
      </c>
      <c r="H2906" s="5" t="inlineStr">
        <is>
          <t>6</t>
        </is>
      </c>
      <c r="I2906" s="5" t="inlineStr">
        <is>
          <t>Bengaluru</t>
        </is>
      </c>
      <c r="J2906" s="5" t="inlineStr">
        <is>
          <t>Full-Time</t>
        </is>
      </c>
      <c r="K2906" s="7" t="n">
        <v>44108</v>
      </c>
      <c r="L2906" s="7" t="inlineStr"/>
      <c r="M2906" s="5" t="inlineStr">
        <is>
          <t>Yes</t>
        </is>
      </c>
      <c r="N2906" s="5" t="inlineStr"/>
      <c r="O2906" s="8" t="inlineStr">
        <is>
          <t>170500</t>
        </is>
      </c>
      <c r="P2906" s="5" t="inlineStr">
        <is>
          <t>15</t>
        </is>
      </c>
      <c r="Q2906" s="5" t="inlineStr">
        <is>
          <t>2</t>
        </is>
      </c>
      <c r="R2906" s="5" t="inlineStr">
        <is>
          <t>4</t>
        </is>
      </c>
      <c r="S2906" s="5" t="inlineStr">
        <is>
          <t>63</t>
        </is>
      </c>
      <c r="T2906" s="5" t="inlineStr">
        <is>
          <t>0</t>
        </is>
      </c>
      <c r="U2906" s="5" t="inlineStr">
        <is>
          <t>OK</t>
        </is>
      </c>
    </row>
    <row r="2907">
      <c r="A2907" s="5" t="inlineStr">
        <is>
          <t>E00279</t>
        </is>
      </c>
      <c r="B2907" s="5" t="inlineStr">
        <is>
          <t>Male</t>
        </is>
      </c>
      <c r="C2907" s="6" t="inlineStr">
        <is>
          <t>29</t>
        </is>
      </c>
      <c r="D2907" s="5" t="inlineStr">
        <is>
          <t>Married</t>
        </is>
      </c>
      <c r="E2907" s="5" t="inlineStr">
        <is>
          <t>Master</t>
        </is>
      </c>
      <c r="F2907" s="5" t="inlineStr">
        <is>
          <t>Marketing</t>
        </is>
      </c>
      <c r="G2907" s="5" t="inlineStr">
        <is>
          <t>Marketing Analyst</t>
        </is>
      </c>
      <c r="H2907" s="5" t="inlineStr">
        <is>
          <t>4</t>
        </is>
      </c>
      <c r="I2907" s="5" t="inlineStr">
        <is>
          <t>Mumbai</t>
        </is>
      </c>
      <c r="J2907" s="5" t="inlineStr">
        <is>
          <t>Full-Time</t>
        </is>
      </c>
      <c r="K2907" s="7" t="n">
        <v>45537</v>
      </c>
      <c r="L2907" s="7" t="inlineStr"/>
      <c r="M2907" s="5" t="inlineStr">
        <is>
          <t>Yes</t>
        </is>
      </c>
      <c r="N2907" s="5" t="inlineStr"/>
      <c r="O2907" s="8" t="inlineStr">
        <is>
          <t>97500</t>
        </is>
      </c>
      <c r="P2907" s="5" t="inlineStr">
        <is>
          <t>5</t>
        </is>
      </c>
      <c r="Q2907" s="5" t="inlineStr">
        <is>
          <t>4</t>
        </is>
      </c>
      <c r="R2907" s="5" t="inlineStr">
        <is>
          <t>4</t>
        </is>
      </c>
      <c r="S2907" s="5" t="inlineStr">
        <is>
          <t>16</t>
        </is>
      </c>
      <c r="T2907" s="5" t="inlineStr">
        <is>
          <t>4</t>
        </is>
      </c>
      <c r="U2907" s="5" t="inlineStr">
        <is>
          <t>OK</t>
        </is>
      </c>
    </row>
    <row r="2908">
      <c r="A2908" s="5" t="inlineStr">
        <is>
          <t>E00589</t>
        </is>
      </c>
      <c r="B2908" s="5" t="inlineStr">
        <is>
          <t>female</t>
        </is>
      </c>
      <c r="C2908" s="6" t="inlineStr">
        <is>
          <t>27</t>
        </is>
      </c>
      <c r="D2908" s="5" t="inlineStr">
        <is>
          <t>Married</t>
        </is>
      </c>
      <c r="E2908" s="5" t="inlineStr">
        <is>
          <t>Diploma</t>
        </is>
      </c>
      <c r="F2908" s="5" t="inlineStr">
        <is>
          <t>Sales</t>
        </is>
      </c>
      <c r="G2908" s="5" t="inlineStr">
        <is>
          <t>Account Executive</t>
        </is>
      </c>
      <c r="H2908" s="5" t="inlineStr">
        <is>
          <t>1</t>
        </is>
      </c>
      <c r="I2908" s="5" t="inlineStr">
        <is>
          <t>Remote</t>
        </is>
      </c>
      <c r="J2908" s="5" t="inlineStr">
        <is>
          <t>Full-Time</t>
        </is>
      </c>
      <c r="K2908" s="7" t="n">
        <v>44645</v>
      </c>
      <c r="L2908" s="7" t="inlineStr"/>
      <c r="M2908" s="5" t="inlineStr">
        <is>
          <t>Yes</t>
        </is>
      </c>
      <c r="N2908" s="5" t="inlineStr"/>
      <c r="O2908" s="8" t="inlineStr">
        <is>
          <t>77000</t>
        </is>
      </c>
      <c r="P2908" s="5" t="inlineStr">
        <is>
          <t>0</t>
        </is>
      </c>
      <c r="Q2908" s="5" t="inlineStr">
        <is>
          <t>4</t>
        </is>
      </c>
      <c r="R2908" s="5" t="inlineStr">
        <is>
          <t>8</t>
        </is>
      </c>
      <c r="S2908" s="5" t="inlineStr">
        <is>
          <t>45</t>
        </is>
      </c>
      <c r="T2908" s="5" t="inlineStr">
        <is>
          <t>14</t>
        </is>
      </c>
      <c r="U2908" s="5" t="inlineStr">
        <is>
          <t>OK</t>
        </is>
      </c>
    </row>
    <row r="2909">
      <c r="A2909" s="5" t="inlineStr">
        <is>
          <t>E02646</t>
        </is>
      </c>
      <c r="B2909" s="5" t="inlineStr">
        <is>
          <t>Female</t>
        </is>
      </c>
      <c r="C2909" s="6" t="inlineStr">
        <is>
          <t>25</t>
        </is>
      </c>
      <c r="D2909" s="5" t="inlineStr">
        <is>
          <t>Single</t>
        </is>
      </c>
      <c r="E2909" s="5" t="inlineStr">
        <is>
          <t>High School</t>
        </is>
      </c>
      <c r="F2909" s="5" t="inlineStr">
        <is>
          <t>Finance</t>
        </is>
      </c>
      <c r="G2909" s="5" t="inlineStr">
        <is>
          <t>Financial Analyst</t>
        </is>
      </c>
      <c r="H2909" s="5" t="inlineStr">
        <is>
          <t>1</t>
        </is>
      </c>
      <c r="I2909" s="5" t="inlineStr">
        <is>
          <t>Delhi</t>
        </is>
      </c>
      <c r="J2909" s="5" t="inlineStr">
        <is>
          <t>Full-Time</t>
        </is>
      </c>
      <c r="K2909" s="7" t="n">
        <v>46014</v>
      </c>
      <c r="L2909" s="7" t="n">
        <v>46021</v>
      </c>
      <c r="M2909" s="5" t="inlineStr">
        <is>
          <t>No</t>
        </is>
      </c>
      <c r="N2909" s="5" t="inlineStr">
        <is>
          <t>Layoff</t>
        </is>
      </c>
      <c r="O2909" s="8" t="inlineStr">
        <is>
          <t>83000</t>
        </is>
      </c>
      <c r="P2909" s="5" t="inlineStr">
        <is>
          <t>0</t>
        </is>
      </c>
      <c r="Q2909" s="5" t="inlineStr">
        <is>
          <t>3</t>
        </is>
      </c>
      <c r="R2909" s="5" t="inlineStr">
        <is>
          <t>9</t>
        </is>
      </c>
      <c r="S2909" s="5" t="inlineStr">
        <is>
          <t>1</t>
        </is>
      </c>
      <c r="T2909" s="5" t="inlineStr">
        <is>
          <t>8</t>
        </is>
      </c>
      <c r="U2909" s="5" t="inlineStr">
        <is>
          <t>OK</t>
        </is>
      </c>
    </row>
    <row r="2910">
      <c r="A2910" s="5" t="inlineStr">
        <is>
          <t>E01062</t>
        </is>
      </c>
      <c r="B2910" s="5" t="inlineStr">
        <is>
          <t>Male</t>
        </is>
      </c>
      <c r="C2910" s="6" t="inlineStr">
        <is>
          <t>31</t>
        </is>
      </c>
      <c r="D2910" s="5" t="inlineStr">
        <is>
          <t>Single</t>
        </is>
      </c>
      <c r="E2910" s="5" t="inlineStr">
        <is>
          <t>High School</t>
        </is>
      </c>
      <c r="F2910" s="5" t="inlineStr">
        <is>
          <t>Sales</t>
        </is>
      </c>
      <c r="G2910" s="5" t="inlineStr">
        <is>
          <t>Sales Executive</t>
        </is>
      </c>
      <c r="H2910" s="5" t="inlineStr">
        <is>
          <t>1</t>
        </is>
      </c>
      <c r="I2910" s="5" t="inlineStr">
        <is>
          <t>Bengaluru</t>
        </is>
      </c>
      <c r="J2910" s="5" t="inlineStr">
        <is>
          <t>Full-Time</t>
        </is>
      </c>
      <c r="K2910" s="7" t="n">
        <v>45953</v>
      </c>
      <c r="L2910" s="7" t="inlineStr"/>
      <c r="M2910" s="5" t="inlineStr">
        <is>
          <t>Yes</t>
        </is>
      </c>
      <c r="N2910" s="5" t="inlineStr"/>
      <c r="O2910" s="8" t="inlineStr">
        <is>
          <t>63000</t>
        </is>
      </c>
      <c r="P2910" s="5" t="inlineStr">
        <is>
          <t>10</t>
        </is>
      </c>
      <c r="Q2910" s="5" t="inlineStr">
        <is>
          <t>4</t>
        </is>
      </c>
      <c r="R2910" s="5" t="inlineStr">
        <is>
          <t>5</t>
        </is>
      </c>
      <c r="S2910" s="5" t="inlineStr">
        <is>
          <t>2</t>
        </is>
      </c>
      <c r="T2910" s="5" t="inlineStr">
        <is>
          <t>5</t>
        </is>
      </c>
      <c r="U2910" s="5" t="inlineStr">
        <is>
          <t>OK</t>
        </is>
      </c>
    </row>
    <row r="2911">
      <c r="A2911" s="5" t="inlineStr">
        <is>
          <t>E02245</t>
        </is>
      </c>
      <c r="B2911" s="5" t="inlineStr">
        <is>
          <t>Female</t>
        </is>
      </c>
      <c r="C2911" s="6" t="inlineStr">
        <is>
          <t>41</t>
        </is>
      </c>
      <c r="D2911" s="5" t="inlineStr">
        <is>
          <t>Divorced</t>
        </is>
      </c>
      <c r="E2911" s="5" t="inlineStr">
        <is>
          <t>Master</t>
        </is>
      </c>
      <c r="F2911" s="5" t="inlineStr">
        <is>
          <t>Operations</t>
        </is>
      </c>
      <c r="G2911" s="5" t="inlineStr">
        <is>
          <t>Quality Analyst</t>
        </is>
      </c>
      <c r="H2911" s="5" t="inlineStr">
        <is>
          <t>6</t>
        </is>
      </c>
      <c r="I2911" s="5" t="inlineStr">
        <is>
          <t>Chennai</t>
        </is>
      </c>
      <c r="J2911" s="5" t="inlineStr">
        <is>
          <t>Full-Time</t>
        </is>
      </c>
      <c r="K2911" s="7" t="n">
        <v>45934</v>
      </c>
      <c r="L2911" s="7" t="inlineStr"/>
      <c r="M2911" s="5" t="inlineStr">
        <is>
          <t>Yes</t>
        </is>
      </c>
      <c r="N2911" s="5" t="inlineStr"/>
      <c r="O2911" s="8" t="inlineStr">
        <is>
          <t>158000</t>
        </is>
      </c>
      <c r="P2911" s="5" t="inlineStr">
        <is>
          <t>5</t>
        </is>
      </c>
      <c r="Q2911" s="5" t="inlineStr">
        <is>
          <t>3</t>
        </is>
      </c>
      <c r="R2911" s="5" t="inlineStr">
        <is>
          <t>6</t>
        </is>
      </c>
      <c r="S2911" s="5" t="inlineStr">
        <is>
          <t>2</t>
        </is>
      </c>
      <c r="T2911" s="5" t="inlineStr">
        <is>
          <t>3</t>
        </is>
      </c>
      <c r="U2911" s="5" t="inlineStr">
        <is>
          <t>OK</t>
        </is>
      </c>
    </row>
    <row r="2912">
      <c r="A2912" s="5" t="inlineStr">
        <is>
          <t>E02364</t>
        </is>
      </c>
      <c r="B2912" s="5" t="inlineStr">
        <is>
          <t>Male</t>
        </is>
      </c>
      <c r="C2912" s="6" t="inlineStr">
        <is>
          <t>35</t>
        </is>
      </c>
      <c r="D2912" s="5" t="inlineStr">
        <is>
          <t>Married</t>
        </is>
      </c>
      <c r="E2912" s="5" t="inlineStr">
        <is>
          <t>Bachelor</t>
        </is>
      </c>
      <c r="F2912" s="5" t="inlineStr">
        <is>
          <t>IT</t>
        </is>
      </c>
      <c r="G2912" s="5" t="inlineStr">
        <is>
          <t>IT Support</t>
        </is>
      </c>
      <c r="H2912" s="5" t="inlineStr">
        <is>
          <t>3</t>
        </is>
      </c>
      <c r="I2912" s="5" t="inlineStr">
        <is>
          <t>Chennai</t>
        </is>
      </c>
      <c r="J2912" s="5" t="inlineStr">
        <is>
          <t>Full-Time</t>
        </is>
      </c>
      <c r="K2912" s="7" t="n">
        <v>45996</v>
      </c>
      <c r="L2912" s="7" t="inlineStr"/>
      <c r="M2912" s="5" t="inlineStr">
        <is>
          <t>Yes</t>
        </is>
      </c>
      <c r="N2912" s="5" t="inlineStr"/>
      <c r="O2912" s="8" t="inlineStr">
        <is>
          <t>150000</t>
        </is>
      </c>
      <c r="P2912" s="5" t="inlineStr">
        <is>
          <t>10</t>
        </is>
      </c>
      <c r="Q2912" s="5" t="inlineStr">
        <is>
          <t>4</t>
        </is>
      </c>
      <c r="R2912" s="5" t="inlineStr">
        <is>
          <t>4</t>
        </is>
      </c>
      <c r="S2912" s="5" t="inlineStr">
        <is>
          <t>1</t>
        </is>
      </c>
      <c r="T2912" s="5" t="inlineStr">
        <is>
          <t>11</t>
        </is>
      </c>
      <c r="U2912" s="5" t="inlineStr">
        <is>
          <t>OK</t>
        </is>
      </c>
    </row>
    <row r="2913">
      <c r="A2913" s="5" t="inlineStr">
        <is>
          <t>E00030</t>
        </is>
      </c>
      <c r="B2913" s="5" t="inlineStr">
        <is>
          <t>Female</t>
        </is>
      </c>
      <c r="C2913" s="6" t="inlineStr">
        <is>
          <t>31</t>
        </is>
      </c>
      <c r="D2913" s="5" t="inlineStr">
        <is>
          <t>Single</t>
        </is>
      </c>
      <c r="E2913" s="5" t="inlineStr">
        <is>
          <t>Bachelor</t>
        </is>
      </c>
      <c r="F2913" s="5" t="inlineStr">
        <is>
          <t>Sales</t>
        </is>
      </c>
      <c r="G2913" s="5" t="inlineStr">
        <is>
          <t>Sales Executive</t>
        </is>
      </c>
      <c r="H2913" s="5" t="inlineStr">
        <is>
          <t>1</t>
        </is>
      </c>
      <c r="I2913" s="5" t="inlineStr">
        <is>
          <t>Mumbai</t>
        </is>
      </c>
      <c r="J2913" s="5" t="inlineStr">
        <is>
          <t>Full-Time</t>
        </is>
      </c>
      <c r="K2913" s="7" t="n">
        <v>44530</v>
      </c>
      <c r="L2913" s="7" t="inlineStr"/>
      <c r="M2913" s="5" t="inlineStr">
        <is>
          <t>Yes</t>
        </is>
      </c>
      <c r="N2913" s="5" t="inlineStr"/>
      <c r="O2913" s="8" t="inlineStr">
        <is>
          <t>92500</t>
        </is>
      </c>
      <c r="P2913" s="5" t="inlineStr">
        <is>
          <t>10</t>
        </is>
      </c>
      <c r="Q2913" s="5" t="inlineStr">
        <is>
          <t>3</t>
        </is>
      </c>
      <c r="R2913" s="5" t="inlineStr">
        <is>
          <t>7</t>
        </is>
      </c>
      <c r="S2913" s="5" t="inlineStr">
        <is>
          <t>49</t>
        </is>
      </c>
      <c r="T2913" s="5" t="inlineStr">
        <is>
          <t>6</t>
        </is>
      </c>
      <c r="U2913" s="5" t="inlineStr">
        <is>
          <t>OK</t>
        </is>
      </c>
    </row>
    <row r="2914">
      <c r="A2914" s="5" t="inlineStr">
        <is>
          <t>E01725</t>
        </is>
      </c>
      <c r="B2914" s="5" t="inlineStr">
        <is>
          <t>male</t>
        </is>
      </c>
      <c r="C2914" s="6" t="inlineStr">
        <is>
          <t>30</t>
        </is>
      </c>
      <c r="D2914" s="5" t="inlineStr">
        <is>
          <t>Divorced</t>
        </is>
      </c>
      <c r="E2914" s="5" t="inlineStr">
        <is>
          <t>Diploma</t>
        </is>
      </c>
      <c r="F2914" s="5" t="inlineStr">
        <is>
          <t>Sales</t>
        </is>
      </c>
      <c r="G2914" s="5" t="inlineStr">
        <is>
          <t>Business Development</t>
        </is>
      </c>
      <c r="H2914" s="5" t="inlineStr">
        <is>
          <t>2</t>
        </is>
      </c>
      <c r="I2914" s="5" t="inlineStr">
        <is>
          <t>Delhi</t>
        </is>
      </c>
      <c r="J2914" s="5" t="inlineStr">
        <is>
          <t>Full-Time</t>
        </is>
      </c>
      <c r="K2914" s="7" t="n">
        <v>44965</v>
      </c>
      <c r="L2914" s="7" t="inlineStr"/>
      <c r="M2914" s="5" t="inlineStr">
        <is>
          <t>Yes</t>
        </is>
      </c>
      <c r="N2914" s="5" t="inlineStr"/>
      <c r="O2914" s="8" t="inlineStr">
        <is>
          <t>113500</t>
        </is>
      </c>
      <c r="P2914" s="5" t="inlineStr">
        <is>
          <t>5</t>
        </is>
      </c>
      <c r="Q2914" s="5" t="inlineStr">
        <is>
          <t>3</t>
        </is>
      </c>
      <c r="R2914" s="5" t="inlineStr">
        <is>
          <t>8</t>
        </is>
      </c>
      <c r="S2914" s="5" t="inlineStr">
        <is>
          <t>35</t>
        </is>
      </c>
      <c r="T2914" s="5" t="inlineStr">
        <is>
          <t>5</t>
        </is>
      </c>
      <c r="U2914" s="5" t="inlineStr">
        <is>
          <t>OK</t>
        </is>
      </c>
    </row>
    <row r="2915">
      <c r="A2915" s="5" t="inlineStr">
        <is>
          <t>E00904</t>
        </is>
      </c>
      <c r="B2915" s="5" t="inlineStr">
        <is>
          <t>Female</t>
        </is>
      </c>
      <c r="C2915" s="6" t="inlineStr">
        <is>
          <t>26</t>
        </is>
      </c>
      <c r="D2915" s="5" t="inlineStr">
        <is>
          <t>Single</t>
        </is>
      </c>
      <c r="E2915" s="5" t="inlineStr">
        <is>
          <t>Diploma</t>
        </is>
      </c>
      <c r="F2915" s="5" t="inlineStr">
        <is>
          <t>Research &amp; Development</t>
        </is>
      </c>
      <c r="G2915" s="5" t="inlineStr">
        <is>
          <t>Product Engineer</t>
        </is>
      </c>
      <c r="H2915" s="5" t="inlineStr">
        <is>
          <t>1</t>
        </is>
      </c>
      <c r="I2915" s="5" t="inlineStr">
        <is>
          <t>Delhi</t>
        </is>
      </c>
      <c r="J2915" s="5" t="inlineStr">
        <is>
          <t>Contract</t>
        </is>
      </c>
      <c r="K2915" s="7" t="n">
        <v>44405</v>
      </c>
      <c r="L2915" s="7" t="inlineStr"/>
      <c r="M2915" s="5" t="inlineStr">
        <is>
          <t>Yes</t>
        </is>
      </c>
      <c r="N2915" s="5" t="inlineStr"/>
      <c r="O2915" s="8" t="inlineStr">
        <is>
          <t>154500</t>
        </is>
      </c>
      <c r="P2915" s="5" t="inlineStr">
        <is>
          <t>0</t>
        </is>
      </c>
      <c r="Q2915" s="5" t="inlineStr">
        <is>
          <t>1</t>
        </is>
      </c>
      <c r="R2915" s="5" t="inlineStr">
        <is>
          <t>3</t>
        </is>
      </c>
      <c r="S2915" s="5" t="inlineStr">
        <is>
          <t>53</t>
        </is>
      </c>
      <c r="T2915" s="5" t="inlineStr">
        <is>
          <t>12</t>
        </is>
      </c>
      <c r="U2915" s="5" t="inlineStr">
        <is>
          <t>OK</t>
        </is>
      </c>
    </row>
    <row r="2916">
      <c r="A2916" s="5" t="inlineStr">
        <is>
          <t>E01994</t>
        </is>
      </c>
      <c r="B2916" s="5" t="inlineStr">
        <is>
          <t>Female</t>
        </is>
      </c>
      <c r="C2916" s="6" t="inlineStr">
        <is>
          <t>36</t>
        </is>
      </c>
      <c r="D2916" s="5" t="inlineStr">
        <is>
          <t>Single</t>
        </is>
      </c>
      <c r="E2916" s="5" t="inlineStr">
        <is>
          <t>Diploma</t>
        </is>
      </c>
      <c r="F2916" s="5" t="inlineStr">
        <is>
          <t>Finance</t>
        </is>
      </c>
      <c r="G2916" s="5" t="inlineStr">
        <is>
          <t>Accountant</t>
        </is>
      </c>
      <c r="H2916" s="5" t="inlineStr">
        <is>
          <t>3</t>
        </is>
      </c>
      <c r="I2916" s="5" t="inlineStr">
        <is>
          <t>Mumbai</t>
        </is>
      </c>
      <c r="J2916" s="5" t="inlineStr">
        <is>
          <t>Contract</t>
        </is>
      </c>
      <c r="K2916" s="7" t="n">
        <v>43899</v>
      </c>
      <c r="L2916" s="7" t="inlineStr"/>
      <c r="M2916" s="5" t="inlineStr">
        <is>
          <t>Yes</t>
        </is>
      </c>
      <c r="N2916" s="5" t="inlineStr"/>
      <c r="O2916" s="8" t="inlineStr">
        <is>
          <t>133500</t>
        </is>
      </c>
      <c r="P2916" s="5" t="inlineStr">
        <is>
          <t>0</t>
        </is>
      </c>
      <c r="Q2916" s="5" t="inlineStr">
        <is>
          <t>4</t>
        </is>
      </c>
      <c r="R2916" s="5" t="inlineStr">
        <is>
          <t>4</t>
        </is>
      </c>
      <c r="S2916" s="5" t="inlineStr">
        <is>
          <t>70</t>
        </is>
      </c>
      <c r="T2916" s="5" t="inlineStr">
        <is>
          <t>5</t>
        </is>
      </c>
      <c r="U2916" s="5" t="inlineStr">
        <is>
          <t>OK</t>
        </is>
      </c>
    </row>
    <row r="2917">
      <c r="A2917" s="5" t="inlineStr">
        <is>
          <t>E00649</t>
        </is>
      </c>
      <c r="B2917" s="5" t="inlineStr">
        <is>
          <t>Male</t>
        </is>
      </c>
      <c r="C2917" s="6" t="inlineStr">
        <is>
          <t>26</t>
        </is>
      </c>
      <c r="D2917" s="5" t="inlineStr">
        <is>
          <t>Married</t>
        </is>
      </c>
      <c r="E2917" s="5" t="inlineStr">
        <is>
          <t>Master</t>
        </is>
      </c>
      <c r="F2917" s="5" t="inlineStr">
        <is>
          <t>Operations</t>
        </is>
      </c>
      <c r="G2917" s="5" t="inlineStr">
        <is>
          <t>Operations Analyst</t>
        </is>
      </c>
      <c r="H2917" s="5" t="inlineStr">
        <is>
          <t>2</t>
        </is>
      </c>
      <c r="I2917" s="5" t="inlineStr">
        <is>
          <t>Delhi</t>
        </is>
      </c>
      <c r="J2917" s="5" t="inlineStr">
        <is>
          <t>Full-Time</t>
        </is>
      </c>
      <c r="K2917" s="7" t="n">
        <v>44452</v>
      </c>
      <c r="L2917" s="7" t="n">
        <v>44507</v>
      </c>
      <c r="M2917" s="5" t="inlineStr">
        <is>
          <t>No</t>
        </is>
      </c>
      <c r="N2917" s="5" t="inlineStr">
        <is>
          <t>Retirement</t>
        </is>
      </c>
      <c r="O2917" s="8" t="inlineStr">
        <is>
          <t>73500</t>
        </is>
      </c>
      <c r="P2917" s="5" t="inlineStr">
        <is>
          <t>20</t>
        </is>
      </c>
      <c r="Q2917" s="5" t="inlineStr">
        <is>
          <t>2</t>
        </is>
      </c>
      <c r="R2917" s="5" t="inlineStr">
        <is>
          <t>6</t>
        </is>
      </c>
      <c r="S2917" s="5" t="inlineStr">
        <is>
          <t>1</t>
        </is>
      </c>
      <c r="T2917" s="5" t="inlineStr">
        <is>
          <t>16</t>
        </is>
      </c>
      <c r="U2917" s="5" t="inlineStr">
        <is>
          <t>OK</t>
        </is>
      </c>
    </row>
    <row r="2918">
      <c r="A2918" s="5" t="inlineStr">
        <is>
          <t>E01501</t>
        </is>
      </c>
      <c r="B2918" s="5" t="inlineStr">
        <is>
          <t>Male</t>
        </is>
      </c>
      <c r="C2918" s="6" t="inlineStr">
        <is>
          <t>37</t>
        </is>
      </c>
      <c r="D2918" s="5" t="inlineStr">
        <is>
          <t>Single</t>
        </is>
      </c>
      <c r="E2918" s="5" t="inlineStr">
        <is>
          <t>High School</t>
        </is>
      </c>
      <c r="F2918" s="5" t="inlineStr">
        <is>
          <t>Sales</t>
        </is>
      </c>
      <c r="G2918" s="5" t="inlineStr">
        <is>
          <t>Sales Executive</t>
        </is>
      </c>
      <c r="H2918" s="5" t="inlineStr">
        <is>
          <t>5</t>
        </is>
      </c>
      <c r="I2918" s="5" t="inlineStr">
        <is>
          <t>Bengaluru</t>
        </is>
      </c>
      <c r="J2918" s="5" t="inlineStr">
        <is>
          <t>Full-Time</t>
        </is>
      </c>
      <c r="K2918" s="7" t="n">
        <v>45797</v>
      </c>
      <c r="L2918" s="7" t="inlineStr"/>
      <c r="M2918" s="5" t="inlineStr">
        <is>
          <t>Yes</t>
        </is>
      </c>
      <c r="N2918" s="5" t="inlineStr"/>
      <c r="O2918" s="8" t="inlineStr">
        <is>
          <t>98000</t>
        </is>
      </c>
      <c r="P2918" s="5" t="inlineStr">
        <is>
          <t>10</t>
        </is>
      </c>
      <c r="Q2918" s="5" t="inlineStr">
        <is>
          <t>4</t>
        </is>
      </c>
      <c r="R2918" s="5" t="inlineStr">
        <is>
          <t>6</t>
        </is>
      </c>
      <c r="S2918" s="5" t="inlineStr">
        <is>
          <t>7</t>
        </is>
      </c>
      <c r="T2918" s="5" t="inlineStr">
        <is>
          <t>16</t>
        </is>
      </c>
      <c r="U2918" s="5" t="inlineStr">
        <is>
          <t>OK</t>
        </is>
      </c>
    </row>
    <row r="2919">
      <c r="A2919" s="5" t="inlineStr">
        <is>
          <t>E01571</t>
        </is>
      </c>
      <c r="B2919" s="5" t="inlineStr">
        <is>
          <t>Female</t>
        </is>
      </c>
      <c r="C2919" s="6" t="inlineStr">
        <is>
          <t>28</t>
        </is>
      </c>
      <c r="D2919" s="5" t="inlineStr">
        <is>
          <t>Married</t>
        </is>
      </c>
      <c r="E2919" s="5" t="inlineStr">
        <is>
          <t>Bachelor</t>
        </is>
      </c>
      <c r="F2919" s="5" t="inlineStr">
        <is>
          <t>Finance</t>
        </is>
      </c>
      <c r="G2919" s="5" t="inlineStr">
        <is>
          <t>Accountant</t>
        </is>
      </c>
      <c r="H2919" s="5" t="inlineStr">
        <is>
          <t>3</t>
        </is>
      </c>
      <c r="I2919" s="5" t="inlineStr">
        <is>
          <t>Chennai</t>
        </is>
      </c>
      <c r="J2919" s="5" t="inlineStr">
        <is>
          <t>Full-Time</t>
        </is>
      </c>
      <c r="K2919" s="7" t="n">
        <v>44461</v>
      </c>
      <c r="L2919" s="7" t="inlineStr"/>
      <c r="M2919" s="5" t="inlineStr">
        <is>
          <t>Yes</t>
        </is>
      </c>
      <c r="N2919" s="5" t="inlineStr"/>
      <c r="O2919" s="8" t="inlineStr">
        <is>
          <t>139000</t>
        </is>
      </c>
      <c r="P2919" s="5" t="inlineStr">
        <is>
          <t>5</t>
        </is>
      </c>
      <c r="Q2919" s="5" t="inlineStr">
        <is>
          <t>3</t>
        </is>
      </c>
      <c r="R2919" s="5" t="inlineStr">
        <is>
          <t>6</t>
        </is>
      </c>
      <c r="S2919" s="5" t="inlineStr">
        <is>
          <t>52</t>
        </is>
      </c>
      <c r="T2919" s="5" t="inlineStr">
        <is>
          <t>6</t>
        </is>
      </c>
      <c r="U2919" s="5" t="inlineStr">
        <is>
          <t>OK</t>
        </is>
      </c>
    </row>
    <row r="2920">
      <c r="A2920" s="5" t="inlineStr">
        <is>
          <t>E00846</t>
        </is>
      </c>
      <c r="B2920" s="5" t="inlineStr">
        <is>
          <t>Female</t>
        </is>
      </c>
      <c r="C2920" s="6" t="inlineStr">
        <is>
          <t>34</t>
        </is>
      </c>
      <c r="D2920" s="5" t="inlineStr">
        <is>
          <t>Married</t>
        </is>
      </c>
      <c r="E2920" s="5" t="inlineStr">
        <is>
          <t>Bachelor</t>
        </is>
      </c>
      <c r="F2920" s="5" t="inlineStr">
        <is>
          <t>Operations</t>
        </is>
      </c>
      <c r="G2920" s="5" t="inlineStr">
        <is>
          <t>Operations Analyst</t>
        </is>
      </c>
      <c r="H2920" s="5" t="inlineStr">
        <is>
          <t>5</t>
        </is>
      </c>
      <c r="I2920" s="5" t="inlineStr">
        <is>
          <t>Delhi</t>
        </is>
      </c>
      <c r="J2920" s="5" t="inlineStr">
        <is>
          <t>Full-Time</t>
        </is>
      </c>
      <c r="K2920" s="7" t="n">
        <v>45214</v>
      </c>
      <c r="L2920" s="7" t="inlineStr"/>
      <c r="M2920" s="5" t="inlineStr">
        <is>
          <t>Yes</t>
        </is>
      </c>
      <c r="N2920" s="5" t="inlineStr"/>
      <c r="O2920" s="8" t="inlineStr">
        <is>
          <t>122000</t>
        </is>
      </c>
      <c r="P2920" s="5" t="inlineStr">
        <is>
          <t>0</t>
        </is>
      </c>
      <c r="Q2920" s="5" t="inlineStr">
        <is>
          <t>4</t>
        </is>
      </c>
      <c r="R2920" s="5" t="inlineStr">
        <is>
          <t>6</t>
        </is>
      </c>
      <c r="S2920" s="5" t="inlineStr">
        <is>
          <t>26</t>
        </is>
      </c>
      <c r="T2920" s="5" t="inlineStr">
        <is>
          <t>5</t>
        </is>
      </c>
      <c r="U2920" s="5" t="inlineStr">
        <is>
          <t>OK</t>
        </is>
      </c>
    </row>
    <row r="2921">
      <c r="A2921" s="5" t="inlineStr">
        <is>
          <t>E02868</t>
        </is>
      </c>
      <c r="B2921" s="5" t="inlineStr">
        <is>
          <t>Female</t>
        </is>
      </c>
      <c r="C2921" s="6" t="inlineStr">
        <is>
          <t>29</t>
        </is>
      </c>
      <c r="D2921" s="5" t="inlineStr">
        <is>
          <t>Married</t>
        </is>
      </c>
      <c r="E2921" s="5" t="inlineStr">
        <is>
          <t>High School</t>
        </is>
      </c>
      <c r="F2921" s="5" t="inlineStr">
        <is>
          <t>Marketing</t>
        </is>
      </c>
      <c r="G2921" s="5" t="inlineStr">
        <is>
          <t>Marketing Analyst</t>
        </is>
      </c>
      <c r="H2921" s="5" t="inlineStr">
        <is>
          <t>2</t>
        </is>
      </c>
      <c r="I2921" s="5" t="inlineStr">
        <is>
          <t>Delhi</t>
        </is>
      </c>
      <c r="J2921" s="5" t="inlineStr">
        <is>
          <t>Full-Time</t>
        </is>
      </c>
      <c r="K2921" s="7" t="n">
        <v>44297</v>
      </c>
      <c r="L2921" s="7" t="n">
        <v>44342</v>
      </c>
      <c r="M2921" s="5" t="inlineStr">
        <is>
          <t>No</t>
        </is>
      </c>
      <c r="N2921" s="5" t="inlineStr">
        <is>
          <t>Relocation</t>
        </is>
      </c>
      <c r="O2921" s="8" t="inlineStr">
        <is>
          <t>103000</t>
        </is>
      </c>
      <c r="P2921" s="5" t="inlineStr">
        <is>
          <t>0</t>
        </is>
      </c>
      <c r="Q2921" s="5" t="inlineStr">
        <is>
          <t>3</t>
        </is>
      </c>
      <c r="R2921" s="5" t="inlineStr">
        <is>
          <t>6</t>
        </is>
      </c>
      <c r="S2921" s="5" t="inlineStr">
        <is>
          <t>1</t>
        </is>
      </c>
      <c r="T2921" s="5" t="inlineStr">
        <is>
          <t>8</t>
        </is>
      </c>
      <c r="U2921" s="5" t="inlineStr">
        <is>
          <t>OK</t>
        </is>
      </c>
    </row>
    <row r="2922">
      <c r="A2922" s="5" t="inlineStr">
        <is>
          <t>E02129</t>
        </is>
      </c>
      <c r="B2922" s="5" t="inlineStr">
        <is>
          <t>Male</t>
        </is>
      </c>
      <c r="C2922" s="6" t="inlineStr">
        <is>
          <t>40</t>
        </is>
      </c>
      <c r="D2922" s="5" t="inlineStr">
        <is>
          <t>Married</t>
        </is>
      </c>
      <c r="E2922" s="5" t="inlineStr">
        <is>
          <t>Bachelor</t>
        </is>
      </c>
      <c r="F2922" s="5" t="inlineStr">
        <is>
          <t>Executive</t>
        </is>
      </c>
      <c r="G2922" s="5" t="inlineStr">
        <is>
          <t>CFO</t>
        </is>
      </c>
      <c r="H2922" s="5" t="inlineStr">
        <is>
          <t>7</t>
        </is>
      </c>
      <c r="I2922" s="5" t="inlineStr">
        <is>
          <t>Remote</t>
        </is>
      </c>
      <c r="J2922" s="5" t="inlineStr">
        <is>
          <t>Full-Time</t>
        </is>
      </c>
      <c r="K2922" s="7" t="n">
        <v>45125</v>
      </c>
      <c r="L2922" s="7" t="inlineStr"/>
      <c r="M2922" s="5" t="inlineStr">
        <is>
          <t>Yes</t>
        </is>
      </c>
      <c r="N2922" s="5" t="inlineStr"/>
      <c r="O2922" s="8" t="inlineStr">
        <is>
          <t>282000</t>
        </is>
      </c>
      <c r="P2922" s="5" t="inlineStr">
        <is>
          <t>0</t>
        </is>
      </c>
      <c r="Q2922" s="5" t="inlineStr">
        <is>
          <t>3</t>
        </is>
      </c>
      <c r="R2922" s="5" t="inlineStr">
        <is>
          <t>4</t>
        </is>
      </c>
      <c r="S2922" s="5" t="inlineStr">
        <is>
          <t>29</t>
        </is>
      </c>
      <c r="T2922" s="5" t="inlineStr">
        <is>
          <t>0</t>
        </is>
      </c>
      <c r="U2922" s="5" t="inlineStr">
        <is>
          <t>OK</t>
        </is>
      </c>
    </row>
    <row r="2923">
      <c r="A2923" s="5" t="inlineStr">
        <is>
          <t>E02538</t>
        </is>
      </c>
      <c r="B2923" s="5" t="inlineStr">
        <is>
          <t>Male</t>
        </is>
      </c>
      <c r="C2923" s="6" t="inlineStr">
        <is>
          <t>26</t>
        </is>
      </c>
      <c r="D2923" s="5" t="inlineStr">
        <is>
          <t>Married</t>
        </is>
      </c>
      <c r="E2923" s="5" t="inlineStr">
        <is>
          <t>High School</t>
        </is>
      </c>
      <c r="F2923" s="5" t="inlineStr">
        <is>
          <t>Finance</t>
        </is>
      </c>
      <c r="G2923" s="5" t="inlineStr">
        <is>
          <t>Financial Analyst</t>
        </is>
      </c>
      <c r="H2923" s="5" t="inlineStr">
        <is>
          <t>2</t>
        </is>
      </c>
      <c r="I2923" s="5" t="inlineStr">
        <is>
          <t>Hyderabad</t>
        </is>
      </c>
      <c r="J2923" s="5" t="inlineStr">
        <is>
          <t>Part-Time</t>
        </is>
      </c>
      <c r="K2923" s="7" t="n">
        <v>45091</v>
      </c>
      <c r="L2923" s="7" t="inlineStr"/>
      <c r="M2923" s="5" t="inlineStr">
        <is>
          <t>Yes</t>
        </is>
      </c>
      <c r="N2923" s="5" t="inlineStr"/>
      <c r="O2923" s="8" t="inlineStr">
        <is>
          <t>113500</t>
        </is>
      </c>
      <c r="P2923" s="5" t="inlineStr">
        <is>
          <t>10</t>
        </is>
      </c>
      <c r="Q2923" s="5" t="inlineStr">
        <is>
          <t>3</t>
        </is>
      </c>
      <c r="R2923" s="5" t="inlineStr">
        <is>
          <t>6</t>
        </is>
      </c>
      <c r="S2923" s="5" t="inlineStr">
        <is>
          <t>31</t>
        </is>
      </c>
      <c r="T2923" s="5" t="inlineStr">
        <is>
          <t>7</t>
        </is>
      </c>
      <c r="U2923" s="5" t="inlineStr">
        <is>
          <t>OK</t>
        </is>
      </c>
    </row>
    <row r="2924">
      <c r="A2924" s="5" t="inlineStr">
        <is>
          <t>E02633</t>
        </is>
      </c>
      <c r="B2924" s="5" t="inlineStr">
        <is>
          <t>Male</t>
        </is>
      </c>
      <c r="C2924" s="6" t="inlineStr">
        <is>
          <t>38</t>
        </is>
      </c>
      <c r="D2924" s="5" t="inlineStr">
        <is>
          <t>Single</t>
        </is>
      </c>
      <c r="E2924" s="5" t="inlineStr">
        <is>
          <t>Diploma</t>
        </is>
      </c>
      <c r="F2924" s="5" t="inlineStr">
        <is>
          <t>Marketing</t>
        </is>
      </c>
      <c r="G2924" s="5" t="inlineStr">
        <is>
          <t>Marketing Analyst</t>
        </is>
      </c>
      <c r="H2924" s="5" t="inlineStr">
        <is>
          <t>4</t>
        </is>
      </c>
      <c r="I2924" s="5" t="inlineStr">
        <is>
          <t>Hyderabad</t>
        </is>
      </c>
      <c r="J2924" s="5" t="inlineStr">
        <is>
          <t>Full-Time</t>
        </is>
      </c>
      <c r="K2924" s="7" t="n">
        <v>45600</v>
      </c>
      <c r="L2924" s="7" t="inlineStr"/>
      <c r="M2924" s="5" t="inlineStr">
        <is>
          <t>Yes</t>
        </is>
      </c>
      <c r="N2924" s="5" t="inlineStr"/>
      <c r="O2924" s="8" t="inlineStr">
        <is>
          <t>92500</t>
        </is>
      </c>
      <c r="P2924" s="5" t="inlineStr">
        <is>
          <t>5</t>
        </is>
      </c>
      <c r="Q2924" s="5" t="inlineStr">
        <is>
          <t>4</t>
        </is>
      </c>
      <c r="R2924" s="5" t="inlineStr">
        <is>
          <t>6</t>
        </is>
      </c>
      <c r="S2924" s="5" t="inlineStr">
        <is>
          <t>14</t>
        </is>
      </c>
      <c r="T2924" s="5" t="inlineStr">
        <is>
          <t>5</t>
        </is>
      </c>
      <c r="U2924" s="5" t="inlineStr">
        <is>
          <t>OK</t>
        </is>
      </c>
    </row>
    <row r="2925">
      <c r="A2925" s="5" t="inlineStr">
        <is>
          <t>E01585</t>
        </is>
      </c>
      <c r="B2925" s="5" t="inlineStr">
        <is>
          <t>Male</t>
        </is>
      </c>
      <c r="C2925" s="6" t="inlineStr">
        <is>
          <t>44</t>
        </is>
      </c>
      <c r="D2925" s="5" t="inlineStr">
        <is>
          <t>Married</t>
        </is>
      </c>
      <c r="E2925" s="5" t="inlineStr">
        <is>
          <t>Diploma</t>
        </is>
      </c>
      <c r="F2925" s="5" t="inlineStr">
        <is>
          <t>Marketing</t>
        </is>
      </c>
      <c r="G2925" s="5" t="inlineStr">
        <is>
          <t>SEO Specialist</t>
        </is>
      </c>
      <c r="H2925" s="5" t="inlineStr">
        <is>
          <t>6</t>
        </is>
      </c>
      <c r="I2925" s="5" t="inlineStr">
        <is>
          <t>Remote</t>
        </is>
      </c>
      <c r="J2925" s="5" t="inlineStr">
        <is>
          <t>Full-Time</t>
        </is>
      </c>
      <c r="K2925" s="7" t="n">
        <v>44495</v>
      </c>
      <c r="L2925" s="7" t="inlineStr"/>
      <c r="M2925" s="5" t="inlineStr">
        <is>
          <t>Yes</t>
        </is>
      </c>
      <c r="N2925" s="5" t="inlineStr"/>
      <c r="O2925" s="8" t="inlineStr">
        <is>
          <t>110500</t>
        </is>
      </c>
      <c r="P2925" s="5" t="inlineStr">
        <is>
          <t>20</t>
        </is>
      </c>
      <c r="Q2925" s="5" t="inlineStr">
        <is>
          <t>3</t>
        </is>
      </c>
      <c r="R2925" s="5" t="inlineStr">
        <is>
          <t>8</t>
        </is>
      </c>
      <c r="S2925" s="5" t="inlineStr">
        <is>
          <t>50</t>
        </is>
      </c>
      <c r="T2925" s="5" t="inlineStr">
        <is>
          <t>11</t>
        </is>
      </c>
      <c r="U2925" s="5" t="inlineStr">
        <is>
          <t>OK</t>
        </is>
      </c>
    </row>
    <row r="2926">
      <c r="A2926" s="5" t="inlineStr">
        <is>
          <t>E01086</t>
        </is>
      </c>
      <c r="B2926" s="5" t="inlineStr">
        <is>
          <t>Male</t>
        </is>
      </c>
      <c r="C2926" s="6" t="inlineStr">
        <is>
          <t>34</t>
        </is>
      </c>
      <c r="D2926" s="5" t="inlineStr">
        <is>
          <t>Married</t>
        </is>
      </c>
      <c r="E2926" s="5" t="inlineStr">
        <is>
          <t>Diploma</t>
        </is>
      </c>
      <c r="F2926" s="5" t="inlineStr">
        <is>
          <t>Sales</t>
        </is>
      </c>
      <c r="G2926" s="5" t="inlineStr">
        <is>
          <t>Business Development</t>
        </is>
      </c>
      <c r="H2926" s="5" t="inlineStr">
        <is>
          <t>3</t>
        </is>
      </c>
      <c r="I2926" s="5" t="inlineStr">
        <is>
          <t>Mumbai</t>
        </is>
      </c>
      <c r="J2926" s="5" t="inlineStr">
        <is>
          <t>Contract</t>
        </is>
      </c>
      <c r="K2926" s="7" t="n">
        <v>44532</v>
      </c>
      <c r="L2926" s="7" t="n">
        <v>44658</v>
      </c>
      <c r="M2926" s="5" t="inlineStr">
        <is>
          <t>No</t>
        </is>
      </c>
      <c r="N2926" s="5" t="inlineStr">
        <is>
          <t>Resigned</t>
        </is>
      </c>
      <c r="O2926" s="8" t="inlineStr">
        <is>
          <t>108500</t>
        </is>
      </c>
      <c r="P2926" s="5" t="inlineStr">
        <is>
          <t>15</t>
        </is>
      </c>
      <c r="Q2926" s="5" t="inlineStr">
        <is>
          <t>5</t>
        </is>
      </c>
      <c r="R2926" s="5" t="inlineStr">
        <is>
          <t>6</t>
        </is>
      </c>
      <c r="S2926" s="5" t="inlineStr">
        <is>
          <t>4</t>
        </is>
      </c>
      <c r="T2926" s="5" t="inlineStr">
        <is>
          <t>0</t>
        </is>
      </c>
      <c r="U2926" s="5" t="inlineStr">
        <is>
          <t>OK</t>
        </is>
      </c>
    </row>
    <row r="2927">
      <c r="A2927" s="5" t="inlineStr">
        <is>
          <t>E01370</t>
        </is>
      </c>
      <c r="B2927" s="5" t="inlineStr">
        <is>
          <t>Male</t>
        </is>
      </c>
      <c r="C2927" s="6" t="inlineStr">
        <is>
          <t>33</t>
        </is>
      </c>
      <c r="D2927" s="5" t="inlineStr">
        <is>
          <t>Married</t>
        </is>
      </c>
      <c r="E2927" s="5" t="inlineStr">
        <is>
          <t>High School</t>
        </is>
      </c>
      <c r="F2927" s="5" t="inlineStr">
        <is>
          <t>Sales</t>
        </is>
      </c>
      <c r="G2927" s="5" t="inlineStr">
        <is>
          <t>Business Development</t>
        </is>
      </c>
      <c r="H2927" s="5" t="inlineStr">
        <is>
          <t>3</t>
        </is>
      </c>
      <c r="I2927" s="5" t="inlineStr">
        <is>
          <t>Delhi</t>
        </is>
      </c>
      <c r="J2927" s="5" t="inlineStr">
        <is>
          <t>Full-Time</t>
        </is>
      </c>
      <c r="K2927" s="7" t="n">
        <v>45030</v>
      </c>
      <c r="L2927" s="7" t="inlineStr"/>
      <c r="M2927" s="5" t="inlineStr">
        <is>
          <t>Yes</t>
        </is>
      </c>
      <c r="N2927" s="5" t="inlineStr"/>
      <c r="O2927" s="8" t="inlineStr">
        <is>
          <t>116000</t>
        </is>
      </c>
      <c r="P2927" s="5" t="inlineStr">
        <is>
          <t>0</t>
        </is>
      </c>
      <c r="Q2927" s="5" t="inlineStr">
        <is>
          <t>3</t>
        </is>
      </c>
      <c r="R2927" s="5" t="inlineStr">
        <is>
          <t>7</t>
        </is>
      </c>
      <c r="S2927" s="5" t="inlineStr">
        <is>
          <t>33</t>
        </is>
      </c>
      <c r="T2927" s="5" t="inlineStr">
        <is>
          <t>3</t>
        </is>
      </c>
      <c r="U2927" s="5" t="inlineStr">
        <is>
          <t>OK</t>
        </is>
      </c>
    </row>
    <row r="2928">
      <c r="A2928" s="5" t="inlineStr">
        <is>
          <t>E02044</t>
        </is>
      </c>
      <c r="B2928" s="5" t="inlineStr">
        <is>
          <t>Male</t>
        </is>
      </c>
      <c r="C2928" s="6" t="inlineStr">
        <is>
          <t>34</t>
        </is>
      </c>
      <c r="D2928" s="5" t="inlineStr">
        <is>
          <t>Married</t>
        </is>
      </c>
      <c r="E2928" s="5" t="inlineStr">
        <is>
          <t>Master</t>
        </is>
      </c>
      <c r="F2928" s="5" t="inlineStr">
        <is>
          <t>Customer Support</t>
        </is>
      </c>
      <c r="G2928" s="5" t="inlineStr">
        <is>
          <t>Escalation Specialist</t>
        </is>
      </c>
      <c r="H2928" s="5" t="inlineStr">
        <is>
          <t>2</t>
        </is>
      </c>
      <c r="I2928" s="5" t="inlineStr">
        <is>
          <t>Delhi</t>
        </is>
      </c>
      <c r="J2928" s="5" t="inlineStr">
        <is>
          <t>Full-Time</t>
        </is>
      </c>
      <c r="K2928" s="7" t="n">
        <v>44922</v>
      </c>
      <c r="L2928" s="7" t="inlineStr"/>
      <c r="M2928" s="5" t="inlineStr">
        <is>
          <t>Yes</t>
        </is>
      </c>
      <c r="N2928" s="5" t="inlineStr"/>
      <c r="O2928" s="8" t="inlineStr">
        <is>
          <t>71000</t>
        </is>
      </c>
      <c r="P2928" s="5" t="inlineStr">
        <is>
          <t>10</t>
        </is>
      </c>
      <c r="Q2928" s="5" t="inlineStr">
        <is>
          <t>5</t>
        </is>
      </c>
      <c r="R2928" s="5" t="inlineStr">
        <is>
          <t>3</t>
        </is>
      </c>
      <c r="S2928" s="5" t="inlineStr">
        <is>
          <t>36</t>
        </is>
      </c>
      <c r="T2928" s="5" t="inlineStr">
        <is>
          <t>8</t>
        </is>
      </c>
      <c r="U2928" s="5" t="inlineStr">
        <is>
          <t>OK</t>
        </is>
      </c>
    </row>
    <row r="2929">
      <c r="A2929" s="5" t="inlineStr">
        <is>
          <t>E00114</t>
        </is>
      </c>
      <c r="B2929" s="5" t="inlineStr">
        <is>
          <t>Male</t>
        </is>
      </c>
      <c r="C2929" s="6" t="inlineStr">
        <is>
          <t>28</t>
        </is>
      </c>
      <c r="D2929" s="5" t="inlineStr">
        <is>
          <t>Married</t>
        </is>
      </c>
      <c r="E2929" s="5" t="inlineStr">
        <is>
          <t>Diploma</t>
        </is>
      </c>
      <c r="F2929" s="5" t="inlineStr">
        <is>
          <t>IT</t>
        </is>
      </c>
      <c r="G2929" s="5" t="inlineStr">
        <is>
          <t>DevOps Engineer</t>
        </is>
      </c>
      <c r="H2929" s="5" t="inlineStr">
        <is>
          <t>1</t>
        </is>
      </c>
      <c r="I2929" s="5" t="inlineStr">
        <is>
          <t>Delhi</t>
        </is>
      </c>
      <c r="J2929" s="5" t="inlineStr">
        <is>
          <t>Full-Time</t>
        </is>
      </c>
      <c r="K2929" s="7" t="n">
        <v>44937</v>
      </c>
      <c r="L2929" s="7" t="inlineStr"/>
      <c r="M2929" s="5" t="inlineStr">
        <is>
          <t>Yes</t>
        </is>
      </c>
      <c r="N2929" s="5" t="inlineStr"/>
      <c r="O2929" s="8" t="inlineStr">
        <is>
          <t>146500</t>
        </is>
      </c>
      <c r="P2929" s="5" t="inlineStr">
        <is>
          <t>0</t>
        </is>
      </c>
      <c r="Q2929" s="5" t="inlineStr">
        <is>
          <t>4</t>
        </is>
      </c>
      <c r="R2929" s="5" t="inlineStr">
        <is>
          <t>10</t>
        </is>
      </c>
      <c r="S2929" s="5" t="inlineStr">
        <is>
          <t>36</t>
        </is>
      </c>
      <c r="T2929" s="5" t="inlineStr">
        <is>
          <t>8</t>
        </is>
      </c>
      <c r="U2929" s="5" t="inlineStr">
        <is>
          <t>OK</t>
        </is>
      </c>
    </row>
    <row r="2930">
      <c r="A2930" s="5" t="inlineStr">
        <is>
          <t>E01808</t>
        </is>
      </c>
      <c r="B2930" s="5" t="inlineStr">
        <is>
          <t>Female</t>
        </is>
      </c>
      <c r="C2930" s="6" t="inlineStr">
        <is>
          <t>43</t>
        </is>
      </c>
      <c r="D2930" s="5" t="inlineStr">
        <is>
          <t>Married</t>
        </is>
      </c>
      <c r="E2930" s="5" t="inlineStr">
        <is>
          <t>High School</t>
        </is>
      </c>
      <c r="F2930" s="5" t="inlineStr">
        <is>
          <t>Sales</t>
        </is>
      </c>
      <c r="G2930" s="5" t="inlineStr">
        <is>
          <t>Business Development</t>
        </is>
      </c>
      <c r="H2930" s="5" t="inlineStr">
        <is>
          <t>6</t>
        </is>
      </c>
      <c r="I2930" s="5" t="inlineStr">
        <is>
          <t>Chennai</t>
        </is>
      </c>
      <c r="J2930" s="5" t="inlineStr">
        <is>
          <t>Full-Time</t>
        </is>
      </c>
      <c r="K2930" s="7" t="n">
        <v>45388</v>
      </c>
      <c r="L2930" s="7" t="inlineStr"/>
      <c r="M2930" s="5" t="inlineStr">
        <is>
          <t>Yes</t>
        </is>
      </c>
      <c r="N2930" s="5" t="inlineStr"/>
      <c r="O2930" s="8" t="inlineStr">
        <is>
          <t>138500</t>
        </is>
      </c>
      <c r="P2930" s="5" t="inlineStr">
        <is>
          <t>0</t>
        </is>
      </c>
      <c r="Q2930" s="5" t="inlineStr">
        <is>
          <t>4</t>
        </is>
      </c>
      <c r="R2930" s="5" t="inlineStr">
        <is>
          <t>6</t>
        </is>
      </c>
      <c r="S2930" s="5" t="inlineStr">
        <is>
          <t>21</t>
        </is>
      </c>
      <c r="T2930" s="5" t="inlineStr">
        <is>
          <t>13</t>
        </is>
      </c>
      <c r="U2930" s="5" t="inlineStr">
        <is>
          <t>OK</t>
        </is>
      </c>
    </row>
    <row r="2931">
      <c r="A2931" s="5" t="inlineStr">
        <is>
          <t>E00924</t>
        </is>
      </c>
      <c r="B2931" s="5" t="inlineStr">
        <is>
          <t>Male</t>
        </is>
      </c>
      <c r="C2931" s="6" t="inlineStr">
        <is>
          <t>32</t>
        </is>
      </c>
      <c r="D2931" s="5" t="inlineStr">
        <is>
          <t>Married</t>
        </is>
      </c>
      <c r="E2931" s="5" t="inlineStr">
        <is>
          <t>Bachelor</t>
        </is>
      </c>
      <c r="F2931" s="5" t="inlineStr">
        <is>
          <t>Finance</t>
        </is>
      </c>
      <c r="G2931" s="5" t="inlineStr">
        <is>
          <t>Credit Analyst</t>
        </is>
      </c>
      <c r="H2931" s="5" t="inlineStr">
        <is>
          <t>4</t>
        </is>
      </c>
      <c r="I2931" s="5" t="inlineStr">
        <is>
          <t>Mumbai</t>
        </is>
      </c>
      <c r="J2931" s="5" t="inlineStr">
        <is>
          <t>Full-Time</t>
        </is>
      </c>
      <c r="K2931" s="7" t="n">
        <v>44608</v>
      </c>
      <c r="L2931" s="7" t="inlineStr"/>
      <c r="M2931" s="5" t="inlineStr">
        <is>
          <t>Yes</t>
        </is>
      </c>
      <c r="N2931" s="5" t="inlineStr"/>
      <c r="O2931" s="8" t="inlineStr">
        <is>
          <t>117500</t>
        </is>
      </c>
      <c r="P2931" s="5" t="inlineStr">
        <is>
          <t>20</t>
        </is>
      </c>
      <c r="Q2931" s="5" t="inlineStr">
        <is>
          <t>4</t>
        </is>
      </c>
      <c r="R2931" s="5" t="inlineStr">
        <is>
          <t>4</t>
        </is>
      </c>
      <c r="S2931" s="5" t="inlineStr">
        <is>
          <t>47</t>
        </is>
      </c>
      <c r="T2931" s="5" t="inlineStr">
        <is>
          <t>3</t>
        </is>
      </c>
      <c r="U2931" s="5" t="inlineStr">
        <is>
          <t>OK</t>
        </is>
      </c>
    </row>
    <row r="2932">
      <c r="A2932" s="5" t="inlineStr">
        <is>
          <t>E02431</t>
        </is>
      </c>
      <c r="B2932" s="5" t="inlineStr">
        <is>
          <t>Female</t>
        </is>
      </c>
      <c r="C2932" s="6" t="inlineStr">
        <is>
          <t>38</t>
        </is>
      </c>
      <c r="D2932" s="5" t="inlineStr">
        <is>
          <t>Married</t>
        </is>
      </c>
      <c r="E2932" s="5" t="inlineStr">
        <is>
          <t>Master</t>
        </is>
      </c>
      <c r="F2932" s="5" t="inlineStr"/>
      <c r="G2932" s="5" t="inlineStr">
        <is>
          <t>Software Engineer</t>
        </is>
      </c>
      <c r="H2932" s="5" t="inlineStr">
        <is>
          <t>4</t>
        </is>
      </c>
      <c r="I2932" s="5" t="inlineStr">
        <is>
          <t>Hyderabad</t>
        </is>
      </c>
      <c r="J2932" s="5" t="inlineStr">
        <is>
          <t>Full-Time</t>
        </is>
      </c>
      <c r="K2932" s="7" t="n">
        <v>45899</v>
      </c>
      <c r="L2932" s="7" t="inlineStr"/>
      <c r="M2932" s="5" t="inlineStr">
        <is>
          <t>Yes</t>
        </is>
      </c>
      <c r="N2932" s="5" t="inlineStr"/>
      <c r="O2932" s="8" t="inlineStr">
        <is>
          <t>165500</t>
        </is>
      </c>
      <c r="P2932" s="5" t="inlineStr">
        <is>
          <t>0</t>
        </is>
      </c>
      <c r="Q2932" s="5" t="inlineStr">
        <is>
          <t>5</t>
        </is>
      </c>
      <c r="R2932" s="5" t="inlineStr">
        <is>
          <t>8</t>
        </is>
      </c>
      <c r="S2932" s="5" t="inlineStr">
        <is>
          <t>4</t>
        </is>
      </c>
      <c r="T2932" s="5" t="inlineStr">
        <is>
          <t>16</t>
        </is>
      </c>
      <c r="U2932" s="5" t="inlineStr">
        <is>
          <t>Blank department</t>
        </is>
      </c>
    </row>
    <row r="2933">
      <c r="A2933" s="5" t="inlineStr">
        <is>
          <t>E02680</t>
        </is>
      </c>
      <c r="B2933" s="5" t="inlineStr">
        <is>
          <t>Male</t>
        </is>
      </c>
      <c r="C2933" s="6" t="inlineStr">
        <is>
          <t>28</t>
        </is>
      </c>
      <c r="D2933" s="5" t="inlineStr">
        <is>
          <t>Single</t>
        </is>
      </c>
      <c r="E2933" s="5" t="inlineStr">
        <is>
          <t>PhD</t>
        </is>
      </c>
      <c r="F2933" s="5" t="inlineStr">
        <is>
          <t>Human Resources</t>
        </is>
      </c>
      <c r="G2933" s="5" t="inlineStr">
        <is>
          <t>Recruiter</t>
        </is>
      </c>
      <c r="H2933" s="5" t="inlineStr">
        <is>
          <t>1</t>
        </is>
      </c>
      <c r="I2933" s="5" t="inlineStr">
        <is>
          <t>Hyderabad</t>
        </is>
      </c>
      <c r="J2933" s="5" t="inlineStr">
        <is>
          <t>Full-Time</t>
        </is>
      </c>
      <c r="K2933" s="7" t="n">
        <v>44697</v>
      </c>
      <c r="L2933" s="7" t="inlineStr"/>
      <c r="M2933" s="5" t="inlineStr">
        <is>
          <t>Yes</t>
        </is>
      </c>
      <c r="N2933" s="5" t="inlineStr"/>
      <c r="O2933" s="8" t="inlineStr">
        <is>
          <t>63500</t>
        </is>
      </c>
      <c r="P2933" s="5" t="inlineStr">
        <is>
          <t>0</t>
        </is>
      </c>
      <c r="Q2933" s="5" t="inlineStr">
        <is>
          <t>3</t>
        </is>
      </c>
      <c r="R2933" s="5" t="inlineStr">
        <is>
          <t>9</t>
        </is>
      </c>
      <c r="S2933" s="5" t="inlineStr">
        <is>
          <t>44</t>
        </is>
      </c>
      <c r="T2933" s="5" t="inlineStr">
        <is>
          <t>0</t>
        </is>
      </c>
      <c r="U2933" s="5" t="inlineStr">
        <is>
          <t>OK</t>
        </is>
      </c>
    </row>
    <row r="2934">
      <c r="A2934" s="5" t="inlineStr">
        <is>
          <t>E00896</t>
        </is>
      </c>
      <c r="B2934" s="5" t="inlineStr">
        <is>
          <t>Female</t>
        </is>
      </c>
      <c r="C2934" s="6" t="inlineStr">
        <is>
          <t>36</t>
        </is>
      </c>
      <c r="D2934" s="5" t="inlineStr">
        <is>
          <t>Married</t>
        </is>
      </c>
      <c r="E2934" s="5" t="inlineStr">
        <is>
          <t>Diploma</t>
        </is>
      </c>
      <c r="F2934" s="5" t="inlineStr">
        <is>
          <t>Operations</t>
        </is>
      </c>
      <c r="G2934" s="5" t="inlineStr">
        <is>
          <t>Operations Analyst</t>
        </is>
      </c>
      <c r="H2934" s="5" t="inlineStr">
        <is>
          <t>2</t>
        </is>
      </c>
      <c r="I2934" s="5" t="inlineStr">
        <is>
          <t>Remote</t>
        </is>
      </c>
      <c r="J2934" s="5" t="inlineStr">
        <is>
          <t>Full-Time</t>
        </is>
      </c>
      <c r="K2934" s="7" t="n">
        <v>44822</v>
      </c>
      <c r="L2934" s="7" t="inlineStr"/>
      <c r="M2934" s="5" t="inlineStr">
        <is>
          <t>Yes</t>
        </is>
      </c>
      <c r="N2934" s="5" t="inlineStr"/>
      <c r="O2934" s="8" t="inlineStr">
        <is>
          <t>113000</t>
        </is>
      </c>
      <c r="P2934" s="5" t="inlineStr">
        <is>
          <t>0</t>
        </is>
      </c>
      <c r="Q2934" s="5" t="inlineStr">
        <is>
          <t>4</t>
        </is>
      </c>
      <c r="R2934" s="5" t="inlineStr">
        <is>
          <t>6</t>
        </is>
      </c>
      <c r="S2934" s="5" t="inlineStr">
        <is>
          <t>40</t>
        </is>
      </c>
      <c r="T2934" s="5" t="inlineStr">
        <is>
          <t>13</t>
        </is>
      </c>
      <c r="U2934" s="5" t="inlineStr">
        <is>
          <t>OK</t>
        </is>
      </c>
    </row>
    <row r="2935">
      <c r="A2935" s="5" t="inlineStr">
        <is>
          <t>E02182</t>
        </is>
      </c>
      <c r="B2935" s="5" t="inlineStr">
        <is>
          <t>Male</t>
        </is>
      </c>
      <c r="C2935" s="6" t="inlineStr">
        <is>
          <t>40</t>
        </is>
      </c>
      <c r="D2935" s="5" t="inlineStr">
        <is>
          <t>Single</t>
        </is>
      </c>
      <c r="E2935" s="5" t="inlineStr">
        <is>
          <t>Bachelor</t>
        </is>
      </c>
      <c r="F2935" s="5" t="inlineStr">
        <is>
          <t>Customer Support</t>
        </is>
      </c>
      <c r="G2935" s="5" t="inlineStr">
        <is>
          <t>Support Agent</t>
        </is>
      </c>
      <c r="H2935" s="5" t="inlineStr">
        <is>
          <t>4</t>
        </is>
      </c>
      <c r="I2935" s="5" t="inlineStr">
        <is>
          <t>Bengaluru</t>
        </is>
      </c>
      <c r="J2935" s="5" t="inlineStr">
        <is>
          <t>Full-Time</t>
        </is>
      </c>
      <c r="K2935" s="7" t="n">
        <v>45201</v>
      </c>
      <c r="L2935" s="7" t="inlineStr"/>
      <c r="M2935" s="5" t="inlineStr">
        <is>
          <t>Yes</t>
        </is>
      </c>
      <c r="N2935" s="5" t="inlineStr"/>
      <c r="O2935" s="8" t="inlineStr">
        <is>
          <t>73500</t>
        </is>
      </c>
      <c r="P2935" s="5" t="inlineStr">
        <is>
          <t>5</t>
        </is>
      </c>
      <c r="Q2935" s="5" t="inlineStr">
        <is>
          <t>4</t>
        </is>
      </c>
      <c r="R2935" s="5" t="inlineStr">
        <is>
          <t>5</t>
        </is>
      </c>
      <c r="S2935" s="5" t="inlineStr">
        <is>
          <t>27</t>
        </is>
      </c>
      <c r="T2935" s="5" t="inlineStr">
        <is>
          <t>4</t>
        </is>
      </c>
      <c r="U2935" s="5" t="inlineStr">
        <is>
          <t>OK</t>
        </is>
      </c>
    </row>
    <row r="2936">
      <c r="A2936" s="5" t="inlineStr">
        <is>
          <t>E02882</t>
        </is>
      </c>
      <c r="B2936" s="5" t="inlineStr">
        <is>
          <t>Female</t>
        </is>
      </c>
      <c r="C2936" s="6" t="inlineStr">
        <is>
          <t>43</t>
        </is>
      </c>
      <c r="D2936" s="5" t="inlineStr">
        <is>
          <t>Single</t>
        </is>
      </c>
      <c r="E2936" s="5" t="inlineStr">
        <is>
          <t>Diploma</t>
        </is>
      </c>
      <c r="F2936" s="5" t="inlineStr">
        <is>
          <t>IT</t>
        </is>
      </c>
      <c r="G2936" s="5" t="inlineStr">
        <is>
          <t>IT Support</t>
        </is>
      </c>
      <c r="H2936" s="5" t="inlineStr">
        <is>
          <t>7</t>
        </is>
      </c>
      <c r="I2936" s="5" t="inlineStr">
        <is>
          <t>Chennai</t>
        </is>
      </c>
      <c r="J2936" s="5" t="inlineStr">
        <is>
          <t>Full-Time</t>
        </is>
      </c>
      <c r="K2936" s="7" t="n">
        <v>44218</v>
      </c>
      <c r="L2936" s="7" t="inlineStr"/>
      <c r="M2936" s="5" t="inlineStr">
        <is>
          <t>Yes</t>
        </is>
      </c>
      <c r="N2936" s="5" t="inlineStr"/>
      <c r="O2936" s="8" t="inlineStr">
        <is>
          <t>166500</t>
        </is>
      </c>
      <c r="P2936" s="5" t="inlineStr">
        <is>
          <t>0</t>
        </is>
      </c>
      <c r="Q2936" s="5" t="inlineStr">
        <is>
          <t>4</t>
        </is>
      </c>
      <c r="R2936" s="5" t="inlineStr">
        <is>
          <t>7</t>
        </is>
      </c>
      <c r="S2936" s="5" t="inlineStr">
        <is>
          <t>60</t>
        </is>
      </c>
      <c r="T2936" s="5" t="inlineStr">
        <is>
          <t>13</t>
        </is>
      </c>
      <c r="U2936" s="5" t="inlineStr">
        <is>
          <t>OK</t>
        </is>
      </c>
    </row>
    <row r="2937">
      <c r="A2937" s="5" t="inlineStr">
        <is>
          <t>E00155</t>
        </is>
      </c>
      <c r="B2937" s="5" t="inlineStr">
        <is>
          <t>Female</t>
        </is>
      </c>
      <c r="C2937" s="6" t="inlineStr">
        <is>
          <t>34</t>
        </is>
      </c>
      <c r="D2937" s="5" t="inlineStr">
        <is>
          <t>Single</t>
        </is>
      </c>
      <c r="E2937" s="5" t="inlineStr">
        <is>
          <t>PhD</t>
        </is>
      </c>
      <c r="F2937" s="5" t="inlineStr">
        <is>
          <t>Operations</t>
        </is>
      </c>
      <c r="G2937" s="5" t="inlineStr">
        <is>
          <t>Operations Analyst</t>
        </is>
      </c>
      <c r="H2937" s="5" t="inlineStr">
        <is>
          <t>1</t>
        </is>
      </c>
      <c r="I2937" s="5" t="inlineStr">
        <is>
          <t>Bengaluru</t>
        </is>
      </c>
      <c r="J2937" s="5" t="inlineStr">
        <is>
          <t>Full-Time</t>
        </is>
      </c>
      <c r="K2937" s="7" t="n">
        <v>44389</v>
      </c>
      <c r="L2937" s="7" t="inlineStr"/>
      <c r="M2937" s="5" t="inlineStr">
        <is>
          <t>Yes</t>
        </is>
      </c>
      <c r="N2937" s="5" t="inlineStr"/>
      <c r="O2937" s="8" t="inlineStr">
        <is>
          <t>58000</t>
        </is>
      </c>
      <c r="P2937" s="5" t="inlineStr">
        <is>
          <t>10</t>
        </is>
      </c>
      <c r="Q2937" s="5" t="inlineStr">
        <is>
          <t>4</t>
        </is>
      </c>
      <c r="R2937" s="5" t="inlineStr">
        <is>
          <t>5</t>
        </is>
      </c>
      <c r="S2937" s="5" t="inlineStr">
        <is>
          <t>54</t>
        </is>
      </c>
      <c r="T2937" s="5" t="inlineStr">
        <is>
          <t>1</t>
        </is>
      </c>
      <c r="U2937" s="5" t="inlineStr">
        <is>
          <t>OK</t>
        </is>
      </c>
    </row>
    <row r="2938">
      <c r="A2938" s="5" t="inlineStr">
        <is>
          <t>E00303</t>
        </is>
      </c>
      <c r="B2938" s="5" t="inlineStr">
        <is>
          <t>Female</t>
        </is>
      </c>
      <c r="C2938" s="6" t="inlineStr">
        <is>
          <t>36</t>
        </is>
      </c>
      <c r="D2938" s="5" t="inlineStr">
        <is>
          <t>Single</t>
        </is>
      </c>
      <c r="E2938" s="5" t="inlineStr">
        <is>
          <t>PhD</t>
        </is>
      </c>
      <c r="F2938" s="5" t="inlineStr">
        <is>
          <t>Human Resources</t>
        </is>
      </c>
      <c r="G2938" s="5" t="inlineStr">
        <is>
          <t>HR Analyst</t>
        </is>
      </c>
      <c r="H2938" s="5" t="inlineStr">
        <is>
          <t>2</t>
        </is>
      </c>
      <c r="I2938" s="5" t="inlineStr">
        <is>
          <t>Delhi</t>
        </is>
      </c>
      <c r="J2938" s="5" t="inlineStr">
        <is>
          <t>Full-Time</t>
        </is>
      </c>
      <c r="K2938" s="7" t="n">
        <v>44233</v>
      </c>
      <c r="L2938" s="7" t="n">
        <v>44311</v>
      </c>
      <c r="M2938" s="5" t="inlineStr">
        <is>
          <t>No</t>
        </is>
      </c>
      <c r="N2938" s="5" t="inlineStr">
        <is>
          <t>Performance / Termination</t>
        </is>
      </c>
      <c r="O2938" s="8" t="inlineStr">
        <is>
          <t>95000</t>
        </is>
      </c>
      <c r="P2938" s="5" t="inlineStr">
        <is>
          <t>20</t>
        </is>
      </c>
      <c r="Q2938" s="5" t="inlineStr">
        <is>
          <t>4</t>
        </is>
      </c>
      <c r="R2938" s="5" t="inlineStr">
        <is>
          <t>3</t>
        </is>
      </c>
      <c r="S2938" s="5" t="inlineStr">
        <is>
          <t>2</t>
        </is>
      </c>
      <c r="T2938" s="5" t="inlineStr">
        <is>
          <t>11</t>
        </is>
      </c>
      <c r="U2938" s="5" t="inlineStr">
        <is>
          <t>OK</t>
        </is>
      </c>
    </row>
    <row r="2939">
      <c r="A2939" s="5" t="inlineStr">
        <is>
          <t>E02520</t>
        </is>
      </c>
      <c r="B2939" s="5" t="inlineStr">
        <is>
          <t>Female</t>
        </is>
      </c>
      <c r="C2939" s="6" t="inlineStr">
        <is>
          <t>32</t>
        </is>
      </c>
      <c r="D2939" s="5" t="inlineStr">
        <is>
          <t>Married</t>
        </is>
      </c>
      <c r="E2939" s="5" t="inlineStr">
        <is>
          <t>High School</t>
        </is>
      </c>
      <c r="F2939" s="5" t="inlineStr">
        <is>
          <t>Executive</t>
        </is>
      </c>
      <c r="G2939" s="5" t="inlineStr">
        <is>
          <t>COO</t>
        </is>
      </c>
      <c r="H2939" s="5" t="inlineStr">
        <is>
          <t>5</t>
        </is>
      </c>
      <c r="I2939" s="5" t="inlineStr">
        <is>
          <t>Remote</t>
        </is>
      </c>
      <c r="J2939" s="5" t="inlineStr">
        <is>
          <t>Full-Time</t>
        </is>
      </c>
      <c r="K2939" s="7" t="n">
        <v>44819</v>
      </c>
      <c r="L2939" s="7" t="inlineStr"/>
      <c r="M2939" s="5" t="inlineStr">
        <is>
          <t>Yes</t>
        </is>
      </c>
      <c r="N2939" s="5" t="inlineStr"/>
      <c r="O2939" s="8" t="inlineStr">
        <is>
          <t>311500</t>
        </is>
      </c>
      <c r="P2939" s="5" t="inlineStr">
        <is>
          <t>0</t>
        </is>
      </c>
      <c r="Q2939" s="5" t="inlineStr">
        <is>
          <t>4</t>
        </is>
      </c>
      <c r="R2939" s="5" t="inlineStr">
        <is>
          <t>8</t>
        </is>
      </c>
      <c r="S2939" s="5" t="inlineStr">
        <is>
          <t>40</t>
        </is>
      </c>
      <c r="T2939" s="5" t="inlineStr">
        <is>
          <t>7</t>
        </is>
      </c>
      <c r="U2939" s="5" t="inlineStr">
        <is>
          <t>OK</t>
        </is>
      </c>
    </row>
    <row r="2940">
      <c r="A2940" s="5" t="inlineStr">
        <is>
          <t>E01368</t>
        </is>
      </c>
      <c r="B2940" s="5" t="inlineStr">
        <is>
          <t>Female</t>
        </is>
      </c>
      <c r="C2940" s="6" t="inlineStr">
        <is>
          <t>27</t>
        </is>
      </c>
      <c r="D2940" s="5" t="inlineStr">
        <is>
          <t>Single</t>
        </is>
      </c>
      <c r="E2940" s="5" t="inlineStr">
        <is>
          <t>Master</t>
        </is>
      </c>
      <c r="F2940" s="5" t="inlineStr">
        <is>
          <t>Customer Support</t>
        </is>
      </c>
      <c r="G2940" s="5" t="inlineStr">
        <is>
          <t>Support Agent</t>
        </is>
      </c>
      <c r="H2940" s="5" t="inlineStr">
        <is>
          <t>1</t>
        </is>
      </c>
      <c r="I2940" s="5" t="inlineStr">
        <is>
          <t>Mumbai</t>
        </is>
      </c>
      <c r="J2940" s="5" t="inlineStr">
        <is>
          <t>Full-Time</t>
        </is>
      </c>
      <c r="K2940" s="7" t="n">
        <v>45101</v>
      </c>
      <c r="L2940" s="7" t="inlineStr"/>
      <c r="M2940" s="5" t="inlineStr">
        <is>
          <t>Yes</t>
        </is>
      </c>
      <c r="N2940" s="5" t="inlineStr"/>
      <c r="O2940" s="8" t="inlineStr">
        <is>
          <t>62500</t>
        </is>
      </c>
      <c r="P2940" s="5" t="inlineStr">
        <is>
          <t>15</t>
        </is>
      </c>
      <c r="Q2940" s="5" t="inlineStr">
        <is>
          <t>3</t>
        </is>
      </c>
      <c r="R2940" s="5" t="inlineStr">
        <is>
          <t>7</t>
        </is>
      </c>
      <c r="S2940" s="5" t="inlineStr">
        <is>
          <t>30</t>
        </is>
      </c>
      <c r="T2940" s="5" t="inlineStr">
        <is>
          <t>2</t>
        </is>
      </c>
      <c r="U2940" s="5" t="inlineStr">
        <is>
          <t>OK</t>
        </is>
      </c>
    </row>
    <row r="2941">
      <c r="A2941" s="5" t="inlineStr">
        <is>
          <t>E01191</t>
        </is>
      </c>
      <c r="B2941" s="5" t="inlineStr">
        <is>
          <t>Female</t>
        </is>
      </c>
      <c r="C2941" s="6" t="inlineStr">
        <is>
          <t>35</t>
        </is>
      </c>
      <c r="D2941" s="5" t="inlineStr">
        <is>
          <t>Married</t>
        </is>
      </c>
      <c r="E2941" s="5" t="inlineStr">
        <is>
          <t>High School</t>
        </is>
      </c>
      <c r="F2941" s="5" t="inlineStr">
        <is>
          <t>Research &amp; Development</t>
        </is>
      </c>
      <c r="G2941" s="5" t="inlineStr">
        <is>
          <t>Data Scientist</t>
        </is>
      </c>
      <c r="H2941" s="5" t="inlineStr">
        <is>
          <t>3</t>
        </is>
      </c>
      <c r="I2941" s="5" t="inlineStr">
        <is>
          <t>Remote</t>
        </is>
      </c>
      <c r="J2941" s="5" t="inlineStr">
        <is>
          <t>Full-Time</t>
        </is>
      </c>
      <c r="K2941" s="7" t="n">
        <v>44476</v>
      </c>
      <c r="L2941" s="7" t="inlineStr"/>
      <c r="M2941" s="5" t="inlineStr">
        <is>
          <t>Yes</t>
        </is>
      </c>
      <c r="N2941" s="5" t="inlineStr"/>
      <c r="O2941" s="8" t="inlineStr">
        <is>
          <t>161000</t>
        </is>
      </c>
      <c r="P2941" s="5" t="inlineStr">
        <is>
          <t>0</t>
        </is>
      </c>
      <c r="Q2941" s="5" t="inlineStr">
        <is>
          <t>4</t>
        </is>
      </c>
      <c r="R2941" s="5" t="inlineStr">
        <is>
          <t>5</t>
        </is>
      </c>
      <c r="S2941" s="5" t="inlineStr">
        <is>
          <t>51</t>
        </is>
      </c>
      <c r="T2941" s="5" t="inlineStr">
        <is>
          <t>9</t>
        </is>
      </c>
      <c r="U2941" s="5" t="inlineStr">
        <is>
          <t>OK</t>
        </is>
      </c>
    </row>
    <row r="2942">
      <c r="A2942" s="5" t="inlineStr">
        <is>
          <t>E01782</t>
        </is>
      </c>
      <c r="B2942" s="5" t="inlineStr">
        <is>
          <t>Male</t>
        </is>
      </c>
      <c r="C2942" s="6" t="inlineStr">
        <is>
          <t>38</t>
        </is>
      </c>
      <c r="D2942" s="5" t="inlineStr">
        <is>
          <t>Married</t>
        </is>
      </c>
      <c r="E2942" s="5" t="inlineStr">
        <is>
          <t>Diploma</t>
        </is>
      </c>
      <c r="F2942" s="5" t="inlineStr">
        <is>
          <t>IT</t>
        </is>
      </c>
      <c r="G2942" s="5" t="inlineStr">
        <is>
          <t>Data Analyst</t>
        </is>
      </c>
      <c r="H2942" s="5" t="inlineStr">
        <is>
          <t>7</t>
        </is>
      </c>
      <c r="I2942" s="5" t="inlineStr">
        <is>
          <t>Chennai</t>
        </is>
      </c>
      <c r="J2942" s="5" t="inlineStr">
        <is>
          <t>Full-Time</t>
        </is>
      </c>
      <c r="K2942" s="7" t="n">
        <v>44879</v>
      </c>
      <c r="L2942" s="7" t="inlineStr"/>
      <c r="M2942" s="5" t="inlineStr">
        <is>
          <t>Yes</t>
        </is>
      </c>
      <c r="N2942" s="5" t="inlineStr"/>
      <c r="O2942" s="8" t="inlineStr">
        <is>
          <t>191000</t>
        </is>
      </c>
      <c r="P2942" s="5" t="inlineStr">
        <is>
          <t>5</t>
        </is>
      </c>
      <c r="Q2942" s="5" t="inlineStr">
        <is>
          <t>3</t>
        </is>
      </c>
      <c r="R2942" s="5" t="inlineStr">
        <is>
          <t>6</t>
        </is>
      </c>
      <c r="S2942" s="5" t="inlineStr">
        <is>
          <t>38</t>
        </is>
      </c>
      <c r="T2942" s="5" t="inlineStr">
        <is>
          <t>0</t>
        </is>
      </c>
      <c r="U2942" s="5" t="inlineStr">
        <is>
          <t>OK</t>
        </is>
      </c>
    </row>
    <row r="2943">
      <c r="A2943" s="5" t="inlineStr">
        <is>
          <t>E01328</t>
        </is>
      </c>
      <c r="B2943" s="5" t="inlineStr">
        <is>
          <t>Female</t>
        </is>
      </c>
      <c r="C2943" s="6" t="inlineStr">
        <is>
          <t>29</t>
        </is>
      </c>
      <c r="D2943" s="5" t="inlineStr">
        <is>
          <t>Married</t>
        </is>
      </c>
      <c r="E2943" s="5" t="inlineStr">
        <is>
          <t>Master</t>
        </is>
      </c>
      <c r="F2943" s="5" t="inlineStr">
        <is>
          <t>Marketing</t>
        </is>
      </c>
      <c r="G2943" s="5" t="inlineStr">
        <is>
          <t>Marketing Analyst</t>
        </is>
      </c>
      <c r="H2943" s="5" t="inlineStr">
        <is>
          <t>2</t>
        </is>
      </c>
      <c r="I2943" s="5" t="inlineStr">
        <is>
          <t>Hyderabad</t>
        </is>
      </c>
      <c r="J2943" s="5" t="inlineStr">
        <is>
          <t>Full-Time</t>
        </is>
      </c>
      <c r="K2943" s="7" t="n">
        <v>45728</v>
      </c>
      <c r="L2943" s="7" t="inlineStr"/>
      <c r="M2943" s="5" t="inlineStr">
        <is>
          <t>Yes</t>
        </is>
      </c>
      <c r="N2943" s="5" t="inlineStr"/>
      <c r="O2943" s="8" t="inlineStr">
        <is>
          <t>60500</t>
        </is>
      </c>
      <c r="P2943" s="5" t="inlineStr">
        <is>
          <t>0</t>
        </is>
      </c>
      <c r="Q2943" s="5" t="inlineStr">
        <is>
          <t>4</t>
        </is>
      </c>
      <c r="R2943" s="5" t="inlineStr">
        <is>
          <t>5</t>
        </is>
      </c>
      <c r="S2943" s="5" t="inlineStr">
        <is>
          <t>9</t>
        </is>
      </c>
      <c r="T2943" s="5" t="inlineStr">
        <is>
          <t>10</t>
        </is>
      </c>
      <c r="U2943" s="5" t="inlineStr">
        <is>
          <t>Duplicate</t>
        </is>
      </c>
    </row>
    <row r="2944">
      <c r="A2944" s="5" t="inlineStr">
        <is>
          <t>E01312</t>
        </is>
      </c>
      <c r="B2944" s="5" t="inlineStr">
        <is>
          <t>Female</t>
        </is>
      </c>
      <c r="C2944" s="6" t="inlineStr">
        <is>
          <t>36</t>
        </is>
      </c>
      <c r="D2944" s="5" t="inlineStr">
        <is>
          <t>Married</t>
        </is>
      </c>
      <c r="E2944" s="5" t="inlineStr">
        <is>
          <t>Bachelor</t>
        </is>
      </c>
      <c r="F2944" s="5" t="inlineStr">
        <is>
          <t>Research &amp; Development</t>
        </is>
      </c>
      <c r="G2944" s="5" t="inlineStr">
        <is>
          <t>Research Scientist</t>
        </is>
      </c>
      <c r="H2944" s="5" t="inlineStr">
        <is>
          <t>2</t>
        </is>
      </c>
      <c r="I2944" s="5" t="inlineStr">
        <is>
          <t>Bengaluru</t>
        </is>
      </c>
      <c r="J2944" s="5" t="inlineStr">
        <is>
          <t>Part-Time</t>
        </is>
      </c>
      <c r="K2944" s="7" t="n">
        <v>45221</v>
      </c>
      <c r="L2944" s="7" t="inlineStr"/>
      <c r="M2944" s="5" t="inlineStr">
        <is>
          <t>Yes</t>
        </is>
      </c>
      <c r="N2944" s="5" t="inlineStr"/>
      <c r="O2944" s="8" t="inlineStr">
        <is>
          <t>114000</t>
        </is>
      </c>
      <c r="P2944" s="5" t="inlineStr">
        <is>
          <t>5</t>
        </is>
      </c>
      <c r="Q2944" s="5" t="inlineStr">
        <is>
          <t>5</t>
        </is>
      </c>
      <c r="R2944" s="5" t="inlineStr">
        <is>
          <t>3</t>
        </is>
      </c>
      <c r="S2944" s="5" t="inlineStr">
        <is>
          <t>26</t>
        </is>
      </c>
      <c r="T2944" s="5" t="inlineStr">
        <is>
          <t>15</t>
        </is>
      </c>
      <c r="U2944" s="5" t="inlineStr">
        <is>
          <t>OK</t>
        </is>
      </c>
    </row>
    <row r="2945">
      <c r="A2945" s="5" t="inlineStr">
        <is>
          <t>E01787</t>
        </is>
      </c>
      <c r="B2945" s="5" t="inlineStr">
        <is>
          <t>Female</t>
        </is>
      </c>
      <c r="C2945" s="6" t="inlineStr">
        <is>
          <t>38</t>
        </is>
      </c>
      <c r="D2945" s="5" t="inlineStr">
        <is>
          <t>Married</t>
        </is>
      </c>
      <c r="E2945" s="5" t="inlineStr">
        <is>
          <t>Bachelor</t>
        </is>
      </c>
      <c r="F2945" s="5" t="inlineStr">
        <is>
          <t>IT</t>
        </is>
      </c>
      <c r="G2945" s="5" t="inlineStr">
        <is>
          <t>Data Analyst</t>
        </is>
      </c>
      <c r="H2945" s="5" t="inlineStr">
        <is>
          <t>3</t>
        </is>
      </c>
      <c r="I2945" s="5" t="inlineStr">
        <is>
          <t>Chennai</t>
        </is>
      </c>
      <c r="J2945" s="5" t="inlineStr">
        <is>
          <t>Full-Time</t>
        </is>
      </c>
      <c r="K2945" s="7" t="n">
        <v>43907</v>
      </c>
      <c r="L2945" s="7" t="inlineStr"/>
      <c r="M2945" s="5" t="inlineStr">
        <is>
          <t>Yes</t>
        </is>
      </c>
      <c r="N2945" s="5" t="inlineStr"/>
      <c r="O2945" s="8" t="inlineStr">
        <is>
          <t>178500</t>
        </is>
      </c>
      <c r="P2945" s="5" t="inlineStr">
        <is>
          <t>0</t>
        </is>
      </c>
      <c r="Q2945" s="5" t="inlineStr">
        <is>
          <t>5</t>
        </is>
      </c>
      <c r="R2945" s="5" t="inlineStr">
        <is>
          <t>5</t>
        </is>
      </c>
      <c r="S2945" s="5" t="inlineStr">
        <is>
          <t>70</t>
        </is>
      </c>
      <c r="T2945" s="5" t="inlineStr">
        <is>
          <t>1</t>
        </is>
      </c>
      <c r="U2945" s="5" t="inlineStr">
        <is>
          <t>OK</t>
        </is>
      </c>
    </row>
    <row r="2946">
      <c r="A2946" s="5" t="inlineStr">
        <is>
          <t>E02995</t>
        </is>
      </c>
      <c r="B2946" s="5" t="inlineStr">
        <is>
          <t>Male</t>
        </is>
      </c>
      <c r="C2946" s="6" t="inlineStr">
        <is>
          <t>30</t>
        </is>
      </c>
      <c r="D2946" s="5" t="inlineStr">
        <is>
          <t>Married</t>
        </is>
      </c>
      <c r="E2946" s="5" t="inlineStr">
        <is>
          <t>Diploma</t>
        </is>
      </c>
      <c r="F2946" s="5" t="inlineStr">
        <is>
          <t>Sales</t>
        </is>
      </c>
      <c r="G2946" s="5" t="inlineStr">
        <is>
          <t>Account Executive</t>
        </is>
      </c>
      <c r="H2946" s="5" t="inlineStr">
        <is>
          <t>4</t>
        </is>
      </c>
      <c r="I2946" s="5" t="inlineStr">
        <is>
          <t>Hyderabad</t>
        </is>
      </c>
      <c r="J2946" s="5" t="inlineStr">
        <is>
          <t>Full-Time</t>
        </is>
      </c>
      <c r="K2946" s="7" t="n">
        <v>44608</v>
      </c>
      <c r="L2946" s="7" t="inlineStr"/>
      <c r="M2946" s="5" t="inlineStr">
        <is>
          <t>Yes</t>
        </is>
      </c>
      <c r="N2946" s="5" t="inlineStr"/>
      <c r="O2946" s="8" t="inlineStr">
        <is>
          <t>101500</t>
        </is>
      </c>
      <c r="P2946" s="5" t="inlineStr">
        <is>
          <t>10</t>
        </is>
      </c>
      <c r="Q2946" s="5" t="inlineStr">
        <is>
          <t>3</t>
        </is>
      </c>
      <c r="R2946" s="5" t="inlineStr">
        <is>
          <t>3</t>
        </is>
      </c>
      <c r="S2946" s="5" t="inlineStr">
        <is>
          <t>47</t>
        </is>
      </c>
      <c r="T2946" s="5" t="inlineStr">
        <is>
          <t>0</t>
        </is>
      </c>
      <c r="U2946" s="5" t="inlineStr">
        <is>
          <t>OK</t>
        </is>
      </c>
    </row>
    <row r="2947">
      <c r="A2947" s="5" t="inlineStr">
        <is>
          <t>E02923</t>
        </is>
      </c>
      <c r="B2947" s="5" t="inlineStr">
        <is>
          <t>Male</t>
        </is>
      </c>
      <c r="C2947" s="6" t="inlineStr">
        <is>
          <t>46</t>
        </is>
      </c>
      <c r="D2947" s="5" t="inlineStr">
        <is>
          <t>Married</t>
        </is>
      </c>
      <c r="E2947" s="5" t="inlineStr">
        <is>
          <t>Master</t>
        </is>
      </c>
      <c r="F2947" s="5" t="inlineStr">
        <is>
          <t>IT</t>
        </is>
      </c>
      <c r="G2947" s="5" t="inlineStr">
        <is>
          <t>DevOps Engineer</t>
        </is>
      </c>
      <c r="H2947" s="5" t="inlineStr">
        <is>
          <t>7</t>
        </is>
      </c>
      <c r="I2947" s="5" t="inlineStr">
        <is>
          <t>Remote</t>
        </is>
      </c>
      <c r="J2947" s="5" t="inlineStr">
        <is>
          <t>Full-Time</t>
        </is>
      </c>
      <c r="K2947" s="7" t="n">
        <v>45627</v>
      </c>
      <c r="L2947" s="7" t="inlineStr"/>
      <c r="M2947" s="5" t="inlineStr">
        <is>
          <t>Yes</t>
        </is>
      </c>
      <c r="N2947" s="5" t="inlineStr"/>
      <c r="O2947" s="8" t="inlineStr">
        <is>
          <t>163000</t>
        </is>
      </c>
      <c r="P2947" s="5" t="inlineStr">
        <is>
          <t>5</t>
        </is>
      </c>
      <c r="Q2947" s="5" t="inlineStr">
        <is>
          <t>5</t>
        </is>
      </c>
      <c r="R2947" s="5" t="inlineStr">
        <is>
          <t>3</t>
        </is>
      </c>
      <c r="S2947" s="5" t="inlineStr">
        <is>
          <t>13</t>
        </is>
      </c>
      <c r="T2947" s="5" t="inlineStr">
        <is>
          <t>6</t>
        </is>
      </c>
      <c r="U2947" s="5" t="inlineStr">
        <is>
          <t>OK</t>
        </is>
      </c>
    </row>
    <row r="2948">
      <c r="A2948" s="5" t="inlineStr">
        <is>
          <t>E01608</t>
        </is>
      </c>
      <c r="B2948" s="5" t="inlineStr">
        <is>
          <t>Female</t>
        </is>
      </c>
      <c r="C2948" s="6" t="inlineStr">
        <is>
          <t>27</t>
        </is>
      </c>
      <c r="D2948" s="5" t="inlineStr">
        <is>
          <t>Married</t>
        </is>
      </c>
      <c r="E2948" s="5" t="inlineStr">
        <is>
          <t>Master</t>
        </is>
      </c>
      <c r="F2948" s="5" t="inlineStr">
        <is>
          <t>Human Resources</t>
        </is>
      </c>
      <c r="G2948" s="5" t="inlineStr">
        <is>
          <t>HR Generalist</t>
        </is>
      </c>
      <c r="H2948" s="5" t="inlineStr">
        <is>
          <t>3</t>
        </is>
      </c>
      <c r="I2948" s="5" t="inlineStr">
        <is>
          <t>Bengaluru</t>
        </is>
      </c>
      <c r="J2948" s="5" t="inlineStr">
        <is>
          <t>Full-Time</t>
        </is>
      </c>
      <c r="K2948" s="7" t="n">
        <v>44060</v>
      </c>
      <c r="L2948" s="7" t="inlineStr"/>
      <c r="M2948" s="5" t="inlineStr">
        <is>
          <t>Yes</t>
        </is>
      </c>
      <c r="N2948" s="5" t="inlineStr"/>
      <c r="O2948" s="8" t="inlineStr">
        <is>
          <t>79000</t>
        </is>
      </c>
      <c r="P2948" s="5" t="inlineStr">
        <is>
          <t>0</t>
        </is>
      </c>
      <c r="Q2948" s="5" t="inlineStr">
        <is>
          <t>3</t>
        </is>
      </c>
      <c r="R2948" s="5" t="inlineStr">
        <is>
          <t>7</t>
        </is>
      </c>
      <c r="S2948" s="5" t="inlineStr">
        <is>
          <t>65</t>
        </is>
      </c>
      <c r="T2948" s="5" t="inlineStr">
        <is>
          <t>7</t>
        </is>
      </c>
      <c r="U2948" s="5" t="inlineStr">
        <is>
          <t>OK</t>
        </is>
      </c>
    </row>
    <row r="2949">
      <c r="A2949" s="5" t="inlineStr">
        <is>
          <t>E01687</t>
        </is>
      </c>
      <c r="B2949" s="5" t="inlineStr">
        <is>
          <t>Female</t>
        </is>
      </c>
      <c r="C2949" s="6" t="inlineStr">
        <is>
          <t>30</t>
        </is>
      </c>
      <c r="D2949" s="5" t="inlineStr">
        <is>
          <t>Single</t>
        </is>
      </c>
      <c r="E2949" s="5" t="inlineStr">
        <is>
          <t>High School</t>
        </is>
      </c>
      <c r="F2949" s="5" t="inlineStr">
        <is>
          <t>Operations</t>
        </is>
      </c>
      <c r="G2949" s="5" t="inlineStr">
        <is>
          <t>Operations Analyst</t>
        </is>
      </c>
      <c r="H2949" s="5" t="inlineStr">
        <is>
          <t>3</t>
        </is>
      </c>
      <c r="I2949" s="5" t="inlineStr">
        <is>
          <t>Delhi</t>
        </is>
      </c>
      <c r="J2949" s="5" t="inlineStr">
        <is>
          <t>Full-Time</t>
        </is>
      </c>
      <c r="K2949" s="7" t="n">
        <v>45048</v>
      </c>
      <c r="L2949" s="7" t="inlineStr"/>
      <c r="M2949" s="5" t="inlineStr">
        <is>
          <t>Yes</t>
        </is>
      </c>
      <c r="N2949" s="5" t="inlineStr"/>
      <c r="O2949" s="8" t="inlineStr">
        <is>
          <t>90500</t>
        </is>
      </c>
      <c r="P2949" s="5" t="inlineStr">
        <is>
          <t>0</t>
        </is>
      </c>
      <c r="Q2949" s="5" t="inlineStr">
        <is>
          <t>4</t>
        </is>
      </c>
      <c r="R2949" s="5" t="inlineStr">
        <is>
          <t>5</t>
        </is>
      </c>
      <c r="S2949" s="5" t="inlineStr">
        <is>
          <t>32</t>
        </is>
      </c>
      <c r="T2949" s="5" t="inlineStr">
        <is>
          <t>9</t>
        </is>
      </c>
      <c r="U2949" s="5" t="inlineStr">
        <is>
          <t>OK</t>
        </is>
      </c>
    </row>
    <row r="2950">
      <c r="A2950" s="5" t="inlineStr">
        <is>
          <t>E01548</t>
        </is>
      </c>
      <c r="B2950" s="5" t="inlineStr">
        <is>
          <t>Female</t>
        </is>
      </c>
      <c r="C2950" s="6" t="inlineStr">
        <is>
          <t>33</t>
        </is>
      </c>
      <c r="D2950" s="5" t="inlineStr">
        <is>
          <t>Single</t>
        </is>
      </c>
      <c r="E2950" s="5" t="inlineStr">
        <is>
          <t>Master</t>
        </is>
      </c>
      <c r="F2950" s="5" t="inlineStr">
        <is>
          <t>IT</t>
        </is>
      </c>
      <c r="G2950" s="5" t="inlineStr">
        <is>
          <t>Data Analyst</t>
        </is>
      </c>
      <c r="H2950" s="5" t="inlineStr">
        <is>
          <t>3</t>
        </is>
      </c>
      <c r="I2950" s="5" t="inlineStr">
        <is>
          <t>Hyderabad</t>
        </is>
      </c>
      <c r="J2950" s="5" t="inlineStr">
        <is>
          <t>Full-Time</t>
        </is>
      </c>
      <c r="K2950" s="7" t="n">
        <v>45377</v>
      </c>
      <c r="L2950" s="7" t="inlineStr"/>
      <c r="M2950" s="5" t="inlineStr">
        <is>
          <t>Yes</t>
        </is>
      </c>
      <c r="N2950" s="5" t="inlineStr"/>
      <c r="O2950" s="8" t="inlineStr">
        <is>
          <t>186000</t>
        </is>
      </c>
      <c r="P2950" s="5" t="inlineStr">
        <is>
          <t>0</t>
        </is>
      </c>
      <c r="Q2950" s="5" t="inlineStr">
        <is>
          <t>4</t>
        </is>
      </c>
      <c r="R2950" s="5" t="inlineStr">
        <is>
          <t>2</t>
        </is>
      </c>
      <c r="S2950" s="5" t="inlineStr">
        <is>
          <t>21</t>
        </is>
      </c>
      <c r="T2950" s="5" t="inlineStr">
        <is>
          <t>8</t>
        </is>
      </c>
      <c r="U2950" s="5" t="inlineStr">
        <is>
          <t>OK</t>
        </is>
      </c>
    </row>
    <row r="2951">
      <c r="A2951" s="5" t="inlineStr">
        <is>
          <t>E02163</t>
        </is>
      </c>
      <c r="B2951" s="5" t="inlineStr">
        <is>
          <t>Male</t>
        </is>
      </c>
      <c r="C2951" s="6" t="inlineStr">
        <is>
          <t>34</t>
        </is>
      </c>
      <c r="D2951" s="5" t="inlineStr">
        <is>
          <t>Married</t>
        </is>
      </c>
      <c r="E2951" s="5" t="inlineStr">
        <is>
          <t>Diploma</t>
        </is>
      </c>
      <c r="F2951" s="5" t="inlineStr">
        <is>
          <t>Sales</t>
        </is>
      </c>
      <c r="G2951" s="5" t="inlineStr">
        <is>
          <t>Account Executive</t>
        </is>
      </c>
      <c r="H2951" s="5" t="inlineStr">
        <is>
          <t>3</t>
        </is>
      </c>
      <c r="I2951" s="5" t="inlineStr">
        <is>
          <t>Remote</t>
        </is>
      </c>
      <c r="J2951" s="5" t="inlineStr">
        <is>
          <t>Full-Time</t>
        </is>
      </c>
      <c r="K2951" s="7" t="n">
        <v>44985</v>
      </c>
      <c r="L2951" s="7" t="inlineStr"/>
      <c r="M2951" s="5" t="inlineStr">
        <is>
          <t>Yes</t>
        </is>
      </c>
      <c r="N2951" s="5" t="inlineStr"/>
      <c r="O2951" s="8" t="inlineStr">
        <is>
          <t>101500</t>
        </is>
      </c>
      <c r="P2951" s="5" t="inlineStr">
        <is>
          <t>0</t>
        </is>
      </c>
      <c r="Q2951" s="5" t="inlineStr">
        <is>
          <t>4</t>
        </is>
      </c>
      <c r="R2951" s="5" t="inlineStr">
        <is>
          <t>7</t>
        </is>
      </c>
      <c r="S2951" s="5" t="inlineStr">
        <is>
          <t>34</t>
        </is>
      </c>
      <c r="T2951" s="5" t="inlineStr">
        <is>
          <t>0</t>
        </is>
      </c>
      <c r="U2951" s="5" t="inlineStr">
        <is>
          <t>OK</t>
        </is>
      </c>
    </row>
    <row r="2952">
      <c r="A2952" s="5" t="inlineStr">
        <is>
          <t>E00295</t>
        </is>
      </c>
      <c r="B2952" s="5" t="inlineStr">
        <is>
          <t>Female</t>
        </is>
      </c>
      <c r="C2952" s="6" t="inlineStr">
        <is>
          <t>32</t>
        </is>
      </c>
      <c r="D2952" s="5" t="inlineStr">
        <is>
          <t>Single</t>
        </is>
      </c>
      <c r="E2952" s="5" t="inlineStr">
        <is>
          <t>High School</t>
        </is>
      </c>
      <c r="F2952" s="5" t="inlineStr">
        <is>
          <t>Research &amp; Development</t>
        </is>
      </c>
      <c r="G2952" s="5" t="inlineStr">
        <is>
          <t>Data Scientist</t>
        </is>
      </c>
      <c r="H2952" s="5" t="inlineStr">
        <is>
          <t>3</t>
        </is>
      </c>
      <c r="I2952" s="5" t="inlineStr">
        <is>
          <t>Hyderabad</t>
        </is>
      </c>
      <c r="J2952" s="5" t="inlineStr">
        <is>
          <t>Full-Time</t>
        </is>
      </c>
      <c r="K2952" s="7" t="n">
        <v>45522</v>
      </c>
      <c r="L2952" s="7" t="inlineStr"/>
      <c r="M2952" s="5" t="inlineStr">
        <is>
          <t>Yes</t>
        </is>
      </c>
      <c r="N2952" s="5" t="inlineStr"/>
      <c r="O2952" s="8" t="inlineStr">
        <is>
          <t>171000</t>
        </is>
      </c>
      <c r="P2952" s="5" t="inlineStr">
        <is>
          <t>0</t>
        </is>
      </c>
      <c r="Q2952" s="5" t="inlineStr">
        <is>
          <t>3</t>
        </is>
      </c>
      <c r="R2952" s="5" t="inlineStr">
        <is>
          <t>8</t>
        </is>
      </c>
      <c r="S2952" s="5" t="inlineStr">
        <is>
          <t>16</t>
        </is>
      </c>
      <c r="T2952" s="5" t="inlineStr">
        <is>
          <t>7</t>
        </is>
      </c>
      <c r="U2952" s="5" t="inlineStr">
        <is>
          <t>OK</t>
        </is>
      </c>
    </row>
    <row r="2953">
      <c r="A2953" s="5" t="inlineStr">
        <is>
          <t>E00727</t>
        </is>
      </c>
      <c r="B2953" s="5" t="inlineStr">
        <is>
          <t>Female</t>
        </is>
      </c>
      <c r="C2953" s="6" t="inlineStr">
        <is>
          <t>35</t>
        </is>
      </c>
      <c r="D2953" s="5" t="inlineStr">
        <is>
          <t>Married</t>
        </is>
      </c>
      <c r="E2953" s="5" t="inlineStr">
        <is>
          <t>High School</t>
        </is>
      </c>
      <c r="F2953" s="5" t="inlineStr">
        <is>
          <t>Operations</t>
        </is>
      </c>
      <c r="G2953" s="5" t="inlineStr">
        <is>
          <t>Quality Analyst</t>
        </is>
      </c>
      <c r="H2953" s="5" t="inlineStr">
        <is>
          <t>5</t>
        </is>
      </c>
      <c r="I2953" s="5" t="inlineStr">
        <is>
          <t>Remote</t>
        </is>
      </c>
      <c r="J2953" s="5" t="inlineStr">
        <is>
          <t>Full-Time</t>
        </is>
      </c>
      <c r="K2953" s="7" t="n">
        <v>44198</v>
      </c>
      <c r="L2953" s="7" t="inlineStr"/>
      <c r="M2953" s="5" t="inlineStr">
        <is>
          <t>Yes</t>
        </is>
      </c>
      <c r="N2953" s="5" t="inlineStr"/>
      <c r="O2953" s="8" t="inlineStr">
        <is>
          <t>92500</t>
        </is>
      </c>
      <c r="P2953" s="5" t="inlineStr">
        <is>
          <t>0</t>
        </is>
      </c>
      <c r="Q2953" s="5" t="inlineStr">
        <is>
          <t>4</t>
        </is>
      </c>
      <c r="R2953" s="5" t="inlineStr">
        <is>
          <t>8</t>
        </is>
      </c>
      <c r="S2953" s="5" t="inlineStr">
        <is>
          <t>60</t>
        </is>
      </c>
      <c r="T2953" s="5" t="inlineStr">
        <is>
          <t>16</t>
        </is>
      </c>
      <c r="U2953" s="5" t="inlineStr">
        <is>
          <t>OK</t>
        </is>
      </c>
    </row>
    <row r="2954">
      <c r="A2954" s="5" t="inlineStr">
        <is>
          <t>E02806</t>
        </is>
      </c>
      <c r="B2954" s="5" t="inlineStr">
        <is>
          <t>Female</t>
        </is>
      </c>
      <c r="C2954" s="6" t="inlineStr">
        <is>
          <t>23</t>
        </is>
      </c>
      <c r="D2954" s="5" t="inlineStr">
        <is>
          <t>Married</t>
        </is>
      </c>
      <c r="E2954" s="5" t="inlineStr">
        <is>
          <t>PhD</t>
        </is>
      </c>
      <c r="F2954" s="5" t="inlineStr">
        <is>
          <t>Operations</t>
        </is>
      </c>
      <c r="G2954" s="5" t="inlineStr">
        <is>
          <t>Operations Analyst</t>
        </is>
      </c>
      <c r="H2954" s="5" t="inlineStr">
        <is>
          <t>1</t>
        </is>
      </c>
      <c r="I2954" s="5" t="inlineStr">
        <is>
          <t>Delhi</t>
        </is>
      </c>
      <c r="J2954" s="5" t="inlineStr">
        <is>
          <t>Full-Time</t>
        </is>
      </c>
      <c r="K2954" s="7" t="n">
        <v>43926</v>
      </c>
      <c r="L2954" s="7" t="n">
        <v>43961</v>
      </c>
      <c r="M2954" s="5" t="inlineStr">
        <is>
          <t>No</t>
        </is>
      </c>
      <c r="N2954" s="5" t="inlineStr">
        <is>
          <t>Resigned</t>
        </is>
      </c>
      <c r="O2954" s="8" t="inlineStr">
        <is>
          <t>59000</t>
        </is>
      </c>
      <c r="P2954" s="5" t="inlineStr">
        <is>
          <t>0</t>
        </is>
      </c>
      <c r="Q2954" s="5" t="inlineStr">
        <is>
          <t>4</t>
        </is>
      </c>
      <c r="R2954" s="5" t="inlineStr">
        <is>
          <t>6</t>
        </is>
      </c>
      <c r="S2954" s="5" t="inlineStr">
        <is>
          <t>1</t>
        </is>
      </c>
      <c r="T2954" s="5" t="inlineStr">
        <is>
          <t>0</t>
        </is>
      </c>
      <c r="U2954" s="5" t="inlineStr">
        <is>
          <t>OK</t>
        </is>
      </c>
    </row>
    <row r="2955">
      <c r="A2955" s="5" t="inlineStr">
        <is>
          <t>E00619</t>
        </is>
      </c>
      <c r="B2955" s="5" t="inlineStr">
        <is>
          <t>Male</t>
        </is>
      </c>
      <c r="C2955" s="6" t="inlineStr">
        <is>
          <t>35</t>
        </is>
      </c>
      <c r="D2955" s="5" t="inlineStr">
        <is>
          <t>Married</t>
        </is>
      </c>
      <c r="E2955" s="5" t="inlineStr">
        <is>
          <t>Master</t>
        </is>
      </c>
      <c r="F2955" s="5" t="inlineStr">
        <is>
          <t>Executive</t>
        </is>
      </c>
      <c r="G2955" s="5" t="inlineStr">
        <is>
          <t>CEO</t>
        </is>
      </c>
      <c r="H2955" s="5" t="inlineStr">
        <is>
          <t>6</t>
        </is>
      </c>
      <c r="I2955" s="5" t="inlineStr">
        <is>
          <t>Chennai</t>
        </is>
      </c>
      <c r="J2955" s="5" t="inlineStr">
        <is>
          <t>Full-Time</t>
        </is>
      </c>
      <c r="K2955" s="7" t="n">
        <v>45720</v>
      </c>
      <c r="L2955" s="7" t="inlineStr"/>
      <c r="M2955" s="5" t="inlineStr">
        <is>
          <t>Yes</t>
        </is>
      </c>
      <c r="N2955" s="5" t="inlineStr"/>
      <c r="O2955" s="8" t="inlineStr">
        <is>
          <t>367000</t>
        </is>
      </c>
      <c r="P2955" s="5" t="inlineStr">
        <is>
          <t>0</t>
        </is>
      </c>
      <c r="Q2955" s="5" t="inlineStr">
        <is>
          <t>2</t>
        </is>
      </c>
      <c r="R2955" s="5" t="inlineStr">
        <is>
          <t>3</t>
        </is>
      </c>
      <c r="S2955" s="5" t="inlineStr">
        <is>
          <t>10</t>
        </is>
      </c>
      <c r="T2955" s="5" t="inlineStr">
        <is>
          <t>0</t>
        </is>
      </c>
      <c r="U2955" s="5" t="inlineStr">
        <is>
          <t>OK</t>
        </is>
      </c>
    </row>
    <row r="2956">
      <c r="A2956" s="5" t="inlineStr">
        <is>
          <t>E01749</t>
        </is>
      </c>
      <c r="B2956" s="5" t="inlineStr">
        <is>
          <t>Male</t>
        </is>
      </c>
      <c r="C2956" s="6" t="inlineStr">
        <is>
          <t>41</t>
        </is>
      </c>
      <c r="D2956" s="5" t="inlineStr">
        <is>
          <t>Married</t>
        </is>
      </c>
      <c r="E2956" s="5" t="inlineStr">
        <is>
          <t>Master</t>
        </is>
      </c>
      <c r="F2956" s="5" t="inlineStr">
        <is>
          <t>Operations</t>
        </is>
      </c>
      <c r="G2956" s="5" t="inlineStr">
        <is>
          <t>Logistics Coordinator</t>
        </is>
      </c>
      <c r="H2956" s="5" t="inlineStr">
        <is>
          <t>5</t>
        </is>
      </c>
      <c r="I2956" s="5" t="inlineStr">
        <is>
          <t>Remote</t>
        </is>
      </c>
      <c r="J2956" s="5" t="inlineStr">
        <is>
          <t>Full-Time</t>
        </is>
      </c>
      <c r="K2956" s="7" t="n">
        <v>45884</v>
      </c>
      <c r="L2956" s="7" t="inlineStr"/>
      <c r="M2956" s="5" t="inlineStr">
        <is>
          <t>Yes</t>
        </is>
      </c>
      <c r="N2956" s="5" t="inlineStr"/>
      <c r="O2956" s="8" t="inlineStr">
        <is>
          <t>98500</t>
        </is>
      </c>
      <c r="P2956" s="5" t="inlineStr">
        <is>
          <t>10</t>
        </is>
      </c>
      <c r="Q2956" s="5" t="inlineStr">
        <is>
          <t>1</t>
        </is>
      </c>
      <c r="R2956" s="5" t="inlineStr">
        <is>
          <t>8</t>
        </is>
      </c>
      <c r="S2956" s="5" t="inlineStr">
        <is>
          <t>4</t>
        </is>
      </c>
      <c r="T2956" s="5" t="inlineStr">
        <is>
          <t>12</t>
        </is>
      </c>
      <c r="U2956" s="5" t="inlineStr">
        <is>
          <t>OK</t>
        </is>
      </c>
    </row>
    <row r="2957">
      <c r="A2957" s="5" t="inlineStr">
        <is>
          <t>E02971</t>
        </is>
      </c>
      <c r="B2957" s="5" t="inlineStr">
        <is>
          <t>Male</t>
        </is>
      </c>
      <c r="C2957" s="6" t="inlineStr">
        <is>
          <t>35</t>
        </is>
      </c>
      <c r="D2957" s="5" t="inlineStr">
        <is>
          <t>Married</t>
        </is>
      </c>
      <c r="E2957" s="5" t="inlineStr">
        <is>
          <t>Master</t>
        </is>
      </c>
      <c r="F2957" s="5" t="inlineStr">
        <is>
          <t>Finance</t>
        </is>
      </c>
      <c r="G2957" s="5" t="inlineStr">
        <is>
          <t>Accountant</t>
        </is>
      </c>
      <c r="H2957" s="5" t="inlineStr">
        <is>
          <t>3</t>
        </is>
      </c>
      <c r="I2957" s="5" t="inlineStr">
        <is>
          <t>Remote</t>
        </is>
      </c>
      <c r="J2957" s="5" t="inlineStr">
        <is>
          <t>Full-Time</t>
        </is>
      </c>
      <c r="K2957" s="7" t="n">
        <v>45776</v>
      </c>
      <c r="L2957" s="7" t="inlineStr"/>
      <c r="M2957" s="5" t="inlineStr">
        <is>
          <t>Yes</t>
        </is>
      </c>
      <c r="N2957" s="5" t="inlineStr"/>
      <c r="O2957" s="8" t="inlineStr">
        <is>
          <t>95500</t>
        </is>
      </c>
      <c r="P2957" s="5" t="inlineStr">
        <is>
          <t>20</t>
        </is>
      </c>
      <c r="Q2957" s="5" t="inlineStr">
        <is>
          <t>3</t>
        </is>
      </c>
      <c r="R2957" s="5" t="inlineStr">
        <is>
          <t>7</t>
        </is>
      </c>
      <c r="S2957" s="5" t="inlineStr">
        <is>
          <t>8</t>
        </is>
      </c>
      <c r="T2957" s="5" t="inlineStr">
        <is>
          <t>8</t>
        </is>
      </c>
      <c r="U2957" s="5" t="inlineStr">
        <is>
          <t>OK</t>
        </is>
      </c>
    </row>
    <row r="2958">
      <c r="A2958" s="5" t="inlineStr">
        <is>
          <t>E00891</t>
        </is>
      </c>
      <c r="B2958" s="5" t="inlineStr">
        <is>
          <t>Female</t>
        </is>
      </c>
      <c r="C2958" s="6" t="inlineStr">
        <is>
          <t>32</t>
        </is>
      </c>
      <c r="D2958" s="5" t="inlineStr">
        <is>
          <t>Married</t>
        </is>
      </c>
      <c r="E2958" s="5" t="inlineStr">
        <is>
          <t>Diploma</t>
        </is>
      </c>
      <c r="F2958" s="5" t="inlineStr">
        <is>
          <t>Research &amp; Development</t>
        </is>
      </c>
      <c r="G2958" s="5" t="inlineStr">
        <is>
          <t>Data Scientist</t>
        </is>
      </c>
      <c r="H2958" s="5" t="inlineStr">
        <is>
          <t>2</t>
        </is>
      </c>
      <c r="I2958" s="5" t="inlineStr">
        <is>
          <t>Delhi</t>
        </is>
      </c>
      <c r="J2958" s="5" t="inlineStr">
        <is>
          <t>Full-Time</t>
        </is>
      </c>
      <c r="K2958" s="7" t="n">
        <v>44031</v>
      </c>
      <c r="L2958" s="7" t="inlineStr"/>
      <c r="M2958" s="5" t="inlineStr">
        <is>
          <t>Yes</t>
        </is>
      </c>
      <c r="N2958" s="5" t="inlineStr"/>
      <c r="O2958" s="8" t="inlineStr">
        <is>
          <t>150500</t>
        </is>
      </c>
      <c r="P2958" s="5" t="inlineStr">
        <is>
          <t>0</t>
        </is>
      </c>
      <c r="Q2958" s="5" t="inlineStr">
        <is>
          <t>5</t>
        </is>
      </c>
      <c r="R2958" s="5" t="inlineStr">
        <is>
          <t>5</t>
        </is>
      </c>
      <c r="S2958" s="5" t="inlineStr">
        <is>
          <t>66</t>
        </is>
      </c>
      <c r="T2958" s="5" t="inlineStr">
        <is>
          <t>4</t>
        </is>
      </c>
      <c r="U2958" s="5" t="inlineStr">
        <is>
          <t>OK</t>
        </is>
      </c>
    </row>
    <row r="2959">
      <c r="A2959" s="5" t="inlineStr">
        <is>
          <t>E01207</t>
        </is>
      </c>
      <c r="B2959" s="5" t="inlineStr">
        <is>
          <t>Female</t>
        </is>
      </c>
      <c r="C2959" s="6" t="inlineStr">
        <is>
          <t>29</t>
        </is>
      </c>
      <c r="D2959" s="5" t="inlineStr">
        <is>
          <t>Married</t>
        </is>
      </c>
      <c r="E2959" s="5" t="inlineStr">
        <is>
          <t>Master</t>
        </is>
      </c>
      <c r="F2959" s="5" t="inlineStr">
        <is>
          <t>Research &amp; Development</t>
        </is>
      </c>
      <c r="G2959" s="5" t="inlineStr">
        <is>
          <t>Research Scientist</t>
        </is>
      </c>
      <c r="H2959" s="5" t="inlineStr">
        <is>
          <t>4</t>
        </is>
      </c>
      <c r="I2959" s="5" t="inlineStr">
        <is>
          <t>Remote</t>
        </is>
      </c>
      <c r="J2959" s="5" t="inlineStr">
        <is>
          <t>Full-Time</t>
        </is>
      </c>
      <c r="K2959" s="7" t="n">
        <v>45491</v>
      </c>
      <c r="L2959" s="7" t="inlineStr"/>
      <c r="M2959" s="5" t="inlineStr">
        <is>
          <t>Yes</t>
        </is>
      </c>
      <c r="N2959" s="5" t="inlineStr"/>
      <c r="O2959" s="8" t="inlineStr">
        <is>
          <t>178500</t>
        </is>
      </c>
      <c r="P2959" s="5" t="inlineStr">
        <is>
          <t>0</t>
        </is>
      </c>
      <c r="Q2959" s="5" t="inlineStr">
        <is>
          <t>4</t>
        </is>
      </c>
      <c r="R2959" s="5" t="inlineStr">
        <is>
          <t>7</t>
        </is>
      </c>
      <c r="S2959" s="5" t="inlineStr">
        <is>
          <t>17</t>
        </is>
      </c>
      <c r="T2959" s="5" t="inlineStr">
        <is>
          <t>0</t>
        </is>
      </c>
      <c r="U2959" s="5" t="inlineStr">
        <is>
          <t>OK</t>
        </is>
      </c>
    </row>
    <row r="2960">
      <c r="A2960" s="5" t="inlineStr">
        <is>
          <t>E01684</t>
        </is>
      </c>
      <c r="B2960" s="5" t="inlineStr">
        <is>
          <t>Male</t>
        </is>
      </c>
      <c r="C2960" s="6" t="inlineStr">
        <is>
          <t>42</t>
        </is>
      </c>
      <c r="D2960" s="5" t="inlineStr">
        <is>
          <t>Married</t>
        </is>
      </c>
      <c r="E2960" s="5" t="inlineStr">
        <is>
          <t>Diploma</t>
        </is>
      </c>
      <c r="F2960" s="5" t="inlineStr">
        <is>
          <t>Customer Support</t>
        </is>
      </c>
      <c r="G2960" s="5" t="inlineStr">
        <is>
          <t>Escalation Specialist</t>
        </is>
      </c>
      <c r="H2960" s="5" t="inlineStr">
        <is>
          <t>5</t>
        </is>
      </c>
      <c r="I2960" s="5" t="inlineStr">
        <is>
          <t>Mumbai</t>
        </is>
      </c>
      <c r="J2960" s="5" t="inlineStr">
        <is>
          <t>Full-Time</t>
        </is>
      </c>
      <c r="K2960" s="7" t="n">
        <v>45076</v>
      </c>
      <c r="L2960" s="7" t="inlineStr"/>
      <c r="M2960" s="5" t="inlineStr">
        <is>
          <t>Yes</t>
        </is>
      </c>
      <c r="N2960" s="5" t="inlineStr"/>
      <c r="O2960" s="8" t="inlineStr">
        <is>
          <t>93500</t>
        </is>
      </c>
      <c r="P2960" s="5" t="inlineStr">
        <is>
          <t>5</t>
        </is>
      </c>
      <c r="Q2960" s="5" t="inlineStr">
        <is>
          <t>3</t>
        </is>
      </c>
      <c r="R2960" s="5" t="inlineStr">
        <is>
          <t>8</t>
        </is>
      </c>
      <c r="S2960" s="5" t="inlineStr">
        <is>
          <t>31</t>
        </is>
      </c>
      <c r="T2960" s="5" t="inlineStr">
        <is>
          <t>0</t>
        </is>
      </c>
      <c r="U2960" s="5" t="inlineStr">
        <is>
          <t>OK</t>
        </is>
      </c>
    </row>
    <row r="2961">
      <c r="A2961" s="5" t="inlineStr">
        <is>
          <t>E02147</t>
        </is>
      </c>
      <c r="B2961" s="5" t="inlineStr">
        <is>
          <t>Female</t>
        </is>
      </c>
      <c r="C2961" s="6" t="inlineStr">
        <is>
          <t>42</t>
        </is>
      </c>
      <c r="D2961" s="5" t="inlineStr">
        <is>
          <t>Married</t>
        </is>
      </c>
      <c r="E2961" s="5" t="inlineStr">
        <is>
          <t>PhD</t>
        </is>
      </c>
      <c r="F2961" s="5" t="inlineStr">
        <is>
          <t>Operations</t>
        </is>
      </c>
      <c r="G2961" s="5" t="inlineStr">
        <is>
          <t>Operations Analyst</t>
        </is>
      </c>
      <c r="H2961" s="5" t="inlineStr">
        <is>
          <t>6</t>
        </is>
      </c>
      <c r="I2961" s="5" t="inlineStr">
        <is>
          <t>Delhi</t>
        </is>
      </c>
      <c r="J2961" s="5" t="inlineStr">
        <is>
          <t>Contract</t>
        </is>
      </c>
      <c r="K2961" s="7" t="n">
        <v>44713</v>
      </c>
      <c r="L2961" s="7" t="inlineStr"/>
      <c r="M2961" s="5" t="inlineStr">
        <is>
          <t>Yes</t>
        </is>
      </c>
      <c r="N2961" s="5" t="inlineStr"/>
      <c r="O2961" s="8" t="inlineStr">
        <is>
          <t>95500</t>
        </is>
      </c>
      <c r="P2961" s="5" t="inlineStr">
        <is>
          <t>10</t>
        </is>
      </c>
      <c r="Q2961" s="5" t="inlineStr">
        <is>
          <t>4</t>
        </is>
      </c>
      <c r="R2961" s="5" t="inlineStr">
        <is>
          <t>6</t>
        </is>
      </c>
      <c r="S2961" s="5" t="inlineStr">
        <is>
          <t>43</t>
        </is>
      </c>
      <c r="T2961" s="5" t="inlineStr">
        <is>
          <t>4</t>
        </is>
      </c>
      <c r="U2961" s="5" t="inlineStr">
        <is>
          <t>OK</t>
        </is>
      </c>
    </row>
    <row r="2962">
      <c r="A2962" s="5" t="inlineStr">
        <is>
          <t>E01453</t>
        </is>
      </c>
      <c r="B2962" s="5" t="inlineStr">
        <is>
          <t>Unknown</t>
        </is>
      </c>
      <c r="C2962" s="6" t="inlineStr">
        <is>
          <t>39</t>
        </is>
      </c>
      <c r="D2962" s="5" t="inlineStr">
        <is>
          <t>Married</t>
        </is>
      </c>
      <c r="E2962" s="5" t="inlineStr">
        <is>
          <t>High School</t>
        </is>
      </c>
      <c r="F2962" s="5" t="inlineStr">
        <is>
          <t>Finance</t>
        </is>
      </c>
      <c r="G2962" s="5" t="inlineStr">
        <is>
          <t>Accountant</t>
        </is>
      </c>
      <c r="H2962" s="5" t="inlineStr">
        <is>
          <t>7</t>
        </is>
      </c>
      <c r="I2962" s="5" t="inlineStr">
        <is>
          <t>Chennai</t>
        </is>
      </c>
      <c r="J2962" s="5" t="inlineStr">
        <is>
          <t>Full-Time</t>
        </is>
      </c>
      <c r="K2962" s="7" t="n">
        <v>45528</v>
      </c>
      <c r="L2962" s="7" t="n">
        <v>45593</v>
      </c>
      <c r="M2962" s="5" t="inlineStr">
        <is>
          <t>No</t>
        </is>
      </c>
      <c r="N2962" s="5" t="inlineStr">
        <is>
          <t>Resigned</t>
        </is>
      </c>
      <c r="O2962" s="8" t="inlineStr">
        <is>
          <t>123000</t>
        </is>
      </c>
      <c r="P2962" s="5" t="inlineStr">
        <is>
          <t>0</t>
        </is>
      </c>
      <c r="Q2962" s="5" t="inlineStr">
        <is>
          <t>5</t>
        </is>
      </c>
      <c r="R2962" s="5" t="inlineStr">
        <is>
          <t>6</t>
        </is>
      </c>
      <c r="S2962" s="5" t="inlineStr">
        <is>
          <t>2</t>
        </is>
      </c>
      <c r="T2962" s="5" t="inlineStr">
        <is>
          <t>0</t>
        </is>
      </c>
      <c r="U2962" s="5" t="inlineStr">
        <is>
          <t>Bad gender</t>
        </is>
      </c>
    </row>
    <row r="2963">
      <c r="A2963" s="5" t="inlineStr">
        <is>
          <t>E01239</t>
        </is>
      </c>
      <c r="B2963" s="5" t="inlineStr">
        <is>
          <t>Male</t>
        </is>
      </c>
      <c r="C2963" s="6" t="inlineStr">
        <is>
          <t>37</t>
        </is>
      </c>
      <c r="D2963" s="5" t="inlineStr">
        <is>
          <t>Single</t>
        </is>
      </c>
      <c r="E2963" s="5" t="inlineStr">
        <is>
          <t>Master</t>
        </is>
      </c>
      <c r="F2963" s="5" t="inlineStr">
        <is>
          <t>Finance</t>
        </is>
      </c>
      <c r="G2963" s="5" t="inlineStr">
        <is>
          <t>Credit Analyst</t>
        </is>
      </c>
      <c r="H2963" s="5" t="inlineStr">
        <is>
          <t>4</t>
        </is>
      </c>
      <c r="I2963" s="5" t="inlineStr">
        <is>
          <t>Mumbai</t>
        </is>
      </c>
      <c r="J2963" s="5" t="inlineStr">
        <is>
          <t>Full-Time</t>
        </is>
      </c>
      <c r="K2963" s="7" t="n">
        <v>45205</v>
      </c>
      <c r="L2963" s="7" t="inlineStr"/>
      <c r="M2963" s="5" t="inlineStr">
        <is>
          <t>Yes</t>
        </is>
      </c>
      <c r="N2963" s="5" t="inlineStr"/>
      <c r="O2963" s="8" t="inlineStr">
        <is>
          <t>144500</t>
        </is>
      </c>
      <c r="P2963" s="5" t="inlineStr">
        <is>
          <t>5</t>
        </is>
      </c>
      <c r="Q2963" s="5" t="inlineStr">
        <is>
          <t>4</t>
        </is>
      </c>
      <c r="R2963" s="5" t="inlineStr">
        <is>
          <t>6</t>
        </is>
      </c>
      <c r="S2963" s="5" t="inlineStr">
        <is>
          <t>27</t>
        </is>
      </c>
      <c r="T2963" s="5" t="inlineStr">
        <is>
          <t>0</t>
        </is>
      </c>
      <c r="U2963" s="5" t="inlineStr">
        <is>
          <t>OK</t>
        </is>
      </c>
    </row>
    <row r="2964">
      <c r="A2964" s="5" t="inlineStr">
        <is>
          <t>E00630</t>
        </is>
      </c>
      <c r="B2964" s="5" t="inlineStr">
        <is>
          <t>Male</t>
        </is>
      </c>
      <c r="C2964" s="6" t="inlineStr">
        <is>
          <t>25</t>
        </is>
      </c>
      <c r="D2964" s="5" t="inlineStr">
        <is>
          <t>Married</t>
        </is>
      </c>
      <c r="E2964" s="5" t="inlineStr">
        <is>
          <t>Diploma</t>
        </is>
      </c>
      <c r="F2964" s="5" t="inlineStr">
        <is>
          <t>IT</t>
        </is>
      </c>
      <c r="G2964" s="5" t="inlineStr">
        <is>
          <t>IT Support</t>
        </is>
      </c>
      <c r="H2964" s="5" t="inlineStr">
        <is>
          <t>1</t>
        </is>
      </c>
      <c r="I2964" s="5" t="inlineStr">
        <is>
          <t>Mumbai</t>
        </is>
      </c>
      <c r="J2964" s="5" t="inlineStr">
        <is>
          <t>Full-Time</t>
        </is>
      </c>
      <c r="K2964" s="7" t="n">
        <v>44057</v>
      </c>
      <c r="L2964" s="7" t="n">
        <v>44103</v>
      </c>
      <c r="M2964" s="5" t="inlineStr">
        <is>
          <t>No</t>
        </is>
      </c>
      <c r="N2964" s="5" t="inlineStr">
        <is>
          <t>Resigned</t>
        </is>
      </c>
      <c r="O2964" s="8" t="inlineStr">
        <is>
          <t>93000</t>
        </is>
      </c>
      <c r="P2964" s="5" t="inlineStr">
        <is>
          <t>15</t>
        </is>
      </c>
      <c r="Q2964" s="5" t="inlineStr">
        <is>
          <t>3</t>
        </is>
      </c>
      <c r="R2964" s="5" t="inlineStr">
        <is>
          <t>5</t>
        </is>
      </c>
      <c r="S2964" s="5" t="inlineStr">
        <is>
          <t>1</t>
        </is>
      </c>
      <c r="T2964" s="5" t="inlineStr">
        <is>
          <t>3</t>
        </is>
      </c>
      <c r="U2964" s="5" t="inlineStr">
        <is>
          <t>OK</t>
        </is>
      </c>
    </row>
    <row r="2965">
      <c r="A2965" s="5" t="inlineStr">
        <is>
          <t>E02225</t>
        </is>
      </c>
      <c r="B2965" s="5" t="inlineStr">
        <is>
          <t>Male</t>
        </is>
      </c>
      <c r="C2965" s="6" t="inlineStr">
        <is>
          <t>39</t>
        </is>
      </c>
      <c r="D2965" s="5" t="inlineStr">
        <is>
          <t>Divorced</t>
        </is>
      </c>
      <c r="E2965" s="5" t="inlineStr">
        <is>
          <t>High School</t>
        </is>
      </c>
      <c r="F2965" s="5" t="inlineStr">
        <is>
          <t>Marketing</t>
        </is>
      </c>
      <c r="G2965" s="5" t="inlineStr">
        <is>
          <t>SEO Specialist</t>
        </is>
      </c>
      <c r="H2965" s="5" t="inlineStr">
        <is>
          <t>6</t>
        </is>
      </c>
      <c r="I2965" s="5" t="inlineStr">
        <is>
          <t>Remote</t>
        </is>
      </c>
      <c r="J2965" s="5" t="inlineStr">
        <is>
          <t>Full-Time</t>
        </is>
      </c>
      <c r="K2965" s="7" t="n">
        <v>44473</v>
      </c>
      <c r="L2965" s="7" t="inlineStr"/>
      <c r="M2965" s="5" t="inlineStr">
        <is>
          <t>Yes</t>
        </is>
      </c>
      <c r="N2965" s="5" t="inlineStr"/>
      <c r="O2965" s="8" t="inlineStr">
        <is>
          <t>156000</t>
        </is>
      </c>
      <c r="P2965" s="5" t="inlineStr">
        <is>
          <t>5</t>
        </is>
      </c>
      <c r="Q2965" s="5" t="inlineStr">
        <is>
          <t>4</t>
        </is>
      </c>
      <c r="R2965" s="5" t="inlineStr">
        <is>
          <t>6</t>
        </is>
      </c>
      <c r="S2965" s="5" t="inlineStr">
        <is>
          <t>51</t>
        </is>
      </c>
      <c r="T2965" s="5" t="inlineStr">
        <is>
          <t>10</t>
        </is>
      </c>
      <c r="U2965" s="5" t="inlineStr">
        <is>
          <t>OK</t>
        </is>
      </c>
    </row>
    <row r="2966">
      <c r="A2966" s="5" t="inlineStr">
        <is>
          <t>E00977</t>
        </is>
      </c>
      <c r="B2966" s="5" t="inlineStr">
        <is>
          <t>Female</t>
        </is>
      </c>
      <c r="C2966" s="6" t="inlineStr">
        <is>
          <t>34</t>
        </is>
      </c>
      <c r="D2966" s="5" t="inlineStr">
        <is>
          <t>Married</t>
        </is>
      </c>
      <c r="E2966" s="5" t="inlineStr">
        <is>
          <t>Bachelor</t>
        </is>
      </c>
      <c r="F2966" s="5" t="inlineStr">
        <is>
          <t>Human Resources</t>
        </is>
      </c>
      <c r="G2966" s="5" t="inlineStr">
        <is>
          <t>HR Analyst</t>
        </is>
      </c>
      <c r="H2966" s="5" t="inlineStr">
        <is>
          <t>1</t>
        </is>
      </c>
      <c r="I2966" s="5" t="inlineStr">
        <is>
          <t>Delhi</t>
        </is>
      </c>
      <c r="J2966" s="5" t="inlineStr">
        <is>
          <t>Full-Time</t>
        </is>
      </c>
      <c r="K2966" s="7" t="n">
        <v>44480</v>
      </c>
      <c r="L2966" s="7" t="inlineStr"/>
      <c r="M2966" s="5" t="inlineStr">
        <is>
          <t>Yes</t>
        </is>
      </c>
      <c r="N2966" s="5" t="inlineStr"/>
      <c r="O2966" s="8" t="inlineStr">
        <is>
          <t>76500</t>
        </is>
      </c>
      <c r="P2966" s="5" t="inlineStr">
        <is>
          <t>0</t>
        </is>
      </c>
      <c r="Q2966" s="5" t="inlineStr">
        <is>
          <t>3</t>
        </is>
      </c>
      <c r="R2966" s="5" t="inlineStr">
        <is>
          <t>2</t>
        </is>
      </c>
      <c r="S2966" s="5" t="inlineStr">
        <is>
          <t>51</t>
        </is>
      </c>
      <c r="T2966" s="5" t="inlineStr">
        <is>
          <t>10</t>
        </is>
      </c>
      <c r="U2966" s="5" t="inlineStr">
        <is>
          <t>OK</t>
        </is>
      </c>
    </row>
    <row r="2967">
      <c r="A2967" s="5" t="inlineStr">
        <is>
          <t>E01412</t>
        </is>
      </c>
      <c r="B2967" s="5" t="inlineStr">
        <is>
          <t>Male</t>
        </is>
      </c>
      <c r="C2967" s="6" t="inlineStr">
        <is>
          <t>29</t>
        </is>
      </c>
      <c r="D2967" s="5" t="inlineStr">
        <is>
          <t>Single</t>
        </is>
      </c>
      <c r="E2967" s="5" t="inlineStr">
        <is>
          <t>Bachelor</t>
        </is>
      </c>
      <c r="F2967" s="5" t="inlineStr">
        <is>
          <t>Customer Support</t>
        </is>
      </c>
      <c r="G2967" s="5" t="inlineStr">
        <is>
          <t>Support Lead</t>
        </is>
      </c>
      <c r="H2967" s="5" t="inlineStr">
        <is>
          <t>4</t>
        </is>
      </c>
      <c r="I2967" s="5" t="inlineStr">
        <is>
          <t>Bengaluru</t>
        </is>
      </c>
      <c r="J2967" s="5" t="inlineStr">
        <is>
          <t>Full-Time</t>
        </is>
      </c>
      <c r="K2967" s="7" t="n">
        <v>44724</v>
      </c>
      <c r="L2967" s="7" t="n">
        <v>44801</v>
      </c>
      <c r="M2967" s="5" t="inlineStr">
        <is>
          <t>No</t>
        </is>
      </c>
      <c r="N2967" s="5" t="inlineStr">
        <is>
          <t>Retirement</t>
        </is>
      </c>
      <c r="O2967" s="8" t="inlineStr">
        <is>
          <t>85000</t>
        </is>
      </c>
      <c r="P2967" s="5" t="inlineStr">
        <is>
          <t>10</t>
        </is>
      </c>
      <c r="Q2967" s="5" t="inlineStr">
        <is>
          <t>1</t>
        </is>
      </c>
      <c r="R2967" s="5" t="inlineStr">
        <is>
          <t>7</t>
        </is>
      </c>
      <c r="S2967" s="5" t="inlineStr">
        <is>
          <t>2</t>
        </is>
      </c>
      <c r="T2967" s="5" t="inlineStr">
        <is>
          <t>6</t>
        </is>
      </c>
      <c r="U2967" s="5" t="inlineStr">
        <is>
          <t>OK</t>
        </is>
      </c>
    </row>
    <row r="2968">
      <c r="A2968" s="5" t="inlineStr">
        <is>
          <t>E01961</t>
        </is>
      </c>
      <c r="B2968" s="5" t="inlineStr">
        <is>
          <t>Female</t>
        </is>
      </c>
      <c r="C2968" s="6" t="inlineStr">
        <is>
          <t>32</t>
        </is>
      </c>
      <c r="D2968" s="5" t="inlineStr">
        <is>
          <t>Married</t>
        </is>
      </c>
      <c r="E2968" s="5" t="inlineStr">
        <is>
          <t>Diploma</t>
        </is>
      </c>
      <c r="F2968" s="5" t="inlineStr">
        <is>
          <t>Research &amp; Development</t>
        </is>
      </c>
      <c r="G2968" s="5" t="inlineStr">
        <is>
          <t>Research Scientist</t>
        </is>
      </c>
      <c r="H2968" s="5" t="inlineStr">
        <is>
          <t>2</t>
        </is>
      </c>
      <c r="I2968" s="5" t="inlineStr">
        <is>
          <t>Mumbai</t>
        </is>
      </c>
      <c r="J2968" s="5" t="inlineStr">
        <is>
          <t>Full-Time</t>
        </is>
      </c>
      <c r="K2968" s="7" t="n">
        <v>43955</v>
      </c>
      <c r="L2968" s="7" t="n">
        <v>44075</v>
      </c>
      <c r="M2968" s="5" t="inlineStr">
        <is>
          <t>No</t>
        </is>
      </c>
      <c r="N2968" s="5" t="inlineStr">
        <is>
          <t>Layoff</t>
        </is>
      </c>
      <c r="O2968" s="8" t="inlineStr">
        <is>
          <t>163500</t>
        </is>
      </c>
      <c r="P2968" s="5" t="inlineStr">
        <is>
          <t>15</t>
        </is>
      </c>
      <c r="Q2968" s="5" t="inlineStr">
        <is>
          <t>4</t>
        </is>
      </c>
      <c r="R2968" s="5" t="inlineStr">
        <is>
          <t>6</t>
        </is>
      </c>
      <c r="S2968" s="5" t="inlineStr">
        <is>
          <t>4</t>
        </is>
      </c>
      <c r="T2968" s="5" t="inlineStr">
        <is>
          <t>10</t>
        </is>
      </c>
      <c r="U2968" s="5" t="inlineStr">
        <is>
          <t>OK</t>
        </is>
      </c>
    </row>
    <row r="2969">
      <c r="A2969" s="5" t="inlineStr">
        <is>
          <t>E00959</t>
        </is>
      </c>
      <c r="B2969" s="5" t="inlineStr">
        <is>
          <t>Female</t>
        </is>
      </c>
      <c r="C2969" s="6" t="inlineStr">
        <is>
          <t>26</t>
        </is>
      </c>
      <c r="D2969" s="5" t="inlineStr">
        <is>
          <t>Single</t>
        </is>
      </c>
      <c r="E2969" s="5" t="inlineStr">
        <is>
          <t>High School</t>
        </is>
      </c>
      <c r="F2969" s="5" t="inlineStr">
        <is>
          <t>Customer Support</t>
        </is>
      </c>
      <c r="G2969" s="5" t="inlineStr">
        <is>
          <t>Escalation Specialist</t>
        </is>
      </c>
      <c r="H2969" s="5" t="inlineStr">
        <is>
          <t>1</t>
        </is>
      </c>
      <c r="I2969" s="5" t="inlineStr">
        <is>
          <t>Mumbai</t>
        </is>
      </c>
      <c r="J2969" s="5" t="inlineStr">
        <is>
          <t>Full-Time</t>
        </is>
      </c>
      <c r="K2969" s="7" t="n">
        <v>44910</v>
      </c>
      <c r="L2969" s="7" t="inlineStr"/>
      <c r="M2969" s="5" t="inlineStr">
        <is>
          <t>Yes</t>
        </is>
      </c>
      <c r="N2969" s="5" t="inlineStr"/>
      <c r="O2969" s="8" t="inlineStr">
        <is>
          <t>52000</t>
        </is>
      </c>
      <c r="P2969" s="5" t="inlineStr">
        <is>
          <t>0</t>
        </is>
      </c>
      <c r="Q2969" s="5" t="inlineStr">
        <is>
          <t>4</t>
        </is>
      </c>
      <c r="R2969" s="5" t="inlineStr">
        <is>
          <t>6</t>
        </is>
      </c>
      <c r="S2969" s="5" t="inlineStr">
        <is>
          <t>37</t>
        </is>
      </c>
      <c r="T2969" s="5" t="inlineStr">
        <is>
          <t>9</t>
        </is>
      </c>
      <c r="U2969" s="5" t="inlineStr">
        <is>
          <t>OK</t>
        </is>
      </c>
    </row>
    <row r="2970">
      <c r="A2970" s="5" t="inlineStr">
        <is>
          <t>E02115</t>
        </is>
      </c>
      <c r="B2970" s="5" t="inlineStr">
        <is>
          <t>Female</t>
        </is>
      </c>
      <c r="C2970" s="6" t="inlineStr">
        <is>
          <t>31</t>
        </is>
      </c>
      <c r="D2970" s="5" t="inlineStr">
        <is>
          <t>Married</t>
        </is>
      </c>
      <c r="E2970" s="5" t="inlineStr">
        <is>
          <t>Bachelor</t>
        </is>
      </c>
      <c r="F2970" s="5" t="inlineStr">
        <is>
          <t>IT</t>
        </is>
      </c>
      <c r="G2970" s="5" t="inlineStr">
        <is>
          <t>Data Analyst</t>
        </is>
      </c>
      <c r="H2970" s="5" t="inlineStr">
        <is>
          <t>2</t>
        </is>
      </c>
      <c r="I2970" s="5" t="inlineStr">
        <is>
          <t>Hyderabad</t>
        </is>
      </c>
      <c r="J2970" s="5" t="inlineStr">
        <is>
          <t>Full-Time</t>
        </is>
      </c>
      <c r="K2970" s="7" t="n">
        <v>44388</v>
      </c>
      <c r="L2970" s="7" t="n">
        <v>44479</v>
      </c>
      <c r="M2970" s="5" t="inlineStr">
        <is>
          <t>No</t>
        </is>
      </c>
      <c r="N2970" s="5" t="inlineStr">
        <is>
          <t>Relocation</t>
        </is>
      </c>
      <c r="O2970" s="8" t="inlineStr">
        <is>
          <t>109000</t>
        </is>
      </c>
      <c r="P2970" s="5" t="inlineStr">
        <is>
          <t>0</t>
        </is>
      </c>
      <c r="Q2970" s="5" t="inlineStr">
        <is>
          <t>4</t>
        </is>
      </c>
      <c r="R2970" s="5" t="inlineStr">
        <is>
          <t>9</t>
        </is>
      </c>
      <c r="S2970" s="5" t="inlineStr">
        <is>
          <t>3</t>
        </is>
      </c>
      <c r="T2970" s="5" t="inlineStr">
        <is>
          <t>5</t>
        </is>
      </c>
      <c r="U2970" s="5" t="inlineStr">
        <is>
          <t>OK</t>
        </is>
      </c>
    </row>
    <row r="2971">
      <c r="A2971" s="5" t="inlineStr">
        <is>
          <t>E01803</t>
        </is>
      </c>
      <c r="B2971" s="5" t="inlineStr">
        <is>
          <t>Male</t>
        </is>
      </c>
      <c r="C2971" s="6" t="inlineStr">
        <is>
          <t>27</t>
        </is>
      </c>
      <c r="D2971" s="5" t="inlineStr">
        <is>
          <t>Single</t>
        </is>
      </c>
      <c r="E2971" s="5" t="inlineStr">
        <is>
          <t>High School</t>
        </is>
      </c>
      <c r="F2971" s="5" t="inlineStr">
        <is>
          <t>Customer Support</t>
        </is>
      </c>
      <c r="G2971" s="5" t="inlineStr">
        <is>
          <t>Support Lead</t>
        </is>
      </c>
      <c r="H2971" s="5" t="inlineStr">
        <is>
          <t>3</t>
        </is>
      </c>
      <c r="I2971" s="5" t="inlineStr">
        <is>
          <t>Delhi</t>
        </is>
      </c>
      <c r="J2971" s="5" t="inlineStr">
        <is>
          <t>Full-Time</t>
        </is>
      </c>
      <c r="K2971" s="7" t="n">
        <v>44059</v>
      </c>
      <c r="L2971" s="7" t="inlineStr"/>
      <c r="M2971" s="5" t="inlineStr">
        <is>
          <t>Yes</t>
        </is>
      </c>
      <c r="N2971" s="5" t="inlineStr"/>
      <c r="O2971" s="8" t="inlineStr">
        <is>
          <t>88500</t>
        </is>
      </c>
      <c r="P2971" s="5" t="inlineStr">
        <is>
          <t>10</t>
        </is>
      </c>
      <c r="Q2971" s="5" t="inlineStr">
        <is>
          <t>4</t>
        </is>
      </c>
      <c r="R2971" s="5" t="inlineStr">
        <is>
          <t>6</t>
        </is>
      </c>
      <c r="S2971" s="5" t="inlineStr">
        <is>
          <t>65</t>
        </is>
      </c>
      <c r="T2971" s="5" t="inlineStr">
        <is>
          <t>11</t>
        </is>
      </c>
      <c r="U2971" s="5" t="inlineStr">
        <is>
          <t>OK</t>
        </is>
      </c>
    </row>
    <row r="2972">
      <c r="A2972" s="5" t="inlineStr">
        <is>
          <t>E01407</t>
        </is>
      </c>
      <c r="B2972" s="5" t="inlineStr">
        <is>
          <t>Male</t>
        </is>
      </c>
      <c r="C2972" s="6" t="inlineStr">
        <is>
          <t>34</t>
        </is>
      </c>
      <c r="D2972" s="5" t="inlineStr">
        <is>
          <t>Single</t>
        </is>
      </c>
      <c r="E2972" s="5" t="inlineStr">
        <is>
          <t>Diploma</t>
        </is>
      </c>
      <c r="F2972" s="5" t="inlineStr">
        <is>
          <t>Sales</t>
        </is>
      </c>
      <c r="G2972" s="5" t="inlineStr">
        <is>
          <t>Account Executive</t>
        </is>
      </c>
      <c r="H2972" s="5" t="inlineStr">
        <is>
          <t>5</t>
        </is>
      </c>
      <c r="I2972" s="5" t="inlineStr">
        <is>
          <t>Remote</t>
        </is>
      </c>
      <c r="J2972" s="5" t="inlineStr">
        <is>
          <t>Full-Time</t>
        </is>
      </c>
      <c r="K2972" s="7" t="n">
        <v>44821</v>
      </c>
      <c r="L2972" s="7" t="inlineStr"/>
      <c r="M2972" s="5" t="inlineStr">
        <is>
          <t>Yes</t>
        </is>
      </c>
      <c r="N2972" s="5" t="inlineStr"/>
      <c r="O2972" s="8" t="inlineStr">
        <is>
          <t>105000</t>
        </is>
      </c>
      <c r="P2972" s="5" t="inlineStr">
        <is>
          <t>0</t>
        </is>
      </c>
      <c r="Q2972" s="5" t="inlineStr">
        <is>
          <t>4</t>
        </is>
      </c>
      <c r="R2972" s="5" t="inlineStr">
        <is>
          <t>3</t>
        </is>
      </c>
      <c r="S2972" s="5" t="inlineStr">
        <is>
          <t>40</t>
        </is>
      </c>
      <c r="T2972" s="5" t="inlineStr">
        <is>
          <t>6</t>
        </is>
      </c>
      <c r="U2972" s="5" t="inlineStr">
        <is>
          <t>OK</t>
        </is>
      </c>
    </row>
    <row r="2973">
      <c r="A2973" s="5" t="inlineStr">
        <is>
          <t>E02944</t>
        </is>
      </c>
      <c r="B2973" s="5" t="inlineStr">
        <is>
          <t>Female</t>
        </is>
      </c>
      <c r="C2973" s="6" t="inlineStr">
        <is>
          <t>37</t>
        </is>
      </c>
      <c r="D2973" s="5" t="inlineStr">
        <is>
          <t>Married</t>
        </is>
      </c>
      <c r="E2973" s="5" t="inlineStr">
        <is>
          <t>High School</t>
        </is>
      </c>
      <c r="F2973" s="5" t="inlineStr">
        <is>
          <t>Operations</t>
        </is>
      </c>
      <c r="G2973" s="5" t="inlineStr">
        <is>
          <t>Quality Analyst</t>
        </is>
      </c>
      <c r="H2973" s="5" t="inlineStr">
        <is>
          <t>3</t>
        </is>
      </c>
      <c r="I2973" s="5" t="inlineStr">
        <is>
          <t>Remote</t>
        </is>
      </c>
      <c r="J2973" s="5" t="inlineStr">
        <is>
          <t>Contract</t>
        </is>
      </c>
      <c r="K2973" s="7" t="n">
        <v>45559</v>
      </c>
      <c r="L2973" s="7" t="inlineStr"/>
      <c r="M2973" s="5" t="inlineStr">
        <is>
          <t>Yes</t>
        </is>
      </c>
      <c r="N2973" s="5" t="inlineStr"/>
      <c r="O2973" s="8" t="inlineStr">
        <is>
          <t>100000</t>
        </is>
      </c>
      <c r="P2973" s="5" t="inlineStr">
        <is>
          <t>5</t>
        </is>
      </c>
      <c r="Q2973" s="5" t="inlineStr">
        <is>
          <t>4</t>
        </is>
      </c>
      <c r="R2973" s="5" t="inlineStr">
        <is>
          <t>10</t>
        </is>
      </c>
      <c r="S2973" s="5" t="inlineStr">
        <is>
          <t>15</t>
        </is>
      </c>
      <c r="T2973" s="5" t="inlineStr">
        <is>
          <t>0</t>
        </is>
      </c>
      <c r="U2973" s="5" t="inlineStr">
        <is>
          <t>OK</t>
        </is>
      </c>
    </row>
    <row r="2974">
      <c r="A2974" s="5" t="inlineStr">
        <is>
          <t>E02260</t>
        </is>
      </c>
      <c r="B2974" s="5" t="inlineStr">
        <is>
          <t>Unknown</t>
        </is>
      </c>
      <c r="C2974" s="6" t="inlineStr">
        <is>
          <t>40</t>
        </is>
      </c>
      <c r="D2974" s="5" t="inlineStr">
        <is>
          <t>Married</t>
        </is>
      </c>
      <c r="E2974" s="5" t="inlineStr">
        <is>
          <t>Master</t>
        </is>
      </c>
      <c r="F2974" s="5" t="inlineStr">
        <is>
          <t>Operations</t>
        </is>
      </c>
      <c r="G2974" s="5" t="inlineStr">
        <is>
          <t>Operations Analyst</t>
        </is>
      </c>
      <c r="H2974" s="5" t="inlineStr">
        <is>
          <t>4</t>
        </is>
      </c>
      <c r="I2974" s="5" t="inlineStr">
        <is>
          <t>Delhi</t>
        </is>
      </c>
      <c r="J2974" s="5" t="inlineStr">
        <is>
          <t>Full-Time</t>
        </is>
      </c>
      <c r="K2974" s="7" t="n">
        <v>45590</v>
      </c>
      <c r="L2974" s="7" t="n">
        <v>45721</v>
      </c>
      <c r="M2974" s="5" t="inlineStr">
        <is>
          <t>No</t>
        </is>
      </c>
      <c r="N2974" s="5" t="inlineStr">
        <is>
          <t>Resigned</t>
        </is>
      </c>
      <c r="O2974" s="8" t="inlineStr">
        <is>
          <t>130000</t>
        </is>
      </c>
      <c r="P2974" s="5" t="inlineStr">
        <is>
          <t>10</t>
        </is>
      </c>
      <c r="Q2974" s="5" t="inlineStr">
        <is>
          <t>3</t>
        </is>
      </c>
      <c r="R2974" s="5" t="inlineStr">
        <is>
          <t>6</t>
        </is>
      </c>
      <c r="S2974" s="5" t="inlineStr">
        <is>
          <t>4</t>
        </is>
      </c>
      <c r="T2974" s="5" t="inlineStr">
        <is>
          <t>2</t>
        </is>
      </c>
      <c r="U2974" s="5" t="inlineStr">
        <is>
          <t>Bad gender</t>
        </is>
      </c>
    </row>
    <row r="2975">
      <c r="A2975" s="5" t="inlineStr">
        <is>
          <t>E01346</t>
        </is>
      </c>
      <c r="B2975" s="5" t="inlineStr">
        <is>
          <t>Male</t>
        </is>
      </c>
      <c r="C2975" s="6" t="inlineStr">
        <is>
          <t>43</t>
        </is>
      </c>
      <c r="D2975" s="5" t="inlineStr">
        <is>
          <t>Single</t>
        </is>
      </c>
      <c r="E2975" s="5" t="inlineStr">
        <is>
          <t>PhD</t>
        </is>
      </c>
      <c r="F2975" s="5" t="inlineStr">
        <is>
          <t>Customer Support</t>
        </is>
      </c>
      <c r="G2975" s="5" t="inlineStr">
        <is>
          <t>Support Lead</t>
        </is>
      </c>
      <c r="H2975" s="5" t="inlineStr">
        <is>
          <t>6</t>
        </is>
      </c>
      <c r="I2975" s="5" t="inlineStr">
        <is>
          <t>Mumbai</t>
        </is>
      </c>
      <c r="J2975" s="5" t="inlineStr">
        <is>
          <t>Full-Time</t>
        </is>
      </c>
      <c r="K2975" s="7" t="n">
        <v>44465</v>
      </c>
      <c r="L2975" s="7" t="inlineStr"/>
      <c r="M2975" s="5" t="inlineStr">
        <is>
          <t>Yes</t>
        </is>
      </c>
      <c r="N2975" s="5" t="inlineStr"/>
      <c r="O2975" s="8" t="inlineStr">
        <is>
          <t>108000</t>
        </is>
      </c>
      <c r="P2975" s="5" t="inlineStr">
        <is>
          <t>15</t>
        </is>
      </c>
      <c r="Q2975" s="5" t="inlineStr">
        <is>
          <t>3</t>
        </is>
      </c>
      <c r="R2975" s="5" t="inlineStr">
        <is>
          <t>9</t>
        </is>
      </c>
      <c r="S2975" s="5" t="inlineStr">
        <is>
          <t>51</t>
        </is>
      </c>
      <c r="T2975" s="5" t="inlineStr">
        <is>
          <t>4</t>
        </is>
      </c>
      <c r="U2975" s="5" t="inlineStr">
        <is>
          <t>OK</t>
        </is>
      </c>
    </row>
    <row r="2976">
      <c r="A2976" s="5" t="inlineStr">
        <is>
          <t>E01188</t>
        </is>
      </c>
      <c r="B2976" s="5" t="inlineStr">
        <is>
          <t>Female</t>
        </is>
      </c>
      <c r="C2976" s="6" t="inlineStr">
        <is>
          <t>44</t>
        </is>
      </c>
      <c r="D2976" s="5" t="inlineStr">
        <is>
          <t>Married</t>
        </is>
      </c>
      <c r="E2976" s="5" t="inlineStr">
        <is>
          <t>Master</t>
        </is>
      </c>
      <c r="F2976" s="5" t="inlineStr">
        <is>
          <t>Sales</t>
        </is>
      </c>
      <c r="G2976" s="5" t="inlineStr">
        <is>
          <t>Sales Executive</t>
        </is>
      </c>
      <c r="H2976" s="5" t="inlineStr">
        <is>
          <t>7</t>
        </is>
      </c>
      <c r="I2976" s="5" t="inlineStr">
        <is>
          <t>Chennai</t>
        </is>
      </c>
      <c r="J2976" s="5" t="inlineStr">
        <is>
          <t>Full-Time</t>
        </is>
      </c>
      <c r="K2976" s="7" t="n">
        <v>45244</v>
      </c>
      <c r="L2976" s="7" t="n">
        <v>45274</v>
      </c>
      <c r="M2976" s="5" t="inlineStr">
        <is>
          <t>No</t>
        </is>
      </c>
      <c r="N2976" s="5" t="inlineStr">
        <is>
          <t>Relocation</t>
        </is>
      </c>
      <c r="O2976" s="8" t="inlineStr">
        <is>
          <t>192500</t>
        </is>
      </c>
      <c r="P2976" s="5" t="inlineStr">
        <is>
          <t>10</t>
        </is>
      </c>
      <c r="Q2976" s="5" t="inlineStr">
        <is>
          <t>3</t>
        </is>
      </c>
      <c r="R2976" s="5" t="inlineStr">
        <is>
          <t>5</t>
        </is>
      </c>
      <c r="S2976" s="5" t="inlineStr">
        <is>
          <t>1</t>
        </is>
      </c>
      <c r="T2976" s="5" t="inlineStr">
        <is>
          <t>2</t>
        </is>
      </c>
      <c r="U2976" s="5" t="inlineStr">
        <is>
          <t>OK</t>
        </is>
      </c>
    </row>
    <row r="2977">
      <c r="A2977" s="5" t="inlineStr">
        <is>
          <t>E00994</t>
        </is>
      </c>
      <c r="B2977" s="5" t="inlineStr">
        <is>
          <t>Male</t>
        </is>
      </c>
      <c r="C2977" s="6" t="inlineStr">
        <is>
          <t>33</t>
        </is>
      </c>
      <c r="D2977" s="5" t="inlineStr">
        <is>
          <t>Single</t>
        </is>
      </c>
      <c r="E2977" s="5" t="inlineStr">
        <is>
          <t>Bachelor</t>
        </is>
      </c>
      <c r="F2977" s="5" t="inlineStr">
        <is>
          <t>Marketing</t>
        </is>
      </c>
      <c r="G2977" s="5" t="inlineStr">
        <is>
          <t>SEO Specialist</t>
        </is>
      </c>
      <c r="H2977" s="5" t="inlineStr">
        <is>
          <t>1</t>
        </is>
      </c>
      <c r="I2977" s="5" t="inlineStr">
        <is>
          <t>Hyderabad</t>
        </is>
      </c>
      <c r="J2977" s="5" t="inlineStr">
        <is>
          <t>Part-Time</t>
        </is>
      </c>
      <c r="K2977" s="7" t="n">
        <v>45285</v>
      </c>
      <c r="L2977" s="7" t="inlineStr"/>
      <c r="M2977" s="5" t="inlineStr">
        <is>
          <t>Yes</t>
        </is>
      </c>
      <c r="N2977" s="5" t="inlineStr"/>
      <c r="O2977" s="8" t="inlineStr">
        <is>
          <t>87500</t>
        </is>
      </c>
      <c r="P2977" s="5" t="inlineStr">
        <is>
          <t>0</t>
        </is>
      </c>
      <c r="Q2977" s="5" t="inlineStr">
        <is>
          <t>3</t>
        </is>
      </c>
      <c r="R2977" s="5" t="inlineStr">
        <is>
          <t>2</t>
        </is>
      </c>
      <c r="S2977" s="5" t="inlineStr">
        <is>
          <t>24</t>
        </is>
      </c>
      <c r="T2977" s="5" t="inlineStr">
        <is>
          <t>14</t>
        </is>
      </c>
      <c r="U2977" s="5" t="inlineStr">
        <is>
          <t>OK</t>
        </is>
      </c>
    </row>
    <row r="2978">
      <c r="A2978" s="5" t="inlineStr">
        <is>
          <t>E00999</t>
        </is>
      </c>
      <c r="B2978" s="5" t="inlineStr">
        <is>
          <t>Female</t>
        </is>
      </c>
      <c r="C2978" s="6" t="inlineStr">
        <is>
          <t>38</t>
        </is>
      </c>
      <c r="D2978" s="5" t="inlineStr">
        <is>
          <t>Single</t>
        </is>
      </c>
      <c r="E2978" s="5" t="inlineStr">
        <is>
          <t>PhD</t>
        </is>
      </c>
      <c r="F2978" s="5" t="inlineStr">
        <is>
          <t>Research &amp; Development</t>
        </is>
      </c>
      <c r="G2978" s="5" t="inlineStr">
        <is>
          <t>Product Engineer</t>
        </is>
      </c>
      <c r="H2978" s="5" t="inlineStr">
        <is>
          <t>3</t>
        </is>
      </c>
      <c r="I2978" s="5" t="inlineStr">
        <is>
          <t>Delhi</t>
        </is>
      </c>
      <c r="J2978" s="5" t="inlineStr">
        <is>
          <t>Full-Time</t>
        </is>
      </c>
      <c r="K2978" s="7" t="n">
        <v>44538</v>
      </c>
      <c r="L2978" s="7" t="inlineStr"/>
      <c r="M2978" s="5" t="inlineStr">
        <is>
          <t>Yes</t>
        </is>
      </c>
      <c r="N2978" s="5" t="inlineStr"/>
      <c r="O2978" s="8" t="inlineStr">
        <is>
          <t>174000</t>
        </is>
      </c>
      <c r="P2978" s="5" t="inlineStr">
        <is>
          <t>10</t>
        </is>
      </c>
      <c r="Q2978" s="5" t="inlineStr">
        <is>
          <t>5</t>
        </is>
      </c>
      <c r="R2978" s="5" t="inlineStr">
        <is>
          <t>7</t>
        </is>
      </c>
      <c r="S2978" s="5" t="inlineStr">
        <is>
          <t>49</t>
        </is>
      </c>
      <c r="T2978" s="5" t="inlineStr">
        <is>
          <t>0</t>
        </is>
      </c>
      <c r="U2978" s="5" t="inlineStr">
        <is>
          <t>OK</t>
        </is>
      </c>
    </row>
    <row r="2979">
      <c r="A2979" s="5" t="inlineStr">
        <is>
          <t>E00876</t>
        </is>
      </c>
      <c r="B2979" s="5" t="inlineStr">
        <is>
          <t>Male</t>
        </is>
      </c>
      <c r="C2979" s="6" t="inlineStr">
        <is>
          <t>42</t>
        </is>
      </c>
      <c r="D2979" s="5" t="inlineStr">
        <is>
          <t>Married</t>
        </is>
      </c>
      <c r="E2979" s="5" t="inlineStr">
        <is>
          <t>Master</t>
        </is>
      </c>
      <c r="F2979" s="5" t="inlineStr">
        <is>
          <t>Operations</t>
        </is>
      </c>
      <c r="G2979" s="5" t="inlineStr">
        <is>
          <t>Operations Analyst</t>
        </is>
      </c>
      <c r="H2979" s="5" t="inlineStr">
        <is>
          <t>6</t>
        </is>
      </c>
      <c r="I2979" s="5" t="inlineStr">
        <is>
          <t>Remote</t>
        </is>
      </c>
      <c r="J2979" s="5" t="inlineStr">
        <is>
          <t>Part-Time</t>
        </is>
      </c>
      <c r="K2979" s="7" t="n">
        <v>44732</v>
      </c>
      <c r="L2979" s="7" t="inlineStr"/>
      <c r="M2979" s="5" t="inlineStr">
        <is>
          <t>Yes</t>
        </is>
      </c>
      <c r="N2979" s="5" t="inlineStr"/>
      <c r="O2979" s="8" t="inlineStr">
        <is>
          <t>145000</t>
        </is>
      </c>
      <c r="P2979" s="5" t="inlineStr">
        <is>
          <t>0</t>
        </is>
      </c>
      <c r="Q2979" s="5" t="inlineStr">
        <is>
          <t>2</t>
        </is>
      </c>
      <c r="R2979" s="5" t="inlineStr">
        <is>
          <t>4</t>
        </is>
      </c>
      <c r="S2979" s="5" t="inlineStr">
        <is>
          <t>43</t>
        </is>
      </c>
      <c r="T2979" s="5" t="inlineStr">
        <is>
          <t>7</t>
        </is>
      </c>
      <c r="U2979" s="5" t="inlineStr">
        <is>
          <t>OK</t>
        </is>
      </c>
    </row>
    <row r="2980">
      <c r="A2980" s="5" t="inlineStr">
        <is>
          <t>E01564</t>
        </is>
      </c>
      <c r="B2980" s="5" t="inlineStr">
        <is>
          <t>Female</t>
        </is>
      </c>
      <c r="C2980" s="6" t="inlineStr">
        <is>
          <t>41</t>
        </is>
      </c>
      <c r="D2980" s="5" t="inlineStr">
        <is>
          <t>Single</t>
        </is>
      </c>
      <c r="E2980" s="5" t="inlineStr">
        <is>
          <t>High School</t>
        </is>
      </c>
      <c r="F2980" s="5" t="inlineStr">
        <is>
          <t>Sales</t>
        </is>
      </c>
      <c r="G2980" s="5" t="inlineStr">
        <is>
          <t>Account Executive</t>
        </is>
      </c>
      <c r="H2980" s="5" t="inlineStr">
        <is>
          <t>7</t>
        </is>
      </c>
      <c r="I2980" s="5" t="inlineStr">
        <is>
          <t>Remote</t>
        </is>
      </c>
      <c r="J2980" s="5" t="inlineStr">
        <is>
          <t>Part-Time</t>
        </is>
      </c>
      <c r="K2980" s="7" t="n">
        <v>45373</v>
      </c>
      <c r="L2980" s="7" t="inlineStr"/>
      <c r="M2980" s="5" t="inlineStr">
        <is>
          <t>Yes</t>
        </is>
      </c>
      <c r="N2980" s="5" t="inlineStr"/>
      <c r="O2980" s="8" t="inlineStr">
        <is>
          <t>130500</t>
        </is>
      </c>
      <c r="P2980" s="5" t="inlineStr">
        <is>
          <t>15</t>
        </is>
      </c>
      <c r="Q2980" s="5" t="inlineStr">
        <is>
          <t>3</t>
        </is>
      </c>
      <c r="R2980" s="5" t="inlineStr">
        <is>
          <t>3</t>
        </is>
      </c>
      <c r="S2980" s="5" t="inlineStr">
        <is>
          <t>21</t>
        </is>
      </c>
      <c r="T2980" s="5" t="inlineStr">
        <is>
          <t>10</t>
        </is>
      </c>
      <c r="U2980" s="5" t="inlineStr">
        <is>
          <t>OK</t>
        </is>
      </c>
    </row>
    <row r="2981">
      <c r="A2981" s="5" t="inlineStr">
        <is>
          <t>E01063</t>
        </is>
      </c>
      <c r="B2981" s="5" t="inlineStr">
        <is>
          <t>Female</t>
        </is>
      </c>
      <c r="C2981" s="6" t="inlineStr">
        <is>
          <t>28</t>
        </is>
      </c>
      <c r="D2981" s="5" t="inlineStr">
        <is>
          <t>Married</t>
        </is>
      </c>
      <c r="E2981" s="5" t="inlineStr">
        <is>
          <t>High School</t>
        </is>
      </c>
      <c r="F2981" s="5" t="inlineStr">
        <is>
          <t>IT</t>
        </is>
      </c>
      <c r="G2981" s="5" t="inlineStr">
        <is>
          <t>DevOps Engineer</t>
        </is>
      </c>
      <c r="H2981" s="5" t="inlineStr">
        <is>
          <t>1</t>
        </is>
      </c>
      <c r="I2981" s="5" t="inlineStr">
        <is>
          <t>Chennai</t>
        </is>
      </c>
      <c r="J2981" s="5" t="inlineStr">
        <is>
          <t>Full-Time</t>
        </is>
      </c>
      <c r="K2981" s="7" t="n">
        <v>45340</v>
      </c>
      <c r="L2981" s="7" t="inlineStr"/>
      <c r="M2981" s="5" t="inlineStr">
        <is>
          <t>Yes</t>
        </is>
      </c>
      <c r="N2981" s="5" t="inlineStr"/>
      <c r="O2981" s="8" t="inlineStr">
        <is>
          <t>112000</t>
        </is>
      </c>
      <c r="P2981" s="5" t="inlineStr">
        <is>
          <t>10</t>
        </is>
      </c>
      <c r="Q2981" s="5" t="inlineStr">
        <is>
          <t>3</t>
        </is>
      </c>
      <c r="R2981" s="5" t="inlineStr">
        <is>
          <t>7</t>
        </is>
      </c>
      <c r="S2981" s="5" t="inlineStr">
        <is>
          <t>22</t>
        </is>
      </c>
      <c r="T2981" s="5" t="inlineStr">
        <is>
          <t>5</t>
        </is>
      </c>
      <c r="U2981" s="5" t="inlineStr">
        <is>
          <t>OK</t>
        </is>
      </c>
    </row>
    <row r="2982">
      <c r="A2982" s="5" t="inlineStr">
        <is>
          <t>E00251</t>
        </is>
      </c>
      <c r="B2982" s="5" t="inlineStr">
        <is>
          <t>Male</t>
        </is>
      </c>
      <c r="C2982" s="6" t="inlineStr">
        <is>
          <t>23</t>
        </is>
      </c>
      <c r="D2982" s="5" t="inlineStr">
        <is>
          <t>Married</t>
        </is>
      </c>
      <c r="E2982" s="5" t="inlineStr">
        <is>
          <t>High School</t>
        </is>
      </c>
      <c r="F2982" s="5" t="inlineStr">
        <is>
          <t>Customer Support</t>
        </is>
      </c>
      <c r="G2982" s="5" t="inlineStr">
        <is>
          <t>Support Lead</t>
        </is>
      </c>
      <c r="H2982" s="5" t="inlineStr">
        <is>
          <t>1</t>
        </is>
      </c>
      <c r="I2982" s="5" t="inlineStr">
        <is>
          <t>Delhi</t>
        </is>
      </c>
      <c r="J2982" s="5" t="inlineStr">
        <is>
          <t>Full-Time</t>
        </is>
      </c>
      <c r="K2982" s="7" t="n">
        <v>43864</v>
      </c>
      <c r="L2982" s="7" t="n">
        <v>43998</v>
      </c>
      <c r="M2982" s="5" t="inlineStr">
        <is>
          <t>No</t>
        </is>
      </c>
      <c r="N2982" s="5" t="inlineStr">
        <is>
          <t>Resigned</t>
        </is>
      </c>
      <c r="O2982" s="8" t="inlineStr">
        <is>
          <t>44000</t>
        </is>
      </c>
      <c r="P2982" s="5" t="inlineStr">
        <is>
          <t>10</t>
        </is>
      </c>
      <c r="Q2982" s="5" t="inlineStr">
        <is>
          <t>5</t>
        </is>
      </c>
      <c r="R2982" s="5" t="inlineStr">
        <is>
          <t>7</t>
        </is>
      </c>
      <c r="S2982" s="5" t="inlineStr">
        <is>
          <t>4</t>
        </is>
      </c>
      <c r="T2982" s="5" t="inlineStr">
        <is>
          <t>15</t>
        </is>
      </c>
      <c r="U2982" s="5" t="inlineStr">
        <is>
          <t>OK</t>
        </is>
      </c>
    </row>
    <row r="2983">
      <c r="A2983" s="5" t="inlineStr">
        <is>
          <t>E00817</t>
        </is>
      </c>
      <c r="B2983" s="5" t="inlineStr">
        <is>
          <t>Male</t>
        </is>
      </c>
      <c r="C2983" s="6" t="inlineStr">
        <is>
          <t>37</t>
        </is>
      </c>
      <c r="D2983" s="5" t="inlineStr">
        <is>
          <t>Married</t>
        </is>
      </c>
      <c r="E2983" s="5" t="inlineStr">
        <is>
          <t>Master</t>
        </is>
      </c>
      <c r="F2983" s="5" t="inlineStr">
        <is>
          <t>IT</t>
        </is>
      </c>
      <c r="G2983" s="5" t="inlineStr">
        <is>
          <t>DevOps Engineer</t>
        </is>
      </c>
      <c r="H2983" s="5" t="inlineStr">
        <is>
          <t>3</t>
        </is>
      </c>
      <c r="I2983" s="5" t="inlineStr">
        <is>
          <t>Mumbai</t>
        </is>
      </c>
      <c r="J2983" s="5" t="inlineStr">
        <is>
          <t>Part-Time</t>
        </is>
      </c>
      <c r="K2983" s="7" t="n">
        <v>44954</v>
      </c>
      <c r="L2983" s="7" t="inlineStr"/>
      <c r="M2983" s="5" t="inlineStr">
        <is>
          <t>Yes</t>
        </is>
      </c>
      <c r="N2983" s="5" t="inlineStr"/>
      <c r="O2983" s="8" t="inlineStr">
        <is>
          <t>147000</t>
        </is>
      </c>
      <c r="P2983" s="5" t="inlineStr">
        <is>
          <t>0</t>
        </is>
      </c>
      <c r="Q2983" s="5" t="inlineStr">
        <is>
          <t>3</t>
        </is>
      </c>
      <c r="R2983" s="5" t="inlineStr">
        <is>
          <t>2</t>
        </is>
      </c>
      <c r="S2983" s="5" t="inlineStr">
        <is>
          <t>35</t>
        </is>
      </c>
      <c r="T2983" s="5" t="inlineStr">
        <is>
          <t>4</t>
        </is>
      </c>
      <c r="U2983" s="5" t="inlineStr">
        <is>
          <t>OK</t>
        </is>
      </c>
    </row>
    <row r="2984">
      <c r="A2984" s="5" t="inlineStr">
        <is>
          <t>E02540</t>
        </is>
      </c>
      <c r="B2984" s="5" t="inlineStr">
        <is>
          <t>Female</t>
        </is>
      </c>
      <c r="C2984" s="6" t="inlineStr">
        <is>
          <t>42</t>
        </is>
      </c>
      <c r="D2984" s="5" t="inlineStr">
        <is>
          <t>Married</t>
        </is>
      </c>
      <c r="E2984" s="5" t="inlineStr">
        <is>
          <t>Master</t>
        </is>
      </c>
      <c r="F2984" s="5" t="inlineStr">
        <is>
          <t>Sales</t>
        </is>
      </c>
      <c r="G2984" s="5" t="inlineStr">
        <is>
          <t>Sales Executive</t>
        </is>
      </c>
      <c r="H2984" s="5" t="inlineStr">
        <is>
          <t>6</t>
        </is>
      </c>
      <c r="I2984" s="5" t="inlineStr">
        <is>
          <t>Delhi</t>
        </is>
      </c>
      <c r="J2984" s="5" t="inlineStr">
        <is>
          <t>Full-Time</t>
        </is>
      </c>
      <c r="K2984" s="7" t="n">
        <v>43938</v>
      </c>
      <c r="L2984" s="7" t="inlineStr"/>
      <c r="M2984" s="5" t="inlineStr">
        <is>
          <t>Yes</t>
        </is>
      </c>
      <c r="N2984" s="5" t="inlineStr"/>
      <c r="O2984" s="8" t="inlineStr">
        <is>
          <t>154500</t>
        </is>
      </c>
      <c r="P2984" s="5" t="inlineStr">
        <is>
          <t>10</t>
        </is>
      </c>
      <c r="Q2984" s="5" t="inlineStr">
        <is>
          <t>2</t>
        </is>
      </c>
      <c r="R2984" s="5" t="inlineStr">
        <is>
          <t>6</t>
        </is>
      </c>
      <c r="S2984" s="5" t="inlineStr">
        <is>
          <t>69</t>
        </is>
      </c>
      <c r="T2984" s="5" t="inlineStr">
        <is>
          <t>0</t>
        </is>
      </c>
      <c r="U2984" s="5" t="inlineStr">
        <is>
          <t>OK</t>
        </is>
      </c>
    </row>
    <row r="2985">
      <c r="A2985" s="5" t="inlineStr">
        <is>
          <t>E00883</t>
        </is>
      </c>
      <c r="B2985" s="5" t="inlineStr">
        <is>
          <t>Female</t>
        </is>
      </c>
      <c r="C2985" s="6" t="inlineStr">
        <is>
          <t>33</t>
        </is>
      </c>
      <c r="D2985" s="5" t="inlineStr">
        <is>
          <t>Married</t>
        </is>
      </c>
      <c r="E2985" s="5" t="inlineStr">
        <is>
          <t>High School</t>
        </is>
      </c>
      <c r="F2985" s="5" t="inlineStr">
        <is>
          <t>Finance</t>
        </is>
      </c>
      <c r="G2985" s="5" t="inlineStr">
        <is>
          <t>Accountant</t>
        </is>
      </c>
      <c r="H2985" s="5" t="inlineStr">
        <is>
          <t>1</t>
        </is>
      </c>
      <c r="I2985" s="5" t="inlineStr">
        <is>
          <t>Mumbai</t>
        </is>
      </c>
      <c r="J2985" s="5" t="inlineStr">
        <is>
          <t>Full-Time</t>
        </is>
      </c>
      <c r="K2985" s="7" t="n">
        <v>44304</v>
      </c>
      <c r="L2985" s="7" t="inlineStr"/>
      <c r="M2985" s="5" t="inlineStr">
        <is>
          <t>Yes</t>
        </is>
      </c>
      <c r="N2985" s="5" t="inlineStr"/>
      <c r="O2985" s="8" t="inlineStr">
        <is>
          <t>99000</t>
        </is>
      </c>
      <c r="P2985" s="5" t="inlineStr">
        <is>
          <t>5</t>
        </is>
      </c>
      <c r="Q2985" s="5" t="inlineStr">
        <is>
          <t>4</t>
        </is>
      </c>
      <c r="R2985" s="5" t="inlineStr">
        <is>
          <t>4</t>
        </is>
      </c>
      <c r="S2985" s="5" t="inlineStr">
        <is>
          <t>57</t>
        </is>
      </c>
      <c r="T2985" s="5" t="inlineStr">
        <is>
          <t>1</t>
        </is>
      </c>
      <c r="U2985" s="5" t="inlineStr">
        <is>
          <t>OK</t>
        </is>
      </c>
    </row>
    <row r="2986">
      <c r="A2986" s="5" t="inlineStr">
        <is>
          <t>E02662</t>
        </is>
      </c>
      <c r="B2986" s="5" t="inlineStr">
        <is>
          <t>Female</t>
        </is>
      </c>
      <c r="C2986" s="6" t="inlineStr">
        <is>
          <t>40</t>
        </is>
      </c>
      <c r="D2986" s="5" t="inlineStr">
        <is>
          <t>Single</t>
        </is>
      </c>
      <c r="E2986" s="5" t="inlineStr">
        <is>
          <t>Bachelor</t>
        </is>
      </c>
      <c r="F2986" s="5" t="inlineStr">
        <is>
          <t>Research &amp; Development</t>
        </is>
      </c>
      <c r="G2986" s="5" t="inlineStr">
        <is>
          <t>Research Scientist</t>
        </is>
      </c>
      <c r="H2986" s="5" t="inlineStr">
        <is>
          <t>4</t>
        </is>
      </c>
      <c r="I2986" s="5" t="inlineStr">
        <is>
          <t>Chennai</t>
        </is>
      </c>
      <c r="J2986" s="5" t="inlineStr">
        <is>
          <t>Full-Time</t>
        </is>
      </c>
      <c r="K2986" s="7" t="n">
        <v>44188</v>
      </c>
      <c r="L2986" s="7" t="inlineStr"/>
      <c r="M2986" s="5" t="inlineStr">
        <is>
          <t>Yes</t>
        </is>
      </c>
      <c r="N2986" s="5" t="inlineStr"/>
      <c r="O2986" s="8" t="inlineStr">
        <is>
          <t>221000</t>
        </is>
      </c>
      <c r="P2986" s="5" t="inlineStr">
        <is>
          <t>5</t>
        </is>
      </c>
      <c r="Q2986" s="5" t="inlineStr">
        <is>
          <t>5</t>
        </is>
      </c>
      <c r="R2986" s="5" t="inlineStr">
        <is>
          <t>5</t>
        </is>
      </c>
      <c r="S2986" s="5" t="inlineStr">
        <is>
          <t>61</t>
        </is>
      </c>
      <c r="T2986" s="5" t="inlineStr">
        <is>
          <t>8</t>
        </is>
      </c>
      <c r="U2986" s="5" t="inlineStr">
        <is>
          <t>OK</t>
        </is>
      </c>
    </row>
    <row r="2987">
      <c r="A2987" s="5" t="inlineStr">
        <is>
          <t>E02360</t>
        </is>
      </c>
      <c r="B2987" s="5" t="inlineStr">
        <is>
          <t>Male</t>
        </is>
      </c>
      <c r="C2987" s="6" t="inlineStr">
        <is>
          <t>30</t>
        </is>
      </c>
      <c r="D2987" s="5" t="inlineStr">
        <is>
          <t>Married</t>
        </is>
      </c>
      <c r="E2987" s="5" t="inlineStr">
        <is>
          <t>PhD</t>
        </is>
      </c>
      <c r="F2987" s="5" t="inlineStr">
        <is>
          <t>Operations</t>
        </is>
      </c>
      <c r="G2987" s="5" t="inlineStr">
        <is>
          <t>Quality Analyst</t>
        </is>
      </c>
      <c r="H2987" s="5" t="inlineStr">
        <is>
          <t>3</t>
        </is>
      </c>
      <c r="I2987" s="5" t="inlineStr">
        <is>
          <t>Chennai</t>
        </is>
      </c>
      <c r="J2987" s="5" t="inlineStr">
        <is>
          <t>Full-Time</t>
        </is>
      </c>
      <c r="K2987" s="7" t="n">
        <v>44886</v>
      </c>
      <c r="L2987" s="7" t="inlineStr"/>
      <c r="M2987" s="5" t="inlineStr">
        <is>
          <t>Yes</t>
        </is>
      </c>
      <c r="N2987" s="5" t="inlineStr"/>
      <c r="O2987" s="8" t="inlineStr">
        <is>
          <t>88500</t>
        </is>
      </c>
      <c r="P2987" s="5" t="inlineStr">
        <is>
          <t>5</t>
        </is>
      </c>
      <c r="Q2987" s="5" t="inlineStr">
        <is>
          <t>5</t>
        </is>
      </c>
      <c r="R2987" s="5" t="inlineStr">
        <is>
          <t>5</t>
        </is>
      </c>
      <c r="S2987" s="5" t="inlineStr">
        <is>
          <t>37</t>
        </is>
      </c>
      <c r="T2987" s="5" t="inlineStr">
        <is>
          <t>6</t>
        </is>
      </c>
      <c r="U2987" s="5" t="inlineStr">
        <is>
          <t>OK</t>
        </is>
      </c>
    </row>
    <row r="2988">
      <c r="A2988" s="5" t="inlineStr">
        <is>
          <t>E01613</t>
        </is>
      </c>
      <c r="B2988" s="5" t="inlineStr">
        <is>
          <t>Female</t>
        </is>
      </c>
      <c r="C2988" s="6" t="inlineStr">
        <is>
          <t>32</t>
        </is>
      </c>
      <c r="D2988" s="5" t="inlineStr">
        <is>
          <t>Married</t>
        </is>
      </c>
      <c r="E2988" s="5" t="inlineStr">
        <is>
          <t>Diploma</t>
        </is>
      </c>
      <c r="F2988" s="5" t="inlineStr">
        <is>
          <t>Finance</t>
        </is>
      </c>
      <c r="G2988" s="5" t="inlineStr">
        <is>
          <t>Accountant</t>
        </is>
      </c>
      <c r="H2988" s="5" t="inlineStr">
        <is>
          <t>3</t>
        </is>
      </c>
      <c r="I2988" s="5" t="inlineStr">
        <is>
          <t>Chennai</t>
        </is>
      </c>
      <c r="J2988" s="5" t="inlineStr">
        <is>
          <t>Full-Time</t>
        </is>
      </c>
      <c r="K2988" s="7" t="n">
        <v>43984</v>
      </c>
      <c r="L2988" s="7" t="inlineStr"/>
      <c r="M2988" s="5" t="inlineStr">
        <is>
          <t>Yes</t>
        </is>
      </c>
      <c r="N2988" s="5" t="inlineStr"/>
      <c r="O2988" s="8" t="inlineStr">
        <is>
          <t>93000</t>
        </is>
      </c>
      <c r="P2988" s="5" t="inlineStr">
        <is>
          <t>10</t>
        </is>
      </c>
      <c r="Q2988" s="5" t="inlineStr">
        <is>
          <t>5</t>
        </is>
      </c>
      <c r="R2988" s="5" t="inlineStr">
        <is>
          <t>5</t>
        </is>
      </c>
      <c r="S2988" s="5" t="inlineStr">
        <is>
          <t>67</t>
        </is>
      </c>
      <c r="T2988" s="5" t="inlineStr">
        <is>
          <t>6</t>
        </is>
      </c>
      <c r="U2988" s="5" t="inlineStr">
        <is>
          <t>OK</t>
        </is>
      </c>
    </row>
    <row r="2989">
      <c r="A2989" s="5" t="inlineStr">
        <is>
          <t>E02736</t>
        </is>
      </c>
      <c r="B2989" s="5" t="inlineStr">
        <is>
          <t>Female</t>
        </is>
      </c>
      <c r="C2989" s="6" t="inlineStr">
        <is>
          <t>27</t>
        </is>
      </c>
      <c r="D2989" s="5" t="inlineStr">
        <is>
          <t>Married</t>
        </is>
      </c>
      <c r="E2989" s="5" t="inlineStr">
        <is>
          <t>PhD</t>
        </is>
      </c>
      <c r="F2989" s="5" t="inlineStr">
        <is>
          <t>IT</t>
        </is>
      </c>
      <c r="G2989" s="5" t="inlineStr">
        <is>
          <t>IT Support</t>
        </is>
      </c>
      <c r="H2989" s="5" t="inlineStr">
        <is>
          <t>1</t>
        </is>
      </c>
      <c r="I2989" s="5" t="inlineStr">
        <is>
          <t>Bengaluru</t>
        </is>
      </c>
      <c r="J2989" s="5" t="inlineStr">
        <is>
          <t>Full-Time</t>
        </is>
      </c>
      <c r="K2989" s="7" t="n">
        <v>45375</v>
      </c>
      <c r="L2989" s="7" t="inlineStr"/>
      <c r="M2989" s="5" t="inlineStr">
        <is>
          <t>Yes</t>
        </is>
      </c>
      <c r="N2989" s="5" t="inlineStr"/>
      <c r="O2989" s="8" t="inlineStr">
        <is>
          <t>107500</t>
        </is>
      </c>
      <c r="P2989" s="5" t="inlineStr">
        <is>
          <t>15</t>
        </is>
      </c>
      <c r="Q2989" s="5" t="inlineStr">
        <is>
          <t>5</t>
        </is>
      </c>
      <c r="R2989" s="5" t="inlineStr">
        <is>
          <t>6</t>
        </is>
      </c>
      <c r="S2989" s="5" t="inlineStr">
        <is>
          <t>21</t>
        </is>
      </c>
      <c r="T2989" s="5" t="inlineStr">
        <is>
          <t>1</t>
        </is>
      </c>
      <c r="U2989" s="5" t="inlineStr">
        <is>
          <t>OK</t>
        </is>
      </c>
    </row>
    <row r="2990">
      <c r="A2990" s="5" t="inlineStr">
        <is>
          <t>E01052</t>
        </is>
      </c>
      <c r="B2990" s="5" t="inlineStr">
        <is>
          <t>Female</t>
        </is>
      </c>
      <c r="C2990" s="6" t="inlineStr">
        <is>
          <t>27</t>
        </is>
      </c>
      <c r="D2990" s="5" t="inlineStr">
        <is>
          <t>Married</t>
        </is>
      </c>
      <c r="E2990" s="5" t="inlineStr">
        <is>
          <t>High School</t>
        </is>
      </c>
      <c r="F2990" s="5" t="inlineStr">
        <is>
          <t>Research &amp; Development</t>
        </is>
      </c>
      <c r="G2990" s="5" t="inlineStr">
        <is>
          <t>Research Scientist</t>
        </is>
      </c>
      <c r="H2990" s="5" t="inlineStr">
        <is>
          <t>1</t>
        </is>
      </c>
      <c r="I2990" s="5" t="inlineStr">
        <is>
          <t>Delhi</t>
        </is>
      </c>
      <c r="J2990" s="5" t="inlineStr">
        <is>
          <t>Full-Time</t>
        </is>
      </c>
      <c r="K2990" s="7" t="n">
        <v>44982</v>
      </c>
      <c r="L2990" s="7" t="inlineStr"/>
      <c r="M2990" s="5" t="inlineStr">
        <is>
          <t>Yes</t>
        </is>
      </c>
      <c r="N2990" s="5" t="inlineStr"/>
      <c r="O2990" s="8" t="inlineStr">
        <is>
          <t>158000</t>
        </is>
      </c>
      <c r="P2990" s="5" t="inlineStr">
        <is>
          <t>0</t>
        </is>
      </c>
      <c r="Q2990" s="5" t="inlineStr">
        <is>
          <t>5</t>
        </is>
      </c>
      <c r="R2990" s="5" t="inlineStr">
        <is>
          <t>7</t>
        </is>
      </c>
      <c r="S2990" s="5" t="inlineStr">
        <is>
          <t>34</t>
        </is>
      </c>
      <c r="T2990" s="5" t="inlineStr">
        <is>
          <t>1</t>
        </is>
      </c>
      <c r="U2990" s="5" t="inlineStr">
        <is>
          <t>OK</t>
        </is>
      </c>
    </row>
    <row r="2991">
      <c r="A2991" s="5" t="inlineStr">
        <is>
          <t>E01925</t>
        </is>
      </c>
      <c r="B2991" s="5" t="inlineStr">
        <is>
          <t>male</t>
        </is>
      </c>
      <c r="C2991" s="6" t="inlineStr">
        <is>
          <t>31</t>
        </is>
      </c>
      <c r="D2991" s="5" t="inlineStr">
        <is>
          <t>Married</t>
        </is>
      </c>
      <c r="E2991" s="5" t="inlineStr">
        <is>
          <t>Master</t>
        </is>
      </c>
      <c r="F2991" s="5" t="inlineStr">
        <is>
          <t>Human Resources</t>
        </is>
      </c>
      <c r="G2991" s="5" t="inlineStr">
        <is>
          <t>HR Analyst</t>
        </is>
      </c>
      <c r="H2991" s="5" t="inlineStr">
        <is>
          <t>3</t>
        </is>
      </c>
      <c r="I2991" s="5" t="inlineStr">
        <is>
          <t>Mumbai</t>
        </is>
      </c>
      <c r="J2991" s="5" t="inlineStr">
        <is>
          <t>Full-Time</t>
        </is>
      </c>
      <c r="K2991" s="7" t="n">
        <v>45939</v>
      </c>
      <c r="L2991" s="7" t="inlineStr"/>
      <c r="M2991" s="5" t="inlineStr">
        <is>
          <t>Yes</t>
        </is>
      </c>
      <c r="N2991" s="5" t="inlineStr"/>
      <c r="O2991" s="8" t="inlineStr">
        <is>
          <t>83500</t>
        </is>
      </c>
      <c r="P2991" s="5" t="inlineStr">
        <is>
          <t>10</t>
        </is>
      </c>
      <c r="Q2991" s="5" t="inlineStr">
        <is>
          <t>3</t>
        </is>
      </c>
      <c r="R2991" s="5" t="inlineStr">
        <is>
          <t>7</t>
        </is>
      </c>
      <c r="S2991" s="5" t="inlineStr">
        <is>
          <t>2</t>
        </is>
      </c>
      <c r="T2991" s="5" t="inlineStr">
        <is>
          <t>5</t>
        </is>
      </c>
      <c r="U2991" s="5" t="inlineStr">
        <is>
          <t>OK</t>
        </is>
      </c>
    </row>
    <row r="2992">
      <c r="A2992" s="5" t="inlineStr">
        <is>
          <t>E00963</t>
        </is>
      </c>
      <c r="B2992" s="5" t="inlineStr">
        <is>
          <t>Male</t>
        </is>
      </c>
      <c r="C2992" s="6" t="inlineStr">
        <is>
          <t>29</t>
        </is>
      </c>
      <c r="D2992" s="5" t="inlineStr">
        <is>
          <t>Single</t>
        </is>
      </c>
      <c r="E2992" s="5" t="inlineStr">
        <is>
          <t>Diploma</t>
        </is>
      </c>
      <c r="F2992" s="5" t="inlineStr">
        <is>
          <t>Marketing</t>
        </is>
      </c>
      <c r="G2992" s="5" t="inlineStr">
        <is>
          <t>Marketing Analyst</t>
        </is>
      </c>
      <c r="H2992" s="5" t="inlineStr">
        <is>
          <t>1</t>
        </is>
      </c>
      <c r="I2992" s="5" t="inlineStr">
        <is>
          <t>Chennai</t>
        </is>
      </c>
      <c r="J2992" s="5" t="inlineStr">
        <is>
          <t>Full-Time</t>
        </is>
      </c>
      <c r="K2992" s="7" t="n">
        <v>43938</v>
      </c>
      <c r="L2992" s="7" t="inlineStr"/>
      <c r="M2992" s="5" t="inlineStr">
        <is>
          <t>Yes</t>
        </is>
      </c>
      <c r="N2992" s="5" t="inlineStr"/>
      <c r="O2992" s="8" t="inlineStr">
        <is>
          <t>86500</t>
        </is>
      </c>
      <c r="P2992" s="5" t="inlineStr">
        <is>
          <t>0</t>
        </is>
      </c>
      <c r="Q2992" s="5" t="inlineStr">
        <is>
          <t>1</t>
        </is>
      </c>
      <c r="R2992" s="5" t="inlineStr">
        <is>
          <t>7</t>
        </is>
      </c>
      <c r="S2992" s="5" t="inlineStr">
        <is>
          <t>69</t>
        </is>
      </c>
      <c r="T2992" s="5" t="inlineStr">
        <is>
          <t>3</t>
        </is>
      </c>
      <c r="U2992" s="5" t="inlineStr">
        <is>
          <t>OK</t>
        </is>
      </c>
    </row>
    <row r="2993">
      <c r="A2993" s="5" t="inlineStr">
        <is>
          <t>E00822</t>
        </is>
      </c>
      <c r="B2993" s="5" t="inlineStr">
        <is>
          <t>Male</t>
        </is>
      </c>
      <c r="C2993" s="6" t="inlineStr">
        <is>
          <t>33</t>
        </is>
      </c>
      <c r="D2993" s="5" t="inlineStr">
        <is>
          <t>Married</t>
        </is>
      </c>
      <c r="E2993" s="5" t="inlineStr">
        <is>
          <t>Bachelor</t>
        </is>
      </c>
      <c r="F2993" s="5" t="inlineStr">
        <is>
          <t>IT</t>
        </is>
      </c>
      <c r="G2993" s="5" t="inlineStr">
        <is>
          <t>Data Analyst</t>
        </is>
      </c>
      <c r="H2993" s="5" t="inlineStr">
        <is>
          <t>1</t>
        </is>
      </c>
      <c r="I2993" s="5" t="inlineStr">
        <is>
          <t>Chennai</t>
        </is>
      </c>
      <c r="J2993" s="5" t="inlineStr">
        <is>
          <t>Full-Time</t>
        </is>
      </c>
      <c r="K2993" s="7" t="n">
        <v>45887</v>
      </c>
      <c r="L2993" s="7" t="inlineStr"/>
      <c r="M2993" s="5" t="inlineStr">
        <is>
          <t>Yes</t>
        </is>
      </c>
      <c r="N2993" s="5" t="inlineStr"/>
      <c r="O2993" s="8" t="inlineStr">
        <is>
          <t>113000</t>
        </is>
      </c>
      <c r="P2993" s="5" t="inlineStr">
        <is>
          <t>20</t>
        </is>
      </c>
      <c r="Q2993" s="5" t="inlineStr">
        <is>
          <t>3</t>
        </is>
      </c>
      <c r="R2993" s="5" t="inlineStr">
        <is>
          <t>9</t>
        </is>
      </c>
      <c r="S2993" s="5" t="inlineStr">
        <is>
          <t>4</t>
        </is>
      </c>
      <c r="T2993" s="5" t="inlineStr">
        <is>
          <t>0</t>
        </is>
      </c>
      <c r="U2993" s="5" t="inlineStr">
        <is>
          <t>OK</t>
        </is>
      </c>
    </row>
    <row r="2994">
      <c r="A2994" s="5" t="inlineStr">
        <is>
          <t>E01271</t>
        </is>
      </c>
      <c r="B2994" s="5" t="inlineStr">
        <is>
          <t>Male</t>
        </is>
      </c>
      <c r="C2994" s="6" t="inlineStr">
        <is>
          <t>38</t>
        </is>
      </c>
      <c r="D2994" s="5" t="inlineStr">
        <is>
          <t>Married</t>
        </is>
      </c>
      <c r="E2994" s="5" t="inlineStr">
        <is>
          <t>PhD</t>
        </is>
      </c>
      <c r="F2994" s="5" t="inlineStr">
        <is>
          <t>Sales</t>
        </is>
      </c>
      <c r="G2994" s="5" t="inlineStr">
        <is>
          <t>Sales Executive</t>
        </is>
      </c>
      <c r="H2994" s="5" t="inlineStr">
        <is>
          <t>4</t>
        </is>
      </c>
      <c r="I2994" s="5" t="inlineStr">
        <is>
          <t>Bengaluru</t>
        </is>
      </c>
      <c r="J2994" s="5" t="inlineStr">
        <is>
          <t>Contract</t>
        </is>
      </c>
      <c r="K2994" s="7" t="n">
        <v>44963</v>
      </c>
      <c r="L2994" s="7" t="inlineStr"/>
      <c r="M2994" s="5" t="inlineStr">
        <is>
          <t>Yes</t>
        </is>
      </c>
      <c r="N2994" s="5" t="inlineStr"/>
      <c r="O2994" s="8" t="inlineStr">
        <is>
          <t>129000</t>
        </is>
      </c>
      <c r="P2994" s="5" t="inlineStr">
        <is>
          <t>15</t>
        </is>
      </c>
      <c r="Q2994" s="5" t="inlineStr">
        <is>
          <t>4</t>
        </is>
      </c>
      <c r="R2994" s="5" t="inlineStr">
        <is>
          <t>4</t>
        </is>
      </c>
      <c r="S2994" s="5" t="inlineStr">
        <is>
          <t>35</t>
        </is>
      </c>
      <c r="T2994" s="5" t="inlineStr">
        <is>
          <t>4</t>
        </is>
      </c>
      <c r="U2994" s="5" t="inlineStr">
        <is>
          <t>OK</t>
        </is>
      </c>
    </row>
    <row r="2995">
      <c r="A2995" s="5" t="inlineStr">
        <is>
          <t>E00151</t>
        </is>
      </c>
      <c r="B2995" s="5" t="inlineStr">
        <is>
          <t>Male</t>
        </is>
      </c>
      <c r="C2995" s="6" t="inlineStr">
        <is>
          <t>29</t>
        </is>
      </c>
      <c r="D2995" s="5" t="inlineStr">
        <is>
          <t>Single</t>
        </is>
      </c>
      <c r="E2995" s="5" t="inlineStr">
        <is>
          <t>High School</t>
        </is>
      </c>
      <c r="F2995" s="5" t="inlineStr">
        <is>
          <t>Sales</t>
        </is>
      </c>
      <c r="G2995" s="5" t="inlineStr">
        <is>
          <t>Account Executive</t>
        </is>
      </c>
      <c r="H2995" s="5" t="inlineStr">
        <is>
          <t>1</t>
        </is>
      </c>
      <c r="I2995" s="5" t="inlineStr">
        <is>
          <t>Mumbai</t>
        </is>
      </c>
      <c r="J2995" s="5" t="inlineStr">
        <is>
          <t>Full-Time</t>
        </is>
      </c>
      <c r="K2995" s="7" t="n">
        <v>45874</v>
      </c>
      <c r="L2995" s="7" t="n">
        <v>45951</v>
      </c>
      <c r="M2995" s="5" t="inlineStr">
        <is>
          <t>No</t>
        </is>
      </c>
      <c r="N2995" s="5" t="inlineStr">
        <is>
          <t>Relocation</t>
        </is>
      </c>
      <c r="O2995" s="8" t="inlineStr">
        <is>
          <t>63000</t>
        </is>
      </c>
      <c r="P2995" s="5" t="inlineStr">
        <is>
          <t>20</t>
        </is>
      </c>
      <c r="Q2995" s="5" t="inlineStr">
        <is>
          <t>4</t>
        </is>
      </c>
      <c r="R2995" s="5" t="inlineStr">
        <is>
          <t>7</t>
        </is>
      </c>
      <c r="S2995" s="5" t="inlineStr">
        <is>
          <t>2</t>
        </is>
      </c>
      <c r="T2995" s="5" t="inlineStr">
        <is>
          <t>0</t>
        </is>
      </c>
      <c r="U2995" s="5" t="inlineStr">
        <is>
          <t>OK</t>
        </is>
      </c>
    </row>
    <row r="2996">
      <c r="A2996" s="5" t="inlineStr">
        <is>
          <t>E00278</t>
        </is>
      </c>
      <c r="B2996" s="5" t="inlineStr">
        <is>
          <t>Female</t>
        </is>
      </c>
      <c r="C2996" s="6" t="inlineStr">
        <is>
          <t>38</t>
        </is>
      </c>
      <c r="D2996" s="5" t="inlineStr">
        <is>
          <t>Married</t>
        </is>
      </c>
      <c r="E2996" s="5" t="inlineStr">
        <is>
          <t>Bachelor</t>
        </is>
      </c>
      <c r="F2996" s="5" t="inlineStr">
        <is>
          <t>Research &amp; Development</t>
        </is>
      </c>
      <c r="G2996" s="5" t="inlineStr">
        <is>
          <t>Product Engineer</t>
        </is>
      </c>
      <c r="H2996" s="5" t="inlineStr">
        <is>
          <t>3</t>
        </is>
      </c>
      <c r="I2996" s="5" t="inlineStr">
        <is>
          <t>Delhi</t>
        </is>
      </c>
      <c r="J2996" s="5" t="inlineStr">
        <is>
          <t>Full-Time</t>
        </is>
      </c>
      <c r="K2996" s="7" t="n">
        <v>45200</v>
      </c>
      <c r="L2996" s="7" t="inlineStr"/>
      <c r="M2996" s="5" t="inlineStr">
        <is>
          <t>Yes</t>
        </is>
      </c>
      <c r="N2996" s="5" t="inlineStr"/>
      <c r="O2996" s="8" t="inlineStr">
        <is>
          <t>151000</t>
        </is>
      </c>
      <c r="P2996" s="5" t="inlineStr">
        <is>
          <t>0</t>
        </is>
      </c>
      <c r="Q2996" s="5" t="inlineStr">
        <is>
          <t>2</t>
        </is>
      </c>
      <c r="R2996" s="5" t="inlineStr">
        <is>
          <t>7</t>
        </is>
      </c>
      <c r="S2996" s="5" t="inlineStr">
        <is>
          <t>27</t>
        </is>
      </c>
      <c r="T2996" s="5" t="inlineStr">
        <is>
          <t>8</t>
        </is>
      </c>
      <c r="U2996" s="5" t="inlineStr">
        <is>
          <t>OK</t>
        </is>
      </c>
    </row>
    <row r="2997">
      <c r="A2997" s="5" t="inlineStr">
        <is>
          <t>E00673</t>
        </is>
      </c>
      <c r="B2997" s="5" t="inlineStr">
        <is>
          <t>Male</t>
        </is>
      </c>
      <c r="C2997" s="6" t="inlineStr">
        <is>
          <t>35</t>
        </is>
      </c>
      <c r="D2997" s="5" t="inlineStr">
        <is>
          <t>Married</t>
        </is>
      </c>
      <c r="E2997" s="5" t="inlineStr">
        <is>
          <t>Master</t>
        </is>
      </c>
      <c r="F2997" s="5" t="inlineStr">
        <is>
          <t>Operations</t>
        </is>
      </c>
      <c r="G2997" s="5" t="inlineStr">
        <is>
          <t>Quality Analyst</t>
        </is>
      </c>
      <c r="H2997" s="5" t="inlineStr">
        <is>
          <t>4</t>
        </is>
      </c>
      <c r="I2997" s="5" t="inlineStr">
        <is>
          <t>Remote</t>
        </is>
      </c>
      <c r="J2997" s="5" t="inlineStr">
        <is>
          <t>Full-Time</t>
        </is>
      </c>
      <c r="K2997" s="7" t="n">
        <v>44176</v>
      </c>
      <c r="L2997" s="7" t="inlineStr"/>
      <c r="M2997" s="5" t="inlineStr">
        <is>
          <t>Yes</t>
        </is>
      </c>
      <c r="N2997" s="5" t="inlineStr"/>
      <c r="O2997" s="8" t="inlineStr">
        <is>
          <t>80000</t>
        </is>
      </c>
      <c r="P2997" s="5" t="inlineStr">
        <is>
          <t>5</t>
        </is>
      </c>
      <c r="Q2997" s="5" t="inlineStr">
        <is>
          <t>5</t>
        </is>
      </c>
      <c r="R2997" s="5" t="inlineStr">
        <is>
          <t>2</t>
        </is>
      </c>
      <c r="S2997" s="5" t="inlineStr">
        <is>
          <t>61</t>
        </is>
      </c>
      <c r="T2997" s="5" t="inlineStr">
        <is>
          <t>7</t>
        </is>
      </c>
      <c r="U2997" s="5" t="inlineStr">
        <is>
          <t>OK</t>
        </is>
      </c>
    </row>
    <row r="2998">
      <c r="A2998" s="5" t="inlineStr">
        <is>
          <t>E01614</t>
        </is>
      </c>
      <c r="B2998" s="5" t="inlineStr">
        <is>
          <t>Male</t>
        </is>
      </c>
      <c r="C2998" s="6" t="inlineStr">
        <is>
          <t>23</t>
        </is>
      </c>
      <c r="D2998" s="5" t="inlineStr">
        <is>
          <t>Married</t>
        </is>
      </c>
      <c r="E2998" s="5" t="inlineStr">
        <is>
          <t>High School</t>
        </is>
      </c>
      <c r="F2998" s="5" t="inlineStr">
        <is>
          <t>Sales</t>
        </is>
      </c>
      <c r="G2998" s="5" t="inlineStr">
        <is>
          <t>Business Development</t>
        </is>
      </c>
      <c r="H2998" s="5" t="inlineStr">
        <is>
          <t>1</t>
        </is>
      </c>
      <c r="I2998" s="5" t="inlineStr">
        <is>
          <t>Remote</t>
        </is>
      </c>
      <c r="J2998" s="5" t="inlineStr">
        <is>
          <t>Full-Time</t>
        </is>
      </c>
      <c r="K2998" s="7" t="n">
        <v>43863</v>
      </c>
      <c r="L2998" s="7" t="n">
        <v>43896</v>
      </c>
      <c r="M2998" s="5" t="inlineStr">
        <is>
          <t>No</t>
        </is>
      </c>
      <c r="N2998" s="5" t="inlineStr">
        <is>
          <t>Resigned</t>
        </is>
      </c>
      <c r="O2998" s="8" t="inlineStr">
        <is>
          <t>96500</t>
        </is>
      </c>
      <c r="P2998" s="5" t="inlineStr">
        <is>
          <t>5</t>
        </is>
      </c>
      <c r="Q2998" s="5" t="inlineStr">
        <is>
          <t>3</t>
        </is>
      </c>
      <c r="R2998" s="5" t="inlineStr">
        <is>
          <t>7</t>
        </is>
      </c>
      <c r="S2998" s="5" t="inlineStr">
        <is>
          <t>1</t>
        </is>
      </c>
      <c r="T2998" s="5" t="inlineStr">
        <is>
          <t>12</t>
        </is>
      </c>
      <c r="U2998" s="5" t="inlineStr">
        <is>
          <t>OK</t>
        </is>
      </c>
    </row>
    <row r="2999">
      <c r="A2999" s="5" t="inlineStr">
        <is>
          <t>E00848</t>
        </is>
      </c>
      <c r="B2999" s="5" t="inlineStr">
        <is>
          <t>Female</t>
        </is>
      </c>
      <c r="C2999" s="6" t="inlineStr">
        <is>
          <t>34</t>
        </is>
      </c>
      <c r="D2999" s="5" t="inlineStr">
        <is>
          <t>Married</t>
        </is>
      </c>
      <c r="E2999" s="5" t="inlineStr">
        <is>
          <t>Bachelor</t>
        </is>
      </c>
      <c r="F2999" s="5" t="inlineStr">
        <is>
          <t>Finance</t>
        </is>
      </c>
      <c r="G2999" s="5" t="inlineStr">
        <is>
          <t>Accountant</t>
        </is>
      </c>
      <c r="H2999" s="5" t="inlineStr">
        <is>
          <t>1</t>
        </is>
      </c>
      <c r="I2999" s="5" t="inlineStr">
        <is>
          <t>Mumbai</t>
        </is>
      </c>
      <c r="J2999" s="5" t="inlineStr">
        <is>
          <t>Full-Time</t>
        </is>
      </c>
      <c r="K2999" s="7" t="n">
        <v>44336</v>
      </c>
      <c r="L2999" s="7" t="inlineStr"/>
      <c r="M2999" s="5" t="inlineStr">
        <is>
          <t>Yes</t>
        </is>
      </c>
      <c r="N2999" s="5" t="inlineStr"/>
      <c r="O2999" s="8" t="inlineStr">
        <is>
          <t>76500</t>
        </is>
      </c>
      <c r="P2999" s="5" t="inlineStr">
        <is>
          <t>0</t>
        </is>
      </c>
      <c r="Q2999" s="5" t="inlineStr">
        <is>
          <t>4</t>
        </is>
      </c>
      <c r="R2999" s="5" t="inlineStr">
        <is>
          <t>7</t>
        </is>
      </c>
      <c r="S2999" s="5" t="inlineStr">
        <is>
          <t>56</t>
        </is>
      </c>
      <c r="T2999" s="5" t="inlineStr">
        <is>
          <t>0</t>
        </is>
      </c>
      <c r="U2999" s="5" t="inlineStr">
        <is>
          <t>Duplicate</t>
        </is>
      </c>
    </row>
    <row r="3000">
      <c r="A3000" s="5" t="inlineStr">
        <is>
          <t>E02174</t>
        </is>
      </c>
      <c r="B3000" s="5" t="inlineStr">
        <is>
          <t>Male</t>
        </is>
      </c>
      <c r="C3000" s="6" t="inlineStr">
        <is>
          <t>39</t>
        </is>
      </c>
      <c r="D3000" s="5" t="inlineStr">
        <is>
          <t>Married</t>
        </is>
      </c>
      <c r="E3000" s="5" t="inlineStr">
        <is>
          <t>High School</t>
        </is>
      </c>
      <c r="F3000" s="5" t="inlineStr">
        <is>
          <t>IT</t>
        </is>
      </c>
      <c r="G3000" s="5" t="inlineStr">
        <is>
          <t>DevOps Engineer</t>
        </is>
      </c>
      <c r="H3000" s="5" t="inlineStr">
        <is>
          <t>5</t>
        </is>
      </c>
      <c r="I3000" s="5" t="inlineStr">
        <is>
          <t>Hyderabad</t>
        </is>
      </c>
      <c r="J3000" s="5" t="inlineStr">
        <is>
          <t>Full-Time</t>
        </is>
      </c>
      <c r="K3000" s="7" t="n">
        <v>45503</v>
      </c>
      <c r="L3000" s="7" t="inlineStr"/>
      <c r="M3000" s="5" t="inlineStr">
        <is>
          <t>Yes</t>
        </is>
      </c>
      <c r="N3000" s="5" t="inlineStr"/>
      <c r="O3000" s="8" t="inlineStr">
        <is>
          <t>189000</t>
        </is>
      </c>
      <c r="P3000" s="5" t="inlineStr">
        <is>
          <t>5</t>
        </is>
      </c>
      <c r="Q3000" s="5" t="inlineStr">
        <is>
          <t>4</t>
        </is>
      </c>
      <c r="R3000" s="5" t="inlineStr">
        <is>
          <t>9</t>
        </is>
      </c>
      <c r="S3000" s="5" t="inlineStr">
        <is>
          <t>17</t>
        </is>
      </c>
      <c r="T3000" s="5" t="inlineStr">
        <is>
          <t>10</t>
        </is>
      </c>
      <c r="U3000" s="5" t="inlineStr">
        <is>
          <t>OK</t>
        </is>
      </c>
    </row>
    <row r="3001">
      <c r="A3001" s="5" t="inlineStr">
        <is>
          <t>E01535</t>
        </is>
      </c>
      <c r="B3001" s="5" t="inlineStr">
        <is>
          <t>Male</t>
        </is>
      </c>
      <c r="C3001" s="6" t="inlineStr">
        <is>
          <t>37</t>
        </is>
      </c>
      <c r="D3001" s="5" t="inlineStr">
        <is>
          <t>Single</t>
        </is>
      </c>
      <c r="E3001" s="5" t="inlineStr">
        <is>
          <t>Master</t>
        </is>
      </c>
      <c r="F3001" s="5" t="inlineStr">
        <is>
          <t>Finance</t>
        </is>
      </c>
      <c r="G3001" s="5" t="inlineStr">
        <is>
          <t>Accountant</t>
        </is>
      </c>
      <c r="H3001" s="5" t="inlineStr">
        <is>
          <t>3</t>
        </is>
      </c>
      <c r="I3001" s="5" t="inlineStr">
        <is>
          <t>Hyderabad</t>
        </is>
      </c>
      <c r="J3001" s="5" t="inlineStr">
        <is>
          <t>Full-Time</t>
        </is>
      </c>
      <c r="K3001" s="7" t="n">
        <v>44679</v>
      </c>
      <c r="L3001" s="7" t="n">
        <v>44774</v>
      </c>
      <c r="M3001" s="5" t="inlineStr">
        <is>
          <t>No</t>
        </is>
      </c>
      <c r="N3001" s="5" t="inlineStr">
        <is>
          <t>Resigned</t>
        </is>
      </c>
      <c r="O3001" s="8" t="inlineStr">
        <is>
          <t>101500</t>
        </is>
      </c>
      <c r="P3001" s="5" t="inlineStr">
        <is>
          <t>10</t>
        </is>
      </c>
      <c r="Q3001" s="5" t="inlineStr">
        <is>
          <t>4</t>
        </is>
      </c>
      <c r="R3001" s="5" t="inlineStr">
        <is>
          <t>6</t>
        </is>
      </c>
      <c r="S3001" s="5" t="inlineStr">
        <is>
          <t>3</t>
        </is>
      </c>
      <c r="T3001" s="5" t="inlineStr">
        <is>
          <t>0</t>
        </is>
      </c>
      <c r="U3001" s="5" t="inlineStr">
        <is>
          <t>OK</t>
        </is>
      </c>
    </row>
    <row r="3002">
      <c r="A3002" s="5" t="inlineStr">
        <is>
          <t>E01461</t>
        </is>
      </c>
      <c r="B3002" s="5" t="inlineStr">
        <is>
          <t>Male</t>
        </is>
      </c>
      <c r="C3002" s="6" t="inlineStr">
        <is>
          <t>25</t>
        </is>
      </c>
      <c r="D3002" s="5" t="inlineStr">
        <is>
          <t>Married</t>
        </is>
      </c>
      <c r="E3002" s="5" t="inlineStr">
        <is>
          <t>Master</t>
        </is>
      </c>
      <c r="F3002" s="5" t="inlineStr">
        <is>
          <t>Customer Support</t>
        </is>
      </c>
      <c r="G3002" s="5" t="inlineStr">
        <is>
          <t>Support Agent</t>
        </is>
      </c>
      <c r="H3002" s="5" t="inlineStr">
        <is>
          <t>2</t>
        </is>
      </c>
      <c r="I3002" s="5" t="inlineStr">
        <is>
          <t>Hyderabad</t>
        </is>
      </c>
      <c r="J3002" s="5" t="inlineStr">
        <is>
          <t>Full-Time</t>
        </is>
      </c>
      <c r="K3002" s="7" t="n">
        <v>44648</v>
      </c>
      <c r="L3002" s="7" t="n">
        <v>44753</v>
      </c>
      <c r="M3002" s="5" t="inlineStr">
        <is>
          <t>No</t>
        </is>
      </c>
      <c r="N3002" s="5" t="inlineStr">
        <is>
          <t>Resigned</t>
        </is>
      </c>
      <c r="O3002" s="8" t="inlineStr">
        <is>
          <t>80500</t>
        </is>
      </c>
      <c r="P3002" s="5" t="inlineStr">
        <is>
          <t>10</t>
        </is>
      </c>
      <c r="Q3002" s="5" t="inlineStr">
        <is>
          <t>3</t>
        </is>
      </c>
      <c r="R3002" s="5" t="inlineStr">
        <is>
          <t>6</t>
        </is>
      </c>
      <c r="S3002" s="5" t="inlineStr">
        <is>
          <t>3</t>
        </is>
      </c>
      <c r="T3002" s="5" t="inlineStr">
        <is>
          <t>6</t>
        </is>
      </c>
      <c r="U3002" s="5" t="inlineStr">
        <is>
          <t>OK</t>
        </is>
      </c>
    </row>
    <row r="3003">
      <c r="A3003" s="5" t="inlineStr">
        <is>
          <t>E01150</t>
        </is>
      </c>
      <c r="B3003" s="5" t="inlineStr">
        <is>
          <t>Male</t>
        </is>
      </c>
      <c r="C3003" s="6" t="inlineStr">
        <is>
          <t>38</t>
        </is>
      </c>
      <c r="D3003" s="5" t="inlineStr">
        <is>
          <t>Married</t>
        </is>
      </c>
      <c r="E3003" s="5" t="inlineStr">
        <is>
          <t>High School</t>
        </is>
      </c>
      <c r="F3003" s="5" t="inlineStr">
        <is>
          <t>Research &amp; Development</t>
        </is>
      </c>
      <c r="G3003" s="5" t="inlineStr">
        <is>
          <t>Product Engineer</t>
        </is>
      </c>
      <c r="H3003" s="5" t="inlineStr">
        <is>
          <t>4</t>
        </is>
      </c>
      <c r="I3003" s="5" t="inlineStr">
        <is>
          <t>Bengaluru</t>
        </is>
      </c>
      <c r="J3003" s="5" t="inlineStr">
        <is>
          <t>Full-Time</t>
        </is>
      </c>
      <c r="K3003" s="7" t="n">
        <v>44483</v>
      </c>
      <c r="L3003" s="7" t="inlineStr"/>
      <c r="M3003" s="5" t="inlineStr">
        <is>
          <t>Yes</t>
        </is>
      </c>
      <c r="N3003" s="5" t="inlineStr"/>
      <c r="O3003" s="8" t="inlineStr">
        <is>
          <t>153000</t>
        </is>
      </c>
      <c r="P3003" s="5" t="inlineStr">
        <is>
          <t>0</t>
        </is>
      </c>
      <c r="Q3003" s="5" t="inlineStr">
        <is>
          <t>1</t>
        </is>
      </c>
      <c r="R3003" s="5" t="inlineStr">
        <is>
          <t>8</t>
        </is>
      </c>
      <c r="S3003" s="5" t="inlineStr">
        <is>
          <t>51</t>
        </is>
      </c>
      <c r="T3003" s="5" t="inlineStr">
        <is>
          <t>17</t>
        </is>
      </c>
      <c r="U3003" s="5" t="inlineStr">
        <is>
          <t>OK</t>
        </is>
      </c>
    </row>
    <row r="3004">
      <c r="A3004" s="5" t="inlineStr">
        <is>
          <t>E00647</t>
        </is>
      </c>
      <c r="B3004" s="5" t="inlineStr">
        <is>
          <t>Female</t>
        </is>
      </c>
      <c r="C3004" s="6" t="inlineStr">
        <is>
          <t>32</t>
        </is>
      </c>
      <c r="D3004" s="5" t="inlineStr">
        <is>
          <t>Married</t>
        </is>
      </c>
      <c r="E3004" s="5" t="inlineStr">
        <is>
          <t>Master</t>
        </is>
      </c>
      <c r="F3004" s="5" t="inlineStr">
        <is>
          <t>Customer Support</t>
        </is>
      </c>
      <c r="G3004" s="5" t="inlineStr">
        <is>
          <t>Support Agent</t>
        </is>
      </c>
      <c r="H3004" s="5" t="inlineStr">
        <is>
          <t>2</t>
        </is>
      </c>
      <c r="I3004" s="5" t="inlineStr">
        <is>
          <t>Delhi</t>
        </is>
      </c>
      <c r="J3004" s="5" t="inlineStr">
        <is>
          <t>Part-Time</t>
        </is>
      </c>
      <c r="K3004" s="7" t="n">
        <v>45775</v>
      </c>
      <c r="L3004" s="7" t="inlineStr"/>
      <c r="M3004" s="5" t="inlineStr">
        <is>
          <t>Yes</t>
        </is>
      </c>
      <c r="N3004" s="5" t="inlineStr"/>
      <c r="O3004" s="8" t="inlineStr">
        <is>
          <t>52500</t>
        </is>
      </c>
      <c r="P3004" s="5" t="inlineStr">
        <is>
          <t>15</t>
        </is>
      </c>
      <c r="Q3004" s="5" t="inlineStr">
        <is>
          <t>4</t>
        </is>
      </c>
      <c r="R3004" s="5" t="inlineStr">
        <is>
          <t>7</t>
        </is>
      </c>
      <c r="S3004" s="5" t="inlineStr">
        <is>
          <t>8</t>
        </is>
      </c>
      <c r="T3004" s="5" t="inlineStr">
        <is>
          <t>5</t>
        </is>
      </c>
      <c r="U3004" s="5" t="inlineStr">
        <is>
          <t>OK</t>
        </is>
      </c>
    </row>
    <row r="3005">
      <c r="A3005" s="5" t="inlineStr">
        <is>
          <t>E02517</t>
        </is>
      </c>
      <c r="B3005" s="5" t="inlineStr">
        <is>
          <t>Female</t>
        </is>
      </c>
      <c r="C3005" s="6" t="inlineStr">
        <is>
          <t>28</t>
        </is>
      </c>
      <c r="D3005" s="5" t="inlineStr">
        <is>
          <t>Married</t>
        </is>
      </c>
      <c r="E3005" s="5" t="inlineStr">
        <is>
          <t>High School</t>
        </is>
      </c>
      <c r="F3005" s="5" t="inlineStr">
        <is>
          <t>IT</t>
        </is>
      </c>
      <c r="G3005" s="5" t="inlineStr">
        <is>
          <t>IT Support</t>
        </is>
      </c>
      <c r="H3005" s="5" t="inlineStr">
        <is>
          <t>1</t>
        </is>
      </c>
      <c r="I3005" s="5" t="inlineStr">
        <is>
          <t>Chennai</t>
        </is>
      </c>
      <c r="J3005" s="5" t="inlineStr">
        <is>
          <t>Full-Time</t>
        </is>
      </c>
      <c r="K3005" s="7" t="n">
        <v>45859</v>
      </c>
      <c r="L3005" s="7" t="inlineStr"/>
      <c r="M3005" s="5" t="inlineStr">
        <is>
          <t>Yes</t>
        </is>
      </c>
      <c r="N3005" s="5" t="inlineStr"/>
      <c r="O3005" s="8" t="inlineStr">
        <is>
          <t>108000</t>
        </is>
      </c>
      <c r="P3005" s="5" t="inlineStr">
        <is>
          <t>0</t>
        </is>
      </c>
      <c r="Q3005" s="5" t="inlineStr">
        <is>
          <t>5</t>
        </is>
      </c>
      <c r="R3005" s="5" t="inlineStr">
        <is>
          <t>8</t>
        </is>
      </c>
      <c r="S3005" s="5" t="inlineStr">
        <is>
          <t>5</t>
        </is>
      </c>
      <c r="T3005" s="5" t="inlineStr">
        <is>
          <t>13</t>
        </is>
      </c>
      <c r="U3005" s="5" t="inlineStr">
        <is>
          <t>OK</t>
        </is>
      </c>
    </row>
    <row r="3006">
      <c r="A3006" s="5" t="inlineStr">
        <is>
          <t>E00941</t>
        </is>
      </c>
      <c r="B3006" s="5" t="inlineStr">
        <is>
          <t>Male</t>
        </is>
      </c>
      <c r="C3006" s="6" t="inlineStr">
        <is>
          <t>29</t>
        </is>
      </c>
      <c r="D3006" s="5" t="inlineStr">
        <is>
          <t>Married</t>
        </is>
      </c>
      <c r="E3006" s="5" t="inlineStr">
        <is>
          <t>Master</t>
        </is>
      </c>
      <c r="F3006" s="5" t="inlineStr">
        <is>
          <t>Research &amp; Development</t>
        </is>
      </c>
      <c r="G3006" s="5" t="inlineStr">
        <is>
          <t>Product Engineer</t>
        </is>
      </c>
      <c r="H3006" s="5" t="inlineStr">
        <is>
          <t>3</t>
        </is>
      </c>
      <c r="I3006" s="5" t="inlineStr">
        <is>
          <t>Remote</t>
        </is>
      </c>
      <c r="J3006" s="5" t="inlineStr">
        <is>
          <t>Full-Time</t>
        </is>
      </c>
      <c r="K3006" s="7" t="n">
        <v>44334</v>
      </c>
      <c r="L3006" s="7" t="inlineStr"/>
      <c r="M3006" s="5" t="inlineStr">
        <is>
          <t>Yes</t>
        </is>
      </c>
      <c r="N3006" s="5" t="inlineStr"/>
      <c r="O3006" s="8" t="inlineStr">
        <is>
          <t>140000</t>
        </is>
      </c>
      <c r="P3006" s="5" t="inlineStr">
        <is>
          <t>10</t>
        </is>
      </c>
      <c r="Q3006" s="5" t="inlineStr">
        <is>
          <t>3</t>
        </is>
      </c>
      <c r="R3006" s="5" t="inlineStr">
        <is>
          <t>6</t>
        </is>
      </c>
      <c r="S3006" s="5" t="inlineStr">
        <is>
          <t>56</t>
        </is>
      </c>
      <c r="T3006" s="5" t="inlineStr">
        <is>
          <t>0</t>
        </is>
      </c>
      <c r="U3006" s="5" t="inlineStr">
        <is>
          <t>OK</t>
        </is>
      </c>
    </row>
    <row r="3007">
      <c r="A3007" s="5" t="inlineStr">
        <is>
          <t>E01715</t>
        </is>
      </c>
      <c r="B3007" s="5" t="inlineStr">
        <is>
          <t>Female</t>
        </is>
      </c>
      <c r="C3007" s="6" t="inlineStr">
        <is>
          <t>36</t>
        </is>
      </c>
      <c r="D3007" s="5" t="inlineStr">
        <is>
          <t>Married</t>
        </is>
      </c>
      <c r="E3007" s="5" t="inlineStr">
        <is>
          <t>High School</t>
        </is>
      </c>
      <c r="F3007" s="5" t="inlineStr">
        <is>
          <t>Operations</t>
        </is>
      </c>
      <c r="G3007" s="5" t="inlineStr">
        <is>
          <t>Quality Analyst</t>
        </is>
      </c>
      <c r="H3007" s="5" t="inlineStr">
        <is>
          <t>3</t>
        </is>
      </c>
      <c r="I3007" s="5" t="inlineStr">
        <is>
          <t>Chennai</t>
        </is>
      </c>
      <c r="J3007" s="5" t="inlineStr">
        <is>
          <t>Full-Time</t>
        </is>
      </c>
      <c r="K3007" s="7" t="n">
        <v>45972</v>
      </c>
      <c r="L3007" s="7" t="inlineStr"/>
      <c r="M3007" s="5" t="inlineStr">
        <is>
          <t>Yes</t>
        </is>
      </c>
      <c r="N3007" s="5" t="inlineStr"/>
      <c r="O3007" s="8" t="inlineStr">
        <is>
          <t>77500</t>
        </is>
      </c>
      <c r="P3007" s="5" t="inlineStr">
        <is>
          <t>0</t>
        </is>
      </c>
      <c r="Q3007" s="5" t="inlineStr">
        <is>
          <t>3</t>
        </is>
      </c>
      <c r="R3007" s="5" t="inlineStr">
        <is>
          <t>7</t>
        </is>
      </c>
      <c r="S3007" s="5" t="inlineStr">
        <is>
          <t>1</t>
        </is>
      </c>
      <c r="T3007" s="5" t="inlineStr">
        <is>
          <t>4</t>
        </is>
      </c>
      <c r="U3007" s="5" t="inlineStr">
        <is>
          <t>OK</t>
        </is>
      </c>
    </row>
    <row r="3008">
      <c r="A3008" s="5" t="inlineStr">
        <is>
          <t>E01744</t>
        </is>
      </c>
      <c r="B3008" s="5" t="inlineStr">
        <is>
          <t>Female</t>
        </is>
      </c>
      <c r="C3008" s="6" t="inlineStr">
        <is>
          <t>32</t>
        </is>
      </c>
      <c r="D3008" s="5" t="inlineStr">
        <is>
          <t>Married</t>
        </is>
      </c>
      <c r="E3008" s="5" t="inlineStr">
        <is>
          <t>PhD</t>
        </is>
      </c>
      <c r="F3008" s="5" t="inlineStr">
        <is>
          <t>Sales</t>
        </is>
      </c>
      <c r="G3008" s="5" t="inlineStr">
        <is>
          <t>Account Executive</t>
        </is>
      </c>
      <c r="H3008" s="5" t="inlineStr">
        <is>
          <t>3</t>
        </is>
      </c>
      <c r="I3008" s="5" t="inlineStr">
        <is>
          <t>Delhi</t>
        </is>
      </c>
      <c r="J3008" s="5" t="inlineStr">
        <is>
          <t>Part-Time</t>
        </is>
      </c>
      <c r="K3008" s="7" t="n">
        <v>45182</v>
      </c>
      <c r="L3008" s="7" t="n">
        <v>45323</v>
      </c>
      <c r="M3008" s="5" t="inlineStr">
        <is>
          <t>No</t>
        </is>
      </c>
      <c r="N3008" s="5" t="inlineStr">
        <is>
          <t>Retirement</t>
        </is>
      </c>
      <c r="O3008" s="8" t="inlineStr">
        <is>
          <t>92000</t>
        </is>
      </c>
      <c r="P3008" s="5" t="inlineStr">
        <is>
          <t>0</t>
        </is>
      </c>
      <c r="Q3008" s="5" t="inlineStr">
        <is>
          <t>5</t>
        </is>
      </c>
      <c r="R3008" s="5" t="inlineStr">
        <is>
          <t>1</t>
        </is>
      </c>
      <c r="S3008" s="5" t="inlineStr">
        <is>
          <t>4</t>
        </is>
      </c>
      <c r="T3008" s="5" t="inlineStr">
        <is>
          <t>0</t>
        </is>
      </c>
      <c r="U3008" s="5" t="inlineStr">
        <is>
          <t>OK</t>
        </is>
      </c>
    </row>
    <row r="3009">
      <c r="A3009" s="5" t="inlineStr">
        <is>
          <t>E02583</t>
        </is>
      </c>
      <c r="B3009" s="5" t="inlineStr">
        <is>
          <t>Female</t>
        </is>
      </c>
      <c r="C3009" s="6" t="inlineStr">
        <is>
          <t>24</t>
        </is>
      </c>
      <c r="D3009" s="5" t="inlineStr">
        <is>
          <t>Married</t>
        </is>
      </c>
      <c r="E3009" s="5" t="inlineStr">
        <is>
          <t>Bachelor</t>
        </is>
      </c>
      <c r="F3009" s="5" t="inlineStr">
        <is>
          <t>IT</t>
        </is>
      </c>
      <c r="G3009" s="5" t="inlineStr">
        <is>
          <t>Software Engineer</t>
        </is>
      </c>
      <c r="H3009" s="5" t="inlineStr">
        <is>
          <t>1</t>
        </is>
      </c>
      <c r="I3009" s="5" t="inlineStr">
        <is>
          <t>Delhi</t>
        </is>
      </c>
      <c r="J3009" s="5" t="inlineStr">
        <is>
          <t>Full-Time</t>
        </is>
      </c>
      <c r="K3009" s="7" t="n">
        <v>45603</v>
      </c>
      <c r="L3009" s="7" t="n">
        <v>45659</v>
      </c>
      <c r="M3009" s="5" t="inlineStr">
        <is>
          <t>No</t>
        </is>
      </c>
      <c r="N3009" s="5" t="inlineStr">
        <is>
          <t>Resigned</t>
        </is>
      </c>
      <c r="O3009" s="8" t="inlineStr">
        <is>
          <t>111500</t>
        </is>
      </c>
      <c r="P3009" s="5" t="inlineStr">
        <is>
          <t>0</t>
        </is>
      </c>
      <c r="Q3009" s="5" t="inlineStr">
        <is>
          <t>4</t>
        </is>
      </c>
      <c r="R3009" s="5" t="inlineStr">
        <is>
          <t>5</t>
        </is>
      </c>
      <c r="S3009" s="5" t="inlineStr">
        <is>
          <t>1</t>
        </is>
      </c>
      <c r="T3009" s="5" t="inlineStr">
        <is>
          <t>12</t>
        </is>
      </c>
      <c r="U3009" s="5" t="inlineStr">
        <is>
          <t>OK</t>
        </is>
      </c>
    </row>
    <row r="3010">
      <c r="A3010" s="5" t="inlineStr">
        <is>
          <t>E02769</t>
        </is>
      </c>
      <c r="B3010" s="5" t="inlineStr">
        <is>
          <t>Female</t>
        </is>
      </c>
      <c r="C3010" s="6" t="inlineStr">
        <is>
          <t>25</t>
        </is>
      </c>
      <c r="D3010" s="5" t="inlineStr">
        <is>
          <t>Single</t>
        </is>
      </c>
      <c r="E3010" s="5" t="inlineStr">
        <is>
          <t>PhD</t>
        </is>
      </c>
      <c r="F3010" s="5" t="inlineStr">
        <is>
          <t>Sales</t>
        </is>
      </c>
      <c r="G3010" s="5" t="inlineStr">
        <is>
          <t>Account Executive</t>
        </is>
      </c>
      <c r="H3010" s="5" t="inlineStr">
        <is>
          <t>2</t>
        </is>
      </c>
      <c r="I3010" s="5" t="inlineStr">
        <is>
          <t>Hyderabad</t>
        </is>
      </c>
      <c r="J3010" s="5" t="inlineStr">
        <is>
          <t>Full-Time</t>
        </is>
      </c>
      <c r="K3010" s="7" t="n">
        <v>44993</v>
      </c>
      <c r="L3010" s="7" t="inlineStr"/>
      <c r="M3010" s="5" t="inlineStr">
        <is>
          <t>Yes</t>
        </is>
      </c>
      <c r="N3010" s="5" t="inlineStr"/>
      <c r="O3010" s="8" t="inlineStr">
        <is>
          <t>74000</t>
        </is>
      </c>
      <c r="P3010" s="5" t="inlineStr">
        <is>
          <t>0</t>
        </is>
      </c>
      <c r="Q3010" s="5" t="inlineStr">
        <is>
          <t>2</t>
        </is>
      </c>
      <c r="R3010" s="5" t="inlineStr">
        <is>
          <t>10</t>
        </is>
      </c>
      <c r="S3010" s="5" t="inlineStr">
        <is>
          <t>34</t>
        </is>
      </c>
      <c r="T3010" s="5" t="inlineStr">
        <is>
          <t>0</t>
        </is>
      </c>
      <c r="U3010" s="5" t="inlineStr">
        <is>
          <t>OK</t>
        </is>
      </c>
    </row>
    <row r="3011">
      <c r="A3011" s="5" t="inlineStr">
        <is>
          <t>E00174</t>
        </is>
      </c>
      <c r="B3011" s="5" t="inlineStr">
        <is>
          <t>Female</t>
        </is>
      </c>
      <c r="C3011" s="6" t="inlineStr">
        <is>
          <t>38</t>
        </is>
      </c>
      <c r="D3011" s="5" t="inlineStr">
        <is>
          <t>Married</t>
        </is>
      </c>
      <c r="E3011" s="5" t="inlineStr">
        <is>
          <t>Master</t>
        </is>
      </c>
      <c r="F3011" s="5" t="inlineStr">
        <is>
          <t>Finance</t>
        </is>
      </c>
      <c r="G3011" s="5" t="inlineStr">
        <is>
          <t>Financial Analyst</t>
        </is>
      </c>
      <c r="H3011" s="5" t="inlineStr">
        <is>
          <t>5</t>
        </is>
      </c>
      <c r="I3011" s="5" t="inlineStr">
        <is>
          <t>Mumbai</t>
        </is>
      </c>
      <c r="J3011" s="5" t="inlineStr">
        <is>
          <t>Full-Time</t>
        </is>
      </c>
      <c r="K3011" s="7" t="n">
        <v>45269</v>
      </c>
      <c r="L3011" s="7" t="inlineStr"/>
      <c r="M3011" s="5" t="inlineStr">
        <is>
          <t>Yes</t>
        </is>
      </c>
      <c r="N3011" s="5" t="inlineStr"/>
      <c r="O3011" s="8" t="inlineStr">
        <is>
          <t>157000</t>
        </is>
      </c>
      <c r="P3011" s="5" t="inlineStr">
        <is>
          <t>0</t>
        </is>
      </c>
      <c r="Q3011" s="5" t="inlineStr">
        <is>
          <t>4</t>
        </is>
      </c>
      <c r="R3011" s="5" t="inlineStr">
        <is>
          <t>4</t>
        </is>
      </c>
      <c r="S3011" s="5" t="inlineStr">
        <is>
          <t>25</t>
        </is>
      </c>
      <c r="T3011" s="5" t="inlineStr">
        <is>
          <t>12</t>
        </is>
      </c>
      <c r="U3011" s="5" t="inlineStr">
        <is>
          <t>OK</t>
        </is>
      </c>
    </row>
  </sheetData>
  <autoFilter ref="A1:U3011"/>
  <conditionalFormatting sqref="O2:O3011">
    <cfRule type="colorScale" priority="1">
      <colorScale>
        <cfvo type="min"/>
        <cfvo type="max"/>
        <color rgb="00C6EFCE"/>
        <color rgb="00FFC7CE"/>
      </colorScale>
    </cfRule>
  </conditionalFormatting>
  <conditionalFormatting sqref="U2:U3011">
    <cfRule type="cellIs" priority="2" operator="notEqual" dxfId="0">
      <formula>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W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12" customWidth="1" min="5" max="5"/>
    <col width="22" customWidth="1" min="6" max="6"/>
    <col width="20" customWidth="1" min="7" max="7"/>
    <col width="9" customWidth="1" min="8" max="8"/>
    <col width="13" customWidth="1" min="9" max="9"/>
    <col width="14" customWidth="1" min="10" max="10"/>
    <col width="12" customWidth="1" min="11" max="11"/>
    <col width="12" customWidth="1" min="12" max="12"/>
    <col width="10" customWidth="1" min="13" max="13"/>
    <col width="25" customWidth="1" min="14" max="14"/>
    <col width="13" customWidth="1" min="15" max="15"/>
    <col width="9" customWidth="1" min="16" max="16"/>
    <col width="10" customWidth="1" min="17" max="17"/>
    <col width="12" customWidth="1" min="18" max="18"/>
    <col width="11" customWidth="1" min="19" max="19"/>
    <col width="11" customWidth="1" min="20" max="20"/>
    <col width="12" customWidth="1" min="21" max="21"/>
    <col width="15" customWidth="1" min="22" max="22"/>
    <col width="13" customWidth="1" min="23" max="23"/>
  </cols>
  <sheetData>
    <row r="1">
      <c r="A1" s="4" t="inlineStr">
        <is>
          <t>EmployeeID</t>
        </is>
      </c>
      <c r="B1" s="4" t="inlineStr">
        <is>
          <t>Gender</t>
        </is>
      </c>
      <c r="C1" s="4" t="inlineStr">
        <is>
          <t>Age</t>
        </is>
      </c>
      <c r="D1" s="4" t="inlineStr">
        <is>
          <t>MaritalStatus</t>
        </is>
      </c>
      <c r="E1" s="4" t="inlineStr">
        <is>
          <t>Education</t>
        </is>
      </c>
      <c r="F1" s="4" t="inlineStr">
        <is>
          <t>Department</t>
        </is>
      </c>
      <c r="G1" s="4" t="inlineStr">
        <is>
          <t>JobRole</t>
        </is>
      </c>
      <c r="H1" s="4" t="inlineStr">
        <is>
          <t>JobLevel</t>
        </is>
      </c>
      <c r="I1" s="4" t="inlineStr">
        <is>
          <t>OfficeLocation</t>
        </is>
      </c>
      <c r="J1" s="4" t="inlineStr">
        <is>
          <t>EmploymentType</t>
        </is>
      </c>
      <c r="K1" s="4" t="inlineStr">
        <is>
          <t>HireDate</t>
        </is>
      </c>
      <c r="L1" s="4" t="inlineStr">
        <is>
          <t>ExitDate</t>
        </is>
      </c>
      <c r="M1" s="4" t="inlineStr">
        <is>
          <t>IsActive</t>
        </is>
      </c>
      <c r="N1" s="4" t="inlineStr">
        <is>
          <t>ExitReason</t>
        </is>
      </c>
      <c r="O1" s="4" t="inlineStr">
        <is>
          <t>SalaryAnnual</t>
        </is>
      </c>
      <c r="P1" s="4" t="inlineStr">
        <is>
          <t>BonusPct</t>
        </is>
      </c>
      <c r="Q1" s="4" t="inlineStr">
        <is>
          <t>PerformanceRating</t>
        </is>
      </c>
      <c r="R1" s="4" t="inlineStr">
        <is>
          <t>SatisfactionScore</t>
        </is>
      </c>
      <c r="S1" s="4" t="inlineStr">
        <is>
          <t>TenureMonths</t>
        </is>
      </c>
      <c r="T1" s="4" t="inlineStr">
        <is>
          <t>AbsenteeDays</t>
        </is>
      </c>
      <c r="U1" s="4" t="inlineStr">
        <is>
          <t>AgeBand</t>
        </is>
      </c>
      <c r="V1" s="4" t="inlineStr">
        <is>
          <t>SalaryBand</t>
        </is>
      </c>
      <c r="W1" s="4" t="inlineStr">
        <is>
          <t>AttritionStatus</t>
        </is>
      </c>
    </row>
    <row r="2">
      <c r="A2" s="5" t="inlineStr">
        <is>
          <t>E00001</t>
        </is>
      </c>
      <c r="B2" s="5" t="inlineStr">
        <is>
          <t>Female</t>
        </is>
      </c>
      <c r="C2" s="6" t="inlineStr">
        <is>
          <t>40</t>
        </is>
      </c>
      <c r="D2" s="5" t="inlineStr">
        <is>
          <t>Single</t>
        </is>
      </c>
      <c r="E2" s="5" t="inlineStr">
        <is>
          <t>PhD</t>
        </is>
      </c>
      <c r="F2" s="5" t="inlineStr">
        <is>
          <t>IT</t>
        </is>
      </c>
      <c r="G2" s="5" t="inlineStr">
        <is>
          <t>Software Engineer</t>
        </is>
      </c>
      <c r="H2" s="5" t="inlineStr">
        <is>
          <t>5</t>
        </is>
      </c>
      <c r="I2" s="5" t="inlineStr">
        <is>
          <t>Delhi</t>
        </is>
      </c>
      <c r="J2" s="5" t="inlineStr">
        <is>
          <t>Full-Time</t>
        </is>
      </c>
      <c r="K2" s="7" t="n">
        <v>44318</v>
      </c>
      <c r="L2" s="7" t="inlineStr"/>
      <c r="M2" s="5" t="inlineStr">
        <is>
          <t>Yes</t>
        </is>
      </c>
      <c r="N2" s="5" t="inlineStr"/>
      <c r="O2" s="8" t="inlineStr">
        <is>
          <t>212000</t>
        </is>
      </c>
      <c r="P2" s="5" t="inlineStr">
        <is>
          <t>5</t>
        </is>
      </c>
      <c r="Q2" s="5" t="inlineStr">
        <is>
          <t>4</t>
        </is>
      </c>
      <c r="R2" s="5" t="inlineStr">
        <is>
          <t>4</t>
        </is>
      </c>
      <c r="S2" s="5" t="inlineStr">
        <is>
          <t>56</t>
        </is>
      </c>
      <c r="T2" s="5" t="inlineStr">
        <is>
          <t>9</t>
        </is>
      </c>
      <c r="U2" s="5">
        <f>IFS(C2&lt;30,"Under 30",C2&lt;40,"30-39",C2&lt;50,"40-49",TRUE,"50+")</f>
        <v/>
      </c>
      <c r="V2" s="5">
        <f>IFS(O2&lt;60000,"Low (&lt;60k)",O2&lt;100000,"Mid (60-100k)",TRUE,"High (100k+)")</f>
        <v/>
      </c>
      <c r="W2" s="5">
        <f>IF(M2="No","Attrited","Active")</f>
        <v/>
      </c>
    </row>
    <row r="3">
      <c r="A3" s="5" t="inlineStr">
        <is>
          <t>E00002</t>
        </is>
      </c>
      <c r="B3" s="5" t="inlineStr">
        <is>
          <t>Female</t>
        </is>
      </c>
      <c r="C3" s="6" t="inlineStr">
        <is>
          <t>35</t>
        </is>
      </c>
      <c r="D3" s="5" t="inlineStr">
        <is>
          <t>Divorced</t>
        </is>
      </c>
      <c r="E3" s="5" t="inlineStr">
        <is>
          <t>PhD</t>
        </is>
      </c>
      <c r="F3" s="5" t="inlineStr">
        <is>
          <t>IT</t>
        </is>
      </c>
      <c r="G3" s="5" t="inlineStr">
        <is>
          <t>Software Engineer</t>
        </is>
      </c>
      <c r="H3" s="5" t="inlineStr">
        <is>
          <t>2</t>
        </is>
      </c>
      <c r="I3" s="5" t="inlineStr">
        <is>
          <t>Remote</t>
        </is>
      </c>
      <c r="J3" s="5" t="inlineStr">
        <is>
          <t>Full-Time</t>
        </is>
      </c>
      <c r="K3" s="7" t="n">
        <v>44284</v>
      </c>
      <c r="L3" s="7" t="inlineStr"/>
      <c r="M3" s="5" t="inlineStr">
        <is>
          <t>Yes</t>
        </is>
      </c>
      <c r="N3" s="5" t="inlineStr"/>
      <c r="O3" s="8" t="inlineStr">
        <is>
          <t>170000</t>
        </is>
      </c>
      <c r="P3" s="5" t="inlineStr">
        <is>
          <t>0</t>
        </is>
      </c>
      <c r="Q3" s="5" t="inlineStr">
        <is>
          <t>4</t>
        </is>
      </c>
      <c r="R3" s="5" t="inlineStr">
        <is>
          <t>5</t>
        </is>
      </c>
      <c r="S3" s="5" t="inlineStr">
        <is>
          <t>57</t>
        </is>
      </c>
      <c r="T3" s="5" t="inlineStr">
        <is>
          <t>11</t>
        </is>
      </c>
      <c r="U3" s="5">
        <f>IFS(C3&lt;30,"Under 30",C3&lt;40,"30-39",C3&lt;50,"40-49",TRUE,"50+")</f>
        <v/>
      </c>
      <c r="V3" s="5">
        <f>IFS(O3&lt;60000,"Low (&lt;60k)",O3&lt;100000,"Mid (60-100k)",TRUE,"High (100k+)")</f>
        <v/>
      </c>
      <c r="W3" s="5">
        <f>IF(M3="No","Attrited","Active")</f>
        <v/>
      </c>
    </row>
    <row r="4">
      <c r="A4" s="5" t="inlineStr">
        <is>
          <t>E00003</t>
        </is>
      </c>
      <c r="B4" s="5" t="inlineStr">
        <is>
          <t>Female</t>
        </is>
      </c>
      <c r="C4" s="6" t="inlineStr">
        <is>
          <t>31</t>
        </is>
      </c>
      <c r="D4" s="5" t="inlineStr">
        <is>
          <t>Married</t>
        </is>
      </c>
      <c r="E4" s="5" t="inlineStr">
        <is>
          <t>Master</t>
        </is>
      </c>
      <c r="F4" s="5" t="inlineStr">
        <is>
          <t>Sales</t>
        </is>
      </c>
      <c r="G4" s="5" t="inlineStr">
        <is>
          <t>Sales Executive</t>
        </is>
      </c>
      <c r="H4" s="5" t="inlineStr">
        <is>
          <t>3</t>
        </is>
      </c>
      <c r="I4" s="5" t="inlineStr">
        <is>
          <t>Delhi</t>
        </is>
      </c>
      <c r="J4" s="5" t="inlineStr">
        <is>
          <t>Full-Time</t>
        </is>
      </c>
      <c r="K4" s="7" t="n">
        <v>44143</v>
      </c>
      <c r="L4" s="7" t="inlineStr"/>
      <c r="M4" s="5" t="inlineStr">
        <is>
          <t>Yes</t>
        </is>
      </c>
      <c r="N4" s="5" t="inlineStr"/>
      <c r="O4" s="8" t="inlineStr">
        <is>
          <t>96000</t>
        </is>
      </c>
      <c r="P4" s="5" t="inlineStr">
        <is>
          <t>10</t>
        </is>
      </c>
      <c r="Q4" s="5" t="inlineStr">
        <is>
          <t>3</t>
        </is>
      </c>
      <c r="R4" s="5" t="inlineStr">
        <is>
          <t>8</t>
        </is>
      </c>
      <c r="S4" s="5" t="inlineStr">
        <is>
          <t>62</t>
        </is>
      </c>
      <c r="T4" s="5" t="inlineStr">
        <is>
          <t>12</t>
        </is>
      </c>
      <c r="U4" s="5">
        <f>IFS(C4&lt;30,"Under 30",C4&lt;40,"30-39",C4&lt;50,"40-49",TRUE,"50+")</f>
        <v/>
      </c>
      <c r="V4" s="5">
        <f>IFS(O4&lt;60000,"Low (&lt;60k)",O4&lt;100000,"Mid (60-100k)",TRUE,"High (100k+)")</f>
        <v/>
      </c>
      <c r="W4" s="5">
        <f>IF(M4="No","Attrited","Active")</f>
        <v/>
      </c>
    </row>
    <row r="5">
      <c r="A5" s="5" t="inlineStr">
        <is>
          <t>E00004</t>
        </is>
      </c>
      <c r="B5" s="5" t="inlineStr">
        <is>
          <t>Female</t>
        </is>
      </c>
      <c r="C5" s="6" t="inlineStr">
        <is>
          <t>28</t>
        </is>
      </c>
      <c r="D5" s="5" t="inlineStr">
        <is>
          <t>Married</t>
        </is>
      </c>
      <c r="E5" s="5" t="inlineStr">
        <is>
          <t>Master</t>
        </is>
      </c>
      <c r="F5" s="5" t="inlineStr">
        <is>
          <t>Customer Support</t>
        </is>
      </c>
      <c r="G5" s="5" t="inlineStr">
        <is>
          <t>Escalation Specialist</t>
        </is>
      </c>
      <c r="H5" s="5" t="inlineStr">
        <is>
          <t>3</t>
        </is>
      </c>
      <c r="I5" s="5" t="inlineStr">
        <is>
          <t>Chennai</t>
        </is>
      </c>
      <c r="J5" s="5" t="inlineStr">
        <is>
          <t>Full-Time</t>
        </is>
      </c>
      <c r="K5" s="7" t="n">
        <v>45464</v>
      </c>
      <c r="L5" s="7" t="inlineStr"/>
      <c r="M5" s="5" t="inlineStr">
        <is>
          <t>Yes</t>
        </is>
      </c>
      <c r="N5" s="5" t="inlineStr"/>
      <c r="O5" s="8" t="inlineStr">
        <is>
          <t>70000</t>
        </is>
      </c>
      <c r="P5" s="5" t="inlineStr">
        <is>
          <t>5</t>
        </is>
      </c>
      <c r="Q5" s="5" t="inlineStr">
        <is>
          <t>3</t>
        </is>
      </c>
      <c r="R5" s="5" t="inlineStr">
        <is>
          <t>7</t>
        </is>
      </c>
      <c r="S5" s="5" t="inlineStr">
        <is>
          <t>18</t>
        </is>
      </c>
      <c r="T5" s="5" t="inlineStr">
        <is>
          <t>0</t>
        </is>
      </c>
      <c r="U5" s="5">
        <f>IFS(C5&lt;30,"Under 30",C5&lt;40,"30-39",C5&lt;50,"40-49",TRUE,"50+")</f>
        <v/>
      </c>
      <c r="V5" s="5">
        <f>IFS(O5&lt;60000,"Low (&lt;60k)",O5&lt;100000,"Mid (60-100k)",TRUE,"High (100k+)")</f>
        <v/>
      </c>
      <c r="W5" s="5">
        <f>IF(M5="No","Attrited","Active")</f>
        <v/>
      </c>
    </row>
    <row r="6">
      <c r="A6" s="5" t="inlineStr">
        <is>
          <t>E00005</t>
        </is>
      </c>
      <c r="B6" s="5" t="inlineStr">
        <is>
          <t>Male</t>
        </is>
      </c>
      <c r="C6" s="6" t="inlineStr">
        <is>
          <t>27</t>
        </is>
      </c>
      <c r="D6" s="5" t="inlineStr">
        <is>
          <t>Married</t>
        </is>
      </c>
      <c r="E6" s="5" t="inlineStr">
        <is>
          <t>Diploma</t>
        </is>
      </c>
      <c r="F6" s="5" t="inlineStr">
        <is>
          <t>Customer Support</t>
        </is>
      </c>
      <c r="G6" s="5" t="inlineStr">
        <is>
          <t>Escalation Specialist</t>
        </is>
      </c>
      <c r="H6" s="5" t="inlineStr">
        <is>
          <t>2</t>
        </is>
      </c>
      <c r="I6" s="5" t="inlineStr">
        <is>
          <t>Delhi</t>
        </is>
      </c>
      <c r="J6" s="5" t="inlineStr">
        <is>
          <t>Full-Time</t>
        </is>
      </c>
      <c r="K6" s="7" t="n">
        <v>45952</v>
      </c>
      <c r="L6" s="7" t="inlineStr"/>
      <c r="M6" s="5" t="inlineStr">
        <is>
          <t>Yes</t>
        </is>
      </c>
      <c r="N6" s="5" t="inlineStr"/>
      <c r="O6" s="8" t="inlineStr">
        <is>
          <t>74000</t>
        </is>
      </c>
      <c r="P6" s="5" t="inlineStr">
        <is>
          <t>5</t>
        </is>
      </c>
      <c r="Q6" s="5" t="inlineStr">
        <is>
          <t>5</t>
        </is>
      </c>
      <c r="R6" s="5" t="inlineStr">
        <is>
          <t>8</t>
        </is>
      </c>
      <c r="S6" s="5" t="inlineStr">
        <is>
          <t>2</t>
        </is>
      </c>
      <c r="T6" s="5" t="inlineStr">
        <is>
          <t>4</t>
        </is>
      </c>
      <c r="U6" s="5">
        <f>IFS(C6&lt;30,"Under 30",C6&lt;40,"30-39",C6&lt;50,"40-49",TRUE,"50+")</f>
        <v/>
      </c>
      <c r="V6" s="5">
        <f>IFS(O6&lt;60000,"Low (&lt;60k)",O6&lt;100000,"Mid (60-100k)",TRUE,"High (100k+)")</f>
        <v/>
      </c>
      <c r="W6" s="5">
        <f>IF(M6="No","Attrited","Active")</f>
        <v/>
      </c>
    </row>
    <row r="7">
      <c r="A7" s="5" t="inlineStr">
        <is>
          <t>E00006</t>
        </is>
      </c>
      <c r="B7" s="5" t="inlineStr">
        <is>
          <t>Female</t>
        </is>
      </c>
      <c r="C7" s="6" t="inlineStr">
        <is>
          <t>41</t>
        </is>
      </c>
      <c r="D7" s="5" t="inlineStr">
        <is>
          <t>Married</t>
        </is>
      </c>
      <c r="E7" s="5" t="inlineStr">
        <is>
          <t>Bachelor</t>
        </is>
      </c>
      <c r="F7" s="5" t="inlineStr">
        <is>
          <t>Sales</t>
        </is>
      </c>
      <c r="G7" s="5" t="inlineStr">
        <is>
          <t>Business Development</t>
        </is>
      </c>
      <c r="H7" s="5" t="inlineStr">
        <is>
          <t>6</t>
        </is>
      </c>
      <c r="I7" s="5" t="inlineStr">
        <is>
          <t>Bengaluru</t>
        </is>
      </c>
      <c r="J7" s="5" t="inlineStr">
        <is>
          <t>Full-Time</t>
        </is>
      </c>
      <c r="K7" s="7" t="n">
        <v>45702</v>
      </c>
      <c r="L7" s="7" t="inlineStr"/>
      <c r="M7" s="5" t="inlineStr">
        <is>
          <t>Yes</t>
        </is>
      </c>
      <c r="N7" s="5" t="inlineStr"/>
      <c r="O7" s="8" t="inlineStr">
        <is>
          <t>156500</t>
        </is>
      </c>
      <c r="P7" s="5" t="inlineStr">
        <is>
          <t>10</t>
        </is>
      </c>
      <c r="Q7" s="5" t="inlineStr">
        <is>
          <t>3</t>
        </is>
      </c>
      <c r="R7" s="5" t="inlineStr">
        <is>
          <t>1</t>
        </is>
      </c>
      <c r="S7" s="5" t="inlineStr">
        <is>
          <t>10</t>
        </is>
      </c>
      <c r="T7" s="5" t="inlineStr">
        <is>
          <t>18</t>
        </is>
      </c>
      <c r="U7" s="5">
        <f>IFS(C7&lt;30,"Under 30",C7&lt;40,"30-39",C7&lt;50,"40-49",TRUE,"50+")</f>
        <v/>
      </c>
      <c r="V7" s="5">
        <f>IFS(O7&lt;60000,"Low (&lt;60k)",O7&lt;100000,"Mid (60-100k)",TRUE,"High (100k+)")</f>
        <v/>
      </c>
      <c r="W7" s="5">
        <f>IF(M7="No","Attrited","Active")</f>
        <v/>
      </c>
    </row>
    <row r="8">
      <c r="A8" s="5" t="inlineStr">
        <is>
          <t>E00007</t>
        </is>
      </c>
      <c r="B8" s="5" t="inlineStr">
        <is>
          <t>Female</t>
        </is>
      </c>
      <c r="C8" s="6" t="inlineStr">
        <is>
          <t>38</t>
        </is>
      </c>
      <c r="D8" s="5" t="inlineStr">
        <is>
          <t>Married</t>
        </is>
      </c>
      <c r="E8" s="5" t="inlineStr">
        <is>
          <t>PhD</t>
        </is>
      </c>
      <c r="F8" s="5" t="inlineStr">
        <is>
          <t>Finance</t>
        </is>
      </c>
      <c r="G8" s="5" t="inlineStr">
        <is>
          <t>Credit Analyst</t>
        </is>
      </c>
      <c r="H8" s="5" t="inlineStr">
        <is>
          <t>5</t>
        </is>
      </c>
      <c r="I8" s="5" t="inlineStr">
        <is>
          <t>Remote</t>
        </is>
      </c>
      <c r="J8" s="5" t="inlineStr">
        <is>
          <t>Full-Time</t>
        </is>
      </c>
      <c r="K8" s="7" t="n">
        <v>43868</v>
      </c>
      <c r="L8" s="7" t="inlineStr"/>
      <c r="M8" s="5" t="inlineStr">
        <is>
          <t>Yes</t>
        </is>
      </c>
      <c r="N8" s="5" t="inlineStr"/>
      <c r="O8" s="8" t="inlineStr">
        <is>
          <t>158000</t>
        </is>
      </c>
      <c r="P8" s="5" t="inlineStr">
        <is>
          <t>5</t>
        </is>
      </c>
      <c r="Q8" s="5" t="inlineStr">
        <is>
          <t>5</t>
        </is>
      </c>
      <c r="R8" s="5" t="inlineStr">
        <is>
          <t>8</t>
        </is>
      </c>
      <c r="S8" s="5" t="inlineStr">
        <is>
          <t>71</t>
        </is>
      </c>
      <c r="T8" s="5" t="inlineStr">
        <is>
          <t>3</t>
        </is>
      </c>
      <c r="U8" s="5">
        <f>IFS(C8&lt;30,"Under 30",C8&lt;40,"30-39",C8&lt;50,"40-49",TRUE,"50+")</f>
        <v/>
      </c>
      <c r="V8" s="5">
        <f>IFS(O8&lt;60000,"Low (&lt;60k)",O8&lt;100000,"Mid (60-100k)",TRUE,"High (100k+)")</f>
        <v/>
      </c>
      <c r="W8" s="5">
        <f>IF(M8="No","Attrited","Active")</f>
        <v/>
      </c>
    </row>
    <row r="9">
      <c r="A9" s="5" t="inlineStr">
        <is>
          <t>E00008</t>
        </is>
      </c>
      <c r="B9" s="5" t="inlineStr">
        <is>
          <t>Female</t>
        </is>
      </c>
      <c r="C9" s="6" t="inlineStr">
        <is>
          <t>26</t>
        </is>
      </c>
      <c r="D9" s="5" t="inlineStr">
        <is>
          <t>Married</t>
        </is>
      </c>
      <c r="E9" s="5" t="inlineStr">
        <is>
          <t>Master</t>
        </is>
      </c>
      <c r="F9" s="5" t="inlineStr">
        <is>
          <t>Customer Support</t>
        </is>
      </c>
      <c r="G9" s="5" t="inlineStr">
        <is>
          <t>Support Lead</t>
        </is>
      </c>
      <c r="H9" s="5" t="inlineStr">
        <is>
          <t>2</t>
        </is>
      </c>
      <c r="I9" s="5" t="inlineStr">
        <is>
          <t>Delhi</t>
        </is>
      </c>
      <c r="J9" s="5" t="inlineStr">
        <is>
          <t>Full-Time</t>
        </is>
      </c>
      <c r="K9" s="7" t="n">
        <v>43968</v>
      </c>
      <c r="L9" s="7" t="n">
        <v>44098</v>
      </c>
      <c r="M9" s="5" t="inlineStr">
        <is>
          <t>No</t>
        </is>
      </c>
      <c r="N9" s="5" t="inlineStr">
        <is>
          <t>Resigned</t>
        </is>
      </c>
      <c r="O9" s="8" t="inlineStr">
        <is>
          <t>82000</t>
        </is>
      </c>
      <c r="P9" s="5" t="inlineStr">
        <is>
          <t>0</t>
        </is>
      </c>
      <c r="Q9" s="5" t="inlineStr">
        <is>
          <t>3</t>
        </is>
      </c>
      <c r="R9" s="5" t="inlineStr">
        <is>
          <t>5</t>
        </is>
      </c>
      <c r="S9" s="5" t="inlineStr">
        <is>
          <t>4</t>
        </is>
      </c>
      <c r="T9" s="5" t="inlineStr">
        <is>
          <t>0</t>
        </is>
      </c>
      <c r="U9" s="5">
        <f>IFS(C9&lt;30,"Under 30",C9&lt;40,"30-39",C9&lt;50,"40-49",TRUE,"50+")</f>
        <v/>
      </c>
      <c r="V9" s="5">
        <f>IFS(O9&lt;60000,"Low (&lt;60k)",O9&lt;100000,"Mid (60-100k)",TRUE,"High (100k+)")</f>
        <v/>
      </c>
      <c r="W9" s="5">
        <f>IF(M9="No","Attrited","Active")</f>
        <v/>
      </c>
    </row>
    <row r="10">
      <c r="A10" s="5" t="inlineStr">
        <is>
          <t>E00009</t>
        </is>
      </c>
      <c r="B10" s="5" t="inlineStr">
        <is>
          <t>Male</t>
        </is>
      </c>
      <c r="C10" s="6" t="inlineStr">
        <is>
          <t>34</t>
        </is>
      </c>
      <c r="D10" s="5" t="inlineStr">
        <is>
          <t>Married</t>
        </is>
      </c>
      <c r="E10" s="5" t="inlineStr">
        <is>
          <t>Diploma</t>
        </is>
      </c>
      <c r="F10" s="5" t="inlineStr">
        <is>
          <t>Customer Support</t>
        </is>
      </c>
      <c r="G10" s="5" t="inlineStr">
        <is>
          <t>Support Lead</t>
        </is>
      </c>
      <c r="H10" s="5" t="inlineStr">
        <is>
          <t>1</t>
        </is>
      </c>
      <c r="I10" s="5" t="inlineStr">
        <is>
          <t>Mumbai</t>
        </is>
      </c>
      <c r="J10" s="5" t="inlineStr">
        <is>
          <t>Full-Time</t>
        </is>
      </c>
      <c r="K10" s="7" t="n">
        <v>44922</v>
      </c>
      <c r="L10" s="7" t="n">
        <v>44967</v>
      </c>
      <c r="M10" s="5" t="inlineStr">
        <is>
          <t>No</t>
        </is>
      </c>
      <c r="N10" s="5" t="inlineStr">
        <is>
          <t>Resigned</t>
        </is>
      </c>
      <c r="O10" s="8" t="inlineStr">
        <is>
          <t>56000</t>
        </is>
      </c>
      <c r="P10" s="5" t="inlineStr">
        <is>
          <t>5</t>
        </is>
      </c>
      <c r="Q10" s="5" t="inlineStr">
        <is>
          <t>5</t>
        </is>
      </c>
      <c r="R10" s="5" t="inlineStr">
        <is>
          <t>8</t>
        </is>
      </c>
      <c r="S10" s="5" t="inlineStr">
        <is>
          <t>1</t>
        </is>
      </c>
      <c r="T10" s="5" t="inlineStr">
        <is>
          <t>16</t>
        </is>
      </c>
      <c r="U10" s="5">
        <f>IFS(C10&lt;30,"Under 30",C10&lt;40,"30-39",C10&lt;50,"40-49",TRUE,"50+")</f>
        <v/>
      </c>
      <c r="V10" s="5">
        <f>IFS(O10&lt;60000,"Low (&lt;60k)",O10&lt;100000,"Mid (60-100k)",TRUE,"High (100k+)")</f>
        <v/>
      </c>
      <c r="W10" s="5">
        <f>IF(M10="No","Attrited","Active")</f>
        <v/>
      </c>
    </row>
    <row r="11">
      <c r="A11" s="5" t="inlineStr">
        <is>
          <t>E00010</t>
        </is>
      </c>
      <c r="B11" s="5" t="inlineStr">
        <is>
          <t>Female</t>
        </is>
      </c>
      <c r="C11" s="6" t="inlineStr">
        <is>
          <t>45</t>
        </is>
      </c>
      <c r="D11" s="5" t="inlineStr">
        <is>
          <t>Married</t>
        </is>
      </c>
      <c r="E11" s="5" t="inlineStr">
        <is>
          <t>Diploma</t>
        </is>
      </c>
      <c r="F11" s="5" t="inlineStr">
        <is>
          <t>Sales</t>
        </is>
      </c>
      <c r="G11" s="5" t="inlineStr">
        <is>
          <t>Business Development</t>
        </is>
      </c>
      <c r="H11" s="5" t="inlineStr">
        <is>
          <t>7</t>
        </is>
      </c>
      <c r="I11" s="5" t="inlineStr">
        <is>
          <t>Chennai</t>
        </is>
      </c>
      <c r="J11" s="5" t="inlineStr">
        <is>
          <t>Full-Time</t>
        </is>
      </c>
      <c r="K11" s="7" t="n">
        <v>44325</v>
      </c>
      <c r="L11" s="7" t="inlineStr"/>
      <c r="M11" s="5" t="inlineStr">
        <is>
          <t>Yes</t>
        </is>
      </c>
      <c r="N11" s="5" t="inlineStr"/>
      <c r="O11" s="8" t="inlineStr">
        <is>
          <t>163500</t>
        </is>
      </c>
      <c r="P11" s="5" t="inlineStr">
        <is>
          <t>15</t>
        </is>
      </c>
      <c r="Q11" s="5" t="inlineStr">
        <is>
          <t>4</t>
        </is>
      </c>
      <c r="R11" s="5" t="inlineStr">
        <is>
          <t>6</t>
        </is>
      </c>
      <c r="S11" s="5" t="inlineStr">
        <is>
          <t>56</t>
        </is>
      </c>
      <c r="T11" s="5" t="inlineStr">
        <is>
          <t>6</t>
        </is>
      </c>
      <c r="U11" s="5">
        <f>IFS(C11&lt;30,"Under 30",C11&lt;40,"30-39",C11&lt;50,"40-49",TRUE,"50+")</f>
        <v/>
      </c>
      <c r="V11" s="5">
        <f>IFS(O11&lt;60000,"Low (&lt;60k)",O11&lt;100000,"Mid (60-100k)",TRUE,"High (100k+)")</f>
        <v/>
      </c>
      <c r="W11" s="5">
        <f>IF(M11="No","Attrited","Active")</f>
        <v/>
      </c>
    </row>
    <row r="12">
      <c r="A12" s="5" t="inlineStr">
        <is>
          <t>E00011</t>
        </is>
      </c>
      <c r="B12" s="5" t="inlineStr">
        <is>
          <t>Female</t>
        </is>
      </c>
      <c r="C12" s="6" t="inlineStr">
        <is>
          <t>46</t>
        </is>
      </c>
      <c r="D12" s="5" t="inlineStr">
        <is>
          <t>Married</t>
        </is>
      </c>
      <c r="E12" s="5" t="inlineStr">
        <is>
          <t>Master</t>
        </is>
      </c>
      <c r="F12" s="5" t="inlineStr">
        <is>
          <t>Operations</t>
        </is>
      </c>
      <c r="G12" s="5" t="inlineStr">
        <is>
          <t>Operations Analyst</t>
        </is>
      </c>
      <c r="H12" s="5" t="inlineStr">
        <is>
          <t>7</t>
        </is>
      </c>
      <c r="I12" s="5" t="inlineStr">
        <is>
          <t>Mumbai</t>
        </is>
      </c>
      <c r="J12" s="5" t="inlineStr">
        <is>
          <t>Full-Time</t>
        </is>
      </c>
      <c r="K12" s="7" t="n">
        <v>44744</v>
      </c>
      <c r="L12" s="7" t="inlineStr"/>
      <c r="M12" s="5" t="inlineStr">
        <is>
          <t>Yes</t>
        </is>
      </c>
      <c r="N12" s="5" t="inlineStr"/>
      <c r="O12" s="8" t="inlineStr">
        <is>
          <t>168000</t>
        </is>
      </c>
      <c r="P12" s="5" t="inlineStr">
        <is>
          <t>15</t>
        </is>
      </c>
      <c r="Q12" s="5" t="inlineStr">
        <is>
          <t>4</t>
        </is>
      </c>
      <c r="R12" s="5" t="inlineStr">
        <is>
          <t>8</t>
        </is>
      </c>
      <c r="S12" s="5" t="inlineStr">
        <is>
          <t>42</t>
        </is>
      </c>
      <c r="T12" s="5" t="inlineStr">
        <is>
          <t>10</t>
        </is>
      </c>
      <c r="U12" s="5">
        <f>IFS(C12&lt;30,"Under 30",C12&lt;40,"30-39",C12&lt;50,"40-49",TRUE,"50+")</f>
        <v/>
      </c>
      <c r="V12" s="5">
        <f>IFS(O12&lt;60000,"Low (&lt;60k)",O12&lt;100000,"Mid (60-100k)",TRUE,"High (100k+)")</f>
        <v/>
      </c>
      <c r="W12" s="5">
        <f>IF(M12="No","Attrited","Active")</f>
        <v/>
      </c>
    </row>
    <row r="13">
      <c r="A13" s="5" t="inlineStr">
        <is>
          <t>E00012</t>
        </is>
      </c>
      <c r="B13" s="5" t="inlineStr">
        <is>
          <t>Male</t>
        </is>
      </c>
      <c r="C13" s="6" t="inlineStr">
        <is>
          <t>24</t>
        </is>
      </c>
      <c r="D13" s="5" t="inlineStr">
        <is>
          <t>Married</t>
        </is>
      </c>
      <c r="E13" s="5" t="inlineStr">
        <is>
          <t>Bachelor</t>
        </is>
      </c>
      <c r="F13" s="5" t="inlineStr">
        <is>
          <t>Customer Support</t>
        </is>
      </c>
      <c r="G13" s="5" t="inlineStr">
        <is>
          <t>Support Lead</t>
        </is>
      </c>
      <c r="H13" s="5" t="inlineStr">
        <is>
          <t>1</t>
        </is>
      </c>
      <c r="I13" s="5" t="inlineStr">
        <is>
          <t>Remote</t>
        </is>
      </c>
      <c r="J13" s="5" t="inlineStr">
        <is>
          <t>Contract</t>
        </is>
      </c>
      <c r="K13" s="7" t="n">
        <v>45961</v>
      </c>
      <c r="L13" s="7" t="inlineStr"/>
      <c r="M13" s="5" t="inlineStr">
        <is>
          <t>Yes</t>
        </is>
      </c>
      <c r="N13" s="5" t="inlineStr"/>
      <c r="O13" s="8" t="inlineStr">
        <is>
          <t>71500</t>
        </is>
      </c>
      <c r="P13" s="5" t="inlineStr">
        <is>
          <t>15</t>
        </is>
      </c>
      <c r="Q13" s="5" t="inlineStr">
        <is>
          <t>3</t>
        </is>
      </c>
      <c r="R13" s="5" t="inlineStr">
        <is>
          <t>9</t>
        </is>
      </c>
      <c r="S13" s="5" t="inlineStr">
        <is>
          <t>2</t>
        </is>
      </c>
      <c r="T13" s="5" t="inlineStr">
        <is>
          <t>11</t>
        </is>
      </c>
      <c r="U13" s="5">
        <f>IFS(C13&lt;30,"Under 30",C13&lt;40,"30-39",C13&lt;50,"40-49",TRUE,"50+")</f>
        <v/>
      </c>
      <c r="V13" s="5">
        <f>IFS(O13&lt;60000,"Low (&lt;60k)",O13&lt;100000,"Mid (60-100k)",TRUE,"High (100k+)")</f>
        <v/>
      </c>
      <c r="W13" s="5">
        <f>IF(M13="No","Attrited","Active")</f>
        <v/>
      </c>
    </row>
    <row r="14">
      <c r="A14" s="5" t="inlineStr">
        <is>
          <t>E00013</t>
        </is>
      </c>
      <c r="B14" s="5" t="inlineStr">
        <is>
          <t>Male</t>
        </is>
      </c>
      <c r="C14" s="6" t="inlineStr">
        <is>
          <t>34</t>
        </is>
      </c>
      <c r="D14" s="5" t="inlineStr">
        <is>
          <t>Married</t>
        </is>
      </c>
      <c r="E14" s="5" t="inlineStr">
        <is>
          <t>High School</t>
        </is>
      </c>
      <c r="F14" s="5" t="inlineStr">
        <is>
          <t>Operations</t>
        </is>
      </c>
      <c r="G14" s="5" t="inlineStr">
        <is>
          <t>Operations Analyst</t>
        </is>
      </c>
      <c r="H14" s="5" t="inlineStr">
        <is>
          <t>3</t>
        </is>
      </c>
      <c r="I14" s="5" t="inlineStr">
        <is>
          <t>Chennai</t>
        </is>
      </c>
      <c r="J14" s="5" t="inlineStr">
        <is>
          <t>Contract</t>
        </is>
      </c>
      <c r="K14" s="7" t="n">
        <v>45074</v>
      </c>
      <c r="L14" s="7" t="inlineStr"/>
      <c r="M14" s="5" t="inlineStr">
        <is>
          <t>Yes</t>
        </is>
      </c>
      <c r="N14" s="5" t="inlineStr"/>
      <c r="O14" s="8" t="inlineStr">
        <is>
          <t>95500</t>
        </is>
      </c>
      <c r="P14" s="5" t="inlineStr">
        <is>
          <t>0</t>
        </is>
      </c>
      <c r="Q14" s="5" t="inlineStr">
        <is>
          <t>4</t>
        </is>
      </c>
      <c r="R14" s="5" t="inlineStr">
        <is>
          <t>6</t>
        </is>
      </c>
      <c r="S14" s="5" t="inlineStr">
        <is>
          <t>31</t>
        </is>
      </c>
      <c r="T14" s="5" t="inlineStr">
        <is>
          <t>2</t>
        </is>
      </c>
      <c r="U14" s="5">
        <f>IFS(C14&lt;30,"Under 30",C14&lt;40,"30-39",C14&lt;50,"40-49",TRUE,"50+")</f>
        <v/>
      </c>
      <c r="V14" s="5">
        <f>IFS(O14&lt;60000,"Low (&lt;60k)",O14&lt;100000,"Mid (60-100k)",TRUE,"High (100k+)")</f>
        <v/>
      </c>
      <c r="W14" s="5">
        <f>IF(M14="No","Attrited","Active")</f>
        <v/>
      </c>
    </row>
    <row r="15">
      <c r="A15" s="5" t="inlineStr">
        <is>
          <t>E00014</t>
        </is>
      </c>
      <c r="B15" s="5" t="inlineStr">
        <is>
          <t>Male</t>
        </is>
      </c>
      <c r="C15" s="6" t="inlineStr">
        <is>
          <t>33</t>
        </is>
      </c>
      <c r="D15" s="5" t="inlineStr">
        <is>
          <t>Single</t>
        </is>
      </c>
      <c r="E15" s="5" t="inlineStr">
        <is>
          <t>PhD</t>
        </is>
      </c>
      <c r="F15" s="5" t="inlineStr">
        <is>
          <t>Finance</t>
        </is>
      </c>
      <c r="G15" s="5" t="inlineStr">
        <is>
          <t>Credit Analyst</t>
        </is>
      </c>
      <c r="H15" s="5" t="inlineStr">
        <is>
          <t>6</t>
        </is>
      </c>
      <c r="I15" s="5" t="inlineStr">
        <is>
          <t>Mumbai</t>
        </is>
      </c>
      <c r="J15" s="5" t="inlineStr">
        <is>
          <t>Full-Time</t>
        </is>
      </c>
      <c r="K15" s="7" t="n">
        <v>45465</v>
      </c>
      <c r="L15" s="7" t="inlineStr"/>
      <c r="M15" s="5" t="inlineStr">
        <is>
          <t>Yes</t>
        </is>
      </c>
      <c r="N15" s="5" t="inlineStr"/>
      <c r="O15" s="8" t="inlineStr">
        <is>
          <t>168000</t>
        </is>
      </c>
      <c r="P15" s="5" t="inlineStr">
        <is>
          <t>5</t>
        </is>
      </c>
      <c r="Q15" s="5" t="inlineStr">
        <is>
          <t>4</t>
        </is>
      </c>
      <c r="R15" s="5" t="inlineStr">
        <is>
          <t>7</t>
        </is>
      </c>
      <c r="S15" s="5" t="inlineStr">
        <is>
          <t>18</t>
        </is>
      </c>
      <c r="T15" s="5" t="inlineStr">
        <is>
          <t>5</t>
        </is>
      </c>
      <c r="U15" s="5">
        <f>IFS(C15&lt;30,"Under 30",C15&lt;40,"30-39",C15&lt;50,"40-49",TRUE,"50+")</f>
        <v/>
      </c>
      <c r="V15" s="5">
        <f>IFS(O15&lt;60000,"Low (&lt;60k)",O15&lt;100000,"Mid (60-100k)",TRUE,"High (100k+)")</f>
        <v/>
      </c>
      <c r="W15" s="5">
        <f>IF(M15="No","Attrited","Active")</f>
        <v/>
      </c>
    </row>
    <row r="16">
      <c r="A16" s="5" t="inlineStr">
        <is>
          <t>E00015</t>
        </is>
      </c>
      <c r="B16" s="5" t="inlineStr">
        <is>
          <t>Female</t>
        </is>
      </c>
      <c r="C16" s="6" t="inlineStr">
        <is>
          <t>25</t>
        </is>
      </c>
      <c r="D16" s="5" t="inlineStr">
        <is>
          <t>Married</t>
        </is>
      </c>
      <c r="E16" s="5" t="inlineStr">
        <is>
          <t>Master</t>
        </is>
      </c>
      <c r="F16" s="5" t="inlineStr">
        <is>
          <t>Customer Support</t>
        </is>
      </c>
      <c r="G16" s="5" t="inlineStr">
        <is>
          <t>Support Agent</t>
        </is>
      </c>
      <c r="H16" s="5" t="inlineStr">
        <is>
          <t>1</t>
        </is>
      </c>
      <c r="I16" s="5" t="inlineStr">
        <is>
          <t>Bengaluru</t>
        </is>
      </c>
      <c r="J16" s="5" t="inlineStr">
        <is>
          <t>Part-Time</t>
        </is>
      </c>
      <c r="K16" s="7" t="n">
        <v>45948</v>
      </c>
      <c r="L16" s="7" t="n">
        <v>46021</v>
      </c>
      <c r="M16" s="5" t="inlineStr">
        <is>
          <t>No</t>
        </is>
      </c>
      <c r="N16" s="5" t="inlineStr">
        <is>
          <t>Resigned</t>
        </is>
      </c>
      <c r="O16" s="8" t="inlineStr">
        <is>
          <t>51000</t>
        </is>
      </c>
      <c r="P16" s="5" t="inlineStr">
        <is>
          <t>0</t>
        </is>
      </c>
      <c r="Q16" s="5" t="inlineStr">
        <is>
          <t>3</t>
        </is>
      </c>
      <c r="R16" s="5" t="inlineStr">
        <is>
          <t>4</t>
        </is>
      </c>
      <c r="S16" s="5" t="inlineStr">
        <is>
          <t>2</t>
        </is>
      </c>
      <c r="T16" s="5" t="inlineStr">
        <is>
          <t>8</t>
        </is>
      </c>
      <c r="U16" s="5">
        <f>IFS(C16&lt;30,"Under 30",C16&lt;40,"30-39",C16&lt;50,"40-49",TRUE,"50+")</f>
        <v/>
      </c>
      <c r="V16" s="5">
        <f>IFS(O16&lt;60000,"Low (&lt;60k)",O16&lt;100000,"Mid (60-100k)",TRUE,"High (100k+)")</f>
        <v/>
      </c>
      <c r="W16" s="5">
        <f>IF(M16="No","Attrited","Active")</f>
        <v/>
      </c>
    </row>
    <row r="17">
      <c r="A17" s="5" t="inlineStr">
        <is>
          <t>E00016</t>
        </is>
      </c>
      <c r="B17" s="5" t="inlineStr">
        <is>
          <t>Male</t>
        </is>
      </c>
      <c r="C17" s="6" t="inlineStr">
        <is>
          <t>28</t>
        </is>
      </c>
      <c r="D17" s="5" t="inlineStr">
        <is>
          <t>Married</t>
        </is>
      </c>
      <c r="E17" s="5" t="inlineStr">
        <is>
          <t>Bachelor</t>
        </is>
      </c>
      <c r="F17" s="5" t="inlineStr">
        <is>
          <t>Human Resources</t>
        </is>
      </c>
      <c r="G17" s="5" t="inlineStr">
        <is>
          <t>HR Analyst</t>
        </is>
      </c>
      <c r="H17" s="5" t="inlineStr">
        <is>
          <t>3</t>
        </is>
      </c>
      <c r="I17" s="5" t="inlineStr">
        <is>
          <t>Hyderabad</t>
        </is>
      </c>
      <c r="J17" s="5" t="inlineStr">
        <is>
          <t>Full-Time</t>
        </is>
      </c>
      <c r="K17" s="7" t="n">
        <v>45746</v>
      </c>
      <c r="L17" s="7" t="n">
        <v>45856</v>
      </c>
      <c r="M17" s="5" t="inlineStr">
        <is>
          <t>No</t>
        </is>
      </c>
      <c r="N17" s="5" t="inlineStr">
        <is>
          <t>Resigned</t>
        </is>
      </c>
      <c r="O17" s="8" t="inlineStr">
        <is>
          <t>83000</t>
        </is>
      </c>
      <c r="P17" s="5" t="inlineStr">
        <is>
          <t>0</t>
        </is>
      </c>
      <c r="Q17" s="5" t="inlineStr">
        <is>
          <t>4</t>
        </is>
      </c>
      <c r="R17" s="5" t="inlineStr">
        <is>
          <t>5</t>
        </is>
      </c>
      <c r="S17" s="5" t="inlineStr">
        <is>
          <t>3</t>
        </is>
      </c>
      <c r="T17" s="5" t="inlineStr">
        <is>
          <t>5</t>
        </is>
      </c>
      <c r="U17" s="5">
        <f>IFS(C17&lt;30,"Under 30",C17&lt;40,"30-39",C17&lt;50,"40-49",TRUE,"50+")</f>
        <v/>
      </c>
      <c r="V17" s="5">
        <f>IFS(O17&lt;60000,"Low (&lt;60k)",O17&lt;100000,"Mid (60-100k)",TRUE,"High (100k+)")</f>
        <v/>
      </c>
      <c r="W17" s="5">
        <f>IF(M17="No","Attrited","Active")</f>
        <v/>
      </c>
    </row>
    <row r="18">
      <c r="A18" s="5" t="inlineStr">
        <is>
          <t>E00017</t>
        </is>
      </c>
      <c r="B18" s="5" t="inlineStr">
        <is>
          <t>Male</t>
        </is>
      </c>
      <c r="C18" s="6" t="inlineStr">
        <is>
          <t>36</t>
        </is>
      </c>
      <c r="D18" s="5" t="inlineStr">
        <is>
          <t>Married</t>
        </is>
      </c>
      <c r="E18" s="5" t="inlineStr">
        <is>
          <t>PhD</t>
        </is>
      </c>
      <c r="F18" s="5" t="inlineStr">
        <is>
          <t>Research &amp; Development</t>
        </is>
      </c>
      <c r="G18" s="5" t="inlineStr">
        <is>
          <t>Data Scientist</t>
        </is>
      </c>
      <c r="H18" s="5" t="inlineStr">
        <is>
          <t>5</t>
        </is>
      </c>
      <c r="I18" s="5" t="inlineStr">
        <is>
          <t>Bengaluru</t>
        </is>
      </c>
      <c r="J18" s="5" t="inlineStr">
        <is>
          <t>Full-Time</t>
        </is>
      </c>
      <c r="K18" s="7" t="n">
        <v>44578</v>
      </c>
      <c r="L18" s="7" t="inlineStr"/>
      <c r="M18" s="5" t="inlineStr">
        <is>
          <t>Yes</t>
        </is>
      </c>
      <c r="N18" s="5" t="inlineStr"/>
      <c r="O18" s="8" t="inlineStr">
        <is>
          <t>228500</t>
        </is>
      </c>
      <c r="P18" s="5" t="inlineStr">
        <is>
          <t>5</t>
        </is>
      </c>
      <c r="Q18" s="5" t="inlineStr">
        <is>
          <t>4</t>
        </is>
      </c>
      <c r="R18" s="5" t="inlineStr">
        <is>
          <t>4</t>
        </is>
      </c>
      <c r="S18" s="5" t="inlineStr">
        <is>
          <t>48</t>
        </is>
      </c>
      <c r="T18" s="5" t="inlineStr">
        <is>
          <t>2</t>
        </is>
      </c>
      <c r="U18" s="5">
        <f>IFS(C18&lt;30,"Under 30",C18&lt;40,"30-39",C18&lt;50,"40-49",TRUE,"50+")</f>
        <v/>
      </c>
      <c r="V18" s="5">
        <f>IFS(O18&lt;60000,"Low (&lt;60k)",O18&lt;100000,"Mid (60-100k)",TRUE,"High (100k+)")</f>
        <v/>
      </c>
      <c r="W18" s="5">
        <f>IF(M18="No","Attrited","Active")</f>
        <v/>
      </c>
    </row>
    <row r="19">
      <c r="A19" s="5" t="inlineStr">
        <is>
          <t>E00018</t>
        </is>
      </c>
      <c r="B19" s="5" t="inlineStr">
        <is>
          <t>Female</t>
        </is>
      </c>
      <c r="C19" s="6" t="inlineStr">
        <is>
          <t>29</t>
        </is>
      </c>
      <c r="D19" s="5" t="inlineStr">
        <is>
          <t>Married</t>
        </is>
      </c>
      <c r="E19" s="5" t="inlineStr">
        <is>
          <t>High School</t>
        </is>
      </c>
      <c r="F19" s="5" t="inlineStr">
        <is>
          <t>Finance</t>
        </is>
      </c>
      <c r="G19" s="5" t="inlineStr">
        <is>
          <t>Accountant</t>
        </is>
      </c>
      <c r="H19" s="5" t="inlineStr">
        <is>
          <t>1</t>
        </is>
      </c>
      <c r="I19" s="5" t="inlineStr">
        <is>
          <t>Bengaluru</t>
        </is>
      </c>
      <c r="J19" s="5" t="inlineStr">
        <is>
          <t>Full-Time</t>
        </is>
      </c>
      <c r="K19" s="7" t="n">
        <v>44374</v>
      </c>
      <c r="L19" s="7" t="inlineStr"/>
      <c r="M19" s="5" t="inlineStr">
        <is>
          <t>Yes</t>
        </is>
      </c>
      <c r="N19" s="5" t="inlineStr"/>
      <c r="O19" s="8" t="inlineStr">
        <is>
          <t>73500</t>
        </is>
      </c>
      <c r="P19" s="5" t="inlineStr">
        <is>
          <t>5</t>
        </is>
      </c>
      <c r="Q19" s="5" t="inlineStr">
        <is>
          <t>3</t>
        </is>
      </c>
      <c r="R19" s="5" t="inlineStr">
        <is>
          <t>5</t>
        </is>
      </c>
      <c r="S19" s="5" t="inlineStr">
        <is>
          <t>54</t>
        </is>
      </c>
      <c r="T19" s="5" t="inlineStr">
        <is>
          <t>0</t>
        </is>
      </c>
      <c r="U19" s="5">
        <f>IFS(C19&lt;30,"Under 30",C19&lt;40,"30-39",C19&lt;50,"40-49",TRUE,"50+")</f>
        <v/>
      </c>
      <c r="V19" s="5">
        <f>IFS(O19&lt;60000,"Low (&lt;60k)",O19&lt;100000,"Mid (60-100k)",TRUE,"High (100k+)")</f>
        <v/>
      </c>
      <c r="W19" s="5">
        <f>IF(M19="No","Attrited","Active")</f>
        <v/>
      </c>
    </row>
    <row r="20">
      <c r="A20" s="5" t="inlineStr">
        <is>
          <t>E00019</t>
        </is>
      </c>
      <c r="B20" s="5" t="inlineStr">
        <is>
          <t>Female</t>
        </is>
      </c>
      <c r="C20" s="6" t="inlineStr">
        <is>
          <t>29</t>
        </is>
      </c>
      <c r="D20" s="5" t="inlineStr">
        <is>
          <t>Single</t>
        </is>
      </c>
      <c r="E20" s="5" t="inlineStr">
        <is>
          <t>PhD</t>
        </is>
      </c>
      <c r="F20" s="5" t="inlineStr">
        <is>
          <t>Human Resources</t>
        </is>
      </c>
      <c r="G20" s="5" t="inlineStr">
        <is>
          <t>Recruiter</t>
        </is>
      </c>
      <c r="H20" s="5" t="inlineStr">
        <is>
          <t>1</t>
        </is>
      </c>
      <c r="I20" s="5" t="inlineStr">
        <is>
          <t>Chennai</t>
        </is>
      </c>
      <c r="J20" s="5" t="inlineStr">
        <is>
          <t>Part-Time</t>
        </is>
      </c>
      <c r="K20" s="7" t="n">
        <v>45119</v>
      </c>
      <c r="L20" s="7" t="inlineStr"/>
      <c r="M20" s="5" t="inlineStr">
        <is>
          <t>Yes</t>
        </is>
      </c>
      <c r="N20" s="5" t="inlineStr"/>
      <c r="O20" s="8" t="inlineStr">
        <is>
          <t>57000</t>
        </is>
      </c>
      <c r="P20" s="5" t="inlineStr">
        <is>
          <t>0</t>
        </is>
      </c>
      <c r="Q20" s="5" t="inlineStr">
        <is>
          <t>5</t>
        </is>
      </c>
      <c r="R20" s="5" t="inlineStr">
        <is>
          <t>7</t>
        </is>
      </c>
      <c r="S20" s="5" t="inlineStr">
        <is>
          <t>30</t>
        </is>
      </c>
      <c r="T20" s="5" t="inlineStr">
        <is>
          <t>3</t>
        </is>
      </c>
      <c r="U20" s="5">
        <f>IFS(C20&lt;30,"Under 30",C20&lt;40,"30-39",C20&lt;50,"40-49",TRUE,"50+")</f>
        <v/>
      </c>
      <c r="V20" s="5">
        <f>IFS(O20&lt;60000,"Low (&lt;60k)",O20&lt;100000,"Mid (60-100k)",TRUE,"High (100k+)")</f>
        <v/>
      </c>
      <c r="W20" s="5">
        <f>IF(M20="No","Attrited","Active")</f>
        <v/>
      </c>
    </row>
    <row r="21">
      <c r="A21" s="5" t="inlineStr">
        <is>
          <t>E00020</t>
        </is>
      </c>
      <c r="B21" s="5" t="inlineStr">
        <is>
          <t>Male</t>
        </is>
      </c>
      <c r="C21" s="6" t="inlineStr">
        <is>
          <t>37</t>
        </is>
      </c>
      <c r="D21" s="5" t="inlineStr">
        <is>
          <t>Married</t>
        </is>
      </c>
      <c r="E21" s="5" t="inlineStr">
        <is>
          <t>PhD</t>
        </is>
      </c>
      <c r="F21" s="5" t="inlineStr">
        <is>
          <t>IT</t>
        </is>
      </c>
      <c r="G21" s="5" t="inlineStr">
        <is>
          <t>IT Support</t>
        </is>
      </c>
      <c r="H21" s="5" t="inlineStr">
        <is>
          <t>3</t>
        </is>
      </c>
      <c r="I21" s="5" t="inlineStr">
        <is>
          <t>Remote</t>
        </is>
      </c>
      <c r="J21" s="5" t="inlineStr">
        <is>
          <t>Full-Time</t>
        </is>
      </c>
      <c r="K21" s="7" t="n">
        <v>45265</v>
      </c>
      <c r="L21" s="7" t="inlineStr"/>
      <c r="M21" s="5" t="inlineStr">
        <is>
          <t>Yes</t>
        </is>
      </c>
      <c r="N21" s="5" t="inlineStr"/>
      <c r="O21" s="8" t="inlineStr">
        <is>
          <t>157000</t>
        </is>
      </c>
      <c r="P21" s="5" t="inlineStr">
        <is>
          <t>5</t>
        </is>
      </c>
      <c r="Q21" s="5" t="inlineStr">
        <is>
          <t>4</t>
        </is>
      </c>
      <c r="R21" s="5" t="inlineStr">
        <is>
          <t>8</t>
        </is>
      </c>
      <c r="S21" s="5" t="inlineStr">
        <is>
          <t>25</t>
        </is>
      </c>
      <c r="T21" s="5" t="inlineStr">
        <is>
          <t>7</t>
        </is>
      </c>
      <c r="U21" s="5">
        <f>IFS(C21&lt;30,"Under 30",C21&lt;40,"30-39",C21&lt;50,"40-49",TRUE,"50+")</f>
        <v/>
      </c>
      <c r="V21" s="5">
        <f>IFS(O21&lt;60000,"Low (&lt;60k)",O21&lt;100000,"Mid (60-100k)",TRUE,"High (100k+)")</f>
        <v/>
      </c>
      <c r="W21" s="5">
        <f>IF(M21="No","Attrited","Active")</f>
        <v/>
      </c>
    </row>
    <row r="22">
      <c r="A22" s="5" t="inlineStr">
        <is>
          <t>E00021</t>
        </is>
      </c>
      <c r="B22" s="5" t="inlineStr">
        <is>
          <t>Male</t>
        </is>
      </c>
      <c r="C22" s="6" t="inlineStr">
        <is>
          <t>34</t>
        </is>
      </c>
      <c r="D22" s="5" t="inlineStr">
        <is>
          <t>Married</t>
        </is>
      </c>
      <c r="E22" s="5" t="inlineStr">
        <is>
          <t>Master</t>
        </is>
      </c>
      <c r="F22" s="5" t="inlineStr">
        <is>
          <t>Operations</t>
        </is>
      </c>
      <c r="G22" s="5" t="inlineStr">
        <is>
          <t>Logistics Coordinator</t>
        </is>
      </c>
      <c r="H22" s="5" t="inlineStr">
        <is>
          <t>1</t>
        </is>
      </c>
      <c r="I22" s="5" t="inlineStr">
        <is>
          <t>Bengaluru</t>
        </is>
      </c>
      <c r="J22" s="5" t="inlineStr">
        <is>
          <t>Full-Time</t>
        </is>
      </c>
      <c r="K22" s="7" t="n">
        <v>44861</v>
      </c>
      <c r="L22" s="7" t="inlineStr"/>
      <c r="M22" s="5" t="inlineStr">
        <is>
          <t>Yes</t>
        </is>
      </c>
      <c r="N22" s="5" t="inlineStr"/>
      <c r="O22" s="8" t="inlineStr">
        <is>
          <t>96500</t>
        </is>
      </c>
      <c r="P22" s="5" t="inlineStr">
        <is>
          <t>10</t>
        </is>
      </c>
      <c r="Q22" s="5" t="inlineStr">
        <is>
          <t>3</t>
        </is>
      </c>
      <c r="R22" s="5" t="inlineStr">
        <is>
          <t>9</t>
        </is>
      </c>
      <c r="S22" s="5" t="inlineStr">
        <is>
          <t>38</t>
        </is>
      </c>
      <c r="T22" s="5" t="inlineStr">
        <is>
          <t>7</t>
        </is>
      </c>
      <c r="U22" s="5">
        <f>IFS(C22&lt;30,"Under 30",C22&lt;40,"30-39",C22&lt;50,"40-49",TRUE,"50+")</f>
        <v/>
      </c>
      <c r="V22" s="5">
        <f>IFS(O22&lt;60000,"Low (&lt;60k)",O22&lt;100000,"Mid (60-100k)",TRUE,"High (100k+)")</f>
        <v/>
      </c>
      <c r="W22" s="5">
        <f>IF(M22="No","Attrited","Active")</f>
        <v/>
      </c>
    </row>
    <row r="23">
      <c r="A23" s="5" t="inlineStr">
        <is>
          <t>E00022</t>
        </is>
      </c>
      <c r="B23" s="5" t="inlineStr">
        <is>
          <t>Female</t>
        </is>
      </c>
      <c r="C23" s="6" t="inlineStr">
        <is>
          <t>23</t>
        </is>
      </c>
      <c r="D23" s="5" t="inlineStr">
        <is>
          <t>Single</t>
        </is>
      </c>
      <c r="E23" s="5" t="inlineStr">
        <is>
          <t>PhD</t>
        </is>
      </c>
      <c r="F23" s="5" t="inlineStr">
        <is>
          <t>Marketing</t>
        </is>
      </c>
      <c r="G23" s="5" t="inlineStr">
        <is>
          <t>Content Writer</t>
        </is>
      </c>
      <c r="H23" s="5" t="inlineStr">
        <is>
          <t>1</t>
        </is>
      </c>
      <c r="I23" s="5" t="inlineStr">
        <is>
          <t>Mumbai</t>
        </is>
      </c>
      <c r="J23" s="5" t="inlineStr">
        <is>
          <t>Full-Time</t>
        </is>
      </c>
      <c r="K23" s="7" t="n">
        <v>43914</v>
      </c>
      <c r="L23" s="7" t="n">
        <v>44038</v>
      </c>
      <c r="M23" s="5" t="inlineStr">
        <is>
          <t>No</t>
        </is>
      </c>
      <c r="N23" s="5" t="inlineStr">
        <is>
          <t>Layoff</t>
        </is>
      </c>
      <c r="O23" s="8" t="inlineStr">
        <is>
          <t>55000</t>
        </is>
      </c>
      <c r="P23" s="5" t="inlineStr">
        <is>
          <t>0</t>
        </is>
      </c>
      <c r="Q23" s="5" t="inlineStr">
        <is>
          <t>4</t>
        </is>
      </c>
      <c r="R23" s="5" t="inlineStr">
        <is>
          <t>8</t>
        </is>
      </c>
      <c r="S23" s="5" t="inlineStr">
        <is>
          <t>4</t>
        </is>
      </c>
      <c r="T23" s="5" t="inlineStr">
        <is>
          <t>11</t>
        </is>
      </c>
      <c r="U23" s="5">
        <f>IFS(C23&lt;30,"Under 30",C23&lt;40,"30-39",C23&lt;50,"40-49",TRUE,"50+")</f>
        <v/>
      </c>
      <c r="V23" s="5">
        <f>IFS(O23&lt;60000,"Low (&lt;60k)",O23&lt;100000,"Mid (60-100k)",TRUE,"High (100k+)")</f>
        <v/>
      </c>
      <c r="W23" s="5">
        <f>IF(M23="No","Attrited","Active")</f>
        <v/>
      </c>
    </row>
    <row r="24">
      <c r="A24" s="5" t="inlineStr">
        <is>
          <t>E00023</t>
        </is>
      </c>
      <c r="B24" s="5" t="inlineStr">
        <is>
          <t>Female</t>
        </is>
      </c>
      <c r="C24" s="6" t="inlineStr">
        <is>
          <t>31</t>
        </is>
      </c>
      <c r="D24" s="5" t="inlineStr">
        <is>
          <t>Married</t>
        </is>
      </c>
      <c r="E24" s="5" t="inlineStr">
        <is>
          <t>Diploma</t>
        </is>
      </c>
      <c r="F24" s="5" t="inlineStr">
        <is>
          <t>Operations</t>
        </is>
      </c>
      <c r="G24" s="5" t="inlineStr">
        <is>
          <t>Logistics Coordinator</t>
        </is>
      </c>
      <c r="H24" s="5" t="inlineStr">
        <is>
          <t>2</t>
        </is>
      </c>
      <c r="I24" s="5" t="inlineStr">
        <is>
          <t>Mumbai</t>
        </is>
      </c>
      <c r="J24" s="5" t="inlineStr">
        <is>
          <t>Full-Time</t>
        </is>
      </c>
      <c r="K24" s="7" t="n">
        <v>45289</v>
      </c>
      <c r="L24" s="7" t="n">
        <v>45347</v>
      </c>
      <c r="M24" s="5" t="inlineStr">
        <is>
          <t>No</t>
        </is>
      </c>
      <c r="N24" s="5" t="inlineStr">
        <is>
          <t>Performance / Termination</t>
        </is>
      </c>
      <c r="O24" s="8" t="inlineStr">
        <is>
          <t>99000</t>
        </is>
      </c>
      <c r="P24" s="5" t="inlineStr">
        <is>
          <t>5</t>
        </is>
      </c>
      <c r="Q24" s="5" t="inlineStr">
        <is>
          <t>4</t>
        </is>
      </c>
      <c r="R24" s="5" t="inlineStr">
        <is>
          <t>6</t>
        </is>
      </c>
      <c r="S24" s="5" t="inlineStr">
        <is>
          <t>1</t>
        </is>
      </c>
      <c r="T24" s="5" t="inlineStr">
        <is>
          <t>2</t>
        </is>
      </c>
      <c r="U24" s="5">
        <f>IFS(C24&lt;30,"Under 30",C24&lt;40,"30-39",C24&lt;50,"40-49",TRUE,"50+")</f>
        <v/>
      </c>
      <c r="V24" s="5">
        <f>IFS(O24&lt;60000,"Low (&lt;60k)",O24&lt;100000,"Mid (60-100k)",TRUE,"High (100k+)")</f>
        <v/>
      </c>
      <c r="W24" s="5">
        <f>IF(M24="No","Attrited","Active")</f>
        <v/>
      </c>
    </row>
    <row r="25">
      <c r="A25" s="5" t="inlineStr">
        <is>
          <t>E00024</t>
        </is>
      </c>
      <c r="B25" s="5" t="inlineStr">
        <is>
          <t>Female</t>
        </is>
      </c>
      <c r="C25" s="6" t="inlineStr">
        <is>
          <t>31</t>
        </is>
      </c>
      <c r="D25" s="5" t="inlineStr">
        <is>
          <t>Married</t>
        </is>
      </c>
      <c r="E25" s="5" t="inlineStr">
        <is>
          <t>PhD</t>
        </is>
      </c>
      <c r="F25" s="5" t="inlineStr">
        <is>
          <t>Finance</t>
        </is>
      </c>
      <c r="G25" s="5" t="inlineStr">
        <is>
          <t>Credit Analyst</t>
        </is>
      </c>
      <c r="H25" s="5" t="inlineStr">
        <is>
          <t>3</t>
        </is>
      </c>
      <c r="I25" s="5" t="inlineStr">
        <is>
          <t>Remote</t>
        </is>
      </c>
      <c r="J25" s="5" t="inlineStr">
        <is>
          <t>Full-Time</t>
        </is>
      </c>
      <c r="K25" s="7" t="n">
        <v>43926</v>
      </c>
      <c r="L25" s="7" t="inlineStr"/>
      <c r="M25" s="5" t="inlineStr">
        <is>
          <t>Yes</t>
        </is>
      </c>
      <c r="N25" s="5" t="inlineStr"/>
      <c r="O25" s="8" t="inlineStr">
        <is>
          <t>94500</t>
        </is>
      </c>
      <c r="P25" s="5" t="inlineStr">
        <is>
          <t>0</t>
        </is>
      </c>
      <c r="Q25" s="5" t="inlineStr">
        <is>
          <t>5</t>
        </is>
      </c>
      <c r="R25" s="5" t="inlineStr">
        <is>
          <t>8</t>
        </is>
      </c>
      <c r="S25" s="5" t="inlineStr">
        <is>
          <t>69</t>
        </is>
      </c>
      <c r="T25" s="5" t="inlineStr">
        <is>
          <t>12</t>
        </is>
      </c>
      <c r="U25" s="5">
        <f>IFS(C25&lt;30,"Under 30",C25&lt;40,"30-39",C25&lt;50,"40-49",TRUE,"50+")</f>
        <v/>
      </c>
      <c r="V25" s="5">
        <f>IFS(O25&lt;60000,"Low (&lt;60k)",O25&lt;100000,"Mid (60-100k)",TRUE,"High (100k+)")</f>
        <v/>
      </c>
      <c r="W25" s="5">
        <f>IF(M25="No","Attrited","Active")</f>
        <v/>
      </c>
    </row>
    <row r="26">
      <c r="A26" s="5" t="inlineStr">
        <is>
          <t>E00025</t>
        </is>
      </c>
      <c r="B26" s="5" t="inlineStr">
        <is>
          <t>Female</t>
        </is>
      </c>
      <c r="C26" s="6" t="inlineStr">
        <is>
          <t>30</t>
        </is>
      </c>
      <c r="D26" s="5" t="inlineStr">
        <is>
          <t>Married</t>
        </is>
      </c>
      <c r="E26" s="5" t="inlineStr">
        <is>
          <t>Bachelor</t>
        </is>
      </c>
      <c r="F26" s="5" t="inlineStr">
        <is>
          <t>Finance</t>
        </is>
      </c>
      <c r="G26" s="5" t="inlineStr">
        <is>
          <t>Financial Analyst</t>
        </is>
      </c>
      <c r="H26" s="5" t="inlineStr">
        <is>
          <t>3</t>
        </is>
      </c>
      <c r="I26" s="5" t="inlineStr">
        <is>
          <t>Mumbai</t>
        </is>
      </c>
      <c r="J26" s="5" t="inlineStr">
        <is>
          <t>Full-Time</t>
        </is>
      </c>
      <c r="K26" s="7" t="n">
        <v>45131</v>
      </c>
      <c r="L26" s="7" t="inlineStr"/>
      <c r="M26" s="5" t="inlineStr">
        <is>
          <t>Yes</t>
        </is>
      </c>
      <c r="N26" s="5" t="inlineStr"/>
      <c r="O26" s="8" t="inlineStr">
        <is>
          <t>144000</t>
        </is>
      </c>
      <c r="P26" s="5" t="inlineStr">
        <is>
          <t>15</t>
        </is>
      </c>
      <c r="Q26" s="5" t="inlineStr">
        <is>
          <t>4</t>
        </is>
      </c>
      <c r="R26" s="5" t="inlineStr">
        <is>
          <t>9</t>
        </is>
      </c>
      <c r="S26" s="5" t="inlineStr">
        <is>
          <t>29</t>
        </is>
      </c>
      <c r="T26" s="5" t="inlineStr">
        <is>
          <t>4</t>
        </is>
      </c>
      <c r="U26" s="5">
        <f>IFS(C26&lt;30,"Under 30",C26&lt;40,"30-39",C26&lt;50,"40-49",TRUE,"50+")</f>
        <v/>
      </c>
      <c r="V26" s="5">
        <f>IFS(O26&lt;60000,"Low (&lt;60k)",O26&lt;100000,"Mid (60-100k)",TRUE,"High (100k+)")</f>
        <v/>
      </c>
      <c r="W26" s="5">
        <f>IF(M26="No","Attrited","Active")</f>
        <v/>
      </c>
    </row>
    <row r="27">
      <c r="A27" s="5" t="inlineStr">
        <is>
          <t>E00026</t>
        </is>
      </c>
      <c r="B27" s="5" t="inlineStr">
        <is>
          <t>Female</t>
        </is>
      </c>
      <c r="C27" s="6" t="inlineStr">
        <is>
          <t>32</t>
        </is>
      </c>
      <c r="D27" s="5" t="inlineStr">
        <is>
          <t>Single</t>
        </is>
      </c>
      <c r="E27" s="5" t="inlineStr">
        <is>
          <t>High School</t>
        </is>
      </c>
      <c r="F27" s="5" t="inlineStr">
        <is>
          <t>Operations</t>
        </is>
      </c>
      <c r="G27" s="5" t="inlineStr">
        <is>
          <t>Operations Analyst</t>
        </is>
      </c>
      <c r="H27" s="5" t="inlineStr">
        <is>
          <t>2</t>
        </is>
      </c>
      <c r="I27" s="5" t="inlineStr">
        <is>
          <t>Bengaluru</t>
        </is>
      </c>
      <c r="J27" s="5" t="inlineStr">
        <is>
          <t>Full-Time</t>
        </is>
      </c>
      <c r="K27" s="7" t="n">
        <v>44960</v>
      </c>
      <c r="L27" s="7" t="inlineStr"/>
      <c r="M27" s="5" t="inlineStr">
        <is>
          <t>Yes</t>
        </is>
      </c>
      <c r="N27" s="5" t="inlineStr"/>
      <c r="O27" s="8" t="inlineStr">
        <is>
          <t>92000</t>
        </is>
      </c>
      <c r="P27" s="5" t="inlineStr">
        <is>
          <t>0</t>
        </is>
      </c>
      <c r="Q27" s="5" t="inlineStr">
        <is>
          <t>4</t>
        </is>
      </c>
      <c r="R27" s="5" t="inlineStr">
        <is>
          <t>4</t>
        </is>
      </c>
      <c r="S27" s="5" t="inlineStr">
        <is>
          <t>35</t>
        </is>
      </c>
      <c r="T27" s="5" t="inlineStr">
        <is>
          <t>3</t>
        </is>
      </c>
      <c r="U27" s="5">
        <f>IFS(C27&lt;30,"Under 30",C27&lt;40,"30-39",C27&lt;50,"40-49",TRUE,"50+")</f>
        <v/>
      </c>
      <c r="V27" s="5">
        <f>IFS(O27&lt;60000,"Low (&lt;60k)",O27&lt;100000,"Mid (60-100k)",TRUE,"High (100k+)")</f>
        <v/>
      </c>
      <c r="W27" s="5">
        <f>IF(M27="No","Attrited","Active")</f>
        <v/>
      </c>
    </row>
    <row r="28">
      <c r="A28" s="5" t="inlineStr">
        <is>
          <t>E00027</t>
        </is>
      </c>
      <c r="B28" s="5" t="inlineStr">
        <is>
          <t>Male</t>
        </is>
      </c>
      <c r="C28" s="6" t="inlineStr">
        <is>
          <t>28</t>
        </is>
      </c>
      <c r="D28" s="5" t="inlineStr">
        <is>
          <t>Married</t>
        </is>
      </c>
      <c r="E28" s="5" t="inlineStr">
        <is>
          <t>PhD</t>
        </is>
      </c>
      <c r="F28" s="5" t="inlineStr">
        <is>
          <t>Sales</t>
        </is>
      </c>
      <c r="G28" s="5" t="inlineStr">
        <is>
          <t>Sales Executive</t>
        </is>
      </c>
      <c r="H28" s="5" t="inlineStr">
        <is>
          <t>3</t>
        </is>
      </c>
      <c r="I28" s="5" t="inlineStr">
        <is>
          <t>Bengaluru</t>
        </is>
      </c>
      <c r="J28" s="5" t="inlineStr">
        <is>
          <t>Full-Time</t>
        </is>
      </c>
      <c r="K28" s="7" t="n">
        <v>45974</v>
      </c>
      <c r="L28" s="7" t="inlineStr"/>
      <c r="M28" s="5" t="inlineStr">
        <is>
          <t>Yes</t>
        </is>
      </c>
      <c r="N28" s="5" t="inlineStr"/>
      <c r="O28" s="8" t="inlineStr">
        <is>
          <t>83000</t>
        </is>
      </c>
      <c r="P28" s="5" t="inlineStr">
        <is>
          <t>15</t>
        </is>
      </c>
      <c r="Q28" s="5" t="inlineStr">
        <is>
          <t>3</t>
        </is>
      </c>
      <c r="R28" s="5" t="inlineStr">
        <is>
          <t>5</t>
        </is>
      </c>
      <c r="S28" s="5" t="inlineStr">
        <is>
          <t>1</t>
        </is>
      </c>
      <c r="T28" s="5" t="inlineStr">
        <is>
          <t>4</t>
        </is>
      </c>
      <c r="U28" s="5">
        <f>IFS(C28&lt;30,"Under 30",C28&lt;40,"30-39",C28&lt;50,"40-49",TRUE,"50+")</f>
        <v/>
      </c>
      <c r="V28" s="5">
        <f>IFS(O28&lt;60000,"Low (&lt;60k)",O28&lt;100000,"Mid (60-100k)",TRUE,"High (100k+)")</f>
        <v/>
      </c>
      <c r="W28" s="5">
        <f>IF(M28="No","Attrited","Active")</f>
        <v/>
      </c>
    </row>
    <row r="29">
      <c r="A29" s="5" t="inlineStr">
        <is>
          <t>E00028</t>
        </is>
      </c>
      <c r="B29" s="5" t="inlineStr">
        <is>
          <t>Female</t>
        </is>
      </c>
      <c r="C29" s="6" t="inlineStr">
        <is>
          <t>35</t>
        </is>
      </c>
      <c r="D29" s="5" t="inlineStr">
        <is>
          <t>Married</t>
        </is>
      </c>
      <c r="E29" s="5" t="inlineStr">
        <is>
          <t>PhD</t>
        </is>
      </c>
      <c r="F29" s="5" t="inlineStr">
        <is>
          <t>Research &amp; Development</t>
        </is>
      </c>
      <c r="G29" s="5" t="inlineStr">
        <is>
          <t>Data Scientist</t>
        </is>
      </c>
      <c r="H29" s="5" t="inlineStr">
        <is>
          <t>3</t>
        </is>
      </c>
      <c r="I29" s="5" t="inlineStr">
        <is>
          <t>Remote</t>
        </is>
      </c>
      <c r="J29" s="5" t="inlineStr">
        <is>
          <t>Full-Time</t>
        </is>
      </c>
      <c r="K29" s="7" t="n">
        <v>44013</v>
      </c>
      <c r="L29" s="7" t="inlineStr"/>
      <c r="M29" s="5" t="inlineStr">
        <is>
          <t>Yes</t>
        </is>
      </c>
      <c r="N29" s="5" t="inlineStr"/>
      <c r="O29" s="8" t="inlineStr">
        <is>
          <t>131500</t>
        </is>
      </c>
      <c r="P29" s="5" t="inlineStr">
        <is>
          <t>0</t>
        </is>
      </c>
      <c r="Q29" s="5" t="inlineStr">
        <is>
          <t>5</t>
        </is>
      </c>
      <c r="R29" s="5" t="inlineStr">
        <is>
          <t>4</t>
        </is>
      </c>
      <c r="S29" s="5" t="inlineStr">
        <is>
          <t>66</t>
        </is>
      </c>
      <c r="T29" s="5" t="inlineStr">
        <is>
          <t>0</t>
        </is>
      </c>
      <c r="U29" s="5">
        <f>IFS(C29&lt;30,"Under 30",C29&lt;40,"30-39",C29&lt;50,"40-49",TRUE,"50+")</f>
        <v/>
      </c>
      <c r="V29" s="5">
        <f>IFS(O29&lt;60000,"Low (&lt;60k)",O29&lt;100000,"Mid (60-100k)",TRUE,"High (100k+)")</f>
        <v/>
      </c>
      <c r="W29" s="5">
        <f>IF(M29="No","Attrited","Active")</f>
        <v/>
      </c>
    </row>
    <row r="30">
      <c r="A30" s="5" t="inlineStr">
        <is>
          <t>E00029</t>
        </is>
      </c>
      <c r="B30" s="5" t="inlineStr">
        <is>
          <t>Female</t>
        </is>
      </c>
      <c r="C30" s="6" t="inlineStr">
        <is>
          <t>29</t>
        </is>
      </c>
      <c r="D30" s="5" t="inlineStr">
        <is>
          <t>Divorced</t>
        </is>
      </c>
      <c r="E30" s="5" t="inlineStr">
        <is>
          <t>Bachelor</t>
        </is>
      </c>
      <c r="F30" s="5" t="inlineStr">
        <is>
          <t>Human Resources</t>
        </is>
      </c>
      <c r="G30" s="5" t="inlineStr">
        <is>
          <t>Recruiter</t>
        </is>
      </c>
      <c r="H30" s="5" t="inlineStr">
        <is>
          <t>2</t>
        </is>
      </c>
      <c r="I30" s="5" t="inlineStr">
        <is>
          <t>Chennai</t>
        </is>
      </c>
      <c r="J30" s="5" t="inlineStr">
        <is>
          <t>Full-Time</t>
        </is>
      </c>
      <c r="K30" s="7" t="n">
        <v>44608</v>
      </c>
      <c r="L30" s="7" t="inlineStr"/>
      <c r="M30" s="5" t="inlineStr">
        <is>
          <t>Yes</t>
        </is>
      </c>
      <c r="N30" s="5" t="inlineStr"/>
      <c r="O30" s="8" t="inlineStr">
        <is>
          <t>63000</t>
        </is>
      </c>
      <c r="P30" s="5" t="inlineStr">
        <is>
          <t>5</t>
        </is>
      </c>
      <c r="Q30" s="5" t="inlineStr">
        <is>
          <t>3</t>
        </is>
      </c>
      <c r="R30" s="5" t="inlineStr">
        <is>
          <t>7</t>
        </is>
      </c>
      <c r="S30" s="5" t="inlineStr">
        <is>
          <t>47</t>
        </is>
      </c>
      <c r="T30" s="5" t="inlineStr">
        <is>
          <t>5</t>
        </is>
      </c>
      <c r="U30" s="5">
        <f>IFS(C30&lt;30,"Under 30",C30&lt;40,"30-39",C30&lt;50,"40-49",TRUE,"50+")</f>
        <v/>
      </c>
      <c r="V30" s="5">
        <f>IFS(O30&lt;60000,"Low (&lt;60k)",O30&lt;100000,"Mid (60-100k)",TRUE,"High (100k+)")</f>
        <v/>
      </c>
      <c r="W30" s="5">
        <f>IF(M30="No","Attrited","Active")</f>
        <v/>
      </c>
    </row>
    <row r="31">
      <c r="A31" s="5" t="inlineStr">
        <is>
          <t>E00030</t>
        </is>
      </c>
      <c r="B31" s="5" t="inlineStr">
        <is>
          <t>Female</t>
        </is>
      </c>
      <c r="C31" s="6" t="inlineStr">
        <is>
          <t>31</t>
        </is>
      </c>
      <c r="D31" s="5" t="inlineStr">
        <is>
          <t>Single</t>
        </is>
      </c>
      <c r="E31" s="5" t="inlineStr">
        <is>
          <t>Bachelor</t>
        </is>
      </c>
      <c r="F31" s="5" t="inlineStr">
        <is>
          <t>Sales</t>
        </is>
      </c>
      <c r="G31" s="5" t="inlineStr">
        <is>
          <t>Sales Executive</t>
        </is>
      </c>
      <c r="H31" s="5" t="inlineStr">
        <is>
          <t>1</t>
        </is>
      </c>
      <c r="I31" s="5" t="inlineStr">
        <is>
          <t>Mumbai</t>
        </is>
      </c>
      <c r="J31" s="5" t="inlineStr">
        <is>
          <t>Full-Time</t>
        </is>
      </c>
      <c r="K31" s="7" t="n">
        <v>44530</v>
      </c>
      <c r="L31" s="7" t="inlineStr"/>
      <c r="M31" s="5" t="inlineStr">
        <is>
          <t>Yes</t>
        </is>
      </c>
      <c r="N31" s="5" t="inlineStr"/>
      <c r="O31" s="8" t="inlineStr">
        <is>
          <t>92500</t>
        </is>
      </c>
      <c r="P31" s="5" t="inlineStr">
        <is>
          <t>10</t>
        </is>
      </c>
      <c r="Q31" s="5" t="inlineStr">
        <is>
          <t>3</t>
        </is>
      </c>
      <c r="R31" s="5" t="inlineStr">
        <is>
          <t>7</t>
        </is>
      </c>
      <c r="S31" s="5" t="inlineStr">
        <is>
          <t>49</t>
        </is>
      </c>
      <c r="T31" s="5" t="inlineStr">
        <is>
          <t>6</t>
        </is>
      </c>
      <c r="U31" s="5">
        <f>IFS(C31&lt;30,"Under 30",C31&lt;40,"30-39",C31&lt;50,"40-49",TRUE,"50+")</f>
        <v/>
      </c>
      <c r="V31" s="5">
        <f>IFS(O31&lt;60000,"Low (&lt;60k)",O31&lt;100000,"Mid (60-100k)",TRUE,"High (100k+)")</f>
        <v/>
      </c>
      <c r="W31" s="5">
        <f>IF(M31="No","Attrited","Active")</f>
        <v/>
      </c>
    </row>
    <row r="32">
      <c r="A32" s="5" t="inlineStr">
        <is>
          <t>E00031</t>
        </is>
      </c>
      <c r="B32" s="5" t="inlineStr">
        <is>
          <t>Male</t>
        </is>
      </c>
      <c r="C32" s="6" t="inlineStr">
        <is>
          <t>26</t>
        </is>
      </c>
      <c r="D32" s="5" t="inlineStr">
        <is>
          <t>Married</t>
        </is>
      </c>
      <c r="E32" s="5" t="inlineStr">
        <is>
          <t>Master</t>
        </is>
      </c>
      <c r="F32" s="5" t="inlineStr">
        <is>
          <t>Human Resources</t>
        </is>
      </c>
      <c r="G32" s="5" t="inlineStr">
        <is>
          <t>HR Analyst</t>
        </is>
      </c>
      <c r="H32" s="5" t="inlineStr">
        <is>
          <t>2</t>
        </is>
      </c>
      <c r="I32" s="5" t="inlineStr">
        <is>
          <t>Delhi</t>
        </is>
      </c>
      <c r="J32" s="5" t="inlineStr">
        <is>
          <t>Full-Time</t>
        </is>
      </c>
      <c r="K32" s="7" t="n">
        <v>46010</v>
      </c>
      <c r="L32" s="7" t="inlineStr"/>
      <c r="M32" s="5" t="inlineStr">
        <is>
          <t>Yes</t>
        </is>
      </c>
      <c r="N32" s="5" t="inlineStr"/>
      <c r="O32" s="8" t="inlineStr">
        <is>
          <t>82000</t>
        </is>
      </c>
      <c r="P32" s="5" t="inlineStr">
        <is>
          <t>5</t>
        </is>
      </c>
      <c r="Q32" s="5" t="inlineStr">
        <is>
          <t>5</t>
        </is>
      </c>
      <c r="R32" s="5" t="inlineStr">
        <is>
          <t>2</t>
        </is>
      </c>
      <c r="S32" s="5" t="inlineStr">
        <is>
          <t>1</t>
        </is>
      </c>
      <c r="T32" s="5" t="inlineStr">
        <is>
          <t>7</t>
        </is>
      </c>
      <c r="U32" s="5">
        <f>IFS(C32&lt;30,"Under 30",C32&lt;40,"30-39",C32&lt;50,"40-49",TRUE,"50+")</f>
        <v/>
      </c>
      <c r="V32" s="5">
        <f>IFS(O32&lt;60000,"Low (&lt;60k)",O32&lt;100000,"Mid (60-100k)",TRUE,"High (100k+)")</f>
        <v/>
      </c>
      <c r="W32" s="5">
        <f>IF(M32="No","Attrited","Active")</f>
        <v/>
      </c>
    </row>
    <row r="33">
      <c r="A33" s="5" t="inlineStr">
        <is>
          <t>E00032</t>
        </is>
      </c>
      <c r="B33" s="5" t="inlineStr">
        <is>
          <t>Female</t>
        </is>
      </c>
      <c r="C33" s="6" t="inlineStr">
        <is>
          <t>36</t>
        </is>
      </c>
      <c r="D33" s="5" t="inlineStr">
        <is>
          <t>Married</t>
        </is>
      </c>
      <c r="E33" s="5" t="inlineStr">
        <is>
          <t>Diploma</t>
        </is>
      </c>
      <c r="F33" s="5" t="inlineStr">
        <is>
          <t>IT</t>
        </is>
      </c>
      <c r="G33" s="5" t="inlineStr">
        <is>
          <t>DevOps Engineer</t>
        </is>
      </c>
      <c r="H33" s="5" t="inlineStr">
        <is>
          <t>4</t>
        </is>
      </c>
      <c r="I33" s="5" t="inlineStr">
        <is>
          <t>Mumbai</t>
        </is>
      </c>
      <c r="J33" s="5" t="inlineStr">
        <is>
          <t>Full-Time</t>
        </is>
      </c>
      <c r="K33" s="7" t="n">
        <v>45956</v>
      </c>
      <c r="L33" s="7" t="inlineStr"/>
      <c r="M33" s="5" t="inlineStr">
        <is>
          <t>Yes</t>
        </is>
      </c>
      <c r="N33" s="5" t="inlineStr"/>
      <c r="O33" s="8" t="inlineStr">
        <is>
          <t>195500</t>
        </is>
      </c>
      <c r="P33" s="5" t="inlineStr">
        <is>
          <t>10</t>
        </is>
      </c>
      <c r="Q33" s="5" t="inlineStr">
        <is>
          <t>5</t>
        </is>
      </c>
      <c r="R33" s="5" t="inlineStr">
        <is>
          <t>6</t>
        </is>
      </c>
      <c r="S33" s="5" t="inlineStr">
        <is>
          <t>2</t>
        </is>
      </c>
      <c r="T33" s="5" t="inlineStr">
        <is>
          <t>7</t>
        </is>
      </c>
      <c r="U33" s="5">
        <f>IFS(C33&lt;30,"Under 30",C33&lt;40,"30-39",C33&lt;50,"40-49",TRUE,"50+")</f>
        <v/>
      </c>
      <c r="V33" s="5">
        <f>IFS(O33&lt;60000,"Low (&lt;60k)",O33&lt;100000,"Mid (60-100k)",TRUE,"High (100k+)")</f>
        <v/>
      </c>
      <c r="W33" s="5">
        <f>IF(M33="No","Attrited","Active")</f>
        <v/>
      </c>
    </row>
    <row r="34">
      <c r="A34" s="5" t="inlineStr">
        <is>
          <t>E00033</t>
        </is>
      </c>
      <c r="B34" s="5" t="inlineStr">
        <is>
          <t>Female</t>
        </is>
      </c>
      <c r="C34" s="6" t="inlineStr">
        <is>
          <t>36</t>
        </is>
      </c>
      <c r="D34" s="5" t="inlineStr">
        <is>
          <t>Married</t>
        </is>
      </c>
      <c r="E34" s="5" t="inlineStr">
        <is>
          <t>Bachelor</t>
        </is>
      </c>
      <c r="F34" s="5" t="inlineStr">
        <is>
          <t>Operations</t>
        </is>
      </c>
      <c r="G34" s="5" t="inlineStr">
        <is>
          <t>Quality Analyst</t>
        </is>
      </c>
      <c r="H34" s="5" t="inlineStr">
        <is>
          <t>2</t>
        </is>
      </c>
      <c r="I34" s="5" t="inlineStr">
        <is>
          <t>Hyderabad</t>
        </is>
      </c>
      <c r="J34" s="5" t="inlineStr">
        <is>
          <t>Full-Time</t>
        </is>
      </c>
      <c r="K34" s="7" t="n">
        <v>45162</v>
      </c>
      <c r="L34" s="7" t="n">
        <v>45288</v>
      </c>
      <c r="M34" s="5" t="inlineStr">
        <is>
          <t>No</t>
        </is>
      </c>
      <c r="N34" s="5" t="inlineStr">
        <is>
          <t>Retirement</t>
        </is>
      </c>
      <c r="O34" s="8" t="inlineStr">
        <is>
          <t>86000</t>
        </is>
      </c>
      <c r="P34" s="5" t="inlineStr">
        <is>
          <t>15</t>
        </is>
      </c>
      <c r="Q34" s="5" t="inlineStr">
        <is>
          <t>4</t>
        </is>
      </c>
      <c r="R34" s="5" t="inlineStr">
        <is>
          <t>4</t>
        </is>
      </c>
      <c r="S34" s="5" t="inlineStr">
        <is>
          <t>4</t>
        </is>
      </c>
      <c r="T34" s="5" t="inlineStr">
        <is>
          <t>6</t>
        </is>
      </c>
      <c r="U34" s="5">
        <f>IFS(C34&lt;30,"Under 30",C34&lt;40,"30-39",C34&lt;50,"40-49",TRUE,"50+")</f>
        <v/>
      </c>
      <c r="V34" s="5">
        <f>IFS(O34&lt;60000,"Low (&lt;60k)",O34&lt;100000,"Mid (60-100k)",TRUE,"High (100k+)")</f>
        <v/>
      </c>
      <c r="W34" s="5">
        <f>IF(M34="No","Attrited","Active")</f>
        <v/>
      </c>
    </row>
    <row r="35">
      <c r="A35" s="5" t="inlineStr">
        <is>
          <t>E00034</t>
        </is>
      </c>
      <c r="B35" s="5" t="inlineStr">
        <is>
          <t>Female</t>
        </is>
      </c>
      <c r="C35" s="6" t="inlineStr">
        <is>
          <t>39</t>
        </is>
      </c>
      <c r="D35" s="5" t="inlineStr">
        <is>
          <t>Single</t>
        </is>
      </c>
      <c r="E35" s="5" t="inlineStr">
        <is>
          <t>Bachelor</t>
        </is>
      </c>
      <c r="F35" s="5" t="inlineStr">
        <is>
          <t>IT</t>
        </is>
      </c>
      <c r="G35" s="5" t="inlineStr">
        <is>
          <t>IT Support</t>
        </is>
      </c>
      <c r="H35" s="5" t="inlineStr">
        <is>
          <t>4</t>
        </is>
      </c>
      <c r="I35" s="5" t="inlineStr">
        <is>
          <t>Mumbai</t>
        </is>
      </c>
      <c r="J35" s="5" t="inlineStr">
        <is>
          <t>Full-Time</t>
        </is>
      </c>
      <c r="K35" s="7" t="n">
        <v>45394</v>
      </c>
      <c r="L35" s="7" t="inlineStr"/>
      <c r="M35" s="5" t="inlineStr">
        <is>
          <t>Yes</t>
        </is>
      </c>
      <c r="N35" s="5" t="inlineStr"/>
      <c r="O35" s="8" t="inlineStr">
        <is>
          <t>144000</t>
        </is>
      </c>
      <c r="P35" s="5" t="inlineStr">
        <is>
          <t>15</t>
        </is>
      </c>
      <c r="Q35" s="5" t="inlineStr">
        <is>
          <t>4</t>
        </is>
      </c>
      <c r="R35" s="5" t="inlineStr">
        <is>
          <t>5</t>
        </is>
      </c>
      <c r="S35" s="5" t="inlineStr">
        <is>
          <t>20</t>
        </is>
      </c>
      <c r="T35" s="5" t="inlineStr">
        <is>
          <t>8</t>
        </is>
      </c>
      <c r="U35" s="5">
        <f>IFS(C35&lt;30,"Under 30",C35&lt;40,"30-39",C35&lt;50,"40-49",TRUE,"50+")</f>
        <v/>
      </c>
      <c r="V35" s="5">
        <f>IFS(O35&lt;60000,"Low (&lt;60k)",O35&lt;100000,"Mid (60-100k)",TRUE,"High (100k+)")</f>
        <v/>
      </c>
      <c r="W35" s="5">
        <f>IF(M35="No","Attrited","Active")</f>
        <v/>
      </c>
    </row>
    <row r="36">
      <c r="A36" s="5" t="inlineStr">
        <is>
          <t>E00035</t>
        </is>
      </c>
      <c r="B36" s="5" t="inlineStr">
        <is>
          <t>Female</t>
        </is>
      </c>
      <c r="C36" s="6" t="inlineStr">
        <is>
          <t>33</t>
        </is>
      </c>
      <c r="D36" s="5" t="inlineStr">
        <is>
          <t>Single</t>
        </is>
      </c>
      <c r="E36" s="5" t="inlineStr">
        <is>
          <t>Master</t>
        </is>
      </c>
      <c r="F36" s="5" t="inlineStr">
        <is>
          <t>Research &amp; Development</t>
        </is>
      </c>
      <c r="G36" s="5" t="inlineStr">
        <is>
          <t>Product Engineer</t>
        </is>
      </c>
      <c r="H36" s="5" t="inlineStr">
        <is>
          <t>4</t>
        </is>
      </c>
      <c r="I36" s="5" t="inlineStr">
        <is>
          <t>Remote</t>
        </is>
      </c>
      <c r="J36" s="5" t="inlineStr">
        <is>
          <t>Full-Time</t>
        </is>
      </c>
      <c r="K36" s="7" t="n">
        <v>45189</v>
      </c>
      <c r="L36" s="7" t="n">
        <v>45257</v>
      </c>
      <c r="M36" s="5" t="inlineStr">
        <is>
          <t>No</t>
        </is>
      </c>
      <c r="N36" s="5" t="inlineStr">
        <is>
          <t>Relocation</t>
        </is>
      </c>
      <c r="O36" s="8" t="inlineStr">
        <is>
          <t>207500</t>
        </is>
      </c>
      <c r="P36" s="5" t="inlineStr">
        <is>
          <t>10</t>
        </is>
      </c>
      <c r="Q36" s="5" t="inlineStr">
        <is>
          <t>3</t>
        </is>
      </c>
      <c r="R36" s="5" t="inlineStr">
        <is>
          <t>4</t>
        </is>
      </c>
      <c r="S36" s="5" t="inlineStr">
        <is>
          <t>2</t>
        </is>
      </c>
      <c r="T36" s="5" t="inlineStr">
        <is>
          <t>7</t>
        </is>
      </c>
      <c r="U36" s="5">
        <f>IFS(C36&lt;30,"Under 30",C36&lt;40,"30-39",C36&lt;50,"40-49",TRUE,"50+")</f>
        <v/>
      </c>
      <c r="V36" s="5">
        <f>IFS(O36&lt;60000,"Low (&lt;60k)",O36&lt;100000,"Mid (60-100k)",TRUE,"High (100k+)")</f>
        <v/>
      </c>
      <c r="W36" s="5">
        <f>IF(M36="No","Attrited","Active")</f>
        <v/>
      </c>
    </row>
    <row r="37">
      <c r="A37" s="5" t="inlineStr">
        <is>
          <t>E00036</t>
        </is>
      </c>
      <c r="B37" s="5" t="inlineStr">
        <is>
          <t>Female</t>
        </is>
      </c>
      <c r="C37" s="6" t="inlineStr">
        <is>
          <t>27</t>
        </is>
      </c>
      <c r="D37" s="5" t="inlineStr">
        <is>
          <t>Married</t>
        </is>
      </c>
      <c r="E37" s="5" t="inlineStr">
        <is>
          <t>Master</t>
        </is>
      </c>
      <c r="F37" s="5" t="inlineStr">
        <is>
          <t>IT</t>
        </is>
      </c>
      <c r="G37" s="5" t="inlineStr">
        <is>
          <t>DevOps Engineer</t>
        </is>
      </c>
      <c r="H37" s="5" t="inlineStr">
        <is>
          <t>3</t>
        </is>
      </c>
      <c r="I37" s="5" t="inlineStr">
        <is>
          <t>Hyderabad</t>
        </is>
      </c>
      <c r="J37" s="5" t="inlineStr">
        <is>
          <t>Full-Time</t>
        </is>
      </c>
      <c r="K37" s="7" t="n">
        <v>45947</v>
      </c>
      <c r="L37" s="7" t="inlineStr"/>
      <c r="M37" s="5" t="inlineStr">
        <is>
          <t>Yes</t>
        </is>
      </c>
      <c r="N37" s="5" t="inlineStr"/>
      <c r="O37" s="8" t="inlineStr">
        <is>
          <t>128000</t>
        </is>
      </c>
      <c r="P37" s="5" t="inlineStr">
        <is>
          <t>0</t>
        </is>
      </c>
      <c r="Q37" s="5" t="inlineStr">
        <is>
          <t>5</t>
        </is>
      </c>
      <c r="R37" s="5" t="inlineStr">
        <is>
          <t>6</t>
        </is>
      </c>
      <c r="S37" s="5" t="inlineStr">
        <is>
          <t>2</t>
        </is>
      </c>
      <c r="T37" s="5" t="inlineStr">
        <is>
          <t>5</t>
        </is>
      </c>
      <c r="U37" s="5">
        <f>IFS(C37&lt;30,"Under 30",C37&lt;40,"30-39",C37&lt;50,"40-49",TRUE,"50+")</f>
        <v/>
      </c>
      <c r="V37" s="5">
        <f>IFS(O37&lt;60000,"Low (&lt;60k)",O37&lt;100000,"Mid (60-100k)",TRUE,"High (100k+)")</f>
        <v/>
      </c>
      <c r="W37" s="5">
        <f>IF(M37="No","Attrited","Active")</f>
        <v/>
      </c>
    </row>
    <row r="38">
      <c r="A38" s="5" t="inlineStr">
        <is>
          <t>E00037</t>
        </is>
      </c>
      <c r="B38" s="5" t="inlineStr">
        <is>
          <t>Female</t>
        </is>
      </c>
      <c r="C38" s="6" t="inlineStr">
        <is>
          <t>37</t>
        </is>
      </c>
      <c r="D38" s="5" t="inlineStr">
        <is>
          <t>Single</t>
        </is>
      </c>
      <c r="E38" s="5" t="inlineStr">
        <is>
          <t>Diploma</t>
        </is>
      </c>
      <c r="F38" s="5" t="inlineStr">
        <is>
          <t>Executive</t>
        </is>
      </c>
      <c r="G38" s="5" t="inlineStr">
        <is>
          <t>CEO</t>
        </is>
      </c>
      <c r="H38" s="5" t="inlineStr">
        <is>
          <t>3</t>
        </is>
      </c>
      <c r="I38" s="5" t="inlineStr">
        <is>
          <t>Chennai</t>
        </is>
      </c>
      <c r="J38" s="5" t="inlineStr">
        <is>
          <t>Full-Time</t>
        </is>
      </c>
      <c r="K38" s="7" t="n">
        <v>45218</v>
      </c>
      <c r="L38" s="7" t="inlineStr"/>
      <c r="M38" s="5" t="inlineStr">
        <is>
          <t>Yes</t>
        </is>
      </c>
      <c r="N38" s="5" t="inlineStr"/>
      <c r="O38" s="8" t="inlineStr">
        <is>
          <t>258500</t>
        </is>
      </c>
      <c r="P38" s="5" t="inlineStr">
        <is>
          <t>0</t>
        </is>
      </c>
      <c r="Q38" s="5" t="inlineStr">
        <is>
          <t>5</t>
        </is>
      </c>
      <c r="R38" s="5" t="inlineStr">
        <is>
          <t>6</t>
        </is>
      </c>
      <c r="S38" s="5" t="inlineStr">
        <is>
          <t>26</t>
        </is>
      </c>
      <c r="T38" s="5" t="inlineStr">
        <is>
          <t>7</t>
        </is>
      </c>
      <c r="U38" s="5">
        <f>IFS(C38&lt;30,"Under 30",C38&lt;40,"30-39",C38&lt;50,"40-49",TRUE,"50+")</f>
        <v/>
      </c>
      <c r="V38" s="5">
        <f>IFS(O38&lt;60000,"Low (&lt;60k)",O38&lt;100000,"Mid (60-100k)",TRUE,"High (100k+)")</f>
        <v/>
      </c>
      <c r="W38" s="5">
        <f>IF(M38="No","Attrited","Active")</f>
        <v/>
      </c>
    </row>
    <row r="39">
      <c r="A39" s="5" t="inlineStr">
        <is>
          <t>E00038</t>
        </is>
      </c>
      <c r="B39" s="5" t="inlineStr">
        <is>
          <t>Male</t>
        </is>
      </c>
      <c r="C39" s="6" t="inlineStr">
        <is>
          <t>28</t>
        </is>
      </c>
      <c r="D39" s="5" t="inlineStr">
        <is>
          <t>Single</t>
        </is>
      </c>
      <c r="E39" s="5" t="inlineStr">
        <is>
          <t>Bachelor</t>
        </is>
      </c>
      <c r="F39" s="5" t="inlineStr">
        <is>
          <t>Research &amp; Development</t>
        </is>
      </c>
      <c r="G39" s="5" t="inlineStr">
        <is>
          <t>Research Scientist</t>
        </is>
      </c>
      <c r="H39" s="5" t="inlineStr">
        <is>
          <t>2</t>
        </is>
      </c>
      <c r="I39" s="5" t="inlineStr">
        <is>
          <t>Hyderabad</t>
        </is>
      </c>
      <c r="J39" s="5" t="inlineStr">
        <is>
          <t>Full-Time</t>
        </is>
      </c>
      <c r="K39" s="7" t="n">
        <v>43877</v>
      </c>
      <c r="L39" s="7" t="inlineStr"/>
      <c r="M39" s="5" t="inlineStr">
        <is>
          <t>Yes</t>
        </is>
      </c>
      <c r="N39" s="5" t="inlineStr"/>
      <c r="O39" s="8" t="inlineStr">
        <is>
          <t>112000</t>
        </is>
      </c>
      <c r="P39" s="5" t="inlineStr">
        <is>
          <t>5</t>
        </is>
      </c>
      <c r="Q39" s="5" t="inlineStr">
        <is>
          <t>5</t>
        </is>
      </c>
      <c r="R39" s="5" t="inlineStr">
        <is>
          <t>7</t>
        </is>
      </c>
      <c r="S39" s="5" t="inlineStr">
        <is>
          <t>71</t>
        </is>
      </c>
      <c r="T39" s="5" t="inlineStr">
        <is>
          <t>14</t>
        </is>
      </c>
      <c r="U39" s="5">
        <f>IFS(C39&lt;30,"Under 30",C39&lt;40,"30-39",C39&lt;50,"40-49",TRUE,"50+")</f>
        <v/>
      </c>
      <c r="V39" s="5">
        <f>IFS(O39&lt;60000,"Low (&lt;60k)",O39&lt;100000,"Mid (60-100k)",TRUE,"High (100k+)")</f>
        <v/>
      </c>
      <c r="W39" s="5">
        <f>IF(M39="No","Attrited","Active")</f>
        <v/>
      </c>
    </row>
    <row r="40">
      <c r="A40" s="5" t="inlineStr">
        <is>
          <t>E00039</t>
        </is>
      </c>
      <c r="B40" s="5" t="inlineStr">
        <is>
          <t>Female</t>
        </is>
      </c>
      <c r="C40" s="6" t="inlineStr">
        <is>
          <t>30</t>
        </is>
      </c>
      <c r="D40" s="5" t="inlineStr">
        <is>
          <t>Married</t>
        </is>
      </c>
      <c r="E40" s="5" t="inlineStr">
        <is>
          <t>Bachelor</t>
        </is>
      </c>
      <c r="F40" s="5" t="inlineStr">
        <is>
          <t>Human Resources</t>
        </is>
      </c>
      <c r="G40" s="5" t="inlineStr">
        <is>
          <t>HR Analyst</t>
        </is>
      </c>
      <c r="H40" s="5" t="inlineStr">
        <is>
          <t>3</t>
        </is>
      </c>
      <c r="I40" s="5" t="inlineStr">
        <is>
          <t>Bengaluru</t>
        </is>
      </c>
      <c r="J40" s="5" t="inlineStr">
        <is>
          <t>Part-Time</t>
        </is>
      </c>
      <c r="K40" s="7" t="n">
        <v>44013</v>
      </c>
      <c r="L40" s="7" t="inlineStr"/>
      <c r="M40" s="5" t="inlineStr">
        <is>
          <t>Yes</t>
        </is>
      </c>
      <c r="N40" s="5" t="inlineStr"/>
      <c r="O40" s="8" t="inlineStr">
        <is>
          <t>90500</t>
        </is>
      </c>
      <c r="P40" s="5" t="inlineStr">
        <is>
          <t>5</t>
        </is>
      </c>
      <c r="Q40" s="5" t="inlineStr">
        <is>
          <t>5</t>
        </is>
      </c>
      <c r="R40" s="5" t="inlineStr">
        <is>
          <t>8</t>
        </is>
      </c>
      <c r="S40" s="5" t="inlineStr">
        <is>
          <t>66</t>
        </is>
      </c>
      <c r="T40" s="5" t="inlineStr">
        <is>
          <t>1</t>
        </is>
      </c>
      <c r="U40" s="5">
        <f>IFS(C40&lt;30,"Under 30",C40&lt;40,"30-39",C40&lt;50,"40-49",TRUE,"50+")</f>
        <v/>
      </c>
      <c r="V40" s="5">
        <f>IFS(O40&lt;60000,"Low (&lt;60k)",O40&lt;100000,"Mid (60-100k)",TRUE,"High (100k+)")</f>
        <v/>
      </c>
      <c r="W40" s="5">
        <f>IF(M40="No","Attrited","Active")</f>
        <v/>
      </c>
    </row>
    <row r="41">
      <c r="A41" s="5" t="inlineStr">
        <is>
          <t>E00040</t>
        </is>
      </c>
      <c r="B41" s="5" t="inlineStr">
        <is>
          <t>Male</t>
        </is>
      </c>
      <c r="C41" s="6" t="inlineStr">
        <is>
          <t>28</t>
        </is>
      </c>
      <c r="D41" s="5" t="inlineStr">
        <is>
          <t>Married</t>
        </is>
      </c>
      <c r="E41" s="5" t="inlineStr">
        <is>
          <t>Master</t>
        </is>
      </c>
      <c r="F41" s="5" t="inlineStr">
        <is>
          <t>Sales</t>
        </is>
      </c>
      <c r="G41" s="5" t="inlineStr">
        <is>
          <t>Sales Executive</t>
        </is>
      </c>
      <c r="H41" s="5" t="inlineStr">
        <is>
          <t>1</t>
        </is>
      </c>
      <c r="I41" s="5" t="inlineStr">
        <is>
          <t>Delhi</t>
        </is>
      </c>
      <c r="J41" s="5" t="inlineStr">
        <is>
          <t>Full-Time</t>
        </is>
      </c>
      <c r="K41" s="7" t="n">
        <v>43981</v>
      </c>
      <c r="L41" s="7" t="n">
        <v>44065</v>
      </c>
      <c r="M41" s="5" t="inlineStr">
        <is>
          <t>No</t>
        </is>
      </c>
      <c r="N41" s="5" t="inlineStr">
        <is>
          <t>Resigned</t>
        </is>
      </c>
      <c r="O41" s="8" t="inlineStr">
        <is>
          <t>99500</t>
        </is>
      </c>
      <c r="P41" s="5" t="inlineStr">
        <is>
          <t>0</t>
        </is>
      </c>
      <c r="Q41" s="5" t="inlineStr">
        <is>
          <t>3</t>
        </is>
      </c>
      <c r="R41" s="5" t="inlineStr">
        <is>
          <t>6</t>
        </is>
      </c>
      <c r="S41" s="5" t="inlineStr">
        <is>
          <t>2</t>
        </is>
      </c>
      <c r="T41" s="5" t="inlineStr">
        <is>
          <t>2</t>
        </is>
      </c>
      <c r="U41" s="5">
        <f>IFS(C41&lt;30,"Under 30",C41&lt;40,"30-39",C41&lt;50,"40-49",TRUE,"50+")</f>
        <v/>
      </c>
      <c r="V41" s="5">
        <f>IFS(O41&lt;60000,"Low (&lt;60k)",O41&lt;100000,"Mid (60-100k)",TRUE,"High (100k+)")</f>
        <v/>
      </c>
      <c r="W41" s="5">
        <f>IF(M41="No","Attrited","Active")</f>
        <v/>
      </c>
    </row>
    <row r="42">
      <c r="A42" s="5" t="inlineStr">
        <is>
          <t>E00041</t>
        </is>
      </c>
      <c r="B42" s="5" t="inlineStr">
        <is>
          <t>Male</t>
        </is>
      </c>
      <c r="C42" s="6" t="inlineStr">
        <is>
          <t>44</t>
        </is>
      </c>
      <c r="D42" s="5" t="inlineStr">
        <is>
          <t>Single</t>
        </is>
      </c>
      <c r="E42" s="5" t="inlineStr">
        <is>
          <t>PhD</t>
        </is>
      </c>
      <c r="F42" s="5" t="inlineStr">
        <is>
          <t>Sales</t>
        </is>
      </c>
      <c r="G42" s="5" t="inlineStr">
        <is>
          <t>Account Executive</t>
        </is>
      </c>
      <c r="H42" s="5" t="inlineStr">
        <is>
          <t>7</t>
        </is>
      </c>
      <c r="I42" s="5" t="inlineStr">
        <is>
          <t>Mumbai</t>
        </is>
      </c>
      <c r="J42" s="5" t="inlineStr">
        <is>
          <t>Full-Time</t>
        </is>
      </c>
      <c r="K42" s="7" t="n">
        <v>45915</v>
      </c>
      <c r="L42" s="7" t="inlineStr"/>
      <c r="M42" s="5" t="inlineStr">
        <is>
          <t>Yes</t>
        </is>
      </c>
      <c r="N42" s="5" t="inlineStr"/>
      <c r="O42" s="8" t="inlineStr">
        <is>
          <t>140500</t>
        </is>
      </c>
      <c r="P42" s="5" t="inlineStr">
        <is>
          <t>0</t>
        </is>
      </c>
      <c r="Q42" s="5" t="inlineStr">
        <is>
          <t>2</t>
        </is>
      </c>
      <c r="R42" s="5" t="inlineStr">
        <is>
          <t>4</t>
        </is>
      </c>
      <c r="S42" s="5" t="inlineStr">
        <is>
          <t>3</t>
        </is>
      </c>
      <c r="T42" s="5" t="inlineStr">
        <is>
          <t>5</t>
        </is>
      </c>
      <c r="U42" s="5">
        <f>IFS(C42&lt;30,"Under 30",C42&lt;40,"30-39",C42&lt;50,"40-49",TRUE,"50+")</f>
        <v/>
      </c>
      <c r="V42" s="5">
        <f>IFS(O42&lt;60000,"Low (&lt;60k)",O42&lt;100000,"Mid (60-100k)",TRUE,"High (100k+)")</f>
        <v/>
      </c>
      <c r="W42" s="5">
        <f>IF(M42="No","Attrited","Active")</f>
        <v/>
      </c>
    </row>
    <row r="43">
      <c r="A43" s="5" t="inlineStr">
        <is>
          <t>E00042</t>
        </is>
      </c>
      <c r="B43" s="5" t="inlineStr">
        <is>
          <t>Male</t>
        </is>
      </c>
      <c r="C43" s="6" t="inlineStr">
        <is>
          <t>33</t>
        </is>
      </c>
      <c r="D43" s="5" t="inlineStr">
        <is>
          <t>Married</t>
        </is>
      </c>
      <c r="E43" s="5" t="inlineStr">
        <is>
          <t>Bachelor</t>
        </is>
      </c>
      <c r="F43" s="5" t="inlineStr">
        <is>
          <t>Research &amp; Development</t>
        </is>
      </c>
      <c r="G43" s="5" t="inlineStr">
        <is>
          <t>Product Engineer</t>
        </is>
      </c>
      <c r="H43" s="5" t="inlineStr">
        <is>
          <t>3</t>
        </is>
      </c>
      <c r="I43" s="5" t="inlineStr">
        <is>
          <t>Remote</t>
        </is>
      </c>
      <c r="J43" s="5" t="inlineStr">
        <is>
          <t>Full-Time</t>
        </is>
      </c>
      <c r="K43" s="7" t="n">
        <v>44885</v>
      </c>
      <c r="L43" s="7" t="n">
        <v>44963</v>
      </c>
      <c r="M43" s="5" t="inlineStr">
        <is>
          <t>No</t>
        </is>
      </c>
      <c r="N43" s="5" t="inlineStr">
        <is>
          <t>Resigned</t>
        </is>
      </c>
      <c r="O43" s="8" t="inlineStr">
        <is>
          <t>141000</t>
        </is>
      </c>
      <c r="P43" s="5" t="inlineStr">
        <is>
          <t>5</t>
        </is>
      </c>
      <c r="Q43" s="5" t="inlineStr">
        <is>
          <t>4</t>
        </is>
      </c>
      <c r="R43" s="5" t="inlineStr">
        <is>
          <t>10</t>
        </is>
      </c>
      <c r="S43" s="5" t="inlineStr">
        <is>
          <t>2</t>
        </is>
      </c>
      <c r="T43" s="5" t="inlineStr">
        <is>
          <t>0</t>
        </is>
      </c>
      <c r="U43" s="5">
        <f>IFS(C43&lt;30,"Under 30",C43&lt;40,"30-39",C43&lt;50,"40-49",TRUE,"50+")</f>
        <v/>
      </c>
      <c r="V43" s="5">
        <f>IFS(O43&lt;60000,"Low (&lt;60k)",O43&lt;100000,"Mid (60-100k)",TRUE,"High (100k+)")</f>
        <v/>
      </c>
      <c r="W43" s="5">
        <f>IF(M43="No","Attrited","Active")</f>
        <v/>
      </c>
    </row>
    <row r="44">
      <c r="A44" s="5" t="inlineStr">
        <is>
          <t>E00043</t>
        </is>
      </c>
      <c r="B44" s="5" t="inlineStr">
        <is>
          <t>Male</t>
        </is>
      </c>
      <c r="C44" s="6" t="inlineStr">
        <is>
          <t>36</t>
        </is>
      </c>
      <c r="D44" s="5" t="inlineStr">
        <is>
          <t>Married</t>
        </is>
      </c>
      <c r="E44" s="5" t="inlineStr">
        <is>
          <t>Diploma</t>
        </is>
      </c>
      <c r="F44" s="5" t="inlineStr">
        <is>
          <t>Human Resources</t>
        </is>
      </c>
      <c r="G44" s="5" t="inlineStr">
        <is>
          <t>HR Analyst</t>
        </is>
      </c>
      <c r="H44" s="5" t="inlineStr">
        <is>
          <t>5</t>
        </is>
      </c>
      <c r="I44" s="5" t="inlineStr">
        <is>
          <t>Remote</t>
        </is>
      </c>
      <c r="J44" s="5" t="inlineStr">
        <is>
          <t>Full-Time</t>
        </is>
      </c>
      <c r="K44" s="7" t="n">
        <v>45832</v>
      </c>
      <c r="L44" s="7" t="inlineStr"/>
      <c r="M44" s="5" t="inlineStr">
        <is>
          <t>Yes</t>
        </is>
      </c>
      <c r="N44" s="5" t="inlineStr"/>
      <c r="O44" s="8" t="inlineStr">
        <is>
          <t>100500</t>
        </is>
      </c>
      <c r="P44" s="5" t="inlineStr">
        <is>
          <t>5</t>
        </is>
      </c>
      <c r="Q44" s="5" t="inlineStr">
        <is>
          <t>3</t>
        </is>
      </c>
      <c r="R44" s="5" t="inlineStr">
        <is>
          <t>5</t>
        </is>
      </c>
      <c r="S44" s="5" t="inlineStr">
        <is>
          <t>6</t>
        </is>
      </c>
      <c r="T44" s="5" t="inlineStr">
        <is>
          <t>0</t>
        </is>
      </c>
      <c r="U44" s="5">
        <f>IFS(C44&lt;30,"Under 30",C44&lt;40,"30-39",C44&lt;50,"40-49",TRUE,"50+")</f>
        <v/>
      </c>
      <c r="V44" s="5">
        <f>IFS(O44&lt;60000,"Low (&lt;60k)",O44&lt;100000,"Mid (60-100k)",TRUE,"High (100k+)")</f>
        <v/>
      </c>
      <c r="W44" s="5">
        <f>IF(M44="No","Attrited","Active")</f>
        <v/>
      </c>
    </row>
    <row r="45">
      <c r="A45" s="5" t="inlineStr">
        <is>
          <t>E00044</t>
        </is>
      </c>
      <c r="B45" s="5" t="inlineStr">
        <is>
          <t>Male</t>
        </is>
      </c>
      <c r="C45" s="6" t="inlineStr">
        <is>
          <t>29</t>
        </is>
      </c>
      <c r="D45" s="5" t="inlineStr">
        <is>
          <t>Married</t>
        </is>
      </c>
      <c r="E45" s="5" t="inlineStr">
        <is>
          <t>Diploma</t>
        </is>
      </c>
      <c r="F45" s="5" t="inlineStr">
        <is>
          <t>Customer Support</t>
        </is>
      </c>
      <c r="G45" s="5" t="inlineStr">
        <is>
          <t>Support Agent</t>
        </is>
      </c>
      <c r="H45" s="5" t="inlineStr">
        <is>
          <t>2</t>
        </is>
      </c>
      <c r="I45" s="5" t="inlineStr">
        <is>
          <t>Remote</t>
        </is>
      </c>
      <c r="J45" s="5" t="inlineStr">
        <is>
          <t>Contract</t>
        </is>
      </c>
      <c r="K45" s="7" t="n">
        <v>44081</v>
      </c>
      <c r="L45" s="7" t="inlineStr"/>
      <c r="M45" s="5" t="inlineStr">
        <is>
          <t>Yes</t>
        </is>
      </c>
      <c r="N45" s="5" t="inlineStr"/>
      <c r="O45" s="8" t="inlineStr">
        <is>
          <t>60500</t>
        </is>
      </c>
      <c r="P45" s="5" t="inlineStr">
        <is>
          <t>5</t>
        </is>
      </c>
      <c r="Q45" s="5" t="inlineStr">
        <is>
          <t>5</t>
        </is>
      </c>
      <c r="R45" s="5" t="inlineStr">
        <is>
          <t>7</t>
        </is>
      </c>
      <c r="S45" s="5" t="inlineStr">
        <is>
          <t>64</t>
        </is>
      </c>
      <c r="T45" s="5" t="inlineStr">
        <is>
          <t>10</t>
        </is>
      </c>
      <c r="U45" s="5">
        <f>IFS(C45&lt;30,"Under 30",C45&lt;40,"30-39",C45&lt;50,"40-49",TRUE,"50+")</f>
        <v/>
      </c>
      <c r="V45" s="5">
        <f>IFS(O45&lt;60000,"Low (&lt;60k)",O45&lt;100000,"Mid (60-100k)",TRUE,"High (100k+)")</f>
        <v/>
      </c>
      <c r="W45" s="5">
        <f>IF(M45="No","Attrited","Active")</f>
        <v/>
      </c>
    </row>
    <row r="46">
      <c r="A46" s="5" t="inlineStr">
        <is>
          <t>E00045</t>
        </is>
      </c>
      <c r="B46" s="5" t="inlineStr">
        <is>
          <t>Female</t>
        </is>
      </c>
      <c r="C46" s="6" t="inlineStr">
        <is>
          <t>35</t>
        </is>
      </c>
      <c r="D46" s="5" t="inlineStr">
        <is>
          <t>Single</t>
        </is>
      </c>
      <c r="E46" s="5" t="inlineStr">
        <is>
          <t>Bachelor</t>
        </is>
      </c>
      <c r="F46" s="5" t="inlineStr">
        <is>
          <t>Operations</t>
        </is>
      </c>
      <c r="G46" s="5" t="inlineStr">
        <is>
          <t>Quality Analyst</t>
        </is>
      </c>
      <c r="H46" s="5" t="inlineStr">
        <is>
          <t>3</t>
        </is>
      </c>
      <c r="I46" s="5" t="inlineStr">
        <is>
          <t>Mumbai</t>
        </is>
      </c>
      <c r="J46" s="5" t="inlineStr">
        <is>
          <t>Full-Time</t>
        </is>
      </c>
      <c r="K46" s="7" t="n">
        <v>44461</v>
      </c>
      <c r="L46" s="7" t="inlineStr"/>
      <c r="M46" s="5" t="inlineStr">
        <is>
          <t>Yes</t>
        </is>
      </c>
      <c r="N46" s="5" t="inlineStr"/>
      <c r="O46" s="8" t="inlineStr">
        <is>
          <t>76000</t>
        </is>
      </c>
      <c r="P46" s="5" t="inlineStr">
        <is>
          <t>10</t>
        </is>
      </c>
      <c r="Q46" s="5" t="inlineStr">
        <is>
          <t>5</t>
        </is>
      </c>
      <c r="R46" s="5" t="inlineStr">
        <is>
          <t>5</t>
        </is>
      </c>
      <c r="S46" s="5" t="inlineStr">
        <is>
          <t>52</t>
        </is>
      </c>
      <c r="T46" s="5" t="inlineStr">
        <is>
          <t>12</t>
        </is>
      </c>
      <c r="U46" s="5">
        <f>IFS(C46&lt;30,"Under 30",C46&lt;40,"30-39",C46&lt;50,"40-49",TRUE,"50+")</f>
        <v/>
      </c>
      <c r="V46" s="5">
        <f>IFS(O46&lt;60000,"Low (&lt;60k)",O46&lt;100000,"Mid (60-100k)",TRUE,"High (100k+)")</f>
        <v/>
      </c>
      <c r="W46" s="5">
        <f>IF(M46="No","Attrited","Active")</f>
        <v/>
      </c>
    </row>
    <row r="47">
      <c r="A47" s="5" t="inlineStr">
        <is>
          <t>E00046</t>
        </is>
      </c>
      <c r="B47" s="5" t="inlineStr">
        <is>
          <t>Male</t>
        </is>
      </c>
      <c r="C47" s="6" t="inlineStr">
        <is>
          <t>28</t>
        </is>
      </c>
      <c r="D47" s="5" t="inlineStr">
        <is>
          <t>Married</t>
        </is>
      </c>
      <c r="E47" s="5" t="inlineStr">
        <is>
          <t>High School</t>
        </is>
      </c>
      <c r="F47" s="5" t="inlineStr">
        <is>
          <t>Finance</t>
        </is>
      </c>
      <c r="G47" s="5" t="inlineStr">
        <is>
          <t>Financial Analyst</t>
        </is>
      </c>
      <c r="H47" s="5" t="inlineStr">
        <is>
          <t>1</t>
        </is>
      </c>
      <c r="I47" s="5" t="inlineStr">
        <is>
          <t>Hyderabad</t>
        </is>
      </c>
      <c r="J47" s="5" t="inlineStr">
        <is>
          <t>Full-Time</t>
        </is>
      </c>
      <c r="K47" s="7" t="n">
        <v>45912</v>
      </c>
      <c r="L47" s="7" t="n">
        <v>46021</v>
      </c>
      <c r="M47" s="5" t="inlineStr">
        <is>
          <t>No</t>
        </is>
      </c>
      <c r="N47" s="5" t="inlineStr">
        <is>
          <t>Resigned</t>
        </is>
      </c>
      <c r="O47" s="8" t="inlineStr">
        <is>
          <t>102500</t>
        </is>
      </c>
      <c r="P47" s="5" t="inlineStr">
        <is>
          <t>0</t>
        </is>
      </c>
      <c r="Q47" s="5" t="inlineStr">
        <is>
          <t>4</t>
        </is>
      </c>
      <c r="R47" s="5" t="inlineStr">
        <is>
          <t>5</t>
        </is>
      </c>
      <c r="S47" s="5" t="inlineStr">
        <is>
          <t>3</t>
        </is>
      </c>
      <c r="T47" s="5" t="inlineStr">
        <is>
          <t>0</t>
        </is>
      </c>
      <c r="U47" s="5">
        <f>IFS(C47&lt;30,"Under 30",C47&lt;40,"30-39",C47&lt;50,"40-49",TRUE,"50+")</f>
        <v/>
      </c>
      <c r="V47" s="5">
        <f>IFS(O47&lt;60000,"Low (&lt;60k)",O47&lt;100000,"Mid (60-100k)",TRUE,"High (100k+)")</f>
        <v/>
      </c>
      <c r="W47" s="5">
        <f>IF(M47="No","Attrited","Active")</f>
        <v/>
      </c>
    </row>
    <row r="48">
      <c r="A48" s="5" t="inlineStr">
        <is>
          <t>E00047</t>
        </is>
      </c>
      <c r="B48" s="5" t="inlineStr">
        <is>
          <t>Female</t>
        </is>
      </c>
      <c r="C48" s="6" t="inlineStr">
        <is>
          <t>35</t>
        </is>
      </c>
      <c r="D48" s="5" t="inlineStr">
        <is>
          <t>Married</t>
        </is>
      </c>
      <c r="E48" s="5" t="inlineStr">
        <is>
          <t>Bachelor</t>
        </is>
      </c>
      <c r="F48" s="5" t="inlineStr">
        <is>
          <t>IT</t>
        </is>
      </c>
      <c r="G48" s="5" t="inlineStr">
        <is>
          <t>Data Analyst</t>
        </is>
      </c>
      <c r="H48" s="5" t="inlineStr">
        <is>
          <t>2</t>
        </is>
      </c>
      <c r="I48" s="5" t="inlineStr">
        <is>
          <t>Remote</t>
        </is>
      </c>
      <c r="J48" s="5" t="inlineStr">
        <is>
          <t>Full-Time</t>
        </is>
      </c>
      <c r="K48" s="7" t="n">
        <v>45605</v>
      </c>
      <c r="L48" s="7" t="inlineStr"/>
      <c r="M48" s="5" t="inlineStr">
        <is>
          <t>Yes</t>
        </is>
      </c>
      <c r="N48" s="5" t="inlineStr"/>
      <c r="O48" s="8" t="inlineStr">
        <is>
          <t>126000</t>
        </is>
      </c>
      <c r="P48" s="5" t="inlineStr">
        <is>
          <t>5</t>
        </is>
      </c>
      <c r="Q48" s="5" t="inlineStr">
        <is>
          <t>5</t>
        </is>
      </c>
      <c r="R48" s="5" t="inlineStr">
        <is>
          <t>6</t>
        </is>
      </c>
      <c r="S48" s="5" t="inlineStr">
        <is>
          <t>13</t>
        </is>
      </c>
      <c r="T48" s="5" t="inlineStr">
        <is>
          <t>9</t>
        </is>
      </c>
      <c r="U48" s="5">
        <f>IFS(C48&lt;30,"Under 30",C48&lt;40,"30-39",C48&lt;50,"40-49",TRUE,"50+")</f>
        <v/>
      </c>
      <c r="V48" s="5">
        <f>IFS(O48&lt;60000,"Low (&lt;60k)",O48&lt;100000,"Mid (60-100k)",TRUE,"High (100k+)")</f>
        <v/>
      </c>
      <c r="W48" s="5">
        <f>IF(M48="No","Attrited","Active")</f>
        <v/>
      </c>
    </row>
    <row r="49">
      <c r="A49" s="5" t="inlineStr">
        <is>
          <t>E00048</t>
        </is>
      </c>
      <c r="B49" s="5" t="inlineStr">
        <is>
          <t>Male</t>
        </is>
      </c>
      <c r="C49" s="6" t="inlineStr">
        <is>
          <t>28</t>
        </is>
      </c>
      <c r="D49" s="5" t="inlineStr">
        <is>
          <t>Single</t>
        </is>
      </c>
      <c r="E49" s="5" t="inlineStr">
        <is>
          <t>Diploma</t>
        </is>
      </c>
      <c r="F49" s="5" t="inlineStr">
        <is>
          <t>Research &amp; Development</t>
        </is>
      </c>
      <c r="G49" s="5" t="inlineStr">
        <is>
          <t>Product Engineer</t>
        </is>
      </c>
      <c r="H49" s="5" t="inlineStr">
        <is>
          <t>3</t>
        </is>
      </c>
      <c r="I49" s="5" t="inlineStr">
        <is>
          <t>Remote</t>
        </is>
      </c>
      <c r="J49" s="5" t="inlineStr">
        <is>
          <t>Part-Time</t>
        </is>
      </c>
      <c r="K49" s="7" t="n">
        <v>45635</v>
      </c>
      <c r="L49" s="7" t="inlineStr"/>
      <c r="M49" s="5" t="inlineStr">
        <is>
          <t>Yes</t>
        </is>
      </c>
      <c r="N49" s="5" t="inlineStr"/>
      <c r="O49" s="8" t="inlineStr">
        <is>
          <t>152000</t>
        </is>
      </c>
      <c r="P49" s="5" t="inlineStr">
        <is>
          <t>10</t>
        </is>
      </c>
      <c r="Q49" s="5" t="inlineStr">
        <is>
          <t>5</t>
        </is>
      </c>
      <c r="R49" s="5" t="inlineStr">
        <is>
          <t>6</t>
        </is>
      </c>
      <c r="S49" s="5" t="inlineStr">
        <is>
          <t>12</t>
        </is>
      </c>
      <c r="T49" s="5" t="inlineStr">
        <is>
          <t>9</t>
        </is>
      </c>
      <c r="U49" s="5">
        <f>IFS(C49&lt;30,"Under 30",C49&lt;40,"30-39",C49&lt;50,"40-49",TRUE,"50+")</f>
        <v/>
      </c>
      <c r="V49" s="5">
        <f>IFS(O49&lt;60000,"Low (&lt;60k)",O49&lt;100000,"Mid (60-100k)",TRUE,"High (100k+)")</f>
        <v/>
      </c>
      <c r="W49" s="5">
        <f>IF(M49="No","Attrited","Active")</f>
        <v/>
      </c>
    </row>
    <row r="50">
      <c r="A50" s="5" t="inlineStr">
        <is>
          <t>E00049</t>
        </is>
      </c>
      <c r="B50" s="5" t="inlineStr">
        <is>
          <t>Female</t>
        </is>
      </c>
      <c r="C50" s="6" t="inlineStr">
        <is>
          <t>25</t>
        </is>
      </c>
      <c r="D50" s="5" t="inlineStr">
        <is>
          <t>Married</t>
        </is>
      </c>
      <c r="E50" s="5" t="inlineStr">
        <is>
          <t>Bachelor</t>
        </is>
      </c>
      <c r="F50" s="5" t="inlineStr">
        <is>
          <t>Human Resources</t>
        </is>
      </c>
      <c r="G50" s="5" t="inlineStr">
        <is>
          <t>Recruiter</t>
        </is>
      </c>
      <c r="H50" s="5" t="inlineStr">
        <is>
          <t>1</t>
        </is>
      </c>
      <c r="I50" s="5" t="inlineStr">
        <is>
          <t>Hyderabad</t>
        </is>
      </c>
      <c r="J50" s="5" t="inlineStr">
        <is>
          <t>Full-Time</t>
        </is>
      </c>
      <c r="K50" s="7" t="n">
        <v>45606</v>
      </c>
      <c r="L50" s="7" t="inlineStr"/>
      <c r="M50" s="5" t="inlineStr">
        <is>
          <t>Yes</t>
        </is>
      </c>
      <c r="N50" s="5" t="inlineStr"/>
      <c r="O50" s="8" t="inlineStr">
        <is>
          <t>70500</t>
        </is>
      </c>
      <c r="P50" s="5" t="inlineStr">
        <is>
          <t>0</t>
        </is>
      </c>
      <c r="Q50" s="5" t="inlineStr">
        <is>
          <t>4</t>
        </is>
      </c>
      <c r="R50" s="5" t="inlineStr">
        <is>
          <t>9</t>
        </is>
      </c>
      <c r="S50" s="5" t="inlineStr">
        <is>
          <t>13</t>
        </is>
      </c>
      <c r="T50" s="5" t="inlineStr">
        <is>
          <t>0</t>
        </is>
      </c>
      <c r="U50" s="5">
        <f>IFS(C50&lt;30,"Under 30",C50&lt;40,"30-39",C50&lt;50,"40-49",TRUE,"50+")</f>
        <v/>
      </c>
      <c r="V50" s="5">
        <f>IFS(O50&lt;60000,"Low (&lt;60k)",O50&lt;100000,"Mid (60-100k)",TRUE,"High (100k+)")</f>
        <v/>
      </c>
      <c r="W50" s="5">
        <f>IF(M50="No","Attrited","Active")</f>
        <v/>
      </c>
    </row>
    <row r="51">
      <c r="A51" s="5" t="inlineStr">
        <is>
          <t>E00050</t>
        </is>
      </c>
      <c r="B51" s="5" t="inlineStr">
        <is>
          <t>Female</t>
        </is>
      </c>
      <c r="C51" s="6" t="inlineStr">
        <is>
          <t>32</t>
        </is>
      </c>
      <c r="D51" s="5" t="inlineStr">
        <is>
          <t>Divorced</t>
        </is>
      </c>
      <c r="E51" s="5" t="inlineStr">
        <is>
          <t>High School</t>
        </is>
      </c>
      <c r="F51" s="5" t="inlineStr">
        <is>
          <t>Finance</t>
        </is>
      </c>
      <c r="G51" s="5" t="inlineStr">
        <is>
          <t>Financial Analyst</t>
        </is>
      </c>
      <c r="H51" s="5" t="inlineStr">
        <is>
          <t>3</t>
        </is>
      </c>
      <c r="I51" s="5" t="inlineStr">
        <is>
          <t>Hyderabad</t>
        </is>
      </c>
      <c r="J51" s="5" t="inlineStr">
        <is>
          <t>Contract</t>
        </is>
      </c>
      <c r="K51" s="7" t="n">
        <v>44396</v>
      </c>
      <c r="L51" s="7" t="inlineStr"/>
      <c r="M51" s="5" t="inlineStr">
        <is>
          <t>Yes</t>
        </is>
      </c>
      <c r="N51" s="5" t="inlineStr"/>
      <c r="O51" s="8" t="inlineStr">
        <is>
          <t>127000</t>
        </is>
      </c>
      <c r="P51" s="5" t="inlineStr">
        <is>
          <t>0</t>
        </is>
      </c>
      <c r="Q51" s="5" t="inlineStr">
        <is>
          <t>4</t>
        </is>
      </c>
      <c r="R51" s="5" t="inlineStr">
        <is>
          <t>4</t>
        </is>
      </c>
      <c r="S51" s="5" t="inlineStr">
        <is>
          <t>54</t>
        </is>
      </c>
      <c r="T51" s="5" t="inlineStr">
        <is>
          <t>0</t>
        </is>
      </c>
      <c r="U51" s="5">
        <f>IFS(C51&lt;30,"Under 30",C51&lt;40,"30-39",C51&lt;50,"40-49",TRUE,"50+")</f>
        <v/>
      </c>
      <c r="V51" s="5">
        <f>IFS(O51&lt;60000,"Low (&lt;60k)",O51&lt;100000,"Mid (60-100k)",TRUE,"High (100k+)")</f>
        <v/>
      </c>
      <c r="W51" s="5">
        <f>IF(M51="No","Attrited","Active")</f>
        <v/>
      </c>
    </row>
    <row r="52">
      <c r="A52" s="5" t="inlineStr">
        <is>
          <t>E00051</t>
        </is>
      </c>
      <c r="B52" s="5" t="inlineStr">
        <is>
          <t>Male</t>
        </is>
      </c>
      <c r="C52" s="6" t="inlineStr">
        <is>
          <t>32</t>
        </is>
      </c>
      <c r="D52" s="5" t="inlineStr">
        <is>
          <t>Married</t>
        </is>
      </c>
      <c r="E52" s="5" t="inlineStr">
        <is>
          <t>PhD</t>
        </is>
      </c>
      <c r="F52" s="5" t="inlineStr">
        <is>
          <t>Operations</t>
        </is>
      </c>
      <c r="G52" s="5" t="inlineStr">
        <is>
          <t>Quality Analyst</t>
        </is>
      </c>
      <c r="H52" s="5" t="inlineStr">
        <is>
          <t>5</t>
        </is>
      </c>
      <c r="I52" s="5" t="inlineStr">
        <is>
          <t>Hyderabad</t>
        </is>
      </c>
      <c r="J52" s="5" t="inlineStr">
        <is>
          <t>Contract</t>
        </is>
      </c>
      <c r="K52" s="7" t="n">
        <v>45750</v>
      </c>
      <c r="L52" s="7" t="n">
        <v>45900</v>
      </c>
      <c r="M52" s="5" t="inlineStr">
        <is>
          <t>No</t>
        </is>
      </c>
      <c r="N52" s="5" t="inlineStr">
        <is>
          <t>Resigned</t>
        </is>
      </c>
      <c r="O52" s="8" t="inlineStr">
        <is>
          <t>124000</t>
        </is>
      </c>
      <c r="P52" s="5" t="inlineStr">
        <is>
          <t>5</t>
        </is>
      </c>
      <c r="Q52" s="5" t="inlineStr">
        <is>
          <t>5</t>
        </is>
      </c>
      <c r="R52" s="5" t="inlineStr">
        <is>
          <t>6</t>
        </is>
      </c>
      <c r="S52" s="5" t="inlineStr">
        <is>
          <t>5</t>
        </is>
      </c>
      <c r="T52" s="5" t="inlineStr">
        <is>
          <t>8</t>
        </is>
      </c>
      <c r="U52" s="5">
        <f>IFS(C52&lt;30,"Under 30",C52&lt;40,"30-39",C52&lt;50,"40-49",TRUE,"50+")</f>
        <v/>
      </c>
      <c r="V52" s="5">
        <f>IFS(O52&lt;60000,"Low (&lt;60k)",O52&lt;100000,"Mid (60-100k)",TRUE,"High (100k+)")</f>
        <v/>
      </c>
      <c r="W52" s="5">
        <f>IF(M52="No","Attrited","Active")</f>
        <v/>
      </c>
    </row>
    <row r="53">
      <c r="A53" s="5" t="inlineStr">
        <is>
          <t>E00052</t>
        </is>
      </c>
      <c r="B53" s="5" t="inlineStr">
        <is>
          <t>Male</t>
        </is>
      </c>
      <c r="C53" s="6" t="inlineStr">
        <is>
          <t>35</t>
        </is>
      </c>
      <c r="D53" s="5" t="inlineStr">
        <is>
          <t>Married</t>
        </is>
      </c>
      <c r="E53" s="5" t="inlineStr">
        <is>
          <t>PhD</t>
        </is>
      </c>
      <c r="F53" s="5" t="inlineStr">
        <is>
          <t>Marketing</t>
        </is>
      </c>
      <c r="G53" s="5" t="inlineStr">
        <is>
          <t>Marketing Analyst</t>
        </is>
      </c>
      <c r="H53" s="5" t="inlineStr">
        <is>
          <t>6</t>
        </is>
      </c>
      <c r="I53" s="5" t="inlineStr">
        <is>
          <t>Delhi</t>
        </is>
      </c>
      <c r="J53" s="5" t="inlineStr">
        <is>
          <t>Full-Time</t>
        </is>
      </c>
      <c r="K53" s="7" t="n">
        <v>45791</v>
      </c>
      <c r="L53" s="7" t="inlineStr"/>
      <c r="M53" s="5" t="inlineStr">
        <is>
          <t>Yes</t>
        </is>
      </c>
      <c r="N53" s="5" t="inlineStr"/>
      <c r="O53" s="8" t="inlineStr">
        <is>
          <t>88500</t>
        </is>
      </c>
      <c r="P53" s="5" t="inlineStr">
        <is>
          <t>0</t>
        </is>
      </c>
      <c r="Q53" s="5" t="inlineStr">
        <is>
          <t>2</t>
        </is>
      </c>
      <c r="R53" s="5" t="inlineStr">
        <is>
          <t>5</t>
        </is>
      </c>
      <c r="S53" s="5" t="inlineStr">
        <is>
          <t>7</t>
        </is>
      </c>
      <c r="T53" s="5" t="inlineStr">
        <is>
          <t>8</t>
        </is>
      </c>
      <c r="U53" s="5">
        <f>IFS(C53&lt;30,"Under 30",C53&lt;40,"30-39",C53&lt;50,"40-49",TRUE,"50+")</f>
        <v/>
      </c>
      <c r="V53" s="5">
        <f>IFS(O53&lt;60000,"Low (&lt;60k)",O53&lt;100000,"Mid (60-100k)",TRUE,"High (100k+)")</f>
        <v/>
      </c>
      <c r="W53" s="5">
        <f>IF(M53="No","Attrited","Active")</f>
        <v/>
      </c>
    </row>
    <row r="54">
      <c r="A54" s="5" t="inlineStr">
        <is>
          <t>E00053</t>
        </is>
      </c>
      <c r="B54" s="5" t="inlineStr">
        <is>
          <t>Female</t>
        </is>
      </c>
      <c r="C54" s="6" t="inlineStr">
        <is>
          <t>38</t>
        </is>
      </c>
      <c r="D54" s="5" t="inlineStr">
        <is>
          <t>Single</t>
        </is>
      </c>
      <c r="E54" s="5" t="inlineStr">
        <is>
          <t>Diploma</t>
        </is>
      </c>
      <c r="F54" s="5" t="inlineStr">
        <is>
          <t>Sales</t>
        </is>
      </c>
      <c r="G54" s="5" t="inlineStr">
        <is>
          <t>Account Executive</t>
        </is>
      </c>
      <c r="H54" s="5" t="inlineStr">
        <is>
          <t>7</t>
        </is>
      </c>
      <c r="I54" s="5" t="inlineStr">
        <is>
          <t>Chennai</t>
        </is>
      </c>
      <c r="J54" s="5" t="inlineStr">
        <is>
          <t>Full-Time</t>
        </is>
      </c>
      <c r="K54" s="7" t="n">
        <v>45202</v>
      </c>
      <c r="L54" s="7" t="inlineStr"/>
      <c r="M54" s="5" t="inlineStr">
        <is>
          <t>Yes</t>
        </is>
      </c>
      <c r="N54" s="5" t="inlineStr"/>
      <c r="O54" s="8" t="inlineStr">
        <is>
          <t>158000</t>
        </is>
      </c>
      <c r="P54" s="5" t="inlineStr">
        <is>
          <t>10</t>
        </is>
      </c>
      <c r="Q54" s="5" t="inlineStr">
        <is>
          <t>3</t>
        </is>
      </c>
      <c r="R54" s="5" t="inlineStr">
        <is>
          <t>8</t>
        </is>
      </c>
      <c r="S54" s="5" t="inlineStr">
        <is>
          <t>27</t>
        </is>
      </c>
      <c r="T54" s="5" t="inlineStr">
        <is>
          <t>0</t>
        </is>
      </c>
      <c r="U54" s="5">
        <f>IFS(C54&lt;30,"Under 30",C54&lt;40,"30-39",C54&lt;50,"40-49",TRUE,"50+")</f>
        <v/>
      </c>
      <c r="V54" s="5">
        <f>IFS(O54&lt;60000,"Low (&lt;60k)",O54&lt;100000,"Mid (60-100k)",TRUE,"High (100k+)")</f>
        <v/>
      </c>
      <c r="W54" s="5">
        <f>IF(M54="No","Attrited","Active")</f>
        <v/>
      </c>
    </row>
    <row r="55">
      <c r="A55" s="5" t="inlineStr">
        <is>
          <t>E00054</t>
        </is>
      </c>
      <c r="B55" s="5" t="inlineStr">
        <is>
          <t>Male</t>
        </is>
      </c>
      <c r="C55" s="6" t="inlineStr">
        <is>
          <t>36</t>
        </is>
      </c>
      <c r="D55" s="5" t="inlineStr">
        <is>
          <t>Married</t>
        </is>
      </c>
      <c r="E55" s="5" t="inlineStr">
        <is>
          <t>PhD</t>
        </is>
      </c>
      <c r="F55" s="5" t="inlineStr">
        <is>
          <t>Operations</t>
        </is>
      </c>
      <c r="G55" s="5" t="inlineStr">
        <is>
          <t>Operations Analyst</t>
        </is>
      </c>
      <c r="H55" s="5" t="inlineStr">
        <is>
          <t>3</t>
        </is>
      </c>
      <c r="I55" s="5" t="inlineStr">
        <is>
          <t>Bengaluru</t>
        </is>
      </c>
      <c r="J55" s="5" t="inlineStr">
        <is>
          <t>Part-Time</t>
        </is>
      </c>
      <c r="K55" s="7" t="n">
        <v>44585</v>
      </c>
      <c r="L55" s="7" t="inlineStr"/>
      <c r="M55" s="5" t="inlineStr">
        <is>
          <t>Yes</t>
        </is>
      </c>
      <c r="N55" s="5" t="inlineStr"/>
      <c r="O55" s="8" t="inlineStr">
        <is>
          <t>112500</t>
        </is>
      </c>
      <c r="P55" s="5" t="inlineStr">
        <is>
          <t>5</t>
        </is>
      </c>
      <c r="Q55" s="5" t="inlineStr">
        <is>
          <t>3</t>
        </is>
      </c>
      <c r="R55" s="5" t="inlineStr">
        <is>
          <t>4</t>
        </is>
      </c>
      <c r="S55" s="5" t="inlineStr">
        <is>
          <t>47</t>
        </is>
      </c>
      <c r="T55" s="5" t="inlineStr">
        <is>
          <t>4</t>
        </is>
      </c>
      <c r="U55" s="5">
        <f>IFS(C55&lt;30,"Under 30",C55&lt;40,"30-39",C55&lt;50,"40-49",TRUE,"50+")</f>
        <v/>
      </c>
      <c r="V55" s="5">
        <f>IFS(O55&lt;60000,"Low (&lt;60k)",O55&lt;100000,"Mid (60-100k)",TRUE,"High (100k+)")</f>
        <v/>
      </c>
      <c r="W55" s="5">
        <f>IF(M55="No","Attrited","Active")</f>
        <v/>
      </c>
    </row>
    <row r="56">
      <c r="A56" s="5" t="inlineStr">
        <is>
          <t>E00055</t>
        </is>
      </c>
      <c r="B56" s="5" t="inlineStr">
        <is>
          <t>Male</t>
        </is>
      </c>
      <c r="C56" s="6" t="inlineStr">
        <is>
          <t>32</t>
        </is>
      </c>
      <c r="D56" s="5" t="inlineStr">
        <is>
          <t>Married</t>
        </is>
      </c>
      <c r="E56" s="5" t="inlineStr">
        <is>
          <t>Master</t>
        </is>
      </c>
      <c r="F56" s="5" t="inlineStr">
        <is>
          <t>Customer Support</t>
        </is>
      </c>
      <c r="G56" s="5" t="inlineStr">
        <is>
          <t>Escalation Specialist</t>
        </is>
      </c>
      <c r="H56" s="5" t="inlineStr">
        <is>
          <t>3</t>
        </is>
      </c>
      <c r="I56" s="5" t="inlineStr">
        <is>
          <t>Hyderabad</t>
        </is>
      </c>
      <c r="J56" s="5" t="inlineStr">
        <is>
          <t>Full-Time</t>
        </is>
      </c>
      <c r="K56" s="7" t="n">
        <v>44925</v>
      </c>
      <c r="L56" s="7" t="n">
        <v>45044</v>
      </c>
      <c r="M56" s="5" t="inlineStr">
        <is>
          <t>No</t>
        </is>
      </c>
      <c r="N56" s="5" t="inlineStr">
        <is>
          <t>Resigned</t>
        </is>
      </c>
      <c r="O56" s="8" t="inlineStr">
        <is>
          <t>69000</t>
        </is>
      </c>
      <c r="P56" s="5" t="inlineStr">
        <is>
          <t>0</t>
        </is>
      </c>
      <c r="Q56" s="5" t="inlineStr">
        <is>
          <t>4</t>
        </is>
      </c>
      <c r="R56" s="5" t="inlineStr">
        <is>
          <t>2</t>
        </is>
      </c>
      <c r="S56" s="5" t="inlineStr">
        <is>
          <t>3</t>
        </is>
      </c>
      <c r="T56" s="5" t="inlineStr">
        <is>
          <t>4</t>
        </is>
      </c>
      <c r="U56" s="5">
        <f>IFS(C56&lt;30,"Under 30",C56&lt;40,"30-39",C56&lt;50,"40-49",TRUE,"50+")</f>
        <v/>
      </c>
      <c r="V56" s="5">
        <f>IFS(O56&lt;60000,"Low (&lt;60k)",O56&lt;100000,"Mid (60-100k)",TRUE,"High (100k+)")</f>
        <v/>
      </c>
      <c r="W56" s="5">
        <f>IF(M56="No","Attrited","Active")</f>
        <v/>
      </c>
    </row>
    <row r="57">
      <c r="A57" s="5" t="inlineStr">
        <is>
          <t>E00056</t>
        </is>
      </c>
      <c r="B57" s="5" t="inlineStr">
        <is>
          <t>Female</t>
        </is>
      </c>
      <c r="C57" s="6" t="inlineStr">
        <is>
          <t>25</t>
        </is>
      </c>
      <c r="D57" s="5" t="inlineStr">
        <is>
          <t>Single</t>
        </is>
      </c>
      <c r="E57" s="5" t="inlineStr">
        <is>
          <t>High School</t>
        </is>
      </c>
      <c r="F57" s="5" t="inlineStr">
        <is>
          <t>Customer Support</t>
        </is>
      </c>
      <c r="G57" s="5" t="inlineStr">
        <is>
          <t>Support Lead</t>
        </is>
      </c>
      <c r="H57" s="5" t="inlineStr">
        <is>
          <t>2</t>
        </is>
      </c>
      <c r="I57" s="5" t="inlineStr">
        <is>
          <t>Mumbai</t>
        </is>
      </c>
      <c r="J57" s="5" t="inlineStr">
        <is>
          <t>Full-Time</t>
        </is>
      </c>
      <c r="K57" s="7" t="n">
        <v>44285</v>
      </c>
      <c r="L57" s="7" t="n">
        <v>44369</v>
      </c>
      <c r="M57" s="5" t="inlineStr">
        <is>
          <t>No</t>
        </is>
      </c>
      <c r="N57" s="5" t="inlineStr">
        <is>
          <t>Retirement</t>
        </is>
      </c>
      <c r="O57" s="8" t="inlineStr">
        <is>
          <t>57000</t>
        </is>
      </c>
      <c r="P57" s="5" t="inlineStr">
        <is>
          <t>0</t>
        </is>
      </c>
      <c r="Q57" s="5" t="inlineStr">
        <is>
          <t>3</t>
        </is>
      </c>
      <c r="R57" s="5" t="inlineStr">
        <is>
          <t>9</t>
        </is>
      </c>
      <c r="S57" s="5" t="inlineStr">
        <is>
          <t>2</t>
        </is>
      </c>
      <c r="T57" s="5" t="inlineStr">
        <is>
          <t>9</t>
        </is>
      </c>
      <c r="U57" s="5">
        <f>IFS(C57&lt;30,"Under 30",C57&lt;40,"30-39",C57&lt;50,"40-49",TRUE,"50+")</f>
        <v/>
      </c>
      <c r="V57" s="5">
        <f>IFS(O57&lt;60000,"Low (&lt;60k)",O57&lt;100000,"Mid (60-100k)",TRUE,"High (100k+)")</f>
        <v/>
      </c>
      <c r="W57" s="5">
        <f>IF(M57="No","Attrited","Active")</f>
        <v/>
      </c>
    </row>
    <row r="58">
      <c r="A58" s="5" t="inlineStr">
        <is>
          <t>E00057</t>
        </is>
      </c>
      <c r="B58" s="5" t="inlineStr">
        <is>
          <t>Male</t>
        </is>
      </c>
      <c r="C58" s="6" t="inlineStr">
        <is>
          <t>34</t>
        </is>
      </c>
      <c r="D58" s="5" t="inlineStr">
        <is>
          <t>Married</t>
        </is>
      </c>
      <c r="E58" s="5" t="inlineStr">
        <is>
          <t>Master</t>
        </is>
      </c>
      <c r="F58" s="5" t="inlineStr">
        <is>
          <t>Customer Support</t>
        </is>
      </c>
      <c r="G58" s="5" t="inlineStr">
        <is>
          <t>Escalation Specialist</t>
        </is>
      </c>
      <c r="H58" s="5" t="inlineStr">
        <is>
          <t>4</t>
        </is>
      </c>
      <c r="I58" s="5" t="inlineStr">
        <is>
          <t>Delhi</t>
        </is>
      </c>
      <c r="J58" s="5" t="inlineStr">
        <is>
          <t>Full-Time</t>
        </is>
      </c>
      <c r="K58" s="7" t="n">
        <v>44304</v>
      </c>
      <c r="L58" s="7" t="inlineStr"/>
      <c r="M58" s="5" t="inlineStr">
        <is>
          <t>Yes</t>
        </is>
      </c>
      <c r="N58" s="5" t="inlineStr"/>
      <c r="O58" s="8" t="inlineStr">
        <is>
          <t>83500</t>
        </is>
      </c>
      <c r="P58" s="5" t="inlineStr">
        <is>
          <t>15</t>
        </is>
      </c>
      <c r="Q58" s="5" t="inlineStr">
        <is>
          <t>5</t>
        </is>
      </c>
      <c r="R58" s="5" t="inlineStr">
        <is>
          <t>9</t>
        </is>
      </c>
      <c r="S58" s="5" t="inlineStr">
        <is>
          <t>57</t>
        </is>
      </c>
      <c r="T58" s="5" t="inlineStr">
        <is>
          <t>4</t>
        </is>
      </c>
      <c r="U58" s="5">
        <f>IFS(C58&lt;30,"Under 30",C58&lt;40,"30-39",C58&lt;50,"40-49",TRUE,"50+")</f>
        <v/>
      </c>
      <c r="V58" s="5">
        <f>IFS(O58&lt;60000,"Low (&lt;60k)",O58&lt;100000,"Mid (60-100k)",TRUE,"High (100k+)")</f>
        <v/>
      </c>
      <c r="W58" s="5">
        <f>IF(M58="No","Attrited","Active")</f>
        <v/>
      </c>
    </row>
    <row r="59">
      <c r="A59" s="5" t="inlineStr">
        <is>
          <t>E00058</t>
        </is>
      </c>
      <c r="B59" s="5" t="inlineStr">
        <is>
          <t>Male</t>
        </is>
      </c>
      <c r="C59" s="6" t="inlineStr">
        <is>
          <t>26</t>
        </is>
      </c>
      <c r="D59" s="5" t="inlineStr">
        <is>
          <t>Married</t>
        </is>
      </c>
      <c r="E59" s="5" t="inlineStr">
        <is>
          <t>PhD</t>
        </is>
      </c>
      <c r="F59" s="5" t="inlineStr">
        <is>
          <t>Finance</t>
        </is>
      </c>
      <c r="G59" s="5" t="inlineStr">
        <is>
          <t>Credit Analyst</t>
        </is>
      </c>
      <c r="H59" s="5" t="inlineStr">
        <is>
          <t>1</t>
        </is>
      </c>
      <c r="I59" s="5" t="inlineStr">
        <is>
          <t>Chennai</t>
        </is>
      </c>
      <c r="J59" s="5" t="inlineStr">
        <is>
          <t>Full-Time</t>
        </is>
      </c>
      <c r="K59" s="7" t="n">
        <v>45024</v>
      </c>
      <c r="L59" s="7" t="inlineStr"/>
      <c r="M59" s="5" t="inlineStr">
        <is>
          <t>Yes</t>
        </is>
      </c>
      <c r="N59" s="5" t="inlineStr"/>
      <c r="O59" s="8" t="inlineStr">
        <is>
          <t>67500</t>
        </is>
      </c>
      <c r="P59" s="5" t="inlineStr">
        <is>
          <t>10</t>
        </is>
      </c>
      <c r="Q59" s="5" t="inlineStr">
        <is>
          <t>1</t>
        </is>
      </c>
      <c r="R59" s="5" t="inlineStr">
        <is>
          <t>6</t>
        </is>
      </c>
      <c r="S59" s="5" t="inlineStr">
        <is>
          <t>33</t>
        </is>
      </c>
      <c r="T59" s="5" t="inlineStr">
        <is>
          <t>4</t>
        </is>
      </c>
      <c r="U59" s="5">
        <f>IFS(C59&lt;30,"Under 30",C59&lt;40,"30-39",C59&lt;50,"40-49",TRUE,"50+")</f>
        <v/>
      </c>
      <c r="V59" s="5">
        <f>IFS(O59&lt;60000,"Low (&lt;60k)",O59&lt;100000,"Mid (60-100k)",TRUE,"High (100k+)")</f>
        <v/>
      </c>
      <c r="W59" s="5">
        <f>IF(M59="No","Attrited","Active")</f>
        <v/>
      </c>
    </row>
    <row r="60">
      <c r="A60" s="5" t="inlineStr">
        <is>
          <t>E00059</t>
        </is>
      </c>
      <c r="B60" s="5" t="inlineStr">
        <is>
          <t>Male</t>
        </is>
      </c>
      <c r="C60" s="6" t="inlineStr">
        <is>
          <t>30</t>
        </is>
      </c>
      <c r="D60" s="5" t="inlineStr">
        <is>
          <t>Single</t>
        </is>
      </c>
      <c r="E60" s="5" t="inlineStr">
        <is>
          <t>Diploma</t>
        </is>
      </c>
      <c r="F60" s="5" t="inlineStr">
        <is>
          <t>Operations</t>
        </is>
      </c>
      <c r="G60" s="5" t="inlineStr">
        <is>
          <t>Operations Analyst</t>
        </is>
      </c>
      <c r="H60" s="5" t="inlineStr">
        <is>
          <t>3</t>
        </is>
      </c>
      <c r="I60" s="5" t="inlineStr">
        <is>
          <t>Chennai</t>
        </is>
      </c>
      <c r="J60" s="5" t="inlineStr">
        <is>
          <t>Full-Time</t>
        </is>
      </c>
      <c r="K60" s="7" t="n">
        <v>44805</v>
      </c>
      <c r="L60" s="7" t="n">
        <v>44838</v>
      </c>
      <c r="M60" s="5" t="inlineStr">
        <is>
          <t>No</t>
        </is>
      </c>
      <c r="N60" s="5" t="inlineStr">
        <is>
          <t>Retirement</t>
        </is>
      </c>
      <c r="O60" s="8" t="inlineStr">
        <is>
          <t>93000</t>
        </is>
      </c>
      <c r="P60" s="5" t="inlineStr">
        <is>
          <t>0</t>
        </is>
      </c>
      <c r="Q60" s="5" t="inlineStr">
        <is>
          <t>4</t>
        </is>
      </c>
      <c r="R60" s="5" t="inlineStr">
        <is>
          <t>5</t>
        </is>
      </c>
      <c r="S60" s="5" t="inlineStr">
        <is>
          <t>1</t>
        </is>
      </c>
      <c r="T60" s="5" t="inlineStr">
        <is>
          <t>7</t>
        </is>
      </c>
      <c r="U60" s="5">
        <f>IFS(C60&lt;30,"Under 30",C60&lt;40,"30-39",C60&lt;50,"40-49",TRUE,"50+")</f>
        <v/>
      </c>
      <c r="V60" s="5">
        <f>IFS(O60&lt;60000,"Low (&lt;60k)",O60&lt;100000,"Mid (60-100k)",TRUE,"High (100k+)")</f>
        <v/>
      </c>
      <c r="W60" s="5">
        <f>IF(M60="No","Attrited","Active")</f>
        <v/>
      </c>
    </row>
    <row r="61">
      <c r="A61" s="5" t="inlineStr">
        <is>
          <t>E00060</t>
        </is>
      </c>
      <c r="B61" s="5" t="inlineStr">
        <is>
          <t>Male</t>
        </is>
      </c>
      <c r="C61" s="6" t="inlineStr">
        <is>
          <t>35</t>
        </is>
      </c>
      <c r="D61" s="5" t="inlineStr">
        <is>
          <t>Married</t>
        </is>
      </c>
      <c r="E61" s="5" t="inlineStr">
        <is>
          <t>Master</t>
        </is>
      </c>
      <c r="F61" s="5" t="inlineStr">
        <is>
          <t>Operations</t>
        </is>
      </c>
      <c r="G61" s="5" t="inlineStr">
        <is>
          <t>Logistics Coordinator</t>
        </is>
      </c>
      <c r="H61" s="5" t="inlineStr">
        <is>
          <t>2</t>
        </is>
      </c>
      <c r="I61" s="5" t="inlineStr">
        <is>
          <t>Remote</t>
        </is>
      </c>
      <c r="J61" s="5" t="inlineStr">
        <is>
          <t>Full-Time</t>
        </is>
      </c>
      <c r="K61" s="7" t="n">
        <v>44647</v>
      </c>
      <c r="L61" s="7" t="n">
        <v>44748</v>
      </c>
      <c r="M61" s="5" t="inlineStr">
        <is>
          <t>No</t>
        </is>
      </c>
      <c r="N61" s="5" t="inlineStr">
        <is>
          <t>Retirement</t>
        </is>
      </c>
      <c r="O61" s="8" t="inlineStr">
        <is>
          <t>100500</t>
        </is>
      </c>
      <c r="P61" s="5" t="inlineStr">
        <is>
          <t>20</t>
        </is>
      </c>
      <c r="Q61" s="5" t="inlineStr">
        <is>
          <t>4</t>
        </is>
      </c>
      <c r="R61" s="5" t="inlineStr">
        <is>
          <t>6</t>
        </is>
      </c>
      <c r="S61" s="5" t="inlineStr">
        <is>
          <t>3</t>
        </is>
      </c>
      <c r="T61" s="5" t="inlineStr">
        <is>
          <t>6</t>
        </is>
      </c>
      <c r="U61" s="5">
        <f>IFS(C61&lt;30,"Under 30",C61&lt;40,"30-39",C61&lt;50,"40-49",TRUE,"50+")</f>
        <v/>
      </c>
      <c r="V61" s="5">
        <f>IFS(O61&lt;60000,"Low (&lt;60k)",O61&lt;100000,"Mid (60-100k)",TRUE,"High (100k+)")</f>
        <v/>
      </c>
      <c r="W61" s="5">
        <f>IF(M61="No","Attrited","Active")</f>
        <v/>
      </c>
    </row>
    <row r="62">
      <c r="A62" s="5" t="inlineStr">
        <is>
          <t>E00061</t>
        </is>
      </c>
      <c r="B62" s="5" t="inlineStr">
        <is>
          <t>Female</t>
        </is>
      </c>
      <c r="C62" s="6" t="inlineStr">
        <is>
          <t>31</t>
        </is>
      </c>
      <c r="D62" s="5" t="inlineStr">
        <is>
          <t>Married</t>
        </is>
      </c>
      <c r="E62" s="5" t="inlineStr">
        <is>
          <t>Bachelor</t>
        </is>
      </c>
      <c r="F62" s="5" t="inlineStr">
        <is>
          <t>Sales</t>
        </is>
      </c>
      <c r="G62" s="5" t="inlineStr">
        <is>
          <t>Account Executive</t>
        </is>
      </c>
      <c r="H62" s="5" t="inlineStr">
        <is>
          <t>1</t>
        </is>
      </c>
      <c r="I62" s="5" t="inlineStr">
        <is>
          <t>Delhi</t>
        </is>
      </c>
      <c r="J62" s="5" t="inlineStr">
        <is>
          <t>Full-Time</t>
        </is>
      </c>
      <c r="K62" s="7" t="n">
        <v>44441</v>
      </c>
      <c r="L62" s="7" t="inlineStr"/>
      <c r="M62" s="5" t="inlineStr">
        <is>
          <t>Yes</t>
        </is>
      </c>
      <c r="N62" s="5" t="inlineStr"/>
      <c r="O62" s="8" t="inlineStr">
        <is>
          <t>83000</t>
        </is>
      </c>
      <c r="P62" s="5" t="inlineStr">
        <is>
          <t>5</t>
        </is>
      </c>
      <c r="Q62" s="5" t="inlineStr">
        <is>
          <t>3</t>
        </is>
      </c>
      <c r="R62" s="5" t="inlineStr">
        <is>
          <t>8</t>
        </is>
      </c>
      <c r="S62" s="5" t="inlineStr">
        <is>
          <t>52</t>
        </is>
      </c>
      <c r="T62" s="5" t="inlineStr">
        <is>
          <t>6</t>
        </is>
      </c>
      <c r="U62" s="5">
        <f>IFS(C62&lt;30,"Under 30",C62&lt;40,"30-39",C62&lt;50,"40-49",TRUE,"50+")</f>
        <v/>
      </c>
      <c r="V62" s="5">
        <f>IFS(O62&lt;60000,"Low (&lt;60k)",O62&lt;100000,"Mid (60-100k)",TRUE,"High (100k+)")</f>
        <v/>
      </c>
      <c r="W62" s="5">
        <f>IF(M62="No","Attrited","Active")</f>
        <v/>
      </c>
    </row>
    <row r="63">
      <c r="A63" s="5" t="inlineStr">
        <is>
          <t>E00062</t>
        </is>
      </c>
      <c r="B63" s="5" t="inlineStr">
        <is>
          <t>Male</t>
        </is>
      </c>
      <c r="C63" s="6" t="inlineStr">
        <is>
          <t>26</t>
        </is>
      </c>
      <c r="D63" s="5" t="inlineStr">
        <is>
          <t>Divorced</t>
        </is>
      </c>
      <c r="E63" s="5" t="inlineStr">
        <is>
          <t>Bachelor</t>
        </is>
      </c>
      <c r="F63" s="5" t="inlineStr">
        <is>
          <t>Sales</t>
        </is>
      </c>
      <c r="G63" s="5" t="inlineStr">
        <is>
          <t>Sales Executive</t>
        </is>
      </c>
      <c r="H63" s="5" t="inlineStr">
        <is>
          <t>1</t>
        </is>
      </c>
      <c r="I63" s="5" t="inlineStr">
        <is>
          <t>Remote</t>
        </is>
      </c>
      <c r="J63" s="5" t="inlineStr">
        <is>
          <t>Full-Time</t>
        </is>
      </c>
      <c r="K63" s="7" t="n">
        <v>43917</v>
      </c>
      <c r="L63" s="7" t="inlineStr"/>
      <c r="M63" s="5" t="inlineStr">
        <is>
          <t>Yes</t>
        </is>
      </c>
      <c r="N63" s="5" t="inlineStr"/>
      <c r="O63" s="8" t="inlineStr">
        <is>
          <t>68000</t>
        </is>
      </c>
      <c r="P63" s="5" t="inlineStr">
        <is>
          <t>10</t>
        </is>
      </c>
      <c r="Q63" s="5" t="inlineStr">
        <is>
          <t>5</t>
        </is>
      </c>
      <c r="R63" s="5" t="inlineStr">
        <is>
          <t>4</t>
        </is>
      </c>
      <c r="S63" s="5" t="inlineStr">
        <is>
          <t>70</t>
        </is>
      </c>
      <c r="T63" s="5" t="inlineStr">
        <is>
          <t>1</t>
        </is>
      </c>
      <c r="U63" s="5">
        <f>IFS(C63&lt;30,"Under 30",C63&lt;40,"30-39",C63&lt;50,"40-49",TRUE,"50+")</f>
        <v/>
      </c>
      <c r="V63" s="5">
        <f>IFS(O63&lt;60000,"Low (&lt;60k)",O63&lt;100000,"Mid (60-100k)",TRUE,"High (100k+)")</f>
        <v/>
      </c>
      <c r="W63" s="5">
        <f>IF(M63="No","Attrited","Active")</f>
        <v/>
      </c>
    </row>
    <row r="64">
      <c r="A64" s="5" t="inlineStr">
        <is>
          <t>E00063</t>
        </is>
      </c>
      <c r="B64" s="5" t="inlineStr">
        <is>
          <t>Male</t>
        </is>
      </c>
      <c r="C64" s="6" t="inlineStr">
        <is>
          <t>33</t>
        </is>
      </c>
      <c r="D64" s="5" t="inlineStr">
        <is>
          <t>Single</t>
        </is>
      </c>
      <c r="E64" s="5" t="inlineStr">
        <is>
          <t>PhD</t>
        </is>
      </c>
      <c r="F64" s="5" t="inlineStr">
        <is>
          <t>Sales</t>
        </is>
      </c>
      <c r="G64" s="5" t="inlineStr">
        <is>
          <t>Business Development</t>
        </is>
      </c>
      <c r="H64" s="5" t="inlineStr">
        <is>
          <t>1</t>
        </is>
      </c>
      <c r="I64" s="5" t="inlineStr">
        <is>
          <t>Bengaluru</t>
        </is>
      </c>
      <c r="J64" s="5" t="inlineStr">
        <is>
          <t>Full-Time</t>
        </is>
      </c>
      <c r="K64" s="7" t="n">
        <v>44549</v>
      </c>
      <c r="L64" s="7" t="inlineStr"/>
      <c r="M64" s="5" t="inlineStr">
        <is>
          <t>Yes</t>
        </is>
      </c>
      <c r="N64" s="5" t="inlineStr"/>
      <c r="O64" s="8" t="inlineStr">
        <is>
          <t>90500</t>
        </is>
      </c>
      <c r="P64" s="5" t="inlineStr">
        <is>
          <t>0</t>
        </is>
      </c>
      <c r="Q64" s="5" t="inlineStr">
        <is>
          <t>4</t>
        </is>
      </c>
      <c r="R64" s="5" t="inlineStr">
        <is>
          <t>8</t>
        </is>
      </c>
      <c r="S64" s="5" t="inlineStr">
        <is>
          <t>49</t>
        </is>
      </c>
      <c r="T64" s="5" t="inlineStr">
        <is>
          <t>3</t>
        </is>
      </c>
      <c r="U64" s="5">
        <f>IFS(C64&lt;30,"Under 30",C64&lt;40,"30-39",C64&lt;50,"40-49",TRUE,"50+")</f>
        <v/>
      </c>
      <c r="V64" s="5">
        <f>IFS(O64&lt;60000,"Low (&lt;60k)",O64&lt;100000,"Mid (60-100k)",TRUE,"High (100k+)")</f>
        <v/>
      </c>
      <c r="W64" s="5">
        <f>IF(M64="No","Attrited","Active")</f>
        <v/>
      </c>
    </row>
    <row r="65">
      <c r="A65" s="5" t="inlineStr">
        <is>
          <t>E00064</t>
        </is>
      </c>
      <c r="B65" s="5" t="inlineStr">
        <is>
          <t>Female</t>
        </is>
      </c>
      <c r="C65" s="6" t="inlineStr">
        <is>
          <t>32</t>
        </is>
      </c>
      <c r="D65" s="5" t="inlineStr">
        <is>
          <t>Married</t>
        </is>
      </c>
      <c r="E65" s="5" t="inlineStr">
        <is>
          <t>High School</t>
        </is>
      </c>
      <c r="F65" s="5" t="inlineStr">
        <is>
          <t>Operations</t>
        </is>
      </c>
      <c r="G65" s="5" t="inlineStr">
        <is>
          <t>Logistics Coordinator</t>
        </is>
      </c>
      <c r="H65" s="5" t="inlineStr">
        <is>
          <t>1</t>
        </is>
      </c>
      <c r="I65" s="5" t="inlineStr">
        <is>
          <t>Hyderabad</t>
        </is>
      </c>
      <c r="J65" s="5" t="inlineStr">
        <is>
          <t>Full-Time</t>
        </is>
      </c>
      <c r="K65" s="7" t="n">
        <v>44435</v>
      </c>
      <c r="L65" s="7" t="n">
        <v>44472</v>
      </c>
      <c r="M65" s="5" t="inlineStr">
        <is>
          <t>No</t>
        </is>
      </c>
      <c r="N65" s="5" t="inlineStr">
        <is>
          <t>Resigned</t>
        </is>
      </c>
      <c r="O65" s="8" t="inlineStr">
        <is>
          <t>80500</t>
        </is>
      </c>
      <c r="P65" s="5" t="inlineStr">
        <is>
          <t>0</t>
        </is>
      </c>
      <c r="Q65" s="5" t="inlineStr">
        <is>
          <t>3</t>
        </is>
      </c>
      <c r="R65" s="5" t="inlineStr">
        <is>
          <t>7</t>
        </is>
      </c>
      <c r="S65" s="5" t="inlineStr">
        <is>
          <t>1</t>
        </is>
      </c>
      <c r="T65" s="5" t="inlineStr">
        <is>
          <t>12</t>
        </is>
      </c>
      <c r="U65" s="5">
        <f>IFS(C65&lt;30,"Under 30",C65&lt;40,"30-39",C65&lt;50,"40-49",TRUE,"50+")</f>
        <v/>
      </c>
      <c r="V65" s="5">
        <f>IFS(O65&lt;60000,"Low (&lt;60k)",O65&lt;100000,"Mid (60-100k)",TRUE,"High (100k+)")</f>
        <v/>
      </c>
      <c r="W65" s="5">
        <f>IF(M65="No","Attrited","Active")</f>
        <v/>
      </c>
    </row>
    <row r="66">
      <c r="A66" s="5" t="inlineStr">
        <is>
          <t>E00065</t>
        </is>
      </c>
      <c r="B66" s="5" t="inlineStr">
        <is>
          <t>Male</t>
        </is>
      </c>
      <c r="C66" s="6" t="inlineStr">
        <is>
          <t>33</t>
        </is>
      </c>
      <c r="D66" s="5" t="inlineStr">
        <is>
          <t>Single</t>
        </is>
      </c>
      <c r="E66" s="5" t="inlineStr">
        <is>
          <t>Bachelor</t>
        </is>
      </c>
      <c r="F66" s="5" t="inlineStr">
        <is>
          <t>Operations</t>
        </is>
      </c>
      <c r="G66" s="5" t="inlineStr">
        <is>
          <t>Logistics Coordinator</t>
        </is>
      </c>
      <c r="H66" s="5" t="inlineStr">
        <is>
          <t>4</t>
        </is>
      </c>
      <c r="I66" s="5" t="inlineStr">
        <is>
          <t>Remote</t>
        </is>
      </c>
      <c r="J66" s="5" t="inlineStr">
        <is>
          <t>Full-Time</t>
        </is>
      </c>
      <c r="K66" s="7" t="n">
        <v>44952</v>
      </c>
      <c r="L66" s="7" t="inlineStr"/>
      <c r="M66" s="5" t="inlineStr">
        <is>
          <t>Yes</t>
        </is>
      </c>
      <c r="N66" s="5" t="inlineStr"/>
      <c r="O66" s="8" t="inlineStr">
        <is>
          <t>99000</t>
        </is>
      </c>
      <c r="P66" s="5" t="inlineStr">
        <is>
          <t>0</t>
        </is>
      </c>
      <c r="Q66" s="5" t="inlineStr">
        <is>
          <t>3</t>
        </is>
      </c>
      <c r="R66" s="5" t="inlineStr">
        <is>
          <t>6</t>
        </is>
      </c>
      <c r="S66" s="5" t="inlineStr">
        <is>
          <t>35</t>
        </is>
      </c>
      <c r="T66" s="5" t="inlineStr">
        <is>
          <t>0</t>
        </is>
      </c>
      <c r="U66" s="5">
        <f>IFS(C66&lt;30,"Under 30",C66&lt;40,"30-39",C66&lt;50,"40-49",TRUE,"50+")</f>
        <v/>
      </c>
      <c r="V66" s="5">
        <f>IFS(O66&lt;60000,"Low (&lt;60k)",O66&lt;100000,"Mid (60-100k)",TRUE,"High (100k+)")</f>
        <v/>
      </c>
      <c r="W66" s="5">
        <f>IF(M66="No","Attrited","Active")</f>
        <v/>
      </c>
    </row>
    <row r="67">
      <c r="A67" s="5" t="inlineStr">
        <is>
          <t>E00066</t>
        </is>
      </c>
      <c r="B67" s="5" t="inlineStr">
        <is>
          <t>Female</t>
        </is>
      </c>
      <c r="C67" s="6" t="inlineStr">
        <is>
          <t>24</t>
        </is>
      </c>
      <c r="D67" s="5" t="inlineStr">
        <is>
          <t>Married</t>
        </is>
      </c>
      <c r="E67" s="5" t="inlineStr">
        <is>
          <t>Bachelor</t>
        </is>
      </c>
      <c r="F67" s="5" t="inlineStr">
        <is>
          <t>IT</t>
        </is>
      </c>
      <c r="G67" s="5" t="inlineStr">
        <is>
          <t>DevOps Engineer</t>
        </is>
      </c>
      <c r="H67" s="5" t="inlineStr">
        <is>
          <t>1</t>
        </is>
      </c>
      <c r="I67" s="5" t="inlineStr">
        <is>
          <t>Hyderabad</t>
        </is>
      </c>
      <c r="J67" s="5" t="inlineStr">
        <is>
          <t>Full-Time</t>
        </is>
      </c>
      <c r="K67" s="7" t="n">
        <v>45483</v>
      </c>
      <c r="L67" s="7" t="inlineStr"/>
      <c r="M67" s="5" t="inlineStr">
        <is>
          <t>Yes</t>
        </is>
      </c>
      <c r="N67" s="5" t="inlineStr"/>
      <c r="O67" s="8" t="inlineStr">
        <is>
          <t>96000</t>
        </is>
      </c>
      <c r="P67" s="5" t="inlineStr">
        <is>
          <t>5</t>
        </is>
      </c>
      <c r="Q67" s="5" t="inlineStr">
        <is>
          <t>3</t>
        </is>
      </c>
      <c r="R67" s="5" t="inlineStr">
        <is>
          <t>7</t>
        </is>
      </c>
      <c r="S67" s="5" t="inlineStr">
        <is>
          <t>17</t>
        </is>
      </c>
      <c r="T67" s="5" t="inlineStr">
        <is>
          <t>9</t>
        </is>
      </c>
      <c r="U67" s="5">
        <f>IFS(C67&lt;30,"Under 30",C67&lt;40,"30-39",C67&lt;50,"40-49",TRUE,"50+")</f>
        <v/>
      </c>
      <c r="V67" s="5">
        <f>IFS(O67&lt;60000,"Low (&lt;60k)",O67&lt;100000,"Mid (60-100k)",TRUE,"High (100k+)")</f>
        <v/>
      </c>
      <c r="W67" s="5">
        <f>IF(M67="No","Attrited","Active")</f>
        <v/>
      </c>
    </row>
    <row r="68">
      <c r="A68" s="5" t="inlineStr">
        <is>
          <t>E00067</t>
        </is>
      </c>
      <c r="B68" s="5" t="inlineStr">
        <is>
          <t>Female</t>
        </is>
      </c>
      <c r="C68" s="6" t="inlineStr">
        <is>
          <t>32</t>
        </is>
      </c>
      <c r="D68" s="5" t="inlineStr">
        <is>
          <t>Married</t>
        </is>
      </c>
      <c r="E68" s="5" t="inlineStr">
        <is>
          <t>PhD</t>
        </is>
      </c>
      <c r="F68" s="5" t="inlineStr">
        <is>
          <t>Human Resources</t>
        </is>
      </c>
      <c r="G68" s="5" t="inlineStr">
        <is>
          <t>Recruiter</t>
        </is>
      </c>
      <c r="H68" s="5" t="inlineStr">
        <is>
          <t>1</t>
        </is>
      </c>
      <c r="I68" s="5" t="inlineStr">
        <is>
          <t>Bengaluru</t>
        </is>
      </c>
      <c r="J68" s="5" t="inlineStr">
        <is>
          <t>Full-Time</t>
        </is>
      </c>
      <c r="K68" s="7" t="n">
        <v>44824</v>
      </c>
      <c r="L68" s="7" t="inlineStr"/>
      <c r="M68" s="5" t="inlineStr">
        <is>
          <t>Yes</t>
        </is>
      </c>
      <c r="N68" s="5" t="inlineStr"/>
      <c r="O68" s="8" t="inlineStr">
        <is>
          <t>60000</t>
        </is>
      </c>
      <c r="P68" s="5" t="inlineStr">
        <is>
          <t>20</t>
        </is>
      </c>
      <c r="Q68" s="5" t="inlineStr">
        <is>
          <t>5</t>
        </is>
      </c>
      <c r="R68" s="5" t="inlineStr">
        <is>
          <t>5</t>
        </is>
      </c>
      <c r="S68" s="5" t="inlineStr">
        <is>
          <t>39</t>
        </is>
      </c>
      <c r="T68" s="5" t="inlineStr">
        <is>
          <t>17</t>
        </is>
      </c>
      <c r="U68" s="5">
        <f>IFS(C68&lt;30,"Under 30",C68&lt;40,"30-39",C68&lt;50,"40-49",TRUE,"50+")</f>
        <v/>
      </c>
      <c r="V68" s="5">
        <f>IFS(O68&lt;60000,"Low (&lt;60k)",O68&lt;100000,"Mid (60-100k)",TRUE,"High (100k+)")</f>
        <v/>
      </c>
      <c r="W68" s="5">
        <f>IF(M68="No","Attrited","Active")</f>
        <v/>
      </c>
    </row>
    <row r="69">
      <c r="A69" s="5" t="inlineStr">
        <is>
          <t>E00068</t>
        </is>
      </c>
      <c r="B69" s="5" t="inlineStr">
        <is>
          <t>Female</t>
        </is>
      </c>
      <c r="C69" s="6" t="inlineStr">
        <is>
          <t>29</t>
        </is>
      </c>
      <c r="D69" s="5" t="inlineStr">
        <is>
          <t>Married</t>
        </is>
      </c>
      <c r="E69" s="5" t="inlineStr">
        <is>
          <t>PhD</t>
        </is>
      </c>
      <c r="F69" s="5" t="inlineStr">
        <is>
          <t>Customer Support</t>
        </is>
      </c>
      <c r="G69" s="5" t="inlineStr">
        <is>
          <t>Escalation Specialist</t>
        </is>
      </c>
      <c r="H69" s="5" t="inlineStr">
        <is>
          <t>2</t>
        </is>
      </c>
      <c r="I69" s="5" t="inlineStr">
        <is>
          <t>Chennai</t>
        </is>
      </c>
      <c r="J69" s="5" t="inlineStr">
        <is>
          <t>Full-Time</t>
        </is>
      </c>
      <c r="K69" s="7" t="n">
        <v>43979</v>
      </c>
      <c r="L69" s="7" t="inlineStr"/>
      <c r="M69" s="5" t="inlineStr">
        <is>
          <t>Yes</t>
        </is>
      </c>
      <c r="N69" s="5" t="inlineStr"/>
      <c r="O69" s="8" t="inlineStr">
        <is>
          <t>80500</t>
        </is>
      </c>
      <c r="P69" s="5" t="inlineStr">
        <is>
          <t>15</t>
        </is>
      </c>
      <c r="Q69" s="5" t="inlineStr">
        <is>
          <t>5</t>
        </is>
      </c>
      <c r="R69" s="5" t="inlineStr">
        <is>
          <t>6</t>
        </is>
      </c>
      <c r="S69" s="5" t="inlineStr">
        <is>
          <t>68</t>
        </is>
      </c>
      <c r="T69" s="5" t="inlineStr">
        <is>
          <t>15</t>
        </is>
      </c>
      <c r="U69" s="5">
        <f>IFS(C69&lt;30,"Under 30",C69&lt;40,"30-39",C69&lt;50,"40-49",TRUE,"50+")</f>
        <v/>
      </c>
      <c r="V69" s="5">
        <f>IFS(O69&lt;60000,"Low (&lt;60k)",O69&lt;100000,"Mid (60-100k)",TRUE,"High (100k+)")</f>
        <v/>
      </c>
      <c r="W69" s="5">
        <f>IF(M69="No","Attrited","Active")</f>
        <v/>
      </c>
    </row>
    <row r="70">
      <c r="A70" s="5" t="inlineStr">
        <is>
          <t>E00069</t>
        </is>
      </c>
      <c r="B70" s="5" t="inlineStr">
        <is>
          <t>Male</t>
        </is>
      </c>
      <c r="C70" s="6" t="inlineStr">
        <is>
          <t>37</t>
        </is>
      </c>
      <c r="D70" s="5" t="inlineStr">
        <is>
          <t>Married</t>
        </is>
      </c>
      <c r="E70" s="5" t="inlineStr">
        <is>
          <t>Master</t>
        </is>
      </c>
      <c r="F70" s="5" t="inlineStr">
        <is>
          <t>Customer Support</t>
        </is>
      </c>
      <c r="G70" s="5" t="inlineStr">
        <is>
          <t>Support Lead</t>
        </is>
      </c>
      <c r="H70" s="5" t="inlineStr">
        <is>
          <t>4</t>
        </is>
      </c>
      <c r="I70" s="5" t="inlineStr">
        <is>
          <t>Bengaluru</t>
        </is>
      </c>
      <c r="J70" s="5" t="inlineStr">
        <is>
          <t>Full-Time</t>
        </is>
      </c>
      <c r="K70" s="7" t="n">
        <v>45265</v>
      </c>
      <c r="L70" s="7" t="inlineStr"/>
      <c r="M70" s="5" t="inlineStr">
        <is>
          <t>Yes</t>
        </is>
      </c>
      <c r="N70" s="5" t="inlineStr"/>
      <c r="O70" s="8" t="inlineStr">
        <is>
          <t>102500</t>
        </is>
      </c>
      <c r="P70" s="5" t="inlineStr">
        <is>
          <t>15</t>
        </is>
      </c>
      <c r="Q70" s="5" t="inlineStr">
        <is>
          <t>3</t>
        </is>
      </c>
      <c r="R70" s="5" t="inlineStr">
        <is>
          <t>4</t>
        </is>
      </c>
      <c r="S70" s="5" t="inlineStr">
        <is>
          <t>25</t>
        </is>
      </c>
      <c r="T70" s="5" t="inlineStr">
        <is>
          <t>9</t>
        </is>
      </c>
      <c r="U70" s="5">
        <f>IFS(C70&lt;30,"Under 30",C70&lt;40,"30-39",C70&lt;50,"40-49",TRUE,"50+")</f>
        <v/>
      </c>
      <c r="V70" s="5">
        <f>IFS(O70&lt;60000,"Low (&lt;60k)",O70&lt;100000,"Mid (60-100k)",TRUE,"High (100k+)")</f>
        <v/>
      </c>
      <c r="W70" s="5">
        <f>IF(M70="No","Attrited","Active")</f>
        <v/>
      </c>
    </row>
    <row r="71">
      <c r="A71" s="5" t="inlineStr">
        <is>
          <t>E00070</t>
        </is>
      </c>
      <c r="B71" s="5" t="inlineStr">
        <is>
          <t>Male</t>
        </is>
      </c>
      <c r="C71" s="6" t="inlineStr">
        <is>
          <t>32</t>
        </is>
      </c>
      <c r="D71" s="5" t="inlineStr">
        <is>
          <t>Single</t>
        </is>
      </c>
      <c r="E71" s="5" t="inlineStr">
        <is>
          <t>Master</t>
        </is>
      </c>
      <c r="F71" s="5" t="inlineStr">
        <is>
          <t>Finance</t>
        </is>
      </c>
      <c r="G71" s="5" t="inlineStr">
        <is>
          <t>Financial Analyst</t>
        </is>
      </c>
      <c r="H71" s="5" t="inlineStr">
        <is>
          <t>1</t>
        </is>
      </c>
      <c r="I71" s="5" t="inlineStr">
        <is>
          <t>Delhi</t>
        </is>
      </c>
      <c r="J71" s="5" t="inlineStr">
        <is>
          <t>Full-Time</t>
        </is>
      </c>
      <c r="K71" s="7" t="n">
        <v>43950</v>
      </c>
      <c r="L71" s="7" t="inlineStr"/>
      <c r="M71" s="5" t="inlineStr">
        <is>
          <t>Yes</t>
        </is>
      </c>
      <c r="N71" s="5" t="inlineStr"/>
      <c r="O71" s="8" t="inlineStr">
        <is>
          <t>83000</t>
        </is>
      </c>
      <c r="P71" s="5" t="inlineStr">
        <is>
          <t>5</t>
        </is>
      </c>
      <c r="Q71" s="5" t="inlineStr">
        <is>
          <t>3</t>
        </is>
      </c>
      <c r="R71" s="5" t="inlineStr">
        <is>
          <t>7</t>
        </is>
      </c>
      <c r="S71" s="5" t="inlineStr">
        <is>
          <t>69</t>
        </is>
      </c>
      <c r="T71" s="5" t="inlineStr">
        <is>
          <t>5</t>
        </is>
      </c>
      <c r="U71" s="5">
        <f>IFS(C71&lt;30,"Under 30",C71&lt;40,"30-39",C71&lt;50,"40-49",TRUE,"50+")</f>
        <v/>
      </c>
      <c r="V71" s="5">
        <f>IFS(O71&lt;60000,"Low (&lt;60k)",O71&lt;100000,"Mid (60-100k)",TRUE,"High (100k+)")</f>
        <v/>
      </c>
      <c r="W71" s="5">
        <f>IF(M71="No","Attrited","Active")</f>
        <v/>
      </c>
    </row>
    <row r="72">
      <c r="A72" s="5" t="inlineStr">
        <is>
          <t>E00071</t>
        </is>
      </c>
      <c r="B72" s="5" t="inlineStr">
        <is>
          <t>Male</t>
        </is>
      </c>
      <c r="C72" s="6" t="inlineStr">
        <is>
          <t>37</t>
        </is>
      </c>
      <c r="D72" s="5" t="inlineStr">
        <is>
          <t>Married</t>
        </is>
      </c>
      <c r="E72" s="5" t="inlineStr">
        <is>
          <t>Master</t>
        </is>
      </c>
      <c r="F72" s="5" t="inlineStr">
        <is>
          <t>Marketing</t>
        </is>
      </c>
      <c r="G72" s="5" t="inlineStr">
        <is>
          <t>SEO Specialist</t>
        </is>
      </c>
      <c r="H72" s="5" t="inlineStr">
        <is>
          <t>3</t>
        </is>
      </c>
      <c r="I72" s="5" t="inlineStr">
        <is>
          <t>Delhi</t>
        </is>
      </c>
      <c r="J72" s="5" t="inlineStr">
        <is>
          <t>Full-Time</t>
        </is>
      </c>
      <c r="K72" s="7" t="n">
        <v>45704</v>
      </c>
      <c r="L72" s="7" t="n">
        <v>45780</v>
      </c>
      <c r="M72" s="5" t="inlineStr">
        <is>
          <t>No</t>
        </is>
      </c>
      <c r="N72" s="5" t="inlineStr">
        <is>
          <t>Retirement</t>
        </is>
      </c>
      <c r="O72" s="8" t="inlineStr">
        <is>
          <t>111500</t>
        </is>
      </c>
      <c r="P72" s="5" t="inlineStr">
        <is>
          <t>10</t>
        </is>
      </c>
      <c r="Q72" s="5" t="inlineStr">
        <is>
          <t>2</t>
        </is>
      </c>
      <c r="R72" s="5" t="inlineStr">
        <is>
          <t>6</t>
        </is>
      </c>
      <c r="S72" s="5" t="inlineStr">
        <is>
          <t>2</t>
        </is>
      </c>
      <c r="T72" s="5" t="inlineStr">
        <is>
          <t>11</t>
        </is>
      </c>
      <c r="U72" s="5">
        <f>IFS(C72&lt;30,"Under 30",C72&lt;40,"30-39",C72&lt;50,"40-49",TRUE,"50+")</f>
        <v/>
      </c>
      <c r="V72" s="5">
        <f>IFS(O72&lt;60000,"Low (&lt;60k)",O72&lt;100000,"Mid (60-100k)",TRUE,"High (100k+)")</f>
        <v/>
      </c>
      <c r="W72" s="5">
        <f>IF(M72="No","Attrited","Active")</f>
        <v/>
      </c>
    </row>
    <row r="73">
      <c r="A73" s="5" t="inlineStr">
        <is>
          <t>E00072</t>
        </is>
      </c>
      <c r="B73" s="5" t="inlineStr">
        <is>
          <t>Male</t>
        </is>
      </c>
      <c r="C73" s="6" t="inlineStr">
        <is>
          <t>39</t>
        </is>
      </c>
      <c r="D73" s="5" t="inlineStr">
        <is>
          <t>Married</t>
        </is>
      </c>
      <c r="E73" s="5" t="inlineStr">
        <is>
          <t>PhD</t>
        </is>
      </c>
      <c r="F73" s="5" t="inlineStr">
        <is>
          <t>Customer Support</t>
        </is>
      </c>
      <c r="G73" s="5" t="inlineStr">
        <is>
          <t>Support Agent</t>
        </is>
      </c>
      <c r="H73" s="5" t="inlineStr">
        <is>
          <t>5</t>
        </is>
      </c>
      <c r="I73" s="5" t="inlineStr">
        <is>
          <t>Hyderabad</t>
        </is>
      </c>
      <c r="J73" s="5" t="inlineStr">
        <is>
          <t>Full-Time</t>
        </is>
      </c>
      <c r="K73" s="7" t="n">
        <v>44263</v>
      </c>
      <c r="L73" s="7" t="n">
        <v>44362</v>
      </c>
      <c r="M73" s="5" t="inlineStr">
        <is>
          <t>No</t>
        </is>
      </c>
      <c r="N73" s="5" t="inlineStr">
        <is>
          <t>Retirement</t>
        </is>
      </c>
      <c r="O73" s="8" t="inlineStr">
        <is>
          <t>77500</t>
        </is>
      </c>
      <c r="P73" s="5" t="inlineStr">
        <is>
          <t>5</t>
        </is>
      </c>
      <c r="Q73" s="5" t="inlineStr">
        <is>
          <t>5</t>
        </is>
      </c>
      <c r="R73" s="5" t="inlineStr">
        <is>
          <t>5</t>
        </is>
      </c>
      <c r="S73" s="5" t="inlineStr">
        <is>
          <t>3</t>
        </is>
      </c>
      <c r="T73" s="5" t="inlineStr">
        <is>
          <t>9</t>
        </is>
      </c>
      <c r="U73" s="5">
        <f>IFS(C73&lt;30,"Under 30",C73&lt;40,"30-39",C73&lt;50,"40-49",TRUE,"50+")</f>
        <v/>
      </c>
      <c r="V73" s="5">
        <f>IFS(O73&lt;60000,"Low (&lt;60k)",O73&lt;100000,"Mid (60-100k)",TRUE,"High (100k+)")</f>
        <v/>
      </c>
      <c r="W73" s="5">
        <f>IF(M73="No","Attrited","Active")</f>
        <v/>
      </c>
    </row>
    <row r="74">
      <c r="A74" s="5" t="inlineStr">
        <is>
          <t>E00073</t>
        </is>
      </c>
      <c r="B74" s="5" t="inlineStr">
        <is>
          <t>Female</t>
        </is>
      </c>
      <c r="C74" s="6" t="inlineStr">
        <is>
          <t>28</t>
        </is>
      </c>
      <c r="D74" s="5" t="inlineStr">
        <is>
          <t>Married</t>
        </is>
      </c>
      <c r="E74" s="5" t="inlineStr">
        <is>
          <t>Bachelor</t>
        </is>
      </c>
      <c r="F74" s="5" t="inlineStr">
        <is>
          <t>Finance</t>
        </is>
      </c>
      <c r="G74" s="5" t="inlineStr">
        <is>
          <t>Credit Analyst</t>
        </is>
      </c>
      <c r="H74" s="5" t="inlineStr">
        <is>
          <t>3</t>
        </is>
      </c>
      <c r="I74" s="5" t="inlineStr">
        <is>
          <t>Remote</t>
        </is>
      </c>
      <c r="J74" s="5" t="inlineStr">
        <is>
          <t>Full-Time</t>
        </is>
      </c>
      <c r="K74" s="7" t="n">
        <v>44367</v>
      </c>
      <c r="L74" s="7" t="inlineStr"/>
      <c r="M74" s="5" t="inlineStr">
        <is>
          <t>Yes</t>
        </is>
      </c>
      <c r="N74" s="5" t="inlineStr"/>
      <c r="O74" s="8" t="inlineStr">
        <is>
          <t>149000</t>
        </is>
      </c>
      <c r="P74" s="5" t="inlineStr">
        <is>
          <t>5</t>
        </is>
      </c>
      <c r="Q74" s="5" t="inlineStr">
        <is>
          <t>3</t>
        </is>
      </c>
      <c r="R74" s="5" t="inlineStr">
        <is>
          <t>8</t>
        </is>
      </c>
      <c r="S74" s="5" t="inlineStr">
        <is>
          <t>55</t>
        </is>
      </c>
      <c r="T74" s="5" t="inlineStr">
        <is>
          <t>8</t>
        </is>
      </c>
      <c r="U74" s="5">
        <f>IFS(C74&lt;30,"Under 30",C74&lt;40,"30-39",C74&lt;50,"40-49",TRUE,"50+")</f>
        <v/>
      </c>
      <c r="V74" s="5">
        <f>IFS(O74&lt;60000,"Low (&lt;60k)",O74&lt;100000,"Mid (60-100k)",TRUE,"High (100k+)")</f>
        <v/>
      </c>
      <c r="W74" s="5">
        <f>IF(M74="No","Attrited","Active")</f>
        <v/>
      </c>
    </row>
    <row r="75">
      <c r="A75" s="5" t="inlineStr">
        <is>
          <t>E00074</t>
        </is>
      </c>
      <c r="B75" s="5" t="inlineStr">
        <is>
          <t>Male</t>
        </is>
      </c>
      <c r="C75" s="6" t="inlineStr">
        <is>
          <t>27</t>
        </is>
      </c>
      <c r="D75" s="5" t="inlineStr">
        <is>
          <t>Married</t>
        </is>
      </c>
      <c r="E75" s="5" t="inlineStr">
        <is>
          <t>Bachelor</t>
        </is>
      </c>
      <c r="F75" s="5" t="inlineStr">
        <is>
          <t>IT</t>
        </is>
      </c>
      <c r="G75" s="5" t="inlineStr">
        <is>
          <t>Software Engineer</t>
        </is>
      </c>
      <c r="H75" s="5" t="inlineStr">
        <is>
          <t>2</t>
        </is>
      </c>
      <c r="I75" s="5" t="inlineStr">
        <is>
          <t>Delhi</t>
        </is>
      </c>
      <c r="J75" s="5" t="inlineStr">
        <is>
          <t>Full-Time</t>
        </is>
      </c>
      <c r="K75" s="7" t="n">
        <v>45977</v>
      </c>
      <c r="L75" s="7" t="n">
        <v>45992</v>
      </c>
      <c r="M75" s="5" t="inlineStr">
        <is>
          <t>No</t>
        </is>
      </c>
      <c r="N75" s="5" t="inlineStr">
        <is>
          <t>Retirement</t>
        </is>
      </c>
      <c r="O75" s="8" t="inlineStr">
        <is>
          <t>153000</t>
        </is>
      </c>
      <c r="P75" s="5" t="inlineStr">
        <is>
          <t>5</t>
        </is>
      </c>
      <c r="Q75" s="5" t="inlineStr">
        <is>
          <t>1</t>
        </is>
      </c>
      <c r="R75" s="5" t="inlineStr">
        <is>
          <t>8</t>
        </is>
      </c>
      <c r="S75" s="5" t="inlineStr">
        <is>
          <t>1</t>
        </is>
      </c>
      <c r="T75" s="5" t="inlineStr">
        <is>
          <t>12</t>
        </is>
      </c>
      <c r="U75" s="5">
        <f>IFS(C75&lt;30,"Under 30",C75&lt;40,"30-39",C75&lt;50,"40-49",TRUE,"50+")</f>
        <v/>
      </c>
      <c r="V75" s="5">
        <f>IFS(O75&lt;60000,"Low (&lt;60k)",O75&lt;100000,"Mid (60-100k)",TRUE,"High (100k+)")</f>
        <v/>
      </c>
      <c r="W75" s="5">
        <f>IF(M75="No","Attrited","Active")</f>
        <v/>
      </c>
    </row>
    <row r="76">
      <c r="A76" s="5" t="inlineStr">
        <is>
          <t>E00075</t>
        </is>
      </c>
      <c r="B76" s="5" t="inlineStr">
        <is>
          <t>Male</t>
        </is>
      </c>
      <c r="C76" s="6" t="inlineStr">
        <is>
          <t>36</t>
        </is>
      </c>
      <c r="D76" s="5" t="inlineStr">
        <is>
          <t>Married</t>
        </is>
      </c>
      <c r="E76" s="5" t="inlineStr">
        <is>
          <t>Bachelor</t>
        </is>
      </c>
      <c r="F76" s="5" t="inlineStr">
        <is>
          <t>Customer Support</t>
        </is>
      </c>
      <c r="G76" s="5" t="inlineStr">
        <is>
          <t>Support Agent</t>
        </is>
      </c>
      <c r="H76" s="5" t="inlineStr">
        <is>
          <t>3</t>
        </is>
      </c>
      <c r="I76" s="5" t="inlineStr">
        <is>
          <t>Delhi</t>
        </is>
      </c>
      <c r="J76" s="5" t="inlineStr">
        <is>
          <t>Full-Time</t>
        </is>
      </c>
      <c r="K76" s="7" t="n">
        <v>45512</v>
      </c>
      <c r="L76" s="7" t="inlineStr"/>
      <c r="M76" s="5" t="inlineStr">
        <is>
          <t>Yes</t>
        </is>
      </c>
      <c r="N76" s="5" t="inlineStr"/>
      <c r="O76" s="8" t="inlineStr">
        <is>
          <t>63000</t>
        </is>
      </c>
      <c r="P76" s="5" t="inlineStr">
        <is>
          <t>10</t>
        </is>
      </c>
      <c r="Q76" s="5" t="inlineStr">
        <is>
          <t>3</t>
        </is>
      </c>
      <c r="R76" s="5" t="inlineStr">
        <is>
          <t>4</t>
        </is>
      </c>
      <c r="S76" s="5" t="inlineStr">
        <is>
          <t>17</t>
        </is>
      </c>
      <c r="T76" s="5" t="inlineStr">
        <is>
          <t>9</t>
        </is>
      </c>
      <c r="U76" s="5">
        <f>IFS(C76&lt;30,"Under 30",C76&lt;40,"30-39",C76&lt;50,"40-49",TRUE,"50+")</f>
        <v/>
      </c>
      <c r="V76" s="5">
        <f>IFS(O76&lt;60000,"Low (&lt;60k)",O76&lt;100000,"Mid (60-100k)",TRUE,"High (100k+)")</f>
        <v/>
      </c>
      <c r="W76" s="5">
        <f>IF(M76="No","Attrited","Active")</f>
        <v/>
      </c>
    </row>
    <row r="77">
      <c r="A77" s="5" t="inlineStr">
        <is>
          <t>E00076</t>
        </is>
      </c>
      <c r="B77" s="5" t="inlineStr">
        <is>
          <t>Female</t>
        </is>
      </c>
      <c r="C77" s="6" t="inlineStr">
        <is>
          <t>29</t>
        </is>
      </c>
      <c r="D77" s="5" t="inlineStr">
        <is>
          <t>Married</t>
        </is>
      </c>
      <c r="E77" s="5" t="inlineStr">
        <is>
          <t>PhD</t>
        </is>
      </c>
      <c r="F77" s="5" t="inlineStr">
        <is>
          <t>Marketing</t>
        </is>
      </c>
      <c r="G77" s="5" t="inlineStr">
        <is>
          <t>Content Writer</t>
        </is>
      </c>
      <c r="H77" s="5" t="inlineStr">
        <is>
          <t>2</t>
        </is>
      </c>
      <c r="I77" s="5" t="inlineStr">
        <is>
          <t>Mumbai</t>
        </is>
      </c>
      <c r="J77" s="5" t="inlineStr">
        <is>
          <t>Full-Time</t>
        </is>
      </c>
      <c r="K77" s="7" t="n">
        <v>44862</v>
      </c>
      <c r="L77" s="7" t="inlineStr"/>
      <c r="M77" s="5" t="inlineStr">
        <is>
          <t>Yes</t>
        </is>
      </c>
      <c r="N77" s="5" t="inlineStr"/>
      <c r="O77" s="8" t="inlineStr">
        <is>
          <t>74000</t>
        </is>
      </c>
      <c r="P77" s="5" t="inlineStr">
        <is>
          <t>5</t>
        </is>
      </c>
      <c r="Q77" s="5" t="inlineStr">
        <is>
          <t>3</t>
        </is>
      </c>
      <c r="R77" s="5" t="inlineStr">
        <is>
          <t>9</t>
        </is>
      </c>
      <c r="S77" s="5" t="inlineStr">
        <is>
          <t>38</t>
        </is>
      </c>
      <c r="T77" s="5" t="inlineStr">
        <is>
          <t>2</t>
        </is>
      </c>
      <c r="U77" s="5">
        <f>IFS(C77&lt;30,"Under 30",C77&lt;40,"30-39",C77&lt;50,"40-49",TRUE,"50+")</f>
        <v/>
      </c>
      <c r="V77" s="5">
        <f>IFS(O77&lt;60000,"Low (&lt;60k)",O77&lt;100000,"Mid (60-100k)",TRUE,"High (100k+)")</f>
        <v/>
      </c>
      <c r="W77" s="5">
        <f>IF(M77="No","Attrited","Active")</f>
        <v/>
      </c>
    </row>
    <row r="78">
      <c r="A78" s="5" t="inlineStr">
        <is>
          <t>E00077</t>
        </is>
      </c>
      <c r="B78" s="5" t="inlineStr">
        <is>
          <t>Female</t>
        </is>
      </c>
      <c r="C78" s="6" t="inlineStr">
        <is>
          <t>38</t>
        </is>
      </c>
      <c r="D78" s="5" t="inlineStr">
        <is>
          <t>Married</t>
        </is>
      </c>
      <c r="E78" s="5" t="inlineStr">
        <is>
          <t>High School</t>
        </is>
      </c>
      <c r="F78" s="5" t="inlineStr">
        <is>
          <t>Research &amp; Development</t>
        </is>
      </c>
      <c r="G78" s="5" t="inlineStr">
        <is>
          <t>Product Engineer</t>
        </is>
      </c>
      <c r="H78" s="5" t="inlineStr">
        <is>
          <t>3</t>
        </is>
      </c>
      <c r="I78" s="5" t="inlineStr">
        <is>
          <t>Bengaluru</t>
        </is>
      </c>
      <c r="J78" s="5" t="inlineStr">
        <is>
          <t>Part-Time</t>
        </is>
      </c>
      <c r="K78" s="7" t="n">
        <v>43838</v>
      </c>
      <c r="L78" s="7" t="inlineStr"/>
      <c r="M78" s="5" t="inlineStr">
        <is>
          <t>Yes</t>
        </is>
      </c>
      <c r="N78" s="5" t="inlineStr"/>
      <c r="O78" s="8" t="inlineStr">
        <is>
          <t>156500</t>
        </is>
      </c>
      <c r="P78" s="5" t="inlineStr">
        <is>
          <t>5</t>
        </is>
      </c>
      <c r="Q78" s="5" t="inlineStr">
        <is>
          <t>3</t>
        </is>
      </c>
      <c r="R78" s="5" t="inlineStr">
        <is>
          <t>8</t>
        </is>
      </c>
      <c r="S78" s="5" t="inlineStr">
        <is>
          <t>72</t>
        </is>
      </c>
      <c r="T78" s="5" t="inlineStr">
        <is>
          <t>1</t>
        </is>
      </c>
      <c r="U78" s="5">
        <f>IFS(C78&lt;30,"Under 30",C78&lt;40,"30-39",C78&lt;50,"40-49",TRUE,"50+")</f>
        <v/>
      </c>
      <c r="V78" s="5">
        <f>IFS(O78&lt;60000,"Low (&lt;60k)",O78&lt;100000,"Mid (60-100k)",TRUE,"High (100k+)")</f>
        <v/>
      </c>
      <c r="W78" s="5">
        <f>IF(M78="No","Attrited","Active")</f>
        <v/>
      </c>
    </row>
    <row r="79">
      <c r="A79" s="5" t="inlineStr">
        <is>
          <t>E00078</t>
        </is>
      </c>
      <c r="B79" s="5" t="inlineStr">
        <is>
          <t>Male</t>
        </is>
      </c>
      <c r="C79" s="6" t="inlineStr">
        <is>
          <t>36</t>
        </is>
      </c>
      <c r="D79" s="5" t="inlineStr">
        <is>
          <t>Married</t>
        </is>
      </c>
      <c r="E79" s="5" t="inlineStr">
        <is>
          <t>Master</t>
        </is>
      </c>
      <c r="F79" s="5" t="inlineStr">
        <is>
          <t>Sales</t>
        </is>
      </c>
      <c r="G79" s="5" t="inlineStr">
        <is>
          <t>Account Executive</t>
        </is>
      </c>
      <c r="H79" s="5" t="inlineStr">
        <is>
          <t>3</t>
        </is>
      </c>
      <c r="I79" s="5" t="inlineStr">
        <is>
          <t>Delhi</t>
        </is>
      </c>
      <c r="J79" s="5" t="inlineStr">
        <is>
          <t>Full-Time</t>
        </is>
      </c>
      <c r="K79" s="7" t="n">
        <v>45594</v>
      </c>
      <c r="L79" s="7" t="inlineStr"/>
      <c r="M79" s="5" t="inlineStr">
        <is>
          <t>Yes</t>
        </is>
      </c>
      <c r="N79" s="5" t="inlineStr"/>
      <c r="O79" s="8" t="inlineStr">
        <is>
          <t>125500</t>
        </is>
      </c>
      <c r="P79" s="5" t="inlineStr">
        <is>
          <t>10</t>
        </is>
      </c>
      <c r="Q79" s="5" t="inlineStr">
        <is>
          <t>3</t>
        </is>
      </c>
      <c r="R79" s="5" t="inlineStr">
        <is>
          <t>8</t>
        </is>
      </c>
      <c r="S79" s="5" t="inlineStr">
        <is>
          <t>14</t>
        </is>
      </c>
      <c r="T79" s="5" t="inlineStr">
        <is>
          <t>6</t>
        </is>
      </c>
      <c r="U79" s="5">
        <f>IFS(C79&lt;30,"Under 30",C79&lt;40,"30-39",C79&lt;50,"40-49",TRUE,"50+")</f>
        <v/>
      </c>
      <c r="V79" s="5">
        <f>IFS(O79&lt;60000,"Low (&lt;60k)",O79&lt;100000,"Mid (60-100k)",TRUE,"High (100k+)")</f>
        <v/>
      </c>
      <c r="W79" s="5">
        <f>IF(M79="No","Attrited","Active")</f>
        <v/>
      </c>
    </row>
    <row r="80">
      <c r="A80" s="5" t="inlineStr">
        <is>
          <t>E00079</t>
        </is>
      </c>
      <c r="B80" s="5" t="inlineStr">
        <is>
          <t>Female</t>
        </is>
      </c>
      <c r="C80" s="6" t="inlineStr">
        <is>
          <t>35</t>
        </is>
      </c>
      <c r="D80" s="5" t="inlineStr">
        <is>
          <t>Single</t>
        </is>
      </c>
      <c r="E80" s="5" t="inlineStr">
        <is>
          <t>Diploma</t>
        </is>
      </c>
      <c r="F80" s="5" t="inlineStr">
        <is>
          <t>Customer Support</t>
        </is>
      </c>
      <c r="G80" s="5" t="inlineStr">
        <is>
          <t>Support Lead</t>
        </is>
      </c>
      <c r="H80" s="5" t="inlineStr">
        <is>
          <t>3</t>
        </is>
      </c>
      <c r="I80" s="5" t="inlineStr">
        <is>
          <t>Delhi</t>
        </is>
      </c>
      <c r="J80" s="5" t="inlineStr">
        <is>
          <t>Full-Time</t>
        </is>
      </c>
      <c r="K80" s="7" t="n">
        <v>43925</v>
      </c>
      <c r="L80" s="7" t="inlineStr"/>
      <c r="M80" s="5" t="inlineStr">
        <is>
          <t>Yes</t>
        </is>
      </c>
      <c r="N80" s="5" t="inlineStr"/>
      <c r="O80" s="8" t="inlineStr">
        <is>
          <t>66000</t>
        </is>
      </c>
      <c r="P80" s="5" t="inlineStr">
        <is>
          <t>15</t>
        </is>
      </c>
      <c r="Q80" s="5" t="inlineStr">
        <is>
          <t>4</t>
        </is>
      </c>
      <c r="R80" s="5" t="inlineStr">
        <is>
          <t>7</t>
        </is>
      </c>
      <c r="S80" s="5" t="inlineStr">
        <is>
          <t>69</t>
        </is>
      </c>
      <c r="T80" s="5" t="inlineStr">
        <is>
          <t>9</t>
        </is>
      </c>
      <c r="U80" s="5">
        <f>IFS(C80&lt;30,"Under 30",C80&lt;40,"30-39",C80&lt;50,"40-49",TRUE,"50+")</f>
        <v/>
      </c>
      <c r="V80" s="5">
        <f>IFS(O80&lt;60000,"Low (&lt;60k)",O80&lt;100000,"Mid (60-100k)",TRUE,"High (100k+)")</f>
        <v/>
      </c>
      <c r="W80" s="5">
        <f>IF(M80="No","Attrited","Active")</f>
        <v/>
      </c>
    </row>
    <row r="81">
      <c r="A81" s="5" t="inlineStr">
        <is>
          <t>E00080</t>
        </is>
      </c>
      <c r="B81" s="5" t="inlineStr">
        <is>
          <t>Male</t>
        </is>
      </c>
      <c r="C81" s="6" t="inlineStr">
        <is>
          <t>38</t>
        </is>
      </c>
      <c r="D81" s="5" t="inlineStr">
        <is>
          <t>Married</t>
        </is>
      </c>
      <c r="E81" s="5" t="inlineStr">
        <is>
          <t>Diploma</t>
        </is>
      </c>
      <c r="F81" s="5" t="inlineStr">
        <is>
          <t>IT</t>
        </is>
      </c>
      <c r="G81" s="5" t="inlineStr">
        <is>
          <t>Software Engineer</t>
        </is>
      </c>
      <c r="H81" s="5" t="inlineStr">
        <is>
          <t>4</t>
        </is>
      </c>
      <c r="I81" s="5" t="inlineStr">
        <is>
          <t>Delhi</t>
        </is>
      </c>
      <c r="J81" s="5" t="inlineStr">
        <is>
          <t>Contract</t>
        </is>
      </c>
      <c r="K81" s="7" t="n">
        <v>44150</v>
      </c>
      <c r="L81" s="7" t="inlineStr"/>
      <c r="M81" s="5" t="inlineStr">
        <is>
          <t>Yes</t>
        </is>
      </c>
      <c r="N81" s="5" t="inlineStr"/>
      <c r="O81" s="8" t="inlineStr">
        <is>
          <t>177000</t>
        </is>
      </c>
      <c r="P81" s="5" t="inlineStr">
        <is>
          <t>0</t>
        </is>
      </c>
      <c r="Q81" s="5" t="inlineStr">
        <is>
          <t>4</t>
        </is>
      </c>
      <c r="R81" s="5" t="inlineStr">
        <is>
          <t>8</t>
        </is>
      </c>
      <c r="S81" s="5" t="inlineStr">
        <is>
          <t>62</t>
        </is>
      </c>
      <c r="T81" s="5" t="inlineStr">
        <is>
          <t>10</t>
        </is>
      </c>
      <c r="U81" s="5">
        <f>IFS(C81&lt;30,"Under 30",C81&lt;40,"30-39",C81&lt;50,"40-49",TRUE,"50+")</f>
        <v/>
      </c>
      <c r="V81" s="5">
        <f>IFS(O81&lt;60000,"Low (&lt;60k)",O81&lt;100000,"Mid (60-100k)",TRUE,"High (100k+)")</f>
        <v/>
      </c>
      <c r="W81" s="5">
        <f>IF(M81="No","Attrited","Active")</f>
        <v/>
      </c>
    </row>
    <row r="82">
      <c r="A82" s="5" t="inlineStr">
        <is>
          <t>E00081</t>
        </is>
      </c>
      <c r="B82" s="5" t="inlineStr">
        <is>
          <t>Female</t>
        </is>
      </c>
      <c r="C82" s="6" t="inlineStr">
        <is>
          <t>46</t>
        </is>
      </c>
      <c r="D82" s="5" t="inlineStr">
        <is>
          <t>Married</t>
        </is>
      </c>
      <c r="E82" s="5" t="inlineStr">
        <is>
          <t>Bachelor</t>
        </is>
      </c>
      <c r="F82" s="5" t="inlineStr">
        <is>
          <t>Research &amp; Development</t>
        </is>
      </c>
      <c r="G82" s="5" t="inlineStr">
        <is>
          <t>Research Scientist</t>
        </is>
      </c>
      <c r="H82" s="5" t="inlineStr">
        <is>
          <t>7</t>
        </is>
      </c>
      <c r="I82" s="5" t="inlineStr">
        <is>
          <t>Chennai</t>
        </is>
      </c>
      <c r="J82" s="5" t="inlineStr">
        <is>
          <t>Full-Time</t>
        </is>
      </c>
      <c r="K82" s="7" t="n">
        <v>44104</v>
      </c>
      <c r="L82" s="7" t="inlineStr"/>
      <c r="M82" s="5" t="inlineStr">
        <is>
          <t>Yes</t>
        </is>
      </c>
      <c r="N82" s="5" t="inlineStr"/>
      <c r="O82" s="8" t="inlineStr">
        <is>
          <t>274000</t>
        </is>
      </c>
      <c r="P82" s="5" t="inlineStr">
        <is>
          <t>10</t>
        </is>
      </c>
      <c r="Q82" s="5" t="inlineStr">
        <is>
          <t>4</t>
        </is>
      </c>
      <c r="R82" s="5" t="inlineStr">
        <is>
          <t>8</t>
        </is>
      </c>
      <c r="S82" s="5" t="inlineStr">
        <is>
          <t>63</t>
        </is>
      </c>
      <c r="T82" s="5" t="inlineStr">
        <is>
          <t>7</t>
        </is>
      </c>
      <c r="U82" s="5">
        <f>IFS(C82&lt;30,"Under 30",C82&lt;40,"30-39",C82&lt;50,"40-49",TRUE,"50+")</f>
        <v/>
      </c>
      <c r="V82" s="5">
        <f>IFS(O82&lt;60000,"Low (&lt;60k)",O82&lt;100000,"Mid (60-100k)",TRUE,"High (100k+)")</f>
        <v/>
      </c>
      <c r="W82" s="5">
        <f>IF(M82="No","Attrited","Active")</f>
        <v/>
      </c>
    </row>
    <row r="83">
      <c r="A83" s="5" t="inlineStr">
        <is>
          <t>E00082</t>
        </is>
      </c>
      <c r="B83" s="5" t="inlineStr">
        <is>
          <t>Female</t>
        </is>
      </c>
      <c r="C83" s="6" t="inlineStr">
        <is>
          <t>27</t>
        </is>
      </c>
      <c r="D83" s="5" t="inlineStr">
        <is>
          <t>Married</t>
        </is>
      </c>
      <c r="E83" s="5" t="inlineStr">
        <is>
          <t>Master</t>
        </is>
      </c>
      <c r="F83" s="5" t="inlineStr">
        <is>
          <t>Human Resources</t>
        </is>
      </c>
      <c r="G83" s="5" t="inlineStr">
        <is>
          <t>HR Generalist</t>
        </is>
      </c>
      <c r="H83" s="5" t="inlineStr">
        <is>
          <t>2</t>
        </is>
      </c>
      <c r="I83" s="5" t="inlineStr">
        <is>
          <t>Remote</t>
        </is>
      </c>
      <c r="J83" s="5" t="inlineStr">
        <is>
          <t>Full-Time</t>
        </is>
      </c>
      <c r="K83" s="7" t="n">
        <v>45638</v>
      </c>
      <c r="L83" s="7" t="inlineStr"/>
      <c r="M83" s="5" t="inlineStr">
        <is>
          <t>Yes</t>
        </is>
      </c>
      <c r="N83" s="5" t="inlineStr"/>
      <c r="O83" s="8" t="inlineStr">
        <is>
          <t>99000</t>
        </is>
      </c>
      <c r="P83" s="5" t="inlineStr">
        <is>
          <t>0</t>
        </is>
      </c>
      <c r="Q83" s="5" t="inlineStr">
        <is>
          <t>3</t>
        </is>
      </c>
      <c r="R83" s="5" t="inlineStr">
        <is>
          <t>8</t>
        </is>
      </c>
      <c r="S83" s="5" t="inlineStr">
        <is>
          <t>12</t>
        </is>
      </c>
      <c r="T83" s="5" t="inlineStr">
        <is>
          <t>2</t>
        </is>
      </c>
      <c r="U83" s="5">
        <f>IFS(C83&lt;30,"Under 30",C83&lt;40,"30-39",C83&lt;50,"40-49",TRUE,"50+")</f>
        <v/>
      </c>
      <c r="V83" s="5">
        <f>IFS(O83&lt;60000,"Low (&lt;60k)",O83&lt;100000,"Mid (60-100k)",TRUE,"High (100k+)")</f>
        <v/>
      </c>
      <c r="W83" s="5">
        <f>IF(M83="No","Attrited","Active")</f>
        <v/>
      </c>
    </row>
    <row r="84">
      <c r="A84" s="5" t="inlineStr">
        <is>
          <t>E00083</t>
        </is>
      </c>
      <c r="B84" s="5" t="inlineStr">
        <is>
          <t>Female</t>
        </is>
      </c>
      <c r="C84" s="6" t="inlineStr">
        <is>
          <t>30</t>
        </is>
      </c>
      <c r="D84" s="5" t="inlineStr">
        <is>
          <t>Single</t>
        </is>
      </c>
      <c r="E84" s="5" t="inlineStr">
        <is>
          <t>Bachelor</t>
        </is>
      </c>
      <c r="F84" s="5" t="inlineStr">
        <is>
          <t>Customer Support</t>
        </is>
      </c>
      <c r="G84" s="5" t="inlineStr">
        <is>
          <t>Support Lead</t>
        </is>
      </c>
      <c r="H84" s="5" t="inlineStr">
        <is>
          <t>4</t>
        </is>
      </c>
      <c r="I84" s="5" t="inlineStr">
        <is>
          <t>Delhi</t>
        </is>
      </c>
      <c r="J84" s="5" t="inlineStr">
        <is>
          <t>Full-Time</t>
        </is>
      </c>
      <c r="K84" s="7" t="n">
        <v>44432</v>
      </c>
      <c r="L84" s="7" t="inlineStr"/>
      <c r="M84" s="5" t="inlineStr">
        <is>
          <t>Yes</t>
        </is>
      </c>
      <c r="N84" s="5" t="inlineStr"/>
      <c r="O84" s="8" t="inlineStr">
        <is>
          <t>84000</t>
        </is>
      </c>
      <c r="P84" s="5" t="inlineStr">
        <is>
          <t>0</t>
        </is>
      </c>
      <c r="Q84" s="5" t="inlineStr">
        <is>
          <t>4</t>
        </is>
      </c>
      <c r="R84" s="5" t="inlineStr">
        <is>
          <t>5</t>
        </is>
      </c>
      <c r="S84" s="5" t="inlineStr">
        <is>
          <t>53</t>
        </is>
      </c>
      <c r="T84" s="5" t="inlineStr">
        <is>
          <t>8</t>
        </is>
      </c>
      <c r="U84" s="5">
        <f>IFS(C84&lt;30,"Under 30",C84&lt;40,"30-39",C84&lt;50,"40-49",TRUE,"50+")</f>
        <v/>
      </c>
      <c r="V84" s="5">
        <f>IFS(O84&lt;60000,"Low (&lt;60k)",O84&lt;100000,"Mid (60-100k)",TRUE,"High (100k+)")</f>
        <v/>
      </c>
      <c r="W84" s="5">
        <f>IF(M84="No","Attrited","Active")</f>
        <v/>
      </c>
    </row>
    <row r="85">
      <c r="A85" s="5" t="inlineStr">
        <is>
          <t>E00084</t>
        </is>
      </c>
      <c r="B85" s="5" t="inlineStr">
        <is>
          <t>Male</t>
        </is>
      </c>
      <c r="C85" s="6" t="inlineStr">
        <is>
          <t>29</t>
        </is>
      </c>
      <c r="D85" s="5" t="inlineStr">
        <is>
          <t>Married</t>
        </is>
      </c>
      <c r="E85" s="5" t="inlineStr">
        <is>
          <t>High School</t>
        </is>
      </c>
      <c r="F85" s="5" t="inlineStr">
        <is>
          <t>IT</t>
        </is>
      </c>
      <c r="G85" s="5" t="inlineStr">
        <is>
          <t>IT Support</t>
        </is>
      </c>
      <c r="H85" s="5" t="inlineStr">
        <is>
          <t>1</t>
        </is>
      </c>
      <c r="I85" s="5" t="inlineStr">
        <is>
          <t>Bengaluru</t>
        </is>
      </c>
      <c r="J85" s="5" t="inlineStr">
        <is>
          <t>Full-Time</t>
        </is>
      </c>
      <c r="K85" s="7" t="n">
        <v>44253</v>
      </c>
      <c r="L85" s="7" t="inlineStr"/>
      <c r="M85" s="5" t="inlineStr">
        <is>
          <t>Yes</t>
        </is>
      </c>
      <c r="N85" s="5" t="inlineStr"/>
      <c r="O85" s="8" t="inlineStr">
        <is>
          <t>88000</t>
        </is>
      </c>
      <c r="P85" s="5" t="inlineStr">
        <is>
          <t>5</t>
        </is>
      </c>
      <c r="Q85" s="5" t="inlineStr">
        <is>
          <t>5</t>
        </is>
      </c>
      <c r="R85" s="5" t="inlineStr">
        <is>
          <t>6</t>
        </is>
      </c>
      <c r="S85" s="5" t="inlineStr">
        <is>
          <t>58</t>
        </is>
      </c>
      <c r="T85" s="5" t="inlineStr">
        <is>
          <t>5</t>
        </is>
      </c>
      <c r="U85" s="5">
        <f>IFS(C85&lt;30,"Under 30",C85&lt;40,"30-39",C85&lt;50,"40-49",TRUE,"50+")</f>
        <v/>
      </c>
      <c r="V85" s="5">
        <f>IFS(O85&lt;60000,"Low (&lt;60k)",O85&lt;100000,"Mid (60-100k)",TRUE,"High (100k+)")</f>
        <v/>
      </c>
      <c r="W85" s="5">
        <f>IF(M85="No","Attrited","Active")</f>
        <v/>
      </c>
    </row>
    <row r="86">
      <c r="A86" s="5" t="inlineStr">
        <is>
          <t>E00085</t>
        </is>
      </c>
      <c r="B86" s="5" t="inlineStr">
        <is>
          <t>Male</t>
        </is>
      </c>
      <c r="C86" s="6" t="inlineStr">
        <is>
          <t>36</t>
        </is>
      </c>
      <c r="D86" s="5" t="inlineStr">
        <is>
          <t>Married</t>
        </is>
      </c>
      <c r="E86" s="5" t="inlineStr">
        <is>
          <t>PhD</t>
        </is>
      </c>
      <c r="F86" s="5" t="inlineStr">
        <is>
          <t>Customer Support</t>
        </is>
      </c>
      <c r="G86" s="5" t="inlineStr">
        <is>
          <t>Support Agent</t>
        </is>
      </c>
      <c r="H86" s="5" t="inlineStr">
        <is>
          <t>4</t>
        </is>
      </c>
      <c r="I86" s="5" t="inlineStr">
        <is>
          <t>Remote</t>
        </is>
      </c>
      <c r="J86" s="5" t="inlineStr">
        <is>
          <t>Full-Time</t>
        </is>
      </c>
      <c r="K86" s="7" t="n">
        <v>44286</v>
      </c>
      <c r="L86" s="7" t="inlineStr"/>
      <c r="M86" s="5" t="inlineStr">
        <is>
          <t>Yes</t>
        </is>
      </c>
      <c r="N86" s="5" t="inlineStr"/>
      <c r="O86" s="8" t="inlineStr">
        <is>
          <t>68500</t>
        </is>
      </c>
      <c r="P86" s="5" t="inlineStr">
        <is>
          <t>0</t>
        </is>
      </c>
      <c r="Q86" s="5" t="inlineStr">
        <is>
          <t>4</t>
        </is>
      </c>
      <c r="R86" s="5" t="inlineStr">
        <is>
          <t>7</t>
        </is>
      </c>
      <c r="S86" s="5" t="inlineStr">
        <is>
          <t>57</t>
        </is>
      </c>
      <c r="T86" s="5" t="inlineStr">
        <is>
          <t>0</t>
        </is>
      </c>
      <c r="U86" s="5">
        <f>IFS(C86&lt;30,"Under 30",C86&lt;40,"30-39",C86&lt;50,"40-49",TRUE,"50+")</f>
        <v/>
      </c>
      <c r="V86" s="5">
        <f>IFS(O86&lt;60000,"Low (&lt;60k)",O86&lt;100000,"Mid (60-100k)",TRUE,"High (100k+)")</f>
        <v/>
      </c>
      <c r="W86" s="5">
        <f>IF(M86="No","Attrited","Active")</f>
        <v/>
      </c>
    </row>
    <row r="87">
      <c r="A87" s="5" t="inlineStr">
        <is>
          <t>E00086</t>
        </is>
      </c>
      <c r="B87" s="5" t="inlineStr">
        <is>
          <t>Male</t>
        </is>
      </c>
      <c r="C87" s="6" t="inlineStr">
        <is>
          <t>34</t>
        </is>
      </c>
      <c r="D87" s="5" t="inlineStr">
        <is>
          <t>Divorced</t>
        </is>
      </c>
      <c r="E87" s="5" t="inlineStr">
        <is>
          <t>Bachelor</t>
        </is>
      </c>
      <c r="F87" s="5" t="inlineStr">
        <is>
          <t>Operations</t>
        </is>
      </c>
      <c r="G87" s="5" t="inlineStr">
        <is>
          <t>Operations Analyst</t>
        </is>
      </c>
      <c r="H87" s="5" t="inlineStr">
        <is>
          <t>4</t>
        </is>
      </c>
      <c r="I87" s="5" t="inlineStr">
        <is>
          <t>Mumbai</t>
        </is>
      </c>
      <c r="J87" s="5" t="inlineStr">
        <is>
          <t>Full-Time</t>
        </is>
      </c>
      <c r="K87" s="7" t="n">
        <v>45759</v>
      </c>
      <c r="L87" s="7" t="inlineStr"/>
      <c r="M87" s="5" t="inlineStr">
        <is>
          <t>Yes</t>
        </is>
      </c>
      <c r="N87" s="5" t="inlineStr"/>
      <c r="O87" s="8" t="inlineStr">
        <is>
          <t>97000</t>
        </is>
      </c>
      <c r="P87" s="5" t="inlineStr">
        <is>
          <t>20</t>
        </is>
      </c>
      <c r="Q87" s="5" t="inlineStr">
        <is>
          <t>4</t>
        </is>
      </c>
      <c r="R87" s="5" t="inlineStr">
        <is>
          <t>8</t>
        </is>
      </c>
      <c r="S87" s="5" t="inlineStr">
        <is>
          <t>8</t>
        </is>
      </c>
      <c r="T87" s="5" t="inlineStr">
        <is>
          <t>1</t>
        </is>
      </c>
      <c r="U87" s="5">
        <f>IFS(C87&lt;30,"Under 30",C87&lt;40,"30-39",C87&lt;50,"40-49",TRUE,"50+")</f>
        <v/>
      </c>
      <c r="V87" s="5">
        <f>IFS(O87&lt;60000,"Low (&lt;60k)",O87&lt;100000,"Mid (60-100k)",TRUE,"High (100k+)")</f>
        <v/>
      </c>
      <c r="W87" s="5">
        <f>IF(M87="No","Attrited","Active")</f>
        <v/>
      </c>
    </row>
    <row r="88">
      <c r="A88" s="5" t="inlineStr">
        <is>
          <t>E00087</t>
        </is>
      </c>
      <c r="B88" s="5" t="inlineStr">
        <is>
          <t>Female</t>
        </is>
      </c>
      <c r="C88" s="6" t="inlineStr">
        <is>
          <t>35</t>
        </is>
      </c>
      <c r="D88" s="5" t="inlineStr">
        <is>
          <t>Divorced</t>
        </is>
      </c>
      <c r="E88" s="5" t="inlineStr">
        <is>
          <t>Master</t>
        </is>
      </c>
      <c r="F88" s="5" t="inlineStr">
        <is>
          <t>Operations</t>
        </is>
      </c>
      <c r="G88" s="5" t="inlineStr">
        <is>
          <t>Operations Analyst</t>
        </is>
      </c>
      <c r="H88" s="5" t="inlineStr">
        <is>
          <t>6</t>
        </is>
      </c>
      <c r="I88" s="5" t="inlineStr">
        <is>
          <t>Delhi</t>
        </is>
      </c>
      <c r="J88" s="5" t="inlineStr">
        <is>
          <t>Full-Time</t>
        </is>
      </c>
      <c r="K88" s="7" t="n">
        <v>44961</v>
      </c>
      <c r="L88" s="7" t="inlineStr"/>
      <c r="M88" s="5" t="inlineStr">
        <is>
          <t>Yes</t>
        </is>
      </c>
      <c r="N88" s="5" t="inlineStr"/>
      <c r="O88" s="8" t="inlineStr">
        <is>
          <t>103000</t>
        </is>
      </c>
      <c r="P88" s="5" t="inlineStr">
        <is>
          <t>0</t>
        </is>
      </c>
      <c r="Q88" s="5" t="inlineStr">
        <is>
          <t>3</t>
        </is>
      </c>
      <c r="R88" s="5" t="inlineStr">
        <is>
          <t>4</t>
        </is>
      </c>
      <c r="S88" s="5" t="inlineStr">
        <is>
          <t>35</t>
        </is>
      </c>
      <c r="T88" s="5" t="inlineStr">
        <is>
          <t>12</t>
        </is>
      </c>
      <c r="U88" s="5">
        <f>IFS(C88&lt;30,"Under 30",C88&lt;40,"30-39",C88&lt;50,"40-49",TRUE,"50+")</f>
        <v/>
      </c>
      <c r="V88" s="5">
        <f>IFS(O88&lt;60000,"Low (&lt;60k)",O88&lt;100000,"Mid (60-100k)",TRUE,"High (100k+)")</f>
        <v/>
      </c>
      <c r="W88" s="5">
        <f>IF(M88="No","Attrited","Active")</f>
        <v/>
      </c>
    </row>
    <row r="89">
      <c r="A89" s="5" t="inlineStr">
        <is>
          <t>E00088</t>
        </is>
      </c>
      <c r="B89" s="5" t="inlineStr">
        <is>
          <t>Male</t>
        </is>
      </c>
      <c r="C89" s="6" t="inlineStr">
        <is>
          <t>34</t>
        </is>
      </c>
      <c r="D89" s="5" t="inlineStr">
        <is>
          <t>Divorced</t>
        </is>
      </c>
      <c r="E89" s="5" t="inlineStr">
        <is>
          <t>High School</t>
        </is>
      </c>
      <c r="F89" s="5" t="inlineStr">
        <is>
          <t>IT</t>
        </is>
      </c>
      <c r="G89" s="5" t="inlineStr">
        <is>
          <t>DevOps Engineer</t>
        </is>
      </c>
      <c r="H89" s="5" t="inlineStr">
        <is>
          <t>1</t>
        </is>
      </c>
      <c r="I89" s="5" t="inlineStr">
        <is>
          <t>Delhi</t>
        </is>
      </c>
      <c r="J89" s="5" t="inlineStr">
        <is>
          <t>Full-Time</t>
        </is>
      </c>
      <c r="K89" s="7" t="n">
        <v>45792</v>
      </c>
      <c r="L89" s="7" t="inlineStr"/>
      <c r="M89" s="5" t="inlineStr">
        <is>
          <t>Yes</t>
        </is>
      </c>
      <c r="N89" s="5" t="inlineStr"/>
      <c r="O89" s="8" t="inlineStr">
        <is>
          <t>88000</t>
        </is>
      </c>
      <c r="P89" s="5" t="inlineStr">
        <is>
          <t>0</t>
        </is>
      </c>
      <c r="Q89" s="5" t="inlineStr">
        <is>
          <t>5</t>
        </is>
      </c>
      <c r="R89" s="5" t="inlineStr">
        <is>
          <t>7</t>
        </is>
      </c>
      <c r="S89" s="5" t="inlineStr">
        <is>
          <t>7</t>
        </is>
      </c>
      <c r="T89" s="5" t="inlineStr">
        <is>
          <t>6</t>
        </is>
      </c>
      <c r="U89" s="5">
        <f>IFS(C89&lt;30,"Under 30",C89&lt;40,"30-39",C89&lt;50,"40-49",TRUE,"50+")</f>
        <v/>
      </c>
      <c r="V89" s="5">
        <f>IFS(O89&lt;60000,"Low (&lt;60k)",O89&lt;100000,"Mid (60-100k)",TRUE,"High (100k+)")</f>
        <v/>
      </c>
      <c r="W89" s="5">
        <f>IF(M89="No","Attrited","Active")</f>
        <v/>
      </c>
    </row>
    <row r="90">
      <c r="A90" s="5" t="inlineStr">
        <is>
          <t>E00089</t>
        </is>
      </c>
      <c r="B90" s="5" t="inlineStr">
        <is>
          <t>Female</t>
        </is>
      </c>
      <c r="C90" s="6" t="inlineStr">
        <is>
          <t>30</t>
        </is>
      </c>
      <c r="D90" s="5" t="inlineStr">
        <is>
          <t>Divorced</t>
        </is>
      </c>
      <c r="E90" s="5" t="inlineStr">
        <is>
          <t>Master</t>
        </is>
      </c>
      <c r="F90" s="5" t="inlineStr">
        <is>
          <t>IT</t>
        </is>
      </c>
      <c r="G90" s="5" t="inlineStr">
        <is>
          <t>DevOps Engineer</t>
        </is>
      </c>
      <c r="H90" s="5" t="inlineStr">
        <is>
          <t>1</t>
        </is>
      </c>
      <c r="I90" s="5" t="inlineStr">
        <is>
          <t>Remote</t>
        </is>
      </c>
      <c r="J90" s="5" t="inlineStr">
        <is>
          <t>Full-Time</t>
        </is>
      </c>
      <c r="K90" s="7" t="n">
        <v>45121</v>
      </c>
      <c r="L90" s="7" t="inlineStr"/>
      <c r="M90" s="5" t="inlineStr">
        <is>
          <t>Yes</t>
        </is>
      </c>
      <c r="N90" s="5" t="inlineStr"/>
      <c r="O90" s="8" t="inlineStr">
        <is>
          <t>122500</t>
        </is>
      </c>
      <c r="P90" s="5" t="inlineStr">
        <is>
          <t>0</t>
        </is>
      </c>
      <c r="Q90" s="5" t="inlineStr">
        <is>
          <t>5</t>
        </is>
      </c>
      <c r="R90" s="5" t="inlineStr">
        <is>
          <t>7</t>
        </is>
      </c>
      <c r="S90" s="5" t="inlineStr">
        <is>
          <t>30</t>
        </is>
      </c>
      <c r="T90" s="5" t="inlineStr">
        <is>
          <t>0</t>
        </is>
      </c>
      <c r="U90" s="5">
        <f>IFS(C90&lt;30,"Under 30",C90&lt;40,"30-39",C90&lt;50,"40-49",TRUE,"50+")</f>
        <v/>
      </c>
      <c r="V90" s="5">
        <f>IFS(O90&lt;60000,"Low (&lt;60k)",O90&lt;100000,"Mid (60-100k)",TRUE,"High (100k+)")</f>
        <v/>
      </c>
      <c r="W90" s="5">
        <f>IF(M90="No","Attrited","Active")</f>
        <v/>
      </c>
    </row>
    <row r="91">
      <c r="A91" s="5" t="inlineStr">
        <is>
          <t>E00090</t>
        </is>
      </c>
      <c r="B91" s="5" t="inlineStr">
        <is>
          <t>Male</t>
        </is>
      </c>
      <c r="C91" s="6" t="inlineStr">
        <is>
          <t>30</t>
        </is>
      </c>
      <c r="D91" s="5" t="inlineStr">
        <is>
          <t>Married</t>
        </is>
      </c>
      <c r="E91" s="5" t="inlineStr">
        <is>
          <t>High School</t>
        </is>
      </c>
      <c r="F91" s="5" t="inlineStr">
        <is>
          <t>Finance</t>
        </is>
      </c>
      <c r="G91" s="5" t="inlineStr">
        <is>
          <t>Credit Analyst</t>
        </is>
      </c>
      <c r="H91" s="5" t="inlineStr">
        <is>
          <t>2</t>
        </is>
      </c>
      <c r="I91" s="5" t="inlineStr">
        <is>
          <t>Hyderabad</t>
        </is>
      </c>
      <c r="J91" s="5" t="inlineStr">
        <is>
          <t>Full-Time</t>
        </is>
      </c>
      <c r="K91" s="7" t="n">
        <v>45587</v>
      </c>
      <c r="L91" s="7" t="inlineStr"/>
      <c r="M91" s="5" t="inlineStr">
        <is>
          <t>Yes</t>
        </is>
      </c>
      <c r="N91" s="5" t="inlineStr"/>
      <c r="O91" s="8" t="inlineStr">
        <is>
          <t>120000</t>
        </is>
      </c>
      <c r="P91" s="5" t="inlineStr">
        <is>
          <t>5</t>
        </is>
      </c>
      <c r="Q91" s="5" t="inlineStr">
        <is>
          <t>3</t>
        </is>
      </c>
      <c r="R91" s="5" t="inlineStr">
        <is>
          <t>8</t>
        </is>
      </c>
      <c r="S91" s="5" t="inlineStr">
        <is>
          <t>14</t>
        </is>
      </c>
      <c r="T91" s="5" t="inlineStr">
        <is>
          <t>3</t>
        </is>
      </c>
      <c r="U91" s="5">
        <f>IFS(C91&lt;30,"Under 30",C91&lt;40,"30-39",C91&lt;50,"40-49",TRUE,"50+")</f>
        <v/>
      </c>
      <c r="V91" s="5">
        <f>IFS(O91&lt;60000,"Low (&lt;60k)",O91&lt;100000,"Mid (60-100k)",TRUE,"High (100k+)")</f>
        <v/>
      </c>
      <c r="W91" s="5">
        <f>IF(M91="No","Attrited","Active")</f>
        <v/>
      </c>
    </row>
    <row r="92">
      <c r="A92" s="5" t="inlineStr">
        <is>
          <t>E00091</t>
        </is>
      </c>
      <c r="B92" s="5" t="inlineStr">
        <is>
          <t>Male</t>
        </is>
      </c>
      <c r="C92" s="6" t="inlineStr">
        <is>
          <t>27</t>
        </is>
      </c>
      <c r="D92" s="5" t="inlineStr">
        <is>
          <t>Married</t>
        </is>
      </c>
      <c r="E92" s="5" t="inlineStr">
        <is>
          <t>Diploma</t>
        </is>
      </c>
      <c r="F92" s="5" t="inlineStr">
        <is>
          <t>Research &amp; Development</t>
        </is>
      </c>
      <c r="G92" s="5" t="inlineStr">
        <is>
          <t>Research Scientist</t>
        </is>
      </c>
      <c r="H92" s="5" t="inlineStr">
        <is>
          <t>3</t>
        </is>
      </c>
      <c r="I92" s="5" t="inlineStr">
        <is>
          <t>Hyderabad</t>
        </is>
      </c>
      <c r="J92" s="5" t="inlineStr">
        <is>
          <t>Part-Time</t>
        </is>
      </c>
      <c r="K92" s="7" t="n">
        <v>45738</v>
      </c>
      <c r="L92" s="7" t="n">
        <v>45842</v>
      </c>
      <c r="M92" s="5" t="inlineStr">
        <is>
          <t>No</t>
        </is>
      </c>
      <c r="N92" s="5" t="inlineStr">
        <is>
          <t>Resigned</t>
        </is>
      </c>
      <c r="O92" s="8" t="inlineStr">
        <is>
          <t>205000</t>
        </is>
      </c>
      <c r="P92" s="5" t="inlineStr">
        <is>
          <t>15</t>
        </is>
      </c>
      <c r="Q92" s="5" t="inlineStr">
        <is>
          <t>4</t>
        </is>
      </c>
      <c r="R92" s="5" t="inlineStr">
        <is>
          <t>7</t>
        </is>
      </c>
      <c r="S92" s="5" t="inlineStr">
        <is>
          <t>3</t>
        </is>
      </c>
      <c r="T92" s="5" t="inlineStr">
        <is>
          <t>0</t>
        </is>
      </c>
      <c r="U92" s="5">
        <f>IFS(C92&lt;30,"Under 30",C92&lt;40,"30-39",C92&lt;50,"40-49",TRUE,"50+")</f>
        <v/>
      </c>
      <c r="V92" s="5">
        <f>IFS(O92&lt;60000,"Low (&lt;60k)",O92&lt;100000,"Mid (60-100k)",TRUE,"High (100k+)")</f>
        <v/>
      </c>
      <c r="W92" s="5">
        <f>IF(M92="No","Attrited","Active")</f>
        <v/>
      </c>
    </row>
    <row r="93">
      <c r="A93" s="5" t="inlineStr">
        <is>
          <t>E00092</t>
        </is>
      </c>
      <c r="B93" s="5" t="inlineStr">
        <is>
          <t>Male</t>
        </is>
      </c>
      <c r="C93" s="6" t="inlineStr">
        <is>
          <t>42</t>
        </is>
      </c>
      <c r="D93" s="5" t="inlineStr">
        <is>
          <t>Married</t>
        </is>
      </c>
      <c r="E93" s="5" t="inlineStr">
        <is>
          <t>PhD</t>
        </is>
      </c>
      <c r="F93" s="5" t="inlineStr">
        <is>
          <t>Sales</t>
        </is>
      </c>
      <c r="G93" s="5" t="inlineStr">
        <is>
          <t>Account Executive</t>
        </is>
      </c>
      <c r="H93" s="5" t="inlineStr">
        <is>
          <t>7</t>
        </is>
      </c>
      <c r="I93" s="5" t="inlineStr">
        <is>
          <t>Bengaluru</t>
        </is>
      </c>
      <c r="J93" s="5" t="inlineStr">
        <is>
          <t>Full-Time</t>
        </is>
      </c>
      <c r="K93" s="7" t="n">
        <v>44754</v>
      </c>
      <c r="L93" s="7" t="inlineStr"/>
      <c r="M93" s="5" t="inlineStr">
        <is>
          <t>Yes</t>
        </is>
      </c>
      <c r="N93" s="5" t="inlineStr"/>
      <c r="O93" s="8" t="inlineStr">
        <is>
          <t>154500</t>
        </is>
      </c>
      <c r="P93" s="5" t="inlineStr">
        <is>
          <t>0</t>
        </is>
      </c>
      <c r="Q93" s="5" t="inlineStr">
        <is>
          <t>5</t>
        </is>
      </c>
      <c r="R93" s="5" t="inlineStr">
        <is>
          <t>7</t>
        </is>
      </c>
      <c r="S93" s="5" t="inlineStr">
        <is>
          <t>42</t>
        </is>
      </c>
      <c r="T93" s="5" t="inlineStr">
        <is>
          <t>6</t>
        </is>
      </c>
      <c r="U93" s="5">
        <f>IFS(C93&lt;30,"Under 30",C93&lt;40,"30-39",C93&lt;50,"40-49",TRUE,"50+")</f>
        <v/>
      </c>
      <c r="V93" s="5">
        <f>IFS(O93&lt;60000,"Low (&lt;60k)",O93&lt;100000,"Mid (60-100k)",TRUE,"High (100k+)")</f>
        <v/>
      </c>
      <c r="W93" s="5">
        <f>IF(M93="No","Attrited","Active")</f>
        <v/>
      </c>
    </row>
    <row r="94">
      <c r="A94" s="5" t="inlineStr">
        <is>
          <t>E00093</t>
        </is>
      </c>
      <c r="B94" s="5" t="inlineStr">
        <is>
          <t>Female</t>
        </is>
      </c>
      <c r="C94" s="6" t="inlineStr">
        <is>
          <t>31</t>
        </is>
      </c>
      <c r="D94" s="5" t="inlineStr">
        <is>
          <t>Married</t>
        </is>
      </c>
      <c r="E94" s="5" t="inlineStr">
        <is>
          <t>Bachelor</t>
        </is>
      </c>
      <c r="F94" s="5" t="inlineStr">
        <is>
          <t>IT</t>
        </is>
      </c>
      <c r="G94" s="5" t="inlineStr">
        <is>
          <t>IT Support</t>
        </is>
      </c>
      <c r="H94" s="5" t="inlineStr">
        <is>
          <t>2</t>
        </is>
      </c>
      <c r="I94" s="5" t="inlineStr">
        <is>
          <t>Remote</t>
        </is>
      </c>
      <c r="J94" s="5" t="inlineStr">
        <is>
          <t>Full-Time</t>
        </is>
      </c>
      <c r="K94" s="7" t="n">
        <v>44565</v>
      </c>
      <c r="L94" s="7" t="inlineStr"/>
      <c r="M94" s="5" t="inlineStr">
        <is>
          <t>Yes</t>
        </is>
      </c>
      <c r="N94" s="5" t="inlineStr"/>
      <c r="O94" s="8" t="inlineStr">
        <is>
          <t>160500</t>
        </is>
      </c>
      <c r="P94" s="5" t="inlineStr">
        <is>
          <t>5</t>
        </is>
      </c>
      <c r="Q94" s="5" t="inlineStr">
        <is>
          <t>4</t>
        </is>
      </c>
      <c r="R94" s="5" t="inlineStr">
        <is>
          <t>7</t>
        </is>
      </c>
      <c r="S94" s="5" t="inlineStr">
        <is>
          <t>48</t>
        </is>
      </c>
      <c r="T94" s="5" t="inlineStr">
        <is>
          <t>11</t>
        </is>
      </c>
      <c r="U94" s="5">
        <f>IFS(C94&lt;30,"Under 30",C94&lt;40,"30-39",C94&lt;50,"40-49",TRUE,"50+")</f>
        <v/>
      </c>
      <c r="V94" s="5">
        <f>IFS(O94&lt;60000,"Low (&lt;60k)",O94&lt;100000,"Mid (60-100k)",TRUE,"High (100k+)")</f>
        <v/>
      </c>
      <c r="W94" s="5">
        <f>IF(M94="No","Attrited","Active")</f>
        <v/>
      </c>
    </row>
    <row r="95">
      <c r="A95" s="5" t="inlineStr">
        <is>
          <t>E00094</t>
        </is>
      </c>
      <c r="B95" s="5" t="inlineStr">
        <is>
          <t>Male</t>
        </is>
      </c>
      <c r="C95" s="6" t="inlineStr">
        <is>
          <t>36</t>
        </is>
      </c>
      <c r="D95" s="5" t="inlineStr">
        <is>
          <t>Divorced</t>
        </is>
      </c>
      <c r="E95" s="5" t="inlineStr">
        <is>
          <t>PhD</t>
        </is>
      </c>
      <c r="F95" s="5" t="inlineStr">
        <is>
          <t>Sales</t>
        </is>
      </c>
      <c r="G95" s="5" t="inlineStr">
        <is>
          <t>Business Development</t>
        </is>
      </c>
      <c r="H95" s="5" t="inlineStr">
        <is>
          <t>5</t>
        </is>
      </c>
      <c r="I95" s="5" t="inlineStr">
        <is>
          <t>Hyderabad</t>
        </is>
      </c>
      <c r="J95" s="5" t="inlineStr">
        <is>
          <t>Full-Time</t>
        </is>
      </c>
      <c r="K95" s="7" t="n">
        <v>44809</v>
      </c>
      <c r="L95" s="7" t="inlineStr"/>
      <c r="M95" s="5" t="inlineStr">
        <is>
          <t>Yes</t>
        </is>
      </c>
      <c r="N95" s="5" t="inlineStr"/>
      <c r="O95" s="8" t="inlineStr">
        <is>
          <t>129000</t>
        </is>
      </c>
      <c r="P95" s="5" t="inlineStr">
        <is>
          <t>0</t>
        </is>
      </c>
      <c r="Q95" s="5" t="inlineStr">
        <is>
          <t>4</t>
        </is>
      </c>
      <c r="R95" s="5" t="inlineStr">
        <is>
          <t>8</t>
        </is>
      </c>
      <c r="S95" s="5" t="inlineStr">
        <is>
          <t>40</t>
        </is>
      </c>
      <c r="T95" s="5" t="inlineStr">
        <is>
          <t>0</t>
        </is>
      </c>
      <c r="U95" s="5">
        <f>IFS(C95&lt;30,"Under 30",C95&lt;40,"30-39",C95&lt;50,"40-49",TRUE,"50+")</f>
        <v/>
      </c>
      <c r="V95" s="5">
        <f>IFS(O95&lt;60000,"Low (&lt;60k)",O95&lt;100000,"Mid (60-100k)",TRUE,"High (100k+)")</f>
        <v/>
      </c>
      <c r="W95" s="5">
        <f>IF(M95="No","Attrited","Active")</f>
        <v/>
      </c>
    </row>
    <row r="96">
      <c r="A96" s="5" t="inlineStr">
        <is>
          <t>E00095</t>
        </is>
      </c>
      <c r="B96" s="5" t="inlineStr">
        <is>
          <t>Female</t>
        </is>
      </c>
      <c r="C96" s="6" t="inlineStr">
        <is>
          <t>44</t>
        </is>
      </c>
      <c r="D96" s="5" t="inlineStr">
        <is>
          <t>Married</t>
        </is>
      </c>
      <c r="E96" s="5" t="inlineStr">
        <is>
          <t>High School</t>
        </is>
      </c>
      <c r="F96" s="5" t="inlineStr">
        <is>
          <t>Customer Support</t>
        </is>
      </c>
      <c r="G96" s="5" t="inlineStr">
        <is>
          <t>Support Agent</t>
        </is>
      </c>
      <c r="H96" s="5" t="inlineStr">
        <is>
          <t>6</t>
        </is>
      </c>
      <c r="I96" s="5" t="inlineStr">
        <is>
          <t>Hyderabad</t>
        </is>
      </c>
      <c r="J96" s="5" t="inlineStr">
        <is>
          <t>Part-Time</t>
        </is>
      </c>
      <c r="K96" s="7" t="n">
        <v>45741</v>
      </c>
      <c r="L96" s="7" t="n">
        <v>45845</v>
      </c>
      <c r="M96" s="5" t="inlineStr">
        <is>
          <t>No</t>
        </is>
      </c>
      <c r="N96" s="5" t="inlineStr">
        <is>
          <t>Resigned</t>
        </is>
      </c>
      <c r="O96" s="8" t="inlineStr">
        <is>
          <t>119000</t>
        </is>
      </c>
      <c r="P96" s="5" t="inlineStr">
        <is>
          <t>10</t>
        </is>
      </c>
      <c r="Q96" s="5" t="inlineStr">
        <is>
          <t>5</t>
        </is>
      </c>
      <c r="R96" s="5" t="inlineStr">
        <is>
          <t>6</t>
        </is>
      </c>
      <c r="S96" s="5" t="inlineStr">
        <is>
          <t>3</t>
        </is>
      </c>
      <c r="T96" s="5" t="inlineStr">
        <is>
          <t>8</t>
        </is>
      </c>
      <c r="U96" s="5">
        <f>IFS(C96&lt;30,"Under 30",C96&lt;40,"30-39",C96&lt;50,"40-49",TRUE,"50+")</f>
        <v/>
      </c>
      <c r="V96" s="5">
        <f>IFS(O96&lt;60000,"Low (&lt;60k)",O96&lt;100000,"Mid (60-100k)",TRUE,"High (100k+)")</f>
        <v/>
      </c>
      <c r="W96" s="5">
        <f>IF(M96="No","Attrited","Active")</f>
        <v/>
      </c>
    </row>
    <row r="97">
      <c r="A97" s="5" t="inlineStr">
        <is>
          <t>E00096</t>
        </is>
      </c>
      <c r="B97" s="5" t="inlineStr">
        <is>
          <t>Female</t>
        </is>
      </c>
      <c r="C97" s="6" t="inlineStr">
        <is>
          <t>26</t>
        </is>
      </c>
      <c r="D97" s="5" t="inlineStr">
        <is>
          <t>Married</t>
        </is>
      </c>
      <c r="E97" s="5" t="inlineStr">
        <is>
          <t>Bachelor</t>
        </is>
      </c>
      <c r="F97" s="5" t="inlineStr">
        <is>
          <t>Marketing</t>
        </is>
      </c>
      <c r="G97" s="5" t="inlineStr">
        <is>
          <t>SEO Specialist</t>
        </is>
      </c>
      <c r="H97" s="5" t="inlineStr">
        <is>
          <t>2</t>
        </is>
      </c>
      <c r="I97" s="5" t="inlineStr">
        <is>
          <t>Mumbai</t>
        </is>
      </c>
      <c r="J97" s="5" t="inlineStr">
        <is>
          <t>Contract</t>
        </is>
      </c>
      <c r="K97" s="7" t="n">
        <v>45982</v>
      </c>
      <c r="L97" s="7" t="n">
        <v>45997</v>
      </c>
      <c r="M97" s="5" t="inlineStr">
        <is>
          <t>No</t>
        </is>
      </c>
      <c r="N97" s="5" t="inlineStr">
        <is>
          <t>Resigned</t>
        </is>
      </c>
      <c r="O97" s="8" t="inlineStr">
        <is>
          <t>97500</t>
        </is>
      </c>
      <c r="P97" s="5" t="inlineStr">
        <is>
          <t>0</t>
        </is>
      </c>
      <c r="Q97" s="5" t="inlineStr">
        <is>
          <t>3</t>
        </is>
      </c>
      <c r="R97" s="5" t="inlineStr">
        <is>
          <t>6</t>
        </is>
      </c>
      <c r="S97" s="5" t="inlineStr">
        <is>
          <t>1</t>
        </is>
      </c>
      <c r="T97" s="5" t="inlineStr">
        <is>
          <t>3</t>
        </is>
      </c>
      <c r="U97" s="5">
        <f>IFS(C97&lt;30,"Under 30",C97&lt;40,"30-39",C97&lt;50,"40-49",TRUE,"50+")</f>
        <v/>
      </c>
      <c r="V97" s="5">
        <f>IFS(O97&lt;60000,"Low (&lt;60k)",O97&lt;100000,"Mid (60-100k)",TRUE,"High (100k+)")</f>
        <v/>
      </c>
      <c r="W97" s="5">
        <f>IF(M97="No","Attrited","Active")</f>
        <v/>
      </c>
    </row>
    <row r="98">
      <c r="A98" s="5" t="inlineStr">
        <is>
          <t>E00097</t>
        </is>
      </c>
      <c r="B98" s="5" t="inlineStr">
        <is>
          <t>Male</t>
        </is>
      </c>
      <c r="C98" s="6" t="inlineStr">
        <is>
          <t>27</t>
        </is>
      </c>
      <c r="D98" s="5" t="inlineStr">
        <is>
          <t>Married</t>
        </is>
      </c>
      <c r="E98" s="5" t="inlineStr">
        <is>
          <t>Diploma</t>
        </is>
      </c>
      <c r="F98" s="5" t="inlineStr">
        <is>
          <t>Sales</t>
        </is>
      </c>
      <c r="G98" s="5" t="inlineStr">
        <is>
          <t>Account Executive</t>
        </is>
      </c>
      <c r="H98" s="5" t="inlineStr">
        <is>
          <t>1</t>
        </is>
      </c>
      <c r="I98" s="5" t="inlineStr">
        <is>
          <t>Bengaluru</t>
        </is>
      </c>
      <c r="J98" s="5" t="inlineStr">
        <is>
          <t>Full-Time</t>
        </is>
      </c>
      <c r="K98" s="7" t="n">
        <v>44917</v>
      </c>
      <c r="L98" s="7" t="inlineStr"/>
      <c r="M98" s="5" t="inlineStr">
        <is>
          <t>Yes</t>
        </is>
      </c>
      <c r="N98" s="5" t="inlineStr"/>
      <c r="O98" s="8" t="inlineStr">
        <is>
          <t>81000</t>
        </is>
      </c>
      <c r="P98" s="5" t="inlineStr">
        <is>
          <t>5</t>
        </is>
      </c>
      <c r="Q98" s="5" t="inlineStr">
        <is>
          <t>5</t>
        </is>
      </c>
      <c r="R98" s="5" t="inlineStr">
        <is>
          <t>5</t>
        </is>
      </c>
      <c r="S98" s="5" t="inlineStr">
        <is>
          <t>36</t>
        </is>
      </c>
      <c r="T98" s="5" t="inlineStr">
        <is>
          <t>4</t>
        </is>
      </c>
      <c r="U98" s="5">
        <f>IFS(C98&lt;30,"Under 30",C98&lt;40,"30-39",C98&lt;50,"40-49",TRUE,"50+")</f>
        <v/>
      </c>
      <c r="V98" s="5">
        <f>IFS(O98&lt;60000,"Low (&lt;60k)",O98&lt;100000,"Mid (60-100k)",TRUE,"High (100k+)")</f>
        <v/>
      </c>
      <c r="W98" s="5">
        <f>IF(M98="No","Attrited","Active")</f>
        <v/>
      </c>
    </row>
    <row r="99">
      <c r="A99" s="5" t="inlineStr">
        <is>
          <t>E00098</t>
        </is>
      </c>
      <c r="B99" s="5" t="inlineStr">
        <is>
          <t>Male</t>
        </is>
      </c>
      <c r="C99" s="6" t="inlineStr">
        <is>
          <t>26</t>
        </is>
      </c>
      <c r="D99" s="5" t="inlineStr">
        <is>
          <t>Divorced</t>
        </is>
      </c>
      <c r="E99" s="5" t="inlineStr">
        <is>
          <t>High School</t>
        </is>
      </c>
      <c r="F99" s="5" t="inlineStr">
        <is>
          <t>Operations</t>
        </is>
      </c>
      <c r="G99" s="5" t="inlineStr">
        <is>
          <t>Operations Analyst</t>
        </is>
      </c>
      <c r="H99" s="5" t="inlineStr">
        <is>
          <t>2</t>
        </is>
      </c>
      <c r="I99" s="5" t="inlineStr">
        <is>
          <t>Remote</t>
        </is>
      </c>
      <c r="J99" s="5" t="inlineStr">
        <is>
          <t>Full-Time</t>
        </is>
      </c>
      <c r="K99" s="7" t="n">
        <v>44922</v>
      </c>
      <c r="L99" s="7" t="n">
        <v>45000</v>
      </c>
      <c r="M99" s="5" t="inlineStr">
        <is>
          <t>No</t>
        </is>
      </c>
      <c r="N99" s="5" t="inlineStr">
        <is>
          <t>Resigned</t>
        </is>
      </c>
      <c r="O99" s="8" t="inlineStr">
        <is>
          <t>91000</t>
        </is>
      </c>
      <c r="P99" s="5" t="inlineStr">
        <is>
          <t>0</t>
        </is>
      </c>
      <c r="Q99" s="5" t="inlineStr">
        <is>
          <t>4</t>
        </is>
      </c>
      <c r="R99" s="5" t="inlineStr">
        <is>
          <t>4</t>
        </is>
      </c>
      <c r="S99" s="5" t="inlineStr">
        <is>
          <t>2</t>
        </is>
      </c>
      <c r="T99" s="5" t="inlineStr">
        <is>
          <t>10</t>
        </is>
      </c>
      <c r="U99" s="5">
        <f>IFS(C99&lt;30,"Under 30",C99&lt;40,"30-39",C99&lt;50,"40-49",TRUE,"50+")</f>
        <v/>
      </c>
      <c r="V99" s="5">
        <f>IFS(O99&lt;60000,"Low (&lt;60k)",O99&lt;100000,"Mid (60-100k)",TRUE,"High (100k+)")</f>
        <v/>
      </c>
      <c r="W99" s="5">
        <f>IF(M99="No","Attrited","Active")</f>
        <v/>
      </c>
    </row>
    <row r="100">
      <c r="A100" s="5" t="inlineStr">
        <is>
          <t>E00099</t>
        </is>
      </c>
      <c r="B100" s="5" t="inlineStr">
        <is>
          <t>Male</t>
        </is>
      </c>
      <c r="C100" s="6" t="inlineStr">
        <is>
          <t>23</t>
        </is>
      </c>
      <c r="D100" s="5" t="inlineStr">
        <is>
          <t>Married</t>
        </is>
      </c>
      <c r="E100" s="5" t="inlineStr">
        <is>
          <t>Diploma</t>
        </is>
      </c>
      <c r="F100" s="5" t="inlineStr">
        <is>
          <t>Sales</t>
        </is>
      </c>
      <c r="G100" s="5" t="inlineStr">
        <is>
          <t>Sales Executive</t>
        </is>
      </c>
      <c r="H100" s="5" t="inlineStr">
        <is>
          <t>1</t>
        </is>
      </c>
      <c r="I100" s="5" t="inlineStr">
        <is>
          <t>Delhi</t>
        </is>
      </c>
      <c r="J100" s="5" t="inlineStr">
        <is>
          <t>Full-Time</t>
        </is>
      </c>
      <c r="K100" s="7" t="n">
        <v>45115</v>
      </c>
      <c r="L100" s="7" t="inlineStr"/>
      <c r="M100" s="5" t="inlineStr">
        <is>
          <t>Yes</t>
        </is>
      </c>
      <c r="N100" s="5" t="inlineStr"/>
      <c r="O100" s="8" t="inlineStr">
        <is>
          <t>68500</t>
        </is>
      </c>
      <c r="P100" s="5" t="inlineStr">
        <is>
          <t>10</t>
        </is>
      </c>
      <c r="Q100" s="5" t="inlineStr">
        <is>
          <t>4</t>
        </is>
      </c>
      <c r="R100" s="5" t="inlineStr">
        <is>
          <t>5</t>
        </is>
      </c>
      <c r="S100" s="5" t="inlineStr">
        <is>
          <t>30</t>
        </is>
      </c>
      <c r="T100" s="5" t="inlineStr">
        <is>
          <t>4</t>
        </is>
      </c>
      <c r="U100" s="5">
        <f>IFS(C100&lt;30,"Under 30",C100&lt;40,"30-39",C100&lt;50,"40-49",TRUE,"50+")</f>
        <v/>
      </c>
      <c r="V100" s="5">
        <f>IFS(O100&lt;60000,"Low (&lt;60k)",O100&lt;100000,"Mid (60-100k)",TRUE,"High (100k+)")</f>
        <v/>
      </c>
      <c r="W100" s="5">
        <f>IF(M100="No","Attrited","Active")</f>
        <v/>
      </c>
    </row>
    <row r="101">
      <c r="A101" s="5" t="inlineStr">
        <is>
          <t>E00100</t>
        </is>
      </c>
      <c r="B101" s="5" t="inlineStr">
        <is>
          <t>Female</t>
        </is>
      </c>
      <c r="C101" s="6" t="inlineStr">
        <is>
          <t>31</t>
        </is>
      </c>
      <c r="D101" s="5" t="inlineStr">
        <is>
          <t>Married</t>
        </is>
      </c>
      <c r="E101" s="5" t="inlineStr">
        <is>
          <t>High School</t>
        </is>
      </c>
      <c r="F101" s="5" t="inlineStr">
        <is>
          <t>Operations</t>
        </is>
      </c>
      <c r="G101" s="5" t="inlineStr">
        <is>
          <t>Operations Analyst</t>
        </is>
      </c>
      <c r="H101" s="5" t="inlineStr">
        <is>
          <t>1</t>
        </is>
      </c>
      <c r="I101" s="5" t="inlineStr">
        <is>
          <t>Bengaluru</t>
        </is>
      </c>
      <c r="J101" s="5" t="inlineStr">
        <is>
          <t>Contract</t>
        </is>
      </c>
      <c r="K101" s="7" t="n">
        <v>45360</v>
      </c>
      <c r="L101" s="7" t="inlineStr"/>
      <c r="M101" s="5" t="inlineStr">
        <is>
          <t>Yes</t>
        </is>
      </c>
      <c r="N101" s="5" t="inlineStr"/>
      <c r="O101" s="8" t="inlineStr">
        <is>
          <t>59000</t>
        </is>
      </c>
      <c r="P101" s="5" t="inlineStr">
        <is>
          <t>5</t>
        </is>
      </c>
      <c r="Q101" s="5" t="inlineStr">
        <is>
          <t>5</t>
        </is>
      </c>
      <c r="R101" s="5" t="inlineStr">
        <is>
          <t>3</t>
        </is>
      </c>
      <c r="S101" s="5" t="inlineStr">
        <is>
          <t>22</t>
        </is>
      </c>
      <c r="T101" s="5" t="inlineStr">
        <is>
          <t>7</t>
        </is>
      </c>
      <c r="U101" s="5">
        <f>IFS(C101&lt;30,"Under 30",C101&lt;40,"30-39",C101&lt;50,"40-49",TRUE,"50+")</f>
        <v/>
      </c>
      <c r="V101" s="5">
        <f>IFS(O101&lt;60000,"Low (&lt;60k)",O101&lt;100000,"Mid (60-100k)",TRUE,"High (100k+)")</f>
        <v/>
      </c>
      <c r="W101" s="5">
        <f>IF(M101="No","Attrited","Active")</f>
        <v/>
      </c>
    </row>
    <row r="102">
      <c r="A102" s="5" t="inlineStr">
        <is>
          <t>E00101</t>
        </is>
      </c>
      <c r="B102" s="5" t="inlineStr">
        <is>
          <t>Male</t>
        </is>
      </c>
      <c r="C102" s="6" t="inlineStr">
        <is>
          <t>25</t>
        </is>
      </c>
      <c r="D102" s="5" t="inlineStr">
        <is>
          <t>Divorced</t>
        </is>
      </c>
      <c r="E102" s="5" t="inlineStr">
        <is>
          <t>Bachelor</t>
        </is>
      </c>
      <c r="F102" s="5" t="inlineStr">
        <is>
          <t>IT</t>
        </is>
      </c>
      <c r="G102" s="5" t="inlineStr">
        <is>
          <t>Software Engineer</t>
        </is>
      </c>
      <c r="H102" s="5" t="inlineStr">
        <is>
          <t>1</t>
        </is>
      </c>
      <c r="I102" s="5" t="inlineStr">
        <is>
          <t>Mumbai</t>
        </is>
      </c>
      <c r="J102" s="5" t="inlineStr">
        <is>
          <t>Full-Time</t>
        </is>
      </c>
      <c r="K102" s="7" t="n">
        <v>45472</v>
      </c>
      <c r="L102" s="7" t="n">
        <v>45563</v>
      </c>
      <c r="M102" s="5" t="inlineStr">
        <is>
          <t>No</t>
        </is>
      </c>
      <c r="N102" s="5" t="inlineStr">
        <is>
          <t>Resigned</t>
        </is>
      </c>
      <c r="O102" s="8" t="inlineStr">
        <is>
          <t>102000</t>
        </is>
      </c>
      <c r="P102" s="5" t="inlineStr">
        <is>
          <t>5</t>
        </is>
      </c>
      <c r="Q102" s="5" t="inlineStr">
        <is>
          <t>2</t>
        </is>
      </c>
      <c r="R102" s="5" t="inlineStr">
        <is>
          <t>2</t>
        </is>
      </c>
      <c r="S102" s="5" t="inlineStr">
        <is>
          <t>3</t>
        </is>
      </c>
      <c r="T102" s="5" t="inlineStr">
        <is>
          <t>4</t>
        </is>
      </c>
      <c r="U102" s="5">
        <f>IFS(C102&lt;30,"Under 30",C102&lt;40,"30-39",C102&lt;50,"40-49",TRUE,"50+")</f>
        <v/>
      </c>
      <c r="V102" s="5">
        <f>IFS(O102&lt;60000,"Low (&lt;60k)",O102&lt;100000,"Mid (60-100k)",TRUE,"High (100k+)")</f>
        <v/>
      </c>
      <c r="W102" s="5">
        <f>IF(M102="No","Attrited","Active")</f>
        <v/>
      </c>
    </row>
    <row r="103">
      <c r="A103" s="5" t="inlineStr">
        <is>
          <t>E00102</t>
        </is>
      </c>
      <c r="B103" s="5" t="inlineStr">
        <is>
          <t>Male</t>
        </is>
      </c>
      <c r="C103" s="6" t="inlineStr">
        <is>
          <t>41</t>
        </is>
      </c>
      <c r="D103" s="5" t="inlineStr">
        <is>
          <t>Married</t>
        </is>
      </c>
      <c r="E103" s="5" t="inlineStr">
        <is>
          <t>High School</t>
        </is>
      </c>
      <c r="F103" s="5" t="inlineStr">
        <is>
          <t>IT</t>
        </is>
      </c>
      <c r="G103" s="5" t="inlineStr">
        <is>
          <t>IT Support</t>
        </is>
      </c>
      <c r="H103" s="5" t="inlineStr">
        <is>
          <t>7</t>
        </is>
      </c>
      <c r="I103" s="5" t="inlineStr">
        <is>
          <t>Chennai</t>
        </is>
      </c>
      <c r="J103" s="5" t="inlineStr">
        <is>
          <t>Part-Time</t>
        </is>
      </c>
      <c r="K103" s="7" t="n">
        <v>45428</v>
      </c>
      <c r="L103" s="7" t="inlineStr"/>
      <c r="M103" s="5" t="inlineStr">
        <is>
          <t>Yes</t>
        </is>
      </c>
      <c r="N103" s="5" t="inlineStr"/>
      <c r="O103" s="8" t="inlineStr">
        <is>
          <t>185500</t>
        </is>
      </c>
      <c r="P103" s="5" t="inlineStr">
        <is>
          <t>0</t>
        </is>
      </c>
      <c r="Q103" s="5" t="inlineStr">
        <is>
          <t>4</t>
        </is>
      </c>
      <c r="R103" s="5" t="inlineStr">
        <is>
          <t>5</t>
        </is>
      </c>
      <c r="S103" s="5" t="inlineStr">
        <is>
          <t>19</t>
        </is>
      </c>
      <c r="T103" s="5" t="inlineStr">
        <is>
          <t>10</t>
        </is>
      </c>
      <c r="U103" s="5">
        <f>IFS(C103&lt;30,"Under 30",C103&lt;40,"30-39",C103&lt;50,"40-49",TRUE,"50+")</f>
        <v/>
      </c>
      <c r="V103" s="5">
        <f>IFS(O103&lt;60000,"Low (&lt;60k)",O103&lt;100000,"Mid (60-100k)",TRUE,"High (100k+)")</f>
        <v/>
      </c>
      <c r="W103" s="5">
        <f>IF(M103="No","Attrited","Active")</f>
        <v/>
      </c>
    </row>
    <row r="104">
      <c r="A104" s="5" t="inlineStr">
        <is>
          <t>E00103</t>
        </is>
      </c>
      <c r="B104" s="5" t="inlineStr">
        <is>
          <t>Male</t>
        </is>
      </c>
      <c r="C104" s="6" t="inlineStr">
        <is>
          <t>38</t>
        </is>
      </c>
      <c r="D104" s="5" t="inlineStr">
        <is>
          <t>Single</t>
        </is>
      </c>
      <c r="E104" s="5" t="inlineStr">
        <is>
          <t>PhD</t>
        </is>
      </c>
      <c r="F104" s="5" t="inlineStr">
        <is>
          <t>Customer Support</t>
        </is>
      </c>
      <c r="G104" s="5" t="inlineStr">
        <is>
          <t>Escalation Specialist</t>
        </is>
      </c>
      <c r="H104" s="5" t="inlineStr">
        <is>
          <t>5</t>
        </is>
      </c>
      <c r="I104" s="5" t="inlineStr">
        <is>
          <t>Delhi</t>
        </is>
      </c>
      <c r="J104" s="5" t="inlineStr">
        <is>
          <t>Full-Time</t>
        </is>
      </c>
      <c r="K104" s="7" t="n">
        <v>44214</v>
      </c>
      <c r="L104" s="7" t="inlineStr"/>
      <c r="M104" s="5" t="inlineStr">
        <is>
          <t>Yes</t>
        </is>
      </c>
      <c r="N104" s="5" t="inlineStr"/>
      <c r="O104" s="8" t="inlineStr">
        <is>
          <t>74500</t>
        </is>
      </c>
      <c r="P104" s="5" t="inlineStr">
        <is>
          <t>10</t>
        </is>
      </c>
      <c r="Q104" s="5" t="inlineStr">
        <is>
          <t>4</t>
        </is>
      </c>
      <c r="R104" s="5" t="inlineStr">
        <is>
          <t>8</t>
        </is>
      </c>
      <c r="S104" s="5" t="inlineStr">
        <is>
          <t>60</t>
        </is>
      </c>
      <c r="T104" s="5" t="inlineStr">
        <is>
          <t>0</t>
        </is>
      </c>
      <c r="U104" s="5">
        <f>IFS(C104&lt;30,"Under 30",C104&lt;40,"30-39",C104&lt;50,"40-49",TRUE,"50+")</f>
        <v/>
      </c>
      <c r="V104" s="5">
        <f>IFS(O104&lt;60000,"Low (&lt;60k)",O104&lt;100000,"Mid (60-100k)",TRUE,"High (100k+)")</f>
        <v/>
      </c>
      <c r="W104" s="5">
        <f>IF(M104="No","Attrited","Active")</f>
        <v/>
      </c>
    </row>
    <row r="105">
      <c r="A105" s="5" t="inlineStr">
        <is>
          <t>E00104</t>
        </is>
      </c>
      <c r="B105" s="5" t="inlineStr">
        <is>
          <t>Male</t>
        </is>
      </c>
      <c r="C105" s="6" t="inlineStr">
        <is>
          <t>38</t>
        </is>
      </c>
      <c r="D105" s="5" t="inlineStr">
        <is>
          <t>Married</t>
        </is>
      </c>
      <c r="E105" s="5" t="inlineStr">
        <is>
          <t>Master</t>
        </is>
      </c>
      <c r="F105" s="5" t="inlineStr">
        <is>
          <t>IT</t>
        </is>
      </c>
      <c r="G105" s="5" t="inlineStr">
        <is>
          <t>Software Engineer</t>
        </is>
      </c>
      <c r="H105" s="5" t="inlineStr">
        <is>
          <t>5</t>
        </is>
      </c>
      <c r="I105" s="5" t="inlineStr">
        <is>
          <t>Delhi</t>
        </is>
      </c>
      <c r="J105" s="5" t="inlineStr">
        <is>
          <t>Full-Time</t>
        </is>
      </c>
      <c r="K105" s="7" t="n">
        <v>44610</v>
      </c>
      <c r="L105" s="7" t="inlineStr"/>
      <c r="M105" s="5" t="inlineStr">
        <is>
          <t>Yes</t>
        </is>
      </c>
      <c r="N105" s="5" t="inlineStr"/>
      <c r="O105" s="8" t="inlineStr">
        <is>
          <t>222500</t>
        </is>
      </c>
      <c r="P105" s="5" t="inlineStr">
        <is>
          <t>0</t>
        </is>
      </c>
      <c r="Q105" s="5" t="inlineStr">
        <is>
          <t>4</t>
        </is>
      </c>
      <c r="R105" s="5" t="inlineStr">
        <is>
          <t>8</t>
        </is>
      </c>
      <c r="S105" s="5" t="inlineStr">
        <is>
          <t>47</t>
        </is>
      </c>
      <c r="T105" s="5" t="inlineStr">
        <is>
          <t>9</t>
        </is>
      </c>
      <c r="U105" s="5">
        <f>IFS(C105&lt;30,"Under 30",C105&lt;40,"30-39",C105&lt;50,"40-49",TRUE,"50+")</f>
        <v/>
      </c>
      <c r="V105" s="5">
        <f>IFS(O105&lt;60000,"Low (&lt;60k)",O105&lt;100000,"Mid (60-100k)",TRUE,"High (100k+)")</f>
        <v/>
      </c>
      <c r="W105" s="5">
        <f>IF(M105="No","Attrited","Active")</f>
        <v/>
      </c>
    </row>
    <row r="106">
      <c r="A106" s="5" t="inlineStr">
        <is>
          <t>E00105</t>
        </is>
      </c>
      <c r="B106" s="5" t="inlineStr">
        <is>
          <t>Female</t>
        </is>
      </c>
      <c r="C106" s="6" t="inlineStr">
        <is>
          <t>33</t>
        </is>
      </c>
      <c r="D106" s="5" t="inlineStr">
        <is>
          <t>Married</t>
        </is>
      </c>
      <c r="E106" s="5" t="inlineStr">
        <is>
          <t>PhD</t>
        </is>
      </c>
      <c r="F106" s="5" t="inlineStr">
        <is>
          <t>Operations</t>
        </is>
      </c>
      <c r="G106" s="5" t="inlineStr">
        <is>
          <t>Logistics Coordinator</t>
        </is>
      </c>
      <c r="H106" s="5" t="inlineStr">
        <is>
          <t>2</t>
        </is>
      </c>
      <c r="I106" s="5" t="inlineStr">
        <is>
          <t>Mumbai</t>
        </is>
      </c>
      <c r="J106" s="5" t="inlineStr">
        <is>
          <t>Full-Time</t>
        </is>
      </c>
      <c r="K106" s="7" t="n">
        <v>45480</v>
      </c>
      <c r="L106" s="7" t="inlineStr"/>
      <c r="M106" s="5" t="inlineStr">
        <is>
          <t>Yes</t>
        </is>
      </c>
      <c r="N106" s="5" t="inlineStr"/>
      <c r="O106" s="8" t="inlineStr">
        <is>
          <t>104000</t>
        </is>
      </c>
      <c r="P106" s="5" t="inlineStr">
        <is>
          <t>0</t>
        </is>
      </c>
      <c r="Q106" s="5" t="inlineStr">
        <is>
          <t>5</t>
        </is>
      </c>
      <c r="R106" s="5" t="inlineStr">
        <is>
          <t>8</t>
        </is>
      </c>
      <c r="S106" s="5" t="inlineStr">
        <is>
          <t>18</t>
        </is>
      </c>
      <c r="T106" s="5" t="inlineStr">
        <is>
          <t>8</t>
        </is>
      </c>
      <c r="U106" s="5">
        <f>IFS(C106&lt;30,"Under 30",C106&lt;40,"30-39",C106&lt;50,"40-49",TRUE,"50+")</f>
        <v/>
      </c>
      <c r="V106" s="5">
        <f>IFS(O106&lt;60000,"Low (&lt;60k)",O106&lt;100000,"Mid (60-100k)",TRUE,"High (100k+)")</f>
        <v/>
      </c>
      <c r="W106" s="5">
        <f>IF(M106="No","Attrited","Active")</f>
        <v/>
      </c>
    </row>
    <row r="107">
      <c r="A107" s="5" t="inlineStr">
        <is>
          <t>E00106</t>
        </is>
      </c>
      <c r="B107" s="5" t="inlineStr">
        <is>
          <t>Male</t>
        </is>
      </c>
      <c r="C107" s="6" t="inlineStr">
        <is>
          <t>36</t>
        </is>
      </c>
      <c r="D107" s="5" t="inlineStr">
        <is>
          <t>Married</t>
        </is>
      </c>
      <c r="E107" s="5" t="inlineStr">
        <is>
          <t>Diploma</t>
        </is>
      </c>
      <c r="F107" s="5" t="inlineStr">
        <is>
          <t>Marketing</t>
        </is>
      </c>
      <c r="G107" s="5" t="inlineStr">
        <is>
          <t>Marketing Analyst</t>
        </is>
      </c>
      <c r="H107" s="5" t="inlineStr">
        <is>
          <t>2</t>
        </is>
      </c>
      <c r="I107" s="5" t="inlineStr">
        <is>
          <t>Remote</t>
        </is>
      </c>
      <c r="J107" s="5" t="inlineStr">
        <is>
          <t>Full-Time</t>
        </is>
      </c>
      <c r="K107" s="7" t="n">
        <v>45127</v>
      </c>
      <c r="L107" s="7" t="inlineStr"/>
      <c r="M107" s="5" t="inlineStr">
        <is>
          <t>Yes</t>
        </is>
      </c>
      <c r="N107" s="5" t="inlineStr"/>
      <c r="O107" s="8" t="inlineStr">
        <is>
          <t>89000</t>
        </is>
      </c>
      <c r="P107" s="5" t="inlineStr">
        <is>
          <t>10</t>
        </is>
      </c>
      <c r="Q107" s="5" t="inlineStr">
        <is>
          <t>2</t>
        </is>
      </c>
      <c r="R107" s="5" t="inlineStr">
        <is>
          <t>6</t>
        </is>
      </c>
      <c r="S107" s="5" t="inlineStr">
        <is>
          <t>29</t>
        </is>
      </c>
      <c r="T107" s="5" t="inlineStr">
        <is>
          <t>12</t>
        </is>
      </c>
      <c r="U107" s="5">
        <f>IFS(C107&lt;30,"Under 30",C107&lt;40,"30-39",C107&lt;50,"40-49",TRUE,"50+")</f>
        <v/>
      </c>
      <c r="V107" s="5">
        <f>IFS(O107&lt;60000,"Low (&lt;60k)",O107&lt;100000,"Mid (60-100k)",TRUE,"High (100k+)")</f>
        <v/>
      </c>
      <c r="W107" s="5">
        <f>IF(M107="No","Attrited","Active")</f>
        <v/>
      </c>
    </row>
    <row r="108">
      <c r="A108" s="5" t="inlineStr">
        <is>
          <t>E00107</t>
        </is>
      </c>
      <c r="B108" s="5" t="inlineStr">
        <is>
          <t>Male</t>
        </is>
      </c>
      <c r="C108" s="6" t="inlineStr">
        <is>
          <t>29</t>
        </is>
      </c>
      <c r="D108" s="5" t="inlineStr">
        <is>
          <t>Married</t>
        </is>
      </c>
      <c r="E108" s="5" t="inlineStr">
        <is>
          <t>Bachelor</t>
        </is>
      </c>
      <c r="F108" s="5" t="inlineStr">
        <is>
          <t>Operations</t>
        </is>
      </c>
      <c r="G108" s="5" t="inlineStr">
        <is>
          <t>Operations Analyst</t>
        </is>
      </c>
      <c r="H108" s="5" t="inlineStr">
        <is>
          <t>3</t>
        </is>
      </c>
      <c r="I108" s="5" t="inlineStr">
        <is>
          <t>Mumbai</t>
        </is>
      </c>
      <c r="J108" s="5" t="inlineStr">
        <is>
          <t>Part-Time</t>
        </is>
      </c>
      <c r="K108" s="7" t="n">
        <v>45496</v>
      </c>
      <c r="L108" s="7" t="inlineStr"/>
      <c r="M108" s="5" t="inlineStr">
        <is>
          <t>Yes</t>
        </is>
      </c>
      <c r="N108" s="5" t="inlineStr"/>
      <c r="O108" s="8" t="inlineStr">
        <is>
          <t>80500</t>
        </is>
      </c>
      <c r="P108" s="5" t="inlineStr">
        <is>
          <t>5</t>
        </is>
      </c>
      <c r="Q108" s="5" t="inlineStr">
        <is>
          <t>4</t>
        </is>
      </c>
      <c r="R108" s="5" t="inlineStr">
        <is>
          <t>10</t>
        </is>
      </c>
      <c r="S108" s="5" t="inlineStr">
        <is>
          <t>17</t>
        </is>
      </c>
      <c r="T108" s="5" t="inlineStr">
        <is>
          <t>5</t>
        </is>
      </c>
      <c r="U108" s="5">
        <f>IFS(C108&lt;30,"Under 30",C108&lt;40,"30-39",C108&lt;50,"40-49",TRUE,"50+")</f>
        <v/>
      </c>
      <c r="V108" s="5">
        <f>IFS(O108&lt;60000,"Low (&lt;60k)",O108&lt;100000,"Mid (60-100k)",TRUE,"High (100k+)")</f>
        <v/>
      </c>
      <c r="W108" s="5">
        <f>IF(M108="No","Attrited","Active")</f>
        <v/>
      </c>
    </row>
    <row r="109">
      <c r="A109" s="5" t="inlineStr">
        <is>
          <t>E00108</t>
        </is>
      </c>
      <c r="B109" s="5" t="inlineStr">
        <is>
          <t>Female</t>
        </is>
      </c>
      <c r="C109" s="6" t="inlineStr">
        <is>
          <t>25</t>
        </is>
      </c>
      <c r="D109" s="5" t="inlineStr">
        <is>
          <t>Single</t>
        </is>
      </c>
      <c r="E109" s="5" t="inlineStr">
        <is>
          <t>High School</t>
        </is>
      </c>
      <c r="F109" s="5" t="inlineStr">
        <is>
          <t>Finance</t>
        </is>
      </c>
      <c r="G109" s="5" t="inlineStr">
        <is>
          <t>Accountant</t>
        </is>
      </c>
      <c r="H109" s="5" t="inlineStr">
        <is>
          <t>1</t>
        </is>
      </c>
      <c r="I109" s="5" t="inlineStr">
        <is>
          <t>Remote</t>
        </is>
      </c>
      <c r="J109" s="5" t="inlineStr">
        <is>
          <t>Full-Time</t>
        </is>
      </c>
      <c r="K109" s="7" t="n">
        <v>44464</v>
      </c>
      <c r="L109" s="7" t="n">
        <v>44523</v>
      </c>
      <c r="M109" s="5" t="inlineStr">
        <is>
          <t>No</t>
        </is>
      </c>
      <c r="N109" s="5" t="inlineStr">
        <is>
          <t>Relocation</t>
        </is>
      </c>
      <c r="O109" s="8" t="inlineStr">
        <is>
          <t>109000</t>
        </is>
      </c>
      <c r="P109" s="5" t="inlineStr">
        <is>
          <t>10</t>
        </is>
      </c>
      <c r="Q109" s="5" t="inlineStr">
        <is>
          <t>4</t>
        </is>
      </c>
      <c r="R109" s="5" t="inlineStr">
        <is>
          <t>9</t>
        </is>
      </c>
      <c r="S109" s="5" t="inlineStr">
        <is>
          <t>1</t>
        </is>
      </c>
      <c r="T109" s="5" t="inlineStr">
        <is>
          <t>2</t>
        </is>
      </c>
      <c r="U109" s="5">
        <f>IFS(C109&lt;30,"Under 30",C109&lt;40,"30-39",C109&lt;50,"40-49",TRUE,"50+")</f>
        <v/>
      </c>
      <c r="V109" s="5">
        <f>IFS(O109&lt;60000,"Low (&lt;60k)",O109&lt;100000,"Mid (60-100k)",TRUE,"High (100k+)")</f>
        <v/>
      </c>
      <c r="W109" s="5">
        <f>IF(M109="No","Attrited","Active")</f>
        <v/>
      </c>
    </row>
    <row r="110">
      <c r="A110" s="5" t="inlineStr">
        <is>
          <t>E00109</t>
        </is>
      </c>
      <c r="B110" s="5" t="inlineStr">
        <is>
          <t>Male</t>
        </is>
      </c>
      <c r="C110" s="6" t="inlineStr">
        <is>
          <t>35</t>
        </is>
      </c>
      <c r="D110" s="5" t="inlineStr">
        <is>
          <t>Single</t>
        </is>
      </c>
      <c r="E110" s="5" t="inlineStr">
        <is>
          <t>Diploma</t>
        </is>
      </c>
      <c r="F110" s="5" t="inlineStr">
        <is>
          <t>Marketing</t>
        </is>
      </c>
      <c r="G110" s="5" t="inlineStr">
        <is>
          <t>SEO Specialist</t>
        </is>
      </c>
      <c r="H110" s="5" t="inlineStr">
        <is>
          <t>3</t>
        </is>
      </c>
      <c r="I110" s="5" t="inlineStr">
        <is>
          <t>Bengaluru</t>
        </is>
      </c>
      <c r="J110" s="5" t="inlineStr">
        <is>
          <t>Full-Time</t>
        </is>
      </c>
      <c r="K110" s="7" t="n">
        <v>44322</v>
      </c>
      <c r="L110" s="7" t="inlineStr"/>
      <c r="M110" s="5" t="inlineStr">
        <is>
          <t>Yes</t>
        </is>
      </c>
      <c r="N110" s="5" t="inlineStr"/>
      <c r="O110" s="8" t="inlineStr">
        <is>
          <t>93000</t>
        </is>
      </c>
      <c r="P110" s="5" t="inlineStr">
        <is>
          <t>10</t>
        </is>
      </c>
      <c r="Q110" s="5" t="inlineStr">
        <is>
          <t>3</t>
        </is>
      </c>
      <c r="R110" s="5" t="inlineStr">
        <is>
          <t>6</t>
        </is>
      </c>
      <c r="S110" s="5" t="inlineStr">
        <is>
          <t>56</t>
        </is>
      </c>
      <c r="T110" s="5" t="inlineStr">
        <is>
          <t>10</t>
        </is>
      </c>
      <c r="U110" s="5">
        <f>IFS(C110&lt;30,"Under 30",C110&lt;40,"30-39",C110&lt;50,"40-49",TRUE,"50+")</f>
        <v/>
      </c>
      <c r="V110" s="5">
        <f>IFS(O110&lt;60000,"Low (&lt;60k)",O110&lt;100000,"Mid (60-100k)",TRUE,"High (100k+)")</f>
        <v/>
      </c>
      <c r="W110" s="5">
        <f>IF(M110="No","Attrited","Active")</f>
        <v/>
      </c>
    </row>
    <row r="111">
      <c r="A111" s="5" t="inlineStr">
        <is>
          <t>E00110</t>
        </is>
      </c>
      <c r="B111" s="5" t="inlineStr">
        <is>
          <t>Female</t>
        </is>
      </c>
      <c r="C111" s="6" t="inlineStr">
        <is>
          <t>37</t>
        </is>
      </c>
      <c r="D111" s="5" t="inlineStr">
        <is>
          <t>Married</t>
        </is>
      </c>
      <c r="E111" s="5" t="inlineStr">
        <is>
          <t>High School</t>
        </is>
      </c>
      <c r="F111" s="5" t="inlineStr">
        <is>
          <t>Operations</t>
        </is>
      </c>
      <c r="G111" s="5" t="inlineStr">
        <is>
          <t>Logistics Coordinator</t>
        </is>
      </c>
      <c r="H111" s="5" t="inlineStr">
        <is>
          <t>5</t>
        </is>
      </c>
      <c r="I111" s="5" t="inlineStr">
        <is>
          <t>Remote</t>
        </is>
      </c>
      <c r="J111" s="5" t="inlineStr">
        <is>
          <t>Full-Time</t>
        </is>
      </c>
      <c r="K111" s="7" t="n">
        <v>44560</v>
      </c>
      <c r="L111" s="7" t="inlineStr"/>
      <c r="M111" s="5" t="inlineStr">
        <is>
          <t>Yes</t>
        </is>
      </c>
      <c r="N111" s="5" t="inlineStr"/>
      <c r="O111" s="8" t="inlineStr">
        <is>
          <t>144500</t>
        </is>
      </c>
      <c r="P111" s="5" t="inlineStr">
        <is>
          <t>0</t>
        </is>
      </c>
      <c r="Q111" s="5" t="inlineStr">
        <is>
          <t>4</t>
        </is>
      </c>
      <c r="R111" s="5" t="inlineStr">
        <is>
          <t>7</t>
        </is>
      </c>
      <c r="S111" s="5" t="inlineStr">
        <is>
          <t>48</t>
        </is>
      </c>
      <c r="T111" s="5" t="inlineStr">
        <is>
          <t>14</t>
        </is>
      </c>
      <c r="U111" s="5">
        <f>IFS(C111&lt;30,"Under 30",C111&lt;40,"30-39",C111&lt;50,"40-49",TRUE,"50+")</f>
        <v/>
      </c>
      <c r="V111" s="5">
        <f>IFS(O111&lt;60000,"Low (&lt;60k)",O111&lt;100000,"Mid (60-100k)",TRUE,"High (100k+)")</f>
        <v/>
      </c>
      <c r="W111" s="5">
        <f>IF(M111="No","Attrited","Active")</f>
        <v/>
      </c>
    </row>
    <row r="112">
      <c r="A112" s="5" t="inlineStr">
        <is>
          <t>E00111</t>
        </is>
      </c>
      <c r="B112" s="5" t="inlineStr">
        <is>
          <t>Male</t>
        </is>
      </c>
      <c r="C112" s="6" t="inlineStr">
        <is>
          <t>37</t>
        </is>
      </c>
      <c r="D112" s="5" t="inlineStr">
        <is>
          <t>Single</t>
        </is>
      </c>
      <c r="E112" s="5" t="inlineStr">
        <is>
          <t>Diploma</t>
        </is>
      </c>
      <c r="F112" s="5" t="inlineStr">
        <is>
          <t>Human Resources</t>
        </is>
      </c>
      <c r="G112" s="5" t="inlineStr">
        <is>
          <t>HR Analyst</t>
        </is>
      </c>
      <c r="H112" s="5" t="inlineStr">
        <is>
          <t>5</t>
        </is>
      </c>
      <c r="I112" s="5" t="inlineStr">
        <is>
          <t>Chennai</t>
        </is>
      </c>
      <c r="J112" s="5" t="inlineStr">
        <is>
          <t>Part-Time</t>
        </is>
      </c>
      <c r="K112" s="7" t="n">
        <v>45925</v>
      </c>
      <c r="L112" s="7" t="inlineStr"/>
      <c r="M112" s="5" t="inlineStr">
        <is>
          <t>Yes</t>
        </is>
      </c>
      <c r="N112" s="5" t="inlineStr"/>
      <c r="O112" s="8" t="inlineStr">
        <is>
          <t>115000</t>
        </is>
      </c>
      <c r="P112" s="5" t="inlineStr">
        <is>
          <t>5</t>
        </is>
      </c>
      <c r="Q112" s="5" t="inlineStr">
        <is>
          <t>4</t>
        </is>
      </c>
      <c r="R112" s="5" t="inlineStr">
        <is>
          <t>7</t>
        </is>
      </c>
      <c r="S112" s="5" t="inlineStr">
        <is>
          <t>3</t>
        </is>
      </c>
      <c r="T112" s="5" t="inlineStr">
        <is>
          <t>9</t>
        </is>
      </c>
      <c r="U112" s="5">
        <f>IFS(C112&lt;30,"Under 30",C112&lt;40,"30-39",C112&lt;50,"40-49",TRUE,"50+")</f>
        <v/>
      </c>
      <c r="V112" s="5">
        <f>IFS(O112&lt;60000,"Low (&lt;60k)",O112&lt;100000,"Mid (60-100k)",TRUE,"High (100k+)")</f>
        <v/>
      </c>
      <c r="W112" s="5">
        <f>IF(M112="No","Attrited","Active")</f>
        <v/>
      </c>
    </row>
    <row r="113">
      <c r="A113" s="5" t="inlineStr">
        <is>
          <t>E00112</t>
        </is>
      </c>
      <c r="B113" s="5" t="inlineStr">
        <is>
          <t>Female</t>
        </is>
      </c>
      <c r="C113" s="6" t="inlineStr">
        <is>
          <t>36</t>
        </is>
      </c>
      <c r="D113" s="5" t="inlineStr">
        <is>
          <t>Single</t>
        </is>
      </c>
      <c r="E113" s="5" t="inlineStr">
        <is>
          <t>Diploma</t>
        </is>
      </c>
      <c r="F113" s="5" t="inlineStr">
        <is>
          <t>Research &amp; Development</t>
        </is>
      </c>
      <c r="G113" s="5" t="inlineStr">
        <is>
          <t>Product Engineer</t>
        </is>
      </c>
      <c r="H113" s="5" t="inlineStr">
        <is>
          <t>3</t>
        </is>
      </c>
      <c r="I113" s="5" t="inlineStr">
        <is>
          <t>Remote</t>
        </is>
      </c>
      <c r="J113" s="5" t="inlineStr">
        <is>
          <t>Full-Time</t>
        </is>
      </c>
      <c r="K113" s="7" t="n">
        <v>45488</v>
      </c>
      <c r="L113" s="7" t="inlineStr"/>
      <c r="M113" s="5" t="inlineStr">
        <is>
          <t>Yes</t>
        </is>
      </c>
      <c r="N113" s="5" t="inlineStr"/>
      <c r="O113" s="8" t="inlineStr">
        <is>
          <t>192000</t>
        </is>
      </c>
      <c r="P113" s="5" t="inlineStr">
        <is>
          <t>15</t>
        </is>
      </c>
      <c r="Q113" s="5" t="inlineStr">
        <is>
          <t>5</t>
        </is>
      </c>
      <c r="R113" s="5" t="inlineStr">
        <is>
          <t>6</t>
        </is>
      </c>
      <c r="S113" s="5" t="inlineStr">
        <is>
          <t>17</t>
        </is>
      </c>
      <c r="T113" s="5" t="inlineStr">
        <is>
          <t>10</t>
        </is>
      </c>
      <c r="U113" s="5">
        <f>IFS(C113&lt;30,"Under 30",C113&lt;40,"30-39",C113&lt;50,"40-49",TRUE,"50+")</f>
        <v/>
      </c>
      <c r="V113" s="5">
        <f>IFS(O113&lt;60000,"Low (&lt;60k)",O113&lt;100000,"Mid (60-100k)",TRUE,"High (100k+)")</f>
        <v/>
      </c>
      <c r="W113" s="5">
        <f>IF(M113="No","Attrited","Active")</f>
        <v/>
      </c>
    </row>
    <row r="114">
      <c r="A114" s="5" t="inlineStr">
        <is>
          <t>E00113</t>
        </is>
      </c>
      <c r="B114" s="5" t="inlineStr">
        <is>
          <t>Female</t>
        </is>
      </c>
      <c r="C114" s="6" t="inlineStr">
        <is>
          <t>29</t>
        </is>
      </c>
      <c r="D114" s="5" t="inlineStr">
        <is>
          <t>Single</t>
        </is>
      </c>
      <c r="E114" s="5" t="inlineStr">
        <is>
          <t>High School</t>
        </is>
      </c>
      <c r="F114" s="5" t="inlineStr">
        <is>
          <t>Finance</t>
        </is>
      </c>
      <c r="G114" s="5" t="inlineStr">
        <is>
          <t>Credit Analyst</t>
        </is>
      </c>
      <c r="H114" s="5" t="inlineStr">
        <is>
          <t>4</t>
        </is>
      </c>
      <c r="I114" s="5" t="inlineStr">
        <is>
          <t>Mumbai</t>
        </is>
      </c>
      <c r="J114" s="5" t="inlineStr">
        <is>
          <t>Full-Time</t>
        </is>
      </c>
      <c r="K114" s="7" t="n">
        <v>45313</v>
      </c>
      <c r="L114" s="7" t="inlineStr"/>
      <c r="M114" s="5" t="inlineStr">
        <is>
          <t>Yes</t>
        </is>
      </c>
      <c r="N114" s="5" t="inlineStr"/>
      <c r="O114" s="8" t="inlineStr">
        <is>
          <t>145500</t>
        </is>
      </c>
      <c r="P114" s="5" t="inlineStr">
        <is>
          <t>15</t>
        </is>
      </c>
      <c r="Q114" s="5" t="inlineStr">
        <is>
          <t>3</t>
        </is>
      </c>
      <c r="R114" s="5" t="inlineStr">
        <is>
          <t>8</t>
        </is>
      </c>
      <c r="S114" s="5" t="inlineStr">
        <is>
          <t>23</t>
        </is>
      </c>
      <c r="T114" s="5" t="inlineStr">
        <is>
          <t>0</t>
        </is>
      </c>
      <c r="U114" s="5">
        <f>IFS(C114&lt;30,"Under 30",C114&lt;40,"30-39",C114&lt;50,"40-49",TRUE,"50+")</f>
        <v/>
      </c>
      <c r="V114" s="5">
        <f>IFS(O114&lt;60000,"Low (&lt;60k)",O114&lt;100000,"Mid (60-100k)",TRUE,"High (100k+)")</f>
        <v/>
      </c>
      <c r="W114" s="5">
        <f>IF(M114="No","Attrited","Active")</f>
        <v/>
      </c>
    </row>
    <row r="115">
      <c r="A115" s="5" t="inlineStr">
        <is>
          <t>E00114</t>
        </is>
      </c>
      <c r="B115" s="5" t="inlineStr">
        <is>
          <t>Male</t>
        </is>
      </c>
      <c r="C115" s="6" t="inlineStr">
        <is>
          <t>28</t>
        </is>
      </c>
      <c r="D115" s="5" t="inlineStr">
        <is>
          <t>Married</t>
        </is>
      </c>
      <c r="E115" s="5" t="inlineStr">
        <is>
          <t>Diploma</t>
        </is>
      </c>
      <c r="F115" s="5" t="inlineStr">
        <is>
          <t>IT</t>
        </is>
      </c>
      <c r="G115" s="5" t="inlineStr">
        <is>
          <t>DevOps Engineer</t>
        </is>
      </c>
      <c r="H115" s="5" t="inlineStr">
        <is>
          <t>1</t>
        </is>
      </c>
      <c r="I115" s="5" t="inlineStr">
        <is>
          <t>Delhi</t>
        </is>
      </c>
      <c r="J115" s="5" t="inlineStr">
        <is>
          <t>Full-Time</t>
        </is>
      </c>
      <c r="K115" s="7" t="n">
        <v>44937</v>
      </c>
      <c r="L115" s="7" t="inlineStr"/>
      <c r="M115" s="5" t="inlineStr">
        <is>
          <t>Yes</t>
        </is>
      </c>
      <c r="N115" s="5" t="inlineStr"/>
      <c r="O115" s="8" t="inlineStr">
        <is>
          <t>146500</t>
        </is>
      </c>
      <c r="P115" s="5" t="inlineStr">
        <is>
          <t>0</t>
        </is>
      </c>
      <c r="Q115" s="5" t="inlineStr">
        <is>
          <t>4</t>
        </is>
      </c>
      <c r="R115" s="5" t="inlineStr">
        <is>
          <t>10</t>
        </is>
      </c>
      <c r="S115" s="5" t="inlineStr">
        <is>
          <t>36</t>
        </is>
      </c>
      <c r="T115" s="5" t="inlineStr">
        <is>
          <t>8</t>
        </is>
      </c>
      <c r="U115" s="5">
        <f>IFS(C115&lt;30,"Under 30",C115&lt;40,"30-39",C115&lt;50,"40-49",TRUE,"50+")</f>
        <v/>
      </c>
      <c r="V115" s="5">
        <f>IFS(O115&lt;60000,"Low (&lt;60k)",O115&lt;100000,"Mid (60-100k)",TRUE,"High (100k+)")</f>
        <v/>
      </c>
      <c r="W115" s="5">
        <f>IF(M115="No","Attrited","Active")</f>
        <v/>
      </c>
    </row>
    <row r="116">
      <c r="A116" s="5" t="inlineStr">
        <is>
          <t>E00115</t>
        </is>
      </c>
      <c r="B116" s="5" t="inlineStr">
        <is>
          <t>Male</t>
        </is>
      </c>
      <c r="C116" s="6" t="inlineStr">
        <is>
          <t>33</t>
        </is>
      </c>
      <c r="D116" s="5" t="inlineStr">
        <is>
          <t>Single</t>
        </is>
      </c>
      <c r="E116" s="5" t="inlineStr">
        <is>
          <t>PhD</t>
        </is>
      </c>
      <c r="F116" s="5" t="inlineStr">
        <is>
          <t>Finance</t>
        </is>
      </c>
      <c r="G116" s="5" t="inlineStr">
        <is>
          <t>Financial Analyst</t>
        </is>
      </c>
      <c r="H116" s="5" t="inlineStr">
        <is>
          <t>6</t>
        </is>
      </c>
      <c r="I116" s="5" t="inlineStr">
        <is>
          <t>Mumbai</t>
        </is>
      </c>
      <c r="J116" s="5" t="inlineStr">
        <is>
          <t>Full-Time</t>
        </is>
      </c>
      <c r="K116" s="7" t="n">
        <v>45415</v>
      </c>
      <c r="L116" s="7" t="inlineStr"/>
      <c r="M116" s="5" t="inlineStr">
        <is>
          <t>Yes</t>
        </is>
      </c>
      <c r="N116" s="5" t="inlineStr"/>
      <c r="O116" s="8" t="inlineStr">
        <is>
          <t>125000</t>
        </is>
      </c>
      <c r="P116" s="5" t="inlineStr">
        <is>
          <t>0</t>
        </is>
      </c>
      <c r="Q116" s="5" t="inlineStr">
        <is>
          <t>3</t>
        </is>
      </c>
      <c r="R116" s="5" t="inlineStr">
        <is>
          <t>5</t>
        </is>
      </c>
      <c r="S116" s="5" t="inlineStr">
        <is>
          <t>20</t>
        </is>
      </c>
      <c r="T116" s="5" t="inlineStr">
        <is>
          <t>8</t>
        </is>
      </c>
      <c r="U116" s="5">
        <f>IFS(C116&lt;30,"Under 30",C116&lt;40,"30-39",C116&lt;50,"40-49",TRUE,"50+")</f>
        <v/>
      </c>
      <c r="V116" s="5">
        <f>IFS(O116&lt;60000,"Low (&lt;60k)",O116&lt;100000,"Mid (60-100k)",TRUE,"High (100k+)")</f>
        <v/>
      </c>
      <c r="W116" s="5">
        <f>IF(M116="No","Attrited","Active")</f>
        <v/>
      </c>
    </row>
    <row r="117">
      <c r="A117" s="5" t="inlineStr">
        <is>
          <t>E00116</t>
        </is>
      </c>
      <c r="B117" s="5" t="inlineStr">
        <is>
          <t>Male</t>
        </is>
      </c>
      <c r="C117" s="6" t="inlineStr">
        <is>
          <t>39</t>
        </is>
      </c>
      <c r="D117" s="5" t="inlineStr">
        <is>
          <t>Married</t>
        </is>
      </c>
      <c r="E117" s="5" t="inlineStr">
        <is>
          <t>Bachelor</t>
        </is>
      </c>
      <c r="F117" s="5" t="inlineStr">
        <is>
          <t>Customer Support</t>
        </is>
      </c>
      <c r="G117" s="5" t="inlineStr">
        <is>
          <t>Escalation Specialist</t>
        </is>
      </c>
      <c r="H117" s="5" t="inlineStr">
        <is>
          <t>7</t>
        </is>
      </c>
      <c r="I117" s="5" t="inlineStr">
        <is>
          <t>Mumbai</t>
        </is>
      </c>
      <c r="J117" s="5" t="inlineStr">
        <is>
          <t>Part-Time</t>
        </is>
      </c>
      <c r="K117" s="7" t="n">
        <v>44857</v>
      </c>
      <c r="L117" s="7" t="inlineStr"/>
      <c r="M117" s="5" t="inlineStr">
        <is>
          <t>Yes</t>
        </is>
      </c>
      <c r="N117" s="5" t="inlineStr"/>
      <c r="O117" s="8" t="inlineStr">
        <is>
          <t>139000</t>
        </is>
      </c>
      <c r="P117" s="5" t="inlineStr">
        <is>
          <t>5</t>
        </is>
      </c>
      <c r="Q117" s="5" t="inlineStr">
        <is>
          <t>3</t>
        </is>
      </c>
      <c r="R117" s="5" t="inlineStr">
        <is>
          <t>8</t>
        </is>
      </c>
      <c r="S117" s="5" t="inlineStr">
        <is>
          <t>38</t>
        </is>
      </c>
      <c r="T117" s="5" t="inlineStr">
        <is>
          <t>6</t>
        </is>
      </c>
      <c r="U117" s="5">
        <f>IFS(C117&lt;30,"Under 30",C117&lt;40,"30-39",C117&lt;50,"40-49",TRUE,"50+")</f>
        <v/>
      </c>
      <c r="V117" s="5">
        <f>IFS(O117&lt;60000,"Low (&lt;60k)",O117&lt;100000,"Mid (60-100k)",TRUE,"High (100k+)")</f>
        <v/>
      </c>
      <c r="W117" s="5">
        <f>IF(M117="No","Attrited","Active")</f>
        <v/>
      </c>
    </row>
    <row r="118">
      <c r="A118" s="5" t="inlineStr">
        <is>
          <t>E00117</t>
        </is>
      </c>
      <c r="B118" s="5" t="inlineStr">
        <is>
          <t>Female</t>
        </is>
      </c>
      <c r="C118" s="6" t="inlineStr">
        <is>
          <t>26</t>
        </is>
      </c>
      <c r="D118" s="5" t="inlineStr">
        <is>
          <t>Married</t>
        </is>
      </c>
      <c r="E118" s="5" t="inlineStr">
        <is>
          <t>High School</t>
        </is>
      </c>
      <c r="F118" s="5" t="inlineStr">
        <is>
          <t>Research &amp; Development</t>
        </is>
      </c>
      <c r="G118" s="5" t="inlineStr">
        <is>
          <t>Research Scientist</t>
        </is>
      </c>
      <c r="H118" s="5" t="inlineStr">
        <is>
          <t>1</t>
        </is>
      </c>
      <c r="I118" s="5" t="inlineStr">
        <is>
          <t>Bengaluru</t>
        </is>
      </c>
      <c r="J118" s="5" t="inlineStr">
        <is>
          <t>Full-Time</t>
        </is>
      </c>
      <c r="K118" s="7" t="n">
        <v>44297</v>
      </c>
      <c r="L118" s="7" t="inlineStr"/>
      <c r="M118" s="5" t="inlineStr">
        <is>
          <t>Yes</t>
        </is>
      </c>
      <c r="N118" s="5" t="inlineStr"/>
      <c r="O118" s="8" t="inlineStr">
        <is>
          <t>106000</t>
        </is>
      </c>
      <c r="P118" s="5" t="inlineStr">
        <is>
          <t>10</t>
        </is>
      </c>
      <c r="Q118" s="5" t="inlineStr">
        <is>
          <t>4</t>
        </is>
      </c>
      <c r="R118" s="5" t="inlineStr">
        <is>
          <t>7</t>
        </is>
      </c>
      <c r="S118" s="5" t="inlineStr">
        <is>
          <t>57</t>
        </is>
      </c>
      <c r="T118" s="5" t="inlineStr">
        <is>
          <t>0</t>
        </is>
      </c>
      <c r="U118" s="5">
        <f>IFS(C118&lt;30,"Under 30",C118&lt;40,"30-39",C118&lt;50,"40-49",TRUE,"50+")</f>
        <v/>
      </c>
      <c r="V118" s="5">
        <f>IFS(O118&lt;60000,"Low (&lt;60k)",O118&lt;100000,"Mid (60-100k)",TRUE,"High (100k+)")</f>
        <v/>
      </c>
      <c r="W118" s="5">
        <f>IF(M118="No","Attrited","Active")</f>
        <v/>
      </c>
    </row>
    <row r="119">
      <c r="A119" s="5" t="inlineStr">
        <is>
          <t>E00118</t>
        </is>
      </c>
      <c r="B119" s="5" t="inlineStr">
        <is>
          <t>Male</t>
        </is>
      </c>
      <c r="C119" s="6" t="inlineStr">
        <is>
          <t>31</t>
        </is>
      </c>
      <c r="D119" s="5" t="inlineStr">
        <is>
          <t>Married</t>
        </is>
      </c>
      <c r="E119" s="5" t="inlineStr">
        <is>
          <t>Diploma</t>
        </is>
      </c>
      <c r="F119" s="5" t="inlineStr">
        <is>
          <t>Operations</t>
        </is>
      </c>
      <c r="G119" s="5" t="inlineStr">
        <is>
          <t>Operations Analyst</t>
        </is>
      </c>
      <c r="H119" s="5" t="inlineStr">
        <is>
          <t>2</t>
        </is>
      </c>
      <c r="I119" s="5" t="inlineStr">
        <is>
          <t>Chennai</t>
        </is>
      </c>
      <c r="J119" s="5" t="inlineStr">
        <is>
          <t>Full-Time</t>
        </is>
      </c>
      <c r="K119" s="7" t="n">
        <v>43879</v>
      </c>
      <c r="L119" s="7" t="inlineStr"/>
      <c r="M119" s="5" t="inlineStr">
        <is>
          <t>Yes</t>
        </is>
      </c>
      <c r="N119" s="5" t="inlineStr"/>
      <c r="O119" s="8" t="inlineStr">
        <is>
          <t>101000</t>
        </is>
      </c>
      <c r="P119" s="5" t="inlineStr">
        <is>
          <t>5</t>
        </is>
      </c>
      <c r="Q119" s="5" t="inlineStr">
        <is>
          <t>4</t>
        </is>
      </c>
      <c r="R119" s="5" t="inlineStr">
        <is>
          <t>5</t>
        </is>
      </c>
      <c r="S119" s="5" t="inlineStr">
        <is>
          <t>71</t>
        </is>
      </c>
      <c r="T119" s="5" t="inlineStr">
        <is>
          <t>14</t>
        </is>
      </c>
      <c r="U119" s="5">
        <f>IFS(C119&lt;30,"Under 30",C119&lt;40,"30-39",C119&lt;50,"40-49",TRUE,"50+")</f>
        <v/>
      </c>
      <c r="V119" s="5">
        <f>IFS(O119&lt;60000,"Low (&lt;60k)",O119&lt;100000,"Mid (60-100k)",TRUE,"High (100k+)")</f>
        <v/>
      </c>
      <c r="W119" s="5">
        <f>IF(M119="No","Attrited","Active")</f>
        <v/>
      </c>
    </row>
    <row r="120">
      <c r="A120" s="5" t="inlineStr">
        <is>
          <t>E00119</t>
        </is>
      </c>
      <c r="B120" s="5" t="inlineStr">
        <is>
          <t>Male</t>
        </is>
      </c>
      <c r="C120" s="6" t="inlineStr">
        <is>
          <t>25</t>
        </is>
      </c>
      <c r="D120" s="5" t="inlineStr">
        <is>
          <t>Married</t>
        </is>
      </c>
      <c r="E120" s="5" t="inlineStr">
        <is>
          <t>Bachelor</t>
        </is>
      </c>
      <c r="F120" s="5" t="inlineStr">
        <is>
          <t>IT</t>
        </is>
      </c>
      <c r="G120" s="5" t="inlineStr">
        <is>
          <t>IT Support</t>
        </is>
      </c>
      <c r="H120" s="5" t="inlineStr">
        <is>
          <t>2</t>
        </is>
      </c>
      <c r="I120" s="5" t="inlineStr">
        <is>
          <t>Delhi</t>
        </is>
      </c>
      <c r="J120" s="5" t="inlineStr">
        <is>
          <t>Full-Time</t>
        </is>
      </c>
      <c r="K120" s="7" t="n">
        <v>45838</v>
      </c>
      <c r="L120" s="7" t="n">
        <v>45968</v>
      </c>
      <c r="M120" s="5" t="inlineStr">
        <is>
          <t>No</t>
        </is>
      </c>
      <c r="N120" s="5" t="inlineStr">
        <is>
          <t>Resigned</t>
        </is>
      </c>
      <c r="O120" s="8" t="inlineStr">
        <is>
          <t>140500</t>
        </is>
      </c>
      <c r="P120" s="5" t="inlineStr">
        <is>
          <t>0</t>
        </is>
      </c>
      <c r="Q120" s="5" t="inlineStr">
        <is>
          <t>3</t>
        </is>
      </c>
      <c r="R120" s="5" t="inlineStr">
        <is>
          <t>9</t>
        </is>
      </c>
      <c r="S120" s="5" t="inlineStr">
        <is>
          <t>4</t>
        </is>
      </c>
      <c r="T120" s="5" t="inlineStr">
        <is>
          <t>5</t>
        </is>
      </c>
      <c r="U120" s="5">
        <f>IFS(C120&lt;30,"Under 30",C120&lt;40,"30-39",C120&lt;50,"40-49",TRUE,"50+")</f>
        <v/>
      </c>
      <c r="V120" s="5">
        <f>IFS(O120&lt;60000,"Low (&lt;60k)",O120&lt;100000,"Mid (60-100k)",TRUE,"High (100k+)")</f>
        <v/>
      </c>
      <c r="W120" s="5">
        <f>IF(M120="No","Attrited","Active")</f>
        <v/>
      </c>
    </row>
    <row r="121">
      <c r="A121" s="5" t="inlineStr">
        <is>
          <t>E00120</t>
        </is>
      </c>
      <c r="B121" s="5" t="inlineStr">
        <is>
          <t>Male</t>
        </is>
      </c>
      <c r="C121" s="6" t="inlineStr">
        <is>
          <t>33</t>
        </is>
      </c>
      <c r="D121" s="5" t="inlineStr">
        <is>
          <t>Married</t>
        </is>
      </c>
      <c r="E121" s="5" t="inlineStr">
        <is>
          <t>Master</t>
        </is>
      </c>
      <c r="F121" s="5" t="inlineStr">
        <is>
          <t>Marketing</t>
        </is>
      </c>
      <c r="G121" s="5" t="inlineStr">
        <is>
          <t>Content Writer</t>
        </is>
      </c>
      <c r="H121" s="5" t="inlineStr">
        <is>
          <t>6</t>
        </is>
      </c>
      <c r="I121" s="5" t="inlineStr">
        <is>
          <t>Hyderabad</t>
        </is>
      </c>
      <c r="J121" s="5" t="inlineStr">
        <is>
          <t>Full-Time</t>
        </is>
      </c>
      <c r="K121" s="7" t="n">
        <v>44996</v>
      </c>
      <c r="L121" s="7" t="inlineStr"/>
      <c r="M121" s="5" t="inlineStr">
        <is>
          <t>Yes</t>
        </is>
      </c>
      <c r="N121" s="5" t="inlineStr"/>
      <c r="O121" s="8" t="inlineStr">
        <is>
          <t>103000</t>
        </is>
      </c>
      <c r="P121" s="5" t="inlineStr">
        <is>
          <t>5</t>
        </is>
      </c>
      <c r="Q121" s="5" t="inlineStr">
        <is>
          <t>4</t>
        </is>
      </c>
      <c r="R121" s="5" t="inlineStr">
        <is>
          <t>8</t>
        </is>
      </c>
      <c r="S121" s="5" t="inlineStr">
        <is>
          <t>34</t>
        </is>
      </c>
      <c r="T121" s="5" t="inlineStr">
        <is>
          <t>7</t>
        </is>
      </c>
      <c r="U121" s="5">
        <f>IFS(C121&lt;30,"Under 30",C121&lt;40,"30-39",C121&lt;50,"40-49",TRUE,"50+")</f>
        <v/>
      </c>
      <c r="V121" s="5">
        <f>IFS(O121&lt;60000,"Low (&lt;60k)",O121&lt;100000,"Mid (60-100k)",TRUE,"High (100k+)")</f>
        <v/>
      </c>
      <c r="W121" s="5">
        <f>IF(M121="No","Attrited","Active")</f>
        <v/>
      </c>
    </row>
    <row r="122">
      <c r="A122" s="5" t="inlineStr">
        <is>
          <t>E00121</t>
        </is>
      </c>
      <c r="B122" s="5" t="inlineStr">
        <is>
          <t>Male</t>
        </is>
      </c>
      <c r="C122" s="6" t="inlineStr">
        <is>
          <t>29</t>
        </is>
      </c>
      <c r="D122" s="5" t="inlineStr">
        <is>
          <t>Married</t>
        </is>
      </c>
      <c r="E122" s="5" t="inlineStr">
        <is>
          <t>PhD</t>
        </is>
      </c>
      <c r="F122" s="5" t="inlineStr">
        <is>
          <t>Executive</t>
        </is>
      </c>
      <c r="G122" s="5" t="inlineStr">
        <is>
          <t>COO</t>
        </is>
      </c>
      <c r="H122" s="5" t="inlineStr">
        <is>
          <t>2</t>
        </is>
      </c>
      <c r="I122" s="5" t="inlineStr">
        <is>
          <t>Mumbai</t>
        </is>
      </c>
      <c r="J122" s="5" t="inlineStr">
        <is>
          <t>Full-Time</t>
        </is>
      </c>
      <c r="K122" s="7" t="n">
        <v>44278</v>
      </c>
      <c r="L122" s="7" t="inlineStr"/>
      <c r="M122" s="5" t="inlineStr">
        <is>
          <t>Yes</t>
        </is>
      </c>
      <c r="N122" s="5" t="inlineStr"/>
      <c r="O122" s="8" t="inlineStr">
        <is>
          <t>285500</t>
        </is>
      </c>
      <c r="P122" s="5" t="inlineStr">
        <is>
          <t>5</t>
        </is>
      </c>
      <c r="Q122" s="5" t="inlineStr">
        <is>
          <t>3</t>
        </is>
      </c>
      <c r="R122" s="5" t="inlineStr">
        <is>
          <t>7</t>
        </is>
      </c>
      <c r="S122" s="5" t="inlineStr">
        <is>
          <t>58</t>
        </is>
      </c>
      <c r="T122" s="5" t="inlineStr">
        <is>
          <t>1</t>
        </is>
      </c>
      <c r="U122" s="5">
        <f>IFS(C122&lt;30,"Under 30",C122&lt;40,"30-39",C122&lt;50,"40-49",TRUE,"50+")</f>
        <v/>
      </c>
      <c r="V122" s="5">
        <f>IFS(O122&lt;60000,"Low (&lt;60k)",O122&lt;100000,"Mid (60-100k)",TRUE,"High (100k+)")</f>
        <v/>
      </c>
      <c r="W122" s="5">
        <f>IF(M122="No","Attrited","Active")</f>
        <v/>
      </c>
    </row>
    <row r="123">
      <c r="A123" s="5" t="inlineStr">
        <is>
          <t>E00122</t>
        </is>
      </c>
      <c r="B123" s="5" t="inlineStr">
        <is>
          <t>Male</t>
        </is>
      </c>
      <c r="C123" s="6" t="inlineStr">
        <is>
          <t>35</t>
        </is>
      </c>
      <c r="D123" s="5" t="inlineStr">
        <is>
          <t>Married</t>
        </is>
      </c>
      <c r="E123" s="5" t="inlineStr">
        <is>
          <t>PhD</t>
        </is>
      </c>
      <c r="F123" s="5" t="inlineStr">
        <is>
          <t>Customer Support</t>
        </is>
      </c>
      <c r="G123" s="5" t="inlineStr">
        <is>
          <t>Support Lead</t>
        </is>
      </c>
      <c r="H123" s="5" t="inlineStr">
        <is>
          <t>7</t>
        </is>
      </c>
      <c r="I123" s="5" t="inlineStr">
        <is>
          <t>Mumbai</t>
        </is>
      </c>
      <c r="J123" s="5" t="inlineStr">
        <is>
          <t>Full-Time</t>
        </is>
      </c>
      <c r="K123" s="7" t="n">
        <v>44353</v>
      </c>
      <c r="L123" s="7" t="inlineStr"/>
      <c r="M123" s="5" t="inlineStr">
        <is>
          <t>Yes</t>
        </is>
      </c>
      <c r="N123" s="5" t="inlineStr"/>
      <c r="O123" s="8" t="inlineStr">
        <is>
          <t>82500</t>
        </is>
      </c>
      <c r="P123" s="5" t="inlineStr">
        <is>
          <t>10</t>
        </is>
      </c>
      <c r="Q123" s="5" t="inlineStr">
        <is>
          <t>4</t>
        </is>
      </c>
      <c r="R123" s="5" t="inlineStr">
        <is>
          <t>4</t>
        </is>
      </c>
      <c r="S123" s="5" t="inlineStr">
        <is>
          <t>55</t>
        </is>
      </c>
      <c r="T123" s="5" t="inlineStr">
        <is>
          <t>11</t>
        </is>
      </c>
      <c r="U123" s="5">
        <f>IFS(C123&lt;30,"Under 30",C123&lt;40,"30-39",C123&lt;50,"40-49",TRUE,"50+")</f>
        <v/>
      </c>
      <c r="V123" s="5">
        <f>IFS(O123&lt;60000,"Low (&lt;60k)",O123&lt;100000,"Mid (60-100k)",TRUE,"High (100k+)")</f>
        <v/>
      </c>
      <c r="W123" s="5">
        <f>IF(M123="No","Attrited","Active")</f>
        <v/>
      </c>
    </row>
    <row r="124">
      <c r="A124" s="5" t="inlineStr">
        <is>
          <t>E00123</t>
        </is>
      </c>
      <c r="B124" s="5" t="inlineStr">
        <is>
          <t>Female</t>
        </is>
      </c>
      <c r="C124" s="6" t="inlineStr">
        <is>
          <t>29</t>
        </is>
      </c>
      <c r="D124" s="5" t="inlineStr">
        <is>
          <t>Single</t>
        </is>
      </c>
      <c r="E124" s="5" t="inlineStr">
        <is>
          <t>High School</t>
        </is>
      </c>
      <c r="F124" s="5" t="inlineStr">
        <is>
          <t>Sales</t>
        </is>
      </c>
      <c r="G124" s="5" t="inlineStr">
        <is>
          <t>Sales Executive</t>
        </is>
      </c>
      <c r="H124" s="5" t="inlineStr">
        <is>
          <t>3</t>
        </is>
      </c>
      <c r="I124" s="5" t="inlineStr">
        <is>
          <t>Delhi</t>
        </is>
      </c>
      <c r="J124" s="5" t="inlineStr">
        <is>
          <t>Full-Time</t>
        </is>
      </c>
      <c r="K124" s="7" t="n">
        <v>44013</v>
      </c>
      <c r="L124" s="7" t="inlineStr"/>
      <c r="M124" s="5" t="inlineStr">
        <is>
          <t>Yes</t>
        </is>
      </c>
      <c r="N124" s="5" t="inlineStr"/>
      <c r="O124" s="8" t="inlineStr">
        <is>
          <t>102000</t>
        </is>
      </c>
      <c r="P124" s="5" t="inlineStr">
        <is>
          <t>0</t>
        </is>
      </c>
      <c r="Q124" s="5" t="inlineStr">
        <is>
          <t>5</t>
        </is>
      </c>
      <c r="R124" s="5" t="inlineStr">
        <is>
          <t>8</t>
        </is>
      </c>
      <c r="S124" s="5" t="inlineStr">
        <is>
          <t>66</t>
        </is>
      </c>
      <c r="T124" s="5" t="inlineStr">
        <is>
          <t>7</t>
        </is>
      </c>
      <c r="U124" s="5">
        <f>IFS(C124&lt;30,"Under 30",C124&lt;40,"30-39",C124&lt;50,"40-49",TRUE,"50+")</f>
        <v/>
      </c>
      <c r="V124" s="5">
        <f>IFS(O124&lt;60000,"Low (&lt;60k)",O124&lt;100000,"Mid (60-100k)",TRUE,"High (100k+)")</f>
        <v/>
      </c>
      <c r="W124" s="5">
        <f>IF(M124="No","Attrited","Active")</f>
        <v/>
      </c>
    </row>
    <row r="125">
      <c r="A125" s="5" t="inlineStr">
        <is>
          <t>E00124</t>
        </is>
      </c>
      <c r="B125" s="5" t="inlineStr">
        <is>
          <t>Male</t>
        </is>
      </c>
      <c r="C125" s="6" t="inlineStr">
        <is>
          <t>25</t>
        </is>
      </c>
      <c r="D125" s="5" t="inlineStr">
        <is>
          <t>Married</t>
        </is>
      </c>
      <c r="E125" s="5" t="inlineStr">
        <is>
          <t>Master</t>
        </is>
      </c>
      <c r="F125" s="5" t="inlineStr">
        <is>
          <t>Marketing</t>
        </is>
      </c>
      <c r="G125" s="5" t="inlineStr">
        <is>
          <t>Content Writer</t>
        </is>
      </c>
      <c r="H125" s="5" t="inlineStr">
        <is>
          <t>2</t>
        </is>
      </c>
      <c r="I125" s="5" t="inlineStr">
        <is>
          <t>Chennai</t>
        </is>
      </c>
      <c r="J125" s="5" t="inlineStr">
        <is>
          <t>Full-Time</t>
        </is>
      </c>
      <c r="K125" s="7" t="n">
        <v>45951</v>
      </c>
      <c r="L125" s="7" t="n">
        <v>46021</v>
      </c>
      <c r="M125" s="5" t="inlineStr">
        <is>
          <t>No</t>
        </is>
      </c>
      <c r="N125" s="5" t="inlineStr">
        <is>
          <t>Layoff</t>
        </is>
      </c>
      <c r="O125" s="8" t="inlineStr">
        <is>
          <t>58000</t>
        </is>
      </c>
      <c r="P125" s="5" t="inlineStr">
        <is>
          <t>5</t>
        </is>
      </c>
      <c r="Q125" s="5" t="inlineStr">
        <is>
          <t>2</t>
        </is>
      </c>
      <c r="R125" s="5" t="inlineStr">
        <is>
          <t>6</t>
        </is>
      </c>
      <c r="S125" s="5" t="inlineStr">
        <is>
          <t>2</t>
        </is>
      </c>
      <c r="T125" s="5" t="inlineStr">
        <is>
          <t>0</t>
        </is>
      </c>
      <c r="U125" s="5">
        <f>IFS(C125&lt;30,"Under 30",C125&lt;40,"30-39",C125&lt;50,"40-49",TRUE,"50+")</f>
        <v/>
      </c>
      <c r="V125" s="5">
        <f>IFS(O125&lt;60000,"Low (&lt;60k)",O125&lt;100000,"Mid (60-100k)",TRUE,"High (100k+)")</f>
        <v/>
      </c>
      <c r="W125" s="5">
        <f>IF(M125="No","Attrited","Active")</f>
        <v/>
      </c>
    </row>
    <row r="126">
      <c r="A126" s="5" t="inlineStr">
        <is>
          <t>E00125</t>
        </is>
      </c>
      <c r="B126" s="5" t="inlineStr">
        <is>
          <t>Female</t>
        </is>
      </c>
      <c r="C126" s="6" t="inlineStr">
        <is>
          <t>27</t>
        </is>
      </c>
      <c r="D126" s="5" t="inlineStr">
        <is>
          <t>Single</t>
        </is>
      </c>
      <c r="E126" s="5" t="inlineStr">
        <is>
          <t>Master</t>
        </is>
      </c>
      <c r="F126" s="5" t="inlineStr">
        <is>
          <t>Research &amp; Development</t>
        </is>
      </c>
      <c r="G126" s="5" t="inlineStr">
        <is>
          <t>Product Engineer</t>
        </is>
      </c>
      <c r="H126" s="5" t="inlineStr">
        <is>
          <t>2</t>
        </is>
      </c>
      <c r="I126" s="5" t="inlineStr">
        <is>
          <t>Hyderabad</t>
        </is>
      </c>
      <c r="J126" s="5" t="inlineStr">
        <is>
          <t>Full-Time</t>
        </is>
      </c>
      <c r="K126" s="7" t="n">
        <v>44424</v>
      </c>
      <c r="L126" s="7" t="inlineStr"/>
      <c r="M126" s="5" t="inlineStr">
        <is>
          <t>Yes</t>
        </is>
      </c>
      <c r="N126" s="5" t="inlineStr"/>
      <c r="O126" s="8" t="inlineStr">
        <is>
          <t>186500</t>
        </is>
      </c>
      <c r="P126" s="5" t="inlineStr">
        <is>
          <t>0</t>
        </is>
      </c>
      <c r="Q126" s="5" t="inlineStr">
        <is>
          <t>5</t>
        </is>
      </c>
      <c r="R126" s="5" t="inlineStr">
        <is>
          <t>5</t>
        </is>
      </c>
      <c r="S126" s="5" t="inlineStr">
        <is>
          <t>53</t>
        </is>
      </c>
      <c r="T126" s="5" t="inlineStr">
        <is>
          <t>5</t>
        </is>
      </c>
      <c r="U126" s="5">
        <f>IFS(C126&lt;30,"Under 30",C126&lt;40,"30-39",C126&lt;50,"40-49",TRUE,"50+")</f>
        <v/>
      </c>
      <c r="V126" s="5">
        <f>IFS(O126&lt;60000,"Low (&lt;60k)",O126&lt;100000,"Mid (60-100k)",TRUE,"High (100k+)")</f>
        <v/>
      </c>
      <c r="W126" s="5">
        <f>IF(M126="No","Attrited","Active")</f>
        <v/>
      </c>
    </row>
    <row r="127">
      <c r="A127" s="5" t="inlineStr">
        <is>
          <t>E00126</t>
        </is>
      </c>
      <c r="B127" s="5" t="inlineStr">
        <is>
          <t>Female</t>
        </is>
      </c>
      <c r="C127" s="6" t="inlineStr">
        <is>
          <t>27</t>
        </is>
      </c>
      <c r="D127" s="5" t="inlineStr">
        <is>
          <t>Single</t>
        </is>
      </c>
      <c r="E127" s="5" t="inlineStr">
        <is>
          <t>Bachelor</t>
        </is>
      </c>
      <c r="F127" s="5" t="inlineStr">
        <is>
          <t>Operations</t>
        </is>
      </c>
      <c r="G127" s="5" t="inlineStr">
        <is>
          <t>Logistics Coordinator</t>
        </is>
      </c>
      <c r="H127" s="5" t="inlineStr">
        <is>
          <t>2</t>
        </is>
      </c>
      <c r="I127" s="5" t="inlineStr">
        <is>
          <t>Mumbai</t>
        </is>
      </c>
      <c r="J127" s="5" t="inlineStr">
        <is>
          <t>Full-Time</t>
        </is>
      </c>
      <c r="K127" s="7" t="n">
        <v>44949</v>
      </c>
      <c r="L127" s="7" t="inlineStr"/>
      <c r="M127" s="5" t="inlineStr">
        <is>
          <t>Yes</t>
        </is>
      </c>
      <c r="N127" s="5" t="inlineStr"/>
      <c r="O127" s="8" t="inlineStr">
        <is>
          <t>85500</t>
        </is>
      </c>
      <c r="P127" s="5" t="inlineStr">
        <is>
          <t>0</t>
        </is>
      </c>
      <c r="Q127" s="5" t="inlineStr">
        <is>
          <t>4</t>
        </is>
      </c>
      <c r="R127" s="5" t="inlineStr">
        <is>
          <t>8</t>
        </is>
      </c>
      <c r="S127" s="5" t="inlineStr">
        <is>
          <t>35</t>
        </is>
      </c>
      <c r="T127" s="5" t="inlineStr">
        <is>
          <t>12</t>
        </is>
      </c>
      <c r="U127" s="5">
        <f>IFS(C127&lt;30,"Under 30",C127&lt;40,"30-39",C127&lt;50,"40-49",TRUE,"50+")</f>
        <v/>
      </c>
      <c r="V127" s="5">
        <f>IFS(O127&lt;60000,"Low (&lt;60k)",O127&lt;100000,"Mid (60-100k)",TRUE,"High (100k+)")</f>
        <v/>
      </c>
      <c r="W127" s="5">
        <f>IF(M127="No","Attrited","Active")</f>
        <v/>
      </c>
    </row>
    <row r="128">
      <c r="A128" s="5" t="inlineStr">
        <is>
          <t>E00127</t>
        </is>
      </c>
      <c r="B128" s="5" t="inlineStr">
        <is>
          <t>Male</t>
        </is>
      </c>
      <c r="C128" s="6" t="inlineStr">
        <is>
          <t>35</t>
        </is>
      </c>
      <c r="D128" s="5" t="inlineStr">
        <is>
          <t>Single</t>
        </is>
      </c>
      <c r="E128" s="5" t="inlineStr">
        <is>
          <t>Master</t>
        </is>
      </c>
      <c r="F128" s="5" t="inlineStr">
        <is>
          <t>IT</t>
        </is>
      </c>
      <c r="G128" s="5" t="inlineStr">
        <is>
          <t>IT Support</t>
        </is>
      </c>
      <c r="H128" s="5" t="inlineStr">
        <is>
          <t>2</t>
        </is>
      </c>
      <c r="I128" s="5" t="inlineStr">
        <is>
          <t>Remote</t>
        </is>
      </c>
      <c r="J128" s="5" t="inlineStr">
        <is>
          <t>Full-Time</t>
        </is>
      </c>
      <c r="K128" s="7" t="n">
        <v>45018</v>
      </c>
      <c r="L128" s="7" t="inlineStr"/>
      <c r="M128" s="5" t="inlineStr">
        <is>
          <t>Yes</t>
        </is>
      </c>
      <c r="N128" s="5" t="inlineStr"/>
      <c r="O128" s="8" t="inlineStr">
        <is>
          <t>97000</t>
        </is>
      </c>
      <c r="P128" s="5" t="inlineStr">
        <is>
          <t>0</t>
        </is>
      </c>
      <c r="Q128" s="5" t="inlineStr">
        <is>
          <t>3</t>
        </is>
      </c>
      <c r="R128" s="5" t="inlineStr">
        <is>
          <t>7</t>
        </is>
      </c>
      <c r="S128" s="5" t="inlineStr">
        <is>
          <t>33</t>
        </is>
      </c>
      <c r="T128" s="5" t="inlineStr">
        <is>
          <t>12</t>
        </is>
      </c>
      <c r="U128" s="5">
        <f>IFS(C128&lt;30,"Under 30",C128&lt;40,"30-39",C128&lt;50,"40-49",TRUE,"50+")</f>
        <v/>
      </c>
      <c r="V128" s="5">
        <f>IFS(O128&lt;60000,"Low (&lt;60k)",O128&lt;100000,"Mid (60-100k)",TRUE,"High (100k+)")</f>
        <v/>
      </c>
      <c r="W128" s="5">
        <f>IF(M128="No","Attrited","Active")</f>
        <v/>
      </c>
    </row>
    <row r="129">
      <c r="A129" s="5" t="inlineStr">
        <is>
          <t>E00128</t>
        </is>
      </c>
      <c r="B129" s="5" t="inlineStr">
        <is>
          <t>Female</t>
        </is>
      </c>
      <c r="C129" s="6" t="inlineStr">
        <is>
          <t>25</t>
        </is>
      </c>
      <c r="D129" s="5" t="inlineStr">
        <is>
          <t>Married</t>
        </is>
      </c>
      <c r="E129" s="5" t="inlineStr">
        <is>
          <t>Master</t>
        </is>
      </c>
      <c r="F129" s="5" t="inlineStr">
        <is>
          <t>Marketing</t>
        </is>
      </c>
      <c r="G129" s="5" t="inlineStr">
        <is>
          <t>SEO Specialist</t>
        </is>
      </c>
      <c r="H129" s="5" t="inlineStr">
        <is>
          <t>1</t>
        </is>
      </c>
      <c r="I129" s="5" t="inlineStr">
        <is>
          <t>Delhi</t>
        </is>
      </c>
      <c r="J129" s="5" t="inlineStr">
        <is>
          <t>Part-Time</t>
        </is>
      </c>
      <c r="K129" s="7" t="n">
        <v>45453</v>
      </c>
      <c r="L129" s="7" t="inlineStr"/>
      <c r="M129" s="5" t="inlineStr">
        <is>
          <t>Yes</t>
        </is>
      </c>
      <c r="N129" s="5" t="inlineStr"/>
      <c r="O129" s="8" t="inlineStr">
        <is>
          <t>55000</t>
        </is>
      </c>
      <c r="P129" s="5" t="inlineStr">
        <is>
          <t>15</t>
        </is>
      </c>
      <c r="Q129" s="5" t="inlineStr">
        <is>
          <t>4</t>
        </is>
      </c>
      <c r="R129" s="5" t="inlineStr">
        <is>
          <t>8</t>
        </is>
      </c>
      <c r="S129" s="5" t="inlineStr">
        <is>
          <t>18</t>
        </is>
      </c>
      <c r="T129" s="5" t="inlineStr">
        <is>
          <t>9</t>
        </is>
      </c>
      <c r="U129" s="5">
        <f>IFS(C129&lt;30,"Under 30",C129&lt;40,"30-39",C129&lt;50,"40-49",TRUE,"50+")</f>
        <v/>
      </c>
      <c r="V129" s="5">
        <f>IFS(O129&lt;60000,"Low (&lt;60k)",O129&lt;100000,"Mid (60-100k)",TRUE,"High (100k+)")</f>
        <v/>
      </c>
      <c r="W129" s="5">
        <f>IF(M129="No","Attrited","Active")</f>
        <v/>
      </c>
    </row>
    <row r="130">
      <c r="A130" s="5" t="inlineStr">
        <is>
          <t>E00129</t>
        </is>
      </c>
      <c r="B130" s="5" t="inlineStr">
        <is>
          <t>Female</t>
        </is>
      </c>
      <c r="C130" s="6" t="inlineStr">
        <is>
          <t>34</t>
        </is>
      </c>
      <c r="D130" s="5" t="inlineStr">
        <is>
          <t>Married</t>
        </is>
      </c>
      <c r="E130" s="5" t="inlineStr">
        <is>
          <t>PhD</t>
        </is>
      </c>
      <c r="F130" s="5" t="inlineStr">
        <is>
          <t>Sales</t>
        </is>
      </c>
      <c r="G130" s="5" t="inlineStr">
        <is>
          <t>Business Development</t>
        </is>
      </c>
      <c r="H130" s="5" t="inlineStr">
        <is>
          <t>1</t>
        </is>
      </c>
      <c r="I130" s="5" t="inlineStr">
        <is>
          <t>Mumbai</t>
        </is>
      </c>
      <c r="J130" s="5" t="inlineStr">
        <is>
          <t>Full-Time</t>
        </is>
      </c>
      <c r="K130" s="7" t="n">
        <v>45352</v>
      </c>
      <c r="L130" s="7" t="n">
        <v>45411</v>
      </c>
      <c r="M130" s="5" t="inlineStr">
        <is>
          <t>No</t>
        </is>
      </c>
      <c r="N130" s="5" t="inlineStr">
        <is>
          <t>Layoff</t>
        </is>
      </c>
      <c r="O130" s="8" t="inlineStr">
        <is>
          <t>73000</t>
        </is>
      </c>
      <c r="P130" s="5" t="inlineStr">
        <is>
          <t>0</t>
        </is>
      </c>
      <c r="Q130" s="5" t="inlineStr">
        <is>
          <t>4</t>
        </is>
      </c>
      <c r="R130" s="5" t="inlineStr">
        <is>
          <t>4</t>
        </is>
      </c>
      <c r="S130" s="5" t="inlineStr">
        <is>
          <t>1</t>
        </is>
      </c>
      <c r="T130" s="5" t="inlineStr">
        <is>
          <t>11</t>
        </is>
      </c>
      <c r="U130" s="5">
        <f>IFS(C130&lt;30,"Under 30",C130&lt;40,"30-39",C130&lt;50,"40-49",TRUE,"50+")</f>
        <v/>
      </c>
      <c r="V130" s="5">
        <f>IFS(O130&lt;60000,"Low (&lt;60k)",O130&lt;100000,"Mid (60-100k)",TRUE,"High (100k+)")</f>
        <v/>
      </c>
      <c r="W130" s="5">
        <f>IF(M130="No","Attrited","Active")</f>
        <v/>
      </c>
    </row>
    <row r="131">
      <c r="A131" s="5" t="inlineStr">
        <is>
          <t>E00130</t>
        </is>
      </c>
      <c r="B131" s="5" t="inlineStr">
        <is>
          <t>Male</t>
        </is>
      </c>
      <c r="C131" s="6" t="inlineStr">
        <is>
          <t>29</t>
        </is>
      </c>
      <c r="D131" s="5" t="inlineStr">
        <is>
          <t>Divorced</t>
        </is>
      </c>
      <c r="E131" s="5" t="inlineStr">
        <is>
          <t>High School</t>
        </is>
      </c>
      <c r="F131" s="5" t="inlineStr">
        <is>
          <t>Finance</t>
        </is>
      </c>
      <c r="G131" s="5" t="inlineStr">
        <is>
          <t>Credit Analyst</t>
        </is>
      </c>
      <c r="H131" s="5" t="inlineStr">
        <is>
          <t>2</t>
        </is>
      </c>
      <c r="I131" s="5" t="inlineStr">
        <is>
          <t>Delhi</t>
        </is>
      </c>
      <c r="J131" s="5" t="inlineStr">
        <is>
          <t>Full-Time</t>
        </is>
      </c>
      <c r="K131" s="7" t="n">
        <v>45754</v>
      </c>
      <c r="L131" s="7" t="inlineStr"/>
      <c r="M131" s="5" t="inlineStr">
        <is>
          <t>Yes</t>
        </is>
      </c>
      <c r="N131" s="5" t="inlineStr"/>
      <c r="O131" s="8" t="inlineStr">
        <is>
          <t>126000</t>
        </is>
      </c>
      <c r="P131" s="5" t="inlineStr">
        <is>
          <t>0</t>
        </is>
      </c>
      <c r="Q131" s="5" t="inlineStr">
        <is>
          <t>3</t>
        </is>
      </c>
      <c r="R131" s="5" t="inlineStr">
        <is>
          <t>3</t>
        </is>
      </c>
      <c r="S131" s="5" t="inlineStr">
        <is>
          <t>8</t>
        </is>
      </c>
      <c r="T131" s="5" t="inlineStr">
        <is>
          <t>10</t>
        </is>
      </c>
      <c r="U131" s="5">
        <f>IFS(C131&lt;30,"Under 30",C131&lt;40,"30-39",C131&lt;50,"40-49",TRUE,"50+")</f>
        <v/>
      </c>
      <c r="V131" s="5">
        <f>IFS(O131&lt;60000,"Low (&lt;60k)",O131&lt;100000,"Mid (60-100k)",TRUE,"High (100k+)")</f>
        <v/>
      </c>
      <c r="W131" s="5">
        <f>IF(M131="No","Attrited","Active")</f>
        <v/>
      </c>
    </row>
    <row r="132">
      <c r="A132" s="5" t="inlineStr">
        <is>
          <t>E00131</t>
        </is>
      </c>
      <c r="B132" s="5" t="inlineStr">
        <is>
          <t>Male</t>
        </is>
      </c>
      <c r="C132" s="6" t="inlineStr">
        <is>
          <t>34</t>
        </is>
      </c>
      <c r="D132" s="5" t="inlineStr">
        <is>
          <t>Married</t>
        </is>
      </c>
      <c r="E132" s="5" t="inlineStr">
        <is>
          <t>Bachelor</t>
        </is>
      </c>
      <c r="F132" s="5" t="inlineStr">
        <is>
          <t>Operations</t>
        </is>
      </c>
      <c r="G132" s="5" t="inlineStr">
        <is>
          <t>Logistics Coordinator</t>
        </is>
      </c>
      <c r="H132" s="5" t="inlineStr">
        <is>
          <t>2</t>
        </is>
      </c>
      <c r="I132" s="5" t="inlineStr">
        <is>
          <t>Remote</t>
        </is>
      </c>
      <c r="J132" s="5" t="inlineStr">
        <is>
          <t>Full-Time</t>
        </is>
      </c>
      <c r="K132" s="7" t="n">
        <v>45030</v>
      </c>
      <c r="L132" s="7" t="inlineStr"/>
      <c r="M132" s="5" t="inlineStr">
        <is>
          <t>Yes</t>
        </is>
      </c>
      <c r="N132" s="5" t="inlineStr"/>
      <c r="O132" s="8" t="inlineStr">
        <is>
          <t>100000</t>
        </is>
      </c>
      <c r="P132" s="5" t="inlineStr">
        <is>
          <t>15</t>
        </is>
      </c>
      <c r="Q132" s="5" t="inlineStr">
        <is>
          <t>3</t>
        </is>
      </c>
      <c r="R132" s="5" t="inlineStr">
        <is>
          <t>4</t>
        </is>
      </c>
      <c r="S132" s="5" t="inlineStr">
        <is>
          <t>33</t>
        </is>
      </c>
      <c r="T132" s="5" t="inlineStr">
        <is>
          <t>12</t>
        </is>
      </c>
      <c r="U132" s="5">
        <f>IFS(C132&lt;30,"Under 30",C132&lt;40,"30-39",C132&lt;50,"40-49",TRUE,"50+")</f>
        <v/>
      </c>
      <c r="V132" s="5">
        <f>IFS(O132&lt;60000,"Low (&lt;60k)",O132&lt;100000,"Mid (60-100k)",TRUE,"High (100k+)")</f>
        <v/>
      </c>
      <c r="W132" s="5">
        <f>IF(M132="No","Attrited","Active")</f>
        <v/>
      </c>
    </row>
    <row r="133">
      <c r="A133" s="5" t="inlineStr">
        <is>
          <t>E00132</t>
        </is>
      </c>
      <c r="B133" s="5" t="inlineStr">
        <is>
          <t>Male</t>
        </is>
      </c>
      <c r="C133" s="6" t="inlineStr">
        <is>
          <t>27</t>
        </is>
      </c>
      <c r="D133" s="5" t="inlineStr">
        <is>
          <t>Married</t>
        </is>
      </c>
      <c r="E133" s="5" t="inlineStr">
        <is>
          <t>Diploma</t>
        </is>
      </c>
      <c r="F133" s="5" t="inlineStr">
        <is>
          <t>IT</t>
        </is>
      </c>
      <c r="G133" s="5" t="inlineStr">
        <is>
          <t>DevOps Engineer</t>
        </is>
      </c>
      <c r="H133" s="5" t="inlineStr">
        <is>
          <t>3</t>
        </is>
      </c>
      <c r="I133" s="5" t="inlineStr">
        <is>
          <t>Hyderabad</t>
        </is>
      </c>
      <c r="J133" s="5" t="inlineStr">
        <is>
          <t>Full-Time</t>
        </is>
      </c>
      <c r="K133" s="7" t="n">
        <v>45966</v>
      </c>
      <c r="L133" s="7" t="inlineStr"/>
      <c r="M133" s="5" t="inlineStr">
        <is>
          <t>Yes</t>
        </is>
      </c>
      <c r="N133" s="5" t="inlineStr"/>
      <c r="O133" s="8" t="inlineStr">
        <is>
          <t>143000</t>
        </is>
      </c>
      <c r="P133" s="5" t="inlineStr">
        <is>
          <t>0</t>
        </is>
      </c>
      <c r="Q133" s="5" t="inlineStr">
        <is>
          <t>3</t>
        </is>
      </c>
      <c r="R133" s="5" t="inlineStr">
        <is>
          <t>6</t>
        </is>
      </c>
      <c r="S133" s="5" t="inlineStr">
        <is>
          <t>1</t>
        </is>
      </c>
      <c r="T133" s="5" t="inlineStr">
        <is>
          <t>3</t>
        </is>
      </c>
      <c r="U133" s="5">
        <f>IFS(C133&lt;30,"Under 30",C133&lt;40,"30-39",C133&lt;50,"40-49",TRUE,"50+")</f>
        <v/>
      </c>
      <c r="V133" s="5">
        <f>IFS(O133&lt;60000,"Low (&lt;60k)",O133&lt;100000,"Mid (60-100k)",TRUE,"High (100k+)")</f>
        <v/>
      </c>
      <c r="W133" s="5">
        <f>IF(M133="No","Attrited","Active")</f>
        <v/>
      </c>
    </row>
    <row r="134">
      <c r="A134" s="5" t="inlineStr">
        <is>
          <t>E00133</t>
        </is>
      </c>
      <c r="B134" s="5" t="inlineStr">
        <is>
          <t>Female</t>
        </is>
      </c>
      <c r="C134" s="6" t="inlineStr">
        <is>
          <t>37</t>
        </is>
      </c>
      <c r="D134" s="5" t="inlineStr">
        <is>
          <t>Married</t>
        </is>
      </c>
      <c r="E134" s="5" t="inlineStr">
        <is>
          <t>Bachelor</t>
        </is>
      </c>
      <c r="F134" s="5" t="inlineStr">
        <is>
          <t>Sales</t>
        </is>
      </c>
      <c r="G134" s="5" t="inlineStr">
        <is>
          <t>Sales Executive</t>
        </is>
      </c>
      <c r="H134" s="5" t="inlineStr">
        <is>
          <t>3</t>
        </is>
      </c>
      <c r="I134" s="5" t="inlineStr">
        <is>
          <t>Bengaluru</t>
        </is>
      </c>
      <c r="J134" s="5" t="inlineStr">
        <is>
          <t>Full-Time</t>
        </is>
      </c>
      <c r="K134" s="7" t="n">
        <v>45926</v>
      </c>
      <c r="L134" s="7" t="inlineStr"/>
      <c r="M134" s="5" t="inlineStr">
        <is>
          <t>Yes</t>
        </is>
      </c>
      <c r="N134" s="5" t="inlineStr"/>
      <c r="O134" s="8" t="inlineStr">
        <is>
          <t>77500</t>
        </is>
      </c>
      <c r="P134" s="5" t="inlineStr">
        <is>
          <t>0</t>
        </is>
      </c>
      <c r="Q134" s="5" t="inlineStr">
        <is>
          <t>4</t>
        </is>
      </c>
      <c r="R134" s="5" t="inlineStr">
        <is>
          <t>8</t>
        </is>
      </c>
      <c r="S134" s="5" t="inlineStr">
        <is>
          <t>3</t>
        </is>
      </c>
      <c r="T134" s="5" t="inlineStr">
        <is>
          <t>3</t>
        </is>
      </c>
      <c r="U134" s="5">
        <f>IFS(C134&lt;30,"Under 30",C134&lt;40,"30-39",C134&lt;50,"40-49",TRUE,"50+")</f>
        <v/>
      </c>
      <c r="V134" s="5">
        <f>IFS(O134&lt;60000,"Low (&lt;60k)",O134&lt;100000,"Mid (60-100k)",TRUE,"High (100k+)")</f>
        <v/>
      </c>
      <c r="W134" s="5">
        <f>IF(M134="No","Attrited","Active")</f>
        <v/>
      </c>
    </row>
    <row r="135">
      <c r="A135" s="5" t="inlineStr">
        <is>
          <t>E00134</t>
        </is>
      </c>
      <c r="B135" s="5" t="inlineStr">
        <is>
          <t>Male</t>
        </is>
      </c>
      <c r="C135" s="6" t="inlineStr">
        <is>
          <t>28</t>
        </is>
      </c>
      <c r="D135" s="5" t="inlineStr">
        <is>
          <t>Married</t>
        </is>
      </c>
      <c r="E135" s="5" t="inlineStr">
        <is>
          <t>Bachelor</t>
        </is>
      </c>
      <c r="F135" s="5" t="inlineStr">
        <is>
          <t>Operations</t>
        </is>
      </c>
      <c r="G135" s="5" t="inlineStr">
        <is>
          <t>Logistics Coordinator</t>
        </is>
      </c>
      <c r="H135" s="5" t="inlineStr">
        <is>
          <t>1</t>
        </is>
      </c>
      <c r="I135" s="5" t="inlineStr">
        <is>
          <t>Bengaluru</t>
        </is>
      </c>
      <c r="J135" s="5" t="inlineStr">
        <is>
          <t>Full-Time</t>
        </is>
      </c>
      <c r="K135" s="7" t="n">
        <v>45095</v>
      </c>
      <c r="L135" s="7" t="inlineStr"/>
      <c r="M135" s="5" t="inlineStr">
        <is>
          <t>Yes</t>
        </is>
      </c>
      <c r="N135" s="5" t="inlineStr"/>
      <c r="O135" s="8" t="inlineStr">
        <is>
          <t>82500</t>
        </is>
      </c>
      <c r="P135" s="5" t="inlineStr">
        <is>
          <t>10</t>
        </is>
      </c>
      <c r="Q135" s="5" t="inlineStr">
        <is>
          <t>5</t>
        </is>
      </c>
      <c r="R135" s="5" t="inlineStr">
        <is>
          <t>4</t>
        </is>
      </c>
      <c r="S135" s="5" t="inlineStr">
        <is>
          <t>30</t>
        </is>
      </c>
      <c r="T135" s="5" t="inlineStr">
        <is>
          <t>13</t>
        </is>
      </c>
      <c r="U135" s="5">
        <f>IFS(C135&lt;30,"Under 30",C135&lt;40,"30-39",C135&lt;50,"40-49",TRUE,"50+")</f>
        <v/>
      </c>
      <c r="V135" s="5">
        <f>IFS(O135&lt;60000,"Low (&lt;60k)",O135&lt;100000,"Mid (60-100k)",TRUE,"High (100k+)")</f>
        <v/>
      </c>
      <c r="W135" s="5">
        <f>IF(M135="No","Attrited","Active")</f>
        <v/>
      </c>
    </row>
    <row r="136">
      <c r="A136" s="5" t="inlineStr">
        <is>
          <t>E00135</t>
        </is>
      </c>
      <c r="B136" s="5" t="inlineStr">
        <is>
          <t>Female</t>
        </is>
      </c>
      <c r="C136" s="6" t="inlineStr">
        <is>
          <t>33</t>
        </is>
      </c>
      <c r="D136" s="5" t="inlineStr">
        <is>
          <t>Married</t>
        </is>
      </c>
      <c r="E136" s="5" t="inlineStr">
        <is>
          <t>Bachelor</t>
        </is>
      </c>
      <c r="F136" s="5" t="inlineStr">
        <is>
          <t>Customer Support</t>
        </is>
      </c>
      <c r="G136" s="5" t="inlineStr">
        <is>
          <t>Escalation Specialist</t>
        </is>
      </c>
      <c r="H136" s="5" t="inlineStr">
        <is>
          <t>5</t>
        </is>
      </c>
      <c r="I136" s="5" t="inlineStr">
        <is>
          <t>Mumbai</t>
        </is>
      </c>
      <c r="J136" s="5" t="inlineStr">
        <is>
          <t>Part-Time</t>
        </is>
      </c>
      <c r="K136" s="7" t="n">
        <v>43990</v>
      </c>
      <c r="L136" s="7" t="inlineStr"/>
      <c r="M136" s="5" t="inlineStr">
        <is>
          <t>Yes</t>
        </is>
      </c>
      <c r="N136" s="5" t="inlineStr"/>
      <c r="O136" s="8" t="inlineStr">
        <is>
          <t>108500</t>
        </is>
      </c>
      <c r="P136" s="5" t="inlineStr">
        <is>
          <t>10</t>
        </is>
      </c>
      <c r="Q136" s="5" t="inlineStr">
        <is>
          <t>5</t>
        </is>
      </c>
      <c r="R136" s="5" t="inlineStr">
        <is>
          <t>7</t>
        </is>
      </c>
      <c r="S136" s="5" t="inlineStr">
        <is>
          <t>67</t>
        </is>
      </c>
      <c r="T136" s="5" t="inlineStr">
        <is>
          <t>0</t>
        </is>
      </c>
      <c r="U136" s="5">
        <f>IFS(C136&lt;30,"Under 30",C136&lt;40,"30-39",C136&lt;50,"40-49",TRUE,"50+")</f>
        <v/>
      </c>
      <c r="V136" s="5">
        <f>IFS(O136&lt;60000,"Low (&lt;60k)",O136&lt;100000,"Mid (60-100k)",TRUE,"High (100k+)")</f>
        <v/>
      </c>
      <c r="W136" s="5">
        <f>IF(M136="No","Attrited","Active")</f>
        <v/>
      </c>
    </row>
    <row r="137">
      <c r="A137" s="5" t="inlineStr">
        <is>
          <t>E00136</t>
        </is>
      </c>
      <c r="B137" s="5" t="inlineStr">
        <is>
          <t>Male</t>
        </is>
      </c>
      <c r="C137" s="6" t="inlineStr">
        <is>
          <t>35</t>
        </is>
      </c>
      <c r="D137" s="5" t="inlineStr">
        <is>
          <t>Married</t>
        </is>
      </c>
      <c r="E137" s="5" t="inlineStr">
        <is>
          <t>Bachelor</t>
        </is>
      </c>
      <c r="F137" s="5" t="inlineStr">
        <is>
          <t>Customer Support</t>
        </is>
      </c>
      <c r="G137" s="5" t="inlineStr">
        <is>
          <t>Support Agent</t>
        </is>
      </c>
      <c r="H137" s="5" t="inlineStr">
        <is>
          <t>2</t>
        </is>
      </c>
      <c r="I137" s="5" t="inlineStr">
        <is>
          <t>Bengaluru</t>
        </is>
      </c>
      <c r="J137" s="5" t="inlineStr">
        <is>
          <t>Full-Time</t>
        </is>
      </c>
      <c r="K137" s="7" t="n">
        <v>44141</v>
      </c>
      <c r="L137" s="7" t="inlineStr"/>
      <c r="M137" s="5" t="inlineStr">
        <is>
          <t>Yes</t>
        </is>
      </c>
      <c r="N137" s="5" t="inlineStr"/>
      <c r="O137" s="8" t="inlineStr">
        <is>
          <t>68500</t>
        </is>
      </c>
      <c r="P137" s="5" t="inlineStr">
        <is>
          <t>15</t>
        </is>
      </c>
      <c r="Q137" s="5" t="inlineStr">
        <is>
          <t>3</t>
        </is>
      </c>
      <c r="R137" s="5" t="inlineStr">
        <is>
          <t>4</t>
        </is>
      </c>
      <c r="S137" s="5" t="inlineStr">
        <is>
          <t>62</t>
        </is>
      </c>
      <c r="T137" s="5" t="inlineStr">
        <is>
          <t>0</t>
        </is>
      </c>
      <c r="U137" s="5">
        <f>IFS(C137&lt;30,"Under 30",C137&lt;40,"30-39",C137&lt;50,"40-49",TRUE,"50+")</f>
        <v/>
      </c>
      <c r="V137" s="5">
        <f>IFS(O137&lt;60000,"Low (&lt;60k)",O137&lt;100000,"Mid (60-100k)",TRUE,"High (100k+)")</f>
        <v/>
      </c>
      <c r="W137" s="5">
        <f>IF(M137="No","Attrited","Active")</f>
        <v/>
      </c>
    </row>
    <row r="138">
      <c r="A138" s="5" t="inlineStr">
        <is>
          <t>E00137</t>
        </is>
      </c>
      <c r="B138" s="5" t="inlineStr">
        <is>
          <t>Female</t>
        </is>
      </c>
      <c r="C138" s="6" t="inlineStr">
        <is>
          <t>36</t>
        </is>
      </c>
      <c r="D138" s="5" t="inlineStr">
        <is>
          <t>Married</t>
        </is>
      </c>
      <c r="E138" s="5" t="inlineStr">
        <is>
          <t>Bachelor</t>
        </is>
      </c>
      <c r="F138" s="5" t="inlineStr">
        <is>
          <t>IT</t>
        </is>
      </c>
      <c r="G138" s="5" t="inlineStr">
        <is>
          <t>DevOps Engineer</t>
        </is>
      </c>
      <c r="H138" s="5" t="inlineStr">
        <is>
          <t>2</t>
        </is>
      </c>
      <c r="I138" s="5" t="inlineStr">
        <is>
          <t>Hyderabad</t>
        </is>
      </c>
      <c r="J138" s="5" t="inlineStr">
        <is>
          <t>Full-Time</t>
        </is>
      </c>
      <c r="K138" s="7" t="n">
        <v>44409</v>
      </c>
      <c r="L138" s="7" t="inlineStr"/>
      <c r="M138" s="5" t="inlineStr">
        <is>
          <t>Yes</t>
        </is>
      </c>
      <c r="N138" s="5" t="inlineStr"/>
      <c r="O138" s="8" t="inlineStr">
        <is>
          <t>97500</t>
        </is>
      </c>
      <c r="P138" s="5" t="inlineStr">
        <is>
          <t>0</t>
        </is>
      </c>
      <c r="Q138" s="5" t="inlineStr">
        <is>
          <t>4</t>
        </is>
      </c>
      <c r="R138" s="5" t="inlineStr">
        <is>
          <t>5</t>
        </is>
      </c>
      <c r="S138" s="5" t="inlineStr">
        <is>
          <t>53</t>
        </is>
      </c>
      <c r="T138" s="5" t="inlineStr">
        <is>
          <t>10</t>
        </is>
      </c>
      <c r="U138" s="5">
        <f>IFS(C138&lt;30,"Under 30",C138&lt;40,"30-39",C138&lt;50,"40-49",TRUE,"50+")</f>
        <v/>
      </c>
      <c r="V138" s="5">
        <f>IFS(O138&lt;60000,"Low (&lt;60k)",O138&lt;100000,"Mid (60-100k)",TRUE,"High (100k+)")</f>
        <v/>
      </c>
      <c r="W138" s="5">
        <f>IF(M138="No","Attrited","Active")</f>
        <v/>
      </c>
    </row>
    <row r="139">
      <c r="A139" s="5" t="inlineStr">
        <is>
          <t>E00138</t>
        </is>
      </c>
      <c r="B139" s="5" t="inlineStr">
        <is>
          <t>Male</t>
        </is>
      </c>
      <c r="C139" s="6" t="inlineStr">
        <is>
          <t>32</t>
        </is>
      </c>
      <c r="D139" s="5" t="inlineStr">
        <is>
          <t>Married</t>
        </is>
      </c>
      <c r="E139" s="5" t="inlineStr">
        <is>
          <t>Master</t>
        </is>
      </c>
      <c r="F139" s="5" t="inlineStr">
        <is>
          <t>Sales</t>
        </is>
      </c>
      <c r="G139" s="5" t="inlineStr">
        <is>
          <t>Sales Executive</t>
        </is>
      </c>
      <c r="H139" s="5" t="inlineStr">
        <is>
          <t>3</t>
        </is>
      </c>
      <c r="I139" s="5" t="inlineStr">
        <is>
          <t>Delhi</t>
        </is>
      </c>
      <c r="J139" s="5" t="inlineStr">
        <is>
          <t>Full-Time</t>
        </is>
      </c>
      <c r="K139" s="7" t="n">
        <v>44395</v>
      </c>
      <c r="L139" s="7" t="inlineStr"/>
      <c r="M139" s="5" t="inlineStr">
        <is>
          <t>Yes</t>
        </is>
      </c>
      <c r="N139" s="5" t="inlineStr"/>
      <c r="O139" s="8" t="inlineStr">
        <is>
          <t>102500</t>
        </is>
      </c>
      <c r="P139" s="5" t="inlineStr">
        <is>
          <t>0</t>
        </is>
      </c>
      <c r="Q139" s="5" t="inlineStr">
        <is>
          <t>5</t>
        </is>
      </c>
      <c r="R139" s="5" t="inlineStr">
        <is>
          <t>1</t>
        </is>
      </c>
      <c r="S139" s="5" t="inlineStr">
        <is>
          <t>54</t>
        </is>
      </c>
      <c r="T139" s="5" t="inlineStr">
        <is>
          <t>13</t>
        </is>
      </c>
      <c r="U139" s="5">
        <f>IFS(C139&lt;30,"Under 30",C139&lt;40,"30-39",C139&lt;50,"40-49",TRUE,"50+")</f>
        <v/>
      </c>
      <c r="V139" s="5">
        <f>IFS(O139&lt;60000,"Low (&lt;60k)",O139&lt;100000,"Mid (60-100k)",TRUE,"High (100k+)")</f>
        <v/>
      </c>
      <c r="W139" s="5">
        <f>IF(M139="No","Attrited","Active")</f>
        <v/>
      </c>
    </row>
    <row r="140">
      <c r="A140" s="5" t="inlineStr">
        <is>
          <t>E00139</t>
        </is>
      </c>
      <c r="B140" s="5" t="inlineStr">
        <is>
          <t>Female</t>
        </is>
      </c>
      <c r="C140" s="6" t="inlineStr">
        <is>
          <t>32</t>
        </is>
      </c>
      <c r="D140" s="5" t="inlineStr">
        <is>
          <t>Married</t>
        </is>
      </c>
      <c r="E140" s="5" t="inlineStr">
        <is>
          <t>Diploma</t>
        </is>
      </c>
      <c r="F140" s="5" t="inlineStr">
        <is>
          <t>Operations</t>
        </is>
      </c>
      <c r="G140" s="5" t="inlineStr">
        <is>
          <t>Logistics Coordinator</t>
        </is>
      </c>
      <c r="H140" s="5" t="inlineStr">
        <is>
          <t>1</t>
        </is>
      </c>
      <c r="I140" s="5" t="inlineStr">
        <is>
          <t>Delhi</t>
        </is>
      </c>
      <c r="J140" s="5" t="inlineStr">
        <is>
          <t>Full-Time</t>
        </is>
      </c>
      <c r="K140" s="7" t="n">
        <v>44717</v>
      </c>
      <c r="L140" s="7" t="inlineStr"/>
      <c r="M140" s="5" t="inlineStr">
        <is>
          <t>Yes</t>
        </is>
      </c>
      <c r="N140" s="5" t="inlineStr"/>
      <c r="O140" s="8" t="inlineStr">
        <is>
          <t>78500</t>
        </is>
      </c>
      <c r="P140" s="5" t="inlineStr">
        <is>
          <t>0</t>
        </is>
      </c>
      <c r="Q140" s="5" t="inlineStr">
        <is>
          <t>4</t>
        </is>
      </c>
      <c r="R140" s="5" t="inlineStr">
        <is>
          <t>7</t>
        </is>
      </c>
      <c r="S140" s="5" t="inlineStr">
        <is>
          <t>43</t>
        </is>
      </c>
      <c r="T140" s="5" t="inlineStr">
        <is>
          <t>13</t>
        </is>
      </c>
      <c r="U140" s="5">
        <f>IFS(C140&lt;30,"Under 30",C140&lt;40,"30-39",C140&lt;50,"40-49",TRUE,"50+")</f>
        <v/>
      </c>
      <c r="V140" s="5">
        <f>IFS(O140&lt;60000,"Low (&lt;60k)",O140&lt;100000,"Mid (60-100k)",TRUE,"High (100k+)")</f>
        <v/>
      </c>
      <c r="W140" s="5">
        <f>IF(M140="No","Attrited","Active")</f>
        <v/>
      </c>
    </row>
    <row r="141">
      <c r="A141" s="5" t="inlineStr">
        <is>
          <t>E00140</t>
        </is>
      </c>
      <c r="B141" s="5" t="inlineStr">
        <is>
          <t>Female</t>
        </is>
      </c>
      <c r="C141" s="6" t="inlineStr">
        <is>
          <t>36</t>
        </is>
      </c>
      <c r="D141" s="5" t="inlineStr">
        <is>
          <t>Married</t>
        </is>
      </c>
      <c r="E141" s="5" t="inlineStr">
        <is>
          <t>High School</t>
        </is>
      </c>
      <c r="F141" s="5" t="inlineStr">
        <is>
          <t>Sales</t>
        </is>
      </c>
      <c r="G141" s="5" t="inlineStr">
        <is>
          <t>Sales Executive</t>
        </is>
      </c>
      <c r="H141" s="5" t="inlineStr">
        <is>
          <t>6</t>
        </is>
      </c>
      <c r="I141" s="5" t="inlineStr">
        <is>
          <t>Chennai</t>
        </is>
      </c>
      <c r="J141" s="5" t="inlineStr">
        <is>
          <t>Full-Time</t>
        </is>
      </c>
      <c r="K141" s="7" t="n">
        <v>45740</v>
      </c>
      <c r="L141" s="7" t="inlineStr"/>
      <c r="M141" s="5" t="inlineStr">
        <is>
          <t>Yes</t>
        </is>
      </c>
      <c r="N141" s="5" t="inlineStr"/>
      <c r="O141" s="8" t="inlineStr">
        <is>
          <t>119000</t>
        </is>
      </c>
      <c r="P141" s="5" t="inlineStr">
        <is>
          <t>15</t>
        </is>
      </c>
      <c r="Q141" s="5" t="inlineStr">
        <is>
          <t>4</t>
        </is>
      </c>
      <c r="R141" s="5" t="inlineStr">
        <is>
          <t>4</t>
        </is>
      </c>
      <c r="S141" s="5" t="inlineStr">
        <is>
          <t>9</t>
        </is>
      </c>
      <c r="T141" s="5" t="inlineStr">
        <is>
          <t>6</t>
        </is>
      </c>
      <c r="U141" s="5">
        <f>IFS(C141&lt;30,"Under 30",C141&lt;40,"30-39",C141&lt;50,"40-49",TRUE,"50+")</f>
        <v/>
      </c>
      <c r="V141" s="5">
        <f>IFS(O141&lt;60000,"Low (&lt;60k)",O141&lt;100000,"Mid (60-100k)",TRUE,"High (100k+)")</f>
        <v/>
      </c>
      <c r="W141" s="5">
        <f>IF(M141="No","Attrited","Active")</f>
        <v/>
      </c>
    </row>
    <row r="142">
      <c r="A142" s="5" t="inlineStr">
        <is>
          <t>E00141</t>
        </is>
      </c>
      <c r="B142" s="5" t="inlineStr">
        <is>
          <t>Female</t>
        </is>
      </c>
      <c r="C142" s="6" t="inlineStr">
        <is>
          <t>29</t>
        </is>
      </c>
      <c r="D142" s="5" t="inlineStr">
        <is>
          <t>Married</t>
        </is>
      </c>
      <c r="E142" s="5" t="inlineStr">
        <is>
          <t>Bachelor</t>
        </is>
      </c>
      <c r="F142" s="5" t="inlineStr">
        <is>
          <t>IT</t>
        </is>
      </c>
      <c r="G142" s="5" t="inlineStr">
        <is>
          <t>DevOps Engineer</t>
        </is>
      </c>
      <c r="H142" s="5" t="inlineStr">
        <is>
          <t>1</t>
        </is>
      </c>
      <c r="I142" s="5" t="inlineStr">
        <is>
          <t>Hyderabad</t>
        </is>
      </c>
      <c r="J142" s="5" t="inlineStr">
        <is>
          <t>Full-Time</t>
        </is>
      </c>
      <c r="K142" s="7" t="n">
        <v>43876</v>
      </c>
      <c r="L142" s="7" t="inlineStr"/>
      <c r="M142" s="5" t="inlineStr">
        <is>
          <t>Yes</t>
        </is>
      </c>
      <c r="N142" s="5" t="inlineStr"/>
      <c r="O142" s="8" t="inlineStr">
        <is>
          <t>99000</t>
        </is>
      </c>
      <c r="P142" s="5" t="inlineStr">
        <is>
          <t>20</t>
        </is>
      </c>
      <c r="Q142" s="5" t="inlineStr">
        <is>
          <t>5</t>
        </is>
      </c>
      <c r="R142" s="5" t="inlineStr">
        <is>
          <t>7</t>
        </is>
      </c>
      <c r="S142" s="5" t="inlineStr">
        <is>
          <t>71</t>
        </is>
      </c>
      <c r="T142" s="5" t="inlineStr">
        <is>
          <t>3</t>
        </is>
      </c>
      <c r="U142" s="5">
        <f>IFS(C142&lt;30,"Under 30",C142&lt;40,"30-39",C142&lt;50,"40-49",TRUE,"50+")</f>
        <v/>
      </c>
      <c r="V142" s="5">
        <f>IFS(O142&lt;60000,"Low (&lt;60k)",O142&lt;100000,"Mid (60-100k)",TRUE,"High (100k+)")</f>
        <v/>
      </c>
      <c r="W142" s="5">
        <f>IF(M142="No","Attrited","Active")</f>
        <v/>
      </c>
    </row>
    <row r="143">
      <c r="A143" s="5" t="inlineStr">
        <is>
          <t>E00142</t>
        </is>
      </c>
      <c r="B143" s="5" t="inlineStr">
        <is>
          <t>Male</t>
        </is>
      </c>
      <c r="C143" s="6" t="inlineStr">
        <is>
          <t>32</t>
        </is>
      </c>
      <c r="D143" s="5" t="inlineStr">
        <is>
          <t>Married</t>
        </is>
      </c>
      <c r="E143" s="5" t="inlineStr">
        <is>
          <t>Bachelor</t>
        </is>
      </c>
      <c r="F143" s="5" t="inlineStr">
        <is>
          <t>Finance</t>
        </is>
      </c>
      <c r="G143" s="5" t="inlineStr">
        <is>
          <t>Accountant</t>
        </is>
      </c>
      <c r="H143" s="5" t="inlineStr">
        <is>
          <t>1</t>
        </is>
      </c>
      <c r="I143" s="5" t="inlineStr">
        <is>
          <t>Hyderabad</t>
        </is>
      </c>
      <c r="J143" s="5" t="inlineStr">
        <is>
          <t>Full-Time</t>
        </is>
      </c>
      <c r="K143" s="7" t="n">
        <v>44763</v>
      </c>
      <c r="L143" s="7" t="inlineStr"/>
      <c r="M143" s="5" t="inlineStr">
        <is>
          <t>Yes</t>
        </is>
      </c>
      <c r="N143" s="5" t="inlineStr"/>
      <c r="O143" s="8" t="inlineStr">
        <is>
          <t>114500</t>
        </is>
      </c>
      <c r="P143" s="5" t="inlineStr">
        <is>
          <t>0</t>
        </is>
      </c>
      <c r="Q143" s="5" t="inlineStr">
        <is>
          <t>4</t>
        </is>
      </c>
      <c r="R143" s="5" t="inlineStr">
        <is>
          <t>8</t>
        </is>
      </c>
      <c r="S143" s="5" t="inlineStr">
        <is>
          <t>41</t>
        </is>
      </c>
      <c r="T143" s="5" t="inlineStr">
        <is>
          <t>0</t>
        </is>
      </c>
      <c r="U143" s="5">
        <f>IFS(C143&lt;30,"Under 30",C143&lt;40,"30-39",C143&lt;50,"40-49",TRUE,"50+")</f>
        <v/>
      </c>
      <c r="V143" s="5">
        <f>IFS(O143&lt;60000,"Low (&lt;60k)",O143&lt;100000,"Mid (60-100k)",TRUE,"High (100k+)")</f>
        <v/>
      </c>
      <c r="W143" s="5">
        <f>IF(M143="No","Attrited","Active")</f>
        <v/>
      </c>
    </row>
    <row r="144">
      <c r="A144" s="5" t="inlineStr">
        <is>
          <t>E00143</t>
        </is>
      </c>
      <c r="B144" s="5" t="inlineStr">
        <is>
          <t>Male</t>
        </is>
      </c>
      <c r="C144" s="6" t="inlineStr">
        <is>
          <t>34</t>
        </is>
      </c>
      <c r="D144" s="5" t="inlineStr">
        <is>
          <t>Single</t>
        </is>
      </c>
      <c r="E144" s="5" t="inlineStr">
        <is>
          <t>Bachelor</t>
        </is>
      </c>
      <c r="F144" s="5" t="inlineStr">
        <is>
          <t>Marketing</t>
        </is>
      </c>
      <c r="G144" s="5" t="inlineStr">
        <is>
          <t>Content Writer</t>
        </is>
      </c>
      <c r="H144" s="5" t="inlineStr">
        <is>
          <t>1</t>
        </is>
      </c>
      <c r="I144" s="5" t="inlineStr">
        <is>
          <t>Chennai</t>
        </is>
      </c>
      <c r="J144" s="5" t="inlineStr">
        <is>
          <t>Full-Time</t>
        </is>
      </c>
      <c r="K144" s="7" t="n">
        <v>45626</v>
      </c>
      <c r="L144" s="7" t="n">
        <v>45664</v>
      </c>
      <c r="M144" s="5" t="inlineStr">
        <is>
          <t>No</t>
        </is>
      </c>
      <c r="N144" s="5" t="inlineStr">
        <is>
          <t>Resigned</t>
        </is>
      </c>
      <c r="O144" s="8" t="inlineStr">
        <is>
          <t>56000</t>
        </is>
      </c>
      <c r="P144" s="5" t="inlineStr">
        <is>
          <t>20</t>
        </is>
      </c>
      <c r="Q144" s="5" t="inlineStr">
        <is>
          <t>3</t>
        </is>
      </c>
      <c r="R144" s="5" t="inlineStr">
        <is>
          <t>5</t>
        </is>
      </c>
      <c r="S144" s="5" t="inlineStr">
        <is>
          <t>1</t>
        </is>
      </c>
      <c r="T144" s="5" t="inlineStr">
        <is>
          <t>9</t>
        </is>
      </c>
      <c r="U144" s="5">
        <f>IFS(C144&lt;30,"Under 30",C144&lt;40,"30-39",C144&lt;50,"40-49",TRUE,"50+")</f>
        <v/>
      </c>
      <c r="V144" s="5">
        <f>IFS(O144&lt;60000,"Low (&lt;60k)",O144&lt;100000,"Mid (60-100k)",TRUE,"High (100k+)")</f>
        <v/>
      </c>
      <c r="W144" s="5">
        <f>IF(M144="No","Attrited","Active")</f>
        <v/>
      </c>
    </row>
    <row r="145">
      <c r="A145" s="5" t="inlineStr">
        <is>
          <t>E00144</t>
        </is>
      </c>
      <c r="B145" s="5" t="inlineStr">
        <is>
          <t>Male</t>
        </is>
      </c>
      <c r="C145" s="6" t="inlineStr">
        <is>
          <t>31</t>
        </is>
      </c>
      <c r="D145" s="5" t="inlineStr">
        <is>
          <t>Married</t>
        </is>
      </c>
      <c r="E145" s="5" t="inlineStr">
        <is>
          <t>Master</t>
        </is>
      </c>
      <c r="F145" s="5" t="inlineStr">
        <is>
          <t>Human Resources</t>
        </is>
      </c>
      <c r="G145" s="5" t="inlineStr">
        <is>
          <t>Recruiter</t>
        </is>
      </c>
      <c r="H145" s="5" t="inlineStr">
        <is>
          <t>5</t>
        </is>
      </c>
      <c r="I145" s="5" t="inlineStr">
        <is>
          <t>Chennai</t>
        </is>
      </c>
      <c r="J145" s="5" t="inlineStr">
        <is>
          <t>Contract</t>
        </is>
      </c>
      <c r="K145" s="7" t="n">
        <v>45211</v>
      </c>
      <c r="L145" s="7" t="inlineStr"/>
      <c r="M145" s="5" t="inlineStr">
        <is>
          <t>Yes</t>
        </is>
      </c>
      <c r="N145" s="5" t="inlineStr"/>
      <c r="O145" s="8" t="inlineStr">
        <is>
          <t>130000</t>
        </is>
      </c>
      <c r="P145" s="5" t="inlineStr">
        <is>
          <t>10</t>
        </is>
      </c>
      <c r="Q145" s="5" t="inlineStr">
        <is>
          <t>5</t>
        </is>
      </c>
      <c r="R145" s="5" t="inlineStr">
        <is>
          <t>4</t>
        </is>
      </c>
      <c r="S145" s="5" t="inlineStr">
        <is>
          <t>27</t>
        </is>
      </c>
      <c r="T145" s="5" t="inlineStr">
        <is>
          <t>0</t>
        </is>
      </c>
      <c r="U145" s="5">
        <f>IFS(C145&lt;30,"Under 30",C145&lt;40,"30-39",C145&lt;50,"40-49",TRUE,"50+")</f>
        <v/>
      </c>
      <c r="V145" s="5">
        <f>IFS(O145&lt;60000,"Low (&lt;60k)",O145&lt;100000,"Mid (60-100k)",TRUE,"High (100k+)")</f>
        <v/>
      </c>
      <c r="W145" s="5">
        <f>IF(M145="No","Attrited","Active")</f>
        <v/>
      </c>
    </row>
    <row r="146">
      <c r="A146" s="5" t="inlineStr">
        <is>
          <t>E00145</t>
        </is>
      </c>
      <c r="B146" s="5" t="inlineStr">
        <is>
          <t>Female</t>
        </is>
      </c>
      <c r="C146" s="6" t="inlineStr">
        <is>
          <t>36</t>
        </is>
      </c>
      <c r="D146" s="5" t="inlineStr">
        <is>
          <t>Married</t>
        </is>
      </c>
      <c r="E146" s="5" t="inlineStr">
        <is>
          <t>Bachelor</t>
        </is>
      </c>
      <c r="F146" s="5" t="inlineStr">
        <is>
          <t>Operations</t>
        </is>
      </c>
      <c r="G146" s="5" t="inlineStr">
        <is>
          <t>Logistics Coordinator</t>
        </is>
      </c>
      <c r="H146" s="5" t="inlineStr">
        <is>
          <t>3</t>
        </is>
      </c>
      <c r="I146" s="5" t="inlineStr">
        <is>
          <t>Hyderabad</t>
        </is>
      </c>
      <c r="J146" s="5" t="inlineStr">
        <is>
          <t>Full-Time</t>
        </is>
      </c>
      <c r="K146" s="7" t="n">
        <v>45932</v>
      </c>
      <c r="L146" s="7" t="inlineStr"/>
      <c r="M146" s="5" t="inlineStr">
        <is>
          <t>Yes</t>
        </is>
      </c>
      <c r="N146" s="5" t="inlineStr"/>
      <c r="O146" s="8" t="inlineStr">
        <is>
          <t>101500</t>
        </is>
      </c>
      <c r="P146" s="5" t="inlineStr">
        <is>
          <t>15</t>
        </is>
      </c>
      <c r="Q146" s="5" t="inlineStr">
        <is>
          <t>5</t>
        </is>
      </c>
      <c r="R146" s="5" t="inlineStr">
        <is>
          <t>6</t>
        </is>
      </c>
      <c r="S146" s="5" t="inlineStr">
        <is>
          <t>3</t>
        </is>
      </c>
      <c r="T146" s="5" t="inlineStr">
        <is>
          <t>2</t>
        </is>
      </c>
      <c r="U146" s="5">
        <f>IFS(C146&lt;30,"Under 30",C146&lt;40,"30-39",C146&lt;50,"40-49",TRUE,"50+")</f>
        <v/>
      </c>
      <c r="V146" s="5">
        <f>IFS(O146&lt;60000,"Low (&lt;60k)",O146&lt;100000,"Mid (60-100k)",TRUE,"High (100k+)")</f>
        <v/>
      </c>
      <c r="W146" s="5">
        <f>IF(M146="No","Attrited","Active")</f>
        <v/>
      </c>
    </row>
    <row r="147">
      <c r="A147" s="5" t="inlineStr">
        <is>
          <t>E00146</t>
        </is>
      </c>
      <c r="B147" s="5" t="inlineStr">
        <is>
          <t>Female</t>
        </is>
      </c>
      <c r="C147" s="6" t="inlineStr">
        <is>
          <t>29</t>
        </is>
      </c>
      <c r="D147" s="5" t="inlineStr">
        <is>
          <t>Married</t>
        </is>
      </c>
      <c r="E147" s="5" t="inlineStr">
        <is>
          <t>PhD</t>
        </is>
      </c>
      <c r="F147" s="5" t="inlineStr">
        <is>
          <t>Executive</t>
        </is>
      </c>
      <c r="G147" s="5" t="inlineStr">
        <is>
          <t>CFO</t>
        </is>
      </c>
      <c r="H147" s="5" t="inlineStr">
        <is>
          <t>2</t>
        </is>
      </c>
      <c r="I147" s="5" t="inlineStr">
        <is>
          <t>Chennai</t>
        </is>
      </c>
      <c r="J147" s="5" t="inlineStr">
        <is>
          <t>Full-Time</t>
        </is>
      </c>
      <c r="K147" s="7" t="n">
        <v>45587</v>
      </c>
      <c r="L147" s="7" t="inlineStr"/>
      <c r="M147" s="5" t="inlineStr">
        <is>
          <t>Yes</t>
        </is>
      </c>
      <c r="N147" s="5" t="inlineStr"/>
      <c r="O147" s="8" t="inlineStr">
        <is>
          <t>262000</t>
        </is>
      </c>
      <c r="P147" s="5" t="inlineStr">
        <is>
          <t>15</t>
        </is>
      </c>
      <c r="Q147" s="5" t="inlineStr">
        <is>
          <t>4</t>
        </is>
      </c>
      <c r="R147" s="5" t="inlineStr">
        <is>
          <t>7</t>
        </is>
      </c>
      <c r="S147" s="5" t="inlineStr">
        <is>
          <t>14</t>
        </is>
      </c>
      <c r="T147" s="5" t="inlineStr">
        <is>
          <t>16</t>
        </is>
      </c>
      <c r="U147" s="5">
        <f>IFS(C147&lt;30,"Under 30",C147&lt;40,"30-39",C147&lt;50,"40-49",TRUE,"50+")</f>
        <v/>
      </c>
      <c r="V147" s="5">
        <f>IFS(O147&lt;60000,"Low (&lt;60k)",O147&lt;100000,"Mid (60-100k)",TRUE,"High (100k+)")</f>
        <v/>
      </c>
      <c r="W147" s="5">
        <f>IF(M147="No","Attrited","Active")</f>
        <v/>
      </c>
    </row>
    <row r="148">
      <c r="A148" s="5" t="inlineStr">
        <is>
          <t>E00147</t>
        </is>
      </c>
      <c r="B148" s="5" t="inlineStr">
        <is>
          <t>Male</t>
        </is>
      </c>
      <c r="C148" s="6" t="inlineStr">
        <is>
          <t>25</t>
        </is>
      </c>
      <c r="D148" s="5" t="inlineStr">
        <is>
          <t>Married</t>
        </is>
      </c>
      <c r="E148" s="5" t="inlineStr">
        <is>
          <t>Bachelor</t>
        </is>
      </c>
      <c r="F148" s="5" t="inlineStr">
        <is>
          <t>Operations</t>
        </is>
      </c>
      <c r="G148" s="5" t="inlineStr">
        <is>
          <t>Operations Analyst</t>
        </is>
      </c>
      <c r="H148" s="5" t="inlineStr">
        <is>
          <t>1</t>
        </is>
      </c>
      <c r="I148" s="5" t="inlineStr">
        <is>
          <t>Delhi</t>
        </is>
      </c>
      <c r="J148" s="5" t="inlineStr">
        <is>
          <t>Full-Time</t>
        </is>
      </c>
      <c r="K148" s="7" t="n">
        <v>45854</v>
      </c>
      <c r="L148" s="7" t="n">
        <v>45953</v>
      </c>
      <c r="M148" s="5" t="inlineStr">
        <is>
          <t>No</t>
        </is>
      </c>
      <c r="N148" s="5" t="inlineStr">
        <is>
          <t>Layoff</t>
        </is>
      </c>
      <c r="O148" s="8" t="inlineStr">
        <is>
          <t>74500</t>
        </is>
      </c>
      <c r="P148" s="5" t="inlineStr">
        <is>
          <t>5</t>
        </is>
      </c>
      <c r="Q148" s="5" t="inlineStr">
        <is>
          <t>3</t>
        </is>
      </c>
      <c r="R148" s="5" t="inlineStr">
        <is>
          <t>5</t>
        </is>
      </c>
      <c r="S148" s="5" t="inlineStr">
        <is>
          <t>3</t>
        </is>
      </c>
      <c r="T148" s="5" t="inlineStr">
        <is>
          <t>12</t>
        </is>
      </c>
      <c r="U148" s="5">
        <f>IFS(C148&lt;30,"Under 30",C148&lt;40,"30-39",C148&lt;50,"40-49",TRUE,"50+")</f>
        <v/>
      </c>
      <c r="V148" s="5">
        <f>IFS(O148&lt;60000,"Low (&lt;60k)",O148&lt;100000,"Mid (60-100k)",TRUE,"High (100k+)")</f>
        <v/>
      </c>
      <c r="W148" s="5">
        <f>IF(M148="No","Attrited","Active")</f>
        <v/>
      </c>
    </row>
    <row r="149">
      <c r="A149" s="5" t="inlineStr">
        <is>
          <t>E00148</t>
        </is>
      </c>
      <c r="B149" s="5" t="inlineStr">
        <is>
          <t>Male</t>
        </is>
      </c>
      <c r="C149" s="6" t="inlineStr">
        <is>
          <t>34</t>
        </is>
      </c>
      <c r="D149" s="5" t="inlineStr">
        <is>
          <t>Married</t>
        </is>
      </c>
      <c r="E149" s="5" t="inlineStr">
        <is>
          <t>Master</t>
        </is>
      </c>
      <c r="F149" s="5" t="inlineStr">
        <is>
          <t>Human Resources</t>
        </is>
      </c>
      <c r="G149" s="5" t="inlineStr">
        <is>
          <t>HR Generalist</t>
        </is>
      </c>
      <c r="H149" s="5" t="inlineStr">
        <is>
          <t>3</t>
        </is>
      </c>
      <c r="I149" s="5" t="inlineStr">
        <is>
          <t>Hyderabad</t>
        </is>
      </c>
      <c r="J149" s="5" t="inlineStr">
        <is>
          <t>Full-Time</t>
        </is>
      </c>
      <c r="K149" s="7" t="n">
        <v>44649</v>
      </c>
      <c r="L149" s="7" t="inlineStr"/>
      <c r="M149" s="5" t="inlineStr">
        <is>
          <t>Yes</t>
        </is>
      </c>
      <c r="N149" s="5" t="inlineStr"/>
      <c r="O149" s="8" t="inlineStr">
        <is>
          <t>97000</t>
        </is>
      </c>
      <c r="P149" s="5" t="inlineStr">
        <is>
          <t>0</t>
        </is>
      </c>
      <c r="Q149" s="5" t="inlineStr">
        <is>
          <t>3</t>
        </is>
      </c>
      <c r="R149" s="5" t="inlineStr">
        <is>
          <t>6</t>
        </is>
      </c>
      <c r="S149" s="5" t="inlineStr">
        <is>
          <t>45</t>
        </is>
      </c>
      <c r="T149" s="5" t="inlineStr">
        <is>
          <t>7</t>
        </is>
      </c>
      <c r="U149" s="5">
        <f>IFS(C149&lt;30,"Under 30",C149&lt;40,"30-39",C149&lt;50,"40-49",TRUE,"50+")</f>
        <v/>
      </c>
      <c r="V149" s="5">
        <f>IFS(O149&lt;60000,"Low (&lt;60k)",O149&lt;100000,"Mid (60-100k)",TRUE,"High (100k+)")</f>
        <v/>
      </c>
      <c r="W149" s="5">
        <f>IF(M149="No","Attrited","Active")</f>
        <v/>
      </c>
    </row>
    <row r="150">
      <c r="A150" s="5" t="inlineStr">
        <is>
          <t>E00149</t>
        </is>
      </c>
      <c r="B150" s="5" t="inlineStr">
        <is>
          <t>Male</t>
        </is>
      </c>
      <c r="C150" s="6" t="inlineStr">
        <is>
          <t>34</t>
        </is>
      </c>
      <c r="D150" s="5" t="inlineStr">
        <is>
          <t>Married</t>
        </is>
      </c>
      <c r="E150" s="5" t="inlineStr">
        <is>
          <t>Diploma</t>
        </is>
      </c>
      <c r="F150" s="5" t="inlineStr">
        <is>
          <t>Research &amp; Development</t>
        </is>
      </c>
      <c r="G150" s="5" t="inlineStr">
        <is>
          <t>Data Scientist</t>
        </is>
      </c>
      <c r="H150" s="5" t="inlineStr">
        <is>
          <t>4</t>
        </is>
      </c>
      <c r="I150" s="5" t="inlineStr">
        <is>
          <t>Remote</t>
        </is>
      </c>
      <c r="J150" s="5" t="inlineStr">
        <is>
          <t>Full-Time</t>
        </is>
      </c>
      <c r="K150" s="7" t="n">
        <v>45906</v>
      </c>
      <c r="L150" s="7" t="inlineStr"/>
      <c r="M150" s="5" t="inlineStr">
        <is>
          <t>Yes</t>
        </is>
      </c>
      <c r="N150" s="5" t="inlineStr"/>
      <c r="O150" s="8" t="inlineStr">
        <is>
          <t>172500</t>
        </is>
      </c>
      <c r="P150" s="5" t="inlineStr">
        <is>
          <t>15</t>
        </is>
      </c>
      <c r="Q150" s="5" t="inlineStr">
        <is>
          <t>4</t>
        </is>
      </c>
      <c r="R150" s="5" t="inlineStr">
        <is>
          <t>7</t>
        </is>
      </c>
      <c r="S150" s="5" t="inlineStr">
        <is>
          <t>3</t>
        </is>
      </c>
      <c r="T150" s="5" t="inlineStr">
        <is>
          <t>7</t>
        </is>
      </c>
      <c r="U150" s="5">
        <f>IFS(C150&lt;30,"Under 30",C150&lt;40,"30-39",C150&lt;50,"40-49",TRUE,"50+")</f>
        <v/>
      </c>
      <c r="V150" s="5">
        <f>IFS(O150&lt;60000,"Low (&lt;60k)",O150&lt;100000,"Mid (60-100k)",TRUE,"High (100k+)")</f>
        <v/>
      </c>
      <c r="W150" s="5">
        <f>IF(M150="No","Attrited","Active")</f>
        <v/>
      </c>
    </row>
    <row r="151">
      <c r="A151" s="5" t="inlineStr">
        <is>
          <t>E00150</t>
        </is>
      </c>
      <c r="B151" s="5" t="inlineStr">
        <is>
          <t>Male</t>
        </is>
      </c>
      <c r="C151" s="6" t="inlineStr">
        <is>
          <t>30</t>
        </is>
      </c>
      <c r="D151" s="5" t="inlineStr">
        <is>
          <t>Single</t>
        </is>
      </c>
      <c r="E151" s="5" t="inlineStr">
        <is>
          <t>PhD</t>
        </is>
      </c>
      <c r="F151" s="5" t="inlineStr">
        <is>
          <t>Human Resources</t>
        </is>
      </c>
      <c r="G151" s="5" t="inlineStr">
        <is>
          <t>Recruiter</t>
        </is>
      </c>
      <c r="H151" s="5" t="inlineStr">
        <is>
          <t>1</t>
        </is>
      </c>
      <c r="I151" s="5" t="inlineStr">
        <is>
          <t>Mumbai</t>
        </is>
      </c>
      <c r="J151" s="5" t="inlineStr">
        <is>
          <t>Full-Time</t>
        </is>
      </c>
      <c r="K151" s="7" t="n">
        <v>46005</v>
      </c>
      <c r="L151" s="7" t="inlineStr"/>
      <c r="M151" s="5" t="inlineStr">
        <is>
          <t>Yes</t>
        </is>
      </c>
      <c r="N151" s="5" t="inlineStr"/>
      <c r="O151" s="8" t="inlineStr">
        <is>
          <t>66500</t>
        </is>
      </c>
      <c r="P151" s="5" t="inlineStr">
        <is>
          <t>0</t>
        </is>
      </c>
      <c r="Q151" s="5" t="inlineStr">
        <is>
          <t>5</t>
        </is>
      </c>
      <c r="R151" s="5" t="inlineStr">
        <is>
          <t>5</t>
        </is>
      </c>
      <c r="S151" s="5" t="inlineStr">
        <is>
          <t>1</t>
        </is>
      </c>
      <c r="T151" s="5" t="inlineStr">
        <is>
          <t>16</t>
        </is>
      </c>
      <c r="U151" s="5">
        <f>IFS(C151&lt;30,"Under 30",C151&lt;40,"30-39",C151&lt;50,"40-49",TRUE,"50+")</f>
        <v/>
      </c>
      <c r="V151" s="5">
        <f>IFS(O151&lt;60000,"Low (&lt;60k)",O151&lt;100000,"Mid (60-100k)",TRUE,"High (100k+)")</f>
        <v/>
      </c>
      <c r="W151" s="5">
        <f>IF(M151="No","Attrited","Active")</f>
        <v/>
      </c>
    </row>
    <row r="152">
      <c r="A152" s="5" t="inlineStr">
        <is>
          <t>E00151</t>
        </is>
      </c>
      <c r="B152" s="5" t="inlineStr">
        <is>
          <t>Male</t>
        </is>
      </c>
      <c r="C152" s="6" t="inlineStr">
        <is>
          <t>29</t>
        </is>
      </c>
      <c r="D152" s="5" t="inlineStr">
        <is>
          <t>Single</t>
        </is>
      </c>
      <c r="E152" s="5" t="inlineStr">
        <is>
          <t>High School</t>
        </is>
      </c>
      <c r="F152" s="5" t="inlineStr">
        <is>
          <t>Sales</t>
        </is>
      </c>
      <c r="G152" s="5" t="inlineStr">
        <is>
          <t>Account Executive</t>
        </is>
      </c>
      <c r="H152" s="5" t="inlineStr">
        <is>
          <t>1</t>
        </is>
      </c>
      <c r="I152" s="5" t="inlineStr">
        <is>
          <t>Mumbai</t>
        </is>
      </c>
      <c r="J152" s="5" t="inlineStr">
        <is>
          <t>Full-Time</t>
        </is>
      </c>
      <c r="K152" s="7" t="n">
        <v>45874</v>
      </c>
      <c r="L152" s="7" t="n">
        <v>45951</v>
      </c>
      <c r="M152" s="5" t="inlineStr">
        <is>
          <t>No</t>
        </is>
      </c>
      <c r="N152" s="5" t="inlineStr">
        <is>
          <t>Relocation</t>
        </is>
      </c>
      <c r="O152" s="8" t="inlineStr">
        <is>
          <t>63000</t>
        </is>
      </c>
      <c r="P152" s="5" t="inlineStr">
        <is>
          <t>20</t>
        </is>
      </c>
      <c r="Q152" s="5" t="inlineStr">
        <is>
          <t>4</t>
        </is>
      </c>
      <c r="R152" s="5" t="inlineStr">
        <is>
          <t>7</t>
        </is>
      </c>
      <c r="S152" s="5" t="inlineStr">
        <is>
          <t>2</t>
        </is>
      </c>
      <c r="T152" s="5" t="inlineStr">
        <is>
          <t>0</t>
        </is>
      </c>
      <c r="U152" s="5">
        <f>IFS(C152&lt;30,"Under 30",C152&lt;40,"30-39",C152&lt;50,"40-49",TRUE,"50+")</f>
        <v/>
      </c>
      <c r="V152" s="5">
        <f>IFS(O152&lt;60000,"Low (&lt;60k)",O152&lt;100000,"Mid (60-100k)",TRUE,"High (100k+)")</f>
        <v/>
      </c>
      <c r="W152" s="5">
        <f>IF(M152="No","Attrited","Active")</f>
        <v/>
      </c>
    </row>
    <row r="153">
      <c r="A153" s="5" t="inlineStr">
        <is>
          <t>E00152</t>
        </is>
      </c>
      <c r="B153" s="5" t="inlineStr">
        <is>
          <t>Female</t>
        </is>
      </c>
      <c r="C153" s="6" t="inlineStr">
        <is>
          <t>38</t>
        </is>
      </c>
      <c r="D153" s="5" t="inlineStr">
        <is>
          <t>Single</t>
        </is>
      </c>
      <c r="E153" s="5" t="inlineStr">
        <is>
          <t>High School</t>
        </is>
      </c>
      <c r="F153" s="5" t="inlineStr">
        <is>
          <t>Operations</t>
        </is>
      </c>
      <c r="G153" s="5" t="inlineStr">
        <is>
          <t>Quality Analyst</t>
        </is>
      </c>
      <c r="H153" s="5" t="inlineStr">
        <is>
          <t>5</t>
        </is>
      </c>
      <c r="I153" s="5" t="inlineStr">
        <is>
          <t>Chennai</t>
        </is>
      </c>
      <c r="J153" s="5" t="inlineStr">
        <is>
          <t>Full-Time</t>
        </is>
      </c>
      <c r="K153" s="7" t="n">
        <v>44938</v>
      </c>
      <c r="L153" s="7" t="inlineStr"/>
      <c r="M153" s="5" t="inlineStr">
        <is>
          <t>Yes</t>
        </is>
      </c>
      <c r="N153" s="5" t="inlineStr"/>
      <c r="O153" s="8" t="inlineStr">
        <is>
          <t>148000</t>
        </is>
      </c>
      <c r="P153" s="5" t="inlineStr">
        <is>
          <t>10</t>
        </is>
      </c>
      <c r="Q153" s="5" t="inlineStr">
        <is>
          <t>4</t>
        </is>
      </c>
      <c r="R153" s="5" t="inlineStr">
        <is>
          <t>6</t>
        </is>
      </c>
      <c r="S153" s="5" t="inlineStr">
        <is>
          <t>36</t>
        </is>
      </c>
      <c r="T153" s="5" t="inlineStr">
        <is>
          <t>15</t>
        </is>
      </c>
      <c r="U153" s="5">
        <f>IFS(C153&lt;30,"Under 30",C153&lt;40,"30-39",C153&lt;50,"40-49",TRUE,"50+")</f>
        <v/>
      </c>
      <c r="V153" s="5">
        <f>IFS(O153&lt;60000,"Low (&lt;60k)",O153&lt;100000,"Mid (60-100k)",TRUE,"High (100k+)")</f>
        <v/>
      </c>
      <c r="W153" s="5">
        <f>IF(M153="No","Attrited","Active")</f>
        <v/>
      </c>
    </row>
    <row r="154">
      <c r="A154" s="5" t="inlineStr">
        <is>
          <t>E00153</t>
        </is>
      </c>
      <c r="B154" s="5" t="inlineStr">
        <is>
          <t>Male</t>
        </is>
      </c>
      <c r="C154" s="6" t="inlineStr">
        <is>
          <t>28</t>
        </is>
      </c>
      <c r="D154" s="5" t="inlineStr">
        <is>
          <t>Married</t>
        </is>
      </c>
      <c r="E154" s="5" t="inlineStr">
        <is>
          <t>High School</t>
        </is>
      </c>
      <c r="F154" s="5" t="inlineStr">
        <is>
          <t>IT</t>
        </is>
      </c>
      <c r="G154" s="5" t="inlineStr">
        <is>
          <t>Data Analyst</t>
        </is>
      </c>
      <c r="H154" s="5" t="inlineStr">
        <is>
          <t>2</t>
        </is>
      </c>
      <c r="I154" s="5" t="inlineStr">
        <is>
          <t>Remote</t>
        </is>
      </c>
      <c r="J154" s="5" t="inlineStr">
        <is>
          <t>Full-Time</t>
        </is>
      </c>
      <c r="K154" s="7" t="n">
        <v>45534</v>
      </c>
      <c r="L154" s="7" t="n">
        <v>45583</v>
      </c>
      <c r="M154" s="5" t="inlineStr">
        <is>
          <t>No</t>
        </is>
      </c>
      <c r="N154" s="5" t="inlineStr">
        <is>
          <t>Resigned</t>
        </is>
      </c>
      <c r="O154" s="8" t="inlineStr">
        <is>
          <t>138000</t>
        </is>
      </c>
      <c r="P154" s="5" t="inlineStr">
        <is>
          <t>15</t>
        </is>
      </c>
      <c r="Q154" s="5" t="inlineStr">
        <is>
          <t>5</t>
        </is>
      </c>
      <c r="R154" s="5" t="inlineStr">
        <is>
          <t>9</t>
        </is>
      </c>
      <c r="S154" s="5" t="inlineStr">
        <is>
          <t>1</t>
        </is>
      </c>
      <c r="T154" s="5" t="inlineStr">
        <is>
          <t>2</t>
        </is>
      </c>
      <c r="U154" s="5">
        <f>IFS(C154&lt;30,"Under 30",C154&lt;40,"30-39",C154&lt;50,"40-49",TRUE,"50+")</f>
        <v/>
      </c>
      <c r="V154" s="5">
        <f>IFS(O154&lt;60000,"Low (&lt;60k)",O154&lt;100000,"Mid (60-100k)",TRUE,"High (100k+)")</f>
        <v/>
      </c>
      <c r="W154" s="5">
        <f>IF(M154="No","Attrited","Active")</f>
        <v/>
      </c>
    </row>
    <row r="155">
      <c r="A155" s="5" t="inlineStr">
        <is>
          <t>E00154</t>
        </is>
      </c>
      <c r="B155" s="5" t="inlineStr">
        <is>
          <t>Male</t>
        </is>
      </c>
      <c r="C155" s="6" t="inlineStr">
        <is>
          <t>33</t>
        </is>
      </c>
      <c r="D155" s="5" t="inlineStr">
        <is>
          <t>Married</t>
        </is>
      </c>
      <c r="E155" s="5" t="inlineStr">
        <is>
          <t>Master</t>
        </is>
      </c>
      <c r="F155" s="5" t="inlineStr">
        <is>
          <t>Sales</t>
        </is>
      </c>
      <c r="G155" s="5" t="inlineStr">
        <is>
          <t>Account Executive</t>
        </is>
      </c>
      <c r="H155" s="5" t="inlineStr">
        <is>
          <t>4</t>
        </is>
      </c>
      <c r="I155" s="5" t="inlineStr">
        <is>
          <t>Delhi</t>
        </is>
      </c>
      <c r="J155" s="5" t="inlineStr">
        <is>
          <t>Full-Time</t>
        </is>
      </c>
      <c r="K155" s="7" t="n">
        <v>45018</v>
      </c>
      <c r="L155" s="7" t="inlineStr"/>
      <c r="M155" s="5" t="inlineStr">
        <is>
          <t>Yes</t>
        </is>
      </c>
      <c r="N155" s="5" t="inlineStr"/>
      <c r="O155" s="8" t="inlineStr">
        <is>
          <t>150000</t>
        </is>
      </c>
      <c r="P155" s="5" t="inlineStr">
        <is>
          <t>0</t>
        </is>
      </c>
      <c r="Q155" s="5" t="inlineStr">
        <is>
          <t>5</t>
        </is>
      </c>
      <c r="R155" s="5" t="inlineStr">
        <is>
          <t>7</t>
        </is>
      </c>
      <c r="S155" s="5" t="inlineStr">
        <is>
          <t>33</t>
        </is>
      </c>
      <c r="T155" s="5" t="inlineStr">
        <is>
          <t>4</t>
        </is>
      </c>
      <c r="U155" s="5">
        <f>IFS(C155&lt;30,"Under 30",C155&lt;40,"30-39",C155&lt;50,"40-49",TRUE,"50+")</f>
        <v/>
      </c>
      <c r="V155" s="5">
        <f>IFS(O155&lt;60000,"Low (&lt;60k)",O155&lt;100000,"Mid (60-100k)",TRUE,"High (100k+)")</f>
        <v/>
      </c>
      <c r="W155" s="5">
        <f>IF(M155="No","Attrited","Active")</f>
        <v/>
      </c>
    </row>
    <row r="156">
      <c r="A156" s="5" t="inlineStr">
        <is>
          <t>E00155</t>
        </is>
      </c>
      <c r="B156" s="5" t="inlineStr">
        <is>
          <t>Female</t>
        </is>
      </c>
      <c r="C156" s="6" t="inlineStr">
        <is>
          <t>34</t>
        </is>
      </c>
      <c r="D156" s="5" t="inlineStr">
        <is>
          <t>Single</t>
        </is>
      </c>
      <c r="E156" s="5" t="inlineStr">
        <is>
          <t>PhD</t>
        </is>
      </c>
      <c r="F156" s="5" t="inlineStr">
        <is>
          <t>Operations</t>
        </is>
      </c>
      <c r="G156" s="5" t="inlineStr">
        <is>
          <t>Operations Analyst</t>
        </is>
      </c>
      <c r="H156" s="5" t="inlineStr">
        <is>
          <t>1</t>
        </is>
      </c>
      <c r="I156" s="5" t="inlineStr">
        <is>
          <t>Bengaluru</t>
        </is>
      </c>
      <c r="J156" s="5" t="inlineStr">
        <is>
          <t>Full-Time</t>
        </is>
      </c>
      <c r="K156" s="7" t="n">
        <v>44389</v>
      </c>
      <c r="L156" s="7" t="inlineStr"/>
      <c r="M156" s="5" t="inlineStr">
        <is>
          <t>Yes</t>
        </is>
      </c>
      <c r="N156" s="5" t="inlineStr"/>
      <c r="O156" s="8" t="inlineStr">
        <is>
          <t>58000</t>
        </is>
      </c>
      <c r="P156" s="5" t="inlineStr">
        <is>
          <t>10</t>
        </is>
      </c>
      <c r="Q156" s="5" t="inlineStr">
        <is>
          <t>4</t>
        </is>
      </c>
      <c r="R156" s="5" t="inlineStr">
        <is>
          <t>5</t>
        </is>
      </c>
      <c r="S156" s="5" t="inlineStr">
        <is>
          <t>54</t>
        </is>
      </c>
      <c r="T156" s="5" t="inlineStr">
        <is>
          <t>1</t>
        </is>
      </c>
      <c r="U156" s="5">
        <f>IFS(C156&lt;30,"Under 30",C156&lt;40,"30-39",C156&lt;50,"40-49",TRUE,"50+")</f>
        <v/>
      </c>
      <c r="V156" s="5">
        <f>IFS(O156&lt;60000,"Low (&lt;60k)",O156&lt;100000,"Mid (60-100k)",TRUE,"High (100k+)")</f>
        <v/>
      </c>
      <c r="W156" s="5">
        <f>IF(M156="No","Attrited","Active")</f>
        <v/>
      </c>
    </row>
    <row r="157">
      <c r="A157" s="5" t="inlineStr">
        <is>
          <t>E00156</t>
        </is>
      </c>
      <c r="B157" s="5" t="inlineStr">
        <is>
          <t>Female</t>
        </is>
      </c>
      <c r="C157" s="6" t="inlineStr">
        <is>
          <t>27</t>
        </is>
      </c>
      <c r="D157" s="5" t="inlineStr">
        <is>
          <t>Married</t>
        </is>
      </c>
      <c r="E157" s="5" t="inlineStr">
        <is>
          <t>PhD</t>
        </is>
      </c>
      <c r="F157" s="5" t="inlineStr">
        <is>
          <t>Operations</t>
        </is>
      </c>
      <c r="G157" s="5" t="inlineStr">
        <is>
          <t>Quality Analyst</t>
        </is>
      </c>
      <c r="H157" s="5" t="inlineStr">
        <is>
          <t>3</t>
        </is>
      </c>
      <c r="I157" s="5" t="inlineStr">
        <is>
          <t>Bengaluru</t>
        </is>
      </c>
      <c r="J157" s="5" t="inlineStr">
        <is>
          <t>Full-Time</t>
        </is>
      </c>
      <c r="K157" s="7" t="n">
        <v>44794</v>
      </c>
      <c r="L157" s="7" t="inlineStr"/>
      <c r="M157" s="5" t="inlineStr">
        <is>
          <t>Yes</t>
        </is>
      </c>
      <c r="N157" s="5" t="inlineStr"/>
      <c r="O157" s="8" t="inlineStr">
        <is>
          <t>79000</t>
        </is>
      </c>
      <c r="P157" s="5" t="inlineStr">
        <is>
          <t>10</t>
        </is>
      </c>
      <c r="Q157" s="5" t="inlineStr">
        <is>
          <t>3</t>
        </is>
      </c>
      <c r="R157" s="5" t="inlineStr">
        <is>
          <t>6</t>
        </is>
      </c>
      <c r="S157" s="5" t="inlineStr">
        <is>
          <t>40</t>
        </is>
      </c>
      <c r="T157" s="5" t="inlineStr">
        <is>
          <t>4</t>
        </is>
      </c>
      <c r="U157" s="5">
        <f>IFS(C157&lt;30,"Under 30",C157&lt;40,"30-39",C157&lt;50,"40-49",TRUE,"50+")</f>
        <v/>
      </c>
      <c r="V157" s="5">
        <f>IFS(O157&lt;60000,"Low (&lt;60k)",O157&lt;100000,"Mid (60-100k)",TRUE,"High (100k+)")</f>
        <v/>
      </c>
      <c r="W157" s="5">
        <f>IF(M157="No","Attrited","Active")</f>
        <v/>
      </c>
    </row>
    <row r="158">
      <c r="A158" s="5" t="inlineStr">
        <is>
          <t>E00157</t>
        </is>
      </c>
      <c r="B158" s="5" t="inlineStr">
        <is>
          <t>Female</t>
        </is>
      </c>
      <c r="C158" s="6" t="inlineStr">
        <is>
          <t>33</t>
        </is>
      </c>
      <c r="D158" s="5" t="inlineStr">
        <is>
          <t>Married</t>
        </is>
      </c>
      <c r="E158" s="5" t="inlineStr">
        <is>
          <t>Bachelor</t>
        </is>
      </c>
      <c r="F158" s="5" t="inlineStr">
        <is>
          <t>Finance</t>
        </is>
      </c>
      <c r="G158" s="5" t="inlineStr">
        <is>
          <t>Accountant</t>
        </is>
      </c>
      <c r="H158" s="5" t="inlineStr">
        <is>
          <t>1</t>
        </is>
      </c>
      <c r="I158" s="5" t="inlineStr">
        <is>
          <t>Bengaluru</t>
        </is>
      </c>
      <c r="J158" s="5" t="inlineStr">
        <is>
          <t>Full-Time</t>
        </is>
      </c>
      <c r="K158" s="7" t="n">
        <v>45590</v>
      </c>
      <c r="L158" s="7" t="inlineStr"/>
      <c r="M158" s="5" t="inlineStr">
        <is>
          <t>Yes</t>
        </is>
      </c>
      <c r="N158" s="5" t="inlineStr"/>
      <c r="O158" s="8" t="inlineStr">
        <is>
          <t>87000</t>
        </is>
      </c>
      <c r="P158" s="5" t="inlineStr">
        <is>
          <t>0</t>
        </is>
      </c>
      <c r="Q158" s="5" t="inlineStr">
        <is>
          <t>4</t>
        </is>
      </c>
      <c r="R158" s="5" t="inlineStr">
        <is>
          <t>10</t>
        </is>
      </c>
      <c r="S158" s="5" t="inlineStr">
        <is>
          <t>14</t>
        </is>
      </c>
      <c r="T158" s="5" t="inlineStr">
        <is>
          <t>11</t>
        </is>
      </c>
      <c r="U158" s="5">
        <f>IFS(C158&lt;30,"Under 30",C158&lt;40,"30-39",C158&lt;50,"40-49",TRUE,"50+")</f>
        <v/>
      </c>
      <c r="V158" s="5">
        <f>IFS(O158&lt;60000,"Low (&lt;60k)",O158&lt;100000,"Mid (60-100k)",TRUE,"High (100k+)")</f>
        <v/>
      </c>
      <c r="W158" s="5">
        <f>IF(M158="No","Attrited","Active")</f>
        <v/>
      </c>
    </row>
    <row r="159">
      <c r="A159" s="5" t="inlineStr">
        <is>
          <t>E00158</t>
        </is>
      </c>
      <c r="B159" s="5" t="inlineStr">
        <is>
          <t>Female</t>
        </is>
      </c>
      <c r="C159" s="6" t="inlineStr">
        <is>
          <t>27</t>
        </is>
      </c>
      <c r="D159" s="5" t="inlineStr">
        <is>
          <t>Single</t>
        </is>
      </c>
      <c r="E159" s="5" t="inlineStr">
        <is>
          <t>High School</t>
        </is>
      </c>
      <c r="F159" s="5" t="inlineStr">
        <is>
          <t>Customer Support</t>
        </is>
      </c>
      <c r="G159" s="5" t="inlineStr">
        <is>
          <t>Escalation Specialist</t>
        </is>
      </c>
      <c r="H159" s="5" t="inlineStr">
        <is>
          <t>1</t>
        </is>
      </c>
      <c r="I159" s="5" t="inlineStr">
        <is>
          <t>Chennai</t>
        </is>
      </c>
      <c r="J159" s="5" t="inlineStr">
        <is>
          <t>Full-Time</t>
        </is>
      </c>
      <c r="K159" s="7" t="n">
        <v>45672</v>
      </c>
      <c r="L159" s="7" t="inlineStr"/>
      <c r="M159" s="5" t="inlineStr">
        <is>
          <t>Yes</t>
        </is>
      </c>
      <c r="N159" s="5" t="inlineStr"/>
      <c r="O159" s="8" t="inlineStr">
        <is>
          <t>46500</t>
        </is>
      </c>
      <c r="P159" s="5" t="inlineStr">
        <is>
          <t>0</t>
        </is>
      </c>
      <c r="Q159" s="5" t="inlineStr">
        <is>
          <t>4</t>
        </is>
      </c>
      <c r="R159" s="5" t="inlineStr">
        <is>
          <t>5</t>
        </is>
      </c>
      <c r="S159" s="5" t="inlineStr">
        <is>
          <t>11</t>
        </is>
      </c>
      <c r="T159" s="5" t="inlineStr">
        <is>
          <t>5</t>
        </is>
      </c>
      <c r="U159" s="5">
        <f>IFS(C159&lt;30,"Under 30",C159&lt;40,"30-39",C159&lt;50,"40-49",TRUE,"50+")</f>
        <v/>
      </c>
      <c r="V159" s="5">
        <f>IFS(O159&lt;60000,"Low (&lt;60k)",O159&lt;100000,"Mid (60-100k)",TRUE,"High (100k+)")</f>
        <v/>
      </c>
      <c r="W159" s="5">
        <f>IF(M159="No","Attrited","Active")</f>
        <v/>
      </c>
    </row>
    <row r="160">
      <c r="A160" s="5" t="inlineStr">
        <is>
          <t>E00159</t>
        </is>
      </c>
      <c r="B160" s="5" t="inlineStr">
        <is>
          <t>Female</t>
        </is>
      </c>
      <c r="C160" s="6" t="inlineStr">
        <is>
          <t>31</t>
        </is>
      </c>
      <c r="D160" s="5" t="inlineStr">
        <is>
          <t>Single</t>
        </is>
      </c>
      <c r="E160" s="5" t="inlineStr">
        <is>
          <t>PhD</t>
        </is>
      </c>
      <c r="F160" s="5" t="inlineStr">
        <is>
          <t>Human Resources</t>
        </is>
      </c>
      <c r="G160" s="5" t="inlineStr">
        <is>
          <t>HR Generalist</t>
        </is>
      </c>
      <c r="H160" s="5" t="inlineStr">
        <is>
          <t>3</t>
        </is>
      </c>
      <c r="I160" s="5" t="inlineStr">
        <is>
          <t>Mumbai</t>
        </is>
      </c>
      <c r="J160" s="5" t="inlineStr">
        <is>
          <t>Part-Time</t>
        </is>
      </c>
      <c r="K160" s="7" t="n">
        <v>45969</v>
      </c>
      <c r="L160" s="7" t="inlineStr"/>
      <c r="M160" s="5" t="inlineStr">
        <is>
          <t>Yes</t>
        </is>
      </c>
      <c r="N160" s="5" t="inlineStr"/>
      <c r="O160" s="8" t="inlineStr">
        <is>
          <t>111500</t>
        </is>
      </c>
      <c r="P160" s="5" t="inlineStr">
        <is>
          <t>0</t>
        </is>
      </c>
      <c r="Q160" s="5" t="inlineStr">
        <is>
          <t>3</t>
        </is>
      </c>
      <c r="R160" s="5" t="inlineStr">
        <is>
          <t>6</t>
        </is>
      </c>
      <c r="S160" s="5" t="inlineStr">
        <is>
          <t>1</t>
        </is>
      </c>
      <c r="T160" s="5" t="inlineStr">
        <is>
          <t>0</t>
        </is>
      </c>
      <c r="U160" s="5">
        <f>IFS(C160&lt;30,"Under 30",C160&lt;40,"30-39",C160&lt;50,"40-49",TRUE,"50+")</f>
        <v/>
      </c>
      <c r="V160" s="5">
        <f>IFS(O160&lt;60000,"Low (&lt;60k)",O160&lt;100000,"Mid (60-100k)",TRUE,"High (100k+)")</f>
        <v/>
      </c>
      <c r="W160" s="5">
        <f>IF(M160="No","Attrited","Active")</f>
        <v/>
      </c>
    </row>
    <row r="161">
      <c r="A161" s="5" t="inlineStr">
        <is>
          <t>E00160</t>
        </is>
      </c>
      <c r="B161" s="5" t="inlineStr">
        <is>
          <t>Male</t>
        </is>
      </c>
      <c r="C161" s="6" t="inlineStr">
        <is>
          <t>30</t>
        </is>
      </c>
      <c r="D161" s="5" t="inlineStr">
        <is>
          <t>Married</t>
        </is>
      </c>
      <c r="E161" s="5" t="inlineStr">
        <is>
          <t>PhD</t>
        </is>
      </c>
      <c r="F161" s="5" t="inlineStr">
        <is>
          <t>Customer Support</t>
        </is>
      </c>
      <c r="G161" s="5" t="inlineStr">
        <is>
          <t>Support Lead</t>
        </is>
      </c>
      <c r="H161" s="5" t="inlineStr">
        <is>
          <t>2</t>
        </is>
      </c>
      <c r="I161" s="5" t="inlineStr">
        <is>
          <t>Bengaluru</t>
        </is>
      </c>
      <c r="J161" s="5" t="inlineStr">
        <is>
          <t>Full-Time</t>
        </is>
      </c>
      <c r="K161" s="7" t="n">
        <v>44416</v>
      </c>
      <c r="L161" s="7" t="n">
        <v>44531</v>
      </c>
      <c r="M161" s="5" t="inlineStr">
        <is>
          <t>No</t>
        </is>
      </c>
      <c r="N161" s="5" t="inlineStr">
        <is>
          <t>Layoff</t>
        </is>
      </c>
      <c r="O161" s="8" t="inlineStr">
        <is>
          <t>57000</t>
        </is>
      </c>
      <c r="P161" s="5" t="inlineStr">
        <is>
          <t>10</t>
        </is>
      </c>
      <c r="Q161" s="5" t="inlineStr">
        <is>
          <t>3</t>
        </is>
      </c>
      <c r="R161" s="5" t="inlineStr">
        <is>
          <t>8</t>
        </is>
      </c>
      <c r="S161" s="5" t="inlineStr">
        <is>
          <t>3</t>
        </is>
      </c>
      <c r="T161" s="5" t="inlineStr">
        <is>
          <t>0</t>
        </is>
      </c>
      <c r="U161" s="5">
        <f>IFS(C161&lt;30,"Under 30",C161&lt;40,"30-39",C161&lt;50,"40-49",TRUE,"50+")</f>
        <v/>
      </c>
      <c r="V161" s="5">
        <f>IFS(O161&lt;60000,"Low (&lt;60k)",O161&lt;100000,"Mid (60-100k)",TRUE,"High (100k+)")</f>
        <v/>
      </c>
      <c r="W161" s="5">
        <f>IF(M161="No","Attrited","Active")</f>
        <v/>
      </c>
    </row>
    <row r="162">
      <c r="A162" s="5" t="inlineStr">
        <is>
          <t>E00161</t>
        </is>
      </c>
      <c r="B162" s="5" t="inlineStr">
        <is>
          <t>Female</t>
        </is>
      </c>
      <c r="C162" s="6" t="inlineStr">
        <is>
          <t>31</t>
        </is>
      </c>
      <c r="D162" s="5" t="inlineStr">
        <is>
          <t>Single</t>
        </is>
      </c>
      <c r="E162" s="5" t="inlineStr">
        <is>
          <t>Diploma</t>
        </is>
      </c>
      <c r="F162" s="5" t="inlineStr">
        <is>
          <t>Sales</t>
        </is>
      </c>
      <c r="G162" s="5" t="inlineStr">
        <is>
          <t>Sales Executive</t>
        </is>
      </c>
      <c r="H162" s="5" t="inlineStr">
        <is>
          <t>4</t>
        </is>
      </c>
      <c r="I162" s="5" t="inlineStr">
        <is>
          <t>Remote</t>
        </is>
      </c>
      <c r="J162" s="5" t="inlineStr">
        <is>
          <t>Full-Time</t>
        </is>
      </c>
      <c r="K162" s="7" t="n">
        <v>45308</v>
      </c>
      <c r="L162" s="7" t="inlineStr"/>
      <c r="M162" s="5" t="inlineStr">
        <is>
          <t>Yes</t>
        </is>
      </c>
      <c r="N162" s="5" t="inlineStr"/>
      <c r="O162" s="8" t="inlineStr">
        <is>
          <t>137500</t>
        </is>
      </c>
      <c r="P162" s="5" t="inlineStr">
        <is>
          <t>0</t>
        </is>
      </c>
      <c r="Q162" s="5" t="inlineStr">
        <is>
          <t>4</t>
        </is>
      </c>
      <c r="R162" s="5" t="inlineStr">
        <is>
          <t>8</t>
        </is>
      </c>
      <c r="S162" s="5" t="inlineStr">
        <is>
          <t>23</t>
        </is>
      </c>
      <c r="T162" s="5" t="inlineStr">
        <is>
          <t>3</t>
        </is>
      </c>
      <c r="U162" s="5">
        <f>IFS(C162&lt;30,"Under 30",C162&lt;40,"30-39",C162&lt;50,"40-49",TRUE,"50+")</f>
        <v/>
      </c>
      <c r="V162" s="5">
        <f>IFS(O162&lt;60000,"Low (&lt;60k)",O162&lt;100000,"Mid (60-100k)",TRUE,"High (100k+)")</f>
        <v/>
      </c>
      <c r="W162" s="5">
        <f>IF(M162="No","Attrited","Active")</f>
        <v/>
      </c>
    </row>
    <row r="163">
      <c r="A163" s="5" t="inlineStr">
        <is>
          <t>E00162</t>
        </is>
      </c>
      <c r="B163" s="5" t="inlineStr">
        <is>
          <t>Male</t>
        </is>
      </c>
      <c r="C163" s="6" t="inlineStr">
        <is>
          <t>27</t>
        </is>
      </c>
      <c r="D163" s="5" t="inlineStr">
        <is>
          <t>Divorced</t>
        </is>
      </c>
      <c r="E163" s="5" t="inlineStr">
        <is>
          <t>PhD</t>
        </is>
      </c>
      <c r="F163" s="5" t="inlineStr">
        <is>
          <t>IT</t>
        </is>
      </c>
      <c r="G163" s="5" t="inlineStr">
        <is>
          <t>Data Analyst</t>
        </is>
      </c>
      <c r="H163" s="5" t="inlineStr">
        <is>
          <t>2</t>
        </is>
      </c>
      <c r="I163" s="5" t="inlineStr">
        <is>
          <t>Mumbai</t>
        </is>
      </c>
      <c r="J163" s="5" t="inlineStr">
        <is>
          <t>Part-Time</t>
        </is>
      </c>
      <c r="K163" s="7" t="n">
        <v>45646</v>
      </c>
      <c r="L163" s="7" t="inlineStr"/>
      <c r="M163" s="5" t="inlineStr">
        <is>
          <t>Yes</t>
        </is>
      </c>
      <c r="N163" s="5" t="inlineStr"/>
      <c r="O163" s="8" t="inlineStr">
        <is>
          <t>152000</t>
        </is>
      </c>
      <c r="P163" s="5" t="inlineStr">
        <is>
          <t>0</t>
        </is>
      </c>
      <c r="Q163" s="5" t="inlineStr">
        <is>
          <t>5</t>
        </is>
      </c>
      <c r="R163" s="5" t="inlineStr">
        <is>
          <t>6</t>
        </is>
      </c>
      <c r="S163" s="5" t="inlineStr">
        <is>
          <t>12</t>
        </is>
      </c>
      <c r="T163" s="5" t="inlineStr">
        <is>
          <t>6</t>
        </is>
      </c>
      <c r="U163" s="5">
        <f>IFS(C163&lt;30,"Under 30",C163&lt;40,"30-39",C163&lt;50,"40-49",TRUE,"50+")</f>
        <v/>
      </c>
      <c r="V163" s="5">
        <f>IFS(O163&lt;60000,"Low (&lt;60k)",O163&lt;100000,"Mid (60-100k)",TRUE,"High (100k+)")</f>
        <v/>
      </c>
      <c r="W163" s="5">
        <f>IF(M163="No","Attrited","Active")</f>
        <v/>
      </c>
    </row>
    <row r="164">
      <c r="A164" s="5" t="inlineStr">
        <is>
          <t>E00163</t>
        </is>
      </c>
      <c r="B164" s="5" t="inlineStr">
        <is>
          <t>Female</t>
        </is>
      </c>
      <c r="C164" s="6" t="inlineStr">
        <is>
          <t>34</t>
        </is>
      </c>
      <c r="D164" s="5" t="inlineStr">
        <is>
          <t>Single</t>
        </is>
      </c>
      <c r="E164" s="5" t="inlineStr">
        <is>
          <t>Master</t>
        </is>
      </c>
      <c r="F164" s="5" t="inlineStr">
        <is>
          <t>Operations</t>
        </is>
      </c>
      <c r="G164" s="5" t="inlineStr">
        <is>
          <t>Operations Analyst</t>
        </is>
      </c>
      <c r="H164" s="5" t="inlineStr">
        <is>
          <t>2</t>
        </is>
      </c>
      <c r="I164" s="5" t="inlineStr">
        <is>
          <t>Mumbai</t>
        </is>
      </c>
      <c r="J164" s="5" t="inlineStr">
        <is>
          <t>Full-Time</t>
        </is>
      </c>
      <c r="K164" s="7" t="n">
        <v>45769</v>
      </c>
      <c r="L164" s="7" t="inlineStr"/>
      <c r="M164" s="5" t="inlineStr">
        <is>
          <t>Yes</t>
        </is>
      </c>
      <c r="N164" s="5" t="inlineStr"/>
      <c r="O164" s="8" t="inlineStr">
        <is>
          <t>86500</t>
        </is>
      </c>
      <c r="P164" s="5" t="inlineStr">
        <is>
          <t>10</t>
        </is>
      </c>
      <c r="Q164" s="5" t="inlineStr">
        <is>
          <t>5</t>
        </is>
      </c>
      <c r="R164" s="5" t="inlineStr">
        <is>
          <t>7</t>
        </is>
      </c>
      <c r="S164" s="5" t="inlineStr">
        <is>
          <t>8</t>
        </is>
      </c>
      <c r="T164" s="5" t="inlineStr">
        <is>
          <t>0</t>
        </is>
      </c>
      <c r="U164" s="5">
        <f>IFS(C164&lt;30,"Under 30",C164&lt;40,"30-39",C164&lt;50,"40-49",TRUE,"50+")</f>
        <v/>
      </c>
      <c r="V164" s="5">
        <f>IFS(O164&lt;60000,"Low (&lt;60k)",O164&lt;100000,"Mid (60-100k)",TRUE,"High (100k+)")</f>
        <v/>
      </c>
      <c r="W164" s="5">
        <f>IF(M164="No","Attrited","Active")</f>
        <v/>
      </c>
    </row>
    <row r="165">
      <c r="A165" s="5" t="inlineStr">
        <is>
          <t>E00164</t>
        </is>
      </c>
      <c r="B165" s="5" t="inlineStr">
        <is>
          <t>Female</t>
        </is>
      </c>
      <c r="C165" s="6" t="inlineStr">
        <is>
          <t>29</t>
        </is>
      </c>
      <c r="D165" s="5" t="inlineStr">
        <is>
          <t>Married</t>
        </is>
      </c>
      <c r="E165" s="5" t="inlineStr">
        <is>
          <t>Diploma</t>
        </is>
      </c>
      <c r="F165" s="5" t="inlineStr">
        <is>
          <t>Operations</t>
        </is>
      </c>
      <c r="G165" s="5" t="inlineStr">
        <is>
          <t>Quality Analyst</t>
        </is>
      </c>
      <c r="H165" s="5" t="inlineStr">
        <is>
          <t>1</t>
        </is>
      </c>
      <c r="I165" s="5" t="inlineStr">
        <is>
          <t>Hyderabad</t>
        </is>
      </c>
      <c r="J165" s="5" t="inlineStr">
        <is>
          <t>Full-Time</t>
        </is>
      </c>
      <c r="K165" s="7" t="n">
        <v>43939</v>
      </c>
      <c r="L165" s="7" t="inlineStr"/>
      <c r="M165" s="5" t="inlineStr">
        <is>
          <t>Yes</t>
        </is>
      </c>
      <c r="N165" s="5" t="inlineStr"/>
      <c r="O165" s="8" t="inlineStr">
        <is>
          <t>90500</t>
        </is>
      </c>
      <c r="P165" s="5" t="inlineStr">
        <is>
          <t>0</t>
        </is>
      </c>
      <c r="Q165" s="5" t="inlineStr">
        <is>
          <t>5</t>
        </is>
      </c>
      <c r="R165" s="5" t="inlineStr">
        <is>
          <t>5</t>
        </is>
      </c>
      <c r="S165" s="5" t="inlineStr">
        <is>
          <t>69</t>
        </is>
      </c>
      <c r="T165" s="5" t="inlineStr">
        <is>
          <t>7</t>
        </is>
      </c>
      <c r="U165" s="5">
        <f>IFS(C165&lt;30,"Under 30",C165&lt;40,"30-39",C165&lt;50,"40-49",TRUE,"50+")</f>
        <v/>
      </c>
      <c r="V165" s="5">
        <f>IFS(O165&lt;60000,"Low (&lt;60k)",O165&lt;100000,"Mid (60-100k)",TRUE,"High (100k+)")</f>
        <v/>
      </c>
      <c r="W165" s="5">
        <f>IF(M165="No","Attrited","Active")</f>
        <v/>
      </c>
    </row>
    <row r="166">
      <c r="A166" s="5" t="inlineStr">
        <is>
          <t>E00165</t>
        </is>
      </c>
      <c r="B166" s="5" t="inlineStr">
        <is>
          <t>Male</t>
        </is>
      </c>
      <c r="C166" s="6" t="inlineStr">
        <is>
          <t>34</t>
        </is>
      </c>
      <c r="D166" s="5" t="inlineStr">
        <is>
          <t>Divorced</t>
        </is>
      </c>
      <c r="E166" s="5" t="inlineStr">
        <is>
          <t>Diploma</t>
        </is>
      </c>
      <c r="F166" s="5" t="inlineStr">
        <is>
          <t>IT</t>
        </is>
      </c>
      <c r="G166" s="5" t="inlineStr">
        <is>
          <t>Software Engineer</t>
        </is>
      </c>
      <c r="H166" s="5" t="inlineStr">
        <is>
          <t>1</t>
        </is>
      </c>
      <c r="I166" s="5" t="inlineStr">
        <is>
          <t>Delhi</t>
        </is>
      </c>
      <c r="J166" s="5" t="inlineStr">
        <is>
          <t>Full-Time</t>
        </is>
      </c>
      <c r="K166" s="7" t="n">
        <v>43876</v>
      </c>
      <c r="L166" s="7" t="inlineStr"/>
      <c r="M166" s="5" t="inlineStr">
        <is>
          <t>Yes</t>
        </is>
      </c>
      <c r="N166" s="5" t="inlineStr"/>
      <c r="O166" s="8" t="inlineStr">
        <is>
          <t>127000</t>
        </is>
      </c>
      <c r="P166" s="5" t="inlineStr">
        <is>
          <t>0</t>
        </is>
      </c>
      <c r="Q166" s="5" t="inlineStr">
        <is>
          <t>4</t>
        </is>
      </c>
      <c r="R166" s="5" t="inlineStr">
        <is>
          <t>4</t>
        </is>
      </c>
      <c r="S166" s="5" t="inlineStr">
        <is>
          <t>71</t>
        </is>
      </c>
      <c r="T166" s="5" t="inlineStr">
        <is>
          <t>6</t>
        </is>
      </c>
      <c r="U166" s="5">
        <f>IFS(C166&lt;30,"Under 30",C166&lt;40,"30-39",C166&lt;50,"40-49",TRUE,"50+")</f>
        <v/>
      </c>
      <c r="V166" s="5">
        <f>IFS(O166&lt;60000,"Low (&lt;60k)",O166&lt;100000,"Mid (60-100k)",TRUE,"High (100k+)")</f>
        <v/>
      </c>
      <c r="W166" s="5">
        <f>IF(M166="No","Attrited","Active")</f>
        <v/>
      </c>
    </row>
    <row r="167">
      <c r="A167" s="5" t="inlineStr">
        <is>
          <t>E00166</t>
        </is>
      </c>
      <c r="B167" s="5" t="inlineStr">
        <is>
          <t>Male</t>
        </is>
      </c>
      <c r="C167" s="6" t="inlineStr">
        <is>
          <t>34</t>
        </is>
      </c>
      <c r="D167" s="5" t="inlineStr">
        <is>
          <t>Married</t>
        </is>
      </c>
      <c r="E167" s="5" t="inlineStr">
        <is>
          <t>PhD</t>
        </is>
      </c>
      <c r="F167" s="5" t="inlineStr">
        <is>
          <t>Research &amp; Development</t>
        </is>
      </c>
      <c r="G167" s="5" t="inlineStr">
        <is>
          <t>Data Scientist</t>
        </is>
      </c>
      <c r="H167" s="5" t="inlineStr">
        <is>
          <t>3</t>
        </is>
      </c>
      <c r="I167" s="5" t="inlineStr">
        <is>
          <t>Remote</t>
        </is>
      </c>
      <c r="J167" s="5" t="inlineStr">
        <is>
          <t>Full-Time</t>
        </is>
      </c>
      <c r="K167" s="7" t="n">
        <v>45453</v>
      </c>
      <c r="L167" s="7" t="inlineStr"/>
      <c r="M167" s="5" t="inlineStr">
        <is>
          <t>Yes</t>
        </is>
      </c>
      <c r="N167" s="5" t="inlineStr"/>
      <c r="O167" s="8" t="inlineStr">
        <is>
          <t>157000</t>
        </is>
      </c>
      <c r="P167" s="5" t="inlineStr">
        <is>
          <t>0</t>
        </is>
      </c>
      <c r="Q167" s="5" t="inlineStr">
        <is>
          <t>4</t>
        </is>
      </c>
      <c r="R167" s="5" t="inlineStr">
        <is>
          <t>3</t>
        </is>
      </c>
      <c r="S167" s="5" t="inlineStr">
        <is>
          <t>18</t>
        </is>
      </c>
      <c r="T167" s="5" t="inlineStr">
        <is>
          <t>18</t>
        </is>
      </c>
      <c r="U167" s="5">
        <f>IFS(C167&lt;30,"Under 30",C167&lt;40,"30-39",C167&lt;50,"40-49",TRUE,"50+")</f>
        <v/>
      </c>
      <c r="V167" s="5">
        <f>IFS(O167&lt;60000,"Low (&lt;60k)",O167&lt;100000,"Mid (60-100k)",TRUE,"High (100k+)")</f>
        <v/>
      </c>
      <c r="W167" s="5">
        <f>IF(M167="No","Attrited","Active")</f>
        <v/>
      </c>
    </row>
    <row r="168">
      <c r="A168" s="5" t="inlineStr">
        <is>
          <t>E00167</t>
        </is>
      </c>
      <c r="B168" s="5" t="inlineStr">
        <is>
          <t>Male</t>
        </is>
      </c>
      <c r="C168" s="6" t="inlineStr">
        <is>
          <t>37</t>
        </is>
      </c>
      <c r="D168" s="5" t="inlineStr">
        <is>
          <t>Single</t>
        </is>
      </c>
      <c r="E168" s="5" t="inlineStr">
        <is>
          <t>High School</t>
        </is>
      </c>
      <c r="F168" s="5" t="inlineStr">
        <is>
          <t>Marketing</t>
        </is>
      </c>
      <c r="G168" s="5" t="inlineStr">
        <is>
          <t>SEO Specialist</t>
        </is>
      </c>
      <c r="H168" s="5" t="inlineStr">
        <is>
          <t>4</t>
        </is>
      </c>
      <c r="I168" s="5" t="inlineStr">
        <is>
          <t>Hyderabad</t>
        </is>
      </c>
      <c r="J168" s="5" t="inlineStr">
        <is>
          <t>Contract</t>
        </is>
      </c>
      <c r="K168" s="7" t="n">
        <v>45253</v>
      </c>
      <c r="L168" s="7" t="n">
        <v>45395</v>
      </c>
      <c r="M168" s="5" t="inlineStr">
        <is>
          <t>No</t>
        </is>
      </c>
      <c r="N168" s="5" t="inlineStr">
        <is>
          <t>Resigned</t>
        </is>
      </c>
      <c r="O168" s="8" t="inlineStr">
        <is>
          <t>127000</t>
        </is>
      </c>
      <c r="P168" s="5" t="inlineStr">
        <is>
          <t>5</t>
        </is>
      </c>
      <c r="Q168" s="5" t="inlineStr">
        <is>
          <t>3</t>
        </is>
      </c>
      <c r="R168" s="5" t="inlineStr">
        <is>
          <t>7</t>
        </is>
      </c>
      <c r="S168" s="5" t="inlineStr">
        <is>
          <t>4</t>
        </is>
      </c>
      <c r="T168" s="5" t="inlineStr">
        <is>
          <t>12</t>
        </is>
      </c>
      <c r="U168" s="5">
        <f>IFS(C168&lt;30,"Under 30",C168&lt;40,"30-39",C168&lt;50,"40-49",TRUE,"50+")</f>
        <v/>
      </c>
      <c r="V168" s="5">
        <f>IFS(O168&lt;60000,"Low (&lt;60k)",O168&lt;100000,"Mid (60-100k)",TRUE,"High (100k+)")</f>
        <v/>
      </c>
      <c r="W168" s="5">
        <f>IF(M168="No","Attrited","Active")</f>
        <v/>
      </c>
    </row>
    <row r="169">
      <c r="A169" s="5" t="inlineStr">
        <is>
          <t>E00168</t>
        </is>
      </c>
      <c r="B169" s="5" t="inlineStr">
        <is>
          <t>Female</t>
        </is>
      </c>
      <c r="C169" s="6" t="inlineStr">
        <is>
          <t>29</t>
        </is>
      </c>
      <c r="D169" s="5" t="inlineStr">
        <is>
          <t>Divorced</t>
        </is>
      </c>
      <c r="E169" s="5" t="inlineStr">
        <is>
          <t>Diploma</t>
        </is>
      </c>
      <c r="F169" s="5" t="inlineStr">
        <is>
          <t>Operations</t>
        </is>
      </c>
      <c r="G169" s="5" t="inlineStr">
        <is>
          <t>Logistics Coordinator</t>
        </is>
      </c>
      <c r="H169" s="5" t="inlineStr">
        <is>
          <t>1</t>
        </is>
      </c>
      <c r="I169" s="5" t="inlineStr">
        <is>
          <t>Hyderabad</t>
        </is>
      </c>
      <c r="J169" s="5" t="inlineStr">
        <is>
          <t>Full-Time</t>
        </is>
      </c>
      <c r="K169" s="7" t="n">
        <v>45234</v>
      </c>
      <c r="L169" s="7" t="inlineStr"/>
      <c r="M169" s="5" t="inlineStr">
        <is>
          <t>Yes</t>
        </is>
      </c>
      <c r="N169" s="5" t="inlineStr"/>
      <c r="O169" s="8" t="inlineStr">
        <is>
          <t>66500</t>
        </is>
      </c>
      <c r="P169" s="5" t="inlineStr">
        <is>
          <t>5</t>
        </is>
      </c>
      <c r="Q169" s="5" t="inlineStr">
        <is>
          <t>4</t>
        </is>
      </c>
      <c r="R169" s="5" t="inlineStr">
        <is>
          <t>10</t>
        </is>
      </c>
      <c r="S169" s="5" t="inlineStr">
        <is>
          <t>26</t>
        </is>
      </c>
      <c r="T169" s="5" t="inlineStr">
        <is>
          <t>0</t>
        </is>
      </c>
      <c r="U169" s="5">
        <f>IFS(C169&lt;30,"Under 30",C169&lt;40,"30-39",C169&lt;50,"40-49",TRUE,"50+")</f>
        <v/>
      </c>
      <c r="V169" s="5">
        <f>IFS(O169&lt;60000,"Low (&lt;60k)",O169&lt;100000,"Mid (60-100k)",TRUE,"High (100k+)")</f>
        <v/>
      </c>
      <c r="W169" s="5">
        <f>IF(M169="No","Attrited","Active")</f>
        <v/>
      </c>
    </row>
    <row r="170">
      <c r="A170" s="5" t="inlineStr">
        <is>
          <t>E00169</t>
        </is>
      </c>
      <c r="B170" s="5" t="inlineStr">
        <is>
          <t>Male</t>
        </is>
      </c>
      <c r="C170" s="6" t="inlineStr">
        <is>
          <t>30</t>
        </is>
      </c>
      <c r="D170" s="5" t="inlineStr">
        <is>
          <t>Married</t>
        </is>
      </c>
      <c r="E170" s="5" t="inlineStr">
        <is>
          <t>PhD</t>
        </is>
      </c>
      <c r="F170" s="5" t="inlineStr">
        <is>
          <t>Operations</t>
        </is>
      </c>
      <c r="G170" s="5" t="inlineStr">
        <is>
          <t>Quality Analyst</t>
        </is>
      </c>
      <c r="H170" s="5" t="inlineStr">
        <is>
          <t>4</t>
        </is>
      </c>
      <c r="I170" s="5" t="inlineStr">
        <is>
          <t>Hyderabad</t>
        </is>
      </c>
      <c r="J170" s="5" t="inlineStr">
        <is>
          <t>Full-Time</t>
        </is>
      </c>
      <c r="K170" s="7" t="n">
        <v>45596</v>
      </c>
      <c r="L170" s="7" t="n">
        <v>45668</v>
      </c>
      <c r="M170" s="5" t="inlineStr">
        <is>
          <t>No</t>
        </is>
      </c>
      <c r="N170" s="5" t="inlineStr">
        <is>
          <t>Retirement</t>
        </is>
      </c>
      <c r="O170" s="8" t="inlineStr">
        <is>
          <t>136500</t>
        </is>
      </c>
      <c r="P170" s="5" t="inlineStr">
        <is>
          <t>15</t>
        </is>
      </c>
      <c r="Q170" s="5" t="inlineStr">
        <is>
          <t>4</t>
        </is>
      </c>
      <c r="R170" s="5" t="inlineStr">
        <is>
          <t>4</t>
        </is>
      </c>
      <c r="S170" s="5" t="inlineStr">
        <is>
          <t>2</t>
        </is>
      </c>
      <c r="T170" s="5" t="inlineStr">
        <is>
          <t>7</t>
        </is>
      </c>
      <c r="U170" s="5">
        <f>IFS(C170&lt;30,"Under 30",C170&lt;40,"30-39",C170&lt;50,"40-49",TRUE,"50+")</f>
        <v/>
      </c>
      <c r="V170" s="5">
        <f>IFS(O170&lt;60000,"Low (&lt;60k)",O170&lt;100000,"Mid (60-100k)",TRUE,"High (100k+)")</f>
        <v/>
      </c>
      <c r="W170" s="5">
        <f>IF(M170="No","Attrited","Active")</f>
        <v/>
      </c>
    </row>
    <row r="171">
      <c r="A171" s="5" t="inlineStr">
        <is>
          <t>E00170</t>
        </is>
      </c>
      <c r="B171" s="5" t="inlineStr">
        <is>
          <t>Female</t>
        </is>
      </c>
      <c r="C171" s="6" t="inlineStr">
        <is>
          <t>32</t>
        </is>
      </c>
      <c r="D171" s="5" t="inlineStr">
        <is>
          <t>Married</t>
        </is>
      </c>
      <c r="E171" s="5" t="inlineStr">
        <is>
          <t>Diploma</t>
        </is>
      </c>
      <c r="F171" s="5" t="inlineStr">
        <is>
          <t>Finance</t>
        </is>
      </c>
      <c r="G171" s="5" t="inlineStr">
        <is>
          <t>Accountant</t>
        </is>
      </c>
      <c r="H171" s="5" t="inlineStr">
        <is>
          <t>4</t>
        </is>
      </c>
      <c r="I171" s="5" t="inlineStr">
        <is>
          <t>Remote</t>
        </is>
      </c>
      <c r="J171" s="5" t="inlineStr">
        <is>
          <t>Full-Time</t>
        </is>
      </c>
      <c r="K171" s="7" t="n">
        <v>45382</v>
      </c>
      <c r="L171" s="7" t="inlineStr"/>
      <c r="M171" s="5" t="inlineStr">
        <is>
          <t>Yes</t>
        </is>
      </c>
      <c r="N171" s="5" t="inlineStr"/>
      <c r="O171" s="8" t="inlineStr">
        <is>
          <t>116500</t>
        </is>
      </c>
      <c r="P171" s="5" t="inlineStr">
        <is>
          <t>0</t>
        </is>
      </c>
      <c r="Q171" s="5" t="inlineStr">
        <is>
          <t>5</t>
        </is>
      </c>
      <c r="R171" s="5" t="inlineStr">
        <is>
          <t>4</t>
        </is>
      </c>
      <c r="S171" s="5" t="inlineStr">
        <is>
          <t>21</t>
        </is>
      </c>
      <c r="T171" s="5" t="inlineStr">
        <is>
          <t>14</t>
        </is>
      </c>
      <c r="U171" s="5">
        <f>IFS(C171&lt;30,"Under 30",C171&lt;40,"30-39",C171&lt;50,"40-49",TRUE,"50+")</f>
        <v/>
      </c>
      <c r="V171" s="5">
        <f>IFS(O171&lt;60000,"Low (&lt;60k)",O171&lt;100000,"Mid (60-100k)",TRUE,"High (100k+)")</f>
        <v/>
      </c>
      <c r="W171" s="5">
        <f>IF(M171="No","Attrited","Active")</f>
        <v/>
      </c>
    </row>
    <row r="172">
      <c r="A172" s="5" t="inlineStr">
        <is>
          <t>E00171</t>
        </is>
      </c>
      <c r="B172" s="5" t="inlineStr">
        <is>
          <t>Female</t>
        </is>
      </c>
      <c r="C172" s="6" t="inlineStr">
        <is>
          <t>35</t>
        </is>
      </c>
      <c r="D172" s="5" t="inlineStr">
        <is>
          <t>Single</t>
        </is>
      </c>
      <c r="E172" s="5" t="inlineStr">
        <is>
          <t>High School</t>
        </is>
      </c>
      <c r="F172" s="5" t="inlineStr">
        <is>
          <t>Operations</t>
        </is>
      </c>
      <c r="G172" s="5" t="inlineStr">
        <is>
          <t>Quality Analyst</t>
        </is>
      </c>
      <c r="H172" s="5" t="inlineStr">
        <is>
          <t>4</t>
        </is>
      </c>
      <c r="I172" s="5" t="inlineStr">
        <is>
          <t>Delhi</t>
        </is>
      </c>
      <c r="J172" s="5" t="inlineStr">
        <is>
          <t>Full-Time</t>
        </is>
      </c>
      <c r="K172" s="7" t="n">
        <v>44600</v>
      </c>
      <c r="L172" s="7" t="n">
        <v>44639</v>
      </c>
      <c r="M172" s="5" t="inlineStr">
        <is>
          <t>No</t>
        </is>
      </c>
      <c r="N172" s="5" t="inlineStr">
        <is>
          <t>Resigned</t>
        </is>
      </c>
      <c r="O172" s="8" t="inlineStr">
        <is>
          <t>130500</t>
        </is>
      </c>
      <c r="P172" s="5" t="inlineStr">
        <is>
          <t>0</t>
        </is>
      </c>
      <c r="Q172" s="5" t="inlineStr">
        <is>
          <t>5</t>
        </is>
      </c>
      <c r="R172" s="5" t="inlineStr">
        <is>
          <t>3</t>
        </is>
      </c>
      <c r="S172" s="5" t="inlineStr">
        <is>
          <t>1</t>
        </is>
      </c>
      <c r="T172" s="5" t="inlineStr">
        <is>
          <t>13</t>
        </is>
      </c>
      <c r="U172" s="5">
        <f>IFS(C172&lt;30,"Under 30",C172&lt;40,"30-39",C172&lt;50,"40-49",TRUE,"50+")</f>
        <v/>
      </c>
      <c r="V172" s="5">
        <f>IFS(O172&lt;60000,"Low (&lt;60k)",O172&lt;100000,"Mid (60-100k)",TRUE,"High (100k+)")</f>
        <v/>
      </c>
      <c r="W172" s="5">
        <f>IF(M172="No","Attrited","Active")</f>
        <v/>
      </c>
    </row>
    <row r="173">
      <c r="A173" s="5" t="inlineStr">
        <is>
          <t>E00172</t>
        </is>
      </c>
      <c r="B173" s="5" t="inlineStr">
        <is>
          <t>Male</t>
        </is>
      </c>
      <c r="C173" s="6" t="inlineStr">
        <is>
          <t>30</t>
        </is>
      </c>
      <c r="D173" s="5" t="inlineStr">
        <is>
          <t>Married</t>
        </is>
      </c>
      <c r="E173" s="5" t="inlineStr">
        <is>
          <t>Diploma</t>
        </is>
      </c>
      <c r="F173" s="5" t="inlineStr">
        <is>
          <t>Customer Support</t>
        </is>
      </c>
      <c r="G173" s="5" t="inlineStr">
        <is>
          <t>Support Agent</t>
        </is>
      </c>
      <c r="H173" s="5" t="inlineStr">
        <is>
          <t>1</t>
        </is>
      </c>
      <c r="I173" s="5" t="inlineStr">
        <is>
          <t>Delhi</t>
        </is>
      </c>
      <c r="J173" s="5" t="inlineStr">
        <is>
          <t>Part-Time</t>
        </is>
      </c>
      <c r="K173" s="7" t="n">
        <v>45904</v>
      </c>
      <c r="L173" s="7" t="n">
        <v>46003</v>
      </c>
      <c r="M173" s="5" t="inlineStr">
        <is>
          <t>No</t>
        </is>
      </c>
      <c r="N173" s="5" t="inlineStr">
        <is>
          <t>Resigned</t>
        </is>
      </c>
      <c r="O173" s="8" t="inlineStr">
        <is>
          <t>65500</t>
        </is>
      </c>
      <c r="P173" s="5" t="inlineStr">
        <is>
          <t>5</t>
        </is>
      </c>
      <c r="Q173" s="5" t="inlineStr">
        <is>
          <t>4</t>
        </is>
      </c>
      <c r="R173" s="5" t="inlineStr">
        <is>
          <t>7</t>
        </is>
      </c>
      <c r="S173" s="5" t="inlineStr">
        <is>
          <t>3</t>
        </is>
      </c>
      <c r="T173" s="5" t="inlineStr">
        <is>
          <t>2</t>
        </is>
      </c>
      <c r="U173" s="5">
        <f>IFS(C173&lt;30,"Under 30",C173&lt;40,"30-39",C173&lt;50,"40-49",TRUE,"50+")</f>
        <v/>
      </c>
      <c r="V173" s="5">
        <f>IFS(O173&lt;60000,"Low (&lt;60k)",O173&lt;100000,"Mid (60-100k)",TRUE,"High (100k+)")</f>
        <v/>
      </c>
      <c r="W173" s="5">
        <f>IF(M173="No","Attrited","Active")</f>
        <v/>
      </c>
    </row>
    <row r="174">
      <c r="A174" s="5" t="inlineStr">
        <is>
          <t>E00173</t>
        </is>
      </c>
      <c r="B174" s="5" t="inlineStr">
        <is>
          <t>Male</t>
        </is>
      </c>
      <c r="C174" s="6" t="inlineStr">
        <is>
          <t>31</t>
        </is>
      </c>
      <c r="D174" s="5" t="inlineStr">
        <is>
          <t>Married</t>
        </is>
      </c>
      <c r="E174" s="5" t="inlineStr">
        <is>
          <t>Master</t>
        </is>
      </c>
      <c r="F174" s="5" t="inlineStr">
        <is>
          <t>Sales</t>
        </is>
      </c>
      <c r="G174" s="5" t="inlineStr">
        <is>
          <t>Account Executive</t>
        </is>
      </c>
      <c r="H174" s="5" t="inlineStr">
        <is>
          <t>1</t>
        </is>
      </c>
      <c r="I174" s="5" t="inlineStr">
        <is>
          <t>Hyderabad</t>
        </is>
      </c>
      <c r="J174" s="5" t="inlineStr">
        <is>
          <t>Full-Time</t>
        </is>
      </c>
      <c r="K174" s="7" t="n">
        <v>45531</v>
      </c>
      <c r="L174" s="7" t="inlineStr"/>
      <c r="M174" s="5" t="inlineStr">
        <is>
          <t>Yes</t>
        </is>
      </c>
      <c r="N174" s="5" t="inlineStr"/>
      <c r="O174" s="8" t="inlineStr">
        <is>
          <t>106000</t>
        </is>
      </c>
      <c r="P174" s="5" t="inlineStr">
        <is>
          <t>5</t>
        </is>
      </c>
      <c r="Q174" s="5" t="inlineStr">
        <is>
          <t>4</t>
        </is>
      </c>
      <c r="R174" s="5" t="inlineStr">
        <is>
          <t>5</t>
        </is>
      </c>
      <c r="S174" s="5" t="inlineStr">
        <is>
          <t>16</t>
        </is>
      </c>
      <c r="T174" s="5" t="inlineStr">
        <is>
          <t>14</t>
        </is>
      </c>
      <c r="U174" s="5">
        <f>IFS(C174&lt;30,"Under 30",C174&lt;40,"30-39",C174&lt;50,"40-49",TRUE,"50+")</f>
        <v/>
      </c>
      <c r="V174" s="5">
        <f>IFS(O174&lt;60000,"Low (&lt;60k)",O174&lt;100000,"Mid (60-100k)",TRUE,"High (100k+)")</f>
        <v/>
      </c>
      <c r="W174" s="5">
        <f>IF(M174="No","Attrited","Active")</f>
        <v/>
      </c>
    </row>
    <row r="175">
      <c r="A175" s="5" t="inlineStr">
        <is>
          <t>E00174</t>
        </is>
      </c>
      <c r="B175" s="5" t="inlineStr">
        <is>
          <t>Female</t>
        </is>
      </c>
      <c r="C175" s="6" t="inlineStr">
        <is>
          <t>38</t>
        </is>
      </c>
      <c r="D175" s="5" t="inlineStr">
        <is>
          <t>Married</t>
        </is>
      </c>
      <c r="E175" s="5" t="inlineStr">
        <is>
          <t>Master</t>
        </is>
      </c>
      <c r="F175" s="5" t="inlineStr">
        <is>
          <t>Finance</t>
        </is>
      </c>
      <c r="G175" s="5" t="inlineStr">
        <is>
          <t>Financial Analyst</t>
        </is>
      </c>
      <c r="H175" s="5" t="inlineStr">
        <is>
          <t>5</t>
        </is>
      </c>
      <c r="I175" s="5" t="inlineStr">
        <is>
          <t>Mumbai</t>
        </is>
      </c>
      <c r="J175" s="5" t="inlineStr">
        <is>
          <t>Full-Time</t>
        </is>
      </c>
      <c r="K175" s="7" t="n">
        <v>45269</v>
      </c>
      <c r="L175" s="7" t="inlineStr"/>
      <c r="M175" s="5" t="inlineStr">
        <is>
          <t>Yes</t>
        </is>
      </c>
      <c r="N175" s="5" t="inlineStr"/>
      <c r="O175" s="8" t="inlineStr">
        <is>
          <t>157000</t>
        </is>
      </c>
      <c r="P175" s="5" t="inlineStr">
        <is>
          <t>0</t>
        </is>
      </c>
      <c r="Q175" s="5" t="inlineStr">
        <is>
          <t>4</t>
        </is>
      </c>
      <c r="R175" s="5" t="inlineStr">
        <is>
          <t>4</t>
        </is>
      </c>
      <c r="S175" s="5" t="inlineStr">
        <is>
          <t>25</t>
        </is>
      </c>
      <c r="T175" s="5" t="inlineStr">
        <is>
          <t>12</t>
        </is>
      </c>
      <c r="U175" s="5">
        <f>IFS(C175&lt;30,"Under 30",C175&lt;40,"30-39",C175&lt;50,"40-49",TRUE,"50+")</f>
        <v/>
      </c>
      <c r="V175" s="5">
        <f>IFS(O175&lt;60000,"Low (&lt;60k)",O175&lt;100000,"Mid (60-100k)",TRUE,"High (100k+)")</f>
        <v/>
      </c>
      <c r="W175" s="5">
        <f>IF(M175="No","Attrited","Active")</f>
        <v/>
      </c>
    </row>
    <row r="176">
      <c r="A176" s="5" t="inlineStr">
        <is>
          <t>E00175</t>
        </is>
      </c>
      <c r="B176" s="5" t="inlineStr">
        <is>
          <t>Female</t>
        </is>
      </c>
      <c r="C176" s="6" t="inlineStr">
        <is>
          <t>35</t>
        </is>
      </c>
      <c r="D176" s="5" t="inlineStr">
        <is>
          <t>Married</t>
        </is>
      </c>
      <c r="E176" s="5" t="inlineStr">
        <is>
          <t>Master</t>
        </is>
      </c>
      <c r="F176" s="5" t="inlineStr">
        <is>
          <t>Customer Support</t>
        </is>
      </c>
      <c r="G176" s="5" t="inlineStr">
        <is>
          <t>Support Agent</t>
        </is>
      </c>
      <c r="H176" s="5" t="inlineStr">
        <is>
          <t>6</t>
        </is>
      </c>
      <c r="I176" s="5" t="inlineStr">
        <is>
          <t>Hyderabad</t>
        </is>
      </c>
      <c r="J176" s="5" t="inlineStr">
        <is>
          <t>Full-Time</t>
        </is>
      </c>
      <c r="K176" s="7" t="n">
        <v>45532</v>
      </c>
      <c r="L176" s="7" t="inlineStr"/>
      <c r="M176" s="5" t="inlineStr">
        <is>
          <t>Yes</t>
        </is>
      </c>
      <c r="N176" s="5" t="inlineStr"/>
      <c r="O176" s="8" t="inlineStr">
        <is>
          <t>96500</t>
        </is>
      </c>
      <c r="P176" s="5" t="inlineStr">
        <is>
          <t>5</t>
        </is>
      </c>
      <c r="Q176" s="5" t="inlineStr">
        <is>
          <t>2</t>
        </is>
      </c>
      <c r="R176" s="5" t="inlineStr">
        <is>
          <t>7</t>
        </is>
      </c>
      <c r="S176" s="5" t="inlineStr">
        <is>
          <t>16</t>
        </is>
      </c>
      <c r="T176" s="5" t="inlineStr">
        <is>
          <t>0</t>
        </is>
      </c>
      <c r="U176" s="5">
        <f>IFS(C176&lt;30,"Under 30",C176&lt;40,"30-39",C176&lt;50,"40-49",TRUE,"50+")</f>
        <v/>
      </c>
      <c r="V176" s="5">
        <f>IFS(O176&lt;60000,"Low (&lt;60k)",O176&lt;100000,"Mid (60-100k)",TRUE,"High (100k+)")</f>
        <v/>
      </c>
      <c r="W176" s="5">
        <f>IF(M176="No","Attrited","Active")</f>
        <v/>
      </c>
    </row>
    <row r="177">
      <c r="A177" s="5" t="inlineStr">
        <is>
          <t>E00176</t>
        </is>
      </c>
      <c r="B177" s="5" t="inlineStr">
        <is>
          <t>Female</t>
        </is>
      </c>
      <c r="C177" s="6" t="inlineStr">
        <is>
          <t>42</t>
        </is>
      </c>
      <c r="D177" s="5" t="inlineStr">
        <is>
          <t>Divorced</t>
        </is>
      </c>
      <c r="E177" s="5" t="inlineStr">
        <is>
          <t>High School</t>
        </is>
      </c>
      <c r="F177" s="5" t="inlineStr">
        <is>
          <t>Sales</t>
        </is>
      </c>
      <c r="G177" s="5" t="inlineStr">
        <is>
          <t>Sales Executive</t>
        </is>
      </c>
      <c r="H177" s="5" t="inlineStr">
        <is>
          <t>6</t>
        </is>
      </c>
      <c r="I177" s="5" t="inlineStr">
        <is>
          <t>Chennai</t>
        </is>
      </c>
      <c r="J177" s="5" t="inlineStr">
        <is>
          <t>Full-Time</t>
        </is>
      </c>
      <c r="K177" s="7" t="n">
        <v>45579</v>
      </c>
      <c r="L177" s="7" t="inlineStr"/>
      <c r="M177" s="5" t="inlineStr">
        <is>
          <t>Yes</t>
        </is>
      </c>
      <c r="N177" s="5" t="inlineStr"/>
      <c r="O177" s="8" t="inlineStr">
        <is>
          <t>150000</t>
        </is>
      </c>
      <c r="P177" s="5" t="inlineStr">
        <is>
          <t>0</t>
        </is>
      </c>
      <c r="Q177" s="5" t="inlineStr">
        <is>
          <t>4</t>
        </is>
      </c>
      <c r="R177" s="5" t="inlineStr">
        <is>
          <t>6</t>
        </is>
      </c>
      <c r="S177" s="5" t="inlineStr">
        <is>
          <t>14</t>
        </is>
      </c>
      <c r="T177" s="5" t="inlineStr">
        <is>
          <t>3</t>
        </is>
      </c>
      <c r="U177" s="5">
        <f>IFS(C177&lt;30,"Under 30",C177&lt;40,"30-39",C177&lt;50,"40-49",TRUE,"50+")</f>
        <v/>
      </c>
      <c r="V177" s="5">
        <f>IFS(O177&lt;60000,"Low (&lt;60k)",O177&lt;100000,"Mid (60-100k)",TRUE,"High (100k+)")</f>
        <v/>
      </c>
      <c r="W177" s="5">
        <f>IF(M177="No","Attrited","Active")</f>
        <v/>
      </c>
    </row>
    <row r="178">
      <c r="A178" s="5" t="inlineStr">
        <is>
          <t>E00177</t>
        </is>
      </c>
      <c r="B178" s="5" t="inlineStr">
        <is>
          <t>Male</t>
        </is>
      </c>
      <c r="C178" s="6" t="inlineStr">
        <is>
          <t>34</t>
        </is>
      </c>
      <c r="D178" s="5" t="inlineStr">
        <is>
          <t>Single</t>
        </is>
      </c>
      <c r="E178" s="5" t="inlineStr">
        <is>
          <t>High School</t>
        </is>
      </c>
      <c r="F178" s="5" t="inlineStr">
        <is>
          <t>Customer Support</t>
        </is>
      </c>
      <c r="G178" s="5" t="inlineStr">
        <is>
          <t>Support Lead</t>
        </is>
      </c>
      <c r="H178" s="5" t="inlineStr">
        <is>
          <t>3</t>
        </is>
      </c>
      <c r="I178" s="5" t="inlineStr">
        <is>
          <t>Chennai</t>
        </is>
      </c>
      <c r="J178" s="5" t="inlineStr">
        <is>
          <t>Part-Time</t>
        </is>
      </c>
      <c r="K178" s="7" t="n">
        <v>44694</v>
      </c>
      <c r="L178" s="7" t="inlineStr"/>
      <c r="M178" s="5" t="inlineStr">
        <is>
          <t>Yes</t>
        </is>
      </c>
      <c r="N178" s="5" t="inlineStr"/>
      <c r="O178" s="8" t="inlineStr">
        <is>
          <t>84500</t>
        </is>
      </c>
      <c r="P178" s="5" t="inlineStr">
        <is>
          <t>5</t>
        </is>
      </c>
      <c r="Q178" s="5" t="inlineStr">
        <is>
          <t>3</t>
        </is>
      </c>
      <c r="R178" s="5" t="inlineStr">
        <is>
          <t>5</t>
        </is>
      </c>
      <c r="S178" s="5" t="inlineStr">
        <is>
          <t>44</t>
        </is>
      </c>
      <c r="T178" s="5" t="inlineStr">
        <is>
          <t>8</t>
        </is>
      </c>
      <c r="U178" s="5">
        <f>IFS(C178&lt;30,"Under 30",C178&lt;40,"30-39",C178&lt;50,"40-49",TRUE,"50+")</f>
        <v/>
      </c>
      <c r="V178" s="5">
        <f>IFS(O178&lt;60000,"Low (&lt;60k)",O178&lt;100000,"Mid (60-100k)",TRUE,"High (100k+)")</f>
        <v/>
      </c>
      <c r="W178" s="5">
        <f>IF(M178="No","Attrited","Active")</f>
        <v/>
      </c>
    </row>
    <row r="179">
      <c r="A179" s="5" t="inlineStr">
        <is>
          <t>E00178</t>
        </is>
      </c>
      <c r="B179" s="5" t="inlineStr">
        <is>
          <t>Male</t>
        </is>
      </c>
      <c r="C179" s="6" t="inlineStr">
        <is>
          <t>33</t>
        </is>
      </c>
      <c r="D179" s="5" t="inlineStr">
        <is>
          <t>Married</t>
        </is>
      </c>
      <c r="E179" s="5" t="inlineStr">
        <is>
          <t>PhD</t>
        </is>
      </c>
      <c r="F179" s="5" t="inlineStr">
        <is>
          <t>Sales</t>
        </is>
      </c>
      <c r="G179" s="5" t="inlineStr">
        <is>
          <t>Business Development</t>
        </is>
      </c>
      <c r="H179" s="5" t="inlineStr">
        <is>
          <t>6</t>
        </is>
      </c>
      <c r="I179" s="5" t="inlineStr">
        <is>
          <t>Hyderabad</t>
        </is>
      </c>
      <c r="J179" s="5" t="inlineStr">
        <is>
          <t>Part-Time</t>
        </is>
      </c>
      <c r="K179" s="7" t="n">
        <v>45103</v>
      </c>
      <c r="L179" s="7" t="inlineStr"/>
      <c r="M179" s="5" t="inlineStr">
        <is>
          <t>Yes</t>
        </is>
      </c>
      <c r="N179" s="5" t="inlineStr"/>
      <c r="O179" s="8" t="inlineStr">
        <is>
          <t>131500</t>
        </is>
      </c>
      <c r="P179" s="5" t="inlineStr">
        <is>
          <t>0</t>
        </is>
      </c>
      <c r="Q179" s="5" t="inlineStr">
        <is>
          <t>4</t>
        </is>
      </c>
      <c r="R179" s="5" t="inlineStr">
        <is>
          <t>4</t>
        </is>
      </c>
      <c r="S179" s="5" t="inlineStr">
        <is>
          <t>30</t>
        </is>
      </c>
      <c r="T179" s="5" t="inlineStr">
        <is>
          <t>4</t>
        </is>
      </c>
      <c r="U179" s="5">
        <f>IFS(C179&lt;30,"Under 30",C179&lt;40,"30-39",C179&lt;50,"40-49",TRUE,"50+")</f>
        <v/>
      </c>
      <c r="V179" s="5">
        <f>IFS(O179&lt;60000,"Low (&lt;60k)",O179&lt;100000,"Mid (60-100k)",TRUE,"High (100k+)")</f>
        <v/>
      </c>
      <c r="W179" s="5">
        <f>IF(M179="No","Attrited","Active")</f>
        <v/>
      </c>
    </row>
    <row r="180">
      <c r="A180" s="5" t="inlineStr">
        <is>
          <t>E00179</t>
        </is>
      </c>
      <c r="B180" s="5" t="inlineStr">
        <is>
          <t>Female</t>
        </is>
      </c>
      <c r="C180" s="6" t="inlineStr">
        <is>
          <t>26</t>
        </is>
      </c>
      <c r="D180" s="5" t="inlineStr">
        <is>
          <t>Single</t>
        </is>
      </c>
      <c r="E180" s="5" t="inlineStr">
        <is>
          <t>PhD</t>
        </is>
      </c>
      <c r="F180" s="5" t="inlineStr">
        <is>
          <t>IT</t>
        </is>
      </c>
      <c r="G180" s="5" t="inlineStr">
        <is>
          <t>Data Analyst</t>
        </is>
      </c>
      <c r="H180" s="5" t="inlineStr">
        <is>
          <t>2</t>
        </is>
      </c>
      <c r="I180" s="5" t="inlineStr">
        <is>
          <t>Delhi</t>
        </is>
      </c>
      <c r="J180" s="5" t="inlineStr">
        <is>
          <t>Full-Time</t>
        </is>
      </c>
      <c r="K180" s="7" t="n">
        <v>44863</v>
      </c>
      <c r="L180" s="7" t="inlineStr"/>
      <c r="M180" s="5" t="inlineStr">
        <is>
          <t>Yes</t>
        </is>
      </c>
      <c r="N180" s="5" t="inlineStr"/>
      <c r="O180" s="8" t="inlineStr">
        <is>
          <t>163000</t>
        </is>
      </c>
      <c r="P180" s="5" t="inlineStr">
        <is>
          <t>0</t>
        </is>
      </c>
      <c r="Q180" s="5" t="inlineStr">
        <is>
          <t>4</t>
        </is>
      </c>
      <c r="R180" s="5" t="inlineStr">
        <is>
          <t>8</t>
        </is>
      </c>
      <c r="S180" s="5" t="inlineStr">
        <is>
          <t>38</t>
        </is>
      </c>
      <c r="T180" s="5" t="inlineStr">
        <is>
          <t>7</t>
        </is>
      </c>
      <c r="U180" s="5">
        <f>IFS(C180&lt;30,"Under 30",C180&lt;40,"30-39",C180&lt;50,"40-49",TRUE,"50+")</f>
        <v/>
      </c>
      <c r="V180" s="5">
        <f>IFS(O180&lt;60000,"Low (&lt;60k)",O180&lt;100000,"Mid (60-100k)",TRUE,"High (100k+)")</f>
        <v/>
      </c>
      <c r="W180" s="5">
        <f>IF(M180="No","Attrited","Active")</f>
        <v/>
      </c>
    </row>
    <row r="181">
      <c r="A181" s="5" t="inlineStr">
        <is>
          <t>E00180</t>
        </is>
      </c>
      <c r="B181" s="5" t="inlineStr">
        <is>
          <t>Female</t>
        </is>
      </c>
      <c r="C181" s="6" t="inlineStr">
        <is>
          <t>36</t>
        </is>
      </c>
      <c r="D181" s="5" t="inlineStr">
        <is>
          <t>Married</t>
        </is>
      </c>
      <c r="E181" s="5" t="inlineStr">
        <is>
          <t>PhD</t>
        </is>
      </c>
      <c r="F181" s="5" t="inlineStr">
        <is>
          <t>Operations</t>
        </is>
      </c>
      <c r="G181" s="5" t="inlineStr">
        <is>
          <t>Quality Analyst</t>
        </is>
      </c>
      <c r="H181" s="5" t="inlineStr">
        <is>
          <t>4</t>
        </is>
      </c>
      <c r="I181" s="5" t="inlineStr">
        <is>
          <t>Delhi</t>
        </is>
      </c>
      <c r="J181" s="5" t="inlineStr">
        <is>
          <t>Full-Time</t>
        </is>
      </c>
      <c r="K181" s="7" t="n">
        <v>45016</v>
      </c>
      <c r="L181" s="7" t="inlineStr"/>
      <c r="M181" s="5" t="inlineStr">
        <is>
          <t>Yes</t>
        </is>
      </c>
      <c r="N181" s="5" t="inlineStr"/>
      <c r="O181" s="8" t="inlineStr">
        <is>
          <t>82000</t>
        </is>
      </c>
      <c r="P181" s="5" t="inlineStr">
        <is>
          <t>20</t>
        </is>
      </c>
      <c r="Q181" s="5" t="inlineStr">
        <is>
          <t>5</t>
        </is>
      </c>
      <c r="R181" s="5" t="inlineStr">
        <is>
          <t>7</t>
        </is>
      </c>
      <c r="S181" s="5" t="inlineStr">
        <is>
          <t>33</t>
        </is>
      </c>
      <c r="T181" s="5" t="inlineStr">
        <is>
          <t>0</t>
        </is>
      </c>
      <c r="U181" s="5">
        <f>IFS(C181&lt;30,"Under 30",C181&lt;40,"30-39",C181&lt;50,"40-49",TRUE,"50+")</f>
        <v/>
      </c>
      <c r="V181" s="5">
        <f>IFS(O181&lt;60000,"Low (&lt;60k)",O181&lt;100000,"Mid (60-100k)",TRUE,"High (100k+)")</f>
        <v/>
      </c>
      <c r="W181" s="5">
        <f>IF(M181="No","Attrited","Active")</f>
        <v/>
      </c>
    </row>
    <row r="182">
      <c r="A182" s="5" t="inlineStr">
        <is>
          <t>E00181</t>
        </is>
      </c>
      <c r="B182" s="5" t="inlineStr">
        <is>
          <t>Female</t>
        </is>
      </c>
      <c r="C182" s="6" t="inlineStr">
        <is>
          <t>29</t>
        </is>
      </c>
      <c r="D182" s="5" t="inlineStr">
        <is>
          <t>Married</t>
        </is>
      </c>
      <c r="E182" s="5" t="inlineStr">
        <is>
          <t>Bachelor</t>
        </is>
      </c>
      <c r="F182" s="5" t="inlineStr">
        <is>
          <t>Human Resources</t>
        </is>
      </c>
      <c r="G182" s="5" t="inlineStr">
        <is>
          <t>HR Analyst</t>
        </is>
      </c>
      <c r="H182" s="5" t="inlineStr">
        <is>
          <t>1</t>
        </is>
      </c>
      <c r="I182" s="5" t="inlineStr">
        <is>
          <t>Chennai</t>
        </is>
      </c>
      <c r="J182" s="5" t="inlineStr">
        <is>
          <t>Full-Time</t>
        </is>
      </c>
      <c r="K182" s="7" t="n">
        <v>45457</v>
      </c>
      <c r="L182" s="7" t="inlineStr"/>
      <c r="M182" s="5" t="inlineStr">
        <is>
          <t>Yes</t>
        </is>
      </c>
      <c r="N182" s="5" t="inlineStr"/>
      <c r="O182" s="8" t="inlineStr">
        <is>
          <t>89000</t>
        </is>
      </c>
      <c r="P182" s="5" t="inlineStr">
        <is>
          <t>0</t>
        </is>
      </c>
      <c r="Q182" s="5" t="inlineStr">
        <is>
          <t>4</t>
        </is>
      </c>
      <c r="R182" s="5" t="inlineStr">
        <is>
          <t>6</t>
        </is>
      </c>
      <c r="S182" s="5" t="inlineStr">
        <is>
          <t>18</t>
        </is>
      </c>
      <c r="T182" s="5" t="inlineStr">
        <is>
          <t>9</t>
        </is>
      </c>
      <c r="U182" s="5">
        <f>IFS(C182&lt;30,"Under 30",C182&lt;40,"30-39",C182&lt;50,"40-49",TRUE,"50+")</f>
        <v/>
      </c>
      <c r="V182" s="5">
        <f>IFS(O182&lt;60000,"Low (&lt;60k)",O182&lt;100000,"Mid (60-100k)",TRUE,"High (100k+)")</f>
        <v/>
      </c>
      <c r="W182" s="5">
        <f>IF(M182="No","Attrited","Active")</f>
        <v/>
      </c>
    </row>
    <row r="183">
      <c r="A183" s="5" t="inlineStr">
        <is>
          <t>E00182</t>
        </is>
      </c>
      <c r="B183" s="5" t="inlineStr">
        <is>
          <t>Male</t>
        </is>
      </c>
      <c r="C183" s="6" t="inlineStr">
        <is>
          <t>31</t>
        </is>
      </c>
      <c r="D183" s="5" t="inlineStr">
        <is>
          <t>Married</t>
        </is>
      </c>
      <c r="E183" s="5" t="inlineStr">
        <is>
          <t>High School</t>
        </is>
      </c>
      <c r="F183" s="5" t="inlineStr">
        <is>
          <t>Marketing</t>
        </is>
      </c>
      <c r="G183" s="5" t="inlineStr">
        <is>
          <t>SEO Specialist</t>
        </is>
      </c>
      <c r="H183" s="5" t="inlineStr">
        <is>
          <t>3</t>
        </is>
      </c>
      <c r="I183" s="5" t="inlineStr">
        <is>
          <t>Chennai</t>
        </is>
      </c>
      <c r="J183" s="5" t="inlineStr">
        <is>
          <t>Full-Time</t>
        </is>
      </c>
      <c r="K183" s="7" t="n">
        <v>44369</v>
      </c>
      <c r="L183" s="7" t="inlineStr"/>
      <c r="M183" s="5" t="inlineStr">
        <is>
          <t>Yes</t>
        </is>
      </c>
      <c r="N183" s="5" t="inlineStr"/>
      <c r="O183" s="8" t="inlineStr">
        <is>
          <t>114000</t>
        </is>
      </c>
      <c r="P183" s="5" t="inlineStr">
        <is>
          <t>5</t>
        </is>
      </c>
      <c r="Q183" s="5" t="inlineStr">
        <is>
          <t>4</t>
        </is>
      </c>
      <c r="R183" s="5" t="inlineStr">
        <is>
          <t>7</t>
        </is>
      </c>
      <c r="S183" s="5" t="inlineStr">
        <is>
          <t>55</t>
        </is>
      </c>
      <c r="T183" s="5" t="inlineStr">
        <is>
          <t>8</t>
        </is>
      </c>
      <c r="U183" s="5">
        <f>IFS(C183&lt;30,"Under 30",C183&lt;40,"30-39",C183&lt;50,"40-49",TRUE,"50+")</f>
        <v/>
      </c>
      <c r="V183" s="5">
        <f>IFS(O183&lt;60000,"Low (&lt;60k)",O183&lt;100000,"Mid (60-100k)",TRUE,"High (100k+)")</f>
        <v/>
      </c>
      <c r="W183" s="5">
        <f>IF(M183="No","Attrited","Active")</f>
        <v/>
      </c>
    </row>
    <row r="184">
      <c r="A184" s="5" t="inlineStr">
        <is>
          <t>E00183</t>
        </is>
      </c>
      <c r="B184" s="5" t="inlineStr">
        <is>
          <t>Female</t>
        </is>
      </c>
      <c r="C184" s="6" t="inlineStr">
        <is>
          <t>29</t>
        </is>
      </c>
      <c r="D184" s="5" t="inlineStr">
        <is>
          <t>Married</t>
        </is>
      </c>
      <c r="E184" s="5" t="inlineStr">
        <is>
          <t>High School</t>
        </is>
      </c>
      <c r="F184" s="5" t="inlineStr">
        <is>
          <t>Operations</t>
        </is>
      </c>
      <c r="G184" s="5" t="inlineStr">
        <is>
          <t>Operations Analyst</t>
        </is>
      </c>
      <c r="H184" s="5" t="inlineStr">
        <is>
          <t>2</t>
        </is>
      </c>
      <c r="I184" s="5" t="inlineStr">
        <is>
          <t>Remote</t>
        </is>
      </c>
      <c r="J184" s="5" t="inlineStr">
        <is>
          <t>Full-Time</t>
        </is>
      </c>
      <c r="K184" s="7" t="n">
        <v>45626</v>
      </c>
      <c r="L184" s="7" t="inlineStr"/>
      <c r="M184" s="5" t="inlineStr">
        <is>
          <t>Yes</t>
        </is>
      </c>
      <c r="N184" s="5" t="inlineStr"/>
      <c r="O184" s="8" t="inlineStr">
        <is>
          <t>83000</t>
        </is>
      </c>
      <c r="P184" s="5" t="inlineStr">
        <is>
          <t>5</t>
        </is>
      </c>
      <c r="Q184" s="5" t="inlineStr">
        <is>
          <t>3</t>
        </is>
      </c>
      <c r="R184" s="5" t="inlineStr">
        <is>
          <t>8</t>
        </is>
      </c>
      <c r="S184" s="5" t="inlineStr">
        <is>
          <t>13</t>
        </is>
      </c>
      <c r="T184" s="5" t="inlineStr">
        <is>
          <t>9</t>
        </is>
      </c>
      <c r="U184" s="5">
        <f>IFS(C184&lt;30,"Under 30",C184&lt;40,"30-39",C184&lt;50,"40-49",TRUE,"50+")</f>
        <v/>
      </c>
      <c r="V184" s="5">
        <f>IFS(O184&lt;60000,"Low (&lt;60k)",O184&lt;100000,"Mid (60-100k)",TRUE,"High (100k+)")</f>
        <v/>
      </c>
      <c r="W184" s="5">
        <f>IF(M184="No","Attrited","Active")</f>
        <v/>
      </c>
    </row>
    <row r="185">
      <c r="A185" s="5" t="inlineStr">
        <is>
          <t>E00184</t>
        </is>
      </c>
      <c r="B185" s="5" t="inlineStr">
        <is>
          <t>Female</t>
        </is>
      </c>
      <c r="C185" s="6" t="inlineStr">
        <is>
          <t>37</t>
        </is>
      </c>
      <c r="D185" s="5" t="inlineStr">
        <is>
          <t>Single</t>
        </is>
      </c>
      <c r="E185" s="5" t="inlineStr">
        <is>
          <t>High School</t>
        </is>
      </c>
      <c r="F185" s="5" t="inlineStr">
        <is>
          <t>Research &amp; Development</t>
        </is>
      </c>
      <c r="G185" s="5" t="inlineStr">
        <is>
          <t>Research Scientist</t>
        </is>
      </c>
      <c r="H185" s="5" t="inlineStr">
        <is>
          <t>6</t>
        </is>
      </c>
      <c r="I185" s="5" t="inlineStr">
        <is>
          <t>Bengaluru</t>
        </is>
      </c>
      <c r="J185" s="5" t="inlineStr">
        <is>
          <t>Full-Time</t>
        </is>
      </c>
      <c r="K185" s="7" t="n">
        <v>45614</v>
      </c>
      <c r="L185" s="7" t="inlineStr"/>
      <c r="M185" s="5" t="inlineStr">
        <is>
          <t>Yes</t>
        </is>
      </c>
      <c r="N185" s="5" t="inlineStr"/>
      <c r="O185" s="8" t="inlineStr">
        <is>
          <t>195000</t>
        </is>
      </c>
      <c r="P185" s="5" t="inlineStr">
        <is>
          <t>5</t>
        </is>
      </c>
      <c r="Q185" s="5" t="inlineStr">
        <is>
          <t>4</t>
        </is>
      </c>
      <c r="R185" s="5" t="inlineStr">
        <is>
          <t>10</t>
        </is>
      </c>
      <c r="S185" s="5" t="inlineStr">
        <is>
          <t>13</t>
        </is>
      </c>
      <c r="T185" s="5" t="inlineStr">
        <is>
          <t>10</t>
        </is>
      </c>
      <c r="U185" s="5">
        <f>IFS(C185&lt;30,"Under 30",C185&lt;40,"30-39",C185&lt;50,"40-49",TRUE,"50+")</f>
        <v/>
      </c>
      <c r="V185" s="5">
        <f>IFS(O185&lt;60000,"Low (&lt;60k)",O185&lt;100000,"Mid (60-100k)",TRUE,"High (100k+)")</f>
        <v/>
      </c>
      <c r="W185" s="5">
        <f>IF(M185="No","Attrited","Active")</f>
        <v/>
      </c>
    </row>
    <row r="186">
      <c r="A186" s="5" t="inlineStr">
        <is>
          <t>E00185</t>
        </is>
      </c>
      <c r="B186" s="5" t="inlineStr">
        <is>
          <t>Male</t>
        </is>
      </c>
      <c r="C186" s="6" t="inlineStr">
        <is>
          <t>37</t>
        </is>
      </c>
      <c r="D186" s="5" t="inlineStr">
        <is>
          <t>Single</t>
        </is>
      </c>
      <c r="E186" s="5" t="inlineStr">
        <is>
          <t>High School</t>
        </is>
      </c>
      <c r="F186" s="5" t="inlineStr">
        <is>
          <t>Human Resources</t>
        </is>
      </c>
      <c r="G186" s="5" t="inlineStr">
        <is>
          <t>HR Analyst</t>
        </is>
      </c>
      <c r="H186" s="5" t="inlineStr">
        <is>
          <t>3</t>
        </is>
      </c>
      <c r="I186" s="5" t="inlineStr">
        <is>
          <t>Delhi</t>
        </is>
      </c>
      <c r="J186" s="5" t="inlineStr">
        <is>
          <t>Full-Time</t>
        </is>
      </c>
      <c r="K186" s="7" t="n">
        <v>44010</v>
      </c>
      <c r="L186" s="7" t="inlineStr"/>
      <c r="M186" s="5" t="inlineStr">
        <is>
          <t>Yes</t>
        </is>
      </c>
      <c r="N186" s="5" t="inlineStr"/>
      <c r="O186" s="8" t="inlineStr">
        <is>
          <t>88500</t>
        </is>
      </c>
      <c r="P186" s="5" t="inlineStr">
        <is>
          <t>5</t>
        </is>
      </c>
      <c r="Q186" s="5" t="inlineStr">
        <is>
          <t>5</t>
        </is>
      </c>
      <c r="R186" s="5" t="inlineStr">
        <is>
          <t>6</t>
        </is>
      </c>
      <c r="S186" s="5" t="inlineStr">
        <is>
          <t>67</t>
        </is>
      </c>
      <c r="T186" s="5" t="inlineStr">
        <is>
          <t>0</t>
        </is>
      </c>
      <c r="U186" s="5">
        <f>IFS(C186&lt;30,"Under 30",C186&lt;40,"30-39",C186&lt;50,"40-49",TRUE,"50+")</f>
        <v/>
      </c>
      <c r="V186" s="5">
        <f>IFS(O186&lt;60000,"Low (&lt;60k)",O186&lt;100000,"Mid (60-100k)",TRUE,"High (100k+)")</f>
        <v/>
      </c>
      <c r="W186" s="5">
        <f>IF(M186="No","Attrited","Active")</f>
        <v/>
      </c>
    </row>
    <row r="187">
      <c r="A187" s="5" t="inlineStr">
        <is>
          <t>E00186</t>
        </is>
      </c>
      <c r="B187" s="5" t="inlineStr">
        <is>
          <t>Female</t>
        </is>
      </c>
      <c r="C187" s="6" t="inlineStr">
        <is>
          <t>37</t>
        </is>
      </c>
      <c r="D187" s="5" t="inlineStr">
        <is>
          <t>Married</t>
        </is>
      </c>
      <c r="E187" s="5" t="inlineStr">
        <is>
          <t>Master</t>
        </is>
      </c>
      <c r="F187" s="5" t="inlineStr">
        <is>
          <t>Finance</t>
        </is>
      </c>
      <c r="G187" s="5" t="inlineStr">
        <is>
          <t>Financial Analyst</t>
        </is>
      </c>
      <c r="H187" s="5" t="inlineStr">
        <is>
          <t>7</t>
        </is>
      </c>
      <c r="I187" s="5" t="inlineStr">
        <is>
          <t>Delhi</t>
        </is>
      </c>
      <c r="J187" s="5" t="inlineStr">
        <is>
          <t>Full-Time</t>
        </is>
      </c>
      <c r="K187" s="7" t="n">
        <v>45898</v>
      </c>
      <c r="L187" s="7" t="inlineStr"/>
      <c r="M187" s="5" t="inlineStr">
        <is>
          <t>Yes</t>
        </is>
      </c>
      <c r="N187" s="5" t="inlineStr"/>
      <c r="O187" s="8" t="inlineStr">
        <is>
          <t>197000</t>
        </is>
      </c>
      <c r="P187" s="5" t="inlineStr">
        <is>
          <t>20</t>
        </is>
      </c>
      <c r="Q187" s="5" t="inlineStr">
        <is>
          <t>2</t>
        </is>
      </c>
      <c r="R187" s="5" t="inlineStr">
        <is>
          <t>7</t>
        </is>
      </c>
      <c r="S187" s="5" t="inlineStr">
        <is>
          <t>4</t>
        </is>
      </c>
      <c r="T187" s="5" t="inlineStr">
        <is>
          <t>4</t>
        </is>
      </c>
      <c r="U187" s="5">
        <f>IFS(C187&lt;30,"Under 30",C187&lt;40,"30-39",C187&lt;50,"40-49",TRUE,"50+")</f>
        <v/>
      </c>
      <c r="V187" s="5">
        <f>IFS(O187&lt;60000,"Low (&lt;60k)",O187&lt;100000,"Mid (60-100k)",TRUE,"High (100k+)")</f>
        <v/>
      </c>
      <c r="W187" s="5">
        <f>IF(M187="No","Attrited","Active")</f>
        <v/>
      </c>
    </row>
    <row r="188">
      <c r="A188" s="5" t="inlineStr">
        <is>
          <t>E00187</t>
        </is>
      </c>
      <c r="B188" s="5" t="inlineStr">
        <is>
          <t>Female</t>
        </is>
      </c>
      <c r="C188" s="6" t="inlineStr">
        <is>
          <t>31</t>
        </is>
      </c>
      <c r="D188" s="5" t="inlineStr">
        <is>
          <t>Married</t>
        </is>
      </c>
      <c r="E188" s="5" t="inlineStr">
        <is>
          <t>Diploma</t>
        </is>
      </c>
      <c r="F188" s="5" t="inlineStr">
        <is>
          <t>Customer Support</t>
        </is>
      </c>
      <c r="G188" s="5" t="inlineStr">
        <is>
          <t>Support Lead</t>
        </is>
      </c>
      <c r="H188" s="5" t="inlineStr">
        <is>
          <t>4</t>
        </is>
      </c>
      <c r="I188" s="5" t="inlineStr">
        <is>
          <t>Mumbai</t>
        </is>
      </c>
      <c r="J188" s="5" t="inlineStr">
        <is>
          <t>Full-Time</t>
        </is>
      </c>
      <c r="K188" s="7" t="n">
        <v>44348</v>
      </c>
      <c r="L188" s="7" t="inlineStr"/>
      <c r="M188" s="5" t="inlineStr">
        <is>
          <t>Yes</t>
        </is>
      </c>
      <c r="N188" s="5" t="inlineStr"/>
      <c r="O188" s="8" t="inlineStr">
        <is>
          <t>103000</t>
        </is>
      </c>
      <c r="P188" s="5" t="inlineStr">
        <is>
          <t>0</t>
        </is>
      </c>
      <c r="Q188" s="5" t="inlineStr">
        <is>
          <t>5</t>
        </is>
      </c>
      <c r="R188" s="5" t="inlineStr">
        <is>
          <t>9</t>
        </is>
      </c>
      <c r="S188" s="5" t="inlineStr">
        <is>
          <t>55</t>
        </is>
      </c>
      <c r="T188" s="5" t="inlineStr">
        <is>
          <t>2</t>
        </is>
      </c>
      <c r="U188" s="5">
        <f>IFS(C188&lt;30,"Under 30",C188&lt;40,"30-39",C188&lt;50,"40-49",TRUE,"50+")</f>
        <v/>
      </c>
      <c r="V188" s="5">
        <f>IFS(O188&lt;60000,"Low (&lt;60k)",O188&lt;100000,"Mid (60-100k)",TRUE,"High (100k+)")</f>
        <v/>
      </c>
      <c r="W188" s="5">
        <f>IF(M188="No","Attrited","Active")</f>
        <v/>
      </c>
    </row>
    <row r="189">
      <c r="A189" s="5" t="inlineStr">
        <is>
          <t>E00188</t>
        </is>
      </c>
      <c r="B189" s="5" t="inlineStr">
        <is>
          <t>Male</t>
        </is>
      </c>
      <c r="C189" s="6" t="inlineStr">
        <is>
          <t>31</t>
        </is>
      </c>
      <c r="D189" s="5" t="inlineStr">
        <is>
          <t>Married</t>
        </is>
      </c>
      <c r="E189" s="5" t="inlineStr">
        <is>
          <t>High School</t>
        </is>
      </c>
      <c r="F189" s="5" t="inlineStr">
        <is>
          <t>Operations</t>
        </is>
      </c>
      <c r="G189" s="5" t="inlineStr">
        <is>
          <t>Quality Analyst</t>
        </is>
      </c>
      <c r="H189" s="5" t="inlineStr">
        <is>
          <t>3</t>
        </is>
      </c>
      <c r="I189" s="5" t="inlineStr">
        <is>
          <t>Mumbai</t>
        </is>
      </c>
      <c r="J189" s="5" t="inlineStr">
        <is>
          <t>Full-Time</t>
        </is>
      </c>
      <c r="K189" s="7" t="n">
        <v>44107</v>
      </c>
      <c r="L189" s="7" t="inlineStr"/>
      <c r="M189" s="5" t="inlineStr">
        <is>
          <t>Yes</t>
        </is>
      </c>
      <c r="N189" s="5" t="inlineStr"/>
      <c r="O189" s="8" t="inlineStr">
        <is>
          <t>117000</t>
        </is>
      </c>
      <c r="P189" s="5" t="inlineStr">
        <is>
          <t>0</t>
        </is>
      </c>
      <c r="Q189" s="5" t="inlineStr">
        <is>
          <t>4</t>
        </is>
      </c>
      <c r="R189" s="5" t="inlineStr">
        <is>
          <t>6</t>
        </is>
      </c>
      <c r="S189" s="5" t="inlineStr">
        <is>
          <t>63</t>
        </is>
      </c>
      <c r="T189" s="5" t="inlineStr">
        <is>
          <t>9</t>
        </is>
      </c>
      <c r="U189" s="5">
        <f>IFS(C189&lt;30,"Under 30",C189&lt;40,"30-39",C189&lt;50,"40-49",TRUE,"50+")</f>
        <v/>
      </c>
      <c r="V189" s="5">
        <f>IFS(O189&lt;60000,"Low (&lt;60k)",O189&lt;100000,"Mid (60-100k)",TRUE,"High (100k+)")</f>
        <v/>
      </c>
      <c r="W189" s="5">
        <f>IF(M189="No","Attrited","Active")</f>
        <v/>
      </c>
    </row>
    <row r="190">
      <c r="A190" s="5" t="inlineStr">
        <is>
          <t>E00189</t>
        </is>
      </c>
      <c r="B190" s="5" t="inlineStr">
        <is>
          <t>Male</t>
        </is>
      </c>
      <c r="C190" s="6" t="inlineStr">
        <is>
          <t>34</t>
        </is>
      </c>
      <c r="D190" s="5" t="inlineStr">
        <is>
          <t>Married</t>
        </is>
      </c>
      <c r="E190" s="5" t="inlineStr">
        <is>
          <t>PhD</t>
        </is>
      </c>
      <c r="F190" s="5" t="inlineStr">
        <is>
          <t>Sales</t>
        </is>
      </c>
      <c r="G190" s="5" t="inlineStr">
        <is>
          <t>Account Executive</t>
        </is>
      </c>
      <c r="H190" s="5" t="inlineStr">
        <is>
          <t>6</t>
        </is>
      </c>
      <c r="I190" s="5" t="inlineStr">
        <is>
          <t>Mumbai</t>
        </is>
      </c>
      <c r="J190" s="5" t="inlineStr">
        <is>
          <t>Full-Time</t>
        </is>
      </c>
      <c r="K190" s="7" t="n">
        <v>44035</v>
      </c>
      <c r="L190" s="7" t="inlineStr"/>
      <c r="M190" s="5" t="inlineStr">
        <is>
          <t>Yes</t>
        </is>
      </c>
      <c r="N190" s="5" t="inlineStr"/>
      <c r="O190" s="8" t="inlineStr">
        <is>
          <t>150000</t>
        </is>
      </c>
      <c r="P190" s="5" t="inlineStr">
        <is>
          <t>10</t>
        </is>
      </c>
      <c r="Q190" s="5" t="inlineStr">
        <is>
          <t>3</t>
        </is>
      </c>
      <c r="R190" s="5" t="inlineStr">
        <is>
          <t>8</t>
        </is>
      </c>
      <c r="S190" s="5" t="inlineStr">
        <is>
          <t>66</t>
        </is>
      </c>
      <c r="T190" s="5" t="inlineStr">
        <is>
          <t>6</t>
        </is>
      </c>
      <c r="U190" s="5">
        <f>IFS(C190&lt;30,"Under 30",C190&lt;40,"30-39",C190&lt;50,"40-49",TRUE,"50+")</f>
        <v/>
      </c>
      <c r="V190" s="5">
        <f>IFS(O190&lt;60000,"Low (&lt;60k)",O190&lt;100000,"Mid (60-100k)",TRUE,"High (100k+)")</f>
        <v/>
      </c>
      <c r="W190" s="5">
        <f>IF(M190="No","Attrited","Active")</f>
        <v/>
      </c>
    </row>
    <row r="191">
      <c r="A191" s="5" t="inlineStr">
        <is>
          <t>E00190</t>
        </is>
      </c>
      <c r="B191" s="5" t="inlineStr">
        <is>
          <t>Female</t>
        </is>
      </c>
      <c r="C191" s="6" t="inlineStr">
        <is>
          <t>38</t>
        </is>
      </c>
      <c r="D191" s="5" t="inlineStr">
        <is>
          <t>Married</t>
        </is>
      </c>
      <c r="E191" s="5" t="inlineStr">
        <is>
          <t>Diploma</t>
        </is>
      </c>
      <c r="F191" s="5" t="inlineStr">
        <is>
          <t>Research &amp; Development</t>
        </is>
      </c>
      <c r="G191" s="5" t="inlineStr">
        <is>
          <t>Research Scientist</t>
        </is>
      </c>
      <c r="H191" s="5" t="inlineStr">
        <is>
          <t>3</t>
        </is>
      </c>
      <c r="I191" s="5" t="inlineStr">
        <is>
          <t>Bengaluru</t>
        </is>
      </c>
      <c r="J191" s="5" t="inlineStr">
        <is>
          <t>Full-Time</t>
        </is>
      </c>
      <c r="K191" s="7" t="n">
        <v>45185</v>
      </c>
      <c r="L191" s="7" t="inlineStr"/>
      <c r="M191" s="5" t="inlineStr">
        <is>
          <t>Yes</t>
        </is>
      </c>
      <c r="N191" s="5" t="inlineStr"/>
      <c r="O191" s="8" t="inlineStr">
        <is>
          <t>124500</t>
        </is>
      </c>
      <c r="P191" s="5" t="inlineStr">
        <is>
          <t>20</t>
        </is>
      </c>
      <c r="Q191" s="5" t="inlineStr">
        <is>
          <t>4</t>
        </is>
      </c>
      <c r="R191" s="5" t="inlineStr">
        <is>
          <t>8</t>
        </is>
      </c>
      <c r="S191" s="5" t="inlineStr">
        <is>
          <t>27</t>
        </is>
      </c>
      <c r="T191" s="5" t="inlineStr">
        <is>
          <t>9</t>
        </is>
      </c>
      <c r="U191" s="5">
        <f>IFS(C191&lt;30,"Under 30",C191&lt;40,"30-39",C191&lt;50,"40-49",TRUE,"50+")</f>
        <v/>
      </c>
      <c r="V191" s="5">
        <f>IFS(O191&lt;60000,"Low (&lt;60k)",O191&lt;100000,"Mid (60-100k)",TRUE,"High (100k+)")</f>
        <v/>
      </c>
      <c r="W191" s="5">
        <f>IF(M191="No","Attrited","Active")</f>
        <v/>
      </c>
    </row>
    <row r="192">
      <c r="A192" s="5" t="inlineStr">
        <is>
          <t>E00191</t>
        </is>
      </c>
      <c r="B192" s="5" t="inlineStr">
        <is>
          <t>Female</t>
        </is>
      </c>
      <c r="C192" s="6" t="inlineStr">
        <is>
          <t>34</t>
        </is>
      </c>
      <c r="D192" s="5" t="inlineStr">
        <is>
          <t>Married</t>
        </is>
      </c>
      <c r="E192" s="5" t="inlineStr">
        <is>
          <t>PhD</t>
        </is>
      </c>
      <c r="F192" s="5" t="inlineStr">
        <is>
          <t>IT</t>
        </is>
      </c>
      <c r="G192" s="5" t="inlineStr">
        <is>
          <t>Software Engineer</t>
        </is>
      </c>
      <c r="H192" s="5" t="inlineStr">
        <is>
          <t>1</t>
        </is>
      </c>
      <c r="I192" s="5" t="inlineStr">
        <is>
          <t>Chennai</t>
        </is>
      </c>
      <c r="J192" s="5" t="inlineStr">
        <is>
          <t>Full-Time</t>
        </is>
      </c>
      <c r="K192" s="7" t="n">
        <v>44197</v>
      </c>
      <c r="L192" s="7" t="inlineStr"/>
      <c r="M192" s="5" t="inlineStr">
        <is>
          <t>Yes</t>
        </is>
      </c>
      <c r="N192" s="5" t="inlineStr"/>
      <c r="O192" s="8" t="inlineStr">
        <is>
          <t>85000</t>
        </is>
      </c>
      <c r="P192" s="5" t="inlineStr">
        <is>
          <t>0</t>
        </is>
      </c>
      <c r="Q192" s="5" t="inlineStr">
        <is>
          <t>5</t>
        </is>
      </c>
      <c r="R192" s="5" t="inlineStr">
        <is>
          <t>3</t>
        </is>
      </c>
      <c r="S192" s="5" t="inlineStr">
        <is>
          <t>60</t>
        </is>
      </c>
      <c r="T192" s="5" t="inlineStr">
        <is>
          <t>14</t>
        </is>
      </c>
      <c r="U192" s="5">
        <f>IFS(C192&lt;30,"Under 30",C192&lt;40,"30-39",C192&lt;50,"40-49",TRUE,"50+")</f>
        <v/>
      </c>
      <c r="V192" s="5">
        <f>IFS(O192&lt;60000,"Low (&lt;60k)",O192&lt;100000,"Mid (60-100k)",TRUE,"High (100k+)")</f>
        <v/>
      </c>
      <c r="W192" s="5">
        <f>IF(M192="No","Attrited","Active")</f>
        <v/>
      </c>
    </row>
    <row r="193">
      <c r="A193" s="5" t="inlineStr">
        <is>
          <t>E00192</t>
        </is>
      </c>
      <c r="B193" s="5" t="inlineStr">
        <is>
          <t>Male</t>
        </is>
      </c>
      <c r="C193" s="6" t="inlineStr">
        <is>
          <t>34</t>
        </is>
      </c>
      <c r="D193" s="5" t="inlineStr">
        <is>
          <t>Married</t>
        </is>
      </c>
      <c r="E193" s="5" t="inlineStr">
        <is>
          <t>PhD</t>
        </is>
      </c>
      <c r="F193" s="5" t="inlineStr">
        <is>
          <t>Sales</t>
        </is>
      </c>
      <c r="G193" s="5" t="inlineStr">
        <is>
          <t>Account Executive</t>
        </is>
      </c>
      <c r="H193" s="5" t="inlineStr">
        <is>
          <t>1</t>
        </is>
      </c>
      <c r="I193" s="5" t="inlineStr">
        <is>
          <t>Mumbai</t>
        </is>
      </c>
      <c r="J193" s="5" t="inlineStr">
        <is>
          <t>Full-Time</t>
        </is>
      </c>
      <c r="K193" s="7" t="n">
        <v>44831</v>
      </c>
      <c r="L193" s="7" t="inlineStr"/>
      <c r="M193" s="5" t="inlineStr">
        <is>
          <t>Yes</t>
        </is>
      </c>
      <c r="N193" s="5" t="inlineStr"/>
      <c r="O193" s="8" t="inlineStr">
        <is>
          <t>64500</t>
        </is>
      </c>
      <c r="P193" s="5" t="inlineStr">
        <is>
          <t>20</t>
        </is>
      </c>
      <c r="Q193" s="5" t="inlineStr">
        <is>
          <t>5</t>
        </is>
      </c>
      <c r="R193" s="5" t="inlineStr">
        <is>
          <t>7</t>
        </is>
      </c>
      <c r="S193" s="5" t="inlineStr">
        <is>
          <t>39</t>
        </is>
      </c>
      <c r="T193" s="5" t="inlineStr">
        <is>
          <t>13</t>
        </is>
      </c>
      <c r="U193" s="5">
        <f>IFS(C193&lt;30,"Under 30",C193&lt;40,"30-39",C193&lt;50,"40-49",TRUE,"50+")</f>
        <v/>
      </c>
      <c r="V193" s="5">
        <f>IFS(O193&lt;60000,"Low (&lt;60k)",O193&lt;100000,"Mid (60-100k)",TRUE,"High (100k+)")</f>
        <v/>
      </c>
      <c r="W193" s="5">
        <f>IF(M193="No","Attrited","Active")</f>
        <v/>
      </c>
    </row>
    <row r="194">
      <c r="A194" s="5" t="inlineStr">
        <is>
          <t>E00193</t>
        </is>
      </c>
      <c r="B194" s="5" t="inlineStr">
        <is>
          <t>Male</t>
        </is>
      </c>
      <c r="C194" s="6" t="inlineStr">
        <is>
          <t>34</t>
        </is>
      </c>
      <c r="D194" s="5" t="inlineStr">
        <is>
          <t>Married</t>
        </is>
      </c>
      <c r="E194" s="5" t="inlineStr">
        <is>
          <t>Bachelor</t>
        </is>
      </c>
      <c r="F194" s="5" t="inlineStr">
        <is>
          <t>IT</t>
        </is>
      </c>
      <c r="G194" s="5" t="inlineStr">
        <is>
          <t>Software Engineer</t>
        </is>
      </c>
      <c r="H194" s="5" t="inlineStr">
        <is>
          <t>5</t>
        </is>
      </c>
      <c r="I194" s="5" t="inlineStr">
        <is>
          <t>Hyderabad</t>
        </is>
      </c>
      <c r="J194" s="5" t="inlineStr">
        <is>
          <t>Full-Time</t>
        </is>
      </c>
      <c r="K194" s="7" t="n">
        <v>44995</v>
      </c>
      <c r="L194" s="7" t="inlineStr"/>
      <c r="M194" s="5" t="inlineStr">
        <is>
          <t>Yes</t>
        </is>
      </c>
      <c r="N194" s="5" t="inlineStr"/>
      <c r="O194" s="8" t="inlineStr">
        <is>
          <t>146500</t>
        </is>
      </c>
      <c r="P194" s="5" t="inlineStr">
        <is>
          <t>0</t>
        </is>
      </c>
      <c r="Q194" s="5" t="inlineStr">
        <is>
          <t>3</t>
        </is>
      </c>
      <c r="R194" s="5" t="inlineStr">
        <is>
          <t>7</t>
        </is>
      </c>
      <c r="S194" s="5" t="inlineStr">
        <is>
          <t>34</t>
        </is>
      </c>
      <c r="T194" s="5" t="inlineStr">
        <is>
          <t>20</t>
        </is>
      </c>
      <c r="U194" s="5">
        <f>IFS(C194&lt;30,"Under 30",C194&lt;40,"30-39",C194&lt;50,"40-49",TRUE,"50+")</f>
        <v/>
      </c>
      <c r="V194" s="5">
        <f>IFS(O194&lt;60000,"Low (&lt;60k)",O194&lt;100000,"Mid (60-100k)",TRUE,"High (100k+)")</f>
        <v/>
      </c>
      <c r="W194" s="5">
        <f>IF(M194="No","Attrited","Active")</f>
        <v/>
      </c>
    </row>
    <row r="195">
      <c r="A195" s="5" t="inlineStr">
        <is>
          <t>E00194</t>
        </is>
      </c>
      <c r="B195" s="5" t="inlineStr">
        <is>
          <t>Male</t>
        </is>
      </c>
      <c r="C195" s="6" t="inlineStr">
        <is>
          <t>36</t>
        </is>
      </c>
      <c r="D195" s="5" t="inlineStr">
        <is>
          <t>Married</t>
        </is>
      </c>
      <c r="E195" s="5" t="inlineStr">
        <is>
          <t>Master</t>
        </is>
      </c>
      <c r="F195" s="5" t="inlineStr">
        <is>
          <t>Human Resources</t>
        </is>
      </c>
      <c r="G195" s="5" t="inlineStr">
        <is>
          <t>HR Analyst</t>
        </is>
      </c>
      <c r="H195" s="5" t="inlineStr">
        <is>
          <t>5</t>
        </is>
      </c>
      <c r="I195" s="5" t="inlineStr">
        <is>
          <t>Chennai</t>
        </is>
      </c>
      <c r="J195" s="5" t="inlineStr">
        <is>
          <t>Full-Time</t>
        </is>
      </c>
      <c r="K195" s="7" t="n">
        <v>45459</v>
      </c>
      <c r="L195" s="7" t="inlineStr"/>
      <c r="M195" s="5" t="inlineStr">
        <is>
          <t>Yes</t>
        </is>
      </c>
      <c r="N195" s="5" t="inlineStr"/>
      <c r="O195" s="8" t="inlineStr">
        <is>
          <t>95500</t>
        </is>
      </c>
      <c r="P195" s="5" t="inlineStr">
        <is>
          <t>10</t>
        </is>
      </c>
      <c r="Q195" s="5" t="inlineStr">
        <is>
          <t>3</t>
        </is>
      </c>
      <c r="R195" s="5" t="inlineStr">
        <is>
          <t>5</t>
        </is>
      </c>
      <c r="S195" s="5" t="inlineStr">
        <is>
          <t>18</t>
        </is>
      </c>
      <c r="T195" s="5" t="inlineStr">
        <is>
          <t>2</t>
        </is>
      </c>
      <c r="U195" s="5">
        <f>IFS(C195&lt;30,"Under 30",C195&lt;40,"30-39",C195&lt;50,"40-49",TRUE,"50+")</f>
        <v/>
      </c>
      <c r="V195" s="5">
        <f>IFS(O195&lt;60000,"Low (&lt;60k)",O195&lt;100000,"Mid (60-100k)",TRUE,"High (100k+)")</f>
        <v/>
      </c>
      <c r="W195" s="5">
        <f>IF(M195="No","Attrited","Active")</f>
        <v/>
      </c>
    </row>
    <row r="196">
      <c r="A196" s="5" t="inlineStr">
        <is>
          <t>E00195</t>
        </is>
      </c>
      <c r="B196" s="5" t="inlineStr">
        <is>
          <t>Male</t>
        </is>
      </c>
      <c r="C196" s="6" t="inlineStr">
        <is>
          <t>31</t>
        </is>
      </c>
      <c r="D196" s="5" t="inlineStr">
        <is>
          <t>Single</t>
        </is>
      </c>
      <c r="E196" s="5" t="inlineStr">
        <is>
          <t>Diploma</t>
        </is>
      </c>
      <c r="F196" s="5" t="inlineStr">
        <is>
          <t>Sales</t>
        </is>
      </c>
      <c r="G196" s="5" t="inlineStr">
        <is>
          <t>Business Development</t>
        </is>
      </c>
      <c r="H196" s="5" t="inlineStr">
        <is>
          <t>3</t>
        </is>
      </c>
      <c r="I196" s="5" t="inlineStr">
        <is>
          <t>Remote</t>
        </is>
      </c>
      <c r="J196" s="5" t="inlineStr">
        <is>
          <t>Part-Time</t>
        </is>
      </c>
      <c r="K196" s="7" t="n">
        <v>45823</v>
      </c>
      <c r="L196" s="7" t="inlineStr"/>
      <c r="M196" s="5" t="inlineStr">
        <is>
          <t>Yes</t>
        </is>
      </c>
      <c r="N196" s="5" t="inlineStr"/>
      <c r="O196" s="8" t="inlineStr">
        <is>
          <t>83500</t>
        </is>
      </c>
      <c r="P196" s="5" t="inlineStr">
        <is>
          <t>5</t>
        </is>
      </c>
      <c r="Q196" s="5" t="inlineStr">
        <is>
          <t>2</t>
        </is>
      </c>
      <c r="R196" s="5" t="inlineStr">
        <is>
          <t>5</t>
        </is>
      </c>
      <c r="S196" s="5" t="inlineStr">
        <is>
          <t>6</t>
        </is>
      </c>
      <c r="T196" s="5" t="inlineStr">
        <is>
          <t>0</t>
        </is>
      </c>
      <c r="U196" s="5">
        <f>IFS(C196&lt;30,"Under 30",C196&lt;40,"30-39",C196&lt;50,"40-49",TRUE,"50+")</f>
        <v/>
      </c>
      <c r="V196" s="5">
        <f>IFS(O196&lt;60000,"Low (&lt;60k)",O196&lt;100000,"Mid (60-100k)",TRUE,"High (100k+)")</f>
        <v/>
      </c>
      <c r="W196" s="5">
        <f>IF(M196="No","Attrited","Active")</f>
        <v/>
      </c>
    </row>
    <row r="197">
      <c r="A197" s="5" t="inlineStr">
        <is>
          <t>E00196</t>
        </is>
      </c>
      <c r="B197" s="5" t="inlineStr">
        <is>
          <t>Male</t>
        </is>
      </c>
      <c r="C197" s="6" t="inlineStr">
        <is>
          <t>29</t>
        </is>
      </c>
      <c r="D197" s="5" t="inlineStr">
        <is>
          <t>Married</t>
        </is>
      </c>
      <c r="E197" s="5" t="inlineStr">
        <is>
          <t>Master</t>
        </is>
      </c>
      <c r="F197" s="5" t="inlineStr">
        <is>
          <t>Research &amp; Development</t>
        </is>
      </c>
      <c r="G197" s="5" t="inlineStr">
        <is>
          <t>Product Engineer</t>
        </is>
      </c>
      <c r="H197" s="5" t="inlineStr">
        <is>
          <t>1</t>
        </is>
      </c>
      <c r="I197" s="5" t="inlineStr">
        <is>
          <t>Delhi</t>
        </is>
      </c>
      <c r="J197" s="5" t="inlineStr">
        <is>
          <t>Full-Time</t>
        </is>
      </c>
      <c r="K197" s="7" t="n">
        <v>44243</v>
      </c>
      <c r="L197" s="7" t="inlineStr"/>
      <c r="M197" s="5" t="inlineStr">
        <is>
          <t>Yes</t>
        </is>
      </c>
      <c r="N197" s="5" t="inlineStr"/>
      <c r="O197" s="8" t="inlineStr">
        <is>
          <t>142000</t>
        </is>
      </c>
      <c r="P197" s="5" t="inlineStr">
        <is>
          <t>0</t>
        </is>
      </c>
      <c r="Q197" s="5" t="inlineStr">
        <is>
          <t>4</t>
        </is>
      </c>
      <c r="R197" s="5" t="inlineStr">
        <is>
          <t>6</t>
        </is>
      </c>
      <c r="S197" s="5" t="inlineStr">
        <is>
          <t>59</t>
        </is>
      </c>
      <c r="T197" s="5" t="inlineStr">
        <is>
          <t>11</t>
        </is>
      </c>
      <c r="U197" s="5">
        <f>IFS(C197&lt;30,"Under 30",C197&lt;40,"30-39",C197&lt;50,"40-49",TRUE,"50+")</f>
        <v/>
      </c>
      <c r="V197" s="5">
        <f>IFS(O197&lt;60000,"Low (&lt;60k)",O197&lt;100000,"Mid (60-100k)",TRUE,"High (100k+)")</f>
        <v/>
      </c>
      <c r="W197" s="5">
        <f>IF(M197="No","Attrited","Active")</f>
        <v/>
      </c>
    </row>
    <row r="198">
      <c r="A198" s="5" t="inlineStr">
        <is>
          <t>E00197</t>
        </is>
      </c>
      <c r="B198" s="5" t="inlineStr">
        <is>
          <t>Female</t>
        </is>
      </c>
      <c r="C198" s="6" t="inlineStr">
        <is>
          <t>40</t>
        </is>
      </c>
      <c r="D198" s="5" t="inlineStr">
        <is>
          <t>Divorced</t>
        </is>
      </c>
      <c r="E198" s="5" t="inlineStr">
        <is>
          <t>High School</t>
        </is>
      </c>
      <c r="F198" s="5" t="inlineStr">
        <is>
          <t>Customer Support</t>
        </is>
      </c>
      <c r="G198" s="5" t="inlineStr">
        <is>
          <t>Support Lead</t>
        </is>
      </c>
      <c r="H198" s="5" t="inlineStr">
        <is>
          <t>5</t>
        </is>
      </c>
      <c r="I198" s="5" t="inlineStr">
        <is>
          <t>Remote</t>
        </is>
      </c>
      <c r="J198" s="5" t="inlineStr">
        <is>
          <t>Full-Time</t>
        </is>
      </c>
      <c r="K198" s="7" t="n">
        <v>45966</v>
      </c>
      <c r="L198" s="7" t="inlineStr"/>
      <c r="M198" s="5" t="inlineStr">
        <is>
          <t>Yes</t>
        </is>
      </c>
      <c r="N198" s="5" t="inlineStr"/>
      <c r="O198" s="8" t="inlineStr">
        <is>
          <t>81000</t>
        </is>
      </c>
      <c r="P198" s="5" t="inlineStr">
        <is>
          <t>5</t>
        </is>
      </c>
      <c r="Q198" s="5" t="inlineStr">
        <is>
          <t>4</t>
        </is>
      </c>
      <c r="R198" s="5" t="inlineStr">
        <is>
          <t>6</t>
        </is>
      </c>
      <c r="S198" s="5" t="inlineStr">
        <is>
          <t>1</t>
        </is>
      </c>
      <c r="T198" s="5" t="inlineStr">
        <is>
          <t>0</t>
        </is>
      </c>
      <c r="U198" s="5">
        <f>IFS(C198&lt;30,"Under 30",C198&lt;40,"30-39",C198&lt;50,"40-49",TRUE,"50+")</f>
        <v/>
      </c>
      <c r="V198" s="5">
        <f>IFS(O198&lt;60000,"Low (&lt;60k)",O198&lt;100000,"Mid (60-100k)",TRUE,"High (100k+)")</f>
        <v/>
      </c>
      <c r="W198" s="5">
        <f>IF(M198="No","Attrited","Active")</f>
        <v/>
      </c>
    </row>
    <row r="199">
      <c r="A199" s="5" t="inlineStr">
        <is>
          <t>E00198</t>
        </is>
      </c>
      <c r="B199" s="5" t="inlineStr">
        <is>
          <t>Male</t>
        </is>
      </c>
      <c r="C199" s="6" t="inlineStr">
        <is>
          <t>27</t>
        </is>
      </c>
      <c r="D199" s="5" t="inlineStr">
        <is>
          <t>Married</t>
        </is>
      </c>
      <c r="E199" s="5" t="inlineStr">
        <is>
          <t>Bachelor</t>
        </is>
      </c>
      <c r="F199" s="5" t="inlineStr">
        <is>
          <t>Marketing</t>
        </is>
      </c>
      <c r="G199" s="5" t="inlineStr">
        <is>
          <t>Content Writer</t>
        </is>
      </c>
      <c r="H199" s="5" t="inlineStr">
        <is>
          <t>1</t>
        </is>
      </c>
      <c r="I199" s="5" t="inlineStr">
        <is>
          <t>Remote</t>
        </is>
      </c>
      <c r="J199" s="5" t="inlineStr">
        <is>
          <t>Full-Time</t>
        </is>
      </c>
      <c r="K199" s="7" t="n">
        <v>44249</v>
      </c>
      <c r="L199" s="7" t="inlineStr"/>
      <c r="M199" s="5" t="inlineStr">
        <is>
          <t>Yes</t>
        </is>
      </c>
      <c r="N199" s="5" t="inlineStr"/>
      <c r="O199" s="8" t="inlineStr">
        <is>
          <t>51500</t>
        </is>
      </c>
      <c r="P199" s="5" t="inlineStr">
        <is>
          <t>15</t>
        </is>
      </c>
      <c r="Q199" s="5" t="inlineStr">
        <is>
          <t>4</t>
        </is>
      </c>
      <c r="R199" s="5" t="inlineStr">
        <is>
          <t>6</t>
        </is>
      </c>
      <c r="S199" s="5" t="inlineStr">
        <is>
          <t>59</t>
        </is>
      </c>
      <c r="T199" s="5" t="inlineStr">
        <is>
          <t>16</t>
        </is>
      </c>
      <c r="U199" s="5">
        <f>IFS(C199&lt;30,"Under 30",C199&lt;40,"30-39",C199&lt;50,"40-49",TRUE,"50+")</f>
        <v/>
      </c>
      <c r="V199" s="5">
        <f>IFS(O199&lt;60000,"Low (&lt;60k)",O199&lt;100000,"Mid (60-100k)",TRUE,"High (100k+)")</f>
        <v/>
      </c>
      <c r="W199" s="5">
        <f>IF(M199="No","Attrited","Active")</f>
        <v/>
      </c>
    </row>
    <row r="200">
      <c r="A200" s="5" t="inlineStr">
        <is>
          <t>E00199</t>
        </is>
      </c>
      <c r="B200" s="5" t="inlineStr">
        <is>
          <t>Male</t>
        </is>
      </c>
      <c r="C200" s="6" t="inlineStr">
        <is>
          <t>28</t>
        </is>
      </c>
      <c r="D200" s="5" t="inlineStr">
        <is>
          <t>Single</t>
        </is>
      </c>
      <c r="E200" s="5" t="inlineStr">
        <is>
          <t>Diploma</t>
        </is>
      </c>
      <c r="F200" s="5" t="inlineStr">
        <is>
          <t>Research &amp; Development</t>
        </is>
      </c>
      <c r="G200" s="5" t="inlineStr">
        <is>
          <t>Research Scientist</t>
        </is>
      </c>
      <c r="H200" s="5" t="inlineStr">
        <is>
          <t>2</t>
        </is>
      </c>
      <c r="I200" s="5" t="inlineStr">
        <is>
          <t>Remote</t>
        </is>
      </c>
      <c r="J200" s="5" t="inlineStr">
        <is>
          <t>Full-Time</t>
        </is>
      </c>
      <c r="K200" s="7" t="n">
        <v>44087</v>
      </c>
      <c r="L200" s="7" t="n">
        <v>44232</v>
      </c>
      <c r="M200" s="5" t="inlineStr">
        <is>
          <t>No</t>
        </is>
      </c>
      <c r="N200" s="5" t="inlineStr">
        <is>
          <t>Layoff</t>
        </is>
      </c>
      <c r="O200" s="8" t="inlineStr">
        <is>
          <t>154000</t>
        </is>
      </c>
      <c r="P200" s="5" t="inlineStr">
        <is>
          <t>0</t>
        </is>
      </c>
      <c r="Q200" s="5" t="inlineStr">
        <is>
          <t>3</t>
        </is>
      </c>
      <c r="R200" s="5" t="inlineStr">
        <is>
          <t>6</t>
        </is>
      </c>
      <c r="S200" s="5" t="inlineStr">
        <is>
          <t>4</t>
        </is>
      </c>
      <c r="T200" s="5" t="inlineStr">
        <is>
          <t>3</t>
        </is>
      </c>
      <c r="U200" s="5">
        <f>IFS(C200&lt;30,"Under 30",C200&lt;40,"30-39",C200&lt;50,"40-49",TRUE,"50+")</f>
        <v/>
      </c>
      <c r="V200" s="5">
        <f>IFS(O200&lt;60000,"Low (&lt;60k)",O200&lt;100000,"Mid (60-100k)",TRUE,"High (100k+)")</f>
        <v/>
      </c>
      <c r="W200" s="5">
        <f>IF(M200="No","Attrited","Active")</f>
        <v/>
      </c>
    </row>
    <row r="201">
      <c r="A201" s="5" t="inlineStr">
        <is>
          <t>E00200</t>
        </is>
      </c>
      <c r="B201" s="5" t="inlineStr">
        <is>
          <t>Female</t>
        </is>
      </c>
      <c r="C201" s="6" t="inlineStr">
        <is>
          <t>26</t>
        </is>
      </c>
      <c r="D201" s="5" t="inlineStr">
        <is>
          <t>Single</t>
        </is>
      </c>
      <c r="E201" s="5" t="inlineStr">
        <is>
          <t>Diploma</t>
        </is>
      </c>
      <c r="F201" s="5" t="inlineStr">
        <is>
          <t>Operations</t>
        </is>
      </c>
      <c r="G201" s="5" t="inlineStr">
        <is>
          <t>Logistics Coordinator</t>
        </is>
      </c>
      <c r="H201" s="5" t="inlineStr">
        <is>
          <t>1</t>
        </is>
      </c>
      <c r="I201" s="5" t="inlineStr">
        <is>
          <t>Mumbai</t>
        </is>
      </c>
      <c r="J201" s="5" t="inlineStr">
        <is>
          <t>Full-Time</t>
        </is>
      </c>
      <c r="K201" s="7" t="n">
        <v>45037</v>
      </c>
      <c r="L201" s="7" t="n">
        <v>45159</v>
      </c>
      <c r="M201" s="5" t="inlineStr">
        <is>
          <t>No</t>
        </is>
      </c>
      <c r="N201" s="5" t="inlineStr">
        <is>
          <t>Resigned</t>
        </is>
      </c>
      <c r="O201" s="8" t="inlineStr">
        <is>
          <t>60000</t>
        </is>
      </c>
      <c r="P201" s="5" t="inlineStr">
        <is>
          <t>5</t>
        </is>
      </c>
      <c r="Q201" s="5" t="inlineStr">
        <is>
          <t>3</t>
        </is>
      </c>
      <c r="R201" s="5" t="inlineStr">
        <is>
          <t>6</t>
        </is>
      </c>
      <c r="S201" s="5" t="inlineStr">
        <is>
          <t>4</t>
        </is>
      </c>
      <c r="T201" s="5" t="inlineStr">
        <is>
          <t>0</t>
        </is>
      </c>
      <c r="U201" s="5">
        <f>IFS(C201&lt;30,"Under 30",C201&lt;40,"30-39",C201&lt;50,"40-49",TRUE,"50+")</f>
        <v/>
      </c>
      <c r="V201" s="5">
        <f>IFS(O201&lt;60000,"Low (&lt;60k)",O201&lt;100000,"Mid (60-100k)",TRUE,"High (100k+)")</f>
        <v/>
      </c>
      <c r="W201" s="5">
        <f>IF(M201="No","Attrited","Active")</f>
        <v/>
      </c>
    </row>
    <row r="202">
      <c r="A202" s="5" t="inlineStr">
        <is>
          <t>E00201</t>
        </is>
      </c>
      <c r="B202" s="5" t="inlineStr">
        <is>
          <t>Male</t>
        </is>
      </c>
      <c r="C202" s="6" t="inlineStr">
        <is>
          <t>46</t>
        </is>
      </c>
      <c r="D202" s="5" t="inlineStr">
        <is>
          <t>Married</t>
        </is>
      </c>
      <c r="E202" s="5" t="inlineStr">
        <is>
          <t>High School</t>
        </is>
      </c>
      <c r="F202" s="5" t="inlineStr">
        <is>
          <t>IT</t>
        </is>
      </c>
      <c r="G202" s="5" t="inlineStr">
        <is>
          <t>Data Analyst</t>
        </is>
      </c>
      <c r="H202" s="5" t="inlineStr">
        <is>
          <t>7</t>
        </is>
      </c>
      <c r="I202" s="5" t="inlineStr">
        <is>
          <t>Remote</t>
        </is>
      </c>
      <c r="J202" s="5" t="inlineStr">
        <is>
          <t>Contract</t>
        </is>
      </c>
      <c r="K202" s="7" t="n">
        <v>45400</v>
      </c>
      <c r="L202" s="7" t="inlineStr"/>
      <c r="M202" s="5" t="inlineStr">
        <is>
          <t>Yes</t>
        </is>
      </c>
      <c r="N202" s="5" t="inlineStr"/>
      <c r="O202" s="8" t="inlineStr">
        <is>
          <t>210000</t>
        </is>
      </c>
      <c r="P202" s="5" t="inlineStr">
        <is>
          <t>20</t>
        </is>
      </c>
      <c r="Q202" s="5" t="inlineStr">
        <is>
          <t>2</t>
        </is>
      </c>
      <c r="R202" s="5" t="inlineStr">
        <is>
          <t>7</t>
        </is>
      </c>
      <c r="S202" s="5" t="inlineStr">
        <is>
          <t>20</t>
        </is>
      </c>
      <c r="T202" s="5" t="inlineStr">
        <is>
          <t>7</t>
        </is>
      </c>
      <c r="U202" s="5">
        <f>IFS(C202&lt;30,"Under 30",C202&lt;40,"30-39",C202&lt;50,"40-49",TRUE,"50+")</f>
        <v/>
      </c>
      <c r="V202" s="5">
        <f>IFS(O202&lt;60000,"Low (&lt;60k)",O202&lt;100000,"Mid (60-100k)",TRUE,"High (100k+)")</f>
        <v/>
      </c>
      <c r="W202" s="5">
        <f>IF(M202="No","Attrited","Active")</f>
        <v/>
      </c>
    </row>
    <row r="203">
      <c r="A203" s="5" t="inlineStr">
        <is>
          <t>E00202</t>
        </is>
      </c>
      <c r="B203" s="5" t="inlineStr">
        <is>
          <t>Female</t>
        </is>
      </c>
      <c r="C203" s="6" t="inlineStr">
        <is>
          <t>34</t>
        </is>
      </c>
      <c r="D203" s="5" t="inlineStr">
        <is>
          <t>Single</t>
        </is>
      </c>
      <c r="E203" s="5" t="inlineStr">
        <is>
          <t>Master</t>
        </is>
      </c>
      <c r="F203" s="5" t="inlineStr">
        <is>
          <t>Sales</t>
        </is>
      </c>
      <c r="G203" s="5" t="inlineStr">
        <is>
          <t>Business Development</t>
        </is>
      </c>
      <c r="H203" s="5" t="inlineStr">
        <is>
          <t>1</t>
        </is>
      </c>
      <c r="I203" s="5" t="inlineStr">
        <is>
          <t>Mumbai</t>
        </is>
      </c>
      <c r="J203" s="5" t="inlineStr">
        <is>
          <t>Full-Time</t>
        </is>
      </c>
      <c r="K203" s="7" t="n">
        <v>43880</v>
      </c>
      <c r="L203" s="7" t="n">
        <v>43986</v>
      </c>
      <c r="M203" s="5" t="inlineStr">
        <is>
          <t>No</t>
        </is>
      </c>
      <c r="N203" s="5" t="inlineStr">
        <is>
          <t>Resigned</t>
        </is>
      </c>
      <c r="O203" s="8" t="inlineStr">
        <is>
          <t>64000</t>
        </is>
      </c>
      <c r="P203" s="5" t="inlineStr">
        <is>
          <t>0</t>
        </is>
      </c>
      <c r="Q203" s="5" t="inlineStr">
        <is>
          <t>3</t>
        </is>
      </c>
      <c r="R203" s="5" t="inlineStr">
        <is>
          <t>1</t>
        </is>
      </c>
      <c r="S203" s="5" t="inlineStr">
        <is>
          <t>3</t>
        </is>
      </c>
      <c r="T203" s="5" t="inlineStr">
        <is>
          <t>0</t>
        </is>
      </c>
      <c r="U203" s="5">
        <f>IFS(C203&lt;30,"Under 30",C203&lt;40,"30-39",C203&lt;50,"40-49",TRUE,"50+")</f>
        <v/>
      </c>
      <c r="V203" s="5">
        <f>IFS(O203&lt;60000,"Low (&lt;60k)",O203&lt;100000,"Mid (60-100k)",TRUE,"High (100k+)")</f>
        <v/>
      </c>
      <c r="W203" s="5">
        <f>IF(M203="No","Attrited","Active")</f>
        <v/>
      </c>
    </row>
    <row r="204">
      <c r="A204" s="5" t="inlineStr">
        <is>
          <t>E00203</t>
        </is>
      </c>
      <c r="B204" s="5" t="inlineStr">
        <is>
          <t>Male</t>
        </is>
      </c>
      <c r="C204" s="6" t="inlineStr">
        <is>
          <t>40</t>
        </is>
      </c>
      <c r="D204" s="5" t="inlineStr">
        <is>
          <t>Married</t>
        </is>
      </c>
      <c r="E204" s="5" t="inlineStr">
        <is>
          <t>High School</t>
        </is>
      </c>
      <c r="F204" s="5" t="inlineStr">
        <is>
          <t>IT</t>
        </is>
      </c>
      <c r="G204" s="5" t="inlineStr">
        <is>
          <t>DevOps Engineer</t>
        </is>
      </c>
      <c r="H204" s="5" t="inlineStr">
        <is>
          <t>5</t>
        </is>
      </c>
      <c r="I204" s="5" t="inlineStr">
        <is>
          <t>Mumbai</t>
        </is>
      </c>
      <c r="J204" s="5" t="inlineStr">
        <is>
          <t>Full-Time</t>
        </is>
      </c>
      <c r="K204" s="7" t="n">
        <v>44370</v>
      </c>
      <c r="L204" s="7" t="inlineStr"/>
      <c r="M204" s="5" t="inlineStr">
        <is>
          <t>Yes</t>
        </is>
      </c>
      <c r="N204" s="5" t="inlineStr"/>
      <c r="O204" s="8" t="inlineStr">
        <is>
          <t>190000</t>
        </is>
      </c>
      <c r="P204" s="5" t="inlineStr">
        <is>
          <t>0</t>
        </is>
      </c>
      <c r="Q204" s="5" t="inlineStr">
        <is>
          <t>3</t>
        </is>
      </c>
      <c r="R204" s="5" t="inlineStr">
        <is>
          <t>6</t>
        </is>
      </c>
      <c r="S204" s="5" t="inlineStr">
        <is>
          <t>55</t>
        </is>
      </c>
      <c r="T204" s="5" t="inlineStr">
        <is>
          <t>4</t>
        </is>
      </c>
      <c r="U204" s="5">
        <f>IFS(C204&lt;30,"Under 30",C204&lt;40,"30-39",C204&lt;50,"40-49",TRUE,"50+")</f>
        <v/>
      </c>
      <c r="V204" s="5">
        <f>IFS(O204&lt;60000,"Low (&lt;60k)",O204&lt;100000,"Mid (60-100k)",TRUE,"High (100k+)")</f>
        <v/>
      </c>
      <c r="W204" s="5">
        <f>IF(M204="No","Attrited","Active")</f>
        <v/>
      </c>
    </row>
    <row r="205">
      <c r="A205" s="5" t="inlineStr">
        <is>
          <t>E00204</t>
        </is>
      </c>
      <c r="B205" s="5" t="inlineStr">
        <is>
          <t>Male</t>
        </is>
      </c>
      <c r="C205" s="6" t="inlineStr">
        <is>
          <t>35</t>
        </is>
      </c>
      <c r="D205" s="5" t="inlineStr">
        <is>
          <t>Married</t>
        </is>
      </c>
      <c r="E205" s="5" t="inlineStr">
        <is>
          <t>Master</t>
        </is>
      </c>
      <c r="F205" s="5" t="inlineStr">
        <is>
          <t>Executive</t>
        </is>
      </c>
      <c r="G205" s="5" t="inlineStr">
        <is>
          <t>COO</t>
        </is>
      </c>
      <c r="H205" s="5" t="inlineStr">
        <is>
          <t>4</t>
        </is>
      </c>
      <c r="I205" s="5" t="inlineStr">
        <is>
          <t>Hyderabad</t>
        </is>
      </c>
      <c r="J205" s="5" t="inlineStr">
        <is>
          <t>Full-Time</t>
        </is>
      </c>
      <c r="K205" s="7" t="n">
        <v>43955</v>
      </c>
      <c r="L205" s="7" t="inlineStr"/>
      <c r="M205" s="5" t="inlineStr">
        <is>
          <t>Yes</t>
        </is>
      </c>
      <c r="N205" s="5" t="inlineStr"/>
      <c r="O205" s="8" t="inlineStr">
        <is>
          <t>282500</t>
        </is>
      </c>
      <c r="P205" s="5" t="inlineStr">
        <is>
          <t>0</t>
        </is>
      </c>
      <c r="Q205" s="5" t="inlineStr">
        <is>
          <t>3</t>
        </is>
      </c>
      <c r="R205" s="5" t="inlineStr">
        <is>
          <t>6</t>
        </is>
      </c>
      <c r="S205" s="5" t="inlineStr">
        <is>
          <t>68</t>
        </is>
      </c>
      <c r="T205" s="5" t="inlineStr">
        <is>
          <t>14</t>
        </is>
      </c>
      <c r="U205" s="5">
        <f>IFS(C205&lt;30,"Under 30",C205&lt;40,"30-39",C205&lt;50,"40-49",TRUE,"50+")</f>
        <v/>
      </c>
      <c r="V205" s="5">
        <f>IFS(O205&lt;60000,"Low (&lt;60k)",O205&lt;100000,"Mid (60-100k)",TRUE,"High (100k+)")</f>
        <v/>
      </c>
      <c r="W205" s="5">
        <f>IF(M205="No","Attrited","Active")</f>
        <v/>
      </c>
    </row>
    <row r="206">
      <c r="A206" s="5" t="inlineStr">
        <is>
          <t>E00205</t>
        </is>
      </c>
      <c r="B206" s="5" t="inlineStr">
        <is>
          <t>Female</t>
        </is>
      </c>
      <c r="C206" s="6" t="inlineStr">
        <is>
          <t>33</t>
        </is>
      </c>
      <c r="D206" s="5" t="inlineStr">
        <is>
          <t>Married</t>
        </is>
      </c>
      <c r="E206" s="5" t="inlineStr">
        <is>
          <t>Master</t>
        </is>
      </c>
      <c r="F206" s="5" t="inlineStr">
        <is>
          <t>IT</t>
        </is>
      </c>
      <c r="G206" s="5" t="inlineStr">
        <is>
          <t>DevOps Engineer</t>
        </is>
      </c>
      <c r="H206" s="5" t="inlineStr">
        <is>
          <t>3</t>
        </is>
      </c>
      <c r="I206" s="5" t="inlineStr">
        <is>
          <t>Chennai</t>
        </is>
      </c>
      <c r="J206" s="5" t="inlineStr">
        <is>
          <t>Full-Time</t>
        </is>
      </c>
      <c r="K206" s="7" t="n">
        <v>44312</v>
      </c>
      <c r="L206" s="7" t="inlineStr"/>
      <c r="M206" s="5" t="inlineStr">
        <is>
          <t>Yes</t>
        </is>
      </c>
      <c r="N206" s="5" t="inlineStr"/>
      <c r="O206" s="8" t="inlineStr">
        <is>
          <t>166500</t>
        </is>
      </c>
      <c r="P206" s="5" t="inlineStr">
        <is>
          <t>5</t>
        </is>
      </c>
      <c r="Q206" s="5" t="inlineStr">
        <is>
          <t>4</t>
        </is>
      </c>
      <c r="R206" s="5" t="inlineStr">
        <is>
          <t>9</t>
        </is>
      </c>
      <c r="S206" s="5" t="inlineStr">
        <is>
          <t>57</t>
        </is>
      </c>
      <c r="T206" s="5" t="inlineStr">
        <is>
          <t>0</t>
        </is>
      </c>
      <c r="U206" s="5">
        <f>IFS(C206&lt;30,"Under 30",C206&lt;40,"30-39",C206&lt;50,"40-49",TRUE,"50+")</f>
        <v/>
      </c>
      <c r="V206" s="5">
        <f>IFS(O206&lt;60000,"Low (&lt;60k)",O206&lt;100000,"Mid (60-100k)",TRUE,"High (100k+)")</f>
        <v/>
      </c>
      <c r="W206" s="5">
        <f>IF(M206="No","Attrited","Active")</f>
        <v/>
      </c>
    </row>
    <row r="207">
      <c r="A207" s="5" t="inlineStr">
        <is>
          <t>E00206</t>
        </is>
      </c>
      <c r="B207" s="5" t="inlineStr">
        <is>
          <t>Female</t>
        </is>
      </c>
      <c r="C207" s="6" t="inlineStr">
        <is>
          <t>34</t>
        </is>
      </c>
      <c r="D207" s="5" t="inlineStr">
        <is>
          <t>Married</t>
        </is>
      </c>
      <c r="E207" s="5" t="inlineStr">
        <is>
          <t>Bachelor</t>
        </is>
      </c>
      <c r="F207" s="5" t="inlineStr">
        <is>
          <t>Operations</t>
        </is>
      </c>
      <c r="G207" s="5" t="inlineStr">
        <is>
          <t>Operations Analyst</t>
        </is>
      </c>
      <c r="H207" s="5" t="inlineStr">
        <is>
          <t>6</t>
        </is>
      </c>
      <c r="I207" s="5" t="inlineStr">
        <is>
          <t>Remote</t>
        </is>
      </c>
      <c r="J207" s="5" t="inlineStr">
        <is>
          <t>Full-Time</t>
        </is>
      </c>
      <c r="K207" s="7" t="n">
        <v>44955</v>
      </c>
      <c r="L207" s="7" t="inlineStr"/>
      <c r="M207" s="5" t="inlineStr">
        <is>
          <t>Yes</t>
        </is>
      </c>
      <c r="N207" s="5" t="inlineStr"/>
      <c r="O207" s="8" t="inlineStr">
        <is>
          <t>149000</t>
        </is>
      </c>
      <c r="P207" s="5" t="inlineStr">
        <is>
          <t>0</t>
        </is>
      </c>
      <c r="Q207" s="5" t="inlineStr">
        <is>
          <t>4</t>
        </is>
      </c>
      <c r="R207" s="5" t="inlineStr">
        <is>
          <t>4</t>
        </is>
      </c>
      <c r="S207" s="5" t="inlineStr">
        <is>
          <t>35</t>
        </is>
      </c>
      <c r="T207" s="5" t="inlineStr">
        <is>
          <t>6</t>
        </is>
      </c>
      <c r="U207" s="5">
        <f>IFS(C207&lt;30,"Under 30",C207&lt;40,"30-39",C207&lt;50,"40-49",TRUE,"50+")</f>
        <v/>
      </c>
      <c r="V207" s="5">
        <f>IFS(O207&lt;60000,"Low (&lt;60k)",O207&lt;100000,"Mid (60-100k)",TRUE,"High (100k+)")</f>
        <v/>
      </c>
      <c r="W207" s="5">
        <f>IF(M207="No","Attrited","Active")</f>
        <v/>
      </c>
    </row>
    <row r="208">
      <c r="A208" s="5" t="inlineStr">
        <is>
          <t>E00207</t>
        </is>
      </c>
      <c r="B208" s="5" t="inlineStr">
        <is>
          <t>Female</t>
        </is>
      </c>
      <c r="C208" s="6" t="inlineStr">
        <is>
          <t>39</t>
        </is>
      </c>
      <c r="D208" s="5" t="inlineStr">
        <is>
          <t>Divorced</t>
        </is>
      </c>
      <c r="E208" s="5" t="inlineStr">
        <is>
          <t>High School</t>
        </is>
      </c>
      <c r="F208" s="5" t="inlineStr">
        <is>
          <t>Marketing</t>
        </is>
      </c>
      <c r="G208" s="5" t="inlineStr">
        <is>
          <t>Marketing Analyst</t>
        </is>
      </c>
      <c r="H208" s="5" t="inlineStr">
        <is>
          <t>5</t>
        </is>
      </c>
      <c r="I208" s="5" t="inlineStr">
        <is>
          <t>Hyderabad</t>
        </is>
      </c>
      <c r="J208" s="5" t="inlineStr">
        <is>
          <t>Full-Time</t>
        </is>
      </c>
      <c r="K208" s="7" t="n">
        <v>44019</v>
      </c>
      <c r="L208" s="7" t="inlineStr"/>
      <c r="M208" s="5" t="inlineStr">
        <is>
          <t>Yes</t>
        </is>
      </c>
      <c r="N208" s="5" t="inlineStr"/>
      <c r="O208" s="8" t="inlineStr">
        <is>
          <t>94000</t>
        </is>
      </c>
      <c r="P208" s="5" t="inlineStr">
        <is>
          <t>0</t>
        </is>
      </c>
      <c r="Q208" s="5" t="inlineStr">
        <is>
          <t>3</t>
        </is>
      </c>
      <c r="R208" s="5" t="inlineStr">
        <is>
          <t>7</t>
        </is>
      </c>
      <c r="S208" s="5" t="inlineStr">
        <is>
          <t>66</t>
        </is>
      </c>
      <c r="T208" s="5" t="inlineStr">
        <is>
          <t>3</t>
        </is>
      </c>
      <c r="U208" s="5">
        <f>IFS(C208&lt;30,"Under 30",C208&lt;40,"30-39",C208&lt;50,"40-49",TRUE,"50+")</f>
        <v/>
      </c>
      <c r="V208" s="5">
        <f>IFS(O208&lt;60000,"Low (&lt;60k)",O208&lt;100000,"Mid (60-100k)",TRUE,"High (100k+)")</f>
        <v/>
      </c>
      <c r="W208" s="5">
        <f>IF(M208="No","Attrited","Active")</f>
        <v/>
      </c>
    </row>
    <row r="209">
      <c r="A209" s="5" t="inlineStr">
        <is>
          <t>E00208</t>
        </is>
      </c>
      <c r="B209" s="5" t="inlineStr">
        <is>
          <t>Male</t>
        </is>
      </c>
      <c r="C209" s="6" t="inlineStr">
        <is>
          <t>25</t>
        </is>
      </c>
      <c r="D209" s="5" t="inlineStr">
        <is>
          <t>Single</t>
        </is>
      </c>
      <c r="E209" s="5" t="inlineStr">
        <is>
          <t>Bachelor</t>
        </is>
      </c>
      <c r="F209" s="5" t="inlineStr">
        <is>
          <t>Operations</t>
        </is>
      </c>
      <c r="G209" s="5" t="inlineStr">
        <is>
          <t>Quality Analyst</t>
        </is>
      </c>
      <c r="H209" s="5" t="inlineStr">
        <is>
          <t>2</t>
        </is>
      </c>
      <c r="I209" s="5" t="inlineStr">
        <is>
          <t>Remote</t>
        </is>
      </c>
      <c r="J209" s="5" t="inlineStr">
        <is>
          <t>Full-Time</t>
        </is>
      </c>
      <c r="K209" s="7" t="n">
        <v>45748</v>
      </c>
      <c r="L209" s="7" t="n">
        <v>45874</v>
      </c>
      <c r="M209" s="5" t="inlineStr">
        <is>
          <t>No</t>
        </is>
      </c>
      <c r="N209" s="5" t="inlineStr">
        <is>
          <t>Retirement</t>
        </is>
      </c>
      <c r="O209" s="8" t="inlineStr">
        <is>
          <t>92000</t>
        </is>
      </c>
      <c r="P209" s="5" t="inlineStr">
        <is>
          <t>0</t>
        </is>
      </c>
      <c r="Q209" s="5" t="inlineStr">
        <is>
          <t>3</t>
        </is>
      </c>
      <c r="R209" s="5" t="inlineStr">
        <is>
          <t>6</t>
        </is>
      </c>
      <c r="S209" s="5" t="inlineStr">
        <is>
          <t>4</t>
        </is>
      </c>
      <c r="T209" s="5" t="inlineStr">
        <is>
          <t>9</t>
        </is>
      </c>
      <c r="U209" s="5">
        <f>IFS(C209&lt;30,"Under 30",C209&lt;40,"30-39",C209&lt;50,"40-49",TRUE,"50+")</f>
        <v/>
      </c>
      <c r="V209" s="5">
        <f>IFS(O209&lt;60000,"Low (&lt;60k)",O209&lt;100000,"Mid (60-100k)",TRUE,"High (100k+)")</f>
        <v/>
      </c>
      <c r="W209" s="5">
        <f>IF(M209="No","Attrited","Active")</f>
        <v/>
      </c>
    </row>
    <row r="210">
      <c r="A210" s="5" t="inlineStr">
        <is>
          <t>E00209</t>
        </is>
      </c>
      <c r="B210" s="5" t="inlineStr">
        <is>
          <t>Male</t>
        </is>
      </c>
      <c r="C210" s="6" t="inlineStr">
        <is>
          <t>31</t>
        </is>
      </c>
      <c r="D210" s="5" t="inlineStr">
        <is>
          <t>Single</t>
        </is>
      </c>
      <c r="E210" s="5" t="inlineStr">
        <is>
          <t>Master</t>
        </is>
      </c>
      <c r="F210" s="5" t="inlineStr">
        <is>
          <t>Operations</t>
        </is>
      </c>
      <c r="G210" s="5" t="inlineStr">
        <is>
          <t>Operations Analyst</t>
        </is>
      </c>
      <c r="H210" s="5" t="inlineStr">
        <is>
          <t>1</t>
        </is>
      </c>
      <c r="I210" s="5" t="inlineStr">
        <is>
          <t>Mumbai</t>
        </is>
      </c>
      <c r="J210" s="5" t="inlineStr">
        <is>
          <t>Contract</t>
        </is>
      </c>
      <c r="K210" s="7" t="n">
        <v>43976</v>
      </c>
      <c r="L210" s="7" t="inlineStr"/>
      <c r="M210" s="5" t="inlineStr">
        <is>
          <t>Yes</t>
        </is>
      </c>
      <c r="N210" s="5" t="inlineStr"/>
      <c r="O210" s="8" t="inlineStr">
        <is>
          <t>82500</t>
        </is>
      </c>
      <c r="P210" s="5" t="inlineStr">
        <is>
          <t>5</t>
        </is>
      </c>
      <c r="Q210" s="5" t="inlineStr">
        <is>
          <t>4</t>
        </is>
      </c>
      <c r="R210" s="5" t="inlineStr">
        <is>
          <t>4</t>
        </is>
      </c>
      <c r="S210" s="5" t="inlineStr">
        <is>
          <t>68</t>
        </is>
      </c>
      <c r="T210" s="5" t="inlineStr">
        <is>
          <t>5</t>
        </is>
      </c>
      <c r="U210" s="5">
        <f>IFS(C210&lt;30,"Under 30",C210&lt;40,"30-39",C210&lt;50,"40-49",TRUE,"50+")</f>
        <v/>
      </c>
      <c r="V210" s="5">
        <f>IFS(O210&lt;60000,"Low (&lt;60k)",O210&lt;100000,"Mid (60-100k)",TRUE,"High (100k+)")</f>
        <v/>
      </c>
      <c r="W210" s="5">
        <f>IF(M210="No","Attrited","Active")</f>
        <v/>
      </c>
    </row>
    <row r="211">
      <c r="A211" s="5" t="inlineStr">
        <is>
          <t>E00210</t>
        </is>
      </c>
      <c r="B211" s="5" t="inlineStr">
        <is>
          <t>Male</t>
        </is>
      </c>
      <c r="C211" s="6" t="inlineStr">
        <is>
          <t>27</t>
        </is>
      </c>
      <c r="D211" s="5" t="inlineStr">
        <is>
          <t>Single</t>
        </is>
      </c>
      <c r="E211" s="5" t="inlineStr">
        <is>
          <t>Bachelor</t>
        </is>
      </c>
      <c r="F211" s="5" t="inlineStr">
        <is>
          <t>Customer Support</t>
        </is>
      </c>
      <c r="G211" s="5" t="inlineStr">
        <is>
          <t>Support Lead</t>
        </is>
      </c>
      <c r="H211" s="5" t="inlineStr">
        <is>
          <t>2</t>
        </is>
      </c>
      <c r="I211" s="5" t="inlineStr">
        <is>
          <t>Delhi</t>
        </is>
      </c>
      <c r="J211" s="5" t="inlineStr">
        <is>
          <t>Contract</t>
        </is>
      </c>
      <c r="K211" s="7" t="n">
        <v>45007</v>
      </c>
      <c r="L211" s="7" t="inlineStr"/>
      <c r="M211" s="5" t="inlineStr">
        <is>
          <t>Yes</t>
        </is>
      </c>
      <c r="N211" s="5" t="inlineStr"/>
      <c r="O211" s="8" t="inlineStr">
        <is>
          <t>72000</t>
        </is>
      </c>
      <c r="P211" s="5" t="inlineStr">
        <is>
          <t>5</t>
        </is>
      </c>
      <c r="Q211" s="5" t="inlineStr">
        <is>
          <t>4</t>
        </is>
      </c>
      <c r="R211" s="5" t="inlineStr">
        <is>
          <t>1</t>
        </is>
      </c>
      <c r="S211" s="5" t="inlineStr">
        <is>
          <t>33</t>
        </is>
      </c>
      <c r="T211" s="5" t="inlineStr">
        <is>
          <t>5</t>
        </is>
      </c>
      <c r="U211" s="5">
        <f>IFS(C211&lt;30,"Under 30",C211&lt;40,"30-39",C211&lt;50,"40-49",TRUE,"50+")</f>
        <v/>
      </c>
      <c r="V211" s="5">
        <f>IFS(O211&lt;60000,"Low (&lt;60k)",O211&lt;100000,"Mid (60-100k)",TRUE,"High (100k+)")</f>
        <v/>
      </c>
      <c r="W211" s="5">
        <f>IF(M211="No","Attrited","Active")</f>
        <v/>
      </c>
    </row>
    <row r="212">
      <c r="A212" s="5" t="inlineStr">
        <is>
          <t>E00211</t>
        </is>
      </c>
      <c r="B212" s="5" t="inlineStr">
        <is>
          <t>Female</t>
        </is>
      </c>
      <c r="C212" s="6" t="inlineStr">
        <is>
          <t>35</t>
        </is>
      </c>
      <c r="D212" s="5" t="inlineStr">
        <is>
          <t>Single</t>
        </is>
      </c>
      <c r="E212" s="5" t="inlineStr">
        <is>
          <t>Diploma</t>
        </is>
      </c>
      <c r="F212" s="5" t="inlineStr">
        <is>
          <t>Customer Support</t>
        </is>
      </c>
      <c r="G212" s="5" t="inlineStr">
        <is>
          <t>Escalation Specialist</t>
        </is>
      </c>
      <c r="H212" s="5" t="inlineStr">
        <is>
          <t>4</t>
        </is>
      </c>
      <c r="I212" s="5" t="inlineStr">
        <is>
          <t>Remote</t>
        </is>
      </c>
      <c r="J212" s="5" t="inlineStr">
        <is>
          <t>Full-Time</t>
        </is>
      </c>
      <c r="K212" s="7" t="n">
        <v>45585</v>
      </c>
      <c r="L212" s="7" t="inlineStr"/>
      <c r="M212" s="5" t="inlineStr">
        <is>
          <t>Yes</t>
        </is>
      </c>
      <c r="N212" s="5" t="inlineStr"/>
      <c r="O212" s="8" t="inlineStr">
        <is>
          <t>78500</t>
        </is>
      </c>
      <c r="P212" s="5" t="inlineStr">
        <is>
          <t>15</t>
        </is>
      </c>
      <c r="Q212" s="5" t="inlineStr">
        <is>
          <t>4</t>
        </is>
      </c>
      <c r="R212" s="5" t="inlineStr">
        <is>
          <t>6</t>
        </is>
      </c>
      <c r="S212" s="5" t="inlineStr">
        <is>
          <t>14</t>
        </is>
      </c>
      <c r="T212" s="5" t="inlineStr">
        <is>
          <t>5</t>
        </is>
      </c>
      <c r="U212" s="5">
        <f>IFS(C212&lt;30,"Under 30",C212&lt;40,"30-39",C212&lt;50,"40-49",TRUE,"50+")</f>
        <v/>
      </c>
      <c r="V212" s="5">
        <f>IFS(O212&lt;60000,"Low (&lt;60k)",O212&lt;100000,"Mid (60-100k)",TRUE,"High (100k+)")</f>
        <v/>
      </c>
      <c r="W212" s="5">
        <f>IF(M212="No","Attrited","Active")</f>
        <v/>
      </c>
    </row>
    <row r="213">
      <c r="A213" s="5" t="inlineStr">
        <is>
          <t>E00212</t>
        </is>
      </c>
      <c r="B213" s="5" t="inlineStr">
        <is>
          <t>Male</t>
        </is>
      </c>
      <c r="C213" s="6" t="inlineStr">
        <is>
          <t>32</t>
        </is>
      </c>
      <c r="D213" s="5" t="inlineStr">
        <is>
          <t>Married</t>
        </is>
      </c>
      <c r="E213" s="5" t="inlineStr">
        <is>
          <t>Diploma</t>
        </is>
      </c>
      <c r="F213" s="5" t="inlineStr">
        <is>
          <t>Marketing</t>
        </is>
      </c>
      <c r="G213" s="5" t="inlineStr">
        <is>
          <t>SEO Specialist</t>
        </is>
      </c>
      <c r="H213" s="5" t="inlineStr">
        <is>
          <t>3</t>
        </is>
      </c>
      <c r="I213" s="5" t="inlineStr">
        <is>
          <t>Hyderabad</t>
        </is>
      </c>
      <c r="J213" s="5" t="inlineStr">
        <is>
          <t>Full-Time</t>
        </is>
      </c>
      <c r="K213" s="7" t="n">
        <v>45577</v>
      </c>
      <c r="L213" s="7" t="n">
        <v>45645</v>
      </c>
      <c r="M213" s="5" t="inlineStr">
        <is>
          <t>No</t>
        </is>
      </c>
      <c r="N213" s="5" t="inlineStr">
        <is>
          <t>Resigned</t>
        </is>
      </c>
      <c r="O213" s="8" t="inlineStr">
        <is>
          <t>114500</t>
        </is>
      </c>
      <c r="P213" s="5" t="inlineStr">
        <is>
          <t>5</t>
        </is>
      </c>
      <c r="Q213" s="5" t="inlineStr">
        <is>
          <t>3</t>
        </is>
      </c>
      <c r="R213" s="5" t="inlineStr">
        <is>
          <t>4</t>
        </is>
      </c>
      <c r="S213" s="5" t="inlineStr">
        <is>
          <t>2</t>
        </is>
      </c>
      <c r="T213" s="5" t="inlineStr">
        <is>
          <t>10</t>
        </is>
      </c>
      <c r="U213" s="5">
        <f>IFS(C213&lt;30,"Under 30",C213&lt;40,"30-39",C213&lt;50,"40-49",TRUE,"50+")</f>
        <v/>
      </c>
      <c r="V213" s="5">
        <f>IFS(O213&lt;60000,"Low (&lt;60k)",O213&lt;100000,"Mid (60-100k)",TRUE,"High (100k+)")</f>
        <v/>
      </c>
      <c r="W213" s="5">
        <f>IF(M213="No","Attrited","Active")</f>
        <v/>
      </c>
    </row>
    <row r="214">
      <c r="A214" s="5" t="inlineStr">
        <is>
          <t>E00213</t>
        </is>
      </c>
      <c r="B214" s="5" t="inlineStr">
        <is>
          <t>Male</t>
        </is>
      </c>
      <c r="C214" s="6" t="inlineStr">
        <is>
          <t>35</t>
        </is>
      </c>
      <c r="D214" s="5" t="inlineStr">
        <is>
          <t>Single</t>
        </is>
      </c>
      <c r="E214" s="5" t="inlineStr">
        <is>
          <t>Diploma</t>
        </is>
      </c>
      <c r="F214" s="5" t="inlineStr">
        <is>
          <t>Customer Support</t>
        </is>
      </c>
      <c r="G214" s="5" t="inlineStr">
        <is>
          <t>Support Lead</t>
        </is>
      </c>
      <c r="H214" s="5" t="inlineStr">
        <is>
          <t>2</t>
        </is>
      </c>
      <c r="I214" s="5" t="inlineStr">
        <is>
          <t>Remote</t>
        </is>
      </c>
      <c r="J214" s="5" t="inlineStr">
        <is>
          <t>Full-Time</t>
        </is>
      </c>
      <c r="K214" s="7" t="n">
        <v>45208</v>
      </c>
      <c r="L214" s="7" t="inlineStr"/>
      <c r="M214" s="5" t="inlineStr">
        <is>
          <t>Yes</t>
        </is>
      </c>
      <c r="N214" s="5" t="inlineStr"/>
      <c r="O214" s="8" t="inlineStr">
        <is>
          <t>73500</t>
        </is>
      </c>
      <c r="P214" s="5" t="inlineStr">
        <is>
          <t>15</t>
        </is>
      </c>
      <c r="Q214" s="5" t="inlineStr">
        <is>
          <t>3</t>
        </is>
      </c>
      <c r="R214" s="5" t="inlineStr">
        <is>
          <t>7</t>
        </is>
      </c>
      <c r="S214" s="5" t="inlineStr">
        <is>
          <t>27</t>
        </is>
      </c>
      <c r="T214" s="5" t="inlineStr">
        <is>
          <t>0</t>
        </is>
      </c>
      <c r="U214" s="5">
        <f>IFS(C214&lt;30,"Under 30",C214&lt;40,"30-39",C214&lt;50,"40-49",TRUE,"50+")</f>
        <v/>
      </c>
      <c r="V214" s="5">
        <f>IFS(O214&lt;60000,"Low (&lt;60k)",O214&lt;100000,"Mid (60-100k)",TRUE,"High (100k+)")</f>
        <v/>
      </c>
      <c r="W214" s="5">
        <f>IF(M214="No","Attrited","Active")</f>
        <v/>
      </c>
    </row>
    <row r="215">
      <c r="A215" s="5" t="inlineStr">
        <is>
          <t>E00214</t>
        </is>
      </c>
      <c r="B215" s="5" t="inlineStr">
        <is>
          <t>Male</t>
        </is>
      </c>
      <c r="C215" s="6" t="inlineStr">
        <is>
          <t>32</t>
        </is>
      </c>
      <c r="D215" s="5" t="inlineStr">
        <is>
          <t>Married</t>
        </is>
      </c>
      <c r="E215" s="5" t="inlineStr">
        <is>
          <t>Bachelor</t>
        </is>
      </c>
      <c r="F215" s="5" t="inlineStr">
        <is>
          <t>Customer Support</t>
        </is>
      </c>
      <c r="G215" s="5" t="inlineStr">
        <is>
          <t>Support Agent</t>
        </is>
      </c>
      <c r="H215" s="5" t="inlineStr">
        <is>
          <t>2</t>
        </is>
      </c>
      <c r="I215" s="5" t="inlineStr">
        <is>
          <t>Hyderabad</t>
        </is>
      </c>
      <c r="J215" s="5" t="inlineStr">
        <is>
          <t>Full-Time</t>
        </is>
      </c>
      <c r="K215" s="7" t="n">
        <v>45403</v>
      </c>
      <c r="L215" s="7" t="n">
        <v>45467</v>
      </c>
      <c r="M215" s="5" t="inlineStr">
        <is>
          <t>No</t>
        </is>
      </c>
      <c r="N215" s="5" t="inlineStr">
        <is>
          <t>Resigned</t>
        </is>
      </c>
      <c r="O215" s="8" t="inlineStr">
        <is>
          <t>57000</t>
        </is>
      </c>
      <c r="P215" s="5" t="inlineStr">
        <is>
          <t>0</t>
        </is>
      </c>
      <c r="Q215" s="5" t="inlineStr">
        <is>
          <t>4</t>
        </is>
      </c>
      <c r="R215" s="5" t="inlineStr">
        <is>
          <t>6</t>
        </is>
      </c>
      <c r="S215" s="5" t="inlineStr">
        <is>
          <t>2</t>
        </is>
      </c>
      <c r="T215" s="5" t="inlineStr">
        <is>
          <t>4</t>
        </is>
      </c>
      <c r="U215" s="5">
        <f>IFS(C215&lt;30,"Under 30",C215&lt;40,"30-39",C215&lt;50,"40-49",TRUE,"50+")</f>
        <v/>
      </c>
      <c r="V215" s="5">
        <f>IFS(O215&lt;60000,"Low (&lt;60k)",O215&lt;100000,"Mid (60-100k)",TRUE,"High (100k+)")</f>
        <v/>
      </c>
      <c r="W215" s="5">
        <f>IF(M215="No","Attrited","Active")</f>
        <v/>
      </c>
    </row>
    <row r="216">
      <c r="A216" s="5" t="inlineStr">
        <is>
          <t>E00215</t>
        </is>
      </c>
      <c r="B216" s="5" t="inlineStr">
        <is>
          <t>Male</t>
        </is>
      </c>
      <c r="C216" s="6" t="inlineStr">
        <is>
          <t>34</t>
        </is>
      </c>
      <c r="D216" s="5" t="inlineStr">
        <is>
          <t>Married</t>
        </is>
      </c>
      <c r="E216" s="5" t="inlineStr">
        <is>
          <t>Diploma</t>
        </is>
      </c>
      <c r="F216" s="5" t="inlineStr">
        <is>
          <t>Operations</t>
        </is>
      </c>
      <c r="G216" s="5" t="inlineStr">
        <is>
          <t>Quality Analyst</t>
        </is>
      </c>
      <c r="H216" s="5" t="inlineStr">
        <is>
          <t>1</t>
        </is>
      </c>
      <c r="I216" s="5" t="inlineStr">
        <is>
          <t>Mumbai</t>
        </is>
      </c>
      <c r="J216" s="5" t="inlineStr">
        <is>
          <t>Full-Time</t>
        </is>
      </c>
      <c r="K216" s="7" t="n">
        <v>45998</v>
      </c>
      <c r="L216" s="7" t="inlineStr"/>
      <c r="M216" s="5" t="inlineStr">
        <is>
          <t>Yes</t>
        </is>
      </c>
      <c r="N216" s="5" t="inlineStr"/>
      <c r="O216" s="8" t="inlineStr">
        <is>
          <t>81000</t>
        </is>
      </c>
      <c r="P216" s="5" t="inlineStr">
        <is>
          <t>5</t>
        </is>
      </c>
      <c r="Q216" s="5" t="inlineStr">
        <is>
          <t>4</t>
        </is>
      </c>
      <c r="R216" s="5" t="inlineStr">
        <is>
          <t>7</t>
        </is>
      </c>
      <c r="S216" s="5" t="inlineStr">
        <is>
          <t>1</t>
        </is>
      </c>
      <c r="T216" s="5" t="inlineStr">
        <is>
          <t>11</t>
        </is>
      </c>
      <c r="U216" s="5">
        <f>IFS(C216&lt;30,"Under 30",C216&lt;40,"30-39",C216&lt;50,"40-49",TRUE,"50+")</f>
        <v/>
      </c>
      <c r="V216" s="5">
        <f>IFS(O216&lt;60000,"Low (&lt;60k)",O216&lt;100000,"Mid (60-100k)",TRUE,"High (100k+)")</f>
        <v/>
      </c>
      <c r="W216" s="5">
        <f>IF(M216="No","Attrited","Active")</f>
        <v/>
      </c>
    </row>
    <row r="217">
      <c r="A217" s="5" t="inlineStr">
        <is>
          <t>E00216</t>
        </is>
      </c>
      <c r="B217" s="5" t="inlineStr">
        <is>
          <t>Female</t>
        </is>
      </c>
      <c r="C217" s="6" t="inlineStr">
        <is>
          <t>32</t>
        </is>
      </c>
      <c r="D217" s="5" t="inlineStr">
        <is>
          <t>Married</t>
        </is>
      </c>
      <c r="E217" s="5" t="inlineStr">
        <is>
          <t>Diploma</t>
        </is>
      </c>
      <c r="F217" s="5" t="inlineStr">
        <is>
          <t>Sales</t>
        </is>
      </c>
      <c r="G217" s="5" t="inlineStr">
        <is>
          <t>Sales Executive</t>
        </is>
      </c>
      <c r="H217" s="5" t="inlineStr">
        <is>
          <t>1</t>
        </is>
      </c>
      <c r="I217" s="5" t="inlineStr">
        <is>
          <t>Delhi</t>
        </is>
      </c>
      <c r="J217" s="5" t="inlineStr">
        <is>
          <t>Full-Time</t>
        </is>
      </c>
      <c r="K217" s="7" t="n">
        <v>45376</v>
      </c>
      <c r="L217" s="7" t="inlineStr"/>
      <c r="M217" s="5" t="inlineStr">
        <is>
          <t>Yes</t>
        </is>
      </c>
      <c r="N217" s="5" t="inlineStr"/>
      <c r="O217" s="8" t="inlineStr">
        <is>
          <t>60000</t>
        </is>
      </c>
      <c r="P217" s="5" t="inlineStr">
        <is>
          <t>0</t>
        </is>
      </c>
      <c r="Q217" s="5" t="inlineStr">
        <is>
          <t>3</t>
        </is>
      </c>
      <c r="R217" s="5" t="inlineStr">
        <is>
          <t>5</t>
        </is>
      </c>
      <c r="S217" s="5" t="inlineStr">
        <is>
          <t>21</t>
        </is>
      </c>
      <c r="T217" s="5" t="inlineStr">
        <is>
          <t>0</t>
        </is>
      </c>
      <c r="U217" s="5">
        <f>IFS(C217&lt;30,"Under 30",C217&lt;40,"30-39",C217&lt;50,"40-49",TRUE,"50+")</f>
        <v/>
      </c>
      <c r="V217" s="5">
        <f>IFS(O217&lt;60000,"Low (&lt;60k)",O217&lt;100000,"Mid (60-100k)",TRUE,"High (100k+)")</f>
        <v/>
      </c>
      <c r="W217" s="5">
        <f>IF(M217="No","Attrited","Active")</f>
        <v/>
      </c>
    </row>
    <row r="218">
      <c r="A218" s="5" t="inlineStr">
        <is>
          <t>E00217</t>
        </is>
      </c>
      <c r="B218" s="5" t="inlineStr">
        <is>
          <t>Female</t>
        </is>
      </c>
      <c r="C218" s="6" t="inlineStr">
        <is>
          <t>29</t>
        </is>
      </c>
      <c r="D218" s="5" t="inlineStr">
        <is>
          <t>Married</t>
        </is>
      </c>
      <c r="E218" s="5" t="inlineStr">
        <is>
          <t>Master</t>
        </is>
      </c>
      <c r="F218" s="5" t="inlineStr">
        <is>
          <t>Research &amp; Development</t>
        </is>
      </c>
      <c r="G218" s="5" t="inlineStr">
        <is>
          <t>Research Scientist</t>
        </is>
      </c>
      <c r="H218" s="5" t="inlineStr">
        <is>
          <t>2</t>
        </is>
      </c>
      <c r="I218" s="5" t="inlineStr">
        <is>
          <t>Bengaluru</t>
        </is>
      </c>
      <c r="J218" s="5" t="inlineStr">
        <is>
          <t>Contract</t>
        </is>
      </c>
      <c r="K218" s="7" t="n">
        <v>45515</v>
      </c>
      <c r="L218" s="7" t="inlineStr"/>
      <c r="M218" s="5" t="inlineStr">
        <is>
          <t>Yes</t>
        </is>
      </c>
      <c r="N218" s="5" t="inlineStr"/>
      <c r="O218" s="8" t="inlineStr">
        <is>
          <t>163500</t>
        </is>
      </c>
      <c r="P218" s="5" t="inlineStr">
        <is>
          <t>10</t>
        </is>
      </c>
      <c r="Q218" s="5" t="inlineStr">
        <is>
          <t>4</t>
        </is>
      </c>
      <c r="R218" s="5" t="inlineStr">
        <is>
          <t>7</t>
        </is>
      </c>
      <c r="S218" s="5" t="inlineStr">
        <is>
          <t>16</t>
        </is>
      </c>
      <c r="T218" s="5" t="inlineStr">
        <is>
          <t>8</t>
        </is>
      </c>
      <c r="U218" s="5">
        <f>IFS(C218&lt;30,"Under 30",C218&lt;40,"30-39",C218&lt;50,"40-49",TRUE,"50+")</f>
        <v/>
      </c>
      <c r="V218" s="5">
        <f>IFS(O218&lt;60000,"Low (&lt;60k)",O218&lt;100000,"Mid (60-100k)",TRUE,"High (100k+)")</f>
        <v/>
      </c>
      <c r="W218" s="5">
        <f>IF(M218="No","Attrited","Active")</f>
        <v/>
      </c>
    </row>
    <row r="219">
      <c r="A219" s="5" t="inlineStr">
        <is>
          <t>E00218</t>
        </is>
      </c>
      <c r="B219" s="5" t="inlineStr">
        <is>
          <t>Male</t>
        </is>
      </c>
      <c r="C219" s="6" t="inlineStr">
        <is>
          <t>23</t>
        </is>
      </c>
      <c r="D219" s="5" t="inlineStr">
        <is>
          <t>Single</t>
        </is>
      </c>
      <c r="E219" s="5" t="inlineStr">
        <is>
          <t>PhD</t>
        </is>
      </c>
      <c r="F219" s="5" t="inlineStr">
        <is>
          <t>Customer Support</t>
        </is>
      </c>
      <c r="G219" s="5" t="inlineStr">
        <is>
          <t>Support Lead</t>
        </is>
      </c>
      <c r="H219" s="5" t="inlineStr">
        <is>
          <t>1</t>
        </is>
      </c>
      <c r="I219" s="5" t="inlineStr">
        <is>
          <t>Hyderabad</t>
        </is>
      </c>
      <c r="J219" s="5" t="inlineStr">
        <is>
          <t>Full-Time</t>
        </is>
      </c>
      <c r="K219" s="7" t="n">
        <v>44879</v>
      </c>
      <c r="L219" s="7" t="n">
        <v>44917</v>
      </c>
      <c r="M219" s="5" t="inlineStr">
        <is>
          <t>No</t>
        </is>
      </c>
      <c r="N219" s="5" t="inlineStr">
        <is>
          <t>Performance / Termination</t>
        </is>
      </c>
      <c r="O219" s="8" t="inlineStr">
        <is>
          <t>66000</t>
        </is>
      </c>
      <c r="P219" s="5" t="inlineStr">
        <is>
          <t>5</t>
        </is>
      </c>
      <c r="Q219" s="5" t="inlineStr">
        <is>
          <t>3</t>
        </is>
      </c>
      <c r="R219" s="5" t="inlineStr">
        <is>
          <t>8</t>
        </is>
      </c>
      <c r="S219" s="5" t="inlineStr">
        <is>
          <t>1</t>
        </is>
      </c>
      <c r="T219" s="5" t="inlineStr">
        <is>
          <t>1</t>
        </is>
      </c>
      <c r="U219" s="5">
        <f>IFS(C219&lt;30,"Under 30",C219&lt;40,"30-39",C219&lt;50,"40-49",TRUE,"50+")</f>
        <v/>
      </c>
      <c r="V219" s="5">
        <f>IFS(O219&lt;60000,"Low (&lt;60k)",O219&lt;100000,"Mid (60-100k)",TRUE,"High (100k+)")</f>
        <v/>
      </c>
      <c r="W219" s="5">
        <f>IF(M219="No","Attrited","Active")</f>
        <v/>
      </c>
    </row>
    <row r="220">
      <c r="A220" s="5" t="inlineStr">
        <is>
          <t>E00219</t>
        </is>
      </c>
      <c r="B220" s="5" t="inlineStr">
        <is>
          <t>Female</t>
        </is>
      </c>
      <c r="C220" s="6" t="inlineStr">
        <is>
          <t>34</t>
        </is>
      </c>
      <c r="D220" s="5" t="inlineStr">
        <is>
          <t>Married</t>
        </is>
      </c>
      <c r="E220" s="5" t="inlineStr">
        <is>
          <t>High School</t>
        </is>
      </c>
      <c r="F220" s="5" t="inlineStr">
        <is>
          <t>Operations</t>
        </is>
      </c>
      <c r="G220" s="5" t="inlineStr">
        <is>
          <t>Operations Analyst</t>
        </is>
      </c>
      <c r="H220" s="5" t="inlineStr">
        <is>
          <t>2</t>
        </is>
      </c>
      <c r="I220" s="5" t="inlineStr">
        <is>
          <t>Mumbai</t>
        </is>
      </c>
      <c r="J220" s="5" t="inlineStr">
        <is>
          <t>Full-Time</t>
        </is>
      </c>
      <c r="K220" s="7" t="n">
        <v>44240</v>
      </c>
      <c r="L220" s="7" t="inlineStr"/>
      <c r="M220" s="5" t="inlineStr">
        <is>
          <t>Yes</t>
        </is>
      </c>
      <c r="N220" s="5" t="inlineStr"/>
      <c r="O220" s="8" t="inlineStr">
        <is>
          <t>78500</t>
        </is>
      </c>
      <c r="P220" s="5" t="inlineStr">
        <is>
          <t>0</t>
        </is>
      </c>
      <c r="Q220" s="5" t="inlineStr">
        <is>
          <t>3</t>
        </is>
      </c>
      <c r="R220" s="5" t="inlineStr">
        <is>
          <t>5</t>
        </is>
      </c>
      <c r="S220" s="5" t="inlineStr">
        <is>
          <t>59</t>
        </is>
      </c>
      <c r="T220" s="5" t="inlineStr">
        <is>
          <t>9</t>
        </is>
      </c>
      <c r="U220" s="5">
        <f>IFS(C220&lt;30,"Under 30",C220&lt;40,"30-39",C220&lt;50,"40-49",TRUE,"50+")</f>
        <v/>
      </c>
      <c r="V220" s="5">
        <f>IFS(O220&lt;60000,"Low (&lt;60k)",O220&lt;100000,"Mid (60-100k)",TRUE,"High (100k+)")</f>
        <v/>
      </c>
      <c r="W220" s="5">
        <f>IF(M220="No","Attrited","Active")</f>
        <v/>
      </c>
    </row>
    <row r="221">
      <c r="A221" s="5" t="inlineStr">
        <is>
          <t>E00220</t>
        </is>
      </c>
      <c r="B221" s="5" t="inlineStr">
        <is>
          <t>Male</t>
        </is>
      </c>
      <c r="C221" s="6" t="inlineStr">
        <is>
          <t>30</t>
        </is>
      </c>
      <c r="D221" s="5" t="inlineStr">
        <is>
          <t>Single</t>
        </is>
      </c>
      <c r="E221" s="5" t="inlineStr">
        <is>
          <t>Bachelor</t>
        </is>
      </c>
      <c r="F221" s="5" t="inlineStr">
        <is>
          <t>IT</t>
        </is>
      </c>
      <c r="G221" s="5" t="inlineStr">
        <is>
          <t>DevOps Engineer</t>
        </is>
      </c>
      <c r="H221" s="5" t="inlineStr">
        <is>
          <t>3</t>
        </is>
      </c>
      <c r="I221" s="5" t="inlineStr">
        <is>
          <t>Delhi</t>
        </is>
      </c>
      <c r="J221" s="5" t="inlineStr">
        <is>
          <t>Full-Time</t>
        </is>
      </c>
      <c r="K221" s="7" t="n">
        <v>45309</v>
      </c>
      <c r="L221" s="7" t="inlineStr"/>
      <c r="M221" s="5" t="inlineStr">
        <is>
          <t>Yes</t>
        </is>
      </c>
      <c r="N221" s="5" t="inlineStr"/>
      <c r="O221" s="8" t="inlineStr">
        <is>
          <t>145500</t>
        </is>
      </c>
      <c r="P221" s="5" t="inlineStr">
        <is>
          <t>15</t>
        </is>
      </c>
      <c r="Q221" s="5" t="inlineStr">
        <is>
          <t>3</t>
        </is>
      </c>
      <c r="R221" s="5" t="inlineStr">
        <is>
          <t>5</t>
        </is>
      </c>
      <c r="S221" s="5" t="inlineStr">
        <is>
          <t>23</t>
        </is>
      </c>
      <c r="T221" s="5" t="inlineStr">
        <is>
          <t>4</t>
        </is>
      </c>
      <c r="U221" s="5">
        <f>IFS(C221&lt;30,"Under 30",C221&lt;40,"30-39",C221&lt;50,"40-49",TRUE,"50+")</f>
        <v/>
      </c>
      <c r="V221" s="5">
        <f>IFS(O221&lt;60000,"Low (&lt;60k)",O221&lt;100000,"Mid (60-100k)",TRUE,"High (100k+)")</f>
        <v/>
      </c>
      <c r="W221" s="5">
        <f>IF(M221="No","Attrited","Active")</f>
        <v/>
      </c>
    </row>
    <row r="222">
      <c r="A222" s="5" t="inlineStr">
        <is>
          <t>E00221</t>
        </is>
      </c>
      <c r="B222" s="5" t="inlineStr">
        <is>
          <t>Male</t>
        </is>
      </c>
      <c r="C222" s="6" t="inlineStr">
        <is>
          <t>31</t>
        </is>
      </c>
      <c r="D222" s="5" t="inlineStr">
        <is>
          <t>Single</t>
        </is>
      </c>
      <c r="E222" s="5" t="inlineStr">
        <is>
          <t>Master</t>
        </is>
      </c>
      <c r="F222" s="5" t="inlineStr">
        <is>
          <t>IT</t>
        </is>
      </c>
      <c r="G222" s="5" t="inlineStr">
        <is>
          <t>DevOps Engineer</t>
        </is>
      </c>
      <c r="H222" s="5" t="inlineStr">
        <is>
          <t>3</t>
        </is>
      </c>
      <c r="I222" s="5" t="inlineStr">
        <is>
          <t>Remote</t>
        </is>
      </c>
      <c r="J222" s="5" t="inlineStr">
        <is>
          <t>Full-Time</t>
        </is>
      </c>
      <c r="K222" s="7" t="n">
        <v>45734</v>
      </c>
      <c r="L222" s="7" t="inlineStr"/>
      <c r="M222" s="5" t="inlineStr">
        <is>
          <t>Yes</t>
        </is>
      </c>
      <c r="N222" s="5" t="inlineStr"/>
      <c r="O222" s="8" t="inlineStr">
        <is>
          <t>164000</t>
        </is>
      </c>
      <c r="P222" s="5" t="inlineStr">
        <is>
          <t>5</t>
        </is>
      </c>
      <c r="Q222" s="5" t="inlineStr">
        <is>
          <t>4</t>
        </is>
      </c>
      <c r="R222" s="5" t="inlineStr">
        <is>
          <t>8</t>
        </is>
      </c>
      <c r="S222" s="5" t="inlineStr">
        <is>
          <t>9</t>
        </is>
      </c>
      <c r="T222" s="5" t="inlineStr">
        <is>
          <t>15</t>
        </is>
      </c>
      <c r="U222" s="5">
        <f>IFS(C222&lt;30,"Under 30",C222&lt;40,"30-39",C222&lt;50,"40-49",TRUE,"50+")</f>
        <v/>
      </c>
      <c r="V222" s="5">
        <f>IFS(O222&lt;60000,"Low (&lt;60k)",O222&lt;100000,"Mid (60-100k)",TRUE,"High (100k+)")</f>
        <v/>
      </c>
      <c r="W222" s="5">
        <f>IF(M222="No","Attrited","Active")</f>
        <v/>
      </c>
    </row>
    <row r="223">
      <c r="A223" s="5" t="inlineStr">
        <is>
          <t>E00222</t>
        </is>
      </c>
      <c r="B223" s="5" t="inlineStr">
        <is>
          <t>Female</t>
        </is>
      </c>
      <c r="C223" s="6" t="inlineStr">
        <is>
          <t>24</t>
        </is>
      </c>
      <c r="D223" s="5" t="inlineStr">
        <is>
          <t>Married</t>
        </is>
      </c>
      <c r="E223" s="5" t="inlineStr">
        <is>
          <t>Bachelor</t>
        </is>
      </c>
      <c r="F223" s="5" t="inlineStr">
        <is>
          <t>Finance</t>
        </is>
      </c>
      <c r="G223" s="5" t="inlineStr">
        <is>
          <t>Accountant</t>
        </is>
      </c>
      <c r="H223" s="5" t="inlineStr">
        <is>
          <t>1</t>
        </is>
      </c>
      <c r="I223" s="5" t="inlineStr">
        <is>
          <t>Remote</t>
        </is>
      </c>
      <c r="J223" s="5" t="inlineStr">
        <is>
          <t>Full-Time</t>
        </is>
      </c>
      <c r="K223" s="7" t="n">
        <v>44928</v>
      </c>
      <c r="L223" s="7" t="inlineStr"/>
      <c r="M223" s="5" t="inlineStr">
        <is>
          <t>Yes</t>
        </is>
      </c>
      <c r="N223" s="5" t="inlineStr"/>
      <c r="O223" s="8" t="inlineStr">
        <is>
          <t>93000</t>
        </is>
      </c>
      <c r="P223" s="5" t="inlineStr">
        <is>
          <t>0</t>
        </is>
      </c>
      <c r="Q223" s="5" t="inlineStr">
        <is>
          <t>2</t>
        </is>
      </c>
      <c r="R223" s="5" t="inlineStr">
        <is>
          <t>6</t>
        </is>
      </c>
      <c r="S223" s="5" t="inlineStr">
        <is>
          <t>36</t>
        </is>
      </c>
      <c r="T223" s="5" t="inlineStr">
        <is>
          <t>8</t>
        </is>
      </c>
      <c r="U223" s="5">
        <f>IFS(C223&lt;30,"Under 30",C223&lt;40,"30-39",C223&lt;50,"40-49",TRUE,"50+")</f>
        <v/>
      </c>
      <c r="V223" s="5">
        <f>IFS(O223&lt;60000,"Low (&lt;60k)",O223&lt;100000,"Mid (60-100k)",TRUE,"High (100k+)")</f>
        <v/>
      </c>
      <c r="W223" s="5">
        <f>IF(M223="No","Attrited","Active")</f>
        <v/>
      </c>
    </row>
    <row r="224">
      <c r="A224" s="5" t="inlineStr">
        <is>
          <t>E00223</t>
        </is>
      </c>
      <c r="B224" s="5" t="inlineStr">
        <is>
          <t>Female</t>
        </is>
      </c>
      <c r="C224" s="6" t="inlineStr">
        <is>
          <t>29</t>
        </is>
      </c>
      <c r="D224" s="5" t="inlineStr">
        <is>
          <t>Married</t>
        </is>
      </c>
      <c r="E224" s="5" t="inlineStr">
        <is>
          <t>PhD</t>
        </is>
      </c>
      <c r="F224" s="5" t="inlineStr">
        <is>
          <t>Marketing</t>
        </is>
      </c>
      <c r="G224" s="5" t="inlineStr">
        <is>
          <t>Marketing Analyst</t>
        </is>
      </c>
      <c r="H224" s="5" t="inlineStr">
        <is>
          <t>3</t>
        </is>
      </c>
      <c r="I224" s="5" t="inlineStr">
        <is>
          <t>Hyderabad</t>
        </is>
      </c>
      <c r="J224" s="5" t="inlineStr">
        <is>
          <t>Full-Time</t>
        </is>
      </c>
      <c r="K224" s="7" t="n">
        <v>44467</v>
      </c>
      <c r="L224" s="7" t="inlineStr"/>
      <c r="M224" s="5" t="inlineStr">
        <is>
          <t>Yes</t>
        </is>
      </c>
      <c r="N224" s="5" t="inlineStr"/>
      <c r="O224" s="8" t="inlineStr">
        <is>
          <t>82000</t>
        </is>
      </c>
      <c r="P224" s="5" t="inlineStr">
        <is>
          <t>10</t>
        </is>
      </c>
      <c r="Q224" s="5" t="inlineStr">
        <is>
          <t>5</t>
        </is>
      </c>
      <c r="R224" s="5" t="inlineStr">
        <is>
          <t>8</t>
        </is>
      </c>
      <c r="S224" s="5" t="inlineStr">
        <is>
          <t>51</t>
        </is>
      </c>
      <c r="T224" s="5" t="inlineStr">
        <is>
          <t>10</t>
        </is>
      </c>
      <c r="U224" s="5">
        <f>IFS(C224&lt;30,"Under 30",C224&lt;40,"30-39",C224&lt;50,"40-49",TRUE,"50+")</f>
        <v/>
      </c>
      <c r="V224" s="5">
        <f>IFS(O224&lt;60000,"Low (&lt;60k)",O224&lt;100000,"Mid (60-100k)",TRUE,"High (100k+)")</f>
        <v/>
      </c>
      <c r="W224" s="5">
        <f>IF(M224="No","Attrited","Active")</f>
        <v/>
      </c>
    </row>
    <row r="225">
      <c r="A225" s="5" t="inlineStr">
        <is>
          <t>E00224</t>
        </is>
      </c>
      <c r="B225" s="5" t="inlineStr">
        <is>
          <t>Female</t>
        </is>
      </c>
      <c r="C225" s="6" t="inlineStr">
        <is>
          <t>41</t>
        </is>
      </c>
      <c r="D225" s="5" t="inlineStr">
        <is>
          <t>Single</t>
        </is>
      </c>
      <c r="E225" s="5" t="inlineStr">
        <is>
          <t>High School</t>
        </is>
      </c>
      <c r="F225" s="5" t="inlineStr">
        <is>
          <t>Operations</t>
        </is>
      </c>
      <c r="G225" s="5" t="inlineStr">
        <is>
          <t>Operations Analyst</t>
        </is>
      </c>
      <c r="H225" s="5" t="inlineStr">
        <is>
          <t>7</t>
        </is>
      </c>
      <c r="I225" s="5" t="inlineStr">
        <is>
          <t>Bengaluru</t>
        </is>
      </c>
      <c r="J225" s="5" t="inlineStr">
        <is>
          <t>Full-Time</t>
        </is>
      </c>
      <c r="K225" s="7" t="n">
        <v>43910</v>
      </c>
      <c r="L225" s="7" t="inlineStr"/>
      <c r="M225" s="5" t="inlineStr">
        <is>
          <t>Yes</t>
        </is>
      </c>
      <c r="N225" s="5" t="inlineStr"/>
      <c r="O225" s="8" t="inlineStr">
        <is>
          <t>112000</t>
        </is>
      </c>
      <c r="P225" s="5" t="inlineStr">
        <is>
          <t>15</t>
        </is>
      </c>
      <c r="Q225" s="5" t="inlineStr">
        <is>
          <t>3</t>
        </is>
      </c>
      <c r="R225" s="5" t="inlineStr">
        <is>
          <t>3</t>
        </is>
      </c>
      <c r="S225" s="5" t="inlineStr">
        <is>
          <t>70</t>
        </is>
      </c>
      <c r="T225" s="5" t="inlineStr">
        <is>
          <t>8</t>
        </is>
      </c>
      <c r="U225" s="5">
        <f>IFS(C225&lt;30,"Under 30",C225&lt;40,"30-39",C225&lt;50,"40-49",TRUE,"50+")</f>
        <v/>
      </c>
      <c r="V225" s="5">
        <f>IFS(O225&lt;60000,"Low (&lt;60k)",O225&lt;100000,"Mid (60-100k)",TRUE,"High (100k+)")</f>
        <v/>
      </c>
      <c r="W225" s="5">
        <f>IF(M225="No","Attrited","Active")</f>
        <v/>
      </c>
    </row>
    <row r="226">
      <c r="A226" s="5" t="inlineStr">
        <is>
          <t>E00225</t>
        </is>
      </c>
      <c r="B226" s="5" t="inlineStr">
        <is>
          <t>Female</t>
        </is>
      </c>
      <c r="C226" s="6" t="inlineStr">
        <is>
          <t>27</t>
        </is>
      </c>
      <c r="D226" s="5" t="inlineStr">
        <is>
          <t>Married</t>
        </is>
      </c>
      <c r="E226" s="5" t="inlineStr">
        <is>
          <t>Bachelor</t>
        </is>
      </c>
      <c r="F226" s="5" t="inlineStr">
        <is>
          <t>IT</t>
        </is>
      </c>
      <c r="G226" s="5" t="inlineStr">
        <is>
          <t>Software Engineer</t>
        </is>
      </c>
      <c r="H226" s="5" t="inlineStr">
        <is>
          <t>1</t>
        </is>
      </c>
      <c r="I226" s="5" t="inlineStr">
        <is>
          <t>Chennai</t>
        </is>
      </c>
      <c r="J226" s="5" t="inlineStr">
        <is>
          <t>Full-Time</t>
        </is>
      </c>
      <c r="K226" s="7" t="n">
        <v>45148</v>
      </c>
      <c r="L226" s="7" t="n">
        <v>45240</v>
      </c>
      <c r="M226" s="5" t="inlineStr">
        <is>
          <t>No</t>
        </is>
      </c>
      <c r="N226" s="5" t="inlineStr">
        <is>
          <t>Resigned</t>
        </is>
      </c>
      <c r="O226" s="8" t="inlineStr">
        <is>
          <t>124000</t>
        </is>
      </c>
      <c r="P226" s="5" t="inlineStr">
        <is>
          <t>0</t>
        </is>
      </c>
      <c r="Q226" s="5" t="inlineStr">
        <is>
          <t>3</t>
        </is>
      </c>
      <c r="R226" s="5" t="inlineStr">
        <is>
          <t>5</t>
        </is>
      </c>
      <c r="S226" s="5" t="inlineStr">
        <is>
          <t>3</t>
        </is>
      </c>
      <c r="T226" s="5" t="inlineStr">
        <is>
          <t>4</t>
        </is>
      </c>
      <c r="U226" s="5">
        <f>IFS(C226&lt;30,"Under 30",C226&lt;40,"30-39",C226&lt;50,"40-49",TRUE,"50+")</f>
        <v/>
      </c>
      <c r="V226" s="5">
        <f>IFS(O226&lt;60000,"Low (&lt;60k)",O226&lt;100000,"Mid (60-100k)",TRUE,"High (100k+)")</f>
        <v/>
      </c>
      <c r="W226" s="5">
        <f>IF(M226="No","Attrited","Active")</f>
        <v/>
      </c>
    </row>
    <row r="227">
      <c r="A227" s="5" t="inlineStr">
        <is>
          <t>E00226</t>
        </is>
      </c>
      <c r="B227" s="5" t="inlineStr">
        <is>
          <t>Female</t>
        </is>
      </c>
      <c r="C227" s="6" t="inlineStr">
        <is>
          <t>23</t>
        </is>
      </c>
      <c r="D227" s="5" t="inlineStr">
        <is>
          <t>Single</t>
        </is>
      </c>
      <c r="E227" s="5" t="inlineStr">
        <is>
          <t>Bachelor</t>
        </is>
      </c>
      <c r="F227" s="5" t="inlineStr">
        <is>
          <t>Customer Support</t>
        </is>
      </c>
      <c r="G227" s="5" t="inlineStr">
        <is>
          <t>Support Lead</t>
        </is>
      </c>
      <c r="H227" s="5" t="inlineStr">
        <is>
          <t>1</t>
        </is>
      </c>
      <c r="I227" s="5" t="inlineStr">
        <is>
          <t>Hyderabad</t>
        </is>
      </c>
      <c r="J227" s="5" t="inlineStr">
        <is>
          <t>Full-Time</t>
        </is>
      </c>
      <c r="K227" s="7" t="n">
        <v>44467</v>
      </c>
      <c r="L227" s="7" t="inlineStr"/>
      <c r="M227" s="5" t="inlineStr">
        <is>
          <t>Yes</t>
        </is>
      </c>
      <c r="N227" s="5" t="inlineStr"/>
      <c r="O227" s="8" t="inlineStr">
        <is>
          <t>43500</t>
        </is>
      </c>
      <c r="P227" s="5" t="inlineStr">
        <is>
          <t>0</t>
        </is>
      </c>
      <c r="Q227" s="5" t="inlineStr">
        <is>
          <t>3</t>
        </is>
      </c>
      <c r="R227" s="5" t="inlineStr">
        <is>
          <t>1</t>
        </is>
      </c>
      <c r="S227" s="5" t="inlineStr">
        <is>
          <t>51</t>
        </is>
      </c>
      <c r="T227" s="5" t="inlineStr">
        <is>
          <t>2</t>
        </is>
      </c>
      <c r="U227" s="5">
        <f>IFS(C227&lt;30,"Under 30",C227&lt;40,"30-39",C227&lt;50,"40-49",TRUE,"50+")</f>
        <v/>
      </c>
      <c r="V227" s="5">
        <f>IFS(O227&lt;60000,"Low (&lt;60k)",O227&lt;100000,"Mid (60-100k)",TRUE,"High (100k+)")</f>
        <v/>
      </c>
      <c r="W227" s="5">
        <f>IF(M227="No","Attrited","Active")</f>
        <v/>
      </c>
    </row>
    <row r="228">
      <c r="A228" s="5" t="inlineStr">
        <is>
          <t>E00227</t>
        </is>
      </c>
      <c r="B228" s="5" t="inlineStr">
        <is>
          <t>Female</t>
        </is>
      </c>
      <c r="C228" s="6" t="inlineStr">
        <is>
          <t>38</t>
        </is>
      </c>
      <c r="D228" s="5" t="inlineStr">
        <is>
          <t>Divorced</t>
        </is>
      </c>
      <c r="E228" s="5" t="inlineStr">
        <is>
          <t>Bachelor</t>
        </is>
      </c>
      <c r="F228" s="5" t="inlineStr">
        <is>
          <t>Sales</t>
        </is>
      </c>
      <c r="G228" s="5" t="inlineStr">
        <is>
          <t>Business Development</t>
        </is>
      </c>
      <c r="H228" s="5" t="inlineStr">
        <is>
          <t>4</t>
        </is>
      </c>
      <c r="I228" s="5" t="inlineStr">
        <is>
          <t>Delhi</t>
        </is>
      </c>
      <c r="J228" s="5" t="inlineStr">
        <is>
          <t>Full-Time</t>
        </is>
      </c>
      <c r="K228" s="7" t="n">
        <v>46015</v>
      </c>
      <c r="L228" s="7" t="n">
        <v>46021</v>
      </c>
      <c r="M228" s="5" t="inlineStr">
        <is>
          <t>No</t>
        </is>
      </c>
      <c r="N228" s="5" t="inlineStr">
        <is>
          <t>Retirement</t>
        </is>
      </c>
      <c r="O228" s="8" t="inlineStr">
        <is>
          <t>141000</t>
        </is>
      </c>
      <c r="P228" s="5" t="inlineStr">
        <is>
          <t>5</t>
        </is>
      </c>
      <c r="Q228" s="5" t="inlineStr">
        <is>
          <t>4</t>
        </is>
      </c>
      <c r="R228" s="5" t="inlineStr">
        <is>
          <t>3</t>
        </is>
      </c>
      <c r="S228" s="5" t="inlineStr">
        <is>
          <t>1</t>
        </is>
      </c>
      <c r="T228" s="5" t="inlineStr">
        <is>
          <t>5</t>
        </is>
      </c>
      <c r="U228" s="5">
        <f>IFS(C228&lt;30,"Under 30",C228&lt;40,"30-39",C228&lt;50,"40-49",TRUE,"50+")</f>
        <v/>
      </c>
      <c r="V228" s="5">
        <f>IFS(O228&lt;60000,"Low (&lt;60k)",O228&lt;100000,"Mid (60-100k)",TRUE,"High (100k+)")</f>
        <v/>
      </c>
      <c r="W228" s="5">
        <f>IF(M228="No","Attrited","Active")</f>
        <v/>
      </c>
    </row>
    <row r="229">
      <c r="A229" s="5" t="inlineStr">
        <is>
          <t>E00228</t>
        </is>
      </c>
      <c r="B229" s="5" t="inlineStr">
        <is>
          <t>Female</t>
        </is>
      </c>
      <c r="C229" s="6" t="inlineStr">
        <is>
          <t>36</t>
        </is>
      </c>
      <c r="D229" s="5" t="inlineStr">
        <is>
          <t>Married</t>
        </is>
      </c>
      <c r="E229" s="5" t="inlineStr">
        <is>
          <t>High School</t>
        </is>
      </c>
      <c r="F229" s="5" t="inlineStr">
        <is>
          <t>Customer Support</t>
        </is>
      </c>
      <c r="G229" s="5" t="inlineStr">
        <is>
          <t>Support Lead</t>
        </is>
      </c>
      <c r="H229" s="5" t="inlineStr">
        <is>
          <t>3</t>
        </is>
      </c>
      <c r="I229" s="5" t="inlineStr">
        <is>
          <t>Delhi</t>
        </is>
      </c>
      <c r="J229" s="5" t="inlineStr">
        <is>
          <t>Full-Time</t>
        </is>
      </c>
      <c r="K229" s="7" t="n">
        <v>45574</v>
      </c>
      <c r="L229" s="7" t="inlineStr"/>
      <c r="M229" s="5" t="inlineStr">
        <is>
          <t>Yes</t>
        </is>
      </c>
      <c r="N229" s="5" t="inlineStr"/>
      <c r="O229" s="8" t="inlineStr">
        <is>
          <t>75000</t>
        </is>
      </c>
      <c r="P229" s="5" t="inlineStr">
        <is>
          <t>5</t>
        </is>
      </c>
      <c r="Q229" s="5" t="inlineStr">
        <is>
          <t>4</t>
        </is>
      </c>
      <c r="R229" s="5" t="inlineStr">
        <is>
          <t>7</t>
        </is>
      </c>
      <c r="S229" s="5" t="inlineStr">
        <is>
          <t>14</t>
        </is>
      </c>
      <c r="T229" s="5" t="inlineStr">
        <is>
          <t>6</t>
        </is>
      </c>
      <c r="U229" s="5">
        <f>IFS(C229&lt;30,"Under 30",C229&lt;40,"30-39",C229&lt;50,"40-49",TRUE,"50+")</f>
        <v/>
      </c>
      <c r="V229" s="5">
        <f>IFS(O229&lt;60000,"Low (&lt;60k)",O229&lt;100000,"Mid (60-100k)",TRUE,"High (100k+)")</f>
        <v/>
      </c>
      <c r="W229" s="5">
        <f>IF(M229="No","Attrited","Active")</f>
        <v/>
      </c>
    </row>
    <row r="230">
      <c r="A230" s="5" t="inlineStr">
        <is>
          <t>E00229</t>
        </is>
      </c>
      <c r="B230" s="5" t="inlineStr">
        <is>
          <t>Female</t>
        </is>
      </c>
      <c r="C230" s="6" t="inlineStr">
        <is>
          <t>34</t>
        </is>
      </c>
      <c r="D230" s="5" t="inlineStr">
        <is>
          <t>Single</t>
        </is>
      </c>
      <c r="E230" s="5" t="inlineStr">
        <is>
          <t>Bachelor</t>
        </is>
      </c>
      <c r="F230" s="5" t="inlineStr">
        <is>
          <t>Sales</t>
        </is>
      </c>
      <c r="G230" s="5" t="inlineStr">
        <is>
          <t>Account Executive</t>
        </is>
      </c>
      <c r="H230" s="5" t="inlineStr">
        <is>
          <t>2</t>
        </is>
      </c>
      <c r="I230" s="5" t="inlineStr">
        <is>
          <t>Hyderabad</t>
        </is>
      </c>
      <c r="J230" s="5" t="inlineStr">
        <is>
          <t>Full-Time</t>
        </is>
      </c>
      <c r="K230" s="7" t="n">
        <v>43919</v>
      </c>
      <c r="L230" s="7" t="inlineStr"/>
      <c r="M230" s="5" t="inlineStr">
        <is>
          <t>Yes</t>
        </is>
      </c>
      <c r="N230" s="5" t="inlineStr"/>
      <c r="O230" s="8" t="inlineStr">
        <is>
          <t>84500</t>
        </is>
      </c>
      <c r="P230" s="5" t="inlineStr">
        <is>
          <t>10</t>
        </is>
      </c>
      <c r="Q230" s="5" t="inlineStr">
        <is>
          <t>5</t>
        </is>
      </c>
      <c r="R230" s="5" t="inlineStr">
        <is>
          <t>7</t>
        </is>
      </c>
      <c r="S230" s="5" t="inlineStr">
        <is>
          <t>70</t>
        </is>
      </c>
      <c r="T230" s="5" t="inlineStr">
        <is>
          <t>0</t>
        </is>
      </c>
      <c r="U230" s="5">
        <f>IFS(C230&lt;30,"Under 30",C230&lt;40,"30-39",C230&lt;50,"40-49",TRUE,"50+")</f>
        <v/>
      </c>
      <c r="V230" s="5">
        <f>IFS(O230&lt;60000,"Low (&lt;60k)",O230&lt;100000,"Mid (60-100k)",TRUE,"High (100k+)")</f>
        <v/>
      </c>
      <c r="W230" s="5">
        <f>IF(M230="No","Attrited","Active")</f>
        <v/>
      </c>
    </row>
    <row r="231">
      <c r="A231" s="5" t="inlineStr">
        <is>
          <t>E00230</t>
        </is>
      </c>
      <c r="B231" s="5" t="inlineStr">
        <is>
          <t>Male</t>
        </is>
      </c>
      <c r="C231" s="6" t="inlineStr">
        <is>
          <t>25</t>
        </is>
      </c>
      <c r="D231" s="5" t="inlineStr">
        <is>
          <t>Married</t>
        </is>
      </c>
      <c r="E231" s="5" t="inlineStr">
        <is>
          <t>Master</t>
        </is>
      </c>
      <c r="F231" s="5" t="inlineStr">
        <is>
          <t>Customer Support</t>
        </is>
      </c>
      <c r="G231" s="5" t="inlineStr">
        <is>
          <t>Escalation Specialist</t>
        </is>
      </c>
      <c r="H231" s="5" t="inlineStr">
        <is>
          <t>1</t>
        </is>
      </c>
      <c r="I231" s="5" t="inlineStr">
        <is>
          <t>Remote</t>
        </is>
      </c>
      <c r="J231" s="5" t="inlineStr">
        <is>
          <t>Full-Time</t>
        </is>
      </c>
      <c r="K231" s="7" t="n">
        <v>44644</v>
      </c>
      <c r="L231" s="7" t="n">
        <v>44674</v>
      </c>
      <c r="M231" s="5" t="inlineStr">
        <is>
          <t>No</t>
        </is>
      </c>
      <c r="N231" s="5" t="inlineStr">
        <is>
          <t>Layoff</t>
        </is>
      </c>
      <c r="O231" s="8" t="inlineStr">
        <is>
          <t>46500</t>
        </is>
      </c>
      <c r="P231" s="5" t="inlineStr">
        <is>
          <t>5</t>
        </is>
      </c>
      <c r="Q231" s="5" t="inlineStr">
        <is>
          <t>4</t>
        </is>
      </c>
      <c r="R231" s="5" t="inlineStr">
        <is>
          <t>7</t>
        </is>
      </c>
      <c r="S231" s="5" t="inlineStr">
        <is>
          <t>1</t>
        </is>
      </c>
      <c r="T231" s="5" t="inlineStr">
        <is>
          <t>5</t>
        </is>
      </c>
      <c r="U231" s="5">
        <f>IFS(C231&lt;30,"Under 30",C231&lt;40,"30-39",C231&lt;50,"40-49",TRUE,"50+")</f>
        <v/>
      </c>
      <c r="V231" s="5">
        <f>IFS(O231&lt;60000,"Low (&lt;60k)",O231&lt;100000,"Mid (60-100k)",TRUE,"High (100k+)")</f>
        <v/>
      </c>
      <c r="W231" s="5">
        <f>IF(M231="No","Attrited","Active")</f>
        <v/>
      </c>
    </row>
    <row r="232">
      <c r="A232" s="5" t="inlineStr">
        <is>
          <t>E00231</t>
        </is>
      </c>
      <c r="B232" s="5" t="inlineStr">
        <is>
          <t>Male</t>
        </is>
      </c>
      <c r="C232" s="6" t="inlineStr">
        <is>
          <t>30</t>
        </is>
      </c>
      <c r="D232" s="5" t="inlineStr">
        <is>
          <t>Married</t>
        </is>
      </c>
      <c r="E232" s="5" t="inlineStr">
        <is>
          <t>High School</t>
        </is>
      </c>
      <c r="F232" s="5" t="inlineStr">
        <is>
          <t>Finance</t>
        </is>
      </c>
      <c r="G232" s="5" t="inlineStr">
        <is>
          <t>Financial Analyst</t>
        </is>
      </c>
      <c r="H232" s="5" t="inlineStr">
        <is>
          <t>4</t>
        </is>
      </c>
      <c r="I232" s="5" t="inlineStr">
        <is>
          <t>Bengaluru</t>
        </is>
      </c>
      <c r="J232" s="5" t="inlineStr">
        <is>
          <t>Full-Time</t>
        </is>
      </c>
      <c r="K232" s="7" t="n">
        <v>45409</v>
      </c>
      <c r="L232" s="7" t="inlineStr"/>
      <c r="M232" s="5" t="inlineStr">
        <is>
          <t>Yes</t>
        </is>
      </c>
      <c r="N232" s="5" t="inlineStr"/>
      <c r="O232" s="8" t="inlineStr">
        <is>
          <t>122500</t>
        </is>
      </c>
      <c r="P232" s="5" t="inlineStr">
        <is>
          <t>0</t>
        </is>
      </c>
      <c r="Q232" s="5" t="inlineStr">
        <is>
          <t>5</t>
        </is>
      </c>
      <c r="R232" s="5" t="inlineStr">
        <is>
          <t>7</t>
        </is>
      </c>
      <c r="S232" s="5" t="inlineStr">
        <is>
          <t>20</t>
        </is>
      </c>
      <c r="T232" s="5" t="inlineStr">
        <is>
          <t>0</t>
        </is>
      </c>
      <c r="U232" s="5">
        <f>IFS(C232&lt;30,"Under 30",C232&lt;40,"30-39",C232&lt;50,"40-49",TRUE,"50+")</f>
        <v/>
      </c>
      <c r="V232" s="5">
        <f>IFS(O232&lt;60000,"Low (&lt;60k)",O232&lt;100000,"Mid (60-100k)",TRUE,"High (100k+)")</f>
        <v/>
      </c>
      <c r="W232" s="5">
        <f>IF(M232="No","Attrited","Active")</f>
        <v/>
      </c>
    </row>
    <row r="233">
      <c r="A233" s="5" t="inlineStr">
        <is>
          <t>E00232</t>
        </is>
      </c>
      <c r="B233" s="5" t="inlineStr">
        <is>
          <t>Male</t>
        </is>
      </c>
      <c r="C233" s="6" t="inlineStr">
        <is>
          <t>30</t>
        </is>
      </c>
      <c r="D233" s="5" t="inlineStr">
        <is>
          <t>Married</t>
        </is>
      </c>
      <c r="E233" s="5" t="inlineStr">
        <is>
          <t>High School</t>
        </is>
      </c>
      <c r="F233" s="5" t="inlineStr">
        <is>
          <t>IT</t>
        </is>
      </c>
      <c r="G233" s="5" t="inlineStr">
        <is>
          <t>Software Engineer</t>
        </is>
      </c>
      <c r="H233" s="5" t="inlineStr">
        <is>
          <t>1</t>
        </is>
      </c>
      <c r="I233" s="5" t="inlineStr">
        <is>
          <t>Chennai</t>
        </is>
      </c>
      <c r="J233" s="5" t="inlineStr">
        <is>
          <t>Contract</t>
        </is>
      </c>
      <c r="K233" s="7" t="n">
        <v>45735</v>
      </c>
      <c r="L233" s="7" t="inlineStr"/>
      <c r="M233" s="5" t="inlineStr">
        <is>
          <t>Yes</t>
        </is>
      </c>
      <c r="N233" s="5" t="inlineStr"/>
      <c r="O233" s="8" t="inlineStr">
        <is>
          <t>122500</t>
        </is>
      </c>
      <c r="P233" s="5" t="inlineStr">
        <is>
          <t>0</t>
        </is>
      </c>
      <c r="Q233" s="5" t="inlineStr">
        <is>
          <t>2</t>
        </is>
      </c>
      <c r="R233" s="5" t="inlineStr">
        <is>
          <t>5</t>
        </is>
      </c>
      <c r="S233" s="5" t="inlineStr">
        <is>
          <t>9</t>
        </is>
      </c>
      <c r="T233" s="5" t="inlineStr">
        <is>
          <t>3</t>
        </is>
      </c>
      <c r="U233" s="5">
        <f>IFS(C233&lt;30,"Under 30",C233&lt;40,"30-39",C233&lt;50,"40-49",TRUE,"50+")</f>
        <v/>
      </c>
      <c r="V233" s="5">
        <f>IFS(O233&lt;60000,"Low (&lt;60k)",O233&lt;100000,"Mid (60-100k)",TRUE,"High (100k+)")</f>
        <v/>
      </c>
      <c r="W233" s="5">
        <f>IF(M233="No","Attrited","Active")</f>
        <v/>
      </c>
    </row>
    <row r="234">
      <c r="A234" s="5" t="inlineStr">
        <is>
          <t>E00233</t>
        </is>
      </c>
      <c r="B234" s="5" t="inlineStr">
        <is>
          <t>Female</t>
        </is>
      </c>
      <c r="C234" s="6" t="inlineStr">
        <is>
          <t>39</t>
        </is>
      </c>
      <c r="D234" s="5" t="inlineStr">
        <is>
          <t>Married</t>
        </is>
      </c>
      <c r="E234" s="5" t="inlineStr">
        <is>
          <t>Diploma</t>
        </is>
      </c>
      <c r="F234" s="5" t="inlineStr">
        <is>
          <t>Operations</t>
        </is>
      </c>
      <c r="G234" s="5" t="inlineStr">
        <is>
          <t>Logistics Coordinator</t>
        </is>
      </c>
      <c r="H234" s="5" t="inlineStr">
        <is>
          <t>4</t>
        </is>
      </c>
      <c r="I234" s="5" t="inlineStr">
        <is>
          <t>Remote</t>
        </is>
      </c>
      <c r="J234" s="5" t="inlineStr">
        <is>
          <t>Full-Time</t>
        </is>
      </c>
      <c r="K234" s="7" t="n">
        <v>44430</v>
      </c>
      <c r="L234" s="7" t="inlineStr"/>
      <c r="M234" s="5" t="inlineStr">
        <is>
          <t>Yes</t>
        </is>
      </c>
      <c r="N234" s="5" t="inlineStr"/>
      <c r="O234" s="8" t="inlineStr">
        <is>
          <t>118500</t>
        </is>
      </c>
      <c r="P234" s="5" t="inlineStr">
        <is>
          <t>10</t>
        </is>
      </c>
      <c r="Q234" s="5" t="inlineStr">
        <is>
          <t>3</t>
        </is>
      </c>
      <c r="R234" s="5" t="inlineStr">
        <is>
          <t>8</t>
        </is>
      </c>
      <c r="S234" s="5" t="inlineStr">
        <is>
          <t>53</t>
        </is>
      </c>
      <c r="T234" s="5" t="inlineStr">
        <is>
          <t>5</t>
        </is>
      </c>
      <c r="U234" s="5">
        <f>IFS(C234&lt;30,"Under 30",C234&lt;40,"30-39",C234&lt;50,"40-49",TRUE,"50+")</f>
        <v/>
      </c>
      <c r="V234" s="5">
        <f>IFS(O234&lt;60000,"Low (&lt;60k)",O234&lt;100000,"Mid (60-100k)",TRUE,"High (100k+)")</f>
        <v/>
      </c>
      <c r="W234" s="5">
        <f>IF(M234="No","Attrited","Active")</f>
        <v/>
      </c>
    </row>
    <row r="235">
      <c r="A235" s="5" t="inlineStr">
        <is>
          <t>E00234</t>
        </is>
      </c>
      <c r="B235" s="5" t="inlineStr">
        <is>
          <t>Female</t>
        </is>
      </c>
      <c r="C235" s="6" t="inlineStr">
        <is>
          <t>30</t>
        </is>
      </c>
      <c r="D235" s="5" t="inlineStr">
        <is>
          <t>Married</t>
        </is>
      </c>
      <c r="E235" s="5" t="inlineStr">
        <is>
          <t>Master</t>
        </is>
      </c>
      <c r="F235" s="5" t="inlineStr">
        <is>
          <t>IT</t>
        </is>
      </c>
      <c r="G235" s="5" t="inlineStr">
        <is>
          <t>IT Support</t>
        </is>
      </c>
      <c r="H235" s="5" t="inlineStr">
        <is>
          <t>1</t>
        </is>
      </c>
      <c r="I235" s="5" t="inlineStr">
        <is>
          <t>Mumbai</t>
        </is>
      </c>
      <c r="J235" s="5" t="inlineStr">
        <is>
          <t>Part-Time</t>
        </is>
      </c>
      <c r="K235" s="7" t="n">
        <v>45418</v>
      </c>
      <c r="L235" s="7" t="n">
        <v>45541</v>
      </c>
      <c r="M235" s="5" t="inlineStr">
        <is>
          <t>No</t>
        </is>
      </c>
      <c r="N235" s="5" t="inlineStr">
        <is>
          <t>Resigned</t>
        </is>
      </c>
      <c r="O235" s="8" t="inlineStr">
        <is>
          <t>142500</t>
        </is>
      </c>
      <c r="P235" s="5" t="inlineStr">
        <is>
          <t>10</t>
        </is>
      </c>
      <c r="Q235" s="5" t="inlineStr">
        <is>
          <t>5</t>
        </is>
      </c>
      <c r="R235" s="5" t="inlineStr">
        <is>
          <t>6</t>
        </is>
      </c>
      <c r="S235" s="5" t="inlineStr">
        <is>
          <t>4</t>
        </is>
      </c>
      <c r="T235" s="5" t="inlineStr">
        <is>
          <t>7</t>
        </is>
      </c>
      <c r="U235" s="5">
        <f>IFS(C235&lt;30,"Under 30",C235&lt;40,"30-39",C235&lt;50,"40-49",TRUE,"50+")</f>
        <v/>
      </c>
      <c r="V235" s="5">
        <f>IFS(O235&lt;60000,"Low (&lt;60k)",O235&lt;100000,"Mid (60-100k)",TRUE,"High (100k+)")</f>
        <v/>
      </c>
      <c r="W235" s="5">
        <f>IF(M235="No","Attrited","Active")</f>
        <v/>
      </c>
    </row>
    <row r="236">
      <c r="A236" s="5" t="inlineStr">
        <is>
          <t>E00235</t>
        </is>
      </c>
      <c r="B236" s="5" t="inlineStr">
        <is>
          <t>Female</t>
        </is>
      </c>
      <c r="C236" s="6" t="inlineStr">
        <is>
          <t>26</t>
        </is>
      </c>
      <c r="D236" s="5" t="inlineStr">
        <is>
          <t>Married</t>
        </is>
      </c>
      <c r="E236" s="5" t="inlineStr">
        <is>
          <t>Bachelor</t>
        </is>
      </c>
      <c r="F236" s="5" t="inlineStr">
        <is>
          <t>Marketing</t>
        </is>
      </c>
      <c r="G236" s="5" t="inlineStr">
        <is>
          <t>Marketing Analyst</t>
        </is>
      </c>
      <c r="H236" s="5" t="inlineStr">
        <is>
          <t>2</t>
        </is>
      </c>
      <c r="I236" s="5" t="inlineStr">
        <is>
          <t>Remote</t>
        </is>
      </c>
      <c r="J236" s="5" t="inlineStr">
        <is>
          <t>Full-Time</t>
        </is>
      </c>
      <c r="K236" s="7" t="n">
        <v>44545</v>
      </c>
      <c r="L236" s="7" t="n">
        <v>44579</v>
      </c>
      <c r="M236" s="5" t="inlineStr">
        <is>
          <t>No</t>
        </is>
      </c>
      <c r="N236" s="5" t="inlineStr">
        <is>
          <t>Retirement</t>
        </is>
      </c>
      <c r="O236" s="8" t="inlineStr">
        <is>
          <t>100000</t>
        </is>
      </c>
      <c r="P236" s="5" t="inlineStr">
        <is>
          <t>0</t>
        </is>
      </c>
      <c r="Q236" s="5" t="inlineStr">
        <is>
          <t>3</t>
        </is>
      </c>
      <c r="R236" s="5" t="inlineStr">
        <is>
          <t>8</t>
        </is>
      </c>
      <c r="S236" s="5" t="inlineStr">
        <is>
          <t>1</t>
        </is>
      </c>
      <c r="T236" s="5" t="inlineStr">
        <is>
          <t>1</t>
        </is>
      </c>
      <c r="U236" s="5">
        <f>IFS(C236&lt;30,"Under 30",C236&lt;40,"30-39",C236&lt;50,"40-49",TRUE,"50+")</f>
        <v/>
      </c>
      <c r="V236" s="5">
        <f>IFS(O236&lt;60000,"Low (&lt;60k)",O236&lt;100000,"Mid (60-100k)",TRUE,"High (100k+)")</f>
        <v/>
      </c>
      <c r="W236" s="5">
        <f>IF(M236="No","Attrited","Active")</f>
        <v/>
      </c>
    </row>
    <row r="237">
      <c r="A237" s="5" t="inlineStr">
        <is>
          <t>E00236</t>
        </is>
      </c>
      <c r="B237" s="5" t="inlineStr">
        <is>
          <t>Male</t>
        </is>
      </c>
      <c r="C237" s="6" t="inlineStr">
        <is>
          <t>31</t>
        </is>
      </c>
      <c r="D237" s="5" t="inlineStr">
        <is>
          <t>Single</t>
        </is>
      </c>
      <c r="E237" s="5" t="inlineStr">
        <is>
          <t>Diploma</t>
        </is>
      </c>
      <c r="F237" s="5" t="inlineStr">
        <is>
          <t>Customer Support</t>
        </is>
      </c>
      <c r="G237" s="5" t="inlineStr">
        <is>
          <t>Escalation Specialist</t>
        </is>
      </c>
      <c r="H237" s="5" t="inlineStr">
        <is>
          <t>2</t>
        </is>
      </c>
      <c r="I237" s="5" t="inlineStr">
        <is>
          <t>Mumbai</t>
        </is>
      </c>
      <c r="J237" s="5" t="inlineStr">
        <is>
          <t>Full-Time</t>
        </is>
      </c>
      <c r="K237" s="7" t="n">
        <v>45817</v>
      </c>
      <c r="L237" s="7" t="inlineStr"/>
      <c r="M237" s="5" t="inlineStr">
        <is>
          <t>Yes</t>
        </is>
      </c>
      <c r="N237" s="5" t="inlineStr"/>
      <c r="O237" s="8" t="inlineStr">
        <is>
          <t>60000</t>
        </is>
      </c>
      <c r="P237" s="5" t="inlineStr">
        <is>
          <t>5</t>
        </is>
      </c>
      <c r="Q237" s="5" t="inlineStr">
        <is>
          <t>4</t>
        </is>
      </c>
      <c r="R237" s="5" t="inlineStr">
        <is>
          <t>8</t>
        </is>
      </c>
      <c r="S237" s="5" t="inlineStr">
        <is>
          <t>6</t>
        </is>
      </c>
      <c r="T237" s="5" t="inlineStr">
        <is>
          <t>11</t>
        </is>
      </c>
      <c r="U237" s="5">
        <f>IFS(C237&lt;30,"Under 30",C237&lt;40,"30-39",C237&lt;50,"40-49",TRUE,"50+")</f>
        <v/>
      </c>
      <c r="V237" s="5">
        <f>IFS(O237&lt;60000,"Low (&lt;60k)",O237&lt;100000,"Mid (60-100k)",TRUE,"High (100k+)")</f>
        <v/>
      </c>
      <c r="W237" s="5">
        <f>IF(M237="No","Attrited","Active")</f>
        <v/>
      </c>
    </row>
    <row r="238">
      <c r="A238" s="5" t="inlineStr">
        <is>
          <t>E00237</t>
        </is>
      </c>
      <c r="B238" s="5" t="inlineStr">
        <is>
          <t>Male</t>
        </is>
      </c>
      <c r="C238" s="6" t="inlineStr">
        <is>
          <t>33</t>
        </is>
      </c>
      <c r="D238" s="5" t="inlineStr">
        <is>
          <t>Single</t>
        </is>
      </c>
      <c r="E238" s="5" t="inlineStr">
        <is>
          <t>High School</t>
        </is>
      </c>
      <c r="F238" s="5" t="inlineStr">
        <is>
          <t>IT</t>
        </is>
      </c>
      <c r="G238" s="5" t="inlineStr">
        <is>
          <t>DevOps Engineer</t>
        </is>
      </c>
      <c r="H238" s="5" t="inlineStr">
        <is>
          <t>2</t>
        </is>
      </c>
      <c r="I238" s="5" t="inlineStr">
        <is>
          <t>Mumbai</t>
        </is>
      </c>
      <c r="J238" s="5" t="inlineStr">
        <is>
          <t>Full-Time</t>
        </is>
      </c>
      <c r="K238" s="7" t="n">
        <v>43935</v>
      </c>
      <c r="L238" s="7" t="n">
        <v>44004</v>
      </c>
      <c r="M238" s="5" t="inlineStr">
        <is>
          <t>No</t>
        </is>
      </c>
      <c r="N238" s="5" t="inlineStr">
        <is>
          <t>Performance / Termination</t>
        </is>
      </c>
      <c r="O238" s="8" t="inlineStr">
        <is>
          <t>166500</t>
        </is>
      </c>
      <c r="P238" s="5" t="inlineStr">
        <is>
          <t>0</t>
        </is>
      </c>
      <c r="Q238" s="5" t="inlineStr">
        <is>
          <t>4</t>
        </is>
      </c>
      <c r="R238" s="5" t="inlineStr">
        <is>
          <t>6</t>
        </is>
      </c>
      <c r="S238" s="5" t="inlineStr">
        <is>
          <t>2</t>
        </is>
      </c>
      <c r="T238" s="5" t="inlineStr">
        <is>
          <t>0</t>
        </is>
      </c>
      <c r="U238" s="5">
        <f>IFS(C238&lt;30,"Under 30",C238&lt;40,"30-39",C238&lt;50,"40-49",TRUE,"50+")</f>
        <v/>
      </c>
      <c r="V238" s="5">
        <f>IFS(O238&lt;60000,"Low (&lt;60k)",O238&lt;100000,"Mid (60-100k)",TRUE,"High (100k+)")</f>
        <v/>
      </c>
      <c r="W238" s="5">
        <f>IF(M238="No","Attrited","Active")</f>
        <v/>
      </c>
    </row>
    <row r="239">
      <c r="A239" s="5" t="inlineStr">
        <is>
          <t>E00238</t>
        </is>
      </c>
      <c r="B239" s="5" t="inlineStr">
        <is>
          <t>Female</t>
        </is>
      </c>
      <c r="C239" s="6" t="inlineStr">
        <is>
          <t>33</t>
        </is>
      </c>
      <c r="D239" s="5" t="inlineStr">
        <is>
          <t>Single</t>
        </is>
      </c>
      <c r="E239" s="5" t="inlineStr">
        <is>
          <t>Bachelor</t>
        </is>
      </c>
      <c r="F239" s="5" t="inlineStr">
        <is>
          <t>Sales</t>
        </is>
      </c>
      <c r="G239" s="5" t="inlineStr">
        <is>
          <t>Account Executive</t>
        </is>
      </c>
      <c r="H239" s="5" t="inlineStr">
        <is>
          <t>3</t>
        </is>
      </c>
      <c r="I239" s="5" t="inlineStr">
        <is>
          <t>Delhi</t>
        </is>
      </c>
      <c r="J239" s="5" t="inlineStr">
        <is>
          <t>Full-Time</t>
        </is>
      </c>
      <c r="K239" s="7" t="n">
        <v>45676</v>
      </c>
      <c r="L239" s="7" t="inlineStr"/>
      <c r="M239" s="5" t="inlineStr">
        <is>
          <t>Yes</t>
        </is>
      </c>
      <c r="N239" s="5" t="inlineStr"/>
      <c r="O239" s="8" t="inlineStr">
        <is>
          <t>118000</t>
        </is>
      </c>
      <c r="P239" s="5" t="inlineStr">
        <is>
          <t>20</t>
        </is>
      </c>
      <c r="Q239" s="5" t="inlineStr">
        <is>
          <t>3</t>
        </is>
      </c>
      <c r="R239" s="5" t="inlineStr">
        <is>
          <t>7</t>
        </is>
      </c>
      <c r="S239" s="5" t="inlineStr">
        <is>
          <t>11</t>
        </is>
      </c>
      <c r="T239" s="5" t="inlineStr">
        <is>
          <t>6</t>
        </is>
      </c>
      <c r="U239" s="5">
        <f>IFS(C239&lt;30,"Under 30",C239&lt;40,"30-39",C239&lt;50,"40-49",TRUE,"50+")</f>
        <v/>
      </c>
      <c r="V239" s="5">
        <f>IFS(O239&lt;60000,"Low (&lt;60k)",O239&lt;100000,"Mid (60-100k)",TRUE,"High (100k+)")</f>
        <v/>
      </c>
      <c r="W239" s="5">
        <f>IF(M239="No","Attrited","Active")</f>
        <v/>
      </c>
    </row>
    <row r="240">
      <c r="A240" s="5" t="inlineStr">
        <is>
          <t>E00239</t>
        </is>
      </c>
      <c r="B240" s="5" t="inlineStr">
        <is>
          <t>Female</t>
        </is>
      </c>
      <c r="C240" s="6" t="inlineStr">
        <is>
          <t>34</t>
        </is>
      </c>
      <c r="D240" s="5" t="inlineStr">
        <is>
          <t>Married</t>
        </is>
      </c>
      <c r="E240" s="5" t="inlineStr">
        <is>
          <t>Bachelor</t>
        </is>
      </c>
      <c r="F240" s="5" t="inlineStr">
        <is>
          <t>Sales</t>
        </is>
      </c>
      <c r="G240" s="5" t="inlineStr">
        <is>
          <t>Business Development</t>
        </is>
      </c>
      <c r="H240" s="5" t="inlineStr">
        <is>
          <t>1</t>
        </is>
      </c>
      <c r="I240" s="5" t="inlineStr">
        <is>
          <t>Bengaluru</t>
        </is>
      </c>
      <c r="J240" s="5" t="inlineStr">
        <is>
          <t>Full-Time</t>
        </is>
      </c>
      <c r="K240" s="7" t="n">
        <v>44524</v>
      </c>
      <c r="L240" s="7" t="n">
        <v>44652</v>
      </c>
      <c r="M240" s="5" t="inlineStr">
        <is>
          <t>No</t>
        </is>
      </c>
      <c r="N240" s="5" t="inlineStr">
        <is>
          <t>Resigned</t>
        </is>
      </c>
      <c r="O240" s="8" t="inlineStr">
        <is>
          <t>77500</t>
        </is>
      </c>
      <c r="P240" s="5" t="inlineStr">
        <is>
          <t>0</t>
        </is>
      </c>
      <c r="Q240" s="5" t="inlineStr">
        <is>
          <t>4</t>
        </is>
      </c>
      <c r="R240" s="5" t="inlineStr">
        <is>
          <t>7</t>
        </is>
      </c>
      <c r="S240" s="5" t="inlineStr">
        <is>
          <t>4</t>
        </is>
      </c>
      <c r="T240" s="5" t="inlineStr">
        <is>
          <t>6</t>
        </is>
      </c>
      <c r="U240" s="5">
        <f>IFS(C240&lt;30,"Under 30",C240&lt;40,"30-39",C240&lt;50,"40-49",TRUE,"50+")</f>
        <v/>
      </c>
      <c r="V240" s="5">
        <f>IFS(O240&lt;60000,"Low (&lt;60k)",O240&lt;100000,"Mid (60-100k)",TRUE,"High (100k+)")</f>
        <v/>
      </c>
      <c r="W240" s="5">
        <f>IF(M240="No","Attrited","Active")</f>
        <v/>
      </c>
    </row>
    <row r="241">
      <c r="A241" s="5" t="inlineStr">
        <is>
          <t>E00240</t>
        </is>
      </c>
      <c r="B241" s="5" t="inlineStr">
        <is>
          <t>Male</t>
        </is>
      </c>
      <c r="C241" s="6" t="inlineStr">
        <is>
          <t>36</t>
        </is>
      </c>
      <c r="D241" s="5" t="inlineStr">
        <is>
          <t>Single</t>
        </is>
      </c>
      <c r="E241" s="5" t="inlineStr">
        <is>
          <t>Bachelor</t>
        </is>
      </c>
      <c r="F241" s="5" t="inlineStr">
        <is>
          <t>Marketing</t>
        </is>
      </c>
      <c r="G241" s="5" t="inlineStr">
        <is>
          <t>SEO Specialist</t>
        </is>
      </c>
      <c r="H241" s="5" t="inlineStr">
        <is>
          <t>2</t>
        </is>
      </c>
      <c r="I241" s="5" t="inlineStr">
        <is>
          <t>Bengaluru</t>
        </is>
      </c>
      <c r="J241" s="5" t="inlineStr">
        <is>
          <t>Full-Time</t>
        </is>
      </c>
      <c r="K241" s="7" t="n">
        <v>44892</v>
      </c>
      <c r="L241" s="7" t="inlineStr"/>
      <c r="M241" s="5" t="inlineStr">
        <is>
          <t>Yes</t>
        </is>
      </c>
      <c r="N241" s="5" t="inlineStr"/>
      <c r="O241" s="8" t="inlineStr">
        <is>
          <t>64500</t>
        </is>
      </c>
      <c r="P241" s="5" t="inlineStr">
        <is>
          <t>0</t>
        </is>
      </c>
      <c r="Q241" s="5" t="inlineStr">
        <is>
          <t>4</t>
        </is>
      </c>
      <c r="R241" s="5" t="inlineStr">
        <is>
          <t>3</t>
        </is>
      </c>
      <c r="S241" s="5" t="inlineStr">
        <is>
          <t>37</t>
        </is>
      </c>
      <c r="T241" s="5" t="inlineStr">
        <is>
          <t>0</t>
        </is>
      </c>
      <c r="U241" s="5">
        <f>IFS(C241&lt;30,"Under 30",C241&lt;40,"30-39",C241&lt;50,"40-49",TRUE,"50+")</f>
        <v/>
      </c>
      <c r="V241" s="5">
        <f>IFS(O241&lt;60000,"Low (&lt;60k)",O241&lt;100000,"Mid (60-100k)",TRUE,"High (100k+)")</f>
        <v/>
      </c>
      <c r="W241" s="5">
        <f>IF(M241="No","Attrited","Active")</f>
        <v/>
      </c>
    </row>
    <row r="242">
      <c r="A242" s="5" t="inlineStr">
        <is>
          <t>E00241</t>
        </is>
      </c>
      <c r="B242" s="5" t="inlineStr">
        <is>
          <t>Female</t>
        </is>
      </c>
      <c r="C242" s="6" t="inlineStr">
        <is>
          <t>28</t>
        </is>
      </c>
      <c r="D242" s="5" t="inlineStr">
        <is>
          <t>Married</t>
        </is>
      </c>
      <c r="E242" s="5" t="inlineStr">
        <is>
          <t>High School</t>
        </is>
      </c>
      <c r="F242" s="5" t="inlineStr">
        <is>
          <t>IT</t>
        </is>
      </c>
      <c r="G242" s="5" t="inlineStr">
        <is>
          <t>Software Engineer</t>
        </is>
      </c>
      <c r="H242" s="5" t="inlineStr">
        <is>
          <t>2</t>
        </is>
      </c>
      <c r="I242" s="5" t="inlineStr">
        <is>
          <t>Mumbai</t>
        </is>
      </c>
      <c r="J242" s="5" t="inlineStr">
        <is>
          <t>Full-Time</t>
        </is>
      </c>
      <c r="K242" s="7" t="n">
        <v>45551</v>
      </c>
      <c r="L242" s="7" t="n">
        <v>45596</v>
      </c>
      <c r="M242" s="5" t="inlineStr">
        <is>
          <t>No</t>
        </is>
      </c>
      <c r="N242" s="5" t="inlineStr">
        <is>
          <t>Performance / Termination</t>
        </is>
      </c>
      <c r="O242" s="8" t="inlineStr">
        <is>
          <t>167000</t>
        </is>
      </c>
      <c r="P242" s="5" t="inlineStr">
        <is>
          <t>0</t>
        </is>
      </c>
      <c r="Q242" s="5" t="inlineStr">
        <is>
          <t>4</t>
        </is>
      </c>
      <c r="R242" s="5" t="inlineStr">
        <is>
          <t>5</t>
        </is>
      </c>
      <c r="S242" s="5" t="inlineStr">
        <is>
          <t>1</t>
        </is>
      </c>
      <c r="T242" s="5" t="inlineStr">
        <is>
          <t>10</t>
        </is>
      </c>
      <c r="U242" s="5">
        <f>IFS(C242&lt;30,"Under 30",C242&lt;40,"30-39",C242&lt;50,"40-49",TRUE,"50+")</f>
        <v/>
      </c>
      <c r="V242" s="5">
        <f>IFS(O242&lt;60000,"Low (&lt;60k)",O242&lt;100000,"Mid (60-100k)",TRUE,"High (100k+)")</f>
        <v/>
      </c>
      <c r="W242" s="5">
        <f>IF(M242="No","Attrited","Active")</f>
        <v/>
      </c>
    </row>
    <row r="243">
      <c r="A243" s="5" t="inlineStr">
        <is>
          <t>E00242</t>
        </is>
      </c>
      <c r="B243" s="5" t="inlineStr">
        <is>
          <t>Male</t>
        </is>
      </c>
      <c r="C243" s="6" t="inlineStr">
        <is>
          <t>33</t>
        </is>
      </c>
      <c r="D243" s="5" t="inlineStr">
        <is>
          <t>Single</t>
        </is>
      </c>
      <c r="E243" s="5" t="inlineStr">
        <is>
          <t>Diploma</t>
        </is>
      </c>
      <c r="F243" s="5" t="inlineStr">
        <is>
          <t>IT</t>
        </is>
      </c>
      <c r="G243" s="5" t="inlineStr">
        <is>
          <t>Software Engineer</t>
        </is>
      </c>
      <c r="H243" s="5" t="inlineStr">
        <is>
          <t>4</t>
        </is>
      </c>
      <c r="I243" s="5" t="inlineStr">
        <is>
          <t>Chennai</t>
        </is>
      </c>
      <c r="J243" s="5" t="inlineStr">
        <is>
          <t>Full-Time</t>
        </is>
      </c>
      <c r="K243" s="7" t="n">
        <v>44949</v>
      </c>
      <c r="L243" s="7" t="inlineStr"/>
      <c r="M243" s="5" t="inlineStr">
        <is>
          <t>Yes</t>
        </is>
      </c>
      <c r="N243" s="5" t="inlineStr"/>
      <c r="O243" s="8" t="inlineStr">
        <is>
          <t>210000</t>
        </is>
      </c>
      <c r="P243" s="5" t="inlineStr">
        <is>
          <t>5</t>
        </is>
      </c>
      <c r="Q243" s="5" t="inlineStr">
        <is>
          <t>3</t>
        </is>
      </c>
      <c r="R243" s="5" t="inlineStr">
        <is>
          <t>5</t>
        </is>
      </c>
      <c r="S243" s="5" t="inlineStr">
        <is>
          <t>35</t>
        </is>
      </c>
      <c r="T243" s="5" t="inlineStr">
        <is>
          <t>8</t>
        </is>
      </c>
      <c r="U243" s="5">
        <f>IFS(C243&lt;30,"Under 30",C243&lt;40,"30-39",C243&lt;50,"40-49",TRUE,"50+")</f>
        <v/>
      </c>
      <c r="V243" s="5">
        <f>IFS(O243&lt;60000,"Low (&lt;60k)",O243&lt;100000,"Mid (60-100k)",TRUE,"High (100k+)")</f>
        <v/>
      </c>
      <c r="W243" s="5">
        <f>IF(M243="No","Attrited","Active")</f>
        <v/>
      </c>
    </row>
    <row r="244">
      <c r="A244" s="5" t="inlineStr">
        <is>
          <t>E00243</t>
        </is>
      </c>
      <c r="B244" s="5" t="inlineStr">
        <is>
          <t>Female</t>
        </is>
      </c>
      <c r="C244" s="6" t="inlineStr">
        <is>
          <t>37</t>
        </is>
      </c>
      <c r="D244" s="5" t="inlineStr">
        <is>
          <t>Married</t>
        </is>
      </c>
      <c r="E244" s="5" t="inlineStr">
        <is>
          <t>High School</t>
        </is>
      </c>
      <c r="F244" s="5" t="inlineStr">
        <is>
          <t>Operations</t>
        </is>
      </c>
      <c r="G244" s="5" t="inlineStr">
        <is>
          <t>Logistics Coordinator</t>
        </is>
      </c>
      <c r="H244" s="5" t="inlineStr">
        <is>
          <t>4</t>
        </is>
      </c>
      <c r="I244" s="5" t="inlineStr">
        <is>
          <t>Hyderabad</t>
        </is>
      </c>
      <c r="J244" s="5" t="inlineStr">
        <is>
          <t>Full-Time</t>
        </is>
      </c>
      <c r="K244" s="7" t="n">
        <v>44729</v>
      </c>
      <c r="L244" s="7" t="inlineStr"/>
      <c r="M244" s="5" t="inlineStr">
        <is>
          <t>Yes</t>
        </is>
      </c>
      <c r="N244" s="5" t="inlineStr"/>
      <c r="O244" s="8" t="inlineStr">
        <is>
          <t>88000</t>
        </is>
      </c>
      <c r="P244" s="5" t="inlineStr">
        <is>
          <t>15</t>
        </is>
      </c>
      <c r="Q244" s="5" t="inlineStr">
        <is>
          <t>3</t>
        </is>
      </c>
      <c r="R244" s="5" t="inlineStr">
        <is>
          <t>7</t>
        </is>
      </c>
      <c r="S244" s="5" t="inlineStr">
        <is>
          <t>43</t>
        </is>
      </c>
      <c r="T244" s="5" t="inlineStr">
        <is>
          <t>2</t>
        </is>
      </c>
      <c r="U244" s="5">
        <f>IFS(C244&lt;30,"Under 30",C244&lt;40,"30-39",C244&lt;50,"40-49",TRUE,"50+")</f>
        <v/>
      </c>
      <c r="V244" s="5">
        <f>IFS(O244&lt;60000,"Low (&lt;60k)",O244&lt;100000,"Mid (60-100k)",TRUE,"High (100k+)")</f>
        <v/>
      </c>
      <c r="W244" s="5">
        <f>IF(M244="No","Attrited","Active")</f>
        <v/>
      </c>
    </row>
    <row r="245">
      <c r="A245" s="5" t="inlineStr">
        <is>
          <t>E00244</t>
        </is>
      </c>
      <c r="B245" s="5" t="inlineStr">
        <is>
          <t>Female</t>
        </is>
      </c>
      <c r="C245" s="6" t="inlineStr">
        <is>
          <t>34</t>
        </is>
      </c>
      <c r="D245" s="5" t="inlineStr">
        <is>
          <t>Married</t>
        </is>
      </c>
      <c r="E245" s="5" t="inlineStr">
        <is>
          <t>Master</t>
        </is>
      </c>
      <c r="F245" s="5" t="inlineStr">
        <is>
          <t>Finance</t>
        </is>
      </c>
      <c r="G245" s="5" t="inlineStr">
        <is>
          <t>Accountant</t>
        </is>
      </c>
      <c r="H245" s="5" t="inlineStr">
        <is>
          <t>4</t>
        </is>
      </c>
      <c r="I245" s="5" t="inlineStr">
        <is>
          <t>Chennai</t>
        </is>
      </c>
      <c r="J245" s="5" t="inlineStr">
        <is>
          <t>Full-Time</t>
        </is>
      </c>
      <c r="K245" s="7" t="n">
        <v>44695</v>
      </c>
      <c r="L245" s="7" t="inlineStr"/>
      <c r="M245" s="5" t="inlineStr">
        <is>
          <t>Yes</t>
        </is>
      </c>
      <c r="N245" s="5" t="inlineStr"/>
      <c r="O245" s="8" t="inlineStr">
        <is>
          <t>93000</t>
        </is>
      </c>
      <c r="P245" s="5" t="inlineStr">
        <is>
          <t>5</t>
        </is>
      </c>
      <c r="Q245" s="5" t="inlineStr">
        <is>
          <t>3</t>
        </is>
      </c>
      <c r="R245" s="5" t="inlineStr">
        <is>
          <t>3</t>
        </is>
      </c>
      <c r="S245" s="5" t="inlineStr">
        <is>
          <t>44</t>
        </is>
      </c>
      <c r="T245" s="5" t="inlineStr">
        <is>
          <t>1</t>
        </is>
      </c>
      <c r="U245" s="5">
        <f>IFS(C245&lt;30,"Under 30",C245&lt;40,"30-39",C245&lt;50,"40-49",TRUE,"50+")</f>
        <v/>
      </c>
      <c r="V245" s="5">
        <f>IFS(O245&lt;60000,"Low (&lt;60k)",O245&lt;100000,"Mid (60-100k)",TRUE,"High (100k+)")</f>
        <v/>
      </c>
      <c r="W245" s="5">
        <f>IF(M245="No","Attrited","Active")</f>
        <v/>
      </c>
    </row>
    <row r="246">
      <c r="A246" s="5" t="inlineStr">
        <is>
          <t>E00245</t>
        </is>
      </c>
      <c r="B246" s="5" t="inlineStr">
        <is>
          <t>Female</t>
        </is>
      </c>
      <c r="C246" s="6" t="inlineStr">
        <is>
          <t>28</t>
        </is>
      </c>
      <c r="D246" s="5" t="inlineStr">
        <is>
          <t>Married</t>
        </is>
      </c>
      <c r="E246" s="5" t="inlineStr">
        <is>
          <t>Bachelor</t>
        </is>
      </c>
      <c r="F246" s="5" t="inlineStr">
        <is>
          <t>Customer Support</t>
        </is>
      </c>
      <c r="G246" s="5" t="inlineStr">
        <is>
          <t>Support Lead</t>
        </is>
      </c>
      <c r="H246" s="5" t="inlineStr">
        <is>
          <t>2</t>
        </is>
      </c>
      <c r="I246" s="5" t="inlineStr">
        <is>
          <t>Delhi</t>
        </is>
      </c>
      <c r="J246" s="5" t="inlineStr">
        <is>
          <t>Full-Time</t>
        </is>
      </c>
      <c r="K246" s="7" t="n">
        <v>44013</v>
      </c>
      <c r="L246" s="7" t="inlineStr"/>
      <c r="M246" s="5" t="inlineStr">
        <is>
          <t>Yes</t>
        </is>
      </c>
      <c r="N246" s="5" t="inlineStr"/>
      <c r="O246" s="8" t="inlineStr">
        <is>
          <t>66000</t>
        </is>
      </c>
      <c r="P246" s="5" t="inlineStr">
        <is>
          <t>0</t>
        </is>
      </c>
      <c r="Q246" s="5" t="inlineStr">
        <is>
          <t>3</t>
        </is>
      </c>
      <c r="R246" s="5" t="inlineStr">
        <is>
          <t>4</t>
        </is>
      </c>
      <c r="S246" s="5" t="inlineStr">
        <is>
          <t>66</t>
        </is>
      </c>
      <c r="T246" s="5" t="inlineStr">
        <is>
          <t>0</t>
        </is>
      </c>
      <c r="U246" s="5">
        <f>IFS(C246&lt;30,"Under 30",C246&lt;40,"30-39",C246&lt;50,"40-49",TRUE,"50+")</f>
        <v/>
      </c>
      <c r="V246" s="5">
        <f>IFS(O246&lt;60000,"Low (&lt;60k)",O246&lt;100000,"Mid (60-100k)",TRUE,"High (100k+)")</f>
        <v/>
      </c>
      <c r="W246" s="5">
        <f>IF(M246="No","Attrited","Active")</f>
        <v/>
      </c>
    </row>
    <row r="247">
      <c r="A247" s="5" t="inlineStr">
        <is>
          <t>E00246</t>
        </is>
      </c>
      <c r="B247" s="5" t="inlineStr">
        <is>
          <t>Male</t>
        </is>
      </c>
      <c r="C247" s="6" t="inlineStr">
        <is>
          <t>30</t>
        </is>
      </c>
      <c r="D247" s="5" t="inlineStr">
        <is>
          <t>Married</t>
        </is>
      </c>
      <c r="E247" s="5" t="inlineStr">
        <is>
          <t>PhD</t>
        </is>
      </c>
      <c r="F247" s="5" t="inlineStr">
        <is>
          <t>Research &amp; Development</t>
        </is>
      </c>
      <c r="G247" s="5" t="inlineStr">
        <is>
          <t>Research Scientist</t>
        </is>
      </c>
      <c r="H247" s="5" t="inlineStr">
        <is>
          <t>2</t>
        </is>
      </c>
      <c r="I247" s="5" t="inlineStr">
        <is>
          <t>Bengaluru</t>
        </is>
      </c>
      <c r="J247" s="5" t="inlineStr">
        <is>
          <t>Full-Time</t>
        </is>
      </c>
      <c r="K247" s="7" t="n">
        <v>44705</v>
      </c>
      <c r="L247" s="7" t="inlineStr"/>
      <c r="M247" s="5" t="inlineStr">
        <is>
          <t>Yes</t>
        </is>
      </c>
      <c r="N247" s="5" t="inlineStr"/>
      <c r="O247" s="8" t="inlineStr">
        <is>
          <t>148500</t>
        </is>
      </c>
      <c r="P247" s="5" t="inlineStr">
        <is>
          <t>10</t>
        </is>
      </c>
      <c r="Q247" s="5" t="inlineStr">
        <is>
          <t>4</t>
        </is>
      </c>
      <c r="R247" s="5" t="inlineStr">
        <is>
          <t>5</t>
        </is>
      </c>
      <c r="S247" s="5" t="inlineStr">
        <is>
          <t>43</t>
        </is>
      </c>
      <c r="T247" s="5" t="inlineStr">
        <is>
          <t>9</t>
        </is>
      </c>
      <c r="U247" s="5">
        <f>IFS(C247&lt;30,"Under 30",C247&lt;40,"30-39",C247&lt;50,"40-49",TRUE,"50+")</f>
        <v/>
      </c>
      <c r="V247" s="5">
        <f>IFS(O247&lt;60000,"Low (&lt;60k)",O247&lt;100000,"Mid (60-100k)",TRUE,"High (100k+)")</f>
        <v/>
      </c>
      <c r="W247" s="5">
        <f>IF(M247="No","Attrited","Active")</f>
        <v/>
      </c>
    </row>
    <row r="248">
      <c r="A248" s="5" t="inlineStr">
        <is>
          <t>E00247</t>
        </is>
      </c>
      <c r="B248" s="5" t="inlineStr">
        <is>
          <t>Female</t>
        </is>
      </c>
      <c r="C248" s="6" t="inlineStr">
        <is>
          <t>42</t>
        </is>
      </c>
      <c r="D248" s="5" t="inlineStr">
        <is>
          <t>Single</t>
        </is>
      </c>
      <c r="E248" s="5" t="inlineStr">
        <is>
          <t>Diploma</t>
        </is>
      </c>
      <c r="F248" s="5" t="inlineStr">
        <is>
          <t>Customer Support</t>
        </is>
      </c>
      <c r="G248" s="5" t="inlineStr">
        <is>
          <t>Support Lead</t>
        </is>
      </c>
      <c r="H248" s="5" t="inlineStr">
        <is>
          <t>6</t>
        </is>
      </c>
      <c r="I248" s="5" t="inlineStr">
        <is>
          <t>Delhi</t>
        </is>
      </c>
      <c r="J248" s="5" t="inlineStr">
        <is>
          <t>Full-Time</t>
        </is>
      </c>
      <c r="K248" s="7" t="n">
        <v>43987</v>
      </c>
      <c r="L248" s="7" t="inlineStr"/>
      <c r="M248" s="5" t="inlineStr">
        <is>
          <t>Yes</t>
        </is>
      </c>
      <c r="N248" s="5" t="inlineStr"/>
      <c r="O248" s="8" t="inlineStr">
        <is>
          <t>79500</t>
        </is>
      </c>
      <c r="P248" s="5" t="inlineStr">
        <is>
          <t>5</t>
        </is>
      </c>
      <c r="Q248" s="5" t="inlineStr">
        <is>
          <t>5</t>
        </is>
      </c>
      <c r="R248" s="5" t="inlineStr">
        <is>
          <t>3</t>
        </is>
      </c>
      <c r="S248" s="5" t="inlineStr">
        <is>
          <t>67</t>
        </is>
      </c>
      <c r="T248" s="5" t="inlineStr">
        <is>
          <t>15</t>
        </is>
      </c>
      <c r="U248" s="5">
        <f>IFS(C248&lt;30,"Under 30",C248&lt;40,"30-39",C248&lt;50,"40-49",TRUE,"50+")</f>
        <v/>
      </c>
      <c r="V248" s="5">
        <f>IFS(O248&lt;60000,"Low (&lt;60k)",O248&lt;100000,"Mid (60-100k)",TRUE,"High (100k+)")</f>
        <v/>
      </c>
      <c r="W248" s="5">
        <f>IF(M248="No","Attrited","Active")</f>
        <v/>
      </c>
    </row>
    <row r="249">
      <c r="A249" s="5" t="inlineStr">
        <is>
          <t>E00248</t>
        </is>
      </c>
      <c r="B249" s="5" t="inlineStr">
        <is>
          <t>Male</t>
        </is>
      </c>
      <c r="C249" s="6" t="inlineStr">
        <is>
          <t>42</t>
        </is>
      </c>
      <c r="D249" s="5" t="inlineStr">
        <is>
          <t>Married</t>
        </is>
      </c>
      <c r="E249" s="5" t="inlineStr">
        <is>
          <t>Diploma</t>
        </is>
      </c>
      <c r="F249" s="5" t="inlineStr">
        <is>
          <t>Sales</t>
        </is>
      </c>
      <c r="G249" s="5" t="inlineStr">
        <is>
          <t>Account Executive</t>
        </is>
      </c>
      <c r="H249" s="5" t="inlineStr">
        <is>
          <t>6</t>
        </is>
      </c>
      <c r="I249" s="5" t="inlineStr">
        <is>
          <t>Delhi</t>
        </is>
      </c>
      <c r="J249" s="5" t="inlineStr">
        <is>
          <t>Part-Time</t>
        </is>
      </c>
      <c r="K249" s="7" t="n">
        <v>45403</v>
      </c>
      <c r="L249" s="7" t="n">
        <v>45447</v>
      </c>
      <c r="M249" s="5" t="inlineStr">
        <is>
          <t>No</t>
        </is>
      </c>
      <c r="N249" s="5" t="inlineStr">
        <is>
          <t>Layoff</t>
        </is>
      </c>
      <c r="O249" s="8" t="inlineStr">
        <is>
          <t>166000</t>
        </is>
      </c>
      <c r="P249" s="5" t="inlineStr">
        <is>
          <t>0</t>
        </is>
      </c>
      <c r="Q249" s="5" t="inlineStr">
        <is>
          <t>3</t>
        </is>
      </c>
      <c r="R249" s="5" t="inlineStr">
        <is>
          <t>9</t>
        </is>
      </c>
      <c r="S249" s="5" t="inlineStr">
        <is>
          <t>1</t>
        </is>
      </c>
      <c r="T249" s="5" t="inlineStr">
        <is>
          <t>1</t>
        </is>
      </c>
      <c r="U249" s="5">
        <f>IFS(C249&lt;30,"Under 30",C249&lt;40,"30-39",C249&lt;50,"40-49",TRUE,"50+")</f>
        <v/>
      </c>
      <c r="V249" s="5">
        <f>IFS(O249&lt;60000,"Low (&lt;60k)",O249&lt;100000,"Mid (60-100k)",TRUE,"High (100k+)")</f>
        <v/>
      </c>
      <c r="W249" s="5">
        <f>IF(M249="No","Attrited","Active")</f>
        <v/>
      </c>
    </row>
    <row r="250">
      <c r="A250" s="5" t="inlineStr">
        <is>
          <t>E00249</t>
        </is>
      </c>
      <c r="B250" s="5" t="inlineStr">
        <is>
          <t>Male</t>
        </is>
      </c>
      <c r="C250" s="6" t="inlineStr">
        <is>
          <t>34</t>
        </is>
      </c>
      <c r="D250" s="5" t="inlineStr">
        <is>
          <t>Married</t>
        </is>
      </c>
      <c r="E250" s="5" t="inlineStr">
        <is>
          <t>Master</t>
        </is>
      </c>
      <c r="F250" s="5" t="inlineStr">
        <is>
          <t>Finance</t>
        </is>
      </c>
      <c r="G250" s="5" t="inlineStr">
        <is>
          <t>Accountant</t>
        </is>
      </c>
      <c r="H250" s="5" t="inlineStr">
        <is>
          <t>2</t>
        </is>
      </c>
      <c r="I250" s="5" t="inlineStr">
        <is>
          <t>Mumbai</t>
        </is>
      </c>
      <c r="J250" s="5" t="inlineStr">
        <is>
          <t>Full-Time</t>
        </is>
      </c>
      <c r="K250" s="7" t="n">
        <v>44093</v>
      </c>
      <c r="L250" s="7" t="inlineStr"/>
      <c r="M250" s="5" t="inlineStr">
        <is>
          <t>Yes</t>
        </is>
      </c>
      <c r="N250" s="5" t="inlineStr"/>
      <c r="O250" s="8" t="inlineStr">
        <is>
          <t>113000</t>
        </is>
      </c>
      <c r="P250" s="5" t="inlineStr">
        <is>
          <t>0</t>
        </is>
      </c>
      <c r="Q250" s="5" t="inlineStr">
        <is>
          <t>5</t>
        </is>
      </c>
      <c r="R250" s="5" t="inlineStr">
        <is>
          <t>6</t>
        </is>
      </c>
      <c r="S250" s="5" t="inlineStr">
        <is>
          <t>64</t>
        </is>
      </c>
      <c r="T250" s="5" t="inlineStr">
        <is>
          <t>0</t>
        </is>
      </c>
      <c r="U250" s="5">
        <f>IFS(C250&lt;30,"Under 30",C250&lt;40,"30-39",C250&lt;50,"40-49",TRUE,"50+")</f>
        <v/>
      </c>
      <c r="V250" s="5">
        <f>IFS(O250&lt;60000,"Low (&lt;60k)",O250&lt;100000,"Mid (60-100k)",TRUE,"High (100k+)")</f>
        <v/>
      </c>
      <c r="W250" s="5">
        <f>IF(M250="No","Attrited","Active")</f>
        <v/>
      </c>
    </row>
    <row r="251">
      <c r="A251" s="5" t="inlineStr">
        <is>
          <t>E00250</t>
        </is>
      </c>
      <c r="B251" s="5" t="inlineStr">
        <is>
          <t>Male</t>
        </is>
      </c>
      <c r="C251" s="6" t="inlineStr">
        <is>
          <t>29</t>
        </is>
      </c>
      <c r="D251" s="5" t="inlineStr">
        <is>
          <t>Married</t>
        </is>
      </c>
      <c r="E251" s="5" t="inlineStr">
        <is>
          <t>Bachelor</t>
        </is>
      </c>
      <c r="F251" s="5" t="inlineStr">
        <is>
          <t>Executive</t>
        </is>
      </c>
      <c r="G251" s="5" t="inlineStr">
        <is>
          <t>COO</t>
        </is>
      </c>
      <c r="H251" s="5" t="inlineStr">
        <is>
          <t>2</t>
        </is>
      </c>
      <c r="I251" s="5" t="inlineStr">
        <is>
          <t>Delhi</t>
        </is>
      </c>
      <c r="J251" s="5" t="inlineStr">
        <is>
          <t>Full-Time</t>
        </is>
      </c>
      <c r="K251" s="7" t="n">
        <v>44735</v>
      </c>
      <c r="L251" s="7" t="inlineStr"/>
      <c r="M251" s="5" t="inlineStr">
        <is>
          <t>Yes</t>
        </is>
      </c>
      <c r="N251" s="5" t="inlineStr"/>
      <c r="O251" s="8" t="inlineStr">
        <is>
          <t>219000</t>
        </is>
      </c>
      <c r="P251" s="5" t="inlineStr">
        <is>
          <t>5</t>
        </is>
      </c>
      <c r="Q251" s="5" t="inlineStr">
        <is>
          <t>3</t>
        </is>
      </c>
      <c r="R251" s="5" t="inlineStr">
        <is>
          <t>4</t>
        </is>
      </c>
      <c r="S251" s="5" t="inlineStr">
        <is>
          <t>42</t>
        </is>
      </c>
      <c r="T251" s="5" t="inlineStr">
        <is>
          <t>2</t>
        </is>
      </c>
      <c r="U251" s="5">
        <f>IFS(C251&lt;30,"Under 30",C251&lt;40,"30-39",C251&lt;50,"40-49",TRUE,"50+")</f>
        <v/>
      </c>
      <c r="V251" s="5">
        <f>IFS(O251&lt;60000,"Low (&lt;60k)",O251&lt;100000,"Mid (60-100k)",TRUE,"High (100k+)")</f>
        <v/>
      </c>
      <c r="W251" s="5">
        <f>IF(M251="No","Attrited","Active")</f>
        <v/>
      </c>
    </row>
    <row r="252">
      <c r="A252" s="5" t="inlineStr">
        <is>
          <t>E00251</t>
        </is>
      </c>
      <c r="B252" s="5" t="inlineStr">
        <is>
          <t>Male</t>
        </is>
      </c>
      <c r="C252" s="6" t="inlineStr">
        <is>
          <t>23</t>
        </is>
      </c>
      <c r="D252" s="5" t="inlineStr">
        <is>
          <t>Married</t>
        </is>
      </c>
      <c r="E252" s="5" t="inlineStr">
        <is>
          <t>High School</t>
        </is>
      </c>
      <c r="F252" s="5" t="inlineStr">
        <is>
          <t>Customer Support</t>
        </is>
      </c>
      <c r="G252" s="5" t="inlineStr">
        <is>
          <t>Support Lead</t>
        </is>
      </c>
      <c r="H252" s="5" t="inlineStr">
        <is>
          <t>1</t>
        </is>
      </c>
      <c r="I252" s="5" t="inlineStr">
        <is>
          <t>Delhi</t>
        </is>
      </c>
      <c r="J252" s="5" t="inlineStr">
        <is>
          <t>Full-Time</t>
        </is>
      </c>
      <c r="K252" s="7" t="n">
        <v>43864</v>
      </c>
      <c r="L252" s="7" t="n">
        <v>43998</v>
      </c>
      <c r="M252" s="5" t="inlineStr">
        <is>
          <t>No</t>
        </is>
      </c>
      <c r="N252" s="5" t="inlineStr">
        <is>
          <t>Resigned</t>
        </is>
      </c>
      <c r="O252" s="8" t="inlineStr">
        <is>
          <t>44000</t>
        </is>
      </c>
      <c r="P252" s="5" t="inlineStr">
        <is>
          <t>10</t>
        </is>
      </c>
      <c r="Q252" s="5" t="inlineStr">
        <is>
          <t>5</t>
        </is>
      </c>
      <c r="R252" s="5" t="inlineStr">
        <is>
          <t>7</t>
        </is>
      </c>
      <c r="S252" s="5" t="inlineStr">
        <is>
          <t>4</t>
        </is>
      </c>
      <c r="T252" s="5" t="inlineStr">
        <is>
          <t>15</t>
        </is>
      </c>
      <c r="U252" s="5">
        <f>IFS(C252&lt;30,"Under 30",C252&lt;40,"30-39",C252&lt;50,"40-49",TRUE,"50+")</f>
        <v/>
      </c>
      <c r="V252" s="5">
        <f>IFS(O252&lt;60000,"Low (&lt;60k)",O252&lt;100000,"Mid (60-100k)",TRUE,"High (100k+)")</f>
        <v/>
      </c>
      <c r="W252" s="5">
        <f>IF(M252="No","Attrited","Active")</f>
        <v/>
      </c>
    </row>
    <row r="253">
      <c r="A253" s="5" t="inlineStr">
        <is>
          <t>E00252</t>
        </is>
      </c>
      <c r="B253" s="5" t="inlineStr">
        <is>
          <t>Female</t>
        </is>
      </c>
      <c r="C253" s="6" t="inlineStr">
        <is>
          <t>33</t>
        </is>
      </c>
      <c r="D253" s="5" t="inlineStr">
        <is>
          <t>Married</t>
        </is>
      </c>
      <c r="E253" s="5" t="inlineStr">
        <is>
          <t>Master</t>
        </is>
      </c>
      <c r="F253" s="5" t="inlineStr">
        <is>
          <t>Research &amp; Development</t>
        </is>
      </c>
      <c r="G253" s="5" t="inlineStr">
        <is>
          <t>Research Scientist</t>
        </is>
      </c>
      <c r="H253" s="5" t="inlineStr">
        <is>
          <t>3</t>
        </is>
      </c>
      <c r="I253" s="5" t="inlineStr">
        <is>
          <t>Remote</t>
        </is>
      </c>
      <c r="J253" s="5" t="inlineStr">
        <is>
          <t>Full-Time</t>
        </is>
      </c>
      <c r="K253" s="7" t="n">
        <v>45751</v>
      </c>
      <c r="L253" s="7" t="inlineStr"/>
      <c r="M253" s="5" t="inlineStr">
        <is>
          <t>Yes</t>
        </is>
      </c>
      <c r="N253" s="5" t="inlineStr"/>
      <c r="O253" s="8" t="inlineStr">
        <is>
          <t>193000</t>
        </is>
      </c>
      <c r="P253" s="5" t="inlineStr">
        <is>
          <t>5</t>
        </is>
      </c>
      <c r="Q253" s="5" t="inlineStr">
        <is>
          <t>4</t>
        </is>
      </c>
      <c r="R253" s="5" t="inlineStr">
        <is>
          <t>6</t>
        </is>
      </c>
      <c r="S253" s="5" t="inlineStr">
        <is>
          <t>9</t>
        </is>
      </c>
      <c r="T253" s="5" t="inlineStr">
        <is>
          <t>9</t>
        </is>
      </c>
      <c r="U253" s="5">
        <f>IFS(C253&lt;30,"Under 30",C253&lt;40,"30-39",C253&lt;50,"40-49",TRUE,"50+")</f>
        <v/>
      </c>
      <c r="V253" s="5">
        <f>IFS(O253&lt;60000,"Low (&lt;60k)",O253&lt;100000,"Mid (60-100k)",TRUE,"High (100k+)")</f>
        <v/>
      </c>
      <c r="W253" s="5">
        <f>IF(M253="No","Attrited","Active")</f>
        <v/>
      </c>
    </row>
    <row r="254">
      <c r="A254" s="5" t="inlineStr">
        <is>
          <t>E00253</t>
        </is>
      </c>
      <c r="B254" s="5" t="inlineStr">
        <is>
          <t>Female</t>
        </is>
      </c>
      <c r="C254" s="6" t="inlineStr">
        <is>
          <t>33</t>
        </is>
      </c>
      <c r="D254" s="5" t="inlineStr">
        <is>
          <t>Single</t>
        </is>
      </c>
      <c r="E254" s="5" t="inlineStr">
        <is>
          <t>Master</t>
        </is>
      </c>
      <c r="F254" s="5" t="inlineStr">
        <is>
          <t>Customer Support</t>
        </is>
      </c>
      <c r="G254" s="5" t="inlineStr">
        <is>
          <t>Support Agent</t>
        </is>
      </c>
      <c r="H254" s="5" t="inlineStr">
        <is>
          <t>3</t>
        </is>
      </c>
      <c r="I254" s="5" t="inlineStr">
        <is>
          <t>Bengaluru</t>
        </is>
      </c>
      <c r="J254" s="5" t="inlineStr">
        <is>
          <t>Full-Time</t>
        </is>
      </c>
      <c r="K254" s="7" t="n">
        <v>45104</v>
      </c>
      <c r="L254" s="7" t="inlineStr"/>
      <c r="M254" s="5" t="inlineStr">
        <is>
          <t>Yes</t>
        </is>
      </c>
      <c r="N254" s="5" t="inlineStr"/>
      <c r="O254" s="8" t="inlineStr">
        <is>
          <t>54000</t>
        </is>
      </c>
      <c r="P254" s="5" t="inlineStr">
        <is>
          <t>15</t>
        </is>
      </c>
      <c r="Q254" s="5" t="inlineStr">
        <is>
          <t>4</t>
        </is>
      </c>
      <c r="R254" s="5" t="inlineStr">
        <is>
          <t>6</t>
        </is>
      </c>
      <c r="S254" s="5" t="inlineStr">
        <is>
          <t>30</t>
        </is>
      </c>
      <c r="T254" s="5" t="inlineStr">
        <is>
          <t>1</t>
        </is>
      </c>
      <c r="U254" s="5">
        <f>IFS(C254&lt;30,"Under 30",C254&lt;40,"30-39",C254&lt;50,"40-49",TRUE,"50+")</f>
        <v/>
      </c>
      <c r="V254" s="5">
        <f>IFS(O254&lt;60000,"Low (&lt;60k)",O254&lt;100000,"Mid (60-100k)",TRUE,"High (100k+)")</f>
        <v/>
      </c>
      <c r="W254" s="5">
        <f>IF(M254="No","Attrited","Active")</f>
        <v/>
      </c>
    </row>
    <row r="255">
      <c r="A255" s="5" t="inlineStr">
        <is>
          <t>E00254</t>
        </is>
      </c>
      <c r="B255" s="5" t="inlineStr">
        <is>
          <t>Female</t>
        </is>
      </c>
      <c r="C255" s="6" t="inlineStr">
        <is>
          <t>29</t>
        </is>
      </c>
      <c r="D255" s="5" t="inlineStr">
        <is>
          <t>Married</t>
        </is>
      </c>
      <c r="E255" s="5" t="inlineStr">
        <is>
          <t>High School</t>
        </is>
      </c>
      <c r="F255" s="5" t="inlineStr">
        <is>
          <t>Operations</t>
        </is>
      </c>
      <c r="G255" s="5" t="inlineStr">
        <is>
          <t>Quality Analyst</t>
        </is>
      </c>
      <c r="H255" s="5" t="inlineStr">
        <is>
          <t>2</t>
        </is>
      </c>
      <c r="I255" s="5" t="inlineStr">
        <is>
          <t>Delhi</t>
        </is>
      </c>
      <c r="J255" s="5" t="inlineStr">
        <is>
          <t>Full-Time</t>
        </is>
      </c>
      <c r="K255" s="7" t="n">
        <v>45143</v>
      </c>
      <c r="L255" s="7" t="inlineStr"/>
      <c r="M255" s="5" t="inlineStr">
        <is>
          <t>Yes</t>
        </is>
      </c>
      <c r="N255" s="5" t="inlineStr"/>
      <c r="O255" s="8" t="inlineStr">
        <is>
          <t>82000</t>
        </is>
      </c>
      <c r="P255" s="5" t="inlineStr">
        <is>
          <t>0</t>
        </is>
      </c>
      <c r="Q255" s="5" t="inlineStr">
        <is>
          <t>4</t>
        </is>
      </c>
      <c r="R255" s="5" t="inlineStr">
        <is>
          <t>7</t>
        </is>
      </c>
      <c r="S255" s="5" t="inlineStr">
        <is>
          <t>29</t>
        </is>
      </c>
      <c r="T255" s="5" t="inlineStr">
        <is>
          <t>1</t>
        </is>
      </c>
      <c r="U255" s="5">
        <f>IFS(C255&lt;30,"Under 30",C255&lt;40,"30-39",C255&lt;50,"40-49",TRUE,"50+")</f>
        <v/>
      </c>
      <c r="V255" s="5">
        <f>IFS(O255&lt;60000,"Low (&lt;60k)",O255&lt;100000,"Mid (60-100k)",TRUE,"High (100k+)")</f>
        <v/>
      </c>
      <c r="W255" s="5">
        <f>IF(M255="No","Attrited","Active")</f>
        <v/>
      </c>
    </row>
    <row r="256">
      <c r="A256" s="5" t="inlineStr">
        <is>
          <t>E00255</t>
        </is>
      </c>
      <c r="B256" s="5" t="inlineStr">
        <is>
          <t>Female</t>
        </is>
      </c>
      <c r="C256" s="6" t="inlineStr">
        <is>
          <t>34</t>
        </is>
      </c>
      <c r="D256" s="5" t="inlineStr">
        <is>
          <t>Married</t>
        </is>
      </c>
      <c r="E256" s="5" t="inlineStr">
        <is>
          <t>Bachelor</t>
        </is>
      </c>
      <c r="F256" s="5" t="inlineStr">
        <is>
          <t>Sales</t>
        </is>
      </c>
      <c r="G256" s="5" t="inlineStr">
        <is>
          <t>Business Development</t>
        </is>
      </c>
      <c r="H256" s="5" t="inlineStr">
        <is>
          <t>4</t>
        </is>
      </c>
      <c r="I256" s="5" t="inlineStr">
        <is>
          <t>Bengaluru</t>
        </is>
      </c>
      <c r="J256" s="5" t="inlineStr">
        <is>
          <t>Full-Time</t>
        </is>
      </c>
      <c r="K256" s="7" t="n">
        <v>44526</v>
      </c>
      <c r="L256" s="7" t="inlineStr"/>
      <c r="M256" s="5" t="inlineStr">
        <is>
          <t>Yes</t>
        </is>
      </c>
      <c r="N256" s="5" t="inlineStr"/>
      <c r="O256" s="8" t="inlineStr">
        <is>
          <t>114500</t>
        </is>
      </c>
      <c r="P256" s="5" t="inlineStr">
        <is>
          <t>10</t>
        </is>
      </c>
      <c r="Q256" s="5" t="inlineStr">
        <is>
          <t>4</t>
        </is>
      </c>
      <c r="R256" s="5" t="inlineStr">
        <is>
          <t>6</t>
        </is>
      </c>
      <c r="S256" s="5" t="inlineStr">
        <is>
          <t>49</t>
        </is>
      </c>
      <c r="T256" s="5" t="inlineStr">
        <is>
          <t>0</t>
        </is>
      </c>
      <c r="U256" s="5">
        <f>IFS(C256&lt;30,"Under 30",C256&lt;40,"30-39",C256&lt;50,"40-49",TRUE,"50+")</f>
        <v/>
      </c>
      <c r="V256" s="5">
        <f>IFS(O256&lt;60000,"Low (&lt;60k)",O256&lt;100000,"Mid (60-100k)",TRUE,"High (100k+)")</f>
        <v/>
      </c>
      <c r="W256" s="5">
        <f>IF(M256="No","Attrited","Active")</f>
        <v/>
      </c>
    </row>
    <row r="257">
      <c r="A257" s="5" t="inlineStr">
        <is>
          <t>E00256</t>
        </is>
      </c>
      <c r="B257" s="5" t="inlineStr">
        <is>
          <t>Female</t>
        </is>
      </c>
      <c r="C257" s="6" t="inlineStr">
        <is>
          <t>38</t>
        </is>
      </c>
      <c r="D257" s="5" t="inlineStr">
        <is>
          <t>Single</t>
        </is>
      </c>
      <c r="E257" s="5" t="inlineStr">
        <is>
          <t>Bachelor</t>
        </is>
      </c>
      <c r="F257" s="5" t="inlineStr">
        <is>
          <t>IT</t>
        </is>
      </c>
      <c r="G257" s="5" t="inlineStr">
        <is>
          <t>Data Analyst</t>
        </is>
      </c>
      <c r="H257" s="5" t="inlineStr">
        <is>
          <t>3</t>
        </is>
      </c>
      <c r="I257" s="5" t="inlineStr">
        <is>
          <t>Hyderabad</t>
        </is>
      </c>
      <c r="J257" s="5" t="inlineStr">
        <is>
          <t>Full-Time</t>
        </is>
      </c>
      <c r="K257" s="7" t="n">
        <v>44633</v>
      </c>
      <c r="L257" s="7" t="inlineStr"/>
      <c r="M257" s="5" t="inlineStr">
        <is>
          <t>Yes</t>
        </is>
      </c>
      <c r="N257" s="5" t="inlineStr"/>
      <c r="O257" s="8" t="inlineStr">
        <is>
          <t>182000</t>
        </is>
      </c>
      <c r="P257" s="5" t="inlineStr">
        <is>
          <t>15</t>
        </is>
      </c>
      <c r="Q257" s="5" t="inlineStr">
        <is>
          <t>3</t>
        </is>
      </c>
      <c r="R257" s="5" t="inlineStr">
        <is>
          <t>7</t>
        </is>
      </c>
      <c r="S257" s="5" t="inlineStr">
        <is>
          <t>46</t>
        </is>
      </c>
      <c r="T257" s="5" t="inlineStr">
        <is>
          <t>6</t>
        </is>
      </c>
      <c r="U257" s="5">
        <f>IFS(C257&lt;30,"Under 30",C257&lt;40,"30-39",C257&lt;50,"40-49",TRUE,"50+")</f>
        <v/>
      </c>
      <c r="V257" s="5">
        <f>IFS(O257&lt;60000,"Low (&lt;60k)",O257&lt;100000,"Mid (60-100k)",TRUE,"High (100k+)")</f>
        <v/>
      </c>
      <c r="W257" s="5">
        <f>IF(M257="No","Attrited","Active")</f>
        <v/>
      </c>
    </row>
    <row r="258">
      <c r="A258" s="5" t="inlineStr">
        <is>
          <t>E00257</t>
        </is>
      </c>
      <c r="B258" s="5" t="inlineStr">
        <is>
          <t>Male</t>
        </is>
      </c>
      <c r="C258" s="6" t="inlineStr">
        <is>
          <t>24</t>
        </is>
      </c>
      <c r="D258" s="5" t="inlineStr">
        <is>
          <t>Married</t>
        </is>
      </c>
      <c r="E258" s="5" t="inlineStr">
        <is>
          <t>Bachelor</t>
        </is>
      </c>
      <c r="F258" s="5" t="inlineStr">
        <is>
          <t>Finance</t>
        </is>
      </c>
      <c r="G258" s="5" t="inlineStr">
        <is>
          <t>Accountant</t>
        </is>
      </c>
      <c r="H258" s="5" t="inlineStr">
        <is>
          <t>1</t>
        </is>
      </c>
      <c r="I258" s="5" t="inlineStr">
        <is>
          <t>Hyderabad</t>
        </is>
      </c>
      <c r="J258" s="5" t="inlineStr">
        <is>
          <t>Full-Time</t>
        </is>
      </c>
      <c r="K258" s="7" t="n">
        <v>44486</v>
      </c>
      <c r="L258" s="7" t="n">
        <v>44579</v>
      </c>
      <c r="M258" s="5" t="inlineStr">
        <is>
          <t>No</t>
        </is>
      </c>
      <c r="N258" s="5" t="inlineStr">
        <is>
          <t>Retirement</t>
        </is>
      </c>
      <c r="O258" s="8" t="inlineStr">
        <is>
          <t>64000</t>
        </is>
      </c>
      <c r="P258" s="5" t="inlineStr">
        <is>
          <t>0</t>
        </is>
      </c>
      <c r="Q258" s="5" t="inlineStr">
        <is>
          <t>4</t>
        </is>
      </c>
      <c r="R258" s="5" t="inlineStr">
        <is>
          <t>7</t>
        </is>
      </c>
      <c r="S258" s="5" t="inlineStr">
        <is>
          <t>3</t>
        </is>
      </c>
      <c r="T258" s="5" t="inlineStr">
        <is>
          <t>21</t>
        </is>
      </c>
      <c r="U258" s="5">
        <f>IFS(C258&lt;30,"Under 30",C258&lt;40,"30-39",C258&lt;50,"40-49",TRUE,"50+")</f>
        <v/>
      </c>
      <c r="V258" s="5">
        <f>IFS(O258&lt;60000,"Low (&lt;60k)",O258&lt;100000,"Mid (60-100k)",TRUE,"High (100k+)")</f>
        <v/>
      </c>
      <c r="W258" s="5">
        <f>IF(M258="No","Attrited","Active")</f>
        <v/>
      </c>
    </row>
    <row r="259">
      <c r="A259" s="5" t="inlineStr">
        <is>
          <t>E00258</t>
        </is>
      </c>
      <c r="B259" s="5" t="inlineStr">
        <is>
          <t>Female</t>
        </is>
      </c>
      <c r="C259" s="6" t="inlineStr">
        <is>
          <t>33</t>
        </is>
      </c>
      <c r="D259" s="5" t="inlineStr">
        <is>
          <t>Married</t>
        </is>
      </c>
      <c r="E259" s="5" t="inlineStr">
        <is>
          <t>Diploma</t>
        </is>
      </c>
      <c r="F259" s="5" t="inlineStr">
        <is>
          <t>Sales</t>
        </is>
      </c>
      <c r="G259" s="5" t="inlineStr">
        <is>
          <t>Business Development</t>
        </is>
      </c>
      <c r="H259" s="5" t="inlineStr">
        <is>
          <t>3</t>
        </is>
      </c>
      <c r="I259" s="5" t="inlineStr">
        <is>
          <t>Bengaluru</t>
        </is>
      </c>
      <c r="J259" s="5" t="inlineStr">
        <is>
          <t>Contract</t>
        </is>
      </c>
      <c r="K259" s="7" t="n">
        <v>44129</v>
      </c>
      <c r="L259" s="7" t="inlineStr"/>
      <c r="M259" s="5" t="inlineStr">
        <is>
          <t>Yes</t>
        </is>
      </c>
      <c r="N259" s="5" t="inlineStr"/>
      <c r="O259" s="8" t="inlineStr">
        <is>
          <t>130000</t>
        </is>
      </c>
      <c r="P259" s="5" t="inlineStr">
        <is>
          <t>0</t>
        </is>
      </c>
      <c r="Q259" s="5" t="inlineStr">
        <is>
          <t>4</t>
        </is>
      </c>
      <c r="R259" s="5" t="inlineStr">
        <is>
          <t>7</t>
        </is>
      </c>
      <c r="S259" s="5" t="inlineStr">
        <is>
          <t>63</t>
        </is>
      </c>
      <c r="T259" s="5" t="inlineStr">
        <is>
          <t>8</t>
        </is>
      </c>
      <c r="U259" s="5">
        <f>IFS(C259&lt;30,"Under 30",C259&lt;40,"30-39",C259&lt;50,"40-49",TRUE,"50+")</f>
        <v/>
      </c>
      <c r="V259" s="5">
        <f>IFS(O259&lt;60000,"Low (&lt;60k)",O259&lt;100000,"Mid (60-100k)",TRUE,"High (100k+)")</f>
        <v/>
      </c>
      <c r="W259" s="5">
        <f>IF(M259="No","Attrited","Active")</f>
        <v/>
      </c>
    </row>
    <row r="260">
      <c r="A260" s="5" t="inlineStr">
        <is>
          <t>E00259</t>
        </is>
      </c>
      <c r="B260" s="5" t="inlineStr">
        <is>
          <t>Female</t>
        </is>
      </c>
      <c r="C260" s="6" t="inlineStr">
        <is>
          <t>33</t>
        </is>
      </c>
      <c r="D260" s="5" t="inlineStr">
        <is>
          <t>Married</t>
        </is>
      </c>
      <c r="E260" s="5" t="inlineStr">
        <is>
          <t>Diploma</t>
        </is>
      </c>
      <c r="F260" s="5" t="inlineStr">
        <is>
          <t>Marketing</t>
        </is>
      </c>
      <c r="G260" s="5" t="inlineStr">
        <is>
          <t>Content Writer</t>
        </is>
      </c>
      <c r="H260" s="5" t="inlineStr">
        <is>
          <t>2</t>
        </is>
      </c>
      <c r="I260" s="5" t="inlineStr">
        <is>
          <t>Remote</t>
        </is>
      </c>
      <c r="J260" s="5" t="inlineStr">
        <is>
          <t>Full-Time</t>
        </is>
      </c>
      <c r="K260" s="7" t="n">
        <v>45097</v>
      </c>
      <c r="L260" s="7" t="inlineStr"/>
      <c r="M260" s="5" t="inlineStr">
        <is>
          <t>Yes</t>
        </is>
      </c>
      <c r="N260" s="5" t="inlineStr"/>
      <c r="O260" s="8" t="inlineStr">
        <is>
          <t>72000</t>
        </is>
      </c>
      <c r="P260" s="5" t="inlineStr">
        <is>
          <t>0</t>
        </is>
      </c>
      <c r="Q260" s="5" t="inlineStr">
        <is>
          <t>4</t>
        </is>
      </c>
      <c r="R260" s="5" t="inlineStr">
        <is>
          <t>3</t>
        </is>
      </c>
      <c r="S260" s="5" t="inlineStr">
        <is>
          <t>30</t>
        </is>
      </c>
      <c r="T260" s="5" t="inlineStr">
        <is>
          <t>12</t>
        </is>
      </c>
      <c r="U260" s="5">
        <f>IFS(C260&lt;30,"Under 30",C260&lt;40,"30-39",C260&lt;50,"40-49",TRUE,"50+")</f>
        <v/>
      </c>
      <c r="V260" s="5">
        <f>IFS(O260&lt;60000,"Low (&lt;60k)",O260&lt;100000,"Mid (60-100k)",TRUE,"High (100k+)")</f>
        <v/>
      </c>
      <c r="W260" s="5">
        <f>IF(M260="No","Attrited","Active")</f>
        <v/>
      </c>
    </row>
    <row r="261">
      <c r="A261" s="5" t="inlineStr">
        <is>
          <t>E00260</t>
        </is>
      </c>
      <c r="B261" s="5" t="inlineStr">
        <is>
          <t>Female</t>
        </is>
      </c>
      <c r="C261" s="6" t="inlineStr">
        <is>
          <t>27</t>
        </is>
      </c>
      <c r="D261" s="5" t="inlineStr">
        <is>
          <t>Divorced</t>
        </is>
      </c>
      <c r="E261" s="5" t="inlineStr">
        <is>
          <t>PhD</t>
        </is>
      </c>
      <c r="F261" s="5" t="inlineStr">
        <is>
          <t>Sales</t>
        </is>
      </c>
      <c r="G261" s="5" t="inlineStr">
        <is>
          <t>Account Executive</t>
        </is>
      </c>
      <c r="H261" s="5" t="inlineStr">
        <is>
          <t>2</t>
        </is>
      </c>
      <c r="I261" s="5" t="inlineStr">
        <is>
          <t>Chennai</t>
        </is>
      </c>
      <c r="J261" s="5" t="inlineStr">
        <is>
          <t>Full-Time</t>
        </is>
      </c>
      <c r="K261" s="7" t="n">
        <v>45862</v>
      </c>
      <c r="L261" s="7" t="n">
        <v>45986</v>
      </c>
      <c r="M261" s="5" t="inlineStr">
        <is>
          <t>No</t>
        </is>
      </c>
      <c r="N261" s="5" t="inlineStr">
        <is>
          <t>Layoff</t>
        </is>
      </c>
      <c r="O261" s="8" t="inlineStr">
        <is>
          <t>101000</t>
        </is>
      </c>
      <c r="P261" s="5" t="inlineStr">
        <is>
          <t>5</t>
        </is>
      </c>
      <c r="Q261" s="5" t="inlineStr">
        <is>
          <t>3</t>
        </is>
      </c>
      <c r="R261" s="5" t="inlineStr">
        <is>
          <t>7</t>
        </is>
      </c>
      <c r="S261" s="5" t="inlineStr">
        <is>
          <t>4</t>
        </is>
      </c>
      <c r="T261" s="5" t="inlineStr">
        <is>
          <t>8</t>
        </is>
      </c>
      <c r="U261" s="5">
        <f>IFS(C261&lt;30,"Under 30",C261&lt;40,"30-39",C261&lt;50,"40-49",TRUE,"50+")</f>
        <v/>
      </c>
      <c r="V261" s="5">
        <f>IFS(O261&lt;60000,"Low (&lt;60k)",O261&lt;100000,"Mid (60-100k)",TRUE,"High (100k+)")</f>
        <v/>
      </c>
      <c r="W261" s="5">
        <f>IF(M261="No","Attrited","Active")</f>
        <v/>
      </c>
    </row>
    <row r="262">
      <c r="A262" s="5" t="inlineStr">
        <is>
          <t>E00261</t>
        </is>
      </c>
      <c r="B262" s="5" t="inlineStr">
        <is>
          <t>Male</t>
        </is>
      </c>
      <c r="C262" s="6" t="inlineStr">
        <is>
          <t>31</t>
        </is>
      </c>
      <c r="D262" s="5" t="inlineStr">
        <is>
          <t>Married</t>
        </is>
      </c>
      <c r="E262" s="5" t="inlineStr">
        <is>
          <t>Bachelor</t>
        </is>
      </c>
      <c r="F262" s="5" t="inlineStr">
        <is>
          <t>Marketing</t>
        </is>
      </c>
      <c r="G262" s="5" t="inlineStr">
        <is>
          <t>Content Writer</t>
        </is>
      </c>
      <c r="H262" s="5" t="inlineStr">
        <is>
          <t>1</t>
        </is>
      </c>
      <c r="I262" s="5" t="inlineStr">
        <is>
          <t>Bengaluru</t>
        </is>
      </c>
      <c r="J262" s="5" t="inlineStr">
        <is>
          <t>Full-Time</t>
        </is>
      </c>
      <c r="K262" s="7" t="n">
        <v>45989</v>
      </c>
      <c r="L262" s="7" t="inlineStr"/>
      <c r="M262" s="5" t="inlineStr">
        <is>
          <t>Yes</t>
        </is>
      </c>
      <c r="N262" s="5" t="inlineStr"/>
      <c r="O262" s="8" t="inlineStr">
        <is>
          <t>73000</t>
        </is>
      </c>
      <c r="P262" s="5" t="inlineStr">
        <is>
          <t>0</t>
        </is>
      </c>
      <c r="Q262" s="5" t="inlineStr">
        <is>
          <t>4</t>
        </is>
      </c>
      <c r="R262" s="5" t="inlineStr">
        <is>
          <t>5</t>
        </is>
      </c>
      <c r="S262" s="5" t="inlineStr">
        <is>
          <t>1</t>
        </is>
      </c>
      <c r="T262" s="5" t="inlineStr">
        <is>
          <t>4</t>
        </is>
      </c>
      <c r="U262" s="5">
        <f>IFS(C262&lt;30,"Under 30",C262&lt;40,"30-39",C262&lt;50,"40-49",TRUE,"50+")</f>
        <v/>
      </c>
      <c r="V262" s="5">
        <f>IFS(O262&lt;60000,"Low (&lt;60k)",O262&lt;100000,"Mid (60-100k)",TRUE,"High (100k+)")</f>
        <v/>
      </c>
      <c r="W262" s="5">
        <f>IF(M262="No","Attrited","Active")</f>
        <v/>
      </c>
    </row>
    <row r="263">
      <c r="A263" s="5" t="inlineStr">
        <is>
          <t>E00262</t>
        </is>
      </c>
      <c r="B263" s="5" t="inlineStr">
        <is>
          <t>Female</t>
        </is>
      </c>
      <c r="C263" s="6" t="inlineStr">
        <is>
          <t>31</t>
        </is>
      </c>
      <c r="D263" s="5" t="inlineStr">
        <is>
          <t>Married</t>
        </is>
      </c>
      <c r="E263" s="5" t="inlineStr">
        <is>
          <t>Master</t>
        </is>
      </c>
      <c r="F263" s="5" t="inlineStr">
        <is>
          <t>IT</t>
        </is>
      </c>
      <c r="G263" s="5" t="inlineStr">
        <is>
          <t>DevOps Engineer</t>
        </is>
      </c>
      <c r="H263" s="5" t="inlineStr">
        <is>
          <t>1</t>
        </is>
      </c>
      <c r="I263" s="5" t="inlineStr">
        <is>
          <t>Hyderabad</t>
        </is>
      </c>
      <c r="J263" s="5" t="inlineStr">
        <is>
          <t>Full-Time</t>
        </is>
      </c>
      <c r="K263" s="7" t="n">
        <v>44301</v>
      </c>
      <c r="L263" s="7" t="inlineStr"/>
      <c r="M263" s="5" t="inlineStr">
        <is>
          <t>Yes</t>
        </is>
      </c>
      <c r="N263" s="5" t="inlineStr"/>
      <c r="O263" s="8" t="inlineStr">
        <is>
          <t>86500</t>
        </is>
      </c>
      <c r="P263" s="5" t="inlineStr">
        <is>
          <t>10</t>
        </is>
      </c>
      <c r="Q263" s="5" t="inlineStr">
        <is>
          <t>3</t>
        </is>
      </c>
      <c r="R263" s="5" t="inlineStr">
        <is>
          <t>6</t>
        </is>
      </c>
      <c r="S263" s="5" t="inlineStr">
        <is>
          <t>57</t>
        </is>
      </c>
      <c r="T263" s="5" t="inlineStr">
        <is>
          <t>10</t>
        </is>
      </c>
      <c r="U263" s="5">
        <f>IFS(C263&lt;30,"Under 30",C263&lt;40,"30-39",C263&lt;50,"40-49",TRUE,"50+")</f>
        <v/>
      </c>
      <c r="V263" s="5">
        <f>IFS(O263&lt;60000,"Low (&lt;60k)",O263&lt;100000,"Mid (60-100k)",TRUE,"High (100k+)")</f>
        <v/>
      </c>
      <c r="W263" s="5">
        <f>IF(M263="No","Attrited","Active")</f>
        <v/>
      </c>
    </row>
    <row r="264">
      <c r="A264" s="5" t="inlineStr">
        <is>
          <t>E00263</t>
        </is>
      </c>
      <c r="B264" s="5" t="inlineStr">
        <is>
          <t>Female</t>
        </is>
      </c>
      <c r="C264" s="6" t="inlineStr">
        <is>
          <t>31</t>
        </is>
      </c>
      <c r="D264" s="5" t="inlineStr">
        <is>
          <t>Single</t>
        </is>
      </c>
      <c r="E264" s="5" t="inlineStr">
        <is>
          <t>Master</t>
        </is>
      </c>
      <c r="F264" s="5" t="inlineStr">
        <is>
          <t>Human Resources</t>
        </is>
      </c>
      <c r="G264" s="5" t="inlineStr">
        <is>
          <t>HR Analyst</t>
        </is>
      </c>
      <c r="H264" s="5" t="inlineStr">
        <is>
          <t>1</t>
        </is>
      </c>
      <c r="I264" s="5" t="inlineStr">
        <is>
          <t>Remote</t>
        </is>
      </c>
      <c r="J264" s="5" t="inlineStr">
        <is>
          <t>Full-Time</t>
        </is>
      </c>
      <c r="K264" s="7" t="n">
        <v>44864</v>
      </c>
      <c r="L264" s="7" t="inlineStr"/>
      <c r="M264" s="5" t="inlineStr">
        <is>
          <t>Yes</t>
        </is>
      </c>
      <c r="N264" s="5" t="inlineStr"/>
      <c r="O264" s="8" t="inlineStr">
        <is>
          <t>97000</t>
        </is>
      </c>
      <c r="P264" s="5" t="inlineStr">
        <is>
          <t>20</t>
        </is>
      </c>
      <c r="Q264" s="5" t="inlineStr">
        <is>
          <t>5</t>
        </is>
      </c>
      <c r="R264" s="5" t="inlineStr">
        <is>
          <t>5</t>
        </is>
      </c>
      <c r="S264" s="5" t="inlineStr">
        <is>
          <t>38</t>
        </is>
      </c>
      <c r="T264" s="5" t="inlineStr">
        <is>
          <t>5</t>
        </is>
      </c>
      <c r="U264" s="5">
        <f>IFS(C264&lt;30,"Under 30",C264&lt;40,"30-39",C264&lt;50,"40-49",TRUE,"50+")</f>
        <v/>
      </c>
      <c r="V264" s="5">
        <f>IFS(O264&lt;60000,"Low (&lt;60k)",O264&lt;100000,"Mid (60-100k)",TRUE,"High (100k+)")</f>
        <v/>
      </c>
      <c r="W264" s="5">
        <f>IF(M264="No","Attrited","Active")</f>
        <v/>
      </c>
    </row>
    <row r="265">
      <c r="A265" s="5" t="inlineStr">
        <is>
          <t>E00264</t>
        </is>
      </c>
      <c r="B265" s="5" t="inlineStr">
        <is>
          <t>Female</t>
        </is>
      </c>
      <c r="C265" s="6" t="inlineStr">
        <is>
          <t>34</t>
        </is>
      </c>
      <c r="D265" s="5" t="inlineStr">
        <is>
          <t>Divorced</t>
        </is>
      </c>
      <c r="E265" s="5" t="inlineStr">
        <is>
          <t>Bachelor</t>
        </is>
      </c>
      <c r="F265" s="5" t="inlineStr">
        <is>
          <t>Finance</t>
        </is>
      </c>
      <c r="G265" s="5" t="inlineStr">
        <is>
          <t>Accountant</t>
        </is>
      </c>
      <c r="H265" s="5" t="inlineStr">
        <is>
          <t>1</t>
        </is>
      </c>
      <c r="I265" s="5" t="inlineStr">
        <is>
          <t>Bengaluru</t>
        </is>
      </c>
      <c r="J265" s="5" t="inlineStr">
        <is>
          <t>Full-Time</t>
        </is>
      </c>
      <c r="K265" s="7" t="n">
        <v>45848</v>
      </c>
      <c r="L265" s="7" t="inlineStr"/>
      <c r="M265" s="5" t="inlineStr">
        <is>
          <t>Yes</t>
        </is>
      </c>
      <c r="N265" s="5" t="inlineStr"/>
      <c r="O265" s="8" t="inlineStr">
        <is>
          <t>110500</t>
        </is>
      </c>
      <c r="P265" s="5" t="inlineStr">
        <is>
          <t>0</t>
        </is>
      </c>
      <c r="Q265" s="5" t="inlineStr">
        <is>
          <t>4</t>
        </is>
      </c>
      <c r="R265" s="5" t="inlineStr">
        <is>
          <t>5</t>
        </is>
      </c>
      <c r="S265" s="5" t="inlineStr">
        <is>
          <t>5</t>
        </is>
      </c>
      <c r="T265" s="5" t="inlineStr">
        <is>
          <t>11</t>
        </is>
      </c>
      <c r="U265" s="5">
        <f>IFS(C265&lt;30,"Under 30",C265&lt;40,"30-39",C265&lt;50,"40-49",TRUE,"50+")</f>
        <v/>
      </c>
      <c r="V265" s="5">
        <f>IFS(O265&lt;60000,"Low (&lt;60k)",O265&lt;100000,"Mid (60-100k)",TRUE,"High (100k+)")</f>
        <v/>
      </c>
      <c r="W265" s="5">
        <f>IF(M265="No","Attrited","Active")</f>
        <v/>
      </c>
    </row>
    <row r="266">
      <c r="A266" s="5" t="inlineStr">
        <is>
          <t>E00265</t>
        </is>
      </c>
      <c r="B266" s="5" t="inlineStr">
        <is>
          <t>Male</t>
        </is>
      </c>
      <c r="C266" s="6" t="inlineStr">
        <is>
          <t>36</t>
        </is>
      </c>
      <c r="D266" s="5" t="inlineStr">
        <is>
          <t>Married</t>
        </is>
      </c>
      <c r="E266" s="5" t="inlineStr">
        <is>
          <t>Bachelor</t>
        </is>
      </c>
      <c r="F266" s="5" t="inlineStr">
        <is>
          <t>Human Resources</t>
        </is>
      </c>
      <c r="G266" s="5" t="inlineStr">
        <is>
          <t>Recruiter</t>
        </is>
      </c>
      <c r="H266" s="5" t="inlineStr">
        <is>
          <t>6</t>
        </is>
      </c>
      <c r="I266" s="5" t="inlineStr">
        <is>
          <t>Chennai</t>
        </is>
      </c>
      <c r="J266" s="5" t="inlineStr">
        <is>
          <t>Full-Time</t>
        </is>
      </c>
      <c r="K266" s="7" t="n">
        <v>45533</v>
      </c>
      <c r="L266" s="7" t="inlineStr"/>
      <c r="M266" s="5" t="inlineStr">
        <is>
          <t>Yes</t>
        </is>
      </c>
      <c r="N266" s="5" t="inlineStr"/>
      <c r="O266" s="8" t="inlineStr">
        <is>
          <t>99500</t>
        </is>
      </c>
      <c r="P266" s="5" t="inlineStr">
        <is>
          <t>5</t>
        </is>
      </c>
      <c r="Q266" s="5" t="inlineStr">
        <is>
          <t>3</t>
        </is>
      </c>
      <c r="R266" s="5" t="inlineStr">
        <is>
          <t>5</t>
        </is>
      </c>
      <c r="S266" s="5" t="inlineStr">
        <is>
          <t>16</t>
        </is>
      </c>
      <c r="T266" s="5" t="inlineStr">
        <is>
          <t>13</t>
        </is>
      </c>
      <c r="U266" s="5">
        <f>IFS(C266&lt;30,"Under 30",C266&lt;40,"30-39",C266&lt;50,"40-49",TRUE,"50+")</f>
        <v/>
      </c>
      <c r="V266" s="5">
        <f>IFS(O266&lt;60000,"Low (&lt;60k)",O266&lt;100000,"Mid (60-100k)",TRUE,"High (100k+)")</f>
        <v/>
      </c>
      <c r="W266" s="5">
        <f>IF(M266="No","Attrited","Active")</f>
        <v/>
      </c>
    </row>
    <row r="267">
      <c r="A267" s="5" t="inlineStr">
        <is>
          <t>E00266</t>
        </is>
      </c>
      <c r="B267" s="5" t="inlineStr">
        <is>
          <t>Male</t>
        </is>
      </c>
      <c r="C267" s="6" t="inlineStr">
        <is>
          <t>28</t>
        </is>
      </c>
      <c r="D267" s="5" t="inlineStr">
        <is>
          <t>Married</t>
        </is>
      </c>
      <c r="E267" s="5" t="inlineStr">
        <is>
          <t>PhD</t>
        </is>
      </c>
      <c r="F267" s="5" t="inlineStr">
        <is>
          <t>Marketing</t>
        </is>
      </c>
      <c r="G267" s="5" t="inlineStr">
        <is>
          <t>Content Writer</t>
        </is>
      </c>
      <c r="H267" s="5" t="inlineStr">
        <is>
          <t>1</t>
        </is>
      </c>
      <c r="I267" s="5" t="inlineStr">
        <is>
          <t>Chennai</t>
        </is>
      </c>
      <c r="J267" s="5" t="inlineStr">
        <is>
          <t>Full-Time</t>
        </is>
      </c>
      <c r="K267" s="7" t="n">
        <v>44645</v>
      </c>
      <c r="L267" s="7" t="inlineStr"/>
      <c r="M267" s="5" t="inlineStr">
        <is>
          <t>Yes</t>
        </is>
      </c>
      <c r="N267" s="5" t="inlineStr"/>
      <c r="O267" s="8" t="inlineStr">
        <is>
          <t>61000</t>
        </is>
      </c>
      <c r="P267" s="5" t="inlineStr">
        <is>
          <t>0</t>
        </is>
      </c>
      <c r="Q267" s="5" t="inlineStr">
        <is>
          <t>3</t>
        </is>
      </c>
      <c r="R267" s="5" t="inlineStr">
        <is>
          <t>8</t>
        </is>
      </c>
      <c r="S267" s="5" t="inlineStr">
        <is>
          <t>45</t>
        </is>
      </c>
      <c r="T267" s="5" t="inlineStr">
        <is>
          <t>0</t>
        </is>
      </c>
      <c r="U267" s="5">
        <f>IFS(C267&lt;30,"Under 30",C267&lt;40,"30-39",C267&lt;50,"40-49",TRUE,"50+")</f>
        <v/>
      </c>
      <c r="V267" s="5">
        <f>IFS(O267&lt;60000,"Low (&lt;60k)",O267&lt;100000,"Mid (60-100k)",TRUE,"High (100k+)")</f>
        <v/>
      </c>
      <c r="W267" s="5">
        <f>IF(M267="No","Attrited","Active")</f>
        <v/>
      </c>
    </row>
    <row r="268">
      <c r="A268" s="5" t="inlineStr">
        <is>
          <t>E00267</t>
        </is>
      </c>
      <c r="B268" s="5" t="inlineStr">
        <is>
          <t>Male</t>
        </is>
      </c>
      <c r="C268" s="6" t="inlineStr">
        <is>
          <t>43</t>
        </is>
      </c>
      <c r="D268" s="5" t="inlineStr">
        <is>
          <t>Married</t>
        </is>
      </c>
      <c r="E268" s="5" t="inlineStr">
        <is>
          <t>Diploma</t>
        </is>
      </c>
      <c r="F268" s="5" t="inlineStr">
        <is>
          <t>Human Resources</t>
        </is>
      </c>
      <c r="G268" s="5" t="inlineStr">
        <is>
          <t>HR Analyst</t>
        </is>
      </c>
      <c r="H268" s="5" t="inlineStr">
        <is>
          <t>6</t>
        </is>
      </c>
      <c r="I268" s="5" t="inlineStr">
        <is>
          <t>Chennai</t>
        </is>
      </c>
      <c r="J268" s="5" t="inlineStr">
        <is>
          <t>Full-Time</t>
        </is>
      </c>
      <c r="K268" s="7" t="n">
        <v>45101</v>
      </c>
      <c r="L268" s="7" t="inlineStr"/>
      <c r="M268" s="5" t="inlineStr">
        <is>
          <t>Yes</t>
        </is>
      </c>
      <c r="N268" s="5" t="inlineStr"/>
      <c r="O268" s="8" t="inlineStr">
        <is>
          <t>127500</t>
        </is>
      </c>
      <c r="P268" s="5" t="inlineStr">
        <is>
          <t>10</t>
        </is>
      </c>
      <c r="Q268" s="5" t="inlineStr">
        <is>
          <t>4</t>
        </is>
      </c>
      <c r="R268" s="5" t="inlineStr">
        <is>
          <t>6</t>
        </is>
      </c>
      <c r="S268" s="5" t="inlineStr">
        <is>
          <t>30</t>
        </is>
      </c>
      <c r="T268" s="5" t="inlineStr">
        <is>
          <t>10</t>
        </is>
      </c>
      <c r="U268" s="5">
        <f>IFS(C268&lt;30,"Under 30",C268&lt;40,"30-39",C268&lt;50,"40-49",TRUE,"50+")</f>
        <v/>
      </c>
      <c r="V268" s="5">
        <f>IFS(O268&lt;60000,"Low (&lt;60k)",O268&lt;100000,"Mid (60-100k)",TRUE,"High (100k+)")</f>
        <v/>
      </c>
      <c r="W268" s="5">
        <f>IF(M268="No","Attrited","Active")</f>
        <v/>
      </c>
    </row>
    <row r="269">
      <c r="A269" s="5" t="inlineStr">
        <is>
          <t>E00268</t>
        </is>
      </c>
      <c r="B269" s="5" t="inlineStr">
        <is>
          <t>Female</t>
        </is>
      </c>
      <c r="C269" s="6" t="inlineStr">
        <is>
          <t>25</t>
        </is>
      </c>
      <c r="D269" s="5" t="inlineStr">
        <is>
          <t>Single</t>
        </is>
      </c>
      <c r="E269" s="5" t="inlineStr">
        <is>
          <t>High School</t>
        </is>
      </c>
      <c r="F269" s="5" t="inlineStr">
        <is>
          <t>Research &amp; Development</t>
        </is>
      </c>
      <c r="G269" s="5" t="inlineStr">
        <is>
          <t>Research Scientist</t>
        </is>
      </c>
      <c r="H269" s="5" t="inlineStr">
        <is>
          <t>1</t>
        </is>
      </c>
      <c r="I269" s="5" t="inlineStr">
        <is>
          <t>Mumbai</t>
        </is>
      </c>
      <c r="J269" s="5" t="inlineStr">
        <is>
          <t>Full-Time</t>
        </is>
      </c>
      <c r="K269" s="7" t="n">
        <v>44522</v>
      </c>
      <c r="L269" s="7" t="inlineStr"/>
      <c r="M269" s="5" t="inlineStr">
        <is>
          <t>Yes</t>
        </is>
      </c>
      <c r="N269" s="5" t="inlineStr"/>
      <c r="O269" s="8" t="inlineStr">
        <is>
          <t>126500</t>
        </is>
      </c>
      <c r="P269" s="5" t="inlineStr">
        <is>
          <t>0</t>
        </is>
      </c>
      <c r="Q269" s="5" t="inlineStr">
        <is>
          <t>4</t>
        </is>
      </c>
      <c r="R269" s="5" t="inlineStr">
        <is>
          <t>2</t>
        </is>
      </c>
      <c r="S269" s="5" t="inlineStr">
        <is>
          <t>50</t>
        </is>
      </c>
      <c r="T269" s="5" t="inlineStr">
        <is>
          <t>7</t>
        </is>
      </c>
      <c r="U269" s="5">
        <f>IFS(C269&lt;30,"Under 30",C269&lt;40,"30-39",C269&lt;50,"40-49",TRUE,"50+")</f>
        <v/>
      </c>
      <c r="V269" s="5">
        <f>IFS(O269&lt;60000,"Low (&lt;60k)",O269&lt;100000,"Mid (60-100k)",TRUE,"High (100k+)")</f>
        <v/>
      </c>
      <c r="W269" s="5">
        <f>IF(M269="No","Attrited","Active")</f>
        <v/>
      </c>
    </row>
    <row r="270">
      <c r="A270" s="5" t="inlineStr">
        <is>
          <t>E00269</t>
        </is>
      </c>
      <c r="B270" s="5" t="inlineStr">
        <is>
          <t>Male</t>
        </is>
      </c>
      <c r="C270" s="6" t="inlineStr">
        <is>
          <t>34</t>
        </is>
      </c>
      <c r="D270" s="5" t="inlineStr">
        <is>
          <t>Married</t>
        </is>
      </c>
      <c r="E270" s="5" t="inlineStr">
        <is>
          <t>Master</t>
        </is>
      </c>
      <c r="F270" s="5" t="inlineStr">
        <is>
          <t>Operations</t>
        </is>
      </c>
      <c r="G270" s="5" t="inlineStr">
        <is>
          <t>Logistics Coordinator</t>
        </is>
      </c>
      <c r="H270" s="5" t="inlineStr">
        <is>
          <t>3</t>
        </is>
      </c>
      <c r="I270" s="5" t="inlineStr">
        <is>
          <t>Delhi</t>
        </is>
      </c>
      <c r="J270" s="5" t="inlineStr">
        <is>
          <t>Full-Time</t>
        </is>
      </c>
      <c r="K270" s="7" t="n">
        <v>45747</v>
      </c>
      <c r="L270" s="7" t="inlineStr"/>
      <c r="M270" s="5" t="inlineStr">
        <is>
          <t>Yes</t>
        </is>
      </c>
      <c r="N270" s="5" t="inlineStr"/>
      <c r="O270" s="8" t="inlineStr">
        <is>
          <t>126000</t>
        </is>
      </c>
      <c r="P270" s="5" t="inlineStr">
        <is>
          <t>10</t>
        </is>
      </c>
      <c r="Q270" s="5" t="inlineStr">
        <is>
          <t>3</t>
        </is>
      </c>
      <c r="R270" s="5" t="inlineStr">
        <is>
          <t>5</t>
        </is>
      </c>
      <c r="S270" s="5" t="inlineStr">
        <is>
          <t>9</t>
        </is>
      </c>
      <c r="T270" s="5" t="inlineStr">
        <is>
          <t>0</t>
        </is>
      </c>
      <c r="U270" s="5">
        <f>IFS(C270&lt;30,"Under 30",C270&lt;40,"30-39",C270&lt;50,"40-49",TRUE,"50+")</f>
        <v/>
      </c>
      <c r="V270" s="5">
        <f>IFS(O270&lt;60000,"Low (&lt;60k)",O270&lt;100000,"Mid (60-100k)",TRUE,"High (100k+)")</f>
        <v/>
      </c>
      <c r="W270" s="5">
        <f>IF(M270="No","Attrited","Active")</f>
        <v/>
      </c>
    </row>
    <row r="271">
      <c r="A271" s="5" t="inlineStr">
        <is>
          <t>E00270</t>
        </is>
      </c>
      <c r="B271" s="5" t="inlineStr">
        <is>
          <t>Female</t>
        </is>
      </c>
      <c r="C271" s="6" t="inlineStr">
        <is>
          <t>35</t>
        </is>
      </c>
      <c r="D271" s="5" t="inlineStr">
        <is>
          <t>Single</t>
        </is>
      </c>
      <c r="E271" s="5" t="inlineStr">
        <is>
          <t>PhD</t>
        </is>
      </c>
      <c r="F271" s="5" t="inlineStr">
        <is>
          <t>Customer Support</t>
        </is>
      </c>
      <c r="G271" s="5" t="inlineStr">
        <is>
          <t>Support Lead</t>
        </is>
      </c>
      <c r="H271" s="5" t="inlineStr">
        <is>
          <t>4</t>
        </is>
      </c>
      <c r="I271" s="5" t="inlineStr">
        <is>
          <t>Hyderabad</t>
        </is>
      </c>
      <c r="J271" s="5" t="inlineStr">
        <is>
          <t>Full-Time</t>
        </is>
      </c>
      <c r="K271" s="7" t="n">
        <v>45201</v>
      </c>
      <c r="L271" s="7" t="inlineStr"/>
      <c r="M271" s="5" t="inlineStr">
        <is>
          <t>Yes</t>
        </is>
      </c>
      <c r="N271" s="5" t="inlineStr"/>
      <c r="O271" s="8" t="inlineStr">
        <is>
          <t>61500</t>
        </is>
      </c>
      <c r="P271" s="5" t="inlineStr">
        <is>
          <t>0</t>
        </is>
      </c>
      <c r="Q271" s="5" t="inlineStr">
        <is>
          <t>4</t>
        </is>
      </c>
      <c r="R271" s="5" t="inlineStr">
        <is>
          <t>7</t>
        </is>
      </c>
      <c r="S271" s="5" t="inlineStr">
        <is>
          <t>27</t>
        </is>
      </c>
      <c r="T271" s="5" t="inlineStr">
        <is>
          <t>11</t>
        </is>
      </c>
      <c r="U271" s="5">
        <f>IFS(C271&lt;30,"Under 30",C271&lt;40,"30-39",C271&lt;50,"40-49",TRUE,"50+")</f>
        <v/>
      </c>
      <c r="V271" s="5">
        <f>IFS(O271&lt;60000,"Low (&lt;60k)",O271&lt;100000,"Mid (60-100k)",TRUE,"High (100k+)")</f>
        <v/>
      </c>
      <c r="W271" s="5">
        <f>IF(M271="No","Attrited","Active")</f>
        <v/>
      </c>
    </row>
    <row r="272">
      <c r="A272" s="5" t="inlineStr">
        <is>
          <t>E00271</t>
        </is>
      </c>
      <c r="B272" s="5" t="inlineStr">
        <is>
          <t>Male</t>
        </is>
      </c>
      <c r="C272" s="6" t="inlineStr">
        <is>
          <t>34</t>
        </is>
      </c>
      <c r="D272" s="5" t="inlineStr">
        <is>
          <t>Married</t>
        </is>
      </c>
      <c r="E272" s="5" t="inlineStr">
        <is>
          <t>High School</t>
        </is>
      </c>
      <c r="F272" s="5" t="inlineStr">
        <is>
          <t>Operations</t>
        </is>
      </c>
      <c r="G272" s="5" t="inlineStr">
        <is>
          <t>Logistics Coordinator</t>
        </is>
      </c>
      <c r="H272" s="5" t="inlineStr">
        <is>
          <t>1</t>
        </is>
      </c>
      <c r="I272" s="5" t="inlineStr">
        <is>
          <t>Bengaluru</t>
        </is>
      </c>
      <c r="J272" s="5" t="inlineStr">
        <is>
          <t>Full-Time</t>
        </is>
      </c>
      <c r="K272" s="7" t="n">
        <v>44423</v>
      </c>
      <c r="L272" s="7" t="inlineStr"/>
      <c r="M272" s="5" t="inlineStr">
        <is>
          <t>Yes</t>
        </is>
      </c>
      <c r="N272" s="5" t="inlineStr"/>
      <c r="O272" s="8" t="inlineStr">
        <is>
          <t>86500</t>
        </is>
      </c>
      <c r="P272" s="5" t="inlineStr">
        <is>
          <t>0</t>
        </is>
      </c>
      <c r="Q272" s="5" t="inlineStr">
        <is>
          <t>4</t>
        </is>
      </c>
      <c r="R272" s="5" t="inlineStr">
        <is>
          <t>6</t>
        </is>
      </c>
      <c r="S272" s="5" t="inlineStr">
        <is>
          <t>53</t>
        </is>
      </c>
      <c r="T272" s="5" t="inlineStr">
        <is>
          <t>6</t>
        </is>
      </c>
      <c r="U272" s="5">
        <f>IFS(C272&lt;30,"Under 30",C272&lt;40,"30-39",C272&lt;50,"40-49",TRUE,"50+")</f>
        <v/>
      </c>
      <c r="V272" s="5">
        <f>IFS(O272&lt;60000,"Low (&lt;60k)",O272&lt;100000,"Mid (60-100k)",TRUE,"High (100k+)")</f>
        <v/>
      </c>
      <c r="W272" s="5">
        <f>IF(M272="No","Attrited","Active")</f>
        <v/>
      </c>
    </row>
    <row r="273">
      <c r="A273" s="5" t="inlineStr">
        <is>
          <t>E00272</t>
        </is>
      </c>
      <c r="B273" s="5" t="inlineStr">
        <is>
          <t>Male</t>
        </is>
      </c>
      <c r="C273" s="6" t="inlineStr">
        <is>
          <t>32</t>
        </is>
      </c>
      <c r="D273" s="5" t="inlineStr">
        <is>
          <t>Single</t>
        </is>
      </c>
      <c r="E273" s="5" t="inlineStr">
        <is>
          <t>PhD</t>
        </is>
      </c>
      <c r="F273" s="5" t="inlineStr">
        <is>
          <t>Customer Support</t>
        </is>
      </c>
      <c r="G273" s="5" t="inlineStr">
        <is>
          <t>Support Agent</t>
        </is>
      </c>
      <c r="H273" s="5" t="inlineStr">
        <is>
          <t>2</t>
        </is>
      </c>
      <c r="I273" s="5" t="inlineStr">
        <is>
          <t>Hyderabad</t>
        </is>
      </c>
      <c r="J273" s="5" t="inlineStr">
        <is>
          <t>Part-Time</t>
        </is>
      </c>
      <c r="K273" s="7" t="n">
        <v>45881</v>
      </c>
      <c r="L273" s="7" t="inlineStr"/>
      <c r="M273" s="5" t="inlineStr">
        <is>
          <t>Yes</t>
        </is>
      </c>
      <c r="N273" s="5" t="inlineStr"/>
      <c r="O273" s="8" t="inlineStr">
        <is>
          <t>52500</t>
        </is>
      </c>
      <c r="P273" s="5" t="inlineStr">
        <is>
          <t>5</t>
        </is>
      </c>
      <c r="Q273" s="5" t="inlineStr">
        <is>
          <t>2</t>
        </is>
      </c>
      <c r="R273" s="5" t="inlineStr">
        <is>
          <t>7</t>
        </is>
      </c>
      <c r="S273" s="5" t="inlineStr">
        <is>
          <t>4</t>
        </is>
      </c>
      <c r="T273" s="5" t="inlineStr">
        <is>
          <t>3</t>
        </is>
      </c>
      <c r="U273" s="5">
        <f>IFS(C273&lt;30,"Under 30",C273&lt;40,"30-39",C273&lt;50,"40-49",TRUE,"50+")</f>
        <v/>
      </c>
      <c r="V273" s="5">
        <f>IFS(O273&lt;60000,"Low (&lt;60k)",O273&lt;100000,"Mid (60-100k)",TRUE,"High (100k+)")</f>
        <v/>
      </c>
      <c r="W273" s="5">
        <f>IF(M273="No","Attrited","Active")</f>
        <v/>
      </c>
    </row>
    <row r="274">
      <c r="A274" s="5" t="inlineStr">
        <is>
          <t>E00273</t>
        </is>
      </c>
      <c r="B274" s="5" t="inlineStr">
        <is>
          <t>Female</t>
        </is>
      </c>
      <c r="C274" s="6" t="inlineStr">
        <is>
          <t>40</t>
        </is>
      </c>
      <c r="D274" s="5" t="inlineStr">
        <is>
          <t>Divorced</t>
        </is>
      </c>
      <c r="E274" s="5" t="inlineStr">
        <is>
          <t>Master</t>
        </is>
      </c>
      <c r="F274" s="5" t="inlineStr">
        <is>
          <t>Human Resources</t>
        </is>
      </c>
      <c r="G274" s="5" t="inlineStr">
        <is>
          <t>HR Analyst</t>
        </is>
      </c>
      <c r="H274" s="5" t="inlineStr">
        <is>
          <t>4</t>
        </is>
      </c>
      <c r="I274" s="5" t="inlineStr">
        <is>
          <t>Chennai</t>
        </is>
      </c>
      <c r="J274" s="5" t="inlineStr">
        <is>
          <t>Full-Time</t>
        </is>
      </c>
      <c r="K274" s="7" t="n">
        <v>43942</v>
      </c>
      <c r="L274" s="7" t="inlineStr"/>
      <c r="M274" s="5" t="inlineStr">
        <is>
          <t>Yes</t>
        </is>
      </c>
      <c r="N274" s="5" t="inlineStr"/>
      <c r="O274" s="8" t="inlineStr">
        <is>
          <t>93000</t>
        </is>
      </c>
      <c r="P274" s="5" t="inlineStr">
        <is>
          <t>15</t>
        </is>
      </c>
      <c r="Q274" s="5" t="inlineStr">
        <is>
          <t>5</t>
        </is>
      </c>
      <c r="R274" s="5" t="inlineStr">
        <is>
          <t>3</t>
        </is>
      </c>
      <c r="S274" s="5" t="inlineStr">
        <is>
          <t>69</t>
        </is>
      </c>
      <c r="T274" s="5" t="inlineStr">
        <is>
          <t>9</t>
        </is>
      </c>
      <c r="U274" s="5">
        <f>IFS(C274&lt;30,"Under 30",C274&lt;40,"30-39",C274&lt;50,"40-49",TRUE,"50+")</f>
        <v/>
      </c>
      <c r="V274" s="5">
        <f>IFS(O274&lt;60000,"Low (&lt;60k)",O274&lt;100000,"Mid (60-100k)",TRUE,"High (100k+)")</f>
        <v/>
      </c>
      <c r="W274" s="5">
        <f>IF(M274="No","Attrited","Active")</f>
        <v/>
      </c>
    </row>
    <row r="275">
      <c r="A275" s="5" t="inlineStr">
        <is>
          <t>E00274</t>
        </is>
      </c>
      <c r="B275" s="5" t="inlineStr">
        <is>
          <t>Female</t>
        </is>
      </c>
      <c r="C275" s="6" t="inlineStr">
        <is>
          <t>35</t>
        </is>
      </c>
      <c r="D275" s="5" t="inlineStr">
        <is>
          <t>Divorced</t>
        </is>
      </c>
      <c r="E275" s="5" t="inlineStr">
        <is>
          <t>Master</t>
        </is>
      </c>
      <c r="F275" s="5" t="inlineStr">
        <is>
          <t>Executive</t>
        </is>
      </c>
      <c r="G275" s="5" t="inlineStr">
        <is>
          <t>COO</t>
        </is>
      </c>
      <c r="H275" s="5" t="inlineStr">
        <is>
          <t>2</t>
        </is>
      </c>
      <c r="I275" s="5" t="inlineStr">
        <is>
          <t>Chennai</t>
        </is>
      </c>
      <c r="J275" s="5" t="inlineStr">
        <is>
          <t>Full-Time</t>
        </is>
      </c>
      <c r="K275" s="7" t="n">
        <v>45772</v>
      </c>
      <c r="L275" s="7" t="inlineStr"/>
      <c r="M275" s="5" t="inlineStr">
        <is>
          <t>Yes</t>
        </is>
      </c>
      <c r="N275" s="5" t="inlineStr"/>
      <c r="O275" s="8" t="inlineStr">
        <is>
          <t>204000</t>
        </is>
      </c>
      <c r="P275" s="5" t="inlineStr">
        <is>
          <t>0</t>
        </is>
      </c>
      <c r="Q275" s="5" t="inlineStr">
        <is>
          <t>3</t>
        </is>
      </c>
      <c r="R275" s="5" t="inlineStr">
        <is>
          <t>6</t>
        </is>
      </c>
      <c r="S275" s="5" t="inlineStr">
        <is>
          <t>8</t>
        </is>
      </c>
      <c r="T275" s="5" t="inlineStr">
        <is>
          <t>1</t>
        </is>
      </c>
      <c r="U275" s="5">
        <f>IFS(C275&lt;30,"Under 30",C275&lt;40,"30-39",C275&lt;50,"40-49",TRUE,"50+")</f>
        <v/>
      </c>
      <c r="V275" s="5">
        <f>IFS(O275&lt;60000,"Low (&lt;60k)",O275&lt;100000,"Mid (60-100k)",TRUE,"High (100k+)")</f>
        <v/>
      </c>
      <c r="W275" s="5">
        <f>IF(M275="No","Attrited","Active")</f>
        <v/>
      </c>
    </row>
    <row r="276">
      <c r="A276" s="5" t="inlineStr">
        <is>
          <t>E00275</t>
        </is>
      </c>
      <c r="B276" s="5" t="inlineStr">
        <is>
          <t>Female</t>
        </is>
      </c>
      <c r="C276" s="6" t="inlineStr">
        <is>
          <t>30</t>
        </is>
      </c>
      <c r="D276" s="5" t="inlineStr">
        <is>
          <t>Single</t>
        </is>
      </c>
      <c r="E276" s="5" t="inlineStr">
        <is>
          <t>Diploma</t>
        </is>
      </c>
      <c r="F276" s="5" t="inlineStr">
        <is>
          <t>IT</t>
        </is>
      </c>
      <c r="G276" s="5" t="inlineStr">
        <is>
          <t>Data Analyst</t>
        </is>
      </c>
      <c r="H276" s="5" t="inlineStr">
        <is>
          <t>2</t>
        </is>
      </c>
      <c r="I276" s="5" t="inlineStr">
        <is>
          <t>Hyderabad</t>
        </is>
      </c>
      <c r="J276" s="5" t="inlineStr">
        <is>
          <t>Full-Time</t>
        </is>
      </c>
      <c r="K276" s="7" t="n">
        <v>44602</v>
      </c>
      <c r="L276" s="7" t="inlineStr"/>
      <c r="M276" s="5" t="inlineStr">
        <is>
          <t>Yes</t>
        </is>
      </c>
      <c r="N276" s="5" t="inlineStr"/>
      <c r="O276" s="8" t="inlineStr">
        <is>
          <t>146000</t>
        </is>
      </c>
      <c r="P276" s="5" t="inlineStr">
        <is>
          <t>0</t>
        </is>
      </c>
      <c r="Q276" s="5" t="inlineStr">
        <is>
          <t>4</t>
        </is>
      </c>
      <c r="R276" s="5" t="inlineStr">
        <is>
          <t>3</t>
        </is>
      </c>
      <c r="S276" s="5" t="inlineStr">
        <is>
          <t>47</t>
        </is>
      </c>
      <c r="T276" s="5" t="inlineStr">
        <is>
          <t>11</t>
        </is>
      </c>
      <c r="U276" s="5">
        <f>IFS(C276&lt;30,"Under 30",C276&lt;40,"30-39",C276&lt;50,"40-49",TRUE,"50+")</f>
        <v/>
      </c>
      <c r="V276" s="5">
        <f>IFS(O276&lt;60000,"Low (&lt;60k)",O276&lt;100000,"Mid (60-100k)",TRUE,"High (100k+)")</f>
        <v/>
      </c>
      <c r="W276" s="5">
        <f>IF(M276="No","Attrited","Active")</f>
        <v/>
      </c>
    </row>
    <row r="277">
      <c r="A277" s="5" t="inlineStr">
        <is>
          <t>E00276</t>
        </is>
      </c>
      <c r="B277" s="5" t="inlineStr">
        <is>
          <t>Male</t>
        </is>
      </c>
      <c r="C277" s="6" t="inlineStr">
        <is>
          <t>23</t>
        </is>
      </c>
      <c r="D277" s="5" t="inlineStr">
        <is>
          <t>Married</t>
        </is>
      </c>
      <c r="E277" s="5" t="inlineStr">
        <is>
          <t>Master</t>
        </is>
      </c>
      <c r="F277" s="5" t="inlineStr">
        <is>
          <t>Operations</t>
        </is>
      </c>
      <c r="G277" s="5" t="inlineStr">
        <is>
          <t>Logistics Coordinator</t>
        </is>
      </c>
      <c r="H277" s="5" t="inlineStr">
        <is>
          <t>1</t>
        </is>
      </c>
      <c r="I277" s="5" t="inlineStr">
        <is>
          <t>Bengaluru</t>
        </is>
      </c>
      <c r="J277" s="5" t="inlineStr">
        <is>
          <t>Full-Time</t>
        </is>
      </c>
      <c r="K277" s="7" t="n">
        <v>44672</v>
      </c>
      <c r="L277" s="7" t="inlineStr"/>
      <c r="M277" s="5" t="inlineStr">
        <is>
          <t>Yes</t>
        </is>
      </c>
      <c r="N277" s="5" t="inlineStr"/>
      <c r="O277" s="8" t="inlineStr">
        <is>
          <t>88500</t>
        </is>
      </c>
      <c r="P277" s="5" t="inlineStr">
        <is>
          <t>5</t>
        </is>
      </c>
      <c r="Q277" s="5" t="inlineStr">
        <is>
          <t>3</t>
        </is>
      </c>
      <c r="R277" s="5" t="inlineStr">
        <is>
          <t>8</t>
        </is>
      </c>
      <c r="S277" s="5" t="inlineStr">
        <is>
          <t>45</t>
        </is>
      </c>
      <c r="T277" s="5" t="inlineStr">
        <is>
          <t>7</t>
        </is>
      </c>
      <c r="U277" s="5">
        <f>IFS(C277&lt;30,"Under 30",C277&lt;40,"30-39",C277&lt;50,"40-49",TRUE,"50+")</f>
        <v/>
      </c>
      <c r="V277" s="5">
        <f>IFS(O277&lt;60000,"Low (&lt;60k)",O277&lt;100000,"Mid (60-100k)",TRUE,"High (100k+)")</f>
        <v/>
      </c>
      <c r="W277" s="5">
        <f>IF(M277="No","Attrited","Active")</f>
        <v/>
      </c>
    </row>
    <row r="278">
      <c r="A278" s="5" t="inlineStr">
        <is>
          <t>E00277</t>
        </is>
      </c>
      <c r="B278" s="5" t="inlineStr">
        <is>
          <t>Male</t>
        </is>
      </c>
      <c r="C278" s="6" t="inlineStr">
        <is>
          <t>31</t>
        </is>
      </c>
      <c r="D278" s="5" t="inlineStr">
        <is>
          <t>Married</t>
        </is>
      </c>
      <c r="E278" s="5" t="inlineStr">
        <is>
          <t>Master</t>
        </is>
      </c>
      <c r="F278" s="5" t="inlineStr">
        <is>
          <t>Finance</t>
        </is>
      </c>
      <c r="G278" s="5" t="inlineStr">
        <is>
          <t>Credit Analyst</t>
        </is>
      </c>
      <c r="H278" s="5" t="inlineStr">
        <is>
          <t>3</t>
        </is>
      </c>
      <c r="I278" s="5" t="inlineStr">
        <is>
          <t>Hyderabad</t>
        </is>
      </c>
      <c r="J278" s="5" t="inlineStr">
        <is>
          <t>Full-Time</t>
        </is>
      </c>
      <c r="K278" s="7" t="n">
        <v>44228</v>
      </c>
      <c r="L278" s="7" t="inlineStr"/>
      <c r="M278" s="5" t="inlineStr">
        <is>
          <t>Yes</t>
        </is>
      </c>
      <c r="N278" s="5" t="inlineStr"/>
      <c r="O278" s="8" t="inlineStr">
        <is>
          <t>83500</t>
        </is>
      </c>
      <c r="P278" s="5" t="inlineStr">
        <is>
          <t>5</t>
        </is>
      </c>
      <c r="Q278" s="5" t="inlineStr">
        <is>
          <t>2</t>
        </is>
      </c>
      <c r="R278" s="5" t="inlineStr">
        <is>
          <t>7</t>
        </is>
      </c>
      <c r="S278" s="5" t="inlineStr">
        <is>
          <t>59</t>
        </is>
      </c>
      <c r="T278" s="5" t="inlineStr">
        <is>
          <t>0</t>
        </is>
      </c>
      <c r="U278" s="5">
        <f>IFS(C278&lt;30,"Under 30",C278&lt;40,"30-39",C278&lt;50,"40-49",TRUE,"50+")</f>
        <v/>
      </c>
      <c r="V278" s="5">
        <f>IFS(O278&lt;60000,"Low (&lt;60k)",O278&lt;100000,"Mid (60-100k)",TRUE,"High (100k+)")</f>
        <v/>
      </c>
      <c r="W278" s="5">
        <f>IF(M278="No","Attrited","Active")</f>
        <v/>
      </c>
    </row>
    <row r="279">
      <c r="A279" s="5" t="inlineStr">
        <is>
          <t>E00278</t>
        </is>
      </c>
      <c r="B279" s="5" t="inlineStr">
        <is>
          <t>Female</t>
        </is>
      </c>
      <c r="C279" s="6" t="inlineStr">
        <is>
          <t>38</t>
        </is>
      </c>
      <c r="D279" s="5" t="inlineStr">
        <is>
          <t>Married</t>
        </is>
      </c>
      <c r="E279" s="5" t="inlineStr">
        <is>
          <t>Bachelor</t>
        </is>
      </c>
      <c r="F279" s="5" t="inlineStr">
        <is>
          <t>Research &amp; Development</t>
        </is>
      </c>
      <c r="G279" s="5" t="inlineStr">
        <is>
          <t>Product Engineer</t>
        </is>
      </c>
      <c r="H279" s="5" t="inlineStr">
        <is>
          <t>3</t>
        </is>
      </c>
      <c r="I279" s="5" t="inlineStr">
        <is>
          <t>Delhi</t>
        </is>
      </c>
      <c r="J279" s="5" t="inlineStr">
        <is>
          <t>Full-Time</t>
        </is>
      </c>
      <c r="K279" s="7" t="n">
        <v>45200</v>
      </c>
      <c r="L279" s="7" t="inlineStr"/>
      <c r="M279" s="5" t="inlineStr">
        <is>
          <t>Yes</t>
        </is>
      </c>
      <c r="N279" s="5" t="inlineStr"/>
      <c r="O279" s="8" t="inlineStr">
        <is>
          <t>151000</t>
        </is>
      </c>
      <c r="P279" s="5" t="inlineStr">
        <is>
          <t>0</t>
        </is>
      </c>
      <c r="Q279" s="5" t="inlineStr">
        <is>
          <t>2</t>
        </is>
      </c>
      <c r="R279" s="5" t="inlineStr">
        <is>
          <t>7</t>
        </is>
      </c>
      <c r="S279" s="5" t="inlineStr">
        <is>
          <t>27</t>
        </is>
      </c>
      <c r="T279" s="5" t="inlineStr">
        <is>
          <t>8</t>
        </is>
      </c>
      <c r="U279" s="5">
        <f>IFS(C279&lt;30,"Under 30",C279&lt;40,"30-39",C279&lt;50,"40-49",TRUE,"50+")</f>
        <v/>
      </c>
      <c r="V279" s="5">
        <f>IFS(O279&lt;60000,"Low (&lt;60k)",O279&lt;100000,"Mid (60-100k)",TRUE,"High (100k+)")</f>
        <v/>
      </c>
      <c r="W279" s="5">
        <f>IF(M279="No","Attrited","Active")</f>
        <v/>
      </c>
    </row>
    <row r="280">
      <c r="A280" s="5" t="inlineStr">
        <is>
          <t>E00279</t>
        </is>
      </c>
      <c r="B280" s="5" t="inlineStr">
        <is>
          <t>Male</t>
        </is>
      </c>
      <c r="C280" s="6" t="inlineStr">
        <is>
          <t>29</t>
        </is>
      </c>
      <c r="D280" s="5" t="inlineStr">
        <is>
          <t>Married</t>
        </is>
      </c>
      <c r="E280" s="5" t="inlineStr">
        <is>
          <t>Master</t>
        </is>
      </c>
      <c r="F280" s="5" t="inlineStr">
        <is>
          <t>Marketing</t>
        </is>
      </c>
      <c r="G280" s="5" t="inlineStr">
        <is>
          <t>Marketing Analyst</t>
        </is>
      </c>
      <c r="H280" s="5" t="inlineStr">
        <is>
          <t>4</t>
        </is>
      </c>
      <c r="I280" s="5" t="inlineStr">
        <is>
          <t>Mumbai</t>
        </is>
      </c>
      <c r="J280" s="5" t="inlineStr">
        <is>
          <t>Full-Time</t>
        </is>
      </c>
      <c r="K280" s="7" t="n">
        <v>45537</v>
      </c>
      <c r="L280" s="7" t="inlineStr"/>
      <c r="M280" s="5" t="inlineStr">
        <is>
          <t>Yes</t>
        </is>
      </c>
      <c r="N280" s="5" t="inlineStr"/>
      <c r="O280" s="8" t="inlineStr">
        <is>
          <t>97500</t>
        </is>
      </c>
      <c r="P280" s="5" t="inlineStr">
        <is>
          <t>5</t>
        </is>
      </c>
      <c r="Q280" s="5" t="inlineStr">
        <is>
          <t>4</t>
        </is>
      </c>
      <c r="R280" s="5" t="inlineStr">
        <is>
          <t>4</t>
        </is>
      </c>
      <c r="S280" s="5" t="inlineStr">
        <is>
          <t>16</t>
        </is>
      </c>
      <c r="T280" s="5" t="inlineStr">
        <is>
          <t>4</t>
        </is>
      </c>
      <c r="U280" s="5">
        <f>IFS(C280&lt;30,"Under 30",C280&lt;40,"30-39",C280&lt;50,"40-49",TRUE,"50+")</f>
        <v/>
      </c>
      <c r="V280" s="5">
        <f>IFS(O280&lt;60000,"Low (&lt;60k)",O280&lt;100000,"Mid (60-100k)",TRUE,"High (100k+)")</f>
        <v/>
      </c>
      <c r="W280" s="5">
        <f>IF(M280="No","Attrited","Active")</f>
        <v/>
      </c>
    </row>
    <row r="281">
      <c r="A281" s="5" t="inlineStr">
        <is>
          <t>E00280</t>
        </is>
      </c>
      <c r="B281" s="5" t="inlineStr">
        <is>
          <t>Female</t>
        </is>
      </c>
      <c r="C281" s="6" t="inlineStr">
        <is>
          <t>38</t>
        </is>
      </c>
      <c r="D281" s="5" t="inlineStr">
        <is>
          <t>Married</t>
        </is>
      </c>
      <c r="E281" s="5" t="inlineStr">
        <is>
          <t>High School</t>
        </is>
      </c>
      <c r="F281" s="5" t="inlineStr">
        <is>
          <t>Research &amp; Development</t>
        </is>
      </c>
      <c r="G281" s="5" t="inlineStr">
        <is>
          <t>Data Scientist</t>
        </is>
      </c>
      <c r="H281" s="5" t="inlineStr">
        <is>
          <t>5</t>
        </is>
      </c>
      <c r="I281" s="5" t="inlineStr">
        <is>
          <t>Bengaluru</t>
        </is>
      </c>
      <c r="J281" s="5" t="inlineStr">
        <is>
          <t>Full-Time</t>
        </is>
      </c>
      <c r="K281" s="7" t="n">
        <v>45252</v>
      </c>
      <c r="L281" s="7" t="inlineStr"/>
      <c r="M281" s="5" t="inlineStr">
        <is>
          <t>Yes</t>
        </is>
      </c>
      <c r="N281" s="5" t="inlineStr"/>
      <c r="O281" s="8" t="inlineStr">
        <is>
          <t>180500</t>
        </is>
      </c>
      <c r="P281" s="5" t="inlineStr">
        <is>
          <t>10</t>
        </is>
      </c>
      <c r="Q281" s="5" t="inlineStr">
        <is>
          <t>4</t>
        </is>
      </c>
      <c r="R281" s="5" t="inlineStr">
        <is>
          <t>7</t>
        </is>
      </c>
      <c r="S281" s="5" t="inlineStr">
        <is>
          <t>25</t>
        </is>
      </c>
      <c r="T281" s="5" t="inlineStr">
        <is>
          <t>0</t>
        </is>
      </c>
      <c r="U281" s="5">
        <f>IFS(C281&lt;30,"Under 30",C281&lt;40,"30-39",C281&lt;50,"40-49",TRUE,"50+")</f>
        <v/>
      </c>
      <c r="V281" s="5">
        <f>IFS(O281&lt;60000,"Low (&lt;60k)",O281&lt;100000,"Mid (60-100k)",TRUE,"High (100k+)")</f>
        <v/>
      </c>
      <c r="W281" s="5">
        <f>IF(M281="No","Attrited","Active")</f>
        <v/>
      </c>
    </row>
    <row r="282">
      <c r="A282" s="5" t="inlineStr">
        <is>
          <t>E00281</t>
        </is>
      </c>
      <c r="B282" s="5" t="inlineStr">
        <is>
          <t>Female</t>
        </is>
      </c>
      <c r="C282" s="6" t="inlineStr">
        <is>
          <t>34</t>
        </is>
      </c>
      <c r="D282" s="5" t="inlineStr">
        <is>
          <t>Single</t>
        </is>
      </c>
      <c r="E282" s="5" t="inlineStr">
        <is>
          <t>High School</t>
        </is>
      </c>
      <c r="F282" s="5" t="inlineStr">
        <is>
          <t>Operations</t>
        </is>
      </c>
      <c r="G282" s="5" t="inlineStr">
        <is>
          <t>Logistics Coordinator</t>
        </is>
      </c>
      <c r="H282" s="5" t="inlineStr">
        <is>
          <t>1</t>
        </is>
      </c>
      <c r="I282" s="5" t="inlineStr">
        <is>
          <t>Chennai</t>
        </is>
      </c>
      <c r="J282" s="5" t="inlineStr">
        <is>
          <t>Full-Time</t>
        </is>
      </c>
      <c r="K282" s="7" t="n">
        <v>45328</v>
      </c>
      <c r="L282" s="7" t="inlineStr"/>
      <c r="M282" s="5" t="inlineStr">
        <is>
          <t>Yes</t>
        </is>
      </c>
      <c r="N282" s="5" t="inlineStr"/>
      <c r="O282" s="8" t="inlineStr">
        <is>
          <t>95500</t>
        </is>
      </c>
      <c r="P282" s="5" t="inlineStr">
        <is>
          <t>20</t>
        </is>
      </c>
      <c r="Q282" s="5" t="inlineStr">
        <is>
          <t>4</t>
        </is>
      </c>
      <c r="R282" s="5" t="inlineStr">
        <is>
          <t>6</t>
        </is>
      </c>
      <c r="S282" s="5" t="inlineStr">
        <is>
          <t>23</t>
        </is>
      </c>
      <c r="T282" s="5" t="inlineStr">
        <is>
          <t>19</t>
        </is>
      </c>
      <c r="U282" s="5">
        <f>IFS(C282&lt;30,"Under 30",C282&lt;40,"30-39",C282&lt;50,"40-49",TRUE,"50+")</f>
        <v/>
      </c>
      <c r="V282" s="5">
        <f>IFS(O282&lt;60000,"Low (&lt;60k)",O282&lt;100000,"Mid (60-100k)",TRUE,"High (100k+)")</f>
        <v/>
      </c>
      <c r="W282" s="5">
        <f>IF(M282="No","Attrited","Active")</f>
        <v/>
      </c>
    </row>
    <row r="283">
      <c r="A283" s="5" t="inlineStr">
        <is>
          <t>E00282</t>
        </is>
      </c>
      <c r="B283" s="5" t="inlineStr">
        <is>
          <t>Female</t>
        </is>
      </c>
      <c r="C283" s="6" t="inlineStr">
        <is>
          <t>42</t>
        </is>
      </c>
      <c r="D283" s="5" t="inlineStr">
        <is>
          <t>Married</t>
        </is>
      </c>
      <c r="E283" s="5" t="inlineStr">
        <is>
          <t>Bachelor</t>
        </is>
      </c>
      <c r="F283" s="5" t="inlineStr">
        <is>
          <t>Sales</t>
        </is>
      </c>
      <c r="G283" s="5" t="inlineStr">
        <is>
          <t>Account Executive</t>
        </is>
      </c>
      <c r="H283" s="5" t="inlineStr">
        <is>
          <t>7</t>
        </is>
      </c>
      <c r="I283" s="5" t="inlineStr">
        <is>
          <t>Delhi</t>
        </is>
      </c>
      <c r="J283" s="5" t="inlineStr">
        <is>
          <t>Full-Time</t>
        </is>
      </c>
      <c r="K283" s="7" t="n">
        <v>45774</v>
      </c>
      <c r="L283" s="7" t="inlineStr"/>
      <c r="M283" s="5" t="inlineStr">
        <is>
          <t>Yes</t>
        </is>
      </c>
      <c r="N283" s="5" t="inlineStr"/>
      <c r="O283" s="8" t="inlineStr">
        <is>
          <t>198000</t>
        </is>
      </c>
      <c r="P283" s="5" t="inlineStr">
        <is>
          <t>0</t>
        </is>
      </c>
      <c r="Q283" s="5" t="inlineStr">
        <is>
          <t>4</t>
        </is>
      </c>
      <c r="R283" s="5" t="inlineStr">
        <is>
          <t>4</t>
        </is>
      </c>
      <c r="S283" s="5" t="inlineStr">
        <is>
          <t>8</t>
        </is>
      </c>
      <c r="T283" s="5" t="inlineStr">
        <is>
          <t>14</t>
        </is>
      </c>
      <c r="U283" s="5">
        <f>IFS(C283&lt;30,"Under 30",C283&lt;40,"30-39",C283&lt;50,"40-49",TRUE,"50+")</f>
        <v/>
      </c>
      <c r="V283" s="5">
        <f>IFS(O283&lt;60000,"Low (&lt;60k)",O283&lt;100000,"Mid (60-100k)",TRUE,"High (100k+)")</f>
        <v/>
      </c>
      <c r="W283" s="5">
        <f>IF(M283="No","Attrited","Active")</f>
        <v/>
      </c>
    </row>
    <row r="284">
      <c r="A284" s="5" t="inlineStr">
        <is>
          <t>E00283</t>
        </is>
      </c>
      <c r="B284" s="5" t="inlineStr">
        <is>
          <t>Female</t>
        </is>
      </c>
      <c r="C284" s="6" t="inlineStr">
        <is>
          <t>27</t>
        </is>
      </c>
      <c r="D284" s="5" t="inlineStr">
        <is>
          <t>Married</t>
        </is>
      </c>
      <c r="E284" s="5" t="inlineStr">
        <is>
          <t>Diploma</t>
        </is>
      </c>
      <c r="F284" s="5" t="inlineStr">
        <is>
          <t>Operations</t>
        </is>
      </c>
      <c r="G284" s="5" t="inlineStr">
        <is>
          <t>Quality Analyst</t>
        </is>
      </c>
      <c r="H284" s="5" t="inlineStr">
        <is>
          <t>2</t>
        </is>
      </c>
      <c r="I284" s="5" t="inlineStr">
        <is>
          <t>Bengaluru</t>
        </is>
      </c>
      <c r="J284" s="5" t="inlineStr">
        <is>
          <t>Full-Time</t>
        </is>
      </c>
      <c r="K284" s="7" t="n">
        <v>44775</v>
      </c>
      <c r="L284" s="7" t="inlineStr"/>
      <c r="M284" s="5" t="inlineStr">
        <is>
          <t>Yes</t>
        </is>
      </c>
      <c r="N284" s="5" t="inlineStr"/>
      <c r="O284" s="8" t="inlineStr">
        <is>
          <t>72500</t>
        </is>
      </c>
      <c r="P284" s="5" t="inlineStr">
        <is>
          <t>10</t>
        </is>
      </c>
      <c r="Q284" s="5" t="inlineStr">
        <is>
          <t>5</t>
        </is>
      </c>
      <c r="R284" s="5" t="inlineStr">
        <is>
          <t>5</t>
        </is>
      </c>
      <c r="S284" s="5" t="inlineStr">
        <is>
          <t>41</t>
        </is>
      </c>
      <c r="T284" s="5" t="inlineStr">
        <is>
          <t>5</t>
        </is>
      </c>
      <c r="U284" s="5">
        <f>IFS(C284&lt;30,"Under 30",C284&lt;40,"30-39",C284&lt;50,"40-49",TRUE,"50+")</f>
        <v/>
      </c>
      <c r="V284" s="5">
        <f>IFS(O284&lt;60000,"Low (&lt;60k)",O284&lt;100000,"Mid (60-100k)",TRUE,"High (100k+)")</f>
        <v/>
      </c>
      <c r="W284" s="5">
        <f>IF(M284="No","Attrited","Active")</f>
        <v/>
      </c>
    </row>
    <row r="285">
      <c r="A285" s="5" t="inlineStr">
        <is>
          <t>E00284</t>
        </is>
      </c>
      <c r="B285" s="5" t="inlineStr">
        <is>
          <t>Female</t>
        </is>
      </c>
      <c r="C285" s="6" t="inlineStr">
        <is>
          <t>36</t>
        </is>
      </c>
      <c r="D285" s="5" t="inlineStr">
        <is>
          <t>Married</t>
        </is>
      </c>
      <c r="E285" s="5" t="inlineStr">
        <is>
          <t>Master</t>
        </is>
      </c>
      <c r="F285" s="5" t="inlineStr">
        <is>
          <t>Human Resources</t>
        </is>
      </c>
      <c r="G285" s="5" t="inlineStr">
        <is>
          <t>HR Analyst</t>
        </is>
      </c>
      <c r="H285" s="5" t="inlineStr">
        <is>
          <t>5</t>
        </is>
      </c>
      <c r="I285" s="5" t="inlineStr">
        <is>
          <t>Chennai</t>
        </is>
      </c>
      <c r="J285" s="5" t="inlineStr">
        <is>
          <t>Full-Time</t>
        </is>
      </c>
      <c r="K285" s="7" t="n">
        <v>44724</v>
      </c>
      <c r="L285" s="7" t="inlineStr"/>
      <c r="M285" s="5" t="inlineStr">
        <is>
          <t>Yes</t>
        </is>
      </c>
      <c r="N285" s="5" t="inlineStr"/>
      <c r="O285" s="8" t="inlineStr">
        <is>
          <t>96000</t>
        </is>
      </c>
      <c r="P285" s="5" t="inlineStr">
        <is>
          <t>20</t>
        </is>
      </c>
      <c r="Q285" s="5" t="inlineStr">
        <is>
          <t>4</t>
        </is>
      </c>
      <c r="R285" s="5" t="inlineStr">
        <is>
          <t>6</t>
        </is>
      </c>
      <c r="S285" s="5" t="inlineStr">
        <is>
          <t>43</t>
        </is>
      </c>
      <c r="T285" s="5" t="inlineStr">
        <is>
          <t>4</t>
        </is>
      </c>
      <c r="U285" s="5">
        <f>IFS(C285&lt;30,"Under 30",C285&lt;40,"30-39",C285&lt;50,"40-49",TRUE,"50+")</f>
        <v/>
      </c>
      <c r="V285" s="5">
        <f>IFS(O285&lt;60000,"Low (&lt;60k)",O285&lt;100000,"Mid (60-100k)",TRUE,"High (100k+)")</f>
        <v/>
      </c>
      <c r="W285" s="5">
        <f>IF(M285="No","Attrited","Active")</f>
        <v/>
      </c>
    </row>
    <row r="286">
      <c r="A286" s="5" t="inlineStr">
        <is>
          <t>E00285</t>
        </is>
      </c>
      <c r="B286" s="5" t="inlineStr">
        <is>
          <t>Female</t>
        </is>
      </c>
      <c r="C286" s="6" t="inlineStr">
        <is>
          <t>36</t>
        </is>
      </c>
      <c r="D286" s="5" t="inlineStr">
        <is>
          <t>Single</t>
        </is>
      </c>
      <c r="E286" s="5" t="inlineStr">
        <is>
          <t>PhD</t>
        </is>
      </c>
      <c r="F286" s="5" t="inlineStr">
        <is>
          <t>Operations</t>
        </is>
      </c>
      <c r="G286" s="5" t="inlineStr">
        <is>
          <t>Logistics Coordinator</t>
        </is>
      </c>
      <c r="H286" s="5" t="inlineStr">
        <is>
          <t>5</t>
        </is>
      </c>
      <c r="I286" s="5" t="inlineStr">
        <is>
          <t>Hyderabad</t>
        </is>
      </c>
      <c r="J286" s="5" t="inlineStr">
        <is>
          <t>Full-Time</t>
        </is>
      </c>
      <c r="K286" s="7" t="n">
        <v>45673</v>
      </c>
      <c r="L286" s="7" t="n">
        <v>45740</v>
      </c>
      <c r="M286" s="5" t="inlineStr">
        <is>
          <t>No</t>
        </is>
      </c>
      <c r="N286" s="5" t="inlineStr">
        <is>
          <t>Layoff</t>
        </is>
      </c>
      <c r="O286" s="8" t="inlineStr">
        <is>
          <t>141500</t>
        </is>
      </c>
      <c r="P286" s="5" t="inlineStr">
        <is>
          <t>5</t>
        </is>
      </c>
      <c r="Q286" s="5" t="inlineStr">
        <is>
          <t>4</t>
        </is>
      </c>
      <c r="R286" s="5" t="inlineStr">
        <is>
          <t>5</t>
        </is>
      </c>
      <c r="S286" s="5" t="inlineStr">
        <is>
          <t>2</t>
        </is>
      </c>
      <c r="T286" s="5" t="inlineStr">
        <is>
          <t>14</t>
        </is>
      </c>
      <c r="U286" s="5">
        <f>IFS(C286&lt;30,"Under 30",C286&lt;40,"30-39",C286&lt;50,"40-49",TRUE,"50+")</f>
        <v/>
      </c>
      <c r="V286" s="5">
        <f>IFS(O286&lt;60000,"Low (&lt;60k)",O286&lt;100000,"Mid (60-100k)",TRUE,"High (100k+)")</f>
        <v/>
      </c>
      <c r="W286" s="5">
        <f>IF(M286="No","Attrited","Active")</f>
        <v/>
      </c>
    </row>
    <row r="287">
      <c r="A287" s="5" t="inlineStr">
        <is>
          <t>E00286</t>
        </is>
      </c>
      <c r="B287" s="5" t="inlineStr">
        <is>
          <t>Male</t>
        </is>
      </c>
      <c r="C287" s="6" t="inlineStr">
        <is>
          <t>32</t>
        </is>
      </c>
      <c r="D287" s="5" t="inlineStr">
        <is>
          <t>Divorced</t>
        </is>
      </c>
      <c r="E287" s="5" t="inlineStr">
        <is>
          <t>Bachelor</t>
        </is>
      </c>
      <c r="F287" s="5" t="inlineStr">
        <is>
          <t>Sales</t>
        </is>
      </c>
      <c r="G287" s="5" t="inlineStr">
        <is>
          <t>Account Executive</t>
        </is>
      </c>
      <c r="H287" s="5" t="inlineStr">
        <is>
          <t>5</t>
        </is>
      </c>
      <c r="I287" s="5" t="inlineStr">
        <is>
          <t>Delhi</t>
        </is>
      </c>
      <c r="J287" s="5" t="inlineStr">
        <is>
          <t>Full-Time</t>
        </is>
      </c>
      <c r="K287" s="7" t="n">
        <v>45948</v>
      </c>
      <c r="L287" s="7" t="inlineStr"/>
      <c r="M287" s="5" t="inlineStr">
        <is>
          <t>Yes</t>
        </is>
      </c>
      <c r="N287" s="5" t="inlineStr"/>
      <c r="O287" s="8" t="inlineStr">
        <is>
          <t>158500</t>
        </is>
      </c>
      <c r="P287" s="5" t="inlineStr">
        <is>
          <t>5</t>
        </is>
      </c>
      <c r="Q287" s="5" t="inlineStr">
        <is>
          <t>5</t>
        </is>
      </c>
      <c r="R287" s="5" t="inlineStr">
        <is>
          <t>8</t>
        </is>
      </c>
      <c r="S287" s="5" t="inlineStr">
        <is>
          <t>2</t>
        </is>
      </c>
      <c r="T287" s="5" t="inlineStr">
        <is>
          <t>0</t>
        </is>
      </c>
      <c r="U287" s="5">
        <f>IFS(C287&lt;30,"Under 30",C287&lt;40,"30-39",C287&lt;50,"40-49",TRUE,"50+")</f>
        <v/>
      </c>
      <c r="V287" s="5">
        <f>IFS(O287&lt;60000,"Low (&lt;60k)",O287&lt;100000,"Mid (60-100k)",TRUE,"High (100k+)")</f>
        <v/>
      </c>
      <c r="W287" s="5">
        <f>IF(M287="No","Attrited","Active")</f>
        <v/>
      </c>
    </row>
    <row r="288">
      <c r="A288" s="5" t="inlineStr">
        <is>
          <t>E00287</t>
        </is>
      </c>
      <c r="B288" s="5" t="inlineStr">
        <is>
          <t>Male</t>
        </is>
      </c>
      <c r="C288" s="6" t="inlineStr">
        <is>
          <t>30</t>
        </is>
      </c>
      <c r="D288" s="5" t="inlineStr">
        <is>
          <t>Married</t>
        </is>
      </c>
      <c r="E288" s="5" t="inlineStr">
        <is>
          <t>Master</t>
        </is>
      </c>
      <c r="F288" s="5" t="inlineStr">
        <is>
          <t>Operations</t>
        </is>
      </c>
      <c r="G288" s="5" t="inlineStr">
        <is>
          <t>Quality Analyst</t>
        </is>
      </c>
      <c r="H288" s="5" t="inlineStr">
        <is>
          <t>2</t>
        </is>
      </c>
      <c r="I288" s="5" t="inlineStr">
        <is>
          <t>Chennai</t>
        </is>
      </c>
      <c r="J288" s="5" t="inlineStr">
        <is>
          <t>Full-Time</t>
        </is>
      </c>
      <c r="K288" s="7" t="n">
        <v>45639</v>
      </c>
      <c r="L288" s="7" t="inlineStr"/>
      <c r="M288" s="5" t="inlineStr">
        <is>
          <t>Yes</t>
        </is>
      </c>
      <c r="N288" s="5" t="inlineStr"/>
      <c r="O288" s="8" t="inlineStr">
        <is>
          <t>65500</t>
        </is>
      </c>
      <c r="P288" s="5" t="inlineStr">
        <is>
          <t>5</t>
        </is>
      </c>
      <c r="Q288" s="5" t="inlineStr">
        <is>
          <t>4</t>
        </is>
      </c>
      <c r="R288" s="5" t="inlineStr">
        <is>
          <t>3</t>
        </is>
      </c>
      <c r="S288" s="5" t="inlineStr">
        <is>
          <t>12</t>
        </is>
      </c>
      <c r="T288" s="5" t="inlineStr">
        <is>
          <t>13</t>
        </is>
      </c>
      <c r="U288" s="5">
        <f>IFS(C288&lt;30,"Under 30",C288&lt;40,"30-39",C288&lt;50,"40-49",TRUE,"50+")</f>
        <v/>
      </c>
      <c r="V288" s="5">
        <f>IFS(O288&lt;60000,"Low (&lt;60k)",O288&lt;100000,"Mid (60-100k)",TRUE,"High (100k+)")</f>
        <v/>
      </c>
      <c r="W288" s="5">
        <f>IF(M288="No","Attrited","Active")</f>
        <v/>
      </c>
    </row>
    <row r="289">
      <c r="A289" s="5" t="inlineStr">
        <is>
          <t>E00288</t>
        </is>
      </c>
      <c r="B289" s="5" t="inlineStr">
        <is>
          <t>Male</t>
        </is>
      </c>
      <c r="C289" s="6" t="inlineStr">
        <is>
          <t>37</t>
        </is>
      </c>
      <c r="D289" s="5" t="inlineStr">
        <is>
          <t>Married</t>
        </is>
      </c>
      <c r="E289" s="5" t="inlineStr">
        <is>
          <t>Diploma</t>
        </is>
      </c>
      <c r="F289" s="5" t="inlineStr">
        <is>
          <t>Sales</t>
        </is>
      </c>
      <c r="G289" s="5" t="inlineStr">
        <is>
          <t>Sales Executive</t>
        </is>
      </c>
      <c r="H289" s="5" t="inlineStr">
        <is>
          <t>3</t>
        </is>
      </c>
      <c r="I289" s="5" t="inlineStr">
        <is>
          <t>Delhi</t>
        </is>
      </c>
      <c r="J289" s="5" t="inlineStr">
        <is>
          <t>Full-Time</t>
        </is>
      </c>
      <c r="K289" s="7" t="n">
        <v>44195</v>
      </c>
      <c r="L289" s="7" t="inlineStr"/>
      <c r="M289" s="5" t="inlineStr">
        <is>
          <t>Yes</t>
        </is>
      </c>
      <c r="N289" s="5" t="inlineStr"/>
      <c r="O289" s="8" t="inlineStr">
        <is>
          <t>82500</t>
        </is>
      </c>
      <c r="P289" s="5" t="inlineStr">
        <is>
          <t>0</t>
        </is>
      </c>
      <c r="Q289" s="5" t="inlineStr">
        <is>
          <t>5</t>
        </is>
      </c>
      <c r="R289" s="5" t="inlineStr">
        <is>
          <t>5</t>
        </is>
      </c>
      <c r="S289" s="5" t="inlineStr">
        <is>
          <t>60</t>
        </is>
      </c>
      <c r="T289" s="5" t="inlineStr">
        <is>
          <t>0</t>
        </is>
      </c>
      <c r="U289" s="5">
        <f>IFS(C289&lt;30,"Under 30",C289&lt;40,"30-39",C289&lt;50,"40-49",TRUE,"50+")</f>
        <v/>
      </c>
      <c r="V289" s="5">
        <f>IFS(O289&lt;60000,"Low (&lt;60k)",O289&lt;100000,"Mid (60-100k)",TRUE,"High (100k+)")</f>
        <v/>
      </c>
      <c r="W289" s="5">
        <f>IF(M289="No","Attrited","Active")</f>
        <v/>
      </c>
    </row>
    <row r="290">
      <c r="A290" s="5" t="inlineStr">
        <is>
          <t>E00289</t>
        </is>
      </c>
      <c r="B290" s="5" t="inlineStr">
        <is>
          <t>Male</t>
        </is>
      </c>
      <c r="C290" s="6" t="inlineStr">
        <is>
          <t>33</t>
        </is>
      </c>
      <c r="D290" s="5" t="inlineStr">
        <is>
          <t>Single</t>
        </is>
      </c>
      <c r="E290" s="5" t="inlineStr">
        <is>
          <t>Bachelor</t>
        </is>
      </c>
      <c r="F290" s="5" t="inlineStr">
        <is>
          <t>Customer Support</t>
        </is>
      </c>
      <c r="G290" s="5" t="inlineStr">
        <is>
          <t>Support Agent</t>
        </is>
      </c>
      <c r="H290" s="5" t="inlineStr">
        <is>
          <t>3</t>
        </is>
      </c>
      <c r="I290" s="5" t="inlineStr">
        <is>
          <t>Bengaluru</t>
        </is>
      </c>
      <c r="J290" s="5" t="inlineStr">
        <is>
          <t>Full-Time</t>
        </is>
      </c>
      <c r="K290" s="7" t="n">
        <v>45365</v>
      </c>
      <c r="L290" s="7" t="n">
        <v>45515</v>
      </c>
      <c r="M290" s="5" t="inlineStr">
        <is>
          <t>No</t>
        </is>
      </c>
      <c r="N290" s="5" t="inlineStr">
        <is>
          <t>Performance / Termination</t>
        </is>
      </c>
      <c r="O290" s="8" t="inlineStr">
        <is>
          <t>94500</t>
        </is>
      </c>
      <c r="P290" s="5" t="inlineStr">
        <is>
          <t>5</t>
        </is>
      </c>
      <c r="Q290" s="5" t="inlineStr">
        <is>
          <t>3</t>
        </is>
      </c>
      <c r="R290" s="5" t="inlineStr">
        <is>
          <t>6</t>
        </is>
      </c>
      <c r="S290" s="5" t="inlineStr">
        <is>
          <t>5</t>
        </is>
      </c>
      <c r="T290" s="5" t="inlineStr">
        <is>
          <t>0</t>
        </is>
      </c>
      <c r="U290" s="5">
        <f>IFS(C290&lt;30,"Under 30",C290&lt;40,"30-39",C290&lt;50,"40-49",TRUE,"50+")</f>
        <v/>
      </c>
      <c r="V290" s="5">
        <f>IFS(O290&lt;60000,"Low (&lt;60k)",O290&lt;100000,"Mid (60-100k)",TRUE,"High (100k+)")</f>
        <v/>
      </c>
      <c r="W290" s="5">
        <f>IF(M290="No","Attrited","Active")</f>
        <v/>
      </c>
    </row>
    <row r="291">
      <c r="A291" s="5" t="inlineStr">
        <is>
          <t>E00290</t>
        </is>
      </c>
      <c r="B291" s="5" t="inlineStr">
        <is>
          <t>Female</t>
        </is>
      </c>
      <c r="C291" s="6" t="inlineStr">
        <is>
          <t>31</t>
        </is>
      </c>
      <c r="D291" s="5" t="inlineStr">
        <is>
          <t>Married</t>
        </is>
      </c>
      <c r="E291" s="5" t="inlineStr">
        <is>
          <t>High School</t>
        </is>
      </c>
      <c r="F291" s="5" t="inlineStr">
        <is>
          <t>Finance</t>
        </is>
      </c>
      <c r="G291" s="5" t="inlineStr">
        <is>
          <t>Financial Analyst</t>
        </is>
      </c>
      <c r="H291" s="5" t="inlineStr">
        <is>
          <t>4</t>
        </is>
      </c>
      <c r="I291" s="5" t="inlineStr">
        <is>
          <t>Hyderabad</t>
        </is>
      </c>
      <c r="J291" s="5" t="inlineStr">
        <is>
          <t>Full-Time</t>
        </is>
      </c>
      <c r="K291" s="7" t="n">
        <v>45222</v>
      </c>
      <c r="L291" s="7" t="inlineStr"/>
      <c r="M291" s="5" t="inlineStr">
        <is>
          <t>Yes</t>
        </is>
      </c>
      <c r="N291" s="5" t="inlineStr"/>
      <c r="O291" s="8" t="inlineStr">
        <is>
          <t>149500</t>
        </is>
      </c>
      <c r="P291" s="5" t="inlineStr">
        <is>
          <t>0</t>
        </is>
      </c>
      <c r="Q291" s="5" t="inlineStr">
        <is>
          <t>2</t>
        </is>
      </c>
      <c r="R291" s="5" t="inlineStr">
        <is>
          <t>7</t>
        </is>
      </c>
      <c r="S291" s="5" t="inlineStr">
        <is>
          <t>26</t>
        </is>
      </c>
      <c r="T291" s="5" t="inlineStr">
        <is>
          <t>6</t>
        </is>
      </c>
      <c r="U291" s="5">
        <f>IFS(C291&lt;30,"Under 30",C291&lt;40,"30-39",C291&lt;50,"40-49",TRUE,"50+")</f>
        <v/>
      </c>
      <c r="V291" s="5">
        <f>IFS(O291&lt;60000,"Low (&lt;60k)",O291&lt;100000,"Mid (60-100k)",TRUE,"High (100k+)")</f>
        <v/>
      </c>
      <c r="W291" s="5">
        <f>IF(M291="No","Attrited","Active")</f>
        <v/>
      </c>
    </row>
    <row r="292">
      <c r="A292" s="5" t="inlineStr">
        <is>
          <t>E00291</t>
        </is>
      </c>
      <c r="B292" s="5" t="inlineStr">
        <is>
          <t>Female</t>
        </is>
      </c>
      <c r="C292" s="6" t="inlineStr">
        <is>
          <t>36</t>
        </is>
      </c>
      <c r="D292" s="5" t="inlineStr">
        <is>
          <t>Single</t>
        </is>
      </c>
      <c r="E292" s="5" t="inlineStr">
        <is>
          <t>High School</t>
        </is>
      </c>
      <c r="F292" s="5" t="inlineStr">
        <is>
          <t>Finance</t>
        </is>
      </c>
      <c r="G292" s="5" t="inlineStr">
        <is>
          <t>Credit Analyst</t>
        </is>
      </c>
      <c r="H292" s="5" t="inlineStr">
        <is>
          <t>4</t>
        </is>
      </c>
      <c r="I292" s="5" t="inlineStr">
        <is>
          <t>Mumbai</t>
        </is>
      </c>
      <c r="J292" s="5" t="inlineStr">
        <is>
          <t>Full-Time</t>
        </is>
      </c>
      <c r="K292" s="7" t="n">
        <v>44858</v>
      </c>
      <c r="L292" s="7" t="inlineStr"/>
      <c r="M292" s="5" t="inlineStr">
        <is>
          <t>Yes</t>
        </is>
      </c>
      <c r="N292" s="5" t="inlineStr"/>
      <c r="O292" s="8" t="inlineStr">
        <is>
          <t>125500</t>
        </is>
      </c>
      <c r="P292" s="5" t="inlineStr">
        <is>
          <t>0</t>
        </is>
      </c>
      <c r="Q292" s="5" t="inlineStr">
        <is>
          <t>3</t>
        </is>
      </c>
      <c r="R292" s="5" t="inlineStr">
        <is>
          <t>8</t>
        </is>
      </c>
      <c r="S292" s="5" t="inlineStr">
        <is>
          <t>38</t>
        </is>
      </c>
      <c r="T292" s="5" t="inlineStr">
        <is>
          <t>11</t>
        </is>
      </c>
      <c r="U292" s="5">
        <f>IFS(C292&lt;30,"Under 30",C292&lt;40,"30-39",C292&lt;50,"40-49",TRUE,"50+")</f>
        <v/>
      </c>
      <c r="V292" s="5">
        <f>IFS(O292&lt;60000,"Low (&lt;60k)",O292&lt;100000,"Mid (60-100k)",TRUE,"High (100k+)")</f>
        <v/>
      </c>
      <c r="W292" s="5">
        <f>IF(M292="No","Attrited","Active")</f>
        <v/>
      </c>
    </row>
    <row r="293">
      <c r="A293" s="5" t="inlineStr">
        <is>
          <t>E00292</t>
        </is>
      </c>
      <c r="B293" s="5" t="inlineStr">
        <is>
          <t>Female</t>
        </is>
      </c>
      <c r="C293" s="6" t="inlineStr">
        <is>
          <t>27</t>
        </is>
      </c>
      <c r="D293" s="5" t="inlineStr">
        <is>
          <t>Married</t>
        </is>
      </c>
      <c r="E293" s="5" t="inlineStr">
        <is>
          <t>Master</t>
        </is>
      </c>
      <c r="F293" s="5" t="inlineStr">
        <is>
          <t>Marketing</t>
        </is>
      </c>
      <c r="G293" s="5" t="inlineStr">
        <is>
          <t>Marketing Analyst</t>
        </is>
      </c>
      <c r="H293" s="5" t="inlineStr">
        <is>
          <t>1</t>
        </is>
      </c>
      <c r="I293" s="5" t="inlineStr">
        <is>
          <t>Delhi</t>
        </is>
      </c>
      <c r="J293" s="5" t="inlineStr">
        <is>
          <t>Full-Time</t>
        </is>
      </c>
      <c r="K293" s="7" t="n">
        <v>44123</v>
      </c>
      <c r="L293" s="7" t="inlineStr"/>
      <c r="M293" s="5" t="inlineStr">
        <is>
          <t>Yes</t>
        </is>
      </c>
      <c r="N293" s="5" t="inlineStr"/>
      <c r="O293" s="8" t="inlineStr">
        <is>
          <t>67500</t>
        </is>
      </c>
      <c r="P293" s="5" t="inlineStr">
        <is>
          <t>5</t>
        </is>
      </c>
      <c r="Q293" s="5" t="inlineStr">
        <is>
          <t>1</t>
        </is>
      </c>
      <c r="R293" s="5" t="inlineStr">
        <is>
          <t>7</t>
        </is>
      </c>
      <c r="S293" s="5" t="inlineStr">
        <is>
          <t>63</t>
        </is>
      </c>
      <c r="T293" s="5" t="inlineStr">
        <is>
          <t>2</t>
        </is>
      </c>
      <c r="U293" s="5">
        <f>IFS(C293&lt;30,"Under 30",C293&lt;40,"30-39",C293&lt;50,"40-49",TRUE,"50+")</f>
        <v/>
      </c>
      <c r="V293" s="5">
        <f>IFS(O293&lt;60000,"Low (&lt;60k)",O293&lt;100000,"Mid (60-100k)",TRUE,"High (100k+)")</f>
        <v/>
      </c>
      <c r="W293" s="5">
        <f>IF(M293="No","Attrited","Active")</f>
        <v/>
      </c>
    </row>
    <row r="294">
      <c r="A294" s="5" t="inlineStr">
        <is>
          <t>E00293</t>
        </is>
      </c>
      <c r="B294" s="5" t="inlineStr">
        <is>
          <t>Female</t>
        </is>
      </c>
      <c r="C294" s="6" t="inlineStr">
        <is>
          <t>30</t>
        </is>
      </c>
      <c r="D294" s="5" t="inlineStr">
        <is>
          <t>Married</t>
        </is>
      </c>
      <c r="E294" s="5" t="inlineStr">
        <is>
          <t>Diploma</t>
        </is>
      </c>
      <c r="F294" s="5" t="inlineStr">
        <is>
          <t>Operations</t>
        </is>
      </c>
      <c r="G294" s="5" t="inlineStr">
        <is>
          <t>Quality Analyst</t>
        </is>
      </c>
      <c r="H294" s="5" t="inlineStr">
        <is>
          <t>1</t>
        </is>
      </c>
      <c r="I294" s="5" t="inlineStr">
        <is>
          <t>Remote</t>
        </is>
      </c>
      <c r="J294" s="5" t="inlineStr">
        <is>
          <t>Full-Time</t>
        </is>
      </c>
      <c r="K294" s="7" t="n">
        <v>45395</v>
      </c>
      <c r="L294" s="7" t="n">
        <v>45528</v>
      </c>
      <c r="M294" s="5" t="inlineStr">
        <is>
          <t>No</t>
        </is>
      </c>
      <c r="N294" s="5" t="inlineStr">
        <is>
          <t>Layoff</t>
        </is>
      </c>
      <c r="O294" s="8" t="inlineStr">
        <is>
          <t>56500</t>
        </is>
      </c>
      <c r="P294" s="5" t="inlineStr">
        <is>
          <t>0</t>
        </is>
      </c>
      <c r="Q294" s="5" t="inlineStr">
        <is>
          <t>3</t>
        </is>
      </c>
      <c r="R294" s="5" t="inlineStr">
        <is>
          <t>6</t>
        </is>
      </c>
      <c r="S294" s="5" t="inlineStr">
        <is>
          <t>4</t>
        </is>
      </c>
      <c r="T294" s="5" t="inlineStr">
        <is>
          <t>3</t>
        </is>
      </c>
      <c r="U294" s="5">
        <f>IFS(C294&lt;30,"Under 30",C294&lt;40,"30-39",C294&lt;50,"40-49",TRUE,"50+")</f>
        <v/>
      </c>
      <c r="V294" s="5">
        <f>IFS(O294&lt;60000,"Low (&lt;60k)",O294&lt;100000,"Mid (60-100k)",TRUE,"High (100k+)")</f>
        <v/>
      </c>
      <c r="W294" s="5">
        <f>IF(M294="No","Attrited","Active")</f>
        <v/>
      </c>
    </row>
    <row r="295">
      <c r="A295" s="5" t="inlineStr">
        <is>
          <t>E00294</t>
        </is>
      </c>
      <c r="B295" s="5" t="inlineStr">
        <is>
          <t>Female</t>
        </is>
      </c>
      <c r="C295" s="6" t="inlineStr">
        <is>
          <t>38</t>
        </is>
      </c>
      <c r="D295" s="5" t="inlineStr">
        <is>
          <t>Married</t>
        </is>
      </c>
      <c r="E295" s="5" t="inlineStr">
        <is>
          <t>Bachelor</t>
        </is>
      </c>
      <c r="F295" s="5" t="inlineStr">
        <is>
          <t>Operations</t>
        </is>
      </c>
      <c r="G295" s="5" t="inlineStr">
        <is>
          <t>Quality Analyst</t>
        </is>
      </c>
      <c r="H295" s="5" t="inlineStr">
        <is>
          <t>6</t>
        </is>
      </c>
      <c r="I295" s="5" t="inlineStr">
        <is>
          <t>Mumbai</t>
        </is>
      </c>
      <c r="J295" s="5" t="inlineStr">
        <is>
          <t>Full-Time</t>
        </is>
      </c>
      <c r="K295" s="7" t="n">
        <v>45310</v>
      </c>
      <c r="L295" s="7" t="inlineStr"/>
      <c r="M295" s="5" t="inlineStr">
        <is>
          <t>Yes</t>
        </is>
      </c>
      <c r="N295" s="5" t="inlineStr"/>
      <c r="O295" s="8" t="inlineStr">
        <is>
          <t>120000</t>
        </is>
      </c>
      <c r="P295" s="5" t="inlineStr">
        <is>
          <t>0</t>
        </is>
      </c>
      <c r="Q295" s="5" t="inlineStr">
        <is>
          <t>2</t>
        </is>
      </c>
      <c r="R295" s="5" t="inlineStr">
        <is>
          <t>6</t>
        </is>
      </c>
      <c r="S295" s="5" t="inlineStr">
        <is>
          <t>23</t>
        </is>
      </c>
      <c r="T295" s="5" t="inlineStr">
        <is>
          <t>5</t>
        </is>
      </c>
      <c r="U295" s="5">
        <f>IFS(C295&lt;30,"Under 30",C295&lt;40,"30-39",C295&lt;50,"40-49",TRUE,"50+")</f>
        <v/>
      </c>
      <c r="V295" s="5">
        <f>IFS(O295&lt;60000,"Low (&lt;60k)",O295&lt;100000,"Mid (60-100k)",TRUE,"High (100k+)")</f>
        <v/>
      </c>
      <c r="W295" s="5">
        <f>IF(M295="No","Attrited","Active")</f>
        <v/>
      </c>
    </row>
    <row r="296">
      <c r="A296" s="5" t="inlineStr">
        <is>
          <t>E00295</t>
        </is>
      </c>
      <c r="B296" s="5" t="inlineStr">
        <is>
          <t>Female</t>
        </is>
      </c>
      <c r="C296" s="6" t="inlineStr">
        <is>
          <t>32</t>
        </is>
      </c>
      <c r="D296" s="5" t="inlineStr">
        <is>
          <t>Single</t>
        </is>
      </c>
      <c r="E296" s="5" t="inlineStr">
        <is>
          <t>High School</t>
        </is>
      </c>
      <c r="F296" s="5" t="inlineStr">
        <is>
          <t>Research &amp; Development</t>
        </is>
      </c>
      <c r="G296" s="5" t="inlineStr">
        <is>
          <t>Data Scientist</t>
        </is>
      </c>
      <c r="H296" s="5" t="inlineStr">
        <is>
          <t>3</t>
        </is>
      </c>
      <c r="I296" s="5" t="inlineStr">
        <is>
          <t>Hyderabad</t>
        </is>
      </c>
      <c r="J296" s="5" t="inlineStr">
        <is>
          <t>Full-Time</t>
        </is>
      </c>
      <c r="K296" s="7" t="n">
        <v>45522</v>
      </c>
      <c r="L296" s="7" t="inlineStr"/>
      <c r="M296" s="5" t="inlineStr">
        <is>
          <t>Yes</t>
        </is>
      </c>
      <c r="N296" s="5" t="inlineStr"/>
      <c r="O296" s="8" t="inlineStr">
        <is>
          <t>171000</t>
        </is>
      </c>
      <c r="P296" s="5" t="inlineStr">
        <is>
          <t>0</t>
        </is>
      </c>
      <c r="Q296" s="5" t="inlineStr">
        <is>
          <t>3</t>
        </is>
      </c>
      <c r="R296" s="5" t="inlineStr">
        <is>
          <t>8</t>
        </is>
      </c>
      <c r="S296" s="5" t="inlineStr">
        <is>
          <t>16</t>
        </is>
      </c>
      <c r="T296" s="5" t="inlineStr">
        <is>
          <t>7</t>
        </is>
      </c>
      <c r="U296" s="5">
        <f>IFS(C296&lt;30,"Under 30",C296&lt;40,"30-39",C296&lt;50,"40-49",TRUE,"50+")</f>
        <v/>
      </c>
      <c r="V296" s="5">
        <f>IFS(O296&lt;60000,"Low (&lt;60k)",O296&lt;100000,"Mid (60-100k)",TRUE,"High (100k+)")</f>
        <v/>
      </c>
      <c r="W296" s="5">
        <f>IF(M296="No","Attrited","Active")</f>
        <v/>
      </c>
    </row>
    <row r="297">
      <c r="A297" s="5" t="inlineStr">
        <is>
          <t>E00296</t>
        </is>
      </c>
      <c r="B297" s="5" t="inlineStr">
        <is>
          <t>Female</t>
        </is>
      </c>
      <c r="C297" s="6" t="inlineStr">
        <is>
          <t>32</t>
        </is>
      </c>
      <c r="D297" s="5" t="inlineStr">
        <is>
          <t>Single</t>
        </is>
      </c>
      <c r="E297" s="5" t="inlineStr">
        <is>
          <t>PhD</t>
        </is>
      </c>
      <c r="F297" s="5" t="inlineStr">
        <is>
          <t>Operations</t>
        </is>
      </c>
      <c r="G297" s="5" t="inlineStr">
        <is>
          <t>Operations Analyst</t>
        </is>
      </c>
      <c r="H297" s="5" t="inlineStr">
        <is>
          <t>1</t>
        </is>
      </c>
      <c r="I297" s="5" t="inlineStr">
        <is>
          <t>Remote</t>
        </is>
      </c>
      <c r="J297" s="5" t="inlineStr">
        <is>
          <t>Full-Time</t>
        </is>
      </c>
      <c r="K297" s="7" t="n">
        <v>45859</v>
      </c>
      <c r="L297" s="7" t="inlineStr"/>
      <c r="M297" s="5" t="inlineStr">
        <is>
          <t>Yes</t>
        </is>
      </c>
      <c r="N297" s="5" t="inlineStr"/>
      <c r="O297" s="8" t="inlineStr">
        <is>
          <t>63500</t>
        </is>
      </c>
      <c r="P297" s="5" t="inlineStr">
        <is>
          <t>10</t>
        </is>
      </c>
      <c r="Q297" s="5" t="inlineStr">
        <is>
          <t>4</t>
        </is>
      </c>
      <c r="R297" s="5" t="inlineStr">
        <is>
          <t>5</t>
        </is>
      </c>
      <c r="S297" s="5" t="inlineStr">
        <is>
          <t>5</t>
        </is>
      </c>
      <c r="T297" s="5" t="inlineStr">
        <is>
          <t>6</t>
        </is>
      </c>
      <c r="U297" s="5">
        <f>IFS(C297&lt;30,"Under 30",C297&lt;40,"30-39",C297&lt;50,"40-49",TRUE,"50+")</f>
        <v/>
      </c>
      <c r="V297" s="5">
        <f>IFS(O297&lt;60000,"Low (&lt;60k)",O297&lt;100000,"Mid (60-100k)",TRUE,"High (100k+)")</f>
        <v/>
      </c>
      <c r="W297" s="5">
        <f>IF(M297="No","Attrited","Active")</f>
        <v/>
      </c>
    </row>
    <row r="298">
      <c r="A298" s="5" t="inlineStr">
        <is>
          <t>E00297</t>
        </is>
      </c>
      <c r="B298" s="5" t="inlineStr">
        <is>
          <t>Female</t>
        </is>
      </c>
      <c r="C298" s="6" t="inlineStr">
        <is>
          <t>42</t>
        </is>
      </c>
      <c r="D298" s="5" t="inlineStr">
        <is>
          <t>Single</t>
        </is>
      </c>
      <c r="E298" s="5" t="inlineStr">
        <is>
          <t>High School</t>
        </is>
      </c>
      <c r="F298" s="5" t="inlineStr">
        <is>
          <t>IT</t>
        </is>
      </c>
      <c r="G298" s="5" t="inlineStr">
        <is>
          <t>DevOps Engineer</t>
        </is>
      </c>
      <c r="H298" s="5" t="inlineStr">
        <is>
          <t>7</t>
        </is>
      </c>
      <c r="I298" s="5" t="inlineStr">
        <is>
          <t>Mumbai</t>
        </is>
      </c>
      <c r="J298" s="5" t="inlineStr">
        <is>
          <t>Full-Time</t>
        </is>
      </c>
      <c r="K298" s="7" t="n">
        <v>45113</v>
      </c>
      <c r="L298" s="7" t="inlineStr"/>
      <c r="M298" s="5" t="inlineStr">
        <is>
          <t>Yes</t>
        </is>
      </c>
      <c r="N298" s="5" t="inlineStr"/>
      <c r="O298" s="8" t="inlineStr">
        <is>
          <t>172000</t>
        </is>
      </c>
      <c r="P298" s="5" t="inlineStr">
        <is>
          <t>5</t>
        </is>
      </c>
      <c r="Q298" s="5" t="inlineStr">
        <is>
          <t>4</t>
        </is>
      </c>
      <c r="R298" s="5" t="inlineStr">
        <is>
          <t>8</t>
        </is>
      </c>
      <c r="S298" s="5" t="inlineStr">
        <is>
          <t>30</t>
        </is>
      </c>
      <c r="T298" s="5" t="inlineStr">
        <is>
          <t>8</t>
        </is>
      </c>
      <c r="U298" s="5">
        <f>IFS(C298&lt;30,"Under 30",C298&lt;40,"30-39",C298&lt;50,"40-49",TRUE,"50+")</f>
        <v/>
      </c>
      <c r="V298" s="5">
        <f>IFS(O298&lt;60000,"Low (&lt;60k)",O298&lt;100000,"Mid (60-100k)",TRUE,"High (100k+)")</f>
        <v/>
      </c>
      <c r="W298" s="5">
        <f>IF(M298="No","Attrited","Active")</f>
        <v/>
      </c>
    </row>
    <row r="299">
      <c r="A299" s="5" t="inlineStr">
        <is>
          <t>E00298</t>
        </is>
      </c>
      <c r="B299" s="5" t="inlineStr">
        <is>
          <t>Male</t>
        </is>
      </c>
      <c r="C299" s="6" t="inlineStr">
        <is>
          <t>26</t>
        </is>
      </c>
      <c r="D299" s="5" t="inlineStr">
        <is>
          <t>Married</t>
        </is>
      </c>
      <c r="E299" s="5" t="inlineStr">
        <is>
          <t>High School</t>
        </is>
      </c>
      <c r="F299" s="5" t="inlineStr">
        <is>
          <t>Finance</t>
        </is>
      </c>
      <c r="G299" s="5" t="inlineStr">
        <is>
          <t>Credit Analyst</t>
        </is>
      </c>
      <c r="H299" s="5" t="inlineStr">
        <is>
          <t>1</t>
        </is>
      </c>
      <c r="I299" s="5" t="inlineStr">
        <is>
          <t>Remote</t>
        </is>
      </c>
      <c r="J299" s="5" t="inlineStr">
        <is>
          <t>Contract</t>
        </is>
      </c>
      <c r="K299" s="7" t="n">
        <v>45181</v>
      </c>
      <c r="L299" s="7" t="inlineStr"/>
      <c r="M299" s="5" t="inlineStr">
        <is>
          <t>Yes</t>
        </is>
      </c>
      <c r="N299" s="5" t="inlineStr"/>
      <c r="O299" s="8" t="inlineStr">
        <is>
          <t>70500</t>
        </is>
      </c>
      <c r="P299" s="5" t="inlineStr">
        <is>
          <t>5</t>
        </is>
      </c>
      <c r="Q299" s="5" t="inlineStr">
        <is>
          <t>3</t>
        </is>
      </c>
      <c r="R299" s="5" t="inlineStr">
        <is>
          <t>5</t>
        </is>
      </c>
      <c r="S299" s="5" t="inlineStr">
        <is>
          <t>28</t>
        </is>
      </c>
      <c r="T299" s="5" t="inlineStr">
        <is>
          <t>8</t>
        </is>
      </c>
      <c r="U299" s="5">
        <f>IFS(C299&lt;30,"Under 30",C299&lt;40,"30-39",C299&lt;50,"40-49",TRUE,"50+")</f>
        <v/>
      </c>
      <c r="V299" s="5">
        <f>IFS(O299&lt;60000,"Low (&lt;60k)",O299&lt;100000,"Mid (60-100k)",TRUE,"High (100k+)")</f>
        <v/>
      </c>
      <c r="W299" s="5">
        <f>IF(M299="No","Attrited","Active")</f>
        <v/>
      </c>
    </row>
    <row r="300">
      <c r="A300" s="5" t="inlineStr">
        <is>
          <t>E00299</t>
        </is>
      </c>
      <c r="B300" s="5" t="inlineStr">
        <is>
          <t>Female</t>
        </is>
      </c>
      <c r="C300" s="6" t="inlineStr">
        <is>
          <t>37</t>
        </is>
      </c>
      <c r="D300" s="5" t="inlineStr">
        <is>
          <t>Married</t>
        </is>
      </c>
      <c r="E300" s="5" t="inlineStr">
        <is>
          <t>High School</t>
        </is>
      </c>
      <c r="F300" s="5" t="inlineStr">
        <is>
          <t>Operations</t>
        </is>
      </c>
      <c r="G300" s="5" t="inlineStr">
        <is>
          <t>Operations Analyst</t>
        </is>
      </c>
      <c r="H300" s="5" t="inlineStr">
        <is>
          <t>5</t>
        </is>
      </c>
      <c r="I300" s="5" t="inlineStr">
        <is>
          <t>Delhi</t>
        </is>
      </c>
      <c r="J300" s="5" t="inlineStr">
        <is>
          <t>Part-Time</t>
        </is>
      </c>
      <c r="K300" s="7" t="n">
        <v>44418</v>
      </c>
      <c r="L300" s="7" t="inlineStr"/>
      <c r="M300" s="5" t="inlineStr">
        <is>
          <t>Yes</t>
        </is>
      </c>
      <c r="N300" s="5" t="inlineStr"/>
      <c r="O300" s="8" t="inlineStr">
        <is>
          <t>124500</t>
        </is>
      </c>
      <c r="P300" s="5" t="inlineStr">
        <is>
          <t>5</t>
        </is>
      </c>
      <c r="Q300" s="5" t="inlineStr">
        <is>
          <t>4</t>
        </is>
      </c>
      <c r="R300" s="5" t="inlineStr">
        <is>
          <t>6</t>
        </is>
      </c>
      <c r="S300" s="5" t="inlineStr">
        <is>
          <t>53</t>
        </is>
      </c>
      <c r="T300" s="5" t="inlineStr">
        <is>
          <t>7</t>
        </is>
      </c>
      <c r="U300" s="5">
        <f>IFS(C300&lt;30,"Under 30",C300&lt;40,"30-39",C300&lt;50,"40-49",TRUE,"50+")</f>
        <v/>
      </c>
      <c r="V300" s="5">
        <f>IFS(O300&lt;60000,"Low (&lt;60k)",O300&lt;100000,"Mid (60-100k)",TRUE,"High (100k+)")</f>
        <v/>
      </c>
      <c r="W300" s="5">
        <f>IF(M300="No","Attrited","Active")</f>
        <v/>
      </c>
    </row>
    <row r="301">
      <c r="A301" s="5" t="inlineStr">
        <is>
          <t>E00300</t>
        </is>
      </c>
      <c r="B301" s="5" t="inlineStr">
        <is>
          <t>Female</t>
        </is>
      </c>
      <c r="C301" s="6" t="inlineStr">
        <is>
          <t>44</t>
        </is>
      </c>
      <c r="D301" s="5" t="inlineStr">
        <is>
          <t>Married</t>
        </is>
      </c>
      <c r="E301" s="5" t="inlineStr">
        <is>
          <t>PhD</t>
        </is>
      </c>
      <c r="F301" s="5" t="inlineStr">
        <is>
          <t>Human Resources</t>
        </is>
      </c>
      <c r="G301" s="5" t="inlineStr">
        <is>
          <t>Recruiter</t>
        </is>
      </c>
      <c r="H301" s="5" t="inlineStr">
        <is>
          <t>6</t>
        </is>
      </c>
      <c r="I301" s="5" t="inlineStr">
        <is>
          <t>Bengaluru</t>
        </is>
      </c>
      <c r="J301" s="5" t="inlineStr">
        <is>
          <t>Full-Time</t>
        </is>
      </c>
      <c r="K301" s="7" t="n">
        <v>45329</v>
      </c>
      <c r="L301" s="7" t="inlineStr"/>
      <c r="M301" s="5" t="inlineStr">
        <is>
          <t>Yes</t>
        </is>
      </c>
      <c r="N301" s="5" t="inlineStr"/>
      <c r="O301" s="8" t="inlineStr">
        <is>
          <t>103500</t>
        </is>
      </c>
      <c r="P301" s="5" t="inlineStr">
        <is>
          <t>5</t>
        </is>
      </c>
      <c r="Q301" s="5" t="inlineStr">
        <is>
          <t>4</t>
        </is>
      </c>
      <c r="R301" s="5" t="inlineStr">
        <is>
          <t>6</t>
        </is>
      </c>
      <c r="S301" s="5" t="inlineStr">
        <is>
          <t>23</t>
        </is>
      </c>
      <c r="T301" s="5" t="inlineStr">
        <is>
          <t>9</t>
        </is>
      </c>
      <c r="U301" s="5">
        <f>IFS(C301&lt;30,"Under 30",C301&lt;40,"30-39",C301&lt;50,"40-49",TRUE,"50+")</f>
        <v/>
      </c>
      <c r="V301" s="5">
        <f>IFS(O301&lt;60000,"Low (&lt;60k)",O301&lt;100000,"Mid (60-100k)",TRUE,"High (100k+)")</f>
        <v/>
      </c>
      <c r="W301" s="5">
        <f>IF(M301="No","Attrited","Active")</f>
        <v/>
      </c>
    </row>
    <row r="302">
      <c r="A302" s="5" t="inlineStr">
        <is>
          <t>E00301</t>
        </is>
      </c>
      <c r="B302" s="5" t="inlineStr">
        <is>
          <t>Female</t>
        </is>
      </c>
      <c r="C302" s="6" t="inlineStr">
        <is>
          <t>25</t>
        </is>
      </c>
      <c r="D302" s="5" t="inlineStr">
        <is>
          <t>Married</t>
        </is>
      </c>
      <c r="E302" s="5" t="inlineStr">
        <is>
          <t>Master</t>
        </is>
      </c>
      <c r="F302" s="5" t="inlineStr">
        <is>
          <t>Operations</t>
        </is>
      </c>
      <c r="G302" s="5" t="inlineStr">
        <is>
          <t>Logistics Coordinator</t>
        </is>
      </c>
      <c r="H302" s="5" t="inlineStr">
        <is>
          <t>2</t>
        </is>
      </c>
      <c r="I302" s="5" t="inlineStr">
        <is>
          <t>Delhi</t>
        </is>
      </c>
      <c r="J302" s="5" t="inlineStr">
        <is>
          <t>Contract</t>
        </is>
      </c>
      <c r="K302" s="7" t="n">
        <v>44069</v>
      </c>
      <c r="L302" s="7" t="inlineStr"/>
      <c r="M302" s="5" t="inlineStr">
        <is>
          <t>Yes</t>
        </is>
      </c>
      <c r="N302" s="5" t="inlineStr"/>
      <c r="O302" s="8" t="inlineStr">
        <is>
          <t>72000</t>
        </is>
      </c>
      <c r="P302" s="5" t="inlineStr">
        <is>
          <t>10</t>
        </is>
      </c>
      <c r="Q302" s="5" t="inlineStr">
        <is>
          <t>3</t>
        </is>
      </c>
      <c r="R302" s="5" t="inlineStr">
        <is>
          <t>4</t>
        </is>
      </c>
      <c r="S302" s="5" t="inlineStr">
        <is>
          <t>65</t>
        </is>
      </c>
      <c r="T302" s="5" t="inlineStr">
        <is>
          <t>8</t>
        </is>
      </c>
      <c r="U302" s="5">
        <f>IFS(C302&lt;30,"Under 30",C302&lt;40,"30-39",C302&lt;50,"40-49",TRUE,"50+")</f>
        <v/>
      </c>
      <c r="V302" s="5">
        <f>IFS(O302&lt;60000,"Low (&lt;60k)",O302&lt;100000,"Mid (60-100k)",TRUE,"High (100k+)")</f>
        <v/>
      </c>
      <c r="W302" s="5">
        <f>IF(M302="No","Attrited","Active")</f>
        <v/>
      </c>
    </row>
    <row r="303">
      <c r="A303" s="5" t="inlineStr">
        <is>
          <t>E00302</t>
        </is>
      </c>
      <c r="B303" s="5" t="inlineStr">
        <is>
          <t>Male</t>
        </is>
      </c>
      <c r="C303" s="6" t="inlineStr">
        <is>
          <t>30</t>
        </is>
      </c>
      <c r="D303" s="5" t="inlineStr">
        <is>
          <t>Married</t>
        </is>
      </c>
      <c r="E303" s="5" t="inlineStr">
        <is>
          <t>Bachelor</t>
        </is>
      </c>
      <c r="F303" s="5" t="inlineStr">
        <is>
          <t>Sales</t>
        </is>
      </c>
      <c r="G303" s="5" t="inlineStr">
        <is>
          <t>Account Executive</t>
        </is>
      </c>
      <c r="H303" s="5" t="inlineStr">
        <is>
          <t>4</t>
        </is>
      </c>
      <c r="I303" s="5" t="inlineStr">
        <is>
          <t>Remote</t>
        </is>
      </c>
      <c r="J303" s="5" t="inlineStr">
        <is>
          <t>Full-Time</t>
        </is>
      </c>
      <c r="K303" s="7" t="n">
        <v>45864</v>
      </c>
      <c r="L303" s="7" t="inlineStr"/>
      <c r="M303" s="5" t="inlineStr">
        <is>
          <t>Yes</t>
        </is>
      </c>
      <c r="N303" s="5" t="inlineStr"/>
      <c r="O303" s="8" t="inlineStr">
        <is>
          <t>133000</t>
        </is>
      </c>
      <c r="P303" s="5" t="inlineStr">
        <is>
          <t>0</t>
        </is>
      </c>
      <c r="Q303" s="5" t="inlineStr">
        <is>
          <t>4</t>
        </is>
      </c>
      <c r="R303" s="5" t="inlineStr">
        <is>
          <t>3</t>
        </is>
      </c>
      <c r="S303" s="5" t="inlineStr">
        <is>
          <t>5</t>
        </is>
      </c>
      <c r="T303" s="5" t="inlineStr">
        <is>
          <t>7</t>
        </is>
      </c>
      <c r="U303" s="5">
        <f>IFS(C303&lt;30,"Under 30",C303&lt;40,"30-39",C303&lt;50,"40-49",TRUE,"50+")</f>
        <v/>
      </c>
      <c r="V303" s="5">
        <f>IFS(O303&lt;60000,"Low (&lt;60k)",O303&lt;100000,"Mid (60-100k)",TRUE,"High (100k+)")</f>
        <v/>
      </c>
      <c r="W303" s="5">
        <f>IF(M303="No","Attrited","Active")</f>
        <v/>
      </c>
    </row>
    <row r="304">
      <c r="A304" s="5" t="inlineStr">
        <is>
          <t>E00303</t>
        </is>
      </c>
      <c r="B304" s="5" t="inlineStr">
        <is>
          <t>Female</t>
        </is>
      </c>
      <c r="C304" s="6" t="inlineStr">
        <is>
          <t>36</t>
        </is>
      </c>
      <c r="D304" s="5" t="inlineStr">
        <is>
          <t>Single</t>
        </is>
      </c>
      <c r="E304" s="5" t="inlineStr">
        <is>
          <t>PhD</t>
        </is>
      </c>
      <c r="F304" s="5" t="inlineStr">
        <is>
          <t>Human Resources</t>
        </is>
      </c>
      <c r="G304" s="5" t="inlineStr">
        <is>
          <t>HR Analyst</t>
        </is>
      </c>
      <c r="H304" s="5" t="inlineStr">
        <is>
          <t>2</t>
        </is>
      </c>
      <c r="I304" s="5" t="inlineStr">
        <is>
          <t>Delhi</t>
        </is>
      </c>
      <c r="J304" s="5" t="inlineStr">
        <is>
          <t>Full-Time</t>
        </is>
      </c>
      <c r="K304" s="7" t="n">
        <v>44233</v>
      </c>
      <c r="L304" s="7" t="n">
        <v>44311</v>
      </c>
      <c r="M304" s="5" t="inlineStr">
        <is>
          <t>No</t>
        </is>
      </c>
      <c r="N304" s="5" t="inlineStr">
        <is>
          <t>Performance / Termination</t>
        </is>
      </c>
      <c r="O304" s="8" t="inlineStr">
        <is>
          <t>95000</t>
        </is>
      </c>
      <c r="P304" s="5" t="inlineStr">
        <is>
          <t>20</t>
        </is>
      </c>
      <c r="Q304" s="5" t="inlineStr">
        <is>
          <t>4</t>
        </is>
      </c>
      <c r="R304" s="5" t="inlineStr">
        <is>
          <t>3</t>
        </is>
      </c>
      <c r="S304" s="5" t="inlineStr">
        <is>
          <t>2</t>
        </is>
      </c>
      <c r="T304" s="5" t="inlineStr">
        <is>
          <t>11</t>
        </is>
      </c>
      <c r="U304" s="5">
        <f>IFS(C304&lt;30,"Under 30",C304&lt;40,"30-39",C304&lt;50,"40-49",TRUE,"50+")</f>
        <v/>
      </c>
      <c r="V304" s="5">
        <f>IFS(O304&lt;60000,"Low (&lt;60k)",O304&lt;100000,"Mid (60-100k)",TRUE,"High (100k+)")</f>
        <v/>
      </c>
      <c r="W304" s="5">
        <f>IF(M304="No","Attrited","Active")</f>
        <v/>
      </c>
    </row>
    <row r="305">
      <c r="A305" s="5" t="inlineStr">
        <is>
          <t>E00304</t>
        </is>
      </c>
      <c r="B305" s="5" t="inlineStr">
        <is>
          <t>Female</t>
        </is>
      </c>
      <c r="C305" s="6" t="inlineStr">
        <is>
          <t>29</t>
        </is>
      </c>
      <c r="D305" s="5" t="inlineStr">
        <is>
          <t>Married</t>
        </is>
      </c>
      <c r="E305" s="5" t="inlineStr">
        <is>
          <t>High School</t>
        </is>
      </c>
      <c r="F305" s="5" t="inlineStr">
        <is>
          <t>Operations</t>
        </is>
      </c>
      <c r="G305" s="5" t="inlineStr">
        <is>
          <t>Quality Analyst</t>
        </is>
      </c>
      <c r="H305" s="5" t="inlineStr">
        <is>
          <t>3</t>
        </is>
      </c>
      <c r="I305" s="5" t="inlineStr">
        <is>
          <t>Delhi</t>
        </is>
      </c>
      <c r="J305" s="5" t="inlineStr">
        <is>
          <t>Full-Time</t>
        </is>
      </c>
      <c r="K305" s="7" t="n">
        <v>45765</v>
      </c>
      <c r="L305" s="7" t="n">
        <v>45846</v>
      </c>
      <c r="M305" s="5" t="inlineStr">
        <is>
          <t>No</t>
        </is>
      </c>
      <c r="N305" s="5" t="inlineStr">
        <is>
          <t>Resigned</t>
        </is>
      </c>
      <c r="O305" s="8" t="inlineStr">
        <is>
          <t>90000</t>
        </is>
      </c>
      <c r="P305" s="5" t="inlineStr">
        <is>
          <t>0</t>
        </is>
      </c>
      <c r="Q305" s="5" t="inlineStr">
        <is>
          <t>4</t>
        </is>
      </c>
      <c r="R305" s="5" t="inlineStr">
        <is>
          <t>6</t>
        </is>
      </c>
      <c r="S305" s="5" t="inlineStr">
        <is>
          <t>2</t>
        </is>
      </c>
      <c r="T305" s="5" t="inlineStr">
        <is>
          <t>8</t>
        </is>
      </c>
      <c r="U305" s="5">
        <f>IFS(C305&lt;30,"Under 30",C305&lt;40,"30-39",C305&lt;50,"40-49",TRUE,"50+")</f>
        <v/>
      </c>
      <c r="V305" s="5">
        <f>IFS(O305&lt;60000,"Low (&lt;60k)",O305&lt;100000,"Mid (60-100k)",TRUE,"High (100k+)")</f>
        <v/>
      </c>
      <c r="W305" s="5">
        <f>IF(M305="No","Attrited","Active")</f>
        <v/>
      </c>
    </row>
    <row r="306">
      <c r="A306" s="5" t="inlineStr">
        <is>
          <t>E00305</t>
        </is>
      </c>
      <c r="B306" s="5" t="inlineStr">
        <is>
          <t>Male</t>
        </is>
      </c>
      <c r="C306" s="6" t="inlineStr">
        <is>
          <t>31</t>
        </is>
      </c>
      <c r="D306" s="5" t="inlineStr">
        <is>
          <t>Single</t>
        </is>
      </c>
      <c r="E306" s="5" t="inlineStr">
        <is>
          <t>High School</t>
        </is>
      </c>
      <c r="F306" s="5" t="inlineStr">
        <is>
          <t>Human Resources</t>
        </is>
      </c>
      <c r="G306" s="5" t="inlineStr">
        <is>
          <t>HR Analyst</t>
        </is>
      </c>
      <c r="H306" s="5" t="inlineStr">
        <is>
          <t>2</t>
        </is>
      </c>
      <c r="I306" s="5" t="inlineStr">
        <is>
          <t>Remote</t>
        </is>
      </c>
      <c r="J306" s="5" t="inlineStr">
        <is>
          <t>Full-Time</t>
        </is>
      </c>
      <c r="K306" s="7" t="n">
        <v>44131</v>
      </c>
      <c r="L306" s="7" t="inlineStr"/>
      <c r="M306" s="5" t="inlineStr">
        <is>
          <t>Yes</t>
        </is>
      </c>
      <c r="N306" s="5" t="inlineStr"/>
      <c r="O306" s="8" t="inlineStr">
        <is>
          <t>78000</t>
        </is>
      </c>
      <c r="P306" s="5" t="inlineStr">
        <is>
          <t>0</t>
        </is>
      </c>
      <c r="Q306" s="5" t="inlineStr">
        <is>
          <t>1</t>
        </is>
      </c>
      <c r="R306" s="5" t="inlineStr">
        <is>
          <t>5</t>
        </is>
      </c>
      <c r="S306" s="5" t="inlineStr">
        <is>
          <t>63</t>
        </is>
      </c>
      <c r="T306" s="5" t="inlineStr">
        <is>
          <t>0</t>
        </is>
      </c>
      <c r="U306" s="5">
        <f>IFS(C306&lt;30,"Under 30",C306&lt;40,"30-39",C306&lt;50,"40-49",TRUE,"50+")</f>
        <v/>
      </c>
      <c r="V306" s="5">
        <f>IFS(O306&lt;60000,"Low (&lt;60k)",O306&lt;100000,"Mid (60-100k)",TRUE,"High (100k+)")</f>
        <v/>
      </c>
      <c r="W306" s="5">
        <f>IF(M306="No","Attrited","Active")</f>
        <v/>
      </c>
    </row>
    <row r="307">
      <c r="A307" s="5" t="inlineStr">
        <is>
          <t>E00306</t>
        </is>
      </c>
      <c r="B307" s="5" t="inlineStr">
        <is>
          <t>Female</t>
        </is>
      </c>
      <c r="C307" s="6" t="inlineStr">
        <is>
          <t>38</t>
        </is>
      </c>
      <c r="D307" s="5" t="inlineStr">
        <is>
          <t>Married</t>
        </is>
      </c>
      <c r="E307" s="5" t="inlineStr">
        <is>
          <t>High School</t>
        </is>
      </c>
      <c r="F307" s="5" t="inlineStr">
        <is>
          <t>IT</t>
        </is>
      </c>
      <c r="G307" s="5" t="inlineStr">
        <is>
          <t>Data Analyst</t>
        </is>
      </c>
      <c r="H307" s="5" t="inlineStr">
        <is>
          <t>7</t>
        </is>
      </c>
      <c r="I307" s="5" t="inlineStr">
        <is>
          <t>Chennai</t>
        </is>
      </c>
      <c r="J307" s="5" t="inlineStr">
        <is>
          <t>Full-Time</t>
        </is>
      </c>
      <c r="K307" s="7" t="n">
        <v>44665</v>
      </c>
      <c r="L307" s="7" t="n">
        <v>44760</v>
      </c>
      <c r="M307" s="5" t="inlineStr">
        <is>
          <t>No</t>
        </is>
      </c>
      <c r="N307" s="5" t="inlineStr">
        <is>
          <t>Performance / Termination</t>
        </is>
      </c>
      <c r="O307" s="8" t="inlineStr">
        <is>
          <t>235500</t>
        </is>
      </c>
      <c r="P307" s="5" t="inlineStr">
        <is>
          <t>20</t>
        </is>
      </c>
      <c r="Q307" s="5" t="inlineStr">
        <is>
          <t>2</t>
        </is>
      </c>
      <c r="R307" s="5" t="inlineStr">
        <is>
          <t>6</t>
        </is>
      </c>
      <c r="S307" s="5" t="inlineStr">
        <is>
          <t>3</t>
        </is>
      </c>
      <c r="T307" s="5" t="inlineStr">
        <is>
          <t>0</t>
        </is>
      </c>
      <c r="U307" s="5">
        <f>IFS(C307&lt;30,"Under 30",C307&lt;40,"30-39",C307&lt;50,"40-49",TRUE,"50+")</f>
        <v/>
      </c>
      <c r="V307" s="5">
        <f>IFS(O307&lt;60000,"Low (&lt;60k)",O307&lt;100000,"Mid (60-100k)",TRUE,"High (100k+)")</f>
        <v/>
      </c>
      <c r="W307" s="5">
        <f>IF(M307="No","Attrited","Active")</f>
        <v/>
      </c>
    </row>
    <row r="308">
      <c r="A308" s="5" t="inlineStr">
        <is>
          <t>E00307</t>
        </is>
      </c>
      <c r="B308" s="5" t="inlineStr">
        <is>
          <t>Female</t>
        </is>
      </c>
      <c r="C308" s="6" t="inlineStr">
        <is>
          <t>27</t>
        </is>
      </c>
      <c r="D308" s="5" t="inlineStr">
        <is>
          <t>Divorced</t>
        </is>
      </c>
      <c r="E308" s="5" t="inlineStr">
        <is>
          <t>PhD</t>
        </is>
      </c>
      <c r="F308" s="5" t="inlineStr">
        <is>
          <t>Marketing</t>
        </is>
      </c>
      <c r="G308" s="5" t="inlineStr">
        <is>
          <t>Content Writer</t>
        </is>
      </c>
      <c r="H308" s="5" t="inlineStr">
        <is>
          <t>3</t>
        </is>
      </c>
      <c r="I308" s="5" t="inlineStr">
        <is>
          <t>Mumbai</t>
        </is>
      </c>
      <c r="J308" s="5" t="inlineStr">
        <is>
          <t>Full-Time</t>
        </is>
      </c>
      <c r="K308" s="7" t="n">
        <v>45783</v>
      </c>
      <c r="L308" s="7" t="inlineStr"/>
      <c r="M308" s="5" t="inlineStr">
        <is>
          <t>Yes</t>
        </is>
      </c>
      <c r="N308" s="5" t="inlineStr"/>
      <c r="O308" s="8" t="inlineStr">
        <is>
          <t>67500</t>
        </is>
      </c>
      <c r="P308" s="5" t="inlineStr">
        <is>
          <t>5</t>
        </is>
      </c>
      <c r="Q308" s="5" t="inlineStr">
        <is>
          <t>5</t>
        </is>
      </c>
      <c r="R308" s="5" t="inlineStr">
        <is>
          <t>7</t>
        </is>
      </c>
      <c r="S308" s="5" t="inlineStr">
        <is>
          <t>7</t>
        </is>
      </c>
      <c r="T308" s="5" t="inlineStr">
        <is>
          <t>0</t>
        </is>
      </c>
      <c r="U308" s="5">
        <f>IFS(C308&lt;30,"Under 30",C308&lt;40,"30-39",C308&lt;50,"40-49",TRUE,"50+")</f>
        <v/>
      </c>
      <c r="V308" s="5">
        <f>IFS(O308&lt;60000,"Low (&lt;60k)",O308&lt;100000,"Mid (60-100k)",TRUE,"High (100k+)")</f>
        <v/>
      </c>
      <c r="W308" s="5">
        <f>IF(M308="No","Attrited","Active")</f>
        <v/>
      </c>
    </row>
    <row r="309">
      <c r="A309" s="5" t="inlineStr">
        <is>
          <t>E00308</t>
        </is>
      </c>
      <c r="B309" s="5" t="inlineStr">
        <is>
          <t>Male</t>
        </is>
      </c>
      <c r="C309" s="6" t="inlineStr">
        <is>
          <t>44</t>
        </is>
      </c>
      <c r="D309" s="5" t="inlineStr">
        <is>
          <t>Divorced</t>
        </is>
      </c>
      <c r="E309" s="5" t="inlineStr">
        <is>
          <t>High School</t>
        </is>
      </c>
      <c r="F309" s="5" t="inlineStr">
        <is>
          <t>Sales</t>
        </is>
      </c>
      <c r="G309" s="5" t="inlineStr">
        <is>
          <t>Business Development</t>
        </is>
      </c>
      <c r="H309" s="5" t="inlineStr">
        <is>
          <t>7</t>
        </is>
      </c>
      <c r="I309" s="5" t="inlineStr">
        <is>
          <t>Hyderabad</t>
        </is>
      </c>
      <c r="J309" s="5" t="inlineStr">
        <is>
          <t>Full-Time</t>
        </is>
      </c>
      <c r="K309" s="7" t="n">
        <v>44759</v>
      </c>
      <c r="L309" s="7" t="inlineStr"/>
      <c r="M309" s="5" t="inlineStr">
        <is>
          <t>Yes</t>
        </is>
      </c>
      <c r="N309" s="5" t="inlineStr"/>
      <c r="O309" s="8" t="inlineStr">
        <is>
          <t>132500</t>
        </is>
      </c>
      <c r="P309" s="5" t="inlineStr">
        <is>
          <t>0</t>
        </is>
      </c>
      <c r="Q309" s="5" t="inlineStr">
        <is>
          <t>4</t>
        </is>
      </c>
      <c r="R309" s="5" t="inlineStr">
        <is>
          <t>3</t>
        </is>
      </c>
      <c r="S309" s="5" t="inlineStr">
        <is>
          <t>42</t>
        </is>
      </c>
      <c r="T309" s="5" t="inlineStr">
        <is>
          <t>8</t>
        </is>
      </c>
      <c r="U309" s="5">
        <f>IFS(C309&lt;30,"Under 30",C309&lt;40,"30-39",C309&lt;50,"40-49",TRUE,"50+")</f>
        <v/>
      </c>
      <c r="V309" s="5">
        <f>IFS(O309&lt;60000,"Low (&lt;60k)",O309&lt;100000,"Mid (60-100k)",TRUE,"High (100k+)")</f>
        <v/>
      </c>
      <c r="W309" s="5">
        <f>IF(M309="No","Attrited","Active")</f>
        <v/>
      </c>
    </row>
    <row r="310">
      <c r="A310" s="5" t="inlineStr">
        <is>
          <t>E00309</t>
        </is>
      </c>
      <c r="B310" s="5" t="inlineStr">
        <is>
          <t>Female</t>
        </is>
      </c>
      <c r="C310" s="6" t="inlineStr">
        <is>
          <t>40</t>
        </is>
      </c>
      <c r="D310" s="5" t="inlineStr">
        <is>
          <t>Married</t>
        </is>
      </c>
      <c r="E310" s="5" t="inlineStr">
        <is>
          <t>High School</t>
        </is>
      </c>
      <c r="F310" s="5" t="inlineStr">
        <is>
          <t>Marketing</t>
        </is>
      </c>
      <c r="G310" s="5" t="inlineStr">
        <is>
          <t>Content Writer</t>
        </is>
      </c>
      <c r="H310" s="5" t="inlineStr">
        <is>
          <t>4</t>
        </is>
      </c>
      <c r="I310" s="5" t="inlineStr">
        <is>
          <t>Chennai</t>
        </is>
      </c>
      <c r="J310" s="5" t="inlineStr">
        <is>
          <t>Full-Time</t>
        </is>
      </c>
      <c r="K310" s="7" t="n">
        <v>44965</v>
      </c>
      <c r="L310" s="7" t="n">
        <v>45036</v>
      </c>
      <c r="M310" s="5" t="inlineStr">
        <is>
          <t>No</t>
        </is>
      </c>
      <c r="N310" s="5" t="inlineStr">
        <is>
          <t>Resigned</t>
        </is>
      </c>
      <c r="O310" s="8" t="inlineStr">
        <is>
          <t>107500</t>
        </is>
      </c>
      <c r="P310" s="5" t="inlineStr">
        <is>
          <t>20</t>
        </is>
      </c>
      <c r="Q310" s="5" t="inlineStr">
        <is>
          <t>3</t>
        </is>
      </c>
      <c r="R310" s="5" t="inlineStr">
        <is>
          <t>8</t>
        </is>
      </c>
      <c r="S310" s="5" t="inlineStr">
        <is>
          <t>2</t>
        </is>
      </c>
      <c r="T310" s="5" t="inlineStr">
        <is>
          <t>0</t>
        </is>
      </c>
      <c r="U310" s="5">
        <f>IFS(C310&lt;30,"Under 30",C310&lt;40,"30-39",C310&lt;50,"40-49",TRUE,"50+")</f>
        <v/>
      </c>
      <c r="V310" s="5">
        <f>IFS(O310&lt;60000,"Low (&lt;60k)",O310&lt;100000,"Mid (60-100k)",TRUE,"High (100k+)")</f>
        <v/>
      </c>
      <c r="W310" s="5">
        <f>IF(M310="No","Attrited","Active")</f>
        <v/>
      </c>
    </row>
    <row r="311">
      <c r="A311" s="5" t="inlineStr">
        <is>
          <t>E00310</t>
        </is>
      </c>
      <c r="B311" s="5" t="inlineStr">
        <is>
          <t>Female</t>
        </is>
      </c>
      <c r="C311" s="6" t="inlineStr">
        <is>
          <t>35</t>
        </is>
      </c>
      <c r="D311" s="5" t="inlineStr">
        <is>
          <t>Single</t>
        </is>
      </c>
      <c r="E311" s="5" t="inlineStr">
        <is>
          <t>PhD</t>
        </is>
      </c>
      <c r="F311" s="5" t="inlineStr">
        <is>
          <t>Human Resources</t>
        </is>
      </c>
      <c r="G311" s="5" t="inlineStr">
        <is>
          <t>Recruiter</t>
        </is>
      </c>
      <c r="H311" s="5" t="inlineStr">
        <is>
          <t>5</t>
        </is>
      </c>
      <c r="I311" s="5" t="inlineStr">
        <is>
          <t>Remote</t>
        </is>
      </c>
      <c r="J311" s="5" t="inlineStr">
        <is>
          <t>Full-Time</t>
        </is>
      </c>
      <c r="K311" s="7" t="n">
        <v>45342</v>
      </c>
      <c r="L311" s="7" t="inlineStr"/>
      <c r="M311" s="5" t="inlineStr">
        <is>
          <t>Yes</t>
        </is>
      </c>
      <c r="N311" s="5" t="inlineStr"/>
      <c r="O311" s="8" t="inlineStr">
        <is>
          <t>102000</t>
        </is>
      </c>
      <c r="P311" s="5" t="inlineStr">
        <is>
          <t>5</t>
        </is>
      </c>
      <c r="Q311" s="5" t="inlineStr">
        <is>
          <t>4</t>
        </is>
      </c>
      <c r="R311" s="5" t="inlineStr">
        <is>
          <t>9</t>
        </is>
      </c>
      <c r="S311" s="5" t="inlineStr">
        <is>
          <t>22</t>
        </is>
      </c>
      <c r="T311" s="5" t="inlineStr">
        <is>
          <t>14</t>
        </is>
      </c>
      <c r="U311" s="5">
        <f>IFS(C311&lt;30,"Under 30",C311&lt;40,"30-39",C311&lt;50,"40-49",TRUE,"50+")</f>
        <v/>
      </c>
      <c r="V311" s="5">
        <f>IFS(O311&lt;60000,"Low (&lt;60k)",O311&lt;100000,"Mid (60-100k)",TRUE,"High (100k+)")</f>
        <v/>
      </c>
      <c r="W311" s="5">
        <f>IF(M311="No","Attrited","Active")</f>
        <v/>
      </c>
    </row>
    <row r="312">
      <c r="A312" s="5" t="inlineStr">
        <is>
          <t>E00311</t>
        </is>
      </c>
      <c r="B312" s="5" t="inlineStr">
        <is>
          <t>Female</t>
        </is>
      </c>
      <c r="C312" s="6" t="inlineStr">
        <is>
          <t>34</t>
        </is>
      </c>
      <c r="D312" s="5" t="inlineStr">
        <is>
          <t>Single</t>
        </is>
      </c>
      <c r="E312" s="5" t="inlineStr">
        <is>
          <t>Bachelor</t>
        </is>
      </c>
      <c r="F312" s="5" t="inlineStr">
        <is>
          <t>Operations</t>
        </is>
      </c>
      <c r="G312" s="5" t="inlineStr">
        <is>
          <t>Operations Analyst</t>
        </is>
      </c>
      <c r="H312" s="5" t="inlineStr">
        <is>
          <t>1</t>
        </is>
      </c>
      <c r="I312" s="5" t="inlineStr">
        <is>
          <t>Hyderabad</t>
        </is>
      </c>
      <c r="J312" s="5" t="inlineStr">
        <is>
          <t>Full-Time</t>
        </is>
      </c>
      <c r="K312" s="7" t="n">
        <v>44827</v>
      </c>
      <c r="L312" s="7" t="n">
        <v>44923</v>
      </c>
      <c r="M312" s="5" t="inlineStr">
        <is>
          <t>No</t>
        </is>
      </c>
      <c r="N312" s="5" t="inlineStr">
        <is>
          <t>Resigned</t>
        </is>
      </c>
      <c r="O312" s="8" t="inlineStr">
        <is>
          <t>59000</t>
        </is>
      </c>
      <c r="P312" s="5" t="inlineStr">
        <is>
          <t>20</t>
        </is>
      </c>
      <c r="Q312" s="5" t="inlineStr">
        <is>
          <t>4</t>
        </is>
      </c>
      <c r="R312" s="5" t="inlineStr">
        <is>
          <t>8</t>
        </is>
      </c>
      <c r="S312" s="5" t="inlineStr">
        <is>
          <t>3</t>
        </is>
      </c>
      <c r="T312" s="5" t="inlineStr">
        <is>
          <t>18</t>
        </is>
      </c>
      <c r="U312" s="5">
        <f>IFS(C312&lt;30,"Under 30",C312&lt;40,"30-39",C312&lt;50,"40-49",TRUE,"50+")</f>
        <v/>
      </c>
      <c r="V312" s="5">
        <f>IFS(O312&lt;60000,"Low (&lt;60k)",O312&lt;100000,"Mid (60-100k)",TRUE,"High (100k+)")</f>
        <v/>
      </c>
      <c r="W312" s="5">
        <f>IF(M312="No","Attrited","Active")</f>
        <v/>
      </c>
    </row>
    <row r="313">
      <c r="A313" s="5" t="inlineStr">
        <is>
          <t>E00312</t>
        </is>
      </c>
      <c r="B313" s="5" t="inlineStr">
        <is>
          <t>Male</t>
        </is>
      </c>
      <c r="C313" s="6" t="inlineStr">
        <is>
          <t>42</t>
        </is>
      </c>
      <c r="D313" s="5" t="inlineStr">
        <is>
          <t>Single</t>
        </is>
      </c>
      <c r="E313" s="5" t="inlineStr">
        <is>
          <t>PhD</t>
        </is>
      </c>
      <c r="F313" s="5" t="inlineStr">
        <is>
          <t>Operations</t>
        </is>
      </c>
      <c r="G313" s="5" t="inlineStr">
        <is>
          <t>Operations Analyst</t>
        </is>
      </c>
      <c r="H313" s="5" t="inlineStr">
        <is>
          <t>6</t>
        </is>
      </c>
      <c r="I313" s="5" t="inlineStr">
        <is>
          <t>Mumbai</t>
        </is>
      </c>
      <c r="J313" s="5" t="inlineStr">
        <is>
          <t>Full-Time</t>
        </is>
      </c>
      <c r="K313" s="7" t="n">
        <v>44549</v>
      </c>
      <c r="L313" s="7" t="inlineStr"/>
      <c r="M313" s="5" t="inlineStr">
        <is>
          <t>Yes</t>
        </is>
      </c>
      <c r="N313" s="5" t="inlineStr"/>
      <c r="O313" s="8" t="inlineStr">
        <is>
          <t>114500</t>
        </is>
      </c>
      <c r="P313" s="5" t="inlineStr">
        <is>
          <t>5</t>
        </is>
      </c>
      <c r="Q313" s="5" t="inlineStr">
        <is>
          <t>3</t>
        </is>
      </c>
      <c r="R313" s="5" t="inlineStr">
        <is>
          <t>6</t>
        </is>
      </c>
      <c r="S313" s="5" t="inlineStr">
        <is>
          <t>49</t>
        </is>
      </c>
      <c r="T313" s="5" t="inlineStr">
        <is>
          <t>6</t>
        </is>
      </c>
      <c r="U313" s="5">
        <f>IFS(C313&lt;30,"Under 30",C313&lt;40,"30-39",C313&lt;50,"40-49",TRUE,"50+")</f>
        <v/>
      </c>
      <c r="V313" s="5">
        <f>IFS(O313&lt;60000,"Low (&lt;60k)",O313&lt;100000,"Mid (60-100k)",TRUE,"High (100k+)")</f>
        <v/>
      </c>
      <c r="W313" s="5">
        <f>IF(M313="No","Attrited","Active")</f>
        <v/>
      </c>
    </row>
    <row r="314">
      <c r="A314" s="5" t="inlineStr">
        <is>
          <t>E00313</t>
        </is>
      </c>
      <c r="B314" s="5" t="inlineStr">
        <is>
          <t>Female</t>
        </is>
      </c>
      <c r="C314" s="6" t="inlineStr">
        <is>
          <t>27</t>
        </is>
      </c>
      <c r="D314" s="5" t="inlineStr">
        <is>
          <t>Married</t>
        </is>
      </c>
      <c r="E314" s="5" t="inlineStr">
        <is>
          <t>Master</t>
        </is>
      </c>
      <c r="F314" s="5" t="inlineStr">
        <is>
          <t>Customer Support</t>
        </is>
      </c>
      <c r="G314" s="5" t="inlineStr">
        <is>
          <t>Escalation Specialist</t>
        </is>
      </c>
      <c r="H314" s="5" t="inlineStr">
        <is>
          <t>1</t>
        </is>
      </c>
      <c r="I314" s="5" t="inlineStr">
        <is>
          <t>Hyderabad</t>
        </is>
      </c>
      <c r="J314" s="5" t="inlineStr">
        <is>
          <t>Full-Time</t>
        </is>
      </c>
      <c r="K314" s="7" t="n">
        <v>45864</v>
      </c>
      <c r="L314" s="7" t="inlineStr"/>
      <c r="M314" s="5" t="inlineStr">
        <is>
          <t>Yes</t>
        </is>
      </c>
      <c r="N314" s="5" t="inlineStr"/>
      <c r="O314" s="8" t="inlineStr">
        <is>
          <t>69000</t>
        </is>
      </c>
      <c r="P314" s="5" t="inlineStr">
        <is>
          <t>0</t>
        </is>
      </c>
      <c r="Q314" s="5" t="inlineStr">
        <is>
          <t>4</t>
        </is>
      </c>
      <c r="R314" s="5" t="inlineStr">
        <is>
          <t>7</t>
        </is>
      </c>
      <c r="S314" s="5" t="inlineStr">
        <is>
          <t>5</t>
        </is>
      </c>
      <c r="T314" s="5" t="inlineStr">
        <is>
          <t>2</t>
        </is>
      </c>
      <c r="U314" s="5">
        <f>IFS(C314&lt;30,"Under 30",C314&lt;40,"30-39",C314&lt;50,"40-49",TRUE,"50+")</f>
        <v/>
      </c>
      <c r="V314" s="5">
        <f>IFS(O314&lt;60000,"Low (&lt;60k)",O314&lt;100000,"Mid (60-100k)",TRUE,"High (100k+)")</f>
        <v/>
      </c>
      <c r="W314" s="5">
        <f>IF(M314="No","Attrited","Active")</f>
        <v/>
      </c>
    </row>
    <row r="315">
      <c r="A315" s="5" t="inlineStr">
        <is>
          <t>E00314</t>
        </is>
      </c>
      <c r="B315" s="5" t="inlineStr">
        <is>
          <t>Male</t>
        </is>
      </c>
      <c r="C315" s="6" t="inlineStr">
        <is>
          <t>37</t>
        </is>
      </c>
      <c r="D315" s="5" t="inlineStr">
        <is>
          <t>Married</t>
        </is>
      </c>
      <c r="E315" s="5" t="inlineStr">
        <is>
          <t>PhD</t>
        </is>
      </c>
      <c r="F315" s="5" t="inlineStr">
        <is>
          <t>Operations</t>
        </is>
      </c>
      <c r="G315" s="5" t="inlineStr">
        <is>
          <t>Logistics Coordinator</t>
        </is>
      </c>
      <c r="H315" s="5" t="inlineStr">
        <is>
          <t>3</t>
        </is>
      </c>
      <c r="I315" s="5" t="inlineStr">
        <is>
          <t>Chennai</t>
        </is>
      </c>
      <c r="J315" s="5" t="inlineStr">
        <is>
          <t>Full-Time</t>
        </is>
      </c>
      <c r="K315" s="7" t="n">
        <v>45627</v>
      </c>
      <c r="L315" s="7" t="inlineStr"/>
      <c r="M315" s="5" t="inlineStr">
        <is>
          <t>Yes</t>
        </is>
      </c>
      <c r="N315" s="5" t="inlineStr"/>
      <c r="O315" s="8" t="inlineStr">
        <is>
          <t>74500</t>
        </is>
      </c>
      <c r="P315" s="5" t="inlineStr">
        <is>
          <t>5</t>
        </is>
      </c>
      <c r="Q315" s="5" t="inlineStr">
        <is>
          <t>5</t>
        </is>
      </c>
      <c r="R315" s="5" t="inlineStr">
        <is>
          <t>9</t>
        </is>
      </c>
      <c r="S315" s="5" t="inlineStr">
        <is>
          <t>13</t>
        </is>
      </c>
      <c r="T315" s="5" t="inlineStr">
        <is>
          <t>8</t>
        </is>
      </c>
      <c r="U315" s="5">
        <f>IFS(C315&lt;30,"Under 30",C315&lt;40,"30-39",C315&lt;50,"40-49",TRUE,"50+")</f>
        <v/>
      </c>
      <c r="V315" s="5">
        <f>IFS(O315&lt;60000,"Low (&lt;60k)",O315&lt;100000,"Mid (60-100k)",TRUE,"High (100k+)")</f>
        <v/>
      </c>
      <c r="W315" s="5">
        <f>IF(M315="No","Attrited","Active")</f>
        <v/>
      </c>
    </row>
    <row r="316">
      <c r="A316" s="5" t="inlineStr">
        <is>
          <t>E00315</t>
        </is>
      </c>
      <c r="B316" s="5" t="inlineStr">
        <is>
          <t>Male</t>
        </is>
      </c>
      <c r="C316" s="6" t="inlineStr">
        <is>
          <t>28</t>
        </is>
      </c>
      <c r="D316" s="5" t="inlineStr">
        <is>
          <t>Married</t>
        </is>
      </c>
      <c r="E316" s="5" t="inlineStr">
        <is>
          <t>High School</t>
        </is>
      </c>
      <c r="F316" s="5" t="inlineStr">
        <is>
          <t>Sales</t>
        </is>
      </c>
      <c r="G316" s="5" t="inlineStr">
        <is>
          <t>Account Executive</t>
        </is>
      </c>
      <c r="H316" s="5" t="inlineStr">
        <is>
          <t>3</t>
        </is>
      </c>
      <c r="I316" s="5" t="inlineStr">
        <is>
          <t>Bengaluru</t>
        </is>
      </c>
      <c r="J316" s="5" t="inlineStr">
        <is>
          <t>Full-Time</t>
        </is>
      </c>
      <c r="K316" s="7" t="n">
        <v>45134</v>
      </c>
      <c r="L316" s="7" t="n">
        <v>45272</v>
      </c>
      <c r="M316" s="5" t="inlineStr">
        <is>
          <t>No</t>
        </is>
      </c>
      <c r="N316" s="5" t="inlineStr">
        <is>
          <t>Performance / Termination</t>
        </is>
      </c>
      <c r="O316" s="8" t="inlineStr">
        <is>
          <t>87500</t>
        </is>
      </c>
      <c r="P316" s="5" t="inlineStr">
        <is>
          <t>0</t>
        </is>
      </c>
      <c r="Q316" s="5" t="inlineStr">
        <is>
          <t>3</t>
        </is>
      </c>
      <c r="R316" s="5" t="inlineStr">
        <is>
          <t>3</t>
        </is>
      </c>
      <c r="S316" s="5" t="inlineStr">
        <is>
          <t>4</t>
        </is>
      </c>
      <c r="T316" s="5" t="inlineStr">
        <is>
          <t>4</t>
        </is>
      </c>
      <c r="U316" s="5">
        <f>IFS(C316&lt;30,"Under 30",C316&lt;40,"30-39",C316&lt;50,"40-49",TRUE,"50+")</f>
        <v/>
      </c>
      <c r="V316" s="5">
        <f>IFS(O316&lt;60000,"Low (&lt;60k)",O316&lt;100000,"Mid (60-100k)",TRUE,"High (100k+)")</f>
        <v/>
      </c>
      <c r="W316" s="5">
        <f>IF(M316="No","Attrited","Active")</f>
        <v/>
      </c>
    </row>
    <row r="317">
      <c r="A317" s="5" t="inlineStr">
        <is>
          <t>E00316</t>
        </is>
      </c>
      <c r="B317" s="5" t="inlineStr">
        <is>
          <t>Female</t>
        </is>
      </c>
      <c r="C317" s="6" t="inlineStr">
        <is>
          <t>39</t>
        </is>
      </c>
      <c r="D317" s="5" t="inlineStr">
        <is>
          <t>Married</t>
        </is>
      </c>
      <c r="E317" s="5" t="inlineStr">
        <is>
          <t>Bachelor</t>
        </is>
      </c>
      <c r="F317" s="5" t="inlineStr">
        <is>
          <t>Human Resources</t>
        </is>
      </c>
      <c r="G317" s="5" t="inlineStr">
        <is>
          <t>HR Analyst</t>
        </is>
      </c>
      <c r="H317" s="5" t="inlineStr">
        <is>
          <t>4</t>
        </is>
      </c>
      <c r="I317" s="5" t="inlineStr">
        <is>
          <t>Delhi</t>
        </is>
      </c>
      <c r="J317" s="5" t="inlineStr">
        <is>
          <t>Full-Time</t>
        </is>
      </c>
      <c r="K317" s="7" t="n">
        <v>43974</v>
      </c>
      <c r="L317" s="7" t="inlineStr"/>
      <c r="M317" s="5" t="inlineStr">
        <is>
          <t>Yes</t>
        </is>
      </c>
      <c r="N317" s="5" t="inlineStr"/>
      <c r="O317" s="8" t="inlineStr">
        <is>
          <t>98000</t>
        </is>
      </c>
      <c r="P317" s="5" t="inlineStr">
        <is>
          <t>10</t>
        </is>
      </c>
      <c r="Q317" s="5" t="inlineStr">
        <is>
          <t>4</t>
        </is>
      </c>
      <c r="R317" s="5" t="inlineStr">
        <is>
          <t>7</t>
        </is>
      </c>
      <c r="S317" s="5" t="inlineStr">
        <is>
          <t>68</t>
        </is>
      </c>
      <c r="T317" s="5" t="inlineStr">
        <is>
          <t>5</t>
        </is>
      </c>
      <c r="U317" s="5">
        <f>IFS(C317&lt;30,"Under 30",C317&lt;40,"30-39",C317&lt;50,"40-49",TRUE,"50+")</f>
        <v/>
      </c>
      <c r="V317" s="5">
        <f>IFS(O317&lt;60000,"Low (&lt;60k)",O317&lt;100000,"Mid (60-100k)",TRUE,"High (100k+)")</f>
        <v/>
      </c>
      <c r="W317" s="5">
        <f>IF(M317="No","Attrited","Active")</f>
        <v/>
      </c>
    </row>
    <row r="318">
      <c r="A318" s="5" t="inlineStr">
        <is>
          <t>E00317</t>
        </is>
      </c>
      <c r="B318" s="5" t="inlineStr">
        <is>
          <t>Male</t>
        </is>
      </c>
      <c r="C318" s="6" t="inlineStr">
        <is>
          <t>26</t>
        </is>
      </c>
      <c r="D318" s="5" t="inlineStr">
        <is>
          <t>Single</t>
        </is>
      </c>
      <c r="E318" s="5" t="inlineStr">
        <is>
          <t>Master</t>
        </is>
      </c>
      <c r="F318" s="5" t="inlineStr">
        <is>
          <t>IT</t>
        </is>
      </c>
      <c r="G318" s="5" t="inlineStr">
        <is>
          <t>Data Analyst</t>
        </is>
      </c>
      <c r="H318" s="5" t="inlineStr">
        <is>
          <t>1</t>
        </is>
      </c>
      <c r="I318" s="5" t="inlineStr">
        <is>
          <t>Remote</t>
        </is>
      </c>
      <c r="J318" s="5" t="inlineStr">
        <is>
          <t>Full-Time</t>
        </is>
      </c>
      <c r="K318" s="7" t="n">
        <v>45208</v>
      </c>
      <c r="L318" s="7" t="inlineStr"/>
      <c r="M318" s="5" t="inlineStr">
        <is>
          <t>Yes</t>
        </is>
      </c>
      <c r="N318" s="5" t="inlineStr"/>
      <c r="O318" s="8" t="inlineStr">
        <is>
          <t>145000</t>
        </is>
      </c>
      <c r="P318" s="5" t="inlineStr">
        <is>
          <t>15</t>
        </is>
      </c>
      <c r="Q318" s="5" t="inlineStr">
        <is>
          <t>2</t>
        </is>
      </c>
      <c r="R318" s="5" t="inlineStr">
        <is>
          <t>6</t>
        </is>
      </c>
      <c r="S318" s="5" t="inlineStr">
        <is>
          <t>27</t>
        </is>
      </c>
      <c r="T318" s="5" t="inlineStr">
        <is>
          <t>2</t>
        </is>
      </c>
      <c r="U318" s="5">
        <f>IFS(C318&lt;30,"Under 30",C318&lt;40,"30-39",C318&lt;50,"40-49",TRUE,"50+")</f>
        <v/>
      </c>
      <c r="V318" s="5">
        <f>IFS(O318&lt;60000,"Low (&lt;60k)",O318&lt;100000,"Mid (60-100k)",TRUE,"High (100k+)")</f>
        <v/>
      </c>
      <c r="W318" s="5">
        <f>IF(M318="No","Attrited","Active")</f>
        <v/>
      </c>
    </row>
    <row r="319">
      <c r="A319" s="5" t="inlineStr">
        <is>
          <t>E00318</t>
        </is>
      </c>
      <c r="B319" s="5" t="inlineStr">
        <is>
          <t>Female</t>
        </is>
      </c>
      <c r="C319" s="6" t="inlineStr">
        <is>
          <t>37</t>
        </is>
      </c>
      <c r="D319" s="5" t="inlineStr">
        <is>
          <t>Single</t>
        </is>
      </c>
      <c r="E319" s="5" t="inlineStr">
        <is>
          <t>Master</t>
        </is>
      </c>
      <c r="F319" s="5" t="inlineStr">
        <is>
          <t>Research &amp; Development</t>
        </is>
      </c>
      <c r="G319" s="5" t="inlineStr">
        <is>
          <t>Data Scientist</t>
        </is>
      </c>
      <c r="H319" s="5" t="inlineStr">
        <is>
          <t>3</t>
        </is>
      </c>
      <c r="I319" s="5" t="inlineStr">
        <is>
          <t>Bengaluru</t>
        </is>
      </c>
      <c r="J319" s="5" t="inlineStr">
        <is>
          <t>Full-Time</t>
        </is>
      </c>
      <c r="K319" s="7" t="n">
        <v>45666</v>
      </c>
      <c r="L319" s="7" t="n">
        <v>45726</v>
      </c>
      <c r="M319" s="5" t="inlineStr">
        <is>
          <t>No</t>
        </is>
      </c>
      <c r="N319" s="5" t="inlineStr">
        <is>
          <t>Resigned</t>
        </is>
      </c>
      <c r="O319" s="8" t="inlineStr">
        <is>
          <t>188000</t>
        </is>
      </c>
      <c r="P319" s="5" t="inlineStr">
        <is>
          <t>0</t>
        </is>
      </c>
      <c r="Q319" s="5" t="inlineStr">
        <is>
          <t>3</t>
        </is>
      </c>
      <c r="R319" s="5" t="inlineStr">
        <is>
          <t>5</t>
        </is>
      </c>
      <c r="S319" s="5" t="inlineStr">
        <is>
          <t>2</t>
        </is>
      </c>
      <c r="T319" s="5" t="inlineStr">
        <is>
          <t>4</t>
        </is>
      </c>
      <c r="U319" s="5">
        <f>IFS(C319&lt;30,"Under 30",C319&lt;40,"30-39",C319&lt;50,"40-49",TRUE,"50+")</f>
        <v/>
      </c>
      <c r="V319" s="5">
        <f>IFS(O319&lt;60000,"Low (&lt;60k)",O319&lt;100000,"Mid (60-100k)",TRUE,"High (100k+)")</f>
        <v/>
      </c>
      <c r="W319" s="5">
        <f>IF(M319="No","Attrited","Active")</f>
        <v/>
      </c>
    </row>
    <row r="320">
      <c r="A320" s="5" t="inlineStr">
        <is>
          <t>E00319</t>
        </is>
      </c>
      <c r="B320" s="5" t="inlineStr">
        <is>
          <t>Male</t>
        </is>
      </c>
      <c r="C320" s="6" t="inlineStr">
        <is>
          <t>31</t>
        </is>
      </c>
      <c r="D320" s="5" t="inlineStr">
        <is>
          <t>Married</t>
        </is>
      </c>
      <c r="E320" s="5" t="inlineStr">
        <is>
          <t>Bachelor</t>
        </is>
      </c>
      <c r="F320" s="5" t="inlineStr">
        <is>
          <t>Sales</t>
        </is>
      </c>
      <c r="G320" s="5" t="inlineStr">
        <is>
          <t>Account Executive</t>
        </is>
      </c>
      <c r="H320" s="5" t="inlineStr">
        <is>
          <t>3</t>
        </is>
      </c>
      <c r="I320" s="5" t="inlineStr">
        <is>
          <t>Hyderabad</t>
        </is>
      </c>
      <c r="J320" s="5" t="inlineStr">
        <is>
          <t>Full-Time</t>
        </is>
      </c>
      <c r="K320" s="7" t="n">
        <v>45406</v>
      </c>
      <c r="L320" s="7" t="inlineStr"/>
      <c r="M320" s="5" t="inlineStr">
        <is>
          <t>Yes</t>
        </is>
      </c>
      <c r="N320" s="5" t="inlineStr"/>
      <c r="O320" s="8" t="inlineStr">
        <is>
          <t>101000</t>
        </is>
      </c>
      <c r="P320" s="5" t="inlineStr">
        <is>
          <t>0</t>
        </is>
      </c>
      <c r="Q320" s="5" t="inlineStr">
        <is>
          <t>4</t>
        </is>
      </c>
      <c r="R320" s="5" t="inlineStr">
        <is>
          <t>9</t>
        </is>
      </c>
      <c r="S320" s="5" t="inlineStr">
        <is>
          <t>20</t>
        </is>
      </c>
      <c r="T320" s="5" t="inlineStr">
        <is>
          <t>5</t>
        </is>
      </c>
      <c r="U320" s="5">
        <f>IFS(C320&lt;30,"Under 30",C320&lt;40,"30-39",C320&lt;50,"40-49",TRUE,"50+")</f>
        <v/>
      </c>
      <c r="V320" s="5">
        <f>IFS(O320&lt;60000,"Low (&lt;60k)",O320&lt;100000,"Mid (60-100k)",TRUE,"High (100k+)")</f>
        <v/>
      </c>
      <c r="W320" s="5">
        <f>IF(M320="No","Attrited","Active")</f>
        <v/>
      </c>
    </row>
    <row r="321">
      <c r="A321" s="5" t="inlineStr">
        <is>
          <t>E00320</t>
        </is>
      </c>
      <c r="B321" s="5" t="inlineStr">
        <is>
          <t>Male</t>
        </is>
      </c>
      <c r="C321" s="6" t="inlineStr">
        <is>
          <t>33</t>
        </is>
      </c>
      <c r="D321" s="5" t="inlineStr">
        <is>
          <t>Married</t>
        </is>
      </c>
      <c r="E321" s="5" t="inlineStr">
        <is>
          <t>Diploma</t>
        </is>
      </c>
      <c r="F321" s="5" t="inlineStr">
        <is>
          <t>Marketing</t>
        </is>
      </c>
      <c r="G321" s="5" t="inlineStr">
        <is>
          <t>SEO Specialist</t>
        </is>
      </c>
      <c r="H321" s="5" t="inlineStr">
        <is>
          <t>4</t>
        </is>
      </c>
      <c r="I321" s="5" t="inlineStr">
        <is>
          <t>Delhi</t>
        </is>
      </c>
      <c r="J321" s="5" t="inlineStr">
        <is>
          <t>Full-Time</t>
        </is>
      </c>
      <c r="K321" s="7" t="n">
        <v>45688</v>
      </c>
      <c r="L321" s="7" t="inlineStr"/>
      <c r="M321" s="5" t="inlineStr">
        <is>
          <t>Yes</t>
        </is>
      </c>
      <c r="N321" s="5" t="inlineStr"/>
      <c r="O321" s="8" t="inlineStr">
        <is>
          <t>124500</t>
        </is>
      </c>
      <c r="P321" s="5" t="inlineStr">
        <is>
          <t>0</t>
        </is>
      </c>
      <c r="Q321" s="5" t="inlineStr">
        <is>
          <t>4</t>
        </is>
      </c>
      <c r="R321" s="5" t="inlineStr">
        <is>
          <t>6</t>
        </is>
      </c>
      <c r="S321" s="5" t="inlineStr">
        <is>
          <t>11</t>
        </is>
      </c>
      <c r="T321" s="5" t="inlineStr">
        <is>
          <t>12</t>
        </is>
      </c>
      <c r="U321" s="5">
        <f>IFS(C321&lt;30,"Under 30",C321&lt;40,"30-39",C321&lt;50,"40-49",TRUE,"50+")</f>
        <v/>
      </c>
      <c r="V321" s="5">
        <f>IFS(O321&lt;60000,"Low (&lt;60k)",O321&lt;100000,"Mid (60-100k)",TRUE,"High (100k+)")</f>
        <v/>
      </c>
      <c r="W321" s="5">
        <f>IF(M321="No","Attrited","Active")</f>
        <v/>
      </c>
    </row>
    <row r="322">
      <c r="A322" s="5" t="inlineStr">
        <is>
          <t>E00321</t>
        </is>
      </c>
      <c r="B322" s="5" t="inlineStr">
        <is>
          <t>Female</t>
        </is>
      </c>
      <c r="C322" s="6" t="inlineStr">
        <is>
          <t>27</t>
        </is>
      </c>
      <c r="D322" s="5" t="inlineStr">
        <is>
          <t>Married</t>
        </is>
      </c>
      <c r="E322" s="5" t="inlineStr">
        <is>
          <t>Master</t>
        </is>
      </c>
      <c r="F322" s="5" t="inlineStr">
        <is>
          <t>IT</t>
        </is>
      </c>
      <c r="G322" s="5" t="inlineStr">
        <is>
          <t>Software Engineer</t>
        </is>
      </c>
      <c r="H322" s="5" t="inlineStr">
        <is>
          <t>2</t>
        </is>
      </c>
      <c r="I322" s="5" t="inlineStr">
        <is>
          <t>Remote</t>
        </is>
      </c>
      <c r="J322" s="5" t="inlineStr">
        <is>
          <t>Full-Time</t>
        </is>
      </c>
      <c r="K322" s="7" t="n">
        <v>44283</v>
      </c>
      <c r="L322" s="7" t="inlineStr"/>
      <c r="M322" s="5" t="inlineStr">
        <is>
          <t>Yes</t>
        </is>
      </c>
      <c r="N322" s="5" t="inlineStr"/>
      <c r="O322" s="8" t="inlineStr">
        <is>
          <t>163000</t>
        </is>
      </c>
      <c r="P322" s="5" t="inlineStr">
        <is>
          <t>10</t>
        </is>
      </c>
      <c r="Q322" s="5" t="inlineStr">
        <is>
          <t>3</t>
        </is>
      </c>
      <c r="R322" s="5" t="inlineStr">
        <is>
          <t>5</t>
        </is>
      </c>
      <c r="S322" s="5" t="inlineStr">
        <is>
          <t>57</t>
        </is>
      </c>
      <c r="T322" s="5" t="inlineStr">
        <is>
          <t>0</t>
        </is>
      </c>
      <c r="U322" s="5">
        <f>IFS(C322&lt;30,"Under 30",C322&lt;40,"30-39",C322&lt;50,"40-49",TRUE,"50+")</f>
        <v/>
      </c>
      <c r="V322" s="5">
        <f>IFS(O322&lt;60000,"Low (&lt;60k)",O322&lt;100000,"Mid (60-100k)",TRUE,"High (100k+)")</f>
        <v/>
      </c>
      <c r="W322" s="5">
        <f>IF(M322="No","Attrited","Active")</f>
        <v/>
      </c>
    </row>
    <row r="323">
      <c r="A323" s="5" t="inlineStr">
        <is>
          <t>E00322</t>
        </is>
      </c>
      <c r="B323" s="5" t="inlineStr">
        <is>
          <t>Male</t>
        </is>
      </c>
      <c r="C323" s="6" t="inlineStr">
        <is>
          <t>27</t>
        </is>
      </c>
      <c r="D323" s="5" t="inlineStr">
        <is>
          <t>Married</t>
        </is>
      </c>
      <c r="E323" s="5" t="inlineStr">
        <is>
          <t>Bachelor</t>
        </is>
      </c>
      <c r="F323" s="5" t="inlineStr">
        <is>
          <t>Operations</t>
        </is>
      </c>
      <c r="G323" s="5" t="inlineStr">
        <is>
          <t>Operations Analyst</t>
        </is>
      </c>
      <c r="H323" s="5" t="inlineStr">
        <is>
          <t>2</t>
        </is>
      </c>
      <c r="I323" s="5" t="inlineStr">
        <is>
          <t>Hyderabad</t>
        </is>
      </c>
      <c r="J323" s="5" t="inlineStr">
        <is>
          <t>Full-Time</t>
        </is>
      </c>
      <c r="K323" s="7" t="n">
        <v>44165</v>
      </c>
      <c r="L323" s="7" t="inlineStr"/>
      <c r="M323" s="5" t="inlineStr">
        <is>
          <t>Yes</t>
        </is>
      </c>
      <c r="N323" s="5" t="inlineStr"/>
      <c r="O323" s="8" t="inlineStr">
        <is>
          <t>88000</t>
        </is>
      </c>
      <c r="P323" s="5" t="inlineStr">
        <is>
          <t>5</t>
        </is>
      </c>
      <c r="Q323" s="5" t="inlineStr">
        <is>
          <t>4</t>
        </is>
      </c>
      <c r="R323" s="5" t="inlineStr">
        <is>
          <t>6</t>
        </is>
      </c>
      <c r="S323" s="5" t="inlineStr">
        <is>
          <t>61</t>
        </is>
      </c>
      <c r="T323" s="5" t="inlineStr">
        <is>
          <t>10</t>
        </is>
      </c>
      <c r="U323" s="5">
        <f>IFS(C323&lt;30,"Under 30",C323&lt;40,"30-39",C323&lt;50,"40-49",TRUE,"50+")</f>
        <v/>
      </c>
      <c r="V323" s="5">
        <f>IFS(O323&lt;60000,"Low (&lt;60k)",O323&lt;100000,"Mid (60-100k)",TRUE,"High (100k+)")</f>
        <v/>
      </c>
      <c r="W323" s="5">
        <f>IF(M323="No","Attrited","Active")</f>
        <v/>
      </c>
    </row>
    <row r="324">
      <c r="A324" s="5" t="inlineStr">
        <is>
          <t>E00323</t>
        </is>
      </c>
      <c r="B324" s="5" t="inlineStr">
        <is>
          <t>Male</t>
        </is>
      </c>
      <c r="C324" s="6" t="inlineStr">
        <is>
          <t>31</t>
        </is>
      </c>
      <c r="D324" s="5" t="inlineStr">
        <is>
          <t>Married</t>
        </is>
      </c>
      <c r="E324" s="5" t="inlineStr">
        <is>
          <t>Master</t>
        </is>
      </c>
      <c r="F324" s="5" t="inlineStr">
        <is>
          <t>Marketing</t>
        </is>
      </c>
      <c r="G324" s="5" t="inlineStr">
        <is>
          <t>Content Writer</t>
        </is>
      </c>
      <c r="H324" s="5" t="inlineStr">
        <is>
          <t>1</t>
        </is>
      </c>
      <c r="I324" s="5" t="inlineStr">
        <is>
          <t>Delhi</t>
        </is>
      </c>
      <c r="J324" s="5" t="inlineStr">
        <is>
          <t>Part-Time</t>
        </is>
      </c>
      <c r="K324" s="7" t="n">
        <v>44499</v>
      </c>
      <c r="L324" s="7" t="inlineStr"/>
      <c r="M324" s="5" t="inlineStr">
        <is>
          <t>Yes</t>
        </is>
      </c>
      <c r="N324" s="5" t="inlineStr"/>
      <c r="O324" s="8" t="inlineStr">
        <is>
          <t>89500</t>
        </is>
      </c>
      <c r="P324" s="5" t="inlineStr">
        <is>
          <t>0</t>
        </is>
      </c>
      <c r="Q324" s="5" t="inlineStr">
        <is>
          <t>5</t>
        </is>
      </c>
      <c r="R324" s="5" t="inlineStr">
        <is>
          <t>5</t>
        </is>
      </c>
      <c r="S324" s="5" t="inlineStr">
        <is>
          <t>50</t>
        </is>
      </c>
      <c r="T324" s="5" t="inlineStr">
        <is>
          <t>22</t>
        </is>
      </c>
      <c r="U324" s="5">
        <f>IFS(C324&lt;30,"Under 30",C324&lt;40,"30-39",C324&lt;50,"40-49",TRUE,"50+")</f>
        <v/>
      </c>
      <c r="V324" s="5">
        <f>IFS(O324&lt;60000,"Low (&lt;60k)",O324&lt;100000,"Mid (60-100k)",TRUE,"High (100k+)")</f>
        <v/>
      </c>
      <c r="W324" s="5">
        <f>IF(M324="No","Attrited","Active")</f>
        <v/>
      </c>
    </row>
    <row r="325">
      <c r="A325" s="5" t="inlineStr">
        <is>
          <t>E00324</t>
        </is>
      </c>
      <c r="B325" s="5" t="inlineStr">
        <is>
          <t>Male</t>
        </is>
      </c>
      <c r="C325" s="6" t="inlineStr">
        <is>
          <t>33</t>
        </is>
      </c>
      <c r="D325" s="5" t="inlineStr">
        <is>
          <t>Married</t>
        </is>
      </c>
      <c r="E325" s="5" t="inlineStr">
        <is>
          <t>High School</t>
        </is>
      </c>
      <c r="F325" s="5" t="inlineStr">
        <is>
          <t>Human Resources</t>
        </is>
      </c>
      <c r="G325" s="5" t="inlineStr">
        <is>
          <t>Recruiter</t>
        </is>
      </c>
      <c r="H325" s="5" t="inlineStr">
        <is>
          <t>3</t>
        </is>
      </c>
      <c r="I325" s="5" t="inlineStr">
        <is>
          <t>Mumbai</t>
        </is>
      </c>
      <c r="J325" s="5" t="inlineStr">
        <is>
          <t>Full-Time</t>
        </is>
      </c>
      <c r="K325" s="7" t="n">
        <v>45640</v>
      </c>
      <c r="L325" s="7" t="inlineStr"/>
      <c r="M325" s="5" t="inlineStr">
        <is>
          <t>Yes</t>
        </is>
      </c>
      <c r="N325" s="5" t="inlineStr"/>
      <c r="O325" s="8" t="inlineStr">
        <is>
          <t>107500</t>
        </is>
      </c>
      <c r="P325" s="5" t="inlineStr">
        <is>
          <t>5</t>
        </is>
      </c>
      <c r="Q325" s="5" t="inlineStr">
        <is>
          <t>5</t>
        </is>
      </c>
      <c r="R325" s="5" t="inlineStr">
        <is>
          <t>6</t>
        </is>
      </c>
      <c r="S325" s="5" t="inlineStr">
        <is>
          <t>12</t>
        </is>
      </c>
      <c r="T325" s="5" t="inlineStr">
        <is>
          <t>7</t>
        </is>
      </c>
      <c r="U325" s="5">
        <f>IFS(C325&lt;30,"Under 30",C325&lt;40,"30-39",C325&lt;50,"40-49",TRUE,"50+")</f>
        <v/>
      </c>
      <c r="V325" s="5">
        <f>IFS(O325&lt;60000,"Low (&lt;60k)",O325&lt;100000,"Mid (60-100k)",TRUE,"High (100k+)")</f>
        <v/>
      </c>
      <c r="W325" s="5">
        <f>IF(M325="No","Attrited","Active")</f>
        <v/>
      </c>
    </row>
    <row r="326">
      <c r="A326" s="5" t="inlineStr">
        <is>
          <t>E00325</t>
        </is>
      </c>
      <c r="B326" s="5" t="inlineStr">
        <is>
          <t>Male</t>
        </is>
      </c>
      <c r="C326" s="6" t="inlineStr">
        <is>
          <t>33</t>
        </is>
      </c>
      <c r="D326" s="5" t="inlineStr">
        <is>
          <t>Married</t>
        </is>
      </c>
      <c r="E326" s="5" t="inlineStr">
        <is>
          <t>PhD</t>
        </is>
      </c>
      <c r="F326" s="5" t="inlineStr">
        <is>
          <t>Marketing</t>
        </is>
      </c>
      <c r="G326" s="5" t="inlineStr">
        <is>
          <t>SEO Specialist</t>
        </is>
      </c>
      <c r="H326" s="5" t="inlineStr">
        <is>
          <t>2</t>
        </is>
      </c>
      <c r="I326" s="5" t="inlineStr">
        <is>
          <t>Bengaluru</t>
        </is>
      </c>
      <c r="J326" s="5" t="inlineStr">
        <is>
          <t>Full-Time</t>
        </is>
      </c>
      <c r="K326" s="7" t="n">
        <v>45296</v>
      </c>
      <c r="L326" s="7" t="n">
        <v>45387</v>
      </c>
      <c r="M326" s="5" t="inlineStr">
        <is>
          <t>No</t>
        </is>
      </c>
      <c r="N326" s="5" t="inlineStr">
        <is>
          <t>Retirement</t>
        </is>
      </c>
      <c r="O326" s="8" t="inlineStr">
        <is>
          <t>65000</t>
        </is>
      </c>
      <c r="P326" s="5" t="inlineStr">
        <is>
          <t>5</t>
        </is>
      </c>
      <c r="Q326" s="5" t="inlineStr">
        <is>
          <t>4</t>
        </is>
      </c>
      <c r="R326" s="5" t="inlineStr">
        <is>
          <t>9</t>
        </is>
      </c>
      <c r="S326" s="5" t="inlineStr">
        <is>
          <t>3</t>
        </is>
      </c>
      <c r="T326" s="5" t="inlineStr">
        <is>
          <t>3</t>
        </is>
      </c>
      <c r="U326" s="5">
        <f>IFS(C326&lt;30,"Under 30",C326&lt;40,"30-39",C326&lt;50,"40-49",TRUE,"50+")</f>
        <v/>
      </c>
      <c r="V326" s="5">
        <f>IFS(O326&lt;60000,"Low (&lt;60k)",O326&lt;100000,"Mid (60-100k)",TRUE,"High (100k+)")</f>
        <v/>
      </c>
      <c r="W326" s="5">
        <f>IF(M326="No","Attrited","Active")</f>
        <v/>
      </c>
    </row>
    <row r="327">
      <c r="A327" s="5" t="inlineStr">
        <is>
          <t>E00326</t>
        </is>
      </c>
      <c r="B327" s="5" t="inlineStr">
        <is>
          <t>Male</t>
        </is>
      </c>
      <c r="C327" s="6" t="inlineStr">
        <is>
          <t>32</t>
        </is>
      </c>
      <c r="D327" s="5" t="inlineStr">
        <is>
          <t>Married</t>
        </is>
      </c>
      <c r="E327" s="5" t="inlineStr">
        <is>
          <t>Diploma</t>
        </is>
      </c>
      <c r="F327" s="5" t="inlineStr">
        <is>
          <t>Sales</t>
        </is>
      </c>
      <c r="G327" s="5" t="inlineStr">
        <is>
          <t>Sales Executive</t>
        </is>
      </c>
      <c r="H327" s="5" t="inlineStr">
        <is>
          <t>3</t>
        </is>
      </c>
      <c r="I327" s="5" t="inlineStr">
        <is>
          <t>Delhi</t>
        </is>
      </c>
      <c r="J327" s="5" t="inlineStr">
        <is>
          <t>Full-Time</t>
        </is>
      </c>
      <c r="K327" s="7" t="n">
        <v>44098</v>
      </c>
      <c r="L327" s="7" t="inlineStr"/>
      <c r="M327" s="5" t="inlineStr">
        <is>
          <t>Yes</t>
        </is>
      </c>
      <c r="N327" s="5" t="inlineStr"/>
      <c r="O327" s="8" t="inlineStr">
        <is>
          <t>125000</t>
        </is>
      </c>
      <c r="P327" s="5" t="inlineStr">
        <is>
          <t>10</t>
        </is>
      </c>
      <c r="Q327" s="5" t="inlineStr">
        <is>
          <t>5</t>
        </is>
      </c>
      <c r="R327" s="5" t="inlineStr">
        <is>
          <t>7</t>
        </is>
      </c>
      <c r="S327" s="5" t="inlineStr">
        <is>
          <t>64</t>
        </is>
      </c>
      <c r="T327" s="5" t="inlineStr">
        <is>
          <t>13</t>
        </is>
      </c>
      <c r="U327" s="5">
        <f>IFS(C327&lt;30,"Under 30",C327&lt;40,"30-39",C327&lt;50,"40-49",TRUE,"50+")</f>
        <v/>
      </c>
      <c r="V327" s="5">
        <f>IFS(O327&lt;60000,"Low (&lt;60k)",O327&lt;100000,"Mid (60-100k)",TRUE,"High (100k+)")</f>
        <v/>
      </c>
      <c r="W327" s="5">
        <f>IF(M327="No","Attrited","Active")</f>
        <v/>
      </c>
    </row>
    <row r="328">
      <c r="A328" s="5" t="inlineStr">
        <is>
          <t>E00327</t>
        </is>
      </c>
      <c r="B328" s="5" t="inlineStr">
        <is>
          <t>Female</t>
        </is>
      </c>
      <c r="C328" s="6" t="inlineStr">
        <is>
          <t>31</t>
        </is>
      </c>
      <c r="D328" s="5" t="inlineStr">
        <is>
          <t>Married</t>
        </is>
      </c>
      <c r="E328" s="5" t="inlineStr">
        <is>
          <t>Bachelor</t>
        </is>
      </c>
      <c r="F328" s="5" t="inlineStr">
        <is>
          <t>Marketing</t>
        </is>
      </c>
      <c r="G328" s="5" t="inlineStr">
        <is>
          <t>SEO Specialist</t>
        </is>
      </c>
      <c r="H328" s="5" t="inlineStr">
        <is>
          <t>3</t>
        </is>
      </c>
      <c r="I328" s="5" t="inlineStr">
        <is>
          <t>Hyderabad</t>
        </is>
      </c>
      <c r="J328" s="5" t="inlineStr">
        <is>
          <t>Full-Time</t>
        </is>
      </c>
      <c r="K328" s="7" t="n">
        <v>44105</v>
      </c>
      <c r="L328" s="7" t="inlineStr"/>
      <c r="M328" s="5" t="inlineStr">
        <is>
          <t>Yes</t>
        </is>
      </c>
      <c r="N328" s="5" t="inlineStr"/>
      <c r="O328" s="8" t="inlineStr">
        <is>
          <t>109000</t>
        </is>
      </c>
      <c r="P328" s="5" t="inlineStr">
        <is>
          <t>0</t>
        </is>
      </c>
      <c r="Q328" s="5" t="inlineStr">
        <is>
          <t>4</t>
        </is>
      </c>
      <c r="R328" s="5" t="inlineStr">
        <is>
          <t>3</t>
        </is>
      </c>
      <c r="S328" s="5" t="inlineStr">
        <is>
          <t>63</t>
        </is>
      </c>
      <c r="T328" s="5" t="inlineStr">
        <is>
          <t>11</t>
        </is>
      </c>
      <c r="U328" s="5">
        <f>IFS(C328&lt;30,"Under 30",C328&lt;40,"30-39",C328&lt;50,"40-49",TRUE,"50+")</f>
        <v/>
      </c>
      <c r="V328" s="5">
        <f>IFS(O328&lt;60000,"Low (&lt;60k)",O328&lt;100000,"Mid (60-100k)",TRUE,"High (100k+)")</f>
        <v/>
      </c>
      <c r="W328" s="5">
        <f>IF(M328="No","Attrited","Active")</f>
        <v/>
      </c>
    </row>
    <row r="329">
      <c r="A329" s="5" t="inlineStr">
        <is>
          <t>E00328</t>
        </is>
      </c>
      <c r="B329" s="5" t="inlineStr">
        <is>
          <t>Female</t>
        </is>
      </c>
      <c r="C329" s="6" t="inlineStr">
        <is>
          <t>36</t>
        </is>
      </c>
      <c r="D329" s="5" t="inlineStr">
        <is>
          <t>Married</t>
        </is>
      </c>
      <c r="E329" s="5" t="inlineStr">
        <is>
          <t>Diploma</t>
        </is>
      </c>
      <c r="F329" s="5" t="inlineStr">
        <is>
          <t>Sales</t>
        </is>
      </c>
      <c r="G329" s="5" t="inlineStr">
        <is>
          <t>Sales Executive</t>
        </is>
      </c>
      <c r="H329" s="5" t="inlineStr">
        <is>
          <t>5</t>
        </is>
      </c>
      <c r="I329" s="5" t="inlineStr">
        <is>
          <t>Delhi</t>
        </is>
      </c>
      <c r="J329" s="5" t="inlineStr">
        <is>
          <t>Full-Time</t>
        </is>
      </c>
      <c r="K329" s="7" t="n">
        <v>45101</v>
      </c>
      <c r="L329" s="7" t="inlineStr"/>
      <c r="M329" s="5" t="inlineStr">
        <is>
          <t>Yes</t>
        </is>
      </c>
      <c r="N329" s="5" t="inlineStr"/>
      <c r="O329" s="8" t="inlineStr">
        <is>
          <t>147500</t>
        </is>
      </c>
      <c r="P329" s="5" t="inlineStr">
        <is>
          <t>0</t>
        </is>
      </c>
      <c r="Q329" s="5" t="inlineStr">
        <is>
          <t>3</t>
        </is>
      </c>
      <c r="R329" s="5" t="inlineStr">
        <is>
          <t>7</t>
        </is>
      </c>
      <c r="S329" s="5" t="inlineStr">
        <is>
          <t>30</t>
        </is>
      </c>
      <c r="T329" s="5" t="inlineStr">
        <is>
          <t>0</t>
        </is>
      </c>
      <c r="U329" s="5">
        <f>IFS(C329&lt;30,"Under 30",C329&lt;40,"30-39",C329&lt;50,"40-49",TRUE,"50+")</f>
        <v/>
      </c>
      <c r="V329" s="5">
        <f>IFS(O329&lt;60000,"Low (&lt;60k)",O329&lt;100000,"Mid (60-100k)",TRUE,"High (100k+)")</f>
        <v/>
      </c>
      <c r="W329" s="5">
        <f>IF(M329="No","Attrited","Active")</f>
        <v/>
      </c>
    </row>
    <row r="330">
      <c r="A330" s="5" t="inlineStr">
        <is>
          <t>E00329</t>
        </is>
      </c>
      <c r="B330" s="5" t="inlineStr">
        <is>
          <t>Female</t>
        </is>
      </c>
      <c r="C330" s="6" t="inlineStr">
        <is>
          <t>34</t>
        </is>
      </c>
      <c r="D330" s="5" t="inlineStr">
        <is>
          <t>Single</t>
        </is>
      </c>
      <c r="E330" s="5" t="inlineStr">
        <is>
          <t>High School</t>
        </is>
      </c>
      <c r="F330" s="5" t="inlineStr">
        <is>
          <t>Customer Support</t>
        </is>
      </c>
      <c r="G330" s="5" t="inlineStr">
        <is>
          <t>Support Lead</t>
        </is>
      </c>
      <c r="H330" s="5" t="inlineStr">
        <is>
          <t>4</t>
        </is>
      </c>
      <c r="I330" s="5" t="inlineStr">
        <is>
          <t>Delhi</t>
        </is>
      </c>
      <c r="J330" s="5" t="inlineStr">
        <is>
          <t>Part-Time</t>
        </is>
      </c>
      <c r="K330" s="7" t="n">
        <v>44877</v>
      </c>
      <c r="L330" s="7" t="inlineStr"/>
      <c r="M330" s="5" t="inlineStr">
        <is>
          <t>Yes</t>
        </is>
      </c>
      <c r="N330" s="5" t="inlineStr"/>
      <c r="O330" s="8" t="inlineStr">
        <is>
          <t>93500</t>
        </is>
      </c>
      <c r="P330" s="5" t="inlineStr">
        <is>
          <t>5</t>
        </is>
      </c>
      <c r="Q330" s="5" t="inlineStr">
        <is>
          <t>3</t>
        </is>
      </c>
      <c r="R330" s="5" t="inlineStr">
        <is>
          <t>6</t>
        </is>
      </c>
      <c r="S330" s="5" t="inlineStr">
        <is>
          <t>38</t>
        </is>
      </c>
      <c r="T330" s="5" t="inlineStr">
        <is>
          <t>13</t>
        </is>
      </c>
      <c r="U330" s="5">
        <f>IFS(C330&lt;30,"Under 30",C330&lt;40,"30-39",C330&lt;50,"40-49",TRUE,"50+")</f>
        <v/>
      </c>
      <c r="V330" s="5">
        <f>IFS(O330&lt;60000,"Low (&lt;60k)",O330&lt;100000,"Mid (60-100k)",TRUE,"High (100k+)")</f>
        <v/>
      </c>
      <c r="W330" s="5">
        <f>IF(M330="No","Attrited","Active")</f>
        <v/>
      </c>
    </row>
    <row r="331">
      <c r="A331" s="5" t="inlineStr">
        <is>
          <t>E00330</t>
        </is>
      </c>
      <c r="B331" s="5" t="inlineStr">
        <is>
          <t>Male</t>
        </is>
      </c>
      <c r="C331" s="6" t="inlineStr">
        <is>
          <t>41</t>
        </is>
      </c>
      <c r="D331" s="5" t="inlineStr">
        <is>
          <t>Single</t>
        </is>
      </c>
      <c r="E331" s="5" t="inlineStr">
        <is>
          <t>Master</t>
        </is>
      </c>
      <c r="F331" s="5" t="inlineStr">
        <is>
          <t>Sales</t>
        </is>
      </c>
      <c r="G331" s="5" t="inlineStr">
        <is>
          <t>Sales Executive</t>
        </is>
      </c>
      <c r="H331" s="5" t="inlineStr">
        <is>
          <t>7</t>
        </is>
      </c>
      <c r="I331" s="5" t="inlineStr">
        <is>
          <t>Chennai</t>
        </is>
      </c>
      <c r="J331" s="5" t="inlineStr">
        <is>
          <t>Full-Time</t>
        </is>
      </c>
      <c r="K331" s="7" t="n">
        <v>44673</v>
      </c>
      <c r="L331" s="7" t="inlineStr"/>
      <c r="M331" s="5" t="inlineStr">
        <is>
          <t>Yes</t>
        </is>
      </c>
      <c r="N331" s="5" t="inlineStr"/>
      <c r="O331" s="8" t="inlineStr">
        <is>
          <t>197000</t>
        </is>
      </c>
      <c r="P331" s="5" t="inlineStr">
        <is>
          <t>10</t>
        </is>
      </c>
      <c r="Q331" s="5" t="inlineStr">
        <is>
          <t>3</t>
        </is>
      </c>
      <c r="R331" s="5" t="inlineStr">
        <is>
          <t>4</t>
        </is>
      </c>
      <c r="S331" s="5" t="inlineStr">
        <is>
          <t>44</t>
        </is>
      </c>
      <c r="T331" s="5" t="inlineStr">
        <is>
          <t>2</t>
        </is>
      </c>
      <c r="U331" s="5">
        <f>IFS(C331&lt;30,"Under 30",C331&lt;40,"30-39",C331&lt;50,"40-49",TRUE,"50+")</f>
        <v/>
      </c>
      <c r="V331" s="5">
        <f>IFS(O331&lt;60000,"Low (&lt;60k)",O331&lt;100000,"Mid (60-100k)",TRUE,"High (100k+)")</f>
        <v/>
      </c>
      <c r="W331" s="5">
        <f>IF(M331="No","Attrited","Active")</f>
        <v/>
      </c>
    </row>
    <row r="332">
      <c r="A332" s="5" t="inlineStr">
        <is>
          <t>E00331</t>
        </is>
      </c>
      <c r="B332" s="5" t="inlineStr">
        <is>
          <t>Male</t>
        </is>
      </c>
      <c r="C332" s="6" t="inlineStr">
        <is>
          <t>31</t>
        </is>
      </c>
      <c r="D332" s="5" t="inlineStr">
        <is>
          <t>Married</t>
        </is>
      </c>
      <c r="E332" s="5" t="inlineStr">
        <is>
          <t>Bachelor</t>
        </is>
      </c>
      <c r="F332" s="5" t="inlineStr">
        <is>
          <t>Sales</t>
        </is>
      </c>
      <c r="G332" s="5" t="inlineStr">
        <is>
          <t>Sales Executive</t>
        </is>
      </c>
      <c r="H332" s="5" t="inlineStr">
        <is>
          <t>5</t>
        </is>
      </c>
      <c r="I332" s="5" t="inlineStr">
        <is>
          <t>Chennai</t>
        </is>
      </c>
      <c r="J332" s="5" t="inlineStr">
        <is>
          <t>Full-Time</t>
        </is>
      </c>
      <c r="K332" s="7" t="n">
        <v>44936</v>
      </c>
      <c r="L332" s="7" t="n">
        <v>45037</v>
      </c>
      <c r="M332" s="5" t="inlineStr">
        <is>
          <t>No</t>
        </is>
      </c>
      <c r="N332" s="5" t="inlineStr">
        <is>
          <t>Relocation</t>
        </is>
      </c>
      <c r="O332" s="8" t="inlineStr">
        <is>
          <t>98500</t>
        </is>
      </c>
      <c r="P332" s="5" t="inlineStr">
        <is>
          <t>15</t>
        </is>
      </c>
      <c r="Q332" s="5" t="inlineStr">
        <is>
          <t>4</t>
        </is>
      </c>
      <c r="R332" s="5" t="inlineStr">
        <is>
          <t>2</t>
        </is>
      </c>
      <c r="S332" s="5" t="inlineStr">
        <is>
          <t>3</t>
        </is>
      </c>
      <c r="T332" s="5" t="inlineStr">
        <is>
          <t>14</t>
        </is>
      </c>
      <c r="U332" s="5">
        <f>IFS(C332&lt;30,"Under 30",C332&lt;40,"30-39",C332&lt;50,"40-49",TRUE,"50+")</f>
        <v/>
      </c>
      <c r="V332" s="5">
        <f>IFS(O332&lt;60000,"Low (&lt;60k)",O332&lt;100000,"Mid (60-100k)",TRUE,"High (100k+)")</f>
        <v/>
      </c>
      <c r="W332" s="5">
        <f>IF(M332="No","Attrited","Active")</f>
        <v/>
      </c>
    </row>
    <row r="333">
      <c r="A333" s="5" t="inlineStr">
        <is>
          <t>E00332</t>
        </is>
      </c>
      <c r="B333" s="5" t="inlineStr">
        <is>
          <t>Female</t>
        </is>
      </c>
      <c r="C333" s="6" t="inlineStr">
        <is>
          <t>42</t>
        </is>
      </c>
      <c r="D333" s="5" t="inlineStr">
        <is>
          <t>Married</t>
        </is>
      </c>
      <c r="E333" s="5" t="inlineStr">
        <is>
          <t>High School</t>
        </is>
      </c>
      <c r="F333" s="5" t="inlineStr">
        <is>
          <t>IT</t>
        </is>
      </c>
      <c r="G333" s="5" t="inlineStr">
        <is>
          <t>Software Engineer</t>
        </is>
      </c>
      <c r="H333" s="5" t="inlineStr">
        <is>
          <t>5</t>
        </is>
      </c>
      <c r="I333" s="5" t="inlineStr">
        <is>
          <t>Remote</t>
        </is>
      </c>
      <c r="J333" s="5" t="inlineStr">
        <is>
          <t>Full-Time</t>
        </is>
      </c>
      <c r="K333" s="7" t="n">
        <v>44818</v>
      </c>
      <c r="L333" s="7" t="inlineStr"/>
      <c r="M333" s="5" t="inlineStr">
        <is>
          <t>Yes</t>
        </is>
      </c>
      <c r="N333" s="5" t="inlineStr"/>
      <c r="O333" s="8" t="inlineStr">
        <is>
          <t>172000</t>
        </is>
      </c>
      <c r="P333" s="5" t="inlineStr">
        <is>
          <t>10</t>
        </is>
      </c>
      <c r="Q333" s="5" t="inlineStr">
        <is>
          <t>3</t>
        </is>
      </c>
      <c r="R333" s="5" t="inlineStr">
        <is>
          <t>7</t>
        </is>
      </c>
      <c r="S333" s="5" t="inlineStr">
        <is>
          <t>40</t>
        </is>
      </c>
      <c r="T333" s="5" t="inlineStr">
        <is>
          <t>12</t>
        </is>
      </c>
      <c r="U333" s="5">
        <f>IFS(C333&lt;30,"Under 30",C333&lt;40,"30-39",C333&lt;50,"40-49",TRUE,"50+")</f>
        <v/>
      </c>
      <c r="V333" s="5">
        <f>IFS(O333&lt;60000,"Low (&lt;60k)",O333&lt;100000,"Mid (60-100k)",TRUE,"High (100k+)")</f>
        <v/>
      </c>
      <c r="W333" s="5">
        <f>IF(M333="No","Attrited","Active")</f>
        <v/>
      </c>
    </row>
    <row r="334">
      <c r="A334" s="5" t="inlineStr">
        <is>
          <t>E00333</t>
        </is>
      </c>
      <c r="B334" s="5" t="inlineStr">
        <is>
          <t>Male</t>
        </is>
      </c>
      <c r="C334" s="6" t="inlineStr">
        <is>
          <t>32</t>
        </is>
      </c>
      <c r="D334" s="5" t="inlineStr">
        <is>
          <t>Married</t>
        </is>
      </c>
      <c r="E334" s="5" t="inlineStr">
        <is>
          <t>High School</t>
        </is>
      </c>
      <c r="F334" s="5" t="inlineStr">
        <is>
          <t>IT</t>
        </is>
      </c>
      <c r="G334" s="5" t="inlineStr">
        <is>
          <t>IT Support</t>
        </is>
      </c>
      <c r="H334" s="5" t="inlineStr">
        <is>
          <t>4</t>
        </is>
      </c>
      <c r="I334" s="5" t="inlineStr">
        <is>
          <t>Bengaluru</t>
        </is>
      </c>
      <c r="J334" s="5" t="inlineStr">
        <is>
          <t>Full-Time</t>
        </is>
      </c>
      <c r="K334" s="7" t="n">
        <v>45150</v>
      </c>
      <c r="L334" s="7" t="inlineStr"/>
      <c r="M334" s="5" t="inlineStr">
        <is>
          <t>Yes</t>
        </is>
      </c>
      <c r="N334" s="5" t="inlineStr"/>
      <c r="O334" s="8" t="inlineStr">
        <is>
          <t>186000</t>
        </is>
      </c>
      <c r="P334" s="5" t="inlineStr">
        <is>
          <t>0</t>
        </is>
      </c>
      <c r="Q334" s="5" t="inlineStr">
        <is>
          <t>3</t>
        </is>
      </c>
      <c r="R334" s="5" t="inlineStr">
        <is>
          <t>5</t>
        </is>
      </c>
      <c r="S334" s="5" t="inlineStr">
        <is>
          <t>29</t>
        </is>
      </c>
      <c r="T334" s="5" t="inlineStr">
        <is>
          <t>12</t>
        </is>
      </c>
      <c r="U334" s="5">
        <f>IFS(C334&lt;30,"Under 30",C334&lt;40,"30-39",C334&lt;50,"40-49",TRUE,"50+")</f>
        <v/>
      </c>
      <c r="V334" s="5">
        <f>IFS(O334&lt;60000,"Low (&lt;60k)",O334&lt;100000,"Mid (60-100k)",TRUE,"High (100k+)")</f>
        <v/>
      </c>
      <c r="W334" s="5">
        <f>IF(M334="No","Attrited","Active")</f>
        <v/>
      </c>
    </row>
    <row r="335">
      <c r="A335" s="5" t="inlineStr">
        <is>
          <t>E00334</t>
        </is>
      </c>
      <c r="B335" s="5" t="inlineStr">
        <is>
          <t>Male</t>
        </is>
      </c>
      <c r="C335" s="6" t="inlineStr">
        <is>
          <t>34</t>
        </is>
      </c>
      <c r="D335" s="5" t="inlineStr">
        <is>
          <t>Single</t>
        </is>
      </c>
      <c r="E335" s="5" t="inlineStr">
        <is>
          <t>High School</t>
        </is>
      </c>
      <c r="F335" s="5" t="inlineStr">
        <is>
          <t>IT</t>
        </is>
      </c>
      <c r="G335" s="5" t="inlineStr">
        <is>
          <t>DevOps Engineer</t>
        </is>
      </c>
      <c r="H335" s="5" t="inlineStr">
        <is>
          <t>1</t>
        </is>
      </c>
      <c r="I335" s="5" t="inlineStr">
        <is>
          <t>Bengaluru</t>
        </is>
      </c>
      <c r="J335" s="5" t="inlineStr">
        <is>
          <t>Full-Time</t>
        </is>
      </c>
      <c r="K335" s="7" t="n">
        <v>45140</v>
      </c>
      <c r="L335" s="7" t="inlineStr"/>
      <c r="M335" s="5" t="inlineStr">
        <is>
          <t>Yes</t>
        </is>
      </c>
      <c r="N335" s="5" t="inlineStr"/>
      <c r="O335" s="8" t="inlineStr">
        <is>
          <t>137000</t>
        </is>
      </c>
      <c r="P335" s="5" t="inlineStr">
        <is>
          <t>0</t>
        </is>
      </c>
      <c r="Q335" s="5" t="inlineStr">
        <is>
          <t>3</t>
        </is>
      </c>
      <c r="R335" s="5" t="inlineStr">
        <is>
          <t>6</t>
        </is>
      </c>
      <c r="S335" s="5" t="inlineStr">
        <is>
          <t>29</t>
        </is>
      </c>
      <c r="T335" s="5" t="inlineStr">
        <is>
          <t>11</t>
        </is>
      </c>
      <c r="U335" s="5">
        <f>IFS(C335&lt;30,"Under 30",C335&lt;40,"30-39",C335&lt;50,"40-49",TRUE,"50+")</f>
        <v/>
      </c>
      <c r="V335" s="5">
        <f>IFS(O335&lt;60000,"Low (&lt;60k)",O335&lt;100000,"Mid (60-100k)",TRUE,"High (100k+)")</f>
        <v/>
      </c>
      <c r="W335" s="5">
        <f>IF(M335="No","Attrited","Active")</f>
        <v/>
      </c>
    </row>
    <row r="336">
      <c r="A336" s="5" t="inlineStr">
        <is>
          <t>E00335</t>
        </is>
      </c>
      <c r="B336" s="5" t="inlineStr">
        <is>
          <t>Female</t>
        </is>
      </c>
      <c r="C336" s="6" t="inlineStr">
        <is>
          <t>31</t>
        </is>
      </c>
      <c r="D336" s="5" t="inlineStr">
        <is>
          <t>Married</t>
        </is>
      </c>
      <c r="E336" s="5" t="inlineStr">
        <is>
          <t>Master</t>
        </is>
      </c>
      <c r="F336" s="5" t="inlineStr">
        <is>
          <t>Operations</t>
        </is>
      </c>
      <c r="G336" s="5" t="inlineStr">
        <is>
          <t>Logistics Coordinator</t>
        </is>
      </c>
      <c r="H336" s="5" t="inlineStr">
        <is>
          <t>3</t>
        </is>
      </c>
      <c r="I336" s="5" t="inlineStr">
        <is>
          <t>Delhi</t>
        </is>
      </c>
      <c r="J336" s="5" t="inlineStr">
        <is>
          <t>Full-Time</t>
        </is>
      </c>
      <c r="K336" s="7" t="n">
        <v>44568</v>
      </c>
      <c r="L336" s="7" t="n">
        <v>44692</v>
      </c>
      <c r="M336" s="5" t="inlineStr">
        <is>
          <t>No</t>
        </is>
      </c>
      <c r="N336" s="5" t="inlineStr">
        <is>
          <t>Relocation</t>
        </is>
      </c>
      <c r="O336" s="8" t="inlineStr">
        <is>
          <t>119000</t>
        </is>
      </c>
      <c r="P336" s="5" t="inlineStr">
        <is>
          <t>0</t>
        </is>
      </c>
      <c r="Q336" s="5" t="inlineStr">
        <is>
          <t>5</t>
        </is>
      </c>
      <c r="R336" s="5" t="inlineStr">
        <is>
          <t>4</t>
        </is>
      </c>
      <c r="S336" s="5" t="inlineStr">
        <is>
          <t>4</t>
        </is>
      </c>
      <c r="T336" s="5" t="inlineStr">
        <is>
          <t>5</t>
        </is>
      </c>
      <c r="U336" s="5">
        <f>IFS(C336&lt;30,"Under 30",C336&lt;40,"30-39",C336&lt;50,"40-49",TRUE,"50+")</f>
        <v/>
      </c>
      <c r="V336" s="5">
        <f>IFS(O336&lt;60000,"Low (&lt;60k)",O336&lt;100000,"Mid (60-100k)",TRUE,"High (100k+)")</f>
        <v/>
      </c>
      <c r="W336" s="5">
        <f>IF(M336="No","Attrited","Active")</f>
        <v/>
      </c>
    </row>
    <row r="337">
      <c r="A337" s="5" t="inlineStr">
        <is>
          <t>E00336</t>
        </is>
      </c>
      <c r="B337" s="5" t="inlineStr">
        <is>
          <t>Male</t>
        </is>
      </c>
      <c r="C337" s="6" t="inlineStr">
        <is>
          <t>40</t>
        </is>
      </c>
      <c r="D337" s="5" t="inlineStr">
        <is>
          <t>Single</t>
        </is>
      </c>
      <c r="E337" s="5" t="inlineStr">
        <is>
          <t>Bachelor</t>
        </is>
      </c>
      <c r="F337" s="5" t="inlineStr">
        <is>
          <t>IT</t>
        </is>
      </c>
      <c r="G337" s="5" t="inlineStr">
        <is>
          <t>Software Engineer</t>
        </is>
      </c>
      <c r="H337" s="5" t="inlineStr">
        <is>
          <t>4</t>
        </is>
      </c>
      <c r="I337" s="5" t="inlineStr">
        <is>
          <t>Remote</t>
        </is>
      </c>
      <c r="J337" s="5" t="inlineStr">
        <is>
          <t>Part-Time</t>
        </is>
      </c>
      <c r="K337" s="7" t="n">
        <v>45791</v>
      </c>
      <c r="L337" s="7" t="inlineStr"/>
      <c r="M337" s="5" t="inlineStr">
        <is>
          <t>Yes</t>
        </is>
      </c>
      <c r="N337" s="5" t="inlineStr"/>
      <c r="O337" s="8" t="inlineStr">
        <is>
          <t>119500</t>
        </is>
      </c>
      <c r="P337" s="5" t="inlineStr">
        <is>
          <t>0</t>
        </is>
      </c>
      <c r="Q337" s="5" t="inlineStr">
        <is>
          <t>4</t>
        </is>
      </c>
      <c r="R337" s="5" t="inlineStr">
        <is>
          <t>5</t>
        </is>
      </c>
      <c r="S337" s="5" t="inlineStr">
        <is>
          <t>7</t>
        </is>
      </c>
      <c r="T337" s="5" t="inlineStr">
        <is>
          <t>7</t>
        </is>
      </c>
      <c r="U337" s="5">
        <f>IFS(C337&lt;30,"Under 30",C337&lt;40,"30-39",C337&lt;50,"40-49",TRUE,"50+")</f>
        <v/>
      </c>
      <c r="V337" s="5">
        <f>IFS(O337&lt;60000,"Low (&lt;60k)",O337&lt;100000,"Mid (60-100k)",TRUE,"High (100k+)")</f>
        <v/>
      </c>
      <c r="W337" s="5">
        <f>IF(M337="No","Attrited","Active")</f>
        <v/>
      </c>
    </row>
    <row r="338">
      <c r="A338" s="5" t="inlineStr">
        <is>
          <t>E00337</t>
        </is>
      </c>
      <c r="B338" s="5" t="inlineStr">
        <is>
          <t>Male</t>
        </is>
      </c>
      <c r="C338" s="6" t="inlineStr">
        <is>
          <t>35</t>
        </is>
      </c>
      <c r="D338" s="5" t="inlineStr">
        <is>
          <t>Married</t>
        </is>
      </c>
      <c r="E338" s="5" t="inlineStr">
        <is>
          <t>PhD</t>
        </is>
      </c>
      <c r="F338" s="5" t="inlineStr">
        <is>
          <t>Operations</t>
        </is>
      </c>
      <c r="G338" s="5" t="inlineStr">
        <is>
          <t>Logistics Coordinator</t>
        </is>
      </c>
      <c r="H338" s="5" t="inlineStr">
        <is>
          <t>5</t>
        </is>
      </c>
      <c r="I338" s="5" t="inlineStr">
        <is>
          <t>Mumbai</t>
        </is>
      </c>
      <c r="J338" s="5" t="inlineStr">
        <is>
          <t>Full-Time</t>
        </is>
      </c>
      <c r="K338" s="7" t="n">
        <v>44722</v>
      </c>
      <c r="L338" s="7" t="inlineStr"/>
      <c r="M338" s="5" t="inlineStr">
        <is>
          <t>Yes</t>
        </is>
      </c>
      <c r="N338" s="5" t="inlineStr"/>
      <c r="O338" s="8" t="inlineStr">
        <is>
          <t>120000</t>
        </is>
      </c>
      <c r="P338" s="5" t="inlineStr">
        <is>
          <t>10</t>
        </is>
      </c>
      <c r="Q338" s="5" t="inlineStr">
        <is>
          <t>2</t>
        </is>
      </c>
      <c r="R338" s="5" t="inlineStr">
        <is>
          <t>7</t>
        </is>
      </c>
      <c r="S338" s="5" t="inlineStr">
        <is>
          <t>43</t>
        </is>
      </c>
      <c r="T338" s="5" t="inlineStr">
        <is>
          <t>15</t>
        </is>
      </c>
      <c r="U338" s="5">
        <f>IFS(C338&lt;30,"Under 30",C338&lt;40,"30-39",C338&lt;50,"40-49",TRUE,"50+")</f>
        <v/>
      </c>
      <c r="V338" s="5">
        <f>IFS(O338&lt;60000,"Low (&lt;60k)",O338&lt;100000,"Mid (60-100k)",TRUE,"High (100k+)")</f>
        <v/>
      </c>
      <c r="W338" s="5">
        <f>IF(M338="No","Attrited","Active")</f>
        <v/>
      </c>
    </row>
    <row r="339">
      <c r="A339" s="5" t="inlineStr">
        <is>
          <t>E00338</t>
        </is>
      </c>
      <c r="B339" s="5" t="inlineStr">
        <is>
          <t>Male</t>
        </is>
      </c>
      <c r="C339" s="6" t="inlineStr">
        <is>
          <t>29</t>
        </is>
      </c>
      <c r="D339" s="5" t="inlineStr">
        <is>
          <t>Married</t>
        </is>
      </c>
      <c r="E339" s="5" t="inlineStr">
        <is>
          <t>High School</t>
        </is>
      </c>
      <c r="F339" s="5" t="inlineStr">
        <is>
          <t>Marketing</t>
        </is>
      </c>
      <c r="G339" s="5" t="inlineStr">
        <is>
          <t>SEO Specialist</t>
        </is>
      </c>
      <c r="H339" s="5" t="inlineStr">
        <is>
          <t>3</t>
        </is>
      </c>
      <c r="I339" s="5" t="inlineStr">
        <is>
          <t>Bengaluru</t>
        </is>
      </c>
      <c r="J339" s="5" t="inlineStr">
        <is>
          <t>Full-Time</t>
        </is>
      </c>
      <c r="K339" s="7" t="n">
        <v>44975</v>
      </c>
      <c r="L339" s="7" t="inlineStr"/>
      <c r="M339" s="5" t="inlineStr">
        <is>
          <t>Yes</t>
        </is>
      </c>
      <c r="N339" s="5" t="inlineStr"/>
      <c r="O339" s="8" t="inlineStr">
        <is>
          <t>68500</t>
        </is>
      </c>
      <c r="P339" s="5" t="inlineStr">
        <is>
          <t>10</t>
        </is>
      </c>
      <c r="Q339" s="5" t="inlineStr">
        <is>
          <t>4</t>
        </is>
      </c>
      <c r="R339" s="5" t="inlineStr">
        <is>
          <t>2</t>
        </is>
      </c>
      <c r="S339" s="5" t="inlineStr">
        <is>
          <t>34</t>
        </is>
      </c>
      <c r="T339" s="5" t="inlineStr">
        <is>
          <t>1</t>
        </is>
      </c>
      <c r="U339" s="5">
        <f>IFS(C339&lt;30,"Under 30",C339&lt;40,"30-39",C339&lt;50,"40-49",TRUE,"50+")</f>
        <v/>
      </c>
      <c r="V339" s="5">
        <f>IFS(O339&lt;60000,"Low (&lt;60k)",O339&lt;100000,"Mid (60-100k)",TRUE,"High (100k+)")</f>
        <v/>
      </c>
      <c r="W339" s="5">
        <f>IF(M339="No","Attrited","Active")</f>
        <v/>
      </c>
    </row>
    <row r="340">
      <c r="A340" s="5" t="inlineStr">
        <is>
          <t>E00339</t>
        </is>
      </c>
      <c r="B340" s="5" t="inlineStr">
        <is>
          <t>Male</t>
        </is>
      </c>
      <c r="C340" s="6" t="inlineStr">
        <is>
          <t>35</t>
        </is>
      </c>
      <c r="D340" s="5" t="inlineStr">
        <is>
          <t>Married</t>
        </is>
      </c>
      <c r="E340" s="5" t="inlineStr">
        <is>
          <t>Master</t>
        </is>
      </c>
      <c r="F340" s="5" t="inlineStr">
        <is>
          <t>Sales</t>
        </is>
      </c>
      <c r="G340" s="5" t="inlineStr">
        <is>
          <t>Business Development</t>
        </is>
      </c>
      <c r="H340" s="5" t="inlineStr">
        <is>
          <t>3</t>
        </is>
      </c>
      <c r="I340" s="5" t="inlineStr">
        <is>
          <t>Remote</t>
        </is>
      </c>
      <c r="J340" s="5" t="inlineStr">
        <is>
          <t>Full-Time</t>
        </is>
      </c>
      <c r="K340" s="7" t="n">
        <v>45679</v>
      </c>
      <c r="L340" s="7" t="inlineStr"/>
      <c r="M340" s="5" t="inlineStr">
        <is>
          <t>Yes</t>
        </is>
      </c>
      <c r="N340" s="5" t="inlineStr"/>
      <c r="O340" s="8" t="inlineStr">
        <is>
          <t>104500</t>
        </is>
      </c>
      <c r="P340" s="5" t="inlineStr">
        <is>
          <t>20</t>
        </is>
      </c>
      <c r="Q340" s="5" t="inlineStr">
        <is>
          <t>2</t>
        </is>
      </c>
      <c r="R340" s="5" t="inlineStr">
        <is>
          <t>4</t>
        </is>
      </c>
      <c r="S340" s="5" t="inlineStr">
        <is>
          <t>11</t>
        </is>
      </c>
      <c r="T340" s="5" t="inlineStr">
        <is>
          <t>7</t>
        </is>
      </c>
      <c r="U340" s="5">
        <f>IFS(C340&lt;30,"Under 30",C340&lt;40,"30-39",C340&lt;50,"40-49",TRUE,"50+")</f>
        <v/>
      </c>
      <c r="V340" s="5">
        <f>IFS(O340&lt;60000,"Low (&lt;60k)",O340&lt;100000,"Mid (60-100k)",TRUE,"High (100k+)")</f>
        <v/>
      </c>
      <c r="W340" s="5">
        <f>IF(M340="No","Attrited","Active")</f>
        <v/>
      </c>
    </row>
    <row r="341">
      <c r="A341" s="5" t="inlineStr">
        <is>
          <t>E00340</t>
        </is>
      </c>
      <c r="B341" s="5" t="inlineStr">
        <is>
          <t>Female</t>
        </is>
      </c>
      <c r="C341" s="6" t="inlineStr">
        <is>
          <t>32</t>
        </is>
      </c>
      <c r="D341" s="5" t="inlineStr">
        <is>
          <t>Single</t>
        </is>
      </c>
      <c r="E341" s="5" t="inlineStr">
        <is>
          <t>PhD</t>
        </is>
      </c>
      <c r="F341" s="5" t="inlineStr">
        <is>
          <t>Customer Support</t>
        </is>
      </c>
      <c r="G341" s="5" t="inlineStr">
        <is>
          <t>Support Agent</t>
        </is>
      </c>
      <c r="H341" s="5" t="inlineStr">
        <is>
          <t>3</t>
        </is>
      </c>
      <c r="I341" s="5" t="inlineStr">
        <is>
          <t>Hyderabad</t>
        </is>
      </c>
      <c r="J341" s="5" t="inlineStr">
        <is>
          <t>Full-Time</t>
        </is>
      </c>
      <c r="K341" s="7" t="n">
        <v>44274</v>
      </c>
      <c r="L341" s="7" t="inlineStr"/>
      <c r="M341" s="5" t="inlineStr">
        <is>
          <t>Yes</t>
        </is>
      </c>
      <c r="N341" s="5" t="inlineStr"/>
      <c r="O341" s="8" t="inlineStr">
        <is>
          <t>88500</t>
        </is>
      </c>
      <c r="P341" s="5" t="inlineStr">
        <is>
          <t>5</t>
        </is>
      </c>
      <c r="Q341" s="5" t="inlineStr">
        <is>
          <t>5</t>
        </is>
      </c>
      <c r="R341" s="5" t="inlineStr">
        <is>
          <t>8</t>
        </is>
      </c>
      <c r="S341" s="5" t="inlineStr">
        <is>
          <t>58</t>
        </is>
      </c>
      <c r="T341" s="5" t="inlineStr">
        <is>
          <t>12</t>
        </is>
      </c>
      <c r="U341" s="5">
        <f>IFS(C341&lt;30,"Under 30",C341&lt;40,"30-39",C341&lt;50,"40-49",TRUE,"50+")</f>
        <v/>
      </c>
      <c r="V341" s="5">
        <f>IFS(O341&lt;60000,"Low (&lt;60k)",O341&lt;100000,"Mid (60-100k)",TRUE,"High (100k+)")</f>
        <v/>
      </c>
      <c r="W341" s="5">
        <f>IF(M341="No","Attrited","Active")</f>
        <v/>
      </c>
    </row>
    <row r="342">
      <c r="A342" s="5" t="inlineStr">
        <is>
          <t>E00341</t>
        </is>
      </c>
      <c r="B342" s="5" t="inlineStr">
        <is>
          <t>Female</t>
        </is>
      </c>
      <c r="C342" s="6" t="inlineStr">
        <is>
          <t>33</t>
        </is>
      </c>
      <c r="D342" s="5" t="inlineStr">
        <is>
          <t>Married</t>
        </is>
      </c>
      <c r="E342" s="5" t="inlineStr">
        <is>
          <t>Master</t>
        </is>
      </c>
      <c r="F342" s="5" t="inlineStr">
        <is>
          <t>Human Resources</t>
        </is>
      </c>
      <c r="G342" s="5" t="inlineStr">
        <is>
          <t>HR Generalist</t>
        </is>
      </c>
      <c r="H342" s="5" t="inlineStr">
        <is>
          <t>4</t>
        </is>
      </c>
      <c r="I342" s="5" t="inlineStr">
        <is>
          <t>Delhi</t>
        </is>
      </c>
      <c r="J342" s="5" t="inlineStr">
        <is>
          <t>Full-Time</t>
        </is>
      </c>
      <c r="K342" s="7" t="n">
        <v>44764</v>
      </c>
      <c r="L342" s="7" t="inlineStr"/>
      <c r="M342" s="5" t="inlineStr">
        <is>
          <t>Yes</t>
        </is>
      </c>
      <c r="N342" s="5" t="inlineStr"/>
      <c r="O342" s="8" t="inlineStr">
        <is>
          <t>100500</t>
        </is>
      </c>
      <c r="P342" s="5" t="inlineStr">
        <is>
          <t>20</t>
        </is>
      </c>
      <c r="Q342" s="5" t="inlineStr">
        <is>
          <t>3</t>
        </is>
      </c>
      <c r="R342" s="5" t="inlineStr">
        <is>
          <t>9</t>
        </is>
      </c>
      <c r="S342" s="5" t="inlineStr">
        <is>
          <t>41</t>
        </is>
      </c>
      <c r="T342" s="5" t="inlineStr">
        <is>
          <t>5</t>
        </is>
      </c>
      <c r="U342" s="5">
        <f>IFS(C342&lt;30,"Under 30",C342&lt;40,"30-39",C342&lt;50,"40-49",TRUE,"50+")</f>
        <v/>
      </c>
      <c r="V342" s="5">
        <f>IFS(O342&lt;60000,"Low (&lt;60k)",O342&lt;100000,"Mid (60-100k)",TRUE,"High (100k+)")</f>
        <v/>
      </c>
      <c r="W342" s="5">
        <f>IF(M342="No","Attrited","Active")</f>
        <v/>
      </c>
    </row>
    <row r="343">
      <c r="A343" s="5" t="inlineStr">
        <is>
          <t>E00342</t>
        </is>
      </c>
      <c r="B343" s="5" t="inlineStr">
        <is>
          <t>Female</t>
        </is>
      </c>
      <c r="C343" s="6" t="inlineStr">
        <is>
          <t>40</t>
        </is>
      </c>
      <c r="D343" s="5" t="inlineStr">
        <is>
          <t>Married</t>
        </is>
      </c>
      <c r="E343" s="5" t="inlineStr">
        <is>
          <t>Bachelor</t>
        </is>
      </c>
      <c r="F343" s="5" t="inlineStr">
        <is>
          <t>Sales</t>
        </is>
      </c>
      <c r="G343" s="5" t="inlineStr">
        <is>
          <t>Sales Executive</t>
        </is>
      </c>
      <c r="H343" s="5" t="inlineStr">
        <is>
          <t>4</t>
        </is>
      </c>
      <c r="I343" s="5" t="inlineStr">
        <is>
          <t>Delhi</t>
        </is>
      </c>
      <c r="J343" s="5" t="inlineStr">
        <is>
          <t>Full-Time</t>
        </is>
      </c>
      <c r="K343" s="7" t="n">
        <v>45580</v>
      </c>
      <c r="L343" s="7" t="inlineStr"/>
      <c r="M343" s="5" t="inlineStr">
        <is>
          <t>Yes</t>
        </is>
      </c>
      <c r="N343" s="5" t="inlineStr"/>
      <c r="O343" s="8" t="inlineStr">
        <is>
          <t>141000</t>
        </is>
      </c>
      <c r="P343" s="5" t="inlineStr">
        <is>
          <t>5</t>
        </is>
      </c>
      <c r="Q343" s="5" t="inlineStr">
        <is>
          <t>3</t>
        </is>
      </c>
      <c r="R343" s="5" t="inlineStr">
        <is>
          <t>6</t>
        </is>
      </c>
      <c r="S343" s="5" t="inlineStr">
        <is>
          <t>14</t>
        </is>
      </c>
      <c r="T343" s="5" t="inlineStr">
        <is>
          <t>4</t>
        </is>
      </c>
      <c r="U343" s="5">
        <f>IFS(C343&lt;30,"Under 30",C343&lt;40,"30-39",C343&lt;50,"40-49",TRUE,"50+")</f>
        <v/>
      </c>
      <c r="V343" s="5">
        <f>IFS(O343&lt;60000,"Low (&lt;60k)",O343&lt;100000,"Mid (60-100k)",TRUE,"High (100k+)")</f>
        <v/>
      </c>
      <c r="W343" s="5">
        <f>IF(M343="No","Attrited","Active")</f>
        <v/>
      </c>
    </row>
    <row r="344">
      <c r="A344" s="5" t="inlineStr">
        <is>
          <t>E00343</t>
        </is>
      </c>
      <c r="B344" s="5" t="inlineStr">
        <is>
          <t>Female</t>
        </is>
      </c>
      <c r="C344" s="6" t="inlineStr">
        <is>
          <t>35</t>
        </is>
      </c>
      <c r="D344" s="5" t="inlineStr">
        <is>
          <t>Married</t>
        </is>
      </c>
      <c r="E344" s="5" t="inlineStr">
        <is>
          <t>Bachelor</t>
        </is>
      </c>
      <c r="F344" s="5" t="inlineStr">
        <is>
          <t>Research &amp; Development</t>
        </is>
      </c>
      <c r="G344" s="5" t="inlineStr">
        <is>
          <t>Research Scientist</t>
        </is>
      </c>
      <c r="H344" s="5" t="inlineStr">
        <is>
          <t>3</t>
        </is>
      </c>
      <c r="I344" s="5" t="inlineStr">
        <is>
          <t>Remote</t>
        </is>
      </c>
      <c r="J344" s="5" t="inlineStr">
        <is>
          <t>Full-Time</t>
        </is>
      </c>
      <c r="K344" s="7" t="n">
        <v>45406</v>
      </c>
      <c r="L344" s="7" t="inlineStr"/>
      <c r="M344" s="5" t="inlineStr">
        <is>
          <t>Yes</t>
        </is>
      </c>
      <c r="N344" s="5" t="inlineStr"/>
      <c r="O344" s="8" t="inlineStr">
        <is>
          <t>193000</t>
        </is>
      </c>
      <c r="P344" s="5" t="inlineStr">
        <is>
          <t>0</t>
        </is>
      </c>
      <c r="Q344" s="5" t="inlineStr">
        <is>
          <t>5</t>
        </is>
      </c>
      <c r="R344" s="5" t="inlineStr">
        <is>
          <t>8</t>
        </is>
      </c>
      <c r="S344" s="5" t="inlineStr">
        <is>
          <t>20</t>
        </is>
      </c>
      <c r="T344" s="5" t="inlineStr">
        <is>
          <t>1</t>
        </is>
      </c>
      <c r="U344" s="5">
        <f>IFS(C344&lt;30,"Under 30",C344&lt;40,"30-39",C344&lt;50,"40-49",TRUE,"50+")</f>
        <v/>
      </c>
      <c r="V344" s="5">
        <f>IFS(O344&lt;60000,"Low (&lt;60k)",O344&lt;100000,"Mid (60-100k)",TRUE,"High (100k+)")</f>
        <v/>
      </c>
      <c r="W344" s="5">
        <f>IF(M344="No","Attrited","Active")</f>
        <v/>
      </c>
    </row>
    <row r="345">
      <c r="A345" s="5" t="inlineStr">
        <is>
          <t>E00344</t>
        </is>
      </c>
      <c r="B345" s="5" t="inlineStr">
        <is>
          <t>Female</t>
        </is>
      </c>
      <c r="C345" s="6" t="inlineStr">
        <is>
          <t>43</t>
        </is>
      </c>
      <c r="D345" s="5" t="inlineStr">
        <is>
          <t>Married</t>
        </is>
      </c>
      <c r="E345" s="5" t="inlineStr">
        <is>
          <t>PhD</t>
        </is>
      </c>
      <c r="F345" s="5" t="inlineStr">
        <is>
          <t>Sales</t>
        </is>
      </c>
      <c r="G345" s="5" t="inlineStr">
        <is>
          <t>Business Development</t>
        </is>
      </c>
      <c r="H345" s="5" t="inlineStr">
        <is>
          <t>6</t>
        </is>
      </c>
      <c r="I345" s="5" t="inlineStr">
        <is>
          <t>Remote</t>
        </is>
      </c>
      <c r="J345" s="5" t="inlineStr">
        <is>
          <t>Full-Time</t>
        </is>
      </c>
      <c r="K345" s="7" t="n">
        <v>44092</v>
      </c>
      <c r="L345" s="7" t="inlineStr"/>
      <c r="M345" s="5" t="inlineStr">
        <is>
          <t>Yes</t>
        </is>
      </c>
      <c r="N345" s="5" t="inlineStr"/>
      <c r="O345" s="8" t="inlineStr">
        <is>
          <t>128000</t>
        </is>
      </c>
      <c r="P345" s="5" t="inlineStr">
        <is>
          <t>0</t>
        </is>
      </c>
      <c r="Q345" s="5" t="inlineStr">
        <is>
          <t>3</t>
        </is>
      </c>
      <c r="R345" s="5" t="inlineStr">
        <is>
          <t>4</t>
        </is>
      </c>
      <c r="S345" s="5" t="inlineStr">
        <is>
          <t>64</t>
        </is>
      </c>
      <c r="T345" s="5" t="inlineStr">
        <is>
          <t>8</t>
        </is>
      </c>
      <c r="U345" s="5">
        <f>IFS(C345&lt;30,"Under 30",C345&lt;40,"30-39",C345&lt;50,"40-49",TRUE,"50+")</f>
        <v/>
      </c>
      <c r="V345" s="5">
        <f>IFS(O345&lt;60000,"Low (&lt;60k)",O345&lt;100000,"Mid (60-100k)",TRUE,"High (100k+)")</f>
        <v/>
      </c>
      <c r="W345" s="5">
        <f>IF(M345="No","Attrited","Active")</f>
        <v/>
      </c>
    </row>
    <row r="346">
      <c r="A346" s="5" t="inlineStr">
        <is>
          <t>E00345</t>
        </is>
      </c>
      <c r="B346" s="5" t="inlineStr">
        <is>
          <t>Female</t>
        </is>
      </c>
      <c r="C346" s="6" t="inlineStr">
        <is>
          <t>26</t>
        </is>
      </c>
      <c r="D346" s="5" t="inlineStr">
        <is>
          <t>Married</t>
        </is>
      </c>
      <c r="E346" s="5" t="inlineStr">
        <is>
          <t>Master</t>
        </is>
      </c>
      <c r="F346" s="5" t="inlineStr">
        <is>
          <t>IT</t>
        </is>
      </c>
      <c r="G346" s="5" t="inlineStr">
        <is>
          <t>DevOps Engineer</t>
        </is>
      </c>
      <c r="H346" s="5" t="inlineStr">
        <is>
          <t>2</t>
        </is>
      </c>
      <c r="I346" s="5" t="inlineStr">
        <is>
          <t>Delhi</t>
        </is>
      </c>
      <c r="J346" s="5" t="inlineStr">
        <is>
          <t>Full-Time</t>
        </is>
      </c>
      <c r="K346" s="7" t="n">
        <v>44338</v>
      </c>
      <c r="L346" s="7" t="inlineStr"/>
      <c r="M346" s="5" t="inlineStr">
        <is>
          <t>Yes</t>
        </is>
      </c>
      <c r="N346" s="5" t="inlineStr"/>
      <c r="O346" s="8" t="inlineStr">
        <is>
          <t>167000</t>
        </is>
      </c>
      <c r="P346" s="5" t="inlineStr">
        <is>
          <t>5</t>
        </is>
      </c>
      <c r="Q346" s="5" t="inlineStr">
        <is>
          <t>4</t>
        </is>
      </c>
      <c r="R346" s="5" t="inlineStr">
        <is>
          <t>8</t>
        </is>
      </c>
      <c r="S346" s="5" t="inlineStr">
        <is>
          <t>56</t>
        </is>
      </c>
      <c r="T346" s="5" t="inlineStr">
        <is>
          <t>2</t>
        </is>
      </c>
      <c r="U346" s="5">
        <f>IFS(C346&lt;30,"Under 30",C346&lt;40,"30-39",C346&lt;50,"40-49",TRUE,"50+")</f>
        <v/>
      </c>
      <c r="V346" s="5">
        <f>IFS(O346&lt;60000,"Low (&lt;60k)",O346&lt;100000,"Mid (60-100k)",TRUE,"High (100k+)")</f>
        <v/>
      </c>
      <c r="W346" s="5">
        <f>IF(M346="No","Attrited","Active")</f>
        <v/>
      </c>
    </row>
    <row r="347">
      <c r="A347" s="5" t="inlineStr">
        <is>
          <t>E00346</t>
        </is>
      </c>
      <c r="B347" s="5" t="inlineStr">
        <is>
          <t>Female</t>
        </is>
      </c>
      <c r="C347" s="6" t="inlineStr">
        <is>
          <t>34</t>
        </is>
      </c>
      <c r="D347" s="5" t="inlineStr">
        <is>
          <t>Married</t>
        </is>
      </c>
      <c r="E347" s="5" t="inlineStr">
        <is>
          <t>PhD</t>
        </is>
      </c>
      <c r="F347" s="5" t="inlineStr">
        <is>
          <t>Sales</t>
        </is>
      </c>
      <c r="G347" s="5" t="inlineStr">
        <is>
          <t>Sales Executive</t>
        </is>
      </c>
      <c r="H347" s="5" t="inlineStr">
        <is>
          <t>2</t>
        </is>
      </c>
      <c r="I347" s="5" t="inlineStr">
        <is>
          <t>Hyderabad</t>
        </is>
      </c>
      <c r="J347" s="5" t="inlineStr">
        <is>
          <t>Full-Time</t>
        </is>
      </c>
      <c r="K347" s="7" t="n">
        <v>43966</v>
      </c>
      <c r="L347" s="7" t="n">
        <v>44062</v>
      </c>
      <c r="M347" s="5" t="inlineStr">
        <is>
          <t>No</t>
        </is>
      </c>
      <c r="N347" s="5" t="inlineStr">
        <is>
          <t>Retirement</t>
        </is>
      </c>
      <c r="O347" s="8" t="inlineStr">
        <is>
          <t>87500</t>
        </is>
      </c>
      <c r="P347" s="5" t="inlineStr">
        <is>
          <t>5</t>
        </is>
      </c>
      <c r="Q347" s="5" t="inlineStr">
        <is>
          <t>3</t>
        </is>
      </c>
      <c r="R347" s="5" t="inlineStr">
        <is>
          <t>1</t>
        </is>
      </c>
      <c r="S347" s="5" t="inlineStr">
        <is>
          <t>3</t>
        </is>
      </c>
      <c r="T347" s="5" t="inlineStr">
        <is>
          <t>6</t>
        </is>
      </c>
      <c r="U347" s="5">
        <f>IFS(C347&lt;30,"Under 30",C347&lt;40,"30-39",C347&lt;50,"40-49",TRUE,"50+")</f>
        <v/>
      </c>
      <c r="V347" s="5">
        <f>IFS(O347&lt;60000,"Low (&lt;60k)",O347&lt;100000,"Mid (60-100k)",TRUE,"High (100k+)")</f>
        <v/>
      </c>
      <c r="W347" s="5">
        <f>IF(M347="No","Attrited","Active")</f>
        <v/>
      </c>
    </row>
    <row r="348">
      <c r="A348" s="5" t="inlineStr">
        <is>
          <t>E00347</t>
        </is>
      </c>
      <c r="B348" s="5" t="inlineStr">
        <is>
          <t>Male</t>
        </is>
      </c>
      <c r="C348" s="6" t="inlineStr">
        <is>
          <t>33</t>
        </is>
      </c>
      <c r="D348" s="5" t="inlineStr">
        <is>
          <t>Married</t>
        </is>
      </c>
      <c r="E348" s="5" t="inlineStr">
        <is>
          <t>Diploma</t>
        </is>
      </c>
      <c r="F348" s="5" t="inlineStr">
        <is>
          <t>Research &amp; Development</t>
        </is>
      </c>
      <c r="G348" s="5" t="inlineStr">
        <is>
          <t>Research Scientist</t>
        </is>
      </c>
      <c r="H348" s="5" t="inlineStr">
        <is>
          <t>2</t>
        </is>
      </c>
      <c r="I348" s="5" t="inlineStr">
        <is>
          <t>Bengaluru</t>
        </is>
      </c>
      <c r="J348" s="5" t="inlineStr">
        <is>
          <t>Full-Time</t>
        </is>
      </c>
      <c r="K348" s="7" t="n">
        <v>44050</v>
      </c>
      <c r="L348" s="7" t="inlineStr"/>
      <c r="M348" s="5" t="inlineStr">
        <is>
          <t>Yes</t>
        </is>
      </c>
      <c r="N348" s="5" t="inlineStr"/>
      <c r="O348" s="8" t="inlineStr">
        <is>
          <t>184500</t>
        </is>
      </c>
      <c r="P348" s="5" t="inlineStr">
        <is>
          <t>15</t>
        </is>
      </c>
      <c r="Q348" s="5" t="inlineStr">
        <is>
          <t>3</t>
        </is>
      </c>
      <c r="R348" s="5" t="inlineStr">
        <is>
          <t>6</t>
        </is>
      </c>
      <c r="S348" s="5" t="inlineStr">
        <is>
          <t>65</t>
        </is>
      </c>
      <c r="T348" s="5" t="inlineStr">
        <is>
          <t>0</t>
        </is>
      </c>
      <c r="U348" s="5">
        <f>IFS(C348&lt;30,"Under 30",C348&lt;40,"30-39",C348&lt;50,"40-49",TRUE,"50+")</f>
        <v/>
      </c>
      <c r="V348" s="5">
        <f>IFS(O348&lt;60000,"Low (&lt;60k)",O348&lt;100000,"Mid (60-100k)",TRUE,"High (100k+)")</f>
        <v/>
      </c>
      <c r="W348" s="5">
        <f>IF(M348="No","Attrited","Active")</f>
        <v/>
      </c>
    </row>
    <row r="349">
      <c r="A349" s="5" t="inlineStr">
        <is>
          <t>E00348</t>
        </is>
      </c>
      <c r="B349" s="5" t="inlineStr">
        <is>
          <t>Female</t>
        </is>
      </c>
      <c r="C349" s="6" t="inlineStr">
        <is>
          <t>34</t>
        </is>
      </c>
      <c r="D349" s="5" t="inlineStr">
        <is>
          <t>Married</t>
        </is>
      </c>
      <c r="E349" s="5" t="inlineStr">
        <is>
          <t>PhD</t>
        </is>
      </c>
      <c r="F349" s="5" t="inlineStr">
        <is>
          <t>Sales</t>
        </is>
      </c>
      <c r="G349" s="5" t="inlineStr">
        <is>
          <t>Account Executive</t>
        </is>
      </c>
      <c r="H349" s="5" t="inlineStr">
        <is>
          <t>5</t>
        </is>
      </c>
      <c r="I349" s="5" t="inlineStr">
        <is>
          <t>Bengaluru</t>
        </is>
      </c>
      <c r="J349" s="5" t="inlineStr">
        <is>
          <t>Contract</t>
        </is>
      </c>
      <c r="K349" s="7" t="n">
        <v>44570</v>
      </c>
      <c r="L349" s="7" t="n">
        <v>44640</v>
      </c>
      <c r="M349" s="5" t="inlineStr">
        <is>
          <t>No</t>
        </is>
      </c>
      <c r="N349" s="5" t="inlineStr">
        <is>
          <t>Resigned</t>
        </is>
      </c>
      <c r="O349" s="8" t="inlineStr">
        <is>
          <t>153000</t>
        </is>
      </c>
      <c r="P349" s="5" t="inlineStr">
        <is>
          <t>0</t>
        </is>
      </c>
      <c r="Q349" s="5" t="inlineStr">
        <is>
          <t>3</t>
        </is>
      </c>
      <c r="R349" s="5" t="inlineStr">
        <is>
          <t>5</t>
        </is>
      </c>
      <c r="S349" s="5" t="inlineStr">
        <is>
          <t>2</t>
        </is>
      </c>
      <c r="T349" s="5" t="inlineStr">
        <is>
          <t>9</t>
        </is>
      </c>
      <c r="U349" s="5">
        <f>IFS(C349&lt;30,"Under 30",C349&lt;40,"30-39",C349&lt;50,"40-49",TRUE,"50+")</f>
        <v/>
      </c>
      <c r="V349" s="5">
        <f>IFS(O349&lt;60000,"Low (&lt;60k)",O349&lt;100000,"Mid (60-100k)",TRUE,"High (100k+)")</f>
        <v/>
      </c>
      <c r="W349" s="5">
        <f>IF(M349="No","Attrited","Active")</f>
        <v/>
      </c>
    </row>
    <row r="350">
      <c r="A350" s="5" t="inlineStr">
        <is>
          <t>E00349</t>
        </is>
      </c>
      <c r="B350" s="5" t="inlineStr">
        <is>
          <t>Female</t>
        </is>
      </c>
      <c r="C350" s="6" t="inlineStr">
        <is>
          <t>27</t>
        </is>
      </c>
      <c r="D350" s="5" t="inlineStr">
        <is>
          <t>Married</t>
        </is>
      </c>
      <c r="E350" s="5" t="inlineStr">
        <is>
          <t>High School</t>
        </is>
      </c>
      <c r="F350" s="5" t="inlineStr">
        <is>
          <t>Research &amp; Development</t>
        </is>
      </c>
      <c r="G350" s="5" t="inlineStr">
        <is>
          <t>Product Engineer</t>
        </is>
      </c>
      <c r="H350" s="5" t="inlineStr">
        <is>
          <t>2</t>
        </is>
      </c>
      <c r="I350" s="5" t="inlineStr">
        <is>
          <t>Remote</t>
        </is>
      </c>
      <c r="J350" s="5" t="inlineStr">
        <is>
          <t>Full-Time</t>
        </is>
      </c>
      <c r="K350" s="7" t="n">
        <v>44291</v>
      </c>
      <c r="L350" s="7" t="n">
        <v>44362</v>
      </c>
      <c r="M350" s="5" t="inlineStr">
        <is>
          <t>No</t>
        </is>
      </c>
      <c r="N350" s="5" t="inlineStr">
        <is>
          <t>Retirement</t>
        </is>
      </c>
      <c r="O350" s="8" t="inlineStr">
        <is>
          <t>187000</t>
        </is>
      </c>
      <c r="P350" s="5" t="inlineStr">
        <is>
          <t>20</t>
        </is>
      </c>
      <c r="Q350" s="5" t="inlineStr">
        <is>
          <t>4</t>
        </is>
      </c>
      <c r="R350" s="5" t="inlineStr">
        <is>
          <t>7</t>
        </is>
      </c>
      <c r="S350" s="5" t="inlineStr">
        <is>
          <t>2</t>
        </is>
      </c>
      <c r="T350" s="5" t="inlineStr">
        <is>
          <t>0</t>
        </is>
      </c>
      <c r="U350" s="5">
        <f>IFS(C350&lt;30,"Under 30",C350&lt;40,"30-39",C350&lt;50,"40-49",TRUE,"50+")</f>
        <v/>
      </c>
      <c r="V350" s="5">
        <f>IFS(O350&lt;60000,"Low (&lt;60k)",O350&lt;100000,"Mid (60-100k)",TRUE,"High (100k+)")</f>
        <v/>
      </c>
      <c r="W350" s="5">
        <f>IF(M350="No","Attrited","Active")</f>
        <v/>
      </c>
    </row>
    <row r="351">
      <c r="A351" s="5" t="inlineStr">
        <is>
          <t>E00350</t>
        </is>
      </c>
      <c r="B351" s="5" t="inlineStr">
        <is>
          <t>Male</t>
        </is>
      </c>
      <c r="C351" s="6" t="inlineStr">
        <is>
          <t>36</t>
        </is>
      </c>
      <c r="D351" s="5" t="inlineStr">
        <is>
          <t>Divorced</t>
        </is>
      </c>
      <c r="E351" s="5" t="inlineStr">
        <is>
          <t>Diploma</t>
        </is>
      </c>
      <c r="F351" s="5" t="inlineStr">
        <is>
          <t>IT</t>
        </is>
      </c>
      <c r="G351" s="5" t="inlineStr">
        <is>
          <t>IT Support</t>
        </is>
      </c>
      <c r="H351" s="5" t="inlineStr">
        <is>
          <t>2</t>
        </is>
      </c>
      <c r="I351" s="5" t="inlineStr">
        <is>
          <t>Hyderabad</t>
        </is>
      </c>
      <c r="J351" s="5" t="inlineStr">
        <is>
          <t>Full-Time</t>
        </is>
      </c>
      <c r="K351" s="7" t="n">
        <v>44938</v>
      </c>
      <c r="L351" s="7" t="inlineStr"/>
      <c r="M351" s="5" t="inlineStr">
        <is>
          <t>Yes</t>
        </is>
      </c>
      <c r="N351" s="5" t="inlineStr"/>
      <c r="O351" s="8" t="inlineStr">
        <is>
          <t>117000</t>
        </is>
      </c>
      <c r="P351" s="5" t="inlineStr">
        <is>
          <t>10</t>
        </is>
      </c>
      <c r="Q351" s="5" t="inlineStr">
        <is>
          <t>3</t>
        </is>
      </c>
      <c r="R351" s="5" t="inlineStr">
        <is>
          <t>3</t>
        </is>
      </c>
      <c r="S351" s="5" t="inlineStr">
        <is>
          <t>36</t>
        </is>
      </c>
      <c r="T351" s="5" t="inlineStr">
        <is>
          <t>0</t>
        </is>
      </c>
      <c r="U351" s="5">
        <f>IFS(C351&lt;30,"Under 30",C351&lt;40,"30-39",C351&lt;50,"40-49",TRUE,"50+")</f>
        <v/>
      </c>
      <c r="V351" s="5">
        <f>IFS(O351&lt;60000,"Low (&lt;60k)",O351&lt;100000,"Mid (60-100k)",TRUE,"High (100k+)")</f>
        <v/>
      </c>
      <c r="W351" s="5">
        <f>IF(M351="No","Attrited","Active")</f>
        <v/>
      </c>
    </row>
    <row r="352">
      <c r="A352" s="5" t="inlineStr">
        <is>
          <t>E00351</t>
        </is>
      </c>
      <c r="B352" s="5" t="inlineStr">
        <is>
          <t>Female</t>
        </is>
      </c>
      <c r="C352" s="6" t="inlineStr">
        <is>
          <t>39</t>
        </is>
      </c>
      <c r="D352" s="5" t="inlineStr">
        <is>
          <t>Married</t>
        </is>
      </c>
      <c r="E352" s="5" t="inlineStr">
        <is>
          <t>Bachelor</t>
        </is>
      </c>
      <c r="F352" s="5" t="inlineStr">
        <is>
          <t>Customer Support</t>
        </is>
      </c>
      <c r="G352" s="5" t="inlineStr">
        <is>
          <t>Support Lead</t>
        </is>
      </c>
      <c r="H352" s="5" t="inlineStr">
        <is>
          <t>4</t>
        </is>
      </c>
      <c r="I352" s="5" t="inlineStr">
        <is>
          <t>Remote</t>
        </is>
      </c>
      <c r="J352" s="5" t="inlineStr">
        <is>
          <t>Full-Time</t>
        </is>
      </c>
      <c r="K352" s="7" t="n">
        <v>44431</v>
      </c>
      <c r="L352" s="7" t="inlineStr"/>
      <c r="M352" s="5" t="inlineStr">
        <is>
          <t>Yes</t>
        </is>
      </c>
      <c r="N352" s="5" t="inlineStr"/>
      <c r="O352" s="8" t="inlineStr">
        <is>
          <t>92000</t>
        </is>
      </c>
      <c r="P352" s="5" t="inlineStr">
        <is>
          <t>15</t>
        </is>
      </c>
      <c r="Q352" s="5" t="inlineStr">
        <is>
          <t>2</t>
        </is>
      </c>
      <c r="R352" s="5" t="inlineStr">
        <is>
          <t>8</t>
        </is>
      </c>
      <c r="S352" s="5" t="inlineStr">
        <is>
          <t>53</t>
        </is>
      </c>
      <c r="T352" s="5" t="inlineStr">
        <is>
          <t>0</t>
        </is>
      </c>
      <c r="U352" s="5">
        <f>IFS(C352&lt;30,"Under 30",C352&lt;40,"30-39",C352&lt;50,"40-49",TRUE,"50+")</f>
        <v/>
      </c>
      <c r="V352" s="5">
        <f>IFS(O352&lt;60000,"Low (&lt;60k)",O352&lt;100000,"Mid (60-100k)",TRUE,"High (100k+)")</f>
        <v/>
      </c>
      <c r="W352" s="5">
        <f>IF(M352="No","Attrited","Active")</f>
        <v/>
      </c>
    </row>
    <row r="353">
      <c r="A353" s="5" t="inlineStr">
        <is>
          <t>E00352</t>
        </is>
      </c>
      <c r="B353" s="5" t="inlineStr">
        <is>
          <t>Male</t>
        </is>
      </c>
      <c r="C353" s="6" t="inlineStr">
        <is>
          <t>31</t>
        </is>
      </c>
      <c r="D353" s="5" t="inlineStr">
        <is>
          <t>Single</t>
        </is>
      </c>
      <c r="E353" s="5" t="inlineStr">
        <is>
          <t>Bachelor</t>
        </is>
      </c>
      <c r="F353" s="5" t="inlineStr">
        <is>
          <t>Human Resources</t>
        </is>
      </c>
      <c r="G353" s="5" t="inlineStr">
        <is>
          <t>HR Generalist</t>
        </is>
      </c>
      <c r="H353" s="5" t="inlineStr">
        <is>
          <t>1</t>
        </is>
      </c>
      <c r="I353" s="5" t="inlineStr">
        <is>
          <t>Mumbai</t>
        </is>
      </c>
      <c r="J353" s="5" t="inlineStr">
        <is>
          <t>Part-Time</t>
        </is>
      </c>
      <c r="K353" s="7" t="n">
        <v>45572</v>
      </c>
      <c r="L353" s="7" t="n">
        <v>45671</v>
      </c>
      <c r="M353" s="5" t="inlineStr">
        <is>
          <t>No</t>
        </is>
      </c>
      <c r="N353" s="5" t="inlineStr">
        <is>
          <t>Retirement</t>
        </is>
      </c>
      <c r="O353" s="8" t="inlineStr">
        <is>
          <t>90000</t>
        </is>
      </c>
      <c r="P353" s="5" t="inlineStr">
        <is>
          <t>5</t>
        </is>
      </c>
      <c r="Q353" s="5" t="inlineStr">
        <is>
          <t>5</t>
        </is>
      </c>
      <c r="R353" s="5" t="inlineStr">
        <is>
          <t>5</t>
        </is>
      </c>
      <c r="S353" s="5" t="inlineStr">
        <is>
          <t>3</t>
        </is>
      </c>
      <c r="T353" s="5" t="inlineStr">
        <is>
          <t>6</t>
        </is>
      </c>
      <c r="U353" s="5">
        <f>IFS(C353&lt;30,"Under 30",C353&lt;40,"30-39",C353&lt;50,"40-49",TRUE,"50+")</f>
        <v/>
      </c>
      <c r="V353" s="5">
        <f>IFS(O353&lt;60000,"Low (&lt;60k)",O353&lt;100000,"Mid (60-100k)",TRUE,"High (100k+)")</f>
        <v/>
      </c>
      <c r="W353" s="5">
        <f>IF(M353="No","Attrited","Active")</f>
        <v/>
      </c>
    </row>
    <row r="354">
      <c r="A354" s="5" t="inlineStr">
        <is>
          <t>E00353</t>
        </is>
      </c>
      <c r="B354" s="5" t="inlineStr">
        <is>
          <t>Female</t>
        </is>
      </c>
      <c r="C354" s="6" t="inlineStr">
        <is>
          <t>36</t>
        </is>
      </c>
      <c r="D354" s="5" t="inlineStr">
        <is>
          <t>Married</t>
        </is>
      </c>
      <c r="E354" s="5" t="inlineStr">
        <is>
          <t>High School</t>
        </is>
      </c>
      <c r="F354" s="5" t="inlineStr">
        <is>
          <t>Customer Support</t>
        </is>
      </c>
      <c r="G354" s="5" t="inlineStr">
        <is>
          <t>Support Agent</t>
        </is>
      </c>
      <c r="H354" s="5" t="inlineStr">
        <is>
          <t>2</t>
        </is>
      </c>
      <c r="I354" s="5" t="inlineStr">
        <is>
          <t>Bengaluru</t>
        </is>
      </c>
      <c r="J354" s="5" t="inlineStr">
        <is>
          <t>Full-Time</t>
        </is>
      </c>
      <c r="K354" s="7" t="n">
        <v>44590</v>
      </c>
      <c r="L354" s="7" t="inlineStr"/>
      <c r="M354" s="5" t="inlineStr">
        <is>
          <t>Yes</t>
        </is>
      </c>
      <c r="N354" s="5" t="inlineStr"/>
      <c r="O354" s="8" t="inlineStr">
        <is>
          <t>66000</t>
        </is>
      </c>
      <c r="P354" s="5" t="inlineStr">
        <is>
          <t>20</t>
        </is>
      </c>
      <c r="Q354" s="5" t="inlineStr">
        <is>
          <t>5</t>
        </is>
      </c>
      <c r="R354" s="5" t="inlineStr">
        <is>
          <t>5</t>
        </is>
      </c>
      <c r="S354" s="5" t="inlineStr">
        <is>
          <t>47</t>
        </is>
      </c>
      <c r="T354" s="5" t="inlineStr">
        <is>
          <t>8</t>
        </is>
      </c>
      <c r="U354" s="5">
        <f>IFS(C354&lt;30,"Under 30",C354&lt;40,"30-39",C354&lt;50,"40-49",TRUE,"50+")</f>
        <v/>
      </c>
      <c r="V354" s="5">
        <f>IFS(O354&lt;60000,"Low (&lt;60k)",O354&lt;100000,"Mid (60-100k)",TRUE,"High (100k+)")</f>
        <v/>
      </c>
      <c r="W354" s="5">
        <f>IF(M354="No","Attrited","Active")</f>
        <v/>
      </c>
    </row>
    <row r="355">
      <c r="A355" s="5" t="inlineStr">
        <is>
          <t>E00354</t>
        </is>
      </c>
      <c r="B355" s="5" t="inlineStr">
        <is>
          <t>Female</t>
        </is>
      </c>
      <c r="C355" s="6" t="inlineStr">
        <is>
          <t>29</t>
        </is>
      </c>
      <c r="D355" s="5" t="inlineStr">
        <is>
          <t>Single</t>
        </is>
      </c>
      <c r="E355" s="5" t="inlineStr">
        <is>
          <t>High School</t>
        </is>
      </c>
      <c r="F355" s="5" t="inlineStr">
        <is>
          <t>Finance</t>
        </is>
      </c>
      <c r="G355" s="5" t="inlineStr">
        <is>
          <t>Financial Analyst</t>
        </is>
      </c>
      <c r="H355" s="5" t="inlineStr">
        <is>
          <t>2</t>
        </is>
      </c>
      <c r="I355" s="5" t="inlineStr">
        <is>
          <t>Mumbai</t>
        </is>
      </c>
      <c r="J355" s="5" t="inlineStr">
        <is>
          <t>Full-Time</t>
        </is>
      </c>
      <c r="K355" s="7" t="n">
        <v>45327</v>
      </c>
      <c r="L355" s="7" t="inlineStr"/>
      <c r="M355" s="5" t="inlineStr">
        <is>
          <t>Yes</t>
        </is>
      </c>
      <c r="N355" s="5" t="inlineStr"/>
      <c r="O355" s="8" t="inlineStr">
        <is>
          <t>74500</t>
        </is>
      </c>
      <c r="P355" s="5" t="inlineStr">
        <is>
          <t>0</t>
        </is>
      </c>
      <c r="Q355" s="5" t="inlineStr">
        <is>
          <t>4</t>
        </is>
      </c>
      <c r="R355" s="5" t="inlineStr">
        <is>
          <t>5</t>
        </is>
      </c>
      <c r="S355" s="5" t="inlineStr">
        <is>
          <t>23</t>
        </is>
      </c>
      <c r="T355" s="5" t="inlineStr">
        <is>
          <t>0</t>
        </is>
      </c>
      <c r="U355" s="5">
        <f>IFS(C355&lt;30,"Under 30",C355&lt;40,"30-39",C355&lt;50,"40-49",TRUE,"50+")</f>
        <v/>
      </c>
      <c r="V355" s="5">
        <f>IFS(O355&lt;60000,"Low (&lt;60k)",O355&lt;100000,"Mid (60-100k)",TRUE,"High (100k+)")</f>
        <v/>
      </c>
      <c r="W355" s="5">
        <f>IF(M355="No","Attrited","Active")</f>
        <v/>
      </c>
    </row>
    <row r="356">
      <c r="A356" s="5" t="inlineStr">
        <is>
          <t>E00355</t>
        </is>
      </c>
      <c r="B356" s="5" t="inlineStr">
        <is>
          <t>Female</t>
        </is>
      </c>
      <c r="C356" s="6" t="inlineStr">
        <is>
          <t>31</t>
        </is>
      </c>
      <c r="D356" s="5" t="inlineStr">
        <is>
          <t>Married</t>
        </is>
      </c>
      <c r="E356" s="5" t="inlineStr">
        <is>
          <t>PhD</t>
        </is>
      </c>
      <c r="F356" s="5" t="inlineStr">
        <is>
          <t>IT</t>
        </is>
      </c>
      <c r="G356" s="5" t="inlineStr">
        <is>
          <t>Data Analyst</t>
        </is>
      </c>
      <c r="H356" s="5" t="inlineStr">
        <is>
          <t>4</t>
        </is>
      </c>
      <c r="I356" s="5" t="inlineStr">
        <is>
          <t>Chennai</t>
        </is>
      </c>
      <c r="J356" s="5" t="inlineStr">
        <is>
          <t>Full-Time</t>
        </is>
      </c>
      <c r="K356" s="7" t="n">
        <v>44818</v>
      </c>
      <c r="L356" s="7" t="inlineStr"/>
      <c r="M356" s="5" t="inlineStr">
        <is>
          <t>Yes</t>
        </is>
      </c>
      <c r="N356" s="5" t="inlineStr"/>
      <c r="O356" s="8" t="inlineStr">
        <is>
          <t>126000</t>
        </is>
      </c>
      <c r="P356" s="5" t="inlineStr">
        <is>
          <t>0</t>
        </is>
      </c>
      <c r="Q356" s="5" t="inlineStr">
        <is>
          <t>5</t>
        </is>
      </c>
      <c r="R356" s="5" t="inlineStr">
        <is>
          <t>5</t>
        </is>
      </c>
      <c r="S356" s="5" t="inlineStr">
        <is>
          <t>40</t>
        </is>
      </c>
      <c r="T356" s="5" t="inlineStr">
        <is>
          <t>4</t>
        </is>
      </c>
      <c r="U356" s="5">
        <f>IFS(C356&lt;30,"Under 30",C356&lt;40,"30-39",C356&lt;50,"40-49",TRUE,"50+")</f>
        <v/>
      </c>
      <c r="V356" s="5">
        <f>IFS(O356&lt;60000,"Low (&lt;60k)",O356&lt;100000,"Mid (60-100k)",TRUE,"High (100k+)")</f>
        <v/>
      </c>
      <c r="W356" s="5">
        <f>IF(M356="No","Attrited","Active")</f>
        <v/>
      </c>
    </row>
    <row r="357">
      <c r="A357" s="5" t="inlineStr">
        <is>
          <t>E00356</t>
        </is>
      </c>
      <c r="B357" s="5" t="inlineStr">
        <is>
          <t>Male</t>
        </is>
      </c>
      <c r="C357" s="6" t="inlineStr">
        <is>
          <t>34</t>
        </is>
      </c>
      <c r="D357" s="5" t="inlineStr">
        <is>
          <t>Divorced</t>
        </is>
      </c>
      <c r="E357" s="5" t="inlineStr">
        <is>
          <t>Diploma</t>
        </is>
      </c>
      <c r="F357" s="5" t="inlineStr">
        <is>
          <t>IT</t>
        </is>
      </c>
      <c r="G357" s="5" t="inlineStr">
        <is>
          <t>Data Analyst</t>
        </is>
      </c>
      <c r="H357" s="5" t="inlineStr">
        <is>
          <t>3</t>
        </is>
      </c>
      <c r="I357" s="5" t="inlineStr">
        <is>
          <t>Chennai</t>
        </is>
      </c>
      <c r="J357" s="5" t="inlineStr">
        <is>
          <t>Full-Time</t>
        </is>
      </c>
      <c r="K357" s="7" t="n">
        <v>45891</v>
      </c>
      <c r="L357" s="7" t="inlineStr"/>
      <c r="M357" s="5" t="inlineStr">
        <is>
          <t>Yes</t>
        </is>
      </c>
      <c r="N357" s="5" t="inlineStr"/>
      <c r="O357" s="8" t="inlineStr">
        <is>
          <t>117000</t>
        </is>
      </c>
      <c r="P357" s="5" t="inlineStr">
        <is>
          <t>0</t>
        </is>
      </c>
      <c r="Q357" s="5" t="inlineStr">
        <is>
          <t>5</t>
        </is>
      </c>
      <c r="R357" s="5" t="inlineStr">
        <is>
          <t>4</t>
        </is>
      </c>
      <c r="S357" s="5" t="inlineStr">
        <is>
          <t>4</t>
        </is>
      </c>
      <c r="T357" s="5" t="inlineStr">
        <is>
          <t>6</t>
        </is>
      </c>
      <c r="U357" s="5">
        <f>IFS(C357&lt;30,"Under 30",C357&lt;40,"30-39",C357&lt;50,"40-49",TRUE,"50+")</f>
        <v/>
      </c>
      <c r="V357" s="5">
        <f>IFS(O357&lt;60000,"Low (&lt;60k)",O357&lt;100000,"Mid (60-100k)",TRUE,"High (100k+)")</f>
        <v/>
      </c>
      <c r="W357" s="5">
        <f>IF(M357="No","Attrited","Active")</f>
        <v/>
      </c>
    </row>
    <row r="358">
      <c r="A358" s="5" t="inlineStr">
        <is>
          <t>E00357</t>
        </is>
      </c>
      <c r="B358" s="5" t="inlineStr">
        <is>
          <t>Male</t>
        </is>
      </c>
      <c r="C358" s="6" t="inlineStr">
        <is>
          <t>32</t>
        </is>
      </c>
      <c r="D358" s="5" t="inlineStr">
        <is>
          <t>Married</t>
        </is>
      </c>
      <c r="E358" s="5" t="inlineStr">
        <is>
          <t>High School</t>
        </is>
      </c>
      <c r="F358" s="5" t="inlineStr">
        <is>
          <t>Marketing</t>
        </is>
      </c>
      <c r="G358" s="5" t="inlineStr">
        <is>
          <t>Marketing Analyst</t>
        </is>
      </c>
      <c r="H358" s="5" t="inlineStr">
        <is>
          <t>5</t>
        </is>
      </c>
      <c r="I358" s="5" t="inlineStr">
        <is>
          <t>Delhi</t>
        </is>
      </c>
      <c r="J358" s="5" t="inlineStr">
        <is>
          <t>Full-Time</t>
        </is>
      </c>
      <c r="K358" s="7" t="n">
        <v>43831</v>
      </c>
      <c r="L358" s="7" t="n">
        <v>43908</v>
      </c>
      <c r="M358" s="5" t="inlineStr">
        <is>
          <t>No</t>
        </is>
      </c>
      <c r="N358" s="5" t="inlineStr">
        <is>
          <t>Resigned</t>
        </is>
      </c>
      <c r="O358" s="8" t="inlineStr">
        <is>
          <t>82000</t>
        </is>
      </c>
      <c r="P358" s="5" t="inlineStr">
        <is>
          <t>5</t>
        </is>
      </c>
      <c r="Q358" s="5" t="inlineStr">
        <is>
          <t>4</t>
        </is>
      </c>
      <c r="R358" s="5" t="inlineStr">
        <is>
          <t>8</t>
        </is>
      </c>
      <c r="S358" s="5" t="inlineStr">
        <is>
          <t>2</t>
        </is>
      </c>
      <c r="T358" s="5" t="inlineStr">
        <is>
          <t>0</t>
        </is>
      </c>
      <c r="U358" s="5">
        <f>IFS(C358&lt;30,"Under 30",C358&lt;40,"30-39",C358&lt;50,"40-49",TRUE,"50+")</f>
        <v/>
      </c>
      <c r="V358" s="5">
        <f>IFS(O358&lt;60000,"Low (&lt;60k)",O358&lt;100000,"Mid (60-100k)",TRUE,"High (100k+)")</f>
        <v/>
      </c>
      <c r="W358" s="5">
        <f>IF(M358="No","Attrited","Active")</f>
        <v/>
      </c>
    </row>
    <row r="359">
      <c r="A359" s="5" t="inlineStr">
        <is>
          <t>E00358</t>
        </is>
      </c>
      <c r="B359" s="5" t="inlineStr">
        <is>
          <t>Female</t>
        </is>
      </c>
      <c r="C359" s="6" t="inlineStr">
        <is>
          <t>28</t>
        </is>
      </c>
      <c r="D359" s="5" t="inlineStr">
        <is>
          <t>Married</t>
        </is>
      </c>
      <c r="E359" s="5" t="inlineStr">
        <is>
          <t>Diploma</t>
        </is>
      </c>
      <c r="F359" s="5" t="inlineStr">
        <is>
          <t>Sales</t>
        </is>
      </c>
      <c r="G359" s="5" t="inlineStr">
        <is>
          <t>Business Development</t>
        </is>
      </c>
      <c r="H359" s="5" t="inlineStr">
        <is>
          <t>1</t>
        </is>
      </c>
      <c r="I359" s="5" t="inlineStr">
        <is>
          <t>Remote</t>
        </is>
      </c>
      <c r="J359" s="5" t="inlineStr">
        <is>
          <t>Full-Time</t>
        </is>
      </c>
      <c r="K359" s="7" t="n">
        <v>44713</v>
      </c>
      <c r="L359" s="7" t="inlineStr"/>
      <c r="M359" s="5" t="inlineStr">
        <is>
          <t>Yes</t>
        </is>
      </c>
      <c r="N359" s="5" t="inlineStr"/>
      <c r="O359" s="8" t="inlineStr">
        <is>
          <t>102000</t>
        </is>
      </c>
      <c r="P359" s="5" t="inlineStr">
        <is>
          <t>5</t>
        </is>
      </c>
      <c r="Q359" s="5" t="inlineStr">
        <is>
          <t>5</t>
        </is>
      </c>
      <c r="R359" s="5" t="inlineStr">
        <is>
          <t>6</t>
        </is>
      </c>
      <c r="S359" s="5" t="inlineStr">
        <is>
          <t>43</t>
        </is>
      </c>
      <c r="T359" s="5" t="inlineStr">
        <is>
          <t>14</t>
        </is>
      </c>
      <c r="U359" s="5">
        <f>IFS(C359&lt;30,"Under 30",C359&lt;40,"30-39",C359&lt;50,"40-49",TRUE,"50+")</f>
        <v/>
      </c>
      <c r="V359" s="5">
        <f>IFS(O359&lt;60000,"Low (&lt;60k)",O359&lt;100000,"Mid (60-100k)",TRUE,"High (100k+)")</f>
        <v/>
      </c>
      <c r="W359" s="5">
        <f>IF(M359="No","Attrited","Active")</f>
        <v/>
      </c>
    </row>
    <row r="360">
      <c r="A360" s="5" t="inlineStr">
        <is>
          <t>E00359</t>
        </is>
      </c>
      <c r="B360" s="5" t="inlineStr">
        <is>
          <t>Male</t>
        </is>
      </c>
      <c r="C360" s="6" t="inlineStr">
        <is>
          <t>34</t>
        </is>
      </c>
      <c r="D360" s="5" t="inlineStr">
        <is>
          <t>Single</t>
        </is>
      </c>
      <c r="E360" s="5" t="inlineStr">
        <is>
          <t>Master</t>
        </is>
      </c>
      <c r="F360" s="5" t="inlineStr">
        <is>
          <t>Operations</t>
        </is>
      </c>
      <c r="G360" s="5" t="inlineStr">
        <is>
          <t>Logistics Coordinator</t>
        </is>
      </c>
      <c r="H360" s="5" t="inlineStr">
        <is>
          <t>3</t>
        </is>
      </c>
      <c r="I360" s="5" t="inlineStr">
        <is>
          <t>Bengaluru</t>
        </is>
      </c>
      <c r="J360" s="5" t="inlineStr">
        <is>
          <t>Full-Time</t>
        </is>
      </c>
      <c r="K360" s="7" t="n">
        <v>45414</v>
      </c>
      <c r="L360" s="7" t="inlineStr"/>
      <c r="M360" s="5" t="inlineStr">
        <is>
          <t>Yes</t>
        </is>
      </c>
      <c r="N360" s="5" t="inlineStr"/>
      <c r="O360" s="8" t="inlineStr">
        <is>
          <t>85500</t>
        </is>
      </c>
      <c r="P360" s="5" t="inlineStr">
        <is>
          <t>0</t>
        </is>
      </c>
      <c r="Q360" s="5" t="inlineStr">
        <is>
          <t>3</t>
        </is>
      </c>
      <c r="R360" s="5" t="inlineStr">
        <is>
          <t>6</t>
        </is>
      </c>
      <c r="S360" s="5" t="inlineStr">
        <is>
          <t>20</t>
        </is>
      </c>
      <c r="T360" s="5" t="inlineStr">
        <is>
          <t>0</t>
        </is>
      </c>
      <c r="U360" s="5">
        <f>IFS(C360&lt;30,"Under 30",C360&lt;40,"30-39",C360&lt;50,"40-49",TRUE,"50+")</f>
        <v/>
      </c>
      <c r="V360" s="5">
        <f>IFS(O360&lt;60000,"Low (&lt;60k)",O360&lt;100000,"Mid (60-100k)",TRUE,"High (100k+)")</f>
        <v/>
      </c>
      <c r="W360" s="5">
        <f>IF(M360="No","Attrited","Active")</f>
        <v/>
      </c>
    </row>
    <row r="361">
      <c r="A361" s="5" t="inlineStr">
        <is>
          <t>E00360</t>
        </is>
      </c>
      <c r="B361" s="5" t="inlineStr">
        <is>
          <t>Female</t>
        </is>
      </c>
      <c r="C361" s="6" t="inlineStr">
        <is>
          <t>25</t>
        </is>
      </c>
      <c r="D361" s="5" t="inlineStr">
        <is>
          <t>Married</t>
        </is>
      </c>
      <c r="E361" s="5" t="inlineStr">
        <is>
          <t>Bachelor</t>
        </is>
      </c>
      <c r="F361" s="5" t="inlineStr">
        <is>
          <t>Customer Support</t>
        </is>
      </c>
      <c r="G361" s="5" t="inlineStr">
        <is>
          <t>Escalation Specialist</t>
        </is>
      </c>
      <c r="H361" s="5" t="inlineStr">
        <is>
          <t>1</t>
        </is>
      </c>
      <c r="I361" s="5" t="inlineStr">
        <is>
          <t>Chennai</t>
        </is>
      </c>
      <c r="J361" s="5" t="inlineStr">
        <is>
          <t>Full-Time</t>
        </is>
      </c>
      <c r="K361" s="7" t="n">
        <v>43993</v>
      </c>
      <c r="L361" s="7" t="inlineStr"/>
      <c r="M361" s="5" t="inlineStr">
        <is>
          <t>Yes</t>
        </is>
      </c>
      <c r="N361" s="5" t="inlineStr"/>
      <c r="O361" s="8" t="inlineStr">
        <is>
          <t>57000</t>
        </is>
      </c>
      <c r="P361" s="5" t="inlineStr">
        <is>
          <t>10</t>
        </is>
      </c>
      <c r="Q361" s="5" t="inlineStr">
        <is>
          <t>5</t>
        </is>
      </c>
      <c r="R361" s="5" t="inlineStr">
        <is>
          <t>6</t>
        </is>
      </c>
      <c r="S361" s="5" t="inlineStr">
        <is>
          <t>67</t>
        </is>
      </c>
      <c r="T361" s="5" t="inlineStr">
        <is>
          <t>0</t>
        </is>
      </c>
      <c r="U361" s="5">
        <f>IFS(C361&lt;30,"Under 30",C361&lt;40,"30-39",C361&lt;50,"40-49",TRUE,"50+")</f>
        <v/>
      </c>
      <c r="V361" s="5">
        <f>IFS(O361&lt;60000,"Low (&lt;60k)",O361&lt;100000,"Mid (60-100k)",TRUE,"High (100k+)")</f>
        <v/>
      </c>
      <c r="W361" s="5">
        <f>IF(M361="No","Attrited","Active")</f>
        <v/>
      </c>
    </row>
    <row r="362">
      <c r="A362" s="5" t="inlineStr">
        <is>
          <t>E00361</t>
        </is>
      </c>
      <c r="B362" s="5" t="inlineStr">
        <is>
          <t>Female</t>
        </is>
      </c>
      <c r="C362" s="6" t="inlineStr">
        <is>
          <t>27</t>
        </is>
      </c>
      <c r="D362" s="5" t="inlineStr">
        <is>
          <t>Single</t>
        </is>
      </c>
      <c r="E362" s="5" t="inlineStr">
        <is>
          <t>Diploma</t>
        </is>
      </c>
      <c r="F362" s="5" t="inlineStr">
        <is>
          <t>Human Resources</t>
        </is>
      </c>
      <c r="G362" s="5" t="inlineStr">
        <is>
          <t>HR Analyst</t>
        </is>
      </c>
      <c r="H362" s="5" t="inlineStr">
        <is>
          <t>2</t>
        </is>
      </c>
      <c r="I362" s="5" t="inlineStr">
        <is>
          <t>Remote</t>
        </is>
      </c>
      <c r="J362" s="5" t="inlineStr">
        <is>
          <t>Full-Time</t>
        </is>
      </c>
      <c r="K362" s="7" t="n">
        <v>44401</v>
      </c>
      <c r="L362" s="7" t="n">
        <v>44478</v>
      </c>
      <c r="M362" s="5" t="inlineStr">
        <is>
          <t>No</t>
        </is>
      </c>
      <c r="N362" s="5" t="inlineStr">
        <is>
          <t>Resigned</t>
        </is>
      </c>
      <c r="O362" s="8" t="inlineStr">
        <is>
          <t>66500</t>
        </is>
      </c>
      <c r="P362" s="5" t="inlineStr">
        <is>
          <t>5</t>
        </is>
      </c>
      <c r="Q362" s="5" t="inlineStr">
        <is>
          <t>4</t>
        </is>
      </c>
      <c r="R362" s="5" t="inlineStr">
        <is>
          <t>4</t>
        </is>
      </c>
      <c r="S362" s="5" t="inlineStr">
        <is>
          <t>2</t>
        </is>
      </c>
      <c r="T362" s="5" t="inlineStr">
        <is>
          <t>12</t>
        </is>
      </c>
      <c r="U362" s="5">
        <f>IFS(C362&lt;30,"Under 30",C362&lt;40,"30-39",C362&lt;50,"40-49",TRUE,"50+")</f>
        <v/>
      </c>
      <c r="V362" s="5">
        <f>IFS(O362&lt;60000,"Low (&lt;60k)",O362&lt;100000,"Mid (60-100k)",TRUE,"High (100k+)")</f>
        <v/>
      </c>
      <c r="W362" s="5">
        <f>IF(M362="No","Attrited","Active")</f>
        <v/>
      </c>
    </row>
    <row r="363">
      <c r="A363" s="5" t="inlineStr">
        <is>
          <t>E00362</t>
        </is>
      </c>
      <c r="B363" s="5" t="inlineStr">
        <is>
          <t>Male</t>
        </is>
      </c>
      <c r="C363" s="6" t="inlineStr">
        <is>
          <t>33</t>
        </is>
      </c>
      <c r="D363" s="5" t="inlineStr">
        <is>
          <t>Married</t>
        </is>
      </c>
      <c r="E363" s="5" t="inlineStr">
        <is>
          <t>High School</t>
        </is>
      </c>
      <c r="F363" s="5" t="inlineStr">
        <is>
          <t>Customer Support</t>
        </is>
      </c>
      <c r="G363" s="5" t="inlineStr">
        <is>
          <t>Support Agent</t>
        </is>
      </c>
      <c r="H363" s="5" t="inlineStr">
        <is>
          <t>5</t>
        </is>
      </c>
      <c r="I363" s="5" t="inlineStr">
        <is>
          <t>Mumbai</t>
        </is>
      </c>
      <c r="J363" s="5" t="inlineStr">
        <is>
          <t>Part-Time</t>
        </is>
      </c>
      <c r="K363" s="7" t="n">
        <v>44730</v>
      </c>
      <c r="L363" s="7" t="inlineStr"/>
      <c r="M363" s="5" t="inlineStr">
        <is>
          <t>Yes</t>
        </is>
      </c>
      <c r="N363" s="5" t="inlineStr"/>
      <c r="O363" s="8" t="inlineStr">
        <is>
          <t>93500</t>
        </is>
      </c>
      <c r="P363" s="5" t="inlineStr">
        <is>
          <t>15</t>
        </is>
      </c>
      <c r="Q363" s="5" t="inlineStr">
        <is>
          <t>5</t>
        </is>
      </c>
      <c r="R363" s="5" t="inlineStr">
        <is>
          <t>9</t>
        </is>
      </c>
      <c r="S363" s="5" t="inlineStr">
        <is>
          <t>43</t>
        </is>
      </c>
      <c r="T363" s="5" t="inlineStr">
        <is>
          <t>10</t>
        </is>
      </c>
      <c r="U363" s="5">
        <f>IFS(C363&lt;30,"Under 30",C363&lt;40,"30-39",C363&lt;50,"40-49",TRUE,"50+")</f>
        <v/>
      </c>
      <c r="V363" s="5">
        <f>IFS(O363&lt;60000,"Low (&lt;60k)",O363&lt;100000,"Mid (60-100k)",TRUE,"High (100k+)")</f>
        <v/>
      </c>
      <c r="W363" s="5">
        <f>IF(M363="No","Attrited","Active")</f>
        <v/>
      </c>
    </row>
    <row r="364">
      <c r="A364" s="5" t="inlineStr">
        <is>
          <t>E00363</t>
        </is>
      </c>
      <c r="B364" s="5" t="inlineStr">
        <is>
          <t>Male</t>
        </is>
      </c>
      <c r="C364" s="6" t="inlineStr">
        <is>
          <t>37</t>
        </is>
      </c>
      <c r="D364" s="5" t="inlineStr">
        <is>
          <t>Married</t>
        </is>
      </c>
      <c r="E364" s="5" t="inlineStr">
        <is>
          <t>High School</t>
        </is>
      </c>
      <c r="F364" s="5" t="inlineStr">
        <is>
          <t>Marketing</t>
        </is>
      </c>
      <c r="G364" s="5" t="inlineStr">
        <is>
          <t>Marketing Analyst</t>
        </is>
      </c>
      <c r="H364" s="5" t="inlineStr">
        <is>
          <t>4</t>
        </is>
      </c>
      <c r="I364" s="5" t="inlineStr">
        <is>
          <t>Remote</t>
        </is>
      </c>
      <c r="J364" s="5" t="inlineStr">
        <is>
          <t>Full-Time</t>
        </is>
      </c>
      <c r="K364" s="7" t="n">
        <v>45197</v>
      </c>
      <c r="L364" s="7" t="inlineStr"/>
      <c r="M364" s="5" t="inlineStr">
        <is>
          <t>Yes</t>
        </is>
      </c>
      <c r="N364" s="5" t="inlineStr"/>
      <c r="O364" s="8" t="inlineStr">
        <is>
          <t>97000</t>
        </is>
      </c>
      <c r="P364" s="5" t="inlineStr">
        <is>
          <t>0</t>
        </is>
      </c>
      <c r="Q364" s="5" t="inlineStr">
        <is>
          <t>4</t>
        </is>
      </c>
      <c r="R364" s="5" t="inlineStr">
        <is>
          <t>6</t>
        </is>
      </c>
      <c r="S364" s="5" t="inlineStr">
        <is>
          <t>27</t>
        </is>
      </c>
      <c r="T364" s="5" t="inlineStr">
        <is>
          <t>0</t>
        </is>
      </c>
      <c r="U364" s="5">
        <f>IFS(C364&lt;30,"Under 30",C364&lt;40,"30-39",C364&lt;50,"40-49",TRUE,"50+")</f>
        <v/>
      </c>
      <c r="V364" s="5">
        <f>IFS(O364&lt;60000,"Low (&lt;60k)",O364&lt;100000,"Mid (60-100k)",TRUE,"High (100k+)")</f>
        <v/>
      </c>
      <c r="W364" s="5">
        <f>IF(M364="No","Attrited","Active")</f>
        <v/>
      </c>
    </row>
    <row r="365">
      <c r="A365" s="5" t="inlineStr">
        <is>
          <t>E00364</t>
        </is>
      </c>
      <c r="B365" s="5" t="inlineStr">
        <is>
          <t>Female</t>
        </is>
      </c>
      <c r="C365" s="6" t="inlineStr">
        <is>
          <t>34</t>
        </is>
      </c>
      <c r="D365" s="5" t="inlineStr">
        <is>
          <t>Married</t>
        </is>
      </c>
      <c r="E365" s="5" t="inlineStr">
        <is>
          <t>Bachelor</t>
        </is>
      </c>
      <c r="F365" s="5" t="inlineStr">
        <is>
          <t>Operations</t>
        </is>
      </c>
      <c r="G365" s="5" t="inlineStr">
        <is>
          <t>Operations Analyst</t>
        </is>
      </c>
      <c r="H365" s="5" t="inlineStr">
        <is>
          <t>2</t>
        </is>
      </c>
      <c r="I365" s="5" t="inlineStr">
        <is>
          <t>Hyderabad</t>
        </is>
      </c>
      <c r="J365" s="5" t="inlineStr">
        <is>
          <t>Full-Time</t>
        </is>
      </c>
      <c r="K365" s="7" t="n">
        <v>44684</v>
      </c>
      <c r="L365" s="7" t="n">
        <v>44750</v>
      </c>
      <c r="M365" s="5" t="inlineStr">
        <is>
          <t>No</t>
        </is>
      </c>
      <c r="N365" s="5" t="inlineStr">
        <is>
          <t>Performance / Termination</t>
        </is>
      </c>
      <c r="O365" s="8" t="inlineStr">
        <is>
          <t>74500</t>
        </is>
      </c>
      <c r="P365" s="5" t="inlineStr">
        <is>
          <t>0</t>
        </is>
      </c>
      <c r="Q365" s="5" t="inlineStr">
        <is>
          <t>2</t>
        </is>
      </c>
      <c r="R365" s="5" t="inlineStr">
        <is>
          <t>6</t>
        </is>
      </c>
      <c r="S365" s="5" t="inlineStr">
        <is>
          <t>2</t>
        </is>
      </c>
      <c r="T365" s="5" t="inlineStr">
        <is>
          <t>8</t>
        </is>
      </c>
      <c r="U365" s="5">
        <f>IFS(C365&lt;30,"Under 30",C365&lt;40,"30-39",C365&lt;50,"40-49",TRUE,"50+")</f>
        <v/>
      </c>
      <c r="V365" s="5">
        <f>IFS(O365&lt;60000,"Low (&lt;60k)",O365&lt;100000,"Mid (60-100k)",TRUE,"High (100k+)")</f>
        <v/>
      </c>
      <c r="W365" s="5">
        <f>IF(M365="No","Attrited","Active")</f>
        <v/>
      </c>
    </row>
    <row r="366">
      <c r="A366" s="5" t="inlineStr">
        <is>
          <t>E00365</t>
        </is>
      </c>
      <c r="B366" s="5" t="inlineStr">
        <is>
          <t>Male</t>
        </is>
      </c>
      <c r="C366" s="6" t="inlineStr">
        <is>
          <t>29</t>
        </is>
      </c>
      <c r="D366" s="5" t="inlineStr">
        <is>
          <t>Single</t>
        </is>
      </c>
      <c r="E366" s="5" t="inlineStr">
        <is>
          <t>Master</t>
        </is>
      </c>
      <c r="F366" s="5" t="inlineStr">
        <is>
          <t>Operations</t>
        </is>
      </c>
      <c r="G366" s="5" t="inlineStr">
        <is>
          <t>Quality Analyst</t>
        </is>
      </c>
      <c r="H366" s="5" t="inlineStr">
        <is>
          <t>2</t>
        </is>
      </c>
      <c r="I366" s="5" t="inlineStr">
        <is>
          <t>Mumbai</t>
        </is>
      </c>
      <c r="J366" s="5" t="inlineStr">
        <is>
          <t>Full-Time</t>
        </is>
      </c>
      <c r="K366" s="7" t="n">
        <v>45570</v>
      </c>
      <c r="L366" s="7" t="inlineStr"/>
      <c r="M366" s="5" t="inlineStr">
        <is>
          <t>Yes</t>
        </is>
      </c>
      <c r="N366" s="5" t="inlineStr"/>
      <c r="O366" s="8" t="inlineStr">
        <is>
          <t>103500</t>
        </is>
      </c>
      <c r="P366" s="5" t="inlineStr">
        <is>
          <t>5</t>
        </is>
      </c>
      <c r="Q366" s="5" t="inlineStr">
        <is>
          <t>1</t>
        </is>
      </c>
      <c r="R366" s="5" t="inlineStr">
        <is>
          <t>1</t>
        </is>
      </c>
      <c r="S366" s="5" t="inlineStr">
        <is>
          <t>15</t>
        </is>
      </c>
      <c r="T366" s="5" t="inlineStr">
        <is>
          <t>17</t>
        </is>
      </c>
      <c r="U366" s="5">
        <f>IFS(C366&lt;30,"Under 30",C366&lt;40,"30-39",C366&lt;50,"40-49",TRUE,"50+")</f>
        <v/>
      </c>
      <c r="V366" s="5">
        <f>IFS(O366&lt;60000,"Low (&lt;60k)",O366&lt;100000,"Mid (60-100k)",TRUE,"High (100k+)")</f>
        <v/>
      </c>
      <c r="W366" s="5">
        <f>IF(M366="No","Attrited","Active")</f>
        <v/>
      </c>
    </row>
    <row r="367">
      <c r="A367" s="5" t="inlineStr">
        <is>
          <t>E00366</t>
        </is>
      </c>
      <c r="B367" s="5" t="inlineStr">
        <is>
          <t>Female</t>
        </is>
      </c>
      <c r="C367" s="6" t="inlineStr">
        <is>
          <t>33</t>
        </is>
      </c>
      <c r="D367" s="5" t="inlineStr">
        <is>
          <t>Married</t>
        </is>
      </c>
      <c r="E367" s="5" t="inlineStr">
        <is>
          <t>PhD</t>
        </is>
      </c>
      <c r="F367" s="5" t="inlineStr">
        <is>
          <t>Finance</t>
        </is>
      </c>
      <c r="G367" s="5" t="inlineStr">
        <is>
          <t>Accountant</t>
        </is>
      </c>
      <c r="H367" s="5" t="inlineStr">
        <is>
          <t>2</t>
        </is>
      </c>
      <c r="I367" s="5" t="inlineStr">
        <is>
          <t>Bengaluru</t>
        </is>
      </c>
      <c r="J367" s="5" t="inlineStr">
        <is>
          <t>Full-Time</t>
        </is>
      </c>
      <c r="K367" s="7" t="n">
        <v>44324</v>
      </c>
      <c r="L367" s="7" t="n">
        <v>44383</v>
      </c>
      <c r="M367" s="5" t="inlineStr">
        <is>
          <t>No</t>
        </is>
      </c>
      <c r="N367" s="5" t="inlineStr">
        <is>
          <t>Resigned</t>
        </is>
      </c>
      <c r="O367" s="8" t="inlineStr">
        <is>
          <t>119000</t>
        </is>
      </c>
      <c r="P367" s="5" t="inlineStr">
        <is>
          <t>5</t>
        </is>
      </c>
      <c r="Q367" s="5" t="inlineStr">
        <is>
          <t>4</t>
        </is>
      </c>
      <c r="R367" s="5" t="inlineStr">
        <is>
          <t>6</t>
        </is>
      </c>
      <c r="S367" s="5" t="inlineStr">
        <is>
          <t>1</t>
        </is>
      </c>
      <c r="T367" s="5" t="inlineStr">
        <is>
          <t>0</t>
        </is>
      </c>
      <c r="U367" s="5">
        <f>IFS(C367&lt;30,"Under 30",C367&lt;40,"30-39",C367&lt;50,"40-49",TRUE,"50+")</f>
        <v/>
      </c>
      <c r="V367" s="5">
        <f>IFS(O367&lt;60000,"Low (&lt;60k)",O367&lt;100000,"Mid (60-100k)",TRUE,"High (100k+)")</f>
        <v/>
      </c>
      <c r="W367" s="5">
        <f>IF(M367="No","Attrited","Active")</f>
        <v/>
      </c>
    </row>
    <row r="368">
      <c r="A368" s="5" t="inlineStr">
        <is>
          <t>E00367</t>
        </is>
      </c>
      <c r="B368" s="5" t="inlineStr">
        <is>
          <t>Female</t>
        </is>
      </c>
      <c r="C368" s="6" t="inlineStr">
        <is>
          <t>36</t>
        </is>
      </c>
      <c r="D368" s="5" t="inlineStr">
        <is>
          <t>Married</t>
        </is>
      </c>
      <c r="E368" s="5" t="inlineStr">
        <is>
          <t>Diploma</t>
        </is>
      </c>
      <c r="F368" s="5" t="inlineStr">
        <is>
          <t>Human Resources</t>
        </is>
      </c>
      <c r="G368" s="5" t="inlineStr">
        <is>
          <t>HR Analyst</t>
        </is>
      </c>
      <c r="H368" s="5" t="inlineStr">
        <is>
          <t>7</t>
        </is>
      </c>
      <c r="I368" s="5" t="inlineStr">
        <is>
          <t>Mumbai</t>
        </is>
      </c>
      <c r="J368" s="5" t="inlineStr">
        <is>
          <t>Full-Time</t>
        </is>
      </c>
      <c r="K368" s="7" t="n">
        <v>44345</v>
      </c>
      <c r="L368" s="7" t="inlineStr"/>
      <c r="M368" s="5" t="inlineStr">
        <is>
          <t>Yes</t>
        </is>
      </c>
      <c r="N368" s="5" t="inlineStr"/>
      <c r="O368" s="8" t="inlineStr">
        <is>
          <t>171000</t>
        </is>
      </c>
      <c r="P368" s="5" t="inlineStr">
        <is>
          <t>0</t>
        </is>
      </c>
      <c r="Q368" s="5" t="inlineStr">
        <is>
          <t>4</t>
        </is>
      </c>
      <c r="R368" s="5" t="inlineStr">
        <is>
          <t>8</t>
        </is>
      </c>
      <c r="S368" s="5" t="inlineStr">
        <is>
          <t>55</t>
        </is>
      </c>
      <c r="T368" s="5" t="inlineStr">
        <is>
          <t>0</t>
        </is>
      </c>
      <c r="U368" s="5">
        <f>IFS(C368&lt;30,"Under 30",C368&lt;40,"30-39",C368&lt;50,"40-49",TRUE,"50+")</f>
        <v/>
      </c>
      <c r="V368" s="5">
        <f>IFS(O368&lt;60000,"Low (&lt;60k)",O368&lt;100000,"Mid (60-100k)",TRUE,"High (100k+)")</f>
        <v/>
      </c>
      <c r="W368" s="5">
        <f>IF(M368="No","Attrited","Active")</f>
        <v/>
      </c>
    </row>
    <row r="369">
      <c r="A369" s="5" t="inlineStr">
        <is>
          <t>E00368</t>
        </is>
      </c>
      <c r="B369" s="5" t="inlineStr">
        <is>
          <t>Female</t>
        </is>
      </c>
      <c r="C369" s="6" t="inlineStr">
        <is>
          <t>31</t>
        </is>
      </c>
      <c r="D369" s="5" t="inlineStr">
        <is>
          <t>Married</t>
        </is>
      </c>
      <c r="E369" s="5" t="inlineStr">
        <is>
          <t>Bachelor</t>
        </is>
      </c>
      <c r="F369" s="5" t="inlineStr">
        <is>
          <t>Operations</t>
        </is>
      </c>
      <c r="G369" s="5" t="inlineStr">
        <is>
          <t>Operations Analyst</t>
        </is>
      </c>
      <c r="H369" s="5" t="inlineStr">
        <is>
          <t>2</t>
        </is>
      </c>
      <c r="I369" s="5" t="inlineStr">
        <is>
          <t>Hyderabad</t>
        </is>
      </c>
      <c r="J369" s="5" t="inlineStr">
        <is>
          <t>Full-Time</t>
        </is>
      </c>
      <c r="K369" s="7" t="n">
        <v>43939</v>
      </c>
      <c r="L369" s="7" t="inlineStr"/>
      <c r="M369" s="5" t="inlineStr">
        <is>
          <t>Yes</t>
        </is>
      </c>
      <c r="N369" s="5" t="inlineStr"/>
      <c r="O369" s="8" t="inlineStr">
        <is>
          <t>74000</t>
        </is>
      </c>
      <c r="P369" s="5" t="inlineStr">
        <is>
          <t>5</t>
        </is>
      </c>
      <c r="Q369" s="5" t="inlineStr">
        <is>
          <t>4</t>
        </is>
      </c>
      <c r="R369" s="5" t="inlineStr">
        <is>
          <t>8</t>
        </is>
      </c>
      <c r="S369" s="5" t="inlineStr">
        <is>
          <t>69</t>
        </is>
      </c>
      <c r="T369" s="5" t="inlineStr">
        <is>
          <t>11</t>
        </is>
      </c>
      <c r="U369" s="5">
        <f>IFS(C369&lt;30,"Under 30",C369&lt;40,"30-39",C369&lt;50,"40-49",TRUE,"50+")</f>
        <v/>
      </c>
      <c r="V369" s="5">
        <f>IFS(O369&lt;60000,"Low (&lt;60k)",O369&lt;100000,"Mid (60-100k)",TRUE,"High (100k+)")</f>
        <v/>
      </c>
      <c r="W369" s="5">
        <f>IF(M369="No","Attrited","Active")</f>
        <v/>
      </c>
    </row>
    <row r="370">
      <c r="A370" s="5" t="inlineStr">
        <is>
          <t>E00369</t>
        </is>
      </c>
      <c r="B370" s="5" t="inlineStr">
        <is>
          <t>Female</t>
        </is>
      </c>
      <c r="C370" s="6" t="inlineStr">
        <is>
          <t>32</t>
        </is>
      </c>
      <c r="D370" s="5" t="inlineStr">
        <is>
          <t>Single</t>
        </is>
      </c>
      <c r="E370" s="5" t="inlineStr">
        <is>
          <t>PhD</t>
        </is>
      </c>
      <c r="F370" s="5" t="inlineStr">
        <is>
          <t>Sales</t>
        </is>
      </c>
      <c r="G370" s="5" t="inlineStr">
        <is>
          <t>Account Executive</t>
        </is>
      </c>
      <c r="H370" s="5" t="inlineStr">
        <is>
          <t>4</t>
        </is>
      </c>
      <c r="I370" s="5" t="inlineStr">
        <is>
          <t>Bengaluru</t>
        </is>
      </c>
      <c r="J370" s="5" t="inlineStr">
        <is>
          <t>Full-Time</t>
        </is>
      </c>
      <c r="K370" s="7" t="n">
        <v>44810</v>
      </c>
      <c r="L370" s="7" t="inlineStr"/>
      <c r="M370" s="5" t="inlineStr">
        <is>
          <t>Yes</t>
        </is>
      </c>
      <c r="N370" s="5" t="inlineStr"/>
      <c r="O370" s="8" t="inlineStr">
        <is>
          <t>94500</t>
        </is>
      </c>
      <c r="P370" s="5" t="inlineStr">
        <is>
          <t>10</t>
        </is>
      </c>
      <c r="Q370" s="5" t="inlineStr">
        <is>
          <t>3</t>
        </is>
      </c>
      <c r="R370" s="5" t="inlineStr">
        <is>
          <t>7</t>
        </is>
      </c>
      <c r="S370" s="5" t="inlineStr">
        <is>
          <t>40</t>
        </is>
      </c>
      <c r="T370" s="5" t="inlineStr">
        <is>
          <t>0</t>
        </is>
      </c>
      <c r="U370" s="5">
        <f>IFS(C370&lt;30,"Under 30",C370&lt;40,"30-39",C370&lt;50,"40-49",TRUE,"50+")</f>
        <v/>
      </c>
      <c r="V370" s="5">
        <f>IFS(O370&lt;60000,"Low (&lt;60k)",O370&lt;100000,"Mid (60-100k)",TRUE,"High (100k+)")</f>
        <v/>
      </c>
      <c r="W370" s="5">
        <f>IF(M370="No","Attrited","Active")</f>
        <v/>
      </c>
    </row>
    <row r="371">
      <c r="A371" s="5" t="inlineStr">
        <is>
          <t>E00370</t>
        </is>
      </c>
      <c r="B371" s="5" t="inlineStr">
        <is>
          <t>Female</t>
        </is>
      </c>
      <c r="C371" s="6" t="inlineStr">
        <is>
          <t>34</t>
        </is>
      </c>
      <c r="D371" s="5" t="inlineStr">
        <is>
          <t>Married</t>
        </is>
      </c>
      <c r="E371" s="5" t="inlineStr">
        <is>
          <t>Diploma</t>
        </is>
      </c>
      <c r="F371" s="5" t="inlineStr">
        <is>
          <t>IT</t>
        </is>
      </c>
      <c r="G371" s="5" t="inlineStr">
        <is>
          <t>DevOps Engineer</t>
        </is>
      </c>
      <c r="H371" s="5" t="inlineStr">
        <is>
          <t>2</t>
        </is>
      </c>
      <c r="I371" s="5" t="inlineStr">
        <is>
          <t>Delhi</t>
        </is>
      </c>
      <c r="J371" s="5" t="inlineStr">
        <is>
          <t>Full-Time</t>
        </is>
      </c>
      <c r="K371" s="7" t="n">
        <v>45971</v>
      </c>
      <c r="L371" s="7" t="inlineStr"/>
      <c r="M371" s="5" t="inlineStr">
        <is>
          <t>Yes</t>
        </is>
      </c>
      <c r="N371" s="5" t="inlineStr"/>
      <c r="O371" s="8" t="inlineStr">
        <is>
          <t>160500</t>
        </is>
      </c>
      <c r="P371" s="5" t="inlineStr">
        <is>
          <t>5</t>
        </is>
      </c>
      <c r="Q371" s="5" t="inlineStr">
        <is>
          <t>5</t>
        </is>
      </c>
      <c r="R371" s="5" t="inlineStr">
        <is>
          <t>9</t>
        </is>
      </c>
      <c r="S371" s="5" t="inlineStr">
        <is>
          <t>1</t>
        </is>
      </c>
      <c r="T371" s="5" t="inlineStr">
        <is>
          <t>1</t>
        </is>
      </c>
      <c r="U371" s="5">
        <f>IFS(C371&lt;30,"Under 30",C371&lt;40,"30-39",C371&lt;50,"40-49",TRUE,"50+")</f>
        <v/>
      </c>
      <c r="V371" s="5">
        <f>IFS(O371&lt;60000,"Low (&lt;60k)",O371&lt;100000,"Mid (60-100k)",TRUE,"High (100k+)")</f>
        <v/>
      </c>
      <c r="W371" s="5">
        <f>IF(M371="No","Attrited","Active")</f>
        <v/>
      </c>
    </row>
    <row r="372">
      <c r="A372" s="5" t="inlineStr">
        <is>
          <t>E00371</t>
        </is>
      </c>
      <c r="B372" s="5" t="inlineStr">
        <is>
          <t>Female</t>
        </is>
      </c>
      <c r="C372" s="6" t="inlineStr">
        <is>
          <t>24</t>
        </is>
      </c>
      <c r="D372" s="5" t="inlineStr">
        <is>
          <t>Single</t>
        </is>
      </c>
      <c r="E372" s="5" t="inlineStr">
        <is>
          <t>Diploma</t>
        </is>
      </c>
      <c r="F372" s="5" t="inlineStr">
        <is>
          <t>Customer Support</t>
        </is>
      </c>
      <c r="G372" s="5" t="inlineStr">
        <is>
          <t>Escalation Specialist</t>
        </is>
      </c>
      <c r="H372" s="5" t="inlineStr">
        <is>
          <t>1</t>
        </is>
      </c>
      <c r="I372" s="5" t="inlineStr">
        <is>
          <t>Delhi</t>
        </is>
      </c>
      <c r="J372" s="5" t="inlineStr">
        <is>
          <t>Full-Time</t>
        </is>
      </c>
      <c r="K372" s="7" t="n">
        <v>45127</v>
      </c>
      <c r="L372" s="7" t="inlineStr"/>
      <c r="M372" s="5" t="inlineStr">
        <is>
          <t>Yes</t>
        </is>
      </c>
      <c r="N372" s="5" t="inlineStr"/>
      <c r="O372" s="8" t="inlineStr">
        <is>
          <t>57000</t>
        </is>
      </c>
      <c r="P372" s="5" t="inlineStr">
        <is>
          <t>10</t>
        </is>
      </c>
      <c r="Q372" s="5" t="inlineStr">
        <is>
          <t>2</t>
        </is>
      </c>
      <c r="R372" s="5" t="inlineStr">
        <is>
          <t>5</t>
        </is>
      </c>
      <c r="S372" s="5" t="inlineStr">
        <is>
          <t>29</t>
        </is>
      </c>
      <c r="T372" s="5" t="inlineStr">
        <is>
          <t>10</t>
        </is>
      </c>
      <c r="U372" s="5">
        <f>IFS(C372&lt;30,"Under 30",C372&lt;40,"30-39",C372&lt;50,"40-49",TRUE,"50+")</f>
        <v/>
      </c>
      <c r="V372" s="5">
        <f>IFS(O372&lt;60000,"Low (&lt;60k)",O372&lt;100000,"Mid (60-100k)",TRUE,"High (100k+)")</f>
        <v/>
      </c>
      <c r="W372" s="5">
        <f>IF(M372="No","Attrited","Active")</f>
        <v/>
      </c>
    </row>
    <row r="373">
      <c r="A373" s="5" t="inlineStr">
        <is>
          <t>E00372</t>
        </is>
      </c>
      <c r="B373" s="5" t="inlineStr">
        <is>
          <t>Male</t>
        </is>
      </c>
      <c r="C373" s="6" t="inlineStr">
        <is>
          <t>29</t>
        </is>
      </c>
      <c r="D373" s="5" t="inlineStr">
        <is>
          <t>Divorced</t>
        </is>
      </c>
      <c r="E373" s="5" t="inlineStr">
        <is>
          <t>PhD</t>
        </is>
      </c>
      <c r="F373" s="5" t="inlineStr">
        <is>
          <t>Human Resources</t>
        </is>
      </c>
      <c r="G373" s="5" t="inlineStr">
        <is>
          <t>Recruiter</t>
        </is>
      </c>
      <c r="H373" s="5" t="inlineStr">
        <is>
          <t>2</t>
        </is>
      </c>
      <c r="I373" s="5" t="inlineStr">
        <is>
          <t>Chennai</t>
        </is>
      </c>
      <c r="J373" s="5" t="inlineStr">
        <is>
          <t>Contract</t>
        </is>
      </c>
      <c r="K373" s="7" t="n">
        <v>44113</v>
      </c>
      <c r="L373" s="7" t="inlineStr"/>
      <c r="M373" s="5" t="inlineStr">
        <is>
          <t>Yes</t>
        </is>
      </c>
      <c r="N373" s="5" t="inlineStr"/>
      <c r="O373" s="8" t="inlineStr">
        <is>
          <t>75000</t>
        </is>
      </c>
      <c r="P373" s="5" t="inlineStr">
        <is>
          <t>5</t>
        </is>
      </c>
      <c r="Q373" s="5" t="inlineStr">
        <is>
          <t>5</t>
        </is>
      </c>
      <c r="R373" s="5" t="inlineStr">
        <is>
          <t>7</t>
        </is>
      </c>
      <c r="S373" s="5" t="inlineStr">
        <is>
          <t>63</t>
        </is>
      </c>
      <c r="T373" s="5" t="inlineStr">
        <is>
          <t>5</t>
        </is>
      </c>
      <c r="U373" s="5">
        <f>IFS(C373&lt;30,"Under 30",C373&lt;40,"30-39",C373&lt;50,"40-49",TRUE,"50+")</f>
        <v/>
      </c>
      <c r="V373" s="5">
        <f>IFS(O373&lt;60000,"Low (&lt;60k)",O373&lt;100000,"Mid (60-100k)",TRUE,"High (100k+)")</f>
        <v/>
      </c>
      <c r="W373" s="5">
        <f>IF(M373="No","Attrited","Active")</f>
        <v/>
      </c>
    </row>
    <row r="374">
      <c r="A374" s="5" t="inlineStr">
        <is>
          <t>E00373</t>
        </is>
      </c>
      <c r="B374" s="5" t="inlineStr">
        <is>
          <t>Female</t>
        </is>
      </c>
      <c r="C374" s="6" t="inlineStr">
        <is>
          <t>30</t>
        </is>
      </c>
      <c r="D374" s="5" t="inlineStr">
        <is>
          <t>Married</t>
        </is>
      </c>
      <c r="E374" s="5" t="inlineStr">
        <is>
          <t>Diploma</t>
        </is>
      </c>
      <c r="F374" s="5" t="inlineStr">
        <is>
          <t>Human Resources</t>
        </is>
      </c>
      <c r="G374" s="5" t="inlineStr">
        <is>
          <t>Recruiter</t>
        </is>
      </c>
      <c r="H374" s="5" t="inlineStr">
        <is>
          <t>1</t>
        </is>
      </c>
      <c r="I374" s="5" t="inlineStr">
        <is>
          <t>Mumbai</t>
        </is>
      </c>
      <c r="J374" s="5" t="inlineStr">
        <is>
          <t>Full-Time</t>
        </is>
      </c>
      <c r="K374" s="7" t="n">
        <v>44102</v>
      </c>
      <c r="L374" s="7" t="inlineStr"/>
      <c r="M374" s="5" t="inlineStr">
        <is>
          <t>Yes</t>
        </is>
      </c>
      <c r="N374" s="5" t="inlineStr"/>
      <c r="O374" s="8" t="inlineStr">
        <is>
          <t>71500</t>
        </is>
      </c>
      <c r="P374" s="5" t="inlineStr">
        <is>
          <t>20</t>
        </is>
      </c>
      <c r="Q374" s="5" t="inlineStr">
        <is>
          <t>5</t>
        </is>
      </c>
      <c r="R374" s="5" t="inlineStr">
        <is>
          <t>8</t>
        </is>
      </c>
      <c r="S374" s="5" t="inlineStr">
        <is>
          <t>64</t>
        </is>
      </c>
      <c r="T374" s="5" t="inlineStr">
        <is>
          <t>15</t>
        </is>
      </c>
      <c r="U374" s="5">
        <f>IFS(C374&lt;30,"Under 30",C374&lt;40,"30-39",C374&lt;50,"40-49",TRUE,"50+")</f>
        <v/>
      </c>
      <c r="V374" s="5">
        <f>IFS(O374&lt;60000,"Low (&lt;60k)",O374&lt;100000,"Mid (60-100k)",TRUE,"High (100k+)")</f>
        <v/>
      </c>
      <c r="W374" s="5">
        <f>IF(M374="No","Attrited","Active")</f>
        <v/>
      </c>
    </row>
    <row r="375">
      <c r="A375" s="5" t="inlineStr">
        <is>
          <t>E00374</t>
        </is>
      </c>
      <c r="B375" s="5" t="inlineStr">
        <is>
          <t>Male</t>
        </is>
      </c>
      <c r="C375" s="6" t="inlineStr">
        <is>
          <t>39</t>
        </is>
      </c>
      <c r="D375" s="5" t="inlineStr">
        <is>
          <t>Married</t>
        </is>
      </c>
      <c r="E375" s="5" t="inlineStr">
        <is>
          <t>Diploma</t>
        </is>
      </c>
      <c r="F375" s="5" t="inlineStr">
        <is>
          <t>Operations</t>
        </is>
      </c>
      <c r="G375" s="5" t="inlineStr">
        <is>
          <t>Operations Analyst</t>
        </is>
      </c>
      <c r="H375" s="5" t="inlineStr">
        <is>
          <t>6</t>
        </is>
      </c>
      <c r="I375" s="5" t="inlineStr">
        <is>
          <t>Delhi</t>
        </is>
      </c>
      <c r="J375" s="5" t="inlineStr">
        <is>
          <t>Full-Time</t>
        </is>
      </c>
      <c r="K375" s="7" t="n">
        <v>45617</v>
      </c>
      <c r="L375" s="7" t="n">
        <v>45674</v>
      </c>
      <c r="M375" s="5" t="inlineStr">
        <is>
          <t>No</t>
        </is>
      </c>
      <c r="N375" s="5" t="inlineStr">
        <is>
          <t>Layoff</t>
        </is>
      </c>
      <c r="O375" s="8" t="inlineStr">
        <is>
          <t>128000</t>
        </is>
      </c>
      <c r="P375" s="5" t="inlineStr">
        <is>
          <t>0</t>
        </is>
      </c>
      <c r="Q375" s="5" t="inlineStr">
        <is>
          <t>3</t>
        </is>
      </c>
      <c r="R375" s="5" t="inlineStr">
        <is>
          <t>7</t>
        </is>
      </c>
      <c r="S375" s="5" t="inlineStr">
        <is>
          <t>1</t>
        </is>
      </c>
      <c r="T375" s="5" t="inlineStr">
        <is>
          <t>3</t>
        </is>
      </c>
      <c r="U375" s="5">
        <f>IFS(C375&lt;30,"Under 30",C375&lt;40,"30-39",C375&lt;50,"40-49",TRUE,"50+")</f>
        <v/>
      </c>
      <c r="V375" s="5">
        <f>IFS(O375&lt;60000,"Low (&lt;60k)",O375&lt;100000,"Mid (60-100k)",TRUE,"High (100k+)")</f>
        <v/>
      </c>
      <c r="W375" s="5">
        <f>IF(M375="No","Attrited","Active")</f>
        <v/>
      </c>
    </row>
    <row r="376">
      <c r="A376" s="5" t="inlineStr">
        <is>
          <t>E00375</t>
        </is>
      </c>
      <c r="B376" s="5" t="inlineStr">
        <is>
          <t>Female</t>
        </is>
      </c>
      <c r="C376" s="6" t="inlineStr">
        <is>
          <t>46</t>
        </is>
      </c>
      <c r="D376" s="5" t="inlineStr">
        <is>
          <t>Single</t>
        </is>
      </c>
      <c r="E376" s="5" t="inlineStr">
        <is>
          <t>Diploma</t>
        </is>
      </c>
      <c r="F376" s="5" t="inlineStr">
        <is>
          <t>IT</t>
        </is>
      </c>
      <c r="G376" s="5" t="inlineStr">
        <is>
          <t>IT Support</t>
        </is>
      </c>
      <c r="H376" s="5" t="inlineStr">
        <is>
          <t>7</t>
        </is>
      </c>
      <c r="I376" s="5" t="inlineStr">
        <is>
          <t>Hyderabad</t>
        </is>
      </c>
      <c r="J376" s="5" t="inlineStr">
        <is>
          <t>Full-Time</t>
        </is>
      </c>
      <c r="K376" s="7" t="n">
        <v>45186</v>
      </c>
      <c r="L376" s="7" t="inlineStr"/>
      <c r="M376" s="5" t="inlineStr">
        <is>
          <t>Yes</t>
        </is>
      </c>
      <c r="N376" s="5" t="inlineStr"/>
      <c r="O376" s="8" t="inlineStr">
        <is>
          <t>278000</t>
        </is>
      </c>
      <c r="P376" s="5" t="inlineStr">
        <is>
          <t>0</t>
        </is>
      </c>
      <c r="Q376" s="5" t="inlineStr">
        <is>
          <t>3</t>
        </is>
      </c>
      <c r="R376" s="5" t="inlineStr">
        <is>
          <t>5</t>
        </is>
      </c>
      <c r="S376" s="5" t="inlineStr">
        <is>
          <t>27</t>
        </is>
      </c>
      <c r="T376" s="5" t="inlineStr">
        <is>
          <t>11</t>
        </is>
      </c>
      <c r="U376" s="5">
        <f>IFS(C376&lt;30,"Under 30",C376&lt;40,"30-39",C376&lt;50,"40-49",TRUE,"50+")</f>
        <v/>
      </c>
      <c r="V376" s="5">
        <f>IFS(O376&lt;60000,"Low (&lt;60k)",O376&lt;100000,"Mid (60-100k)",TRUE,"High (100k+)")</f>
        <v/>
      </c>
      <c r="W376" s="5">
        <f>IF(M376="No","Attrited","Active")</f>
        <v/>
      </c>
    </row>
    <row r="377">
      <c r="A377" s="5" t="inlineStr">
        <is>
          <t>E00376</t>
        </is>
      </c>
      <c r="B377" s="5" t="inlineStr">
        <is>
          <t>Female</t>
        </is>
      </c>
      <c r="C377" s="6" t="inlineStr">
        <is>
          <t>31</t>
        </is>
      </c>
      <c r="D377" s="5" t="inlineStr">
        <is>
          <t>Married</t>
        </is>
      </c>
      <c r="E377" s="5" t="inlineStr">
        <is>
          <t>Diploma</t>
        </is>
      </c>
      <c r="F377" s="5" t="inlineStr">
        <is>
          <t>Customer Support</t>
        </is>
      </c>
      <c r="G377" s="5" t="inlineStr">
        <is>
          <t>Escalation Specialist</t>
        </is>
      </c>
      <c r="H377" s="5" t="inlineStr">
        <is>
          <t>1</t>
        </is>
      </c>
      <c r="I377" s="5" t="inlineStr">
        <is>
          <t>Hyderabad</t>
        </is>
      </c>
      <c r="J377" s="5" t="inlineStr">
        <is>
          <t>Full-Time</t>
        </is>
      </c>
      <c r="K377" s="7" t="n">
        <v>44624</v>
      </c>
      <c r="L377" s="7" t="inlineStr"/>
      <c r="M377" s="5" t="inlineStr">
        <is>
          <t>Yes</t>
        </is>
      </c>
      <c r="N377" s="5" t="inlineStr"/>
      <c r="O377" s="8" t="inlineStr">
        <is>
          <t>66500</t>
        </is>
      </c>
      <c r="P377" s="5" t="inlineStr">
        <is>
          <t>15</t>
        </is>
      </c>
      <c r="Q377" s="5" t="inlineStr">
        <is>
          <t>4</t>
        </is>
      </c>
      <c r="R377" s="5" t="inlineStr">
        <is>
          <t>10</t>
        </is>
      </c>
      <c r="S377" s="5" t="inlineStr">
        <is>
          <t>46</t>
        </is>
      </c>
      <c r="T377" s="5" t="inlineStr">
        <is>
          <t>3</t>
        </is>
      </c>
      <c r="U377" s="5">
        <f>IFS(C377&lt;30,"Under 30",C377&lt;40,"30-39",C377&lt;50,"40-49",TRUE,"50+")</f>
        <v/>
      </c>
      <c r="V377" s="5">
        <f>IFS(O377&lt;60000,"Low (&lt;60k)",O377&lt;100000,"Mid (60-100k)",TRUE,"High (100k+)")</f>
        <v/>
      </c>
      <c r="W377" s="5">
        <f>IF(M377="No","Attrited","Active")</f>
        <v/>
      </c>
    </row>
    <row r="378">
      <c r="A378" s="5" t="inlineStr">
        <is>
          <t>E00377</t>
        </is>
      </c>
      <c r="B378" s="5" t="inlineStr">
        <is>
          <t>Male</t>
        </is>
      </c>
      <c r="C378" s="6" t="inlineStr">
        <is>
          <t>44</t>
        </is>
      </c>
      <c r="D378" s="5" t="inlineStr">
        <is>
          <t>Married</t>
        </is>
      </c>
      <c r="E378" s="5" t="inlineStr">
        <is>
          <t>Diploma</t>
        </is>
      </c>
      <c r="F378" s="5" t="inlineStr">
        <is>
          <t>Customer Support</t>
        </is>
      </c>
      <c r="G378" s="5" t="inlineStr">
        <is>
          <t>Escalation Specialist</t>
        </is>
      </c>
      <c r="H378" s="5" t="inlineStr">
        <is>
          <t>6</t>
        </is>
      </c>
      <c r="I378" s="5" t="inlineStr">
        <is>
          <t>Bengaluru</t>
        </is>
      </c>
      <c r="J378" s="5" t="inlineStr">
        <is>
          <t>Full-Time</t>
        </is>
      </c>
      <c r="K378" s="7" t="n">
        <v>44932</v>
      </c>
      <c r="L378" s="7" t="inlineStr"/>
      <c r="M378" s="5" t="inlineStr">
        <is>
          <t>Yes</t>
        </is>
      </c>
      <c r="N378" s="5" t="inlineStr"/>
      <c r="O378" s="8" t="inlineStr">
        <is>
          <t>98500</t>
        </is>
      </c>
      <c r="P378" s="5" t="inlineStr">
        <is>
          <t>15</t>
        </is>
      </c>
      <c r="Q378" s="5" t="inlineStr">
        <is>
          <t>5</t>
        </is>
      </c>
      <c r="R378" s="5" t="inlineStr">
        <is>
          <t>5</t>
        </is>
      </c>
      <c r="S378" s="5" t="inlineStr">
        <is>
          <t>36</t>
        </is>
      </c>
      <c r="T378" s="5" t="inlineStr">
        <is>
          <t>0</t>
        </is>
      </c>
      <c r="U378" s="5">
        <f>IFS(C378&lt;30,"Under 30",C378&lt;40,"30-39",C378&lt;50,"40-49",TRUE,"50+")</f>
        <v/>
      </c>
      <c r="V378" s="5">
        <f>IFS(O378&lt;60000,"Low (&lt;60k)",O378&lt;100000,"Mid (60-100k)",TRUE,"High (100k+)")</f>
        <v/>
      </c>
      <c r="W378" s="5">
        <f>IF(M378="No","Attrited","Active")</f>
        <v/>
      </c>
    </row>
    <row r="379">
      <c r="A379" s="5" t="inlineStr">
        <is>
          <t>E00378</t>
        </is>
      </c>
      <c r="B379" s="5" t="inlineStr">
        <is>
          <t>Female</t>
        </is>
      </c>
      <c r="C379" s="6" t="inlineStr">
        <is>
          <t>37</t>
        </is>
      </c>
      <c r="D379" s="5" t="inlineStr">
        <is>
          <t>Married</t>
        </is>
      </c>
      <c r="E379" s="5" t="inlineStr">
        <is>
          <t>Diploma</t>
        </is>
      </c>
      <c r="F379" s="5" t="inlineStr">
        <is>
          <t>Marketing</t>
        </is>
      </c>
      <c r="G379" s="5" t="inlineStr">
        <is>
          <t>SEO Specialist</t>
        </is>
      </c>
      <c r="H379" s="5" t="inlineStr">
        <is>
          <t>3</t>
        </is>
      </c>
      <c r="I379" s="5" t="inlineStr">
        <is>
          <t>Hyderabad</t>
        </is>
      </c>
      <c r="J379" s="5" t="inlineStr">
        <is>
          <t>Full-Time</t>
        </is>
      </c>
      <c r="K379" s="7" t="n">
        <v>43927</v>
      </c>
      <c r="L379" s="7" t="inlineStr"/>
      <c r="M379" s="5" t="inlineStr">
        <is>
          <t>Yes</t>
        </is>
      </c>
      <c r="N379" s="5" t="inlineStr"/>
      <c r="O379" s="8" t="inlineStr">
        <is>
          <t>86500</t>
        </is>
      </c>
      <c r="P379" s="5" t="inlineStr">
        <is>
          <t>5</t>
        </is>
      </c>
      <c r="Q379" s="5" t="inlineStr">
        <is>
          <t>5</t>
        </is>
      </c>
      <c r="R379" s="5" t="inlineStr">
        <is>
          <t>4</t>
        </is>
      </c>
      <c r="S379" s="5" t="inlineStr">
        <is>
          <t>69</t>
        </is>
      </c>
      <c r="T379" s="5" t="inlineStr">
        <is>
          <t>0</t>
        </is>
      </c>
      <c r="U379" s="5">
        <f>IFS(C379&lt;30,"Under 30",C379&lt;40,"30-39",C379&lt;50,"40-49",TRUE,"50+")</f>
        <v/>
      </c>
      <c r="V379" s="5">
        <f>IFS(O379&lt;60000,"Low (&lt;60k)",O379&lt;100000,"Mid (60-100k)",TRUE,"High (100k+)")</f>
        <v/>
      </c>
      <c r="W379" s="5">
        <f>IF(M379="No","Attrited","Active")</f>
        <v/>
      </c>
    </row>
    <row r="380">
      <c r="A380" s="5" t="inlineStr">
        <is>
          <t>E00379</t>
        </is>
      </c>
      <c r="B380" s="5" t="inlineStr">
        <is>
          <t>Female</t>
        </is>
      </c>
      <c r="C380" s="6" t="inlineStr">
        <is>
          <t>43</t>
        </is>
      </c>
      <c r="D380" s="5" t="inlineStr">
        <is>
          <t>Married</t>
        </is>
      </c>
      <c r="E380" s="5" t="inlineStr">
        <is>
          <t>PhD</t>
        </is>
      </c>
      <c r="F380" s="5" t="inlineStr">
        <is>
          <t>Sales</t>
        </is>
      </c>
      <c r="G380" s="5" t="inlineStr">
        <is>
          <t>Sales Executive</t>
        </is>
      </c>
      <c r="H380" s="5" t="inlineStr">
        <is>
          <t>6</t>
        </is>
      </c>
      <c r="I380" s="5" t="inlineStr">
        <is>
          <t>Chennai</t>
        </is>
      </c>
      <c r="J380" s="5" t="inlineStr">
        <is>
          <t>Full-Time</t>
        </is>
      </c>
      <c r="K380" s="7" t="n">
        <v>45069</v>
      </c>
      <c r="L380" s="7" t="inlineStr"/>
      <c r="M380" s="5" t="inlineStr">
        <is>
          <t>Yes</t>
        </is>
      </c>
      <c r="N380" s="5" t="inlineStr"/>
      <c r="O380" s="8" t="inlineStr">
        <is>
          <t>107000</t>
        </is>
      </c>
      <c r="P380" s="5" t="inlineStr">
        <is>
          <t>20</t>
        </is>
      </c>
      <c r="Q380" s="5" t="inlineStr">
        <is>
          <t>5</t>
        </is>
      </c>
      <c r="R380" s="5" t="inlineStr">
        <is>
          <t>5</t>
        </is>
      </c>
      <c r="S380" s="5" t="inlineStr">
        <is>
          <t>31</t>
        </is>
      </c>
      <c r="T380" s="5" t="inlineStr">
        <is>
          <t>1</t>
        </is>
      </c>
      <c r="U380" s="5">
        <f>IFS(C380&lt;30,"Under 30",C380&lt;40,"30-39",C380&lt;50,"40-49",TRUE,"50+")</f>
        <v/>
      </c>
      <c r="V380" s="5">
        <f>IFS(O380&lt;60000,"Low (&lt;60k)",O380&lt;100000,"Mid (60-100k)",TRUE,"High (100k+)")</f>
        <v/>
      </c>
      <c r="W380" s="5">
        <f>IF(M380="No","Attrited","Active")</f>
        <v/>
      </c>
    </row>
    <row r="381">
      <c r="A381" s="5" t="inlineStr">
        <is>
          <t>E00380</t>
        </is>
      </c>
      <c r="B381" s="5" t="inlineStr">
        <is>
          <t>Male</t>
        </is>
      </c>
      <c r="C381" s="6" t="inlineStr">
        <is>
          <t>28</t>
        </is>
      </c>
      <c r="D381" s="5" t="inlineStr">
        <is>
          <t>Single</t>
        </is>
      </c>
      <c r="E381" s="5" t="inlineStr">
        <is>
          <t>PhD</t>
        </is>
      </c>
      <c r="F381" s="5" t="inlineStr">
        <is>
          <t>IT</t>
        </is>
      </c>
      <c r="G381" s="5" t="inlineStr">
        <is>
          <t>DevOps Engineer</t>
        </is>
      </c>
      <c r="H381" s="5" t="inlineStr">
        <is>
          <t>1</t>
        </is>
      </c>
      <c r="I381" s="5" t="inlineStr">
        <is>
          <t>Mumbai</t>
        </is>
      </c>
      <c r="J381" s="5" t="inlineStr">
        <is>
          <t>Full-Time</t>
        </is>
      </c>
      <c r="K381" s="7" t="n">
        <v>43891</v>
      </c>
      <c r="L381" s="7" t="inlineStr"/>
      <c r="M381" s="5" t="inlineStr">
        <is>
          <t>Yes</t>
        </is>
      </c>
      <c r="N381" s="5" t="inlineStr"/>
      <c r="O381" s="8" t="inlineStr">
        <is>
          <t>96500</t>
        </is>
      </c>
      <c r="P381" s="5" t="inlineStr">
        <is>
          <t>10</t>
        </is>
      </c>
      <c r="Q381" s="5" t="inlineStr">
        <is>
          <t>4</t>
        </is>
      </c>
      <c r="R381" s="5" t="inlineStr">
        <is>
          <t>6</t>
        </is>
      </c>
      <c r="S381" s="5" t="inlineStr">
        <is>
          <t>71</t>
        </is>
      </c>
      <c r="T381" s="5" t="inlineStr">
        <is>
          <t>0</t>
        </is>
      </c>
      <c r="U381" s="5">
        <f>IFS(C381&lt;30,"Under 30",C381&lt;40,"30-39",C381&lt;50,"40-49",TRUE,"50+")</f>
        <v/>
      </c>
      <c r="V381" s="5">
        <f>IFS(O381&lt;60000,"Low (&lt;60k)",O381&lt;100000,"Mid (60-100k)",TRUE,"High (100k+)")</f>
        <v/>
      </c>
      <c r="W381" s="5">
        <f>IF(M381="No","Attrited","Active")</f>
        <v/>
      </c>
    </row>
    <row r="382">
      <c r="A382" s="5" t="inlineStr">
        <is>
          <t>E00381</t>
        </is>
      </c>
      <c r="B382" s="5" t="inlineStr">
        <is>
          <t>Female</t>
        </is>
      </c>
      <c r="C382" s="6" t="inlineStr">
        <is>
          <t>38</t>
        </is>
      </c>
      <c r="D382" s="5" t="inlineStr">
        <is>
          <t>Married</t>
        </is>
      </c>
      <c r="E382" s="5" t="inlineStr">
        <is>
          <t>Bachelor</t>
        </is>
      </c>
      <c r="F382" s="5" t="inlineStr">
        <is>
          <t>Customer Support</t>
        </is>
      </c>
      <c r="G382" s="5" t="inlineStr">
        <is>
          <t>Support Lead</t>
        </is>
      </c>
      <c r="H382" s="5" t="inlineStr">
        <is>
          <t>4</t>
        </is>
      </c>
      <c r="I382" s="5" t="inlineStr">
        <is>
          <t>Mumbai</t>
        </is>
      </c>
      <c r="J382" s="5" t="inlineStr">
        <is>
          <t>Full-Time</t>
        </is>
      </c>
      <c r="K382" s="7" t="n">
        <v>44431</v>
      </c>
      <c r="L382" s="7" t="inlineStr"/>
      <c r="M382" s="5" t="inlineStr">
        <is>
          <t>Yes</t>
        </is>
      </c>
      <c r="N382" s="5" t="inlineStr"/>
      <c r="O382" s="8" t="inlineStr">
        <is>
          <t>98500</t>
        </is>
      </c>
      <c r="P382" s="5" t="inlineStr">
        <is>
          <t>0</t>
        </is>
      </c>
      <c r="Q382" s="5" t="inlineStr">
        <is>
          <t>4</t>
        </is>
      </c>
      <c r="R382" s="5" t="inlineStr">
        <is>
          <t>4</t>
        </is>
      </c>
      <c r="S382" s="5" t="inlineStr">
        <is>
          <t>53</t>
        </is>
      </c>
      <c r="T382" s="5" t="inlineStr">
        <is>
          <t>12</t>
        </is>
      </c>
      <c r="U382" s="5">
        <f>IFS(C382&lt;30,"Under 30",C382&lt;40,"30-39",C382&lt;50,"40-49",TRUE,"50+")</f>
        <v/>
      </c>
      <c r="V382" s="5">
        <f>IFS(O382&lt;60000,"Low (&lt;60k)",O382&lt;100000,"Mid (60-100k)",TRUE,"High (100k+)")</f>
        <v/>
      </c>
      <c r="W382" s="5">
        <f>IF(M382="No","Attrited","Active")</f>
        <v/>
      </c>
    </row>
    <row r="383">
      <c r="A383" s="5" t="inlineStr">
        <is>
          <t>E00382</t>
        </is>
      </c>
      <c r="B383" s="5" t="inlineStr">
        <is>
          <t>Female</t>
        </is>
      </c>
      <c r="C383" s="6" t="inlineStr">
        <is>
          <t>27</t>
        </is>
      </c>
      <c r="D383" s="5" t="inlineStr">
        <is>
          <t>Married</t>
        </is>
      </c>
      <c r="E383" s="5" t="inlineStr">
        <is>
          <t>High School</t>
        </is>
      </c>
      <c r="F383" s="5" t="inlineStr">
        <is>
          <t>Human Resources</t>
        </is>
      </c>
      <c r="G383" s="5" t="inlineStr">
        <is>
          <t>HR Analyst</t>
        </is>
      </c>
      <c r="H383" s="5" t="inlineStr">
        <is>
          <t>1</t>
        </is>
      </c>
      <c r="I383" s="5" t="inlineStr">
        <is>
          <t>Bengaluru</t>
        </is>
      </c>
      <c r="J383" s="5" t="inlineStr">
        <is>
          <t>Full-Time</t>
        </is>
      </c>
      <c r="K383" s="7" t="n">
        <v>45433</v>
      </c>
      <c r="L383" s="7" t="n">
        <v>45485</v>
      </c>
      <c r="M383" s="5" t="inlineStr">
        <is>
          <t>No</t>
        </is>
      </c>
      <c r="N383" s="5" t="inlineStr">
        <is>
          <t>Resigned</t>
        </is>
      </c>
      <c r="O383" s="8" t="inlineStr">
        <is>
          <t>74500</t>
        </is>
      </c>
      <c r="P383" s="5" t="inlineStr">
        <is>
          <t>10</t>
        </is>
      </c>
      <c r="Q383" s="5" t="inlineStr">
        <is>
          <t>5</t>
        </is>
      </c>
      <c r="R383" s="5" t="inlineStr">
        <is>
          <t>7</t>
        </is>
      </c>
      <c r="S383" s="5" t="inlineStr">
        <is>
          <t>1</t>
        </is>
      </c>
      <c r="T383" s="5" t="inlineStr">
        <is>
          <t>11</t>
        </is>
      </c>
      <c r="U383" s="5">
        <f>IFS(C383&lt;30,"Under 30",C383&lt;40,"30-39",C383&lt;50,"40-49",TRUE,"50+")</f>
        <v/>
      </c>
      <c r="V383" s="5">
        <f>IFS(O383&lt;60000,"Low (&lt;60k)",O383&lt;100000,"Mid (60-100k)",TRUE,"High (100k+)")</f>
        <v/>
      </c>
      <c r="W383" s="5">
        <f>IF(M383="No","Attrited","Active")</f>
        <v/>
      </c>
    </row>
    <row r="384">
      <c r="A384" s="5" t="inlineStr">
        <is>
          <t>E00383</t>
        </is>
      </c>
      <c r="B384" s="5" t="inlineStr">
        <is>
          <t>Male</t>
        </is>
      </c>
      <c r="C384" s="6" t="inlineStr">
        <is>
          <t>33</t>
        </is>
      </c>
      <c r="D384" s="5" t="inlineStr">
        <is>
          <t>Single</t>
        </is>
      </c>
      <c r="E384" s="5" t="inlineStr">
        <is>
          <t>High School</t>
        </is>
      </c>
      <c r="F384" s="5" t="inlineStr">
        <is>
          <t>Customer Support</t>
        </is>
      </c>
      <c r="G384" s="5" t="inlineStr">
        <is>
          <t>Support Lead</t>
        </is>
      </c>
      <c r="H384" s="5" t="inlineStr">
        <is>
          <t>1</t>
        </is>
      </c>
      <c r="I384" s="5" t="inlineStr">
        <is>
          <t>Chennai</t>
        </is>
      </c>
      <c r="J384" s="5" t="inlineStr">
        <is>
          <t>Full-Time</t>
        </is>
      </c>
      <c r="K384" s="7" t="n">
        <v>45369</v>
      </c>
      <c r="L384" s="7" t="n">
        <v>45449</v>
      </c>
      <c r="M384" s="5" t="inlineStr">
        <is>
          <t>No</t>
        </is>
      </c>
      <c r="N384" s="5" t="inlineStr">
        <is>
          <t>Resigned</t>
        </is>
      </c>
      <c r="O384" s="8" t="inlineStr">
        <is>
          <t>63000</t>
        </is>
      </c>
      <c r="P384" s="5" t="inlineStr">
        <is>
          <t>15</t>
        </is>
      </c>
      <c r="Q384" s="5" t="inlineStr">
        <is>
          <t>4</t>
        </is>
      </c>
      <c r="R384" s="5" t="inlineStr">
        <is>
          <t>5</t>
        </is>
      </c>
      <c r="S384" s="5" t="inlineStr">
        <is>
          <t>2</t>
        </is>
      </c>
      <c r="T384" s="5" t="inlineStr">
        <is>
          <t>8</t>
        </is>
      </c>
      <c r="U384" s="5">
        <f>IFS(C384&lt;30,"Under 30",C384&lt;40,"30-39",C384&lt;50,"40-49",TRUE,"50+")</f>
        <v/>
      </c>
      <c r="V384" s="5">
        <f>IFS(O384&lt;60000,"Low (&lt;60k)",O384&lt;100000,"Mid (60-100k)",TRUE,"High (100k+)")</f>
        <v/>
      </c>
      <c r="W384" s="5">
        <f>IF(M384="No","Attrited","Active")</f>
        <v/>
      </c>
    </row>
    <row r="385">
      <c r="A385" s="5" t="inlineStr">
        <is>
          <t>E00384</t>
        </is>
      </c>
      <c r="B385" s="5" t="inlineStr">
        <is>
          <t>Female</t>
        </is>
      </c>
      <c r="C385" s="6" t="inlineStr">
        <is>
          <t>34</t>
        </is>
      </c>
      <c r="D385" s="5" t="inlineStr">
        <is>
          <t>Single</t>
        </is>
      </c>
      <c r="E385" s="5" t="inlineStr">
        <is>
          <t>PhD</t>
        </is>
      </c>
      <c r="F385" s="5" t="inlineStr">
        <is>
          <t>Sales</t>
        </is>
      </c>
      <c r="G385" s="5" t="inlineStr">
        <is>
          <t>Account Executive</t>
        </is>
      </c>
      <c r="H385" s="5" t="inlineStr">
        <is>
          <t>6</t>
        </is>
      </c>
      <c r="I385" s="5" t="inlineStr">
        <is>
          <t>Bengaluru</t>
        </is>
      </c>
      <c r="J385" s="5" t="inlineStr">
        <is>
          <t>Full-Time</t>
        </is>
      </c>
      <c r="K385" s="7" t="n">
        <v>45871</v>
      </c>
      <c r="L385" s="7" t="inlineStr"/>
      <c r="M385" s="5" t="inlineStr">
        <is>
          <t>Yes</t>
        </is>
      </c>
      <c r="N385" s="5" t="inlineStr"/>
      <c r="O385" s="8" t="inlineStr">
        <is>
          <t>111500</t>
        </is>
      </c>
      <c r="P385" s="5" t="inlineStr">
        <is>
          <t>5</t>
        </is>
      </c>
      <c r="Q385" s="5" t="inlineStr">
        <is>
          <t>4</t>
        </is>
      </c>
      <c r="R385" s="5" t="inlineStr">
        <is>
          <t>9</t>
        </is>
      </c>
      <c r="S385" s="5" t="inlineStr">
        <is>
          <t>5</t>
        </is>
      </c>
      <c r="T385" s="5" t="inlineStr">
        <is>
          <t>1</t>
        </is>
      </c>
      <c r="U385" s="5">
        <f>IFS(C385&lt;30,"Under 30",C385&lt;40,"30-39",C385&lt;50,"40-49",TRUE,"50+")</f>
        <v/>
      </c>
      <c r="V385" s="5">
        <f>IFS(O385&lt;60000,"Low (&lt;60k)",O385&lt;100000,"Mid (60-100k)",TRUE,"High (100k+)")</f>
        <v/>
      </c>
      <c r="W385" s="5">
        <f>IF(M385="No","Attrited","Active")</f>
        <v/>
      </c>
    </row>
    <row r="386">
      <c r="A386" s="5" t="inlineStr">
        <is>
          <t>E00385</t>
        </is>
      </c>
      <c r="B386" s="5" t="inlineStr">
        <is>
          <t>Male</t>
        </is>
      </c>
      <c r="C386" s="6" t="inlineStr">
        <is>
          <t>35</t>
        </is>
      </c>
      <c r="D386" s="5" t="inlineStr">
        <is>
          <t>Single</t>
        </is>
      </c>
      <c r="E386" s="5" t="inlineStr">
        <is>
          <t>Diploma</t>
        </is>
      </c>
      <c r="F386" s="5" t="inlineStr">
        <is>
          <t>Operations</t>
        </is>
      </c>
      <c r="G386" s="5" t="inlineStr">
        <is>
          <t>Logistics Coordinator</t>
        </is>
      </c>
      <c r="H386" s="5" t="inlineStr">
        <is>
          <t>2</t>
        </is>
      </c>
      <c r="I386" s="5" t="inlineStr">
        <is>
          <t>Chennai</t>
        </is>
      </c>
      <c r="J386" s="5" t="inlineStr">
        <is>
          <t>Full-Time</t>
        </is>
      </c>
      <c r="K386" s="7" t="n">
        <v>44341</v>
      </c>
      <c r="L386" s="7" t="inlineStr"/>
      <c r="M386" s="5" t="inlineStr">
        <is>
          <t>Yes</t>
        </is>
      </c>
      <c r="N386" s="5" t="inlineStr"/>
      <c r="O386" s="8" t="inlineStr">
        <is>
          <t>80000</t>
        </is>
      </c>
      <c r="P386" s="5" t="inlineStr">
        <is>
          <t>5</t>
        </is>
      </c>
      <c r="Q386" s="5" t="inlineStr">
        <is>
          <t>3</t>
        </is>
      </c>
      <c r="R386" s="5" t="inlineStr">
        <is>
          <t>3</t>
        </is>
      </c>
      <c r="S386" s="5" t="inlineStr">
        <is>
          <t>56</t>
        </is>
      </c>
      <c r="T386" s="5" t="inlineStr">
        <is>
          <t>13</t>
        </is>
      </c>
      <c r="U386" s="5">
        <f>IFS(C386&lt;30,"Under 30",C386&lt;40,"30-39",C386&lt;50,"40-49",TRUE,"50+")</f>
        <v/>
      </c>
      <c r="V386" s="5">
        <f>IFS(O386&lt;60000,"Low (&lt;60k)",O386&lt;100000,"Mid (60-100k)",TRUE,"High (100k+)")</f>
        <v/>
      </c>
      <c r="W386" s="5">
        <f>IF(M386="No","Attrited","Active")</f>
        <v/>
      </c>
    </row>
    <row r="387">
      <c r="A387" s="5" t="inlineStr">
        <is>
          <t>E00386</t>
        </is>
      </c>
      <c r="B387" s="5" t="inlineStr">
        <is>
          <t>Female</t>
        </is>
      </c>
      <c r="C387" s="6" t="inlineStr">
        <is>
          <t>44</t>
        </is>
      </c>
      <c r="D387" s="5" t="inlineStr">
        <is>
          <t>Divorced</t>
        </is>
      </c>
      <c r="E387" s="5" t="inlineStr">
        <is>
          <t>Diploma</t>
        </is>
      </c>
      <c r="F387" s="5" t="inlineStr">
        <is>
          <t>Human Resources</t>
        </is>
      </c>
      <c r="G387" s="5" t="inlineStr">
        <is>
          <t>HR Generalist</t>
        </is>
      </c>
      <c r="H387" s="5" t="inlineStr">
        <is>
          <t>6</t>
        </is>
      </c>
      <c r="I387" s="5" t="inlineStr">
        <is>
          <t>Chennai</t>
        </is>
      </c>
      <c r="J387" s="5" t="inlineStr">
        <is>
          <t>Full-Time</t>
        </is>
      </c>
      <c r="K387" s="7" t="n">
        <v>45995</v>
      </c>
      <c r="L387" s="7" t="inlineStr"/>
      <c r="M387" s="5" t="inlineStr">
        <is>
          <t>Yes</t>
        </is>
      </c>
      <c r="N387" s="5" t="inlineStr"/>
      <c r="O387" s="8" t="inlineStr">
        <is>
          <t>133000</t>
        </is>
      </c>
      <c r="P387" s="5" t="inlineStr">
        <is>
          <t>0</t>
        </is>
      </c>
      <c r="Q387" s="5" t="inlineStr">
        <is>
          <t>4</t>
        </is>
      </c>
      <c r="R387" s="5" t="inlineStr">
        <is>
          <t>8</t>
        </is>
      </c>
      <c r="S387" s="5" t="inlineStr">
        <is>
          <t>1</t>
        </is>
      </c>
      <c r="T387" s="5" t="inlineStr">
        <is>
          <t>6</t>
        </is>
      </c>
      <c r="U387" s="5">
        <f>IFS(C387&lt;30,"Under 30",C387&lt;40,"30-39",C387&lt;50,"40-49",TRUE,"50+")</f>
        <v/>
      </c>
      <c r="V387" s="5">
        <f>IFS(O387&lt;60000,"Low (&lt;60k)",O387&lt;100000,"Mid (60-100k)",TRUE,"High (100k+)")</f>
        <v/>
      </c>
      <c r="W387" s="5">
        <f>IF(M387="No","Attrited","Active")</f>
        <v/>
      </c>
    </row>
    <row r="388">
      <c r="A388" s="5" t="inlineStr">
        <is>
          <t>E00387</t>
        </is>
      </c>
      <c r="B388" s="5" t="inlineStr">
        <is>
          <t>Male</t>
        </is>
      </c>
      <c r="C388" s="6" t="inlineStr">
        <is>
          <t>31</t>
        </is>
      </c>
      <c r="D388" s="5" t="inlineStr">
        <is>
          <t>Single</t>
        </is>
      </c>
      <c r="E388" s="5" t="inlineStr">
        <is>
          <t>Master</t>
        </is>
      </c>
      <c r="F388" s="5" t="inlineStr">
        <is>
          <t>IT</t>
        </is>
      </c>
      <c r="G388" s="5" t="inlineStr">
        <is>
          <t>Data Analyst</t>
        </is>
      </c>
      <c r="H388" s="5" t="inlineStr">
        <is>
          <t>4</t>
        </is>
      </c>
      <c r="I388" s="5" t="inlineStr">
        <is>
          <t>Mumbai</t>
        </is>
      </c>
      <c r="J388" s="5" t="inlineStr">
        <is>
          <t>Part-Time</t>
        </is>
      </c>
      <c r="K388" s="7" t="n">
        <v>44771</v>
      </c>
      <c r="L388" s="7" t="inlineStr"/>
      <c r="M388" s="5" t="inlineStr">
        <is>
          <t>Yes</t>
        </is>
      </c>
      <c r="N388" s="5" t="inlineStr"/>
      <c r="O388" s="8" t="inlineStr">
        <is>
          <t>164000</t>
        </is>
      </c>
      <c r="P388" s="5" t="inlineStr">
        <is>
          <t>10</t>
        </is>
      </c>
      <c r="Q388" s="5" t="inlineStr">
        <is>
          <t>3</t>
        </is>
      </c>
      <c r="R388" s="5" t="inlineStr">
        <is>
          <t>8</t>
        </is>
      </c>
      <c r="S388" s="5" t="inlineStr">
        <is>
          <t>41</t>
        </is>
      </c>
      <c r="T388" s="5" t="inlineStr">
        <is>
          <t>9</t>
        </is>
      </c>
      <c r="U388" s="5">
        <f>IFS(C388&lt;30,"Under 30",C388&lt;40,"30-39",C388&lt;50,"40-49",TRUE,"50+")</f>
        <v/>
      </c>
      <c r="V388" s="5">
        <f>IFS(O388&lt;60000,"Low (&lt;60k)",O388&lt;100000,"Mid (60-100k)",TRUE,"High (100k+)")</f>
        <v/>
      </c>
      <c r="W388" s="5">
        <f>IF(M388="No","Attrited","Active")</f>
        <v/>
      </c>
    </row>
    <row r="389">
      <c r="A389" s="5" t="inlineStr">
        <is>
          <t>E00388</t>
        </is>
      </c>
      <c r="B389" s="5" t="inlineStr">
        <is>
          <t>Male</t>
        </is>
      </c>
      <c r="C389" s="6" t="inlineStr">
        <is>
          <t>31</t>
        </is>
      </c>
      <c r="D389" s="5" t="inlineStr">
        <is>
          <t>Married</t>
        </is>
      </c>
      <c r="E389" s="5" t="inlineStr">
        <is>
          <t>High School</t>
        </is>
      </c>
      <c r="F389" s="5" t="inlineStr">
        <is>
          <t>Operations</t>
        </is>
      </c>
      <c r="G389" s="5" t="inlineStr">
        <is>
          <t>Logistics Coordinator</t>
        </is>
      </c>
      <c r="H389" s="5" t="inlineStr">
        <is>
          <t>1</t>
        </is>
      </c>
      <c r="I389" s="5" t="inlineStr">
        <is>
          <t>Delhi</t>
        </is>
      </c>
      <c r="J389" s="5" t="inlineStr">
        <is>
          <t>Full-Time</t>
        </is>
      </c>
      <c r="K389" s="7" t="n">
        <v>45258</v>
      </c>
      <c r="L389" s="7" t="inlineStr"/>
      <c r="M389" s="5" t="inlineStr">
        <is>
          <t>Yes</t>
        </is>
      </c>
      <c r="N389" s="5" t="inlineStr"/>
      <c r="O389" s="8" t="inlineStr">
        <is>
          <t>74500</t>
        </is>
      </c>
      <c r="P389" s="5" t="inlineStr">
        <is>
          <t>5</t>
        </is>
      </c>
      <c r="Q389" s="5" t="inlineStr">
        <is>
          <t>5</t>
        </is>
      </c>
      <c r="R389" s="5" t="inlineStr">
        <is>
          <t>5</t>
        </is>
      </c>
      <c r="S389" s="5" t="inlineStr">
        <is>
          <t>25</t>
        </is>
      </c>
      <c r="T389" s="5" t="inlineStr">
        <is>
          <t>12</t>
        </is>
      </c>
      <c r="U389" s="5">
        <f>IFS(C389&lt;30,"Under 30",C389&lt;40,"30-39",C389&lt;50,"40-49",TRUE,"50+")</f>
        <v/>
      </c>
      <c r="V389" s="5">
        <f>IFS(O389&lt;60000,"Low (&lt;60k)",O389&lt;100000,"Mid (60-100k)",TRUE,"High (100k+)")</f>
        <v/>
      </c>
      <c r="W389" s="5">
        <f>IF(M389="No","Attrited","Active")</f>
        <v/>
      </c>
    </row>
    <row r="390">
      <c r="A390" s="5" t="inlineStr">
        <is>
          <t>E00389</t>
        </is>
      </c>
      <c r="B390" s="5" t="inlineStr">
        <is>
          <t>Female</t>
        </is>
      </c>
      <c r="C390" s="6" t="inlineStr">
        <is>
          <t>25</t>
        </is>
      </c>
      <c r="D390" s="5" t="inlineStr">
        <is>
          <t>Divorced</t>
        </is>
      </c>
      <c r="E390" s="5" t="inlineStr">
        <is>
          <t>High School</t>
        </is>
      </c>
      <c r="F390" s="5" t="inlineStr">
        <is>
          <t>Customer Support</t>
        </is>
      </c>
      <c r="G390" s="5" t="inlineStr">
        <is>
          <t>Support Lead</t>
        </is>
      </c>
      <c r="H390" s="5" t="inlineStr">
        <is>
          <t>1</t>
        </is>
      </c>
      <c r="I390" s="5" t="inlineStr">
        <is>
          <t>Hyderabad</t>
        </is>
      </c>
      <c r="J390" s="5" t="inlineStr">
        <is>
          <t>Full-Time</t>
        </is>
      </c>
      <c r="K390" s="7" t="n">
        <v>45632</v>
      </c>
      <c r="L390" s="7" t="n">
        <v>45674</v>
      </c>
      <c r="M390" s="5" t="inlineStr">
        <is>
          <t>No</t>
        </is>
      </c>
      <c r="N390" s="5" t="inlineStr">
        <is>
          <t>Resigned</t>
        </is>
      </c>
      <c r="O390" s="8" t="inlineStr">
        <is>
          <t>62000</t>
        </is>
      </c>
      <c r="P390" s="5" t="inlineStr">
        <is>
          <t>15</t>
        </is>
      </c>
      <c r="Q390" s="5" t="inlineStr">
        <is>
          <t>3</t>
        </is>
      </c>
      <c r="R390" s="5" t="inlineStr">
        <is>
          <t>8</t>
        </is>
      </c>
      <c r="S390" s="5" t="inlineStr">
        <is>
          <t>1</t>
        </is>
      </c>
      <c r="T390" s="5" t="inlineStr">
        <is>
          <t>5</t>
        </is>
      </c>
      <c r="U390" s="5">
        <f>IFS(C390&lt;30,"Under 30",C390&lt;40,"30-39",C390&lt;50,"40-49",TRUE,"50+")</f>
        <v/>
      </c>
      <c r="V390" s="5">
        <f>IFS(O390&lt;60000,"Low (&lt;60k)",O390&lt;100000,"Mid (60-100k)",TRUE,"High (100k+)")</f>
        <v/>
      </c>
      <c r="W390" s="5">
        <f>IF(M390="No","Attrited","Active")</f>
        <v/>
      </c>
    </row>
    <row r="391">
      <c r="A391" s="5" t="inlineStr">
        <is>
          <t>E00390</t>
        </is>
      </c>
      <c r="B391" s="5" t="inlineStr">
        <is>
          <t>Female</t>
        </is>
      </c>
      <c r="C391" s="6" t="inlineStr">
        <is>
          <t>35</t>
        </is>
      </c>
      <c r="D391" s="5" t="inlineStr">
        <is>
          <t>Married</t>
        </is>
      </c>
      <c r="E391" s="5" t="inlineStr">
        <is>
          <t>Master</t>
        </is>
      </c>
      <c r="F391" s="5" t="inlineStr">
        <is>
          <t>Marketing</t>
        </is>
      </c>
      <c r="G391" s="5" t="inlineStr">
        <is>
          <t>Marketing Analyst</t>
        </is>
      </c>
      <c r="H391" s="5" t="inlineStr">
        <is>
          <t>4</t>
        </is>
      </c>
      <c r="I391" s="5" t="inlineStr">
        <is>
          <t>Mumbai</t>
        </is>
      </c>
      <c r="J391" s="5" t="inlineStr">
        <is>
          <t>Full-Time</t>
        </is>
      </c>
      <c r="K391" s="7" t="n">
        <v>44163</v>
      </c>
      <c r="L391" s="7" t="inlineStr"/>
      <c r="M391" s="5" t="inlineStr">
        <is>
          <t>Yes</t>
        </is>
      </c>
      <c r="N391" s="5" t="inlineStr"/>
      <c r="O391" s="8" t="inlineStr">
        <is>
          <t>93000</t>
        </is>
      </c>
      <c r="P391" s="5" t="inlineStr">
        <is>
          <t>5</t>
        </is>
      </c>
      <c r="Q391" s="5" t="inlineStr">
        <is>
          <t>3</t>
        </is>
      </c>
      <c r="R391" s="5" t="inlineStr">
        <is>
          <t>5</t>
        </is>
      </c>
      <c r="S391" s="5" t="inlineStr">
        <is>
          <t>61</t>
        </is>
      </c>
      <c r="T391" s="5" t="inlineStr">
        <is>
          <t>9</t>
        </is>
      </c>
      <c r="U391" s="5">
        <f>IFS(C391&lt;30,"Under 30",C391&lt;40,"30-39",C391&lt;50,"40-49",TRUE,"50+")</f>
        <v/>
      </c>
      <c r="V391" s="5">
        <f>IFS(O391&lt;60000,"Low (&lt;60k)",O391&lt;100000,"Mid (60-100k)",TRUE,"High (100k+)")</f>
        <v/>
      </c>
      <c r="W391" s="5">
        <f>IF(M391="No","Attrited","Active")</f>
        <v/>
      </c>
    </row>
    <row r="392">
      <c r="A392" s="5" t="inlineStr">
        <is>
          <t>E00391</t>
        </is>
      </c>
      <c r="B392" s="5" t="inlineStr">
        <is>
          <t>Female</t>
        </is>
      </c>
      <c r="C392" s="6" t="inlineStr">
        <is>
          <t>34</t>
        </is>
      </c>
      <c r="D392" s="5" t="inlineStr">
        <is>
          <t>Married</t>
        </is>
      </c>
      <c r="E392" s="5" t="inlineStr">
        <is>
          <t>Bachelor</t>
        </is>
      </c>
      <c r="F392" s="5" t="inlineStr">
        <is>
          <t>Marketing</t>
        </is>
      </c>
      <c r="G392" s="5" t="inlineStr">
        <is>
          <t>SEO Specialist</t>
        </is>
      </c>
      <c r="H392" s="5" t="inlineStr">
        <is>
          <t>3</t>
        </is>
      </c>
      <c r="I392" s="5" t="inlineStr">
        <is>
          <t>Hyderabad</t>
        </is>
      </c>
      <c r="J392" s="5" t="inlineStr">
        <is>
          <t>Full-Time</t>
        </is>
      </c>
      <c r="K392" s="7" t="n">
        <v>45082</v>
      </c>
      <c r="L392" s="7" t="inlineStr"/>
      <c r="M392" s="5" t="inlineStr">
        <is>
          <t>Yes</t>
        </is>
      </c>
      <c r="N392" s="5" t="inlineStr"/>
      <c r="O392" s="8" t="inlineStr">
        <is>
          <t>103000</t>
        </is>
      </c>
      <c r="P392" s="5" t="inlineStr">
        <is>
          <t>10</t>
        </is>
      </c>
      <c r="Q392" s="5" t="inlineStr">
        <is>
          <t>3</t>
        </is>
      </c>
      <c r="R392" s="5" t="inlineStr">
        <is>
          <t>4</t>
        </is>
      </c>
      <c r="S392" s="5" t="inlineStr">
        <is>
          <t>31</t>
        </is>
      </c>
      <c r="T392" s="5" t="inlineStr">
        <is>
          <t>12</t>
        </is>
      </c>
      <c r="U392" s="5">
        <f>IFS(C392&lt;30,"Under 30",C392&lt;40,"30-39",C392&lt;50,"40-49",TRUE,"50+")</f>
        <v/>
      </c>
      <c r="V392" s="5">
        <f>IFS(O392&lt;60000,"Low (&lt;60k)",O392&lt;100000,"Mid (60-100k)",TRUE,"High (100k+)")</f>
        <v/>
      </c>
      <c r="W392" s="5">
        <f>IF(M392="No","Attrited","Active")</f>
        <v/>
      </c>
    </row>
    <row r="393">
      <c r="A393" s="5" t="inlineStr">
        <is>
          <t>E00392</t>
        </is>
      </c>
      <c r="B393" s="5" t="inlineStr">
        <is>
          <t>Male</t>
        </is>
      </c>
      <c r="C393" s="6" t="inlineStr">
        <is>
          <t>31</t>
        </is>
      </c>
      <c r="D393" s="5" t="inlineStr">
        <is>
          <t>Married</t>
        </is>
      </c>
      <c r="E393" s="5" t="inlineStr">
        <is>
          <t>Bachelor</t>
        </is>
      </c>
      <c r="F393" s="5" t="inlineStr">
        <is>
          <t>Customer Support</t>
        </is>
      </c>
      <c r="G393" s="5" t="inlineStr">
        <is>
          <t>Support Agent</t>
        </is>
      </c>
      <c r="H393" s="5" t="inlineStr">
        <is>
          <t>3</t>
        </is>
      </c>
      <c r="I393" s="5" t="inlineStr">
        <is>
          <t>Delhi</t>
        </is>
      </c>
      <c r="J393" s="5" t="inlineStr">
        <is>
          <t>Full-Time</t>
        </is>
      </c>
      <c r="K393" s="7" t="n">
        <v>44640</v>
      </c>
      <c r="L393" s="7" t="n">
        <v>44748</v>
      </c>
      <c r="M393" s="5" t="inlineStr">
        <is>
          <t>No</t>
        </is>
      </c>
      <c r="N393" s="5" t="inlineStr">
        <is>
          <t>Resigned</t>
        </is>
      </c>
      <c r="O393" s="8" t="inlineStr">
        <is>
          <t>91500</t>
        </is>
      </c>
      <c r="P393" s="5" t="inlineStr">
        <is>
          <t>20</t>
        </is>
      </c>
      <c r="Q393" s="5" t="inlineStr">
        <is>
          <t>5</t>
        </is>
      </c>
      <c r="R393" s="5" t="inlineStr">
        <is>
          <t>10</t>
        </is>
      </c>
      <c r="S393" s="5" t="inlineStr">
        <is>
          <t>3</t>
        </is>
      </c>
      <c r="T393" s="5" t="inlineStr">
        <is>
          <t>6</t>
        </is>
      </c>
      <c r="U393" s="5">
        <f>IFS(C393&lt;30,"Under 30",C393&lt;40,"30-39",C393&lt;50,"40-49",TRUE,"50+")</f>
        <v/>
      </c>
      <c r="V393" s="5">
        <f>IFS(O393&lt;60000,"Low (&lt;60k)",O393&lt;100000,"Mid (60-100k)",TRUE,"High (100k+)")</f>
        <v/>
      </c>
      <c r="W393" s="5">
        <f>IF(M393="No","Attrited","Active")</f>
        <v/>
      </c>
    </row>
    <row r="394">
      <c r="A394" s="5" t="inlineStr">
        <is>
          <t>E00393</t>
        </is>
      </c>
      <c r="B394" s="5" t="inlineStr">
        <is>
          <t>Female</t>
        </is>
      </c>
      <c r="C394" s="6" t="inlineStr">
        <is>
          <t>32</t>
        </is>
      </c>
      <c r="D394" s="5" t="inlineStr">
        <is>
          <t>Married</t>
        </is>
      </c>
      <c r="E394" s="5" t="inlineStr">
        <is>
          <t>Bachelor</t>
        </is>
      </c>
      <c r="F394" s="5" t="inlineStr">
        <is>
          <t>Research &amp; Development</t>
        </is>
      </c>
      <c r="G394" s="5" t="inlineStr">
        <is>
          <t>Data Scientist</t>
        </is>
      </c>
      <c r="H394" s="5" t="inlineStr">
        <is>
          <t>2</t>
        </is>
      </c>
      <c r="I394" s="5" t="inlineStr">
        <is>
          <t>Chennai</t>
        </is>
      </c>
      <c r="J394" s="5" t="inlineStr">
        <is>
          <t>Full-Time</t>
        </is>
      </c>
      <c r="K394" s="7" t="n">
        <v>43834</v>
      </c>
      <c r="L394" s="7" t="inlineStr"/>
      <c r="M394" s="5" t="inlineStr">
        <is>
          <t>Yes</t>
        </is>
      </c>
      <c r="N394" s="5" t="inlineStr"/>
      <c r="O394" s="8" t="inlineStr">
        <is>
          <t>105000</t>
        </is>
      </c>
      <c r="P394" s="5" t="inlineStr">
        <is>
          <t>0</t>
        </is>
      </c>
      <c r="Q394" s="5" t="inlineStr">
        <is>
          <t>3</t>
        </is>
      </c>
      <c r="R394" s="5" t="inlineStr">
        <is>
          <t>6</t>
        </is>
      </c>
      <c r="S394" s="5" t="inlineStr">
        <is>
          <t>72</t>
        </is>
      </c>
      <c r="T394" s="5" t="inlineStr">
        <is>
          <t>2</t>
        </is>
      </c>
      <c r="U394" s="5">
        <f>IFS(C394&lt;30,"Under 30",C394&lt;40,"30-39",C394&lt;50,"40-49",TRUE,"50+")</f>
        <v/>
      </c>
      <c r="V394" s="5">
        <f>IFS(O394&lt;60000,"Low (&lt;60k)",O394&lt;100000,"Mid (60-100k)",TRUE,"High (100k+)")</f>
        <v/>
      </c>
      <c r="W394" s="5">
        <f>IF(M394="No","Attrited","Active")</f>
        <v/>
      </c>
    </row>
    <row r="395">
      <c r="A395" s="5" t="inlineStr">
        <is>
          <t>E00394</t>
        </is>
      </c>
      <c r="B395" s="5" t="inlineStr">
        <is>
          <t>Male</t>
        </is>
      </c>
      <c r="C395" s="6" t="inlineStr">
        <is>
          <t>32</t>
        </is>
      </c>
      <c r="D395" s="5" t="inlineStr">
        <is>
          <t>Married</t>
        </is>
      </c>
      <c r="E395" s="5" t="inlineStr">
        <is>
          <t>Diploma</t>
        </is>
      </c>
      <c r="F395" s="5" t="inlineStr">
        <is>
          <t>IT</t>
        </is>
      </c>
      <c r="G395" s="5" t="inlineStr">
        <is>
          <t>Software Engineer</t>
        </is>
      </c>
      <c r="H395" s="5" t="inlineStr">
        <is>
          <t>4</t>
        </is>
      </c>
      <c r="I395" s="5" t="inlineStr">
        <is>
          <t>Mumbai</t>
        </is>
      </c>
      <c r="J395" s="5" t="inlineStr">
        <is>
          <t>Full-Time</t>
        </is>
      </c>
      <c r="K395" s="7" t="n">
        <v>45556</v>
      </c>
      <c r="L395" s="7" t="inlineStr"/>
      <c r="M395" s="5" t="inlineStr">
        <is>
          <t>Yes</t>
        </is>
      </c>
      <c r="N395" s="5" t="inlineStr"/>
      <c r="O395" s="8" t="inlineStr">
        <is>
          <t>126000</t>
        </is>
      </c>
      <c r="P395" s="5" t="inlineStr">
        <is>
          <t>20</t>
        </is>
      </c>
      <c r="Q395" s="5" t="inlineStr">
        <is>
          <t>3</t>
        </is>
      </c>
      <c r="R395" s="5" t="inlineStr">
        <is>
          <t>4</t>
        </is>
      </c>
      <c r="S395" s="5" t="inlineStr">
        <is>
          <t>15</t>
        </is>
      </c>
      <c r="T395" s="5" t="inlineStr">
        <is>
          <t>0</t>
        </is>
      </c>
      <c r="U395" s="5">
        <f>IFS(C395&lt;30,"Under 30",C395&lt;40,"30-39",C395&lt;50,"40-49",TRUE,"50+")</f>
        <v/>
      </c>
      <c r="V395" s="5">
        <f>IFS(O395&lt;60000,"Low (&lt;60k)",O395&lt;100000,"Mid (60-100k)",TRUE,"High (100k+)")</f>
        <v/>
      </c>
      <c r="W395" s="5">
        <f>IF(M395="No","Attrited","Active")</f>
        <v/>
      </c>
    </row>
    <row r="396">
      <c r="A396" s="5" t="inlineStr">
        <is>
          <t>E00395</t>
        </is>
      </c>
      <c r="B396" s="5" t="inlineStr">
        <is>
          <t>Female</t>
        </is>
      </c>
      <c r="C396" s="6" t="inlineStr">
        <is>
          <t>39</t>
        </is>
      </c>
      <c r="D396" s="5" t="inlineStr">
        <is>
          <t>Single</t>
        </is>
      </c>
      <c r="E396" s="5" t="inlineStr">
        <is>
          <t>Bachelor</t>
        </is>
      </c>
      <c r="F396" s="5" t="inlineStr">
        <is>
          <t>Human Resources</t>
        </is>
      </c>
      <c r="G396" s="5" t="inlineStr">
        <is>
          <t>HR Analyst</t>
        </is>
      </c>
      <c r="H396" s="5" t="inlineStr">
        <is>
          <t>7</t>
        </is>
      </c>
      <c r="I396" s="5" t="inlineStr">
        <is>
          <t>Chennai</t>
        </is>
      </c>
      <c r="J396" s="5" t="inlineStr">
        <is>
          <t>Full-Time</t>
        </is>
      </c>
      <c r="K396" s="7" t="n">
        <v>45703</v>
      </c>
      <c r="L396" s="7" t="inlineStr"/>
      <c r="M396" s="5" t="inlineStr">
        <is>
          <t>Yes</t>
        </is>
      </c>
      <c r="N396" s="5" t="inlineStr"/>
      <c r="O396" s="8" t="inlineStr">
        <is>
          <t>157000</t>
        </is>
      </c>
      <c r="P396" s="5" t="inlineStr">
        <is>
          <t>15</t>
        </is>
      </c>
      <c r="Q396" s="5" t="inlineStr">
        <is>
          <t>4</t>
        </is>
      </c>
      <c r="R396" s="5" t="inlineStr">
        <is>
          <t>7</t>
        </is>
      </c>
      <c r="S396" s="5" t="inlineStr">
        <is>
          <t>10</t>
        </is>
      </c>
      <c r="T396" s="5" t="inlineStr">
        <is>
          <t>15</t>
        </is>
      </c>
      <c r="U396" s="5">
        <f>IFS(C396&lt;30,"Under 30",C396&lt;40,"30-39",C396&lt;50,"40-49",TRUE,"50+")</f>
        <v/>
      </c>
      <c r="V396" s="5">
        <f>IFS(O396&lt;60000,"Low (&lt;60k)",O396&lt;100000,"Mid (60-100k)",TRUE,"High (100k+)")</f>
        <v/>
      </c>
      <c r="W396" s="5">
        <f>IF(M396="No","Attrited","Active")</f>
        <v/>
      </c>
    </row>
    <row r="397">
      <c r="A397" s="5" t="inlineStr">
        <is>
          <t>E00396</t>
        </is>
      </c>
      <c r="B397" s="5" t="inlineStr">
        <is>
          <t>Female</t>
        </is>
      </c>
      <c r="C397" s="6" t="inlineStr">
        <is>
          <t>28</t>
        </is>
      </c>
      <c r="D397" s="5" t="inlineStr">
        <is>
          <t>Married</t>
        </is>
      </c>
      <c r="E397" s="5" t="inlineStr">
        <is>
          <t>Bachelor</t>
        </is>
      </c>
      <c r="F397" s="5" t="inlineStr">
        <is>
          <t>Operations</t>
        </is>
      </c>
      <c r="G397" s="5" t="inlineStr">
        <is>
          <t>Logistics Coordinator</t>
        </is>
      </c>
      <c r="H397" s="5" t="inlineStr">
        <is>
          <t>2</t>
        </is>
      </c>
      <c r="I397" s="5" t="inlineStr">
        <is>
          <t>Delhi</t>
        </is>
      </c>
      <c r="J397" s="5" t="inlineStr">
        <is>
          <t>Full-Time</t>
        </is>
      </c>
      <c r="K397" s="7" t="n">
        <v>44592</v>
      </c>
      <c r="L397" s="7" t="inlineStr"/>
      <c r="M397" s="5" t="inlineStr">
        <is>
          <t>Yes</t>
        </is>
      </c>
      <c r="N397" s="5" t="inlineStr"/>
      <c r="O397" s="8" t="inlineStr">
        <is>
          <t>109000</t>
        </is>
      </c>
      <c r="P397" s="5" t="inlineStr">
        <is>
          <t>0</t>
        </is>
      </c>
      <c r="Q397" s="5" t="inlineStr">
        <is>
          <t>4</t>
        </is>
      </c>
      <c r="R397" s="5" t="inlineStr">
        <is>
          <t>9</t>
        </is>
      </c>
      <c r="S397" s="5" t="inlineStr">
        <is>
          <t>47</t>
        </is>
      </c>
      <c r="T397" s="5" t="inlineStr">
        <is>
          <t>13</t>
        </is>
      </c>
      <c r="U397" s="5">
        <f>IFS(C397&lt;30,"Under 30",C397&lt;40,"30-39",C397&lt;50,"40-49",TRUE,"50+")</f>
        <v/>
      </c>
      <c r="V397" s="5">
        <f>IFS(O397&lt;60000,"Low (&lt;60k)",O397&lt;100000,"Mid (60-100k)",TRUE,"High (100k+)")</f>
        <v/>
      </c>
      <c r="W397" s="5">
        <f>IF(M397="No","Attrited","Active")</f>
        <v/>
      </c>
    </row>
    <row r="398">
      <c r="A398" s="5" t="inlineStr">
        <is>
          <t>E00397</t>
        </is>
      </c>
      <c r="B398" s="5" t="inlineStr">
        <is>
          <t>Male</t>
        </is>
      </c>
      <c r="C398" s="6" t="inlineStr">
        <is>
          <t>35</t>
        </is>
      </c>
      <c r="D398" s="5" t="inlineStr">
        <is>
          <t>Single</t>
        </is>
      </c>
      <c r="E398" s="5" t="inlineStr">
        <is>
          <t>Diploma</t>
        </is>
      </c>
      <c r="F398" s="5" t="inlineStr">
        <is>
          <t>Marketing</t>
        </is>
      </c>
      <c r="G398" s="5" t="inlineStr">
        <is>
          <t>Marketing Analyst</t>
        </is>
      </c>
      <c r="H398" s="5" t="inlineStr">
        <is>
          <t>6</t>
        </is>
      </c>
      <c r="I398" s="5" t="inlineStr">
        <is>
          <t>Chennai</t>
        </is>
      </c>
      <c r="J398" s="5" t="inlineStr">
        <is>
          <t>Full-Time</t>
        </is>
      </c>
      <c r="K398" s="7" t="n">
        <v>45768</v>
      </c>
      <c r="L398" s="7" t="inlineStr"/>
      <c r="M398" s="5" t="inlineStr">
        <is>
          <t>Yes</t>
        </is>
      </c>
      <c r="N398" s="5" t="inlineStr"/>
      <c r="O398" s="8" t="inlineStr">
        <is>
          <t>127500</t>
        </is>
      </c>
      <c r="P398" s="5" t="inlineStr">
        <is>
          <t>0</t>
        </is>
      </c>
      <c r="Q398" s="5" t="inlineStr">
        <is>
          <t>2</t>
        </is>
      </c>
      <c r="R398" s="5" t="inlineStr">
        <is>
          <t>7</t>
        </is>
      </c>
      <c r="S398" s="5" t="inlineStr">
        <is>
          <t>8</t>
        </is>
      </c>
      <c r="T398" s="5" t="inlineStr">
        <is>
          <t>0</t>
        </is>
      </c>
      <c r="U398" s="5">
        <f>IFS(C398&lt;30,"Under 30",C398&lt;40,"30-39",C398&lt;50,"40-49",TRUE,"50+")</f>
        <v/>
      </c>
      <c r="V398" s="5">
        <f>IFS(O398&lt;60000,"Low (&lt;60k)",O398&lt;100000,"Mid (60-100k)",TRUE,"High (100k+)")</f>
        <v/>
      </c>
      <c r="W398" s="5">
        <f>IF(M398="No","Attrited","Active")</f>
        <v/>
      </c>
    </row>
    <row r="399">
      <c r="A399" s="5" t="inlineStr">
        <is>
          <t>E00398</t>
        </is>
      </c>
      <c r="B399" s="5" t="inlineStr">
        <is>
          <t>Male</t>
        </is>
      </c>
      <c r="C399" s="6" t="inlineStr">
        <is>
          <t>30</t>
        </is>
      </c>
      <c r="D399" s="5" t="inlineStr">
        <is>
          <t>Married</t>
        </is>
      </c>
      <c r="E399" s="5" t="inlineStr">
        <is>
          <t>PhD</t>
        </is>
      </c>
      <c r="F399" s="5" t="inlineStr">
        <is>
          <t>Human Resources</t>
        </is>
      </c>
      <c r="G399" s="5" t="inlineStr">
        <is>
          <t>HR Generalist</t>
        </is>
      </c>
      <c r="H399" s="5" t="inlineStr">
        <is>
          <t>4</t>
        </is>
      </c>
      <c r="I399" s="5" t="inlineStr">
        <is>
          <t>Hyderabad</t>
        </is>
      </c>
      <c r="J399" s="5" t="inlineStr">
        <is>
          <t>Full-Time</t>
        </is>
      </c>
      <c r="K399" s="7" t="n">
        <v>44080</v>
      </c>
      <c r="L399" s="7" t="inlineStr"/>
      <c r="M399" s="5" t="inlineStr">
        <is>
          <t>Yes</t>
        </is>
      </c>
      <c r="N399" s="5" t="inlineStr"/>
      <c r="O399" s="8" t="inlineStr">
        <is>
          <t>129500</t>
        </is>
      </c>
      <c r="P399" s="5" t="inlineStr">
        <is>
          <t>0</t>
        </is>
      </c>
      <c r="Q399" s="5" t="inlineStr">
        <is>
          <t>4</t>
        </is>
      </c>
      <c r="R399" s="5" t="inlineStr">
        <is>
          <t>7</t>
        </is>
      </c>
      <c r="S399" s="5" t="inlineStr">
        <is>
          <t>64</t>
        </is>
      </c>
      <c r="T399" s="5" t="inlineStr">
        <is>
          <t>14</t>
        </is>
      </c>
      <c r="U399" s="5">
        <f>IFS(C399&lt;30,"Under 30",C399&lt;40,"30-39",C399&lt;50,"40-49",TRUE,"50+")</f>
        <v/>
      </c>
      <c r="V399" s="5">
        <f>IFS(O399&lt;60000,"Low (&lt;60k)",O399&lt;100000,"Mid (60-100k)",TRUE,"High (100k+)")</f>
        <v/>
      </c>
      <c r="W399" s="5">
        <f>IF(M399="No","Attrited","Active")</f>
        <v/>
      </c>
    </row>
    <row r="400">
      <c r="A400" s="5" t="inlineStr">
        <is>
          <t>E00399</t>
        </is>
      </c>
      <c r="B400" s="5" t="inlineStr">
        <is>
          <t>Male</t>
        </is>
      </c>
      <c r="C400" s="6" t="inlineStr">
        <is>
          <t>40</t>
        </is>
      </c>
      <c r="D400" s="5" t="inlineStr">
        <is>
          <t>Single</t>
        </is>
      </c>
      <c r="E400" s="5" t="inlineStr">
        <is>
          <t>PhD</t>
        </is>
      </c>
      <c r="F400" s="5" t="inlineStr">
        <is>
          <t>Human Resources</t>
        </is>
      </c>
      <c r="G400" s="5" t="inlineStr">
        <is>
          <t>Recruiter</t>
        </is>
      </c>
      <c r="H400" s="5" t="inlineStr">
        <is>
          <t>5</t>
        </is>
      </c>
      <c r="I400" s="5" t="inlineStr">
        <is>
          <t>Delhi</t>
        </is>
      </c>
      <c r="J400" s="5" t="inlineStr">
        <is>
          <t>Full-Time</t>
        </is>
      </c>
      <c r="K400" s="7" t="n">
        <v>44409</v>
      </c>
      <c r="L400" s="7" t="inlineStr"/>
      <c r="M400" s="5" t="inlineStr">
        <is>
          <t>Yes</t>
        </is>
      </c>
      <c r="N400" s="5" t="inlineStr"/>
      <c r="O400" s="8" t="inlineStr">
        <is>
          <t>155000</t>
        </is>
      </c>
      <c r="P400" s="5" t="inlineStr">
        <is>
          <t>5</t>
        </is>
      </c>
      <c r="Q400" s="5" t="inlineStr">
        <is>
          <t>4</t>
        </is>
      </c>
      <c r="R400" s="5" t="inlineStr">
        <is>
          <t>7</t>
        </is>
      </c>
      <c r="S400" s="5" t="inlineStr">
        <is>
          <t>53</t>
        </is>
      </c>
      <c r="T400" s="5" t="inlineStr">
        <is>
          <t>3</t>
        </is>
      </c>
      <c r="U400" s="5">
        <f>IFS(C400&lt;30,"Under 30",C400&lt;40,"30-39",C400&lt;50,"40-49",TRUE,"50+")</f>
        <v/>
      </c>
      <c r="V400" s="5">
        <f>IFS(O400&lt;60000,"Low (&lt;60k)",O400&lt;100000,"Mid (60-100k)",TRUE,"High (100k+)")</f>
        <v/>
      </c>
      <c r="W400" s="5">
        <f>IF(M400="No","Attrited","Active")</f>
        <v/>
      </c>
    </row>
    <row r="401">
      <c r="A401" s="5" t="inlineStr">
        <is>
          <t>E00400</t>
        </is>
      </c>
      <c r="B401" s="5" t="inlineStr">
        <is>
          <t>Female</t>
        </is>
      </c>
      <c r="C401" s="6" t="inlineStr">
        <is>
          <t>27</t>
        </is>
      </c>
      <c r="D401" s="5" t="inlineStr">
        <is>
          <t>Married</t>
        </is>
      </c>
      <c r="E401" s="5" t="inlineStr">
        <is>
          <t>High School</t>
        </is>
      </c>
      <c r="F401" s="5" t="inlineStr">
        <is>
          <t>Customer Support</t>
        </is>
      </c>
      <c r="G401" s="5" t="inlineStr">
        <is>
          <t>Support Lead</t>
        </is>
      </c>
      <c r="H401" s="5" t="inlineStr">
        <is>
          <t>1</t>
        </is>
      </c>
      <c r="I401" s="5" t="inlineStr">
        <is>
          <t>Bengaluru</t>
        </is>
      </c>
      <c r="J401" s="5" t="inlineStr">
        <is>
          <t>Full-Time</t>
        </is>
      </c>
      <c r="K401" s="7" t="n">
        <v>45812</v>
      </c>
      <c r="L401" s="7" t="inlineStr"/>
      <c r="M401" s="5" t="inlineStr">
        <is>
          <t>Yes</t>
        </is>
      </c>
      <c r="N401" s="5" t="inlineStr"/>
      <c r="O401" s="8" t="inlineStr">
        <is>
          <t>68500</t>
        </is>
      </c>
      <c r="P401" s="5" t="inlineStr">
        <is>
          <t>0</t>
        </is>
      </c>
      <c r="Q401" s="5" t="inlineStr">
        <is>
          <t>4</t>
        </is>
      </c>
      <c r="R401" s="5" t="inlineStr">
        <is>
          <t>7</t>
        </is>
      </c>
      <c r="S401" s="5" t="inlineStr">
        <is>
          <t>7</t>
        </is>
      </c>
      <c r="T401" s="5" t="inlineStr">
        <is>
          <t>4</t>
        </is>
      </c>
      <c r="U401" s="5">
        <f>IFS(C401&lt;30,"Under 30",C401&lt;40,"30-39",C401&lt;50,"40-49",TRUE,"50+")</f>
        <v/>
      </c>
      <c r="V401" s="5">
        <f>IFS(O401&lt;60000,"Low (&lt;60k)",O401&lt;100000,"Mid (60-100k)",TRUE,"High (100k+)")</f>
        <v/>
      </c>
      <c r="W401" s="5">
        <f>IF(M401="No","Attrited","Active")</f>
        <v/>
      </c>
    </row>
    <row r="402">
      <c r="A402" s="5" t="inlineStr">
        <is>
          <t>E00401</t>
        </is>
      </c>
      <c r="B402" s="5" t="inlineStr">
        <is>
          <t>Male</t>
        </is>
      </c>
      <c r="C402" s="6" t="inlineStr">
        <is>
          <t>31</t>
        </is>
      </c>
      <c r="D402" s="5" t="inlineStr">
        <is>
          <t>Divorced</t>
        </is>
      </c>
      <c r="E402" s="5" t="inlineStr">
        <is>
          <t>PhD</t>
        </is>
      </c>
      <c r="F402" s="5" t="inlineStr">
        <is>
          <t>IT</t>
        </is>
      </c>
      <c r="G402" s="5" t="inlineStr">
        <is>
          <t>IT Support</t>
        </is>
      </c>
      <c r="H402" s="5" t="inlineStr">
        <is>
          <t>3</t>
        </is>
      </c>
      <c r="I402" s="5" t="inlineStr">
        <is>
          <t>Delhi</t>
        </is>
      </c>
      <c r="J402" s="5" t="inlineStr">
        <is>
          <t>Full-Time</t>
        </is>
      </c>
      <c r="K402" s="7" t="n">
        <v>43867</v>
      </c>
      <c r="L402" s="7" t="inlineStr"/>
      <c r="M402" s="5" t="inlineStr">
        <is>
          <t>Yes</t>
        </is>
      </c>
      <c r="N402" s="5" t="inlineStr"/>
      <c r="O402" s="8" t="inlineStr">
        <is>
          <t>189000</t>
        </is>
      </c>
      <c r="P402" s="5" t="inlineStr">
        <is>
          <t>0</t>
        </is>
      </c>
      <c r="Q402" s="5" t="inlineStr">
        <is>
          <t>5</t>
        </is>
      </c>
      <c r="R402" s="5" t="inlineStr">
        <is>
          <t>6</t>
        </is>
      </c>
      <c r="S402" s="5" t="inlineStr">
        <is>
          <t>71</t>
        </is>
      </c>
      <c r="T402" s="5" t="inlineStr">
        <is>
          <t>0</t>
        </is>
      </c>
      <c r="U402" s="5">
        <f>IFS(C402&lt;30,"Under 30",C402&lt;40,"30-39",C402&lt;50,"40-49",TRUE,"50+")</f>
        <v/>
      </c>
      <c r="V402" s="5">
        <f>IFS(O402&lt;60000,"Low (&lt;60k)",O402&lt;100000,"Mid (60-100k)",TRUE,"High (100k+)")</f>
        <v/>
      </c>
      <c r="W402" s="5">
        <f>IF(M402="No","Attrited","Active")</f>
        <v/>
      </c>
    </row>
    <row r="403">
      <c r="A403" s="5" t="inlineStr">
        <is>
          <t>E00402</t>
        </is>
      </c>
      <c r="B403" s="5" t="inlineStr">
        <is>
          <t>Male</t>
        </is>
      </c>
      <c r="C403" s="6" t="inlineStr">
        <is>
          <t>32</t>
        </is>
      </c>
      <c r="D403" s="5" t="inlineStr">
        <is>
          <t>Married</t>
        </is>
      </c>
      <c r="E403" s="5" t="inlineStr">
        <is>
          <t>PhD</t>
        </is>
      </c>
      <c r="F403" s="5" t="inlineStr">
        <is>
          <t>Operations</t>
        </is>
      </c>
      <c r="G403" s="5" t="inlineStr">
        <is>
          <t>Quality Analyst</t>
        </is>
      </c>
      <c r="H403" s="5" t="inlineStr">
        <is>
          <t>3</t>
        </is>
      </c>
      <c r="I403" s="5" t="inlineStr">
        <is>
          <t>Bengaluru</t>
        </is>
      </c>
      <c r="J403" s="5" t="inlineStr">
        <is>
          <t>Full-Time</t>
        </is>
      </c>
      <c r="K403" s="7" t="n">
        <v>45926</v>
      </c>
      <c r="L403" s="7" t="inlineStr"/>
      <c r="M403" s="5" t="inlineStr">
        <is>
          <t>Yes</t>
        </is>
      </c>
      <c r="N403" s="5" t="inlineStr"/>
      <c r="O403" s="8" t="inlineStr">
        <is>
          <t>98000</t>
        </is>
      </c>
      <c r="P403" s="5" t="inlineStr">
        <is>
          <t>5</t>
        </is>
      </c>
      <c r="Q403" s="5" t="inlineStr">
        <is>
          <t>2</t>
        </is>
      </c>
      <c r="R403" s="5" t="inlineStr">
        <is>
          <t>4</t>
        </is>
      </c>
      <c r="S403" s="5" t="inlineStr">
        <is>
          <t>3</t>
        </is>
      </c>
      <c r="T403" s="5" t="inlineStr">
        <is>
          <t>2</t>
        </is>
      </c>
      <c r="U403" s="5">
        <f>IFS(C403&lt;30,"Under 30",C403&lt;40,"30-39",C403&lt;50,"40-49",TRUE,"50+")</f>
        <v/>
      </c>
      <c r="V403" s="5">
        <f>IFS(O403&lt;60000,"Low (&lt;60k)",O403&lt;100000,"Mid (60-100k)",TRUE,"High (100k+)")</f>
        <v/>
      </c>
      <c r="W403" s="5">
        <f>IF(M403="No","Attrited","Active")</f>
        <v/>
      </c>
    </row>
    <row r="404">
      <c r="A404" s="5" t="inlineStr">
        <is>
          <t>E00403</t>
        </is>
      </c>
      <c r="B404" s="5" t="inlineStr">
        <is>
          <t>Male</t>
        </is>
      </c>
      <c r="C404" s="6" t="inlineStr">
        <is>
          <t>27</t>
        </is>
      </c>
      <c r="D404" s="5" t="inlineStr">
        <is>
          <t>Single</t>
        </is>
      </c>
      <c r="E404" s="5" t="inlineStr">
        <is>
          <t>Bachelor</t>
        </is>
      </c>
      <c r="F404" s="5" t="inlineStr">
        <is>
          <t>Customer Support</t>
        </is>
      </c>
      <c r="G404" s="5" t="inlineStr">
        <is>
          <t>Escalation Specialist</t>
        </is>
      </c>
      <c r="H404" s="5" t="inlineStr">
        <is>
          <t>2</t>
        </is>
      </c>
      <c r="I404" s="5" t="inlineStr">
        <is>
          <t>Chennai</t>
        </is>
      </c>
      <c r="J404" s="5" t="inlineStr">
        <is>
          <t>Full-Time</t>
        </is>
      </c>
      <c r="K404" s="7" t="n">
        <v>43832</v>
      </c>
      <c r="L404" s="7" t="n">
        <v>43921</v>
      </c>
      <c r="M404" s="5" t="inlineStr">
        <is>
          <t>No</t>
        </is>
      </c>
      <c r="N404" s="5" t="inlineStr">
        <is>
          <t>Resigned</t>
        </is>
      </c>
      <c r="O404" s="8" t="inlineStr">
        <is>
          <t>81000</t>
        </is>
      </c>
      <c r="P404" s="5" t="inlineStr">
        <is>
          <t>5</t>
        </is>
      </c>
      <c r="Q404" s="5" t="inlineStr">
        <is>
          <t>3</t>
        </is>
      </c>
      <c r="R404" s="5" t="inlineStr">
        <is>
          <t>7</t>
        </is>
      </c>
      <c r="S404" s="5" t="inlineStr">
        <is>
          <t>2</t>
        </is>
      </c>
      <c r="T404" s="5" t="inlineStr">
        <is>
          <t>0</t>
        </is>
      </c>
      <c r="U404" s="5">
        <f>IFS(C404&lt;30,"Under 30",C404&lt;40,"30-39",C404&lt;50,"40-49",TRUE,"50+")</f>
        <v/>
      </c>
      <c r="V404" s="5">
        <f>IFS(O404&lt;60000,"Low (&lt;60k)",O404&lt;100000,"Mid (60-100k)",TRUE,"High (100k+)")</f>
        <v/>
      </c>
      <c r="W404" s="5">
        <f>IF(M404="No","Attrited","Active")</f>
        <v/>
      </c>
    </row>
    <row r="405">
      <c r="A405" s="5" t="inlineStr">
        <is>
          <t>E00404</t>
        </is>
      </c>
      <c r="B405" s="5" t="inlineStr">
        <is>
          <t>Female</t>
        </is>
      </c>
      <c r="C405" s="6" t="inlineStr">
        <is>
          <t>30</t>
        </is>
      </c>
      <c r="D405" s="5" t="inlineStr">
        <is>
          <t>Married</t>
        </is>
      </c>
      <c r="E405" s="5" t="inlineStr">
        <is>
          <t>Bachelor</t>
        </is>
      </c>
      <c r="F405" s="5" t="inlineStr">
        <is>
          <t>Customer Support</t>
        </is>
      </c>
      <c r="G405" s="5" t="inlineStr">
        <is>
          <t>Support Lead</t>
        </is>
      </c>
      <c r="H405" s="5" t="inlineStr">
        <is>
          <t>3</t>
        </is>
      </c>
      <c r="I405" s="5" t="inlineStr">
        <is>
          <t>Bengaluru</t>
        </is>
      </c>
      <c r="J405" s="5" t="inlineStr">
        <is>
          <t>Full-Time</t>
        </is>
      </c>
      <c r="K405" s="7" t="n">
        <v>45244</v>
      </c>
      <c r="L405" s="7" t="inlineStr"/>
      <c r="M405" s="5" t="inlineStr">
        <is>
          <t>Yes</t>
        </is>
      </c>
      <c r="N405" s="5" t="inlineStr"/>
      <c r="O405" s="8" t="inlineStr">
        <is>
          <t>67000</t>
        </is>
      </c>
      <c r="P405" s="5" t="inlineStr">
        <is>
          <t>5</t>
        </is>
      </c>
      <c r="Q405" s="5" t="inlineStr">
        <is>
          <t>3</t>
        </is>
      </c>
      <c r="R405" s="5" t="inlineStr">
        <is>
          <t>6</t>
        </is>
      </c>
      <c r="S405" s="5" t="inlineStr">
        <is>
          <t>25</t>
        </is>
      </c>
      <c r="T405" s="5" t="inlineStr">
        <is>
          <t>0</t>
        </is>
      </c>
      <c r="U405" s="5">
        <f>IFS(C405&lt;30,"Under 30",C405&lt;40,"30-39",C405&lt;50,"40-49",TRUE,"50+")</f>
        <v/>
      </c>
      <c r="V405" s="5">
        <f>IFS(O405&lt;60000,"Low (&lt;60k)",O405&lt;100000,"Mid (60-100k)",TRUE,"High (100k+)")</f>
        <v/>
      </c>
      <c r="W405" s="5">
        <f>IF(M405="No","Attrited","Active")</f>
        <v/>
      </c>
    </row>
    <row r="406">
      <c r="A406" s="5" t="inlineStr">
        <is>
          <t>E00405</t>
        </is>
      </c>
      <c r="B406" s="5" t="inlineStr">
        <is>
          <t>Male</t>
        </is>
      </c>
      <c r="C406" s="6" t="inlineStr">
        <is>
          <t>34</t>
        </is>
      </c>
      <c r="D406" s="5" t="inlineStr">
        <is>
          <t>Married</t>
        </is>
      </c>
      <c r="E406" s="5" t="inlineStr">
        <is>
          <t>PhD</t>
        </is>
      </c>
      <c r="F406" s="5" t="inlineStr">
        <is>
          <t>Sales</t>
        </is>
      </c>
      <c r="G406" s="5" t="inlineStr">
        <is>
          <t>Account Executive</t>
        </is>
      </c>
      <c r="H406" s="5" t="inlineStr">
        <is>
          <t>4</t>
        </is>
      </c>
      <c r="I406" s="5" t="inlineStr">
        <is>
          <t>Bengaluru</t>
        </is>
      </c>
      <c r="J406" s="5" t="inlineStr">
        <is>
          <t>Full-Time</t>
        </is>
      </c>
      <c r="K406" s="7" t="n">
        <v>45773</v>
      </c>
      <c r="L406" s="7" t="inlineStr"/>
      <c r="M406" s="5" t="inlineStr">
        <is>
          <t>Yes</t>
        </is>
      </c>
      <c r="N406" s="5" t="inlineStr"/>
      <c r="O406" s="8" t="inlineStr">
        <is>
          <t>128000</t>
        </is>
      </c>
      <c r="P406" s="5" t="inlineStr">
        <is>
          <t>0</t>
        </is>
      </c>
      <c r="Q406" s="5" t="inlineStr">
        <is>
          <t>5</t>
        </is>
      </c>
      <c r="R406" s="5" t="inlineStr">
        <is>
          <t>6</t>
        </is>
      </c>
      <c r="S406" s="5" t="inlineStr">
        <is>
          <t>8</t>
        </is>
      </c>
      <c r="T406" s="5" t="inlineStr">
        <is>
          <t>0</t>
        </is>
      </c>
      <c r="U406" s="5">
        <f>IFS(C406&lt;30,"Under 30",C406&lt;40,"30-39",C406&lt;50,"40-49",TRUE,"50+")</f>
        <v/>
      </c>
      <c r="V406" s="5">
        <f>IFS(O406&lt;60000,"Low (&lt;60k)",O406&lt;100000,"Mid (60-100k)",TRUE,"High (100k+)")</f>
        <v/>
      </c>
      <c r="W406" s="5">
        <f>IF(M406="No","Attrited","Active")</f>
        <v/>
      </c>
    </row>
    <row r="407">
      <c r="A407" s="5" t="inlineStr">
        <is>
          <t>E00406</t>
        </is>
      </c>
      <c r="B407" s="5" t="inlineStr">
        <is>
          <t>Male</t>
        </is>
      </c>
      <c r="C407" s="6" t="inlineStr">
        <is>
          <t>33</t>
        </is>
      </c>
      <c r="D407" s="5" t="inlineStr">
        <is>
          <t>Married</t>
        </is>
      </c>
      <c r="E407" s="5" t="inlineStr">
        <is>
          <t>Diploma</t>
        </is>
      </c>
      <c r="F407" s="5" t="inlineStr">
        <is>
          <t>Sales</t>
        </is>
      </c>
      <c r="G407" s="5" t="inlineStr">
        <is>
          <t>Business Development</t>
        </is>
      </c>
      <c r="H407" s="5" t="inlineStr">
        <is>
          <t>3</t>
        </is>
      </c>
      <c r="I407" s="5" t="inlineStr">
        <is>
          <t>Chennai</t>
        </is>
      </c>
      <c r="J407" s="5" t="inlineStr">
        <is>
          <t>Full-Time</t>
        </is>
      </c>
      <c r="K407" s="7" t="n">
        <v>44273</v>
      </c>
      <c r="L407" s="7" t="inlineStr"/>
      <c r="M407" s="5" t="inlineStr">
        <is>
          <t>Yes</t>
        </is>
      </c>
      <c r="N407" s="5" t="inlineStr"/>
      <c r="O407" s="8" t="inlineStr">
        <is>
          <t>85000</t>
        </is>
      </c>
      <c r="P407" s="5" t="inlineStr">
        <is>
          <t>0</t>
        </is>
      </c>
      <c r="Q407" s="5" t="inlineStr">
        <is>
          <t>2</t>
        </is>
      </c>
      <c r="R407" s="5" t="inlineStr">
        <is>
          <t>6</t>
        </is>
      </c>
      <c r="S407" s="5" t="inlineStr">
        <is>
          <t>58</t>
        </is>
      </c>
      <c r="T407" s="5" t="inlineStr">
        <is>
          <t>7</t>
        </is>
      </c>
      <c r="U407" s="5">
        <f>IFS(C407&lt;30,"Under 30",C407&lt;40,"30-39",C407&lt;50,"40-49",TRUE,"50+")</f>
        <v/>
      </c>
      <c r="V407" s="5">
        <f>IFS(O407&lt;60000,"Low (&lt;60k)",O407&lt;100000,"Mid (60-100k)",TRUE,"High (100k+)")</f>
        <v/>
      </c>
      <c r="W407" s="5">
        <f>IF(M407="No","Attrited","Active")</f>
        <v/>
      </c>
    </row>
    <row r="408">
      <c r="A408" s="5" t="inlineStr">
        <is>
          <t>E00407</t>
        </is>
      </c>
      <c r="B408" s="5" t="inlineStr">
        <is>
          <t>Male</t>
        </is>
      </c>
      <c r="C408" s="6" t="inlineStr">
        <is>
          <t>40</t>
        </is>
      </c>
      <c r="D408" s="5" t="inlineStr">
        <is>
          <t>Single</t>
        </is>
      </c>
      <c r="E408" s="5" t="inlineStr">
        <is>
          <t>Bachelor</t>
        </is>
      </c>
      <c r="F408" s="5" t="inlineStr">
        <is>
          <t>Human Resources</t>
        </is>
      </c>
      <c r="G408" s="5" t="inlineStr">
        <is>
          <t>HR Generalist</t>
        </is>
      </c>
      <c r="H408" s="5" t="inlineStr">
        <is>
          <t>4</t>
        </is>
      </c>
      <c r="I408" s="5" t="inlineStr">
        <is>
          <t>Chennai</t>
        </is>
      </c>
      <c r="J408" s="5" t="inlineStr">
        <is>
          <t>Full-Time</t>
        </is>
      </c>
      <c r="K408" s="7" t="n">
        <v>45243</v>
      </c>
      <c r="L408" s="7" t="inlineStr"/>
      <c r="M408" s="5" t="inlineStr">
        <is>
          <t>Yes</t>
        </is>
      </c>
      <c r="N408" s="5" t="inlineStr"/>
      <c r="O408" s="8" t="inlineStr">
        <is>
          <t>132500</t>
        </is>
      </c>
      <c r="P408" s="5" t="inlineStr">
        <is>
          <t>15</t>
        </is>
      </c>
      <c r="Q408" s="5" t="inlineStr">
        <is>
          <t>3</t>
        </is>
      </c>
      <c r="R408" s="5" t="inlineStr">
        <is>
          <t>5</t>
        </is>
      </c>
      <c r="S408" s="5" t="inlineStr">
        <is>
          <t>25</t>
        </is>
      </c>
      <c r="T408" s="5" t="inlineStr">
        <is>
          <t>4</t>
        </is>
      </c>
      <c r="U408" s="5">
        <f>IFS(C408&lt;30,"Under 30",C408&lt;40,"30-39",C408&lt;50,"40-49",TRUE,"50+")</f>
        <v/>
      </c>
      <c r="V408" s="5">
        <f>IFS(O408&lt;60000,"Low (&lt;60k)",O408&lt;100000,"Mid (60-100k)",TRUE,"High (100k+)")</f>
        <v/>
      </c>
      <c r="W408" s="5">
        <f>IF(M408="No","Attrited","Active")</f>
        <v/>
      </c>
    </row>
    <row r="409">
      <c r="A409" s="5" t="inlineStr">
        <is>
          <t>E00408</t>
        </is>
      </c>
      <c r="B409" s="5" t="inlineStr">
        <is>
          <t>Male</t>
        </is>
      </c>
      <c r="C409" s="6" t="inlineStr">
        <is>
          <t>29</t>
        </is>
      </c>
      <c r="D409" s="5" t="inlineStr">
        <is>
          <t>Married</t>
        </is>
      </c>
      <c r="E409" s="5" t="inlineStr">
        <is>
          <t>PhD</t>
        </is>
      </c>
      <c r="F409" s="5" t="inlineStr">
        <is>
          <t>Operations</t>
        </is>
      </c>
      <c r="G409" s="5" t="inlineStr">
        <is>
          <t>Operations Analyst</t>
        </is>
      </c>
      <c r="H409" s="5" t="inlineStr">
        <is>
          <t>2</t>
        </is>
      </c>
      <c r="I409" s="5" t="inlineStr">
        <is>
          <t>Delhi</t>
        </is>
      </c>
      <c r="J409" s="5" t="inlineStr">
        <is>
          <t>Full-Time</t>
        </is>
      </c>
      <c r="K409" s="7" t="n">
        <v>44266</v>
      </c>
      <c r="L409" s="7" t="inlineStr"/>
      <c r="M409" s="5" t="inlineStr">
        <is>
          <t>Yes</t>
        </is>
      </c>
      <c r="N409" s="5" t="inlineStr"/>
      <c r="O409" s="8" t="inlineStr">
        <is>
          <t>101000</t>
        </is>
      </c>
      <c r="P409" s="5" t="inlineStr">
        <is>
          <t>0</t>
        </is>
      </c>
      <c r="Q409" s="5" t="inlineStr">
        <is>
          <t>3</t>
        </is>
      </c>
      <c r="R409" s="5" t="inlineStr">
        <is>
          <t>4</t>
        </is>
      </c>
      <c r="S409" s="5" t="inlineStr">
        <is>
          <t>58</t>
        </is>
      </c>
      <c r="T409" s="5" t="inlineStr">
        <is>
          <t>6</t>
        </is>
      </c>
      <c r="U409" s="5">
        <f>IFS(C409&lt;30,"Under 30",C409&lt;40,"30-39",C409&lt;50,"40-49",TRUE,"50+")</f>
        <v/>
      </c>
      <c r="V409" s="5">
        <f>IFS(O409&lt;60000,"Low (&lt;60k)",O409&lt;100000,"Mid (60-100k)",TRUE,"High (100k+)")</f>
        <v/>
      </c>
      <c r="W409" s="5">
        <f>IF(M409="No","Attrited","Active")</f>
        <v/>
      </c>
    </row>
    <row r="410">
      <c r="A410" s="5" t="inlineStr">
        <is>
          <t>E00409</t>
        </is>
      </c>
      <c r="B410" s="5" t="inlineStr">
        <is>
          <t>Male</t>
        </is>
      </c>
      <c r="C410" s="6" t="inlineStr">
        <is>
          <t>28</t>
        </is>
      </c>
      <c r="D410" s="5" t="inlineStr">
        <is>
          <t>Single</t>
        </is>
      </c>
      <c r="E410" s="5" t="inlineStr">
        <is>
          <t>High School</t>
        </is>
      </c>
      <c r="F410" s="5" t="inlineStr">
        <is>
          <t>IT</t>
        </is>
      </c>
      <c r="G410" s="5" t="inlineStr">
        <is>
          <t>DevOps Engineer</t>
        </is>
      </c>
      <c r="H410" s="5" t="inlineStr">
        <is>
          <t>2</t>
        </is>
      </c>
      <c r="I410" s="5" t="inlineStr">
        <is>
          <t>Delhi</t>
        </is>
      </c>
      <c r="J410" s="5" t="inlineStr">
        <is>
          <t>Full-Time</t>
        </is>
      </c>
      <c r="K410" s="7" t="n">
        <v>44342</v>
      </c>
      <c r="L410" s="7" t="inlineStr"/>
      <c r="M410" s="5" t="inlineStr">
        <is>
          <t>Yes</t>
        </is>
      </c>
      <c r="N410" s="5" t="inlineStr"/>
      <c r="O410" s="8" t="inlineStr">
        <is>
          <t>144000</t>
        </is>
      </c>
      <c r="P410" s="5" t="inlineStr">
        <is>
          <t>10</t>
        </is>
      </c>
      <c r="Q410" s="5" t="inlineStr">
        <is>
          <t>5</t>
        </is>
      </c>
      <c r="R410" s="5" t="inlineStr">
        <is>
          <t>6</t>
        </is>
      </c>
      <c r="S410" s="5" t="inlineStr">
        <is>
          <t>56</t>
        </is>
      </c>
      <c r="T410" s="5" t="inlineStr">
        <is>
          <t>0</t>
        </is>
      </c>
      <c r="U410" s="5">
        <f>IFS(C410&lt;30,"Under 30",C410&lt;40,"30-39",C410&lt;50,"40-49",TRUE,"50+")</f>
        <v/>
      </c>
      <c r="V410" s="5">
        <f>IFS(O410&lt;60000,"Low (&lt;60k)",O410&lt;100000,"Mid (60-100k)",TRUE,"High (100k+)")</f>
        <v/>
      </c>
      <c r="W410" s="5">
        <f>IF(M410="No","Attrited","Active")</f>
        <v/>
      </c>
    </row>
    <row r="411">
      <c r="A411" s="5" t="inlineStr">
        <is>
          <t>E00410</t>
        </is>
      </c>
      <c r="B411" s="5" t="inlineStr">
        <is>
          <t>Male</t>
        </is>
      </c>
      <c r="C411" s="6" t="inlineStr">
        <is>
          <t>29</t>
        </is>
      </c>
      <c r="D411" s="5" t="inlineStr">
        <is>
          <t>Single</t>
        </is>
      </c>
      <c r="E411" s="5" t="inlineStr">
        <is>
          <t>Diploma</t>
        </is>
      </c>
      <c r="F411" s="5" t="inlineStr">
        <is>
          <t>Marketing</t>
        </is>
      </c>
      <c r="G411" s="5" t="inlineStr">
        <is>
          <t>Content Writer</t>
        </is>
      </c>
      <c r="H411" s="5" t="inlineStr">
        <is>
          <t>4</t>
        </is>
      </c>
      <c r="I411" s="5" t="inlineStr">
        <is>
          <t>Hyderabad</t>
        </is>
      </c>
      <c r="J411" s="5" t="inlineStr">
        <is>
          <t>Full-Time</t>
        </is>
      </c>
      <c r="K411" s="7" t="n">
        <v>44538</v>
      </c>
      <c r="L411" s="7" t="inlineStr"/>
      <c r="M411" s="5" t="inlineStr">
        <is>
          <t>Yes</t>
        </is>
      </c>
      <c r="N411" s="5" t="inlineStr"/>
      <c r="O411" s="8" t="inlineStr">
        <is>
          <t>97500</t>
        </is>
      </c>
      <c r="P411" s="5" t="inlineStr">
        <is>
          <t>15</t>
        </is>
      </c>
      <c r="Q411" s="5" t="inlineStr">
        <is>
          <t>4</t>
        </is>
      </c>
      <c r="R411" s="5" t="inlineStr">
        <is>
          <t>8</t>
        </is>
      </c>
      <c r="S411" s="5" t="inlineStr">
        <is>
          <t>49</t>
        </is>
      </c>
      <c r="T411" s="5" t="inlineStr">
        <is>
          <t>9</t>
        </is>
      </c>
      <c r="U411" s="5">
        <f>IFS(C411&lt;30,"Under 30",C411&lt;40,"30-39",C411&lt;50,"40-49",TRUE,"50+")</f>
        <v/>
      </c>
      <c r="V411" s="5">
        <f>IFS(O411&lt;60000,"Low (&lt;60k)",O411&lt;100000,"Mid (60-100k)",TRUE,"High (100k+)")</f>
        <v/>
      </c>
      <c r="W411" s="5">
        <f>IF(M411="No","Attrited","Active")</f>
        <v/>
      </c>
    </row>
    <row r="412">
      <c r="A412" s="5" t="inlineStr">
        <is>
          <t>E00411</t>
        </is>
      </c>
      <c r="B412" s="5" t="inlineStr">
        <is>
          <t>Male</t>
        </is>
      </c>
      <c r="C412" s="6" t="inlineStr">
        <is>
          <t>31</t>
        </is>
      </c>
      <c r="D412" s="5" t="inlineStr">
        <is>
          <t>Married</t>
        </is>
      </c>
      <c r="E412" s="5" t="inlineStr">
        <is>
          <t>PhD</t>
        </is>
      </c>
      <c r="F412" s="5" t="inlineStr">
        <is>
          <t>Marketing</t>
        </is>
      </c>
      <c r="G412" s="5" t="inlineStr">
        <is>
          <t>SEO Specialist</t>
        </is>
      </c>
      <c r="H412" s="5" t="inlineStr">
        <is>
          <t>3</t>
        </is>
      </c>
      <c r="I412" s="5" t="inlineStr">
        <is>
          <t>Delhi</t>
        </is>
      </c>
      <c r="J412" s="5" t="inlineStr">
        <is>
          <t>Full-Time</t>
        </is>
      </c>
      <c r="K412" s="7" t="n">
        <v>44726</v>
      </c>
      <c r="L412" s="7" t="inlineStr"/>
      <c r="M412" s="5" t="inlineStr">
        <is>
          <t>Yes</t>
        </is>
      </c>
      <c r="N412" s="5" t="inlineStr"/>
      <c r="O412" s="8" t="inlineStr">
        <is>
          <t>107000</t>
        </is>
      </c>
      <c r="P412" s="5" t="inlineStr">
        <is>
          <t>10</t>
        </is>
      </c>
      <c r="Q412" s="5" t="inlineStr">
        <is>
          <t>5</t>
        </is>
      </c>
      <c r="R412" s="5" t="inlineStr">
        <is>
          <t>7</t>
        </is>
      </c>
      <c r="S412" s="5" t="inlineStr">
        <is>
          <t>43</t>
        </is>
      </c>
      <c r="T412" s="5" t="inlineStr">
        <is>
          <t>0</t>
        </is>
      </c>
      <c r="U412" s="5">
        <f>IFS(C412&lt;30,"Under 30",C412&lt;40,"30-39",C412&lt;50,"40-49",TRUE,"50+")</f>
        <v/>
      </c>
      <c r="V412" s="5">
        <f>IFS(O412&lt;60000,"Low (&lt;60k)",O412&lt;100000,"Mid (60-100k)",TRUE,"High (100k+)")</f>
        <v/>
      </c>
      <c r="W412" s="5">
        <f>IF(M412="No","Attrited","Active")</f>
        <v/>
      </c>
    </row>
    <row r="413">
      <c r="A413" s="5" t="inlineStr">
        <is>
          <t>E00412</t>
        </is>
      </c>
      <c r="B413" s="5" t="inlineStr">
        <is>
          <t>Female</t>
        </is>
      </c>
      <c r="C413" s="6" t="inlineStr">
        <is>
          <t>25</t>
        </is>
      </c>
      <c r="D413" s="5" t="inlineStr">
        <is>
          <t>Married</t>
        </is>
      </c>
      <c r="E413" s="5" t="inlineStr">
        <is>
          <t>Diploma</t>
        </is>
      </c>
      <c r="F413" s="5" t="inlineStr">
        <is>
          <t>Marketing</t>
        </is>
      </c>
      <c r="G413" s="5" t="inlineStr">
        <is>
          <t>Content Writer</t>
        </is>
      </c>
      <c r="H413" s="5" t="inlineStr">
        <is>
          <t>1</t>
        </is>
      </c>
      <c r="I413" s="5" t="inlineStr">
        <is>
          <t>Bengaluru</t>
        </is>
      </c>
      <c r="J413" s="5" t="inlineStr">
        <is>
          <t>Contract</t>
        </is>
      </c>
      <c r="K413" s="7" t="n">
        <v>44947</v>
      </c>
      <c r="L413" s="7" t="n">
        <v>45003</v>
      </c>
      <c r="M413" s="5" t="inlineStr">
        <is>
          <t>No</t>
        </is>
      </c>
      <c r="N413" s="5" t="inlineStr">
        <is>
          <t>Layoff</t>
        </is>
      </c>
      <c r="O413" s="8" t="inlineStr">
        <is>
          <t>55000</t>
        </is>
      </c>
      <c r="P413" s="5" t="inlineStr">
        <is>
          <t>0</t>
        </is>
      </c>
      <c r="Q413" s="5" t="inlineStr">
        <is>
          <t>3</t>
        </is>
      </c>
      <c r="R413" s="5" t="inlineStr">
        <is>
          <t>5</t>
        </is>
      </c>
      <c r="S413" s="5" t="inlineStr">
        <is>
          <t>1</t>
        </is>
      </c>
      <c r="T413" s="5" t="inlineStr">
        <is>
          <t>6</t>
        </is>
      </c>
      <c r="U413" s="5">
        <f>IFS(C413&lt;30,"Under 30",C413&lt;40,"30-39",C413&lt;50,"40-49",TRUE,"50+")</f>
        <v/>
      </c>
      <c r="V413" s="5">
        <f>IFS(O413&lt;60000,"Low (&lt;60k)",O413&lt;100000,"Mid (60-100k)",TRUE,"High (100k+)")</f>
        <v/>
      </c>
      <c r="W413" s="5">
        <f>IF(M413="No","Attrited","Active")</f>
        <v/>
      </c>
    </row>
    <row r="414">
      <c r="A414" s="5" t="inlineStr">
        <is>
          <t>E00413</t>
        </is>
      </c>
      <c r="B414" s="5" t="inlineStr">
        <is>
          <t>Male</t>
        </is>
      </c>
      <c r="C414" s="6" t="inlineStr">
        <is>
          <t>30</t>
        </is>
      </c>
      <c r="D414" s="5" t="inlineStr">
        <is>
          <t>Married</t>
        </is>
      </c>
      <c r="E414" s="5" t="inlineStr">
        <is>
          <t>Master</t>
        </is>
      </c>
      <c r="F414" s="5" t="inlineStr">
        <is>
          <t>Operations</t>
        </is>
      </c>
      <c r="G414" s="5" t="inlineStr">
        <is>
          <t>Operations Analyst</t>
        </is>
      </c>
      <c r="H414" s="5" t="inlineStr">
        <is>
          <t>3</t>
        </is>
      </c>
      <c r="I414" s="5" t="inlineStr">
        <is>
          <t>Delhi</t>
        </is>
      </c>
      <c r="J414" s="5" t="inlineStr">
        <is>
          <t>Full-Time</t>
        </is>
      </c>
      <c r="K414" s="7" t="n">
        <v>44543</v>
      </c>
      <c r="L414" s="7" t="inlineStr"/>
      <c r="M414" s="5" t="inlineStr">
        <is>
          <t>Yes</t>
        </is>
      </c>
      <c r="N414" s="5" t="inlineStr"/>
      <c r="O414" s="8" t="inlineStr">
        <is>
          <t>83000</t>
        </is>
      </c>
      <c r="P414" s="5" t="inlineStr">
        <is>
          <t>5</t>
        </is>
      </c>
      <c r="Q414" s="5" t="inlineStr">
        <is>
          <t>5</t>
        </is>
      </c>
      <c r="R414" s="5" t="inlineStr">
        <is>
          <t>6</t>
        </is>
      </c>
      <c r="S414" s="5" t="inlineStr">
        <is>
          <t>49</t>
        </is>
      </c>
      <c r="T414" s="5" t="inlineStr">
        <is>
          <t>3</t>
        </is>
      </c>
      <c r="U414" s="5">
        <f>IFS(C414&lt;30,"Under 30",C414&lt;40,"30-39",C414&lt;50,"40-49",TRUE,"50+")</f>
        <v/>
      </c>
      <c r="V414" s="5">
        <f>IFS(O414&lt;60000,"Low (&lt;60k)",O414&lt;100000,"Mid (60-100k)",TRUE,"High (100k+)")</f>
        <v/>
      </c>
      <c r="W414" s="5">
        <f>IF(M414="No","Attrited","Active")</f>
        <v/>
      </c>
    </row>
    <row r="415">
      <c r="A415" s="5" t="inlineStr">
        <is>
          <t>E00414</t>
        </is>
      </c>
      <c r="B415" s="5" t="inlineStr">
        <is>
          <t>Male</t>
        </is>
      </c>
      <c r="C415" s="6" t="inlineStr">
        <is>
          <t>36</t>
        </is>
      </c>
      <c r="D415" s="5" t="inlineStr">
        <is>
          <t>Single</t>
        </is>
      </c>
      <c r="E415" s="5" t="inlineStr">
        <is>
          <t>Diploma</t>
        </is>
      </c>
      <c r="F415" s="5" t="inlineStr">
        <is>
          <t>Research &amp; Development</t>
        </is>
      </c>
      <c r="G415" s="5" t="inlineStr">
        <is>
          <t>Product Engineer</t>
        </is>
      </c>
      <c r="H415" s="5" t="inlineStr">
        <is>
          <t>2</t>
        </is>
      </c>
      <c r="I415" s="5" t="inlineStr">
        <is>
          <t>Hyderabad</t>
        </is>
      </c>
      <c r="J415" s="5" t="inlineStr">
        <is>
          <t>Full-Time</t>
        </is>
      </c>
      <c r="K415" s="7" t="n">
        <v>44314</v>
      </c>
      <c r="L415" s="7" t="n">
        <v>44445</v>
      </c>
      <c r="M415" s="5" t="inlineStr">
        <is>
          <t>No</t>
        </is>
      </c>
      <c r="N415" s="5" t="inlineStr">
        <is>
          <t>Retirement</t>
        </is>
      </c>
      <c r="O415" s="8" t="inlineStr">
        <is>
          <t>139500</t>
        </is>
      </c>
      <c r="P415" s="5" t="inlineStr">
        <is>
          <t>15</t>
        </is>
      </c>
      <c r="Q415" s="5" t="inlineStr">
        <is>
          <t>5</t>
        </is>
      </c>
      <c r="R415" s="5" t="inlineStr">
        <is>
          <t>5</t>
        </is>
      </c>
      <c r="S415" s="5" t="inlineStr">
        <is>
          <t>4</t>
        </is>
      </c>
      <c r="T415" s="5" t="inlineStr">
        <is>
          <t>0</t>
        </is>
      </c>
      <c r="U415" s="5">
        <f>IFS(C415&lt;30,"Under 30",C415&lt;40,"30-39",C415&lt;50,"40-49",TRUE,"50+")</f>
        <v/>
      </c>
      <c r="V415" s="5">
        <f>IFS(O415&lt;60000,"Low (&lt;60k)",O415&lt;100000,"Mid (60-100k)",TRUE,"High (100k+)")</f>
        <v/>
      </c>
      <c r="W415" s="5">
        <f>IF(M415="No","Attrited","Active")</f>
        <v/>
      </c>
    </row>
    <row r="416">
      <c r="A416" s="5" t="inlineStr">
        <is>
          <t>E00415</t>
        </is>
      </c>
      <c r="B416" s="5" t="inlineStr">
        <is>
          <t>Male</t>
        </is>
      </c>
      <c r="C416" s="6" t="inlineStr">
        <is>
          <t>28</t>
        </is>
      </c>
      <c r="D416" s="5" t="inlineStr">
        <is>
          <t>Married</t>
        </is>
      </c>
      <c r="E416" s="5" t="inlineStr">
        <is>
          <t>Master</t>
        </is>
      </c>
      <c r="F416" s="5" t="inlineStr">
        <is>
          <t>Sales</t>
        </is>
      </c>
      <c r="G416" s="5" t="inlineStr">
        <is>
          <t>Business Development</t>
        </is>
      </c>
      <c r="H416" s="5" t="inlineStr">
        <is>
          <t>3</t>
        </is>
      </c>
      <c r="I416" s="5" t="inlineStr">
        <is>
          <t>Chennai</t>
        </is>
      </c>
      <c r="J416" s="5" t="inlineStr">
        <is>
          <t>Full-Time</t>
        </is>
      </c>
      <c r="K416" s="7" t="n">
        <v>44477</v>
      </c>
      <c r="L416" s="7" t="n">
        <v>44558</v>
      </c>
      <c r="M416" s="5" t="inlineStr">
        <is>
          <t>No</t>
        </is>
      </c>
      <c r="N416" s="5" t="inlineStr">
        <is>
          <t>Resigned</t>
        </is>
      </c>
      <c r="O416" s="8" t="inlineStr">
        <is>
          <t>95000</t>
        </is>
      </c>
      <c r="P416" s="5" t="inlineStr">
        <is>
          <t>5</t>
        </is>
      </c>
      <c r="Q416" s="5" t="inlineStr">
        <is>
          <t>3</t>
        </is>
      </c>
      <c r="R416" s="5" t="inlineStr">
        <is>
          <t>8</t>
        </is>
      </c>
      <c r="S416" s="5" t="inlineStr">
        <is>
          <t>2</t>
        </is>
      </c>
      <c r="T416" s="5" t="inlineStr">
        <is>
          <t>10</t>
        </is>
      </c>
      <c r="U416" s="5">
        <f>IFS(C416&lt;30,"Under 30",C416&lt;40,"30-39",C416&lt;50,"40-49",TRUE,"50+")</f>
        <v/>
      </c>
      <c r="V416" s="5">
        <f>IFS(O416&lt;60000,"Low (&lt;60k)",O416&lt;100000,"Mid (60-100k)",TRUE,"High (100k+)")</f>
        <v/>
      </c>
      <c r="W416" s="5">
        <f>IF(M416="No","Attrited","Active")</f>
        <v/>
      </c>
    </row>
    <row r="417">
      <c r="A417" s="5" t="inlineStr">
        <is>
          <t>E00416</t>
        </is>
      </c>
      <c r="B417" s="5" t="inlineStr">
        <is>
          <t>Female</t>
        </is>
      </c>
      <c r="C417" s="6" t="inlineStr">
        <is>
          <t>25</t>
        </is>
      </c>
      <c r="D417" s="5" t="inlineStr">
        <is>
          <t>Divorced</t>
        </is>
      </c>
      <c r="E417" s="5" t="inlineStr">
        <is>
          <t>High School</t>
        </is>
      </c>
      <c r="F417" s="5" t="inlineStr">
        <is>
          <t>Operations</t>
        </is>
      </c>
      <c r="G417" s="5" t="inlineStr">
        <is>
          <t>Logistics Coordinator</t>
        </is>
      </c>
      <c r="H417" s="5" t="inlineStr">
        <is>
          <t>1</t>
        </is>
      </c>
      <c r="I417" s="5" t="inlineStr">
        <is>
          <t>Remote</t>
        </is>
      </c>
      <c r="J417" s="5" t="inlineStr">
        <is>
          <t>Full-Time</t>
        </is>
      </c>
      <c r="K417" s="7" t="n">
        <v>44086</v>
      </c>
      <c r="L417" s="7" t="inlineStr"/>
      <c r="M417" s="5" t="inlineStr">
        <is>
          <t>Yes</t>
        </is>
      </c>
      <c r="N417" s="5" t="inlineStr"/>
      <c r="O417" s="8" t="inlineStr">
        <is>
          <t>81000</t>
        </is>
      </c>
      <c r="P417" s="5" t="inlineStr">
        <is>
          <t>5</t>
        </is>
      </c>
      <c r="Q417" s="5" t="inlineStr">
        <is>
          <t>5</t>
        </is>
      </c>
      <c r="R417" s="5" t="inlineStr">
        <is>
          <t>6</t>
        </is>
      </c>
      <c r="S417" s="5" t="inlineStr">
        <is>
          <t>64</t>
        </is>
      </c>
      <c r="T417" s="5" t="inlineStr">
        <is>
          <t>0</t>
        </is>
      </c>
      <c r="U417" s="5">
        <f>IFS(C417&lt;30,"Under 30",C417&lt;40,"30-39",C417&lt;50,"40-49",TRUE,"50+")</f>
        <v/>
      </c>
      <c r="V417" s="5">
        <f>IFS(O417&lt;60000,"Low (&lt;60k)",O417&lt;100000,"Mid (60-100k)",TRUE,"High (100k+)")</f>
        <v/>
      </c>
      <c r="W417" s="5">
        <f>IF(M417="No","Attrited","Active")</f>
        <v/>
      </c>
    </row>
    <row r="418">
      <c r="A418" s="5" t="inlineStr">
        <is>
          <t>E00417</t>
        </is>
      </c>
      <c r="B418" s="5" t="inlineStr">
        <is>
          <t>Male</t>
        </is>
      </c>
      <c r="C418" s="6" t="inlineStr">
        <is>
          <t>31</t>
        </is>
      </c>
      <c r="D418" s="5" t="inlineStr">
        <is>
          <t>Single</t>
        </is>
      </c>
      <c r="E418" s="5" t="inlineStr">
        <is>
          <t>Bachelor</t>
        </is>
      </c>
      <c r="F418" s="5" t="inlineStr">
        <is>
          <t>Customer Support</t>
        </is>
      </c>
      <c r="G418" s="5" t="inlineStr">
        <is>
          <t>Support Agent</t>
        </is>
      </c>
      <c r="H418" s="5" t="inlineStr">
        <is>
          <t>3</t>
        </is>
      </c>
      <c r="I418" s="5" t="inlineStr">
        <is>
          <t>Hyderabad</t>
        </is>
      </c>
      <c r="J418" s="5" t="inlineStr">
        <is>
          <t>Full-Time</t>
        </is>
      </c>
      <c r="K418" s="7" t="n">
        <v>44076</v>
      </c>
      <c r="L418" s="7" t="inlineStr"/>
      <c r="M418" s="5" t="inlineStr">
        <is>
          <t>Yes</t>
        </is>
      </c>
      <c r="N418" s="5" t="inlineStr"/>
      <c r="O418" s="8" t="inlineStr">
        <is>
          <t>85500</t>
        </is>
      </c>
      <c r="P418" s="5" t="inlineStr">
        <is>
          <t>0</t>
        </is>
      </c>
      <c r="Q418" s="5" t="inlineStr">
        <is>
          <t>4</t>
        </is>
      </c>
      <c r="R418" s="5" t="inlineStr">
        <is>
          <t>9</t>
        </is>
      </c>
      <c r="S418" s="5" t="inlineStr">
        <is>
          <t>64</t>
        </is>
      </c>
      <c r="T418" s="5" t="inlineStr">
        <is>
          <t>0</t>
        </is>
      </c>
      <c r="U418" s="5">
        <f>IFS(C418&lt;30,"Under 30",C418&lt;40,"30-39",C418&lt;50,"40-49",TRUE,"50+")</f>
        <v/>
      </c>
      <c r="V418" s="5">
        <f>IFS(O418&lt;60000,"Low (&lt;60k)",O418&lt;100000,"Mid (60-100k)",TRUE,"High (100k+)")</f>
        <v/>
      </c>
      <c r="W418" s="5">
        <f>IF(M418="No","Attrited","Active")</f>
        <v/>
      </c>
    </row>
    <row r="419">
      <c r="A419" s="5" t="inlineStr">
        <is>
          <t>E00418</t>
        </is>
      </c>
      <c r="B419" s="5" t="inlineStr">
        <is>
          <t>Female</t>
        </is>
      </c>
      <c r="C419" s="6" t="inlineStr">
        <is>
          <t>28</t>
        </is>
      </c>
      <c r="D419" s="5" t="inlineStr">
        <is>
          <t>Married</t>
        </is>
      </c>
      <c r="E419" s="5" t="inlineStr">
        <is>
          <t>High School</t>
        </is>
      </c>
      <c r="F419" s="5" t="inlineStr">
        <is>
          <t>IT</t>
        </is>
      </c>
      <c r="G419" s="5" t="inlineStr">
        <is>
          <t>IT Support</t>
        </is>
      </c>
      <c r="H419" s="5" t="inlineStr">
        <is>
          <t>2</t>
        </is>
      </c>
      <c r="I419" s="5" t="inlineStr">
        <is>
          <t>Delhi</t>
        </is>
      </c>
      <c r="J419" s="5" t="inlineStr">
        <is>
          <t>Full-Time</t>
        </is>
      </c>
      <c r="K419" s="7" t="n">
        <v>45594</v>
      </c>
      <c r="L419" s="7" t="n">
        <v>45691</v>
      </c>
      <c r="M419" s="5" t="inlineStr">
        <is>
          <t>No</t>
        </is>
      </c>
      <c r="N419" s="5" t="inlineStr">
        <is>
          <t>Retirement</t>
        </is>
      </c>
      <c r="O419" s="8" t="inlineStr">
        <is>
          <t>140500</t>
        </is>
      </c>
      <c r="P419" s="5" t="inlineStr">
        <is>
          <t>5</t>
        </is>
      </c>
      <c r="Q419" s="5" t="inlineStr">
        <is>
          <t>2</t>
        </is>
      </c>
      <c r="R419" s="5" t="inlineStr">
        <is>
          <t>6</t>
        </is>
      </c>
      <c r="S419" s="5" t="inlineStr">
        <is>
          <t>3</t>
        </is>
      </c>
      <c r="T419" s="5" t="inlineStr">
        <is>
          <t>6</t>
        </is>
      </c>
      <c r="U419" s="5">
        <f>IFS(C419&lt;30,"Under 30",C419&lt;40,"30-39",C419&lt;50,"40-49",TRUE,"50+")</f>
        <v/>
      </c>
      <c r="V419" s="5">
        <f>IFS(O419&lt;60000,"Low (&lt;60k)",O419&lt;100000,"Mid (60-100k)",TRUE,"High (100k+)")</f>
        <v/>
      </c>
      <c r="W419" s="5">
        <f>IF(M419="No","Attrited","Active")</f>
        <v/>
      </c>
    </row>
    <row r="420">
      <c r="A420" s="5" t="inlineStr">
        <is>
          <t>E00419</t>
        </is>
      </c>
      <c r="B420" s="5" t="inlineStr">
        <is>
          <t>Female</t>
        </is>
      </c>
      <c r="C420" s="6" t="inlineStr">
        <is>
          <t>26</t>
        </is>
      </c>
      <c r="D420" s="5" t="inlineStr">
        <is>
          <t>Married</t>
        </is>
      </c>
      <c r="E420" s="5" t="inlineStr">
        <is>
          <t>PhD</t>
        </is>
      </c>
      <c r="F420" s="5" t="inlineStr">
        <is>
          <t>Sales</t>
        </is>
      </c>
      <c r="G420" s="5" t="inlineStr">
        <is>
          <t>Account Executive</t>
        </is>
      </c>
      <c r="H420" s="5" t="inlineStr">
        <is>
          <t>2</t>
        </is>
      </c>
      <c r="I420" s="5" t="inlineStr">
        <is>
          <t>Delhi</t>
        </is>
      </c>
      <c r="J420" s="5" t="inlineStr">
        <is>
          <t>Full-Time</t>
        </is>
      </c>
      <c r="K420" s="7" t="n">
        <v>43873</v>
      </c>
      <c r="L420" s="7" t="inlineStr"/>
      <c r="M420" s="5" t="inlineStr">
        <is>
          <t>Yes</t>
        </is>
      </c>
      <c r="N420" s="5" t="inlineStr"/>
      <c r="O420" s="8" t="inlineStr">
        <is>
          <t>101000</t>
        </is>
      </c>
      <c r="P420" s="5" t="inlineStr">
        <is>
          <t>15</t>
        </is>
      </c>
      <c r="Q420" s="5" t="inlineStr">
        <is>
          <t>3</t>
        </is>
      </c>
      <c r="R420" s="5" t="inlineStr">
        <is>
          <t>5</t>
        </is>
      </c>
      <c r="S420" s="5" t="inlineStr">
        <is>
          <t>71</t>
        </is>
      </c>
      <c r="T420" s="5" t="inlineStr">
        <is>
          <t>11</t>
        </is>
      </c>
      <c r="U420" s="5">
        <f>IFS(C420&lt;30,"Under 30",C420&lt;40,"30-39",C420&lt;50,"40-49",TRUE,"50+")</f>
        <v/>
      </c>
      <c r="V420" s="5">
        <f>IFS(O420&lt;60000,"Low (&lt;60k)",O420&lt;100000,"Mid (60-100k)",TRUE,"High (100k+)")</f>
        <v/>
      </c>
      <c r="W420" s="5">
        <f>IF(M420="No","Attrited","Active")</f>
        <v/>
      </c>
    </row>
    <row r="421">
      <c r="A421" s="5" t="inlineStr">
        <is>
          <t>E00420</t>
        </is>
      </c>
      <c r="B421" s="5" t="inlineStr">
        <is>
          <t>Male</t>
        </is>
      </c>
      <c r="C421" s="6" t="inlineStr">
        <is>
          <t>25</t>
        </is>
      </c>
      <c r="D421" s="5" t="inlineStr">
        <is>
          <t>Married</t>
        </is>
      </c>
      <c r="E421" s="5" t="inlineStr">
        <is>
          <t>Bachelor</t>
        </is>
      </c>
      <c r="F421" s="5" t="inlineStr">
        <is>
          <t>Customer Support</t>
        </is>
      </c>
      <c r="G421" s="5" t="inlineStr">
        <is>
          <t>Escalation Specialist</t>
        </is>
      </c>
      <c r="H421" s="5" t="inlineStr">
        <is>
          <t>2</t>
        </is>
      </c>
      <c r="I421" s="5" t="inlineStr">
        <is>
          <t>Chennai</t>
        </is>
      </c>
      <c r="J421" s="5" t="inlineStr">
        <is>
          <t>Full-Time</t>
        </is>
      </c>
      <c r="K421" s="7" t="n">
        <v>43856</v>
      </c>
      <c r="L421" s="7" t="inlineStr"/>
      <c r="M421" s="5" t="inlineStr">
        <is>
          <t>Yes</t>
        </is>
      </c>
      <c r="N421" s="5" t="inlineStr"/>
      <c r="O421" s="8" t="inlineStr">
        <is>
          <t>49500</t>
        </is>
      </c>
      <c r="P421" s="5" t="inlineStr">
        <is>
          <t>15</t>
        </is>
      </c>
      <c r="Q421" s="5" t="inlineStr">
        <is>
          <t>3</t>
        </is>
      </c>
      <c r="R421" s="5" t="inlineStr">
        <is>
          <t>3</t>
        </is>
      </c>
      <c r="S421" s="5" t="inlineStr">
        <is>
          <t>72</t>
        </is>
      </c>
      <c r="T421" s="5" t="inlineStr">
        <is>
          <t>3</t>
        </is>
      </c>
      <c r="U421" s="5">
        <f>IFS(C421&lt;30,"Under 30",C421&lt;40,"30-39",C421&lt;50,"40-49",TRUE,"50+")</f>
        <v/>
      </c>
      <c r="V421" s="5">
        <f>IFS(O421&lt;60000,"Low (&lt;60k)",O421&lt;100000,"Mid (60-100k)",TRUE,"High (100k+)")</f>
        <v/>
      </c>
      <c r="W421" s="5">
        <f>IF(M421="No","Attrited","Active")</f>
        <v/>
      </c>
    </row>
    <row r="422">
      <c r="A422" s="5" t="inlineStr">
        <is>
          <t>E00421</t>
        </is>
      </c>
      <c r="B422" s="5" t="inlineStr">
        <is>
          <t>Female</t>
        </is>
      </c>
      <c r="C422" s="6" t="inlineStr">
        <is>
          <t>28</t>
        </is>
      </c>
      <c r="D422" s="5" t="inlineStr">
        <is>
          <t>Married</t>
        </is>
      </c>
      <c r="E422" s="5" t="inlineStr">
        <is>
          <t>Bachelor</t>
        </is>
      </c>
      <c r="F422" s="5" t="inlineStr">
        <is>
          <t>Operations</t>
        </is>
      </c>
      <c r="G422" s="5" t="inlineStr">
        <is>
          <t>Logistics Coordinator</t>
        </is>
      </c>
      <c r="H422" s="5" t="inlineStr">
        <is>
          <t>1</t>
        </is>
      </c>
      <c r="I422" s="5" t="inlineStr">
        <is>
          <t>Hyderabad</t>
        </is>
      </c>
      <c r="J422" s="5" t="inlineStr">
        <is>
          <t>Full-Time</t>
        </is>
      </c>
      <c r="K422" s="7" t="n">
        <v>45412</v>
      </c>
      <c r="L422" s="7" t="inlineStr"/>
      <c r="M422" s="5" t="inlineStr">
        <is>
          <t>Yes</t>
        </is>
      </c>
      <c r="N422" s="5" t="inlineStr"/>
      <c r="O422" s="8" t="inlineStr">
        <is>
          <t>79500</t>
        </is>
      </c>
      <c r="P422" s="5" t="inlineStr">
        <is>
          <t>0</t>
        </is>
      </c>
      <c r="Q422" s="5" t="inlineStr">
        <is>
          <t>3</t>
        </is>
      </c>
      <c r="R422" s="5" t="inlineStr">
        <is>
          <t>6</t>
        </is>
      </c>
      <c r="S422" s="5" t="inlineStr">
        <is>
          <t>20</t>
        </is>
      </c>
      <c r="T422" s="5" t="inlineStr">
        <is>
          <t>9</t>
        </is>
      </c>
      <c r="U422" s="5">
        <f>IFS(C422&lt;30,"Under 30",C422&lt;40,"30-39",C422&lt;50,"40-49",TRUE,"50+")</f>
        <v/>
      </c>
      <c r="V422" s="5">
        <f>IFS(O422&lt;60000,"Low (&lt;60k)",O422&lt;100000,"Mid (60-100k)",TRUE,"High (100k+)")</f>
        <v/>
      </c>
      <c r="W422" s="5">
        <f>IF(M422="No","Attrited","Active")</f>
        <v/>
      </c>
    </row>
    <row r="423">
      <c r="A423" s="5" t="inlineStr">
        <is>
          <t>E00422</t>
        </is>
      </c>
      <c r="B423" s="5" t="inlineStr">
        <is>
          <t>Female</t>
        </is>
      </c>
      <c r="C423" s="6" t="inlineStr">
        <is>
          <t>34</t>
        </is>
      </c>
      <c r="D423" s="5" t="inlineStr">
        <is>
          <t>Married</t>
        </is>
      </c>
      <c r="E423" s="5" t="inlineStr">
        <is>
          <t>Diploma</t>
        </is>
      </c>
      <c r="F423" s="5" t="inlineStr">
        <is>
          <t>Human Resources</t>
        </is>
      </c>
      <c r="G423" s="5" t="inlineStr">
        <is>
          <t>HR Generalist</t>
        </is>
      </c>
      <c r="H423" s="5" t="inlineStr">
        <is>
          <t>4</t>
        </is>
      </c>
      <c r="I423" s="5" t="inlineStr">
        <is>
          <t>Remote</t>
        </is>
      </c>
      <c r="J423" s="5" t="inlineStr">
        <is>
          <t>Full-Time</t>
        </is>
      </c>
      <c r="K423" s="7" t="n">
        <v>44107</v>
      </c>
      <c r="L423" s="7" t="inlineStr"/>
      <c r="M423" s="5" t="inlineStr">
        <is>
          <t>Yes</t>
        </is>
      </c>
      <c r="N423" s="5" t="inlineStr"/>
      <c r="O423" s="8" t="inlineStr">
        <is>
          <t>136500</t>
        </is>
      </c>
      <c r="P423" s="5" t="inlineStr">
        <is>
          <t>0</t>
        </is>
      </c>
      <c r="Q423" s="5" t="inlineStr">
        <is>
          <t>4</t>
        </is>
      </c>
      <c r="R423" s="5" t="inlineStr">
        <is>
          <t>5</t>
        </is>
      </c>
      <c r="S423" s="5" t="inlineStr">
        <is>
          <t>63</t>
        </is>
      </c>
      <c r="T423" s="5" t="inlineStr">
        <is>
          <t>0</t>
        </is>
      </c>
      <c r="U423" s="5">
        <f>IFS(C423&lt;30,"Under 30",C423&lt;40,"30-39",C423&lt;50,"40-49",TRUE,"50+")</f>
        <v/>
      </c>
      <c r="V423" s="5">
        <f>IFS(O423&lt;60000,"Low (&lt;60k)",O423&lt;100000,"Mid (60-100k)",TRUE,"High (100k+)")</f>
        <v/>
      </c>
      <c r="W423" s="5">
        <f>IF(M423="No","Attrited","Active")</f>
        <v/>
      </c>
    </row>
    <row r="424">
      <c r="A424" s="5" t="inlineStr">
        <is>
          <t>E00423</t>
        </is>
      </c>
      <c r="B424" s="5" t="inlineStr">
        <is>
          <t>Female</t>
        </is>
      </c>
      <c r="C424" s="6" t="inlineStr">
        <is>
          <t>38</t>
        </is>
      </c>
      <c r="D424" s="5" t="inlineStr">
        <is>
          <t>Married</t>
        </is>
      </c>
      <c r="E424" s="5" t="inlineStr">
        <is>
          <t>Diploma</t>
        </is>
      </c>
      <c r="F424" s="5" t="inlineStr">
        <is>
          <t>Finance</t>
        </is>
      </c>
      <c r="G424" s="5" t="inlineStr">
        <is>
          <t>Accountant</t>
        </is>
      </c>
      <c r="H424" s="5" t="inlineStr">
        <is>
          <t>4</t>
        </is>
      </c>
      <c r="I424" s="5" t="inlineStr">
        <is>
          <t>Mumbai</t>
        </is>
      </c>
      <c r="J424" s="5" t="inlineStr">
        <is>
          <t>Full-Time</t>
        </is>
      </c>
      <c r="K424" s="7" t="n">
        <v>45279</v>
      </c>
      <c r="L424" s="7" t="inlineStr"/>
      <c r="M424" s="5" t="inlineStr">
        <is>
          <t>Yes</t>
        </is>
      </c>
      <c r="N424" s="5" t="inlineStr"/>
      <c r="O424" s="8" t="inlineStr">
        <is>
          <t>115000</t>
        </is>
      </c>
      <c r="P424" s="5" t="inlineStr">
        <is>
          <t>15</t>
        </is>
      </c>
      <c r="Q424" s="5" t="inlineStr">
        <is>
          <t>4</t>
        </is>
      </c>
      <c r="R424" s="5" t="inlineStr">
        <is>
          <t>6</t>
        </is>
      </c>
      <c r="S424" s="5" t="inlineStr">
        <is>
          <t>24</t>
        </is>
      </c>
      <c r="T424" s="5" t="inlineStr">
        <is>
          <t>20</t>
        </is>
      </c>
      <c r="U424" s="5">
        <f>IFS(C424&lt;30,"Under 30",C424&lt;40,"30-39",C424&lt;50,"40-49",TRUE,"50+")</f>
        <v/>
      </c>
      <c r="V424" s="5">
        <f>IFS(O424&lt;60000,"Low (&lt;60k)",O424&lt;100000,"Mid (60-100k)",TRUE,"High (100k+)")</f>
        <v/>
      </c>
      <c r="W424" s="5">
        <f>IF(M424="No","Attrited","Active")</f>
        <v/>
      </c>
    </row>
    <row r="425">
      <c r="A425" s="5" t="inlineStr">
        <is>
          <t>E00424</t>
        </is>
      </c>
      <c r="B425" s="5" t="inlineStr">
        <is>
          <t>Male</t>
        </is>
      </c>
      <c r="C425" s="6" t="inlineStr">
        <is>
          <t>34</t>
        </is>
      </c>
      <c r="D425" s="5" t="inlineStr">
        <is>
          <t>Married</t>
        </is>
      </c>
      <c r="E425" s="5" t="inlineStr">
        <is>
          <t>Diploma</t>
        </is>
      </c>
      <c r="F425" s="5" t="inlineStr">
        <is>
          <t>Sales</t>
        </is>
      </c>
      <c r="G425" s="5" t="inlineStr">
        <is>
          <t>Account Executive</t>
        </is>
      </c>
      <c r="H425" s="5" t="inlineStr">
        <is>
          <t>5</t>
        </is>
      </c>
      <c r="I425" s="5" t="inlineStr">
        <is>
          <t>Chennai</t>
        </is>
      </c>
      <c r="J425" s="5" t="inlineStr">
        <is>
          <t>Full-Time</t>
        </is>
      </c>
      <c r="K425" s="7" t="n">
        <v>44355</v>
      </c>
      <c r="L425" s="7" t="inlineStr"/>
      <c r="M425" s="5" t="inlineStr">
        <is>
          <t>Yes</t>
        </is>
      </c>
      <c r="N425" s="5" t="inlineStr"/>
      <c r="O425" s="8" t="inlineStr">
        <is>
          <t>122500</t>
        </is>
      </c>
      <c r="P425" s="5" t="inlineStr">
        <is>
          <t>0</t>
        </is>
      </c>
      <c r="Q425" s="5" t="inlineStr">
        <is>
          <t>3</t>
        </is>
      </c>
      <c r="R425" s="5" t="inlineStr">
        <is>
          <t>3</t>
        </is>
      </c>
      <c r="S425" s="5" t="inlineStr">
        <is>
          <t>55</t>
        </is>
      </c>
      <c r="T425" s="5" t="inlineStr">
        <is>
          <t>2</t>
        </is>
      </c>
      <c r="U425" s="5">
        <f>IFS(C425&lt;30,"Under 30",C425&lt;40,"30-39",C425&lt;50,"40-49",TRUE,"50+")</f>
        <v/>
      </c>
      <c r="V425" s="5">
        <f>IFS(O425&lt;60000,"Low (&lt;60k)",O425&lt;100000,"Mid (60-100k)",TRUE,"High (100k+)")</f>
        <v/>
      </c>
      <c r="W425" s="5">
        <f>IF(M425="No","Attrited","Active")</f>
        <v/>
      </c>
    </row>
    <row r="426">
      <c r="A426" s="5" t="inlineStr">
        <is>
          <t>E00425</t>
        </is>
      </c>
      <c r="B426" s="5" t="inlineStr">
        <is>
          <t>Female</t>
        </is>
      </c>
      <c r="C426" s="6" t="inlineStr">
        <is>
          <t>33</t>
        </is>
      </c>
      <c r="D426" s="5" t="inlineStr">
        <is>
          <t>Married</t>
        </is>
      </c>
      <c r="E426" s="5" t="inlineStr">
        <is>
          <t>High School</t>
        </is>
      </c>
      <c r="F426" s="5" t="inlineStr">
        <is>
          <t>Operations</t>
        </is>
      </c>
      <c r="G426" s="5" t="inlineStr">
        <is>
          <t>Operations Analyst</t>
        </is>
      </c>
      <c r="H426" s="5" t="inlineStr">
        <is>
          <t>3</t>
        </is>
      </c>
      <c r="I426" s="5" t="inlineStr">
        <is>
          <t>Bengaluru</t>
        </is>
      </c>
      <c r="J426" s="5" t="inlineStr">
        <is>
          <t>Full-Time</t>
        </is>
      </c>
      <c r="K426" s="7" t="n">
        <v>45147</v>
      </c>
      <c r="L426" s="7" t="inlineStr"/>
      <c r="M426" s="5" t="inlineStr">
        <is>
          <t>Yes</t>
        </is>
      </c>
      <c r="N426" s="5" t="inlineStr"/>
      <c r="O426" s="8" t="inlineStr">
        <is>
          <t>102000</t>
        </is>
      </c>
      <c r="P426" s="5" t="inlineStr">
        <is>
          <t>10</t>
        </is>
      </c>
      <c r="Q426" s="5" t="inlineStr">
        <is>
          <t>5</t>
        </is>
      </c>
      <c r="R426" s="5" t="inlineStr">
        <is>
          <t>7</t>
        </is>
      </c>
      <c r="S426" s="5" t="inlineStr">
        <is>
          <t>29</t>
        </is>
      </c>
      <c r="T426" s="5" t="inlineStr">
        <is>
          <t>6</t>
        </is>
      </c>
      <c r="U426" s="5">
        <f>IFS(C426&lt;30,"Under 30",C426&lt;40,"30-39",C426&lt;50,"40-49",TRUE,"50+")</f>
        <v/>
      </c>
      <c r="V426" s="5">
        <f>IFS(O426&lt;60000,"Low (&lt;60k)",O426&lt;100000,"Mid (60-100k)",TRUE,"High (100k+)")</f>
        <v/>
      </c>
      <c r="W426" s="5">
        <f>IF(M426="No","Attrited","Active")</f>
        <v/>
      </c>
    </row>
    <row r="427">
      <c r="A427" s="5" t="inlineStr">
        <is>
          <t>E00426</t>
        </is>
      </c>
      <c r="B427" s="5" t="inlineStr">
        <is>
          <t>Female</t>
        </is>
      </c>
      <c r="C427" s="6" t="inlineStr">
        <is>
          <t>27</t>
        </is>
      </c>
      <c r="D427" s="5" t="inlineStr">
        <is>
          <t>Married</t>
        </is>
      </c>
      <c r="E427" s="5" t="inlineStr">
        <is>
          <t>Master</t>
        </is>
      </c>
      <c r="F427" s="5" t="inlineStr">
        <is>
          <t>Finance</t>
        </is>
      </c>
      <c r="G427" s="5" t="inlineStr">
        <is>
          <t>Financial Analyst</t>
        </is>
      </c>
      <c r="H427" s="5" t="inlineStr">
        <is>
          <t>3</t>
        </is>
      </c>
      <c r="I427" s="5" t="inlineStr">
        <is>
          <t>Hyderabad</t>
        </is>
      </c>
      <c r="J427" s="5" t="inlineStr">
        <is>
          <t>Full-Time</t>
        </is>
      </c>
      <c r="K427" s="7" t="n">
        <v>43981</v>
      </c>
      <c r="L427" s="7" t="inlineStr"/>
      <c r="M427" s="5" t="inlineStr">
        <is>
          <t>Yes</t>
        </is>
      </c>
      <c r="N427" s="5" t="inlineStr"/>
      <c r="O427" s="8" t="inlineStr">
        <is>
          <t>138000</t>
        </is>
      </c>
      <c r="P427" s="5" t="inlineStr">
        <is>
          <t>20</t>
        </is>
      </c>
      <c r="Q427" s="5" t="inlineStr">
        <is>
          <t>3</t>
        </is>
      </c>
      <c r="R427" s="5" t="inlineStr">
        <is>
          <t>5</t>
        </is>
      </c>
      <c r="S427" s="5" t="inlineStr">
        <is>
          <t>68</t>
        </is>
      </c>
      <c r="T427" s="5" t="inlineStr">
        <is>
          <t>11</t>
        </is>
      </c>
      <c r="U427" s="5">
        <f>IFS(C427&lt;30,"Under 30",C427&lt;40,"30-39",C427&lt;50,"40-49",TRUE,"50+")</f>
        <v/>
      </c>
      <c r="V427" s="5">
        <f>IFS(O427&lt;60000,"Low (&lt;60k)",O427&lt;100000,"Mid (60-100k)",TRUE,"High (100k+)")</f>
        <v/>
      </c>
      <c r="W427" s="5">
        <f>IF(M427="No","Attrited","Active")</f>
        <v/>
      </c>
    </row>
    <row r="428">
      <c r="A428" s="5" t="inlineStr">
        <is>
          <t>E00427</t>
        </is>
      </c>
      <c r="B428" s="5" t="inlineStr">
        <is>
          <t>Female</t>
        </is>
      </c>
      <c r="C428" s="6" t="inlineStr">
        <is>
          <t>36</t>
        </is>
      </c>
      <c r="D428" s="5" t="inlineStr">
        <is>
          <t>Single</t>
        </is>
      </c>
      <c r="E428" s="5" t="inlineStr">
        <is>
          <t>Diploma</t>
        </is>
      </c>
      <c r="F428" s="5" t="inlineStr">
        <is>
          <t>Sales</t>
        </is>
      </c>
      <c r="G428" s="5" t="inlineStr">
        <is>
          <t>Account Executive</t>
        </is>
      </c>
      <c r="H428" s="5" t="inlineStr">
        <is>
          <t>2</t>
        </is>
      </c>
      <c r="I428" s="5" t="inlineStr">
        <is>
          <t>Bengaluru</t>
        </is>
      </c>
      <c r="J428" s="5" t="inlineStr">
        <is>
          <t>Full-Time</t>
        </is>
      </c>
      <c r="K428" s="7" t="n">
        <v>45244</v>
      </c>
      <c r="L428" s="7" t="n">
        <v>45363</v>
      </c>
      <c r="M428" s="5" t="inlineStr">
        <is>
          <t>No</t>
        </is>
      </c>
      <c r="N428" s="5" t="inlineStr">
        <is>
          <t>Retirement</t>
        </is>
      </c>
      <c r="O428" s="8" t="inlineStr">
        <is>
          <t>101000</t>
        </is>
      </c>
      <c r="P428" s="5" t="inlineStr">
        <is>
          <t>0</t>
        </is>
      </c>
      <c r="Q428" s="5" t="inlineStr">
        <is>
          <t>2</t>
        </is>
      </c>
      <c r="R428" s="5" t="inlineStr">
        <is>
          <t>6</t>
        </is>
      </c>
      <c r="S428" s="5" t="inlineStr">
        <is>
          <t>3</t>
        </is>
      </c>
      <c r="T428" s="5" t="inlineStr">
        <is>
          <t>4</t>
        </is>
      </c>
      <c r="U428" s="5">
        <f>IFS(C428&lt;30,"Under 30",C428&lt;40,"30-39",C428&lt;50,"40-49",TRUE,"50+")</f>
        <v/>
      </c>
      <c r="V428" s="5">
        <f>IFS(O428&lt;60000,"Low (&lt;60k)",O428&lt;100000,"Mid (60-100k)",TRUE,"High (100k+)")</f>
        <v/>
      </c>
      <c r="W428" s="5">
        <f>IF(M428="No","Attrited","Active")</f>
        <v/>
      </c>
    </row>
    <row r="429">
      <c r="A429" s="5" t="inlineStr">
        <is>
          <t>E00428</t>
        </is>
      </c>
      <c r="B429" s="5" t="inlineStr">
        <is>
          <t>Female</t>
        </is>
      </c>
      <c r="C429" s="6" t="inlineStr">
        <is>
          <t>27</t>
        </is>
      </c>
      <c r="D429" s="5" t="inlineStr">
        <is>
          <t>Married</t>
        </is>
      </c>
      <c r="E429" s="5" t="inlineStr">
        <is>
          <t>PhD</t>
        </is>
      </c>
      <c r="F429" s="5" t="inlineStr">
        <is>
          <t>IT</t>
        </is>
      </c>
      <c r="G429" s="5" t="inlineStr">
        <is>
          <t>Software Engineer</t>
        </is>
      </c>
      <c r="H429" s="5" t="inlineStr">
        <is>
          <t>2</t>
        </is>
      </c>
      <c r="I429" s="5" t="inlineStr">
        <is>
          <t>Hyderabad</t>
        </is>
      </c>
      <c r="J429" s="5" t="inlineStr">
        <is>
          <t>Full-Time</t>
        </is>
      </c>
      <c r="K429" s="7" t="n">
        <v>44859</v>
      </c>
      <c r="L429" s="7" t="n">
        <v>44992</v>
      </c>
      <c r="M429" s="5" t="inlineStr">
        <is>
          <t>No</t>
        </is>
      </c>
      <c r="N429" s="5" t="inlineStr">
        <is>
          <t>Layoff</t>
        </is>
      </c>
      <c r="O429" s="8" t="inlineStr">
        <is>
          <t>99500</t>
        </is>
      </c>
      <c r="P429" s="5" t="inlineStr">
        <is>
          <t>0</t>
        </is>
      </c>
      <c r="Q429" s="5" t="inlineStr">
        <is>
          <t>5</t>
        </is>
      </c>
      <c r="R429" s="5" t="inlineStr">
        <is>
          <t>6</t>
        </is>
      </c>
      <c r="S429" s="5" t="inlineStr">
        <is>
          <t>4</t>
        </is>
      </c>
      <c r="T429" s="5" t="inlineStr">
        <is>
          <t>0</t>
        </is>
      </c>
      <c r="U429" s="5">
        <f>IFS(C429&lt;30,"Under 30",C429&lt;40,"30-39",C429&lt;50,"40-49",TRUE,"50+")</f>
        <v/>
      </c>
      <c r="V429" s="5">
        <f>IFS(O429&lt;60000,"Low (&lt;60k)",O429&lt;100000,"Mid (60-100k)",TRUE,"High (100k+)")</f>
        <v/>
      </c>
      <c r="W429" s="5">
        <f>IF(M429="No","Attrited","Active")</f>
        <v/>
      </c>
    </row>
    <row r="430">
      <c r="A430" s="5" t="inlineStr">
        <is>
          <t>E00429</t>
        </is>
      </c>
      <c r="B430" s="5" t="inlineStr">
        <is>
          <t>Female</t>
        </is>
      </c>
      <c r="C430" s="6" t="inlineStr">
        <is>
          <t>29</t>
        </is>
      </c>
      <c r="D430" s="5" t="inlineStr">
        <is>
          <t>Married</t>
        </is>
      </c>
      <c r="E430" s="5" t="inlineStr">
        <is>
          <t>Bachelor</t>
        </is>
      </c>
      <c r="F430" s="5" t="inlineStr">
        <is>
          <t>Finance</t>
        </is>
      </c>
      <c r="G430" s="5" t="inlineStr">
        <is>
          <t>Financial Analyst</t>
        </is>
      </c>
      <c r="H430" s="5" t="inlineStr">
        <is>
          <t>2</t>
        </is>
      </c>
      <c r="I430" s="5" t="inlineStr">
        <is>
          <t>Chennai</t>
        </is>
      </c>
      <c r="J430" s="5" t="inlineStr">
        <is>
          <t>Full-Time</t>
        </is>
      </c>
      <c r="K430" s="7" t="n">
        <v>45590</v>
      </c>
      <c r="L430" s="7" t="inlineStr"/>
      <c r="M430" s="5" t="inlineStr">
        <is>
          <t>Yes</t>
        </is>
      </c>
      <c r="N430" s="5" t="inlineStr"/>
      <c r="O430" s="8" t="inlineStr">
        <is>
          <t>118000</t>
        </is>
      </c>
      <c r="P430" s="5" t="inlineStr">
        <is>
          <t>5</t>
        </is>
      </c>
      <c r="Q430" s="5" t="inlineStr">
        <is>
          <t>3</t>
        </is>
      </c>
      <c r="R430" s="5" t="inlineStr">
        <is>
          <t>8</t>
        </is>
      </c>
      <c r="S430" s="5" t="inlineStr">
        <is>
          <t>14</t>
        </is>
      </c>
      <c r="T430" s="5" t="inlineStr">
        <is>
          <t>1</t>
        </is>
      </c>
      <c r="U430" s="5">
        <f>IFS(C430&lt;30,"Under 30",C430&lt;40,"30-39",C430&lt;50,"40-49",TRUE,"50+")</f>
        <v/>
      </c>
      <c r="V430" s="5">
        <f>IFS(O430&lt;60000,"Low (&lt;60k)",O430&lt;100000,"Mid (60-100k)",TRUE,"High (100k+)")</f>
        <v/>
      </c>
      <c r="W430" s="5">
        <f>IF(M430="No","Attrited","Active")</f>
        <v/>
      </c>
    </row>
    <row r="431">
      <c r="A431" s="5" t="inlineStr">
        <is>
          <t>E00430</t>
        </is>
      </c>
      <c r="B431" s="5" t="inlineStr">
        <is>
          <t>Male</t>
        </is>
      </c>
      <c r="C431" s="6" t="inlineStr">
        <is>
          <t>34</t>
        </is>
      </c>
      <c r="D431" s="5" t="inlineStr">
        <is>
          <t>Married</t>
        </is>
      </c>
      <c r="E431" s="5" t="inlineStr">
        <is>
          <t>Master</t>
        </is>
      </c>
      <c r="F431" s="5" t="inlineStr">
        <is>
          <t>Customer Support</t>
        </is>
      </c>
      <c r="G431" s="5" t="inlineStr">
        <is>
          <t>Support Lead</t>
        </is>
      </c>
      <c r="H431" s="5" t="inlineStr">
        <is>
          <t>4</t>
        </is>
      </c>
      <c r="I431" s="5" t="inlineStr">
        <is>
          <t>Bengaluru</t>
        </is>
      </c>
      <c r="J431" s="5" t="inlineStr">
        <is>
          <t>Full-Time</t>
        </is>
      </c>
      <c r="K431" s="7" t="n">
        <v>44883</v>
      </c>
      <c r="L431" s="7" t="n">
        <v>44948</v>
      </c>
      <c r="M431" s="5" t="inlineStr">
        <is>
          <t>No</t>
        </is>
      </c>
      <c r="N431" s="5" t="inlineStr">
        <is>
          <t>Resigned</t>
        </is>
      </c>
      <c r="O431" s="8" t="inlineStr">
        <is>
          <t>80000</t>
        </is>
      </c>
      <c r="P431" s="5" t="inlineStr">
        <is>
          <t>5</t>
        </is>
      </c>
      <c r="Q431" s="5" t="inlineStr">
        <is>
          <t>5</t>
        </is>
      </c>
      <c r="R431" s="5" t="inlineStr">
        <is>
          <t>3</t>
        </is>
      </c>
      <c r="S431" s="5" t="inlineStr">
        <is>
          <t>2</t>
        </is>
      </c>
      <c r="T431" s="5" t="inlineStr">
        <is>
          <t>17</t>
        </is>
      </c>
      <c r="U431" s="5">
        <f>IFS(C431&lt;30,"Under 30",C431&lt;40,"30-39",C431&lt;50,"40-49",TRUE,"50+")</f>
        <v/>
      </c>
      <c r="V431" s="5">
        <f>IFS(O431&lt;60000,"Low (&lt;60k)",O431&lt;100000,"Mid (60-100k)",TRUE,"High (100k+)")</f>
        <v/>
      </c>
      <c r="W431" s="5">
        <f>IF(M431="No","Attrited","Active")</f>
        <v/>
      </c>
    </row>
    <row r="432">
      <c r="A432" s="5" t="inlineStr">
        <is>
          <t>E00431</t>
        </is>
      </c>
      <c r="B432" s="5" t="inlineStr">
        <is>
          <t>Female</t>
        </is>
      </c>
      <c r="C432" s="6" t="inlineStr">
        <is>
          <t>24</t>
        </is>
      </c>
      <c r="D432" s="5" t="inlineStr">
        <is>
          <t>Single</t>
        </is>
      </c>
      <c r="E432" s="5" t="inlineStr">
        <is>
          <t>High School</t>
        </is>
      </c>
      <c r="F432" s="5" t="inlineStr">
        <is>
          <t>Sales</t>
        </is>
      </c>
      <c r="G432" s="5" t="inlineStr">
        <is>
          <t>Business Development</t>
        </is>
      </c>
      <c r="H432" s="5" t="inlineStr">
        <is>
          <t>1</t>
        </is>
      </c>
      <c r="I432" s="5" t="inlineStr">
        <is>
          <t>Bengaluru</t>
        </is>
      </c>
      <c r="J432" s="5" t="inlineStr">
        <is>
          <t>Full-Time</t>
        </is>
      </c>
      <c r="K432" s="7" t="n">
        <v>44433</v>
      </c>
      <c r="L432" s="7" t="inlineStr"/>
      <c r="M432" s="5" t="inlineStr">
        <is>
          <t>Yes</t>
        </is>
      </c>
      <c r="N432" s="5" t="inlineStr"/>
      <c r="O432" s="8" t="inlineStr">
        <is>
          <t>60500</t>
        </is>
      </c>
      <c r="P432" s="5" t="inlineStr">
        <is>
          <t>0</t>
        </is>
      </c>
      <c r="Q432" s="5" t="inlineStr">
        <is>
          <t>5</t>
        </is>
      </c>
      <c r="R432" s="5" t="inlineStr">
        <is>
          <t>4</t>
        </is>
      </c>
      <c r="S432" s="5" t="inlineStr">
        <is>
          <t>52</t>
        </is>
      </c>
      <c r="T432" s="5" t="inlineStr">
        <is>
          <t>0</t>
        </is>
      </c>
      <c r="U432" s="5">
        <f>IFS(C432&lt;30,"Under 30",C432&lt;40,"30-39",C432&lt;50,"40-49",TRUE,"50+")</f>
        <v/>
      </c>
      <c r="V432" s="5">
        <f>IFS(O432&lt;60000,"Low (&lt;60k)",O432&lt;100000,"Mid (60-100k)",TRUE,"High (100k+)")</f>
        <v/>
      </c>
      <c r="W432" s="5">
        <f>IF(M432="No","Attrited","Active")</f>
        <v/>
      </c>
    </row>
    <row r="433">
      <c r="A433" s="5" t="inlineStr">
        <is>
          <t>E00432</t>
        </is>
      </c>
      <c r="B433" s="5" t="inlineStr">
        <is>
          <t>Male</t>
        </is>
      </c>
      <c r="C433" s="6" t="inlineStr">
        <is>
          <t>46</t>
        </is>
      </c>
      <c r="D433" s="5" t="inlineStr">
        <is>
          <t>Married</t>
        </is>
      </c>
      <c r="E433" s="5" t="inlineStr">
        <is>
          <t>Master</t>
        </is>
      </c>
      <c r="F433" s="5" t="inlineStr">
        <is>
          <t>Marketing</t>
        </is>
      </c>
      <c r="G433" s="5" t="inlineStr">
        <is>
          <t>Marketing Analyst</t>
        </is>
      </c>
      <c r="H433" s="5" t="inlineStr">
        <is>
          <t>7</t>
        </is>
      </c>
      <c r="I433" s="5" t="inlineStr">
        <is>
          <t>Bengaluru</t>
        </is>
      </c>
      <c r="J433" s="5" t="inlineStr">
        <is>
          <t>Full-Time</t>
        </is>
      </c>
      <c r="K433" s="7" t="n">
        <v>45567</v>
      </c>
      <c r="L433" s="7" t="inlineStr"/>
      <c r="M433" s="5" t="inlineStr">
        <is>
          <t>Yes</t>
        </is>
      </c>
      <c r="N433" s="5" t="inlineStr"/>
      <c r="O433" s="8" t="inlineStr">
        <is>
          <t>122000</t>
        </is>
      </c>
      <c r="P433" s="5" t="inlineStr">
        <is>
          <t>10</t>
        </is>
      </c>
      <c r="Q433" s="5" t="inlineStr">
        <is>
          <t>4</t>
        </is>
      </c>
      <c r="R433" s="5" t="inlineStr">
        <is>
          <t>7</t>
        </is>
      </c>
      <c r="S433" s="5" t="inlineStr">
        <is>
          <t>15</t>
        </is>
      </c>
      <c r="T433" s="5" t="inlineStr">
        <is>
          <t>8</t>
        </is>
      </c>
      <c r="U433" s="5">
        <f>IFS(C433&lt;30,"Under 30",C433&lt;40,"30-39",C433&lt;50,"40-49",TRUE,"50+")</f>
        <v/>
      </c>
      <c r="V433" s="5">
        <f>IFS(O433&lt;60000,"Low (&lt;60k)",O433&lt;100000,"Mid (60-100k)",TRUE,"High (100k+)")</f>
        <v/>
      </c>
      <c r="W433" s="5">
        <f>IF(M433="No","Attrited","Active")</f>
        <v/>
      </c>
    </row>
    <row r="434">
      <c r="A434" s="5" t="inlineStr">
        <is>
          <t>E00433</t>
        </is>
      </c>
      <c r="B434" s="5" t="inlineStr">
        <is>
          <t>Male</t>
        </is>
      </c>
      <c r="C434" s="6" t="inlineStr">
        <is>
          <t>33</t>
        </is>
      </c>
      <c r="D434" s="5" t="inlineStr">
        <is>
          <t>Married</t>
        </is>
      </c>
      <c r="E434" s="5" t="inlineStr">
        <is>
          <t>Diploma</t>
        </is>
      </c>
      <c r="F434" s="5" t="inlineStr">
        <is>
          <t>IT</t>
        </is>
      </c>
      <c r="G434" s="5" t="inlineStr">
        <is>
          <t>IT Support</t>
        </is>
      </c>
      <c r="H434" s="5" t="inlineStr">
        <is>
          <t>5</t>
        </is>
      </c>
      <c r="I434" s="5" t="inlineStr">
        <is>
          <t>Delhi</t>
        </is>
      </c>
      <c r="J434" s="5" t="inlineStr">
        <is>
          <t>Full-Time</t>
        </is>
      </c>
      <c r="K434" s="7" t="n">
        <v>45113</v>
      </c>
      <c r="L434" s="7" t="inlineStr"/>
      <c r="M434" s="5" t="inlineStr">
        <is>
          <t>Yes</t>
        </is>
      </c>
      <c r="N434" s="5" t="inlineStr"/>
      <c r="O434" s="8" t="inlineStr">
        <is>
          <t>134000</t>
        </is>
      </c>
      <c r="P434" s="5" t="inlineStr">
        <is>
          <t>10</t>
        </is>
      </c>
      <c r="Q434" s="5" t="inlineStr">
        <is>
          <t>5</t>
        </is>
      </c>
      <c r="R434" s="5" t="inlineStr">
        <is>
          <t>5</t>
        </is>
      </c>
      <c r="S434" s="5" t="inlineStr">
        <is>
          <t>30</t>
        </is>
      </c>
      <c r="T434" s="5" t="inlineStr">
        <is>
          <t>11</t>
        </is>
      </c>
      <c r="U434" s="5">
        <f>IFS(C434&lt;30,"Under 30",C434&lt;40,"30-39",C434&lt;50,"40-49",TRUE,"50+")</f>
        <v/>
      </c>
      <c r="V434" s="5">
        <f>IFS(O434&lt;60000,"Low (&lt;60k)",O434&lt;100000,"Mid (60-100k)",TRUE,"High (100k+)")</f>
        <v/>
      </c>
      <c r="W434" s="5">
        <f>IF(M434="No","Attrited","Active")</f>
        <v/>
      </c>
    </row>
    <row r="435">
      <c r="A435" s="5" t="inlineStr">
        <is>
          <t>E00434</t>
        </is>
      </c>
      <c r="B435" s="5" t="inlineStr">
        <is>
          <t>Female</t>
        </is>
      </c>
      <c r="C435" s="6" t="inlineStr">
        <is>
          <t>35</t>
        </is>
      </c>
      <c r="D435" s="5" t="inlineStr">
        <is>
          <t>Married</t>
        </is>
      </c>
      <c r="E435" s="5" t="inlineStr">
        <is>
          <t>PhD</t>
        </is>
      </c>
      <c r="F435" s="5" t="inlineStr">
        <is>
          <t>Customer Support</t>
        </is>
      </c>
      <c r="G435" s="5" t="inlineStr">
        <is>
          <t>Support Lead</t>
        </is>
      </c>
      <c r="H435" s="5" t="inlineStr">
        <is>
          <t>4</t>
        </is>
      </c>
      <c r="I435" s="5" t="inlineStr">
        <is>
          <t>Bengaluru</t>
        </is>
      </c>
      <c r="J435" s="5" t="inlineStr">
        <is>
          <t>Full-Time</t>
        </is>
      </c>
      <c r="K435" s="7" t="n">
        <v>45430</v>
      </c>
      <c r="L435" s="7" t="inlineStr"/>
      <c r="M435" s="5" t="inlineStr">
        <is>
          <t>Yes</t>
        </is>
      </c>
      <c r="N435" s="5" t="inlineStr"/>
      <c r="O435" s="8" t="inlineStr">
        <is>
          <t>76500</t>
        </is>
      </c>
      <c r="P435" s="5" t="inlineStr">
        <is>
          <t>15</t>
        </is>
      </c>
      <c r="Q435" s="5" t="inlineStr">
        <is>
          <t>3</t>
        </is>
      </c>
      <c r="R435" s="5" t="inlineStr">
        <is>
          <t>7</t>
        </is>
      </c>
      <c r="S435" s="5" t="inlineStr">
        <is>
          <t>19</t>
        </is>
      </c>
      <c r="T435" s="5" t="inlineStr">
        <is>
          <t>8</t>
        </is>
      </c>
      <c r="U435" s="5">
        <f>IFS(C435&lt;30,"Under 30",C435&lt;40,"30-39",C435&lt;50,"40-49",TRUE,"50+")</f>
        <v/>
      </c>
      <c r="V435" s="5">
        <f>IFS(O435&lt;60000,"Low (&lt;60k)",O435&lt;100000,"Mid (60-100k)",TRUE,"High (100k+)")</f>
        <v/>
      </c>
      <c r="W435" s="5">
        <f>IF(M435="No","Attrited","Active")</f>
        <v/>
      </c>
    </row>
    <row r="436">
      <c r="A436" s="5" t="inlineStr">
        <is>
          <t>E00435</t>
        </is>
      </c>
      <c r="B436" s="5" t="inlineStr">
        <is>
          <t>Female</t>
        </is>
      </c>
      <c r="C436" s="6" t="inlineStr">
        <is>
          <t>31</t>
        </is>
      </c>
      <c r="D436" s="5" t="inlineStr">
        <is>
          <t>Married</t>
        </is>
      </c>
      <c r="E436" s="5" t="inlineStr">
        <is>
          <t>PhD</t>
        </is>
      </c>
      <c r="F436" s="5" t="inlineStr">
        <is>
          <t>Operations</t>
        </is>
      </c>
      <c r="G436" s="5" t="inlineStr">
        <is>
          <t>Operations Analyst</t>
        </is>
      </c>
      <c r="H436" s="5" t="inlineStr">
        <is>
          <t>4</t>
        </is>
      </c>
      <c r="I436" s="5" t="inlineStr">
        <is>
          <t>Hyderabad</t>
        </is>
      </c>
      <c r="J436" s="5" t="inlineStr">
        <is>
          <t>Full-Time</t>
        </is>
      </c>
      <c r="K436" s="7" t="n">
        <v>45227</v>
      </c>
      <c r="L436" s="7" t="inlineStr"/>
      <c r="M436" s="5" t="inlineStr">
        <is>
          <t>Yes</t>
        </is>
      </c>
      <c r="N436" s="5" t="inlineStr"/>
      <c r="O436" s="8" t="inlineStr">
        <is>
          <t>94500</t>
        </is>
      </c>
      <c r="P436" s="5" t="inlineStr">
        <is>
          <t>0</t>
        </is>
      </c>
      <c r="Q436" s="5" t="inlineStr">
        <is>
          <t>2</t>
        </is>
      </c>
      <c r="R436" s="5" t="inlineStr">
        <is>
          <t>6</t>
        </is>
      </c>
      <c r="S436" s="5" t="inlineStr">
        <is>
          <t>26</t>
        </is>
      </c>
      <c r="T436" s="5" t="inlineStr">
        <is>
          <t>10</t>
        </is>
      </c>
      <c r="U436" s="5">
        <f>IFS(C436&lt;30,"Under 30",C436&lt;40,"30-39",C436&lt;50,"40-49",TRUE,"50+")</f>
        <v/>
      </c>
      <c r="V436" s="5">
        <f>IFS(O436&lt;60000,"Low (&lt;60k)",O436&lt;100000,"Mid (60-100k)",TRUE,"High (100k+)")</f>
        <v/>
      </c>
      <c r="W436" s="5">
        <f>IF(M436="No","Attrited","Active")</f>
        <v/>
      </c>
    </row>
    <row r="437">
      <c r="A437" s="5" t="inlineStr">
        <is>
          <t>E00436</t>
        </is>
      </c>
      <c r="B437" s="5" t="inlineStr">
        <is>
          <t>Male</t>
        </is>
      </c>
      <c r="C437" s="6" t="inlineStr">
        <is>
          <t>29</t>
        </is>
      </c>
      <c r="D437" s="5" t="inlineStr">
        <is>
          <t>Married</t>
        </is>
      </c>
      <c r="E437" s="5" t="inlineStr">
        <is>
          <t>PhD</t>
        </is>
      </c>
      <c r="F437" s="5" t="inlineStr">
        <is>
          <t>Operations</t>
        </is>
      </c>
      <c r="G437" s="5" t="inlineStr">
        <is>
          <t>Logistics Coordinator</t>
        </is>
      </c>
      <c r="H437" s="5" t="inlineStr">
        <is>
          <t>4</t>
        </is>
      </c>
      <c r="I437" s="5" t="inlineStr">
        <is>
          <t>Chennai</t>
        </is>
      </c>
      <c r="J437" s="5" t="inlineStr">
        <is>
          <t>Full-Time</t>
        </is>
      </c>
      <c r="K437" s="7" t="n">
        <v>44399</v>
      </c>
      <c r="L437" s="7" t="inlineStr"/>
      <c r="M437" s="5" t="inlineStr">
        <is>
          <t>Yes</t>
        </is>
      </c>
      <c r="N437" s="5" t="inlineStr"/>
      <c r="O437" s="8" t="inlineStr">
        <is>
          <t>89000</t>
        </is>
      </c>
      <c r="P437" s="5" t="inlineStr">
        <is>
          <t>10</t>
        </is>
      </c>
      <c r="Q437" s="5" t="inlineStr">
        <is>
          <t>3</t>
        </is>
      </c>
      <c r="R437" s="5" t="inlineStr">
        <is>
          <t>5</t>
        </is>
      </c>
      <c r="S437" s="5" t="inlineStr">
        <is>
          <t>54</t>
        </is>
      </c>
      <c r="T437" s="5" t="inlineStr">
        <is>
          <t>0</t>
        </is>
      </c>
      <c r="U437" s="5">
        <f>IFS(C437&lt;30,"Under 30",C437&lt;40,"30-39",C437&lt;50,"40-49",TRUE,"50+")</f>
        <v/>
      </c>
      <c r="V437" s="5">
        <f>IFS(O437&lt;60000,"Low (&lt;60k)",O437&lt;100000,"Mid (60-100k)",TRUE,"High (100k+)")</f>
        <v/>
      </c>
      <c r="W437" s="5">
        <f>IF(M437="No","Attrited","Active")</f>
        <v/>
      </c>
    </row>
    <row r="438">
      <c r="A438" s="5" t="inlineStr">
        <is>
          <t>E00437</t>
        </is>
      </c>
      <c r="B438" s="5" t="inlineStr">
        <is>
          <t>Male</t>
        </is>
      </c>
      <c r="C438" s="6" t="inlineStr">
        <is>
          <t>31</t>
        </is>
      </c>
      <c r="D438" s="5" t="inlineStr">
        <is>
          <t>Married</t>
        </is>
      </c>
      <c r="E438" s="5" t="inlineStr">
        <is>
          <t>PhD</t>
        </is>
      </c>
      <c r="F438" s="5" t="inlineStr">
        <is>
          <t>IT</t>
        </is>
      </c>
      <c r="G438" s="5" t="inlineStr">
        <is>
          <t>Data Analyst</t>
        </is>
      </c>
      <c r="H438" s="5" t="inlineStr">
        <is>
          <t>4</t>
        </is>
      </c>
      <c r="I438" s="5" t="inlineStr">
        <is>
          <t>Hyderabad</t>
        </is>
      </c>
      <c r="J438" s="5" t="inlineStr">
        <is>
          <t>Full-Time</t>
        </is>
      </c>
      <c r="K438" s="7" t="n">
        <v>45070</v>
      </c>
      <c r="L438" s="7" t="inlineStr"/>
      <c r="M438" s="5" t="inlineStr">
        <is>
          <t>Yes</t>
        </is>
      </c>
      <c r="N438" s="5" t="inlineStr"/>
      <c r="O438" s="8" t="inlineStr">
        <is>
          <t>131500</t>
        </is>
      </c>
      <c r="P438" s="5" t="inlineStr">
        <is>
          <t>0</t>
        </is>
      </c>
      <c r="Q438" s="5" t="inlineStr">
        <is>
          <t>5</t>
        </is>
      </c>
      <c r="R438" s="5" t="inlineStr">
        <is>
          <t>4</t>
        </is>
      </c>
      <c r="S438" s="5" t="inlineStr">
        <is>
          <t>31</t>
        </is>
      </c>
      <c r="T438" s="5" t="inlineStr">
        <is>
          <t>7</t>
        </is>
      </c>
      <c r="U438" s="5">
        <f>IFS(C438&lt;30,"Under 30",C438&lt;40,"30-39",C438&lt;50,"40-49",TRUE,"50+")</f>
        <v/>
      </c>
      <c r="V438" s="5">
        <f>IFS(O438&lt;60000,"Low (&lt;60k)",O438&lt;100000,"Mid (60-100k)",TRUE,"High (100k+)")</f>
        <v/>
      </c>
      <c r="W438" s="5">
        <f>IF(M438="No","Attrited","Active")</f>
        <v/>
      </c>
    </row>
    <row r="439">
      <c r="A439" s="5" t="inlineStr">
        <is>
          <t>E00438</t>
        </is>
      </c>
      <c r="B439" s="5" t="inlineStr">
        <is>
          <t>Male</t>
        </is>
      </c>
      <c r="C439" s="6" t="inlineStr">
        <is>
          <t>40</t>
        </is>
      </c>
      <c r="D439" s="5" t="inlineStr">
        <is>
          <t>Married</t>
        </is>
      </c>
      <c r="E439" s="5" t="inlineStr">
        <is>
          <t>PhD</t>
        </is>
      </c>
      <c r="F439" s="5" t="inlineStr">
        <is>
          <t>Operations</t>
        </is>
      </c>
      <c r="G439" s="5" t="inlineStr">
        <is>
          <t>Quality Analyst</t>
        </is>
      </c>
      <c r="H439" s="5" t="inlineStr">
        <is>
          <t>4</t>
        </is>
      </c>
      <c r="I439" s="5" t="inlineStr">
        <is>
          <t>Hyderabad</t>
        </is>
      </c>
      <c r="J439" s="5" t="inlineStr">
        <is>
          <t>Full-Time</t>
        </is>
      </c>
      <c r="K439" s="7" t="n">
        <v>45817</v>
      </c>
      <c r="L439" s="7" t="inlineStr"/>
      <c r="M439" s="5" t="inlineStr">
        <is>
          <t>Yes</t>
        </is>
      </c>
      <c r="N439" s="5" t="inlineStr"/>
      <c r="O439" s="8" t="inlineStr">
        <is>
          <t>104000</t>
        </is>
      </c>
      <c r="P439" s="5" t="inlineStr">
        <is>
          <t>0</t>
        </is>
      </c>
      <c r="Q439" s="5" t="inlineStr">
        <is>
          <t>4</t>
        </is>
      </c>
      <c r="R439" s="5" t="inlineStr">
        <is>
          <t>6</t>
        </is>
      </c>
      <c r="S439" s="5" t="inlineStr">
        <is>
          <t>6</t>
        </is>
      </c>
      <c r="T439" s="5" t="inlineStr">
        <is>
          <t>0</t>
        </is>
      </c>
      <c r="U439" s="5">
        <f>IFS(C439&lt;30,"Under 30",C439&lt;40,"30-39",C439&lt;50,"40-49",TRUE,"50+")</f>
        <v/>
      </c>
      <c r="V439" s="5">
        <f>IFS(O439&lt;60000,"Low (&lt;60k)",O439&lt;100000,"Mid (60-100k)",TRUE,"High (100k+)")</f>
        <v/>
      </c>
      <c r="W439" s="5">
        <f>IF(M439="No","Attrited","Active")</f>
        <v/>
      </c>
    </row>
    <row r="440">
      <c r="A440" s="5" t="inlineStr">
        <is>
          <t>E00439</t>
        </is>
      </c>
      <c r="B440" s="5" t="inlineStr">
        <is>
          <t>Male</t>
        </is>
      </c>
      <c r="C440" s="6" t="inlineStr">
        <is>
          <t>27</t>
        </is>
      </c>
      <c r="D440" s="5" t="inlineStr">
        <is>
          <t>Single</t>
        </is>
      </c>
      <c r="E440" s="5" t="inlineStr">
        <is>
          <t>High School</t>
        </is>
      </c>
      <c r="F440" s="5" t="inlineStr">
        <is>
          <t>Customer Support</t>
        </is>
      </c>
      <c r="G440" s="5" t="inlineStr">
        <is>
          <t>Escalation Specialist</t>
        </is>
      </c>
      <c r="H440" s="5" t="inlineStr">
        <is>
          <t>3</t>
        </is>
      </c>
      <c r="I440" s="5" t="inlineStr">
        <is>
          <t>Hyderabad</t>
        </is>
      </c>
      <c r="J440" s="5" t="inlineStr">
        <is>
          <t>Full-Time</t>
        </is>
      </c>
      <c r="K440" s="7" t="n">
        <v>45309</v>
      </c>
      <c r="L440" s="7" t="inlineStr"/>
      <c r="M440" s="5" t="inlineStr">
        <is>
          <t>Yes</t>
        </is>
      </c>
      <c r="N440" s="5" t="inlineStr"/>
      <c r="O440" s="8" t="inlineStr">
        <is>
          <t>94500</t>
        </is>
      </c>
      <c r="P440" s="5" t="inlineStr">
        <is>
          <t>0</t>
        </is>
      </c>
      <c r="Q440" s="5" t="inlineStr">
        <is>
          <t>2</t>
        </is>
      </c>
      <c r="R440" s="5" t="inlineStr">
        <is>
          <t>6</t>
        </is>
      </c>
      <c r="S440" s="5" t="inlineStr">
        <is>
          <t>23</t>
        </is>
      </c>
      <c r="T440" s="5" t="inlineStr">
        <is>
          <t>5</t>
        </is>
      </c>
      <c r="U440" s="5">
        <f>IFS(C440&lt;30,"Under 30",C440&lt;40,"30-39",C440&lt;50,"40-49",TRUE,"50+")</f>
        <v/>
      </c>
      <c r="V440" s="5">
        <f>IFS(O440&lt;60000,"Low (&lt;60k)",O440&lt;100000,"Mid (60-100k)",TRUE,"High (100k+)")</f>
        <v/>
      </c>
      <c r="W440" s="5">
        <f>IF(M440="No","Attrited","Active")</f>
        <v/>
      </c>
    </row>
    <row r="441">
      <c r="A441" s="5" t="inlineStr">
        <is>
          <t>E00440</t>
        </is>
      </c>
      <c r="B441" s="5" t="inlineStr">
        <is>
          <t>Male</t>
        </is>
      </c>
      <c r="C441" s="6" t="inlineStr">
        <is>
          <t>44</t>
        </is>
      </c>
      <c r="D441" s="5" t="inlineStr">
        <is>
          <t>Single</t>
        </is>
      </c>
      <c r="E441" s="5" t="inlineStr">
        <is>
          <t>Master</t>
        </is>
      </c>
      <c r="F441" s="5" t="inlineStr">
        <is>
          <t>Customer Support</t>
        </is>
      </c>
      <c r="G441" s="5" t="inlineStr">
        <is>
          <t>Support Agent</t>
        </is>
      </c>
      <c r="H441" s="5" t="inlineStr">
        <is>
          <t>6</t>
        </is>
      </c>
      <c r="I441" s="5" t="inlineStr">
        <is>
          <t>Bengaluru</t>
        </is>
      </c>
      <c r="J441" s="5" t="inlineStr">
        <is>
          <t>Contract</t>
        </is>
      </c>
      <c r="K441" s="7" t="n">
        <v>44866</v>
      </c>
      <c r="L441" s="7" t="inlineStr"/>
      <c r="M441" s="5" t="inlineStr">
        <is>
          <t>Yes</t>
        </is>
      </c>
      <c r="N441" s="5" t="inlineStr"/>
      <c r="O441" s="8" t="inlineStr">
        <is>
          <t>108500</t>
        </is>
      </c>
      <c r="P441" s="5" t="inlineStr">
        <is>
          <t>5</t>
        </is>
      </c>
      <c r="Q441" s="5" t="inlineStr">
        <is>
          <t>2</t>
        </is>
      </c>
      <c r="R441" s="5" t="inlineStr">
        <is>
          <t>6</t>
        </is>
      </c>
      <c r="S441" s="5" t="inlineStr">
        <is>
          <t>38</t>
        </is>
      </c>
      <c r="T441" s="5" t="inlineStr">
        <is>
          <t>0</t>
        </is>
      </c>
      <c r="U441" s="5">
        <f>IFS(C441&lt;30,"Under 30",C441&lt;40,"30-39",C441&lt;50,"40-49",TRUE,"50+")</f>
        <v/>
      </c>
      <c r="V441" s="5">
        <f>IFS(O441&lt;60000,"Low (&lt;60k)",O441&lt;100000,"Mid (60-100k)",TRUE,"High (100k+)")</f>
        <v/>
      </c>
      <c r="W441" s="5">
        <f>IF(M441="No","Attrited","Active")</f>
        <v/>
      </c>
    </row>
    <row r="442">
      <c r="A442" s="5" t="inlineStr">
        <is>
          <t>E00441</t>
        </is>
      </c>
      <c r="B442" s="5" t="inlineStr">
        <is>
          <t>Male</t>
        </is>
      </c>
      <c r="C442" s="6" t="inlineStr">
        <is>
          <t>29</t>
        </is>
      </c>
      <c r="D442" s="5" t="inlineStr">
        <is>
          <t>Married</t>
        </is>
      </c>
      <c r="E442" s="5" t="inlineStr">
        <is>
          <t>High School</t>
        </is>
      </c>
      <c r="F442" s="5" t="inlineStr">
        <is>
          <t>Sales</t>
        </is>
      </c>
      <c r="G442" s="5" t="inlineStr">
        <is>
          <t>Business Development</t>
        </is>
      </c>
      <c r="H442" s="5" t="inlineStr">
        <is>
          <t>3</t>
        </is>
      </c>
      <c r="I442" s="5" t="inlineStr">
        <is>
          <t>Mumbai</t>
        </is>
      </c>
      <c r="J442" s="5" t="inlineStr">
        <is>
          <t>Contract</t>
        </is>
      </c>
      <c r="K442" s="7" t="n">
        <v>44456</v>
      </c>
      <c r="L442" s="7" t="inlineStr"/>
      <c r="M442" s="5" t="inlineStr">
        <is>
          <t>Yes</t>
        </is>
      </c>
      <c r="N442" s="5" t="inlineStr"/>
      <c r="O442" s="8" t="inlineStr">
        <is>
          <t>109500</t>
        </is>
      </c>
      <c r="P442" s="5" t="inlineStr">
        <is>
          <t>10</t>
        </is>
      </c>
      <c r="Q442" s="5" t="inlineStr">
        <is>
          <t>4</t>
        </is>
      </c>
      <c r="R442" s="5" t="inlineStr">
        <is>
          <t>7</t>
        </is>
      </c>
      <c r="S442" s="5" t="inlineStr">
        <is>
          <t>52</t>
        </is>
      </c>
      <c r="T442" s="5" t="inlineStr">
        <is>
          <t>9</t>
        </is>
      </c>
      <c r="U442" s="5">
        <f>IFS(C442&lt;30,"Under 30",C442&lt;40,"30-39",C442&lt;50,"40-49",TRUE,"50+")</f>
        <v/>
      </c>
      <c r="V442" s="5">
        <f>IFS(O442&lt;60000,"Low (&lt;60k)",O442&lt;100000,"Mid (60-100k)",TRUE,"High (100k+)")</f>
        <v/>
      </c>
      <c r="W442" s="5">
        <f>IF(M442="No","Attrited","Active")</f>
        <v/>
      </c>
    </row>
    <row r="443">
      <c r="A443" s="5" t="inlineStr">
        <is>
          <t>E00442</t>
        </is>
      </c>
      <c r="B443" s="5" t="inlineStr">
        <is>
          <t>Female</t>
        </is>
      </c>
      <c r="C443" s="6" t="inlineStr">
        <is>
          <t>44</t>
        </is>
      </c>
      <c r="D443" s="5" t="inlineStr">
        <is>
          <t>Single</t>
        </is>
      </c>
      <c r="E443" s="5" t="inlineStr">
        <is>
          <t>Bachelor</t>
        </is>
      </c>
      <c r="F443" s="5" t="inlineStr">
        <is>
          <t>Customer Support</t>
        </is>
      </c>
      <c r="G443" s="5" t="inlineStr">
        <is>
          <t>Support Agent</t>
        </is>
      </c>
      <c r="H443" s="5" t="inlineStr">
        <is>
          <t>7</t>
        </is>
      </c>
      <c r="I443" s="5" t="inlineStr">
        <is>
          <t>Hyderabad</t>
        </is>
      </c>
      <c r="J443" s="5" t="inlineStr">
        <is>
          <t>Full-Time</t>
        </is>
      </c>
      <c r="K443" s="7" t="n">
        <v>44686</v>
      </c>
      <c r="L443" s="7" t="inlineStr"/>
      <c r="M443" s="5" t="inlineStr">
        <is>
          <t>Yes</t>
        </is>
      </c>
      <c r="N443" s="5" t="inlineStr"/>
      <c r="O443" s="8" t="inlineStr">
        <is>
          <t>101500</t>
        </is>
      </c>
      <c r="P443" s="5" t="inlineStr">
        <is>
          <t>5</t>
        </is>
      </c>
      <c r="Q443" s="5" t="inlineStr">
        <is>
          <t>3</t>
        </is>
      </c>
      <c r="R443" s="5" t="inlineStr">
        <is>
          <t>6</t>
        </is>
      </c>
      <c r="S443" s="5" t="inlineStr">
        <is>
          <t>44</t>
        </is>
      </c>
      <c r="T443" s="5" t="inlineStr">
        <is>
          <t>5</t>
        </is>
      </c>
      <c r="U443" s="5">
        <f>IFS(C443&lt;30,"Under 30",C443&lt;40,"30-39",C443&lt;50,"40-49",TRUE,"50+")</f>
        <v/>
      </c>
      <c r="V443" s="5">
        <f>IFS(O443&lt;60000,"Low (&lt;60k)",O443&lt;100000,"Mid (60-100k)",TRUE,"High (100k+)")</f>
        <v/>
      </c>
      <c r="W443" s="5">
        <f>IF(M443="No","Attrited","Active")</f>
        <v/>
      </c>
    </row>
    <row r="444">
      <c r="A444" s="5" t="inlineStr">
        <is>
          <t>E00443</t>
        </is>
      </c>
      <c r="B444" s="5" t="inlineStr">
        <is>
          <t>Male</t>
        </is>
      </c>
      <c r="C444" s="6" t="inlineStr">
        <is>
          <t>25</t>
        </is>
      </c>
      <c r="D444" s="5" t="inlineStr">
        <is>
          <t>Married</t>
        </is>
      </c>
      <c r="E444" s="5" t="inlineStr">
        <is>
          <t>High School</t>
        </is>
      </c>
      <c r="F444" s="5" t="inlineStr">
        <is>
          <t>Human Resources</t>
        </is>
      </c>
      <c r="G444" s="5" t="inlineStr">
        <is>
          <t>HR Generalist</t>
        </is>
      </c>
      <c r="H444" s="5" t="inlineStr">
        <is>
          <t>2</t>
        </is>
      </c>
      <c r="I444" s="5" t="inlineStr">
        <is>
          <t>Bengaluru</t>
        </is>
      </c>
      <c r="J444" s="5" t="inlineStr">
        <is>
          <t>Full-Time</t>
        </is>
      </c>
      <c r="K444" s="7" t="n">
        <v>45946</v>
      </c>
      <c r="L444" s="7" t="inlineStr"/>
      <c r="M444" s="5" t="inlineStr">
        <is>
          <t>Yes</t>
        </is>
      </c>
      <c r="N444" s="5" t="inlineStr"/>
      <c r="O444" s="8" t="inlineStr">
        <is>
          <t>109500</t>
        </is>
      </c>
      <c r="P444" s="5" t="inlineStr">
        <is>
          <t>10</t>
        </is>
      </c>
      <c r="Q444" s="5" t="inlineStr">
        <is>
          <t>4</t>
        </is>
      </c>
      <c r="R444" s="5" t="inlineStr">
        <is>
          <t>5</t>
        </is>
      </c>
      <c r="S444" s="5" t="inlineStr">
        <is>
          <t>2</t>
        </is>
      </c>
      <c r="T444" s="5" t="inlineStr">
        <is>
          <t>4</t>
        </is>
      </c>
      <c r="U444" s="5">
        <f>IFS(C444&lt;30,"Under 30",C444&lt;40,"30-39",C444&lt;50,"40-49",TRUE,"50+")</f>
        <v/>
      </c>
      <c r="V444" s="5">
        <f>IFS(O444&lt;60000,"Low (&lt;60k)",O444&lt;100000,"Mid (60-100k)",TRUE,"High (100k+)")</f>
        <v/>
      </c>
      <c r="W444" s="5">
        <f>IF(M444="No","Attrited","Active")</f>
        <v/>
      </c>
    </row>
    <row r="445">
      <c r="A445" s="5" t="inlineStr">
        <is>
          <t>E00444</t>
        </is>
      </c>
      <c r="B445" s="5" t="inlineStr">
        <is>
          <t>Female</t>
        </is>
      </c>
      <c r="C445" s="6" t="inlineStr">
        <is>
          <t>29</t>
        </is>
      </c>
      <c r="D445" s="5" t="inlineStr">
        <is>
          <t>Married</t>
        </is>
      </c>
      <c r="E445" s="5" t="inlineStr">
        <is>
          <t>PhD</t>
        </is>
      </c>
      <c r="F445" s="5" t="inlineStr">
        <is>
          <t>Sales</t>
        </is>
      </c>
      <c r="G445" s="5" t="inlineStr">
        <is>
          <t>Account Executive</t>
        </is>
      </c>
      <c r="H445" s="5" t="inlineStr">
        <is>
          <t>2</t>
        </is>
      </c>
      <c r="I445" s="5" t="inlineStr">
        <is>
          <t>Mumbai</t>
        </is>
      </c>
      <c r="J445" s="5" t="inlineStr">
        <is>
          <t>Full-Time</t>
        </is>
      </c>
      <c r="K445" s="7" t="n">
        <v>45022</v>
      </c>
      <c r="L445" s="7" t="inlineStr"/>
      <c r="M445" s="5" t="inlineStr">
        <is>
          <t>Yes</t>
        </is>
      </c>
      <c r="N445" s="5" t="inlineStr"/>
      <c r="O445" s="8" t="inlineStr">
        <is>
          <t>90000</t>
        </is>
      </c>
      <c r="P445" s="5" t="inlineStr">
        <is>
          <t>15</t>
        </is>
      </c>
      <c r="Q445" s="5" t="inlineStr">
        <is>
          <t>5</t>
        </is>
      </c>
      <c r="R445" s="5" t="inlineStr">
        <is>
          <t>5</t>
        </is>
      </c>
      <c r="S445" s="5" t="inlineStr">
        <is>
          <t>33</t>
        </is>
      </c>
      <c r="T445" s="5" t="inlineStr">
        <is>
          <t>0</t>
        </is>
      </c>
      <c r="U445" s="5">
        <f>IFS(C445&lt;30,"Under 30",C445&lt;40,"30-39",C445&lt;50,"40-49",TRUE,"50+")</f>
        <v/>
      </c>
      <c r="V445" s="5">
        <f>IFS(O445&lt;60000,"Low (&lt;60k)",O445&lt;100000,"Mid (60-100k)",TRUE,"High (100k+)")</f>
        <v/>
      </c>
      <c r="W445" s="5">
        <f>IF(M445="No","Attrited","Active")</f>
        <v/>
      </c>
    </row>
    <row r="446">
      <c r="A446" s="5" t="inlineStr">
        <is>
          <t>E00445</t>
        </is>
      </c>
      <c r="B446" s="5" t="inlineStr">
        <is>
          <t>Female</t>
        </is>
      </c>
      <c r="C446" s="6" t="inlineStr">
        <is>
          <t>29</t>
        </is>
      </c>
      <c r="D446" s="5" t="inlineStr">
        <is>
          <t>Married</t>
        </is>
      </c>
      <c r="E446" s="5" t="inlineStr">
        <is>
          <t>Master</t>
        </is>
      </c>
      <c r="F446" s="5" t="inlineStr">
        <is>
          <t>Customer Support</t>
        </is>
      </c>
      <c r="G446" s="5" t="inlineStr">
        <is>
          <t>Support Lead</t>
        </is>
      </c>
      <c r="H446" s="5" t="inlineStr">
        <is>
          <t>3</t>
        </is>
      </c>
      <c r="I446" s="5" t="inlineStr">
        <is>
          <t>Hyderabad</t>
        </is>
      </c>
      <c r="J446" s="5" t="inlineStr">
        <is>
          <t>Full-Time</t>
        </is>
      </c>
      <c r="K446" s="7" t="n">
        <v>44977</v>
      </c>
      <c r="L446" s="7" t="inlineStr"/>
      <c r="M446" s="5" t="inlineStr">
        <is>
          <t>Yes</t>
        </is>
      </c>
      <c r="N446" s="5" t="inlineStr"/>
      <c r="O446" s="8" t="inlineStr">
        <is>
          <t>66500</t>
        </is>
      </c>
      <c r="P446" s="5" t="inlineStr">
        <is>
          <t>0</t>
        </is>
      </c>
      <c r="Q446" s="5" t="inlineStr">
        <is>
          <t>3</t>
        </is>
      </c>
      <c r="R446" s="5" t="inlineStr">
        <is>
          <t>4</t>
        </is>
      </c>
      <c r="S446" s="5" t="inlineStr">
        <is>
          <t>34</t>
        </is>
      </c>
      <c r="T446" s="5" t="inlineStr">
        <is>
          <t>3</t>
        </is>
      </c>
      <c r="U446" s="5">
        <f>IFS(C446&lt;30,"Under 30",C446&lt;40,"30-39",C446&lt;50,"40-49",TRUE,"50+")</f>
        <v/>
      </c>
      <c r="V446" s="5">
        <f>IFS(O446&lt;60000,"Low (&lt;60k)",O446&lt;100000,"Mid (60-100k)",TRUE,"High (100k+)")</f>
        <v/>
      </c>
      <c r="W446" s="5">
        <f>IF(M446="No","Attrited","Active")</f>
        <v/>
      </c>
    </row>
    <row r="447">
      <c r="A447" s="5" t="inlineStr">
        <is>
          <t>E00446</t>
        </is>
      </c>
      <c r="B447" s="5" t="inlineStr">
        <is>
          <t>Male</t>
        </is>
      </c>
      <c r="C447" s="6" t="inlineStr">
        <is>
          <t>32</t>
        </is>
      </c>
      <c r="D447" s="5" t="inlineStr">
        <is>
          <t>Married</t>
        </is>
      </c>
      <c r="E447" s="5" t="inlineStr">
        <is>
          <t>PhD</t>
        </is>
      </c>
      <c r="F447" s="5" t="inlineStr">
        <is>
          <t>Operations</t>
        </is>
      </c>
      <c r="G447" s="5" t="inlineStr">
        <is>
          <t>Quality Analyst</t>
        </is>
      </c>
      <c r="H447" s="5" t="inlineStr">
        <is>
          <t>4</t>
        </is>
      </c>
      <c r="I447" s="5" t="inlineStr">
        <is>
          <t>Hyderabad</t>
        </is>
      </c>
      <c r="J447" s="5" t="inlineStr">
        <is>
          <t>Full-Time</t>
        </is>
      </c>
      <c r="K447" s="7" t="n">
        <v>44386</v>
      </c>
      <c r="L447" s="7" t="inlineStr"/>
      <c r="M447" s="5" t="inlineStr">
        <is>
          <t>Yes</t>
        </is>
      </c>
      <c r="N447" s="5" t="inlineStr"/>
      <c r="O447" s="8" t="inlineStr">
        <is>
          <t>126000</t>
        </is>
      </c>
      <c r="P447" s="5" t="inlineStr">
        <is>
          <t>5</t>
        </is>
      </c>
      <c r="Q447" s="5" t="inlineStr">
        <is>
          <t>4</t>
        </is>
      </c>
      <c r="R447" s="5" t="inlineStr">
        <is>
          <t>7</t>
        </is>
      </c>
      <c r="S447" s="5" t="inlineStr">
        <is>
          <t>54</t>
        </is>
      </c>
      <c r="T447" s="5" t="inlineStr">
        <is>
          <t>0</t>
        </is>
      </c>
      <c r="U447" s="5">
        <f>IFS(C447&lt;30,"Under 30",C447&lt;40,"30-39",C447&lt;50,"40-49",TRUE,"50+")</f>
        <v/>
      </c>
      <c r="V447" s="5">
        <f>IFS(O447&lt;60000,"Low (&lt;60k)",O447&lt;100000,"Mid (60-100k)",TRUE,"High (100k+)")</f>
        <v/>
      </c>
      <c r="W447" s="5">
        <f>IF(M447="No","Attrited","Active")</f>
        <v/>
      </c>
    </row>
    <row r="448">
      <c r="A448" s="5" t="inlineStr">
        <is>
          <t>E00447</t>
        </is>
      </c>
      <c r="B448" s="5" t="inlineStr">
        <is>
          <t>Female</t>
        </is>
      </c>
      <c r="C448" s="6" t="inlineStr">
        <is>
          <t>38</t>
        </is>
      </c>
      <c r="D448" s="5" t="inlineStr">
        <is>
          <t>Married</t>
        </is>
      </c>
      <c r="E448" s="5" t="inlineStr">
        <is>
          <t>Bachelor</t>
        </is>
      </c>
      <c r="F448" s="5" t="inlineStr">
        <is>
          <t>Human Resources</t>
        </is>
      </c>
      <c r="G448" s="5" t="inlineStr">
        <is>
          <t>Recruiter</t>
        </is>
      </c>
      <c r="H448" s="5" t="inlineStr">
        <is>
          <t>3</t>
        </is>
      </c>
      <c r="I448" s="5" t="inlineStr">
        <is>
          <t>Chennai</t>
        </is>
      </c>
      <c r="J448" s="5" t="inlineStr">
        <is>
          <t>Full-Time</t>
        </is>
      </c>
      <c r="K448" s="7" t="n">
        <v>43889</v>
      </c>
      <c r="L448" s="7" t="inlineStr"/>
      <c r="M448" s="5" t="inlineStr">
        <is>
          <t>Yes</t>
        </is>
      </c>
      <c r="N448" s="5" t="inlineStr"/>
      <c r="O448" s="8" t="inlineStr">
        <is>
          <t>124500</t>
        </is>
      </c>
      <c r="P448" s="5" t="inlineStr">
        <is>
          <t>20</t>
        </is>
      </c>
      <c r="Q448" s="5" t="inlineStr">
        <is>
          <t>4</t>
        </is>
      </c>
      <c r="R448" s="5" t="inlineStr">
        <is>
          <t>7</t>
        </is>
      </c>
      <c r="S448" s="5" t="inlineStr">
        <is>
          <t>71</t>
        </is>
      </c>
      <c r="T448" s="5" t="inlineStr">
        <is>
          <t>15</t>
        </is>
      </c>
      <c r="U448" s="5">
        <f>IFS(C448&lt;30,"Under 30",C448&lt;40,"30-39",C448&lt;50,"40-49",TRUE,"50+")</f>
        <v/>
      </c>
      <c r="V448" s="5">
        <f>IFS(O448&lt;60000,"Low (&lt;60k)",O448&lt;100000,"Mid (60-100k)",TRUE,"High (100k+)")</f>
        <v/>
      </c>
      <c r="W448" s="5">
        <f>IF(M448="No","Attrited","Active")</f>
        <v/>
      </c>
    </row>
    <row r="449">
      <c r="A449" s="5" t="inlineStr">
        <is>
          <t>E00448</t>
        </is>
      </c>
      <c r="B449" s="5" t="inlineStr">
        <is>
          <t>Female</t>
        </is>
      </c>
      <c r="C449" s="6" t="inlineStr">
        <is>
          <t>29</t>
        </is>
      </c>
      <c r="D449" s="5" t="inlineStr">
        <is>
          <t>Married</t>
        </is>
      </c>
      <c r="E449" s="5" t="inlineStr">
        <is>
          <t>PhD</t>
        </is>
      </c>
      <c r="F449" s="5" t="inlineStr">
        <is>
          <t>Operations</t>
        </is>
      </c>
      <c r="G449" s="5" t="inlineStr">
        <is>
          <t>Operations Analyst</t>
        </is>
      </c>
      <c r="H449" s="5" t="inlineStr">
        <is>
          <t>3</t>
        </is>
      </c>
      <c r="I449" s="5" t="inlineStr">
        <is>
          <t>Bengaluru</t>
        </is>
      </c>
      <c r="J449" s="5" t="inlineStr">
        <is>
          <t>Full-Time</t>
        </is>
      </c>
      <c r="K449" s="7" t="n">
        <v>45633</v>
      </c>
      <c r="L449" s="7" t="inlineStr"/>
      <c r="M449" s="5" t="inlineStr">
        <is>
          <t>Yes</t>
        </is>
      </c>
      <c r="N449" s="5" t="inlineStr"/>
      <c r="O449" s="8" t="inlineStr">
        <is>
          <t>127000</t>
        </is>
      </c>
      <c r="P449" s="5" t="inlineStr">
        <is>
          <t>10</t>
        </is>
      </c>
      <c r="Q449" s="5" t="inlineStr">
        <is>
          <t>5</t>
        </is>
      </c>
      <c r="R449" s="5" t="inlineStr">
        <is>
          <t>6</t>
        </is>
      </c>
      <c r="S449" s="5" t="inlineStr">
        <is>
          <t>12</t>
        </is>
      </c>
      <c r="T449" s="5" t="inlineStr">
        <is>
          <t>1</t>
        </is>
      </c>
      <c r="U449" s="5">
        <f>IFS(C449&lt;30,"Under 30",C449&lt;40,"30-39",C449&lt;50,"40-49",TRUE,"50+")</f>
        <v/>
      </c>
      <c r="V449" s="5">
        <f>IFS(O449&lt;60000,"Low (&lt;60k)",O449&lt;100000,"Mid (60-100k)",TRUE,"High (100k+)")</f>
        <v/>
      </c>
      <c r="W449" s="5">
        <f>IF(M449="No","Attrited","Active")</f>
        <v/>
      </c>
    </row>
    <row r="450">
      <c r="A450" s="5" t="inlineStr">
        <is>
          <t>E00449</t>
        </is>
      </c>
      <c r="B450" s="5" t="inlineStr">
        <is>
          <t>Female</t>
        </is>
      </c>
      <c r="C450" s="6" t="inlineStr">
        <is>
          <t>27</t>
        </is>
      </c>
      <c r="D450" s="5" t="inlineStr">
        <is>
          <t>Married</t>
        </is>
      </c>
      <c r="E450" s="5" t="inlineStr">
        <is>
          <t>Diploma</t>
        </is>
      </c>
      <c r="F450" s="5" t="inlineStr">
        <is>
          <t>Operations</t>
        </is>
      </c>
      <c r="G450" s="5" t="inlineStr">
        <is>
          <t>Operations Analyst</t>
        </is>
      </c>
      <c r="H450" s="5" t="inlineStr">
        <is>
          <t>2</t>
        </is>
      </c>
      <c r="I450" s="5" t="inlineStr">
        <is>
          <t>Remote</t>
        </is>
      </c>
      <c r="J450" s="5" t="inlineStr">
        <is>
          <t>Full-Time</t>
        </is>
      </c>
      <c r="K450" s="7" t="n">
        <v>45051</v>
      </c>
      <c r="L450" s="7" t="inlineStr"/>
      <c r="M450" s="5" t="inlineStr">
        <is>
          <t>Yes</t>
        </is>
      </c>
      <c r="N450" s="5" t="inlineStr"/>
      <c r="O450" s="8" t="inlineStr">
        <is>
          <t>108000</t>
        </is>
      </c>
      <c r="P450" s="5" t="inlineStr">
        <is>
          <t>0</t>
        </is>
      </c>
      <c r="Q450" s="5" t="inlineStr">
        <is>
          <t>3</t>
        </is>
      </c>
      <c r="R450" s="5" t="inlineStr">
        <is>
          <t>5</t>
        </is>
      </c>
      <c r="S450" s="5" t="inlineStr">
        <is>
          <t>32</t>
        </is>
      </c>
      <c r="T450" s="5" t="inlineStr">
        <is>
          <t>12</t>
        </is>
      </c>
      <c r="U450" s="5">
        <f>IFS(C450&lt;30,"Under 30",C450&lt;40,"30-39",C450&lt;50,"40-49",TRUE,"50+")</f>
        <v/>
      </c>
      <c r="V450" s="5">
        <f>IFS(O450&lt;60000,"Low (&lt;60k)",O450&lt;100000,"Mid (60-100k)",TRUE,"High (100k+)")</f>
        <v/>
      </c>
      <c r="W450" s="5">
        <f>IF(M450="No","Attrited","Active")</f>
        <v/>
      </c>
    </row>
    <row r="451">
      <c r="A451" s="5" t="inlineStr">
        <is>
          <t>E00450</t>
        </is>
      </c>
      <c r="B451" s="5" t="inlineStr">
        <is>
          <t>Female</t>
        </is>
      </c>
      <c r="C451" s="6" t="inlineStr">
        <is>
          <t>36</t>
        </is>
      </c>
      <c r="D451" s="5" t="inlineStr">
        <is>
          <t>Single</t>
        </is>
      </c>
      <c r="E451" s="5" t="inlineStr">
        <is>
          <t>Diploma</t>
        </is>
      </c>
      <c r="F451" s="5" t="inlineStr">
        <is>
          <t>Human Resources</t>
        </is>
      </c>
      <c r="G451" s="5" t="inlineStr">
        <is>
          <t>HR Generalist</t>
        </is>
      </c>
      <c r="H451" s="5" t="inlineStr">
        <is>
          <t>4</t>
        </is>
      </c>
      <c r="I451" s="5" t="inlineStr">
        <is>
          <t>Bengaluru</t>
        </is>
      </c>
      <c r="J451" s="5" t="inlineStr">
        <is>
          <t>Part-Time</t>
        </is>
      </c>
      <c r="K451" s="7" t="n">
        <v>43884</v>
      </c>
      <c r="L451" s="7" t="inlineStr"/>
      <c r="M451" s="5" t="inlineStr">
        <is>
          <t>Yes</t>
        </is>
      </c>
      <c r="N451" s="5" t="inlineStr"/>
      <c r="O451" s="8" t="inlineStr">
        <is>
          <t>115000</t>
        </is>
      </c>
      <c r="P451" s="5" t="inlineStr">
        <is>
          <t>10</t>
        </is>
      </c>
      <c r="Q451" s="5" t="inlineStr">
        <is>
          <t>3</t>
        </is>
      </c>
      <c r="R451" s="5" t="inlineStr">
        <is>
          <t>5</t>
        </is>
      </c>
      <c r="S451" s="5" t="inlineStr">
        <is>
          <t>71</t>
        </is>
      </c>
      <c r="T451" s="5" t="inlineStr">
        <is>
          <t>12</t>
        </is>
      </c>
      <c r="U451" s="5">
        <f>IFS(C451&lt;30,"Under 30",C451&lt;40,"30-39",C451&lt;50,"40-49",TRUE,"50+")</f>
        <v/>
      </c>
      <c r="V451" s="5">
        <f>IFS(O451&lt;60000,"Low (&lt;60k)",O451&lt;100000,"Mid (60-100k)",TRUE,"High (100k+)")</f>
        <v/>
      </c>
      <c r="W451" s="5">
        <f>IF(M451="No","Attrited","Active")</f>
        <v/>
      </c>
    </row>
    <row r="452">
      <c r="A452" s="5" t="inlineStr">
        <is>
          <t>E00451</t>
        </is>
      </c>
      <c r="B452" s="5" t="inlineStr">
        <is>
          <t>Male</t>
        </is>
      </c>
      <c r="C452" s="6" t="inlineStr">
        <is>
          <t>36</t>
        </is>
      </c>
      <c r="D452" s="5" t="inlineStr">
        <is>
          <t>Single</t>
        </is>
      </c>
      <c r="E452" s="5" t="inlineStr">
        <is>
          <t>Bachelor</t>
        </is>
      </c>
      <c r="F452" s="5" t="inlineStr">
        <is>
          <t>IT</t>
        </is>
      </c>
      <c r="G452" s="5" t="inlineStr">
        <is>
          <t>Software Engineer</t>
        </is>
      </c>
      <c r="H452" s="5" t="inlineStr">
        <is>
          <t>3</t>
        </is>
      </c>
      <c r="I452" s="5" t="inlineStr">
        <is>
          <t>Delhi</t>
        </is>
      </c>
      <c r="J452" s="5" t="inlineStr">
        <is>
          <t>Full-Time</t>
        </is>
      </c>
      <c r="K452" s="7" t="n">
        <v>43845</v>
      </c>
      <c r="L452" s="7" t="inlineStr"/>
      <c r="M452" s="5" t="inlineStr">
        <is>
          <t>Yes</t>
        </is>
      </c>
      <c r="N452" s="5" t="inlineStr"/>
      <c r="O452" s="8" t="inlineStr">
        <is>
          <t>176000</t>
        </is>
      </c>
      <c r="P452" s="5" t="inlineStr">
        <is>
          <t>15</t>
        </is>
      </c>
      <c r="Q452" s="5" t="inlineStr">
        <is>
          <t>4</t>
        </is>
      </c>
      <c r="R452" s="5" t="inlineStr">
        <is>
          <t>7</t>
        </is>
      </c>
      <c r="S452" s="5" t="inlineStr">
        <is>
          <t>72</t>
        </is>
      </c>
      <c r="T452" s="5" t="inlineStr">
        <is>
          <t>15</t>
        </is>
      </c>
      <c r="U452" s="5">
        <f>IFS(C452&lt;30,"Under 30",C452&lt;40,"30-39",C452&lt;50,"40-49",TRUE,"50+")</f>
        <v/>
      </c>
      <c r="V452" s="5">
        <f>IFS(O452&lt;60000,"Low (&lt;60k)",O452&lt;100000,"Mid (60-100k)",TRUE,"High (100k+)")</f>
        <v/>
      </c>
      <c r="W452" s="5">
        <f>IF(M452="No","Attrited","Active")</f>
        <v/>
      </c>
    </row>
    <row r="453">
      <c r="A453" s="5" t="inlineStr">
        <is>
          <t>E00452</t>
        </is>
      </c>
      <c r="B453" s="5" t="inlineStr">
        <is>
          <t>Female</t>
        </is>
      </c>
      <c r="C453" s="6" t="inlineStr">
        <is>
          <t>39</t>
        </is>
      </c>
      <c r="D453" s="5" t="inlineStr">
        <is>
          <t>Married</t>
        </is>
      </c>
      <c r="E453" s="5" t="inlineStr">
        <is>
          <t>PhD</t>
        </is>
      </c>
      <c r="F453" s="5" t="inlineStr">
        <is>
          <t>IT</t>
        </is>
      </c>
      <c r="G453" s="5" t="inlineStr">
        <is>
          <t>IT Support</t>
        </is>
      </c>
      <c r="H453" s="5" t="inlineStr">
        <is>
          <t>5</t>
        </is>
      </c>
      <c r="I453" s="5" t="inlineStr">
        <is>
          <t>Chennai</t>
        </is>
      </c>
      <c r="J453" s="5" t="inlineStr">
        <is>
          <t>Full-Time</t>
        </is>
      </c>
      <c r="K453" s="7" t="n">
        <v>44426</v>
      </c>
      <c r="L453" s="7" t="inlineStr"/>
      <c r="M453" s="5" t="inlineStr">
        <is>
          <t>Yes</t>
        </is>
      </c>
      <c r="N453" s="5" t="inlineStr"/>
      <c r="O453" s="8" t="inlineStr">
        <is>
          <t>195000</t>
        </is>
      </c>
      <c r="P453" s="5" t="inlineStr">
        <is>
          <t>5</t>
        </is>
      </c>
      <c r="Q453" s="5" t="inlineStr">
        <is>
          <t>4</t>
        </is>
      </c>
      <c r="R453" s="5" t="inlineStr">
        <is>
          <t>7</t>
        </is>
      </c>
      <c r="S453" s="5" t="inlineStr">
        <is>
          <t>53</t>
        </is>
      </c>
      <c r="T453" s="5" t="inlineStr">
        <is>
          <t>3</t>
        </is>
      </c>
      <c r="U453" s="5">
        <f>IFS(C453&lt;30,"Under 30",C453&lt;40,"30-39",C453&lt;50,"40-49",TRUE,"50+")</f>
        <v/>
      </c>
      <c r="V453" s="5">
        <f>IFS(O453&lt;60000,"Low (&lt;60k)",O453&lt;100000,"Mid (60-100k)",TRUE,"High (100k+)")</f>
        <v/>
      </c>
      <c r="W453" s="5">
        <f>IF(M453="No","Attrited","Active")</f>
        <v/>
      </c>
    </row>
    <row r="454">
      <c r="A454" s="5" t="inlineStr">
        <is>
          <t>E00453</t>
        </is>
      </c>
      <c r="B454" s="5" t="inlineStr">
        <is>
          <t>Female</t>
        </is>
      </c>
      <c r="C454" s="6" t="inlineStr">
        <is>
          <t>32</t>
        </is>
      </c>
      <c r="D454" s="5" t="inlineStr">
        <is>
          <t>Single</t>
        </is>
      </c>
      <c r="E454" s="5" t="inlineStr">
        <is>
          <t>Diploma</t>
        </is>
      </c>
      <c r="F454" s="5" t="inlineStr">
        <is>
          <t>Finance</t>
        </is>
      </c>
      <c r="G454" s="5" t="inlineStr">
        <is>
          <t>Credit Analyst</t>
        </is>
      </c>
      <c r="H454" s="5" t="inlineStr">
        <is>
          <t>1</t>
        </is>
      </c>
      <c r="I454" s="5" t="inlineStr">
        <is>
          <t>Mumbai</t>
        </is>
      </c>
      <c r="J454" s="5" t="inlineStr">
        <is>
          <t>Full-Time</t>
        </is>
      </c>
      <c r="K454" s="7" t="n">
        <v>45664</v>
      </c>
      <c r="L454" s="7" t="inlineStr"/>
      <c r="M454" s="5" t="inlineStr">
        <is>
          <t>Yes</t>
        </is>
      </c>
      <c r="N454" s="5" t="inlineStr"/>
      <c r="O454" s="8" t="inlineStr">
        <is>
          <t>102000</t>
        </is>
      </c>
      <c r="P454" s="5" t="inlineStr">
        <is>
          <t>10</t>
        </is>
      </c>
      <c r="Q454" s="5" t="inlineStr">
        <is>
          <t>3</t>
        </is>
      </c>
      <c r="R454" s="5" t="inlineStr">
        <is>
          <t>7</t>
        </is>
      </c>
      <c r="S454" s="5" t="inlineStr">
        <is>
          <t>11</t>
        </is>
      </c>
      <c r="T454" s="5" t="inlineStr">
        <is>
          <t>11</t>
        </is>
      </c>
      <c r="U454" s="5">
        <f>IFS(C454&lt;30,"Under 30",C454&lt;40,"30-39",C454&lt;50,"40-49",TRUE,"50+")</f>
        <v/>
      </c>
      <c r="V454" s="5">
        <f>IFS(O454&lt;60000,"Low (&lt;60k)",O454&lt;100000,"Mid (60-100k)",TRUE,"High (100k+)")</f>
        <v/>
      </c>
      <c r="W454" s="5">
        <f>IF(M454="No","Attrited","Active")</f>
        <v/>
      </c>
    </row>
    <row r="455">
      <c r="A455" s="5" t="inlineStr">
        <is>
          <t>E00454</t>
        </is>
      </c>
      <c r="B455" s="5" t="inlineStr">
        <is>
          <t>Female</t>
        </is>
      </c>
      <c r="C455" s="6" t="inlineStr">
        <is>
          <t>38</t>
        </is>
      </c>
      <c r="D455" s="5" t="inlineStr">
        <is>
          <t>Married</t>
        </is>
      </c>
      <c r="E455" s="5" t="inlineStr">
        <is>
          <t>High School</t>
        </is>
      </c>
      <c r="F455" s="5" t="inlineStr">
        <is>
          <t>Finance</t>
        </is>
      </c>
      <c r="G455" s="5" t="inlineStr">
        <is>
          <t>Financial Analyst</t>
        </is>
      </c>
      <c r="H455" s="5" t="inlineStr">
        <is>
          <t>3</t>
        </is>
      </c>
      <c r="I455" s="5" t="inlineStr">
        <is>
          <t>Mumbai</t>
        </is>
      </c>
      <c r="J455" s="5" t="inlineStr">
        <is>
          <t>Full-Time</t>
        </is>
      </c>
      <c r="K455" s="7" t="n">
        <v>44448</v>
      </c>
      <c r="L455" s="7" t="inlineStr"/>
      <c r="M455" s="5" t="inlineStr">
        <is>
          <t>Yes</t>
        </is>
      </c>
      <c r="N455" s="5" t="inlineStr"/>
      <c r="O455" s="8" t="inlineStr">
        <is>
          <t>104000</t>
        </is>
      </c>
      <c r="P455" s="5" t="inlineStr">
        <is>
          <t>0</t>
        </is>
      </c>
      <c r="Q455" s="5" t="inlineStr">
        <is>
          <t>3</t>
        </is>
      </c>
      <c r="R455" s="5" t="inlineStr">
        <is>
          <t>8</t>
        </is>
      </c>
      <c r="S455" s="5" t="inlineStr">
        <is>
          <t>52</t>
        </is>
      </c>
      <c r="T455" s="5" t="inlineStr">
        <is>
          <t>6</t>
        </is>
      </c>
      <c r="U455" s="5">
        <f>IFS(C455&lt;30,"Under 30",C455&lt;40,"30-39",C455&lt;50,"40-49",TRUE,"50+")</f>
        <v/>
      </c>
      <c r="V455" s="5">
        <f>IFS(O455&lt;60000,"Low (&lt;60k)",O455&lt;100000,"Mid (60-100k)",TRUE,"High (100k+)")</f>
        <v/>
      </c>
      <c r="W455" s="5">
        <f>IF(M455="No","Attrited","Active")</f>
        <v/>
      </c>
    </row>
    <row r="456">
      <c r="A456" s="5" t="inlineStr">
        <is>
          <t>E00455</t>
        </is>
      </c>
      <c r="B456" s="5" t="inlineStr">
        <is>
          <t>Female</t>
        </is>
      </c>
      <c r="C456" s="6" t="inlineStr">
        <is>
          <t>35</t>
        </is>
      </c>
      <c r="D456" s="5" t="inlineStr">
        <is>
          <t>Single</t>
        </is>
      </c>
      <c r="E456" s="5" t="inlineStr">
        <is>
          <t>Master</t>
        </is>
      </c>
      <c r="F456" s="5" t="inlineStr">
        <is>
          <t>Research &amp; Development</t>
        </is>
      </c>
      <c r="G456" s="5" t="inlineStr">
        <is>
          <t>Product Engineer</t>
        </is>
      </c>
      <c r="H456" s="5" t="inlineStr">
        <is>
          <t>3</t>
        </is>
      </c>
      <c r="I456" s="5" t="inlineStr">
        <is>
          <t>Chennai</t>
        </is>
      </c>
      <c r="J456" s="5" t="inlineStr">
        <is>
          <t>Full-Time</t>
        </is>
      </c>
      <c r="K456" s="7" t="n">
        <v>45051</v>
      </c>
      <c r="L456" s="7" t="inlineStr"/>
      <c r="M456" s="5" t="inlineStr">
        <is>
          <t>Yes</t>
        </is>
      </c>
      <c r="N456" s="5" t="inlineStr"/>
      <c r="O456" s="8" t="inlineStr">
        <is>
          <t>133500</t>
        </is>
      </c>
      <c r="P456" s="5" t="inlineStr">
        <is>
          <t>0</t>
        </is>
      </c>
      <c r="Q456" s="5" t="inlineStr">
        <is>
          <t>4</t>
        </is>
      </c>
      <c r="R456" s="5" t="inlineStr">
        <is>
          <t>5</t>
        </is>
      </c>
      <c r="S456" s="5" t="inlineStr">
        <is>
          <t>32</t>
        </is>
      </c>
      <c r="T456" s="5" t="inlineStr">
        <is>
          <t>0</t>
        </is>
      </c>
      <c r="U456" s="5">
        <f>IFS(C456&lt;30,"Under 30",C456&lt;40,"30-39",C456&lt;50,"40-49",TRUE,"50+")</f>
        <v/>
      </c>
      <c r="V456" s="5">
        <f>IFS(O456&lt;60000,"Low (&lt;60k)",O456&lt;100000,"Mid (60-100k)",TRUE,"High (100k+)")</f>
        <v/>
      </c>
      <c r="W456" s="5">
        <f>IF(M456="No","Attrited","Active")</f>
        <v/>
      </c>
    </row>
    <row r="457">
      <c r="A457" s="5" t="inlineStr">
        <is>
          <t>E00456</t>
        </is>
      </c>
      <c r="B457" s="5" t="inlineStr">
        <is>
          <t>Male</t>
        </is>
      </c>
      <c r="C457" s="6" t="inlineStr">
        <is>
          <t>33</t>
        </is>
      </c>
      <c r="D457" s="5" t="inlineStr">
        <is>
          <t>Single</t>
        </is>
      </c>
      <c r="E457" s="5" t="inlineStr">
        <is>
          <t>PhD</t>
        </is>
      </c>
      <c r="F457" s="5" t="inlineStr">
        <is>
          <t>Customer Support</t>
        </is>
      </c>
      <c r="G457" s="5" t="inlineStr">
        <is>
          <t>Support Agent</t>
        </is>
      </c>
      <c r="H457" s="5" t="inlineStr">
        <is>
          <t>6</t>
        </is>
      </c>
      <c r="I457" s="5" t="inlineStr">
        <is>
          <t>Mumbai</t>
        </is>
      </c>
      <c r="J457" s="5" t="inlineStr">
        <is>
          <t>Full-Time</t>
        </is>
      </c>
      <c r="K457" s="7" t="n">
        <v>43863</v>
      </c>
      <c r="L457" s="7" t="inlineStr"/>
      <c r="M457" s="5" t="inlineStr">
        <is>
          <t>Yes</t>
        </is>
      </c>
      <c r="N457" s="5" t="inlineStr"/>
      <c r="O457" s="8" t="inlineStr">
        <is>
          <t>87500</t>
        </is>
      </c>
      <c r="P457" s="5" t="inlineStr">
        <is>
          <t>10</t>
        </is>
      </c>
      <c r="Q457" s="5" t="inlineStr">
        <is>
          <t>2</t>
        </is>
      </c>
      <c r="R457" s="5" t="inlineStr">
        <is>
          <t>6</t>
        </is>
      </c>
      <c r="S457" s="5" t="inlineStr">
        <is>
          <t>71</t>
        </is>
      </c>
      <c r="T457" s="5" t="inlineStr">
        <is>
          <t>11</t>
        </is>
      </c>
      <c r="U457" s="5">
        <f>IFS(C457&lt;30,"Under 30",C457&lt;40,"30-39",C457&lt;50,"40-49",TRUE,"50+")</f>
        <v/>
      </c>
      <c r="V457" s="5">
        <f>IFS(O457&lt;60000,"Low (&lt;60k)",O457&lt;100000,"Mid (60-100k)",TRUE,"High (100k+)")</f>
        <v/>
      </c>
      <c r="W457" s="5">
        <f>IF(M457="No","Attrited","Active")</f>
        <v/>
      </c>
    </row>
    <row r="458">
      <c r="A458" s="5" t="inlineStr">
        <is>
          <t>E00457</t>
        </is>
      </c>
      <c r="B458" s="5" t="inlineStr">
        <is>
          <t>Male</t>
        </is>
      </c>
      <c r="C458" s="6" t="inlineStr">
        <is>
          <t>33</t>
        </is>
      </c>
      <c r="D458" s="5" t="inlineStr">
        <is>
          <t>Married</t>
        </is>
      </c>
      <c r="E458" s="5" t="inlineStr">
        <is>
          <t>Bachelor</t>
        </is>
      </c>
      <c r="F458" s="5" t="inlineStr">
        <is>
          <t>Sales</t>
        </is>
      </c>
      <c r="G458" s="5" t="inlineStr">
        <is>
          <t>Account Executive</t>
        </is>
      </c>
      <c r="H458" s="5" t="inlineStr">
        <is>
          <t>3</t>
        </is>
      </c>
      <c r="I458" s="5" t="inlineStr">
        <is>
          <t>Bengaluru</t>
        </is>
      </c>
      <c r="J458" s="5" t="inlineStr">
        <is>
          <t>Full-Time</t>
        </is>
      </c>
      <c r="K458" s="7" t="n">
        <v>43934</v>
      </c>
      <c r="L458" s="7" t="inlineStr"/>
      <c r="M458" s="5" t="inlineStr">
        <is>
          <t>Yes</t>
        </is>
      </c>
      <c r="N458" s="5" t="inlineStr"/>
      <c r="O458" s="8" t="inlineStr">
        <is>
          <t>92500</t>
        </is>
      </c>
      <c r="P458" s="5" t="inlineStr">
        <is>
          <t>0</t>
        </is>
      </c>
      <c r="Q458" s="5" t="inlineStr">
        <is>
          <t>2</t>
        </is>
      </c>
      <c r="R458" s="5" t="inlineStr">
        <is>
          <t>7</t>
        </is>
      </c>
      <c r="S458" s="5" t="inlineStr">
        <is>
          <t>69</t>
        </is>
      </c>
      <c r="T458" s="5" t="inlineStr">
        <is>
          <t>0</t>
        </is>
      </c>
      <c r="U458" s="5">
        <f>IFS(C458&lt;30,"Under 30",C458&lt;40,"30-39",C458&lt;50,"40-49",TRUE,"50+")</f>
        <v/>
      </c>
      <c r="V458" s="5">
        <f>IFS(O458&lt;60000,"Low (&lt;60k)",O458&lt;100000,"Mid (60-100k)",TRUE,"High (100k+)")</f>
        <v/>
      </c>
      <c r="W458" s="5">
        <f>IF(M458="No","Attrited","Active")</f>
        <v/>
      </c>
    </row>
    <row r="459">
      <c r="A459" s="5" t="inlineStr">
        <is>
          <t>E00458</t>
        </is>
      </c>
      <c r="B459" s="5" t="inlineStr">
        <is>
          <t>Male</t>
        </is>
      </c>
      <c r="C459" s="6" t="inlineStr">
        <is>
          <t>32</t>
        </is>
      </c>
      <c r="D459" s="5" t="inlineStr">
        <is>
          <t>Married</t>
        </is>
      </c>
      <c r="E459" s="5" t="inlineStr">
        <is>
          <t>High School</t>
        </is>
      </c>
      <c r="F459" s="5" t="inlineStr">
        <is>
          <t>Operations</t>
        </is>
      </c>
      <c r="G459" s="5" t="inlineStr">
        <is>
          <t>Quality Analyst</t>
        </is>
      </c>
      <c r="H459" s="5" t="inlineStr">
        <is>
          <t>4</t>
        </is>
      </c>
      <c r="I459" s="5" t="inlineStr">
        <is>
          <t>Mumbai</t>
        </is>
      </c>
      <c r="J459" s="5" t="inlineStr">
        <is>
          <t>Full-Time</t>
        </is>
      </c>
      <c r="K459" s="7" t="n">
        <v>45702</v>
      </c>
      <c r="L459" s="7" t="inlineStr"/>
      <c r="M459" s="5" t="inlineStr">
        <is>
          <t>Yes</t>
        </is>
      </c>
      <c r="N459" s="5" t="inlineStr"/>
      <c r="O459" s="8" t="inlineStr">
        <is>
          <t>80000</t>
        </is>
      </c>
      <c r="P459" s="5" t="inlineStr">
        <is>
          <t>5</t>
        </is>
      </c>
      <c r="Q459" s="5" t="inlineStr">
        <is>
          <t>5</t>
        </is>
      </c>
      <c r="R459" s="5" t="inlineStr">
        <is>
          <t>5</t>
        </is>
      </c>
      <c r="S459" s="5" t="inlineStr">
        <is>
          <t>10</t>
        </is>
      </c>
      <c r="T459" s="5" t="inlineStr">
        <is>
          <t>2</t>
        </is>
      </c>
      <c r="U459" s="5">
        <f>IFS(C459&lt;30,"Under 30",C459&lt;40,"30-39",C459&lt;50,"40-49",TRUE,"50+")</f>
        <v/>
      </c>
      <c r="V459" s="5">
        <f>IFS(O459&lt;60000,"Low (&lt;60k)",O459&lt;100000,"Mid (60-100k)",TRUE,"High (100k+)")</f>
        <v/>
      </c>
      <c r="W459" s="5">
        <f>IF(M459="No","Attrited","Active")</f>
        <v/>
      </c>
    </row>
    <row r="460">
      <c r="A460" s="5" t="inlineStr">
        <is>
          <t>E00459</t>
        </is>
      </c>
      <c r="B460" s="5" t="inlineStr">
        <is>
          <t>Male</t>
        </is>
      </c>
      <c r="C460" s="6" t="inlineStr">
        <is>
          <t>25</t>
        </is>
      </c>
      <c r="D460" s="5" t="inlineStr">
        <is>
          <t>Married</t>
        </is>
      </c>
      <c r="E460" s="5" t="inlineStr">
        <is>
          <t>High School</t>
        </is>
      </c>
      <c r="F460" s="5" t="inlineStr">
        <is>
          <t>IT</t>
        </is>
      </c>
      <c r="G460" s="5" t="inlineStr">
        <is>
          <t>DevOps Engineer</t>
        </is>
      </c>
      <c r="H460" s="5" t="inlineStr">
        <is>
          <t>2</t>
        </is>
      </c>
      <c r="I460" s="5" t="inlineStr">
        <is>
          <t>Mumbai</t>
        </is>
      </c>
      <c r="J460" s="5" t="inlineStr">
        <is>
          <t>Full-Time</t>
        </is>
      </c>
      <c r="K460" s="7" t="n">
        <v>44428</v>
      </c>
      <c r="L460" s="7" t="inlineStr"/>
      <c r="M460" s="5" t="inlineStr">
        <is>
          <t>Yes</t>
        </is>
      </c>
      <c r="N460" s="5" t="inlineStr"/>
      <c r="O460" s="8" t="inlineStr">
        <is>
          <t>129500</t>
        </is>
      </c>
      <c r="P460" s="5" t="inlineStr">
        <is>
          <t>5</t>
        </is>
      </c>
      <c r="Q460" s="5" t="inlineStr">
        <is>
          <t>4</t>
        </is>
      </c>
      <c r="R460" s="5" t="inlineStr">
        <is>
          <t>1</t>
        </is>
      </c>
      <c r="S460" s="5" t="inlineStr">
        <is>
          <t>53</t>
        </is>
      </c>
      <c r="T460" s="5" t="inlineStr">
        <is>
          <t>6</t>
        </is>
      </c>
      <c r="U460" s="5">
        <f>IFS(C460&lt;30,"Under 30",C460&lt;40,"30-39",C460&lt;50,"40-49",TRUE,"50+")</f>
        <v/>
      </c>
      <c r="V460" s="5">
        <f>IFS(O460&lt;60000,"Low (&lt;60k)",O460&lt;100000,"Mid (60-100k)",TRUE,"High (100k+)")</f>
        <v/>
      </c>
      <c r="W460" s="5">
        <f>IF(M460="No","Attrited","Active")</f>
        <v/>
      </c>
    </row>
    <row r="461">
      <c r="A461" s="5" t="inlineStr">
        <is>
          <t>E00460</t>
        </is>
      </c>
      <c r="B461" s="5" t="inlineStr">
        <is>
          <t>Male</t>
        </is>
      </c>
      <c r="C461" s="6" t="inlineStr">
        <is>
          <t>33</t>
        </is>
      </c>
      <c r="D461" s="5" t="inlineStr">
        <is>
          <t>Married</t>
        </is>
      </c>
      <c r="E461" s="5" t="inlineStr">
        <is>
          <t>Master</t>
        </is>
      </c>
      <c r="F461" s="5" t="inlineStr">
        <is>
          <t>Sales</t>
        </is>
      </c>
      <c r="G461" s="5" t="inlineStr">
        <is>
          <t>Account Executive</t>
        </is>
      </c>
      <c r="H461" s="5" t="inlineStr">
        <is>
          <t>5</t>
        </is>
      </c>
      <c r="I461" s="5" t="inlineStr">
        <is>
          <t>Mumbai</t>
        </is>
      </c>
      <c r="J461" s="5" t="inlineStr">
        <is>
          <t>Full-Time</t>
        </is>
      </c>
      <c r="K461" s="7" t="n">
        <v>44793</v>
      </c>
      <c r="L461" s="7" t="n">
        <v>44839</v>
      </c>
      <c r="M461" s="5" t="inlineStr">
        <is>
          <t>No</t>
        </is>
      </c>
      <c r="N461" s="5" t="inlineStr">
        <is>
          <t>Resigned</t>
        </is>
      </c>
      <c r="O461" s="8" t="inlineStr">
        <is>
          <t>163500</t>
        </is>
      </c>
      <c r="P461" s="5" t="inlineStr">
        <is>
          <t>0</t>
        </is>
      </c>
      <c r="Q461" s="5" t="inlineStr">
        <is>
          <t>2</t>
        </is>
      </c>
      <c r="R461" s="5" t="inlineStr">
        <is>
          <t>7</t>
        </is>
      </c>
      <c r="S461" s="5" t="inlineStr">
        <is>
          <t>1</t>
        </is>
      </c>
      <c r="T461" s="5" t="inlineStr">
        <is>
          <t>3</t>
        </is>
      </c>
      <c r="U461" s="5">
        <f>IFS(C461&lt;30,"Under 30",C461&lt;40,"30-39",C461&lt;50,"40-49",TRUE,"50+")</f>
        <v/>
      </c>
      <c r="V461" s="5">
        <f>IFS(O461&lt;60000,"Low (&lt;60k)",O461&lt;100000,"Mid (60-100k)",TRUE,"High (100k+)")</f>
        <v/>
      </c>
      <c r="W461" s="5">
        <f>IF(M461="No","Attrited","Active")</f>
        <v/>
      </c>
    </row>
    <row r="462">
      <c r="A462" s="5" t="inlineStr">
        <is>
          <t>E00461</t>
        </is>
      </c>
      <c r="B462" s="5" t="inlineStr">
        <is>
          <t>Female</t>
        </is>
      </c>
      <c r="C462" s="6" t="inlineStr">
        <is>
          <t>23</t>
        </is>
      </c>
      <c r="D462" s="5" t="inlineStr">
        <is>
          <t>Single</t>
        </is>
      </c>
      <c r="E462" s="5" t="inlineStr">
        <is>
          <t>Master</t>
        </is>
      </c>
      <c r="F462" s="5" t="inlineStr">
        <is>
          <t>Operations</t>
        </is>
      </c>
      <c r="G462" s="5" t="inlineStr">
        <is>
          <t>Operations Analyst</t>
        </is>
      </c>
      <c r="H462" s="5" t="inlineStr">
        <is>
          <t>1</t>
        </is>
      </c>
      <c r="I462" s="5" t="inlineStr">
        <is>
          <t>Chennai</t>
        </is>
      </c>
      <c r="J462" s="5" t="inlineStr">
        <is>
          <t>Full-Time</t>
        </is>
      </c>
      <c r="K462" s="7" t="n">
        <v>43926</v>
      </c>
      <c r="L462" s="7" t="n">
        <v>44029</v>
      </c>
      <c r="M462" s="5" t="inlineStr">
        <is>
          <t>No</t>
        </is>
      </c>
      <c r="N462" s="5" t="inlineStr">
        <is>
          <t>Resigned</t>
        </is>
      </c>
      <c r="O462" s="8" t="inlineStr">
        <is>
          <t>55500</t>
        </is>
      </c>
      <c r="P462" s="5" t="inlineStr">
        <is>
          <t>20</t>
        </is>
      </c>
      <c r="Q462" s="5" t="inlineStr">
        <is>
          <t>3</t>
        </is>
      </c>
      <c r="R462" s="5" t="inlineStr">
        <is>
          <t>5</t>
        </is>
      </c>
      <c r="S462" s="5" t="inlineStr">
        <is>
          <t>3</t>
        </is>
      </c>
      <c r="T462" s="5" t="inlineStr">
        <is>
          <t>8</t>
        </is>
      </c>
      <c r="U462" s="5">
        <f>IFS(C462&lt;30,"Under 30",C462&lt;40,"30-39",C462&lt;50,"40-49",TRUE,"50+")</f>
        <v/>
      </c>
      <c r="V462" s="5">
        <f>IFS(O462&lt;60000,"Low (&lt;60k)",O462&lt;100000,"Mid (60-100k)",TRUE,"High (100k+)")</f>
        <v/>
      </c>
      <c r="W462" s="5">
        <f>IF(M462="No","Attrited","Active")</f>
        <v/>
      </c>
    </row>
    <row r="463">
      <c r="A463" s="5" t="inlineStr">
        <is>
          <t>E00462</t>
        </is>
      </c>
      <c r="B463" s="5" t="inlineStr">
        <is>
          <t>Female</t>
        </is>
      </c>
      <c r="C463" s="6" t="inlineStr">
        <is>
          <t>31</t>
        </is>
      </c>
      <c r="D463" s="5" t="inlineStr">
        <is>
          <t>Married</t>
        </is>
      </c>
      <c r="E463" s="5" t="inlineStr">
        <is>
          <t>PhD</t>
        </is>
      </c>
      <c r="F463" s="5" t="inlineStr">
        <is>
          <t>IT</t>
        </is>
      </c>
      <c r="G463" s="5" t="inlineStr">
        <is>
          <t>Data Analyst</t>
        </is>
      </c>
      <c r="H463" s="5" t="inlineStr">
        <is>
          <t>3</t>
        </is>
      </c>
      <c r="I463" s="5" t="inlineStr">
        <is>
          <t>Chennai</t>
        </is>
      </c>
      <c r="J463" s="5" t="inlineStr">
        <is>
          <t>Full-Time</t>
        </is>
      </c>
      <c r="K463" s="7" t="n">
        <v>44780</v>
      </c>
      <c r="L463" s="7" t="inlineStr"/>
      <c r="M463" s="5" t="inlineStr">
        <is>
          <t>Yes</t>
        </is>
      </c>
      <c r="N463" s="5" t="inlineStr"/>
      <c r="O463" s="8" t="inlineStr">
        <is>
          <t>139500</t>
        </is>
      </c>
      <c r="P463" s="5" t="inlineStr">
        <is>
          <t>20</t>
        </is>
      </c>
      <c r="Q463" s="5" t="inlineStr">
        <is>
          <t>2</t>
        </is>
      </c>
      <c r="R463" s="5" t="inlineStr">
        <is>
          <t>3</t>
        </is>
      </c>
      <c r="S463" s="5" t="inlineStr">
        <is>
          <t>41</t>
        </is>
      </c>
      <c r="T463" s="5" t="inlineStr">
        <is>
          <t>10</t>
        </is>
      </c>
      <c r="U463" s="5">
        <f>IFS(C463&lt;30,"Under 30",C463&lt;40,"30-39",C463&lt;50,"40-49",TRUE,"50+")</f>
        <v/>
      </c>
      <c r="V463" s="5">
        <f>IFS(O463&lt;60000,"Low (&lt;60k)",O463&lt;100000,"Mid (60-100k)",TRUE,"High (100k+)")</f>
        <v/>
      </c>
      <c r="W463" s="5">
        <f>IF(M463="No","Attrited","Active")</f>
        <v/>
      </c>
    </row>
    <row r="464">
      <c r="A464" s="5" t="inlineStr">
        <is>
          <t>E00463</t>
        </is>
      </c>
      <c r="B464" s="5" t="inlineStr">
        <is>
          <t>Female</t>
        </is>
      </c>
      <c r="C464" s="6" t="inlineStr">
        <is>
          <t>27</t>
        </is>
      </c>
      <c r="D464" s="5" t="inlineStr">
        <is>
          <t>Single</t>
        </is>
      </c>
      <c r="E464" s="5" t="inlineStr">
        <is>
          <t>Bachelor</t>
        </is>
      </c>
      <c r="F464" s="5" t="inlineStr">
        <is>
          <t>IT</t>
        </is>
      </c>
      <c r="G464" s="5" t="inlineStr">
        <is>
          <t>Data Analyst</t>
        </is>
      </c>
      <c r="H464" s="5" t="inlineStr">
        <is>
          <t>3</t>
        </is>
      </c>
      <c r="I464" s="5" t="inlineStr">
        <is>
          <t>Bengaluru</t>
        </is>
      </c>
      <c r="J464" s="5" t="inlineStr">
        <is>
          <t>Full-Time</t>
        </is>
      </c>
      <c r="K464" s="7" t="n">
        <v>45079</v>
      </c>
      <c r="L464" s="7" t="inlineStr"/>
      <c r="M464" s="5" t="inlineStr">
        <is>
          <t>Yes</t>
        </is>
      </c>
      <c r="N464" s="5" t="inlineStr"/>
      <c r="O464" s="8" t="inlineStr">
        <is>
          <t>165500</t>
        </is>
      </c>
      <c r="P464" s="5" t="inlineStr">
        <is>
          <t>0</t>
        </is>
      </c>
      <c r="Q464" s="5" t="inlineStr">
        <is>
          <t>5</t>
        </is>
      </c>
      <c r="R464" s="5" t="inlineStr">
        <is>
          <t>9</t>
        </is>
      </c>
      <c r="S464" s="5" t="inlineStr">
        <is>
          <t>31</t>
        </is>
      </c>
      <c r="T464" s="5" t="inlineStr">
        <is>
          <t>9</t>
        </is>
      </c>
      <c r="U464" s="5">
        <f>IFS(C464&lt;30,"Under 30",C464&lt;40,"30-39",C464&lt;50,"40-49",TRUE,"50+")</f>
        <v/>
      </c>
      <c r="V464" s="5">
        <f>IFS(O464&lt;60000,"Low (&lt;60k)",O464&lt;100000,"Mid (60-100k)",TRUE,"High (100k+)")</f>
        <v/>
      </c>
      <c r="W464" s="5">
        <f>IF(M464="No","Attrited","Active")</f>
        <v/>
      </c>
    </row>
    <row r="465">
      <c r="A465" s="5" t="inlineStr">
        <is>
          <t>E00464</t>
        </is>
      </c>
      <c r="B465" s="5" t="inlineStr">
        <is>
          <t>Female</t>
        </is>
      </c>
      <c r="C465" s="6" t="inlineStr">
        <is>
          <t>35</t>
        </is>
      </c>
      <c r="D465" s="5" t="inlineStr">
        <is>
          <t>Married</t>
        </is>
      </c>
      <c r="E465" s="5" t="inlineStr">
        <is>
          <t>Bachelor</t>
        </is>
      </c>
      <c r="F465" s="5" t="inlineStr">
        <is>
          <t>Finance</t>
        </is>
      </c>
      <c r="G465" s="5" t="inlineStr">
        <is>
          <t>Financial Analyst</t>
        </is>
      </c>
      <c r="H465" s="5" t="inlineStr">
        <is>
          <t>2</t>
        </is>
      </c>
      <c r="I465" s="5" t="inlineStr">
        <is>
          <t>Hyderabad</t>
        </is>
      </c>
      <c r="J465" s="5" t="inlineStr">
        <is>
          <t>Full-Time</t>
        </is>
      </c>
      <c r="K465" s="7" t="n">
        <v>45723</v>
      </c>
      <c r="L465" s="7" t="n">
        <v>45820</v>
      </c>
      <c r="M465" s="5" t="inlineStr">
        <is>
          <t>No</t>
        </is>
      </c>
      <c r="N465" s="5" t="inlineStr">
        <is>
          <t>Layoff</t>
        </is>
      </c>
      <c r="O465" s="8" t="inlineStr">
        <is>
          <t>95000</t>
        </is>
      </c>
      <c r="P465" s="5" t="inlineStr">
        <is>
          <t>20</t>
        </is>
      </c>
      <c r="Q465" s="5" t="inlineStr">
        <is>
          <t>5</t>
        </is>
      </c>
      <c r="R465" s="5" t="inlineStr">
        <is>
          <t>4</t>
        </is>
      </c>
      <c r="S465" s="5" t="inlineStr">
        <is>
          <t>3</t>
        </is>
      </c>
      <c r="T465" s="5" t="inlineStr">
        <is>
          <t>7</t>
        </is>
      </c>
      <c r="U465" s="5">
        <f>IFS(C465&lt;30,"Under 30",C465&lt;40,"30-39",C465&lt;50,"40-49",TRUE,"50+")</f>
        <v/>
      </c>
      <c r="V465" s="5">
        <f>IFS(O465&lt;60000,"Low (&lt;60k)",O465&lt;100000,"Mid (60-100k)",TRUE,"High (100k+)")</f>
        <v/>
      </c>
      <c r="W465" s="5">
        <f>IF(M465="No","Attrited","Active")</f>
        <v/>
      </c>
    </row>
    <row r="466">
      <c r="A466" s="5" t="inlineStr">
        <is>
          <t>E00465</t>
        </is>
      </c>
      <c r="B466" s="5" t="inlineStr">
        <is>
          <t>Male</t>
        </is>
      </c>
      <c r="C466" s="6" t="inlineStr">
        <is>
          <t>36</t>
        </is>
      </c>
      <c r="D466" s="5" t="inlineStr">
        <is>
          <t>Single</t>
        </is>
      </c>
      <c r="E466" s="5" t="inlineStr">
        <is>
          <t>PhD</t>
        </is>
      </c>
      <c r="F466" s="5" t="inlineStr">
        <is>
          <t>Sales</t>
        </is>
      </c>
      <c r="G466" s="5" t="inlineStr">
        <is>
          <t>Account Executive</t>
        </is>
      </c>
      <c r="H466" s="5" t="inlineStr">
        <is>
          <t>3</t>
        </is>
      </c>
      <c r="I466" s="5" t="inlineStr">
        <is>
          <t>Bengaluru</t>
        </is>
      </c>
      <c r="J466" s="5" t="inlineStr">
        <is>
          <t>Full-Time</t>
        </is>
      </c>
      <c r="K466" s="7" t="n">
        <v>45012</v>
      </c>
      <c r="L466" s="7" t="inlineStr"/>
      <c r="M466" s="5" t="inlineStr">
        <is>
          <t>Yes</t>
        </is>
      </c>
      <c r="N466" s="5" t="inlineStr"/>
      <c r="O466" s="8" t="inlineStr">
        <is>
          <t>81000</t>
        </is>
      </c>
      <c r="P466" s="5" t="inlineStr">
        <is>
          <t>10</t>
        </is>
      </c>
      <c r="Q466" s="5" t="inlineStr">
        <is>
          <t>3</t>
        </is>
      </c>
      <c r="R466" s="5" t="inlineStr">
        <is>
          <t>7</t>
        </is>
      </c>
      <c r="S466" s="5" t="inlineStr">
        <is>
          <t>33</t>
        </is>
      </c>
      <c r="T466" s="5" t="inlineStr">
        <is>
          <t>0</t>
        </is>
      </c>
      <c r="U466" s="5">
        <f>IFS(C466&lt;30,"Under 30",C466&lt;40,"30-39",C466&lt;50,"40-49",TRUE,"50+")</f>
        <v/>
      </c>
      <c r="V466" s="5">
        <f>IFS(O466&lt;60000,"Low (&lt;60k)",O466&lt;100000,"Mid (60-100k)",TRUE,"High (100k+)")</f>
        <v/>
      </c>
      <c r="W466" s="5">
        <f>IF(M466="No","Attrited","Active")</f>
        <v/>
      </c>
    </row>
    <row r="467">
      <c r="A467" s="5" t="inlineStr">
        <is>
          <t>E00466</t>
        </is>
      </c>
      <c r="B467" s="5" t="inlineStr">
        <is>
          <t>Male</t>
        </is>
      </c>
      <c r="C467" s="6" t="inlineStr">
        <is>
          <t>45</t>
        </is>
      </c>
      <c r="D467" s="5" t="inlineStr">
        <is>
          <t>Married</t>
        </is>
      </c>
      <c r="E467" s="5" t="inlineStr">
        <is>
          <t>Master</t>
        </is>
      </c>
      <c r="F467" s="5" t="inlineStr">
        <is>
          <t>Customer Support</t>
        </is>
      </c>
      <c r="G467" s="5" t="inlineStr">
        <is>
          <t>Support Agent</t>
        </is>
      </c>
      <c r="H467" s="5" t="inlineStr">
        <is>
          <t>7</t>
        </is>
      </c>
      <c r="I467" s="5" t="inlineStr">
        <is>
          <t>Delhi</t>
        </is>
      </c>
      <c r="J467" s="5" t="inlineStr">
        <is>
          <t>Part-Time</t>
        </is>
      </c>
      <c r="K467" s="7" t="n">
        <v>45393</v>
      </c>
      <c r="L467" s="7" t="inlineStr"/>
      <c r="M467" s="5" t="inlineStr">
        <is>
          <t>Yes</t>
        </is>
      </c>
      <c r="N467" s="5" t="inlineStr"/>
      <c r="O467" s="8" t="inlineStr">
        <is>
          <t>92500</t>
        </is>
      </c>
      <c r="P467" s="5" t="inlineStr">
        <is>
          <t>20</t>
        </is>
      </c>
      <c r="Q467" s="5" t="inlineStr">
        <is>
          <t>2</t>
        </is>
      </c>
      <c r="R467" s="5" t="inlineStr">
        <is>
          <t>6</t>
        </is>
      </c>
      <c r="S467" s="5" t="inlineStr">
        <is>
          <t>20</t>
        </is>
      </c>
      <c r="T467" s="5" t="inlineStr">
        <is>
          <t>12</t>
        </is>
      </c>
      <c r="U467" s="5">
        <f>IFS(C467&lt;30,"Under 30",C467&lt;40,"30-39",C467&lt;50,"40-49",TRUE,"50+")</f>
        <v/>
      </c>
      <c r="V467" s="5">
        <f>IFS(O467&lt;60000,"Low (&lt;60k)",O467&lt;100000,"Mid (60-100k)",TRUE,"High (100k+)")</f>
        <v/>
      </c>
      <c r="W467" s="5">
        <f>IF(M467="No","Attrited","Active")</f>
        <v/>
      </c>
    </row>
    <row r="468">
      <c r="A468" s="5" t="inlineStr">
        <is>
          <t>E00467</t>
        </is>
      </c>
      <c r="B468" s="5" t="inlineStr">
        <is>
          <t>Male</t>
        </is>
      </c>
      <c r="C468" s="6" t="inlineStr">
        <is>
          <t>30</t>
        </is>
      </c>
      <c r="D468" s="5" t="inlineStr">
        <is>
          <t>Married</t>
        </is>
      </c>
      <c r="E468" s="5" t="inlineStr">
        <is>
          <t>Bachelor</t>
        </is>
      </c>
      <c r="F468" s="5" t="inlineStr">
        <is>
          <t>IT</t>
        </is>
      </c>
      <c r="G468" s="5" t="inlineStr">
        <is>
          <t>IT Support</t>
        </is>
      </c>
      <c r="H468" s="5" t="inlineStr">
        <is>
          <t>4</t>
        </is>
      </c>
      <c r="I468" s="5" t="inlineStr">
        <is>
          <t>Bengaluru</t>
        </is>
      </c>
      <c r="J468" s="5" t="inlineStr">
        <is>
          <t>Full-Time</t>
        </is>
      </c>
      <c r="K468" s="7" t="n">
        <v>44647</v>
      </c>
      <c r="L468" s="7" t="inlineStr"/>
      <c r="M468" s="5" t="inlineStr">
        <is>
          <t>Yes</t>
        </is>
      </c>
      <c r="N468" s="5" t="inlineStr"/>
      <c r="O468" s="8" t="inlineStr">
        <is>
          <t>159000</t>
        </is>
      </c>
      <c r="P468" s="5" t="inlineStr">
        <is>
          <t>5</t>
        </is>
      </c>
      <c r="Q468" s="5" t="inlineStr">
        <is>
          <t>4</t>
        </is>
      </c>
      <c r="R468" s="5" t="inlineStr">
        <is>
          <t>7</t>
        </is>
      </c>
      <c r="S468" s="5" t="inlineStr">
        <is>
          <t>45</t>
        </is>
      </c>
      <c r="T468" s="5" t="inlineStr">
        <is>
          <t>13</t>
        </is>
      </c>
      <c r="U468" s="5">
        <f>IFS(C468&lt;30,"Under 30",C468&lt;40,"30-39",C468&lt;50,"40-49",TRUE,"50+")</f>
        <v/>
      </c>
      <c r="V468" s="5">
        <f>IFS(O468&lt;60000,"Low (&lt;60k)",O468&lt;100000,"Mid (60-100k)",TRUE,"High (100k+)")</f>
        <v/>
      </c>
      <c r="W468" s="5">
        <f>IF(M468="No","Attrited","Active")</f>
        <v/>
      </c>
    </row>
    <row r="469">
      <c r="A469" s="5" t="inlineStr">
        <is>
          <t>E00468</t>
        </is>
      </c>
      <c r="B469" s="5" t="inlineStr">
        <is>
          <t>Male</t>
        </is>
      </c>
      <c r="C469" s="6" t="inlineStr">
        <is>
          <t>37</t>
        </is>
      </c>
      <c r="D469" s="5" t="inlineStr">
        <is>
          <t>Single</t>
        </is>
      </c>
      <c r="E469" s="5" t="inlineStr">
        <is>
          <t>Master</t>
        </is>
      </c>
      <c r="F469" s="5" t="inlineStr">
        <is>
          <t>Marketing</t>
        </is>
      </c>
      <c r="G469" s="5" t="inlineStr">
        <is>
          <t>Content Writer</t>
        </is>
      </c>
      <c r="H469" s="5" t="inlineStr">
        <is>
          <t>5</t>
        </is>
      </c>
      <c r="I469" s="5" t="inlineStr">
        <is>
          <t>Chennai</t>
        </is>
      </c>
      <c r="J469" s="5" t="inlineStr">
        <is>
          <t>Full-Time</t>
        </is>
      </c>
      <c r="K469" s="7" t="n">
        <v>45129</v>
      </c>
      <c r="L469" s="7" t="inlineStr"/>
      <c r="M469" s="5" t="inlineStr">
        <is>
          <t>Yes</t>
        </is>
      </c>
      <c r="N469" s="5" t="inlineStr"/>
      <c r="O469" s="8" t="inlineStr">
        <is>
          <t>95000</t>
        </is>
      </c>
      <c r="P469" s="5" t="inlineStr">
        <is>
          <t>5</t>
        </is>
      </c>
      <c r="Q469" s="5" t="inlineStr">
        <is>
          <t>4</t>
        </is>
      </c>
      <c r="R469" s="5" t="inlineStr">
        <is>
          <t>8</t>
        </is>
      </c>
      <c r="S469" s="5" t="inlineStr">
        <is>
          <t>29</t>
        </is>
      </c>
      <c r="T469" s="5" t="inlineStr">
        <is>
          <t>0</t>
        </is>
      </c>
      <c r="U469" s="5">
        <f>IFS(C469&lt;30,"Under 30",C469&lt;40,"30-39",C469&lt;50,"40-49",TRUE,"50+")</f>
        <v/>
      </c>
      <c r="V469" s="5">
        <f>IFS(O469&lt;60000,"Low (&lt;60k)",O469&lt;100000,"Mid (60-100k)",TRUE,"High (100k+)")</f>
        <v/>
      </c>
      <c r="W469" s="5">
        <f>IF(M469="No","Attrited","Active")</f>
        <v/>
      </c>
    </row>
    <row r="470">
      <c r="A470" s="5" t="inlineStr">
        <is>
          <t>E00469</t>
        </is>
      </c>
      <c r="B470" s="5" t="inlineStr">
        <is>
          <t>Female</t>
        </is>
      </c>
      <c r="C470" s="6" t="inlineStr">
        <is>
          <t>34</t>
        </is>
      </c>
      <c r="D470" s="5" t="inlineStr">
        <is>
          <t>Married</t>
        </is>
      </c>
      <c r="E470" s="5" t="inlineStr">
        <is>
          <t>Diploma</t>
        </is>
      </c>
      <c r="F470" s="5" t="inlineStr">
        <is>
          <t>Finance</t>
        </is>
      </c>
      <c r="G470" s="5" t="inlineStr">
        <is>
          <t>Accountant</t>
        </is>
      </c>
      <c r="H470" s="5" t="inlineStr">
        <is>
          <t>5</t>
        </is>
      </c>
      <c r="I470" s="5" t="inlineStr">
        <is>
          <t>Hyderabad</t>
        </is>
      </c>
      <c r="J470" s="5" t="inlineStr">
        <is>
          <t>Full-Time</t>
        </is>
      </c>
      <c r="K470" s="7" t="n">
        <v>46001</v>
      </c>
      <c r="L470" s="7" t="inlineStr"/>
      <c r="M470" s="5" t="inlineStr">
        <is>
          <t>Yes</t>
        </is>
      </c>
      <c r="N470" s="5" t="inlineStr"/>
      <c r="O470" s="8" t="inlineStr">
        <is>
          <t>121500</t>
        </is>
      </c>
      <c r="P470" s="5" t="inlineStr">
        <is>
          <t>5</t>
        </is>
      </c>
      <c r="Q470" s="5" t="inlineStr">
        <is>
          <t>4</t>
        </is>
      </c>
      <c r="R470" s="5" t="inlineStr">
        <is>
          <t>5</t>
        </is>
      </c>
      <c r="S470" s="5" t="inlineStr">
        <is>
          <t>1</t>
        </is>
      </c>
      <c r="T470" s="5" t="inlineStr">
        <is>
          <t>0</t>
        </is>
      </c>
      <c r="U470" s="5">
        <f>IFS(C470&lt;30,"Under 30",C470&lt;40,"30-39",C470&lt;50,"40-49",TRUE,"50+")</f>
        <v/>
      </c>
      <c r="V470" s="5">
        <f>IFS(O470&lt;60000,"Low (&lt;60k)",O470&lt;100000,"Mid (60-100k)",TRUE,"High (100k+)")</f>
        <v/>
      </c>
      <c r="W470" s="5">
        <f>IF(M470="No","Attrited","Active")</f>
        <v/>
      </c>
    </row>
    <row r="471">
      <c r="A471" s="5" t="inlineStr">
        <is>
          <t>E00470</t>
        </is>
      </c>
      <c r="B471" s="5" t="inlineStr">
        <is>
          <t>Female</t>
        </is>
      </c>
      <c r="C471" s="6" t="inlineStr">
        <is>
          <t>32</t>
        </is>
      </c>
      <c r="D471" s="5" t="inlineStr">
        <is>
          <t>Married</t>
        </is>
      </c>
      <c r="E471" s="5" t="inlineStr">
        <is>
          <t>PhD</t>
        </is>
      </c>
      <c r="F471" s="5" t="inlineStr">
        <is>
          <t>IT</t>
        </is>
      </c>
      <c r="G471" s="5" t="inlineStr">
        <is>
          <t>Data Analyst</t>
        </is>
      </c>
      <c r="H471" s="5" t="inlineStr">
        <is>
          <t>2</t>
        </is>
      </c>
      <c r="I471" s="5" t="inlineStr">
        <is>
          <t>Delhi</t>
        </is>
      </c>
      <c r="J471" s="5" t="inlineStr">
        <is>
          <t>Full-Time</t>
        </is>
      </c>
      <c r="K471" s="7" t="n">
        <v>45788</v>
      </c>
      <c r="L471" s="7" t="inlineStr"/>
      <c r="M471" s="5" t="inlineStr">
        <is>
          <t>Yes</t>
        </is>
      </c>
      <c r="N471" s="5" t="inlineStr"/>
      <c r="O471" s="8" t="inlineStr">
        <is>
          <t>99000</t>
        </is>
      </c>
      <c r="P471" s="5" t="inlineStr">
        <is>
          <t>0</t>
        </is>
      </c>
      <c r="Q471" s="5" t="inlineStr">
        <is>
          <t>2</t>
        </is>
      </c>
      <c r="R471" s="5" t="inlineStr">
        <is>
          <t>5</t>
        </is>
      </c>
      <c r="S471" s="5" t="inlineStr">
        <is>
          <t>7</t>
        </is>
      </c>
      <c r="T471" s="5" t="inlineStr">
        <is>
          <t>4</t>
        </is>
      </c>
      <c r="U471" s="5">
        <f>IFS(C471&lt;30,"Under 30",C471&lt;40,"30-39",C471&lt;50,"40-49",TRUE,"50+")</f>
        <v/>
      </c>
      <c r="V471" s="5">
        <f>IFS(O471&lt;60000,"Low (&lt;60k)",O471&lt;100000,"Mid (60-100k)",TRUE,"High (100k+)")</f>
        <v/>
      </c>
      <c r="W471" s="5">
        <f>IF(M471="No","Attrited","Active")</f>
        <v/>
      </c>
    </row>
    <row r="472">
      <c r="A472" s="5" t="inlineStr">
        <is>
          <t>E00471</t>
        </is>
      </c>
      <c r="B472" s="5" t="inlineStr">
        <is>
          <t>Male</t>
        </is>
      </c>
      <c r="C472" s="6" t="inlineStr">
        <is>
          <t>27</t>
        </is>
      </c>
      <c r="D472" s="5" t="inlineStr">
        <is>
          <t>Divorced</t>
        </is>
      </c>
      <c r="E472" s="5" t="inlineStr">
        <is>
          <t>PhD</t>
        </is>
      </c>
      <c r="F472" s="5" t="inlineStr">
        <is>
          <t>Finance</t>
        </is>
      </c>
      <c r="G472" s="5" t="inlineStr">
        <is>
          <t>Credit Analyst</t>
        </is>
      </c>
      <c r="H472" s="5" t="inlineStr">
        <is>
          <t>3</t>
        </is>
      </c>
      <c r="I472" s="5" t="inlineStr">
        <is>
          <t>Chennai</t>
        </is>
      </c>
      <c r="J472" s="5" t="inlineStr">
        <is>
          <t>Full-Time</t>
        </is>
      </c>
      <c r="K472" s="7" t="n">
        <v>44059</v>
      </c>
      <c r="L472" s="7" t="inlineStr"/>
      <c r="M472" s="5" t="inlineStr">
        <is>
          <t>Yes</t>
        </is>
      </c>
      <c r="N472" s="5" t="inlineStr"/>
      <c r="O472" s="8" t="inlineStr">
        <is>
          <t>143500</t>
        </is>
      </c>
      <c r="P472" s="5" t="inlineStr">
        <is>
          <t>5</t>
        </is>
      </c>
      <c r="Q472" s="5" t="inlineStr">
        <is>
          <t>3</t>
        </is>
      </c>
      <c r="R472" s="5" t="inlineStr">
        <is>
          <t>10</t>
        </is>
      </c>
      <c r="S472" s="5" t="inlineStr">
        <is>
          <t>65</t>
        </is>
      </c>
      <c r="T472" s="5" t="inlineStr">
        <is>
          <t>4</t>
        </is>
      </c>
      <c r="U472" s="5">
        <f>IFS(C472&lt;30,"Under 30",C472&lt;40,"30-39",C472&lt;50,"40-49",TRUE,"50+")</f>
        <v/>
      </c>
      <c r="V472" s="5">
        <f>IFS(O472&lt;60000,"Low (&lt;60k)",O472&lt;100000,"Mid (60-100k)",TRUE,"High (100k+)")</f>
        <v/>
      </c>
      <c r="W472" s="5">
        <f>IF(M472="No","Attrited","Active")</f>
        <v/>
      </c>
    </row>
    <row r="473">
      <c r="A473" s="5" t="inlineStr">
        <is>
          <t>E00472</t>
        </is>
      </c>
      <c r="B473" s="5" t="inlineStr">
        <is>
          <t>Male</t>
        </is>
      </c>
      <c r="C473" s="6" t="inlineStr">
        <is>
          <t>30</t>
        </is>
      </c>
      <c r="D473" s="5" t="inlineStr">
        <is>
          <t>Married</t>
        </is>
      </c>
      <c r="E473" s="5" t="inlineStr">
        <is>
          <t>Master</t>
        </is>
      </c>
      <c r="F473" s="5" t="inlineStr">
        <is>
          <t>Research &amp; Development</t>
        </is>
      </c>
      <c r="G473" s="5" t="inlineStr">
        <is>
          <t>Data Scientist</t>
        </is>
      </c>
      <c r="H473" s="5" t="inlineStr">
        <is>
          <t>4</t>
        </is>
      </c>
      <c r="I473" s="5" t="inlineStr">
        <is>
          <t>Delhi</t>
        </is>
      </c>
      <c r="J473" s="5" t="inlineStr">
        <is>
          <t>Full-Time</t>
        </is>
      </c>
      <c r="K473" s="7" t="n">
        <v>44005</v>
      </c>
      <c r="L473" s="7" t="inlineStr"/>
      <c r="M473" s="5" t="inlineStr">
        <is>
          <t>Yes</t>
        </is>
      </c>
      <c r="N473" s="5" t="inlineStr"/>
      <c r="O473" s="8" t="inlineStr">
        <is>
          <t>177000</t>
        </is>
      </c>
      <c r="P473" s="5" t="inlineStr">
        <is>
          <t>10</t>
        </is>
      </c>
      <c r="Q473" s="5" t="inlineStr">
        <is>
          <t>2</t>
        </is>
      </c>
      <c r="R473" s="5" t="inlineStr">
        <is>
          <t>6</t>
        </is>
      </c>
      <c r="S473" s="5" t="inlineStr">
        <is>
          <t>67</t>
        </is>
      </c>
      <c r="T473" s="5" t="inlineStr">
        <is>
          <t>14</t>
        </is>
      </c>
      <c r="U473" s="5">
        <f>IFS(C473&lt;30,"Under 30",C473&lt;40,"30-39",C473&lt;50,"40-49",TRUE,"50+")</f>
        <v/>
      </c>
      <c r="V473" s="5">
        <f>IFS(O473&lt;60000,"Low (&lt;60k)",O473&lt;100000,"Mid (60-100k)",TRUE,"High (100k+)")</f>
        <v/>
      </c>
      <c r="W473" s="5">
        <f>IF(M473="No","Attrited","Active")</f>
        <v/>
      </c>
    </row>
    <row r="474">
      <c r="A474" s="5" t="inlineStr">
        <is>
          <t>E00473</t>
        </is>
      </c>
      <c r="B474" s="5" t="inlineStr">
        <is>
          <t>Female</t>
        </is>
      </c>
      <c r="C474" s="6" t="inlineStr">
        <is>
          <t>40</t>
        </is>
      </c>
      <c r="D474" s="5" t="inlineStr">
        <is>
          <t>Single</t>
        </is>
      </c>
      <c r="E474" s="5" t="inlineStr">
        <is>
          <t>Bachelor</t>
        </is>
      </c>
      <c r="F474" s="5" t="inlineStr">
        <is>
          <t>Customer Support</t>
        </is>
      </c>
      <c r="G474" s="5" t="inlineStr">
        <is>
          <t>Escalation Specialist</t>
        </is>
      </c>
      <c r="H474" s="5" t="inlineStr">
        <is>
          <t>4</t>
        </is>
      </c>
      <c r="I474" s="5" t="inlineStr">
        <is>
          <t>Hyderabad</t>
        </is>
      </c>
      <c r="J474" s="5" t="inlineStr">
        <is>
          <t>Full-Time</t>
        </is>
      </c>
      <c r="K474" s="7" t="n">
        <v>45334</v>
      </c>
      <c r="L474" s="7" t="n">
        <v>45415</v>
      </c>
      <c r="M474" s="5" t="inlineStr">
        <is>
          <t>No</t>
        </is>
      </c>
      <c r="N474" s="5" t="inlineStr">
        <is>
          <t>Resigned</t>
        </is>
      </c>
      <c r="O474" s="8" t="inlineStr">
        <is>
          <t>67000</t>
        </is>
      </c>
      <c r="P474" s="5" t="inlineStr">
        <is>
          <t>0</t>
        </is>
      </c>
      <c r="Q474" s="5" t="inlineStr">
        <is>
          <t>1</t>
        </is>
      </c>
      <c r="R474" s="5" t="inlineStr">
        <is>
          <t>7</t>
        </is>
      </c>
      <c r="S474" s="5" t="inlineStr">
        <is>
          <t>2</t>
        </is>
      </c>
      <c r="T474" s="5" t="inlineStr">
        <is>
          <t>8</t>
        </is>
      </c>
      <c r="U474" s="5">
        <f>IFS(C474&lt;30,"Under 30",C474&lt;40,"30-39",C474&lt;50,"40-49",TRUE,"50+")</f>
        <v/>
      </c>
      <c r="V474" s="5">
        <f>IFS(O474&lt;60000,"Low (&lt;60k)",O474&lt;100000,"Mid (60-100k)",TRUE,"High (100k+)")</f>
        <v/>
      </c>
      <c r="W474" s="5">
        <f>IF(M474="No","Attrited","Active")</f>
        <v/>
      </c>
    </row>
    <row r="475">
      <c r="A475" s="5" t="inlineStr">
        <is>
          <t>E00474</t>
        </is>
      </c>
      <c r="B475" s="5" t="inlineStr">
        <is>
          <t>Female</t>
        </is>
      </c>
      <c r="C475" s="6" t="inlineStr">
        <is>
          <t>31</t>
        </is>
      </c>
      <c r="D475" s="5" t="inlineStr">
        <is>
          <t>Single</t>
        </is>
      </c>
      <c r="E475" s="5" t="inlineStr">
        <is>
          <t>Master</t>
        </is>
      </c>
      <c r="F475" s="5" t="inlineStr">
        <is>
          <t>Customer Support</t>
        </is>
      </c>
      <c r="G475" s="5" t="inlineStr">
        <is>
          <t>Support Agent</t>
        </is>
      </c>
      <c r="H475" s="5" t="inlineStr">
        <is>
          <t>4</t>
        </is>
      </c>
      <c r="I475" s="5" t="inlineStr">
        <is>
          <t>Hyderabad</t>
        </is>
      </c>
      <c r="J475" s="5" t="inlineStr">
        <is>
          <t>Full-Time</t>
        </is>
      </c>
      <c r="K475" s="7" t="n">
        <v>45816</v>
      </c>
      <c r="L475" s="7" t="inlineStr"/>
      <c r="M475" s="5" t="inlineStr">
        <is>
          <t>Yes</t>
        </is>
      </c>
      <c r="N475" s="5" t="inlineStr"/>
      <c r="O475" s="8" t="inlineStr">
        <is>
          <t>82500</t>
        </is>
      </c>
      <c r="P475" s="5" t="inlineStr">
        <is>
          <t>20</t>
        </is>
      </c>
      <c r="Q475" s="5" t="inlineStr">
        <is>
          <t>3</t>
        </is>
      </c>
      <c r="R475" s="5" t="inlineStr">
        <is>
          <t>4</t>
        </is>
      </c>
      <c r="S475" s="5" t="inlineStr">
        <is>
          <t>6</t>
        </is>
      </c>
      <c r="T475" s="5" t="inlineStr">
        <is>
          <t>12</t>
        </is>
      </c>
      <c r="U475" s="5">
        <f>IFS(C475&lt;30,"Under 30",C475&lt;40,"30-39",C475&lt;50,"40-49",TRUE,"50+")</f>
        <v/>
      </c>
      <c r="V475" s="5">
        <f>IFS(O475&lt;60000,"Low (&lt;60k)",O475&lt;100000,"Mid (60-100k)",TRUE,"High (100k+)")</f>
        <v/>
      </c>
      <c r="W475" s="5">
        <f>IF(M475="No","Attrited","Active")</f>
        <v/>
      </c>
    </row>
    <row r="476">
      <c r="A476" s="5" t="inlineStr">
        <is>
          <t>E00475</t>
        </is>
      </c>
      <c r="B476" s="5" t="inlineStr">
        <is>
          <t>Male</t>
        </is>
      </c>
      <c r="C476" s="6" t="inlineStr">
        <is>
          <t>33</t>
        </is>
      </c>
      <c r="D476" s="5" t="inlineStr">
        <is>
          <t>Married</t>
        </is>
      </c>
      <c r="E476" s="5" t="inlineStr">
        <is>
          <t>High School</t>
        </is>
      </c>
      <c r="F476" s="5" t="inlineStr">
        <is>
          <t>Finance</t>
        </is>
      </c>
      <c r="G476" s="5" t="inlineStr">
        <is>
          <t>Accountant</t>
        </is>
      </c>
      <c r="H476" s="5" t="inlineStr">
        <is>
          <t>3</t>
        </is>
      </c>
      <c r="I476" s="5" t="inlineStr">
        <is>
          <t>Remote</t>
        </is>
      </c>
      <c r="J476" s="5" t="inlineStr">
        <is>
          <t>Full-Time</t>
        </is>
      </c>
      <c r="K476" s="7" t="n">
        <v>45601</v>
      </c>
      <c r="L476" s="7" t="inlineStr"/>
      <c r="M476" s="5" t="inlineStr">
        <is>
          <t>Yes</t>
        </is>
      </c>
      <c r="N476" s="5" t="inlineStr"/>
      <c r="O476" s="8" t="inlineStr">
        <is>
          <t>113000</t>
        </is>
      </c>
      <c r="P476" s="5" t="inlineStr">
        <is>
          <t>0</t>
        </is>
      </c>
      <c r="Q476" s="5" t="inlineStr">
        <is>
          <t>4</t>
        </is>
      </c>
      <c r="R476" s="5" t="inlineStr">
        <is>
          <t>6</t>
        </is>
      </c>
      <c r="S476" s="5" t="inlineStr">
        <is>
          <t>14</t>
        </is>
      </c>
      <c r="T476" s="5" t="inlineStr">
        <is>
          <t>12</t>
        </is>
      </c>
      <c r="U476" s="5">
        <f>IFS(C476&lt;30,"Under 30",C476&lt;40,"30-39",C476&lt;50,"40-49",TRUE,"50+")</f>
        <v/>
      </c>
      <c r="V476" s="5">
        <f>IFS(O476&lt;60000,"Low (&lt;60k)",O476&lt;100000,"Mid (60-100k)",TRUE,"High (100k+)")</f>
        <v/>
      </c>
      <c r="W476" s="5">
        <f>IF(M476="No","Attrited","Active")</f>
        <v/>
      </c>
    </row>
    <row r="477">
      <c r="A477" s="5" t="inlineStr">
        <is>
          <t>E00476</t>
        </is>
      </c>
      <c r="B477" s="5" t="inlineStr">
        <is>
          <t>Female</t>
        </is>
      </c>
      <c r="C477" s="6" t="inlineStr">
        <is>
          <t>39</t>
        </is>
      </c>
      <c r="D477" s="5" t="inlineStr">
        <is>
          <t>Married</t>
        </is>
      </c>
      <c r="E477" s="5" t="inlineStr">
        <is>
          <t>High School</t>
        </is>
      </c>
      <c r="F477" s="5" t="inlineStr">
        <is>
          <t>IT</t>
        </is>
      </c>
      <c r="G477" s="5" t="inlineStr">
        <is>
          <t>Data Analyst</t>
        </is>
      </c>
      <c r="H477" s="5" t="inlineStr">
        <is>
          <t>4</t>
        </is>
      </c>
      <c r="I477" s="5" t="inlineStr">
        <is>
          <t>Remote</t>
        </is>
      </c>
      <c r="J477" s="5" t="inlineStr">
        <is>
          <t>Full-Time</t>
        </is>
      </c>
      <c r="K477" s="7" t="n">
        <v>44698</v>
      </c>
      <c r="L477" s="7" t="inlineStr"/>
      <c r="M477" s="5" t="inlineStr">
        <is>
          <t>Yes</t>
        </is>
      </c>
      <c r="N477" s="5" t="inlineStr"/>
      <c r="O477" s="8" t="inlineStr">
        <is>
          <t>145000</t>
        </is>
      </c>
      <c r="P477" s="5" t="inlineStr">
        <is>
          <t>5</t>
        </is>
      </c>
      <c r="Q477" s="5" t="inlineStr">
        <is>
          <t>4</t>
        </is>
      </c>
      <c r="R477" s="5" t="inlineStr">
        <is>
          <t>7</t>
        </is>
      </c>
      <c r="S477" s="5" t="inlineStr">
        <is>
          <t>44</t>
        </is>
      </c>
      <c r="T477" s="5" t="inlineStr">
        <is>
          <t>6</t>
        </is>
      </c>
      <c r="U477" s="5">
        <f>IFS(C477&lt;30,"Under 30",C477&lt;40,"30-39",C477&lt;50,"40-49",TRUE,"50+")</f>
        <v/>
      </c>
      <c r="V477" s="5">
        <f>IFS(O477&lt;60000,"Low (&lt;60k)",O477&lt;100000,"Mid (60-100k)",TRUE,"High (100k+)")</f>
        <v/>
      </c>
      <c r="W477" s="5">
        <f>IF(M477="No","Attrited","Active")</f>
        <v/>
      </c>
    </row>
    <row r="478">
      <c r="A478" s="5" t="inlineStr">
        <is>
          <t>E00477</t>
        </is>
      </c>
      <c r="B478" s="5" t="inlineStr">
        <is>
          <t>Male</t>
        </is>
      </c>
      <c r="C478" s="6" t="inlineStr">
        <is>
          <t>23</t>
        </is>
      </c>
      <c r="D478" s="5" t="inlineStr">
        <is>
          <t>Married</t>
        </is>
      </c>
      <c r="E478" s="5" t="inlineStr">
        <is>
          <t>Bachelor</t>
        </is>
      </c>
      <c r="F478" s="5" t="inlineStr">
        <is>
          <t>Marketing</t>
        </is>
      </c>
      <c r="G478" s="5" t="inlineStr">
        <is>
          <t>Content Writer</t>
        </is>
      </c>
      <c r="H478" s="5" t="inlineStr">
        <is>
          <t>1</t>
        </is>
      </c>
      <c r="I478" s="5" t="inlineStr">
        <is>
          <t>Bengaluru</t>
        </is>
      </c>
      <c r="J478" s="5" t="inlineStr">
        <is>
          <t>Full-Time</t>
        </is>
      </c>
      <c r="K478" s="7" t="n">
        <v>44629</v>
      </c>
      <c r="L478" s="7" t="inlineStr"/>
      <c r="M478" s="5" t="inlineStr">
        <is>
          <t>Yes</t>
        </is>
      </c>
      <c r="N478" s="5" t="inlineStr"/>
      <c r="O478" s="8" t="inlineStr">
        <is>
          <t>55000</t>
        </is>
      </c>
      <c r="P478" s="5" t="inlineStr">
        <is>
          <t>5</t>
        </is>
      </c>
      <c r="Q478" s="5" t="inlineStr">
        <is>
          <t>5</t>
        </is>
      </c>
      <c r="R478" s="5" t="inlineStr">
        <is>
          <t>6</t>
        </is>
      </c>
      <c r="S478" s="5" t="inlineStr">
        <is>
          <t>46</t>
        </is>
      </c>
      <c r="T478" s="5" t="inlineStr">
        <is>
          <t>6</t>
        </is>
      </c>
      <c r="U478" s="5">
        <f>IFS(C478&lt;30,"Under 30",C478&lt;40,"30-39",C478&lt;50,"40-49",TRUE,"50+")</f>
        <v/>
      </c>
      <c r="V478" s="5">
        <f>IFS(O478&lt;60000,"Low (&lt;60k)",O478&lt;100000,"Mid (60-100k)",TRUE,"High (100k+)")</f>
        <v/>
      </c>
      <c r="W478" s="5">
        <f>IF(M478="No","Attrited","Active")</f>
        <v/>
      </c>
    </row>
    <row r="479">
      <c r="A479" s="5" t="inlineStr">
        <is>
          <t>E00478</t>
        </is>
      </c>
      <c r="B479" s="5" t="inlineStr">
        <is>
          <t>Male</t>
        </is>
      </c>
      <c r="C479" s="6" t="inlineStr">
        <is>
          <t>32</t>
        </is>
      </c>
      <c r="D479" s="5" t="inlineStr">
        <is>
          <t>Married</t>
        </is>
      </c>
      <c r="E479" s="5" t="inlineStr">
        <is>
          <t>High School</t>
        </is>
      </c>
      <c r="F479" s="5" t="inlineStr">
        <is>
          <t>Customer Support</t>
        </is>
      </c>
      <c r="G479" s="5" t="inlineStr">
        <is>
          <t>Support Agent</t>
        </is>
      </c>
      <c r="H479" s="5" t="inlineStr">
        <is>
          <t>3</t>
        </is>
      </c>
      <c r="I479" s="5" t="inlineStr">
        <is>
          <t>Bengaluru</t>
        </is>
      </c>
      <c r="J479" s="5" t="inlineStr">
        <is>
          <t>Full-Time</t>
        </is>
      </c>
      <c r="K479" s="7" t="n">
        <v>44725</v>
      </c>
      <c r="L479" s="7" t="inlineStr"/>
      <c r="M479" s="5" t="inlineStr">
        <is>
          <t>Yes</t>
        </is>
      </c>
      <c r="N479" s="5" t="inlineStr"/>
      <c r="O479" s="8" t="inlineStr">
        <is>
          <t>83000</t>
        </is>
      </c>
      <c r="P479" s="5" t="inlineStr">
        <is>
          <t>15</t>
        </is>
      </c>
      <c r="Q479" s="5" t="inlineStr">
        <is>
          <t>4</t>
        </is>
      </c>
      <c r="R479" s="5" t="inlineStr">
        <is>
          <t>8</t>
        </is>
      </c>
      <c r="S479" s="5" t="inlineStr">
        <is>
          <t>43</t>
        </is>
      </c>
      <c r="T479" s="5" t="inlineStr">
        <is>
          <t>8</t>
        </is>
      </c>
      <c r="U479" s="5">
        <f>IFS(C479&lt;30,"Under 30",C479&lt;40,"30-39",C479&lt;50,"40-49",TRUE,"50+")</f>
        <v/>
      </c>
      <c r="V479" s="5">
        <f>IFS(O479&lt;60000,"Low (&lt;60k)",O479&lt;100000,"Mid (60-100k)",TRUE,"High (100k+)")</f>
        <v/>
      </c>
      <c r="W479" s="5">
        <f>IF(M479="No","Attrited","Active")</f>
        <v/>
      </c>
    </row>
    <row r="480">
      <c r="A480" s="5" t="inlineStr">
        <is>
          <t>E00479</t>
        </is>
      </c>
      <c r="B480" s="5" t="inlineStr">
        <is>
          <t>Female</t>
        </is>
      </c>
      <c r="C480" s="6" t="inlineStr">
        <is>
          <t>32</t>
        </is>
      </c>
      <c r="D480" s="5" t="inlineStr">
        <is>
          <t>Married</t>
        </is>
      </c>
      <c r="E480" s="5" t="inlineStr">
        <is>
          <t>Master</t>
        </is>
      </c>
      <c r="F480" s="5" t="inlineStr">
        <is>
          <t>Operations</t>
        </is>
      </c>
      <c r="G480" s="5" t="inlineStr">
        <is>
          <t>Quality Analyst</t>
        </is>
      </c>
      <c r="H480" s="5" t="inlineStr">
        <is>
          <t>1</t>
        </is>
      </c>
      <c r="I480" s="5" t="inlineStr">
        <is>
          <t>Mumbai</t>
        </is>
      </c>
      <c r="J480" s="5" t="inlineStr">
        <is>
          <t>Full-Time</t>
        </is>
      </c>
      <c r="K480" s="7" t="n">
        <v>44118</v>
      </c>
      <c r="L480" s="7" t="n">
        <v>44198</v>
      </c>
      <c r="M480" s="5" t="inlineStr">
        <is>
          <t>No</t>
        </is>
      </c>
      <c r="N480" s="5" t="inlineStr">
        <is>
          <t>Performance / Termination</t>
        </is>
      </c>
      <c r="O480" s="8" t="inlineStr">
        <is>
          <t>90500</t>
        </is>
      </c>
      <c r="P480" s="5" t="inlineStr">
        <is>
          <t>0</t>
        </is>
      </c>
      <c r="Q480" s="5" t="inlineStr">
        <is>
          <t>4</t>
        </is>
      </c>
      <c r="R480" s="5" t="inlineStr">
        <is>
          <t>5</t>
        </is>
      </c>
      <c r="S480" s="5" t="inlineStr">
        <is>
          <t>2</t>
        </is>
      </c>
      <c r="T480" s="5" t="inlineStr">
        <is>
          <t>0</t>
        </is>
      </c>
      <c r="U480" s="5">
        <f>IFS(C480&lt;30,"Under 30",C480&lt;40,"30-39",C480&lt;50,"40-49",TRUE,"50+")</f>
        <v/>
      </c>
      <c r="V480" s="5">
        <f>IFS(O480&lt;60000,"Low (&lt;60k)",O480&lt;100000,"Mid (60-100k)",TRUE,"High (100k+)")</f>
        <v/>
      </c>
      <c r="W480" s="5">
        <f>IF(M480="No","Attrited","Active")</f>
        <v/>
      </c>
    </row>
    <row r="481">
      <c r="A481" s="5" t="inlineStr">
        <is>
          <t>E00480</t>
        </is>
      </c>
      <c r="B481" s="5" t="inlineStr">
        <is>
          <t>Female</t>
        </is>
      </c>
      <c r="C481" s="6" t="inlineStr">
        <is>
          <t>28</t>
        </is>
      </c>
      <c r="D481" s="5" t="inlineStr">
        <is>
          <t>Single</t>
        </is>
      </c>
      <c r="E481" s="5" t="inlineStr">
        <is>
          <t>Master</t>
        </is>
      </c>
      <c r="F481" s="5" t="inlineStr">
        <is>
          <t>Operations</t>
        </is>
      </c>
      <c r="G481" s="5" t="inlineStr">
        <is>
          <t>Quality Analyst</t>
        </is>
      </c>
      <c r="H481" s="5" t="inlineStr">
        <is>
          <t>1</t>
        </is>
      </c>
      <c r="I481" s="5" t="inlineStr">
        <is>
          <t>Delhi</t>
        </is>
      </c>
      <c r="J481" s="5" t="inlineStr">
        <is>
          <t>Full-Time</t>
        </is>
      </c>
      <c r="K481" s="7" t="n">
        <v>44756</v>
      </c>
      <c r="L481" s="7" t="n">
        <v>44828</v>
      </c>
      <c r="M481" s="5" t="inlineStr">
        <is>
          <t>No</t>
        </is>
      </c>
      <c r="N481" s="5" t="inlineStr">
        <is>
          <t>Resigned</t>
        </is>
      </c>
      <c r="O481" s="8" t="inlineStr">
        <is>
          <t>86000</t>
        </is>
      </c>
      <c r="P481" s="5" t="inlineStr">
        <is>
          <t>0</t>
        </is>
      </c>
      <c r="Q481" s="5" t="inlineStr">
        <is>
          <t>4</t>
        </is>
      </c>
      <c r="R481" s="5" t="inlineStr">
        <is>
          <t>8</t>
        </is>
      </c>
      <c r="S481" s="5" t="inlineStr">
        <is>
          <t>2</t>
        </is>
      </c>
      <c r="T481" s="5" t="inlineStr">
        <is>
          <t>0</t>
        </is>
      </c>
      <c r="U481" s="5">
        <f>IFS(C481&lt;30,"Under 30",C481&lt;40,"30-39",C481&lt;50,"40-49",TRUE,"50+")</f>
        <v/>
      </c>
      <c r="V481" s="5">
        <f>IFS(O481&lt;60000,"Low (&lt;60k)",O481&lt;100000,"Mid (60-100k)",TRUE,"High (100k+)")</f>
        <v/>
      </c>
      <c r="W481" s="5">
        <f>IF(M481="No","Attrited","Active")</f>
        <v/>
      </c>
    </row>
    <row r="482">
      <c r="A482" s="5" t="inlineStr">
        <is>
          <t>E00481</t>
        </is>
      </c>
      <c r="B482" s="5" t="inlineStr">
        <is>
          <t>Male</t>
        </is>
      </c>
      <c r="C482" s="6" t="inlineStr">
        <is>
          <t>27</t>
        </is>
      </c>
      <c r="D482" s="5" t="inlineStr">
        <is>
          <t>Single</t>
        </is>
      </c>
      <c r="E482" s="5" t="inlineStr">
        <is>
          <t>Master</t>
        </is>
      </c>
      <c r="F482" s="5" t="inlineStr">
        <is>
          <t>Research &amp; Development</t>
        </is>
      </c>
      <c r="G482" s="5" t="inlineStr">
        <is>
          <t>Data Scientist</t>
        </is>
      </c>
      <c r="H482" s="5" t="inlineStr">
        <is>
          <t>3</t>
        </is>
      </c>
      <c r="I482" s="5" t="inlineStr">
        <is>
          <t>Hyderabad</t>
        </is>
      </c>
      <c r="J482" s="5" t="inlineStr">
        <is>
          <t>Full-Time</t>
        </is>
      </c>
      <c r="K482" s="7" t="n">
        <v>44932</v>
      </c>
      <c r="L482" s="7" t="inlineStr"/>
      <c r="M482" s="5" t="inlineStr">
        <is>
          <t>Yes</t>
        </is>
      </c>
      <c r="N482" s="5" t="inlineStr"/>
      <c r="O482" s="8" t="inlineStr">
        <is>
          <t>211000</t>
        </is>
      </c>
      <c r="P482" s="5" t="inlineStr">
        <is>
          <t>0</t>
        </is>
      </c>
      <c r="Q482" s="5" t="inlineStr">
        <is>
          <t>1</t>
        </is>
      </c>
      <c r="R482" s="5" t="inlineStr">
        <is>
          <t>5</t>
        </is>
      </c>
      <c r="S482" s="5" t="inlineStr">
        <is>
          <t>36</t>
        </is>
      </c>
      <c r="T482" s="5" t="inlineStr">
        <is>
          <t>2</t>
        </is>
      </c>
      <c r="U482" s="5">
        <f>IFS(C482&lt;30,"Under 30",C482&lt;40,"30-39",C482&lt;50,"40-49",TRUE,"50+")</f>
        <v/>
      </c>
      <c r="V482" s="5">
        <f>IFS(O482&lt;60000,"Low (&lt;60k)",O482&lt;100000,"Mid (60-100k)",TRUE,"High (100k+)")</f>
        <v/>
      </c>
      <c r="W482" s="5">
        <f>IF(M482="No","Attrited","Active")</f>
        <v/>
      </c>
    </row>
    <row r="483">
      <c r="A483" s="5" t="inlineStr">
        <is>
          <t>E00482</t>
        </is>
      </c>
      <c r="B483" s="5" t="inlineStr">
        <is>
          <t>Male</t>
        </is>
      </c>
      <c r="C483" s="6" t="inlineStr">
        <is>
          <t>28</t>
        </is>
      </c>
      <c r="D483" s="5" t="inlineStr">
        <is>
          <t>Married</t>
        </is>
      </c>
      <c r="E483" s="5" t="inlineStr">
        <is>
          <t>Bachelor</t>
        </is>
      </c>
      <c r="F483" s="5" t="inlineStr">
        <is>
          <t>Research &amp; Development</t>
        </is>
      </c>
      <c r="G483" s="5" t="inlineStr">
        <is>
          <t>Data Scientist</t>
        </is>
      </c>
      <c r="H483" s="5" t="inlineStr">
        <is>
          <t>3</t>
        </is>
      </c>
      <c r="I483" s="5" t="inlineStr">
        <is>
          <t>Hyderabad</t>
        </is>
      </c>
      <c r="J483" s="5" t="inlineStr">
        <is>
          <t>Full-Time</t>
        </is>
      </c>
      <c r="K483" s="7" t="n">
        <v>45379</v>
      </c>
      <c r="L483" s="7" t="inlineStr"/>
      <c r="M483" s="5" t="inlineStr">
        <is>
          <t>Yes</t>
        </is>
      </c>
      <c r="N483" s="5" t="inlineStr"/>
      <c r="O483" s="8" t="inlineStr">
        <is>
          <t>171000</t>
        </is>
      </c>
      <c r="P483" s="5" t="inlineStr">
        <is>
          <t>5</t>
        </is>
      </c>
      <c r="Q483" s="5" t="inlineStr">
        <is>
          <t>3</t>
        </is>
      </c>
      <c r="R483" s="5" t="inlineStr">
        <is>
          <t>9</t>
        </is>
      </c>
      <c r="S483" s="5" t="inlineStr">
        <is>
          <t>21</t>
        </is>
      </c>
      <c r="T483" s="5" t="inlineStr">
        <is>
          <t>6</t>
        </is>
      </c>
      <c r="U483" s="5">
        <f>IFS(C483&lt;30,"Under 30",C483&lt;40,"30-39",C483&lt;50,"40-49",TRUE,"50+")</f>
        <v/>
      </c>
      <c r="V483" s="5">
        <f>IFS(O483&lt;60000,"Low (&lt;60k)",O483&lt;100000,"Mid (60-100k)",TRUE,"High (100k+)")</f>
        <v/>
      </c>
      <c r="W483" s="5">
        <f>IF(M483="No","Attrited","Active")</f>
        <v/>
      </c>
    </row>
    <row r="484">
      <c r="A484" s="5" t="inlineStr">
        <is>
          <t>E00483</t>
        </is>
      </c>
      <c r="B484" s="5" t="inlineStr">
        <is>
          <t>Male</t>
        </is>
      </c>
      <c r="C484" s="6" t="inlineStr">
        <is>
          <t>35</t>
        </is>
      </c>
      <c r="D484" s="5" t="inlineStr">
        <is>
          <t>Married</t>
        </is>
      </c>
      <c r="E484" s="5" t="inlineStr">
        <is>
          <t>Bachelor</t>
        </is>
      </c>
      <c r="F484" s="5" t="inlineStr">
        <is>
          <t>Customer Support</t>
        </is>
      </c>
      <c r="G484" s="5" t="inlineStr">
        <is>
          <t>Escalation Specialist</t>
        </is>
      </c>
      <c r="H484" s="5" t="inlineStr">
        <is>
          <t>3</t>
        </is>
      </c>
      <c r="I484" s="5" t="inlineStr">
        <is>
          <t>Delhi</t>
        </is>
      </c>
      <c r="J484" s="5" t="inlineStr">
        <is>
          <t>Full-Time</t>
        </is>
      </c>
      <c r="K484" s="7" t="n">
        <v>43853</v>
      </c>
      <c r="L484" s="7" t="inlineStr"/>
      <c r="M484" s="5" t="inlineStr">
        <is>
          <t>Yes</t>
        </is>
      </c>
      <c r="N484" s="5" t="inlineStr"/>
      <c r="O484" s="8" t="inlineStr">
        <is>
          <t>74500</t>
        </is>
      </c>
      <c r="P484" s="5" t="inlineStr">
        <is>
          <t>5</t>
        </is>
      </c>
      <c r="Q484" s="5" t="inlineStr">
        <is>
          <t>5</t>
        </is>
      </c>
      <c r="R484" s="5" t="inlineStr">
        <is>
          <t>4</t>
        </is>
      </c>
      <c r="S484" s="5" t="inlineStr">
        <is>
          <t>72</t>
        </is>
      </c>
      <c r="T484" s="5" t="inlineStr">
        <is>
          <t>13</t>
        </is>
      </c>
      <c r="U484" s="5">
        <f>IFS(C484&lt;30,"Under 30",C484&lt;40,"30-39",C484&lt;50,"40-49",TRUE,"50+")</f>
        <v/>
      </c>
      <c r="V484" s="5">
        <f>IFS(O484&lt;60000,"Low (&lt;60k)",O484&lt;100000,"Mid (60-100k)",TRUE,"High (100k+)")</f>
        <v/>
      </c>
      <c r="W484" s="5">
        <f>IF(M484="No","Attrited","Active")</f>
        <v/>
      </c>
    </row>
    <row r="485">
      <c r="A485" s="5" t="inlineStr">
        <is>
          <t>E00484</t>
        </is>
      </c>
      <c r="B485" s="5" t="inlineStr">
        <is>
          <t>Male</t>
        </is>
      </c>
      <c r="C485" s="6" t="inlineStr">
        <is>
          <t>27</t>
        </is>
      </c>
      <c r="D485" s="5" t="inlineStr">
        <is>
          <t>Married</t>
        </is>
      </c>
      <c r="E485" s="5" t="inlineStr">
        <is>
          <t>Bachelor</t>
        </is>
      </c>
      <c r="F485" s="5" t="inlineStr">
        <is>
          <t>Customer Support</t>
        </is>
      </c>
      <c r="G485" s="5" t="inlineStr">
        <is>
          <t>Escalation Specialist</t>
        </is>
      </c>
      <c r="H485" s="5" t="inlineStr">
        <is>
          <t>1</t>
        </is>
      </c>
      <c r="I485" s="5" t="inlineStr">
        <is>
          <t>Mumbai</t>
        </is>
      </c>
      <c r="J485" s="5" t="inlineStr">
        <is>
          <t>Full-Time</t>
        </is>
      </c>
      <c r="K485" s="7" t="n">
        <v>44912</v>
      </c>
      <c r="L485" s="7" t="n">
        <v>45026</v>
      </c>
      <c r="M485" s="5" t="inlineStr">
        <is>
          <t>No</t>
        </is>
      </c>
      <c r="N485" s="5" t="inlineStr">
        <is>
          <t>Resigned</t>
        </is>
      </c>
      <c r="O485" s="8" t="inlineStr">
        <is>
          <t>67000</t>
        </is>
      </c>
      <c r="P485" s="5" t="inlineStr">
        <is>
          <t>10</t>
        </is>
      </c>
      <c r="Q485" s="5" t="inlineStr">
        <is>
          <t>3</t>
        </is>
      </c>
      <c r="R485" s="5" t="inlineStr">
        <is>
          <t>6</t>
        </is>
      </c>
      <c r="S485" s="5" t="inlineStr">
        <is>
          <t>3</t>
        </is>
      </c>
      <c r="T485" s="5" t="inlineStr">
        <is>
          <t>9</t>
        </is>
      </c>
      <c r="U485" s="5">
        <f>IFS(C485&lt;30,"Under 30",C485&lt;40,"30-39",C485&lt;50,"40-49",TRUE,"50+")</f>
        <v/>
      </c>
      <c r="V485" s="5">
        <f>IFS(O485&lt;60000,"Low (&lt;60k)",O485&lt;100000,"Mid (60-100k)",TRUE,"High (100k+)")</f>
        <v/>
      </c>
      <c r="W485" s="5">
        <f>IF(M485="No","Attrited","Active")</f>
        <v/>
      </c>
    </row>
    <row r="486">
      <c r="A486" s="5" t="inlineStr">
        <is>
          <t>E00485</t>
        </is>
      </c>
      <c r="B486" s="5" t="inlineStr">
        <is>
          <t>Female</t>
        </is>
      </c>
      <c r="C486" s="6" t="inlineStr">
        <is>
          <t>37</t>
        </is>
      </c>
      <c r="D486" s="5" t="inlineStr">
        <is>
          <t>Married</t>
        </is>
      </c>
      <c r="E486" s="5" t="inlineStr">
        <is>
          <t>PhD</t>
        </is>
      </c>
      <c r="F486" s="5" t="inlineStr">
        <is>
          <t>IT</t>
        </is>
      </c>
      <c r="G486" s="5" t="inlineStr">
        <is>
          <t>Data Analyst</t>
        </is>
      </c>
      <c r="H486" s="5" t="inlineStr">
        <is>
          <t>4</t>
        </is>
      </c>
      <c r="I486" s="5" t="inlineStr">
        <is>
          <t>Chennai</t>
        </is>
      </c>
      <c r="J486" s="5" t="inlineStr">
        <is>
          <t>Full-Time</t>
        </is>
      </c>
      <c r="K486" s="7" t="n">
        <v>44342</v>
      </c>
      <c r="L486" s="7" t="inlineStr"/>
      <c r="M486" s="5" t="inlineStr">
        <is>
          <t>Yes</t>
        </is>
      </c>
      <c r="N486" s="5" t="inlineStr"/>
      <c r="O486" s="8" t="inlineStr">
        <is>
          <t>170500</t>
        </is>
      </c>
      <c r="P486" s="5" t="inlineStr">
        <is>
          <t>10</t>
        </is>
      </c>
      <c r="Q486" s="5" t="inlineStr">
        <is>
          <t>5</t>
        </is>
      </c>
      <c r="R486" s="5" t="inlineStr">
        <is>
          <t>6</t>
        </is>
      </c>
      <c r="S486" s="5" t="inlineStr">
        <is>
          <t>56</t>
        </is>
      </c>
      <c r="T486" s="5" t="inlineStr">
        <is>
          <t>8</t>
        </is>
      </c>
      <c r="U486" s="5">
        <f>IFS(C486&lt;30,"Under 30",C486&lt;40,"30-39",C486&lt;50,"40-49",TRUE,"50+")</f>
        <v/>
      </c>
      <c r="V486" s="5">
        <f>IFS(O486&lt;60000,"Low (&lt;60k)",O486&lt;100000,"Mid (60-100k)",TRUE,"High (100k+)")</f>
        <v/>
      </c>
      <c r="W486" s="5">
        <f>IF(M486="No","Attrited","Active")</f>
        <v/>
      </c>
    </row>
    <row r="487">
      <c r="A487" s="5" t="inlineStr">
        <is>
          <t>E00486</t>
        </is>
      </c>
      <c r="B487" s="5" t="inlineStr">
        <is>
          <t>Female</t>
        </is>
      </c>
      <c r="C487" s="6" t="inlineStr">
        <is>
          <t>28</t>
        </is>
      </c>
      <c r="D487" s="5" t="inlineStr">
        <is>
          <t>Married</t>
        </is>
      </c>
      <c r="E487" s="5" t="inlineStr">
        <is>
          <t>PhD</t>
        </is>
      </c>
      <c r="F487" s="5" t="inlineStr">
        <is>
          <t>Operations</t>
        </is>
      </c>
      <c r="G487" s="5" t="inlineStr">
        <is>
          <t>Logistics Coordinator</t>
        </is>
      </c>
      <c r="H487" s="5" t="inlineStr">
        <is>
          <t>3</t>
        </is>
      </c>
      <c r="I487" s="5" t="inlineStr">
        <is>
          <t>Mumbai</t>
        </is>
      </c>
      <c r="J487" s="5" t="inlineStr">
        <is>
          <t>Full-Time</t>
        </is>
      </c>
      <c r="K487" s="7" t="n">
        <v>44439</v>
      </c>
      <c r="L487" s="7" t="inlineStr"/>
      <c r="M487" s="5" t="inlineStr">
        <is>
          <t>Yes</t>
        </is>
      </c>
      <c r="N487" s="5" t="inlineStr"/>
      <c r="O487" s="8" t="inlineStr">
        <is>
          <t>116000</t>
        </is>
      </c>
      <c r="P487" s="5" t="inlineStr">
        <is>
          <t>0</t>
        </is>
      </c>
      <c r="Q487" s="5" t="inlineStr">
        <is>
          <t>3</t>
        </is>
      </c>
      <c r="R487" s="5" t="inlineStr">
        <is>
          <t>7</t>
        </is>
      </c>
      <c r="S487" s="5" t="inlineStr">
        <is>
          <t>52</t>
        </is>
      </c>
      <c r="T487" s="5" t="inlineStr">
        <is>
          <t>17</t>
        </is>
      </c>
      <c r="U487" s="5">
        <f>IFS(C487&lt;30,"Under 30",C487&lt;40,"30-39",C487&lt;50,"40-49",TRUE,"50+")</f>
        <v/>
      </c>
      <c r="V487" s="5">
        <f>IFS(O487&lt;60000,"Low (&lt;60k)",O487&lt;100000,"Mid (60-100k)",TRUE,"High (100k+)")</f>
        <v/>
      </c>
      <c r="W487" s="5">
        <f>IF(M487="No","Attrited","Active")</f>
        <v/>
      </c>
    </row>
    <row r="488">
      <c r="A488" s="5" t="inlineStr">
        <is>
          <t>E00487</t>
        </is>
      </c>
      <c r="B488" s="5" t="inlineStr">
        <is>
          <t>Female</t>
        </is>
      </c>
      <c r="C488" s="6" t="inlineStr">
        <is>
          <t>28</t>
        </is>
      </c>
      <c r="D488" s="5" t="inlineStr">
        <is>
          <t>Married</t>
        </is>
      </c>
      <c r="E488" s="5" t="inlineStr">
        <is>
          <t>Bachelor</t>
        </is>
      </c>
      <c r="F488" s="5" t="inlineStr">
        <is>
          <t>Finance</t>
        </is>
      </c>
      <c r="G488" s="5" t="inlineStr">
        <is>
          <t>Financial Analyst</t>
        </is>
      </c>
      <c r="H488" s="5" t="inlineStr">
        <is>
          <t>2</t>
        </is>
      </c>
      <c r="I488" s="5" t="inlineStr">
        <is>
          <t>Hyderabad</t>
        </is>
      </c>
      <c r="J488" s="5" t="inlineStr">
        <is>
          <t>Full-Time</t>
        </is>
      </c>
      <c r="K488" s="7" t="n">
        <v>45413</v>
      </c>
      <c r="L488" s="7" t="inlineStr"/>
      <c r="M488" s="5" t="inlineStr">
        <is>
          <t>Yes</t>
        </is>
      </c>
      <c r="N488" s="5" t="inlineStr"/>
      <c r="O488" s="8" t="inlineStr">
        <is>
          <t>117500</t>
        </is>
      </c>
      <c r="P488" s="5" t="inlineStr">
        <is>
          <t>0</t>
        </is>
      </c>
      <c r="Q488" s="5" t="inlineStr">
        <is>
          <t>5</t>
        </is>
      </c>
      <c r="R488" s="5" t="inlineStr">
        <is>
          <t>7</t>
        </is>
      </c>
      <c r="S488" s="5" t="inlineStr">
        <is>
          <t>20</t>
        </is>
      </c>
      <c r="T488" s="5" t="inlineStr">
        <is>
          <t>0</t>
        </is>
      </c>
      <c r="U488" s="5">
        <f>IFS(C488&lt;30,"Under 30",C488&lt;40,"30-39",C488&lt;50,"40-49",TRUE,"50+")</f>
        <v/>
      </c>
      <c r="V488" s="5">
        <f>IFS(O488&lt;60000,"Low (&lt;60k)",O488&lt;100000,"Mid (60-100k)",TRUE,"High (100k+)")</f>
        <v/>
      </c>
      <c r="W488" s="5">
        <f>IF(M488="No","Attrited","Active")</f>
        <v/>
      </c>
    </row>
    <row r="489">
      <c r="A489" s="5" t="inlineStr">
        <is>
          <t>E00488</t>
        </is>
      </c>
      <c r="B489" s="5" t="inlineStr">
        <is>
          <t>Male</t>
        </is>
      </c>
      <c r="C489" s="6" t="inlineStr">
        <is>
          <t>37</t>
        </is>
      </c>
      <c r="D489" s="5" t="inlineStr">
        <is>
          <t>Married</t>
        </is>
      </c>
      <c r="E489" s="5" t="inlineStr">
        <is>
          <t>Bachelor</t>
        </is>
      </c>
      <c r="F489" s="5" t="inlineStr">
        <is>
          <t>Research &amp; Development</t>
        </is>
      </c>
      <c r="G489" s="5" t="inlineStr">
        <is>
          <t>Data Scientist</t>
        </is>
      </c>
      <c r="H489" s="5" t="inlineStr">
        <is>
          <t>6</t>
        </is>
      </c>
      <c r="I489" s="5" t="inlineStr">
        <is>
          <t>Remote</t>
        </is>
      </c>
      <c r="J489" s="5" t="inlineStr">
        <is>
          <t>Contract</t>
        </is>
      </c>
      <c r="K489" s="7" t="n">
        <v>44270</v>
      </c>
      <c r="L489" s="7" t="inlineStr"/>
      <c r="M489" s="5" t="inlineStr">
        <is>
          <t>Yes</t>
        </is>
      </c>
      <c r="N489" s="5" t="inlineStr"/>
      <c r="O489" s="8" t="inlineStr">
        <is>
          <t>285000</t>
        </is>
      </c>
      <c r="P489" s="5" t="inlineStr">
        <is>
          <t>10</t>
        </is>
      </c>
      <c r="Q489" s="5" t="inlineStr">
        <is>
          <t>4</t>
        </is>
      </c>
      <c r="R489" s="5" t="inlineStr">
        <is>
          <t>5</t>
        </is>
      </c>
      <c r="S489" s="5" t="inlineStr">
        <is>
          <t>58</t>
        </is>
      </c>
      <c r="T489" s="5" t="inlineStr">
        <is>
          <t>1</t>
        </is>
      </c>
      <c r="U489" s="5">
        <f>IFS(C489&lt;30,"Under 30",C489&lt;40,"30-39",C489&lt;50,"40-49",TRUE,"50+")</f>
        <v/>
      </c>
      <c r="V489" s="5">
        <f>IFS(O489&lt;60000,"Low (&lt;60k)",O489&lt;100000,"Mid (60-100k)",TRUE,"High (100k+)")</f>
        <v/>
      </c>
      <c r="W489" s="5">
        <f>IF(M489="No","Attrited","Active")</f>
        <v/>
      </c>
    </row>
    <row r="490">
      <c r="A490" s="5" t="inlineStr">
        <is>
          <t>E00489</t>
        </is>
      </c>
      <c r="B490" s="5" t="inlineStr">
        <is>
          <t>Female</t>
        </is>
      </c>
      <c r="C490" s="6" t="inlineStr">
        <is>
          <t>34</t>
        </is>
      </c>
      <c r="D490" s="5" t="inlineStr">
        <is>
          <t>Married</t>
        </is>
      </c>
      <c r="E490" s="5" t="inlineStr">
        <is>
          <t>High School</t>
        </is>
      </c>
      <c r="F490" s="5" t="inlineStr">
        <is>
          <t>Customer Support</t>
        </is>
      </c>
      <c r="G490" s="5" t="inlineStr">
        <is>
          <t>Escalation Specialist</t>
        </is>
      </c>
      <c r="H490" s="5" t="inlineStr">
        <is>
          <t>4</t>
        </is>
      </c>
      <c r="I490" s="5" t="inlineStr">
        <is>
          <t>Delhi</t>
        </is>
      </c>
      <c r="J490" s="5" t="inlineStr">
        <is>
          <t>Full-Time</t>
        </is>
      </c>
      <c r="K490" s="7" t="n">
        <v>45128</v>
      </c>
      <c r="L490" s="7" t="n">
        <v>45204</v>
      </c>
      <c r="M490" s="5" t="inlineStr">
        <is>
          <t>No</t>
        </is>
      </c>
      <c r="N490" s="5" t="inlineStr">
        <is>
          <t>Layoff</t>
        </is>
      </c>
      <c r="O490" s="8" t="inlineStr">
        <is>
          <t>81500</t>
        </is>
      </c>
      <c r="P490" s="5" t="inlineStr">
        <is>
          <t>0</t>
        </is>
      </c>
      <c r="Q490" s="5" t="inlineStr">
        <is>
          <t>4</t>
        </is>
      </c>
      <c r="R490" s="5" t="inlineStr">
        <is>
          <t>10</t>
        </is>
      </c>
      <c r="S490" s="5" t="inlineStr">
        <is>
          <t>2</t>
        </is>
      </c>
      <c r="T490" s="5" t="inlineStr">
        <is>
          <t>0</t>
        </is>
      </c>
      <c r="U490" s="5">
        <f>IFS(C490&lt;30,"Under 30",C490&lt;40,"30-39",C490&lt;50,"40-49",TRUE,"50+")</f>
        <v/>
      </c>
      <c r="V490" s="5">
        <f>IFS(O490&lt;60000,"Low (&lt;60k)",O490&lt;100000,"Mid (60-100k)",TRUE,"High (100k+)")</f>
        <v/>
      </c>
      <c r="W490" s="5">
        <f>IF(M490="No","Attrited","Active")</f>
        <v/>
      </c>
    </row>
    <row r="491">
      <c r="A491" s="5" t="inlineStr">
        <is>
          <t>E00490</t>
        </is>
      </c>
      <c r="B491" s="5" t="inlineStr">
        <is>
          <t>Female</t>
        </is>
      </c>
      <c r="C491" s="6" t="inlineStr">
        <is>
          <t>33</t>
        </is>
      </c>
      <c r="D491" s="5" t="inlineStr">
        <is>
          <t>Single</t>
        </is>
      </c>
      <c r="E491" s="5" t="inlineStr">
        <is>
          <t>High School</t>
        </is>
      </c>
      <c r="F491" s="5" t="inlineStr">
        <is>
          <t>Finance</t>
        </is>
      </c>
      <c r="G491" s="5" t="inlineStr">
        <is>
          <t>Credit Analyst</t>
        </is>
      </c>
      <c r="H491" s="5" t="inlineStr">
        <is>
          <t>5</t>
        </is>
      </c>
      <c r="I491" s="5" t="inlineStr">
        <is>
          <t>Hyderabad</t>
        </is>
      </c>
      <c r="J491" s="5" t="inlineStr">
        <is>
          <t>Part-Time</t>
        </is>
      </c>
      <c r="K491" s="7" t="n">
        <v>44217</v>
      </c>
      <c r="L491" s="7" t="n">
        <v>44268</v>
      </c>
      <c r="M491" s="5" t="inlineStr">
        <is>
          <t>No</t>
        </is>
      </c>
      <c r="N491" s="5" t="inlineStr">
        <is>
          <t>Retirement</t>
        </is>
      </c>
      <c r="O491" s="8" t="inlineStr">
        <is>
          <t>129500</t>
        </is>
      </c>
      <c r="P491" s="5" t="inlineStr">
        <is>
          <t>20</t>
        </is>
      </c>
      <c r="Q491" s="5" t="inlineStr">
        <is>
          <t>2</t>
        </is>
      </c>
      <c r="R491" s="5" t="inlineStr">
        <is>
          <t>7</t>
        </is>
      </c>
      <c r="S491" s="5" t="inlineStr">
        <is>
          <t>1</t>
        </is>
      </c>
      <c r="T491" s="5" t="inlineStr">
        <is>
          <t>12</t>
        </is>
      </c>
      <c r="U491" s="5">
        <f>IFS(C491&lt;30,"Under 30",C491&lt;40,"30-39",C491&lt;50,"40-49",TRUE,"50+")</f>
        <v/>
      </c>
      <c r="V491" s="5">
        <f>IFS(O491&lt;60000,"Low (&lt;60k)",O491&lt;100000,"Mid (60-100k)",TRUE,"High (100k+)")</f>
        <v/>
      </c>
      <c r="W491" s="5">
        <f>IF(M491="No","Attrited","Active")</f>
        <v/>
      </c>
    </row>
    <row r="492">
      <c r="A492" s="5" t="inlineStr">
        <is>
          <t>E00491</t>
        </is>
      </c>
      <c r="B492" s="5" t="inlineStr">
        <is>
          <t>Male</t>
        </is>
      </c>
      <c r="C492" s="6" t="inlineStr">
        <is>
          <t>30</t>
        </is>
      </c>
      <c r="D492" s="5" t="inlineStr">
        <is>
          <t>Married</t>
        </is>
      </c>
      <c r="E492" s="5" t="inlineStr">
        <is>
          <t>Bachelor</t>
        </is>
      </c>
      <c r="F492" s="5" t="inlineStr">
        <is>
          <t>Sales</t>
        </is>
      </c>
      <c r="G492" s="5" t="inlineStr">
        <is>
          <t>Account Executive</t>
        </is>
      </c>
      <c r="H492" s="5" t="inlineStr">
        <is>
          <t>2</t>
        </is>
      </c>
      <c r="I492" s="5" t="inlineStr">
        <is>
          <t>Chennai</t>
        </is>
      </c>
      <c r="J492" s="5" t="inlineStr">
        <is>
          <t>Full-Time</t>
        </is>
      </c>
      <c r="K492" s="7" t="n">
        <v>45048</v>
      </c>
      <c r="L492" s="7" t="inlineStr"/>
      <c r="M492" s="5" t="inlineStr">
        <is>
          <t>Yes</t>
        </is>
      </c>
      <c r="N492" s="5" t="inlineStr"/>
      <c r="O492" s="8" t="inlineStr">
        <is>
          <t>92000</t>
        </is>
      </c>
      <c r="P492" s="5" t="inlineStr">
        <is>
          <t>10</t>
        </is>
      </c>
      <c r="Q492" s="5" t="inlineStr">
        <is>
          <t>4</t>
        </is>
      </c>
      <c r="R492" s="5" t="inlineStr">
        <is>
          <t>5</t>
        </is>
      </c>
      <c r="S492" s="5" t="inlineStr">
        <is>
          <t>32</t>
        </is>
      </c>
      <c r="T492" s="5" t="inlineStr">
        <is>
          <t>2</t>
        </is>
      </c>
      <c r="U492" s="5">
        <f>IFS(C492&lt;30,"Under 30",C492&lt;40,"30-39",C492&lt;50,"40-49",TRUE,"50+")</f>
        <v/>
      </c>
      <c r="V492" s="5">
        <f>IFS(O492&lt;60000,"Low (&lt;60k)",O492&lt;100000,"Mid (60-100k)",TRUE,"High (100k+)")</f>
        <v/>
      </c>
      <c r="W492" s="5">
        <f>IF(M492="No","Attrited","Active")</f>
        <v/>
      </c>
    </row>
    <row r="493">
      <c r="A493" s="5" t="inlineStr">
        <is>
          <t>E00492</t>
        </is>
      </c>
      <c r="B493" s="5" t="inlineStr">
        <is>
          <t>Male</t>
        </is>
      </c>
      <c r="C493" s="6" t="inlineStr">
        <is>
          <t>29</t>
        </is>
      </c>
      <c r="D493" s="5" t="inlineStr">
        <is>
          <t>Married</t>
        </is>
      </c>
      <c r="E493" s="5" t="inlineStr">
        <is>
          <t>High School</t>
        </is>
      </c>
      <c r="F493" s="5" t="inlineStr">
        <is>
          <t>Customer Support</t>
        </is>
      </c>
      <c r="G493" s="5" t="inlineStr">
        <is>
          <t>Support Lead</t>
        </is>
      </c>
      <c r="H493" s="5" t="inlineStr">
        <is>
          <t>1</t>
        </is>
      </c>
      <c r="I493" s="5" t="inlineStr">
        <is>
          <t>Delhi</t>
        </is>
      </c>
      <c r="J493" s="5" t="inlineStr">
        <is>
          <t>Full-Time</t>
        </is>
      </c>
      <c r="K493" s="7" t="n">
        <v>44377</v>
      </c>
      <c r="L493" s="7" t="inlineStr"/>
      <c r="M493" s="5" t="inlineStr">
        <is>
          <t>Yes</t>
        </is>
      </c>
      <c r="N493" s="5" t="inlineStr"/>
      <c r="O493" s="8" t="inlineStr">
        <is>
          <t>50000</t>
        </is>
      </c>
      <c r="P493" s="5" t="inlineStr">
        <is>
          <t>5</t>
        </is>
      </c>
      <c r="Q493" s="5" t="inlineStr">
        <is>
          <t>5</t>
        </is>
      </c>
      <c r="R493" s="5" t="inlineStr">
        <is>
          <t>7</t>
        </is>
      </c>
      <c r="S493" s="5" t="inlineStr">
        <is>
          <t>54</t>
        </is>
      </c>
      <c r="T493" s="5" t="inlineStr">
        <is>
          <t>2</t>
        </is>
      </c>
      <c r="U493" s="5">
        <f>IFS(C493&lt;30,"Under 30",C493&lt;40,"30-39",C493&lt;50,"40-49",TRUE,"50+")</f>
        <v/>
      </c>
      <c r="V493" s="5">
        <f>IFS(O493&lt;60000,"Low (&lt;60k)",O493&lt;100000,"Mid (60-100k)",TRUE,"High (100k+)")</f>
        <v/>
      </c>
      <c r="W493" s="5">
        <f>IF(M493="No","Attrited","Active")</f>
        <v/>
      </c>
    </row>
    <row r="494">
      <c r="A494" s="5" t="inlineStr">
        <is>
          <t>E00493</t>
        </is>
      </c>
      <c r="B494" s="5" t="inlineStr">
        <is>
          <t>Female</t>
        </is>
      </c>
      <c r="C494" s="6" t="inlineStr">
        <is>
          <t>38</t>
        </is>
      </c>
      <c r="D494" s="5" t="inlineStr">
        <is>
          <t>Married</t>
        </is>
      </c>
      <c r="E494" s="5" t="inlineStr">
        <is>
          <t>Diploma</t>
        </is>
      </c>
      <c r="F494" s="5" t="inlineStr">
        <is>
          <t>Customer Support</t>
        </is>
      </c>
      <c r="G494" s="5" t="inlineStr">
        <is>
          <t>Escalation Specialist</t>
        </is>
      </c>
      <c r="H494" s="5" t="inlineStr">
        <is>
          <t>3</t>
        </is>
      </c>
      <c r="I494" s="5" t="inlineStr">
        <is>
          <t>Chennai</t>
        </is>
      </c>
      <c r="J494" s="5" t="inlineStr">
        <is>
          <t>Full-Time</t>
        </is>
      </c>
      <c r="K494" s="7" t="n">
        <v>44062</v>
      </c>
      <c r="L494" s="7" t="n">
        <v>44147</v>
      </c>
      <c r="M494" s="5" t="inlineStr">
        <is>
          <t>No</t>
        </is>
      </c>
      <c r="N494" s="5" t="inlineStr">
        <is>
          <t>Performance / Termination</t>
        </is>
      </c>
      <c r="O494" s="8" t="inlineStr">
        <is>
          <t>71000</t>
        </is>
      </c>
      <c r="P494" s="5" t="inlineStr">
        <is>
          <t>0</t>
        </is>
      </c>
      <c r="Q494" s="5" t="inlineStr">
        <is>
          <t>3</t>
        </is>
      </c>
      <c r="R494" s="5" t="inlineStr">
        <is>
          <t>5</t>
        </is>
      </c>
      <c r="S494" s="5" t="inlineStr">
        <is>
          <t>2</t>
        </is>
      </c>
      <c r="T494" s="5" t="inlineStr">
        <is>
          <t>10</t>
        </is>
      </c>
      <c r="U494" s="5">
        <f>IFS(C494&lt;30,"Under 30",C494&lt;40,"30-39",C494&lt;50,"40-49",TRUE,"50+")</f>
        <v/>
      </c>
      <c r="V494" s="5">
        <f>IFS(O494&lt;60000,"Low (&lt;60k)",O494&lt;100000,"Mid (60-100k)",TRUE,"High (100k+)")</f>
        <v/>
      </c>
      <c r="W494" s="5">
        <f>IF(M494="No","Attrited","Active")</f>
        <v/>
      </c>
    </row>
    <row r="495">
      <c r="A495" s="5" t="inlineStr">
        <is>
          <t>E00494</t>
        </is>
      </c>
      <c r="B495" s="5" t="inlineStr">
        <is>
          <t>Male</t>
        </is>
      </c>
      <c r="C495" s="6" t="inlineStr">
        <is>
          <t>30</t>
        </is>
      </c>
      <c r="D495" s="5" t="inlineStr">
        <is>
          <t>Married</t>
        </is>
      </c>
      <c r="E495" s="5" t="inlineStr">
        <is>
          <t>PhD</t>
        </is>
      </c>
      <c r="F495" s="5" t="inlineStr">
        <is>
          <t>Human Resources</t>
        </is>
      </c>
      <c r="G495" s="5" t="inlineStr">
        <is>
          <t>HR Generalist</t>
        </is>
      </c>
      <c r="H495" s="5" t="inlineStr">
        <is>
          <t>3</t>
        </is>
      </c>
      <c r="I495" s="5" t="inlineStr">
        <is>
          <t>Hyderabad</t>
        </is>
      </c>
      <c r="J495" s="5" t="inlineStr">
        <is>
          <t>Full-Time</t>
        </is>
      </c>
      <c r="K495" s="7" t="n">
        <v>44674</v>
      </c>
      <c r="L495" s="7" t="inlineStr"/>
      <c r="M495" s="5" t="inlineStr">
        <is>
          <t>Yes</t>
        </is>
      </c>
      <c r="N495" s="5" t="inlineStr"/>
      <c r="O495" s="8" t="inlineStr">
        <is>
          <t>85500</t>
        </is>
      </c>
      <c r="P495" s="5" t="inlineStr">
        <is>
          <t>10</t>
        </is>
      </c>
      <c r="Q495" s="5" t="inlineStr">
        <is>
          <t>3</t>
        </is>
      </c>
      <c r="R495" s="5" t="inlineStr">
        <is>
          <t>10</t>
        </is>
      </c>
      <c r="S495" s="5" t="inlineStr">
        <is>
          <t>44</t>
        </is>
      </c>
      <c r="T495" s="5" t="inlineStr">
        <is>
          <t>3</t>
        </is>
      </c>
      <c r="U495" s="5">
        <f>IFS(C495&lt;30,"Under 30",C495&lt;40,"30-39",C495&lt;50,"40-49",TRUE,"50+")</f>
        <v/>
      </c>
      <c r="V495" s="5">
        <f>IFS(O495&lt;60000,"Low (&lt;60k)",O495&lt;100000,"Mid (60-100k)",TRUE,"High (100k+)")</f>
        <v/>
      </c>
      <c r="W495" s="5">
        <f>IF(M495="No","Attrited","Active")</f>
        <v/>
      </c>
    </row>
    <row r="496">
      <c r="A496" s="5" t="inlineStr">
        <is>
          <t>E00495</t>
        </is>
      </c>
      <c r="B496" s="5" t="inlineStr">
        <is>
          <t>Female</t>
        </is>
      </c>
      <c r="C496" s="6" t="inlineStr">
        <is>
          <t>39</t>
        </is>
      </c>
      <c r="D496" s="5" t="inlineStr">
        <is>
          <t>Divorced</t>
        </is>
      </c>
      <c r="E496" s="5" t="inlineStr">
        <is>
          <t>Bachelor</t>
        </is>
      </c>
      <c r="F496" s="5" t="inlineStr">
        <is>
          <t>Human Resources</t>
        </is>
      </c>
      <c r="G496" s="5" t="inlineStr">
        <is>
          <t>HR Analyst</t>
        </is>
      </c>
      <c r="H496" s="5" t="inlineStr">
        <is>
          <t>4</t>
        </is>
      </c>
      <c r="I496" s="5" t="inlineStr">
        <is>
          <t>Mumbai</t>
        </is>
      </c>
      <c r="J496" s="5" t="inlineStr">
        <is>
          <t>Full-Time</t>
        </is>
      </c>
      <c r="K496" s="7" t="n">
        <v>44074</v>
      </c>
      <c r="L496" s="7" t="n">
        <v>44165</v>
      </c>
      <c r="M496" s="5" t="inlineStr">
        <is>
          <t>No</t>
        </is>
      </c>
      <c r="N496" s="5" t="inlineStr">
        <is>
          <t>Resigned</t>
        </is>
      </c>
      <c r="O496" s="8" t="inlineStr">
        <is>
          <t>79000</t>
        </is>
      </c>
      <c r="P496" s="5" t="inlineStr">
        <is>
          <t>0</t>
        </is>
      </c>
      <c r="Q496" s="5" t="inlineStr">
        <is>
          <t>5</t>
        </is>
      </c>
      <c r="R496" s="5" t="inlineStr">
        <is>
          <t>4</t>
        </is>
      </c>
      <c r="S496" s="5" t="inlineStr">
        <is>
          <t>3</t>
        </is>
      </c>
      <c r="T496" s="5" t="inlineStr">
        <is>
          <t>13</t>
        </is>
      </c>
      <c r="U496" s="5">
        <f>IFS(C496&lt;30,"Under 30",C496&lt;40,"30-39",C496&lt;50,"40-49",TRUE,"50+")</f>
        <v/>
      </c>
      <c r="V496" s="5">
        <f>IFS(O496&lt;60000,"Low (&lt;60k)",O496&lt;100000,"Mid (60-100k)",TRUE,"High (100k+)")</f>
        <v/>
      </c>
      <c r="W496" s="5">
        <f>IF(M496="No","Attrited","Active")</f>
        <v/>
      </c>
    </row>
    <row r="497">
      <c r="A497" s="5" t="inlineStr">
        <is>
          <t>E00496</t>
        </is>
      </c>
      <c r="B497" s="5" t="inlineStr">
        <is>
          <t>Male</t>
        </is>
      </c>
      <c r="C497" s="6" t="inlineStr">
        <is>
          <t>26</t>
        </is>
      </c>
      <c r="D497" s="5" t="inlineStr">
        <is>
          <t>Single</t>
        </is>
      </c>
      <c r="E497" s="5" t="inlineStr">
        <is>
          <t>Bachelor</t>
        </is>
      </c>
      <c r="F497" s="5" t="inlineStr">
        <is>
          <t>Human Resources</t>
        </is>
      </c>
      <c r="G497" s="5" t="inlineStr">
        <is>
          <t>Recruiter</t>
        </is>
      </c>
      <c r="H497" s="5" t="inlineStr">
        <is>
          <t>2</t>
        </is>
      </c>
      <c r="I497" s="5" t="inlineStr">
        <is>
          <t>Mumbai</t>
        </is>
      </c>
      <c r="J497" s="5" t="inlineStr">
        <is>
          <t>Full-Time</t>
        </is>
      </c>
      <c r="K497" s="7" t="n">
        <v>43992</v>
      </c>
      <c r="L497" s="7" t="inlineStr"/>
      <c r="M497" s="5" t="inlineStr">
        <is>
          <t>Yes</t>
        </is>
      </c>
      <c r="N497" s="5" t="inlineStr"/>
      <c r="O497" s="8" t="inlineStr">
        <is>
          <t>69500</t>
        </is>
      </c>
      <c r="P497" s="5" t="inlineStr">
        <is>
          <t>0</t>
        </is>
      </c>
      <c r="Q497" s="5" t="inlineStr">
        <is>
          <t>5</t>
        </is>
      </c>
      <c r="R497" s="5" t="inlineStr">
        <is>
          <t>6</t>
        </is>
      </c>
      <c r="S497" s="5" t="inlineStr">
        <is>
          <t>67</t>
        </is>
      </c>
      <c r="T497" s="5" t="inlineStr">
        <is>
          <t>0</t>
        </is>
      </c>
      <c r="U497" s="5">
        <f>IFS(C497&lt;30,"Under 30",C497&lt;40,"30-39",C497&lt;50,"40-49",TRUE,"50+")</f>
        <v/>
      </c>
      <c r="V497" s="5">
        <f>IFS(O497&lt;60000,"Low (&lt;60k)",O497&lt;100000,"Mid (60-100k)",TRUE,"High (100k+)")</f>
        <v/>
      </c>
      <c r="W497" s="5">
        <f>IF(M497="No","Attrited","Active")</f>
        <v/>
      </c>
    </row>
    <row r="498">
      <c r="A498" s="5" t="inlineStr">
        <is>
          <t>E00497</t>
        </is>
      </c>
      <c r="B498" s="5" t="inlineStr">
        <is>
          <t>Female</t>
        </is>
      </c>
      <c r="C498" s="6" t="inlineStr">
        <is>
          <t>39</t>
        </is>
      </c>
      <c r="D498" s="5" t="inlineStr">
        <is>
          <t>Divorced</t>
        </is>
      </c>
      <c r="E498" s="5" t="inlineStr">
        <is>
          <t>Master</t>
        </is>
      </c>
      <c r="F498" s="5" t="inlineStr">
        <is>
          <t>Marketing</t>
        </is>
      </c>
      <c r="G498" s="5" t="inlineStr">
        <is>
          <t>SEO Specialist</t>
        </is>
      </c>
      <c r="H498" s="5" t="inlineStr">
        <is>
          <t>5</t>
        </is>
      </c>
      <c r="I498" s="5" t="inlineStr">
        <is>
          <t>Chennai</t>
        </is>
      </c>
      <c r="J498" s="5" t="inlineStr">
        <is>
          <t>Full-Time</t>
        </is>
      </c>
      <c r="K498" s="7" t="n">
        <v>43926</v>
      </c>
      <c r="L498" s="7" t="inlineStr"/>
      <c r="M498" s="5" t="inlineStr">
        <is>
          <t>Yes</t>
        </is>
      </c>
      <c r="N498" s="5" t="inlineStr"/>
      <c r="O498" s="8" t="inlineStr">
        <is>
          <t>111000</t>
        </is>
      </c>
      <c r="P498" s="5" t="inlineStr">
        <is>
          <t>5</t>
        </is>
      </c>
      <c r="Q498" s="5" t="inlineStr">
        <is>
          <t>4</t>
        </is>
      </c>
      <c r="R498" s="5" t="inlineStr">
        <is>
          <t>6</t>
        </is>
      </c>
      <c r="S498" s="5" t="inlineStr">
        <is>
          <t>69</t>
        </is>
      </c>
      <c r="T498" s="5" t="inlineStr">
        <is>
          <t>0</t>
        </is>
      </c>
      <c r="U498" s="5">
        <f>IFS(C498&lt;30,"Under 30",C498&lt;40,"30-39",C498&lt;50,"40-49",TRUE,"50+")</f>
        <v/>
      </c>
      <c r="V498" s="5">
        <f>IFS(O498&lt;60000,"Low (&lt;60k)",O498&lt;100000,"Mid (60-100k)",TRUE,"High (100k+)")</f>
        <v/>
      </c>
      <c r="W498" s="5">
        <f>IF(M498="No","Attrited","Active")</f>
        <v/>
      </c>
    </row>
    <row r="499">
      <c r="A499" s="5" t="inlineStr">
        <is>
          <t>E00498</t>
        </is>
      </c>
      <c r="B499" s="5" t="inlineStr">
        <is>
          <t>Male</t>
        </is>
      </c>
      <c r="C499" s="6" t="inlineStr">
        <is>
          <t>41</t>
        </is>
      </c>
      <c r="D499" s="5" t="inlineStr">
        <is>
          <t>Single</t>
        </is>
      </c>
      <c r="E499" s="5" t="inlineStr">
        <is>
          <t>Diploma</t>
        </is>
      </c>
      <c r="F499" s="5" t="inlineStr">
        <is>
          <t>Operations</t>
        </is>
      </c>
      <c r="G499" s="5" t="inlineStr">
        <is>
          <t>Operations Analyst</t>
        </is>
      </c>
      <c r="H499" s="5" t="inlineStr">
        <is>
          <t>7</t>
        </is>
      </c>
      <c r="I499" s="5" t="inlineStr">
        <is>
          <t>Delhi</t>
        </is>
      </c>
      <c r="J499" s="5" t="inlineStr">
        <is>
          <t>Full-Time</t>
        </is>
      </c>
      <c r="K499" s="7" t="n">
        <v>45607</v>
      </c>
      <c r="L499" s="7" t="inlineStr"/>
      <c r="M499" s="5" t="inlineStr">
        <is>
          <t>Yes</t>
        </is>
      </c>
      <c r="N499" s="5" t="inlineStr"/>
      <c r="O499" s="8" t="inlineStr">
        <is>
          <t>139500</t>
        </is>
      </c>
      <c r="P499" s="5" t="inlineStr">
        <is>
          <t>10</t>
        </is>
      </c>
      <c r="Q499" s="5" t="inlineStr">
        <is>
          <t>5</t>
        </is>
      </c>
      <c r="R499" s="5" t="inlineStr">
        <is>
          <t>5</t>
        </is>
      </c>
      <c r="S499" s="5" t="inlineStr">
        <is>
          <t>13</t>
        </is>
      </c>
      <c r="T499" s="5" t="inlineStr">
        <is>
          <t>7</t>
        </is>
      </c>
      <c r="U499" s="5">
        <f>IFS(C499&lt;30,"Under 30",C499&lt;40,"30-39",C499&lt;50,"40-49",TRUE,"50+")</f>
        <v/>
      </c>
      <c r="V499" s="5">
        <f>IFS(O499&lt;60000,"Low (&lt;60k)",O499&lt;100000,"Mid (60-100k)",TRUE,"High (100k+)")</f>
        <v/>
      </c>
      <c r="W499" s="5">
        <f>IF(M499="No","Attrited","Active")</f>
        <v/>
      </c>
    </row>
    <row r="500">
      <c r="A500" s="5" t="inlineStr">
        <is>
          <t>E00499</t>
        </is>
      </c>
      <c r="B500" s="5" t="inlineStr">
        <is>
          <t>Female</t>
        </is>
      </c>
      <c r="C500" s="6" t="inlineStr">
        <is>
          <t>23</t>
        </is>
      </c>
      <c r="D500" s="5" t="inlineStr">
        <is>
          <t>Married</t>
        </is>
      </c>
      <c r="E500" s="5" t="inlineStr">
        <is>
          <t>High School</t>
        </is>
      </c>
      <c r="F500" s="5" t="inlineStr">
        <is>
          <t>Sales</t>
        </is>
      </c>
      <c r="G500" s="5" t="inlineStr">
        <is>
          <t>Account Executive</t>
        </is>
      </c>
      <c r="H500" s="5" t="inlineStr">
        <is>
          <t>1</t>
        </is>
      </c>
      <c r="I500" s="5" t="inlineStr">
        <is>
          <t>Mumbai</t>
        </is>
      </c>
      <c r="J500" s="5" t="inlineStr">
        <is>
          <t>Full-Time</t>
        </is>
      </c>
      <c r="K500" s="7" t="n">
        <v>44091</v>
      </c>
      <c r="L500" s="7" t="n">
        <v>44238</v>
      </c>
      <c r="M500" s="5" t="inlineStr">
        <is>
          <t>No</t>
        </is>
      </c>
      <c r="N500" s="5" t="inlineStr">
        <is>
          <t>Relocation</t>
        </is>
      </c>
      <c r="O500" s="8" t="inlineStr">
        <is>
          <t>81000</t>
        </is>
      </c>
      <c r="P500" s="5" t="inlineStr">
        <is>
          <t>0</t>
        </is>
      </c>
      <c r="Q500" s="5" t="inlineStr">
        <is>
          <t>3</t>
        </is>
      </c>
      <c r="R500" s="5" t="inlineStr">
        <is>
          <t>4</t>
        </is>
      </c>
      <c r="S500" s="5" t="inlineStr">
        <is>
          <t>4</t>
        </is>
      </c>
      <c r="T500" s="5" t="inlineStr">
        <is>
          <t>7</t>
        </is>
      </c>
      <c r="U500" s="5">
        <f>IFS(C500&lt;30,"Under 30",C500&lt;40,"30-39",C500&lt;50,"40-49",TRUE,"50+")</f>
        <v/>
      </c>
      <c r="V500" s="5">
        <f>IFS(O500&lt;60000,"Low (&lt;60k)",O500&lt;100000,"Mid (60-100k)",TRUE,"High (100k+)")</f>
        <v/>
      </c>
      <c r="W500" s="5">
        <f>IF(M500="No","Attrited","Active")</f>
        <v/>
      </c>
    </row>
    <row r="501">
      <c r="A501" s="5" t="inlineStr">
        <is>
          <t>E00500</t>
        </is>
      </c>
      <c r="B501" s="5" t="inlineStr">
        <is>
          <t>Female</t>
        </is>
      </c>
      <c r="C501" s="6" t="inlineStr">
        <is>
          <t>33</t>
        </is>
      </c>
      <c r="D501" s="5" t="inlineStr">
        <is>
          <t>Single</t>
        </is>
      </c>
      <c r="E501" s="5" t="inlineStr">
        <is>
          <t>PhD</t>
        </is>
      </c>
      <c r="F501" s="5" t="inlineStr">
        <is>
          <t>Operations</t>
        </is>
      </c>
      <c r="G501" s="5" t="inlineStr">
        <is>
          <t>Operations Analyst</t>
        </is>
      </c>
      <c r="H501" s="5" t="inlineStr">
        <is>
          <t>4</t>
        </is>
      </c>
      <c r="I501" s="5" t="inlineStr">
        <is>
          <t>Delhi</t>
        </is>
      </c>
      <c r="J501" s="5" t="inlineStr">
        <is>
          <t>Full-Time</t>
        </is>
      </c>
      <c r="K501" s="7" t="n">
        <v>45286</v>
      </c>
      <c r="L501" s="7" t="inlineStr"/>
      <c r="M501" s="5" t="inlineStr">
        <is>
          <t>Yes</t>
        </is>
      </c>
      <c r="N501" s="5" t="inlineStr"/>
      <c r="O501" s="8" t="inlineStr">
        <is>
          <t>116000</t>
        </is>
      </c>
      <c r="P501" s="5" t="inlineStr">
        <is>
          <t>15</t>
        </is>
      </c>
      <c r="Q501" s="5" t="inlineStr">
        <is>
          <t>4</t>
        </is>
      </c>
      <c r="R501" s="5" t="inlineStr">
        <is>
          <t>7</t>
        </is>
      </c>
      <c r="S501" s="5" t="inlineStr">
        <is>
          <t>24</t>
        </is>
      </c>
      <c r="T501" s="5" t="inlineStr">
        <is>
          <t>13</t>
        </is>
      </c>
      <c r="U501" s="5">
        <f>IFS(C501&lt;30,"Under 30",C501&lt;40,"30-39",C501&lt;50,"40-49",TRUE,"50+")</f>
        <v/>
      </c>
      <c r="V501" s="5">
        <f>IFS(O501&lt;60000,"Low (&lt;60k)",O501&lt;100000,"Mid (60-100k)",TRUE,"High (100k+)")</f>
        <v/>
      </c>
      <c r="W501" s="5">
        <f>IF(M501="No","Attrited","Active")</f>
        <v/>
      </c>
    </row>
    <row r="502">
      <c r="A502" s="5" t="inlineStr">
        <is>
          <t>E00501</t>
        </is>
      </c>
      <c r="B502" s="5" t="inlineStr">
        <is>
          <t>Female</t>
        </is>
      </c>
      <c r="C502" s="6" t="inlineStr">
        <is>
          <t>42</t>
        </is>
      </c>
      <c r="D502" s="5" t="inlineStr">
        <is>
          <t>Married</t>
        </is>
      </c>
      <c r="E502" s="5" t="inlineStr">
        <is>
          <t>Master</t>
        </is>
      </c>
      <c r="F502" s="5" t="inlineStr">
        <is>
          <t>Sales</t>
        </is>
      </c>
      <c r="G502" s="5" t="inlineStr">
        <is>
          <t>Account Executive</t>
        </is>
      </c>
      <c r="H502" s="5" t="inlineStr">
        <is>
          <t>6</t>
        </is>
      </c>
      <c r="I502" s="5" t="inlineStr">
        <is>
          <t>Chennai</t>
        </is>
      </c>
      <c r="J502" s="5" t="inlineStr">
        <is>
          <t>Full-Time</t>
        </is>
      </c>
      <c r="K502" s="7" t="n">
        <v>45549</v>
      </c>
      <c r="L502" s="7" t="inlineStr"/>
      <c r="M502" s="5" t="inlineStr">
        <is>
          <t>Yes</t>
        </is>
      </c>
      <c r="N502" s="5" t="inlineStr"/>
      <c r="O502" s="8" t="inlineStr">
        <is>
          <t>166500</t>
        </is>
      </c>
      <c r="P502" s="5" t="inlineStr">
        <is>
          <t>0</t>
        </is>
      </c>
      <c r="Q502" s="5" t="inlineStr">
        <is>
          <t>4</t>
        </is>
      </c>
      <c r="R502" s="5" t="inlineStr">
        <is>
          <t>6</t>
        </is>
      </c>
      <c r="S502" s="5" t="inlineStr">
        <is>
          <t>15</t>
        </is>
      </c>
      <c r="T502" s="5" t="inlineStr">
        <is>
          <t>7</t>
        </is>
      </c>
      <c r="U502" s="5">
        <f>IFS(C502&lt;30,"Under 30",C502&lt;40,"30-39",C502&lt;50,"40-49",TRUE,"50+")</f>
        <v/>
      </c>
      <c r="V502" s="5">
        <f>IFS(O502&lt;60000,"Low (&lt;60k)",O502&lt;100000,"Mid (60-100k)",TRUE,"High (100k+)")</f>
        <v/>
      </c>
      <c r="W502" s="5">
        <f>IF(M502="No","Attrited","Active")</f>
        <v/>
      </c>
    </row>
    <row r="503">
      <c r="A503" s="5" t="inlineStr">
        <is>
          <t>E00502</t>
        </is>
      </c>
      <c r="B503" s="5" t="inlineStr">
        <is>
          <t>Male</t>
        </is>
      </c>
      <c r="C503" s="6" t="inlineStr">
        <is>
          <t>32</t>
        </is>
      </c>
      <c r="D503" s="5" t="inlineStr">
        <is>
          <t>Married</t>
        </is>
      </c>
      <c r="E503" s="5" t="inlineStr">
        <is>
          <t>Master</t>
        </is>
      </c>
      <c r="F503" s="5" t="inlineStr">
        <is>
          <t>Sales</t>
        </is>
      </c>
      <c r="G503" s="5" t="inlineStr">
        <is>
          <t>Account Executive</t>
        </is>
      </c>
      <c r="H503" s="5" t="inlineStr">
        <is>
          <t>2</t>
        </is>
      </c>
      <c r="I503" s="5" t="inlineStr">
        <is>
          <t>Delhi</t>
        </is>
      </c>
      <c r="J503" s="5" t="inlineStr">
        <is>
          <t>Full-Time</t>
        </is>
      </c>
      <c r="K503" s="7" t="n">
        <v>45468</v>
      </c>
      <c r="L503" s="7" t="inlineStr"/>
      <c r="M503" s="5" t="inlineStr">
        <is>
          <t>Yes</t>
        </is>
      </c>
      <c r="N503" s="5" t="inlineStr"/>
      <c r="O503" s="8" t="inlineStr">
        <is>
          <t>103500</t>
        </is>
      </c>
      <c r="P503" s="5" t="inlineStr">
        <is>
          <t>5</t>
        </is>
      </c>
      <c r="Q503" s="5" t="inlineStr">
        <is>
          <t>3</t>
        </is>
      </c>
      <c r="R503" s="5" t="inlineStr">
        <is>
          <t>5</t>
        </is>
      </c>
      <c r="S503" s="5" t="inlineStr">
        <is>
          <t>18</t>
        </is>
      </c>
      <c r="T503" s="5" t="inlineStr">
        <is>
          <t>8</t>
        </is>
      </c>
      <c r="U503" s="5">
        <f>IFS(C503&lt;30,"Under 30",C503&lt;40,"30-39",C503&lt;50,"40-49",TRUE,"50+")</f>
        <v/>
      </c>
      <c r="V503" s="5">
        <f>IFS(O503&lt;60000,"Low (&lt;60k)",O503&lt;100000,"Mid (60-100k)",TRUE,"High (100k+)")</f>
        <v/>
      </c>
      <c r="W503" s="5">
        <f>IF(M503="No","Attrited","Active")</f>
        <v/>
      </c>
    </row>
    <row r="504">
      <c r="A504" s="5" t="inlineStr">
        <is>
          <t>E00503</t>
        </is>
      </c>
      <c r="B504" s="5" t="inlineStr">
        <is>
          <t>Male</t>
        </is>
      </c>
      <c r="C504" s="6" t="inlineStr">
        <is>
          <t>30</t>
        </is>
      </c>
      <c r="D504" s="5" t="inlineStr">
        <is>
          <t>Single</t>
        </is>
      </c>
      <c r="E504" s="5" t="inlineStr">
        <is>
          <t>PhD</t>
        </is>
      </c>
      <c r="F504" s="5" t="inlineStr">
        <is>
          <t>Marketing</t>
        </is>
      </c>
      <c r="G504" s="5" t="inlineStr">
        <is>
          <t>SEO Specialist</t>
        </is>
      </c>
      <c r="H504" s="5" t="inlineStr">
        <is>
          <t>1</t>
        </is>
      </c>
      <c r="I504" s="5" t="inlineStr">
        <is>
          <t>Hyderabad</t>
        </is>
      </c>
      <c r="J504" s="5" t="inlineStr">
        <is>
          <t>Full-Time</t>
        </is>
      </c>
      <c r="K504" s="7" t="n">
        <v>44309</v>
      </c>
      <c r="L504" s="7" t="inlineStr"/>
      <c r="M504" s="5" t="inlineStr">
        <is>
          <t>Yes</t>
        </is>
      </c>
      <c r="N504" s="5" t="inlineStr"/>
      <c r="O504" s="8" t="inlineStr">
        <is>
          <t>73500</t>
        </is>
      </c>
      <c r="P504" s="5" t="inlineStr">
        <is>
          <t>0</t>
        </is>
      </c>
      <c r="Q504" s="5" t="inlineStr">
        <is>
          <t>4</t>
        </is>
      </c>
      <c r="R504" s="5" t="inlineStr">
        <is>
          <t>7</t>
        </is>
      </c>
      <c r="S504" s="5" t="inlineStr">
        <is>
          <t>57</t>
        </is>
      </c>
      <c r="T504" s="5" t="inlineStr">
        <is>
          <t>7</t>
        </is>
      </c>
      <c r="U504" s="5">
        <f>IFS(C504&lt;30,"Under 30",C504&lt;40,"30-39",C504&lt;50,"40-49",TRUE,"50+")</f>
        <v/>
      </c>
      <c r="V504" s="5">
        <f>IFS(O504&lt;60000,"Low (&lt;60k)",O504&lt;100000,"Mid (60-100k)",TRUE,"High (100k+)")</f>
        <v/>
      </c>
      <c r="W504" s="5">
        <f>IF(M504="No","Attrited","Active")</f>
        <v/>
      </c>
    </row>
    <row r="505">
      <c r="A505" s="5" t="inlineStr">
        <is>
          <t>E00504</t>
        </is>
      </c>
      <c r="B505" s="5" t="inlineStr">
        <is>
          <t>Female</t>
        </is>
      </c>
      <c r="C505" s="6" t="inlineStr">
        <is>
          <t>28</t>
        </is>
      </c>
      <c r="D505" s="5" t="inlineStr">
        <is>
          <t>Married</t>
        </is>
      </c>
      <c r="E505" s="5" t="inlineStr">
        <is>
          <t>Master</t>
        </is>
      </c>
      <c r="F505" s="5" t="inlineStr">
        <is>
          <t>Research &amp; Development</t>
        </is>
      </c>
      <c r="G505" s="5" t="inlineStr">
        <is>
          <t>Research Scientist</t>
        </is>
      </c>
      <c r="H505" s="5" t="inlineStr">
        <is>
          <t>2</t>
        </is>
      </c>
      <c r="I505" s="5" t="inlineStr">
        <is>
          <t>Chennai</t>
        </is>
      </c>
      <c r="J505" s="5" t="inlineStr">
        <is>
          <t>Full-Time</t>
        </is>
      </c>
      <c r="K505" s="7" t="n">
        <v>43889</v>
      </c>
      <c r="L505" s="7" t="inlineStr"/>
      <c r="M505" s="5" t="inlineStr">
        <is>
          <t>Yes</t>
        </is>
      </c>
      <c r="N505" s="5" t="inlineStr"/>
      <c r="O505" s="8" t="inlineStr">
        <is>
          <t>182500</t>
        </is>
      </c>
      <c r="P505" s="5" t="inlineStr">
        <is>
          <t>15</t>
        </is>
      </c>
      <c r="Q505" s="5" t="inlineStr">
        <is>
          <t>5</t>
        </is>
      </c>
      <c r="R505" s="5" t="inlineStr">
        <is>
          <t>7</t>
        </is>
      </c>
      <c r="S505" s="5" t="inlineStr">
        <is>
          <t>71</t>
        </is>
      </c>
      <c r="T505" s="5" t="inlineStr">
        <is>
          <t>7</t>
        </is>
      </c>
      <c r="U505" s="5">
        <f>IFS(C505&lt;30,"Under 30",C505&lt;40,"30-39",C505&lt;50,"40-49",TRUE,"50+")</f>
        <v/>
      </c>
      <c r="V505" s="5">
        <f>IFS(O505&lt;60000,"Low (&lt;60k)",O505&lt;100000,"Mid (60-100k)",TRUE,"High (100k+)")</f>
        <v/>
      </c>
      <c r="W505" s="5">
        <f>IF(M505="No","Attrited","Active")</f>
        <v/>
      </c>
    </row>
    <row r="506">
      <c r="A506" s="5" t="inlineStr">
        <is>
          <t>E00505</t>
        </is>
      </c>
      <c r="B506" s="5" t="inlineStr">
        <is>
          <t>Female</t>
        </is>
      </c>
      <c r="C506" s="6" t="inlineStr">
        <is>
          <t>30</t>
        </is>
      </c>
      <c r="D506" s="5" t="inlineStr">
        <is>
          <t>Married</t>
        </is>
      </c>
      <c r="E506" s="5" t="inlineStr">
        <is>
          <t>Master</t>
        </is>
      </c>
      <c r="F506" s="5" t="inlineStr">
        <is>
          <t>Executive</t>
        </is>
      </c>
      <c r="G506" s="5" t="inlineStr">
        <is>
          <t>CFO</t>
        </is>
      </c>
      <c r="H506" s="5" t="inlineStr">
        <is>
          <t>1</t>
        </is>
      </c>
      <c r="I506" s="5" t="inlineStr">
        <is>
          <t>Hyderabad</t>
        </is>
      </c>
      <c r="J506" s="5" t="inlineStr">
        <is>
          <t>Full-Time</t>
        </is>
      </c>
      <c r="K506" s="7" t="n">
        <v>44419</v>
      </c>
      <c r="L506" s="7" t="n">
        <v>44493</v>
      </c>
      <c r="M506" s="5" t="inlineStr">
        <is>
          <t>No</t>
        </is>
      </c>
      <c r="N506" s="5" t="inlineStr">
        <is>
          <t>Retirement</t>
        </is>
      </c>
      <c r="O506" s="8" t="inlineStr">
        <is>
          <t>246500</t>
        </is>
      </c>
      <c r="P506" s="5" t="inlineStr">
        <is>
          <t>0</t>
        </is>
      </c>
      <c r="Q506" s="5" t="inlineStr">
        <is>
          <t>3</t>
        </is>
      </c>
      <c r="R506" s="5" t="inlineStr">
        <is>
          <t>5</t>
        </is>
      </c>
      <c r="S506" s="5" t="inlineStr">
        <is>
          <t>2</t>
        </is>
      </c>
      <c r="T506" s="5" t="inlineStr">
        <is>
          <t>11</t>
        </is>
      </c>
      <c r="U506" s="5">
        <f>IFS(C506&lt;30,"Under 30",C506&lt;40,"30-39",C506&lt;50,"40-49",TRUE,"50+")</f>
        <v/>
      </c>
      <c r="V506" s="5">
        <f>IFS(O506&lt;60000,"Low (&lt;60k)",O506&lt;100000,"Mid (60-100k)",TRUE,"High (100k+)")</f>
        <v/>
      </c>
      <c r="W506" s="5">
        <f>IF(M506="No","Attrited","Active")</f>
        <v/>
      </c>
    </row>
    <row r="507">
      <c r="A507" s="5" t="inlineStr">
        <is>
          <t>E00506</t>
        </is>
      </c>
      <c r="B507" s="5" t="inlineStr">
        <is>
          <t>Female</t>
        </is>
      </c>
      <c r="C507" s="6" t="inlineStr">
        <is>
          <t>36</t>
        </is>
      </c>
      <c r="D507" s="5" t="inlineStr">
        <is>
          <t>Single</t>
        </is>
      </c>
      <c r="E507" s="5" t="inlineStr">
        <is>
          <t>Diploma</t>
        </is>
      </c>
      <c r="F507" s="5" t="inlineStr">
        <is>
          <t>Operations</t>
        </is>
      </c>
      <c r="G507" s="5" t="inlineStr">
        <is>
          <t>Logistics Coordinator</t>
        </is>
      </c>
      <c r="H507" s="5" t="inlineStr">
        <is>
          <t>4</t>
        </is>
      </c>
      <c r="I507" s="5" t="inlineStr">
        <is>
          <t>Delhi</t>
        </is>
      </c>
      <c r="J507" s="5" t="inlineStr">
        <is>
          <t>Full-Time</t>
        </is>
      </c>
      <c r="K507" s="7" t="n">
        <v>43986</v>
      </c>
      <c r="L507" s="7" t="inlineStr"/>
      <c r="M507" s="5" t="inlineStr">
        <is>
          <t>Yes</t>
        </is>
      </c>
      <c r="N507" s="5" t="inlineStr"/>
      <c r="O507" s="8" t="inlineStr">
        <is>
          <t>88000</t>
        </is>
      </c>
      <c r="P507" s="5" t="inlineStr">
        <is>
          <t>5</t>
        </is>
      </c>
      <c r="Q507" s="5" t="inlineStr">
        <is>
          <t>4</t>
        </is>
      </c>
      <c r="R507" s="5" t="inlineStr">
        <is>
          <t>7</t>
        </is>
      </c>
      <c r="S507" s="5" t="inlineStr">
        <is>
          <t>67</t>
        </is>
      </c>
      <c r="T507" s="5" t="inlineStr">
        <is>
          <t>1</t>
        </is>
      </c>
      <c r="U507" s="5">
        <f>IFS(C507&lt;30,"Under 30",C507&lt;40,"30-39",C507&lt;50,"40-49",TRUE,"50+")</f>
        <v/>
      </c>
      <c r="V507" s="5">
        <f>IFS(O507&lt;60000,"Low (&lt;60k)",O507&lt;100000,"Mid (60-100k)",TRUE,"High (100k+)")</f>
        <v/>
      </c>
      <c r="W507" s="5">
        <f>IF(M507="No","Attrited","Active")</f>
        <v/>
      </c>
    </row>
    <row r="508">
      <c r="A508" s="5" t="inlineStr">
        <is>
          <t>E00507</t>
        </is>
      </c>
      <c r="B508" s="5" t="inlineStr">
        <is>
          <t>Female</t>
        </is>
      </c>
      <c r="C508" s="6" t="inlineStr">
        <is>
          <t>31</t>
        </is>
      </c>
      <c r="D508" s="5" t="inlineStr">
        <is>
          <t>Married</t>
        </is>
      </c>
      <c r="E508" s="5" t="inlineStr">
        <is>
          <t>Master</t>
        </is>
      </c>
      <c r="F508" s="5" t="inlineStr">
        <is>
          <t>Customer Support</t>
        </is>
      </c>
      <c r="G508" s="5" t="inlineStr">
        <is>
          <t>Escalation Specialist</t>
        </is>
      </c>
      <c r="H508" s="5" t="inlineStr">
        <is>
          <t>2</t>
        </is>
      </c>
      <c r="I508" s="5" t="inlineStr">
        <is>
          <t>Chennai</t>
        </is>
      </c>
      <c r="J508" s="5" t="inlineStr">
        <is>
          <t>Full-Time</t>
        </is>
      </c>
      <c r="K508" s="7" t="n">
        <v>45309</v>
      </c>
      <c r="L508" s="7" t="n">
        <v>45383</v>
      </c>
      <c r="M508" s="5" t="inlineStr">
        <is>
          <t>No</t>
        </is>
      </c>
      <c r="N508" s="5" t="inlineStr">
        <is>
          <t>Relocation</t>
        </is>
      </c>
      <c r="O508" s="8" t="inlineStr">
        <is>
          <t>69000</t>
        </is>
      </c>
      <c r="P508" s="5" t="inlineStr">
        <is>
          <t>15</t>
        </is>
      </c>
      <c r="Q508" s="5" t="inlineStr">
        <is>
          <t>4</t>
        </is>
      </c>
      <c r="R508" s="5" t="inlineStr">
        <is>
          <t>6</t>
        </is>
      </c>
      <c r="S508" s="5" t="inlineStr">
        <is>
          <t>2</t>
        </is>
      </c>
      <c r="T508" s="5" t="inlineStr">
        <is>
          <t>0</t>
        </is>
      </c>
      <c r="U508" s="5">
        <f>IFS(C508&lt;30,"Under 30",C508&lt;40,"30-39",C508&lt;50,"40-49",TRUE,"50+")</f>
        <v/>
      </c>
      <c r="V508" s="5">
        <f>IFS(O508&lt;60000,"Low (&lt;60k)",O508&lt;100000,"Mid (60-100k)",TRUE,"High (100k+)")</f>
        <v/>
      </c>
      <c r="W508" s="5">
        <f>IF(M508="No","Attrited","Active")</f>
        <v/>
      </c>
    </row>
    <row r="509">
      <c r="A509" s="5" t="inlineStr">
        <is>
          <t>E00508</t>
        </is>
      </c>
      <c r="B509" s="5" t="inlineStr">
        <is>
          <t>Male</t>
        </is>
      </c>
      <c r="C509" s="6" t="inlineStr">
        <is>
          <t>32</t>
        </is>
      </c>
      <c r="D509" s="5" t="inlineStr">
        <is>
          <t>Married</t>
        </is>
      </c>
      <c r="E509" s="5" t="inlineStr">
        <is>
          <t>Bachelor</t>
        </is>
      </c>
      <c r="F509" s="5" t="inlineStr">
        <is>
          <t>Customer Support</t>
        </is>
      </c>
      <c r="G509" s="5" t="inlineStr">
        <is>
          <t>Support Agent</t>
        </is>
      </c>
      <c r="H509" s="5" t="inlineStr">
        <is>
          <t>4</t>
        </is>
      </c>
      <c r="I509" s="5" t="inlineStr">
        <is>
          <t>Delhi</t>
        </is>
      </c>
      <c r="J509" s="5" t="inlineStr">
        <is>
          <t>Full-Time</t>
        </is>
      </c>
      <c r="K509" s="7" t="n">
        <v>44960</v>
      </c>
      <c r="L509" s="7" t="inlineStr"/>
      <c r="M509" s="5" t="inlineStr">
        <is>
          <t>Yes</t>
        </is>
      </c>
      <c r="N509" s="5" t="inlineStr"/>
      <c r="O509" s="8" t="inlineStr">
        <is>
          <t>74000</t>
        </is>
      </c>
      <c r="P509" s="5" t="inlineStr">
        <is>
          <t>5</t>
        </is>
      </c>
      <c r="Q509" s="5" t="inlineStr">
        <is>
          <t>3</t>
        </is>
      </c>
      <c r="R509" s="5" t="inlineStr">
        <is>
          <t>7</t>
        </is>
      </c>
      <c r="S509" s="5" t="inlineStr">
        <is>
          <t>35</t>
        </is>
      </c>
      <c r="T509" s="5" t="inlineStr">
        <is>
          <t>5</t>
        </is>
      </c>
      <c r="U509" s="5">
        <f>IFS(C509&lt;30,"Under 30",C509&lt;40,"30-39",C509&lt;50,"40-49",TRUE,"50+")</f>
        <v/>
      </c>
      <c r="V509" s="5">
        <f>IFS(O509&lt;60000,"Low (&lt;60k)",O509&lt;100000,"Mid (60-100k)",TRUE,"High (100k+)")</f>
        <v/>
      </c>
      <c r="W509" s="5">
        <f>IF(M509="No","Attrited","Active")</f>
        <v/>
      </c>
    </row>
    <row r="510">
      <c r="A510" s="5" t="inlineStr">
        <is>
          <t>E00509</t>
        </is>
      </c>
      <c r="B510" s="5" t="inlineStr">
        <is>
          <t>Female</t>
        </is>
      </c>
      <c r="C510" s="6" t="inlineStr">
        <is>
          <t>36</t>
        </is>
      </c>
      <c r="D510" s="5" t="inlineStr">
        <is>
          <t>Single</t>
        </is>
      </c>
      <c r="E510" s="5" t="inlineStr">
        <is>
          <t>Bachelor</t>
        </is>
      </c>
      <c r="F510" s="5" t="inlineStr">
        <is>
          <t>Research &amp; Development</t>
        </is>
      </c>
      <c r="G510" s="5" t="inlineStr">
        <is>
          <t>Research Scientist</t>
        </is>
      </c>
      <c r="H510" s="5" t="inlineStr">
        <is>
          <t>6</t>
        </is>
      </c>
      <c r="I510" s="5" t="inlineStr">
        <is>
          <t>Mumbai</t>
        </is>
      </c>
      <c r="J510" s="5" t="inlineStr">
        <is>
          <t>Full-Time</t>
        </is>
      </c>
      <c r="K510" s="7" t="n">
        <v>45970</v>
      </c>
      <c r="L510" s="7" t="n">
        <v>45985</v>
      </c>
      <c r="M510" s="5" t="inlineStr">
        <is>
          <t>No</t>
        </is>
      </c>
      <c r="N510" s="5" t="inlineStr">
        <is>
          <t>Resigned</t>
        </is>
      </c>
      <c r="O510" s="8" t="inlineStr">
        <is>
          <t>228500</t>
        </is>
      </c>
      <c r="P510" s="5" t="inlineStr">
        <is>
          <t>5</t>
        </is>
      </c>
      <c r="Q510" s="5" t="inlineStr">
        <is>
          <t>4</t>
        </is>
      </c>
      <c r="R510" s="5" t="inlineStr">
        <is>
          <t>7</t>
        </is>
      </c>
      <c r="S510" s="5" t="inlineStr">
        <is>
          <t>1</t>
        </is>
      </c>
      <c r="T510" s="5" t="inlineStr">
        <is>
          <t>5</t>
        </is>
      </c>
      <c r="U510" s="5">
        <f>IFS(C510&lt;30,"Under 30",C510&lt;40,"30-39",C510&lt;50,"40-49",TRUE,"50+")</f>
        <v/>
      </c>
      <c r="V510" s="5">
        <f>IFS(O510&lt;60000,"Low (&lt;60k)",O510&lt;100000,"Mid (60-100k)",TRUE,"High (100k+)")</f>
        <v/>
      </c>
      <c r="W510" s="5">
        <f>IF(M510="No","Attrited","Active")</f>
        <v/>
      </c>
    </row>
    <row r="511">
      <c r="A511" s="5" t="inlineStr">
        <is>
          <t>E00510</t>
        </is>
      </c>
      <c r="B511" s="5" t="inlineStr">
        <is>
          <t>Male</t>
        </is>
      </c>
      <c r="C511" s="6" t="inlineStr">
        <is>
          <t>31</t>
        </is>
      </c>
      <c r="D511" s="5" t="inlineStr">
        <is>
          <t>Married</t>
        </is>
      </c>
      <c r="E511" s="5" t="inlineStr">
        <is>
          <t>Diploma</t>
        </is>
      </c>
      <c r="F511" s="5" t="inlineStr">
        <is>
          <t>Operations</t>
        </is>
      </c>
      <c r="G511" s="5" t="inlineStr">
        <is>
          <t>Operations Analyst</t>
        </is>
      </c>
      <c r="H511" s="5" t="inlineStr">
        <is>
          <t>4</t>
        </is>
      </c>
      <c r="I511" s="5" t="inlineStr">
        <is>
          <t>Chennai</t>
        </is>
      </c>
      <c r="J511" s="5" t="inlineStr">
        <is>
          <t>Full-Time</t>
        </is>
      </c>
      <c r="K511" s="7" t="n">
        <v>45372</v>
      </c>
      <c r="L511" s="7" t="n">
        <v>45491</v>
      </c>
      <c r="M511" s="5" t="inlineStr">
        <is>
          <t>No</t>
        </is>
      </c>
      <c r="N511" s="5" t="inlineStr">
        <is>
          <t>Resigned</t>
        </is>
      </c>
      <c r="O511" s="8" t="inlineStr">
        <is>
          <t>142000</t>
        </is>
      </c>
      <c r="P511" s="5" t="inlineStr">
        <is>
          <t>15</t>
        </is>
      </c>
      <c r="Q511" s="5" t="inlineStr">
        <is>
          <t>3</t>
        </is>
      </c>
      <c r="R511" s="5" t="inlineStr">
        <is>
          <t>6</t>
        </is>
      </c>
      <c r="S511" s="5" t="inlineStr">
        <is>
          <t>3</t>
        </is>
      </c>
      <c r="T511" s="5" t="inlineStr">
        <is>
          <t>4</t>
        </is>
      </c>
      <c r="U511" s="5">
        <f>IFS(C511&lt;30,"Under 30",C511&lt;40,"30-39",C511&lt;50,"40-49",TRUE,"50+")</f>
        <v/>
      </c>
      <c r="V511" s="5">
        <f>IFS(O511&lt;60000,"Low (&lt;60k)",O511&lt;100000,"Mid (60-100k)",TRUE,"High (100k+)")</f>
        <v/>
      </c>
      <c r="W511" s="5">
        <f>IF(M511="No","Attrited","Active")</f>
        <v/>
      </c>
    </row>
    <row r="512">
      <c r="A512" s="5" t="inlineStr">
        <is>
          <t>E00511</t>
        </is>
      </c>
      <c r="B512" s="5" t="inlineStr">
        <is>
          <t>Male</t>
        </is>
      </c>
      <c r="C512" s="6" t="inlineStr">
        <is>
          <t>39</t>
        </is>
      </c>
      <c r="D512" s="5" t="inlineStr">
        <is>
          <t>Single</t>
        </is>
      </c>
      <c r="E512" s="5" t="inlineStr">
        <is>
          <t>Diploma</t>
        </is>
      </c>
      <c r="F512" s="5" t="inlineStr">
        <is>
          <t>Sales</t>
        </is>
      </c>
      <c r="G512" s="5" t="inlineStr">
        <is>
          <t>Account Executive</t>
        </is>
      </c>
      <c r="H512" s="5" t="inlineStr">
        <is>
          <t>7</t>
        </is>
      </c>
      <c r="I512" s="5" t="inlineStr">
        <is>
          <t>Mumbai</t>
        </is>
      </c>
      <c r="J512" s="5" t="inlineStr">
        <is>
          <t>Full-Time</t>
        </is>
      </c>
      <c r="K512" s="7" t="n">
        <v>45305</v>
      </c>
      <c r="L512" s="7" t="inlineStr"/>
      <c r="M512" s="5" t="inlineStr">
        <is>
          <t>Yes</t>
        </is>
      </c>
      <c r="N512" s="5" t="inlineStr"/>
      <c r="O512" s="8" t="inlineStr">
        <is>
          <t>177500</t>
        </is>
      </c>
      <c r="P512" s="5" t="inlineStr">
        <is>
          <t>15</t>
        </is>
      </c>
      <c r="Q512" s="5" t="inlineStr">
        <is>
          <t>3</t>
        </is>
      </c>
      <c r="R512" s="5" t="inlineStr">
        <is>
          <t>8</t>
        </is>
      </c>
      <c r="S512" s="5" t="inlineStr">
        <is>
          <t>23</t>
        </is>
      </c>
      <c r="T512" s="5" t="inlineStr">
        <is>
          <t>8</t>
        </is>
      </c>
      <c r="U512" s="5">
        <f>IFS(C512&lt;30,"Under 30",C512&lt;40,"30-39",C512&lt;50,"40-49",TRUE,"50+")</f>
        <v/>
      </c>
      <c r="V512" s="5">
        <f>IFS(O512&lt;60000,"Low (&lt;60k)",O512&lt;100000,"Mid (60-100k)",TRUE,"High (100k+)")</f>
        <v/>
      </c>
      <c r="W512" s="5">
        <f>IF(M512="No","Attrited","Active")</f>
        <v/>
      </c>
    </row>
    <row r="513">
      <c r="A513" s="5" t="inlineStr">
        <is>
          <t>E00512</t>
        </is>
      </c>
      <c r="B513" s="5" t="inlineStr">
        <is>
          <t>Male</t>
        </is>
      </c>
      <c r="C513" s="6" t="inlineStr">
        <is>
          <t>44</t>
        </is>
      </c>
      <c r="D513" s="5" t="inlineStr">
        <is>
          <t>Married</t>
        </is>
      </c>
      <c r="E513" s="5" t="inlineStr">
        <is>
          <t>PhD</t>
        </is>
      </c>
      <c r="F513" s="5" t="inlineStr">
        <is>
          <t>Customer Support</t>
        </is>
      </c>
      <c r="G513" s="5" t="inlineStr">
        <is>
          <t>Support Agent</t>
        </is>
      </c>
      <c r="H513" s="5" t="inlineStr">
        <is>
          <t>6</t>
        </is>
      </c>
      <c r="I513" s="5" t="inlineStr">
        <is>
          <t>Hyderabad</t>
        </is>
      </c>
      <c r="J513" s="5" t="inlineStr">
        <is>
          <t>Full-Time</t>
        </is>
      </c>
      <c r="K513" s="7" t="n">
        <v>44534</v>
      </c>
      <c r="L513" s="7" t="inlineStr"/>
      <c r="M513" s="5" t="inlineStr">
        <is>
          <t>Yes</t>
        </is>
      </c>
      <c r="N513" s="5" t="inlineStr"/>
      <c r="O513" s="8" t="inlineStr">
        <is>
          <t>108000</t>
        </is>
      </c>
      <c r="P513" s="5" t="inlineStr">
        <is>
          <t>15</t>
        </is>
      </c>
      <c r="Q513" s="5" t="inlineStr">
        <is>
          <t>4</t>
        </is>
      </c>
      <c r="R513" s="5" t="inlineStr">
        <is>
          <t>5</t>
        </is>
      </c>
      <c r="S513" s="5" t="inlineStr">
        <is>
          <t>49</t>
        </is>
      </c>
      <c r="T513" s="5" t="inlineStr">
        <is>
          <t>0</t>
        </is>
      </c>
      <c r="U513" s="5">
        <f>IFS(C513&lt;30,"Under 30",C513&lt;40,"30-39",C513&lt;50,"40-49",TRUE,"50+")</f>
        <v/>
      </c>
      <c r="V513" s="5">
        <f>IFS(O513&lt;60000,"Low (&lt;60k)",O513&lt;100000,"Mid (60-100k)",TRUE,"High (100k+)")</f>
        <v/>
      </c>
      <c r="W513" s="5">
        <f>IF(M513="No","Attrited","Active")</f>
        <v/>
      </c>
    </row>
    <row r="514">
      <c r="A514" s="5" t="inlineStr">
        <is>
          <t>E00513</t>
        </is>
      </c>
      <c r="B514" s="5" t="inlineStr">
        <is>
          <t>Male</t>
        </is>
      </c>
      <c r="C514" s="6" t="inlineStr">
        <is>
          <t>33</t>
        </is>
      </c>
      <c r="D514" s="5" t="inlineStr">
        <is>
          <t>Married</t>
        </is>
      </c>
      <c r="E514" s="5" t="inlineStr">
        <is>
          <t>Diploma</t>
        </is>
      </c>
      <c r="F514" s="5" t="inlineStr">
        <is>
          <t>Finance</t>
        </is>
      </c>
      <c r="G514" s="5" t="inlineStr">
        <is>
          <t>Financial Analyst</t>
        </is>
      </c>
      <c r="H514" s="5" t="inlineStr">
        <is>
          <t>3</t>
        </is>
      </c>
      <c r="I514" s="5" t="inlineStr">
        <is>
          <t>Remote</t>
        </is>
      </c>
      <c r="J514" s="5" t="inlineStr">
        <is>
          <t>Full-Time</t>
        </is>
      </c>
      <c r="K514" s="7" t="n">
        <v>45862</v>
      </c>
      <c r="L514" s="7" t="inlineStr"/>
      <c r="M514" s="5" t="inlineStr">
        <is>
          <t>Yes</t>
        </is>
      </c>
      <c r="N514" s="5" t="inlineStr"/>
      <c r="O514" s="8" t="inlineStr">
        <is>
          <t>137500</t>
        </is>
      </c>
      <c r="P514" s="5" t="inlineStr">
        <is>
          <t>20</t>
        </is>
      </c>
      <c r="Q514" s="5" t="inlineStr">
        <is>
          <t>4</t>
        </is>
      </c>
      <c r="R514" s="5" t="inlineStr">
        <is>
          <t>5</t>
        </is>
      </c>
      <c r="S514" s="5" t="inlineStr">
        <is>
          <t>5</t>
        </is>
      </c>
      <c r="T514" s="5" t="inlineStr">
        <is>
          <t>0</t>
        </is>
      </c>
      <c r="U514" s="5">
        <f>IFS(C514&lt;30,"Under 30",C514&lt;40,"30-39",C514&lt;50,"40-49",TRUE,"50+")</f>
        <v/>
      </c>
      <c r="V514" s="5">
        <f>IFS(O514&lt;60000,"Low (&lt;60k)",O514&lt;100000,"Mid (60-100k)",TRUE,"High (100k+)")</f>
        <v/>
      </c>
      <c r="W514" s="5">
        <f>IF(M514="No","Attrited","Active")</f>
        <v/>
      </c>
    </row>
    <row r="515">
      <c r="A515" s="5" t="inlineStr">
        <is>
          <t>E00514</t>
        </is>
      </c>
      <c r="B515" s="5" t="inlineStr">
        <is>
          <t>Male</t>
        </is>
      </c>
      <c r="C515" s="6" t="inlineStr">
        <is>
          <t>24</t>
        </is>
      </c>
      <c r="D515" s="5" t="inlineStr">
        <is>
          <t>Married</t>
        </is>
      </c>
      <c r="E515" s="5" t="inlineStr">
        <is>
          <t>Diploma</t>
        </is>
      </c>
      <c r="F515" s="5" t="inlineStr">
        <is>
          <t>Research &amp; Development</t>
        </is>
      </c>
      <c r="G515" s="5" t="inlineStr">
        <is>
          <t>Data Scientist</t>
        </is>
      </c>
      <c r="H515" s="5" t="inlineStr">
        <is>
          <t>1</t>
        </is>
      </c>
      <c r="I515" s="5" t="inlineStr">
        <is>
          <t>Mumbai</t>
        </is>
      </c>
      <c r="J515" s="5" t="inlineStr">
        <is>
          <t>Full-Time</t>
        </is>
      </c>
      <c r="K515" s="7" t="n">
        <v>44069</v>
      </c>
      <c r="L515" s="7" t="inlineStr"/>
      <c r="M515" s="5" t="inlineStr">
        <is>
          <t>Yes</t>
        </is>
      </c>
      <c r="N515" s="5" t="inlineStr"/>
      <c r="O515" s="8" t="inlineStr">
        <is>
          <t>153000</t>
        </is>
      </c>
      <c r="P515" s="5" t="inlineStr">
        <is>
          <t>15</t>
        </is>
      </c>
      <c r="Q515" s="5" t="inlineStr">
        <is>
          <t>5</t>
        </is>
      </c>
      <c r="R515" s="5" t="inlineStr">
        <is>
          <t>8</t>
        </is>
      </c>
      <c r="S515" s="5" t="inlineStr">
        <is>
          <t>65</t>
        </is>
      </c>
      <c r="T515" s="5" t="inlineStr">
        <is>
          <t>6</t>
        </is>
      </c>
      <c r="U515" s="5">
        <f>IFS(C515&lt;30,"Under 30",C515&lt;40,"30-39",C515&lt;50,"40-49",TRUE,"50+")</f>
        <v/>
      </c>
      <c r="V515" s="5">
        <f>IFS(O515&lt;60000,"Low (&lt;60k)",O515&lt;100000,"Mid (60-100k)",TRUE,"High (100k+)")</f>
        <v/>
      </c>
      <c r="W515" s="5">
        <f>IF(M515="No","Attrited","Active")</f>
        <v/>
      </c>
    </row>
    <row r="516">
      <c r="A516" s="5" t="inlineStr">
        <is>
          <t>E00515</t>
        </is>
      </c>
      <c r="B516" s="5" t="inlineStr">
        <is>
          <t>Female</t>
        </is>
      </c>
      <c r="C516" s="6" t="inlineStr">
        <is>
          <t>33</t>
        </is>
      </c>
      <c r="D516" s="5" t="inlineStr">
        <is>
          <t>Married</t>
        </is>
      </c>
      <c r="E516" s="5" t="inlineStr">
        <is>
          <t>Bachelor</t>
        </is>
      </c>
      <c r="F516" s="5" t="inlineStr">
        <is>
          <t>Operations</t>
        </is>
      </c>
      <c r="G516" s="5" t="inlineStr">
        <is>
          <t>Quality Analyst</t>
        </is>
      </c>
      <c r="H516" s="5" t="inlineStr">
        <is>
          <t>1</t>
        </is>
      </c>
      <c r="I516" s="5" t="inlineStr">
        <is>
          <t>Chennai</t>
        </is>
      </c>
      <c r="J516" s="5" t="inlineStr">
        <is>
          <t>Full-Time</t>
        </is>
      </c>
      <c r="K516" s="7" t="n">
        <v>44636</v>
      </c>
      <c r="L516" s="7" t="n">
        <v>44773</v>
      </c>
      <c r="M516" s="5" t="inlineStr">
        <is>
          <t>No</t>
        </is>
      </c>
      <c r="N516" s="5" t="inlineStr">
        <is>
          <t>Relocation</t>
        </is>
      </c>
      <c r="O516" s="8" t="inlineStr">
        <is>
          <t>80500</t>
        </is>
      </c>
      <c r="P516" s="5" t="inlineStr">
        <is>
          <t>0</t>
        </is>
      </c>
      <c r="Q516" s="5" t="inlineStr">
        <is>
          <t>4</t>
        </is>
      </c>
      <c r="R516" s="5" t="inlineStr">
        <is>
          <t>4</t>
        </is>
      </c>
      <c r="S516" s="5" t="inlineStr">
        <is>
          <t>4</t>
        </is>
      </c>
      <c r="T516" s="5" t="inlineStr">
        <is>
          <t>11</t>
        </is>
      </c>
      <c r="U516" s="5">
        <f>IFS(C516&lt;30,"Under 30",C516&lt;40,"30-39",C516&lt;50,"40-49",TRUE,"50+")</f>
        <v/>
      </c>
      <c r="V516" s="5">
        <f>IFS(O516&lt;60000,"Low (&lt;60k)",O516&lt;100000,"Mid (60-100k)",TRUE,"High (100k+)")</f>
        <v/>
      </c>
      <c r="W516" s="5">
        <f>IF(M516="No","Attrited","Active")</f>
        <v/>
      </c>
    </row>
    <row r="517">
      <c r="A517" s="5" t="inlineStr">
        <is>
          <t>E00516</t>
        </is>
      </c>
      <c r="B517" s="5" t="inlineStr">
        <is>
          <t>Male</t>
        </is>
      </c>
      <c r="C517" s="6" t="inlineStr">
        <is>
          <t>28</t>
        </is>
      </c>
      <c r="D517" s="5" t="inlineStr">
        <is>
          <t>Single</t>
        </is>
      </c>
      <c r="E517" s="5" t="inlineStr">
        <is>
          <t>PhD</t>
        </is>
      </c>
      <c r="F517" s="5" t="inlineStr">
        <is>
          <t>Operations</t>
        </is>
      </c>
      <c r="G517" s="5" t="inlineStr">
        <is>
          <t>Operations Analyst</t>
        </is>
      </c>
      <c r="H517" s="5" t="inlineStr">
        <is>
          <t>2</t>
        </is>
      </c>
      <c r="I517" s="5" t="inlineStr">
        <is>
          <t>Remote</t>
        </is>
      </c>
      <c r="J517" s="5" t="inlineStr">
        <is>
          <t>Full-Time</t>
        </is>
      </c>
      <c r="K517" s="7" t="n">
        <v>44911</v>
      </c>
      <c r="L517" s="7" t="inlineStr"/>
      <c r="M517" s="5" t="inlineStr">
        <is>
          <t>Yes</t>
        </is>
      </c>
      <c r="N517" s="5" t="inlineStr"/>
      <c r="O517" s="8" t="inlineStr">
        <is>
          <t>104500</t>
        </is>
      </c>
      <c r="P517" s="5" t="inlineStr">
        <is>
          <t>5</t>
        </is>
      </c>
      <c r="Q517" s="5" t="inlineStr">
        <is>
          <t>4</t>
        </is>
      </c>
      <c r="R517" s="5" t="inlineStr">
        <is>
          <t>6</t>
        </is>
      </c>
      <c r="S517" s="5" t="inlineStr">
        <is>
          <t>37</t>
        </is>
      </c>
      <c r="T517" s="5" t="inlineStr">
        <is>
          <t>19</t>
        </is>
      </c>
      <c r="U517" s="5">
        <f>IFS(C517&lt;30,"Under 30",C517&lt;40,"30-39",C517&lt;50,"40-49",TRUE,"50+")</f>
        <v/>
      </c>
      <c r="V517" s="5">
        <f>IFS(O517&lt;60000,"Low (&lt;60k)",O517&lt;100000,"Mid (60-100k)",TRUE,"High (100k+)")</f>
        <v/>
      </c>
      <c r="W517" s="5">
        <f>IF(M517="No","Attrited","Active")</f>
        <v/>
      </c>
    </row>
    <row r="518">
      <c r="A518" s="5" t="inlineStr">
        <is>
          <t>E00517</t>
        </is>
      </c>
      <c r="B518" s="5" t="inlineStr">
        <is>
          <t>Male</t>
        </is>
      </c>
      <c r="C518" s="6" t="inlineStr">
        <is>
          <t>29</t>
        </is>
      </c>
      <c r="D518" s="5" t="inlineStr">
        <is>
          <t>Married</t>
        </is>
      </c>
      <c r="E518" s="5" t="inlineStr">
        <is>
          <t>PhD</t>
        </is>
      </c>
      <c r="F518" s="5" t="inlineStr">
        <is>
          <t>Customer Support</t>
        </is>
      </c>
      <c r="G518" s="5" t="inlineStr">
        <is>
          <t>Support Lead</t>
        </is>
      </c>
      <c r="H518" s="5" t="inlineStr">
        <is>
          <t>1</t>
        </is>
      </c>
      <c r="I518" s="5" t="inlineStr">
        <is>
          <t>Hyderabad</t>
        </is>
      </c>
      <c r="J518" s="5" t="inlineStr">
        <is>
          <t>Full-Time</t>
        </is>
      </c>
      <c r="K518" s="7" t="n">
        <v>45289</v>
      </c>
      <c r="L518" s="7" t="inlineStr"/>
      <c r="M518" s="5" t="inlineStr">
        <is>
          <t>Yes</t>
        </is>
      </c>
      <c r="N518" s="5" t="inlineStr"/>
      <c r="O518" s="8" t="inlineStr">
        <is>
          <t>50500</t>
        </is>
      </c>
      <c r="P518" s="5" t="inlineStr">
        <is>
          <t>0</t>
        </is>
      </c>
      <c r="Q518" s="5" t="inlineStr">
        <is>
          <t>4</t>
        </is>
      </c>
      <c r="R518" s="5" t="inlineStr">
        <is>
          <t>9</t>
        </is>
      </c>
      <c r="S518" s="5" t="inlineStr">
        <is>
          <t>24</t>
        </is>
      </c>
      <c r="T518" s="5" t="inlineStr">
        <is>
          <t>8</t>
        </is>
      </c>
      <c r="U518" s="5">
        <f>IFS(C518&lt;30,"Under 30",C518&lt;40,"30-39",C518&lt;50,"40-49",TRUE,"50+")</f>
        <v/>
      </c>
      <c r="V518" s="5">
        <f>IFS(O518&lt;60000,"Low (&lt;60k)",O518&lt;100000,"Mid (60-100k)",TRUE,"High (100k+)")</f>
        <v/>
      </c>
      <c r="W518" s="5">
        <f>IF(M518="No","Attrited","Active")</f>
        <v/>
      </c>
    </row>
    <row r="519">
      <c r="A519" s="5" t="inlineStr">
        <is>
          <t>E00518</t>
        </is>
      </c>
      <c r="B519" s="5" t="inlineStr">
        <is>
          <t>Female</t>
        </is>
      </c>
      <c r="C519" s="6" t="inlineStr">
        <is>
          <t>28</t>
        </is>
      </c>
      <c r="D519" s="5" t="inlineStr">
        <is>
          <t>Married</t>
        </is>
      </c>
      <c r="E519" s="5" t="inlineStr">
        <is>
          <t>Bachelor</t>
        </is>
      </c>
      <c r="F519" s="5" t="inlineStr">
        <is>
          <t>IT</t>
        </is>
      </c>
      <c r="G519" s="5" t="inlineStr">
        <is>
          <t>DevOps Engineer</t>
        </is>
      </c>
      <c r="H519" s="5" t="inlineStr">
        <is>
          <t>2</t>
        </is>
      </c>
      <c r="I519" s="5" t="inlineStr">
        <is>
          <t>Bengaluru</t>
        </is>
      </c>
      <c r="J519" s="5" t="inlineStr">
        <is>
          <t>Full-Time</t>
        </is>
      </c>
      <c r="K519" s="7" t="n">
        <v>45415</v>
      </c>
      <c r="L519" s="7" t="n">
        <v>45473</v>
      </c>
      <c r="M519" s="5" t="inlineStr">
        <is>
          <t>No</t>
        </is>
      </c>
      <c r="N519" s="5" t="inlineStr">
        <is>
          <t>Resigned</t>
        </is>
      </c>
      <c r="O519" s="8" t="inlineStr">
        <is>
          <t>129500</t>
        </is>
      </c>
      <c r="P519" s="5" t="inlineStr">
        <is>
          <t>20</t>
        </is>
      </c>
      <c r="Q519" s="5" t="inlineStr">
        <is>
          <t>5</t>
        </is>
      </c>
      <c r="R519" s="5" t="inlineStr">
        <is>
          <t>10</t>
        </is>
      </c>
      <c r="S519" s="5" t="inlineStr">
        <is>
          <t>1</t>
        </is>
      </c>
      <c r="T519" s="5" t="inlineStr">
        <is>
          <t>10</t>
        </is>
      </c>
      <c r="U519" s="5">
        <f>IFS(C519&lt;30,"Under 30",C519&lt;40,"30-39",C519&lt;50,"40-49",TRUE,"50+")</f>
        <v/>
      </c>
      <c r="V519" s="5">
        <f>IFS(O519&lt;60000,"Low (&lt;60k)",O519&lt;100000,"Mid (60-100k)",TRUE,"High (100k+)")</f>
        <v/>
      </c>
      <c r="W519" s="5">
        <f>IF(M519="No","Attrited","Active")</f>
        <v/>
      </c>
    </row>
    <row r="520">
      <c r="A520" s="5" t="inlineStr">
        <is>
          <t>E00519</t>
        </is>
      </c>
      <c r="B520" s="5" t="inlineStr">
        <is>
          <t>Female</t>
        </is>
      </c>
      <c r="C520" s="6" t="inlineStr">
        <is>
          <t>36</t>
        </is>
      </c>
      <c r="D520" s="5" t="inlineStr">
        <is>
          <t>Married</t>
        </is>
      </c>
      <c r="E520" s="5" t="inlineStr">
        <is>
          <t>Bachelor</t>
        </is>
      </c>
      <c r="F520" s="5" t="inlineStr">
        <is>
          <t>Sales</t>
        </is>
      </c>
      <c r="G520" s="5" t="inlineStr">
        <is>
          <t>Business Development</t>
        </is>
      </c>
      <c r="H520" s="5" t="inlineStr">
        <is>
          <t>5</t>
        </is>
      </c>
      <c r="I520" s="5" t="inlineStr">
        <is>
          <t>Hyderabad</t>
        </is>
      </c>
      <c r="J520" s="5" t="inlineStr">
        <is>
          <t>Full-Time</t>
        </is>
      </c>
      <c r="K520" s="7" t="n">
        <v>44853</v>
      </c>
      <c r="L520" s="7" t="inlineStr"/>
      <c r="M520" s="5" t="inlineStr">
        <is>
          <t>Yes</t>
        </is>
      </c>
      <c r="N520" s="5" t="inlineStr"/>
      <c r="O520" s="8" t="inlineStr">
        <is>
          <t>144500</t>
        </is>
      </c>
      <c r="P520" s="5" t="inlineStr">
        <is>
          <t>20</t>
        </is>
      </c>
      <c r="Q520" s="5" t="inlineStr">
        <is>
          <t>4</t>
        </is>
      </c>
      <c r="R520" s="5" t="inlineStr">
        <is>
          <t>7</t>
        </is>
      </c>
      <c r="S520" s="5" t="inlineStr">
        <is>
          <t>38</t>
        </is>
      </c>
      <c r="T520" s="5" t="inlineStr">
        <is>
          <t>15</t>
        </is>
      </c>
      <c r="U520" s="5">
        <f>IFS(C520&lt;30,"Under 30",C520&lt;40,"30-39",C520&lt;50,"40-49",TRUE,"50+")</f>
        <v/>
      </c>
      <c r="V520" s="5">
        <f>IFS(O520&lt;60000,"Low (&lt;60k)",O520&lt;100000,"Mid (60-100k)",TRUE,"High (100k+)")</f>
        <v/>
      </c>
      <c r="W520" s="5">
        <f>IF(M520="No","Attrited","Active")</f>
        <v/>
      </c>
    </row>
    <row r="521">
      <c r="A521" s="5" t="inlineStr">
        <is>
          <t>E00520</t>
        </is>
      </c>
      <c r="B521" s="5" t="inlineStr">
        <is>
          <t>Male</t>
        </is>
      </c>
      <c r="C521" s="6" t="inlineStr">
        <is>
          <t>30</t>
        </is>
      </c>
      <c r="D521" s="5" t="inlineStr">
        <is>
          <t>Married</t>
        </is>
      </c>
      <c r="E521" s="5" t="inlineStr">
        <is>
          <t>Master</t>
        </is>
      </c>
      <c r="F521" s="5" t="inlineStr">
        <is>
          <t>Customer Support</t>
        </is>
      </c>
      <c r="G521" s="5" t="inlineStr">
        <is>
          <t>Support Agent</t>
        </is>
      </c>
      <c r="H521" s="5" t="inlineStr">
        <is>
          <t>2</t>
        </is>
      </c>
      <c r="I521" s="5" t="inlineStr">
        <is>
          <t>Remote</t>
        </is>
      </c>
      <c r="J521" s="5" t="inlineStr">
        <is>
          <t>Full-Time</t>
        </is>
      </c>
      <c r="K521" s="7" t="n">
        <v>44749</v>
      </c>
      <c r="L521" s="7" t="inlineStr"/>
      <c r="M521" s="5" t="inlineStr">
        <is>
          <t>Yes</t>
        </is>
      </c>
      <c r="N521" s="5" t="inlineStr"/>
      <c r="O521" s="8" t="inlineStr">
        <is>
          <t>59500</t>
        </is>
      </c>
      <c r="P521" s="5" t="inlineStr">
        <is>
          <t>15</t>
        </is>
      </c>
      <c r="Q521" s="5" t="inlineStr">
        <is>
          <t>3</t>
        </is>
      </c>
      <c r="R521" s="5" t="inlineStr">
        <is>
          <t>7</t>
        </is>
      </c>
      <c r="S521" s="5" t="inlineStr">
        <is>
          <t>42</t>
        </is>
      </c>
      <c r="T521" s="5" t="inlineStr">
        <is>
          <t>14</t>
        </is>
      </c>
      <c r="U521" s="5">
        <f>IFS(C521&lt;30,"Under 30",C521&lt;40,"30-39",C521&lt;50,"40-49",TRUE,"50+")</f>
        <v/>
      </c>
      <c r="V521" s="5">
        <f>IFS(O521&lt;60000,"Low (&lt;60k)",O521&lt;100000,"Mid (60-100k)",TRUE,"High (100k+)")</f>
        <v/>
      </c>
      <c r="W521" s="5">
        <f>IF(M521="No","Attrited","Active")</f>
        <v/>
      </c>
    </row>
    <row r="522">
      <c r="A522" s="5" t="inlineStr">
        <is>
          <t>E00521</t>
        </is>
      </c>
      <c r="B522" s="5" t="inlineStr">
        <is>
          <t>Male</t>
        </is>
      </c>
      <c r="C522" s="6" t="inlineStr">
        <is>
          <t>38</t>
        </is>
      </c>
      <c r="D522" s="5" t="inlineStr">
        <is>
          <t>Single</t>
        </is>
      </c>
      <c r="E522" s="5" t="inlineStr">
        <is>
          <t>Master</t>
        </is>
      </c>
      <c r="F522" s="5" t="inlineStr">
        <is>
          <t>Operations</t>
        </is>
      </c>
      <c r="G522" s="5" t="inlineStr">
        <is>
          <t>Operations Analyst</t>
        </is>
      </c>
      <c r="H522" s="5" t="inlineStr">
        <is>
          <t>3</t>
        </is>
      </c>
      <c r="I522" s="5" t="inlineStr">
        <is>
          <t>Bengaluru</t>
        </is>
      </c>
      <c r="J522" s="5" t="inlineStr">
        <is>
          <t>Full-Time</t>
        </is>
      </c>
      <c r="K522" s="7" t="n">
        <v>44263</v>
      </c>
      <c r="L522" s="7" t="inlineStr"/>
      <c r="M522" s="5" t="inlineStr">
        <is>
          <t>Yes</t>
        </is>
      </c>
      <c r="N522" s="5" t="inlineStr"/>
      <c r="O522" s="8" t="inlineStr">
        <is>
          <t>100500</t>
        </is>
      </c>
      <c r="P522" s="5" t="inlineStr">
        <is>
          <t>0</t>
        </is>
      </c>
      <c r="Q522" s="5" t="inlineStr">
        <is>
          <t>4</t>
        </is>
      </c>
      <c r="R522" s="5" t="inlineStr">
        <is>
          <t>6</t>
        </is>
      </c>
      <c r="S522" s="5" t="inlineStr">
        <is>
          <t>58</t>
        </is>
      </c>
      <c r="T522" s="5" t="inlineStr">
        <is>
          <t>8</t>
        </is>
      </c>
      <c r="U522" s="5">
        <f>IFS(C522&lt;30,"Under 30",C522&lt;40,"30-39",C522&lt;50,"40-49",TRUE,"50+")</f>
        <v/>
      </c>
      <c r="V522" s="5">
        <f>IFS(O522&lt;60000,"Low (&lt;60k)",O522&lt;100000,"Mid (60-100k)",TRUE,"High (100k+)")</f>
        <v/>
      </c>
      <c r="W522" s="5">
        <f>IF(M522="No","Attrited","Active")</f>
        <v/>
      </c>
    </row>
    <row r="523">
      <c r="A523" s="5" t="inlineStr">
        <is>
          <t>E00522</t>
        </is>
      </c>
      <c r="B523" s="5" t="inlineStr">
        <is>
          <t>Male</t>
        </is>
      </c>
      <c r="C523" s="6" t="inlineStr">
        <is>
          <t>34</t>
        </is>
      </c>
      <c r="D523" s="5" t="inlineStr">
        <is>
          <t>Married</t>
        </is>
      </c>
      <c r="E523" s="5" t="inlineStr">
        <is>
          <t>PhD</t>
        </is>
      </c>
      <c r="F523" s="5" t="inlineStr">
        <is>
          <t>Operations</t>
        </is>
      </c>
      <c r="G523" s="5" t="inlineStr">
        <is>
          <t>Logistics Coordinator</t>
        </is>
      </c>
      <c r="H523" s="5" t="inlineStr">
        <is>
          <t>4</t>
        </is>
      </c>
      <c r="I523" s="5" t="inlineStr">
        <is>
          <t>Bengaluru</t>
        </is>
      </c>
      <c r="J523" s="5" t="inlineStr">
        <is>
          <t>Full-Time</t>
        </is>
      </c>
      <c r="K523" s="7" t="n">
        <v>44794</v>
      </c>
      <c r="L523" s="7" t="inlineStr"/>
      <c r="M523" s="5" t="inlineStr">
        <is>
          <t>Yes</t>
        </is>
      </c>
      <c r="N523" s="5" t="inlineStr"/>
      <c r="O523" s="8" t="inlineStr">
        <is>
          <t>123500</t>
        </is>
      </c>
      <c r="P523" s="5" t="inlineStr">
        <is>
          <t>0</t>
        </is>
      </c>
      <c r="Q523" s="5" t="inlineStr">
        <is>
          <t>5</t>
        </is>
      </c>
      <c r="R523" s="5" t="inlineStr">
        <is>
          <t>6</t>
        </is>
      </c>
      <c r="S523" s="5" t="inlineStr">
        <is>
          <t>40</t>
        </is>
      </c>
      <c r="T523" s="5" t="inlineStr">
        <is>
          <t>0</t>
        </is>
      </c>
      <c r="U523" s="5">
        <f>IFS(C523&lt;30,"Under 30",C523&lt;40,"30-39",C523&lt;50,"40-49",TRUE,"50+")</f>
        <v/>
      </c>
      <c r="V523" s="5">
        <f>IFS(O523&lt;60000,"Low (&lt;60k)",O523&lt;100000,"Mid (60-100k)",TRUE,"High (100k+)")</f>
        <v/>
      </c>
      <c r="W523" s="5">
        <f>IF(M523="No","Attrited","Active")</f>
        <v/>
      </c>
    </row>
    <row r="524">
      <c r="A524" s="5" t="inlineStr">
        <is>
          <t>E00523</t>
        </is>
      </c>
      <c r="B524" s="5" t="inlineStr">
        <is>
          <t>Male</t>
        </is>
      </c>
      <c r="C524" s="6" t="inlineStr">
        <is>
          <t>34</t>
        </is>
      </c>
      <c r="D524" s="5" t="inlineStr">
        <is>
          <t>Married</t>
        </is>
      </c>
      <c r="E524" s="5" t="inlineStr">
        <is>
          <t>High School</t>
        </is>
      </c>
      <c r="F524" s="5" t="inlineStr">
        <is>
          <t>Marketing</t>
        </is>
      </c>
      <c r="G524" s="5" t="inlineStr">
        <is>
          <t>SEO Specialist</t>
        </is>
      </c>
      <c r="H524" s="5" t="inlineStr">
        <is>
          <t>4</t>
        </is>
      </c>
      <c r="I524" s="5" t="inlineStr">
        <is>
          <t>Bengaluru</t>
        </is>
      </c>
      <c r="J524" s="5" t="inlineStr">
        <is>
          <t>Full-Time</t>
        </is>
      </c>
      <c r="K524" s="7" t="n">
        <v>43923</v>
      </c>
      <c r="L524" s="7" t="inlineStr"/>
      <c r="M524" s="5" t="inlineStr">
        <is>
          <t>Yes</t>
        </is>
      </c>
      <c r="N524" s="5" t="inlineStr"/>
      <c r="O524" s="8" t="inlineStr">
        <is>
          <t>99500</t>
        </is>
      </c>
      <c r="P524" s="5" t="inlineStr">
        <is>
          <t>10</t>
        </is>
      </c>
      <c r="Q524" s="5" t="inlineStr">
        <is>
          <t>3</t>
        </is>
      </c>
      <c r="R524" s="5" t="inlineStr">
        <is>
          <t>9</t>
        </is>
      </c>
      <c r="S524" s="5" t="inlineStr">
        <is>
          <t>69</t>
        </is>
      </c>
      <c r="T524" s="5" t="inlineStr">
        <is>
          <t>7</t>
        </is>
      </c>
      <c r="U524" s="5">
        <f>IFS(C524&lt;30,"Under 30",C524&lt;40,"30-39",C524&lt;50,"40-49",TRUE,"50+")</f>
        <v/>
      </c>
      <c r="V524" s="5">
        <f>IFS(O524&lt;60000,"Low (&lt;60k)",O524&lt;100000,"Mid (60-100k)",TRUE,"High (100k+)")</f>
        <v/>
      </c>
      <c r="W524" s="5">
        <f>IF(M524="No","Attrited","Active")</f>
        <v/>
      </c>
    </row>
    <row r="525">
      <c r="A525" s="5" t="inlineStr">
        <is>
          <t>E00524</t>
        </is>
      </c>
      <c r="B525" s="5" t="inlineStr">
        <is>
          <t>Female</t>
        </is>
      </c>
      <c r="C525" s="6" t="inlineStr">
        <is>
          <t>32</t>
        </is>
      </c>
      <c r="D525" s="5" t="inlineStr">
        <is>
          <t>Married</t>
        </is>
      </c>
      <c r="E525" s="5" t="inlineStr">
        <is>
          <t>Master</t>
        </is>
      </c>
      <c r="F525" s="5" t="inlineStr">
        <is>
          <t>Human Resources</t>
        </is>
      </c>
      <c r="G525" s="5" t="inlineStr">
        <is>
          <t>Recruiter</t>
        </is>
      </c>
      <c r="H525" s="5" t="inlineStr">
        <is>
          <t>4</t>
        </is>
      </c>
      <c r="I525" s="5" t="inlineStr">
        <is>
          <t>Bengaluru</t>
        </is>
      </c>
      <c r="J525" s="5" t="inlineStr">
        <is>
          <t>Full-Time</t>
        </is>
      </c>
      <c r="K525" s="7" t="n">
        <v>44923</v>
      </c>
      <c r="L525" s="7" t="inlineStr"/>
      <c r="M525" s="5" t="inlineStr">
        <is>
          <t>Yes</t>
        </is>
      </c>
      <c r="N525" s="5" t="inlineStr"/>
      <c r="O525" s="8" t="inlineStr">
        <is>
          <t>82000</t>
        </is>
      </c>
      <c r="P525" s="5" t="inlineStr">
        <is>
          <t>5</t>
        </is>
      </c>
      <c r="Q525" s="5" t="inlineStr">
        <is>
          <t>5</t>
        </is>
      </c>
      <c r="R525" s="5" t="inlineStr">
        <is>
          <t>3</t>
        </is>
      </c>
      <c r="S525" s="5" t="inlineStr">
        <is>
          <t>36</t>
        </is>
      </c>
      <c r="T525" s="5" t="inlineStr">
        <is>
          <t>0</t>
        </is>
      </c>
      <c r="U525" s="5">
        <f>IFS(C525&lt;30,"Under 30",C525&lt;40,"30-39",C525&lt;50,"40-49",TRUE,"50+")</f>
        <v/>
      </c>
      <c r="V525" s="5">
        <f>IFS(O525&lt;60000,"Low (&lt;60k)",O525&lt;100000,"Mid (60-100k)",TRUE,"High (100k+)")</f>
        <v/>
      </c>
      <c r="W525" s="5">
        <f>IF(M525="No","Attrited","Active")</f>
        <v/>
      </c>
    </row>
    <row r="526">
      <c r="A526" s="5" t="inlineStr">
        <is>
          <t>E00525</t>
        </is>
      </c>
      <c r="B526" s="5" t="inlineStr">
        <is>
          <t>Female</t>
        </is>
      </c>
      <c r="C526" s="6" t="inlineStr">
        <is>
          <t>34</t>
        </is>
      </c>
      <c r="D526" s="5" t="inlineStr">
        <is>
          <t>Married</t>
        </is>
      </c>
      <c r="E526" s="5" t="inlineStr">
        <is>
          <t>Bachelor</t>
        </is>
      </c>
      <c r="F526" s="5" t="inlineStr">
        <is>
          <t>IT</t>
        </is>
      </c>
      <c r="G526" s="5" t="inlineStr">
        <is>
          <t>IT Support</t>
        </is>
      </c>
      <c r="H526" s="5" t="inlineStr">
        <is>
          <t>2</t>
        </is>
      </c>
      <c r="I526" s="5" t="inlineStr">
        <is>
          <t>Chennai</t>
        </is>
      </c>
      <c r="J526" s="5" t="inlineStr">
        <is>
          <t>Full-Time</t>
        </is>
      </c>
      <c r="K526" s="7" t="n">
        <v>45310</v>
      </c>
      <c r="L526" s="7" t="inlineStr"/>
      <c r="M526" s="5" t="inlineStr">
        <is>
          <t>Yes</t>
        </is>
      </c>
      <c r="N526" s="5" t="inlineStr"/>
      <c r="O526" s="8" t="inlineStr">
        <is>
          <t>121000</t>
        </is>
      </c>
      <c r="P526" s="5" t="inlineStr">
        <is>
          <t>5</t>
        </is>
      </c>
      <c r="Q526" s="5" t="inlineStr">
        <is>
          <t>3</t>
        </is>
      </c>
      <c r="R526" s="5" t="inlineStr">
        <is>
          <t>3</t>
        </is>
      </c>
      <c r="S526" s="5" t="inlineStr">
        <is>
          <t>23</t>
        </is>
      </c>
      <c r="T526" s="5" t="inlineStr">
        <is>
          <t>4</t>
        </is>
      </c>
      <c r="U526" s="5">
        <f>IFS(C526&lt;30,"Under 30",C526&lt;40,"30-39",C526&lt;50,"40-49",TRUE,"50+")</f>
        <v/>
      </c>
      <c r="V526" s="5">
        <f>IFS(O526&lt;60000,"Low (&lt;60k)",O526&lt;100000,"Mid (60-100k)",TRUE,"High (100k+)")</f>
        <v/>
      </c>
      <c r="W526" s="5">
        <f>IF(M526="No","Attrited","Active")</f>
        <v/>
      </c>
    </row>
    <row r="527">
      <c r="A527" s="5" t="inlineStr">
        <is>
          <t>E00526</t>
        </is>
      </c>
      <c r="B527" s="5" t="inlineStr">
        <is>
          <t>Male</t>
        </is>
      </c>
      <c r="C527" s="6" t="inlineStr">
        <is>
          <t>34</t>
        </is>
      </c>
      <c r="D527" s="5" t="inlineStr">
        <is>
          <t>Divorced</t>
        </is>
      </c>
      <c r="E527" s="5" t="inlineStr">
        <is>
          <t>Diploma</t>
        </is>
      </c>
      <c r="F527" s="5" t="inlineStr">
        <is>
          <t>Operations</t>
        </is>
      </c>
      <c r="G527" s="5" t="inlineStr">
        <is>
          <t>Operations Analyst</t>
        </is>
      </c>
      <c r="H527" s="5" t="inlineStr">
        <is>
          <t>2</t>
        </is>
      </c>
      <c r="I527" s="5" t="inlineStr">
        <is>
          <t>Mumbai</t>
        </is>
      </c>
      <c r="J527" s="5" t="inlineStr">
        <is>
          <t>Full-Time</t>
        </is>
      </c>
      <c r="K527" s="7" t="n">
        <v>44460</v>
      </c>
      <c r="L527" s="7" t="inlineStr"/>
      <c r="M527" s="5" t="inlineStr">
        <is>
          <t>Yes</t>
        </is>
      </c>
      <c r="N527" s="5" t="inlineStr"/>
      <c r="O527" s="8" t="inlineStr">
        <is>
          <t>63500</t>
        </is>
      </c>
      <c r="P527" s="5" t="inlineStr">
        <is>
          <t>5</t>
        </is>
      </c>
      <c r="Q527" s="5" t="inlineStr">
        <is>
          <t>2</t>
        </is>
      </c>
      <c r="R527" s="5" t="inlineStr">
        <is>
          <t>10</t>
        </is>
      </c>
      <c r="S527" s="5" t="inlineStr">
        <is>
          <t>52</t>
        </is>
      </c>
      <c r="T527" s="5" t="inlineStr">
        <is>
          <t>4</t>
        </is>
      </c>
      <c r="U527" s="5">
        <f>IFS(C527&lt;30,"Under 30",C527&lt;40,"30-39",C527&lt;50,"40-49",TRUE,"50+")</f>
        <v/>
      </c>
      <c r="V527" s="5">
        <f>IFS(O527&lt;60000,"Low (&lt;60k)",O527&lt;100000,"Mid (60-100k)",TRUE,"High (100k+)")</f>
        <v/>
      </c>
      <c r="W527" s="5">
        <f>IF(M527="No","Attrited","Active")</f>
        <v/>
      </c>
    </row>
    <row r="528">
      <c r="A528" s="5" t="inlineStr">
        <is>
          <t>E00527</t>
        </is>
      </c>
      <c r="B528" s="5" t="inlineStr">
        <is>
          <t>Male</t>
        </is>
      </c>
      <c r="C528" s="6" t="inlineStr">
        <is>
          <t>33</t>
        </is>
      </c>
      <c r="D528" s="5" t="inlineStr">
        <is>
          <t>Married</t>
        </is>
      </c>
      <c r="E528" s="5" t="inlineStr">
        <is>
          <t>Bachelor</t>
        </is>
      </c>
      <c r="F528" s="5" t="inlineStr">
        <is>
          <t>Operations</t>
        </is>
      </c>
      <c r="G528" s="5" t="inlineStr">
        <is>
          <t>Logistics Coordinator</t>
        </is>
      </c>
      <c r="H528" s="5" t="inlineStr">
        <is>
          <t>1</t>
        </is>
      </c>
      <c r="I528" s="5" t="inlineStr">
        <is>
          <t>Delhi</t>
        </is>
      </c>
      <c r="J528" s="5" t="inlineStr">
        <is>
          <t>Full-Time</t>
        </is>
      </c>
      <c r="K528" s="7" t="n">
        <v>44888</v>
      </c>
      <c r="L528" s="7" t="inlineStr"/>
      <c r="M528" s="5" t="inlineStr">
        <is>
          <t>Yes</t>
        </is>
      </c>
      <c r="N528" s="5" t="inlineStr"/>
      <c r="O528" s="8" t="inlineStr">
        <is>
          <t>57000</t>
        </is>
      </c>
      <c r="P528" s="5" t="inlineStr">
        <is>
          <t>10</t>
        </is>
      </c>
      <c r="Q528" s="5" t="inlineStr">
        <is>
          <t>3</t>
        </is>
      </c>
      <c r="R528" s="5" t="inlineStr">
        <is>
          <t>5</t>
        </is>
      </c>
      <c r="S528" s="5" t="inlineStr">
        <is>
          <t>37</t>
        </is>
      </c>
      <c r="T528" s="5" t="inlineStr">
        <is>
          <t>16</t>
        </is>
      </c>
      <c r="U528" s="5">
        <f>IFS(C528&lt;30,"Under 30",C528&lt;40,"30-39",C528&lt;50,"40-49",TRUE,"50+")</f>
        <v/>
      </c>
      <c r="V528" s="5">
        <f>IFS(O528&lt;60000,"Low (&lt;60k)",O528&lt;100000,"Mid (60-100k)",TRUE,"High (100k+)")</f>
        <v/>
      </c>
      <c r="W528" s="5">
        <f>IF(M528="No","Attrited","Active")</f>
        <v/>
      </c>
    </row>
    <row r="529">
      <c r="A529" s="5" t="inlineStr">
        <is>
          <t>E00528</t>
        </is>
      </c>
      <c r="B529" s="5" t="inlineStr">
        <is>
          <t>Male</t>
        </is>
      </c>
      <c r="C529" s="6" t="inlineStr">
        <is>
          <t>27</t>
        </is>
      </c>
      <c r="D529" s="5" t="inlineStr">
        <is>
          <t>Single</t>
        </is>
      </c>
      <c r="E529" s="5" t="inlineStr">
        <is>
          <t>Master</t>
        </is>
      </c>
      <c r="F529" s="5" t="inlineStr">
        <is>
          <t>Finance</t>
        </is>
      </c>
      <c r="G529" s="5" t="inlineStr">
        <is>
          <t>Financial Analyst</t>
        </is>
      </c>
      <c r="H529" s="5" t="inlineStr">
        <is>
          <t>3</t>
        </is>
      </c>
      <c r="I529" s="5" t="inlineStr">
        <is>
          <t>Hyderabad</t>
        </is>
      </c>
      <c r="J529" s="5" t="inlineStr">
        <is>
          <t>Full-Time</t>
        </is>
      </c>
      <c r="K529" s="7" t="n">
        <v>44765</v>
      </c>
      <c r="L529" s="7" t="inlineStr"/>
      <c r="M529" s="5" t="inlineStr">
        <is>
          <t>Yes</t>
        </is>
      </c>
      <c r="N529" s="5" t="inlineStr"/>
      <c r="O529" s="8" t="inlineStr">
        <is>
          <t>104000</t>
        </is>
      </c>
      <c r="P529" s="5" t="inlineStr">
        <is>
          <t>10</t>
        </is>
      </c>
      <c r="Q529" s="5" t="inlineStr">
        <is>
          <t>2</t>
        </is>
      </c>
      <c r="R529" s="5" t="inlineStr">
        <is>
          <t>5</t>
        </is>
      </c>
      <c r="S529" s="5" t="inlineStr">
        <is>
          <t>41</t>
        </is>
      </c>
      <c r="T529" s="5" t="inlineStr">
        <is>
          <t>2</t>
        </is>
      </c>
      <c r="U529" s="5">
        <f>IFS(C529&lt;30,"Under 30",C529&lt;40,"30-39",C529&lt;50,"40-49",TRUE,"50+")</f>
        <v/>
      </c>
      <c r="V529" s="5">
        <f>IFS(O529&lt;60000,"Low (&lt;60k)",O529&lt;100000,"Mid (60-100k)",TRUE,"High (100k+)")</f>
        <v/>
      </c>
      <c r="W529" s="5">
        <f>IF(M529="No","Attrited","Active")</f>
        <v/>
      </c>
    </row>
    <row r="530">
      <c r="A530" s="5" t="inlineStr">
        <is>
          <t>E00529</t>
        </is>
      </c>
      <c r="B530" s="5" t="inlineStr">
        <is>
          <t>Female</t>
        </is>
      </c>
      <c r="C530" s="6" t="inlineStr">
        <is>
          <t>27</t>
        </is>
      </c>
      <c r="D530" s="5" t="inlineStr">
        <is>
          <t>Married</t>
        </is>
      </c>
      <c r="E530" s="5" t="inlineStr">
        <is>
          <t>Bachelor</t>
        </is>
      </c>
      <c r="F530" s="5" t="inlineStr">
        <is>
          <t>Customer Support</t>
        </is>
      </c>
      <c r="G530" s="5" t="inlineStr">
        <is>
          <t>Support Agent</t>
        </is>
      </c>
      <c r="H530" s="5" t="inlineStr">
        <is>
          <t>2</t>
        </is>
      </c>
      <c r="I530" s="5" t="inlineStr">
        <is>
          <t>Remote</t>
        </is>
      </c>
      <c r="J530" s="5" t="inlineStr">
        <is>
          <t>Part-Time</t>
        </is>
      </c>
      <c r="K530" s="7" t="n">
        <v>43975</v>
      </c>
      <c r="L530" s="7" t="n">
        <v>44104</v>
      </c>
      <c r="M530" s="5" t="inlineStr">
        <is>
          <t>No</t>
        </is>
      </c>
      <c r="N530" s="5" t="inlineStr">
        <is>
          <t>Retirement</t>
        </is>
      </c>
      <c r="O530" s="8" t="inlineStr">
        <is>
          <t>83000</t>
        </is>
      </c>
      <c r="P530" s="5" t="inlineStr">
        <is>
          <t>0</t>
        </is>
      </c>
      <c r="Q530" s="5" t="inlineStr">
        <is>
          <t>3</t>
        </is>
      </c>
      <c r="R530" s="5" t="inlineStr">
        <is>
          <t>4</t>
        </is>
      </c>
      <c r="S530" s="5" t="inlineStr">
        <is>
          <t>4</t>
        </is>
      </c>
      <c r="T530" s="5" t="inlineStr">
        <is>
          <t>6</t>
        </is>
      </c>
      <c r="U530" s="5">
        <f>IFS(C530&lt;30,"Under 30",C530&lt;40,"30-39",C530&lt;50,"40-49",TRUE,"50+")</f>
        <v/>
      </c>
      <c r="V530" s="5">
        <f>IFS(O530&lt;60000,"Low (&lt;60k)",O530&lt;100000,"Mid (60-100k)",TRUE,"High (100k+)")</f>
        <v/>
      </c>
      <c r="W530" s="5">
        <f>IF(M530="No","Attrited","Active")</f>
        <v/>
      </c>
    </row>
    <row r="531">
      <c r="A531" s="5" t="inlineStr">
        <is>
          <t>E00530</t>
        </is>
      </c>
      <c r="B531" s="5" t="inlineStr">
        <is>
          <t>Female</t>
        </is>
      </c>
      <c r="C531" s="6" t="inlineStr">
        <is>
          <t>28</t>
        </is>
      </c>
      <c r="D531" s="5" t="inlineStr">
        <is>
          <t>Married</t>
        </is>
      </c>
      <c r="E531" s="5" t="inlineStr">
        <is>
          <t>Master</t>
        </is>
      </c>
      <c r="F531" s="5" t="inlineStr">
        <is>
          <t>Operations</t>
        </is>
      </c>
      <c r="G531" s="5" t="inlineStr">
        <is>
          <t>Operations Analyst</t>
        </is>
      </c>
      <c r="H531" s="5" t="inlineStr">
        <is>
          <t>3</t>
        </is>
      </c>
      <c r="I531" s="5" t="inlineStr">
        <is>
          <t>Delhi</t>
        </is>
      </c>
      <c r="J531" s="5" t="inlineStr">
        <is>
          <t>Full-Time</t>
        </is>
      </c>
      <c r="K531" s="7" t="n">
        <v>45424</v>
      </c>
      <c r="L531" s="7" t="inlineStr"/>
      <c r="M531" s="5" t="inlineStr">
        <is>
          <t>Yes</t>
        </is>
      </c>
      <c r="N531" s="5" t="inlineStr"/>
      <c r="O531" s="8" t="inlineStr">
        <is>
          <t>76500</t>
        </is>
      </c>
      <c r="P531" s="5" t="inlineStr">
        <is>
          <t>0</t>
        </is>
      </c>
      <c r="Q531" s="5" t="inlineStr">
        <is>
          <t>3</t>
        </is>
      </c>
      <c r="R531" s="5" t="inlineStr">
        <is>
          <t>5</t>
        </is>
      </c>
      <c r="S531" s="5" t="inlineStr">
        <is>
          <t>19</t>
        </is>
      </c>
      <c r="T531" s="5" t="inlineStr">
        <is>
          <t>1</t>
        </is>
      </c>
      <c r="U531" s="5">
        <f>IFS(C531&lt;30,"Under 30",C531&lt;40,"30-39",C531&lt;50,"40-49",TRUE,"50+")</f>
        <v/>
      </c>
      <c r="V531" s="5">
        <f>IFS(O531&lt;60000,"Low (&lt;60k)",O531&lt;100000,"Mid (60-100k)",TRUE,"High (100k+)")</f>
        <v/>
      </c>
      <c r="W531" s="5">
        <f>IF(M531="No","Attrited","Active")</f>
        <v/>
      </c>
    </row>
    <row r="532">
      <c r="A532" s="5" t="inlineStr">
        <is>
          <t>E00531</t>
        </is>
      </c>
      <c r="B532" s="5" t="inlineStr">
        <is>
          <t>Female</t>
        </is>
      </c>
      <c r="C532" s="6" t="inlineStr">
        <is>
          <t>32</t>
        </is>
      </c>
      <c r="D532" s="5" t="inlineStr">
        <is>
          <t>Married</t>
        </is>
      </c>
      <c r="E532" s="5" t="inlineStr">
        <is>
          <t>High School</t>
        </is>
      </c>
      <c r="F532" s="5" t="inlineStr">
        <is>
          <t>IT</t>
        </is>
      </c>
      <c r="G532" s="5" t="inlineStr">
        <is>
          <t>DevOps Engineer</t>
        </is>
      </c>
      <c r="H532" s="5" t="inlineStr">
        <is>
          <t>4</t>
        </is>
      </c>
      <c r="I532" s="5" t="inlineStr">
        <is>
          <t>Remote</t>
        </is>
      </c>
      <c r="J532" s="5" t="inlineStr">
        <is>
          <t>Part-Time</t>
        </is>
      </c>
      <c r="K532" s="7" t="n">
        <v>44473</v>
      </c>
      <c r="L532" s="7" t="inlineStr"/>
      <c r="M532" s="5" t="inlineStr">
        <is>
          <t>Yes</t>
        </is>
      </c>
      <c r="N532" s="5" t="inlineStr"/>
      <c r="O532" s="8" t="inlineStr">
        <is>
          <t>162000</t>
        </is>
      </c>
      <c r="P532" s="5" t="inlineStr">
        <is>
          <t>5</t>
        </is>
      </c>
      <c r="Q532" s="5" t="inlineStr">
        <is>
          <t>3</t>
        </is>
      </c>
      <c r="R532" s="5" t="inlineStr">
        <is>
          <t>5</t>
        </is>
      </c>
      <c r="S532" s="5" t="inlineStr">
        <is>
          <t>51</t>
        </is>
      </c>
      <c r="T532" s="5" t="inlineStr">
        <is>
          <t>1</t>
        </is>
      </c>
      <c r="U532" s="5">
        <f>IFS(C532&lt;30,"Under 30",C532&lt;40,"30-39",C532&lt;50,"40-49",TRUE,"50+")</f>
        <v/>
      </c>
      <c r="V532" s="5">
        <f>IFS(O532&lt;60000,"Low (&lt;60k)",O532&lt;100000,"Mid (60-100k)",TRUE,"High (100k+)")</f>
        <v/>
      </c>
      <c r="W532" s="5">
        <f>IF(M532="No","Attrited","Active")</f>
        <v/>
      </c>
    </row>
    <row r="533">
      <c r="A533" s="5" t="inlineStr">
        <is>
          <t>E00532</t>
        </is>
      </c>
      <c r="B533" s="5" t="inlineStr">
        <is>
          <t>Male</t>
        </is>
      </c>
      <c r="C533" s="6" t="inlineStr">
        <is>
          <t>34</t>
        </is>
      </c>
      <c r="D533" s="5" t="inlineStr">
        <is>
          <t>Married</t>
        </is>
      </c>
      <c r="E533" s="5" t="inlineStr">
        <is>
          <t>PhD</t>
        </is>
      </c>
      <c r="F533" s="5" t="inlineStr">
        <is>
          <t>Finance</t>
        </is>
      </c>
      <c r="G533" s="5" t="inlineStr">
        <is>
          <t>Credit Analyst</t>
        </is>
      </c>
      <c r="H533" s="5" t="inlineStr">
        <is>
          <t>3</t>
        </is>
      </c>
      <c r="I533" s="5" t="inlineStr">
        <is>
          <t>Chennai</t>
        </is>
      </c>
      <c r="J533" s="5" t="inlineStr">
        <is>
          <t>Full-Time</t>
        </is>
      </c>
      <c r="K533" s="7" t="n">
        <v>44989</v>
      </c>
      <c r="L533" s="7" t="inlineStr"/>
      <c r="M533" s="5" t="inlineStr">
        <is>
          <t>Yes</t>
        </is>
      </c>
      <c r="N533" s="5" t="inlineStr"/>
      <c r="O533" s="8" t="inlineStr">
        <is>
          <t>96000</t>
        </is>
      </c>
      <c r="P533" s="5" t="inlineStr">
        <is>
          <t>0</t>
        </is>
      </c>
      <c r="Q533" s="5" t="inlineStr">
        <is>
          <t>2</t>
        </is>
      </c>
      <c r="R533" s="5" t="inlineStr">
        <is>
          <t>10</t>
        </is>
      </c>
      <c r="S533" s="5" t="inlineStr">
        <is>
          <t>34</t>
        </is>
      </c>
      <c r="T533" s="5" t="inlineStr">
        <is>
          <t>4</t>
        </is>
      </c>
      <c r="U533" s="5">
        <f>IFS(C533&lt;30,"Under 30",C533&lt;40,"30-39",C533&lt;50,"40-49",TRUE,"50+")</f>
        <v/>
      </c>
      <c r="V533" s="5">
        <f>IFS(O533&lt;60000,"Low (&lt;60k)",O533&lt;100000,"Mid (60-100k)",TRUE,"High (100k+)")</f>
        <v/>
      </c>
      <c r="W533" s="5">
        <f>IF(M533="No","Attrited","Active")</f>
        <v/>
      </c>
    </row>
    <row r="534">
      <c r="A534" s="5" t="inlineStr">
        <is>
          <t>E00533</t>
        </is>
      </c>
      <c r="B534" s="5" t="inlineStr">
        <is>
          <t>Female</t>
        </is>
      </c>
      <c r="C534" s="6" t="inlineStr">
        <is>
          <t>28</t>
        </is>
      </c>
      <c r="D534" s="5" t="inlineStr">
        <is>
          <t>Married</t>
        </is>
      </c>
      <c r="E534" s="5" t="inlineStr">
        <is>
          <t>Bachelor</t>
        </is>
      </c>
      <c r="F534" s="5" t="inlineStr">
        <is>
          <t>Customer Support</t>
        </is>
      </c>
      <c r="G534" s="5" t="inlineStr">
        <is>
          <t>Escalation Specialist</t>
        </is>
      </c>
      <c r="H534" s="5" t="inlineStr">
        <is>
          <t>3</t>
        </is>
      </c>
      <c r="I534" s="5" t="inlineStr">
        <is>
          <t>Mumbai</t>
        </is>
      </c>
      <c r="J534" s="5" t="inlineStr">
        <is>
          <t>Full-Time</t>
        </is>
      </c>
      <c r="K534" s="7" t="n">
        <v>43958</v>
      </c>
      <c r="L534" s="7" t="inlineStr"/>
      <c r="M534" s="5" t="inlineStr">
        <is>
          <t>Yes</t>
        </is>
      </c>
      <c r="N534" s="5" t="inlineStr"/>
      <c r="O534" s="8" t="inlineStr">
        <is>
          <t>87000</t>
        </is>
      </c>
      <c r="P534" s="5" t="inlineStr">
        <is>
          <t>0</t>
        </is>
      </c>
      <c r="Q534" s="5" t="inlineStr">
        <is>
          <t>4</t>
        </is>
      </c>
      <c r="R534" s="5" t="inlineStr">
        <is>
          <t>6</t>
        </is>
      </c>
      <c r="S534" s="5" t="inlineStr">
        <is>
          <t>68</t>
        </is>
      </c>
      <c r="T534" s="5" t="inlineStr">
        <is>
          <t>0</t>
        </is>
      </c>
      <c r="U534" s="5">
        <f>IFS(C534&lt;30,"Under 30",C534&lt;40,"30-39",C534&lt;50,"40-49",TRUE,"50+")</f>
        <v/>
      </c>
      <c r="V534" s="5">
        <f>IFS(O534&lt;60000,"Low (&lt;60k)",O534&lt;100000,"Mid (60-100k)",TRUE,"High (100k+)")</f>
        <v/>
      </c>
      <c r="W534" s="5">
        <f>IF(M534="No","Attrited","Active")</f>
        <v/>
      </c>
    </row>
    <row r="535">
      <c r="A535" s="5" t="inlineStr">
        <is>
          <t>E00534</t>
        </is>
      </c>
      <c r="B535" s="5" t="inlineStr">
        <is>
          <t>Male</t>
        </is>
      </c>
      <c r="C535" s="6" t="inlineStr">
        <is>
          <t>29</t>
        </is>
      </c>
      <c r="D535" s="5" t="inlineStr">
        <is>
          <t>Married</t>
        </is>
      </c>
      <c r="E535" s="5" t="inlineStr">
        <is>
          <t>Bachelor</t>
        </is>
      </c>
      <c r="F535" s="5" t="inlineStr">
        <is>
          <t>Human Resources</t>
        </is>
      </c>
      <c r="G535" s="5" t="inlineStr">
        <is>
          <t>HR Generalist</t>
        </is>
      </c>
      <c r="H535" s="5" t="inlineStr">
        <is>
          <t>2</t>
        </is>
      </c>
      <c r="I535" s="5" t="inlineStr">
        <is>
          <t>Mumbai</t>
        </is>
      </c>
      <c r="J535" s="5" t="inlineStr">
        <is>
          <t>Part-Time</t>
        </is>
      </c>
      <c r="K535" s="7" t="n">
        <v>45868</v>
      </c>
      <c r="L535" s="7" t="inlineStr"/>
      <c r="M535" s="5" t="inlineStr">
        <is>
          <t>Yes</t>
        </is>
      </c>
      <c r="N535" s="5" t="inlineStr"/>
      <c r="O535" s="8" t="inlineStr">
        <is>
          <t>91000</t>
        </is>
      </c>
      <c r="P535" s="5" t="inlineStr">
        <is>
          <t>0</t>
        </is>
      </c>
      <c r="Q535" s="5" t="inlineStr">
        <is>
          <t>2</t>
        </is>
      </c>
      <c r="R535" s="5" t="inlineStr">
        <is>
          <t>5</t>
        </is>
      </c>
      <c r="S535" s="5" t="inlineStr">
        <is>
          <t>5</t>
        </is>
      </c>
      <c r="T535" s="5" t="inlineStr">
        <is>
          <t>2</t>
        </is>
      </c>
      <c r="U535" s="5">
        <f>IFS(C535&lt;30,"Under 30",C535&lt;40,"30-39",C535&lt;50,"40-49",TRUE,"50+")</f>
        <v/>
      </c>
      <c r="V535" s="5">
        <f>IFS(O535&lt;60000,"Low (&lt;60k)",O535&lt;100000,"Mid (60-100k)",TRUE,"High (100k+)")</f>
        <v/>
      </c>
      <c r="W535" s="5">
        <f>IF(M535="No","Attrited","Active")</f>
        <v/>
      </c>
    </row>
    <row r="536">
      <c r="A536" s="5" t="inlineStr">
        <is>
          <t>E00535</t>
        </is>
      </c>
      <c r="B536" s="5" t="inlineStr">
        <is>
          <t>Male</t>
        </is>
      </c>
      <c r="C536" s="6" t="inlineStr">
        <is>
          <t>28</t>
        </is>
      </c>
      <c r="D536" s="5" t="inlineStr">
        <is>
          <t>Single</t>
        </is>
      </c>
      <c r="E536" s="5" t="inlineStr">
        <is>
          <t>Master</t>
        </is>
      </c>
      <c r="F536" s="5" t="inlineStr">
        <is>
          <t>Customer Support</t>
        </is>
      </c>
      <c r="G536" s="5" t="inlineStr">
        <is>
          <t>Escalation Specialist</t>
        </is>
      </c>
      <c r="H536" s="5" t="inlineStr">
        <is>
          <t>3</t>
        </is>
      </c>
      <c r="I536" s="5" t="inlineStr">
        <is>
          <t>Hyderabad</t>
        </is>
      </c>
      <c r="J536" s="5" t="inlineStr">
        <is>
          <t>Full-Time</t>
        </is>
      </c>
      <c r="K536" s="7" t="n">
        <v>45652</v>
      </c>
      <c r="L536" s="7" t="inlineStr"/>
      <c r="M536" s="5" t="inlineStr">
        <is>
          <t>Yes</t>
        </is>
      </c>
      <c r="N536" s="5" t="inlineStr"/>
      <c r="O536" s="8" t="inlineStr">
        <is>
          <t>80000</t>
        </is>
      </c>
      <c r="P536" s="5" t="inlineStr">
        <is>
          <t>0</t>
        </is>
      </c>
      <c r="Q536" s="5" t="inlineStr">
        <is>
          <t>1</t>
        </is>
      </c>
      <c r="R536" s="5" t="inlineStr">
        <is>
          <t>8</t>
        </is>
      </c>
      <c r="S536" s="5" t="inlineStr">
        <is>
          <t>12</t>
        </is>
      </c>
      <c r="T536" s="5" t="inlineStr">
        <is>
          <t>0</t>
        </is>
      </c>
      <c r="U536" s="5">
        <f>IFS(C536&lt;30,"Under 30",C536&lt;40,"30-39",C536&lt;50,"40-49",TRUE,"50+")</f>
        <v/>
      </c>
      <c r="V536" s="5">
        <f>IFS(O536&lt;60000,"Low (&lt;60k)",O536&lt;100000,"Mid (60-100k)",TRUE,"High (100k+)")</f>
        <v/>
      </c>
      <c r="W536" s="5">
        <f>IF(M536="No","Attrited","Active")</f>
        <v/>
      </c>
    </row>
    <row r="537">
      <c r="A537" s="5" t="inlineStr">
        <is>
          <t>E00536</t>
        </is>
      </c>
      <c r="B537" s="5" t="inlineStr">
        <is>
          <t>Female</t>
        </is>
      </c>
      <c r="C537" s="6" t="inlineStr">
        <is>
          <t>29</t>
        </is>
      </c>
      <c r="D537" s="5" t="inlineStr">
        <is>
          <t>Married</t>
        </is>
      </c>
      <c r="E537" s="5" t="inlineStr">
        <is>
          <t>PhD</t>
        </is>
      </c>
      <c r="F537" s="5" t="inlineStr">
        <is>
          <t>IT</t>
        </is>
      </c>
      <c r="G537" s="5" t="inlineStr">
        <is>
          <t>IT Support</t>
        </is>
      </c>
      <c r="H537" s="5" t="inlineStr">
        <is>
          <t>1</t>
        </is>
      </c>
      <c r="I537" s="5" t="inlineStr">
        <is>
          <t>Bengaluru</t>
        </is>
      </c>
      <c r="J537" s="5" t="inlineStr">
        <is>
          <t>Contract</t>
        </is>
      </c>
      <c r="K537" s="7" t="n">
        <v>44977</v>
      </c>
      <c r="L537" s="7" t="inlineStr"/>
      <c r="M537" s="5" t="inlineStr">
        <is>
          <t>Yes</t>
        </is>
      </c>
      <c r="N537" s="5" t="inlineStr"/>
      <c r="O537" s="8" t="inlineStr">
        <is>
          <t>117500</t>
        </is>
      </c>
      <c r="P537" s="5" t="inlineStr">
        <is>
          <t>10</t>
        </is>
      </c>
      <c r="Q537" s="5" t="inlineStr">
        <is>
          <t>3</t>
        </is>
      </c>
      <c r="R537" s="5" t="inlineStr">
        <is>
          <t>5</t>
        </is>
      </c>
      <c r="S537" s="5" t="inlineStr">
        <is>
          <t>34</t>
        </is>
      </c>
      <c r="T537" s="5" t="inlineStr">
        <is>
          <t>2</t>
        </is>
      </c>
      <c r="U537" s="5">
        <f>IFS(C537&lt;30,"Under 30",C537&lt;40,"30-39",C537&lt;50,"40-49",TRUE,"50+")</f>
        <v/>
      </c>
      <c r="V537" s="5">
        <f>IFS(O537&lt;60000,"Low (&lt;60k)",O537&lt;100000,"Mid (60-100k)",TRUE,"High (100k+)")</f>
        <v/>
      </c>
      <c r="W537" s="5">
        <f>IF(M537="No","Attrited","Active")</f>
        <v/>
      </c>
    </row>
    <row r="538">
      <c r="A538" s="5" t="inlineStr">
        <is>
          <t>E00537</t>
        </is>
      </c>
      <c r="B538" s="5" t="inlineStr">
        <is>
          <t>Male</t>
        </is>
      </c>
      <c r="C538" s="6" t="inlineStr">
        <is>
          <t>36</t>
        </is>
      </c>
      <c r="D538" s="5" t="inlineStr">
        <is>
          <t>Married</t>
        </is>
      </c>
      <c r="E538" s="5" t="inlineStr">
        <is>
          <t>Bachelor</t>
        </is>
      </c>
      <c r="F538" s="5" t="inlineStr">
        <is>
          <t>Research &amp; Development</t>
        </is>
      </c>
      <c r="G538" s="5" t="inlineStr">
        <is>
          <t>Product Engineer</t>
        </is>
      </c>
      <c r="H538" s="5" t="inlineStr">
        <is>
          <t>2</t>
        </is>
      </c>
      <c r="I538" s="5" t="inlineStr">
        <is>
          <t>Hyderabad</t>
        </is>
      </c>
      <c r="J538" s="5" t="inlineStr">
        <is>
          <t>Full-Time</t>
        </is>
      </c>
      <c r="K538" s="7" t="n">
        <v>44903</v>
      </c>
      <c r="L538" s="7" t="inlineStr"/>
      <c r="M538" s="5" t="inlineStr">
        <is>
          <t>Yes</t>
        </is>
      </c>
      <c r="N538" s="5" t="inlineStr"/>
      <c r="O538" s="8" t="inlineStr">
        <is>
          <t>150500</t>
        </is>
      </c>
      <c r="P538" s="5" t="inlineStr">
        <is>
          <t>0</t>
        </is>
      </c>
      <c r="Q538" s="5" t="inlineStr">
        <is>
          <t>4</t>
        </is>
      </c>
      <c r="R538" s="5" t="inlineStr">
        <is>
          <t>3</t>
        </is>
      </c>
      <c r="S538" s="5" t="inlineStr">
        <is>
          <t>37</t>
        </is>
      </c>
      <c r="T538" s="5" t="inlineStr">
        <is>
          <t>0</t>
        </is>
      </c>
      <c r="U538" s="5">
        <f>IFS(C538&lt;30,"Under 30",C538&lt;40,"30-39",C538&lt;50,"40-49",TRUE,"50+")</f>
        <v/>
      </c>
      <c r="V538" s="5">
        <f>IFS(O538&lt;60000,"Low (&lt;60k)",O538&lt;100000,"Mid (60-100k)",TRUE,"High (100k+)")</f>
        <v/>
      </c>
      <c r="W538" s="5">
        <f>IF(M538="No","Attrited","Active")</f>
        <v/>
      </c>
    </row>
    <row r="539">
      <c r="A539" s="5" t="inlineStr">
        <is>
          <t>E00538</t>
        </is>
      </c>
      <c r="B539" s="5" t="inlineStr">
        <is>
          <t>Female</t>
        </is>
      </c>
      <c r="C539" s="6" t="inlineStr">
        <is>
          <t>38</t>
        </is>
      </c>
      <c r="D539" s="5" t="inlineStr">
        <is>
          <t>Married</t>
        </is>
      </c>
      <c r="E539" s="5" t="inlineStr">
        <is>
          <t>Bachelor</t>
        </is>
      </c>
      <c r="F539" s="5" t="inlineStr">
        <is>
          <t>Research &amp; Development</t>
        </is>
      </c>
      <c r="G539" s="5" t="inlineStr">
        <is>
          <t>Product Engineer</t>
        </is>
      </c>
      <c r="H539" s="5" t="inlineStr">
        <is>
          <t>3</t>
        </is>
      </c>
      <c r="I539" s="5" t="inlineStr">
        <is>
          <t>Remote</t>
        </is>
      </c>
      <c r="J539" s="5" t="inlineStr">
        <is>
          <t>Full-Time</t>
        </is>
      </c>
      <c r="K539" s="7" t="n">
        <v>45974</v>
      </c>
      <c r="L539" s="7" t="inlineStr"/>
      <c r="M539" s="5" t="inlineStr">
        <is>
          <t>Yes</t>
        </is>
      </c>
      <c r="N539" s="5" t="inlineStr"/>
      <c r="O539" s="8" t="inlineStr">
        <is>
          <t>123500</t>
        </is>
      </c>
      <c r="P539" s="5" t="inlineStr">
        <is>
          <t>0</t>
        </is>
      </c>
      <c r="Q539" s="5" t="inlineStr">
        <is>
          <t>5</t>
        </is>
      </c>
      <c r="R539" s="5" t="inlineStr">
        <is>
          <t>4</t>
        </is>
      </c>
      <c r="S539" s="5" t="inlineStr">
        <is>
          <t>1</t>
        </is>
      </c>
      <c r="T539" s="5" t="inlineStr">
        <is>
          <t>8</t>
        </is>
      </c>
      <c r="U539" s="5">
        <f>IFS(C539&lt;30,"Under 30",C539&lt;40,"30-39",C539&lt;50,"40-49",TRUE,"50+")</f>
        <v/>
      </c>
      <c r="V539" s="5">
        <f>IFS(O539&lt;60000,"Low (&lt;60k)",O539&lt;100000,"Mid (60-100k)",TRUE,"High (100k+)")</f>
        <v/>
      </c>
      <c r="W539" s="5">
        <f>IF(M539="No","Attrited","Active")</f>
        <v/>
      </c>
    </row>
    <row r="540">
      <c r="A540" s="5" t="inlineStr">
        <is>
          <t>E00539</t>
        </is>
      </c>
      <c r="B540" s="5" t="inlineStr">
        <is>
          <t>Female</t>
        </is>
      </c>
      <c r="C540" s="6" t="inlineStr">
        <is>
          <t>32</t>
        </is>
      </c>
      <c r="D540" s="5" t="inlineStr">
        <is>
          <t>Single</t>
        </is>
      </c>
      <c r="E540" s="5" t="inlineStr">
        <is>
          <t>PhD</t>
        </is>
      </c>
      <c r="F540" s="5" t="inlineStr">
        <is>
          <t>Sales</t>
        </is>
      </c>
      <c r="G540" s="5" t="inlineStr">
        <is>
          <t>Business Development</t>
        </is>
      </c>
      <c r="H540" s="5" t="inlineStr">
        <is>
          <t>5</t>
        </is>
      </c>
      <c r="I540" s="5" t="inlineStr">
        <is>
          <t>Hyderabad</t>
        </is>
      </c>
      <c r="J540" s="5" t="inlineStr">
        <is>
          <t>Full-Time</t>
        </is>
      </c>
      <c r="K540" s="7" t="n">
        <v>43903</v>
      </c>
      <c r="L540" s="7" t="inlineStr"/>
      <c r="M540" s="5" t="inlineStr">
        <is>
          <t>Yes</t>
        </is>
      </c>
      <c r="N540" s="5" t="inlineStr"/>
      <c r="O540" s="8" t="inlineStr">
        <is>
          <t>157000</t>
        </is>
      </c>
      <c r="P540" s="5" t="inlineStr">
        <is>
          <t>0</t>
        </is>
      </c>
      <c r="Q540" s="5" t="inlineStr">
        <is>
          <t>3</t>
        </is>
      </c>
      <c r="R540" s="5" t="inlineStr">
        <is>
          <t>6</t>
        </is>
      </c>
      <c r="S540" s="5" t="inlineStr">
        <is>
          <t>70</t>
        </is>
      </c>
      <c r="T540" s="5" t="inlineStr">
        <is>
          <t>8</t>
        </is>
      </c>
      <c r="U540" s="5">
        <f>IFS(C540&lt;30,"Under 30",C540&lt;40,"30-39",C540&lt;50,"40-49",TRUE,"50+")</f>
        <v/>
      </c>
      <c r="V540" s="5">
        <f>IFS(O540&lt;60000,"Low (&lt;60k)",O540&lt;100000,"Mid (60-100k)",TRUE,"High (100k+)")</f>
        <v/>
      </c>
      <c r="W540" s="5">
        <f>IF(M540="No","Attrited","Active")</f>
        <v/>
      </c>
    </row>
    <row r="541">
      <c r="A541" s="5" t="inlineStr">
        <is>
          <t>E00540</t>
        </is>
      </c>
      <c r="B541" s="5" t="inlineStr">
        <is>
          <t>Female</t>
        </is>
      </c>
      <c r="C541" s="6" t="inlineStr">
        <is>
          <t>35</t>
        </is>
      </c>
      <c r="D541" s="5" t="inlineStr">
        <is>
          <t>Married</t>
        </is>
      </c>
      <c r="E541" s="5" t="inlineStr">
        <is>
          <t>Diploma</t>
        </is>
      </c>
      <c r="F541" s="5" t="inlineStr">
        <is>
          <t>Finance</t>
        </is>
      </c>
      <c r="G541" s="5" t="inlineStr">
        <is>
          <t>Accountant</t>
        </is>
      </c>
      <c r="H541" s="5" t="inlineStr">
        <is>
          <t>3</t>
        </is>
      </c>
      <c r="I541" s="5" t="inlineStr">
        <is>
          <t>Mumbai</t>
        </is>
      </c>
      <c r="J541" s="5" t="inlineStr">
        <is>
          <t>Full-Time</t>
        </is>
      </c>
      <c r="K541" s="7" t="n">
        <v>45472</v>
      </c>
      <c r="L541" s="7" t="inlineStr"/>
      <c r="M541" s="5" t="inlineStr">
        <is>
          <t>Yes</t>
        </is>
      </c>
      <c r="N541" s="5" t="inlineStr"/>
      <c r="O541" s="8" t="inlineStr">
        <is>
          <t>139500</t>
        </is>
      </c>
      <c r="P541" s="5" t="inlineStr">
        <is>
          <t>0</t>
        </is>
      </c>
      <c r="Q541" s="5" t="inlineStr">
        <is>
          <t>4</t>
        </is>
      </c>
      <c r="R541" s="5" t="inlineStr">
        <is>
          <t>5</t>
        </is>
      </c>
      <c r="S541" s="5" t="inlineStr">
        <is>
          <t>18</t>
        </is>
      </c>
      <c r="T541" s="5" t="inlineStr">
        <is>
          <t>8</t>
        </is>
      </c>
      <c r="U541" s="5">
        <f>IFS(C541&lt;30,"Under 30",C541&lt;40,"30-39",C541&lt;50,"40-49",TRUE,"50+")</f>
        <v/>
      </c>
      <c r="V541" s="5">
        <f>IFS(O541&lt;60000,"Low (&lt;60k)",O541&lt;100000,"Mid (60-100k)",TRUE,"High (100k+)")</f>
        <v/>
      </c>
      <c r="W541" s="5">
        <f>IF(M541="No","Attrited","Active")</f>
        <v/>
      </c>
    </row>
    <row r="542">
      <c r="A542" s="5" t="inlineStr">
        <is>
          <t>E00541</t>
        </is>
      </c>
      <c r="B542" s="5" t="inlineStr">
        <is>
          <t>Male</t>
        </is>
      </c>
      <c r="C542" s="6" t="inlineStr">
        <is>
          <t>37</t>
        </is>
      </c>
      <c r="D542" s="5" t="inlineStr">
        <is>
          <t>Married</t>
        </is>
      </c>
      <c r="E542" s="5" t="inlineStr">
        <is>
          <t>Diploma</t>
        </is>
      </c>
      <c r="F542" s="5" t="inlineStr">
        <is>
          <t>Sales</t>
        </is>
      </c>
      <c r="G542" s="5" t="inlineStr">
        <is>
          <t>Business Development</t>
        </is>
      </c>
      <c r="H542" s="5" t="inlineStr">
        <is>
          <t>3</t>
        </is>
      </c>
      <c r="I542" s="5" t="inlineStr">
        <is>
          <t>Remote</t>
        </is>
      </c>
      <c r="J542" s="5" t="inlineStr">
        <is>
          <t>Full-Time</t>
        </is>
      </c>
      <c r="K542" s="7" t="n">
        <v>45272</v>
      </c>
      <c r="L542" s="7" t="inlineStr"/>
      <c r="M542" s="5" t="inlineStr">
        <is>
          <t>Yes</t>
        </is>
      </c>
      <c r="N542" s="5" t="inlineStr"/>
      <c r="O542" s="8" t="inlineStr">
        <is>
          <t>138000</t>
        </is>
      </c>
      <c r="P542" s="5" t="inlineStr">
        <is>
          <t>0</t>
        </is>
      </c>
      <c r="Q542" s="5" t="inlineStr">
        <is>
          <t>4</t>
        </is>
      </c>
      <c r="R542" s="5" t="inlineStr">
        <is>
          <t>6</t>
        </is>
      </c>
      <c r="S542" s="5" t="inlineStr">
        <is>
          <t>25</t>
        </is>
      </c>
      <c r="T542" s="5" t="inlineStr">
        <is>
          <t>8</t>
        </is>
      </c>
      <c r="U542" s="5">
        <f>IFS(C542&lt;30,"Under 30",C542&lt;40,"30-39",C542&lt;50,"40-49",TRUE,"50+")</f>
        <v/>
      </c>
      <c r="V542" s="5">
        <f>IFS(O542&lt;60000,"Low (&lt;60k)",O542&lt;100000,"Mid (60-100k)",TRUE,"High (100k+)")</f>
        <v/>
      </c>
      <c r="W542" s="5">
        <f>IF(M542="No","Attrited","Active")</f>
        <v/>
      </c>
    </row>
    <row r="543">
      <c r="A543" s="5" t="inlineStr">
        <is>
          <t>E00542</t>
        </is>
      </c>
      <c r="B543" s="5" t="inlineStr">
        <is>
          <t>Female</t>
        </is>
      </c>
      <c r="C543" s="6" t="inlineStr">
        <is>
          <t>29</t>
        </is>
      </c>
      <c r="D543" s="5" t="inlineStr">
        <is>
          <t>Married</t>
        </is>
      </c>
      <c r="E543" s="5" t="inlineStr">
        <is>
          <t>Diploma</t>
        </is>
      </c>
      <c r="F543" s="5" t="inlineStr">
        <is>
          <t>Sales</t>
        </is>
      </c>
      <c r="G543" s="5" t="inlineStr">
        <is>
          <t>Account Executive</t>
        </is>
      </c>
      <c r="H543" s="5" t="inlineStr">
        <is>
          <t>3</t>
        </is>
      </c>
      <c r="I543" s="5" t="inlineStr">
        <is>
          <t>Hyderabad</t>
        </is>
      </c>
      <c r="J543" s="5" t="inlineStr">
        <is>
          <t>Full-Time</t>
        </is>
      </c>
      <c r="K543" s="7" t="n">
        <v>45326</v>
      </c>
      <c r="L543" s="7" t="inlineStr"/>
      <c r="M543" s="5" t="inlineStr">
        <is>
          <t>Yes</t>
        </is>
      </c>
      <c r="N543" s="5" t="inlineStr"/>
      <c r="O543" s="8" t="inlineStr">
        <is>
          <t>114000</t>
        </is>
      </c>
      <c r="P543" s="5" t="inlineStr">
        <is>
          <t>5</t>
        </is>
      </c>
      <c r="Q543" s="5" t="inlineStr">
        <is>
          <t>4</t>
        </is>
      </c>
      <c r="R543" s="5" t="inlineStr">
        <is>
          <t>5</t>
        </is>
      </c>
      <c r="S543" s="5" t="inlineStr">
        <is>
          <t>23</t>
        </is>
      </c>
      <c r="T543" s="5" t="inlineStr">
        <is>
          <t>6</t>
        </is>
      </c>
      <c r="U543" s="5">
        <f>IFS(C543&lt;30,"Under 30",C543&lt;40,"30-39",C543&lt;50,"40-49",TRUE,"50+")</f>
        <v/>
      </c>
      <c r="V543" s="5">
        <f>IFS(O543&lt;60000,"Low (&lt;60k)",O543&lt;100000,"Mid (60-100k)",TRUE,"High (100k+)")</f>
        <v/>
      </c>
      <c r="W543" s="5">
        <f>IF(M543="No","Attrited","Active")</f>
        <v/>
      </c>
    </row>
    <row r="544">
      <c r="A544" s="5" t="inlineStr">
        <is>
          <t>E00543</t>
        </is>
      </c>
      <c r="B544" s="5" t="inlineStr">
        <is>
          <t>Female</t>
        </is>
      </c>
      <c r="C544" s="6" t="inlineStr">
        <is>
          <t>31</t>
        </is>
      </c>
      <c r="D544" s="5" t="inlineStr">
        <is>
          <t>Married</t>
        </is>
      </c>
      <c r="E544" s="5" t="inlineStr">
        <is>
          <t>Diploma</t>
        </is>
      </c>
      <c r="F544" s="5" t="inlineStr">
        <is>
          <t>Finance</t>
        </is>
      </c>
      <c r="G544" s="5" t="inlineStr">
        <is>
          <t>Accountant</t>
        </is>
      </c>
      <c r="H544" s="5" t="inlineStr">
        <is>
          <t>1</t>
        </is>
      </c>
      <c r="I544" s="5" t="inlineStr">
        <is>
          <t>Chennai</t>
        </is>
      </c>
      <c r="J544" s="5" t="inlineStr">
        <is>
          <t>Full-Time</t>
        </is>
      </c>
      <c r="K544" s="7" t="n">
        <v>46000</v>
      </c>
      <c r="L544" s="7" t="inlineStr"/>
      <c r="M544" s="5" t="inlineStr">
        <is>
          <t>Yes</t>
        </is>
      </c>
      <c r="N544" s="5" t="inlineStr"/>
      <c r="O544" s="8" t="inlineStr">
        <is>
          <t>95000</t>
        </is>
      </c>
      <c r="P544" s="5" t="inlineStr">
        <is>
          <t>10</t>
        </is>
      </c>
      <c r="Q544" s="5" t="inlineStr">
        <is>
          <t>4</t>
        </is>
      </c>
      <c r="R544" s="5" t="inlineStr">
        <is>
          <t>8</t>
        </is>
      </c>
      <c r="S544" s="5" t="inlineStr">
        <is>
          <t>1</t>
        </is>
      </c>
      <c r="T544" s="5" t="inlineStr">
        <is>
          <t>0</t>
        </is>
      </c>
      <c r="U544" s="5">
        <f>IFS(C544&lt;30,"Under 30",C544&lt;40,"30-39",C544&lt;50,"40-49",TRUE,"50+")</f>
        <v/>
      </c>
      <c r="V544" s="5">
        <f>IFS(O544&lt;60000,"Low (&lt;60k)",O544&lt;100000,"Mid (60-100k)",TRUE,"High (100k+)")</f>
        <v/>
      </c>
      <c r="W544" s="5">
        <f>IF(M544="No","Attrited","Active")</f>
        <v/>
      </c>
    </row>
    <row r="545">
      <c r="A545" s="5" t="inlineStr">
        <is>
          <t>E00544</t>
        </is>
      </c>
      <c r="B545" s="5" t="inlineStr">
        <is>
          <t>Male</t>
        </is>
      </c>
      <c r="C545" s="6" t="inlineStr">
        <is>
          <t>30</t>
        </is>
      </c>
      <c r="D545" s="5" t="inlineStr">
        <is>
          <t>Married</t>
        </is>
      </c>
      <c r="E545" s="5" t="inlineStr">
        <is>
          <t>PhD</t>
        </is>
      </c>
      <c r="F545" s="5" t="inlineStr">
        <is>
          <t>Research &amp; Development</t>
        </is>
      </c>
      <c r="G545" s="5" t="inlineStr">
        <is>
          <t>Research Scientist</t>
        </is>
      </c>
      <c r="H545" s="5" t="inlineStr">
        <is>
          <t>1</t>
        </is>
      </c>
      <c r="I545" s="5" t="inlineStr">
        <is>
          <t>Mumbai</t>
        </is>
      </c>
      <c r="J545" s="5" t="inlineStr">
        <is>
          <t>Full-Time</t>
        </is>
      </c>
      <c r="K545" s="7" t="n">
        <v>45661</v>
      </c>
      <c r="L545" s="7" t="inlineStr"/>
      <c r="M545" s="5" t="inlineStr">
        <is>
          <t>Yes</t>
        </is>
      </c>
      <c r="N545" s="5" t="inlineStr"/>
      <c r="O545" s="8" t="inlineStr">
        <is>
          <t>124000</t>
        </is>
      </c>
      <c r="P545" s="5" t="inlineStr">
        <is>
          <t>15</t>
        </is>
      </c>
      <c r="Q545" s="5" t="inlineStr">
        <is>
          <t>3</t>
        </is>
      </c>
      <c r="R545" s="5" t="inlineStr">
        <is>
          <t>3</t>
        </is>
      </c>
      <c r="S545" s="5" t="inlineStr">
        <is>
          <t>12</t>
        </is>
      </c>
      <c r="T545" s="5" t="inlineStr">
        <is>
          <t>0</t>
        </is>
      </c>
      <c r="U545" s="5">
        <f>IFS(C545&lt;30,"Under 30",C545&lt;40,"30-39",C545&lt;50,"40-49",TRUE,"50+")</f>
        <v/>
      </c>
      <c r="V545" s="5">
        <f>IFS(O545&lt;60000,"Low (&lt;60k)",O545&lt;100000,"Mid (60-100k)",TRUE,"High (100k+)")</f>
        <v/>
      </c>
      <c r="W545" s="5">
        <f>IF(M545="No","Attrited","Active")</f>
        <v/>
      </c>
    </row>
    <row r="546">
      <c r="A546" s="5" t="inlineStr">
        <is>
          <t>E00545</t>
        </is>
      </c>
      <c r="B546" s="5" t="inlineStr">
        <is>
          <t>Male</t>
        </is>
      </c>
      <c r="C546" s="6" t="inlineStr">
        <is>
          <t>33</t>
        </is>
      </c>
      <c r="D546" s="5" t="inlineStr">
        <is>
          <t>Divorced</t>
        </is>
      </c>
      <c r="E546" s="5" t="inlineStr">
        <is>
          <t>Bachelor</t>
        </is>
      </c>
      <c r="F546" s="5" t="inlineStr">
        <is>
          <t>Customer Support</t>
        </is>
      </c>
      <c r="G546" s="5" t="inlineStr">
        <is>
          <t>Escalation Specialist</t>
        </is>
      </c>
      <c r="H546" s="5" t="inlineStr">
        <is>
          <t>4</t>
        </is>
      </c>
      <c r="I546" s="5" t="inlineStr">
        <is>
          <t>Chennai</t>
        </is>
      </c>
      <c r="J546" s="5" t="inlineStr">
        <is>
          <t>Full-Time</t>
        </is>
      </c>
      <c r="K546" s="7" t="n">
        <v>44007</v>
      </c>
      <c r="L546" s="7" t="n">
        <v>44124</v>
      </c>
      <c r="M546" s="5" t="inlineStr">
        <is>
          <t>No</t>
        </is>
      </c>
      <c r="N546" s="5" t="inlineStr">
        <is>
          <t>Retirement</t>
        </is>
      </c>
      <c r="O546" s="8" t="inlineStr">
        <is>
          <t>102500</t>
        </is>
      </c>
      <c r="P546" s="5" t="inlineStr">
        <is>
          <t>10</t>
        </is>
      </c>
      <c r="Q546" s="5" t="inlineStr">
        <is>
          <t>3</t>
        </is>
      </c>
      <c r="R546" s="5" t="inlineStr">
        <is>
          <t>7</t>
        </is>
      </c>
      <c r="S546" s="5" t="inlineStr">
        <is>
          <t>3</t>
        </is>
      </c>
      <c r="T546" s="5" t="inlineStr">
        <is>
          <t>4</t>
        </is>
      </c>
      <c r="U546" s="5">
        <f>IFS(C546&lt;30,"Under 30",C546&lt;40,"30-39",C546&lt;50,"40-49",TRUE,"50+")</f>
        <v/>
      </c>
      <c r="V546" s="5">
        <f>IFS(O546&lt;60000,"Low (&lt;60k)",O546&lt;100000,"Mid (60-100k)",TRUE,"High (100k+)")</f>
        <v/>
      </c>
      <c r="W546" s="5">
        <f>IF(M546="No","Attrited","Active")</f>
        <v/>
      </c>
    </row>
    <row r="547">
      <c r="A547" s="5" t="inlineStr">
        <is>
          <t>E00546</t>
        </is>
      </c>
      <c r="B547" s="5" t="inlineStr">
        <is>
          <t>Female</t>
        </is>
      </c>
      <c r="C547" s="6" t="inlineStr">
        <is>
          <t>26</t>
        </is>
      </c>
      <c r="D547" s="5" t="inlineStr">
        <is>
          <t>Married</t>
        </is>
      </c>
      <c r="E547" s="5" t="inlineStr">
        <is>
          <t>Bachelor</t>
        </is>
      </c>
      <c r="F547" s="5" t="inlineStr">
        <is>
          <t>Sales</t>
        </is>
      </c>
      <c r="G547" s="5" t="inlineStr">
        <is>
          <t>Sales Executive</t>
        </is>
      </c>
      <c r="H547" s="5" t="inlineStr">
        <is>
          <t>1</t>
        </is>
      </c>
      <c r="I547" s="5" t="inlineStr">
        <is>
          <t>Delhi</t>
        </is>
      </c>
      <c r="J547" s="5" t="inlineStr">
        <is>
          <t>Full-Time</t>
        </is>
      </c>
      <c r="K547" s="7" t="n">
        <v>44676</v>
      </c>
      <c r="L547" s="7" t="n">
        <v>44747</v>
      </c>
      <c r="M547" s="5" t="inlineStr">
        <is>
          <t>No</t>
        </is>
      </c>
      <c r="N547" s="5" t="inlineStr">
        <is>
          <t>Retirement</t>
        </is>
      </c>
      <c r="O547" s="8" t="inlineStr">
        <is>
          <t>92000</t>
        </is>
      </c>
      <c r="P547" s="5" t="inlineStr">
        <is>
          <t>5</t>
        </is>
      </c>
      <c r="Q547" s="5" t="inlineStr">
        <is>
          <t>3</t>
        </is>
      </c>
      <c r="R547" s="5" t="inlineStr">
        <is>
          <t>4</t>
        </is>
      </c>
      <c r="S547" s="5" t="inlineStr">
        <is>
          <t>2</t>
        </is>
      </c>
      <c r="T547" s="5" t="inlineStr">
        <is>
          <t>7</t>
        </is>
      </c>
      <c r="U547" s="5">
        <f>IFS(C547&lt;30,"Under 30",C547&lt;40,"30-39",C547&lt;50,"40-49",TRUE,"50+")</f>
        <v/>
      </c>
      <c r="V547" s="5">
        <f>IFS(O547&lt;60000,"Low (&lt;60k)",O547&lt;100000,"Mid (60-100k)",TRUE,"High (100k+)")</f>
        <v/>
      </c>
      <c r="W547" s="5">
        <f>IF(M547="No","Attrited","Active")</f>
        <v/>
      </c>
    </row>
    <row r="548">
      <c r="A548" s="5" t="inlineStr">
        <is>
          <t>E00547</t>
        </is>
      </c>
      <c r="B548" s="5" t="inlineStr">
        <is>
          <t>Female</t>
        </is>
      </c>
      <c r="C548" s="6" t="inlineStr">
        <is>
          <t>23</t>
        </is>
      </c>
      <c r="D548" s="5" t="inlineStr">
        <is>
          <t>Married</t>
        </is>
      </c>
      <c r="E548" s="5" t="inlineStr">
        <is>
          <t>High School</t>
        </is>
      </c>
      <c r="F548" s="5" t="inlineStr">
        <is>
          <t>Sales</t>
        </is>
      </c>
      <c r="G548" s="5" t="inlineStr">
        <is>
          <t>Sales Executive</t>
        </is>
      </c>
      <c r="H548" s="5" t="inlineStr">
        <is>
          <t>1</t>
        </is>
      </c>
      <c r="I548" s="5" t="inlineStr">
        <is>
          <t>Hyderabad</t>
        </is>
      </c>
      <c r="J548" s="5" t="inlineStr">
        <is>
          <t>Full-Time</t>
        </is>
      </c>
      <c r="K548" s="7" t="n">
        <v>45656</v>
      </c>
      <c r="L548" s="7" t="inlineStr"/>
      <c r="M548" s="5" t="inlineStr">
        <is>
          <t>Yes</t>
        </is>
      </c>
      <c r="N548" s="5" t="inlineStr"/>
      <c r="O548" s="8" t="inlineStr">
        <is>
          <t>79500</t>
        </is>
      </c>
      <c r="P548" s="5" t="inlineStr">
        <is>
          <t>5</t>
        </is>
      </c>
      <c r="Q548" s="5" t="inlineStr">
        <is>
          <t>5</t>
        </is>
      </c>
      <c r="R548" s="5" t="inlineStr">
        <is>
          <t>5</t>
        </is>
      </c>
      <c r="S548" s="5" t="inlineStr">
        <is>
          <t>12</t>
        </is>
      </c>
      <c r="T548" s="5" t="inlineStr">
        <is>
          <t>4</t>
        </is>
      </c>
      <c r="U548" s="5">
        <f>IFS(C548&lt;30,"Under 30",C548&lt;40,"30-39",C548&lt;50,"40-49",TRUE,"50+")</f>
        <v/>
      </c>
      <c r="V548" s="5">
        <f>IFS(O548&lt;60000,"Low (&lt;60k)",O548&lt;100000,"Mid (60-100k)",TRUE,"High (100k+)")</f>
        <v/>
      </c>
      <c r="W548" s="5">
        <f>IF(M548="No","Attrited","Active")</f>
        <v/>
      </c>
    </row>
    <row r="549">
      <c r="A549" s="5" t="inlineStr">
        <is>
          <t>E00548</t>
        </is>
      </c>
      <c r="B549" s="5" t="inlineStr">
        <is>
          <t>Male</t>
        </is>
      </c>
      <c r="C549" s="6" t="inlineStr">
        <is>
          <t>36</t>
        </is>
      </c>
      <c r="D549" s="5" t="inlineStr">
        <is>
          <t>Married</t>
        </is>
      </c>
      <c r="E549" s="5" t="inlineStr">
        <is>
          <t>Bachelor</t>
        </is>
      </c>
      <c r="F549" s="5" t="inlineStr">
        <is>
          <t>Human Resources</t>
        </is>
      </c>
      <c r="G549" s="5" t="inlineStr">
        <is>
          <t>HR Generalist</t>
        </is>
      </c>
      <c r="H549" s="5" t="inlineStr">
        <is>
          <t>7</t>
        </is>
      </c>
      <c r="I549" s="5" t="inlineStr">
        <is>
          <t>Remote</t>
        </is>
      </c>
      <c r="J549" s="5" t="inlineStr">
        <is>
          <t>Part-Time</t>
        </is>
      </c>
      <c r="K549" s="7" t="n">
        <v>45717</v>
      </c>
      <c r="L549" s="7" t="inlineStr"/>
      <c r="M549" s="5" t="inlineStr">
        <is>
          <t>Yes</t>
        </is>
      </c>
      <c r="N549" s="5" t="inlineStr"/>
      <c r="O549" s="8" t="inlineStr">
        <is>
          <t>133000</t>
        </is>
      </c>
      <c r="P549" s="5" t="inlineStr">
        <is>
          <t>0</t>
        </is>
      </c>
      <c r="Q549" s="5" t="inlineStr">
        <is>
          <t>4</t>
        </is>
      </c>
      <c r="R549" s="5" t="inlineStr">
        <is>
          <t>5</t>
        </is>
      </c>
      <c r="S549" s="5" t="inlineStr">
        <is>
          <t>10</t>
        </is>
      </c>
      <c r="T549" s="5" t="inlineStr">
        <is>
          <t>0</t>
        </is>
      </c>
      <c r="U549" s="5">
        <f>IFS(C549&lt;30,"Under 30",C549&lt;40,"30-39",C549&lt;50,"40-49",TRUE,"50+")</f>
        <v/>
      </c>
      <c r="V549" s="5">
        <f>IFS(O549&lt;60000,"Low (&lt;60k)",O549&lt;100000,"Mid (60-100k)",TRUE,"High (100k+)")</f>
        <v/>
      </c>
      <c r="W549" s="5">
        <f>IF(M549="No","Attrited","Active")</f>
        <v/>
      </c>
    </row>
    <row r="550">
      <c r="A550" s="5" t="inlineStr">
        <is>
          <t>E00549</t>
        </is>
      </c>
      <c r="B550" s="5" t="inlineStr">
        <is>
          <t>Female</t>
        </is>
      </c>
      <c r="C550" s="6" t="inlineStr">
        <is>
          <t>40</t>
        </is>
      </c>
      <c r="D550" s="5" t="inlineStr">
        <is>
          <t>Married</t>
        </is>
      </c>
      <c r="E550" s="5" t="inlineStr">
        <is>
          <t>Bachelor</t>
        </is>
      </c>
      <c r="F550" s="5" t="inlineStr">
        <is>
          <t>Sales</t>
        </is>
      </c>
      <c r="G550" s="5" t="inlineStr">
        <is>
          <t>Business Development</t>
        </is>
      </c>
      <c r="H550" s="5" t="inlineStr">
        <is>
          <t>4</t>
        </is>
      </c>
      <c r="I550" s="5" t="inlineStr">
        <is>
          <t>Bengaluru</t>
        </is>
      </c>
      <c r="J550" s="5" t="inlineStr">
        <is>
          <t>Full-Time</t>
        </is>
      </c>
      <c r="K550" s="7" t="n">
        <v>44551</v>
      </c>
      <c r="L550" s="7" t="inlineStr"/>
      <c r="M550" s="5" t="inlineStr">
        <is>
          <t>Yes</t>
        </is>
      </c>
      <c r="N550" s="5" t="inlineStr"/>
      <c r="O550" s="8" t="inlineStr">
        <is>
          <t>104000</t>
        </is>
      </c>
      <c r="P550" s="5" t="inlineStr">
        <is>
          <t>20</t>
        </is>
      </c>
      <c r="Q550" s="5" t="inlineStr">
        <is>
          <t>3</t>
        </is>
      </c>
      <c r="R550" s="5" t="inlineStr">
        <is>
          <t>7</t>
        </is>
      </c>
      <c r="S550" s="5" t="inlineStr">
        <is>
          <t>49</t>
        </is>
      </c>
      <c r="T550" s="5" t="inlineStr">
        <is>
          <t>0</t>
        </is>
      </c>
      <c r="U550" s="5">
        <f>IFS(C550&lt;30,"Under 30",C550&lt;40,"30-39",C550&lt;50,"40-49",TRUE,"50+")</f>
        <v/>
      </c>
      <c r="V550" s="5">
        <f>IFS(O550&lt;60000,"Low (&lt;60k)",O550&lt;100000,"Mid (60-100k)",TRUE,"High (100k+)")</f>
        <v/>
      </c>
      <c r="W550" s="5">
        <f>IF(M550="No","Attrited","Active")</f>
        <v/>
      </c>
    </row>
    <row r="551">
      <c r="A551" s="5" t="inlineStr">
        <is>
          <t>E00550</t>
        </is>
      </c>
      <c r="B551" s="5" t="inlineStr">
        <is>
          <t>Male</t>
        </is>
      </c>
      <c r="C551" s="6" t="inlineStr">
        <is>
          <t>27</t>
        </is>
      </c>
      <c r="D551" s="5" t="inlineStr">
        <is>
          <t>Divorced</t>
        </is>
      </c>
      <c r="E551" s="5" t="inlineStr">
        <is>
          <t>High School</t>
        </is>
      </c>
      <c r="F551" s="5" t="inlineStr">
        <is>
          <t>Operations</t>
        </is>
      </c>
      <c r="G551" s="5" t="inlineStr">
        <is>
          <t>Logistics Coordinator</t>
        </is>
      </c>
      <c r="H551" s="5" t="inlineStr">
        <is>
          <t>3</t>
        </is>
      </c>
      <c r="I551" s="5" t="inlineStr">
        <is>
          <t>Remote</t>
        </is>
      </c>
      <c r="J551" s="5" t="inlineStr">
        <is>
          <t>Full-Time</t>
        </is>
      </c>
      <c r="K551" s="7" t="n">
        <v>44475</v>
      </c>
      <c r="L551" s="7" t="n">
        <v>44562</v>
      </c>
      <c r="M551" s="5" t="inlineStr">
        <is>
          <t>No</t>
        </is>
      </c>
      <c r="N551" s="5" t="inlineStr">
        <is>
          <t>Retirement</t>
        </is>
      </c>
      <c r="O551" s="8" t="inlineStr">
        <is>
          <t>109000</t>
        </is>
      </c>
      <c r="P551" s="5" t="inlineStr">
        <is>
          <t>5</t>
        </is>
      </c>
      <c r="Q551" s="5" t="inlineStr">
        <is>
          <t>4</t>
        </is>
      </c>
      <c r="R551" s="5" t="inlineStr">
        <is>
          <t>3</t>
        </is>
      </c>
      <c r="S551" s="5" t="inlineStr">
        <is>
          <t>2</t>
        </is>
      </c>
      <c r="T551" s="5" t="inlineStr">
        <is>
          <t>0</t>
        </is>
      </c>
      <c r="U551" s="5">
        <f>IFS(C551&lt;30,"Under 30",C551&lt;40,"30-39",C551&lt;50,"40-49",TRUE,"50+")</f>
        <v/>
      </c>
      <c r="V551" s="5">
        <f>IFS(O551&lt;60000,"Low (&lt;60k)",O551&lt;100000,"Mid (60-100k)",TRUE,"High (100k+)")</f>
        <v/>
      </c>
      <c r="W551" s="5">
        <f>IF(M551="No","Attrited","Active")</f>
        <v/>
      </c>
    </row>
    <row r="552">
      <c r="A552" s="5" t="inlineStr">
        <is>
          <t>E00551</t>
        </is>
      </c>
      <c r="B552" s="5" t="inlineStr">
        <is>
          <t>Male</t>
        </is>
      </c>
      <c r="C552" s="6" t="inlineStr">
        <is>
          <t>32</t>
        </is>
      </c>
      <c r="D552" s="5" t="inlineStr">
        <is>
          <t>Married</t>
        </is>
      </c>
      <c r="E552" s="5" t="inlineStr">
        <is>
          <t>Bachelor</t>
        </is>
      </c>
      <c r="F552" s="5" t="inlineStr">
        <is>
          <t>Customer Support</t>
        </is>
      </c>
      <c r="G552" s="5" t="inlineStr">
        <is>
          <t>Support Lead</t>
        </is>
      </c>
      <c r="H552" s="5" t="inlineStr">
        <is>
          <t>3</t>
        </is>
      </c>
      <c r="I552" s="5" t="inlineStr">
        <is>
          <t>Mumbai</t>
        </is>
      </c>
      <c r="J552" s="5" t="inlineStr">
        <is>
          <t>Part-Time</t>
        </is>
      </c>
      <c r="K552" s="7" t="n">
        <v>46017</v>
      </c>
      <c r="L552" s="7" t="n">
        <v>46021</v>
      </c>
      <c r="M552" s="5" t="inlineStr">
        <is>
          <t>No</t>
        </is>
      </c>
      <c r="N552" s="5" t="inlineStr">
        <is>
          <t>Resigned</t>
        </is>
      </c>
      <c r="O552" s="8" t="inlineStr">
        <is>
          <t>68500</t>
        </is>
      </c>
      <c r="P552" s="5" t="inlineStr">
        <is>
          <t>0</t>
        </is>
      </c>
      <c r="Q552" s="5" t="inlineStr">
        <is>
          <t>3</t>
        </is>
      </c>
      <c r="R552" s="5" t="inlineStr">
        <is>
          <t>8</t>
        </is>
      </c>
      <c r="S552" s="5" t="inlineStr">
        <is>
          <t>1</t>
        </is>
      </c>
      <c r="T552" s="5" t="inlineStr">
        <is>
          <t>0</t>
        </is>
      </c>
      <c r="U552" s="5">
        <f>IFS(C552&lt;30,"Under 30",C552&lt;40,"30-39",C552&lt;50,"40-49",TRUE,"50+")</f>
        <v/>
      </c>
      <c r="V552" s="5">
        <f>IFS(O552&lt;60000,"Low (&lt;60k)",O552&lt;100000,"Mid (60-100k)",TRUE,"High (100k+)")</f>
        <v/>
      </c>
      <c r="W552" s="5">
        <f>IF(M552="No","Attrited","Active")</f>
        <v/>
      </c>
    </row>
    <row r="553">
      <c r="A553" s="5" t="inlineStr">
        <is>
          <t>E00552</t>
        </is>
      </c>
      <c r="B553" s="5" t="inlineStr">
        <is>
          <t>Female</t>
        </is>
      </c>
      <c r="C553" s="6" t="inlineStr">
        <is>
          <t>44</t>
        </is>
      </c>
      <c r="D553" s="5" t="inlineStr">
        <is>
          <t>Married</t>
        </is>
      </c>
      <c r="E553" s="5" t="inlineStr">
        <is>
          <t>High School</t>
        </is>
      </c>
      <c r="F553" s="5" t="inlineStr">
        <is>
          <t>Customer Support</t>
        </is>
      </c>
      <c r="G553" s="5" t="inlineStr">
        <is>
          <t>Escalation Specialist</t>
        </is>
      </c>
      <c r="H553" s="5" t="inlineStr">
        <is>
          <t>6</t>
        </is>
      </c>
      <c r="I553" s="5" t="inlineStr">
        <is>
          <t>Bengaluru</t>
        </is>
      </c>
      <c r="J553" s="5" t="inlineStr">
        <is>
          <t>Full-Time</t>
        </is>
      </c>
      <c r="K553" s="7" t="n">
        <v>45879</v>
      </c>
      <c r="L553" s="7" t="n">
        <v>45980</v>
      </c>
      <c r="M553" s="5" t="inlineStr">
        <is>
          <t>No</t>
        </is>
      </c>
      <c r="N553" s="5" t="inlineStr">
        <is>
          <t>Resigned</t>
        </is>
      </c>
      <c r="O553" s="8" t="inlineStr">
        <is>
          <t>103000</t>
        </is>
      </c>
      <c r="P553" s="5" t="inlineStr">
        <is>
          <t>0</t>
        </is>
      </c>
      <c r="Q553" s="5" t="inlineStr">
        <is>
          <t>4</t>
        </is>
      </c>
      <c r="R553" s="5" t="inlineStr">
        <is>
          <t>9</t>
        </is>
      </c>
      <c r="S553" s="5" t="inlineStr">
        <is>
          <t>3</t>
        </is>
      </c>
      <c r="T553" s="5" t="inlineStr">
        <is>
          <t>0</t>
        </is>
      </c>
      <c r="U553" s="5">
        <f>IFS(C553&lt;30,"Under 30",C553&lt;40,"30-39",C553&lt;50,"40-49",TRUE,"50+")</f>
        <v/>
      </c>
      <c r="V553" s="5">
        <f>IFS(O553&lt;60000,"Low (&lt;60k)",O553&lt;100000,"Mid (60-100k)",TRUE,"High (100k+)")</f>
        <v/>
      </c>
      <c r="W553" s="5">
        <f>IF(M553="No","Attrited","Active")</f>
        <v/>
      </c>
    </row>
    <row r="554">
      <c r="A554" s="5" t="inlineStr">
        <is>
          <t>E00553</t>
        </is>
      </c>
      <c r="B554" s="5" t="inlineStr">
        <is>
          <t>Female</t>
        </is>
      </c>
      <c r="C554" s="6" t="inlineStr">
        <is>
          <t>35</t>
        </is>
      </c>
      <c r="D554" s="5" t="inlineStr">
        <is>
          <t>Married</t>
        </is>
      </c>
      <c r="E554" s="5" t="inlineStr">
        <is>
          <t>Master</t>
        </is>
      </c>
      <c r="F554" s="5" t="inlineStr">
        <is>
          <t>Operations</t>
        </is>
      </c>
      <c r="G554" s="5" t="inlineStr">
        <is>
          <t>Logistics Coordinator</t>
        </is>
      </c>
      <c r="H554" s="5" t="inlineStr">
        <is>
          <t>2</t>
        </is>
      </c>
      <c r="I554" s="5" t="inlineStr">
        <is>
          <t>Chennai</t>
        </is>
      </c>
      <c r="J554" s="5" t="inlineStr">
        <is>
          <t>Full-Time</t>
        </is>
      </c>
      <c r="K554" s="7" t="n">
        <v>45965</v>
      </c>
      <c r="L554" s="7" t="inlineStr"/>
      <c r="M554" s="5" t="inlineStr">
        <is>
          <t>Yes</t>
        </is>
      </c>
      <c r="N554" s="5" t="inlineStr"/>
      <c r="O554" s="8" t="inlineStr">
        <is>
          <t>83500</t>
        </is>
      </c>
      <c r="P554" s="5" t="inlineStr">
        <is>
          <t>10</t>
        </is>
      </c>
      <c r="Q554" s="5" t="inlineStr">
        <is>
          <t>5</t>
        </is>
      </c>
      <c r="R554" s="5" t="inlineStr">
        <is>
          <t>8</t>
        </is>
      </c>
      <c r="S554" s="5" t="inlineStr">
        <is>
          <t>1</t>
        </is>
      </c>
      <c r="T554" s="5" t="inlineStr">
        <is>
          <t>11</t>
        </is>
      </c>
      <c r="U554" s="5">
        <f>IFS(C554&lt;30,"Under 30",C554&lt;40,"30-39",C554&lt;50,"40-49",TRUE,"50+")</f>
        <v/>
      </c>
      <c r="V554" s="5">
        <f>IFS(O554&lt;60000,"Low (&lt;60k)",O554&lt;100000,"Mid (60-100k)",TRUE,"High (100k+)")</f>
        <v/>
      </c>
      <c r="W554" s="5">
        <f>IF(M554="No","Attrited","Active")</f>
        <v/>
      </c>
    </row>
    <row r="555">
      <c r="A555" s="5" t="inlineStr">
        <is>
          <t>E00554</t>
        </is>
      </c>
      <c r="B555" s="5" t="inlineStr">
        <is>
          <t>Male</t>
        </is>
      </c>
      <c r="C555" s="6" t="inlineStr">
        <is>
          <t>29</t>
        </is>
      </c>
      <c r="D555" s="5" t="inlineStr">
        <is>
          <t>Married</t>
        </is>
      </c>
      <c r="E555" s="5" t="inlineStr">
        <is>
          <t>Bachelor</t>
        </is>
      </c>
      <c r="F555" s="5" t="inlineStr">
        <is>
          <t>Research &amp; Development</t>
        </is>
      </c>
      <c r="G555" s="5" t="inlineStr">
        <is>
          <t>Data Scientist</t>
        </is>
      </c>
      <c r="H555" s="5" t="inlineStr">
        <is>
          <t>4</t>
        </is>
      </c>
      <c r="I555" s="5" t="inlineStr">
        <is>
          <t>Remote</t>
        </is>
      </c>
      <c r="J555" s="5" t="inlineStr">
        <is>
          <t>Full-Time</t>
        </is>
      </c>
      <c r="K555" s="7" t="n">
        <v>44368</v>
      </c>
      <c r="L555" s="7" t="inlineStr"/>
      <c r="M555" s="5" t="inlineStr">
        <is>
          <t>Yes</t>
        </is>
      </c>
      <c r="N555" s="5" t="inlineStr"/>
      <c r="O555" s="8" t="inlineStr">
        <is>
          <t>235500</t>
        </is>
      </c>
      <c r="P555" s="5" t="inlineStr">
        <is>
          <t>0</t>
        </is>
      </c>
      <c r="Q555" s="5" t="inlineStr">
        <is>
          <t>5</t>
        </is>
      </c>
      <c r="R555" s="5" t="inlineStr">
        <is>
          <t>5</t>
        </is>
      </c>
      <c r="S555" s="5" t="inlineStr">
        <is>
          <t>55</t>
        </is>
      </c>
      <c r="T555" s="5" t="inlineStr">
        <is>
          <t>4</t>
        </is>
      </c>
      <c r="U555" s="5">
        <f>IFS(C555&lt;30,"Under 30",C555&lt;40,"30-39",C555&lt;50,"40-49",TRUE,"50+")</f>
        <v/>
      </c>
      <c r="V555" s="5">
        <f>IFS(O555&lt;60000,"Low (&lt;60k)",O555&lt;100000,"Mid (60-100k)",TRUE,"High (100k+)")</f>
        <v/>
      </c>
      <c r="W555" s="5">
        <f>IF(M555="No","Attrited","Active")</f>
        <v/>
      </c>
    </row>
    <row r="556">
      <c r="A556" s="5" t="inlineStr">
        <is>
          <t>E00555</t>
        </is>
      </c>
      <c r="B556" s="5" t="inlineStr">
        <is>
          <t>Female</t>
        </is>
      </c>
      <c r="C556" s="6" t="inlineStr">
        <is>
          <t>32</t>
        </is>
      </c>
      <c r="D556" s="5" t="inlineStr">
        <is>
          <t>Single</t>
        </is>
      </c>
      <c r="E556" s="5" t="inlineStr">
        <is>
          <t>Master</t>
        </is>
      </c>
      <c r="F556" s="5" t="inlineStr">
        <is>
          <t>Customer Support</t>
        </is>
      </c>
      <c r="G556" s="5" t="inlineStr">
        <is>
          <t>Support Lead</t>
        </is>
      </c>
      <c r="H556" s="5" t="inlineStr">
        <is>
          <t>2</t>
        </is>
      </c>
      <c r="I556" s="5" t="inlineStr">
        <is>
          <t>Hyderabad</t>
        </is>
      </c>
      <c r="J556" s="5" t="inlineStr">
        <is>
          <t>Full-Time</t>
        </is>
      </c>
      <c r="K556" s="7" t="n">
        <v>45056</v>
      </c>
      <c r="L556" s="7" t="inlineStr"/>
      <c r="M556" s="5" t="inlineStr">
        <is>
          <t>Yes</t>
        </is>
      </c>
      <c r="N556" s="5" t="inlineStr"/>
      <c r="O556" s="8" t="inlineStr">
        <is>
          <t>68000</t>
        </is>
      </c>
      <c r="P556" s="5" t="inlineStr">
        <is>
          <t>10</t>
        </is>
      </c>
      <c r="Q556" s="5" t="inlineStr">
        <is>
          <t>5</t>
        </is>
      </c>
      <c r="R556" s="5" t="inlineStr">
        <is>
          <t>6</t>
        </is>
      </c>
      <c r="S556" s="5" t="inlineStr">
        <is>
          <t>32</t>
        </is>
      </c>
      <c r="T556" s="5" t="inlineStr">
        <is>
          <t>0</t>
        </is>
      </c>
      <c r="U556" s="5">
        <f>IFS(C556&lt;30,"Under 30",C556&lt;40,"30-39",C556&lt;50,"40-49",TRUE,"50+")</f>
        <v/>
      </c>
      <c r="V556" s="5">
        <f>IFS(O556&lt;60000,"Low (&lt;60k)",O556&lt;100000,"Mid (60-100k)",TRUE,"High (100k+)")</f>
        <v/>
      </c>
      <c r="W556" s="5">
        <f>IF(M556="No","Attrited","Active")</f>
        <v/>
      </c>
    </row>
    <row r="557">
      <c r="A557" s="5" t="inlineStr">
        <is>
          <t>E00556</t>
        </is>
      </c>
      <c r="B557" s="5" t="inlineStr">
        <is>
          <t>Male</t>
        </is>
      </c>
      <c r="C557" s="6" t="inlineStr">
        <is>
          <t>39</t>
        </is>
      </c>
      <c r="D557" s="5" t="inlineStr">
        <is>
          <t>Married</t>
        </is>
      </c>
      <c r="E557" s="5" t="inlineStr">
        <is>
          <t>PhD</t>
        </is>
      </c>
      <c r="F557" s="5" t="inlineStr">
        <is>
          <t>Human Resources</t>
        </is>
      </c>
      <c r="G557" s="5" t="inlineStr">
        <is>
          <t>HR Generalist</t>
        </is>
      </c>
      <c r="H557" s="5" t="inlineStr">
        <is>
          <t>4</t>
        </is>
      </c>
      <c r="I557" s="5" t="inlineStr">
        <is>
          <t>Mumbai</t>
        </is>
      </c>
      <c r="J557" s="5" t="inlineStr">
        <is>
          <t>Full-Time</t>
        </is>
      </c>
      <c r="K557" s="7" t="n">
        <v>44186</v>
      </c>
      <c r="L557" s="7" t="n">
        <v>44226</v>
      </c>
      <c r="M557" s="5" t="inlineStr">
        <is>
          <t>No</t>
        </is>
      </c>
      <c r="N557" s="5" t="inlineStr">
        <is>
          <t>Retirement</t>
        </is>
      </c>
      <c r="O557" s="8" t="inlineStr">
        <is>
          <t>103500</t>
        </is>
      </c>
      <c r="P557" s="5" t="inlineStr">
        <is>
          <t>0</t>
        </is>
      </c>
      <c r="Q557" s="5" t="inlineStr">
        <is>
          <t>5</t>
        </is>
      </c>
      <c r="R557" s="5" t="inlineStr">
        <is>
          <t>7</t>
        </is>
      </c>
      <c r="S557" s="5" t="inlineStr">
        <is>
          <t>1</t>
        </is>
      </c>
      <c r="T557" s="5" t="inlineStr">
        <is>
          <t>14</t>
        </is>
      </c>
      <c r="U557" s="5">
        <f>IFS(C557&lt;30,"Under 30",C557&lt;40,"30-39",C557&lt;50,"40-49",TRUE,"50+")</f>
        <v/>
      </c>
      <c r="V557" s="5">
        <f>IFS(O557&lt;60000,"Low (&lt;60k)",O557&lt;100000,"Mid (60-100k)",TRUE,"High (100k+)")</f>
        <v/>
      </c>
      <c r="W557" s="5">
        <f>IF(M557="No","Attrited","Active")</f>
        <v/>
      </c>
    </row>
    <row r="558">
      <c r="A558" s="5" t="inlineStr">
        <is>
          <t>E00557</t>
        </is>
      </c>
      <c r="B558" s="5" t="inlineStr">
        <is>
          <t>Male</t>
        </is>
      </c>
      <c r="C558" s="6" t="inlineStr">
        <is>
          <t>36</t>
        </is>
      </c>
      <c r="D558" s="5" t="inlineStr">
        <is>
          <t>Married</t>
        </is>
      </c>
      <c r="E558" s="5" t="inlineStr">
        <is>
          <t>PhD</t>
        </is>
      </c>
      <c r="F558" s="5" t="inlineStr">
        <is>
          <t>Finance</t>
        </is>
      </c>
      <c r="G558" s="5" t="inlineStr">
        <is>
          <t>Credit Analyst</t>
        </is>
      </c>
      <c r="H558" s="5" t="inlineStr">
        <is>
          <t>3</t>
        </is>
      </c>
      <c r="I558" s="5" t="inlineStr">
        <is>
          <t>Bengaluru</t>
        </is>
      </c>
      <c r="J558" s="5" t="inlineStr">
        <is>
          <t>Contract</t>
        </is>
      </c>
      <c r="K558" s="7" t="n">
        <v>45852</v>
      </c>
      <c r="L558" s="7" t="inlineStr"/>
      <c r="M558" s="5" t="inlineStr">
        <is>
          <t>Yes</t>
        </is>
      </c>
      <c r="N558" s="5" t="inlineStr"/>
      <c r="O558" s="8" t="inlineStr">
        <is>
          <t>122000</t>
        </is>
      </c>
      <c r="P558" s="5" t="inlineStr">
        <is>
          <t>5</t>
        </is>
      </c>
      <c r="Q558" s="5" t="inlineStr">
        <is>
          <t>4</t>
        </is>
      </c>
      <c r="R558" s="5" t="inlineStr">
        <is>
          <t>7</t>
        </is>
      </c>
      <c r="S558" s="5" t="inlineStr">
        <is>
          <t>5</t>
        </is>
      </c>
      <c r="T558" s="5" t="inlineStr">
        <is>
          <t>6</t>
        </is>
      </c>
      <c r="U558" s="5">
        <f>IFS(C558&lt;30,"Under 30",C558&lt;40,"30-39",C558&lt;50,"40-49",TRUE,"50+")</f>
        <v/>
      </c>
      <c r="V558" s="5">
        <f>IFS(O558&lt;60000,"Low (&lt;60k)",O558&lt;100000,"Mid (60-100k)",TRUE,"High (100k+)")</f>
        <v/>
      </c>
      <c r="W558" s="5">
        <f>IF(M558="No","Attrited","Active")</f>
        <v/>
      </c>
    </row>
    <row r="559">
      <c r="A559" s="5" t="inlineStr">
        <is>
          <t>E00558</t>
        </is>
      </c>
      <c r="B559" s="5" t="inlineStr">
        <is>
          <t>Female</t>
        </is>
      </c>
      <c r="C559" s="6" t="inlineStr">
        <is>
          <t>29</t>
        </is>
      </c>
      <c r="D559" s="5" t="inlineStr">
        <is>
          <t>Married</t>
        </is>
      </c>
      <c r="E559" s="5" t="inlineStr">
        <is>
          <t>High School</t>
        </is>
      </c>
      <c r="F559" s="5" t="inlineStr">
        <is>
          <t>Finance</t>
        </is>
      </c>
      <c r="G559" s="5" t="inlineStr">
        <is>
          <t>Financial Analyst</t>
        </is>
      </c>
      <c r="H559" s="5" t="inlineStr">
        <is>
          <t>2</t>
        </is>
      </c>
      <c r="I559" s="5" t="inlineStr">
        <is>
          <t>Chennai</t>
        </is>
      </c>
      <c r="J559" s="5" t="inlineStr">
        <is>
          <t>Full-Time</t>
        </is>
      </c>
      <c r="K559" s="7" t="n">
        <v>44781</v>
      </c>
      <c r="L559" s="7" t="inlineStr"/>
      <c r="M559" s="5" t="inlineStr">
        <is>
          <t>Yes</t>
        </is>
      </c>
      <c r="N559" s="5" t="inlineStr"/>
      <c r="O559" s="8" t="inlineStr">
        <is>
          <t>123000</t>
        </is>
      </c>
      <c r="P559" s="5" t="inlineStr">
        <is>
          <t>5</t>
        </is>
      </c>
      <c r="Q559" s="5" t="inlineStr">
        <is>
          <t>3</t>
        </is>
      </c>
      <c r="R559" s="5" t="inlineStr">
        <is>
          <t>6</t>
        </is>
      </c>
      <c r="S559" s="5" t="inlineStr">
        <is>
          <t>41</t>
        </is>
      </c>
      <c r="T559" s="5" t="inlineStr">
        <is>
          <t>4</t>
        </is>
      </c>
      <c r="U559" s="5">
        <f>IFS(C559&lt;30,"Under 30",C559&lt;40,"30-39",C559&lt;50,"40-49",TRUE,"50+")</f>
        <v/>
      </c>
      <c r="V559" s="5">
        <f>IFS(O559&lt;60000,"Low (&lt;60k)",O559&lt;100000,"Mid (60-100k)",TRUE,"High (100k+)")</f>
        <v/>
      </c>
      <c r="W559" s="5">
        <f>IF(M559="No","Attrited","Active")</f>
        <v/>
      </c>
    </row>
    <row r="560">
      <c r="A560" s="5" t="inlineStr">
        <is>
          <t>E00559</t>
        </is>
      </c>
      <c r="B560" s="5" t="inlineStr">
        <is>
          <t>Male</t>
        </is>
      </c>
      <c r="C560" s="6" t="inlineStr">
        <is>
          <t>36</t>
        </is>
      </c>
      <c r="D560" s="5" t="inlineStr">
        <is>
          <t>Single</t>
        </is>
      </c>
      <c r="E560" s="5" t="inlineStr">
        <is>
          <t>Master</t>
        </is>
      </c>
      <c r="F560" s="5" t="inlineStr">
        <is>
          <t>Finance</t>
        </is>
      </c>
      <c r="G560" s="5" t="inlineStr">
        <is>
          <t>Financial Analyst</t>
        </is>
      </c>
      <c r="H560" s="5" t="inlineStr">
        <is>
          <t>2</t>
        </is>
      </c>
      <c r="I560" s="5" t="inlineStr">
        <is>
          <t>Remote</t>
        </is>
      </c>
      <c r="J560" s="5" t="inlineStr">
        <is>
          <t>Full-Time</t>
        </is>
      </c>
      <c r="K560" s="7" t="n">
        <v>44775</v>
      </c>
      <c r="L560" s="7" t="n">
        <v>44866</v>
      </c>
      <c r="M560" s="5" t="inlineStr">
        <is>
          <t>No</t>
        </is>
      </c>
      <c r="N560" s="5" t="inlineStr">
        <is>
          <t>Resigned</t>
        </is>
      </c>
      <c r="O560" s="8" t="inlineStr">
        <is>
          <t>86500</t>
        </is>
      </c>
      <c r="P560" s="5" t="inlineStr">
        <is>
          <t>5</t>
        </is>
      </c>
      <c r="Q560" s="5" t="inlineStr">
        <is>
          <t>3</t>
        </is>
      </c>
      <c r="R560" s="5" t="inlineStr">
        <is>
          <t>4</t>
        </is>
      </c>
      <c r="S560" s="5" t="inlineStr">
        <is>
          <t>3</t>
        </is>
      </c>
      <c r="T560" s="5" t="inlineStr">
        <is>
          <t>4</t>
        </is>
      </c>
      <c r="U560" s="5">
        <f>IFS(C560&lt;30,"Under 30",C560&lt;40,"30-39",C560&lt;50,"40-49",TRUE,"50+")</f>
        <v/>
      </c>
      <c r="V560" s="5">
        <f>IFS(O560&lt;60000,"Low (&lt;60k)",O560&lt;100000,"Mid (60-100k)",TRUE,"High (100k+)")</f>
        <v/>
      </c>
      <c r="W560" s="5">
        <f>IF(M560="No","Attrited","Active")</f>
        <v/>
      </c>
    </row>
    <row r="561">
      <c r="A561" s="5" t="inlineStr">
        <is>
          <t>E00560</t>
        </is>
      </c>
      <c r="B561" s="5" t="inlineStr">
        <is>
          <t>Male</t>
        </is>
      </c>
      <c r="C561" s="6" t="inlineStr">
        <is>
          <t>32</t>
        </is>
      </c>
      <c r="D561" s="5" t="inlineStr">
        <is>
          <t>Single</t>
        </is>
      </c>
      <c r="E561" s="5" t="inlineStr">
        <is>
          <t>High School</t>
        </is>
      </c>
      <c r="F561" s="5" t="inlineStr">
        <is>
          <t>Finance</t>
        </is>
      </c>
      <c r="G561" s="5" t="inlineStr">
        <is>
          <t>Credit Analyst</t>
        </is>
      </c>
      <c r="H561" s="5" t="inlineStr">
        <is>
          <t>4</t>
        </is>
      </c>
      <c r="I561" s="5" t="inlineStr">
        <is>
          <t>Delhi</t>
        </is>
      </c>
      <c r="J561" s="5" t="inlineStr">
        <is>
          <t>Full-Time</t>
        </is>
      </c>
      <c r="K561" s="7" t="n">
        <v>43901</v>
      </c>
      <c r="L561" s="7" t="inlineStr"/>
      <c r="M561" s="5" t="inlineStr">
        <is>
          <t>Yes</t>
        </is>
      </c>
      <c r="N561" s="5" t="inlineStr"/>
      <c r="O561" s="8" t="inlineStr">
        <is>
          <t>162500</t>
        </is>
      </c>
      <c r="P561" s="5" t="inlineStr">
        <is>
          <t>20</t>
        </is>
      </c>
      <c r="Q561" s="5" t="inlineStr">
        <is>
          <t>3</t>
        </is>
      </c>
      <c r="R561" s="5" t="inlineStr">
        <is>
          <t>4</t>
        </is>
      </c>
      <c r="S561" s="5" t="inlineStr">
        <is>
          <t>70</t>
        </is>
      </c>
      <c r="T561" s="5" t="inlineStr">
        <is>
          <t>19</t>
        </is>
      </c>
      <c r="U561" s="5">
        <f>IFS(C561&lt;30,"Under 30",C561&lt;40,"30-39",C561&lt;50,"40-49",TRUE,"50+")</f>
        <v/>
      </c>
      <c r="V561" s="5">
        <f>IFS(O561&lt;60000,"Low (&lt;60k)",O561&lt;100000,"Mid (60-100k)",TRUE,"High (100k+)")</f>
        <v/>
      </c>
      <c r="W561" s="5">
        <f>IF(M561="No","Attrited","Active")</f>
        <v/>
      </c>
    </row>
    <row r="562">
      <c r="A562" s="5" t="inlineStr">
        <is>
          <t>E00561</t>
        </is>
      </c>
      <c r="B562" s="5" t="inlineStr">
        <is>
          <t>Male</t>
        </is>
      </c>
      <c r="C562" s="6" t="inlineStr">
        <is>
          <t>26</t>
        </is>
      </c>
      <c r="D562" s="5" t="inlineStr">
        <is>
          <t>Married</t>
        </is>
      </c>
      <c r="E562" s="5" t="inlineStr">
        <is>
          <t>Bachelor</t>
        </is>
      </c>
      <c r="F562" s="5" t="inlineStr">
        <is>
          <t>Human Resources</t>
        </is>
      </c>
      <c r="G562" s="5" t="inlineStr">
        <is>
          <t>HR Analyst</t>
        </is>
      </c>
      <c r="H562" s="5" t="inlineStr">
        <is>
          <t>1</t>
        </is>
      </c>
      <c r="I562" s="5" t="inlineStr">
        <is>
          <t>Delhi</t>
        </is>
      </c>
      <c r="J562" s="5" t="inlineStr">
        <is>
          <t>Contract</t>
        </is>
      </c>
      <c r="K562" s="7" t="n">
        <v>45926</v>
      </c>
      <c r="L562" s="7" t="inlineStr"/>
      <c r="M562" s="5" t="inlineStr">
        <is>
          <t>Yes</t>
        </is>
      </c>
      <c r="N562" s="5" t="inlineStr"/>
      <c r="O562" s="8" t="inlineStr">
        <is>
          <t>67000</t>
        </is>
      </c>
      <c r="P562" s="5" t="inlineStr">
        <is>
          <t>0</t>
        </is>
      </c>
      <c r="Q562" s="5" t="inlineStr">
        <is>
          <t>4</t>
        </is>
      </c>
      <c r="R562" s="5" t="inlineStr">
        <is>
          <t>6</t>
        </is>
      </c>
      <c r="S562" s="5" t="inlineStr">
        <is>
          <t>3</t>
        </is>
      </c>
      <c r="T562" s="5" t="inlineStr">
        <is>
          <t>5</t>
        </is>
      </c>
      <c r="U562" s="5">
        <f>IFS(C562&lt;30,"Under 30",C562&lt;40,"30-39",C562&lt;50,"40-49",TRUE,"50+")</f>
        <v/>
      </c>
      <c r="V562" s="5">
        <f>IFS(O562&lt;60000,"Low (&lt;60k)",O562&lt;100000,"Mid (60-100k)",TRUE,"High (100k+)")</f>
        <v/>
      </c>
      <c r="W562" s="5">
        <f>IF(M562="No","Attrited","Active")</f>
        <v/>
      </c>
    </row>
    <row r="563">
      <c r="A563" s="5" t="inlineStr">
        <is>
          <t>E00562</t>
        </is>
      </c>
      <c r="B563" s="5" t="inlineStr">
        <is>
          <t>Female</t>
        </is>
      </c>
      <c r="C563" s="6" t="inlineStr">
        <is>
          <t>44</t>
        </is>
      </c>
      <c r="D563" s="5" t="inlineStr">
        <is>
          <t>Married</t>
        </is>
      </c>
      <c r="E563" s="5" t="inlineStr">
        <is>
          <t>Master</t>
        </is>
      </c>
      <c r="F563" s="5" t="inlineStr">
        <is>
          <t>Operations</t>
        </is>
      </c>
      <c r="G563" s="5" t="inlineStr">
        <is>
          <t>Operations Analyst</t>
        </is>
      </c>
      <c r="H563" s="5" t="inlineStr">
        <is>
          <t>7</t>
        </is>
      </c>
      <c r="I563" s="5" t="inlineStr">
        <is>
          <t>Chennai</t>
        </is>
      </c>
      <c r="J563" s="5" t="inlineStr">
        <is>
          <t>Full-Time</t>
        </is>
      </c>
      <c r="K563" s="7" t="n">
        <v>44216</v>
      </c>
      <c r="L563" s="7" t="inlineStr"/>
      <c r="M563" s="5" t="inlineStr">
        <is>
          <t>Yes</t>
        </is>
      </c>
      <c r="N563" s="5" t="inlineStr"/>
      <c r="O563" s="8" t="inlineStr">
        <is>
          <t>126000</t>
        </is>
      </c>
      <c r="P563" s="5" t="inlineStr">
        <is>
          <t>0</t>
        </is>
      </c>
      <c r="Q563" s="5" t="inlineStr">
        <is>
          <t>3</t>
        </is>
      </c>
      <c r="R563" s="5" t="inlineStr">
        <is>
          <t>8</t>
        </is>
      </c>
      <c r="S563" s="5" t="inlineStr">
        <is>
          <t>60</t>
        </is>
      </c>
      <c r="T563" s="5" t="inlineStr">
        <is>
          <t>0</t>
        </is>
      </c>
      <c r="U563" s="5">
        <f>IFS(C563&lt;30,"Under 30",C563&lt;40,"30-39",C563&lt;50,"40-49",TRUE,"50+")</f>
        <v/>
      </c>
      <c r="V563" s="5">
        <f>IFS(O563&lt;60000,"Low (&lt;60k)",O563&lt;100000,"Mid (60-100k)",TRUE,"High (100k+)")</f>
        <v/>
      </c>
      <c r="W563" s="5">
        <f>IF(M563="No","Attrited","Active")</f>
        <v/>
      </c>
    </row>
    <row r="564">
      <c r="A564" s="5" t="inlineStr">
        <is>
          <t>E00563</t>
        </is>
      </c>
      <c r="B564" s="5" t="inlineStr">
        <is>
          <t>Female</t>
        </is>
      </c>
      <c r="C564" s="6" t="inlineStr">
        <is>
          <t>40</t>
        </is>
      </c>
      <c r="D564" s="5" t="inlineStr">
        <is>
          <t>Married</t>
        </is>
      </c>
      <c r="E564" s="5" t="inlineStr">
        <is>
          <t>Master</t>
        </is>
      </c>
      <c r="F564" s="5" t="inlineStr">
        <is>
          <t>IT</t>
        </is>
      </c>
      <c r="G564" s="5" t="inlineStr">
        <is>
          <t>Data Analyst</t>
        </is>
      </c>
      <c r="H564" s="5" t="inlineStr">
        <is>
          <t>6</t>
        </is>
      </c>
      <c r="I564" s="5" t="inlineStr">
        <is>
          <t>Hyderabad</t>
        </is>
      </c>
      <c r="J564" s="5" t="inlineStr">
        <is>
          <t>Part-Time</t>
        </is>
      </c>
      <c r="K564" s="7" t="n">
        <v>45371</v>
      </c>
      <c r="L564" s="7" t="inlineStr"/>
      <c r="M564" s="5" t="inlineStr">
        <is>
          <t>Yes</t>
        </is>
      </c>
      <c r="N564" s="5" t="inlineStr"/>
      <c r="O564" s="8" t="inlineStr">
        <is>
          <t>144500</t>
        </is>
      </c>
      <c r="P564" s="5" t="inlineStr">
        <is>
          <t>20</t>
        </is>
      </c>
      <c r="Q564" s="5" t="inlineStr">
        <is>
          <t>4</t>
        </is>
      </c>
      <c r="R564" s="5" t="inlineStr">
        <is>
          <t>2</t>
        </is>
      </c>
      <c r="S564" s="5" t="inlineStr">
        <is>
          <t>21</t>
        </is>
      </c>
      <c r="T564" s="5" t="inlineStr">
        <is>
          <t>0</t>
        </is>
      </c>
      <c r="U564" s="5">
        <f>IFS(C564&lt;30,"Under 30",C564&lt;40,"30-39",C564&lt;50,"40-49",TRUE,"50+")</f>
        <v/>
      </c>
      <c r="V564" s="5">
        <f>IFS(O564&lt;60000,"Low (&lt;60k)",O564&lt;100000,"Mid (60-100k)",TRUE,"High (100k+)")</f>
        <v/>
      </c>
      <c r="W564" s="5">
        <f>IF(M564="No","Attrited","Active")</f>
        <v/>
      </c>
    </row>
    <row r="565">
      <c r="A565" s="5" t="inlineStr">
        <is>
          <t>E00564</t>
        </is>
      </c>
      <c r="B565" s="5" t="inlineStr">
        <is>
          <t>Female</t>
        </is>
      </c>
      <c r="C565" s="6" t="inlineStr">
        <is>
          <t>26</t>
        </is>
      </c>
      <c r="D565" s="5" t="inlineStr">
        <is>
          <t>Married</t>
        </is>
      </c>
      <c r="E565" s="5" t="inlineStr">
        <is>
          <t>Diploma</t>
        </is>
      </c>
      <c r="F565" s="5" t="inlineStr">
        <is>
          <t>Finance</t>
        </is>
      </c>
      <c r="G565" s="5" t="inlineStr">
        <is>
          <t>Credit Analyst</t>
        </is>
      </c>
      <c r="H565" s="5" t="inlineStr">
        <is>
          <t>1</t>
        </is>
      </c>
      <c r="I565" s="5" t="inlineStr">
        <is>
          <t>Delhi</t>
        </is>
      </c>
      <c r="J565" s="5" t="inlineStr">
        <is>
          <t>Full-Time</t>
        </is>
      </c>
      <c r="K565" s="7" t="n">
        <v>44103</v>
      </c>
      <c r="L565" s="7" t="n">
        <v>44145</v>
      </c>
      <c r="M565" s="5" t="inlineStr">
        <is>
          <t>No</t>
        </is>
      </c>
      <c r="N565" s="5" t="inlineStr">
        <is>
          <t>Resigned</t>
        </is>
      </c>
      <c r="O565" s="8" t="inlineStr">
        <is>
          <t>106500</t>
        </is>
      </c>
      <c r="P565" s="5" t="inlineStr">
        <is>
          <t>0</t>
        </is>
      </c>
      <c r="Q565" s="5" t="inlineStr">
        <is>
          <t>5</t>
        </is>
      </c>
      <c r="R565" s="5" t="inlineStr">
        <is>
          <t>5</t>
        </is>
      </c>
      <c r="S565" s="5" t="inlineStr">
        <is>
          <t>1</t>
        </is>
      </c>
      <c r="T565" s="5" t="inlineStr">
        <is>
          <t>0</t>
        </is>
      </c>
      <c r="U565" s="5">
        <f>IFS(C565&lt;30,"Under 30",C565&lt;40,"30-39",C565&lt;50,"40-49",TRUE,"50+")</f>
        <v/>
      </c>
      <c r="V565" s="5">
        <f>IFS(O565&lt;60000,"Low (&lt;60k)",O565&lt;100000,"Mid (60-100k)",TRUE,"High (100k+)")</f>
        <v/>
      </c>
      <c r="W565" s="5">
        <f>IF(M565="No","Attrited","Active")</f>
        <v/>
      </c>
    </row>
    <row r="566">
      <c r="A566" s="5" t="inlineStr">
        <is>
          <t>E00565</t>
        </is>
      </c>
      <c r="B566" s="5" t="inlineStr">
        <is>
          <t>Female</t>
        </is>
      </c>
      <c r="C566" s="6" t="inlineStr">
        <is>
          <t>35</t>
        </is>
      </c>
      <c r="D566" s="5" t="inlineStr">
        <is>
          <t>Single</t>
        </is>
      </c>
      <c r="E566" s="5" t="inlineStr">
        <is>
          <t>High School</t>
        </is>
      </c>
      <c r="F566" s="5" t="inlineStr">
        <is>
          <t>IT</t>
        </is>
      </c>
      <c r="G566" s="5" t="inlineStr">
        <is>
          <t>DevOps Engineer</t>
        </is>
      </c>
      <c r="H566" s="5" t="inlineStr">
        <is>
          <t>5</t>
        </is>
      </c>
      <c r="I566" s="5" t="inlineStr">
        <is>
          <t>Delhi</t>
        </is>
      </c>
      <c r="J566" s="5" t="inlineStr">
        <is>
          <t>Full-Time</t>
        </is>
      </c>
      <c r="K566" s="7" t="n">
        <v>44049</v>
      </c>
      <c r="L566" s="7" t="inlineStr"/>
      <c r="M566" s="5" t="inlineStr">
        <is>
          <t>Yes</t>
        </is>
      </c>
      <c r="N566" s="5" t="inlineStr"/>
      <c r="O566" s="8" t="inlineStr">
        <is>
          <t>175500</t>
        </is>
      </c>
      <c r="P566" s="5" t="inlineStr">
        <is>
          <t>10</t>
        </is>
      </c>
      <c r="Q566" s="5" t="inlineStr">
        <is>
          <t>5</t>
        </is>
      </c>
      <c r="R566" s="5" t="inlineStr">
        <is>
          <t>5</t>
        </is>
      </c>
      <c r="S566" s="5" t="inlineStr">
        <is>
          <t>65</t>
        </is>
      </c>
      <c r="T566" s="5" t="inlineStr">
        <is>
          <t>0</t>
        </is>
      </c>
      <c r="U566" s="5">
        <f>IFS(C566&lt;30,"Under 30",C566&lt;40,"30-39",C566&lt;50,"40-49",TRUE,"50+")</f>
        <v/>
      </c>
      <c r="V566" s="5">
        <f>IFS(O566&lt;60000,"Low (&lt;60k)",O566&lt;100000,"Mid (60-100k)",TRUE,"High (100k+)")</f>
        <v/>
      </c>
      <c r="W566" s="5">
        <f>IF(M566="No","Attrited","Active")</f>
        <v/>
      </c>
    </row>
    <row r="567">
      <c r="A567" s="5" t="inlineStr">
        <is>
          <t>E00566</t>
        </is>
      </c>
      <c r="B567" s="5" t="inlineStr">
        <is>
          <t>Male</t>
        </is>
      </c>
      <c r="C567" s="6" t="inlineStr">
        <is>
          <t>36</t>
        </is>
      </c>
      <c r="D567" s="5" t="inlineStr">
        <is>
          <t>Divorced</t>
        </is>
      </c>
      <c r="E567" s="5" t="inlineStr">
        <is>
          <t>Diploma</t>
        </is>
      </c>
      <c r="F567" s="5" t="inlineStr">
        <is>
          <t>Operations</t>
        </is>
      </c>
      <c r="G567" s="5" t="inlineStr">
        <is>
          <t>Logistics Coordinator</t>
        </is>
      </c>
      <c r="H567" s="5" t="inlineStr">
        <is>
          <t>3</t>
        </is>
      </c>
      <c r="I567" s="5" t="inlineStr">
        <is>
          <t>Remote</t>
        </is>
      </c>
      <c r="J567" s="5" t="inlineStr">
        <is>
          <t>Full-Time</t>
        </is>
      </c>
      <c r="K567" s="7" t="n">
        <v>45236</v>
      </c>
      <c r="L567" s="7" t="inlineStr"/>
      <c r="M567" s="5" t="inlineStr">
        <is>
          <t>Yes</t>
        </is>
      </c>
      <c r="N567" s="5" t="inlineStr"/>
      <c r="O567" s="8" t="inlineStr">
        <is>
          <t>100000</t>
        </is>
      </c>
      <c r="P567" s="5" t="inlineStr">
        <is>
          <t>10</t>
        </is>
      </c>
      <c r="Q567" s="5" t="inlineStr">
        <is>
          <t>4</t>
        </is>
      </c>
      <c r="R567" s="5" t="inlineStr">
        <is>
          <t>8</t>
        </is>
      </c>
      <c r="S567" s="5" t="inlineStr">
        <is>
          <t>26</t>
        </is>
      </c>
      <c r="T567" s="5" t="inlineStr">
        <is>
          <t>6</t>
        </is>
      </c>
      <c r="U567" s="5">
        <f>IFS(C567&lt;30,"Under 30",C567&lt;40,"30-39",C567&lt;50,"40-49",TRUE,"50+")</f>
        <v/>
      </c>
      <c r="V567" s="5">
        <f>IFS(O567&lt;60000,"Low (&lt;60k)",O567&lt;100000,"Mid (60-100k)",TRUE,"High (100k+)")</f>
        <v/>
      </c>
      <c r="W567" s="5">
        <f>IF(M567="No","Attrited","Active")</f>
        <v/>
      </c>
    </row>
    <row r="568">
      <c r="A568" s="5" t="inlineStr">
        <is>
          <t>E00567</t>
        </is>
      </c>
      <c r="B568" s="5" t="inlineStr">
        <is>
          <t>Female</t>
        </is>
      </c>
      <c r="C568" s="6" t="inlineStr">
        <is>
          <t>29</t>
        </is>
      </c>
      <c r="D568" s="5" t="inlineStr">
        <is>
          <t>Married</t>
        </is>
      </c>
      <c r="E568" s="5" t="inlineStr">
        <is>
          <t>Master</t>
        </is>
      </c>
      <c r="F568" s="5" t="inlineStr">
        <is>
          <t>Finance</t>
        </is>
      </c>
      <c r="G568" s="5" t="inlineStr">
        <is>
          <t>Accountant</t>
        </is>
      </c>
      <c r="H568" s="5" t="inlineStr">
        <is>
          <t>2</t>
        </is>
      </c>
      <c r="I568" s="5" t="inlineStr">
        <is>
          <t>Chennai</t>
        </is>
      </c>
      <c r="J568" s="5" t="inlineStr">
        <is>
          <t>Full-Time</t>
        </is>
      </c>
      <c r="K568" s="7" t="n">
        <v>44998</v>
      </c>
      <c r="L568" s="7" t="inlineStr"/>
      <c r="M568" s="5" t="inlineStr">
        <is>
          <t>Yes</t>
        </is>
      </c>
      <c r="N568" s="5" t="inlineStr"/>
      <c r="O568" s="8" t="inlineStr">
        <is>
          <t>74500</t>
        </is>
      </c>
      <c r="P568" s="5" t="inlineStr">
        <is>
          <t>10</t>
        </is>
      </c>
      <c r="Q568" s="5" t="inlineStr">
        <is>
          <t>4</t>
        </is>
      </c>
      <c r="R568" s="5" t="inlineStr">
        <is>
          <t>4</t>
        </is>
      </c>
      <c r="S568" s="5" t="inlineStr">
        <is>
          <t>34</t>
        </is>
      </c>
      <c r="T568" s="5" t="inlineStr">
        <is>
          <t>0</t>
        </is>
      </c>
      <c r="U568" s="5">
        <f>IFS(C568&lt;30,"Under 30",C568&lt;40,"30-39",C568&lt;50,"40-49",TRUE,"50+")</f>
        <v/>
      </c>
      <c r="V568" s="5">
        <f>IFS(O568&lt;60000,"Low (&lt;60k)",O568&lt;100000,"Mid (60-100k)",TRUE,"High (100k+)")</f>
        <v/>
      </c>
      <c r="W568" s="5">
        <f>IF(M568="No","Attrited","Active")</f>
        <v/>
      </c>
    </row>
    <row r="569">
      <c r="A569" s="5" t="inlineStr">
        <is>
          <t>E00568</t>
        </is>
      </c>
      <c r="B569" s="5" t="inlineStr">
        <is>
          <t>Male</t>
        </is>
      </c>
      <c r="C569" s="6" t="inlineStr">
        <is>
          <t>36</t>
        </is>
      </c>
      <c r="D569" s="5" t="inlineStr">
        <is>
          <t>Married</t>
        </is>
      </c>
      <c r="E569" s="5" t="inlineStr">
        <is>
          <t>High School</t>
        </is>
      </c>
      <c r="F569" s="5" t="inlineStr">
        <is>
          <t>Operations</t>
        </is>
      </c>
      <c r="G569" s="5" t="inlineStr">
        <is>
          <t>Logistics Coordinator</t>
        </is>
      </c>
      <c r="H569" s="5" t="inlineStr">
        <is>
          <t>2</t>
        </is>
      </c>
      <c r="I569" s="5" t="inlineStr">
        <is>
          <t>Mumbai</t>
        </is>
      </c>
      <c r="J569" s="5" t="inlineStr">
        <is>
          <t>Contract</t>
        </is>
      </c>
      <c r="K569" s="7" t="n">
        <v>44863</v>
      </c>
      <c r="L569" s="7" t="inlineStr"/>
      <c r="M569" s="5" t="inlineStr">
        <is>
          <t>Yes</t>
        </is>
      </c>
      <c r="N569" s="5" t="inlineStr"/>
      <c r="O569" s="8" t="inlineStr">
        <is>
          <t>112500</t>
        </is>
      </c>
      <c r="P569" s="5" t="inlineStr">
        <is>
          <t>0</t>
        </is>
      </c>
      <c r="Q569" s="5" t="inlineStr">
        <is>
          <t>3</t>
        </is>
      </c>
      <c r="R569" s="5" t="inlineStr">
        <is>
          <t>6</t>
        </is>
      </c>
      <c r="S569" s="5" t="inlineStr">
        <is>
          <t>38</t>
        </is>
      </c>
      <c r="T569" s="5" t="inlineStr">
        <is>
          <t>1</t>
        </is>
      </c>
      <c r="U569" s="5">
        <f>IFS(C569&lt;30,"Under 30",C569&lt;40,"30-39",C569&lt;50,"40-49",TRUE,"50+")</f>
        <v/>
      </c>
      <c r="V569" s="5">
        <f>IFS(O569&lt;60000,"Low (&lt;60k)",O569&lt;100000,"Mid (60-100k)",TRUE,"High (100k+)")</f>
        <v/>
      </c>
      <c r="W569" s="5">
        <f>IF(M569="No","Attrited","Active")</f>
        <v/>
      </c>
    </row>
    <row r="570">
      <c r="A570" s="5" t="inlineStr">
        <is>
          <t>E00569</t>
        </is>
      </c>
      <c r="B570" s="5" t="inlineStr">
        <is>
          <t>Female</t>
        </is>
      </c>
      <c r="C570" s="6" t="inlineStr">
        <is>
          <t>34</t>
        </is>
      </c>
      <c r="D570" s="5" t="inlineStr">
        <is>
          <t>Divorced</t>
        </is>
      </c>
      <c r="E570" s="5" t="inlineStr">
        <is>
          <t>PhD</t>
        </is>
      </c>
      <c r="F570" s="5" t="inlineStr">
        <is>
          <t>IT</t>
        </is>
      </c>
      <c r="G570" s="5" t="inlineStr">
        <is>
          <t>Software Engineer</t>
        </is>
      </c>
      <c r="H570" s="5" t="inlineStr">
        <is>
          <t>2</t>
        </is>
      </c>
      <c r="I570" s="5" t="inlineStr">
        <is>
          <t>Chennai</t>
        </is>
      </c>
      <c r="J570" s="5" t="inlineStr">
        <is>
          <t>Full-Time</t>
        </is>
      </c>
      <c r="K570" s="7" t="n">
        <v>45720</v>
      </c>
      <c r="L570" s="7" t="inlineStr"/>
      <c r="M570" s="5" t="inlineStr">
        <is>
          <t>Yes</t>
        </is>
      </c>
      <c r="N570" s="5" t="inlineStr"/>
      <c r="O570" s="8" t="inlineStr">
        <is>
          <t>97500</t>
        </is>
      </c>
      <c r="P570" s="5" t="inlineStr">
        <is>
          <t>10</t>
        </is>
      </c>
      <c r="Q570" s="5" t="inlineStr">
        <is>
          <t>5</t>
        </is>
      </c>
      <c r="R570" s="5" t="inlineStr">
        <is>
          <t>8</t>
        </is>
      </c>
      <c r="S570" s="5" t="inlineStr">
        <is>
          <t>10</t>
        </is>
      </c>
      <c r="T570" s="5" t="inlineStr">
        <is>
          <t>0</t>
        </is>
      </c>
      <c r="U570" s="5">
        <f>IFS(C570&lt;30,"Under 30",C570&lt;40,"30-39",C570&lt;50,"40-49",TRUE,"50+")</f>
        <v/>
      </c>
      <c r="V570" s="5">
        <f>IFS(O570&lt;60000,"Low (&lt;60k)",O570&lt;100000,"Mid (60-100k)",TRUE,"High (100k+)")</f>
        <v/>
      </c>
      <c r="W570" s="5">
        <f>IF(M570="No","Attrited","Active")</f>
        <v/>
      </c>
    </row>
    <row r="571">
      <c r="A571" s="5" t="inlineStr">
        <is>
          <t>E00570</t>
        </is>
      </c>
      <c r="B571" s="5" t="inlineStr">
        <is>
          <t>Male</t>
        </is>
      </c>
      <c r="C571" s="6" t="inlineStr">
        <is>
          <t>29</t>
        </is>
      </c>
      <c r="D571" s="5" t="inlineStr">
        <is>
          <t>Married</t>
        </is>
      </c>
      <c r="E571" s="5" t="inlineStr">
        <is>
          <t>High School</t>
        </is>
      </c>
      <c r="F571" s="5" t="inlineStr">
        <is>
          <t>Research &amp; Development</t>
        </is>
      </c>
      <c r="G571" s="5" t="inlineStr">
        <is>
          <t>Product Engineer</t>
        </is>
      </c>
      <c r="H571" s="5" t="inlineStr">
        <is>
          <t>1</t>
        </is>
      </c>
      <c r="I571" s="5" t="inlineStr">
        <is>
          <t>Hyderabad</t>
        </is>
      </c>
      <c r="J571" s="5" t="inlineStr">
        <is>
          <t>Full-Time</t>
        </is>
      </c>
      <c r="K571" s="7" t="n">
        <v>44241</v>
      </c>
      <c r="L571" s="7" t="inlineStr"/>
      <c r="M571" s="5" t="inlineStr">
        <is>
          <t>Yes</t>
        </is>
      </c>
      <c r="N571" s="5" t="inlineStr"/>
      <c r="O571" s="8" t="inlineStr">
        <is>
          <t>126500</t>
        </is>
      </c>
      <c r="P571" s="5" t="inlineStr">
        <is>
          <t>0</t>
        </is>
      </c>
      <c r="Q571" s="5" t="inlineStr">
        <is>
          <t>4</t>
        </is>
      </c>
      <c r="R571" s="5" t="inlineStr">
        <is>
          <t>3</t>
        </is>
      </c>
      <c r="S571" s="5" t="inlineStr">
        <is>
          <t>59</t>
        </is>
      </c>
      <c r="T571" s="5" t="inlineStr">
        <is>
          <t>7</t>
        </is>
      </c>
      <c r="U571" s="5">
        <f>IFS(C571&lt;30,"Under 30",C571&lt;40,"30-39",C571&lt;50,"40-49",TRUE,"50+")</f>
        <v/>
      </c>
      <c r="V571" s="5">
        <f>IFS(O571&lt;60000,"Low (&lt;60k)",O571&lt;100000,"Mid (60-100k)",TRUE,"High (100k+)")</f>
        <v/>
      </c>
      <c r="W571" s="5">
        <f>IF(M571="No","Attrited","Active")</f>
        <v/>
      </c>
    </row>
    <row r="572">
      <c r="A572" s="5" t="inlineStr">
        <is>
          <t>E00571</t>
        </is>
      </c>
      <c r="B572" s="5" t="inlineStr">
        <is>
          <t>Female</t>
        </is>
      </c>
      <c r="C572" s="6" t="inlineStr">
        <is>
          <t>25</t>
        </is>
      </c>
      <c r="D572" s="5" t="inlineStr">
        <is>
          <t>Married</t>
        </is>
      </c>
      <c r="E572" s="5" t="inlineStr">
        <is>
          <t>Master</t>
        </is>
      </c>
      <c r="F572" s="5" t="inlineStr">
        <is>
          <t>Sales</t>
        </is>
      </c>
      <c r="G572" s="5" t="inlineStr">
        <is>
          <t>Account Executive</t>
        </is>
      </c>
      <c r="H572" s="5" t="inlineStr">
        <is>
          <t>1</t>
        </is>
      </c>
      <c r="I572" s="5" t="inlineStr">
        <is>
          <t>Chennai</t>
        </is>
      </c>
      <c r="J572" s="5" t="inlineStr">
        <is>
          <t>Full-Time</t>
        </is>
      </c>
      <c r="K572" s="7" t="n">
        <v>45073</v>
      </c>
      <c r="L572" s="7" t="n">
        <v>45115</v>
      </c>
      <c r="M572" s="5" t="inlineStr">
        <is>
          <t>No</t>
        </is>
      </c>
      <c r="N572" s="5" t="inlineStr">
        <is>
          <t>Resigned</t>
        </is>
      </c>
      <c r="O572" s="8" t="inlineStr">
        <is>
          <t>106000</t>
        </is>
      </c>
      <c r="P572" s="5" t="inlineStr">
        <is>
          <t>10</t>
        </is>
      </c>
      <c r="Q572" s="5" t="inlineStr">
        <is>
          <t>5</t>
        </is>
      </c>
      <c r="R572" s="5" t="inlineStr">
        <is>
          <t>6</t>
        </is>
      </c>
      <c r="S572" s="5" t="inlineStr">
        <is>
          <t>1</t>
        </is>
      </c>
      <c r="T572" s="5" t="inlineStr">
        <is>
          <t>7</t>
        </is>
      </c>
      <c r="U572" s="5">
        <f>IFS(C572&lt;30,"Under 30",C572&lt;40,"30-39",C572&lt;50,"40-49",TRUE,"50+")</f>
        <v/>
      </c>
      <c r="V572" s="5">
        <f>IFS(O572&lt;60000,"Low (&lt;60k)",O572&lt;100000,"Mid (60-100k)",TRUE,"High (100k+)")</f>
        <v/>
      </c>
      <c r="W572" s="5">
        <f>IF(M572="No","Attrited","Active")</f>
        <v/>
      </c>
    </row>
    <row r="573">
      <c r="A573" s="5" t="inlineStr">
        <is>
          <t>E00572</t>
        </is>
      </c>
      <c r="B573" s="5" t="inlineStr">
        <is>
          <t>Male</t>
        </is>
      </c>
      <c r="C573" s="6" t="inlineStr">
        <is>
          <t>32</t>
        </is>
      </c>
      <c r="D573" s="5" t="inlineStr">
        <is>
          <t>Married</t>
        </is>
      </c>
      <c r="E573" s="5" t="inlineStr">
        <is>
          <t>PhD</t>
        </is>
      </c>
      <c r="F573" s="5" t="inlineStr">
        <is>
          <t>Operations</t>
        </is>
      </c>
      <c r="G573" s="5" t="inlineStr">
        <is>
          <t>Logistics Coordinator</t>
        </is>
      </c>
      <c r="H573" s="5" t="inlineStr">
        <is>
          <t>3</t>
        </is>
      </c>
      <c r="I573" s="5" t="inlineStr">
        <is>
          <t>Bengaluru</t>
        </is>
      </c>
      <c r="J573" s="5" t="inlineStr">
        <is>
          <t>Full-Time</t>
        </is>
      </c>
      <c r="K573" s="7" t="n">
        <v>44865</v>
      </c>
      <c r="L573" s="7" t="inlineStr"/>
      <c r="M573" s="5" t="inlineStr">
        <is>
          <t>Yes</t>
        </is>
      </c>
      <c r="N573" s="5" t="inlineStr"/>
      <c r="O573" s="8" t="inlineStr">
        <is>
          <t>125500</t>
        </is>
      </c>
      <c r="P573" s="5" t="inlineStr">
        <is>
          <t>5</t>
        </is>
      </c>
      <c r="Q573" s="5" t="inlineStr">
        <is>
          <t>5</t>
        </is>
      </c>
      <c r="R573" s="5" t="inlineStr">
        <is>
          <t>6</t>
        </is>
      </c>
      <c r="S573" s="5" t="inlineStr">
        <is>
          <t>38</t>
        </is>
      </c>
      <c r="T573" s="5" t="inlineStr">
        <is>
          <t>0</t>
        </is>
      </c>
      <c r="U573" s="5">
        <f>IFS(C573&lt;30,"Under 30",C573&lt;40,"30-39",C573&lt;50,"40-49",TRUE,"50+")</f>
        <v/>
      </c>
      <c r="V573" s="5">
        <f>IFS(O573&lt;60000,"Low (&lt;60k)",O573&lt;100000,"Mid (60-100k)",TRUE,"High (100k+)")</f>
        <v/>
      </c>
      <c r="W573" s="5">
        <f>IF(M573="No","Attrited","Active")</f>
        <v/>
      </c>
    </row>
    <row r="574">
      <c r="A574" s="5" t="inlineStr">
        <is>
          <t>E00573</t>
        </is>
      </c>
      <c r="B574" s="5" t="inlineStr">
        <is>
          <t>Female</t>
        </is>
      </c>
      <c r="C574" s="6" t="inlineStr">
        <is>
          <t>32</t>
        </is>
      </c>
      <c r="D574" s="5" t="inlineStr">
        <is>
          <t>Single</t>
        </is>
      </c>
      <c r="E574" s="5" t="inlineStr">
        <is>
          <t>High School</t>
        </is>
      </c>
      <c r="F574" s="5" t="inlineStr">
        <is>
          <t>Human Resources</t>
        </is>
      </c>
      <c r="G574" s="5" t="inlineStr">
        <is>
          <t>HR Generalist</t>
        </is>
      </c>
      <c r="H574" s="5" t="inlineStr">
        <is>
          <t>1</t>
        </is>
      </c>
      <c r="I574" s="5" t="inlineStr">
        <is>
          <t>Hyderabad</t>
        </is>
      </c>
      <c r="J574" s="5" t="inlineStr">
        <is>
          <t>Full-Time</t>
        </is>
      </c>
      <c r="K574" s="7" t="n">
        <v>44382</v>
      </c>
      <c r="L574" s="7" t="inlineStr"/>
      <c r="M574" s="5" t="inlineStr">
        <is>
          <t>Yes</t>
        </is>
      </c>
      <c r="N574" s="5" t="inlineStr"/>
      <c r="O574" s="8" t="inlineStr">
        <is>
          <t>65500</t>
        </is>
      </c>
      <c r="P574" s="5" t="inlineStr">
        <is>
          <t>5</t>
        </is>
      </c>
      <c r="Q574" s="5" t="inlineStr">
        <is>
          <t>5</t>
        </is>
      </c>
      <c r="R574" s="5" t="inlineStr">
        <is>
          <t>4</t>
        </is>
      </c>
      <c r="S574" s="5" t="inlineStr">
        <is>
          <t>54</t>
        </is>
      </c>
      <c r="T574" s="5" t="inlineStr">
        <is>
          <t>24</t>
        </is>
      </c>
      <c r="U574" s="5">
        <f>IFS(C574&lt;30,"Under 30",C574&lt;40,"30-39",C574&lt;50,"40-49",TRUE,"50+")</f>
        <v/>
      </c>
      <c r="V574" s="5">
        <f>IFS(O574&lt;60000,"Low (&lt;60k)",O574&lt;100000,"Mid (60-100k)",TRUE,"High (100k+)")</f>
        <v/>
      </c>
      <c r="W574" s="5">
        <f>IF(M574="No","Attrited","Active")</f>
        <v/>
      </c>
    </row>
    <row r="575">
      <c r="A575" s="5" t="inlineStr">
        <is>
          <t>E00574</t>
        </is>
      </c>
      <c r="B575" s="5" t="inlineStr">
        <is>
          <t>Female</t>
        </is>
      </c>
      <c r="C575" s="6" t="inlineStr">
        <is>
          <t>34</t>
        </is>
      </c>
      <c r="D575" s="5" t="inlineStr">
        <is>
          <t>Married</t>
        </is>
      </c>
      <c r="E575" s="5" t="inlineStr">
        <is>
          <t>High School</t>
        </is>
      </c>
      <c r="F575" s="5" t="inlineStr">
        <is>
          <t>Customer Support</t>
        </is>
      </c>
      <c r="G575" s="5" t="inlineStr">
        <is>
          <t>Support Agent</t>
        </is>
      </c>
      <c r="H575" s="5" t="inlineStr">
        <is>
          <t>1</t>
        </is>
      </c>
      <c r="I575" s="5" t="inlineStr">
        <is>
          <t>Bengaluru</t>
        </is>
      </c>
      <c r="J575" s="5" t="inlineStr">
        <is>
          <t>Full-Time</t>
        </is>
      </c>
      <c r="K575" s="7" t="n">
        <v>45907</v>
      </c>
      <c r="L575" s="7" t="inlineStr"/>
      <c r="M575" s="5" t="inlineStr">
        <is>
          <t>Yes</t>
        </is>
      </c>
      <c r="N575" s="5" t="inlineStr"/>
      <c r="O575" s="8" t="inlineStr">
        <is>
          <t>47500</t>
        </is>
      </c>
      <c r="P575" s="5" t="inlineStr">
        <is>
          <t>10</t>
        </is>
      </c>
      <c r="Q575" s="5" t="inlineStr">
        <is>
          <t>4</t>
        </is>
      </c>
      <c r="R575" s="5" t="inlineStr">
        <is>
          <t>9</t>
        </is>
      </c>
      <c r="S575" s="5" t="inlineStr">
        <is>
          <t>3</t>
        </is>
      </c>
      <c r="T575" s="5" t="inlineStr">
        <is>
          <t>9</t>
        </is>
      </c>
      <c r="U575" s="5">
        <f>IFS(C575&lt;30,"Under 30",C575&lt;40,"30-39",C575&lt;50,"40-49",TRUE,"50+")</f>
        <v/>
      </c>
      <c r="V575" s="5">
        <f>IFS(O575&lt;60000,"Low (&lt;60k)",O575&lt;100000,"Mid (60-100k)",TRUE,"High (100k+)")</f>
        <v/>
      </c>
      <c r="W575" s="5">
        <f>IF(M575="No","Attrited","Active")</f>
        <v/>
      </c>
    </row>
    <row r="576">
      <c r="A576" s="5" t="inlineStr">
        <is>
          <t>E00575</t>
        </is>
      </c>
      <c r="B576" s="5" t="inlineStr">
        <is>
          <t>Male</t>
        </is>
      </c>
      <c r="C576" s="6" t="inlineStr">
        <is>
          <t>28</t>
        </is>
      </c>
      <c r="D576" s="5" t="inlineStr">
        <is>
          <t>Divorced</t>
        </is>
      </c>
      <c r="E576" s="5" t="inlineStr">
        <is>
          <t>Bachelor</t>
        </is>
      </c>
      <c r="F576" s="5" t="inlineStr">
        <is>
          <t>Customer Support</t>
        </is>
      </c>
      <c r="G576" s="5" t="inlineStr">
        <is>
          <t>Support Lead</t>
        </is>
      </c>
      <c r="H576" s="5" t="inlineStr">
        <is>
          <t>2</t>
        </is>
      </c>
      <c r="I576" s="5" t="inlineStr">
        <is>
          <t>Mumbai</t>
        </is>
      </c>
      <c r="J576" s="5" t="inlineStr">
        <is>
          <t>Full-Time</t>
        </is>
      </c>
      <c r="K576" s="7" t="n">
        <v>44824</v>
      </c>
      <c r="L576" s="7" t="inlineStr"/>
      <c r="M576" s="5" t="inlineStr">
        <is>
          <t>Yes</t>
        </is>
      </c>
      <c r="N576" s="5" t="inlineStr"/>
      <c r="O576" s="8" t="inlineStr">
        <is>
          <t>64500</t>
        </is>
      </c>
      <c r="P576" s="5" t="inlineStr">
        <is>
          <t>0</t>
        </is>
      </c>
      <c r="Q576" s="5" t="inlineStr">
        <is>
          <t>4</t>
        </is>
      </c>
      <c r="R576" s="5" t="inlineStr">
        <is>
          <t>5</t>
        </is>
      </c>
      <c r="S576" s="5" t="inlineStr">
        <is>
          <t>39</t>
        </is>
      </c>
      <c r="T576" s="5" t="inlineStr">
        <is>
          <t>8</t>
        </is>
      </c>
      <c r="U576" s="5">
        <f>IFS(C576&lt;30,"Under 30",C576&lt;40,"30-39",C576&lt;50,"40-49",TRUE,"50+")</f>
        <v/>
      </c>
      <c r="V576" s="5">
        <f>IFS(O576&lt;60000,"Low (&lt;60k)",O576&lt;100000,"Mid (60-100k)",TRUE,"High (100k+)")</f>
        <v/>
      </c>
      <c r="W576" s="5">
        <f>IF(M576="No","Attrited","Active")</f>
        <v/>
      </c>
    </row>
    <row r="577">
      <c r="A577" s="5" t="inlineStr">
        <is>
          <t>E00576</t>
        </is>
      </c>
      <c r="B577" s="5" t="inlineStr">
        <is>
          <t>Male</t>
        </is>
      </c>
      <c r="C577" s="6" t="inlineStr">
        <is>
          <t>36</t>
        </is>
      </c>
      <c r="D577" s="5" t="inlineStr">
        <is>
          <t>Married</t>
        </is>
      </c>
      <c r="E577" s="5" t="inlineStr">
        <is>
          <t>PhD</t>
        </is>
      </c>
      <c r="F577" s="5" t="inlineStr">
        <is>
          <t>Customer Support</t>
        </is>
      </c>
      <c r="G577" s="5" t="inlineStr">
        <is>
          <t>Support Lead</t>
        </is>
      </c>
      <c r="H577" s="5" t="inlineStr">
        <is>
          <t>4</t>
        </is>
      </c>
      <c r="I577" s="5" t="inlineStr">
        <is>
          <t>Hyderabad</t>
        </is>
      </c>
      <c r="J577" s="5" t="inlineStr">
        <is>
          <t>Full-Time</t>
        </is>
      </c>
      <c r="K577" s="7" t="n">
        <v>44011</v>
      </c>
      <c r="L577" s="7" t="inlineStr"/>
      <c r="M577" s="5" t="inlineStr">
        <is>
          <t>Yes</t>
        </is>
      </c>
      <c r="N577" s="5" t="inlineStr"/>
      <c r="O577" s="8" t="inlineStr">
        <is>
          <t>68500</t>
        </is>
      </c>
      <c r="P577" s="5" t="inlineStr">
        <is>
          <t>5</t>
        </is>
      </c>
      <c r="Q577" s="5" t="inlineStr">
        <is>
          <t>4</t>
        </is>
      </c>
      <c r="R577" s="5" t="inlineStr">
        <is>
          <t>7</t>
        </is>
      </c>
      <c r="S577" s="5" t="inlineStr">
        <is>
          <t>67</t>
        </is>
      </c>
      <c r="T577" s="5" t="inlineStr">
        <is>
          <t>12</t>
        </is>
      </c>
      <c r="U577" s="5">
        <f>IFS(C577&lt;30,"Under 30",C577&lt;40,"30-39",C577&lt;50,"40-49",TRUE,"50+")</f>
        <v/>
      </c>
      <c r="V577" s="5">
        <f>IFS(O577&lt;60000,"Low (&lt;60k)",O577&lt;100000,"Mid (60-100k)",TRUE,"High (100k+)")</f>
        <v/>
      </c>
      <c r="W577" s="5">
        <f>IF(M577="No","Attrited","Active")</f>
        <v/>
      </c>
    </row>
    <row r="578">
      <c r="A578" s="5" t="inlineStr">
        <is>
          <t>E00577</t>
        </is>
      </c>
      <c r="B578" s="5" t="inlineStr">
        <is>
          <t>Male</t>
        </is>
      </c>
      <c r="C578" s="6" t="inlineStr">
        <is>
          <t>30</t>
        </is>
      </c>
      <c r="D578" s="5" t="inlineStr">
        <is>
          <t>Married</t>
        </is>
      </c>
      <c r="E578" s="5" t="inlineStr">
        <is>
          <t>Diploma</t>
        </is>
      </c>
      <c r="F578" s="5" t="inlineStr">
        <is>
          <t>Marketing</t>
        </is>
      </c>
      <c r="G578" s="5" t="inlineStr">
        <is>
          <t>Marketing Analyst</t>
        </is>
      </c>
      <c r="H578" s="5" t="inlineStr">
        <is>
          <t>3</t>
        </is>
      </c>
      <c r="I578" s="5" t="inlineStr">
        <is>
          <t>Remote</t>
        </is>
      </c>
      <c r="J578" s="5" t="inlineStr">
        <is>
          <t>Full-Time</t>
        </is>
      </c>
      <c r="K578" s="7" t="n">
        <v>44627</v>
      </c>
      <c r="L578" s="7" t="inlineStr"/>
      <c r="M578" s="5" t="inlineStr">
        <is>
          <t>Yes</t>
        </is>
      </c>
      <c r="N578" s="5" t="inlineStr"/>
      <c r="O578" s="8" t="inlineStr">
        <is>
          <t>93500</t>
        </is>
      </c>
      <c r="P578" s="5" t="inlineStr">
        <is>
          <t>5</t>
        </is>
      </c>
      <c r="Q578" s="5" t="inlineStr">
        <is>
          <t>4</t>
        </is>
      </c>
      <c r="R578" s="5" t="inlineStr">
        <is>
          <t>6</t>
        </is>
      </c>
      <c r="S578" s="5" t="inlineStr">
        <is>
          <t>46</t>
        </is>
      </c>
      <c r="T578" s="5" t="inlineStr">
        <is>
          <t>9</t>
        </is>
      </c>
      <c r="U578" s="5">
        <f>IFS(C578&lt;30,"Under 30",C578&lt;40,"30-39",C578&lt;50,"40-49",TRUE,"50+")</f>
        <v/>
      </c>
      <c r="V578" s="5">
        <f>IFS(O578&lt;60000,"Low (&lt;60k)",O578&lt;100000,"Mid (60-100k)",TRUE,"High (100k+)")</f>
        <v/>
      </c>
      <c r="W578" s="5">
        <f>IF(M578="No","Attrited","Active")</f>
        <v/>
      </c>
    </row>
    <row r="579">
      <c r="A579" s="5" t="inlineStr">
        <is>
          <t>E00578</t>
        </is>
      </c>
      <c r="B579" s="5" t="inlineStr">
        <is>
          <t>Female</t>
        </is>
      </c>
      <c r="C579" s="6" t="inlineStr">
        <is>
          <t>26</t>
        </is>
      </c>
      <c r="D579" s="5" t="inlineStr">
        <is>
          <t>Married</t>
        </is>
      </c>
      <c r="E579" s="5" t="inlineStr">
        <is>
          <t>PhD</t>
        </is>
      </c>
      <c r="F579" s="5" t="inlineStr">
        <is>
          <t>Operations</t>
        </is>
      </c>
      <c r="G579" s="5" t="inlineStr">
        <is>
          <t>Logistics Coordinator</t>
        </is>
      </c>
      <c r="H579" s="5" t="inlineStr">
        <is>
          <t>2</t>
        </is>
      </c>
      <c r="I579" s="5" t="inlineStr">
        <is>
          <t>Bengaluru</t>
        </is>
      </c>
      <c r="J579" s="5" t="inlineStr">
        <is>
          <t>Full-Time</t>
        </is>
      </c>
      <c r="K579" s="7" t="n">
        <v>45754</v>
      </c>
      <c r="L579" s="7" t="inlineStr"/>
      <c r="M579" s="5" t="inlineStr">
        <is>
          <t>Yes</t>
        </is>
      </c>
      <c r="N579" s="5" t="inlineStr"/>
      <c r="O579" s="8" t="inlineStr">
        <is>
          <t>99000</t>
        </is>
      </c>
      <c r="P579" s="5" t="inlineStr">
        <is>
          <t>10</t>
        </is>
      </c>
      <c r="Q579" s="5" t="inlineStr">
        <is>
          <t>4</t>
        </is>
      </c>
      <c r="R579" s="5" t="inlineStr">
        <is>
          <t>6</t>
        </is>
      </c>
      <c r="S579" s="5" t="inlineStr">
        <is>
          <t>8</t>
        </is>
      </c>
      <c r="T579" s="5" t="inlineStr">
        <is>
          <t>11</t>
        </is>
      </c>
      <c r="U579" s="5">
        <f>IFS(C579&lt;30,"Under 30",C579&lt;40,"30-39",C579&lt;50,"40-49",TRUE,"50+")</f>
        <v/>
      </c>
      <c r="V579" s="5">
        <f>IFS(O579&lt;60000,"Low (&lt;60k)",O579&lt;100000,"Mid (60-100k)",TRUE,"High (100k+)")</f>
        <v/>
      </c>
      <c r="W579" s="5">
        <f>IF(M579="No","Attrited","Active")</f>
        <v/>
      </c>
    </row>
    <row r="580">
      <c r="A580" s="5" t="inlineStr">
        <is>
          <t>E00579</t>
        </is>
      </c>
      <c r="B580" s="5" t="inlineStr">
        <is>
          <t>Male</t>
        </is>
      </c>
      <c r="C580" s="6" t="inlineStr">
        <is>
          <t>31</t>
        </is>
      </c>
      <c r="D580" s="5" t="inlineStr">
        <is>
          <t>Married</t>
        </is>
      </c>
      <c r="E580" s="5" t="inlineStr">
        <is>
          <t>Diploma</t>
        </is>
      </c>
      <c r="F580" s="5" t="inlineStr">
        <is>
          <t>Human Resources</t>
        </is>
      </c>
      <c r="G580" s="5" t="inlineStr">
        <is>
          <t>HR Generalist</t>
        </is>
      </c>
      <c r="H580" s="5" t="inlineStr">
        <is>
          <t>1</t>
        </is>
      </c>
      <c r="I580" s="5" t="inlineStr">
        <is>
          <t>Mumbai</t>
        </is>
      </c>
      <c r="J580" s="5" t="inlineStr">
        <is>
          <t>Full-Time</t>
        </is>
      </c>
      <c r="K580" s="7" t="n">
        <v>43860</v>
      </c>
      <c r="L580" s="7" t="inlineStr"/>
      <c r="M580" s="5" t="inlineStr">
        <is>
          <t>Yes</t>
        </is>
      </c>
      <c r="N580" s="5" t="inlineStr"/>
      <c r="O580" s="8" t="inlineStr">
        <is>
          <t>83000</t>
        </is>
      </c>
      <c r="P580" s="5" t="inlineStr">
        <is>
          <t>10</t>
        </is>
      </c>
      <c r="Q580" s="5" t="inlineStr">
        <is>
          <t>2</t>
        </is>
      </c>
      <c r="R580" s="5" t="inlineStr">
        <is>
          <t>5</t>
        </is>
      </c>
      <c r="S580" s="5" t="inlineStr">
        <is>
          <t>72</t>
        </is>
      </c>
      <c r="T580" s="5" t="inlineStr">
        <is>
          <t>5</t>
        </is>
      </c>
      <c r="U580" s="5">
        <f>IFS(C580&lt;30,"Under 30",C580&lt;40,"30-39",C580&lt;50,"40-49",TRUE,"50+")</f>
        <v/>
      </c>
      <c r="V580" s="5">
        <f>IFS(O580&lt;60000,"Low (&lt;60k)",O580&lt;100000,"Mid (60-100k)",TRUE,"High (100k+)")</f>
        <v/>
      </c>
      <c r="W580" s="5">
        <f>IF(M580="No","Attrited","Active")</f>
        <v/>
      </c>
    </row>
    <row r="581">
      <c r="A581" s="5" t="inlineStr">
        <is>
          <t>E00580</t>
        </is>
      </c>
      <c r="B581" s="5" t="inlineStr">
        <is>
          <t>Male</t>
        </is>
      </c>
      <c r="C581" s="6" t="inlineStr">
        <is>
          <t>39</t>
        </is>
      </c>
      <c r="D581" s="5" t="inlineStr">
        <is>
          <t>Single</t>
        </is>
      </c>
      <c r="E581" s="5" t="inlineStr">
        <is>
          <t>PhD</t>
        </is>
      </c>
      <c r="F581" s="5" t="inlineStr">
        <is>
          <t>IT</t>
        </is>
      </c>
      <c r="G581" s="5" t="inlineStr">
        <is>
          <t>Software Engineer</t>
        </is>
      </c>
      <c r="H581" s="5" t="inlineStr">
        <is>
          <t>5</t>
        </is>
      </c>
      <c r="I581" s="5" t="inlineStr">
        <is>
          <t>Hyderabad</t>
        </is>
      </c>
      <c r="J581" s="5" t="inlineStr">
        <is>
          <t>Full-Time</t>
        </is>
      </c>
      <c r="K581" s="7" t="n">
        <v>45783</v>
      </c>
      <c r="L581" s="7" t="n">
        <v>45886</v>
      </c>
      <c r="M581" s="5" t="inlineStr">
        <is>
          <t>No</t>
        </is>
      </c>
      <c r="N581" s="5" t="inlineStr">
        <is>
          <t>Performance / Termination</t>
        </is>
      </c>
      <c r="O581" s="8" t="inlineStr">
        <is>
          <t>156500</t>
        </is>
      </c>
      <c r="P581" s="5" t="inlineStr">
        <is>
          <t>0</t>
        </is>
      </c>
      <c r="Q581" s="5" t="inlineStr">
        <is>
          <t>2</t>
        </is>
      </c>
      <c r="R581" s="5" t="inlineStr">
        <is>
          <t>9</t>
        </is>
      </c>
      <c r="S581" s="5" t="inlineStr">
        <is>
          <t>3</t>
        </is>
      </c>
      <c r="T581" s="5" t="inlineStr">
        <is>
          <t>25</t>
        </is>
      </c>
      <c r="U581" s="5">
        <f>IFS(C581&lt;30,"Under 30",C581&lt;40,"30-39",C581&lt;50,"40-49",TRUE,"50+")</f>
        <v/>
      </c>
      <c r="V581" s="5">
        <f>IFS(O581&lt;60000,"Low (&lt;60k)",O581&lt;100000,"Mid (60-100k)",TRUE,"High (100k+)")</f>
        <v/>
      </c>
      <c r="W581" s="5">
        <f>IF(M581="No","Attrited","Active")</f>
        <v/>
      </c>
    </row>
    <row r="582">
      <c r="A582" s="5" t="inlineStr">
        <is>
          <t>E00581</t>
        </is>
      </c>
      <c r="B582" s="5" t="inlineStr">
        <is>
          <t>Male</t>
        </is>
      </c>
      <c r="C582" s="6" t="inlineStr">
        <is>
          <t>25</t>
        </is>
      </c>
      <c r="D582" s="5" t="inlineStr">
        <is>
          <t>Single</t>
        </is>
      </c>
      <c r="E582" s="5" t="inlineStr">
        <is>
          <t>High School</t>
        </is>
      </c>
      <c r="F582" s="5" t="inlineStr">
        <is>
          <t>Research &amp; Development</t>
        </is>
      </c>
      <c r="G582" s="5" t="inlineStr">
        <is>
          <t>Product Engineer</t>
        </is>
      </c>
      <c r="H582" s="5" t="inlineStr">
        <is>
          <t>1</t>
        </is>
      </c>
      <c r="I582" s="5" t="inlineStr">
        <is>
          <t>Mumbai</t>
        </is>
      </c>
      <c r="J582" s="5" t="inlineStr">
        <is>
          <t>Full-Time</t>
        </is>
      </c>
      <c r="K582" s="7" t="n">
        <v>43991</v>
      </c>
      <c r="L582" s="7" t="inlineStr"/>
      <c r="M582" s="5" t="inlineStr">
        <is>
          <t>Yes</t>
        </is>
      </c>
      <c r="N582" s="5" t="inlineStr"/>
      <c r="O582" s="8" t="inlineStr">
        <is>
          <t>114500</t>
        </is>
      </c>
      <c r="P582" s="5" t="inlineStr">
        <is>
          <t>20</t>
        </is>
      </c>
      <c r="Q582" s="5" t="inlineStr">
        <is>
          <t>3</t>
        </is>
      </c>
      <c r="R582" s="5" t="inlineStr">
        <is>
          <t>4</t>
        </is>
      </c>
      <c r="S582" s="5" t="inlineStr">
        <is>
          <t>67</t>
        </is>
      </c>
      <c r="T582" s="5" t="inlineStr">
        <is>
          <t>0</t>
        </is>
      </c>
      <c r="U582" s="5">
        <f>IFS(C582&lt;30,"Under 30",C582&lt;40,"30-39",C582&lt;50,"40-49",TRUE,"50+")</f>
        <v/>
      </c>
      <c r="V582" s="5">
        <f>IFS(O582&lt;60000,"Low (&lt;60k)",O582&lt;100000,"Mid (60-100k)",TRUE,"High (100k+)")</f>
        <v/>
      </c>
      <c r="W582" s="5">
        <f>IF(M582="No","Attrited","Active")</f>
        <v/>
      </c>
    </row>
    <row r="583">
      <c r="A583" s="5" t="inlineStr">
        <is>
          <t>E00582</t>
        </is>
      </c>
      <c r="B583" s="5" t="inlineStr">
        <is>
          <t>Male</t>
        </is>
      </c>
      <c r="C583" s="6" t="inlineStr">
        <is>
          <t>38</t>
        </is>
      </c>
      <c r="D583" s="5" t="inlineStr">
        <is>
          <t>Divorced</t>
        </is>
      </c>
      <c r="E583" s="5" t="inlineStr">
        <is>
          <t>Master</t>
        </is>
      </c>
      <c r="F583" s="5" t="inlineStr">
        <is>
          <t>Research &amp; Development</t>
        </is>
      </c>
      <c r="G583" s="5" t="inlineStr">
        <is>
          <t>Research Scientist</t>
        </is>
      </c>
      <c r="H583" s="5" t="inlineStr">
        <is>
          <t>5</t>
        </is>
      </c>
      <c r="I583" s="5" t="inlineStr">
        <is>
          <t>Delhi</t>
        </is>
      </c>
      <c r="J583" s="5" t="inlineStr">
        <is>
          <t>Full-Time</t>
        </is>
      </c>
      <c r="K583" s="7" t="n">
        <v>45425</v>
      </c>
      <c r="L583" s="7" t="inlineStr"/>
      <c r="M583" s="5" t="inlineStr">
        <is>
          <t>Yes</t>
        </is>
      </c>
      <c r="N583" s="5" t="inlineStr"/>
      <c r="O583" s="8" t="inlineStr">
        <is>
          <t>238500</t>
        </is>
      </c>
      <c r="P583" s="5" t="inlineStr">
        <is>
          <t>0</t>
        </is>
      </c>
      <c r="Q583" s="5" t="inlineStr">
        <is>
          <t>5</t>
        </is>
      </c>
      <c r="R583" s="5" t="inlineStr">
        <is>
          <t>6</t>
        </is>
      </c>
      <c r="S583" s="5" t="inlineStr">
        <is>
          <t>19</t>
        </is>
      </c>
      <c r="T583" s="5" t="inlineStr">
        <is>
          <t>9</t>
        </is>
      </c>
      <c r="U583" s="5">
        <f>IFS(C583&lt;30,"Under 30",C583&lt;40,"30-39",C583&lt;50,"40-49",TRUE,"50+")</f>
        <v/>
      </c>
      <c r="V583" s="5">
        <f>IFS(O583&lt;60000,"Low (&lt;60k)",O583&lt;100000,"Mid (60-100k)",TRUE,"High (100k+)")</f>
        <v/>
      </c>
      <c r="W583" s="5">
        <f>IF(M583="No","Attrited","Active")</f>
        <v/>
      </c>
    </row>
    <row r="584">
      <c r="A584" s="5" t="inlineStr">
        <is>
          <t>E00583</t>
        </is>
      </c>
      <c r="B584" s="5" t="inlineStr">
        <is>
          <t>Male</t>
        </is>
      </c>
      <c r="C584" s="6" t="inlineStr">
        <is>
          <t>34</t>
        </is>
      </c>
      <c r="D584" s="5" t="inlineStr">
        <is>
          <t>Divorced</t>
        </is>
      </c>
      <c r="E584" s="5" t="inlineStr">
        <is>
          <t>Bachelor</t>
        </is>
      </c>
      <c r="F584" s="5" t="inlineStr">
        <is>
          <t>Operations</t>
        </is>
      </c>
      <c r="G584" s="5" t="inlineStr">
        <is>
          <t>Operations Analyst</t>
        </is>
      </c>
      <c r="H584" s="5" t="inlineStr">
        <is>
          <t>4</t>
        </is>
      </c>
      <c r="I584" s="5" t="inlineStr">
        <is>
          <t>Mumbai</t>
        </is>
      </c>
      <c r="J584" s="5" t="inlineStr">
        <is>
          <t>Full-Time</t>
        </is>
      </c>
      <c r="K584" s="7" t="n">
        <v>45440</v>
      </c>
      <c r="L584" s="7" t="inlineStr"/>
      <c r="M584" s="5" t="inlineStr">
        <is>
          <t>Yes</t>
        </is>
      </c>
      <c r="N584" s="5" t="inlineStr"/>
      <c r="O584" s="8" t="inlineStr">
        <is>
          <t>129000</t>
        </is>
      </c>
      <c r="P584" s="5" t="inlineStr">
        <is>
          <t>10</t>
        </is>
      </c>
      <c r="Q584" s="5" t="inlineStr">
        <is>
          <t>3</t>
        </is>
      </c>
      <c r="R584" s="5" t="inlineStr">
        <is>
          <t>5</t>
        </is>
      </c>
      <c r="S584" s="5" t="inlineStr">
        <is>
          <t>19</t>
        </is>
      </c>
      <c r="T584" s="5" t="inlineStr">
        <is>
          <t>14</t>
        </is>
      </c>
      <c r="U584" s="5">
        <f>IFS(C584&lt;30,"Under 30",C584&lt;40,"30-39",C584&lt;50,"40-49",TRUE,"50+")</f>
        <v/>
      </c>
      <c r="V584" s="5">
        <f>IFS(O584&lt;60000,"Low (&lt;60k)",O584&lt;100000,"Mid (60-100k)",TRUE,"High (100k+)")</f>
        <v/>
      </c>
      <c r="W584" s="5">
        <f>IF(M584="No","Attrited","Active")</f>
        <v/>
      </c>
    </row>
    <row r="585">
      <c r="A585" s="5" t="inlineStr">
        <is>
          <t>E00584</t>
        </is>
      </c>
      <c r="B585" s="5" t="inlineStr">
        <is>
          <t>Male</t>
        </is>
      </c>
      <c r="C585" s="6" t="inlineStr">
        <is>
          <t>39</t>
        </is>
      </c>
      <c r="D585" s="5" t="inlineStr">
        <is>
          <t>Single</t>
        </is>
      </c>
      <c r="E585" s="5" t="inlineStr">
        <is>
          <t>Diploma</t>
        </is>
      </c>
      <c r="F585" s="5" t="inlineStr">
        <is>
          <t>Customer Support</t>
        </is>
      </c>
      <c r="G585" s="5" t="inlineStr">
        <is>
          <t>Escalation Specialist</t>
        </is>
      </c>
      <c r="H585" s="5" t="inlineStr">
        <is>
          <t>4</t>
        </is>
      </c>
      <c r="I585" s="5" t="inlineStr">
        <is>
          <t>Hyderabad</t>
        </is>
      </c>
      <c r="J585" s="5" t="inlineStr">
        <is>
          <t>Full-Time</t>
        </is>
      </c>
      <c r="K585" s="7" t="n">
        <v>44657</v>
      </c>
      <c r="L585" s="7" t="n">
        <v>44767</v>
      </c>
      <c r="M585" s="5" t="inlineStr">
        <is>
          <t>No</t>
        </is>
      </c>
      <c r="N585" s="5" t="inlineStr">
        <is>
          <t>Resigned</t>
        </is>
      </c>
      <c r="O585" s="8" t="inlineStr">
        <is>
          <t>59500</t>
        </is>
      </c>
      <c r="P585" s="5" t="inlineStr">
        <is>
          <t>15</t>
        </is>
      </c>
      <c r="Q585" s="5" t="inlineStr">
        <is>
          <t>4</t>
        </is>
      </c>
      <c r="R585" s="5" t="inlineStr">
        <is>
          <t>6</t>
        </is>
      </c>
      <c r="S585" s="5" t="inlineStr">
        <is>
          <t>3</t>
        </is>
      </c>
      <c r="T585" s="5" t="inlineStr">
        <is>
          <t>12</t>
        </is>
      </c>
      <c r="U585" s="5">
        <f>IFS(C585&lt;30,"Under 30",C585&lt;40,"30-39",C585&lt;50,"40-49",TRUE,"50+")</f>
        <v/>
      </c>
      <c r="V585" s="5">
        <f>IFS(O585&lt;60000,"Low (&lt;60k)",O585&lt;100000,"Mid (60-100k)",TRUE,"High (100k+)")</f>
        <v/>
      </c>
      <c r="W585" s="5">
        <f>IF(M585="No","Attrited","Active")</f>
        <v/>
      </c>
    </row>
    <row r="586">
      <c r="A586" s="5" t="inlineStr">
        <is>
          <t>E00585</t>
        </is>
      </c>
      <c r="B586" s="5" t="inlineStr">
        <is>
          <t>Male</t>
        </is>
      </c>
      <c r="C586" s="6" t="inlineStr">
        <is>
          <t>40</t>
        </is>
      </c>
      <c r="D586" s="5" t="inlineStr">
        <is>
          <t>Single</t>
        </is>
      </c>
      <c r="E586" s="5" t="inlineStr">
        <is>
          <t>Diploma</t>
        </is>
      </c>
      <c r="F586" s="5" t="inlineStr">
        <is>
          <t>Operations</t>
        </is>
      </c>
      <c r="G586" s="5" t="inlineStr">
        <is>
          <t>Quality Analyst</t>
        </is>
      </c>
      <c r="H586" s="5" t="inlineStr">
        <is>
          <t>4</t>
        </is>
      </c>
      <c r="I586" s="5" t="inlineStr">
        <is>
          <t>Chennai</t>
        </is>
      </c>
      <c r="J586" s="5" t="inlineStr">
        <is>
          <t>Part-Time</t>
        </is>
      </c>
      <c r="K586" s="7" t="n">
        <v>45245</v>
      </c>
      <c r="L586" s="7" t="inlineStr"/>
      <c r="M586" s="5" t="inlineStr">
        <is>
          <t>Yes</t>
        </is>
      </c>
      <c r="N586" s="5" t="inlineStr"/>
      <c r="O586" s="8" t="inlineStr">
        <is>
          <t>119000</t>
        </is>
      </c>
      <c r="P586" s="5" t="inlineStr">
        <is>
          <t>15</t>
        </is>
      </c>
      <c r="Q586" s="5" t="inlineStr">
        <is>
          <t>3</t>
        </is>
      </c>
      <c r="R586" s="5" t="inlineStr">
        <is>
          <t>5</t>
        </is>
      </c>
      <c r="S586" s="5" t="inlineStr">
        <is>
          <t>25</t>
        </is>
      </c>
      <c r="T586" s="5" t="inlineStr">
        <is>
          <t>10</t>
        </is>
      </c>
      <c r="U586" s="5">
        <f>IFS(C586&lt;30,"Under 30",C586&lt;40,"30-39",C586&lt;50,"40-49",TRUE,"50+")</f>
        <v/>
      </c>
      <c r="V586" s="5">
        <f>IFS(O586&lt;60000,"Low (&lt;60k)",O586&lt;100000,"Mid (60-100k)",TRUE,"High (100k+)")</f>
        <v/>
      </c>
      <c r="W586" s="5">
        <f>IF(M586="No","Attrited","Active")</f>
        <v/>
      </c>
    </row>
    <row r="587">
      <c r="A587" s="5" t="inlineStr">
        <is>
          <t>E00586</t>
        </is>
      </c>
      <c r="B587" s="5" t="inlineStr">
        <is>
          <t>Male</t>
        </is>
      </c>
      <c r="C587" s="6" t="inlineStr">
        <is>
          <t>32</t>
        </is>
      </c>
      <c r="D587" s="5" t="inlineStr">
        <is>
          <t>Married</t>
        </is>
      </c>
      <c r="E587" s="5" t="inlineStr">
        <is>
          <t>High School</t>
        </is>
      </c>
      <c r="F587" s="5" t="inlineStr">
        <is>
          <t>IT</t>
        </is>
      </c>
      <c r="G587" s="5" t="inlineStr">
        <is>
          <t>Software Engineer</t>
        </is>
      </c>
      <c r="H587" s="5" t="inlineStr">
        <is>
          <t>2</t>
        </is>
      </c>
      <c r="I587" s="5" t="inlineStr">
        <is>
          <t>Delhi</t>
        </is>
      </c>
      <c r="J587" s="5" t="inlineStr">
        <is>
          <t>Full-Time</t>
        </is>
      </c>
      <c r="K587" s="7" t="n">
        <v>44446</v>
      </c>
      <c r="L587" s="7" t="inlineStr"/>
      <c r="M587" s="5" t="inlineStr">
        <is>
          <t>Yes</t>
        </is>
      </c>
      <c r="N587" s="5" t="inlineStr"/>
      <c r="O587" s="8" t="inlineStr">
        <is>
          <t>126000</t>
        </is>
      </c>
      <c r="P587" s="5" t="inlineStr">
        <is>
          <t>0</t>
        </is>
      </c>
      <c r="Q587" s="5" t="inlineStr">
        <is>
          <t>4</t>
        </is>
      </c>
      <c r="R587" s="5" t="inlineStr">
        <is>
          <t>4</t>
        </is>
      </c>
      <c r="S587" s="5" t="inlineStr">
        <is>
          <t>52</t>
        </is>
      </c>
      <c r="T587" s="5" t="inlineStr">
        <is>
          <t>15</t>
        </is>
      </c>
      <c r="U587" s="5">
        <f>IFS(C587&lt;30,"Under 30",C587&lt;40,"30-39",C587&lt;50,"40-49",TRUE,"50+")</f>
        <v/>
      </c>
      <c r="V587" s="5">
        <f>IFS(O587&lt;60000,"Low (&lt;60k)",O587&lt;100000,"Mid (60-100k)",TRUE,"High (100k+)")</f>
        <v/>
      </c>
      <c r="W587" s="5">
        <f>IF(M587="No","Attrited","Active")</f>
        <v/>
      </c>
    </row>
    <row r="588">
      <c r="A588" s="5" t="inlineStr">
        <is>
          <t>E00587</t>
        </is>
      </c>
      <c r="B588" s="5" t="inlineStr">
        <is>
          <t>Female</t>
        </is>
      </c>
      <c r="C588" s="6" t="inlineStr">
        <is>
          <t>44</t>
        </is>
      </c>
      <c r="D588" s="5" t="inlineStr">
        <is>
          <t>Single</t>
        </is>
      </c>
      <c r="E588" s="5" t="inlineStr">
        <is>
          <t>High School</t>
        </is>
      </c>
      <c r="F588" s="5" t="inlineStr">
        <is>
          <t>Research &amp; Development</t>
        </is>
      </c>
      <c r="G588" s="5" t="inlineStr">
        <is>
          <t>Product Engineer</t>
        </is>
      </c>
      <c r="H588" s="5" t="inlineStr">
        <is>
          <t>6</t>
        </is>
      </c>
      <c r="I588" s="5" t="inlineStr">
        <is>
          <t>Remote</t>
        </is>
      </c>
      <c r="J588" s="5" t="inlineStr">
        <is>
          <t>Full-Time</t>
        </is>
      </c>
      <c r="K588" s="7" t="n">
        <v>45312</v>
      </c>
      <c r="L588" s="7" t="inlineStr"/>
      <c r="M588" s="5" t="inlineStr">
        <is>
          <t>Yes</t>
        </is>
      </c>
      <c r="N588" s="5" t="inlineStr"/>
      <c r="O588" s="8" t="inlineStr">
        <is>
          <t>269000</t>
        </is>
      </c>
      <c r="P588" s="5" t="inlineStr">
        <is>
          <t>5</t>
        </is>
      </c>
      <c r="Q588" s="5" t="inlineStr">
        <is>
          <t>3</t>
        </is>
      </c>
      <c r="R588" s="5" t="inlineStr">
        <is>
          <t>9</t>
        </is>
      </c>
      <c r="S588" s="5" t="inlineStr">
        <is>
          <t>23</t>
        </is>
      </c>
      <c r="T588" s="5" t="inlineStr">
        <is>
          <t>6</t>
        </is>
      </c>
      <c r="U588" s="5">
        <f>IFS(C588&lt;30,"Under 30",C588&lt;40,"30-39",C588&lt;50,"40-49",TRUE,"50+")</f>
        <v/>
      </c>
      <c r="V588" s="5">
        <f>IFS(O588&lt;60000,"Low (&lt;60k)",O588&lt;100000,"Mid (60-100k)",TRUE,"High (100k+)")</f>
        <v/>
      </c>
      <c r="W588" s="5">
        <f>IF(M588="No","Attrited","Active")</f>
        <v/>
      </c>
    </row>
    <row r="589">
      <c r="A589" s="5" t="inlineStr">
        <is>
          <t>E00588</t>
        </is>
      </c>
      <c r="B589" s="5" t="inlineStr">
        <is>
          <t>Female</t>
        </is>
      </c>
      <c r="C589" s="6" t="inlineStr">
        <is>
          <t>29</t>
        </is>
      </c>
      <c r="D589" s="5" t="inlineStr">
        <is>
          <t>Single</t>
        </is>
      </c>
      <c r="E589" s="5" t="inlineStr">
        <is>
          <t>Diploma</t>
        </is>
      </c>
      <c r="F589" s="5" t="inlineStr">
        <is>
          <t>Customer Support</t>
        </is>
      </c>
      <c r="G589" s="5" t="inlineStr">
        <is>
          <t>Escalation Specialist</t>
        </is>
      </c>
      <c r="H589" s="5" t="inlineStr">
        <is>
          <t>1</t>
        </is>
      </c>
      <c r="I589" s="5" t="inlineStr">
        <is>
          <t>Delhi</t>
        </is>
      </c>
      <c r="J589" s="5" t="inlineStr">
        <is>
          <t>Full-Time</t>
        </is>
      </c>
      <c r="K589" s="7" t="n">
        <v>45417</v>
      </c>
      <c r="L589" s="7" t="inlineStr"/>
      <c r="M589" s="5" t="inlineStr">
        <is>
          <t>Yes</t>
        </is>
      </c>
      <c r="N589" s="5" t="inlineStr"/>
      <c r="O589" s="8" t="inlineStr">
        <is>
          <t>65000</t>
        </is>
      </c>
      <c r="P589" s="5" t="inlineStr">
        <is>
          <t>0</t>
        </is>
      </c>
      <c r="Q589" s="5" t="inlineStr">
        <is>
          <t>4</t>
        </is>
      </c>
      <c r="R589" s="5" t="inlineStr">
        <is>
          <t>6</t>
        </is>
      </c>
      <c r="S589" s="5" t="inlineStr">
        <is>
          <t>20</t>
        </is>
      </c>
      <c r="T589" s="5" t="inlineStr">
        <is>
          <t>5</t>
        </is>
      </c>
      <c r="U589" s="5">
        <f>IFS(C589&lt;30,"Under 30",C589&lt;40,"30-39",C589&lt;50,"40-49",TRUE,"50+")</f>
        <v/>
      </c>
      <c r="V589" s="5">
        <f>IFS(O589&lt;60000,"Low (&lt;60k)",O589&lt;100000,"Mid (60-100k)",TRUE,"High (100k+)")</f>
        <v/>
      </c>
      <c r="W589" s="5">
        <f>IF(M589="No","Attrited","Active")</f>
        <v/>
      </c>
    </row>
    <row r="590">
      <c r="A590" s="5" t="inlineStr">
        <is>
          <t>E00589</t>
        </is>
      </c>
      <c r="B590" s="5" t="inlineStr">
        <is>
          <t>Female</t>
        </is>
      </c>
      <c r="C590" s="6" t="inlineStr">
        <is>
          <t>27</t>
        </is>
      </c>
      <c r="D590" s="5" t="inlineStr">
        <is>
          <t>Married</t>
        </is>
      </c>
      <c r="E590" s="5" t="inlineStr">
        <is>
          <t>Diploma</t>
        </is>
      </c>
      <c r="F590" s="5" t="inlineStr">
        <is>
          <t>Sales</t>
        </is>
      </c>
      <c r="G590" s="5" t="inlineStr">
        <is>
          <t>Account Executive</t>
        </is>
      </c>
      <c r="H590" s="5" t="inlineStr">
        <is>
          <t>1</t>
        </is>
      </c>
      <c r="I590" s="5" t="inlineStr">
        <is>
          <t>Remote</t>
        </is>
      </c>
      <c r="J590" s="5" t="inlineStr">
        <is>
          <t>Full-Time</t>
        </is>
      </c>
      <c r="K590" s="7" t="n">
        <v>44645</v>
      </c>
      <c r="L590" s="7" t="inlineStr"/>
      <c r="M590" s="5" t="inlineStr">
        <is>
          <t>Yes</t>
        </is>
      </c>
      <c r="N590" s="5" t="inlineStr"/>
      <c r="O590" s="8" t="inlineStr">
        <is>
          <t>77000</t>
        </is>
      </c>
      <c r="P590" s="5" t="inlineStr">
        <is>
          <t>0</t>
        </is>
      </c>
      <c r="Q590" s="5" t="inlineStr">
        <is>
          <t>4</t>
        </is>
      </c>
      <c r="R590" s="5" t="inlineStr">
        <is>
          <t>8</t>
        </is>
      </c>
      <c r="S590" s="5" t="inlineStr">
        <is>
          <t>45</t>
        </is>
      </c>
      <c r="T590" s="5" t="inlineStr">
        <is>
          <t>14</t>
        </is>
      </c>
      <c r="U590" s="5">
        <f>IFS(C590&lt;30,"Under 30",C590&lt;40,"30-39",C590&lt;50,"40-49",TRUE,"50+")</f>
        <v/>
      </c>
      <c r="V590" s="5">
        <f>IFS(O590&lt;60000,"Low (&lt;60k)",O590&lt;100000,"Mid (60-100k)",TRUE,"High (100k+)")</f>
        <v/>
      </c>
      <c r="W590" s="5">
        <f>IF(M590="No","Attrited","Active")</f>
        <v/>
      </c>
    </row>
    <row r="591">
      <c r="A591" s="5" t="inlineStr">
        <is>
          <t>E00590</t>
        </is>
      </c>
      <c r="B591" s="5" t="inlineStr">
        <is>
          <t>Male</t>
        </is>
      </c>
      <c r="C591" s="6" t="inlineStr">
        <is>
          <t>38</t>
        </is>
      </c>
      <c r="D591" s="5" t="inlineStr">
        <is>
          <t>Married</t>
        </is>
      </c>
      <c r="E591" s="5" t="inlineStr">
        <is>
          <t>Bachelor</t>
        </is>
      </c>
      <c r="F591" s="5" t="inlineStr">
        <is>
          <t>Finance</t>
        </is>
      </c>
      <c r="G591" s="5" t="inlineStr">
        <is>
          <t>Financial Analyst</t>
        </is>
      </c>
      <c r="H591" s="5" t="inlineStr">
        <is>
          <t>5</t>
        </is>
      </c>
      <c r="I591" s="5" t="inlineStr">
        <is>
          <t>Bengaluru</t>
        </is>
      </c>
      <c r="J591" s="5" t="inlineStr">
        <is>
          <t>Full-Time</t>
        </is>
      </c>
      <c r="K591" s="7" t="n">
        <v>45388</v>
      </c>
      <c r="L591" s="7" t="inlineStr"/>
      <c r="M591" s="5" t="inlineStr">
        <is>
          <t>Yes</t>
        </is>
      </c>
      <c r="N591" s="5" t="inlineStr"/>
      <c r="O591" s="8" t="inlineStr">
        <is>
          <t>175500</t>
        </is>
      </c>
      <c r="P591" s="5" t="inlineStr">
        <is>
          <t>0</t>
        </is>
      </c>
      <c r="Q591" s="5" t="inlineStr">
        <is>
          <t>4</t>
        </is>
      </c>
      <c r="R591" s="5" t="inlineStr">
        <is>
          <t>5</t>
        </is>
      </c>
      <c r="S591" s="5" t="inlineStr">
        <is>
          <t>21</t>
        </is>
      </c>
      <c r="T591" s="5" t="inlineStr">
        <is>
          <t>9</t>
        </is>
      </c>
      <c r="U591" s="5">
        <f>IFS(C591&lt;30,"Under 30",C591&lt;40,"30-39",C591&lt;50,"40-49",TRUE,"50+")</f>
        <v/>
      </c>
      <c r="V591" s="5">
        <f>IFS(O591&lt;60000,"Low (&lt;60k)",O591&lt;100000,"Mid (60-100k)",TRUE,"High (100k+)")</f>
        <v/>
      </c>
      <c r="W591" s="5">
        <f>IF(M591="No","Attrited","Active")</f>
        <v/>
      </c>
    </row>
    <row r="592">
      <c r="A592" s="5" t="inlineStr">
        <is>
          <t>E00591</t>
        </is>
      </c>
      <c r="B592" s="5" t="inlineStr">
        <is>
          <t>Female</t>
        </is>
      </c>
      <c r="C592" s="6" t="inlineStr">
        <is>
          <t>37</t>
        </is>
      </c>
      <c r="D592" s="5" t="inlineStr">
        <is>
          <t>Married</t>
        </is>
      </c>
      <c r="E592" s="5" t="inlineStr">
        <is>
          <t>Bachelor</t>
        </is>
      </c>
      <c r="F592" s="5" t="inlineStr">
        <is>
          <t>Sales</t>
        </is>
      </c>
      <c r="G592" s="5" t="inlineStr">
        <is>
          <t>Sales Executive</t>
        </is>
      </c>
      <c r="H592" s="5" t="inlineStr">
        <is>
          <t>3</t>
        </is>
      </c>
      <c r="I592" s="5" t="inlineStr">
        <is>
          <t>Bengaluru</t>
        </is>
      </c>
      <c r="J592" s="5" t="inlineStr">
        <is>
          <t>Full-Time</t>
        </is>
      </c>
      <c r="K592" s="7" t="n">
        <v>44448</v>
      </c>
      <c r="L592" s="7" t="inlineStr"/>
      <c r="M592" s="5" t="inlineStr">
        <is>
          <t>Yes</t>
        </is>
      </c>
      <c r="N592" s="5" t="inlineStr"/>
      <c r="O592" s="8" t="inlineStr">
        <is>
          <t>122000</t>
        </is>
      </c>
      <c r="P592" s="5" t="inlineStr">
        <is>
          <t>20</t>
        </is>
      </c>
      <c r="Q592" s="5" t="inlineStr">
        <is>
          <t>4</t>
        </is>
      </c>
      <c r="R592" s="5" t="inlineStr">
        <is>
          <t>8</t>
        </is>
      </c>
      <c r="S592" s="5" t="inlineStr">
        <is>
          <t>52</t>
        </is>
      </c>
      <c r="T592" s="5" t="inlineStr">
        <is>
          <t>5</t>
        </is>
      </c>
      <c r="U592" s="5">
        <f>IFS(C592&lt;30,"Under 30",C592&lt;40,"30-39",C592&lt;50,"40-49",TRUE,"50+")</f>
        <v/>
      </c>
      <c r="V592" s="5">
        <f>IFS(O592&lt;60000,"Low (&lt;60k)",O592&lt;100000,"Mid (60-100k)",TRUE,"High (100k+)")</f>
        <v/>
      </c>
      <c r="W592" s="5">
        <f>IF(M592="No","Attrited","Active")</f>
        <v/>
      </c>
    </row>
    <row r="593">
      <c r="A593" s="5" t="inlineStr">
        <is>
          <t>E00592</t>
        </is>
      </c>
      <c r="B593" s="5" t="inlineStr">
        <is>
          <t>Male</t>
        </is>
      </c>
      <c r="C593" s="6" t="inlineStr">
        <is>
          <t>26</t>
        </is>
      </c>
      <c r="D593" s="5" t="inlineStr">
        <is>
          <t>Married</t>
        </is>
      </c>
      <c r="E593" s="5" t="inlineStr">
        <is>
          <t>High School</t>
        </is>
      </c>
      <c r="F593" s="5" t="inlineStr">
        <is>
          <t>Operations</t>
        </is>
      </c>
      <c r="G593" s="5" t="inlineStr">
        <is>
          <t>Logistics Coordinator</t>
        </is>
      </c>
      <c r="H593" s="5" t="inlineStr">
        <is>
          <t>2</t>
        </is>
      </c>
      <c r="I593" s="5" t="inlineStr">
        <is>
          <t>Mumbai</t>
        </is>
      </c>
      <c r="J593" s="5" t="inlineStr">
        <is>
          <t>Part-Time</t>
        </is>
      </c>
      <c r="K593" s="7" t="n">
        <v>44744</v>
      </c>
      <c r="L593" s="7" t="inlineStr"/>
      <c r="M593" s="5" t="inlineStr">
        <is>
          <t>Yes</t>
        </is>
      </c>
      <c r="N593" s="5" t="inlineStr"/>
      <c r="O593" s="8" t="inlineStr">
        <is>
          <t>77000</t>
        </is>
      </c>
      <c r="P593" s="5" t="inlineStr">
        <is>
          <t>5</t>
        </is>
      </c>
      <c r="Q593" s="5" t="inlineStr">
        <is>
          <t>4</t>
        </is>
      </c>
      <c r="R593" s="5" t="inlineStr">
        <is>
          <t>7</t>
        </is>
      </c>
      <c r="S593" s="5" t="inlineStr">
        <is>
          <t>42</t>
        </is>
      </c>
      <c r="T593" s="5" t="inlineStr">
        <is>
          <t>0</t>
        </is>
      </c>
      <c r="U593" s="5">
        <f>IFS(C593&lt;30,"Under 30",C593&lt;40,"30-39",C593&lt;50,"40-49",TRUE,"50+")</f>
        <v/>
      </c>
      <c r="V593" s="5">
        <f>IFS(O593&lt;60000,"Low (&lt;60k)",O593&lt;100000,"Mid (60-100k)",TRUE,"High (100k+)")</f>
        <v/>
      </c>
      <c r="W593" s="5">
        <f>IF(M593="No","Attrited","Active")</f>
        <v/>
      </c>
    </row>
    <row r="594">
      <c r="A594" s="5" t="inlineStr">
        <is>
          <t>E00593</t>
        </is>
      </c>
      <c r="B594" s="5" t="inlineStr">
        <is>
          <t>Female</t>
        </is>
      </c>
      <c r="C594" s="6" t="inlineStr">
        <is>
          <t>32</t>
        </is>
      </c>
      <c r="D594" s="5" t="inlineStr">
        <is>
          <t>Married</t>
        </is>
      </c>
      <c r="E594" s="5" t="inlineStr">
        <is>
          <t>PhD</t>
        </is>
      </c>
      <c r="F594" s="5" t="inlineStr">
        <is>
          <t>Finance</t>
        </is>
      </c>
      <c r="G594" s="5" t="inlineStr">
        <is>
          <t>Accountant</t>
        </is>
      </c>
      <c r="H594" s="5" t="inlineStr">
        <is>
          <t>1</t>
        </is>
      </c>
      <c r="I594" s="5" t="inlineStr">
        <is>
          <t>Bengaluru</t>
        </is>
      </c>
      <c r="J594" s="5" t="inlineStr">
        <is>
          <t>Full-Time</t>
        </is>
      </c>
      <c r="K594" s="7" t="n">
        <v>45452</v>
      </c>
      <c r="L594" s="7" t="inlineStr"/>
      <c r="M594" s="5" t="inlineStr">
        <is>
          <t>Yes</t>
        </is>
      </c>
      <c r="N594" s="5" t="inlineStr"/>
      <c r="O594" s="8" t="inlineStr">
        <is>
          <t>81500</t>
        </is>
      </c>
      <c r="P594" s="5" t="inlineStr">
        <is>
          <t>15</t>
        </is>
      </c>
      <c r="Q594" s="5" t="inlineStr">
        <is>
          <t>4</t>
        </is>
      </c>
      <c r="R594" s="5" t="inlineStr">
        <is>
          <t>6</t>
        </is>
      </c>
      <c r="S594" s="5" t="inlineStr">
        <is>
          <t>19</t>
        </is>
      </c>
      <c r="T594" s="5" t="inlineStr">
        <is>
          <t>9</t>
        </is>
      </c>
      <c r="U594" s="5">
        <f>IFS(C594&lt;30,"Under 30",C594&lt;40,"30-39",C594&lt;50,"40-49",TRUE,"50+")</f>
        <v/>
      </c>
      <c r="V594" s="5">
        <f>IFS(O594&lt;60000,"Low (&lt;60k)",O594&lt;100000,"Mid (60-100k)",TRUE,"High (100k+)")</f>
        <v/>
      </c>
      <c r="W594" s="5">
        <f>IF(M594="No","Attrited","Active")</f>
        <v/>
      </c>
    </row>
    <row r="595">
      <c r="A595" s="5" t="inlineStr">
        <is>
          <t>E00594</t>
        </is>
      </c>
      <c r="B595" s="5" t="inlineStr">
        <is>
          <t>Male</t>
        </is>
      </c>
      <c r="C595" s="6" t="inlineStr">
        <is>
          <t>35</t>
        </is>
      </c>
      <c r="D595" s="5" t="inlineStr">
        <is>
          <t>Married</t>
        </is>
      </c>
      <c r="E595" s="5" t="inlineStr">
        <is>
          <t>High School</t>
        </is>
      </c>
      <c r="F595" s="5" t="inlineStr">
        <is>
          <t>IT</t>
        </is>
      </c>
      <c r="G595" s="5" t="inlineStr">
        <is>
          <t>Data Analyst</t>
        </is>
      </c>
      <c r="H595" s="5" t="inlineStr">
        <is>
          <t>4</t>
        </is>
      </c>
      <c r="I595" s="5" t="inlineStr">
        <is>
          <t>Chennai</t>
        </is>
      </c>
      <c r="J595" s="5" t="inlineStr">
        <is>
          <t>Full-Time</t>
        </is>
      </c>
      <c r="K595" s="7" t="n">
        <v>44603</v>
      </c>
      <c r="L595" s="7" t="n">
        <v>44640</v>
      </c>
      <c r="M595" s="5" t="inlineStr">
        <is>
          <t>No</t>
        </is>
      </c>
      <c r="N595" s="5" t="inlineStr">
        <is>
          <t>Resigned</t>
        </is>
      </c>
      <c r="O595" s="8" t="inlineStr">
        <is>
          <t>174000</t>
        </is>
      </c>
      <c r="P595" s="5" t="inlineStr">
        <is>
          <t>0</t>
        </is>
      </c>
      <c r="Q595" s="5" t="inlineStr">
        <is>
          <t>3</t>
        </is>
      </c>
      <c r="R595" s="5" t="inlineStr">
        <is>
          <t>5</t>
        </is>
      </c>
      <c r="S595" s="5" t="inlineStr">
        <is>
          <t>1</t>
        </is>
      </c>
      <c r="T595" s="5" t="inlineStr">
        <is>
          <t>8</t>
        </is>
      </c>
      <c r="U595" s="5">
        <f>IFS(C595&lt;30,"Under 30",C595&lt;40,"30-39",C595&lt;50,"40-49",TRUE,"50+")</f>
        <v/>
      </c>
      <c r="V595" s="5">
        <f>IFS(O595&lt;60000,"Low (&lt;60k)",O595&lt;100000,"Mid (60-100k)",TRUE,"High (100k+)")</f>
        <v/>
      </c>
      <c r="W595" s="5">
        <f>IF(M595="No","Attrited","Active")</f>
        <v/>
      </c>
    </row>
    <row r="596">
      <c r="A596" s="5" t="inlineStr">
        <is>
          <t>E00595</t>
        </is>
      </c>
      <c r="B596" s="5" t="inlineStr">
        <is>
          <t>Male</t>
        </is>
      </c>
      <c r="C596" s="6" t="inlineStr">
        <is>
          <t>24</t>
        </is>
      </c>
      <c r="D596" s="5" t="inlineStr">
        <is>
          <t>Single</t>
        </is>
      </c>
      <c r="E596" s="5" t="inlineStr">
        <is>
          <t>High School</t>
        </is>
      </c>
      <c r="F596" s="5" t="inlineStr">
        <is>
          <t>Marketing</t>
        </is>
      </c>
      <c r="G596" s="5" t="inlineStr">
        <is>
          <t>SEO Specialist</t>
        </is>
      </c>
      <c r="H596" s="5" t="inlineStr">
        <is>
          <t>1</t>
        </is>
      </c>
      <c r="I596" s="5" t="inlineStr">
        <is>
          <t>Delhi</t>
        </is>
      </c>
      <c r="J596" s="5" t="inlineStr">
        <is>
          <t>Full-Time</t>
        </is>
      </c>
      <c r="K596" s="7" t="n">
        <v>45076</v>
      </c>
      <c r="L596" s="7" t="inlineStr"/>
      <c r="M596" s="5" t="inlineStr">
        <is>
          <t>Yes</t>
        </is>
      </c>
      <c r="N596" s="5" t="inlineStr"/>
      <c r="O596" s="8" t="inlineStr">
        <is>
          <t>51000</t>
        </is>
      </c>
      <c r="P596" s="5" t="inlineStr">
        <is>
          <t>0</t>
        </is>
      </c>
      <c r="Q596" s="5" t="inlineStr">
        <is>
          <t>3</t>
        </is>
      </c>
      <c r="R596" s="5" t="inlineStr">
        <is>
          <t>7</t>
        </is>
      </c>
      <c r="S596" s="5" t="inlineStr">
        <is>
          <t>31</t>
        </is>
      </c>
      <c r="T596" s="5" t="inlineStr">
        <is>
          <t>5</t>
        </is>
      </c>
      <c r="U596" s="5">
        <f>IFS(C596&lt;30,"Under 30",C596&lt;40,"30-39",C596&lt;50,"40-49",TRUE,"50+")</f>
        <v/>
      </c>
      <c r="V596" s="5">
        <f>IFS(O596&lt;60000,"Low (&lt;60k)",O596&lt;100000,"Mid (60-100k)",TRUE,"High (100k+)")</f>
        <v/>
      </c>
      <c r="W596" s="5">
        <f>IF(M596="No","Attrited","Active")</f>
        <v/>
      </c>
    </row>
    <row r="597">
      <c r="A597" s="5" t="inlineStr">
        <is>
          <t>E00596</t>
        </is>
      </c>
      <c r="B597" s="5" t="inlineStr">
        <is>
          <t>Male</t>
        </is>
      </c>
      <c r="C597" s="6" t="inlineStr">
        <is>
          <t>32</t>
        </is>
      </c>
      <c r="D597" s="5" t="inlineStr">
        <is>
          <t>Married</t>
        </is>
      </c>
      <c r="E597" s="5" t="inlineStr">
        <is>
          <t>Bachelor</t>
        </is>
      </c>
      <c r="F597" s="5" t="inlineStr">
        <is>
          <t>Customer Support</t>
        </is>
      </c>
      <c r="G597" s="5" t="inlineStr">
        <is>
          <t>Support Lead</t>
        </is>
      </c>
      <c r="H597" s="5" t="inlineStr">
        <is>
          <t>4</t>
        </is>
      </c>
      <c r="I597" s="5" t="inlineStr">
        <is>
          <t>Chennai</t>
        </is>
      </c>
      <c r="J597" s="5" t="inlineStr">
        <is>
          <t>Full-Time</t>
        </is>
      </c>
      <c r="K597" s="7" t="n">
        <v>45329</v>
      </c>
      <c r="L597" s="7" t="n">
        <v>45473</v>
      </c>
      <c r="M597" s="5" t="inlineStr">
        <is>
          <t>No</t>
        </is>
      </c>
      <c r="N597" s="5" t="inlineStr">
        <is>
          <t>Resigned</t>
        </is>
      </c>
      <c r="O597" s="8" t="inlineStr">
        <is>
          <t>69500</t>
        </is>
      </c>
      <c r="P597" s="5" t="inlineStr">
        <is>
          <t>0</t>
        </is>
      </c>
      <c r="Q597" s="5" t="inlineStr">
        <is>
          <t>3</t>
        </is>
      </c>
      <c r="R597" s="5" t="inlineStr">
        <is>
          <t>5</t>
        </is>
      </c>
      <c r="S597" s="5" t="inlineStr">
        <is>
          <t>4</t>
        </is>
      </c>
      <c r="T597" s="5" t="inlineStr">
        <is>
          <t>0</t>
        </is>
      </c>
      <c r="U597" s="5">
        <f>IFS(C597&lt;30,"Under 30",C597&lt;40,"30-39",C597&lt;50,"40-49",TRUE,"50+")</f>
        <v/>
      </c>
      <c r="V597" s="5">
        <f>IFS(O597&lt;60000,"Low (&lt;60k)",O597&lt;100000,"Mid (60-100k)",TRUE,"High (100k+)")</f>
        <v/>
      </c>
      <c r="W597" s="5">
        <f>IF(M597="No","Attrited","Active")</f>
        <v/>
      </c>
    </row>
    <row r="598">
      <c r="A598" s="5" t="inlineStr">
        <is>
          <t>E00597</t>
        </is>
      </c>
      <c r="B598" s="5" t="inlineStr">
        <is>
          <t>Male</t>
        </is>
      </c>
      <c r="C598" s="6" t="inlineStr">
        <is>
          <t>34</t>
        </is>
      </c>
      <c r="D598" s="5" t="inlineStr">
        <is>
          <t>Married</t>
        </is>
      </c>
      <c r="E598" s="5" t="inlineStr">
        <is>
          <t>Diploma</t>
        </is>
      </c>
      <c r="F598" s="5" t="inlineStr">
        <is>
          <t>Research &amp; Development</t>
        </is>
      </c>
      <c r="G598" s="5" t="inlineStr">
        <is>
          <t>Data Scientist</t>
        </is>
      </c>
      <c r="H598" s="5" t="inlineStr">
        <is>
          <t>2</t>
        </is>
      </c>
      <c r="I598" s="5" t="inlineStr">
        <is>
          <t>Remote</t>
        </is>
      </c>
      <c r="J598" s="5" t="inlineStr">
        <is>
          <t>Full-Time</t>
        </is>
      </c>
      <c r="K598" s="7" t="n">
        <v>45749</v>
      </c>
      <c r="L598" s="7" t="inlineStr"/>
      <c r="M598" s="5" t="inlineStr">
        <is>
          <t>Yes</t>
        </is>
      </c>
      <c r="N598" s="5" t="inlineStr"/>
      <c r="O598" s="8" t="inlineStr">
        <is>
          <t>114000</t>
        </is>
      </c>
      <c r="P598" s="5" t="inlineStr">
        <is>
          <t>0</t>
        </is>
      </c>
      <c r="Q598" s="5" t="inlineStr">
        <is>
          <t>4</t>
        </is>
      </c>
      <c r="R598" s="5" t="inlineStr">
        <is>
          <t>6</t>
        </is>
      </c>
      <c r="S598" s="5" t="inlineStr">
        <is>
          <t>9</t>
        </is>
      </c>
      <c r="T598" s="5" t="inlineStr">
        <is>
          <t>1</t>
        </is>
      </c>
      <c r="U598" s="5">
        <f>IFS(C598&lt;30,"Under 30",C598&lt;40,"30-39",C598&lt;50,"40-49",TRUE,"50+")</f>
        <v/>
      </c>
      <c r="V598" s="5">
        <f>IFS(O598&lt;60000,"Low (&lt;60k)",O598&lt;100000,"Mid (60-100k)",TRUE,"High (100k+)")</f>
        <v/>
      </c>
      <c r="W598" s="5">
        <f>IF(M598="No","Attrited","Active")</f>
        <v/>
      </c>
    </row>
    <row r="599">
      <c r="A599" s="5" t="inlineStr">
        <is>
          <t>E00598</t>
        </is>
      </c>
      <c r="B599" s="5" t="inlineStr">
        <is>
          <t>Female</t>
        </is>
      </c>
      <c r="C599" s="6" t="inlineStr">
        <is>
          <t>34</t>
        </is>
      </c>
      <c r="D599" s="5" t="inlineStr">
        <is>
          <t>Married</t>
        </is>
      </c>
      <c r="E599" s="5" t="inlineStr">
        <is>
          <t>Bachelor</t>
        </is>
      </c>
      <c r="F599" s="5" t="inlineStr">
        <is>
          <t>Operations</t>
        </is>
      </c>
      <c r="G599" s="5" t="inlineStr">
        <is>
          <t>Logistics Coordinator</t>
        </is>
      </c>
      <c r="H599" s="5" t="inlineStr">
        <is>
          <t>4</t>
        </is>
      </c>
      <c r="I599" s="5" t="inlineStr">
        <is>
          <t>Mumbai</t>
        </is>
      </c>
      <c r="J599" s="5" t="inlineStr">
        <is>
          <t>Full-Time</t>
        </is>
      </c>
      <c r="K599" s="7" t="n">
        <v>45773</v>
      </c>
      <c r="L599" s="7" t="inlineStr"/>
      <c r="M599" s="5" t="inlineStr">
        <is>
          <t>Yes</t>
        </is>
      </c>
      <c r="N599" s="5" t="inlineStr"/>
      <c r="O599" s="8" t="inlineStr">
        <is>
          <t>107500</t>
        </is>
      </c>
      <c r="P599" s="5" t="inlineStr">
        <is>
          <t>15</t>
        </is>
      </c>
      <c r="Q599" s="5" t="inlineStr">
        <is>
          <t>4</t>
        </is>
      </c>
      <c r="R599" s="5" t="inlineStr">
        <is>
          <t>5</t>
        </is>
      </c>
      <c r="S599" s="5" t="inlineStr">
        <is>
          <t>8</t>
        </is>
      </c>
      <c r="T599" s="5" t="inlineStr">
        <is>
          <t>7</t>
        </is>
      </c>
      <c r="U599" s="5">
        <f>IFS(C599&lt;30,"Under 30",C599&lt;40,"30-39",C599&lt;50,"40-49",TRUE,"50+")</f>
        <v/>
      </c>
      <c r="V599" s="5">
        <f>IFS(O599&lt;60000,"Low (&lt;60k)",O599&lt;100000,"Mid (60-100k)",TRUE,"High (100k+)")</f>
        <v/>
      </c>
      <c r="W599" s="5">
        <f>IF(M599="No","Attrited","Active")</f>
        <v/>
      </c>
    </row>
    <row r="600">
      <c r="A600" s="5" t="inlineStr">
        <is>
          <t>E00599</t>
        </is>
      </c>
      <c r="B600" s="5" t="inlineStr">
        <is>
          <t>Male</t>
        </is>
      </c>
      <c r="C600" s="6" t="inlineStr">
        <is>
          <t>28</t>
        </is>
      </c>
      <c r="D600" s="5" t="inlineStr">
        <is>
          <t>Married</t>
        </is>
      </c>
      <c r="E600" s="5" t="inlineStr">
        <is>
          <t>Master</t>
        </is>
      </c>
      <c r="F600" s="5" t="inlineStr">
        <is>
          <t>Research &amp; Development</t>
        </is>
      </c>
      <c r="G600" s="5" t="inlineStr">
        <is>
          <t>Data Scientist</t>
        </is>
      </c>
      <c r="H600" s="5" t="inlineStr">
        <is>
          <t>1</t>
        </is>
      </c>
      <c r="I600" s="5" t="inlineStr">
        <is>
          <t>Bengaluru</t>
        </is>
      </c>
      <c r="J600" s="5" t="inlineStr">
        <is>
          <t>Part-Time</t>
        </is>
      </c>
      <c r="K600" s="7" t="n">
        <v>43876</v>
      </c>
      <c r="L600" s="7" t="n">
        <v>43954</v>
      </c>
      <c r="M600" s="5" t="inlineStr">
        <is>
          <t>No</t>
        </is>
      </c>
      <c r="N600" s="5" t="inlineStr">
        <is>
          <t>Retirement</t>
        </is>
      </c>
      <c r="O600" s="8" t="inlineStr">
        <is>
          <t>163000</t>
        </is>
      </c>
      <c r="P600" s="5" t="inlineStr">
        <is>
          <t>5</t>
        </is>
      </c>
      <c r="Q600" s="5" t="inlineStr">
        <is>
          <t>3</t>
        </is>
      </c>
      <c r="R600" s="5" t="inlineStr">
        <is>
          <t>9</t>
        </is>
      </c>
      <c r="S600" s="5" t="inlineStr">
        <is>
          <t>2</t>
        </is>
      </c>
      <c r="T600" s="5" t="inlineStr">
        <is>
          <t>11</t>
        </is>
      </c>
      <c r="U600" s="5">
        <f>IFS(C600&lt;30,"Under 30",C600&lt;40,"30-39",C600&lt;50,"40-49",TRUE,"50+")</f>
        <v/>
      </c>
      <c r="V600" s="5">
        <f>IFS(O600&lt;60000,"Low (&lt;60k)",O600&lt;100000,"Mid (60-100k)",TRUE,"High (100k+)")</f>
        <v/>
      </c>
      <c r="W600" s="5">
        <f>IF(M600="No","Attrited","Active")</f>
        <v/>
      </c>
    </row>
    <row r="601">
      <c r="A601" s="5" t="inlineStr">
        <is>
          <t>E00600</t>
        </is>
      </c>
      <c r="B601" s="5" t="inlineStr">
        <is>
          <t>Female</t>
        </is>
      </c>
      <c r="C601" s="6" t="inlineStr">
        <is>
          <t>26</t>
        </is>
      </c>
      <c r="D601" s="5" t="inlineStr">
        <is>
          <t>Married</t>
        </is>
      </c>
      <c r="E601" s="5" t="inlineStr">
        <is>
          <t>Master</t>
        </is>
      </c>
      <c r="F601" s="5" t="inlineStr">
        <is>
          <t>Marketing</t>
        </is>
      </c>
      <c r="G601" s="5" t="inlineStr">
        <is>
          <t>Marketing Analyst</t>
        </is>
      </c>
      <c r="H601" s="5" t="inlineStr">
        <is>
          <t>1</t>
        </is>
      </c>
      <c r="I601" s="5" t="inlineStr">
        <is>
          <t>Remote</t>
        </is>
      </c>
      <c r="J601" s="5" t="inlineStr">
        <is>
          <t>Full-Time</t>
        </is>
      </c>
      <c r="K601" s="7" t="n">
        <v>44932</v>
      </c>
      <c r="L601" s="7" t="inlineStr"/>
      <c r="M601" s="5" t="inlineStr">
        <is>
          <t>Yes</t>
        </is>
      </c>
      <c r="N601" s="5" t="inlineStr"/>
      <c r="O601" s="8" t="inlineStr">
        <is>
          <t>56000</t>
        </is>
      </c>
      <c r="P601" s="5" t="inlineStr">
        <is>
          <t>10</t>
        </is>
      </c>
      <c r="Q601" s="5" t="inlineStr">
        <is>
          <t>4</t>
        </is>
      </c>
      <c r="R601" s="5" t="inlineStr">
        <is>
          <t>8</t>
        </is>
      </c>
      <c r="S601" s="5" t="inlineStr">
        <is>
          <t>36</t>
        </is>
      </c>
      <c r="T601" s="5" t="inlineStr">
        <is>
          <t>0</t>
        </is>
      </c>
      <c r="U601" s="5">
        <f>IFS(C601&lt;30,"Under 30",C601&lt;40,"30-39",C601&lt;50,"40-49",TRUE,"50+")</f>
        <v/>
      </c>
      <c r="V601" s="5">
        <f>IFS(O601&lt;60000,"Low (&lt;60k)",O601&lt;100000,"Mid (60-100k)",TRUE,"High (100k+)")</f>
        <v/>
      </c>
      <c r="W601" s="5">
        <f>IF(M601="No","Attrited","Active")</f>
        <v/>
      </c>
    </row>
    <row r="602">
      <c r="A602" s="5" t="inlineStr">
        <is>
          <t>E00601</t>
        </is>
      </c>
      <c r="B602" s="5" t="inlineStr">
        <is>
          <t>Male</t>
        </is>
      </c>
      <c r="C602" s="6" t="inlineStr">
        <is>
          <t>27</t>
        </is>
      </c>
      <c r="D602" s="5" t="inlineStr">
        <is>
          <t>Married</t>
        </is>
      </c>
      <c r="E602" s="5" t="inlineStr">
        <is>
          <t>Diploma</t>
        </is>
      </c>
      <c r="F602" s="5" t="inlineStr">
        <is>
          <t>Research &amp; Development</t>
        </is>
      </c>
      <c r="G602" s="5" t="inlineStr">
        <is>
          <t>Data Scientist</t>
        </is>
      </c>
      <c r="H602" s="5" t="inlineStr">
        <is>
          <t>2</t>
        </is>
      </c>
      <c r="I602" s="5" t="inlineStr">
        <is>
          <t>Hyderabad</t>
        </is>
      </c>
      <c r="J602" s="5" t="inlineStr">
        <is>
          <t>Full-Time</t>
        </is>
      </c>
      <c r="K602" s="7" t="n">
        <v>45030</v>
      </c>
      <c r="L602" s="7" t="inlineStr"/>
      <c r="M602" s="5" t="inlineStr">
        <is>
          <t>Yes</t>
        </is>
      </c>
      <c r="N602" s="5" t="inlineStr"/>
      <c r="O602" s="8" t="inlineStr">
        <is>
          <t>152500</t>
        </is>
      </c>
      <c r="P602" s="5" t="inlineStr">
        <is>
          <t>0</t>
        </is>
      </c>
      <c r="Q602" s="5" t="inlineStr">
        <is>
          <t>3</t>
        </is>
      </c>
      <c r="R602" s="5" t="inlineStr">
        <is>
          <t>7</t>
        </is>
      </c>
      <c r="S602" s="5" t="inlineStr">
        <is>
          <t>33</t>
        </is>
      </c>
      <c r="T602" s="5" t="inlineStr">
        <is>
          <t>0</t>
        </is>
      </c>
      <c r="U602" s="5">
        <f>IFS(C602&lt;30,"Under 30",C602&lt;40,"30-39",C602&lt;50,"40-49",TRUE,"50+")</f>
        <v/>
      </c>
      <c r="V602" s="5">
        <f>IFS(O602&lt;60000,"Low (&lt;60k)",O602&lt;100000,"Mid (60-100k)",TRUE,"High (100k+)")</f>
        <v/>
      </c>
      <c r="W602" s="5">
        <f>IF(M602="No","Attrited","Active")</f>
        <v/>
      </c>
    </row>
    <row r="603">
      <c r="A603" s="5" t="inlineStr">
        <is>
          <t>E00602</t>
        </is>
      </c>
      <c r="B603" s="5" t="inlineStr">
        <is>
          <t>Male</t>
        </is>
      </c>
      <c r="C603" s="6" t="inlineStr">
        <is>
          <t>30</t>
        </is>
      </c>
      <c r="D603" s="5" t="inlineStr">
        <is>
          <t>Single</t>
        </is>
      </c>
      <c r="E603" s="5" t="inlineStr">
        <is>
          <t>Bachelor</t>
        </is>
      </c>
      <c r="F603" s="5" t="inlineStr">
        <is>
          <t>Human Resources</t>
        </is>
      </c>
      <c r="G603" s="5" t="inlineStr">
        <is>
          <t>Recruiter</t>
        </is>
      </c>
      <c r="H603" s="5" t="inlineStr">
        <is>
          <t>3</t>
        </is>
      </c>
      <c r="I603" s="5" t="inlineStr">
        <is>
          <t>Remote</t>
        </is>
      </c>
      <c r="J603" s="5" t="inlineStr">
        <is>
          <t>Full-Time</t>
        </is>
      </c>
      <c r="K603" s="7" t="n">
        <v>45575</v>
      </c>
      <c r="L603" s="7" t="inlineStr"/>
      <c r="M603" s="5" t="inlineStr">
        <is>
          <t>Yes</t>
        </is>
      </c>
      <c r="N603" s="5" t="inlineStr"/>
      <c r="O603" s="8" t="inlineStr">
        <is>
          <t>101500</t>
        </is>
      </c>
      <c r="P603" s="5" t="inlineStr">
        <is>
          <t>0</t>
        </is>
      </c>
      <c r="Q603" s="5" t="inlineStr">
        <is>
          <t>4</t>
        </is>
      </c>
      <c r="R603" s="5" t="inlineStr">
        <is>
          <t>7</t>
        </is>
      </c>
      <c r="S603" s="5" t="inlineStr">
        <is>
          <t>14</t>
        </is>
      </c>
      <c r="T603" s="5" t="inlineStr">
        <is>
          <t>10</t>
        </is>
      </c>
      <c r="U603" s="5">
        <f>IFS(C603&lt;30,"Under 30",C603&lt;40,"30-39",C603&lt;50,"40-49",TRUE,"50+")</f>
        <v/>
      </c>
      <c r="V603" s="5">
        <f>IFS(O603&lt;60000,"Low (&lt;60k)",O603&lt;100000,"Mid (60-100k)",TRUE,"High (100k+)")</f>
        <v/>
      </c>
      <c r="W603" s="5">
        <f>IF(M603="No","Attrited","Active")</f>
        <v/>
      </c>
    </row>
    <row r="604">
      <c r="A604" s="5" t="inlineStr">
        <is>
          <t>E00603</t>
        </is>
      </c>
      <c r="B604" s="5" t="inlineStr">
        <is>
          <t>Male</t>
        </is>
      </c>
      <c r="C604" s="6" t="inlineStr">
        <is>
          <t>27</t>
        </is>
      </c>
      <c r="D604" s="5" t="inlineStr">
        <is>
          <t>Married</t>
        </is>
      </c>
      <c r="E604" s="5" t="inlineStr">
        <is>
          <t>Master</t>
        </is>
      </c>
      <c r="F604" s="5" t="inlineStr">
        <is>
          <t>Research &amp; Development</t>
        </is>
      </c>
      <c r="G604" s="5" t="inlineStr">
        <is>
          <t>Research Scientist</t>
        </is>
      </c>
      <c r="H604" s="5" t="inlineStr">
        <is>
          <t>3</t>
        </is>
      </c>
      <c r="I604" s="5" t="inlineStr">
        <is>
          <t>Chennai</t>
        </is>
      </c>
      <c r="J604" s="5" t="inlineStr">
        <is>
          <t>Full-Time</t>
        </is>
      </c>
      <c r="K604" s="7" t="n">
        <v>45615</v>
      </c>
      <c r="L604" s="7" t="inlineStr"/>
      <c r="M604" s="5" t="inlineStr">
        <is>
          <t>Yes</t>
        </is>
      </c>
      <c r="N604" s="5" t="inlineStr"/>
      <c r="O604" s="8" t="inlineStr">
        <is>
          <t>190000</t>
        </is>
      </c>
      <c r="P604" s="5" t="inlineStr">
        <is>
          <t>10</t>
        </is>
      </c>
      <c r="Q604" s="5" t="inlineStr">
        <is>
          <t>4</t>
        </is>
      </c>
      <c r="R604" s="5" t="inlineStr">
        <is>
          <t>6</t>
        </is>
      </c>
      <c r="S604" s="5" t="inlineStr">
        <is>
          <t>13</t>
        </is>
      </c>
      <c r="T604" s="5" t="inlineStr">
        <is>
          <t>5</t>
        </is>
      </c>
      <c r="U604" s="5">
        <f>IFS(C604&lt;30,"Under 30",C604&lt;40,"30-39",C604&lt;50,"40-49",TRUE,"50+")</f>
        <v/>
      </c>
      <c r="V604" s="5">
        <f>IFS(O604&lt;60000,"Low (&lt;60k)",O604&lt;100000,"Mid (60-100k)",TRUE,"High (100k+)")</f>
        <v/>
      </c>
      <c r="W604" s="5">
        <f>IF(M604="No","Attrited","Active")</f>
        <v/>
      </c>
    </row>
    <row r="605">
      <c r="A605" s="5" t="inlineStr">
        <is>
          <t>E00604</t>
        </is>
      </c>
      <c r="B605" s="5" t="inlineStr">
        <is>
          <t>Female</t>
        </is>
      </c>
      <c r="C605" s="6" t="inlineStr">
        <is>
          <t>26</t>
        </is>
      </c>
      <c r="D605" s="5" t="inlineStr">
        <is>
          <t>Married</t>
        </is>
      </c>
      <c r="E605" s="5" t="inlineStr">
        <is>
          <t>Master</t>
        </is>
      </c>
      <c r="F605" s="5" t="inlineStr">
        <is>
          <t>Operations</t>
        </is>
      </c>
      <c r="G605" s="5" t="inlineStr">
        <is>
          <t>Operations Analyst</t>
        </is>
      </c>
      <c r="H605" s="5" t="inlineStr">
        <is>
          <t>2</t>
        </is>
      </c>
      <c r="I605" s="5" t="inlineStr">
        <is>
          <t>Bengaluru</t>
        </is>
      </c>
      <c r="J605" s="5" t="inlineStr">
        <is>
          <t>Full-Time</t>
        </is>
      </c>
      <c r="K605" s="7" t="n">
        <v>45968</v>
      </c>
      <c r="L605" s="7" t="inlineStr"/>
      <c r="M605" s="5" t="inlineStr">
        <is>
          <t>Yes</t>
        </is>
      </c>
      <c r="N605" s="5" t="inlineStr"/>
      <c r="O605" s="8" t="inlineStr">
        <is>
          <t>66000</t>
        </is>
      </c>
      <c r="P605" s="5" t="inlineStr">
        <is>
          <t>15</t>
        </is>
      </c>
      <c r="Q605" s="5" t="inlineStr">
        <is>
          <t>3</t>
        </is>
      </c>
      <c r="R605" s="5" t="inlineStr">
        <is>
          <t>8</t>
        </is>
      </c>
      <c r="S605" s="5" t="inlineStr">
        <is>
          <t>1</t>
        </is>
      </c>
      <c r="T605" s="5" t="inlineStr">
        <is>
          <t>18</t>
        </is>
      </c>
      <c r="U605" s="5">
        <f>IFS(C605&lt;30,"Under 30",C605&lt;40,"30-39",C605&lt;50,"40-49",TRUE,"50+")</f>
        <v/>
      </c>
      <c r="V605" s="5">
        <f>IFS(O605&lt;60000,"Low (&lt;60k)",O605&lt;100000,"Mid (60-100k)",TRUE,"High (100k+)")</f>
        <v/>
      </c>
      <c r="W605" s="5">
        <f>IF(M605="No","Attrited","Active")</f>
        <v/>
      </c>
    </row>
    <row r="606">
      <c r="A606" s="5" t="inlineStr">
        <is>
          <t>E00605</t>
        </is>
      </c>
      <c r="B606" s="5" t="inlineStr">
        <is>
          <t>Female</t>
        </is>
      </c>
      <c r="C606" s="6" t="inlineStr">
        <is>
          <t>27</t>
        </is>
      </c>
      <c r="D606" s="5" t="inlineStr">
        <is>
          <t>Single</t>
        </is>
      </c>
      <c r="E606" s="5" t="inlineStr">
        <is>
          <t>Bachelor</t>
        </is>
      </c>
      <c r="F606" s="5" t="inlineStr">
        <is>
          <t>Operations</t>
        </is>
      </c>
      <c r="G606" s="5" t="inlineStr">
        <is>
          <t>Operations Analyst</t>
        </is>
      </c>
      <c r="H606" s="5" t="inlineStr">
        <is>
          <t>1</t>
        </is>
      </c>
      <c r="I606" s="5" t="inlineStr">
        <is>
          <t>Remote</t>
        </is>
      </c>
      <c r="J606" s="5" t="inlineStr">
        <is>
          <t>Full-Time</t>
        </is>
      </c>
      <c r="K606" s="7" t="n">
        <v>45897</v>
      </c>
      <c r="L606" s="7" t="n">
        <v>45960</v>
      </c>
      <c r="M606" s="5" t="inlineStr">
        <is>
          <t>No</t>
        </is>
      </c>
      <c r="N606" s="5" t="inlineStr">
        <is>
          <t>Resigned</t>
        </is>
      </c>
      <c r="O606" s="8" t="inlineStr">
        <is>
          <t>57000</t>
        </is>
      </c>
      <c r="P606" s="5" t="inlineStr">
        <is>
          <t>5</t>
        </is>
      </c>
      <c r="Q606" s="5" t="inlineStr">
        <is>
          <t>4</t>
        </is>
      </c>
      <c r="R606" s="5" t="inlineStr">
        <is>
          <t>5</t>
        </is>
      </c>
      <c r="S606" s="5" t="inlineStr">
        <is>
          <t>2</t>
        </is>
      </c>
      <c r="T606" s="5" t="inlineStr">
        <is>
          <t>9</t>
        </is>
      </c>
      <c r="U606" s="5">
        <f>IFS(C606&lt;30,"Under 30",C606&lt;40,"30-39",C606&lt;50,"40-49",TRUE,"50+")</f>
        <v/>
      </c>
      <c r="V606" s="5">
        <f>IFS(O606&lt;60000,"Low (&lt;60k)",O606&lt;100000,"Mid (60-100k)",TRUE,"High (100k+)")</f>
        <v/>
      </c>
      <c r="W606" s="5">
        <f>IF(M606="No","Attrited","Active")</f>
        <v/>
      </c>
    </row>
    <row r="607">
      <c r="A607" s="5" t="inlineStr">
        <is>
          <t>E00606</t>
        </is>
      </c>
      <c r="B607" s="5" t="inlineStr">
        <is>
          <t>Male</t>
        </is>
      </c>
      <c r="C607" s="6" t="inlineStr">
        <is>
          <t>36</t>
        </is>
      </c>
      <c r="D607" s="5" t="inlineStr">
        <is>
          <t>Married</t>
        </is>
      </c>
      <c r="E607" s="5" t="inlineStr">
        <is>
          <t>Diploma</t>
        </is>
      </c>
      <c r="F607" s="5" t="inlineStr">
        <is>
          <t>IT</t>
        </is>
      </c>
      <c r="G607" s="5" t="inlineStr">
        <is>
          <t>Data Analyst</t>
        </is>
      </c>
      <c r="H607" s="5" t="inlineStr">
        <is>
          <t>5</t>
        </is>
      </c>
      <c r="I607" s="5" t="inlineStr">
        <is>
          <t>Delhi</t>
        </is>
      </c>
      <c r="J607" s="5" t="inlineStr">
        <is>
          <t>Full-Time</t>
        </is>
      </c>
      <c r="K607" s="7" t="n">
        <v>43924</v>
      </c>
      <c r="L607" s="7" t="inlineStr"/>
      <c r="M607" s="5" t="inlineStr">
        <is>
          <t>Yes</t>
        </is>
      </c>
      <c r="N607" s="5" t="inlineStr"/>
      <c r="O607" s="8" t="inlineStr">
        <is>
          <t>180000</t>
        </is>
      </c>
      <c r="P607" s="5" t="inlineStr">
        <is>
          <t>10</t>
        </is>
      </c>
      <c r="Q607" s="5" t="inlineStr">
        <is>
          <t>4</t>
        </is>
      </c>
      <c r="R607" s="5" t="inlineStr">
        <is>
          <t>4</t>
        </is>
      </c>
      <c r="S607" s="5" t="inlineStr">
        <is>
          <t>69</t>
        </is>
      </c>
      <c r="T607" s="5" t="inlineStr">
        <is>
          <t>8</t>
        </is>
      </c>
      <c r="U607" s="5">
        <f>IFS(C607&lt;30,"Under 30",C607&lt;40,"30-39",C607&lt;50,"40-49",TRUE,"50+")</f>
        <v/>
      </c>
      <c r="V607" s="5">
        <f>IFS(O607&lt;60000,"Low (&lt;60k)",O607&lt;100000,"Mid (60-100k)",TRUE,"High (100k+)")</f>
        <v/>
      </c>
      <c r="W607" s="5">
        <f>IF(M607="No","Attrited","Active")</f>
        <v/>
      </c>
    </row>
    <row r="608">
      <c r="A608" s="5" t="inlineStr">
        <is>
          <t>E00607</t>
        </is>
      </c>
      <c r="B608" s="5" t="inlineStr">
        <is>
          <t>Female</t>
        </is>
      </c>
      <c r="C608" s="6" t="inlineStr">
        <is>
          <t>30</t>
        </is>
      </c>
      <c r="D608" s="5" t="inlineStr">
        <is>
          <t>Single</t>
        </is>
      </c>
      <c r="E608" s="5" t="inlineStr">
        <is>
          <t>Master</t>
        </is>
      </c>
      <c r="F608" s="5" t="inlineStr">
        <is>
          <t>Operations</t>
        </is>
      </c>
      <c r="G608" s="5" t="inlineStr">
        <is>
          <t>Logistics Coordinator</t>
        </is>
      </c>
      <c r="H608" s="5" t="inlineStr">
        <is>
          <t>3</t>
        </is>
      </c>
      <c r="I608" s="5" t="inlineStr">
        <is>
          <t>Remote</t>
        </is>
      </c>
      <c r="J608" s="5" t="inlineStr">
        <is>
          <t>Full-Time</t>
        </is>
      </c>
      <c r="K608" s="7" t="n">
        <v>44683</v>
      </c>
      <c r="L608" s="7" t="inlineStr"/>
      <c r="M608" s="5" t="inlineStr">
        <is>
          <t>Yes</t>
        </is>
      </c>
      <c r="N608" s="5" t="inlineStr"/>
      <c r="O608" s="8" t="inlineStr">
        <is>
          <t>93000</t>
        </is>
      </c>
      <c r="P608" s="5" t="inlineStr">
        <is>
          <t>5</t>
        </is>
      </c>
      <c r="Q608" s="5" t="inlineStr">
        <is>
          <t>4</t>
        </is>
      </c>
      <c r="R608" s="5" t="inlineStr">
        <is>
          <t>4</t>
        </is>
      </c>
      <c r="S608" s="5" t="inlineStr">
        <is>
          <t>44</t>
        </is>
      </c>
      <c r="T608" s="5" t="inlineStr">
        <is>
          <t>7</t>
        </is>
      </c>
      <c r="U608" s="5">
        <f>IFS(C608&lt;30,"Under 30",C608&lt;40,"30-39",C608&lt;50,"40-49",TRUE,"50+")</f>
        <v/>
      </c>
      <c r="V608" s="5">
        <f>IFS(O608&lt;60000,"Low (&lt;60k)",O608&lt;100000,"Mid (60-100k)",TRUE,"High (100k+)")</f>
        <v/>
      </c>
      <c r="W608" s="5">
        <f>IF(M608="No","Attrited","Active")</f>
        <v/>
      </c>
    </row>
    <row r="609">
      <c r="A609" s="5" t="inlineStr">
        <is>
          <t>E00608</t>
        </is>
      </c>
      <c r="B609" s="5" t="inlineStr">
        <is>
          <t>Male</t>
        </is>
      </c>
      <c r="C609" s="6" t="inlineStr">
        <is>
          <t>41</t>
        </is>
      </c>
      <c r="D609" s="5" t="inlineStr">
        <is>
          <t>Married</t>
        </is>
      </c>
      <c r="E609" s="5" t="inlineStr">
        <is>
          <t>PhD</t>
        </is>
      </c>
      <c r="F609" s="5" t="inlineStr">
        <is>
          <t>IT</t>
        </is>
      </c>
      <c r="G609" s="5" t="inlineStr">
        <is>
          <t>Software Engineer</t>
        </is>
      </c>
      <c r="H609" s="5" t="inlineStr">
        <is>
          <t>6</t>
        </is>
      </c>
      <c r="I609" s="5" t="inlineStr">
        <is>
          <t>Mumbai</t>
        </is>
      </c>
      <c r="J609" s="5" t="inlineStr">
        <is>
          <t>Full-Time</t>
        </is>
      </c>
      <c r="K609" s="7" t="n">
        <v>45536</v>
      </c>
      <c r="L609" s="7" t="n">
        <v>45643</v>
      </c>
      <c r="M609" s="5" t="inlineStr">
        <is>
          <t>No</t>
        </is>
      </c>
      <c r="N609" s="5" t="inlineStr">
        <is>
          <t>Resigned</t>
        </is>
      </c>
      <c r="O609" s="8" t="inlineStr">
        <is>
          <t>202000</t>
        </is>
      </c>
      <c r="P609" s="5" t="inlineStr">
        <is>
          <t>5</t>
        </is>
      </c>
      <c r="Q609" s="5" t="inlineStr">
        <is>
          <t>4</t>
        </is>
      </c>
      <c r="R609" s="5" t="inlineStr">
        <is>
          <t>7</t>
        </is>
      </c>
      <c r="S609" s="5" t="inlineStr">
        <is>
          <t>3</t>
        </is>
      </c>
      <c r="T609" s="5" t="inlineStr">
        <is>
          <t>15</t>
        </is>
      </c>
      <c r="U609" s="5">
        <f>IFS(C609&lt;30,"Under 30",C609&lt;40,"30-39",C609&lt;50,"40-49",TRUE,"50+")</f>
        <v/>
      </c>
      <c r="V609" s="5">
        <f>IFS(O609&lt;60000,"Low (&lt;60k)",O609&lt;100000,"Mid (60-100k)",TRUE,"High (100k+)")</f>
        <v/>
      </c>
      <c r="W609" s="5">
        <f>IF(M609="No","Attrited","Active")</f>
        <v/>
      </c>
    </row>
    <row r="610">
      <c r="A610" s="5" t="inlineStr">
        <is>
          <t>E00609</t>
        </is>
      </c>
      <c r="B610" s="5" t="inlineStr">
        <is>
          <t>Female</t>
        </is>
      </c>
      <c r="C610" s="6" t="inlineStr">
        <is>
          <t>36</t>
        </is>
      </c>
      <c r="D610" s="5" t="inlineStr">
        <is>
          <t>Married</t>
        </is>
      </c>
      <c r="E610" s="5" t="inlineStr">
        <is>
          <t>PhD</t>
        </is>
      </c>
      <c r="F610" s="5" t="inlineStr">
        <is>
          <t>Operations</t>
        </is>
      </c>
      <c r="G610" s="5" t="inlineStr">
        <is>
          <t>Logistics Coordinator</t>
        </is>
      </c>
      <c r="H610" s="5" t="inlineStr">
        <is>
          <t>4</t>
        </is>
      </c>
      <c r="I610" s="5" t="inlineStr">
        <is>
          <t>Mumbai</t>
        </is>
      </c>
      <c r="J610" s="5" t="inlineStr">
        <is>
          <t>Full-Time</t>
        </is>
      </c>
      <c r="K610" s="7" t="n">
        <v>45451</v>
      </c>
      <c r="L610" s="7" t="inlineStr"/>
      <c r="M610" s="5" t="inlineStr">
        <is>
          <t>Yes</t>
        </is>
      </c>
      <c r="N610" s="5" t="inlineStr"/>
      <c r="O610" s="8" t="inlineStr">
        <is>
          <t>141000</t>
        </is>
      </c>
      <c r="P610" s="5" t="inlineStr">
        <is>
          <t>10</t>
        </is>
      </c>
      <c r="Q610" s="5" t="inlineStr">
        <is>
          <t>4</t>
        </is>
      </c>
      <c r="R610" s="5" t="inlineStr">
        <is>
          <t>5</t>
        </is>
      </c>
      <c r="S610" s="5" t="inlineStr">
        <is>
          <t>19</t>
        </is>
      </c>
      <c r="T610" s="5" t="inlineStr">
        <is>
          <t>6</t>
        </is>
      </c>
      <c r="U610" s="5">
        <f>IFS(C610&lt;30,"Under 30",C610&lt;40,"30-39",C610&lt;50,"40-49",TRUE,"50+")</f>
        <v/>
      </c>
      <c r="V610" s="5">
        <f>IFS(O610&lt;60000,"Low (&lt;60k)",O610&lt;100000,"Mid (60-100k)",TRUE,"High (100k+)")</f>
        <v/>
      </c>
      <c r="W610" s="5">
        <f>IF(M610="No","Attrited","Active")</f>
        <v/>
      </c>
    </row>
    <row r="611">
      <c r="A611" s="5" t="inlineStr">
        <is>
          <t>E00610</t>
        </is>
      </c>
      <c r="B611" s="5" t="inlineStr">
        <is>
          <t>Male</t>
        </is>
      </c>
      <c r="C611" s="6" t="inlineStr">
        <is>
          <t>25</t>
        </is>
      </c>
      <c r="D611" s="5" t="inlineStr">
        <is>
          <t>Divorced</t>
        </is>
      </c>
      <c r="E611" s="5" t="inlineStr">
        <is>
          <t>High School</t>
        </is>
      </c>
      <c r="F611" s="5" t="inlineStr">
        <is>
          <t>Customer Support</t>
        </is>
      </c>
      <c r="G611" s="5" t="inlineStr">
        <is>
          <t>Support Agent</t>
        </is>
      </c>
      <c r="H611" s="5" t="inlineStr">
        <is>
          <t>1</t>
        </is>
      </c>
      <c r="I611" s="5" t="inlineStr">
        <is>
          <t>Chennai</t>
        </is>
      </c>
      <c r="J611" s="5" t="inlineStr">
        <is>
          <t>Full-Time</t>
        </is>
      </c>
      <c r="K611" s="7" t="n">
        <v>45936</v>
      </c>
      <c r="L611" s="7" t="n">
        <v>45992</v>
      </c>
      <c r="M611" s="5" t="inlineStr">
        <is>
          <t>No</t>
        </is>
      </c>
      <c r="N611" s="5" t="inlineStr">
        <is>
          <t>Resigned</t>
        </is>
      </c>
      <c r="O611" s="8" t="inlineStr">
        <is>
          <t>63000</t>
        </is>
      </c>
      <c r="P611" s="5" t="inlineStr">
        <is>
          <t>0</t>
        </is>
      </c>
      <c r="Q611" s="5" t="inlineStr">
        <is>
          <t>4</t>
        </is>
      </c>
      <c r="R611" s="5" t="inlineStr">
        <is>
          <t>7</t>
        </is>
      </c>
      <c r="S611" s="5" t="inlineStr">
        <is>
          <t>1</t>
        </is>
      </c>
      <c r="T611" s="5" t="inlineStr">
        <is>
          <t>2</t>
        </is>
      </c>
      <c r="U611" s="5">
        <f>IFS(C611&lt;30,"Under 30",C611&lt;40,"30-39",C611&lt;50,"40-49",TRUE,"50+")</f>
        <v/>
      </c>
      <c r="V611" s="5">
        <f>IFS(O611&lt;60000,"Low (&lt;60k)",O611&lt;100000,"Mid (60-100k)",TRUE,"High (100k+)")</f>
        <v/>
      </c>
      <c r="W611" s="5">
        <f>IF(M611="No","Attrited","Active")</f>
        <v/>
      </c>
    </row>
    <row r="612">
      <c r="A612" s="5" t="inlineStr">
        <is>
          <t>E00611</t>
        </is>
      </c>
      <c r="B612" s="5" t="inlineStr">
        <is>
          <t>Female</t>
        </is>
      </c>
      <c r="C612" s="6" t="inlineStr">
        <is>
          <t>30</t>
        </is>
      </c>
      <c r="D612" s="5" t="inlineStr">
        <is>
          <t>Married</t>
        </is>
      </c>
      <c r="E612" s="5" t="inlineStr">
        <is>
          <t>High School</t>
        </is>
      </c>
      <c r="F612" s="5" t="inlineStr">
        <is>
          <t>Research &amp; Development</t>
        </is>
      </c>
      <c r="G612" s="5" t="inlineStr">
        <is>
          <t>Product Engineer</t>
        </is>
      </c>
      <c r="H612" s="5" t="inlineStr">
        <is>
          <t>2</t>
        </is>
      </c>
      <c r="I612" s="5" t="inlineStr">
        <is>
          <t>Bengaluru</t>
        </is>
      </c>
      <c r="J612" s="5" t="inlineStr">
        <is>
          <t>Full-Time</t>
        </is>
      </c>
      <c r="K612" s="7" t="n">
        <v>44547</v>
      </c>
      <c r="L612" s="7" t="inlineStr"/>
      <c r="M612" s="5" t="inlineStr">
        <is>
          <t>Yes</t>
        </is>
      </c>
      <c r="N612" s="5" t="inlineStr"/>
      <c r="O612" s="8" t="inlineStr">
        <is>
          <t>146500</t>
        </is>
      </c>
      <c r="P612" s="5" t="inlineStr">
        <is>
          <t>0</t>
        </is>
      </c>
      <c r="Q612" s="5" t="inlineStr">
        <is>
          <t>4</t>
        </is>
      </c>
      <c r="R612" s="5" t="inlineStr">
        <is>
          <t>9</t>
        </is>
      </c>
      <c r="S612" s="5" t="inlineStr">
        <is>
          <t>49</t>
        </is>
      </c>
      <c r="T612" s="5" t="inlineStr">
        <is>
          <t>5</t>
        </is>
      </c>
      <c r="U612" s="5">
        <f>IFS(C612&lt;30,"Under 30",C612&lt;40,"30-39",C612&lt;50,"40-49",TRUE,"50+")</f>
        <v/>
      </c>
      <c r="V612" s="5">
        <f>IFS(O612&lt;60000,"Low (&lt;60k)",O612&lt;100000,"Mid (60-100k)",TRUE,"High (100k+)")</f>
        <v/>
      </c>
      <c r="W612" s="5">
        <f>IF(M612="No","Attrited","Active")</f>
        <v/>
      </c>
    </row>
    <row r="613">
      <c r="A613" s="5" t="inlineStr">
        <is>
          <t>E00612</t>
        </is>
      </c>
      <c r="B613" s="5" t="inlineStr">
        <is>
          <t>Female</t>
        </is>
      </c>
      <c r="C613" s="6" t="inlineStr">
        <is>
          <t>39</t>
        </is>
      </c>
      <c r="D613" s="5" t="inlineStr">
        <is>
          <t>Married</t>
        </is>
      </c>
      <c r="E613" s="5" t="inlineStr">
        <is>
          <t>High School</t>
        </is>
      </c>
      <c r="F613" s="5" t="inlineStr">
        <is>
          <t>Finance</t>
        </is>
      </c>
      <c r="G613" s="5" t="inlineStr">
        <is>
          <t>Credit Analyst</t>
        </is>
      </c>
      <c r="H613" s="5" t="inlineStr">
        <is>
          <t>4</t>
        </is>
      </c>
      <c r="I613" s="5" t="inlineStr">
        <is>
          <t>Bengaluru</t>
        </is>
      </c>
      <c r="J613" s="5" t="inlineStr">
        <is>
          <t>Full-Time</t>
        </is>
      </c>
      <c r="K613" s="7" t="n">
        <v>45280</v>
      </c>
      <c r="L613" s="7" t="inlineStr"/>
      <c r="M613" s="5" t="inlineStr">
        <is>
          <t>Yes</t>
        </is>
      </c>
      <c r="N613" s="5" t="inlineStr"/>
      <c r="O613" s="8" t="inlineStr">
        <is>
          <t>139000</t>
        </is>
      </c>
      <c r="P613" s="5" t="inlineStr">
        <is>
          <t>10</t>
        </is>
      </c>
      <c r="Q613" s="5" t="inlineStr">
        <is>
          <t>5</t>
        </is>
      </c>
      <c r="R613" s="5" t="inlineStr">
        <is>
          <t>4</t>
        </is>
      </c>
      <c r="S613" s="5" t="inlineStr">
        <is>
          <t>24</t>
        </is>
      </c>
      <c r="T613" s="5" t="inlineStr">
        <is>
          <t>11</t>
        </is>
      </c>
      <c r="U613" s="5">
        <f>IFS(C613&lt;30,"Under 30",C613&lt;40,"30-39",C613&lt;50,"40-49",TRUE,"50+")</f>
        <v/>
      </c>
      <c r="V613" s="5">
        <f>IFS(O613&lt;60000,"Low (&lt;60k)",O613&lt;100000,"Mid (60-100k)",TRUE,"High (100k+)")</f>
        <v/>
      </c>
      <c r="W613" s="5">
        <f>IF(M613="No","Attrited","Active")</f>
        <v/>
      </c>
    </row>
    <row r="614">
      <c r="A614" s="5" t="inlineStr">
        <is>
          <t>E00613</t>
        </is>
      </c>
      <c r="B614" s="5" t="inlineStr">
        <is>
          <t>Female</t>
        </is>
      </c>
      <c r="C614" s="6" t="inlineStr">
        <is>
          <t>42</t>
        </is>
      </c>
      <c r="D614" s="5" t="inlineStr">
        <is>
          <t>Single</t>
        </is>
      </c>
      <c r="E614" s="5" t="inlineStr">
        <is>
          <t>Bachelor</t>
        </is>
      </c>
      <c r="F614" s="5" t="inlineStr">
        <is>
          <t>Research &amp; Development</t>
        </is>
      </c>
      <c r="G614" s="5" t="inlineStr">
        <is>
          <t>Research Scientist</t>
        </is>
      </c>
      <c r="H614" s="5" t="inlineStr">
        <is>
          <t>7</t>
        </is>
      </c>
      <c r="I614" s="5" t="inlineStr">
        <is>
          <t>Chennai</t>
        </is>
      </c>
      <c r="J614" s="5" t="inlineStr">
        <is>
          <t>Full-Time</t>
        </is>
      </c>
      <c r="K614" s="7" t="n">
        <v>43952</v>
      </c>
      <c r="L614" s="7" t="inlineStr"/>
      <c r="M614" s="5" t="inlineStr">
        <is>
          <t>Yes</t>
        </is>
      </c>
      <c r="N614" s="5" t="inlineStr"/>
      <c r="O614" s="8" t="inlineStr">
        <is>
          <t>199000</t>
        </is>
      </c>
      <c r="P614" s="5" t="inlineStr">
        <is>
          <t>20</t>
        </is>
      </c>
      <c r="Q614" s="5" t="inlineStr">
        <is>
          <t>4</t>
        </is>
      </c>
      <c r="R614" s="5" t="inlineStr">
        <is>
          <t>6</t>
        </is>
      </c>
      <c r="S614" s="5" t="inlineStr">
        <is>
          <t>69</t>
        </is>
      </c>
      <c r="T614" s="5" t="inlineStr">
        <is>
          <t>1</t>
        </is>
      </c>
      <c r="U614" s="5">
        <f>IFS(C614&lt;30,"Under 30",C614&lt;40,"30-39",C614&lt;50,"40-49",TRUE,"50+")</f>
        <v/>
      </c>
      <c r="V614" s="5">
        <f>IFS(O614&lt;60000,"Low (&lt;60k)",O614&lt;100000,"Mid (60-100k)",TRUE,"High (100k+)")</f>
        <v/>
      </c>
      <c r="W614" s="5">
        <f>IF(M614="No","Attrited","Active")</f>
        <v/>
      </c>
    </row>
    <row r="615">
      <c r="A615" s="5" t="inlineStr">
        <is>
          <t>E00614</t>
        </is>
      </c>
      <c r="B615" s="5" t="inlineStr">
        <is>
          <t>Female</t>
        </is>
      </c>
      <c r="C615" s="6" t="inlineStr">
        <is>
          <t>26</t>
        </is>
      </c>
      <c r="D615" s="5" t="inlineStr">
        <is>
          <t>Married</t>
        </is>
      </c>
      <c r="E615" s="5" t="inlineStr">
        <is>
          <t>PhD</t>
        </is>
      </c>
      <c r="F615" s="5" t="inlineStr">
        <is>
          <t>Sales</t>
        </is>
      </c>
      <c r="G615" s="5" t="inlineStr">
        <is>
          <t>Account Executive</t>
        </is>
      </c>
      <c r="H615" s="5" t="inlineStr">
        <is>
          <t>1</t>
        </is>
      </c>
      <c r="I615" s="5" t="inlineStr">
        <is>
          <t>Delhi</t>
        </is>
      </c>
      <c r="J615" s="5" t="inlineStr">
        <is>
          <t>Full-Time</t>
        </is>
      </c>
      <c r="K615" s="7" t="n">
        <v>44020</v>
      </c>
      <c r="L615" s="7" t="inlineStr"/>
      <c r="M615" s="5" t="inlineStr">
        <is>
          <t>Yes</t>
        </is>
      </c>
      <c r="N615" s="5" t="inlineStr"/>
      <c r="O615" s="8" t="inlineStr">
        <is>
          <t>78000</t>
        </is>
      </c>
      <c r="P615" s="5" t="inlineStr">
        <is>
          <t>5</t>
        </is>
      </c>
      <c r="Q615" s="5" t="inlineStr">
        <is>
          <t>4</t>
        </is>
      </c>
      <c r="R615" s="5" t="inlineStr">
        <is>
          <t>6</t>
        </is>
      </c>
      <c r="S615" s="5" t="inlineStr">
        <is>
          <t>66</t>
        </is>
      </c>
      <c r="T615" s="5" t="inlineStr">
        <is>
          <t>2</t>
        </is>
      </c>
      <c r="U615" s="5">
        <f>IFS(C615&lt;30,"Under 30",C615&lt;40,"30-39",C615&lt;50,"40-49",TRUE,"50+")</f>
        <v/>
      </c>
      <c r="V615" s="5">
        <f>IFS(O615&lt;60000,"Low (&lt;60k)",O615&lt;100000,"Mid (60-100k)",TRUE,"High (100k+)")</f>
        <v/>
      </c>
      <c r="W615" s="5">
        <f>IF(M615="No","Attrited","Active")</f>
        <v/>
      </c>
    </row>
    <row r="616">
      <c r="A616" s="5" t="inlineStr">
        <is>
          <t>E00615</t>
        </is>
      </c>
      <c r="B616" s="5" t="inlineStr">
        <is>
          <t>Female</t>
        </is>
      </c>
      <c r="C616" s="6" t="inlineStr">
        <is>
          <t>38</t>
        </is>
      </c>
      <c r="D616" s="5" t="inlineStr">
        <is>
          <t>Divorced</t>
        </is>
      </c>
      <c r="E616" s="5" t="inlineStr">
        <is>
          <t>Diploma</t>
        </is>
      </c>
      <c r="F616" s="5" t="inlineStr">
        <is>
          <t>Marketing</t>
        </is>
      </c>
      <c r="G616" s="5" t="inlineStr">
        <is>
          <t>Content Writer</t>
        </is>
      </c>
      <c r="H616" s="5" t="inlineStr">
        <is>
          <t>3</t>
        </is>
      </c>
      <c r="I616" s="5" t="inlineStr">
        <is>
          <t>Chennai</t>
        </is>
      </c>
      <c r="J616" s="5" t="inlineStr">
        <is>
          <t>Full-Time</t>
        </is>
      </c>
      <c r="K616" s="7" t="n">
        <v>45695</v>
      </c>
      <c r="L616" s="7" t="inlineStr"/>
      <c r="M616" s="5" t="inlineStr">
        <is>
          <t>Yes</t>
        </is>
      </c>
      <c r="N616" s="5" t="inlineStr"/>
      <c r="O616" s="8" t="inlineStr">
        <is>
          <t>115500</t>
        </is>
      </c>
      <c r="P616" s="5" t="inlineStr">
        <is>
          <t>5</t>
        </is>
      </c>
      <c r="Q616" s="5" t="inlineStr">
        <is>
          <t>4</t>
        </is>
      </c>
      <c r="R616" s="5" t="inlineStr">
        <is>
          <t>3</t>
        </is>
      </c>
      <c r="S616" s="5" t="inlineStr">
        <is>
          <t>10</t>
        </is>
      </c>
      <c r="T616" s="5" t="inlineStr">
        <is>
          <t>2</t>
        </is>
      </c>
      <c r="U616" s="5">
        <f>IFS(C616&lt;30,"Under 30",C616&lt;40,"30-39",C616&lt;50,"40-49",TRUE,"50+")</f>
        <v/>
      </c>
      <c r="V616" s="5">
        <f>IFS(O616&lt;60000,"Low (&lt;60k)",O616&lt;100000,"Mid (60-100k)",TRUE,"High (100k+)")</f>
        <v/>
      </c>
      <c r="W616" s="5">
        <f>IF(M616="No","Attrited","Active")</f>
        <v/>
      </c>
    </row>
    <row r="617">
      <c r="A617" s="5" t="inlineStr">
        <is>
          <t>E00616</t>
        </is>
      </c>
      <c r="B617" s="5" t="inlineStr">
        <is>
          <t>Female</t>
        </is>
      </c>
      <c r="C617" s="6" t="inlineStr">
        <is>
          <t>37</t>
        </is>
      </c>
      <c r="D617" s="5" t="inlineStr">
        <is>
          <t>Single</t>
        </is>
      </c>
      <c r="E617" s="5" t="inlineStr">
        <is>
          <t>Master</t>
        </is>
      </c>
      <c r="F617" s="5" t="inlineStr">
        <is>
          <t>IT</t>
        </is>
      </c>
      <c r="G617" s="5" t="inlineStr">
        <is>
          <t>Software Engineer</t>
        </is>
      </c>
      <c r="H617" s="5" t="inlineStr">
        <is>
          <t>4</t>
        </is>
      </c>
      <c r="I617" s="5" t="inlineStr">
        <is>
          <t>Bengaluru</t>
        </is>
      </c>
      <c r="J617" s="5" t="inlineStr">
        <is>
          <t>Full-Time</t>
        </is>
      </c>
      <c r="K617" s="7" t="n">
        <v>44684</v>
      </c>
      <c r="L617" s="7" t="inlineStr"/>
      <c r="M617" s="5" t="inlineStr">
        <is>
          <t>Yes</t>
        </is>
      </c>
      <c r="N617" s="5" t="inlineStr"/>
      <c r="O617" s="8" t="inlineStr">
        <is>
          <t>132000</t>
        </is>
      </c>
      <c r="P617" s="5" t="inlineStr">
        <is>
          <t>0</t>
        </is>
      </c>
      <c r="Q617" s="5" t="inlineStr">
        <is>
          <t>4</t>
        </is>
      </c>
      <c r="R617" s="5" t="inlineStr">
        <is>
          <t>6</t>
        </is>
      </c>
      <c r="S617" s="5" t="inlineStr">
        <is>
          <t>44</t>
        </is>
      </c>
      <c r="T617" s="5" t="inlineStr">
        <is>
          <t>9</t>
        </is>
      </c>
      <c r="U617" s="5">
        <f>IFS(C617&lt;30,"Under 30",C617&lt;40,"30-39",C617&lt;50,"40-49",TRUE,"50+")</f>
        <v/>
      </c>
      <c r="V617" s="5">
        <f>IFS(O617&lt;60000,"Low (&lt;60k)",O617&lt;100000,"Mid (60-100k)",TRUE,"High (100k+)")</f>
        <v/>
      </c>
      <c r="W617" s="5">
        <f>IF(M617="No","Attrited","Active")</f>
        <v/>
      </c>
    </row>
    <row r="618">
      <c r="A618" s="5" t="inlineStr">
        <is>
          <t>E00617</t>
        </is>
      </c>
      <c r="B618" s="5" t="inlineStr">
        <is>
          <t>Female</t>
        </is>
      </c>
      <c r="C618" s="6" t="inlineStr">
        <is>
          <t>32</t>
        </is>
      </c>
      <c r="D618" s="5" t="inlineStr">
        <is>
          <t>Single</t>
        </is>
      </c>
      <c r="E618" s="5" t="inlineStr">
        <is>
          <t>PhD</t>
        </is>
      </c>
      <c r="F618" s="5" t="inlineStr">
        <is>
          <t>IT</t>
        </is>
      </c>
      <c r="G618" s="5" t="inlineStr">
        <is>
          <t>Data Analyst</t>
        </is>
      </c>
      <c r="H618" s="5" t="inlineStr">
        <is>
          <t>1</t>
        </is>
      </c>
      <c r="I618" s="5" t="inlineStr">
        <is>
          <t>Bengaluru</t>
        </is>
      </c>
      <c r="J618" s="5" t="inlineStr">
        <is>
          <t>Full-Time</t>
        </is>
      </c>
      <c r="K618" s="7" t="n">
        <v>44457</v>
      </c>
      <c r="L618" s="7" t="n">
        <v>44575</v>
      </c>
      <c r="M618" s="5" t="inlineStr">
        <is>
          <t>No</t>
        </is>
      </c>
      <c r="N618" s="5" t="inlineStr">
        <is>
          <t>Resigned</t>
        </is>
      </c>
      <c r="O618" s="8" t="inlineStr">
        <is>
          <t>95000</t>
        </is>
      </c>
      <c r="P618" s="5" t="inlineStr">
        <is>
          <t>10</t>
        </is>
      </c>
      <c r="Q618" s="5" t="inlineStr">
        <is>
          <t>5</t>
        </is>
      </c>
      <c r="R618" s="5" t="inlineStr">
        <is>
          <t>6</t>
        </is>
      </c>
      <c r="S618" s="5" t="inlineStr">
        <is>
          <t>3</t>
        </is>
      </c>
      <c r="T618" s="5" t="inlineStr">
        <is>
          <t>0</t>
        </is>
      </c>
      <c r="U618" s="5">
        <f>IFS(C618&lt;30,"Under 30",C618&lt;40,"30-39",C618&lt;50,"40-49",TRUE,"50+")</f>
        <v/>
      </c>
      <c r="V618" s="5">
        <f>IFS(O618&lt;60000,"Low (&lt;60k)",O618&lt;100000,"Mid (60-100k)",TRUE,"High (100k+)")</f>
        <v/>
      </c>
      <c r="W618" s="5">
        <f>IF(M618="No","Attrited","Active")</f>
        <v/>
      </c>
    </row>
    <row r="619">
      <c r="A619" s="5" t="inlineStr">
        <is>
          <t>E00618</t>
        </is>
      </c>
      <c r="B619" s="5" t="inlineStr">
        <is>
          <t>Male</t>
        </is>
      </c>
      <c r="C619" s="6" t="inlineStr">
        <is>
          <t>32</t>
        </is>
      </c>
      <c r="D619" s="5" t="inlineStr">
        <is>
          <t>Divorced</t>
        </is>
      </c>
      <c r="E619" s="5" t="inlineStr">
        <is>
          <t>PhD</t>
        </is>
      </c>
      <c r="F619" s="5" t="inlineStr">
        <is>
          <t>IT</t>
        </is>
      </c>
      <c r="G619" s="5" t="inlineStr">
        <is>
          <t>Software Engineer</t>
        </is>
      </c>
      <c r="H619" s="5" t="inlineStr">
        <is>
          <t>4</t>
        </is>
      </c>
      <c r="I619" s="5" t="inlineStr">
        <is>
          <t>Delhi</t>
        </is>
      </c>
      <c r="J619" s="5" t="inlineStr">
        <is>
          <t>Full-Time</t>
        </is>
      </c>
      <c r="K619" s="7" t="n">
        <v>44879</v>
      </c>
      <c r="L619" s="7" t="inlineStr"/>
      <c r="M619" s="5" t="inlineStr">
        <is>
          <t>Yes</t>
        </is>
      </c>
      <c r="N619" s="5" t="inlineStr"/>
      <c r="O619" s="8" t="inlineStr">
        <is>
          <t>137500</t>
        </is>
      </c>
      <c r="P619" s="5" t="inlineStr">
        <is>
          <t>5</t>
        </is>
      </c>
      <c r="Q619" s="5" t="inlineStr">
        <is>
          <t>4</t>
        </is>
      </c>
      <c r="R619" s="5" t="inlineStr">
        <is>
          <t>8</t>
        </is>
      </c>
      <c r="S619" s="5" t="inlineStr">
        <is>
          <t>38</t>
        </is>
      </c>
      <c r="T619" s="5" t="inlineStr">
        <is>
          <t>4</t>
        </is>
      </c>
      <c r="U619" s="5">
        <f>IFS(C619&lt;30,"Under 30",C619&lt;40,"30-39",C619&lt;50,"40-49",TRUE,"50+")</f>
        <v/>
      </c>
      <c r="V619" s="5">
        <f>IFS(O619&lt;60000,"Low (&lt;60k)",O619&lt;100000,"Mid (60-100k)",TRUE,"High (100k+)")</f>
        <v/>
      </c>
      <c r="W619" s="5">
        <f>IF(M619="No","Attrited","Active")</f>
        <v/>
      </c>
    </row>
    <row r="620">
      <c r="A620" s="5" t="inlineStr">
        <is>
          <t>E00619</t>
        </is>
      </c>
      <c r="B620" s="5" t="inlineStr">
        <is>
          <t>Male</t>
        </is>
      </c>
      <c r="C620" s="6" t="inlineStr">
        <is>
          <t>35</t>
        </is>
      </c>
      <c r="D620" s="5" t="inlineStr">
        <is>
          <t>Married</t>
        </is>
      </c>
      <c r="E620" s="5" t="inlineStr">
        <is>
          <t>Master</t>
        </is>
      </c>
      <c r="F620" s="5" t="inlineStr">
        <is>
          <t>Executive</t>
        </is>
      </c>
      <c r="G620" s="5" t="inlineStr">
        <is>
          <t>CEO</t>
        </is>
      </c>
      <c r="H620" s="5" t="inlineStr">
        <is>
          <t>6</t>
        </is>
      </c>
      <c r="I620" s="5" t="inlineStr">
        <is>
          <t>Chennai</t>
        </is>
      </c>
      <c r="J620" s="5" t="inlineStr">
        <is>
          <t>Full-Time</t>
        </is>
      </c>
      <c r="K620" s="7" t="n">
        <v>45720</v>
      </c>
      <c r="L620" s="7" t="inlineStr"/>
      <c r="M620" s="5" t="inlineStr">
        <is>
          <t>Yes</t>
        </is>
      </c>
      <c r="N620" s="5" t="inlineStr"/>
      <c r="O620" s="8" t="inlineStr">
        <is>
          <t>367000</t>
        </is>
      </c>
      <c r="P620" s="5" t="inlineStr">
        <is>
          <t>0</t>
        </is>
      </c>
      <c r="Q620" s="5" t="inlineStr">
        <is>
          <t>2</t>
        </is>
      </c>
      <c r="R620" s="5" t="inlineStr">
        <is>
          <t>3</t>
        </is>
      </c>
      <c r="S620" s="5" t="inlineStr">
        <is>
          <t>10</t>
        </is>
      </c>
      <c r="T620" s="5" t="inlineStr">
        <is>
          <t>0</t>
        </is>
      </c>
      <c r="U620" s="5">
        <f>IFS(C620&lt;30,"Under 30",C620&lt;40,"30-39",C620&lt;50,"40-49",TRUE,"50+")</f>
        <v/>
      </c>
      <c r="V620" s="5">
        <f>IFS(O620&lt;60000,"Low (&lt;60k)",O620&lt;100000,"Mid (60-100k)",TRUE,"High (100k+)")</f>
        <v/>
      </c>
      <c r="W620" s="5">
        <f>IF(M620="No","Attrited","Active")</f>
        <v/>
      </c>
    </row>
    <row r="621">
      <c r="A621" s="5" t="inlineStr">
        <is>
          <t>E00620</t>
        </is>
      </c>
      <c r="B621" s="5" t="inlineStr">
        <is>
          <t>Female</t>
        </is>
      </c>
      <c r="C621" s="6" t="inlineStr">
        <is>
          <t>29</t>
        </is>
      </c>
      <c r="D621" s="5" t="inlineStr">
        <is>
          <t>Married</t>
        </is>
      </c>
      <c r="E621" s="5" t="inlineStr">
        <is>
          <t>High School</t>
        </is>
      </c>
      <c r="F621" s="5" t="inlineStr">
        <is>
          <t>Operations</t>
        </is>
      </c>
      <c r="G621" s="5" t="inlineStr">
        <is>
          <t>Operations Analyst</t>
        </is>
      </c>
      <c r="H621" s="5" t="inlineStr">
        <is>
          <t>2</t>
        </is>
      </c>
      <c r="I621" s="5" t="inlineStr">
        <is>
          <t>Remote</t>
        </is>
      </c>
      <c r="J621" s="5" t="inlineStr">
        <is>
          <t>Full-Time</t>
        </is>
      </c>
      <c r="K621" s="7" t="n">
        <v>45042</v>
      </c>
      <c r="L621" s="7" t="n">
        <v>45117</v>
      </c>
      <c r="M621" s="5" t="inlineStr">
        <is>
          <t>No</t>
        </is>
      </c>
      <c r="N621" s="5" t="inlineStr">
        <is>
          <t>Retirement</t>
        </is>
      </c>
      <c r="O621" s="8" t="inlineStr">
        <is>
          <t>112500</t>
        </is>
      </c>
      <c r="P621" s="5" t="inlineStr">
        <is>
          <t>0</t>
        </is>
      </c>
      <c r="Q621" s="5" t="inlineStr">
        <is>
          <t>3</t>
        </is>
      </c>
      <c r="R621" s="5" t="inlineStr">
        <is>
          <t>6</t>
        </is>
      </c>
      <c r="S621" s="5" t="inlineStr">
        <is>
          <t>2</t>
        </is>
      </c>
      <c r="T621" s="5" t="inlineStr">
        <is>
          <t>17</t>
        </is>
      </c>
      <c r="U621" s="5">
        <f>IFS(C621&lt;30,"Under 30",C621&lt;40,"30-39",C621&lt;50,"40-49",TRUE,"50+")</f>
        <v/>
      </c>
      <c r="V621" s="5">
        <f>IFS(O621&lt;60000,"Low (&lt;60k)",O621&lt;100000,"Mid (60-100k)",TRUE,"High (100k+)")</f>
        <v/>
      </c>
      <c r="W621" s="5">
        <f>IF(M621="No","Attrited","Active")</f>
        <v/>
      </c>
    </row>
    <row r="622">
      <c r="A622" s="5" t="inlineStr">
        <is>
          <t>E00621</t>
        </is>
      </c>
      <c r="B622" s="5" t="inlineStr">
        <is>
          <t>Female</t>
        </is>
      </c>
      <c r="C622" s="6" t="inlineStr">
        <is>
          <t>35</t>
        </is>
      </c>
      <c r="D622" s="5" t="inlineStr">
        <is>
          <t>Married</t>
        </is>
      </c>
      <c r="E622" s="5" t="inlineStr">
        <is>
          <t>Master</t>
        </is>
      </c>
      <c r="F622" s="5" t="inlineStr">
        <is>
          <t>Human Resources</t>
        </is>
      </c>
      <c r="G622" s="5" t="inlineStr">
        <is>
          <t>HR Generalist</t>
        </is>
      </c>
      <c r="H622" s="5" t="inlineStr">
        <is>
          <t>3</t>
        </is>
      </c>
      <c r="I622" s="5" t="inlineStr">
        <is>
          <t>Hyderabad</t>
        </is>
      </c>
      <c r="J622" s="5" t="inlineStr">
        <is>
          <t>Full-Time</t>
        </is>
      </c>
      <c r="K622" s="7" t="n">
        <v>44269</v>
      </c>
      <c r="L622" s="7" t="inlineStr"/>
      <c r="M622" s="5" t="inlineStr">
        <is>
          <t>Yes</t>
        </is>
      </c>
      <c r="N622" s="5" t="inlineStr"/>
      <c r="O622" s="8" t="inlineStr">
        <is>
          <t>94000</t>
        </is>
      </c>
      <c r="P622" s="5" t="inlineStr">
        <is>
          <t>10</t>
        </is>
      </c>
      <c r="Q622" s="5" t="inlineStr">
        <is>
          <t>4</t>
        </is>
      </c>
      <c r="R622" s="5" t="inlineStr">
        <is>
          <t>6</t>
        </is>
      </c>
      <c r="S622" s="5" t="inlineStr">
        <is>
          <t>58</t>
        </is>
      </c>
      <c r="T622" s="5" t="inlineStr">
        <is>
          <t>5</t>
        </is>
      </c>
      <c r="U622" s="5">
        <f>IFS(C622&lt;30,"Under 30",C622&lt;40,"30-39",C622&lt;50,"40-49",TRUE,"50+")</f>
        <v/>
      </c>
      <c r="V622" s="5">
        <f>IFS(O622&lt;60000,"Low (&lt;60k)",O622&lt;100000,"Mid (60-100k)",TRUE,"High (100k+)")</f>
        <v/>
      </c>
      <c r="W622" s="5">
        <f>IF(M622="No","Attrited","Active")</f>
        <v/>
      </c>
    </row>
    <row r="623">
      <c r="A623" s="5" t="inlineStr">
        <is>
          <t>E00622</t>
        </is>
      </c>
      <c r="B623" s="5" t="inlineStr">
        <is>
          <t>Male</t>
        </is>
      </c>
      <c r="C623" s="6" t="inlineStr">
        <is>
          <t>29</t>
        </is>
      </c>
      <c r="D623" s="5" t="inlineStr">
        <is>
          <t>Married</t>
        </is>
      </c>
      <c r="E623" s="5" t="inlineStr">
        <is>
          <t>Bachelor</t>
        </is>
      </c>
      <c r="F623" s="5" t="inlineStr">
        <is>
          <t>Customer Support</t>
        </is>
      </c>
      <c r="G623" s="5" t="inlineStr">
        <is>
          <t>Support Lead</t>
        </is>
      </c>
      <c r="H623" s="5" t="inlineStr">
        <is>
          <t>3</t>
        </is>
      </c>
      <c r="I623" s="5" t="inlineStr">
        <is>
          <t>Bengaluru</t>
        </is>
      </c>
      <c r="J623" s="5" t="inlineStr">
        <is>
          <t>Full-Time</t>
        </is>
      </c>
      <c r="K623" s="7" t="n">
        <v>45081</v>
      </c>
      <c r="L623" s="7" t="inlineStr"/>
      <c r="M623" s="5" t="inlineStr">
        <is>
          <t>Yes</t>
        </is>
      </c>
      <c r="N623" s="5" t="inlineStr"/>
      <c r="O623" s="8" t="inlineStr">
        <is>
          <t>57500</t>
        </is>
      </c>
      <c r="P623" s="5" t="inlineStr">
        <is>
          <t>5</t>
        </is>
      </c>
      <c r="Q623" s="5" t="inlineStr">
        <is>
          <t>3</t>
        </is>
      </c>
      <c r="R623" s="5" t="inlineStr">
        <is>
          <t>10</t>
        </is>
      </c>
      <c r="S623" s="5" t="inlineStr">
        <is>
          <t>31</t>
        </is>
      </c>
      <c r="T623" s="5" t="inlineStr">
        <is>
          <t>10</t>
        </is>
      </c>
      <c r="U623" s="5">
        <f>IFS(C623&lt;30,"Under 30",C623&lt;40,"30-39",C623&lt;50,"40-49",TRUE,"50+")</f>
        <v/>
      </c>
      <c r="V623" s="5">
        <f>IFS(O623&lt;60000,"Low (&lt;60k)",O623&lt;100000,"Mid (60-100k)",TRUE,"High (100k+)")</f>
        <v/>
      </c>
      <c r="W623" s="5">
        <f>IF(M623="No","Attrited","Active")</f>
        <v/>
      </c>
    </row>
    <row r="624">
      <c r="A624" s="5" t="inlineStr">
        <is>
          <t>E00623</t>
        </is>
      </c>
      <c r="B624" s="5" t="inlineStr">
        <is>
          <t>Male</t>
        </is>
      </c>
      <c r="C624" s="6" t="inlineStr">
        <is>
          <t>41</t>
        </is>
      </c>
      <c r="D624" s="5" t="inlineStr">
        <is>
          <t>Married</t>
        </is>
      </c>
      <c r="E624" s="5" t="inlineStr">
        <is>
          <t>Diploma</t>
        </is>
      </c>
      <c r="F624" s="5" t="inlineStr">
        <is>
          <t>Finance</t>
        </is>
      </c>
      <c r="G624" s="5" t="inlineStr">
        <is>
          <t>Accountant</t>
        </is>
      </c>
      <c r="H624" s="5" t="inlineStr">
        <is>
          <t>7</t>
        </is>
      </c>
      <c r="I624" s="5" t="inlineStr">
        <is>
          <t>Mumbai</t>
        </is>
      </c>
      <c r="J624" s="5" t="inlineStr">
        <is>
          <t>Full-Time</t>
        </is>
      </c>
      <c r="K624" s="7" t="n">
        <v>44775</v>
      </c>
      <c r="L624" s="7" t="inlineStr"/>
      <c r="M624" s="5" t="inlineStr">
        <is>
          <t>Yes</t>
        </is>
      </c>
      <c r="N624" s="5" t="inlineStr"/>
      <c r="O624" s="8" t="inlineStr">
        <is>
          <t>134500</t>
        </is>
      </c>
      <c r="P624" s="5" t="inlineStr">
        <is>
          <t>0</t>
        </is>
      </c>
      <c r="Q624" s="5" t="inlineStr">
        <is>
          <t>3</t>
        </is>
      </c>
      <c r="R624" s="5" t="inlineStr">
        <is>
          <t>4</t>
        </is>
      </c>
      <c r="S624" s="5" t="inlineStr">
        <is>
          <t>41</t>
        </is>
      </c>
      <c r="T624" s="5" t="inlineStr">
        <is>
          <t>0</t>
        </is>
      </c>
      <c r="U624" s="5">
        <f>IFS(C624&lt;30,"Under 30",C624&lt;40,"30-39",C624&lt;50,"40-49",TRUE,"50+")</f>
        <v/>
      </c>
      <c r="V624" s="5">
        <f>IFS(O624&lt;60000,"Low (&lt;60k)",O624&lt;100000,"Mid (60-100k)",TRUE,"High (100k+)")</f>
        <v/>
      </c>
      <c r="W624" s="5">
        <f>IF(M624="No","Attrited","Active")</f>
        <v/>
      </c>
    </row>
    <row r="625">
      <c r="A625" s="5" t="inlineStr">
        <is>
          <t>E00624</t>
        </is>
      </c>
      <c r="B625" s="5" t="inlineStr">
        <is>
          <t>Male</t>
        </is>
      </c>
      <c r="C625" s="6" t="inlineStr">
        <is>
          <t>30</t>
        </is>
      </c>
      <c r="D625" s="5" t="inlineStr">
        <is>
          <t>Married</t>
        </is>
      </c>
      <c r="E625" s="5" t="inlineStr">
        <is>
          <t>Bachelor</t>
        </is>
      </c>
      <c r="F625" s="5" t="inlineStr">
        <is>
          <t>Human Resources</t>
        </is>
      </c>
      <c r="G625" s="5" t="inlineStr">
        <is>
          <t>Recruiter</t>
        </is>
      </c>
      <c r="H625" s="5" t="inlineStr">
        <is>
          <t>1</t>
        </is>
      </c>
      <c r="I625" s="5" t="inlineStr">
        <is>
          <t>Hyderabad</t>
        </is>
      </c>
      <c r="J625" s="5" t="inlineStr">
        <is>
          <t>Full-Time</t>
        </is>
      </c>
      <c r="K625" s="7" t="n">
        <v>44076</v>
      </c>
      <c r="L625" s="7" t="n">
        <v>44169</v>
      </c>
      <c r="M625" s="5" t="inlineStr">
        <is>
          <t>No</t>
        </is>
      </c>
      <c r="N625" s="5" t="inlineStr">
        <is>
          <t>Retirement</t>
        </is>
      </c>
      <c r="O625" s="8" t="inlineStr">
        <is>
          <t>62500</t>
        </is>
      </c>
      <c r="P625" s="5" t="inlineStr">
        <is>
          <t>5</t>
        </is>
      </c>
      <c r="Q625" s="5" t="inlineStr">
        <is>
          <t>5</t>
        </is>
      </c>
      <c r="R625" s="5" t="inlineStr">
        <is>
          <t>7</t>
        </is>
      </c>
      <c r="S625" s="5" t="inlineStr">
        <is>
          <t>3</t>
        </is>
      </c>
      <c r="T625" s="5" t="inlineStr">
        <is>
          <t>3</t>
        </is>
      </c>
      <c r="U625" s="5">
        <f>IFS(C625&lt;30,"Under 30",C625&lt;40,"30-39",C625&lt;50,"40-49",TRUE,"50+")</f>
        <v/>
      </c>
      <c r="V625" s="5">
        <f>IFS(O625&lt;60000,"Low (&lt;60k)",O625&lt;100000,"Mid (60-100k)",TRUE,"High (100k+)")</f>
        <v/>
      </c>
      <c r="W625" s="5">
        <f>IF(M625="No","Attrited","Active")</f>
        <v/>
      </c>
    </row>
    <row r="626">
      <c r="A626" s="5" t="inlineStr">
        <is>
          <t>E00625</t>
        </is>
      </c>
      <c r="B626" s="5" t="inlineStr">
        <is>
          <t>Female</t>
        </is>
      </c>
      <c r="C626" s="6" t="inlineStr">
        <is>
          <t>40</t>
        </is>
      </c>
      <c r="D626" s="5" t="inlineStr">
        <is>
          <t>Married</t>
        </is>
      </c>
      <c r="E626" s="5" t="inlineStr">
        <is>
          <t>PhD</t>
        </is>
      </c>
      <c r="F626" s="5" t="inlineStr">
        <is>
          <t>Finance</t>
        </is>
      </c>
      <c r="G626" s="5" t="inlineStr">
        <is>
          <t>Credit Analyst</t>
        </is>
      </c>
      <c r="H626" s="5" t="inlineStr">
        <is>
          <t>5</t>
        </is>
      </c>
      <c r="I626" s="5" t="inlineStr">
        <is>
          <t>Mumbai</t>
        </is>
      </c>
      <c r="J626" s="5" t="inlineStr">
        <is>
          <t>Full-Time</t>
        </is>
      </c>
      <c r="K626" s="7" t="n">
        <v>45277</v>
      </c>
      <c r="L626" s="7" t="inlineStr"/>
      <c r="M626" s="5" t="inlineStr">
        <is>
          <t>Yes</t>
        </is>
      </c>
      <c r="N626" s="5" t="inlineStr"/>
      <c r="O626" s="8" t="inlineStr">
        <is>
          <t>129500</t>
        </is>
      </c>
      <c r="P626" s="5" t="inlineStr">
        <is>
          <t>0</t>
        </is>
      </c>
      <c r="Q626" s="5" t="inlineStr">
        <is>
          <t>2</t>
        </is>
      </c>
      <c r="R626" s="5" t="inlineStr">
        <is>
          <t>6</t>
        </is>
      </c>
      <c r="S626" s="5" t="inlineStr">
        <is>
          <t>24</t>
        </is>
      </c>
      <c r="T626" s="5" t="inlineStr">
        <is>
          <t>0</t>
        </is>
      </c>
      <c r="U626" s="5">
        <f>IFS(C626&lt;30,"Under 30",C626&lt;40,"30-39",C626&lt;50,"40-49",TRUE,"50+")</f>
        <v/>
      </c>
      <c r="V626" s="5">
        <f>IFS(O626&lt;60000,"Low (&lt;60k)",O626&lt;100000,"Mid (60-100k)",TRUE,"High (100k+)")</f>
        <v/>
      </c>
      <c r="W626" s="5">
        <f>IF(M626="No","Attrited","Active")</f>
        <v/>
      </c>
    </row>
    <row r="627">
      <c r="A627" s="5" t="inlineStr">
        <is>
          <t>E00626</t>
        </is>
      </c>
      <c r="B627" s="5" t="inlineStr">
        <is>
          <t>Male</t>
        </is>
      </c>
      <c r="C627" s="6" t="inlineStr">
        <is>
          <t>33</t>
        </is>
      </c>
      <c r="D627" s="5" t="inlineStr">
        <is>
          <t>Single</t>
        </is>
      </c>
      <c r="E627" s="5" t="inlineStr">
        <is>
          <t>Diploma</t>
        </is>
      </c>
      <c r="F627" s="5" t="inlineStr">
        <is>
          <t>Finance</t>
        </is>
      </c>
      <c r="G627" s="5" t="inlineStr">
        <is>
          <t>Financial Analyst</t>
        </is>
      </c>
      <c r="H627" s="5" t="inlineStr">
        <is>
          <t>3</t>
        </is>
      </c>
      <c r="I627" s="5" t="inlineStr">
        <is>
          <t>Delhi</t>
        </is>
      </c>
      <c r="J627" s="5" t="inlineStr">
        <is>
          <t>Contract</t>
        </is>
      </c>
      <c r="K627" s="7" t="n">
        <v>44644</v>
      </c>
      <c r="L627" s="7" t="inlineStr"/>
      <c r="M627" s="5" t="inlineStr">
        <is>
          <t>Yes</t>
        </is>
      </c>
      <c r="N627" s="5" t="inlineStr"/>
      <c r="O627" s="8" t="inlineStr">
        <is>
          <t>133500</t>
        </is>
      </c>
      <c r="P627" s="5" t="inlineStr">
        <is>
          <t>10</t>
        </is>
      </c>
      <c r="Q627" s="5" t="inlineStr">
        <is>
          <t>3</t>
        </is>
      </c>
      <c r="R627" s="5" t="inlineStr">
        <is>
          <t>5</t>
        </is>
      </c>
      <c r="S627" s="5" t="inlineStr">
        <is>
          <t>45</t>
        </is>
      </c>
      <c r="T627" s="5" t="inlineStr">
        <is>
          <t>8</t>
        </is>
      </c>
      <c r="U627" s="5">
        <f>IFS(C627&lt;30,"Under 30",C627&lt;40,"30-39",C627&lt;50,"40-49",TRUE,"50+")</f>
        <v/>
      </c>
      <c r="V627" s="5">
        <f>IFS(O627&lt;60000,"Low (&lt;60k)",O627&lt;100000,"Mid (60-100k)",TRUE,"High (100k+)")</f>
        <v/>
      </c>
      <c r="W627" s="5">
        <f>IF(M627="No","Attrited","Active")</f>
        <v/>
      </c>
    </row>
    <row r="628">
      <c r="A628" s="5" t="inlineStr">
        <is>
          <t>E00627</t>
        </is>
      </c>
      <c r="B628" s="5" t="inlineStr">
        <is>
          <t>Male</t>
        </is>
      </c>
      <c r="C628" s="6" t="inlineStr">
        <is>
          <t>37</t>
        </is>
      </c>
      <c r="D628" s="5" t="inlineStr">
        <is>
          <t>Married</t>
        </is>
      </c>
      <c r="E628" s="5" t="inlineStr">
        <is>
          <t>PhD</t>
        </is>
      </c>
      <c r="F628" s="5" t="inlineStr">
        <is>
          <t>Customer Support</t>
        </is>
      </c>
      <c r="G628" s="5" t="inlineStr">
        <is>
          <t>Escalation Specialist</t>
        </is>
      </c>
      <c r="H628" s="5" t="inlineStr">
        <is>
          <t>5</t>
        </is>
      </c>
      <c r="I628" s="5" t="inlineStr">
        <is>
          <t>Bengaluru</t>
        </is>
      </c>
      <c r="J628" s="5" t="inlineStr">
        <is>
          <t>Full-Time</t>
        </is>
      </c>
      <c r="K628" s="7" t="n">
        <v>45528</v>
      </c>
      <c r="L628" s="7" t="inlineStr"/>
      <c r="M628" s="5" t="inlineStr">
        <is>
          <t>Yes</t>
        </is>
      </c>
      <c r="N628" s="5" t="inlineStr"/>
      <c r="O628" s="8" t="inlineStr">
        <is>
          <t>93000</t>
        </is>
      </c>
      <c r="P628" s="5" t="inlineStr">
        <is>
          <t>0</t>
        </is>
      </c>
      <c r="Q628" s="5" t="inlineStr">
        <is>
          <t>4</t>
        </is>
      </c>
      <c r="R628" s="5" t="inlineStr">
        <is>
          <t>4</t>
        </is>
      </c>
      <c r="S628" s="5" t="inlineStr">
        <is>
          <t>16</t>
        </is>
      </c>
      <c r="T628" s="5" t="inlineStr">
        <is>
          <t>6</t>
        </is>
      </c>
      <c r="U628" s="5">
        <f>IFS(C628&lt;30,"Under 30",C628&lt;40,"30-39",C628&lt;50,"40-49",TRUE,"50+")</f>
        <v/>
      </c>
      <c r="V628" s="5">
        <f>IFS(O628&lt;60000,"Low (&lt;60k)",O628&lt;100000,"Mid (60-100k)",TRUE,"High (100k+)")</f>
        <v/>
      </c>
      <c r="W628" s="5">
        <f>IF(M628="No","Attrited","Active")</f>
        <v/>
      </c>
    </row>
    <row r="629">
      <c r="A629" s="5" t="inlineStr">
        <is>
          <t>E00628</t>
        </is>
      </c>
      <c r="B629" s="5" t="inlineStr">
        <is>
          <t>Male</t>
        </is>
      </c>
      <c r="C629" s="6" t="inlineStr">
        <is>
          <t>39</t>
        </is>
      </c>
      <c r="D629" s="5" t="inlineStr">
        <is>
          <t>Married</t>
        </is>
      </c>
      <c r="E629" s="5" t="inlineStr">
        <is>
          <t>Bachelor</t>
        </is>
      </c>
      <c r="F629" s="5" t="inlineStr">
        <is>
          <t>Customer Support</t>
        </is>
      </c>
      <c r="G629" s="5" t="inlineStr">
        <is>
          <t>Support Agent</t>
        </is>
      </c>
      <c r="H629" s="5" t="inlineStr">
        <is>
          <t>7</t>
        </is>
      </c>
      <c r="I629" s="5" t="inlineStr">
        <is>
          <t>Delhi</t>
        </is>
      </c>
      <c r="J629" s="5" t="inlineStr">
        <is>
          <t>Full-Time</t>
        </is>
      </c>
      <c r="K629" s="7" t="n">
        <v>45363</v>
      </c>
      <c r="L629" s="7" t="inlineStr"/>
      <c r="M629" s="5" t="inlineStr">
        <is>
          <t>Yes</t>
        </is>
      </c>
      <c r="N629" s="5" t="inlineStr"/>
      <c r="O629" s="8" t="inlineStr">
        <is>
          <t>137500</t>
        </is>
      </c>
      <c r="P629" s="5" t="inlineStr">
        <is>
          <t>20</t>
        </is>
      </c>
      <c r="Q629" s="5" t="inlineStr">
        <is>
          <t>3</t>
        </is>
      </c>
      <c r="R629" s="5" t="inlineStr">
        <is>
          <t>6</t>
        </is>
      </c>
      <c r="S629" s="5" t="inlineStr">
        <is>
          <t>21</t>
        </is>
      </c>
      <c r="T629" s="5" t="inlineStr">
        <is>
          <t>0</t>
        </is>
      </c>
      <c r="U629" s="5">
        <f>IFS(C629&lt;30,"Under 30",C629&lt;40,"30-39",C629&lt;50,"40-49",TRUE,"50+")</f>
        <v/>
      </c>
      <c r="V629" s="5">
        <f>IFS(O629&lt;60000,"Low (&lt;60k)",O629&lt;100000,"Mid (60-100k)",TRUE,"High (100k+)")</f>
        <v/>
      </c>
      <c r="W629" s="5">
        <f>IF(M629="No","Attrited","Active")</f>
        <v/>
      </c>
    </row>
    <row r="630">
      <c r="A630" s="5" t="inlineStr">
        <is>
          <t>E00629</t>
        </is>
      </c>
      <c r="B630" s="5" t="inlineStr">
        <is>
          <t>Female</t>
        </is>
      </c>
      <c r="C630" s="6" t="inlineStr">
        <is>
          <t>25</t>
        </is>
      </c>
      <c r="D630" s="5" t="inlineStr">
        <is>
          <t>Married</t>
        </is>
      </c>
      <c r="E630" s="5" t="inlineStr">
        <is>
          <t>PhD</t>
        </is>
      </c>
      <c r="F630" s="5" t="inlineStr">
        <is>
          <t>IT</t>
        </is>
      </c>
      <c r="G630" s="5" t="inlineStr">
        <is>
          <t>DevOps Engineer</t>
        </is>
      </c>
      <c r="H630" s="5" t="inlineStr">
        <is>
          <t>2</t>
        </is>
      </c>
      <c r="I630" s="5" t="inlineStr">
        <is>
          <t>Delhi</t>
        </is>
      </c>
      <c r="J630" s="5" t="inlineStr">
        <is>
          <t>Full-Time</t>
        </is>
      </c>
      <c r="K630" s="7" t="n">
        <v>44916</v>
      </c>
      <c r="L630" s="7" t="inlineStr"/>
      <c r="M630" s="5" t="inlineStr">
        <is>
          <t>Yes</t>
        </is>
      </c>
      <c r="N630" s="5" t="inlineStr"/>
      <c r="O630" s="8" t="inlineStr">
        <is>
          <t>144500</t>
        </is>
      </c>
      <c r="P630" s="5" t="inlineStr">
        <is>
          <t>10</t>
        </is>
      </c>
      <c r="Q630" s="5" t="inlineStr">
        <is>
          <t>3</t>
        </is>
      </c>
      <c r="R630" s="5" t="inlineStr">
        <is>
          <t>5</t>
        </is>
      </c>
      <c r="S630" s="5" t="inlineStr">
        <is>
          <t>36</t>
        </is>
      </c>
      <c r="T630" s="5" t="inlineStr">
        <is>
          <t>10</t>
        </is>
      </c>
      <c r="U630" s="5">
        <f>IFS(C630&lt;30,"Under 30",C630&lt;40,"30-39",C630&lt;50,"40-49",TRUE,"50+")</f>
        <v/>
      </c>
      <c r="V630" s="5">
        <f>IFS(O630&lt;60000,"Low (&lt;60k)",O630&lt;100000,"Mid (60-100k)",TRUE,"High (100k+)")</f>
        <v/>
      </c>
      <c r="W630" s="5">
        <f>IF(M630="No","Attrited","Active")</f>
        <v/>
      </c>
    </row>
    <row r="631">
      <c r="A631" s="5" t="inlineStr">
        <is>
          <t>E00630</t>
        </is>
      </c>
      <c r="B631" s="5" t="inlineStr">
        <is>
          <t>Male</t>
        </is>
      </c>
      <c r="C631" s="6" t="inlineStr">
        <is>
          <t>25</t>
        </is>
      </c>
      <c r="D631" s="5" t="inlineStr">
        <is>
          <t>Married</t>
        </is>
      </c>
      <c r="E631" s="5" t="inlineStr">
        <is>
          <t>Diploma</t>
        </is>
      </c>
      <c r="F631" s="5" t="inlineStr">
        <is>
          <t>IT</t>
        </is>
      </c>
      <c r="G631" s="5" t="inlineStr">
        <is>
          <t>IT Support</t>
        </is>
      </c>
      <c r="H631" s="5" t="inlineStr">
        <is>
          <t>1</t>
        </is>
      </c>
      <c r="I631" s="5" t="inlineStr">
        <is>
          <t>Mumbai</t>
        </is>
      </c>
      <c r="J631" s="5" t="inlineStr">
        <is>
          <t>Full-Time</t>
        </is>
      </c>
      <c r="K631" s="7" t="n">
        <v>44057</v>
      </c>
      <c r="L631" s="7" t="n">
        <v>44103</v>
      </c>
      <c r="M631" s="5" t="inlineStr">
        <is>
          <t>No</t>
        </is>
      </c>
      <c r="N631" s="5" t="inlineStr">
        <is>
          <t>Resigned</t>
        </is>
      </c>
      <c r="O631" s="8" t="inlineStr">
        <is>
          <t>93000</t>
        </is>
      </c>
      <c r="P631" s="5" t="inlineStr">
        <is>
          <t>15</t>
        </is>
      </c>
      <c r="Q631" s="5" t="inlineStr">
        <is>
          <t>3</t>
        </is>
      </c>
      <c r="R631" s="5" t="inlineStr">
        <is>
          <t>5</t>
        </is>
      </c>
      <c r="S631" s="5" t="inlineStr">
        <is>
          <t>1</t>
        </is>
      </c>
      <c r="T631" s="5" t="inlineStr">
        <is>
          <t>3</t>
        </is>
      </c>
      <c r="U631" s="5">
        <f>IFS(C631&lt;30,"Under 30",C631&lt;40,"30-39",C631&lt;50,"40-49",TRUE,"50+")</f>
        <v/>
      </c>
      <c r="V631" s="5">
        <f>IFS(O631&lt;60000,"Low (&lt;60k)",O631&lt;100000,"Mid (60-100k)",TRUE,"High (100k+)")</f>
        <v/>
      </c>
      <c r="W631" s="5">
        <f>IF(M631="No","Attrited","Active")</f>
        <v/>
      </c>
    </row>
    <row r="632">
      <c r="A632" s="5" t="inlineStr">
        <is>
          <t>E00631</t>
        </is>
      </c>
      <c r="B632" s="5" t="inlineStr">
        <is>
          <t>Female</t>
        </is>
      </c>
      <c r="C632" s="6" t="inlineStr">
        <is>
          <t>27</t>
        </is>
      </c>
      <c r="D632" s="5" t="inlineStr">
        <is>
          <t>Married</t>
        </is>
      </c>
      <c r="E632" s="5" t="inlineStr">
        <is>
          <t>Diploma</t>
        </is>
      </c>
      <c r="F632" s="5" t="inlineStr">
        <is>
          <t>Finance</t>
        </is>
      </c>
      <c r="G632" s="5" t="inlineStr">
        <is>
          <t>Credit Analyst</t>
        </is>
      </c>
      <c r="H632" s="5" t="inlineStr">
        <is>
          <t>1</t>
        </is>
      </c>
      <c r="I632" s="5" t="inlineStr">
        <is>
          <t>Delhi</t>
        </is>
      </c>
      <c r="J632" s="5" t="inlineStr">
        <is>
          <t>Full-Time</t>
        </is>
      </c>
      <c r="K632" s="7" t="n">
        <v>44951</v>
      </c>
      <c r="L632" s="7" t="inlineStr"/>
      <c r="M632" s="5" t="inlineStr">
        <is>
          <t>Yes</t>
        </is>
      </c>
      <c r="N632" s="5" t="inlineStr"/>
      <c r="O632" s="8" t="inlineStr">
        <is>
          <t>76000</t>
        </is>
      </c>
      <c r="P632" s="5" t="inlineStr">
        <is>
          <t>0</t>
        </is>
      </c>
      <c r="Q632" s="5" t="inlineStr">
        <is>
          <t>3</t>
        </is>
      </c>
      <c r="R632" s="5" t="inlineStr">
        <is>
          <t>9</t>
        </is>
      </c>
      <c r="S632" s="5" t="inlineStr">
        <is>
          <t>35</t>
        </is>
      </c>
      <c r="T632" s="5" t="inlineStr">
        <is>
          <t>2</t>
        </is>
      </c>
      <c r="U632" s="5">
        <f>IFS(C632&lt;30,"Under 30",C632&lt;40,"30-39",C632&lt;50,"40-49",TRUE,"50+")</f>
        <v/>
      </c>
      <c r="V632" s="5">
        <f>IFS(O632&lt;60000,"Low (&lt;60k)",O632&lt;100000,"Mid (60-100k)",TRUE,"High (100k+)")</f>
        <v/>
      </c>
      <c r="W632" s="5">
        <f>IF(M632="No","Attrited","Active")</f>
        <v/>
      </c>
    </row>
    <row r="633">
      <c r="A633" s="5" t="inlineStr">
        <is>
          <t>E00632</t>
        </is>
      </c>
      <c r="B633" s="5" t="inlineStr">
        <is>
          <t>Female</t>
        </is>
      </c>
      <c r="C633" s="6" t="inlineStr">
        <is>
          <t>27</t>
        </is>
      </c>
      <c r="D633" s="5" t="inlineStr">
        <is>
          <t>Divorced</t>
        </is>
      </c>
      <c r="E633" s="5" t="inlineStr">
        <is>
          <t>PhD</t>
        </is>
      </c>
      <c r="F633" s="5" t="inlineStr">
        <is>
          <t>Customer Support</t>
        </is>
      </c>
      <c r="G633" s="5" t="inlineStr">
        <is>
          <t>Escalation Specialist</t>
        </is>
      </c>
      <c r="H633" s="5" t="inlineStr">
        <is>
          <t>3</t>
        </is>
      </c>
      <c r="I633" s="5" t="inlineStr">
        <is>
          <t>Chennai</t>
        </is>
      </c>
      <c r="J633" s="5" t="inlineStr">
        <is>
          <t>Full-Time</t>
        </is>
      </c>
      <c r="K633" s="7" t="n">
        <v>45316</v>
      </c>
      <c r="L633" s="7" t="inlineStr"/>
      <c r="M633" s="5" t="inlineStr">
        <is>
          <t>Yes</t>
        </is>
      </c>
      <c r="N633" s="5" t="inlineStr"/>
      <c r="O633" s="8" t="inlineStr">
        <is>
          <t>82000</t>
        </is>
      </c>
      <c r="P633" s="5" t="inlineStr">
        <is>
          <t>10</t>
        </is>
      </c>
      <c r="Q633" s="5" t="inlineStr">
        <is>
          <t>2</t>
        </is>
      </c>
      <c r="R633" s="5" t="inlineStr">
        <is>
          <t>3</t>
        </is>
      </c>
      <c r="S633" s="5" t="inlineStr">
        <is>
          <t>23</t>
        </is>
      </c>
      <c r="T633" s="5" t="inlineStr">
        <is>
          <t>11</t>
        </is>
      </c>
      <c r="U633" s="5">
        <f>IFS(C633&lt;30,"Under 30",C633&lt;40,"30-39",C633&lt;50,"40-49",TRUE,"50+")</f>
        <v/>
      </c>
      <c r="V633" s="5">
        <f>IFS(O633&lt;60000,"Low (&lt;60k)",O633&lt;100000,"Mid (60-100k)",TRUE,"High (100k+)")</f>
        <v/>
      </c>
      <c r="W633" s="5">
        <f>IF(M633="No","Attrited","Active")</f>
        <v/>
      </c>
    </row>
    <row r="634">
      <c r="A634" s="5" t="inlineStr">
        <is>
          <t>E00633</t>
        </is>
      </c>
      <c r="B634" s="5" t="inlineStr">
        <is>
          <t>Female</t>
        </is>
      </c>
      <c r="C634" s="6" t="inlineStr">
        <is>
          <t>34</t>
        </is>
      </c>
      <c r="D634" s="5" t="inlineStr">
        <is>
          <t>Divorced</t>
        </is>
      </c>
      <c r="E634" s="5" t="inlineStr">
        <is>
          <t>High School</t>
        </is>
      </c>
      <c r="F634" s="5" t="inlineStr">
        <is>
          <t>Operations</t>
        </is>
      </c>
      <c r="G634" s="5" t="inlineStr">
        <is>
          <t>Logistics Coordinator</t>
        </is>
      </c>
      <c r="H634" s="5" t="inlineStr">
        <is>
          <t>4</t>
        </is>
      </c>
      <c r="I634" s="5" t="inlineStr">
        <is>
          <t>Bengaluru</t>
        </is>
      </c>
      <c r="J634" s="5" t="inlineStr">
        <is>
          <t>Full-Time</t>
        </is>
      </c>
      <c r="K634" s="7" t="n">
        <v>44581</v>
      </c>
      <c r="L634" s="7" t="n">
        <v>44731</v>
      </c>
      <c r="M634" s="5" t="inlineStr">
        <is>
          <t>No</t>
        </is>
      </c>
      <c r="N634" s="5" t="inlineStr">
        <is>
          <t>Performance / Termination</t>
        </is>
      </c>
      <c r="O634" s="8" t="inlineStr">
        <is>
          <t>115500</t>
        </is>
      </c>
      <c r="P634" s="5" t="inlineStr">
        <is>
          <t>15</t>
        </is>
      </c>
      <c r="Q634" s="5" t="inlineStr">
        <is>
          <t>4</t>
        </is>
      </c>
      <c r="R634" s="5" t="inlineStr">
        <is>
          <t>3</t>
        </is>
      </c>
      <c r="S634" s="5" t="inlineStr">
        <is>
          <t>5</t>
        </is>
      </c>
      <c r="T634" s="5" t="inlineStr">
        <is>
          <t>4</t>
        </is>
      </c>
      <c r="U634" s="5">
        <f>IFS(C634&lt;30,"Under 30",C634&lt;40,"30-39",C634&lt;50,"40-49",TRUE,"50+")</f>
        <v/>
      </c>
      <c r="V634" s="5">
        <f>IFS(O634&lt;60000,"Low (&lt;60k)",O634&lt;100000,"Mid (60-100k)",TRUE,"High (100k+)")</f>
        <v/>
      </c>
      <c r="W634" s="5">
        <f>IF(M634="No","Attrited","Active")</f>
        <v/>
      </c>
    </row>
    <row r="635">
      <c r="A635" s="5" t="inlineStr">
        <is>
          <t>E00634</t>
        </is>
      </c>
      <c r="B635" s="5" t="inlineStr">
        <is>
          <t>Male</t>
        </is>
      </c>
      <c r="C635" s="6" t="inlineStr">
        <is>
          <t>28</t>
        </is>
      </c>
      <c r="D635" s="5" t="inlineStr">
        <is>
          <t>Married</t>
        </is>
      </c>
      <c r="E635" s="5" t="inlineStr">
        <is>
          <t>Diploma</t>
        </is>
      </c>
      <c r="F635" s="5" t="inlineStr">
        <is>
          <t>Sales</t>
        </is>
      </c>
      <c r="G635" s="5" t="inlineStr">
        <is>
          <t>Account Executive</t>
        </is>
      </c>
      <c r="H635" s="5" t="inlineStr">
        <is>
          <t>2</t>
        </is>
      </c>
      <c r="I635" s="5" t="inlineStr">
        <is>
          <t>Delhi</t>
        </is>
      </c>
      <c r="J635" s="5" t="inlineStr">
        <is>
          <t>Full-Time</t>
        </is>
      </c>
      <c r="K635" s="7" t="n">
        <v>43935</v>
      </c>
      <c r="L635" s="7" t="inlineStr"/>
      <c r="M635" s="5" t="inlineStr">
        <is>
          <t>Yes</t>
        </is>
      </c>
      <c r="N635" s="5" t="inlineStr"/>
      <c r="O635" s="8" t="inlineStr">
        <is>
          <t>98500</t>
        </is>
      </c>
      <c r="P635" s="5" t="inlineStr">
        <is>
          <t>10</t>
        </is>
      </c>
      <c r="Q635" s="5" t="inlineStr">
        <is>
          <t>3</t>
        </is>
      </c>
      <c r="R635" s="5" t="inlineStr">
        <is>
          <t>6</t>
        </is>
      </c>
      <c r="S635" s="5" t="inlineStr">
        <is>
          <t>69</t>
        </is>
      </c>
      <c r="T635" s="5" t="inlineStr">
        <is>
          <t>2</t>
        </is>
      </c>
      <c r="U635" s="5">
        <f>IFS(C635&lt;30,"Under 30",C635&lt;40,"30-39",C635&lt;50,"40-49",TRUE,"50+")</f>
        <v/>
      </c>
      <c r="V635" s="5">
        <f>IFS(O635&lt;60000,"Low (&lt;60k)",O635&lt;100000,"Mid (60-100k)",TRUE,"High (100k+)")</f>
        <v/>
      </c>
      <c r="W635" s="5">
        <f>IF(M635="No","Attrited","Active")</f>
        <v/>
      </c>
    </row>
    <row r="636">
      <c r="A636" s="5" t="inlineStr">
        <is>
          <t>E00635</t>
        </is>
      </c>
      <c r="B636" s="5" t="inlineStr">
        <is>
          <t>Female</t>
        </is>
      </c>
      <c r="C636" s="6" t="inlineStr">
        <is>
          <t>32</t>
        </is>
      </c>
      <c r="D636" s="5" t="inlineStr">
        <is>
          <t>Married</t>
        </is>
      </c>
      <c r="E636" s="5" t="inlineStr">
        <is>
          <t>PhD</t>
        </is>
      </c>
      <c r="F636" s="5" t="inlineStr">
        <is>
          <t>Operations</t>
        </is>
      </c>
      <c r="G636" s="5" t="inlineStr">
        <is>
          <t>Quality Analyst</t>
        </is>
      </c>
      <c r="H636" s="5" t="inlineStr">
        <is>
          <t>2</t>
        </is>
      </c>
      <c r="I636" s="5" t="inlineStr">
        <is>
          <t>Mumbai</t>
        </is>
      </c>
      <c r="J636" s="5" t="inlineStr">
        <is>
          <t>Full-Time</t>
        </is>
      </c>
      <c r="K636" s="7" t="n">
        <v>43840</v>
      </c>
      <c r="L636" s="7" t="inlineStr"/>
      <c r="M636" s="5" t="inlineStr">
        <is>
          <t>Yes</t>
        </is>
      </c>
      <c r="N636" s="5" t="inlineStr"/>
      <c r="O636" s="8" t="inlineStr">
        <is>
          <t>111000</t>
        </is>
      </c>
      <c r="P636" s="5" t="inlineStr">
        <is>
          <t>10</t>
        </is>
      </c>
      <c r="Q636" s="5" t="inlineStr">
        <is>
          <t>3</t>
        </is>
      </c>
      <c r="R636" s="5" t="inlineStr">
        <is>
          <t>9</t>
        </is>
      </c>
      <c r="S636" s="5" t="inlineStr">
        <is>
          <t>72</t>
        </is>
      </c>
      <c r="T636" s="5" t="inlineStr">
        <is>
          <t>1</t>
        </is>
      </c>
      <c r="U636" s="5">
        <f>IFS(C636&lt;30,"Under 30",C636&lt;40,"30-39",C636&lt;50,"40-49",TRUE,"50+")</f>
        <v/>
      </c>
      <c r="V636" s="5">
        <f>IFS(O636&lt;60000,"Low (&lt;60k)",O636&lt;100000,"Mid (60-100k)",TRUE,"High (100k+)")</f>
        <v/>
      </c>
      <c r="W636" s="5">
        <f>IF(M636="No","Attrited","Active")</f>
        <v/>
      </c>
    </row>
    <row r="637">
      <c r="A637" s="5" t="inlineStr">
        <is>
          <t>E00636</t>
        </is>
      </c>
      <c r="B637" s="5" t="inlineStr">
        <is>
          <t>Male</t>
        </is>
      </c>
      <c r="C637" s="6" t="inlineStr">
        <is>
          <t>29</t>
        </is>
      </c>
      <c r="D637" s="5" t="inlineStr">
        <is>
          <t>Married</t>
        </is>
      </c>
      <c r="E637" s="5" t="inlineStr">
        <is>
          <t>Diploma</t>
        </is>
      </c>
      <c r="F637" s="5" t="inlineStr">
        <is>
          <t>Operations</t>
        </is>
      </c>
      <c r="G637" s="5" t="inlineStr">
        <is>
          <t>Logistics Coordinator</t>
        </is>
      </c>
      <c r="H637" s="5" t="inlineStr">
        <is>
          <t>4</t>
        </is>
      </c>
      <c r="I637" s="5" t="inlineStr">
        <is>
          <t>Remote</t>
        </is>
      </c>
      <c r="J637" s="5" t="inlineStr">
        <is>
          <t>Full-Time</t>
        </is>
      </c>
      <c r="K637" s="7" t="n">
        <v>44125</v>
      </c>
      <c r="L637" s="7" t="inlineStr"/>
      <c r="M637" s="5" t="inlineStr">
        <is>
          <t>Yes</t>
        </is>
      </c>
      <c r="N637" s="5" t="inlineStr"/>
      <c r="O637" s="8" t="inlineStr">
        <is>
          <t>108500</t>
        </is>
      </c>
      <c r="P637" s="5" t="inlineStr">
        <is>
          <t>0</t>
        </is>
      </c>
      <c r="Q637" s="5" t="inlineStr">
        <is>
          <t>4</t>
        </is>
      </c>
      <c r="R637" s="5" t="inlineStr">
        <is>
          <t>6</t>
        </is>
      </c>
      <c r="S637" s="5" t="inlineStr">
        <is>
          <t>63</t>
        </is>
      </c>
      <c r="T637" s="5" t="inlineStr">
        <is>
          <t>8</t>
        </is>
      </c>
      <c r="U637" s="5">
        <f>IFS(C637&lt;30,"Under 30",C637&lt;40,"30-39",C637&lt;50,"40-49",TRUE,"50+")</f>
        <v/>
      </c>
      <c r="V637" s="5">
        <f>IFS(O637&lt;60000,"Low (&lt;60k)",O637&lt;100000,"Mid (60-100k)",TRUE,"High (100k+)")</f>
        <v/>
      </c>
      <c r="W637" s="5">
        <f>IF(M637="No","Attrited","Active")</f>
        <v/>
      </c>
    </row>
    <row r="638">
      <c r="A638" s="5" t="inlineStr">
        <is>
          <t>E00637</t>
        </is>
      </c>
      <c r="B638" s="5" t="inlineStr">
        <is>
          <t>Male</t>
        </is>
      </c>
      <c r="C638" s="6" t="inlineStr">
        <is>
          <t>33</t>
        </is>
      </c>
      <c r="D638" s="5" t="inlineStr">
        <is>
          <t>Married</t>
        </is>
      </c>
      <c r="E638" s="5" t="inlineStr">
        <is>
          <t>Diploma</t>
        </is>
      </c>
      <c r="F638" s="5" t="inlineStr">
        <is>
          <t>Operations</t>
        </is>
      </c>
      <c r="G638" s="5" t="inlineStr">
        <is>
          <t>Operations Analyst</t>
        </is>
      </c>
      <c r="H638" s="5" t="inlineStr">
        <is>
          <t>4</t>
        </is>
      </c>
      <c r="I638" s="5" t="inlineStr">
        <is>
          <t>Remote</t>
        </is>
      </c>
      <c r="J638" s="5" t="inlineStr">
        <is>
          <t>Full-Time</t>
        </is>
      </c>
      <c r="K638" s="7" t="n">
        <v>45150</v>
      </c>
      <c r="L638" s="7" t="inlineStr"/>
      <c r="M638" s="5" t="inlineStr">
        <is>
          <t>Yes</t>
        </is>
      </c>
      <c r="N638" s="5" t="inlineStr"/>
      <c r="O638" s="8" t="inlineStr">
        <is>
          <t>79000</t>
        </is>
      </c>
      <c r="P638" s="5" t="inlineStr">
        <is>
          <t>15</t>
        </is>
      </c>
      <c r="Q638" s="5" t="inlineStr">
        <is>
          <t>4</t>
        </is>
      </c>
      <c r="R638" s="5" t="inlineStr">
        <is>
          <t>4</t>
        </is>
      </c>
      <c r="S638" s="5" t="inlineStr">
        <is>
          <t>29</t>
        </is>
      </c>
      <c r="T638" s="5" t="inlineStr">
        <is>
          <t>11</t>
        </is>
      </c>
      <c r="U638" s="5">
        <f>IFS(C638&lt;30,"Under 30",C638&lt;40,"30-39",C638&lt;50,"40-49",TRUE,"50+")</f>
        <v/>
      </c>
      <c r="V638" s="5">
        <f>IFS(O638&lt;60000,"Low (&lt;60k)",O638&lt;100000,"Mid (60-100k)",TRUE,"High (100k+)")</f>
        <v/>
      </c>
      <c r="W638" s="5">
        <f>IF(M638="No","Attrited","Active")</f>
        <v/>
      </c>
    </row>
    <row r="639">
      <c r="A639" s="5" t="inlineStr">
        <is>
          <t>E00638</t>
        </is>
      </c>
      <c r="B639" s="5" t="inlineStr">
        <is>
          <t>Female</t>
        </is>
      </c>
      <c r="C639" s="6" t="inlineStr">
        <is>
          <t>30</t>
        </is>
      </c>
      <c r="D639" s="5" t="inlineStr">
        <is>
          <t>Married</t>
        </is>
      </c>
      <c r="E639" s="5" t="inlineStr">
        <is>
          <t>Bachelor</t>
        </is>
      </c>
      <c r="F639" s="5" t="inlineStr">
        <is>
          <t>Operations</t>
        </is>
      </c>
      <c r="G639" s="5" t="inlineStr">
        <is>
          <t>Operations Analyst</t>
        </is>
      </c>
      <c r="H639" s="5" t="inlineStr">
        <is>
          <t>3</t>
        </is>
      </c>
      <c r="I639" s="5" t="inlineStr">
        <is>
          <t>Hyderabad</t>
        </is>
      </c>
      <c r="J639" s="5" t="inlineStr">
        <is>
          <t>Contract</t>
        </is>
      </c>
      <c r="K639" s="7" t="n">
        <v>44289</v>
      </c>
      <c r="L639" s="7" t="inlineStr"/>
      <c r="M639" s="5" t="inlineStr">
        <is>
          <t>Yes</t>
        </is>
      </c>
      <c r="N639" s="5" t="inlineStr"/>
      <c r="O639" s="8" t="inlineStr">
        <is>
          <t>113000</t>
        </is>
      </c>
      <c r="P639" s="5" t="inlineStr">
        <is>
          <t>10</t>
        </is>
      </c>
      <c r="Q639" s="5" t="inlineStr">
        <is>
          <t>4</t>
        </is>
      </c>
      <c r="R639" s="5" t="inlineStr">
        <is>
          <t>8</t>
        </is>
      </c>
      <c r="S639" s="5" t="inlineStr">
        <is>
          <t>57</t>
        </is>
      </c>
      <c r="T639" s="5" t="inlineStr">
        <is>
          <t>9</t>
        </is>
      </c>
      <c r="U639" s="5">
        <f>IFS(C639&lt;30,"Under 30",C639&lt;40,"30-39",C639&lt;50,"40-49",TRUE,"50+")</f>
        <v/>
      </c>
      <c r="V639" s="5">
        <f>IFS(O639&lt;60000,"Low (&lt;60k)",O639&lt;100000,"Mid (60-100k)",TRUE,"High (100k+)")</f>
        <v/>
      </c>
      <c r="W639" s="5">
        <f>IF(M639="No","Attrited","Active")</f>
        <v/>
      </c>
    </row>
    <row r="640">
      <c r="A640" s="5" t="inlineStr">
        <is>
          <t>E00639</t>
        </is>
      </c>
      <c r="B640" s="5" t="inlineStr">
        <is>
          <t>Male</t>
        </is>
      </c>
      <c r="C640" s="6" t="inlineStr">
        <is>
          <t>28</t>
        </is>
      </c>
      <c r="D640" s="5" t="inlineStr">
        <is>
          <t>Single</t>
        </is>
      </c>
      <c r="E640" s="5" t="inlineStr">
        <is>
          <t>Diploma</t>
        </is>
      </c>
      <c r="F640" s="5" t="inlineStr">
        <is>
          <t>Operations</t>
        </is>
      </c>
      <c r="G640" s="5" t="inlineStr">
        <is>
          <t>Logistics Coordinator</t>
        </is>
      </c>
      <c r="H640" s="5" t="inlineStr">
        <is>
          <t>3</t>
        </is>
      </c>
      <c r="I640" s="5" t="inlineStr">
        <is>
          <t>Delhi</t>
        </is>
      </c>
      <c r="J640" s="5" t="inlineStr">
        <is>
          <t>Full-Time</t>
        </is>
      </c>
      <c r="K640" s="7" t="n">
        <v>45581</v>
      </c>
      <c r="L640" s="7" t="inlineStr"/>
      <c r="M640" s="5" t="inlineStr">
        <is>
          <t>Yes</t>
        </is>
      </c>
      <c r="N640" s="5" t="inlineStr"/>
      <c r="O640" s="8" t="inlineStr">
        <is>
          <t>86500</t>
        </is>
      </c>
      <c r="P640" s="5" t="inlineStr">
        <is>
          <t>0</t>
        </is>
      </c>
      <c r="Q640" s="5" t="inlineStr">
        <is>
          <t>3</t>
        </is>
      </c>
      <c r="R640" s="5" t="inlineStr">
        <is>
          <t>7</t>
        </is>
      </c>
      <c r="S640" s="5" t="inlineStr">
        <is>
          <t>14</t>
        </is>
      </c>
      <c r="T640" s="5" t="inlineStr">
        <is>
          <t>8</t>
        </is>
      </c>
      <c r="U640" s="5">
        <f>IFS(C640&lt;30,"Under 30",C640&lt;40,"30-39",C640&lt;50,"40-49",TRUE,"50+")</f>
        <v/>
      </c>
      <c r="V640" s="5">
        <f>IFS(O640&lt;60000,"Low (&lt;60k)",O640&lt;100000,"Mid (60-100k)",TRUE,"High (100k+)")</f>
        <v/>
      </c>
      <c r="W640" s="5">
        <f>IF(M640="No","Attrited","Active")</f>
        <v/>
      </c>
    </row>
    <row r="641">
      <c r="A641" s="5" t="inlineStr">
        <is>
          <t>E00640</t>
        </is>
      </c>
      <c r="B641" s="5" t="inlineStr">
        <is>
          <t>Female</t>
        </is>
      </c>
      <c r="C641" s="6" t="inlineStr">
        <is>
          <t>25</t>
        </is>
      </c>
      <c r="D641" s="5" t="inlineStr">
        <is>
          <t>Married</t>
        </is>
      </c>
      <c r="E641" s="5" t="inlineStr">
        <is>
          <t>High School</t>
        </is>
      </c>
      <c r="F641" s="5" t="inlineStr">
        <is>
          <t>Finance</t>
        </is>
      </c>
      <c r="G641" s="5" t="inlineStr">
        <is>
          <t>Financial Analyst</t>
        </is>
      </c>
      <c r="H641" s="5" t="inlineStr">
        <is>
          <t>2</t>
        </is>
      </c>
      <c r="I641" s="5" t="inlineStr">
        <is>
          <t>Mumbai</t>
        </is>
      </c>
      <c r="J641" s="5" t="inlineStr">
        <is>
          <t>Full-Time</t>
        </is>
      </c>
      <c r="K641" s="7" t="n">
        <v>45663</v>
      </c>
      <c r="L641" s="7" t="inlineStr"/>
      <c r="M641" s="5" t="inlineStr">
        <is>
          <t>Yes</t>
        </is>
      </c>
      <c r="N641" s="5" t="inlineStr"/>
      <c r="O641" s="8" t="inlineStr">
        <is>
          <t>97500</t>
        </is>
      </c>
      <c r="P641" s="5" t="inlineStr">
        <is>
          <t>0</t>
        </is>
      </c>
      <c r="Q641" s="5" t="inlineStr">
        <is>
          <t>3</t>
        </is>
      </c>
      <c r="R641" s="5" t="inlineStr">
        <is>
          <t>8</t>
        </is>
      </c>
      <c r="S641" s="5" t="inlineStr">
        <is>
          <t>11</t>
        </is>
      </c>
      <c r="T641" s="5" t="inlineStr">
        <is>
          <t>2</t>
        </is>
      </c>
      <c r="U641" s="5">
        <f>IFS(C641&lt;30,"Under 30",C641&lt;40,"30-39",C641&lt;50,"40-49",TRUE,"50+")</f>
        <v/>
      </c>
      <c r="V641" s="5">
        <f>IFS(O641&lt;60000,"Low (&lt;60k)",O641&lt;100000,"Mid (60-100k)",TRUE,"High (100k+)")</f>
        <v/>
      </c>
      <c r="W641" s="5">
        <f>IF(M641="No","Attrited","Active")</f>
        <v/>
      </c>
    </row>
    <row r="642">
      <c r="A642" s="5" t="inlineStr">
        <is>
          <t>E00641</t>
        </is>
      </c>
      <c r="B642" s="5" t="inlineStr">
        <is>
          <t>Male</t>
        </is>
      </c>
      <c r="C642" s="6" t="inlineStr">
        <is>
          <t>40</t>
        </is>
      </c>
      <c r="D642" s="5" t="inlineStr">
        <is>
          <t>Married</t>
        </is>
      </c>
      <c r="E642" s="5" t="inlineStr">
        <is>
          <t>PhD</t>
        </is>
      </c>
      <c r="F642" s="5" t="inlineStr">
        <is>
          <t>Operations</t>
        </is>
      </c>
      <c r="G642" s="5" t="inlineStr">
        <is>
          <t>Operations Analyst</t>
        </is>
      </c>
      <c r="H642" s="5" t="inlineStr">
        <is>
          <t>4</t>
        </is>
      </c>
      <c r="I642" s="5" t="inlineStr">
        <is>
          <t>Mumbai</t>
        </is>
      </c>
      <c r="J642" s="5" t="inlineStr">
        <is>
          <t>Full-Time</t>
        </is>
      </c>
      <c r="K642" s="7" t="n">
        <v>45964</v>
      </c>
      <c r="L642" s="7" t="inlineStr"/>
      <c r="M642" s="5" t="inlineStr">
        <is>
          <t>Yes</t>
        </is>
      </c>
      <c r="N642" s="5" t="inlineStr"/>
      <c r="O642" s="8" t="inlineStr">
        <is>
          <t>121000</t>
        </is>
      </c>
      <c r="P642" s="5" t="inlineStr">
        <is>
          <t>0</t>
        </is>
      </c>
      <c r="Q642" s="5" t="inlineStr">
        <is>
          <t>5</t>
        </is>
      </c>
      <c r="R642" s="5" t="inlineStr">
        <is>
          <t>6</t>
        </is>
      </c>
      <c r="S642" s="5" t="inlineStr">
        <is>
          <t>1</t>
        </is>
      </c>
      <c r="T642" s="5" t="inlineStr">
        <is>
          <t>0</t>
        </is>
      </c>
      <c r="U642" s="5">
        <f>IFS(C642&lt;30,"Under 30",C642&lt;40,"30-39",C642&lt;50,"40-49",TRUE,"50+")</f>
        <v/>
      </c>
      <c r="V642" s="5">
        <f>IFS(O642&lt;60000,"Low (&lt;60k)",O642&lt;100000,"Mid (60-100k)",TRUE,"High (100k+)")</f>
        <v/>
      </c>
      <c r="W642" s="5">
        <f>IF(M642="No","Attrited","Active")</f>
        <v/>
      </c>
    </row>
    <row r="643">
      <c r="A643" s="5" t="inlineStr">
        <is>
          <t>E00642</t>
        </is>
      </c>
      <c r="B643" s="5" t="inlineStr">
        <is>
          <t>Male</t>
        </is>
      </c>
      <c r="C643" s="6" t="inlineStr">
        <is>
          <t>32</t>
        </is>
      </c>
      <c r="D643" s="5" t="inlineStr">
        <is>
          <t>Married</t>
        </is>
      </c>
      <c r="E643" s="5" t="inlineStr">
        <is>
          <t>Diploma</t>
        </is>
      </c>
      <c r="F643" s="5" t="inlineStr">
        <is>
          <t>Sales</t>
        </is>
      </c>
      <c r="G643" s="5" t="inlineStr">
        <is>
          <t>Sales Executive</t>
        </is>
      </c>
      <c r="H643" s="5" t="inlineStr">
        <is>
          <t>3</t>
        </is>
      </c>
      <c r="I643" s="5" t="inlineStr">
        <is>
          <t>Delhi</t>
        </is>
      </c>
      <c r="J643" s="5" t="inlineStr">
        <is>
          <t>Full-Time</t>
        </is>
      </c>
      <c r="K643" s="7" t="n">
        <v>44944</v>
      </c>
      <c r="L643" s="7" t="inlineStr"/>
      <c r="M643" s="5" t="inlineStr">
        <is>
          <t>Yes</t>
        </is>
      </c>
      <c r="N643" s="5" t="inlineStr"/>
      <c r="O643" s="8" t="inlineStr">
        <is>
          <t>130500</t>
        </is>
      </c>
      <c r="P643" s="5" t="inlineStr">
        <is>
          <t>5</t>
        </is>
      </c>
      <c r="Q643" s="5" t="inlineStr">
        <is>
          <t>2</t>
        </is>
      </c>
      <c r="R643" s="5" t="inlineStr">
        <is>
          <t>6</t>
        </is>
      </c>
      <c r="S643" s="5" t="inlineStr">
        <is>
          <t>35</t>
        </is>
      </c>
      <c r="T643" s="5" t="inlineStr">
        <is>
          <t>10</t>
        </is>
      </c>
      <c r="U643" s="5">
        <f>IFS(C643&lt;30,"Under 30",C643&lt;40,"30-39",C643&lt;50,"40-49",TRUE,"50+")</f>
        <v/>
      </c>
      <c r="V643" s="5">
        <f>IFS(O643&lt;60000,"Low (&lt;60k)",O643&lt;100000,"Mid (60-100k)",TRUE,"High (100k+)")</f>
        <v/>
      </c>
      <c r="W643" s="5">
        <f>IF(M643="No","Attrited","Active")</f>
        <v/>
      </c>
    </row>
    <row r="644">
      <c r="A644" s="5" t="inlineStr">
        <is>
          <t>E00643</t>
        </is>
      </c>
      <c r="B644" s="5" t="inlineStr">
        <is>
          <t>Male</t>
        </is>
      </c>
      <c r="C644" s="6" t="inlineStr">
        <is>
          <t>38</t>
        </is>
      </c>
      <c r="D644" s="5" t="inlineStr">
        <is>
          <t>Married</t>
        </is>
      </c>
      <c r="E644" s="5" t="inlineStr">
        <is>
          <t>Diploma</t>
        </is>
      </c>
      <c r="F644" s="5" t="inlineStr">
        <is>
          <t>Operations</t>
        </is>
      </c>
      <c r="G644" s="5" t="inlineStr">
        <is>
          <t>Operations Analyst</t>
        </is>
      </c>
      <c r="H644" s="5" t="inlineStr">
        <is>
          <t>6</t>
        </is>
      </c>
      <c r="I644" s="5" t="inlineStr">
        <is>
          <t>Delhi</t>
        </is>
      </c>
      <c r="J644" s="5" t="inlineStr">
        <is>
          <t>Contract</t>
        </is>
      </c>
      <c r="K644" s="7" t="n">
        <v>45926</v>
      </c>
      <c r="L644" s="7" t="inlineStr"/>
      <c r="M644" s="5" t="inlineStr">
        <is>
          <t>Yes</t>
        </is>
      </c>
      <c r="N644" s="5" t="inlineStr"/>
      <c r="O644" s="8" t="inlineStr">
        <is>
          <t>120500</t>
        </is>
      </c>
      <c r="P644" s="5" t="inlineStr">
        <is>
          <t>0</t>
        </is>
      </c>
      <c r="Q644" s="5" t="inlineStr">
        <is>
          <t>5</t>
        </is>
      </c>
      <c r="R644" s="5" t="inlineStr">
        <is>
          <t>8</t>
        </is>
      </c>
      <c r="S644" s="5" t="inlineStr">
        <is>
          <t>3</t>
        </is>
      </c>
      <c r="T644" s="5" t="inlineStr">
        <is>
          <t>5</t>
        </is>
      </c>
      <c r="U644" s="5">
        <f>IFS(C644&lt;30,"Under 30",C644&lt;40,"30-39",C644&lt;50,"40-49",TRUE,"50+")</f>
        <v/>
      </c>
      <c r="V644" s="5">
        <f>IFS(O644&lt;60000,"Low (&lt;60k)",O644&lt;100000,"Mid (60-100k)",TRUE,"High (100k+)")</f>
        <v/>
      </c>
      <c r="W644" s="5">
        <f>IF(M644="No","Attrited","Active")</f>
        <v/>
      </c>
    </row>
    <row r="645">
      <c r="A645" s="5" t="inlineStr">
        <is>
          <t>E00644</t>
        </is>
      </c>
      <c r="B645" s="5" t="inlineStr">
        <is>
          <t>Male</t>
        </is>
      </c>
      <c r="C645" s="6" t="inlineStr">
        <is>
          <t>27</t>
        </is>
      </c>
      <c r="D645" s="5" t="inlineStr">
        <is>
          <t>Married</t>
        </is>
      </c>
      <c r="E645" s="5" t="inlineStr">
        <is>
          <t>Diploma</t>
        </is>
      </c>
      <c r="F645" s="5" t="inlineStr">
        <is>
          <t>IT</t>
        </is>
      </c>
      <c r="G645" s="5" t="inlineStr">
        <is>
          <t>Data Analyst</t>
        </is>
      </c>
      <c r="H645" s="5" t="inlineStr">
        <is>
          <t>3</t>
        </is>
      </c>
      <c r="I645" s="5" t="inlineStr">
        <is>
          <t>Bengaluru</t>
        </is>
      </c>
      <c r="J645" s="5" t="inlineStr">
        <is>
          <t>Part-Time</t>
        </is>
      </c>
      <c r="K645" s="7" t="n">
        <v>45760</v>
      </c>
      <c r="L645" s="7" t="inlineStr"/>
      <c r="M645" s="5" t="inlineStr">
        <is>
          <t>Yes</t>
        </is>
      </c>
      <c r="N645" s="5" t="inlineStr"/>
      <c r="O645" s="8" t="inlineStr">
        <is>
          <t>118500</t>
        </is>
      </c>
      <c r="P645" s="5" t="inlineStr">
        <is>
          <t>5</t>
        </is>
      </c>
      <c r="Q645" s="5" t="inlineStr">
        <is>
          <t>4</t>
        </is>
      </c>
      <c r="R645" s="5" t="inlineStr">
        <is>
          <t>9</t>
        </is>
      </c>
      <c r="S645" s="5" t="inlineStr">
        <is>
          <t>8</t>
        </is>
      </c>
      <c r="T645" s="5" t="inlineStr">
        <is>
          <t>8</t>
        </is>
      </c>
      <c r="U645" s="5">
        <f>IFS(C645&lt;30,"Under 30",C645&lt;40,"30-39",C645&lt;50,"40-49",TRUE,"50+")</f>
        <v/>
      </c>
      <c r="V645" s="5">
        <f>IFS(O645&lt;60000,"Low (&lt;60k)",O645&lt;100000,"Mid (60-100k)",TRUE,"High (100k+)")</f>
        <v/>
      </c>
      <c r="W645" s="5">
        <f>IF(M645="No","Attrited","Active")</f>
        <v/>
      </c>
    </row>
    <row r="646">
      <c r="A646" s="5" t="inlineStr">
        <is>
          <t>E00645</t>
        </is>
      </c>
      <c r="B646" s="5" t="inlineStr">
        <is>
          <t>Female</t>
        </is>
      </c>
      <c r="C646" s="6" t="inlineStr">
        <is>
          <t>24</t>
        </is>
      </c>
      <c r="D646" s="5" t="inlineStr">
        <is>
          <t>Divorced</t>
        </is>
      </c>
      <c r="E646" s="5" t="inlineStr">
        <is>
          <t>Diploma</t>
        </is>
      </c>
      <c r="F646" s="5" t="inlineStr">
        <is>
          <t>IT</t>
        </is>
      </c>
      <c r="G646" s="5" t="inlineStr">
        <is>
          <t>Data Analyst</t>
        </is>
      </c>
      <c r="H646" s="5" t="inlineStr">
        <is>
          <t>1</t>
        </is>
      </c>
      <c r="I646" s="5" t="inlineStr">
        <is>
          <t>Mumbai</t>
        </is>
      </c>
      <c r="J646" s="5" t="inlineStr">
        <is>
          <t>Full-Time</t>
        </is>
      </c>
      <c r="K646" s="7" t="n">
        <v>45369</v>
      </c>
      <c r="L646" s="7" t="inlineStr"/>
      <c r="M646" s="5" t="inlineStr">
        <is>
          <t>Yes</t>
        </is>
      </c>
      <c r="N646" s="5" t="inlineStr"/>
      <c r="O646" s="8" t="inlineStr">
        <is>
          <t>82500</t>
        </is>
      </c>
      <c r="P646" s="5" t="inlineStr">
        <is>
          <t>0</t>
        </is>
      </c>
      <c r="Q646" s="5" t="inlineStr">
        <is>
          <t>4</t>
        </is>
      </c>
      <c r="R646" s="5" t="inlineStr">
        <is>
          <t>7</t>
        </is>
      </c>
      <c r="S646" s="5" t="inlineStr">
        <is>
          <t>21</t>
        </is>
      </c>
      <c r="T646" s="5" t="inlineStr">
        <is>
          <t>0</t>
        </is>
      </c>
      <c r="U646" s="5">
        <f>IFS(C646&lt;30,"Under 30",C646&lt;40,"30-39",C646&lt;50,"40-49",TRUE,"50+")</f>
        <v/>
      </c>
      <c r="V646" s="5">
        <f>IFS(O646&lt;60000,"Low (&lt;60k)",O646&lt;100000,"Mid (60-100k)",TRUE,"High (100k+)")</f>
        <v/>
      </c>
      <c r="W646" s="5">
        <f>IF(M646="No","Attrited","Active")</f>
        <v/>
      </c>
    </row>
    <row r="647">
      <c r="A647" s="5" t="inlineStr">
        <is>
          <t>E00646</t>
        </is>
      </c>
      <c r="B647" s="5" t="inlineStr">
        <is>
          <t>Male</t>
        </is>
      </c>
      <c r="C647" s="6" t="inlineStr">
        <is>
          <t>34</t>
        </is>
      </c>
      <c r="D647" s="5" t="inlineStr">
        <is>
          <t>Single</t>
        </is>
      </c>
      <c r="E647" s="5" t="inlineStr">
        <is>
          <t>High School</t>
        </is>
      </c>
      <c r="F647" s="5" t="inlineStr">
        <is>
          <t>Operations</t>
        </is>
      </c>
      <c r="G647" s="5" t="inlineStr">
        <is>
          <t>Quality Analyst</t>
        </is>
      </c>
      <c r="H647" s="5" t="inlineStr">
        <is>
          <t>2</t>
        </is>
      </c>
      <c r="I647" s="5" t="inlineStr">
        <is>
          <t>Mumbai</t>
        </is>
      </c>
      <c r="J647" s="5" t="inlineStr">
        <is>
          <t>Full-Time</t>
        </is>
      </c>
      <c r="K647" s="7" t="n">
        <v>43835</v>
      </c>
      <c r="L647" s="7" t="inlineStr"/>
      <c r="M647" s="5" t="inlineStr">
        <is>
          <t>Yes</t>
        </is>
      </c>
      <c r="N647" s="5" t="inlineStr"/>
      <c r="O647" s="8" t="inlineStr">
        <is>
          <t>101000</t>
        </is>
      </c>
      <c r="P647" s="5" t="inlineStr">
        <is>
          <t>5</t>
        </is>
      </c>
      <c r="Q647" s="5" t="inlineStr">
        <is>
          <t>3</t>
        </is>
      </c>
      <c r="R647" s="5" t="inlineStr">
        <is>
          <t>8</t>
        </is>
      </c>
      <c r="S647" s="5" t="inlineStr">
        <is>
          <t>72</t>
        </is>
      </c>
      <c r="T647" s="5" t="inlineStr">
        <is>
          <t>3</t>
        </is>
      </c>
      <c r="U647" s="5">
        <f>IFS(C647&lt;30,"Under 30",C647&lt;40,"30-39",C647&lt;50,"40-49",TRUE,"50+")</f>
        <v/>
      </c>
      <c r="V647" s="5">
        <f>IFS(O647&lt;60000,"Low (&lt;60k)",O647&lt;100000,"Mid (60-100k)",TRUE,"High (100k+)")</f>
        <v/>
      </c>
      <c r="W647" s="5">
        <f>IF(M647="No","Attrited","Active")</f>
        <v/>
      </c>
    </row>
    <row r="648">
      <c r="A648" s="5" t="inlineStr">
        <is>
          <t>E00647</t>
        </is>
      </c>
      <c r="B648" s="5" t="inlineStr">
        <is>
          <t>Female</t>
        </is>
      </c>
      <c r="C648" s="6" t="inlineStr">
        <is>
          <t>32</t>
        </is>
      </c>
      <c r="D648" s="5" t="inlineStr">
        <is>
          <t>Married</t>
        </is>
      </c>
      <c r="E648" s="5" t="inlineStr">
        <is>
          <t>Master</t>
        </is>
      </c>
      <c r="F648" s="5" t="inlineStr">
        <is>
          <t>Customer Support</t>
        </is>
      </c>
      <c r="G648" s="5" t="inlineStr">
        <is>
          <t>Support Agent</t>
        </is>
      </c>
      <c r="H648" s="5" t="inlineStr">
        <is>
          <t>2</t>
        </is>
      </c>
      <c r="I648" s="5" t="inlineStr">
        <is>
          <t>Delhi</t>
        </is>
      </c>
      <c r="J648" s="5" t="inlineStr">
        <is>
          <t>Part-Time</t>
        </is>
      </c>
      <c r="K648" s="7" t="n">
        <v>45775</v>
      </c>
      <c r="L648" s="7" t="inlineStr"/>
      <c r="M648" s="5" t="inlineStr">
        <is>
          <t>Yes</t>
        </is>
      </c>
      <c r="N648" s="5" t="inlineStr"/>
      <c r="O648" s="8" t="inlineStr">
        <is>
          <t>52500</t>
        </is>
      </c>
      <c r="P648" s="5" t="inlineStr">
        <is>
          <t>15</t>
        </is>
      </c>
      <c r="Q648" s="5" t="inlineStr">
        <is>
          <t>4</t>
        </is>
      </c>
      <c r="R648" s="5" t="inlineStr">
        <is>
          <t>7</t>
        </is>
      </c>
      <c r="S648" s="5" t="inlineStr">
        <is>
          <t>8</t>
        </is>
      </c>
      <c r="T648" s="5" t="inlineStr">
        <is>
          <t>5</t>
        </is>
      </c>
      <c r="U648" s="5">
        <f>IFS(C648&lt;30,"Under 30",C648&lt;40,"30-39",C648&lt;50,"40-49",TRUE,"50+")</f>
        <v/>
      </c>
      <c r="V648" s="5">
        <f>IFS(O648&lt;60000,"Low (&lt;60k)",O648&lt;100000,"Mid (60-100k)",TRUE,"High (100k+)")</f>
        <v/>
      </c>
      <c r="W648" s="5">
        <f>IF(M648="No","Attrited","Active")</f>
        <v/>
      </c>
    </row>
    <row r="649">
      <c r="A649" s="5" t="inlineStr">
        <is>
          <t>E00648</t>
        </is>
      </c>
      <c r="B649" s="5" t="inlineStr">
        <is>
          <t>Female</t>
        </is>
      </c>
      <c r="C649" s="6" t="inlineStr">
        <is>
          <t>30</t>
        </is>
      </c>
      <c r="D649" s="5" t="inlineStr">
        <is>
          <t>Married</t>
        </is>
      </c>
      <c r="E649" s="5" t="inlineStr">
        <is>
          <t>Bachelor</t>
        </is>
      </c>
      <c r="F649" s="5" t="inlineStr">
        <is>
          <t>Human Resources</t>
        </is>
      </c>
      <c r="G649" s="5" t="inlineStr">
        <is>
          <t>HR Generalist</t>
        </is>
      </c>
      <c r="H649" s="5" t="inlineStr">
        <is>
          <t>1</t>
        </is>
      </c>
      <c r="I649" s="5" t="inlineStr">
        <is>
          <t>Delhi</t>
        </is>
      </c>
      <c r="J649" s="5" t="inlineStr">
        <is>
          <t>Full-Time</t>
        </is>
      </c>
      <c r="K649" s="7" t="n">
        <v>45703</v>
      </c>
      <c r="L649" s="7" t="n">
        <v>45824</v>
      </c>
      <c r="M649" s="5" t="inlineStr">
        <is>
          <t>No</t>
        </is>
      </c>
      <c r="N649" s="5" t="inlineStr">
        <is>
          <t>Resigned</t>
        </is>
      </c>
      <c r="O649" s="8" t="inlineStr">
        <is>
          <t>80500</t>
        </is>
      </c>
      <c r="P649" s="5" t="inlineStr">
        <is>
          <t>5</t>
        </is>
      </c>
      <c r="Q649" s="5" t="inlineStr">
        <is>
          <t>4</t>
        </is>
      </c>
      <c r="R649" s="5" t="inlineStr">
        <is>
          <t>9</t>
        </is>
      </c>
      <c r="S649" s="5" t="inlineStr">
        <is>
          <t>4</t>
        </is>
      </c>
      <c r="T649" s="5" t="inlineStr">
        <is>
          <t>0</t>
        </is>
      </c>
      <c r="U649" s="5">
        <f>IFS(C649&lt;30,"Under 30",C649&lt;40,"30-39",C649&lt;50,"40-49",TRUE,"50+")</f>
        <v/>
      </c>
      <c r="V649" s="5">
        <f>IFS(O649&lt;60000,"Low (&lt;60k)",O649&lt;100000,"Mid (60-100k)",TRUE,"High (100k+)")</f>
        <v/>
      </c>
      <c r="W649" s="5">
        <f>IF(M649="No","Attrited","Active")</f>
        <v/>
      </c>
    </row>
    <row r="650">
      <c r="A650" s="5" t="inlineStr">
        <is>
          <t>E00649</t>
        </is>
      </c>
      <c r="B650" s="5" t="inlineStr">
        <is>
          <t>Male</t>
        </is>
      </c>
      <c r="C650" s="6" t="inlineStr">
        <is>
          <t>26</t>
        </is>
      </c>
      <c r="D650" s="5" t="inlineStr">
        <is>
          <t>Married</t>
        </is>
      </c>
      <c r="E650" s="5" t="inlineStr">
        <is>
          <t>Master</t>
        </is>
      </c>
      <c r="F650" s="5" t="inlineStr">
        <is>
          <t>Operations</t>
        </is>
      </c>
      <c r="G650" s="5" t="inlineStr">
        <is>
          <t>Operations Analyst</t>
        </is>
      </c>
      <c r="H650" s="5" t="inlineStr">
        <is>
          <t>2</t>
        </is>
      </c>
      <c r="I650" s="5" t="inlineStr">
        <is>
          <t>Delhi</t>
        </is>
      </c>
      <c r="J650" s="5" t="inlineStr">
        <is>
          <t>Full-Time</t>
        </is>
      </c>
      <c r="K650" s="7" t="n">
        <v>44452</v>
      </c>
      <c r="L650" s="7" t="n">
        <v>44507</v>
      </c>
      <c r="M650" s="5" t="inlineStr">
        <is>
          <t>No</t>
        </is>
      </c>
      <c r="N650" s="5" t="inlineStr">
        <is>
          <t>Retirement</t>
        </is>
      </c>
      <c r="O650" s="8" t="inlineStr">
        <is>
          <t>73500</t>
        </is>
      </c>
      <c r="P650" s="5" t="inlineStr">
        <is>
          <t>20</t>
        </is>
      </c>
      <c r="Q650" s="5" t="inlineStr">
        <is>
          <t>2</t>
        </is>
      </c>
      <c r="R650" s="5" t="inlineStr">
        <is>
          <t>6</t>
        </is>
      </c>
      <c r="S650" s="5" t="inlineStr">
        <is>
          <t>1</t>
        </is>
      </c>
      <c r="T650" s="5" t="inlineStr">
        <is>
          <t>16</t>
        </is>
      </c>
      <c r="U650" s="5">
        <f>IFS(C650&lt;30,"Under 30",C650&lt;40,"30-39",C650&lt;50,"40-49",TRUE,"50+")</f>
        <v/>
      </c>
      <c r="V650" s="5">
        <f>IFS(O650&lt;60000,"Low (&lt;60k)",O650&lt;100000,"Mid (60-100k)",TRUE,"High (100k+)")</f>
        <v/>
      </c>
      <c r="W650" s="5">
        <f>IF(M650="No","Attrited","Active")</f>
        <v/>
      </c>
    </row>
    <row r="651">
      <c r="A651" s="5" t="inlineStr">
        <is>
          <t>E00650</t>
        </is>
      </c>
      <c r="B651" s="5" t="inlineStr">
        <is>
          <t>Male</t>
        </is>
      </c>
      <c r="C651" s="6" t="inlineStr">
        <is>
          <t>30</t>
        </is>
      </c>
      <c r="D651" s="5" t="inlineStr">
        <is>
          <t>Divorced</t>
        </is>
      </c>
      <c r="E651" s="5" t="inlineStr">
        <is>
          <t>Diploma</t>
        </is>
      </c>
      <c r="F651" s="5" t="inlineStr">
        <is>
          <t>Human Resources</t>
        </is>
      </c>
      <c r="G651" s="5" t="inlineStr">
        <is>
          <t>Recruiter</t>
        </is>
      </c>
      <c r="H651" s="5" t="inlineStr">
        <is>
          <t>2</t>
        </is>
      </c>
      <c r="I651" s="5" t="inlineStr">
        <is>
          <t>Remote</t>
        </is>
      </c>
      <c r="J651" s="5" t="inlineStr">
        <is>
          <t>Full-Time</t>
        </is>
      </c>
      <c r="K651" s="7" t="n">
        <v>43907</v>
      </c>
      <c r="L651" s="7" t="inlineStr"/>
      <c r="M651" s="5" t="inlineStr">
        <is>
          <t>Yes</t>
        </is>
      </c>
      <c r="N651" s="5" t="inlineStr"/>
      <c r="O651" s="8" t="inlineStr">
        <is>
          <t>104500</t>
        </is>
      </c>
      <c r="P651" s="5" t="inlineStr">
        <is>
          <t>0</t>
        </is>
      </c>
      <c r="Q651" s="5" t="inlineStr">
        <is>
          <t>3</t>
        </is>
      </c>
      <c r="R651" s="5" t="inlineStr">
        <is>
          <t>5</t>
        </is>
      </c>
      <c r="S651" s="5" t="inlineStr">
        <is>
          <t>70</t>
        </is>
      </c>
      <c r="T651" s="5" t="inlineStr">
        <is>
          <t>0</t>
        </is>
      </c>
      <c r="U651" s="5">
        <f>IFS(C651&lt;30,"Under 30",C651&lt;40,"30-39",C651&lt;50,"40-49",TRUE,"50+")</f>
        <v/>
      </c>
      <c r="V651" s="5">
        <f>IFS(O651&lt;60000,"Low (&lt;60k)",O651&lt;100000,"Mid (60-100k)",TRUE,"High (100k+)")</f>
        <v/>
      </c>
      <c r="W651" s="5">
        <f>IF(M651="No","Attrited","Active")</f>
        <v/>
      </c>
    </row>
    <row r="652">
      <c r="A652" s="5" t="inlineStr">
        <is>
          <t>E00651</t>
        </is>
      </c>
      <c r="B652" s="5" t="inlineStr">
        <is>
          <t>Male</t>
        </is>
      </c>
      <c r="C652" s="6" t="inlineStr">
        <is>
          <t>30</t>
        </is>
      </c>
      <c r="D652" s="5" t="inlineStr">
        <is>
          <t>Married</t>
        </is>
      </c>
      <c r="E652" s="5" t="inlineStr">
        <is>
          <t>Master</t>
        </is>
      </c>
      <c r="F652" s="5" t="inlineStr">
        <is>
          <t>Customer Support</t>
        </is>
      </c>
      <c r="G652" s="5" t="inlineStr">
        <is>
          <t>Support Agent</t>
        </is>
      </c>
      <c r="H652" s="5" t="inlineStr">
        <is>
          <t>2</t>
        </is>
      </c>
      <c r="I652" s="5" t="inlineStr">
        <is>
          <t>Mumbai</t>
        </is>
      </c>
      <c r="J652" s="5" t="inlineStr">
        <is>
          <t>Full-Time</t>
        </is>
      </c>
      <c r="K652" s="7" t="n">
        <v>45712</v>
      </c>
      <c r="L652" s="7" t="n">
        <v>45812</v>
      </c>
      <c r="M652" s="5" t="inlineStr">
        <is>
          <t>No</t>
        </is>
      </c>
      <c r="N652" s="5" t="inlineStr">
        <is>
          <t>Retirement</t>
        </is>
      </c>
      <c r="O652" s="8" t="inlineStr">
        <is>
          <t>68000</t>
        </is>
      </c>
      <c r="P652" s="5" t="inlineStr">
        <is>
          <t>15</t>
        </is>
      </c>
      <c r="Q652" s="5" t="inlineStr">
        <is>
          <t>5</t>
        </is>
      </c>
      <c r="R652" s="5" t="inlineStr">
        <is>
          <t>10</t>
        </is>
      </c>
      <c r="S652" s="5" t="inlineStr">
        <is>
          <t>3</t>
        </is>
      </c>
      <c r="T652" s="5" t="inlineStr">
        <is>
          <t>0</t>
        </is>
      </c>
      <c r="U652" s="5">
        <f>IFS(C652&lt;30,"Under 30",C652&lt;40,"30-39",C652&lt;50,"40-49",TRUE,"50+")</f>
        <v/>
      </c>
      <c r="V652" s="5">
        <f>IFS(O652&lt;60000,"Low (&lt;60k)",O652&lt;100000,"Mid (60-100k)",TRUE,"High (100k+)")</f>
        <v/>
      </c>
      <c r="W652" s="5">
        <f>IF(M652="No","Attrited","Active")</f>
        <v/>
      </c>
    </row>
    <row r="653">
      <c r="A653" s="5" t="inlineStr">
        <is>
          <t>E00652</t>
        </is>
      </c>
      <c r="B653" s="5" t="inlineStr">
        <is>
          <t>Male</t>
        </is>
      </c>
      <c r="C653" s="6" t="inlineStr">
        <is>
          <t>39</t>
        </is>
      </c>
      <c r="D653" s="5" t="inlineStr">
        <is>
          <t>Married</t>
        </is>
      </c>
      <c r="E653" s="5" t="inlineStr">
        <is>
          <t>Diploma</t>
        </is>
      </c>
      <c r="F653" s="5" t="inlineStr">
        <is>
          <t>Research &amp; Development</t>
        </is>
      </c>
      <c r="G653" s="5" t="inlineStr">
        <is>
          <t>Research Scientist</t>
        </is>
      </c>
      <c r="H653" s="5" t="inlineStr">
        <is>
          <t>4</t>
        </is>
      </c>
      <c r="I653" s="5" t="inlineStr">
        <is>
          <t>Remote</t>
        </is>
      </c>
      <c r="J653" s="5" t="inlineStr">
        <is>
          <t>Full-Time</t>
        </is>
      </c>
      <c r="K653" s="7" t="n">
        <v>44458</v>
      </c>
      <c r="L653" s="7" t="inlineStr"/>
      <c r="M653" s="5" t="inlineStr">
        <is>
          <t>Yes</t>
        </is>
      </c>
      <c r="N653" s="5" t="inlineStr"/>
      <c r="O653" s="8" t="inlineStr">
        <is>
          <t>166000</t>
        </is>
      </c>
      <c r="P653" s="5" t="inlineStr">
        <is>
          <t>15</t>
        </is>
      </c>
      <c r="Q653" s="5" t="inlineStr">
        <is>
          <t>2</t>
        </is>
      </c>
      <c r="R653" s="5" t="inlineStr">
        <is>
          <t>8</t>
        </is>
      </c>
      <c r="S653" s="5" t="inlineStr">
        <is>
          <t>52</t>
        </is>
      </c>
      <c r="T653" s="5" t="inlineStr">
        <is>
          <t>0</t>
        </is>
      </c>
      <c r="U653" s="5">
        <f>IFS(C653&lt;30,"Under 30",C653&lt;40,"30-39",C653&lt;50,"40-49",TRUE,"50+")</f>
        <v/>
      </c>
      <c r="V653" s="5">
        <f>IFS(O653&lt;60000,"Low (&lt;60k)",O653&lt;100000,"Mid (60-100k)",TRUE,"High (100k+)")</f>
        <v/>
      </c>
      <c r="W653" s="5">
        <f>IF(M653="No","Attrited","Active")</f>
        <v/>
      </c>
    </row>
    <row r="654">
      <c r="A654" s="5" t="inlineStr">
        <is>
          <t>E00653</t>
        </is>
      </c>
      <c r="B654" s="5" t="inlineStr">
        <is>
          <t>Female</t>
        </is>
      </c>
      <c r="C654" s="6" t="inlineStr">
        <is>
          <t>36</t>
        </is>
      </c>
      <c r="D654" s="5" t="inlineStr">
        <is>
          <t>Single</t>
        </is>
      </c>
      <c r="E654" s="5" t="inlineStr">
        <is>
          <t>Master</t>
        </is>
      </c>
      <c r="F654" s="5" t="inlineStr">
        <is>
          <t>Sales</t>
        </is>
      </c>
      <c r="G654" s="5" t="inlineStr">
        <is>
          <t>Sales Executive</t>
        </is>
      </c>
      <c r="H654" s="5" t="inlineStr">
        <is>
          <t>5</t>
        </is>
      </c>
      <c r="I654" s="5" t="inlineStr">
        <is>
          <t>Hyderabad</t>
        </is>
      </c>
      <c r="J654" s="5" t="inlineStr">
        <is>
          <t>Full-Time</t>
        </is>
      </c>
      <c r="K654" s="7" t="n">
        <v>45851</v>
      </c>
      <c r="L654" s="7" t="inlineStr"/>
      <c r="M654" s="5" t="inlineStr">
        <is>
          <t>Yes</t>
        </is>
      </c>
      <c r="N654" s="5" t="inlineStr"/>
      <c r="O654" s="8" t="inlineStr">
        <is>
          <t>134000</t>
        </is>
      </c>
      <c r="P654" s="5" t="inlineStr">
        <is>
          <t>5</t>
        </is>
      </c>
      <c r="Q654" s="5" t="inlineStr">
        <is>
          <t>4</t>
        </is>
      </c>
      <c r="R654" s="5" t="inlineStr">
        <is>
          <t>4</t>
        </is>
      </c>
      <c r="S654" s="5" t="inlineStr">
        <is>
          <t>5</t>
        </is>
      </c>
      <c r="T654" s="5" t="inlineStr">
        <is>
          <t>5</t>
        </is>
      </c>
      <c r="U654" s="5">
        <f>IFS(C654&lt;30,"Under 30",C654&lt;40,"30-39",C654&lt;50,"40-49",TRUE,"50+")</f>
        <v/>
      </c>
      <c r="V654" s="5">
        <f>IFS(O654&lt;60000,"Low (&lt;60k)",O654&lt;100000,"Mid (60-100k)",TRUE,"High (100k+)")</f>
        <v/>
      </c>
      <c r="W654" s="5">
        <f>IF(M654="No","Attrited","Active")</f>
        <v/>
      </c>
    </row>
    <row r="655">
      <c r="A655" s="5" t="inlineStr">
        <is>
          <t>E00654</t>
        </is>
      </c>
      <c r="B655" s="5" t="inlineStr">
        <is>
          <t>Male</t>
        </is>
      </c>
      <c r="C655" s="6" t="inlineStr">
        <is>
          <t>31</t>
        </is>
      </c>
      <c r="D655" s="5" t="inlineStr">
        <is>
          <t>Married</t>
        </is>
      </c>
      <c r="E655" s="5" t="inlineStr">
        <is>
          <t>Master</t>
        </is>
      </c>
      <c r="F655" s="5" t="inlineStr">
        <is>
          <t>Customer Support</t>
        </is>
      </c>
      <c r="G655" s="5" t="inlineStr">
        <is>
          <t>Support Lead</t>
        </is>
      </c>
      <c r="H655" s="5" t="inlineStr">
        <is>
          <t>1</t>
        </is>
      </c>
      <c r="I655" s="5" t="inlineStr">
        <is>
          <t>Mumbai</t>
        </is>
      </c>
      <c r="J655" s="5" t="inlineStr">
        <is>
          <t>Full-Time</t>
        </is>
      </c>
      <c r="K655" s="7" t="n">
        <v>45295</v>
      </c>
      <c r="L655" s="7" t="n">
        <v>45358</v>
      </c>
      <c r="M655" s="5" t="inlineStr">
        <is>
          <t>No</t>
        </is>
      </c>
      <c r="N655" s="5" t="inlineStr">
        <is>
          <t>Resigned</t>
        </is>
      </c>
      <c r="O655" s="8" t="inlineStr">
        <is>
          <t>70000</t>
        </is>
      </c>
      <c r="P655" s="5" t="inlineStr">
        <is>
          <t>5</t>
        </is>
      </c>
      <c r="Q655" s="5" t="inlineStr">
        <is>
          <t>2</t>
        </is>
      </c>
      <c r="R655" s="5" t="inlineStr">
        <is>
          <t>6</t>
        </is>
      </c>
      <c r="S655" s="5" t="inlineStr">
        <is>
          <t>2</t>
        </is>
      </c>
      <c r="T655" s="5" t="inlineStr">
        <is>
          <t>5</t>
        </is>
      </c>
      <c r="U655" s="5">
        <f>IFS(C655&lt;30,"Under 30",C655&lt;40,"30-39",C655&lt;50,"40-49",TRUE,"50+")</f>
        <v/>
      </c>
      <c r="V655" s="5">
        <f>IFS(O655&lt;60000,"Low (&lt;60k)",O655&lt;100000,"Mid (60-100k)",TRUE,"High (100k+)")</f>
        <v/>
      </c>
      <c r="W655" s="5">
        <f>IF(M655="No","Attrited","Active")</f>
        <v/>
      </c>
    </row>
    <row r="656">
      <c r="A656" s="5" t="inlineStr">
        <is>
          <t>E00655</t>
        </is>
      </c>
      <c r="B656" s="5" t="inlineStr">
        <is>
          <t>Male</t>
        </is>
      </c>
      <c r="C656" s="6" t="inlineStr">
        <is>
          <t>33</t>
        </is>
      </c>
      <c r="D656" s="5" t="inlineStr">
        <is>
          <t>Married</t>
        </is>
      </c>
      <c r="E656" s="5" t="inlineStr">
        <is>
          <t>Master</t>
        </is>
      </c>
      <c r="F656" s="5" t="inlineStr">
        <is>
          <t>Marketing</t>
        </is>
      </c>
      <c r="G656" s="5" t="inlineStr">
        <is>
          <t>SEO Specialist</t>
        </is>
      </c>
      <c r="H656" s="5" t="inlineStr">
        <is>
          <t>3</t>
        </is>
      </c>
      <c r="I656" s="5" t="inlineStr">
        <is>
          <t>Chennai</t>
        </is>
      </c>
      <c r="J656" s="5" t="inlineStr">
        <is>
          <t>Full-Time</t>
        </is>
      </c>
      <c r="K656" s="7" t="n">
        <v>45424</v>
      </c>
      <c r="L656" s="7" t="inlineStr"/>
      <c r="M656" s="5" t="inlineStr">
        <is>
          <t>Yes</t>
        </is>
      </c>
      <c r="N656" s="5" t="inlineStr"/>
      <c r="O656" s="8" t="inlineStr">
        <is>
          <t>71000</t>
        </is>
      </c>
      <c r="P656" s="5" t="inlineStr">
        <is>
          <t>10</t>
        </is>
      </c>
      <c r="Q656" s="5" t="inlineStr">
        <is>
          <t>2</t>
        </is>
      </c>
      <c r="R656" s="5" t="inlineStr">
        <is>
          <t>1</t>
        </is>
      </c>
      <c r="S656" s="5" t="inlineStr">
        <is>
          <t>19</t>
        </is>
      </c>
      <c r="T656" s="5" t="inlineStr">
        <is>
          <t>0</t>
        </is>
      </c>
      <c r="U656" s="5">
        <f>IFS(C656&lt;30,"Under 30",C656&lt;40,"30-39",C656&lt;50,"40-49",TRUE,"50+")</f>
        <v/>
      </c>
      <c r="V656" s="5">
        <f>IFS(O656&lt;60000,"Low (&lt;60k)",O656&lt;100000,"Mid (60-100k)",TRUE,"High (100k+)")</f>
        <v/>
      </c>
      <c r="W656" s="5">
        <f>IF(M656="No","Attrited","Active")</f>
        <v/>
      </c>
    </row>
    <row r="657">
      <c r="A657" s="5" t="inlineStr">
        <is>
          <t>E00656</t>
        </is>
      </c>
      <c r="B657" s="5" t="inlineStr">
        <is>
          <t>Male</t>
        </is>
      </c>
      <c r="C657" s="6" t="inlineStr">
        <is>
          <t>26</t>
        </is>
      </c>
      <c r="D657" s="5" t="inlineStr">
        <is>
          <t>Married</t>
        </is>
      </c>
      <c r="E657" s="5" t="inlineStr">
        <is>
          <t>Bachelor</t>
        </is>
      </c>
      <c r="F657" s="5" t="inlineStr">
        <is>
          <t>Sales</t>
        </is>
      </c>
      <c r="G657" s="5" t="inlineStr">
        <is>
          <t>Business Development</t>
        </is>
      </c>
      <c r="H657" s="5" t="inlineStr">
        <is>
          <t>2</t>
        </is>
      </c>
      <c r="I657" s="5" t="inlineStr">
        <is>
          <t>Chennai</t>
        </is>
      </c>
      <c r="J657" s="5" t="inlineStr">
        <is>
          <t>Full-Time</t>
        </is>
      </c>
      <c r="K657" s="7" t="n">
        <v>45915</v>
      </c>
      <c r="L657" s="7" t="inlineStr"/>
      <c r="M657" s="5" t="inlineStr">
        <is>
          <t>Yes</t>
        </is>
      </c>
      <c r="N657" s="5" t="inlineStr"/>
      <c r="O657" s="8" t="inlineStr">
        <is>
          <t>72500</t>
        </is>
      </c>
      <c r="P657" s="5" t="inlineStr">
        <is>
          <t>0</t>
        </is>
      </c>
      <c r="Q657" s="5" t="inlineStr">
        <is>
          <t>2</t>
        </is>
      </c>
      <c r="R657" s="5" t="inlineStr">
        <is>
          <t>5</t>
        </is>
      </c>
      <c r="S657" s="5" t="inlineStr">
        <is>
          <t>3</t>
        </is>
      </c>
      <c r="T657" s="5" t="inlineStr">
        <is>
          <t>2</t>
        </is>
      </c>
      <c r="U657" s="5">
        <f>IFS(C657&lt;30,"Under 30",C657&lt;40,"30-39",C657&lt;50,"40-49",TRUE,"50+")</f>
        <v/>
      </c>
      <c r="V657" s="5">
        <f>IFS(O657&lt;60000,"Low (&lt;60k)",O657&lt;100000,"Mid (60-100k)",TRUE,"High (100k+)")</f>
        <v/>
      </c>
      <c r="W657" s="5">
        <f>IF(M657="No","Attrited","Active")</f>
        <v/>
      </c>
    </row>
    <row r="658">
      <c r="A658" s="5" t="inlineStr">
        <is>
          <t>E00657</t>
        </is>
      </c>
      <c r="B658" s="5" t="inlineStr">
        <is>
          <t>Male</t>
        </is>
      </c>
      <c r="C658" s="6" t="inlineStr">
        <is>
          <t>38</t>
        </is>
      </c>
      <c r="D658" s="5" t="inlineStr">
        <is>
          <t>Married</t>
        </is>
      </c>
      <c r="E658" s="5" t="inlineStr">
        <is>
          <t>High School</t>
        </is>
      </c>
      <c r="F658" s="5" t="inlineStr">
        <is>
          <t>Customer Support</t>
        </is>
      </c>
      <c r="G658" s="5" t="inlineStr">
        <is>
          <t>Support Lead</t>
        </is>
      </c>
      <c r="H658" s="5" t="inlineStr">
        <is>
          <t>5</t>
        </is>
      </c>
      <c r="I658" s="5" t="inlineStr">
        <is>
          <t>Chennai</t>
        </is>
      </c>
      <c r="J658" s="5" t="inlineStr">
        <is>
          <t>Full-Time</t>
        </is>
      </c>
      <c r="K658" s="7" t="n">
        <v>44079</v>
      </c>
      <c r="L658" s="7" t="inlineStr"/>
      <c r="M658" s="5" t="inlineStr">
        <is>
          <t>Yes</t>
        </is>
      </c>
      <c r="N658" s="5" t="inlineStr"/>
      <c r="O658" s="8" t="inlineStr">
        <is>
          <t>93000</t>
        </is>
      </c>
      <c r="P658" s="5" t="inlineStr">
        <is>
          <t>0</t>
        </is>
      </c>
      <c r="Q658" s="5" t="inlineStr">
        <is>
          <t>4</t>
        </is>
      </c>
      <c r="R658" s="5" t="inlineStr">
        <is>
          <t>10</t>
        </is>
      </c>
      <c r="S658" s="5" t="inlineStr">
        <is>
          <t>64</t>
        </is>
      </c>
      <c r="T658" s="5" t="inlineStr">
        <is>
          <t>5</t>
        </is>
      </c>
      <c r="U658" s="5">
        <f>IFS(C658&lt;30,"Under 30",C658&lt;40,"30-39",C658&lt;50,"40-49",TRUE,"50+")</f>
        <v/>
      </c>
      <c r="V658" s="5">
        <f>IFS(O658&lt;60000,"Low (&lt;60k)",O658&lt;100000,"Mid (60-100k)",TRUE,"High (100k+)")</f>
        <v/>
      </c>
      <c r="W658" s="5">
        <f>IF(M658="No","Attrited","Active")</f>
        <v/>
      </c>
    </row>
    <row r="659">
      <c r="A659" s="5" t="inlineStr">
        <is>
          <t>E00658</t>
        </is>
      </c>
      <c r="B659" s="5" t="inlineStr">
        <is>
          <t>Female</t>
        </is>
      </c>
      <c r="C659" s="6" t="inlineStr">
        <is>
          <t>34</t>
        </is>
      </c>
      <c r="D659" s="5" t="inlineStr">
        <is>
          <t>Married</t>
        </is>
      </c>
      <c r="E659" s="5" t="inlineStr">
        <is>
          <t>Diploma</t>
        </is>
      </c>
      <c r="F659" s="5" t="inlineStr">
        <is>
          <t>Marketing</t>
        </is>
      </c>
      <c r="G659" s="5" t="inlineStr">
        <is>
          <t>SEO Specialist</t>
        </is>
      </c>
      <c r="H659" s="5" t="inlineStr">
        <is>
          <t>2</t>
        </is>
      </c>
      <c r="I659" s="5" t="inlineStr">
        <is>
          <t>Mumbai</t>
        </is>
      </c>
      <c r="J659" s="5" t="inlineStr">
        <is>
          <t>Full-Time</t>
        </is>
      </c>
      <c r="K659" s="7" t="n">
        <v>44622</v>
      </c>
      <c r="L659" s="7" t="inlineStr"/>
      <c r="M659" s="5" t="inlineStr">
        <is>
          <t>Yes</t>
        </is>
      </c>
      <c r="N659" s="5" t="inlineStr"/>
      <c r="O659" s="8" t="inlineStr">
        <is>
          <t>100500</t>
        </is>
      </c>
      <c r="P659" s="5" t="inlineStr">
        <is>
          <t>0</t>
        </is>
      </c>
      <c r="Q659" s="5" t="inlineStr">
        <is>
          <t>3</t>
        </is>
      </c>
      <c r="R659" s="5" t="inlineStr">
        <is>
          <t>6</t>
        </is>
      </c>
      <c r="S659" s="5" t="inlineStr">
        <is>
          <t>46</t>
        </is>
      </c>
      <c r="T659" s="5" t="inlineStr">
        <is>
          <t>2</t>
        </is>
      </c>
      <c r="U659" s="5">
        <f>IFS(C659&lt;30,"Under 30",C659&lt;40,"30-39",C659&lt;50,"40-49",TRUE,"50+")</f>
        <v/>
      </c>
      <c r="V659" s="5">
        <f>IFS(O659&lt;60000,"Low (&lt;60k)",O659&lt;100000,"Mid (60-100k)",TRUE,"High (100k+)")</f>
        <v/>
      </c>
      <c r="W659" s="5">
        <f>IF(M659="No","Attrited","Active")</f>
        <v/>
      </c>
    </row>
    <row r="660">
      <c r="A660" s="5" t="inlineStr">
        <is>
          <t>E00659</t>
        </is>
      </c>
      <c r="B660" s="5" t="inlineStr">
        <is>
          <t>Male</t>
        </is>
      </c>
      <c r="C660" s="6" t="inlineStr">
        <is>
          <t>39</t>
        </is>
      </c>
      <c r="D660" s="5" t="inlineStr">
        <is>
          <t>Married</t>
        </is>
      </c>
      <c r="E660" s="5" t="inlineStr">
        <is>
          <t>PhD</t>
        </is>
      </c>
      <c r="F660" s="5" t="inlineStr">
        <is>
          <t>Operations</t>
        </is>
      </c>
      <c r="G660" s="5" t="inlineStr">
        <is>
          <t>Quality Analyst</t>
        </is>
      </c>
      <c r="H660" s="5" t="inlineStr">
        <is>
          <t>7</t>
        </is>
      </c>
      <c r="I660" s="5" t="inlineStr">
        <is>
          <t>Bengaluru</t>
        </is>
      </c>
      <c r="J660" s="5" t="inlineStr">
        <is>
          <t>Full-Time</t>
        </is>
      </c>
      <c r="K660" s="7" t="n">
        <v>45872</v>
      </c>
      <c r="L660" s="7" t="inlineStr"/>
      <c r="M660" s="5" t="inlineStr">
        <is>
          <t>Yes</t>
        </is>
      </c>
      <c r="N660" s="5" t="inlineStr"/>
      <c r="O660" s="8" t="inlineStr">
        <is>
          <t>167500</t>
        </is>
      </c>
      <c r="P660" s="5" t="inlineStr">
        <is>
          <t>15</t>
        </is>
      </c>
      <c r="Q660" s="5" t="inlineStr">
        <is>
          <t>3</t>
        </is>
      </c>
      <c r="R660" s="5" t="inlineStr">
        <is>
          <t>5</t>
        </is>
      </c>
      <c r="S660" s="5" t="inlineStr">
        <is>
          <t>5</t>
        </is>
      </c>
      <c r="T660" s="5" t="inlineStr">
        <is>
          <t>0</t>
        </is>
      </c>
      <c r="U660" s="5">
        <f>IFS(C660&lt;30,"Under 30",C660&lt;40,"30-39",C660&lt;50,"40-49",TRUE,"50+")</f>
        <v/>
      </c>
      <c r="V660" s="5">
        <f>IFS(O660&lt;60000,"Low (&lt;60k)",O660&lt;100000,"Mid (60-100k)",TRUE,"High (100k+)")</f>
        <v/>
      </c>
      <c r="W660" s="5">
        <f>IF(M660="No","Attrited","Active")</f>
        <v/>
      </c>
    </row>
    <row r="661">
      <c r="A661" s="5" t="inlineStr">
        <is>
          <t>E00660</t>
        </is>
      </c>
      <c r="B661" s="5" t="inlineStr">
        <is>
          <t>Female</t>
        </is>
      </c>
      <c r="C661" s="6" t="inlineStr">
        <is>
          <t>45</t>
        </is>
      </c>
      <c r="D661" s="5" t="inlineStr">
        <is>
          <t>Married</t>
        </is>
      </c>
      <c r="E661" s="5" t="inlineStr">
        <is>
          <t>PhD</t>
        </is>
      </c>
      <c r="F661" s="5" t="inlineStr">
        <is>
          <t>Research &amp; Development</t>
        </is>
      </c>
      <c r="G661" s="5" t="inlineStr">
        <is>
          <t>Product Engineer</t>
        </is>
      </c>
      <c r="H661" s="5" t="inlineStr">
        <is>
          <t>7</t>
        </is>
      </c>
      <c r="I661" s="5" t="inlineStr">
        <is>
          <t>Chennai</t>
        </is>
      </c>
      <c r="J661" s="5" t="inlineStr">
        <is>
          <t>Full-Time</t>
        </is>
      </c>
      <c r="K661" s="7" t="n">
        <v>45071</v>
      </c>
      <c r="L661" s="7" t="inlineStr"/>
      <c r="M661" s="5" t="inlineStr">
        <is>
          <t>Yes</t>
        </is>
      </c>
      <c r="N661" s="5" t="inlineStr"/>
      <c r="O661" s="8" t="inlineStr">
        <is>
          <t>247500</t>
        </is>
      </c>
      <c r="P661" s="5" t="inlineStr">
        <is>
          <t>20</t>
        </is>
      </c>
      <c r="Q661" s="5" t="inlineStr">
        <is>
          <t>3</t>
        </is>
      </c>
      <c r="R661" s="5" t="inlineStr">
        <is>
          <t>3</t>
        </is>
      </c>
      <c r="S661" s="5" t="inlineStr">
        <is>
          <t>31</t>
        </is>
      </c>
      <c r="T661" s="5" t="inlineStr">
        <is>
          <t>10</t>
        </is>
      </c>
      <c r="U661" s="5">
        <f>IFS(C661&lt;30,"Under 30",C661&lt;40,"30-39",C661&lt;50,"40-49",TRUE,"50+")</f>
        <v/>
      </c>
      <c r="V661" s="5">
        <f>IFS(O661&lt;60000,"Low (&lt;60k)",O661&lt;100000,"Mid (60-100k)",TRUE,"High (100k+)")</f>
        <v/>
      </c>
      <c r="W661" s="5">
        <f>IF(M661="No","Attrited","Active")</f>
        <v/>
      </c>
    </row>
    <row r="662">
      <c r="A662" s="5" t="inlineStr">
        <is>
          <t>E00661</t>
        </is>
      </c>
      <c r="B662" s="5" t="inlineStr">
        <is>
          <t>Female</t>
        </is>
      </c>
      <c r="C662" s="6" t="inlineStr">
        <is>
          <t>44</t>
        </is>
      </c>
      <c r="D662" s="5" t="inlineStr">
        <is>
          <t>Married</t>
        </is>
      </c>
      <c r="E662" s="5" t="inlineStr">
        <is>
          <t>Master</t>
        </is>
      </c>
      <c r="F662" s="5" t="inlineStr">
        <is>
          <t>Human Resources</t>
        </is>
      </c>
      <c r="G662" s="5" t="inlineStr">
        <is>
          <t>Recruiter</t>
        </is>
      </c>
      <c r="H662" s="5" t="inlineStr">
        <is>
          <t>7</t>
        </is>
      </c>
      <c r="I662" s="5" t="inlineStr">
        <is>
          <t>Mumbai</t>
        </is>
      </c>
      <c r="J662" s="5" t="inlineStr">
        <is>
          <t>Part-Time</t>
        </is>
      </c>
      <c r="K662" s="7" t="n">
        <v>44423</v>
      </c>
      <c r="L662" s="7" t="inlineStr"/>
      <c r="M662" s="5" t="inlineStr">
        <is>
          <t>Yes</t>
        </is>
      </c>
      <c r="N662" s="5" t="inlineStr"/>
      <c r="O662" s="8" t="inlineStr">
        <is>
          <t>115500</t>
        </is>
      </c>
      <c r="P662" s="5" t="inlineStr">
        <is>
          <t>0</t>
        </is>
      </c>
      <c r="Q662" s="5" t="inlineStr">
        <is>
          <t>5</t>
        </is>
      </c>
      <c r="R662" s="5" t="inlineStr">
        <is>
          <t>6</t>
        </is>
      </c>
      <c r="S662" s="5" t="inlineStr">
        <is>
          <t>53</t>
        </is>
      </c>
      <c r="T662" s="5" t="inlineStr">
        <is>
          <t>8</t>
        </is>
      </c>
      <c r="U662" s="5">
        <f>IFS(C662&lt;30,"Under 30",C662&lt;40,"30-39",C662&lt;50,"40-49",TRUE,"50+")</f>
        <v/>
      </c>
      <c r="V662" s="5">
        <f>IFS(O662&lt;60000,"Low (&lt;60k)",O662&lt;100000,"Mid (60-100k)",TRUE,"High (100k+)")</f>
        <v/>
      </c>
      <c r="W662" s="5">
        <f>IF(M662="No","Attrited","Active")</f>
        <v/>
      </c>
    </row>
    <row r="663">
      <c r="A663" s="5" t="inlineStr">
        <is>
          <t>E00662</t>
        </is>
      </c>
      <c r="B663" s="5" t="inlineStr">
        <is>
          <t>Female</t>
        </is>
      </c>
      <c r="C663" s="6" t="inlineStr">
        <is>
          <t>34</t>
        </is>
      </c>
      <c r="D663" s="5" t="inlineStr">
        <is>
          <t>Married</t>
        </is>
      </c>
      <c r="E663" s="5" t="inlineStr">
        <is>
          <t>High School</t>
        </is>
      </c>
      <c r="F663" s="5" t="inlineStr">
        <is>
          <t>IT</t>
        </is>
      </c>
      <c r="G663" s="5" t="inlineStr">
        <is>
          <t>Data Analyst</t>
        </is>
      </c>
      <c r="H663" s="5" t="inlineStr">
        <is>
          <t>2</t>
        </is>
      </c>
      <c r="I663" s="5" t="inlineStr">
        <is>
          <t>Remote</t>
        </is>
      </c>
      <c r="J663" s="5" t="inlineStr">
        <is>
          <t>Full-Time</t>
        </is>
      </c>
      <c r="K663" s="7" t="n">
        <v>45379</v>
      </c>
      <c r="L663" s="7" t="inlineStr"/>
      <c r="M663" s="5" t="inlineStr">
        <is>
          <t>Yes</t>
        </is>
      </c>
      <c r="N663" s="5" t="inlineStr"/>
      <c r="O663" s="8" t="inlineStr">
        <is>
          <t>98000</t>
        </is>
      </c>
      <c r="P663" s="5" t="inlineStr">
        <is>
          <t>10</t>
        </is>
      </c>
      <c r="Q663" s="5" t="inlineStr">
        <is>
          <t>3</t>
        </is>
      </c>
      <c r="R663" s="5" t="inlineStr">
        <is>
          <t>5</t>
        </is>
      </c>
      <c r="S663" s="5" t="inlineStr">
        <is>
          <t>21</t>
        </is>
      </c>
      <c r="T663" s="5" t="inlineStr">
        <is>
          <t>0</t>
        </is>
      </c>
      <c r="U663" s="5">
        <f>IFS(C663&lt;30,"Under 30",C663&lt;40,"30-39",C663&lt;50,"40-49",TRUE,"50+")</f>
        <v/>
      </c>
      <c r="V663" s="5">
        <f>IFS(O663&lt;60000,"Low (&lt;60k)",O663&lt;100000,"Mid (60-100k)",TRUE,"High (100k+)")</f>
        <v/>
      </c>
      <c r="W663" s="5">
        <f>IF(M663="No","Attrited","Active")</f>
        <v/>
      </c>
    </row>
    <row r="664">
      <c r="A664" s="5" t="inlineStr">
        <is>
          <t>E00663</t>
        </is>
      </c>
      <c r="B664" s="5" t="inlineStr">
        <is>
          <t>Male</t>
        </is>
      </c>
      <c r="C664" s="6" t="inlineStr">
        <is>
          <t>36</t>
        </is>
      </c>
      <c r="D664" s="5" t="inlineStr">
        <is>
          <t>Single</t>
        </is>
      </c>
      <c r="E664" s="5" t="inlineStr">
        <is>
          <t>High School</t>
        </is>
      </c>
      <c r="F664" s="5" t="inlineStr">
        <is>
          <t>Sales</t>
        </is>
      </c>
      <c r="G664" s="5" t="inlineStr">
        <is>
          <t>Account Executive</t>
        </is>
      </c>
      <c r="H664" s="5" t="inlineStr">
        <is>
          <t>4</t>
        </is>
      </c>
      <c r="I664" s="5" t="inlineStr">
        <is>
          <t>Delhi</t>
        </is>
      </c>
      <c r="J664" s="5" t="inlineStr">
        <is>
          <t>Full-Time</t>
        </is>
      </c>
      <c r="K664" s="7" t="n">
        <v>44149</v>
      </c>
      <c r="L664" s="7" t="inlineStr"/>
      <c r="M664" s="5" t="inlineStr">
        <is>
          <t>Yes</t>
        </is>
      </c>
      <c r="N664" s="5" t="inlineStr"/>
      <c r="O664" s="8" t="inlineStr">
        <is>
          <t>104000</t>
        </is>
      </c>
      <c r="P664" s="5" t="inlineStr">
        <is>
          <t>0</t>
        </is>
      </c>
      <c r="Q664" s="5" t="inlineStr">
        <is>
          <t>3</t>
        </is>
      </c>
      <c r="R664" s="5" t="inlineStr">
        <is>
          <t>6</t>
        </is>
      </c>
      <c r="S664" s="5" t="inlineStr">
        <is>
          <t>62</t>
        </is>
      </c>
      <c r="T664" s="5" t="inlineStr">
        <is>
          <t>13</t>
        </is>
      </c>
      <c r="U664" s="5">
        <f>IFS(C664&lt;30,"Under 30",C664&lt;40,"30-39",C664&lt;50,"40-49",TRUE,"50+")</f>
        <v/>
      </c>
      <c r="V664" s="5">
        <f>IFS(O664&lt;60000,"Low (&lt;60k)",O664&lt;100000,"Mid (60-100k)",TRUE,"High (100k+)")</f>
        <v/>
      </c>
      <c r="W664" s="5">
        <f>IF(M664="No","Attrited","Active")</f>
        <v/>
      </c>
    </row>
    <row r="665">
      <c r="A665" s="5" t="inlineStr">
        <is>
          <t>E00664</t>
        </is>
      </c>
      <c r="B665" s="5" t="inlineStr">
        <is>
          <t>Female</t>
        </is>
      </c>
      <c r="C665" s="6" t="inlineStr">
        <is>
          <t>32</t>
        </is>
      </c>
      <c r="D665" s="5" t="inlineStr">
        <is>
          <t>Divorced</t>
        </is>
      </c>
      <c r="E665" s="5" t="inlineStr">
        <is>
          <t>PhD</t>
        </is>
      </c>
      <c r="F665" s="5" t="inlineStr">
        <is>
          <t>IT</t>
        </is>
      </c>
      <c r="G665" s="5" t="inlineStr">
        <is>
          <t>Data Analyst</t>
        </is>
      </c>
      <c r="H665" s="5" t="inlineStr">
        <is>
          <t>1</t>
        </is>
      </c>
      <c r="I665" s="5" t="inlineStr">
        <is>
          <t>Hyderabad</t>
        </is>
      </c>
      <c r="J665" s="5" t="inlineStr">
        <is>
          <t>Full-Time</t>
        </is>
      </c>
      <c r="K665" s="7" t="n">
        <v>44058</v>
      </c>
      <c r="L665" s="7" t="inlineStr"/>
      <c r="M665" s="5" t="inlineStr">
        <is>
          <t>Yes</t>
        </is>
      </c>
      <c r="N665" s="5" t="inlineStr"/>
      <c r="O665" s="8" t="inlineStr">
        <is>
          <t>91500</t>
        </is>
      </c>
      <c r="P665" s="5" t="inlineStr">
        <is>
          <t>10</t>
        </is>
      </c>
      <c r="Q665" s="5" t="inlineStr">
        <is>
          <t>5</t>
        </is>
      </c>
      <c r="R665" s="5" t="inlineStr">
        <is>
          <t>6</t>
        </is>
      </c>
      <c r="S665" s="5" t="inlineStr">
        <is>
          <t>65</t>
        </is>
      </c>
      <c r="T665" s="5" t="inlineStr">
        <is>
          <t>0</t>
        </is>
      </c>
      <c r="U665" s="5">
        <f>IFS(C665&lt;30,"Under 30",C665&lt;40,"30-39",C665&lt;50,"40-49",TRUE,"50+")</f>
        <v/>
      </c>
      <c r="V665" s="5">
        <f>IFS(O665&lt;60000,"Low (&lt;60k)",O665&lt;100000,"Mid (60-100k)",TRUE,"High (100k+)")</f>
        <v/>
      </c>
      <c r="W665" s="5">
        <f>IF(M665="No","Attrited","Active")</f>
        <v/>
      </c>
    </row>
    <row r="666">
      <c r="A666" s="5" t="inlineStr">
        <is>
          <t>E00665</t>
        </is>
      </c>
      <c r="B666" s="5" t="inlineStr">
        <is>
          <t>Female</t>
        </is>
      </c>
      <c r="C666" s="6" t="inlineStr">
        <is>
          <t>36</t>
        </is>
      </c>
      <c r="D666" s="5" t="inlineStr">
        <is>
          <t>Married</t>
        </is>
      </c>
      <c r="E666" s="5" t="inlineStr">
        <is>
          <t>Bachelor</t>
        </is>
      </c>
      <c r="F666" s="5" t="inlineStr">
        <is>
          <t>Operations</t>
        </is>
      </c>
      <c r="G666" s="5" t="inlineStr">
        <is>
          <t>Quality Analyst</t>
        </is>
      </c>
      <c r="H666" s="5" t="inlineStr">
        <is>
          <t>2</t>
        </is>
      </c>
      <c r="I666" s="5" t="inlineStr">
        <is>
          <t>Remote</t>
        </is>
      </c>
      <c r="J666" s="5" t="inlineStr">
        <is>
          <t>Full-Time</t>
        </is>
      </c>
      <c r="K666" s="7" t="n">
        <v>44255</v>
      </c>
      <c r="L666" s="7" t="n">
        <v>44394</v>
      </c>
      <c r="M666" s="5" t="inlineStr">
        <is>
          <t>No</t>
        </is>
      </c>
      <c r="N666" s="5" t="inlineStr">
        <is>
          <t>Resigned</t>
        </is>
      </c>
      <c r="O666" s="8" t="inlineStr">
        <is>
          <t>81500</t>
        </is>
      </c>
      <c r="P666" s="5" t="inlineStr">
        <is>
          <t>0</t>
        </is>
      </c>
      <c r="Q666" s="5" t="inlineStr">
        <is>
          <t>3</t>
        </is>
      </c>
      <c r="R666" s="5" t="inlineStr">
        <is>
          <t>9</t>
        </is>
      </c>
      <c r="S666" s="5" t="inlineStr">
        <is>
          <t>4</t>
        </is>
      </c>
      <c r="T666" s="5" t="inlineStr">
        <is>
          <t>6</t>
        </is>
      </c>
      <c r="U666" s="5">
        <f>IFS(C666&lt;30,"Under 30",C666&lt;40,"30-39",C666&lt;50,"40-49",TRUE,"50+")</f>
        <v/>
      </c>
      <c r="V666" s="5">
        <f>IFS(O666&lt;60000,"Low (&lt;60k)",O666&lt;100000,"Mid (60-100k)",TRUE,"High (100k+)")</f>
        <v/>
      </c>
      <c r="W666" s="5">
        <f>IF(M666="No","Attrited","Active")</f>
        <v/>
      </c>
    </row>
    <row r="667">
      <c r="A667" s="5" t="inlineStr">
        <is>
          <t>E00666</t>
        </is>
      </c>
      <c r="B667" s="5" t="inlineStr">
        <is>
          <t>Male</t>
        </is>
      </c>
      <c r="C667" s="6" t="inlineStr">
        <is>
          <t>37</t>
        </is>
      </c>
      <c r="D667" s="5" t="inlineStr">
        <is>
          <t>Married</t>
        </is>
      </c>
      <c r="E667" s="5" t="inlineStr">
        <is>
          <t>PhD</t>
        </is>
      </c>
      <c r="F667" s="5" t="inlineStr">
        <is>
          <t>Customer Support</t>
        </is>
      </c>
      <c r="G667" s="5" t="inlineStr">
        <is>
          <t>Support Agent</t>
        </is>
      </c>
      <c r="H667" s="5" t="inlineStr">
        <is>
          <t>6</t>
        </is>
      </c>
      <c r="I667" s="5" t="inlineStr">
        <is>
          <t>Delhi</t>
        </is>
      </c>
      <c r="J667" s="5" t="inlineStr">
        <is>
          <t>Full-Time</t>
        </is>
      </c>
      <c r="K667" s="7" t="n">
        <v>44801</v>
      </c>
      <c r="L667" s="7" t="n">
        <v>44916</v>
      </c>
      <c r="M667" s="5" t="inlineStr">
        <is>
          <t>No</t>
        </is>
      </c>
      <c r="N667" s="5" t="inlineStr">
        <is>
          <t>Resigned</t>
        </is>
      </c>
      <c r="O667" s="8" t="inlineStr">
        <is>
          <t>112500</t>
        </is>
      </c>
      <c r="P667" s="5" t="inlineStr">
        <is>
          <t>10</t>
        </is>
      </c>
      <c r="Q667" s="5" t="inlineStr">
        <is>
          <t>3</t>
        </is>
      </c>
      <c r="R667" s="5" t="inlineStr">
        <is>
          <t>7</t>
        </is>
      </c>
      <c r="S667" s="5" t="inlineStr">
        <is>
          <t>3</t>
        </is>
      </c>
      <c r="T667" s="5" t="inlineStr">
        <is>
          <t>3</t>
        </is>
      </c>
      <c r="U667" s="5">
        <f>IFS(C667&lt;30,"Under 30",C667&lt;40,"30-39",C667&lt;50,"40-49",TRUE,"50+")</f>
        <v/>
      </c>
      <c r="V667" s="5">
        <f>IFS(O667&lt;60000,"Low (&lt;60k)",O667&lt;100000,"Mid (60-100k)",TRUE,"High (100k+)")</f>
        <v/>
      </c>
      <c r="W667" s="5">
        <f>IF(M667="No","Attrited","Active")</f>
        <v/>
      </c>
    </row>
    <row r="668">
      <c r="A668" s="5" t="inlineStr">
        <is>
          <t>E00667</t>
        </is>
      </c>
      <c r="B668" s="5" t="inlineStr">
        <is>
          <t>Female</t>
        </is>
      </c>
      <c r="C668" s="6" t="inlineStr">
        <is>
          <t>28</t>
        </is>
      </c>
      <c r="D668" s="5" t="inlineStr">
        <is>
          <t>Married</t>
        </is>
      </c>
      <c r="E668" s="5" t="inlineStr">
        <is>
          <t>Bachelor</t>
        </is>
      </c>
      <c r="F668" s="5" t="inlineStr">
        <is>
          <t>Customer Support</t>
        </is>
      </c>
      <c r="G668" s="5" t="inlineStr">
        <is>
          <t>Support Lead</t>
        </is>
      </c>
      <c r="H668" s="5" t="inlineStr">
        <is>
          <t>3</t>
        </is>
      </c>
      <c r="I668" s="5" t="inlineStr">
        <is>
          <t>Remote</t>
        </is>
      </c>
      <c r="J668" s="5" t="inlineStr">
        <is>
          <t>Full-Time</t>
        </is>
      </c>
      <c r="K668" s="7" t="n">
        <v>44668</v>
      </c>
      <c r="L668" s="7" t="inlineStr"/>
      <c r="M668" s="5" t="inlineStr">
        <is>
          <t>Yes</t>
        </is>
      </c>
      <c r="N668" s="5" t="inlineStr"/>
      <c r="O668" s="8" t="inlineStr">
        <is>
          <t>75500</t>
        </is>
      </c>
      <c r="P668" s="5" t="inlineStr">
        <is>
          <t>5</t>
        </is>
      </c>
      <c r="Q668" s="5" t="inlineStr">
        <is>
          <t>3</t>
        </is>
      </c>
      <c r="R668" s="5" t="inlineStr">
        <is>
          <t>8</t>
        </is>
      </c>
      <c r="S668" s="5" t="inlineStr">
        <is>
          <t>45</t>
        </is>
      </c>
      <c r="T668" s="5" t="inlineStr">
        <is>
          <t>2</t>
        </is>
      </c>
      <c r="U668" s="5">
        <f>IFS(C668&lt;30,"Under 30",C668&lt;40,"30-39",C668&lt;50,"40-49",TRUE,"50+")</f>
        <v/>
      </c>
      <c r="V668" s="5">
        <f>IFS(O668&lt;60000,"Low (&lt;60k)",O668&lt;100000,"Mid (60-100k)",TRUE,"High (100k+)")</f>
        <v/>
      </c>
      <c r="W668" s="5">
        <f>IF(M668="No","Attrited","Active")</f>
        <v/>
      </c>
    </row>
    <row r="669">
      <c r="A669" s="5" t="inlineStr">
        <is>
          <t>E00668</t>
        </is>
      </c>
      <c r="B669" s="5" t="inlineStr">
        <is>
          <t>Female</t>
        </is>
      </c>
      <c r="C669" s="6" t="inlineStr">
        <is>
          <t>23</t>
        </is>
      </c>
      <c r="D669" s="5" t="inlineStr">
        <is>
          <t>Married</t>
        </is>
      </c>
      <c r="E669" s="5" t="inlineStr">
        <is>
          <t>Diploma</t>
        </is>
      </c>
      <c r="F669" s="5" t="inlineStr">
        <is>
          <t>Sales</t>
        </is>
      </c>
      <c r="G669" s="5" t="inlineStr">
        <is>
          <t>Business Development</t>
        </is>
      </c>
      <c r="H669" s="5" t="inlineStr">
        <is>
          <t>1</t>
        </is>
      </c>
      <c r="I669" s="5" t="inlineStr">
        <is>
          <t>Hyderabad</t>
        </is>
      </c>
      <c r="J669" s="5" t="inlineStr">
        <is>
          <t>Full-Time</t>
        </is>
      </c>
      <c r="K669" s="7" t="n">
        <v>45983</v>
      </c>
      <c r="L669" s="7" t="inlineStr"/>
      <c r="M669" s="5" t="inlineStr">
        <is>
          <t>Yes</t>
        </is>
      </c>
      <c r="N669" s="5" t="inlineStr"/>
      <c r="O669" s="8" t="inlineStr">
        <is>
          <t>65000</t>
        </is>
      </c>
      <c r="P669" s="5" t="inlineStr">
        <is>
          <t>0</t>
        </is>
      </c>
      <c r="Q669" s="5" t="inlineStr">
        <is>
          <t>4</t>
        </is>
      </c>
      <c r="R669" s="5" t="inlineStr">
        <is>
          <t>5</t>
        </is>
      </c>
      <c r="S669" s="5" t="inlineStr">
        <is>
          <t>1</t>
        </is>
      </c>
      <c r="T669" s="5" t="inlineStr">
        <is>
          <t>8</t>
        </is>
      </c>
      <c r="U669" s="5">
        <f>IFS(C669&lt;30,"Under 30",C669&lt;40,"30-39",C669&lt;50,"40-49",TRUE,"50+")</f>
        <v/>
      </c>
      <c r="V669" s="5">
        <f>IFS(O669&lt;60000,"Low (&lt;60k)",O669&lt;100000,"Mid (60-100k)",TRUE,"High (100k+)")</f>
        <v/>
      </c>
      <c r="W669" s="5">
        <f>IF(M669="No","Attrited","Active")</f>
        <v/>
      </c>
    </row>
    <row r="670">
      <c r="A670" s="5" t="inlineStr">
        <is>
          <t>E00669</t>
        </is>
      </c>
      <c r="B670" s="5" t="inlineStr">
        <is>
          <t>Female</t>
        </is>
      </c>
      <c r="C670" s="6" t="inlineStr">
        <is>
          <t>24</t>
        </is>
      </c>
      <c r="D670" s="5" t="inlineStr">
        <is>
          <t>Divorced</t>
        </is>
      </c>
      <c r="E670" s="5" t="inlineStr">
        <is>
          <t>Master</t>
        </is>
      </c>
      <c r="F670" s="5" t="inlineStr">
        <is>
          <t>Marketing</t>
        </is>
      </c>
      <c r="G670" s="5" t="inlineStr">
        <is>
          <t>Content Writer</t>
        </is>
      </c>
      <c r="H670" s="5" t="inlineStr">
        <is>
          <t>1</t>
        </is>
      </c>
      <c r="I670" s="5" t="inlineStr">
        <is>
          <t>Chennai</t>
        </is>
      </c>
      <c r="J670" s="5" t="inlineStr">
        <is>
          <t>Contract</t>
        </is>
      </c>
      <c r="K670" s="7" t="n">
        <v>44590</v>
      </c>
      <c r="L670" s="7" t="inlineStr"/>
      <c r="M670" s="5" t="inlineStr">
        <is>
          <t>Yes</t>
        </is>
      </c>
      <c r="N670" s="5" t="inlineStr"/>
      <c r="O670" s="8" t="inlineStr">
        <is>
          <t>80500</t>
        </is>
      </c>
      <c r="P670" s="5" t="inlineStr">
        <is>
          <t>15</t>
        </is>
      </c>
      <c r="Q670" s="5" t="inlineStr">
        <is>
          <t>5</t>
        </is>
      </c>
      <c r="R670" s="5" t="inlineStr">
        <is>
          <t>9</t>
        </is>
      </c>
      <c r="S670" s="5" t="inlineStr">
        <is>
          <t>47</t>
        </is>
      </c>
      <c r="T670" s="5" t="inlineStr">
        <is>
          <t>7</t>
        </is>
      </c>
      <c r="U670" s="5">
        <f>IFS(C670&lt;30,"Under 30",C670&lt;40,"30-39",C670&lt;50,"40-49",TRUE,"50+")</f>
        <v/>
      </c>
      <c r="V670" s="5">
        <f>IFS(O670&lt;60000,"Low (&lt;60k)",O670&lt;100000,"Mid (60-100k)",TRUE,"High (100k+)")</f>
        <v/>
      </c>
      <c r="W670" s="5">
        <f>IF(M670="No","Attrited","Active")</f>
        <v/>
      </c>
    </row>
    <row r="671">
      <c r="A671" s="5" t="inlineStr">
        <is>
          <t>E00670</t>
        </is>
      </c>
      <c r="B671" s="5" t="inlineStr">
        <is>
          <t>Female</t>
        </is>
      </c>
      <c r="C671" s="6" t="inlineStr">
        <is>
          <t>35</t>
        </is>
      </c>
      <c r="D671" s="5" t="inlineStr">
        <is>
          <t>Married</t>
        </is>
      </c>
      <c r="E671" s="5" t="inlineStr">
        <is>
          <t>Master</t>
        </is>
      </c>
      <c r="F671" s="5" t="inlineStr">
        <is>
          <t>Operations</t>
        </is>
      </c>
      <c r="G671" s="5" t="inlineStr">
        <is>
          <t>Logistics Coordinator</t>
        </is>
      </c>
      <c r="H671" s="5" t="inlineStr">
        <is>
          <t>4</t>
        </is>
      </c>
      <c r="I671" s="5" t="inlineStr">
        <is>
          <t>Hyderabad</t>
        </is>
      </c>
      <c r="J671" s="5" t="inlineStr">
        <is>
          <t>Full-Time</t>
        </is>
      </c>
      <c r="K671" s="7" t="n">
        <v>45268</v>
      </c>
      <c r="L671" s="7" t="inlineStr"/>
      <c r="M671" s="5" t="inlineStr">
        <is>
          <t>Yes</t>
        </is>
      </c>
      <c r="N671" s="5" t="inlineStr"/>
      <c r="O671" s="8" t="inlineStr">
        <is>
          <t>113500</t>
        </is>
      </c>
      <c r="P671" s="5" t="inlineStr">
        <is>
          <t>15</t>
        </is>
      </c>
      <c r="Q671" s="5" t="inlineStr">
        <is>
          <t>5</t>
        </is>
      </c>
      <c r="R671" s="5" t="inlineStr">
        <is>
          <t>3</t>
        </is>
      </c>
      <c r="S671" s="5" t="inlineStr">
        <is>
          <t>25</t>
        </is>
      </c>
      <c r="T671" s="5" t="inlineStr">
        <is>
          <t>3</t>
        </is>
      </c>
      <c r="U671" s="5">
        <f>IFS(C671&lt;30,"Under 30",C671&lt;40,"30-39",C671&lt;50,"40-49",TRUE,"50+")</f>
        <v/>
      </c>
      <c r="V671" s="5">
        <f>IFS(O671&lt;60000,"Low (&lt;60k)",O671&lt;100000,"Mid (60-100k)",TRUE,"High (100k+)")</f>
        <v/>
      </c>
      <c r="W671" s="5">
        <f>IF(M671="No","Attrited","Active")</f>
        <v/>
      </c>
    </row>
    <row r="672">
      <c r="A672" s="5" t="inlineStr">
        <is>
          <t>E00671</t>
        </is>
      </c>
      <c r="B672" s="5" t="inlineStr">
        <is>
          <t>Female</t>
        </is>
      </c>
      <c r="C672" s="6" t="inlineStr">
        <is>
          <t>35</t>
        </is>
      </c>
      <c r="D672" s="5" t="inlineStr">
        <is>
          <t>Married</t>
        </is>
      </c>
      <c r="E672" s="5" t="inlineStr">
        <is>
          <t>High School</t>
        </is>
      </c>
      <c r="F672" s="5" t="inlineStr">
        <is>
          <t>Customer Support</t>
        </is>
      </c>
      <c r="G672" s="5" t="inlineStr">
        <is>
          <t>Escalation Specialist</t>
        </is>
      </c>
      <c r="H672" s="5" t="inlineStr">
        <is>
          <t>3</t>
        </is>
      </c>
      <c r="I672" s="5" t="inlineStr">
        <is>
          <t>Bengaluru</t>
        </is>
      </c>
      <c r="J672" s="5" t="inlineStr">
        <is>
          <t>Contract</t>
        </is>
      </c>
      <c r="K672" s="7" t="n">
        <v>45072</v>
      </c>
      <c r="L672" s="7" t="inlineStr"/>
      <c r="M672" s="5" t="inlineStr">
        <is>
          <t>Yes</t>
        </is>
      </c>
      <c r="N672" s="5" t="inlineStr"/>
      <c r="O672" s="8" t="inlineStr">
        <is>
          <t>66500</t>
        </is>
      </c>
      <c r="P672" s="5" t="inlineStr">
        <is>
          <t>0</t>
        </is>
      </c>
      <c r="Q672" s="5" t="inlineStr">
        <is>
          <t>4</t>
        </is>
      </c>
      <c r="R672" s="5" t="inlineStr">
        <is>
          <t>4</t>
        </is>
      </c>
      <c r="S672" s="5" t="inlineStr">
        <is>
          <t>31</t>
        </is>
      </c>
      <c r="T672" s="5" t="inlineStr">
        <is>
          <t>0</t>
        </is>
      </c>
      <c r="U672" s="5">
        <f>IFS(C672&lt;30,"Under 30",C672&lt;40,"30-39",C672&lt;50,"40-49",TRUE,"50+")</f>
        <v/>
      </c>
      <c r="V672" s="5">
        <f>IFS(O672&lt;60000,"Low (&lt;60k)",O672&lt;100000,"Mid (60-100k)",TRUE,"High (100k+)")</f>
        <v/>
      </c>
      <c r="W672" s="5">
        <f>IF(M672="No","Attrited","Active")</f>
        <v/>
      </c>
    </row>
    <row r="673">
      <c r="A673" s="5" t="inlineStr">
        <is>
          <t>E00672</t>
        </is>
      </c>
      <c r="B673" s="5" t="inlineStr">
        <is>
          <t>Female</t>
        </is>
      </c>
      <c r="C673" s="6" t="inlineStr">
        <is>
          <t>36</t>
        </is>
      </c>
      <c r="D673" s="5" t="inlineStr">
        <is>
          <t>Married</t>
        </is>
      </c>
      <c r="E673" s="5" t="inlineStr">
        <is>
          <t>Bachelor</t>
        </is>
      </c>
      <c r="F673" s="5" t="inlineStr">
        <is>
          <t>Sales</t>
        </is>
      </c>
      <c r="G673" s="5" t="inlineStr">
        <is>
          <t>Sales Executive</t>
        </is>
      </c>
      <c r="H673" s="5" t="inlineStr">
        <is>
          <t>4</t>
        </is>
      </c>
      <c r="I673" s="5" t="inlineStr">
        <is>
          <t>Remote</t>
        </is>
      </c>
      <c r="J673" s="5" t="inlineStr">
        <is>
          <t>Full-Time</t>
        </is>
      </c>
      <c r="K673" s="7" t="n">
        <v>44976</v>
      </c>
      <c r="L673" s="7" t="inlineStr"/>
      <c r="M673" s="5" t="inlineStr">
        <is>
          <t>Yes</t>
        </is>
      </c>
      <c r="N673" s="5" t="inlineStr"/>
      <c r="O673" s="8" t="inlineStr">
        <is>
          <t>107000</t>
        </is>
      </c>
      <c r="P673" s="5" t="inlineStr">
        <is>
          <t>20</t>
        </is>
      </c>
      <c r="Q673" s="5" t="inlineStr">
        <is>
          <t>4</t>
        </is>
      </c>
      <c r="R673" s="5" t="inlineStr">
        <is>
          <t>7</t>
        </is>
      </c>
      <c r="S673" s="5" t="inlineStr">
        <is>
          <t>34</t>
        </is>
      </c>
      <c r="T673" s="5" t="inlineStr">
        <is>
          <t>6</t>
        </is>
      </c>
      <c r="U673" s="5">
        <f>IFS(C673&lt;30,"Under 30",C673&lt;40,"30-39",C673&lt;50,"40-49",TRUE,"50+")</f>
        <v/>
      </c>
      <c r="V673" s="5">
        <f>IFS(O673&lt;60000,"Low (&lt;60k)",O673&lt;100000,"Mid (60-100k)",TRUE,"High (100k+)")</f>
        <v/>
      </c>
      <c r="W673" s="5">
        <f>IF(M673="No","Attrited","Active")</f>
        <v/>
      </c>
    </row>
    <row r="674">
      <c r="A674" s="5" t="inlineStr">
        <is>
          <t>E00673</t>
        </is>
      </c>
      <c r="B674" s="5" t="inlineStr">
        <is>
          <t>Male</t>
        </is>
      </c>
      <c r="C674" s="6" t="inlineStr">
        <is>
          <t>35</t>
        </is>
      </c>
      <c r="D674" s="5" t="inlineStr">
        <is>
          <t>Married</t>
        </is>
      </c>
      <c r="E674" s="5" t="inlineStr">
        <is>
          <t>Master</t>
        </is>
      </c>
      <c r="F674" s="5" t="inlineStr">
        <is>
          <t>Operations</t>
        </is>
      </c>
      <c r="G674" s="5" t="inlineStr">
        <is>
          <t>Quality Analyst</t>
        </is>
      </c>
      <c r="H674" s="5" t="inlineStr">
        <is>
          <t>4</t>
        </is>
      </c>
      <c r="I674" s="5" t="inlineStr">
        <is>
          <t>Remote</t>
        </is>
      </c>
      <c r="J674" s="5" t="inlineStr">
        <is>
          <t>Full-Time</t>
        </is>
      </c>
      <c r="K674" s="7" t="n">
        <v>44176</v>
      </c>
      <c r="L674" s="7" t="inlineStr"/>
      <c r="M674" s="5" t="inlineStr">
        <is>
          <t>Yes</t>
        </is>
      </c>
      <c r="N674" s="5" t="inlineStr"/>
      <c r="O674" s="8" t="inlineStr">
        <is>
          <t>80000</t>
        </is>
      </c>
      <c r="P674" s="5" t="inlineStr">
        <is>
          <t>5</t>
        </is>
      </c>
      <c r="Q674" s="5" t="inlineStr">
        <is>
          <t>5</t>
        </is>
      </c>
      <c r="R674" s="5" t="inlineStr">
        <is>
          <t>2</t>
        </is>
      </c>
      <c r="S674" s="5" t="inlineStr">
        <is>
          <t>61</t>
        </is>
      </c>
      <c r="T674" s="5" t="inlineStr">
        <is>
          <t>7</t>
        </is>
      </c>
      <c r="U674" s="5">
        <f>IFS(C674&lt;30,"Under 30",C674&lt;40,"30-39",C674&lt;50,"40-49",TRUE,"50+")</f>
        <v/>
      </c>
      <c r="V674" s="5">
        <f>IFS(O674&lt;60000,"Low (&lt;60k)",O674&lt;100000,"Mid (60-100k)",TRUE,"High (100k+)")</f>
        <v/>
      </c>
      <c r="W674" s="5">
        <f>IF(M674="No","Attrited","Active")</f>
        <v/>
      </c>
    </row>
    <row r="675">
      <c r="A675" s="5" t="inlineStr">
        <is>
          <t>E00674</t>
        </is>
      </c>
      <c r="B675" s="5" t="inlineStr">
        <is>
          <t>Male</t>
        </is>
      </c>
      <c r="C675" s="6" t="inlineStr">
        <is>
          <t>31</t>
        </is>
      </c>
      <c r="D675" s="5" t="inlineStr">
        <is>
          <t>Married</t>
        </is>
      </c>
      <c r="E675" s="5" t="inlineStr">
        <is>
          <t>Diploma</t>
        </is>
      </c>
      <c r="F675" s="5" t="inlineStr">
        <is>
          <t>Customer Support</t>
        </is>
      </c>
      <c r="G675" s="5" t="inlineStr">
        <is>
          <t>Support Agent</t>
        </is>
      </c>
      <c r="H675" s="5" t="inlineStr">
        <is>
          <t>1</t>
        </is>
      </c>
      <c r="I675" s="5" t="inlineStr">
        <is>
          <t>Mumbai</t>
        </is>
      </c>
      <c r="J675" s="5" t="inlineStr">
        <is>
          <t>Full-Time</t>
        </is>
      </c>
      <c r="K675" s="7" t="n">
        <v>45839</v>
      </c>
      <c r="L675" s="7" t="n">
        <v>45924</v>
      </c>
      <c r="M675" s="5" t="inlineStr">
        <is>
          <t>No</t>
        </is>
      </c>
      <c r="N675" s="5" t="inlineStr">
        <is>
          <t>Performance / Termination</t>
        </is>
      </c>
      <c r="O675" s="8" t="inlineStr">
        <is>
          <t>45500</t>
        </is>
      </c>
      <c r="P675" s="5" t="inlineStr">
        <is>
          <t>5</t>
        </is>
      </c>
      <c r="Q675" s="5" t="inlineStr">
        <is>
          <t>2</t>
        </is>
      </c>
      <c r="R675" s="5" t="inlineStr">
        <is>
          <t>4</t>
        </is>
      </c>
      <c r="S675" s="5" t="inlineStr">
        <is>
          <t>2</t>
        </is>
      </c>
      <c r="T675" s="5" t="inlineStr">
        <is>
          <t>3</t>
        </is>
      </c>
      <c r="U675" s="5">
        <f>IFS(C675&lt;30,"Under 30",C675&lt;40,"30-39",C675&lt;50,"40-49",TRUE,"50+")</f>
        <v/>
      </c>
      <c r="V675" s="5">
        <f>IFS(O675&lt;60000,"Low (&lt;60k)",O675&lt;100000,"Mid (60-100k)",TRUE,"High (100k+)")</f>
        <v/>
      </c>
      <c r="W675" s="5">
        <f>IF(M675="No","Attrited","Active")</f>
        <v/>
      </c>
    </row>
    <row r="676">
      <c r="A676" s="5" t="inlineStr">
        <is>
          <t>E00675</t>
        </is>
      </c>
      <c r="B676" s="5" t="inlineStr">
        <is>
          <t>Female</t>
        </is>
      </c>
      <c r="C676" s="6" t="inlineStr">
        <is>
          <t>32</t>
        </is>
      </c>
      <c r="D676" s="5" t="inlineStr">
        <is>
          <t>Married</t>
        </is>
      </c>
      <c r="E676" s="5" t="inlineStr">
        <is>
          <t>Bachelor</t>
        </is>
      </c>
      <c r="F676" s="5" t="inlineStr">
        <is>
          <t>Operations</t>
        </is>
      </c>
      <c r="G676" s="5" t="inlineStr">
        <is>
          <t>Logistics Coordinator</t>
        </is>
      </c>
      <c r="H676" s="5" t="inlineStr">
        <is>
          <t>4</t>
        </is>
      </c>
      <c r="I676" s="5" t="inlineStr">
        <is>
          <t>Chennai</t>
        </is>
      </c>
      <c r="J676" s="5" t="inlineStr">
        <is>
          <t>Full-Time</t>
        </is>
      </c>
      <c r="K676" s="7" t="n">
        <v>43874</v>
      </c>
      <c r="L676" s="7" t="inlineStr"/>
      <c r="M676" s="5" t="inlineStr">
        <is>
          <t>Yes</t>
        </is>
      </c>
      <c r="N676" s="5" t="inlineStr"/>
      <c r="O676" s="8" t="inlineStr">
        <is>
          <t>110500</t>
        </is>
      </c>
      <c r="P676" s="5" t="inlineStr">
        <is>
          <t>0</t>
        </is>
      </c>
      <c r="Q676" s="5" t="inlineStr">
        <is>
          <t>5</t>
        </is>
      </c>
      <c r="R676" s="5" t="inlineStr">
        <is>
          <t>6</t>
        </is>
      </c>
      <c r="S676" s="5" t="inlineStr">
        <is>
          <t>71</t>
        </is>
      </c>
      <c r="T676" s="5" t="inlineStr">
        <is>
          <t>17</t>
        </is>
      </c>
      <c r="U676" s="5">
        <f>IFS(C676&lt;30,"Under 30",C676&lt;40,"30-39",C676&lt;50,"40-49",TRUE,"50+")</f>
        <v/>
      </c>
      <c r="V676" s="5">
        <f>IFS(O676&lt;60000,"Low (&lt;60k)",O676&lt;100000,"Mid (60-100k)",TRUE,"High (100k+)")</f>
        <v/>
      </c>
      <c r="W676" s="5">
        <f>IF(M676="No","Attrited","Active")</f>
        <v/>
      </c>
    </row>
    <row r="677">
      <c r="A677" s="5" t="inlineStr">
        <is>
          <t>E00676</t>
        </is>
      </c>
      <c r="B677" s="5" t="inlineStr">
        <is>
          <t>Female</t>
        </is>
      </c>
      <c r="C677" s="6" t="inlineStr">
        <is>
          <t>32</t>
        </is>
      </c>
      <c r="D677" s="5" t="inlineStr">
        <is>
          <t>Married</t>
        </is>
      </c>
      <c r="E677" s="5" t="inlineStr">
        <is>
          <t>Master</t>
        </is>
      </c>
      <c r="F677" s="5" t="inlineStr">
        <is>
          <t>Marketing</t>
        </is>
      </c>
      <c r="G677" s="5" t="inlineStr">
        <is>
          <t>SEO Specialist</t>
        </is>
      </c>
      <c r="H677" s="5" t="inlineStr">
        <is>
          <t>2</t>
        </is>
      </c>
      <c r="I677" s="5" t="inlineStr">
        <is>
          <t>Bengaluru</t>
        </is>
      </c>
      <c r="J677" s="5" t="inlineStr">
        <is>
          <t>Full-Time</t>
        </is>
      </c>
      <c r="K677" s="7" t="n">
        <v>44907</v>
      </c>
      <c r="L677" s="7" t="n">
        <v>45031</v>
      </c>
      <c r="M677" s="5" t="inlineStr">
        <is>
          <t>No</t>
        </is>
      </c>
      <c r="N677" s="5" t="inlineStr">
        <is>
          <t>Layoff</t>
        </is>
      </c>
      <c r="O677" s="8" t="inlineStr">
        <is>
          <t>92500</t>
        </is>
      </c>
      <c r="P677" s="5" t="inlineStr">
        <is>
          <t>0</t>
        </is>
      </c>
      <c r="Q677" s="5" t="inlineStr">
        <is>
          <t>4</t>
        </is>
      </c>
      <c r="R677" s="5" t="inlineStr">
        <is>
          <t>5</t>
        </is>
      </c>
      <c r="S677" s="5" t="inlineStr">
        <is>
          <t>4</t>
        </is>
      </c>
      <c r="T677" s="5" t="inlineStr">
        <is>
          <t>2</t>
        </is>
      </c>
      <c r="U677" s="5">
        <f>IFS(C677&lt;30,"Under 30",C677&lt;40,"30-39",C677&lt;50,"40-49",TRUE,"50+")</f>
        <v/>
      </c>
      <c r="V677" s="5">
        <f>IFS(O677&lt;60000,"Low (&lt;60k)",O677&lt;100000,"Mid (60-100k)",TRUE,"High (100k+)")</f>
        <v/>
      </c>
      <c r="W677" s="5">
        <f>IF(M677="No","Attrited","Active")</f>
        <v/>
      </c>
    </row>
    <row r="678">
      <c r="A678" s="5" t="inlineStr">
        <is>
          <t>E00677</t>
        </is>
      </c>
      <c r="B678" s="5" t="inlineStr">
        <is>
          <t>Female</t>
        </is>
      </c>
      <c r="C678" s="6" t="inlineStr">
        <is>
          <t>33</t>
        </is>
      </c>
      <c r="D678" s="5" t="inlineStr">
        <is>
          <t>Married</t>
        </is>
      </c>
      <c r="E678" s="5" t="inlineStr">
        <is>
          <t>Bachelor</t>
        </is>
      </c>
      <c r="F678" s="5" t="inlineStr">
        <is>
          <t>IT</t>
        </is>
      </c>
      <c r="G678" s="5" t="inlineStr">
        <is>
          <t>DevOps Engineer</t>
        </is>
      </c>
      <c r="H678" s="5" t="inlineStr">
        <is>
          <t>3</t>
        </is>
      </c>
      <c r="I678" s="5" t="inlineStr">
        <is>
          <t>Bengaluru</t>
        </is>
      </c>
      <c r="J678" s="5" t="inlineStr">
        <is>
          <t>Full-Time</t>
        </is>
      </c>
      <c r="K678" s="7" t="n">
        <v>44179</v>
      </c>
      <c r="L678" s="7" t="inlineStr"/>
      <c r="M678" s="5" t="inlineStr">
        <is>
          <t>Yes</t>
        </is>
      </c>
      <c r="N678" s="5" t="inlineStr"/>
      <c r="O678" s="8" t="inlineStr">
        <is>
          <t>187000</t>
        </is>
      </c>
      <c r="P678" s="5" t="inlineStr">
        <is>
          <t>15</t>
        </is>
      </c>
      <c r="Q678" s="5" t="inlineStr">
        <is>
          <t>4</t>
        </is>
      </c>
      <c r="R678" s="5" t="inlineStr">
        <is>
          <t>8</t>
        </is>
      </c>
      <c r="S678" s="5" t="inlineStr">
        <is>
          <t>61</t>
        </is>
      </c>
      <c r="T678" s="5" t="inlineStr">
        <is>
          <t>6</t>
        </is>
      </c>
      <c r="U678" s="5">
        <f>IFS(C678&lt;30,"Under 30",C678&lt;40,"30-39",C678&lt;50,"40-49",TRUE,"50+")</f>
        <v/>
      </c>
      <c r="V678" s="5">
        <f>IFS(O678&lt;60000,"Low (&lt;60k)",O678&lt;100000,"Mid (60-100k)",TRUE,"High (100k+)")</f>
        <v/>
      </c>
      <c r="W678" s="5">
        <f>IF(M678="No","Attrited","Active")</f>
        <v/>
      </c>
    </row>
    <row r="679">
      <c r="A679" s="5" t="inlineStr">
        <is>
          <t>E00678</t>
        </is>
      </c>
      <c r="B679" s="5" t="inlineStr">
        <is>
          <t>Male</t>
        </is>
      </c>
      <c r="C679" s="6" t="inlineStr">
        <is>
          <t>26</t>
        </is>
      </c>
      <c r="D679" s="5" t="inlineStr">
        <is>
          <t>Married</t>
        </is>
      </c>
      <c r="E679" s="5" t="inlineStr">
        <is>
          <t>PhD</t>
        </is>
      </c>
      <c r="F679" s="5" t="inlineStr">
        <is>
          <t>Sales</t>
        </is>
      </c>
      <c r="G679" s="5" t="inlineStr">
        <is>
          <t>Account Executive</t>
        </is>
      </c>
      <c r="H679" s="5" t="inlineStr">
        <is>
          <t>1</t>
        </is>
      </c>
      <c r="I679" s="5" t="inlineStr">
        <is>
          <t>Hyderabad</t>
        </is>
      </c>
      <c r="J679" s="5" t="inlineStr">
        <is>
          <t>Contract</t>
        </is>
      </c>
      <c r="K679" s="7" t="n">
        <v>44072</v>
      </c>
      <c r="L679" s="7" t="n">
        <v>44155</v>
      </c>
      <c r="M679" s="5" t="inlineStr">
        <is>
          <t>No</t>
        </is>
      </c>
      <c r="N679" s="5" t="inlineStr">
        <is>
          <t>Resigned</t>
        </is>
      </c>
      <c r="O679" s="8" t="inlineStr">
        <is>
          <t>70000</t>
        </is>
      </c>
      <c r="P679" s="5" t="inlineStr">
        <is>
          <t>0</t>
        </is>
      </c>
      <c r="Q679" s="5" t="inlineStr">
        <is>
          <t>4</t>
        </is>
      </c>
      <c r="R679" s="5" t="inlineStr">
        <is>
          <t>5</t>
        </is>
      </c>
      <c r="S679" s="5" t="inlineStr">
        <is>
          <t>2</t>
        </is>
      </c>
      <c r="T679" s="5" t="inlineStr">
        <is>
          <t>7</t>
        </is>
      </c>
      <c r="U679" s="5">
        <f>IFS(C679&lt;30,"Under 30",C679&lt;40,"30-39",C679&lt;50,"40-49",TRUE,"50+")</f>
        <v/>
      </c>
      <c r="V679" s="5">
        <f>IFS(O679&lt;60000,"Low (&lt;60k)",O679&lt;100000,"Mid (60-100k)",TRUE,"High (100k+)")</f>
        <v/>
      </c>
      <c r="W679" s="5">
        <f>IF(M679="No","Attrited","Active")</f>
        <v/>
      </c>
    </row>
    <row r="680">
      <c r="A680" s="5" t="inlineStr">
        <is>
          <t>E00679</t>
        </is>
      </c>
      <c r="B680" s="5" t="inlineStr">
        <is>
          <t>Female</t>
        </is>
      </c>
      <c r="C680" s="6" t="inlineStr">
        <is>
          <t>29</t>
        </is>
      </c>
      <c r="D680" s="5" t="inlineStr">
        <is>
          <t>Single</t>
        </is>
      </c>
      <c r="E680" s="5" t="inlineStr">
        <is>
          <t>PhD</t>
        </is>
      </c>
      <c r="F680" s="5" t="inlineStr">
        <is>
          <t>Sales</t>
        </is>
      </c>
      <c r="G680" s="5" t="inlineStr">
        <is>
          <t>Sales Executive</t>
        </is>
      </c>
      <c r="H680" s="5" t="inlineStr">
        <is>
          <t>2</t>
        </is>
      </c>
      <c r="I680" s="5" t="inlineStr">
        <is>
          <t>Mumbai</t>
        </is>
      </c>
      <c r="J680" s="5" t="inlineStr">
        <is>
          <t>Full-Time</t>
        </is>
      </c>
      <c r="K680" s="7" t="n">
        <v>43837</v>
      </c>
      <c r="L680" s="7" t="n">
        <v>43918</v>
      </c>
      <c r="M680" s="5" t="inlineStr">
        <is>
          <t>No</t>
        </is>
      </c>
      <c r="N680" s="5" t="inlineStr">
        <is>
          <t>Performance / Termination</t>
        </is>
      </c>
      <c r="O680" s="8" t="inlineStr">
        <is>
          <t>119000</t>
        </is>
      </c>
      <c r="P680" s="5" t="inlineStr">
        <is>
          <t>0</t>
        </is>
      </c>
      <c r="Q680" s="5" t="inlineStr">
        <is>
          <t>5</t>
        </is>
      </c>
      <c r="R680" s="5" t="inlineStr">
        <is>
          <t>5</t>
        </is>
      </c>
      <c r="S680" s="5" t="inlineStr">
        <is>
          <t>2</t>
        </is>
      </c>
      <c r="T680" s="5" t="inlineStr">
        <is>
          <t>7</t>
        </is>
      </c>
      <c r="U680" s="5">
        <f>IFS(C680&lt;30,"Under 30",C680&lt;40,"30-39",C680&lt;50,"40-49",TRUE,"50+")</f>
        <v/>
      </c>
      <c r="V680" s="5">
        <f>IFS(O680&lt;60000,"Low (&lt;60k)",O680&lt;100000,"Mid (60-100k)",TRUE,"High (100k+)")</f>
        <v/>
      </c>
      <c r="W680" s="5">
        <f>IF(M680="No","Attrited","Active")</f>
        <v/>
      </c>
    </row>
    <row r="681">
      <c r="A681" s="5" t="inlineStr">
        <is>
          <t>E00680</t>
        </is>
      </c>
      <c r="B681" s="5" t="inlineStr">
        <is>
          <t>Female</t>
        </is>
      </c>
      <c r="C681" s="6" t="inlineStr">
        <is>
          <t>33</t>
        </is>
      </c>
      <c r="D681" s="5" t="inlineStr">
        <is>
          <t>Married</t>
        </is>
      </c>
      <c r="E681" s="5" t="inlineStr">
        <is>
          <t>PhD</t>
        </is>
      </c>
      <c r="F681" s="5" t="inlineStr">
        <is>
          <t>Sales</t>
        </is>
      </c>
      <c r="G681" s="5" t="inlineStr">
        <is>
          <t>Account Executive</t>
        </is>
      </c>
      <c r="H681" s="5" t="inlineStr">
        <is>
          <t>1</t>
        </is>
      </c>
      <c r="I681" s="5" t="inlineStr">
        <is>
          <t>Hyderabad</t>
        </is>
      </c>
      <c r="J681" s="5" t="inlineStr">
        <is>
          <t>Full-Time</t>
        </is>
      </c>
      <c r="K681" s="7" t="n">
        <v>45252</v>
      </c>
      <c r="L681" s="7" t="inlineStr"/>
      <c r="M681" s="5" t="inlineStr">
        <is>
          <t>Yes</t>
        </is>
      </c>
      <c r="N681" s="5" t="inlineStr"/>
      <c r="O681" s="8" t="inlineStr">
        <is>
          <t>81000</t>
        </is>
      </c>
      <c r="P681" s="5" t="inlineStr">
        <is>
          <t>0</t>
        </is>
      </c>
      <c r="Q681" s="5" t="inlineStr">
        <is>
          <t>1</t>
        </is>
      </c>
      <c r="R681" s="5" t="inlineStr">
        <is>
          <t>5</t>
        </is>
      </c>
      <c r="S681" s="5" t="inlineStr">
        <is>
          <t>25</t>
        </is>
      </c>
      <c r="T681" s="5" t="inlineStr">
        <is>
          <t>8</t>
        </is>
      </c>
      <c r="U681" s="5">
        <f>IFS(C681&lt;30,"Under 30",C681&lt;40,"30-39",C681&lt;50,"40-49",TRUE,"50+")</f>
        <v/>
      </c>
      <c r="V681" s="5">
        <f>IFS(O681&lt;60000,"Low (&lt;60k)",O681&lt;100000,"Mid (60-100k)",TRUE,"High (100k+)")</f>
        <v/>
      </c>
      <c r="W681" s="5">
        <f>IF(M681="No","Attrited","Active")</f>
        <v/>
      </c>
    </row>
    <row r="682">
      <c r="A682" s="5" t="inlineStr">
        <is>
          <t>E00681</t>
        </is>
      </c>
      <c r="B682" s="5" t="inlineStr">
        <is>
          <t>Male</t>
        </is>
      </c>
      <c r="C682" s="6" t="inlineStr">
        <is>
          <t>30</t>
        </is>
      </c>
      <c r="D682" s="5" t="inlineStr">
        <is>
          <t>Married</t>
        </is>
      </c>
      <c r="E682" s="5" t="inlineStr">
        <is>
          <t>PhD</t>
        </is>
      </c>
      <c r="F682" s="5" t="inlineStr">
        <is>
          <t>IT</t>
        </is>
      </c>
      <c r="G682" s="5" t="inlineStr">
        <is>
          <t>IT Support</t>
        </is>
      </c>
      <c r="H682" s="5" t="inlineStr">
        <is>
          <t>3</t>
        </is>
      </c>
      <c r="I682" s="5" t="inlineStr">
        <is>
          <t>Bengaluru</t>
        </is>
      </c>
      <c r="J682" s="5" t="inlineStr">
        <is>
          <t>Full-Time</t>
        </is>
      </c>
      <c r="K682" s="7" t="n">
        <v>44747</v>
      </c>
      <c r="L682" s="7" t="inlineStr"/>
      <c r="M682" s="5" t="inlineStr">
        <is>
          <t>Yes</t>
        </is>
      </c>
      <c r="N682" s="5" t="inlineStr"/>
      <c r="O682" s="8" t="inlineStr">
        <is>
          <t>186500</t>
        </is>
      </c>
      <c r="P682" s="5" t="inlineStr">
        <is>
          <t>0</t>
        </is>
      </c>
      <c r="Q682" s="5" t="inlineStr">
        <is>
          <t>4</t>
        </is>
      </c>
      <c r="R682" s="5" t="inlineStr">
        <is>
          <t>9</t>
        </is>
      </c>
      <c r="S682" s="5" t="inlineStr">
        <is>
          <t>42</t>
        </is>
      </c>
      <c r="T682" s="5" t="inlineStr">
        <is>
          <t>10</t>
        </is>
      </c>
      <c r="U682" s="5">
        <f>IFS(C682&lt;30,"Under 30",C682&lt;40,"30-39",C682&lt;50,"40-49",TRUE,"50+")</f>
        <v/>
      </c>
      <c r="V682" s="5">
        <f>IFS(O682&lt;60000,"Low (&lt;60k)",O682&lt;100000,"Mid (60-100k)",TRUE,"High (100k+)")</f>
        <v/>
      </c>
      <c r="W682" s="5">
        <f>IF(M682="No","Attrited","Active")</f>
        <v/>
      </c>
    </row>
    <row r="683">
      <c r="A683" s="5" t="inlineStr">
        <is>
          <t>E00682</t>
        </is>
      </c>
      <c r="B683" s="5" t="inlineStr">
        <is>
          <t>Female</t>
        </is>
      </c>
      <c r="C683" s="6" t="inlineStr">
        <is>
          <t>30</t>
        </is>
      </c>
      <c r="D683" s="5" t="inlineStr">
        <is>
          <t>Married</t>
        </is>
      </c>
      <c r="E683" s="5" t="inlineStr">
        <is>
          <t>Diploma</t>
        </is>
      </c>
      <c r="F683" s="5" t="inlineStr">
        <is>
          <t>Executive</t>
        </is>
      </c>
      <c r="G683" s="5" t="inlineStr">
        <is>
          <t>CFO</t>
        </is>
      </c>
      <c r="H683" s="5" t="inlineStr">
        <is>
          <t>1</t>
        </is>
      </c>
      <c r="I683" s="5" t="inlineStr">
        <is>
          <t>Hyderabad</t>
        </is>
      </c>
      <c r="J683" s="5" t="inlineStr">
        <is>
          <t>Full-Time</t>
        </is>
      </c>
      <c r="K683" s="7" t="n">
        <v>44857</v>
      </c>
      <c r="L683" s="7" t="inlineStr"/>
      <c r="M683" s="5" t="inlineStr">
        <is>
          <t>Yes</t>
        </is>
      </c>
      <c r="N683" s="5" t="inlineStr"/>
      <c r="O683" s="8" t="inlineStr">
        <is>
          <t>205000</t>
        </is>
      </c>
      <c r="P683" s="5" t="inlineStr">
        <is>
          <t>0</t>
        </is>
      </c>
      <c r="Q683" s="5" t="inlineStr">
        <is>
          <t>4</t>
        </is>
      </c>
      <c r="R683" s="5" t="inlineStr">
        <is>
          <t>7</t>
        </is>
      </c>
      <c r="S683" s="5" t="inlineStr">
        <is>
          <t>38</t>
        </is>
      </c>
      <c r="T683" s="5" t="inlineStr">
        <is>
          <t>9</t>
        </is>
      </c>
      <c r="U683" s="5">
        <f>IFS(C683&lt;30,"Under 30",C683&lt;40,"30-39",C683&lt;50,"40-49",TRUE,"50+")</f>
        <v/>
      </c>
      <c r="V683" s="5">
        <f>IFS(O683&lt;60000,"Low (&lt;60k)",O683&lt;100000,"Mid (60-100k)",TRUE,"High (100k+)")</f>
        <v/>
      </c>
      <c r="W683" s="5">
        <f>IF(M683="No","Attrited","Active")</f>
        <v/>
      </c>
    </row>
    <row r="684">
      <c r="A684" s="5" t="inlineStr">
        <is>
          <t>E00683</t>
        </is>
      </c>
      <c r="B684" s="5" t="inlineStr">
        <is>
          <t>Female</t>
        </is>
      </c>
      <c r="C684" s="6" t="inlineStr">
        <is>
          <t>35</t>
        </is>
      </c>
      <c r="D684" s="5" t="inlineStr">
        <is>
          <t>Married</t>
        </is>
      </c>
      <c r="E684" s="5" t="inlineStr">
        <is>
          <t>PhD</t>
        </is>
      </c>
      <c r="F684" s="5" t="inlineStr">
        <is>
          <t>Operations</t>
        </is>
      </c>
      <c r="G684" s="5" t="inlineStr">
        <is>
          <t>Logistics Coordinator</t>
        </is>
      </c>
      <c r="H684" s="5" t="inlineStr">
        <is>
          <t>2</t>
        </is>
      </c>
      <c r="I684" s="5" t="inlineStr">
        <is>
          <t>Chennai</t>
        </is>
      </c>
      <c r="J684" s="5" t="inlineStr">
        <is>
          <t>Contract</t>
        </is>
      </c>
      <c r="K684" s="7" t="n">
        <v>44949</v>
      </c>
      <c r="L684" s="7" t="n">
        <v>45066</v>
      </c>
      <c r="M684" s="5" t="inlineStr">
        <is>
          <t>No</t>
        </is>
      </c>
      <c r="N684" s="5" t="inlineStr">
        <is>
          <t>Relocation</t>
        </is>
      </c>
      <c r="O684" s="8" t="inlineStr">
        <is>
          <t>104500</t>
        </is>
      </c>
      <c r="P684" s="5" t="inlineStr">
        <is>
          <t>15</t>
        </is>
      </c>
      <c r="Q684" s="5" t="inlineStr">
        <is>
          <t>4</t>
        </is>
      </c>
      <c r="R684" s="5" t="inlineStr">
        <is>
          <t>7</t>
        </is>
      </c>
      <c r="S684" s="5" t="inlineStr">
        <is>
          <t>3</t>
        </is>
      </c>
      <c r="T684" s="5" t="inlineStr">
        <is>
          <t>0</t>
        </is>
      </c>
      <c r="U684" s="5">
        <f>IFS(C684&lt;30,"Under 30",C684&lt;40,"30-39",C684&lt;50,"40-49",TRUE,"50+")</f>
        <v/>
      </c>
      <c r="V684" s="5">
        <f>IFS(O684&lt;60000,"Low (&lt;60k)",O684&lt;100000,"Mid (60-100k)",TRUE,"High (100k+)")</f>
        <v/>
      </c>
      <c r="W684" s="5">
        <f>IF(M684="No","Attrited","Active")</f>
        <v/>
      </c>
    </row>
    <row r="685">
      <c r="A685" s="5" t="inlineStr">
        <is>
          <t>E00684</t>
        </is>
      </c>
      <c r="B685" s="5" t="inlineStr">
        <is>
          <t>Female</t>
        </is>
      </c>
      <c r="C685" s="6" t="inlineStr">
        <is>
          <t>33</t>
        </is>
      </c>
      <c r="D685" s="5" t="inlineStr">
        <is>
          <t>Married</t>
        </is>
      </c>
      <c r="E685" s="5" t="inlineStr">
        <is>
          <t>PhD</t>
        </is>
      </c>
      <c r="F685" s="5" t="inlineStr">
        <is>
          <t>Human Resources</t>
        </is>
      </c>
      <c r="G685" s="5" t="inlineStr">
        <is>
          <t>Recruiter</t>
        </is>
      </c>
      <c r="H685" s="5" t="inlineStr">
        <is>
          <t>3</t>
        </is>
      </c>
      <c r="I685" s="5" t="inlineStr">
        <is>
          <t>Remote</t>
        </is>
      </c>
      <c r="J685" s="5" t="inlineStr">
        <is>
          <t>Full-Time</t>
        </is>
      </c>
      <c r="K685" s="7" t="n">
        <v>45154</v>
      </c>
      <c r="L685" s="7" t="inlineStr"/>
      <c r="M685" s="5" t="inlineStr">
        <is>
          <t>Yes</t>
        </is>
      </c>
      <c r="N685" s="5" t="inlineStr"/>
      <c r="O685" s="8" t="inlineStr">
        <is>
          <t>110500</t>
        </is>
      </c>
      <c r="P685" s="5" t="inlineStr">
        <is>
          <t>5</t>
        </is>
      </c>
      <c r="Q685" s="5" t="inlineStr">
        <is>
          <t>3</t>
        </is>
      </c>
      <c r="R685" s="5" t="inlineStr">
        <is>
          <t>3</t>
        </is>
      </c>
      <c r="S685" s="5" t="inlineStr">
        <is>
          <t>28</t>
        </is>
      </c>
      <c r="T685" s="5" t="inlineStr">
        <is>
          <t>17</t>
        </is>
      </c>
      <c r="U685" s="5">
        <f>IFS(C685&lt;30,"Under 30",C685&lt;40,"30-39",C685&lt;50,"40-49",TRUE,"50+")</f>
        <v/>
      </c>
      <c r="V685" s="5">
        <f>IFS(O685&lt;60000,"Low (&lt;60k)",O685&lt;100000,"Mid (60-100k)",TRUE,"High (100k+)")</f>
        <v/>
      </c>
      <c r="W685" s="5">
        <f>IF(M685="No","Attrited","Active")</f>
        <v/>
      </c>
    </row>
    <row r="686">
      <c r="A686" s="5" t="inlineStr">
        <is>
          <t>E00685</t>
        </is>
      </c>
      <c r="B686" s="5" t="inlineStr">
        <is>
          <t>Male</t>
        </is>
      </c>
      <c r="C686" s="6" t="inlineStr">
        <is>
          <t>32</t>
        </is>
      </c>
      <c r="D686" s="5" t="inlineStr">
        <is>
          <t>Married</t>
        </is>
      </c>
      <c r="E686" s="5" t="inlineStr">
        <is>
          <t>Bachelor</t>
        </is>
      </c>
      <c r="F686" s="5" t="inlineStr">
        <is>
          <t>Finance</t>
        </is>
      </c>
      <c r="G686" s="5" t="inlineStr">
        <is>
          <t>Accountant</t>
        </is>
      </c>
      <c r="H686" s="5" t="inlineStr">
        <is>
          <t>1</t>
        </is>
      </c>
      <c r="I686" s="5" t="inlineStr">
        <is>
          <t>Chennai</t>
        </is>
      </c>
      <c r="J686" s="5" t="inlineStr">
        <is>
          <t>Full-Time</t>
        </is>
      </c>
      <c r="K686" s="7" t="n">
        <v>43907</v>
      </c>
      <c r="L686" s="7" t="inlineStr"/>
      <c r="M686" s="5" t="inlineStr">
        <is>
          <t>Yes</t>
        </is>
      </c>
      <c r="N686" s="5" t="inlineStr"/>
      <c r="O686" s="8" t="inlineStr">
        <is>
          <t>105000</t>
        </is>
      </c>
      <c r="P686" s="5" t="inlineStr">
        <is>
          <t>5</t>
        </is>
      </c>
      <c r="Q686" s="5" t="inlineStr">
        <is>
          <t>4</t>
        </is>
      </c>
      <c r="R686" s="5" t="inlineStr">
        <is>
          <t>6</t>
        </is>
      </c>
      <c r="S686" s="5" t="inlineStr">
        <is>
          <t>70</t>
        </is>
      </c>
      <c r="T686" s="5" t="inlineStr">
        <is>
          <t>5</t>
        </is>
      </c>
      <c r="U686" s="5">
        <f>IFS(C686&lt;30,"Under 30",C686&lt;40,"30-39",C686&lt;50,"40-49",TRUE,"50+")</f>
        <v/>
      </c>
      <c r="V686" s="5">
        <f>IFS(O686&lt;60000,"Low (&lt;60k)",O686&lt;100000,"Mid (60-100k)",TRUE,"High (100k+)")</f>
        <v/>
      </c>
      <c r="W686" s="5">
        <f>IF(M686="No","Attrited","Active")</f>
        <v/>
      </c>
    </row>
    <row r="687">
      <c r="A687" s="5" t="inlineStr">
        <is>
          <t>E00686</t>
        </is>
      </c>
      <c r="B687" s="5" t="inlineStr">
        <is>
          <t>Male</t>
        </is>
      </c>
      <c r="C687" s="6" t="inlineStr">
        <is>
          <t>39</t>
        </is>
      </c>
      <c r="D687" s="5" t="inlineStr">
        <is>
          <t>Married</t>
        </is>
      </c>
      <c r="E687" s="5" t="inlineStr">
        <is>
          <t>Diploma</t>
        </is>
      </c>
      <c r="F687" s="5" t="inlineStr">
        <is>
          <t>Human Resources</t>
        </is>
      </c>
      <c r="G687" s="5" t="inlineStr">
        <is>
          <t>Recruiter</t>
        </is>
      </c>
      <c r="H687" s="5" t="inlineStr">
        <is>
          <t>4</t>
        </is>
      </c>
      <c r="I687" s="5" t="inlineStr">
        <is>
          <t>Delhi</t>
        </is>
      </c>
      <c r="J687" s="5" t="inlineStr">
        <is>
          <t>Full-Time</t>
        </is>
      </c>
      <c r="K687" s="7" t="n">
        <v>44950</v>
      </c>
      <c r="L687" s="7" t="inlineStr"/>
      <c r="M687" s="5" t="inlineStr">
        <is>
          <t>Yes</t>
        </is>
      </c>
      <c r="N687" s="5" t="inlineStr"/>
      <c r="O687" s="8" t="inlineStr">
        <is>
          <t>131000</t>
        </is>
      </c>
      <c r="P687" s="5" t="inlineStr">
        <is>
          <t>5</t>
        </is>
      </c>
      <c r="Q687" s="5" t="inlineStr">
        <is>
          <t>4</t>
        </is>
      </c>
      <c r="R687" s="5" t="inlineStr">
        <is>
          <t>5</t>
        </is>
      </c>
      <c r="S687" s="5" t="inlineStr">
        <is>
          <t>35</t>
        </is>
      </c>
      <c r="T687" s="5" t="inlineStr">
        <is>
          <t>9</t>
        </is>
      </c>
      <c r="U687" s="5">
        <f>IFS(C687&lt;30,"Under 30",C687&lt;40,"30-39",C687&lt;50,"40-49",TRUE,"50+")</f>
        <v/>
      </c>
      <c r="V687" s="5">
        <f>IFS(O687&lt;60000,"Low (&lt;60k)",O687&lt;100000,"Mid (60-100k)",TRUE,"High (100k+)")</f>
        <v/>
      </c>
      <c r="W687" s="5">
        <f>IF(M687="No","Attrited","Active")</f>
        <v/>
      </c>
    </row>
    <row r="688">
      <c r="A688" s="5" t="inlineStr">
        <is>
          <t>E00687</t>
        </is>
      </c>
      <c r="B688" s="5" t="inlineStr">
        <is>
          <t>Male</t>
        </is>
      </c>
      <c r="C688" s="6" t="inlineStr">
        <is>
          <t>32</t>
        </is>
      </c>
      <c r="D688" s="5" t="inlineStr">
        <is>
          <t>Married</t>
        </is>
      </c>
      <c r="E688" s="5" t="inlineStr">
        <is>
          <t>Diploma</t>
        </is>
      </c>
      <c r="F688" s="5" t="inlineStr">
        <is>
          <t>IT</t>
        </is>
      </c>
      <c r="G688" s="5" t="inlineStr">
        <is>
          <t>IT Support</t>
        </is>
      </c>
      <c r="H688" s="5" t="inlineStr">
        <is>
          <t>2</t>
        </is>
      </c>
      <c r="I688" s="5" t="inlineStr">
        <is>
          <t>Chennai</t>
        </is>
      </c>
      <c r="J688" s="5" t="inlineStr">
        <is>
          <t>Full-Time</t>
        </is>
      </c>
      <c r="K688" s="7" t="n">
        <v>45878</v>
      </c>
      <c r="L688" s="7" t="inlineStr"/>
      <c r="M688" s="5" t="inlineStr">
        <is>
          <t>Yes</t>
        </is>
      </c>
      <c r="N688" s="5" t="inlineStr"/>
      <c r="O688" s="8" t="inlineStr">
        <is>
          <t>136500</t>
        </is>
      </c>
      <c r="P688" s="5" t="inlineStr">
        <is>
          <t>5</t>
        </is>
      </c>
      <c r="Q688" s="5" t="inlineStr">
        <is>
          <t>3</t>
        </is>
      </c>
      <c r="R688" s="5" t="inlineStr">
        <is>
          <t>4</t>
        </is>
      </c>
      <c r="S688" s="5" t="inlineStr">
        <is>
          <t>4</t>
        </is>
      </c>
      <c r="T688" s="5" t="inlineStr">
        <is>
          <t>0</t>
        </is>
      </c>
      <c r="U688" s="5">
        <f>IFS(C688&lt;30,"Under 30",C688&lt;40,"30-39",C688&lt;50,"40-49",TRUE,"50+")</f>
        <v/>
      </c>
      <c r="V688" s="5">
        <f>IFS(O688&lt;60000,"Low (&lt;60k)",O688&lt;100000,"Mid (60-100k)",TRUE,"High (100k+)")</f>
        <v/>
      </c>
      <c r="W688" s="5">
        <f>IF(M688="No","Attrited","Active")</f>
        <v/>
      </c>
    </row>
    <row r="689">
      <c r="A689" s="5" t="inlineStr">
        <is>
          <t>E00688</t>
        </is>
      </c>
      <c r="B689" s="5" t="inlineStr">
        <is>
          <t>Male</t>
        </is>
      </c>
      <c r="C689" s="6" t="inlineStr">
        <is>
          <t>29</t>
        </is>
      </c>
      <c r="D689" s="5" t="inlineStr">
        <is>
          <t>Married</t>
        </is>
      </c>
      <c r="E689" s="5" t="inlineStr">
        <is>
          <t>PhD</t>
        </is>
      </c>
      <c r="F689" s="5" t="inlineStr">
        <is>
          <t>Marketing</t>
        </is>
      </c>
      <c r="G689" s="5" t="inlineStr">
        <is>
          <t>Marketing Analyst</t>
        </is>
      </c>
      <c r="H689" s="5" t="inlineStr">
        <is>
          <t>1</t>
        </is>
      </c>
      <c r="I689" s="5" t="inlineStr">
        <is>
          <t>Delhi</t>
        </is>
      </c>
      <c r="J689" s="5" t="inlineStr">
        <is>
          <t>Full-Time</t>
        </is>
      </c>
      <c r="K689" s="7" t="n">
        <v>45928</v>
      </c>
      <c r="L689" s="7" t="inlineStr"/>
      <c r="M689" s="5" t="inlineStr">
        <is>
          <t>Yes</t>
        </is>
      </c>
      <c r="N689" s="5" t="inlineStr"/>
      <c r="O689" s="8" t="inlineStr">
        <is>
          <t>51000</t>
        </is>
      </c>
      <c r="P689" s="5" t="inlineStr">
        <is>
          <t>10</t>
        </is>
      </c>
      <c r="Q689" s="5" t="inlineStr">
        <is>
          <t>3</t>
        </is>
      </c>
      <c r="R689" s="5" t="inlineStr">
        <is>
          <t>6</t>
        </is>
      </c>
      <c r="S689" s="5" t="inlineStr">
        <is>
          <t>3</t>
        </is>
      </c>
      <c r="T689" s="5" t="inlineStr">
        <is>
          <t>0</t>
        </is>
      </c>
      <c r="U689" s="5">
        <f>IFS(C689&lt;30,"Under 30",C689&lt;40,"30-39",C689&lt;50,"40-49",TRUE,"50+")</f>
        <v/>
      </c>
      <c r="V689" s="5">
        <f>IFS(O689&lt;60000,"Low (&lt;60k)",O689&lt;100000,"Mid (60-100k)",TRUE,"High (100k+)")</f>
        <v/>
      </c>
      <c r="W689" s="5">
        <f>IF(M689="No","Attrited","Active")</f>
        <v/>
      </c>
    </row>
    <row r="690">
      <c r="A690" s="5" t="inlineStr">
        <is>
          <t>E00689</t>
        </is>
      </c>
      <c r="B690" s="5" t="inlineStr">
        <is>
          <t>Female</t>
        </is>
      </c>
      <c r="C690" s="6" t="inlineStr">
        <is>
          <t>30</t>
        </is>
      </c>
      <c r="D690" s="5" t="inlineStr">
        <is>
          <t>Married</t>
        </is>
      </c>
      <c r="E690" s="5" t="inlineStr">
        <is>
          <t>PhD</t>
        </is>
      </c>
      <c r="F690" s="5" t="inlineStr">
        <is>
          <t>IT</t>
        </is>
      </c>
      <c r="G690" s="5" t="inlineStr">
        <is>
          <t>DevOps Engineer</t>
        </is>
      </c>
      <c r="H690" s="5" t="inlineStr">
        <is>
          <t>2</t>
        </is>
      </c>
      <c r="I690" s="5" t="inlineStr">
        <is>
          <t>Bengaluru</t>
        </is>
      </c>
      <c r="J690" s="5" t="inlineStr">
        <is>
          <t>Full-Time</t>
        </is>
      </c>
      <c r="K690" s="7" t="n">
        <v>45903</v>
      </c>
      <c r="L690" s="7" t="inlineStr"/>
      <c r="M690" s="5" t="inlineStr">
        <is>
          <t>Yes</t>
        </is>
      </c>
      <c r="N690" s="5" t="inlineStr"/>
      <c r="O690" s="8" t="inlineStr">
        <is>
          <t>156500</t>
        </is>
      </c>
      <c r="P690" s="5" t="inlineStr">
        <is>
          <t>0</t>
        </is>
      </c>
      <c r="Q690" s="5" t="inlineStr">
        <is>
          <t>5</t>
        </is>
      </c>
      <c r="R690" s="5" t="inlineStr">
        <is>
          <t>10</t>
        </is>
      </c>
      <c r="S690" s="5" t="inlineStr">
        <is>
          <t>3</t>
        </is>
      </c>
      <c r="T690" s="5" t="inlineStr">
        <is>
          <t>15</t>
        </is>
      </c>
      <c r="U690" s="5">
        <f>IFS(C690&lt;30,"Under 30",C690&lt;40,"30-39",C690&lt;50,"40-49",TRUE,"50+")</f>
        <v/>
      </c>
      <c r="V690" s="5">
        <f>IFS(O690&lt;60000,"Low (&lt;60k)",O690&lt;100000,"Mid (60-100k)",TRUE,"High (100k+)")</f>
        <v/>
      </c>
      <c r="W690" s="5">
        <f>IF(M690="No","Attrited","Active")</f>
        <v/>
      </c>
    </row>
    <row r="691">
      <c r="A691" s="5" t="inlineStr">
        <is>
          <t>E00690</t>
        </is>
      </c>
      <c r="B691" s="5" t="inlineStr">
        <is>
          <t>Female</t>
        </is>
      </c>
      <c r="C691" s="6" t="inlineStr">
        <is>
          <t>29</t>
        </is>
      </c>
      <c r="D691" s="5" t="inlineStr">
        <is>
          <t>Married</t>
        </is>
      </c>
      <c r="E691" s="5" t="inlineStr">
        <is>
          <t>Diploma</t>
        </is>
      </c>
      <c r="F691" s="5" t="inlineStr">
        <is>
          <t>Operations</t>
        </is>
      </c>
      <c r="G691" s="5" t="inlineStr">
        <is>
          <t>Quality Analyst</t>
        </is>
      </c>
      <c r="H691" s="5" t="inlineStr">
        <is>
          <t>2</t>
        </is>
      </c>
      <c r="I691" s="5" t="inlineStr">
        <is>
          <t>Remote</t>
        </is>
      </c>
      <c r="J691" s="5" t="inlineStr">
        <is>
          <t>Full-Time</t>
        </is>
      </c>
      <c r="K691" s="7" t="n">
        <v>43846</v>
      </c>
      <c r="L691" s="7" t="inlineStr"/>
      <c r="M691" s="5" t="inlineStr">
        <is>
          <t>Yes</t>
        </is>
      </c>
      <c r="N691" s="5" t="inlineStr"/>
      <c r="O691" s="8" t="inlineStr">
        <is>
          <t>110000</t>
        </is>
      </c>
      <c r="P691" s="5" t="inlineStr">
        <is>
          <t>5</t>
        </is>
      </c>
      <c r="Q691" s="5" t="inlineStr">
        <is>
          <t>2</t>
        </is>
      </c>
      <c r="R691" s="5" t="inlineStr">
        <is>
          <t>7</t>
        </is>
      </c>
      <c r="S691" s="5" t="inlineStr">
        <is>
          <t>72</t>
        </is>
      </c>
      <c r="T691" s="5" t="inlineStr">
        <is>
          <t>0</t>
        </is>
      </c>
      <c r="U691" s="5">
        <f>IFS(C691&lt;30,"Under 30",C691&lt;40,"30-39",C691&lt;50,"40-49",TRUE,"50+")</f>
        <v/>
      </c>
      <c r="V691" s="5">
        <f>IFS(O691&lt;60000,"Low (&lt;60k)",O691&lt;100000,"Mid (60-100k)",TRUE,"High (100k+)")</f>
        <v/>
      </c>
      <c r="W691" s="5">
        <f>IF(M691="No","Attrited","Active")</f>
        <v/>
      </c>
    </row>
    <row r="692">
      <c r="A692" s="5" t="inlineStr">
        <is>
          <t>E00691</t>
        </is>
      </c>
      <c r="B692" s="5" t="inlineStr">
        <is>
          <t>Female</t>
        </is>
      </c>
      <c r="C692" s="6" t="inlineStr">
        <is>
          <t>46</t>
        </is>
      </c>
      <c r="D692" s="5" t="inlineStr">
        <is>
          <t>Married</t>
        </is>
      </c>
      <c r="E692" s="5" t="inlineStr">
        <is>
          <t>Bachelor</t>
        </is>
      </c>
      <c r="F692" s="5" t="inlineStr">
        <is>
          <t>Sales</t>
        </is>
      </c>
      <c r="G692" s="5" t="inlineStr">
        <is>
          <t>Account Executive</t>
        </is>
      </c>
      <c r="H692" s="5" t="inlineStr">
        <is>
          <t>7</t>
        </is>
      </c>
      <c r="I692" s="5" t="inlineStr">
        <is>
          <t>Mumbai</t>
        </is>
      </c>
      <c r="J692" s="5" t="inlineStr">
        <is>
          <t>Full-Time</t>
        </is>
      </c>
      <c r="K692" s="7" t="n">
        <v>45072</v>
      </c>
      <c r="L692" s="7" t="inlineStr"/>
      <c r="M692" s="5" t="inlineStr">
        <is>
          <t>Yes</t>
        </is>
      </c>
      <c r="N692" s="5" t="inlineStr"/>
      <c r="O692" s="8" t="inlineStr">
        <is>
          <t>180500</t>
        </is>
      </c>
      <c r="P692" s="5" t="inlineStr">
        <is>
          <t>5</t>
        </is>
      </c>
      <c r="Q692" s="5" t="inlineStr">
        <is>
          <t>3</t>
        </is>
      </c>
      <c r="R692" s="5" t="inlineStr">
        <is>
          <t>7</t>
        </is>
      </c>
      <c r="S692" s="5" t="inlineStr">
        <is>
          <t>31</t>
        </is>
      </c>
      <c r="T692" s="5" t="inlineStr">
        <is>
          <t>17</t>
        </is>
      </c>
      <c r="U692" s="5">
        <f>IFS(C692&lt;30,"Under 30",C692&lt;40,"30-39",C692&lt;50,"40-49",TRUE,"50+")</f>
        <v/>
      </c>
      <c r="V692" s="5">
        <f>IFS(O692&lt;60000,"Low (&lt;60k)",O692&lt;100000,"Mid (60-100k)",TRUE,"High (100k+)")</f>
        <v/>
      </c>
      <c r="W692" s="5">
        <f>IF(M692="No","Attrited","Active")</f>
        <v/>
      </c>
    </row>
    <row r="693">
      <c r="A693" s="5" t="inlineStr">
        <is>
          <t>E00692</t>
        </is>
      </c>
      <c r="B693" s="5" t="inlineStr">
        <is>
          <t>Female</t>
        </is>
      </c>
      <c r="C693" s="6" t="inlineStr">
        <is>
          <t>39</t>
        </is>
      </c>
      <c r="D693" s="5" t="inlineStr">
        <is>
          <t>Married</t>
        </is>
      </c>
      <c r="E693" s="5" t="inlineStr">
        <is>
          <t>PhD</t>
        </is>
      </c>
      <c r="F693" s="5" t="inlineStr">
        <is>
          <t>Human Resources</t>
        </is>
      </c>
      <c r="G693" s="5" t="inlineStr">
        <is>
          <t>HR Generalist</t>
        </is>
      </c>
      <c r="H693" s="5" t="inlineStr">
        <is>
          <t>5</t>
        </is>
      </c>
      <c r="I693" s="5" t="inlineStr">
        <is>
          <t>Bengaluru</t>
        </is>
      </c>
      <c r="J693" s="5" t="inlineStr">
        <is>
          <t>Full-Time</t>
        </is>
      </c>
      <c r="K693" s="7" t="n">
        <v>44918</v>
      </c>
      <c r="L693" s="7" t="inlineStr"/>
      <c r="M693" s="5" t="inlineStr">
        <is>
          <t>Yes</t>
        </is>
      </c>
      <c r="N693" s="5" t="inlineStr"/>
      <c r="O693" s="8" t="inlineStr">
        <is>
          <t>100000</t>
        </is>
      </c>
      <c r="P693" s="5" t="inlineStr">
        <is>
          <t>0</t>
        </is>
      </c>
      <c r="Q693" s="5" t="inlineStr">
        <is>
          <t>3</t>
        </is>
      </c>
      <c r="R693" s="5" t="inlineStr">
        <is>
          <t>7</t>
        </is>
      </c>
      <c r="S693" s="5" t="inlineStr">
        <is>
          <t>36</t>
        </is>
      </c>
      <c r="T693" s="5" t="inlineStr">
        <is>
          <t>2</t>
        </is>
      </c>
      <c r="U693" s="5">
        <f>IFS(C693&lt;30,"Under 30",C693&lt;40,"30-39",C693&lt;50,"40-49",TRUE,"50+")</f>
        <v/>
      </c>
      <c r="V693" s="5">
        <f>IFS(O693&lt;60000,"Low (&lt;60k)",O693&lt;100000,"Mid (60-100k)",TRUE,"High (100k+)")</f>
        <v/>
      </c>
      <c r="W693" s="5">
        <f>IF(M693="No","Attrited","Active")</f>
        <v/>
      </c>
    </row>
    <row r="694">
      <c r="A694" s="5" t="inlineStr">
        <is>
          <t>E00693</t>
        </is>
      </c>
      <c r="B694" s="5" t="inlineStr">
        <is>
          <t>Male</t>
        </is>
      </c>
      <c r="C694" s="6" t="inlineStr">
        <is>
          <t>27</t>
        </is>
      </c>
      <c r="D694" s="5" t="inlineStr">
        <is>
          <t>Married</t>
        </is>
      </c>
      <c r="E694" s="5" t="inlineStr">
        <is>
          <t>PhD</t>
        </is>
      </c>
      <c r="F694" s="5" t="inlineStr">
        <is>
          <t>Operations</t>
        </is>
      </c>
      <c r="G694" s="5" t="inlineStr">
        <is>
          <t>Quality Analyst</t>
        </is>
      </c>
      <c r="H694" s="5" t="inlineStr">
        <is>
          <t>2</t>
        </is>
      </c>
      <c r="I694" s="5" t="inlineStr">
        <is>
          <t>Bengaluru</t>
        </is>
      </c>
      <c r="J694" s="5" t="inlineStr">
        <is>
          <t>Full-Time</t>
        </is>
      </c>
      <c r="K694" s="7" t="n">
        <v>45977</v>
      </c>
      <c r="L694" s="7" t="n">
        <v>45992</v>
      </c>
      <c r="M694" s="5" t="inlineStr">
        <is>
          <t>No</t>
        </is>
      </c>
      <c r="N694" s="5" t="inlineStr">
        <is>
          <t>Retirement</t>
        </is>
      </c>
      <c r="O694" s="8" t="inlineStr">
        <is>
          <t>79500</t>
        </is>
      </c>
      <c r="P694" s="5" t="inlineStr">
        <is>
          <t>5</t>
        </is>
      </c>
      <c r="Q694" s="5" t="inlineStr">
        <is>
          <t>3</t>
        </is>
      </c>
      <c r="R694" s="5" t="inlineStr">
        <is>
          <t>3</t>
        </is>
      </c>
      <c r="S694" s="5" t="inlineStr">
        <is>
          <t>1</t>
        </is>
      </c>
      <c r="T694" s="5" t="inlineStr">
        <is>
          <t>11</t>
        </is>
      </c>
      <c r="U694" s="5">
        <f>IFS(C694&lt;30,"Under 30",C694&lt;40,"30-39",C694&lt;50,"40-49",TRUE,"50+")</f>
        <v/>
      </c>
      <c r="V694" s="5">
        <f>IFS(O694&lt;60000,"Low (&lt;60k)",O694&lt;100000,"Mid (60-100k)",TRUE,"High (100k+)")</f>
        <v/>
      </c>
      <c r="W694" s="5">
        <f>IF(M694="No","Attrited","Active")</f>
        <v/>
      </c>
    </row>
    <row r="695">
      <c r="A695" s="5" t="inlineStr">
        <is>
          <t>E00694</t>
        </is>
      </c>
      <c r="B695" s="5" t="inlineStr">
        <is>
          <t>Male</t>
        </is>
      </c>
      <c r="C695" s="6" t="inlineStr">
        <is>
          <t>38</t>
        </is>
      </c>
      <c r="D695" s="5" t="inlineStr">
        <is>
          <t>Married</t>
        </is>
      </c>
      <c r="E695" s="5" t="inlineStr">
        <is>
          <t>Diploma</t>
        </is>
      </c>
      <c r="F695" s="5" t="inlineStr">
        <is>
          <t>Finance</t>
        </is>
      </c>
      <c r="G695" s="5" t="inlineStr">
        <is>
          <t>Financial Analyst</t>
        </is>
      </c>
      <c r="H695" s="5" t="inlineStr">
        <is>
          <t>3</t>
        </is>
      </c>
      <c r="I695" s="5" t="inlineStr">
        <is>
          <t>Bengaluru</t>
        </is>
      </c>
      <c r="J695" s="5" t="inlineStr">
        <is>
          <t>Full-Time</t>
        </is>
      </c>
      <c r="K695" s="7" t="n">
        <v>44643</v>
      </c>
      <c r="L695" s="7" t="inlineStr"/>
      <c r="M695" s="5" t="inlineStr">
        <is>
          <t>Yes</t>
        </is>
      </c>
      <c r="N695" s="5" t="inlineStr"/>
      <c r="O695" s="8" t="inlineStr">
        <is>
          <t>122000</t>
        </is>
      </c>
      <c r="P695" s="5" t="inlineStr">
        <is>
          <t>5</t>
        </is>
      </c>
      <c r="Q695" s="5" t="inlineStr">
        <is>
          <t>3</t>
        </is>
      </c>
      <c r="R695" s="5" t="inlineStr">
        <is>
          <t>7</t>
        </is>
      </c>
      <c r="S695" s="5" t="inlineStr">
        <is>
          <t>45</t>
        </is>
      </c>
      <c r="T695" s="5" t="inlineStr">
        <is>
          <t>17</t>
        </is>
      </c>
      <c r="U695" s="5">
        <f>IFS(C695&lt;30,"Under 30",C695&lt;40,"30-39",C695&lt;50,"40-49",TRUE,"50+")</f>
        <v/>
      </c>
      <c r="V695" s="5">
        <f>IFS(O695&lt;60000,"Low (&lt;60k)",O695&lt;100000,"Mid (60-100k)",TRUE,"High (100k+)")</f>
        <v/>
      </c>
      <c r="W695" s="5">
        <f>IF(M695="No","Attrited","Active")</f>
        <v/>
      </c>
    </row>
    <row r="696">
      <c r="A696" s="5" t="inlineStr">
        <is>
          <t>E00695</t>
        </is>
      </c>
      <c r="B696" s="5" t="inlineStr">
        <is>
          <t>Female</t>
        </is>
      </c>
      <c r="C696" s="6" t="inlineStr">
        <is>
          <t>31</t>
        </is>
      </c>
      <c r="D696" s="5" t="inlineStr">
        <is>
          <t>Single</t>
        </is>
      </c>
      <c r="E696" s="5" t="inlineStr">
        <is>
          <t>High School</t>
        </is>
      </c>
      <c r="F696" s="5" t="inlineStr">
        <is>
          <t>Customer Support</t>
        </is>
      </c>
      <c r="G696" s="5" t="inlineStr">
        <is>
          <t>Support Lead</t>
        </is>
      </c>
      <c r="H696" s="5" t="inlineStr">
        <is>
          <t>3</t>
        </is>
      </c>
      <c r="I696" s="5" t="inlineStr">
        <is>
          <t>Hyderabad</t>
        </is>
      </c>
      <c r="J696" s="5" t="inlineStr">
        <is>
          <t>Full-Time</t>
        </is>
      </c>
      <c r="K696" s="7" t="n">
        <v>45124</v>
      </c>
      <c r="L696" s="7" t="inlineStr"/>
      <c r="M696" s="5" t="inlineStr">
        <is>
          <t>Yes</t>
        </is>
      </c>
      <c r="N696" s="5" t="inlineStr"/>
      <c r="O696" s="8" t="inlineStr">
        <is>
          <t>75500</t>
        </is>
      </c>
      <c r="P696" s="5" t="inlineStr">
        <is>
          <t>10</t>
        </is>
      </c>
      <c r="Q696" s="5" t="inlineStr">
        <is>
          <t>4</t>
        </is>
      </c>
      <c r="R696" s="5" t="inlineStr">
        <is>
          <t>4</t>
        </is>
      </c>
      <c r="S696" s="5" t="inlineStr">
        <is>
          <t>29</t>
        </is>
      </c>
      <c r="T696" s="5" t="inlineStr">
        <is>
          <t>5</t>
        </is>
      </c>
      <c r="U696" s="5">
        <f>IFS(C696&lt;30,"Under 30",C696&lt;40,"30-39",C696&lt;50,"40-49",TRUE,"50+")</f>
        <v/>
      </c>
      <c r="V696" s="5">
        <f>IFS(O696&lt;60000,"Low (&lt;60k)",O696&lt;100000,"Mid (60-100k)",TRUE,"High (100k+)")</f>
        <v/>
      </c>
      <c r="W696" s="5">
        <f>IF(M696="No","Attrited","Active")</f>
        <v/>
      </c>
    </row>
    <row r="697">
      <c r="A697" s="5" t="inlineStr">
        <is>
          <t>E00696</t>
        </is>
      </c>
      <c r="B697" s="5" t="inlineStr">
        <is>
          <t>Male</t>
        </is>
      </c>
      <c r="C697" s="6" t="inlineStr">
        <is>
          <t>31</t>
        </is>
      </c>
      <c r="D697" s="5" t="inlineStr">
        <is>
          <t>Married</t>
        </is>
      </c>
      <c r="E697" s="5" t="inlineStr">
        <is>
          <t>Diploma</t>
        </is>
      </c>
      <c r="F697" s="5" t="inlineStr">
        <is>
          <t>Finance</t>
        </is>
      </c>
      <c r="G697" s="5" t="inlineStr">
        <is>
          <t>Accountant</t>
        </is>
      </c>
      <c r="H697" s="5" t="inlineStr">
        <is>
          <t>1</t>
        </is>
      </c>
      <c r="I697" s="5" t="inlineStr">
        <is>
          <t>Chennai</t>
        </is>
      </c>
      <c r="J697" s="5" t="inlineStr">
        <is>
          <t>Full-Time</t>
        </is>
      </c>
      <c r="K697" s="7" t="n">
        <v>44245</v>
      </c>
      <c r="L697" s="7" t="inlineStr"/>
      <c r="M697" s="5" t="inlineStr">
        <is>
          <t>Yes</t>
        </is>
      </c>
      <c r="N697" s="5" t="inlineStr"/>
      <c r="O697" s="8" t="inlineStr">
        <is>
          <t>68000</t>
        </is>
      </c>
      <c r="P697" s="5" t="inlineStr">
        <is>
          <t>5</t>
        </is>
      </c>
      <c r="Q697" s="5" t="inlineStr">
        <is>
          <t>3</t>
        </is>
      </c>
      <c r="R697" s="5" t="inlineStr">
        <is>
          <t>8</t>
        </is>
      </c>
      <c r="S697" s="5" t="inlineStr">
        <is>
          <t>59</t>
        </is>
      </c>
      <c r="T697" s="5" t="inlineStr">
        <is>
          <t>9</t>
        </is>
      </c>
      <c r="U697" s="5">
        <f>IFS(C697&lt;30,"Under 30",C697&lt;40,"30-39",C697&lt;50,"40-49",TRUE,"50+")</f>
        <v/>
      </c>
      <c r="V697" s="5">
        <f>IFS(O697&lt;60000,"Low (&lt;60k)",O697&lt;100000,"Mid (60-100k)",TRUE,"High (100k+)")</f>
        <v/>
      </c>
      <c r="W697" s="5">
        <f>IF(M697="No","Attrited","Active")</f>
        <v/>
      </c>
    </row>
    <row r="698">
      <c r="A698" s="5" t="inlineStr">
        <is>
          <t>E00697</t>
        </is>
      </c>
      <c r="B698" s="5" t="inlineStr">
        <is>
          <t>Male</t>
        </is>
      </c>
      <c r="C698" s="6" t="inlineStr">
        <is>
          <t>31</t>
        </is>
      </c>
      <c r="D698" s="5" t="inlineStr">
        <is>
          <t>Single</t>
        </is>
      </c>
      <c r="E698" s="5" t="inlineStr">
        <is>
          <t>High School</t>
        </is>
      </c>
      <c r="F698" s="5" t="inlineStr">
        <is>
          <t>Human Resources</t>
        </is>
      </c>
      <c r="G698" s="5" t="inlineStr">
        <is>
          <t>HR Analyst</t>
        </is>
      </c>
      <c r="H698" s="5" t="inlineStr">
        <is>
          <t>3</t>
        </is>
      </c>
      <c r="I698" s="5" t="inlineStr">
        <is>
          <t>Bengaluru</t>
        </is>
      </c>
      <c r="J698" s="5" t="inlineStr">
        <is>
          <t>Full-Time</t>
        </is>
      </c>
      <c r="K698" s="7" t="n">
        <v>45402</v>
      </c>
      <c r="L698" s="7" t="inlineStr"/>
      <c r="M698" s="5" t="inlineStr">
        <is>
          <t>Yes</t>
        </is>
      </c>
      <c r="N698" s="5" t="inlineStr"/>
      <c r="O698" s="8" t="inlineStr">
        <is>
          <t>73500</t>
        </is>
      </c>
      <c r="P698" s="5" t="inlineStr">
        <is>
          <t>15</t>
        </is>
      </c>
      <c r="Q698" s="5" t="inlineStr">
        <is>
          <t>4</t>
        </is>
      </c>
      <c r="R698" s="5" t="inlineStr">
        <is>
          <t>3</t>
        </is>
      </c>
      <c r="S698" s="5" t="inlineStr">
        <is>
          <t>20</t>
        </is>
      </c>
      <c r="T698" s="5" t="inlineStr">
        <is>
          <t>12</t>
        </is>
      </c>
      <c r="U698" s="5">
        <f>IFS(C698&lt;30,"Under 30",C698&lt;40,"30-39",C698&lt;50,"40-49",TRUE,"50+")</f>
        <v/>
      </c>
      <c r="V698" s="5">
        <f>IFS(O698&lt;60000,"Low (&lt;60k)",O698&lt;100000,"Mid (60-100k)",TRUE,"High (100k+)")</f>
        <v/>
      </c>
      <c r="W698" s="5">
        <f>IF(M698="No","Attrited","Active")</f>
        <v/>
      </c>
    </row>
    <row r="699">
      <c r="A699" s="5" t="inlineStr">
        <is>
          <t>E00698</t>
        </is>
      </c>
      <c r="B699" s="5" t="inlineStr">
        <is>
          <t>Male</t>
        </is>
      </c>
      <c r="C699" s="6" t="inlineStr">
        <is>
          <t>31</t>
        </is>
      </c>
      <c r="D699" s="5" t="inlineStr">
        <is>
          <t>Single</t>
        </is>
      </c>
      <c r="E699" s="5" t="inlineStr">
        <is>
          <t>Bachelor</t>
        </is>
      </c>
      <c r="F699" s="5" t="inlineStr">
        <is>
          <t>Sales</t>
        </is>
      </c>
      <c r="G699" s="5" t="inlineStr">
        <is>
          <t>Business Development</t>
        </is>
      </c>
      <c r="H699" s="5" t="inlineStr">
        <is>
          <t>1</t>
        </is>
      </c>
      <c r="I699" s="5" t="inlineStr">
        <is>
          <t>Chennai</t>
        </is>
      </c>
      <c r="J699" s="5" t="inlineStr">
        <is>
          <t>Full-Time</t>
        </is>
      </c>
      <c r="K699" s="7" t="n">
        <v>45261</v>
      </c>
      <c r="L699" s="7" t="n">
        <v>45353</v>
      </c>
      <c r="M699" s="5" t="inlineStr">
        <is>
          <t>No</t>
        </is>
      </c>
      <c r="N699" s="5" t="inlineStr">
        <is>
          <t>Relocation</t>
        </is>
      </c>
      <c r="O699" s="8" t="inlineStr">
        <is>
          <t>93000</t>
        </is>
      </c>
      <c r="P699" s="5" t="inlineStr">
        <is>
          <t>10</t>
        </is>
      </c>
      <c r="Q699" s="5" t="inlineStr">
        <is>
          <t>4</t>
        </is>
      </c>
      <c r="R699" s="5" t="inlineStr">
        <is>
          <t>7</t>
        </is>
      </c>
      <c r="S699" s="5" t="inlineStr">
        <is>
          <t>3</t>
        </is>
      </c>
      <c r="T699" s="5" t="inlineStr">
        <is>
          <t>0</t>
        </is>
      </c>
      <c r="U699" s="5">
        <f>IFS(C699&lt;30,"Under 30",C699&lt;40,"30-39",C699&lt;50,"40-49",TRUE,"50+")</f>
        <v/>
      </c>
      <c r="V699" s="5">
        <f>IFS(O699&lt;60000,"Low (&lt;60k)",O699&lt;100000,"Mid (60-100k)",TRUE,"High (100k+)")</f>
        <v/>
      </c>
      <c r="W699" s="5">
        <f>IF(M699="No","Attrited","Active")</f>
        <v/>
      </c>
    </row>
    <row r="700">
      <c r="A700" s="5" t="inlineStr">
        <is>
          <t>E00699</t>
        </is>
      </c>
      <c r="B700" s="5" t="inlineStr">
        <is>
          <t>Female</t>
        </is>
      </c>
      <c r="C700" s="6" t="inlineStr">
        <is>
          <t>34</t>
        </is>
      </c>
      <c r="D700" s="5" t="inlineStr">
        <is>
          <t>Married</t>
        </is>
      </c>
      <c r="E700" s="5" t="inlineStr">
        <is>
          <t>Diploma</t>
        </is>
      </c>
      <c r="F700" s="5" t="inlineStr">
        <is>
          <t>Marketing</t>
        </is>
      </c>
      <c r="G700" s="5" t="inlineStr">
        <is>
          <t>Content Writer</t>
        </is>
      </c>
      <c r="H700" s="5" t="inlineStr">
        <is>
          <t>4</t>
        </is>
      </c>
      <c r="I700" s="5" t="inlineStr">
        <is>
          <t>Delhi</t>
        </is>
      </c>
      <c r="J700" s="5" t="inlineStr">
        <is>
          <t>Contract</t>
        </is>
      </c>
      <c r="K700" s="7" t="n">
        <v>44619</v>
      </c>
      <c r="L700" s="7" t="n">
        <v>44657</v>
      </c>
      <c r="M700" s="5" t="inlineStr">
        <is>
          <t>No</t>
        </is>
      </c>
      <c r="N700" s="5" t="inlineStr">
        <is>
          <t>Resigned</t>
        </is>
      </c>
      <c r="O700" s="8" t="inlineStr">
        <is>
          <t>87500</t>
        </is>
      </c>
      <c r="P700" s="5" t="inlineStr">
        <is>
          <t>10</t>
        </is>
      </c>
      <c r="Q700" s="5" t="inlineStr">
        <is>
          <t>3</t>
        </is>
      </c>
      <c r="R700" s="5" t="inlineStr">
        <is>
          <t>7</t>
        </is>
      </c>
      <c r="S700" s="5" t="inlineStr">
        <is>
          <t>1</t>
        </is>
      </c>
      <c r="T700" s="5" t="inlineStr">
        <is>
          <t>9</t>
        </is>
      </c>
      <c r="U700" s="5">
        <f>IFS(C700&lt;30,"Under 30",C700&lt;40,"30-39",C700&lt;50,"40-49",TRUE,"50+")</f>
        <v/>
      </c>
      <c r="V700" s="5">
        <f>IFS(O700&lt;60000,"Low (&lt;60k)",O700&lt;100000,"Mid (60-100k)",TRUE,"High (100k+)")</f>
        <v/>
      </c>
      <c r="W700" s="5">
        <f>IF(M700="No","Attrited","Active")</f>
        <v/>
      </c>
    </row>
    <row r="701">
      <c r="A701" s="5" t="inlineStr">
        <is>
          <t>E00700</t>
        </is>
      </c>
      <c r="B701" s="5" t="inlineStr">
        <is>
          <t>Male</t>
        </is>
      </c>
      <c r="C701" s="6" t="inlineStr">
        <is>
          <t>28</t>
        </is>
      </c>
      <c r="D701" s="5" t="inlineStr">
        <is>
          <t>Married</t>
        </is>
      </c>
      <c r="E701" s="5" t="inlineStr">
        <is>
          <t>PhD</t>
        </is>
      </c>
      <c r="F701" s="5" t="inlineStr">
        <is>
          <t>Sales</t>
        </is>
      </c>
      <c r="G701" s="5" t="inlineStr">
        <is>
          <t>Business Development</t>
        </is>
      </c>
      <c r="H701" s="5" t="inlineStr">
        <is>
          <t>2</t>
        </is>
      </c>
      <c r="I701" s="5" t="inlineStr">
        <is>
          <t>Chennai</t>
        </is>
      </c>
      <c r="J701" s="5" t="inlineStr">
        <is>
          <t>Full-Time</t>
        </is>
      </c>
      <c r="K701" s="7" t="n">
        <v>45502</v>
      </c>
      <c r="L701" s="7" t="inlineStr"/>
      <c r="M701" s="5" t="inlineStr">
        <is>
          <t>Yes</t>
        </is>
      </c>
      <c r="N701" s="5" t="inlineStr"/>
      <c r="O701" s="8" t="inlineStr">
        <is>
          <t>102000</t>
        </is>
      </c>
      <c r="P701" s="5" t="inlineStr">
        <is>
          <t>0</t>
        </is>
      </c>
      <c r="Q701" s="5" t="inlineStr">
        <is>
          <t>4</t>
        </is>
      </c>
      <c r="R701" s="5" t="inlineStr">
        <is>
          <t>4</t>
        </is>
      </c>
      <c r="S701" s="5" t="inlineStr">
        <is>
          <t>17</t>
        </is>
      </c>
      <c r="T701" s="5" t="inlineStr">
        <is>
          <t>0</t>
        </is>
      </c>
      <c r="U701" s="5">
        <f>IFS(C701&lt;30,"Under 30",C701&lt;40,"30-39",C701&lt;50,"40-49",TRUE,"50+")</f>
        <v/>
      </c>
      <c r="V701" s="5">
        <f>IFS(O701&lt;60000,"Low (&lt;60k)",O701&lt;100000,"Mid (60-100k)",TRUE,"High (100k+)")</f>
        <v/>
      </c>
      <c r="W701" s="5">
        <f>IF(M701="No","Attrited","Active")</f>
        <v/>
      </c>
    </row>
    <row r="702">
      <c r="A702" s="5" t="inlineStr">
        <is>
          <t>E00701</t>
        </is>
      </c>
      <c r="B702" s="5" t="inlineStr">
        <is>
          <t>Female</t>
        </is>
      </c>
      <c r="C702" s="6" t="inlineStr">
        <is>
          <t>38</t>
        </is>
      </c>
      <c r="D702" s="5" t="inlineStr">
        <is>
          <t>Single</t>
        </is>
      </c>
      <c r="E702" s="5" t="inlineStr">
        <is>
          <t>Diploma</t>
        </is>
      </c>
      <c r="F702" s="5" t="inlineStr">
        <is>
          <t>Finance</t>
        </is>
      </c>
      <c r="G702" s="5" t="inlineStr">
        <is>
          <t>Financial Analyst</t>
        </is>
      </c>
      <c r="H702" s="5" t="inlineStr">
        <is>
          <t>4</t>
        </is>
      </c>
      <c r="I702" s="5" t="inlineStr">
        <is>
          <t>Bengaluru</t>
        </is>
      </c>
      <c r="J702" s="5" t="inlineStr">
        <is>
          <t>Full-Time</t>
        </is>
      </c>
      <c r="K702" s="7" t="n">
        <v>44564</v>
      </c>
      <c r="L702" s="7" t="inlineStr"/>
      <c r="M702" s="5" t="inlineStr">
        <is>
          <t>Yes</t>
        </is>
      </c>
      <c r="N702" s="5" t="inlineStr"/>
      <c r="O702" s="8" t="inlineStr">
        <is>
          <t>157000</t>
        </is>
      </c>
      <c r="P702" s="5" t="inlineStr">
        <is>
          <t>0</t>
        </is>
      </c>
      <c r="Q702" s="5" t="inlineStr">
        <is>
          <t>4</t>
        </is>
      </c>
      <c r="R702" s="5" t="inlineStr">
        <is>
          <t>7</t>
        </is>
      </c>
      <c r="S702" s="5" t="inlineStr">
        <is>
          <t>48</t>
        </is>
      </c>
      <c r="T702" s="5" t="inlineStr">
        <is>
          <t>7</t>
        </is>
      </c>
      <c r="U702" s="5">
        <f>IFS(C702&lt;30,"Under 30",C702&lt;40,"30-39",C702&lt;50,"40-49",TRUE,"50+")</f>
        <v/>
      </c>
      <c r="V702" s="5">
        <f>IFS(O702&lt;60000,"Low (&lt;60k)",O702&lt;100000,"Mid (60-100k)",TRUE,"High (100k+)")</f>
        <v/>
      </c>
      <c r="W702" s="5">
        <f>IF(M702="No","Attrited","Active")</f>
        <v/>
      </c>
    </row>
    <row r="703">
      <c r="A703" s="5" t="inlineStr">
        <is>
          <t>E00702</t>
        </is>
      </c>
      <c r="B703" s="5" t="inlineStr">
        <is>
          <t>Male</t>
        </is>
      </c>
      <c r="C703" s="6" t="inlineStr">
        <is>
          <t>36</t>
        </is>
      </c>
      <c r="D703" s="5" t="inlineStr">
        <is>
          <t>Married</t>
        </is>
      </c>
      <c r="E703" s="5" t="inlineStr">
        <is>
          <t>Diploma</t>
        </is>
      </c>
      <c r="F703" s="5" t="inlineStr">
        <is>
          <t>Research &amp; Development</t>
        </is>
      </c>
      <c r="G703" s="5" t="inlineStr">
        <is>
          <t>Product Engineer</t>
        </is>
      </c>
      <c r="H703" s="5" t="inlineStr">
        <is>
          <t>3</t>
        </is>
      </c>
      <c r="I703" s="5" t="inlineStr">
        <is>
          <t>Remote</t>
        </is>
      </c>
      <c r="J703" s="5" t="inlineStr">
        <is>
          <t>Full-Time</t>
        </is>
      </c>
      <c r="K703" s="7" t="n">
        <v>44100</v>
      </c>
      <c r="L703" s="7" t="n">
        <v>44232</v>
      </c>
      <c r="M703" s="5" t="inlineStr">
        <is>
          <t>No</t>
        </is>
      </c>
      <c r="N703" s="5" t="inlineStr">
        <is>
          <t>Resigned</t>
        </is>
      </c>
      <c r="O703" s="8" t="inlineStr">
        <is>
          <t>202000</t>
        </is>
      </c>
      <c r="P703" s="5" t="inlineStr">
        <is>
          <t>10</t>
        </is>
      </c>
      <c r="Q703" s="5" t="inlineStr">
        <is>
          <t>4</t>
        </is>
      </c>
      <c r="R703" s="5" t="inlineStr">
        <is>
          <t>7</t>
        </is>
      </c>
      <c r="S703" s="5" t="inlineStr">
        <is>
          <t>4</t>
        </is>
      </c>
      <c r="T703" s="5" t="inlineStr">
        <is>
          <t>0</t>
        </is>
      </c>
      <c r="U703" s="5">
        <f>IFS(C703&lt;30,"Under 30",C703&lt;40,"30-39",C703&lt;50,"40-49",TRUE,"50+")</f>
        <v/>
      </c>
      <c r="V703" s="5">
        <f>IFS(O703&lt;60000,"Low (&lt;60k)",O703&lt;100000,"Mid (60-100k)",TRUE,"High (100k+)")</f>
        <v/>
      </c>
      <c r="W703" s="5">
        <f>IF(M703="No","Attrited","Active")</f>
        <v/>
      </c>
    </row>
    <row r="704">
      <c r="A704" s="5" t="inlineStr">
        <is>
          <t>E00703</t>
        </is>
      </c>
      <c r="B704" s="5" t="inlineStr">
        <is>
          <t>Female</t>
        </is>
      </c>
      <c r="C704" s="6" t="inlineStr">
        <is>
          <t>32</t>
        </is>
      </c>
      <c r="D704" s="5" t="inlineStr">
        <is>
          <t>Single</t>
        </is>
      </c>
      <c r="E704" s="5" t="inlineStr">
        <is>
          <t>Diploma</t>
        </is>
      </c>
      <c r="F704" s="5" t="inlineStr">
        <is>
          <t>Finance</t>
        </is>
      </c>
      <c r="G704" s="5" t="inlineStr">
        <is>
          <t>Accountant</t>
        </is>
      </c>
      <c r="H704" s="5" t="inlineStr">
        <is>
          <t>2</t>
        </is>
      </c>
      <c r="I704" s="5" t="inlineStr">
        <is>
          <t>Hyderabad</t>
        </is>
      </c>
      <c r="J704" s="5" t="inlineStr">
        <is>
          <t>Full-Time</t>
        </is>
      </c>
      <c r="K704" s="7" t="n">
        <v>45281</v>
      </c>
      <c r="L704" s="7" t="inlineStr"/>
      <c r="M704" s="5" t="inlineStr">
        <is>
          <t>Yes</t>
        </is>
      </c>
      <c r="N704" s="5" t="inlineStr"/>
      <c r="O704" s="8" t="inlineStr">
        <is>
          <t>77500</t>
        </is>
      </c>
      <c r="P704" s="5" t="inlineStr">
        <is>
          <t>10</t>
        </is>
      </c>
      <c r="Q704" s="5" t="inlineStr">
        <is>
          <t>3</t>
        </is>
      </c>
      <c r="R704" s="5" t="inlineStr">
        <is>
          <t>5</t>
        </is>
      </c>
      <c r="S704" s="5" t="inlineStr">
        <is>
          <t>24</t>
        </is>
      </c>
      <c r="T704" s="5" t="inlineStr">
        <is>
          <t>3</t>
        </is>
      </c>
      <c r="U704" s="5">
        <f>IFS(C704&lt;30,"Under 30",C704&lt;40,"30-39",C704&lt;50,"40-49",TRUE,"50+")</f>
        <v/>
      </c>
      <c r="V704" s="5">
        <f>IFS(O704&lt;60000,"Low (&lt;60k)",O704&lt;100000,"Mid (60-100k)",TRUE,"High (100k+)")</f>
        <v/>
      </c>
      <c r="W704" s="5">
        <f>IF(M704="No","Attrited","Active")</f>
        <v/>
      </c>
    </row>
    <row r="705">
      <c r="A705" s="5" t="inlineStr">
        <is>
          <t>E00704</t>
        </is>
      </c>
      <c r="B705" s="5" t="inlineStr">
        <is>
          <t>Female</t>
        </is>
      </c>
      <c r="C705" s="6" t="inlineStr">
        <is>
          <t>42</t>
        </is>
      </c>
      <c r="D705" s="5" t="inlineStr">
        <is>
          <t>Single</t>
        </is>
      </c>
      <c r="E705" s="5" t="inlineStr">
        <is>
          <t>Master</t>
        </is>
      </c>
      <c r="F705" s="5" t="inlineStr">
        <is>
          <t>IT</t>
        </is>
      </c>
      <c r="G705" s="5" t="inlineStr">
        <is>
          <t>DevOps Engineer</t>
        </is>
      </c>
      <c r="H705" s="5" t="inlineStr">
        <is>
          <t>5</t>
        </is>
      </c>
      <c r="I705" s="5" t="inlineStr">
        <is>
          <t>Delhi</t>
        </is>
      </c>
      <c r="J705" s="5" t="inlineStr">
        <is>
          <t>Full-Time</t>
        </is>
      </c>
      <c r="K705" s="7" t="n">
        <v>44705</v>
      </c>
      <c r="L705" s="7" t="inlineStr"/>
      <c r="M705" s="5" t="inlineStr">
        <is>
          <t>Yes</t>
        </is>
      </c>
      <c r="N705" s="5" t="inlineStr"/>
      <c r="O705" s="8" t="inlineStr">
        <is>
          <t>190000</t>
        </is>
      </c>
      <c r="P705" s="5" t="inlineStr">
        <is>
          <t>5</t>
        </is>
      </c>
      <c r="Q705" s="5" t="inlineStr">
        <is>
          <t>4</t>
        </is>
      </c>
      <c r="R705" s="5" t="inlineStr">
        <is>
          <t>3</t>
        </is>
      </c>
      <c r="S705" s="5" t="inlineStr">
        <is>
          <t>43</t>
        </is>
      </c>
      <c r="T705" s="5" t="inlineStr">
        <is>
          <t>16</t>
        </is>
      </c>
      <c r="U705" s="5">
        <f>IFS(C705&lt;30,"Under 30",C705&lt;40,"30-39",C705&lt;50,"40-49",TRUE,"50+")</f>
        <v/>
      </c>
      <c r="V705" s="5">
        <f>IFS(O705&lt;60000,"Low (&lt;60k)",O705&lt;100000,"Mid (60-100k)",TRUE,"High (100k+)")</f>
        <v/>
      </c>
      <c r="W705" s="5">
        <f>IF(M705="No","Attrited","Active")</f>
        <v/>
      </c>
    </row>
    <row r="706">
      <c r="A706" s="5" t="inlineStr">
        <is>
          <t>E00705</t>
        </is>
      </c>
      <c r="B706" s="5" t="inlineStr">
        <is>
          <t>Male</t>
        </is>
      </c>
      <c r="C706" s="6" t="inlineStr">
        <is>
          <t>34</t>
        </is>
      </c>
      <c r="D706" s="5" t="inlineStr">
        <is>
          <t>Married</t>
        </is>
      </c>
      <c r="E706" s="5" t="inlineStr">
        <is>
          <t>Bachelor</t>
        </is>
      </c>
      <c r="F706" s="5" t="inlineStr">
        <is>
          <t>Sales</t>
        </is>
      </c>
      <c r="G706" s="5" t="inlineStr">
        <is>
          <t>Account Executive</t>
        </is>
      </c>
      <c r="H706" s="5" t="inlineStr">
        <is>
          <t>2</t>
        </is>
      </c>
      <c r="I706" s="5" t="inlineStr">
        <is>
          <t>Hyderabad</t>
        </is>
      </c>
      <c r="J706" s="5" t="inlineStr">
        <is>
          <t>Full-Time</t>
        </is>
      </c>
      <c r="K706" s="7" t="n">
        <v>45281</v>
      </c>
      <c r="L706" s="7" t="inlineStr"/>
      <c r="M706" s="5" t="inlineStr">
        <is>
          <t>Yes</t>
        </is>
      </c>
      <c r="N706" s="5" t="inlineStr"/>
      <c r="O706" s="8" t="inlineStr">
        <is>
          <t>101000</t>
        </is>
      </c>
      <c r="P706" s="5" t="inlineStr">
        <is>
          <t>5</t>
        </is>
      </c>
      <c r="Q706" s="5" t="inlineStr">
        <is>
          <t>4</t>
        </is>
      </c>
      <c r="R706" s="5" t="inlineStr">
        <is>
          <t>8</t>
        </is>
      </c>
      <c r="S706" s="5" t="inlineStr">
        <is>
          <t>24</t>
        </is>
      </c>
      <c r="T706" s="5" t="inlineStr">
        <is>
          <t>13</t>
        </is>
      </c>
      <c r="U706" s="5">
        <f>IFS(C706&lt;30,"Under 30",C706&lt;40,"30-39",C706&lt;50,"40-49",TRUE,"50+")</f>
        <v/>
      </c>
      <c r="V706" s="5">
        <f>IFS(O706&lt;60000,"Low (&lt;60k)",O706&lt;100000,"Mid (60-100k)",TRUE,"High (100k+)")</f>
        <v/>
      </c>
      <c r="W706" s="5">
        <f>IF(M706="No","Attrited","Active")</f>
        <v/>
      </c>
    </row>
    <row r="707">
      <c r="A707" s="5" t="inlineStr">
        <is>
          <t>E00706</t>
        </is>
      </c>
      <c r="B707" s="5" t="inlineStr">
        <is>
          <t>Female</t>
        </is>
      </c>
      <c r="C707" s="6" t="inlineStr">
        <is>
          <t>35</t>
        </is>
      </c>
      <c r="D707" s="5" t="inlineStr">
        <is>
          <t>Married</t>
        </is>
      </c>
      <c r="E707" s="5" t="inlineStr">
        <is>
          <t>PhD</t>
        </is>
      </c>
      <c r="F707" s="5" t="inlineStr">
        <is>
          <t>Customer Support</t>
        </is>
      </c>
      <c r="G707" s="5" t="inlineStr">
        <is>
          <t>Escalation Specialist</t>
        </is>
      </c>
      <c r="H707" s="5" t="inlineStr">
        <is>
          <t>2</t>
        </is>
      </c>
      <c r="I707" s="5" t="inlineStr">
        <is>
          <t>Hyderabad</t>
        </is>
      </c>
      <c r="J707" s="5" t="inlineStr">
        <is>
          <t>Full-Time</t>
        </is>
      </c>
      <c r="K707" s="7" t="n">
        <v>44010</v>
      </c>
      <c r="L707" s="7" t="n">
        <v>44057</v>
      </c>
      <c r="M707" s="5" t="inlineStr">
        <is>
          <t>No</t>
        </is>
      </c>
      <c r="N707" s="5" t="inlineStr">
        <is>
          <t>Resigned</t>
        </is>
      </c>
      <c r="O707" s="8" t="inlineStr">
        <is>
          <t>77500</t>
        </is>
      </c>
      <c r="P707" s="5" t="inlineStr">
        <is>
          <t>5</t>
        </is>
      </c>
      <c r="Q707" s="5" t="inlineStr">
        <is>
          <t>3</t>
        </is>
      </c>
      <c r="R707" s="5" t="inlineStr">
        <is>
          <t>4</t>
        </is>
      </c>
      <c r="S707" s="5" t="inlineStr">
        <is>
          <t>1</t>
        </is>
      </c>
      <c r="T707" s="5" t="inlineStr">
        <is>
          <t>7</t>
        </is>
      </c>
      <c r="U707" s="5">
        <f>IFS(C707&lt;30,"Under 30",C707&lt;40,"30-39",C707&lt;50,"40-49",TRUE,"50+")</f>
        <v/>
      </c>
      <c r="V707" s="5">
        <f>IFS(O707&lt;60000,"Low (&lt;60k)",O707&lt;100000,"Mid (60-100k)",TRUE,"High (100k+)")</f>
        <v/>
      </c>
      <c r="W707" s="5">
        <f>IF(M707="No","Attrited","Active")</f>
        <v/>
      </c>
    </row>
    <row r="708">
      <c r="A708" s="5" t="inlineStr">
        <is>
          <t>E00707</t>
        </is>
      </c>
      <c r="B708" s="5" t="inlineStr">
        <is>
          <t>Female</t>
        </is>
      </c>
      <c r="C708" s="6" t="inlineStr">
        <is>
          <t>33</t>
        </is>
      </c>
      <c r="D708" s="5" t="inlineStr">
        <is>
          <t>Married</t>
        </is>
      </c>
      <c r="E708" s="5" t="inlineStr">
        <is>
          <t>Bachelor</t>
        </is>
      </c>
      <c r="F708" s="5" t="inlineStr">
        <is>
          <t>IT</t>
        </is>
      </c>
      <c r="G708" s="5" t="inlineStr">
        <is>
          <t>IT Support</t>
        </is>
      </c>
      <c r="H708" s="5" t="inlineStr">
        <is>
          <t>3</t>
        </is>
      </c>
      <c r="I708" s="5" t="inlineStr">
        <is>
          <t>Remote</t>
        </is>
      </c>
      <c r="J708" s="5" t="inlineStr">
        <is>
          <t>Full-Time</t>
        </is>
      </c>
      <c r="K708" s="7" t="n">
        <v>45758</v>
      </c>
      <c r="L708" s="7" t="inlineStr"/>
      <c r="M708" s="5" t="inlineStr">
        <is>
          <t>Yes</t>
        </is>
      </c>
      <c r="N708" s="5" t="inlineStr"/>
      <c r="O708" s="8" t="inlineStr">
        <is>
          <t>121500</t>
        </is>
      </c>
      <c r="P708" s="5" t="inlineStr">
        <is>
          <t>0</t>
        </is>
      </c>
      <c r="Q708" s="5" t="inlineStr">
        <is>
          <t>2</t>
        </is>
      </c>
      <c r="R708" s="5" t="inlineStr">
        <is>
          <t>5</t>
        </is>
      </c>
      <c r="S708" s="5" t="inlineStr">
        <is>
          <t>8</t>
        </is>
      </c>
      <c r="T708" s="5" t="inlineStr">
        <is>
          <t>0</t>
        </is>
      </c>
      <c r="U708" s="5">
        <f>IFS(C708&lt;30,"Under 30",C708&lt;40,"30-39",C708&lt;50,"40-49",TRUE,"50+")</f>
        <v/>
      </c>
      <c r="V708" s="5">
        <f>IFS(O708&lt;60000,"Low (&lt;60k)",O708&lt;100000,"Mid (60-100k)",TRUE,"High (100k+)")</f>
        <v/>
      </c>
      <c r="W708" s="5">
        <f>IF(M708="No","Attrited","Active")</f>
        <v/>
      </c>
    </row>
    <row r="709">
      <c r="A709" s="5" t="inlineStr">
        <is>
          <t>E00708</t>
        </is>
      </c>
      <c r="B709" s="5" t="inlineStr">
        <is>
          <t>Female</t>
        </is>
      </c>
      <c r="C709" s="6" t="inlineStr">
        <is>
          <t>28</t>
        </is>
      </c>
      <c r="D709" s="5" t="inlineStr">
        <is>
          <t>Married</t>
        </is>
      </c>
      <c r="E709" s="5" t="inlineStr">
        <is>
          <t>Master</t>
        </is>
      </c>
      <c r="F709" s="5" t="inlineStr">
        <is>
          <t>IT</t>
        </is>
      </c>
      <c r="G709" s="5" t="inlineStr">
        <is>
          <t>Data Analyst</t>
        </is>
      </c>
      <c r="H709" s="5" t="inlineStr">
        <is>
          <t>2</t>
        </is>
      </c>
      <c r="I709" s="5" t="inlineStr">
        <is>
          <t>Mumbai</t>
        </is>
      </c>
      <c r="J709" s="5" t="inlineStr">
        <is>
          <t>Full-Time</t>
        </is>
      </c>
      <c r="K709" s="7" t="n">
        <v>44108</v>
      </c>
      <c r="L709" s="7" t="inlineStr"/>
      <c r="M709" s="5" t="inlineStr">
        <is>
          <t>Yes</t>
        </is>
      </c>
      <c r="N709" s="5" t="inlineStr"/>
      <c r="O709" s="8" t="inlineStr">
        <is>
          <t>120000</t>
        </is>
      </c>
      <c r="P709" s="5" t="inlineStr">
        <is>
          <t>10</t>
        </is>
      </c>
      <c r="Q709" s="5" t="inlineStr">
        <is>
          <t>3</t>
        </is>
      </c>
      <c r="R709" s="5" t="inlineStr">
        <is>
          <t>4</t>
        </is>
      </c>
      <c r="S709" s="5" t="inlineStr">
        <is>
          <t>63</t>
        </is>
      </c>
      <c r="T709" s="5" t="inlineStr">
        <is>
          <t>2</t>
        </is>
      </c>
      <c r="U709" s="5">
        <f>IFS(C709&lt;30,"Under 30",C709&lt;40,"30-39",C709&lt;50,"40-49",TRUE,"50+")</f>
        <v/>
      </c>
      <c r="V709" s="5">
        <f>IFS(O709&lt;60000,"Low (&lt;60k)",O709&lt;100000,"Mid (60-100k)",TRUE,"High (100k+)")</f>
        <v/>
      </c>
      <c r="W709" s="5">
        <f>IF(M709="No","Attrited","Active")</f>
        <v/>
      </c>
    </row>
    <row r="710">
      <c r="A710" s="5" t="inlineStr">
        <is>
          <t>E00709</t>
        </is>
      </c>
      <c r="B710" s="5" t="inlineStr">
        <is>
          <t>Female</t>
        </is>
      </c>
      <c r="C710" s="6" t="inlineStr">
        <is>
          <t>34</t>
        </is>
      </c>
      <c r="D710" s="5" t="inlineStr">
        <is>
          <t>Single</t>
        </is>
      </c>
      <c r="E710" s="5" t="inlineStr">
        <is>
          <t>Diploma</t>
        </is>
      </c>
      <c r="F710" s="5" t="inlineStr">
        <is>
          <t>Operations</t>
        </is>
      </c>
      <c r="G710" s="5" t="inlineStr">
        <is>
          <t>Logistics Coordinator</t>
        </is>
      </c>
      <c r="H710" s="5" t="inlineStr">
        <is>
          <t>3</t>
        </is>
      </c>
      <c r="I710" s="5" t="inlineStr">
        <is>
          <t>Hyderabad</t>
        </is>
      </c>
      <c r="J710" s="5" t="inlineStr">
        <is>
          <t>Full-Time</t>
        </is>
      </c>
      <c r="K710" s="7" t="n">
        <v>45274</v>
      </c>
      <c r="L710" s="7" t="inlineStr"/>
      <c r="M710" s="5" t="inlineStr">
        <is>
          <t>Yes</t>
        </is>
      </c>
      <c r="N710" s="5" t="inlineStr"/>
      <c r="O710" s="8" t="inlineStr">
        <is>
          <t>81500</t>
        </is>
      </c>
      <c r="P710" s="5" t="inlineStr">
        <is>
          <t>0</t>
        </is>
      </c>
      <c r="Q710" s="5" t="inlineStr">
        <is>
          <t>5</t>
        </is>
      </c>
      <c r="R710" s="5" t="inlineStr">
        <is>
          <t>6</t>
        </is>
      </c>
      <c r="S710" s="5" t="inlineStr">
        <is>
          <t>24</t>
        </is>
      </c>
      <c r="T710" s="5" t="inlineStr">
        <is>
          <t>7</t>
        </is>
      </c>
      <c r="U710" s="5">
        <f>IFS(C710&lt;30,"Under 30",C710&lt;40,"30-39",C710&lt;50,"40-49",TRUE,"50+")</f>
        <v/>
      </c>
      <c r="V710" s="5">
        <f>IFS(O710&lt;60000,"Low (&lt;60k)",O710&lt;100000,"Mid (60-100k)",TRUE,"High (100k+)")</f>
        <v/>
      </c>
      <c r="W710" s="5">
        <f>IF(M710="No","Attrited","Active")</f>
        <v/>
      </c>
    </row>
    <row r="711">
      <c r="A711" s="5" t="inlineStr">
        <is>
          <t>E00710</t>
        </is>
      </c>
      <c r="B711" s="5" t="inlineStr">
        <is>
          <t>Female</t>
        </is>
      </c>
      <c r="C711" s="6" t="inlineStr">
        <is>
          <t>36</t>
        </is>
      </c>
      <c r="D711" s="5" t="inlineStr">
        <is>
          <t>Single</t>
        </is>
      </c>
      <c r="E711" s="5" t="inlineStr">
        <is>
          <t>Bachelor</t>
        </is>
      </c>
      <c r="F711" s="5" t="inlineStr">
        <is>
          <t>Human Resources</t>
        </is>
      </c>
      <c r="G711" s="5" t="inlineStr">
        <is>
          <t>HR Analyst</t>
        </is>
      </c>
      <c r="H711" s="5" t="inlineStr">
        <is>
          <t>2</t>
        </is>
      </c>
      <c r="I711" s="5" t="inlineStr">
        <is>
          <t>Remote</t>
        </is>
      </c>
      <c r="J711" s="5" t="inlineStr">
        <is>
          <t>Full-Time</t>
        </is>
      </c>
      <c r="K711" s="7" t="n">
        <v>45532</v>
      </c>
      <c r="L711" s="7" t="inlineStr"/>
      <c r="M711" s="5" t="inlineStr">
        <is>
          <t>Yes</t>
        </is>
      </c>
      <c r="N711" s="5" t="inlineStr"/>
      <c r="O711" s="8" t="inlineStr">
        <is>
          <t>80000</t>
        </is>
      </c>
      <c r="P711" s="5" t="inlineStr">
        <is>
          <t>0</t>
        </is>
      </c>
      <c r="Q711" s="5" t="inlineStr">
        <is>
          <t>5</t>
        </is>
      </c>
      <c r="R711" s="5" t="inlineStr">
        <is>
          <t>5</t>
        </is>
      </c>
      <c r="S711" s="5" t="inlineStr">
        <is>
          <t>16</t>
        </is>
      </c>
      <c r="T711" s="5" t="inlineStr">
        <is>
          <t>10</t>
        </is>
      </c>
      <c r="U711" s="5">
        <f>IFS(C711&lt;30,"Under 30",C711&lt;40,"30-39",C711&lt;50,"40-49",TRUE,"50+")</f>
        <v/>
      </c>
      <c r="V711" s="5">
        <f>IFS(O711&lt;60000,"Low (&lt;60k)",O711&lt;100000,"Mid (60-100k)",TRUE,"High (100k+)")</f>
        <v/>
      </c>
      <c r="W711" s="5">
        <f>IF(M711="No","Attrited","Active")</f>
        <v/>
      </c>
    </row>
    <row r="712">
      <c r="A712" s="5" t="inlineStr">
        <is>
          <t>E00711</t>
        </is>
      </c>
      <c r="B712" s="5" t="inlineStr">
        <is>
          <t>Male</t>
        </is>
      </c>
      <c r="C712" s="6" t="inlineStr">
        <is>
          <t>34</t>
        </is>
      </c>
      <c r="D712" s="5" t="inlineStr">
        <is>
          <t>Single</t>
        </is>
      </c>
      <c r="E712" s="5" t="inlineStr">
        <is>
          <t>PhD</t>
        </is>
      </c>
      <c r="F712" s="5" t="inlineStr">
        <is>
          <t>Operations</t>
        </is>
      </c>
      <c r="G712" s="5" t="inlineStr">
        <is>
          <t>Quality Analyst</t>
        </is>
      </c>
      <c r="H712" s="5" t="inlineStr">
        <is>
          <t>2</t>
        </is>
      </c>
      <c r="I712" s="5" t="inlineStr">
        <is>
          <t>Hyderabad</t>
        </is>
      </c>
      <c r="J712" s="5" t="inlineStr">
        <is>
          <t>Full-Time</t>
        </is>
      </c>
      <c r="K712" s="7" t="n">
        <v>45327</v>
      </c>
      <c r="L712" s="7" t="inlineStr"/>
      <c r="M712" s="5" t="inlineStr">
        <is>
          <t>Yes</t>
        </is>
      </c>
      <c r="N712" s="5" t="inlineStr"/>
      <c r="O712" s="8" t="inlineStr">
        <is>
          <t>88000</t>
        </is>
      </c>
      <c r="P712" s="5" t="inlineStr">
        <is>
          <t>5</t>
        </is>
      </c>
      <c r="Q712" s="5" t="inlineStr">
        <is>
          <t>3</t>
        </is>
      </c>
      <c r="R712" s="5" t="inlineStr">
        <is>
          <t>4</t>
        </is>
      </c>
      <c r="S712" s="5" t="inlineStr">
        <is>
          <t>23</t>
        </is>
      </c>
      <c r="T712" s="5" t="inlineStr">
        <is>
          <t>0</t>
        </is>
      </c>
      <c r="U712" s="5">
        <f>IFS(C712&lt;30,"Under 30",C712&lt;40,"30-39",C712&lt;50,"40-49",TRUE,"50+")</f>
        <v/>
      </c>
      <c r="V712" s="5">
        <f>IFS(O712&lt;60000,"Low (&lt;60k)",O712&lt;100000,"Mid (60-100k)",TRUE,"High (100k+)")</f>
        <v/>
      </c>
      <c r="W712" s="5">
        <f>IF(M712="No","Attrited","Active")</f>
        <v/>
      </c>
    </row>
    <row r="713">
      <c r="A713" s="5" t="inlineStr">
        <is>
          <t>E00712</t>
        </is>
      </c>
      <c r="B713" s="5" t="inlineStr">
        <is>
          <t>Female</t>
        </is>
      </c>
      <c r="C713" s="6" t="inlineStr">
        <is>
          <t>30</t>
        </is>
      </c>
      <c r="D713" s="5" t="inlineStr">
        <is>
          <t>Married</t>
        </is>
      </c>
      <c r="E713" s="5" t="inlineStr">
        <is>
          <t>Diploma</t>
        </is>
      </c>
      <c r="F713" s="5" t="inlineStr">
        <is>
          <t>Finance</t>
        </is>
      </c>
      <c r="G713" s="5" t="inlineStr">
        <is>
          <t>Credit Analyst</t>
        </is>
      </c>
      <c r="H713" s="5" t="inlineStr">
        <is>
          <t>2</t>
        </is>
      </c>
      <c r="I713" s="5" t="inlineStr">
        <is>
          <t>Delhi</t>
        </is>
      </c>
      <c r="J713" s="5" t="inlineStr">
        <is>
          <t>Full-Time</t>
        </is>
      </c>
      <c r="K713" s="7" t="n">
        <v>44111</v>
      </c>
      <c r="L713" s="7" t="n">
        <v>44149</v>
      </c>
      <c r="M713" s="5" t="inlineStr">
        <is>
          <t>No</t>
        </is>
      </c>
      <c r="N713" s="5" t="inlineStr">
        <is>
          <t>Resigned</t>
        </is>
      </c>
      <c r="O713" s="8" t="inlineStr">
        <is>
          <t>99000</t>
        </is>
      </c>
      <c r="P713" s="5" t="inlineStr">
        <is>
          <t>0</t>
        </is>
      </c>
      <c r="Q713" s="5" t="inlineStr">
        <is>
          <t>2</t>
        </is>
      </c>
      <c r="R713" s="5" t="inlineStr">
        <is>
          <t>5</t>
        </is>
      </c>
      <c r="S713" s="5" t="inlineStr">
        <is>
          <t>1</t>
        </is>
      </c>
      <c r="T713" s="5" t="inlineStr">
        <is>
          <t>15</t>
        </is>
      </c>
      <c r="U713" s="5">
        <f>IFS(C713&lt;30,"Under 30",C713&lt;40,"30-39",C713&lt;50,"40-49",TRUE,"50+")</f>
        <v/>
      </c>
      <c r="V713" s="5">
        <f>IFS(O713&lt;60000,"Low (&lt;60k)",O713&lt;100000,"Mid (60-100k)",TRUE,"High (100k+)")</f>
        <v/>
      </c>
      <c r="W713" s="5">
        <f>IF(M713="No","Attrited","Active")</f>
        <v/>
      </c>
    </row>
    <row r="714">
      <c r="A714" s="5" t="inlineStr">
        <is>
          <t>E00713</t>
        </is>
      </c>
      <c r="B714" s="5" t="inlineStr">
        <is>
          <t>Male</t>
        </is>
      </c>
      <c r="C714" s="6" t="inlineStr">
        <is>
          <t>39</t>
        </is>
      </c>
      <c r="D714" s="5" t="inlineStr">
        <is>
          <t>Married</t>
        </is>
      </c>
      <c r="E714" s="5" t="inlineStr">
        <is>
          <t>Diploma</t>
        </is>
      </c>
      <c r="F714" s="5" t="inlineStr">
        <is>
          <t>IT</t>
        </is>
      </c>
      <c r="G714" s="5" t="inlineStr">
        <is>
          <t>IT Support</t>
        </is>
      </c>
      <c r="H714" s="5" t="inlineStr">
        <is>
          <t>4</t>
        </is>
      </c>
      <c r="I714" s="5" t="inlineStr">
        <is>
          <t>Hyderabad</t>
        </is>
      </c>
      <c r="J714" s="5" t="inlineStr">
        <is>
          <t>Full-Time</t>
        </is>
      </c>
      <c r="K714" s="7" t="n">
        <v>44145</v>
      </c>
      <c r="L714" s="7" t="inlineStr"/>
      <c r="M714" s="5" t="inlineStr">
        <is>
          <t>Yes</t>
        </is>
      </c>
      <c r="N714" s="5" t="inlineStr"/>
      <c r="O714" s="8" t="inlineStr">
        <is>
          <t>147000</t>
        </is>
      </c>
      <c r="P714" s="5" t="inlineStr">
        <is>
          <t>10</t>
        </is>
      </c>
      <c r="Q714" s="5" t="inlineStr">
        <is>
          <t>3</t>
        </is>
      </c>
      <c r="R714" s="5" t="inlineStr">
        <is>
          <t>6</t>
        </is>
      </c>
      <c r="S714" s="5" t="inlineStr">
        <is>
          <t>62</t>
        </is>
      </c>
      <c r="T714" s="5" t="inlineStr">
        <is>
          <t>14</t>
        </is>
      </c>
      <c r="U714" s="5">
        <f>IFS(C714&lt;30,"Under 30",C714&lt;40,"30-39",C714&lt;50,"40-49",TRUE,"50+")</f>
        <v/>
      </c>
      <c r="V714" s="5">
        <f>IFS(O714&lt;60000,"Low (&lt;60k)",O714&lt;100000,"Mid (60-100k)",TRUE,"High (100k+)")</f>
        <v/>
      </c>
      <c r="W714" s="5">
        <f>IF(M714="No","Attrited","Active")</f>
        <v/>
      </c>
    </row>
    <row r="715">
      <c r="A715" s="5" t="inlineStr">
        <is>
          <t>E00714</t>
        </is>
      </c>
      <c r="B715" s="5" t="inlineStr">
        <is>
          <t>Female</t>
        </is>
      </c>
      <c r="C715" s="6" t="inlineStr">
        <is>
          <t>36</t>
        </is>
      </c>
      <c r="D715" s="5" t="inlineStr">
        <is>
          <t>Married</t>
        </is>
      </c>
      <c r="E715" s="5" t="inlineStr">
        <is>
          <t>Diploma</t>
        </is>
      </c>
      <c r="F715" s="5" t="inlineStr">
        <is>
          <t>Marketing</t>
        </is>
      </c>
      <c r="G715" s="5" t="inlineStr">
        <is>
          <t>Content Writer</t>
        </is>
      </c>
      <c r="H715" s="5" t="inlineStr">
        <is>
          <t>4</t>
        </is>
      </c>
      <c r="I715" s="5" t="inlineStr">
        <is>
          <t>Hyderabad</t>
        </is>
      </c>
      <c r="J715" s="5" t="inlineStr">
        <is>
          <t>Full-Time</t>
        </is>
      </c>
      <c r="K715" s="7" t="n">
        <v>45264</v>
      </c>
      <c r="L715" s="7" t="inlineStr"/>
      <c r="M715" s="5" t="inlineStr">
        <is>
          <t>Yes</t>
        </is>
      </c>
      <c r="N715" s="5" t="inlineStr"/>
      <c r="O715" s="8" t="inlineStr">
        <is>
          <t>90500</t>
        </is>
      </c>
      <c r="P715" s="5" t="inlineStr">
        <is>
          <t>10</t>
        </is>
      </c>
      <c r="Q715" s="5" t="inlineStr">
        <is>
          <t>5</t>
        </is>
      </c>
      <c r="R715" s="5" t="inlineStr">
        <is>
          <t>5</t>
        </is>
      </c>
      <c r="S715" s="5" t="inlineStr">
        <is>
          <t>25</t>
        </is>
      </c>
      <c r="T715" s="5" t="inlineStr">
        <is>
          <t>13</t>
        </is>
      </c>
      <c r="U715" s="5">
        <f>IFS(C715&lt;30,"Under 30",C715&lt;40,"30-39",C715&lt;50,"40-49",TRUE,"50+")</f>
        <v/>
      </c>
      <c r="V715" s="5">
        <f>IFS(O715&lt;60000,"Low (&lt;60k)",O715&lt;100000,"Mid (60-100k)",TRUE,"High (100k+)")</f>
        <v/>
      </c>
      <c r="W715" s="5">
        <f>IF(M715="No","Attrited","Active")</f>
        <v/>
      </c>
    </row>
    <row r="716">
      <c r="A716" s="5" t="inlineStr">
        <is>
          <t>E00715</t>
        </is>
      </c>
      <c r="B716" s="5" t="inlineStr">
        <is>
          <t>Male</t>
        </is>
      </c>
      <c r="C716" s="6" t="inlineStr">
        <is>
          <t>32</t>
        </is>
      </c>
      <c r="D716" s="5" t="inlineStr">
        <is>
          <t>Single</t>
        </is>
      </c>
      <c r="E716" s="5" t="inlineStr">
        <is>
          <t>High School</t>
        </is>
      </c>
      <c r="F716" s="5" t="inlineStr">
        <is>
          <t>Operations</t>
        </is>
      </c>
      <c r="G716" s="5" t="inlineStr">
        <is>
          <t>Logistics Coordinator</t>
        </is>
      </c>
      <c r="H716" s="5" t="inlineStr">
        <is>
          <t>3</t>
        </is>
      </c>
      <c r="I716" s="5" t="inlineStr">
        <is>
          <t>Bengaluru</t>
        </is>
      </c>
      <c r="J716" s="5" t="inlineStr">
        <is>
          <t>Contract</t>
        </is>
      </c>
      <c r="K716" s="7" t="n">
        <v>44072</v>
      </c>
      <c r="L716" s="7" t="n">
        <v>44131</v>
      </c>
      <c r="M716" s="5" t="inlineStr">
        <is>
          <t>No</t>
        </is>
      </c>
      <c r="N716" s="5" t="inlineStr">
        <is>
          <t>Retirement</t>
        </is>
      </c>
      <c r="O716" s="8" t="inlineStr">
        <is>
          <t>94000</t>
        </is>
      </c>
      <c r="P716" s="5" t="inlineStr">
        <is>
          <t>0</t>
        </is>
      </c>
      <c r="Q716" s="5" t="inlineStr">
        <is>
          <t>3</t>
        </is>
      </c>
      <c r="R716" s="5" t="inlineStr">
        <is>
          <t>3</t>
        </is>
      </c>
      <c r="S716" s="5" t="inlineStr">
        <is>
          <t>1</t>
        </is>
      </c>
      <c r="T716" s="5" t="inlineStr">
        <is>
          <t>1</t>
        </is>
      </c>
      <c r="U716" s="5">
        <f>IFS(C716&lt;30,"Under 30",C716&lt;40,"30-39",C716&lt;50,"40-49",TRUE,"50+")</f>
        <v/>
      </c>
      <c r="V716" s="5">
        <f>IFS(O716&lt;60000,"Low (&lt;60k)",O716&lt;100000,"Mid (60-100k)",TRUE,"High (100k+)")</f>
        <v/>
      </c>
      <c r="W716" s="5">
        <f>IF(M716="No","Attrited","Active")</f>
        <v/>
      </c>
    </row>
    <row r="717">
      <c r="A717" s="5" t="inlineStr">
        <is>
          <t>E00716</t>
        </is>
      </c>
      <c r="B717" s="5" t="inlineStr">
        <is>
          <t>Male</t>
        </is>
      </c>
      <c r="C717" s="6" t="inlineStr">
        <is>
          <t>26</t>
        </is>
      </c>
      <c r="D717" s="5" t="inlineStr">
        <is>
          <t>Single</t>
        </is>
      </c>
      <c r="E717" s="5" t="inlineStr">
        <is>
          <t>High School</t>
        </is>
      </c>
      <c r="F717" s="5" t="inlineStr">
        <is>
          <t>Marketing</t>
        </is>
      </c>
      <c r="G717" s="5" t="inlineStr">
        <is>
          <t>Content Writer</t>
        </is>
      </c>
      <c r="H717" s="5" t="inlineStr">
        <is>
          <t>1</t>
        </is>
      </c>
      <c r="I717" s="5" t="inlineStr">
        <is>
          <t>Bengaluru</t>
        </is>
      </c>
      <c r="J717" s="5" t="inlineStr">
        <is>
          <t>Full-Time</t>
        </is>
      </c>
      <c r="K717" s="7" t="n">
        <v>44068</v>
      </c>
      <c r="L717" s="7" t="inlineStr"/>
      <c r="M717" s="5" t="inlineStr">
        <is>
          <t>Yes</t>
        </is>
      </c>
      <c r="N717" s="5" t="inlineStr"/>
      <c r="O717" s="8" t="inlineStr">
        <is>
          <t>59500</t>
        </is>
      </c>
      <c r="P717" s="5" t="inlineStr">
        <is>
          <t>10</t>
        </is>
      </c>
      <c r="Q717" s="5" t="inlineStr">
        <is>
          <t>4</t>
        </is>
      </c>
      <c r="R717" s="5" t="inlineStr">
        <is>
          <t>4</t>
        </is>
      </c>
      <c r="S717" s="5" t="inlineStr">
        <is>
          <t>65</t>
        </is>
      </c>
      <c r="T717" s="5" t="inlineStr">
        <is>
          <t>0</t>
        </is>
      </c>
      <c r="U717" s="5">
        <f>IFS(C717&lt;30,"Under 30",C717&lt;40,"30-39",C717&lt;50,"40-49",TRUE,"50+")</f>
        <v/>
      </c>
      <c r="V717" s="5">
        <f>IFS(O717&lt;60000,"Low (&lt;60k)",O717&lt;100000,"Mid (60-100k)",TRUE,"High (100k+)")</f>
        <v/>
      </c>
      <c r="W717" s="5">
        <f>IF(M717="No","Attrited","Active")</f>
        <v/>
      </c>
    </row>
    <row r="718">
      <c r="A718" s="5" t="inlineStr">
        <is>
          <t>E00717</t>
        </is>
      </c>
      <c r="B718" s="5" t="inlineStr">
        <is>
          <t>Female</t>
        </is>
      </c>
      <c r="C718" s="6" t="inlineStr">
        <is>
          <t>30</t>
        </is>
      </c>
      <c r="D718" s="5" t="inlineStr">
        <is>
          <t>Married</t>
        </is>
      </c>
      <c r="E718" s="5" t="inlineStr">
        <is>
          <t>Master</t>
        </is>
      </c>
      <c r="F718" s="5" t="inlineStr">
        <is>
          <t>IT</t>
        </is>
      </c>
      <c r="G718" s="5" t="inlineStr">
        <is>
          <t>Data Analyst</t>
        </is>
      </c>
      <c r="H718" s="5" t="inlineStr">
        <is>
          <t>4</t>
        </is>
      </c>
      <c r="I718" s="5" t="inlineStr">
        <is>
          <t>Delhi</t>
        </is>
      </c>
      <c r="J718" s="5" t="inlineStr">
        <is>
          <t>Full-Time</t>
        </is>
      </c>
      <c r="K718" s="7" t="n">
        <v>43850</v>
      </c>
      <c r="L718" s="7" t="n">
        <v>43981</v>
      </c>
      <c r="M718" s="5" t="inlineStr">
        <is>
          <t>No</t>
        </is>
      </c>
      <c r="N718" s="5" t="inlineStr">
        <is>
          <t>Retirement</t>
        </is>
      </c>
      <c r="O718" s="8" t="inlineStr">
        <is>
          <t>133000</t>
        </is>
      </c>
      <c r="P718" s="5" t="inlineStr">
        <is>
          <t>5</t>
        </is>
      </c>
      <c r="Q718" s="5" t="inlineStr">
        <is>
          <t>3</t>
        </is>
      </c>
      <c r="R718" s="5" t="inlineStr">
        <is>
          <t>9</t>
        </is>
      </c>
      <c r="S718" s="5" t="inlineStr">
        <is>
          <t>4</t>
        </is>
      </c>
      <c r="T718" s="5" t="inlineStr">
        <is>
          <t>13</t>
        </is>
      </c>
      <c r="U718" s="5">
        <f>IFS(C718&lt;30,"Under 30",C718&lt;40,"30-39",C718&lt;50,"40-49",TRUE,"50+")</f>
        <v/>
      </c>
      <c r="V718" s="5">
        <f>IFS(O718&lt;60000,"Low (&lt;60k)",O718&lt;100000,"Mid (60-100k)",TRUE,"High (100k+)")</f>
        <v/>
      </c>
      <c r="W718" s="5">
        <f>IF(M718="No","Attrited","Active")</f>
        <v/>
      </c>
    </row>
    <row r="719">
      <c r="A719" s="5" t="inlineStr">
        <is>
          <t>E00718</t>
        </is>
      </c>
      <c r="B719" s="5" t="inlineStr">
        <is>
          <t>Female</t>
        </is>
      </c>
      <c r="C719" s="6" t="inlineStr">
        <is>
          <t>28</t>
        </is>
      </c>
      <c r="D719" s="5" t="inlineStr">
        <is>
          <t>Single</t>
        </is>
      </c>
      <c r="E719" s="5" t="inlineStr">
        <is>
          <t>Diploma</t>
        </is>
      </c>
      <c r="F719" s="5" t="inlineStr">
        <is>
          <t>Marketing</t>
        </is>
      </c>
      <c r="G719" s="5" t="inlineStr">
        <is>
          <t>Marketing Analyst</t>
        </is>
      </c>
      <c r="H719" s="5" t="inlineStr">
        <is>
          <t>2</t>
        </is>
      </c>
      <c r="I719" s="5" t="inlineStr">
        <is>
          <t>Hyderabad</t>
        </is>
      </c>
      <c r="J719" s="5" t="inlineStr">
        <is>
          <t>Full-Time</t>
        </is>
      </c>
      <c r="K719" s="7" t="n">
        <v>44772</v>
      </c>
      <c r="L719" s="7" t="inlineStr"/>
      <c r="M719" s="5" t="inlineStr">
        <is>
          <t>Yes</t>
        </is>
      </c>
      <c r="N719" s="5" t="inlineStr"/>
      <c r="O719" s="8" t="inlineStr">
        <is>
          <t>99500</t>
        </is>
      </c>
      <c r="P719" s="5" t="inlineStr">
        <is>
          <t>0</t>
        </is>
      </c>
      <c r="Q719" s="5" t="inlineStr">
        <is>
          <t>3</t>
        </is>
      </c>
      <c r="R719" s="5" t="inlineStr">
        <is>
          <t>4</t>
        </is>
      </c>
      <c r="S719" s="5" t="inlineStr">
        <is>
          <t>41</t>
        </is>
      </c>
      <c r="T719" s="5" t="inlineStr">
        <is>
          <t>6</t>
        </is>
      </c>
      <c r="U719" s="5">
        <f>IFS(C719&lt;30,"Under 30",C719&lt;40,"30-39",C719&lt;50,"40-49",TRUE,"50+")</f>
        <v/>
      </c>
      <c r="V719" s="5">
        <f>IFS(O719&lt;60000,"Low (&lt;60k)",O719&lt;100000,"Mid (60-100k)",TRUE,"High (100k+)")</f>
        <v/>
      </c>
      <c r="W719" s="5">
        <f>IF(M719="No","Attrited","Active")</f>
        <v/>
      </c>
    </row>
    <row r="720">
      <c r="A720" s="5" t="inlineStr">
        <is>
          <t>E00719</t>
        </is>
      </c>
      <c r="B720" s="5" t="inlineStr">
        <is>
          <t>Male</t>
        </is>
      </c>
      <c r="C720" s="6" t="inlineStr">
        <is>
          <t>34</t>
        </is>
      </c>
      <c r="D720" s="5" t="inlineStr">
        <is>
          <t>Single</t>
        </is>
      </c>
      <c r="E720" s="5" t="inlineStr">
        <is>
          <t>PhD</t>
        </is>
      </c>
      <c r="F720" s="5" t="inlineStr">
        <is>
          <t>Research &amp; Development</t>
        </is>
      </c>
      <c r="G720" s="5" t="inlineStr">
        <is>
          <t>Product Engineer</t>
        </is>
      </c>
      <c r="H720" s="5" t="inlineStr">
        <is>
          <t>4</t>
        </is>
      </c>
      <c r="I720" s="5" t="inlineStr">
        <is>
          <t>Hyderabad</t>
        </is>
      </c>
      <c r="J720" s="5" t="inlineStr">
        <is>
          <t>Contract</t>
        </is>
      </c>
      <c r="K720" s="7" t="n">
        <v>44692</v>
      </c>
      <c r="L720" s="7" t="n">
        <v>44784</v>
      </c>
      <c r="M720" s="5" t="inlineStr">
        <is>
          <t>No</t>
        </is>
      </c>
      <c r="N720" s="5" t="inlineStr">
        <is>
          <t>Resigned</t>
        </is>
      </c>
      <c r="O720" s="8" t="inlineStr">
        <is>
          <t>167500</t>
        </is>
      </c>
      <c r="P720" s="5" t="inlineStr">
        <is>
          <t>15</t>
        </is>
      </c>
      <c r="Q720" s="5" t="inlineStr">
        <is>
          <t>5</t>
        </is>
      </c>
      <c r="R720" s="5" t="inlineStr">
        <is>
          <t>3</t>
        </is>
      </c>
      <c r="S720" s="5" t="inlineStr">
        <is>
          <t>3</t>
        </is>
      </c>
      <c r="T720" s="5" t="inlineStr">
        <is>
          <t>6</t>
        </is>
      </c>
      <c r="U720" s="5">
        <f>IFS(C720&lt;30,"Under 30",C720&lt;40,"30-39",C720&lt;50,"40-49",TRUE,"50+")</f>
        <v/>
      </c>
      <c r="V720" s="5">
        <f>IFS(O720&lt;60000,"Low (&lt;60k)",O720&lt;100000,"Mid (60-100k)",TRUE,"High (100k+)")</f>
        <v/>
      </c>
      <c r="W720" s="5">
        <f>IF(M720="No","Attrited","Active")</f>
        <v/>
      </c>
    </row>
    <row r="721">
      <c r="A721" s="5" t="inlineStr">
        <is>
          <t>E00720</t>
        </is>
      </c>
      <c r="B721" s="5" t="inlineStr">
        <is>
          <t>Male</t>
        </is>
      </c>
      <c r="C721" s="6" t="inlineStr">
        <is>
          <t>34</t>
        </is>
      </c>
      <c r="D721" s="5" t="inlineStr">
        <is>
          <t>Single</t>
        </is>
      </c>
      <c r="E721" s="5" t="inlineStr">
        <is>
          <t>PhD</t>
        </is>
      </c>
      <c r="F721" s="5" t="inlineStr">
        <is>
          <t>Research &amp; Development</t>
        </is>
      </c>
      <c r="G721" s="5" t="inlineStr">
        <is>
          <t>Research Scientist</t>
        </is>
      </c>
      <c r="H721" s="5" t="inlineStr">
        <is>
          <t>5</t>
        </is>
      </c>
      <c r="I721" s="5" t="inlineStr">
        <is>
          <t>Delhi</t>
        </is>
      </c>
      <c r="J721" s="5" t="inlineStr">
        <is>
          <t>Full-Time</t>
        </is>
      </c>
      <c r="K721" s="7" t="n">
        <v>45958</v>
      </c>
      <c r="L721" s="7" t="inlineStr"/>
      <c r="M721" s="5" t="inlineStr">
        <is>
          <t>Yes</t>
        </is>
      </c>
      <c r="N721" s="5" t="inlineStr"/>
      <c r="O721" s="8" t="inlineStr">
        <is>
          <t>178500</t>
        </is>
      </c>
      <c r="P721" s="5" t="inlineStr">
        <is>
          <t>5</t>
        </is>
      </c>
      <c r="Q721" s="5" t="inlineStr">
        <is>
          <t>3</t>
        </is>
      </c>
      <c r="R721" s="5" t="inlineStr">
        <is>
          <t>6</t>
        </is>
      </c>
      <c r="S721" s="5" t="inlineStr">
        <is>
          <t>2</t>
        </is>
      </c>
      <c r="T721" s="5" t="inlineStr">
        <is>
          <t>14</t>
        </is>
      </c>
      <c r="U721" s="5">
        <f>IFS(C721&lt;30,"Under 30",C721&lt;40,"30-39",C721&lt;50,"40-49",TRUE,"50+")</f>
        <v/>
      </c>
      <c r="V721" s="5">
        <f>IFS(O721&lt;60000,"Low (&lt;60k)",O721&lt;100000,"Mid (60-100k)",TRUE,"High (100k+)")</f>
        <v/>
      </c>
      <c r="W721" s="5">
        <f>IF(M721="No","Attrited","Active")</f>
        <v/>
      </c>
    </row>
    <row r="722">
      <c r="A722" s="5" t="inlineStr">
        <is>
          <t>E00721</t>
        </is>
      </c>
      <c r="B722" s="5" t="inlineStr">
        <is>
          <t>Female</t>
        </is>
      </c>
      <c r="C722" s="6" t="inlineStr">
        <is>
          <t>28</t>
        </is>
      </c>
      <c r="D722" s="5" t="inlineStr">
        <is>
          <t>Married</t>
        </is>
      </c>
      <c r="E722" s="5" t="inlineStr">
        <is>
          <t>PhD</t>
        </is>
      </c>
      <c r="F722" s="5" t="inlineStr">
        <is>
          <t>Customer Support</t>
        </is>
      </c>
      <c r="G722" s="5" t="inlineStr">
        <is>
          <t>Support Agent</t>
        </is>
      </c>
      <c r="H722" s="5" t="inlineStr">
        <is>
          <t>2</t>
        </is>
      </c>
      <c r="I722" s="5" t="inlineStr">
        <is>
          <t>Bengaluru</t>
        </is>
      </c>
      <c r="J722" s="5" t="inlineStr">
        <is>
          <t>Full-Time</t>
        </is>
      </c>
      <c r="K722" s="7" t="n">
        <v>44920</v>
      </c>
      <c r="L722" s="7" t="inlineStr"/>
      <c r="M722" s="5" t="inlineStr">
        <is>
          <t>Yes</t>
        </is>
      </c>
      <c r="N722" s="5" t="inlineStr"/>
      <c r="O722" s="8" t="inlineStr">
        <is>
          <t>66000</t>
        </is>
      </c>
      <c r="P722" s="5" t="inlineStr">
        <is>
          <t>5</t>
        </is>
      </c>
      <c r="Q722" s="5" t="inlineStr">
        <is>
          <t>5</t>
        </is>
      </c>
      <c r="R722" s="5" t="inlineStr">
        <is>
          <t>5</t>
        </is>
      </c>
      <c r="S722" s="5" t="inlineStr">
        <is>
          <t>36</t>
        </is>
      </c>
      <c r="T722" s="5" t="inlineStr">
        <is>
          <t>10</t>
        </is>
      </c>
      <c r="U722" s="5">
        <f>IFS(C722&lt;30,"Under 30",C722&lt;40,"30-39",C722&lt;50,"40-49",TRUE,"50+")</f>
        <v/>
      </c>
      <c r="V722" s="5">
        <f>IFS(O722&lt;60000,"Low (&lt;60k)",O722&lt;100000,"Mid (60-100k)",TRUE,"High (100k+)")</f>
        <v/>
      </c>
      <c r="W722" s="5">
        <f>IF(M722="No","Attrited","Active")</f>
        <v/>
      </c>
    </row>
    <row r="723">
      <c r="A723" s="5" t="inlineStr">
        <is>
          <t>E00722</t>
        </is>
      </c>
      <c r="B723" s="5" t="inlineStr">
        <is>
          <t>Female</t>
        </is>
      </c>
      <c r="C723" s="6" t="inlineStr">
        <is>
          <t>33</t>
        </is>
      </c>
      <c r="D723" s="5" t="inlineStr">
        <is>
          <t>Married</t>
        </is>
      </c>
      <c r="E723" s="5" t="inlineStr">
        <is>
          <t>Master</t>
        </is>
      </c>
      <c r="F723" s="5" t="inlineStr">
        <is>
          <t>IT</t>
        </is>
      </c>
      <c r="G723" s="5" t="inlineStr">
        <is>
          <t>Software Engineer</t>
        </is>
      </c>
      <c r="H723" s="5" t="inlineStr">
        <is>
          <t>3</t>
        </is>
      </c>
      <c r="I723" s="5" t="inlineStr">
        <is>
          <t>Remote</t>
        </is>
      </c>
      <c r="J723" s="5" t="inlineStr">
        <is>
          <t>Full-Time</t>
        </is>
      </c>
      <c r="K723" s="7" t="n">
        <v>44897</v>
      </c>
      <c r="L723" s="7" t="inlineStr"/>
      <c r="M723" s="5" t="inlineStr">
        <is>
          <t>Yes</t>
        </is>
      </c>
      <c r="N723" s="5" t="inlineStr"/>
      <c r="O723" s="8" t="inlineStr">
        <is>
          <t>169500</t>
        </is>
      </c>
      <c r="P723" s="5" t="inlineStr">
        <is>
          <t>5</t>
        </is>
      </c>
      <c r="Q723" s="5" t="inlineStr">
        <is>
          <t>4</t>
        </is>
      </c>
      <c r="R723" s="5" t="inlineStr">
        <is>
          <t>6</t>
        </is>
      </c>
      <c r="S723" s="5" t="inlineStr">
        <is>
          <t>37</t>
        </is>
      </c>
      <c r="T723" s="5" t="inlineStr">
        <is>
          <t>0</t>
        </is>
      </c>
      <c r="U723" s="5">
        <f>IFS(C723&lt;30,"Under 30",C723&lt;40,"30-39",C723&lt;50,"40-49",TRUE,"50+")</f>
        <v/>
      </c>
      <c r="V723" s="5">
        <f>IFS(O723&lt;60000,"Low (&lt;60k)",O723&lt;100000,"Mid (60-100k)",TRUE,"High (100k+)")</f>
        <v/>
      </c>
      <c r="W723" s="5">
        <f>IF(M723="No","Attrited","Active")</f>
        <v/>
      </c>
    </row>
    <row r="724">
      <c r="A724" s="5" t="inlineStr">
        <is>
          <t>E00723</t>
        </is>
      </c>
      <c r="B724" s="5" t="inlineStr">
        <is>
          <t>Female</t>
        </is>
      </c>
      <c r="C724" s="6" t="inlineStr">
        <is>
          <t>41</t>
        </is>
      </c>
      <c r="D724" s="5" t="inlineStr">
        <is>
          <t>Single</t>
        </is>
      </c>
      <c r="E724" s="5" t="inlineStr">
        <is>
          <t>Bachelor</t>
        </is>
      </c>
      <c r="F724" s="5" t="inlineStr">
        <is>
          <t>IT</t>
        </is>
      </c>
      <c r="G724" s="5" t="inlineStr">
        <is>
          <t>Software Engineer</t>
        </is>
      </c>
      <c r="H724" s="5" t="inlineStr">
        <is>
          <t>6</t>
        </is>
      </c>
      <c r="I724" s="5" t="inlineStr">
        <is>
          <t>Mumbai</t>
        </is>
      </c>
      <c r="J724" s="5" t="inlineStr">
        <is>
          <t>Full-Time</t>
        </is>
      </c>
      <c r="K724" s="7" t="n">
        <v>44169</v>
      </c>
      <c r="L724" s="7" t="inlineStr"/>
      <c r="M724" s="5" t="inlineStr">
        <is>
          <t>Yes</t>
        </is>
      </c>
      <c r="N724" s="5" t="inlineStr"/>
      <c r="O724" s="8" t="inlineStr">
        <is>
          <t>146000</t>
        </is>
      </c>
      <c r="P724" s="5" t="inlineStr">
        <is>
          <t>0</t>
        </is>
      </c>
      <c r="Q724" s="5" t="inlineStr">
        <is>
          <t>4</t>
        </is>
      </c>
      <c r="R724" s="5" t="inlineStr">
        <is>
          <t>7</t>
        </is>
      </c>
      <c r="S724" s="5" t="inlineStr">
        <is>
          <t>61</t>
        </is>
      </c>
      <c r="T724" s="5" t="inlineStr">
        <is>
          <t>0</t>
        </is>
      </c>
      <c r="U724" s="5">
        <f>IFS(C724&lt;30,"Under 30",C724&lt;40,"30-39",C724&lt;50,"40-49",TRUE,"50+")</f>
        <v/>
      </c>
      <c r="V724" s="5">
        <f>IFS(O724&lt;60000,"Low (&lt;60k)",O724&lt;100000,"Mid (60-100k)",TRUE,"High (100k+)")</f>
        <v/>
      </c>
      <c r="W724" s="5">
        <f>IF(M724="No","Attrited","Active")</f>
        <v/>
      </c>
    </row>
    <row r="725">
      <c r="A725" s="5" t="inlineStr">
        <is>
          <t>E00724</t>
        </is>
      </c>
      <c r="B725" s="5" t="inlineStr">
        <is>
          <t>Female</t>
        </is>
      </c>
      <c r="C725" s="6" t="inlineStr">
        <is>
          <t>26</t>
        </is>
      </c>
      <c r="D725" s="5" t="inlineStr">
        <is>
          <t>Married</t>
        </is>
      </c>
      <c r="E725" s="5" t="inlineStr">
        <is>
          <t>Bachelor</t>
        </is>
      </c>
      <c r="F725" s="5" t="inlineStr">
        <is>
          <t>Operations</t>
        </is>
      </c>
      <c r="G725" s="5" t="inlineStr">
        <is>
          <t>Operations Analyst</t>
        </is>
      </c>
      <c r="H725" s="5" t="inlineStr">
        <is>
          <t>1</t>
        </is>
      </c>
      <c r="I725" s="5" t="inlineStr">
        <is>
          <t>Bengaluru</t>
        </is>
      </c>
      <c r="J725" s="5" t="inlineStr">
        <is>
          <t>Full-Time</t>
        </is>
      </c>
      <c r="K725" s="7" t="n">
        <v>45484</v>
      </c>
      <c r="L725" s="7" t="n">
        <v>45576</v>
      </c>
      <c r="M725" s="5" t="inlineStr">
        <is>
          <t>No</t>
        </is>
      </c>
      <c r="N725" s="5" t="inlineStr">
        <is>
          <t>Retirement</t>
        </is>
      </c>
      <c r="O725" s="8" t="inlineStr">
        <is>
          <t>75500</t>
        </is>
      </c>
      <c r="P725" s="5" t="inlineStr">
        <is>
          <t>15</t>
        </is>
      </c>
      <c r="Q725" s="5" t="inlineStr">
        <is>
          <t>4</t>
        </is>
      </c>
      <c r="R725" s="5" t="inlineStr">
        <is>
          <t>9</t>
        </is>
      </c>
      <c r="S725" s="5" t="inlineStr">
        <is>
          <t>3</t>
        </is>
      </c>
      <c r="T725" s="5" t="inlineStr">
        <is>
          <t>0</t>
        </is>
      </c>
      <c r="U725" s="5">
        <f>IFS(C725&lt;30,"Under 30",C725&lt;40,"30-39",C725&lt;50,"40-49",TRUE,"50+")</f>
        <v/>
      </c>
      <c r="V725" s="5">
        <f>IFS(O725&lt;60000,"Low (&lt;60k)",O725&lt;100000,"Mid (60-100k)",TRUE,"High (100k+)")</f>
        <v/>
      </c>
      <c r="W725" s="5">
        <f>IF(M725="No","Attrited","Active")</f>
        <v/>
      </c>
    </row>
    <row r="726">
      <c r="A726" s="5" t="inlineStr">
        <is>
          <t>E00725</t>
        </is>
      </c>
      <c r="B726" s="5" t="inlineStr">
        <is>
          <t>Male</t>
        </is>
      </c>
      <c r="C726" s="6" t="inlineStr">
        <is>
          <t>34</t>
        </is>
      </c>
      <c r="D726" s="5" t="inlineStr">
        <is>
          <t>Married</t>
        </is>
      </c>
      <c r="E726" s="5" t="inlineStr">
        <is>
          <t>Diploma</t>
        </is>
      </c>
      <c r="F726" s="5" t="inlineStr">
        <is>
          <t>Customer Support</t>
        </is>
      </c>
      <c r="G726" s="5" t="inlineStr">
        <is>
          <t>Support Lead</t>
        </is>
      </c>
      <c r="H726" s="5" t="inlineStr">
        <is>
          <t>4</t>
        </is>
      </c>
      <c r="I726" s="5" t="inlineStr">
        <is>
          <t>Mumbai</t>
        </is>
      </c>
      <c r="J726" s="5" t="inlineStr">
        <is>
          <t>Full-Time</t>
        </is>
      </c>
      <c r="K726" s="7" t="n">
        <v>44398</v>
      </c>
      <c r="L726" s="7" t="inlineStr"/>
      <c r="M726" s="5" t="inlineStr">
        <is>
          <t>Yes</t>
        </is>
      </c>
      <c r="N726" s="5" t="inlineStr"/>
      <c r="O726" s="8" t="inlineStr">
        <is>
          <t>82000</t>
        </is>
      </c>
      <c r="P726" s="5" t="inlineStr">
        <is>
          <t>10</t>
        </is>
      </c>
      <c r="Q726" s="5" t="inlineStr">
        <is>
          <t>3</t>
        </is>
      </c>
      <c r="R726" s="5" t="inlineStr">
        <is>
          <t>7</t>
        </is>
      </c>
      <c r="S726" s="5" t="inlineStr">
        <is>
          <t>54</t>
        </is>
      </c>
      <c r="T726" s="5" t="inlineStr">
        <is>
          <t>4</t>
        </is>
      </c>
      <c r="U726" s="5">
        <f>IFS(C726&lt;30,"Under 30",C726&lt;40,"30-39",C726&lt;50,"40-49",TRUE,"50+")</f>
        <v/>
      </c>
      <c r="V726" s="5">
        <f>IFS(O726&lt;60000,"Low (&lt;60k)",O726&lt;100000,"Mid (60-100k)",TRUE,"High (100k+)")</f>
        <v/>
      </c>
      <c r="W726" s="5">
        <f>IF(M726="No","Attrited","Active")</f>
        <v/>
      </c>
    </row>
    <row r="727">
      <c r="A727" s="5" t="inlineStr">
        <is>
          <t>E00726</t>
        </is>
      </c>
      <c r="B727" s="5" t="inlineStr">
        <is>
          <t>Female</t>
        </is>
      </c>
      <c r="C727" s="6" t="inlineStr">
        <is>
          <t>35</t>
        </is>
      </c>
      <c r="D727" s="5" t="inlineStr">
        <is>
          <t>Married</t>
        </is>
      </c>
      <c r="E727" s="5" t="inlineStr">
        <is>
          <t>PhD</t>
        </is>
      </c>
      <c r="F727" s="5" t="inlineStr">
        <is>
          <t>Customer Support</t>
        </is>
      </c>
      <c r="G727" s="5" t="inlineStr">
        <is>
          <t>Escalation Specialist</t>
        </is>
      </c>
      <c r="H727" s="5" t="inlineStr">
        <is>
          <t>3</t>
        </is>
      </c>
      <c r="I727" s="5" t="inlineStr">
        <is>
          <t>Chennai</t>
        </is>
      </c>
      <c r="J727" s="5" t="inlineStr">
        <is>
          <t>Part-Time</t>
        </is>
      </c>
      <c r="K727" s="7" t="n">
        <v>44734</v>
      </c>
      <c r="L727" s="7" t="inlineStr"/>
      <c r="M727" s="5" t="inlineStr">
        <is>
          <t>Yes</t>
        </is>
      </c>
      <c r="N727" s="5" t="inlineStr"/>
      <c r="O727" s="8" t="inlineStr">
        <is>
          <t>68000</t>
        </is>
      </c>
      <c r="P727" s="5" t="inlineStr">
        <is>
          <t>0</t>
        </is>
      </c>
      <c r="Q727" s="5" t="inlineStr">
        <is>
          <t>3</t>
        </is>
      </c>
      <c r="R727" s="5" t="inlineStr">
        <is>
          <t>6</t>
        </is>
      </c>
      <c r="S727" s="5" t="inlineStr">
        <is>
          <t>42</t>
        </is>
      </c>
      <c r="T727" s="5" t="inlineStr">
        <is>
          <t>13</t>
        </is>
      </c>
      <c r="U727" s="5">
        <f>IFS(C727&lt;30,"Under 30",C727&lt;40,"30-39",C727&lt;50,"40-49",TRUE,"50+")</f>
        <v/>
      </c>
      <c r="V727" s="5">
        <f>IFS(O727&lt;60000,"Low (&lt;60k)",O727&lt;100000,"Mid (60-100k)",TRUE,"High (100k+)")</f>
        <v/>
      </c>
      <c r="W727" s="5">
        <f>IF(M727="No","Attrited","Active")</f>
        <v/>
      </c>
    </row>
    <row r="728">
      <c r="A728" s="5" t="inlineStr">
        <is>
          <t>E00727</t>
        </is>
      </c>
      <c r="B728" s="5" t="inlineStr">
        <is>
          <t>Female</t>
        </is>
      </c>
      <c r="C728" s="6" t="inlineStr">
        <is>
          <t>35</t>
        </is>
      </c>
      <c r="D728" s="5" t="inlineStr">
        <is>
          <t>Married</t>
        </is>
      </c>
      <c r="E728" s="5" t="inlineStr">
        <is>
          <t>High School</t>
        </is>
      </c>
      <c r="F728" s="5" t="inlineStr">
        <is>
          <t>Operations</t>
        </is>
      </c>
      <c r="G728" s="5" t="inlineStr">
        <is>
          <t>Quality Analyst</t>
        </is>
      </c>
      <c r="H728" s="5" t="inlineStr">
        <is>
          <t>5</t>
        </is>
      </c>
      <c r="I728" s="5" t="inlineStr">
        <is>
          <t>Remote</t>
        </is>
      </c>
      <c r="J728" s="5" t="inlineStr">
        <is>
          <t>Full-Time</t>
        </is>
      </c>
      <c r="K728" s="7" t="n">
        <v>44198</v>
      </c>
      <c r="L728" s="7" t="inlineStr"/>
      <c r="M728" s="5" t="inlineStr">
        <is>
          <t>Yes</t>
        </is>
      </c>
      <c r="N728" s="5" t="inlineStr"/>
      <c r="O728" s="8" t="inlineStr">
        <is>
          <t>92500</t>
        </is>
      </c>
      <c r="P728" s="5" t="inlineStr">
        <is>
          <t>0</t>
        </is>
      </c>
      <c r="Q728" s="5" t="inlineStr">
        <is>
          <t>4</t>
        </is>
      </c>
      <c r="R728" s="5" t="inlineStr">
        <is>
          <t>8</t>
        </is>
      </c>
      <c r="S728" s="5" t="inlineStr">
        <is>
          <t>60</t>
        </is>
      </c>
      <c r="T728" s="5" t="inlineStr">
        <is>
          <t>16</t>
        </is>
      </c>
      <c r="U728" s="5">
        <f>IFS(C728&lt;30,"Under 30",C728&lt;40,"30-39",C728&lt;50,"40-49",TRUE,"50+")</f>
        <v/>
      </c>
      <c r="V728" s="5">
        <f>IFS(O728&lt;60000,"Low (&lt;60k)",O728&lt;100000,"Mid (60-100k)",TRUE,"High (100k+)")</f>
        <v/>
      </c>
      <c r="W728" s="5">
        <f>IF(M728="No","Attrited","Active")</f>
        <v/>
      </c>
    </row>
    <row r="729">
      <c r="A729" s="5" t="inlineStr">
        <is>
          <t>E00728</t>
        </is>
      </c>
      <c r="B729" s="5" t="inlineStr">
        <is>
          <t>Male</t>
        </is>
      </c>
      <c r="C729" s="6" t="inlineStr">
        <is>
          <t>28</t>
        </is>
      </c>
      <c r="D729" s="5" t="inlineStr">
        <is>
          <t>Married</t>
        </is>
      </c>
      <c r="E729" s="5" t="inlineStr">
        <is>
          <t>Master</t>
        </is>
      </c>
      <c r="F729" s="5" t="inlineStr">
        <is>
          <t>Human Resources</t>
        </is>
      </c>
      <c r="G729" s="5" t="inlineStr">
        <is>
          <t>HR Analyst</t>
        </is>
      </c>
      <c r="H729" s="5" t="inlineStr">
        <is>
          <t>2</t>
        </is>
      </c>
      <c r="I729" s="5" t="inlineStr">
        <is>
          <t>Mumbai</t>
        </is>
      </c>
      <c r="J729" s="5" t="inlineStr">
        <is>
          <t>Part-Time</t>
        </is>
      </c>
      <c r="K729" s="7" t="n">
        <v>44747</v>
      </c>
      <c r="L729" s="7" t="n">
        <v>44835</v>
      </c>
      <c r="M729" s="5" t="inlineStr">
        <is>
          <t>No</t>
        </is>
      </c>
      <c r="N729" s="5" t="inlineStr">
        <is>
          <t>Relocation</t>
        </is>
      </c>
      <c r="O729" s="8" t="inlineStr">
        <is>
          <t>92500</t>
        </is>
      </c>
      <c r="P729" s="5" t="inlineStr">
        <is>
          <t>0</t>
        </is>
      </c>
      <c r="Q729" s="5" t="inlineStr">
        <is>
          <t>4</t>
        </is>
      </c>
      <c r="R729" s="5" t="inlineStr">
        <is>
          <t>4</t>
        </is>
      </c>
      <c r="S729" s="5" t="inlineStr">
        <is>
          <t>2</t>
        </is>
      </c>
      <c r="T729" s="5" t="inlineStr">
        <is>
          <t>1</t>
        </is>
      </c>
      <c r="U729" s="5">
        <f>IFS(C729&lt;30,"Under 30",C729&lt;40,"30-39",C729&lt;50,"40-49",TRUE,"50+")</f>
        <v/>
      </c>
      <c r="V729" s="5">
        <f>IFS(O729&lt;60000,"Low (&lt;60k)",O729&lt;100000,"Mid (60-100k)",TRUE,"High (100k+)")</f>
        <v/>
      </c>
      <c r="W729" s="5">
        <f>IF(M729="No","Attrited","Active")</f>
        <v/>
      </c>
    </row>
    <row r="730">
      <c r="A730" s="5" t="inlineStr">
        <is>
          <t>E00729</t>
        </is>
      </c>
      <c r="B730" s="5" t="inlineStr">
        <is>
          <t>Male</t>
        </is>
      </c>
      <c r="C730" s="6" t="inlineStr">
        <is>
          <t>28</t>
        </is>
      </c>
      <c r="D730" s="5" t="inlineStr">
        <is>
          <t>Married</t>
        </is>
      </c>
      <c r="E730" s="5" t="inlineStr">
        <is>
          <t>Master</t>
        </is>
      </c>
      <c r="F730" s="5" t="inlineStr">
        <is>
          <t>IT</t>
        </is>
      </c>
      <c r="G730" s="5" t="inlineStr">
        <is>
          <t>Data Analyst</t>
        </is>
      </c>
      <c r="H730" s="5" t="inlineStr">
        <is>
          <t>1</t>
        </is>
      </c>
      <c r="I730" s="5" t="inlineStr">
        <is>
          <t>Hyderabad</t>
        </is>
      </c>
      <c r="J730" s="5" t="inlineStr">
        <is>
          <t>Full-Time</t>
        </is>
      </c>
      <c r="K730" s="7" t="n">
        <v>45067</v>
      </c>
      <c r="L730" s="7" t="inlineStr"/>
      <c r="M730" s="5" t="inlineStr">
        <is>
          <t>Yes</t>
        </is>
      </c>
      <c r="N730" s="5" t="inlineStr"/>
      <c r="O730" s="8" t="inlineStr">
        <is>
          <t>117500</t>
        </is>
      </c>
      <c r="P730" s="5" t="inlineStr">
        <is>
          <t>0</t>
        </is>
      </c>
      <c r="Q730" s="5" t="inlineStr">
        <is>
          <t>3</t>
        </is>
      </c>
      <c r="R730" s="5" t="inlineStr">
        <is>
          <t>7</t>
        </is>
      </c>
      <c r="S730" s="5" t="inlineStr">
        <is>
          <t>31</t>
        </is>
      </c>
      <c r="T730" s="5" t="inlineStr">
        <is>
          <t>8</t>
        </is>
      </c>
      <c r="U730" s="5">
        <f>IFS(C730&lt;30,"Under 30",C730&lt;40,"30-39",C730&lt;50,"40-49",TRUE,"50+")</f>
        <v/>
      </c>
      <c r="V730" s="5">
        <f>IFS(O730&lt;60000,"Low (&lt;60k)",O730&lt;100000,"Mid (60-100k)",TRUE,"High (100k+)")</f>
        <v/>
      </c>
      <c r="W730" s="5">
        <f>IF(M730="No","Attrited","Active")</f>
        <v/>
      </c>
    </row>
    <row r="731">
      <c r="A731" s="5" t="inlineStr">
        <is>
          <t>E00730</t>
        </is>
      </c>
      <c r="B731" s="5" t="inlineStr">
        <is>
          <t>Male</t>
        </is>
      </c>
      <c r="C731" s="6" t="inlineStr">
        <is>
          <t>33</t>
        </is>
      </c>
      <c r="D731" s="5" t="inlineStr">
        <is>
          <t>Married</t>
        </is>
      </c>
      <c r="E731" s="5" t="inlineStr">
        <is>
          <t>Diploma</t>
        </is>
      </c>
      <c r="F731" s="5" t="inlineStr">
        <is>
          <t>Sales</t>
        </is>
      </c>
      <c r="G731" s="5" t="inlineStr">
        <is>
          <t>Sales Executive</t>
        </is>
      </c>
      <c r="H731" s="5" t="inlineStr">
        <is>
          <t>2</t>
        </is>
      </c>
      <c r="I731" s="5" t="inlineStr">
        <is>
          <t>Delhi</t>
        </is>
      </c>
      <c r="J731" s="5" t="inlineStr">
        <is>
          <t>Full-Time</t>
        </is>
      </c>
      <c r="K731" s="7" t="n">
        <v>44729</v>
      </c>
      <c r="L731" s="7" t="inlineStr"/>
      <c r="M731" s="5" t="inlineStr">
        <is>
          <t>Yes</t>
        </is>
      </c>
      <c r="N731" s="5" t="inlineStr"/>
      <c r="O731" s="8" t="inlineStr">
        <is>
          <t>74500</t>
        </is>
      </c>
      <c r="P731" s="5" t="inlineStr">
        <is>
          <t>0</t>
        </is>
      </c>
      <c r="Q731" s="5" t="inlineStr">
        <is>
          <t>4</t>
        </is>
      </c>
      <c r="R731" s="5" t="inlineStr">
        <is>
          <t>3</t>
        </is>
      </c>
      <c r="S731" s="5" t="inlineStr">
        <is>
          <t>43</t>
        </is>
      </c>
      <c r="T731" s="5" t="inlineStr">
        <is>
          <t>17</t>
        </is>
      </c>
      <c r="U731" s="5">
        <f>IFS(C731&lt;30,"Under 30",C731&lt;40,"30-39",C731&lt;50,"40-49",TRUE,"50+")</f>
        <v/>
      </c>
      <c r="V731" s="5">
        <f>IFS(O731&lt;60000,"Low (&lt;60k)",O731&lt;100000,"Mid (60-100k)",TRUE,"High (100k+)")</f>
        <v/>
      </c>
      <c r="W731" s="5">
        <f>IF(M731="No","Attrited","Active")</f>
        <v/>
      </c>
    </row>
    <row r="732">
      <c r="A732" s="5" t="inlineStr">
        <is>
          <t>E00731</t>
        </is>
      </c>
      <c r="B732" s="5" t="inlineStr">
        <is>
          <t>Male</t>
        </is>
      </c>
      <c r="C732" s="6" t="inlineStr">
        <is>
          <t>23</t>
        </is>
      </c>
      <c r="D732" s="5" t="inlineStr">
        <is>
          <t>Married</t>
        </is>
      </c>
      <c r="E732" s="5" t="inlineStr">
        <is>
          <t>Diploma</t>
        </is>
      </c>
      <c r="F732" s="5" t="inlineStr">
        <is>
          <t>Operations</t>
        </is>
      </c>
      <c r="G732" s="5" t="inlineStr">
        <is>
          <t>Logistics Coordinator</t>
        </is>
      </c>
      <c r="H732" s="5" t="inlineStr">
        <is>
          <t>1</t>
        </is>
      </c>
      <c r="I732" s="5" t="inlineStr">
        <is>
          <t>Remote</t>
        </is>
      </c>
      <c r="J732" s="5" t="inlineStr">
        <is>
          <t>Full-Time</t>
        </is>
      </c>
      <c r="K732" s="7" t="n">
        <v>45106</v>
      </c>
      <c r="L732" s="7" t="n">
        <v>45178</v>
      </c>
      <c r="M732" s="5" t="inlineStr">
        <is>
          <t>No</t>
        </is>
      </c>
      <c r="N732" s="5" t="inlineStr">
        <is>
          <t>Retirement</t>
        </is>
      </c>
      <c r="O732" s="8" t="inlineStr">
        <is>
          <t>67500</t>
        </is>
      </c>
      <c r="P732" s="5" t="inlineStr">
        <is>
          <t>0</t>
        </is>
      </c>
      <c r="Q732" s="5" t="inlineStr">
        <is>
          <t>4</t>
        </is>
      </c>
      <c r="R732" s="5" t="inlineStr">
        <is>
          <t>7</t>
        </is>
      </c>
      <c r="S732" s="5" t="inlineStr">
        <is>
          <t>2</t>
        </is>
      </c>
      <c r="T732" s="5" t="inlineStr">
        <is>
          <t>4</t>
        </is>
      </c>
      <c r="U732" s="5">
        <f>IFS(C732&lt;30,"Under 30",C732&lt;40,"30-39",C732&lt;50,"40-49",TRUE,"50+")</f>
        <v/>
      </c>
      <c r="V732" s="5">
        <f>IFS(O732&lt;60000,"Low (&lt;60k)",O732&lt;100000,"Mid (60-100k)",TRUE,"High (100k+)")</f>
        <v/>
      </c>
      <c r="W732" s="5">
        <f>IF(M732="No","Attrited","Active")</f>
        <v/>
      </c>
    </row>
    <row r="733">
      <c r="A733" s="5" t="inlineStr">
        <is>
          <t>E00732</t>
        </is>
      </c>
      <c r="B733" s="5" t="inlineStr">
        <is>
          <t>Female</t>
        </is>
      </c>
      <c r="C733" s="6" t="inlineStr">
        <is>
          <t>25</t>
        </is>
      </c>
      <c r="D733" s="5" t="inlineStr">
        <is>
          <t>Married</t>
        </is>
      </c>
      <c r="E733" s="5" t="inlineStr">
        <is>
          <t>PhD</t>
        </is>
      </c>
      <c r="F733" s="5" t="inlineStr">
        <is>
          <t>Operations</t>
        </is>
      </c>
      <c r="G733" s="5" t="inlineStr">
        <is>
          <t>Quality Analyst</t>
        </is>
      </c>
      <c r="H733" s="5" t="inlineStr">
        <is>
          <t>2</t>
        </is>
      </c>
      <c r="I733" s="5" t="inlineStr">
        <is>
          <t>Bengaluru</t>
        </is>
      </c>
      <c r="J733" s="5" t="inlineStr">
        <is>
          <t>Full-Time</t>
        </is>
      </c>
      <c r="K733" s="7" t="n">
        <v>44575</v>
      </c>
      <c r="L733" s="7" t="inlineStr"/>
      <c r="M733" s="5" t="inlineStr">
        <is>
          <t>Yes</t>
        </is>
      </c>
      <c r="N733" s="5" t="inlineStr"/>
      <c r="O733" s="8" t="inlineStr">
        <is>
          <t>113000</t>
        </is>
      </c>
      <c r="P733" s="5" t="inlineStr">
        <is>
          <t>15</t>
        </is>
      </c>
      <c r="Q733" s="5" t="inlineStr">
        <is>
          <t>3</t>
        </is>
      </c>
      <c r="R733" s="5" t="inlineStr">
        <is>
          <t>4</t>
        </is>
      </c>
      <c r="S733" s="5" t="inlineStr">
        <is>
          <t>48</t>
        </is>
      </c>
      <c r="T733" s="5" t="inlineStr">
        <is>
          <t>0</t>
        </is>
      </c>
      <c r="U733" s="5">
        <f>IFS(C733&lt;30,"Under 30",C733&lt;40,"30-39",C733&lt;50,"40-49",TRUE,"50+")</f>
        <v/>
      </c>
      <c r="V733" s="5">
        <f>IFS(O733&lt;60000,"Low (&lt;60k)",O733&lt;100000,"Mid (60-100k)",TRUE,"High (100k+)")</f>
        <v/>
      </c>
      <c r="W733" s="5">
        <f>IF(M733="No","Attrited","Active")</f>
        <v/>
      </c>
    </row>
    <row r="734">
      <c r="A734" s="5" t="inlineStr">
        <is>
          <t>E00733</t>
        </is>
      </c>
      <c r="B734" s="5" t="inlineStr">
        <is>
          <t>Male</t>
        </is>
      </c>
      <c r="C734" s="6" t="inlineStr">
        <is>
          <t>38</t>
        </is>
      </c>
      <c r="D734" s="5" t="inlineStr">
        <is>
          <t>Married</t>
        </is>
      </c>
      <c r="E734" s="5" t="inlineStr">
        <is>
          <t>High School</t>
        </is>
      </c>
      <c r="F734" s="5" t="inlineStr">
        <is>
          <t>IT</t>
        </is>
      </c>
      <c r="G734" s="5" t="inlineStr">
        <is>
          <t>Data Analyst</t>
        </is>
      </c>
      <c r="H734" s="5" t="inlineStr">
        <is>
          <t>3</t>
        </is>
      </c>
      <c r="I734" s="5" t="inlineStr">
        <is>
          <t>Hyderabad</t>
        </is>
      </c>
      <c r="J734" s="5" t="inlineStr">
        <is>
          <t>Full-Time</t>
        </is>
      </c>
      <c r="K734" s="7" t="n">
        <v>45120</v>
      </c>
      <c r="L734" s="7" t="inlineStr"/>
      <c r="M734" s="5" t="inlineStr">
        <is>
          <t>Yes</t>
        </is>
      </c>
      <c r="N734" s="5" t="inlineStr"/>
      <c r="O734" s="8" t="inlineStr">
        <is>
          <t>151000</t>
        </is>
      </c>
      <c r="P734" s="5" t="inlineStr">
        <is>
          <t>5</t>
        </is>
      </c>
      <c r="Q734" s="5" t="inlineStr">
        <is>
          <t>4</t>
        </is>
      </c>
      <c r="R734" s="5" t="inlineStr">
        <is>
          <t>5</t>
        </is>
      </c>
      <c r="S734" s="5" t="inlineStr">
        <is>
          <t>30</t>
        </is>
      </c>
      <c r="T734" s="5" t="inlineStr">
        <is>
          <t>1</t>
        </is>
      </c>
      <c r="U734" s="5">
        <f>IFS(C734&lt;30,"Under 30",C734&lt;40,"30-39",C734&lt;50,"40-49",TRUE,"50+")</f>
        <v/>
      </c>
      <c r="V734" s="5">
        <f>IFS(O734&lt;60000,"Low (&lt;60k)",O734&lt;100000,"Mid (60-100k)",TRUE,"High (100k+)")</f>
        <v/>
      </c>
      <c r="W734" s="5">
        <f>IF(M734="No","Attrited","Active")</f>
        <v/>
      </c>
    </row>
    <row r="735">
      <c r="A735" s="5" t="inlineStr">
        <is>
          <t>E00734</t>
        </is>
      </c>
      <c r="B735" s="5" t="inlineStr">
        <is>
          <t>Female</t>
        </is>
      </c>
      <c r="C735" s="6" t="inlineStr">
        <is>
          <t>34</t>
        </is>
      </c>
      <c r="D735" s="5" t="inlineStr">
        <is>
          <t>Married</t>
        </is>
      </c>
      <c r="E735" s="5" t="inlineStr">
        <is>
          <t>High School</t>
        </is>
      </c>
      <c r="F735" s="5" t="inlineStr">
        <is>
          <t>Research &amp; Development</t>
        </is>
      </c>
      <c r="G735" s="5" t="inlineStr">
        <is>
          <t>Data Scientist</t>
        </is>
      </c>
      <c r="H735" s="5" t="inlineStr">
        <is>
          <t>3</t>
        </is>
      </c>
      <c r="I735" s="5" t="inlineStr">
        <is>
          <t>Remote</t>
        </is>
      </c>
      <c r="J735" s="5" t="inlineStr">
        <is>
          <t>Full-Time</t>
        </is>
      </c>
      <c r="K735" s="7" t="n">
        <v>45468</v>
      </c>
      <c r="L735" s="7" t="inlineStr"/>
      <c r="M735" s="5" t="inlineStr">
        <is>
          <t>Yes</t>
        </is>
      </c>
      <c r="N735" s="5" t="inlineStr"/>
      <c r="O735" s="8" t="inlineStr">
        <is>
          <t>128000</t>
        </is>
      </c>
      <c r="P735" s="5" t="inlineStr">
        <is>
          <t>0</t>
        </is>
      </c>
      <c r="Q735" s="5" t="inlineStr">
        <is>
          <t>4</t>
        </is>
      </c>
      <c r="R735" s="5" t="inlineStr">
        <is>
          <t>1</t>
        </is>
      </c>
      <c r="S735" s="5" t="inlineStr">
        <is>
          <t>18</t>
        </is>
      </c>
      <c r="T735" s="5" t="inlineStr">
        <is>
          <t>11</t>
        </is>
      </c>
      <c r="U735" s="5">
        <f>IFS(C735&lt;30,"Under 30",C735&lt;40,"30-39",C735&lt;50,"40-49",TRUE,"50+")</f>
        <v/>
      </c>
      <c r="V735" s="5">
        <f>IFS(O735&lt;60000,"Low (&lt;60k)",O735&lt;100000,"Mid (60-100k)",TRUE,"High (100k+)")</f>
        <v/>
      </c>
      <c r="W735" s="5">
        <f>IF(M735="No","Attrited","Active")</f>
        <v/>
      </c>
    </row>
    <row r="736">
      <c r="A736" s="5" t="inlineStr">
        <is>
          <t>E00735</t>
        </is>
      </c>
      <c r="B736" s="5" t="inlineStr">
        <is>
          <t>Male</t>
        </is>
      </c>
      <c r="C736" s="6" t="inlineStr">
        <is>
          <t>26</t>
        </is>
      </c>
      <c r="D736" s="5" t="inlineStr">
        <is>
          <t>Divorced</t>
        </is>
      </c>
      <c r="E736" s="5" t="inlineStr">
        <is>
          <t>Diploma</t>
        </is>
      </c>
      <c r="F736" s="5" t="inlineStr">
        <is>
          <t>Sales</t>
        </is>
      </c>
      <c r="G736" s="5" t="inlineStr">
        <is>
          <t>Sales Executive</t>
        </is>
      </c>
      <c r="H736" s="5" t="inlineStr">
        <is>
          <t>2</t>
        </is>
      </c>
      <c r="I736" s="5" t="inlineStr">
        <is>
          <t>Hyderabad</t>
        </is>
      </c>
      <c r="J736" s="5" t="inlineStr">
        <is>
          <t>Full-Time</t>
        </is>
      </c>
      <c r="K736" s="7" t="n">
        <v>44371</v>
      </c>
      <c r="L736" s="7" t="inlineStr"/>
      <c r="M736" s="5" t="inlineStr">
        <is>
          <t>Yes</t>
        </is>
      </c>
      <c r="N736" s="5" t="inlineStr"/>
      <c r="O736" s="8" t="inlineStr">
        <is>
          <t>74000</t>
        </is>
      </c>
      <c r="P736" s="5" t="inlineStr">
        <is>
          <t>5</t>
        </is>
      </c>
      <c r="Q736" s="5" t="inlineStr">
        <is>
          <t>4</t>
        </is>
      </c>
      <c r="R736" s="5" t="inlineStr">
        <is>
          <t>5</t>
        </is>
      </c>
      <c r="S736" s="5" t="inlineStr">
        <is>
          <t>55</t>
        </is>
      </c>
      <c r="T736" s="5" t="inlineStr">
        <is>
          <t>4</t>
        </is>
      </c>
      <c r="U736" s="5">
        <f>IFS(C736&lt;30,"Under 30",C736&lt;40,"30-39",C736&lt;50,"40-49",TRUE,"50+")</f>
        <v/>
      </c>
      <c r="V736" s="5">
        <f>IFS(O736&lt;60000,"Low (&lt;60k)",O736&lt;100000,"Mid (60-100k)",TRUE,"High (100k+)")</f>
        <v/>
      </c>
      <c r="W736" s="5">
        <f>IF(M736="No","Attrited","Active")</f>
        <v/>
      </c>
    </row>
    <row r="737">
      <c r="A737" s="5" t="inlineStr">
        <is>
          <t>E00736</t>
        </is>
      </c>
      <c r="B737" s="5" t="inlineStr">
        <is>
          <t>Female</t>
        </is>
      </c>
      <c r="C737" s="6" t="inlineStr">
        <is>
          <t>30</t>
        </is>
      </c>
      <c r="D737" s="5" t="inlineStr">
        <is>
          <t>Single</t>
        </is>
      </c>
      <c r="E737" s="5" t="inlineStr">
        <is>
          <t>PhD</t>
        </is>
      </c>
      <c r="F737" s="5" t="inlineStr">
        <is>
          <t>Customer Support</t>
        </is>
      </c>
      <c r="G737" s="5" t="inlineStr">
        <is>
          <t>Support Lead</t>
        </is>
      </c>
      <c r="H737" s="5" t="inlineStr">
        <is>
          <t>2</t>
        </is>
      </c>
      <c r="I737" s="5" t="inlineStr">
        <is>
          <t>Bengaluru</t>
        </is>
      </c>
      <c r="J737" s="5" t="inlineStr">
        <is>
          <t>Full-Time</t>
        </is>
      </c>
      <c r="K737" s="7" t="n">
        <v>44048</v>
      </c>
      <c r="L737" s="7" t="inlineStr"/>
      <c r="M737" s="5" t="inlineStr">
        <is>
          <t>Yes</t>
        </is>
      </c>
      <c r="N737" s="5" t="inlineStr"/>
      <c r="O737" s="8" t="inlineStr">
        <is>
          <t>58000</t>
        </is>
      </c>
      <c r="P737" s="5" t="inlineStr">
        <is>
          <t>5</t>
        </is>
      </c>
      <c r="Q737" s="5" t="inlineStr">
        <is>
          <t>4</t>
        </is>
      </c>
      <c r="R737" s="5" t="inlineStr">
        <is>
          <t>5</t>
        </is>
      </c>
      <c r="S737" s="5" t="inlineStr">
        <is>
          <t>65</t>
        </is>
      </c>
      <c r="T737" s="5" t="inlineStr">
        <is>
          <t>9</t>
        </is>
      </c>
      <c r="U737" s="5">
        <f>IFS(C737&lt;30,"Under 30",C737&lt;40,"30-39",C737&lt;50,"40-49",TRUE,"50+")</f>
        <v/>
      </c>
      <c r="V737" s="5">
        <f>IFS(O737&lt;60000,"Low (&lt;60k)",O737&lt;100000,"Mid (60-100k)",TRUE,"High (100k+)")</f>
        <v/>
      </c>
      <c r="W737" s="5">
        <f>IF(M737="No","Attrited","Active")</f>
        <v/>
      </c>
    </row>
    <row r="738">
      <c r="A738" s="5" t="inlineStr">
        <is>
          <t>E00737</t>
        </is>
      </c>
      <c r="B738" s="5" t="inlineStr">
        <is>
          <t>Male</t>
        </is>
      </c>
      <c r="C738" s="6" t="inlineStr">
        <is>
          <t>24</t>
        </is>
      </c>
      <c r="D738" s="5" t="inlineStr">
        <is>
          <t>Married</t>
        </is>
      </c>
      <c r="E738" s="5" t="inlineStr">
        <is>
          <t>High School</t>
        </is>
      </c>
      <c r="F738" s="5" t="inlineStr">
        <is>
          <t>Sales</t>
        </is>
      </c>
      <c r="G738" s="5" t="inlineStr">
        <is>
          <t>Business Development</t>
        </is>
      </c>
      <c r="H738" s="5" t="inlineStr">
        <is>
          <t>1</t>
        </is>
      </c>
      <c r="I738" s="5" t="inlineStr">
        <is>
          <t>Remote</t>
        </is>
      </c>
      <c r="J738" s="5" t="inlineStr">
        <is>
          <t>Full-Time</t>
        </is>
      </c>
      <c r="K738" s="7" t="n">
        <v>45804</v>
      </c>
      <c r="L738" s="7" t="inlineStr"/>
      <c r="M738" s="5" t="inlineStr">
        <is>
          <t>Yes</t>
        </is>
      </c>
      <c r="N738" s="5" t="inlineStr"/>
      <c r="O738" s="8" t="inlineStr">
        <is>
          <t>96500</t>
        </is>
      </c>
      <c r="P738" s="5" t="inlineStr">
        <is>
          <t>15</t>
        </is>
      </c>
      <c r="Q738" s="5" t="inlineStr">
        <is>
          <t>3</t>
        </is>
      </c>
      <c r="R738" s="5" t="inlineStr">
        <is>
          <t>5</t>
        </is>
      </c>
      <c r="S738" s="5" t="inlineStr">
        <is>
          <t>7</t>
        </is>
      </c>
      <c r="T738" s="5" t="inlineStr">
        <is>
          <t>4</t>
        </is>
      </c>
      <c r="U738" s="5">
        <f>IFS(C738&lt;30,"Under 30",C738&lt;40,"30-39",C738&lt;50,"40-49",TRUE,"50+")</f>
        <v/>
      </c>
      <c r="V738" s="5">
        <f>IFS(O738&lt;60000,"Low (&lt;60k)",O738&lt;100000,"Mid (60-100k)",TRUE,"High (100k+)")</f>
        <v/>
      </c>
      <c r="W738" s="5">
        <f>IF(M738="No","Attrited","Active")</f>
        <v/>
      </c>
    </row>
    <row r="739">
      <c r="A739" s="5" t="inlineStr">
        <is>
          <t>E00738</t>
        </is>
      </c>
      <c r="B739" s="5" t="inlineStr">
        <is>
          <t>Male</t>
        </is>
      </c>
      <c r="C739" s="6" t="inlineStr">
        <is>
          <t>33</t>
        </is>
      </c>
      <c r="D739" s="5" t="inlineStr">
        <is>
          <t>Married</t>
        </is>
      </c>
      <c r="E739" s="5" t="inlineStr">
        <is>
          <t>High School</t>
        </is>
      </c>
      <c r="F739" s="5" t="inlineStr">
        <is>
          <t>Customer Support</t>
        </is>
      </c>
      <c r="G739" s="5" t="inlineStr">
        <is>
          <t>Support Agent</t>
        </is>
      </c>
      <c r="H739" s="5" t="inlineStr">
        <is>
          <t>2</t>
        </is>
      </c>
      <c r="I739" s="5" t="inlineStr">
        <is>
          <t>Hyderabad</t>
        </is>
      </c>
      <c r="J739" s="5" t="inlineStr">
        <is>
          <t>Full-Time</t>
        </is>
      </c>
      <c r="K739" s="7" t="n">
        <v>43985</v>
      </c>
      <c r="L739" s="7" t="inlineStr"/>
      <c r="M739" s="5" t="inlineStr">
        <is>
          <t>Yes</t>
        </is>
      </c>
      <c r="N739" s="5" t="inlineStr"/>
      <c r="O739" s="8" t="inlineStr">
        <is>
          <t>81500</t>
        </is>
      </c>
      <c r="P739" s="5" t="inlineStr">
        <is>
          <t>0</t>
        </is>
      </c>
      <c r="Q739" s="5" t="inlineStr">
        <is>
          <t>3</t>
        </is>
      </c>
      <c r="R739" s="5" t="inlineStr">
        <is>
          <t>8</t>
        </is>
      </c>
      <c r="S739" s="5" t="inlineStr">
        <is>
          <t>67</t>
        </is>
      </c>
      <c r="T739" s="5" t="inlineStr">
        <is>
          <t>6</t>
        </is>
      </c>
      <c r="U739" s="5">
        <f>IFS(C739&lt;30,"Under 30",C739&lt;40,"30-39",C739&lt;50,"40-49",TRUE,"50+")</f>
        <v/>
      </c>
      <c r="V739" s="5">
        <f>IFS(O739&lt;60000,"Low (&lt;60k)",O739&lt;100000,"Mid (60-100k)",TRUE,"High (100k+)")</f>
        <v/>
      </c>
      <c r="W739" s="5">
        <f>IF(M739="No","Attrited","Active")</f>
        <v/>
      </c>
    </row>
    <row r="740">
      <c r="A740" s="5" t="inlineStr">
        <is>
          <t>E00739</t>
        </is>
      </c>
      <c r="B740" s="5" t="inlineStr">
        <is>
          <t>Male</t>
        </is>
      </c>
      <c r="C740" s="6" t="inlineStr">
        <is>
          <t>28</t>
        </is>
      </c>
      <c r="D740" s="5" t="inlineStr">
        <is>
          <t>Married</t>
        </is>
      </c>
      <c r="E740" s="5" t="inlineStr">
        <is>
          <t>Master</t>
        </is>
      </c>
      <c r="F740" s="5" t="inlineStr">
        <is>
          <t>Sales</t>
        </is>
      </c>
      <c r="G740" s="5" t="inlineStr">
        <is>
          <t>Sales Executive</t>
        </is>
      </c>
      <c r="H740" s="5" t="inlineStr">
        <is>
          <t>2</t>
        </is>
      </c>
      <c r="I740" s="5" t="inlineStr">
        <is>
          <t>Remote</t>
        </is>
      </c>
      <c r="J740" s="5" t="inlineStr">
        <is>
          <t>Full-Time</t>
        </is>
      </c>
      <c r="K740" s="7" t="n">
        <v>45593</v>
      </c>
      <c r="L740" s="7" t="n">
        <v>45693</v>
      </c>
      <c r="M740" s="5" t="inlineStr">
        <is>
          <t>No</t>
        </is>
      </c>
      <c r="N740" s="5" t="inlineStr">
        <is>
          <t>Resigned</t>
        </is>
      </c>
      <c r="O740" s="8" t="inlineStr">
        <is>
          <t>94000</t>
        </is>
      </c>
      <c r="P740" s="5" t="inlineStr">
        <is>
          <t>5</t>
        </is>
      </c>
      <c r="Q740" s="5" t="inlineStr">
        <is>
          <t>4</t>
        </is>
      </c>
      <c r="R740" s="5" t="inlineStr">
        <is>
          <t>7</t>
        </is>
      </c>
      <c r="S740" s="5" t="inlineStr">
        <is>
          <t>3</t>
        </is>
      </c>
      <c r="T740" s="5" t="inlineStr">
        <is>
          <t>0</t>
        </is>
      </c>
      <c r="U740" s="5">
        <f>IFS(C740&lt;30,"Under 30",C740&lt;40,"30-39",C740&lt;50,"40-49",TRUE,"50+")</f>
        <v/>
      </c>
      <c r="V740" s="5">
        <f>IFS(O740&lt;60000,"Low (&lt;60k)",O740&lt;100000,"Mid (60-100k)",TRUE,"High (100k+)")</f>
        <v/>
      </c>
      <c r="W740" s="5">
        <f>IF(M740="No","Attrited","Active")</f>
        <v/>
      </c>
    </row>
    <row r="741">
      <c r="A741" s="5" t="inlineStr">
        <is>
          <t>E00740</t>
        </is>
      </c>
      <c r="B741" s="5" t="inlineStr">
        <is>
          <t>Male</t>
        </is>
      </c>
      <c r="C741" s="6" t="inlineStr">
        <is>
          <t>31</t>
        </is>
      </c>
      <c r="D741" s="5" t="inlineStr">
        <is>
          <t>Single</t>
        </is>
      </c>
      <c r="E741" s="5" t="inlineStr">
        <is>
          <t>Master</t>
        </is>
      </c>
      <c r="F741" s="5" t="inlineStr">
        <is>
          <t>Human Resources</t>
        </is>
      </c>
      <c r="G741" s="5" t="inlineStr">
        <is>
          <t>Recruiter</t>
        </is>
      </c>
      <c r="H741" s="5" t="inlineStr">
        <is>
          <t>3</t>
        </is>
      </c>
      <c r="I741" s="5" t="inlineStr">
        <is>
          <t>Remote</t>
        </is>
      </c>
      <c r="J741" s="5" t="inlineStr">
        <is>
          <t>Full-Time</t>
        </is>
      </c>
      <c r="K741" s="7" t="n">
        <v>44873</v>
      </c>
      <c r="L741" s="7" t="inlineStr"/>
      <c r="M741" s="5" t="inlineStr">
        <is>
          <t>Yes</t>
        </is>
      </c>
      <c r="N741" s="5" t="inlineStr"/>
      <c r="O741" s="8" t="inlineStr">
        <is>
          <t>71000</t>
        </is>
      </c>
      <c r="P741" s="5" t="inlineStr">
        <is>
          <t>0</t>
        </is>
      </c>
      <c r="Q741" s="5" t="inlineStr">
        <is>
          <t>4</t>
        </is>
      </c>
      <c r="R741" s="5" t="inlineStr">
        <is>
          <t>6</t>
        </is>
      </c>
      <c r="S741" s="5" t="inlineStr">
        <is>
          <t>38</t>
        </is>
      </c>
      <c r="T741" s="5" t="inlineStr">
        <is>
          <t>7</t>
        </is>
      </c>
      <c r="U741" s="5">
        <f>IFS(C741&lt;30,"Under 30",C741&lt;40,"30-39",C741&lt;50,"40-49",TRUE,"50+")</f>
        <v/>
      </c>
      <c r="V741" s="5">
        <f>IFS(O741&lt;60000,"Low (&lt;60k)",O741&lt;100000,"Mid (60-100k)",TRUE,"High (100k+)")</f>
        <v/>
      </c>
      <c r="W741" s="5">
        <f>IF(M741="No","Attrited","Active")</f>
        <v/>
      </c>
    </row>
    <row r="742">
      <c r="A742" s="5" t="inlineStr">
        <is>
          <t>E00741</t>
        </is>
      </c>
      <c r="B742" s="5" t="inlineStr">
        <is>
          <t>Female</t>
        </is>
      </c>
      <c r="C742" s="6" t="inlineStr">
        <is>
          <t>27</t>
        </is>
      </c>
      <c r="D742" s="5" t="inlineStr">
        <is>
          <t>Married</t>
        </is>
      </c>
      <c r="E742" s="5" t="inlineStr">
        <is>
          <t>High School</t>
        </is>
      </c>
      <c r="F742" s="5" t="inlineStr">
        <is>
          <t>Research &amp; Development</t>
        </is>
      </c>
      <c r="G742" s="5" t="inlineStr">
        <is>
          <t>Data Scientist</t>
        </is>
      </c>
      <c r="H742" s="5" t="inlineStr">
        <is>
          <t>1</t>
        </is>
      </c>
      <c r="I742" s="5" t="inlineStr">
        <is>
          <t>Hyderabad</t>
        </is>
      </c>
      <c r="J742" s="5" t="inlineStr">
        <is>
          <t>Full-Time</t>
        </is>
      </c>
      <c r="K742" s="7" t="n">
        <v>44424</v>
      </c>
      <c r="L742" s="7" t="inlineStr"/>
      <c r="M742" s="5" t="inlineStr">
        <is>
          <t>Yes</t>
        </is>
      </c>
      <c r="N742" s="5" t="inlineStr"/>
      <c r="O742" s="8" t="inlineStr">
        <is>
          <t>132500</t>
        </is>
      </c>
      <c r="P742" s="5" t="inlineStr">
        <is>
          <t>0</t>
        </is>
      </c>
      <c r="Q742" s="5" t="inlineStr">
        <is>
          <t>5</t>
        </is>
      </c>
      <c r="R742" s="5" t="inlineStr">
        <is>
          <t>6</t>
        </is>
      </c>
      <c r="S742" s="5" t="inlineStr">
        <is>
          <t>53</t>
        </is>
      </c>
      <c r="T742" s="5" t="inlineStr">
        <is>
          <t>10</t>
        </is>
      </c>
      <c r="U742" s="5">
        <f>IFS(C742&lt;30,"Under 30",C742&lt;40,"30-39",C742&lt;50,"40-49",TRUE,"50+")</f>
        <v/>
      </c>
      <c r="V742" s="5">
        <f>IFS(O742&lt;60000,"Low (&lt;60k)",O742&lt;100000,"Mid (60-100k)",TRUE,"High (100k+)")</f>
        <v/>
      </c>
      <c r="W742" s="5">
        <f>IF(M742="No","Attrited","Active")</f>
        <v/>
      </c>
    </row>
    <row r="743">
      <c r="A743" s="5" t="inlineStr">
        <is>
          <t>E00742</t>
        </is>
      </c>
      <c r="B743" s="5" t="inlineStr">
        <is>
          <t>Female</t>
        </is>
      </c>
      <c r="C743" s="6" t="inlineStr">
        <is>
          <t>30</t>
        </is>
      </c>
      <c r="D743" s="5" t="inlineStr">
        <is>
          <t>Single</t>
        </is>
      </c>
      <c r="E743" s="5" t="inlineStr">
        <is>
          <t>Bachelor</t>
        </is>
      </c>
      <c r="F743" s="5" t="inlineStr">
        <is>
          <t>Sales</t>
        </is>
      </c>
      <c r="G743" s="5" t="inlineStr">
        <is>
          <t>Account Executive</t>
        </is>
      </c>
      <c r="H743" s="5" t="inlineStr">
        <is>
          <t>3</t>
        </is>
      </c>
      <c r="I743" s="5" t="inlineStr">
        <is>
          <t>Mumbai</t>
        </is>
      </c>
      <c r="J743" s="5" t="inlineStr">
        <is>
          <t>Full-Time</t>
        </is>
      </c>
      <c r="K743" s="7" t="n">
        <v>43994</v>
      </c>
      <c r="L743" s="7" t="inlineStr"/>
      <c r="M743" s="5" t="inlineStr">
        <is>
          <t>Yes</t>
        </is>
      </c>
      <c r="N743" s="5" t="inlineStr"/>
      <c r="O743" s="8" t="inlineStr">
        <is>
          <t>98000</t>
        </is>
      </c>
      <c r="P743" s="5" t="inlineStr">
        <is>
          <t>0</t>
        </is>
      </c>
      <c r="Q743" s="5" t="inlineStr">
        <is>
          <t>4</t>
        </is>
      </c>
      <c r="R743" s="5" t="inlineStr">
        <is>
          <t>1</t>
        </is>
      </c>
      <c r="S743" s="5" t="inlineStr">
        <is>
          <t>67</t>
        </is>
      </c>
      <c r="T743" s="5" t="inlineStr">
        <is>
          <t>0</t>
        </is>
      </c>
      <c r="U743" s="5">
        <f>IFS(C743&lt;30,"Under 30",C743&lt;40,"30-39",C743&lt;50,"40-49",TRUE,"50+")</f>
        <v/>
      </c>
      <c r="V743" s="5">
        <f>IFS(O743&lt;60000,"Low (&lt;60k)",O743&lt;100000,"Mid (60-100k)",TRUE,"High (100k+)")</f>
        <v/>
      </c>
      <c r="W743" s="5">
        <f>IF(M743="No","Attrited","Active")</f>
        <v/>
      </c>
    </row>
    <row r="744">
      <c r="A744" s="5" t="inlineStr">
        <is>
          <t>E00743</t>
        </is>
      </c>
      <c r="B744" s="5" t="inlineStr">
        <is>
          <t>Female</t>
        </is>
      </c>
      <c r="C744" s="6" t="inlineStr">
        <is>
          <t>31</t>
        </is>
      </c>
      <c r="D744" s="5" t="inlineStr">
        <is>
          <t>Married</t>
        </is>
      </c>
      <c r="E744" s="5" t="inlineStr">
        <is>
          <t>High School</t>
        </is>
      </c>
      <c r="F744" s="5" t="inlineStr">
        <is>
          <t>IT</t>
        </is>
      </c>
      <c r="G744" s="5" t="inlineStr">
        <is>
          <t>IT Support</t>
        </is>
      </c>
      <c r="H744" s="5" t="inlineStr">
        <is>
          <t>3</t>
        </is>
      </c>
      <c r="I744" s="5" t="inlineStr">
        <is>
          <t>Mumbai</t>
        </is>
      </c>
      <c r="J744" s="5" t="inlineStr">
        <is>
          <t>Full-Time</t>
        </is>
      </c>
      <c r="K744" s="7" t="n">
        <v>44941</v>
      </c>
      <c r="L744" s="7" t="inlineStr"/>
      <c r="M744" s="5" t="inlineStr">
        <is>
          <t>Yes</t>
        </is>
      </c>
      <c r="N744" s="5" t="inlineStr"/>
      <c r="O744" s="8" t="inlineStr">
        <is>
          <t>136000</t>
        </is>
      </c>
      <c r="P744" s="5" t="inlineStr">
        <is>
          <t>10</t>
        </is>
      </c>
      <c r="Q744" s="5" t="inlineStr">
        <is>
          <t>5</t>
        </is>
      </c>
      <c r="R744" s="5" t="inlineStr">
        <is>
          <t>3</t>
        </is>
      </c>
      <c r="S744" s="5" t="inlineStr">
        <is>
          <t>36</t>
        </is>
      </c>
      <c r="T744" s="5" t="inlineStr">
        <is>
          <t>6</t>
        </is>
      </c>
      <c r="U744" s="5">
        <f>IFS(C744&lt;30,"Under 30",C744&lt;40,"30-39",C744&lt;50,"40-49",TRUE,"50+")</f>
        <v/>
      </c>
      <c r="V744" s="5">
        <f>IFS(O744&lt;60000,"Low (&lt;60k)",O744&lt;100000,"Mid (60-100k)",TRUE,"High (100k+)")</f>
        <v/>
      </c>
      <c r="W744" s="5">
        <f>IF(M744="No","Attrited","Active")</f>
        <v/>
      </c>
    </row>
    <row r="745">
      <c r="A745" s="5" t="inlineStr">
        <is>
          <t>E00744</t>
        </is>
      </c>
      <c r="B745" s="5" t="inlineStr">
        <is>
          <t>Female</t>
        </is>
      </c>
      <c r="C745" s="6" t="inlineStr">
        <is>
          <t>28</t>
        </is>
      </c>
      <c r="D745" s="5" t="inlineStr">
        <is>
          <t>Married</t>
        </is>
      </c>
      <c r="E745" s="5" t="inlineStr">
        <is>
          <t>PhD</t>
        </is>
      </c>
      <c r="F745" s="5" t="inlineStr">
        <is>
          <t>Marketing</t>
        </is>
      </c>
      <c r="G745" s="5" t="inlineStr">
        <is>
          <t>Content Writer</t>
        </is>
      </c>
      <c r="H745" s="5" t="inlineStr">
        <is>
          <t>3</t>
        </is>
      </c>
      <c r="I745" s="5" t="inlineStr">
        <is>
          <t>Bengaluru</t>
        </is>
      </c>
      <c r="J745" s="5" t="inlineStr">
        <is>
          <t>Full-Time</t>
        </is>
      </c>
      <c r="K745" s="7" t="n">
        <v>45205</v>
      </c>
      <c r="L745" s="7" t="inlineStr"/>
      <c r="M745" s="5" t="inlineStr">
        <is>
          <t>Yes</t>
        </is>
      </c>
      <c r="N745" s="5" t="inlineStr"/>
      <c r="O745" s="8" t="inlineStr">
        <is>
          <t>88000</t>
        </is>
      </c>
      <c r="P745" s="5" t="inlineStr">
        <is>
          <t>5</t>
        </is>
      </c>
      <c r="Q745" s="5" t="inlineStr">
        <is>
          <t>4</t>
        </is>
      </c>
      <c r="R745" s="5" t="inlineStr">
        <is>
          <t>6</t>
        </is>
      </c>
      <c r="S745" s="5" t="inlineStr">
        <is>
          <t>27</t>
        </is>
      </c>
      <c r="T745" s="5" t="inlineStr">
        <is>
          <t>3</t>
        </is>
      </c>
      <c r="U745" s="5">
        <f>IFS(C745&lt;30,"Under 30",C745&lt;40,"30-39",C745&lt;50,"40-49",TRUE,"50+")</f>
        <v/>
      </c>
      <c r="V745" s="5">
        <f>IFS(O745&lt;60000,"Low (&lt;60k)",O745&lt;100000,"Mid (60-100k)",TRUE,"High (100k+)")</f>
        <v/>
      </c>
      <c r="W745" s="5">
        <f>IF(M745="No","Attrited","Active")</f>
        <v/>
      </c>
    </row>
    <row r="746">
      <c r="A746" s="5" t="inlineStr">
        <is>
          <t>E00745</t>
        </is>
      </c>
      <c r="B746" s="5" t="inlineStr">
        <is>
          <t>Female</t>
        </is>
      </c>
      <c r="C746" s="6" t="inlineStr">
        <is>
          <t>46</t>
        </is>
      </c>
      <c r="D746" s="5" t="inlineStr">
        <is>
          <t>Single</t>
        </is>
      </c>
      <c r="E746" s="5" t="inlineStr">
        <is>
          <t>Diploma</t>
        </is>
      </c>
      <c r="F746" s="5" t="inlineStr">
        <is>
          <t>Operations</t>
        </is>
      </c>
      <c r="G746" s="5" t="inlineStr">
        <is>
          <t>Operations Analyst</t>
        </is>
      </c>
      <c r="H746" s="5" t="inlineStr">
        <is>
          <t>7</t>
        </is>
      </c>
      <c r="I746" s="5" t="inlineStr">
        <is>
          <t>Chennai</t>
        </is>
      </c>
      <c r="J746" s="5" t="inlineStr">
        <is>
          <t>Full-Time</t>
        </is>
      </c>
      <c r="K746" s="7" t="n">
        <v>44637</v>
      </c>
      <c r="L746" s="7" t="inlineStr"/>
      <c r="M746" s="5" t="inlineStr">
        <is>
          <t>Yes</t>
        </is>
      </c>
      <c r="N746" s="5" t="inlineStr"/>
      <c r="O746" s="8" t="inlineStr">
        <is>
          <t>120000</t>
        </is>
      </c>
      <c r="P746" s="5" t="inlineStr">
        <is>
          <t>10</t>
        </is>
      </c>
      <c r="Q746" s="5" t="inlineStr">
        <is>
          <t>4</t>
        </is>
      </c>
      <c r="R746" s="5" t="inlineStr">
        <is>
          <t>7</t>
        </is>
      </c>
      <c r="S746" s="5" t="inlineStr">
        <is>
          <t>46</t>
        </is>
      </c>
      <c r="T746" s="5" t="inlineStr">
        <is>
          <t>8</t>
        </is>
      </c>
      <c r="U746" s="5">
        <f>IFS(C746&lt;30,"Under 30",C746&lt;40,"30-39",C746&lt;50,"40-49",TRUE,"50+")</f>
        <v/>
      </c>
      <c r="V746" s="5">
        <f>IFS(O746&lt;60000,"Low (&lt;60k)",O746&lt;100000,"Mid (60-100k)",TRUE,"High (100k+)")</f>
        <v/>
      </c>
      <c r="W746" s="5">
        <f>IF(M746="No","Attrited","Active")</f>
        <v/>
      </c>
    </row>
    <row r="747">
      <c r="A747" s="5" t="inlineStr">
        <is>
          <t>E00746</t>
        </is>
      </c>
      <c r="B747" s="5" t="inlineStr">
        <is>
          <t>Male</t>
        </is>
      </c>
      <c r="C747" s="6" t="inlineStr">
        <is>
          <t>32</t>
        </is>
      </c>
      <c r="D747" s="5" t="inlineStr">
        <is>
          <t>Single</t>
        </is>
      </c>
      <c r="E747" s="5" t="inlineStr">
        <is>
          <t>High School</t>
        </is>
      </c>
      <c r="F747" s="5" t="inlineStr">
        <is>
          <t>Operations</t>
        </is>
      </c>
      <c r="G747" s="5" t="inlineStr">
        <is>
          <t>Quality Analyst</t>
        </is>
      </c>
      <c r="H747" s="5" t="inlineStr">
        <is>
          <t>3</t>
        </is>
      </c>
      <c r="I747" s="5" t="inlineStr">
        <is>
          <t>Hyderabad</t>
        </is>
      </c>
      <c r="J747" s="5" t="inlineStr">
        <is>
          <t>Full-Time</t>
        </is>
      </c>
      <c r="K747" s="7" t="n">
        <v>45087</v>
      </c>
      <c r="L747" s="7" t="inlineStr"/>
      <c r="M747" s="5" t="inlineStr">
        <is>
          <t>Yes</t>
        </is>
      </c>
      <c r="N747" s="5" t="inlineStr"/>
      <c r="O747" s="8" t="inlineStr">
        <is>
          <t>101500</t>
        </is>
      </c>
      <c r="P747" s="5" t="inlineStr">
        <is>
          <t>5</t>
        </is>
      </c>
      <c r="Q747" s="5" t="inlineStr">
        <is>
          <t>5</t>
        </is>
      </c>
      <c r="R747" s="5" t="inlineStr">
        <is>
          <t>4</t>
        </is>
      </c>
      <c r="S747" s="5" t="inlineStr">
        <is>
          <t>31</t>
        </is>
      </c>
      <c r="T747" s="5" t="inlineStr">
        <is>
          <t>6</t>
        </is>
      </c>
      <c r="U747" s="5">
        <f>IFS(C747&lt;30,"Under 30",C747&lt;40,"30-39",C747&lt;50,"40-49",TRUE,"50+")</f>
        <v/>
      </c>
      <c r="V747" s="5">
        <f>IFS(O747&lt;60000,"Low (&lt;60k)",O747&lt;100000,"Mid (60-100k)",TRUE,"High (100k+)")</f>
        <v/>
      </c>
      <c r="W747" s="5">
        <f>IF(M747="No","Attrited","Active")</f>
        <v/>
      </c>
    </row>
    <row r="748">
      <c r="A748" s="5" t="inlineStr">
        <is>
          <t>E00747</t>
        </is>
      </c>
      <c r="B748" s="5" t="inlineStr">
        <is>
          <t>Male</t>
        </is>
      </c>
      <c r="C748" s="6" t="inlineStr">
        <is>
          <t>36</t>
        </is>
      </c>
      <c r="D748" s="5" t="inlineStr">
        <is>
          <t>Single</t>
        </is>
      </c>
      <c r="E748" s="5" t="inlineStr">
        <is>
          <t>PhD</t>
        </is>
      </c>
      <c r="F748" s="5" t="inlineStr">
        <is>
          <t>Customer Support</t>
        </is>
      </c>
      <c r="G748" s="5" t="inlineStr">
        <is>
          <t>Support Agent</t>
        </is>
      </c>
      <c r="H748" s="5" t="inlineStr">
        <is>
          <t>2</t>
        </is>
      </c>
      <c r="I748" s="5" t="inlineStr">
        <is>
          <t>Mumbai</t>
        </is>
      </c>
      <c r="J748" s="5" t="inlineStr">
        <is>
          <t>Full-Time</t>
        </is>
      </c>
      <c r="K748" s="7" t="n">
        <v>45443</v>
      </c>
      <c r="L748" s="7" t="inlineStr"/>
      <c r="M748" s="5" t="inlineStr">
        <is>
          <t>Yes</t>
        </is>
      </c>
      <c r="N748" s="5" t="inlineStr"/>
      <c r="O748" s="8" t="inlineStr">
        <is>
          <t>51500</t>
        </is>
      </c>
      <c r="P748" s="5" t="inlineStr">
        <is>
          <t>0</t>
        </is>
      </c>
      <c r="Q748" s="5" t="inlineStr">
        <is>
          <t>4</t>
        </is>
      </c>
      <c r="R748" s="5" t="inlineStr">
        <is>
          <t>5</t>
        </is>
      </c>
      <c r="S748" s="5" t="inlineStr">
        <is>
          <t>19</t>
        </is>
      </c>
      <c r="T748" s="5" t="inlineStr">
        <is>
          <t>10</t>
        </is>
      </c>
      <c r="U748" s="5">
        <f>IFS(C748&lt;30,"Under 30",C748&lt;40,"30-39",C748&lt;50,"40-49",TRUE,"50+")</f>
        <v/>
      </c>
      <c r="V748" s="5">
        <f>IFS(O748&lt;60000,"Low (&lt;60k)",O748&lt;100000,"Mid (60-100k)",TRUE,"High (100k+)")</f>
        <v/>
      </c>
      <c r="W748" s="5">
        <f>IF(M748="No","Attrited","Active")</f>
        <v/>
      </c>
    </row>
    <row r="749">
      <c r="A749" s="5" t="inlineStr">
        <is>
          <t>E00748</t>
        </is>
      </c>
      <c r="B749" s="5" t="inlineStr">
        <is>
          <t>Male</t>
        </is>
      </c>
      <c r="C749" s="6" t="inlineStr">
        <is>
          <t>37</t>
        </is>
      </c>
      <c r="D749" s="5" t="inlineStr">
        <is>
          <t>Single</t>
        </is>
      </c>
      <c r="E749" s="5" t="inlineStr">
        <is>
          <t>Diploma</t>
        </is>
      </c>
      <c r="F749" s="5" t="inlineStr">
        <is>
          <t>Operations</t>
        </is>
      </c>
      <c r="G749" s="5" t="inlineStr">
        <is>
          <t>Operations Analyst</t>
        </is>
      </c>
      <c r="H749" s="5" t="inlineStr">
        <is>
          <t>3</t>
        </is>
      </c>
      <c r="I749" s="5" t="inlineStr">
        <is>
          <t>Hyderabad</t>
        </is>
      </c>
      <c r="J749" s="5" t="inlineStr">
        <is>
          <t>Full-Time</t>
        </is>
      </c>
      <c r="K749" s="7" t="n">
        <v>44080</v>
      </c>
      <c r="L749" s="7" t="inlineStr"/>
      <c r="M749" s="5" t="inlineStr">
        <is>
          <t>Yes</t>
        </is>
      </c>
      <c r="N749" s="5" t="inlineStr"/>
      <c r="O749" s="8" t="inlineStr">
        <is>
          <t>78500</t>
        </is>
      </c>
      <c r="P749" s="5" t="inlineStr">
        <is>
          <t>0</t>
        </is>
      </c>
      <c r="Q749" s="5" t="inlineStr">
        <is>
          <t>3</t>
        </is>
      </c>
      <c r="R749" s="5" t="inlineStr">
        <is>
          <t>6</t>
        </is>
      </c>
      <c r="S749" s="5" t="inlineStr">
        <is>
          <t>64</t>
        </is>
      </c>
      <c r="T749" s="5" t="inlineStr">
        <is>
          <t>0</t>
        </is>
      </c>
      <c r="U749" s="5">
        <f>IFS(C749&lt;30,"Under 30",C749&lt;40,"30-39",C749&lt;50,"40-49",TRUE,"50+")</f>
        <v/>
      </c>
      <c r="V749" s="5">
        <f>IFS(O749&lt;60000,"Low (&lt;60k)",O749&lt;100000,"Mid (60-100k)",TRUE,"High (100k+)")</f>
        <v/>
      </c>
      <c r="W749" s="5">
        <f>IF(M749="No","Attrited","Active")</f>
        <v/>
      </c>
    </row>
    <row r="750">
      <c r="A750" s="5" t="inlineStr">
        <is>
          <t>E00749</t>
        </is>
      </c>
      <c r="B750" s="5" t="inlineStr">
        <is>
          <t>Female</t>
        </is>
      </c>
      <c r="C750" s="6" t="inlineStr">
        <is>
          <t>32</t>
        </is>
      </c>
      <c r="D750" s="5" t="inlineStr">
        <is>
          <t>Married</t>
        </is>
      </c>
      <c r="E750" s="5" t="inlineStr">
        <is>
          <t>Bachelor</t>
        </is>
      </c>
      <c r="F750" s="5" t="inlineStr">
        <is>
          <t>Customer Support</t>
        </is>
      </c>
      <c r="G750" s="5" t="inlineStr">
        <is>
          <t>Support Agent</t>
        </is>
      </c>
      <c r="H750" s="5" t="inlineStr">
        <is>
          <t>2</t>
        </is>
      </c>
      <c r="I750" s="5" t="inlineStr">
        <is>
          <t>Delhi</t>
        </is>
      </c>
      <c r="J750" s="5" t="inlineStr">
        <is>
          <t>Full-Time</t>
        </is>
      </c>
      <c r="K750" s="7" t="n">
        <v>45006</v>
      </c>
      <c r="L750" s="7" t="inlineStr"/>
      <c r="M750" s="5" t="inlineStr">
        <is>
          <t>Yes</t>
        </is>
      </c>
      <c r="N750" s="5" t="inlineStr"/>
      <c r="O750" s="8" t="inlineStr">
        <is>
          <t>70000</t>
        </is>
      </c>
      <c r="P750" s="5" t="inlineStr">
        <is>
          <t>0</t>
        </is>
      </c>
      <c r="Q750" s="5" t="inlineStr">
        <is>
          <t>4</t>
        </is>
      </c>
      <c r="R750" s="5" t="inlineStr">
        <is>
          <t>10</t>
        </is>
      </c>
      <c r="S750" s="5" t="inlineStr">
        <is>
          <t>33</t>
        </is>
      </c>
      <c r="T750" s="5" t="inlineStr">
        <is>
          <t>3</t>
        </is>
      </c>
      <c r="U750" s="5">
        <f>IFS(C750&lt;30,"Under 30",C750&lt;40,"30-39",C750&lt;50,"40-49",TRUE,"50+")</f>
        <v/>
      </c>
      <c r="V750" s="5">
        <f>IFS(O750&lt;60000,"Low (&lt;60k)",O750&lt;100000,"Mid (60-100k)",TRUE,"High (100k+)")</f>
        <v/>
      </c>
      <c r="W750" s="5">
        <f>IF(M750="No","Attrited","Active")</f>
        <v/>
      </c>
    </row>
    <row r="751">
      <c r="A751" s="5" t="inlineStr">
        <is>
          <t>E00750</t>
        </is>
      </c>
      <c r="B751" s="5" t="inlineStr">
        <is>
          <t>Female</t>
        </is>
      </c>
      <c r="C751" s="6" t="inlineStr">
        <is>
          <t>28</t>
        </is>
      </c>
      <c r="D751" s="5" t="inlineStr">
        <is>
          <t>Married</t>
        </is>
      </c>
      <c r="E751" s="5" t="inlineStr">
        <is>
          <t>Master</t>
        </is>
      </c>
      <c r="F751" s="5" t="inlineStr">
        <is>
          <t>Finance</t>
        </is>
      </c>
      <c r="G751" s="5" t="inlineStr">
        <is>
          <t>Credit Analyst</t>
        </is>
      </c>
      <c r="H751" s="5" t="inlineStr">
        <is>
          <t>1</t>
        </is>
      </c>
      <c r="I751" s="5" t="inlineStr">
        <is>
          <t>Remote</t>
        </is>
      </c>
      <c r="J751" s="5" t="inlineStr">
        <is>
          <t>Full-Time</t>
        </is>
      </c>
      <c r="K751" s="7" t="n">
        <v>44315</v>
      </c>
      <c r="L751" s="7" t="inlineStr"/>
      <c r="M751" s="5" t="inlineStr">
        <is>
          <t>Yes</t>
        </is>
      </c>
      <c r="N751" s="5" t="inlineStr"/>
      <c r="O751" s="8" t="inlineStr">
        <is>
          <t>96500</t>
        </is>
      </c>
      <c r="P751" s="5" t="inlineStr">
        <is>
          <t>10</t>
        </is>
      </c>
      <c r="Q751" s="5" t="inlineStr">
        <is>
          <t>4</t>
        </is>
      </c>
      <c r="R751" s="5" t="inlineStr">
        <is>
          <t>4</t>
        </is>
      </c>
      <c r="S751" s="5" t="inlineStr">
        <is>
          <t>56</t>
        </is>
      </c>
      <c r="T751" s="5" t="inlineStr">
        <is>
          <t>0</t>
        </is>
      </c>
      <c r="U751" s="5">
        <f>IFS(C751&lt;30,"Under 30",C751&lt;40,"30-39",C751&lt;50,"40-49",TRUE,"50+")</f>
        <v/>
      </c>
      <c r="V751" s="5">
        <f>IFS(O751&lt;60000,"Low (&lt;60k)",O751&lt;100000,"Mid (60-100k)",TRUE,"High (100k+)")</f>
        <v/>
      </c>
      <c r="W751" s="5">
        <f>IF(M751="No","Attrited","Active")</f>
        <v/>
      </c>
    </row>
    <row r="752">
      <c r="A752" s="5" t="inlineStr">
        <is>
          <t>E00751</t>
        </is>
      </c>
      <c r="B752" s="5" t="inlineStr">
        <is>
          <t>Female</t>
        </is>
      </c>
      <c r="C752" s="6" t="inlineStr">
        <is>
          <t>38</t>
        </is>
      </c>
      <c r="D752" s="5" t="inlineStr">
        <is>
          <t>Single</t>
        </is>
      </c>
      <c r="E752" s="5" t="inlineStr">
        <is>
          <t>High School</t>
        </is>
      </c>
      <c r="F752" s="5" t="inlineStr">
        <is>
          <t>Finance</t>
        </is>
      </c>
      <c r="G752" s="5" t="inlineStr">
        <is>
          <t>Credit Analyst</t>
        </is>
      </c>
      <c r="H752" s="5" t="inlineStr">
        <is>
          <t>7</t>
        </is>
      </c>
      <c r="I752" s="5" t="inlineStr">
        <is>
          <t>Bengaluru</t>
        </is>
      </c>
      <c r="J752" s="5" t="inlineStr">
        <is>
          <t>Full-Time</t>
        </is>
      </c>
      <c r="K752" s="7" t="n">
        <v>46009</v>
      </c>
      <c r="L752" s="7" t="n">
        <v>46021</v>
      </c>
      <c r="M752" s="5" t="inlineStr">
        <is>
          <t>No</t>
        </is>
      </c>
      <c r="N752" s="5" t="inlineStr">
        <is>
          <t>Resigned</t>
        </is>
      </c>
      <c r="O752" s="8" t="inlineStr">
        <is>
          <t>156000</t>
        </is>
      </c>
      <c r="P752" s="5" t="inlineStr">
        <is>
          <t>15</t>
        </is>
      </c>
      <c r="Q752" s="5" t="inlineStr">
        <is>
          <t>3</t>
        </is>
      </c>
      <c r="R752" s="5" t="inlineStr">
        <is>
          <t>3</t>
        </is>
      </c>
      <c r="S752" s="5" t="inlineStr">
        <is>
          <t>1</t>
        </is>
      </c>
      <c r="T752" s="5" t="inlineStr">
        <is>
          <t>1</t>
        </is>
      </c>
      <c r="U752" s="5">
        <f>IFS(C752&lt;30,"Under 30",C752&lt;40,"30-39",C752&lt;50,"40-49",TRUE,"50+")</f>
        <v/>
      </c>
      <c r="V752" s="5">
        <f>IFS(O752&lt;60000,"Low (&lt;60k)",O752&lt;100000,"Mid (60-100k)",TRUE,"High (100k+)")</f>
        <v/>
      </c>
      <c r="W752" s="5">
        <f>IF(M752="No","Attrited","Active")</f>
        <v/>
      </c>
    </row>
    <row r="753">
      <c r="A753" s="5" t="inlineStr">
        <is>
          <t>E00752</t>
        </is>
      </c>
      <c r="B753" s="5" t="inlineStr">
        <is>
          <t>Female</t>
        </is>
      </c>
      <c r="C753" s="6" t="inlineStr">
        <is>
          <t>29</t>
        </is>
      </c>
      <c r="D753" s="5" t="inlineStr">
        <is>
          <t>Single</t>
        </is>
      </c>
      <c r="E753" s="5" t="inlineStr">
        <is>
          <t>Diploma</t>
        </is>
      </c>
      <c r="F753" s="5" t="inlineStr">
        <is>
          <t>Sales</t>
        </is>
      </c>
      <c r="G753" s="5" t="inlineStr">
        <is>
          <t>Sales Executive</t>
        </is>
      </c>
      <c r="H753" s="5" t="inlineStr">
        <is>
          <t>4</t>
        </is>
      </c>
      <c r="I753" s="5" t="inlineStr">
        <is>
          <t>Bengaluru</t>
        </is>
      </c>
      <c r="J753" s="5" t="inlineStr">
        <is>
          <t>Full-Time</t>
        </is>
      </c>
      <c r="K753" s="7" t="n">
        <v>44646</v>
      </c>
      <c r="L753" s="7" t="inlineStr"/>
      <c r="M753" s="5" t="inlineStr">
        <is>
          <t>Yes</t>
        </is>
      </c>
      <c r="N753" s="5" t="inlineStr"/>
      <c r="O753" s="8" t="inlineStr">
        <is>
          <t>150000</t>
        </is>
      </c>
      <c r="P753" s="5" t="inlineStr">
        <is>
          <t>10</t>
        </is>
      </c>
      <c r="Q753" s="5" t="inlineStr">
        <is>
          <t>4</t>
        </is>
      </c>
      <c r="R753" s="5" t="inlineStr">
        <is>
          <t>6</t>
        </is>
      </c>
      <c r="S753" s="5" t="inlineStr">
        <is>
          <t>45</t>
        </is>
      </c>
      <c r="T753" s="5" t="inlineStr">
        <is>
          <t>0</t>
        </is>
      </c>
      <c r="U753" s="5">
        <f>IFS(C753&lt;30,"Under 30",C753&lt;40,"30-39",C753&lt;50,"40-49",TRUE,"50+")</f>
        <v/>
      </c>
      <c r="V753" s="5">
        <f>IFS(O753&lt;60000,"Low (&lt;60k)",O753&lt;100000,"Mid (60-100k)",TRUE,"High (100k+)")</f>
        <v/>
      </c>
      <c r="W753" s="5">
        <f>IF(M753="No","Attrited","Active")</f>
        <v/>
      </c>
    </row>
    <row r="754">
      <c r="A754" s="5" t="inlineStr">
        <is>
          <t>E00753</t>
        </is>
      </c>
      <c r="B754" s="5" t="inlineStr">
        <is>
          <t>Female</t>
        </is>
      </c>
      <c r="C754" s="6" t="inlineStr">
        <is>
          <t>36</t>
        </is>
      </c>
      <c r="D754" s="5" t="inlineStr">
        <is>
          <t>Married</t>
        </is>
      </c>
      <c r="E754" s="5" t="inlineStr">
        <is>
          <t>PhD</t>
        </is>
      </c>
      <c r="F754" s="5" t="inlineStr">
        <is>
          <t>Research &amp; Development</t>
        </is>
      </c>
      <c r="G754" s="5" t="inlineStr">
        <is>
          <t>Data Scientist</t>
        </is>
      </c>
      <c r="H754" s="5" t="inlineStr">
        <is>
          <t>2</t>
        </is>
      </c>
      <c r="I754" s="5" t="inlineStr">
        <is>
          <t>Remote</t>
        </is>
      </c>
      <c r="J754" s="5" t="inlineStr">
        <is>
          <t>Full-Time</t>
        </is>
      </c>
      <c r="K754" s="7" t="n">
        <v>44764</v>
      </c>
      <c r="L754" s="7" t="inlineStr"/>
      <c r="M754" s="5" t="inlineStr">
        <is>
          <t>Yes</t>
        </is>
      </c>
      <c r="N754" s="5" t="inlineStr"/>
      <c r="O754" s="8" t="inlineStr">
        <is>
          <t>153500</t>
        </is>
      </c>
      <c r="P754" s="5" t="inlineStr">
        <is>
          <t>0</t>
        </is>
      </c>
      <c r="Q754" s="5" t="inlineStr">
        <is>
          <t>3</t>
        </is>
      </c>
      <c r="R754" s="5" t="inlineStr">
        <is>
          <t>7</t>
        </is>
      </c>
      <c r="S754" s="5" t="inlineStr">
        <is>
          <t>41</t>
        </is>
      </c>
      <c r="T754" s="5" t="inlineStr">
        <is>
          <t>9</t>
        </is>
      </c>
      <c r="U754" s="5">
        <f>IFS(C754&lt;30,"Under 30",C754&lt;40,"30-39",C754&lt;50,"40-49",TRUE,"50+")</f>
        <v/>
      </c>
      <c r="V754" s="5">
        <f>IFS(O754&lt;60000,"Low (&lt;60k)",O754&lt;100000,"Mid (60-100k)",TRUE,"High (100k+)")</f>
        <v/>
      </c>
      <c r="W754" s="5">
        <f>IF(M754="No","Attrited","Active")</f>
        <v/>
      </c>
    </row>
    <row r="755">
      <c r="A755" s="5" t="inlineStr">
        <is>
          <t>E00754</t>
        </is>
      </c>
      <c r="B755" s="5" t="inlineStr">
        <is>
          <t>Female</t>
        </is>
      </c>
      <c r="C755" s="6" t="inlineStr">
        <is>
          <t>25</t>
        </is>
      </c>
      <c r="D755" s="5" t="inlineStr">
        <is>
          <t>Married</t>
        </is>
      </c>
      <c r="E755" s="5" t="inlineStr">
        <is>
          <t>High School</t>
        </is>
      </c>
      <c r="F755" s="5" t="inlineStr">
        <is>
          <t>Human Resources</t>
        </is>
      </c>
      <c r="G755" s="5" t="inlineStr">
        <is>
          <t>Recruiter</t>
        </is>
      </c>
      <c r="H755" s="5" t="inlineStr">
        <is>
          <t>2</t>
        </is>
      </c>
      <c r="I755" s="5" t="inlineStr">
        <is>
          <t>Hyderabad</t>
        </is>
      </c>
      <c r="J755" s="5" t="inlineStr">
        <is>
          <t>Full-Time</t>
        </is>
      </c>
      <c r="K755" s="7" t="n">
        <v>45282</v>
      </c>
      <c r="L755" s="7" t="inlineStr"/>
      <c r="M755" s="5" t="inlineStr">
        <is>
          <t>Yes</t>
        </is>
      </c>
      <c r="N755" s="5" t="inlineStr"/>
      <c r="O755" s="8" t="inlineStr">
        <is>
          <t>82000</t>
        </is>
      </c>
      <c r="P755" s="5" t="inlineStr">
        <is>
          <t>15</t>
        </is>
      </c>
      <c r="Q755" s="5" t="inlineStr">
        <is>
          <t>3</t>
        </is>
      </c>
      <c r="R755" s="5" t="inlineStr">
        <is>
          <t>7</t>
        </is>
      </c>
      <c r="S755" s="5" t="inlineStr">
        <is>
          <t>24</t>
        </is>
      </c>
      <c r="T755" s="5" t="inlineStr">
        <is>
          <t>0</t>
        </is>
      </c>
      <c r="U755" s="5">
        <f>IFS(C755&lt;30,"Under 30",C755&lt;40,"30-39",C755&lt;50,"40-49",TRUE,"50+")</f>
        <v/>
      </c>
      <c r="V755" s="5">
        <f>IFS(O755&lt;60000,"Low (&lt;60k)",O755&lt;100000,"Mid (60-100k)",TRUE,"High (100k+)")</f>
        <v/>
      </c>
      <c r="W755" s="5">
        <f>IF(M755="No","Attrited","Active")</f>
        <v/>
      </c>
    </row>
    <row r="756">
      <c r="A756" s="5" t="inlineStr">
        <is>
          <t>E00755</t>
        </is>
      </c>
      <c r="B756" s="5" t="inlineStr">
        <is>
          <t>Male</t>
        </is>
      </c>
      <c r="C756" s="6" t="inlineStr">
        <is>
          <t>36</t>
        </is>
      </c>
      <c r="D756" s="5" t="inlineStr">
        <is>
          <t>Divorced</t>
        </is>
      </c>
      <c r="E756" s="5" t="inlineStr">
        <is>
          <t>Master</t>
        </is>
      </c>
      <c r="F756" s="5" t="inlineStr">
        <is>
          <t>IT</t>
        </is>
      </c>
      <c r="G756" s="5" t="inlineStr">
        <is>
          <t>Data Analyst</t>
        </is>
      </c>
      <c r="H756" s="5" t="inlineStr">
        <is>
          <t>2</t>
        </is>
      </c>
      <c r="I756" s="5" t="inlineStr">
        <is>
          <t>Remote</t>
        </is>
      </c>
      <c r="J756" s="5" t="inlineStr">
        <is>
          <t>Full-Time</t>
        </is>
      </c>
      <c r="K756" s="7" t="n">
        <v>45720</v>
      </c>
      <c r="L756" s="7" t="inlineStr"/>
      <c r="M756" s="5" t="inlineStr">
        <is>
          <t>Yes</t>
        </is>
      </c>
      <c r="N756" s="5" t="inlineStr"/>
      <c r="O756" s="8" t="inlineStr">
        <is>
          <t>99000</t>
        </is>
      </c>
      <c r="P756" s="5" t="inlineStr">
        <is>
          <t>10</t>
        </is>
      </c>
      <c r="Q756" s="5" t="inlineStr">
        <is>
          <t>3</t>
        </is>
      </c>
      <c r="R756" s="5" t="inlineStr">
        <is>
          <t>6</t>
        </is>
      </c>
      <c r="S756" s="5" t="inlineStr">
        <is>
          <t>10</t>
        </is>
      </c>
      <c r="T756" s="5" t="inlineStr">
        <is>
          <t>8</t>
        </is>
      </c>
      <c r="U756" s="5">
        <f>IFS(C756&lt;30,"Under 30",C756&lt;40,"30-39",C756&lt;50,"40-49",TRUE,"50+")</f>
        <v/>
      </c>
      <c r="V756" s="5">
        <f>IFS(O756&lt;60000,"Low (&lt;60k)",O756&lt;100000,"Mid (60-100k)",TRUE,"High (100k+)")</f>
        <v/>
      </c>
      <c r="W756" s="5">
        <f>IF(M756="No","Attrited","Active")</f>
        <v/>
      </c>
    </row>
    <row r="757">
      <c r="A757" s="5" t="inlineStr">
        <is>
          <t>E00756</t>
        </is>
      </c>
      <c r="B757" s="5" t="inlineStr">
        <is>
          <t>Female</t>
        </is>
      </c>
      <c r="C757" s="6" t="inlineStr">
        <is>
          <t>33</t>
        </is>
      </c>
      <c r="D757" s="5" t="inlineStr">
        <is>
          <t>Single</t>
        </is>
      </c>
      <c r="E757" s="5" t="inlineStr">
        <is>
          <t>High School</t>
        </is>
      </c>
      <c r="F757" s="5" t="inlineStr">
        <is>
          <t>Human Resources</t>
        </is>
      </c>
      <c r="G757" s="5" t="inlineStr">
        <is>
          <t>HR Generalist</t>
        </is>
      </c>
      <c r="H757" s="5" t="inlineStr">
        <is>
          <t>2</t>
        </is>
      </c>
      <c r="I757" s="5" t="inlineStr">
        <is>
          <t>Bengaluru</t>
        </is>
      </c>
      <c r="J757" s="5" t="inlineStr">
        <is>
          <t>Full-Time</t>
        </is>
      </c>
      <c r="K757" s="7" t="n">
        <v>44338</v>
      </c>
      <c r="L757" s="7" t="inlineStr"/>
      <c r="M757" s="5" t="inlineStr">
        <is>
          <t>Yes</t>
        </is>
      </c>
      <c r="N757" s="5" t="inlineStr"/>
      <c r="O757" s="8" t="inlineStr">
        <is>
          <t>96500</t>
        </is>
      </c>
      <c r="P757" s="5" t="inlineStr">
        <is>
          <t>10</t>
        </is>
      </c>
      <c r="Q757" s="5" t="inlineStr">
        <is>
          <t>4</t>
        </is>
      </c>
      <c r="R757" s="5" t="inlineStr">
        <is>
          <t>8</t>
        </is>
      </c>
      <c r="S757" s="5" t="inlineStr">
        <is>
          <t>56</t>
        </is>
      </c>
      <c r="T757" s="5" t="inlineStr">
        <is>
          <t>9</t>
        </is>
      </c>
      <c r="U757" s="5">
        <f>IFS(C757&lt;30,"Under 30",C757&lt;40,"30-39",C757&lt;50,"40-49",TRUE,"50+")</f>
        <v/>
      </c>
      <c r="V757" s="5">
        <f>IFS(O757&lt;60000,"Low (&lt;60k)",O757&lt;100000,"Mid (60-100k)",TRUE,"High (100k+)")</f>
        <v/>
      </c>
      <c r="W757" s="5">
        <f>IF(M757="No","Attrited","Active")</f>
        <v/>
      </c>
    </row>
    <row r="758">
      <c r="A758" s="5" t="inlineStr">
        <is>
          <t>E00757</t>
        </is>
      </c>
      <c r="B758" s="5" t="inlineStr">
        <is>
          <t>Female</t>
        </is>
      </c>
      <c r="C758" s="6" t="inlineStr">
        <is>
          <t>33</t>
        </is>
      </c>
      <c r="D758" s="5" t="inlineStr">
        <is>
          <t>Married</t>
        </is>
      </c>
      <c r="E758" s="5" t="inlineStr">
        <is>
          <t>Master</t>
        </is>
      </c>
      <c r="F758" s="5" t="inlineStr">
        <is>
          <t>Finance</t>
        </is>
      </c>
      <c r="G758" s="5" t="inlineStr">
        <is>
          <t>Financial Analyst</t>
        </is>
      </c>
      <c r="H758" s="5" t="inlineStr">
        <is>
          <t>5</t>
        </is>
      </c>
      <c r="I758" s="5" t="inlineStr">
        <is>
          <t>Bengaluru</t>
        </is>
      </c>
      <c r="J758" s="5" t="inlineStr">
        <is>
          <t>Full-Time</t>
        </is>
      </c>
      <c r="K758" s="7" t="n">
        <v>45587</v>
      </c>
      <c r="L758" s="7" t="inlineStr"/>
      <c r="M758" s="5" t="inlineStr">
        <is>
          <t>Yes</t>
        </is>
      </c>
      <c r="N758" s="5" t="inlineStr"/>
      <c r="O758" s="8" t="inlineStr">
        <is>
          <t>149000</t>
        </is>
      </c>
      <c r="P758" s="5" t="inlineStr">
        <is>
          <t>5</t>
        </is>
      </c>
      <c r="Q758" s="5" t="inlineStr">
        <is>
          <t>2</t>
        </is>
      </c>
      <c r="R758" s="5" t="inlineStr">
        <is>
          <t>6</t>
        </is>
      </c>
      <c r="S758" s="5" t="inlineStr">
        <is>
          <t>14</t>
        </is>
      </c>
      <c r="T758" s="5" t="inlineStr">
        <is>
          <t>7</t>
        </is>
      </c>
      <c r="U758" s="5">
        <f>IFS(C758&lt;30,"Under 30",C758&lt;40,"30-39",C758&lt;50,"40-49",TRUE,"50+")</f>
        <v/>
      </c>
      <c r="V758" s="5">
        <f>IFS(O758&lt;60000,"Low (&lt;60k)",O758&lt;100000,"Mid (60-100k)",TRUE,"High (100k+)")</f>
        <v/>
      </c>
      <c r="W758" s="5">
        <f>IF(M758="No","Attrited","Active")</f>
        <v/>
      </c>
    </row>
    <row r="759">
      <c r="A759" s="5" t="inlineStr">
        <is>
          <t>E00758</t>
        </is>
      </c>
      <c r="B759" s="5" t="inlineStr">
        <is>
          <t>Male</t>
        </is>
      </c>
      <c r="C759" s="6" t="inlineStr">
        <is>
          <t>33</t>
        </is>
      </c>
      <c r="D759" s="5" t="inlineStr">
        <is>
          <t>Single</t>
        </is>
      </c>
      <c r="E759" s="5" t="inlineStr">
        <is>
          <t>PhD</t>
        </is>
      </c>
      <c r="F759" s="5" t="inlineStr">
        <is>
          <t>Sales</t>
        </is>
      </c>
      <c r="G759" s="5" t="inlineStr">
        <is>
          <t>Sales Executive</t>
        </is>
      </c>
      <c r="H759" s="5" t="inlineStr">
        <is>
          <t>3</t>
        </is>
      </c>
      <c r="I759" s="5" t="inlineStr">
        <is>
          <t>Mumbai</t>
        </is>
      </c>
      <c r="J759" s="5" t="inlineStr">
        <is>
          <t>Full-Time</t>
        </is>
      </c>
      <c r="K759" s="7" t="n">
        <v>45204</v>
      </c>
      <c r="L759" s="7" t="inlineStr"/>
      <c r="M759" s="5" t="inlineStr">
        <is>
          <t>Yes</t>
        </is>
      </c>
      <c r="N759" s="5" t="inlineStr"/>
      <c r="O759" s="8" t="inlineStr">
        <is>
          <t>116000</t>
        </is>
      </c>
      <c r="P759" s="5" t="inlineStr">
        <is>
          <t>5</t>
        </is>
      </c>
      <c r="Q759" s="5" t="inlineStr">
        <is>
          <t>4</t>
        </is>
      </c>
      <c r="R759" s="5" t="inlineStr">
        <is>
          <t>5</t>
        </is>
      </c>
      <c r="S759" s="5" t="inlineStr">
        <is>
          <t>27</t>
        </is>
      </c>
      <c r="T759" s="5" t="inlineStr">
        <is>
          <t>10</t>
        </is>
      </c>
      <c r="U759" s="5">
        <f>IFS(C759&lt;30,"Under 30",C759&lt;40,"30-39",C759&lt;50,"40-49",TRUE,"50+")</f>
        <v/>
      </c>
      <c r="V759" s="5">
        <f>IFS(O759&lt;60000,"Low (&lt;60k)",O759&lt;100000,"Mid (60-100k)",TRUE,"High (100k+)")</f>
        <v/>
      </c>
      <c r="W759" s="5">
        <f>IF(M759="No","Attrited","Active")</f>
        <v/>
      </c>
    </row>
    <row r="760">
      <c r="A760" s="5" t="inlineStr">
        <is>
          <t>E00759</t>
        </is>
      </c>
      <c r="B760" s="5" t="inlineStr">
        <is>
          <t>Female</t>
        </is>
      </c>
      <c r="C760" s="6" t="inlineStr">
        <is>
          <t>31</t>
        </is>
      </c>
      <c r="D760" s="5" t="inlineStr">
        <is>
          <t>Married</t>
        </is>
      </c>
      <c r="E760" s="5" t="inlineStr">
        <is>
          <t>PhD</t>
        </is>
      </c>
      <c r="F760" s="5" t="inlineStr">
        <is>
          <t>IT</t>
        </is>
      </c>
      <c r="G760" s="5" t="inlineStr">
        <is>
          <t>Software Engineer</t>
        </is>
      </c>
      <c r="H760" s="5" t="inlineStr">
        <is>
          <t>1</t>
        </is>
      </c>
      <c r="I760" s="5" t="inlineStr">
        <is>
          <t>Hyderabad</t>
        </is>
      </c>
      <c r="J760" s="5" t="inlineStr">
        <is>
          <t>Full-Time</t>
        </is>
      </c>
      <c r="K760" s="7" t="n">
        <v>45871</v>
      </c>
      <c r="L760" s="7" t="inlineStr"/>
      <c r="M760" s="5" t="inlineStr">
        <is>
          <t>Yes</t>
        </is>
      </c>
      <c r="N760" s="5" t="inlineStr"/>
      <c r="O760" s="8" t="inlineStr">
        <is>
          <t>109000</t>
        </is>
      </c>
      <c r="P760" s="5" t="inlineStr">
        <is>
          <t>10</t>
        </is>
      </c>
      <c r="Q760" s="5" t="inlineStr">
        <is>
          <t>5</t>
        </is>
      </c>
      <c r="R760" s="5" t="inlineStr">
        <is>
          <t>4</t>
        </is>
      </c>
      <c r="S760" s="5" t="inlineStr">
        <is>
          <t>5</t>
        </is>
      </c>
      <c r="T760" s="5" t="inlineStr">
        <is>
          <t>6</t>
        </is>
      </c>
      <c r="U760" s="5">
        <f>IFS(C760&lt;30,"Under 30",C760&lt;40,"30-39",C760&lt;50,"40-49",TRUE,"50+")</f>
        <v/>
      </c>
      <c r="V760" s="5">
        <f>IFS(O760&lt;60000,"Low (&lt;60k)",O760&lt;100000,"Mid (60-100k)",TRUE,"High (100k+)")</f>
        <v/>
      </c>
      <c r="W760" s="5">
        <f>IF(M760="No","Attrited","Active")</f>
        <v/>
      </c>
    </row>
    <row r="761">
      <c r="A761" s="5" t="inlineStr">
        <is>
          <t>E00760</t>
        </is>
      </c>
      <c r="B761" s="5" t="inlineStr">
        <is>
          <t>Male</t>
        </is>
      </c>
      <c r="C761" s="6" t="inlineStr">
        <is>
          <t>41</t>
        </is>
      </c>
      <c r="D761" s="5" t="inlineStr">
        <is>
          <t>Single</t>
        </is>
      </c>
      <c r="E761" s="5" t="inlineStr">
        <is>
          <t>Master</t>
        </is>
      </c>
      <c r="F761" s="5" t="inlineStr">
        <is>
          <t>Sales</t>
        </is>
      </c>
      <c r="G761" s="5" t="inlineStr">
        <is>
          <t>Sales Executive</t>
        </is>
      </c>
      <c r="H761" s="5" t="inlineStr">
        <is>
          <t>5</t>
        </is>
      </c>
      <c r="I761" s="5" t="inlineStr">
        <is>
          <t>Delhi</t>
        </is>
      </c>
      <c r="J761" s="5" t="inlineStr">
        <is>
          <t>Full-Time</t>
        </is>
      </c>
      <c r="K761" s="7" t="n">
        <v>45228</v>
      </c>
      <c r="L761" s="7" t="inlineStr"/>
      <c r="M761" s="5" t="inlineStr">
        <is>
          <t>Yes</t>
        </is>
      </c>
      <c r="N761" s="5" t="inlineStr"/>
      <c r="O761" s="8" t="inlineStr">
        <is>
          <t>117500</t>
        </is>
      </c>
      <c r="P761" s="5" t="inlineStr">
        <is>
          <t>15</t>
        </is>
      </c>
      <c r="Q761" s="5" t="inlineStr">
        <is>
          <t>2</t>
        </is>
      </c>
      <c r="R761" s="5" t="inlineStr">
        <is>
          <t>5</t>
        </is>
      </c>
      <c r="S761" s="5" t="inlineStr">
        <is>
          <t>26</t>
        </is>
      </c>
      <c r="T761" s="5" t="inlineStr">
        <is>
          <t>10</t>
        </is>
      </c>
      <c r="U761" s="5">
        <f>IFS(C761&lt;30,"Under 30",C761&lt;40,"30-39",C761&lt;50,"40-49",TRUE,"50+")</f>
        <v/>
      </c>
      <c r="V761" s="5">
        <f>IFS(O761&lt;60000,"Low (&lt;60k)",O761&lt;100000,"Mid (60-100k)",TRUE,"High (100k+)")</f>
        <v/>
      </c>
      <c r="W761" s="5">
        <f>IF(M761="No","Attrited","Active")</f>
        <v/>
      </c>
    </row>
    <row r="762">
      <c r="A762" s="5" t="inlineStr">
        <is>
          <t>E00761</t>
        </is>
      </c>
      <c r="B762" s="5" t="inlineStr">
        <is>
          <t>Male</t>
        </is>
      </c>
      <c r="C762" s="6" t="inlineStr">
        <is>
          <t>28</t>
        </is>
      </c>
      <c r="D762" s="5" t="inlineStr">
        <is>
          <t>Married</t>
        </is>
      </c>
      <c r="E762" s="5" t="inlineStr">
        <is>
          <t>PhD</t>
        </is>
      </c>
      <c r="F762" s="5" t="inlineStr">
        <is>
          <t>Operations</t>
        </is>
      </c>
      <c r="G762" s="5" t="inlineStr">
        <is>
          <t>Logistics Coordinator</t>
        </is>
      </c>
      <c r="H762" s="5" t="inlineStr">
        <is>
          <t>1</t>
        </is>
      </c>
      <c r="I762" s="5" t="inlineStr">
        <is>
          <t>Mumbai</t>
        </is>
      </c>
      <c r="J762" s="5" t="inlineStr">
        <is>
          <t>Full-Time</t>
        </is>
      </c>
      <c r="K762" s="7" t="n">
        <v>45453</v>
      </c>
      <c r="L762" s="7" t="inlineStr"/>
      <c r="M762" s="5" t="inlineStr">
        <is>
          <t>Yes</t>
        </is>
      </c>
      <c r="N762" s="5" t="inlineStr"/>
      <c r="O762" s="8" t="inlineStr">
        <is>
          <t>59500</t>
        </is>
      </c>
      <c r="P762" s="5" t="inlineStr">
        <is>
          <t>0</t>
        </is>
      </c>
      <c r="Q762" s="5" t="inlineStr">
        <is>
          <t>3</t>
        </is>
      </c>
      <c r="R762" s="5" t="inlineStr">
        <is>
          <t>3</t>
        </is>
      </c>
      <c r="S762" s="5" t="inlineStr">
        <is>
          <t>18</t>
        </is>
      </c>
      <c r="T762" s="5" t="inlineStr">
        <is>
          <t>0</t>
        </is>
      </c>
      <c r="U762" s="5">
        <f>IFS(C762&lt;30,"Under 30",C762&lt;40,"30-39",C762&lt;50,"40-49",TRUE,"50+")</f>
        <v/>
      </c>
      <c r="V762" s="5">
        <f>IFS(O762&lt;60000,"Low (&lt;60k)",O762&lt;100000,"Mid (60-100k)",TRUE,"High (100k+)")</f>
        <v/>
      </c>
      <c r="W762" s="5">
        <f>IF(M762="No","Attrited","Active")</f>
        <v/>
      </c>
    </row>
    <row r="763">
      <c r="A763" s="5" t="inlineStr">
        <is>
          <t>E00762</t>
        </is>
      </c>
      <c r="B763" s="5" t="inlineStr">
        <is>
          <t>Male</t>
        </is>
      </c>
      <c r="C763" s="6" t="inlineStr">
        <is>
          <t>30</t>
        </is>
      </c>
      <c r="D763" s="5" t="inlineStr">
        <is>
          <t>Divorced</t>
        </is>
      </c>
      <c r="E763" s="5" t="inlineStr">
        <is>
          <t>High School</t>
        </is>
      </c>
      <c r="F763" s="5" t="inlineStr">
        <is>
          <t>Finance</t>
        </is>
      </c>
      <c r="G763" s="5" t="inlineStr">
        <is>
          <t>Credit Analyst</t>
        </is>
      </c>
      <c r="H763" s="5" t="inlineStr">
        <is>
          <t>3</t>
        </is>
      </c>
      <c r="I763" s="5" t="inlineStr">
        <is>
          <t>Bengaluru</t>
        </is>
      </c>
      <c r="J763" s="5" t="inlineStr">
        <is>
          <t>Full-Time</t>
        </is>
      </c>
      <c r="K763" s="7" t="n">
        <v>44704</v>
      </c>
      <c r="L763" s="7" t="inlineStr"/>
      <c r="M763" s="5" t="inlineStr">
        <is>
          <t>Yes</t>
        </is>
      </c>
      <c r="N763" s="5" t="inlineStr"/>
      <c r="O763" s="8" t="inlineStr">
        <is>
          <t>108000</t>
        </is>
      </c>
      <c r="P763" s="5" t="inlineStr">
        <is>
          <t>20</t>
        </is>
      </c>
      <c r="Q763" s="5" t="inlineStr">
        <is>
          <t>3</t>
        </is>
      </c>
      <c r="R763" s="5" t="inlineStr">
        <is>
          <t>4</t>
        </is>
      </c>
      <c r="S763" s="5" t="inlineStr">
        <is>
          <t>43</t>
        </is>
      </c>
      <c r="T763" s="5" t="inlineStr">
        <is>
          <t>4</t>
        </is>
      </c>
      <c r="U763" s="5">
        <f>IFS(C763&lt;30,"Under 30",C763&lt;40,"30-39",C763&lt;50,"40-49",TRUE,"50+")</f>
        <v/>
      </c>
      <c r="V763" s="5">
        <f>IFS(O763&lt;60000,"Low (&lt;60k)",O763&lt;100000,"Mid (60-100k)",TRUE,"High (100k+)")</f>
        <v/>
      </c>
      <c r="W763" s="5">
        <f>IF(M763="No","Attrited","Active")</f>
        <v/>
      </c>
    </row>
    <row r="764">
      <c r="A764" s="5" t="inlineStr">
        <is>
          <t>E00763</t>
        </is>
      </c>
      <c r="B764" s="5" t="inlineStr">
        <is>
          <t>Female</t>
        </is>
      </c>
      <c r="C764" s="6" t="inlineStr">
        <is>
          <t>34</t>
        </is>
      </c>
      <c r="D764" s="5" t="inlineStr">
        <is>
          <t>Single</t>
        </is>
      </c>
      <c r="E764" s="5" t="inlineStr">
        <is>
          <t>Diploma</t>
        </is>
      </c>
      <c r="F764" s="5" t="inlineStr">
        <is>
          <t>Operations</t>
        </is>
      </c>
      <c r="G764" s="5" t="inlineStr">
        <is>
          <t>Logistics Coordinator</t>
        </is>
      </c>
      <c r="H764" s="5" t="inlineStr">
        <is>
          <t>2</t>
        </is>
      </c>
      <c r="I764" s="5" t="inlineStr">
        <is>
          <t>Chennai</t>
        </is>
      </c>
      <c r="J764" s="5" t="inlineStr">
        <is>
          <t>Full-Time</t>
        </is>
      </c>
      <c r="K764" s="7" t="n">
        <v>44627</v>
      </c>
      <c r="L764" s="7" t="inlineStr"/>
      <c r="M764" s="5" t="inlineStr">
        <is>
          <t>Yes</t>
        </is>
      </c>
      <c r="N764" s="5" t="inlineStr"/>
      <c r="O764" s="8" t="inlineStr">
        <is>
          <t>80000</t>
        </is>
      </c>
      <c r="P764" s="5" t="inlineStr">
        <is>
          <t>0</t>
        </is>
      </c>
      <c r="Q764" s="5" t="inlineStr">
        <is>
          <t>3</t>
        </is>
      </c>
      <c r="R764" s="5" t="inlineStr">
        <is>
          <t>3</t>
        </is>
      </c>
      <c r="S764" s="5" t="inlineStr">
        <is>
          <t>46</t>
        </is>
      </c>
      <c r="T764" s="5" t="inlineStr">
        <is>
          <t>11</t>
        </is>
      </c>
      <c r="U764" s="5">
        <f>IFS(C764&lt;30,"Under 30",C764&lt;40,"30-39",C764&lt;50,"40-49",TRUE,"50+")</f>
        <v/>
      </c>
      <c r="V764" s="5">
        <f>IFS(O764&lt;60000,"Low (&lt;60k)",O764&lt;100000,"Mid (60-100k)",TRUE,"High (100k+)")</f>
        <v/>
      </c>
      <c r="W764" s="5">
        <f>IF(M764="No","Attrited","Active")</f>
        <v/>
      </c>
    </row>
    <row r="765">
      <c r="A765" s="5" t="inlineStr">
        <is>
          <t>E00764</t>
        </is>
      </c>
      <c r="B765" s="5" t="inlineStr">
        <is>
          <t>Male</t>
        </is>
      </c>
      <c r="C765" s="6" t="inlineStr">
        <is>
          <t>24</t>
        </is>
      </c>
      <c r="D765" s="5" t="inlineStr">
        <is>
          <t>Married</t>
        </is>
      </c>
      <c r="E765" s="5" t="inlineStr">
        <is>
          <t>High School</t>
        </is>
      </c>
      <c r="F765" s="5" t="inlineStr">
        <is>
          <t>Marketing</t>
        </is>
      </c>
      <c r="G765" s="5" t="inlineStr">
        <is>
          <t>Content Writer</t>
        </is>
      </c>
      <c r="H765" s="5" t="inlineStr">
        <is>
          <t>1</t>
        </is>
      </c>
      <c r="I765" s="5" t="inlineStr">
        <is>
          <t>Mumbai</t>
        </is>
      </c>
      <c r="J765" s="5" t="inlineStr">
        <is>
          <t>Part-Time</t>
        </is>
      </c>
      <c r="K765" s="7" t="n">
        <v>45645</v>
      </c>
      <c r="L765" s="7" t="inlineStr"/>
      <c r="M765" s="5" t="inlineStr">
        <is>
          <t>Yes</t>
        </is>
      </c>
      <c r="N765" s="5" t="inlineStr"/>
      <c r="O765" s="8" t="inlineStr">
        <is>
          <t>54500</t>
        </is>
      </c>
      <c r="P765" s="5" t="inlineStr">
        <is>
          <t>5</t>
        </is>
      </c>
      <c r="Q765" s="5" t="inlineStr">
        <is>
          <t>3</t>
        </is>
      </c>
      <c r="R765" s="5" t="inlineStr">
        <is>
          <t>8</t>
        </is>
      </c>
      <c r="S765" s="5" t="inlineStr">
        <is>
          <t>12</t>
        </is>
      </c>
      <c r="T765" s="5" t="inlineStr">
        <is>
          <t>0</t>
        </is>
      </c>
      <c r="U765" s="5">
        <f>IFS(C765&lt;30,"Under 30",C765&lt;40,"30-39",C765&lt;50,"40-49",TRUE,"50+")</f>
        <v/>
      </c>
      <c r="V765" s="5">
        <f>IFS(O765&lt;60000,"Low (&lt;60k)",O765&lt;100000,"Mid (60-100k)",TRUE,"High (100k+)")</f>
        <v/>
      </c>
      <c r="W765" s="5">
        <f>IF(M765="No","Attrited","Active")</f>
        <v/>
      </c>
    </row>
    <row r="766">
      <c r="A766" s="5" t="inlineStr">
        <is>
          <t>E00765</t>
        </is>
      </c>
      <c r="B766" s="5" t="inlineStr">
        <is>
          <t>Male</t>
        </is>
      </c>
      <c r="C766" s="6" t="inlineStr">
        <is>
          <t>26</t>
        </is>
      </c>
      <c r="D766" s="5" t="inlineStr">
        <is>
          <t>Married</t>
        </is>
      </c>
      <c r="E766" s="5" t="inlineStr">
        <is>
          <t>Master</t>
        </is>
      </c>
      <c r="F766" s="5" t="inlineStr">
        <is>
          <t>Customer Support</t>
        </is>
      </c>
      <c r="G766" s="5" t="inlineStr">
        <is>
          <t>Support Agent</t>
        </is>
      </c>
      <c r="H766" s="5" t="inlineStr">
        <is>
          <t>2</t>
        </is>
      </c>
      <c r="I766" s="5" t="inlineStr">
        <is>
          <t>Hyderabad</t>
        </is>
      </c>
      <c r="J766" s="5" t="inlineStr">
        <is>
          <t>Full-Time</t>
        </is>
      </c>
      <c r="K766" s="7" t="n">
        <v>45905</v>
      </c>
      <c r="L766" s="7" t="inlineStr"/>
      <c r="M766" s="5" t="inlineStr">
        <is>
          <t>Yes</t>
        </is>
      </c>
      <c r="N766" s="5" t="inlineStr"/>
      <c r="O766" s="8" t="inlineStr">
        <is>
          <t>84000</t>
        </is>
      </c>
      <c r="P766" s="5" t="inlineStr">
        <is>
          <t>5</t>
        </is>
      </c>
      <c r="Q766" s="5" t="inlineStr">
        <is>
          <t>3</t>
        </is>
      </c>
      <c r="R766" s="5" t="inlineStr">
        <is>
          <t>7</t>
        </is>
      </c>
      <c r="S766" s="5" t="inlineStr">
        <is>
          <t>3</t>
        </is>
      </c>
      <c r="T766" s="5" t="inlineStr">
        <is>
          <t>11</t>
        </is>
      </c>
      <c r="U766" s="5">
        <f>IFS(C766&lt;30,"Under 30",C766&lt;40,"30-39",C766&lt;50,"40-49",TRUE,"50+")</f>
        <v/>
      </c>
      <c r="V766" s="5">
        <f>IFS(O766&lt;60000,"Low (&lt;60k)",O766&lt;100000,"Mid (60-100k)",TRUE,"High (100k+)")</f>
        <v/>
      </c>
      <c r="W766" s="5">
        <f>IF(M766="No","Attrited","Active")</f>
        <v/>
      </c>
    </row>
    <row r="767">
      <c r="A767" s="5" t="inlineStr">
        <is>
          <t>E00766</t>
        </is>
      </c>
      <c r="B767" s="5" t="inlineStr">
        <is>
          <t>Male</t>
        </is>
      </c>
      <c r="C767" s="6" t="inlineStr">
        <is>
          <t>30</t>
        </is>
      </c>
      <c r="D767" s="5" t="inlineStr">
        <is>
          <t>Married</t>
        </is>
      </c>
      <c r="E767" s="5" t="inlineStr">
        <is>
          <t>PhD</t>
        </is>
      </c>
      <c r="F767" s="5" t="inlineStr">
        <is>
          <t>IT</t>
        </is>
      </c>
      <c r="G767" s="5" t="inlineStr">
        <is>
          <t>IT Support</t>
        </is>
      </c>
      <c r="H767" s="5" t="inlineStr">
        <is>
          <t>3</t>
        </is>
      </c>
      <c r="I767" s="5" t="inlineStr">
        <is>
          <t>Delhi</t>
        </is>
      </c>
      <c r="J767" s="5" t="inlineStr">
        <is>
          <t>Full-Time</t>
        </is>
      </c>
      <c r="K767" s="7" t="n">
        <v>44653</v>
      </c>
      <c r="L767" s="7" t="inlineStr"/>
      <c r="M767" s="5" t="inlineStr">
        <is>
          <t>Yes</t>
        </is>
      </c>
      <c r="N767" s="5" t="inlineStr"/>
      <c r="O767" s="8" t="inlineStr">
        <is>
          <t>145500</t>
        </is>
      </c>
      <c r="P767" s="5" t="inlineStr">
        <is>
          <t>10</t>
        </is>
      </c>
      <c r="Q767" s="5" t="inlineStr">
        <is>
          <t>3</t>
        </is>
      </c>
      <c r="R767" s="5" t="inlineStr">
        <is>
          <t>6</t>
        </is>
      </c>
      <c r="S767" s="5" t="inlineStr">
        <is>
          <t>45</t>
        </is>
      </c>
      <c r="T767" s="5" t="inlineStr">
        <is>
          <t>12</t>
        </is>
      </c>
      <c r="U767" s="5">
        <f>IFS(C767&lt;30,"Under 30",C767&lt;40,"30-39",C767&lt;50,"40-49",TRUE,"50+")</f>
        <v/>
      </c>
      <c r="V767" s="5">
        <f>IFS(O767&lt;60000,"Low (&lt;60k)",O767&lt;100000,"Mid (60-100k)",TRUE,"High (100k+)")</f>
        <v/>
      </c>
      <c r="W767" s="5">
        <f>IF(M767="No","Attrited","Active")</f>
        <v/>
      </c>
    </row>
    <row r="768">
      <c r="A768" s="5" t="inlineStr">
        <is>
          <t>E00767</t>
        </is>
      </c>
      <c r="B768" s="5" t="inlineStr">
        <is>
          <t>Male</t>
        </is>
      </c>
      <c r="C768" s="6" t="inlineStr">
        <is>
          <t>36</t>
        </is>
      </c>
      <c r="D768" s="5" t="inlineStr">
        <is>
          <t>Married</t>
        </is>
      </c>
      <c r="E768" s="5" t="inlineStr">
        <is>
          <t>PhD</t>
        </is>
      </c>
      <c r="F768" s="5" t="inlineStr">
        <is>
          <t>Sales</t>
        </is>
      </c>
      <c r="G768" s="5" t="inlineStr">
        <is>
          <t>Business Development</t>
        </is>
      </c>
      <c r="H768" s="5" t="inlineStr">
        <is>
          <t>2</t>
        </is>
      </c>
      <c r="I768" s="5" t="inlineStr">
        <is>
          <t>Hyderabad</t>
        </is>
      </c>
      <c r="J768" s="5" t="inlineStr">
        <is>
          <t>Full-Time</t>
        </is>
      </c>
      <c r="K768" s="7" t="n">
        <v>44821</v>
      </c>
      <c r="L768" s="7" t="inlineStr"/>
      <c r="M768" s="5" t="inlineStr">
        <is>
          <t>Yes</t>
        </is>
      </c>
      <c r="N768" s="5" t="inlineStr"/>
      <c r="O768" s="8" t="inlineStr">
        <is>
          <t>75000</t>
        </is>
      </c>
      <c r="P768" s="5" t="inlineStr">
        <is>
          <t>0</t>
        </is>
      </c>
      <c r="Q768" s="5" t="inlineStr">
        <is>
          <t>2</t>
        </is>
      </c>
      <c r="R768" s="5" t="inlineStr">
        <is>
          <t>10</t>
        </is>
      </c>
      <c r="S768" s="5" t="inlineStr">
        <is>
          <t>40</t>
        </is>
      </c>
      <c r="T768" s="5" t="inlineStr">
        <is>
          <t>15</t>
        </is>
      </c>
      <c r="U768" s="5">
        <f>IFS(C768&lt;30,"Under 30",C768&lt;40,"30-39",C768&lt;50,"40-49",TRUE,"50+")</f>
        <v/>
      </c>
      <c r="V768" s="5">
        <f>IFS(O768&lt;60000,"Low (&lt;60k)",O768&lt;100000,"Mid (60-100k)",TRUE,"High (100k+)")</f>
        <v/>
      </c>
      <c r="W768" s="5">
        <f>IF(M768="No","Attrited","Active")</f>
        <v/>
      </c>
    </row>
    <row r="769">
      <c r="A769" s="5" t="inlineStr">
        <is>
          <t>E00768</t>
        </is>
      </c>
      <c r="B769" s="5" t="inlineStr">
        <is>
          <t>Female</t>
        </is>
      </c>
      <c r="C769" s="6" t="inlineStr">
        <is>
          <t>23</t>
        </is>
      </c>
      <c r="D769" s="5" t="inlineStr">
        <is>
          <t>Married</t>
        </is>
      </c>
      <c r="E769" s="5" t="inlineStr">
        <is>
          <t>PhD</t>
        </is>
      </c>
      <c r="F769" s="5" t="inlineStr">
        <is>
          <t>Human Resources</t>
        </is>
      </c>
      <c r="G769" s="5" t="inlineStr">
        <is>
          <t>HR Analyst</t>
        </is>
      </c>
      <c r="H769" s="5" t="inlineStr">
        <is>
          <t>1</t>
        </is>
      </c>
      <c r="I769" s="5" t="inlineStr">
        <is>
          <t>Hyderabad</t>
        </is>
      </c>
      <c r="J769" s="5" t="inlineStr">
        <is>
          <t>Full-Time</t>
        </is>
      </c>
      <c r="K769" s="7" t="n">
        <v>45632</v>
      </c>
      <c r="L769" s="7" t="n">
        <v>45695</v>
      </c>
      <c r="M769" s="5" t="inlineStr">
        <is>
          <t>No</t>
        </is>
      </c>
      <c r="N769" s="5" t="inlineStr">
        <is>
          <t>Resigned</t>
        </is>
      </c>
      <c r="O769" s="8" t="inlineStr">
        <is>
          <t>76500</t>
        </is>
      </c>
      <c r="P769" s="5" t="inlineStr">
        <is>
          <t>0</t>
        </is>
      </c>
      <c r="Q769" s="5" t="inlineStr">
        <is>
          <t>4</t>
        </is>
      </c>
      <c r="R769" s="5" t="inlineStr">
        <is>
          <t>8</t>
        </is>
      </c>
      <c r="S769" s="5" t="inlineStr">
        <is>
          <t>2</t>
        </is>
      </c>
      <c r="T769" s="5" t="inlineStr">
        <is>
          <t>1</t>
        </is>
      </c>
      <c r="U769" s="5">
        <f>IFS(C769&lt;30,"Under 30",C769&lt;40,"30-39",C769&lt;50,"40-49",TRUE,"50+")</f>
        <v/>
      </c>
      <c r="V769" s="5">
        <f>IFS(O769&lt;60000,"Low (&lt;60k)",O769&lt;100000,"Mid (60-100k)",TRUE,"High (100k+)")</f>
        <v/>
      </c>
      <c r="W769" s="5">
        <f>IF(M769="No","Attrited","Active")</f>
        <v/>
      </c>
    </row>
    <row r="770">
      <c r="A770" s="5" t="inlineStr">
        <is>
          <t>E00769</t>
        </is>
      </c>
      <c r="B770" s="5" t="inlineStr">
        <is>
          <t>Male</t>
        </is>
      </c>
      <c r="C770" s="6" t="inlineStr">
        <is>
          <t>30</t>
        </is>
      </c>
      <c r="D770" s="5" t="inlineStr">
        <is>
          <t>Single</t>
        </is>
      </c>
      <c r="E770" s="5" t="inlineStr">
        <is>
          <t>High School</t>
        </is>
      </c>
      <c r="F770" s="5" t="inlineStr">
        <is>
          <t>Finance</t>
        </is>
      </c>
      <c r="G770" s="5" t="inlineStr">
        <is>
          <t>Accountant</t>
        </is>
      </c>
      <c r="H770" s="5" t="inlineStr">
        <is>
          <t>3</t>
        </is>
      </c>
      <c r="I770" s="5" t="inlineStr">
        <is>
          <t>Bengaluru</t>
        </is>
      </c>
      <c r="J770" s="5" t="inlineStr">
        <is>
          <t>Full-Time</t>
        </is>
      </c>
      <c r="K770" s="7" t="n">
        <v>44432</v>
      </c>
      <c r="L770" s="7" t="inlineStr"/>
      <c r="M770" s="5" t="inlineStr">
        <is>
          <t>Yes</t>
        </is>
      </c>
      <c r="N770" s="5" t="inlineStr"/>
      <c r="O770" s="8" t="inlineStr">
        <is>
          <t>127500</t>
        </is>
      </c>
      <c r="P770" s="5" t="inlineStr">
        <is>
          <t>0</t>
        </is>
      </c>
      <c r="Q770" s="5" t="inlineStr">
        <is>
          <t>4</t>
        </is>
      </c>
      <c r="R770" s="5" t="inlineStr">
        <is>
          <t>7</t>
        </is>
      </c>
      <c r="S770" s="5" t="inlineStr">
        <is>
          <t>53</t>
        </is>
      </c>
      <c r="T770" s="5" t="inlineStr">
        <is>
          <t>13</t>
        </is>
      </c>
      <c r="U770" s="5">
        <f>IFS(C770&lt;30,"Under 30",C770&lt;40,"30-39",C770&lt;50,"40-49",TRUE,"50+")</f>
        <v/>
      </c>
      <c r="V770" s="5">
        <f>IFS(O770&lt;60000,"Low (&lt;60k)",O770&lt;100000,"Mid (60-100k)",TRUE,"High (100k+)")</f>
        <v/>
      </c>
      <c r="W770" s="5">
        <f>IF(M770="No","Attrited","Active")</f>
        <v/>
      </c>
    </row>
    <row r="771">
      <c r="A771" s="5" t="inlineStr">
        <is>
          <t>E00770</t>
        </is>
      </c>
      <c r="B771" s="5" t="inlineStr">
        <is>
          <t>Female</t>
        </is>
      </c>
      <c r="C771" s="6" t="inlineStr">
        <is>
          <t>31</t>
        </is>
      </c>
      <c r="D771" s="5" t="inlineStr">
        <is>
          <t>Married</t>
        </is>
      </c>
      <c r="E771" s="5" t="inlineStr">
        <is>
          <t>High School</t>
        </is>
      </c>
      <c r="F771" s="5" t="inlineStr">
        <is>
          <t>Operations</t>
        </is>
      </c>
      <c r="G771" s="5" t="inlineStr">
        <is>
          <t>Operations Analyst</t>
        </is>
      </c>
      <c r="H771" s="5" t="inlineStr">
        <is>
          <t>2</t>
        </is>
      </c>
      <c r="I771" s="5" t="inlineStr">
        <is>
          <t>Remote</t>
        </is>
      </c>
      <c r="J771" s="5" t="inlineStr">
        <is>
          <t>Full-Time</t>
        </is>
      </c>
      <c r="K771" s="7" t="n">
        <v>45267</v>
      </c>
      <c r="L771" s="7" t="n">
        <v>45308</v>
      </c>
      <c r="M771" s="5" t="inlineStr">
        <is>
          <t>No</t>
        </is>
      </c>
      <c r="N771" s="5" t="inlineStr">
        <is>
          <t>Resigned</t>
        </is>
      </c>
      <c r="O771" s="8" t="inlineStr">
        <is>
          <t>72500</t>
        </is>
      </c>
      <c r="P771" s="5" t="inlineStr">
        <is>
          <t>5</t>
        </is>
      </c>
      <c r="Q771" s="5" t="inlineStr">
        <is>
          <t>3</t>
        </is>
      </c>
      <c r="R771" s="5" t="inlineStr">
        <is>
          <t>6</t>
        </is>
      </c>
      <c r="S771" s="5" t="inlineStr">
        <is>
          <t>1</t>
        </is>
      </c>
      <c r="T771" s="5" t="inlineStr">
        <is>
          <t>9</t>
        </is>
      </c>
      <c r="U771" s="5">
        <f>IFS(C771&lt;30,"Under 30",C771&lt;40,"30-39",C771&lt;50,"40-49",TRUE,"50+")</f>
        <v/>
      </c>
      <c r="V771" s="5">
        <f>IFS(O771&lt;60000,"Low (&lt;60k)",O771&lt;100000,"Mid (60-100k)",TRUE,"High (100k+)")</f>
        <v/>
      </c>
      <c r="W771" s="5">
        <f>IF(M771="No","Attrited","Active")</f>
        <v/>
      </c>
    </row>
    <row r="772">
      <c r="A772" s="5" t="inlineStr">
        <is>
          <t>E00771</t>
        </is>
      </c>
      <c r="B772" s="5" t="inlineStr">
        <is>
          <t>Female</t>
        </is>
      </c>
      <c r="C772" s="6" t="inlineStr">
        <is>
          <t>39</t>
        </is>
      </c>
      <c r="D772" s="5" t="inlineStr">
        <is>
          <t>Married</t>
        </is>
      </c>
      <c r="E772" s="5" t="inlineStr">
        <is>
          <t>High School</t>
        </is>
      </c>
      <c r="F772" s="5" t="inlineStr">
        <is>
          <t>IT</t>
        </is>
      </c>
      <c r="G772" s="5" t="inlineStr">
        <is>
          <t>DevOps Engineer</t>
        </is>
      </c>
      <c r="H772" s="5" t="inlineStr">
        <is>
          <t>7</t>
        </is>
      </c>
      <c r="I772" s="5" t="inlineStr">
        <is>
          <t>Hyderabad</t>
        </is>
      </c>
      <c r="J772" s="5" t="inlineStr">
        <is>
          <t>Full-Time</t>
        </is>
      </c>
      <c r="K772" s="7" t="n">
        <v>45462</v>
      </c>
      <c r="L772" s="7" t="inlineStr"/>
      <c r="M772" s="5" t="inlineStr">
        <is>
          <t>Yes</t>
        </is>
      </c>
      <c r="N772" s="5" t="inlineStr"/>
      <c r="O772" s="8" t="inlineStr">
        <is>
          <t>180000</t>
        </is>
      </c>
      <c r="P772" s="5" t="inlineStr">
        <is>
          <t>10</t>
        </is>
      </c>
      <c r="Q772" s="5" t="inlineStr">
        <is>
          <t>5</t>
        </is>
      </c>
      <c r="R772" s="5" t="inlineStr">
        <is>
          <t>4</t>
        </is>
      </c>
      <c r="S772" s="5" t="inlineStr">
        <is>
          <t>18</t>
        </is>
      </c>
      <c r="T772" s="5" t="inlineStr">
        <is>
          <t>6</t>
        </is>
      </c>
      <c r="U772" s="5">
        <f>IFS(C772&lt;30,"Under 30",C772&lt;40,"30-39",C772&lt;50,"40-49",TRUE,"50+")</f>
        <v/>
      </c>
      <c r="V772" s="5">
        <f>IFS(O772&lt;60000,"Low (&lt;60k)",O772&lt;100000,"Mid (60-100k)",TRUE,"High (100k+)")</f>
        <v/>
      </c>
      <c r="W772" s="5">
        <f>IF(M772="No","Attrited","Active")</f>
        <v/>
      </c>
    </row>
    <row r="773">
      <c r="A773" s="5" t="inlineStr">
        <is>
          <t>E00772</t>
        </is>
      </c>
      <c r="B773" s="5" t="inlineStr">
        <is>
          <t>Female</t>
        </is>
      </c>
      <c r="C773" s="6" t="inlineStr">
        <is>
          <t>32</t>
        </is>
      </c>
      <c r="D773" s="5" t="inlineStr">
        <is>
          <t>Married</t>
        </is>
      </c>
      <c r="E773" s="5" t="inlineStr">
        <is>
          <t>Bachelor</t>
        </is>
      </c>
      <c r="F773" s="5" t="inlineStr">
        <is>
          <t>Customer Support</t>
        </is>
      </c>
      <c r="G773" s="5" t="inlineStr">
        <is>
          <t>Support Lead</t>
        </is>
      </c>
      <c r="H773" s="5" t="inlineStr">
        <is>
          <t>2</t>
        </is>
      </c>
      <c r="I773" s="5" t="inlineStr">
        <is>
          <t>Bengaluru</t>
        </is>
      </c>
      <c r="J773" s="5" t="inlineStr">
        <is>
          <t>Full-Time</t>
        </is>
      </c>
      <c r="K773" s="7" t="n">
        <v>45915</v>
      </c>
      <c r="L773" s="7" t="inlineStr"/>
      <c r="M773" s="5" t="inlineStr">
        <is>
          <t>Yes</t>
        </is>
      </c>
      <c r="N773" s="5" t="inlineStr"/>
      <c r="O773" s="8" t="inlineStr">
        <is>
          <t>82000</t>
        </is>
      </c>
      <c r="P773" s="5" t="inlineStr">
        <is>
          <t>10</t>
        </is>
      </c>
      <c r="Q773" s="5" t="inlineStr">
        <is>
          <t>4</t>
        </is>
      </c>
      <c r="R773" s="5" t="inlineStr">
        <is>
          <t>6</t>
        </is>
      </c>
      <c r="S773" s="5" t="inlineStr">
        <is>
          <t>3</t>
        </is>
      </c>
      <c r="T773" s="5" t="inlineStr">
        <is>
          <t>0</t>
        </is>
      </c>
      <c r="U773" s="5">
        <f>IFS(C773&lt;30,"Under 30",C773&lt;40,"30-39",C773&lt;50,"40-49",TRUE,"50+")</f>
        <v/>
      </c>
      <c r="V773" s="5">
        <f>IFS(O773&lt;60000,"Low (&lt;60k)",O773&lt;100000,"Mid (60-100k)",TRUE,"High (100k+)")</f>
        <v/>
      </c>
      <c r="W773" s="5">
        <f>IF(M773="No","Attrited","Active")</f>
        <v/>
      </c>
    </row>
    <row r="774">
      <c r="A774" s="5" t="inlineStr">
        <is>
          <t>E00773</t>
        </is>
      </c>
      <c r="B774" s="5" t="inlineStr">
        <is>
          <t>Female</t>
        </is>
      </c>
      <c r="C774" s="6" t="inlineStr">
        <is>
          <t>28</t>
        </is>
      </c>
      <c r="D774" s="5" t="inlineStr">
        <is>
          <t>Married</t>
        </is>
      </c>
      <c r="E774" s="5" t="inlineStr">
        <is>
          <t>High School</t>
        </is>
      </c>
      <c r="F774" s="5" t="inlineStr">
        <is>
          <t>Research &amp; Development</t>
        </is>
      </c>
      <c r="G774" s="5" t="inlineStr">
        <is>
          <t>Product Engineer</t>
        </is>
      </c>
      <c r="H774" s="5" t="inlineStr">
        <is>
          <t>1</t>
        </is>
      </c>
      <c r="I774" s="5" t="inlineStr">
        <is>
          <t>Bengaluru</t>
        </is>
      </c>
      <c r="J774" s="5" t="inlineStr">
        <is>
          <t>Full-Time</t>
        </is>
      </c>
      <c r="K774" s="7" t="n">
        <v>44686</v>
      </c>
      <c r="L774" s="7" t="inlineStr"/>
      <c r="M774" s="5" t="inlineStr">
        <is>
          <t>Yes</t>
        </is>
      </c>
      <c r="N774" s="5" t="inlineStr"/>
      <c r="O774" s="8" t="inlineStr">
        <is>
          <t>104000</t>
        </is>
      </c>
      <c r="P774" s="5" t="inlineStr">
        <is>
          <t>0</t>
        </is>
      </c>
      <c r="Q774" s="5" t="inlineStr">
        <is>
          <t>4</t>
        </is>
      </c>
      <c r="R774" s="5" t="inlineStr">
        <is>
          <t>5</t>
        </is>
      </c>
      <c r="S774" s="5" t="inlineStr">
        <is>
          <t>44</t>
        </is>
      </c>
      <c r="T774" s="5" t="inlineStr">
        <is>
          <t>3</t>
        </is>
      </c>
      <c r="U774" s="5">
        <f>IFS(C774&lt;30,"Under 30",C774&lt;40,"30-39",C774&lt;50,"40-49",TRUE,"50+")</f>
        <v/>
      </c>
      <c r="V774" s="5">
        <f>IFS(O774&lt;60000,"Low (&lt;60k)",O774&lt;100000,"Mid (60-100k)",TRUE,"High (100k+)")</f>
        <v/>
      </c>
      <c r="W774" s="5">
        <f>IF(M774="No","Attrited","Active")</f>
        <v/>
      </c>
    </row>
    <row r="775">
      <c r="A775" s="5" t="inlineStr">
        <is>
          <t>E00774</t>
        </is>
      </c>
      <c r="B775" s="5" t="inlineStr">
        <is>
          <t>Male</t>
        </is>
      </c>
      <c r="C775" s="6" t="inlineStr">
        <is>
          <t>31</t>
        </is>
      </c>
      <c r="D775" s="5" t="inlineStr">
        <is>
          <t>Married</t>
        </is>
      </c>
      <c r="E775" s="5" t="inlineStr">
        <is>
          <t>Master</t>
        </is>
      </c>
      <c r="F775" s="5" t="inlineStr">
        <is>
          <t>Customer Support</t>
        </is>
      </c>
      <c r="G775" s="5" t="inlineStr">
        <is>
          <t>Support Agent</t>
        </is>
      </c>
      <c r="H775" s="5" t="inlineStr">
        <is>
          <t>1</t>
        </is>
      </c>
      <c r="I775" s="5" t="inlineStr">
        <is>
          <t>Remote</t>
        </is>
      </c>
      <c r="J775" s="5" t="inlineStr">
        <is>
          <t>Full-Time</t>
        </is>
      </c>
      <c r="K775" s="7" t="n">
        <v>45444</v>
      </c>
      <c r="L775" s="7" t="inlineStr"/>
      <c r="M775" s="5" t="inlineStr">
        <is>
          <t>Yes</t>
        </is>
      </c>
      <c r="N775" s="5" t="inlineStr"/>
      <c r="O775" s="8" t="inlineStr">
        <is>
          <t>47000</t>
        </is>
      </c>
      <c r="P775" s="5" t="inlineStr">
        <is>
          <t>0</t>
        </is>
      </c>
      <c r="Q775" s="5" t="inlineStr">
        <is>
          <t>4</t>
        </is>
      </c>
      <c r="R775" s="5" t="inlineStr">
        <is>
          <t>6</t>
        </is>
      </c>
      <c r="S775" s="5" t="inlineStr">
        <is>
          <t>19</t>
        </is>
      </c>
      <c r="T775" s="5" t="inlineStr">
        <is>
          <t>11</t>
        </is>
      </c>
      <c r="U775" s="5">
        <f>IFS(C775&lt;30,"Under 30",C775&lt;40,"30-39",C775&lt;50,"40-49",TRUE,"50+")</f>
        <v/>
      </c>
      <c r="V775" s="5">
        <f>IFS(O775&lt;60000,"Low (&lt;60k)",O775&lt;100000,"Mid (60-100k)",TRUE,"High (100k+)")</f>
        <v/>
      </c>
      <c r="W775" s="5">
        <f>IF(M775="No","Attrited","Active")</f>
        <v/>
      </c>
    </row>
    <row r="776">
      <c r="A776" s="5" t="inlineStr">
        <is>
          <t>E00775</t>
        </is>
      </c>
      <c r="B776" s="5" t="inlineStr">
        <is>
          <t>Male</t>
        </is>
      </c>
      <c r="C776" s="6" t="inlineStr">
        <is>
          <t>42</t>
        </is>
      </c>
      <c r="D776" s="5" t="inlineStr">
        <is>
          <t>Divorced</t>
        </is>
      </c>
      <c r="E776" s="5" t="inlineStr">
        <is>
          <t>Master</t>
        </is>
      </c>
      <c r="F776" s="5" t="inlineStr">
        <is>
          <t>IT</t>
        </is>
      </c>
      <c r="G776" s="5" t="inlineStr">
        <is>
          <t>DevOps Engineer</t>
        </is>
      </c>
      <c r="H776" s="5" t="inlineStr">
        <is>
          <t>5</t>
        </is>
      </c>
      <c r="I776" s="5" t="inlineStr">
        <is>
          <t>Bengaluru</t>
        </is>
      </c>
      <c r="J776" s="5" t="inlineStr">
        <is>
          <t>Full-Time</t>
        </is>
      </c>
      <c r="K776" s="7" t="n">
        <v>44084</v>
      </c>
      <c r="L776" s="7" t="inlineStr"/>
      <c r="M776" s="5" t="inlineStr">
        <is>
          <t>Yes</t>
        </is>
      </c>
      <c r="N776" s="5" t="inlineStr"/>
      <c r="O776" s="8" t="inlineStr">
        <is>
          <t>153000</t>
        </is>
      </c>
      <c r="P776" s="5" t="inlineStr">
        <is>
          <t>5</t>
        </is>
      </c>
      <c r="Q776" s="5" t="inlineStr">
        <is>
          <t>3</t>
        </is>
      </c>
      <c r="R776" s="5" t="inlineStr">
        <is>
          <t>8</t>
        </is>
      </c>
      <c r="S776" s="5" t="inlineStr">
        <is>
          <t>64</t>
        </is>
      </c>
      <c r="T776" s="5" t="inlineStr">
        <is>
          <t>1</t>
        </is>
      </c>
      <c r="U776" s="5">
        <f>IFS(C776&lt;30,"Under 30",C776&lt;40,"30-39",C776&lt;50,"40-49",TRUE,"50+")</f>
        <v/>
      </c>
      <c r="V776" s="5">
        <f>IFS(O776&lt;60000,"Low (&lt;60k)",O776&lt;100000,"Mid (60-100k)",TRUE,"High (100k+)")</f>
        <v/>
      </c>
      <c r="W776" s="5">
        <f>IF(M776="No","Attrited","Active")</f>
        <v/>
      </c>
    </row>
    <row r="777">
      <c r="A777" s="5" t="inlineStr">
        <is>
          <t>E00776</t>
        </is>
      </c>
      <c r="B777" s="5" t="inlineStr">
        <is>
          <t>Male</t>
        </is>
      </c>
      <c r="C777" s="6" t="inlineStr">
        <is>
          <t>29</t>
        </is>
      </c>
      <c r="D777" s="5" t="inlineStr">
        <is>
          <t>Married</t>
        </is>
      </c>
      <c r="E777" s="5" t="inlineStr">
        <is>
          <t>High School</t>
        </is>
      </c>
      <c r="F777" s="5" t="inlineStr">
        <is>
          <t>Research &amp; Development</t>
        </is>
      </c>
      <c r="G777" s="5" t="inlineStr">
        <is>
          <t>Data Scientist</t>
        </is>
      </c>
      <c r="H777" s="5" t="inlineStr">
        <is>
          <t>1</t>
        </is>
      </c>
      <c r="I777" s="5" t="inlineStr">
        <is>
          <t>Remote</t>
        </is>
      </c>
      <c r="J777" s="5" t="inlineStr">
        <is>
          <t>Full-Time</t>
        </is>
      </c>
      <c r="K777" s="7" t="n">
        <v>43955</v>
      </c>
      <c r="L777" s="7" t="n">
        <v>44051</v>
      </c>
      <c r="M777" s="5" t="inlineStr">
        <is>
          <t>No</t>
        </is>
      </c>
      <c r="N777" s="5" t="inlineStr">
        <is>
          <t>Resigned</t>
        </is>
      </c>
      <c r="O777" s="8" t="inlineStr">
        <is>
          <t>105500</t>
        </is>
      </c>
      <c r="P777" s="5" t="inlineStr">
        <is>
          <t>0</t>
        </is>
      </c>
      <c r="Q777" s="5" t="inlineStr">
        <is>
          <t>5</t>
        </is>
      </c>
      <c r="R777" s="5" t="inlineStr">
        <is>
          <t>6</t>
        </is>
      </c>
      <c r="S777" s="5" t="inlineStr">
        <is>
          <t>3</t>
        </is>
      </c>
      <c r="T777" s="5" t="inlineStr">
        <is>
          <t>9</t>
        </is>
      </c>
      <c r="U777" s="5">
        <f>IFS(C777&lt;30,"Under 30",C777&lt;40,"30-39",C777&lt;50,"40-49",TRUE,"50+")</f>
        <v/>
      </c>
      <c r="V777" s="5">
        <f>IFS(O777&lt;60000,"Low (&lt;60k)",O777&lt;100000,"Mid (60-100k)",TRUE,"High (100k+)")</f>
        <v/>
      </c>
      <c r="W777" s="5">
        <f>IF(M777="No","Attrited","Active")</f>
        <v/>
      </c>
    </row>
    <row r="778">
      <c r="A778" s="5" t="inlineStr">
        <is>
          <t>E00777</t>
        </is>
      </c>
      <c r="B778" s="5" t="inlineStr">
        <is>
          <t>Male</t>
        </is>
      </c>
      <c r="C778" s="6" t="inlineStr">
        <is>
          <t>28</t>
        </is>
      </c>
      <c r="D778" s="5" t="inlineStr">
        <is>
          <t>Married</t>
        </is>
      </c>
      <c r="E778" s="5" t="inlineStr">
        <is>
          <t>Master</t>
        </is>
      </c>
      <c r="F778" s="5" t="inlineStr">
        <is>
          <t>IT</t>
        </is>
      </c>
      <c r="G778" s="5" t="inlineStr">
        <is>
          <t>DevOps Engineer</t>
        </is>
      </c>
      <c r="H778" s="5" t="inlineStr">
        <is>
          <t>1</t>
        </is>
      </c>
      <c r="I778" s="5" t="inlineStr">
        <is>
          <t>Mumbai</t>
        </is>
      </c>
      <c r="J778" s="5" t="inlineStr">
        <is>
          <t>Full-Time</t>
        </is>
      </c>
      <c r="K778" s="7" t="n">
        <v>45620</v>
      </c>
      <c r="L778" s="7" t="inlineStr"/>
      <c r="M778" s="5" t="inlineStr">
        <is>
          <t>Yes</t>
        </is>
      </c>
      <c r="N778" s="5" t="inlineStr"/>
      <c r="O778" s="8" t="inlineStr">
        <is>
          <t>120500</t>
        </is>
      </c>
      <c r="P778" s="5" t="inlineStr">
        <is>
          <t>5</t>
        </is>
      </c>
      <c r="Q778" s="5" t="inlineStr">
        <is>
          <t>3</t>
        </is>
      </c>
      <c r="R778" s="5" t="inlineStr">
        <is>
          <t>5</t>
        </is>
      </c>
      <c r="S778" s="5" t="inlineStr">
        <is>
          <t>13</t>
        </is>
      </c>
      <c r="T778" s="5" t="inlineStr">
        <is>
          <t>4</t>
        </is>
      </c>
      <c r="U778" s="5">
        <f>IFS(C778&lt;30,"Under 30",C778&lt;40,"30-39",C778&lt;50,"40-49",TRUE,"50+")</f>
        <v/>
      </c>
      <c r="V778" s="5">
        <f>IFS(O778&lt;60000,"Low (&lt;60k)",O778&lt;100000,"Mid (60-100k)",TRUE,"High (100k+)")</f>
        <v/>
      </c>
      <c r="W778" s="5">
        <f>IF(M778="No","Attrited","Active")</f>
        <v/>
      </c>
    </row>
    <row r="779">
      <c r="A779" s="5" t="inlineStr">
        <is>
          <t>E00778</t>
        </is>
      </c>
      <c r="B779" s="5" t="inlineStr">
        <is>
          <t>Male</t>
        </is>
      </c>
      <c r="C779" s="6" t="inlineStr">
        <is>
          <t>30</t>
        </is>
      </c>
      <c r="D779" s="5" t="inlineStr">
        <is>
          <t>Married</t>
        </is>
      </c>
      <c r="E779" s="5" t="inlineStr">
        <is>
          <t>High School</t>
        </is>
      </c>
      <c r="F779" s="5" t="inlineStr">
        <is>
          <t>Human Resources</t>
        </is>
      </c>
      <c r="G779" s="5" t="inlineStr">
        <is>
          <t>HR Analyst</t>
        </is>
      </c>
      <c r="H779" s="5" t="inlineStr">
        <is>
          <t>4</t>
        </is>
      </c>
      <c r="I779" s="5" t="inlineStr">
        <is>
          <t>Remote</t>
        </is>
      </c>
      <c r="J779" s="5" t="inlineStr">
        <is>
          <t>Full-Time</t>
        </is>
      </c>
      <c r="K779" s="7" t="n">
        <v>45501</v>
      </c>
      <c r="L779" s="7" t="inlineStr"/>
      <c r="M779" s="5" t="inlineStr">
        <is>
          <t>Yes</t>
        </is>
      </c>
      <c r="N779" s="5" t="inlineStr"/>
      <c r="O779" s="8" t="inlineStr">
        <is>
          <t>103000</t>
        </is>
      </c>
      <c r="P779" s="5" t="inlineStr">
        <is>
          <t>5</t>
        </is>
      </c>
      <c r="Q779" s="5" t="inlineStr">
        <is>
          <t>3</t>
        </is>
      </c>
      <c r="R779" s="5" t="inlineStr">
        <is>
          <t>6</t>
        </is>
      </c>
      <c r="S779" s="5" t="inlineStr">
        <is>
          <t>17</t>
        </is>
      </c>
      <c r="T779" s="5" t="inlineStr">
        <is>
          <t>0</t>
        </is>
      </c>
      <c r="U779" s="5">
        <f>IFS(C779&lt;30,"Under 30",C779&lt;40,"30-39",C779&lt;50,"40-49",TRUE,"50+")</f>
        <v/>
      </c>
      <c r="V779" s="5">
        <f>IFS(O779&lt;60000,"Low (&lt;60k)",O779&lt;100000,"Mid (60-100k)",TRUE,"High (100k+)")</f>
        <v/>
      </c>
      <c r="W779" s="5">
        <f>IF(M779="No","Attrited","Active")</f>
        <v/>
      </c>
    </row>
    <row r="780">
      <c r="A780" s="5" t="inlineStr">
        <is>
          <t>E00779</t>
        </is>
      </c>
      <c r="B780" s="5" t="inlineStr">
        <is>
          <t>Male</t>
        </is>
      </c>
      <c r="C780" s="6" t="inlineStr">
        <is>
          <t>32</t>
        </is>
      </c>
      <c r="D780" s="5" t="inlineStr">
        <is>
          <t>Married</t>
        </is>
      </c>
      <c r="E780" s="5" t="inlineStr">
        <is>
          <t>Master</t>
        </is>
      </c>
      <c r="F780" s="5" t="inlineStr">
        <is>
          <t>Operations</t>
        </is>
      </c>
      <c r="G780" s="5" t="inlineStr">
        <is>
          <t>Operations Analyst</t>
        </is>
      </c>
      <c r="H780" s="5" t="inlineStr">
        <is>
          <t>2</t>
        </is>
      </c>
      <c r="I780" s="5" t="inlineStr">
        <is>
          <t>Remote</t>
        </is>
      </c>
      <c r="J780" s="5" t="inlineStr">
        <is>
          <t>Full-Time</t>
        </is>
      </c>
      <c r="K780" s="7" t="n">
        <v>44653</v>
      </c>
      <c r="L780" s="7" t="inlineStr"/>
      <c r="M780" s="5" t="inlineStr">
        <is>
          <t>Yes</t>
        </is>
      </c>
      <c r="N780" s="5" t="inlineStr"/>
      <c r="O780" s="8" t="inlineStr">
        <is>
          <t>94000</t>
        </is>
      </c>
      <c r="P780" s="5" t="inlineStr">
        <is>
          <t>0</t>
        </is>
      </c>
      <c r="Q780" s="5" t="inlineStr">
        <is>
          <t>3</t>
        </is>
      </c>
      <c r="R780" s="5" t="inlineStr">
        <is>
          <t>6</t>
        </is>
      </c>
      <c r="S780" s="5" t="inlineStr">
        <is>
          <t>45</t>
        </is>
      </c>
      <c r="T780" s="5" t="inlineStr">
        <is>
          <t>8</t>
        </is>
      </c>
      <c r="U780" s="5">
        <f>IFS(C780&lt;30,"Under 30",C780&lt;40,"30-39",C780&lt;50,"40-49",TRUE,"50+")</f>
        <v/>
      </c>
      <c r="V780" s="5">
        <f>IFS(O780&lt;60000,"Low (&lt;60k)",O780&lt;100000,"Mid (60-100k)",TRUE,"High (100k+)")</f>
        <v/>
      </c>
      <c r="W780" s="5">
        <f>IF(M780="No","Attrited","Active")</f>
        <v/>
      </c>
    </row>
    <row r="781">
      <c r="A781" s="5" t="inlineStr">
        <is>
          <t>E00780</t>
        </is>
      </c>
      <c r="B781" s="5" t="inlineStr">
        <is>
          <t>Male</t>
        </is>
      </c>
      <c r="C781" s="6" t="inlineStr">
        <is>
          <t>31</t>
        </is>
      </c>
      <c r="D781" s="5" t="inlineStr">
        <is>
          <t>Married</t>
        </is>
      </c>
      <c r="E781" s="5" t="inlineStr">
        <is>
          <t>Master</t>
        </is>
      </c>
      <c r="F781" s="5" t="inlineStr">
        <is>
          <t>Finance</t>
        </is>
      </c>
      <c r="G781" s="5" t="inlineStr">
        <is>
          <t>Financial Analyst</t>
        </is>
      </c>
      <c r="H781" s="5" t="inlineStr">
        <is>
          <t>4</t>
        </is>
      </c>
      <c r="I781" s="5" t="inlineStr">
        <is>
          <t>Remote</t>
        </is>
      </c>
      <c r="J781" s="5" t="inlineStr">
        <is>
          <t>Contract</t>
        </is>
      </c>
      <c r="K781" s="7" t="n">
        <v>45558</v>
      </c>
      <c r="L781" s="7" t="n">
        <v>45670</v>
      </c>
      <c r="M781" s="5" t="inlineStr">
        <is>
          <t>No</t>
        </is>
      </c>
      <c r="N781" s="5" t="inlineStr">
        <is>
          <t>Resigned</t>
        </is>
      </c>
      <c r="O781" s="8" t="inlineStr">
        <is>
          <t>130000</t>
        </is>
      </c>
      <c r="P781" s="5" t="inlineStr">
        <is>
          <t>0</t>
        </is>
      </c>
      <c r="Q781" s="5" t="inlineStr">
        <is>
          <t>5</t>
        </is>
      </c>
      <c r="R781" s="5" t="inlineStr">
        <is>
          <t>4</t>
        </is>
      </c>
      <c r="S781" s="5" t="inlineStr">
        <is>
          <t>3</t>
        </is>
      </c>
      <c r="T781" s="5" t="inlineStr">
        <is>
          <t>10</t>
        </is>
      </c>
      <c r="U781" s="5">
        <f>IFS(C781&lt;30,"Under 30",C781&lt;40,"30-39",C781&lt;50,"40-49",TRUE,"50+")</f>
        <v/>
      </c>
      <c r="V781" s="5">
        <f>IFS(O781&lt;60000,"Low (&lt;60k)",O781&lt;100000,"Mid (60-100k)",TRUE,"High (100k+)")</f>
        <v/>
      </c>
      <c r="W781" s="5">
        <f>IF(M781="No","Attrited","Active")</f>
        <v/>
      </c>
    </row>
    <row r="782">
      <c r="A782" s="5" t="inlineStr">
        <is>
          <t>E00781</t>
        </is>
      </c>
      <c r="B782" s="5" t="inlineStr">
        <is>
          <t>Male</t>
        </is>
      </c>
      <c r="C782" s="6" t="inlineStr">
        <is>
          <t>27</t>
        </is>
      </c>
      <c r="D782" s="5" t="inlineStr">
        <is>
          <t>Married</t>
        </is>
      </c>
      <c r="E782" s="5" t="inlineStr">
        <is>
          <t>Master</t>
        </is>
      </c>
      <c r="F782" s="5" t="inlineStr">
        <is>
          <t>Finance</t>
        </is>
      </c>
      <c r="G782" s="5" t="inlineStr">
        <is>
          <t>Financial Analyst</t>
        </is>
      </c>
      <c r="H782" s="5" t="inlineStr">
        <is>
          <t>3</t>
        </is>
      </c>
      <c r="I782" s="5" t="inlineStr">
        <is>
          <t>Bengaluru</t>
        </is>
      </c>
      <c r="J782" s="5" t="inlineStr">
        <is>
          <t>Full-Time</t>
        </is>
      </c>
      <c r="K782" s="7" t="n">
        <v>45946</v>
      </c>
      <c r="L782" s="7" t="n">
        <v>46021</v>
      </c>
      <c r="M782" s="5" t="inlineStr">
        <is>
          <t>No</t>
        </is>
      </c>
      <c r="N782" s="5" t="inlineStr">
        <is>
          <t>Performance / Termination</t>
        </is>
      </c>
      <c r="O782" s="8" t="inlineStr">
        <is>
          <t>142500</t>
        </is>
      </c>
      <c r="P782" s="5" t="inlineStr">
        <is>
          <t>0</t>
        </is>
      </c>
      <c r="Q782" s="5" t="inlineStr">
        <is>
          <t>4</t>
        </is>
      </c>
      <c r="R782" s="5" t="inlineStr">
        <is>
          <t>5</t>
        </is>
      </c>
      <c r="S782" s="5" t="inlineStr">
        <is>
          <t>2</t>
        </is>
      </c>
      <c r="T782" s="5" t="inlineStr">
        <is>
          <t>1</t>
        </is>
      </c>
      <c r="U782" s="5">
        <f>IFS(C782&lt;30,"Under 30",C782&lt;40,"30-39",C782&lt;50,"40-49",TRUE,"50+")</f>
        <v/>
      </c>
      <c r="V782" s="5">
        <f>IFS(O782&lt;60000,"Low (&lt;60k)",O782&lt;100000,"Mid (60-100k)",TRUE,"High (100k+)")</f>
        <v/>
      </c>
      <c r="W782" s="5">
        <f>IF(M782="No","Attrited","Active")</f>
        <v/>
      </c>
    </row>
    <row r="783">
      <c r="A783" s="5" t="inlineStr">
        <is>
          <t>E00782</t>
        </is>
      </c>
      <c r="B783" s="5" t="inlineStr">
        <is>
          <t>Male</t>
        </is>
      </c>
      <c r="C783" s="6" t="inlineStr">
        <is>
          <t>34</t>
        </is>
      </c>
      <c r="D783" s="5" t="inlineStr">
        <is>
          <t>Married</t>
        </is>
      </c>
      <c r="E783" s="5" t="inlineStr">
        <is>
          <t>Master</t>
        </is>
      </c>
      <c r="F783" s="5" t="inlineStr">
        <is>
          <t>Human Resources</t>
        </is>
      </c>
      <c r="G783" s="5" t="inlineStr">
        <is>
          <t>Recruiter</t>
        </is>
      </c>
      <c r="H783" s="5" t="inlineStr">
        <is>
          <t>1</t>
        </is>
      </c>
      <c r="I783" s="5" t="inlineStr">
        <is>
          <t>Delhi</t>
        </is>
      </c>
      <c r="J783" s="5" t="inlineStr">
        <is>
          <t>Full-Time</t>
        </is>
      </c>
      <c r="K783" s="7" t="n">
        <v>45256</v>
      </c>
      <c r="L783" s="7" t="inlineStr"/>
      <c r="M783" s="5" t="inlineStr">
        <is>
          <t>Yes</t>
        </is>
      </c>
      <c r="N783" s="5" t="inlineStr"/>
      <c r="O783" s="8" t="inlineStr">
        <is>
          <t>90500</t>
        </is>
      </c>
      <c r="P783" s="5" t="inlineStr">
        <is>
          <t>5</t>
        </is>
      </c>
      <c r="Q783" s="5" t="inlineStr">
        <is>
          <t>4</t>
        </is>
      </c>
      <c r="R783" s="5" t="inlineStr">
        <is>
          <t>8</t>
        </is>
      </c>
      <c r="S783" s="5" t="inlineStr">
        <is>
          <t>25</t>
        </is>
      </c>
      <c r="T783" s="5" t="inlineStr">
        <is>
          <t>18</t>
        </is>
      </c>
      <c r="U783" s="5">
        <f>IFS(C783&lt;30,"Under 30",C783&lt;40,"30-39",C783&lt;50,"40-49",TRUE,"50+")</f>
        <v/>
      </c>
      <c r="V783" s="5">
        <f>IFS(O783&lt;60000,"Low (&lt;60k)",O783&lt;100000,"Mid (60-100k)",TRUE,"High (100k+)")</f>
        <v/>
      </c>
      <c r="W783" s="5">
        <f>IF(M783="No","Attrited","Active")</f>
        <v/>
      </c>
    </row>
    <row r="784">
      <c r="A784" s="5" t="inlineStr">
        <is>
          <t>E00783</t>
        </is>
      </c>
      <c r="B784" s="5" t="inlineStr">
        <is>
          <t>Female</t>
        </is>
      </c>
      <c r="C784" s="6" t="inlineStr">
        <is>
          <t>28</t>
        </is>
      </c>
      <c r="D784" s="5" t="inlineStr">
        <is>
          <t>Married</t>
        </is>
      </c>
      <c r="E784" s="5" t="inlineStr">
        <is>
          <t>PhD</t>
        </is>
      </c>
      <c r="F784" s="5" t="inlineStr">
        <is>
          <t>Marketing</t>
        </is>
      </c>
      <c r="G784" s="5" t="inlineStr">
        <is>
          <t>Marketing Analyst</t>
        </is>
      </c>
      <c r="H784" s="5" t="inlineStr">
        <is>
          <t>1</t>
        </is>
      </c>
      <c r="I784" s="5" t="inlineStr">
        <is>
          <t>Remote</t>
        </is>
      </c>
      <c r="J784" s="5" t="inlineStr">
        <is>
          <t>Full-Time</t>
        </is>
      </c>
      <c r="K784" s="7" t="n">
        <v>45904</v>
      </c>
      <c r="L784" s="7" t="inlineStr"/>
      <c r="M784" s="5" t="inlineStr">
        <is>
          <t>Yes</t>
        </is>
      </c>
      <c r="N784" s="5" t="inlineStr"/>
      <c r="O784" s="8" t="inlineStr">
        <is>
          <t>80000</t>
        </is>
      </c>
      <c r="P784" s="5" t="inlineStr">
        <is>
          <t>5</t>
        </is>
      </c>
      <c r="Q784" s="5" t="inlineStr">
        <is>
          <t>4</t>
        </is>
      </c>
      <c r="R784" s="5" t="inlineStr">
        <is>
          <t>1</t>
        </is>
      </c>
      <c r="S784" s="5" t="inlineStr">
        <is>
          <t>3</t>
        </is>
      </c>
      <c r="T784" s="5" t="inlineStr">
        <is>
          <t>3</t>
        </is>
      </c>
      <c r="U784" s="5">
        <f>IFS(C784&lt;30,"Under 30",C784&lt;40,"30-39",C784&lt;50,"40-49",TRUE,"50+")</f>
        <v/>
      </c>
      <c r="V784" s="5">
        <f>IFS(O784&lt;60000,"Low (&lt;60k)",O784&lt;100000,"Mid (60-100k)",TRUE,"High (100k+)")</f>
        <v/>
      </c>
      <c r="W784" s="5">
        <f>IF(M784="No","Attrited","Active")</f>
        <v/>
      </c>
    </row>
    <row r="785">
      <c r="A785" s="5" t="inlineStr">
        <is>
          <t>E00784</t>
        </is>
      </c>
      <c r="B785" s="5" t="inlineStr">
        <is>
          <t>Male</t>
        </is>
      </c>
      <c r="C785" s="6" t="inlineStr">
        <is>
          <t>28</t>
        </is>
      </c>
      <c r="D785" s="5" t="inlineStr">
        <is>
          <t>Married</t>
        </is>
      </c>
      <c r="E785" s="5" t="inlineStr">
        <is>
          <t>Bachelor</t>
        </is>
      </c>
      <c r="F785" s="5" t="inlineStr">
        <is>
          <t>Human Resources</t>
        </is>
      </c>
      <c r="G785" s="5" t="inlineStr">
        <is>
          <t>Recruiter</t>
        </is>
      </c>
      <c r="H785" s="5" t="inlineStr">
        <is>
          <t>3</t>
        </is>
      </c>
      <c r="I785" s="5" t="inlineStr">
        <is>
          <t>Chennai</t>
        </is>
      </c>
      <c r="J785" s="5" t="inlineStr">
        <is>
          <t>Full-Time</t>
        </is>
      </c>
      <c r="K785" s="7" t="n">
        <v>44731</v>
      </c>
      <c r="L785" s="7" t="inlineStr"/>
      <c r="M785" s="5" t="inlineStr">
        <is>
          <t>Yes</t>
        </is>
      </c>
      <c r="N785" s="5" t="inlineStr"/>
      <c r="O785" s="8" t="inlineStr">
        <is>
          <t>87000</t>
        </is>
      </c>
      <c r="P785" s="5" t="inlineStr">
        <is>
          <t>5</t>
        </is>
      </c>
      <c r="Q785" s="5" t="inlineStr">
        <is>
          <t>3</t>
        </is>
      </c>
      <c r="R785" s="5" t="inlineStr">
        <is>
          <t>6</t>
        </is>
      </c>
      <c r="S785" s="5" t="inlineStr">
        <is>
          <t>43</t>
        </is>
      </c>
      <c r="T785" s="5" t="inlineStr">
        <is>
          <t>6</t>
        </is>
      </c>
      <c r="U785" s="5">
        <f>IFS(C785&lt;30,"Under 30",C785&lt;40,"30-39",C785&lt;50,"40-49",TRUE,"50+")</f>
        <v/>
      </c>
      <c r="V785" s="5">
        <f>IFS(O785&lt;60000,"Low (&lt;60k)",O785&lt;100000,"Mid (60-100k)",TRUE,"High (100k+)")</f>
        <v/>
      </c>
      <c r="W785" s="5">
        <f>IF(M785="No","Attrited","Active")</f>
        <v/>
      </c>
    </row>
    <row r="786">
      <c r="A786" s="5" t="inlineStr">
        <is>
          <t>E00785</t>
        </is>
      </c>
      <c r="B786" s="5" t="inlineStr">
        <is>
          <t>Male</t>
        </is>
      </c>
      <c r="C786" s="6" t="inlineStr">
        <is>
          <t>34</t>
        </is>
      </c>
      <c r="D786" s="5" t="inlineStr">
        <is>
          <t>Married</t>
        </is>
      </c>
      <c r="E786" s="5" t="inlineStr">
        <is>
          <t>High School</t>
        </is>
      </c>
      <c r="F786" s="5" t="inlineStr">
        <is>
          <t>Finance</t>
        </is>
      </c>
      <c r="G786" s="5" t="inlineStr">
        <is>
          <t>Financial Analyst</t>
        </is>
      </c>
      <c r="H786" s="5" t="inlineStr">
        <is>
          <t>1</t>
        </is>
      </c>
      <c r="I786" s="5" t="inlineStr">
        <is>
          <t>Remote</t>
        </is>
      </c>
      <c r="J786" s="5" t="inlineStr">
        <is>
          <t>Full-Time</t>
        </is>
      </c>
      <c r="K786" s="7" t="n">
        <v>45743</v>
      </c>
      <c r="L786" s="7" t="inlineStr"/>
      <c r="M786" s="5" t="inlineStr">
        <is>
          <t>Yes</t>
        </is>
      </c>
      <c r="N786" s="5" t="inlineStr"/>
      <c r="O786" s="8" t="inlineStr">
        <is>
          <t>105000</t>
        </is>
      </c>
      <c r="P786" s="5" t="inlineStr">
        <is>
          <t>10</t>
        </is>
      </c>
      <c r="Q786" s="5" t="inlineStr">
        <is>
          <t>4</t>
        </is>
      </c>
      <c r="R786" s="5" t="inlineStr">
        <is>
          <t>8</t>
        </is>
      </c>
      <c r="S786" s="5" t="inlineStr">
        <is>
          <t>9</t>
        </is>
      </c>
      <c r="T786" s="5" t="inlineStr">
        <is>
          <t>12</t>
        </is>
      </c>
      <c r="U786" s="5">
        <f>IFS(C786&lt;30,"Under 30",C786&lt;40,"30-39",C786&lt;50,"40-49",TRUE,"50+")</f>
        <v/>
      </c>
      <c r="V786" s="5">
        <f>IFS(O786&lt;60000,"Low (&lt;60k)",O786&lt;100000,"Mid (60-100k)",TRUE,"High (100k+)")</f>
        <v/>
      </c>
      <c r="W786" s="5">
        <f>IF(M786="No","Attrited","Active")</f>
        <v/>
      </c>
    </row>
    <row r="787">
      <c r="A787" s="5" t="inlineStr">
        <is>
          <t>E00786</t>
        </is>
      </c>
      <c r="B787" s="5" t="inlineStr">
        <is>
          <t>Male</t>
        </is>
      </c>
      <c r="C787" s="6" t="inlineStr">
        <is>
          <t>39</t>
        </is>
      </c>
      <c r="D787" s="5" t="inlineStr">
        <is>
          <t>Married</t>
        </is>
      </c>
      <c r="E787" s="5" t="inlineStr">
        <is>
          <t>PhD</t>
        </is>
      </c>
      <c r="F787" s="5" t="inlineStr">
        <is>
          <t>Human Resources</t>
        </is>
      </c>
      <c r="G787" s="5" t="inlineStr">
        <is>
          <t>Recruiter</t>
        </is>
      </c>
      <c r="H787" s="5" t="inlineStr">
        <is>
          <t>4</t>
        </is>
      </c>
      <c r="I787" s="5" t="inlineStr">
        <is>
          <t>Chennai</t>
        </is>
      </c>
      <c r="J787" s="5" t="inlineStr">
        <is>
          <t>Full-Time</t>
        </is>
      </c>
      <c r="K787" s="7" t="n">
        <v>44221</v>
      </c>
      <c r="L787" s="7" t="inlineStr"/>
      <c r="M787" s="5" t="inlineStr">
        <is>
          <t>Yes</t>
        </is>
      </c>
      <c r="N787" s="5" t="inlineStr"/>
      <c r="O787" s="8" t="inlineStr">
        <is>
          <t>87500</t>
        </is>
      </c>
      <c r="P787" s="5" t="inlineStr">
        <is>
          <t>5</t>
        </is>
      </c>
      <c r="Q787" s="5" t="inlineStr">
        <is>
          <t>3</t>
        </is>
      </c>
      <c r="R787" s="5" t="inlineStr">
        <is>
          <t>6</t>
        </is>
      </c>
      <c r="S787" s="5" t="inlineStr">
        <is>
          <t>60</t>
        </is>
      </c>
      <c r="T787" s="5" t="inlineStr">
        <is>
          <t>3</t>
        </is>
      </c>
      <c r="U787" s="5">
        <f>IFS(C787&lt;30,"Under 30",C787&lt;40,"30-39",C787&lt;50,"40-49",TRUE,"50+")</f>
        <v/>
      </c>
      <c r="V787" s="5">
        <f>IFS(O787&lt;60000,"Low (&lt;60k)",O787&lt;100000,"Mid (60-100k)",TRUE,"High (100k+)")</f>
        <v/>
      </c>
      <c r="W787" s="5">
        <f>IF(M787="No","Attrited","Active")</f>
        <v/>
      </c>
    </row>
    <row r="788">
      <c r="A788" s="5" t="inlineStr">
        <is>
          <t>E00787</t>
        </is>
      </c>
      <c r="B788" s="5" t="inlineStr">
        <is>
          <t>Female</t>
        </is>
      </c>
      <c r="C788" s="6" t="inlineStr">
        <is>
          <t>33</t>
        </is>
      </c>
      <c r="D788" s="5" t="inlineStr">
        <is>
          <t>Married</t>
        </is>
      </c>
      <c r="E788" s="5" t="inlineStr">
        <is>
          <t>High School</t>
        </is>
      </c>
      <c r="F788" s="5" t="inlineStr">
        <is>
          <t>Operations</t>
        </is>
      </c>
      <c r="G788" s="5" t="inlineStr">
        <is>
          <t>Logistics Coordinator</t>
        </is>
      </c>
      <c r="H788" s="5" t="inlineStr">
        <is>
          <t>6</t>
        </is>
      </c>
      <c r="I788" s="5" t="inlineStr">
        <is>
          <t>Remote</t>
        </is>
      </c>
      <c r="J788" s="5" t="inlineStr">
        <is>
          <t>Full-Time</t>
        </is>
      </c>
      <c r="K788" s="7" t="n">
        <v>44781</v>
      </c>
      <c r="L788" s="7" t="inlineStr"/>
      <c r="M788" s="5" t="inlineStr">
        <is>
          <t>Yes</t>
        </is>
      </c>
      <c r="N788" s="5" t="inlineStr"/>
      <c r="O788" s="8" t="inlineStr">
        <is>
          <t>101500</t>
        </is>
      </c>
      <c r="P788" s="5" t="inlineStr">
        <is>
          <t>0</t>
        </is>
      </c>
      <c r="Q788" s="5" t="inlineStr">
        <is>
          <t>5</t>
        </is>
      </c>
      <c r="R788" s="5" t="inlineStr">
        <is>
          <t>3</t>
        </is>
      </c>
      <c r="S788" s="5" t="inlineStr">
        <is>
          <t>41</t>
        </is>
      </c>
      <c r="T788" s="5" t="inlineStr">
        <is>
          <t>0</t>
        </is>
      </c>
      <c r="U788" s="5">
        <f>IFS(C788&lt;30,"Under 30",C788&lt;40,"30-39",C788&lt;50,"40-49",TRUE,"50+")</f>
        <v/>
      </c>
      <c r="V788" s="5">
        <f>IFS(O788&lt;60000,"Low (&lt;60k)",O788&lt;100000,"Mid (60-100k)",TRUE,"High (100k+)")</f>
        <v/>
      </c>
      <c r="W788" s="5">
        <f>IF(M788="No","Attrited","Active")</f>
        <v/>
      </c>
    </row>
    <row r="789">
      <c r="A789" s="5" t="inlineStr">
        <is>
          <t>E00788</t>
        </is>
      </c>
      <c r="B789" s="5" t="inlineStr">
        <is>
          <t>Male</t>
        </is>
      </c>
      <c r="C789" s="6" t="inlineStr">
        <is>
          <t>26</t>
        </is>
      </c>
      <c r="D789" s="5" t="inlineStr">
        <is>
          <t>Married</t>
        </is>
      </c>
      <c r="E789" s="5" t="inlineStr">
        <is>
          <t>Master</t>
        </is>
      </c>
      <c r="F789" s="5" t="inlineStr">
        <is>
          <t>Customer Support</t>
        </is>
      </c>
      <c r="G789" s="5" t="inlineStr">
        <is>
          <t>Escalation Specialist</t>
        </is>
      </c>
      <c r="H789" s="5" t="inlineStr">
        <is>
          <t>1</t>
        </is>
      </c>
      <c r="I789" s="5" t="inlineStr">
        <is>
          <t>Chennai</t>
        </is>
      </c>
      <c r="J789" s="5" t="inlineStr">
        <is>
          <t>Part-Time</t>
        </is>
      </c>
      <c r="K789" s="7" t="n">
        <v>44804</v>
      </c>
      <c r="L789" s="7" t="n">
        <v>44912</v>
      </c>
      <c r="M789" s="5" t="inlineStr">
        <is>
          <t>No</t>
        </is>
      </c>
      <c r="N789" s="5" t="inlineStr">
        <is>
          <t>Retirement</t>
        </is>
      </c>
      <c r="O789" s="8" t="inlineStr">
        <is>
          <t>44000</t>
        </is>
      </c>
      <c r="P789" s="5" t="inlineStr">
        <is>
          <t>5</t>
        </is>
      </c>
      <c r="Q789" s="5" t="inlineStr">
        <is>
          <t>4</t>
        </is>
      </c>
      <c r="R789" s="5" t="inlineStr">
        <is>
          <t>5</t>
        </is>
      </c>
      <c r="S789" s="5" t="inlineStr">
        <is>
          <t>3</t>
        </is>
      </c>
      <c r="T789" s="5" t="inlineStr">
        <is>
          <t>8</t>
        </is>
      </c>
      <c r="U789" s="5">
        <f>IFS(C789&lt;30,"Under 30",C789&lt;40,"30-39",C789&lt;50,"40-49",TRUE,"50+")</f>
        <v/>
      </c>
      <c r="V789" s="5">
        <f>IFS(O789&lt;60000,"Low (&lt;60k)",O789&lt;100000,"Mid (60-100k)",TRUE,"High (100k+)")</f>
        <v/>
      </c>
      <c r="W789" s="5">
        <f>IF(M789="No","Attrited","Active")</f>
        <v/>
      </c>
    </row>
    <row r="790">
      <c r="A790" s="5" t="inlineStr">
        <is>
          <t>E00789</t>
        </is>
      </c>
      <c r="B790" s="5" t="inlineStr">
        <is>
          <t>Male</t>
        </is>
      </c>
      <c r="C790" s="6" t="inlineStr">
        <is>
          <t>28</t>
        </is>
      </c>
      <c r="D790" s="5" t="inlineStr">
        <is>
          <t>Married</t>
        </is>
      </c>
      <c r="E790" s="5" t="inlineStr">
        <is>
          <t>Bachelor</t>
        </is>
      </c>
      <c r="F790" s="5" t="inlineStr">
        <is>
          <t>Customer Support</t>
        </is>
      </c>
      <c r="G790" s="5" t="inlineStr">
        <is>
          <t>Support Agent</t>
        </is>
      </c>
      <c r="H790" s="5" t="inlineStr">
        <is>
          <t>1</t>
        </is>
      </c>
      <c r="I790" s="5" t="inlineStr">
        <is>
          <t>Bengaluru</t>
        </is>
      </c>
      <c r="J790" s="5" t="inlineStr">
        <is>
          <t>Part-Time</t>
        </is>
      </c>
      <c r="K790" s="7" t="n">
        <v>44157</v>
      </c>
      <c r="L790" s="7" t="inlineStr"/>
      <c r="M790" s="5" t="inlineStr">
        <is>
          <t>Yes</t>
        </is>
      </c>
      <c r="N790" s="5" t="inlineStr"/>
      <c r="O790" s="8" t="inlineStr">
        <is>
          <t>46000</t>
        </is>
      </c>
      <c r="P790" s="5" t="inlineStr">
        <is>
          <t>0</t>
        </is>
      </c>
      <c r="Q790" s="5" t="inlineStr">
        <is>
          <t>3</t>
        </is>
      </c>
      <c r="R790" s="5" t="inlineStr">
        <is>
          <t>6</t>
        </is>
      </c>
      <c r="S790" s="5" t="inlineStr">
        <is>
          <t>62</t>
        </is>
      </c>
      <c r="T790" s="5" t="inlineStr">
        <is>
          <t>0</t>
        </is>
      </c>
      <c r="U790" s="5">
        <f>IFS(C790&lt;30,"Under 30",C790&lt;40,"30-39",C790&lt;50,"40-49",TRUE,"50+")</f>
        <v/>
      </c>
      <c r="V790" s="5">
        <f>IFS(O790&lt;60000,"Low (&lt;60k)",O790&lt;100000,"Mid (60-100k)",TRUE,"High (100k+)")</f>
        <v/>
      </c>
      <c r="W790" s="5">
        <f>IF(M790="No","Attrited","Active")</f>
        <v/>
      </c>
    </row>
    <row r="791">
      <c r="A791" s="5" t="inlineStr">
        <is>
          <t>E00790</t>
        </is>
      </c>
      <c r="B791" s="5" t="inlineStr">
        <is>
          <t>Female</t>
        </is>
      </c>
      <c r="C791" s="6" t="inlineStr">
        <is>
          <t>29</t>
        </is>
      </c>
      <c r="D791" s="5" t="inlineStr">
        <is>
          <t>Single</t>
        </is>
      </c>
      <c r="E791" s="5" t="inlineStr">
        <is>
          <t>Diploma</t>
        </is>
      </c>
      <c r="F791" s="5" t="inlineStr">
        <is>
          <t>Marketing</t>
        </is>
      </c>
      <c r="G791" s="5" t="inlineStr">
        <is>
          <t>SEO Specialist</t>
        </is>
      </c>
      <c r="H791" s="5" t="inlineStr">
        <is>
          <t>2</t>
        </is>
      </c>
      <c r="I791" s="5" t="inlineStr">
        <is>
          <t>Chennai</t>
        </is>
      </c>
      <c r="J791" s="5" t="inlineStr">
        <is>
          <t>Full-Time</t>
        </is>
      </c>
      <c r="K791" s="7" t="n">
        <v>44245</v>
      </c>
      <c r="L791" s="7" t="inlineStr"/>
      <c r="M791" s="5" t="inlineStr">
        <is>
          <t>Yes</t>
        </is>
      </c>
      <c r="N791" s="5" t="inlineStr"/>
      <c r="O791" s="8" t="inlineStr">
        <is>
          <t>72000</t>
        </is>
      </c>
      <c r="P791" s="5" t="inlineStr">
        <is>
          <t>5</t>
        </is>
      </c>
      <c r="Q791" s="5" t="inlineStr">
        <is>
          <t>2</t>
        </is>
      </c>
      <c r="R791" s="5" t="inlineStr">
        <is>
          <t>6</t>
        </is>
      </c>
      <c r="S791" s="5" t="inlineStr">
        <is>
          <t>59</t>
        </is>
      </c>
      <c r="T791" s="5" t="inlineStr">
        <is>
          <t>0</t>
        </is>
      </c>
      <c r="U791" s="5">
        <f>IFS(C791&lt;30,"Under 30",C791&lt;40,"30-39",C791&lt;50,"40-49",TRUE,"50+")</f>
        <v/>
      </c>
      <c r="V791" s="5">
        <f>IFS(O791&lt;60000,"Low (&lt;60k)",O791&lt;100000,"Mid (60-100k)",TRUE,"High (100k+)")</f>
        <v/>
      </c>
      <c r="W791" s="5">
        <f>IF(M791="No","Attrited","Active")</f>
        <v/>
      </c>
    </row>
    <row r="792">
      <c r="A792" s="5" t="inlineStr">
        <is>
          <t>E00791</t>
        </is>
      </c>
      <c r="B792" s="5" t="inlineStr">
        <is>
          <t>Female</t>
        </is>
      </c>
      <c r="C792" s="6" t="inlineStr">
        <is>
          <t>31</t>
        </is>
      </c>
      <c r="D792" s="5" t="inlineStr">
        <is>
          <t>Married</t>
        </is>
      </c>
      <c r="E792" s="5" t="inlineStr">
        <is>
          <t>High School</t>
        </is>
      </c>
      <c r="F792" s="5" t="inlineStr">
        <is>
          <t>Sales</t>
        </is>
      </c>
      <c r="G792" s="5" t="inlineStr">
        <is>
          <t>Business Development</t>
        </is>
      </c>
      <c r="H792" s="5" t="inlineStr">
        <is>
          <t>1</t>
        </is>
      </c>
      <c r="I792" s="5" t="inlineStr">
        <is>
          <t>Delhi</t>
        </is>
      </c>
      <c r="J792" s="5" t="inlineStr">
        <is>
          <t>Full-Time</t>
        </is>
      </c>
      <c r="K792" s="7" t="n">
        <v>45860</v>
      </c>
      <c r="L792" s="7" t="inlineStr"/>
      <c r="M792" s="5" t="inlineStr">
        <is>
          <t>Yes</t>
        </is>
      </c>
      <c r="N792" s="5" t="inlineStr"/>
      <c r="O792" s="8" t="inlineStr">
        <is>
          <t>68000</t>
        </is>
      </c>
      <c r="P792" s="5" t="inlineStr">
        <is>
          <t>5</t>
        </is>
      </c>
      <c r="Q792" s="5" t="inlineStr">
        <is>
          <t>5</t>
        </is>
      </c>
      <c r="R792" s="5" t="inlineStr">
        <is>
          <t>4</t>
        </is>
      </c>
      <c r="S792" s="5" t="inlineStr">
        <is>
          <t>5</t>
        </is>
      </c>
      <c r="T792" s="5" t="inlineStr">
        <is>
          <t>10</t>
        </is>
      </c>
      <c r="U792" s="5">
        <f>IFS(C792&lt;30,"Under 30",C792&lt;40,"30-39",C792&lt;50,"40-49",TRUE,"50+")</f>
        <v/>
      </c>
      <c r="V792" s="5">
        <f>IFS(O792&lt;60000,"Low (&lt;60k)",O792&lt;100000,"Mid (60-100k)",TRUE,"High (100k+)")</f>
        <v/>
      </c>
      <c r="W792" s="5">
        <f>IF(M792="No","Attrited","Active")</f>
        <v/>
      </c>
    </row>
    <row r="793">
      <c r="A793" s="5" t="inlineStr">
        <is>
          <t>E00792</t>
        </is>
      </c>
      <c r="B793" s="5" t="inlineStr">
        <is>
          <t>Male</t>
        </is>
      </c>
      <c r="C793" s="6" t="inlineStr">
        <is>
          <t>40</t>
        </is>
      </c>
      <c r="D793" s="5" t="inlineStr">
        <is>
          <t>Single</t>
        </is>
      </c>
      <c r="E793" s="5" t="inlineStr">
        <is>
          <t>Diploma</t>
        </is>
      </c>
      <c r="F793" s="5" t="inlineStr">
        <is>
          <t>Customer Support</t>
        </is>
      </c>
      <c r="G793" s="5" t="inlineStr">
        <is>
          <t>Support Agent</t>
        </is>
      </c>
      <c r="H793" s="5" t="inlineStr">
        <is>
          <t>6</t>
        </is>
      </c>
      <c r="I793" s="5" t="inlineStr">
        <is>
          <t>Hyderabad</t>
        </is>
      </c>
      <c r="J793" s="5" t="inlineStr">
        <is>
          <t>Full-Time</t>
        </is>
      </c>
      <c r="K793" s="7" t="n">
        <v>44106</v>
      </c>
      <c r="L793" s="7" t="n">
        <v>44185</v>
      </c>
      <c r="M793" s="5" t="inlineStr">
        <is>
          <t>No</t>
        </is>
      </c>
      <c r="N793" s="5" t="inlineStr">
        <is>
          <t>Resigned</t>
        </is>
      </c>
      <c r="O793" s="8" t="inlineStr">
        <is>
          <t>93500</t>
        </is>
      </c>
      <c r="P793" s="5" t="inlineStr">
        <is>
          <t>0</t>
        </is>
      </c>
      <c r="Q793" s="5" t="inlineStr">
        <is>
          <t>3</t>
        </is>
      </c>
      <c r="R793" s="5" t="inlineStr">
        <is>
          <t>9</t>
        </is>
      </c>
      <c r="S793" s="5" t="inlineStr">
        <is>
          <t>2</t>
        </is>
      </c>
      <c r="T793" s="5" t="inlineStr">
        <is>
          <t>5</t>
        </is>
      </c>
      <c r="U793" s="5">
        <f>IFS(C793&lt;30,"Under 30",C793&lt;40,"30-39",C793&lt;50,"40-49",TRUE,"50+")</f>
        <v/>
      </c>
      <c r="V793" s="5">
        <f>IFS(O793&lt;60000,"Low (&lt;60k)",O793&lt;100000,"Mid (60-100k)",TRUE,"High (100k+)")</f>
        <v/>
      </c>
      <c r="W793" s="5">
        <f>IF(M793="No","Attrited","Active")</f>
        <v/>
      </c>
    </row>
    <row r="794">
      <c r="A794" s="5" t="inlineStr">
        <is>
          <t>E00793</t>
        </is>
      </c>
      <c r="B794" s="5" t="inlineStr">
        <is>
          <t>Male</t>
        </is>
      </c>
      <c r="C794" s="6" t="inlineStr">
        <is>
          <t>24</t>
        </is>
      </c>
      <c r="D794" s="5" t="inlineStr">
        <is>
          <t>Married</t>
        </is>
      </c>
      <c r="E794" s="5" t="inlineStr">
        <is>
          <t>Master</t>
        </is>
      </c>
      <c r="F794" s="5" t="inlineStr">
        <is>
          <t>Marketing</t>
        </is>
      </c>
      <c r="G794" s="5" t="inlineStr">
        <is>
          <t>Content Writer</t>
        </is>
      </c>
      <c r="H794" s="5" t="inlineStr">
        <is>
          <t>1</t>
        </is>
      </c>
      <c r="I794" s="5" t="inlineStr">
        <is>
          <t>Hyderabad</t>
        </is>
      </c>
      <c r="J794" s="5" t="inlineStr">
        <is>
          <t>Full-Time</t>
        </is>
      </c>
      <c r="K794" s="7" t="n">
        <v>44703</v>
      </c>
      <c r="L794" s="7" t="n">
        <v>44746</v>
      </c>
      <c r="M794" s="5" t="inlineStr">
        <is>
          <t>No</t>
        </is>
      </c>
      <c r="N794" s="5" t="inlineStr">
        <is>
          <t>Resigned</t>
        </is>
      </c>
      <c r="O794" s="8" t="inlineStr">
        <is>
          <t>67000</t>
        </is>
      </c>
      <c r="P794" s="5" t="inlineStr">
        <is>
          <t>15</t>
        </is>
      </c>
      <c r="Q794" s="5" t="inlineStr">
        <is>
          <t>2</t>
        </is>
      </c>
      <c r="R794" s="5" t="inlineStr">
        <is>
          <t>7</t>
        </is>
      </c>
      <c r="S794" s="5" t="inlineStr">
        <is>
          <t>1</t>
        </is>
      </c>
      <c r="T794" s="5" t="inlineStr">
        <is>
          <t>7</t>
        </is>
      </c>
      <c r="U794" s="5">
        <f>IFS(C794&lt;30,"Under 30",C794&lt;40,"30-39",C794&lt;50,"40-49",TRUE,"50+")</f>
        <v/>
      </c>
      <c r="V794" s="5">
        <f>IFS(O794&lt;60000,"Low (&lt;60k)",O794&lt;100000,"Mid (60-100k)",TRUE,"High (100k+)")</f>
        <v/>
      </c>
      <c r="W794" s="5">
        <f>IF(M794="No","Attrited","Active")</f>
        <v/>
      </c>
    </row>
    <row r="795">
      <c r="A795" s="5" t="inlineStr">
        <is>
          <t>E00794</t>
        </is>
      </c>
      <c r="B795" s="5" t="inlineStr">
        <is>
          <t>Male</t>
        </is>
      </c>
      <c r="C795" s="6" t="inlineStr">
        <is>
          <t>34</t>
        </is>
      </c>
      <c r="D795" s="5" t="inlineStr">
        <is>
          <t>Divorced</t>
        </is>
      </c>
      <c r="E795" s="5" t="inlineStr">
        <is>
          <t>Diploma</t>
        </is>
      </c>
      <c r="F795" s="5" t="inlineStr">
        <is>
          <t>Operations</t>
        </is>
      </c>
      <c r="G795" s="5" t="inlineStr">
        <is>
          <t>Quality Analyst</t>
        </is>
      </c>
      <c r="H795" s="5" t="inlineStr">
        <is>
          <t>2</t>
        </is>
      </c>
      <c r="I795" s="5" t="inlineStr">
        <is>
          <t>Chennai</t>
        </is>
      </c>
      <c r="J795" s="5" t="inlineStr">
        <is>
          <t>Full-Time</t>
        </is>
      </c>
      <c r="K795" s="7" t="n">
        <v>44787</v>
      </c>
      <c r="L795" s="7" t="inlineStr"/>
      <c r="M795" s="5" t="inlineStr">
        <is>
          <t>Yes</t>
        </is>
      </c>
      <c r="N795" s="5" t="inlineStr"/>
      <c r="O795" s="8" t="inlineStr">
        <is>
          <t>80500</t>
        </is>
      </c>
      <c r="P795" s="5" t="inlineStr">
        <is>
          <t>5</t>
        </is>
      </c>
      <c r="Q795" s="5" t="inlineStr">
        <is>
          <t>5</t>
        </is>
      </c>
      <c r="R795" s="5" t="inlineStr">
        <is>
          <t>7</t>
        </is>
      </c>
      <c r="S795" s="5" t="inlineStr">
        <is>
          <t>41</t>
        </is>
      </c>
      <c r="T795" s="5" t="inlineStr">
        <is>
          <t>3</t>
        </is>
      </c>
      <c r="U795" s="5">
        <f>IFS(C795&lt;30,"Under 30",C795&lt;40,"30-39",C795&lt;50,"40-49",TRUE,"50+")</f>
        <v/>
      </c>
      <c r="V795" s="5">
        <f>IFS(O795&lt;60000,"Low (&lt;60k)",O795&lt;100000,"Mid (60-100k)",TRUE,"High (100k+)")</f>
        <v/>
      </c>
      <c r="W795" s="5">
        <f>IF(M795="No","Attrited","Active")</f>
        <v/>
      </c>
    </row>
    <row r="796">
      <c r="A796" s="5" t="inlineStr">
        <is>
          <t>E00795</t>
        </is>
      </c>
      <c r="B796" s="5" t="inlineStr">
        <is>
          <t>Male</t>
        </is>
      </c>
      <c r="C796" s="6" t="inlineStr">
        <is>
          <t>36</t>
        </is>
      </c>
      <c r="D796" s="5" t="inlineStr">
        <is>
          <t>Married</t>
        </is>
      </c>
      <c r="E796" s="5" t="inlineStr">
        <is>
          <t>High School</t>
        </is>
      </c>
      <c r="F796" s="5" t="inlineStr">
        <is>
          <t>IT</t>
        </is>
      </c>
      <c r="G796" s="5" t="inlineStr">
        <is>
          <t>Software Engineer</t>
        </is>
      </c>
      <c r="H796" s="5" t="inlineStr">
        <is>
          <t>4</t>
        </is>
      </c>
      <c r="I796" s="5" t="inlineStr">
        <is>
          <t>Delhi</t>
        </is>
      </c>
      <c r="J796" s="5" t="inlineStr">
        <is>
          <t>Full-Time</t>
        </is>
      </c>
      <c r="K796" s="7" t="n">
        <v>44518</v>
      </c>
      <c r="L796" s="7" t="inlineStr"/>
      <c r="M796" s="5" t="inlineStr">
        <is>
          <t>Yes</t>
        </is>
      </c>
      <c r="N796" s="5" t="inlineStr"/>
      <c r="O796" s="8" t="inlineStr">
        <is>
          <t>165000</t>
        </is>
      </c>
      <c r="P796" s="5" t="inlineStr">
        <is>
          <t>15</t>
        </is>
      </c>
      <c r="Q796" s="5" t="inlineStr">
        <is>
          <t>3</t>
        </is>
      </c>
      <c r="R796" s="5" t="inlineStr">
        <is>
          <t>6</t>
        </is>
      </c>
      <c r="S796" s="5" t="inlineStr">
        <is>
          <t>50</t>
        </is>
      </c>
      <c r="T796" s="5" t="inlineStr">
        <is>
          <t>15</t>
        </is>
      </c>
      <c r="U796" s="5">
        <f>IFS(C796&lt;30,"Under 30",C796&lt;40,"30-39",C796&lt;50,"40-49",TRUE,"50+")</f>
        <v/>
      </c>
      <c r="V796" s="5">
        <f>IFS(O796&lt;60000,"Low (&lt;60k)",O796&lt;100000,"Mid (60-100k)",TRUE,"High (100k+)")</f>
        <v/>
      </c>
      <c r="W796" s="5">
        <f>IF(M796="No","Attrited","Active")</f>
        <v/>
      </c>
    </row>
    <row r="797">
      <c r="A797" s="5" t="inlineStr">
        <is>
          <t>E00796</t>
        </is>
      </c>
      <c r="B797" s="5" t="inlineStr">
        <is>
          <t>Female</t>
        </is>
      </c>
      <c r="C797" s="6" t="inlineStr">
        <is>
          <t>32</t>
        </is>
      </c>
      <c r="D797" s="5" t="inlineStr">
        <is>
          <t>Married</t>
        </is>
      </c>
      <c r="E797" s="5" t="inlineStr">
        <is>
          <t>PhD</t>
        </is>
      </c>
      <c r="F797" s="5" t="inlineStr">
        <is>
          <t>Marketing</t>
        </is>
      </c>
      <c r="G797" s="5" t="inlineStr">
        <is>
          <t>SEO Specialist</t>
        </is>
      </c>
      <c r="H797" s="5" t="inlineStr">
        <is>
          <t>5</t>
        </is>
      </c>
      <c r="I797" s="5" t="inlineStr">
        <is>
          <t>Chennai</t>
        </is>
      </c>
      <c r="J797" s="5" t="inlineStr">
        <is>
          <t>Full-Time</t>
        </is>
      </c>
      <c r="K797" s="7" t="n">
        <v>45359</v>
      </c>
      <c r="L797" s="7" t="inlineStr"/>
      <c r="M797" s="5" t="inlineStr">
        <is>
          <t>Yes</t>
        </is>
      </c>
      <c r="N797" s="5" t="inlineStr"/>
      <c r="O797" s="8" t="inlineStr">
        <is>
          <t>130000</t>
        </is>
      </c>
      <c r="P797" s="5" t="inlineStr">
        <is>
          <t>0</t>
        </is>
      </c>
      <c r="Q797" s="5" t="inlineStr">
        <is>
          <t>4</t>
        </is>
      </c>
      <c r="R797" s="5" t="inlineStr">
        <is>
          <t>6</t>
        </is>
      </c>
      <c r="S797" s="5" t="inlineStr">
        <is>
          <t>22</t>
        </is>
      </c>
      <c r="T797" s="5" t="inlineStr">
        <is>
          <t>7</t>
        </is>
      </c>
      <c r="U797" s="5">
        <f>IFS(C797&lt;30,"Under 30",C797&lt;40,"30-39",C797&lt;50,"40-49",TRUE,"50+")</f>
        <v/>
      </c>
      <c r="V797" s="5">
        <f>IFS(O797&lt;60000,"Low (&lt;60k)",O797&lt;100000,"Mid (60-100k)",TRUE,"High (100k+)")</f>
        <v/>
      </c>
      <c r="W797" s="5">
        <f>IF(M797="No","Attrited","Active")</f>
        <v/>
      </c>
    </row>
    <row r="798">
      <c r="A798" s="5" t="inlineStr">
        <is>
          <t>E00797</t>
        </is>
      </c>
      <c r="B798" s="5" t="inlineStr">
        <is>
          <t>Female</t>
        </is>
      </c>
      <c r="C798" s="6" t="inlineStr">
        <is>
          <t>35</t>
        </is>
      </c>
      <c r="D798" s="5" t="inlineStr">
        <is>
          <t>Single</t>
        </is>
      </c>
      <c r="E798" s="5" t="inlineStr">
        <is>
          <t>Master</t>
        </is>
      </c>
      <c r="F798" s="5" t="inlineStr">
        <is>
          <t>IT</t>
        </is>
      </c>
      <c r="G798" s="5" t="inlineStr">
        <is>
          <t>IT Support</t>
        </is>
      </c>
      <c r="H798" s="5" t="inlineStr">
        <is>
          <t>2</t>
        </is>
      </c>
      <c r="I798" s="5" t="inlineStr">
        <is>
          <t>Chennai</t>
        </is>
      </c>
      <c r="J798" s="5" t="inlineStr">
        <is>
          <t>Full-Time</t>
        </is>
      </c>
      <c r="K798" s="7" t="n">
        <v>46004</v>
      </c>
      <c r="L798" s="7" t="inlineStr"/>
      <c r="M798" s="5" t="inlineStr">
        <is>
          <t>Yes</t>
        </is>
      </c>
      <c r="N798" s="5" t="inlineStr"/>
      <c r="O798" s="8" t="inlineStr">
        <is>
          <t>144500</t>
        </is>
      </c>
      <c r="P798" s="5" t="inlineStr">
        <is>
          <t>0</t>
        </is>
      </c>
      <c r="Q798" s="5" t="inlineStr">
        <is>
          <t>3</t>
        </is>
      </c>
      <c r="R798" s="5" t="inlineStr">
        <is>
          <t>5</t>
        </is>
      </c>
      <c r="S798" s="5" t="inlineStr">
        <is>
          <t>1</t>
        </is>
      </c>
      <c r="T798" s="5" t="inlineStr">
        <is>
          <t>11</t>
        </is>
      </c>
      <c r="U798" s="5">
        <f>IFS(C798&lt;30,"Under 30",C798&lt;40,"30-39",C798&lt;50,"40-49",TRUE,"50+")</f>
        <v/>
      </c>
      <c r="V798" s="5">
        <f>IFS(O798&lt;60000,"Low (&lt;60k)",O798&lt;100000,"Mid (60-100k)",TRUE,"High (100k+)")</f>
        <v/>
      </c>
      <c r="W798" s="5">
        <f>IF(M798="No","Attrited","Active")</f>
        <v/>
      </c>
    </row>
    <row r="799">
      <c r="A799" s="5" t="inlineStr">
        <is>
          <t>E00798</t>
        </is>
      </c>
      <c r="B799" s="5" t="inlineStr">
        <is>
          <t>Female</t>
        </is>
      </c>
      <c r="C799" s="6" t="inlineStr">
        <is>
          <t>29</t>
        </is>
      </c>
      <c r="D799" s="5" t="inlineStr">
        <is>
          <t>Single</t>
        </is>
      </c>
      <c r="E799" s="5" t="inlineStr">
        <is>
          <t>Bachelor</t>
        </is>
      </c>
      <c r="F799" s="5" t="inlineStr">
        <is>
          <t>IT</t>
        </is>
      </c>
      <c r="G799" s="5" t="inlineStr">
        <is>
          <t>Software Engineer</t>
        </is>
      </c>
      <c r="H799" s="5" t="inlineStr">
        <is>
          <t>3</t>
        </is>
      </c>
      <c r="I799" s="5" t="inlineStr">
        <is>
          <t>Bengaluru</t>
        </is>
      </c>
      <c r="J799" s="5" t="inlineStr">
        <is>
          <t>Full-Time</t>
        </is>
      </c>
      <c r="K799" s="7" t="n">
        <v>45232</v>
      </c>
      <c r="L799" s="7" t="inlineStr"/>
      <c r="M799" s="5" t="inlineStr">
        <is>
          <t>Yes</t>
        </is>
      </c>
      <c r="N799" s="5" t="inlineStr"/>
      <c r="O799" s="8" t="inlineStr">
        <is>
          <t>119000</t>
        </is>
      </c>
      <c r="P799" s="5" t="inlineStr">
        <is>
          <t>0</t>
        </is>
      </c>
      <c r="Q799" s="5" t="inlineStr">
        <is>
          <t>3</t>
        </is>
      </c>
      <c r="R799" s="5" t="inlineStr">
        <is>
          <t>6</t>
        </is>
      </c>
      <c r="S799" s="5" t="inlineStr">
        <is>
          <t>26</t>
        </is>
      </c>
      <c r="T799" s="5" t="inlineStr">
        <is>
          <t>11</t>
        </is>
      </c>
      <c r="U799" s="5">
        <f>IFS(C799&lt;30,"Under 30",C799&lt;40,"30-39",C799&lt;50,"40-49",TRUE,"50+")</f>
        <v/>
      </c>
      <c r="V799" s="5">
        <f>IFS(O799&lt;60000,"Low (&lt;60k)",O799&lt;100000,"Mid (60-100k)",TRUE,"High (100k+)")</f>
        <v/>
      </c>
      <c r="W799" s="5">
        <f>IF(M799="No","Attrited","Active")</f>
        <v/>
      </c>
    </row>
    <row r="800">
      <c r="A800" s="5" t="inlineStr">
        <is>
          <t>E00799</t>
        </is>
      </c>
      <c r="B800" s="5" t="inlineStr">
        <is>
          <t>Female</t>
        </is>
      </c>
      <c r="C800" s="6" t="inlineStr">
        <is>
          <t>38</t>
        </is>
      </c>
      <c r="D800" s="5" t="inlineStr">
        <is>
          <t>Married</t>
        </is>
      </c>
      <c r="E800" s="5" t="inlineStr">
        <is>
          <t>Master</t>
        </is>
      </c>
      <c r="F800" s="5" t="inlineStr">
        <is>
          <t>Operations</t>
        </is>
      </c>
      <c r="G800" s="5" t="inlineStr">
        <is>
          <t>Operations Analyst</t>
        </is>
      </c>
      <c r="H800" s="5" t="inlineStr">
        <is>
          <t>3</t>
        </is>
      </c>
      <c r="I800" s="5" t="inlineStr">
        <is>
          <t>Chennai</t>
        </is>
      </c>
      <c r="J800" s="5" t="inlineStr">
        <is>
          <t>Full-Time</t>
        </is>
      </c>
      <c r="K800" s="7" t="n">
        <v>45808</v>
      </c>
      <c r="L800" s="7" t="inlineStr"/>
      <c r="M800" s="5" t="inlineStr">
        <is>
          <t>Yes</t>
        </is>
      </c>
      <c r="N800" s="5" t="inlineStr"/>
      <c r="O800" s="8" t="inlineStr">
        <is>
          <t>126500</t>
        </is>
      </c>
      <c r="P800" s="5" t="inlineStr">
        <is>
          <t>10</t>
        </is>
      </c>
      <c r="Q800" s="5" t="inlineStr">
        <is>
          <t>5</t>
        </is>
      </c>
      <c r="R800" s="5" t="inlineStr">
        <is>
          <t>9</t>
        </is>
      </c>
      <c r="S800" s="5" t="inlineStr">
        <is>
          <t>7</t>
        </is>
      </c>
      <c r="T800" s="5" t="inlineStr">
        <is>
          <t>0</t>
        </is>
      </c>
      <c r="U800" s="5">
        <f>IFS(C800&lt;30,"Under 30",C800&lt;40,"30-39",C800&lt;50,"40-49",TRUE,"50+")</f>
        <v/>
      </c>
      <c r="V800" s="5">
        <f>IFS(O800&lt;60000,"Low (&lt;60k)",O800&lt;100000,"Mid (60-100k)",TRUE,"High (100k+)")</f>
        <v/>
      </c>
      <c r="W800" s="5">
        <f>IF(M800="No","Attrited","Active")</f>
        <v/>
      </c>
    </row>
    <row r="801">
      <c r="A801" s="5" t="inlineStr">
        <is>
          <t>E00800</t>
        </is>
      </c>
      <c r="B801" s="5" t="inlineStr">
        <is>
          <t>Male</t>
        </is>
      </c>
      <c r="C801" s="6" t="inlineStr">
        <is>
          <t>28</t>
        </is>
      </c>
      <c r="D801" s="5" t="inlineStr">
        <is>
          <t>Married</t>
        </is>
      </c>
      <c r="E801" s="5" t="inlineStr">
        <is>
          <t>Diploma</t>
        </is>
      </c>
      <c r="F801" s="5" t="inlineStr">
        <is>
          <t>Operations</t>
        </is>
      </c>
      <c r="G801" s="5" t="inlineStr">
        <is>
          <t>Operations Analyst</t>
        </is>
      </c>
      <c r="H801" s="5" t="inlineStr">
        <is>
          <t>1</t>
        </is>
      </c>
      <c r="I801" s="5" t="inlineStr">
        <is>
          <t>Delhi</t>
        </is>
      </c>
      <c r="J801" s="5" t="inlineStr">
        <is>
          <t>Full-Time</t>
        </is>
      </c>
      <c r="K801" s="7" t="n">
        <v>45695</v>
      </c>
      <c r="L801" s="7" t="inlineStr"/>
      <c r="M801" s="5" t="inlineStr">
        <is>
          <t>Yes</t>
        </is>
      </c>
      <c r="N801" s="5" t="inlineStr"/>
      <c r="O801" s="8" t="inlineStr">
        <is>
          <t>58500</t>
        </is>
      </c>
      <c r="P801" s="5" t="inlineStr">
        <is>
          <t>15</t>
        </is>
      </c>
      <c r="Q801" s="5" t="inlineStr">
        <is>
          <t>4</t>
        </is>
      </c>
      <c r="R801" s="5" t="inlineStr">
        <is>
          <t>4</t>
        </is>
      </c>
      <c r="S801" s="5" t="inlineStr">
        <is>
          <t>10</t>
        </is>
      </c>
      <c r="T801" s="5" t="inlineStr">
        <is>
          <t>0</t>
        </is>
      </c>
      <c r="U801" s="5">
        <f>IFS(C801&lt;30,"Under 30",C801&lt;40,"30-39",C801&lt;50,"40-49",TRUE,"50+")</f>
        <v/>
      </c>
      <c r="V801" s="5">
        <f>IFS(O801&lt;60000,"Low (&lt;60k)",O801&lt;100000,"Mid (60-100k)",TRUE,"High (100k+)")</f>
        <v/>
      </c>
      <c r="W801" s="5">
        <f>IF(M801="No","Attrited","Active")</f>
        <v/>
      </c>
    </row>
    <row r="802">
      <c r="A802" s="5" t="inlineStr">
        <is>
          <t>E00801</t>
        </is>
      </c>
      <c r="B802" s="5" t="inlineStr">
        <is>
          <t>Female</t>
        </is>
      </c>
      <c r="C802" s="6" t="inlineStr">
        <is>
          <t>33</t>
        </is>
      </c>
      <c r="D802" s="5" t="inlineStr">
        <is>
          <t>Single</t>
        </is>
      </c>
      <c r="E802" s="5" t="inlineStr">
        <is>
          <t>Diploma</t>
        </is>
      </c>
      <c r="F802" s="5" t="inlineStr">
        <is>
          <t>Customer Support</t>
        </is>
      </c>
      <c r="G802" s="5" t="inlineStr">
        <is>
          <t>Support Agent</t>
        </is>
      </c>
      <c r="H802" s="5" t="inlineStr">
        <is>
          <t>3</t>
        </is>
      </c>
      <c r="I802" s="5" t="inlineStr">
        <is>
          <t>Remote</t>
        </is>
      </c>
      <c r="J802" s="5" t="inlineStr">
        <is>
          <t>Part-Time</t>
        </is>
      </c>
      <c r="K802" s="7" t="n">
        <v>44044</v>
      </c>
      <c r="L802" s="7" t="inlineStr"/>
      <c r="M802" s="5" t="inlineStr">
        <is>
          <t>Yes</t>
        </is>
      </c>
      <c r="N802" s="5" t="inlineStr"/>
      <c r="O802" s="8" t="inlineStr">
        <is>
          <t>90000</t>
        </is>
      </c>
      <c r="P802" s="5" t="inlineStr">
        <is>
          <t>0</t>
        </is>
      </c>
      <c r="Q802" s="5" t="inlineStr">
        <is>
          <t>5</t>
        </is>
      </c>
      <c r="R802" s="5" t="inlineStr">
        <is>
          <t>6</t>
        </is>
      </c>
      <c r="S802" s="5" t="inlineStr">
        <is>
          <t>65</t>
        </is>
      </c>
      <c r="T802" s="5" t="inlineStr">
        <is>
          <t>0</t>
        </is>
      </c>
      <c r="U802" s="5">
        <f>IFS(C802&lt;30,"Under 30",C802&lt;40,"30-39",C802&lt;50,"40-49",TRUE,"50+")</f>
        <v/>
      </c>
      <c r="V802" s="5">
        <f>IFS(O802&lt;60000,"Low (&lt;60k)",O802&lt;100000,"Mid (60-100k)",TRUE,"High (100k+)")</f>
        <v/>
      </c>
      <c r="W802" s="5">
        <f>IF(M802="No","Attrited","Active")</f>
        <v/>
      </c>
    </row>
    <row r="803">
      <c r="A803" s="5" t="inlineStr">
        <is>
          <t>E00802</t>
        </is>
      </c>
      <c r="B803" s="5" t="inlineStr">
        <is>
          <t>Male</t>
        </is>
      </c>
      <c r="C803" s="6" t="inlineStr">
        <is>
          <t>36</t>
        </is>
      </c>
      <c r="D803" s="5" t="inlineStr">
        <is>
          <t>Married</t>
        </is>
      </c>
      <c r="E803" s="5" t="inlineStr">
        <is>
          <t>Bachelor</t>
        </is>
      </c>
      <c r="F803" s="5" t="inlineStr">
        <is>
          <t>Customer Support</t>
        </is>
      </c>
      <c r="G803" s="5" t="inlineStr">
        <is>
          <t>Support Agent</t>
        </is>
      </c>
      <c r="H803" s="5" t="inlineStr">
        <is>
          <t>7</t>
        </is>
      </c>
      <c r="I803" s="5" t="inlineStr">
        <is>
          <t>Bengaluru</t>
        </is>
      </c>
      <c r="J803" s="5" t="inlineStr">
        <is>
          <t>Full-Time</t>
        </is>
      </c>
      <c r="K803" s="7" t="n">
        <v>45814</v>
      </c>
      <c r="L803" s="7" t="inlineStr"/>
      <c r="M803" s="5" t="inlineStr">
        <is>
          <t>Yes</t>
        </is>
      </c>
      <c r="N803" s="5" t="inlineStr"/>
      <c r="O803" s="8" t="inlineStr">
        <is>
          <t>111500</t>
        </is>
      </c>
      <c r="P803" s="5" t="inlineStr">
        <is>
          <t>10</t>
        </is>
      </c>
      <c r="Q803" s="5" t="inlineStr">
        <is>
          <t>3</t>
        </is>
      </c>
      <c r="R803" s="5" t="inlineStr">
        <is>
          <t>4</t>
        </is>
      </c>
      <c r="S803" s="5" t="inlineStr">
        <is>
          <t>6</t>
        </is>
      </c>
      <c r="T803" s="5" t="inlineStr">
        <is>
          <t>9</t>
        </is>
      </c>
      <c r="U803" s="5">
        <f>IFS(C803&lt;30,"Under 30",C803&lt;40,"30-39",C803&lt;50,"40-49",TRUE,"50+")</f>
        <v/>
      </c>
      <c r="V803" s="5">
        <f>IFS(O803&lt;60000,"Low (&lt;60k)",O803&lt;100000,"Mid (60-100k)",TRUE,"High (100k+)")</f>
        <v/>
      </c>
      <c r="W803" s="5">
        <f>IF(M803="No","Attrited","Active")</f>
        <v/>
      </c>
    </row>
    <row r="804">
      <c r="A804" s="5" t="inlineStr">
        <is>
          <t>E00803</t>
        </is>
      </c>
      <c r="B804" s="5" t="inlineStr">
        <is>
          <t>Female</t>
        </is>
      </c>
      <c r="C804" s="6" t="inlineStr">
        <is>
          <t>37</t>
        </is>
      </c>
      <c r="D804" s="5" t="inlineStr">
        <is>
          <t>Married</t>
        </is>
      </c>
      <c r="E804" s="5" t="inlineStr">
        <is>
          <t>High School</t>
        </is>
      </c>
      <c r="F804" s="5" t="inlineStr">
        <is>
          <t>Operations</t>
        </is>
      </c>
      <c r="G804" s="5" t="inlineStr">
        <is>
          <t>Logistics Coordinator</t>
        </is>
      </c>
      <c r="H804" s="5" t="inlineStr">
        <is>
          <t>4</t>
        </is>
      </c>
      <c r="I804" s="5" t="inlineStr">
        <is>
          <t>Remote</t>
        </is>
      </c>
      <c r="J804" s="5" t="inlineStr">
        <is>
          <t>Full-Time</t>
        </is>
      </c>
      <c r="K804" s="7" t="n">
        <v>44326</v>
      </c>
      <c r="L804" s="7" t="inlineStr"/>
      <c r="M804" s="5" t="inlineStr">
        <is>
          <t>Yes</t>
        </is>
      </c>
      <c r="N804" s="5" t="inlineStr"/>
      <c r="O804" s="8" t="inlineStr">
        <is>
          <t>117500</t>
        </is>
      </c>
      <c r="P804" s="5" t="inlineStr">
        <is>
          <t>20</t>
        </is>
      </c>
      <c r="Q804" s="5" t="inlineStr">
        <is>
          <t>2</t>
        </is>
      </c>
      <c r="R804" s="5" t="inlineStr">
        <is>
          <t>6</t>
        </is>
      </c>
      <c r="S804" s="5" t="inlineStr">
        <is>
          <t>56</t>
        </is>
      </c>
      <c r="T804" s="5" t="inlineStr">
        <is>
          <t>3</t>
        </is>
      </c>
      <c r="U804" s="5">
        <f>IFS(C804&lt;30,"Under 30",C804&lt;40,"30-39",C804&lt;50,"40-49",TRUE,"50+")</f>
        <v/>
      </c>
      <c r="V804" s="5">
        <f>IFS(O804&lt;60000,"Low (&lt;60k)",O804&lt;100000,"Mid (60-100k)",TRUE,"High (100k+)")</f>
        <v/>
      </c>
      <c r="W804" s="5">
        <f>IF(M804="No","Attrited","Active")</f>
        <v/>
      </c>
    </row>
    <row r="805">
      <c r="A805" s="5" t="inlineStr">
        <is>
          <t>E00804</t>
        </is>
      </c>
      <c r="B805" s="5" t="inlineStr">
        <is>
          <t>Male</t>
        </is>
      </c>
      <c r="C805" s="6" t="inlineStr">
        <is>
          <t>30</t>
        </is>
      </c>
      <c r="D805" s="5" t="inlineStr">
        <is>
          <t>Single</t>
        </is>
      </c>
      <c r="E805" s="5" t="inlineStr">
        <is>
          <t>Master</t>
        </is>
      </c>
      <c r="F805" s="5" t="inlineStr">
        <is>
          <t>Operations</t>
        </is>
      </c>
      <c r="G805" s="5" t="inlineStr">
        <is>
          <t>Operations Analyst</t>
        </is>
      </c>
      <c r="H805" s="5" t="inlineStr">
        <is>
          <t>2</t>
        </is>
      </c>
      <c r="I805" s="5" t="inlineStr">
        <is>
          <t>Delhi</t>
        </is>
      </c>
      <c r="J805" s="5" t="inlineStr">
        <is>
          <t>Full-Time</t>
        </is>
      </c>
      <c r="K805" s="7" t="n">
        <v>44014</v>
      </c>
      <c r="L805" s="7" t="inlineStr"/>
      <c r="M805" s="5" t="inlineStr">
        <is>
          <t>Yes</t>
        </is>
      </c>
      <c r="N805" s="5" t="inlineStr"/>
      <c r="O805" s="8" t="inlineStr">
        <is>
          <t>71000</t>
        </is>
      </c>
      <c r="P805" s="5" t="inlineStr">
        <is>
          <t>0</t>
        </is>
      </c>
      <c r="Q805" s="5" t="inlineStr">
        <is>
          <t>3</t>
        </is>
      </c>
      <c r="R805" s="5" t="inlineStr">
        <is>
          <t>6</t>
        </is>
      </c>
      <c r="S805" s="5" t="inlineStr">
        <is>
          <t>66</t>
        </is>
      </c>
      <c r="T805" s="5" t="inlineStr">
        <is>
          <t>7</t>
        </is>
      </c>
      <c r="U805" s="5">
        <f>IFS(C805&lt;30,"Under 30",C805&lt;40,"30-39",C805&lt;50,"40-49",TRUE,"50+")</f>
        <v/>
      </c>
      <c r="V805" s="5">
        <f>IFS(O805&lt;60000,"Low (&lt;60k)",O805&lt;100000,"Mid (60-100k)",TRUE,"High (100k+)")</f>
        <v/>
      </c>
      <c r="W805" s="5">
        <f>IF(M805="No","Attrited","Active")</f>
        <v/>
      </c>
    </row>
    <row r="806">
      <c r="A806" s="5" t="inlineStr">
        <is>
          <t>E00805</t>
        </is>
      </c>
      <c r="B806" s="5" t="inlineStr">
        <is>
          <t>Female</t>
        </is>
      </c>
      <c r="C806" s="6" t="inlineStr">
        <is>
          <t>30</t>
        </is>
      </c>
      <c r="D806" s="5" t="inlineStr">
        <is>
          <t>Divorced</t>
        </is>
      </c>
      <c r="E806" s="5" t="inlineStr">
        <is>
          <t>Diploma</t>
        </is>
      </c>
      <c r="F806" s="5" t="inlineStr">
        <is>
          <t>IT</t>
        </is>
      </c>
      <c r="G806" s="5" t="inlineStr">
        <is>
          <t>Data Analyst</t>
        </is>
      </c>
      <c r="H806" s="5" t="inlineStr">
        <is>
          <t>3</t>
        </is>
      </c>
      <c r="I806" s="5" t="inlineStr">
        <is>
          <t>Bengaluru</t>
        </is>
      </c>
      <c r="J806" s="5" t="inlineStr">
        <is>
          <t>Contract</t>
        </is>
      </c>
      <c r="K806" s="7" t="n">
        <v>45363</v>
      </c>
      <c r="L806" s="7" t="inlineStr"/>
      <c r="M806" s="5" t="inlineStr">
        <is>
          <t>Yes</t>
        </is>
      </c>
      <c r="N806" s="5" t="inlineStr"/>
      <c r="O806" s="8" t="inlineStr">
        <is>
          <t>168000</t>
        </is>
      </c>
      <c r="P806" s="5" t="inlineStr">
        <is>
          <t>0</t>
        </is>
      </c>
      <c r="Q806" s="5" t="inlineStr">
        <is>
          <t>3</t>
        </is>
      </c>
      <c r="R806" s="5" t="inlineStr">
        <is>
          <t>9</t>
        </is>
      </c>
      <c r="S806" s="5" t="inlineStr">
        <is>
          <t>21</t>
        </is>
      </c>
      <c r="T806" s="5" t="inlineStr">
        <is>
          <t>0</t>
        </is>
      </c>
      <c r="U806" s="5">
        <f>IFS(C806&lt;30,"Under 30",C806&lt;40,"30-39",C806&lt;50,"40-49",TRUE,"50+")</f>
        <v/>
      </c>
      <c r="V806" s="5">
        <f>IFS(O806&lt;60000,"Low (&lt;60k)",O806&lt;100000,"Mid (60-100k)",TRUE,"High (100k+)")</f>
        <v/>
      </c>
      <c r="W806" s="5">
        <f>IF(M806="No","Attrited","Active")</f>
        <v/>
      </c>
    </row>
    <row r="807">
      <c r="A807" s="5" t="inlineStr">
        <is>
          <t>E00806</t>
        </is>
      </c>
      <c r="B807" s="5" t="inlineStr">
        <is>
          <t>Male</t>
        </is>
      </c>
      <c r="C807" s="6" t="inlineStr">
        <is>
          <t>30</t>
        </is>
      </c>
      <c r="D807" s="5" t="inlineStr">
        <is>
          <t>Married</t>
        </is>
      </c>
      <c r="E807" s="5" t="inlineStr">
        <is>
          <t>Bachelor</t>
        </is>
      </c>
      <c r="F807" s="5" t="inlineStr">
        <is>
          <t>Marketing</t>
        </is>
      </c>
      <c r="G807" s="5" t="inlineStr">
        <is>
          <t>Marketing Analyst</t>
        </is>
      </c>
      <c r="H807" s="5" t="inlineStr">
        <is>
          <t>4</t>
        </is>
      </c>
      <c r="I807" s="5" t="inlineStr">
        <is>
          <t>Delhi</t>
        </is>
      </c>
      <c r="J807" s="5" t="inlineStr">
        <is>
          <t>Full-Time</t>
        </is>
      </c>
      <c r="K807" s="7" t="n">
        <v>44997</v>
      </c>
      <c r="L807" s="7" t="inlineStr"/>
      <c r="M807" s="5" t="inlineStr">
        <is>
          <t>Yes</t>
        </is>
      </c>
      <c r="N807" s="5" t="inlineStr"/>
      <c r="O807" s="8" t="inlineStr">
        <is>
          <t>128500</t>
        </is>
      </c>
      <c r="P807" s="5" t="inlineStr">
        <is>
          <t>0</t>
        </is>
      </c>
      <c r="Q807" s="5" t="inlineStr">
        <is>
          <t>5</t>
        </is>
      </c>
      <c r="R807" s="5" t="inlineStr">
        <is>
          <t>4</t>
        </is>
      </c>
      <c r="S807" s="5" t="inlineStr">
        <is>
          <t>34</t>
        </is>
      </c>
      <c r="T807" s="5" t="inlineStr">
        <is>
          <t>10</t>
        </is>
      </c>
      <c r="U807" s="5">
        <f>IFS(C807&lt;30,"Under 30",C807&lt;40,"30-39",C807&lt;50,"40-49",TRUE,"50+")</f>
        <v/>
      </c>
      <c r="V807" s="5">
        <f>IFS(O807&lt;60000,"Low (&lt;60k)",O807&lt;100000,"Mid (60-100k)",TRUE,"High (100k+)")</f>
        <v/>
      </c>
      <c r="W807" s="5">
        <f>IF(M807="No","Attrited","Active")</f>
        <v/>
      </c>
    </row>
    <row r="808">
      <c r="A808" s="5" t="inlineStr">
        <is>
          <t>E00807</t>
        </is>
      </c>
      <c r="B808" s="5" t="inlineStr">
        <is>
          <t>Male</t>
        </is>
      </c>
      <c r="C808" s="6" t="inlineStr">
        <is>
          <t>31</t>
        </is>
      </c>
      <c r="D808" s="5" t="inlineStr">
        <is>
          <t>Married</t>
        </is>
      </c>
      <c r="E808" s="5" t="inlineStr">
        <is>
          <t>Master</t>
        </is>
      </c>
      <c r="F808" s="5" t="inlineStr">
        <is>
          <t>Finance</t>
        </is>
      </c>
      <c r="G808" s="5" t="inlineStr">
        <is>
          <t>Accountant</t>
        </is>
      </c>
      <c r="H808" s="5" t="inlineStr">
        <is>
          <t>1</t>
        </is>
      </c>
      <c r="I808" s="5" t="inlineStr">
        <is>
          <t>Hyderabad</t>
        </is>
      </c>
      <c r="J808" s="5" t="inlineStr">
        <is>
          <t>Full-Time</t>
        </is>
      </c>
      <c r="K808" s="7" t="n">
        <v>45229</v>
      </c>
      <c r="L808" s="7" t="n">
        <v>45310</v>
      </c>
      <c r="M808" s="5" t="inlineStr">
        <is>
          <t>No</t>
        </is>
      </c>
      <c r="N808" s="5" t="inlineStr">
        <is>
          <t>Layoff</t>
        </is>
      </c>
      <c r="O808" s="8" t="inlineStr">
        <is>
          <t>70500</t>
        </is>
      </c>
      <c r="P808" s="5" t="inlineStr">
        <is>
          <t>0</t>
        </is>
      </c>
      <c r="Q808" s="5" t="inlineStr">
        <is>
          <t>3</t>
        </is>
      </c>
      <c r="R808" s="5" t="inlineStr">
        <is>
          <t>5</t>
        </is>
      </c>
      <c r="S808" s="5" t="inlineStr">
        <is>
          <t>2</t>
        </is>
      </c>
      <c r="T808" s="5" t="inlineStr">
        <is>
          <t>7</t>
        </is>
      </c>
      <c r="U808" s="5">
        <f>IFS(C808&lt;30,"Under 30",C808&lt;40,"30-39",C808&lt;50,"40-49",TRUE,"50+")</f>
        <v/>
      </c>
      <c r="V808" s="5">
        <f>IFS(O808&lt;60000,"Low (&lt;60k)",O808&lt;100000,"Mid (60-100k)",TRUE,"High (100k+)")</f>
        <v/>
      </c>
      <c r="W808" s="5">
        <f>IF(M808="No","Attrited","Active")</f>
        <v/>
      </c>
    </row>
    <row r="809">
      <c r="A809" s="5" t="inlineStr">
        <is>
          <t>E00808</t>
        </is>
      </c>
      <c r="B809" s="5" t="inlineStr">
        <is>
          <t>Male</t>
        </is>
      </c>
      <c r="C809" s="6" t="inlineStr">
        <is>
          <t>25</t>
        </is>
      </c>
      <c r="D809" s="5" t="inlineStr">
        <is>
          <t>Married</t>
        </is>
      </c>
      <c r="E809" s="5" t="inlineStr">
        <is>
          <t>High School</t>
        </is>
      </c>
      <c r="F809" s="5" t="inlineStr">
        <is>
          <t>Marketing</t>
        </is>
      </c>
      <c r="G809" s="5" t="inlineStr">
        <is>
          <t>Content Writer</t>
        </is>
      </c>
      <c r="H809" s="5" t="inlineStr">
        <is>
          <t>2</t>
        </is>
      </c>
      <c r="I809" s="5" t="inlineStr">
        <is>
          <t>Remote</t>
        </is>
      </c>
      <c r="J809" s="5" t="inlineStr">
        <is>
          <t>Full-Time</t>
        </is>
      </c>
      <c r="K809" s="7" t="n">
        <v>45846</v>
      </c>
      <c r="L809" s="7" t="inlineStr"/>
      <c r="M809" s="5" t="inlineStr">
        <is>
          <t>Yes</t>
        </is>
      </c>
      <c r="N809" s="5" t="inlineStr"/>
      <c r="O809" s="8" t="inlineStr">
        <is>
          <t>73000</t>
        </is>
      </c>
      <c r="P809" s="5" t="inlineStr">
        <is>
          <t>0</t>
        </is>
      </c>
      <c r="Q809" s="5" t="inlineStr">
        <is>
          <t>3</t>
        </is>
      </c>
      <c r="R809" s="5" t="inlineStr">
        <is>
          <t>6</t>
        </is>
      </c>
      <c r="S809" s="5" t="inlineStr">
        <is>
          <t>5</t>
        </is>
      </c>
      <c r="T809" s="5" t="inlineStr">
        <is>
          <t>6</t>
        </is>
      </c>
      <c r="U809" s="5">
        <f>IFS(C809&lt;30,"Under 30",C809&lt;40,"30-39",C809&lt;50,"40-49",TRUE,"50+")</f>
        <v/>
      </c>
      <c r="V809" s="5">
        <f>IFS(O809&lt;60000,"Low (&lt;60k)",O809&lt;100000,"Mid (60-100k)",TRUE,"High (100k+)")</f>
        <v/>
      </c>
      <c r="W809" s="5">
        <f>IF(M809="No","Attrited","Active")</f>
        <v/>
      </c>
    </row>
    <row r="810">
      <c r="A810" s="5" t="inlineStr">
        <is>
          <t>E00809</t>
        </is>
      </c>
      <c r="B810" s="5" t="inlineStr">
        <is>
          <t>Male</t>
        </is>
      </c>
      <c r="C810" s="6" t="inlineStr">
        <is>
          <t>26</t>
        </is>
      </c>
      <c r="D810" s="5" t="inlineStr">
        <is>
          <t>Single</t>
        </is>
      </c>
      <c r="E810" s="5" t="inlineStr">
        <is>
          <t>High School</t>
        </is>
      </c>
      <c r="F810" s="5" t="inlineStr">
        <is>
          <t>Sales</t>
        </is>
      </c>
      <c r="G810" s="5" t="inlineStr">
        <is>
          <t>Business Development</t>
        </is>
      </c>
      <c r="H810" s="5" t="inlineStr">
        <is>
          <t>1</t>
        </is>
      </c>
      <c r="I810" s="5" t="inlineStr">
        <is>
          <t>Delhi</t>
        </is>
      </c>
      <c r="J810" s="5" t="inlineStr">
        <is>
          <t>Full-Time</t>
        </is>
      </c>
      <c r="K810" s="7" t="n">
        <v>45938</v>
      </c>
      <c r="L810" s="7" t="inlineStr"/>
      <c r="M810" s="5" t="inlineStr">
        <is>
          <t>Yes</t>
        </is>
      </c>
      <c r="N810" s="5" t="inlineStr"/>
      <c r="O810" s="8" t="inlineStr">
        <is>
          <t>61000</t>
        </is>
      </c>
      <c r="P810" s="5" t="inlineStr">
        <is>
          <t>0</t>
        </is>
      </c>
      <c r="Q810" s="5" t="inlineStr">
        <is>
          <t>3</t>
        </is>
      </c>
      <c r="R810" s="5" t="inlineStr">
        <is>
          <t>5</t>
        </is>
      </c>
      <c r="S810" s="5" t="inlineStr">
        <is>
          <t>2</t>
        </is>
      </c>
      <c r="T810" s="5" t="inlineStr">
        <is>
          <t>0</t>
        </is>
      </c>
      <c r="U810" s="5">
        <f>IFS(C810&lt;30,"Under 30",C810&lt;40,"30-39",C810&lt;50,"40-49",TRUE,"50+")</f>
        <v/>
      </c>
      <c r="V810" s="5">
        <f>IFS(O810&lt;60000,"Low (&lt;60k)",O810&lt;100000,"Mid (60-100k)",TRUE,"High (100k+)")</f>
        <v/>
      </c>
      <c r="W810" s="5">
        <f>IF(M810="No","Attrited","Active")</f>
        <v/>
      </c>
    </row>
    <row r="811">
      <c r="A811" s="5" t="inlineStr">
        <is>
          <t>E00810</t>
        </is>
      </c>
      <c r="B811" s="5" t="inlineStr">
        <is>
          <t>Male</t>
        </is>
      </c>
      <c r="C811" s="6" t="inlineStr">
        <is>
          <t>30</t>
        </is>
      </c>
      <c r="D811" s="5" t="inlineStr">
        <is>
          <t>Single</t>
        </is>
      </c>
      <c r="E811" s="5" t="inlineStr">
        <is>
          <t>Diploma</t>
        </is>
      </c>
      <c r="F811" s="5" t="inlineStr">
        <is>
          <t>Marketing</t>
        </is>
      </c>
      <c r="G811" s="5" t="inlineStr">
        <is>
          <t>Marketing Analyst</t>
        </is>
      </c>
      <c r="H811" s="5" t="inlineStr">
        <is>
          <t>2</t>
        </is>
      </c>
      <c r="I811" s="5" t="inlineStr">
        <is>
          <t>Chennai</t>
        </is>
      </c>
      <c r="J811" s="5" t="inlineStr">
        <is>
          <t>Full-Time</t>
        </is>
      </c>
      <c r="K811" s="7" t="n">
        <v>44807</v>
      </c>
      <c r="L811" s="7" t="inlineStr"/>
      <c r="M811" s="5" t="inlineStr">
        <is>
          <t>Yes</t>
        </is>
      </c>
      <c r="N811" s="5" t="inlineStr"/>
      <c r="O811" s="8" t="inlineStr">
        <is>
          <t>57500</t>
        </is>
      </c>
      <c r="P811" s="5" t="inlineStr">
        <is>
          <t>15</t>
        </is>
      </c>
      <c r="Q811" s="5" t="inlineStr">
        <is>
          <t>3</t>
        </is>
      </c>
      <c r="R811" s="5" t="inlineStr">
        <is>
          <t>5</t>
        </is>
      </c>
      <c r="S811" s="5" t="inlineStr">
        <is>
          <t>40</t>
        </is>
      </c>
      <c r="T811" s="5" t="inlineStr">
        <is>
          <t>0</t>
        </is>
      </c>
      <c r="U811" s="5">
        <f>IFS(C811&lt;30,"Under 30",C811&lt;40,"30-39",C811&lt;50,"40-49",TRUE,"50+")</f>
        <v/>
      </c>
      <c r="V811" s="5">
        <f>IFS(O811&lt;60000,"Low (&lt;60k)",O811&lt;100000,"Mid (60-100k)",TRUE,"High (100k+)")</f>
        <v/>
      </c>
      <c r="W811" s="5">
        <f>IF(M811="No","Attrited","Active")</f>
        <v/>
      </c>
    </row>
    <row r="812">
      <c r="A812" s="5" t="inlineStr">
        <is>
          <t>E00811</t>
        </is>
      </c>
      <c r="B812" s="5" t="inlineStr">
        <is>
          <t>Male</t>
        </is>
      </c>
      <c r="C812" s="6" t="inlineStr">
        <is>
          <t>34</t>
        </is>
      </c>
      <c r="D812" s="5" t="inlineStr">
        <is>
          <t>Married</t>
        </is>
      </c>
      <c r="E812" s="5" t="inlineStr">
        <is>
          <t>Diploma</t>
        </is>
      </c>
      <c r="F812" s="5" t="inlineStr">
        <is>
          <t>Customer Support</t>
        </is>
      </c>
      <c r="G812" s="5" t="inlineStr">
        <is>
          <t>Support Agent</t>
        </is>
      </c>
      <c r="H812" s="5" t="inlineStr">
        <is>
          <t>2</t>
        </is>
      </c>
      <c r="I812" s="5" t="inlineStr">
        <is>
          <t>Mumbai</t>
        </is>
      </c>
      <c r="J812" s="5" t="inlineStr">
        <is>
          <t>Part-Time</t>
        </is>
      </c>
      <c r="K812" s="7" t="n">
        <v>45044</v>
      </c>
      <c r="L812" s="7" t="inlineStr"/>
      <c r="M812" s="5" t="inlineStr">
        <is>
          <t>Yes</t>
        </is>
      </c>
      <c r="N812" s="5" t="inlineStr"/>
      <c r="O812" s="8" t="inlineStr">
        <is>
          <t>78500</t>
        </is>
      </c>
      <c r="P812" s="5" t="inlineStr">
        <is>
          <t>5</t>
        </is>
      </c>
      <c r="Q812" s="5" t="inlineStr">
        <is>
          <t>3</t>
        </is>
      </c>
      <c r="R812" s="5" t="inlineStr">
        <is>
          <t>5</t>
        </is>
      </c>
      <c r="S812" s="5" t="inlineStr">
        <is>
          <t>32</t>
        </is>
      </c>
      <c r="T812" s="5" t="inlineStr">
        <is>
          <t>0</t>
        </is>
      </c>
      <c r="U812" s="5">
        <f>IFS(C812&lt;30,"Under 30",C812&lt;40,"30-39",C812&lt;50,"40-49",TRUE,"50+")</f>
        <v/>
      </c>
      <c r="V812" s="5">
        <f>IFS(O812&lt;60000,"Low (&lt;60k)",O812&lt;100000,"Mid (60-100k)",TRUE,"High (100k+)")</f>
        <v/>
      </c>
      <c r="W812" s="5">
        <f>IF(M812="No","Attrited","Active")</f>
        <v/>
      </c>
    </row>
    <row r="813">
      <c r="A813" s="5" t="inlineStr">
        <is>
          <t>E00812</t>
        </is>
      </c>
      <c r="B813" s="5" t="inlineStr">
        <is>
          <t>Female</t>
        </is>
      </c>
      <c r="C813" s="6" t="inlineStr">
        <is>
          <t>38</t>
        </is>
      </c>
      <c r="D813" s="5" t="inlineStr">
        <is>
          <t>Married</t>
        </is>
      </c>
      <c r="E813" s="5" t="inlineStr">
        <is>
          <t>Diploma</t>
        </is>
      </c>
      <c r="F813" s="5" t="inlineStr">
        <is>
          <t>Research &amp; Development</t>
        </is>
      </c>
      <c r="G813" s="5" t="inlineStr">
        <is>
          <t>Data Scientist</t>
        </is>
      </c>
      <c r="H813" s="5" t="inlineStr">
        <is>
          <t>4</t>
        </is>
      </c>
      <c r="I813" s="5" t="inlineStr">
        <is>
          <t>Delhi</t>
        </is>
      </c>
      <c r="J813" s="5" t="inlineStr">
        <is>
          <t>Full-Time</t>
        </is>
      </c>
      <c r="K813" s="7" t="n">
        <v>44486</v>
      </c>
      <c r="L813" s="7" t="inlineStr"/>
      <c r="M813" s="5" t="inlineStr">
        <is>
          <t>Yes</t>
        </is>
      </c>
      <c r="N813" s="5" t="inlineStr"/>
      <c r="O813" s="8" t="inlineStr">
        <is>
          <t>205000</t>
        </is>
      </c>
      <c r="P813" s="5" t="inlineStr">
        <is>
          <t>10</t>
        </is>
      </c>
      <c r="Q813" s="5" t="inlineStr">
        <is>
          <t>2</t>
        </is>
      </c>
      <c r="R813" s="5" t="inlineStr">
        <is>
          <t>9</t>
        </is>
      </c>
      <c r="S813" s="5" t="inlineStr">
        <is>
          <t>51</t>
        </is>
      </c>
      <c r="T813" s="5" t="inlineStr">
        <is>
          <t>0</t>
        </is>
      </c>
      <c r="U813" s="5">
        <f>IFS(C813&lt;30,"Under 30",C813&lt;40,"30-39",C813&lt;50,"40-49",TRUE,"50+")</f>
        <v/>
      </c>
      <c r="V813" s="5">
        <f>IFS(O813&lt;60000,"Low (&lt;60k)",O813&lt;100000,"Mid (60-100k)",TRUE,"High (100k+)")</f>
        <v/>
      </c>
      <c r="W813" s="5">
        <f>IF(M813="No","Attrited","Active")</f>
        <v/>
      </c>
    </row>
    <row r="814">
      <c r="A814" s="5" t="inlineStr">
        <is>
          <t>E00813</t>
        </is>
      </c>
      <c r="B814" s="5" t="inlineStr">
        <is>
          <t>Male</t>
        </is>
      </c>
      <c r="C814" s="6" t="inlineStr">
        <is>
          <t>32</t>
        </is>
      </c>
      <c r="D814" s="5" t="inlineStr">
        <is>
          <t>Married</t>
        </is>
      </c>
      <c r="E814" s="5" t="inlineStr">
        <is>
          <t>Master</t>
        </is>
      </c>
      <c r="F814" s="5" t="inlineStr">
        <is>
          <t>Executive</t>
        </is>
      </c>
      <c r="G814" s="5" t="inlineStr">
        <is>
          <t>CFO</t>
        </is>
      </c>
      <c r="H814" s="5" t="inlineStr">
        <is>
          <t>2</t>
        </is>
      </c>
      <c r="I814" s="5" t="inlineStr">
        <is>
          <t>Delhi</t>
        </is>
      </c>
      <c r="J814" s="5" t="inlineStr">
        <is>
          <t>Full-Time</t>
        </is>
      </c>
      <c r="K814" s="7" t="n">
        <v>45649</v>
      </c>
      <c r="L814" s="7" t="inlineStr"/>
      <c r="M814" s="5" t="inlineStr">
        <is>
          <t>Yes</t>
        </is>
      </c>
      <c r="N814" s="5" t="inlineStr"/>
      <c r="O814" s="8" t="inlineStr">
        <is>
          <t>246500</t>
        </is>
      </c>
      <c r="P814" s="5" t="inlineStr">
        <is>
          <t>20</t>
        </is>
      </c>
      <c r="Q814" s="5" t="inlineStr">
        <is>
          <t>3</t>
        </is>
      </c>
      <c r="R814" s="5" t="inlineStr">
        <is>
          <t>7</t>
        </is>
      </c>
      <c r="S814" s="5" t="inlineStr">
        <is>
          <t>12</t>
        </is>
      </c>
      <c r="T814" s="5" t="inlineStr">
        <is>
          <t>0</t>
        </is>
      </c>
      <c r="U814" s="5">
        <f>IFS(C814&lt;30,"Under 30",C814&lt;40,"30-39",C814&lt;50,"40-49",TRUE,"50+")</f>
        <v/>
      </c>
      <c r="V814" s="5">
        <f>IFS(O814&lt;60000,"Low (&lt;60k)",O814&lt;100000,"Mid (60-100k)",TRUE,"High (100k+)")</f>
        <v/>
      </c>
      <c r="W814" s="5">
        <f>IF(M814="No","Attrited","Active")</f>
        <v/>
      </c>
    </row>
    <row r="815">
      <c r="A815" s="5" t="inlineStr">
        <is>
          <t>E00814</t>
        </is>
      </c>
      <c r="B815" s="5" t="inlineStr">
        <is>
          <t>Male</t>
        </is>
      </c>
      <c r="C815" s="6" t="inlineStr">
        <is>
          <t>32</t>
        </is>
      </c>
      <c r="D815" s="5" t="inlineStr">
        <is>
          <t>Married</t>
        </is>
      </c>
      <c r="E815" s="5" t="inlineStr">
        <is>
          <t>Bachelor</t>
        </is>
      </c>
      <c r="F815" s="5" t="inlineStr">
        <is>
          <t>Research &amp; Development</t>
        </is>
      </c>
      <c r="G815" s="5" t="inlineStr">
        <is>
          <t>Research Scientist</t>
        </is>
      </c>
      <c r="H815" s="5" t="inlineStr">
        <is>
          <t>1</t>
        </is>
      </c>
      <c r="I815" s="5" t="inlineStr">
        <is>
          <t>Hyderabad</t>
        </is>
      </c>
      <c r="J815" s="5" t="inlineStr">
        <is>
          <t>Full-Time</t>
        </is>
      </c>
      <c r="K815" s="7" t="n">
        <v>43875</v>
      </c>
      <c r="L815" s="7" t="inlineStr"/>
      <c r="M815" s="5" t="inlineStr">
        <is>
          <t>Yes</t>
        </is>
      </c>
      <c r="N815" s="5" t="inlineStr"/>
      <c r="O815" s="8" t="inlineStr">
        <is>
          <t>129500</t>
        </is>
      </c>
      <c r="P815" s="5" t="inlineStr">
        <is>
          <t>0</t>
        </is>
      </c>
      <c r="Q815" s="5" t="inlineStr">
        <is>
          <t>5</t>
        </is>
      </c>
      <c r="R815" s="5" t="inlineStr">
        <is>
          <t>8</t>
        </is>
      </c>
      <c r="S815" s="5" t="inlineStr">
        <is>
          <t>71</t>
        </is>
      </c>
      <c r="T815" s="5" t="inlineStr">
        <is>
          <t>0</t>
        </is>
      </c>
      <c r="U815" s="5">
        <f>IFS(C815&lt;30,"Under 30",C815&lt;40,"30-39",C815&lt;50,"40-49",TRUE,"50+")</f>
        <v/>
      </c>
      <c r="V815" s="5">
        <f>IFS(O815&lt;60000,"Low (&lt;60k)",O815&lt;100000,"Mid (60-100k)",TRUE,"High (100k+)")</f>
        <v/>
      </c>
      <c r="W815" s="5">
        <f>IF(M815="No","Attrited","Active")</f>
        <v/>
      </c>
    </row>
    <row r="816">
      <c r="A816" s="5" t="inlineStr">
        <is>
          <t>E00815</t>
        </is>
      </c>
      <c r="B816" s="5" t="inlineStr">
        <is>
          <t>Male</t>
        </is>
      </c>
      <c r="C816" s="6" t="inlineStr">
        <is>
          <t>41</t>
        </is>
      </c>
      <c r="D816" s="5" t="inlineStr">
        <is>
          <t>Married</t>
        </is>
      </c>
      <c r="E816" s="5" t="inlineStr">
        <is>
          <t>PhD</t>
        </is>
      </c>
      <c r="F816" s="5" t="inlineStr">
        <is>
          <t>Sales</t>
        </is>
      </c>
      <c r="G816" s="5" t="inlineStr">
        <is>
          <t>Business Development</t>
        </is>
      </c>
      <c r="H816" s="5" t="inlineStr">
        <is>
          <t>5</t>
        </is>
      </c>
      <c r="I816" s="5" t="inlineStr">
        <is>
          <t>Remote</t>
        </is>
      </c>
      <c r="J816" s="5" t="inlineStr">
        <is>
          <t>Full-Time</t>
        </is>
      </c>
      <c r="K816" s="7" t="n">
        <v>45943</v>
      </c>
      <c r="L816" s="7" t="inlineStr"/>
      <c r="M816" s="5" t="inlineStr">
        <is>
          <t>Yes</t>
        </is>
      </c>
      <c r="N816" s="5" t="inlineStr"/>
      <c r="O816" s="8" t="inlineStr">
        <is>
          <t>106500</t>
        </is>
      </c>
      <c r="P816" s="5" t="inlineStr">
        <is>
          <t>10</t>
        </is>
      </c>
      <c r="Q816" s="5" t="inlineStr">
        <is>
          <t>5</t>
        </is>
      </c>
      <c r="R816" s="5" t="inlineStr">
        <is>
          <t>4</t>
        </is>
      </c>
      <c r="S816" s="5" t="inlineStr">
        <is>
          <t>2</t>
        </is>
      </c>
      <c r="T816" s="5" t="inlineStr">
        <is>
          <t>9</t>
        </is>
      </c>
      <c r="U816" s="5">
        <f>IFS(C816&lt;30,"Under 30",C816&lt;40,"30-39",C816&lt;50,"40-49",TRUE,"50+")</f>
        <v/>
      </c>
      <c r="V816" s="5">
        <f>IFS(O816&lt;60000,"Low (&lt;60k)",O816&lt;100000,"Mid (60-100k)",TRUE,"High (100k+)")</f>
        <v/>
      </c>
      <c r="W816" s="5">
        <f>IF(M816="No","Attrited","Active")</f>
        <v/>
      </c>
    </row>
    <row r="817">
      <c r="A817" s="5" t="inlineStr">
        <is>
          <t>E00816</t>
        </is>
      </c>
      <c r="B817" s="5" t="inlineStr">
        <is>
          <t>Female</t>
        </is>
      </c>
      <c r="C817" s="6" t="inlineStr">
        <is>
          <t>25</t>
        </is>
      </c>
      <c r="D817" s="5" t="inlineStr">
        <is>
          <t>Married</t>
        </is>
      </c>
      <c r="E817" s="5" t="inlineStr">
        <is>
          <t>High School</t>
        </is>
      </c>
      <c r="F817" s="5" t="inlineStr">
        <is>
          <t>Sales</t>
        </is>
      </c>
      <c r="G817" s="5" t="inlineStr">
        <is>
          <t>Sales Executive</t>
        </is>
      </c>
      <c r="H817" s="5" t="inlineStr">
        <is>
          <t>1</t>
        </is>
      </c>
      <c r="I817" s="5" t="inlineStr">
        <is>
          <t>Mumbai</t>
        </is>
      </c>
      <c r="J817" s="5" t="inlineStr">
        <is>
          <t>Contract</t>
        </is>
      </c>
      <c r="K817" s="7" t="n">
        <v>44444</v>
      </c>
      <c r="L817" s="7" t="inlineStr"/>
      <c r="M817" s="5" t="inlineStr">
        <is>
          <t>Yes</t>
        </is>
      </c>
      <c r="N817" s="5" t="inlineStr"/>
      <c r="O817" s="8" t="inlineStr">
        <is>
          <t>66500</t>
        </is>
      </c>
      <c r="P817" s="5" t="inlineStr">
        <is>
          <t>0</t>
        </is>
      </c>
      <c r="Q817" s="5" t="inlineStr">
        <is>
          <t>5</t>
        </is>
      </c>
      <c r="R817" s="5" t="inlineStr">
        <is>
          <t>5</t>
        </is>
      </c>
      <c r="S817" s="5" t="inlineStr">
        <is>
          <t>52</t>
        </is>
      </c>
      <c r="T817" s="5" t="inlineStr">
        <is>
          <t>10</t>
        </is>
      </c>
      <c r="U817" s="5">
        <f>IFS(C817&lt;30,"Under 30",C817&lt;40,"30-39",C817&lt;50,"40-49",TRUE,"50+")</f>
        <v/>
      </c>
      <c r="V817" s="5">
        <f>IFS(O817&lt;60000,"Low (&lt;60k)",O817&lt;100000,"Mid (60-100k)",TRUE,"High (100k+)")</f>
        <v/>
      </c>
      <c r="W817" s="5">
        <f>IF(M817="No","Attrited","Active")</f>
        <v/>
      </c>
    </row>
    <row r="818">
      <c r="A818" s="5" t="inlineStr">
        <is>
          <t>E00817</t>
        </is>
      </c>
      <c r="B818" s="5" t="inlineStr">
        <is>
          <t>Male</t>
        </is>
      </c>
      <c r="C818" s="6" t="inlineStr">
        <is>
          <t>37</t>
        </is>
      </c>
      <c r="D818" s="5" t="inlineStr">
        <is>
          <t>Married</t>
        </is>
      </c>
      <c r="E818" s="5" t="inlineStr">
        <is>
          <t>Master</t>
        </is>
      </c>
      <c r="F818" s="5" t="inlineStr">
        <is>
          <t>IT</t>
        </is>
      </c>
      <c r="G818" s="5" t="inlineStr">
        <is>
          <t>DevOps Engineer</t>
        </is>
      </c>
      <c r="H818" s="5" t="inlineStr">
        <is>
          <t>3</t>
        </is>
      </c>
      <c r="I818" s="5" t="inlineStr">
        <is>
          <t>Mumbai</t>
        </is>
      </c>
      <c r="J818" s="5" t="inlineStr">
        <is>
          <t>Part-Time</t>
        </is>
      </c>
      <c r="K818" s="7" t="n">
        <v>44954</v>
      </c>
      <c r="L818" s="7" t="inlineStr"/>
      <c r="M818" s="5" t="inlineStr">
        <is>
          <t>Yes</t>
        </is>
      </c>
      <c r="N818" s="5" t="inlineStr"/>
      <c r="O818" s="8" t="inlineStr">
        <is>
          <t>147000</t>
        </is>
      </c>
      <c r="P818" s="5" t="inlineStr">
        <is>
          <t>0</t>
        </is>
      </c>
      <c r="Q818" s="5" t="inlineStr">
        <is>
          <t>3</t>
        </is>
      </c>
      <c r="R818" s="5" t="inlineStr">
        <is>
          <t>2</t>
        </is>
      </c>
      <c r="S818" s="5" t="inlineStr">
        <is>
          <t>35</t>
        </is>
      </c>
      <c r="T818" s="5" t="inlineStr">
        <is>
          <t>4</t>
        </is>
      </c>
      <c r="U818" s="5">
        <f>IFS(C818&lt;30,"Under 30",C818&lt;40,"30-39",C818&lt;50,"40-49",TRUE,"50+")</f>
        <v/>
      </c>
      <c r="V818" s="5">
        <f>IFS(O818&lt;60000,"Low (&lt;60k)",O818&lt;100000,"Mid (60-100k)",TRUE,"High (100k+)")</f>
        <v/>
      </c>
      <c r="W818" s="5">
        <f>IF(M818="No","Attrited","Active")</f>
        <v/>
      </c>
    </row>
    <row r="819">
      <c r="A819" s="5" t="inlineStr">
        <is>
          <t>E00818</t>
        </is>
      </c>
      <c r="B819" s="5" t="inlineStr">
        <is>
          <t>Male</t>
        </is>
      </c>
      <c r="C819" s="6" t="inlineStr">
        <is>
          <t>25</t>
        </is>
      </c>
      <c r="D819" s="5" t="inlineStr">
        <is>
          <t>Divorced</t>
        </is>
      </c>
      <c r="E819" s="5" t="inlineStr">
        <is>
          <t>High School</t>
        </is>
      </c>
      <c r="F819" s="5" t="inlineStr">
        <is>
          <t>Sales</t>
        </is>
      </c>
      <c r="G819" s="5" t="inlineStr">
        <is>
          <t>Business Development</t>
        </is>
      </c>
      <c r="H819" s="5" t="inlineStr">
        <is>
          <t>2</t>
        </is>
      </c>
      <c r="I819" s="5" t="inlineStr">
        <is>
          <t>Delhi</t>
        </is>
      </c>
      <c r="J819" s="5" t="inlineStr">
        <is>
          <t>Full-Time</t>
        </is>
      </c>
      <c r="K819" s="7" t="n">
        <v>44220</v>
      </c>
      <c r="L819" s="7" t="inlineStr"/>
      <c r="M819" s="5" t="inlineStr">
        <is>
          <t>Yes</t>
        </is>
      </c>
      <c r="N819" s="5" t="inlineStr"/>
      <c r="O819" s="8" t="inlineStr">
        <is>
          <t>104000</t>
        </is>
      </c>
      <c r="P819" s="5" t="inlineStr">
        <is>
          <t>15</t>
        </is>
      </c>
      <c r="Q819" s="5" t="inlineStr">
        <is>
          <t>4</t>
        </is>
      </c>
      <c r="R819" s="5" t="inlineStr">
        <is>
          <t>8</t>
        </is>
      </c>
      <c r="S819" s="5" t="inlineStr">
        <is>
          <t>60</t>
        </is>
      </c>
      <c r="T819" s="5" t="inlineStr">
        <is>
          <t>0</t>
        </is>
      </c>
      <c r="U819" s="5">
        <f>IFS(C819&lt;30,"Under 30",C819&lt;40,"30-39",C819&lt;50,"40-49",TRUE,"50+")</f>
        <v/>
      </c>
      <c r="V819" s="5">
        <f>IFS(O819&lt;60000,"Low (&lt;60k)",O819&lt;100000,"Mid (60-100k)",TRUE,"High (100k+)")</f>
        <v/>
      </c>
      <c r="W819" s="5">
        <f>IF(M819="No","Attrited","Active")</f>
        <v/>
      </c>
    </row>
    <row r="820">
      <c r="A820" s="5" t="inlineStr">
        <is>
          <t>E00819</t>
        </is>
      </c>
      <c r="B820" s="5" t="inlineStr">
        <is>
          <t>Male</t>
        </is>
      </c>
      <c r="C820" s="6" t="inlineStr">
        <is>
          <t>24</t>
        </is>
      </c>
      <c r="D820" s="5" t="inlineStr">
        <is>
          <t>Married</t>
        </is>
      </c>
      <c r="E820" s="5" t="inlineStr">
        <is>
          <t>High School</t>
        </is>
      </c>
      <c r="F820" s="5" t="inlineStr">
        <is>
          <t>Sales</t>
        </is>
      </c>
      <c r="G820" s="5" t="inlineStr">
        <is>
          <t>Sales Executive</t>
        </is>
      </c>
      <c r="H820" s="5" t="inlineStr">
        <is>
          <t>1</t>
        </is>
      </c>
      <c r="I820" s="5" t="inlineStr">
        <is>
          <t>Hyderabad</t>
        </is>
      </c>
      <c r="J820" s="5" t="inlineStr">
        <is>
          <t>Full-Time</t>
        </is>
      </c>
      <c r="K820" s="7" t="n">
        <v>43979</v>
      </c>
      <c r="L820" s="7" t="inlineStr"/>
      <c r="M820" s="5" t="inlineStr">
        <is>
          <t>Yes</t>
        </is>
      </c>
      <c r="N820" s="5" t="inlineStr"/>
      <c r="O820" s="8" t="inlineStr">
        <is>
          <t>95000</t>
        </is>
      </c>
      <c r="P820" s="5" t="inlineStr">
        <is>
          <t>5</t>
        </is>
      </c>
      <c r="Q820" s="5" t="inlineStr">
        <is>
          <t>5</t>
        </is>
      </c>
      <c r="R820" s="5" t="inlineStr">
        <is>
          <t>5</t>
        </is>
      </c>
      <c r="S820" s="5" t="inlineStr">
        <is>
          <t>68</t>
        </is>
      </c>
      <c r="T820" s="5" t="inlineStr">
        <is>
          <t>9</t>
        </is>
      </c>
      <c r="U820" s="5">
        <f>IFS(C820&lt;30,"Under 30",C820&lt;40,"30-39",C820&lt;50,"40-49",TRUE,"50+")</f>
        <v/>
      </c>
      <c r="V820" s="5">
        <f>IFS(O820&lt;60000,"Low (&lt;60k)",O820&lt;100000,"Mid (60-100k)",TRUE,"High (100k+)")</f>
        <v/>
      </c>
      <c r="W820" s="5">
        <f>IF(M820="No","Attrited","Active")</f>
        <v/>
      </c>
    </row>
    <row r="821">
      <c r="A821" s="5" t="inlineStr">
        <is>
          <t>E00820</t>
        </is>
      </c>
      <c r="B821" s="5" t="inlineStr">
        <is>
          <t>Female</t>
        </is>
      </c>
      <c r="C821" s="6" t="inlineStr">
        <is>
          <t>35</t>
        </is>
      </c>
      <c r="D821" s="5" t="inlineStr">
        <is>
          <t>Married</t>
        </is>
      </c>
      <c r="E821" s="5" t="inlineStr">
        <is>
          <t>PhD</t>
        </is>
      </c>
      <c r="F821" s="5" t="inlineStr">
        <is>
          <t>Sales</t>
        </is>
      </c>
      <c r="G821" s="5" t="inlineStr">
        <is>
          <t>Business Development</t>
        </is>
      </c>
      <c r="H821" s="5" t="inlineStr">
        <is>
          <t>3</t>
        </is>
      </c>
      <c r="I821" s="5" t="inlineStr">
        <is>
          <t>Delhi</t>
        </is>
      </c>
      <c r="J821" s="5" t="inlineStr">
        <is>
          <t>Full-Time</t>
        </is>
      </c>
      <c r="K821" s="7" t="n">
        <v>44160</v>
      </c>
      <c r="L821" s="7" t="inlineStr"/>
      <c r="M821" s="5" t="inlineStr">
        <is>
          <t>Yes</t>
        </is>
      </c>
      <c r="N821" s="5" t="inlineStr"/>
      <c r="O821" s="8" t="inlineStr">
        <is>
          <t>115000</t>
        </is>
      </c>
      <c r="P821" s="5" t="inlineStr">
        <is>
          <t>0</t>
        </is>
      </c>
      <c r="Q821" s="5" t="inlineStr">
        <is>
          <t>4</t>
        </is>
      </c>
      <c r="R821" s="5" t="inlineStr">
        <is>
          <t>6</t>
        </is>
      </c>
      <c r="S821" s="5" t="inlineStr">
        <is>
          <t>62</t>
        </is>
      </c>
      <c r="T821" s="5" t="inlineStr">
        <is>
          <t>7</t>
        </is>
      </c>
      <c r="U821" s="5">
        <f>IFS(C821&lt;30,"Under 30",C821&lt;40,"30-39",C821&lt;50,"40-49",TRUE,"50+")</f>
        <v/>
      </c>
      <c r="V821" s="5">
        <f>IFS(O821&lt;60000,"Low (&lt;60k)",O821&lt;100000,"Mid (60-100k)",TRUE,"High (100k+)")</f>
        <v/>
      </c>
      <c r="W821" s="5">
        <f>IF(M821="No","Attrited","Active")</f>
        <v/>
      </c>
    </row>
    <row r="822">
      <c r="A822" s="5" t="inlineStr">
        <is>
          <t>E00821</t>
        </is>
      </c>
      <c r="B822" s="5" t="inlineStr">
        <is>
          <t>Male</t>
        </is>
      </c>
      <c r="C822" s="6" t="inlineStr">
        <is>
          <t>33</t>
        </is>
      </c>
      <c r="D822" s="5" t="inlineStr">
        <is>
          <t>Single</t>
        </is>
      </c>
      <c r="E822" s="5" t="inlineStr">
        <is>
          <t>Master</t>
        </is>
      </c>
      <c r="F822" s="5" t="inlineStr">
        <is>
          <t>Operations</t>
        </is>
      </c>
      <c r="G822" s="5" t="inlineStr">
        <is>
          <t>Quality Analyst</t>
        </is>
      </c>
      <c r="H822" s="5" t="inlineStr">
        <is>
          <t>3</t>
        </is>
      </c>
      <c r="I822" s="5" t="inlineStr">
        <is>
          <t>Bengaluru</t>
        </is>
      </c>
      <c r="J822" s="5" t="inlineStr">
        <is>
          <t>Full-Time</t>
        </is>
      </c>
      <c r="K822" s="7" t="n">
        <v>45259</v>
      </c>
      <c r="L822" s="7" t="inlineStr"/>
      <c r="M822" s="5" t="inlineStr">
        <is>
          <t>Yes</t>
        </is>
      </c>
      <c r="N822" s="5" t="inlineStr"/>
      <c r="O822" s="8" t="inlineStr">
        <is>
          <t>71000</t>
        </is>
      </c>
      <c r="P822" s="5" t="inlineStr">
        <is>
          <t>20</t>
        </is>
      </c>
      <c r="Q822" s="5" t="inlineStr">
        <is>
          <t>4</t>
        </is>
      </c>
      <c r="R822" s="5" t="inlineStr">
        <is>
          <t>5</t>
        </is>
      </c>
      <c r="S822" s="5" t="inlineStr">
        <is>
          <t>25</t>
        </is>
      </c>
      <c r="T822" s="5" t="inlineStr">
        <is>
          <t>1</t>
        </is>
      </c>
      <c r="U822" s="5">
        <f>IFS(C822&lt;30,"Under 30",C822&lt;40,"30-39",C822&lt;50,"40-49",TRUE,"50+")</f>
        <v/>
      </c>
      <c r="V822" s="5">
        <f>IFS(O822&lt;60000,"Low (&lt;60k)",O822&lt;100000,"Mid (60-100k)",TRUE,"High (100k+)")</f>
        <v/>
      </c>
      <c r="W822" s="5">
        <f>IF(M822="No","Attrited","Active")</f>
        <v/>
      </c>
    </row>
    <row r="823">
      <c r="A823" s="5" t="inlineStr">
        <is>
          <t>E00822</t>
        </is>
      </c>
      <c r="B823" s="5" t="inlineStr">
        <is>
          <t>Male</t>
        </is>
      </c>
      <c r="C823" s="6" t="inlineStr">
        <is>
          <t>33</t>
        </is>
      </c>
      <c r="D823" s="5" t="inlineStr">
        <is>
          <t>Married</t>
        </is>
      </c>
      <c r="E823" s="5" t="inlineStr">
        <is>
          <t>Bachelor</t>
        </is>
      </c>
      <c r="F823" s="5" t="inlineStr">
        <is>
          <t>IT</t>
        </is>
      </c>
      <c r="G823" s="5" t="inlineStr">
        <is>
          <t>Data Analyst</t>
        </is>
      </c>
      <c r="H823" s="5" t="inlineStr">
        <is>
          <t>1</t>
        </is>
      </c>
      <c r="I823" s="5" t="inlineStr">
        <is>
          <t>Chennai</t>
        </is>
      </c>
      <c r="J823" s="5" t="inlineStr">
        <is>
          <t>Full-Time</t>
        </is>
      </c>
      <c r="K823" s="7" t="n">
        <v>45887</v>
      </c>
      <c r="L823" s="7" t="inlineStr"/>
      <c r="M823" s="5" t="inlineStr">
        <is>
          <t>Yes</t>
        </is>
      </c>
      <c r="N823" s="5" t="inlineStr"/>
      <c r="O823" s="8" t="inlineStr">
        <is>
          <t>113000</t>
        </is>
      </c>
      <c r="P823" s="5" t="inlineStr">
        <is>
          <t>20</t>
        </is>
      </c>
      <c r="Q823" s="5" t="inlineStr">
        <is>
          <t>3</t>
        </is>
      </c>
      <c r="R823" s="5" t="inlineStr">
        <is>
          <t>9</t>
        </is>
      </c>
      <c r="S823" s="5" t="inlineStr">
        <is>
          <t>4</t>
        </is>
      </c>
      <c r="T823" s="5" t="inlineStr">
        <is>
          <t>0</t>
        </is>
      </c>
      <c r="U823" s="5">
        <f>IFS(C823&lt;30,"Under 30",C823&lt;40,"30-39",C823&lt;50,"40-49",TRUE,"50+")</f>
        <v/>
      </c>
      <c r="V823" s="5">
        <f>IFS(O823&lt;60000,"Low (&lt;60k)",O823&lt;100000,"Mid (60-100k)",TRUE,"High (100k+)")</f>
        <v/>
      </c>
      <c r="W823" s="5">
        <f>IF(M823="No","Attrited","Active")</f>
        <v/>
      </c>
    </row>
    <row r="824">
      <c r="A824" s="5" t="inlineStr">
        <is>
          <t>E00823</t>
        </is>
      </c>
      <c r="B824" s="5" t="inlineStr">
        <is>
          <t>Female</t>
        </is>
      </c>
      <c r="C824" s="6" t="inlineStr">
        <is>
          <t>35</t>
        </is>
      </c>
      <c r="D824" s="5" t="inlineStr">
        <is>
          <t>Married</t>
        </is>
      </c>
      <c r="E824" s="5" t="inlineStr">
        <is>
          <t>PhD</t>
        </is>
      </c>
      <c r="F824" s="5" t="inlineStr">
        <is>
          <t>Human Resources</t>
        </is>
      </c>
      <c r="G824" s="5" t="inlineStr">
        <is>
          <t>HR Analyst</t>
        </is>
      </c>
      <c r="H824" s="5" t="inlineStr">
        <is>
          <t>2</t>
        </is>
      </c>
      <c r="I824" s="5" t="inlineStr">
        <is>
          <t>Remote</t>
        </is>
      </c>
      <c r="J824" s="5" t="inlineStr">
        <is>
          <t>Full-Time</t>
        </is>
      </c>
      <c r="K824" s="7" t="n">
        <v>44313</v>
      </c>
      <c r="L824" s="7" t="inlineStr"/>
      <c r="M824" s="5" t="inlineStr">
        <is>
          <t>Yes</t>
        </is>
      </c>
      <c r="N824" s="5" t="inlineStr"/>
      <c r="O824" s="8" t="inlineStr">
        <is>
          <t>76500</t>
        </is>
      </c>
      <c r="P824" s="5" t="inlineStr">
        <is>
          <t>5</t>
        </is>
      </c>
      <c r="Q824" s="5" t="inlineStr">
        <is>
          <t>2</t>
        </is>
      </c>
      <c r="R824" s="5" t="inlineStr">
        <is>
          <t>5</t>
        </is>
      </c>
      <c r="S824" s="5" t="inlineStr">
        <is>
          <t>56</t>
        </is>
      </c>
      <c r="T824" s="5" t="inlineStr">
        <is>
          <t>21</t>
        </is>
      </c>
      <c r="U824" s="5">
        <f>IFS(C824&lt;30,"Under 30",C824&lt;40,"30-39",C824&lt;50,"40-49",TRUE,"50+")</f>
        <v/>
      </c>
      <c r="V824" s="5">
        <f>IFS(O824&lt;60000,"Low (&lt;60k)",O824&lt;100000,"Mid (60-100k)",TRUE,"High (100k+)")</f>
        <v/>
      </c>
      <c r="W824" s="5">
        <f>IF(M824="No","Attrited","Active")</f>
        <v/>
      </c>
    </row>
    <row r="825">
      <c r="A825" s="5" t="inlineStr">
        <is>
          <t>E00824</t>
        </is>
      </c>
      <c r="B825" s="5" t="inlineStr">
        <is>
          <t>Male</t>
        </is>
      </c>
      <c r="C825" s="6" t="inlineStr">
        <is>
          <t>35</t>
        </is>
      </c>
      <c r="D825" s="5" t="inlineStr">
        <is>
          <t>Single</t>
        </is>
      </c>
      <c r="E825" s="5" t="inlineStr">
        <is>
          <t>High School</t>
        </is>
      </c>
      <c r="F825" s="5" t="inlineStr">
        <is>
          <t>IT</t>
        </is>
      </c>
      <c r="G825" s="5" t="inlineStr">
        <is>
          <t>Data Analyst</t>
        </is>
      </c>
      <c r="H825" s="5" t="inlineStr">
        <is>
          <t>3</t>
        </is>
      </c>
      <c r="I825" s="5" t="inlineStr">
        <is>
          <t>Chennai</t>
        </is>
      </c>
      <c r="J825" s="5" t="inlineStr">
        <is>
          <t>Full-Time</t>
        </is>
      </c>
      <c r="K825" s="7" t="n">
        <v>44360</v>
      </c>
      <c r="L825" s="7" t="inlineStr"/>
      <c r="M825" s="5" t="inlineStr">
        <is>
          <t>Yes</t>
        </is>
      </c>
      <c r="N825" s="5" t="inlineStr"/>
      <c r="O825" s="8" t="inlineStr">
        <is>
          <t>156000</t>
        </is>
      </c>
      <c r="P825" s="5" t="inlineStr">
        <is>
          <t>0</t>
        </is>
      </c>
      <c r="Q825" s="5" t="inlineStr">
        <is>
          <t>4</t>
        </is>
      </c>
      <c r="R825" s="5" t="inlineStr">
        <is>
          <t>7</t>
        </is>
      </c>
      <c r="S825" s="5" t="inlineStr">
        <is>
          <t>55</t>
        </is>
      </c>
      <c r="T825" s="5" t="inlineStr">
        <is>
          <t>5</t>
        </is>
      </c>
      <c r="U825" s="5">
        <f>IFS(C825&lt;30,"Under 30",C825&lt;40,"30-39",C825&lt;50,"40-49",TRUE,"50+")</f>
        <v/>
      </c>
      <c r="V825" s="5">
        <f>IFS(O825&lt;60000,"Low (&lt;60k)",O825&lt;100000,"Mid (60-100k)",TRUE,"High (100k+)")</f>
        <v/>
      </c>
      <c r="W825" s="5">
        <f>IF(M825="No","Attrited","Active")</f>
        <v/>
      </c>
    </row>
    <row r="826">
      <c r="A826" s="5" t="inlineStr">
        <is>
          <t>E00825</t>
        </is>
      </c>
      <c r="B826" s="5" t="inlineStr">
        <is>
          <t>Female</t>
        </is>
      </c>
      <c r="C826" s="6" t="inlineStr">
        <is>
          <t>36</t>
        </is>
      </c>
      <c r="D826" s="5" t="inlineStr">
        <is>
          <t>Married</t>
        </is>
      </c>
      <c r="E826" s="5" t="inlineStr">
        <is>
          <t>Bachelor</t>
        </is>
      </c>
      <c r="F826" s="5" t="inlineStr">
        <is>
          <t>Customer Support</t>
        </is>
      </c>
      <c r="G826" s="5" t="inlineStr">
        <is>
          <t>Support Agent</t>
        </is>
      </c>
      <c r="H826" s="5" t="inlineStr">
        <is>
          <t>2</t>
        </is>
      </c>
      <c r="I826" s="5" t="inlineStr">
        <is>
          <t>Delhi</t>
        </is>
      </c>
      <c r="J826" s="5" t="inlineStr">
        <is>
          <t>Full-Time</t>
        </is>
      </c>
      <c r="K826" s="7" t="n">
        <v>45236</v>
      </c>
      <c r="L826" s="7" t="inlineStr"/>
      <c r="M826" s="5" t="inlineStr">
        <is>
          <t>Yes</t>
        </is>
      </c>
      <c r="N826" s="5" t="inlineStr"/>
      <c r="O826" s="8" t="inlineStr">
        <is>
          <t>76500</t>
        </is>
      </c>
      <c r="P826" s="5" t="inlineStr">
        <is>
          <t>15</t>
        </is>
      </c>
      <c r="Q826" s="5" t="inlineStr">
        <is>
          <t>2</t>
        </is>
      </c>
      <c r="R826" s="5" t="inlineStr">
        <is>
          <t>2</t>
        </is>
      </c>
      <c r="S826" s="5" t="inlineStr">
        <is>
          <t>26</t>
        </is>
      </c>
      <c r="T826" s="5" t="inlineStr">
        <is>
          <t>3</t>
        </is>
      </c>
      <c r="U826" s="5">
        <f>IFS(C826&lt;30,"Under 30",C826&lt;40,"30-39",C826&lt;50,"40-49",TRUE,"50+")</f>
        <v/>
      </c>
      <c r="V826" s="5">
        <f>IFS(O826&lt;60000,"Low (&lt;60k)",O826&lt;100000,"Mid (60-100k)",TRUE,"High (100k+)")</f>
        <v/>
      </c>
      <c r="W826" s="5">
        <f>IF(M826="No","Attrited","Active")</f>
        <v/>
      </c>
    </row>
    <row r="827">
      <c r="A827" s="5" t="inlineStr">
        <is>
          <t>E00826</t>
        </is>
      </c>
      <c r="B827" s="5" t="inlineStr">
        <is>
          <t>Female</t>
        </is>
      </c>
      <c r="C827" s="6" t="inlineStr">
        <is>
          <t>45</t>
        </is>
      </c>
      <c r="D827" s="5" t="inlineStr">
        <is>
          <t>Single</t>
        </is>
      </c>
      <c r="E827" s="5" t="inlineStr">
        <is>
          <t>High School</t>
        </is>
      </c>
      <c r="F827" s="5" t="inlineStr">
        <is>
          <t>IT</t>
        </is>
      </c>
      <c r="G827" s="5" t="inlineStr">
        <is>
          <t>Software Engineer</t>
        </is>
      </c>
      <c r="H827" s="5" t="inlineStr">
        <is>
          <t>7</t>
        </is>
      </c>
      <c r="I827" s="5" t="inlineStr">
        <is>
          <t>Remote</t>
        </is>
      </c>
      <c r="J827" s="5" t="inlineStr">
        <is>
          <t>Full-Time</t>
        </is>
      </c>
      <c r="K827" s="7" t="n">
        <v>44076</v>
      </c>
      <c r="L827" s="7" t="n">
        <v>44217</v>
      </c>
      <c r="M827" s="5" t="inlineStr">
        <is>
          <t>No</t>
        </is>
      </c>
      <c r="N827" s="5" t="inlineStr">
        <is>
          <t>Layoff</t>
        </is>
      </c>
      <c r="O827" s="8" t="inlineStr">
        <is>
          <t>257000</t>
        </is>
      </c>
      <c r="P827" s="5" t="inlineStr">
        <is>
          <t>15</t>
        </is>
      </c>
      <c r="Q827" s="5" t="inlineStr">
        <is>
          <t>5</t>
        </is>
      </c>
      <c r="R827" s="5" t="inlineStr">
        <is>
          <t>3</t>
        </is>
      </c>
      <c r="S827" s="5" t="inlineStr">
        <is>
          <t>4</t>
        </is>
      </c>
      <c r="T827" s="5" t="inlineStr">
        <is>
          <t>10</t>
        </is>
      </c>
      <c r="U827" s="5">
        <f>IFS(C827&lt;30,"Under 30",C827&lt;40,"30-39",C827&lt;50,"40-49",TRUE,"50+")</f>
        <v/>
      </c>
      <c r="V827" s="5">
        <f>IFS(O827&lt;60000,"Low (&lt;60k)",O827&lt;100000,"Mid (60-100k)",TRUE,"High (100k+)")</f>
        <v/>
      </c>
      <c r="W827" s="5">
        <f>IF(M827="No","Attrited","Active")</f>
        <v/>
      </c>
    </row>
    <row r="828">
      <c r="A828" s="5" t="inlineStr">
        <is>
          <t>E00827</t>
        </is>
      </c>
      <c r="B828" s="5" t="inlineStr">
        <is>
          <t>Male</t>
        </is>
      </c>
      <c r="C828" s="6" t="inlineStr">
        <is>
          <t>32</t>
        </is>
      </c>
      <c r="D828" s="5" t="inlineStr">
        <is>
          <t>Divorced</t>
        </is>
      </c>
      <c r="E828" s="5" t="inlineStr">
        <is>
          <t>Master</t>
        </is>
      </c>
      <c r="F828" s="5" t="inlineStr">
        <is>
          <t>Finance</t>
        </is>
      </c>
      <c r="G828" s="5" t="inlineStr">
        <is>
          <t>Credit Analyst</t>
        </is>
      </c>
      <c r="H828" s="5" t="inlineStr">
        <is>
          <t>3</t>
        </is>
      </c>
      <c r="I828" s="5" t="inlineStr">
        <is>
          <t>Mumbai</t>
        </is>
      </c>
      <c r="J828" s="5" t="inlineStr">
        <is>
          <t>Full-Time</t>
        </is>
      </c>
      <c r="K828" s="7" t="n">
        <v>43888</v>
      </c>
      <c r="L828" s="7" t="inlineStr"/>
      <c r="M828" s="5" t="inlineStr">
        <is>
          <t>Yes</t>
        </is>
      </c>
      <c r="N828" s="5" t="inlineStr"/>
      <c r="O828" s="8" t="inlineStr">
        <is>
          <t>132500</t>
        </is>
      </c>
      <c r="P828" s="5" t="inlineStr">
        <is>
          <t>10</t>
        </is>
      </c>
      <c r="Q828" s="5" t="inlineStr">
        <is>
          <t>5</t>
        </is>
      </c>
      <c r="R828" s="5" t="inlineStr">
        <is>
          <t>8</t>
        </is>
      </c>
      <c r="S828" s="5" t="inlineStr">
        <is>
          <t>71</t>
        </is>
      </c>
      <c r="T828" s="5" t="inlineStr">
        <is>
          <t>0</t>
        </is>
      </c>
      <c r="U828" s="5">
        <f>IFS(C828&lt;30,"Under 30",C828&lt;40,"30-39",C828&lt;50,"40-49",TRUE,"50+")</f>
        <v/>
      </c>
      <c r="V828" s="5">
        <f>IFS(O828&lt;60000,"Low (&lt;60k)",O828&lt;100000,"Mid (60-100k)",TRUE,"High (100k+)")</f>
        <v/>
      </c>
      <c r="W828" s="5">
        <f>IF(M828="No","Attrited","Active")</f>
        <v/>
      </c>
    </row>
    <row r="829">
      <c r="A829" s="5" t="inlineStr">
        <is>
          <t>E00828</t>
        </is>
      </c>
      <c r="B829" s="5" t="inlineStr">
        <is>
          <t>Male</t>
        </is>
      </c>
      <c r="C829" s="6" t="inlineStr">
        <is>
          <t>37</t>
        </is>
      </c>
      <c r="D829" s="5" t="inlineStr">
        <is>
          <t>Single</t>
        </is>
      </c>
      <c r="E829" s="5" t="inlineStr">
        <is>
          <t>Diploma</t>
        </is>
      </c>
      <c r="F829" s="5" t="inlineStr">
        <is>
          <t>Marketing</t>
        </is>
      </c>
      <c r="G829" s="5" t="inlineStr">
        <is>
          <t>Marketing Analyst</t>
        </is>
      </c>
      <c r="H829" s="5" t="inlineStr">
        <is>
          <t>5</t>
        </is>
      </c>
      <c r="I829" s="5" t="inlineStr">
        <is>
          <t>Remote</t>
        </is>
      </c>
      <c r="J829" s="5" t="inlineStr">
        <is>
          <t>Full-Time</t>
        </is>
      </c>
      <c r="K829" s="7" t="n">
        <v>45838</v>
      </c>
      <c r="L829" s="7" t="n">
        <v>45929</v>
      </c>
      <c r="M829" s="5" t="inlineStr">
        <is>
          <t>No</t>
        </is>
      </c>
      <c r="N829" s="5" t="inlineStr">
        <is>
          <t>Resigned</t>
        </is>
      </c>
      <c r="O829" s="8" t="inlineStr">
        <is>
          <t>99500</t>
        </is>
      </c>
      <c r="P829" s="5" t="inlineStr">
        <is>
          <t>5</t>
        </is>
      </c>
      <c r="Q829" s="5" t="inlineStr">
        <is>
          <t>2</t>
        </is>
      </c>
      <c r="R829" s="5" t="inlineStr">
        <is>
          <t>3</t>
        </is>
      </c>
      <c r="S829" s="5" t="inlineStr">
        <is>
          <t>3</t>
        </is>
      </c>
      <c r="T829" s="5" t="inlineStr">
        <is>
          <t>9</t>
        </is>
      </c>
      <c r="U829" s="5">
        <f>IFS(C829&lt;30,"Under 30",C829&lt;40,"30-39",C829&lt;50,"40-49",TRUE,"50+")</f>
        <v/>
      </c>
      <c r="V829" s="5">
        <f>IFS(O829&lt;60000,"Low (&lt;60k)",O829&lt;100000,"Mid (60-100k)",TRUE,"High (100k+)")</f>
        <v/>
      </c>
      <c r="W829" s="5">
        <f>IF(M829="No","Attrited","Active")</f>
        <v/>
      </c>
    </row>
    <row r="830">
      <c r="A830" s="5" t="inlineStr">
        <is>
          <t>E00829</t>
        </is>
      </c>
      <c r="B830" s="5" t="inlineStr">
        <is>
          <t>Male</t>
        </is>
      </c>
      <c r="C830" s="6" t="inlineStr">
        <is>
          <t>31</t>
        </is>
      </c>
      <c r="D830" s="5" t="inlineStr">
        <is>
          <t>Single</t>
        </is>
      </c>
      <c r="E830" s="5" t="inlineStr">
        <is>
          <t>Diploma</t>
        </is>
      </c>
      <c r="F830" s="5" t="inlineStr">
        <is>
          <t>Research &amp; Development</t>
        </is>
      </c>
      <c r="G830" s="5" t="inlineStr">
        <is>
          <t>Research Scientist</t>
        </is>
      </c>
      <c r="H830" s="5" t="inlineStr">
        <is>
          <t>4</t>
        </is>
      </c>
      <c r="I830" s="5" t="inlineStr">
        <is>
          <t>Chennai</t>
        </is>
      </c>
      <c r="J830" s="5" t="inlineStr">
        <is>
          <t>Full-Time</t>
        </is>
      </c>
      <c r="K830" s="7" t="n">
        <v>44602</v>
      </c>
      <c r="L830" s="7" t="inlineStr"/>
      <c r="M830" s="5" t="inlineStr">
        <is>
          <t>Yes</t>
        </is>
      </c>
      <c r="N830" s="5" t="inlineStr"/>
      <c r="O830" s="8" t="inlineStr">
        <is>
          <t>132000</t>
        </is>
      </c>
      <c r="P830" s="5" t="inlineStr">
        <is>
          <t>0</t>
        </is>
      </c>
      <c r="Q830" s="5" t="inlineStr">
        <is>
          <t>5</t>
        </is>
      </c>
      <c r="R830" s="5" t="inlineStr">
        <is>
          <t>5</t>
        </is>
      </c>
      <c r="S830" s="5" t="inlineStr">
        <is>
          <t>47</t>
        </is>
      </c>
      <c r="T830" s="5" t="inlineStr">
        <is>
          <t>13</t>
        </is>
      </c>
      <c r="U830" s="5">
        <f>IFS(C830&lt;30,"Under 30",C830&lt;40,"30-39",C830&lt;50,"40-49",TRUE,"50+")</f>
        <v/>
      </c>
      <c r="V830" s="5">
        <f>IFS(O830&lt;60000,"Low (&lt;60k)",O830&lt;100000,"Mid (60-100k)",TRUE,"High (100k+)")</f>
        <v/>
      </c>
      <c r="W830" s="5">
        <f>IF(M830="No","Attrited","Active")</f>
        <v/>
      </c>
    </row>
    <row r="831">
      <c r="A831" s="5" t="inlineStr">
        <is>
          <t>E00830</t>
        </is>
      </c>
      <c r="B831" s="5" t="inlineStr">
        <is>
          <t>Male</t>
        </is>
      </c>
      <c r="C831" s="6" t="inlineStr">
        <is>
          <t>36</t>
        </is>
      </c>
      <c r="D831" s="5" t="inlineStr">
        <is>
          <t>Married</t>
        </is>
      </c>
      <c r="E831" s="5" t="inlineStr">
        <is>
          <t>Bachelor</t>
        </is>
      </c>
      <c r="F831" s="5" t="inlineStr">
        <is>
          <t>Customer Support</t>
        </is>
      </c>
      <c r="G831" s="5" t="inlineStr">
        <is>
          <t>Escalation Specialist</t>
        </is>
      </c>
      <c r="H831" s="5" t="inlineStr">
        <is>
          <t>2</t>
        </is>
      </c>
      <c r="I831" s="5" t="inlineStr">
        <is>
          <t>Delhi</t>
        </is>
      </c>
      <c r="J831" s="5" t="inlineStr">
        <is>
          <t>Full-Time</t>
        </is>
      </c>
      <c r="K831" s="7" t="n">
        <v>45831</v>
      </c>
      <c r="L831" s="7" t="n">
        <v>45918</v>
      </c>
      <c r="M831" s="5" t="inlineStr">
        <is>
          <t>No</t>
        </is>
      </c>
      <c r="N831" s="5" t="inlineStr">
        <is>
          <t>Resigned</t>
        </is>
      </c>
      <c r="O831" s="8" t="inlineStr">
        <is>
          <t>77500</t>
        </is>
      </c>
      <c r="P831" s="5" t="inlineStr">
        <is>
          <t>0</t>
        </is>
      </c>
      <c r="Q831" s="5" t="inlineStr">
        <is>
          <t>4</t>
        </is>
      </c>
      <c r="R831" s="5" t="inlineStr">
        <is>
          <t>6</t>
        </is>
      </c>
      <c r="S831" s="5" t="inlineStr">
        <is>
          <t>2</t>
        </is>
      </c>
      <c r="T831" s="5" t="inlineStr">
        <is>
          <t>2</t>
        </is>
      </c>
      <c r="U831" s="5">
        <f>IFS(C831&lt;30,"Under 30",C831&lt;40,"30-39",C831&lt;50,"40-49",TRUE,"50+")</f>
        <v/>
      </c>
      <c r="V831" s="5">
        <f>IFS(O831&lt;60000,"Low (&lt;60k)",O831&lt;100000,"Mid (60-100k)",TRUE,"High (100k+)")</f>
        <v/>
      </c>
      <c r="W831" s="5">
        <f>IF(M831="No","Attrited","Active")</f>
        <v/>
      </c>
    </row>
    <row r="832">
      <c r="A832" s="5" t="inlineStr">
        <is>
          <t>E00831</t>
        </is>
      </c>
      <c r="B832" s="5" t="inlineStr">
        <is>
          <t>Male</t>
        </is>
      </c>
      <c r="C832" s="6" t="inlineStr">
        <is>
          <t>34</t>
        </is>
      </c>
      <c r="D832" s="5" t="inlineStr">
        <is>
          <t>Married</t>
        </is>
      </c>
      <c r="E832" s="5" t="inlineStr">
        <is>
          <t>Master</t>
        </is>
      </c>
      <c r="F832" s="5" t="inlineStr">
        <is>
          <t>Operations</t>
        </is>
      </c>
      <c r="G832" s="5" t="inlineStr">
        <is>
          <t>Logistics Coordinator</t>
        </is>
      </c>
      <c r="H832" s="5" t="inlineStr">
        <is>
          <t>3</t>
        </is>
      </c>
      <c r="I832" s="5" t="inlineStr">
        <is>
          <t>Mumbai</t>
        </is>
      </c>
      <c r="J832" s="5" t="inlineStr">
        <is>
          <t>Full-Time</t>
        </is>
      </c>
      <c r="K832" s="7" t="n">
        <v>44995</v>
      </c>
      <c r="L832" s="7" t="inlineStr"/>
      <c r="M832" s="5" t="inlineStr">
        <is>
          <t>Yes</t>
        </is>
      </c>
      <c r="N832" s="5" t="inlineStr"/>
      <c r="O832" s="8" t="inlineStr">
        <is>
          <t>120500</t>
        </is>
      </c>
      <c r="P832" s="5" t="inlineStr">
        <is>
          <t>5</t>
        </is>
      </c>
      <c r="Q832" s="5" t="inlineStr">
        <is>
          <t>3</t>
        </is>
      </c>
      <c r="R832" s="5" t="inlineStr">
        <is>
          <t>4</t>
        </is>
      </c>
      <c r="S832" s="5" t="inlineStr">
        <is>
          <t>34</t>
        </is>
      </c>
      <c r="T832" s="5" t="inlineStr">
        <is>
          <t>5</t>
        </is>
      </c>
      <c r="U832" s="5">
        <f>IFS(C832&lt;30,"Under 30",C832&lt;40,"30-39",C832&lt;50,"40-49",TRUE,"50+")</f>
        <v/>
      </c>
      <c r="V832" s="5">
        <f>IFS(O832&lt;60000,"Low (&lt;60k)",O832&lt;100000,"Mid (60-100k)",TRUE,"High (100k+)")</f>
        <v/>
      </c>
      <c r="W832" s="5">
        <f>IF(M832="No","Attrited","Active")</f>
        <v/>
      </c>
    </row>
    <row r="833">
      <c r="A833" s="5" t="inlineStr">
        <is>
          <t>E00832</t>
        </is>
      </c>
      <c r="B833" s="5" t="inlineStr">
        <is>
          <t>Male</t>
        </is>
      </c>
      <c r="C833" s="6" t="inlineStr">
        <is>
          <t>35</t>
        </is>
      </c>
      <c r="D833" s="5" t="inlineStr">
        <is>
          <t>Single</t>
        </is>
      </c>
      <c r="E833" s="5" t="inlineStr">
        <is>
          <t>Master</t>
        </is>
      </c>
      <c r="F833" s="5" t="inlineStr">
        <is>
          <t>Sales</t>
        </is>
      </c>
      <c r="G833" s="5" t="inlineStr">
        <is>
          <t>Account Executive</t>
        </is>
      </c>
      <c r="H833" s="5" t="inlineStr">
        <is>
          <t>4</t>
        </is>
      </c>
      <c r="I833" s="5" t="inlineStr">
        <is>
          <t>Mumbai</t>
        </is>
      </c>
      <c r="J833" s="5" t="inlineStr">
        <is>
          <t>Full-Time</t>
        </is>
      </c>
      <c r="K833" s="7" t="n">
        <v>45860</v>
      </c>
      <c r="L833" s="7" t="inlineStr"/>
      <c r="M833" s="5" t="inlineStr">
        <is>
          <t>Yes</t>
        </is>
      </c>
      <c r="N833" s="5" t="inlineStr"/>
      <c r="O833" s="8" t="inlineStr">
        <is>
          <t>145000</t>
        </is>
      </c>
      <c r="P833" s="5" t="inlineStr">
        <is>
          <t>10</t>
        </is>
      </c>
      <c r="Q833" s="5" t="inlineStr">
        <is>
          <t>3</t>
        </is>
      </c>
      <c r="R833" s="5" t="inlineStr">
        <is>
          <t>4</t>
        </is>
      </c>
      <c r="S833" s="5" t="inlineStr">
        <is>
          <t>5</t>
        </is>
      </c>
      <c r="T833" s="5" t="inlineStr">
        <is>
          <t>3</t>
        </is>
      </c>
      <c r="U833" s="5">
        <f>IFS(C833&lt;30,"Under 30",C833&lt;40,"30-39",C833&lt;50,"40-49",TRUE,"50+")</f>
        <v/>
      </c>
      <c r="V833" s="5">
        <f>IFS(O833&lt;60000,"Low (&lt;60k)",O833&lt;100000,"Mid (60-100k)",TRUE,"High (100k+)")</f>
        <v/>
      </c>
      <c r="W833" s="5">
        <f>IF(M833="No","Attrited","Active")</f>
        <v/>
      </c>
    </row>
    <row r="834">
      <c r="A834" s="5" t="inlineStr">
        <is>
          <t>E00833</t>
        </is>
      </c>
      <c r="B834" s="5" t="inlineStr">
        <is>
          <t>Female</t>
        </is>
      </c>
      <c r="C834" s="6" t="inlineStr">
        <is>
          <t>23</t>
        </is>
      </c>
      <c r="D834" s="5" t="inlineStr">
        <is>
          <t>Married</t>
        </is>
      </c>
      <c r="E834" s="5" t="inlineStr">
        <is>
          <t>PhD</t>
        </is>
      </c>
      <c r="F834" s="5" t="inlineStr">
        <is>
          <t>Sales</t>
        </is>
      </c>
      <c r="G834" s="5" t="inlineStr">
        <is>
          <t>Account Executive</t>
        </is>
      </c>
      <c r="H834" s="5" t="inlineStr">
        <is>
          <t>1</t>
        </is>
      </c>
      <c r="I834" s="5" t="inlineStr">
        <is>
          <t>Mumbai</t>
        </is>
      </c>
      <c r="J834" s="5" t="inlineStr">
        <is>
          <t>Full-Time</t>
        </is>
      </c>
      <c r="K834" s="7" t="n">
        <v>44982</v>
      </c>
      <c r="L834" s="7" t="inlineStr"/>
      <c r="M834" s="5" t="inlineStr">
        <is>
          <t>Yes</t>
        </is>
      </c>
      <c r="N834" s="5" t="inlineStr"/>
      <c r="O834" s="8" t="inlineStr">
        <is>
          <t>106500</t>
        </is>
      </c>
      <c r="P834" s="5" t="inlineStr">
        <is>
          <t>0</t>
        </is>
      </c>
      <c r="Q834" s="5" t="inlineStr">
        <is>
          <t>5</t>
        </is>
      </c>
      <c r="R834" s="5" t="inlineStr">
        <is>
          <t>7</t>
        </is>
      </c>
      <c r="S834" s="5" t="inlineStr">
        <is>
          <t>34</t>
        </is>
      </c>
      <c r="T834" s="5" t="inlineStr">
        <is>
          <t>10</t>
        </is>
      </c>
      <c r="U834" s="5">
        <f>IFS(C834&lt;30,"Under 30",C834&lt;40,"30-39",C834&lt;50,"40-49",TRUE,"50+")</f>
        <v/>
      </c>
      <c r="V834" s="5">
        <f>IFS(O834&lt;60000,"Low (&lt;60k)",O834&lt;100000,"Mid (60-100k)",TRUE,"High (100k+)")</f>
        <v/>
      </c>
      <c r="W834" s="5">
        <f>IF(M834="No","Attrited","Active")</f>
        <v/>
      </c>
    </row>
    <row r="835">
      <c r="A835" s="5" t="inlineStr">
        <is>
          <t>E00834</t>
        </is>
      </c>
      <c r="B835" s="5" t="inlineStr">
        <is>
          <t>Female</t>
        </is>
      </c>
      <c r="C835" s="6" t="inlineStr">
        <is>
          <t>35</t>
        </is>
      </c>
      <c r="D835" s="5" t="inlineStr">
        <is>
          <t>Single</t>
        </is>
      </c>
      <c r="E835" s="5" t="inlineStr">
        <is>
          <t>Bachelor</t>
        </is>
      </c>
      <c r="F835" s="5" t="inlineStr">
        <is>
          <t>IT</t>
        </is>
      </c>
      <c r="G835" s="5" t="inlineStr">
        <is>
          <t>DevOps Engineer</t>
        </is>
      </c>
      <c r="H835" s="5" t="inlineStr">
        <is>
          <t>4</t>
        </is>
      </c>
      <c r="I835" s="5" t="inlineStr">
        <is>
          <t>Hyderabad</t>
        </is>
      </c>
      <c r="J835" s="5" t="inlineStr">
        <is>
          <t>Full-Time</t>
        </is>
      </c>
      <c r="K835" s="7" t="n">
        <v>44697</v>
      </c>
      <c r="L835" s="7" t="inlineStr"/>
      <c r="M835" s="5" t="inlineStr">
        <is>
          <t>Yes</t>
        </is>
      </c>
      <c r="N835" s="5" t="inlineStr"/>
      <c r="O835" s="8" t="inlineStr">
        <is>
          <t>193500</t>
        </is>
      </c>
      <c r="P835" s="5" t="inlineStr">
        <is>
          <t>10</t>
        </is>
      </c>
      <c r="Q835" s="5" t="inlineStr">
        <is>
          <t>4</t>
        </is>
      </c>
      <c r="R835" s="5" t="inlineStr">
        <is>
          <t>6</t>
        </is>
      </c>
      <c r="S835" s="5" t="inlineStr">
        <is>
          <t>44</t>
        </is>
      </c>
      <c r="T835" s="5" t="inlineStr">
        <is>
          <t>3</t>
        </is>
      </c>
      <c r="U835" s="5">
        <f>IFS(C835&lt;30,"Under 30",C835&lt;40,"30-39",C835&lt;50,"40-49",TRUE,"50+")</f>
        <v/>
      </c>
      <c r="V835" s="5">
        <f>IFS(O835&lt;60000,"Low (&lt;60k)",O835&lt;100000,"Mid (60-100k)",TRUE,"High (100k+)")</f>
        <v/>
      </c>
      <c r="W835" s="5">
        <f>IF(M835="No","Attrited","Active")</f>
        <v/>
      </c>
    </row>
    <row r="836">
      <c r="A836" s="5" t="inlineStr">
        <is>
          <t>E00835</t>
        </is>
      </c>
      <c r="B836" s="5" t="inlineStr">
        <is>
          <t>Male</t>
        </is>
      </c>
      <c r="C836" s="6" t="inlineStr">
        <is>
          <t>29</t>
        </is>
      </c>
      <c r="D836" s="5" t="inlineStr">
        <is>
          <t>Married</t>
        </is>
      </c>
      <c r="E836" s="5" t="inlineStr">
        <is>
          <t>High School</t>
        </is>
      </c>
      <c r="F836" s="5" t="inlineStr">
        <is>
          <t>Human Resources</t>
        </is>
      </c>
      <c r="G836" s="5" t="inlineStr">
        <is>
          <t>HR Generalist</t>
        </is>
      </c>
      <c r="H836" s="5" t="inlineStr">
        <is>
          <t>3</t>
        </is>
      </c>
      <c r="I836" s="5" t="inlineStr">
        <is>
          <t>Hyderabad</t>
        </is>
      </c>
      <c r="J836" s="5" t="inlineStr">
        <is>
          <t>Contract</t>
        </is>
      </c>
      <c r="K836" s="7" t="n">
        <v>44466</v>
      </c>
      <c r="L836" s="7" t="inlineStr"/>
      <c r="M836" s="5" t="inlineStr">
        <is>
          <t>Yes</t>
        </is>
      </c>
      <c r="N836" s="5" t="inlineStr"/>
      <c r="O836" s="8" t="inlineStr">
        <is>
          <t>89500</t>
        </is>
      </c>
      <c r="P836" s="5" t="inlineStr">
        <is>
          <t>0</t>
        </is>
      </c>
      <c r="Q836" s="5" t="inlineStr">
        <is>
          <t>2</t>
        </is>
      </c>
      <c r="R836" s="5" t="inlineStr">
        <is>
          <t>5</t>
        </is>
      </c>
      <c r="S836" s="5" t="inlineStr">
        <is>
          <t>51</t>
        </is>
      </c>
      <c r="T836" s="5" t="inlineStr">
        <is>
          <t>12</t>
        </is>
      </c>
      <c r="U836" s="5">
        <f>IFS(C836&lt;30,"Under 30",C836&lt;40,"30-39",C836&lt;50,"40-49",TRUE,"50+")</f>
        <v/>
      </c>
      <c r="V836" s="5">
        <f>IFS(O836&lt;60000,"Low (&lt;60k)",O836&lt;100000,"Mid (60-100k)",TRUE,"High (100k+)")</f>
        <v/>
      </c>
      <c r="W836" s="5">
        <f>IF(M836="No","Attrited","Active")</f>
        <v/>
      </c>
    </row>
    <row r="837">
      <c r="A837" s="5" t="inlineStr">
        <is>
          <t>E00836</t>
        </is>
      </c>
      <c r="B837" s="5" t="inlineStr">
        <is>
          <t>Male</t>
        </is>
      </c>
      <c r="C837" s="6" t="inlineStr">
        <is>
          <t>29</t>
        </is>
      </c>
      <c r="D837" s="5" t="inlineStr">
        <is>
          <t>Married</t>
        </is>
      </c>
      <c r="E837" s="5" t="inlineStr">
        <is>
          <t>High School</t>
        </is>
      </c>
      <c r="F837" s="5" t="inlineStr">
        <is>
          <t>Marketing</t>
        </is>
      </c>
      <c r="G837" s="5" t="inlineStr">
        <is>
          <t>Marketing Analyst</t>
        </is>
      </c>
      <c r="H837" s="5" t="inlineStr">
        <is>
          <t>2</t>
        </is>
      </c>
      <c r="I837" s="5" t="inlineStr">
        <is>
          <t>Remote</t>
        </is>
      </c>
      <c r="J837" s="5" t="inlineStr">
        <is>
          <t>Full-Time</t>
        </is>
      </c>
      <c r="K837" s="7" t="n">
        <v>44151</v>
      </c>
      <c r="L837" s="7" t="inlineStr"/>
      <c r="M837" s="5" t="inlineStr">
        <is>
          <t>Yes</t>
        </is>
      </c>
      <c r="N837" s="5" t="inlineStr"/>
      <c r="O837" s="8" t="inlineStr">
        <is>
          <t>80000</t>
        </is>
      </c>
      <c r="P837" s="5" t="inlineStr">
        <is>
          <t>0</t>
        </is>
      </c>
      <c r="Q837" s="5" t="inlineStr">
        <is>
          <t>5</t>
        </is>
      </c>
      <c r="R837" s="5" t="inlineStr">
        <is>
          <t>8</t>
        </is>
      </c>
      <c r="S837" s="5" t="inlineStr">
        <is>
          <t>62</t>
        </is>
      </c>
      <c r="T837" s="5" t="inlineStr">
        <is>
          <t>3</t>
        </is>
      </c>
      <c r="U837" s="5">
        <f>IFS(C837&lt;30,"Under 30",C837&lt;40,"30-39",C837&lt;50,"40-49",TRUE,"50+")</f>
        <v/>
      </c>
      <c r="V837" s="5">
        <f>IFS(O837&lt;60000,"Low (&lt;60k)",O837&lt;100000,"Mid (60-100k)",TRUE,"High (100k+)")</f>
        <v/>
      </c>
      <c r="W837" s="5">
        <f>IF(M837="No","Attrited","Active")</f>
        <v/>
      </c>
    </row>
    <row r="838">
      <c r="A838" s="5" t="inlineStr">
        <is>
          <t>E00837</t>
        </is>
      </c>
      <c r="B838" s="5" t="inlineStr">
        <is>
          <t>Male</t>
        </is>
      </c>
      <c r="C838" s="6" t="inlineStr">
        <is>
          <t>39</t>
        </is>
      </c>
      <c r="D838" s="5" t="inlineStr">
        <is>
          <t>Married</t>
        </is>
      </c>
      <c r="E838" s="5" t="inlineStr">
        <is>
          <t>Diploma</t>
        </is>
      </c>
      <c r="F838" s="5" t="inlineStr">
        <is>
          <t>Research &amp; Development</t>
        </is>
      </c>
      <c r="G838" s="5" t="inlineStr">
        <is>
          <t>Product Engineer</t>
        </is>
      </c>
      <c r="H838" s="5" t="inlineStr">
        <is>
          <t>6</t>
        </is>
      </c>
      <c r="I838" s="5" t="inlineStr">
        <is>
          <t>Delhi</t>
        </is>
      </c>
      <c r="J838" s="5" t="inlineStr">
        <is>
          <t>Contract</t>
        </is>
      </c>
      <c r="K838" s="7" t="n">
        <v>45863</v>
      </c>
      <c r="L838" s="7" t="inlineStr"/>
      <c r="M838" s="5" t="inlineStr">
        <is>
          <t>Yes</t>
        </is>
      </c>
      <c r="N838" s="5" t="inlineStr"/>
      <c r="O838" s="8" t="inlineStr">
        <is>
          <t>192000</t>
        </is>
      </c>
      <c r="P838" s="5" t="inlineStr">
        <is>
          <t>20</t>
        </is>
      </c>
      <c r="Q838" s="5" t="inlineStr">
        <is>
          <t>4</t>
        </is>
      </c>
      <c r="R838" s="5" t="inlineStr">
        <is>
          <t>6</t>
        </is>
      </c>
      <c r="S838" s="5" t="inlineStr">
        <is>
          <t>5</t>
        </is>
      </c>
      <c r="T838" s="5" t="inlineStr">
        <is>
          <t>10</t>
        </is>
      </c>
      <c r="U838" s="5">
        <f>IFS(C838&lt;30,"Under 30",C838&lt;40,"30-39",C838&lt;50,"40-49",TRUE,"50+")</f>
        <v/>
      </c>
      <c r="V838" s="5">
        <f>IFS(O838&lt;60000,"Low (&lt;60k)",O838&lt;100000,"Mid (60-100k)",TRUE,"High (100k+)")</f>
        <v/>
      </c>
      <c r="W838" s="5">
        <f>IF(M838="No","Attrited","Active")</f>
        <v/>
      </c>
    </row>
    <row r="839">
      <c r="A839" s="5" t="inlineStr">
        <is>
          <t>E00838</t>
        </is>
      </c>
      <c r="B839" s="5" t="inlineStr">
        <is>
          <t>Female</t>
        </is>
      </c>
      <c r="C839" s="6" t="inlineStr">
        <is>
          <t>28</t>
        </is>
      </c>
      <c r="D839" s="5" t="inlineStr">
        <is>
          <t>Married</t>
        </is>
      </c>
      <c r="E839" s="5" t="inlineStr">
        <is>
          <t>Bachelor</t>
        </is>
      </c>
      <c r="F839" s="5" t="inlineStr">
        <is>
          <t>Finance</t>
        </is>
      </c>
      <c r="G839" s="5" t="inlineStr">
        <is>
          <t>Credit Analyst</t>
        </is>
      </c>
      <c r="H839" s="5" t="inlineStr">
        <is>
          <t>2</t>
        </is>
      </c>
      <c r="I839" s="5" t="inlineStr">
        <is>
          <t>Delhi</t>
        </is>
      </c>
      <c r="J839" s="5" t="inlineStr">
        <is>
          <t>Full-Time</t>
        </is>
      </c>
      <c r="K839" s="7" t="n">
        <v>45607</v>
      </c>
      <c r="L839" s="7" t="inlineStr"/>
      <c r="M839" s="5" t="inlineStr">
        <is>
          <t>Yes</t>
        </is>
      </c>
      <c r="N839" s="5" t="inlineStr"/>
      <c r="O839" s="8" t="inlineStr">
        <is>
          <t>100500</t>
        </is>
      </c>
      <c r="P839" s="5" t="inlineStr">
        <is>
          <t>20</t>
        </is>
      </c>
      <c r="Q839" s="5" t="inlineStr">
        <is>
          <t>4</t>
        </is>
      </c>
      <c r="R839" s="5" t="inlineStr">
        <is>
          <t>6</t>
        </is>
      </c>
      <c r="S839" s="5" t="inlineStr">
        <is>
          <t>13</t>
        </is>
      </c>
      <c r="T839" s="5" t="inlineStr">
        <is>
          <t>5</t>
        </is>
      </c>
      <c r="U839" s="5">
        <f>IFS(C839&lt;30,"Under 30",C839&lt;40,"30-39",C839&lt;50,"40-49",TRUE,"50+")</f>
        <v/>
      </c>
      <c r="V839" s="5">
        <f>IFS(O839&lt;60000,"Low (&lt;60k)",O839&lt;100000,"Mid (60-100k)",TRUE,"High (100k+)")</f>
        <v/>
      </c>
      <c r="W839" s="5">
        <f>IF(M839="No","Attrited","Active")</f>
        <v/>
      </c>
    </row>
    <row r="840">
      <c r="A840" s="5" t="inlineStr">
        <is>
          <t>E00839</t>
        </is>
      </c>
      <c r="B840" s="5" t="inlineStr">
        <is>
          <t>Male</t>
        </is>
      </c>
      <c r="C840" s="6" t="inlineStr">
        <is>
          <t>31</t>
        </is>
      </c>
      <c r="D840" s="5" t="inlineStr">
        <is>
          <t>Married</t>
        </is>
      </c>
      <c r="E840" s="5" t="inlineStr">
        <is>
          <t>High School</t>
        </is>
      </c>
      <c r="F840" s="5" t="inlineStr">
        <is>
          <t>Research &amp; Development</t>
        </is>
      </c>
      <c r="G840" s="5" t="inlineStr">
        <is>
          <t>Data Scientist</t>
        </is>
      </c>
      <c r="H840" s="5" t="inlineStr">
        <is>
          <t>2</t>
        </is>
      </c>
      <c r="I840" s="5" t="inlineStr">
        <is>
          <t>Bengaluru</t>
        </is>
      </c>
      <c r="J840" s="5" t="inlineStr">
        <is>
          <t>Full-Time</t>
        </is>
      </c>
      <c r="K840" s="7" t="n">
        <v>44902</v>
      </c>
      <c r="L840" s="7" t="inlineStr"/>
      <c r="M840" s="5" t="inlineStr">
        <is>
          <t>Yes</t>
        </is>
      </c>
      <c r="N840" s="5" t="inlineStr"/>
      <c r="O840" s="8" t="inlineStr">
        <is>
          <t>182000</t>
        </is>
      </c>
      <c r="P840" s="5" t="inlineStr">
        <is>
          <t>5</t>
        </is>
      </c>
      <c r="Q840" s="5" t="inlineStr">
        <is>
          <t>5</t>
        </is>
      </c>
      <c r="R840" s="5" t="inlineStr">
        <is>
          <t>10</t>
        </is>
      </c>
      <c r="S840" s="5" t="inlineStr">
        <is>
          <t>37</t>
        </is>
      </c>
      <c r="T840" s="5" t="inlineStr">
        <is>
          <t>0</t>
        </is>
      </c>
      <c r="U840" s="5">
        <f>IFS(C840&lt;30,"Under 30",C840&lt;40,"30-39",C840&lt;50,"40-49",TRUE,"50+")</f>
        <v/>
      </c>
      <c r="V840" s="5">
        <f>IFS(O840&lt;60000,"Low (&lt;60k)",O840&lt;100000,"Mid (60-100k)",TRUE,"High (100k+)")</f>
        <v/>
      </c>
      <c r="W840" s="5">
        <f>IF(M840="No","Attrited","Active")</f>
        <v/>
      </c>
    </row>
    <row r="841">
      <c r="A841" s="5" t="inlineStr">
        <is>
          <t>E00840</t>
        </is>
      </c>
      <c r="B841" s="5" t="inlineStr">
        <is>
          <t>Male</t>
        </is>
      </c>
      <c r="C841" s="6" t="inlineStr">
        <is>
          <t>23</t>
        </is>
      </c>
      <c r="D841" s="5" t="inlineStr">
        <is>
          <t>Married</t>
        </is>
      </c>
      <c r="E841" s="5" t="inlineStr">
        <is>
          <t>PhD</t>
        </is>
      </c>
      <c r="F841" s="5" t="inlineStr">
        <is>
          <t>Finance</t>
        </is>
      </c>
      <c r="G841" s="5" t="inlineStr">
        <is>
          <t>Financial Analyst</t>
        </is>
      </c>
      <c r="H841" s="5" t="inlineStr">
        <is>
          <t>1</t>
        </is>
      </c>
      <c r="I841" s="5" t="inlineStr">
        <is>
          <t>Mumbai</t>
        </is>
      </c>
      <c r="J841" s="5" t="inlineStr">
        <is>
          <t>Full-Time</t>
        </is>
      </c>
      <c r="K841" s="7" t="n">
        <v>45123</v>
      </c>
      <c r="L841" s="7" t="n">
        <v>45186</v>
      </c>
      <c r="M841" s="5" t="inlineStr">
        <is>
          <t>No</t>
        </is>
      </c>
      <c r="N841" s="5" t="inlineStr">
        <is>
          <t>Resigned</t>
        </is>
      </c>
      <c r="O841" s="8" t="inlineStr">
        <is>
          <t>72000</t>
        </is>
      </c>
      <c r="P841" s="5" t="inlineStr">
        <is>
          <t>10</t>
        </is>
      </c>
      <c r="Q841" s="5" t="inlineStr">
        <is>
          <t>3</t>
        </is>
      </c>
      <c r="R841" s="5" t="inlineStr">
        <is>
          <t>3</t>
        </is>
      </c>
      <c r="S841" s="5" t="inlineStr">
        <is>
          <t>2</t>
        </is>
      </c>
      <c r="T841" s="5" t="inlineStr">
        <is>
          <t>8</t>
        </is>
      </c>
      <c r="U841" s="5">
        <f>IFS(C841&lt;30,"Under 30",C841&lt;40,"30-39",C841&lt;50,"40-49",TRUE,"50+")</f>
        <v/>
      </c>
      <c r="V841" s="5">
        <f>IFS(O841&lt;60000,"Low (&lt;60k)",O841&lt;100000,"Mid (60-100k)",TRUE,"High (100k+)")</f>
        <v/>
      </c>
      <c r="W841" s="5">
        <f>IF(M841="No","Attrited","Active")</f>
        <v/>
      </c>
    </row>
    <row r="842">
      <c r="A842" s="5" t="inlineStr">
        <is>
          <t>E00841</t>
        </is>
      </c>
      <c r="B842" s="5" t="inlineStr">
        <is>
          <t>Female</t>
        </is>
      </c>
      <c r="C842" s="6" t="inlineStr">
        <is>
          <t>41</t>
        </is>
      </c>
      <c r="D842" s="5" t="inlineStr">
        <is>
          <t>Married</t>
        </is>
      </c>
      <c r="E842" s="5" t="inlineStr">
        <is>
          <t>Master</t>
        </is>
      </c>
      <c r="F842" s="5" t="inlineStr">
        <is>
          <t>Customer Support</t>
        </is>
      </c>
      <c r="G842" s="5" t="inlineStr">
        <is>
          <t>Escalation Specialist</t>
        </is>
      </c>
      <c r="H842" s="5" t="inlineStr">
        <is>
          <t>7</t>
        </is>
      </c>
      <c r="I842" s="5" t="inlineStr">
        <is>
          <t>Mumbai</t>
        </is>
      </c>
      <c r="J842" s="5" t="inlineStr">
        <is>
          <t>Full-Time</t>
        </is>
      </c>
      <c r="K842" s="7" t="n">
        <v>43843</v>
      </c>
      <c r="L842" s="7" t="inlineStr"/>
      <c r="M842" s="5" t="inlineStr">
        <is>
          <t>Yes</t>
        </is>
      </c>
      <c r="N842" s="5" t="inlineStr"/>
      <c r="O842" s="8" t="inlineStr">
        <is>
          <t>120000</t>
        </is>
      </c>
      <c r="P842" s="5" t="inlineStr">
        <is>
          <t>10</t>
        </is>
      </c>
      <c r="Q842" s="5" t="inlineStr">
        <is>
          <t>5</t>
        </is>
      </c>
      <c r="R842" s="5" t="inlineStr">
        <is>
          <t>1</t>
        </is>
      </c>
      <c r="S842" s="5" t="inlineStr">
        <is>
          <t>72</t>
        </is>
      </c>
      <c r="T842" s="5" t="inlineStr">
        <is>
          <t>0</t>
        </is>
      </c>
      <c r="U842" s="5">
        <f>IFS(C842&lt;30,"Under 30",C842&lt;40,"30-39",C842&lt;50,"40-49",TRUE,"50+")</f>
        <v/>
      </c>
      <c r="V842" s="5">
        <f>IFS(O842&lt;60000,"Low (&lt;60k)",O842&lt;100000,"Mid (60-100k)",TRUE,"High (100k+)")</f>
        <v/>
      </c>
      <c r="W842" s="5">
        <f>IF(M842="No","Attrited","Active")</f>
        <v/>
      </c>
    </row>
    <row r="843">
      <c r="A843" s="5" t="inlineStr">
        <is>
          <t>E00842</t>
        </is>
      </c>
      <c r="B843" s="5" t="inlineStr">
        <is>
          <t>Male</t>
        </is>
      </c>
      <c r="C843" s="6" t="inlineStr">
        <is>
          <t>42</t>
        </is>
      </c>
      <c r="D843" s="5" t="inlineStr">
        <is>
          <t>Married</t>
        </is>
      </c>
      <c r="E843" s="5" t="inlineStr">
        <is>
          <t>High School</t>
        </is>
      </c>
      <c r="F843" s="5" t="inlineStr">
        <is>
          <t>IT</t>
        </is>
      </c>
      <c r="G843" s="5" t="inlineStr">
        <is>
          <t>Software Engineer</t>
        </is>
      </c>
      <c r="H843" s="5" t="inlineStr">
        <is>
          <t>6</t>
        </is>
      </c>
      <c r="I843" s="5" t="inlineStr">
        <is>
          <t>Remote</t>
        </is>
      </c>
      <c r="J843" s="5" t="inlineStr">
        <is>
          <t>Part-Time</t>
        </is>
      </c>
      <c r="K843" s="7" t="n">
        <v>45306</v>
      </c>
      <c r="L843" s="7" t="inlineStr"/>
      <c r="M843" s="5" t="inlineStr">
        <is>
          <t>Yes</t>
        </is>
      </c>
      <c r="N843" s="5" t="inlineStr"/>
      <c r="O843" s="8" t="inlineStr">
        <is>
          <t>238000</t>
        </is>
      </c>
      <c r="P843" s="5" t="inlineStr">
        <is>
          <t>10</t>
        </is>
      </c>
      <c r="Q843" s="5" t="inlineStr">
        <is>
          <t>5</t>
        </is>
      </c>
      <c r="R843" s="5" t="inlineStr">
        <is>
          <t>6</t>
        </is>
      </c>
      <c r="S843" s="5" t="inlineStr">
        <is>
          <t>23</t>
        </is>
      </c>
      <c r="T843" s="5" t="inlineStr">
        <is>
          <t>0</t>
        </is>
      </c>
      <c r="U843" s="5">
        <f>IFS(C843&lt;30,"Under 30",C843&lt;40,"30-39",C843&lt;50,"40-49",TRUE,"50+")</f>
        <v/>
      </c>
      <c r="V843" s="5">
        <f>IFS(O843&lt;60000,"Low (&lt;60k)",O843&lt;100000,"Mid (60-100k)",TRUE,"High (100k+)")</f>
        <v/>
      </c>
      <c r="W843" s="5">
        <f>IF(M843="No","Attrited","Active")</f>
        <v/>
      </c>
    </row>
    <row r="844">
      <c r="A844" s="5" t="inlineStr">
        <is>
          <t>E00843</t>
        </is>
      </c>
      <c r="B844" s="5" t="inlineStr">
        <is>
          <t>Female</t>
        </is>
      </c>
      <c r="C844" s="6" t="inlineStr">
        <is>
          <t>33</t>
        </is>
      </c>
      <c r="D844" s="5" t="inlineStr">
        <is>
          <t>Divorced</t>
        </is>
      </c>
      <c r="E844" s="5" t="inlineStr">
        <is>
          <t>PhD</t>
        </is>
      </c>
      <c r="F844" s="5" t="inlineStr">
        <is>
          <t>Finance</t>
        </is>
      </c>
      <c r="G844" s="5" t="inlineStr">
        <is>
          <t>Credit Analyst</t>
        </is>
      </c>
      <c r="H844" s="5" t="inlineStr">
        <is>
          <t>4</t>
        </is>
      </c>
      <c r="I844" s="5" t="inlineStr">
        <is>
          <t>Remote</t>
        </is>
      </c>
      <c r="J844" s="5" t="inlineStr">
        <is>
          <t>Full-Time</t>
        </is>
      </c>
      <c r="K844" s="7" t="n">
        <v>45624</v>
      </c>
      <c r="L844" s="7" t="inlineStr"/>
      <c r="M844" s="5" t="inlineStr">
        <is>
          <t>Yes</t>
        </is>
      </c>
      <c r="N844" s="5" t="inlineStr"/>
      <c r="O844" s="8" t="inlineStr">
        <is>
          <t>165500</t>
        </is>
      </c>
      <c r="P844" s="5" t="inlineStr">
        <is>
          <t>0</t>
        </is>
      </c>
      <c r="Q844" s="5" t="inlineStr">
        <is>
          <t>3</t>
        </is>
      </c>
      <c r="R844" s="5" t="inlineStr">
        <is>
          <t>6</t>
        </is>
      </c>
      <c r="S844" s="5" t="inlineStr">
        <is>
          <t>13</t>
        </is>
      </c>
      <c r="T844" s="5" t="inlineStr">
        <is>
          <t>0</t>
        </is>
      </c>
      <c r="U844" s="5">
        <f>IFS(C844&lt;30,"Under 30",C844&lt;40,"30-39",C844&lt;50,"40-49",TRUE,"50+")</f>
        <v/>
      </c>
      <c r="V844" s="5">
        <f>IFS(O844&lt;60000,"Low (&lt;60k)",O844&lt;100000,"Mid (60-100k)",TRUE,"High (100k+)")</f>
        <v/>
      </c>
      <c r="W844" s="5">
        <f>IF(M844="No","Attrited","Active")</f>
        <v/>
      </c>
    </row>
    <row r="845">
      <c r="A845" s="5" t="inlineStr">
        <is>
          <t>E00844</t>
        </is>
      </c>
      <c r="B845" s="5" t="inlineStr">
        <is>
          <t>Female</t>
        </is>
      </c>
      <c r="C845" s="6" t="inlineStr">
        <is>
          <t>29</t>
        </is>
      </c>
      <c r="D845" s="5" t="inlineStr">
        <is>
          <t>Married</t>
        </is>
      </c>
      <c r="E845" s="5" t="inlineStr">
        <is>
          <t>Bachelor</t>
        </is>
      </c>
      <c r="F845" s="5" t="inlineStr">
        <is>
          <t>Human Resources</t>
        </is>
      </c>
      <c r="G845" s="5" t="inlineStr">
        <is>
          <t>Recruiter</t>
        </is>
      </c>
      <c r="H845" s="5" t="inlineStr">
        <is>
          <t>2</t>
        </is>
      </c>
      <c r="I845" s="5" t="inlineStr">
        <is>
          <t>Hyderabad</t>
        </is>
      </c>
      <c r="J845" s="5" t="inlineStr">
        <is>
          <t>Full-Time</t>
        </is>
      </c>
      <c r="K845" s="7" t="n">
        <v>45922</v>
      </c>
      <c r="L845" s="7" t="inlineStr"/>
      <c r="M845" s="5" t="inlineStr">
        <is>
          <t>Yes</t>
        </is>
      </c>
      <c r="N845" s="5" t="inlineStr"/>
      <c r="O845" s="8" t="inlineStr">
        <is>
          <t>74000</t>
        </is>
      </c>
      <c r="P845" s="5" t="inlineStr">
        <is>
          <t>20</t>
        </is>
      </c>
      <c r="Q845" s="5" t="inlineStr">
        <is>
          <t>4</t>
        </is>
      </c>
      <c r="R845" s="5" t="inlineStr">
        <is>
          <t>2</t>
        </is>
      </c>
      <c r="S845" s="5" t="inlineStr">
        <is>
          <t>3</t>
        </is>
      </c>
      <c r="T845" s="5" t="inlineStr">
        <is>
          <t>21</t>
        </is>
      </c>
      <c r="U845" s="5">
        <f>IFS(C845&lt;30,"Under 30",C845&lt;40,"30-39",C845&lt;50,"40-49",TRUE,"50+")</f>
        <v/>
      </c>
      <c r="V845" s="5">
        <f>IFS(O845&lt;60000,"Low (&lt;60k)",O845&lt;100000,"Mid (60-100k)",TRUE,"High (100k+)")</f>
        <v/>
      </c>
      <c r="W845" s="5">
        <f>IF(M845="No","Attrited","Active")</f>
        <v/>
      </c>
    </row>
    <row r="846">
      <c r="A846" s="5" t="inlineStr">
        <is>
          <t>E00845</t>
        </is>
      </c>
      <c r="B846" s="5" t="inlineStr">
        <is>
          <t>Male</t>
        </is>
      </c>
      <c r="C846" s="6" t="inlineStr">
        <is>
          <t>37</t>
        </is>
      </c>
      <c r="D846" s="5" t="inlineStr">
        <is>
          <t>Married</t>
        </is>
      </c>
      <c r="E846" s="5" t="inlineStr">
        <is>
          <t>Master</t>
        </is>
      </c>
      <c r="F846" s="5" t="inlineStr">
        <is>
          <t>Marketing</t>
        </is>
      </c>
      <c r="G846" s="5" t="inlineStr">
        <is>
          <t>Marketing Analyst</t>
        </is>
      </c>
      <c r="H846" s="5" t="inlineStr">
        <is>
          <t>3</t>
        </is>
      </c>
      <c r="I846" s="5" t="inlineStr">
        <is>
          <t>Hyderabad</t>
        </is>
      </c>
      <c r="J846" s="5" t="inlineStr">
        <is>
          <t>Full-Time</t>
        </is>
      </c>
      <c r="K846" s="7" t="n">
        <v>45570</v>
      </c>
      <c r="L846" s="7" t="inlineStr"/>
      <c r="M846" s="5" t="inlineStr">
        <is>
          <t>Yes</t>
        </is>
      </c>
      <c r="N846" s="5" t="inlineStr"/>
      <c r="O846" s="8" t="inlineStr">
        <is>
          <t>110500</t>
        </is>
      </c>
      <c r="P846" s="5" t="inlineStr">
        <is>
          <t>0</t>
        </is>
      </c>
      <c r="Q846" s="5" t="inlineStr">
        <is>
          <t>3</t>
        </is>
      </c>
      <c r="R846" s="5" t="inlineStr">
        <is>
          <t>6</t>
        </is>
      </c>
      <c r="S846" s="5" t="inlineStr">
        <is>
          <t>15</t>
        </is>
      </c>
      <c r="T846" s="5" t="inlineStr">
        <is>
          <t>2</t>
        </is>
      </c>
      <c r="U846" s="5">
        <f>IFS(C846&lt;30,"Under 30",C846&lt;40,"30-39",C846&lt;50,"40-49",TRUE,"50+")</f>
        <v/>
      </c>
      <c r="V846" s="5">
        <f>IFS(O846&lt;60000,"Low (&lt;60k)",O846&lt;100000,"Mid (60-100k)",TRUE,"High (100k+)")</f>
        <v/>
      </c>
      <c r="W846" s="5">
        <f>IF(M846="No","Attrited","Active")</f>
        <v/>
      </c>
    </row>
    <row r="847">
      <c r="A847" s="5" t="inlineStr">
        <is>
          <t>E00846</t>
        </is>
      </c>
      <c r="B847" s="5" t="inlineStr">
        <is>
          <t>Female</t>
        </is>
      </c>
      <c r="C847" s="6" t="inlineStr">
        <is>
          <t>34</t>
        </is>
      </c>
      <c r="D847" s="5" t="inlineStr">
        <is>
          <t>Married</t>
        </is>
      </c>
      <c r="E847" s="5" t="inlineStr">
        <is>
          <t>Bachelor</t>
        </is>
      </c>
      <c r="F847" s="5" t="inlineStr">
        <is>
          <t>Operations</t>
        </is>
      </c>
      <c r="G847" s="5" t="inlineStr">
        <is>
          <t>Operations Analyst</t>
        </is>
      </c>
      <c r="H847" s="5" t="inlineStr">
        <is>
          <t>5</t>
        </is>
      </c>
      <c r="I847" s="5" t="inlineStr">
        <is>
          <t>Delhi</t>
        </is>
      </c>
      <c r="J847" s="5" t="inlineStr">
        <is>
          <t>Full-Time</t>
        </is>
      </c>
      <c r="K847" s="7" t="n">
        <v>45214</v>
      </c>
      <c r="L847" s="7" t="inlineStr"/>
      <c r="M847" s="5" t="inlineStr">
        <is>
          <t>Yes</t>
        </is>
      </c>
      <c r="N847" s="5" t="inlineStr"/>
      <c r="O847" s="8" t="inlineStr">
        <is>
          <t>122000</t>
        </is>
      </c>
      <c r="P847" s="5" t="inlineStr">
        <is>
          <t>0</t>
        </is>
      </c>
      <c r="Q847" s="5" t="inlineStr">
        <is>
          <t>4</t>
        </is>
      </c>
      <c r="R847" s="5" t="inlineStr">
        <is>
          <t>6</t>
        </is>
      </c>
      <c r="S847" s="5" t="inlineStr">
        <is>
          <t>26</t>
        </is>
      </c>
      <c r="T847" s="5" t="inlineStr">
        <is>
          <t>5</t>
        </is>
      </c>
      <c r="U847" s="5">
        <f>IFS(C847&lt;30,"Under 30",C847&lt;40,"30-39",C847&lt;50,"40-49",TRUE,"50+")</f>
        <v/>
      </c>
      <c r="V847" s="5">
        <f>IFS(O847&lt;60000,"Low (&lt;60k)",O847&lt;100000,"Mid (60-100k)",TRUE,"High (100k+)")</f>
        <v/>
      </c>
      <c r="W847" s="5">
        <f>IF(M847="No","Attrited","Active")</f>
        <v/>
      </c>
    </row>
    <row r="848">
      <c r="A848" s="5" t="inlineStr">
        <is>
          <t>E00847</t>
        </is>
      </c>
      <c r="B848" s="5" t="inlineStr">
        <is>
          <t>Male</t>
        </is>
      </c>
      <c r="C848" s="6" t="inlineStr">
        <is>
          <t>33</t>
        </is>
      </c>
      <c r="D848" s="5" t="inlineStr">
        <is>
          <t>Single</t>
        </is>
      </c>
      <c r="E848" s="5" t="inlineStr">
        <is>
          <t>PhD</t>
        </is>
      </c>
      <c r="F848" s="5" t="inlineStr">
        <is>
          <t>Marketing</t>
        </is>
      </c>
      <c r="G848" s="5" t="inlineStr">
        <is>
          <t>Marketing Analyst</t>
        </is>
      </c>
      <c r="H848" s="5" t="inlineStr">
        <is>
          <t>1</t>
        </is>
      </c>
      <c r="I848" s="5" t="inlineStr">
        <is>
          <t>Hyderabad</t>
        </is>
      </c>
      <c r="J848" s="5" t="inlineStr">
        <is>
          <t>Full-Time</t>
        </is>
      </c>
      <c r="K848" s="7" t="n">
        <v>44762</v>
      </c>
      <c r="L848" s="7" t="inlineStr"/>
      <c r="M848" s="5" t="inlineStr">
        <is>
          <t>Yes</t>
        </is>
      </c>
      <c r="N848" s="5" t="inlineStr"/>
      <c r="O848" s="8" t="inlineStr">
        <is>
          <t>78000</t>
        </is>
      </c>
      <c r="P848" s="5" t="inlineStr">
        <is>
          <t>0</t>
        </is>
      </c>
      <c r="Q848" s="5" t="inlineStr">
        <is>
          <t>3</t>
        </is>
      </c>
      <c r="R848" s="5" t="inlineStr">
        <is>
          <t>6</t>
        </is>
      </c>
      <c r="S848" s="5" t="inlineStr">
        <is>
          <t>42</t>
        </is>
      </c>
      <c r="T848" s="5" t="inlineStr">
        <is>
          <t>5</t>
        </is>
      </c>
      <c r="U848" s="5">
        <f>IFS(C848&lt;30,"Under 30",C848&lt;40,"30-39",C848&lt;50,"40-49",TRUE,"50+")</f>
        <v/>
      </c>
      <c r="V848" s="5">
        <f>IFS(O848&lt;60000,"Low (&lt;60k)",O848&lt;100000,"Mid (60-100k)",TRUE,"High (100k+)")</f>
        <v/>
      </c>
      <c r="W848" s="5">
        <f>IF(M848="No","Attrited","Active")</f>
        <v/>
      </c>
    </row>
    <row r="849">
      <c r="A849" s="5" t="inlineStr">
        <is>
          <t>E00848</t>
        </is>
      </c>
      <c r="B849" s="5" t="inlineStr">
        <is>
          <t>Female</t>
        </is>
      </c>
      <c r="C849" s="6" t="inlineStr">
        <is>
          <t>34</t>
        </is>
      </c>
      <c r="D849" s="5" t="inlineStr">
        <is>
          <t>Married</t>
        </is>
      </c>
      <c r="E849" s="5" t="inlineStr">
        <is>
          <t>Bachelor</t>
        </is>
      </c>
      <c r="F849" s="5" t="inlineStr">
        <is>
          <t>Finance</t>
        </is>
      </c>
      <c r="G849" s="5" t="inlineStr">
        <is>
          <t>Accountant</t>
        </is>
      </c>
      <c r="H849" s="5" t="inlineStr">
        <is>
          <t>1</t>
        </is>
      </c>
      <c r="I849" s="5" t="inlineStr">
        <is>
          <t>Mumbai</t>
        </is>
      </c>
      <c r="J849" s="5" t="inlineStr">
        <is>
          <t>Full-Time</t>
        </is>
      </c>
      <c r="K849" s="7" t="n">
        <v>44336</v>
      </c>
      <c r="L849" s="7" t="inlineStr"/>
      <c r="M849" s="5" t="inlineStr">
        <is>
          <t>Yes</t>
        </is>
      </c>
      <c r="N849" s="5" t="inlineStr"/>
      <c r="O849" s="8" t="inlineStr">
        <is>
          <t>76500</t>
        </is>
      </c>
      <c r="P849" s="5" t="inlineStr">
        <is>
          <t>0</t>
        </is>
      </c>
      <c r="Q849" s="5" t="inlineStr">
        <is>
          <t>4</t>
        </is>
      </c>
      <c r="R849" s="5" t="inlineStr">
        <is>
          <t>7</t>
        </is>
      </c>
      <c r="S849" s="5" t="inlineStr">
        <is>
          <t>56</t>
        </is>
      </c>
      <c r="T849" s="5" t="inlineStr">
        <is>
          <t>0</t>
        </is>
      </c>
      <c r="U849" s="5">
        <f>IFS(C849&lt;30,"Under 30",C849&lt;40,"30-39",C849&lt;50,"40-49",TRUE,"50+")</f>
        <v/>
      </c>
      <c r="V849" s="5">
        <f>IFS(O849&lt;60000,"Low (&lt;60k)",O849&lt;100000,"Mid (60-100k)",TRUE,"High (100k+)")</f>
        <v/>
      </c>
      <c r="W849" s="5">
        <f>IF(M849="No","Attrited","Active")</f>
        <v/>
      </c>
    </row>
    <row r="850">
      <c r="A850" s="5" t="inlineStr">
        <is>
          <t>E00849</t>
        </is>
      </c>
      <c r="B850" s="5" t="inlineStr">
        <is>
          <t>Male</t>
        </is>
      </c>
      <c r="C850" s="6" t="inlineStr">
        <is>
          <t>33</t>
        </is>
      </c>
      <c r="D850" s="5" t="inlineStr">
        <is>
          <t>Single</t>
        </is>
      </c>
      <c r="E850" s="5" t="inlineStr">
        <is>
          <t>High School</t>
        </is>
      </c>
      <c r="F850" s="5" t="inlineStr">
        <is>
          <t>Finance</t>
        </is>
      </c>
      <c r="G850" s="5" t="inlineStr">
        <is>
          <t>Accountant</t>
        </is>
      </c>
      <c r="H850" s="5" t="inlineStr">
        <is>
          <t>5</t>
        </is>
      </c>
      <c r="I850" s="5" t="inlineStr">
        <is>
          <t>Remote</t>
        </is>
      </c>
      <c r="J850" s="5" t="inlineStr">
        <is>
          <t>Full-Time</t>
        </is>
      </c>
      <c r="K850" s="7" t="n">
        <v>44401</v>
      </c>
      <c r="L850" s="7" t="inlineStr"/>
      <c r="M850" s="5" t="inlineStr">
        <is>
          <t>Yes</t>
        </is>
      </c>
      <c r="N850" s="5" t="inlineStr"/>
      <c r="O850" s="8" t="inlineStr">
        <is>
          <t>106500</t>
        </is>
      </c>
      <c r="P850" s="5" t="inlineStr">
        <is>
          <t>0</t>
        </is>
      </c>
      <c r="Q850" s="5" t="inlineStr">
        <is>
          <t>4</t>
        </is>
      </c>
      <c r="R850" s="5" t="inlineStr">
        <is>
          <t>6</t>
        </is>
      </c>
      <c r="S850" s="5" t="inlineStr">
        <is>
          <t>54</t>
        </is>
      </c>
      <c r="T850" s="5" t="inlineStr">
        <is>
          <t>0</t>
        </is>
      </c>
      <c r="U850" s="5">
        <f>IFS(C850&lt;30,"Under 30",C850&lt;40,"30-39",C850&lt;50,"40-49",TRUE,"50+")</f>
        <v/>
      </c>
      <c r="V850" s="5">
        <f>IFS(O850&lt;60000,"Low (&lt;60k)",O850&lt;100000,"Mid (60-100k)",TRUE,"High (100k+)")</f>
        <v/>
      </c>
      <c r="W850" s="5">
        <f>IF(M850="No","Attrited","Active")</f>
        <v/>
      </c>
    </row>
    <row r="851">
      <c r="A851" s="5" t="inlineStr">
        <is>
          <t>E00850</t>
        </is>
      </c>
      <c r="B851" s="5" t="inlineStr">
        <is>
          <t>Male</t>
        </is>
      </c>
      <c r="C851" s="6" t="inlineStr">
        <is>
          <t>31</t>
        </is>
      </c>
      <c r="D851" s="5" t="inlineStr">
        <is>
          <t>Married</t>
        </is>
      </c>
      <c r="E851" s="5" t="inlineStr">
        <is>
          <t>Diploma</t>
        </is>
      </c>
      <c r="F851" s="5" t="inlineStr">
        <is>
          <t>Operations</t>
        </is>
      </c>
      <c r="G851" s="5" t="inlineStr">
        <is>
          <t>Quality Analyst</t>
        </is>
      </c>
      <c r="H851" s="5" t="inlineStr">
        <is>
          <t>4</t>
        </is>
      </c>
      <c r="I851" s="5" t="inlineStr">
        <is>
          <t>Bengaluru</t>
        </is>
      </c>
      <c r="J851" s="5" t="inlineStr">
        <is>
          <t>Full-Time</t>
        </is>
      </c>
      <c r="K851" s="7" t="n">
        <v>44782</v>
      </c>
      <c r="L851" s="7" t="inlineStr"/>
      <c r="M851" s="5" t="inlineStr">
        <is>
          <t>Yes</t>
        </is>
      </c>
      <c r="N851" s="5" t="inlineStr"/>
      <c r="O851" s="8" t="inlineStr">
        <is>
          <t>116500</t>
        </is>
      </c>
      <c r="P851" s="5" t="inlineStr">
        <is>
          <t>15</t>
        </is>
      </c>
      <c r="Q851" s="5" t="inlineStr">
        <is>
          <t>5</t>
        </is>
      </c>
      <c r="R851" s="5" t="inlineStr">
        <is>
          <t>6</t>
        </is>
      </c>
      <c r="S851" s="5" t="inlineStr">
        <is>
          <t>41</t>
        </is>
      </c>
      <c r="T851" s="5" t="inlineStr">
        <is>
          <t>0</t>
        </is>
      </c>
      <c r="U851" s="5">
        <f>IFS(C851&lt;30,"Under 30",C851&lt;40,"30-39",C851&lt;50,"40-49",TRUE,"50+")</f>
        <v/>
      </c>
      <c r="V851" s="5">
        <f>IFS(O851&lt;60000,"Low (&lt;60k)",O851&lt;100000,"Mid (60-100k)",TRUE,"High (100k+)")</f>
        <v/>
      </c>
      <c r="W851" s="5">
        <f>IF(M851="No","Attrited","Active")</f>
        <v/>
      </c>
    </row>
    <row r="852">
      <c r="A852" s="5" t="inlineStr">
        <is>
          <t>E00851</t>
        </is>
      </c>
      <c r="B852" s="5" t="inlineStr">
        <is>
          <t>Female</t>
        </is>
      </c>
      <c r="C852" s="6" t="inlineStr">
        <is>
          <t>36</t>
        </is>
      </c>
      <c r="D852" s="5" t="inlineStr">
        <is>
          <t>Married</t>
        </is>
      </c>
      <c r="E852" s="5" t="inlineStr">
        <is>
          <t>PhD</t>
        </is>
      </c>
      <c r="F852" s="5" t="inlineStr">
        <is>
          <t>Sales</t>
        </is>
      </c>
      <c r="G852" s="5" t="inlineStr">
        <is>
          <t>Account Executive</t>
        </is>
      </c>
      <c r="H852" s="5" t="inlineStr">
        <is>
          <t>2</t>
        </is>
      </c>
      <c r="I852" s="5" t="inlineStr">
        <is>
          <t>Chennai</t>
        </is>
      </c>
      <c r="J852" s="5" t="inlineStr">
        <is>
          <t>Full-Time</t>
        </is>
      </c>
      <c r="K852" s="7" t="n">
        <v>44642</v>
      </c>
      <c r="L852" s="7" t="inlineStr"/>
      <c r="M852" s="5" t="inlineStr">
        <is>
          <t>Yes</t>
        </is>
      </c>
      <c r="N852" s="5" t="inlineStr"/>
      <c r="O852" s="8" t="inlineStr">
        <is>
          <t>75000</t>
        </is>
      </c>
      <c r="P852" s="5" t="inlineStr">
        <is>
          <t>10</t>
        </is>
      </c>
      <c r="Q852" s="5" t="inlineStr">
        <is>
          <t>3</t>
        </is>
      </c>
      <c r="R852" s="5" t="inlineStr">
        <is>
          <t>8</t>
        </is>
      </c>
      <c r="S852" s="5" t="inlineStr">
        <is>
          <t>46</t>
        </is>
      </c>
      <c r="T852" s="5" t="inlineStr">
        <is>
          <t>9</t>
        </is>
      </c>
      <c r="U852" s="5">
        <f>IFS(C852&lt;30,"Under 30",C852&lt;40,"30-39",C852&lt;50,"40-49",TRUE,"50+")</f>
        <v/>
      </c>
      <c r="V852" s="5">
        <f>IFS(O852&lt;60000,"Low (&lt;60k)",O852&lt;100000,"Mid (60-100k)",TRUE,"High (100k+)")</f>
        <v/>
      </c>
      <c r="W852" s="5">
        <f>IF(M852="No","Attrited","Active")</f>
        <v/>
      </c>
    </row>
    <row r="853">
      <c r="A853" s="5" t="inlineStr">
        <is>
          <t>E00852</t>
        </is>
      </c>
      <c r="B853" s="5" t="inlineStr">
        <is>
          <t>Female</t>
        </is>
      </c>
      <c r="C853" s="6" t="inlineStr">
        <is>
          <t>44</t>
        </is>
      </c>
      <c r="D853" s="5" t="inlineStr">
        <is>
          <t>Single</t>
        </is>
      </c>
      <c r="E853" s="5" t="inlineStr">
        <is>
          <t>Bachelor</t>
        </is>
      </c>
      <c r="F853" s="5" t="inlineStr">
        <is>
          <t>Sales</t>
        </is>
      </c>
      <c r="G853" s="5" t="inlineStr">
        <is>
          <t>Sales Executive</t>
        </is>
      </c>
      <c r="H853" s="5" t="inlineStr">
        <is>
          <t>6</t>
        </is>
      </c>
      <c r="I853" s="5" t="inlineStr">
        <is>
          <t>Mumbai</t>
        </is>
      </c>
      <c r="J853" s="5" t="inlineStr">
        <is>
          <t>Full-Time</t>
        </is>
      </c>
      <c r="K853" s="7" t="n">
        <v>44678</v>
      </c>
      <c r="L853" s="7" t="inlineStr"/>
      <c r="M853" s="5" t="inlineStr">
        <is>
          <t>Yes</t>
        </is>
      </c>
      <c r="N853" s="5" t="inlineStr"/>
      <c r="O853" s="8" t="inlineStr">
        <is>
          <t>164000</t>
        </is>
      </c>
      <c r="P853" s="5" t="inlineStr">
        <is>
          <t>10</t>
        </is>
      </c>
      <c r="Q853" s="5" t="inlineStr">
        <is>
          <t>3</t>
        </is>
      </c>
      <c r="R853" s="5" t="inlineStr">
        <is>
          <t>5</t>
        </is>
      </c>
      <c r="S853" s="5" t="inlineStr">
        <is>
          <t>44</t>
        </is>
      </c>
      <c r="T853" s="5" t="inlineStr">
        <is>
          <t>3</t>
        </is>
      </c>
      <c r="U853" s="5">
        <f>IFS(C853&lt;30,"Under 30",C853&lt;40,"30-39",C853&lt;50,"40-49",TRUE,"50+")</f>
        <v/>
      </c>
      <c r="V853" s="5">
        <f>IFS(O853&lt;60000,"Low (&lt;60k)",O853&lt;100000,"Mid (60-100k)",TRUE,"High (100k+)")</f>
        <v/>
      </c>
      <c r="W853" s="5">
        <f>IF(M853="No","Attrited","Active")</f>
        <v/>
      </c>
    </row>
    <row r="854">
      <c r="A854" s="5" t="inlineStr">
        <is>
          <t>E00853</t>
        </is>
      </c>
      <c r="B854" s="5" t="inlineStr">
        <is>
          <t>Female</t>
        </is>
      </c>
      <c r="C854" s="6" t="inlineStr">
        <is>
          <t>34</t>
        </is>
      </c>
      <c r="D854" s="5" t="inlineStr">
        <is>
          <t>Married</t>
        </is>
      </c>
      <c r="E854" s="5" t="inlineStr">
        <is>
          <t>Diploma</t>
        </is>
      </c>
      <c r="F854" s="5" t="inlineStr">
        <is>
          <t>Operations</t>
        </is>
      </c>
      <c r="G854" s="5" t="inlineStr">
        <is>
          <t>Operations Analyst</t>
        </is>
      </c>
      <c r="H854" s="5" t="inlineStr">
        <is>
          <t>3</t>
        </is>
      </c>
      <c r="I854" s="5" t="inlineStr">
        <is>
          <t>Delhi</t>
        </is>
      </c>
      <c r="J854" s="5" t="inlineStr">
        <is>
          <t>Contract</t>
        </is>
      </c>
      <c r="K854" s="7" t="n">
        <v>45003</v>
      </c>
      <c r="L854" s="7" t="inlineStr"/>
      <c r="M854" s="5" t="inlineStr">
        <is>
          <t>Yes</t>
        </is>
      </c>
      <c r="N854" s="5" t="inlineStr"/>
      <c r="O854" s="8" t="inlineStr">
        <is>
          <t>78500</t>
        </is>
      </c>
      <c r="P854" s="5" t="inlineStr">
        <is>
          <t>15</t>
        </is>
      </c>
      <c r="Q854" s="5" t="inlineStr">
        <is>
          <t>5</t>
        </is>
      </c>
      <c r="R854" s="5" t="inlineStr">
        <is>
          <t>4</t>
        </is>
      </c>
      <c r="S854" s="5" t="inlineStr">
        <is>
          <t>33</t>
        </is>
      </c>
      <c r="T854" s="5" t="inlineStr">
        <is>
          <t>17</t>
        </is>
      </c>
      <c r="U854" s="5">
        <f>IFS(C854&lt;30,"Under 30",C854&lt;40,"30-39",C854&lt;50,"40-49",TRUE,"50+")</f>
        <v/>
      </c>
      <c r="V854" s="5">
        <f>IFS(O854&lt;60000,"Low (&lt;60k)",O854&lt;100000,"Mid (60-100k)",TRUE,"High (100k+)")</f>
        <v/>
      </c>
      <c r="W854" s="5">
        <f>IF(M854="No","Attrited","Active")</f>
        <v/>
      </c>
    </row>
    <row r="855">
      <c r="A855" s="5" t="inlineStr">
        <is>
          <t>E00854</t>
        </is>
      </c>
      <c r="B855" s="5" t="inlineStr">
        <is>
          <t>Female</t>
        </is>
      </c>
      <c r="C855" s="6" t="inlineStr">
        <is>
          <t>32</t>
        </is>
      </c>
      <c r="D855" s="5" t="inlineStr">
        <is>
          <t>Divorced</t>
        </is>
      </c>
      <c r="E855" s="5" t="inlineStr">
        <is>
          <t>High School</t>
        </is>
      </c>
      <c r="F855" s="5" t="inlineStr">
        <is>
          <t>Human Resources</t>
        </is>
      </c>
      <c r="G855" s="5" t="inlineStr">
        <is>
          <t>HR Generalist</t>
        </is>
      </c>
      <c r="H855" s="5" t="inlineStr">
        <is>
          <t>2</t>
        </is>
      </c>
      <c r="I855" s="5" t="inlineStr">
        <is>
          <t>Hyderabad</t>
        </is>
      </c>
      <c r="J855" s="5" t="inlineStr">
        <is>
          <t>Full-Time</t>
        </is>
      </c>
      <c r="K855" s="7" t="n">
        <v>45174</v>
      </c>
      <c r="L855" s="7" t="inlineStr"/>
      <c r="M855" s="5" t="inlineStr">
        <is>
          <t>Yes</t>
        </is>
      </c>
      <c r="N855" s="5" t="inlineStr"/>
      <c r="O855" s="8" t="inlineStr">
        <is>
          <t>108500</t>
        </is>
      </c>
      <c r="P855" s="5" t="inlineStr">
        <is>
          <t>10</t>
        </is>
      </c>
      <c r="Q855" s="5" t="inlineStr">
        <is>
          <t>2</t>
        </is>
      </c>
      <c r="R855" s="5" t="inlineStr">
        <is>
          <t>6</t>
        </is>
      </c>
      <c r="S855" s="5" t="inlineStr">
        <is>
          <t>28</t>
        </is>
      </c>
      <c r="T855" s="5" t="inlineStr">
        <is>
          <t>2</t>
        </is>
      </c>
      <c r="U855" s="5">
        <f>IFS(C855&lt;30,"Under 30",C855&lt;40,"30-39",C855&lt;50,"40-49",TRUE,"50+")</f>
        <v/>
      </c>
      <c r="V855" s="5">
        <f>IFS(O855&lt;60000,"Low (&lt;60k)",O855&lt;100000,"Mid (60-100k)",TRUE,"High (100k+)")</f>
        <v/>
      </c>
      <c r="W855" s="5">
        <f>IF(M855="No","Attrited","Active")</f>
        <v/>
      </c>
    </row>
    <row r="856">
      <c r="A856" s="5" t="inlineStr">
        <is>
          <t>E00855</t>
        </is>
      </c>
      <c r="B856" s="5" t="inlineStr">
        <is>
          <t>Female</t>
        </is>
      </c>
      <c r="C856" s="6" t="inlineStr">
        <is>
          <t>37</t>
        </is>
      </c>
      <c r="D856" s="5" t="inlineStr">
        <is>
          <t>Married</t>
        </is>
      </c>
      <c r="E856" s="5" t="inlineStr">
        <is>
          <t>Bachelor</t>
        </is>
      </c>
      <c r="F856" s="5" t="inlineStr">
        <is>
          <t>Marketing</t>
        </is>
      </c>
      <c r="G856" s="5" t="inlineStr">
        <is>
          <t>SEO Specialist</t>
        </is>
      </c>
      <c r="H856" s="5" t="inlineStr">
        <is>
          <t>4</t>
        </is>
      </c>
      <c r="I856" s="5" t="inlineStr">
        <is>
          <t>Bengaluru</t>
        </is>
      </c>
      <c r="J856" s="5" t="inlineStr">
        <is>
          <t>Full-Time</t>
        </is>
      </c>
      <c r="K856" s="7" t="n">
        <v>44224</v>
      </c>
      <c r="L856" s="7" t="inlineStr"/>
      <c r="M856" s="5" t="inlineStr">
        <is>
          <t>Yes</t>
        </is>
      </c>
      <c r="N856" s="5" t="inlineStr"/>
      <c r="O856" s="8" t="inlineStr">
        <is>
          <t>111500</t>
        </is>
      </c>
      <c r="P856" s="5" t="inlineStr">
        <is>
          <t>5</t>
        </is>
      </c>
      <c r="Q856" s="5" t="inlineStr">
        <is>
          <t>3</t>
        </is>
      </c>
      <c r="R856" s="5" t="inlineStr">
        <is>
          <t>6</t>
        </is>
      </c>
      <c r="S856" s="5" t="inlineStr">
        <is>
          <t>59</t>
        </is>
      </c>
      <c r="T856" s="5" t="inlineStr">
        <is>
          <t>0</t>
        </is>
      </c>
      <c r="U856" s="5">
        <f>IFS(C856&lt;30,"Under 30",C856&lt;40,"30-39",C856&lt;50,"40-49",TRUE,"50+")</f>
        <v/>
      </c>
      <c r="V856" s="5">
        <f>IFS(O856&lt;60000,"Low (&lt;60k)",O856&lt;100000,"Mid (60-100k)",TRUE,"High (100k+)")</f>
        <v/>
      </c>
      <c r="W856" s="5">
        <f>IF(M856="No","Attrited","Active")</f>
        <v/>
      </c>
    </row>
    <row r="857">
      <c r="A857" s="5" t="inlineStr">
        <is>
          <t>E00856</t>
        </is>
      </c>
      <c r="B857" s="5" t="inlineStr">
        <is>
          <t>Female</t>
        </is>
      </c>
      <c r="C857" s="6" t="inlineStr">
        <is>
          <t>36</t>
        </is>
      </c>
      <c r="D857" s="5" t="inlineStr">
        <is>
          <t>Single</t>
        </is>
      </c>
      <c r="E857" s="5" t="inlineStr">
        <is>
          <t>Diploma</t>
        </is>
      </c>
      <c r="F857" s="5" t="inlineStr">
        <is>
          <t>Sales</t>
        </is>
      </c>
      <c r="G857" s="5" t="inlineStr">
        <is>
          <t>Sales Executive</t>
        </is>
      </c>
      <c r="H857" s="5" t="inlineStr">
        <is>
          <t>2</t>
        </is>
      </c>
      <c r="I857" s="5" t="inlineStr">
        <is>
          <t>Hyderabad</t>
        </is>
      </c>
      <c r="J857" s="5" t="inlineStr">
        <is>
          <t>Full-Time</t>
        </is>
      </c>
      <c r="K857" s="7" t="n">
        <v>44794</v>
      </c>
      <c r="L857" s="7" t="n">
        <v>44833</v>
      </c>
      <c r="M857" s="5" t="inlineStr">
        <is>
          <t>No</t>
        </is>
      </c>
      <c r="N857" s="5" t="inlineStr">
        <is>
          <t>Resigned</t>
        </is>
      </c>
      <c r="O857" s="8" t="inlineStr">
        <is>
          <t>74000</t>
        </is>
      </c>
      <c r="P857" s="5" t="inlineStr">
        <is>
          <t>10</t>
        </is>
      </c>
      <c r="Q857" s="5" t="inlineStr">
        <is>
          <t>4</t>
        </is>
      </c>
      <c r="R857" s="5" t="inlineStr">
        <is>
          <t>5</t>
        </is>
      </c>
      <c r="S857" s="5" t="inlineStr">
        <is>
          <t>1</t>
        </is>
      </c>
      <c r="T857" s="5" t="inlineStr">
        <is>
          <t>1</t>
        </is>
      </c>
      <c r="U857" s="5">
        <f>IFS(C857&lt;30,"Under 30",C857&lt;40,"30-39",C857&lt;50,"40-49",TRUE,"50+")</f>
        <v/>
      </c>
      <c r="V857" s="5">
        <f>IFS(O857&lt;60000,"Low (&lt;60k)",O857&lt;100000,"Mid (60-100k)",TRUE,"High (100k+)")</f>
        <v/>
      </c>
      <c r="W857" s="5">
        <f>IF(M857="No","Attrited","Active")</f>
        <v/>
      </c>
    </row>
    <row r="858">
      <c r="A858" s="5" t="inlineStr">
        <is>
          <t>E00857</t>
        </is>
      </c>
      <c r="B858" s="5" t="inlineStr">
        <is>
          <t>Female</t>
        </is>
      </c>
      <c r="C858" s="6" t="inlineStr">
        <is>
          <t>38</t>
        </is>
      </c>
      <c r="D858" s="5" t="inlineStr">
        <is>
          <t>Single</t>
        </is>
      </c>
      <c r="E858" s="5" t="inlineStr">
        <is>
          <t>PhD</t>
        </is>
      </c>
      <c r="F858" s="5" t="inlineStr">
        <is>
          <t>Human Resources</t>
        </is>
      </c>
      <c r="G858" s="5" t="inlineStr">
        <is>
          <t>Recruiter</t>
        </is>
      </c>
      <c r="H858" s="5" t="inlineStr">
        <is>
          <t>3</t>
        </is>
      </c>
      <c r="I858" s="5" t="inlineStr">
        <is>
          <t>Remote</t>
        </is>
      </c>
      <c r="J858" s="5" t="inlineStr">
        <is>
          <t>Full-Time</t>
        </is>
      </c>
      <c r="K858" s="7" t="n">
        <v>44003</v>
      </c>
      <c r="L858" s="7" t="inlineStr"/>
      <c r="M858" s="5" t="inlineStr">
        <is>
          <t>Yes</t>
        </is>
      </c>
      <c r="N858" s="5" t="inlineStr"/>
      <c r="O858" s="8" t="inlineStr">
        <is>
          <t>88500</t>
        </is>
      </c>
      <c r="P858" s="5" t="inlineStr">
        <is>
          <t>5</t>
        </is>
      </c>
      <c r="Q858" s="5" t="inlineStr">
        <is>
          <t>4</t>
        </is>
      </c>
      <c r="R858" s="5" t="inlineStr">
        <is>
          <t>6</t>
        </is>
      </c>
      <c r="S858" s="5" t="inlineStr">
        <is>
          <t>67</t>
        </is>
      </c>
      <c r="T858" s="5" t="inlineStr">
        <is>
          <t>4</t>
        </is>
      </c>
      <c r="U858" s="5">
        <f>IFS(C858&lt;30,"Under 30",C858&lt;40,"30-39",C858&lt;50,"40-49",TRUE,"50+")</f>
        <v/>
      </c>
      <c r="V858" s="5">
        <f>IFS(O858&lt;60000,"Low (&lt;60k)",O858&lt;100000,"Mid (60-100k)",TRUE,"High (100k+)")</f>
        <v/>
      </c>
      <c r="W858" s="5">
        <f>IF(M858="No","Attrited","Active")</f>
        <v/>
      </c>
    </row>
    <row r="859">
      <c r="A859" s="5" t="inlineStr">
        <is>
          <t>E00858</t>
        </is>
      </c>
      <c r="B859" s="5" t="inlineStr">
        <is>
          <t>Male</t>
        </is>
      </c>
      <c r="C859" s="6" t="inlineStr">
        <is>
          <t>26</t>
        </is>
      </c>
      <c r="D859" s="5" t="inlineStr">
        <is>
          <t>Married</t>
        </is>
      </c>
      <c r="E859" s="5" t="inlineStr">
        <is>
          <t>Bachelor</t>
        </is>
      </c>
      <c r="F859" s="5" t="inlineStr">
        <is>
          <t>Human Resources</t>
        </is>
      </c>
      <c r="G859" s="5" t="inlineStr">
        <is>
          <t>HR Generalist</t>
        </is>
      </c>
      <c r="H859" s="5" t="inlineStr">
        <is>
          <t>2</t>
        </is>
      </c>
      <c r="I859" s="5" t="inlineStr">
        <is>
          <t>Bengaluru</t>
        </is>
      </c>
      <c r="J859" s="5" t="inlineStr">
        <is>
          <t>Full-Time</t>
        </is>
      </c>
      <c r="K859" s="7" t="n">
        <v>43839</v>
      </c>
      <c r="L859" s="7" t="inlineStr"/>
      <c r="M859" s="5" t="inlineStr">
        <is>
          <t>Yes</t>
        </is>
      </c>
      <c r="N859" s="5" t="inlineStr"/>
      <c r="O859" s="8" t="inlineStr">
        <is>
          <t>113000</t>
        </is>
      </c>
      <c r="P859" s="5" t="inlineStr">
        <is>
          <t>5</t>
        </is>
      </c>
      <c r="Q859" s="5" t="inlineStr">
        <is>
          <t>4</t>
        </is>
      </c>
      <c r="R859" s="5" t="inlineStr">
        <is>
          <t>7</t>
        </is>
      </c>
      <c r="S859" s="5" t="inlineStr">
        <is>
          <t>72</t>
        </is>
      </c>
      <c r="T859" s="5" t="inlineStr">
        <is>
          <t>3</t>
        </is>
      </c>
      <c r="U859" s="5">
        <f>IFS(C859&lt;30,"Under 30",C859&lt;40,"30-39",C859&lt;50,"40-49",TRUE,"50+")</f>
        <v/>
      </c>
      <c r="V859" s="5">
        <f>IFS(O859&lt;60000,"Low (&lt;60k)",O859&lt;100000,"Mid (60-100k)",TRUE,"High (100k+)")</f>
        <v/>
      </c>
      <c r="W859" s="5">
        <f>IF(M859="No","Attrited","Active")</f>
        <v/>
      </c>
    </row>
    <row r="860">
      <c r="A860" s="5" t="inlineStr">
        <is>
          <t>E00859</t>
        </is>
      </c>
      <c r="B860" s="5" t="inlineStr">
        <is>
          <t>Female</t>
        </is>
      </c>
      <c r="C860" s="6" t="inlineStr">
        <is>
          <t>33</t>
        </is>
      </c>
      <c r="D860" s="5" t="inlineStr">
        <is>
          <t>Married</t>
        </is>
      </c>
      <c r="E860" s="5" t="inlineStr">
        <is>
          <t>Diploma</t>
        </is>
      </c>
      <c r="F860" s="5" t="inlineStr">
        <is>
          <t>Human Resources</t>
        </is>
      </c>
      <c r="G860" s="5" t="inlineStr">
        <is>
          <t>HR Generalist</t>
        </is>
      </c>
      <c r="H860" s="5" t="inlineStr">
        <is>
          <t>6</t>
        </is>
      </c>
      <c r="I860" s="5" t="inlineStr">
        <is>
          <t>Mumbai</t>
        </is>
      </c>
      <c r="J860" s="5" t="inlineStr">
        <is>
          <t>Full-Time</t>
        </is>
      </c>
      <c r="K860" s="7" t="n">
        <v>44638</v>
      </c>
      <c r="L860" s="7" t="inlineStr"/>
      <c r="M860" s="5" t="inlineStr">
        <is>
          <t>Yes</t>
        </is>
      </c>
      <c r="N860" s="5" t="inlineStr"/>
      <c r="O860" s="8" t="inlineStr">
        <is>
          <t>126000</t>
        </is>
      </c>
      <c r="P860" s="5" t="inlineStr">
        <is>
          <t>10</t>
        </is>
      </c>
      <c r="Q860" s="5" t="inlineStr">
        <is>
          <t>4</t>
        </is>
      </c>
      <c r="R860" s="5" t="inlineStr">
        <is>
          <t>5</t>
        </is>
      </c>
      <c r="S860" s="5" t="inlineStr">
        <is>
          <t>46</t>
        </is>
      </c>
      <c r="T860" s="5" t="inlineStr">
        <is>
          <t>7</t>
        </is>
      </c>
      <c r="U860" s="5">
        <f>IFS(C860&lt;30,"Under 30",C860&lt;40,"30-39",C860&lt;50,"40-49",TRUE,"50+")</f>
        <v/>
      </c>
      <c r="V860" s="5">
        <f>IFS(O860&lt;60000,"Low (&lt;60k)",O860&lt;100000,"Mid (60-100k)",TRUE,"High (100k+)")</f>
        <v/>
      </c>
      <c r="W860" s="5">
        <f>IF(M860="No","Attrited","Active")</f>
        <v/>
      </c>
    </row>
    <row r="861">
      <c r="A861" s="5" t="inlineStr">
        <is>
          <t>E00860</t>
        </is>
      </c>
      <c r="B861" s="5" t="inlineStr">
        <is>
          <t>Female</t>
        </is>
      </c>
      <c r="C861" s="6" t="inlineStr">
        <is>
          <t>28</t>
        </is>
      </c>
      <c r="D861" s="5" t="inlineStr">
        <is>
          <t>Married</t>
        </is>
      </c>
      <c r="E861" s="5" t="inlineStr">
        <is>
          <t>Bachelor</t>
        </is>
      </c>
      <c r="F861" s="5" t="inlineStr">
        <is>
          <t>Customer Support</t>
        </is>
      </c>
      <c r="G861" s="5" t="inlineStr">
        <is>
          <t>Support Agent</t>
        </is>
      </c>
      <c r="H861" s="5" t="inlineStr">
        <is>
          <t>1</t>
        </is>
      </c>
      <c r="I861" s="5" t="inlineStr">
        <is>
          <t>Hyderabad</t>
        </is>
      </c>
      <c r="J861" s="5" t="inlineStr">
        <is>
          <t>Full-Time</t>
        </is>
      </c>
      <c r="K861" s="7" t="n">
        <v>45361</v>
      </c>
      <c r="L861" s="7" t="inlineStr"/>
      <c r="M861" s="5" t="inlineStr">
        <is>
          <t>Yes</t>
        </is>
      </c>
      <c r="N861" s="5" t="inlineStr"/>
      <c r="O861" s="8" t="inlineStr">
        <is>
          <t>56000</t>
        </is>
      </c>
      <c r="P861" s="5" t="inlineStr">
        <is>
          <t>10</t>
        </is>
      </c>
      <c r="Q861" s="5" t="inlineStr">
        <is>
          <t>4</t>
        </is>
      </c>
      <c r="R861" s="5" t="inlineStr">
        <is>
          <t>6</t>
        </is>
      </c>
      <c r="S861" s="5" t="inlineStr">
        <is>
          <t>22</t>
        </is>
      </c>
      <c r="T861" s="5" t="inlineStr">
        <is>
          <t>3</t>
        </is>
      </c>
      <c r="U861" s="5">
        <f>IFS(C861&lt;30,"Under 30",C861&lt;40,"30-39",C861&lt;50,"40-49",TRUE,"50+")</f>
        <v/>
      </c>
      <c r="V861" s="5">
        <f>IFS(O861&lt;60000,"Low (&lt;60k)",O861&lt;100000,"Mid (60-100k)",TRUE,"High (100k+)")</f>
        <v/>
      </c>
      <c r="W861" s="5">
        <f>IF(M861="No","Attrited","Active")</f>
        <v/>
      </c>
    </row>
    <row r="862">
      <c r="A862" s="5" t="inlineStr">
        <is>
          <t>E00861</t>
        </is>
      </c>
      <c r="B862" s="5" t="inlineStr">
        <is>
          <t>Female</t>
        </is>
      </c>
      <c r="C862" s="6" t="inlineStr">
        <is>
          <t>40</t>
        </is>
      </c>
      <c r="D862" s="5" t="inlineStr">
        <is>
          <t>Single</t>
        </is>
      </c>
      <c r="E862" s="5" t="inlineStr">
        <is>
          <t>Bachelor</t>
        </is>
      </c>
      <c r="F862" s="5" t="inlineStr">
        <is>
          <t>Human Resources</t>
        </is>
      </c>
      <c r="G862" s="5" t="inlineStr">
        <is>
          <t>HR Analyst</t>
        </is>
      </c>
      <c r="H862" s="5" t="inlineStr">
        <is>
          <t>4</t>
        </is>
      </c>
      <c r="I862" s="5" t="inlineStr">
        <is>
          <t>Bengaluru</t>
        </is>
      </c>
      <c r="J862" s="5" t="inlineStr">
        <is>
          <t>Full-Time</t>
        </is>
      </c>
      <c r="K862" s="7" t="n">
        <v>44698</v>
      </c>
      <c r="L862" s="7" t="n">
        <v>44823</v>
      </c>
      <c r="M862" s="5" t="inlineStr">
        <is>
          <t>No</t>
        </is>
      </c>
      <c r="N862" s="5" t="inlineStr">
        <is>
          <t>Resigned</t>
        </is>
      </c>
      <c r="O862" s="8" t="inlineStr">
        <is>
          <t>105000</t>
        </is>
      </c>
      <c r="P862" s="5" t="inlineStr">
        <is>
          <t>5</t>
        </is>
      </c>
      <c r="Q862" s="5" t="inlineStr">
        <is>
          <t>3</t>
        </is>
      </c>
      <c r="R862" s="5" t="inlineStr">
        <is>
          <t>2</t>
        </is>
      </c>
      <c r="S862" s="5" t="inlineStr">
        <is>
          <t>4</t>
        </is>
      </c>
      <c r="T862" s="5" t="inlineStr">
        <is>
          <t>9</t>
        </is>
      </c>
      <c r="U862" s="5">
        <f>IFS(C862&lt;30,"Under 30",C862&lt;40,"30-39",C862&lt;50,"40-49",TRUE,"50+")</f>
        <v/>
      </c>
      <c r="V862" s="5">
        <f>IFS(O862&lt;60000,"Low (&lt;60k)",O862&lt;100000,"Mid (60-100k)",TRUE,"High (100k+)")</f>
        <v/>
      </c>
      <c r="W862" s="5">
        <f>IF(M862="No","Attrited","Active")</f>
        <v/>
      </c>
    </row>
    <row r="863">
      <c r="A863" s="5" t="inlineStr">
        <is>
          <t>E00862</t>
        </is>
      </c>
      <c r="B863" s="5" t="inlineStr">
        <is>
          <t>Female</t>
        </is>
      </c>
      <c r="C863" s="6" t="inlineStr">
        <is>
          <t>32</t>
        </is>
      </c>
      <c r="D863" s="5" t="inlineStr">
        <is>
          <t>Single</t>
        </is>
      </c>
      <c r="E863" s="5" t="inlineStr">
        <is>
          <t>High School</t>
        </is>
      </c>
      <c r="F863" s="5" t="inlineStr">
        <is>
          <t>IT</t>
        </is>
      </c>
      <c r="G863" s="5" t="inlineStr">
        <is>
          <t>IT Support</t>
        </is>
      </c>
      <c r="H863" s="5" t="inlineStr">
        <is>
          <t>5</t>
        </is>
      </c>
      <c r="I863" s="5" t="inlineStr">
        <is>
          <t>Remote</t>
        </is>
      </c>
      <c r="J863" s="5" t="inlineStr">
        <is>
          <t>Full-Time</t>
        </is>
      </c>
      <c r="K863" s="7" t="n">
        <v>44242</v>
      </c>
      <c r="L863" s="7" t="inlineStr"/>
      <c r="M863" s="5" t="inlineStr">
        <is>
          <t>Yes</t>
        </is>
      </c>
      <c r="N863" s="5" t="inlineStr"/>
      <c r="O863" s="8" t="inlineStr">
        <is>
          <t>155500</t>
        </is>
      </c>
      <c r="P863" s="5" t="inlineStr">
        <is>
          <t>0</t>
        </is>
      </c>
      <c r="Q863" s="5" t="inlineStr">
        <is>
          <t>4</t>
        </is>
      </c>
      <c r="R863" s="5" t="inlineStr">
        <is>
          <t>4</t>
        </is>
      </c>
      <c r="S863" s="5" t="inlineStr">
        <is>
          <t>59</t>
        </is>
      </c>
      <c r="T863" s="5" t="inlineStr">
        <is>
          <t>0</t>
        </is>
      </c>
      <c r="U863" s="5">
        <f>IFS(C863&lt;30,"Under 30",C863&lt;40,"30-39",C863&lt;50,"40-49",TRUE,"50+")</f>
        <v/>
      </c>
      <c r="V863" s="5">
        <f>IFS(O863&lt;60000,"Low (&lt;60k)",O863&lt;100000,"Mid (60-100k)",TRUE,"High (100k+)")</f>
        <v/>
      </c>
      <c r="W863" s="5">
        <f>IF(M863="No","Attrited","Active")</f>
        <v/>
      </c>
    </row>
    <row r="864">
      <c r="A864" s="5" t="inlineStr">
        <is>
          <t>E00863</t>
        </is>
      </c>
      <c r="B864" s="5" t="inlineStr">
        <is>
          <t>Female</t>
        </is>
      </c>
      <c r="C864" s="6" t="inlineStr">
        <is>
          <t>32</t>
        </is>
      </c>
      <c r="D864" s="5" t="inlineStr">
        <is>
          <t>Single</t>
        </is>
      </c>
      <c r="E864" s="5" t="inlineStr">
        <is>
          <t>High School</t>
        </is>
      </c>
      <c r="F864" s="5" t="inlineStr">
        <is>
          <t>Sales</t>
        </is>
      </c>
      <c r="G864" s="5" t="inlineStr">
        <is>
          <t>Sales Executive</t>
        </is>
      </c>
      <c r="H864" s="5" t="inlineStr">
        <is>
          <t>1</t>
        </is>
      </c>
      <c r="I864" s="5" t="inlineStr">
        <is>
          <t>Hyderabad</t>
        </is>
      </c>
      <c r="J864" s="5" t="inlineStr">
        <is>
          <t>Full-Time</t>
        </is>
      </c>
      <c r="K864" s="7" t="n">
        <v>44112</v>
      </c>
      <c r="L864" s="7" t="n">
        <v>44147</v>
      </c>
      <c r="M864" s="5" t="inlineStr">
        <is>
          <t>No</t>
        </is>
      </c>
      <c r="N864" s="5" t="inlineStr">
        <is>
          <t>Layoff</t>
        </is>
      </c>
      <c r="O864" s="8" t="inlineStr">
        <is>
          <t>73000</t>
        </is>
      </c>
      <c r="P864" s="5" t="inlineStr">
        <is>
          <t>0</t>
        </is>
      </c>
      <c r="Q864" s="5" t="inlineStr">
        <is>
          <t>3</t>
        </is>
      </c>
      <c r="R864" s="5" t="inlineStr">
        <is>
          <t>5</t>
        </is>
      </c>
      <c r="S864" s="5" t="inlineStr">
        <is>
          <t>1</t>
        </is>
      </c>
      <c r="T864" s="5" t="inlineStr">
        <is>
          <t>8</t>
        </is>
      </c>
      <c r="U864" s="5">
        <f>IFS(C864&lt;30,"Under 30",C864&lt;40,"30-39",C864&lt;50,"40-49",TRUE,"50+")</f>
        <v/>
      </c>
      <c r="V864" s="5">
        <f>IFS(O864&lt;60000,"Low (&lt;60k)",O864&lt;100000,"Mid (60-100k)",TRUE,"High (100k+)")</f>
        <v/>
      </c>
      <c r="W864" s="5">
        <f>IF(M864="No","Attrited","Active")</f>
        <v/>
      </c>
    </row>
    <row r="865">
      <c r="A865" s="5" t="inlineStr">
        <is>
          <t>E00864</t>
        </is>
      </c>
      <c r="B865" s="5" t="inlineStr">
        <is>
          <t>Male</t>
        </is>
      </c>
      <c r="C865" s="6" t="inlineStr">
        <is>
          <t>31</t>
        </is>
      </c>
      <c r="D865" s="5" t="inlineStr">
        <is>
          <t>Single</t>
        </is>
      </c>
      <c r="E865" s="5" t="inlineStr">
        <is>
          <t>PhD</t>
        </is>
      </c>
      <c r="F865" s="5" t="inlineStr">
        <is>
          <t>Research &amp; Development</t>
        </is>
      </c>
      <c r="G865" s="5" t="inlineStr">
        <is>
          <t>Product Engineer</t>
        </is>
      </c>
      <c r="H865" s="5" t="inlineStr">
        <is>
          <t>3</t>
        </is>
      </c>
      <c r="I865" s="5" t="inlineStr">
        <is>
          <t>Bengaluru</t>
        </is>
      </c>
      <c r="J865" s="5" t="inlineStr">
        <is>
          <t>Full-Time</t>
        </is>
      </c>
      <c r="K865" s="7" t="n">
        <v>44685</v>
      </c>
      <c r="L865" s="7" t="inlineStr"/>
      <c r="M865" s="5" t="inlineStr">
        <is>
          <t>Yes</t>
        </is>
      </c>
      <c r="N865" s="5" t="inlineStr"/>
      <c r="O865" s="8" t="inlineStr">
        <is>
          <t>177500</t>
        </is>
      </c>
      <c r="P865" s="5" t="inlineStr">
        <is>
          <t>0</t>
        </is>
      </c>
      <c r="Q865" s="5" t="inlineStr">
        <is>
          <t>4</t>
        </is>
      </c>
      <c r="R865" s="5" t="inlineStr">
        <is>
          <t>6</t>
        </is>
      </c>
      <c r="S865" s="5" t="inlineStr">
        <is>
          <t>44</t>
        </is>
      </c>
      <c r="T865" s="5" t="inlineStr">
        <is>
          <t>10</t>
        </is>
      </c>
      <c r="U865" s="5">
        <f>IFS(C865&lt;30,"Under 30",C865&lt;40,"30-39",C865&lt;50,"40-49",TRUE,"50+")</f>
        <v/>
      </c>
      <c r="V865" s="5">
        <f>IFS(O865&lt;60000,"Low (&lt;60k)",O865&lt;100000,"Mid (60-100k)",TRUE,"High (100k+)")</f>
        <v/>
      </c>
      <c r="W865" s="5">
        <f>IF(M865="No","Attrited","Active")</f>
        <v/>
      </c>
    </row>
    <row r="866">
      <c r="A866" s="5" t="inlineStr">
        <is>
          <t>E00865</t>
        </is>
      </c>
      <c r="B866" s="5" t="inlineStr">
        <is>
          <t>Female</t>
        </is>
      </c>
      <c r="C866" s="6" t="inlineStr">
        <is>
          <t>30</t>
        </is>
      </c>
      <c r="D866" s="5" t="inlineStr">
        <is>
          <t>Married</t>
        </is>
      </c>
      <c r="E866" s="5" t="inlineStr">
        <is>
          <t>Master</t>
        </is>
      </c>
      <c r="F866" s="5" t="inlineStr">
        <is>
          <t>Human Resources</t>
        </is>
      </c>
      <c r="G866" s="5" t="inlineStr">
        <is>
          <t>Recruiter</t>
        </is>
      </c>
      <c r="H866" s="5" t="inlineStr">
        <is>
          <t>4</t>
        </is>
      </c>
      <c r="I866" s="5" t="inlineStr">
        <is>
          <t>Hyderabad</t>
        </is>
      </c>
      <c r="J866" s="5" t="inlineStr">
        <is>
          <t>Full-Time</t>
        </is>
      </c>
      <c r="K866" s="7" t="n">
        <v>45423</v>
      </c>
      <c r="L866" s="7" t="inlineStr"/>
      <c r="M866" s="5" t="inlineStr">
        <is>
          <t>Yes</t>
        </is>
      </c>
      <c r="N866" s="5" t="inlineStr"/>
      <c r="O866" s="8" t="inlineStr">
        <is>
          <t>85000</t>
        </is>
      </c>
      <c r="P866" s="5" t="inlineStr">
        <is>
          <t>0</t>
        </is>
      </c>
      <c r="Q866" s="5" t="inlineStr">
        <is>
          <t>5</t>
        </is>
      </c>
      <c r="R866" s="5" t="inlineStr">
        <is>
          <t>7</t>
        </is>
      </c>
      <c r="S866" s="5" t="inlineStr">
        <is>
          <t>19</t>
        </is>
      </c>
      <c r="T866" s="5" t="inlineStr">
        <is>
          <t>0</t>
        </is>
      </c>
      <c r="U866" s="5">
        <f>IFS(C866&lt;30,"Under 30",C866&lt;40,"30-39",C866&lt;50,"40-49",TRUE,"50+")</f>
        <v/>
      </c>
      <c r="V866" s="5">
        <f>IFS(O866&lt;60000,"Low (&lt;60k)",O866&lt;100000,"Mid (60-100k)",TRUE,"High (100k+)")</f>
        <v/>
      </c>
      <c r="W866" s="5">
        <f>IF(M866="No","Attrited","Active")</f>
        <v/>
      </c>
    </row>
    <row r="867">
      <c r="A867" s="5" t="inlineStr">
        <is>
          <t>E00866</t>
        </is>
      </c>
      <c r="B867" s="5" t="inlineStr">
        <is>
          <t>Male</t>
        </is>
      </c>
      <c r="C867" s="6" t="inlineStr">
        <is>
          <t>32</t>
        </is>
      </c>
      <c r="D867" s="5" t="inlineStr">
        <is>
          <t>Married</t>
        </is>
      </c>
      <c r="E867" s="5" t="inlineStr">
        <is>
          <t>High School</t>
        </is>
      </c>
      <c r="F867" s="5" t="inlineStr">
        <is>
          <t>Research &amp; Development</t>
        </is>
      </c>
      <c r="G867" s="5" t="inlineStr">
        <is>
          <t>Research Scientist</t>
        </is>
      </c>
      <c r="H867" s="5" t="inlineStr">
        <is>
          <t>1</t>
        </is>
      </c>
      <c r="I867" s="5" t="inlineStr">
        <is>
          <t>Chennai</t>
        </is>
      </c>
      <c r="J867" s="5" t="inlineStr">
        <is>
          <t>Full-Time</t>
        </is>
      </c>
      <c r="K867" s="7" t="n">
        <v>46012</v>
      </c>
      <c r="L867" s="7" t="inlineStr"/>
      <c r="M867" s="5" t="inlineStr">
        <is>
          <t>Yes</t>
        </is>
      </c>
      <c r="N867" s="5" t="inlineStr"/>
      <c r="O867" s="8" t="inlineStr">
        <is>
          <t>120500</t>
        </is>
      </c>
      <c r="P867" s="5" t="inlineStr">
        <is>
          <t>0</t>
        </is>
      </c>
      <c r="Q867" s="5" t="inlineStr">
        <is>
          <t>3</t>
        </is>
      </c>
      <c r="R867" s="5" t="inlineStr">
        <is>
          <t>6</t>
        </is>
      </c>
      <c r="S867" s="5" t="inlineStr">
        <is>
          <t>1</t>
        </is>
      </c>
      <c r="T867" s="5" t="inlineStr">
        <is>
          <t>0</t>
        </is>
      </c>
      <c r="U867" s="5">
        <f>IFS(C867&lt;30,"Under 30",C867&lt;40,"30-39",C867&lt;50,"40-49",TRUE,"50+")</f>
        <v/>
      </c>
      <c r="V867" s="5">
        <f>IFS(O867&lt;60000,"Low (&lt;60k)",O867&lt;100000,"Mid (60-100k)",TRUE,"High (100k+)")</f>
        <v/>
      </c>
      <c r="W867" s="5">
        <f>IF(M867="No","Attrited","Active")</f>
        <v/>
      </c>
    </row>
    <row r="868">
      <c r="A868" s="5" t="inlineStr">
        <is>
          <t>E00867</t>
        </is>
      </c>
      <c r="B868" s="5" t="inlineStr">
        <is>
          <t>Female</t>
        </is>
      </c>
      <c r="C868" s="6" t="inlineStr">
        <is>
          <t>35</t>
        </is>
      </c>
      <c r="D868" s="5" t="inlineStr">
        <is>
          <t>Divorced</t>
        </is>
      </c>
      <c r="E868" s="5" t="inlineStr">
        <is>
          <t>PhD</t>
        </is>
      </c>
      <c r="F868" s="5" t="inlineStr">
        <is>
          <t>Sales</t>
        </is>
      </c>
      <c r="G868" s="5" t="inlineStr">
        <is>
          <t>Business Development</t>
        </is>
      </c>
      <c r="H868" s="5" t="inlineStr">
        <is>
          <t>4</t>
        </is>
      </c>
      <c r="I868" s="5" t="inlineStr">
        <is>
          <t>Mumbai</t>
        </is>
      </c>
      <c r="J868" s="5" t="inlineStr">
        <is>
          <t>Full-Time</t>
        </is>
      </c>
      <c r="K868" s="7" t="n">
        <v>43941</v>
      </c>
      <c r="L868" s="7" t="inlineStr"/>
      <c r="M868" s="5" t="inlineStr">
        <is>
          <t>Yes</t>
        </is>
      </c>
      <c r="N868" s="5" t="inlineStr"/>
      <c r="O868" s="8" t="inlineStr">
        <is>
          <t>86500</t>
        </is>
      </c>
      <c r="P868" s="5" t="inlineStr">
        <is>
          <t>10</t>
        </is>
      </c>
      <c r="Q868" s="5" t="inlineStr">
        <is>
          <t>4</t>
        </is>
      </c>
      <c r="R868" s="5" t="inlineStr">
        <is>
          <t>6</t>
        </is>
      </c>
      <c r="S868" s="5" t="inlineStr">
        <is>
          <t>69</t>
        </is>
      </c>
      <c r="T868" s="5" t="inlineStr">
        <is>
          <t>3</t>
        </is>
      </c>
      <c r="U868" s="5">
        <f>IFS(C868&lt;30,"Under 30",C868&lt;40,"30-39",C868&lt;50,"40-49",TRUE,"50+")</f>
        <v/>
      </c>
      <c r="V868" s="5">
        <f>IFS(O868&lt;60000,"Low (&lt;60k)",O868&lt;100000,"Mid (60-100k)",TRUE,"High (100k+)")</f>
        <v/>
      </c>
      <c r="W868" s="5">
        <f>IF(M868="No","Attrited","Active")</f>
        <v/>
      </c>
    </row>
    <row r="869">
      <c r="A869" s="5" t="inlineStr">
        <is>
          <t>E00868</t>
        </is>
      </c>
      <c r="B869" s="5" t="inlineStr">
        <is>
          <t>Male</t>
        </is>
      </c>
      <c r="C869" s="6" t="inlineStr">
        <is>
          <t>35</t>
        </is>
      </c>
      <c r="D869" s="5" t="inlineStr">
        <is>
          <t>Divorced</t>
        </is>
      </c>
      <c r="E869" s="5" t="inlineStr">
        <is>
          <t>PhD</t>
        </is>
      </c>
      <c r="F869" s="5" t="inlineStr">
        <is>
          <t>IT</t>
        </is>
      </c>
      <c r="G869" s="5" t="inlineStr">
        <is>
          <t>Software Engineer</t>
        </is>
      </c>
      <c r="H869" s="5" t="inlineStr">
        <is>
          <t>3</t>
        </is>
      </c>
      <c r="I869" s="5" t="inlineStr">
        <is>
          <t>Hyderabad</t>
        </is>
      </c>
      <c r="J869" s="5" t="inlineStr">
        <is>
          <t>Full-Time</t>
        </is>
      </c>
      <c r="K869" s="7" t="n">
        <v>45446</v>
      </c>
      <c r="L869" s="7" t="inlineStr"/>
      <c r="M869" s="5" t="inlineStr">
        <is>
          <t>Yes</t>
        </is>
      </c>
      <c r="N869" s="5" t="inlineStr"/>
      <c r="O869" s="8" t="inlineStr">
        <is>
          <t>182500</t>
        </is>
      </c>
      <c r="P869" s="5" t="inlineStr">
        <is>
          <t>0</t>
        </is>
      </c>
      <c r="Q869" s="5" t="inlineStr">
        <is>
          <t>3</t>
        </is>
      </c>
      <c r="R869" s="5" t="inlineStr">
        <is>
          <t>5</t>
        </is>
      </c>
      <c r="S869" s="5" t="inlineStr">
        <is>
          <t>19</t>
        </is>
      </c>
      <c r="T869" s="5" t="inlineStr">
        <is>
          <t>0</t>
        </is>
      </c>
      <c r="U869" s="5">
        <f>IFS(C869&lt;30,"Under 30",C869&lt;40,"30-39",C869&lt;50,"40-49",TRUE,"50+")</f>
        <v/>
      </c>
      <c r="V869" s="5">
        <f>IFS(O869&lt;60000,"Low (&lt;60k)",O869&lt;100000,"Mid (60-100k)",TRUE,"High (100k+)")</f>
        <v/>
      </c>
      <c r="W869" s="5">
        <f>IF(M869="No","Attrited","Active")</f>
        <v/>
      </c>
    </row>
    <row r="870">
      <c r="A870" s="5" t="inlineStr">
        <is>
          <t>E00869</t>
        </is>
      </c>
      <c r="B870" s="5" t="inlineStr">
        <is>
          <t>Male</t>
        </is>
      </c>
      <c r="C870" s="6" t="inlineStr">
        <is>
          <t>25</t>
        </is>
      </c>
      <c r="D870" s="5" t="inlineStr">
        <is>
          <t>Single</t>
        </is>
      </c>
      <c r="E870" s="5" t="inlineStr">
        <is>
          <t>High School</t>
        </is>
      </c>
      <c r="F870" s="5" t="inlineStr">
        <is>
          <t>IT</t>
        </is>
      </c>
      <c r="G870" s="5" t="inlineStr">
        <is>
          <t>IT Support</t>
        </is>
      </c>
      <c r="H870" s="5" t="inlineStr">
        <is>
          <t>1</t>
        </is>
      </c>
      <c r="I870" s="5" t="inlineStr">
        <is>
          <t>Mumbai</t>
        </is>
      </c>
      <c r="J870" s="5" t="inlineStr">
        <is>
          <t>Full-Time</t>
        </is>
      </c>
      <c r="K870" s="7" t="n">
        <v>45808</v>
      </c>
      <c r="L870" s="7" t="n">
        <v>45879</v>
      </c>
      <c r="M870" s="5" t="inlineStr">
        <is>
          <t>No</t>
        </is>
      </c>
      <c r="N870" s="5" t="inlineStr">
        <is>
          <t>Performance / Termination</t>
        </is>
      </c>
      <c r="O870" s="8" t="inlineStr">
        <is>
          <t>82500</t>
        </is>
      </c>
      <c r="P870" s="5" t="inlineStr">
        <is>
          <t>0</t>
        </is>
      </c>
      <c r="Q870" s="5" t="inlineStr">
        <is>
          <t>5</t>
        </is>
      </c>
      <c r="R870" s="5" t="inlineStr">
        <is>
          <t>6</t>
        </is>
      </c>
      <c r="S870" s="5" t="inlineStr">
        <is>
          <t>2</t>
        </is>
      </c>
      <c r="T870" s="5" t="inlineStr">
        <is>
          <t>4</t>
        </is>
      </c>
      <c r="U870" s="5">
        <f>IFS(C870&lt;30,"Under 30",C870&lt;40,"30-39",C870&lt;50,"40-49",TRUE,"50+")</f>
        <v/>
      </c>
      <c r="V870" s="5">
        <f>IFS(O870&lt;60000,"Low (&lt;60k)",O870&lt;100000,"Mid (60-100k)",TRUE,"High (100k+)")</f>
        <v/>
      </c>
      <c r="W870" s="5">
        <f>IF(M870="No","Attrited","Active")</f>
        <v/>
      </c>
    </row>
    <row r="871">
      <c r="A871" s="5" t="inlineStr">
        <is>
          <t>E00870</t>
        </is>
      </c>
      <c r="B871" s="5" t="inlineStr">
        <is>
          <t>Male</t>
        </is>
      </c>
      <c r="C871" s="6" t="inlineStr">
        <is>
          <t>32</t>
        </is>
      </c>
      <c r="D871" s="5" t="inlineStr">
        <is>
          <t>Married</t>
        </is>
      </c>
      <c r="E871" s="5" t="inlineStr">
        <is>
          <t>High School</t>
        </is>
      </c>
      <c r="F871" s="5" t="inlineStr">
        <is>
          <t>Finance</t>
        </is>
      </c>
      <c r="G871" s="5" t="inlineStr">
        <is>
          <t>Financial Analyst</t>
        </is>
      </c>
      <c r="H871" s="5" t="inlineStr">
        <is>
          <t>2</t>
        </is>
      </c>
      <c r="I871" s="5" t="inlineStr">
        <is>
          <t>Remote</t>
        </is>
      </c>
      <c r="J871" s="5" t="inlineStr">
        <is>
          <t>Contract</t>
        </is>
      </c>
      <c r="K871" s="7" t="n">
        <v>44624</v>
      </c>
      <c r="L871" s="7" t="n">
        <v>44746</v>
      </c>
      <c r="M871" s="5" t="inlineStr">
        <is>
          <t>No</t>
        </is>
      </c>
      <c r="N871" s="5" t="inlineStr">
        <is>
          <t>Performance / Termination</t>
        </is>
      </c>
      <c r="O871" s="8" t="inlineStr">
        <is>
          <t>129500</t>
        </is>
      </c>
      <c r="P871" s="5" t="inlineStr">
        <is>
          <t>5</t>
        </is>
      </c>
      <c r="Q871" s="5" t="inlineStr">
        <is>
          <t>4</t>
        </is>
      </c>
      <c r="R871" s="5" t="inlineStr">
        <is>
          <t>5</t>
        </is>
      </c>
      <c r="S871" s="5" t="inlineStr">
        <is>
          <t>4</t>
        </is>
      </c>
      <c r="T871" s="5" t="inlineStr">
        <is>
          <t>2</t>
        </is>
      </c>
      <c r="U871" s="5">
        <f>IFS(C871&lt;30,"Under 30",C871&lt;40,"30-39",C871&lt;50,"40-49",TRUE,"50+")</f>
        <v/>
      </c>
      <c r="V871" s="5">
        <f>IFS(O871&lt;60000,"Low (&lt;60k)",O871&lt;100000,"Mid (60-100k)",TRUE,"High (100k+)")</f>
        <v/>
      </c>
      <c r="W871" s="5">
        <f>IF(M871="No","Attrited","Active")</f>
        <v/>
      </c>
    </row>
    <row r="872">
      <c r="A872" s="5" t="inlineStr">
        <is>
          <t>E00871</t>
        </is>
      </c>
      <c r="B872" s="5" t="inlineStr">
        <is>
          <t>Male</t>
        </is>
      </c>
      <c r="C872" s="6" t="inlineStr">
        <is>
          <t>35</t>
        </is>
      </c>
      <c r="D872" s="5" t="inlineStr">
        <is>
          <t>Single</t>
        </is>
      </c>
      <c r="E872" s="5" t="inlineStr">
        <is>
          <t>Master</t>
        </is>
      </c>
      <c r="F872" s="5" t="inlineStr">
        <is>
          <t>Operations</t>
        </is>
      </c>
      <c r="G872" s="5" t="inlineStr">
        <is>
          <t>Logistics Coordinator</t>
        </is>
      </c>
      <c r="H872" s="5" t="inlineStr">
        <is>
          <t>6</t>
        </is>
      </c>
      <c r="I872" s="5" t="inlineStr">
        <is>
          <t>Bengaluru</t>
        </is>
      </c>
      <c r="J872" s="5" t="inlineStr">
        <is>
          <t>Full-Time</t>
        </is>
      </c>
      <c r="K872" s="7" t="n">
        <v>44290</v>
      </c>
      <c r="L872" s="7" t="inlineStr"/>
      <c r="M872" s="5" t="inlineStr">
        <is>
          <t>Yes</t>
        </is>
      </c>
      <c r="N872" s="5" t="inlineStr"/>
      <c r="O872" s="8" t="inlineStr">
        <is>
          <t>143500</t>
        </is>
      </c>
      <c r="P872" s="5" t="inlineStr">
        <is>
          <t>0</t>
        </is>
      </c>
      <c r="Q872" s="5" t="inlineStr">
        <is>
          <t>4</t>
        </is>
      </c>
      <c r="R872" s="5" t="inlineStr">
        <is>
          <t>5</t>
        </is>
      </c>
      <c r="S872" s="5" t="inlineStr">
        <is>
          <t>57</t>
        </is>
      </c>
      <c r="T872" s="5" t="inlineStr">
        <is>
          <t>0</t>
        </is>
      </c>
      <c r="U872" s="5">
        <f>IFS(C872&lt;30,"Under 30",C872&lt;40,"30-39",C872&lt;50,"40-49",TRUE,"50+")</f>
        <v/>
      </c>
      <c r="V872" s="5">
        <f>IFS(O872&lt;60000,"Low (&lt;60k)",O872&lt;100000,"Mid (60-100k)",TRUE,"High (100k+)")</f>
        <v/>
      </c>
      <c r="W872" s="5">
        <f>IF(M872="No","Attrited","Active")</f>
        <v/>
      </c>
    </row>
    <row r="873">
      <c r="A873" s="5" t="inlineStr">
        <is>
          <t>E00872</t>
        </is>
      </c>
      <c r="B873" s="5" t="inlineStr">
        <is>
          <t>Male</t>
        </is>
      </c>
      <c r="C873" s="6" t="inlineStr">
        <is>
          <t>35</t>
        </is>
      </c>
      <c r="D873" s="5" t="inlineStr">
        <is>
          <t>Married</t>
        </is>
      </c>
      <c r="E873" s="5" t="inlineStr">
        <is>
          <t>Master</t>
        </is>
      </c>
      <c r="F873" s="5" t="inlineStr">
        <is>
          <t>Finance</t>
        </is>
      </c>
      <c r="G873" s="5" t="inlineStr">
        <is>
          <t>Financial Analyst</t>
        </is>
      </c>
      <c r="H873" s="5" t="inlineStr">
        <is>
          <t>5</t>
        </is>
      </c>
      <c r="I873" s="5" t="inlineStr">
        <is>
          <t>Remote</t>
        </is>
      </c>
      <c r="J873" s="5" t="inlineStr">
        <is>
          <t>Full-Time</t>
        </is>
      </c>
      <c r="K873" s="7" t="n">
        <v>45177</v>
      </c>
      <c r="L873" s="7" t="inlineStr"/>
      <c r="M873" s="5" t="inlineStr">
        <is>
          <t>Yes</t>
        </is>
      </c>
      <c r="N873" s="5" t="inlineStr"/>
      <c r="O873" s="8" t="inlineStr">
        <is>
          <t>122000</t>
        </is>
      </c>
      <c r="P873" s="5" t="inlineStr">
        <is>
          <t>0</t>
        </is>
      </c>
      <c r="Q873" s="5" t="inlineStr">
        <is>
          <t>5</t>
        </is>
      </c>
      <c r="R873" s="5" t="inlineStr">
        <is>
          <t>5</t>
        </is>
      </c>
      <c r="S873" s="5" t="inlineStr">
        <is>
          <t>28</t>
        </is>
      </c>
      <c r="T873" s="5" t="inlineStr">
        <is>
          <t>7</t>
        </is>
      </c>
      <c r="U873" s="5">
        <f>IFS(C873&lt;30,"Under 30",C873&lt;40,"30-39",C873&lt;50,"40-49",TRUE,"50+")</f>
        <v/>
      </c>
      <c r="V873" s="5">
        <f>IFS(O873&lt;60000,"Low (&lt;60k)",O873&lt;100000,"Mid (60-100k)",TRUE,"High (100k+)")</f>
        <v/>
      </c>
      <c r="W873" s="5">
        <f>IF(M873="No","Attrited","Active")</f>
        <v/>
      </c>
    </row>
    <row r="874">
      <c r="A874" s="5" t="inlineStr">
        <is>
          <t>E00873</t>
        </is>
      </c>
      <c r="B874" s="5" t="inlineStr">
        <is>
          <t>Female</t>
        </is>
      </c>
      <c r="C874" s="6" t="inlineStr">
        <is>
          <t>29</t>
        </is>
      </c>
      <c r="D874" s="5" t="inlineStr">
        <is>
          <t>Married</t>
        </is>
      </c>
      <c r="E874" s="5" t="inlineStr">
        <is>
          <t>High School</t>
        </is>
      </c>
      <c r="F874" s="5" t="inlineStr">
        <is>
          <t>Finance</t>
        </is>
      </c>
      <c r="G874" s="5" t="inlineStr">
        <is>
          <t>Financial Analyst</t>
        </is>
      </c>
      <c r="H874" s="5" t="inlineStr">
        <is>
          <t>2</t>
        </is>
      </c>
      <c r="I874" s="5" t="inlineStr">
        <is>
          <t>Delhi</t>
        </is>
      </c>
      <c r="J874" s="5" t="inlineStr">
        <is>
          <t>Contract</t>
        </is>
      </c>
      <c r="K874" s="7" t="n">
        <v>44498</v>
      </c>
      <c r="L874" s="7" t="inlineStr"/>
      <c r="M874" s="5" t="inlineStr">
        <is>
          <t>Yes</t>
        </is>
      </c>
      <c r="N874" s="5" t="inlineStr"/>
      <c r="O874" s="8" t="inlineStr">
        <is>
          <t>83000</t>
        </is>
      </c>
      <c r="P874" s="5" t="inlineStr">
        <is>
          <t>15</t>
        </is>
      </c>
      <c r="Q874" s="5" t="inlineStr">
        <is>
          <t>3</t>
        </is>
      </c>
      <c r="R874" s="5" t="inlineStr">
        <is>
          <t>8</t>
        </is>
      </c>
      <c r="S874" s="5" t="inlineStr">
        <is>
          <t>50</t>
        </is>
      </c>
      <c r="T874" s="5" t="inlineStr">
        <is>
          <t>13</t>
        </is>
      </c>
      <c r="U874" s="5">
        <f>IFS(C874&lt;30,"Under 30",C874&lt;40,"30-39",C874&lt;50,"40-49",TRUE,"50+")</f>
        <v/>
      </c>
      <c r="V874" s="5">
        <f>IFS(O874&lt;60000,"Low (&lt;60k)",O874&lt;100000,"Mid (60-100k)",TRUE,"High (100k+)")</f>
        <v/>
      </c>
      <c r="W874" s="5">
        <f>IF(M874="No","Attrited","Active")</f>
        <v/>
      </c>
    </row>
    <row r="875">
      <c r="A875" s="5" t="inlineStr">
        <is>
          <t>E00874</t>
        </is>
      </c>
      <c r="B875" s="5" t="inlineStr">
        <is>
          <t>Male</t>
        </is>
      </c>
      <c r="C875" s="6" t="inlineStr">
        <is>
          <t>34</t>
        </is>
      </c>
      <c r="D875" s="5" t="inlineStr">
        <is>
          <t>Single</t>
        </is>
      </c>
      <c r="E875" s="5" t="inlineStr">
        <is>
          <t>Diploma</t>
        </is>
      </c>
      <c r="F875" s="5" t="inlineStr">
        <is>
          <t>Human Resources</t>
        </is>
      </c>
      <c r="G875" s="5" t="inlineStr">
        <is>
          <t>HR Generalist</t>
        </is>
      </c>
      <c r="H875" s="5" t="inlineStr">
        <is>
          <t>3</t>
        </is>
      </c>
      <c r="I875" s="5" t="inlineStr">
        <is>
          <t>Delhi</t>
        </is>
      </c>
      <c r="J875" s="5" t="inlineStr">
        <is>
          <t>Full-Time</t>
        </is>
      </c>
      <c r="K875" s="7" t="n">
        <v>44102</v>
      </c>
      <c r="L875" s="7" t="inlineStr"/>
      <c r="M875" s="5" t="inlineStr">
        <is>
          <t>Yes</t>
        </is>
      </c>
      <c r="N875" s="5" t="inlineStr"/>
      <c r="O875" s="8" t="inlineStr">
        <is>
          <t>97500</t>
        </is>
      </c>
      <c r="P875" s="5" t="inlineStr">
        <is>
          <t>0</t>
        </is>
      </c>
      <c r="Q875" s="5" t="inlineStr">
        <is>
          <t>2</t>
        </is>
      </c>
      <c r="R875" s="5" t="inlineStr">
        <is>
          <t>5</t>
        </is>
      </c>
      <c r="S875" s="5" t="inlineStr">
        <is>
          <t>64</t>
        </is>
      </c>
      <c r="T875" s="5" t="inlineStr">
        <is>
          <t>7</t>
        </is>
      </c>
      <c r="U875" s="5">
        <f>IFS(C875&lt;30,"Under 30",C875&lt;40,"30-39",C875&lt;50,"40-49",TRUE,"50+")</f>
        <v/>
      </c>
      <c r="V875" s="5">
        <f>IFS(O875&lt;60000,"Low (&lt;60k)",O875&lt;100000,"Mid (60-100k)",TRUE,"High (100k+)")</f>
        <v/>
      </c>
      <c r="W875" s="5">
        <f>IF(M875="No","Attrited","Active")</f>
        <v/>
      </c>
    </row>
    <row r="876">
      <c r="A876" s="5" t="inlineStr">
        <is>
          <t>E00875</t>
        </is>
      </c>
      <c r="B876" s="5" t="inlineStr">
        <is>
          <t>Female</t>
        </is>
      </c>
      <c r="C876" s="6" t="inlineStr">
        <is>
          <t>33</t>
        </is>
      </c>
      <c r="D876" s="5" t="inlineStr">
        <is>
          <t>Married</t>
        </is>
      </c>
      <c r="E876" s="5" t="inlineStr">
        <is>
          <t>High School</t>
        </is>
      </c>
      <c r="F876" s="5" t="inlineStr">
        <is>
          <t>IT</t>
        </is>
      </c>
      <c r="G876" s="5" t="inlineStr">
        <is>
          <t>IT Support</t>
        </is>
      </c>
      <c r="H876" s="5" t="inlineStr">
        <is>
          <t>2</t>
        </is>
      </c>
      <c r="I876" s="5" t="inlineStr">
        <is>
          <t>Chennai</t>
        </is>
      </c>
      <c r="J876" s="5" t="inlineStr">
        <is>
          <t>Full-Time</t>
        </is>
      </c>
      <c r="K876" s="7" t="n">
        <v>44751</v>
      </c>
      <c r="L876" s="7" t="inlineStr"/>
      <c r="M876" s="5" t="inlineStr">
        <is>
          <t>Yes</t>
        </is>
      </c>
      <c r="N876" s="5" t="inlineStr"/>
      <c r="O876" s="8" t="inlineStr">
        <is>
          <t>157500</t>
        </is>
      </c>
      <c r="P876" s="5" t="inlineStr">
        <is>
          <t>10</t>
        </is>
      </c>
      <c r="Q876" s="5" t="inlineStr">
        <is>
          <t>3</t>
        </is>
      </c>
      <c r="R876" s="5" t="inlineStr">
        <is>
          <t>8</t>
        </is>
      </c>
      <c r="S876" s="5" t="inlineStr">
        <is>
          <t>42</t>
        </is>
      </c>
      <c r="T876" s="5" t="inlineStr">
        <is>
          <t>5</t>
        </is>
      </c>
      <c r="U876" s="5">
        <f>IFS(C876&lt;30,"Under 30",C876&lt;40,"30-39",C876&lt;50,"40-49",TRUE,"50+")</f>
        <v/>
      </c>
      <c r="V876" s="5">
        <f>IFS(O876&lt;60000,"Low (&lt;60k)",O876&lt;100000,"Mid (60-100k)",TRUE,"High (100k+)")</f>
        <v/>
      </c>
      <c r="W876" s="5">
        <f>IF(M876="No","Attrited","Active")</f>
        <v/>
      </c>
    </row>
    <row r="877">
      <c r="A877" s="5" t="inlineStr">
        <is>
          <t>E00876</t>
        </is>
      </c>
      <c r="B877" s="5" t="inlineStr">
        <is>
          <t>Male</t>
        </is>
      </c>
      <c r="C877" s="6" t="inlineStr">
        <is>
          <t>42</t>
        </is>
      </c>
      <c r="D877" s="5" t="inlineStr">
        <is>
          <t>Married</t>
        </is>
      </c>
      <c r="E877" s="5" t="inlineStr">
        <is>
          <t>Master</t>
        </is>
      </c>
      <c r="F877" s="5" t="inlineStr">
        <is>
          <t>Operations</t>
        </is>
      </c>
      <c r="G877" s="5" t="inlineStr">
        <is>
          <t>Operations Analyst</t>
        </is>
      </c>
      <c r="H877" s="5" t="inlineStr">
        <is>
          <t>6</t>
        </is>
      </c>
      <c r="I877" s="5" t="inlineStr">
        <is>
          <t>Remote</t>
        </is>
      </c>
      <c r="J877" s="5" t="inlineStr">
        <is>
          <t>Part-Time</t>
        </is>
      </c>
      <c r="K877" s="7" t="n">
        <v>44732</v>
      </c>
      <c r="L877" s="7" t="inlineStr"/>
      <c r="M877" s="5" t="inlineStr">
        <is>
          <t>Yes</t>
        </is>
      </c>
      <c r="N877" s="5" t="inlineStr"/>
      <c r="O877" s="8" t="inlineStr">
        <is>
          <t>145000</t>
        </is>
      </c>
      <c r="P877" s="5" t="inlineStr">
        <is>
          <t>0</t>
        </is>
      </c>
      <c r="Q877" s="5" t="inlineStr">
        <is>
          <t>2</t>
        </is>
      </c>
      <c r="R877" s="5" t="inlineStr">
        <is>
          <t>4</t>
        </is>
      </c>
      <c r="S877" s="5" t="inlineStr">
        <is>
          <t>43</t>
        </is>
      </c>
      <c r="T877" s="5" t="inlineStr">
        <is>
          <t>7</t>
        </is>
      </c>
      <c r="U877" s="5">
        <f>IFS(C877&lt;30,"Under 30",C877&lt;40,"30-39",C877&lt;50,"40-49",TRUE,"50+")</f>
        <v/>
      </c>
      <c r="V877" s="5">
        <f>IFS(O877&lt;60000,"Low (&lt;60k)",O877&lt;100000,"Mid (60-100k)",TRUE,"High (100k+)")</f>
        <v/>
      </c>
      <c r="W877" s="5">
        <f>IF(M877="No","Attrited","Active")</f>
        <v/>
      </c>
    </row>
    <row r="878">
      <c r="A878" s="5" t="inlineStr">
        <is>
          <t>E00877</t>
        </is>
      </c>
      <c r="B878" s="5" t="inlineStr">
        <is>
          <t>Female</t>
        </is>
      </c>
      <c r="C878" s="6" t="inlineStr">
        <is>
          <t>25</t>
        </is>
      </c>
      <c r="D878" s="5" t="inlineStr">
        <is>
          <t>Divorced</t>
        </is>
      </c>
      <c r="E878" s="5" t="inlineStr">
        <is>
          <t>PhD</t>
        </is>
      </c>
      <c r="F878" s="5" t="inlineStr">
        <is>
          <t>Research &amp; Development</t>
        </is>
      </c>
      <c r="G878" s="5" t="inlineStr">
        <is>
          <t>Data Scientist</t>
        </is>
      </c>
      <c r="H878" s="5" t="inlineStr">
        <is>
          <t>1</t>
        </is>
      </c>
      <c r="I878" s="5" t="inlineStr">
        <is>
          <t>Hyderabad</t>
        </is>
      </c>
      <c r="J878" s="5" t="inlineStr">
        <is>
          <t>Full-Time</t>
        </is>
      </c>
      <c r="K878" s="7" t="n">
        <v>44127</v>
      </c>
      <c r="L878" s="7" t="inlineStr"/>
      <c r="M878" s="5" t="inlineStr">
        <is>
          <t>Yes</t>
        </is>
      </c>
      <c r="N878" s="5" t="inlineStr"/>
      <c r="O878" s="8" t="inlineStr">
        <is>
          <t>115000</t>
        </is>
      </c>
      <c r="P878" s="5" t="inlineStr">
        <is>
          <t>20</t>
        </is>
      </c>
      <c r="Q878" s="5" t="inlineStr">
        <is>
          <t>3</t>
        </is>
      </c>
      <c r="R878" s="5" t="inlineStr">
        <is>
          <t>7</t>
        </is>
      </c>
      <c r="S878" s="5" t="inlineStr">
        <is>
          <t>63</t>
        </is>
      </c>
      <c r="T878" s="5" t="inlineStr">
        <is>
          <t>11</t>
        </is>
      </c>
      <c r="U878" s="5">
        <f>IFS(C878&lt;30,"Under 30",C878&lt;40,"30-39",C878&lt;50,"40-49",TRUE,"50+")</f>
        <v/>
      </c>
      <c r="V878" s="5">
        <f>IFS(O878&lt;60000,"Low (&lt;60k)",O878&lt;100000,"Mid (60-100k)",TRUE,"High (100k+)")</f>
        <v/>
      </c>
      <c r="W878" s="5">
        <f>IF(M878="No","Attrited","Active")</f>
        <v/>
      </c>
    </row>
    <row r="879">
      <c r="A879" s="5" t="inlineStr">
        <is>
          <t>E00878</t>
        </is>
      </c>
      <c r="B879" s="5" t="inlineStr">
        <is>
          <t>Female</t>
        </is>
      </c>
      <c r="C879" s="6" t="inlineStr">
        <is>
          <t>34</t>
        </is>
      </c>
      <c r="D879" s="5" t="inlineStr">
        <is>
          <t>Married</t>
        </is>
      </c>
      <c r="E879" s="5" t="inlineStr">
        <is>
          <t>Master</t>
        </is>
      </c>
      <c r="F879" s="5" t="inlineStr">
        <is>
          <t>Human Resources</t>
        </is>
      </c>
      <c r="G879" s="5" t="inlineStr">
        <is>
          <t>HR Analyst</t>
        </is>
      </c>
      <c r="H879" s="5" t="inlineStr">
        <is>
          <t>3</t>
        </is>
      </c>
      <c r="I879" s="5" t="inlineStr">
        <is>
          <t>Hyderabad</t>
        </is>
      </c>
      <c r="J879" s="5" t="inlineStr">
        <is>
          <t>Full-Time</t>
        </is>
      </c>
      <c r="K879" s="7" t="n">
        <v>45356</v>
      </c>
      <c r="L879" s="7" t="inlineStr"/>
      <c r="M879" s="5" t="inlineStr">
        <is>
          <t>Yes</t>
        </is>
      </c>
      <c r="N879" s="5" t="inlineStr"/>
      <c r="O879" s="8" t="inlineStr">
        <is>
          <t>88500</t>
        </is>
      </c>
      <c r="P879" s="5" t="inlineStr">
        <is>
          <t>10</t>
        </is>
      </c>
      <c r="Q879" s="5" t="inlineStr">
        <is>
          <t>5</t>
        </is>
      </c>
      <c r="R879" s="5" t="inlineStr">
        <is>
          <t>6</t>
        </is>
      </c>
      <c r="S879" s="5" t="inlineStr">
        <is>
          <t>22</t>
        </is>
      </c>
      <c r="T879" s="5" t="inlineStr">
        <is>
          <t>7</t>
        </is>
      </c>
      <c r="U879" s="5">
        <f>IFS(C879&lt;30,"Under 30",C879&lt;40,"30-39",C879&lt;50,"40-49",TRUE,"50+")</f>
        <v/>
      </c>
      <c r="V879" s="5">
        <f>IFS(O879&lt;60000,"Low (&lt;60k)",O879&lt;100000,"Mid (60-100k)",TRUE,"High (100k+)")</f>
        <v/>
      </c>
      <c r="W879" s="5">
        <f>IF(M879="No","Attrited","Active")</f>
        <v/>
      </c>
    </row>
    <row r="880">
      <c r="A880" s="5" t="inlineStr">
        <is>
          <t>E00879</t>
        </is>
      </c>
      <c r="B880" s="5" t="inlineStr">
        <is>
          <t>Male</t>
        </is>
      </c>
      <c r="C880" s="6" t="inlineStr">
        <is>
          <t>29</t>
        </is>
      </c>
      <c r="D880" s="5" t="inlineStr">
        <is>
          <t>Married</t>
        </is>
      </c>
      <c r="E880" s="5" t="inlineStr">
        <is>
          <t>Bachelor</t>
        </is>
      </c>
      <c r="F880" s="5" t="inlineStr">
        <is>
          <t>IT</t>
        </is>
      </c>
      <c r="G880" s="5" t="inlineStr">
        <is>
          <t>Data Analyst</t>
        </is>
      </c>
      <c r="H880" s="5" t="inlineStr">
        <is>
          <t>2</t>
        </is>
      </c>
      <c r="I880" s="5" t="inlineStr">
        <is>
          <t>Remote</t>
        </is>
      </c>
      <c r="J880" s="5" t="inlineStr">
        <is>
          <t>Full-Time</t>
        </is>
      </c>
      <c r="K880" s="7" t="n">
        <v>45501</v>
      </c>
      <c r="L880" s="7" t="inlineStr"/>
      <c r="M880" s="5" t="inlineStr">
        <is>
          <t>Yes</t>
        </is>
      </c>
      <c r="N880" s="5" t="inlineStr"/>
      <c r="O880" s="8" t="inlineStr">
        <is>
          <t>157000</t>
        </is>
      </c>
      <c r="P880" s="5" t="inlineStr">
        <is>
          <t>0</t>
        </is>
      </c>
      <c r="Q880" s="5" t="inlineStr">
        <is>
          <t>3</t>
        </is>
      </c>
      <c r="R880" s="5" t="inlineStr">
        <is>
          <t>6</t>
        </is>
      </c>
      <c r="S880" s="5" t="inlineStr">
        <is>
          <t>17</t>
        </is>
      </c>
      <c r="T880" s="5" t="inlineStr">
        <is>
          <t>7</t>
        </is>
      </c>
      <c r="U880" s="5">
        <f>IFS(C880&lt;30,"Under 30",C880&lt;40,"30-39",C880&lt;50,"40-49",TRUE,"50+")</f>
        <v/>
      </c>
      <c r="V880" s="5">
        <f>IFS(O880&lt;60000,"Low (&lt;60k)",O880&lt;100000,"Mid (60-100k)",TRUE,"High (100k+)")</f>
        <v/>
      </c>
      <c r="W880" s="5">
        <f>IF(M880="No","Attrited","Active")</f>
        <v/>
      </c>
    </row>
    <row r="881">
      <c r="A881" s="5" t="inlineStr">
        <is>
          <t>E00880</t>
        </is>
      </c>
      <c r="B881" s="5" t="inlineStr">
        <is>
          <t>Male</t>
        </is>
      </c>
      <c r="C881" s="6" t="inlineStr">
        <is>
          <t>39</t>
        </is>
      </c>
      <c r="D881" s="5" t="inlineStr">
        <is>
          <t>Married</t>
        </is>
      </c>
      <c r="E881" s="5" t="inlineStr">
        <is>
          <t>High School</t>
        </is>
      </c>
      <c r="F881" s="5" t="inlineStr">
        <is>
          <t>Human Resources</t>
        </is>
      </c>
      <c r="G881" s="5" t="inlineStr">
        <is>
          <t>HR Analyst</t>
        </is>
      </c>
      <c r="H881" s="5" t="inlineStr">
        <is>
          <t>5</t>
        </is>
      </c>
      <c r="I881" s="5" t="inlineStr">
        <is>
          <t>Mumbai</t>
        </is>
      </c>
      <c r="J881" s="5" t="inlineStr">
        <is>
          <t>Full-Time</t>
        </is>
      </c>
      <c r="K881" s="7" t="n">
        <v>45501</v>
      </c>
      <c r="L881" s="7" t="inlineStr"/>
      <c r="M881" s="5" t="inlineStr">
        <is>
          <t>Yes</t>
        </is>
      </c>
      <c r="N881" s="5" t="inlineStr"/>
      <c r="O881" s="8" t="inlineStr">
        <is>
          <t>103500</t>
        </is>
      </c>
      <c r="P881" s="5" t="inlineStr">
        <is>
          <t>0</t>
        </is>
      </c>
      <c r="Q881" s="5" t="inlineStr">
        <is>
          <t>3</t>
        </is>
      </c>
      <c r="R881" s="5" t="inlineStr">
        <is>
          <t>6</t>
        </is>
      </c>
      <c r="S881" s="5" t="inlineStr">
        <is>
          <t>17</t>
        </is>
      </c>
      <c r="T881" s="5" t="inlineStr">
        <is>
          <t>14</t>
        </is>
      </c>
      <c r="U881" s="5">
        <f>IFS(C881&lt;30,"Under 30",C881&lt;40,"30-39",C881&lt;50,"40-49",TRUE,"50+")</f>
        <v/>
      </c>
      <c r="V881" s="5">
        <f>IFS(O881&lt;60000,"Low (&lt;60k)",O881&lt;100000,"Mid (60-100k)",TRUE,"High (100k+)")</f>
        <v/>
      </c>
      <c r="W881" s="5">
        <f>IF(M881="No","Attrited","Active")</f>
        <v/>
      </c>
    </row>
    <row r="882">
      <c r="A882" s="5" t="inlineStr">
        <is>
          <t>E00881</t>
        </is>
      </c>
      <c r="B882" s="5" t="inlineStr">
        <is>
          <t>Male</t>
        </is>
      </c>
      <c r="C882" s="6" t="inlineStr">
        <is>
          <t>43</t>
        </is>
      </c>
      <c r="D882" s="5" t="inlineStr">
        <is>
          <t>Single</t>
        </is>
      </c>
      <c r="E882" s="5" t="inlineStr">
        <is>
          <t>High School</t>
        </is>
      </c>
      <c r="F882" s="5" t="inlineStr">
        <is>
          <t>IT</t>
        </is>
      </c>
      <c r="G882" s="5" t="inlineStr">
        <is>
          <t>IT Support</t>
        </is>
      </c>
      <c r="H882" s="5" t="inlineStr">
        <is>
          <t>6</t>
        </is>
      </c>
      <c r="I882" s="5" t="inlineStr">
        <is>
          <t>Delhi</t>
        </is>
      </c>
      <c r="J882" s="5" t="inlineStr">
        <is>
          <t>Full-Time</t>
        </is>
      </c>
      <c r="K882" s="7" t="n">
        <v>45747</v>
      </c>
      <c r="L882" s="7" t="inlineStr"/>
      <c r="M882" s="5" t="inlineStr">
        <is>
          <t>Yes</t>
        </is>
      </c>
      <c r="N882" s="5" t="inlineStr"/>
      <c r="O882" s="8" t="inlineStr">
        <is>
          <t>195000</t>
        </is>
      </c>
      <c r="P882" s="5" t="inlineStr">
        <is>
          <t>5</t>
        </is>
      </c>
      <c r="Q882" s="5" t="inlineStr">
        <is>
          <t>5</t>
        </is>
      </c>
      <c r="R882" s="5" t="inlineStr">
        <is>
          <t>5</t>
        </is>
      </c>
      <c r="S882" s="5" t="inlineStr">
        <is>
          <t>9</t>
        </is>
      </c>
      <c r="T882" s="5" t="inlineStr">
        <is>
          <t>2</t>
        </is>
      </c>
      <c r="U882" s="5">
        <f>IFS(C882&lt;30,"Under 30",C882&lt;40,"30-39",C882&lt;50,"40-49",TRUE,"50+")</f>
        <v/>
      </c>
      <c r="V882" s="5">
        <f>IFS(O882&lt;60000,"Low (&lt;60k)",O882&lt;100000,"Mid (60-100k)",TRUE,"High (100k+)")</f>
        <v/>
      </c>
      <c r="W882" s="5">
        <f>IF(M882="No","Attrited","Active")</f>
        <v/>
      </c>
    </row>
    <row r="883">
      <c r="A883" s="5" t="inlineStr">
        <is>
          <t>E00882</t>
        </is>
      </c>
      <c r="B883" s="5" t="inlineStr">
        <is>
          <t>Male</t>
        </is>
      </c>
      <c r="C883" s="6" t="inlineStr">
        <is>
          <t>32</t>
        </is>
      </c>
      <c r="D883" s="5" t="inlineStr">
        <is>
          <t>Single</t>
        </is>
      </c>
      <c r="E883" s="5" t="inlineStr">
        <is>
          <t>Master</t>
        </is>
      </c>
      <c r="F883" s="5" t="inlineStr">
        <is>
          <t>Operations</t>
        </is>
      </c>
      <c r="G883" s="5" t="inlineStr">
        <is>
          <t>Logistics Coordinator</t>
        </is>
      </c>
      <c r="H883" s="5" t="inlineStr">
        <is>
          <t>1</t>
        </is>
      </c>
      <c r="I883" s="5" t="inlineStr">
        <is>
          <t>Hyderabad</t>
        </is>
      </c>
      <c r="J883" s="5" t="inlineStr">
        <is>
          <t>Full-Time</t>
        </is>
      </c>
      <c r="K883" s="7" t="n">
        <v>44239</v>
      </c>
      <c r="L883" s="7" t="inlineStr"/>
      <c r="M883" s="5" t="inlineStr">
        <is>
          <t>Yes</t>
        </is>
      </c>
      <c r="N883" s="5" t="inlineStr"/>
      <c r="O883" s="8" t="inlineStr">
        <is>
          <t>60500</t>
        </is>
      </c>
      <c r="P883" s="5" t="inlineStr">
        <is>
          <t>5</t>
        </is>
      </c>
      <c r="Q883" s="5" t="inlineStr">
        <is>
          <t>4</t>
        </is>
      </c>
      <c r="R883" s="5" t="inlineStr">
        <is>
          <t>8</t>
        </is>
      </c>
      <c r="S883" s="5" t="inlineStr">
        <is>
          <t>59</t>
        </is>
      </c>
      <c r="T883" s="5" t="inlineStr">
        <is>
          <t>7</t>
        </is>
      </c>
      <c r="U883" s="5">
        <f>IFS(C883&lt;30,"Under 30",C883&lt;40,"30-39",C883&lt;50,"40-49",TRUE,"50+")</f>
        <v/>
      </c>
      <c r="V883" s="5">
        <f>IFS(O883&lt;60000,"Low (&lt;60k)",O883&lt;100000,"Mid (60-100k)",TRUE,"High (100k+)")</f>
        <v/>
      </c>
      <c r="W883" s="5">
        <f>IF(M883="No","Attrited","Active")</f>
        <v/>
      </c>
    </row>
    <row r="884">
      <c r="A884" s="5" t="inlineStr">
        <is>
          <t>E00883</t>
        </is>
      </c>
      <c r="B884" s="5" t="inlineStr">
        <is>
          <t>Female</t>
        </is>
      </c>
      <c r="C884" s="6" t="inlineStr">
        <is>
          <t>33</t>
        </is>
      </c>
      <c r="D884" s="5" t="inlineStr">
        <is>
          <t>Married</t>
        </is>
      </c>
      <c r="E884" s="5" t="inlineStr">
        <is>
          <t>High School</t>
        </is>
      </c>
      <c r="F884" s="5" t="inlineStr">
        <is>
          <t>Finance</t>
        </is>
      </c>
      <c r="G884" s="5" t="inlineStr">
        <is>
          <t>Accountant</t>
        </is>
      </c>
      <c r="H884" s="5" t="inlineStr">
        <is>
          <t>1</t>
        </is>
      </c>
      <c r="I884" s="5" t="inlineStr">
        <is>
          <t>Mumbai</t>
        </is>
      </c>
      <c r="J884" s="5" t="inlineStr">
        <is>
          <t>Full-Time</t>
        </is>
      </c>
      <c r="K884" s="7" t="n">
        <v>44304</v>
      </c>
      <c r="L884" s="7" t="inlineStr"/>
      <c r="M884" s="5" t="inlineStr">
        <is>
          <t>Yes</t>
        </is>
      </c>
      <c r="N884" s="5" t="inlineStr"/>
      <c r="O884" s="8" t="inlineStr">
        <is>
          <t>99000</t>
        </is>
      </c>
      <c r="P884" s="5" t="inlineStr">
        <is>
          <t>5</t>
        </is>
      </c>
      <c r="Q884" s="5" t="inlineStr">
        <is>
          <t>4</t>
        </is>
      </c>
      <c r="R884" s="5" t="inlineStr">
        <is>
          <t>4</t>
        </is>
      </c>
      <c r="S884" s="5" t="inlineStr">
        <is>
          <t>57</t>
        </is>
      </c>
      <c r="T884" s="5" t="inlineStr">
        <is>
          <t>1</t>
        </is>
      </c>
      <c r="U884" s="5">
        <f>IFS(C884&lt;30,"Under 30",C884&lt;40,"30-39",C884&lt;50,"40-49",TRUE,"50+")</f>
        <v/>
      </c>
      <c r="V884" s="5">
        <f>IFS(O884&lt;60000,"Low (&lt;60k)",O884&lt;100000,"Mid (60-100k)",TRUE,"High (100k+)")</f>
        <v/>
      </c>
      <c r="W884" s="5">
        <f>IF(M884="No","Attrited","Active")</f>
        <v/>
      </c>
    </row>
    <row r="885">
      <c r="A885" s="5" t="inlineStr">
        <is>
          <t>E00884</t>
        </is>
      </c>
      <c r="B885" s="5" t="inlineStr">
        <is>
          <t>Female</t>
        </is>
      </c>
      <c r="C885" s="6" t="inlineStr">
        <is>
          <t>33</t>
        </is>
      </c>
      <c r="D885" s="5" t="inlineStr">
        <is>
          <t>Single</t>
        </is>
      </c>
      <c r="E885" s="5" t="inlineStr">
        <is>
          <t>Diploma</t>
        </is>
      </c>
      <c r="F885" s="5" t="inlineStr">
        <is>
          <t>Operations</t>
        </is>
      </c>
      <c r="G885" s="5" t="inlineStr">
        <is>
          <t>Logistics Coordinator</t>
        </is>
      </c>
      <c r="H885" s="5" t="inlineStr">
        <is>
          <t>2</t>
        </is>
      </c>
      <c r="I885" s="5" t="inlineStr">
        <is>
          <t>Bengaluru</t>
        </is>
      </c>
      <c r="J885" s="5" t="inlineStr">
        <is>
          <t>Full-Time</t>
        </is>
      </c>
      <c r="K885" s="7" t="n">
        <v>45307</v>
      </c>
      <c r="L885" s="7" t="inlineStr"/>
      <c r="M885" s="5" t="inlineStr">
        <is>
          <t>Yes</t>
        </is>
      </c>
      <c r="N885" s="5" t="inlineStr"/>
      <c r="O885" s="8" t="inlineStr">
        <is>
          <t>83000</t>
        </is>
      </c>
      <c r="P885" s="5" t="inlineStr">
        <is>
          <t>5</t>
        </is>
      </c>
      <c r="Q885" s="5" t="inlineStr">
        <is>
          <t>5</t>
        </is>
      </c>
      <c r="R885" s="5" t="inlineStr">
        <is>
          <t>4</t>
        </is>
      </c>
      <c r="S885" s="5" t="inlineStr">
        <is>
          <t>23</t>
        </is>
      </c>
      <c r="T885" s="5" t="inlineStr">
        <is>
          <t>1</t>
        </is>
      </c>
      <c r="U885" s="5">
        <f>IFS(C885&lt;30,"Under 30",C885&lt;40,"30-39",C885&lt;50,"40-49",TRUE,"50+")</f>
        <v/>
      </c>
      <c r="V885" s="5">
        <f>IFS(O885&lt;60000,"Low (&lt;60k)",O885&lt;100000,"Mid (60-100k)",TRUE,"High (100k+)")</f>
        <v/>
      </c>
      <c r="W885" s="5">
        <f>IF(M885="No","Attrited","Active")</f>
        <v/>
      </c>
    </row>
    <row r="886">
      <c r="A886" s="5" t="inlineStr">
        <is>
          <t>E00885</t>
        </is>
      </c>
      <c r="B886" s="5" t="inlineStr">
        <is>
          <t>Female</t>
        </is>
      </c>
      <c r="C886" s="6" t="inlineStr">
        <is>
          <t>25</t>
        </is>
      </c>
      <c r="D886" s="5" t="inlineStr">
        <is>
          <t>Married</t>
        </is>
      </c>
      <c r="E886" s="5" t="inlineStr">
        <is>
          <t>High School</t>
        </is>
      </c>
      <c r="F886" s="5" t="inlineStr">
        <is>
          <t>Sales</t>
        </is>
      </c>
      <c r="G886" s="5" t="inlineStr">
        <is>
          <t>Business Development</t>
        </is>
      </c>
      <c r="H886" s="5" t="inlineStr">
        <is>
          <t>2</t>
        </is>
      </c>
      <c r="I886" s="5" t="inlineStr">
        <is>
          <t>Bengaluru</t>
        </is>
      </c>
      <c r="J886" s="5" t="inlineStr">
        <is>
          <t>Full-Time</t>
        </is>
      </c>
      <c r="K886" s="7" t="n">
        <v>45063</v>
      </c>
      <c r="L886" s="7" t="inlineStr"/>
      <c r="M886" s="5" t="inlineStr">
        <is>
          <t>Yes</t>
        </is>
      </c>
      <c r="N886" s="5" t="inlineStr"/>
      <c r="O886" s="8" t="inlineStr">
        <is>
          <t>93000</t>
        </is>
      </c>
      <c r="P886" s="5" t="inlineStr">
        <is>
          <t>0</t>
        </is>
      </c>
      <c r="Q886" s="5" t="inlineStr">
        <is>
          <t>5</t>
        </is>
      </c>
      <c r="R886" s="5" t="inlineStr">
        <is>
          <t>4</t>
        </is>
      </c>
      <c r="S886" s="5" t="inlineStr">
        <is>
          <t>31</t>
        </is>
      </c>
      <c r="T886" s="5" t="inlineStr">
        <is>
          <t>2</t>
        </is>
      </c>
      <c r="U886" s="5">
        <f>IFS(C886&lt;30,"Under 30",C886&lt;40,"30-39",C886&lt;50,"40-49",TRUE,"50+")</f>
        <v/>
      </c>
      <c r="V886" s="5">
        <f>IFS(O886&lt;60000,"Low (&lt;60k)",O886&lt;100000,"Mid (60-100k)",TRUE,"High (100k+)")</f>
        <v/>
      </c>
      <c r="W886" s="5">
        <f>IF(M886="No","Attrited","Active")</f>
        <v/>
      </c>
    </row>
    <row r="887">
      <c r="A887" s="5" t="inlineStr">
        <is>
          <t>E00886</t>
        </is>
      </c>
      <c r="B887" s="5" t="inlineStr">
        <is>
          <t>Male</t>
        </is>
      </c>
      <c r="C887" s="6" t="inlineStr">
        <is>
          <t>32</t>
        </is>
      </c>
      <c r="D887" s="5" t="inlineStr">
        <is>
          <t>Single</t>
        </is>
      </c>
      <c r="E887" s="5" t="inlineStr">
        <is>
          <t>Diploma</t>
        </is>
      </c>
      <c r="F887" s="5" t="inlineStr">
        <is>
          <t>Sales</t>
        </is>
      </c>
      <c r="G887" s="5" t="inlineStr">
        <is>
          <t>Business Development</t>
        </is>
      </c>
      <c r="H887" s="5" t="inlineStr">
        <is>
          <t>3</t>
        </is>
      </c>
      <c r="I887" s="5" t="inlineStr">
        <is>
          <t>Delhi</t>
        </is>
      </c>
      <c r="J887" s="5" t="inlineStr">
        <is>
          <t>Full-Time</t>
        </is>
      </c>
      <c r="K887" s="7" t="n">
        <v>45045</v>
      </c>
      <c r="L887" s="7" t="inlineStr"/>
      <c r="M887" s="5" t="inlineStr">
        <is>
          <t>Yes</t>
        </is>
      </c>
      <c r="N887" s="5" t="inlineStr"/>
      <c r="O887" s="8" t="inlineStr">
        <is>
          <t>112000</t>
        </is>
      </c>
      <c r="P887" s="5" t="inlineStr">
        <is>
          <t>0</t>
        </is>
      </c>
      <c r="Q887" s="5" t="inlineStr">
        <is>
          <t>3</t>
        </is>
      </c>
      <c r="R887" s="5" t="inlineStr">
        <is>
          <t>9</t>
        </is>
      </c>
      <c r="S887" s="5" t="inlineStr">
        <is>
          <t>32</t>
        </is>
      </c>
      <c r="T887" s="5" t="inlineStr">
        <is>
          <t>4</t>
        </is>
      </c>
      <c r="U887" s="5">
        <f>IFS(C887&lt;30,"Under 30",C887&lt;40,"30-39",C887&lt;50,"40-49",TRUE,"50+")</f>
        <v/>
      </c>
      <c r="V887" s="5">
        <f>IFS(O887&lt;60000,"Low (&lt;60k)",O887&lt;100000,"Mid (60-100k)",TRUE,"High (100k+)")</f>
        <v/>
      </c>
      <c r="W887" s="5">
        <f>IF(M887="No","Attrited","Active")</f>
        <v/>
      </c>
    </row>
    <row r="888">
      <c r="A888" s="5" t="inlineStr">
        <is>
          <t>E00887</t>
        </is>
      </c>
      <c r="B888" s="5" t="inlineStr">
        <is>
          <t>Female</t>
        </is>
      </c>
      <c r="C888" s="6" t="inlineStr">
        <is>
          <t>34</t>
        </is>
      </c>
      <c r="D888" s="5" t="inlineStr">
        <is>
          <t>Married</t>
        </is>
      </c>
      <c r="E888" s="5" t="inlineStr">
        <is>
          <t>PhD</t>
        </is>
      </c>
      <c r="F888" s="5" t="inlineStr">
        <is>
          <t>Finance</t>
        </is>
      </c>
      <c r="G888" s="5" t="inlineStr">
        <is>
          <t>Credit Analyst</t>
        </is>
      </c>
      <c r="H888" s="5" t="inlineStr">
        <is>
          <t>3</t>
        </is>
      </c>
      <c r="I888" s="5" t="inlineStr">
        <is>
          <t>Mumbai</t>
        </is>
      </c>
      <c r="J888" s="5" t="inlineStr">
        <is>
          <t>Full-Time</t>
        </is>
      </c>
      <c r="K888" s="7" t="n">
        <v>45813</v>
      </c>
      <c r="L888" s="7" t="inlineStr"/>
      <c r="M888" s="5" t="inlineStr">
        <is>
          <t>Yes</t>
        </is>
      </c>
      <c r="N888" s="5" t="inlineStr"/>
      <c r="O888" s="8" t="inlineStr">
        <is>
          <t>144500</t>
        </is>
      </c>
      <c r="P888" s="5" t="inlineStr">
        <is>
          <t>0</t>
        </is>
      </c>
      <c r="Q888" s="5" t="inlineStr">
        <is>
          <t>4</t>
        </is>
      </c>
      <c r="R888" s="5" t="inlineStr">
        <is>
          <t>8</t>
        </is>
      </c>
      <c r="S888" s="5" t="inlineStr">
        <is>
          <t>6</t>
        </is>
      </c>
      <c r="T888" s="5" t="inlineStr">
        <is>
          <t>5</t>
        </is>
      </c>
      <c r="U888" s="5">
        <f>IFS(C888&lt;30,"Under 30",C888&lt;40,"30-39",C888&lt;50,"40-49",TRUE,"50+")</f>
        <v/>
      </c>
      <c r="V888" s="5">
        <f>IFS(O888&lt;60000,"Low (&lt;60k)",O888&lt;100000,"Mid (60-100k)",TRUE,"High (100k+)")</f>
        <v/>
      </c>
      <c r="W888" s="5">
        <f>IF(M888="No","Attrited","Active")</f>
        <v/>
      </c>
    </row>
    <row r="889">
      <c r="A889" s="5" t="inlineStr">
        <is>
          <t>E00888</t>
        </is>
      </c>
      <c r="B889" s="5" t="inlineStr">
        <is>
          <t>Female</t>
        </is>
      </c>
      <c r="C889" s="6" t="inlineStr">
        <is>
          <t>26</t>
        </is>
      </c>
      <c r="D889" s="5" t="inlineStr">
        <is>
          <t>Married</t>
        </is>
      </c>
      <c r="E889" s="5" t="inlineStr">
        <is>
          <t>PhD</t>
        </is>
      </c>
      <c r="F889" s="5" t="inlineStr">
        <is>
          <t>Customer Support</t>
        </is>
      </c>
      <c r="G889" s="5" t="inlineStr">
        <is>
          <t>Escalation Specialist</t>
        </is>
      </c>
      <c r="H889" s="5" t="inlineStr">
        <is>
          <t>2</t>
        </is>
      </c>
      <c r="I889" s="5" t="inlineStr">
        <is>
          <t>Bengaluru</t>
        </is>
      </c>
      <c r="J889" s="5" t="inlineStr">
        <is>
          <t>Part-Time</t>
        </is>
      </c>
      <c r="K889" s="7" t="n">
        <v>45589</v>
      </c>
      <c r="L889" s="7" t="n">
        <v>45644</v>
      </c>
      <c r="M889" s="5" t="inlineStr">
        <is>
          <t>No</t>
        </is>
      </c>
      <c r="N889" s="5" t="inlineStr">
        <is>
          <t>Resigned</t>
        </is>
      </c>
      <c r="O889" s="8" t="inlineStr">
        <is>
          <t>61500</t>
        </is>
      </c>
      <c r="P889" s="5" t="inlineStr">
        <is>
          <t>5</t>
        </is>
      </c>
      <c r="Q889" s="5" t="inlineStr">
        <is>
          <t>5</t>
        </is>
      </c>
      <c r="R889" s="5" t="inlineStr">
        <is>
          <t>5</t>
        </is>
      </c>
      <c r="S889" s="5" t="inlineStr">
        <is>
          <t>1</t>
        </is>
      </c>
      <c r="T889" s="5" t="inlineStr">
        <is>
          <t>9</t>
        </is>
      </c>
      <c r="U889" s="5">
        <f>IFS(C889&lt;30,"Under 30",C889&lt;40,"30-39",C889&lt;50,"40-49",TRUE,"50+")</f>
        <v/>
      </c>
      <c r="V889" s="5">
        <f>IFS(O889&lt;60000,"Low (&lt;60k)",O889&lt;100000,"Mid (60-100k)",TRUE,"High (100k+)")</f>
        <v/>
      </c>
      <c r="W889" s="5">
        <f>IF(M889="No","Attrited","Active")</f>
        <v/>
      </c>
    </row>
    <row r="890">
      <c r="A890" s="5" t="inlineStr">
        <is>
          <t>E00889</t>
        </is>
      </c>
      <c r="B890" s="5" t="inlineStr">
        <is>
          <t>Female</t>
        </is>
      </c>
      <c r="C890" s="6" t="inlineStr">
        <is>
          <t>34</t>
        </is>
      </c>
      <c r="D890" s="5" t="inlineStr">
        <is>
          <t>Married</t>
        </is>
      </c>
      <c r="E890" s="5" t="inlineStr">
        <is>
          <t>High School</t>
        </is>
      </c>
      <c r="F890" s="5" t="inlineStr">
        <is>
          <t>Operations</t>
        </is>
      </c>
      <c r="G890" s="5" t="inlineStr">
        <is>
          <t>Operations Analyst</t>
        </is>
      </c>
      <c r="H890" s="5" t="inlineStr">
        <is>
          <t>3</t>
        </is>
      </c>
      <c r="I890" s="5" t="inlineStr">
        <is>
          <t>Chennai</t>
        </is>
      </c>
      <c r="J890" s="5" t="inlineStr">
        <is>
          <t>Full-Time</t>
        </is>
      </c>
      <c r="K890" s="7" t="n">
        <v>45071</v>
      </c>
      <c r="L890" s="7" t="inlineStr"/>
      <c r="M890" s="5" t="inlineStr">
        <is>
          <t>Yes</t>
        </is>
      </c>
      <c r="N890" s="5" t="inlineStr"/>
      <c r="O890" s="8" t="inlineStr">
        <is>
          <t>121000</t>
        </is>
      </c>
      <c r="P890" s="5" t="inlineStr">
        <is>
          <t>15</t>
        </is>
      </c>
      <c r="Q890" s="5" t="inlineStr">
        <is>
          <t>3</t>
        </is>
      </c>
      <c r="R890" s="5" t="inlineStr">
        <is>
          <t>5</t>
        </is>
      </c>
      <c r="S890" s="5" t="inlineStr">
        <is>
          <t>31</t>
        </is>
      </c>
      <c r="T890" s="5" t="inlineStr">
        <is>
          <t>8</t>
        </is>
      </c>
      <c r="U890" s="5">
        <f>IFS(C890&lt;30,"Under 30",C890&lt;40,"30-39",C890&lt;50,"40-49",TRUE,"50+")</f>
        <v/>
      </c>
      <c r="V890" s="5">
        <f>IFS(O890&lt;60000,"Low (&lt;60k)",O890&lt;100000,"Mid (60-100k)",TRUE,"High (100k+)")</f>
        <v/>
      </c>
      <c r="W890" s="5">
        <f>IF(M890="No","Attrited","Active")</f>
        <v/>
      </c>
    </row>
    <row r="891">
      <c r="A891" s="5" t="inlineStr">
        <is>
          <t>E00890</t>
        </is>
      </c>
      <c r="B891" s="5" t="inlineStr">
        <is>
          <t>Female</t>
        </is>
      </c>
      <c r="C891" s="6" t="inlineStr">
        <is>
          <t>30</t>
        </is>
      </c>
      <c r="D891" s="5" t="inlineStr">
        <is>
          <t>Married</t>
        </is>
      </c>
      <c r="E891" s="5" t="inlineStr">
        <is>
          <t>Diploma</t>
        </is>
      </c>
      <c r="F891" s="5" t="inlineStr">
        <is>
          <t>Sales</t>
        </is>
      </c>
      <c r="G891" s="5" t="inlineStr">
        <is>
          <t>Account Executive</t>
        </is>
      </c>
      <c r="H891" s="5" t="inlineStr">
        <is>
          <t>2</t>
        </is>
      </c>
      <c r="I891" s="5" t="inlineStr">
        <is>
          <t>Hyderabad</t>
        </is>
      </c>
      <c r="J891" s="5" t="inlineStr">
        <is>
          <t>Full-Time</t>
        </is>
      </c>
      <c r="K891" s="7" t="n">
        <v>45443</v>
      </c>
      <c r="L891" s="7" t="n">
        <v>45483</v>
      </c>
      <c r="M891" s="5" t="inlineStr">
        <is>
          <t>No</t>
        </is>
      </c>
      <c r="N891" s="5" t="inlineStr">
        <is>
          <t>Resigned</t>
        </is>
      </c>
      <c r="O891" s="8" t="inlineStr">
        <is>
          <t>104000</t>
        </is>
      </c>
      <c r="P891" s="5" t="inlineStr">
        <is>
          <t>10</t>
        </is>
      </c>
      <c r="Q891" s="5" t="inlineStr">
        <is>
          <t>3</t>
        </is>
      </c>
      <c r="R891" s="5" t="inlineStr">
        <is>
          <t>5</t>
        </is>
      </c>
      <c r="S891" s="5" t="inlineStr">
        <is>
          <t>1</t>
        </is>
      </c>
      <c r="T891" s="5" t="inlineStr">
        <is>
          <t>6</t>
        </is>
      </c>
      <c r="U891" s="5">
        <f>IFS(C891&lt;30,"Under 30",C891&lt;40,"30-39",C891&lt;50,"40-49",TRUE,"50+")</f>
        <v/>
      </c>
      <c r="V891" s="5">
        <f>IFS(O891&lt;60000,"Low (&lt;60k)",O891&lt;100000,"Mid (60-100k)",TRUE,"High (100k+)")</f>
        <v/>
      </c>
      <c r="W891" s="5">
        <f>IF(M891="No","Attrited","Active")</f>
        <v/>
      </c>
    </row>
    <row r="892">
      <c r="A892" s="5" t="inlineStr">
        <is>
          <t>E00891</t>
        </is>
      </c>
      <c r="B892" s="5" t="inlineStr">
        <is>
          <t>Female</t>
        </is>
      </c>
      <c r="C892" s="6" t="inlineStr">
        <is>
          <t>32</t>
        </is>
      </c>
      <c r="D892" s="5" t="inlineStr">
        <is>
          <t>Married</t>
        </is>
      </c>
      <c r="E892" s="5" t="inlineStr">
        <is>
          <t>Diploma</t>
        </is>
      </c>
      <c r="F892" s="5" t="inlineStr">
        <is>
          <t>Research &amp; Development</t>
        </is>
      </c>
      <c r="G892" s="5" t="inlineStr">
        <is>
          <t>Data Scientist</t>
        </is>
      </c>
      <c r="H892" s="5" t="inlineStr">
        <is>
          <t>2</t>
        </is>
      </c>
      <c r="I892" s="5" t="inlineStr">
        <is>
          <t>Delhi</t>
        </is>
      </c>
      <c r="J892" s="5" t="inlineStr">
        <is>
          <t>Full-Time</t>
        </is>
      </c>
      <c r="K892" s="7" t="n">
        <v>44031</v>
      </c>
      <c r="L892" s="7" t="inlineStr"/>
      <c r="M892" s="5" t="inlineStr">
        <is>
          <t>Yes</t>
        </is>
      </c>
      <c r="N892" s="5" t="inlineStr"/>
      <c r="O892" s="8" t="inlineStr">
        <is>
          <t>150500</t>
        </is>
      </c>
      <c r="P892" s="5" t="inlineStr">
        <is>
          <t>0</t>
        </is>
      </c>
      <c r="Q892" s="5" t="inlineStr">
        <is>
          <t>5</t>
        </is>
      </c>
      <c r="R892" s="5" t="inlineStr">
        <is>
          <t>5</t>
        </is>
      </c>
      <c r="S892" s="5" t="inlineStr">
        <is>
          <t>66</t>
        </is>
      </c>
      <c r="T892" s="5" t="inlineStr">
        <is>
          <t>4</t>
        </is>
      </c>
      <c r="U892" s="5">
        <f>IFS(C892&lt;30,"Under 30",C892&lt;40,"30-39",C892&lt;50,"40-49",TRUE,"50+")</f>
        <v/>
      </c>
      <c r="V892" s="5">
        <f>IFS(O892&lt;60000,"Low (&lt;60k)",O892&lt;100000,"Mid (60-100k)",TRUE,"High (100k+)")</f>
        <v/>
      </c>
      <c r="W892" s="5">
        <f>IF(M892="No","Attrited","Active")</f>
        <v/>
      </c>
    </row>
    <row r="893">
      <c r="A893" s="5" t="inlineStr">
        <is>
          <t>E00892</t>
        </is>
      </c>
      <c r="B893" s="5" t="inlineStr">
        <is>
          <t>Female</t>
        </is>
      </c>
      <c r="C893" s="6" t="inlineStr">
        <is>
          <t>32</t>
        </is>
      </c>
      <c r="D893" s="5" t="inlineStr">
        <is>
          <t>Married</t>
        </is>
      </c>
      <c r="E893" s="5" t="inlineStr">
        <is>
          <t>Diploma</t>
        </is>
      </c>
      <c r="F893" s="5" t="inlineStr">
        <is>
          <t>Human Resources</t>
        </is>
      </c>
      <c r="G893" s="5" t="inlineStr">
        <is>
          <t>HR Analyst</t>
        </is>
      </c>
      <c r="H893" s="5" t="inlineStr">
        <is>
          <t>2</t>
        </is>
      </c>
      <c r="I893" s="5" t="inlineStr">
        <is>
          <t>Mumbai</t>
        </is>
      </c>
      <c r="J893" s="5" t="inlineStr">
        <is>
          <t>Full-Time</t>
        </is>
      </c>
      <c r="K893" s="7" t="n">
        <v>45725</v>
      </c>
      <c r="L893" s="7" t="n">
        <v>45817</v>
      </c>
      <c r="M893" s="5" t="inlineStr">
        <is>
          <t>No</t>
        </is>
      </c>
      <c r="N893" s="5" t="inlineStr">
        <is>
          <t>Resigned</t>
        </is>
      </c>
      <c r="O893" s="8" t="inlineStr">
        <is>
          <t>79000</t>
        </is>
      </c>
      <c r="P893" s="5" t="inlineStr">
        <is>
          <t>20</t>
        </is>
      </c>
      <c r="Q893" s="5" t="inlineStr">
        <is>
          <t>4</t>
        </is>
      </c>
      <c r="R893" s="5" t="inlineStr">
        <is>
          <t>7</t>
        </is>
      </c>
      <c r="S893" s="5" t="inlineStr">
        <is>
          <t>3</t>
        </is>
      </c>
      <c r="T893" s="5" t="inlineStr">
        <is>
          <t>16</t>
        </is>
      </c>
      <c r="U893" s="5">
        <f>IFS(C893&lt;30,"Under 30",C893&lt;40,"30-39",C893&lt;50,"40-49",TRUE,"50+")</f>
        <v/>
      </c>
      <c r="V893" s="5">
        <f>IFS(O893&lt;60000,"Low (&lt;60k)",O893&lt;100000,"Mid (60-100k)",TRUE,"High (100k+)")</f>
        <v/>
      </c>
      <c r="W893" s="5">
        <f>IF(M893="No","Attrited","Active")</f>
        <v/>
      </c>
    </row>
    <row r="894">
      <c r="A894" s="5" t="inlineStr">
        <is>
          <t>E00893</t>
        </is>
      </c>
      <c r="B894" s="5" t="inlineStr">
        <is>
          <t>Male</t>
        </is>
      </c>
      <c r="C894" s="6" t="inlineStr">
        <is>
          <t>29</t>
        </is>
      </c>
      <c r="D894" s="5" t="inlineStr">
        <is>
          <t>Married</t>
        </is>
      </c>
      <c r="E894" s="5" t="inlineStr">
        <is>
          <t>High School</t>
        </is>
      </c>
      <c r="F894" s="5" t="inlineStr">
        <is>
          <t>IT</t>
        </is>
      </c>
      <c r="G894" s="5" t="inlineStr">
        <is>
          <t>DevOps Engineer</t>
        </is>
      </c>
      <c r="H894" s="5" t="inlineStr">
        <is>
          <t>2</t>
        </is>
      </c>
      <c r="I894" s="5" t="inlineStr">
        <is>
          <t>Hyderabad</t>
        </is>
      </c>
      <c r="J894" s="5" t="inlineStr">
        <is>
          <t>Full-Time</t>
        </is>
      </c>
      <c r="K894" s="7" t="n">
        <v>44824</v>
      </c>
      <c r="L894" s="7" t="inlineStr"/>
      <c r="M894" s="5" t="inlineStr">
        <is>
          <t>Yes</t>
        </is>
      </c>
      <c r="N894" s="5" t="inlineStr"/>
      <c r="O894" s="8" t="inlineStr">
        <is>
          <t>130500</t>
        </is>
      </c>
      <c r="P894" s="5" t="inlineStr">
        <is>
          <t>0</t>
        </is>
      </c>
      <c r="Q894" s="5" t="inlineStr">
        <is>
          <t>4</t>
        </is>
      </c>
      <c r="R894" s="5" t="inlineStr">
        <is>
          <t>6</t>
        </is>
      </c>
      <c r="S894" s="5" t="inlineStr">
        <is>
          <t>39</t>
        </is>
      </c>
      <c r="T894" s="5" t="inlineStr">
        <is>
          <t>9</t>
        </is>
      </c>
      <c r="U894" s="5">
        <f>IFS(C894&lt;30,"Under 30",C894&lt;40,"30-39",C894&lt;50,"40-49",TRUE,"50+")</f>
        <v/>
      </c>
      <c r="V894" s="5">
        <f>IFS(O894&lt;60000,"Low (&lt;60k)",O894&lt;100000,"Mid (60-100k)",TRUE,"High (100k+)")</f>
        <v/>
      </c>
      <c r="W894" s="5">
        <f>IF(M894="No","Attrited","Active")</f>
        <v/>
      </c>
    </row>
    <row r="895">
      <c r="A895" s="5" t="inlineStr">
        <is>
          <t>E00894</t>
        </is>
      </c>
      <c r="B895" s="5" t="inlineStr">
        <is>
          <t>Male</t>
        </is>
      </c>
      <c r="C895" s="6" t="inlineStr">
        <is>
          <t>29</t>
        </is>
      </c>
      <c r="D895" s="5" t="inlineStr">
        <is>
          <t>Married</t>
        </is>
      </c>
      <c r="E895" s="5" t="inlineStr">
        <is>
          <t>PhD</t>
        </is>
      </c>
      <c r="F895" s="5" t="inlineStr">
        <is>
          <t>Human Resources</t>
        </is>
      </c>
      <c r="G895" s="5" t="inlineStr">
        <is>
          <t>Recruiter</t>
        </is>
      </c>
      <c r="H895" s="5" t="inlineStr">
        <is>
          <t>4</t>
        </is>
      </c>
      <c r="I895" s="5" t="inlineStr">
        <is>
          <t>Remote</t>
        </is>
      </c>
      <c r="J895" s="5" t="inlineStr">
        <is>
          <t>Full-Time</t>
        </is>
      </c>
      <c r="K895" s="7" t="n">
        <v>44357</v>
      </c>
      <c r="L895" s="7" t="inlineStr"/>
      <c r="M895" s="5" t="inlineStr">
        <is>
          <t>Yes</t>
        </is>
      </c>
      <c r="N895" s="5" t="inlineStr"/>
      <c r="O895" s="8" t="inlineStr">
        <is>
          <t>112500</t>
        </is>
      </c>
      <c r="P895" s="5" t="inlineStr">
        <is>
          <t>10</t>
        </is>
      </c>
      <c r="Q895" s="5" t="inlineStr">
        <is>
          <t>4</t>
        </is>
      </c>
      <c r="R895" s="5" t="inlineStr">
        <is>
          <t>10</t>
        </is>
      </c>
      <c r="S895" s="5" t="inlineStr">
        <is>
          <t>55</t>
        </is>
      </c>
      <c r="T895" s="5" t="inlineStr">
        <is>
          <t>9</t>
        </is>
      </c>
      <c r="U895" s="5">
        <f>IFS(C895&lt;30,"Under 30",C895&lt;40,"30-39",C895&lt;50,"40-49",TRUE,"50+")</f>
        <v/>
      </c>
      <c r="V895" s="5">
        <f>IFS(O895&lt;60000,"Low (&lt;60k)",O895&lt;100000,"Mid (60-100k)",TRUE,"High (100k+)")</f>
        <v/>
      </c>
      <c r="W895" s="5">
        <f>IF(M895="No","Attrited","Active")</f>
        <v/>
      </c>
    </row>
    <row r="896">
      <c r="A896" s="5" t="inlineStr">
        <is>
          <t>E00895</t>
        </is>
      </c>
      <c r="B896" s="5" t="inlineStr">
        <is>
          <t>Male</t>
        </is>
      </c>
      <c r="C896" s="6" t="inlineStr">
        <is>
          <t>25</t>
        </is>
      </c>
      <c r="D896" s="5" t="inlineStr">
        <is>
          <t>Single</t>
        </is>
      </c>
      <c r="E896" s="5" t="inlineStr">
        <is>
          <t>PhD</t>
        </is>
      </c>
      <c r="F896" s="5" t="inlineStr">
        <is>
          <t>Marketing</t>
        </is>
      </c>
      <c r="G896" s="5" t="inlineStr">
        <is>
          <t>SEO Specialist</t>
        </is>
      </c>
      <c r="H896" s="5" t="inlineStr">
        <is>
          <t>2</t>
        </is>
      </c>
      <c r="I896" s="5" t="inlineStr">
        <is>
          <t>Bengaluru</t>
        </is>
      </c>
      <c r="J896" s="5" t="inlineStr">
        <is>
          <t>Contract</t>
        </is>
      </c>
      <c r="K896" s="7" t="n">
        <v>44154</v>
      </c>
      <c r="L896" s="7" t="inlineStr"/>
      <c r="M896" s="5" t="inlineStr">
        <is>
          <t>Yes</t>
        </is>
      </c>
      <c r="N896" s="5" t="inlineStr"/>
      <c r="O896" s="8" t="inlineStr">
        <is>
          <t>82000</t>
        </is>
      </c>
      <c r="P896" s="5" t="inlineStr">
        <is>
          <t>0</t>
        </is>
      </c>
      <c r="Q896" s="5" t="inlineStr">
        <is>
          <t>5</t>
        </is>
      </c>
      <c r="R896" s="5" t="inlineStr">
        <is>
          <t>8</t>
        </is>
      </c>
      <c r="S896" s="5" t="inlineStr">
        <is>
          <t>62</t>
        </is>
      </c>
      <c r="T896" s="5" t="inlineStr">
        <is>
          <t>10</t>
        </is>
      </c>
      <c r="U896" s="5">
        <f>IFS(C896&lt;30,"Under 30",C896&lt;40,"30-39",C896&lt;50,"40-49",TRUE,"50+")</f>
        <v/>
      </c>
      <c r="V896" s="5">
        <f>IFS(O896&lt;60000,"Low (&lt;60k)",O896&lt;100000,"Mid (60-100k)",TRUE,"High (100k+)")</f>
        <v/>
      </c>
      <c r="W896" s="5">
        <f>IF(M896="No","Attrited","Active")</f>
        <v/>
      </c>
    </row>
    <row r="897">
      <c r="A897" s="5" t="inlineStr">
        <is>
          <t>E00896</t>
        </is>
      </c>
      <c r="B897" s="5" t="inlineStr">
        <is>
          <t>Female</t>
        </is>
      </c>
      <c r="C897" s="6" t="inlineStr">
        <is>
          <t>36</t>
        </is>
      </c>
      <c r="D897" s="5" t="inlineStr">
        <is>
          <t>Married</t>
        </is>
      </c>
      <c r="E897" s="5" t="inlineStr">
        <is>
          <t>Diploma</t>
        </is>
      </c>
      <c r="F897" s="5" t="inlineStr">
        <is>
          <t>Operations</t>
        </is>
      </c>
      <c r="G897" s="5" t="inlineStr">
        <is>
          <t>Operations Analyst</t>
        </is>
      </c>
      <c r="H897" s="5" t="inlineStr">
        <is>
          <t>2</t>
        </is>
      </c>
      <c r="I897" s="5" t="inlineStr">
        <is>
          <t>Remote</t>
        </is>
      </c>
      <c r="J897" s="5" t="inlineStr">
        <is>
          <t>Full-Time</t>
        </is>
      </c>
      <c r="K897" s="7" t="n">
        <v>44822</v>
      </c>
      <c r="L897" s="7" t="inlineStr"/>
      <c r="M897" s="5" t="inlineStr">
        <is>
          <t>Yes</t>
        </is>
      </c>
      <c r="N897" s="5" t="inlineStr"/>
      <c r="O897" s="8" t="inlineStr">
        <is>
          <t>113000</t>
        </is>
      </c>
      <c r="P897" s="5" t="inlineStr">
        <is>
          <t>0</t>
        </is>
      </c>
      <c r="Q897" s="5" t="inlineStr">
        <is>
          <t>4</t>
        </is>
      </c>
      <c r="R897" s="5" t="inlineStr">
        <is>
          <t>6</t>
        </is>
      </c>
      <c r="S897" s="5" t="inlineStr">
        <is>
          <t>40</t>
        </is>
      </c>
      <c r="T897" s="5" t="inlineStr">
        <is>
          <t>13</t>
        </is>
      </c>
      <c r="U897" s="5">
        <f>IFS(C897&lt;30,"Under 30",C897&lt;40,"30-39",C897&lt;50,"40-49",TRUE,"50+")</f>
        <v/>
      </c>
      <c r="V897" s="5">
        <f>IFS(O897&lt;60000,"Low (&lt;60k)",O897&lt;100000,"Mid (60-100k)",TRUE,"High (100k+)")</f>
        <v/>
      </c>
      <c r="W897" s="5">
        <f>IF(M897="No","Attrited","Active")</f>
        <v/>
      </c>
    </row>
    <row r="898">
      <c r="A898" s="5" t="inlineStr">
        <is>
          <t>E00897</t>
        </is>
      </c>
      <c r="B898" s="5" t="inlineStr">
        <is>
          <t>Female</t>
        </is>
      </c>
      <c r="C898" s="6" t="inlineStr">
        <is>
          <t>25</t>
        </is>
      </c>
      <c r="D898" s="5" t="inlineStr">
        <is>
          <t>Married</t>
        </is>
      </c>
      <c r="E898" s="5" t="inlineStr">
        <is>
          <t>Master</t>
        </is>
      </c>
      <c r="F898" s="5" t="inlineStr">
        <is>
          <t>Customer Support</t>
        </is>
      </c>
      <c r="G898" s="5" t="inlineStr">
        <is>
          <t>Support Lead</t>
        </is>
      </c>
      <c r="H898" s="5" t="inlineStr">
        <is>
          <t>1</t>
        </is>
      </c>
      <c r="I898" s="5" t="inlineStr">
        <is>
          <t>Hyderabad</t>
        </is>
      </c>
      <c r="J898" s="5" t="inlineStr">
        <is>
          <t>Full-Time</t>
        </is>
      </c>
      <c r="K898" s="7" t="n">
        <v>44634</v>
      </c>
      <c r="L898" s="7" t="inlineStr"/>
      <c r="M898" s="5" t="inlineStr">
        <is>
          <t>Yes</t>
        </is>
      </c>
      <c r="N898" s="5" t="inlineStr"/>
      <c r="O898" s="8" t="inlineStr">
        <is>
          <t>46500</t>
        </is>
      </c>
      <c r="P898" s="5" t="inlineStr">
        <is>
          <t>15</t>
        </is>
      </c>
      <c r="Q898" s="5" t="inlineStr">
        <is>
          <t>4</t>
        </is>
      </c>
      <c r="R898" s="5" t="inlineStr">
        <is>
          <t>5</t>
        </is>
      </c>
      <c r="S898" s="5" t="inlineStr">
        <is>
          <t>46</t>
        </is>
      </c>
      <c r="T898" s="5" t="inlineStr">
        <is>
          <t>13</t>
        </is>
      </c>
      <c r="U898" s="5">
        <f>IFS(C898&lt;30,"Under 30",C898&lt;40,"30-39",C898&lt;50,"40-49",TRUE,"50+")</f>
        <v/>
      </c>
      <c r="V898" s="5">
        <f>IFS(O898&lt;60000,"Low (&lt;60k)",O898&lt;100000,"Mid (60-100k)",TRUE,"High (100k+)")</f>
        <v/>
      </c>
      <c r="W898" s="5">
        <f>IF(M898="No","Attrited","Active")</f>
        <v/>
      </c>
    </row>
    <row r="899">
      <c r="A899" s="5" t="inlineStr">
        <is>
          <t>E00898</t>
        </is>
      </c>
      <c r="B899" s="5" t="inlineStr">
        <is>
          <t>Male</t>
        </is>
      </c>
      <c r="C899" s="6" t="inlineStr">
        <is>
          <t>36</t>
        </is>
      </c>
      <c r="D899" s="5" t="inlineStr">
        <is>
          <t>Single</t>
        </is>
      </c>
      <c r="E899" s="5" t="inlineStr">
        <is>
          <t>High School</t>
        </is>
      </c>
      <c r="F899" s="5" t="inlineStr">
        <is>
          <t>IT</t>
        </is>
      </c>
      <c r="G899" s="5" t="inlineStr">
        <is>
          <t>Software Engineer</t>
        </is>
      </c>
      <c r="H899" s="5" t="inlineStr">
        <is>
          <t>7</t>
        </is>
      </c>
      <c r="I899" s="5" t="inlineStr">
        <is>
          <t>Mumbai</t>
        </is>
      </c>
      <c r="J899" s="5" t="inlineStr">
        <is>
          <t>Full-Time</t>
        </is>
      </c>
      <c r="K899" s="7" t="n">
        <v>45251</v>
      </c>
      <c r="L899" s="7" t="inlineStr"/>
      <c r="M899" s="5" t="inlineStr">
        <is>
          <t>Yes</t>
        </is>
      </c>
      <c r="N899" s="5" t="inlineStr"/>
      <c r="O899" s="8" t="inlineStr">
        <is>
          <t>199000</t>
        </is>
      </c>
      <c r="P899" s="5" t="inlineStr">
        <is>
          <t>15</t>
        </is>
      </c>
      <c r="Q899" s="5" t="inlineStr">
        <is>
          <t>3</t>
        </is>
      </c>
      <c r="R899" s="5" t="inlineStr">
        <is>
          <t>3</t>
        </is>
      </c>
      <c r="S899" s="5" t="inlineStr">
        <is>
          <t>25</t>
        </is>
      </c>
      <c r="T899" s="5" t="inlineStr">
        <is>
          <t>1</t>
        </is>
      </c>
      <c r="U899" s="5">
        <f>IFS(C899&lt;30,"Under 30",C899&lt;40,"30-39",C899&lt;50,"40-49",TRUE,"50+")</f>
        <v/>
      </c>
      <c r="V899" s="5">
        <f>IFS(O899&lt;60000,"Low (&lt;60k)",O899&lt;100000,"Mid (60-100k)",TRUE,"High (100k+)")</f>
        <v/>
      </c>
      <c r="W899" s="5">
        <f>IF(M899="No","Attrited","Active")</f>
        <v/>
      </c>
    </row>
    <row r="900">
      <c r="A900" s="5" t="inlineStr">
        <is>
          <t>E00899</t>
        </is>
      </c>
      <c r="B900" s="5" t="inlineStr">
        <is>
          <t>Female</t>
        </is>
      </c>
      <c r="C900" s="6" t="inlineStr">
        <is>
          <t>35</t>
        </is>
      </c>
      <c r="D900" s="5" t="inlineStr">
        <is>
          <t>Married</t>
        </is>
      </c>
      <c r="E900" s="5" t="inlineStr">
        <is>
          <t>Master</t>
        </is>
      </c>
      <c r="F900" s="5" t="inlineStr">
        <is>
          <t>Customer Support</t>
        </is>
      </c>
      <c r="G900" s="5" t="inlineStr">
        <is>
          <t>Support Agent</t>
        </is>
      </c>
      <c r="H900" s="5" t="inlineStr">
        <is>
          <t>2</t>
        </is>
      </c>
      <c r="I900" s="5" t="inlineStr">
        <is>
          <t>Chennai</t>
        </is>
      </c>
      <c r="J900" s="5" t="inlineStr">
        <is>
          <t>Full-Time</t>
        </is>
      </c>
      <c r="K900" s="7" t="n">
        <v>45000</v>
      </c>
      <c r="L900" s="7" t="inlineStr"/>
      <c r="M900" s="5" t="inlineStr">
        <is>
          <t>Yes</t>
        </is>
      </c>
      <c r="N900" s="5" t="inlineStr"/>
      <c r="O900" s="8" t="inlineStr">
        <is>
          <t>69000</t>
        </is>
      </c>
      <c r="P900" s="5" t="inlineStr">
        <is>
          <t>15</t>
        </is>
      </c>
      <c r="Q900" s="5" t="inlineStr">
        <is>
          <t>3</t>
        </is>
      </c>
      <c r="R900" s="5" t="inlineStr">
        <is>
          <t>6</t>
        </is>
      </c>
      <c r="S900" s="5" t="inlineStr">
        <is>
          <t>34</t>
        </is>
      </c>
      <c r="T900" s="5" t="inlineStr">
        <is>
          <t>1</t>
        </is>
      </c>
      <c r="U900" s="5">
        <f>IFS(C900&lt;30,"Under 30",C900&lt;40,"30-39",C900&lt;50,"40-49",TRUE,"50+")</f>
        <v/>
      </c>
      <c r="V900" s="5">
        <f>IFS(O900&lt;60000,"Low (&lt;60k)",O900&lt;100000,"Mid (60-100k)",TRUE,"High (100k+)")</f>
        <v/>
      </c>
      <c r="W900" s="5">
        <f>IF(M900="No","Attrited","Active")</f>
        <v/>
      </c>
    </row>
    <row r="901">
      <c r="A901" s="5" t="inlineStr">
        <is>
          <t>E00900</t>
        </is>
      </c>
      <c r="B901" s="5" t="inlineStr">
        <is>
          <t>Male</t>
        </is>
      </c>
      <c r="C901" s="6" t="inlineStr">
        <is>
          <t>34</t>
        </is>
      </c>
      <c r="D901" s="5" t="inlineStr">
        <is>
          <t>Divorced</t>
        </is>
      </c>
      <c r="E901" s="5" t="inlineStr">
        <is>
          <t>Bachelor</t>
        </is>
      </c>
      <c r="F901" s="5" t="inlineStr">
        <is>
          <t>Sales</t>
        </is>
      </c>
      <c r="G901" s="5" t="inlineStr">
        <is>
          <t>Business Development</t>
        </is>
      </c>
      <c r="H901" s="5" t="inlineStr">
        <is>
          <t>3</t>
        </is>
      </c>
      <c r="I901" s="5" t="inlineStr">
        <is>
          <t>Mumbai</t>
        </is>
      </c>
      <c r="J901" s="5" t="inlineStr">
        <is>
          <t>Full-Time</t>
        </is>
      </c>
      <c r="K901" s="7" t="n">
        <v>44712</v>
      </c>
      <c r="L901" s="7" t="inlineStr"/>
      <c r="M901" s="5" t="inlineStr">
        <is>
          <t>Yes</t>
        </is>
      </c>
      <c r="N901" s="5" t="inlineStr"/>
      <c r="O901" s="8" t="inlineStr">
        <is>
          <t>111500</t>
        </is>
      </c>
      <c r="P901" s="5" t="inlineStr">
        <is>
          <t>0</t>
        </is>
      </c>
      <c r="Q901" s="5" t="inlineStr">
        <is>
          <t>4</t>
        </is>
      </c>
      <c r="R901" s="5" t="inlineStr">
        <is>
          <t>8</t>
        </is>
      </c>
      <c r="S901" s="5" t="inlineStr">
        <is>
          <t>43</t>
        </is>
      </c>
      <c r="T901" s="5" t="inlineStr">
        <is>
          <t>2</t>
        </is>
      </c>
      <c r="U901" s="5">
        <f>IFS(C901&lt;30,"Under 30",C901&lt;40,"30-39",C901&lt;50,"40-49",TRUE,"50+")</f>
        <v/>
      </c>
      <c r="V901" s="5">
        <f>IFS(O901&lt;60000,"Low (&lt;60k)",O901&lt;100000,"Mid (60-100k)",TRUE,"High (100k+)")</f>
        <v/>
      </c>
      <c r="W901" s="5">
        <f>IF(M901="No","Attrited","Active")</f>
        <v/>
      </c>
    </row>
    <row r="902">
      <c r="A902" s="5" t="inlineStr">
        <is>
          <t>E00901</t>
        </is>
      </c>
      <c r="B902" s="5" t="inlineStr">
        <is>
          <t>Female</t>
        </is>
      </c>
      <c r="C902" s="6" t="inlineStr">
        <is>
          <t>31</t>
        </is>
      </c>
      <c r="D902" s="5" t="inlineStr">
        <is>
          <t>Married</t>
        </is>
      </c>
      <c r="E902" s="5" t="inlineStr">
        <is>
          <t>High School</t>
        </is>
      </c>
      <c r="F902" s="5" t="inlineStr">
        <is>
          <t>Operations</t>
        </is>
      </c>
      <c r="G902" s="5" t="inlineStr">
        <is>
          <t>Quality Analyst</t>
        </is>
      </c>
      <c r="H902" s="5" t="inlineStr">
        <is>
          <t>2</t>
        </is>
      </c>
      <c r="I902" s="5" t="inlineStr">
        <is>
          <t>Bengaluru</t>
        </is>
      </c>
      <c r="J902" s="5" t="inlineStr">
        <is>
          <t>Full-Time</t>
        </is>
      </c>
      <c r="K902" s="7" t="n">
        <v>44676</v>
      </c>
      <c r="L902" s="7" t="inlineStr"/>
      <c r="M902" s="5" t="inlineStr">
        <is>
          <t>Yes</t>
        </is>
      </c>
      <c r="N902" s="5" t="inlineStr"/>
      <c r="O902" s="8" t="inlineStr">
        <is>
          <t>68000</t>
        </is>
      </c>
      <c r="P902" s="5" t="inlineStr">
        <is>
          <t>0</t>
        </is>
      </c>
      <c r="Q902" s="5" t="inlineStr">
        <is>
          <t>5</t>
        </is>
      </c>
      <c r="R902" s="5" t="inlineStr">
        <is>
          <t>5</t>
        </is>
      </c>
      <c r="S902" s="5" t="inlineStr">
        <is>
          <t>44</t>
        </is>
      </c>
      <c r="T902" s="5" t="inlineStr">
        <is>
          <t>6</t>
        </is>
      </c>
      <c r="U902" s="5">
        <f>IFS(C902&lt;30,"Under 30",C902&lt;40,"30-39",C902&lt;50,"40-49",TRUE,"50+")</f>
        <v/>
      </c>
      <c r="V902" s="5">
        <f>IFS(O902&lt;60000,"Low (&lt;60k)",O902&lt;100000,"Mid (60-100k)",TRUE,"High (100k+)")</f>
        <v/>
      </c>
      <c r="W902" s="5">
        <f>IF(M902="No","Attrited","Active")</f>
        <v/>
      </c>
    </row>
    <row r="903">
      <c r="A903" s="5" t="inlineStr">
        <is>
          <t>E00902</t>
        </is>
      </c>
      <c r="B903" s="5" t="inlineStr">
        <is>
          <t>Female</t>
        </is>
      </c>
      <c r="C903" s="6" t="inlineStr">
        <is>
          <t>32</t>
        </is>
      </c>
      <c r="D903" s="5" t="inlineStr">
        <is>
          <t>Married</t>
        </is>
      </c>
      <c r="E903" s="5" t="inlineStr">
        <is>
          <t>Master</t>
        </is>
      </c>
      <c r="F903" s="5" t="inlineStr">
        <is>
          <t>Sales</t>
        </is>
      </c>
      <c r="G903" s="5" t="inlineStr">
        <is>
          <t>Sales Executive</t>
        </is>
      </c>
      <c r="H903" s="5" t="inlineStr">
        <is>
          <t>1</t>
        </is>
      </c>
      <c r="I903" s="5" t="inlineStr">
        <is>
          <t>Mumbai</t>
        </is>
      </c>
      <c r="J903" s="5" t="inlineStr">
        <is>
          <t>Full-Time</t>
        </is>
      </c>
      <c r="K903" s="7" t="n">
        <v>45382</v>
      </c>
      <c r="L903" s="7" t="inlineStr"/>
      <c r="M903" s="5" t="inlineStr">
        <is>
          <t>Yes</t>
        </is>
      </c>
      <c r="N903" s="5" t="inlineStr"/>
      <c r="O903" s="8" t="inlineStr">
        <is>
          <t>83000</t>
        </is>
      </c>
      <c r="P903" s="5" t="inlineStr">
        <is>
          <t>0</t>
        </is>
      </c>
      <c r="Q903" s="5" t="inlineStr">
        <is>
          <t>5</t>
        </is>
      </c>
      <c r="R903" s="5" t="inlineStr">
        <is>
          <t>7</t>
        </is>
      </c>
      <c r="S903" s="5" t="inlineStr">
        <is>
          <t>21</t>
        </is>
      </c>
      <c r="T903" s="5" t="inlineStr">
        <is>
          <t>9</t>
        </is>
      </c>
      <c r="U903" s="5">
        <f>IFS(C903&lt;30,"Under 30",C903&lt;40,"30-39",C903&lt;50,"40-49",TRUE,"50+")</f>
        <v/>
      </c>
      <c r="V903" s="5">
        <f>IFS(O903&lt;60000,"Low (&lt;60k)",O903&lt;100000,"Mid (60-100k)",TRUE,"High (100k+)")</f>
        <v/>
      </c>
      <c r="W903" s="5">
        <f>IF(M903="No","Attrited","Active")</f>
        <v/>
      </c>
    </row>
    <row r="904">
      <c r="A904" s="5" t="inlineStr">
        <is>
          <t>E00903</t>
        </is>
      </c>
      <c r="B904" s="5" t="inlineStr">
        <is>
          <t>Male</t>
        </is>
      </c>
      <c r="C904" s="6" t="inlineStr">
        <is>
          <t>32</t>
        </is>
      </c>
      <c r="D904" s="5" t="inlineStr">
        <is>
          <t>Married</t>
        </is>
      </c>
      <c r="E904" s="5" t="inlineStr">
        <is>
          <t>Bachelor</t>
        </is>
      </c>
      <c r="F904" s="5" t="inlineStr">
        <is>
          <t>Operations</t>
        </is>
      </c>
      <c r="G904" s="5" t="inlineStr">
        <is>
          <t>Operations Analyst</t>
        </is>
      </c>
      <c r="H904" s="5" t="inlineStr">
        <is>
          <t>5</t>
        </is>
      </c>
      <c r="I904" s="5" t="inlineStr">
        <is>
          <t>Mumbai</t>
        </is>
      </c>
      <c r="J904" s="5" t="inlineStr">
        <is>
          <t>Full-Time</t>
        </is>
      </c>
      <c r="K904" s="7" t="n">
        <v>44188</v>
      </c>
      <c r="L904" s="7" t="inlineStr"/>
      <c r="M904" s="5" t="inlineStr">
        <is>
          <t>Yes</t>
        </is>
      </c>
      <c r="N904" s="5" t="inlineStr"/>
      <c r="O904" s="8" t="inlineStr">
        <is>
          <t>156500</t>
        </is>
      </c>
      <c r="P904" s="5" t="inlineStr">
        <is>
          <t>15</t>
        </is>
      </c>
      <c r="Q904" s="5" t="inlineStr">
        <is>
          <t>3</t>
        </is>
      </c>
      <c r="R904" s="5" t="inlineStr">
        <is>
          <t>4</t>
        </is>
      </c>
      <c r="S904" s="5" t="inlineStr">
        <is>
          <t>61</t>
        </is>
      </c>
      <c r="T904" s="5" t="inlineStr">
        <is>
          <t>6</t>
        </is>
      </c>
      <c r="U904" s="5">
        <f>IFS(C904&lt;30,"Under 30",C904&lt;40,"30-39",C904&lt;50,"40-49",TRUE,"50+")</f>
        <v/>
      </c>
      <c r="V904" s="5">
        <f>IFS(O904&lt;60000,"Low (&lt;60k)",O904&lt;100000,"Mid (60-100k)",TRUE,"High (100k+)")</f>
        <v/>
      </c>
      <c r="W904" s="5">
        <f>IF(M904="No","Attrited","Active")</f>
        <v/>
      </c>
    </row>
    <row r="905">
      <c r="A905" s="5" t="inlineStr">
        <is>
          <t>E00904</t>
        </is>
      </c>
      <c r="B905" s="5" t="inlineStr">
        <is>
          <t>Female</t>
        </is>
      </c>
      <c r="C905" s="6" t="inlineStr">
        <is>
          <t>26</t>
        </is>
      </c>
      <c r="D905" s="5" t="inlineStr">
        <is>
          <t>Single</t>
        </is>
      </c>
      <c r="E905" s="5" t="inlineStr">
        <is>
          <t>Diploma</t>
        </is>
      </c>
      <c r="F905" s="5" t="inlineStr">
        <is>
          <t>Research &amp; Development</t>
        </is>
      </c>
      <c r="G905" s="5" t="inlineStr">
        <is>
          <t>Product Engineer</t>
        </is>
      </c>
      <c r="H905" s="5" t="inlineStr">
        <is>
          <t>1</t>
        </is>
      </c>
      <c r="I905" s="5" t="inlineStr">
        <is>
          <t>Delhi</t>
        </is>
      </c>
      <c r="J905" s="5" t="inlineStr">
        <is>
          <t>Contract</t>
        </is>
      </c>
      <c r="K905" s="7" t="n">
        <v>44405</v>
      </c>
      <c r="L905" s="7" t="inlineStr"/>
      <c r="M905" s="5" t="inlineStr">
        <is>
          <t>Yes</t>
        </is>
      </c>
      <c r="N905" s="5" t="inlineStr"/>
      <c r="O905" s="8" t="inlineStr">
        <is>
          <t>154500</t>
        </is>
      </c>
      <c r="P905" s="5" t="inlineStr">
        <is>
          <t>0</t>
        </is>
      </c>
      <c r="Q905" s="5" t="inlineStr">
        <is>
          <t>1</t>
        </is>
      </c>
      <c r="R905" s="5" t="inlineStr">
        <is>
          <t>3</t>
        </is>
      </c>
      <c r="S905" s="5" t="inlineStr">
        <is>
          <t>53</t>
        </is>
      </c>
      <c r="T905" s="5" t="inlineStr">
        <is>
          <t>12</t>
        </is>
      </c>
      <c r="U905" s="5">
        <f>IFS(C905&lt;30,"Under 30",C905&lt;40,"30-39",C905&lt;50,"40-49",TRUE,"50+")</f>
        <v/>
      </c>
      <c r="V905" s="5">
        <f>IFS(O905&lt;60000,"Low (&lt;60k)",O905&lt;100000,"Mid (60-100k)",TRUE,"High (100k+)")</f>
        <v/>
      </c>
      <c r="W905" s="5">
        <f>IF(M905="No","Attrited","Active")</f>
        <v/>
      </c>
    </row>
    <row r="906">
      <c r="A906" s="5" t="inlineStr">
        <is>
          <t>E00905</t>
        </is>
      </c>
      <c r="B906" s="5" t="inlineStr">
        <is>
          <t>Female</t>
        </is>
      </c>
      <c r="C906" s="6" t="inlineStr">
        <is>
          <t>30</t>
        </is>
      </c>
      <c r="D906" s="5" t="inlineStr">
        <is>
          <t>Divorced</t>
        </is>
      </c>
      <c r="E906" s="5" t="inlineStr">
        <is>
          <t>Bachelor</t>
        </is>
      </c>
      <c r="F906" s="5" t="inlineStr">
        <is>
          <t>Marketing</t>
        </is>
      </c>
      <c r="G906" s="5" t="inlineStr">
        <is>
          <t>Marketing Analyst</t>
        </is>
      </c>
      <c r="H906" s="5" t="inlineStr">
        <is>
          <t>1</t>
        </is>
      </c>
      <c r="I906" s="5" t="inlineStr">
        <is>
          <t>Delhi</t>
        </is>
      </c>
      <c r="J906" s="5" t="inlineStr">
        <is>
          <t>Full-Time</t>
        </is>
      </c>
      <c r="K906" s="7" t="n">
        <v>44521</v>
      </c>
      <c r="L906" s="7" t="inlineStr"/>
      <c r="M906" s="5" t="inlineStr">
        <is>
          <t>Yes</t>
        </is>
      </c>
      <c r="N906" s="5" t="inlineStr"/>
      <c r="O906" s="8" t="inlineStr">
        <is>
          <t>51000</t>
        </is>
      </c>
      <c r="P906" s="5" t="inlineStr">
        <is>
          <t>0</t>
        </is>
      </c>
      <c r="Q906" s="5" t="inlineStr">
        <is>
          <t>4</t>
        </is>
      </c>
      <c r="R906" s="5" t="inlineStr">
        <is>
          <t>6</t>
        </is>
      </c>
      <c r="S906" s="5" t="inlineStr">
        <is>
          <t>50</t>
        </is>
      </c>
      <c r="T906" s="5" t="inlineStr">
        <is>
          <t>0</t>
        </is>
      </c>
      <c r="U906" s="5">
        <f>IFS(C906&lt;30,"Under 30",C906&lt;40,"30-39",C906&lt;50,"40-49",TRUE,"50+")</f>
        <v/>
      </c>
      <c r="V906" s="5">
        <f>IFS(O906&lt;60000,"Low (&lt;60k)",O906&lt;100000,"Mid (60-100k)",TRUE,"High (100k+)")</f>
        <v/>
      </c>
      <c r="W906" s="5">
        <f>IF(M906="No","Attrited","Active")</f>
        <v/>
      </c>
    </row>
    <row r="907">
      <c r="A907" s="5" t="inlineStr">
        <is>
          <t>E00906</t>
        </is>
      </c>
      <c r="B907" s="5" t="inlineStr">
        <is>
          <t>Female</t>
        </is>
      </c>
      <c r="C907" s="6" t="inlineStr">
        <is>
          <t>30</t>
        </is>
      </c>
      <c r="D907" s="5" t="inlineStr">
        <is>
          <t>Married</t>
        </is>
      </c>
      <c r="E907" s="5" t="inlineStr">
        <is>
          <t>PhD</t>
        </is>
      </c>
      <c r="F907" s="5" t="inlineStr">
        <is>
          <t>Customer Support</t>
        </is>
      </c>
      <c r="G907" s="5" t="inlineStr">
        <is>
          <t>Support Lead</t>
        </is>
      </c>
      <c r="H907" s="5" t="inlineStr">
        <is>
          <t>3</t>
        </is>
      </c>
      <c r="I907" s="5" t="inlineStr">
        <is>
          <t>Delhi</t>
        </is>
      </c>
      <c r="J907" s="5" t="inlineStr">
        <is>
          <t>Full-Time</t>
        </is>
      </c>
      <c r="K907" s="7" t="n">
        <v>45710</v>
      </c>
      <c r="L907" s="7" t="n">
        <v>45800</v>
      </c>
      <c r="M907" s="5" t="inlineStr">
        <is>
          <t>No</t>
        </is>
      </c>
      <c r="N907" s="5" t="inlineStr">
        <is>
          <t>Performance / Termination</t>
        </is>
      </c>
      <c r="O907" s="8" t="inlineStr">
        <is>
          <t>63000</t>
        </is>
      </c>
      <c r="P907" s="5" t="inlineStr">
        <is>
          <t>0</t>
        </is>
      </c>
      <c r="Q907" s="5" t="inlineStr">
        <is>
          <t>5</t>
        </is>
      </c>
      <c r="R907" s="5" t="inlineStr">
        <is>
          <t>3</t>
        </is>
      </c>
      <c r="S907" s="5" t="inlineStr">
        <is>
          <t>3</t>
        </is>
      </c>
      <c r="T907" s="5" t="inlineStr">
        <is>
          <t>16</t>
        </is>
      </c>
      <c r="U907" s="5">
        <f>IFS(C907&lt;30,"Under 30",C907&lt;40,"30-39",C907&lt;50,"40-49",TRUE,"50+")</f>
        <v/>
      </c>
      <c r="V907" s="5">
        <f>IFS(O907&lt;60000,"Low (&lt;60k)",O907&lt;100000,"Mid (60-100k)",TRUE,"High (100k+)")</f>
        <v/>
      </c>
      <c r="W907" s="5">
        <f>IF(M907="No","Attrited","Active")</f>
        <v/>
      </c>
    </row>
    <row r="908">
      <c r="A908" s="5" t="inlineStr">
        <is>
          <t>E00907</t>
        </is>
      </c>
      <c r="B908" s="5" t="inlineStr">
        <is>
          <t>Female</t>
        </is>
      </c>
      <c r="C908" s="6" t="inlineStr">
        <is>
          <t>45</t>
        </is>
      </c>
      <c r="D908" s="5" t="inlineStr">
        <is>
          <t>Single</t>
        </is>
      </c>
      <c r="E908" s="5" t="inlineStr">
        <is>
          <t>PhD</t>
        </is>
      </c>
      <c r="F908" s="5" t="inlineStr">
        <is>
          <t>Operations</t>
        </is>
      </c>
      <c r="G908" s="5" t="inlineStr">
        <is>
          <t>Operations Analyst</t>
        </is>
      </c>
      <c r="H908" s="5" t="inlineStr">
        <is>
          <t>7</t>
        </is>
      </c>
      <c r="I908" s="5" t="inlineStr">
        <is>
          <t>Bengaluru</t>
        </is>
      </c>
      <c r="J908" s="5" t="inlineStr">
        <is>
          <t>Part-Time</t>
        </is>
      </c>
      <c r="K908" s="7" t="n">
        <v>44360</v>
      </c>
      <c r="L908" s="7" t="inlineStr"/>
      <c r="M908" s="5" t="inlineStr">
        <is>
          <t>Yes</t>
        </is>
      </c>
      <c r="N908" s="5" t="inlineStr"/>
      <c r="O908" s="8" t="inlineStr">
        <is>
          <t>145500</t>
        </is>
      </c>
      <c r="P908" s="5" t="inlineStr">
        <is>
          <t>5</t>
        </is>
      </c>
      <c r="Q908" s="5" t="inlineStr">
        <is>
          <t>4</t>
        </is>
      </c>
      <c r="R908" s="5" t="inlineStr">
        <is>
          <t>6</t>
        </is>
      </c>
      <c r="S908" s="5" t="inlineStr">
        <is>
          <t>55</t>
        </is>
      </c>
      <c r="T908" s="5" t="inlineStr">
        <is>
          <t>9</t>
        </is>
      </c>
      <c r="U908" s="5">
        <f>IFS(C908&lt;30,"Under 30",C908&lt;40,"30-39",C908&lt;50,"40-49",TRUE,"50+")</f>
        <v/>
      </c>
      <c r="V908" s="5">
        <f>IFS(O908&lt;60000,"Low (&lt;60k)",O908&lt;100000,"Mid (60-100k)",TRUE,"High (100k+)")</f>
        <v/>
      </c>
      <c r="W908" s="5">
        <f>IF(M908="No","Attrited","Active")</f>
        <v/>
      </c>
    </row>
    <row r="909">
      <c r="A909" s="5" t="inlineStr">
        <is>
          <t>E00908</t>
        </is>
      </c>
      <c r="B909" s="5" t="inlineStr">
        <is>
          <t>Male</t>
        </is>
      </c>
      <c r="C909" s="6" t="inlineStr">
        <is>
          <t>36</t>
        </is>
      </c>
      <c r="D909" s="5" t="inlineStr">
        <is>
          <t>Married</t>
        </is>
      </c>
      <c r="E909" s="5" t="inlineStr">
        <is>
          <t>High School</t>
        </is>
      </c>
      <c r="F909" s="5" t="inlineStr">
        <is>
          <t>Finance</t>
        </is>
      </c>
      <c r="G909" s="5" t="inlineStr">
        <is>
          <t>Accountant</t>
        </is>
      </c>
      <c r="H909" s="5" t="inlineStr">
        <is>
          <t>7</t>
        </is>
      </c>
      <c r="I909" s="5" t="inlineStr">
        <is>
          <t>Chennai</t>
        </is>
      </c>
      <c r="J909" s="5" t="inlineStr">
        <is>
          <t>Full-Time</t>
        </is>
      </c>
      <c r="K909" s="7" t="n">
        <v>44934</v>
      </c>
      <c r="L909" s="7" t="inlineStr"/>
      <c r="M909" s="5" t="inlineStr">
        <is>
          <t>Yes</t>
        </is>
      </c>
      <c r="N909" s="5" t="inlineStr"/>
      <c r="O909" s="8" t="inlineStr">
        <is>
          <t>161000</t>
        </is>
      </c>
      <c r="P909" s="5" t="inlineStr">
        <is>
          <t>15</t>
        </is>
      </c>
      <c r="Q909" s="5" t="inlineStr">
        <is>
          <t>4</t>
        </is>
      </c>
      <c r="R909" s="5" t="inlineStr">
        <is>
          <t>6</t>
        </is>
      </c>
      <c r="S909" s="5" t="inlineStr">
        <is>
          <t>36</t>
        </is>
      </c>
      <c r="T909" s="5" t="inlineStr">
        <is>
          <t>5</t>
        </is>
      </c>
      <c r="U909" s="5">
        <f>IFS(C909&lt;30,"Under 30",C909&lt;40,"30-39",C909&lt;50,"40-49",TRUE,"50+")</f>
        <v/>
      </c>
      <c r="V909" s="5">
        <f>IFS(O909&lt;60000,"Low (&lt;60k)",O909&lt;100000,"Mid (60-100k)",TRUE,"High (100k+)")</f>
        <v/>
      </c>
      <c r="W909" s="5">
        <f>IF(M909="No","Attrited","Active")</f>
        <v/>
      </c>
    </row>
    <row r="910">
      <c r="A910" s="5" t="inlineStr">
        <is>
          <t>E00909</t>
        </is>
      </c>
      <c r="B910" s="5" t="inlineStr">
        <is>
          <t>Female</t>
        </is>
      </c>
      <c r="C910" s="6" t="inlineStr">
        <is>
          <t>36</t>
        </is>
      </c>
      <c r="D910" s="5" t="inlineStr">
        <is>
          <t>Single</t>
        </is>
      </c>
      <c r="E910" s="5" t="inlineStr">
        <is>
          <t>High School</t>
        </is>
      </c>
      <c r="F910" s="5" t="inlineStr">
        <is>
          <t>Customer Support</t>
        </is>
      </c>
      <c r="G910" s="5" t="inlineStr">
        <is>
          <t>Support Agent</t>
        </is>
      </c>
      <c r="H910" s="5" t="inlineStr">
        <is>
          <t>3</t>
        </is>
      </c>
      <c r="I910" s="5" t="inlineStr">
        <is>
          <t>Delhi</t>
        </is>
      </c>
      <c r="J910" s="5" t="inlineStr">
        <is>
          <t>Part-Time</t>
        </is>
      </c>
      <c r="K910" s="7" t="n">
        <v>45237</v>
      </c>
      <c r="L910" s="7" t="inlineStr"/>
      <c r="M910" s="5" t="inlineStr">
        <is>
          <t>Yes</t>
        </is>
      </c>
      <c r="N910" s="5" t="inlineStr"/>
      <c r="O910" s="8" t="inlineStr">
        <is>
          <t>77000</t>
        </is>
      </c>
      <c r="P910" s="5" t="inlineStr">
        <is>
          <t>5</t>
        </is>
      </c>
      <c r="Q910" s="5" t="inlineStr">
        <is>
          <t>3</t>
        </is>
      </c>
      <c r="R910" s="5" t="inlineStr">
        <is>
          <t>9</t>
        </is>
      </c>
      <c r="S910" s="5" t="inlineStr">
        <is>
          <t>26</t>
        </is>
      </c>
      <c r="T910" s="5" t="inlineStr">
        <is>
          <t>7</t>
        </is>
      </c>
      <c r="U910" s="5">
        <f>IFS(C910&lt;30,"Under 30",C910&lt;40,"30-39",C910&lt;50,"40-49",TRUE,"50+")</f>
        <v/>
      </c>
      <c r="V910" s="5">
        <f>IFS(O910&lt;60000,"Low (&lt;60k)",O910&lt;100000,"Mid (60-100k)",TRUE,"High (100k+)")</f>
        <v/>
      </c>
      <c r="W910" s="5">
        <f>IF(M910="No","Attrited","Active")</f>
        <v/>
      </c>
    </row>
    <row r="911">
      <c r="A911" s="5" t="inlineStr">
        <is>
          <t>E00910</t>
        </is>
      </c>
      <c r="B911" s="5" t="inlineStr">
        <is>
          <t>Male</t>
        </is>
      </c>
      <c r="C911" s="6" t="inlineStr">
        <is>
          <t>43</t>
        </is>
      </c>
      <c r="D911" s="5" t="inlineStr">
        <is>
          <t>Single</t>
        </is>
      </c>
      <c r="E911" s="5" t="inlineStr">
        <is>
          <t>Master</t>
        </is>
      </c>
      <c r="F911" s="5" t="inlineStr">
        <is>
          <t>Sales</t>
        </is>
      </c>
      <c r="G911" s="5" t="inlineStr">
        <is>
          <t>Business Development</t>
        </is>
      </c>
      <c r="H911" s="5" t="inlineStr">
        <is>
          <t>6</t>
        </is>
      </c>
      <c r="I911" s="5" t="inlineStr">
        <is>
          <t>Delhi</t>
        </is>
      </c>
      <c r="J911" s="5" t="inlineStr">
        <is>
          <t>Full-Time</t>
        </is>
      </c>
      <c r="K911" s="7" t="n">
        <v>45195</v>
      </c>
      <c r="L911" s="7" t="inlineStr"/>
      <c r="M911" s="5" t="inlineStr">
        <is>
          <t>Yes</t>
        </is>
      </c>
      <c r="N911" s="5" t="inlineStr"/>
      <c r="O911" s="8" t="inlineStr">
        <is>
          <t>160500</t>
        </is>
      </c>
      <c r="P911" s="5" t="inlineStr">
        <is>
          <t>5</t>
        </is>
      </c>
      <c r="Q911" s="5" t="inlineStr">
        <is>
          <t>4</t>
        </is>
      </c>
      <c r="R911" s="5" t="inlineStr">
        <is>
          <t>7</t>
        </is>
      </c>
      <c r="S911" s="5" t="inlineStr">
        <is>
          <t>27</t>
        </is>
      </c>
      <c r="T911" s="5" t="inlineStr">
        <is>
          <t>0</t>
        </is>
      </c>
      <c r="U911" s="5">
        <f>IFS(C911&lt;30,"Under 30",C911&lt;40,"30-39",C911&lt;50,"40-49",TRUE,"50+")</f>
        <v/>
      </c>
      <c r="V911" s="5">
        <f>IFS(O911&lt;60000,"Low (&lt;60k)",O911&lt;100000,"Mid (60-100k)",TRUE,"High (100k+)")</f>
        <v/>
      </c>
      <c r="W911" s="5">
        <f>IF(M911="No","Attrited","Active")</f>
        <v/>
      </c>
    </row>
    <row r="912">
      <c r="A912" s="5" t="inlineStr">
        <is>
          <t>E00911</t>
        </is>
      </c>
      <c r="B912" s="5" t="inlineStr">
        <is>
          <t>Male</t>
        </is>
      </c>
      <c r="C912" s="6" t="inlineStr">
        <is>
          <t>30</t>
        </is>
      </c>
      <c r="D912" s="5" t="inlineStr">
        <is>
          <t>Married</t>
        </is>
      </c>
      <c r="E912" s="5" t="inlineStr">
        <is>
          <t>Bachelor</t>
        </is>
      </c>
      <c r="F912" s="5" t="inlineStr">
        <is>
          <t>Research &amp; Development</t>
        </is>
      </c>
      <c r="G912" s="5" t="inlineStr">
        <is>
          <t>Data Scientist</t>
        </is>
      </c>
      <c r="H912" s="5" t="inlineStr">
        <is>
          <t>3</t>
        </is>
      </c>
      <c r="I912" s="5" t="inlineStr">
        <is>
          <t>Hyderabad</t>
        </is>
      </c>
      <c r="J912" s="5" t="inlineStr">
        <is>
          <t>Full-Time</t>
        </is>
      </c>
      <c r="K912" s="7" t="n">
        <v>45110</v>
      </c>
      <c r="L912" s="7" t="n">
        <v>45172</v>
      </c>
      <c r="M912" s="5" t="inlineStr">
        <is>
          <t>No</t>
        </is>
      </c>
      <c r="N912" s="5" t="inlineStr">
        <is>
          <t>Retirement</t>
        </is>
      </c>
      <c r="O912" s="8" t="inlineStr">
        <is>
          <t>179000</t>
        </is>
      </c>
      <c r="P912" s="5" t="inlineStr">
        <is>
          <t>0</t>
        </is>
      </c>
      <c r="Q912" s="5" t="inlineStr">
        <is>
          <t>3</t>
        </is>
      </c>
      <c r="R912" s="5" t="inlineStr">
        <is>
          <t>5</t>
        </is>
      </c>
      <c r="S912" s="5" t="inlineStr">
        <is>
          <t>2</t>
        </is>
      </c>
      <c r="T912" s="5" t="inlineStr">
        <is>
          <t>8</t>
        </is>
      </c>
      <c r="U912" s="5">
        <f>IFS(C912&lt;30,"Under 30",C912&lt;40,"30-39",C912&lt;50,"40-49",TRUE,"50+")</f>
        <v/>
      </c>
      <c r="V912" s="5">
        <f>IFS(O912&lt;60000,"Low (&lt;60k)",O912&lt;100000,"Mid (60-100k)",TRUE,"High (100k+)")</f>
        <v/>
      </c>
      <c r="W912" s="5">
        <f>IF(M912="No","Attrited","Active")</f>
        <v/>
      </c>
    </row>
    <row r="913">
      <c r="A913" s="5" t="inlineStr">
        <is>
          <t>E00912</t>
        </is>
      </c>
      <c r="B913" s="5" t="inlineStr">
        <is>
          <t>Female</t>
        </is>
      </c>
      <c r="C913" s="6" t="inlineStr">
        <is>
          <t>27</t>
        </is>
      </c>
      <c r="D913" s="5" t="inlineStr">
        <is>
          <t>Married</t>
        </is>
      </c>
      <c r="E913" s="5" t="inlineStr">
        <is>
          <t>Bachelor</t>
        </is>
      </c>
      <c r="F913" s="5" t="inlineStr">
        <is>
          <t>Customer Support</t>
        </is>
      </c>
      <c r="G913" s="5" t="inlineStr">
        <is>
          <t>Escalation Specialist</t>
        </is>
      </c>
      <c r="H913" s="5" t="inlineStr">
        <is>
          <t>3</t>
        </is>
      </c>
      <c r="I913" s="5" t="inlineStr">
        <is>
          <t>Hyderabad</t>
        </is>
      </c>
      <c r="J913" s="5" t="inlineStr">
        <is>
          <t>Full-Time</t>
        </is>
      </c>
      <c r="K913" s="7" t="n">
        <v>44937</v>
      </c>
      <c r="L913" s="7" t="n">
        <v>45000</v>
      </c>
      <c r="M913" s="5" t="inlineStr">
        <is>
          <t>No</t>
        </is>
      </c>
      <c r="N913" s="5" t="inlineStr">
        <is>
          <t>Relocation</t>
        </is>
      </c>
      <c r="O913" s="8" t="inlineStr">
        <is>
          <t>79000</t>
        </is>
      </c>
      <c r="P913" s="5" t="inlineStr">
        <is>
          <t>0</t>
        </is>
      </c>
      <c r="Q913" s="5" t="inlineStr">
        <is>
          <t>3</t>
        </is>
      </c>
      <c r="R913" s="5" t="inlineStr">
        <is>
          <t>8</t>
        </is>
      </c>
      <c r="S913" s="5" t="inlineStr">
        <is>
          <t>2</t>
        </is>
      </c>
      <c r="T913" s="5" t="inlineStr">
        <is>
          <t>6</t>
        </is>
      </c>
      <c r="U913" s="5">
        <f>IFS(C913&lt;30,"Under 30",C913&lt;40,"30-39",C913&lt;50,"40-49",TRUE,"50+")</f>
        <v/>
      </c>
      <c r="V913" s="5">
        <f>IFS(O913&lt;60000,"Low (&lt;60k)",O913&lt;100000,"Mid (60-100k)",TRUE,"High (100k+)")</f>
        <v/>
      </c>
      <c r="W913" s="5">
        <f>IF(M913="No","Attrited","Active")</f>
        <v/>
      </c>
    </row>
    <row r="914">
      <c r="A914" s="5" t="inlineStr">
        <is>
          <t>E00913</t>
        </is>
      </c>
      <c r="B914" s="5" t="inlineStr">
        <is>
          <t>Female</t>
        </is>
      </c>
      <c r="C914" s="6" t="inlineStr">
        <is>
          <t>30</t>
        </is>
      </c>
      <c r="D914" s="5" t="inlineStr">
        <is>
          <t>Married</t>
        </is>
      </c>
      <c r="E914" s="5" t="inlineStr">
        <is>
          <t>High School</t>
        </is>
      </c>
      <c r="F914" s="5" t="inlineStr">
        <is>
          <t>IT</t>
        </is>
      </c>
      <c r="G914" s="5" t="inlineStr">
        <is>
          <t>Data Analyst</t>
        </is>
      </c>
      <c r="H914" s="5" t="inlineStr">
        <is>
          <t>2</t>
        </is>
      </c>
      <c r="I914" s="5" t="inlineStr">
        <is>
          <t>Hyderabad</t>
        </is>
      </c>
      <c r="J914" s="5" t="inlineStr">
        <is>
          <t>Full-Time</t>
        </is>
      </c>
      <c r="K914" s="7" t="n">
        <v>45078</v>
      </c>
      <c r="L914" s="7" t="inlineStr"/>
      <c r="M914" s="5" t="inlineStr">
        <is>
          <t>Yes</t>
        </is>
      </c>
      <c r="N914" s="5" t="inlineStr"/>
      <c r="O914" s="8" t="inlineStr">
        <is>
          <t>136500</t>
        </is>
      </c>
      <c r="P914" s="5" t="inlineStr">
        <is>
          <t>10</t>
        </is>
      </c>
      <c r="Q914" s="5" t="inlineStr">
        <is>
          <t>4</t>
        </is>
      </c>
      <c r="R914" s="5" t="inlineStr">
        <is>
          <t>7</t>
        </is>
      </c>
      <c r="S914" s="5" t="inlineStr">
        <is>
          <t>31</t>
        </is>
      </c>
      <c r="T914" s="5" t="inlineStr">
        <is>
          <t>12</t>
        </is>
      </c>
      <c r="U914" s="5">
        <f>IFS(C914&lt;30,"Under 30",C914&lt;40,"30-39",C914&lt;50,"40-49",TRUE,"50+")</f>
        <v/>
      </c>
      <c r="V914" s="5">
        <f>IFS(O914&lt;60000,"Low (&lt;60k)",O914&lt;100000,"Mid (60-100k)",TRUE,"High (100k+)")</f>
        <v/>
      </c>
      <c r="W914" s="5">
        <f>IF(M914="No","Attrited","Active")</f>
        <v/>
      </c>
    </row>
    <row r="915">
      <c r="A915" s="5" t="inlineStr">
        <is>
          <t>E00914</t>
        </is>
      </c>
      <c r="B915" s="5" t="inlineStr">
        <is>
          <t>Male</t>
        </is>
      </c>
      <c r="C915" s="6" t="inlineStr">
        <is>
          <t>32</t>
        </is>
      </c>
      <c r="D915" s="5" t="inlineStr">
        <is>
          <t>Divorced</t>
        </is>
      </c>
      <c r="E915" s="5" t="inlineStr">
        <is>
          <t>Diploma</t>
        </is>
      </c>
      <c r="F915" s="5" t="inlineStr">
        <is>
          <t>Research &amp; Development</t>
        </is>
      </c>
      <c r="G915" s="5" t="inlineStr">
        <is>
          <t>Data Scientist</t>
        </is>
      </c>
      <c r="H915" s="5" t="inlineStr">
        <is>
          <t>2</t>
        </is>
      </c>
      <c r="I915" s="5" t="inlineStr">
        <is>
          <t>Hyderabad</t>
        </is>
      </c>
      <c r="J915" s="5" t="inlineStr">
        <is>
          <t>Contract</t>
        </is>
      </c>
      <c r="K915" s="7" t="n">
        <v>45520</v>
      </c>
      <c r="L915" s="7" t="n">
        <v>45624</v>
      </c>
      <c r="M915" s="5" t="inlineStr">
        <is>
          <t>No</t>
        </is>
      </c>
      <c r="N915" s="5" t="inlineStr">
        <is>
          <t>Retirement</t>
        </is>
      </c>
      <c r="O915" s="8" t="inlineStr">
        <is>
          <t>164000</t>
        </is>
      </c>
      <c r="P915" s="5" t="inlineStr">
        <is>
          <t>5</t>
        </is>
      </c>
      <c r="Q915" s="5" t="inlineStr">
        <is>
          <t>4</t>
        </is>
      </c>
      <c r="R915" s="5" t="inlineStr">
        <is>
          <t>6</t>
        </is>
      </c>
      <c r="S915" s="5" t="inlineStr">
        <is>
          <t>3</t>
        </is>
      </c>
      <c r="T915" s="5" t="inlineStr">
        <is>
          <t>6</t>
        </is>
      </c>
      <c r="U915" s="5">
        <f>IFS(C915&lt;30,"Under 30",C915&lt;40,"30-39",C915&lt;50,"40-49",TRUE,"50+")</f>
        <v/>
      </c>
      <c r="V915" s="5">
        <f>IFS(O915&lt;60000,"Low (&lt;60k)",O915&lt;100000,"Mid (60-100k)",TRUE,"High (100k+)")</f>
        <v/>
      </c>
      <c r="W915" s="5">
        <f>IF(M915="No","Attrited","Active")</f>
        <v/>
      </c>
    </row>
    <row r="916">
      <c r="A916" s="5" t="inlineStr">
        <is>
          <t>E00915</t>
        </is>
      </c>
      <c r="B916" s="5" t="inlineStr">
        <is>
          <t>Female</t>
        </is>
      </c>
      <c r="C916" s="6" t="inlineStr">
        <is>
          <t>32</t>
        </is>
      </c>
      <c r="D916" s="5" t="inlineStr">
        <is>
          <t>Married</t>
        </is>
      </c>
      <c r="E916" s="5" t="inlineStr">
        <is>
          <t>PhD</t>
        </is>
      </c>
      <c r="F916" s="5" t="inlineStr">
        <is>
          <t>Operations</t>
        </is>
      </c>
      <c r="G916" s="5" t="inlineStr">
        <is>
          <t>Operations Analyst</t>
        </is>
      </c>
      <c r="H916" s="5" t="inlineStr">
        <is>
          <t>1</t>
        </is>
      </c>
      <c r="I916" s="5" t="inlineStr">
        <is>
          <t>Hyderabad</t>
        </is>
      </c>
      <c r="J916" s="5" t="inlineStr">
        <is>
          <t>Full-Time</t>
        </is>
      </c>
      <c r="K916" s="7" t="n">
        <v>44431</v>
      </c>
      <c r="L916" s="7" t="n">
        <v>44473</v>
      </c>
      <c r="M916" s="5" t="inlineStr">
        <is>
          <t>No</t>
        </is>
      </c>
      <c r="N916" s="5" t="inlineStr">
        <is>
          <t>Resigned</t>
        </is>
      </c>
      <c r="O916" s="8" t="inlineStr">
        <is>
          <t>63000</t>
        </is>
      </c>
      <c r="P916" s="5" t="inlineStr">
        <is>
          <t>15</t>
        </is>
      </c>
      <c r="Q916" s="5" t="inlineStr">
        <is>
          <t>3</t>
        </is>
      </c>
      <c r="R916" s="5" t="inlineStr">
        <is>
          <t>9</t>
        </is>
      </c>
      <c r="S916" s="5" t="inlineStr">
        <is>
          <t>1</t>
        </is>
      </c>
      <c r="T916" s="5" t="inlineStr">
        <is>
          <t>7</t>
        </is>
      </c>
      <c r="U916" s="5">
        <f>IFS(C916&lt;30,"Under 30",C916&lt;40,"30-39",C916&lt;50,"40-49",TRUE,"50+")</f>
        <v/>
      </c>
      <c r="V916" s="5">
        <f>IFS(O916&lt;60000,"Low (&lt;60k)",O916&lt;100000,"Mid (60-100k)",TRUE,"High (100k+)")</f>
        <v/>
      </c>
      <c r="W916" s="5">
        <f>IF(M916="No","Attrited","Active")</f>
        <v/>
      </c>
    </row>
    <row r="917">
      <c r="A917" s="5" t="inlineStr">
        <is>
          <t>E00916</t>
        </is>
      </c>
      <c r="B917" s="5" t="inlineStr">
        <is>
          <t>Female</t>
        </is>
      </c>
      <c r="C917" s="6" t="inlineStr">
        <is>
          <t>41</t>
        </is>
      </c>
      <c r="D917" s="5" t="inlineStr">
        <is>
          <t>Married</t>
        </is>
      </c>
      <c r="E917" s="5" t="inlineStr">
        <is>
          <t>Master</t>
        </is>
      </c>
      <c r="F917" s="5" t="inlineStr">
        <is>
          <t>Research &amp; Development</t>
        </is>
      </c>
      <c r="G917" s="5" t="inlineStr">
        <is>
          <t>Product Engineer</t>
        </is>
      </c>
      <c r="H917" s="5" t="inlineStr">
        <is>
          <t>5</t>
        </is>
      </c>
      <c r="I917" s="5" t="inlineStr">
        <is>
          <t>Delhi</t>
        </is>
      </c>
      <c r="J917" s="5" t="inlineStr">
        <is>
          <t>Full-Time</t>
        </is>
      </c>
      <c r="K917" s="7" t="n">
        <v>44850</v>
      </c>
      <c r="L917" s="7" t="inlineStr"/>
      <c r="M917" s="5" t="inlineStr">
        <is>
          <t>Yes</t>
        </is>
      </c>
      <c r="N917" s="5" t="inlineStr"/>
      <c r="O917" s="8" t="inlineStr">
        <is>
          <t>168500</t>
        </is>
      </c>
      <c r="P917" s="5" t="inlineStr">
        <is>
          <t>10</t>
        </is>
      </c>
      <c r="Q917" s="5" t="inlineStr">
        <is>
          <t>4</t>
        </is>
      </c>
      <c r="R917" s="5" t="inlineStr">
        <is>
          <t>5</t>
        </is>
      </c>
      <c r="S917" s="5" t="inlineStr">
        <is>
          <t>39</t>
        </is>
      </c>
      <c r="T917" s="5" t="inlineStr">
        <is>
          <t>9</t>
        </is>
      </c>
      <c r="U917" s="5">
        <f>IFS(C917&lt;30,"Under 30",C917&lt;40,"30-39",C917&lt;50,"40-49",TRUE,"50+")</f>
        <v/>
      </c>
      <c r="V917" s="5">
        <f>IFS(O917&lt;60000,"Low (&lt;60k)",O917&lt;100000,"Mid (60-100k)",TRUE,"High (100k+)")</f>
        <v/>
      </c>
      <c r="W917" s="5">
        <f>IF(M917="No","Attrited","Active")</f>
        <v/>
      </c>
    </row>
    <row r="918">
      <c r="A918" s="5" t="inlineStr">
        <is>
          <t>E00917</t>
        </is>
      </c>
      <c r="B918" s="5" t="inlineStr">
        <is>
          <t>Female</t>
        </is>
      </c>
      <c r="C918" s="6" t="inlineStr">
        <is>
          <t>33</t>
        </is>
      </c>
      <c r="D918" s="5" t="inlineStr">
        <is>
          <t>Married</t>
        </is>
      </c>
      <c r="E918" s="5" t="inlineStr">
        <is>
          <t>High School</t>
        </is>
      </c>
      <c r="F918" s="5" t="inlineStr">
        <is>
          <t>Research &amp; Development</t>
        </is>
      </c>
      <c r="G918" s="5" t="inlineStr">
        <is>
          <t>Research Scientist</t>
        </is>
      </c>
      <c r="H918" s="5" t="inlineStr">
        <is>
          <t>3</t>
        </is>
      </c>
      <c r="I918" s="5" t="inlineStr">
        <is>
          <t>Delhi</t>
        </is>
      </c>
      <c r="J918" s="5" t="inlineStr">
        <is>
          <t>Full-Time</t>
        </is>
      </c>
      <c r="K918" s="7" t="n">
        <v>45843</v>
      </c>
      <c r="L918" s="7" t="inlineStr"/>
      <c r="M918" s="5" t="inlineStr">
        <is>
          <t>Yes</t>
        </is>
      </c>
      <c r="N918" s="5" t="inlineStr"/>
      <c r="O918" s="8" t="inlineStr">
        <is>
          <t>134000</t>
        </is>
      </c>
      <c r="P918" s="5" t="inlineStr">
        <is>
          <t>0</t>
        </is>
      </c>
      <c r="Q918" s="5" t="inlineStr">
        <is>
          <t>4</t>
        </is>
      </c>
      <c r="R918" s="5" t="inlineStr">
        <is>
          <t>9</t>
        </is>
      </c>
      <c r="S918" s="5" t="inlineStr">
        <is>
          <t>5</t>
        </is>
      </c>
      <c r="T918" s="5" t="inlineStr">
        <is>
          <t>1</t>
        </is>
      </c>
      <c r="U918" s="5">
        <f>IFS(C918&lt;30,"Under 30",C918&lt;40,"30-39",C918&lt;50,"40-49",TRUE,"50+")</f>
        <v/>
      </c>
      <c r="V918" s="5">
        <f>IFS(O918&lt;60000,"Low (&lt;60k)",O918&lt;100000,"Mid (60-100k)",TRUE,"High (100k+)")</f>
        <v/>
      </c>
      <c r="W918" s="5">
        <f>IF(M918="No","Attrited","Active")</f>
        <v/>
      </c>
    </row>
    <row r="919">
      <c r="A919" s="5" t="inlineStr">
        <is>
          <t>E00918</t>
        </is>
      </c>
      <c r="B919" s="5" t="inlineStr">
        <is>
          <t>Male</t>
        </is>
      </c>
      <c r="C919" s="6" t="inlineStr">
        <is>
          <t>35</t>
        </is>
      </c>
      <c r="D919" s="5" t="inlineStr">
        <is>
          <t>Married</t>
        </is>
      </c>
      <c r="E919" s="5" t="inlineStr">
        <is>
          <t>High School</t>
        </is>
      </c>
      <c r="F919" s="5" t="inlineStr">
        <is>
          <t>Human Resources</t>
        </is>
      </c>
      <c r="G919" s="5" t="inlineStr">
        <is>
          <t>Recruiter</t>
        </is>
      </c>
      <c r="H919" s="5" t="inlineStr">
        <is>
          <t>4</t>
        </is>
      </c>
      <c r="I919" s="5" t="inlineStr">
        <is>
          <t>Delhi</t>
        </is>
      </c>
      <c r="J919" s="5" t="inlineStr">
        <is>
          <t>Full-Time</t>
        </is>
      </c>
      <c r="K919" s="7" t="n">
        <v>45594</v>
      </c>
      <c r="L919" s="7" t="inlineStr"/>
      <c r="M919" s="5" t="inlineStr">
        <is>
          <t>Yes</t>
        </is>
      </c>
      <c r="N919" s="5" t="inlineStr"/>
      <c r="O919" s="8" t="inlineStr">
        <is>
          <t>106500</t>
        </is>
      </c>
      <c r="P919" s="5" t="inlineStr">
        <is>
          <t>5</t>
        </is>
      </c>
      <c r="Q919" s="5" t="inlineStr">
        <is>
          <t>5</t>
        </is>
      </c>
      <c r="R919" s="5" t="inlineStr">
        <is>
          <t>6</t>
        </is>
      </c>
      <c r="S919" s="5" t="inlineStr">
        <is>
          <t>14</t>
        </is>
      </c>
      <c r="T919" s="5" t="inlineStr">
        <is>
          <t>13</t>
        </is>
      </c>
      <c r="U919" s="5">
        <f>IFS(C919&lt;30,"Under 30",C919&lt;40,"30-39",C919&lt;50,"40-49",TRUE,"50+")</f>
        <v/>
      </c>
      <c r="V919" s="5">
        <f>IFS(O919&lt;60000,"Low (&lt;60k)",O919&lt;100000,"Mid (60-100k)",TRUE,"High (100k+)")</f>
        <v/>
      </c>
      <c r="W919" s="5">
        <f>IF(M919="No","Attrited","Active")</f>
        <v/>
      </c>
    </row>
    <row r="920">
      <c r="A920" s="5" t="inlineStr">
        <is>
          <t>E00919</t>
        </is>
      </c>
      <c r="B920" s="5" t="inlineStr">
        <is>
          <t>Male</t>
        </is>
      </c>
      <c r="C920" s="6" t="inlineStr">
        <is>
          <t>29</t>
        </is>
      </c>
      <c r="D920" s="5" t="inlineStr">
        <is>
          <t>Single</t>
        </is>
      </c>
      <c r="E920" s="5" t="inlineStr">
        <is>
          <t>High School</t>
        </is>
      </c>
      <c r="F920" s="5" t="inlineStr">
        <is>
          <t>Research &amp; Development</t>
        </is>
      </c>
      <c r="G920" s="5" t="inlineStr">
        <is>
          <t>Research Scientist</t>
        </is>
      </c>
      <c r="H920" s="5" t="inlineStr">
        <is>
          <t>2</t>
        </is>
      </c>
      <c r="I920" s="5" t="inlineStr">
        <is>
          <t>Mumbai</t>
        </is>
      </c>
      <c r="J920" s="5" t="inlineStr">
        <is>
          <t>Contract</t>
        </is>
      </c>
      <c r="K920" s="7" t="n">
        <v>43836</v>
      </c>
      <c r="L920" s="7" t="inlineStr"/>
      <c r="M920" s="5" t="inlineStr">
        <is>
          <t>Yes</t>
        </is>
      </c>
      <c r="N920" s="5" t="inlineStr"/>
      <c r="O920" s="8" t="inlineStr">
        <is>
          <t>150000</t>
        </is>
      </c>
      <c r="P920" s="5" t="inlineStr">
        <is>
          <t>0</t>
        </is>
      </c>
      <c r="Q920" s="5" t="inlineStr">
        <is>
          <t>4</t>
        </is>
      </c>
      <c r="R920" s="5" t="inlineStr">
        <is>
          <t>3</t>
        </is>
      </c>
      <c r="S920" s="5" t="inlineStr">
        <is>
          <t>72</t>
        </is>
      </c>
      <c r="T920" s="5" t="inlineStr">
        <is>
          <t>14</t>
        </is>
      </c>
      <c r="U920" s="5">
        <f>IFS(C920&lt;30,"Under 30",C920&lt;40,"30-39",C920&lt;50,"40-49",TRUE,"50+")</f>
        <v/>
      </c>
      <c r="V920" s="5">
        <f>IFS(O920&lt;60000,"Low (&lt;60k)",O920&lt;100000,"Mid (60-100k)",TRUE,"High (100k+)")</f>
        <v/>
      </c>
      <c r="W920" s="5">
        <f>IF(M920="No","Attrited","Active")</f>
        <v/>
      </c>
    </row>
    <row r="921">
      <c r="A921" s="5" t="inlineStr">
        <is>
          <t>E00920</t>
        </is>
      </c>
      <c r="B921" s="5" t="inlineStr">
        <is>
          <t>Female</t>
        </is>
      </c>
      <c r="C921" s="6" t="inlineStr">
        <is>
          <t>27</t>
        </is>
      </c>
      <c r="D921" s="5" t="inlineStr">
        <is>
          <t>Married</t>
        </is>
      </c>
      <c r="E921" s="5" t="inlineStr">
        <is>
          <t>Master</t>
        </is>
      </c>
      <c r="F921" s="5" t="inlineStr">
        <is>
          <t>IT</t>
        </is>
      </c>
      <c r="G921" s="5" t="inlineStr">
        <is>
          <t>Software Engineer</t>
        </is>
      </c>
      <c r="H921" s="5" t="inlineStr">
        <is>
          <t>3</t>
        </is>
      </c>
      <c r="I921" s="5" t="inlineStr">
        <is>
          <t>Hyderabad</t>
        </is>
      </c>
      <c r="J921" s="5" t="inlineStr">
        <is>
          <t>Full-Time</t>
        </is>
      </c>
      <c r="K921" s="7" t="n">
        <v>45878</v>
      </c>
      <c r="L921" s="7" t="n">
        <v>45935</v>
      </c>
      <c r="M921" s="5" t="inlineStr">
        <is>
          <t>No</t>
        </is>
      </c>
      <c r="N921" s="5" t="inlineStr">
        <is>
          <t>Relocation</t>
        </is>
      </c>
      <c r="O921" s="8" t="inlineStr">
        <is>
          <t>183000</t>
        </is>
      </c>
      <c r="P921" s="5" t="inlineStr">
        <is>
          <t>10</t>
        </is>
      </c>
      <c r="Q921" s="5" t="inlineStr">
        <is>
          <t>4</t>
        </is>
      </c>
      <c r="R921" s="5" t="inlineStr">
        <is>
          <t>6</t>
        </is>
      </c>
      <c r="S921" s="5" t="inlineStr">
        <is>
          <t>1</t>
        </is>
      </c>
      <c r="T921" s="5" t="inlineStr">
        <is>
          <t>10</t>
        </is>
      </c>
      <c r="U921" s="5">
        <f>IFS(C921&lt;30,"Under 30",C921&lt;40,"30-39",C921&lt;50,"40-49",TRUE,"50+")</f>
        <v/>
      </c>
      <c r="V921" s="5">
        <f>IFS(O921&lt;60000,"Low (&lt;60k)",O921&lt;100000,"Mid (60-100k)",TRUE,"High (100k+)")</f>
        <v/>
      </c>
      <c r="W921" s="5">
        <f>IF(M921="No","Attrited","Active")</f>
        <v/>
      </c>
    </row>
    <row r="922">
      <c r="A922" s="5" t="inlineStr">
        <is>
          <t>E00921</t>
        </is>
      </c>
      <c r="B922" s="5" t="inlineStr">
        <is>
          <t>Male</t>
        </is>
      </c>
      <c r="C922" s="6" t="inlineStr">
        <is>
          <t>35</t>
        </is>
      </c>
      <c r="D922" s="5" t="inlineStr">
        <is>
          <t>Married</t>
        </is>
      </c>
      <c r="E922" s="5" t="inlineStr">
        <is>
          <t>Master</t>
        </is>
      </c>
      <c r="F922" s="5" t="inlineStr">
        <is>
          <t>Finance</t>
        </is>
      </c>
      <c r="G922" s="5" t="inlineStr">
        <is>
          <t>Accountant</t>
        </is>
      </c>
      <c r="H922" s="5" t="inlineStr">
        <is>
          <t>5</t>
        </is>
      </c>
      <c r="I922" s="5" t="inlineStr">
        <is>
          <t>Bengaluru</t>
        </is>
      </c>
      <c r="J922" s="5" t="inlineStr">
        <is>
          <t>Full-Time</t>
        </is>
      </c>
      <c r="K922" s="7" t="n">
        <v>45074</v>
      </c>
      <c r="L922" s="7" t="n">
        <v>45188</v>
      </c>
      <c r="M922" s="5" t="inlineStr">
        <is>
          <t>No</t>
        </is>
      </c>
      <c r="N922" s="5" t="inlineStr">
        <is>
          <t>Relocation</t>
        </is>
      </c>
      <c r="O922" s="8" t="inlineStr">
        <is>
          <t>180500</t>
        </is>
      </c>
      <c r="P922" s="5" t="inlineStr">
        <is>
          <t>5</t>
        </is>
      </c>
      <c r="Q922" s="5" t="inlineStr">
        <is>
          <t>5</t>
        </is>
      </c>
      <c r="R922" s="5" t="inlineStr">
        <is>
          <t>5</t>
        </is>
      </c>
      <c r="S922" s="5" t="inlineStr">
        <is>
          <t>3</t>
        </is>
      </c>
      <c r="T922" s="5" t="inlineStr">
        <is>
          <t>7</t>
        </is>
      </c>
      <c r="U922" s="5">
        <f>IFS(C922&lt;30,"Under 30",C922&lt;40,"30-39",C922&lt;50,"40-49",TRUE,"50+")</f>
        <v/>
      </c>
      <c r="V922" s="5">
        <f>IFS(O922&lt;60000,"Low (&lt;60k)",O922&lt;100000,"Mid (60-100k)",TRUE,"High (100k+)")</f>
        <v/>
      </c>
      <c r="W922" s="5">
        <f>IF(M922="No","Attrited","Active")</f>
        <v/>
      </c>
    </row>
    <row r="923">
      <c r="A923" s="5" t="inlineStr">
        <is>
          <t>E00922</t>
        </is>
      </c>
      <c r="B923" s="5" t="inlineStr">
        <is>
          <t>Female</t>
        </is>
      </c>
      <c r="C923" s="6" t="inlineStr">
        <is>
          <t>30</t>
        </is>
      </c>
      <c r="D923" s="5" t="inlineStr">
        <is>
          <t>Single</t>
        </is>
      </c>
      <c r="E923" s="5" t="inlineStr">
        <is>
          <t>Diploma</t>
        </is>
      </c>
      <c r="F923" s="5" t="inlineStr">
        <is>
          <t>Marketing</t>
        </is>
      </c>
      <c r="G923" s="5" t="inlineStr">
        <is>
          <t>SEO Specialist</t>
        </is>
      </c>
      <c r="H923" s="5" t="inlineStr">
        <is>
          <t>1</t>
        </is>
      </c>
      <c r="I923" s="5" t="inlineStr">
        <is>
          <t>Hyderabad</t>
        </is>
      </c>
      <c r="J923" s="5" t="inlineStr">
        <is>
          <t>Full-Time</t>
        </is>
      </c>
      <c r="K923" s="7" t="n">
        <v>45727</v>
      </c>
      <c r="L923" s="7" t="n">
        <v>45861</v>
      </c>
      <c r="M923" s="5" t="inlineStr">
        <is>
          <t>No</t>
        </is>
      </c>
      <c r="N923" s="5" t="inlineStr">
        <is>
          <t>Resigned</t>
        </is>
      </c>
      <c r="O923" s="8" t="inlineStr">
        <is>
          <t>81000</t>
        </is>
      </c>
      <c r="P923" s="5" t="inlineStr">
        <is>
          <t>10</t>
        </is>
      </c>
      <c r="Q923" s="5" t="inlineStr">
        <is>
          <t>3</t>
        </is>
      </c>
      <c r="R923" s="5" t="inlineStr">
        <is>
          <t>5</t>
        </is>
      </c>
      <c r="S923" s="5" t="inlineStr">
        <is>
          <t>4</t>
        </is>
      </c>
      <c r="T923" s="5" t="inlineStr">
        <is>
          <t>1</t>
        </is>
      </c>
      <c r="U923" s="5">
        <f>IFS(C923&lt;30,"Under 30",C923&lt;40,"30-39",C923&lt;50,"40-49",TRUE,"50+")</f>
        <v/>
      </c>
      <c r="V923" s="5">
        <f>IFS(O923&lt;60000,"Low (&lt;60k)",O923&lt;100000,"Mid (60-100k)",TRUE,"High (100k+)")</f>
        <v/>
      </c>
      <c r="W923" s="5">
        <f>IF(M923="No","Attrited","Active")</f>
        <v/>
      </c>
    </row>
    <row r="924">
      <c r="A924" s="5" t="inlineStr">
        <is>
          <t>E00923</t>
        </is>
      </c>
      <c r="B924" s="5" t="inlineStr">
        <is>
          <t>Male</t>
        </is>
      </c>
      <c r="C924" s="6" t="inlineStr">
        <is>
          <t>34</t>
        </is>
      </c>
      <c r="D924" s="5" t="inlineStr">
        <is>
          <t>Married</t>
        </is>
      </c>
      <c r="E924" s="5" t="inlineStr">
        <is>
          <t>High School</t>
        </is>
      </c>
      <c r="F924" s="5" t="inlineStr">
        <is>
          <t>Finance</t>
        </is>
      </c>
      <c r="G924" s="5" t="inlineStr">
        <is>
          <t>Accountant</t>
        </is>
      </c>
      <c r="H924" s="5" t="inlineStr">
        <is>
          <t>4</t>
        </is>
      </c>
      <c r="I924" s="5" t="inlineStr">
        <is>
          <t>Chennai</t>
        </is>
      </c>
      <c r="J924" s="5" t="inlineStr">
        <is>
          <t>Full-Time</t>
        </is>
      </c>
      <c r="K924" s="7" t="n">
        <v>45779</v>
      </c>
      <c r="L924" s="7" t="inlineStr"/>
      <c r="M924" s="5" t="inlineStr">
        <is>
          <t>Yes</t>
        </is>
      </c>
      <c r="N924" s="5" t="inlineStr"/>
      <c r="O924" s="8" t="inlineStr">
        <is>
          <t>165000</t>
        </is>
      </c>
      <c r="P924" s="5" t="inlineStr">
        <is>
          <t>5</t>
        </is>
      </c>
      <c r="Q924" s="5" t="inlineStr">
        <is>
          <t>5</t>
        </is>
      </c>
      <c r="R924" s="5" t="inlineStr">
        <is>
          <t>6</t>
        </is>
      </c>
      <c r="S924" s="5" t="inlineStr">
        <is>
          <t>8</t>
        </is>
      </c>
      <c r="T924" s="5" t="inlineStr">
        <is>
          <t>9</t>
        </is>
      </c>
      <c r="U924" s="5">
        <f>IFS(C924&lt;30,"Under 30",C924&lt;40,"30-39",C924&lt;50,"40-49",TRUE,"50+")</f>
        <v/>
      </c>
      <c r="V924" s="5">
        <f>IFS(O924&lt;60000,"Low (&lt;60k)",O924&lt;100000,"Mid (60-100k)",TRUE,"High (100k+)")</f>
        <v/>
      </c>
      <c r="W924" s="5">
        <f>IF(M924="No","Attrited","Active")</f>
        <v/>
      </c>
    </row>
    <row r="925">
      <c r="A925" s="5" t="inlineStr">
        <is>
          <t>E00924</t>
        </is>
      </c>
      <c r="B925" s="5" t="inlineStr">
        <is>
          <t>Male</t>
        </is>
      </c>
      <c r="C925" s="6" t="inlineStr">
        <is>
          <t>32</t>
        </is>
      </c>
      <c r="D925" s="5" t="inlineStr">
        <is>
          <t>Married</t>
        </is>
      </c>
      <c r="E925" s="5" t="inlineStr">
        <is>
          <t>Bachelor</t>
        </is>
      </c>
      <c r="F925" s="5" t="inlineStr">
        <is>
          <t>Finance</t>
        </is>
      </c>
      <c r="G925" s="5" t="inlineStr">
        <is>
          <t>Credit Analyst</t>
        </is>
      </c>
      <c r="H925" s="5" t="inlineStr">
        <is>
          <t>4</t>
        </is>
      </c>
      <c r="I925" s="5" t="inlineStr">
        <is>
          <t>Mumbai</t>
        </is>
      </c>
      <c r="J925" s="5" t="inlineStr">
        <is>
          <t>Full-Time</t>
        </is>
      </c>
      <c r="K925" s="7" t="n">
        <v>44608</v>
      </c>
      <c r="L925" s="7" t="inlineStr"/>
      <c r="M925" s="5" t="inlineStr">
        <is>
          <t>Yes</t>
        </is>
      </c>
      <c r="N925" s="5" t="inlineStr"/>
      <c r="O925" s="8" t="inlineStr">
        <is>
          <t>117500</t>
        </is>
      </c>
      <c r="P925" s="5" t="inlineStr">
        <is>
          <t>20</t>
        </is>
      </c>
      <c r="Q925" s="5" t="inlineStr">
        <is>
          <t>4</t>
        </is>
      </c>
      <c r="R925" s="5" t="inlineStr">
        <is>
          <t>4</t>
        </is>
      </c>
      <c r="S925" s="5" t="inlineStr">
        <is>
          <t>47</t>
        </is>
      </c>
      <c r="T925" s="5" t="inlineStr">
        <is>
          <t>3</t>
        </is>
      </c>
      <c r="U925" s="5">
        <f>IFS(C925&lt;30,"Under 30",C925&lt;40,"30-39",C925&lt;50,"40-49",TRUE,"50+")</f>
        <v/>
      </c>
      <c r="V925" s="5">
        <f>IFS(O925&lt;60000,"Low (&lt;60k)",O925&lt;100000,"Mid (60-100k)",TRUE,"High (100k+)")</f>
        <v/>
      </c>
      <c r="W925" s="5">
        <f>IF(M925="No","Attrited","Active")</f>
        <v/>
      </c>
    </row>
    <row r="926">
      <c r="A926" s="5" t="inlineStr">
        <is>
          <t>E00925</t>
        </is>
      </c>
      <c r="B926" s="5" t="inlineStr">
        <is>
          <t>Female</t>
        </is>
      </c>
      <c r="C926" s="6" t="inlineStr">
        <is>
          <t>29</t>
        </is>
      </c>
      <c r="D926" s="5" t="inlineStr">
        <is>
          <t>Married</t>
        </is>
      </c>
      <c r="E926" s="5" t="inlineStr">
        <is>
          <t>Diploma</t>
        </is>
      </c>
      <c r="F926" s="5" t="inlineStr">
        <is>
          <t>IT</t>
        </is>
      </c>
      <c r="G926" s="5" t="inlineStr">
        <is>
          <t>Software Engineer</t>
        </is>
      </c>
      <c r="H926" s="5" t="inlineStr">
        <is>
          <t>2</t>
        </is>
      </c>
      <c r="I926" s="5" t="inlineStr">
        <is>
          <t>Chennai</t>
        </is>
      </c>
      <c r="J926" s="5" t="inlineStr">
        <is>
          <t>Contract</t>
        </is>
      </c>
      <c r="K926" s="7" t="n">
        <v>45360</v>
      </c>
      <c r="L926" s="7" t="inlineStr"/>
      <c r="M926" s="5" t="inlineStr">
        <is>
          <t>Yes</t>
        </is>
      </c>
      <c r="N926" s="5" t="inlineStr"/>
      <c r="O926" s="8" t="inlineStr">
        <is>
          <t>112000</t>
        </is>
      </c>
      <c r="P926" s="5" t="inlineStr">
        <is>
          <t>5</t>
        </is>
      </c>
      <c r="Q926" s="5" t="inlineStr">
        <is>
          <t>2</t>
        </is>
      </c>
      <c r="R926" s="5" t="inlineStr">
        <is>
          <t>7</t>
        </is>
      </c>
      <c r="S926" s="5" t="inlineStr">
        <is>
          <t>22</t>
        </is>
      </c>
      <c r="T926" s="5" t="inlineStr">
        <is>
          <t>0</t>
        </is>
      </c>
      <c r="U926" s="5">
        <f>IFS(C926&lt;30,"Under 30",C926&lt;40,"30-39",C926&lt;50,"40-49",TRUE,"50+")</f>
        <v/>
      </c>
      <c r="V926" s="5">
        <f>IFS(O926&lt;60000,"Low (&lt;60k)",O926&lt;100000,"Mid (60-100k)",TRUE,"High (100k+)")</f>
        <v/>
      </c>
      <c r="W926" s="5">
        <f>IF(M926="No","Attrited","Active")</f>
        <v/>
      </c>
    </row>
    <row r="927">
      <c r="A927" s="5" t="inlineStr">
        <is>
          <t>E00926</t>
        </is>
      </c>
      <c r="B927" s="5" t="inlineStr">
        <is>
          <t>Male</t>
        </is>
      </c>
      <c r="C927" s="6" t="inlineStr">
        <is>
          <t>28</t>
        </is>
      </c>
      <c r="D927" s="5" t="inlineStr">
        <is>
          <t>Married</t>
        </is>
      </c>
      <c r="E927" s="5" t="inlineStr">
        <is>
          <t>Bachelor</t>
        </is>
      </c>
      <c r="F927" s="5" t="inlineStr">
        <is>
          <t>Sales</t>
        </is>
      </c>
      <c r="G927" s="5" t="inlineStr">
        <is>
          <t>Sales Executive</t>
        </is>
      </c>
      <c r="H927" s="5" t="inlineStr">
        <is>
          <t>1</t>
        </is>
      </c>
      <c r="I927" s="5" t="inlineStr">
        <is>
          <t>Bengaluru</t>
        </is>
      </c>
      <c r="J927" s="5" t="inlineStr">
        <is>
          <t>Full-Time</t>
        </is>
      </c>
      <c r="K927" s="7" t="n">
        <v>44627</v>
      </c>
      <c r="L927" s="7" t="inlineStr"/>
      <c r="M927" s="5" t="inlineStr">
        <is>
          <t>Yes</t>
        </is>
      </c>
      <c r="N927" s="5" t="inlineStr"/>
      <c r="O927" s="8" t="inlineStr">
        <is>
          <t>65500</t>
        </is>
      </c>
      <c r="P927" s="5" t="inlineStr">
        <is>
          <t>0</t>
        </is>
      </c>
      <c r="Q927" s="5" t="inlineStr">
        <is>
          <t>4</t>
        </is>
      </c>
      <c r="R927" s="5" t="inlineStr">
        <is>
          <t>5</t>
        </is>
      </c>
      <c r="S927" s="5" t="inlineStr">
        <is>
          <t>46</t>
        </is>
      </c>
      <c r="T927" s="5" t="inlineStr">
        <is>
          <t>9</t>
        </is>
      </c>
      <c r="U927" s="5">
        <f>IFS(C927&lt;30,"Under 30",C927&lt;40,"30-39",C927&lt;50,"40-49",TRUE,"50+")</f>
        <v/>
      </c>
      <c r="V927" s="5">
        <f>IFS(O927&lt;60000,"Low (&lt;60k)",O927&lt;100000,"Mid (60-100k)",TRUE,"High (100k+)")</f>
        <v/>
      </c>
      <c r="W927" s="5">
        <f>IF(M927="No","Attrited","Active")</f>
        <v/>
      </c>
    </row>
    <row r="928">
      <c r="A928" s="5" t="inlineStr">
        <is>
          <t>E00927</t>
        </is>
      </c>
      <c r="B928" s="5" t="inlineStr">
        <is>
          <t>Female</t>
        </is>
      </c>
      <c r="C928" s="6" t="inlineStr">
        <is>
          <t>33</t>
        </is>
      </c>
      <c r="D928" s="5" t="inlineStr">
        <is>
          <t>Married</t>
        </is>
      </c>
      <c r="E928" s="5" t="inlineStr">
        <is>
          <t>Master</t>
        </is>
      </c>
      <c r="F928" s="5" t="inlineStr">
        <is>
          <t>IT</t>
        </is>
      </c>
      <c r="G928" s="5" t="inlineStr">
        <is>
          <t>Data Analyst</t>
        </is>
      </c>
      <c r="H928" s="5" t="inlineStr">
        <is>
          <t>1</t>
        </is>
      </c>
      <c r="I928" s="5" t="inlineStr">
        <is>
          <t>Remote</t>
        </is>
      </c>
      <c r="J928" s="5" t="inlineStr">
        <is>
          <t>Full-Time</t>
        </is>
      </c>
      <c r="K928" s="7" t="n">
        <v>45185</v>
      </c>
      <c r="L928" s="7" t="inlineStr"/>
      <c r="M928" s="5" t="inlineStr">
        <is>
          <t>Yes</t>
        </is>
      </c>
      <c r="N928" s="5" t="inlineStr"/>
      <c r="O928" s="8" t="inlineStr">
        <is>
          <t>120500</t>
        </is>
      </c>
      <c r="P928" s="5" t="inlineStr">
        <is>
          <t>5</t>
        </is>
      </c>
      <c r="Q928" s="5" t="inlineStr">
        <is>
          <t>3</t>
        </is>
      </c>
      <c r="R928" s="5" t="inlineStr">
        <is>
          <t>6</t>
        </is>
      </c>
      <c r="S928" s="5" t="inlineStr">
        <is>
          <t>27</t>
        </is>
      </c>
      <c r="T928" s="5" t="inlineStr">
        <is>
          <t>6</t>
        </is>
      </c>
      <c r="U928" s="5">
        <f>IFS(C928&lt;30,"Under 30",C928&lt;40,"30-39",C928&lt;50,"40-49",TRUE,"50+")</f>
        <v/>
      </c>
      <c r="V928" s="5">
        <f>IFS(O928&lt;60000,"Low (&lt;60k)",O928&lt;100000,"Mid (60-100k)",TRUE,"High (100k+)")</f>
        <v/>
      </c>
      <c r="W928" s="5">
        <f>IF(M928="No","Attrited","Active")</f>
        <v/>
      </c>
    </row>
    <row r="929">
      <c r="A929" s="5" t="inlineStr">
        <is>
          <t>E00928</t>
        </is>
      </c>
      <c r="B929" s="5" t="inlineStr">
        <is>
          <t>Male</t>
        </is>
      </c>
      <c r="C929" s="6" t="inlineStr">
        <is>
          <t>28</t>
        </is>
      </c>
      <c r="D929" s="5" t="inlineStr">
        <is>
          <t>Single</t>
        </is>
      </c>
      <c r="E929" s="5" t="inlineStr">
        <is>
          <t>High School</t>
        </is>
      </c>
      <c r="F929" s="5" t="inlineStr">
        <is>
          <t>Marketing</t>
        </is>
      </c>
      <c r="G929" s="5" t="inlineStr">
        <is>
          <t>Content Writer</t>
        </is>
      </c>
      <c r="H929" s="5" t="inlineStr">
        <is>
          <t>2</t>
        </is>
      </c>
      <c r="I929" s="5" t="inlineStr">
        <is>
          <t>Chennai</t>
        </is>
      </c>
      <c r="J929" s="5" t="inlineStr">
        <is>
          <t>Part-Time</t>
        </is>
      </c>
      <c r="K929" s="7" t="n">
        <v>45350</v>
      </c>
      <c r="L929" s="7" t="n">
        <v>45398</v>
      </c>
      <c r="M929" s="5" t="inlineStr">
        <is>
          <t>No</t>
        </is>
      </c>
      <c r="N929" s="5" t="inlineStr">
        <is>
          <t>Resigned</t>
        </is>
      </c>
      <c r="O929" s="8" t="inlineStr">
        <is>
          <t>57500</t>
        </is>
      </c>
      <c r="P929" s="5" t="inlineStr">
        <is>
          <t>0</t>
        </is>
      </c>
      <c r="Q929" s="5" t="inlineStr">
        <is>
          <t>3</t>
        </is>
      </c>
      <c r="R929" s="5" t="inlineStr">
        <is>
          <t>7</t>
        </is>
      </c>
      <c r="S929" s="5" t="inlineStr">
        <is>
          <t>1</t>
        </is>
      </c>
      <c r="T929" s="5" t="inlineStr">
        <is>
          <t>7</t>
        </is>
      </c>
      <c r="U929" s="5">
        <f>IFS(C929&lt;30,"Under 30",C929&lt;40,"30-39",C929&lt;50,"40-49",TRUE,"50+")</f>
        <v/>
      </c>
      <c r="V929" s="5">
        <f>IFS(O929&lt;60000,"Low (&lt;60k)",O929&lt;100000,"Mid (60-100k)",TRUE,"High (100k+)")</f>
        <v/>
      </c>
      <c r="W929" s="5">
        <f>IF(M929="No","Attrited","Active")</f>
        <v/>
      </c>
    </row>
    <row r="930">
      <c r="A930" s="5" t="inlineStr">
        <is>
          <t>E00929</t>
        </is>
      </c>
      <c r="B930" s="5" t="inlineStr">
        <is>
          <t>Male</t>
        </is>
      </c>
      <c r="C930" s="6" t="inlineStr">
        <is>
          <t>29</t>
        </is>
      </c>
      <c r="D930" s="5" t="inlineStr">
        <is>
          <t>Divorced</t>
        </is>
      </c>
      <c r="E930" s="5" t="inlineStr">
        <is>
          <t>Bachelor</t>
        </is>
      </c>
      <c r="F930" s="5" t="inlineStr">
        <is>
          <t>Sales</t>
        </is>
      </c>
      <c r="G930" s="5" t="inlineStr">
        <is>
          <t>Sales Executive</t>
        </is>
      </c>
      <c r="H930" s="5" t="inlineStr">
        <is>
          <t>2</t>
        </is>
      </c>
      <c r="I930" s="5" t="inlineStr">
        <is>
          <t>Chennai</t>
        </is>
      </c>
      <c r="J930" s="5" t="inlineStr">
        <is>
          <t>Full-Time</t>
        </is>
      </c>
      <c r="K930" s="7" t="n">
        <v>45111</v>
      </c>
      <c r="L930" s="7" t="n">
        <v>45219</v>
      </c>
      <c r="M930" s="5" t="inlineStr">
        <is>
          <t>No</t>
        </is>
      </c>
      <c r="N930" s="5" t="inlineStr">
        <is>
          <t>Retirement</t>
        </is>
      </c>
      <c r="O930" s="8" t="inlineStr">
        <is>
          <t>95500</t>
        </is>
      </c>
      <c r="P930" s="5" t="inlineStr">
        <is>
          <t>15</t>
        </is>
      </c>
      <c r="Q930" s="5" t="inlineStr">
        <is>
          <t>3</t>
        </is>
      </c>
      <c r="R930" s="5" t="inlineStr">
        <is>
          <t>7</t>
        </is>
      </c>
      <c r="S930" s="5" t="inlineStr">
        <is>
          <t>3</t>
        </is>
      </c>
      <c r="T930" s="5" t="inlineStr">
        <is>
          <t>4</t>
        </is>
      </c>
      <c r="U930" s="5">
        <f>IFS(C930&lt;30,"Under 30",C930&lt;40,"30-39",C930&lt;50,"40-49",TRUE,"50+")</f>
        <v/>
      </c>
      <c r="V930" s="5">
        <f>IFS(O930&lt;60000,"Low (&lt;60k)",O930&lt;100000,"Mid (60-100k)",TRUE,"High (100k+)")</f>
        <v/>
      </c>
      <c r="W930" s="5">
        <f>IF(M930="No","Attrited","Active")</f>
        <v/>
      </c>
    </row>
    <row r="931">
      <c r="A931" s="5" t="inlineStr">
        <is>
          <t>E00930</t>
        </is>
      </c>
      <c r="B931" s="5" t="inlineStr">
        <is>
          <t>Female</t>
        </is>
      </c>
      <c r="C931" s="6" t="inlineStr">
        <is>
          <t>31</t>
        </is>
      </c>
      <c r="D931" s="5" t="inlineStr">
        <is>
          <t>Single</t>
        </is>
      </c>
      <c r="E931" s="5" t="inlineStr">
        <is>
          <t>Master</t>
        </is>
      </c>
      <c r="F931" s="5" t="inlineStr">
        <is>
          <t>Sales</t>
        </is>
      </c>
      <c r="G931" s="5" t="inlineStr">
        <is>
          <t>Sales Executive</t>
        </is>
      </c>
      <c r="H931" s="5" t="inlineStr">
        <is>
          <t>1</t>
        </is>
      </c>
      <c r="I931" s="5" t="inlineStr">
        <is>
          <t>Hyderabad</t>
        </is>
      </c>
      <c r="J931" s="5" t="inlineStr">
        <is>
          <t>Full-Time</t>
        </is>
      </c>
      <c r="K931" s="7" t="n">
        <v>45498</v>
      </c>
      <c r="L931" s="7" t="inlineStr"/>
      <c r="M931" s="5" t="inlineStr">
        <is>
          <t>Yes</t>
        </is>
      </c>
      <c r="N931" s="5" t="inlineStr"/>
      <c r="O931" s="8" t="inlineStr">
        <is>
          <t>64500</t>
        </is>
      </c>
      <c r="P931" s="5" t="inlineStr">
        <is>
          <t>15</t>
        </is>
      </c>
      <c r="Q931" s="5" t="inlineStr">
        <is>
          <t>4</t>
        </is>
      </c>
      <c r="R931" s="5" t="inlineStr">
        <is>
          <t>6</t>
        </is>
      </c>
      <c r="S931" s="5" t="inlineStr">
        <is>
          <t>17</t>
        </is>
      </c>
      <c r="T931" s="5" t="inlineStr">
        <is>
          <t>6</t>
        </is>
      </c>
      <c r="U931" s="5">
        <f>IFS(C931&lt;30,"Under 30",C931&lt;40,"30-39",C931&lt;50,"40-49",TRUE,"50+")</f>
        <v/>
      </c>
      <c r="V931" s="5">
        <f>IFS(O931&lt;60000,"Low (&lt;60k)",O931&lt;100000,"Mid (60-100k)",TRUE,"High (100k+)")</f>
        <v/>
      </c>
      <c r="W931" s="5">
        <f>IF(M931="No","Attrited","Active")</f>
        <v/>
      </c>
    </row>
    <row r="932">
      <c r="A932" s="5" t="inlineStr">
        <is>
          <t>E00931</t>
        </is>
      </c>
      <c r="B932" s="5" t="inlineStr">
        <is>
          <t>Male</t>
        </is>
      </c>
      <c r="C932" s="6" t="inlineStr">
        <is>
          <t>40</t>
        </is>
      </c>
      <c r="D932" s="5" t="inlineStr">
        <is>
          <t>Married</t>
        </is>
      </c>
      <c r="E932" s="5" t="inlineStr">
        <is>
          <t>Master</t>
        </is>
      </c>
      <c r="F932" s="5" t="inlineStr">
        <is>
          <t>Customer Support</t>
        </is>
      </c>
      <c r="G932" s="5" t="inlineStr">
        <is>
          <t>Support Lead</t>
        </is>
      </c>
      <c r="H932" s="5" t="inlineStr">
        <is>
          <t>6</t>
        </is>
      </c>
      <c r="I932" s="5" t="inlineStr">
        <is>
          <t>Delhi</t>
        </is>
      </c>
      <c r="J932" s="5" t="inlineStr">
        <is>
          <t>Full-Time</t>
        </is>
      </c>
      <c r="K932" s="7" t="n">
        <v>44400</v>
      </c>
      <c r="L932" s="7" t="inlineStr"/>
      <c r="M932" s="5" t="inlineStr">
        <is>
          <t>Yes</t>
        </is>
      </c>
      <c r="N932" s="5" t="inlineStr"/>
      <c r="O932" s="8" t="inlineStr">
        <is>
          <t>83500</t>
        </is>
      </c>
      <c r="P932" s="5" t="inlineStr">
        <is>
          <t>10</t>
        </is>
      </c>
      <c r="Q932" s="5" t="inlineStr">
        <is>
          <t>5</t>
        </is>
      </c>
      <c r="R932" s="5" t="inlineStr">
        <is>
          <t>7</t>
        </is>
      </c>
      <c r="S932" s="5" t="inlineStr">
        <is>
          <t>54</t>
        </is>
      </c>
      <c r="T932" s="5" t="inlineStr">
        <is>
          <t>2</t>
        </is>
      </c>
      <c r="U932" s="5">
        <f>IFS(C932&lt;30,"Under 30",C932&lt;40,"30-39",C932&lt;50,"40-49",TRUE,"50+")</f>
        <v/>
      </c>
      <c r="V932" s="5">
        <f>IFS(O932&lt;60000,"Low (&lt;60k)",O932&lt;100000,"Mid (60-100k)",TRUE,"High (100k+)")</f>
        <v/>
      </c>
      <c r="W932" s="5">
        <f>IF(M932="No","Attrited","Active")</f>
        <v/>
      </c>
    </row>
    <row r="933">
      <c r="A933" s="5" t="inlineStr">
        <is>
          <t>E00932</t>
        </is>
      </c>
      <c r="B933" s="5" t="inlineStr">
        <is>
          <t>Female</t>
        </is>
      </c>
      <c r="C933" s="6" t="inlineStr">
        <is>
          <t>29</t>
        </is>
      </c>
      <c r="D933" s="5" t="inlineStr">
        <is>
          <t>Single</t>
        </is>
      </c>
      <c r="E933" s="5" t="inlineStr">
        <is>
          <t>High School</t>
        </is>
      </c>
      <c r="F933" s="5" t="inlineStr">
        <is>
          <t>IT</t>
        </is>
      </c>
      <c r="G933" s="5" t="inlineStr">
        <is>
          <t>Data Analyst</t>
        </is>
      </c>
      <c r="H933" s="5" t="inlineStr">
        <is>
          <t>1</t>
        </is>
      </c>
      <c r="I933" s="5" t="inlineStr">
        <is>
          <t>Delhi</t>
        </is>
      </c>
      <c r="J933" s="5" t="inlineStr">
        <is>
          <t>Full-Time</t>
        </is>
      </c>
      <c r="K933" s="7" t="n">
        <v>44820</v>
      </c>
      <c r="L933" s="7" t="n">
        <v>44944</v>
      </c>
      <c r="M933" s="5" t="inlineStr">
        <is>
          <t>No</t>
        </is>
      </c>
      <c r="N933" s="5" t="inlineStr">
        <is>
          <t>Resigned</t>
        </is>
      </c>
      <c r="O933" s="8" t="inlineStr">
        <is>
          <t>147500</t>
        </is>
      </c>
      <c r="P933" s="5" t="inlineStr">
        <is>
          <t>0</t>
        </is>
      </c>
      <c r="Q933" s="5" t="inlineStr">
        <is>
          <t>3</t>
        </is>
      </c>
      <c r="R933" s="5" t="inlineStr">
        <is>
          <t>9</t>
        </is>
      </c>
      <c r="S933" s="5" t="inlineStr">
        <is>
          <t>4</t>
        </is>
      </c>
      <c r="T933" s="5" t="inlineStr">
        <is>
          <t>11</t>
        </is>
      </c>
      <c r="U933" s="5">
        <f>IFS(C933&lt;30,"Under 30",C933&lt;40,"30-39",C933&lt;50,"40-49",TRUE,"50+")</f>
        <v/>
      </c>
      <c r="V933" s="5">
        <f>IFS(O933&lt;60000,"Low (&lt;60k)",O933&lt;100000,"Mid (60-100k)",TRUE,"High (100k+)")</f>
        <v/>
      </c>
      <c r="W933" s="5">
        <f>IF(M933="No","Attrited","Active")</f>
        <v/>
      </c>
    </row>
    <row r="934">
      <c r="A934" s="5" t="inlineStr">
        <is>
          <t>E00933</t>
        </is>
      </c>
      <c r="B934" s="5" t="inlineStr">
        <is>
          <t>Male</t>
        </is>
      </c>
      <c r="C934" s="6" t="inlineStr">
        <is>
          <t>25</t>
        </is>
      </c>
      <c r="D934" s="5" t="inlineStr">
        <is>
          <t>Married</t>
        </is>
      </c>
      <c r="E934" s="5" t="inlineStr">
        <is>
          <t>Bachelor</t>
        </is>
      </c>
      <c r="F934" s="5" t="inlineStr">
        <is>
          <t>Operations</t>
        </is>
      </c>
      <c r="G934" s="5" t="inlineStr">
        <is>
          <t>Quality Analyst</t>
        </is>
      </c>
      <c r="H934" s="5" t="inlineStr">
        <is>
          <t>2</t>
        </is>
      </c>
      <c r="I934" s="5" t="inlineStr">
        <is>
          <t>Bengaluru</t>
        </is>
      </c>
      <c r="J934" s="5" t="inlineStr">
        <is>
          <t>Part-Time</t>
        </is>
      </c>
      <c r="K934" s="7" t="n">
        <v>45570</v>
      </c>
      <c r="L934" s="7" t="n">
        <v>45642</v>
      </c>
      <c r="M934" s="5" t="inlineStr">
        <is>
          <t>No</t>
        </is>
      </c>
      <c r="N934" s="5" t="inlineStr">
        <is>
          <t>Resigned</t>
        </is>
      </c>
      <c r="O934" s="8" t="inlineStr">
        <is>
          <t>93000</t>
        </is>
      </c>
      <c r="P934" s="5" t="inlineStr">
        <is>
          <t>0</t>
        </is>
      </c>
      <c r="Q934" s="5" t="inlineStr">
        <is>
          <t>2</t>
        </is>
      </c>
      <c r="R934" s="5" t="inlineStr">
        <is>
          <t>8</t>
        </is>
      </c>
      <c r="S934" s="5" t="inlineStr">
        <is>
          <t>2</t>
        </is>
      </c>
      <c r="T934" s="5" t="inlineStr">
        <is>
          <t>12</t>
        </is>
      </c>
      <c r="U934" s="5">
        <f>IFS(C934&lt;30,"Under 30",C934&lt;40,"30-39",C934&lt;50,"40-49",TRUE,"50+")</f>
        <v/>
      </c>
      <c r="V934" s="5">
        <f>IFS(O934&lt;60000,"Low (&lt;60k)",O934&lt;100000,"Mid (60-100k)",TRUE,"High (100k+)")</f>
        <v/>
      </c>
      <c r="W934" s="5">
        <f>IF(M934="No","Attrited","Active")</f>
        <v/>
      </c>
    </row>
    <row r="935">
      <c r="A935" s="5" t="inlineStr">
        <is>
          <t>E00934</t>
        </is>
      </c>
      <c r="B935" s="5" t="inlineStr">
        <is>
          <t>Male</t>
        </is>
      </c>
      <c r="C935" s="6" t="inlineStr">
        <is>
          <t>27</t>
        </is>
      </c>
      <c r="D935" s="5" t="inlineStr">
        <is>
          <t>Married</t>
        </is>
      </c>
      <c r="E935" s="5" t="inlineStr">
        <is>
          <t>High School</t>
        </is>
      </c>
      <c r="F935" s="5" t="inlineStr">
        <is>
          <t>Research &amp; Development</t>
        </is>
      </c>
      <c r="G935" s="5" t="inlineStr">
        <is>
          <t>Data Scientist</t>
        </is>
      </c>
      <c r="H935" s="5" t="inlineStr">
        <is>
          <t>2</t>
        </is>
      </c>
      <c r="I935" s="5" t="inlineStr">
        <is>
          <t>Remote</t>
        </is>
      </c>
      <c r="J935" s="5" t="inlineStr">
        <is>
          <t>Full-Time</t>
        </is>
      </c>
      <c r="K935" s="7" t="n">
        <v>44397</v>
      </c>
      <c r="L935" s="7" t="inlineStr"/>
      <c r="M935" s="5" t="inlineStr">
        <is>
          <t>Yes</t>
        </is>
      </c>
      <c r="N935" s="5" t="inlineStr"/>
      <c r="O935" s="8" t="inlineStr">
        <is>
          <t>129000</t>
        </is>
      </c>
      <c r="P935" s="5" t="inlineStr">
        <is>
          <t>10</t>
        </is>
      </c>
      <c r="Q935" s="5" t="inlineStr">
        <is>
          <t>2</t>
        </is>
      </c>
      <c r="R935" s="5" t="inlineStr">
        <is>
          <t>5</t>
        </is>
      </c>
      <c r="S935" s="5" t="inlineStr">
        <is>
          <t>54</t>
        </is>
      </c>
      <c r="T935" s="5" t="inlineStr">
        <is>
          <t>10</t>
        </is>
      </c>
      <c r="U935" s="5">
        <f>IFS(C935&lt;30,"Under 30",C935&lt;40,"30-39",C935&lt;50,"40-49",TRUE,"50+")</f>
        <v/>
      </c>
      <c r="V935" s="5">
        <f>IFS(O935&lt;60000,"Low (&lt;60k)",O935&lt;100000,"Mid (60-100k)",TRUE,"High (100k+)")</f>
        <v/>
      </c>
      <c r="W935" s="5">
        <f>IF(M935="No","Attrited","Active")</f>
        <v/>
      </c>
    </row>
    <row r="936">
      <c r="A936" s="5" t="inlineStr">
        <is>
          <t>E00935</t>
        </is>
      </c>
      <c r="B936" s="5" t="inlineStr">
        <is>
          <t>Male</t>
        </is>
      </c>
      <c r="C936" s="6" t="inlineStr">
        <is>
          <t>26</t>
        </is>
      </c>
      <c r="D936" s="5" t="inlineStr">
        <is>
          <t>Married</t>
        </is>
      </c>
      <c r="E936" s="5" t="inlineStr">
        <is>
          <t>Bachelor</t>
        </is>
      </c>
      <c r="F936" s="5" t="inlineStr">
        <is>
          <t>Operations</t>
        </is>
      </c>
      <c r="G936" s="5" t="inlineStr">
        <is>
          <t>Logistics Coordinator</t>
        </is>
      </c>
      <c r="H936" s="5" t="inlineStr">
        <is>
          <t>2</t>
        </is>
      </c>
      <c r="I936" s="5" t="inlineStr">
        <is>
          <t>Remote</t>
        </is>
      </c>
      <c r="J936" s="5" t="inlineStr">
        <is>
          <t>Full-Time</t>
        </is>
      </c>
      <c r="K936" s="7" t="n">
        <v>44508</v>
      </c>
      <c r="L936" s="7" t="n">
        <v>44600</v>
      </c>
      <c r="M936" s="5" t="inlineStr">
        <is>
          <t>No</t>
        </is>
      </c>
      <c r="N936" s="5" t="inlineStr">
        <is>
          <t>Resigned</t>
        </is>
      </c>
      <c r="O936" s="8" t="inlineStr">
        <is>
          <t>71000</t>
        </is>
      </c>
      <c r="P936" s="5" t="inlineStr">
        <is>
          <t>5</t>
        </is>
      </c>
      <c r="Q936" s="5" t="inlineStr">
        <is>
          <t>3</t>
        </is>
      </c>
      <c r="R936" s="5" t="inlineStr">
        <is>
          <t>8</t>
        </is>
      </c>
      <c r="S936" s="5" t="inlineStr">
        <is>
          <t>3</t>
        </is>
      </c>
      <c r="T936" s="5" t="inlineStr">
        <is>
          <t>0</t>
        </is>
      </c>
      <c r="U936" s="5">
        <f>IFS(C936&lt;30,"Under 30",C936&lt;40,"30-39",C936&lt;50,"40-49",TRUE,"50+")</f>
        <v/>
      </c>
      <c r="V936" s="5">
        <f>IFS(O936&lt;60000,"Low (&lt;60k)",O936&lt;100000,"Mid (60-100k)",TRUE,"High (100k+)")</f>
        <v/>
      </c>
      <c r="W936" s="5">
        <f>IF(M936="No","Attrited","Active")</f>
        <v/>
      </c>
    </row>
    <row r="937">
      <c r="A937" s="5" t="inlineStr">
        <is>
          <t>E00936</t>
        </is>
      </c>
      <c r="B937" s="5" t="inlineStr">
        <is>
          <t>Female</t>
        </is>
      </c>
      <c r="C937" s="6" t="inlineStr">
        <is>
          <t>32</t>
        </is>
      </c>
      <c r="D937" s="5" t="inlineStr">
        <is>
          <t>Married</t>
        </is>
      </c>
      <c r="E937" s="5" t="inlineStr">
        <is>
          <t>High School</t>
        </is>
      </c>
      <c r="F937" s="5" t="inlineStr">
        <is>
          <t>Operations</t>
        </is>
      </c>
      <c r="G937" s="5" t="inlineStr">
        <is>
          <t>Operations Analyst</t>
        </is>
      </c>
      <c r="H937" s="5" t="inlineStr">
        <is>
          <t>1</t>
        </is>
      </c>
      <c r="I937" s="5" t="inlineStr">
        <is>
          <t>Hyderabad</t>
        </is>
      </c>
      <c r="J937" s="5" t="inlineStr">
        <is>
          <t>Full-Time</t>
        </is>
      </c>
      <c r="K937" s="7" t="n">
        <v>43883</v>
      </c>
      <c r="L937" s="7" t="inlineStr"/>
      <c r="M937" s="5" t="inlineStr">
        <is>
          <t>Yes</t>
        </is>
      </c>
      <c r="N937" s="5" t="inlineStr"/>
      <c r="O937" s="8" t="inlineStr">
        <is>
          <t>55000</t>
        </is>
      </c>
      <c r="P937" s="5" t="inlineStr">
        <is>
          <t>0</t>
        </is>
      </c>
      <c r="Q937" s="5" t="inlineStr">
        <is>
          <t>4</t>
        </is>
      </c>
      <c r="R937" s="5" t="inlineStr">
        <is>
          <t>7</t>
        </is>
      </c>
      <c r="S937" s="5" t="inlineStr">
        <is>
          <t>71</t>
        </is>
      </c>
      <c r="T937" s="5" t="inlineStr">
        <is>
          <t>12</t>
        </is>
      </c>
      <c r="U937" s="5">
        <f>IFS(C937&lt;30,"Under 30",C937&lt;40,"30-39",C937&lt;50,"40-49",TRUE,"50+")</f>
        <v/>
      </c>
      <c r="V937" s="5">
        <f>IFS(O937&lt;60000,"Low (&lt;60k)",O937&lt;100000,"Mid (60-100k)",TRUE,"High (100k+)")</f>
        <v/>
      </c>
      <c r="W937" s="5">
        <f>IF(M937="No","Attrited","Active")</f>
        <v/>
      </c>
    </row>
    <row r="938">
      <c r="A938" s="5" t="inlineStr">
        <is>
          <t>E00937</t>
        </is>
      </c>
      <c r="B938" s="5" t="inlineStr">
        <is>
          <t>Male</t>
        </is>
      </c>
      <c r="C938" s="6" t="inlineStr">
        <is>
          <t>33</t>
        </is>
      </c>
      <c r="D938" s="5" t="inlineStr">
        <is>
          <t>Single</t>
        </is>
      </c>
      <c r="E938" s="5" t="inlineStr">
        <is>
          <t>High School</t>
        </is>
      </c>
      <c r="F938" s="5" t="inlineStr">
        <is>
          <t>Sales</t>
        </is>
      </c>
      <c r="G938" s="5" t="inlineStr">
        <is>
          <t>Sales Executive</t>
        </is>
      </c>
      <c r="H938" s="5" t="inlineStr">
        <is>
          <t>6</t>
        </is>
      </c>
      <c r="I938" s="5" t="inlineStr">
        <is>
          <t>Mumbai</t>
        </is>
      </c>
      <c r="J938" s="5" t="inlineStr">
        <is>
          <t>Contract</t>
        </is>
      </c>
      <c r="K938" s="7" t="n">
        <v>44222</v>
      </c>
      <c r="L938" s="7" t="inlineStr"/>
      <c r="M938" s="5" t="inlineStr">
        <is>
          <t>Yes</t>
        </is>
      </c>
      <c r="N938" s="5" t="inlineStr"/>
      <c r="O938" s="8" t="inlineStr">
        <is>
          <t>162500</t>
        </is>
      </c>
      <c r="P938" s="5" t="inlineStr">
        <is>
          <t>0</t>
        </is>
      </c>
      <c r="Q938" s="5" t="inlineStr">
        <is>
          <t>5</t>
        </is>
      </c>
      <c r="R938" s="5" t="inlineStr">
        <is>
          <t>6</t>
        </is>
      </c>
      <c r="S938" s="5" t="inlineStr">
        <is>
          <t>60</t>
        </is>
      </c>
      <c r="T938" s="5" t="inlineStr">
        <is>
          <t>7</t>
        </is>
      </c>
      <c r="U938" s="5">
        <f>IFS(C938&lt;30,"Under 30",C938&lt;40,"30-39",C938&lt;50,"40-49",TRUE,"50+")</f>
        <v/>
      </c>
      <c r="V938" s="5">
        <f>IFS(O938&lt;60000,"Low (&lt;60k)",O938&lt;100000,"Mid (60-100k)",TRUE,"High (100k+)")</f>
        <v/>
      </c>
      <c r="W938" s="5">
        <f>IF(M938="No","Attrited","Active")</f>
        <v/>
      </c>
    </row>
    <row r="939">
      <c r="A939" s="5" t="inlineStr">
        <is>
          <t>E00938</t>
        </is>
      </c>
      <c r="B939" s="5" t="inlineStr">
        <is>
          <t>Male</t>
        </is>
      </c>
      <c r="C939" s="6" t="inlineStr">
        <is>
          <t>29</t>
        </is>
      </c>
      <c r="D939" s="5" t="inlineStr">
        <is>
          <t>Married</t>
        </is>
      </c>
      <c r="E939" s="5" t="inlineStr">
        <is>
          <t>Master</t>
        </is>
      </c>
      <c r="F939" s="5" t="inlineStr">
        <is>
          <t>Finance</t>
        </is>
      </c>
      <c r="G939" s="5" t="inlineStr">
        <is>
          <t>Credit Analyst</t>
        </is>
      </c>
      <c r="H939" s="5" t="inlineStr">
        <is>
          <t>1</t>
        </is>
      </c>
      <c r="I939" s="5" t="inlineStr">
        <is>
          <t>Chennai</t>
        </is>
      </c>
      <c r="J939" s="5" t="inlineStr">
        <is>
          <t>Full-Time</t>
        </is>
      </c>
      <c r="K939" s="7" t="n">
        <v>45732</v>
      </c>
      <c r="L939" s="7" t="inlineStr"/>
      <c r="M939" s="5" t="inlineStr">
        <is>
          <t>Yes</t>
        </is>
      </c>
      <c r="N939" s="5" t="inlineStr"/>
      <c r="O939" s="8" t="inlineStr">
        <is>
          <t>72000</t>
        </is>
      </c>
      <c r="P939" s="5" t="inlineStr">
        <is>
          <t>20</t>
        </is>
      </c>
      <c r="Q939" s="5" t="inlineStr">
        <is>
          <t>3</t>
        </is>
      </c>
      <c r="R939" s="5" t="inlineStr">
        <is>
          <t>4</t>
        </is>
      </c>
      <c r="S939" s="5" t="inlineStr">
        <is>
          <t>9</t>
        </is>
      </c>
      <c r="T939" s="5" t="inlineStr">
        <is>
          <t>18</t>
        </is>
      </c>
      <c r="U939" s="5">
        <f>IFS(C939&lt;30,"Under 30",C939&lt;40,"30-39",C939&lt;50,"40-49",TRUE,"50+")</f>
        <v/>
      </c>
      <c r="V939" s="5">
        <f>IFS(O939&lt;60000,"Low (&lt;60k)",O939&lt;100000,"Mid (60-100k)",TRUE,"High (100k+)")</f>
        <v/>
      </c>
      <c r="W939" s="5">
        <f>IF(M939="No","Attrited","Active")</f>
        <v/>
      </c>
    </row>
    <row r="940">
      <c r="A940" s="5" t="inlineStr">
        <is>
          <t>E00939</t>
        </is>
      </c>
      <c r="B940" s="5" t="inlineStr">
        <is>
          <t>Female</t>
        </is>
      </c>
      <c r="C940" s="6" t="inlineStr">
        <is>
          <t>34</t>
        </is>
      </c>
      <c r="D940" s="5" t="inlineStr">
        <is>
          <t>Married</t>
        </is>
      </c>
      <c r="E940" s="5" t="inlineStr">
        <is>
          <t>PhD</t>
        </is>
      </c>
      <c r="F940" s="5" t="inlineStr">
        <is>
          <t>IT</t>
        </is>
      </c>
      <c r="G940" s="5" t="inlineStr">
        <is>
          <t>IT Support</t>
        </is>
      </c>
      <c r="H940" s="5" t="inlineStr">
        <is>
          <t>1</t>
        </is>
      </c>
      <c r="I940" s="5" t="inlineStr">
        <is>
          <t>Mumbai</t>
        </is>
      </c>
      <c r="J940" s="5" t="inlineStr">
        <is>
          <t>Full-Time</t>
        </is>
      </c>
      <c r="K940" s="7" t="n">
        <v>45323</v>
      </c>
      <c r="L940" s="7" t="n">
        <v>45371</v>
      </c>
      <c r="M940" s="5" t="inlineStr">
        <is>
          <t>No</t>
        </is>
      </c>
      <c r="N940" s="5" t="inlineStr">
        <is>
          <t>Resigned</t>
        </is>
      </c>
      <c r="O940" s="8" t="inlineStr">
        <is>
          <t>132500</t>
        </is>
      </c>
      <c r="P940" s="5" t="inlineStr">
        <is>
          <t>10</t>
        </is>
      </c>
      <c r="Q940" s="5" t="inlineStr">
        <is>
          <t>2</t>
        </is>
      </c>
      <c r="R940" s="5" t="inlineStr">
        <is>
          <t>7</t>
        </is>
      </c>
      <c r="S940" s="5" t="inlineStr">
        <is>
          <t>1</t>
        </is>
      </c>
      <c r="T940" s="5" t="inlineStr">
        <is>
          <t>6</t>
        </is>
      </c>
      <c r="U940" s="5">
        <f>IFS(C940&lt;30,"Under 30",C940&lt;40,"30-39",C940&lt;50,"40-49",TRUE,"50+")</f>
        <v/>
      </c>
      <c r="V940" s="5">
        <f>IFS(O940&lt;60000,"Low (&lt;60k)",O940&lt;100000,"Mid (60-100k)",TRUE,"High (100k+)")</f>
        <v/>
      </c>
      <c r="W940" s="5">
        <f>IF(M940="No","Attrited","Active")</f>
        <v/>
      </c>
    </row>
    <row r="941">
      <c r="A941" s="5" t="inlineStr">
        <is>
          <t>E00940</t>
        </is>
      </c>
      <c r="B941" s="5" t="inlineStr">
        <is>
          <t>Male</t>
        </is>
      </c>
      <c r="C941" s="6" t="inlineStr">
        <is>
          <t>37</t>
        </is>
      </c>
      <c r="D941" s="5" t="inlineStr">
        <is>
          <t>Married</t>
        </is>
      </c>
      <c r="E941" s="5" t="inlineStr">
        <is>
          <t>Master</t>
        </is>
      </c>
      <c r="F941" s="5" t="inlineStr">
        <is>
          <t>Customer Support</t>
        </is>
      </c>
      <c r="G941" s="5" t="inlineStr">
        <is>
          <t>Support Lead</t>
        </is>
      </c>
      <c r="H941" s="5" t="inlineStr">
        <is>
          <t>4</t>
        </is>
      </c>
      <c r="I941" s="5" t="inlineStr">
        <is>
          <t>Delhi</t>
        </is>
      </c>
      <c r="J941" s="5" t="inlineStr">
        <is>
          <t>Part-Time</t>
        </is>
      </c>
      <c r="K941" s="7" t="n">
        <v>44000</v>
      </c>
      <c r="L941" s="7" t="inlineStr"/>
      <c r="M941" s="5" t="inlineStr">
        <is>
          <t>Yes</t>
        </is>
      </c>
      <c r="N941" s="5" t="inlineStr"/>
      <c r="O941" s="8" t="inlineStr">
        <is>
          <t>61000</t>
        </is>
      </c>
      <c r="P941" s="5" t="inlineStr">
        <is>
          <t>5</t>
        </is>
      </c>
      <c r="Q941" s="5" t="inlineStr">
        <is>
          <t>4</t>
        </is>
      </c>
      <c r="R941" s="5" t="inlineStr">
        <is>
          <t>4</t>
        </is>
      </c>
      <c r="S941" s="5" t="inlineStr">
        <is>
          <t>67</t>
        </is>
      </c>
      <c r="T941" s="5" t="inlineStr">
        <is>
          <t>8</t>
        </is>
      </c>
      <c r="U941" s="5">
        <f>IFS(C941&lt;30,"Under 30",C941&lt;40,"30-39",C941&lt;50,"40-49",TRUE,"50+")</f>
        <v/>
      </c>
      <c r="V941" s="5">
        <f>IFS(O941&lt;60000,"Low (&lt;60k)",O941&lt;100000,"Mid (60-100k)",TRUE,"High (100k+)")</f>
        <v/>
      </c>
      <c r="W941" s="5">
        <f>IF(M941="No","Attrited","Active")</f>
        <v/>
      </c>
    </row>
    <row r="942">
      <c r="A942" s="5" t="inlineStr">
        <is>
          <t>E00941</t>
        </is>
      </c>
      <c r="B942" s="5" t="inlineStr">
        <is>
          <t>Male</t>
        </is>
      </c>
      <c r="C942" s="6" t="inlineStr">
        <is>
          <t>29</t>
        </is>
      </c>
      <c r="D942" s="5" t="inlineStr">
        <is>
          <t>Married</t>
        </is>
      </c>
      <c r="E942" s="5" t="inlineStr">
        <is>
          <t>Master</t>
        </is>
      </c>
      <c r="F942" s="5" t="inlineStr">
        <is>
          <t>Research &amp; Development</t>
        </is>
      </c>
      <c r="G942" s="5" t="inlineStr">
        <is>
          <t>Product Engineer</t>
        </is>
      </c>
      <c r="H942" s="5" t="inlineStr">
        <is>
          <t>3</t>
        </is>
      </c>
      <c r="I942" s="5" t="inlineStr">
        <is>
          <t>Remote</t>
        </is>
      </c>
      <c r="J942" s="5" t="inlineStr">
        <is>
          <t>Full-Time</t>
        </is>
      </c>
      <c r="K942" s="7" t="n">
        <v>44334</v>
      </c>
      <c r="L942" s="7" t="inlineStr"/>
      <c r="M942" s="5" t="inlineStr">
        <is>
          <t>Yes</t>
        </is>
      </c>
      <c r="N942" s="5" t="inlineStr"/>
      <c r="O942" s="8" t="inlineStr">
        <is>
          <t>140000</t>
        </is>
      </c>
      <c r="P942" s="5" t="inlineStr">
        <is>
          <t>10</t>
        </is>
      </c>
      <c r="Q942" s="5" t="inlineStr">
        <is>
          <t>3</t>
        </is>
      </c>
      <c r="R942" s="5" t="inlineStr">
        <is>
          <t>6</t>
        </is>
      </c>
      <c r="S942" s="5" t="inlineStr">
        <is>
          <t>56</t>
        </is>
      </c>
      <c r="T942" s="5" t="inlineStr">
        <is>
          <t>0</t>
        </is>
      </c>
      <c r="U942" s="5">
        <f>IFS(C942&lt;30,"Under 30",C942&lt;40,"30-39",C942&lt;50,"40-49",TRUE,"50+")</f>
        <v/>
      </c>
      <c r="V942" s="5">
        <f>IFS(O942&lt;60000,"Low (&lt;60k)",O942&lt;100000,"Mid (60-100k)",TRUE,"High (100k+)")</f>
        <v/>
      </c>
      <c r="W942" s="5">
        <f>IF(M942="No","Attrited","Active")</f>
        <v/>
      </c>
    </row>
    <row r="943">
      <c r="A943" s="5" t="inlineStr">
        <is>
          <t>E00942</t>
        </is>
      </c>
      <c r="B943" s="5" t="inlineStr">
        <is>
          <t>Male</t>
        </is>
      </c>
      <c r="C943" s="6" t="inlineStr">
        <is>
          <t>41</t>
        </is>
      </c>
      <c r="D943" s="5" t="inlineStr">
        <is>
          <t>Single</t>
        </is>
      </c>
      <c r="E943" s="5" t="inlineStr">
        <is>
          <t>High School</t>
        </is>
      </c>
      <c r="F943" s="5" t="inlineStr">
        <is>
          <t>Human Resources</t>
        </is>
      </c>
      <c r="G943" s="5" t="inlineStr">
        <is>
          <t>Recruiter</t>
        </is>
      </c>
      <c r="H943" s="5" t="inlineStr">
        <is>
          <t>7</t>
        </is>
      </c>
      <c r="I943" s="5" t="inlineStr">
        <is>
          <t>Bengaluru</t>
        </is>
      </c>
      <c r="J943" s="5" t="inlineStr">
        <is>
          <t>Full-Time</t>
        </is>
      </c>
      <c r="K943" s="7" t="n">
        <v>44031</v>
      </c>
      <c r="L943" s="7" t="inlineStr"/>
      <c r="M943" s="5" t="inlineStr">
        <is>
          <t>Yes</t>
        </is>
      </c>
      <c r="N943" s="5" t="inlineStr"/>
      <c r="O943" s="8" t="inlineStr">
        <is>
          <t>122000</t>
        </is>
      </c>
      <c r="P943" s="5" t="inlineStr">
        <is>
          <t>0</t>
        </is>
      </c>
      <c r="Q943" s="5" t="inlineStr">
        <is>
          <t>2</t>
        </is>
      </c>
      <c r="R943" s="5" t="inlineStr">
        <is>
          <t>7</t>
        </is>
      </c>
      <c r="S943" s="5" t="inlineStr">
        <is>
          <t>66</t>
        </is>
      </c>
      <c r="T943" s="5" t="inlineStr">
        <is>
          <t>6</t>
        </is>
      </c>
      <c r="U943" s="5">
        <f>IFS(C943&lt;30,"Under 30",C943&lt;40,"30-39",C943&lt;50,"40-49",TRUE,"50+")</f>
        <v/>
      </c>
      <c r="V943" s="5">
        <f>IFS(O943&lt;60000,"Low (&lt;60k)",O943&lt;100000,"Mid (60-100k)",TRUE,"High (100k+)")</f>
        <v/>
      </c>
      <c r="W943" s="5">
        <f>IF(M943="No","Attrited","Active")</f>
        <v/>
      </c>
    </row>
    <row r="944">
      <c r="A944" s="5" t="inlineStr">
        <is>
          <t>E00943</t>
        </is>
      </c>
      <c r="B944" s="5" t="inlineStr">
        <is>
          <t>Female</t>
        </is>
      </c>
      <c r="C944" s="6" t="inlineStr">
        <is>
          <t>34</t>
        </is>
      </c>
      <c r="D944" s="5" t="inlineStr">
        <is>
          <t>Married</t>
        </is>
      </c>
      <c r="E944" s="5" t="inlineStr">
        <is>
          <t>High School</t>
        </is>
      </c>
      <c r="F944" s="5" t="inlineStr">
        <is>
          <t>Operations</t>
        </is>
      </c>
      <c r="G944" s="5" t="inlineStr">
        <is>
          <t>Logistics Coordinator</t>
        </is>
      </c>
      <c r="H944" s="5" t="inlineStr">
        <is>
          <t>4</t>
        </is>
      </c>
      <c r="I944" s="5" t="inlineStr">
        <is>
          <t>Delhi</t>
        </is>
      </c>
      <c r="J944" s="5" t="inlineStr">
        <is>
          <t>Full-Time</t>
        </is>
      </c>
      <c r="K944" s="7" t="n">
        <v>45472</v>
      </c>
      <c r="L944" s="7" t="inlineStr"/>
      <c r="M944" s="5" t="inlineStr">
        <is>
          <t>Yes</t>
        </is>
      </c>
      <c r="N944" s="5" t="inlineStr"/>
      <c r="O944" s="8" t="inlineStr">
        <is>
          <t>110500</t>
        </is>
      </c>
      <c r="P944" s="5" t="inlineStr">
        <is>
          <t>0</t>
        </is>
      </c>
      <c r="Q944" s="5" t="inlineStr">
        <is>
          <t>3</t>
        </is>
      </c>
      <c r="R944" s="5" t="inlineStr">
        <is>
          <t>8</t>
        </is>
      </c>
      <c r="S944" s="5" t="inlineStr">
        <is>
          <t>18</t>
        </is>
      </c>
      <c r="T944" s="5" t="inlineStr">
        <is>
          <t>12</t>
        </is>
      </c>
      <c r="U944" s="5">
        <f>IFS(C944&lt;30,"Under 30",C944&lt;40,"30-39",C944&lt;50,"40-49",TRUE,"50+")</f>
        <v/>
      </c>
      <c r="V944" s="5">
        <f>IFS(O944&lt;60000,"Low (&lt;60k)",O944&lt;100000,"Mid (60-100k)",TRUE,"High (100k+)")</f>
        <v/>
      </c>
      <c r="W944" s="5">
        <f>IF(M944="No","Attrited","Active")</f>
        <v/>
      </c>
    </row>
    <row r="945">
      <c r="A945" s="5" t="inlineStr">
        <is>
          <t>E00944</t>
        </is>
      </c>
      <c r="B945" s="5" t="inlineStr">
        <is>
          <t>Male</t>
        </is>
      </c>
      <c r="C945" s="6" t="inlineStr">
        <is>
          <t>34</t>
        </is>
      </c>
      <c r="D945" s="5" t="inlineStr">
        <is>
          <t>Married</t>
        </is>
      </c>
      <c r="E945" s="5" t="inlineStr">
        <is>
          <t>Bachelor</t>
        </is>
      </c>
      <c r="F945" s="5" t="inlineStr">
        <is>
          <t>IT</t>
        </is>
      </c>
      <c r="G945" s="5" t="inlineStr">
        <is>
          <t>DevOps Engineer</t>
        </is>
      </c>
      <c r="H945" s="5" t="inlineStr">
        <is>
          <t>6</t>
        </is>
      </c>
      <c r="I945" s="5" t="inlineStr">
        <is>
          <t>Chennai</t>
        </is>
      </c>
      <c r="J945" s="5" t="inlineStr">
        <is>
          <t>Full-Time</t>
        </is>
      </c>
      <c r="K945" s="7" t="n">
        <v>44360</v>
      </c>
      <c r="L945" s="7" t="inlineStr"/>
      <c r="M945" s="5" t="inlineStr">
        <is>
          <t>Yes</t>
        </is>
      </c>
      <c r="N945" s="5" t="inlineStr"/>
      <c r="O945" s="8" t="inlineStr">
        <is>
          <t>244500</t>
        </is>
      </c>
      <c r="P945" s="5" t="inlineStr">
        <is>
          <t>5</t>
        </is>
      </c>
      <c r="Q945" s="5" t="inlineStr">
        <is>
          <t>2</t>
        </is>
      </c>
      <c r="R945" s="5" t="inlineStr">
        <is>
          <t>9</t>
        </is>
      </c>
      <c r="S945" s="5" t="inlineStr">
        <is>
          <t>55</t>
        </is>
      </c>
      <c r="T945" s="5" t="inlineStr">
        <is>
          <t>10</t>
        </is>
      </c>
      <c r="U945" s="5">
        <f>IFS(C945&lt;30,"Under 30",C945&lt;40,"30-39",C945&lt;50,"40-49",TRUE,"50+")</f>
        <v/>
      </c>
      <c r="V945" s="5">
        <f>IFS(O945&lt;60000,"Low (&lt;60k)",O945&lt;100000,"Mid (60-100k)",TRUE,"High (100k+)")</f>
        <v/>
      </c>
      <c r="W945" s="5">
        <f>IF(M945="No","Attrited","Active")</f>
        <v/>
      </c>
    </row>
    <row r="946">
      <c r="A946" s="5" t="inlineStr">
        <is>
          <t>E00945</t>
        </is>
      </c>
      <c r="B946" s="5" t="inlineStr">
        <is>
          <t>Male</t>
        </is>
      </c>
      <c r="C946" s="6" t="inlineStr">
        <is>
          <t>34</t>
        </is>
      </c>
      <c r="D946" s="5" t="inlineStr">
        <is>
          <t>Divorced</t>
        </is>
      </c>
      <c r="E946" s="5" t="inlineStr">
        <is>
          <t>PhD</t>
        </is>
      </c>
      <c r="F946" s="5" t="inlineStr">
        <is>
          <t>IT</t>
        </is>
      </c>
      <c r="G946" s="5" t="inlineStr">
        <is>
          <t>DevOps Engineer</t>
        </is>
      </c>
      <c r="H946" s="5" t="inlineStr">
        <is>
          <t>2</t>
        </is>
      </c>
      <c r="I946" s="5" t="inlineStr">
        <is>
          <t>Remote</t>
        </is>
      </c>
      <c r="J946" s="5" t="inlineStr">
        <is>
          <t>Full-Time</t>
        </is>
      </c>
      <c r="K946" s="7" t="n">
        <v>44494</v>
      </c>
      <c r="L946" s="7" t="inlineStr"/>
      <c r="M946" s="5" t="inlineStr">
        <is>
          <t>Yes</t>
        </is>
      </c>
      <c r="N946" s="5" t="inlineStr"/>
      <c r="O946" s="8" t="inlineStr">
        <is>
          <t>129500</t>
        </is>
      </c>
      <c r="P946" s="5" t="inlineStr">
        <is>
          <t>5</t>
        </is>
      </c>
      <c r="Q946" s="5" t="inlineStr">
        <is>
          <t>4</t>
        </is>
      </c>
      <c r="R946" s="5" t="inlineStr">
        <is>
          <t>3</t>
        </is>
      </c>
      <c r="S946" s="5" t="inlineStr">
        <is>
          <t>50</t>
        </is>
      </c>
      <c r="T946" s="5" t="inlineStr">
        <is>
          <t>0</t>
        </is>
      </c>
      <c r="U946" s="5">
        <f>IFS(C946&lt;30,"Under 30",C946&lt;40,"30-39",C946&lt;50,"40-49",TRUE,"50+")</f>
        <v/>
      </c>
      <c r="V946" s="5">
        <f>IFS(O946&lt;60000,"Low (&lt;60k)",O946&lt;100000,"Mid (60-100k)",TRUE,"High (100k+)")</f>
        <v/>
      </c>
      <c r="W946" s="5">
        <f>IF(M946="No","Attrited","Active")</f>
        <v/>
      </c>
    </row>
    <row r="947">
      <c r="A947" s="5" t="inlineStr">
        <is>
          <t>E00946</t>
        </is>
      </c>
      <c r="B947" s="5" t="inlineStr">
        <is>
          <t>Female</t>
        </is>
      </c>
      <c r="C947" s="6" t="inlineStr">
        <is>
          <t>28</t>
        </is>
      </c>
      <c r="D947" s="5" t="inlineStr">
        <is>
          <t>Married</t>
        </is>
      </c>
      <c r="E947" s="5" t="inlineStr">
        <is>
          <t>Master</t>
        </is>
      </c>
      <c r="F947" s="5" t="inlineStr">
        <is>
          <t>Customer Support</t>
        </is>
      </c>
      <c r="G947" s="5" t="inlineStr">
        <is>
          <t>Escalation Specialist</t>
        </is>
      </c>
      <c r="H947" s="5" t="inlineStr">
        <is>
          <t>2</t>
        </is>
      </c>
      <c r="I947" s="5" t="inlineStr">
        <is>
          <t>Chennai</t>
        </is>
      </c>
      <c r="J947" s="5" t="inlineStr">
        <is>
          <t>Full-Time</t>
        </is>
      </c>
      <c r="K947" s="7" t="n">
        <v>45434</v>
      </c>
      <c r="L947" s="7" t="inlineStr"/>
      <c r="M947" s="5" t="inlineStr">
        <is>
          <t>Yes</t>
        </is>
      </c>
      <c r="N947" s="5" t="inlineStr"/>
      <c r="O947" s="8" t="inlineStr">
        <is>
          <t>59000</t>
        </is>
      </c>
      <c r="P947" s="5" t="inlineStr">
        <is>
          <t>5</t>
        </is>
      </c>
      <c r="Q947" s="5" t="inlineStr">
        <is>
          <t>4</t>
        </is>
      </c>
      <c r="R947" s="5" t="inlineStr">
        <is>
          <t>7</t>
        </is>
      </c>
      <c r="S947" s="5" t="inlineStr">
        <is>
          <t>19</t>
        </is>
      </c>
      <c r="T947" s="5" t="inlineStr">
        <is>
          <t>10</t>
        </is>
      </c>
      <c r="U947" s="5">
        <f>IFS(C947&lt;30,"Under 30",C947&lt;40,"30-39",C947&lt;50,"40-49",TRUE,"50+")</f>
        <v/>
      </c>
      <c r="V947" s="5">
        <f>IFS(O947&lt;60000,"Low (&lt;60k)",O947&lt;100000,"Mid (60-100k)",TRUE,"High (100k+)")</f>
        <v/>
      </c>
      <c r="W947" s="5">
        <f>IF(M947="No","Attrited","Active")</f>
        <v/>
      </c>
    </row>
    <row r="948">
      <c r="A948" s="5" t="inlineStr">
        <is>
          <t>E00947</t>
        </is>
      </c>
      <c r="B948" s="5" t="inlineStr">
        <is>
          <t>Female</t>
        </is>
      </c>
      <c r="C948" s="6" t="inlineStr">
        <is>
          <t>40</t>
        </is>
      </c>
      <c r="D948" s="5" t="inlineStr">
        <is>
          <t>Single</t>
        </is>
      </c>
      <c r="E948" s="5" t="inlineStr">
        <is>
          <t>Diploma</t>
        </is>
      </c>
      <c r="F948" s="5" t="inlineStr">
        <is>
          <t>Research &amp; Development</t>
        </is>
      </c>
      <c r="G948" s="5" t="inlineStr">
        <is>
          <t>Research Scientist</t>
        </is>
      </c>
      <c r="H948" s="5" t="inlineStr">
        <is>
          <t>5</t>
        </is>
      </c>
      <c r="I948" s="5" t="inlineStr">
        <is>
          <t>Mumbai</t>
        </is>
      </c>
      <c r="J948" s="5" t="inlineStr">
        <is>
          <t>Full-Time</t>
        </is>
      </c>
      <c r="K948" s="7" t="n">
        <v>45550</v>
      </c>
      <c r="L948" s="7" t="inlineStr"/>
      <c r="M948" s="5" t="inlineStr">
        <is>
          <t>Yes</t>
        </is>
      </c>
      <c r="N948" s="5" t="inlineStr"/>
      <c r="O948" s="8" t="inlineStr">
        <is>
          <t>162000</t>
        </is>
      </c>
      <c r="P948" s="5" t="inlineStr">
        <is>
          <t>15</t>
        </is>
      </c>
      <c r="Q948" s="5" t="inlineStr">
        <is>
          <t>5</t>
        </is>
      </c>
      <c r="R948" s="5" t="inlineStr">
        <is>
          <t>8</t>
        </is>
      </c>
      <c r="S948" s="5" t="inlineStr">
        <is>
          <t>15</t>
        </is>
      </c>
      <c r="T948" s="5" t="inlineStr">
        <is>
          <t>2</t>
        </is>
      </c>
      <c r="U948" s="5">
        <f>IFS(C948&lt;30,"Under 30",C948&lt;40,"30-39",C948&lt;50,"40-49",TRUE,"50+")</f>
        <v/>
      </c>
      <c r="V948" s="5">
        <f>IFS(O948&lt;60000,"Low (&lt;60k)",O948&lt;100000,"Mid (60-100k)",TRUE,"High (100k+)")</f>
        <v/>
      </c>
      <c r="W948" s="5">
        <f>IF(M948="No","Attrited","Active")</f>
        <v/>
      </c>
    </row>
    <row r="949">
      <c r="A949" s="5" t="inlineStr">
        <is>
          <t>E00948</t>
        </is>
      </c>
      <c r="B949" s="5" t="inlineStr">
        <is>
          <t>Male</t>
        </is>
      </c>
      <c r="C949" s="6" t="inlineStr">
        <is>
          <t>30</t>
        </is>
      </c>
      <c r="D949" s="5" t="inlineStr">
        <is>
          <t>Married</t>
        </is>
      </c>
      <c r="E949" s="5" t="inlineStr">
        <is>
          <t>Diploma</t>
        </is>
      </c>
      <c r="F949" s="5" t="inlineStr">
        <is>
          <t>Marketing</t>
        </is>
      </c>
      <c r="G949" s="5" t="inlineStr">
        <is>
          <t>Marketing Analyst</t>
        </is>
      </c>
      <c r="H949" s="5" t="inlineStr">
        <is>
          <t>4</t>
        </is>
      </c>
      <c r="I949" s="5" t="inlineStr">
        <is>
          <t>Bengaluru</t>
        </is>
      </c>
      <c r="J949" s="5" t="inlineStr">
        <is>
          <t>Full-Time</t>
        </is>
      </c>
      <c r="K949" s="7" t="n">
        <v>44999</v>
      </c>
      <c r="L949" s="7" t="inlineStr"/>
      <c r="M949" s="5" t="inlineStr">
        <is>
          <t>Yes</t>
        </is>
      </c>
      <c r="N949" s="5" t="inlineStr"/>
      <c r="O949" s="8" t="inlineStr">
        <is>
          <t>116000</t>
        </is>
      </c>
      <c r="P949" s="5" t="inlineStr">
        <is>
          <t>5</t>
        </is>
      </c>
      <c r="Q949" s="5" t="inlineStr">
        <is>
          <t>3</t>
        </is>
      </c>
      <c r="R949" s="5" t="inlineStr">
        <is>
          <t>6</t>
        </is>
      </c>
      <c r="S949" s="5" t="inlineStr">
        <is>
          <t>34</t>
        </is>
      </c>
      <c r="T949" s="5" t="inlineStr">
        <is>
          <t>2</t>
        </is>
      </c>
      <c r="U949" s="5">
        <f>IFS(C949&lt;30,"Under 30",C949&lt;40,"30-39",C949&lt;50,"40-49",TRUE,"50+")</f>
        <v/>
      </c>
      <c r="V949" s="5">
        <f>IFS(O949&lt;60000,"Low (&lt;60k)",O949&lt;100000,"Mid (60-100k)",TRUE,"High (100k+)")</f>
        <v/>
      </c>
      <c r="W949" s="5">
        <f>IF(M949="No","Attrited","Active")</f>
        <v/>
      </c>
    </row>
    <row r="950">
      <c r="A950" s="5" t="inlineStr">
        <is>
          <t>E00949</t>
        </is>
      </c>
      <c r="B950" s="5" t="inlineStr">
        <is>
          <t>Female</t>
        </is>
      </c>
      <c r="C950" s="6" t="inlineStr">
        <is>
          <t>31</t>
        </is>
      </c>
      <c r="D950" s="5" t="inlineStr">
        <is>
          <t>Married</t>
        </is>
      </c>
      <c r="E950" s="5" t="inlineStr">
        <is>
          <t>High School</t>
        </is>
      </c>
      <c r="F950" s="5" t="inlineStr">
        <is>
          <t>Marketing</t>
        </is>
      </c>
      <c r="G950" s="5" t="inlineStr">
        <is>
          <t>Marketing Analyst</t>
        </is>
      </c>
      <c r="H950" s="5" t="inlineStr">
        <is>
          <t>1</t>
        </is>
      </c>
      <c r="I950" s="5" t="inlineStr">
        <is>
          <t>Chennai</t>
        </is>
      </c>
      <c r="J950" s="5" t="inlineStr">
        <is>
          <t>Full-Time</t>
        </is>
      </c>
      <c r="K950" s="7" t="n">
        <v>44121</v>
      </c>
      <c r="L950" s="7" t="inlineStr"/>
      <c r="M950" s="5" t="inlineStr">
        <is>
          <t>Yes</t>
        </is>
      </c>
      <c r="N950" s="5" t="inlineStr"/>
      <c r="O950" s="8" t="inlineStr">
        <is>
          <t>68000</t>
        </is>
      </c>
      <c r="P950" s="5" t="inlineStr">
        <is>
          <t>0</t>
        </is>
      </c>
      <c r="Q950" s="5" t="inlineStr">
        <is>
          <t>4</t>
        </is>
      </c>
      <c r="R950" s="5" t="inlineStr">
        <is>
          <t>4</t>
        </is>
      </c>
      <c r="S950" s="5" t="inlineStr">
        <is>
          <t>63</t>
        </is>
      </c>
      <c r="T950" s="5" t="inlineStr">
        <is>
          <t>10</t>
        </is>
      </c>
      <c r="U950" s="5">
        <f>IFS(C950&lt;30,"Under 30",C950&lt;40,"30-39",C950&lt;50,"40-49",TRUE,"50+")</f>
        <v/>
      </c>
      <c r="V950" s="5">
        <f>IFS(O950&lt;60000,"Low (&lt;60k)",O950&lt;100000,"Mid (60-100k)",TRUE,"High (100k+)")</f>
        <v/>
      </c>
      <c r="W950" s="5">
        <f>IF(M950="No","Attrited","Active")</f>
        <v/>
      </c>
    </row>
    <row r="951">
      <c r="A951" s="5" t="inlineStr">
        <is>
          <t>E00950</t>
        </is>
      </c>
      <c r="B951" s="5" t="inlineStr">
        <is>
          <t>Male</t>
        </is>
      </c>
      <c r="C951" s="6" t="inlineStr">
        <is>
          <t>42</t>
        </is>
      </c>
      <c r="D951" s="5" t="inlineStr">
        <is>
          <t>Married</t>
        </is>
      </c>
      <c r="E951" s="5" t="inlineStr">
        <is>
          <t>PhD</t>
        </is>
      </c>
      <c r="F951" s="5" t="inlineStr">
        <is>
          <t>IT</t>
        </is>
      </c>
      <c r="G951" s="5" t="inlineStr">
        <is>
          <t>IT Support</t>
        </is>
      </c>
      <c r="H951" s="5" t="inlineStr">
        <is>
          <t>5</t>
        </is>
      </c>
      <c r="I951" s="5" t="inlineStr">
        <is>
          <t>Remote</t>
        </is>
      </c>
      <c r="J951" s="5" t="inlineStr">
        <is>
          <t>Full-Time</t>
        </is>
      </c>
      <c r="K951" s="7" t="n">
        <v>44062</v>
      </c>
      <c r="L951" s="7" t="inlineStr"/>
      <c r="M951" s="5" t="inlineStr">
        <is>
          <t>Yes</t>
        </is>
      </c>
      <c r="N951" s="5" t="inlineStr"/>
      <c r="O951" s="8" t="inlineStr">
        <is>
          <t>157000</t>
        </is>
      </c>
      <c r="P951" s="5" t="inlineStr">
        <is>
          <t>0</t>
        </is>
      </c>
      <c r="Q951" s="5" t="inlineStr">
        <is>
          <t>4</t>
        </is>
      </c>
      <c r="R951" s="5" t="inlineStr">
        <is>
          <t>6</t>
        </is>
      </c>
      <c r="S951" s="5" t="inlineStr">
        <is>
          <t>65</t>
        </is>
      </c>
      <c r="T951" s="5" t="inlineStr">
        <is>
          <t>3</t>
        </is>
      </c>
      <c r="U951" s="5">
        <f>IFS(C951&lt;30,"Under 30",C951&lt;40,"30-39",C951&lt;50,"40-49",TRUE,"50+")</f>
        <v/>
      </c>
      <c r="V951" s="5">
        <f>IFS(O951&lt;60000,"Low (&lt;60k)",O951&lt;100000,"Mid (60-100k)",TRUE,"High (100k+)")</f>
        <v/>
      </c>
      <c r="W951" s="5">
        <f>IF(M951="No","Attrited","Active")</f>
        <v/>
      </c>
    </row>
    <row r="952">
      <c r="A952" s="5" t="inlineStr">
        <is>
          <t>E00951</t>
        </is>
      </c>
      <c r="B952" s="5" t="inlineStr">
        <is>
          <t>Male</t>
        </is>
      </c>
      <c r="C952" s="6" t="inlineStr">
        <is>
          <t>27</t>
        </is>
      </c>
      <c r="D952" s="5" t="inlineStr">
        <is>
          <t>Married</t>
        </is>
      </c>
      <c r="E952" s="5" t="inlineStr">
        <is>
          <t>Bachelor</t>
        </is>
      </c>
      <c r="F952" s="5" t="inlineStr">
        <is>
          <t>Finance</t>
        </is>
      </c>
      <c r="G952" s="5" t="inlineStr">
        <is>
          <t>Financial Analyst</t>
        </is>
      </c>
      <c r="H952" s="5" t="inlineStr">
        <is>
          <t>1</t>
        </is>
      </c>
      <c r="I952" s="5" t="inlineStr">
        <is>
          <t>Chennai</t>
        </is>
      </c>
      <c r="J952" s="5" t="inlineStr">
        <is>
          <t>Full-Time</t>
        </is>
      </c>
      <c r="K952" s="7" t="n">
        <v>44002</v>
      </c>
      <c r="L952" s="7" t="inlineStr"/>
      <c r="M952" s="5" t="inlineStr">
        <is>
          <t>Yes</t>
        </is>
      </c>
      <c r="N952" s="5" t="inlineStr"/>
      <c r="O952" s="8" t="inlineStr">
        <is>
          <t>105000</t>
        </is>
      </c>
      <c r="P952" s="5" t="inlineStr">
        <is>
          <t>5</t>
        </is>
      </c>
      <c r="Q952" s="5" t="inlineStr">
        <is>
          <t>4</t>
        </is>
      </c>
      <c r="R952" s="5" t="inlineStr">
        <is>
          <t>4</t>
        </is>
      </c>
      <c r="S952" s="5" t="inlineStr">
        <is>
          <t>67</t>
        </is>
      </c>
      <c r="T952" s="5" t="inlineStr">
        <is>
          <t>18</t>
        </is>
      </c>
      <c r="U952" s="5">
        <f>IFS(C952&lt;30,"Under 30",C952&lt;40,"30-39",C952&lt;50,"40-49",TRUE,"50+")</f>
        <v/>
      </c>
      <c r="V952" s="5">
        <f>IFS(O952&lt;60000,"Low (&lt;60k)",O952&lt;100000,"Mid (60-100k)",TRUE,"High (100k+)")</f>
        <v/>
      </c>
      <c r="W952" s="5">
        <f>IF(M952="No","Attrited","Active")</f>
        <v/>
      </c>
    </row>
    <row r="953">
      <c r="A953" s="5" t="inlineStr">
        <is>
          <t>E00952</t>
        </is>
      </c>
      <c r="B953" s="5" t="inlineStr">
        <is>
          <t>Female</t>
        </is>
      </c>
      <c r="C953" s="6" t="inlineStr">
        <is>
          <t>27</t>
        </is>
      </c>
      <c r="D953" s="5" t="inlineStr">
        <is>
          <t>Married</t>
        </is>
      </c>
      <c r="E953" s="5" t="inlineStr">
        <is>
          <t>Master</t>
        </is>
      </c>
      <c r="F953" s="5" t="inlineStr">
        <is>
          <t>Customer Support</t>
        </is>
      </c>
      <c r="G953" s="5" t="inlineStr">
        <is>
          <t>Support Agent</t>
        </is>
      </c>
      <c r="H953" s="5" t="inlineStr">
        <is>
          <t>2</t>
        </is>
      </c>
      <c r="I953" s="5" t="inlineStr">
        <is>
          <t>Chennai</t>
        </is>
      </c>
      <c r="J953" s="5" t="inlineStr">
        <is>
          <t>Full-Time</t>
        </is>
      </c>
      <c r="K953" s="7" t="n">
        <v>44363</v>
      </c>
      <c r="L953" s="7" t="n">
        <v>44423</v>
      </c>
      <c r="M953" s="5" t="inlineStr">
        <is>
          <t>No</t>
        </is>
      </c>
      <c r="N953" s="5" t="inlineStr">
        <is>
          <t>Retirement</t>
        </is>
      </c>
      <c r="O953" s="8" t="inlineStr">
        <is>
          <t>63500</t>
        </is>
      </c>
      <c r="P953" s="5" t="inlineStr">
        <is>
          <t>10</t>
        </is>
      </c>
      <c r="Q953" s="5" t="inlineStr">
        <is>
          <t>5</t>
        </is>
      </c>
      <c r="R953" s="5" t="inlineStr">
        <is>
          <t>5</t>
        </is>
      </c>
      <c r="S953" s="5" t="inlineStr">
        <is>
          <t>2</t>
        </is>
      </c>
      <c r="T953" s="5" t="inlineStr">
        <is>
          <t>8</t>
        </is>
      </c>
      <c r="U953" s="5">
        <f>IFS(C953&lt;30,"Under 30",C953&lt;40,"30-39",C953&lt;50,"40-49",TRUE,"50+")</f>
        <v/>
      </c>
      <c r="V953" s="5">
        <f>IFS(O953&lt;60000,"Low (&lt;60k)",O953&lt;100000,"Mid (60-100k)",TRUE,"High (100k+)")</f>
        <v/>
      </c>
      <c r="W953" s="5">
        <f>IF(M953="No","Attrited","Active")</f>
        <v/>
      </c>
    </row>
    <row r="954">
      <c r="A954" s="5" t="inlineStr">
        <is>
          <t>E00953</t>
        </is>
      </c>
      <c r="B954" s="5" t="inlineStr">
        <is>
          <t>Male</t>
        </is>
      </c>
      <c r="C954" s="6" t="inlineStr">
        <is>
          <t>40</t>
        </is>
      </c>
      <c r="D954" s="5" t="inlineStr">
        <is>
          <t>Married</t>
        </is>
      </c>
      <c r="E954" s="5" t="inlineStr">
        <is>
          <t>High School</t>
        </is>
      </c>
      <c r="F954" s="5" t="inlineStr">
        <is>
          <t>IT</t>
        </is>
      </c>
      <c r="G954" s="5" t="inlineStr">
        <is>
          <t>Software Engineer</t>
        </is>
      </c>
      <c r="H954" s="5" t="inlineStr">
        <is>
          <t>4</t>
        </is>
      </c>
      <c r="I954" s="5" t="inlineStr">
        <is>
          <t>Chennai</t>
        </is>
      </c>
      <c r="J954" s="5" t="inlineStr">
        <is>
          <t>Full-Time</t>
        </is>
      </c>
      <c r="K954" s="7" t="n">
        <v>43929</v>
      </c>
      <c r="L954" s="7" t="inlineStr"/>
      <c r="M954" s="5" t="inlineStr">
        <is>
          <t>Yes</t>
        </is>
      </c>
      <c r="N954" s="5" t="inlineStr"/>
      <c r="O954" s="8" t="inlineStr">
        <is>
          <t>176500</t>
        </is>
      </c>
      <c r="P954" s="5" t="inlineStr">
        <is>
          <t>5</t>
        </is>
      </c>
      <c r="Q954" s="5" t="inlineStr">
        <is>
          <t>3</t>
        </is>
      </c>
      <c r="R954" s="5" t="inlineStr">
        <is>
          <t>6</t>
        </is>
      </c>
      <c r="S954" s="5" t="inlineStr">
        <is>
          <t>69</t>
        </is>
      </c>
      <c r="T954" s="5" t="inlineStr">
        <is>
          <t>0</t>
        </is>
      </c>
      <c r="U954" s="5">
        <f>IFS(C954&lt;30,"Under 30",C954&lt;40,"30-39",C954&lt;50,"40-49",TRUE,"50+")</f>
        <v/>
      </c>
      <c r="V954" s="5">
        <f>IFS(O954&lt;60000,"Low (&lt;60k)",O954&lt;100000,"Mid (60-100k)",TRUE,"High (100k+)")</f>
        <v/>
      </c>
      <c r="W954" s="5">
        <f>IF(M954="No","Attrited","Active")</f>
        <v/>
      </c>
    </row>
    <row r="955">
      <c r="A955" s="5" t="inlineStr">
        <is>
          <t>E00954</t>
        </is>
      </c>
      <c r="B955" s="5" t="inlineStr">
        <is>
          <t>Female</t>
        </is>
      </c>
      <c r="C955" s="6" t="inlineStr">
        <is>
          <t>36</t>
        </is>
      </c>
      <c r="D955" s="5" t="inlineStr">
        <is>
          <t>Single</t>
        </is>
      </c>
      <c r="E955" s="5" t="inlineStr">
        <is>
          <t>Diploma</t>
        </is>
      </c>
      <c r="F955" s="5" t="inlineStr">
        <is>
          <t>Marketing</t>
        </is>
      </c>
      <c r="G955" s="5" t="inlineStr">
        <is>
          <t>Marketing Analyst</t>
        </is>
      </c>
      <c r="H955" s="5" t="inlineStr">
        <is>
          <t>3</t>
        </is>
      </c>
      <c r="I955" s="5" t="inlineStr">
        <is>
          <t>Bengaluru</t>
        </is>
      </c>
      <c r="J955" s="5" t="inlineStr">
        <is>
          <t>Part-Time</t>
        </is>
      </c>
      <c r="K955" s="7" t="n">
        <v>45474</v>
      </c>
      <c r="L955" s="7" t="inlineStr"/>
      <c r="M955" s="5" t="inlineStr">
        <is>
          <t>Yes</t>
        </is>
      </c>
      <c r="N955" s="5" t="inlineStr"/>
      <c r="O955" s="8" t="inlineStr">
        <is>
          <t>66500</t>
        </is>
      </c>
      <c r="P955" s="5" t="inlineStr">
        <is>
          <t>0</t>
        </is>
      </c>
      <c r="Q955" s="5" t="inlineStr">
        <is>
          <t>4</t>
        </is>
      </c>
      <c r="R955" s="5" t="inlineStr">
        <is>
          <t>7</t>
        </is>
      </c>
      <c r="S955" s="5" t="inlineStr">
        <is>
          <t>18</t>
        </is>
      </c>
      <c r="T955" s="5" t="inlineStr">
        <is>
          <t>11</t>
        </is>
      </c>
      <c r="U955" s="5">
        <f>IFS(C955&lt;30,"Under 30",C955&lt;40,"30-39",C955&lt;50,"40-49",TRUE,"50+")</f>
        <v/>
      </c>
      <c r="V955" s="5">
        <f>IFS(O955&lt;60000,"Low (&lt;60k)",O955&lt;100000,"Mid (60-100k)",TRUE,"High (100k+)")</f>
        <v/>
      </c>
      <c r="W955" s="5">
        <f>IF(M955="No","Attrited","Active")</f>
        <v/>
      </c>
    </row>
    <row r="956">
      <c r="A956" s="5" t="inlineStr">
        <is>
          <t>E00955</t>
        </is>
      </c>
      <c r="B956" s="5" t="inlineStr">
        <is>
          <t>Male</t>
        </is>
      </c>
      <c r="C956" s="6" t="inlineStr">
        <is>
          <t>27</t>
        </is>
      </c>
      <c r="D956" s="5" t="inlineStr">
        <is>
          <t>Married</t>
        </is>
      </c>
      <c r="E956" s="5" t="inlineStr">
        <is>
          <t>PhD</t>
        </is>
      </c>
      <c r="F956" s="5" t="inlineStr">
        <is>
          <t>Customer Support</t>
        </is>
      </c>
      <c r="G956" s="5" t="inlineStr">
        <is>
          <t>Support Lead</t>
        </is>
      </c>
      <c r="H956" s="5" t="inlineStr">
        <is>
          <t>1</t>
        </is>
      </c>
      <c r="I956" s="5" t="inlineStr">
        <is>
          <t>Remote</t>
        </is>
      </c>
      <c r="J956" s="5" t="inlineStr">
        <is>
          <t>Full-Time</t>
        </is>
      </c>
      <c r="K956" s="7" t="n">
        <v>45779</v>
      </c>
      <c r="L956" s="7" t="n">
        <v>45891</v>
      </c>
      <c r="M956" s="5" t="inlineStr">
        <is>
          <t>No</t>
        </is>
      </c>
      <c r="N956" s="5" t="inlineStr">
        <is>
          <t>Layoff</t>
        </is>
      </c>
      <c r="O956" s="8" t="inlineStr">
        <is>
          <t>69500</t>
        </is>
      </c>
      <c r="P956" s="5" t="inlineStr">
        <is>
          <t>5</t>
        </is>
      </c>
      <c r="Q956" s="5" t="inlineStr">
        <is>
          <t>1</t>
        </is>
      </c>
      <c r="R956" s="5" t="inlineStr">
        <is>
          <t>6</t>
        </is>
      </c>
      <c r="S956" s="5" t="inlineStr">
        <is>
          <t>3</t>
        </is>
      </c>
      <c r="T956" s="5" t="inlineStr">
        <is>
          <t>5</t>
        </is>
      </c>
      <c r="U956" s="5">
        <f>IFS(C956&lt;30,"Under 30",C956&lt;40,"30-39",C956&lt;50,"40-49",TRUE,"50+")</f>
        <v/>
      </c>
      <c r="V956" s="5">
        <f>IFS(O956&lt;60000,"Low (&lt;60k)",O956&lt;100000,"Mid (60-100k)",TRUE,"High (100k+)")</f>
        <v/>
      </c>
      <c r="W956" s="5">
        <f>IF(M956="No","Attrited","Active")</f>
        <v/>
      </c>
    </row>
    <row r="957">
      <c r="A957" s="5" t="inlineStr">
        <is>
          <t>E00956</t>
        </is>
      </c>
      <c r="B957" s="5" t="inlineStr">
        <is>
          <t>Male</t>
        </is>
      </c>
      <c r="C957" s="6" t="inlineStr">
        <is>
          <t>41</t>
        </is>
      </c>
      <c r="D957" s="5" t="inlineStr">
        <is>
          <t>Married</t>
        </is>
      </c>
      <c r="E957" s="5" t="inlineStr">
        <is>
          <t>Diploma</t>
        </is>
      </c>
      <c r="F957" s="5" t="inlineStr">
        <is>
          <t>Sales</t>
        </is>
      </c>
      <c r="G957" s="5" t="inlineStr">
        <is>
          <t>Business Development</t>
        </is>
      </c>
      <c r="H957" s="5" t="inlineStr">
        <is>
          <t>5</t>
        </is>
      </c>
      <c r="I957" s="5" t="inlineStr">
        <is>
          <t>Delhi</t>
        </is>
      </c>
      <c r="J957" s="5" t="inlineStr">
        <is>
          <t>Full-Time</t>
        </is>
      </c>
      <c r="K957" s="7" t="n">
        <v>45030</v>
      </c>
      <c r="L957" s="7" t="inlineStr"/>
      <c r="M957" s="5" t="inlineStr">
        <is>
          <t>Yes</t>
        </is>
      </c>
      <c r="N957" s="5" t="inlineStr"/>
      <c r="O957" s="8" t="inlineStr">
        <is>
          <t>166000</t>
        </is>
      </c>
      <c r="P957" s="5" t="inlineStr">
        <is>
          <t>5</t>
        </is>
      </c>
      <c r="Q957" s="5" t="inlineStr">
        <is>
          <t>2</t>
        </is>
      </c>
      <c r="R957" s="5" t="inlineStr">
        <is>
          <t>5</t>
        </is>
      </c>
      <c r="S957" s="5" t="inlineStr">
        <is>
          <t>33</t>
        </is>
      </c>
      <c r="T957" s="5" t="inlineStr">
        <is>
          <t>6</t>
        </is>
      </c>
      <c r="U957" s="5">
        <f>IFS(C957&lt;30,"Under 30",C957&lt;40,"30-39",C957&lt;50,"40-49",TRUE,"50+")</f>
        <v/>
      </c>
      <c r="V957" s="5">
        <f>IFS(O957&lt;60000,"Low (&lt;60k)",O957&lt;100000,"Mid (60-100k)",TRUE,"High (100k+)")</f>
        <v/>
      </c>
      <c r="W957" s="5">
        <f>IF(M957="No","Attrited","Active")</f>
        <v/>
      </c>
    </row>
    <row r="958">
      <c r="A958" s="5" t="inlineStr">
        <is>
          <t>E00957</t>
        </is>
      </c>
      <c r="B958" s="5" t="inlineStr">
        <is>
          <t>Female</t>
        </is>
      </c>
      <c r="C958" s="6" t="inlineStr">
        <is>
          <t>41</t>
        </is>
      </c>
      <c r="D958" s="5" t="inlineStr">
        <is>
          <t>Single</t>
        </is>
      </c>
      <c r="E958" s="5" t="inlineStr">
        <is>
          <t>Diploma</t>
        </is>
      </c>
      <c r="F958" s="5" t="inlineStr">
        <is>
          <t>Human Resources</t>
        </is>
      </c>
      <c r="G958" s="5" t="inlineStr">
        <is>
          <t>HR Generalist</t>
        </is>
      </c>
      <c r="H958" s="5" t="inlineStr">
        <is>
          <t>5</t>
        </is>
      </c>
      <c r="I958" s="5" t="inlineStr">
        <is>
          <t>Delhi</t>
        </is>
      </c>
      <c r="J958" s="5" t="inlineStr">
        <is>
          <t>Full-Time</t>
        </is>
      </c>
      <c r="K958" s="7" t="n">
        <v>44278</v>
      </c>
      <c r="L958" s="7" t="inlineStr"/>
      <c r="M958" s="5" t="inlineStr">
        <is>
          <t>Yes</t>
        </is>
      </c>
      <c r="N958" s="5" t="inlineStr"/>
      <c r="O958" s="8" t="inlineStr">
        <is>
          <t>88500</t>
        </is>
      </c>
      <c r="P958" s="5" t="inlineStr">
        <is>
          <t>5</t>
        </is>
      </c>
      <c r="Q958" s="5" t="inlineStr">
        <is>
          <t>4</t>
        </is>
      </c>
      <c r="R958" s="5" t="inlineStr">
        <is>
          <t>8</t>
        </is>
      </c>
      <c r="S958" s="5" t="inlineStr">
        <is>
          <t>58</t>
        </is>
      </c>
      <c r="T958" s="5" t="inlineStr">
        <is>
          <t>0</t>
        </is>
      </c>
      <c r="U958" s="5">
        <f>IFS(C958&lt;30,"Under 30",C958&lt;40,"30-39",C958&lt;50,"40-49",TRUE,"50+")</f>
        <v/>
      </c>
      <c r="V958" s="5">
        <f>IFS(O958&lt;60000,"Low (&lt;60k)",O958&lt;100000,"Mid (60-100k)",TRUE,"High (100k+)")</f>
        <v/>
      </c>
      <c r="W958" s="5">
        <f>IF(M958="No","Attrited","Active")</f>
        <v/>
      </c>
    </row>
    <row r="959">
      <c r="A959" s="5" t="inlineStr">
        <is>
          <t>E00958</t>
        </is>
      </c>
      <c r="B959" s="5" t="inlineStr">
        <is>
          <t>Male</t>
        </is>
      </c>
      <c r="C959" s="6" t="inlineStr">
        <is>
          <t>35</t>
        </is>
      </c>
      <c r="D959" s="5" t="inlineStr">
        <is>
          <t>Married</t>
        </is>
      </c>
      <c r="E959" s="5" t="inlineStr">
        <is>
          <t>Bachelor</t>
        </is>
      </c>
      <c r="F959" s="5" t="inlineStr">
        <is>
          <t>IT</t>
        </is>
      </c>
      <c r="G959" s="5" t="inlineStr">
        <is>
          <t>Data Analyst</t>
        </is>
      </c>
      <c r="H959" s="5" t="inlineStr">
        <is>
          <t>3</t>
        </is>
      </c>
      <c r="I959" s="5" t="inlineStr">
        <is>
          <t>Remote</t>
        </is>
      </c>
      <c r="J959" s="5" t="inlineStr">
        <is>
          <t>Full-Time</t>
        </is>
      </c>
      <c r="K959" s="7" t="n">
        <v>45767</v>
      </c>
      <c r="L959" s="7" t="inlineStr"/>
      <c r="M959" s="5" t="inlineStr">
        <is>
          <t>Yes</t>
        </is>
      </c>
      <c r="N959" s="5" t="inlineStr"/>
      <c r="O959" s="8" t="inlineStr">
        <is>
          <t>151000</t>
        </is>
      </c>
      <c r="P959" s="5" t="inlineStr">
        <is>
          <t>10</t>
        </is>
      </c>
      <c r="Q959" s="5" t="inlineStr">
        <is>
          <t>4</t>
        </is>
      </c>
      <c r="R959" s="5" t="inlineStr">
        <is>
          <t>6</t>
        </is>
      </c>
      <c r="S959" s="5" t="inlineStr">
        <is>
          <t>8</t>
        </is>
      </c>
      <c r="T959" s="5" t="inlineStr">
        <is>
          <t>9</t>
        </is>
      </c>
      <c r="U959" s="5">
        <f>IFS(C959&lt;30,"Under 30",C959&lt;40,"30-39",C959&lt;50,"40-49",TRUE,"50+")</f>
        <v/>
      </c>
      <c r="V959" s="5">
        <f>IFS(O959&lt;60000,"Low (&lt;60k)",O959&lt;100000,"Mid (60-100k)",TRUE,"High (100k+)")</f>
        <v/>
      </c>
      <c r="W959" s="5">
        <f>IF(M959="No","Attrited","Active")</f>
        <v/>
      </c>
    </row>
    <row r="960">
      <c r="A960" s="5" t="inlineStr">
        <is>
          <t>E00959</t>
        </is>
      </c>
      <c r="B960" s="5" t="inlineStr">
        <is>
          <t>Female</t>
        </is>
      </c>
      <c r="C960" s="6" t="inlineStr">
        <is>
          <t>26</t>
        </is>
      </c>
      <c r="D960" s="5" t="inlineStr">
        <is>
          <t>Single</t>
        </is>
      </c>
      <c r="E960" s="5" t="inlineStr">
        <is>
          <t>High School</t>
        </is>
      </c>
      <c r="F960" s="5" t="inlineStr">
        <is>
          <t>Customer Support</t>
        </is>
      </c>
      <c r="G960" s="5" t="inlineStr">
        <is>
          <t>Escalation Specialist</t>
        </is>
      </c>
      <c r="H960" s="5" t="inlineStr">
        <is>
          <t>1</t>
        </is>
      </c>
      <c r="I960" s="5" t="inlineStr">
        <is>
          <t>Mumbai</t>
        </is>
      </c>
      <c r="J960" s="5" t="inlineStr">
        <is>
          <t>Full-Time</t>
        </is>
      </c>
      <c r="K960" s="7" t="n">
        <v>44910</v>
      </c>
      <c r="L960" s="7" t="inlineStr"/>
      <c r="M960" s="5" t="inlineStr">
        <is>
          <t>Yes</t>
        </is>
      </c>
      <c r="N960" s="5" t="inlineStr"/>
      <c r="O960" s="8" t="inlineStr">
        <is>
          <t>52000</t>
        </is>
      </c>
      <c r="P960" s="5" t="inlineStr">
        <is>
          <t>0</t>
        </is>
      </c>
      <c r="Q960" s="5" t="inlineStr">
        <is>
          <t>4</t>
        </is>
      </c>
      <c r="R960" s="5" t="inlineStr">
        <is>
          <t>6</t>
        </is>
      </c>
      <c r="S960" s="5" t="inlineStr">
        <is>
          <t>37</t>
        </is>
      </c>
      <c r="T960" s="5" t="inlineStr">
        <is>
          <t>9</t>
        </is>
      </c>
      <c r="U960" s="5">
        <f>IFS(C960&lt;30,"Under 30",C960&lt;40,"30-39",C960&lt;50,"40-49",TRUE,"50+")</f>
        <v/>
      </c>
      <c r="V960" s="5">
        <f>IFS(O960&lt;60000,"Low (&lt;60k)",O960&lt;100000,"Mid (60-100k)",TRUE,"High (100k+)")</f>
        <v/>
      </c>
      <c r="W960" s="5">
        <f>IF(M960="No","Attrited","Active")</f>
        <v/>
      </c>
    </row>
    <row r="961">
      <c r="A961" s="5" t="inlineStr">
        <is>
          <t>E00960</t>
        </is>
      </c>
      <c r="B961" s="5" t="inlineStr">
        <is>
          <t>Male</t>
        </is>
      </c>
      <c r="C961" s="6" t="inlineStr">
        <is>
          <t>33</t>
        </is>
      </c>
      <c r="D961" s="5" t="inlineStr">
        <is>
          <t>Single</t>
        </is>
      </c>
      <c r="E961" s="5" t="inlineStr">
        <is>
          <t>Diploma</t>
        </is>
      </c>
      <c r="F961" s="5" t="inlineStr">
        <is>
          <t>Operations</t>
        </is>
      </c>
      <c r="G961" s="5" t="inlineStr">
        <is>
          <t>Logistics Coordinator</t>
        </is>
      </c>
      <c r="H961" s="5" t="inlineStr">
        <is>
          <t>3</t>
        </is>
      </c>
      <c r="I961" s="5" t="inlineStr">
        <is>
          <t>Mumbai</t>
        </is>
      </c>
      <c r="J961" s="5" t="inlineStr">
        <is>
          <t>Full-Time</t>
        </is>
      </c>
      <c r="K961" s="7" t="n">
        <v>43983</v>
      </c>
      <c r="L961" s="7" t="inlineStr"/>
      <c r="M961" s="5" t="inlineStr">
        <is>
          <t>Yes</t>
        </is>
      </c>
      <c r="N961" s="5" t="inlineStr"/>
      <c r="O961" s="8" t="inlineStr">
        <is>
          <t>94500</t>
        </is>
      </c>
      <c r="P961" s="5" t="inlineStr">
        <is>
          <t>5</t>
        </is>
      </c>
      <c r="Q961" s="5" t="inlineStr">
        <is>
          <t>3</t>
        </is>
      </c>
      <c r="R961" s="5" t="inlineStr">
        <is>
          <t>6</t>
        </is>
      </c>
      <c r="S961" s="5" t="inlineStr">
        <is>
          <t>67</t>
        </is>
      </c>
      <c r="T961" s="5" t="inlineStr">
        <is>
          <t>9</t>
        </is>
      </c>
      <c r="U961" s="5">
        <f>IFS(C961&lt;30,"Under 30",C961&lt;40,"30-39",C961&lt;50,"40-49",TRUE,"50+")</f>
        <v/>
      </c>
      <c r="V961" s="5">
        <f>IFS(O961&lt;60000,"Low (&lt;60k)",O961&lt;100000,"Mid (60-100k)",TRUE,"High (100k+)")</f>
        <v/>
      </c>
      <c r="W961" s="5">
        <f>IF(M961="No","Attrited","Active")</f>
        <v/>
      </c>
    </row>
    <row r="962">
      <c r="A962" s="5" t="inlineStr">
        <is>
          <t>E00961</t>
        </is>
      </c>
      <c r="B962" s="5" t="inlineStr">
        <is>
          <t>Female</t>
        </is>
      </c>
      <c r="C962" s="6" t="inlineStr">
        <is>
          <t>23</t>
        </is>
      </c>
      <c r="D962" s="5" t="inlineStr">
        <is>
          <t>Married</t>
        </is>
      </c>
      <c r="E962" s="5" t="inlineStr">
        <is>
          <t>High School</t>
        </is>
      </c>
      <c r="F962" s="5" t="inlineStr">
        <is>
          <t>IT</t>
        </is>
      </c>
      <c r="G962" s="5" t="inlineStr">
        <is>
          <t>DevOps Engineer</t>
        </is>
      </c>
      <c r="H962" s="5" t="inlineStr">
        <is>
          <t>1</t>
        </is>
      </c>
      <c r="I962" s="5" t="inlineStr">
        <is>
          <t>Chennai</t>
        </is>
      </c>
      <c r="J962" s="5" t="inlineStr">
        <is>
          <t>Full-Time</t>
        </is>
      </c>
      <c r="K962" s="7" t="n">
        <v>44155</v>
      </c>
      <c r="L962" s="7" t="inlineStr"/>
      <c r="M962" s="5" t="inlineStr">
        <is>
          <t>Yes</t>
        </is>
      </c>
      <c r="N962" s="5" t="inlineStr"/>
      <c r="O962" s="8" t="inlineStr">
        <is>
          <t>82500</t>
        </is>
      </c>
      <c r="P962" s="5" t="inlineStr">
        <is>
          <t>5</t>
        </is>
      </c>
      <c r="Q962" s="5" t="inlineStr">
        <is>
          <t>3</t>
        </is>
      </c>
      <c r="R962" s="5" t="inlineStr">
        <is>
          <t>8</t>
        </is>
      </c>
      <c r="S962" s="5" t="inlineStr">
        <is>
          <t>62</t>
        </is>
      </c>
      <c r="T962" s="5" t="inlineStr">
        <is>
          <t>4</t>
        </is>
      </c>
      <c r="U962" s="5">
        <f>IFS(C962&lt;30,"Under 30",C962&lt;40,"30-39",C962&lt;50,"40-49",TRUE,"50+")</f>
        <v/>
      </c>
      <c r="V962" s="5">
        <f>IFS(O962&lt;60000,"Low (&lt;60k)",O962&lt;100000,"Mid (60-100k)",TRUE,"High (100k+)")</f>
        <v/>
      </c>
      <c r="W962" s="5">
        <f>IF(M962="No","Attrited","Active")</f>
        <v/>
      </c>
    </row>
    <row r="963">
      <c r="A963" s="5" t="inlineStr">
        <is>
          <t>E00962</t>
        </is>
      </c>
      <c r="B963" s="5" t="inlineStr">
        <is>
          <t>Male</t>
        </is>
      </c>
      <c r="C963" s="6" t="inlineStr">
        <is>
          <t>23</t>
        </is>
      </c>
      <c r="D963" s="5" t="inlineStr">
        <is>
          <t>Single</t>
        </is>
      </c>
      <c r="E963" s="5" t="inlineStr">
        <is>
          <t>Diploma</t>
        </is>
      </c>
      <c r="F963" s="5" t="inlineStr">
        <is>
          <t>Research &amp; Development</t>
        </is>
      </c>
      <c r="G963" s="5" t="inlineStr">
        <is>
          <t>Product Engineer</t>
        </is>
      </c>
      <c r="H963" s="5" t="inlineStr">
        <is>
          <t>1</t>
        </is>
      </c>
      <c r="I963" s="5" t="inlineStr">
        <is>
          <t>Mumbai</t>
        </is>
      </c>
      <c r="J963" s="5" t="inlineStr">
        <is>
          <t>Full-Time</t>
        </is>
      </c>
      <c r="K963" s="7" t="n">
        <v>45231</v>
      </c>
      <c r="L963" s="7" t="n">
        <v>45340</v>
      </c>
      <c r="M963" s="5" t="inlineStr">
        <is>
          <t>No</t>
        </is>
      </c>
      <c r="N963" s="5" t="inlineStr">
        <is>
          <t>Resigned</t>
        </is>
      </c>
      <c r="O963" s="8" t="inlineStr">
        <is>
          <t>112500</t>
        </is>
      </c>
      <c r="P963" s="5" t="inlineStr">
        <is>
          <t>0</t>
        </is>
      </c>
      <c r="Q963" s="5" t="inlineStr">
        <is>
          <t>4</t>
        </is>
      </c>
      <c r="R963" s="5" t="inlineStr">
        <is>
          <t>7</t>
        </is>
      </c>
      <c r="S963" s="5" t="inlineStr">
        <is>
          <t>3</t>
        </is>
      </c>
      <c r="T963" s="5" t="inlineStr">
        <is>
          <t>4</t>
        </is>
      </c>
      <c r="U963" s="5">
        <f>IFS(C963&lt;30,"Under 30",C963&lt;40,"30-39",C963&lt;50,"40-49",TRUE,"50+")</f>
        <v/>
      </c>
      <c r="V963" s="5">
        <f>IFS(O963&lt;60000,"Low (&lt;60k)",O963&lt;100000,"Mid (60-100k)",TRUE,"High (100k+)")</f>
        <v/>
      </c>
      <c r="W963" s="5">
        <f>IF(M963="No","Attrited","Active")</f>
        <v/>
      </c>
    </row>
    <row r="964">
      <c r="A964" s="5" t="inlineStr">
        <is>
          <t>E00963</t>
        </is>
      </c>
      <c r="B964" s="5" t="inlineStr">
        <is>
          <t>Male</t>
        </is>
      </c>
      <c r="C964" s="6" t="inlineStr">
        <is>
          <t>29</t>
        </is>
      </c>
      <c r="D964" s="5" t="inlineStr">
        <is>
          <t>Single</t>
        </is>
      </c>
      <c r="E964" s="5" t="inlineStr">
        <is>
          <t>Diploma</t>
        </is>
      </c>
      <c r="F964" s="5" t="inlineStr">
        <is>
          <t>Marketing</t>
        </is>
      </c>
      <c r="G964" s="5" t="inlineStr">
        <is>
          <t>Marketing Analyst</t>
        </is>
      </c>
      <c r="H964" s="5" t="inlineStr">
        <is>
          <t>1</t>
        </is>
      </c>
      <c r="I964" s="5" t="inlineStr">
        <is>
          <t>Chennai</t>
        </is>
      </c>
      <c r="J964" s="5" t="inlineStr">
        <is>
          <t>Full-Time</t>
        </is>
      </c>
      <c r="K964" s="7" t="n">
        <v>43938</v>
      </c>
      <c r="L964" s="7" t="inlineStr"/>
      <c r="M964" s="5" t="inlineStr">
        <is>
          <t>Yes</t>
        </is>
      </c>
      <c r="N964" s="5" t="inlineStr"/>
      <c r="O964" s="8" t="inlineStr">
        <is>
          <t>86500</t>
        </is>
      </c>
      <c r="P964" s="5" t="inlineStr">
        <is>
          <t>0</t>
        </is>
      </c>
      <c r="Q964" s="5" t="inlineStr">
        <is>
          <t>1</t>
        </is>
      </c>
      <c r="R964" s="5" t="inlineStr">
        <is>
          <t>7</t>
        </is>
      </c>
      <c r="S964" s="5" t="inlineStr">
        <is>
          <t>69</t>
        </is>
      </c>
      <c r="T964" s="5" t="inlineStr">
        <is>
          <t>3</t>
        </is>
      </c>
      <c r="U964" s="5">
        <f>IFS(C964&lt;30,"Under 30",C964&lt;40,"30-39",C964&lt;50,"40-49",TRUE,"50+")</f>
        <v/>
      </c>
      <c r="V964" s="5">
        <f>IFS(O964&lt;60000,"Low (&lt;60k)",O964&lt;100000,"Mid (60-100k)",TRUE,"High (100k+)")</f>
        <v/>
      </c>
      <c r="W964" s="5">
        <f>IF(M964="No","Attrited","Active")</f>
        <v/>
      </c>
    </row>
    <row r="965">
      <c r="A965" s="5" t="inlineStr">
        <is>
          <t>E00964</t>
        </is>
      </c>
      <c r="B965" s="5" t="inlineStr">
        <is>
          <t>Female</t>
        </is>
      </c>
      <c r="C965" s="6" t="inlineStr">
        <is>
          <t>36</t>
        </is>
      </c>
      <c r="D965" s="5" t="inlineStr">
        <is>
          <t>Married</t>
        </is>
      </c>
      <c r="E965" s="5" t="inlineStr">
        <is>
          <t>Master</t>
        </is>
      </c>
      <c r="F965" s="5" t="inlineStr">
        <is>
          <t>Marketing</t>
        </is>
      </c>
      <c r="G965" s="5" t="inlineStr">
        <is>
          <t>Content Writer</t>
        </is>
      </c>
      <c r="H965" s="5" t="inlineStr">
        <is>
          <t>7</t>
        </is>
      </c>
      <c r="I965" s="5" t="inlineStr">
        <is>
          <t>Bengaluru</t>
        </is>
      </c>
      <c r="J965" s="5" t="inlineStr">
        <is>
          <t>Full-Time</t>
        </is>
      </c>
      <c r="K965" s="7" t="n">
        <v>44846</v>
      </c>
      <c r="L965" s="7" t="inlineStr"/>
      <c r="M965" s="5" t="inlineStr">
        <is>
          <t>Yes</t>
        </is>
      </c>
      <c r="N965" s="5" t="inlineStr"/>
      <c r="O965" s="8" t="inlineStr">
        <is>
          <t>135500</t>
        </is>
      </c>
      <c r="P965" s="5" t="inlineStr">
        <is>
          <t>0</t>
        </is>
      </c>
      <c r="Q965" s="5" t="inlineStr">
        <is>
          <t>3</t>
        </is>
      </c>
      <c r="R965" s="5" t="inlineStr">
        <is>
          <t>3</t>
        </is>
      </c>
      <c r="S965" s="5" t="inlineStr">
        <is>
          <t>39</t>
        </is>
      </c>
      <c r="T965" s="5" t="inlineStr">
        <is>
          <t>5</t>
        </is>
      </c>
      <c r="U965" s="5">
        <f>IFS(C965&lt;30,"Under 30",C965&lt;40,"30-39",C965&lt;50,"40-49",TRUE,"50+")</f>
        <v/>
      </c>
      <c r="V965" s="5">
        <f>IFS(O965&lt;60000,"Low (&lt;60k)",O965&lt;100000,"Mid (60-100k)",TRUE,"High (100k+)")</f>
        <v/>
      </c>
      <c r="W965" s="5">
        <f>IF(M965="No","Attrited","Active")</f>
        <v/>
      </c>
    </row>
    <row r="966">
      <c r="A966" s="5" t="inlineStr">
        <is>
          <t>E00965</t>
        </is>
      </c>
      <c r="B966" s="5" t="inlineStr">
        <is>
          <t>Male</t>
        </is>
      </c>
      <c r="C966" s="6" t="inlineStr">
        <is>
          <t>31</t>
        </is>
      </c>
      <c r="D966" s="5" t="inlineStr">
        <is>
          <t>Married</t>
        </is>
      </c>
      <c r="E966" s="5" t="inlineStr">
        <is>
          <t>High School</t>
        </is>
      </c>
      <c r="F966" s="5" t="inlineStr">
        <is>
          <t>Operations</t>
        </is>
      </c>
      <c r="G966" s="5" t="inlineStr">
        <is>
          <t>Logistics Coordinator</t>
        </is>
      </c>
      <c r="H966" s="5" t="inlineStr">
        <is>
          <t>1</t>
        </is>
      </c>
      <c r="I966" s="5" t="inlineStr">
        <is>
          <t>Remote</t>
        </is>
      </c>
      <c r="J966" s="5" t="inlineStr">
        <is>
          <t>Full-Time</t>
        </is>
      </c>
      <c r="K966" s="7" t="n">
        <v>45739</v>
      </c>
      <c r="L966" s="7" t="n">
        <v>45775</v>
      </c>
      <c r="M966" s="5" t="inlineStr">
        <is>
          <t>No</t>
        </is>
      </c>
      <c r="N966" s="5" t="inlineStr">
        <is>
          <t>Layoff</t>
        </is>
      </c>
      <c r="O966" s="8" t="inlineStr">
        <is>
          <t>97000</t>
        </is>
      </c>
      <c r="P966" s="5" t="inlineStr">
        <is>
          <t>10</t>
        </is>
      </c>
      <c r="Q966" s="5" t="inlineStr">
        <is>
          <t>3</t>
        </is>
      </c>
      <c r="R966" s="5" t="inlineStr">
        <is>
          <t>9</t>
        </is>
      </c>
      <c r="S966" s="5" t="inlineStr">
        <is>
          <t>1</t>
        </is>
      </c>
      <c r="T966" s="5" t="inlineStr">
        <is>
          <t>5</t>
        </is>
      </c>
      <c r="U966" s="5">
        <f>IFS(C966&lt;30,"Under 30",C966&lt;40,"30-39",C966&lt;50,"40-49",TRUE,"50+")</f>
        <v/>
      </c>
      <c r="V966" s="5">
        <f>IFS(O966&lt;60000,"Low (&lt;60k)",O966&lt;100000,"Mid (60-100k)",TRUE,"High (100k+)")</f>
        <v/>
      </c>
      <c r="W966" s="5">
        <f>IF(M966="No","Attrited","Active")</f>
        <v/>
      </c>
    </row>
    <row r="967">
      <c r="A967" s="5" t="inlineStr">
        <is>
          <t>E00966</t>
        </is>
      </c>
      <c r="B967" s="5" t="inlineStr">
        <is>
          <t>Male</t>
        </is>
      </c>
      <c r="C967" s="6" t="inlineStr">
        <is>
          <t>29</t>
        </is>
      </c>
      <c r="D967" s="5" t="inlineStr">
        <is>
          <t>Married</t>
        </is>
      </c>
      <c r="E967" s="5" t="inlineStr">
        <is>
          <t>Master</t>
        </is>
      </c>
      <c r="F967" s="5" t="inlineStr">
        <is>
          <t>Sales</t>
        </is>
      </c>
      <c r="G967" s="5" t="inlineStr">
        <is>
          <t>Account Executive</t>
        </is>
      </c>
      <c r="H967" s="5" t="inlineStr">
        <is>
          <t>1</t>
        </is>
      </c>
      <c r="I967" s="5" t="inlineStr">
        <is>
          <t>Chennai</t>
        </is>
      </c>
      <c r="J967" s="5" t="inlineStr">
        <is>
          <t>Contract</t>
        </is>
      </c>
      <c r="K967" s="7" t="n">
        <v>44580</v>
      </c>
      <c r="L967" s="7" t="inlineStr"/>
      <c r="M967" s="5" t="inlineStr">
        <is>
          <t>Yes</t>
        </is>
      </c>
      <c r="N967" s="5" t="inlineStr"/>
      <c r="O967" s="8" t="inlineStr">
        <is>
          <t>91500</t>
        </is>
      </c>
      <c r="P967" s="5" t="inlineStr">
        <is>
          <t>0</t>
        </is>
      </c>
      <c r="Q967" s="5" t="inlineStr">
        <is>
          <t>3</t>
        </is>
      </c>
      <c r="R967" s="5" t="inlineStr">
        <is>
          <t>1</t>
        </is>
      </c>
      <c r="S967" s="5" t="inlineStr">
        <is>
          <t>48</t>
        </is>
      </c>
      <c r="T967" s="5" t="inlineStr">
        <is>
          <t>5</t>
        </is>
      </c>
      <c r="U967" s="5">
        <f>IFS(C967&lt;30,"Under 30",C967&lt;40,"30-39",C967&lt;50,"40-49",TRUE,"50+")</f>
        <v/>
      </c>
      <c r="V967" s="5">
        <f>IFS(O967&lt;60000,"Low (&lt;60k)",O967&lt;100000,"Mid (60-100k)",TRUE,"High (100k+)")</f>
        <v/>
      </c>
      <c r="W967" s="5">
        <f>IF(M967="No","Attrited","Active")</f>
        <v/>
      </c>
    </row>
    <row r="968">
      <c r="A968" s="5" t="inlineStr">
        <is>
          <t>E00967</t>
        </is>
      </c>
      <c r="B968" s="5" t="inlineStr">
        <is>
          <t>Male</t>
        </is>
      </c>
      <c r="C968" s="6" t="inlineStr">
        <is>
          <t>30</t>
        </is>
      </c>
      <c r="D968" s="5" t="inlineStr">
        <is>
          <t>Married</t>
        </is>
      </c>
      <c r="E968" s="5" t="inlineStr">
        <is>
          <t>Bachelor</t>
        </is>
      </c>
      <c r="F968" s="5" t="inlineStr">
        <is>
          <t>Customer Support</t>
        </is>
      </c>
      <c r="G968" s="5" t="inlineStr">
        <is>
          <t>Support Agent</t>
        </is>
      </c>
      <c r="H968" s="5" t="inlineStr">
        <is>
          <t>2</t>
        </is>
      </c>
      <c r="I968" s="5" t="inlineStr">
        <is>
          <t>Delhi</t>
        </is>
      </c>
      <c r="J968" s="5" t="inlineStr">
        <is>
          <t>Full-Time</t>
        </is>
      </c>
      <c r="K968" s="7" t="n">
        <v>45709</v>
      </c>
      <c r="L968" s="7" t="inlineStr"/>
      <c r="M968" s="5" t="inlineStr">
        <is>
          <t>Yes</t>
        </is>
      </c>
      <c r="N968" s="5" t="inlineStr"/>
      <c r="O968" s="8" t="inlineStr">
        <is>
          <t>51000</t>
        </is>
      </c>
      <c r="P968" s="5" t="inlineStr">
        <is>
          <t>0</t>
        </is>
      </c>
      <c r="Q968" s="5" t="inlineStr">
        <is>
          <t>2</t>
        </is>
      </c>
      <c r="R968" s="5" t="inlineStr">
        <is>
          <t>9</t>
        </is>
      </c>
      <c r="S968" s="5" t="inlineStr">
        <is>
          <t>10</t>
        </is>
      </c>
      <c r="T968" s="5" t="inlineStr">
        <is>
          <t>5</t>
        </is>
      </c>
      <c r="U968" s="5">
        <f>IFS(C968&lt;30,"Under 30",C968&lt;40,"30-39",C968&lt;50,"40-49",TRUE,"50+")</f>
        <v/>
      </c>
      <c r="V968" s="5">
        <f>IFS(O968&lt;60000,"Low (&lt;60k)",O968&lt;100000,"Mid (60-100k)",TRUE,"High (100k+)")</f>
        <v/>
      </c>
      <c r="W968" s="5">
        <f>IF(M968="No","Attrited","Active")</f>
        <v/>
      </c>
    </row>
    <row r="969">
      <c r="A969" s="5" t="inlineStr">
        <is>
          <t>E00968</t>
        </is>
      </c>
      <c r="B969" s="5" t="inlineStr">
        <is>
          <t>Male</t>
        </is>
      </c>
      <c r="C969" s="6" t="inlineStr">
        <is>
          <t>30</t>
        </is>
      </c>
      <c r="D969" s="5" t="inlineStr">
        <is>
          <t>Married</t>
        </is>
      </c>
      <c r="E969" s="5" t="inlineStr">
        <is>
          <t>High School</t>
        </is>
      </c>
      <c r="F969" s="5" t="inlineStr">
        <is>
          <t>Human Resources</t>
        </is>
      </c>
      <c r="G969" s="5" t="inlineStr">
        <is>
          <t>HR Analyst</t>
        </is>
      </c>
      <c r="H969" s="5" t="inlineStr">
        <is>
          <t>2</t>
        </is>
      </c>
      <c r="I969" s="5" t="inlineStr">
        <is>
          <t>Chennai</t>
        </is>
      </c>
      <c r="J969" s="5" t="inlineStr">
        <is>
          <t>Full-Time</t>
        </is>
      </c>
      <c r="K969" s="7" t="n">
        <v>45264</v>
      </c>
      <c r="L969" s="7" t="n">
        <v>45407</v>
      </c>
      <c r="M969" s="5" t="inlineStr">
        <is>
          <t>No</t>
        </is>
      </c>
      <c r="N969" s="5" t="inlineStr">
        <is>
          <t>Resigned</t>
        </is>
      </c>
      <c r="O969" s="8" t="inlineStr">
        <is>
          <t>92000</t>
        </is>
      </c>
      <c r="P969" s="5" t="inlineStr">
        <is>
          <t>0</t>
        </is>
      </c>
      <c r="Q969" s="5" t="inlineStr">
        <is>
          <t>3</t>
        </is>
      </c>
      <c r="R969" s="5" t="inlineStr">
        <is>
          <t>5</t>
        </is>
      </c>
      <c r="S969" s="5" t="inlineStr">
        <is>
          <t>4</t>
        </is>
      </c>
      <c r="T969" s="5" t="inlineStr">
        <is>
          <t>5</t>
        </is>
      </c>
      <c r="U969" s="5">
        <f>IFS(C969&lt;30,"Under 30",C969&lt;40,"30-39",C969&lt;50,"40-49",TRUE,"50+")</f>
        <v/>
      </c>
      <c r="V969" s="5">
        <f>IFS(O969&lt;60000,"Low (&lt;60k)",O969&lt;100000,"Mid (60-100k)",TRUE,"High (100k+)")</f>
        <v/>
      </c>
      <c r="W969" s="5">
        <f>IF(M969="No","Attrited","Active")</f>
        <v/>
      </c>
    </row>
    <row r="970">
      <c r="A970" s="5" t="inlineStr">
        <is>
          <t>E00969</t>
        </is>
      </c>
      <c r="B970" s="5" t="inlineStr">
        <is>
          <t>Female</t>
        </is>
      </c>
      <c r="C970" s="6" t="inlineStr">
        <is>
          <t>30</t>
        </is>
      </c>
      <c r="D970" s="5" t="inlineStr">
        <is>
          <t>Married</t>
        </is>
      </c>
      <c r="E970" s="5" t="inlineStr">
        <is>
          <t>Diploma</t>
        </is>
      </c>
      <c r="F970" s="5" t="inlineStr">
        <is>
          <t>Research &amp; Development</t>
        </is>
      </c>
      <c r="G970" s="5" t="inlineStr">
        <is>
          <t>Research Scientist</t>
        </is>
      </c>
      <c r="H970" s="5" t="inlineStr">
        <is>
          <t>2</t>
        </is>
      </c>
      <c r="I970" s="5" t="inlineStr">
        <is>
          <t>Bengaluru</t>
        </is>
      </c>
      <c r="J970" s="5" t="inlineStr">
        <is>
          <t>Full-Time</t>
        </is>
      </c>
      <c r="K970" s="7" t="n">
        <v>45731</v>
      </c>
      <c r="L970" s="7" t="inlineStr"/>
      <c r="M970" s="5" t="inlineStr">
        <is>
          <t>Yes</t>
        </is>
      </c>
      <c r="N970" s="5" t="inlineStr"/>
      <c r="O970" s="8" t="inlineStr">
        <is>
          <t>165500</t>
        </is>
      </c>
      <c r="P970" s="5" t="inlineStr">
        <is>
          <t>5</t>
        </is>
      </c>
      <c r="Q970" s="5" t="inlineStr">
        <is>
          <t>2</t>
        </is>
      </c>
      <c r="R970" s="5" t="inlineStr">
        <is>
          <t>8</t>
        </is>
      </c>
      <c r="S970" s="5" t="inlineStr">
        <is>
          <t>9</t>
        </is>
      </c>
      <c r="T970" s="5" t="inlineStr">
        <is>
          <t>0</t>
        </is>
      </c>
      <c r="U970" s="5">
        <f>IFS(C970&lt;30,"Under 30",C970&lt;40,"30-39",C970&lt;50,"40-49",TRUE,"50+")</f>
        <v/>
      </c>
      <c r="V970" s="5">
        <f>IFS(O970&lt;60000,"Low (&lt;60k)",O970&lt;100000,"Mid (60-100k)",TRUE,"High (100k+)")</f>
        <v/>
      </c>
      <c r="W970" s="5">
        <f>IF(M970="No","Attrited","Active")</f>
        <v/>
      </c>
    </row>
    <row r="971">
      <c r="A971" s="5" t="inlineStr">
        <is>
          <t>E00970</t>
        </is>
      </c>
      <c r="B971" s="5" t="inlineStr">
        <is>
          <t>Male</t>
        </is>
      </c>
      <c r="C971" s="6" t="inlineStr">
        <is>
          <t>39</t>
        </is>
      </c>
      <c r="D971" s="5" t="inlineStr">
        <is>
          <t>Married</t>
        </is>
      </c>
      <c r="E971" s="5" t="inlineStr">
        <is>
          <t>Bachelor</t>
        </is>
      </c>
      <c r="F971" s="5" t="inlineStr">
        <is>
          <t>Marketing</t>
        </is>
      </c>
      <c r="G971" s="5" t="inlineStr">
        <is>
          <t>Content Writer</t>
        </is>
      </c>
      <c r="H971" s="5" t="inlineStr">
        <is>
          <t>5</t>
        </is>
      </c>
      <c r="I971" s="5" t="inlineStr">
        <is>
          <t>Delhi</t>
        </is>
      </c>
      <c r="J971" s="5" t="inlineStr">
        <is>
          <t>Full-Time</t>
        </is>
      </c>
      <c r="K971" s="7" t="n">
        <v>44830</v>
      </c>
      <c r="L971" s="7" t="inlineStr"/>
      <c r="M971" s="5" t="inlineStr">
        <is>
          <t>Yes</t>
        </is>
      </c>
      <c r="N971" s="5" t="inlineStr"/>
      <c r="O971" s="8" t="inlineStr">
        <is>
          <t>105000</t>
        </is>
      </c>
      <c r="P971" s="5" t="inlineStr">
        <is>
          <t>0</t>
        </is>
      </c>
      <c r="Q971" s="5" t="inlineStr">
        <is>
          <t>5</t>
        </is>
      </c>
      <c r="R971" s="5" t="inlineStr">
        <is>
          <t>6</t>
        </is>
      </c>
      <c r="S971" s="5" t="inlineStr">
        <is>
          <t>39</t>
        </is>
      </c>
      <c r="T971" s="5" t="inlineStr">
        <is>
          <t>6</t>
        </is>
      </c>
      <c r="U971" s="5">
        <f>IFS(C971&lt;30,"Under 30",C971&lt;40,"30-39",C971&lt;50,"40-49",TRUE,"50+")</f>
        <v/>
      </c>
      <c r="V971" s="5">
        <f>IFS(O971&lt;60000,"Low (&lt;60k)",O971&lt;100000,"Mid (60-100k)",TRUE,"High (100k+)")</f>
        <v/>
      </c>
      <c r="W971" s="5">
        <f>IF(M971="No","Attrited","Active")</f>
        <v/>
      </c>
    </row>
    <row r="972">
      <c r="A972" s="5" t="inlineStr">
        <is>
          <t>E00971</t>
        </is>
      </c>
      <c r="B972" s="5" t="inlineStr">
        <is>
          <t>Female</t>
        </is>
      </c>
      <c r="C972" s="6" t="inlineStr">
        <is>
          <t>39</t>
        </is>
      </c>
      <c r="D972" s="5" t="inlineStr">
        <is>
          <t>Single</t>
        </is>
      </c>
      <c r="E972" s="5" t="inlineStr">
        <is>
          <t>High School</t>
        </is>
      </c>
      <c r="F972" s="5" t="inlineStr">
        <is>
          <t>Sales</t>
        </is>
      </c>
      <c r="G972" s="5" t="inlineStr">
        <is>
          <t>Business Development</t>
        </is>
      </c>
      <c r="H972" s="5" t="inlineStr">
        <is>
          <t>4</t>
        </is>
      </c>
      <c r="I972" s="5" t="inlineStr">
        <is>
          <t>Remote</t>
        </is>
      </c>
      <c r="J972" s="5" t="inlineStr">
        <is>
          <t>Full-Time</t>
        </is>
      </c>
      <c r="K972" s="7" t="n">
        <v>44511</v>
      </c>
      <c r="L972" s="7" t="inlineStr"/>
      <c r="M972" s="5" t="inlineStr">
        <is>
          <t>Yes</t>
        </is>
      </c>
      <c r="N972" s="5" t="inlineStr"/>
      <c r="O972" s="8" t="inlineStr">
        <is>
          <t>91000</t>
        </is>
      </c>
      <c r="P972" s="5" t="inlineStr">
        <is>
          <t>0</t>
        </is>
      </c>
      <c r="Q972" s="5" t="inlineStr">
        <is>
          <t>4</t>
        </is>
      </c>
      <c r="R972" s="5" t="inlineStr">
        <is>
          <t>6</t>
        </is>
      </c>
      <c r="S972" s="5" t="inlineStr">
        <is>
          <t>50</t>
        </is>
      </c>
      <c r="T972" s="5" t="inlineStr">
        <is>
          <t>13</t>
        </is>
      </c>
      <c r="U972" s="5">
        <f>IFS(C972&lt;30,"Under 30",C972&lt;40,"30-39",C972&lt;50,"40-49",TRUE,"50+")</f>
        <v/>
      </c>
      <c r="V972" s="5">
        <f>IFS(O972&lt;60000,"Low (&lt;60k)",O972&lt;100000,"Mid (60-100k)",TRUE,"High (100k+)")</f>
        <v/>
      </c>
      <c r="W972" s="5">
        <f>IF(M972="No","Attrited","Active")</f>
        <v/>
      </c>
    </row>
    <row r="973">
      <c r="A973" s="5" t="inlineStr">
        <is>
          <t>E00972</t>
        </is>
      </c>
      <c r="B973" s="5" t="inlineStr">
        <is>
          <t>Female</t>
        </is>
      </c>
      <c r="C973" s="6" t="inlineStr">
        <is>
          <t>35</t>
        </is>
      </c>
      <c r="D973" s="5" t="inlineStr">
        <is>
          <t>Single</t>
        </is>
      </c>
      <c r="E973" s="5" t="inlineStr">
        <is>
          <t>High School</t>
        </is>
      </c>
      <c r="F973" s="5" t="inlineStr">
        <is>
          <t>Sales</t>
        </is>
      </c>
      <c r="G973" s="5" t="inlineStr">
        <is>
          <t>Account Executive</t>
        </is>
      </c>
      <c r="H973" s="5" t="inlineStr">
        <is>
          <t>2</t>
        </is>
      </c>
      <c r="I973" s="5" t="inlineStr">
        <is>
          <t>Bengaluru</t>
        </is>
      </c>
      <c r="J973" s="5" t="inlineStr">
        <is>
          <t>Contract</t>
        </is>
      </c>
      <c r="K973" s="7" t="n">
        <v>45135</v>
      </c>
      <c r="L973" s="7" t="n">
        <v>45256</v>
      </c>
      <c r="M973" s="5" t="inlineStr">
        <is>
          <t>No</t>
        </is>
      </c>
      <c r="N973" s="5" t="inlineStr">
        <is>
          <t>Relocation</t>
        </is>
      </c>
      <c r="O973" s="8" t="inlineStr">
        <is>
          <t>78500</t>
        </is>
      </c>
      <c r="P973" s="5" t="inlineStr">
        <is>
          <t>15</t>
        </is>
      </c>
      <c r="Q973" s="5" t="inlineStr">
        <is>
          <t>5</t>
        </is>
      </c>
      <c r="R973" s="5" t="inlineStr">
        <is>
          <t>4</t>
        </is>
      </c>
      <c r="S973" s="5" t="inlineStr">
        <is>
          <t>4</t>
        </is>
      </c>
      <c r="T973" s="5" t="inlineStr">
        <is>
          <t>2</t>
        </is>
      </c>
      <c r="U973" s="5">
        <f>IFS(C973&lt;30,"Under 30",C973&lt;40,"30-39",C973&lt;50,"40-49",TRUE,"50+")</f>
        <v/>
      </c>
      <c r="V973" s="5">
        <f>IFS(O973&lt;60000,"Low (&lt;60k)",O973&lt;100000,"Mid (60-100k)",TRUE,"High (100k+)")</f>
        <v/>
      </c>
      <c r="W973" s="5">
        <f>IF(M973="No","Attrited","Active")</f>
        <v/>
      </c>
    </row>
    <row r="974">
      <c r="A974" s="5" t="inlineStr">
        <is>
          <t>E00973</t>
        </is>
      </c>
      <c r="B974" s="5" t="inlineStr">
        <is>
          <t>Male</t>
        </is>
      </c>
      <c r="C974" s="6" t="inlineStr">
        <is>
          <t>38</t>
        </is>
      </c>
      <c r="D974" s="5" t="inlineStr">
        <is>
          <t>Married</t>
        </is>
      </c>
      <c r="E974" s="5" t="inlineStr">
        <is>
          <t>High School</t>
        </is>
      </c>
      <c r="F974" s="5" t="inlineStr">
        <is>
          <t>Finance</t>
        </is>
      </c>
      <c r="G974" s="5" t="inlineStr">
        <is>
          <t>Credit Analyst</t>
        </is>
      </c>
      <c r="H974" s="5" t="inlineStr">
        <is>
          <t>4</t>
        </is>
      </c>
      <c r="I974" s="5" t="inlineStr">
        <is>
          <t>Chennai</t>
        </is>
      </c>
      <c r="J974" s="5" t="inlineStr">
        <is>
          <t>Full-Time</t>
        </is>
      </c>
      <c r="K974" s="7" t="n">
        <v>44136</v>
      </c>
      <c r="L974" s="7" t="inlineStr"/>
      <c r="M974" s="5" t="inlineStr">
        <is>
          <t>Yes</t>
        </is>
      </c>
      <c r="N974" s="5" t="inlineStr"/>
      <c r="O974" s="8" t="inlineStr">
        <is>
          <t>136500</t>
        </is>
      </c>
      <c r="P974" s="5" t="inlineStr">
        <is>
          <t>5</t>
        </is>
      </c>
      <c r="Q974" s="5" t="inlineStr">
        <is>
          <t>3</t>
        </is>
      </c>
      <c r="R974" s="5" t="inlineStr">
        <is>
          <t>7</t>
        </is>
      </c>
      <c r="S974" s="5" t="inlineStr">
        <is>
          <t>62</t>
        </is>
      </c>
      <c r="T974" s="5" t="inlineStr">
        <is>
          <t>0</t>
        </is>
      </c>
      <c r="U974" s="5">
        <f>IFS(C974&lt;30,"Under 30",C974&lt;40,"30-39",C974&lt;50,"40-49",TRUE,"50+")</f>
        <v/>
      </c>
      <c r="V974" s="5">
        <f>IFS(O974&lt;60000,"Low (&lt;60k)",O974&lt;100000,"Mid (60-100k)",TRUE,"High (100k+)")</f>
        <v/>
      </c>
      <c r="W974" s="5">
        <f>IF(M974="No","Attrited","Active")</f>
        <v/>
      </c>
    </row>
    <row r="975">
      <c r="A975" s="5" t="inlineStr">
        <is>
          <t>E00974</t>
        </is>
      </c>
      <c r="B975" s="5" t="inlineStr">
        <is>
          <t>Male</t>
        </is>
      </c>
      <c r="C975" s="6" t="inlineStr">
        <is>
          <t>36</t>
        </is>
      </c>
      <c r="D975" s="5" t="inlineStr">
        <is>
          <t>Married</t>
        </is>
      </c>
      <c r="E975" s="5" t="inlineStr">
        <is>
          <t>Diploma</t>
        </is>
      </c>
      <c r="F975" s="5" t="inlineStr">
        <is>
          <t>IT</t>
        </is>
      </c>
      <c r="G975" s="5" t="inlineStr">
        <is>
          <t>DevOps Engineer</t>
        </is>
      </c>
      <c r="H975" s="5" t="inlineStr">
        <is>
          <t>7</t>
        </is>
      </c>
      <c r="I975" s="5" t="inlineStr">
        <is>
          <t>Chennai</t>
        </is>
      </c>
      <c r="J975" s="5" t="inlineStr">
        <is>
          <t>Full-Time</t>
        </is>
      </c>
      <c r="K975" s="7" t="n">
        <v>44687</v>
      </c>
      <c r="L975" s="7" t="inlineStr"/>
      <c r="M975" s="5" t="inlineStr">
        <is>
          <t>Yes</t>
        </is>
      </c>
      <c r="N975" s="5" t="inlineStr"/>
      <c r="O975" s="8" t="inlineStr">
        <is>
          <t>257000</t>
        </is>
      </c>
      <c r="P975" s="5" t="inlineStr">
        <is>
          <t>0</t>
        </is>
      </c>
      <c r="Q975" s="5" t="inlineStr">
        <is>
          <t>4</t>
        </is>
      </c>
      <c r="R975" s="5" t="inlineStr">
        <is>
          <t>8</t>
        </is>
      </c>
      <c r="S975" s="5" t="inlineStr">
        <is>
          <t>44</t>
        </is>
      </c>
      <c r="T975" s="5" t="inlineStr">
        <is>
          <t>10</t>
        </is>
      </c>
      <c r="U975" s="5">
        <f>IFS(C975&lt;30,"Under 30",C975&lt;40,"30-39",C975&lt;50,"40-49",TRUE,"50+")</f>
        <v/>
      </c>
      <c r="V975" s="5">
        <f>IFS(O975&lt;60000,"Low (&lt;60k)",O975&lt;100000,"Mid (60-100k)",TRUE,"High (100k+)")</f>
        <v/>
      </c>
      <c r="W975" s="5">
        <f>IF(M975="No","Attrited","Active")</f>
        <v/>
      </c>
    </row>
    <row r="976">
      <c r="A976" s="5" t="inlineStr">
        <is>
          <t>E00975</t>
        </is>
      </c>
      <c r="B976" s="5" t="inlineStr">
        <is>
          <t>Male</t>
        </is>
      </c>
      <c r="C976" s="6" t="inlineStr">
        <is>
          <t>41</t>
        </is>
      </c>
      <c r="D976" s="5" t="inlineStr">
        <is>
          <t>Married</t>
        </is>
      </c>
      <c r="E976" s="5" t="inlineStr">
        <is>
          <t>PhD</t>
        </is>
      </c>
      <c r="F976" s="5" t="inlineStr">
        <is>
          <t>Sales</t>
        </is>
      </c>
      <c r="G976" s="5" t="inlineStr">
        <is>
          <t>Business Development</t>
        </is>
      </c>
      <c r="H976" s="5" t="inlineStr">
        <is>
          <t>6</t>
        </is>
      </c>
      <c r="I976" s="5" t="inlineStr">
        <is>
          <t>Chennai</t>
        </is>
      </c>
      <c r="J976" s="5" t="inlineStr">
        <is>
          <t>Full-Time</t>
        </is>
      </c>
      <c r="K976" s="7" t="n">
        <v>45315</v>
      </c>
      <c r="L976" s="7" t="inlineStr"/>
      <c r="M976" s="5" t="inlineStr">
        <is>
          <t>Yes</t>
        </is>
      </c>
      <c r="N976" s="5" t="inlineStr"/>
      <c r="O976" s="8" t="inlineStr">
        <is>
          <t>130000</t>
        </is>
      </c>
      <c r="P976" s="5" t="inlineStr">
        <is>
          <t>0</t>
        </is>
      </c>
      <c r="Q976" s="5" t="inlineStr">
        <is>
          <t>4</t>
        </is>
      </c>
      <c r="R976" s="5" t="inlineStr">
        <is>
          <t>7</t>
        </is>
      </c>
      <c r="S976" s="5" t="inlineStr">
        <is>
          <t>23</t>
        </is>
      </c>
      <c r="T976" s="5" t="inlineStr">
        <is>
          <t>6</t>
        </is>
      </c>
      <c r="U976" s="5">
        <f>IFS(C976&lt;30,"Under 30",C976&lt;40,"30-39",C976&lt;50,"40-49",TRUE,"50+")</f>
        <v/>
      </c>
      <c r="V976" s="5">
        <f>IFS(O976&lt;60000,"Low (&lt;60k)",O976&lt;100000,"Mid (60-100k)",TRUE,"High (100k+)")</f>
        <v/>
      </c>
      <c r="W976" s="5">
        <f>IF(M976="No","Attrited","Active")</f>
        <v/>
      </c>
    </row>
    <row r="977">
      <c r="A977" s="5" t="inlineStr">
        <is>
          <t>E00976</t>
        </is>
      </c>
      <c r="B977" s="5" t="inlineStr">
        <is>
          <t>Male</t>
        </is>
      </c>
      <c r="C977" s="6" t="inlineStr">
        <is>
          <t>30</t>
        </is>
      </c>
      <c r="D977" s="5" t="inlineStr">
        <is>
          <t>Married</t>
        </is>
      </c>
      <c r="E977" s="5" t="inlineStr">
        <is>
          <t>Master</t>
        </is>
      </c>
      <c r="F977" s="5" t="inlineStr">
        <is>
          <t>Operations</t>
        </is>
      </c>
      <c r="G977" s="5" t="inlineStr">
        <is>
          <t>Quality Analyst</t>
        </is>
      </c>
      <c r="H977" s="5" t="inlineStr">
        <is>
          <t>2</t>
        </is>
      </c>
      <c r="I977" s="5" t="inlineStr">
        <is>
          <t>Mumbai</t>
        </is>
      </c>
      <c r="J977" s="5" t="inlineStr">
        <is>
          <t>Full-Time</t>
        </is>
      </c>
      <c r="K977" s="7" t="n">
        <v>45560</v>
      </c>
      <c r="L977" s="7" t="n">
        <v>45702</v>
      </c>
      <c r="M977" s="5" t="inlineStr">
        <is>
          <t>No</t>
        </is>
      </c>
      <c r="N977" s="5" t="inlineStr">
        <is>
          <t>Retirement</t>
        </is>
      </c>
      <c r="O977" s="8" t="inlineStr">
        <is>
          <t>102500</t>
        </is>
      </c>
      <c r="P977" s="5" t="inlineStr">
        <is>
          <t>20</t>
        </is>
      </c>
      <c r="Q977" s="5" t="inlineStr">
        <is>
          <t>3</t>
        </is>
      </c>
      <c r="R977" s="5" t="inlineStr">
        <is>
          <t>8</t>
        </is>
      </c>
      <c r="S977" s="5" t="inlineStr">
        <is>
          <t>4</t>
        </is>
      </c>
      <c r="T977" s="5" t="inlineStr">
        <is>
          <t>0</t>
        </is>
      </c>
      <c r="U977" s="5">
        <f>IFS(C977&lt;30,"Under 30",C977&lt;40,"30-39",C977&lt;50,"40-49",TRUE,"50+")</f>
        <v/>
      </c>
      <c r="V977" s="5">
        <f>IFS(O977&lt;60000,"Low (&lt;60k)",O977&lt;100000,"Mid (60-100k)",TRUE,"High (100k+)")</f>
        <v/>
      </c>
      <c r="W977" s="5">
        <f>IF(M977="No","Attrited","Active")</f>
        <v/>
      </c>
    </row>
    <row r="978">
      <c r="A978" s="5" t="inlineStr">
        <is>
          <t>E00977</t>
        </is>
      </c>
      <c r="B978" s="5" t="inlineStr">
        <is>
          <t>Female</t>
        </is>
      </c>
      <c r="C978" s="6" t="inlineStr">
        <is>
          <t>34</t>
        </is>
      </c>
      <c r="D978" s="5" t="inlineStr">
        <is>
          <t>Married</t>
        </is>
      </c>
      <c r="E978" s="5" t="inlineStr">
        <is>
          <t>Bachelor</t>
        </is>
      </c>
      <c r="F978" s="5" t="inlineStr">
        <is>
          <t>Human Resources</t>
        </is>
      </c>
      <c r="G978" s="5" t="inlineStr">
        <is>
          <t>HR Analyst</t>
        </is>
      </c>
      <c r="H978" s="5" t="inlineStr">
        <is>
          <t>1</t>
        </is>
      </c>
      <c r="I978" s="5" t="inlineStr">
        <is>
          <t>Delhi</t>
        </is>
      </c>
      <c r="J978" s="5" t="inlineStr">
        <is>
          <t>Full-Time</t>
        </is>
      </c>
      <c r="K978" s="7" t="n">
        <v>44480</v>
      </c>
      <c r="L978" s="7" t="inlineStr"/>
      <c r="M978" s="5" t="inlineStr">
        <is>
          <t>Yes</t>
        </is>
      </c>
      <c r="N978" s="5" t="inlineStr"/>
      <c r="O978" s="8" t="inlineStr">
        <is>
          <t>76500</t>
        </is>
      </c>
      <c r="P978" s="5" t="inlineStr">
        <is>
          <t>0</t>
        </is>
      </c>
      <c r="Q978" s="5" t="inlineStr">
        <is>
          <t>3</t>
        </is>
      </c>
      <c r="R978" s="5" t="inlineStr">
        <is>
          <t>2</t>
        </is>
      </c>
      <c r="S978" s="5" t="inlineStr">
        <is>
          <t>51</t>
        </is>
      </c>
      <c r="T978" s="5" t="inlineStr">
        <is>
          <t>10</t>
        </is>
      </c>
      <c r="U978" s="5">
        <f>IFS(C978&lt;30,"Under 30",C978&lt;40,"30-39",C978&lt;50,"40-49",TRUE,"50+")</f>
        <v/>
      </c>
      <c r="V978" s="5">
        <f>IFS(O978&lt;60000,"Low (&lt;60k)",O978&lt;100000,"Mid (60-100k)",TRUE,"High (100k+)")</f>
        <v/>
      </c>
      <c r="W978" s="5">
        <f>IF(M978="No","Attrited","Active")</f>
        <v/>
      </c>
    </row>
    <row r="979">
      <c r="A979" s="5" t="inlineStr">
        <is>
          <t>E00978</t>
        </is>
      </c>
      <c r="B979" s="5" t="inlineStr">
        <is>
          <t>Female</t>
        </is>
      </c>
      <c r="C979" s="6" t="inlineStr">
        <is>
          <t>28</t>
        </is>
      </c>
      <c r="D979" s="5" t="inlineStr">
        <is>
          <t>Married</t>
        </is>
      </c>
      <c r="E979" s="5" t="inlineStr">
        <is>
          <t>Diploma</t>
        </is>
      </c>
      <c r="F979" s="5" t="inlineStr">
        <is>
          <t>Human Resources</t>
        </is>
      </c>
      <c r="G979" s="5" t="inlineStr">
        <is>
          <t>HR Analyst</t>
        </is>
      </c>
      <c r="H979" s="5" t="inlineStr">
        <is>
          <t>1</t>
        </is>
      </c>
      <c r="I979" s="5" t="inlineStr">
        <is>
          <t>Remote</t>
        </is>
      </c>
      <c r="J979" s="5" t="inlineStr">
        <is>
          <t>Full-Time</t>
        </is>
      </c>
      <c r="K979" s="7" t="n">
        <v>43976</v>
      </c>
      <c r="L979" s="7" t="n">
        <v>44008</v>
      </c>
      <c r="M979" s="5" t="inlineStr">
        <is>
          <t>No</t>
        </is>
      </c>
      <c r="N979" s="5" t="inlineStr">
        <is>
          <t>Resigned</t>
        </is>
      </c>
      <c r="O979" s="8" t="inlineStr">
        <is>
          <t>60500</t>
        </is>
      </c>
      <c r="P979" s="5" t="inlineStr">
        <is>
          <t>15</t>
        </is>
      </c>
      <c r="Q979" s="5" t="inlineStr">
        <is>
          <t>3</t>
        </is>
      </c>
      <c r="R979" s="5" t="inlineStr">
        <is>
          <t>7</t>
        </is>
      </c>
      <c r="S979" s="5" t="inlineStr">
        <is>
          <t>1</t>
        </is>
      </c>
      <c r="T979" s="5" t="inlineStr">
        <is>
          <t>8</t>
        </is>
      </c>
      <c r="U979" s="5">
        <f>IFS(C979&lt;30,"Under 30",C979&lt;40,"30-39",C979&lt;50,"40-49",TRUE,"50+")</f>
        <v/>
      </c>
      <c r="V979" s="5">
        <f>IFS(O979&lt;60000,"Low (&lt;60k)",O979&lt;100000,"Mid (60-100k)",TRUE,"High (100k+)")</f>
        <v/>
      </c>
      <c r="W979" s="5">
        <f>IF(M979="No","Attrited","Active")</f>
        <v/>
      </c>
    </row>
    <row r="980">
      <c r="A980" s="5" t="inlineStr">
        <is>
          <t>E00979</t>
        </is>
      </c>
      <c r="B980" s="5" t="inlineStr">
        <is>
          <t>Male</t>
        </is>
      </c>
      <c r="C980" s="6" t="inlineStr">
        <is>
          <t>26</t>
        </is>
      </c>
      <c r="D980" s="5" t="inlineStr">
        <is>
          <t>Married</t>
        </is>
      </c>
      <c r="E980" s="5" t="inlineStr">
        <is>
          <t>PhD</t>
        </is>
      </c>
      <c r="F980" s="5" t="inlineStr">
        <is>
          <t>Sales</t>
        </is>
      </c>
      <c r="G980" s="5" t="inlineStr">
        <is>
          <t>Business Development</t>
        </is>
      </c>
      <c r="H980" s="5" t="inlineStr">
        <is>
          <t>1</t>
        </is>
      </c>
      <c r="I980" s="5" t="inlineStr">
        <is>
          <t>Hyderabad</t>
        </is>
      </c>
      <c r="J980" s="5" t="inlineStr">
        <is>
          <t>Full-Time</t>
        </is>
      </c>
      <c r="K980" s="7" t="n">
        <v>43880</v>
      </c>
      <c r="L980" s="7" t="inlineStr"/>
      <c r="M980" s="5" t="inlineStr">
        <is>
          <t>Yes</t>
        </is>
      </c>
      <c r="N980" s="5" t="inlineStr"/>
      <c r="O980" s="8" t="inlineStr">
        <is>
          <t>74500</t>
        </is>
      </c>
      <c r="P980" s="5" t="inlineStr">
        <is>
          <t>0</t>
        </is>
      </c>
      <c r="Q980" s="5" t="inlineStr">
        <is>
          <t>4</t>
        </is>
      </c>
      <c r="R980" s="5" t="inlineStr">
        <is>
          <t>7</t>
        </is>
      </c>
      <c r="S980" s="5" t="inlineStr">
        <is>
          <t>71</t>
        </is>
      </c>
      <c r="T980" s="5" t="inlineStr">
        <is>
          <t>5</t>
        </is>
      </c>
      <c r="U980" s="5">
        <f>IFS(C980&lt;30,"Under 30",C980&lt;40,"30-39",C980&lt;50,"40-49",TRUE,"50+")</f>
        <v/>
      </c>
      <c r="V980" s="5">
        <f>IFS(O980&lt;60000,"Low (&lt;60k)",O980&lt;100000,"Mid (60-100k)",TRUE,"High (100k+)")</f>
        <v/>
      </c>
      <c r="W980" s="5">
        <f>IF(M980="No","Attrited","Active")</f>
        <v/>
      </c>
    </row>
    <row r="981">
      <c r="A981" s="5" t="inlineStr">
        <is>
          <t>E00980</t>
        </is>
      </c>
      <c r="B981" s="5" t="inlineStr">
        <is>
          <t>Male</t>
        </is>
      </c>
      <c r="C981" s="6" t="inlineStr">
        <is>
          <t>24</t>
        </is>
      </c>
      <c r="D981" s="5" t="inlineStr">
        <is>
          <t>Married</t>
        </is>
      </c>
      <c r="E981" s="5" t="inlineStr">
        <is>
          <t>PhD</t>
        </is>
      </c>
      <c r="F981" s="5" t="inlineStr">
        <is>
          <t>IT</t>
        </is>
      </c>
      <c r="G981" s="5" t="inlineStr">
        <is>
          <t>DevOps Engineer</t>
        </is>
      </c>
      <c r="H981" s="5" t="inlineStr">
        <is>
          <t>1</t>
        </is>
      </c>
      <c r="I981" s="5" t="inlineStr">
        <is>
          <t>Chennai</t>
        </is>
      </c>
      <c r="J981" s="5" t="inlineStr">
        <is>
          <t>Full-Time</t>
        </is>
      </c>
      <c r="K981" s="7" t="n">
        <v>45585</v>
      </c>
      <c r="L981" s="7" t="inlineStr"/>
      <c r="M981" s="5" t="inlineStr">
        <is>
          <t>Yes</t>
        </is>
      </c>
      <c r="N981" s="5" t="inlineStr"/>
      <c r="O981" s="8" t="inlineStr">
        <is>
          <t>146000</t>
        </is>
      </c>
      <c r="P981" s="5" t="inlineStr">
        <is>
          <t>10</t>
        </is>
      </c>
      <c r="Q981" s="5" t="inlineStr">
        <is>
          <t>4</t>
        </is>
      </c>
      <c r="R981" s="5" t="inlineStr">
        <is>
          <t>6</t>
        </is>
      </c>
      <c r="S981" s="5" t="inlineStr">
        <is>
          <t>14</t>
        </is>
      </c>
      <c r="T981" s="5" t="inlineStr">
        <is>
          <t>10</t>
        </is>
      </c>
      <c r="U981" s="5">
        <f>IFS(C981&lt;30,"Under 30",C981&lt;40,"30-39",C981&lt;50,"40-49",TRUE,"50+")</f>
        <v/>
      </c>
      <c r="V981" s="5">
        <f>IFS(O981&lt;60000,"Low (&lt;60k)",O981&lt;100000,"Mid (60-100k)",TRUE,"High (100k+)")</f>
        <v/>
      </c>
      <c r="W981" s="5">
        <f>IF(M981="No","Attrited","Active")</f>
        <v/>
      </c>
    </row>
    <row r="982">
      <c r="A982" s="5" t="inlineStr">
        <is>
          <t>E00981</t>
        </is>
      </c>
      <c r="B982" s="5" t="inlineStr">
        <is>
          <t>Male</t>
        </is>
      </c>
      <c r="C982" s="6" t="inlineStr">
        <is>
          <t>32</t>
        </is>
      </c>
      <c r="D982" s="5" t="inlineStr">
        <is>
          <t>Divorced</t>
        </is>
      </c>
      <c r="E982" s="5" t="inlineStr">
        <is>
          <t>Diploma</t>
        </is>
      </c>
      <c r="F982" s="5" t="inlineStr">
        <is>
          <t>Operations</t>
        </is>
      </c>
      <c r="G982" s="5" t="inlineStr">
        <is>
          <t>Logistics Coordinator</t>
        </is>
      </c>
      <c r="H982" s="5" t="inlineStr">
        <is>
          <t>5</t>
        </is>
      </c>
      <c r="I982" s="5" t="inlineStr">
        <is>
          <t>Mumbai</t>
        </is>
      </c>
      <c r="J982" s="5" t="inlineStr">
        <is>
          <t>Full-Time</t>
        </is>
      </c>
      <c r="K982" s="7" t="n">
        <v>45493</v>
      </c>
      <c r="L982" s="7" t="n">
        <v>45566</v>
      </c>
      <c r="M982" s="5" t="inlineStr">
        <is>
          <t>No</t>
        </is>
      </c>
      <c r="N982" s="5" t="inlineStr">
        <is>
          <t>Resigned</t>
        </is>
      </c>
      <c r="O982" s="8" t="inlineStr">
        <is>
          <t>157000</t>
        </is>
      </c>
      <c r="P982" s="5" t="inlineStr">
        <is>
          <t>10</t>
        </is>
      </c>
      <c r="Q982" s="5" t="inlineStr">
        <is>
          <t>2</t>
        </is>
      </c>
      <c r="R982" s="5" t="inlineStr">
        <is>
          <t>6</t>
        </is>
      </c>
      <c r="S982" s="5" t="inlineStr">
        <is>
          <t>2</t>
        </is>
      </c>
      <c r="T982" s="5" t="inlineStr">
        <is>
          <t>11</t>
        </is>
      </c>
      <c r="U982" s="5">
        <f>IFS(C982&lt;30,"Under 30",C982&lt;40,"30-39",C982&lt;50,"40-49",TRUE,"50+")</f>
        <v/>
      </c>
      <c r="V982" s="5">
        <f>IFS(O982&lt;60000,"Low (&lt;60k)",O982&lt;100000,"Mid (60-100k)",TRUE,"High (100k+)")</f>
        <v/>
      </c>
      <c r="W982" s="5">
        <f>IF(M982="No","Attrited","Active")</f>
        <v/>
      </c>
    </row>
    <row r="983">
      <c r="A983" s="5" t="inlineStr">
        <is>
          <t>E00982</t>
        </is>
      </c>
      <c r="B983" s="5" t="inlineStr">
        <is>
          <t>Female</t>
        </is>
      </c>
      <c r="C983" s="6" t="inlineStr">
        <is>
          <t>28</t>
        </is>
      </c>
      <c r="D983" s="5" t="inlineStr">
        <is>
          <t>Married</t>
        </is>
      </c>
      <c r="E983" s="5" t="inlineStr">
        <is>
          <t>Bachelor</t>
        </is>
      </c>
      <c r="F983" s="5" t="inlineStr">
        <is>
          <t>IT</t>
        </is>
      </c>
      <c r="G983" s="5" t="inlineStr">
        <is>
          <t>Software Engineer</t>
        </is>
      </c>
      <c r="H983" s="5" t="inlineStr">
        <is>
          <t>3</t>
        </is>
      </c>
      <c r="I983" s="5" t="inlineStr">
        <is>
          <t>Bengaluru</t>
        </is>
      </c>
      <c r="J983" s="5" t="inlineStr">
        <is>
          <t>Full-Time</t>
        </is>
      </c>
      <c r="K983" s="7" t="n">
        <v>45124</v>
      </c>
      <c r="L983" s="7" t="inlineStr"/>
      <c r="M983" s="5" t="inlineStr">
        <is>
          <t>Yes</t>
        </is>
      </c>
      <c r="N983" s="5" t="inlineStr"/>
      <c r="O983" s="8" t="inlineStr">
        <is>
          <t>136000</t>
        </is>
      </c>
      <c r="P983" s="5" t="inlineStr">
        <is>
          <t>0</t>
        </is>
      </c>
      <c r="Q983" s="5" t="inlineStr">
        <is>
          <t>3</t>
        </is>
      </c>
      <c r="R983" s="5" t="inlineStr">
        <is>
          <t>8</t>
        </is>
      </c>
      <c r="S983" s="5" t="inlineStr">
        <is>
          <t>29</t>
        </is>
      </c>
      <c r="T983" s="5" t="inlineStr">
        <is>
          <t>16</t>
        </is>
      </c>
      <c r="U983" s="5">
        <f>IFS(C983&lt;30,"Under 30",C983&lt;40,"30-39",C983&lt;50,"40-49",TRUE,"50+")</f>
        <v/>
      </c>
      <c r="V983" s="5">
        <f>IFS(O983&lt;60000,"Low (&lt;60k)",O983&lt;100000,"Mid (60-100k)",TRUE,"High (100k+)")</f>
        <v/>
      </c>
      <c r="W983" s="5">
        <f>IF(M983="No","Attrited","Active")</f>
        <v/>
      </c>
    </row>
    <row r="984">
      <c r="A984" s="5" t="inlineStr">
        <is>
          <t>E00983</t>
        </is>
      </c>
      <c r="B984" s="5" t="inlineStr">
        <is>
          <t>Male</t>
        </is>
      </c>
      <c r="C984" s="6" t="inlineStr">
        <is>
          <t>27</t>
        </is>
      </c>
      <c r="D984" s="5" t="inlineStr">
        <is>
          <t>Single</t>
        </is>
      </c>
      <c r="E984" s="5" t="inlineStr">
        <is>
          <t>Bachelor</t>
        </is>
      </c>
      <c r="F984" s="5" t="inlineStr">
        <is>
          <t>Sales</t>
        </is>
      </c>
      <c r="G984" s="5" t="inlineStr">
        <is>
          <t>Account Executive</t>
        </is>
      </c>
      <c r="H984" s="5" t="inlineStr">
        <is>
          <t>3</t>
        </is>
      </c>
      <c r="I984" s="5" t="inlineStr">
        <is>
          <t>Remote</t>
        </is>
      </c>
      <c r="J984" s="5" t="inlineStr">
        <is>
          <t>Full-Time</t>
        </is>
      </c>
      <c r="K984" s="7" t="n">
        <v>44072</v>
      </c>
      <c r="L984" s="7" t="inlineStr"/>
      <c r="M984" s="5" t="inlineStr">
        <is>
          <t>Yes</t>
        </is>
      </c>
      <c r="N984" s="5" t="inlineStr"/>
      <c r="O984" s="8" t="inlineStr">
        <is>
          <t>138500</t>
        </is>
      </c>
      <c r="P984" s="5" t="inlineStr">
        <is>
          <t>5</t>
        </is>
      </c>
      <c r="Q984" s="5" t="inlineStr">
        <is>
          <t>5</t>
        </is>
      </c>
      <c r="R984" s="5" t="inlineStr">
        <is>
          <t>6</t>
        </is>
      </c>
      <c r="S984" s="5" t="inlineStr">
        <is>
          <t>65</t>
        </is>
      </c>
      <c r="T984" s="5" t="inlineStr">
        <is>
          <t>8</t>
        </is>
      </c>
      <c r="U984" s="5">
        <f>IFS(C984&lt;30,"Under 30",C984&lt;40,"30-39",C984&lt;50,"40-49",TRUE,"50+")</f>
        <v/>
      </c>
      <c r="V984" s="5">
        <f>IFS(O984&lt;60000,"Low (&lt;60k)",O984&lt;100000,"Mid (60-100k)",TRUE,"High (100k+)")</f>
        <v/>
      </c>
      <c r="W984" s="5">
        <f>IF(M984="No","Attrited","Active")</f>
        <v/>
      </c>
    </row>
    <row r="985">
      <c r="A985" s="5" t="inlineStr">
        <is>
          <t>E00984</t>
        </is>
      </c>
      <c r="B985" s="5" t="inlineStr">
        <is>
          <t>Female</t>
        </is>
      </c>
      <c r="C985" s="6" t="inlineStr">
        <is>
          <t>46</t>
        </is>
      </c>
      <c r="D985" s="5" t="inlineStr">
        <is>
          <t>Married</t>
        </is>
      </c>
      <c r="E985" s="5" t="inlineStr">
        <is>
          <t>Diploma</t>
        </is>
      </c>
      <c r="F985" s="5" t="inlineStr">
        <is>
          <t>Customer Support</t>
        </is>
      </c>
      <c r="G985" s="5" t="inlineStr">
        <is>
          <t>Support Agent</t>
        </is>
      </c>
      <c r="H985" s="5" t="inlineStr">
        <is>
          <t>7</t>
        </is>
      </c>
      <c r="I985" s="5" t="inlineStr">
        <is>
          <t>Delhi</t>
        </is>
      </c>
      <c r="J985" s="5" t="inlineStr">
        <is>
          <t>Full-Time</t>
        </is>
      </c>
      <c r="K985" s="7" t="n">
        <v>44685</v>
      </c>
      <c r="L985" s="7" t="inlineStr"/>
      <c r="M985" s="5" t="inlineStr">
        <is>
          <t>Yes</t>
        </is>
      </c>
      <c r="N985" s="5" t="inlineStr"/>
      <c r="O985" s="8" t="inlineStr">
        <is>
          <t>110000</t>
        </is>
      </c>
      <c r="P985" s="5" t="inlineStr">
        <is>
          <t>10</t>
        </is>
      </c>
      <c r="Q985" s="5" t="inlineStr">
        <is>
          <t>2</t>
        </is>
      </c>
      <c r="R985" s="5" t="inlineStr">
        <is>
          <t>8</t>
        </is>
      </c>
      <c r="S985" s="5" t="inlineStr">
        <is>
          <t>44</t>
        </is>
      </c>
      <c r="T985" s="5" t="inlineStr">
        <is>
          <t>6</t>
        </is>
      </c>
      <c r="U985" s="5">
        <f>IFS(C985&lt;30,"Under 30",C985&lt;40,"30-39",C985&lt;50,"40-49",TRUE,"50+")</f>
        <v/>
      </c>
      <c r="V985" s="5">
        <f>IFS(O985&lt;60000,"Low (&lt;60k)",O985&lt;100000,"Mid (60-100k)",TRUE,"High (100k+)")</f>
        <v/>
      </c>
      <c r="W985" s="5">
        <f>IF(M985="No","Attrited","Active")</f>
        <v/>
      </c>
    </row>
    <row r="986">
      <c r="A986" s="5" t="inlineStr">
        <is>
          <t>E00985</t>
        </is>
      </c>
      <c r="B986" s="5" t="inlineStr">
        <is>
          <t>Female</t>
        </is>
      </c>
      <c r="C986" s="6" t="inlineStr">
        <is>
          <t>36</t>
        </is>
      </c>
      <c r="D986" s="5" t="inlineStr">
        <is>
          <t>Married</t>
        </is>
      </c>
      <c r="E986" s="5" t="inlineStr">
        <is>
          <t>Bachelor</t>
        </is>
      </c>
      <c r="F986" s="5" t="inlineStr">
        <is>
          <t>IT</t>
        </is>
      </c>
      <c r="G986" s="5" t="inlineStr">
        <is>
          <t>Software Engineer</t>
        </is>
      </c>
      <c r="H986" s="5" t="inlineStr">
        <is>
          <t>5</t>
        </is>
      </c>
      <c r="I986" s="5" t="inlineStr">
        <is>
          <t>Mumbai</t>
        </is>
      </c>
      <c r="J986" s="5" t="inlineStr">
        <is>
          <t>Part-Time</t>
        </is>
      </c>
      <c r="K986" s="7" t="n">
        <v>44749</v>
      </c>
      <c r="L986" s="7" t="inlineStr"/>
      <c r="M986" s="5" t="inlineStr">
        <is>
          <t>Yes</t>
        </is>
      </c>
      <c r="N986" s="5" t="inlineStr"/>
      <c r="O986" s="8" t="inlineStr">
        <is>
          <t>184500</t>
        </is>
      </c>
      <c r="P986" s="5" t="inlineStr">
        <is>
          <t>0</t>
        </is>
      </c>
      <c r="Q986" s="5" t="inlineStr">
        <is>
          <t>4</t>
        </is>
      </c>
      <c r="R986" s="5" t="inlineStr">
        <is>
          <t>6</t>
        </is>
      </c>
      <c r="S986" s="5" t="inlineStr">
        <is>
          <t>42</t>
        </is>
      </c>
      <c r="T986" s="5" t="inlineStr">
        <is>
          <t>4</t>
        </is>
      </c>
      <c r="U986" s="5">
        <f>IFS(C986&lt;30,"Under 30",C986&lt;40,"30-39",C986&lt;50,"40-49",TRUE,"50+")</f>
        <v/>
      </c>
      <c r="V986" s="5">
        <f>IFS(O986&lt;60000,"Low (&lt;60k)",O986&lt;100000,"Mid (60-100k)",TRUE,"High (100k+)")</f>
        <v/>
      </c>
      <c r="W986" s="5">
        <f>IF(M986="No","Attrited","Active")</f>
        <v/>
      </c>
    </row>
    <row r="987">
      <c r="A987" s="5" t="inlineStr">
        <is>
          <t>E00986</t>
        </is>
      </c>
      <c r="B987" s="5" t="inlineStr">
        <is>
          <t>Male</t>
        </is>
      </c>
      <c r="C987" s="6" t="inlineStr">
        <is>
          <t>25</t>
        </is>
      </c>
      <c r="D987" s="5" t="inlineStr">
        <is>
          <t>Married</t>
        </is>
      </c>
      <c r="E987" s="5" t="inlineStr">
        <is>
          <t>Bachelor</t>
        </is>
      </c>
      <c r="F987" s="5" t="inlineStr">
        <is>
          <t>Customer Support</t>
        </is>
      </c>
      <c r="G987" s="5" t="inlineStr">
        <is>
          <t>Escalation Specialist</t>
        </is>
      </c>
      <c r="H987" s="5" t="inlineStr">
        <is>
          <t>2</t>
        </is>
      </c>
      <c r="I987" s="5" t="inlineStr">
        <is>
          <t>Mumbai</t>
        </is>
      </c>
      <c r="J987" s="5" t="inlineStr">
        <is>
          <t>Full-Time</t>
        </is>
      </c>
      <c r="K987" s="7" t="n">
        <v>45150</v>
      </c>
      <c r="L987" s="7" t="inlineStr"/>
      <c r="M987" s="5" t="inlineStr">
        <is>
          <t>Yes</t>
        </is>
      </c>
      <c r="N987" s="5" t="inlineStr"/>
      <c r="O987" s="8" t="inlineStr">
        <is>
          <t>76000</t>
        </is>
      </c>
      <c r="P987" s="5" t="inlineStr">
        <is>
          <t>5</t>
        </is>
      </c>
      <c r="Q987" s="5" t="inlineStr">
        <is>
          <t>3</t>
        </is>
      </c>
      <c r="R987" s="5" t="inlineStr">
        <is>
          <t>6</t>
        </is>
      </c>
      <c r="S987" s="5" t="inlineStr">
        <is>
          <t>29</t>
        </is>
      </c>
      <c r="T987" s="5" t="inlineStr">
        <is>
          <t>7</t>
        </is>
      </c>
      <c r="U987" s="5">
        <f>IFS(C987&lt;30,"Under 30",C987&lt;40,"30-39",C987&lt;50,"40-49",TRUE,"50+")</f>
        <v/>
      </c>
      <c r="V987" s="5">
        <f>IFS(O987&lt;60000,"Low (&lt;60k)",O987&lt;100000,"Mid (60-100k)",TRUE,"High (100k+)")</f>
        <v/>
      </c>
      <c r="W987" s="5">
        <f>IF(M987="No","Attrited","Active")</f>
        <v/>
      </c>
    </row>
    <row r="988">
      <c r="A988" s="5" t="inlineStr">
        <is>
          <t>E00987</t>
        </is>
      </c>
      <c r="B988" s="5" t="inlineStr">
        <is>
          <t>Female</t>
        </is>
      </c>
      <c r="C988" s="6" t="inlineStr">
        <is>
          <t>27</t>
        </is>
      </c>
      <c r="D988" s="5" t="inlineStr">
        <is>
          <t>Married</t>
        </is>
      </c>
      <c r="E988" s="5" t="inlineStr">
        <is>
          <t>PhD</t>
        </is>
      </c>
      <c r="F988" s="5" t="inlineStr">
        <is>
          <t>IT</t>
        </is>
      </c>
      <c r="G988" s="5" t="inlineStr">
        <is>
          <t>Data Analyst</t>
        </is>
      </c>
      <c r="H988" s="5" t="inlineStr">
        <is>
          <t>2</t>
        </is>
      </c>
      <c r="I988" s="5" t="inlineStr">
        <is>
          <t>Remote</t>
        </is>
      </c>
      <c r="J988" s="5" t="inlineStr">
        <is>
          <t>Full-Time</t>
        </is>
      </c>
      <c r="K988" s="7" t="n">
        <v>45185</v>
      </c>
      <c r="L988" s="7" t="inlineStr"/>
      <c r="M988" s="5" t="inlineStr">
        <is>
          <t>Yes</t>
        </is>
      </c>
      <c r="N988" s="5" t="inlineStr"/>
      <c r="O988" s="8" t="inlineStr">
        <is>
          <t>101000</t>
        </is>
      </c>
      <c r="P988" s="5" t="inlineStr">
        <is>
          <t>0</t>
        </is>
      </c>
      <c r="Q988" s="5" t="inlineStr">
        <is>
          <t>2</t>
        </is>
      </c>
      <c r="R988" s="5" t="inlineStr">
        <is>
          <t>6</t>
        </is>
      </c>
      <c r="S988" s="5" t="inlineStr">
        <is>
          <t>27</t>
        </is>
      </c>
      <c r="T988" s="5" t="inlineStr">
        <is>
          <t>0</t>
        </is>
      </c>
      <c r="U988" s="5">
        <f>IFS(C988&lt;30,"Under 30",C988&lt;40,"30-39",C988&lt;50,"40-49",TRUE,"50+")</f>
        <v/>
      </c>
      <c r="V988" s="5">
        <f>IFS(O988&lt;60000,"Low (&lt;60k)",O988&lt;100000,"Mid (60-100k)",TRUE,"High (100k+)")</f>
        <v/>
      </c>
      <c r="W988" s="5">
        <f>IF(M988="No","Attrited","Active")</f>
        <v/>
      </c>
    </row>
    <row r="989">
      <c r="A989" s="5" t="inlineStr">
        <is>
          <t>E00988</t>
        </is>
      </c>
      <c r="B989" s="5" t="inlineStr">
        <is>
          <t>Female</t>
        </is>
      </c>
      <c r="C989" s="6" t="inlineStr">
        <is>
          <t>30</t>
        </is>
      </c>
      <c r="D989" s="5" t="inlineStr">
        <is>
          <t>Married</t>
        </is>
      </c>
      <c r="E989" s="5" t="inlineStr">
        <is>
          <t>Bachelor</t>
        </is>
      </c>
      <c r="F989" s="5" t="inlineStr">
        <is>
          <t>Finance</t>
        </is>
      </c>
      <c r="G989" s="5" t="inlineStr">
        <is>
          <t>Credit Analyst</t>
        </is>
      </c>
      <c r="H989" s="5" t="inlineStr">
        <is>
          <t>2</t>
        </is>
      </c>
      <c r="I989" s="5" t="inlineStr">
        <is>
          <t>Delhi</t>
        </is>
      </c>
      <c r="J989" s="5" t="inlineStr">
        <is>
          <t>Full-Time</t>
        </is>
      </c>
      <c r="K989" s="7" t="n">
        <v>44281</v>
      </c>
      <c r="L989" s="7" t="inlineStr"/>
      <c r="M989" s="5" t="inlineStr">
        <is>
          <t>Yes</t>
        </is>
      </c>
      <c r="N989" s="5" t="inlineStr"/>
      <c r="O989" s="8" t="inlineStr">
        <is>
          <t>110500</t>
        </is>
      </c>
      <c r="P989" s="5" t="inlineStr">
        <is>
          <t>10</t>
        </is>
      </c>
      <c r="Q989" s="5" t="inlineStr">
        <is>
          <t>5</t>
        </is>
      </c>
      <c r="R989" s="5" t="inlineStr">
        <is>
          <t>6</t>
        </is>
      </c>
      <c r="S989" s="5" t="inlineStr">
        <is>
          <t>58</t>
        </is>
      </c>
      <c r="T989" s="5" t="inlineStr">
        <is>
          <t>0</t>
        </is>
      </c>
      <c r="U989" s="5">
        <f>IFS(C989&lt;30,"Under 30",C989&lt;40,"30-39",C989&lt;50,"40-49",TRUE,"50+")</f>
        <v/>
      </c>
      <c r="V989" s="5">
        <f>IFS(O989&lt;60000,"Low (&lt;60k)",O989&lt;100000,"Mid (60-100k)",TRUE,"High (100k+)")</f>
        <v/>
      </c>
      <c r="W989" s="5">
        <f>IF(M989="No","Attrited","Active")</f>
        <v/>
      </c>
    </row>
    <row r="990">
      <c r="A990" s="5" t="inlineStr">
        <is>
          <t>E00989</t>
        </is>
      </c>
      <c r="B990" s="5" t="inlineStr">
        <is>
          <t>Male</t>
        </is>
      </c>
      <c r="C990" s="6" t="inlineStr">
        <is>
          <t>37</t>
        </is>
      </c>
      <c r="D990" s="5" t="inlineStr">
        <is>
          <t>Single</t>
        </is>
      </c>
      <c r="E990" s="5" t="inlineStr">
        <is>
          <t>High School</t>
        </is>
      </c>
      <c r="F990" s="5" t="inlineStr">
        <is>
          <t>Marketing</t>
        </is>
      </c>
      <c r="G990" s="5" t="inlineStr">
        <is>
          <t>Content Writer</t>
        </is>
      </c>
      <c r="H990" s="5" t="inlineStr">
        <is>
          <t>5</t>
        </is>
      </c>
      <c r="I990" s="5" t="inlineStr">
        <is>
          <t>Mumbai</t>
        </is>
      </c>
      <c r="J990" s="5" t="inlineStr">
        <is>
          <t>Contract</t>
        </is>
      </c>
      <c r="K990" s="7" t="n">
        <v>45984</v>
      </c>
      <c r="L990" s="7" t="inlineStr"/>
      <c r="M990" s="5" t="inlineStr">
        <is>
          <t>Yes</t>
        </is>
      </c>
      <c r="N990" s="5" t="inlineStr"/>
      <c r="O990" s="8" t="inlineStr">
        <is>
          <t>100000</t>
        </is>
      </c>
      <c r="P990" s="5" t="inlineStr">
        <is>
          <t>10</t>
        </is>
      </c>
      <c r="Q990" s="5" t="inlineStr">
        <is>
          <t>4</t>
        </is>
      </c>
      <c r="R990" s="5" t="inlineStr">
        <is>
          <t>5</t>
        </is>
      </c>
      <c r="S990" s="5" t="inlineStr">
        <is>
          <t>1</t>
        </is>
      </c>
      <c r="T990" s="5" t="inlineStr">
        <is>
          <t>0</t>
        </is>
      </c>
      <c r="U990" s="5">
        <f>IFS(C990&lt;30,"Under 30",C990&lt;40,"30-39",C990&lt;50,"40-49",TRUE,"50+")</f>
        <v/>
      </c>
      <c r="V990" s="5">
        <f>IFS(O990&lt;60000,"Low (&lt;60k)",O990&lt;100000,"Mid (60-100k)",TRUE,"High (100k+)")</f>
        <v/>
      </c>
      <c r="W990" s="5">
        <f>IF(M990="No","Attrited","Active")</f>
        <v/>
      </c>
    </row>
    <row r="991">
      <c r="A991" s="5" t="inlineStr">
        <is>
          <t>E00990</t>
        </is>
      </c>
      <c r="B991" s="5" t="inlineStr">
        <is>
          <t>Female</t>
        </is>
      </c>
      <c r="C991" s="6" t="inlineStr">
        <is>
          <t>34</t>
        </is>
      </c>
      <c r="D991" s="5" t="inlineStr">
        <is>
          <t>Married</t>
        </is>
      </c>
      <c r="E991" s="5" t="inlineStr">
        <is>
          <t>High School</t>
        </is>
      </c>
      <c r="F991" s="5" t="inlineStr">
        <is>
          <t>Customer Support</t>
        </is>
      </c>
      <c r="G991" s="5" t="inlineStr">
        <is>
          <t>Support Lead</t>
        </is>
      </c>
      <c r="H991" s="5" t="inlineStr">
        <is>
          <t>4</t>
        </is>
      </c>
      <c r="I991" s="5" t="inlineStr">
        <is>
          <t>Remote</t>
        </is>
      </c>
      <c r="J991" s="5" t="inlineStr">
        <is>
          <t>Full-Time</t>
        </is>
      </c>
      <c r="K991" s="7" t="n">
        <v>43976</v>
      </c>
      <c r="L991" s="7" t="n">
        <v>44036</v>
      </c>
      <c r="M991" s="5" t="inlineStr">
        <is>
          <t>No</t>
        </is>
      </c>
      <c r="N991" s="5" t="inlineStr">
        <is>
          <t>Performance / Termination</t>
        </is>
      </c>
      <c r="O991" s="8" t="inlineStr">
        <is>
          <t>93000</t>
        </is>
      </c>
      <c r="P991" s="5" t="inlineStr">
        <is>
          <t>10</t>
        </is>
      </c>
      <c r="Q991" s="5" t="inlineStr">
        <is>
          <t>4</t>
        </is>
      </c>
      <c r="R991" s="5" t="inlineStr">
        <is>
          <t>6</t>
        </is>
      </c>
      <c r="S991" s="5" t="inlineStr">
        <is>
          <t>2</t>
        </is>
      </c>
      <c r="T991" s="5" t="inlineStr">
        <is>
          <t>4</t>
        </is>
      </c>
      <c r="U991" s="5">
        <f>IFS(C991&lt;30,"Under 30",C991&lt;40,"30-39",C991&lt;50,"40-49",TRUE,"50+")</f>
        <v/>
      </c>
      <c r="V991" s="5">
        <f>IFS(O991&lt;60000,"Low (&lt;60k)",O991&lt;100000,"Mid (60-100k)",TRUE,"High (100k+)")</f>
        <v/>
      </c>
      <c r="W991" s="5">
        <f>IF(M991="No","Attrited","Active")</f>
        <v/>
      </c>
    </row>
    <row r="992">
      <c r="A992" s="5" t="inlineStr">
        <is>
          <t>E00991</t>
        </is>
      </c>
      <c r="B992" s="5" t="inlineStr">
        <is>
          <t>Female</t>
        </is>
      </c>
      <c r="C992" s="6" t="inlineStr">
        <is>
          <t>36</t>
        </is>
      </c>
      <c r="D992" s="5" t="inlineStr">
        <is>
          <t>Married</t>
        </is>
      </c>
      <c r="E992" s="5" t="inlineStr">
        <is>
          <t>PhD</t>
        </is>
      </c>
      <c r="F992" s="5" t="inlineStr">
        <is>
          <t>IT</t>
        </is>
      </c>
      <c r="G992" s="5" t="inlineStr">
        <is>
          <t>Software Engineer</t>
        </is>
      </c>
      <c r="H992" s="5" t="inlineStr">
        <is>
          <t>3</t>
        </is>
      </c>
      <c r="I992" s="5" t="inlineStr">
        <is>
          <t>Hyderabad</t>
        </is>
      </c>
      <c r="J992" s="5" t="inlineStr">
        <is>
          <t>Full-Time</t>
        </is>
      </c>
      <c r="K992" s="7" t="n">
        <v>44630</v>
      </c>
      <c r="L992" s="7" t="inlineStr"/>
      <c r="M992" s="5" t="inlineStr">
        <is>
          <t>Yes</t>
        </is>
      </c>
      <c r="N992" s="5" t="inlineStr"/>
      <c r="O992" s="8" t="inlineStr">
        <is>
          <t>175500</t>
        </is>
      </c>
      <c r="P992" s="5" t="inlineStr">
        <is>
          <t>5</t>
        </is>
      </c>
      <c r="Q992" s="5" t="inlineStr">
        <is>
          <t>5</t>
        </is>
      </c>
      <c r="R992" s="5" t="inlineStr">
        <is>
          <t>7</t>
        </is>
      </c>
      <c r="S992" s="5" t="inlineStr">
        <is>
          <t>46</t>
        </is>
      </c>
      <c r="T992" s="5" t="inlineStr">
        <is>
          <t>8</t>
        </is>
      </c>
      <c r="U992" s="5">
        <f>IFS(C992&lt;30,"Under 30",C992&lt;40,"30-39",C992&lt;50,"40-49",TRUE,"50+")</f>
        <v/>
      </c>
      <c r="V992" s="5">
        <f>IFS(O992&lt;60000,"Low (&lt;60k)",O992&lt;100000,"Mid (60-100k)",TRUE,"High (100k+)")</f>
        <v/>
      </c>
      <c r="W992" s="5">
        <f>IF(M992="No","Attrited","Active")</f>
        <v/>
      </c>
    </row>
    <row r="993">
      <c r="A993" s="5" t="inlineStr">
        <is>
          <t>E00992</t>
        </is>
      </c>
      <c r="B993" s="5" t="inlineStr">
        <is>
          <t>Female</t>
        </is>
      </c>
      <c r="C993" s="6" t="inlineStr">
        <is>
          <t>29</t>
        </is>
      </c>
      <c r="D993" s="5" t="inlineStr">
        <is>
          <t>Married</t>
        </is>
      </c>
      <c r="E993" s="5" t="inlineStr">
        <is>
          <t>PhD</t>
        </is>
      </c>
      <c r="F993" s="5" t="inlineStr">
        <is>
          <t>Customer Support</t>
        </is>
      </c>
      <c r="G993" s="5" t="inlineStr">
        <is>
          <t>Support Agent</t>
        </is>
      </c>
      <c r="H993" s="5" t="inlineStr">
        <is>
          <t>3</t>
        </is>
      </c>
      <c r="I993" s="5" t="inlineStr">
        <is>
          <t>Bengaluru</t>
        </is>
      </c>
      <c r="J993" s="5" t="inlineStr">
        <is>
          <t>Full-Time</t>
        </is>
      </c>
      <c r="K993" s="7" t="n">
        <v>45948</v>
      </c>
      <c r="L993" s="7" t="n">
        <v>46021</v>
      </c>
      <c r="M993" s="5" t="inlineStr">
        <is>
          <t>No</t>
        </is>
      </c>
      <c r="N993" s="5" t="inlineStr">
        <is>
          <t>Resigned</t>
        </is>
      </c>
      <c r="O993" s="8" t="inlineStr">
        <is>
          <t>82000</t>
        </is>
      </c>
      <c r="P993" s="5" t="inlineStr">
        <is>
          <t>10</t>
        </is>
      </c>
      <c r="Q993" s="5" t="inlineStr">
        <is>
          <t>4</t>
        </is>
      </c>
      <c r="R993" s="5" t="inlineStr">
        <is>
          <t>1</t>
        </is>
      </c>
      <c r="S993" s="5" t="inlineStr">
        <is>
          <t>2</t>
        </is>
      </c>
      <c r="T993" s="5" t="inlineStr">
        <is>
          <t>0</t>
        </is>
      </c>
      <c r="U993" s="5">
        <f>IFS(C993&lt;30,"Under 30",C993&lt;40,"30-39",C993&lt;50,"40-49",TRUE,"50+")</f>
        <v/>
      </c>
      <c r="V993" s="5">
        <f>IFS(O993&lt;60000,"Low (&lt;60k)",O993&lt;100000,"Mid (60-100k)",TRUE,"High (100k+)")</f>
        <v/>
      </c>
      <c r="W993" s="5">
        <f>IF(M993="No","Attrited","Active")</f>
        <v/>
      </c>
    </row>
    <row r="994">
      <c r="A994" s="5" t="inlineStr">
        <is>
          <t>E00993</t>
        </is>
      </c>
      <c r="B994" s="5" t="inlineStr">
        <is>
          <t>Male</t>
        </is>
      </c>
      <c r="C994" s="6" t="inlineStr">
        <is>
          <t>25</t>
        </is>
      </c>
      <c r="D994" s="5" t="inlineStr">
        <is>
          <t>Married</t>
        </is>
      </c>
      <c r="E994" s="5" t="inlineStr">
        <is>
          <t>PhD</t>
        </is>
      </c>
      <c r="F994" s="5" t="inlineStr">
        <is>
          <t>Finance</t>
        </is>
      </c>
      <c r="G994" s="5" t="inlineStr">
        <is>
          <t>Accountant</t>
        </is>
      </c>
      <c r="H994" s="5" t="inlineStr">
        <is>
          <t>2</t>
        </is>
      </c>
      <c r="I994" s="5" t="inlineStr">
        <is>
          <t>Delhi</t>
        </is>
      </c>
      <c r="J994" s="5" t="inlineStr">
        <is>
          <t>Full-Time</t>
        </is>
      </c>
      <c r="K994" s="7" t="n">
        <v>45347</v>
      </c>
      <c r="L994" s="7" t="inlineStr"/>
      <c r="M994" s="5" t="inlineStr">
        <is>
          <t>Yes</t>
        </is>
      </c>
      <c r="N994" s="5" t="inlineStr"/>
      <c r="O994" s="8" t="inlineStr">
        <is>
          <t>106500</t>
        </is>
      </c>
      <c r="P994" s="5" t="inlineStr">
        <is>
          <t>20</t>
        </is>
      </c>
      <c r="Q994" s="5" t="inlineStr">
        <is>
          <t>4</t>
        </is>
      </c>
      <c r="R994" s="5" t="inlineStr">
        <is>
          <t>7</t>
        </is>
      </c>
      <c r="S994" s="5" t="inlineStr">
        <is>
          <t>22</t>
        </is>
      </c>
      <c r="T994" s="5" t="inlineStr">
        <is>
          <t>4</t>
        </is>
      </c>
      <c r="U994" s="5">
        <f>IFS(C994&lt;30,"Under 30",C994&lt;40,"30-39",C994&lt;50,"40-49",TRUE,"50+")</f>
        <v/>
      </c>
      <c r="V994" s="5">
        <f>IFS(O994&lt;60000,"Low (&lt;60k)",O994&lt;100000,"Mid (60-100k)",TRUE,"High (100k+)")</f>
        <v/>
      </c>
      <c r="W994" s="5">
        <f>IF(M994="No","Attrited","Active")</f>
        <v/>
      </c>
    </row>
    <row r="995">
      <c r="A995" s="5" t="inlineStr">
        <is>
          <t>E00994</t>
        </is>
      </c>
      <c r="B995" s="5" t="inlineStr">
        <is>
          <t>Male</t>
        </is>
      </c>
      <c r="C995" s="6" t="inlineStr">
        <is>
          <t>33</t>
        </is>
      </c>
      <c r="D995" s="5" t="inlineStr">
        <is>
          <t>Single</t>
        </is>
      </c>
      <c r="E995" s="5" t="inlineStr">
        <is>
          <t>Bachelor</t>
        </is>
      </c>
      <c r="F995" s="5" t="inlineStr">
        <is>
          <t>Marketing</t>
        </is>
      </c>
      <c r="G995" s="5" t="inlineStr">
        <is>
          <t>SEO Specialist</t>
        </is>
      </c>
      <c r="H995" s="5" t="inlineStr">
        <is>
          <t>1</t>
        </is>
      </c>
      <c r="I995" s="5" t="inlineStr">
        <is>
          <t>Hyderabad</t>
        </is>
      </c>
      <c r="J995" s="5" t="inlineStr">
        <is>
          <t>Part-Time</t>
        </is>
      </c>
      <c r="K995" s="7" t="n">
        <v>45285</v>
      </c>
      <c r="L995" s="7" t="inlineStr"/>
      <c r="M995" s="5" t="inlineStr">
        <is>
          <t>Yes</t>
        </is>
      </c>
      <c r="N995" s="5" t="inlineStr"/>
      <c r="O995" s="8" t="inlineStr">
        <is>
          <t>87500</t>
        </is>
      </c>
      <c r="P995" s="5" t="inlineStr">
        <is>
          <t>0</t>
        </is>
      </c>
      <c r="Q995" s="5" t="inlineStr">
        <is>
          <t>3</t>
        </is>
      </c>
      <c r="R995" s="5" t="inlineStr">
        <is>
          <t>2</t>
        </is>
      </c>
      <c r="S995" s="5" t="inlineStr">
        <is>
          <t>24</t>
        </is>
      </c>
      <c r="T995" s="5" t="inlineStr">
        <is>
          <t>14</t>
        </is>
      </c>
      <c r="U995" s="5">
        <f>IFS(C995&lt;30,"Under 30",C995&lt;40,"30-39",C995&lt;50,"40-49",TRUE,"50+")</f>
        <v/>
      </c>
      <c r="V995" s="5">
        <f>IFS(O995&lt;60000,"Low (&lt;60k)",O995&lt;100000,"Mid (60-100k)",TRUE,"High (100k+)")</f>
        <v/>
      </c>
      <c r="W995" s="5">
        <f>IF(M995="No","Attrited","Active")</f>
        <v/>
      </c>
    </row>
    <row r="996">
      <c r="A996" s="5" t="inlineStr">
        <is>
          <t>E00995</t>
        </is>
      </c>
      <c r="B996" s="5" t="inlineStr">
        <is>
          <t>Male</t>
        </is>
      </c>
      <c r="C996" s="6" t="inlineStr">
        <is>
          <t>43</t>
        </is>
      </c>
      <c r="D996" s="5" t="inlineStr">
        <is>
          <t>Married</t>
        </is>
      </c>
      <c r="E996" s="5" t="inlineStr">
        <is>
          <t>PhD</t>
        </is>
      </c>
      <c r="F996" s="5" t="inlineStr">
        <is>
          <t>Sales</t>
        </is>
      </c>
      <c r="G996" s="5" t="inlineStr">
        <is>
          <t>Sales Executive</t>
        </is>
      </c>
      <c r="H996" s="5" t="inlineStr">
        <is>
          <t>7</t>
        </is>
      </c>
      <c r="I996" s="5" t="inlineStr">
        <is>
          <t>Chennai</t>
        </is>
      </c>
      <c r="J996" s="5" t="inlineStr">
        <is>
          <t>Full-Time</t>
        </is>
      </c>
      <c r="K996" s="7" t="n">
        <v>45944</v>
      </c>
      <c r="L996" s="7" t="inlineStr"/>
      <c r="M996" s="5" t="inlineStr">
        <is>
          <t>Yes</t>
        </is>
      </c>
      <c r="N996" s="5" t="inlineStr"/>
      <c r="O996" s="8" t="inlineStr">
        <is>
          <t>135500</t>
        </is>
      </c>
      <c r="P996" s="5" t="inlineStr">
        <is>
          <t>5</t>
        </is>
      </c>
      <c r="Q996" s="5" t="inlineStr">
        <is>
          <t>3</t>
        </is>
      </c>
      <c r="R996" s="5" t="inlineStr">
        <is>
          <t>6</t>
        </is>
      </c>
      <c r="S996" s="5" t="inlineStr">
        <is>
          <t>2</t>
        </is>
      </c>
      <c r="T996" s="5" t="inlineStr">
        <is>
          <t>2</t>
        </is>
      </c>
      <c r="U996" s="5">
        <f>IFS(C996&lt;30,"Under 30",C996&lt;40,"30-39",C996&lt;50,"40-49",TRUE,"50+")</f>
        <v/>
      </c>
      <c r="V996" s="5">
        <f>IFS(O996&lt;60000,"Low (&lt;60k)",O996&lt;100000,"Mid (60-100k)",TRUE,"High (100k+)")</f>
        <v/>
      </c>
      <c r="W996" s="5">
        <f>IF(M996="No","Attrited","Active")</f>
        <v/>
      </c>
    </row>
    <row r="997">
      <c r="A997" s="5" t="inlineStr">
        <is>
          <t>E00996</t>
        </is>
      </c>
      <c r="B997" s="5" t="inlineStr">
        <is>
          <t>Female</t>
        </is>
      </c>
      <c r="C997" s="6" t="inlineStr">
        <is>
          <t>35</t>
        </is>
      </c>
      <c r="D997" s="5" t="inlineStr">
        <is>
          <t>Married</t>
        </is>
      </c>
      <c r="E997" s="5" t="inlineStr">
        <is>
          <t>Diploma</t>
        </is>
      </c>
      <c r="F997" s="5" t="inlineStr">
        <is>
          <t>Operations</t>
        </is>
      </c>
      <c r="G997" s="5" t="inlineStr">
        <is>
          <t>Operations Analyst</t>
        </is>
      </c>
      <c r="H997" s="5" t="inlineStr">
        <is>
          <t>3</t>
        </is>
      </c>
      <c r="I997" s="5" t="inlineStr">
        <is>
          <t>Remote</t>
        </is>
      </c>
      <c r="J997" s="5" t="inlineStr">
        <is>
          <t>Full-Time</t>
        </is>
      </c>
      <c r="K997" s="7" t="n">
        <v>45828</v>
      </c>
      <c r="L997" s="7" t="inlineStr"/>
      <c r="M997" s="5" t="inlineStr">
        <is>
          <t>Yes</t>
        </is>
      </c>
      <c r="N997" s="5" t="inlineStr"/>
      <c r="O997" s="8" t="inlineStr">
        <is>
          <t>83500</t>
        </is>
      </c>
      <c r="P997" s="5" t="inlineStr">
        <is>
          <t>0</t>
        </is>
      </c>
      <c r="Q997" s="5" t="inlineStr">
        <is>
          <t>3</t>
        </is>
      </c>
      <c r="R997" s="5" t="inlineStr">
        <is>
          <t>6</t>
        </is>
      </c>
      <c r="S997" s="5" t="inlineStr">
        <is>
          <t>6</t>
        </is>
      </c>
      <c r="T997" s="5" t="inlineStr">
        <is>
          <t>13</t>
        </is>
      </c>
      <c r="U997" s="5">
        <f>IFS(C997&lt;30,"Under 30",C997&lt;40,"30-39",C997&lt;50,"40-49",TRUE,"50+")</f>
        <v/>
      </c>
      <c r="V997" s="5">
        <f>IFS(O997&lt;60000,"Low (&lt;60k)",O997&lt;100000,"Mid (60-100k)",TRUE,"High (100k+)")</f>
        <v/>
      </c>
      <c r="W997" s="5">
        <f>IF(M997="No","Attrited","Active")</f>
        <v/>
      </c>
    </row>
    <row r="998">
      <c r="A998" s="5" t="inlineStr">
        <is>
          <t>E00997</t>
        </is>
      </c>
      <c r="B998" s="5" t="inlineStr">
        <is>
          <t>Female</t>
        </is>
      </c>
      <c r="C998" s="6" t="inlineStr">
        <is>
          <t>28</t>
        </is>
      </c>
      <c r="D998" s="5" t="inlineStr">
        <is>
          <t>Married</t>
        </is>
      </c>
      <c r="E998" s="5" t="inlineStr">
        <is>
          <t>PhD</t>
        </is>
      </c>
      <c r="F998" s="5" t="inlineStr">
        <is>
          <t>Finance</t>
        </is>
      </c>
      <c r="G998" s="5" t="inlineStr">
        <is>
          <t>Credit Analyst</t>
        </is>
      </c>
      <c r="H998" s="5" t="inlineStr">
        <is>
          <t>1</t>
        </is>
      </c>
      <c r="I998" s="5" t="inlineStr">
        <is>
          <t>Bengaluru</t>
        </is>
      </c>
      <c r="J998" s="5" t="inlineStr">
        <is>
          <t>Full-Time</t>
        </is>
      </c>
      <c r="K998" s="7" t="n">
        <v>44557</v>
      </c>
      <c r="L998" s="7" t="n">
        <v>44687</v>
      </c>
      <c r="M998" s="5" t="inlineStr">
        <is>
          <t>No</t>
        </is>
      </c>
      <c r="N998" s="5" t="inlineStr">
        <is>
          <t>Layoff</t>
        </is>
      </c>
      <c r="O998" s="8" t="inlineStr">
        <is>
          <t>79500</t>
        </is>
      </c>
      <c r="P998" s="5" t="inlineStr">
        <is>
          <t>10</t>
        </is>
      </c>
      <c r="Q998" s="5" t="inlineStr">
        <is>
          <t>4</t>
        </is>
      </c>
      <c r="R998" s="5" t="inlineStr">
        <is>
          <t>7</t>
        </is>
      </c>
      <c r="S998" s="5" t="inlineStr">
        <is>
          <t>4</t>
        </is>
      </c>
      <c r="T998" s="5" t="inlineStr">
        <is>
          <t>0</t>
        </is>
      </c>
      <c r="U998" s="5">
        <f>IFS(C998&lt;30,"Under 30",C998&lt;40,"30-39",C998&lt;50,"40-49",TRUE,"50+")</f>
        <v/>
      </c>
      <c r="V998" s="5">
        <f>IFS(O998&lt;60000,"Low (&lt;60k)",O998&lt;100000,"Mid (60-100k)",TRUE,"High (100k+)")</f>
        <v/>
      </c>
      <c r="W998" s="5">
        <f>IF(M998="No","Attrited","Active")</f>
        <v/>
      </c>
    </row>
    <row r="999">
      <c r="A999" s="5" t="inlineStr">
        <is>
          <t>E00998</t>
        </is>
      </c>
      <c r="B999" s="5" t="inlineStr">
        <is>
          <t>Male</t>
        </is>
      </c>
      <c r="C999" s="6" t="inlineStr">
        <is>
          <t>31</t>
        </is>
      </c>
      <c r="D999" s="5" t="inlineStr">
        <is>
          <t>Married</t>
        </is>
      </c>
      <c r="E999" s="5" t="inlineStr">
        <is>
          <t>PhD</t>
        </is>
      </c>
      <c r="F999" s="5" t="inlineStr">
        <is>
          <t>Finance</t>
        </is>
      </c>
      <c r="G999" s="5" t="inlineStr">
        <is>
          <t>Financial Analyst</t>
        </is>
      </c>
      <c r="H999" s="5" t="inlineStr">
        <is>
          <t>4</t>
        </is>
      </c>
      <c r="I999" s="5" t="inlineStr">
        <is>
          <t>Mumbai</t>
        </is>
      </c>
      <c r="J999" s="5" t="inlineStr">
        <is>
          <t>Full-Time</t>
        </is>
      </c>
      <c r="K999" s="7" t="n">
        <v>45603</v>
      </c>
      <c r="L999" s="7" t="inlineStr"/>
      <c r="M999" s="5" t="inlineStr">
        <is>
          <t>Yes</t>
        </is>
      </c>
      <c r="N999" s="5" t="inlineStr"/>
      <c r="O999" s="8" t="inlineStr">
        <is>
          <t>160000</t>
        </is>
      </c>
      <c r="P999" s="5" t="inlineStr">
        <is>
          <t>10</t>
        </is>
      </c>
      <c r="Q999" s="5" t="inlineStr">
        <is>
          <t>5</t>
        </is>
      </c>
      <c r="R999" s="5" t="inlineStr">
        <is>
          <t>7</t>
        </is>
      </c>
      <c r="S999" s="5" t="inlineStr">
        <is>
          <t>13</t>
        </is>
      </c>
      <c r="T999" s="5" t="inlineStr">
        <is>
          <t>0</t>
        </is>
      </c>
      <c r="U999" s="5">
        <f>IFS(C999&lt;30,"Under 30",C999&lt;40,"30-39",C999&lt;50,"40-49",TRUE,"50+")</f>
        <v/>
      </c>
      <c r="V999" s="5">
        <f>IFS(O999&lt;60000,"Low (&lt;60k)",O999&lt;100000,"Mid (60-100k)",TRUE,"High (100k+)")</f>
        <v/>
      </c>
      <c r="W999" s="5">
        <f>IF(M999="No","Attrited","Active")</f>
        <v/>
      </c>
    </row>
    <row r="1000">
      <c r="A1000" s="5" t="inlineStr">
        <is>
          <t>E00999</t>
        </is>
      </c>
      <c r="B1000" s="5" t="inlineStr">
        <is>
          <t>Female</t>
        </is>
      </c>
      <c r="C1000" s="6" t="inlineStr">
        <is>
          <t>38</t>
        </is>
      </c>
      <c r="D1000" s="5" t="inlineStr">
        <is>
          <t>Single</t>
        </is>
      </c>
      <c r="E1000" s="5" t="inlineStr">
        <is>
          <t>PhD</t>
        </is>
      </c>
      <c r="F1000" s="5" t="inlineStr">
        <is>
          <t>Research &amp; Development</t>
        </is>
      </c>
      <c r="G1000" s="5" t="inlineStr">
        <is>
          <t>Product Engineer</t>
        </is>
      </c>
      <c r="H1000" s="5" t="inlineStr">
        <is>
          <t>3</t>
        </is>
      </c>
      <c r="I1000" s="5" t="inlineStr">
        <is>
          <t>Delhi</t>
        </is>
      </c>
      <c r="J1000" s="5" t="inlineStr">
        <is>
          <t>Full-Time</t>
        </is>
      </c>
      <c r="K1000" s="7" t="n">
        <v>44538</v>
      </c>
      <c r="L1000" s="7" t="inlineStr"/>
      <c r="M1000" s="5" t="inlineStr">
        <is>
          <t>Yes</t>
        </is>
      </c>
      <c r="N1000" s="5" t="inlineStr"/>
      <c r="O1000" s="8" t="inlineStr">
        <is>
          <t>174000</t>
        </is>
      </c>
      <c r="P1000" s="5" t="inlineStr">
        <is>
          <t>10</t>
        </is>
      </c>
      <c r="Q1000" s="5" t="inlineStr">
        <is>
          <t>5</t>
        </is>
      </c>
      <c r="R1000" s="5" t="inlineStr">
        <is>
          <t>7</t>
        </is>
      </c>
      <c r="S1000" s="5" t="inlineStr">
        <is>
          <t>49</t>
        </is>
      </c>
      <c r="T1000" s="5" t="inlineStr">
        <is>
          <t>0</t>
        </is>
      </c>
      <c r="U1000" s="5">
        <f>IFS(C1000&lt;30,"Under 30",C1000&lt;40,"30-39",C1000&lt;50,"40-49",TRUE,"50+")</f>
        <v/>
      </c>
      <c r="V1000" s="5">
        <f>IFS(O1000&lt;60000,"Low (&lt;60k)",O1000&lt;100000,"Mid (60-100k)",TRUE,"High (100k+)")</f>
        <v/>
      </c>
      <c r="W1000" s="5">
        <f>IF(M1000="No","Attrited","Active")</f>
        <v/>
      </c>
    </row>
    <row r="1001">
      <c r="A1001" s="5" t="inlineStr">
        <is>
          <t>E01000</t>
        </is>
      </c>
      <c r="B1001" s="5" t="inlineStr">
        <is>
          <t>Male</t>
        </is>
      </c>
      <c r="C1001" s="6" t="inlineStr">
        <is>
          <t>32</t>
        </is>
      </c>
      <c r="D1001" s="5" t="inlineStr">
        <is>
          <t>Single</t>
        </is>
      </c>
      <c r="E1001" s="5" t="inlineStr">
        <is>
          <t>Diploma</t>
        </is>
      </c>
      <c r="F1001" s="5" t="inlineStr">
        <is>
          <t>Research &amp; Development</t>
        </is>
      </c>
      <c r="G1001" s="5" t="inlineStr">
        <is>
          <t>Product Engineer</t>
        </is>
      </c>
      <c r="H1001" s="5" t="inlineStr">
        <is>
          <t>3</t>
        </is>
      </c>
      <c r="I1001" s="5" t="inlineStr">
        <is>
          <t>Chennai</t>
        </is>
      </c>
      <c r="J1001" s="5" t="inlineStr">
        <is>
          <t>Part-Time</t>
        </is>
      </c>
      <c r="K1001" s="7" t="n">
        <v>44632</v>
      </c>
      <c r="L1001" s="7" t="inlineStr"/>
      <c r="M1001" s="5" t="inlineStr">
        <is>
          <t>Yes</t>
        </is>
      </c>
      <c r="N1001" s="5" t="inlineStr"/>
      <c r="O1001" s="8" t="inlineStr">
        <is>
          <t>188000</t>
        </is>
      </c>
      <c r="P1001" s="5" t="inlineStr">
        <is>
          <t>5</t>
        </is>
      </c>
      <c r="Q1001" s="5" t="inlineStr">
        <is>
          <t>4</t>
        </is>
      </c>
      <c r="R1001" s="5" t="inlineStr">
        <is>
          <t>6</t>
        </is>
      </c>
      <c r="S1001" s="5" t="inlineStr">
        <is>
          <t>46</t>
        </is>
      </c>
      <c r="T1001" s="5" t="inlineStr">
        <is>
          <t>17</t>
        </is>
      </c>
      <c r="U1001" s="5">
        <f>IFS(C1001&lt;30,"Under 30",C1001&lt;40,"30-39",C1001&lt;50,"40-49",TRUE,"50+")</f>
        <v/>
      </c>
      <c r="V1001" s="5">
        <f>IFS(O1001&lt;60000,"Low (&lt;60k)",O1001&lt;100000,"Mid (60-100k)",TRUE,"High (100k+)")</f>
        <v/>
      </c>
      <c r="W1001" s="5">
        <f>IF(M1001="No","Attrited","Active")</f>
        <v/>
      </c>
    </row>
    <row r="1002">
      <c r="A1002" s="5" t="inlineStr">
        <is>
          <t>E01001</t>
        </is>
      </c>
      <c r="B1002" s="5" t="inlineStr">
        <is>
          <t>Male</t>
        </is>
      </c>
      <c r="C1002" s="6" t="inlineStr">
        <is>
          <t>37</t>
        </is>
      </c>
      <c r="D1002" s="5" t="inlineStr">
        <is>
          <t>Single</t>
        </is>
      </c>
      <c r="E1002" s="5" t="inlineStr">
        <is>
          <t>Diploma</t>
        </is>
      </c>
      <c r="F1002" s="5" t="inlineStr">
        <is>
          <t>Customer Support</t>
        </is>
      </c>
      <c r="G1002" s="5" t="inlineStr">
        <is>
          <t>Support Agent</t>
        </is>
      </c>
      <c r="H1002" s="5" t="inlineStr">
        <is>
          <t>4</t>
        </is>
      </c>
      <c r="I1002" s="5" t="inlineStr">
        <is>
          <t>Delhi</t>
        </is>
      </c>
      <c r="J1002" s="5" t="inlineStr">
        <is>
          <t>Full-Time</t>
        </is>
      </c>
      <c r="K1002" s="7" t="n">
        <v>44748</v>
      </c>
      <c r="L1002" s="7" t="inlineStr"/>
      <c r="M1002" s="5" t="inlineStr">
        <is>
          <t>Yes</t>
        </is>
      </c>
      <c r="N1002" s="5" t="inlineStr"/>
      <c r="O1002" s="8" t="inlineStr">
        <is>
          <t>75000</t>
        </is>
      </c>
      <c r="P1002" s="5" t="inlineStr">
        <is>
          <t>0</t>
        </is>
      </c>
      <c r="Q1002" s="5" t="inlineStr">
        <is>
          <t>4</t>
        </is>
      </c>
      <c r="R1002" s="5" t="inlineStr">
        <is>
          <t>3</t>
        </is>
      </c>
      <c r="S1002" s="5" t="inlineStr">
        <is>
          <t>42</t>
        </is>
      </c>
      <c r="T1002" s="5" t="inlineStr">
        <is>
          <t>11</t>
        </is>
      </c>
      <c r="U1002" s="5">
        <f>IFS(C1002&lt;30,"Under 30",C1002&lt;40,"30-39",C1002&lt;50,"40-49",TRUE,"50+")</f>
        <v/>
      </c>
      <c r="V1002" s="5">
        <f>IFS(O1002&lt;60000,"Low (&lt;60k)",O1002&lt;100000,"Mid (60-100k)",TRUE,"High (100k+)")</f>
        <v/>
      </c>
      <c r="W1002" s="5">
        <f>IF(M1002="No","Attrited","Active")</f>
        <v/>
      </c>
    </row>
    <row r="1003">
      <c r="A1003" s="5" t="inlineStr">
        <is>
          <t>E01002</t>
        </is>
      </c>
      <c r="B1003" s="5" t="inlineStr">
        <is>
          <t>Female</t>
        </is>
      </c>
      <c r="C1003" s="6" t="inlineStr">
        <is>
          <t>30</t>
        </is>
      </c>
      <c r="D1003" s="5" t="inlineStr">
        <is>
          <t>Married</t>
        </is>
      </c>
      <c r="E1003" s="5" t="inlineStr">
        <is>
          <t>Master</t>
        </is>
      </c>
      <c r="F1003" s="5" t="inlineStr">
        <is>
          <t>Operations</t>
        </is>
      </c>
      <c r="G1003" s="5" t="inlineStr">
        <is>
          <t>Operations Analyst</t>
        </is>
      </c>
      <c r="H1003" s="5" t="inlineStr">
        <is>
          <t>4</t>
        </is>
      </c>
      <c r="I1003" s="5" t="inlineStr">
        <is>
          <t>Remote</t>
        </is>
      </c>
      <c r="J1003" s="5" t="inlineStr">
        <is>
          <t>Full-Time</t>
        </is>
      </c>
      <c r="K1003" s="7" t="n">
        <v>45873</v>
      </c>
      <c r="L1003" s="7" t="inlineStr"/>
      <c r="M1003" s="5" t="inlineStr">
        <is>
          <t>Yes</t>
        </is>
      </c>
      <c r="N1003" s="5" t="inlineStr"/>
      <c r="O1003" s="8" t="inlineStr">
        <is>
          <t>81000</t>
        </is>
      </c>
      <c r="P1003" s="5" t="inlineStr">
        <is>
          <t>0</t>
        </is>
      </c>
      <c r="Q1003" s="5" t="inlineStr">
        <is>
          <t>4</t>
        </is>
      </c>
      <c r="R1003" s="5" t="inlineStr">
        <is>
          <t>7</t>
        </is>
      </c>
      <c r="S1003" s="5" t="inlineStr">
        <is>
          <t>4</t>
        </is>
      </c>
      <c r="T1003" s="5" t="inlineStr">
        <is>
          <t>1</t>
        </is>
      </c>
      <c r="U1003" s="5">
        <f>IFS(C1003&lt;30,"Under 30",C1003&lt;40,"30-39",C1003&lt;50,"40-49",TRUE,"50+")</f>
        <v/>
      </c>
      <c r="V1003" s="5">
        <f>IFS(O1003&lt;60000,"Low (&lt;60k)",O1003&lt;100000,"Mid (60-100k)",TRUE,"High (100k+)")</f>
        <v/>
      </c>
      <c r="W1003" s="5">
        <f>IF(M1003="No","Attrited","Active")</f>
        <v/>
      </c>
    </row>
    <row r="1004">
      <c r="A1004" s="5" t="inlineStr">
        <is>
          <t>E01003</t>
        </is>
      </c>
      <c r="B1004" s="5" t="inlineStr">
        <is>
          <t>Male</t>
        </is>
      </c>
      <c r="C1004" s="6" t="inlineStr">
        <is>
          <t>39</t>
        </is>
      </c>
      <c r="D1004" s="5" t="inlineStr">
        <is>
          <t>Married</t>
        </is>
      </c>
      <c r="E1004" s="5" t="inlineStr">
        <is>
          <t>Bachelor</t>
        </is>
      </c>
      <c r="F1004" s="5" t="inlineStr">
        <is>
          <t>Finance</t>
        </is>
      </c>
      <c r="G1004" s="5" t="inlineStr">
        <is>
          <t>Credit Analyst</t>
        </is>
      </c>
      <c r="H1004" s="5" t="inlineStr">
        <is>
          <t>5</t>
        </is>
      </c>
      <c r="I1004" s="5" t="inlineStr">
        <is>
          <t>Bengaluru</t>
        </is>
      </c>
      <c r="J1004" s="5" t="inlineStr">
        <is>
          <t>Full-Time</t>
        </is>
      </c>
      <c r="K1004" s="7" t="n">
        <v>45393</v>
      </c>
      <c r="L1004" s="7" t="inlineStr"/>
      <c r="M1004" s="5" t="inlineStr">
        <is>
          <t>Yes</t>
        </is>
      </c>
      <c r="N1004" s="5" t="inlineStr"/>
      <c r="O1004" s="8" t="inlineStr">
        <is>
          <t>110500</t>
        </is>
      </c>
      <c r="P1004" s="5" t="inlineStr">
        <is>
          <t>5</t>
        </is>
      </c>
      <c r="Q1004" s="5" t="inlineStr">
        <is>
          <t>4</t>
        </is>
      </c>
      <c r="R1004" s="5" t="inlineStr">
        <is>
          <t>4</t>
        </is>
      </c>
      <c r="S1004" s="5" t="inlineStr">
        <is>
          <t>20</t>
        </is>
      </c>
      <c r="T1004" s="5" t="inlineStr">
        <is>
          <t>4</t>
        </is>
      </c>
      <c r="U1004" s="5">
        <f>IFS(C1004&lt;30,"Under 30",C1004&lt;40,"30-39",C1004&lt;50,"40-49",TRUE,"50+")</f>
        <v/>
      </c>
      <c r="V1004" s="5">
        <f>IFS(O1004&lt;60000,"Low (&lt;60k)",O1004&lt;100000,"Mid (60-100k)",TRUE,"High (100k+)")</f>
        <v/>
      </c>
      <c r="W1004" s="5">
        <f>IF(M1004="No","Attrited","Active")</f>
        <v/>
      </c>
    </row>
    <row r="1005">
      <c r="A1005" s="5" t="inlineStr">
        <is>
          <t>E01004</t>
        </is>
      </c>
      <c r="B1005" s="5" t="inlineStr">
        <is>
          <t>Male</t>
        </is>
      </c>
      <c r="C1005" s="6" t="inlineStr">
        <is>
          <t>29</t>
        </is>
      </c>
      <c r="D1005" s="5" t="inlineStr">
        <is>
          <t>Married</t>
        </is>
      </c>
      <c r="E1005" s="5" t="inlineStr">
        <is>
          <t>PhD</t>
        </is>
      </c>
      <c r="F1005" s="5" t="inlineStr">
        <is>
          <t>Finance</t>
        </is>
      </c>
      <c r="G1005" s="5" t="inlineStr">
        <is>
          <t>Financial Analyst</t>
        </is>
      </c>
      <c r="H1005" s="5" t="inlineStr">
        <is>
          <t>2</t>
        </is>
      </c>
      <c r="I1005" s="5" t="inlineStr">
        <is>
          <t>Delhi</t>
        </is>
      </c>
      <c r="J1005" s="5" t="inlineStr">
        <is>
          <t>Full-Time</t>
        </is>
      </c>
      <c r="K1005" s="7" t="n">
        <v>43972</v>
      </c>
      <c r="L1005" s="7" t="inlineStr"/>
      <c r="M1005" s="5" t="inlineStr">
        <is>
          <t>Yes</t>
        </is>
      </c>
      <c r="N1005" s="5" t="inlineStr"/>
      <c r="O1005" s="8" t="inlineStr">
        <is>
          <t>81000</t>
        </is>
      </c>
      <c r="P1005" s="5" t="inlineStr">
        <is>
          <t>20</t>
        </is>
      </c>
      <c r="Q1005" s="5" t="inlineStr">
        <is>
          <t>4</t>
        </is>
      </c>
      <c r="R1005" s="5" t="inlineStr">
        <is>
          <t>9</t>
        </is>
      </c>
      <c r="S1005" s="5" t="inlineStr">
        <is>
          <t>68</t>
        </is>
      </c>
      <c r="T1005" s="5" t="inlineStr">
        <is>
          <t>9</t>
        </is>
      </c>
      <c r="U1005" s="5">
        <f>IFS(C1005&lt;30,"Under 30",C1005&lt;40,"30-39",C1005&lt;50,"40-49",TRUE,"50+")</f>
        <v/>
      </c>
      <c r="V1005" s="5">
        <f>IFS(O1005&lt;60000,"Low (&lt;60k)",O1005&lt;100000,"Mid (60-100k)",TRUE,"High (100k+)")</f>
        <v/>
      </c>
      <c r="W1005" s="5">
        <f>IF(M1005="No","Attrited","Active")</f>
        <v/>
      </c>
    </row>
    <row r="1006">
      <c r="A1006" s="5" t="inlineStr">
        <is>
          <t>E01005</t>
        </is>
      </c>
      <c r="B1006" s="5" t="inlineStr">
        <is>
          <t>Male</t>
        </is>
      </c>
      <c r="C1006" s="6" t="inlineStr">
        <is>
          <t>30</t>
        </is>
      </c>
      <c r="D1006" s="5" t="inlineStr">
        <is>
          <t>Married</t>
        </is>
      </c>
      <c r="E1006" s="5" t="inlineStr">
        <is>
          <t>Master</t>
        </is>
      </c>
      <c r="F1006" s="5" t="inlineStr">
        <is>
          <t>Sales</t>
        </is>
      </c>
      <c r="G1006" s="5" t="inlineStr">
        <is>
          <t>Business Development</t>
        </is>
      </c>
      <c r="H1006" s="5" t="inlineStr">
        <is>
          <t>4</t>
        </is>
      </c>
      <c r="I1006" s="5" t="inlineStr">
        <is>
          <t>Hyderabad</t>
        </is>
      </c>
      <c r="J1006" s="5" t="inlineStr">
        <is>
          <t>Full-Time</t>
        </is>
      </c>
      <c r="K1006" s="7" t="n">
        <v>45478</v>
      </c>
      <c r="L1006" s="7" t="inlineStr"/>
      <c r="M1006" s="5" t="inlineStr">
        <is>
          <t>Yes</t>
        </is>
      </c>
      <c r="N1006" s="5" t="inlineStr"/>
      <c r="O1006" s="8" t="inlineStr">
        <is>
          <t>148500</t>
        </is>
      </c>
      <c r="P1006" s="5" t="inlineStr">
        <is>
          <t>0</t>
        </is>
      </c>
      <c r="Q1006" s="5" t="inlineStr">
        <is>
          <t>3</t>
        </is>
      </c>
      <c r="R1006" s="5" t="inlineStr">
        <is>
          <t>2</t>
        </is>
      </c>
      <c r="S1006" s="5" t="inlineStr">
        <is>
          <t>18</t>
        </is>
      </c>
      <c r="T1006" s="5" t="inlineStr">
        <is>
          <t>3</t>
        </is>
      </c>
      <c r="U1006" s="5">
        <f>IFS(C1006&lt;30,"Under 30",C1006&lt;40,"30-39",C1006&lt;50,"40-49",TRUE,"50+")</f>
        <v/>
      </c>
      <c r="V1006" s="5">
        <f>IFS(O1006&lt;60000,"Low (&lt;60k)",O1006&lt;100000,"Mid (60-100k)",TRUE,"High (100k+)")</f>
        <v/>
      </c>
      <c r="W1006" s="5">
        <f>IF(M1006="No","Attrited","Active")</f>
        <v/>
      </c>
    </row>
    <row r="1007">
      <c r="A1007" s="5" t="inlineStr">
        <is>
          <t>E01006</t>
        </is>
      </c>
      <c r="B1007" s="5" t="inlineStr">
        <is>
          <t>Female</t>
        </is>
      </c>
      <c r="C1007" s="6" t="inlineStr">
        <is>
          <t>24</t>
        </is>
      </c>
      <c r="D1007" s="5" t="inlineStr">
        <is>
          <t>Married</t>
        </is>
      </c>
      <c r="E1007" s="5" t="inlineStr">
        <is>
          <t>Bachelor</t>
        </is>
      </c>
      <c r="F1007" s="5" t="inlineStr">
        <is>
          <t>IT</t>
        </is>
      </c>
      <c r="G1007" s="5" t="inlineStr">
        <is>
          <t>DevOps Engineer</t>
        </is>
      </c>
      <c r="H1007" s="5" t="inlineStr">
        <is>
          <t>1</t>
        </is>
      </c>
      <c r="I1007" s="5" t="inlineStr">
        <is>
          <t>Chennai</t>
        </is>
      </c>
      <c r="J1007" s="5" t="inlineStr">
        <is>
          <t>Part-Time</t>
        </is>
      </c>
      <c r="K1007" s="7" t="n">
        <v>44909</v>
      </c>
      <c r="L1007" s="7" t="inlineStr"/>
      <c r="M1007" s="5" t="inlineStr">
        <is>
          <t>Yes</t>
        </is>
      </c>
      <c r="N1007" s="5" t="inlineStr"/>
      <c r="O1007" s="8" t="inlineStr">
        <is>
          <t>147500</t>
        </is>
      </c>
      <c r="P1007" s="5" t="inlineStr">
        <is>
          <t>0</t>
        </is>
      </c>
      <c r="Q1007" s="5" t="inlineStr">
        <is>
          <t>4</t>
        </is>
      </c>
      <c r="R1007" s="5" t="inlineStr">
        <is>
          <t>6</t>
        </is>
      </c>
      <c r="S1007" s="5" t="inlineStr">
        <is>
          <t>37</t>
        </is>
      </c>
      <c r="T1007" s="5" t="inlineStr">
        <is>
          <t>4</t>
        </is>
      </c>
      <c r="U1007" s="5">
        <f>IFS(C1007&lt;30,"Under 30",C1007&lt;40,"30-39",C1007&lt;50,"40-49",TRUE,"50+")</f>
        <v/>
      </c>
      <c r="V1007" s="5">
        <f>IFS(O1007&lt;60000,"Low (&lt;60k)",O1007&lt;100000,"Mid (60-100k)",TRUE,"High (100k+)")</f>
        <v/>
      </c>
      <c r="W1007" s="5">
        <f>IF(M1007="No","Attrited","Active")</f>
        <v/>
      </c>
    </row>
    <row r="1008">
      <c r="A1008" s="5" t="inlineStr">
        <is>
          <t>E01007</t>
        </is>
      </c>
      <c r="B1008" s="5" t="inlineStr">
        <is>
          <t>Female</t>
        </is>
      </c>
      <c r="C1008" s="6" t="inlineStr">
        <is>
          <t>35</t>
        </is>
      </c>
      <c r="D1008" s="5" t="inlineStr">
        <is>
          <t>Single</t>
        </is>
      </c>
      <c r="E1008" s="5" t="inlineStr">
        <is>
          <t>PhD</t>
        </is>
      </c>
      <c r="F1008" s="5" t="inlineStr">
        <is>
          <t>Operations</t>
        </is>
      </c>
      <c r="G1008" s="5" t="inlineStr">
        <is>
          <t>Logistics Coordinator</t>
        </is>
      </c>
      <c r="H1008" s="5" t="inlineStr">
        <is>
          <t>2</t>
        </is>
      </c>
      <c r="I1008" s="5" t="inlineStr">
        <is>
          <t>Bengaluru</t>
        </is>
      </c>
      <c r="J1008" s="5" t="inlineStr">
        <is>
          <t>Full-Time</t>
        </is>
      </c>
      <c r="K1008" s="7" t="n">
        <v>43955</v>
      </c>
      <c r="L1008" s="7" t="inlineStr"/>
      <c r="M1008" s="5" t="inlineStr">
        <is>
          <t>Yes</t>
        </is>
      </c>
      <c r="N1008" s="5" t="inlineStr"/>
      <c r="O1008" s="8" t="inlineStr">
        <is>
          <t>108000</t>
        </is>
      </c>
      <c r="P1008" s="5" t="inlineStr">
        <is>
          <t>10</t>
        </is>
      </c>
      <c r="Q1008" s="5" t="inlineStr">
        <is>
          <t>3</t>
        </is>
      </c>
      <c r="R1008" s="5" t="inlineStr">
        <is>
          <t>3</t>
        </is>
      </c>
      <c r="S1008" s="5" t="inlineStr">
        <is>
          <t>68</t>
        </is>
      </c>
      <c r="T1008" s="5" t="inlineStr">
        <is>
          <t>7</t>
        </is>
      </c>
      <c r="U1008" s="5">
        <f>IFS(C1008&lt;30,"Under 30",C1008&lt;40,"30-39",C1008&lt;50,"40-49",TRUE,"50+")</f>
        <v/>
      </c>
      <c r="V1008" s="5">
        <f>IFS(O1008&lt;60000,"Low (&lt;60k)",O1008&lt;100000,"Mid (60-100k)",TRUE,"High (100k+)")</f>
        <v/>
      </c>
      <c r="W1008" s="5">
        <f>IF(M1008="No","Attrited","Active")</f>
        <v/>
      </c>
    </row>
    <row r="1009">
      <c r="A1009" s="5" t="inlineStr">
        <is>
          <t>E01008</t>
        </is>
      </c>
      <c r="B1009" s="5" t="inlineStr">
        <is>
          <t>Female</t>
        </is>
      </c>
      <c r="C1009" s="6" t="inlineStr">
        <is>
          <t>38</t>
        </is>
      </c>
      <c r="D1009" s="5" t="inlineStr">
        <is>
          <t>Married</t>
        </is>
      </c>
      <c r="E1009" s="5" t="inlineStr">
        <is>
          <t>Diploma</t>
        </is>
      </c>
      <c r="F1009" s="5" t="inlineStr">
        <is>
          <t>Operations</t>
        </is>
      </c>
      <c r="G1009" s="5" t="inlineStr">
        <is>
          <t>Operations Analyst</t>
        </is>
      </c>
      <c r="H1009" s="5" t="inlineStr">
        <is>
          <t>3</t>
        </is>
      </c>
      <c r="I1009" s="5" t="inlineStr">
        <is>
          <t>Bengaluru</t>
        </is>
      </c>
      <c r="J1009" s="5" t="inlineStr">
        <is>
          <t>Full-Time</t>
        </is>
      </c>
      <c r="K1009" s="7" t="n">
        <v>45971</v>
      </c>
      <c r="L1009" s="7" t="inlineStr"/>
      <c r="M1009" s="5" t="inlineStr">
        <is>
          <t>Yes</t>
        </is>
      </c>
      <c r="N1009" s="5" t="inlineStr"/>
      <c r="O1009" s="8" t="inlineStr">
        <is>
          <t>78500</t>
        </is>
      </c>
      <c r="P1009" s="5" t="inlineStr">
        <is>
          <t>10</t>
        </is>
      </c>
      <c r="Q1009" s="5" t="inlineStr">
        <is>
          <t>3</t>
        </is>
      </c>
      <c r="R1009" s="5" t="inlineStr">
        <is>
          <t>5</t>
        </is>
      </c>
      <c r="S1009" s="5" t="inlineStr">
        <is>
          <t>1</t>
        </is>
      </c>
      <c r="T1009" s="5" t="inlineStr">
        <is>
          <t>6</t>
        </is>
      </c>
      <c r="U1009" s="5">
        <f>IFS(C1009&lt;30,"Under 30",C1009&lt;40,"30-39",C1009&lt;50,"40-49",TRUE,"50+")</f>
        <v/>
      </c>
      <c r="V1009" s="5">
        <f>IFS(O1009&lt;60000,"Low (&lt;60k)",O1009&lt;100000,"Mid (60-100k)",TRUE,"High (100k+)")</f>
        <v/>
      </c>
      <c r="W1009" s="5">
        <f>IF(M1009="No","Attrited","Active")</f>
        <v/>
      </c>
    </row>
    <row r="1010">
      <c r="A1010" s="5" t="inlineStr">
        <is>
          <t>E01009</t>
        </is>
      </c>
      <c r="B1010" s="5" t="inlineStr">
        <is>
          <t>Male</t>
        </is>
      </c>
      <c r="C1010" s="6" t="inlineStr">
        <is>
          <t>31</t>
        </is>
      </c>
      <c r="D1010" s="5" t="inlineStr">
        <is>
          <t>Married</t>
        </is>
      </c>
      <c r="E1010" s="5" t="inlineStr">
        <is>
          <t>Master</t>
        </is>
      </c>
      <c r="F1010" s="5" t="inlineStr">
        <is>
          <t>IT</t>
        </is>
      </c>
      <c r="G1010" s="5" t="inlineStr">
        <is>
          <t>DevOps Engineer</t>
        </is>
      </c>
      <c r="H1010" s="5" t="inlineStr">
        <is>
          <t>2</t>
        </is>
      </c>
      <c r="I1010" s="5" t="inlineStr">
        <is>
          <t>Bengaluru</t>
        </is>
      </c>
      <c r="J1010" s="5" t="inlineStr">
        <is>
          <t>Full-Time</t>
        </is>
      </c>
      <c r="K1010" s="7" t="n">
        <v>44251</v>
      </c>
      <c r="L1010" s="7" t="inlineStr"/>
      <c r="M1010" s="5" t="inlineStr">
        <is>
          <t>Yes</t>
        </is>
      </c>
      <c r="N1010" s="5" t="inlineStr"/>
      <c r="O1010" s="8" t="inlineStr">
        <is>
          <t>165500</t>
        </is>
      </c>
      <c r="P1010" s="5" t="inlineStr">
        <is>
          <t>15</t>
        </is>
      </c>
      <c r="Q1010" s="5" t="inlineStr">
        <is>
          <t>4</t>
        </is>
      </c>
      <c r="R1010" s="5" t="inlineStr">
        <is>
          <t>5</t>
        </is>
      </c>
      <c r="S1010" s="5" t="inlineStr">
        <is>
          <t>59</t>
        </is>
      </c>
      <c r="T1010" s="5" t="inlineStr">
        <is>
          <t>11</t>
        </is>
      </c>
      <c r="U1010" s="5">
        <f>IFS(C1010&lt;30,"Under 30",C1010&lt;40,"30-39",C1010&lt;50,"40-49",TRUE,"50+")</f>
        <v/>
      </c>
      <c r="V1010" s="5">
        <f>IFS(O1010&lt;60000,"Low (&lt;60k)",O1010&lt;100000,"Mid (60-100k)",TRUE,"High (100k+)")</f>
        <v/>
      </c>
      <c r="W1010" s="5">
        <f>IF(M1010="No","Attrited","Active")</f>
        <v/>
      </c>
    </row>
    <row r="1011">
      <c r="A1011" s="5" t="inlineStr">
        <is>
          <t>E01010</t>
        </is>
      </c>
      <c r="B1011" s="5" t="inlineStr">
        <is>
          <t>Female</t>
        </is>
      </c>
      <c r="C1011" s="6" t="inlineStr">
        <is>
          <t>32</t>
        </is>
      </c>
      <c r="D1011" s="5" t="inlineStr">
        <is>
          <t>Single</t>
        </is>
      </c>
      <c r="E1011" s="5" t="inlineStr">
        <is>
          <t>Master</t>
        </is>
      </c>
      <c r="F1011" s="5" t="inlineStr">
        <is>
          <t>Sales</t>
        </is>
      </c>
      <c r="G1011" s="5" t="inlineStr">
        <is>
          <t>Account Executive</t>
        </is>
      </c>
      <c r="H1011" s="5" t="inlineStr">
        <is>
          <t>2</t>
        </is>
      </c>
      <c r="I1011" s="5" t="inlineStr">
        <is>
          <t>Mumbai</t>
        </is>
      </c>
      <c r="J1011" s="5" t="inlineStr">
        <is>
          <t>Full-Time</t>
        </is>
      </c>
      <c r="K1011" s="7" t="n">
        <v>45987</v>
      </c>
      <c r="L1011" s="7" t="n">
        <v>46002</v>
      </c>
      <c r="M1011" s="5" t="inlineStr">
        <is>
          <t>No</t>
        </is>
      </c>
      <c r="N1011" s="5" t="inlineStr">
        <is>
          <t>Resigned</t>
        </is>
      </c>
      <c r="O1011" s="8" t="inlineStr">
        <is>
          <t>80500</t>
        </is>
      </c>
      <c r="P1011" s="5" t="inlineStr">
        <is>
          <t>5</t>
        </is>
      </c>
      <c r="Q1011" s="5" t="inlineStr">
        <is>
          <t>3</t>
        </is>
      </c>
      <c r="R1011" s="5" t="inlineStr">
        <is>
          <t>6</t>
        </is>
      </c>
      <c r="S1011" s="5" t="inlineStr">
        <is>
          <t>1</t>
        </is>
      </c>
      <c r="T1011" s="5" t="inlineStr">
        <is>
          <t>11</t>
        </is>
      </c>
      <c r="U1011" s="5">
        <f>IFS(C1011&lt;30,"Under 30",C1011&lt;40,"30-39",C1011&lt;50,"40-49",TRUE,"50+")</f>
        <v/>
      </c>
      <c r="V1011" s="5">
        <f>IFS(O1011&lt;60000,"Low (&lt;60k)",O1011&lt;100000,"Mid (60-100k)",TRUE,"High (100k+)")</f>
        <v/>
      </c>
      <c r="W1011" s="5">
        <f>IF(M1011="No","Attrited","Active")</f>
        <v/>
      </c>
    </row>
    <row r="1012">
      <c r="A1012" s="5" t="inlineStr">
        <is>
          <t>E01011</t>
        </is>
      </c>
      <c r="B1012" s="5" t="inlineStr">
        <is>
          <t>Female</t>
        </is>
      </c>
      <c r="C1012" s="6" t="inlineStr">
        <is>
          <t>27</t>
        </is>
      </c>
      <c r="D1012" s="5" t="inlineStr">
        <is>
          <t>Single</t>
        </is>
      </c>
      <c r="E1012" s="5" t="inlineStr">
        <is>
          <t>High School</t>
        </is>
      </c>
      <c r="F1012" s="5" t="inlineStr">
        <is>
          <t>Operations</t>
        </is>
      </c>
      <c r="G1012" s="5" t="inlineStr">
        <is>
          <t>Quality Analyst</t>
        </is>
      </c>
      <c r="H1012" s="5" t="inlineStr">
        <is>
          <t>1</t>
        </is>
      </c>
      <c r="I1012" s="5" t="inlineStr">
        <is>
          <t>Remote</t>
        </is>
      </c>
      <c r="J1012" s="5" t="inlineStr">
        <is>
          <t>Full-Time</t>
        </is>
      </c>
      <c r="K1012" s="7" t="n">
        <v>45981</v>
      </c>
      <c r="L1012" s="7" t="inlineStr"/>
      <c r="M1012" s="5" t="inlineStr">
        <is>
          <t>Yes</t>
        </is>
      </c>
      <c r="N1012" s="5" t="inlineStr"/>
      <c r="O1012" s="8" t="inlineStr">
        <is>
          <t>71000</t>
        </is>
      </c>
      <c r="P1012" s="5" t="inlineStr">
        <is>
          <t>5</t>
        </is>
      </c>
      <c r="Q1012" s="5" t="inlineStr">
        <is>
          <t>5</t>
        </is>
      </c>
      <c r="R1012" s="5" t="inlineStr">
        <is>
          <t>10</t>
        </is>
      </c>
      <c r="S1012" s="5" t="inlineStr">
        <is>
          <t>1</t>
        </is>
      </c>
      <c r="T1012" s="5" t="inlineStr">
        <is>
          <t>10</t>
        </is>
      </c>
      <c r="U1012" s="5">
        <f>IFS(C1012&lt;30,"Under 30",C1012&lt;40,"30-39",C1012&lt;50,"40-49",TRUE,"50+")</f>
        <v/>
      </c>
      <c r="V1012" s="5">
        <f>IFS(O1012&lt;60000,"Low (&lt;60k)",O1012&lt;100000,"Mid (60-100k)",TRUE,"High (100k+)")</f>
        <v/>
      </c>
      <c r="W1012" s="5">
        <f>IF(M1012="No","Attrited","Active")</f>
        <v/>
      </c>
    </row>
    <row r="1013">
      <c r="A1013" s="5" t="inlineStr">
        <is>
          <t>E01012</t>
        </is>
      </c>
      <c r="B1013" s="5" t="inlineStr">
        <is>
          <t>Female</t>
        </is>
      </c>
      <c r="C1013" s="6" t="inlineStr">
        <is>
          <t>25</t>
        </is>
      </c>
      <c r="D1013" s="5" t="inlineStr">
        <is>
          <t>Single</t>
        </is>
      </c>
      <c r="E1013" s="5" t="inlineStr">
        <is>
          <t>High School</t>
        </is>
      </c>
      <c r="F1013" s="5" t="inlineStr">
        <is>
          <t>Marketing</t>
        </is>
      </c>
      <c r="G1013" s="5" t="inlineStr">
        <is>
          <t>Content Writer</t>
        </is>
      </c>
      <c r="H1013" s="5" t="inlineStr">
        <is>
          <t>2</t>
        </is>
      </c>
      <c r="I1013" s="5" t="inlineStr">
        <is>
          <t>Delhi</t>
        </is>
      </c>
      <c r="J1013" s="5" t="inlineStr">
        <is>
          <t>Full-Time</t>
        </is>
      </c>
      <c r="K1013" s="7" t="n">
        <v>43962</v>
      </c>
      <c r="L1013" s="7" t="inlineStr"/>
      <c r="M1013" s="5" t="inlineStr">
        <is>
          <t>Yes</t>
        </is>
      </c>
      <c r="N1013" s="5" t="inlineStr"/>
      <c r="O1013" s="8" t="inlineStr">
        <is>
          <t>90500</t>
        </is>
      </c>
      <c r="P1013" s="5" t="inlineStr">
        <is>
          <t>15</t>
        </is>
      </c>
      <c r="Q1013" s="5" t="inlineStr">
        <is>
          <t>5</t>
        </is>
      </c>
      <c r="R1013" s="5" t="inlineStr">
        <is>
          <t>6</t>
        </is>
      </c>
      <c r="S1013" s="5" t="inlineStr">
        <is>
          <t>68</t>
        </is>
      </c>
      <c r="T1013" s="5" t="inlineStr">
        <is>
          <t>17</t>
        </is>
      </c>
      <c r="U1013" s="5">
        <f>IFS(C1013&lt;30,"Under 30",C1013&lt;40,"30-39",C1013&lt;50,"40-49",TRUE,"50+")</f>
        <v/>
      </c>
      <c r="V1013" s="5">
        <f>IFS(O1013&lt;60000,"Low (&lt;60k)",O1013&lt;100000,"Mid (60-100k)",TRUE,"High (100k+)")</f>
        <v/>
      </c>
      <c r="W1013" s="5">
        <f>IF(M1013="No","Attrited","Active")</f>
        <v/>
      </c>
    </row>
    <row r="1014">
      <c r="A1014" s="5" t="inlineStr">
        <is>
          <t>E01013</t>
        </is>
      </c>
      <c r="B1014" s="5" t="inlineStr">
        <is>
          <t>Female</t>
        </is>
      </c>
      <c r="C1014" s="6" t="inlineStr">
        <is>
          <t>38</t>
        </is>
      </c>
      <c r="D1014" s="5" t="inlineStr">
        <is>
          <t>Married</t>
        </is>
      </c>
      <c r="E1014" s="5" t="inlineStr">
        <is>
          <t>High School</t>
        </is>
      </c>
      <c r="F1014" s="5" t="inlineStr">
        <is>
          <t>Research &amp; Development</t>
        </is>
      </c>
      <c r="G1014" s="5" t="inlineStr">
        <is>
          <t>Data Scientist</t>
        </is>
      </c>
      <c r="H1014" s="5" t="inlineStr">
        <is>
          <t>4</t>
        </is>
      </c>
      <c r="I1014" s="5" t="inlineStr">
        <is>
          <t>Mumbai</t>
        </is>
      </c>
      <c r="J1014" s="5" t="inlineStr">
        <is>
          <t>Full-Time</t>
        </is>
      </c>
      <c r="K1014" s="7" t="n">
        <v>43987</v>
      </c>
      <c r="L1014" s="7" t="inlineStr"/>
      <c r="M1014" s="5" t="inlineStr">
        <is>
          <t>Yes</t>
        </is>
      </c>
      <c r="N1014" s="5" t="inlineStr"/>
      <c r="O1014" s="8" t="inlineStr">
        <is>
          <t>210500</t>
        </is>
      </c>
      <c r="P1014" s="5" t="inlineStr">
        <is>
          <t>0</t>
        </is>
      </c>
      <c r="Q1014" s="5" t="inlineStr">
        <is>
          <t>4</t>
        </is>
      </c>
      <c r="R1014" s="5" t="inlineStr">
        <is>
          <t>7</t>
        </is>
      </c>
      <c r="S1014" s="5" t="inlineStr">
        <is>
          <t>67</t>
        </is>
      </c>
      <c r="T1014" s="5" t="inlineStr">
        <is>
          <t>0</t>
        </is>
      </c>
      <c r="U1014" s="5">
        <f>IFS(C1014&lt;30,"Under 30",C1014&lt;40,"30-39",C1014&lt;50,"40-49",TRUE,"50+")</f>
        <v/>
      </c>
      <c r="V1014" s="5">
        <f>IFS(O1014&lt;60000,"Low (&lt;60k)",O1014&lt;100000,"Mid (60-100k)",TRUE,"High (100k+)")</f>
        <v/>
      </c>
      <c r="W1014" s="5">
        <f>IF(M1014="No","Attrited","Active")</f>
        <v/>
      </c>
    </row>
    <row r="1015">
      <c r="A1015" s="5" t="inlineStr">
        <is>
          <t>E01014</t>
        </is>
      </c>
      <c r="B1015" s="5" t="inlineStr">
        <is>
          <t>Male</t>
        </is>
      </c>
      <c r="C1015" s="6" t="inlineStr">
        <is>
          <t>35</t>
        </is>
      </c>
      <c r="D1015" s="5" t="inlineStr">
        <is>
          <t>Single</t>
        </is>
      </c>
      <c r="E1015" s="5" t="inlineStr">
        <is>
          <t>Diploma</t>
        </is>
      </c>
      <c r="F1015" s="5" t="inlineStr">
        <is>
          <t>Customer Support</t>
        </is>
      </c>
      <c r="G1015" s="5" t="inlineStr">
        <is>
          <t>Support Agent</t>
        </is>
      </c>
      <c r="H1015" s="5" t="inlineStr">
        <is>
          <t>3</t>
        </is>
      </c>
      <c r="I1015" s="5" t="inlineStr">
        <is>
          <t>Remote</t>
        </is>
      </c>
      <c r="J1015" s="5" t="inlineStr">
        <is>
          <t>Full-Time</t>
        </is>
      </c>
      <c r="K1015" s="7" t="n">
        <v>45182</v>
      </c>
      <c r="L1015" s="7" t="inlineStr"/>
      <c r="M1015" s="5" t="inlineStr">
        <is>
          <t>Yes</t>
        </is>
      </c>
      <c r="N1015" s="5" t="inlineStr"/>
      <c r="O1015" s="8" t="inlineStr">
        <is>
          <t>84000</t>
        </is>
      </c>
      <c r="P1015" s="5" t="inlineStr">
        <is>
          <t>5</t>
        </is>
      </c>
      <c r="Q1015" s="5" t="inlineStr">
        <is>
          <t>3</t>
        </is>
      </c>
      <c r="R1015" s="5" t="inlineStr">
        <is>
          <t>4</t>
        </is>
      </c>
      <c r="S1015" s="5" t="inlineStr">
        <is>
          <t>28</t>
        </is>
      </c>
      <c r="T1015" s="5" t="inlineStr">
        <is>
          <t>1</t>
        </is>
      </c>
      <c r="U1015" s="5">
        <f>IFS(C1015&lt;30,"Under 30",C1015&lt;40,"30-39",C1015&lt;50,"40-49",TRUE,"50+")</f>
        <v/>
      </c>
      <c r="V1015" s="5">
        <f>IFS(O1015&lt;60000,"Low (&lt;60k)",O1015&lt;100000,"Mid (60-100k)",TRUE,"High (100k+)")</f>
        <v/>
      </c>
      <c r="W1015" s="5">
        <f>IF(M1015="No","Attrited","Active")</f>
        <v/>
      </c>
    </row>
    <row r="1016">
      <c r="A1016" s="5" t="inlineStr">
        <is>
          <t>E01015</t>
        </is>
      </c>
      <c r="B1016" s="5" t="inlineStr">
        <is>
          <t>Female</t>
        </is>
      </c>
      <c r="C1016" s="6" t="inlineStr">
        <is>
          <t>35</t>
        </is>
      </c>
      <c r="D1016" s="5" t="inlineStr">
        <is>
          <t>Married</t>
        </is>
      </c>
      <c r="E1016" s="5" t="inlineStr">
        <is>
          <t>High School</t>
        </is>
      </c>
      <c r="F1016" s="5" t="inlineStr">
        <is>
          <t>Marketing</t>
        </is>
      </c>
      <c r="G1016" s="5" t="inlineStr">
        <is>
          <t>Content Writer</t>
        </is>
      </c>
      <c r="H1016" s="5" t="inlineStr">
        <is>
          <t>2</t>
        </is>
      </c>
      <c r="I1016" s="5" t="inlineStr">
        <is>
          <t>Bengaluru</t>
        </is>
      </c>
      <c r="J1016" s="5" t="inlineStr">
        <is>
          <t>Full-Time</t>
        </is>
      </c>
      <c r="K1016" s="7" t="n">
        <v>45420</v>
      </c>
      <c r="L1016" s="7" t="inlineStr"/>
      <c r="M1016" s="5" t="inlineStr">
        <is>
          <t>Yes</t>
        </is>
      </c>
      <c r="N1016" s="5" t="inlineStr"/>
      <c r="O1016" s="8" t="inlineStr">
        <is>
          <t>61000</t>
        </is>
      </c>
      <c r="P1016" s="5" t="inlineStr">
        <is>
          <t>0</t>
        </is>
      </c>
      <c r="Q1016" s="5" t="inlineStr">
        <is>
          <t>4</t>
        </is>
      </c>
      <c r="R1016" s="5" t="inlineStr">
        <is>
          <t>4</t>
        </is>
      </c>
      <c r="S1016" s="5" t="inlineStr">
        <is>
          <t>20</t>
        </is>
      </c>
      <c r="T1016" s="5" t="inlineStr">
        <is>
          <t>4</t>
        </is>
      </c>
      <c r="U1016" s="5">
        <f>IFS(C1016&lt;30,"Under 30",C1016&lt;40,"30-39",C1016&lt;50,"40-49",TRUE,"50+")</f>
        <v/>
      </c>
      <c r="V1016" s="5">
        <f>IFS(O1016&lt;60000,"Low (&lt;60k)",O1016&lt;100000,"Mid (60-100k)",TRUE,"High (100k+)")</f>
        <v/>
      </c>
      <c r="W1016" s="5">
        <f>IF(M1016="No","Attrited","Active")</f>
        <v/>
      </c>
    </row>
    <row r="1017">
      <c r="A1017" s="5" t="inlineStr">
        <is>
          <t>E01016</t>
        </is>
      </c>
      <c r="B1017" s="5" t="inlineStr">
        <is>
          <t>Female</t>
        </is>
      </c>
      <c r="C1017" s="6" t="inlineStr">
        <is>
          <t>38</t>
        </is>
      </c>
      <c r="D1017" s="5" t="inlineStr">
        <is>
          <t>Married</t>
        </is>
      </c>
      <c r="E1017" s="5" t="inlineStr">
        <is>
          <t>Master</t>
        </is>
      </c>
      <c r="F1017" s="5" t="inlineStr">
        <is>
          <t>IT</t>
        </is>
      </c>
      <c r="G1017" s="5" t="inlineStr">
        <is>
          <t>IT Support</t>
        </is>
      </c>
      <c r="H1017" s="5" t="inlineStr">
        <is>
          <t>5</t>
        </is>
      </c>
      <c r="I1017" s="5" t="inlineStr">
        <is>
          <t>Delhi</t>
        </is>
      </c>
      <c r="J1017" s="5" t="inlineStr">
        <is>
          <t>Full-Time</t>
        </is>
      </c>
      <c r="K1017" s="7" t="n">
        <v>45506</v>
      </c>
      <c r="L1017" s="7" t="inlineStr"/>
      <c r="M1017" s="5" t="inlineStr">
        <is>
          <t>Yes</t>
        </is>
      </c>
      <c r="N1017" s="5" t="inlineStr"/>
      <c r="O1017" s="8" t="inlineStr">
        <is>
          <t>218000</t>
        </is>
      </c>
      <c r="P1017" s="5" t="inlineStr">
        <is>
          <t>5</t>
        </is>
      </c>
      <c r="Q1017" s="5" t="inlineStr">
        <is>
          <t>1</t>
        </is>
      </c>
      <c r="R1017" s="5" t="inlineStr">
        <is>
          <t>7</t>
        </is>
      </c>
      <c r="S1017" s="5" t="inlineStr">
        <is>
          <t>17</t>
        </is>
      </c>
      <c r="T1017" s="5" t="inlineStr">
        <is>
          <t>7</t>
        </is>
      </c>
      <c r="U1017" s="5">
        <f>IFS(C1017&lt;30,"Under 30",C1017&lt;40,"30-39",C1017&lt;50,"40-49",TRUE,"50+")</f>
        <v/>
      </c>
      <c r="V1017" s="5">
        <f>IFS(O1017&lt;60000,"Low (&lt;60k)",O1017&lt;100000,"Mid (60-100k)",TRUE,"High (100k+)")</f>
        <v/>
      </c>
      <c r="W1017" s="5">
        <f>IF(M1017="No","Attrited","Active")</f>
        <v/>
      </c>
    </row>
    <row r="1018">
      <c r="A1018" s="5" t="inlineStr">
        <is>
          <t>E01017</t>
        </is>
      </c>
      <c r="B1018" s="5" t="inlineStr">
        <is>
          <t>Male</t>
        </is>
      </c>
      <c r="C1018" s="6" t="inlineStr">
        <is>
          <t>36</t>
        </is>
      </c>
      <c r="D1018" s="5" t="inlineStr">
        <is>
          <t>Single</t>
        </is>
      </c>
      <c r="E1018" s="5" t="inlineStr">
        <is>
          <t>High School</t>
        </is>
      </c>
      <c r="F1018" s="5" t="inlineStr">
        <is>
          <t>Human Resources</t>
        </is>
      </c>
      <c r="G1018" s="5" t="inlineStr">
        <is>
          <t>HR Generalist</t>
        </is>
      </c>
      <c r="H1018" s="5" t="inlineStr">
        <is>
          <t>5</t>
        </is>
      </c>
      <c r="I1018" s="5" t="inlineStr">
        <is>
          <t>Bengaluru</t>
        </is>
      </c>
      <c r="J1018" s="5" t="inlineStr">
        <is>
          <t>Full-Time</t>
        </is>
      </c>
      <c r="K1018" s="7" t="n">
        <v>45182</v>
      </c>
      <c r="L1018" s="7" t="inlineStr"/>
      <c r="M1018" s="5" t="inlineStr">
        <is>
          <t>Yes</t>
        </is>
      </c>
      <c r="N1018" s="5" t="inlineStr"/>
      <c r="O1018" s="8" t="inlineStr">
        <is>
          <t>139000</t>
        </is>
      </c>
      <c r="P1018" s="5" t="inlineStr">
        <is>
          <t>15</t>
        </is>
      </c>
      <c r="Q1018" s="5" t="inlineStr">
        <is>
          <t>2</t>
        </is>
      </c>
      <c r="R1018" s="5" t="inlineStr">
        <is>
          <t>5</t>
        </is>
      </c>
      <c r="S1018" s="5" t="inlineStr">
        <is>
          <t>28</t>
        </is>
      </c>
      <c r="T1018" s="5" t="inlineStr">
        <is>
          <t>5</t>
        </is>
      </c>
      <c r="U1018" s="5">
        <f>IFS(C1018&lt;30,"Under 30",C1018&lt;40,"30-39",C1018&lt;50,"40-49",TRUE,"50+")</f>
        <v/>
      </c>
      <c r="V1018" s="5">
        <f>IFS(O1018&lt;60000,"Low (&lt;60k)",O1018&lt;100000,"Mid (60-100k)",TRUE,"High (100k+)")</f>
        <v/>
      </c>
      <c r="W1018" s="5">
        <f>IF(M1018="No","Attrited","Active")</f>
        <v/>
      </c>
    </row>
    <row r="1019">
      <c r="A1019" s="5" t="inlineStr">
        <is>
          <t>E01018</t>
        </is>
      </c>
      <c r="B1019" s="5" t="inlineStr">
        <is>
          <t>Male</t>
        </is>
      </c>
      <c r="C1019" s="6" t="inlineStr">
        <is>
          <t>30</t>
        </is>
      </c>
      <c r="D1019" s="5" t="inlineStr">
        <is>
          <t>Married</t>
        </is>
      </c>
      <c r="E1019" s="5" t="inlineStr">
        <is>
          <t>PhD</t>
        </is>
      </c>
      <c r="F1019" s="5" t="inlineStr">
        <is>
          <t>IT</t>
        </is>
      </c>
      <c r="G1019" s="5" t="inlineStr">
        <is>
          <t>IT Support</t>
        </is>
      </c>
      <c r="H1019" s="5" t="inlineStr">
        <is>
          <t>3</t>
        </is>
      </c>
      <c r="I1019" s="5" t="inlineStr">
        <is>
          <t>Bengaluru</t>
        </is>
      </c>
      <c r="J1019" s="5" t="inlineStr">
        <is>
          <t>Full-Time</t>
        </is>
      </c>
      <c r="K1019" s="7" t="n">
        <v>45063</v>
      </c>
      <c r="L1019" s="7" t="inlineStr"/>
      <c r="M1019" s="5" t="inlineStr">
        <is>
          <t>Yes</t>
        </is>
      </c>
      <c r="N1019" s="5" t="inlineStr"/>
      <c r="O1019" s="8" t="inlineStr">
        <is>
          <t>159000</t>
        </is>
      </c>
      <c r="P1019" s="5" t="inlineStr">
        <is>
          <t>10</t>
        </is>
      </c>
      <c r="Q1019" s="5" t="inlineStr">
        <is>
          <t>4</t>
        </is>
      </c>
      <c r="R1019" s="5" t="inlineStr">
        <is>
          <t>5</t>
        </is>
      </c>
      <c r="S1019" s="5" t="inlineStr">
        <is>
          <t>31</t>
        </is>
      </c>
      <c r="T1019" s="5" t="inlineStr">
        <is>
          <t>0</t>
        </is>
      </c>
      <c r="U1019" s="5">
        <f>IFS(C1019&lt;30,"Under 30",C1019&lt;40,"30-39",C1019&lt;50,"40-49",TRUE,"50+")</f>
        <v/>
      </c>
      <c r="V1019" s="5">
        <f>IFS(O1019&lt;60000,"Low (&lt;60k)",O1019&lt;100000,"Mid (60-100k)",TRUE,"High (100k+)")</f>
        <v/>
      </c>
      <c r="W1019" s="5">
        <f>IF(M1019="No","Attrited","Active")</f>
        <v/>
      </c>
    </row>
    <row r="1020">
      <c r="A1020" s="5" t="inlineStr">
        <is>
          <t>E01019</t>
        </is>
      </c>
      <c r="B1020" s="5" t="inlineStr">
        <is>
          <t>Male</t>
        </is>
      </c>
      <c r="C1020" s="6" t="inlineStr">
        <is>
          <t>37</t>
        </is>
      </c>
      <c r="D1020" s="5" t="inlineStr">
        <is>
          <t>Married</t>
        </is>
      </c>
      <c r="E1020" s="5" t="inlineStr">
        <is>
          <t>PhD</t>
        </is>
      </c>
      <c r="F1020" s="5" t="inlineStr">
        <is>
          <t>Finance</t>
        </is>
      </c>
      <c r="G1020" s="5" t="inlineStr">
        <is>
          <t>Financial Analyst</t>
        </is>
      </c>
      <c r="H1020" s="5" t="inlineStr">
        <is>
          <t>3</t>
        </is>
      </c>
      <c r="I1020" s="5" t="inlineStr">
        <is>
          <t>Delhi</t>
        </is>
      </c>
      <c r="J1020" s="5" t="inlineStr">
        <is>
          <t>Full-Time</t>
        </is>
      </c>
      <c r="K1020" s="7" t="n">
        <v>45572</v>
      </c>
      <c r="L1020" s="7" t="inlineStr"/>
      <c r="M1020" s="5" t="inlineStr">
        <is>
          <t>Yes</t>
        </is>
      </c>
      <c r="N1020" s="5" t="inlineStr"/>
      <c r="O1020" s="8" t="inlineStr">
        <is>
          <t>124000</t>
        </is>
      </c>
      <c r="P1020" s="5" t="inlineStr">
        <is>
          <t>15</t>
        </is>
      </c>
      <c r="Q1020" s="5" t="inlineStr">
        <is>
          <t>3</t>
        </is>
      </c>
      <c r="R1020" s="5" t="inlineStr">
        <is>
          <t>4</t>
        </is>
      </c>
      <c r="S1020" s="5" t="inlineStr">
        <is>
          <t>15</t>
        </is>
      </c>
      <c r="T1020" s="5" t="inlineStr">
        <is>
          <t>6</t>
        </is>
      </c>
      <c r="U1020" s="5">
        <f>IFS(C1020&lt;30,"Under 30",C1020&lt;40,"30-39",C1020&lt;50,"40-49",TRUE,"50+")</f>
        <v/>
      </c>
      <c r="V1020" s="5">
        <f>IFS(O1020&lt;60000,"Low (&lt;60k)",O1020&lt;100000,"Mid (60-100k)",TRUE,"High (100k+)")</f>
        <v/>
      </c>
      <c r="W1020" s="5">
        <f>IF(M1020="No","Attrited","Active")</f>
        <v/>
      </c>
    </row>
    <row r="1021">
      <c r="A1021" s="5" t="inlineStr">
        <is>
          <t>E01020</t>
        </is>
      </c>
      <c r="B1021" s="5" t="inlineStr">
        <is>
          <t>Female</t>
        </is>
      </c>
      <c r="C1021" s="6" t="inlineStr">
        <is>
          <t>32</t>
        </is>
      </c>
      <c r="D1021" s="5" t="inlineStr">
        <is>
          <t>Married</t>
        </is>
      </c>
      <c r="E1021" s="5" t="inlineStr">
        <is>
          <t>Master</t>
        </is>
      </c>
      <c r="F1021" s="5" t="inlineStr">
        <is>
          <t>Marketing</t>
        </is>
      </c>
      <c r="G1021" s="5" t="inlineStr">
        <is>
          <t>Content Writer</t>
        </is>
      </c>
      <c r="H1021" s="5" t="inlineStr">
        <is>
          <t>4</t>
        </is>
      </c>
      <c r="I1021" s="5" t="inlineStr">
        <is>
          <t>Delhi</t>
        </is>
      </c>
      <c r="J1021" s="5" t="inlineStr">
        <is>
          <t>Full-Time</t>
        </is>
      </c>
      <c r="K1021" s="7" t="n">
        <v>44602</v>
      </c>
      <c r="L1021" s="7" t="inlineStr"/>
      <c r="M1021" s="5" t="inlineStr">
        <is>
          <t>Yes</t>
        </is>
      </c>
      <c r="N1021" s="5" t="inlineStr"/>
      <c r="O1021" s="8" t="inlineStr">
        <is>
          <t>106500</t>
        </is>
      </c>
      <c r="P1021" s="5" t="inlineStr">
        <is>
          <t>0</t>
        </is>
      </c>
      <c r="Q1021" s="5" t="inlineStr">
        <is>
          <t>5</t>
        </is>
      </c>
      <c r="R1021" s="5" t="inlineStr">
        <is>
          <t>6</t>
        </is>
      </c>
      <c r="S1021" s="5" t="inlineStr">
        <is>
          <t>47</t>
        </is>
      </c>
      <c r="T1021" s="5" t="inlineStr">
        <is>
          <t>0</t>
        </is>
      </c>
      <c r="U1021" s="5">
        <f>IFS(C1021&lt;30,"Under 30",C1021&lt;40,"30-39",C1021&lt;50,"40-49",TRUE,"50+")</f>
        <v/>
      </c>
      <c r="V1021" s="5">
        <f>IFS(O1021&lt;60000,"Low (&lt;60k)",O1021&lt;100000,"Mid (60-100k)",TRUE,"High (100k+)")</f>
        <v/>
      </c>
      <c r="W1021" s="5">
        <f>IF(M1021="No","Attrited","Active")</f>
        <v/>
      </c>
    </row>
    <row r="1022">
      <c r="A1022" s="5" t="inlineStr">
        <is>
          <t>E01021</t>
        </is>
      </c>
      <c r="B1022" s="5" t="inlineStr">
        <is>
          <t>Female</t>
        </is>
      </c>
      <c r="C1022" s="6" t="inlineStr">
        <is>
          <t>32</t>
        </is>
      </c>
      <c r="D1022" s="5" t="inlineStr">
        <is>
          <t>Married</t>
        </is>
      </c>
      <c r="E1022" s="5" t="inlineStr">
        <is>
          <t>Diploma</t>
        </is>
      </c>
      <c r="F1022" s="5" t="inlineStr">
        <is>
          <t>IT</t>
        </is>
      </c>
      <c r="G1022" s="5" t="inlineStr">
        <is>
          <t>Data Analyst</t>
        </is>
      </c>
      <c r="H1022" s="5" t="inlineStr">
        <is>
          <t>2</t>
        </is>
      </c>
      <c r="I1022" s="5" t="inlineStr">
        <is>
          <t>Bengaluru</t>
        </is>
      </c>
      <c r="J1022" s="5" t="inlineStr">
        <is>
          <t>Part-Time</t>
        </is>
      </c>
      <c r="K1022" s="7" t="n">
        <v>45836</v>
      </c>
      <c r="L1022" s="7" t="n">
        <v>45933</v>
      </c>
      <c r="M1022" s="5" t="inlineStr">
        <is>
          <t>No</t>
        </is>
      </c>
      <c r="N1022" s="5" t="inlineStr">
        <is>
          <t>Resigned</t>
        </is>
      </c>
      <c r="O1022" s="8" t="inlineStr">
        <is>
          <t>142500</t>
        </is>
      </c>
      <c r="P1022" s="5" t="inlineStr">
        <is>
          <t>0</t>
        </is>
      </c>
      <c r="Q1022" s="5" t="inlineStr">
        <is>
          <t>4</t>
        </is>
      </c>
      <c r="R1022" s="5" t="inlineStr">
        <is>
          <t>6</t>
        </is>
      </c>
      <c r="S1022" s="5" t="inlineStr">
        <is>
          <t>3</t>
        </is>
      </c>
      <c r="T1022" s="5" t="inlineStr">
        <is>
          <t>2</t>
        </is>
      </c>
      <c r="U1022" s="5">
        <f>IFS(C1022&lt;30,"Under 30",C1022&lt;40,"30-39",C1022&lt;50,"40-49",TRUE,"50+")</f>
        <v/>
      </c>
      <c r="V1022" s="5">
        <f>IFS(O1022&lt;60000,"Low (&lt;60k)",O1022&lt;100000,"Mid (60-100k)",TRUE,"High (100k+)")</f>
        <v/>
      </c>
      <c r="W1022" s="5">
        <f>IF(M1022="No","Attrited","Active")</f>
        <v/>
      </c>
    </row>
    <row r="1023">
      <c r="A1023" s="5" t="inlineStr">
        <is>
          <t>E01022</t>
        </is>
      </c>
      <c r="B1023" s="5" t="inlineStr">
        <is>
          <t>Male</t>
        </is>
      </c>
      <c r="C1023" s="6" t="inlineStr">
        <is>
          <t>34</t>
        </is>
      </c>
      <c r="D1023" s="5" t="inlineStr">
        <is>
          <t>Divorced</t>
        </is>
      </c>
      <c r="E1023" s="5" t="inlineStr">
        <is>
          <t>Bachelor</t>
        </is>
      </c>
      <c r="F1023" s="5" t="inlineStr">
        <is>
          <t>Research &amp; Development</t>
        </is>
      </c>
      <c r="G1023" s="5" t="inlineStr">
        <is>
          <t>Research Scientist</t>
        </is>
      </c>
      <c r="H1023" s="5" t="inlineStr">
        <is>
          <t>3</t>
        </is>
      </c>
      <c r="I1023" s="5" t="inlineStr">
        <is>
          <t>Delhi</t>
        </is>
      </c>
      <c r="J1023" s="5" t="inlineStr">
        <is>
          <t>Full-Time</t>
        </is>
      </c>
      <c r="K1023" s="7" t="n">
        <v>44505</v>
      </c>
      <c r="L1023" s="7" t="inlineStr"/>
      <c r="M1023" s="5" t="inlineStr">
        <is>
          <t>Yes</t>
        </is>
      </c>
      <c r="N1023" s="5" t="inlineStr"/>
      <c r="O1023" s="8" t="inlineStr">
        <is>
          <t>121500</t>
        </is>
      </c>
      <c r="P1023" s="5" t="inlineStr">
        <is>
          <t>0</t>
        </is>
      </c>
      <c r="Q1023" s="5" t="inlineStr">
        <is>
          <t>4</t>
        </is>
      </c>
      <c r="R1023" s="5" t="inlineStr">
        <is>
          <t>5</t>
        </is>
      </c>
      <c r="S1023" s="5" t="inlineStr">
        <is>
          <t>50</t>
        </is>
      </c>
      <c r="T1023" s="5" t="inlineStr">
        <is>
          <t>19</t>
        </is>
      </c>
      <c r="U1023" s="5">
        <f>IFS(C1023&lt;30,"Under 30",C1023&lt;40,"30-39",C1023&lt;50,"40-49",TRUE,"50+")</f>
        <v/>
      </c>
      <c r="V1023" s="5">
        <f>IFS(O1023&lt;60000,"Low (&lt;60k)",O1023&lt;100000,"Mid (60-100k)",TRUE,"High (100k+)")</f>
        <v/>
      </c>
      <c r="W1023" s="5">
        <f>IF(M1023="No","Attrited","Active")</f>
        <v/>
      </c>
    </row>
    <row r="1024">
      <c r="A1024" s="5" t="inlineStr">
        <is>
          <t>E01023</t>
        </is>
      </c>
      <c r="B1024" s="5" t="inlineStr">
        <is>
          <t>Male</t>
        </is>
      </c>
      <c r="C1024" s="6" t="inlineStr">
        <is>
          <t>33</t>
        </is>
      </c>
      <c r="D1024" s="5" t="inlineStr">
        <is>
          <t>Married</t>
        </is>
      </c>
      <c r="E1024" s="5" t="inlineStr">
        <is>
          <t>Bachelor</t>
        </is>
      </c>
      <c r="F1024" s="5" t="inlineStr">
        <is>
          <t>Research &amp; Development</t>
        </is>
      </c>
      <c r="G1024" s="5" t="inlineStr">
        <is>
          <t>Research Scientist</t>
        </is>
      </c>
      <c r="H1024" s="5" t="inlineStr">
        <is>
          <t>2</t>
        </is>
      </c>
      <c r="I1024" s="5" t="inlineStr">
        <is>
          <t>Remote</t>
        </is>
      </c>
      <c r="J1024" s="5" t="inlineStr">
        <is>
          <t>Full-Time</t>
        </is>
      </c>
      <c r="K1024" s="7" t="n">
        <v>45472</v>
      </c>
      <c r="L1024" s="7" t="inlineStr"/>
      <c r="M1024" s="5" t="inlineStr">
        <is>
          <t>Yes</t>
        </is>
      </c>
      <c r="N1024" s="5" t="inlineStr"/>
      <c r="O1024" s="8" t="inlineStr">
        <is>
          <t>139500</t>
        </is>
      </c>
      <c r="P1024" s="5" t="inlineStr">
        <is>
          <t>10</t>
        </is>
      </c>
      <c r="Q1024" s="5" t="inlineStr">
        <is>
          <t>3</t>
        </is>
      </c>
      <c r="R1024" s="5" t="inlineStr">
        <is>
          <t>6</t>
        </is>
      </c>
      <c r="S1024" s="5" t="inlineStr">
        <is>
          <t>18</t>
        </is>
      </c>
      <c r="T1024" s="5" t="inlineStr">
        <is>
          <t>6</t>
        </is>
      </c>
      <c r="U1024" s="5">
        <f>IFS(C1024&lt;30,"Under 30",C1024&lt;40,"30-39",C1024&lt;50,"40-49",TRUE,"50+")</f>
        <v/>
      </c>
      <c r="V1024" s="5">
        <f>IFS(O1024&lt;60000,"Low (&lt;60k)",O1024&lt;100000,"Mid (60-100k)",TRUE,"High (100k+)")</f>
        <v/>
      </c>
      <c r="W1024" s="5">
        <f>IF(M1024="No","Attrited","Active")</f>
        <v/>
      </c>
    </row>
    <row r="1025">
      <c r="A1025" s="5" t="inlineStr">
        <is>
          <t>E01024</t>
        </is>
      </c>
      <c r="B1025" s="5" t="inlineStr">
        <is>
          <t>Male</t>
        </is>
      </c>
      <c r="C1025" s="6" t="inlineStr">
        <is>
          <t>31</t>
        </is>
      </c>
      <c r="D1025" s="5" t="inlineStr">
        <is>
          <t>Married</t>
        </is>
      </c>
      <c r="E1025" s="5" t="inlineStr">
        <is>
          <t>High School</t>
        </is>
      </c>
      <c r="F1025" s="5" t="inlineStr">
        <is>
          <t>Customer Support</t>
        </is>
      </c>
      <c r="G1025" s="5" t="inlineStr">
        <is>
          <t>Support Lead</t>
        </is>
      </c>
      <c r="H1025" s="5" t="inlineStr">
        <is>
          <t>3</t>
        </is>
      </c>
      <c r="I1025" s="5" t="inlineStr">
        <is>
          <t>Hyderabad</t>
        </is>
      </c>
      <c r="J1025" s="5" t="inlineStr">
        <is>
          <t>Full-Time</t>
        </is>
      </c>
      <c r="K1025" s="7" t="n">
        <v>43930</v>
      </c>
      <c r="L1025" s="7" t="inlineStr"/>
      <c r="M1025" s="5" t="inlineStr">
        <is>
          <t>Yes</t>
        </is>
      </c>
      <c r="N1025" s="5" t="inlineStr"/>
      <c r="O1025" s="8" t="inlineStr">
        <is>
          <t>88500</t>
        </is>
      </c>
      <c r="P1025" s="5" t="inlineStr">
        <is>
          <t>5</t>
        </is>
      </c>
      <c r="Q1025" s="5" t="inlineStr">
        <is>
          <t>4</t>
        </is>
      </c>
      <c r="R1025" s="5" t="inlineStr">
        <is>
          <t>9</t>
        </is>
      </c>
      <c r="S1025" s="5" t="inlineStr">
        <is>
          <t>69</t>
        </is>
      </c>
      <c r="T1025" s="5" t="inlineStr">
        <is>
          <t>0</t>
        </is>
      </c>
      <c r="U1025" s="5">
        <f>IFS(C1025&lt;30,"Under 30",C1025&lt;40,"30-39",C1025&lt;50,"40-49",TRUE,"50+")</f>
        <v/>
      </c>
      <c r="V1025" s="5">
        <f>IFS(O1025&lt;60000,"Low (&lt;60k)",O1025&lt;100000,"Mid (60-100k)",TRUE,"High (100k+)")</f>
        <v/>
      </c>
      <c r="W1025" s="5">
        <f>IF(M1025="No","Attrited","Active")</f>
        <v/>
      </c>
    </row>
    <row r="1026">
      <c r="A1026" s="5" t="inlineStr">
        <is>
          <t>E01025</t>
        </is>
      </c>
      <c r="B1026" s="5" t="inlineStr">
        <is>
          <t>Female</t>
        </is>
      </c>
      <c r="C1026" s="6" t="inlineStr">
        <is>
          <t>36</t>
        </is>
      </c>
      <c r="D1026" s="5" t="inlineStr">
        <is>
          <t>Married</t>
        </is>
      </c>
      <c r="E1026" s="5" t="inlineStr">
        <is>
          <t>Diploma</t>
        </is>
      </c>
      <c r="F1026" s="5" t="inlineStr">
        <is>
          <t>Finance</t>
        </is>
      </c>
      <c r="G1026" s="5" t="inlineStr">
        <is>
          <t>Accountant</t>
        </is>
      </c>
      <c r="H1026" s="5" t="inlineStr">
        <is>
          <t>4</t>
        </is>
      </c>
      <c r="I1026" s="5" t="inlineStr">
        <is>
          <t>Bengaluru</t>
        </is>
      </c>
      <c r="J1026" s="5" t="inlineStr">
        <is>
          <t>Full-Time</t>
        </is>
      </c>
      <c r="K1026" s="7" t="n">
        <v>45903</v>
      </c>
      <c r="L1026" s="7" t="inlineStr"/>
      <c r="M1026" s="5" t="inlineStr">
        <is>
          <t>Yes</t>
        </is>
      </c>
      <c r="N1026" s="5" t="inlineStr"/>
      <c r="O1026" s="8" t="inlineStr">
        <is>
          <t>125500</t>
        </is>
      </c>
      <c r="P1026" s="5" t="inlineStr">
        <is>
          <t>15</t>
        </is>
      </c>
      <c r="Q1026" s="5" t="inlineStr">
        <is>
          <t>3</t>
        </is>
      </c>
      <c r="R1026" s="5" t="inlineStr">
        <is>
          <t>6</t>
        </is>
      </c>
      <c r="S1026" s="5" t="inlineStr">
        <is>
          <t>3</t>
        </is>
      </c>
      <c r="T1026" s="5" t="inlineStr">
        <is>
          <t>0</t>
        </is>
      </c>
      <c r="U1026" s="5">
        <f>IFS(C1026&lt;30,"Under 30",C1026&lt;40,"30-39",C1026&lt;50,"40-49",TRUE,"50+")</f>
        <v/>
      </c>
      <c r="V1026" s="5">
        <f>IFS(O1026&lt;60000,"Low (&lt;60k)",O1026&lt;100000,"Mid (60-100k)",TRUE,"High (100k+)")</f>
        <v/>
      </c>
      <c r="W1026" s="5">
        <f>IF(M1026="No","Attrited","Active")</f>
        <v/>
      </c>
    </row>
    <row r="1027">
      <c r="A1027" s="5" t="inlineStr">
        <is>
          <t>E01026</t>
        </is>
      </c>
      <c r="B1027" s="5" t="inlineStr">
        <is>
          <t>Male</t>
        </is>
      </c>
      <c r="C1027" s="6" t="inlineStr">
        <is>
          <t>34</t>
        </is>
      </c>
      <c r="D1027" s="5" t="inlineStr">
        <is>
          <t>Divorced</t>
        </is>
      </c>
      <c r="E1027" s="5" t="inlineStr">
        <is>
          <t>High School</t>
        </is>
      </c>
      <c r="F1027" s="5" t="inlineStr">
        <is>
          <t>Human Resources</t>
        </is>
      </c>
      <c r="G1027" s="5" t="inlineStr">
        <is>
          <t>HR Analyst</t>
        </is>
      </c>
      <c r="H1027" s="5" t="inlineStr">
        <is>
          <t>1</t>
        </is>
      </c>
      <c r="I1027" s="5" t="inlineStr">
        <is>
          <t>Remote</t>
        </is>
      </c>
      <c r="J1027" s="5" t="inlineStr">
        <is>
          <t>Full-Time</t>
        </is>
      </c>
      <c r="K1027" s="7" t="n">
        <v>44790</v>
      </c>
      <c r="L1027" s="7" t="inlineStr"/>
      <c r="M1027" s="5" t="inlineStr">
        <is>
          <t>Yes</t>
        </is>
      </c>
      <c r="N1027" s="5" t="inlineStr"/>
      <c r="O1027" s="8" t="inlineStr">
        <is>
          <t>63000</t>
        </is>
      </c>
      <c r="P1027" s="5" t="inlineStr">
        <is>
          <t>0</t>
        </is>
      </c>
      <c r="Q1027" s="5" t="inlineStr">
        <is>
          <t>4</t>
        </is>
      </c>
      <c r="R1027" s="5" t="inlineStr">
        <is>
          <t>8</t>
        </is>
      </c>
      <c r="S1027" s="5" t="inlineStr">
        <is>
          <t>41</t>
        </is>
      </c>
      <c r="T1027" s="5" t="inlineStr">
        <is>
          <t>7</t>
        </is>
      </c>
      <c r="U1027" s="5">
        <f>IFS(C1027&lt;30,"Under 30",C1027&lt;40,"30-39",C1027&lt;50,"40-49",TRUE,"50+")</f>
        <v/>
      </c>
      <c r="V1027" s="5">
        <f>IFS(O1027&lt;60000,"Low (&lt;60k)",O1027&lt;100000,"Mid (60-100k)",TRUE,"High (100k+)")</f>
        <v/>
      </c>
      <c r="W1027" s="5">
        <f>IF(M1027="No","Attrited","Active")</f>
        <v/>
      </c>
    </row>
    <row r="1028">
      <c r="A1028" s="5" t="inlineStr">
        <is>
          <t>E01027</t>
        </is>
      </c>
      <c r="B1028" s="5" t="inlineStr">
        <is>
          <t>Male</t>
        </is>
      </c>
      <c r="C1028" s="6" t="inlineStr">
        <is>
          <t>34</t>
        </is>
      </c>
      <c r="D1028" s="5" t="inlineStr">
        <is>
          <t>Single</t>
        </is>
      </c>
      <c r="E1028" s="5" t="inlineStr">
        <is>
          <t>PhD</t>
        </is>
      </c>
      <c r="F1028" s="5" t="inlineStr">
        <is>
          <t>Research &amp; Development</t>
        </is>
      </c>
      <c r="G1028" s="5" t="inlineStr">
        <is>
          <t>Data Scientist</t>
        </is>
      </c>
      <c r="H1028" s="5" t="inlineStr">
        <is>
          <t>5</t>
        </is>
      </c>
      <c r="I1028" s="5" t="inlineStr">
        <is>
          <t>Hyderabad</t>
        </is>
      </c>
      <c r="J1028" s="5" t="inlineStr">
        <is>
          <t>Full-Time</t>
        </is>
      </c>
      <c r="K1028" s="7" t="n">
        <v>45914</v>
      </c>
      <c r="L1028" s="7" t="inlineStr"/>
      <c r="M1028" s="5" t="inlineStr">
        <is>
          <t>Yes</t>
        </is>
      </c>
      <c r="N1028" s="5" t="inlineStr"/>
      <c r="O1028" s="8" t="inlineStr">
        <is>
          <t>184500</t>
        </is>
      </c>
      <c r="P1028" s="5" t="inlineStr">
        <is>
          <t>15</t>
        </is>
      </c>
      <c r="Q1028" s="5" t="inlineStr">
        <is>
          <t>3</t>
        </is>
      </c>
      <c r="R1028" s="5" t="inlineStr">
        <is>
          <t>8</t>
        </is>
      </c>
      <c r="S1028" s="5" t="inlineStr">
        <is>
          <t>3</t>
        </is>
      </c>
      <c r="T1028" s="5" t="inlineStr">
        <is>
          <t>0</t>
        </is>
      </c>
      <c r="U1028" s="5">
        <f>IFS(C1028&lt;30,"Under 30",C1028&lt;40,"30-39",C1028&lt;50,"40-49",TRUE,"50+")</f>
        <v/>
      </c>
      <c r="V1028" s="5">
        <f>IFS(O1028&lt;60000,"Low (&lt;60k)",O1028&lt;100000,"Mid (60-100k)",TRUE,"High (100k+)")</f>
        <v/>
      </c>
      <c r="W1028" s="5">
        <f>IF(M1028="No","Attrited","Active")</f>
        <v/>
      </c>
    </row>
    <row r="1029">
      <c r="A1029" s="5" t="inlineStr">
        <is>
          <t>E01028</t>
        </is>
      </c>
      <c r="B1029" s="5" t="inlineStr">
        <is>
          <t>Female</t>
        </is>
      </c>
      <c r="C1029" s="6" t="inlineStr">
        <is>
          <t>27</t>
        </is>
      </c>
      <c r="D1029" s="5" t="inlineStr">
        <is>
          <t>Single</t>
        </is>
      </c>
      <c r="E1029" s="5" t="inlineStr">
        <is>
          <t>Bachelor</t>
        </is>
      </c>
      <c r="F1029" s="5" t="inlineStr">
        <is>
          <t>Research &amp; Development</t>
        </is>
      </c>
      <c r="G1029" s="5" t="inlineStr">
        <is>
          <t>Data Scientist</t>
        </is>
      </c>
      <c r="H1029" s="5" t="inlineStr">
        <is>
          <t>2</t>
        </is>
      </c>
      <c r="I1029" s="5" t="inlineStr">
        <is>
          <t>Hyderabad</t>
        </is>
      </c>
      <c r="J1029" s="5" t="inlineStr">
        <is>
          <t>Full-Time</t>
        </is>
      </c>
      <c r="K1029" s="7" t="n">
        <v>43894</v>
      </c>
      <c r="L1029" s="7" t="inlineStr"/>
      <c r="M1029" s="5" t="inlineStr">
        <is>
          <t>Yes</t>
        </is>
      </c>
      <c r="N1029" s="5" t="inlineStr"/>
      <c r="O1029" s="8" t="inlineStr">
        <is>
          <t>155500</t>
        </is>
      </c>
      <c r="P1029" s="5" t="inlineStr">
        <is>
          <t>10</t>
        </is>
      </c>
      <c r="Q1029" s="5" t="inlineStr">
        <is>
          <t>4</t>
        </is>
      </c>
      <c r="R1029" s="5" t="inlineStr">
        <is>
          <t>6</t>
        </is>
      </c>
      <c r="S1029" s="5" t="inlineStr">
        <is>
          <t>70</t>
        </is>
      </c>
      <c r="T1029" s="5" t="inlineStr">
        <is>
          <t>7</t>
        </is>
      </c>
      <c r="U1029" s="5">
        <f>IFS(C1029&lt;30,"Under 30",C1029&lt;40,"30-39",C1029&lt;50,"40-49",TRUE,"50+")</f>
        <v/>
      </c>
      <c r="V1029" s="5">
        <f>IFS(O1029&lt;60000,"Low (&lt;60k)",O1029&lt;100000,"Mid (60-100k)",TRUE,"High (100k+)")</f>
        <v/>
      </c>
      <c r="W1029" s="5">
        <f>IF(M1029="No","Attrited","Active")</f>
        <v/>
      </c>
    </row>
    <row r="1030">
      <c r="A1030" s="5" t="inlineStr">
        <is>
          <t>E01029</t>
        </is>
      </c>
      <c r="B1030" s="5" t="inlineStr">
        <is>
          <t>Male</t>
        </is>
      </c>
      <c r="C1030" s="6" t="inlineStr">
        <is>
          <t>30</t>
        </is>
      </c>
      <c r="D1030" s="5" t="inlineStr">
        <is>
          <t>Married</t>
        </is>
      </c>
      <c r="E1030" s="5" t="inlineStr">
        <is>
          <t>PhD</t>
        </is>
      </c>
      <c r="F1030" s="5" t="inlineStr">
        <is>
          <t>Human Resources</t>
        </is>
      </c>
      <c r="G1030" s="5" t="inlineStr">
        <is>
          <t>HR Analyst</t>
        </is>
      </c>
      <c r="H1030" s="5" t="inlineStr">
        <is>
          <t>1</t>
        </is>
      </c>
      <c r="I1030" s="5" t="inlineStr">
        <is>
          <t>Hyderabad</t>
        </is>
      </c>
      <c r="J1030" s="5" t="inlineStr">
        <is>
          <t>Full-Time</t>
        </is>
      </c>
      <c r="K1030" s="7" t="n">
        <v>44069</v>
      </c>
      <c r="L1030" s="7" t="inlineStr"/>
      <c r="M1030" s="5" t="inlineStr">
        <is>
          <t>Yes</t>
        </is>
      </c>
      <c r="N1030" s="5" t="inlineStr"/>
      <c r="O1030" s="8" t="inlineStr">
        <is>
          <t>60000</t>
        </is>
      </c>
      <c r="P1030" s="5" t="inlineStr">
        <is>
          <t>0</t>
        </is>
      </c>
      <c r="Q1030" s="5" t="inlineStr">
        <is>
          <t>3</t>
        </is>
      </c>
      <c r="R1030" s="5" t="inlineStr">
        <is>
          <t>5</t>
        </is>
      </c>
      <c r="S1030" s="5" t="inlineStr">
        <is>
          <t>65</t>
        </is>
      </c>
      <c r="T1030" s="5" t="inlineStr">
        <is>
          <t>1</t>
        </is>
      </c>
      <c r="U1030" s="5">
        <f>IFS(C1030&lt;30,"Under 30",C1030&lt;40,"30-39",C1030&lt;50,"40-49",TRUE,"50+")</f>
        <v/>
      </c>
      <c r="V1030" s="5">
        <f>IFS(O1030&lt;60000,"Low (&lt;60k)",O1030&lt;100000,"Mid (60-100k)",TRUE,"High (100k+)")</f>
        <v/>
      </c>
      <c r="W1030" s="5">
        <f>IF(M1030="No","Attrited","Active")</f>
        <v/>
      </c>
    </row>
    <row r="1031">
      <c r="A1031" s="5" t="inlineStr">
        <is>
          <t>E01030</t>
        </is>
      </c>
      <c r="B1031" s="5" t="inlineStr">
        <is>
          <t>Female</t>
        </is>
      </c>
      <c r="C1031" s="6" t="inlineStr">
        <is>
          <t>39</t>
        </is>
      </c>
      <c r="D1031" s="5" t="inlineStr">
        <is>
          <t>Married</t>
        </is>
      </c>
      <c r="E1031" s="5" t="inlineStr">
        <is>
          <t>Bachelor</t>
        </is>
      </c>
      <c r="F1031" s="5" t="inlineStr">
        <is>
          <t>Research &amp; Development</t>
        </is>
      </c>
      <c r="G1031" s="5" t="inlineStr">
        <is>
          <t>Data Scientist</t>
        </is>
      </c>
      <c r="H1031" s="5" t="inlineStr">
        <is>
          <t>4</t>
        </is>
      </c>
      <c r="I1031" s="5" t="inlineStr">
        <is>
          <t>Mumbai</t>
        </is>
      </c>
      <c r="J1031" s="5" t="inlineStr">
        <is>
          <t>Full-Time</t>
        </is>
      </c>
      <c r="K1031" s="7" t="n">
        <v>45692</v>
      </c>
      <c r="L1031" s="7" t="inlineStr"/>
      <c r="M1031" s="5" t="inlineStr">
        <is>
          <t>Yes</t>
        </is>
      </c>
      <c r="N1031" s="5" t="inlineStr"/>
      <c r="O1031" s="8" t="inlineStr">
        <is>
          <t>158500</t>
        </is>
      </c>
      <c r="P1031" s="5" t="inlineStr">
        <is>
          <t>10</t>
        </is>
      </c>
      <c r="Q1031" s="5" t="inlineStr">
        <is>
          <t>3</t>
        </is>
      </c>
      <c r="R1031" s="5" t="inlineStr">
        <is>
          <t>3</t>
        </is>
      </c>
      <c r="S1031" s="5" t="inlineStr">
        <is>
          <t>11</t>
        </is>
      </c>
      <c r="T1031" s="5" t="inlineStr">
        <is>
          <t>4</t>
        </is>
      </c>
      <c r="U1031" s="5">
        <f>IFS(C1031&lt;30,"Under 30",C1031&lt;40,"30-39",C1031&lt;50,"40-49",TRUE,"50+")</f>
        <v/>
      </c>
      <c r="V1031" s="5">
        <f>IFS(O1031&lt;60000,"Low (&lt;60k)",O1031&lt;100000,"Mid (60-100k)",TRUE,"High (100k+)")</f>
        <v/>
      </c>
      <c r="W1031" s="5">
        <f>IF(M1031="No","Attrited","Active")</f>
        <v/>
      </c>
    </row>
    <row r="1032">
      <c r="A1032" s="5" t="inlineStr">
        <is>
          <t>E01031</t>
        </is>
      </c>
      <c r="B1032" s="5" t="inlineStr">
        <is>
          <t>Female</t>
        </is>
      </c>
      <c r="C1032" s="6" t="inlineStr">
        <is>
          <t>32</t>
        </is>
      </c>
      <c r="D1032" s="5" t="inlineStr">
        <is>
          <t>Single</t>
        </is>
      </c>
      <c r="E1032" s="5" t="inlineStr">
        <is>
          <t>Diploma</t>
        </is>
      </c>
      <c r="F1032" s="5" t="inlineStr">
        <is>
          <t>Operations</t>
        </is>
      </c>
      <c r="G1032" s="5" t="inlineStr">
        <is>
          <t>Quality Analyst</t>
        </is>
      </c>
      <c r="H1032" s="5" t="inlineStr">
        <is>
          <t>1</t>
        </is>
      </c>
      <c r="I1032" s="5" t="inlineStr">
        <is>
          <t>Remote</t>
        </is>
      </c>
      <c r="J1032" s="5" t="inlineStr">
        <is>
          <t>Full-Time</t>
        </is>
      </c>
      <c r="K1032" s="7" t="n">
        <v>45241</v>
      </c>
      <c r="L1032" s="7" t="n">
        <v>45313</v>
      </c>
      <c r="M1032" s="5" t="inlineStr">
        <is>
          <t>No</t>
        </is>
      </c>
      <c r="N1032" s="5" t="inlineStr">
        <is>
          <t>Retirement</t>
        </is>
      </c>
      <c r="O1032" s="8" t="inlineStr">
        <is>
          <t>66000</t>
        </is>
      </c>
      <c r="P1032" s="5" t="inlineStr">
        <is>
          <t>0</t>
        </is>
      </c>
      <c r="Q1032" s="5" t="inlineStr">
        <is>
          <t>4</t>
        </is>
      </c>
      <c r="R1032" s="5" t="inlineStr">
        <is>
          <t>5</t>
        </is>
      </c>
      <c r="S1032" s="5" t="inlineStr">
        <is>
          <t>2</t>
        </is>
      </c>
      <c r="T1032" s="5" t="inlineStr">
        <is>
          <t>14</t>
        </is>
      </c>
      <c r="U1032" s="5">
        <f>IFS(C1032&lt;30,"Under 30",C1032&lt;40,"30-39",C1032&lt;50,"40-49",TRUE,"50+")</f>
        <v/>
      </c>
      <c r="V1032" s="5">
        <f>IFS(O1032&lt;60000,"Low (&lt;60k)",O1032&lt;100000,"Mid (60-100k)",TRUE,"High (100k+)")</f>
        <v/>
      </c>
      <c r="W1032" s="5">
        <f>IF(M1032="No","Attrited","Active")</f>
        <v/>
      </c>
    </row>
    <row r="1033">
      <c r="A1033" s="5" t="inlineStr">
        <is>
          <t>E01032</t>
        </is>
      </c>
      <c r="B1033" s="5" t="inlineStr">
        <is>
          <t>Female</t>
        </is>
      </c>
      <c r="C1033" s="6" t="inlineStr">
        <is>
          <t>23</t>
        </is>
      </c>
      <c r="D1033" s="5" t="inlineStr">
        <is>
          <t>Single</t>
        </is>
      </c>
      <c r="E1033" s="5" t="inlineStr">
        <is>
          <t>Diploma</t>
        </is>
      </c>
      <c r="F1033" s="5" t="inlineStr">
        <is>
          <t>IT</t>
        </is>
      </c>
      <c r="G1033" s="5" t="inlineStr">
        <is>
          <t>Data Analyst</t>
        </is>
      </c>
      <c r="H1033" s="5" t="inlineStr">
        <is>
          <t>1</t>
        </is>
      </c>
      <c r="I1033" s="5" t="inlineStr">
        <is>
          <t>Delhi</t>
        </is>
      </c>
      <c r="J1033" s="5" t="inlineStr">
        <is>
          <t>Full-Time</t>
        </is>
      </c>
      <c r="K1033" s="7" t="n">
        <v>45862</v>
      </c>
      <c r="L1033" s="7" t="inlineStr"/>
      <c r="M1033" s="5" t="inlineStr">
        <is>
          <t>Yes</t>
        </is>
      </c>
      <c r="N1033" s="5" t="inlineStr"/>
      <c r="O1033" s="8" t="inlineStr">
        <is>
          <t>109000</t>
        </is>
      </c>
      <c r="P1033" s="5" t="inlineStr">
        <is>
          <t>10</t>
        </is>
      </c>
      <c r="Q1033" s="5" t="inlineStr">
        <is>
          <t>4</t>
        </is>
      </c>
      <c r="R1033" s="5" t="inlineStr">
        <is>
          <t>5</t>
        </is>
      </c>
      <c r="S1033" s="5" t="inlineStr">
        <is>
          <t>5</t>
        </is>
      </c>
      <c r="T1033" s="5" t="inlineStr">
        <is>
          <t>14</t>
        </is>
      </c>
      <c r="U1033" s="5">
        <f>IFS(C1033&lt;30,"Under 30",C1033&lt;40,"30-39",C1033&lt;50,"40-49",TRUE,"50+")</f>
        <v/>
      </c>
      <c r="V1033" s="5">
        <f>IFS(O1033&lt;60000,"Low (&lt;60k)",O1033&lt;100000,"Mid (60-100k)",TRUE,"High (100k+)")</f>
        <v/>
      </c>
      <c r="W1033" s="5">
        <f>IF(M1033="No","Attrited","Active")</f>
        <v/>
      </c>
    </row>
    <row r="1034">
      <c r="A1034" s="5" t="inlineStr">
        <is>
          <t>E01033</t>
        </is>
      </c>
      <c r="B1034" s="5" t="inlineStr">
        <is>
          <t>Female</t>
        </is>
      </c>
      <c r="C1034" s="6" t="inlineStr">
        <is>
          <t>28</t>
        </is>
      </c>
      <c r="D1034" s="5" t="inlineStr">
        <is>
          <t>Single</t>
        </is>
      </c>
      <c r="E1034" s="5" t="inlineStr">
        <is>
          <t>PhD</t>
        </is>
      </c>
      <c r="F1034" s="5" t="inlineStr">
        <is>
          <t>Operations</t>
        </is>
      </c>
      <c r="G1034" s="5" t="inlineStr">
        <is>
          <t>Quality Analyst</t>
        </is>
      </c>
      <c r="H1034" s="5" t="inlineStr">
        <is>
          <t>1</t>
        </is>
      </c>
      <c r="I1034" s="5" t="inlineStr">
        <is>
          <t>Bengaluru</t>
        </is>
      </c>
      <c r="J1034" s="5" t="inlineStr">
        <is>
          <t>Full-Time</t>
        </is>
      </c>
      <c r="K1034" s="7" t="n">
        <v>45784</v>
      </c>
      <c r="L1034" s="7" t="inlineStr"/>
      <c r="M1034" s="5" t="inlineStr">
        <is>
          <t>Yes</t>
        </is>
      </c>
      <c r="N1034" s="5" t="inlineStr"/>
      <c r="O1034" s="8" t="inlineStr">
        <is>
          <t>87500</t>
        </is>
      </c>
      <c r="P1034" s="5" t="inlineStr">
        <is>
          <t>0</t>
        </is>
      </c>
      <c r="Q1034" s="5" t="inlineStr">
        <is>
          <t>2</t>
        </is>
      </c>
      <c r="R1034" s="5" t="inlineStr">
        <is>
          <t>4</t>
        </is>
      </c>
      <c r="S1034" s="5" t="inlineStr">
        <is>
          <t>7</t>
        </is>
      </c>
      <c r="T1034" s="5" t="inlineStr">
        <is>
          <t>9</t>
        </is>
      </c>
      <c r="U1034" s="5">
        <f>IFS(C1034&lt;30,"Under 30",C1034&lt;40,"30-39",C1034&lt;50,"40-49",TRUE,"50+")</f>
        <v/>
      </c>
      <c r="V1034" s="5">
        <f>IFS(O1034&lt;60000,"Low (&lt;60k)",O1034&lt;100000,"Mid (60-100k)",TRUE,"High (100k+)")</f>
        <v/>
      </c>
      <c r="W1034" s="5">
        <f>IF(M1034="No","Attrited","Active")</f>
        <v/>
      </c>
    </row>
    <row r="1035">
      <c r="A1035" s="5" t="inlineStr">
        <is>
          <t>E01034</t>
        </is>
      </c>
      <c r="B1035" s="5" t="inlineStr">
        <is>
          <t>Female</t>
        </is>
      </c>
      <c r="C1035" s="6" t="inlineStr">
        <is>
          <t>35</t>
        </is>
      </c>
      <c r="D1035" s="5" t="inlineStr">
        <is>
          <t>Married</t>
        </is>
      </c>
      <c r="E1035" s="5" t="inlineStr">
        <is>
          <t>PhD</t>
        </is>
      </c>
      <c r="F1035" s="5" t="inlineStr">
        <is>
          <t>Research &amp; Development</t>
        </is>
      </c>
      <c r="G1035" s="5" t="inlineStr">
        <is>
          <t>Research Scientist</t>
        </is>
      </c>
      <c r="H1035" s="5" t="inlineStr">
        <is>
          <t>3</t>
        </is>
      </c>
      <c r="I1035" s="5" t="inlineStr">
        <is>
          <t>Mumbai</t>
        </is>
      </c>
      <c r="J1035" s="5" t="inlineStr">
        <is>
          <t>Full-Time</t>
        </is>
      </c>
      <c r="K1035" s="7" t="n">
        <v>45251</v>
      </c>
      <c r="L1035" s="7" t="inlineStr"/>
      <c r="M1035" s="5" t="inlineStr">
        <is>
          <t>Yes</t>
        </is>
      </c>
      <c r="N1035" s="5" t="inlineStr"/>
      <c r="O1035" s="8" t="inlineStr">
        <is>
          <t>170000</t>
        </is>
      </c>
      <c r="P1035" s="5" t="inlineStr">
        <is>
          <t>15</t>
        </is>
      </c>
      <c r="Q1035" s="5" t="inlineStr">
        <is>
          <t>3</t>
        </is>
      </c>
      <c r="R1035" s="5" t="inlineStr">
        <is>
          <t>6</t>
        </is>
      </c>
      <c r="S1035" s="5" t="inlineStr">
        <is>
          <t>25</t>
        </is>
      </c>
      <c r="T1035" s="5" t="inlineStr">
        <is>
          <t>11</t>
        </is>
      </c>
      <c r="U1035" s="5">
        <f>IFS(C1035&lt;30,"Under 30",C1035&lt;40,"30-39",C1035&lt;50,"40-49",TRUE,"50+")</f>
        <v/>
      </c>
      <c r="V1035" s="5">
        <f>IFS(O1035&lt;60000,"Low (&lt;60k)",O1035&lt;100000,"Mid (60-100k)",TRUE,"High (100k+)")</f>
        <v/>
      </c>
      <c r="W1035" s="5">
        <f>IF(M1035="No","Attrited","Active")</f>
        <v/>
      </c>
    </row>
    <row r="1036">
      <c r="A1036" s="5" t="inlineStr">
        <is>
          <t>E01035</t>
        </is>
      </c>
      <c r="B1036" s="5" t="inlineStr">
        <is>
          <t>Female</t>
        </is>
      </c>
      <c r="C1036" s="6" t="inlineStr">
        <is>
          <t>33</t>
        </is>
      </c>
      <c r="D1036" s="5" t="inlineStr">
        <is>
          <t>Married</t>
        </is>
      </c>
      <c r="E1036" s="5" t="inlineStr">
        <is>
          <t>High School</t>
        </is>
      </c>
      <c r="F1036" s="5" t="inlineStr">
        <is>
          <t>Operations</t>
        </is>
      </c>
      <c r="G1036" s="5" t="inlineStr">
        <is>
          <t>Operations Analyst</t>
        </is>
      </c>
      <c r="H1036" s="5" t="inlineStr">
        <is>
          <t>3</t>
        </is>
      </c>
      <c r="I1036" s="5" t="inlineStr">
        <is>
          <t>Remote</t>
        </is>
      </c>
      <c r="J1036" s="5" t="inlineStr">
        <is>
          <t>Full-Time</t>
        </is>
      </c>
      <c r="K1036" s="7" t="n">
        <v>45244</v>
      </c>
      <c r="L1036" s="7" t="inlineStr"/>
      <c r="M1036" s="5" t="inlineStr">
        <is>
          <t>Yes</t>
        </is>
      </c>
      <c r="N1036" s="5" t="inlineStr"/>
      <c r="O1036" s="8" t="inlineStr">
        <is>
          <t>73500</t>
        </is>
      </c>
      <c r="P1036" s="5" t="inlineStr">
        <is>
          <t>0</t>
        </is>
      </c>
      <c r="Q1036" s="5" t="inlineStr">
        <is>
          <t>3</t>
        </is>
      </c>
      <c r="R1036" s="5" t="inlineStr">
        <is>
          <t>6</t>
        </is>
      </c>
      <c r="S1036" s="5" t="inlineStr">
        <is>
          <t>25</t>
        </is>
      </c>
      <c r="T1036" s="5" t="inlineStr">
        <is>
          <t>20</t>
        </is>
      </c>
      <c r="U1036" s="5">
        <f>IFS(C1036&lt;30,"Under 30",C1036&lt;40,"30-39",C1036&lt;50,"40-49",TRUE,"50+")</f>
        <v/>
      </c>
      <c r="V1036" s="5">
        <f>IFS(O1036&lt;60000,"Low (&lt;60k)",O1036&lt;100000,"Mid (60-100k)",TRUE,"High (100k+)")</f>
        <v/>
      </c>
      <c r="W1036" s="5">
        <f>IF(M1036="No","Attrited","Active")</f>
        <v/>
      </c>
    </row>
    <row r="1037">
      <c r="A1037" s="5" t="inlineStr">
        <is>
          <t>E01036</t>
        </is>
      </c>
      <c r="B1037" s="5" t="inlineStr">
        <is>
          <t>Male</t>
        </is>
      </c>
      <c r="C1037" s="6" t="inlineStr">
        <is>
          <t>35</t>
        </is>
      </c>
      <c r="D1037" s="5" t="inlineStr">
        <is>
          <t>Married</t>
        </is>
      </c>
      <c r="E1037" s="5" t="inlineStr">
        <is>
          <t>PhD</t>
        </is>
      </c>
      <c r="F1037" s="5" t="inlineStr">
        <is>
          <t>Customer Support</t>
        </is>
      </c>
      <c r="G1037" s="5" t="inlineStr">
        <is>
          <t>Support Agent</t>
        </is>
      </c>
      <c r="H1037" s="5" t="inlineStr">
        <is>
          <t>3</t>
        </is>
      </c>
      <c r="I1037" s="5" t="inlineStr">
        <is>
          <t>Remote</t>
        </is>
      </c>
      <c r="J1037" s="5" t="inlineStr">
        <is>
          <t>Full-Time</t>
        </is>
      </c>
      <c r="K1037" s="7" t="n">
        <v>44445</v>
      </c>
      <c r="L1037" s="7" t="inlineStr"/>
      <c r="M1037" s="5" t="inlineStr">
        <is>
          <t>Yes</t>
        </is>
      </c>
      <c r="N1037" s="5" t="inlineStr"/>
      <c r="O1037" s="8" t="inlineStr">
        <is>
          <t>73000</t>
        </is>
      </c>
      <c r="P1037" s="5" t="inlineStr">
        <is>
          <t>5</t>
        </is>
      </c>
      <c r="Q1037" s="5" t="inlineStr">
        <is>
          <t>4</t>
        </is>
      </c>
      <c r="R1037" s="5" t="inlineStr">
        <is>
          <t>6</t>
        </is>
      </c>
      <c r="S1037" s="5" t="inlineStr">
        <is>
          <t>52</t>
        </is>
      </c>
      <c r="T1037" s="5" t="inlineStr">
        <is>
          <t>8</t>
        </is>
      </c>
      <c r="U1037" s="5">
        <f>IFS(C1037&lt;30,"Under 30",C1037&lt;40,"30-39",C1037&lt;50,"40-49",TRUE,"50+")</f>
        <v/>
      </c>
      <c r="V1037" s="5">
        <f>IFS(O1037&lt;60000,"Low (&lt;60k)",O1037&lt;100000,"Mid (60-100k)",TRUE,"High (100k+)")</f>
        <v/>
      </c>
      <c r="W1037" s="5">
        <f>IF(M1037="No","Attrited","Active")</f>
        <v/>
      </c>
    </row>
    <row r="1038">
      <c r="A1038" s="5" t="inlineStr">
        <is>
          <t>E01037</t>
        </is>
      </c>
      <c r="B1038" s="5" t="inlineStr">
        <is>
          <t>Female</t>
        </is>
      </c>
      <c r="C1038" s="6" t="inlineStr">
        <is>
          <t>37</t>
        </is>
      </c>
      <c r="D1038" s="5" t="inlineStr">
        <is>
          <t>Married</t>
        </is>
      </c>
      <c r="E1038" s="5" t="inlineStr">
        <is>
          <t>Master</t>
        </is>
      </c>
      <c r="F1038" s="5" t="inlineStr">
        <is>
          <t>Operations</t>
        </is>
      </c>
      <c r="G1038" s="5" t="inlineStr">
        <is>
          <t>Operations Analyst</t>
        </is>
      </c>
      <c r="H1038" s="5" t="inlineStr">
        <is>
          <t>5</t>
        </is>
      </c>
      <c r="I1038" s="5" t="inlineStr">
        <is>
          <t>Hyderabad</t>
        </is>
      </c>
      <c r="J1038" s="5" t="inlineStr">
        <is>
          <t>Contract</t>
        </is>
      </c>
      <c r="K1038" s="7" t="n">
        <v>45815</v>
      </c>
      <c r="L1038" s="7" t="n">
        <v>45896</v>
      </c>
      <c r="M1038" s="5" t="inlineStr">
        <is>
          <t>No</t>
        </is>
      </c>
      <c r="N1038" s="5" t="inlineStr">
        <is>
          <t>Retirement</t>
        </is>
      </c>
      <c r="O1038" s="8" t="inlineStr">
        <is>
          <t>135000</t>
        </is>
      </c>
      <c r="P1038" s="5" t="inlineStr">
        <is>
          <t>5</t>
        </is>
      </c>
      <c r="Q1038" s="5" t="inlineStr">
        <is>
          <t>5</t>
        </is>
      </c>
      <c r="R1038" s="5" t="inlineStr">
        <is>
          <t>7</t>
        </is>
      </c>
      <c r="S1038" s="5" t="inlineStr">
        <is>
          <t>2</t>
        </is>
      </c>
      <c r="T1038" s="5" t="inlineStr">
        <is>
          <t>12</t>
        </is>
      </c>
      <c r="U1038" s="5">
        <f>IFS(C1038&lt;30,"Under 30",C1038&lt;40,"30-39",C1038&lt;50,"40-49",TRUE,"50+")</f>
        <v/>
      </c>
      <c r="V1038" s="5">
        <f>IFS(O1038&lt;60000,"Low (&lt;60k)",O1038&lt;100000,"Mid (60-100k)",TRUE,"High (100k+)")</f>
        <v/>
      </c>
      <c r="W1038" s="5">
        <f>IF(M1038="No","Attrited","Active")</f>
        <v/>
      </c>
    </row>
    <row r="1039">
      <c r="A1039" s="5" t="inlineStr">
        <is>
          <t>E01038</t>
        </is>
      </c>
      <c r="B1039" s="5" t="inlineStr">
        <is>
          <t>Male</t>
        </is>
      </c>
      <c r="C1039" s="6" t="inlineStr">
        <is>
          <t>24</t>
        </is>
      </c>
      <c r="D1039" s="5" t="inlineStr">
        <is>
          <t>Married</t>
        </is>
      </c>
      <c r="E1039" s="5" t="inlineStr">
        <is>
          <t>Master</t>
        </is>
      </c>
      <c r="F1039" s="5" t="inlineStr">
        <is>
          <t>Human Resources</t>
        </is>
      </c>
      <c r="G1039" s="5" t="inlineStr">
        <is>
          <t>HR Generalist</t>
        </is>
      </c>
      <c r="H1039" s="5" t="inlineStr">
        <is>
          <t>1</t>
        </is>
      </c>
      <c r="I1039" s="5" t="inlineStr">
        <is>
          <t>Mumbai</t>
        </is>
      </c>
      <c r="J1039" s="5" t="inlineStr">
        <is>
          <t>Full-Time</t>
        </is>
      </c>
      <c r="K1039" s="7" t="n">
        <v>45989</v>
      </c>
      <c r="L1039" s="7" t="inlineStr"/>
      <c r="M1039" s="5" t="inlineStr">
        <is>
          <t>Yes</t>
        </is>
      </c>
      <c r="N1039" s="5" t="inlineStr"/>
      <c r="O1039" s="8" t="inlineStr">
        <is>
          <t>98000</t>
        </is>
      </c>
      <c r="P1039" s="5" t="inlineStr">
        <is>
          <t>20</t>
        </is>
      </c>
      <c r="Q1039" s="5" t="inlineStr">
        <is>
          <t>3</t>
        </is>
      </c>
      <c r="R1039" s="5" t="inlineStr">
        <is>
          <t>10</t>
        </is>
      </c>
      <c r="S1039" s="5" t="inlineStr">
        <is>
          <t>1</t>
        </is>
      </c>
      <c r="T1039" s="5" t="inlineStr">
        <is>
          <t>13</t>
        </is>
      </c>
      <c r="U1039" s="5">
        <f>IFS(C1039&lt;30,"Under 30",C1039&lt;40,"30-39",C1039&lt;50,"40-49",TRUE,"50+")</f>
        <v/>
      </c>
      <c r="V1039" s="5">
        <f>IFS(O1039&lt;60000,"Low (&lt;60k)",O1039&lt;100000,"Mid (60-100k)",TRUE,"High (100k+)")</f>
        <v/>
      </c>
      <c r="W1039" s="5">
        <f>IF(M1039="No","Attrited","Active")</f>
        <v/>
      </c>
    </row>
    <row r="1040">
      <c r="A1040" s="5" t="inlineStr">
        <is>
          <t>E01039</t>
        </is>
      </c>
      <c r="B1040" s="5" t="inlineStr">
        <is>
          <t>Male</t>
        </is>
      </c>
      <c r="C1040" s="6" t="inlineStr">
        <is>
          <t>27</t>
        </is>
      </c>
      <c r="D1040" s="5" t="inlineStr">
        <is>
          <t>Married</t>
        </is>
      </c>
      <c r="E1040" s="5" t="inlineStr">
        <is>
          <t>Bachelor</t>
        </is>
      </c>
      <c r="F1040" s="5" t="inlineStr">
        <is>
          <t>Customer Support</t>
        </is>
      </c>
      <c r="G1040" s="5" t="inlineStr">
        <is>
          <t>Support Lead</t>
        </is>
      </c>
      <c r="H1040" s="5" t="inlineStr">
        <is>
          <t>3</t>
        </is>
      </c>
      <c r="I1040" s="5" t="inlineStr">
        <is>
          <t>Remote</t>
        </is>
      </c>
      <c r="J1040" s="5" t="inlineStr">
        <is>
          <t>Part-Time</t>
        </is>
      </c>
      <c r="K1040" s="7" t="n">
        <v>45113</v>
      </c>
      <c r="L1040" s="7" t="inlineStr"/>
      <c r="M1040" s="5" t="inlineStr">
        <is>
          <t>Yes</t>
        </is>
      </c>
      <c r="N1040" s="5" t="inlineStr"/>
      <c r="O1040" s="8" t="inlineStr">
        <is>
          <t>85500</t>
        </is>
      </c>
      <c r="P1040" s="5" t="inlineStr">
        <is>
          <t>5</t>
        </is>
      </c>
      <c r="Q1040" s="5" t="inlineStr">
        <is>
          <t>3</t>
        </is>
      </c>
      <c r="R1040" s="5" t="inlineStr">
        <is>
          <t>5</t>
        </is>
      </c>
      <c r="S1040" s="5" t="inlineStr">
        <is>
          <t>30</t>
        </is>
      </c>
      <c r="T1040" s="5" t="inlineStr">
        <is>
          <t>11</t>
        </is>
      </c>
      <c r="U1040" s="5">
        <f>IFS(C1040&lt;30,"Under 30",C1040&lt;40,"30-39",C1040&lt;50,"40-49",TRUE,"50+")</f>
        <v/>
      </c>
      <c r="V1040" s="5">
        <f>IFS(O1040&lt;60000,"Low (&lt;60k)",O1040&lt;100000,"Mid (60-100k)",TRUE,"High (100k+)")</f>
        <v/>
      </c>
      <c r="W1040" s="5">
        <f>IF(M1040="No","Attrited","Active")</f>
        <v/>
      </c>
    </row>
    <row r="1041">
      <c r="A1041" s="5" t="inlineStr">
        <is>
          <t>E01040</t>
        </is>
      </c>
      <c r="B1041" s="5" t="inlineStr">
        <is>
          <t>Female</t>
        </is>
      </c>
      <c r="C1041" s="6" t="inlineStr">
        <is>
          <t>28</t>
        </is>
      </c>
      <c r="D1041" s="5" t="inlineStr">
        <is>
          <t>Married</t>
        </is>
      </c>
      <c r="E1041" s="5" t="inlineStr">
        <is>
          <t>Bachelor</t>
        </is>
      </c>
      <c r="F1041" s="5" t="inlineStr">
        <is>
          <t>Operations</t>
        </is>
      </c>
      <c r="G1041" s="5" t="inlineStr">
        <is>
          <t>Operations Analyst</t>
        </is>
      </c>
      <c r="H1041" s="5" t="inlineStr">
        <is>
          <t>2</t>
        </is>
      </c>
      <c r="I1041" s="5" t="inlineStr">
        <is>
          <t>Delhi</t>
        </is>
      </c>
      <c r="J1041" s="5" t="inlineStr">
        <is>
          <t>Full-Time</t>
        </is>
      </c>
      <c r="K1041" s="7" t="n">
        <v>44513</v>
      </c>
      <c r="L1041" s="7" t="inlineStr"/>
      <c r="M1041" s="5" t="inlineStr">
        <is>
          <t>Yes</t>
        </is>
      </c>
      <c r="N1041" s="5" t="inlineStr"/>
      <c r="O1041" s="8" t="inlineStr">
        <is>
          <t>87500</t>
        </is>
      </c>
      <c r="P1041" s="5" t="inlineStr">
        <is>
          <t>15</t>
        </is>
      </c>
      <c r="Q1041" s="5" t="inlineStr">
        <is>
          <t>3</t>
        </is>
      </c>
      <c r="R1041" s="5" t="inlineStr">
        <is>
          <t>6</t>
        </is>
      </c>
      <c r="S1041" s="5" t="inlineStr">
        <is>
          <t>50</t>
        </is>
      </c>
      <c r="T1041" s="5" t="inlineStr">
        <is>
          <t>3</t>
        </is>
      </c>
      <c r="U1041" s="5">
        <f>IFS(C1041&lt;30,"Under 30",C1041&lt;40,"30-39",C1041&lt;50,"40-49",TRUE,"50+")</f>
        <v/>
      </c>
      <c r="V1041" s="5">
        <f>IFS(O1041&lt;60000,"Low (&lt;60k)",O1041&lt;100000,"Mid (60-100k)",TRUE,"High (100k+)")</f>
        <v/>
      </c>
      <c r="W1041" s="5">
        <f>IF(M1041="No","Attrited","Active")</f>
        <v/>
      </c>
    </row>
    <row r="1042">
      <c r="A1042" s="5" t="inlineStr">
        <is>
          <t>E01041</t>
        </is>
      </c>
      <c r="B1042" s="5" t="inlineStr">
        <is>
          <t>Female</t>
        </is>
      </c>
      <c r="C1042" s="6" t="inlineStr">
        <is>
          <t>34</t>
        </is>
      </c>
      <c r="D1042" s="5" t="inlineStr">
        <is>
          <t>Married</t>
        </is>
      </c>
      <c r="E1042" s="5" t="inlineStr">
        <is>
          <t>High School</t>
        </is>
      </c>
      <c r="F1042" s="5" t="inlineStr">
        <is>
          <t>Human Resources</t>
        </is>
      </c>
      <c r="G1042" s="5" t="inlineStr">
        <is>
          <t>Recruiter</t>
        </is>
      </c>
      <c r="H1042" s="5" t="inlineStr">
        <is>
          <t>3</t>
        </is>
      </c>
      <c r="I1042" s="5" t="inlineStr">
        <is>
          <t>Delhi</t>
        </is>
      </c>
      <c r="J1042" s="5" t="inlineStr">
        <is>
          <t>Full-Time</t>
        </is>
      </c>
      <c r="K1042" s="7" t="n">
        <v>43868</v>
      </c>
      <c r="L1042" s="7" t="inlineStr"/>
      <c r="M1042" s="5" t="inlineStr">
        <is>
          <t>Yes</t>
        </is>
      </c>
      <c r="N1042" s="5" t="inlineStr"/>
      <c r="O1042" s="8" t="inlineStr">
        <is>
          <t>94000</t>
        </is>
      </c>
      <c r="P1042" s="5" t="inlineStr">
        <is>
          <t>10</t>
        </is>
      </c>
      <c r="Q1042" s="5" t="inlineStr">
        <is>
          <t>3</t>
        </is>
      </c>
      <c r="R1042" s="5" t="inlineStr">
        <is>
          <t>8</t>
        </is>
      </c>
      <c r="S1042" s="5" t="inlineStr">
        <is>
          <t>71</t>
        </is>
      </c>
      <c r="T1042" s="5" t="inlineStr">
        <is>
          <t>11</t>
        </is>
      </c>
      <c r="U1042" s="5">
        <f>IFS(C1042&lt;30,"Under 30",C1042&lt;40,"30-39",C1042&lt;50,"40-49",TRUE,"50+")</f>
        <v/>
      </c>
      <c r="V1042" s="5">
        <f>IFS(O1042&lt;60000,"Low (&lt;60k)",O1042&lt;100000,"Mid (60-100k)",TRUE,"High (100k+)")</f>
        <v/>
      </c>
      <c r="W1042" s="5">
        <f>IF(M1042="No","Attrited","Active")</f>
        <v/>
      </c>
    </row>
    <row r="1043">
      <c r="A1043" s="5" t="inlineStr">
        <is>
          <t>E01042</t>
        </is>
      </c>
      <c r="B1043" s="5" t="inlineStr">
        <is>
          <t>Female</t>
        </is>
      </c>
      <c r="C1043" s="6" t="inlineStr">
        <is>
          <t>26</t>
        </is>
      </c>
      <c r="D1043" s="5" t="inlineStr">
        <is>
          <t>Married</t>
        </is>
      </c>
      <c r="E1043" s="5" t="inlineStr">
        <is>
          <t>High School</t>
        </is>
      </c>
      <c r="F1043" s="5" t="inlineStr">
        <is>
          <t>IT</t>
        </is>
      </c>
      <c r="G1043" s="5" t="inlineStr">
        <is>
          <t>Data Analyst</t>
        </is>
      </c>
      <c r="H1043" s="5" t="inlineStr">
        <is>
          <t>1</t>
        </is>
      </c>
      <c r="I1043" s="5" t="inlineStr">
        <is>
          <t>Delhi</t>
        </is>
      </c>
      <c r="J1043" s="5" t="inlineStr">
        <is>
          <t>Full-Time</t>
        </is>
      </c>
      <c r="K1043" s="7" t="n">
        <v>45031</v>
      </c>
      <c r="L1043" s="7" t="inlineStr"/>
      <c r="M1043" s="5" t="inlineStr">
        <is>
          <t>Yes</t>
        </is>
      </c>
      <c r="N1043" s="5" t="inlineStr"/>
      <c r="O1043" s="8" t="inlineStr">
        <is>
          <t>98000</t>
        </is>
      </c>
      <c r="P1043" s="5" t="inlineStr">
        <is>
          <t>0</t>
        </is>
      </c>
      <c r="Q1043" s="5" t="inlineStr">
        <is>
          <t>5</t>
        </is>
      </c>
      <c r="R1043" s="5" t="inlineStr">
        <is>
          <t>7</t>
        </is>
      </c>
      <c r="S1043" s="5" t="inlineStr">
        <is>
          <t>33</t>
        </is>
      </c>
      <c r="T1043" s="5" t="inlineStr">
        <is>
          <t>0</t>
        </is>
      </c>
      <c r="U1043" s="5">
        <f>IFS(C1043&lt;30,"Under 30",C1043&lt;40,"30-39",C1043&lt;50,"40-49",TRUE,"50+")</f>
        <v/>
      </c>
      <c r="V1043" s="5">
        <f>IFS(O1043&lt;60000,"Low (&lt;60k)",O1043&lt;100000,"Mid (60-100k)",TRUE,"High (100k+)")</f>
        <v/>
      </c>
      <c r="W1043" s="5">
        <f>IF(M1043="No","Attrited","Active")</f>
        <v/>
      </c>
    </row>
    <row r="1044">
      <c r="A1044" s="5" t="inlineStr">
        <is>
          <t>E01043</t>
        </is>
      </c>
      <c r="B1044" s="5" t="inlineStr">
        <is>
          <t>Male</t>
        </is>
      </c>
      <c r="C1044" s="6" t="inlineStr">
        <is>
          <t>28</t>
        </is>
      </c>
      <c r="D1044" s="5" t="inlineStr">
        <is>
          <t>Single</t>
        </is>
      </c>
      <c r="E1044" s="5" t="inlineStr">
        <is>
          <t>Master</t>
        </is>
      </c>
      <c r="F1044" s="5" t="inlineStr">
        <is>
          <t>Marketing</t>
        </is>
      </c>
      <c r="G1044" s="5" t="inlineStr">
        <is>
          <t>SEO Specialist</t>
        </is>
      </c>
      <c r="H1044" s="5" t="inlineStr">
        <is>
          <t>1</t>
        </is>
      </c>
      <c r="I1044" s="5" t="inlineStr">
        <is>
          <t>Bengaluru</t>
        </is>
      </c>
      <c r="J1044" s="5" t="inlineStr">
        <is>
          <t>Full-Time</t>
        </is>
      </c>
      <c r="K1044" s="7" t="n">
        <v>44076</v>
      </c>
      <c r="L1044" s="7" t="inlineStr"/>
      <c r="M1044" s="5" t="inlineStr">
        <is>
          <t>Yes</t>
        </is>
      </c>
      <c r="N1044" s="5" t="inlineStr"/>
      <c r="O1044" s="8" t="inlineStr">
        <is>
          <t>64000</t>
        </is>
      </c>
      <c r="P1044" s="5" t="inlineStr">
        <is>
          <t>0</t>
        </is>
      </c>
      <c r="Q1044" s="5" t="inlineStr">
        <is>
          <t>3</t>
        </is>
      </c>
      <c r="R1044" s="5" t="inlineStr">
        <is>
          <t>9</t>
        </is>
      </c>
      <c r="S1044" s="5" t="inlineStr">
        <is>
          <t>64</t>
        </is>
      </c>
      <c r="T1044" s="5" t="inlineStr">
        <is>
          <t>1</t>
        </is>
      </c>
      <c r="U1044" s="5">
        <f>IFS(C1044&lt;30,"Under 30",C1044&lt;40,"30-39",C1044&lt;50,"40-49",TRUE,"50+")</f>
        <v/>
      </c>
      <c r="V1044" s="5">
        <f>IFS(O1044&lt;60000,"Low (&lt;60k)",O1044&lt;100000,"Mid (60-100k)",TRUE,"High (100k+)")</f>
        <v/>
      </c>
      <c r="W1044" s="5">
        <f>IF(M1044="No","Attrited","Active")</f>
        <v/>
      </c>
    </row>
    <row r="1045">
      <c r="A1045" s="5" t="inlineStr">
        <is>
          <t>E01044</t>
        </is>
      </c>
      <c r="B1045" s="5" t="inlineStr">
        <is>
          <t>Male</t>
        </is>
      </c>
      <c r="C1045" s="6" t="inlineStr">
        <is>
          <t>31</t>
        </is>
      </c>
      <c r="D1045" s="5" t="inlineStr">
        <is>
          <t>Married</t>
        </is>
      </c>
      <c r="E1045" s="5" t="inlineStr">
        <is>
          <t>Bachelor</t>
        </is>
      </c>
      <c r="F1045" s="5" t="inlineStr">
        <is>
          <t>Customer Support</t>
        </is>
      </c>
      <c r="G1045" s="5" t="inlineStr">
        <is>
          <t>Support Lead</t>
        </is>
      </c>
      <c r="H1045" s="5" t="inlineStr">
        <is>
          <t>3</t>
        </is>
      </c>
      <c r="I1045" s="5" t="inlineStr">
        <is>
          <t>Mumbai</t>
        </is>
      </c>
      <c r="J1045" s="5" t="inlineStr">
        <is>
          <t>Full-Time</t>
        </is>
      </c>
      <c r="K1045" s="7" t="n">
        <v>44285</v>
      </c>
      <c r="L1045" s="7" t="inlineStr"/>
      <c r="M1045" s="5" t="inlineStr">
        <is>
          <t>Yes</t>
        </is>
      </c>
      <c r="N1045" s="5" t="inlineStr"/>
      <c r="O1045" s="8" t="inlineStr">
        <is>
          <t>58500</t>
        </is>
      </c>
      <c r="P1045" s="5" t="inlineStr">
        <is>
          <t>0</t>
        </is>
      </c>
      <c r="Q1045" s="5" t="inlineStr">
        <is>
          <t>4</t>
        </is>
      </c>
      <c r="R1045" s="5" t="inlineStr">
        <is>
          <t>6</t>
        </is>
      </c>
      <c r="S1045" s="5" t="inlineStr">
        <is>
          <t>57</t>
        </is>
      </c>
      <c r="T1045" s="5" t="inlineStr">
        <is>
          <t>7</t>
        </is>
      </c>
      <c r="U1045" s="5">
        <f>IFS(C1045&lt;30,"Under 30",C1045&lt;40,"30-39",C1045&lt;50,"40-49",TRUE,"50+")</f>
        <v/>
      </c>
      <c r="V1045" s="5">
        <f>IFS(O1045&lt;60000,"Low (&lt;60k)",O1045&lt;100000,"Mid (60-100k)",TRUE,"High (100k+)")</f>
        <v/>
      </c>
      <c r="W1045" s="5">
        <f>IF(M1045="No","Attrited","Active")</f>
        <v/>
      </c>
    </row>
    <row r="1046">
      <c r="A1046" s="5" t="inlineStr">
        <is>
          <t>E01045</t>
        </is>
      </c>
      <c r="B1046" s="5" t="inlineStr">
        <is>
          <t>Female</t>
        </is>
      </c>
      <c r="C1046" s="6" t="inlineStr">
        <is>
          <t>32</t>
        </is>
      </c>
      <c r="D1046" s="5" t="inlineStr">
        <is>
          <t>Single</t>
        </is>
      </c>
      <c r="E1046" s="5" t="inlineStr">
        <is>
          <t>Master</t>
        </is>
      </c>
      <c r="F1046" s="5" t="inlineStr">
        <is>
          <t>Sales</t>
        </is>
      </c>
      <c r="G1046" s="5" t="inlineStr">
        <is>
          <t>Business Development</t>
        </is>
      </c>
      <c r="H1046" s="5" t="inlineStr">
        <is>
          <t>4</t>
        </is>
      </c>
      <c r="I1046" s="5" t="inlineStr">
        <is>
          <t>Remote</t>
        </is>
      </c>
      <c r="J1046" s="5" t="inlineStr">
        <is>
          <t>Full-Time</t>
        </is>
      </c>
      <c r="K1046" s="7" t="n">
        <v>45275</v>
      </c>
      <c r="L1046" s="7" t="n">
        <v>45340</v>
      </c>
      <c r="M1046" s="5" t="inlineStr">
        <is>
          <t>No</t>
        </is>
      </c>
      <c r="N1046" s="5" t="inlineStr">
        <is>
          <t>Resigned</t>
        </is>
      </c>
      <c r="O1046" s="8" t="inlineStr">
        <is>
          <t>116000</t>
        </is>
      </c>
      <c r="P1046" s="5" t="inlineStr">
        <is>
          <t>0</t>
        </is>
      </c>
      <c r="Q1046" s="5" t="inlineStr">
        <is>
          <t>3</t>
        </is>
      </c>
      <c r="R1046" s="5" t="inlineStr">
        <is>
          <t>4</t>
        </is>
      </c>
      <c r="S1046" s="5" t="inlineStr">
        <is>
          <t>2</t>
        </is>
      </c>
      <c r="T1046" s="5" t="inlineStr">
        <is>
          <t>7</t>
        </is>
      </c>
      <c r="U1046" s="5">
        <f>IFS(C1046&lt;30,"Under 30",C1046&lt;40,"30-39",C1046&lt;50,"40-49",TRUE,"50+")</f>
        <v/>
      </c>
      <c r="V1046" s="5">
        <f>IFS(O1046&lt;60000,"Low (&lt;60k)",O1046&lt;100000,"Mid (60-100k)",TRUE,"High (100k+)")</f>
        <v/>
      </c>
      <c r="W1046" s="5">
        <f>IF(M1046="No","Attrited","Active")</f>
        <v/>
      </c>
    </row>
    <row r="1047">
      <c r="A1047" s="5" t="inlineStr">
        <is>
          <t>E01046</t>
        </is>
      </c>
      <c r="B1047" s="5" t="inlineStr">
        <is>
          <t>Male</t>
        </is>
      </c>
      <c r="C1047" s="6" t="inlineStr">
        <is>
          <t>23</t>
        </is>
      </c>
      <c r="D1047" s="5" t="inlineStr">
        <is>
          <t>Married</t>
        </is>
      </c>
      <c r="E1047" s="5" t="inlineStr">
        <is>
          <t>Master</t>
        </is>
      </c>
      <c r="F1047" s="5" t="inlineStr">
        <is>
          <t>Sales</t>
        </is>
      </c>
      <c r="G1047" s="5" t="inlineStr">
        <is>
          <t>Account Executive</t>
        </is>
      </c>
      <c r="H1047" s="5" t="inlineStr">
        <is>
          <t>1</t>
        </is>
      </c>
      <c r="I1047" s="5" t="inlineStr">
        <is>
          <t>Hyderabad</t>
        </is>
      </c>
      <c r="J1047" s="5" t="inlineStr">
        <is>
          <t>Full-Time</t>
        </is>
      </c>
      <c r="K1047" s="7" t="n">
        <v>44944</v>
      </c>
      <c r="L1047" s="7" t="inlineStr"/>
      <c r="M1047" s="5" t="inlineStr">
        <is>
          <t>Yes</t>
        </is>
      </c>
      <c r="N1047" s="5" t="inlineStr"/>
      <c r="O1047" s="8" t="inlineStr">
        <is>
          <t>65000</t>
        </is>
      </c>
      <c r="P1047" s="5" t="inlineStr">
        <is>
          <t>5</t>
        </is>
      </c>
      <c r="Q1047" s="5" t="inlineStr">
        <is>
          <t>3</t>
        </is>
      </c>
      <c r="R1047" s="5" t="inlineStr">
        <is>
          <t>6</t>
        </is>
      </c>
      <c r="S1047" s="5" t="inlineStr">
        <is>
          <t>35</t>
        </is>
      </c>
      <c r="T1047" s="5" t="inlineStr">
        <is>
          <t>7</t>
        </is>
      </c>
      <c r="U1047" s="5">
        <f>IFS(C1047&lt;30,"Under 30",C1047&lt;40,"30-39",C1047&lt;50,"40-49",TRUE,"50+")</f>
        <v/>
      </c>
      <c r="V1047" s="5">
        <f>IFS(O1047&lt;60000,"Low (&lt;60k)",O1047&lt;100000,"Mid (60-100k)",TRUE,"High (100k+)")</f>
        <v/>
      </c>
      <c r="W1047" s="5">
        <f>IF(M1047="No","Attrited","Active")</f>
        <v/>
      </c>
    </row>
    <row r="1048">
      <c r="A1048" s="5" t="inlineStr">
        <is>
          <t>E01047</t>
        </is>
      </c>
      <c r="B1048" s="5" t="inlineStr">
        <is>
          <t>Male</t>
        </is>
      </c>
      <c r="C1048" s="6" t="inlineStr">
        <is>
          <t>33</t>
        </is>
      </c>
      <c r="D1048" s="5" t="inlineStr">
        <is>
          <t>Married</t>
        </is>
      </c>
      <c r="E1048" s="5" t="inlineStr">
        <is>
          <t>Master</t>
        </is>
      </c>
      <c r="F1048" s="5" t="inlineStr">
        <is>
          <t>Customer Support</t>
        </is>
      </c>
      <c r="G1048" s="5" t="inlineStr">
        <is>
          <t>Escalation Specialist</t>
        </is>
      </c>
      <c r="H1048" s="5" t="inlineStr">
        <is>
          <t>2</t>
        </is>
      </c>
      <c r="I1048" s="5" t="inlineStr">
        <is>
          <t>Mumbai</t>
        </is>
      </c>
      <c r="J1048" s="5" t="inlineStr">
        <is>
          <t>Full-Time</t>
        </is>
      </c>
      <c r="K1048" s="7" t="n">
        <v>45702</v>
      </c>
      <c r="L1048" s="7" t="n">
        <v>45847</v>
      </c>
      <c r="M1048" s="5" t="inlineStr">
        <is>
          <t>No</t>
        </is>
      </c>
      <c r="N1048" s="5" t="inlineStr">
        <is>
          <t>Resigned</t>
        </is>
      </c>
      <c r="O1048" s="8" t="inlineStr">
        <is>
          <t>80000</t>
        </is>
      </c>
      <c r="P1048" s="5" t="inlineStr">
        <is>
          <t>0</t>
        </is>
      </c>
      <c r="Q1048" s="5" t="inlineStr">
        <is>
          <t>3</t>
        </is>
      </c>
      <c r="R1048" s="5" t="inlineStr">
        <is>
          <t>5</t>
        </is>
      </c>
      <c r="S1048" s="5" t="inlineStr">
        <is>
          <t>4</t>
        </is>
      </c>
      <c r="T1048" s="5" t="inlineStr">
        <is>
          <t>10</t>
        </is>
      </c>
      <c r="U1048" s="5">
        <f>IFS(C1048&lt;30,"Under 30",C1048&lt;40,"30-39",C1048&lt;50,"40-49",TRUE,"50+")</f>
        <v/>
      </c>
      <c r="V1048" s="5">
        <f>IFS(O1048&lt;60000,"Low (&lt;60k)",O1048&lt;100000,"Mid (60-100k)",TRUE,"High (100k+)")</f>
        <v/>
      </c>
      <c r="W1048" s="5">
        <f>IF(M1048="No","Attrited","Active")</f>
        <v/>
      </c>
    </row>
    <row r="1049">
      <c r="A1049" s="5" t="inlineStr">
        <is>
          <t>E01048</t>
        </is>
      </c>
      <c r="B1049" s="5" t="inlineStr">
        <is>
          <t>Female</t>
        </is>
      </c>
      <c r="C1049" s="6" t="inlineStr">
        <is>
          <t>31</t>
        </is>
      </c>
      <c r="D1049" s="5" t="inlineStr">
        <is>
          <t>Single</t>
        </is>
      </c>
      <c r="E1049" s="5" t="inlineStr">
        <is>
          <t>Bachelor</t>
        </is>
      </c>
      <c r="F1049" s="5" t="inlineStr">
        <is>
          <t>Customer Support</t>
        </is>
      </c>
      <c r="G1049" s="5" t="inlineStr">
        <is>
          <t>Support Agent</t>
        </is>
      </c>
      <c r="H1049" s="5" t="inlineStr">
        <is>
          <t>1</t>
        </is>
      </c>
      <c r="I1049" s="5" t="inlineStr">
        <is>
          <t>Bengaluru</t>
        </is>
      </c>
      <c r="J1049" s="5" t="inlineStr">
        <is>
          <t>Full-Time</t>
        </is>
      </c>
      <c r="K1049" s="7" t="n">
        <v>44137</v>
      </c>
      <c r="L1049" s="7" t="inlineStr"/>
      <c r="M1049" s="5" t="inlineStr">
        <is>
          <t>Yes</t>
        </is>
      </c>
      <c r="N1049" s="5" t="inlineStr"/>
      <c r="O1049" s="8" t="inlineStr">
        <is>
          <t>65000</t>
        </is>
      </c>
      <c r="P1049" s="5" t="inlineStr">
        <is>
          <t>0</t>
        </is>
      </c>
      <c r="Q1049" s="5" t="inlineStr">
        <is>
          <t>4</t>
        </is>
      </c>
      <c r="R1049" s="5" t="inlineStr">
        <is>
          <t>6</t>
        </is>
      </c>
      <c r="S1049" s="5" t="inlineStr">
        <is>
          <t>62</t>
        </is>
      </c>
      <c r="T1049" s="5" t="inlineStr">
        <is>
          <t>0</t>
        </is>
      </c>
      <c r="U1049" s="5">
        <f>IFS(C1049&lt;30,"Under 30",C1049&lt;40,"30-39",C1049&lt;50,"40-49",TRUE,"50+")</f>
        <v/>
      </c>
      <c r="V1049" s="5">
        <f>IFS(O1049&lt;60000,"Low (&lt;60k)",O1049&lt;100000,"Mid (60-100k)",TRUE,"High (100k+)")</f>
        <v/>
      </c>
      <c r="W1049" s="5">
        <f>IF(M1049="No","Attrited","Active")</f>
        <v/>
      </c>
    </row>
    <row r="1050">
      <c r="A1050" s="5" t="inlineStr">
        <is>
          <t>E01049</t>
        </is>
      </c>
      <c r="B1050" s="5" t="inlineStr">
        <is>
          <t>Male</t>
        </is>
      </c>
      <c r="C1050" s="6" t="inlineStr">
        <is>
          <t>36</t>
        </is>
      </c>
      <c r="D1050" s="5" t="inlineStr">
        <is>
          <t>Single</t>
        </is>
      </c>
      <c r="E1050" s="5" t="inlineStr">
        <is>
          <t>High School</t>
        </is>
      </c>
      <c r="F1050" s="5" t="inlineStr">
        <is>
          <t>Marketing</t>
        </is>
      </c>
      <c r="G1050" s="5" t="inlineStr">
        <is>
          <t>Content Writer</t>
        </is>
      </c>
      <c r="H1050" s="5" t="inlineStr">
        <is>
          <t>3</t>
        </is>
      </c>
      <c r="I1050" s="5" t="inlineStr">
        <is>
          <t>Chennai</t>
        </is>
      </c>
      <c r="J1050" s="5" t="inlineStr">
        <is>
          <t>Full-Time</t>
        </is>
      </c>
      <c r="K1050" s="7" t="n">
        <v>44028</v>
      </c>
      <c r="L1050" s="7" t="inlineStr"/>
      <c r="M1050" s="5" t="inlineStr">
        <is>
          <t>Yes</t>
        </is>
      </c>
      <c r="N1050" s="5" t="inlineStr"/>
      <c r="O1050" s="8" t="inlineStr">
        <is>
          <t>100000</t>
        </is>
      </c>
      <c r="P1050" s="5" t="inlineStr">
        <is>
          <t>15</t>
        </is>
      </c>
      <c r="Q1050" s="5" t="inlineStr">
        <is>
          <t>3</t>
        </is>
      </c>
      <c r="R1050" s="5" t="inlineStr">
        <is>
          <t>7</t>
        </is>
      </c>
      <c r="S1050" s="5" t="inlineStr">
        <is>
          <t>66</t>
        </is>
      </c>
      <c r="T1050" s="5" t="inlineStr">
        <is>
          <t>0</t>
        </is>
      </c>
      <c r="U1050" s="5">
        <f>IFS(C1050&lt;30,"Under 30",C1050&lt;40,"30-39",C1050&lt;50,"40-49",TRUE,"50+")</f>
        <v/>
      </c>
      <c r="V1050" s="5">
        <f>IFS(O1050&lt;60000,"Low (&lt;60k)",O1050&lt;100000,"Mid (60-100k)",TRUE,"High (100k+)")</f>
        <v/>
      </c>
      <c r="W1050" s="5">
        <f>IF(M1050="No","Attrited","Active")</f>
        <v/>
      </c>
    </row>
    <row r="1051">
      <c r="A1051" s="5" t="inlineStr">
        <is>
          <t>E01050</t>
        </is>
      </c>
      <c r="B1051" s="5" t="inlineStr">
        <is>
          <t>Male</t>
        </is>
      </c>
      <c r="C1051" s="6" t="inlineStr">
        <is>
          <t>32</t>
        </is>
      </c>
      <c r="D1051" s="5" t="inlineStr">
        <is>
          <t>Married</t>
        </is>
      </c>
      <c r="E1051" s="5" t="inlineStr">
        <is>
          <t>Diploma</t>
        </is>
      </c>
      <c r="F1051" s="5" t="inlineStr">
        <is>
          <t>Sales</t>
        </is>
      </c>
      <c r="G1051" s="5" t="inlineStr">
        <is>
          <t>Sales Executive</t>
        </is>
      </c>
      <c r="H1051" s="5" t="inlineStr">
        <is>
          <t>1</t>
        </is>
      </c>
      <c r="I1051" s="5" t="inlineStr">
        <is>
          <t>Delhi</t>
        </is>
      </c>
      <c r="J1051" s="5" t="inlineStr">
        <is>
          <t>Full-Time</t>
        </is>
      </c>
      <c r="K1051" s="7" t="n">
        <v>45930</v>
      </c>
      <c r="L1051" s="7" t="inlineStr"/>
      <c r="M1051" s="5" t="inlineStr">
        <is>
          <t>Yes</t>
        </is>
      </c>
      <c r="N1051" s="5" t="inlineStr"/>
      <c r="O1051" s="8" t="inlineStr">
        <is>
          <t>100500</t>
        </is>
      </c>
      <c r="P1051" s="5" t="inlineStr">
        <is>
          <t>10</t>
        </is>
      </c>
      <c r="Q1051" s="5" t="inlineStr">
        <is>
          <t>4</t>
        </is>
      </c>
      <c r="R1051" s="5" t="inlineStr">
        <is>
          <t>7</t>
        </is>
      </c>
      <c r="S1051" s="5" t="inlineStr">
        <is>
          <t>3</t>
        </is>
      </c>
      <c r="T1051" s="5" t="inlineStr">
        <is>
          <t>9</t>
        </is>
      </c>
      <c r="U1051" s="5">
        <f>IFS(C1051&lt;30,"Under 30",C1051&lt;40,"30-39",C1051&lt;50,"40-49",TRUE,"50+")</f>
        <v/>
      </c>
      <c r="V1051" s="5">
        <f>IFS(O1051&lt;60000,"Low (&lt;60k)",O1051&lt;100000,"Mid (60-100k)",TRUE,"High (100k+)")</f>
        <v/>
      </c>
      <c r="W1051" s="5">
        <f>IF(M1051="No","Attrited","Active")</f>
        <v/>
      </c>
    </row>
    <row r="1052">
      <c r="A1052" s="5" t="inlineStr">
        <is>
          <t>E01051</t>
        </is>
      </c>
      <c r="B1052" s="5" t="inlineStr">
        <is>
          <t>Female</t>
        </is>
      </c>
      <c r="C1052" s="6" t="inlineStr">
        <is>
          <t>36</t>
        </is>
      </c>
      <c r="D1052" s="5" t="inlineStr">
        <is>
          <t>Married</t>
        </is>
      </c>
      <c r="E1052" s="5" t="inlineStr">
        <is>
          <t>Master</t>
        </is>
      </c>
      <c r="F1052" s="5" t="inlineStr">
        <is>
          <t>Research &amp; Development</t>
        </is>
      </c>
      <c r="G1052" s="5" t="inlineStr">
        <is>
          <t>Product Engineer</t>
        </is>
      </c>
      <c r="H1052" s="5" t="inlineStr">
        <is>
          <t>7</t>
        </is>
      </c>
      <c r="I1052" s="5" t="inlineStr">
        <is>
          <t>Bengaluru</t>
        </is>
      </c>
      <c r="J1052" s="5" t="inlineStr">
        <is>
          <t>Full-Time</t>
        </is>
      </c>
      <c r="K1052" s="7" t="n">
        <v>45011</v>
      </c>
      <c r="L1052" s="7" t="inlineStr"/>
      <c r="M1052" s="5" t="inlineStr">
        <is>
          <t>Yes</t>
        </is>
      </c>
      <c r="N1052" s="5" t="inlineStr"/>
      <c r="O1052" s="8" t="inlineStr">
        <is>
          <t>189000</t>
        </is>
      </c>
      <c r="P1052" s="5" t="inlineStr">
        <is>
          <t>5</t>
        </is>
      </c>
      <c r="Q1052" s="5" t="inlineStr">
        <is>
          <t>4</t>
        </is>
      </c>
      <c r="R1052" s="5" t="inlineStr">
        <is>
          <t>6</t>
        </is>
      </c>
      <c r="S1052" s="5" t="inlineStr">
        <is>
          <t>33</t>
        </is>
      </c>
      <c r="T1052" s="5" t="inlineStr">
        <is>
          <t>8</t>
        </is>
      </c>
      <c r="U1052" s="5">
        <f>IFS(C1052&lt;30,"Under 30",C1052&lt;40,"30-39",C1052&lt;50,"40-49",TRUE,"50+")</f>
        <v/>
      </c>
      <c r="V1052" s="5">
        <f>IFS(O1052&lt;60000,"Low (&lt;60k)",O1052&lt;100000,"Mid (60-100k)",TRUE,"High (100k+)")</f>
        <v/>
      </c>
      <c r="W1052" s="5">
        <f>IF(M1052="No","Attrited","Active")</f>
        <v/>
      </c>
    </row>
    <row r="1053">
      <c r="A1053" s="5" t="inlineStr">
        <is>
          <t>E01052</t>
        </is>
      </c>
      <c r="B1053" s="5" t="inlineStr">
        <is>
          <t>Female</t>
        </is>
      </c>
      <c r="C1053" s="6" t="inlineStr">
        <is>
          <t>27</t>
        </is>
      </c>
      <c r="D1053" s="5" t="inlineStr">
        <is>
          <t>Married</t>
        </is>
      </c>
      <c r="E1053" s="5" t="inlineStr">
        <is>
          <t>High School</t>
        </is>
      </c>
      <c r="F1053" s="5" t="inlineStr">
        <is>
          <t>Research &amp; Development</t>
        </is>
      </c>
      <c r="G1053" s="5" t="inlineStr">
        <is>
          <t>Research Scientist</t>
        </is>
      </c>
      <c r="H1053" s="5" t="inlineStr">
        <is>
          <t>1</t>
        </is>
      </c>
      <c r="I1053" s="5" t="inlineStr">
        <is>
          <t>Delhi</t>
        </is>
      </c>
      <c r="J1053" s="5" t="inlineStr">
        <is>
          <t>Full-Time</t>
        </is>
      </c>
      <c r="K1053" s="7" t="n">
        <v>44982</v>
      </c>
      <c r="L1053" s="7" t="inlineStr"/>
      <c r="M1053" s="5" t="inlineStr">
        <is>
          <t>Yes</t>
        </is>
      </c>
      <c r="N1053" s="5" t="inlineStr"/>
      <c r="O1053" s="8" t="inlineStr">
        <is>
          <t>158000</t>
        </is>
      </c>
      <c r="P1053" s="5" t="inlineStr">
        <is>
          <t>0</t>
        </is>
      </c>
      <c r="Q1053" s="5" t="inlineStr">
        <is>
          <t>5</t>
        </is>
      </c>
      <c r="R1053" s="5" t="inlineStr">
        <is>
          <t>7</t>
        </is>
      </c>
      <c r="S1053" s="5" t="inlineStr">
        <is>
          <t>34</t>
        </is>
      </c>
      <c r="T1053" s="5" t="inlineStr">
        <is>
          <t>1</t>
        </is>
      </c>
      <c r="U1053" s="5">
        <f>IFS(C1053&lt;30,"Under 30",C1053&lt;40,"30-39",C1053&lt;50,"40-49",TRUE,"50+")</f>
        <v/>
      </c>
      <c r="V1053" s="5">
        <f>IFS(O1053&lt;60000,"Low (&lt;60k)",O1053&lt;100000,"Mid (60-100k)",TRUE,"High (100k+)")</f>
        <v/>
      </c>
      <c r="W1053" s="5">
        <f>IF(M1053="No","Attrited","Active")</f>
        <v/>
      </c>
    </row>
    <row r="1054">
      <c r="A1054" s="5" t="inlineStr">
        <is>
          <t>E01053</t>
        </is>
      </c>
      <c r="B1054" s="5" t="inlineStr">
        <is>
          <t>Male</t>
        </is>
      </c>
      <c r="C1054" s="6" t="inlineStr">
        <is>
          <t>44</t>
        </is>
      </c>
      <c r="D1054" s="5" t="inlineStr">
        <is>
          <t>Married</t>
        </is>
      </c>
      <c r="E1054" s="5" t="inlineStr">
        <is>
          <t>Bachelor</t>
        </is>
      </c>
      <c r="F1054" s="5" t="inlineStr">
        <is>
          <t>Operations</t>
        </is>
      </c>
      <c r="G1054" s="5" t="inlineStr">
        <is>
          <t>Quality Analyst</t>
        </is>
      </c>
      <c r="H1054" s="5" t="inlineStr">
        <is>
          <t>6</t>
        </is>
      </c>
      <c r="I1054" s="5" t="inlineStr">
        <is>
          <t>Bengaluru</t>
        </is>
      </c>
      <c r="J1054" s="5" t="inlineStr">
        <is>
          <t>Full-Time</t>
        </is>
      </c>
      <c r="K1054" s="7" t="n">
        <v>45916</v>
      </c>
      <c r="L1054" s="7" t="inlineStr"/>
      <c r="M1054" s="5" t="inlineStr">
        <is>
          <t>Yes</t>
        </is>
      </c>
      <c r="N1054" s="5" t="inlineStr"/>
      <c r="O1054" s="8" t="inlineStr">
        <is>
          <t>164500</t>
        </is>
      </c>
      <c r="P1054" s="5" t="inlineStr">
        <is>
          <t>0</t>
        </is>
      </c>
      <c r="Q1054" s="5" t="inlineStr">
        <is>
          <t>2</t>
        </is>
      </c>
      <c r="R1054" s="5" t="inlineStr">
        <is>
          <t>4</t>
        </is>
      </c>
      <c r="S1054" s="5" t="inlineStr">
        <is>
          <t>3</t>
        </is>
      </c>
      <c r="T1054" s="5" t="inlineStr">
        <is>
          <t>2</t>
        </is>
      </c>
      <c r="U1054" s="5">
        <f>IFS(C1054&lt;30,"Under 30",C1054&lt;40,"30-39",C1054&lt;50,"40-49",TRUE,"50+")</f>
        <v/>
      </c>
      <c r="V1054" s="5">
        <f>IFS(O1054&lt;60000,"Low (&lt;60k)",O1054&lt;100000,"Mid (60-100k)",TRUE,"High (100k+)")</f>
        <v/>
      </c>
      <c r="W1054" s="5">
        <f>IF(M1054="No","Attrited","Active")</f>
        <v/>
      </c>
    </row>
    <row r="1055">
      <c r="A1055" s="5" t="inlineStr">
        <is>
          <t>E01054</t>
        </is>
      </c>
      <c r="B1055" s="5" t="inlineStr">
        <is>
          <t>Female</t>
        </is>
      </c>
      <c r="C1055" s="6" t="inlineStr">
        <is>
          <t>28</t>
        </is>
      </c>
      <c r="D1055" s="5" t="inlineStr">
        <is>
          <t>Married</t>
        </is>
      </c>
      <c r="E1055" s="5" t="inlineStr">
        <is>
          <t>Master</t>
        </is>
      </c>
      <c r="F1055" s="5" t="inlineStr">
        <is>
          <t>Finance</t>
        </is>
      </c>
      <c r="G1055" s="5" t="inlineStr">
        <is>
          <t>Credit Analyst</t>
        </is>
      </c>
      <c r="H1055" s="5" t="inlineStr">
        <is>
          <t>1</t>
        </is>
      </c>
      <c r="I1055" s="5" t="inlineStr">
        <is>
          <t>Bengaluru</t>
        </is>
      </c>
      <c r="J1055" s="5" t="inlineStr">
        <is>
          <t>Full-Time</t>
        </is>
      </c>
      <c r="K1055" s="7" t="n">
        <v>45250</v>
      </c>
      <c r="L1055" s="7" t="inlineStr"/>
      <c r="M1055" s="5" t="inlineStr">
        <is>
          <t>Yes</t>
        </is>
      </c>
      <c r="N1055" s="5" t="inlineStr"/>
      <c r="O1055" s="8" t="inlineStr">
        <is>
          <t>110500</t>
        </is>
      </c>
      <c r="P1055" s="5" t="inlineStr">
        <is>
          <t>0</t>
        </is>
      </c>
      <c r="Q1055" s="5" t="inlineStr">
        <is>
          <t>5</t>
        </is>
      </c>
      <c r="R1055" s="5" t="inlineStr">
        <is>
          <t>8</t>
        </is>
      </c>
      <c r="S1055" s="5" t="inlineStr">
        <is>
          <t>25</t>
        </is>
      </c>
      <c r="T1055" s="5" t="inlineStr">
        <is>
          <t>0</t>
        </is>
      </c>
      <c r="U1055" s="5">
        <f>IFS(C1055&lt;30,"Under 30",C1055&lt;40,"30-39",C1055&lt;50,"40-49",TRUE,"50+")</f>
        <v/>
      </c>
      <c r="V1055" s="5">
        <f>IFS(O1055&lt;60000,"Low (&lt;60k)",O1055&lt;100000,"Mid (60-100k)",TRUE,"High (100k+)")</f>
        <v/>
      </c>
      <c r="W1055" s="5">
        <f>IF(M1055="No","Attrited","Active")</f>
        <v/>
      </c>
    </row>
    <row r="1056">
      <c r="A1056" s="5" t="inlineStr">
        <is>
          <t>E01055</t>
        </is>
      </c>
      <c r="B1056" s="5" t="inlineStr">
        <is>
          <t>Male</t>
        </is>
      </c>
      <c r="C1056" s="6" t="inlineStr">
        <is>
          <t>43</t>
        </is>
      </c>
      <c r="D1056" s="5" t="inlineStr">
        <is>
          <t>Single</t>
        </is>
      </c>
      <c r="E1056" s="5" t="inlineStr">
        <is>
          <t>Bachelor</t>
        </is>
      </c>
      <c r="F1056" s="5" t="inlineStr">
        <is>
          <t>Sales</t>
        </is>
      </c>
      <c r="G1056" s="5" t="inlineStr">
        <is>
          <t>Account Executive</t>
        </is>
      </c>
      <c r="H1056" s="5" t="inlineStr">
        <is>
          <t>6</t>
        </is>
      </c>
      <c r="I1056" s="5" t="inlineStr">
        <is>
          <t>Delhi</t>
        </is>
      </c>
      <c r="J1056" s="5" t="inlineStr">
        <is>
          <t>Full-Time</t>
        </is>
      </c>
      <c r="K1056" s="7" t="n">
        <v>45264</v>
      </c>
      <c r="L1056" s="7" t="inlineStr"/>
      <c r="M1056" s="5" t="inlineStr">
        <is>
          <t>Yes</t>
        </is>
      </c>
      <c r="N1056" s="5" t="inlineStr"/>
      <c r="O1056" s="8" t="inlineStr">
        <is>
          <t>141500</t>
        </is>
      </c>
      <c r="P1056" s="5" t="inlineStr">
        <is>
          <t>0</t>
        </is>
      </c>
      <c r="Q1056" s="5" t="inlineStr">
        <is>
          <t>4</t>
        </is>
      </c>
      <c r="R1056" s="5" t="inlineStr">
        <is>
          <t>6</t>
        </is>
      </c>
      <c r="S1056" s="5" t="inlineStr">
        <is>
          <t>25</t>
        </is>
      </c>
      <c r="T1056" s="5" t="inlineStr">
        <is>
          <t>0</t>
        </is>
      </c>
      <c r="U1056" s="5">
        <f>IFS(C1056&lt;30,"Under 30",C1056&lt;40,"30-39",C1056&lt;50,"40-49",TRUE,"50+")</f>
        <v/>
      </c>
      <c r="V1056" s="5">
        <f>IFS(O1056&lt;60000,"Low (&lt;60k)",O1056&lt;100000,"Mid (60-100k)",TRUE,"High (100k+)")</f>
        <v/>
      </c>
      <c r="W1056" s="5">
        <f>IF(M1056="No","Attrited","Active")</f>
        <v/>
      </c>
    </row>
    <row r="1057">
      <c r="A1057" s="5" t="inlineStr">
        <is>
          <t>E01056</t>
        </is>
      </c>
      <c r="B1057" s="5" t="inlineStr">
        <is>
          <t>Female</t>
        </is>
      </c>
      <c r="C1057" s="6" t="inlineStr">
        <is>
          <t>30</t>
        </is>
      </c>
      <c r="D1057" s="5" t="inlineStr">
        <is>
          <t>Married</t>
        </is>
      </c>
      <c r="E1057" s="5" t="inlineStr">
        <is>
          <t>Master</t>
        </is>
      </c>
      <c r="F1057" s="5" t="inlineStr">
        <is>
          <t>Sales</t>
        </is>
      </c>
      <c r="G1057" s="5" t="inlineStr">
        <is>
          <t>Business Development</t>
        </is>
      </c>
      <c r="H1057" s="5" t="inlineStr">
        <is>
          <t>2</t>
        </is>
      </c>
      <c r="I1057" s="5" t="inlineStr">
        <is>
          <t>Remote</t>
        </is>
      </c>
      <c r="J1057" s="5" t="inlineStr">
        <is>
          <t>Full-Time</t>
        </is>
      </c>
      <c r="K1057" s="7" t="n">
        <v>44019</v>
      </c>
      <c r="L1057" s="7" t="inlineStr"/>
      <c r="M1057" s="5" t="inlineStr">
        <is>
          <t>Yes</t>
        </is>
      </c>
      <c r="N1057" s="5" t="inlineStr"/>
      <c r="O1057" s="8" t="inlineStr">
        <is>
          <t>118000</t>
        </is>
      </c>
      <c r="P1057" s="5" t="inlineStr">
        <is>
          <t>0</t>
        </is>
      </c>
      <c r="Q1057" s="5" t="inlineStr">
        <is>
          <t>5</t>
        </is>
      </c>
      <c r="R1057" s="5" t="inlineStr">
        <is>
          <t>8</t>
        </is>
      </c>
      <c r="S1057" s="5" t="inlineStr">
        <is>
          <t>66</t>
        </is>
      </c>
      <c r="T1057" s="5" t="inlineStr">
        <is>
          <t>5</t>
        </is>
      </c>
      <c r="U1057" s="5">
        <f>IFS(C1057&lt;30,"Under 30",C1057&lt;40,"30-39",C1057&lt;50,"40-49",TRUE,"50+")</f>
        <v/>
      </c>
      <c r="V1057" s="5">
        <f>IFS(O1057&lt;60000,"Low (&lt;60k)",O1057&lt;100000,"Mid (60-100k)",TRUE,"High (100k+)")</f>
        <v/>
      </c>
      <c r="W1057" s="5">
        <f>IF(M1057="No","Attrited","Active")</f>
        <v/>
      </c>
    </row>
    <row r="1058">
      <c r="A1058" s="5" t="inlineStr">
        <is>
          <t>E01057</t>
        </is>
      </c>
      <c r="B1058" s="5" t="inlineStr">
        <is>
          <t>Female</t>
        </is>
      </c>
      <c r="C1058" s="6" t="inlineStr">
        <is>
          <t>37</t>
        </is>
      </c>
      <c r="D1058" s="5" t="inlineStr">
        <is>
          <t>Married</t>
        </is>
      </c>
      <c r="E1058" s="5" t="inlineStr">
        <is>
          <t>Diploma</t>
        </is>
      </c>
      <c r="F1058" s="5" t="inlineStr">
        <is>
          <t>Customer Support</t>
        </is>
      </c>
      <c r="G1058" s="5" t="inlineStr">
        <is>
          <t>Support Lead</t>
        </is>
      </c>
      <c r="H1058" s="5" t="inlineStr">
        <is>
          <t>5</t>
        </is>
      </c>
      <c r="I1058" s="5" t="inlineStr">
        <is>
          <t>Remote</t>
        </is>
      </c>
      <c r="J1058" s="5" t="inlineStr">
        <is>
          <t>Part-Time</t>
        </is>
      </c>
      <c r="K1058" s="7" t="n">
        <v>44781</v>
      </c>
      <c r="L1058" s="7" t="inlineStr"/>
      <c r="M1058" s="5" t="inlineStr">
        <is>
          <t>Yes</t>
        </is>
      </c>
      <c r="N1058" s="5" t="inlineStr"/>
      <c r="O1058" s="8" t="inlineStr">
        <is>
          <t>91500</t>
        </is>
      </c>
      <c r="P1058" s="5" t="inlineStr">
        <is>
          <t>10</t>
        </is>
      </c>
      <c r="Q1058" s="5" t="inlineStr">
        <is>
          <t>4</t>
        </is>
      </c>
      <c r="R1058" s="5" t="inlineStr">
        <is>
          <t>6</t>
        </is>
      </c>
      <c r="S1058" s="5" t="inlineStr">
        <is>
          <t>41</t>
        </is>
      </c>
      <c r="T1058" s="5" t="inlineStr">
        <is>
          <t>9</t>
        </is>
      </c>
      <c r="U1058" s="5">
        <f>IFS(C1058&lt;30,"Under 30",C1058&lt;40,"30-39",C1058&lt;50,"40-49",TRUE,"50+")</f>
        <v/>
      </c>
      <c r="V1058" s="5">
        <f>IFS(O1058&lt;60000,"Low (&lt;60k)",O1058&lt;100000,"Mid (60-100k)",TRUE,"High (100k+)")</f>
        <v/>
      </c>
      <c r="W1058" s="5">
        <f>IF(M1058="No","Attrited","Active")</f>
        <v/>
      </c>
    </row>
    <row r="1059">
      <c r="A1059" s="5" t="inlineStr">
        <is>
          <t>E01058</t>
        </is>
      </c>
      <c r="B1059" s="5" t="inlineStr">
        <is>
          <t>Male</t>
        </is>
      </c>
      <c r="C1059" s="6" t="inlineStr">
        <is>
          <t>33</t>
        </is>
      </c>
      <c r="D1059" s="5" t="inlineStr">
        <is>
          <t>Married</t>
        </is>
      </c>
      <c r="E1059" s="5" t="inlineStr">
        <is>
          <t>PhD</t>
        </is>
      </c>
      <c r="F1059" s="5" t="inlineStr">
        <is>
          <t>Sales</t>
        </is>
      </c>
      <c r="G1059" s="5" t="inlineStr">
        <is>
          <t>Business Development</t>
        </is>
      </c>
      <c r="H1059" s="5" t="inlineStr">
        <is>
          <t>4</t>
        </is>
      </c>
      <c r="I1059" s="5" t="inlineStr">
        <is>
          <t>Hyderabad</t>
        </is>
      </c>
      <c r="J1059" s="5" t="inlineStr">
        <is>
          <t>Part-Time</t>
        </is>
      </c>
      <c r="K1059" s="7" t="n">
        <v>45599</v>
      </c>
      <c r="L1059" s="7" t="inlineStr"/>
      <c r="M1059" s="5" t="inlineStr">
        <is>
          <t>Yes</t>
        </is>
      </c>
      <c r="N1059" s="5" t="inlineStr"/>
      <c r="O1059" s="8" t="inlineStr">
        <is>
          <t>125500</t>
        </is>
      </c>
      <c r="P1059" s="5" t="inlineStr">
        <is>
          <t>10</t>
        </is>
      </c>
      <c r="Q1059" s="5" t="inlineStr">
        <is>
          <t>4</t>
        </is>
      </c>
      <c r="R1059" s="5" t="inlineStr">
        <is>
          <t>6</t>
        </is>
      </c>
      <c r="S1059" s="5" t="inlineStr">
        <is>
          <t>14</t>
        </is>
      </c>
      <c r="T1059" s="5" t="inlineStr">
        <is>
          <t>4</t>
        </is>
      </c>
      <c r="U1059" s="5">
        <f>IFS(C1059&lt;30,"Under 30",C1059&lt;40,"30-39",C1059&lt;50,"40-49",TRUE,"50+")</f>
        <v/>
      </c>
      <c r="V1059" s="5">
        <f>IFS(O1059&lt;60000,"Low (&lt;60k)",O1059&lt;100000,"Mid (60-100k)",TRUE,"High (100k+)")</f>
        <v/>
      </c>
      <c r="W1059" s="5">
        <f>IF(M1059="No","Attrited","Active")</f>
        <v/>
      </c>
    </row>
    <row r="1060">
      <c r="A1060" s="5" t="inlineStr">
        <is>
          <t>E01059</t>
        </is>
      </c>
      <c r="B1060" s="5" t="inlineStr">
        <is>
          <t>Female</t>
        </is>
      </c>
      <c r="C1060" s="6" t="inlineStr">
        <is>
          <t>35</t>
        </is>
      </c>
      <c r="D1060" s="5" t="inlineStr">
        <is>
          <t>Single</t>
        </is>
      </c>
      <c r="E1060" s="5" t="inlineStr">
        <is>
          <t>Diploma</t>
        </is>
      </c>
      <c r="F1060" s="5" t="inlineStr">
        <is>
          <t>Human Resources</t>
        </is>
      </c>
      <c r="G1060" s="5" t="inlineStr">
        <is>
          <t>HR Generalist</t>
        </is>
      </c>
      <c r="H1060" s="5" t="inlineStr">
        <is>
          <t>4</t>
        </is>
      </c>
      <c r="I1060" s="5" t="inlineStr">
        <is>
          <t>Mumbai</t>
        </is>
      </c>
      <c r="J1060" s="5" t="inlineStr">
        <is>
          <t>Full-Time</t>
        </is>
      </c>
      <c r="K1060" s="7" t="n">
        <v>45341</v>
      </c>
      <c r="L1060" s="7" t="inlineStr"/>
      <c r="M1060" s="5" t="inlineStr">
        <is>
          <t>Yes</t>
        </is>
      </c>
      <c r="N1060" s="5" t="inlineStr"/>
      <c r="O1060" s="8" t="inlineStr">
        <is>
          <t>112500</t>
        </is>
      </c>
      <c r="P1060" s="5" t="inlineStr">
        <is>
          <t>0</t>
        </is>
      </c>
      <c r="Q1060" s="5" t="inlineStr">
        <is>
          <t>3</t>
        </is>
      </c>
      <c r="R1060" s="5" t="inlineStr">
        <is>
          <t>5</t>
        </is>
      </c>
      <c r="S1060" s="5" t="inlineStr">
        <is>
          <t>22</t>
        </is>
      </c>
      <c r="T1060" s="5" t="inlineStr">
        <is>
          <t>4</t>
        </is>
      </c>
      <c r="U1060" s="5">
        <f>IFS(C1060&lt;30,"Under 30",C1060&lt;40,"30-39",C1060&lt;50,"40-49",TRUE,"50+")</f>
        <v/>
      </c>
      <c r="V1060" s="5">
        <f>IFS(O1060&lt;60000,"Low (&lt;60k)",O1060&lt;100000,"Mid (60-100k)",TRUE,"High (100k+)")</f>
        <v/>
      </c>
      <c r="W1060" s="5">
        <f>IF(M1060="No","Attrited","Active")</f>
        <v/>
      </c>
    </row>
    <row r="1061">
      <c r="A1061" s="5" t="inlineStr">
        <is>
          <t>E01060</t>
        </is>
      </c>
      <c r="B1061" s="5" t="inlineStr">
        <is>
          <t>Female</t>
        </is>
      </c>
      <c r="C1061" s="6" t="inlineStr">
        <is>
          <t>30</t>
        </is>
      </c>
      <c r="D1061" s="5" t="inlineStr">
        <is>
          <t>Married</t>
        </is>
      </c>
      <c r="E1061" s="5" t="inlineStr">
        <is>
          <t>Diploma</t>
        </is>
      </c>
      <c r="F1061" s="5" t="inlineStr">
        <is>
          <t>Marketing</t>
        </is>
      </c>
      <c r="G1061" s="5" t="inlineStr">
        <is>
          <t>SEO Specialist</t>
        </is>
      </c>
      <c r="H1061" s="5" t="inlineStr">
        <is>
          <t>4</t>
        </is>
      </c>
      <c r="I1061" s="5" t="inlineStr">
        <is>
          <t>Remote</t>
        </is>
      </c>
      <c r="J1061" s="5" t="inlineStr">
        <is>
          <t>Full-Time</t>
        </is>
      </c>
      <c r="K1061" s="7" t="n">
        <v>45910</v>
      </c>
      <c r="L1061" s="7" t="inlineStr"/>
      <c r="M1061" s="5" t="inlineStr">
        <is>
          <t>Yes</t>
        </is>
      </c>
      <c r="N1061" s="5" t="inlineStr"/>
      <c r="O1061" s="8" t="inlineStr">
        <is>
          <t>101500</t>
        </is>
      </c>
      <c r="P1061" s="5" t="inlineStr">
        <is>
          <t>20</t>
        </is>
      </c>
      <c r="Q1061" s="5" t="inlineStr">
        <is>
          <t>4</t>
        </is>
      </c>
      <c r="R1061" s="5" t="inlineStr">
        <is>
          <t>6</t>
        </is>
      </c>
      <c r="S1061" s="5" t="inlineStr">
        <is>
          <t>3</t>
        </is>
      </c>
      <c r="T1061" s="5" t="inlineStr">
        <is>
          <t>0</t>
        </is>
      </c>
      <c r="U1061" s="5">
        <f>IFS(C1061&lt;30,"Under 30",C1061&lt;40,"30-39",C1061&lt;50,"40-49",TRUE,"50+")</f>
        <v/>
      </c>
      <c r="V1061" s="5">
        <f>IFS(O1061&lt;60000,"Low (&lt;60k)",O1061&lt;100000,"Mid (60-100k)",TRUE,"High (100k+)")</f>
        <v/>
      </c>
      <c r="W1061" s="5">
        <f>IF(M1061="No","Attrited","Active")</f>
        <v/>
      </c>
    </row>
    <row r="1062">
      <c r="A1062" s="5" t="inlineStr">
        <is>
          <t>E01061</t>
        </is>
      </c>
      <c r="B1062" s="5" t="inlineStr">
        <is>
          <t>Male</t>
        </is>
      </c>
      <c r="C1062" s="6" t="inlineStr">
        <is>
          <t>41</t>
        </is>
      </c>
      <c r="D1062" s="5" t="inlineStr">
        <is>
          <t>Married</t>
        </is>
      </c>
      <c r="E1062" s="5" t="inlineStr">
        <is>
          <t>Bachelor</t>
        </is>
      </c>
      <c r="F1062" s="5" t="inlineStr">
        <is>
          <t>Operations</t>
        </is>
      </c>
      <c r="G1062" s="5" t="inlineStr">
        <is>
          <t>Quality Analyst</t>
        </is>
      </c>
      <c r="H1062" s="5" t="inlineStr">
        <is>
          <t>5</t>
        </is>
      </c>
      <c r="I1062" s="5" t="inlineStr">
        <is>
          <t>Hyderabad</t>
        </is>
      </c>
      <c r="J1062" s="5" t="inlineStr">
        <is>
          <t>Full-Time</t>
        </is>
      </c>
      <c r="K1062" s="7" t="n">
        <v>44165</v>
      </c>
      <c r="L1062" s="7" t="inlineStr"/>
      <c r="M1062" s="5" t="inlineStr">
        <is>
          <t>Yes</t>
        </is>
      </c>
      <c r="N1062" s="5" t="inlineStr"/>
      <c r="O1062" s="8" t="inlineStr">
        <is>
          <t>99500</t>
        </is>
      </c>
      <c r="P1062" s="5" t="inlineStr">
        <is>
          <t>15</t>
        </is>
      </c>
      <c r="Q1062" s="5" t="inlineStr">
        <is>
          <t>4</t>
        </is>
      </c>
      <c r="R1062" s="5" t="inlineStr">
        <is>
          <t>6</t>
        </is>
      </c>
      <c r="S1062" s="5" t="inlineStr">
        <is>
          <t>61</t>
        </is>
      </c>
      <c r="T1062" s="5" t="inlineStr">
        <is>
          <t>9</t>
        </is>
      </c>
      <c r="U1062" s="5">
        <f>IFS(C1062&lt;30,"Under 30",C1062&lt;40,"30-39",C1062&lt;50,"40-49",TRUE,"50+")</f>
        <v/>
      </c>
      <c r="V1062" s="5">
        <f>IFS(O1062&lt;60000,"Low (&lt;60k)",O1062&lt;100000,"Mid (60-100k)",TRUE,"High (100k+)")</f>
        <v/>
      </c>
      <c r="W1062" s="5">
        <f>IF(M1062="No","Attrited","Active")</f>
        <v/>
      </c>
    </row>
    <row r="1063">
      <c r="A1063" s="5" t="inlineStr">
        <is>
          <t>E01062</t>
        </is>
      </c>
      <c r="B1063" s="5" t="inlineStr">
        <is>
          <t>Male</t>
        </is>
      </c>
      <c r="C1063" s="6" t="inlineStr">
        <is>
          <t>31</t>
        </is>
      </c>
      <c r="D1063" s="5" t="inlineStr">
        <is>
          <t>Single</t>
        </is>
      </c>
      <c r="E1063" s="5" t="inlineStr">
        <is>
          <t>High School</t>
        </is>
      </c>
      <c r="F1063" s="5" t="inlineStr">
        <is>
          <t>Sales</t>
        </is>
      </c>
      <c r="G1063" s="5" t="inlineStr">
        <is>
          <t>Sales Executive</t>
        </is>
      </c>
      <c r="H1063" s="5" t="inlineStr">
        <is>
          <t>1</t>
        </is>
      </c>
      <c r="I1063" s="5" t="inlineStr">
        <is>
          <t>Bengaluru</t>
        </is>
      </c>
      <c r="J1063" s="5" t="inlineStr">
        <is>
          <t>Full-Time</t>
        </is>
      </c>
      <c r="K1063" s="7" t="n">
        <v>45953</v>
      </c>
      <c r="L1063" s="7" t="inlineStr"/>
      <c r="M1063" s="5" t="inlineStr">
        <is>
          <t>Yes</t>
        </is>
      </c>
      <c r="N1063" s="5" t="inlineStr"/>
      <c r="O1063" s="8" t="inlineStr">
        <is>
          <t>63000</t>
        </is>
      </c>
      <c r="P1063" s="5" t="inlineStr">
        <is>
          <t>10</t>
        </is>
      </c>
      <c r="Q1063" s="5" t="inlineStr">
        <is>
          <t>4</t>
        </is>
      </c>
      <c r="R1063" s="5" t="inlineStr">
        <is>
          <t>5</t>
        </is>
      </c>
      <c r="S1063" s="5" t="inlineStr">
        <is>
          <t>2</t>
        </is>
      </c>
      <c r="T1063" s="5" t="inlineStr">
        <is>
          <t>5</t>
        </is>
      </c>
      <c r="U1063" s="5">
        <f>IFS(C1063&lt;30,"Under 30",C1063&lt;40,"30-39",C1063&lt;50,"40-49",TRUE,"50+")</f>
        <v/>
      </c>
      <c r="V1063" s="5">
        <f>IFS(O1063&lt;60000,"Low (&lt;60k)",O1063&lt;100000,"Mid (60-100k)",TRUE,"High (100k+)")</f>
        <v/>
      </c>
      <c r="W1063" s="5">
        <f>IF(M1063="No","Attrited","Active")</f>
        <v/>
      </c>
    </row>
    <row r="1064">
      <c r="A1064" s="5" t="inlineStr">
        <is>
          <t>E01063</t>
        </is>
      </c>
      <c r="B1064" s="5" t="inlineStr">
        <is>
          <t>Female</t>
        </is>
      </c>
      <c r="C1064" s="6" t="inlineStr">
        <is>
          <t>28</t>
        </is>
      </c>
      <c r="D1064" s="5" t="inlineStr">
        <is>
          <t>Married</t>
        </is>
      </c>
      <c r="E1064" s="5" t="inlineStr">
        <is>
          <t>High School</t>
        </is>
      </c>
      <c r="F1064" s="5" t="inlineStr">
        <is>
          <t>IT</t>
        </is>
      </c>
      <c r="G1064" s="5" t="inlineStr">
        <is>
          <t>DevOps Engineer</t>
        </is>
      </c>
      <c r="H1064" s="5" t="inlineStr">
        <is>
          <t>1</t>
        </is>
      </c>
      <c r="I1064" s="5" t="inlineStr">
        <is>
          <t>Chennai</t>
        </is>
      </c>
      <c r="J1064" s="5" t="inlineStr">
        <is>
          <t>Full-Time</t>
        </is>
      </c>
      <c r="K1064" s="7" t="n">
        <v>45340</v>
      </c>
      <c r="L1064" s="7" t="inlineStr"/>
      <c r="M1064" s="5" t="inlineStr">
        <is>
          <t>Yes</t>
        </is>
      </c>
      <c r="N1064" s="5" t="inlineStr"/>
      <c r="O1064" s="8" t="inlineStr">
        <is>
          <t>112000</t>
        </is>
      </c>
      <c r="P1064" s="5" t="inlineStr">
        <is>
          <t>10</t>
        </is>
      </c>
      <c r="Q1064" s="5" t="inlineStr">
        <is>
          <t>3</t>
        </is>
      </c>
      <c r="R1064" s="5" t="inlineStr">
        <is>
          <t>7</t>
        </is>
      </c>
      <c r="S1064" s="5" t="inlineStr">
        <is>
          <t>22</t>
        </is>
      </c>
      <c r="T1064" s="5" t="inlineStr">
        <is>
          <t>5</t>
        </is>
      </c>
      <c r="U1064" s="5">
        <f>IFS(C1064&lt;30,"Under 30",C1064&lt;40,"30-39",C1064&lt;50,"40-49",TRUE,"50+")</f>
        <v/>
      </c>
      <c r="V1064" s="5">
        <f>IFS(O1064&lt;60000,"Low (&lt;60k)",O1064&lt;100000,"Mid (60-100k)",TRUE,"High (100k+)")</f>
        <v/>
      </c>
      <c r="W1064" s="5">
        <f>IF(M1064="No","Attrited","Active")</f>
        <v/>
      </c>
    </row>
    <row r="1065">
      <c r="A1065" s="5" t="inlineStr">
        <is>
          <t>E01064</t>
        </is>
      </c>
      <c r="B1065" s="5" t="inlineStr">
        <is>
          <t>Male</t>
        </is>
      </c>
      <c r="C1065" s="6" t="inlineStr">
        <is>
          <t>23</t>
        </is>
      </c>
      <c r="D1065" s="5" t="inlineStr">
        <is>
          <t>Married</t>
        </is>
      </c>
      <c r="E1065" s="5" t="inlineStr">
        <is>
          <t>Diploma</t>
        </is>
      </c>
      <c r="F1065" s="5" t="inlineStr">
        <is>
          <t>Customer Support</t>
        </is>
      </c>
      <c r="G1065" s="5" t="inlineStr">
        <is>
          <t>Support Agent</t>
        </is>
      </c>
      <c r="H1065" s="5" t="inlineStr">
        <is>
          <t>1</t>
        </is>
      </c>
      <c r="I1065" s="5" t="inlineStr">
        <is>
          <t>Hyderabad</t>
        </is>
      </c>
      <c r="J1065" s="5" t="inlineStr">
        <is>
          <t>Full-Time</t>
        </is>
      </c>
      <c r="K1065" s="7" t="n">
        <v>44817</v>
      </c>
      <c r="L1065" s="7" t="inlineStr"/>
      <c r="M1065" s="5" t="inlineStr">
        <is>
          <t>Yes</t>
        </is>
      </c>
      <c r="N1065" s="5" t="inlineStr"/>
      <c r="O1065" s="8" t="inlineStr">
        <is>
          <t>53000</t>
        </is>
      </c>
      <c r="P1065" s="5" t="inlineStr">
        <is>
          <t>0</t>
        </is>
      </c>
      <c r="Q1065" s="5" t="inlineStr">
        <is>
          <t>5</t>
        </is>
      </c>
      <c r="R1065" s="5" t="inlineStr">
        <is>
          <t>6</t>
        </is>
      </c>
      <c r="S1065" s="5" t="inlineStr">
        <is>
          <t>40</t>
        </is>
      </c>
      <c r="T1065" s="5" t="inlineStr">
        <is>
          <t>0</t>
        </is>
      </c>
      <c r="U1065" s="5">
        <f>IFS(C1065&lt;30,"Under 30",C1065&lt;40,"30-39",C1065&lt;50,"40-49",TRUE,"50+")</f>
        <v/>
      </c>
      <c r="V1065" s="5">
        <f>IFS(O1065&lt;60000,"Low (&lt;60k)",O1065&lt;100000,"Mid (60-100k)",TRUE,"High (100k+)")</f>
        <v/>
      </c>
      <c r="W1065" s="5">
        <f>IF(M1065="No","Attrited","Active")</f>
        <v/>
      </c>
    </row>
    <row r="1066">
      <c r="A1066" s="5" t="inlineStr">
        <is>
          <t>E01065</t>
        </is>
      </c>
      <c r="B1066" s="5" t="inlineStr">
        <is>
          <t>Female</t>
        </is>
      </c>
      <c r="C1066" s="6" t="inlineStr">
        <is>
          <t>23</t>
        </is>
      </c>
      <c r="D1066" s="5" t="inlineStr">
        <is>
          <t>Single</t>
        </is>
      </c>
      <c r="E1066" s="5" t="inlineStr">
        <is>
          <t>Bachelor</t>
        </is>
      </c>
      <c r="F1066" s="5" t="inlineStr">
        <is>
          <t>Operations</t>
        </is>
      </c>
      <c r="G1066" s="5" t="inlineStr">
        <is>
          <t>Logistics Coordinator</t>
        </is>
      </c>
      <c r="H1066" s="5" t="inlineStr">
        <is>
          <t>1</t>
        </is>
      </c>
      <c r="I1066" s="5" t="inlineStr">
        <is>
          <t>Mumbai</t>
        </is>
      </c>
      <c r="J1066" s="5" t="inlineStr">
        <is>
          <t>Full-Time</t>
        </is>
      </c>
      <c r="K1066" s="7" t="n">
        <v>44226</v>
      </c>
      <c r="L1066" s="7" t="inlineStr"/>
      <c r="M1066" s="5" t="inlineStr">
        <is>
          <t>Yes</t>
        </is>
      </c>
      <c r="N1066" s="5" t="inlineStr"/>
      <c r="O1066" s="8" t="inlineStr">
        <is>
          <t>87000</t>
        </is>
      </c>
      <c r="P1066" s="5" t="inlineStr">
        <is>
          <t>5</t>
        </is>
      </c>
      <c r="Q1066" s="5" t="inlineStr">
        <is>
          <t>3</t>
        </is>
      </c>
      <c r="R1066" s="5" t="inlineStr">
        <is>
          <t>6</t>
        </is>
      </c>
      <c r="S1066" s="5" t="inlineStr">
        <is>
          <t>59</t>
        </is>
      </c>
      <c r="T1066" s="5" t="inlineStr">
        <is>
          <t>2</t>
        </is>
      </c>
      <c r="U1066" s="5">
        <f>IFS(C1066&lt;30,"Under 30",C1066&lt;40,"30-39",C1066&lt;50,"40-49",TRUE,"50+")</f>
        <v/>
      </c>
      <c r="V1066" s="5">
        <f>IFS(O1066&lt;60000,"Low (&lt;60k)",O1066&lt;100000,"Mid (60-100k)",TRUE,"High (100k+)")</f>
        <v/>
      </c>
      <c r="W1066" s="5">
        <f>IF(M1066="No","Attrited","Active")</f>
        <v/>
      </c>
    </row>
    <row r="1067">
      <c r="A1067" s="5" t="inlineStr">
        <is>
          <t>E01066</t>
        </is>
      </c>
      <c r="B1067" s="5" t="inlineStr">
        <is>
          <t>Female</t>
        </is>
      </c>
      <c r="C1067" s="6" t="inlineStr">
        <is>
          <t>30</t>
        </is>
      </c>
      <c r="D1067" s="5" t="inlineStr">
        <is>
          <t>Single</t>
        </is>
      </c>
      <c r="E1067" s="5" t="inlineStr">
        <is>
          <t>PhD</t>
        </is>
      </c>
      <c r="F1067" s="5" t="inlineStr">
        <is>
          <t>Sales</t>
        </is>
      </c>
      <c r="G1067" s="5" t="inlineStr">
        <is>
          <t>Business Development</t>
        </is>
      </c>
      <c r="H1067" s="5" t="inlineStr">
        <is>
          <t>3</t>
        </is>
      </c>
      <c r="I1067" s="5" t="inlineStr">
        <is>
          <t>Hyderabad</t>
        </is>
      </c>
      <c r="J1067" s="5" t="inlineStr">
        <is>
          <t>Part-Time</t>
        </is>
      </c>
      <c r="K1067" s="7" t="n">
        <v>43912</v>
      </c>
      <c r="L1067" s="7" t="inlineStr"/>
      <c r="M1067" s="5" t="inlineStr">
        <is>
          <t>Yes</t>
        </is>
      </c>
      <c r="N1067" s="5" t="inlineStr"/>
      <c r="O1067" s="8" t="inlineStr">
        <is>
          <t>86500</t>
        </is>
      </c>
      <c r="P1067" s="5" t="inlineStr">
        <is>
          <t>10</t>
        </is>
      </c>
      <c r="Q1067" s="5" t="inlineStr">
        <is>
          <t>5</t>
        </is>
      </c>
      <c r="R1067" s="5" t="inlineStr">
        <is>
          <t>6</t>
        </is>
      </c>
      <c r="S1067" s="5" t="inlineStr">
        <is>
          <t>70</t>
        </is>
      </c>
      <c r="T1067" s="5" t="inlineStr">
        <is>
          <t>8</t>
        </is>
      </c>
      <c r="U1067" s="5">
        <f>IFS(C1067&lt;30,"Under 30",C1067&lt;40,"30-39",C1067&lt;50,"40-49",TRUE,"50+")</f>
        <v/>
      </c>
      <c r="V1067" s="5">
        <f>IFS(O1067&lt;60000,"Low (&lt;60k)",O1067&lt;100000,"Mid (60-100k)",TRUE,"High (100k+)")</f>
        <v/>
      </c>
      <c r="W1067" s="5">
        <f>IF(M1067="No","Attrited","Active")</f>
        <v/>
      </c>
    </row>
    <row r="1068">
      <c r="A1068" s="5" t="inlineStr">
        <is>
          <t>E01067</t>
        </is>
      </c>
      <c r="B1068" s="5" t="inlineStr">
        <is>
          <t>Male</t>
        </is>
      </c>
      <c r="C1068" s="6" t="inlineStr">
        <is>
          <t>27</t>
        </is>
      </c>
      <c r="D1068" s="5" t="inlineStr">
        <is>
          <t>Married</t>
        </is>
      </c>
      <c r="E1068" s="5" t="inlineStr">
        <is>
          <t>PhD</t>
        </is>
      </c>
      <c r="F1068" s="5" t="inlineStr">
        <is>
          <t>Sales</t>
        </is>
      </c>
      <c r="G1068" s="5" t="inlineStr">
        <is>
          <t>Business Development</t>
        </is>
      </c>
      <c r="H1068" s="5" t="inlineStr">
        <is>
          <t>2</t>
        </is>
      </c>
      <c r="I1068" s="5" t="inlineStr">
        <is>
          <t>Bengaluru</t>
        </is>
      </c>
      <c r="J1068" s="5" t="inlineStr">
        <is>
          <t>Full-Time</t>
        </is>
      </c>
      <c r="K1068" s="7" t="n">
        <v>45394</v>
      </c>
      <c r="L1068" s="7" t="inlineStr"/>
      <c r="M1068" s="5" t="inlineStr">
        <is>
          <t>Yes</t>
        </is>
      </c>
      <c r="N1068" s="5" t="inlineStr"/>
      <c r="O1068" s="8" t="inlineStr">
        <is>
          <t>108000</t>
        </is>
      </c>
      <c r="P1068" s="5" t="inlineStr">
        <is>
          <t>5</t>
        </is>
      </c>
      <c r="Q1068" s="5" t="inlineStr">
        <is>
          <t>4</t>
        </is>
      </c>
      <c r="R1068" s="5" t="inlineStr">
        <is>
          <t>5</t>
        </is>
      </c>
      <c r="S1068" s="5" t="inlineStr">
        <is>
          <t>20</t>
        </is>
      </c>
      <c r="T1068" s="5" t="inlineStr">
        <is>
          <t>0</t>
        </is>
      </c>
      <c r="U1068" s="5">
        <f>IFS(C1068&lt;30,"Under 30",C1068&lt;40,"30-39",C1068&lt;50,"40-49",TRUE,"50+")</f>
        <v/>
      </c>
      <c r="V1068" s="5">
        <f>IFS(O1068&lt;60000,"Low (&lt;60k)",O1068&lt;100000,"Mid (60-100k)",TRUE,"High (100k+)")</f>
        <v/>
      </c>
      <c r="W1068" s="5">
        <f>IF(M1068="No","Attrited","Active")</f>
        <v/>
      </c>
    </row>
    <row r="1069">
      <c r="A1069" s="5" t="inlineStr">
        <is>
          <t>E01068</t>
        </is>
      </c>
      <c r="B1069" s="5" t="inlineStr">
        <is>
          <t>Female</t>
        </is>
      </c>
      <c r="C1069" s="6" t="inlineStr">
        <is>
          <t>32</t>
        </is>
      </c>
      <c r="D1069" s="5" t="inlineStr">
        <is>
          <t>Married</t>
        </is>
      </c>
      <c r="E1069" s="5" t="inlineStr">
        <is>
          <t>Bachelor</t>
        </is>
      </c>
      <c r="F1069" s="5" t="inlineStr">
        <is>
          <t>Sales</t>
        </is>
      </c>
      <c r="G1069" s="5" t="inlineStr">
        <is>
          <t>Account Executive</t>
        </is>
      </c>
      <c r="H1069" s="5" t="inlineStr">
        <is>
          <t>1</t>
        </is>
      </c>
      <c r="I1069" s="5" t="inlineStr">
        <is>
          <t>Chennai</t>
        </is>
      </c>
      <c r="J1069" s="5" t="inlineStr">
        <is>
          <t>Contract</t>
        </is>
      </c>
      <c r="K1069" s="7" t="n">
        <v>44642</v>
      </c>
      <c r="L1069" s="7" t="n">
        <v>44732</v>
      </c>
      <c r="M1069" s="5" t="inlineStr">
        <is>
          <t>No</t>
        </is>
      </c>
      <c r="N1069" s="5" t="inlineStr">
        <is>
          <t>Layoff</t>
        </is>
      </c>
      <c r="O1069" s="8" t="inlineStr">
        <is>
          <t>96500</t>
        </is>
      </c>
      <c r="P1069" s="5" t="inlineStr">
        <is>
          <t>0</t>
        </is>
      </c>
      <c r="Q1069" s="5" t="inlineStr">
        <is>
          <t>4</t>
        </is>
      </c>
      <c r="R1069" s="5" t="inlineStr">
        <is>
          <t>8</t>
        </is>
      </c>
      <c r="S1069" s="5" t="inlineStr">
        <is>
          <t>3</t>
        </is>
      </c>
      <c r="T1069" s="5" t="inlineStr">
        <is>
          <t>3</t>
        </is>
      </c>
      <c r="U1069" s="5">
        <f>IFS(C1069&lt;30,"Under 30",C1069&lt;40,"30-39",C1069&lt;50,"40-49",TRUE,"50+")</f>
        <v/>
      </c>
      <c r="V1069" s="5">
        <f>IFS(O1069&lt;60000,"Low (&lt;60k)",O1069&lt;100000,"Mid (60-100k)",TRUE,"High (100k+)")</f>
        <v/>
      </c>
      <c r="W1069" s="5">
        <f>IF(M1069="No","Attrited","Active")</f>
        <v/>
      </c>
    </row>
    <row r="1070">
      <c r="A1070" s="5" t="inlineStr">
        <is>
          <t>E01069</t>
        </is>
      </c>
      <c r="B1070" s="5" t="inlineStr">
        <is>
          <t>Male</t>
        </is>
      </c>
      <c r="C1070" s="6" t="inlineStr">
        <is>
          <t>32</t>
        </is>
      </c>
      <c r="D1070" s="5" t="inlineStr">
        <is>
          <t>Married</t>
        </is>
      </c>
      <c r="E1070" s="5" t="inlineStr">
        <is>
          <t>Diploma</t>
        </is>
      </c>
      <c r="F1070" s="5" t="inlineStr">
        <is>
          <t>Research &amp; Development</t>
        </is>
      </c>
      <c r="G1070" s="5" t="inlineStr">
        <is>
          <t>Research Scientist</t>
        </is>
      </c>
      <c r="H1070" s="5" t="inlineStr">
        <is>
          <t>5</t>
        </is>
      </c>
      <c r="I1070" s="5" t="inlineStr">
        <is>
          <t>Remote</t>
        </is>
      </c>
      <c r="J1070" s="5" t="inlineStr">
        <is>
          <t>Full-Time</t>
        </is>
      </c>
      <c r="K1070" s="7" t="n">
        <v>45375</v>
      </c>
      <c r="L1070" s="7" t="inlineStr"/>
      <c r="M1070" s="5" t="inlineStr">
        <is>
          <t>Yes</t>
        </is>
      </c>
      <c r="N1070" s="5" t="inlineStr"/>
      <c r="O1070" s="8" t="inlineStr">
        <is>
          <t>252500</t>
        </is>
      </c>
      <c r="P1070" s="5" t="inlineStr">
        <is>
          <t>0</t>
        </is>
      </c>
      <c r="Q1070" s="5" t="inlineStr">
        <is>
          <t>4</t>
        </is>
      </c>
      <c r="R1070" s="5" t="inlineStr">
        <is>
          <t>6</t>
        </is>
      </c>
      <c r="S1070" s="5" t="inlineStr">
        <is>
          <t>21</t>
        </is>
      </c>
      <c r="T1070" s="5" t="inlineStr">
        <is>
          <t>3</t>
        </is>
      </c>
      <c r="U1070" s="5">
        <f>IFS(C1070&lt;30,"Under 30",C1070&lt;40,"30-39",C1070&lt;50,"40-49",TRUE,"50+")</f>
        <v/>
      </c>
      <c r="V1070" s="5">
        <f>IFS(O1070&lt;60000,"Low (&lt;60k)",O1070&lt;100000,"Mid (60-100k)",TRUE,"High (100k+)")</f>
        <v/>
      </c>
      <c r="W1070" s="5">
        <f>IF(M1070="No","Attrited","Active")</f>
        <v/>
      </c>
    </row>
    <row r="1071">
      <c r="A1071" s="5" t="inlineStr">
        <is>
          <t>E01070</t>
        </is>
      </c>
      <c r="B1071" s="5" t="inlineStr">
        <is>
          <t>Male</t>
        </is>
      </c>
      <c r="C1071" s="6" t="inlineStr">
        <is>
          <t>29</t>
        </is>
      </c>
      <c r="D1071" s="5" t="inlineStr">
        <is>
          <t>Married</t>
        </is>
      </c>
      <c r="E1071" s="5" t="inlineStr">
        <is>
          <t>PhD</t>
        </is>
      </c>
      <c r="F1071" s="5" t="inlineStr">
        <is>
          <t>Sales</t>
        </is>
      </c>
      <c r="G1071" s="5" t="inlineStr">
        <is>
          <t>Business Development</t>
        </is>
      </c>
      <c r="H1071" s="5" t="inlineStr">
        <is>
          <t>1</t>
        </is>
      </c>
      <c r="I1071" s="5" t="inlineStr">
        <is>
          <t>Bengaluru</t>
        </is>
      </c>
      <c r="J1071" s="5" t="inlineStr">
        <is>
          <t>Full-Time</t>
        </is>
      </c>
      <c r="K1071" s="7" t="n">
        <v>44755</v>
      </c>
      <c r="L1071" s="7" t="inlineStr"/>
      <c r="M1071" s="5" t="inlineStr">
        <is>
          <t>Yes</t>
        </is>
      </c>
      <c r="N1071" s="5" t="inlineStr"/>
      <c r="O1071" s="8" t="inlineStr">
        <is>
          <t>75000</t>
        </is>
      </c>
      <c r="P1071" s="5" t="inlineStr">
        <is>
          <t>15</t>
        </is>
      </c>
      <c r="Q1071" s="5" t="inlineStr">
        <is>
          <t>5</t>
        </is>
      </c>
      <c r="R1071" s="5" t="inlineStr">
        <is>
          <t>8</t>
        </is>
      </c>
      <c r="S1071" s="5" t="inlineStr">
        <is>
          <t>42</t>
        </is>
      </c>
      <c r="T1071" s="5" t="inlineStr">
        <is>
          <t>6</t>
        </is>
      </c>
      <c r="U1071" s="5">
        <f>IFS(C1071&lt;30,"Under 30",C1071&lt;40,"30-39",C1071&lt;50,"40-49",TRUE,"50+")</f>
        <v/>
      </c>
      <c r="V1071" s="5">
        <f>IFS(O1071&lt;60000,"Low (&lt;60k)",O1071&lt;100000,"Mid (60-100k)",TRUE,"High (100k+)")</f>
        <v/>
      </c>
      <c r="W1071" s="5">
        <f>IF(M1071="No","Attrited","Active")</f>
        <v/>
      </c>
    </row>
    <row r="1072">
      <c r="A1072" s="5" t="inlineStr">
        <is>
          <t>E01071</t>
        </is>
      </c>
      <c r="B1072" s="5" t="inlineStr">
        <is>
          <t>Female</t>
        </is>
      </c>
      <c r="C1072" s="6" t="inlineStr">
        <is>
          <t>26</t>
        </is>
      </c>
      <c r="D1072" s="5" t="inlineStr">
        <is>
          <t>Single</t>
        </is>
      </c>
      <c r="E1072" s="5" t="inlineStr">
        <is>
          <t>Master</t>
        </is>
      </c>
      <c r="F1072" s="5" t="inlineStr">
        <is>
          <t>Customer Support</t>
        </is>
      </c>
      <c r="G1072" s="5" t="inlineStr">
        <is>
          <t>Support Agent</t>
        </is>
      </c>
      <c r="H1072" s="5" t="inlineStr">
        <is>
          <t>2</t>
        </is>
      </c>
      <c r="I1072" s="5" t="inlineStr">
        <is>
          <t>Hyderabad</t>
        </is>
      </c>
      <c r="J1072" s="5" t="inlineStr">
        <is>
          <t>Full-Time</t>
        </is>
      </c>
      <c r="K1072" s="7" t="n">
        <v>44527</v>
      </c>
      <c r="L1072" s="7" t="inlineStr"/>
      <c r="M1072" s="5" t="inlineStr">
        <is>
          <t>Yes</t>
        </is>
      </c>
      <c r="N1072" s="5" t="inlineStr"/>
      <c r="O1072" s="8" t="inlineStr">
        <is>
          <t>58000</t>
        </is>
      </c>
      <c r="P1072" s="5" t="inlineStr">
        <is>
          <t>10</t>
        </is>
      </c>
      <c r="Q1072" s="5" t="inlineStr">
        <is>
          <t>5</t>
        </is>
      </c>
      <c r="R1072" s="5" t="inlineStr">
        <is>
          <t>6</t>
        </is>
      </c>
      <c r="S1072" s="5" t="inlineStr">
        <is>
          <t>49</t>
        </is>
      </c>
      <c r="T1072" s="5" t="inlineStr">
        <is>
          <t>0</t>
        </is>
      </c>
      <c r="U1072" s="5">
        <f>IFS(C1072&lt;30,"Under 30",C1072&lt;40,"30-39",C1072&lt;50,"40-49",TRUE,"50+")</f>
        <v/>
      </c>
      <c r="V1072" s="5">
        <f>IFS(O1072&lt;60000,"Low (&lt;60k)",O1072&lt;100000,"Mid (60-100k)",TRUE,"High (100k+)")</f>
        <v/>
      </c>
      <c r="W1072" s="5">
        <f>IF(M1072="No","Attrited","Active")</f>
        <v/>
      </c>
    </row>
    <row r="1073">
      <c r="A1073" s="5" t="inlineStr">
        <is>
          <t>E01072</t>
        </is>
      </c>
      <c r="B1073" s="5" t="inlineStr">
        <is>
          <t>Male</t>
        </is>
      </c>
      <c r="C1073" s="6" t="inlineStr">
        <is>
          <t>31</t>
        </is>
      </c>
      <c r="D1073" s="5" t="inlineStr">
        <is>
          <t>Married</t>
        </is>
      </c>
      <c r="E1073" s="5" t="inlineStr">
        <is>
          <t>High School</t>
        </is>
      </c>
      <c r="F1073" s="5" t="inlineStr">
        <is>
          <t>IT</t>
        </is>
      </c>
      <c r="G1073" s="5" t="inlineStr">
        <is>
          <t>DevOps Engineer</t>
        </is>
      </c>
      <c r="H1073" s="5" t="inlineStr">
        <is>
          <t>2</t>
        </is>
      </c>
      <c r="I1073" s="5" t="inlineStr">
        <is>
          <t>Bengaluru</t>
        </is>
      </c>
      <c r="J1073" s="5" t="inlineStr">
        <is>
          <t>Full-Time</t>
        </is>
      </c>
      <c r="K1073" s="7" t="n">
        <v>45397</v>
      </c>
      <c r="L1073" s="7" t="inlineStr"/>
      <c r="M1073" s="5" t="inlineStr">
        <is>
          <t>Yes</t>
        </is>
      </c>
      <c r="N1073" s="5" t="inlineStr"/>
      <c r="O1073" s="8" t="inlineStr">
        <is>
          <t>96000</t>
        </is>
      </c>
      <c r="P1073" s="5" t="inlineStr">
        <is>
          <t>5</t>
        </is>
      </c>
      <c r="Q1073" s="5" t="inlineStr">
        <is>
          <t>5</t>
        </is>
      </c>
      <c r="R1073" s="5" t="inlineStr">
        <is>
          <t>9</t>
        </is>
      </c>
      <c r="S1073" s="5" t="inlineStr">
        <is>
          <t>20</t>
        </is>
      </c>
      <c r="T1073" s="5" t="inlineStr">
        <is>
          <t>7</t>
        </is>
      </c>
      <c r="U1073" s="5">
        <f>IFS(C1073&lt;30,"Under 30",C1073&lt;40,"30-39",C1073&lt;50,"40-49",TRUE,"50+")</f>
        <v/>
      </c>
      <c r="V1073" s="5">
        <f>IFS(O1073&lt;60000,"Low (&lt;60k)",O1073&lt;100000,"Mid (60-100k)",TRUE,"High (100k+)")</f>
        <v/>
      </c>
      <c r="W1073" s="5">
        <f>IF(M1073="No","Attrited","Active")</f>
        <v/>
      </c>
    </row>
    <row r="1074">
      <c r="A1074" s="5" t="inlineStr">
        <is>
          <t>E01073</t>
        </is>
      </c>
      <c r="B1074" s="5" t="inlineStr">
        <is>
          <t>Female</t>
        </is>
      </c>
      <c r="C1074" s="6" t="inlineStr">
        <is>
          <t>36</t>
        </is>
      </c>
      <c r="D1074" s="5" t="inlineStr">
        <is>
          <t>Married</t>
        </is>
      </c>
      <c r="E1074" s="5" t="inlineStr">
        <is>
          <t>Master</t>
        </is>
      </c>
      <c r="F1074" s="5" t="inlineStr">
        <is>
          <t>Operations</t>
        </is>
      </c>
      <c r="G1074" s="5" t="inlineStr">
        <is>
          <t>Operations Analyst</t>
        </is>
      </c>
      <c r="H1074" s="5" t="inlineStr">
        <is>
          <t>6</t>
        </is>
      </c>
      <c r="I1074" s="5" t="inlineStr">
        <is>
          <t>Hyderabad</t>
        </is>
      </c>
      <c r="J1074" s="5" t="inlineStr">
        <is>
          <t>Full-Time</t>
        </is>
      </c>
      <c r="K1074" s="7" t="n">
        <v>45038</v>
      </c>
      <c r="L1074" s="7" t="inlineStr"/>
      <c r="M1074" s="5" t="inlineStr">
        <is>
          <t>Yes</t>
        </is>
      </c>
      <c r="N1074" s="5" t="inlineStr"/>
      <c r="O1074" s="8" t="inlineStr">
        <is>
          <t>160000</t>
        </is>
      </c>
      <c r="P1074" s="5" t="inlineStr">
        <is>
          <t>0</t>
        </is>
      </c>
      <c r="Q1074" s="5" t="inlineStr">
        <is>
          <t>3</t>
        </is>
      </c>
      <c r="R1074" s="5" t="inlineStr">
        <is>
          <t>5</t>
        </is>
      </c>
      <c r="S1074" s="5" t="inlineStr">
        <is>
          <t>32</t>
        </is>
      </c>
      <c r="T1074" s="5" t="inlineStr">
        <is>
          <t>0</t>
        </is>
      </c>
      <c r="U1074" s="5">
        <f>IFS(C1074&lt;30,"Under 30",C1074&lt;40,"30-39",C1074&lt;50,"40-49",TRUE,"50+")</f>
        <v/>
      </c>
      <c r="V1074" s="5">
        <f>IFS(O1074&lt;60000,"Low (&lt;60k)",O1074&lt;100000,"Mid (60-100k)",TRUE,"High (100k+)")</f>
        <v/>
      </c>
      <c r="W1074" s="5">
        <f>IF(M1074="No","Attrited","Active")</f>
        <v/>
      </c>
    </row>
    <row r="1075">
      <c r="A1075" s="5" t="inlineStr">
        <is>
          <t>E01074</t>
        </is>
      </c>
      <c r="B1075" s="5" t="inlineStr">
        <is>
          <t>Male</t>
        </is>
      </c>
      <c r="C1075" s="6" t="inlineStr">
        <is>
          <t>34</t>
        </is>
      </c>
      <c r="D1075" s="5" t="inlineStr">
        <is>
          <t>Divorced</t>
        </is>
      </c>
      <c r="E1075" s="5" t="inlineStr">
        <is>
          <t>Master</t>
        </is>
      </c>
      <c r="F1075" s="5" t="inlineStr">
        <is>
          <t>Customer Support</t>
        </is>
      </c>
      <c r="G1075" s="5" t="inlineStr">
        <is>
          <t>Support Lead</t>
        </is>
      </c>
      <c r="H1075" s="5" t="inlineStr">
        <is>
          <t>3</t>
        </is>
      </c>
      <c r="I1075" s="5" t="inlineStr">
        <is>
          <t>Delhi</t>
        </is>
      </c>
      <c r="J1075" s="5" t="inlineStr">
        <is>
          <t>Full-Time</t>
        </is>
      </c>
      <c r="K1075" s="7" t="n">
        <v>44459</v>
      </c>
      <c r="L1075" s="7" t="inlineStr"/>
      <c r="M1075" s="5" t="inlineStr">
        <is>
          <t>Yes</t>
        </is>
      </c>
      <c r="N1075" s="5" t="inlineStr"/>
      <c r="O1075" s="8" t="inlineStr">
        <is>
          <t>58500</t>
        </is>
      </c>
      <c r="P1075" s="5" t="inlineStr">
        <is>
          <t>10</t>
        </is>
      </c>
      <c r="Q1075" s="5" t="inlineStr">
        <is>
          <t>4</t>
        </is>
      </c>
      <c r="R1075" s="5" t="inlineStr">
        <is>
          <t>10</t>
        </is>
      </c>
      <c r="S1075" s="5" t="inlineStr">
        <is>
          <t>52</t>
        </is>
      </c>
      <c r="T1075" s="5" t="inlineStr">
        <is>
          <t>20</t>
        </is>
      </c>
      <c r="U1075" s="5">
        <f>IFS(C1075&lt;30,"Under 30",C1075&lt;40,"30-39",C1075&lt;50,"40-49",TRUE,"50+")</f>
        <v/>
      </c>
      <c r="V1075" s="5">
        <f>IFS(O1075&lt;60000,"Low (&lt;60k)",O1075&lt;100000,"Mid (60-100k)",TRUE,"High (100k+)")</f>
        <v/>
      </c>
      <c r="W1075" s="5">
        <f>IF(M1075="No","Attrited","Active")</f>
        <v/>
      </c>
    </row>
    <row r="1076">
      <c r="A1076" s="5" t="inlineStr">
        <is>
          <t>E01075</t>
        </is>
      </c>
      <c r="B1076" s="5" t="inlineStr">
        <is>
          <t>Female</t>
        </is>
      </c>
      <c r="C1076" s="6" t="inlineStr">
        <is>
          <t>33</t>
        </is>
      </c>
      <c r="D1076" s="5" t="inlineStr">
        <is>
          <t>Married</t>
        </is>
      </c>
      <c r="E1076" s="5" t="inlineStr">
        <is>
          <t>High School</t>
        </is>
      </c>
      <c r="F1076" s="5" t="inlineStr">
        <is>
          <t>IT</t>
        </is>
      </c>
      <c r="G1076" s="5" t="inlineStr">
        <is>
          <t>Software Engineer</t>
        </is>
      </c>
      <c r="H1076" s="5" t="inlineStr">
        <is>
          <t>3</t>
        </is>
      </c>
      <c r="I1076" s="5" t="inlineStr">
        <is>
          <t>Delhi</t>
        </is>
      </c>
      <c r="J1076" s="5" t="inlineStr">
        <is>
          <t>Full-Time</t>
        </is>
      </c>
      <c r="K1076" s="7" t="n">
        <v>44418</v>
      </c>
      <c r="L1076" s="7" t="inlineStr"/>
      <c r="M1076" s="5" t="inlineStr">
        <is>
          <t>Yes</t>
        </is>
      </c>
      <c r="N1076" s="5" t="inlineStr"/>
      <c r="O1076" s="8" t="inlineStr">
        <is>
          <t>181500</t>
        </is>
      </c>
      <c r="P1076" s="5" t="inlineStr">
        <is>
          <t>5</t>
        </is>
      </c>
      <c r="Q1076" s="5" t="inlineStr">
        <is>
          <t>5</t>
        </is>
      </c>
      <c r="R1076" s="5" t="inlineStr">
        <is>
          <t>5</t>
        </is>
      </c>
      <c r="S1076" s="5" t="inlineStr">
        <is>
          <t>53</t>
        </is>
      </c>
      <c r="T1076" s="5" t="inlineStr">
        <is>
          <t>6</t>
        </is>
      </c>
      <c r="U1076" s="5">
        <f>IFS(C1076&lt;30,"Under 30",C1076&lt;40,"30-39",C1076&lt;50,"40-49",TRUE,"50+")</f>
        <v/>
      </c>
      <c r="V1076" s="5">
        <f>IFS(O1076&lt;60000,"Low (&lt;60k)",O1076&lt;100000,"Mid (60-100k)",TRUE,"High (100k+)")</f>
        <v/>
      </c>
      <c r="W1076" s="5">
        <f>IF(M1076="No","Attrited","Active")</f>
        <v/>
      </c>
    </row>
    <row r="1077">
      <c r="A1077" s="5" t="inlineStr">
        <is>
          <t>E01076</t>
        </is>
      </c>
      <c r="B1077" s="5" t="inlineStr">
        <is>
          <t>Male</t>
        </is>
      </c>
      <c r="C1077" s="6" t="inlineStr">
        <is>
          <t>28</t>
        </is>
      </c>
      <c r="D1077" s="5" t="inlineStr">
        <is>
          <t>Married</t>
        </is>
      </c>
      <c r="E1077" s="5" t="inlineStr">
        <is>
          <t>Bachelor</t>
        </is>
      </c>
      <c r="F1077" s="5" t="inlineStr">
        <is>
          <t>Marketing</t>
        </is>
      </c>
      <c r="G1077" s="5" t="inlineStr">
        <is>
          <t>Content Writer</t>
        </is>
      </c>
      <c r="H1077" s="5" t="inlineStr">
        <is>
          <t>1</t>
        </is>
      </c>
      <c r="I1077" s="5" t="inlineStr">
        <is>
          <t>Delhi</t>
        </is>
      </c>
      <c r="J1077" s="5" t="inlineStr">
        <is>
          <t>Full-Time</t>
        </is>
      </c>
      <c r="K1077" s="7" t="n">
        <v>45285</v>
      </c>
      <c r="L1077" s="7" t="n">
        <v>45370</v>
      </c>
      <c r="M1077" s="5" t="inlineStr">
        <is>
          <t>No</t>
        </is>
      </c>
      <c r="N1077" s="5" t="inlineStr">
        <is>
          <t>Resigned</t>
        </is>
      </c>
      <c r="O1077" s="8" t="inlineStr">
        <is>
          <t>62500</t>
        </is>
      </c>
      <c r="P1077" s="5" t="inlineStr">
        <is>
          <t>10</t>
        </is>
      </c>
      <c r="Q1077" s="5" t="inlineStr">
        <is>
          <t>4</t>
        </is>
      </c>
      <c r="R1077" s="5" t="inlineStr">
        <is>
          <t>7</t>
        </is>
      </c>
      <c r="S1077" s="5" t="inlineStr">
        <is>
          <t>2</t>
        </is>
      </c>
      <c r="T1077" s="5" t="inlineStr">
        <is>
          <t>10</t>
        </is>
      </c>
      <c r="U1077" s="5">
        <f>IFS(C1077&lt;30,"Under 30",C1077&lt;40,"30-39",C1077&lt;50,"40-49",TRUE,"50+")</f>
        <v/>
      </c>
      <c r="V1077" s="5">
        <f>IFS(O1077&lt;60000,"Low (&lt;60k)",O1077&lt;100000,"Mid (60-100k)",TRUE,"High (100k+)")</f>
        <v/>
      </c>
      <c r="W1077" s="5">
        <f>IF(M1077="No","Attrited","Active")</f>
        <v/>
      </c>
    </row>
    <row r="1078">
      <c r="A1078" s="5" t="inlineStr">
        <is>
          <t>E01077</t>
        </is>
      </c>
      <c r="B1078" s="5" t="inlineStr">
        <is>
          <t>Female</t>
        </is>
      </c>
      <c r="C1078" s="6" t="inlineStr">
        <is>
          <t>31</t>
        </is>
      </c>
      <c r="D1078" s="5" t="inlineStr">
        <is>
          <t>Married</t>
        </is>
      </c>
      <c r="E1078" s="5" t="inlineStr">
        <is>
          <t>Master</t>
        </is>
      </c>
      <c r="F1078" s="5" t="inlineStr">
        <is>
          <t>Research &amp; Development</t>
        </is>
      </c>
      <c r="G1078" s="5" t="inlineStr">
        <is>
          <t>Data Scientist</t>
        </is>
      </c>
      <c r="H1078" s="5" t="inlineStr">
        <is>
          <t>1</t>
        </is>
      </c>
      <c r="I1078" s="5" t="inlineStr">
        <is>
          <t>Remote</t>
        </is>
      </c>
      <c r="J1078" s="5" t="inlineStr">
        <is>
          <t>Full-Time</t>
        </is>
      </c>
      <c r="K1078" s="7" t="n">
        <v>45036</v>
      </c>
      <c r="L1078" s="7" t="n">
        <v>45130</v>
      </c>
      <c r="M1078" s="5" t="inlineStr">
        <is>
          <t>No</t>
        </is>
      </c>
      <c r="N1078" s="5" t="inlineStr">
        <is>
          <t>Resigned</t>
        </is>
      </c>
      <c r="O1078" s="8" t="inlineStr">
        <is>
          <t>124000</t>
        </is>
      </c>
      <c r="P1078" s="5" t="inlineStr">
        <is>
          <t>5</t>
        </is>
      </c>
      <c r="Q1078" s="5" t="inlineStr">
        <is>
          <t>3</t>
        </is>
      </c>
      <c r="R1078" s="5" t="inlineStr">
        <is>
          <t>9</t>
        </is>
      </c>
      <c r="S1078" s="5" t="inlineStr">
        <is>
          <t>3</t>
        </is>
      </c>
      <c r="T1078" s="5" t="inlineStr">
        <is>
          <t>0</t>
        </is>
      </c>
      <c r="U1078" s="5">
        <f>IFS(C1078&lt;30,"Under 30",C1078&lt;40,"30-39",C1078&lt;50,"40-49",TRUE,"50+")</f>
        <v/>
      </c>
      <c r="V1078" s="5">
        <f>IFS(O1078&lt;60000,"Low (&lt;60k)",O1078&lt;100000,"Mid (60-100k)",TRUE,"High (100k+)")</f>
        <v/>
      </c>
      <c r="W1078" s="5">
        <f>IF(M1078="No","Attrited","Active")</f>
        <v/>
      </c>
    </row>
    <row r="1079">
      <c r="A1079" s="5" t="inlineStr">
        <is>
          <t>E01078</t>
        </is>
      </c>
      <c r="B1079" s="5" t="inlineStr">
        <is>
          <t>Female</t>
        </is>
      </c>
      <c r="C1079" s="6" t="inlineStr">
        <is>
          <t>23</t>
        </is>
      </c>
      <c r="D1079" s="5" t="inlineStr">
        <is>
          <t>Married</t>
        </is>
      </c>
      <c r="E1079" s="5" t="inlineStr">
        <is>
          <t>High School</t>
        </is>
      </c>
      <c r="F1079" s="5" t="inlineStr">
        <is>
          <t>Finance</t>
        </is>
      </c>
      <c r="G1079" s="5" t="inlineStr">
        <is>
          <t>Accountant</t>
        </is>
      </c>
      <c r="H1079" s="5" t="inlineStr">
        <is>
          <t>1</t>
        </is>
      </c>
      <c r="I1079" s="5" t="inlineStr">
        <is>
          <t>Hyderabad</t>
        </is>
      </c>
      <c r="J1079" s="5" t="inlineStr">
        <is>
          <t>Full-Time</t>
        </is>
      </c>
      <c r="K1079" s="7" t="n">
        <v>44034</v>
      </c>
      <c r="L1079" s="7" t="n">
        <v>44173</v>
      </c>
      <c r="M1079" s="5" t="inlineStr">
        <is>
          <t>No</t>
        </is>
      </c>
      <c r="N1079" s="5" t="inlineStr">
        <is>
          <t>Resigned</t>
        </is>
      </c>
      <c r="O1079" s="8" t="inlineStr">
        <is>
          <t>96500</t>
        </is>
      </c>
      <c r="P1079" s="5" t="inlineStr">
        <is>
          <t>5</t>
        </is>
      </c>
      <c r="Q1079" s="5" t="inlineStr">
        <is>
          <t>3</t>
        </is>
      </c>
      <c r="R1079" s="5" t="inlineStr">
        <is>
          <t>6</t>
        </is>
      </c>
      <c r="S1079" s="5" t="inlineStr">
        <is>
          <t>4</t>
        </is>
      </c>
      <c r="T1079" s="5" t="inlineStr">
        <is>
          <t>3</t>
        </is>
      </c>
      <c r="U1079" s="5">
        <f>IFS(C1079&lt;30,"Under 30",C1079&lt;40,"30-39",C1079&lt;50,"40-49",TRUE,"50+")</f>
        <v/>
      </c>
      <c r="V1079" s="5">
        <f>IFS(O1079&lt;60000,"Low (&lt;60k)",O1079&lt;100000,"Mid (60-100k)",TRUE,"High (100k+)")</f>
        <v/>
      </c>
      <c r="W1079" s="5">
        <f>IF(M1079="No","Attrited","Active")</f>
        <v/>
      </c>
    </row>
    <row r="1080">
      <c r="A1080" s="5" t="inlineStr">
        <is>
          <t>E01079</t>
        </is>
      </c>
      <c r="B1080" s="5" t="inlineStr">
        <is>
          <t>Female</t>
        </is>
      </c>
      <c r="C1080" s="6" t="inlineStr">
        <is>
          <t>30</t>
        </is>
      </c>
      <c r="D1080" s="5" t="inlineStr">
        <is>
          <t>Divorced</t>
        </is>
      </c>
      <c r="E1080" s="5" t="inlineStr">
        <is>
          <t>Bachelor</t>
        </is>
      </c>
      <c r="F1080" s="5" t="inlineStr">
        <is>
          <t>Research &amp; Development</t>
        </is>
      </c>
      <c r="G1080" s="5" t="inlineStr">
        <is>
          <t>Research Scientist</t>
        </is>
      </c>
      <c r="H1080" s="5" t="inlineStr">
        <is>
          <t>1</t>
        </is>
      </c>
      <c r="I1080" s="5" t="inlineStr">
        <is>
          <t>Bengaluru</t>
        </is>
      </c>
      <c r="J1080" s="5" t="inlineStr">
        <is>
          <t>Full-Time</t>
        </is>
      </c>
      <c r="K1080" s="7" t="n">
        <v>44231</v>
      </c>
      <c r="L1080" s="7" t="n">
        <v>44291</v>
      </c>
      <c r="M1080" s="5" t="inlineStr">
        <is>
          <t>No</t>
        </is>
      </c>
      <c r="N1080" s="5" t="inlineStr">
        <is>
          <t>Relocation</t>
        </is>
      </c>
      <c r="O1080" s="8" t="inlineStr">
        <is>
          <t>116500</t>
        </is>
      </c>
      <c r="P1080" s="5" t="inlineStr">
        <is>
          <t>5</t>
        </is>
      </c>
      <c r="Q1080" s="5" t="inlineStr">
        <is>
          <t>4</t>
        </is>
      </c>
      <c r="R1080" s="5" t="inlineStr">
        <is>
          <t>4</t>
        </is>
      </c>
      <c r="S1080" s="5" t="inlineStr">
        <is>
          <t>2</t>
        </is>
      </c>
      <c r="T1080" s="5" t="inlineStr">
        <is>
          <t>4</t>
        </is>
      </c>
      <c r="U1080" s="5">
        <f>IFS(C1080&lt;30,"Under 30",C1080&lt;40,"30-39",C1080&lt;50,"40-49",TRUE,"50+")</f>
        <v/>
      </c>
      <c r="V1080" s="5">
        <f>IFS(O1080&lt;60000,"Low (&lt;60k)",O1080&lt;100000,"Mid (60-100k)",TRUE,"High (100k+)")</f>
        <v/>
      </c>
      <c r="W1080" s="5">
        <f>IF(M1080="No","Attrited","Active")</f>
        <v/>
      </c>
    </row>
    <row r="1081">
      <c r="A1081" s="5" t="inlineStr">
        <is>
          <t>E01080</t>
        </is>
      </c>
      <c r="B1081" s="5" t="inlineStr">
        <is>
          <t>Female</t>
        </is>
      </c>
      <c r="C1081" s="6" t="inlineStr">
        <is>
          <t>38</t>
        </is>
      </c>
      <c r="D1081" s="5" t="inlineStr">
        <is>
          <t>Married</t>
        </is>
      </c>
      <c r="E1081" s="5" t="inlineStr">
        <is>
          <t>High School</t>
        </is>
      </c>
      <c r="F1081" s="5" t="inlineStr">
        <is>
          <t>Sales</t>
        </is>
      </c>
      <c r="G1081" s="5" t="inlineStr">
        <is>
          <t>Business Development</t>
        </is>
      </c>
      <c r="H1081" s="5" t="inlineStr">
        <is>
          <t>3</t>
        </is>
      </c>
      <c r="I1081" s="5" t="inlineStr">
        <is>
          <t>Hyderabad</t>
        </is>
      </c>
      <c r="J1081" s="5" t="inlineStr">
        <is>
          <t>Full-Time</t>
        </is>
      </c>
      <c r="K1081" s="7" t="n">
        <v>44871</v>
      </c>
      <c r="L1081" s="7" t="inlineStr"/>
      <c r="M1081" s="5" t="inlineStr">
        <is>
          <t>Yes</t>
        </is>
      </c>
      <c r="N1081" s="5" t="inlineStr"/>
      <c r="O1081" s="8" t="inlineStr">
        <is>
          <t>130500</t>
        </is>
      </c>
      <c r="P1081" s="5" t="inlineStr">
        <is>
          <t>5</t>
        </is>
      </c>
      <c r="Q1081" s="5" t="inlineStr">
        <is>
          <t>4</t>
        </is>
      </c>
      <c r="R1081" s="5" t="inlineStr">
        <is>
          <t>5</t>
        </is>
      </c>
      <c r="S1081" s="5" t="inlineStr">
        <is>
          <t>38</t>
        </is>
      </c>
      <c r="T1081" s="5" t="inlineStr">
        <is>
          <t>1</t>
        </is>
      </c>
      <c r="U1081" s="5">
        <f>IFS(C1081&lt;30,"Under 30",C1081&lt;40,"30-39",C1081&lt;50,"40-49",TRUE,"50+")</f>
        <v/>
      </c>
      <c r="V1081" s="5">
        <f>IFS(O1081&lt;60000,"Low (&lt;60k)",O1081&lt;100000,"Mid (60-100k)",TRUE,"High (100k+)")</f>
        <v/>
      </c>
      <c r="W1081" s="5">
        <f>IF(M1081="No","Attrited","Active")</f>
        <v/>
      </c>
    </row>
    <row r="1082">
      <c r="A1082" s="5" t="inlineStr">
        <is>
          <t>E01081</t>
        </is>
      </c>
      <c r="B1082" s="5" t="inlineStr">
        <is>
          <t>Male</t>
        </is>
      </c>
      <c r="C1082" s="6" t="inlineStr">
        <is>
          <t>31</t>
        </is>
      </c>
      <c r="D1082" s="5" t="inlineStr">
        <is>
          <t>Married</t>
        </is>
      </c>
      <c r="E1082" s="5" t="inlineStr">
        <is>
          <t>Bachelor</t>
        </is>
      </c>
      <c r="F1082" s="5" t="inlineStr">
        <is>
          <t>Operations</t>
        </is>
      </c>
      <c r="G1082" s="5" t="inlineStr">
        <is>
          <t>Quality Analyst</t>
        </is>
      </c>
      <c r="H1082" s="5" t="inlineStr">
        <is>
          <t>3</t>
        </is>
      </c>
      <c r="I1082" s="5" t="inlineStr">
        <is>
          <t>Bengaluru</t>
        </is>
      </c>
      <c r="J1082" s="5" t="inlineStr">
        <is>
          <t>Full-Time</t>
        </is>
      </c>
      <c r="K1082" s="7" t="n">
        <v>44373</v>
      </c>
      <c r="L1082" s="7" t="inlineStr"/>
      <c r="M1082" s="5" t="inlineStr">
        <is>
          <t>Yes</t>
        </is>
      </c>
      <c r="N1082" s="5" t="inlineStr"/>
      <c r="O1082" s="8" t="inlineStr">
        <is>
          <t>77500</t>
        </is>
      </c>
      <c r="P1082" s="5" t="inlineStr">
        <is>
          <t>0</t>
        </is>
      </c>
      <c r="Q1082" s="5" t="inlineStr">
        <is>
          <t>5</t>
        </is>
      </c>
      <c r="R1082" s="5" t="inlineStr">
        <is>
          <t>9</t>
        </is>
      </c>
      <c r="S1082" s="5" t="inlineStr">
        <is>
          <t>54</t>
        </is>
      </c>
      <c r="T1082" s="5" t="inlineStr">
        <is>
          <t>17</t>
        </is>
      </c>
      <c r="U1082" s="5">
        <f>IFS(C1082&lt;30,"Under 30",C1082&lt;40,"30-39",C1082&lt;50,"40-49",TRUE,"50+")</f>
        <v/>
      </c>
      <c r="V1082" s="5">
        <f>IFS(O1082&lt;60000,"Low (&lt;60k)",O1082&lt;100000,"Mid (60-100k)",TRUE,"High (100k+)")</f>
        <v/>
      </c>
      <c r="W1082" s="5">
        <f>IF(M1082="No","Attrited","Active")</f>
        <v/>
      </c>
    </row>
    <row r="1083">
      <c r="A1083" s="5" t="inlineStr">
        <is>
          <t>E01082</t>
        </is>
      </c>
      <c r="B1083" s="5" t="inlineStr">
        <is>
          <t>Male</t>
        </is>
      </c>
      <c r="C1083" s="6" t="inlineStr">
        <is>
          <t>28</t>
        </is>
      </c>
      <c r="D1083" s="5" t="inlineStr">
        <is>
          <t>Married</t>
        </is>
      </c>
      <c r="E1083" s="5" t="inlineStr">
        <is>
          <t>High School</t>
        </is>
      </c>
      <c r="F1083" s="5" t="inlineStr">
        <is>
          <t>Research &amp; Development</t>
        </is>
      </c>
      <c r="G1083" s="5" t="inlineStr">
        <is>
          <t>Research Scientist</t>
        </is>
      </c>
      <c r="H1083" s="5" t="inlineStr">
        <is>
          <t>2</t>
        </is>
      </c>
      <c r="I1083" s="5" t="inlineStr">
        <is>
          <t>Mumbai</t>
        </is>
      </c>
      <c r="J1083" s="5" t="inlineStr">
        <is>
          <t>Full-Time</t>
        </is>
      </c>
      <c r="K1083" s="7" t="n">
        <v>45848</v>
      </c>
      <c r="L1083" s="7" t="inlineStr"/>
      <c r="M1083" s="5" t="inlineStr">
        <is>
          <t>Yes</t>
        </is>
      </c>
      <c r="N1083" s="5" t="inlineStr"/>
      <c r="O1083" s="8" t="inlineStr">
        <is>
          <t>132500</t>
        </is>
      </c>
      <c r="P1083" s="5" t="inlineStr">
        <is>
          <t>0</t>
        </is>
      </c>
      <c r="Q1083" s="5" t="inlineStr">
        <is>
          <t>4</t>
        </is>
      </c>
      <c r="R1083" s="5" t="inlineStr">
        <is>
          <t>6</t>
        </is>
      </c>
      <c r="S1083" s="5" t="inlineStr">
        <is>
          <t>5</t>
        </is>
      </c>
      <c r="T1083" s="5" t="inlineStr">
        <is>
          <t>4</t>
        </is>
      </c>
      <c r="U1083" s="5">
        <f>IFS(C1083&lt;30,"Under 30",C1083&lt;40,"30-39",C1083&lt;50,"40-49",TRUE,"50+")</f>
        <v/>
      </c>
      <c r="V1083" s="5">
        <f>IFS(O1083&lt;60000,"Low (&lt;60k)",O1083&lt;100000,"Mid (60-100k)",TRUE,"High (100k+)")</f>
        <v/>
      </c>
      <c r="W1083" s="5">
        <f>IF(M1083="No","Attrited","Active")</f>
        <v/>
      </c>
    </row>
    <row r="1084">
      <c r="A1084" s="5" t="inlineStr">
        <is>
          <t>E01083</t>
        </is>
      </c>
      <c r="B1084" s="5" t="inlineStr">
        <is>
          <t>Female</t>
        </is>
      </c>
      <c r="C1084" s="6" t="inlineStr">
        <is>
          <t>33</t>
        </is>
      </c>
      <c r="D1084" s="5" t="inlineStr">
        <is>
          <t>Married</t>
        </is>
      </c>
      <c r="E1084" s="5" t="inlineStr">
        <is>
          <t>High School</t>
        </is>
      </c>
      <c r="F1084" s="5" t="inlineStr">
        <is>
          <t>IT</t>
        </is>
      </c>
      <c r="G1084" s="5" t="inlineStr">
        <is>
          <t>DevOps Engineer</t>
        </is>
      </c>
      <c r="H1084" s="5" t="inlineStr">
        <is>
          <t>3</t>
        </is>
      </c>
      <c r="I1084" s="5" t="inlineStr">
        <is>
          <t>Hyderabad</t>
        </is>
      </c>
      <c r="J1084" s="5" t="inlineStr">
        <is>
          <t>Full-Time</t>
        </is>
      </c>
      <c r="K1084" s="7" t="n">
        <v>45977</v>
      </c>
      <c r="L1084" s="7" t="inlineStr"/>
      <c r="M1084" s="5" t="inlineStr">
        <is>
          <t>Yes</t>
        </is>
      </c>
      <c r="N1084" s="5" t="inlineStr"/>
      <c r="O1084" s="8" t="inlineStr">
        <is>
          <t>111500</t>
        </is>
      </c>
      <c r="P1084" s="5" t="inlineStr">
        <is>
          <t>5</t>
        </is>
      </c>
      <c r="Q1084" s="5" t="inlineStr">
        <is>
          <t>5</t>
        </is>
      </c>
      <c r="R1084" s="5" t="inlineStr">
        <is>
          <t>5</t>
        </is>
      </c>
      <c r="S1084" s="5" t="inlineStr">
        <is>
          <t>1</t>
        </is>
      </c>
      <c r="T1084" s="5" t="inlineStr">
        <is>
          <t>0</t>
        </is>
      </c>
      <c r="U1084" s="5">
        <f>IFS(C1084&lt;30,"Under 30",C1084&lt;40,"30-39",C1084&lt;50,"40-49",TRUE,"50+")</f>
        <v/>
      </c>
      <c r="V1084" s="5">
        <f>IFS(O1084&lt;60000,"Low (&lt;60k)",O1084&lt;100000,"Mid (60-100k)",TRUE,"High (100k+)")</f>
        <v/>
      </c>
      <c r="W1084" s="5">
        <f>IF(M1084="No","Attrited","Active")</f>
        <v/>
      </c>
    </row>
    <row r="1085">
      <c r="A1085" s="5" t="inlineStr">
        <is>
          <t>E01084</t>
        </is>
      </c>
      <c r="B1085" s="5" t="inlineStr">
        <is>
          <t>Female</t>
        </is>
      </c>
      <c r="C1085" s="6" t="inlineStr">
        <is>
          <t>36</t>
        </is>
      </c>
      <c r="D1085" s="5" t="inlineStr">
        <is>
          <t>Single</t>
        </is>
      </c>
      <c r="E1085" s="5" t="inlineStr">
        <is>
          <t>Diploma</t>
        </is>
      </c>
      <c r="F1085" s="5" t="inlineStr">
        <is>
          <t>Operations</t>
        </is>
      </c>
      <c r="G1085" s="5" t="inlineStr">
        <is>
          <t>Logistics Coordinator</t>
        </is>
      </c>
      <c r="H1085" s="5" t="inlineStr">
        <is>
          <t>5</t>
        </is>
      </c>
      <c r="I1085" s="5" t="inlineStr">
        <is>
          <t>Bengaluru</t>
        </is>
      </c>
      <c r="J1085" s="5" t="inlineStr">
        <is>
          <t>Full-Time</t>
        </is>
      </c>
      <c r="K1085" s="7" t="n">
        <v>44544</v>
      </c>
      <c r="L1085" s="7" t="inlineStr"/>
      <c r="M1085" s="5" t="inlineStr">
        <is>
          <t>Yes</t>
        </is>
      </c>
      <c r="N1085" s="5" t="inlineStr"/>
      <c r="O1085" s="8" t="inlineStr">
        <is>
          <t>122500</t>
        </is>
      </c>
      <c r="P1085" s="5" t="inlineStr">
        <is>
          <t>15</t>
        </is>
      </c>
      <c r="Q1085" s="5" t="inlineStr">
        <is>
          <t>3</t>
        </is>
      </c>
      <c r="R1085" s="5" t="inlineStr">
        <is>
          <t>4</t>
        </is>
      </c>
      <c r="S1085" s="5" t="inlineStr">
        <is>
          <t>49</t>
        </is>
      </c>
      <c r="T1085" s="5" t="inlineStr">
        <is>
          <t>11</t>
        </is>
      </c>
      <c r="U1085" s="5">
        <f>IFS(C1085&lt;30,"Under 30",C1085&lt;40,"30-39",C1085&lt;50,"40-49",TRUE,"50+")</f>
        <v/>
      </c>
      <c r="V1085" s="5">
        <f>IFS(O1085&lt;60000,"Low (&lt;60k)",O1085&lt;100000,"Mid (60-100k)",TRUE,"High (100k+)")</f>
        <v/>
      </c>
      <c r="W1085" s="5">
        <f>IF(M1085="No","Attrited","Active")</f>
        <v/>
      </c>
    </row>
    <row r="1086">
      <c r="A1086" s="5" t="inlineStr">
        <is>
          <t>E01085</t>
        </is>
      </c>
      <c r="B1086" s="5" t="inlineStr">
        <is>
          <t>Female</t>
        </is>
      </c>
      <c r="C1086" s="6" t="inlineStr">
        <is>
          <t>33</t>
        </is>
      </c>
      <c r="D1086" s="5" t="inlineStr">
        <is>
          <t>Single</t>
        </is>
      </c>
      <c r="E1086" s="5" t="inlineStr">
        <is>
          <t>Diploma</t>
        </is>
      </c>
      <c r="F1086" s="5" t="inlineStr">
        <is>
          <t>Finance</t>
        </is>
      </c>
      <c r="G1086" s="5" t="inlineStr">
        <is>
          <t>Credit Analyst</t>
        </is>
      </c>
      <c r="H1086" s="5" t="inlineStr">
        <is>
          <t>2</t>
        </is>
      </c>
      <c r="I1086" s="5" t="inlineStr">
        <is>
          <t>Delhi</t>
        </is>
      </c>
      <c r="J1086" s="5" t="inlineStr">
        <is>
          <t>Full-Time</t>
        </is>
      </c>
      <c r="K1086" s="7" t="n">
        <v>45772</v>
      </c>
      <c r="L1086" s="7" t="n">
        <v>45830</v>
      </c>
      <c r="M1086" s="5" t="inlineStr">
        <is>
          <t>No</t>
        </is>
      </c>
      <c r="N1086" s="5" t="inlineStr">
        <is>
          <t>Retirement</t>
        </is>
      </c>
      <c r="O1086" s="8" t="inlineStr">
        <is>
          <t>98500</t>
        </is>
      </c>
      <c r="P1086" s="5" t="inlineStr">
        <is>
          <t>0</t>
        </is>
      </c>
      <c r="Q1086" s="5" t="inlineStr">
        <is>
          <t>4</t>
        </is>
      </c>
      <c r="R1086" s="5" t="inlineStr">
        <is>
          <t>4</t>
        </is>
      </c>
      <c r="S1086" s="5" t="inlineStr">
        <is>
          <t>1</t>
        </is>
      </c>
      <c r="T1086" s="5" t="inlineStr">
        <is>
          <t>0</t>
        </is>
      </c>
      <c r="U1086" s="5">
        <f>IFS(C1086&lt;30,"Under 30",C1086&lt;40,"30-39",C1086&lt;50,"40-49",TRUE,"50+")</f>
        <v/>
      </c>
      <c r="V1086" s="5">
        <f>IFS(O1086&lt;60000,"Low (&lt;60k)",O1086&lt;100000,"Mid (60-100k)",TRUE,"High (100k+)")</f>
        <v/>
      </c>
      <c r="W1086" s="5">
        <f>IF(M1086="No","Attrited","Active")</f>
        <v/>
      </c>
    </row>
    <row r="1087">
      <c r="A1087" s="5" t="inlineStr">
        <is>
          <t>E01086</t>
        </is>
      </c>
      <c r="B1087" s="5" t="inlineStr">
        <is>
          <t>Male</t>
        </is>
      </c>
      <c r="C1087" s="6" t="inlineStr">
        <is>
          <t>34</t>
        </is>
      </c>
      <c r="D1087" s="5" t="inlineStr">
        <is>
          <t>Married</t>
        </is>
      </c>
      <c r="E1087" s="5" t="inlineStr">
        <is>
          <t>Diploma</t>
        </is>
      </c>
      <c r="F1087" s="5" t="inlineStr">
        <is>
          <t>Sales</t>
        </is>
      </c>
      <c r="G1087" s="5" t="inlineStr">
        <is>
          <t>Business Development</t>
        </is>
      </c>
      <c r="H1087" s="5" t="inlineStr">
        <is>
          <t>3</t>
        </is>
      </c>
      <c r="I1087" s="5" t="inlineStr">
        <is>
          <t>Mumbai</t>
        </is>
      </c>
      <c r="J1087" s="5" t="inlineStr">
        <is>
          <t>Contract</t>
        </is>
      </c>
      <c r="K1087" s="7" t="n">
        <v>44532</v>
      </c>
      <c r="L1087" s="7" t="n">
        <v>44658</v>
      </c>
      <c r="M1087" s="5" t="inlineStr">
        <is>
          <t>No</t>
        </is>
      </c>
      <c r="N1087" s="5" t="inlineStr">
        <is>
          <t>Resigned</t>
        </is>
      </c>
      <c r="O1087" s="8" t="inlineStr">
        <is>
          <t>108500</t>
        </is>
      </c>
      <c r="P1087" s="5" t="inlineStr">
        <is>
          <t>15</t>
        </is>
      </c>
      <c r="Q1087" s="5" t="inlineStr">
        <is>
          <t>5</t>
        </is>
      </c>
      <c r="R1087" s="5" t="inlineStr">
        <is>
          <t>6</t>
        </is>
      </c>
      <c r="S1087" s="5" t="inlineStr">
        <is>
          <t>4</t>
        </is>
      </c>
      <c r="T1087" s="5" t="inlineStr">
        <is>
          <t>0</t>
        </is>
      </c>
      <c r="U1087" s="5">
        <f>IFS(C1087&lt;30,"Under 30",C1087&lt;40,"30-39",C1087&lt;50,"40-49",TRUE,"50+")</f>
        <v/>
      </c>
      <c r="V1087" s="5">
        <f>IFS(O1087&lt;60000,"Low (&lt;60k)",O1087&lt;100000,"Mid (60-100k)",TRUE,"High (100k+)")</f>
        <v/>
      </c>
      <c r="W1087" s="5">
        <f>IF(M1087="No","Attrited","Active")</f>
        <v/>
      </c>
    </row>
    <row r="1088">
      <c r="A1088" s="5" t="inlineStr">
        <is>
          <t>E01087</t>
        </is>
      </c>
      <c r="B1088" s="5" t="inlineStr">
        <is>
          <t>Male</t>
        </is>
      </c>
      <c r="C1088" s="6" t="inlineStr">
        <is>
          <t>31</t>
        </is>
      </c>
      <c r="D1088" s="5" t="inlineStr">
        <is>
          <t>Married</t>
        </is>
      </c>
      <c r="E1088" s="5" t="inlineStr">
        <is>
          <t>PhD</t>
        </is>
      </c>
      <c r="F1088" s="5" t="inlineStr">
        <is>
          <t>Customer Support</t>
        </is>
      </c>
      <c r="G1088" s="5" t="inlineStr">
        <is>
          <t>Escalation Specialist</t>
        </is>
      </c>
      <c r="H1088" s="5" t="inlineStr">
        <is>
          <t>2</t>
        </is>
      </c>
      <c r="I1088" s="5" t="inlineStr">
        <is>
          <t>Delhi</t>
        </is>
      </c>
      <c r="J1088" s="5" t="inlineStr">
        <is>
          <t>Full-Time</t>
        </is>
      </c>
      <c r="K1088" s="7" t="n">
        <v>44197</v>
      </c>
      <c r="L1088" s="7" t="inlineStr"/>
      <c r="M1088" s="5" t="inlineStr">
        <is>
          <t>Yes</t>
        </is>
      </c>
      <c r="N1088" s="5" t="inlineStr"/>
      <c r="O1088" s="8" t="inlineStr">
        <is>
          <t>52500</t>
        </is>
      </c>
      <c r="P1088" s="5" t="inlineStr">
        <is>
          <t>0</t>
        </is>
      </c>
      <c r="Q1088" s="5" t="inlineStr">
        <is>
          <t>3</t>
        </is>
      </c>
      <c r="R1088" s="5" t="inlineStr">
        <is>
          <t>6</t>
        </is>
      </c>
      <c r="S1088" s="5" t="inlineStr">
        <is>
          <t>60</t>
        </is>
      </c>
      <c r="T1088" s="5" t="inlineStr">
        <is>
          <t>10</t>
        </is>
      </c>
      <c r="U1088" s="5">
        <f>IFS(C1088&lt;30,"Under 30",C1088&lt;40,"30-39",C1088&lt;50,"40-49",TRUE,"50+")</f>
        <v/>
      </c>
      <c r="V1088" s="5">
        <f>IFS(O1088&lt;60000,"Low (&lt;60k)",O1088&lt;100000,"Mid (60-100k)",TRUE,"High (100k+)")</f>
        <v/>
      </c>
      <c r="W1088" s="5">
        <f>IF(M1088="No","Attrited","Active")</f>
        <v/>
      </c>
    </row>
    <row r="1089">
      <c r="A1089" s="5" t="inlineStr">
        <is>
          <t>E01088</t>
        </is>
      </c>
      <c r="B1089" s="5" t="inlineStr">
        <is>
          <t>Male</t>
        </is>
      </c>
      <c r="C1089" s="6" t="inlineStr">
        <is>
          <t>36</t>
        </is>
      </c>
      <c r="D1089" s="5" t="inlineStr">
        <is>
          <t>Single</t>
        </is>
      </c>
      <c r="E1089" s="5" t="inlineStr">
        <is>
          <t>PhD</t>
        </is>
      </c>
      <c r="F1089" s="5" t="inlineStr">
        <is>
          <t>Finance</t>
        </is>
      </c>
      <c r="G1089" s="5" t="inlineStr">
        <is>
          <t>Financial Analyst</t>
        </is>
      </c>
      <c r="H1089" s="5" t="inlineStr">
        <is>
          <t>2</t>
        </is>
      </c>
      <c r="I1089" s="5" t="inlineStr">
        <is>
          <t>Remote</t>
        </is>
      </c>
      <c r="J1089" s="5" t="inlineStr">
        <is>
          <t>Part-Time</t>
        </is>
      </c>
      <c r="K1089" s="7" t="n">
        <v>44926</v>
      </c>
      <c r="L1089" s="7" t="inlineStr"/>
      <c r="M1089" s="5" t="inlineStr">
        <is>
          <t>Yes</t>
        </is>
      </c>
      <c r="N1089" s="5" t="inlineStr"/>
      <c r="O1089" s="8" t="inlineStr">
        <is>
          <t>90000</t>
        </is>
      </c>
      <c r="P1089" s="5" t="inlineStr">
        <is>
          <t>0</t>
        </is>
      </c>
      <c r="Q1089" s="5" t="inlineStr">
        <is>
          <t>3</t>
        </is>
      </c>
      <c r="R1089" s="5" t="inlineStr">
        <is>
          <t>4</t>
        </is>
      </c>
      <c r="S1089" s="5" t="inlineStr">
        <is>
          <t>36</t>
        </is>
      </c>
      <c r="T1089" s="5" t="inlineStr">
        <is>
          <t>7</t>
        </is>
      </c>
      <c r="U1089" s="5">
        <f>IFS(C1089&lt;30,"Under 30",C1089&lt;40,"30-39",C1089&lt;50,"40-49",TRUE,"50+")</f>
        <v/>
      </c>
      <c r="V1089" s="5">
        <f>IFS(O1089&lt;60000,"Low (&lt;60k)",O1089&lt;100000,"Mid (60-100k)",TRUE,"High (100k+)")</f>
        <v/>
      </c>
      <c r="W1089" s="5">
        <f>IF(M1089="No","Attrited","Active")</f>
        <v/>
      </c>
    </row>
    <row r="1090">
      <c r="A1090" s="5" t="inlineStr">
        <is>
          <t>E01089</t>
        </is>
      </c>
      <c r="B1090" s="5" t="inlineStr">
        <is>
          <t>Female</t>
        </is>
      </c>
      <c r="C1090" s="6" t="inlineStr">
        <is>
          <t>28</t>
        </is>
      </c>
      <c r="D1090" s="5" t="inlineStr">
        <is>
          <t>Divorced</t>
        </is>
      </c>
      <c r="E1090" s="5" t="inlineStr">
        <is>
          <t>Master</t>
        </is>
      </c>
      <c r="F1090" s="5" t="inlineStr">
        <is>
          <t>IT</t>
        </is>
      </c>
      <c r="G1090" s="5" t="inlineStr">
        <is>
          <t>DevOps Engineer</t>
        </is>
      </c>
      <c r="H1090" s="5" t="inlineStr">
        <is>
          <t>2</t>
        </is>
      </c>
      <c r="I1090" s="5" t="inlineStr">
        <is>
          <t>Hyderabad</t>
        </is>
      </c>
      <c r="J1090" s="5" t="inlineStr">
        <is>
          <t>Full-Time</t>
        </is>
      </c>
      <c r="K1090" s="7" t="n">
        <v>44065</v>
      </c>
      <c r="L1090" s="7" t="inlineStr"/>
      <c r="M1090" s="5" t="inlineStr">
        <is>
          <t>Yes</t>
        </is>
      </c>
      <c r="N1090" s="5" t="inlineStr"/>
      <c r="O1090" s="8" t="inlineStr">
        <is>
          <t>126500</t>
        </is>
      </c>
      <c r="P1090" s="5" t="inlineStr">
        <is>
          <t>5</t>
        </is>
      </c>
      <c r="Q1090" s="5" t="inlineStr">
        <is>
          <t>3</t>
        </is>
      </c>
      <c r="R1090" s="5" t="inlineStr">
        <is>
          <t>7</t>
        </is>
      </c>
      <c r="S1090" s="5" t="inlineStr">
        <is>
          <t>65</t>
        </is>
      </c>
      <c r="T1090" s="5" t="inlineStr">
        <is>
          <t>2</t>
        </is>
      </c>
      <c r="U1090" s="5">
        <f>IFS(C1090&lt;30,"Under 30",C1090&lt;40,"30-39",C1090&lt;50,"40-49",TRUE,"50+")</f>
        <v/>
      </c>
      <c r="V1090" s="5">
        <f>IFS(O1090&lt;60000,"Low (&lt;60k)",O1090&lt;100000,"Mid (60-100k)",TRUE,"High (100k+)")</f>
        <v/>
      </c>
      <c r="W1090" s="5">
        <f>IF(M1090="No","Attrited","Active")</f>
        <v/>
      </c>
    </row>
    <row r="1091">
      <c r="A1091" s="5" t="inlineStr">
        <is>
          <t>E01090</t>
        </is>
      </c>
      <c r="B1091" s="5" t="inlineStr">
        <is>
          <t>Male</t>
        </is>
      </c>
      <c r="C1091" s="6" t="inlineStr">
        <is>
          <t>29</t>
        </is>
      </c>
      <c r="D1091" s="5" t="inlineStr">
        <is>
          <t>Married</t>
        </is>
      </c>
      <c r="E1091" s="5" t="inlineStr">
        <is>
          <t>Diploma</t>
        </is>
      </c>
      <c r="F1091" s="5" t="inlineStr">
        <is>
          <t>Executive</t>
        </is>
      </c>
      <c r="G1091" s="5" t="inlineStr">
        <is>
          <t>CFO</t>
        </is>
      </c>
      <c r="H1091" s="5" t="inlineStr">
        <is>
          <t>3</t>
        </is>
      </c>
      <c r="I1091" s="5" t="inlineStr">
        <is>
          <t>Chennai</t>
        </is>
      </c>
      <c r="J1091" s="5" t="inlineStr">
        <is>
          <t>Part-Time</t>
        </is>
      </c>
      <c r="K1091" s="7" t="n">
        <v>45202</v>
      </c>
      <c r="L1091" s="7" t="inlineStr"/>
      <c r="M1091" s="5" t="inlineStr">
        <is>
          <t>Yes</t>
        </is>
      </c>
      <c r="N1091" s="5" t="inlineStr"/>
      <c r="O1091" s="8" t="inlineStr">
        <is>
          <t>242500</t>
        </is>
      </c>
      <c r="P1091" s="5" t="inlineStr">
        <is>
          <t>5</t>
        </is>
      </c>
      <c r="Q1091" s="5" t="inlineStr">
        <is>
          <t>5</t>
        </is>
      </c>
      <c r="R1091" s="5" t="inlineStr">
        <is>
          <t>6</t>
        </is>
      </c>
      <c r="S1091" s="5" t="inlineStr">
        <is>
          <t>27</t>
        </is>
      </c>
      <c r="T1091" s="5" t="inlineStr">
        <is>
          <t>2</t>
        </is>
      </c>
      <c r="U1091" s="5">
        <f>IFS(C1091&lt;30,"Under 30",C1091&lt;40,"30-39",C1091&lt;50,"40-49",TRUE,"50+")</f>
        <v/>
      </c>
      <c r="V1091" s="5">
        <f>IFS(O1091&lt;60000,"Low (&lt;60k)",O1091&lt;100000,"Mid (60-100k)",TRUE,"High (100k+)")</f>
        <v/>
      </c>
      <c r="W1091" s="5">
        <f>IF(M1091="No","Attrited","Active")</f>
        <v/>
      </c>
    </row>
    <row r="1092">
      <c r="A1092" s="5" t="inlineStr">
        <is>
          <t>E01091</t>
        </is>
      </c>
      <c r="B1092" s="5" t="inlineStr">
        <is>
          <t>Male</t>
        </is>
      </c>
      <c r="C1092" s="6" t="inlineStr">
        <is>
          <t>27</t>
        </is>
      </c>
      <c r="D1092" s="5" t="inlineStr">
        <is>
          <t>Married</t>
        </is>
      </c>
      <c r="E1092" s="5" t="inlineStr">
        <is>
          <t>PhD</t>
        </is>
      </c>
      <c r="F1092" s="5" t="inlineStr">
        <is>
          <t>Research &amp; Development</t>
        </is>
      </c>
      <c r="G1092" s="5" t="inlineStr">
        <is>
          <t>Data Scientist</t>
        </is>
      </c>
      <c r="H1092" s="5" t="inlineStr">
        <is>
          <t>3</t>
        </is>
      </c>
      <c r="I1092" s="5" t="inlineStr">
        <is>
          <t>Chennai</t>
        </is>
      </c>
      <c r="J1092" s="5" t="inlineStr">
        <is>
          <t>Full-Time</t>
        </is>
      </c>
      <c r="K1092" s="7" t="n">
        <v>45858</v>
      </c>
      <c r="L1092" s="7" t="n">
        <v>45896</v>
      </c>
      <c r="M1092" s="5" t="inlineStr">
        <is>
          <t>No</t>
        </is>
      </c>
      <c r="N1092" s="5" t="inlineStr">
        <is>
          <t>Resigned</t>
        </is>
      </c>
      <c r="O1092" s="8" t="inlineStr">
        <is>
          <t>137000</t>
        </is>
      </c>
      <c r="P1092" s="5" t="inlineStr">
        <is>
          <t>15</t>
        </is>
      </c>
      <c r="Q1092" s="5" t="inlineStr">
        <is>
          <t>4</t>
        </is>
      </c>
      <c r="R1092" s="5" t="inlineStr">
        <is>
          <t>10</t>
        </is>
      </c>
      <c r="S1092" s="5" t="inlineStr">
        <is>
          <t>1</t>
        </is>
      </c>
      <c r="T1092" s="5" t="inlineStr">
        <is>
          <t>8</t>
        </is>
      </c>
      <c r="U1092" s="5">
        <f>IFS(C1092&lt;30,"Under 30",C1092&lt;40,"30-39",C1092&lt;50,"40-49",TRUE,"50+")</f>
        <v/>
      </c>
      <c r="V1092" s="5">
        <f>IFS(O1092&lt;60000,"Low (&lt;60k)",O1092&lt;100000,"Mid (60-100k)",TRUE,"High (100k+)")</f>
        <v/>
      </c>
      <c r="W1092" s="5">
        <f>IF(M1092="No","Attrited","Active")</f>
        <v/>
      </c>
    </row>
    <row r="1093">
      <c r="A1093" s="5" t="inlineStr">
        <is>
          <t>E01092</t>
        </is>
      </c>
      <c r="B1093" s="5" t="inlineStr">
        <is>
          <t>Male</t>
        </is>
      </c>
      <c r="C1093" s="6" t="inlineStr">
        <is>
          <t>33</t>
        </is>
      </c>
      <c r="D1093" s="5" t="inlineStr">
        <is>
          <t>Married</t>
        </is>
      </c>
      <c r="E1093" s="5" t="inlineStr">
        <is>
          <t>Diploma</t>
        </is>
      </c>
      <c r="F1093" s="5" t="inlineStr">
        <is>
          <t>Sales</t>
        </is>
      </c>
      <c r="G1093" s="5" t="inlineStr">
        <is>
          <t>Business Development</t>
        </is>
      </c>
      <c r="H1093" s="5" t="inlineStr">
        <is>
          <t>2</t>
        </is>
      </c>
      <c r="I1093" s="5" t="inlineStr">
        <is>
          <t>Delhi</t>
        </is>
      </c>
      <c r="J1093" s="5" t="inlineStr">
        <is>
          <t>Part-Time</t>
        </is>
      </c>
      <c r="K1093" s="7" t="n">
        <v>44346</v>
      </c>
      <c r="L1093" s="7" t="inlineStr"/>
      <c r="M1093" s="5" t="inlineStr">
        <is>
          <t>Yes</t>
        </is>
      </c>
      <c r="N1093" s="5" t="inlineStr"/>
      <c r="O1093" s="8" t="inlineStr">
        <is>
          <t>74000</t>
        </is>
      </c>
      <c r="P1093" s="5" t="inlineStr">
        <is>
          <t>0</t>
        </is>
      </c>
      <c r="Q1093" s="5" t="inlineStr">
        <is>
          <t>3</t>
        </is>
      </c>
      <c r="R1093" s="5" t="inlineStr">
        <is>
          <t>6</t>
        </is>
      </c>
      <c r="S1093" s="5" t="inlineStr">
        <is>
          <t>55</t>
        </is>
      </c>
      <c r="T1093" s="5" t="inlineStr">
        <is>
          <t>0</t>
        </is>
      </c>
      <c r="U1093" s="5">
        <f>IFS(C1093&lt;30,"Under 30",C1093&lt;40,"30-39",C1093&lt;50,"40-49",TRUE,"50+")</f>
        <v/>
      </c>
      <c r="V1093" s="5">
        <f>IFS(O1093&lt;60000,"Low (&lt;60k)",O1093&lt;100000,"Mid (60-100k)",TRUE,"High (100k+)")</f>
        <v/>
      </c>
      <c r="W1093" s="5">
        <f>IF(M1093="No","Attrited","Active")</f>
        <v/>
      </c>
    </row>
    <row r="1094">
      <c r="A1094" s="5" t="inlineStr">
        <is>
          <t>E01093</t>
        </is>
      </c>
      <c r="B1094" s="5" t="inlineStr">
        <is>
          <t>Female</t>
        </is>
      </c>
      <c r="C1094" s="6" t="inlineStr">
        <is>
          <t>39</t>
        </is>
      </c>
      <c r="D1094" s="5" t="inlineStr">
        <is>
          <t>Married</t>
        </is>
      </c>
      <c r="E1094" s="5" t="inlineStr">
        <is>
          <t>Bachelor</t>
        </is>
      </c>
      <c r="F1094" s="5" t="inlineStr">
        <is>
          <t>Research &amp; Development</t>
        </is>
      </c>
      <c r="G1094" s="5" t="inlineStr">
        <is>
          <t>Product Engineer</t>
        </is>
      </c>
      <c r="H1094" s="5" t="inlineStr">
        <is>
          <t>4</t>
        </is>
      </c>
      <c r="I1094" s="5" t="inlineStr">
        <is>
          <t>Bengaluru</t>
        </is>
      </c>
      <c r="J1094" s="5" t="inlineStr">
        <is>
          <t>Full-Time</t>
        </is>
      </c>
      <c r="K1094" s="7" t="n">
        <v>45065</v>
      </c>
      <c r="L1094" s="7" t="inlineStr"/>
      <c r="M1094" s="5" t="inlineStr">
        <is>
          <t>Yes</t>
        </is>
      </c>
      <c r="N1094" s="5" t="inlineStr"/>
      <c r="O1094" s="8" t="inlineStr">
        <is>
          <t>137000</t>
        </is>
      </c>
      <c r="P1094" s="5" t="inlineStr">
        <is>
          <t>0</t>
        </is>
      </c>
      <c r="Q1094" s="5" t="inlineStr">
        <is>
          <t>4</t>
        </is>
      </c>
      <c r="R1094" s="5" t="inlineStr">
        <is>
          <t>6</t>
        </is>
      </c>
      <c r="S1094" s="5" t="inlineStr">
        <is>
          <t>31</t>
        </is>
      </c>
      <c r="T1094" s="5" t="inlineStr">
        <is>
          <t>0</t>
        </is>
      </c>
      <c r="U1094" s="5">
        <f>IFS(C1094&lt;30,"Under 30",C1094&lt;40,"30-39",C1094&lt;50,"40-49",TRUE,"50+")</f>
        <v/>
      </c>
      <c r="V1094" s="5">
        <f>IFS(O1094&lt;60000,"Low (&lt;60k)",O1094&lt;100000,"Mid (60-100k)",TRUE,"High (100k+)")</f>
        <v/>
      </c>
      <c r="W1094" s="5">
        <f>IF(M1094="No","Attrited","Active")</f>
        <v/>
      </c>
    </row>
    <row r="1095">
      <c r="A1095" s="5" t="inlineStr">
        <is>
          <t>E01094</t>
        </is>
      </c>
      <c r="B1095" s="5" t="inlineStr">
        <is>
          <t>Male</t>
        </is>
      </c>
      <c r="C1095" s="6" t="inlineStr">
        <is>
          <t>36</t>
        </is>
      </c>
      <c r="D1095" s="5" t="inlineStr">
        <is>
          <t>Married</t>
        </is>
      </c>
      <c r="E1095" s="5" t="inlineStr">
        <is>
          <t>PhD</t>
        </is>
      </c>
      <c r="F1095" s="5" t="inlineStr">
        <is>
          <t>Customer Support</t>
        </is>
      </c>
      <c r="G1095" s="5" t="inlineStr">
        <is>
          <t>Support Agent</t>
        </is>
      </c>
      <c r="H1095" s="5" t="inlineStr">
        <is>
          <t>7</t>
        </is>
      </c>
      <c r="I1095" s="5" t="inlineStr">
        <is>
          <t>Chennai</t>
        </is>
      </c>
      <c r="J1095" s="5" t="inlineStr">
        <is>
          <t>Full-Time</t>
        </is>
      </c>
      <c r="K1095" s="7" t="n">
        <v>45622</v>
      </c>
      <c r="L1095" s="7" t="inlineStr"/>
      <c r="M1095" s="5" t="inlineStr">
        <is>
          <t>Yes</t>
        </is>
      </c>
      <c r="N1095" s="5" t="inlineStr"/>
      <c r="O1095" s="8" t="inlineStr">
        <is>
          <t>96500</t>
        </is>
      </c>
      <c r="P1095" s="5" t="inlineStr">
        <is>
          <t>5</t>
        </is>
      </c>
      <c r="Q1095" s="5" t="inlineStr">
        <is>
          <t>3</t>
        </is>
      </c>
      <c r="R1095" s="5" t="inlineStr">
        <is>
          <t>5</t>
        </is>
      </c>
      <c r="S1095" s="5" t="inlineStr">
        <is>
          <t>13</t>
        </is>
      </c>
      <c r="T1095" s="5" t="inlineStr">
        <is>
          <t>23</t>
        </is>
      </c>
      <c r="U1095" s="5">
        <f>IFS(C1095&lt;30,"Under 30",C1095&lt;40,"30-39",C1095&lt;50,"40-49",TRUE,"50+")</f>
        <v/>
      </c>
      <c r="V1095" s="5">
        <f>IFS(O1095&lt;60000,"Low (&lt;60k)",O1095&lt;100000,"Mid (60-100k)",TRUE,"High (100k+)")</f>
        <v/>
      </c>
      <c r="W1095" s="5">
        <f>IF(M1095="No","Attrited","Active")</f>
        <v/>
      </c>
    </row>
    <row r="1096">
      <c r="A1096" s="5" t="inlineStr">
        <is>
          <t>E01095</t>
        </is>
      </c>
      <c r="B1096" s="5" t="inlineStr">
        <is>
          <t>Female</t>
        </is>
      </c>
      <c r="C1096" s="6" t="inlineStr">
        <is>
          <t>35</t>
        </is>
      </c>
      <c r="D1096" s="5" t="inlineStr">
        <is>
          <t>Married</t>
        </is>
      </c>
      <c r="E1096" s="5" t="inlineStr">
        <is>
          <t>Bachelor</t>
        </is>
      </c>
      <c r="F1096" s="5" t="inlineStr">
        <is>
          <t>Research &amp; Development</t>
        </is>
      </c>
      <c r="G1096" s="5" t="inlineStr">
        <is>
          <t>Research Scientist</t>
        </is>
      </c>
      <c r="H1096" s="5" t="inlineStr">
        <is>
          <t>5</t>
        </is>
      </c>
      <c r="I1096" s="5" t="inlineStr">
        <is>
          <t>Bengaluru</t>
        </is>
      </c>
      <c r="J1096" s="5" t="inlineStr">
        <is>
          <t>Full-Time</t>
        </is>
      </c>
      <c r="K1096" s="7" t="n">
        <v>44504</v>
      </c>
      <c r="L1096" s="7" t="inlineStr"/>
      <c r="M1096" s="5" t="inlineStr">
        <is>
          <t>Yes</t>
        </is>
      </c>
      <c r="N1096" s="5" t="inlineStr"/>
      <c r="O1096" s="8" t="inlineStr">
        <is>
          <t>216500</t>
        </is>
      </c>
      <c r="P1096" s="5" t="inlineStr">
        <is>
          <t>0</t>
        </is>
      </c>
      <c r="Q1096" s="5" t="inlineStr">
        <is>
          <t>4</t>
        </is>
      </c>
      <c r="R1096" s="5" t="inlineStr">
        <is>
          <t>5</t>
        </is>
      </c>
      <c r="S1096" s="5" t="inlineStr">
        <is>
          <t>50</t>
        </is>
      </c>
      <c r="T1096" s="5" t="inlineStr">
        <is>
          <t>14</t>
        </is>
      </c>
      <c r="U1096" s="5">
        <f>IFS(C1096&lt;30,"Under 30",C1096&lt;40,"30-39",C1096&lt;50,"40-49",TRUE,"50+")</f>
        <v/>
      </c>
      <c r="V1096" s="5">
        <f>IFS(O1096&lt;60000,"Low (&lt;60k)",O1096&lt;100000,"Mid (60-100k)",TRUE,"High (100k+)")</f>
        <v/>
      </c>
      <c r="W1096" s="5">
        <f>IF(M1096="No","Attrited","Active")</f>
        <v/>
      </c>
    </row>
    <row r="1097">
      <c r="A1097" s="5" t="inlineStr">
        <is>
          <t>E01096</t>
        </is>
      </c>
      <c r="B1097" s="5" t="inlineStr">
        <is>
          <t>Female</t>
        </is>
      </c>
      <c r="C1097" s="6" t="inlineStr">
        <is>
          <t>34</t>
        </is>
      </c>
      <c r="D1097" s="5" t="inlineStr">
        <is>
          <t>Divorced</t>
        </is>
      </c>
      <c r="E1097" s="5" t="inlineStr">
        <is>
          <t>High School</t>
        </is>
      </c>
      <c r="F1097" s="5" t="inlineStr">
        <is>
          <t>Sales</t>
        </is>
      </c>
      <c r="G1097" s="5" t="inlineStr">
        <is>
          <t>Sales Executive</t>
        </is>
      </c>
      <c r="H1097" s="5" t="inlineStr">
        <is>
          <t>5</t>
        </is>
      </c>
      <c r="I1097" s="5" t="inlineStr">
        <is>
          <t>Mumbai</t>
        </is>
      </c>
      <c r="J1097" s="5" t="inlineStr">
        <is>
          <t>Full-Time</t>
        </is>
      </c>
      <c r="K1097" s="7" t="n">
        <v>44186</v>
      </c>
      <c r="L1097" s="7" t="inlineStr"/>
      <c r="M1097" s="5" t="inlineStr">
        <is>
          <t>Yes</t>
        </is>
      </c>
      <c r="N1097" s="5" t="inlineStr"/>
      <c r="O1097" s="8" t="inlineStr">
        <is>
          <t>166000</t>
        </is>
      </c>
      <c r="P1097" s="5" t="inlineStr">
        <is>
          <t>5</t>
        </is>
      </c>
      <c r="Q1097" s="5" t="inlineStr">
        <is>
          <t>5</t>
        </is>
      </c>
      <c r="R1097" s="5" t="inlineStr">
        <is>
          <t>8</t>
        </is>
      </c>
      <c r="S1097" s="5" t="inlineStr">
        <is>
          <t>61</t>
        </is>
      </c>
      <c r="T1097" s="5" t="inlineStr">
        <is>
          <t>10</t>
        </is>
      </c>
      <c r="U1097" s="5">
        <f>IFS(C1097&lt;30,"Under 30",C1097&lt;40,"30-39",C1097&lt;50,"40-49",TRUE,"50+")</f>
        <v/>
      </c>
      <c r="V1097" s="5">
        <f>IFS(O1097&lt;60000,"Low (&lt;60k)",O1097&lt;100000,"Mid (60-100k)",TRUE,"High (100k+)")</f>
        <v/>
      </c>
      <c r="W1097" s="5">
        <f>IF(M1097="No","Attrited","Active")</f>
        <v/>
      </c>
    </row>
    <row r="1098">
      <c r="A1098" s="5" t="inlineStr">
        <is>
          <t>E01097</t>
        </is>
      </c>
      <c r="B1098" s="5" t="inlineStr">
        <is>
          <t>Male</t>
        </is>
      </c>
      <c r="C1098" s="6" t="inlineStr">
        <is>
          <t>30</t>
        </is>
      </c>
      <c r="D1098" s="5" t="inlineStr">
        <is>
          <t>Married</t>
        </is>
      </c>
      <c r="E1098" s="5" t="inlineStr">
        <is>
          <t>Master</t>
        </is>
      </c>
      <c r="F1098" s="5" t="inlineStr">
        <is>
          <t>IT</t>
        </is>
      </c>
      <c r="G1098" s="5" t="inlineStr">
        <is>
          <t>DevOps Engineer</t>
        </is>
      </c>
      <c r="H1098" s="5" t="inlineStr">
        <is>
          <t>1</t>
        </is>
      </c>
      <c r="I1098" s="5" t="inlineStr">
        <is>
          <t>Bengaluru</t>
        </is>
      </c>
      <c r="J1098" s="5" t="inlineStr">
        <is>
          <t>Full-Time</t>
        </is>
      </c>
      <c r="K1098" s="7" t="n">
        <v>44360</v>
      </c>
      <c r="L1098" s="7" t="inlineStr"/>
      <c r="M1098" s="5" t="inlineStr">
        <is>
          <t>Yes</t>
        </is>
      </c>
      <c r="N1098" s="5" t="inlineStr"/>
      <c r="O1098" s="8" t="inlineStr">
        <is>
          <t>147500</t>
        </is>
      </c>
      <c r="P1098" s="5" t="inlineStr">
        <is>
          <t>0</t>
        </is>
      </c>
      <c r="Q1098" s="5" t="inlineStr">
        <is>
          <t>5</t>
        </is>
      </c>
      <c r="R1098" s="5" t="inlineStr">
        <is>
          <t>2</t>
        </is>
      </c>
      <c r="S1098" s="5" t="inlineStr">
        <is>
          <t>55</t>
        </is>
      </c>
      <c r="T1098" s="5" t="inlineStr">
        <is>
          <t>0</t>
        </is>
      </c>
      <c r="U1098" s="5">
        <f>IFS(C1098&lt;30,"Under 30",C1098&lt;40,"30-39",C1098&lt;50,"40-49",TRUE,"50+")</f>
        <v/>
      </c>
      <c r="V1098" s="5">
        <f>IFS(O1098&lt;60000,"Low (&lt;60k)",O1098&lt;100000,"Mid (60-100k)",TRUE,"High (100k+)")</f>
        <v/>
      </c>
      <c r="W1098" s="5">
        <f>IF(M1098="No","Attrited","Active")</f>
        <v/>
      </c>
    </row>
    <row r="1099">
      <c r="A1099" s="5" t="inlineStr">
        <is>
          <t>E01098</t>
        </is>
      </c>
      <c r="B1099" s="5" t="inlineStr">
        <is>
          <t>Female</t>
        </is>
      </c>
      <c r="C1099" s="6" t="inlineStr">
        <is>
          <t>36</t>
        </is>
      </c>
      <c r="D1099" s="5" t="inlineStr">
        <is>
          <t>Married</t>
        </is>
      </c>
      <c r="E1099" s="5" t="inlineStr">
        <is>
          <t>PhD</t>
        </is>
      </c>
      <c r="F1099" s="5" t="inlineStr">
        <is>
          <t>Marketing</t>
        </is>
      </c>
      <c r="G1099" s="5" t="inlineStr">
        <is>
          <t>Content Writer</t>
        </is>
      </c>
      <c r="H1099" s="5" t="inlineStr">
        <is>
          <t>6</t>
        </is>
      </c>
      <c r="I1099" s="5" t="inlineStr">
        <is>
          <t>Mumbai</t>
        </is>
      </c>
      <c r="J1099" s="5" t="inlineStr">
        <is>
          <t>Full-Time</t>
        </is>
      </c>
      <c r="K1099" s="7" t="n">
        <v>45231</v>
      </c>
      <c r="L1099" s="7" t="inlineStr"/>
      <c r="M1099" s="5" t="inlineStr">
        <is>
          <t>Yes</t>
        </is>
      </c>
      <c r="N1099" s="5" t="inlineStr"/>
      <c r="O1099" s="8" t="inlineStr">
        <is>
          <t>106000</t>
        </is>
      </c>
      <c r="P1099" s="5" t="inlineStr">
        <is>
          <t>15</t>
        </is>
      </c>
      <c r="Q1099" s="5" t="inlineStr">
        <is>
          <t>3</t>
        </is>
      </c>
      <c r="R1099" s="5" t="inlineStr">
        <is>
          <t>6</t>
        </is>
      </c>
      <c r="S1099" s="5" t="inlineStr">
        <is>
          <t>26</t>
        </is>
      </c>
      <c r="T1099" s="5" t="inlineStr">
        <is>
          <t>2</t>
        </is>
      </c>
      <c r="U1099" s="5">
        <f>IFS(C1099&lt;30,"Under 30",C1099&lt;40,"30-39",C1099&lt;50,"40-49",TRUE,"50+")</f>
        <v/>
      </c>
      <c r="V1099" s="5">
        <f>IFS(O1099&lt;60000,"Low (&lt;60k)",O1099&lt;100000,"Mid (60-100k)",TRUE,"High (100k+)")</f>
        <v/>
      </c>
      <c r="W1099" s="5">
        <f>IF(M1099="No","Attrited","Active")</f>
        <v/>
      </c>
    </row>
    <row r="1100">
      <c r="A1100" s="5" t="inlineStr">
        <is>
          <t>E01099</t>
        </is>
      </c>
      <c r="B1100" s="5" t="inlineStr">
        <is>
          <t>Female</t>
        </is>
      </c>
      <c r="C1100" s="6" t="inlineStr">
        <is>
          <t>30</t>
        </is>
      </c>
      <c r="D1100" s="5" t="inlineStr">
        <is>
          <t>Single</t>
        </is>
      </c>
      <c r="E1100" s="5" t="inlineStr">
        <is>
          <t>PhD</t>
        </is>
      </c>
      <c r="F1100" s="5" t="inlineStr">
        <is>
          <t>Customer Support</t>
        </is>
      </c>
      <c r="G1100" s="5" t="inlineStr">
        <is>
          <t>Escalation Specialist</t>
        </is>
      </c>
      <c r="H1100" s="5" t="inlineStr">
        <is>
          <t>2</t>
        </is>
      </c>
      <c r="I1100" s="5" t="inlineStr">
        <is>
          <t>Chennai</t>
        </is>
      </c>
      <c r="J1100" s="5" t="inlineStr">
        <is>
          <t>Full-Time</t>
        </is>
      </c>
      <c r="K1100" s="7" t="n">
        <v>44966</v>
      </c>
      <c r="L1100" s="7" t="n">
        <v>45058</v>
      </c>
      <c r="M1100" s="5" t="inlineStr">
        <is>
          <t>No</t>
        </is>
      </c>
      <c r="N1100" s="5" t="inlineStr">
        <is>
          <t>Resigned</t>
        </is>
      </c>
      <c r="O1100" s="8" t="inlineStr">
        <is>
          <t>57500</t>
        </is>
      </c>
      <c r="P1100" s="5" t="inlineStr">
        <is>
          <t>0</t>
        </is>
      </c>
      <c r="Q1100" s="5" t="inlineStr">
        <is>
          <t>3</t>
        </is>
      </c>
      <c r="R1100" s="5" t="inlineStr">
        <is>
          <t>5</t>
        </is>
      </c>
      <c r="S1100" s="5" t="inlineStr">
        <is>
          <t>3</t>
        </is>
      </c>
      <c r="T1100" s="5" t="inlineStr">
        <is>
          <t>4</t>
        </is>
      </c>
      <c r="U1100" s="5">
        <f>IFS(C1100&lt;30,"Under 30",C1100&lt;40,"30-39",C1100&lt;50,"40-49",TRUE,"50+")</f>
        <v/>
      </c>
      <c r="V1100" s="5">
        <f>IFS(O1100&lt;60000,"Low (&lt;60k)",O1100&lt;100000,"Mid (60-100k)",TRUE,"High (100k+)")</f>
        <v/>
      </c>
      <c r="W1100" s="5">
        <f>IF(M1100="No","Attrited","Active")</f>
        <v/>
      </c>
    </row>
    <row r="1101">
      <c r="A1101" s="5" t="inlineStr">
        <is>
          <t>E01100</t>
        </is>
      </c>
      <c r="B1101" s="5" t="inlineStr">
        <is>
          <t>Female</t>
        </is>
      </c>
      <c r="C1101" s="6" t="inlineStr">
        <is>
          <t>25</t>
        </is>
      </c>
      <c r="D1101" s="5" t="inlineStr">
        <is>
          <t>Divorced</t>
        </is>
      </c>
      <c r="E1101" s="5" t="inlineStr">
        <is>
          <t>PhD</t>
        </is>
      </c>
      <c r="F1101" s="5" t="inlineStr">
        <is>
          <t>Finance</t>
        </is>
      </c>
      <c r="G1101" s="5" t="inlineStr">
        <is>
          <t>Financial Analyst</t>
        </is>
      </c>
      <c r="H1101" s="5" t="inlineStr">
        <is>
          <t>2</t>
        </is>
      </c>
      <c r="I1101" s="5" t="inlineStr">
        <is>
          <t>Delhi</t>
        </is>
      </c>
      <c r="J1101" s="5" t="inlineStr">
        <is>
          <t>Full-Time</t>
        </is>
      </c>
      <c r="K1101" s="7" t="n">
        <v>44287</v>
      </c>
      <c r="L1101" s="7" t="inlineStr"/>
      <c r="M1101" s="5" t="inlineStr">
        <is>
          <t>Yes</t>
        </is>
      </c>
      <c r="N1101" s="5" t="inlineStr"/>
      <c r="O1101" s="8" t="inlineStr">
        <is>
          <t>82000</t>
        </is>
      </c>
      <c r="P1101" s="5" t="inlineStr">
        <is>
          <t>15</t>
        </is>
      </c>
      <c r="Q1101" s="5" t="inlineStr">
        <is>
          <t>4</t>
        </is>
      </c>
      <c r="R1101" s="5" t="inlineStr">
        <is>
          <t>9</t>
        </is>
      </c>
      <c r="S1101" s="5" t="inlineStr">
        <is>
          <t>57</t>
        </is>
      </c>
      <c r="T1101" s="5" t="inlineStr">
        <is>
          <t>0</t>
        </is>
      </c>
      <c r="U1101" s="5">
        <f>IFS(C1101&lt;30,"Under 30",C1101&lt;40,"30-39",C1101&lt;50,"40-49",TRUE,"50+")</f>
        <v/>
      </c>
      <c r="V1101" s="5">
        <f>IFS(O1101&lt;60000,"Low (&lt;60k)",O1101&lt;100000,"Mid (60-100k)",TRUE,"High (100k+)")</f>
        <v/>
      </c>
      <c r="W1101" s="5">
        <f>IF(M1101="No","Attrited","Active")</f>
        <v/>
      </c>
    </row>
    <row r="1102">
      <c r="A1102" s="5" t="inlineStr">
        <is>
          <t>E01101</t>
        </is>
      </c>
      <c r="B1102" s="5" t="inlineStr">
        <is>
          <t>Female</t>
        </is>
      </c>
      <c r="C1102" s="6" t="inlineStr">
        <is>
          <t>34</t>
        </is>
      </c>
      <c r="D1102" s="5" t="inlineStr">
        <is>
          <t>Married</t>
        </is>
      </c>
      <c r="E1102" s="5" t="inlineStr">
        <is>
          <t>High School</t>
        </is>
      </c>
      <c r="F1102" s="5" t="inlineStr">
        <is>
          <t>Sales</t>
        </is>
      </c>
      <c r="G1102" s="5" t="inlineStr">
        <is>
          <t>Account Executive</t>
        </is>
      </c>
      <c r="H1102" s="5" t="inlineStr">
        <is>
          <t>2</t>
        </is>
      </c>
      <c r="I1102" s="5" t="inlineStr">
        <is>
          <t>Chennai</t>
        </is>
      </c>
      <c r="J1102" s="5" t="inlineStr">
        <is>
          <t>Full-Time</t>
        </is>
      </c>
      <c r="K1102" s="7" t="n">
        <v>45452</v>
      </c>
      <c r="L1102" s="7" t="inlineStr"/>
      <c r="M1102" s="5" t="inlineStr">
        <is>
          <t>Yes</t>
        </is>
      </c>
      <c r="N1102" s="5" t="inlineStr"/>
      <c r="O1102" s="8" t="inlineStr">
        <is>
          <t>95000</t>
        </is>
      </c>
      <c r="P1102" s="5" t="inlineStr">
        <is>
          <t>0</t>
        </is>
      </c>
      <c r="Q1102" s="5" t="inlineStr">
        <is>
          <t>3</t>
        </is>
      </c>
      <c r="R1102" s="5" t="inlineStr">
        <is>
          <t>3</t>
        </is>
      </c>
      <c r="S1102" s="5" t="inlineStr">
        <is>
          <t>19</t>
        </is>
      </c>
      <c r="T1102" s="5" t="inlineStr">
        <is>
          <t>12</t>
        </is>
      </c>
      <c r="U1102" s="5">
        <f>IFS(C1102&lt;30,"Under 30",C1102&lt;40,"30-39",C1102&lt;50,"40-49",TRUE,"50+")</f>
        <v/>
      </c>
      <c r="V1102" s="5">
        <f>IFS(O1102&lt;60000,"Low (&lt;60k)",O1102&lt;100000,"Mid (60-100k)",TRUE,"High (100k+)")</f>
        <v/>
      </c>
      <c r="W1102" s="5">
        <f>IF(M1102="No","Attrited","Active")</f>
        <v/>
      </c>
    </row>
    <row r="1103">
      <c r="A1103" s="5" t="inlineStr">
        <is>
          <t>E01102</t>
        </is>
      </c>
      <c r="B1103" s="5" t="inlineStr">
        <is>
          <t>Male</t>
        </is>
      </c>
      <c r="C1103" s="6" t="inlineStr">
        <is>
          <t>29</t>
        </is>
      </c>
      <c r="D1103" s="5" t="inlineStr">
        <is>
          <t>Married</t>
        </is>
      </c>
      <c r="E1103" s="5" t="inlineStr">
        <is>
          <t>PhD</t>
        </is>
      </c>
      <c r="F1103" s="5" t="inlineStr">
        <is>
          <t>Sales</t>
        </is>
      </c>
      <c r="G1103" s="5" t="inlineStr">
        <is>
          <t>Account Executive</t>
        </is>
      </c>
      <c r="H1103" s="5" t="inlineStr">
        <is>
          <t>4</t>
        </is>
      </c>
      <c r="I1103" s="5" t="inlineStr">
        <is>
          <t>Chennai</t>
        </is>
      </c>
      <c r="J1103" s="5" t="inlineStr">
        <is>
          <t>Full-Time</t>
        </is>
      </c>
      <c r="K1103" s="7" t="n">
        <v>45017</v>
      </c>
      <c r="L1103" s="7" t="inlineStr"/>
      <c r="M1103" s="5" t="inlineStr">
        <is>
          <t>Yes</t>
        </is>
      </c>
      <c r="N1103" s="5" t="inlineStr"/>
      <c r="O1103" s="8" t="inlineStr">
        <is>
          <t>114000</t>
        </is>
      </c>
      <c r="P1103" s="5" t="inlineStr">
        <is>
          <t>0</t>
        </is>
      </c>
      <c r="Q1103" s="5" t="inlineStr">
        <is>
          <t>5</t>
        </is>
      </c>
      <c r="R1103" s="5" t="inlineStr">
        <is>
          <t>6</t>
        </is>
      </c>
      <c r="S1103" s="5" t="inlineStr">
        <is>
          <t>33</t>
        </is>
      </c>
      <c r="T1103" s="5" t="inlineStr">
        <is>
          <t>4</t>
        </is>
      </c>
      <c r="U1103" s="5">
        <f>IFS(C1103&lt;30,"Under 30",C1103&lt;40,"30-39",C1103&lt;50,"40-49",TRUE,"50+")</f>
        <v/>
      </c>
      <c r="V1103" s="5">
        <f>IFS(O1103&lt;60000,"Low (&lt;60k)",O1103&lt;100000,"Mid (60-100k)",TRUE,"High (100k+)")</f>
        <v/>
      </c>
      <c r="W1103" s="5">
        <f>IF(M1103="No","Attrited","Active")</f>
        <v/>
      </c>
    </row>
    <row r="1104">
      <c r="A1104" s="5" t="inlineStr">
        <is>
          <t>E01103</t>
        </is>
      </c>
      <c r="B1104" s="5" t="inlineStr">
        <is>
          <t>Female</t>
        </is>
      </c>
      <c r="C1104" s="6" t="inlineStr">
        <is>
          <t>28</t>
        </is>
      </c>
      <c r="D1104" s="5" t="inlineStr">
        <is>
          <t>Single</t>
        </is>
      </c>
      <c r="E1104" s="5" t="inlineStr">
        <is>
          <t>Diploma</t>
        </is>
      </c>
      <c r="F1104" s="5" t="inlineStr">
        <is>
          <t>Marketing</t>
        </is>
      </c>
      <c r="G1104" s="5" t="inlineStr">
        <is>
          <t>SEO Specialist</t>
        </is>
      </c>
      <c r="H1104" s="5" t="inlineStr">
        <is>
          <t>1</t>
        </is>
      </c>
      <c r="I1104" s="5" t="inlineStr">
        <is>
          <t>Chennai</t>
        </is>
      </c>
      <c r="J1104" s="5" t="inlineStr">
        <is>
          <t>Full-Time</t>
        </is>
      </c>
      <c r="K1104" s="7" t="n">
        <v>44931</v>
      </c>
      <c r="L1104" s="7" t="inlineStr"/>
      <c r="M1104" s="5" t="inlineStr">
        <is>
          <t>Yes</t>
        </is>
      </c>
      <c r="N1104" s="5" t="inlineStr"/>
      <c r="O1104" s="8" t="inlineStr">
        <is>
          <t>80500</t>
        </is>
      </c>
      <c r="P1104" s="5" t="inlineStr">
        <is>
          <t>0</t>
        </is>
      </c>
      <c r="Q1104" s="5" t="inlineStr">
        <is>
          <t>3</t>
        </is>
      </c>
      <c r="R1104" s="5" t="inlineStr">
        <is>
          <t>3</t>
        </is>
      </c>
      <c r="S1104" s="5" t="inlineStr">
        <is>
          <t>36</t>
        </is>
      </c>
      <c r="T1104" s="5" t="inlineStr">
        <is>
          <t>11</t>
        </is>
      </c>
      <c r="U1104" s="5">
        <f>IFS(C1104&lt;30,"Under 30",C1104&lt;40,"30-39",C1104&lt;50,"40-49",TRUE,"50+")</f>
        <v/>
      </c>
      <c r="V1104" s="5">
        <f>IFS(O1104&lt;60000,"Low (&lt;60k)",O1104&lt;100000,"Mid (60-100k)",TRUE,"High (100k+)")</f>
        <v/>
      </c>
      <c r="W1104" s="5">
        <f>IF(M1104="No","Attrited","Active")</f>
        <v/>
      </c>
    </row>
    <row r="1105">
      <c r="A1105" s="5" t="inlineStr">
        <is>
          <t>E01104</t>
        </is>
      </c>
      <c r="B1105" s="5" t="inlineStr">
        <is>
          <t>Male</t>
        </is>
      </c>
      <c r="C1105" s="6" t="inlineStr">
        <is>
          <t>41</t>
        </is>
      </c>
      <c r="D1105" s="5" t="inlineStr">
        <is>
          <t>Married</t>
        </is>
      </c>
      <c r="E1105" s="5" t="inlineStr">
        <is>
          <t>Bachelor</t>
        </is>
      </c>
      <c r="F1105" s="5" t="inlineStr">
        <is>
          <t>Customer Support</t>
        </is>
      </c>
      <c r="G1105" s="5" t="inlineStr">
        <is>
          <t>Support Agent</t>
        </is>
      </c>
      <c r="H1105" s="5" t="inlineStr">
        <is>
          <t>5</t>
        </is>
      </c>
      <c r="I1105" s="5" t="inlineStr">
        <is>
          <t>Chennai</t>
        </is>
      </c>
      <c r="J1105" s="5" t="inlineStr">
        <is>
          <t>Full-Time</t>
        </is>
      </c>
      <c r="K1105" s="7" t="n">
        <v>44629</v>
      </c>
      <c r="L1105" s="7" t="n">
        <v>44732</v>
      </c>
      <c r="M1105" s="5" t="inlineStr">
        <is>
          <t>No</t>
        </is>
      </c>
      <c r="N1105" s="5" t="inlineStr">
        <is>
          <t>Resigned</t>
        </is>
      </c>
      <c r="O1105" s="8" t="inlineStr">
        <is>
          <t>69000</t>
        </is>
      </c>
      <c r="P1105" s="5" t="inlineStr">
        <is>
          <t>20</t>
        </is>
      </c>
      <c r="Q1105" s="5" t="inlineStr">
        <is>
          <t>4</t>
        </is>
      </c>
      <c r="R1105" s="5" t="inlineStr">
        <is>
          <t>10</t>
        </is>
      </c>
      <c r="S1105" s="5" t="inlineStr">
        <is>
          <t>3</t>
        </is>
      </c>
      <c r="T1105" s="5" t="inlineStr">
        <is>
          <t>3</t>
        </is>
      </c>
      <c r="U1105" s="5">
        <f>IFS(C1105&lt;30,"Under 30",C1105&lt;40,"30-39",C1105&lt;50,"40-49",TRUE,"50+")</f>
        <v/>
      </c>
      <c r="V1105" s="5">
        <f>IFS(O1105&lt;60000,"Low (&lt;60k)",O1105&lt;100000,"Mid (60-100k)",TRUE,"High (100k+)")</f>
        <v/>
      </c>
      <c r="W1105" s="5">
        <f>IF(M1105="No","Attrited","Active")</f>
        <v/>
      </c>
    </row>
    <row r="1106">
      <c r="A1106" s="5" t="inlineStr">
        <is>
          <t>E01105</t>
        </is>
      </c>
      <c r="B1106" s="5" t="inlineStr">
        <is>
          <t>Female</t>
        </is>
      </c>
      <c r="C1106" s="6" t="inlineStr">
        <is>
          <t>32</t>
        </is>
      </c>
      <c r="D1106" s="5" t="inlineStr">
        <is>
          <t>Married</t>
        </is>
      </c>
      <c r="E1106" s="5" t="inlineStr">
        <is>
          <t>Bachelor</t>
        </is>
      </c>
      <c r="F1106" s="5" t="inlineStr">
        <is>
          <t>Customer Support</t>
        </is>
      </c>
      <c r="G1106" s="5" t="inlineStr">
        <is>
          <t>Support Lead</t>
        </is>
      </c>
      <c r="H1106" s="5" t="inlineStr">
        <is>
          <t>1</t>
        </is>
      </c>
      <c r="I1106" s="5" t="inlineStr">
        <is>
          <t>Chennai</t>
        </is>
      </c>
      <c r="J1106" s="5" t="inlineStr">
        <is>
          <t>Full-Time</t>
        </is>
      </c>
      <c r="K1106" s="7" t="n">
        <v>44819</v>
      </c>
      <c r="L1106" s="7" t="inlineStr"/>
      <c r="M1106" s="5" t="inlineStr">
        <is>
          <t>Yes</t>
        </is>
      </c>
      <c r="N1106" s="5" t="inlineStr"/>
      <c r="O1106" s="8" t="inlineStr">
        <is>
          <t>56500</t>
        </is>
      </c>
      <c r="P1106" s="5" t="inlineStr">
        <is>
          <t>0</t>
        </is>
      </c>
      <c r="Q1106" s="5" t="inlineStr">
        <is>
          <t>2</t>
        </is>
      </c>
      <c r="R1106" s="5" t="inlineStr">
        <is>
          <t>7</t>
        </is>
      </c>
      <c r="S1106" s="5" t="inlineStr">
        <is>
          <t>40</t>
        </is>
      </c>
      <c r="T1106" s="5" t="inlineStr">
        <is>
          <t>0</t>
        </is>
      </c>
      <c r="U1106" s="5">
        <f>IFS(C1106&lt;30,"Under 30",C1106&lt;40,"30-39",C1106&lt;50,"40-49",TRUE,"50+")</f>
        <v/>
      </c>
      <c r="V1106" s="5">
        <f>IFS(O1106&lt;60000,"Low (&lt;60k)",O1106&lt;100000,"Mid (60-100k)",TRUE,"High (100k+)")</f>
        <v/>
      </c>
      <c r="W1106" s="5">
        <f>IF(M1106="No","Attrited","Active")</f>
        <v/>
      </c>
    </row>
    <row r="1107">
      <c r="A1107" s="5" t="inlineStr">
        <is>
          <t>E01106</t>
        </is>
      </c>
      <c r="B1107" s="5" t="inlineStr">
        <is>
          <t>Male</t>
        </is>
      </c>
      <c r="C1107" s="6" t="inlineStr">
        <is>
          <t>25</t>
        </is>
      </c>
      <c r="D1107" s="5" t="inlineStr">
        <is>
          <t>Married</t>
        </is>
      </c>
      <c r="E1107" s="5" t="inlineStr">
        <is>
          <t>High School</t>
        </is>
      </c>
      <c r="F1107" s="5" t="inlineStr">
        <is>
          <t>Sales</t>
        </is>
      </c>
      <c r="G1107" s="5" t="inlineStr">
        <is>
          <t>Account Executive</t>
        </is>
      </c>
      <c r="H1107" s="5" t="inlineStr">
        <is>
          <t>2</t>
        </is>
      </c>
      <c r="I1107" s="5" t="inlineStr">
        <is>
          <t>Remote</t>
        </is>
      </c>
      <c r="J1107" s="5" t="inlineStr">
        <is>
          <t>Full-Time</t>
        </is>
      </c>
      <c r="K1107" s="7" t="n">
        <v>45295</v>
      </c>
      <c r="L1107" s="7" t="inlineStr"/>
      <c r="M1107" s="5" t="inlineStr">
        <is>
          <t>Yes</t>
        </is>
      </c>
      <c r="N1107" s="5" t="inlineStr"/>
      <c r="O1107" s="8" t="inlineStr">
        <is>
          <t>110500</t>
        </is>
      </c>
      <c r="P1107" s="5" t="inlineStr">
        <is>
          <t>5</t>
        </is>
      </c>
      <c r="Q1107" s="5" t="inlineStr">
        <is>
          <t>2</t>
        </is>
      </c>
      <c r="R1107" s="5" t="inlineStr">
        <is>
          <t>3</t>
        </is>
      </c>
      <c r="S1107" s="5" t="inlineStr">
        <is>
          <t>24</t>
        </is>
      </c>
      <c r="T1107" s="5" t="inlineStr">
        <is>
          <t>0</t>
        </is>
      </c>
      <c r="U1107" s="5">
        <f>IFS(C1107&lt;30,"Under 30",C1107&lt;40,"30-39",C1107&lt;50,"40-49",TRUE,"50+")</f>
        <v/>
      </c>
      <c r="V1107" s="5">
        <f>IFS(O1107&lt;60000,"Low (&lt;60k)",O1107&lt;100000,"Mid (60-100k)",TRUE,"High (100k+)")</f>
        <v/>
      </c>
      <c r="W1107" s="5">
        <f>IF(M1107="No","Attrited","Active")</f>
        <v/>
      </c>
    </row>
    <row r="1108">
      <c r="A1108" s="5" t="inlineStr">
        <is>
          <t>E01107</t>
        </is>
      </c>
      <c r="B1108" s="5" t="inlineStr">
        <is>
          <t>Male</t>
        </is>
      </c>
      <c r="C1108" s="6" t="inlineStr">
        <is>
          <t>30</t>
        </is>
      </c>
      <c r="D1108" s="5" t="inlineStr">
        <is>
          <t>Married</t>
        </is>
      </c>
      <c r="E1108" s="5" t="inlineStr">
        <is>
          <t>Diploma</t>
        </is>
      </c>
      <c r="F1108" s="5" t="inlineStr">
        <is>
          <t>IT</t>
        </is>
      </c>
      <c r="G1108" s="5" t="inlineStr">
        <is>
          <t>IT Support</t>
        </is>
      </c>
      <c r="H1108" s="5" t="inlineStr">
        <is>
          <t>1</t>
        </is>
      </c>
      <c r="I1108" s="5" t="inlineStr">
        <is>
          <t>Bengaluru</t>
        </is>
      </c>
      <c r="J1108" s="5" t="inlineStr">
        <is>
          <t>Full-Time</t>
        </is>
      </c>
      <c r="K1108" s="7" t="n">
        <v>45797</v>
      </c>
      <c r="L1108" s="7" t="inlineStr"/>
      <c r="M1108" s="5" t="inlineStr">
        <is>
          <t>Yes</t>
        </is>
      </c>
      <c r="N1108" s="5" t="inlineStr"/>
      <c r="O1108" s="8" t="inlineStr">
        <is>
          <t>96500</t>
        </is>
      </c>
      <c r="P1108" s="5" t="inlineStr">
        <is>
          <t>0</t>
        </is>
      </c>
      <c r="Q1108" s="5" t="inlineStr">
        <is>
          <t>4</t>
        </is>
      </c>
      <c r="R1108" s="5" t="inlineStr">
        <is>
          <t>8</t>
        </is>
      </c>
      <c r="S1108" s="5" t="inlineStr">
        <is>
          <t>7</t>
        </is>
      </c>
      <c r="T1108" s="5" t="inlineStr">
        <is>
          <t>8</t>
        </is>
      </c>
      <c r="U1108" s="5">
        <f>IFS(C1108&lt;30,"Under 30",C1108&lt;40,"30-39",C1108&lt;50,"40-49",TRUE,"50+")</f>
        <v/>
      </c>
      <c r="V1108" s="5">
        <f>IFS(O1108&lt;60000,"Low (&lt;60k)",O1108&lt;100000,"Mid (60-100k)",TRUE,"High (100k+)")</f>
        <v/>
      </c>
      <c r="W1108" s="5">
        <f>IF(M1108="No","Attrited","Active")</f>
        <v/>
      </c>
    </row>
    <row r="1109">
      <c r="A1109" s="5" t="inlineStr">
        <is>
          <t>E01108</t>
        </is>
      </c>
      <c r="B1109" s="5" t="inlineStr">
        <is>
          <t>Male</t>
        </is>
      </c>
      <c r="C1109" s="6" t="inlineStr">
        <is>
          <t>34</t>
        </is>
      </c>
      <c r="D1109" s="5" t="inlineStr">
        <is>
          <t>Single</t>
        </is>
      </c>
      <c r="E1109" s="5" t="inlineStr">
        <is>
          <t>Diploma</t>
        </is>
      </c>
      <c r="F1109" s="5" t="inlineStr">
        <is>
          <t>Operations</t>
        </is>
      </c>
      <c r="G1109" s="5" t="inlineStr">
        <is>
          <t>Quality Analyst</t>
        </is>
      </c>
      <c r="H1109" s="5" t="inlineStr">
        <is>
          <t>4</t>
        </is>
      </c>
      <c r="I1109" s="5" t="inlineStr">
        <is>
          <t>Bengaluru</t>
        </is>
      </c>
      <c r="J1109" s="5" t="inlineStr">
        <is>
          <t>Full-Time</t>
        </is>
      </c>
      <c r="K1109" s="7" t="n">
        <v>44174</v>
      </c>
      <c r="L1109" s="7" t="n">
        <v>44293</v>
      </c>
      <c r="M1109" s="5" t="inlineStr">
        <is>
          <t>No</t>
        </is>
      </c>
      <c r="N1109" s="5" t="inlineStr">
        <is>
          <t>Resigned</t>
        </is>
      </c>
      <c r="O1109" s="8" t="inlineStr">
        <is>
          <t>88500</t>
        </is>
      </c>
      <c r="P1109" s="5" t="inlineStr">
        <is>
          <t>20</t>
        </is>
      </c>
      <c r="Q1109" s="5" t="inlineStr">
        <is>
          <t>5</t>
        </is>
      </c>
      <c r="R1109" s="5" t="inlineStr">
        <is>
          <t>6</t>
        </is>
      </c>
      <c r="S1109" s="5" t="inlineStr">
        <is>
          <t>3</t>
        </is>
      </c>
      <c r="T1109" s="5" t="inlineStr">
        <is>
          <t>8</t>
        </is>
      </c>
      <c r="U1109" s="5">
        <f>IFS(C1109&lt;30,"Under 30",C1109&lt;40,"30-39",C1109&lt;50,"40-49",TRUE,"50+")</f>
        <v/>
      </c>
      <c r="V1109" s="5">
        <f>IFS(O1109&lt;60000,"Low (&lt;60k)",O1109&lt;100000,"Mid (60-100k)",TRUE,"High (100k+)")</f>
        <v/>
      </c>
      <c r="W1109" s="5">
        <f>IF(M1109="No","Attrited","Active")</f>
        <v/>
      </c>
    </row>
    <row r="1110">
      <c r="A1110" s="5" t="inlineStr">
        <is>
          <t>E01109</t>
        </is>
      </c>
      <c r="B1110" s="5" t="inlineStr">
        <is>
          <t>Female</t>
        </is>
      </c>
      <c r="C1110" s="6" t="inlineStr">
        <is>
          <t>31</t>
        </is>
      </c>
      <c r="D1110" s="5" t="inlineStr">
        <is>
          <t>Married</t>
        </is>
      </c>
      <c r="E1110" s="5" t="inlineStr">
        <is>
          <t>Bachelor</t>
        </is>
      </c>
      <c r="F1110" s="5" t="inlineStr">
        <is>
          <t>Research &amp; Development</t>
        </is>
      </c>
      <c r="G1110" s="5" t="inlineStr">
        <is>
          <t>Research Scientist</t>
        </is>
      </c>
      <c r="H1110" s="5" t="inlineStr">
        <is>
          <t>1</t>
        </is>
      </c>
      <c r="I1110" s="5" t="inlineStr">
        <is>
          <t>Chennai</t>
        </is>
      </c>
      <c r="J1110" s="5" t="inlineStr">
        <is>
          <t>Full-Time</t>
        </is>
      </c>
      <c r="K1110" s="7" t="n">
        <v>45068</v>
      </c>
      <c r="L1110" s="7" t="inlineStr"/>
      <c r="M1110" s="5" t="inlineStr">
        <is>
          <t>Yes</t>
        </is>
      </c>
      <c r="N1110" s="5" t="inlineStr"/>
      <c r="O1110" s="8" t="inlineStr">
        <is>
          <t>153000</t>
        </is>
      </c>
      <c r="P1110" s="5" t="inlineStr">
        <is>
          <t>0</t>
        </is>
      </c>
      <c r="Q1110" s="5" t="inlineStr">
        <is>
          <t>3</t>
        </is>
      </c>
      <c r="R1110" s="5" t="inlineStr">
        <is>
          <t>6</t>
        </is>
      </c>
      <c r="S1110" s="5" t="inlineStr">
        <is>
          <t>31</t>
        </is>
      </c>
      <c r="T1110" s="5" t="inlineStr">
        <is>
          <t>7</t>
        </is>
      </c>
      <c r="U1110" s="5">
        <f>IFS(C1110&lt;30,"Under 30",C1110&lt;40,"30-39",C1110&lt;50,"40-49",TRUE,"50+")</f>
        <v/>
      </c>
      <c r="V1110" s="5">
        <f>IFS(O1110&lt;60000,"Low (&lt;60k)",O1110&lt;100000,"Mid (60-100k)",TRUE,"High (100k+)")</f>
        <v/>
      </c>
      <c r="W1110" s="5">
        <f>IF(M1110="No","Attrited","Active")</f>
        <v/>
      </c>
    </row>
    <row r="1111">
      <c r="A1111" s="5" t="inlineStr">
        <is>
          <t>E01110</t>
        </is>
      </c>
      <c r="B1111" s="5" t="inlineStr">
        <is>
          <t>Male</t>
        </is>
      </c>
      <c r="C1111" s="6" t="inlineStr">
        <is>
          <t>42</t>
        </is>
      </c>
      <c r="D1111" s="5" t="inlineStr">
        <is>
          <t>Married</t>
        </is>
      </c>
      <c r="E1111" s="5" t="inlineStr">
        <is>
          <t>Master</t>
        </is>
      </c>
      <c r="F1111" s="5" t="inlineStr">
        <is>
          <t>Human Resources</t>
        </is>
      </c>
      <c r="G1111" s="5" t="inlineStr">
        <is>
          <t>HR Generalist</t>
        </is>
      </c>
      <c r="H1111" s="5" t="inlineStr">
        <is>
          <t>5</t>
        </is>
      </c>
      <c r="I1111" s="5" t="inlineStr">
        <is>
          <t>Hyderabad</t>
        </is>
      </c>
      <c r="J1111" s="5" t="inlineStr">
        <is>
          <t>Full-Time</t>
        </is>
      </c>
      <c r="K1111" s="7" t="n">
        <v>44117</v>
      </c>
      <c r="L1111" s="7" t="inlineStr"/>
      <c r="M1111" s="5" t="inlineStr">
        <is>
          <t>Yes</t>
        </is>
      </c>
      <c r="N1111" s="5" t="inlineStr"/>
      <c r="O1111" s="8" t="inlineStr">
        <is>
          <t>120000</t>
        </is>
      </c>
      <c r="P1111" s="5" t="inlineStr">
        <is>
          <t>10</t>
        </is>
      </c>
      <c r="Q1111" s="5" t="inlineStr">
        <is>
          <t>4</t>
        </is>
      </c>
      <c r="R1111" s="5" t="inlineStr">
        <is>
          <t>7</t>
        </is>
      </c>
      <c r="S1111" s="5" t="inlineStr">
        <is>
          <t>63</t>
        </is>
      </c>
      <c r="T1111" s="5" t="inlineStr">
        <is>
          <t>0</t>
        </is>
      </c>
      <c r="U1111" s="5">
        <f>IFS(C1111&lt;30,"Under 30",C1111&lt;40,"30-39",C1111&lt;50,"40-49",TRUE,"50+")</f>
        <v/>
      </c>
      <c r="V1111" s="5">
        <f>IFS(O1111&lt;60000,"Low (&lt;60k)",O1111&lt;100000,"Mid (60-100k)",TRUE,"High (100k+)")</f>
        <v/>
      </c>
      <c r="W1111" s="5">
        <f>IF(M1111="No","Attrited","Active")</f>
        <v/>
      </c>
    </row>
    <row r="1112">
      <c r="A1112" s="5" t="inlineStr">
        <is>
          <t>E01111</t>
        </is>
      </c>
      <c r="B1112" s="5" t="inlineStr">
        <is>
          <t>Female</t>
        </is>
      </c>
      <c r="C1112" s="6" t="inlineStr">
        <is>
          <t>33</t>
        </is>
      </c>
      <c r="D1112" s="5" t="inlineStr">
        <is>
          <t>Divorced</t>
        </is>
      </c>
      <c r="E1112" s="5" t="inlineStr">
        <is>
          <t>Master</t>
        </is>
      </c>
      <c r="F1112" s="5" t="inlineStr">
        <is>
          <t>Human Resources</t>
        </is>
      </c>
      <c r="G1112" s="5" t="inlineStr">
        <is>
          <t>HR Generalist</t>
        </is>
      </c>
      <c r="H1112" s="5" t="inlineStr">
        <is>
          <t>1</t>
        </is>
      </c>
      <c r="I1112" s="5" t="inlineStr">
        <is>
          <t>Bengaluru</t>
        </is>
      </c>
      <c r="J1112" s="5" t="inlineStr">
        <is>
          <t>Full-Time</t>
        </is>
      </c>
      <c r="K1112" s="7" t="n">
        <v>44297</v>
      </c>
      <c r="L1112" s="7" t="inlineStr"/>
      <c r="M1112" s="5" t="inlineStr">
        <is>
          <t>Yes</t>
        </is>
      </c>
      <c r="N1112" s="5" t="inlineStr"/>
      <c r="O1112" s="8" t="inlineStr">
        <is>
          <t>85500</t>
        </is>
      </c>
      <c r="P1112" s="5" t="inlineStr">
        <is>
          <t>5</t>
        </is>
      </c>
      <c r="Q1112" s="5" t="inlineStr">
        <is>
          <t>4</t>
        </is>
      </c>
      <c r="R1112" s="5" t="inlineStr">
        <is>
          <t>6</t>
        </is>
      </c>
      <c r="S1112" s="5" t="inlineStr">
        <is>
          <t>57</t>
        </is>
      </c>
      <c r="T1112" s="5" t="inlineStr">
        <is>
          <t>8</t>
        </is>
      </c>
      <c r="U1112" s="5">
        <f>IFS(C1112&lt;30,"Under 30",C1112&lt;40,"30-39",C1112&lt;50,"40-49",TRUE,"50+")</f>
        <v/>
      </c>
      <c r="V1112" s="5">
        <f>IFS(O1112&lt;60000,"Low (&lt;60k)",O1112&lt;100000,"Mid (60-100k)",TRUE,"High (100k+)")</f>
        <v/>
      </c>
      <c r="W1112" s="5">
        <f>IF(M1112="No","Attrited","Active")</f>
        <v/>
      </c>
    </row>
    <row r="1113">
      <c r="A1113" s="5" t="inlineStr">
        <is>
          <t>E01112</t>
        </is>
      </c>
      <c r="B1113" s="5" t="inlineStr">
        <is>
          <t>Male</t>
        </is>
      </c>
      <c r="C1113" s="6" t="inlineStr">
        <is>
          <t>34</t>
        </is>
      </c>
      <c r="D1113" s="5" t="inlineStr">
        <is>
          <t>Married</t>
        </is>
      </c>
      <c r="E1113" s="5" t="inlineStr">
        <is>
          <t>Bachelor</t>
        </is>
      </c>
      <c r="F1113" s="5" t="inlineStr">
        <is>
          <t>IT</t>
        </is>
      </c>
      <c r="G1113" s="5" t="inlineStr">
        <is>
          <t>Data Analyst</t>
        </is>
      </c>
      <c r="H1113" s="5" t="inlineStr">
        <is>
          <t>3</t>
        </is>
      </c>
      <c r="I1113" s="5" t="inlineStr">
        <is>
          <t>Hyderabad</t>
        </is>
      </c>
      <c r="J1113" s="5" t="inlineStr">
        <is>
          <t>Full-Time</t>
        </is>
      </c>
      <c r="K1113" s="7" t="n">
        <v>44593</v>
      </c>
      <c r="L1113" s="7" t="inlineStr"/>
      <c r="M1113" s="5" t="inlineStr">
        <is>
          <t>Yes</t>
        </is>
      </c>
      <c r="N1113" s="5" t="inlineStr"/>
      <c r="O1113" s="8" t="inlineStr">
        <is>
          <t>127500</t>
        </is>
      </c>
      <c r="P1113" s="5" t="inlineStr">
        <is>
          <t>5</t>
        </is>
      </c>
      <c r="Q1113" s="5" t="inlineStr">
        <is>
          <t>4</t>
        </is>
      </c>
      <c r="R1113" s="5" t="inlineStr">
        <is>
          <t>4</t>
        </is>
      </c>
      <c r="S1113" s="5" t="inlineStr">
        <is>
          <t>47</t>
        </is>
      </c>
      <c r="T1113" s="5" t="inlineStr">
        <is>
          <t>1</t>
        </is>
      </c>
      <c r="U1113" s="5">
        <f>IFS(C1113&lt;30,"Under 30",C1113&lt;40,"30-39",C1113&lt;50,"40-49",TRUE,"50+")</f>
        <v/>
      </c>
      <c r="V1113" s="5">
        <f>IFS(O1113&lt;60000,"Low (&lt;60k)",O1113&lt;100000,"Mid (60-100k)",TRUE,"High (100k+)")</f>
        <v/>
      </c>
      <c r="W1113" s="5">
        <f>IF(M1113="No","Attrited","Active")</f>
        <v/>
      </c>
    </row>
    <row r="1114">
      <c r="A1114" s="5" t="inlineStr">
        <is>
          <t>E01113</t>
        </is>
      </c>
      <c r="B1114" s="5" t="inlineStr">
        <is>
          <t>Female</t>
        </is>
      </c>
      <c r="C1114" s="6" t="inlineStr">
        <is>
          <t>38</t>
        </is>
      </c>
      <c r="D1114" s="5" t="inlineStr">
        <is>
          <t>Married</t>
        </is>
      </c>
      <c r="E1114" s="5" t="inlineStr">
        <is>
          <t>Master</t>
        </is>
      </c>
      <c r="F1114" s="5" t="inlineStr">
        <is>
          <t>Research &amp; Development</t>
        </is>
      </c>
      <c r="G1114" s="5" t="inlineStr">
        <is>
          <t>Research Scientist</t>
        </is>
      </c>
      <c r="H1114" s="5" t="inlineStr">
        <is>
          <t>5</t>
        </is>
      </c>
      <c r="I1114" s="5" t="inlineStr">
        <is>
          <t>Mumbai</t>
        </is>
      </c>
      <c r="J1114" s="5" t="inlineStr">
        <is>
          <t>Full-Time</t>
        </is>
      </c>
      <c r="K1114" s="7" t="n">
        <v>43974</v>
      </c>
      <c r="L1114" s="7" t="inlineStr"/>
      <c r="M1114" s="5" t="inlineStr">
        <is>
          <t>Yes</t>
        </is>
      </c>
      <c r="N1114" s="5" t="inlineStr"/>
      <c r="O1114" s="8" t="inlineStr">
        <is>
          <t>160500</t>
        </is>
      </c>
      <c r="P1114" s="5" t="inlineStr">
        <is>
          <t>20</t>
        </is>
      </c>
      <c r="Q1114" s="5" t="inlineStr">
        <is>
          <t>2</t>
        </is>
      </c>
      <c r="R1114" s="5" t="inlineStr">
        <is>
          <t>3</t>
        </is>
      </c>
      <c r="S1114" s="5" t="inlineStr">
        <is>
          <t>68</t>
        </is>
      </c>
      <c r="T1114" s="5" t="inlineStr">
        <is>
          <t>0</t>
        </is>
      </c>
      <c r="U1114" s="5">
        <f>IFS(C1114&lt;30,"Under 30",C1114&lt;40,"30-39",C1114&lt;50,"40-49",TRUE,"50+")</f>
        <v/>
      </c>
      <c r="V1114" s="5">
        <f>IFS(O1114&lt;60000,"Low (&lt;60k)",O1114&lt;100000,"Mid (60-100k)",TRUE,"High (100k+)")</f>
        <v/>
      </c>
      <c r="W1114" s="5">
        <f>IF(M1114="No","Attrited","Active")</f>
        <v/>
      </c>
    </row>
    <row r="1115">
      <c r="A1115" s="5" t="inlineStr">
        <is>
          <t>E01114</t>
        </is>
      </c>
      <c r="B1115" s="5" t="inlineStr">
        <is>
          <t>Female</t>
        </is>
      </c>
      <c r="C1115" s="6" t="inlineStr">
        <is>
          <t>38</t>
        </is>
      </c>
      <c r="D1115" s="5" t="inlineStr">
        <is>
          <t>Married</t>
        </is>
      </c>
      <c r="E1115" s="5" t="inlineStr">
        <is>
          <t>Master</t>
        </is>
      </c>
      <c r="F1115" s="5" t="inlineStr">
        <is>
          <t>Operations</t>
        </is>
      </c>
      <c r="G1115" s="5" t="inlineStr">
        <is>
          <t>Operations Analyst</t>
        </is>
      </c>
      <c r="H1115" s="5" t="inlineStr">
        <is>
          <t>3</t>
        </is>
      </c>
      <c r="I1115" s="5" t="inlineStr">
        <is>
          <t>Bengaluru</t>
        </is>
      </c>
      <c r="J1115" s="5" t="inlineStr">
        <is>
          <t>Full-Time</t>
        </is>
      </c>
      <c r="K1115" s="7" t="n">
        <v>44012</v>
      </c>
      <c r="L1115" s="7" t="inlineStr"/>
      <c r="M1115" s="5" t="inlineStr">
        <is>
          <t>Yes</t>
        </is>
      </c>
      <c r="N1115" s="5" t="inlineStr"/>
      <c r="O1115" s="8" t="inlineStr">
        <is>
          <t>85000</t>
        </is>
      </c>
      <c r="P1115" s="5" t="inlineStr">
        <is>
          <t>5</t>
        </is>
      </c>
      <c r="Q1115" s="5" t="inlineStr">
        <is>
          <t>3</t>
        </is>
      </c>
      <c r="R1115" s="5" t="inlineStr">
        <is>
          <t>6</t>
        </is>
      </c>
      <c r="S1115" s="5" t="inlineStr">
        <is>
          <t>67</t>
        </is>
      </c>
      <c r="T1115" s="5" t="inlineStr">
        <is>
          <t>2</t>
        </is>
      </c>
      <c r="U1115" s="5">
        <f>IFS(C1115&lt;30,"Under 30",C1115&lt;40,"30-39",C1115&lt;50,"40-49",TRUE,"50+")</f>
        <v/>
      </c>
      <c r="V1115" s="5">
        <f>IFS(O1115&lt;60000,"Low (&lt;60k)",O1115&lt;100000,"Mid (60-100k)",TRUE,"High (100k+)")</f>
        <v/>
      </c>
      <c r="W1115" s="5">
        <f>IF(M1115="No","Attrited","Active")</f>
        <v/>
      </c>
    </row>
    <row r="1116">
      <c r="A1116" s="5" t="inlineStr">
        <is>
          <t>E01115</t>
        </is>
      </c>
      <c r="B1116" s="5" t="inlineStr">
        <is>
          <t>Male</t>
        </is>
      </c>
      <c r="C1116" s="6" t="inlineStr">
        <is>
          <t>41</t>
        </is>
      </c>
      <c r="D1116" s="5" t="inlineStr">
        <is>
          <t>Married</t>
        </is>
      </c>
      <c r="E1116" s="5" t="inlineStr">
        <is>
          <t>Diploma</t>
        </is>
      </c>
      <c r="F1116" s="5" t="inlineStr">
        <is>
          <t>Customer Support</t>
        </is>
      </c>
      <c r="G1116" s="5" t="inlineStr">
        <is>
          <t>Escalation Specialist</t>
        </is>
      </c>
      <c r="H1116" s="5" t="inlineStr">
        <is>
          <t>7</t>
        </is>
      </c>
      <c r="I1116" s="5" t="inlineStr">
        <is>
          <t>Bengaluru</t>
        </is>
      </c>
      <c r="J1116" s="5" t="inlineStr">
        <is>
          <t>Full-Time</t>
        </is>
      </c>
      <c r="K1116" s="7" t="n">
        <v>45602</v>
      </c>
      <c r="L1116" s="7" t="n">
        <v>45733</v>
      </c>
      <c r="M1116" s="5" t="inlineStr">
        <is>
          <t>No</t>
        </is>
      </c>
      <c r="N1116" s="5" t="inlineStr">
        <is>
          <t>Performance / Termination</t>
        </is>
      </c>
      <c r="O1116" s="8" t="inlineStr">
        <is>
          <t>113500</t>
        </is>
      </c>
      <c r="P1116" s="5" t="inlineStr">
        <is>
          <t>0</t>
        </is>
      </c>
      <c r="Q1116" s="5" t="inlineStr">
        <is>
          <t>3</t>
        </is>
      </c>
      <c r="R1116" s="5" t="inlineStr">
        <is>
          <t>7</t>
        </is>
      </c>
      <c r="S1116" s="5" t="inlineStr">
        <is>
          <t>4</t>
        </is>
      </c>
      <c r="T1116" s="5" t="inlineStr">
        <is>
          <t>1</t>
        </is>
      </c>
      <c r="U1116" s="5">
        <f>IFS(C1116&lt;30,"Under 30",C1116&lt;40,"30-39",C1116&lt;50,"40-49",TRUE,"50+")</f>
        <v/>
      </c>
      <c r="V1116" s="5">
        <f>IFS(O1116&lt;60000,"Low (&lt;60k)",O1116&lt;100000,"Mid (60-100k)",TRUE,"High (100k+)")</f>
        <v/>
      </c>
      <c r="W1116" s="5">
        <f>IF(M1116="No","Attrited","Active")</f>
        <v/>
      </c>
    </row>
    <row r="1117">
      <c r="A1117" s="5" t="inlineStr">
        <is>
          <t>E01116</t>
        </is>
      </c>
      <c r="B1117" s="5" t="inlineStr">
        <is>
          <t>Female</t>
        </is>
      </c>
      <c r="C1117" s="6" t="inlineStr">
        <is>
          <t>30</t>
        </is>
      </c>
      <c r="D1117" s="5" t="inlineStr">
        <is>
          <t>Married</t>
        </is>
      </c>
      <c r="E1117" s="5" t="inlineStr">
        <is>
          <t>Diploma</t>
        </is>
      </c>
      <c r="F1117" s="5" t="inlineStr">
        <is>
          <t>Operations</t>
        </is>
      </c>
      <c r="G1117" s="5" t="inlineStr">
        <is>
          <t>Quality Analyst</t>
        </is>
      </c>
      <c r="H1117" s="5" t="inlineStr">
        <is>
          <t>2</t>
        </is>
      </c>
      <c r="I1117" s="5" t="inlineStr">
        <is>
          <t>Remote</t>
        </is>
      </c>
      <c r="J1117" s="5" t="inlineStr">
        <is>
          <t>Full-Time</t>
        </is>
      </c>
      <c r="K1117" s="7" t="n">
        <v>44926</v>
      </c>
      <c r="L1117" s="7" t="inlineStr"/>
      <c r="M1117" s="5" t="inlineStr">
        <is>
          <t>Yes</t>
        </is>
      </c>
      <c r="N1117" s="5" t="inlineStr"/>
      <c r="O1117" s="8" t="inlineStr">
        <is>
          <t>94500</t>
        </is>
      </c>
      <c r="P1117" s="5" t="inlineStr">
        <is>
          <t>0</t>
        </is>
      </c>
      <c r="Q1117" s="5" t="inlineStr">
        <is>
          <t>5</t>
        </is>
      </c>
      <c r="R1117" s="5" t="inlineStr">
        <is>
          <t>9</t>
        </is>
      </c>
      <c r="S1117" s="5" t="inlineStr">
        <is>
          <t>36</t>
        </is>
      </c>
      <c r="T1117" s="5" t="inlineStr">
        <is>
          <t>9</t>
        </is>
      </c>
      <c r="U1117" s="5">
        <f>IFS(C1117&lt;30,"Under 30",C1117&lt;40,"30-39",C1117&lt;50,"40-49",TRUE,"50+")</f>
        <v/>
      </c>
      <c r="V1117" s="5">
        <f>IFS(O1117&lt;60000,"Low (&lt;60k)",O1117&lt;100000,"Mid (60-100k)",TRUE,"High (100k+)")</f>
        <v/>
      </c>
      <c r="W1117" s="5">
        <f>IF(M1117="No","Attrited","Active")</f>
        <v/>
      </c>
    </row>
    <row r="1118">
      <c r="A1118" s="5" t="inlineStr">
        <is>
          <t>E01117</t>
        </is>
      </c>
      <c r="B1118" s="5" t="inlineStr">
        <is>
          <t>Female</t>
        </is>
      </c>
      <c r="C1118" s="6" t="inlineStr">
        <is>
          <t>40</t>
        </is>
      </c>
      <c r="D1118" s="5" t="inlineStr">
        <is>
          <t>Married</t>
        </is>
      </c>
      <c r="E1118" s="5" t="inlineStr">
        <is>
          <t>High School</t>
        </is>
      </c>
      <c r="F1118" s="5" t="inlineStr">
        <is>
          <t>Human Resources</t>
        </is>
      </c>
      <c r="G1118" s="5" t="inlineStr">
        <is>
          <t>HR Analyst</t>
        </is>
      </c>
      <c r="H1118" s="5" t="inlineStr">
        <is>
          <t>5</t>
        </is>
      </c>
      <c r="I1118" s="5" t="inlineStr">
        <is>
          <t>Hyderabad</t>
        </is>
      </c>
      <c r="J1118" s="5" t="inlineStr">
        <is>
          <t>Full-Time</t>
        </is>
      </c>
      <c r="K1118" s="7" t="n">
        <v>45188</v>
      </c>
      <c r="L1118" s="7" t="inlineStr"/>
      <c r="M1118" s="5" t="inlineStr">
        <is>
          <t>Yes</t>
        </is>
      </c>
      <c r="N1118" s="5" t="inlineStr"/>
      <c r="O1118" s="8" t="inlineStr">
        <is>
          <t>138500</t>
        </is>
      </c>
      <c r="P1118" s="5" t="inlineStr">
        <is>
          <t>10</t>
        </is>
      </c>
      <c r="Q1118" s="5" t="inlineStr">
        <is>
          <t>3</t>
        </is>
      </c>
      <c r="R1118" s="5" t="inlineStr">
        <is>
          <t>6</t>
        </is>
      </c>
      <c r="S1118" s="5" t="inlineStr">
        <is>
          <t>27</t>
        </is>
      </c>
      <c r="T1118" s="5" t="inlineStr">
        <is>
          <t>13</t>
        </is>
      </c>
      <c r="U1118" s="5">
        <f>IFS(C1118&lt;30,"Under 30",C1118&lt;40,"30-39",C1118&lt;50,"40-49",TRUE,"50+")</f>
        <v/>
      </c>
      <c r="V1118" s="5">
        <f>IFS(O1118&lt;60000,"Low (&lt;60k)",O1118&lt;100000,"Mid (60-100k)",TRUE,"High (100k+)")</f>
        <v/>
      </c>
      <c r="W1118" s="5">
        <f>IF(M1118="No","Attrited","Active")</f>
        <v/>
      </c>
    </row>
    <row r="1119">
      <c r="A1119" s="5" t="inlineStr">
        <is>
          <t>E01118</t>
        </is>
      </c>
      <c r="B1119" s="5" t="inlineStr">
        <is>
          <t>Female</t>
        </is>
      </c>
      <c r="C1119" s="6" t="inlineStr">
        <is>
          <t>31</t>
        </is>
      </c>
      <c r="D1119" s="5" t="inlineStr">
        <is>
          <t>Married</t>
        </is>
      </c>
      <c r="E1119" s="5" t="inlineStr">
        <is>
          <t>PhD</t>
        </is>
      </c>
      <c r="F1119" s="5" t="inlineStr">
        <is>
          <t>IT</t>
        </is>
      </c>
      <c r="G1119" s="5" t="inlineStr">
        <is>
          <t>DevOps Engineer</t>
        </is>
      </c>
      <c r="H1119" s="5" t="inlineStr">
        <is>
          <t>3</t>
        </is>
      </c>
      <c r="I1119" s="5" t="inlineStr">
        <is>
          <t>Remote</t>
        </is>
      </c>
      <c r="J1119" s="5" t="inlineStr">
        <is>
          <t>Full-Time</t>
        </is>
      </c>
      <c r="K1119" s="7" t="n">
        <v>44991</v>
      </c>
      <c r="L1119" s="7" t="inlineStr"/>
      <c r="M1119" s="5" t="inlineStr">
        <is>
          <t>Yes</t>
        </is>
      </c>
      <c r="N1119" s="5" t="inlineStr"/>
      <c r="O1119" s="8" t="inlineStr">
        <is>
          <t>183000</t>
        </is>
      </c>
      <c r="P1119" s="5" t="inlineStr">
        <is>
          <t>5</t>
        </is>
      </c>
      <c r="Q1119" s="5" t="inlineStr">
        <is>
          <t>3</t>
        </is>
      </c>
      <c r="R1119" s="5" t="inlineStr">
        <is>
          <t>9</t>
        </is>
      </c>
      <c r="S1119" s="5" t="inlineStr">
        <is>
          <t>34</t>
        </is>
      </c>
      <c r="T1119" s="5" t="inlineStr">
        <is>
          <t>19</t>
        </is>
      </c>
      <c r="U1119" s="5">
        <f>IFS(C1119&lt;30,"Under 30",C1119&lt;40,"30-39",C1119&lt;50,"40-49",TRUE,"50+")</f>
        <v/>
      </c>
      <c r="V1119" s="5">
        <f>IFS(O1119&lt;60000,"Low (&lt;60k)",O1119&lt;100000,"Mid (60-100k)",TRUE,"High (100k+)")</f>
        <v/>
      </c>
      <c r="W1119" s="5">
        <f>IF(M1119="No","Attrited","Active")</f>
        <v/>
      </c>
    </row>
    <row r="1120">
      <c r="A1120" s="5" t="inlineStr">
        <is>
          <t>E01119</t>
        </is>
      </c>
      <c r="B1120" s="5" t="inlineStr">
        <is>
          <t>Female</t>
        </is>
      </c>
      <c r="C1120" s="6" t="inlineStr">
        <is>
          <t>34</t>
        </is>
      </c>
      <c r="D1120" s="5" t="inlineStr">
        <is>
          <t>Single</t>
        </is>
      </c>
      <c r="E1120" s="5" t="inlineStr">
        <is>
          <t>Bachelor</t>
        </is>
      </c>
      <c r="F1120" s="5" t="inlineStr">
        <is>
          <t>Research &amp; Development</t>
        </is>
      </c>
      <c r="G1120" s="5" t="inlineStr">
        <is>
          <t>Product Engineer</t>
        </is>
      </c>
      <c r="H1120" s="5" t="inlineStr">
        <is>
          <t>6</t>
        </is>
      </c>
      <c r="I1120" s="5" t="inlineStr">
        <is>
          <t>Mumbai</t>
        </is>
      </c>
      <c r="J1120" s="5" t="inlineStr">
        <is>
          <t>Full-Time</t>
        </is>
      </c>
      <c r="K1120" s="7" t="n">
        <v>45658</v>
      </c>
      <c r="L1120" s="7" t="n">
        <v>45690</v>
      </c>
      <c r="M1120" s="5" t="inlineStr">
        <is>
          <t>No</t>
        </is>
      </c>
      <c r="N1120" s="5" t="inlineStr">
        <is>
          <t>Resigned</t>
        </is>
      </c>
      <c r="O1120" s="8" t="inlineStr">
        <is>
          <t>246500</t>
        </is>
      </c>
      <c r="P1120" s="5" t="inlineStr">
        <is>
          <t>0</t>
        </is>
      </c>
      <c r="Q1120" s="5" t="inlineStr">
        <is>
          <t>4</t>
        </is>
      </c>
      <c r="R1120" s="5" t="inlineStr">
        <is>
          <t>9</t>
        </is>
      </c>
      <c r="S1120" s="5" t="inlineStr">
        <is>
          <t>1</t>
        </is>
      </c>
      <c r="T1120" s="5" t="inlineStr">
        <is>
          <t>0</t>
        </is>
      </c>
      <c r="U1120" s="5">
        <f>IFS(C1120&lt;30,"Under 30",C1120&lt;40,"30-39",C1120&lt;50,"40-49",TRUE,"50+")</f>
        <v/>
      </c>
      <c r="V1120" s="5">
        <f>IFS(O1120&lt;60000,"Low (&lt;60k)",O1120&lt;100000,"Mid (60-100k)",TRUE,"High (100k+)")</f>
        <v/>
      </c>
      <c r="W1120" s="5">
        <f>IF(M1120="No","Attrited","Active")</f>
        <v/>
      </c>
    </row>
    <row r="1121">
      <c r="A1121" s="5" t="inlineStr">
        <is>
          <t>E01120</t>
        </is>
      </c>
      <c r="B1121" s="5" t="inlineStr">
        <is>
          <t>Male</t>
        </is>
      </c>
      <c r="C1121" s="6" t="inlineStr">
        <is>
          <t>29</t>
        </is>
      </c>
      <c r="D1121" s="5" t="inlineStr">
        <is>
          <t>Married</t>
        </is>
      </c>
      <c r="E1121" s="5" t="inlineStr">
        <is>
          <t>PhD</t>
        </is>
      </c>
      <c r="F1121" s="5" t="inlineStr">
        <is>
          <t>Customer Support</t>
        </is>
      </c>
      <c r="G1121" s="5" t="inlineStr">
        <is>
          <t>Escalation Specialist</t>
        </is>
      </c>
      <c r="H1121" s="5" t="inlineStr">
        <is>
          <t>2</t>
        </is>
      </c>
      <c r="I1121" s="5" t="inlineStr">
        <is>
          <t>Chennai</t>
        </is>
      </c>
      <c r="J1121" s="5" t="inlineStr">
        <is>
          <t>Full-Time</t>
        </is>
      </c>
      <c r="K1121" s="7" t="n">
        <v>45779</v>
      </c>
      <c r="L1121" s="7" t="inlineStr"/>
      <c r="M1121" s="5" t="inlineStr">
        <is>
          <t>Yes</t>
        </is>
      </c>
      <c r="N1121" s="5" t="inlineStr"/>
      <c r="O1121" s="8" t="inlineStr">
        <is>
          <t>49500</t>
        </is>
      </c>
      <c r="P1121" s="5" t="inlineStr">
        <is>
          <t>5</t>
        </is>
      </c>
      <c r="Q1121" s="5" t="inlineStr">
        <is>
          <t>4</t>
        </is>
      </c>
      <c r="R1121" s="5" t="inlineStr">
        <is>
          <t>6</t>
        </is>
      </c>
      <c r="S1121" s="5" t="inlineStr">
        <is>
          <t>8</t>
        </is>
      </c>
      <c r="T1121" s="5" t="inlineStr">
        <is>
          <t>4</t>
        </is>
      </c>
      <c r="U1121" s="5">
        <f>IFS(C1121&lt;30,"Under 30",C1121&lt;40,"30-39",C1121&lt;50,"40-49",TRUE,"50+")</f>
        <v/>
      </c>
      <c r="V1121" s="5">
        <f>IFS(O1121&lt;60000,"Low (&lt;60k)",O1121&lt;100000,"Mid (60-100k)",TRUE,"High (100k+)")</f>
        <v/>
      </c>
      <c r="W1121" s="5">
        <f>IF(M1121="No","Attrited","Active")</f>
        <v/>
      </c>
    </row>
    <row r="1122">
      <c r="A1122" s="5" t="inlineStr">
        <is>
          <t>E01121</t>
        </is>
      </c>
      <c r="B1122" s="5" t="inlineStr">
        <is>
          <t>Male</t>
        </is>
      </c>
      <c r="C1122" s="6" t="inlineStr">
        <is>
          <t>33</t>
        </is>
      </c>
      <c r="D1122" s="5" t="inlineStr">
        <is>
          <t>Single</t>
        </is>
      </c>
      <c r="E1122" s="5" t="inlineStr">
        <is>
          <t>High School</t>
        </is>
      </c>
      <c r="F1122" s="5" t="inlineStr">
        <is>
          <t>Research &amp; Development</t>
        </is>
      </c>
      <c r="G1122" s="5" t="inlineStr">
        <is>
          <t>Product Engineer</t>
        </is>
      </c>
      <c r="H1122" s="5" t="inlineStr">
        <is>
          <t>4</t>
        </is>
      </c>
      <c r="I1122" s="5" t="inlineStr">
        <is>
          <t>Mumbai</t>
        </is>
      </c>
      <c r="J1122" s="5" t="inlineStr">
        <is>
          <t>Full-Time</t>
        </is>
      </c>
      <c r="K1122" s="7" t="n">
        <v>44691</v>
      </c>
      <c r="L1122" s="7" t="n">
        <v>44764</v>
      </c>
      <c r="M1122" s="5" t="inlineStr">
        <is>
          <t>No</t>
        </is>
      </c>
      <c r="N1122" s="5" t="inlineStr">
        <is>
          <t>Performance / Termination</t>
        </is>
      </c>
      <c r="O1122" s="8" t="inlineStr">
        <is>
          <t>183500</t>
        </is>
      </c>
      <c r="P1122" s="5" t="inlineStr">
        <is>
          <t>0</t>
        </is>
      </c>
      <c r="Q1122" s="5" t="inlineStr">
        <is>
          <t>3</t>
        </is>
      </c>
      <c r="R1122" s="5" t="inlineStr">
        <is>
          <t>5</t>
        </is>
      </c>
      <c r="S1122" s="5" t="inlineStr">
        <is>
          <t>2</t>
        </is>
      </c>
      <c r="T1122" s="5" t="inlineStr">
        <is>
          <t>6</t>
        </is>
      </c>
      <c r="U1122" s="5">
        <f>IFS(C1122&lt;30,"Under 30",C1122&lt;40,"30-39",C1122&lt;50,"40-49",TRUE,"50+")</f>
        <v/>
      </c>
      <c r="V1122" s="5">
        <f>IFS(O1122&lt;60000,"Low (&lt;60k)",O1122&lt;100000,"Mid (60-100k)",TRUE,"High (100k+)")</f>
        <v/>
      </c>
      <c r="W1122" s="5">
        <f>IF(M1122="No","Attrited","Active")</f>
        <v/>
      </c>
    </row>
    <row r="1123">
      <c r="A1123" s="5" t="inlineStr">
        <is>
          <t>E01122</t>
        </is>
      </c>
      <c r="B1123" s="5" t="inlineStr">
        <is>
          <t>Male</t>
        </is>
      </c>
      <c r="C1123" s="6" t="inlineStr">
        <is>
          <t>43</t>
        </is>
      </c>
      <c r="D1123" s="5" t="inlineStr">
        <is>
          <t>Married</t>
        </is>
      </c>
      <c r="E1123" s="5" t="inlineStr">
        <is>
          <t>Diploma</t>
        </is>
      </c>
      <c r="F1123" s="5" t="inlineStr">
        <is>
          <t>IT</t>
        </is>
      </c>
      <c r="G1123" s="5" t="inlineStr">
        <is>
          <t>Software Engineer</t>
        </is>
      </c>
      <c r="H1123" s="5" t="inlineStr">
        <is>
          <t>6</t>
        </is>
      </c>
      <c r="I1123" s="5" t="inlineStr">
        <is>
          <t>Mumbai</t>
        </is>
      </c>
      <c r="J1123" s="5" t="inlineStr">
        <is>
          <t>Full-Time</t>
        </is>
      </c>
      <c r="K1123" s="7" t="n">
        <v>45174</v>
      </c>
      <c r="L1123" s="7" t="inlineStr"/>
      <c r="M1123" s="5" t="inlineStr">
        <is>
          <t>Yes</t>
        </is>
      </c>
      <c r="N1123" s="5" t="inlineStr"/>
      <c r="O1123" s="8" t="inlineStr">
        <is>
          <t>185500</t>
        </is>
      </c>
      <c r="P1123" s="5" t="inlineStr">
        <is>
          <t>0</t>
        </is>
      </c>
      <c r="Q1123" s="5" t="inlineStr">
        <is>
          <t>3</t>
        </is>
      </c>
      <c r="R1123" s="5" t="inlineStr">
        <is>
          <t>6</t>
        </is>
      </c>
      <c r="S1123" s="5" t="inlineStr">
        <is>
          <t>28</t>
        </is>
      </c>
      <c r="T1123" s="5" t="inlineStr">
        <is>
          <t>11</t>
        </is>
      </c>
      <c r="U1123" s="5">
        <f>IFS(C1123&lt;30,"Under 30",C1123&lt;40,"30-39",C1123&lt;50,"40-49",TRUE,"50+")</f>
        <v/>
      </c>
      <c r="V1123" s="5">
        <f>IFS(O1123&lt;60000,"Low (&lt;60k)",O1123&lt;100000,"Mid (60-100k)",TRUE,"High (100k+)")</f>
        <v/>
      </c>
      <c r="W1123" s="5">
        <f>IF(M1123="No","Attrited","Active")</f>
        <v/>
      </c>
    </row>
    <row r="1124">
      <c r="A1124" s="5" t="inlineStr">
        <is>
          <t>E01123</t>
        </is>
      </c>
      <c r="B1124" s="5" t="inlineStr">
        <is>
          <t>Female</t>
        </is>
      </c>
      <c r="C1124" s="6" t="inlineStr">
        <is>
          <t>38</t>
        </is>
      </c>
      <c r="D1124" s="5" t="inlineStr">
        <is>
          <t>Married</t>
        </is>
      </c>
      <c r="E1124" s="5" t="inlineStr">
        <is>
          <t>Bachelor</t>
        </is>
      </c>
      <c r="F1124" s="5" t="inlineStr">
        <is>
          <t>Finance</t>
        </is>
      </c>
      <c r="G1124" s="5" t="inlineStr">
        <is>
          <t>Financial Analyst</t>
        </is>
      </c>
      <c r="H1124" s="5" t="inlineStr">
        <is>
          <t>7</t>
        </is>
      </c>
      <c r="I1124" s="5" t="inlineStr">
        <is>
          <t>Hyderabad</t>
        </is>
      </c>
      <c r="J1124" s="5" t="inlineStr">
        <is>
          <t>Part-Time</t>
        </is>
      </c>
      <c r="K1124" s="7" t="n">
        <v>44894</v>
      </c>
      <c r="L1124" s="7" t="inlineStr"/>
      <c r="M1124" s="5" t="inlineStr">
        <is>
          <t>Yes</t>
        </is>
      </c>
      <c r="N1124" s="5" t="inlineStr"/>
      <c r="O1124" s="8" t="inlineStr">
        <is>
          <t>158000</t>
        </is>
      </c>
      <c r="P1124" s="5" t="inlineStr">
        <is>
          <t>15</t>
        </is>
      </c>
      <c r="Q1124" s="5" t="inlineStr">
        <is>
          <t>3</t>
        </is>
      </c>
      <c r="R1124" s="5" t="inlineStr">
        <is>
          <t>8</t>
        </is>
      </c>
      <c r="S1124" s="5" t="inlineStr">
        <is>
          <t>37</t>
        </is>
      </c>
      <c r="T1124" s="5" t="inlineStr">
        <is>
          <t>5</t>
        </is>
      </c>
      <c r="U1124" s="5">
        <f>IFS(C1124&lt;30,"Under 30",C1124&lt;40,"30-39",C1124&lt;50,"40-49",TRUE,"50+")</f>
        <v/>
      </c>
      <c r="V1124" s="5">
        <f>IFS(O1124&lt;60000,"Low (&lt;60k)",O1124&lt;100000,"Mid (60-100k)",TRUE,"High (100k+)")</f>
        <v/>
      </c>
      <c r="W1124" s="5">
        <f>IF(M1124="No","Attrited","Active")</f>
        <v/>
      </c>
    </row>
    <row r="1125">
      <c r="A1125" s="5" t="inlineStr">
        <is>
          <t>E01124</t>
        </is>
      </c>
      <c r="B1125" s="5" t="inlineStr">
        <is>
          <t>Male</t>
        </is>
      </c>
      <c r="C1125" s="6" t="inlineStr">
        <is>
          <t>40</t>
        </is>
      </c>
      <c r="D1125" s="5" t="inlineStr">
        <is>
          <t>Married</t>
        </is>
      </c>
      <c r="E1125" s="5" t="inlineStr">
        <is>
          <t>Diploma</t>
        </is>
      </c>
      <c r="F1125" s="5" t="inlineStr">
        <is>
          <t>Operations</t>
        </is>
      </c>
      <c r="G1125" s="5" t="inlineStr">
        <is>
          <t>Quality Analyst</t>
        </is>
      </c>
      <c r="H1125" s="5" t="inlineStr">
        <is>
          <t>4</t>
        </is>
      </c>
      <c r="I1125" s="5" t="inlineStr">
        <is>
          <t>Chennai</t>
        </is>
      </c>
      <c r="J1125" s="5" t="inlineStr">
        <is>
          <t>Full-Time</t>
        </is>
      </c>
      <c r="K1125" s="7" t="n">
        <v>45496</v>
      </c>
      <c r="L1125" s="7" t="inlineStr"/>
      <c r="M1125" s="5" t="inlineStr">
        <is>
          <t>Yes</t>
        </is>
      </c>
      <c r="N1125" s="5" t="inlineStr"/>
      <c r="O1125" s="8" t="inlineStr">
        <is>
          <t>112500</t>
        </is>
      </c>
      <c r="P1125" s="5" t="inlineStr">
        <is>
          <t>0</t>
        </is>
      </c>
      <c r="Q1125" s="5" t="inlineStr">
        <is>
          <t>4</t>
        </is>
      </c>
      <c r="R1125" s="5" t="inlineStr">
        <is>
          <t>10</t>
        </is>
      </c>
      <c r="S1125" s="5" t="inlineStr">
        <is>
          <t>17</t>
        </is>
      </c>
      <c r="T1125" s="5" t="inlineStr">
        <is>
          <t>11</t>
        </is>
      </c>
      <c r="U1125" s="5">
        <f>IFS(C1125&lt;30,"Under 30",C1125&lt;40,"30-39",C1125&lt;50,"40-49",TRUE,"50+")</f>
        <v/>
      </c>
      <c r="V1125" s="5">
        <f>IFS(O1125&lt;60000,"Low (&lt;60k)",O1125&lt;100000,"Mid (60-100k)",TRUE,"High (100k+)")</f>
        <v/>
      </c>
      <c r="W1125" s="5">
        <f>IF(M1125="No","Attrited","Active")</f>
        <v/>
      </c>
    </row>
    <row r="1126">
      <c r="A1126" s="5" t="inlineStr">
        <is>
          <t>E01125</t>
        </is>
      </c>
      <c r="B1126" s="5" t="inlineStr">
        <is>
          <t>Male</t>
        </is>
      </c>
      <c r="C1126" s="6" t="inlineStr">
        <is>
          <t>30</t>
        </is>
      </c>
      <c r="D1126" s="5" t="inlineStr">
        <is>
          <t>Single</t>
        </is>
      </c>
      <c r="E1126" s="5" t="inlineStr">
        <is>
          <t>High School</t>
        </is>
      </c>
      <c r="F1126" s="5" t="inlineStr">
        <is>
          <t>Sales</t>
        </is>
      </c>
      <c r="G1126" s="5" t="inlineStr">
        <is>
          <t>Sales Executive</t>
        </is>
      </c>
      <c r="H1126" s="5" t="inlineStr">
        <is>
          <t>1</t>
        </is>
      </c>
      <c r="I1126" s="5" t="inlineStr">
        <is>
          <t>Mumbai</t>
        </is>
      </c>
      <c r="J1126" s="5" t="inlineStr">
        <is>
          <t>Part-Time</t>
        </is>
      </c>
      <c r="K1126" s="7" t="n">
        <v>45235</v>
      </c>
      <c r="L1126" s="7" t="inlineStr"/>
      <c r="M1126" s="5" t="inlineStr">
        <is>
          <t>Yes</t>
        </is>
      </c>
      <c r="N1126" s="5" t="inlineStr"/>
      <c r="O1126" s="8" t="inlineStr">
        <is>
          <t>89000</t>
        </is>
      </c>
      <c r="P1126" s="5" t="inlineStr">
        <is>
          <t>0</t>
        </is>
      </c>
      <c r="Q1126" s="5" t="inlineStr">
        <is>
          <t>5</t>
        </is>
      </c>
      <c r="R1126" s="5" t="inlineStr">
        <is>
          <t>5</t>
        </is>
      </c>
      <c r="S1126" s="5" t="inlineStr">
        <is>
          <t>26</t>
        </is>
      </c>
      <c r="T1126" s="5" t="inlineStr">
        <is>
          <t>1</t>
        </is>
      </c>
      <c r="U1126" s="5">
        <f>IFS(C1126&lt;30,"Under 30",C1126&lt;40,"30-39",C1126&lt;50,"40-49",TRUE,"50+")</f>
        <v/>
      </c>
      <c r="V1126" s="5">
        <f>IFS(O1126&lt;60000,"Low (&lt;60k)",O1126&lt;100000,"Mid (60-100k)",TRUE,"High (100k+)")</f>
        <v/>
      </c>
      <c r="W1126" s="5">
        <f>IF(M1126="No","Attrited","Active")</f>
        <v/>
      </c>
    </row>
    <row r="1127">
      <c r="A1127" s="5" t="inlineStr">
        <is>
          <t>E01126</t>
        </is>
      </c>
      <c r="B1127" s="5" t="inlineStr">
        <is>
          <t>Female</t>
        </is>
      </c>
      <c r="C1127" s="6" t="inlineStr">
        <is>
          <t>26</t>
        </is>
      </c>
      <c r="D1127" s="5" t="inlineStr">
        <is>
          <t>Single</t>
        </is>
      </c>
      <c r="E1127" s="5" t="inlineStr">
        <is>
          <t>Diploma</t>
        </is>
      </c>
      <c r="F1127" s="5" t="inlineStr">
        <is>
          <t>IT</t>
        </is>
      </c>
      <c r="G1127" s="5" t="inlineStr">
        <is>
          <t>IT Support</t>
        </is>
      </c>
      <c r="H1127" s="5" t="inlineStr">
        <is>
          <t>1</t>
        </is>
      </c>
      <c r="I1127" s="5" t="inlineStr">
        <is>
          <t>Chennai</t>
        </is>
      </c>
      <c r="J1127" s="5" t="inlineStr">
        <is>
          <t>Full-Time</t>
        </is>
      </c>
      <c r="K1127" s="7" t="n">
        <v>44999</v>
      </c>
      <c r="L1127" s="7" t="inlineStr"/>
      <c r="M1127" s="5" t="inlineStr">
        <is>
          <t>Yes</t>
        </is>
      </c>
      <c r="N1127" s="5" t="inlineStr"/>
      <c r="O1127" s="8" t="inlineStr">
        <is>
          <t>111500</t>
        </is>
      </c>
      <c r="P1127" s="5" t="inlineStr">
        <is>
          <t>10</t>
        </is>
      </c>
      <c r="Q1127" s="5" t="inlineStr">
        <is>
          <t>5</t>
        </is>
      </c>
      <c r="R1127" s="5" t="inlineStr">
        <is>
          <t>5</t>
        </is>
      </c>
      <c r="S1127" s="5" t="inlineStr">
        <is>
          <t>34</t>
        </is>
      </c>
      <c r="T1127" s="5" t="inlineStr">
        <is>
          <t>0</t>
        </is>
      </c>
      <c r="U1127" s="5">
        <f>IFS(C1127&lt;30,"Under 30",C1127&lt;40,"30-39",C1127&lt;50,"40-49",TRUE,"50+")</f>
        <v/>
      </c>
      <c r="V1127" s="5">
        <f>IFS(O1127&lt;60000,"Low (&lt;60k)",O1127&lt;100000,"Mid (60-100k)",TRUE,"High (100k+)")</f>
        <v/>
      </c>
      <c r="W1127" s="5">
        <f>IF(M1127="No","Attrited","Active")</f>
        <v/>
      </c>
    </row>
    <row r="1128">
      <c r="A1128" s="5" t="inlineStr">
        <is>
          <t>E01127</t>
        </is>
      </c>
      <c r="B1128" s="5" t="inlineStr">
        <is>
          <t>Male</t>
        </is>
      </c>
      <c r="C1128" s="6" t="inlineStr">
        <is>
          <t>32</t>
        </is>
      </c>
      <c r="D1128" s="5" t="inlineStr">
        <is>
          <t>Divorced</t>
        </is>
      </c>
      <c r="E1128" s="5" t="inlineStr">
        <is>
          <t>Master</t>
        </is>
      </c>
      <c r="F1128" s="5" t="inlineStr">
        <is>
          <t>Finance</t>
        </is>
      </c>
      <c r="G1128" s="5" t="inlineStr">
        <is>
          <t>Accountant</t>
        </is>
      </c>
      <c r="H1128" s="5" t="inlineStr">
        <is>
          <t>3</t>
        </is>
      </c>
      <c r="I1128" s="5" t="inlineStr">
        <is>
          <t>Hyderabad</t>
        </is>
      </c>
      <c r="J1128" s="5" t="inlineStr">
        <is>
          <t>Full-Time</t>
        </is>
      </c>
      <c r="K1128" s="7" t="n">
        <v>45675</v>
      </c>
      <c r="L1128" s="7" t="n">
        <v>45773</v>
      </c>
      <c r="M1128" s="5" t="inlineStr">
        <is>
          <t>No</t>
        </is>
      </c>
      <c r="N1128" s="5" t="inlineStr">
        <is>
          <t>Performance / Termination</t>
        </is>
      </c>
      <c r="O1128" s="8" t="inlineStr">
        <is>
          <t>137500</t>
        </is>
      </c>
      <c r="P1128" s="5" t="inlineStr">
        <is>
          <t>15</t>
        </is>
      </c>
      <c r="Q1128" s="5" t="inlineStr">
        <is>
          <t>3</t>
        </is>
      </c>
      <c r="R1128" s="5" t="inlineStr">
        <is>
          <t>7</t>
        </is>
      </c>
      <c r="S1128" s="5" t="inlineStr">
        <is>
          <t>3</t>
        </is>
      </c>
      <c r="T1128" s="5" t="inlineStr">
        <is>
          <t>9</t>
        </is>
      </c>
      <c r="U1128" s="5">
        <f>IFS(C1128&lt;30,"Under 30",C1128&lt;40,"30-39",C1128&lt;50,"40-49",TRUE,"50+")</f>
        <v/>
      </c>
      <c r="V1128" s="5">
        <f>IFS(O1128&lt;60000,"Low (&lt;60k)",O1128&lt;100000,"Mid (60-100k)",TRUE,"High (100k+)")</f>
        <v/>
      </c>
      <c r="W1128" s="5">
        <f>IF(M1128="No","Attrited","Active")</f>
        <v/>
      </c>
    </row>
    <row r="1129">
      <c r="A1129" s="5" t="inlineStr">
        <is>
          <t>E01128</t>
        </is>
      </c>
      <c r="B1129" s="5" t="inlineStr">
        <is>
          <t>Female</t>
        </is>
      </c>
      <c r="C1129" s="6" t="inlineStr">
        <is>
          <t>36</t>
        </is>
      </c>
      <c r="D1129" s="5" t="inlineStr">
        <is>
          <t>Divorced</t>
        </is>
      </c>
      <c r="E1129" s="5" t="inlineStr">
        <is>
          <t>Master</t>
        </is>
      </c>
      <c r="F1129" s="5" t="inlineStr">
        <is>
          <t>Finance</t>
        </is>
      </c>
      <c r="G1129" s="5" t="inlineStr">
        <is>
          <t>Financial Analyst</t>
        </is>
      </c>
      <c r="H1129" s="5" t="inlineStr">
        <is>
          <t>4</t>
        </is>
      </c>
      <c r="I1129" s="5" t="inlineStr">
        <is>
          <t>Chennai</t>
        </is>
      </c>
      <c r="J1129" s="5" t="inlineStr">
        <is>
          <t>Part-Time</t>
        </is>
      </c>
      <c r="K1129" s="7" t="n">
        <v>44826</v>
      </c>
      <c r="L1129" s="7" t="inlineStr"/>
      <c r="M1129" s="5" t="inlineStr">
        <is>
          <t>Yes</t>
        </is>
      </c>
      <c r="N1129" s="5" t="inlineStr"/>
      <c r="O1129" s="8" t="inlineStr">
        <is>
          <t>104500</t>
        </is>
      </c>
      <c r="P1129" s="5" t="inlineStr">
        <is>
          <t>0</t>
        </is>
      </c>
      <c r="Q1129" s="5" t="inlineStr">
        <is>
          <t>4</t>
        </is>
      </c>
      <c r="R1129" s="5" t="inlineStr">
        <is>
          <t>4</t>
        </is>
      </c>
      <c r="S1129" s="5" t="inlineStr">
        <is>
          <t>39</t>
        </is>
      </c>
      <c r="T1129" s="5" t="inlineStr">
        <is>
          <t>14</t>
        </is>
      </c>
      <c r="U1129" s="5">
        <f>IFS(C1129&lt;30,"Under 30",C1129&lt;40,"30-39",C1129&lt;50,"40-49",TRUE,"50+")</f>
        <v/>
      </c>
      <c r="V1129" s="5">
        <f>IFS(O1129&lt;60000,"Low (&lt;60k)",O1129&lt;100000,"Mid (60-100k)",TRUE,"High (100k+)")</f>
        <v/>
      </c>
      <c r="W1129" s="5">
        <f>IF(M1129="No","Attrited","Active")</f>
        <v/>
      </c>
    </row>
    <row r="1130">
      <c r="A1130" s="5" t="inlineStr">
        <is>
          <t>E01129</t>
        </is>
      </c>
      <c r="B1130" s="5" t="inlineStr">
        <is>
          <t>Male</t>
        </is>
      </c>
      <c r="C1130" s="6" t="inlineStr">
        <is>
          <t>24</t>
        </is>
      </c>
      <c r="D1130" s="5" t="inlineStr">
        <is>
          <t>Married</t>
        </is>
      </c>
      <c r="E1130" s="5" t="inlineStr">
        <is>
          <t>Diploma</t>
        </is>
      </c>
      <c r="F1130" s="5" t="inlineStr">
        <is>
          <t>Marketing</t>
        </is>
      </c>
      <c r="G1130" s="5" t="inlineStr">
        <is>
          <t>Marketing Analyst</t>
        </is>
      </c>
      <c r="H1130" s="5" t="inlineStr">
        <is>
          <t>1</t>
        </is>
      </c>
      <c r="I1130" s="5" t="inlineStr">
        <is>
          <t>Remote</t>
        </is>
      </c>
      <c r="J1130" s="5" t="inlineStr">
        <is>
          <t>Full-Time</t>
        </is>
      </c>
      <c r="K1130" s="7" t="n">
        <v>44916</v>
      </c>
      <c r="L1130" s="7" t="n">
        <v>44950</v>
      </c>
      <c r="M1130" s="5" t="inlineStr">
        <is>
          <t>No</t>
        </is>
      </c>
      <c r="N1130" s="5" t="inlineStr">
        <is>
          <t>Retirement</t>
        </is>
      </c>
      <c r="O1130" s="8" t="inlineStr">
        <is>
          <t>89000</t>
        </is>
      </c>
      <c r="P1130" s="5" t="inlineStr">
        <is>
          <t>10</t>
        </is>
      </c>
      <c r="Q1130" s="5" t="inlineStr">
        <is>
          <t>3</t>
        </is>
      </c>
      <c r="R1130" s="5" t="inlineStr">
        <is>
          <t>9</t>
        </is>
      </c>
      <c r="S1130" s="5" t="inlineStr">
        <is>
          <t>1</t>
        </is>
      </c>
      <c r="T1130" s="5" t="inlineStr">
        <is>
          <t>24</t>
        </is>
      </c>
      <c r="U1130" s="5">
        <f>IFS(C1130&lt;30,"Under 30",C1130&lt;40,"30-39",C1130&lt;50,"40-49",TRUE,"50+")</f>
        <v/>
      </c>
      <c r="V1130" s="5">
        <f>IFS(O1130&lt;60000,"Low (&lt;60k)",O1130&lt;100000,"Mid (60-100k)",TRUE,"High (100k+)")</f>
        <v/>
      </c>
      <c r="W1130" s="5">
        <f>IF(M1130="No","Attrited","Active")</f>
        <v/>
      </c>
    </row>
    <row r="1131">
      <c r="A1131" s="5" t="inlineStr">
        <is>
          <t>E01130</t>
        </is>
      </c>
      <c r="B1131" s="5" t="inlineStr">
        <is>
          <t>Male</t>
        </is>
      </c>
      <c r="C1131" s="6" t="inlineStr">
        <is>
          <t>36</t>
        </is>
      </c>
      <c r="D1131" s="5" t="inlineStr">
        <is>
          <t>Married</t>
        </is>
      </c>
      <c r="E1131" s="5" t="inlineStr">
        <is>
          <t>High School</t>
        </is>
      </c>
      <c r="F1131" s="5" t="inlineStr">
        <is>
          <t>Human Resources</t>
        </is>
      </c>
      <c r="G1131" s="5" t="inlineStr">
        <is>
          <t>Recruiter</t>
        </is>
      </c>
      <c r="H1131" s="5" t="inlineStr">
        <is>
          <t>2</t>
        </is>
      </c>
      <c r="I1131" s="5" t="inlineStr">
        <is>
          <t>Chennai</t>
        </is>
      </c>
      <c r="J1131" s="5" t="inlineStr">
        <is>
          <t>Full-Time</t>
        </is>
      </c>
      <c r="K1131" s="7" t="n">
        <v>45748</v>
      </c>
      <c r="L1131" s="7" t="inlineStr"/>
      <c r="M1131" s="5" t="inlineStr">
        <is>
          <t>Yes</t>
        </is>
      </c>
      <c r="N1131" s="5" t="inlineStr"/>
      <c r="O1131" s="8" t="inlineStr">
        <is>
          <t>91500</t>
        </is>
      </c>
      <c r="P1131" s="5" t="inlineStr">
        <is>
          <t>0</t>
        </is>
      </c>
      <c r="Q1131" s="5" t="inlineStr">
        <is>
          <t>3</t>
        </is>
      </c>
      <c r="R1131" s="5" t="inlineStr">
        <is>
          <t>5</t>
        </is>
      </c>
      <c r="S1131" s="5" t="inlineStr">
        <is>
          <t>9</t>
        </is>
      </c>
      <c r="T1131" s="5" t="inlineStr">
        <is>
          <t>9</t>
        </is>
      </c>
      <c r="U1131" s="5">
        <f>IFS(C1131&lt;30,"Under 30",C1131&lt;40,"30-39",C1131&lt;50,"40-49",TRUE,"50+")</f>
        <v/>
      </c>
      <c r="V1131" s="5">
        <f>IFS(O1131&lt;60000,"Low (&lt;60k)",O1131&lt;100000,"Mid (60-100k)",TRUE,"High (100k+)")</f>
        <v/>
      </c>
      <c r="W1131" s="5">
        <f>IF(M1131="No","Attrited","Active")</f>
        <v/>
      </c>
    </row>
    <row r="1132">
      <c r="A1132" s="5" t="inlineStr">
        <is>
          <t>E01131</t>
        </is>
      </c>
      <c r="B1132" s="5" t="inlineStr">
        <is>
          <t>Male</t>
        </is>
      </c>
      <c r="C1132" s="6" t="inlineStr">
        <is>
          <t>25</t>
        </is>
      </c>
      <c r="D1132" s="5" t="inlineStr">
        <is>
          <t>Married</t>
        </is>
      </c>
      <c r="E1132" s="5" t="inlineStr">
        <is>
          <t>Diploma</t>
        </is>
      </c>
      <c r="F1132" s="5" t="inlineStr">
        <is>
          <t>Customer Support</t>
        </is>
      </c>
      <c r="G1132" s="5" t="inlineStr">
        <is>
          <t>Support Agent</t>
        </is>
      </c>
      <c r="H1132" s="5" t="inlineStr">
        <is>
          <t>1</t>
        </is>
      </c>
      <c r="I1132" s="5" t="inlineStr">
        <is>
          <t>Hyderabad</t>
        </is>
      </c>
      <c r="J1132" s="5" t="inlineStr">
        <is>
          <t>Full-Time</t>
        </is>
      </c>
      <c r="K1132" s="7" t="n">
        <v>45700</v>
      </c>
      <c r="L1132" s="7" t="inlineStr"/>
      <c r="M1132" s="5" t="inlineStr">
        <is>
          <t>Yes</t>
        </is>
      </c>
      <c r="N1132" s="5" t="inlineStr"/>
      <c r="O1132" s="8" t="inlineStr">
        <is>
          <t>49500</t>
        </is>
      </c>
      <c r="P1132" s="5" t="inlineStr">
        <is>
          <t>0</t>
        </is>
      </c>
      <c r="Q1132" s="5" t="inlineStr">
        <is>
          <t>3</t>
        </is>
      </c>
      <c r="R1132" s="5" t="inlineStr">
        <is>
          <t>7</t>
        </is>
      </c>
      <c r="S1132" s="5" t="inlineStr">
        <is>
          <t>10</t>
        </is>
      </c>
      <c r="T1132" s="5" t="inlineStr">
        <is>
          <t>0</t>
        </is>
      </c>
      <c r="U1132" s="5">
        <f>IFS(C1132&lt;30,"Under 30",C1132&lt;40,"30-39",C1132&lt;50,"40-49",TRUE,"50+")</f>
        <v/>
      </c>
      <c r="V1132" s="5">
        <f>IFS(O1132&lt;60000,"Low (&lt;60k)",O1132&lt;100000,"Mid (60-100k)",TRUE,"High (100k+)")</f>
        <v/>
      </c>
      <c r="W1132" s="5">
        <f>IF(M1132="No","Attrited","Active")</f>
        <v/>
      </c>
    </row>
    <row r="1133">
      <c r="A1133" s="5" t="inlineStr">
        <is>
          <t>E01132</t>
        </is>
      </c>
      <c r="B1133" s="5" t="inlineStr">
        <is>
          <t>Male</t>
        </is>
      </c>
      <c r="C1133" s="6" t="inlineStr">
        <is>
          <t>36</t>
        </is>
      </c>
      <c r="D1133" s="5" t="inlineStr">
        <is>
          <t>Married</t>
        </is>
      </c>
      <c r="E1133" s="5" t="inlineStr">
        <is>
          <t>PhD</t>
        </is>
      </c>
      <c r="F1133" s="5" t="inlineStr">
        <is>
          <t>Sales</t>
        </is>
      </c>
      <c r="G1133" s="5" t="inlineStr">
        <is>
          <t>Business Development</t>
        </is>
      </c>
      <c r="H1133" s="5" t="inlineStr">
        <is>
          <t>4</t>
        </is>
      </c>
      <c r="I1133" s="5" t="inlineStr">
        <is>
          <t>Delhi</t>
        </is>
      </c>
      <c r="J1133" s="5" t="inlineStr">
        <is>
          <t>Full-Time</t>
        </is>
      </c>
      <c r="K1133" s="7" t="n">
        <v>45757</v>
      </c>
      <c r="L1133" s="7" t="n">
        <v>45810</v>
      </c>
      <c r="M1133" s="5" t="inlineStr">
        <is>
          <t>No</t>
        </is>
      </c>
      <c r="N1133" s="5" t="inlineStr">
        <is>
          <t>Resigned</t>
        </is>
      </c>
      <c r="O1133" s="8" t="inlineStr">
        <is>
          <t>114500</t>
        </is>
      </c>
      <c r="P1133" s="5" t="inlineStr">
        <is>
          <t>5</t>
        </is>
      </c>
      <c r="Q1133" s="5" t="inlineStr">
        <is>
          <t>5</t>
        </is>
      </c>
      <c r="R1133" s="5" t="inlineStr">
        <is>
          <t>6</t>
        </is>
      </c>
      <c r="S1133" s="5" t="inlineStr">
        <is>
          <t>1</t>
        </is>
      </c>
      <c r="T1133" s="5" t="inlineStr">
        <is>
          <t>2</t>
        </is>
      </c>
      <c r="U1133" s="5">
        <f>IFS(C1133&lt;30,"Under 30",C1133&lt;40,"30-39",C1133&lt;50,"40-49",TRUE,"50+")</f>
        <v/>
      </c>
      <c r="V1133" s="5">
        <f>IFS(O1133&lt;60000,"Low (&lt;60k)",O1133&lt;100000,"Mid (60-100k)",TRUE,"High (100k+)")</f>
        <v/>
      </c>
      <c r="W1133" s="5">
        <f>IF(M1133="No","Attrited","Active")</f>
        <v/>
      </c>
    </row>
    <row r="1134">
      <c r="A1134" s="5" t="inlineStr">
        <is>
          <t>E01133</t>
        </is>
      </c>
      <c r="B1134" s="5" t="inlineStr">
        <is>
          <t>Male</t>
        </is>
      </c>
      <c r="C1134" s="6" t="inlineStr">
        <is>
          <t>35</t>
        </is>
      </c>
      <c r="D1134" s="5" t="inlineStr">
        <is>
          <t>Married</t>
        </is>
      </c>
      <c r="E1134" s="5" t="inlineStr">
        <is>
          <t>PhD</t>
        </is>
      </c>
      <c r="F1134" s="5" t="inlineStr">
        <is>
          <t>IT</t>
        </is>
      </c>
      <c r="G1134" s="5" t="inlineStr">
        <is>
          <t>Data Analyst</t>
        </is>
      </c>
      <c r="H1134" s="5" t="inlineStr">
        <is>
          <t>3</t>
        </is>
      </c>
      <c r="I1134" s="5" t="inlineStr">
        <is>
          <t>Delhi</t>
        </is>
      </c>
      <c r="J1134" s="5" t="inlineStr">
        <is>
          <t>Contract</t>
        </is>
      </c>
      <c r="K1134" s="7" t="n">
        <v>44817</v>
      </c>
      <c r="L1134" s="7" t="inlineStr"/>
      <c r="M1134" s="5" t="inlineStr">
        <is>
          <t>Yes</t>
        </is>
      </c>
      <c r="N1134" s="5" t="inlineStr"/>
      <c r="O1134" s="8" t="inlineStr">
        <is>
          <t>146000</t>
        </is>
      </c>
      <c r="P1134" s="5" t="inlineStr">
        <is>
          <t>0</t>
        </is>
      </c>
      <c r="Q1134" s="5" t="inlineStr">
        <is>
          <t>2</t>
        </is>
      </c>
      <c r="R1134" s="5" t="inlineStr">
        <is>
          <t>7</t>
        </is>
      </c>
      <c r="S1134" s="5" t="inlineStr">
        <is>
          <t>40</t>
        </is>
      </c>
      <c r="T1134" s="5" t="inlineStr">
        <is>
          <t>8</t>
        </is>
      </c>
      <c r="U1134" s="5">
        <f>IFS(C1134&lt;30,"Under 30",C1134&lt;40,"30-39",C1134&lt;50,"40-49",TRUE,"50+")</f>
        <v/>
      </c>
      <c r="V1134" s="5">
        <f>IFS(O1134&lt;60000,"Low (&lt;60k)",O1134&lt;100000,"Mid (60-100k)",TRUE,"High (100k+)")</f>
        <v/>
      </c>
      <c r="W1134" s="5">
        <f>IF(M1134="No","Attrited","Active")</f>
        <v/>
      </c>
    </row>
    <row r="1135">
      <c r="A1135" s="5" t="inlineStr">
        <is>
          <t>E01134</t>
        </is>
      </c>
      <c r="B1135" s="5" t="inlineStr">
        <is>
          <t>Male</t>
        </is>
      </c>
      <c r="C1135" s="6" t="inlineStr">
        <is>
          <t>35</t>
        </is>
      </c>
      <c r="D1135" s="5" t="inlineStr">
        <is>
          <t>Single</t>
        </is>
      </c>
      <c r="E1135" s="5" t="inlineStr">
        <is>
          <t>High School</t>
        </is>
      </c>
      <c r="F1135" s="5" t="inlineStr">
        <is>
          <t>Customer Support</t>
        </is>
      </c>
      <c r="G1135" s="5" t="inlineStr">
        <is>
          <t>Support Lead</t>
        </is>
      </c>
      <c r="H1135" s="5" t="inlineStr">
        <is>
          <t>5</t>
        </is>
      </c>
      <c r="I1135" s="5" t="inlineStr">
        <is>
          <t>Bengaluru</t>
        </is>
      </c>
      <c r="J1135" s="5" t="inlineStr">
        <is>
          <t>Full-Time</t>
        </is>
      </c>
      <c r="K1135" s="7" t="n">
        <v>45906</v>
      </c>
      <c r="L1135" s="7" t="inlineStr"/>
      <c r="M1135" s="5" t="inlineStr">
        <is>
          <t>Yes</t>
        </is>
      </c>
      <c r="N1135" s="5" t="inlineStr"/>
      <c r="O1135" s="8" t="inlineStr">
        <is>
          <t>65500</t>
        </is>
      </c>
      <c r="P1135" s="5" t="inlineStr">
        <is>
          <t>0</t>
        </is>
      </c>
      <c r="Q1135" s="5" t="inlineStr">
        <is>
          <t>2</t>
        </is>
      </c>
      <c r="R1135" s="5" t="inlineStr">
        <is>
          <t>4</t>
        </is>
      </c>
      <c r="S1135" s="5" t="inlineStr">
        <is>
          <t>3</t>
        </is>
      </c>
      <c r="T1135" s="5" t="inlineStr">
        <is>
          <t>6</t>
        </is>
      </c>
      <c r="U1135" s="5">
        <f>IFS(C1135&lt;30,"Under 30",C1135&lt;40,"30-39",C1135&lt;50,"40-49",TRUE,"50+")</f>
        <v/>
      </c>
      <c r="V1135" s="5">
        <f>IFS(O1135&lt;60000,"Low (&lt;60k)",O1135&lt;100000,"Mid (60-100k)",TRUE,"High (100k+)")</f>
        <v/>
      </c>
      <c r="W1135" s="5">
        <f>IF(M1135="No","Attrited","Active")</f>
        <v/>
      </c>
    </row>
    <row r="1136">
      <c r="A1136" s="5" t="inlineStr">
        <is>
          <t>E01135</t>
        </is>
      </c>
      <c r="B1136" s="5" t="inlineStr">
        <is>
          <t>Male</t>
        </is>
      </c>
      <c r="C1136" s="6" t="inlineStr">
        <is>
          <t>29</t>
        </is>
      </c>
      <c r="D1136" s="5" t="inlineStr">
        <is>
          <t>Single</t>
        </is>
      </c>
      <c r="E1136" s="5" t="inlineStr">
        <is>
          <t>High School</t>
        </is>
      </c>
      <c r="F1136" s="5" t="inlineStr">
        <is>
          <t>Operations</t>
        </is>
      </c>
      <c r="G1136" s="5" t="inlineStr">
        <is>
          <t>Operations Analyst</t>
        </is>
      </c>
      <c r="H1136" s="5" t="inlineStr">
        <is>
          <t>2</t>
        </is>
      </c>
      <c r="I1136" s="5" t="inlineStr">
        <is>
          <t>Remote</t>
        </is>
      </c>
      <c r="J1136" s="5" t="inlineStr">
        <is>
          <t>Contract</t>
        </is>
      </c>
      <c r="K1136" s="7" t="n">
        <v>44469</v>
      </c>
      <c r="L1136" s="7" t="inlineStr"/>
      <c r="M1136" s="5" t="inlineStr">
        <is>
          <t>Yes</t>
        </is>
      </c>
      <c r="N1136" s="5" t="inlineStr"/>
      <c r="O1136" s="8" t="inlineStr">
        <is>
          <t>74000</t>
        </is>
      </c>
      <c r="P1136" s="5" t="inlineStr">
        <is>
          <t>10</t>
        </is>
      </c>
      <c r="Q1136" s="5" t="inlineStr">
        <is>
          <t>4</t>
        </is>
      </c>
      <c r="R1136" s="5" t="inlineStr">
        <is>
          <t>5</t>
        </is>
      </c>
      <c r="S1136" s="5" t="inlineStr">
        <is>
          <t>51</t>
        </is>
      </c>
      <c r="T1136" s="5" t="inlineStr">
        <is>
          <t>13</t>
        </is>
      </c>
      <c r="U1136" s="5">
        <f>IFS(C1136&lt;30,"Under 30",C1136&lt;40,"30-39",C1136&lt;50,"40-49",TRUE,"50+")</f>
        <v/>
      </c>
      <c r="V1136" s="5">
        <f>IFS(O1136&lt;60000,"Low (&lt;60k)",O1136&lt;100000,"Mid (60-100k)",TRUE,"High (100k+)")</f>
        <v/>
      </c>
      <c r="W1136" s="5">
        <f>IF(M1136="No","Attrited","Active")</f>
        <v/>
      </c>
    </row>
    <row r="1137">
      <c r="A1137" s="5" t="inlineStr">
        <is>
          <t>E01136</t>
        </is>
      </c>
      <c r="B1137" s="5" t="inlineStr">
        <is>
          <t>Male</t>
        </is>
      </c>
      <c r="C1137" s="6" t="inlineStr">
        <is>
          <t>35</t>
        </is>
      </c>
      <c r="D1137" s="5" t="inlineStr">
        <is>
          <t>Married</t>
        </is>
      </c>
      <c r="E1137" s="5" t="inlineStr">
        <is>
          <t>PhD</t>
        </is>
      </c>
      <c r="F1137" s="5" t="inlineStr">
        <is>
          <t>Customer Support</t>
        </is>
      </c>
      <c r="G1137" s="5" t="inlineStr">
        <is>
          <t>Escalation Specialist</t>
        </is>
      </c>
      <c r="H1137" s="5" t="inlineStr">
        <is>
          <t>2</t>
        </is>
      </c>
      <c r="I1137" s="5" t="inlineStr">
        <is>
          <t>Mumbai</t>
        </is>
      </c>
      <c r="J1137" s="5" t="inlineStr">
        <is>
          <t>Full-Time</t>
        </is>
      </c>
      <c r="K1137" s="7" t="n">
        <v>45359</v>
      </c>
      <c r="L1137" s="7" t="inlineStr"/>
      <c r="M1137" s="5" t="inlineStr">
        <is>
          <t>Yes</t>
        </is>
      </c>
      <c r="N1137" s="5" t="inlineStr"/>
      <c r="O1137" s="8" t="inlineStr">
        <is>
          <t>49500</t>
        </is>
      </c>
      <c r="P1137" s="5" t="inlineStr">
        <is>
          <t>10</t>
        </is>
      </c>
      <c r="Q1137" s="5" t="inlineStr">
        <is>
          <t>4</t>
        </is>
      </c>
      <c r="R1137" s="5" t="inlineStr">
        <is>
          <t>5</t>
        </is>
      </c>
      <c r="S1137" s="5" t="inlineStr">
        <is>
          <t>22</t>
        </is>
      </c>
      <c r="T1137" s="5" t="inlineStr">
        <is>
          <t>10</t>
        </is>
      </c>
      <c r="U1137" s="5">
        <f>IFS(C1137&lt;30,"Under 30",C1137&lt;40,"30-39",C1137&lt;50,"40-49",TRUE,"50+")</f>
        <v/>
      </c>
      <c r="V1137" s="5">
        <f>IFS(O1137&lt;60000,"Low (&lt;60k)",O1137&lt;100000,"Mid (60-100k)",TRUE,"High (100k+)")</f>
        <v/>
      </c>
      <c r="W1137" s="5">
        <f>IF(M1137="No","Attrited","Active")</f>
        <v/>
      </c>
    </row>
    <row r="1138">
      <c r="A1138" s="5" t="inlineStr">
        <is>
          <t>E01137</t>
        </is>
      </c>
      <c r="B1138" s="5" t="inlineStr">
        <is>
          <t>Male</t>
        </is>
      </c>
      <c r="C1138" s="6" t="inlineStr">
        <is>
          <t>33</t>
        </is>
      </c>
      <c r="D1138" s="5" t="inlineStr">
        <is>
          <t>Single</t>
        </is>
      </c>
      <c r="E1138" s="5" t="inlineStr">
        <is>
          <t>Master</t>
        </is>
      </c>
      <c r="F1138" s="5" t="inlineStr">
        <is>
          <t>Customer Support</t>
        </is>
      </c>
      <c r="G1138" s="5" t="inlineStr">
        <is>
          <t>Support Lead</t>
        </is>
      </c>
      <c r="H1138" s="5" t="inlineStr">
        <is>
          <t>3</t>
        </is>
      </c>
      <c r="I1138" s="5" t="inlineStr">
        <is>
          <t>Bengaluru</t>
        </is>
      </c>
      <c r="J1138" s="5" t="inlineStr">
        <is>
          <t>Full-Time</t>
        </is>
      </c>
      <c r="K1138" s="7" t="n">
        <v>44803</v>
      </c>
      <c r="L1138" s="7" t="inlineStr"/>
      <c r="M1138" s="5" t="inlineStr">
        <is>
          <t>Yes</t>
        </is>
      </c>
      <c r="N1138" s="5" t="inlineStr"/>
      <c r="O1138" s="8" t="inlineStr">
        <is>
          <t>78500</t>
        </is>
      </c>
      <c r="P1138" s="5" t="inlineStr">
        <is>
          <t>5</t>
        </is>
      </c>
      <c r="Q1138" s="5" t="inlineStr">
        <is>
          <t>5</t>
        </is>
      </c>
      <c r="R1138" s="5" t="inlineStr">
        <is>
          <t>9</t>
        </is>
      </c>
      <c r="S1138" s="5" t="inlineStr">
        <is>
          <t>40</t>
        </is>
      </c>
      <c r="T1138" s="5" t="inlineStr">
        <is>
          <t>11</t>
        </is>
      </c>
      <c r="U1138" s="5">
        <f>IFS(C1138&lt;30,"Under 30",C1138&lt;40,"30-39",C1138&lt;50,"40-49",TRUE,"50+")</f>
        <v/>
      </c>
      <c r="V1138" s="5">
        <f>IFS(O1138&lt;60000,"Low (&lt;60k)",O1138&lt;100000,"Mid (60-100k)",TRUE,"High (100k+)")</f>
        <v/>
      </c>
      <c r="W1138" s="5">
        <f>IF(M1138="No","Attrited","Active")</f>
        <v/>
      </c>
    </row>
    <row r="1139">
      <c r="A1139" s="5" t="inlineStr">
        <is>
          <t>E01138</t>
        </is>
      </c>
      <c r="B1139" s="5" t="inlineStr">
        <is>
          <t>Female</t>
        </is>
      </c>
      <c r="C1139" s="6" t="inlineStr">
        <is>
          <t>28</t>
        </is>
      </c>
      <c r="D1139" s="5" t="inlineStr">
        <is>
          <t>Married</t>
        </is>
      </c>
      <c r="E1139" s="5" t="inlineStr">
        <is>
          <t>Diploma</t>
        </is>
      </c>
      <c r="F1139" s="5" t="inlineStr">
        <is>
          <t>IT</t>
        </is>
      </c>
      <c r="G1139" s="5" t="inlineStr">
        <is>
          <t>Data Analyst</t>
        </is>
      </c>
      <c r="H1139" s="5" t="inlineStr">
        <is>
          <t>1</t>
        </is>
      </c>
      <c r="I1139" s="5" t="inlineStr">
        <is>
          <t>Mumbai</t>
        </is>
      </c>
      <c r="J1139" s="5" t="inlineStr">
        <is>
          <t>Full-Time</t>
        </is>
      </c>
      <c r="K1139" s="7" t="n">
        <v>45891</v>
      </c>
      <c r="L1139" s="7" t="inlineStr"/>
      <c r="M1139" s="5" t="inlineStr">
        <is>
          <t>Yes</t>
        </is>
      </c>
      <c r="N1139" s="5" t="inlineStr"/>
      <c r="O1139" s="8" t="inlineStr">
        <is>
          <t>123500</t>
        </is>
      </c>
      <c r="P1139" s="5" t="inlineStr">
        <is>
          <t>5</t>
        </is>
      </c>
      <c r="Q1139" s="5" t="inlineStr">
        <is>
          <t>3</t>
        </is>
      </c>
      <c r="R1139" s="5" t="inlineStr">
        <is>
          <t>6</t>
        </is>
      </c>
      <c r="S1139" s="5" t="inlineStr">
        <is>
          <t>4</t>
        </is>
      </c>
      <c r="T1139" s="5" t="inlineStr">
        <is>
          <t>5</t>
        </is>
      </c>
      <c r="U1139" s="5">
        <f>IFS(C1139&lt;30,"Under 30",C1139&lt;40,"30-39",C1139&lt;50,"40-49",TRUE,"50+")</f>
        <v/>
      </c>
      <c r="V1139" s="5">
        <f>IFS(O1139&lt;60000,"Low (&lt;60k)",O1139&lt;100000,"Mid (60-100k)",TRUE,"High (100k+)")</f>
        <v/>
      </c>
      <c r="W1139" s="5">
        <f>IF(M1139="No","Attrited","Active")</f>
        <v/>
      </c>
    </row>
    <row r="1140">
      <c r="A1140" s="5" t="inlineStr">
        <is>
          <t>E01139</t>
        </is>
      </c>
      <c r="B1140" s="5" t="inlineStr">
        <is>
          <t>Male</t>
        </is>
      </c>
      <c r="C1140" s="6" t="inlineStr">
        <is>
          <t>29</t>
        </is>
      </c>
      <c r="D1140" s="5" t="inlineStr">
        <is>
          <t>Married</t>
        </is>
      </c>
      <c r="E1140" s="5" t="inlineStr">
        <is>
          <t>High School</t>
        </is>
      </c>
      <c r="F1140" s="5" t="inlineStr">
        <is>
          <t>Research &amp; Development</t>
        </is>
      </c>
      <c r="G1140" s="5" t="inlineStr">
        <is>
          <t>Research Scientist</t>
        </is>
      </c>
      <c r="H1140" s="5" t="inlineStr">
        <is>
          <t>3</t>
        </is>
      </c>
      <c r="I1140" s="5" t="inlineStr">
        <is>
          <t>Remote</t>
        </is>
      </c>
      <c r="J1140" s="5" t="inlineStr">
        <is>
          <t>Full-Time</t>
        </is>
      </c>
      <c r="K1140" s="7" t="n">
        <v>43907</v>
      </c>
      <c r="L1140" s="7" t="inlineStr"/>
      <c r="M1140" s="5" t="inlineStr">
        <is>
          <t>Yes</t>
        </is>
      </c>
      <c r="N1140" s="5" t="inlineStr"/>
      <c r="O1140" s="8" t="inlineStr">
        <is>
          <t>138500</t>
        </is>
      </c>
      <c r="P1140" s="5" t="inlineStr">
        <is>
          <t>0</t>
        </is>
      </c>
      <c r="Q1140" s="5" t="inlineStr">
        <is>
          <t>2</t>
        </is>
      </c>
      <c r="R1140" s="5" t="inlineStr">
        <is>
          <t>6</t>
        </is>
      </c>
      <c r="S1140" s="5" t="inlineStr">
        <is>
          <t>70</t>
        </is>
      </c>
      <c r="T1140" s="5" t="inlineStr">
        <is>
          <t>2</t>
        </is>
      </c>
      <c r="U1140" s="5">
        <f>IFS(C1140&lt;30,"Under 30",C1140&lt;40,"30-39",C1140&lt;50,"40-49",TRUE,"50+")</f>
        <v/>
      </c>
      <c r="V1140" s="5">
        <f>IFS(O1140&lt;60000,"Low (&lt;60k)",O1140&lt;100000,"Mid (60-100k)",TRUE,"High (100k+)")</f>
        <v/>
      </c>
      <c r="W1140" s="5">
        <f>IF(M1140="No","Attrited","Active")</f>
        <v/>
      </c>
    </row>
    <row r="1141">
      <c r="A1141" s="5" t="inlineStr">
        <is>
          <t>E01140</t>
        </is>
      </c>
      <c r="B1141" s="5" t="inlineStr">
        <is>
          <t>Female</t>
        </is>
      </c>
      <c r="C1141" s="6" t="inlineStr">
        <is>
          <t>32</t>
        </is>
      </c>
      <c r="D1141" s="5" t="inlineStr">
        <is>
          <t>Single</t>
        </is>
      </c>
      <c r="E1141" s="5" t="inlineStr">
        <is>
          <t>Master</t>
        </is>
      </c>
      <c r="F1141" s="5" t="inlineStr">
        <is>
          <t>Sales</t>
        </is>
      </c>
      <c r="G1141" s="5" t="inlineStr">
        <is>
          <t>Account Executive</t>
        </is>
      </c>
      <c r="H1141" s="5" t="inlineStr">
        <is>
          <t>3</t>
        </is>
      </c>
      <c r="I1141" s="5" t="inlineStr">
        <is>
          <t>Hyderabad</t>
        </is>
      </c>
      <c r="J1141" s="5" t="inlineStr">
        <is>
          <t>Full-Time</t>
        </is>
      </c>
      <c r="K1141" s="7" t="n">
        <v>45108</v>
      </c>
      <c r="L1141" s="7" t="n">
        <v>45179</v>
      </c>
      <c r="M1141" s="5" t="inlineStr">
        <is>
          <t>No</t>
        </is>
      </c>
      <c r="N1141" s="5" t="inlineStr">
        <is>
          <t>Retirement</t>
        </is>
      </c>
      <c r="O1141" s="8" t="inlineStr">
        <is>
          <t>116000</t>
        </is>
      </c>
      <c r="P1141" s="5" t="inlineStr">
        <is>
          <t>20</t>
        </is>
      </c>
      <c r="Q1141" s="5" t="inlineStr">
        <is>
          <t>3</t>
        </is>
      </c>
      <c r="R1141" s="5" t="inlineStr">
        <is>
          <t>8</t>
        </is>
      </c>
      <c r="S1141" s="5" t="inlineStr">
        <is>
          <t>2</t>
        </is>
      </c>
      <c r="T1141" s="5" t="inlineStr">
        <is>
          <t>0</t>
        </is>
      </c>
      <c r="U1141" s="5">
        <f>IFS(C1141&lt;30,"Under 30",C1141&lt;40,"30-39",C1141&lt;50,"40-49",TRUE,"50+")</f>
        <v/>
      </c>
      <c r="V1141" s="5">
        <f>IFS(O1141&lt;60000,"Low (&lt;60k)",O1141&lt;100000,"Mid (60-100k)",TRUE,"High (100k+)")</f>
        <v/>
      </c>
      <c r="W1141" s="5">
        <f>IF(M1141="No","Attrited","Active")</f>
        <v/>
      </c>
    </row>
    <row r="1142">
      <c r="A1142" s="5" t="inlineStr">
        <is>
          <t>E01141</t>
        </is>
      </c>
      <c r="B1142" s="5" t="inlineStr">
        <is>
          <t>Male</t>
        </is>
      </c>
      <c r="C1142" s="6" t="inlineStr">
        <is>
          <t>36</t>
        </is>
      </c>
      <c r="D1142" s="5" t="inlineStr">
        <is>
          <t>Married</t>
        </is>
      </c>
      <c r="E1142" s="5" t="inlineStr">
        <is>
          <t>PhD</t>
        </is>
      </c>
      <c r="F1142" s="5" t="inlineStr">
        <is>
          <t>Finance</t>
        </is>
      </c>
      <c r="G1142" s="5" t="inlineStr">
        <is>
          <t>Accountant</t>
        </is>
      </c>
      <c r="H1142" s="5" t="inlineStr">
        <is>
          <t>3</t>
        </is>
      </c>
      <c r="I1142" s="5" t="inlineStr">
        <is>
          <t>Chennai</t>
        </is>
      </c>
      <c r="J1142" s="5" t="inlineStr">
        <is>
          <t>Full-Time</t>
        </is>
      </c>
      <c r="K1142" s="7" t="n">
        <v>45230</v>
      </c>
      <c r="L1142" s="7" t="inlineStr"/>
      <c r="M1142" s="5" t="inlineStr">
        <is>
          <t>Yes</t>
        </is>
      </c>
      <c r="N1142" s="5" t="inlineStr"/>
      <c r="O1142" s="8" t="inlineStr">
        <is>
          <t>135000</t>
        </is>
      </c>
      <c r="P1142" s="5" t="inlineStr">
        <is>
          <t>5</t>
        </is>
      </c>
      <c r="Q1142" s="5" t="inlineStr">
        <is>
          <t>5</t>
        </is>
      </c>
      <c r="R1142" s="5" t="inlineStr">
        <is>
          <t>3</t>
        </is>
      </c>
      <c r="S1142" s="5" t="inlineStr">
        <is>
          <t>26</t>
        </is>
      </c>
      <c r="T1142" s="5" t="inlineStr">
        <is>
          <t>5</t>
        </is>
      </c>
      <c r="U1142" s="5">
        <f>IFS(C1142&lt;30,"Under 30",C1142&lt;40,"30-39",C1142&lt;50,"40-49",TRUE,"50+")</f>
        <v/>
      </c>
      <c r="V1142" s="5">
        <f>IFS(O1142&lt;60000,"Low (&lt;60k)",O1142&lt;100000,"Mid (60-100k)",TRUE,"High (100k+)")</f>
        <v/>
      </c>
      <c r="W1142" s="5">
        <f>IF(M1142="No","Attrited","Active")</f>
        <v/>
      </c>
    </row>
    <row r="1143">
      <c r="A1143" s="5" t="inlineStr">
        <is>
          <t>E01142</t>
        </is>
      </c>
      <c r="B1143" s="5" t="inlineStr">
        <is>
          <t>Female</t>
        </is>
      </c>
      <c r="C1143" s="6" t="inlineStr">
        <is>
          <t>38</t>
        </is>
      </c>
      <c r="D1143" s="5" t="inlineStr">
        <is>
          <t>Single</t>
        </is>
      </c>
      <c r="E1143" s="5" t="inlineStr">
        <is>
          <t>Bachelor</t>
        </is>
      </c>
      <c r="F1143" s="5" t="inlineStr">
        <is>
          <t>Customer Support</t>
        </is>
      </c>
      <c r="G1143" s="5" t="inlineStr">
        <is>
          <t>Support Agent</t>
        </is>
      </c>
      <c r="H1143" s="5" t="inlineStr">
        <is>
          <t>3</t>
        </is>
      </c>
      <c r="I1143" s="5" t="inlineStr">
        <is>
          <t>Bengaluru</t>
        </is>
      </c>
      <c r="J1143" s="5" t="inlineStr">
        <is>
          <t>Full-Time</t>
        </is>
      </c>
      <c r="K1143" s="7" t="n">
        <v>43878</v>
      </c>
      <c r="L1143" s="7" t="inlineStr"/>
      <c r="M1143" s="5" t="inlineStr">
        <is>
          <t>Yes</t>
        </is>
      </c>
      <c r="N1143" s="5" t="inlineStr"/>
      <c r="O1143" s="8" t="inlineStr">
        <is>
          <t>70500</t>
        </is>
      </c>
      <c r="P1143" s="5" t="inlineStr">
        <is>
          <t>5</t>
        </is>
      </c>
      <c r="Q1143" s="5" t="inlineStr">
        <is>
          <t>1</t>
        </is>
      </c>
      <c r="R1143" s="5" t="inlineStr">
        <is>
          <t>7</t>
        </is>
      </c>
      <c r="S1143" s="5" t="inlineStr">
        <is>
          <t>71</t>
        </is>
      </c>
      <c r="T1143" s="5" t="inlineStr">
        <is>
          <t>0</t>
        </is>
      </c>
      <c r="U1143" s="5">
        <f>IFS(C1143&lt;30,"Under 30",C1143&lt;40,"30-39",C1143&lt;50,"40-49",TRUE,"50+")</f>
        <v/>
      </c>
      <c r="V1143" s="5">
        <f>IFS(O1143&lt;60000,"Low (&lt;60k)",O1143&lt;100000,"Mid (60-100k)",TRUE,"High (100k+)")</f>
        <v/>
      </c>
      <c r="W1143" s="5">
        <f>IF(M1143="No","Attrited","Active")</f>
        <v/>
      </c>
    </row>
    <row r="1144">
      <c r="A1144" s="5" t="inlineStr">
        <is>
          <t>E01143</t>
        </is>
      </c>
      <c r="B1144" s="5" t="inlineStr">
        <is>
          <t>Female</t>
        </is>
      </c>
      <c r="C1144" s="6" t="inlineStr">
        <is>
          <t>38</t>
        </is>
      </c>
      <c r="D1144" s="5" t="inlineStr">
        <is>
          <t>Single</t>
        </is>
      </c>
      <c r="E1144" s="5" t="inlineStr">
        <is>
          <t>High School</t>
        </is>
      </c>
      <c r="F1144" s="5" t="inlineStr">
        <is>
          <t>Operations</t>
        </is>
      </c>
      <c r="G1144" s="5" t="inlineStr">
        <is>
          <t>Operations Analyst</t>
        </is>
      </c>
      <c r="H1144" s="5" t="inlineStr">
        <is>
          <t>5</t>
        </is>
      </c>
      <c r="I1144" s="5" t="inlineStr">
        <is>
          <t>Chennai</t>
        </is>
      </c>
      <c r="J1144" s="5" t="inlineStr">
        <is>
          <t>Full-Time</t>
        </is>
      </c>
      <c r="K1144" s="7" t="n">
        <v>45471</v>
      </c>
      <c r="L1144" s="7" t="inlineStr"/>
      <c r="M1144" s="5" t="inlineStr">
        <is>
          <t>Yes</t>
        </is>
      </c>
      <c r="N1144" s="5" t="inlineStr"/>
      <c r="O1144" s="8" t="inlineStr">
        <is>
          <t>133500</t>
        </is>
      </c>
      <c r="P1144" s="5" t="inlineStr">
        <is>
          <t>20</t>
        </is>
      </c>
      <c r="Q1144" s="5" t="inlineStr">
        <is>
          <t>1</t>
        </is>
      </c>
      <c r="R1144" s="5" t="inlineStr">
        <is>
          <t>3</t>
        </is>
      </c>
      <c r="S1144" s="5" t="inlineStr">
        <is>
          <t>18</t>
        </is>
      </c>
      <c r="T1144" s="5" t="inlineStr">
        <is>
          <t>18</t>
        </is>
      </c>
      <c r="U1144" s="5">
        <f>IFS(C1144&lt;30,"Under 30",C1144&lt;40,"30-39",C1144&lt;50,"40-49",TRUE,"50+")</f>
        <v/>
      </c>
      <c r="V1144" s="5">
        <f>IFS(O1144&lt;60000,"Low (&lt;60k)",O1144&lt;100000,"Mid (60-100k)",TRUE,"High (100k+)")</f>
        <v/>
      </c>
      <c r="W1144" s="5">
        <f>IF(M1144="No","Attrited","Active")</f>
        <v/>
      </c>
    </row>
    <row r="1145">
      <c r="A1145" s="5" t="inlineStr">
        <is>
          <t>E01144</t>
        </is>
      </c>
      <c r="B1145" s="5" t="inlineStr">
        <is>
          <t>Female</t>
        </is>
      </c>
      <c r="C1145" s="6" t="inlineStr">
        <is>
          <t>36</t>
        </is>
      </c>
      <c r="D1145" s="5" t="inlineStr">
        <is>
          <t>Single</t>
        </is>
      </c>
      <c r="E1145" s="5" t="inlineStr">
        <is>
          <t>Diploma</t>
        </is>
      </c>
      <c r="F1145" s="5" t="inlineStr">
        <is>
          <t>Finance</t>
        </is>
      </c>
      <c r="G1145" s="5" t="inlineStr">
        <is>
          <t>Financial Analyst</t>
        </is>
      </c>
      <c r="H1145" s="5" t="inlineStr">
        <is>
          <t>2</t>
        </is>
      </c>
      <c r="I1145" s="5" t="inlineStr">
        <is>
          <t>Remote</t>
        </is>
      </c>
      <c r="J1145" s="5" t="inlineStr">
        <is>
          <t>Full-Time</t>
        </is>
      </c>
      <c r="K1145" s="7" t="n">
        <v>44715</v>
      </c>
      <c r="L1145" s="7" t="inlineStr"/>
      <c r="M1145" s="5" t="inlineStr">
        <is>
          <t>Yes</t>
        </is>
      </c>
      <c r="N1145" s="5" t="inlineStr"/>
      <c r="O1145" s="8" t="inlineStr">
        <is>
          <t>84500</t>
        </is>
      </c>
      <c r="P1145" s="5" t="inlineStr">
        <is>
          <t>20</t>
        </is>
      </c>
      <c r="Q1145" s="5" t="inlineStr">
        <is>
          <t>3</t>
        </is>
      </c>
      <c r="R1145" s="5" t="inlineStr">
        <is>
          <t>5</t>
        </is>
      </c>
      <c r="S1145" s="5" t="inlineStr">
        <is>
          <t>43</t>
        </is>
      </c>
      <c r="T1145" s="5" t="inlineStr">
        <is>
          <t>10</t>
        </is>
      </c>
      <c r="U1145" s="5">
        <f>IFS(C1145&lt;30,"Under 30",C1145&lt;40,"30-39",C1145&lt;50,"40-49",TRUE,"50+")</f>
        <v/>
      </c>
      <c r="V1145" s="5">
        <f>IFS(O1145&lt;60000,"Low (&lt;60k)",O1145&lt;100000,"Mid (60-100k)",TRUE,"High (100k+)")</f>
        <v/>
      </c>
      <c r="W1145" s="5">
        <f>IF(M1145="No","Attrited","Active")</f>
        <v/>
      </c>
    </row>
    <row r="1146">
      <c r="A1146" s="5" t="inlineStr">
        <is>
          <t>E01145</t>
        </is>
      </c>
      <c r="B1146" s="5" t="inlineStr">
        <is>
          <t>Female</t>
        </is>
      </c>
      <c r="C1146" s="6" t="inlineStr">
        <is>
          <t>25</t>
        </is>
      </c>
      <c r="D1146" s="5" t="inlineStr">
        <is>
          <t>Married</t>
        </is>
      </c>
      <c r="E1146" s="5" t="inlineStr">
        <is>
          <t>Diploma</t>
        </is>
      </c>
      <c r="F1146" s="5" t="inlineStr">
        <is>
          <t>Operations</t>
        </is>
      </c>
      <c r="G1146" s="5" t="inlineStr">
        <is>
          <t>Quality Analyst</t>
        </is>
      </c>
      <c r="H1146" s="5" t="inlineStr">
        <is>
          <t>1</t>
        </is>
      </c>
      <c r="I1146" s="5" t="inlineStr">
        <is>
          <t>Mumbai</t>
        </is>
      </c>
      <c r="J1146" s="5" t="inlineStr">
        <is>
          <t>Full-Time</t>
        </is>
      </c>
      <c r="K1146" s="7" t="n">
        <v>44203</v>
      </c>
      <c r="L1146" s="7" t="inlineStr"/>
      <c r="M1146" s="5" t="inlineStr">
        <is>
          <t>Yes</t>
        </is>
      </c>
      <c r="N1146" s="5" t="inlineStr"/>
      <c r="O1146" s="8" t="inlineStr">
        <is>
          <t>65500</t>
        </is>
      </c>
      <c r="P1146" s="5" t="inlineStr">
        <is>
          <t>5</t>
        </is>
      </c>
      <c r="Q1146" s="5" t="inlineStr">
        <is>
          <t>5</t>
        </is>
      </c>
      <c r="R1146" s="5" t="inlineStr">
        <is>
          <t>9</t>
        </is>
      </c>
      <c r="S1146" s="5" t="inlineStr">
        <is>
          <t>60</t>
        </is>
      </c>
      <c r="T1146" s="5" t="inlineStr">
        <is>
          <t>12</t>
        </is>
      </c>
      <c r="U1146" s="5">
        <f>IFS(C1146&lt;30,"Under 30",C1146&lt;40,"30-39",C1146&lt;50,"40-49",TRUE,"50+")</f>
        <v/>
      </c>
      <c r="V1146" s="5">
        <f>IFS(O1146&lt;60000,"Low (&lt;60k)",O1146&lt;100000,"Mid (60-100k)",TRUE,"High (100k+)")</f>
        <v/>
      </c>
      <c r="W1146" s="5">
        <f>IF(M1146="No","Attrited","Active")</f>
        <v/>
      </c>
    </row>
    <row r="1147">
      <c r="A1147" s="5" t="inlineStr">
        <is>
          <t>E01146</t>
        </is>
      </c>
      <c r="B1147" s="5" t="inlineStr">
        <is>
          <t>Female</t>
        </is>
      </c>
      <c r="C1147" s="6" t="inlineStr">
        <is>
          <t>38</t>
        </is>
      </c>
      <c r="D1147" s="5" t="inlineStr">
        <is>
          <t>Married</t>
        </is>
      </c>
      <c r="E1147" s="5" t="inlineStr">
        <is>
          <t>Diploma</t>
        </is>
      </c>
      <c r="F1147" s="5" t="inlineStr">
        <is>
          <t>Marketing</t>
        </is>
      </c>
      <c r="G1147" s="5" t="inlineStr">
        <is>
          <t>Marketing Analyst</t>
        </is>
      </c>
      <c r="H1147" s="5" t="inlineStr">
        <is>
          <t>7</t>
        </is>
      </c>
      <c r="I1147" s="5" t="inlineStr">
        <is>
          <t>Remote</t>
        </is>
      </c>
      <c r="J1147" s="5" t="inlineStr">
        <is>
          <t>Full-Time</t>
        </is>
      </c>
      <c r="K1147" s="7" t="n">
        <v>45797</v>
      </c>
      <c r="L1147" s="7" t="inlineStr"/>
      <c r="M1147" s="5" t="inlineStr">
        <is>
          <t>Yes</t>
        </is>
      </c>
      <c r="N1147" s="5" t="inlineStr"/>
      <c r="O1147" s="8" t="inlineStr">
        <is>
          <t>135000</t>
        </is>
      </c>
      <c r="P1147" s="5" t="inlineStr">
        <is>
          <t>0</t>
        </is>
      </c>
      <c r="Q1147" s="5" t="inlineStr">
        <is>
          <t>3</t>
        </is>
      </c>
      <c r="R1147" s="5" t="inlineStr">
        <is>
          <t>8</t>
        </is>
      </c>
      <c r="S1147" s="5" t="inlineStr">
        <is>
          <t>7</t>
        </is>
      </c>
      <c r="T1147" s="5" t="inlineStr">
        <is>
          <t>0</t>
        </is>
      </c>
      <c r="U1147" s="5">
        <f>IFS(C1147&lt;30,"Under 30",C1147&lt;40,"30-39",C1147&lt;50,"40-49",TRUE,"50+")</f>
        <v/>
      </c>
      <c r="V1147" s="5">
        <f>IFS(O1147&lt;60000,"Low (&lt;60k)",O1147&lt;100000,"Mid (60-100k)",TRUE,"High (100k+)")</f>
        <v/>
      </c>
      <c r="W1147" s="5">
        <f>IF(M1147="No","Attrited","Active")</f>
        <v/>
      </c>
    </row>
    <row r="1148">
      <c r="A1148" s="5" t="inlineStr">
        <is>
          <t>E01147</t>
        </is>
      </c>
      <c r="B1148" s="5" t="inlineStr">
        <is>
          <t>Male</t>
        </is>
      </c>
      <c r="C1148" s="6" t="inlineStr">
        <is>
          <t>26</t>
        </is>
      </c>
      <c r="D1148" s="5" t="inlineStr">
        <is>
          <t>Married</t>
        </is>
      </c>
      <c r="E1148" s="5" t="inlineStr">
        <is>
          <t>Bachelor</t>
        </is>
      </c>
      <c r="F1148" s="5" t="inlineStr">
        <is>
          <t>Finance</t>
        </is>
      </c>
      <c r="G1148" s="5" t="inlineStr">
        <is>
          <t>Accountant</t>
        </is>
      </c>
      <c r="H1148" s="5" t="inlineStr">
        <is>
          <t>2</t>
        </is>
      </c>
      <c r="I1148" s="5" t="inlineStr">
        <is>
          <t>Hyderabad</t>
        </is>
      </c>
      <c r="J1148" s="5" t="inlineStr">
        <is>
          <t>Contract</t>
        </is>
      </c>
      <c r="K1148" s="7" t="n">
        <v>44502</v>
      </c>
      <c r="L1148" s="7" t="n">
        <v>44574</v>
      </c>
      <c r="M1148" s="5" t="inlineStr">
        <is>
          <t>No</t>
        </is>
      </c>
      <c r="N1148" s="5" t="inlineStr">
        <is>
          <t>Resigned</t>
        </is>
      </c>
      <c r="O1148" s="8" t="inlineStr">
        <is>
          <t>128500</t>
        </is>
      </c>
      <c r="P1148" s="5" t="inlineStr">
        <is>
          <t>5</t>
        </is>
      </c>
      <c r="Q1148" s="5" t="inlineStr">
        <is>
          <t>3</t>
        </is>
      </c>
      <c r="R1148" s="5" t="inlineStr">
        <is>
          <t>4</t>
        </is>
      </c>
      <c r="S1148" s="5" t="inlineStr">
        <is>
          <t>2</t>
        </is>
      </c>
      <c r="T1148" s="5" t="inlineStr">
        <is>
          <t>2</t>
        </is>
      </c>
      <c r="U1148" s="5">
        <f>IFS(C1148&lt;30,"Under 30",C1148&lt;40,"30-39",C1148&lt;50,"40-49",TRUE,"50+")</f>
        <v/>
      </c>
      <c r="V1148" s="5">
        <f>IFS(O1148&lt;60000,"Low (&lt;60k)",O1148&lt;100000,"Mid (60-100k)",TRUE,"High (100k+)")</f>
        <v/>
      </c>
      <c r="W1148" s="5">
        <f>IF(M1148="No","Attrited","Active")</f>
        <v/>
      </c>
    </row>
    <row r="1149">
      <c r="A1149" s="5" t="inlineStr">
        <is>
          <t>E01148</t>
        </is>
      </c>
      <c r="B1149" s="5" t="inlineStr">
        <is>
          <t>Male</t>
        </is>
      </c>
      <c r="C1149" s="6" t="inlineStr">
        <is>
          <t>25</t>
        </is>
      </c>
      <c r="D1149" s="5" t="inlineStr">
        <is>
          <t>Married</t>
        </is>
      </c>
      <c r="E1149" s="5" t="inlineStr">
        <is>
          <t>Master</t>
        </is>
      </c>
      <c r="F1149" s="5" t="inlineStr">
        <is>
          <t>Sales</t>
        </is>
      </c>
      <c r="G1149" s="5" t="inlineStr">
        <is>
          <t>Sales Executive</t>
        </is>
      </c>
      <c r="H1149" s="5" t="inlineStr">
        <is>
          <t>2</t>
        </is>
      </c>
      <c r="I1149" s="5" t="inlineStr">
        <is>
          <t>Bengaluru</t>
        </is>
      </c>
      <c r="J1149" s="5" t="inlineStr">
        <is>
          <t>Full-Time</t>
        </is>
      </c>
      <c r="K1149" s="7" t="n">
        <v>45025</v>
      </c>
      <c r="L1149" s="7" t="inlineStr"/>
      <c r="M1149" s="5" t="inlineStr">
        <is>
          <t>Yes</t>
        </is>
      </c>
      <c r="N1149" s="5" t="inlineStr"/>
      <c r="O1149" s="8" t="inlineStr">
        <is>
          <t>112000</t>
        </is>
      </c>
      <c r="P1149" s="5" t="inlineStr">
        <is>
          <t>5</t>
        </is>
      </c>
      <c r="Q1149" s="5" t="inlineStr">
        <is>
          <t>5</t>
        </is>
      </c>
      <c r="R1149" s="5" t="inlineStr">
        <is>
          <t>6</t>
        </is>
      </c>
      <c r="S1149" s="5" t="inlineStr">
        <is>
          <t>33</t>
        </is>
      </c>
      <c r="T1149" s="5" t="inlineStr">
        <is>
          <t>12</t>
        </is>
      </c>
      <c r="U1149" s="5">
        <f>IFS(C1149&lt;30,"Under 30",C1149&lt;40,"30-39",C1149&lt;50,"40-49",TRUE,"50+")</f>
        <v/>
      </c>
      <c r="V1149" s="5">
        <f>IFS(O1149&lt;60000,"Low (&lt;60k)",O1149&lt;100000,"Mid (60-100k)",TRUE,"High (100k+)")</f>
        <v/>
      </c>
      <c r="W1149" s="5">
        <f>IF(M1149="No","Attrited","Active")</f>
        <v/>
      </c>
    </row>
    <row r="1150">
      <c r="A1150" s="5" t="inlineStr">
        <is>
          <t>E01149</t>
        </is>
      </c>
      <c r="B1150" s="5" t="inlineStr">
        <is>
          <t>Female</t>
        </is>
      </c>
      <c r="C1150" s="6" t="inlineStr">
        <is>
          <t>33</t>
        </is>
      </c>
      <c r="D1150" s="5" t="inlineStr">
        <is>
          <t>Married</t>
        </is>
      </c>
      <c r="E1150" s="5" t="inlineStr">
        <is>
          <t>Bachelor</t>
        </is>
      </c>
      <c r="F1150" s="5" t="inlineStr">
        <is>
          <t>IT</t>
        </is>
      </c>
      <c r="G1150" s="5" t="inlineStr">
        <is>
          <t>Data Analyst</t>
        </is>
      </c>
      <c r="H1150" s="5" t="inlineStr">
        <is>
          <t>1</t>
        </is>
      </c>
      <c r="I1150" s="5" t="inlineStr">
        <is>
          <t>Delhi</t>
        </is>
      </c>
      <c r="J1150" s="5" t="inlineStr">
        <is>
          <t>Full-Time</t>
        </is>
      </c>
      <c r="K1150" s="7" t="n">
        <v>44186</v>
      </c>
      <c r="L1150" s="7" t="n">
        <v>44246</v>
      </c>
      <c r="M1150" s="5" t="inlineStr">
        <is>
          <t>No</t>
        </is>
      </c>
      <c r="N1150" s="5" t="inlineStr">
        <is>
          <t>Retirement</t>
        </is>
      </c>
      <c r="O1150" s="8" t="inlineStr">
        <is>
          <t>100500</t>
        </is>
      </c>
      <c r="P1150" s="5" t="inlineStr">
        <is>
          <t>10</t>
        </is>
      </c>
      <c r="Q1150" s="5" t="inlineStr">
        <is>
          <t>5</t>
        </is>
      </c>
      <c r="R1150" s="5" t="inlineStr">
        <is>
          <t>7</t>
        </is>
      </c>
      <c r="S1150" s="5" t="inlineStr">
        <is>
          <t>2</t>
        </is>
      </c>
      <c r="T1150" s="5" t="inlineStr">
        <is>
          <t>11</t>
        </is>
      </c>
      <c r="U1150" s="5">
        <f>IFS(C1150&lt;30,"Under 30",C1150&lt;40,"30-39",C1150&lt;50,"40-49",TRUE,"50+")</f>
        <v/>
      </c>
      <c r="V1150" s="5">
        <f>IFS(O1150&lt;60000,"Low (&lt;60k)",O1150&lt;100000,"Mid (60-100k)",TRUE,"High (100k+)")</f>
        <v/>
      </c>
      <c r="W1150" s="5">
        <f>IF(M1150="No","Attrited","Active")</f>
        <v/>
      </c>
    </row>
    <row r="1151">
      <c r="A1151" s="5" t="inlineStr">
        <is>
          <t>E01150</t>
        </is>
      </c>
      <c r="B1151" s="5" t="inlineStr">
        <is>
          <t>Male</t>
        </is>
      </c>
      <c r="C1151" s="6" t="inlineStr">
        <is>
          <t>38</t>
        </is>
      </c>
      <c r="D1151" s="5" t="inlineStr">
        <is>
          <t>Married</t>
        </is>
      </c>
      <c r="E1151" s="5" t="inlineStr">
        <is>
          <t>High School</t>
        </is>
      </c>
      <c r="F1151" s="5" t="inlineStr">
        <is>
          <t>Research &amp; Development</t>
        </is>
      </c>
      <c r="G1151" s="5" t="inlineStr">
        <is>
          <t>Product Engineer</t>
        </is>
      </c>
      <c r="H1151" s="5" t="inlineStr">
        <is>
          <t>4</t>
        </is>
      </c>
      <c r="I1151" s="5" t="inlineStr">
        <is>
          <t>Bengaluru</t>
        </is>
      </c>
      <c r="J1151" s="5" t="inlineStr">
        <is>
          <t>Full-Time</t>
        </is>
      </c>
      <c r="K1151" s="7" t="n">
        <v>44483</v>
      </c>
      <c r="L1151" s="7" t="inlineStr"/>
      <c r="M1151" s="5" t="inlineStr">
        <is>
          <t>Yes</t>
        </is>
      </c>
      <c r="N1151" s="5" t="inlineStr"/>
      <c r="O1151" s="8" t="inlineStr">
        <is>
          <t>153000</t>
        </is>
      </c>
      <c r="P1151" s="5" t="inlineStr">
        <is>
          <t>0</t>
        </is>
      </c>
      <c r="Q1151" s="5" t="inlineStr">
        <is>
          <t>1</t>
        </is>
      </c>
      <c r="R1151" s="5" t="inlineStr">
        <is>
          <t>8</t>
        </is>
      </c>
      <c r="S1151" s="5" t="inlineStr">
        <is>
          <t>51</t>
        </is>
      </c>
      <c r="T1151" s="5" t="inlineStr">
        <is>
          <t>17</t>
        </is>
      </c>
      <c r="U1151" s="5">
        <f>IFS(C1151&lt;30,"Under 30",C1151&lt;40,"30-39",C1151&lt;50,"40-49",TRUE,"50+")</f>
        <v/>
      </c>
      <c r="V1151" s="5">
        <f>IFS(O1151&lt;60000,"Low (&lt;60k)",O1151&lt;100000,"Mid (60-100k)",TRUE,"High (100k+)")</f>
        <v/>
      </c>
      <c r="W1151" s="5">
        <f>IF(M1151="No","Attrited","Active")</f>
        <v/>
      </c>
    </row>
    <row r="1152">
      <c r="A1152" s="5" t="inlineStr">
        <is>
          <t>E01151</t>
        </is>
      </c>
      <c r="B1152" s="5" t="inlineStr">
        <is>
          <t>Male</t>
        </is>
      </c>
      <c r="C1152" s="6" t="inlineStr">
        <is>
          <t>37</t>
        </is>
      </c>
      <c r="D1152" s="5" t="inlineStr">
        <is>
          <t>Married</t>
        </is>
      </c>
      <c r="E1152" s="5" t="inlineStr">
        <is>
          <t>Diploma</t>
        </is>
      </c>
      <c r="F1152" s="5" t="inlineStr">
        <is>
          <t>Research &amp; Development</t>
        </is>
      </c>
      <c r="G1152" s="5" t="inlineStr">
        <is>
          <t>Research Scientist</t>
        </is>
      </c>
      <c r="H1152" s="5" t="inlineStr">
        <is>
          <t>4</t>
        </is>
      </c>
      <c r="I1152" s="5" t="inlineStr">
        <is>
          <t>Hyderabad</t>
        </is>
      </c>
      <c r="J1152" s="5" t="inlineStr">
        <is>
          <t>Full-Time</t>
        </is>
      </c>
      <c r="K1152" s="7" t="n">
        <v>45434</v>
      </c>
      <c r="L1152" s="7" t="inlineStr"/>
      <c r="M1152" s="5" t="inlineStr">
        <is>
          <t>Yes</t>
        </is>
      </c>
      <c r="N1152" s="5" t="inlineStr"/>
      <c r="O1152" s="8" t="inlineStr">
        <is>
          <t>226500</t>
        </is>
      </c>
      <c r="P1152" s="5" t="inlineStr">
        <is>
          <t>5</t>
        </is>
      </c>
      <c r="Q1152" s="5" t="inlineStr">
        <is>
          <t>3</t>
        </is>
      </c>
      <c r="R1152" s="5" t="inlineStr">
        <is>
          <t>7</t>
        </is>
      </c>
      <c r="S1152" s="5" t="inlineStr">
        <is>
          <t>19</t>
        </is>
      </c>
      <c r="T1152" s="5" t="inlineStr">
        <is>
          <t>0</t>
        </is>
      </c>
      <c r="U1152" s="5">
        <f>IFS(C1152&lt;30,"Under 30",C1152&lt;40,"30-39",C1152&lt;50,"40-49",TRUE,"50+")</f>
        <v/>
      </c>
      <c r="V1152" s="5">
        <f>IFS(O1152&lt;60000,"Low (&lt;60k)",O1152&lt;100000,"Mid (60-100k)",TRUE,"High (100k+)")</f>
        <v/>
      </c>
      <c r="W1152" s="5">
        <f>IF(M1152="No","Attrited","Active")</f>
        <v/>
      </c>
    </row>
    <row r="1153">
      <c r="A1153" s="5" t="inlineStr">
        <is>
          <t>E01152</t>
        </is>
      </c>
      <c r="B1153" s="5" t="inlineStr">
        <is>
          <t>Female</t>
        </is>
      </c>
      <c r="C1153" s="6" t="inlineStr">
        <is>
          <t>26</t>
        </is>
      </c>
      <c r="D1153" s="5" t="inlineStr">
        <is>
          <t>Single</t>
        </is>
      </c>
      <c r="E1153" s="5" t="inlineStr">
        <is>
          <t>Bachelor</t>
        </is>
      </c>
      <c r="F1153" s="5" t="inlineStr">
        <is>
          <t>Marketing</t>
        </is>
      </c>
      <c r="G1153" s="5" t="inlineStr">
        <is>
          <t>Marketing Analyst</t>
        </is>
      </c>
      <c r="H1153" s="5" t="inlineStr">
        <is>
          <t>2</t>
        </is>
      </c>
      <c r="I1153" s="5" t="inlineStr">
        <is>
          <t>Hyderabad</t>
        </is>
      </c>
      <c r="J1153" s="5" t="inlineStr">
        <is>
          <t>Full-Time</t>
        </is>
      </c>
      <c r="K1153" s="7" t="n">
        <v>44369</v>
      </c>
      <c r="L1153" s="7" t="inlineStr"/>
      <c r="M1153" s="5" t="inlineStr">
        <is>
          <t>Yes</t>
        </is>
      </c>
      <c r="N1153" s="5" t="inlineStr"/>
      <c r="O1153" s="8" t="inlineStr">
        <is>
          <t>103000</t>
        </is>
      </c>
      <c r="P1153" s="5" t="inlineStr">
        <is>
          <t>5</t>
        </is>
      </c>
      <c r="Q1153" s="5" t="inlineStr">
        <is>
          <t>2</t>
        </is>
      </c>
      <c r="R1153" s="5" t="inlineStr">
        <is>
          <t>6</t>
        </is>
      </c>
      <c r="S1153" s="5" t="inlineStr">
        <is>
          <t>55</t>
        </is>
      </c>
      <c r="T1153" s="5" t="inlineStr">
        <is>
          <t>8</t>
        </is>
      </c>
      <c r="U1153" s="5">
        <f>IFS(C1153&lt;30,"Under 30",C1153&lt;40,"30-39",C1153&lt;50,"40-49",TRUE,"50+")</f>
        <v/>
      </c>
      <c r="V1153" s="5">
        <f>IFS(O1153&lt;60000,"Low (&lt;60k)",O1153&lt;100000,"Mid (60-100k)",TRUE,"High (100k+)")</f>
        <v/>
      </c>
      <c r="W1153" s="5">
        <f>IF(M1153="No","Attrited","Active")</f>
        <v/>
      </c>
    </row>
    <row r="1154">
      <c r="A1154" s="5" t="inlineStr">
        <is>
          <t>E01153</t>
        </is>
      </c>
      <c r="B1154" s="5" t="inlineStr">
        <is>
          <t>Female</t>
        </is>
      </c>
      <c r="C1154" s="6" t="inlineStr">
        <is>
          <t>24</t>
        </is>
      </c>
      <c r="D1154" s="5" t="inlineStr">
        <is>
          <t>Single</t>
        </is>
      </c>
      <c r="E1154" s="5" t="inlineStr">
        <is>
          <t>Bachelor</t>
        </is>
      </c>
      <c r="F1154" s="5" t="inlineStr">
        <is>
          <t>IT</t>
        </is>
      </c>
      <c r="G1154" s="5" t="inlineStr">
        <is>
          <t>Software Engineer</t>
        </is>
      </c>
      <c r="H1154" s="5" t="inlineStr">
        <is>
          <t>1</t>
        </is>
      </c>
      <c r="I1154" s="5" t="inlineStr">
        <is>
          <t>Chennai</t>
        </is>
      </c>
      <c r="J1154" s="5" t="inlineStr">
        <is>
          <t>Full-Time</t>
        </is>
      </c>
      <c r="K1154" s="7" t="n">
        <v>45080</v>
      </c>
      <c r="L1154" s="7" t="n">
        <v>45226</v>
      </c>
      <c r="M1154" s="5" t="inlineStr">
        <is>
          <t>No</t>
        </is>
      </c>
      <c r="N1154" s="5" t="inlineStr">
        <is>
          <t>Layoff</t>
        </is>
      </c>
      <c r="O1154" s="8" t="inlineStr">
        <is>
          <t>100000</t>
        </is>
      </c>
      <c r="P1154" s="5" t="inlineStr">
        <is>
          <t>5</t>
        </is>
      </c>
      <c r="Q1154" s="5" t="inlineStr">
        <is>
          <t>4</t>
        </is>
      </c>
      <c r="R1154" s="5" t="inlineStr">
        <is>
          <t>4</t>
        </is>
      </c>
      <c r="S1154" s="5" t="inlineStr">
        <is>
          <t>4</t>
        </is>
      </c>
      <c r="T1154" s="5" t="inlineStr">
        <is>
          <t>4</t>
        </is>
      </c>
      <c r="U1154" s="5">
        <f>IFS(C1154&lt;30,"Under 30",C1154&lt;40,"30-39",C1154&lt;50,"40-49",TRUE,"50+")</f>
        <v/>
      </c>
      <c r="V1154" s="5">
        <f>IFS(O1154&lt;60000,"Low (&lt;60k)",O1154&lt;100000,"Mid (60-100k)",TRUE,"High (100k+)")</f>
        <v/>
      </c>
      <c r="W1154" s="5">
        <f>IF(M1154="No","Attrited","Active")</f>
        <v/>
      </c>
    </row>
    <row r="1155">
      <c r="A1155" s="5" t="inlineStr">
        <is>
          <t>E01154</t>
        </is>
      </c>
      <c r="B1155" s="5" t="inlineStr">
        <is>
          <t>Female</t>
        </is>
      </c>
      <c r="C1155" s="6" t="inlineStr">
        <is>
          <t>23</t>
        </is>
      </c>
      <c r="D1155" s="5" t="inlineStr">
        <is>
          <t>Single</t>
        </is>
      </c>
      <c r="E1155" s="5" t="inlineStr">
        <is>
          <t>PhD</t>
        </is>
      </c>
      <c r="F1155" s="5" t="inlineStr">
        <is>
          <t>Customer Support</t>
        </is>
      </c>
      <c r="G1155" s="5" t="inlineStr">
        <is>
          <t>Support Lead</t>
        </is>
      </c>
      <c r="H1155" s="5" t="inlineStr">
        <is>
          <t>1</t>
        </is>
      </c>
      <c r="I1155" s="5" t="inlineStr">
        <is>
          <t>Mumbai</t>
        </is>
      </c>
      <c r="J1155" s="5" t="inlineStr">
        <is>
          <t>Full-Time</t>
        </is>
      </c>
      <c r="K1155" s="7" t="n">
        <v>44637</v>
      </c>
      <c r="L1155" s="7" t="n">
        <v>44694</v>
      </c>
      <c r="M1155" s="5" t="inlineStr">
        <is>
          <t>No</t>
        </is>
      </c>
      <c r="N1155" s="5" t="inlineStr">
        <is>
          <t>Resigned</t>
        </is>
      </c>
      <c r="O1155" s="8" t="inlineStr">
        <is>
          <t>60500</t>
        </is>
      </c>
      <c r="P1155" s="5" t="inlineStr">
        <is>
          <t>10</t>
        </is>
      </c>
      <c r="Q1155" s="5" t="inlineStr">
        <is>
          <t>1</t>
        </is>
      </c>
      <c r="R1155" s="5" t="inlineStr">
        <is>
          <t>6</t>
        </is>
      </c>
      <c r="S1155" s="5" t="inlineStr">
        <is>
          <t>1</t>
        </is>
      </c>
      <c r="T1155" s="5" t="inlineStr">
        <is>
          <t>14</t>
        </is>
      </c>
      <c r="U1155" s="5">
        <f>IFS(C1155&lt;30,"Under 30",C1155&lt;40,"30-39",C1155&lt;50,"40-49",TRUE,"50+")</f>
        <v/>
      </c>
      <c r="V1155" s="5">
        <f>IFS(O1155&lt;60000,"Low (&lt;60k)",O1155&lt;100000,"Mid (60-100k)",TRUE,"High (100k+)")</f>
        <v/>
      </c>
      <c r="W1155" s="5">
        <f>IF(M1155="No","Attrited","Active")</f>
        <v/>
      </c>
    </row>
    <row r="1156">
      <c r="A1156" s="5" t="inlineStr">
        <is>
          <t>E01155</t>
        </is>
      </c>
      <c r="B1156" s="5" t="inlineStr">
        <is>
          <t>Female</t>
        </is>
      </c>
      <c r="C1156" s="6" t="inlineStr">
        <is>
          <t>34</t>
        </is>
      </c>
      <c r="D1156" s="5" t="inlineStr">
        <is>
          <t>Married</t>
        </is>
      </c>
      <c r="E1156" s="5" t="inlineStr">
        <is>
          <t>PhD</t>
        </is>
      </c>
      <c r="F1156" s="5" t="inlineStr">
        <is>
          <t>Executive</t>
        </is>
      </c>
      <c r="G1156" s="5" t="inlineStr">
        <is>
          <t>COO</t>
        </is>
      </c>
      <c r="H1156" s="5" t="inlineStr">
        <is>
          <t>4</t>
        </is>
      </c>
      <c r="I1156" s="5" t="inlineStr">
        <is>
          <t>Remote</t>
        </is>
      </c>
      <c r="J1156" s="5" t="inlineStr">
        <is>
          <t>Full-Time</t>
        </is>
      </c>
      <c r="K1156" s="7" t="n">
        <v>45174</v>
      </c>
      <c r="L1156" s="7" t="inlineStr"/>
      <c r="M1156" s="5" t="inlineStr">
        <is>
          <t>Yes</t>
        </is>
      </c>
      <c r="N1156" s="5" t="inlineStr"/>
      <c r="O1156" s="8" t="inlineStr">
        <is>
          <t>227000</t>
        </is>
      </c>
      <c r="P1156" s="5" t="inlineStr">
        <is>
          <t>0</t>
        </is>
      </c>
      <c r="Q1156" s="5" t="inlineStr">
        <is>
          <t>3</t>
        </is>
      </c>
      <c r="R1156" s="5" t="inlineStr">
        <is>
          <t>8</t>
        </is>
      </c>
      <c r="S1156" s="5" t="inlineStr">
        <is>
          <t>28</t>
        </is>
      </c>
      <c r="T1156" s="5" t="inlineStr">
        <is>
          <t>11</t>
        </is>
      </c>
      <c r="U1156" s="5">
        <f>IFS(C1156&lt;30,"Under 30",C1156&lt;40,"30-39",C1156&lt;50,"40-49",TRUE,"50+")</f>
        <v/>
      </c>
      <c r="V1156" s="5">
        <f>IFS(O1156&lt;60000,"Low (&lt;60k)",O1156&lt;100000,"Mid (60-100k)",TRUE,"High (100k+)")</f>
        <v/>
      </c>
      <c r="W1156" s="5">
        <f>IF(M1156="No","Attrited","Active")</f>
        <v/>
      </c>
    </row>
    <row r="1157">
      <c r="A1157" s="5" t="inlineStr">
        <is>
          <t>E01156</t>
        </is>
      </c>
      <c r="B1157" s="5" t="inlineStr">
        <is>
          <t>Female</t>
        </is>
      </c>
      <c r="C1157" s="6" t="inlineStr">
        <is>
          <t>31</t>
        </is>
      </c>
      <c r="D1157" s="5" t="inlineStr">
        <is>
          <t>Single</t>
        </is>
      </c>
      <c r="E1157" s="5" t="inlineStr">
        <is>
          <t>High School</t>
        </is>
      </c>
      <c r="F1157" s="5" t="inlineStr">
        <is>
          <t>Research &amp; Development</t>
        </is>
      </c>
      <c r="G1157" s="5" t="inlineStr">
        <is>
          <t>Research Scientist</t>
        </is>
      </c>
      <c r="H1157" s="5" t="inlineStr">
        <is>
          <t>1</t>
        </is>
      </c>
      <c r="I1157" s="5" t="inlineStr">
        <is>
          <t>Chennai</t>
        </is>
      </c>
      <c r="J1157" s="5" t="inlineStr">
        <is>
          <t>Full-Time</t>
        </is>
      </c>
      <c r="K1157" s="7" t="n">
        <v>44177</v>
      </c>
      <c r="L1157" s="7" t="inlineStr"/>
      <c r="M1157" s="5" t="inlineStr">
        <is>
          <t>Yes</t>
        </is>
      </c>
      <c r="N1157" s="5" t="inlineStr"/>
      <c r="O1157" s="8" t="inlineStr">
        <is>
          <t>109000</t>
        </is>
      </c>
      <c r="P1157" s="5" t="inlineStr">
        <is>
          <t>0</t>
        </is>
      </c>
      <c r="Q1157" s="5" t="inlineStr">
        <is>
          <t>2</t>
        </is>
      </c>
      <c r="R1157" s="5" t="inlineStr">
        <is>
          <t>7</t>
        </is>
      </c>
      <c r="S1157" s="5" t="inlineStr">
        <is>
          <t>61</t>
        </is>
      </c>
      <c r="T1157" s="5" t="inlineStr">
        <is>
          <t>1</t>
        </is>
      </c>
      <c r="U1157" s="5">
        <f>IFS(C1157&lt;30,"Under 30",C1157&lt;40,"30-39",C1157&lt;50,"40-49",TRUE,"50+")</f>
        <v/>
      </c>
      <c r="V1157" s="5">
        <f>IFS(O1157&lt;60000,"Low (&lt;60k)",O1157&lt;100000,"Mid (60-100k)",TRUE,"High (100k+)")</f>
        <v/>
      </c>
      <c r="W1157" s="5">
        <f>IF(M1157="No","Attrited","Active")</f>
        <v/>
      </c>
    </row>
    <row r="1158">
      <c r="A1158" s="5" t="inlineStr">
        <is>
          <t>E01157</t>
        </is>
      </c>
      <c r="B1158" s="5" t="inlineStr">
        <is>
          <t>Male</t>
        </is>
      </c>
      <c r="C1158" s="6" t="inlineStr">
        <is>
          <t>30</t>
        </is>
      </c>
      <c r="D1158" s="5" t="inlineStr">
        <is>
          <t>Married</t>
        </is>
      </c>
      <c r="E1158" s="5" t="inlineStr">
        <is>
          <t>Master</t>
        </is>
      </c>
      <c r="F1158" s="5" t="inlineStr">
        <is>
          <t>Sales</t>
        </is>
      </c>
      <c r="G1158" s="5" t="inlineStr">
        <is>
          <t>Business Development</t>
        </is>
      </c>
      <c r="H1158" s="5" t="inlineStr">
        <is>
          <t>4</t>
        </is>
      </c>
      <c r="I1158" s="5" t="inlineStr">
        <is>
          <t>Chennai</t>
        </is>
      </c>
      <c r="J1158" s="5" t="inlineStr">
        <is>
          <t>Full-Time</t>
        </is>
      </c>
      <c r="K1158" s="7" t="n">
        <v>43935</v>
      </c>
      <c r="L1158" s="7" t="n">
        <v>44011</v>
      </c>
      <c r="M1158" s="5" t="inlineStr">
        <is>
          <t>No</t>
        </is>
      </c>
      <c r="N1158" s="5" t="inlineStr">
        <is>
          <t>Resigned</t>
        </is>
      </c>
      <c r="O1158" s="8" t="inlineStr">
        <is>
          <t>100500</t>
        </is>
      </c>
      <c r="P1158" s="5" t="inlineStr">
        <is>
          <t>20</t>
        </is>
      </c>
      <c r="Q1158" s="5" t="inlineStr">
        <is>
          <t>4</t>
        </is>
      </c>
      <c r="R1158" s="5" t="inlineStr">
        <is>
          <t>6</t>
        </is>
      </c>
      <c r="S1158" s="5" t="inlineStr">
        <is>
          <t>2</t>
        </is>
      </c>
      <c r="T1158" s="5" t="inlineStr">
        <is>
          <t>0</t>
        </is>
      </c>
      <c r="U1158" s="5">
        <f>IFS(C1158&lt;30,"Under 30",C1158&lt;40,"30-39",C1158&lt;50,"40-49",TRUE,"50+")</f>
        <v/>
      </c>
      <c r="V1158" s="5">
        <f>IFS(O1158&lt;60000,"Low (&lt;60k)",O1158&lt;100000,"Mid (60-100k)",TRUE,"High (100k+)")</f>
        <v/>
      </c>
      <c r="W1158" s="5">
        <f>IF(M1158="No","Attrited","Active")</f>
        <v/>
      </c>
    </row>
    <row r="1159">
      <c r="A1159" s="5" t="inlineStr">
        <is>
          <t>E01158</t>
        </is>
      </c>
      <c r="B1159" s="5" t="inlineStr">
        <is>
          <t>Female</t>
        </is>
      </c>
      <c r="C1159" s="6" t="inlineStr">
        <is>
          <t>33</t>
        </is>
      </c>
      <c r="D1159" s="5" t="inlineStr">
        <is>
          <t>Divorced</t>
        </is>
      </c>
      <c r="E1159" s="5" t="inlineStr">
        <is>
          <t>Bachelor</t>
        </is>
      </c>
      <c r="F1159" s="5" t="inlineStr">
        <is>
          <t>Sales</t>
        </is>
      </c>
      <c r="G1159" s="5" t="inlineStr">
        <is>
          <t>Business Development</t>
        </is>
      </c>
      <c r="H1159" s="5" t="inlineStr">
        <is>
          <t>4</t>
        </is>
      </c>
      <c r="I1159" s="5" t="inlineStr">
        <is>
          <t>Remote</t>
        </is>
      </c>
      <c r="J1159" s="5" t="inlineStr">
        <is>
          <t>Full-Time</t>
        </is>
      </c>
      <c r="K1159" s="7" t="n">
        <v>45795</v>
      </c>
      <c r="L1159" s="7" t="inlineStr"/>
      <c r="M1159" s="5" t="inlineStr">
        <is>
          <t>Yes</t>
        </is>
      </c>
      <c r="N1159" s="5" t="inlineStr"/>
      <c r="O1159" s="8" t="inlineStr">
        <is>
          <t>135000</t>
        </is>
      </c>
      <c r="P1159" s="5" t="inlineStr">
        <is>
          <t>15</t>
        </is>
      </c>
      <c r="Q1159" s="5" t="inlineStr">
        <is>
          <t>2</t>
        </is>
      </c>
      <c r="R1159" s="5" t="inlineStr">
        <is>
          <t>9</t>
        </is>
      </c>
      <c r="S1159" s="5" t="inlineStr">
        <is>
          <t>7</t>
        </is>
      </c>
      <c r="T1159" s="5" t="inlineStr">
        <is>
          <t>9</t>
        </is>
      </c>
      <c r="U1159" s="5">
        <f>IFS(C1159&lt;30,"Under 30",C1159&lt;40,"30-39",C1159&lt;50,"40-49",TRUE,"50+")</f>
        <v/>
      </c>
      <c r="V1159" s="5">
        <f>IFS(O1159&lt;60000,"Low (&lt;60k)",O1159&lt;100000,"Mid (60-100k)",TRUE,"High (100k+)")</f>
        <v/>
      </c>
      <c r="W1159" s="5">
        <f>IF(M1159="No","Attrited","Active")</f>
        <v/>
      </c>
    </row>
    <row r="1160">
      <c r="A1160" s="5" t="inlineStr">
        <is>
          <t>E01159</t>
        </is>
      </c>
      <c r="B1160" s="5" t="inlineStr">
        <is>
          <t>Female</t>
        </is>
      </c>
      <c r="C1160" s="6" t="inlineStr">
        <is>
          <t>39</t>
        </is>
      </c>
      <c r="D1160" s="5" t="inlineStr">
        <is>
          <t>Single</t>
        </is>
      </c>
      <c r="E1160" s="5" t="inlineStr">
        <is>
          <t>Bachelor</t>
        </is>
      </c>
      <c r="F1160" s="5" t="inlineStr">
        <is>
          <t>IT</t>
        </is>
      </c>
      <c r="G1160" s="5" t="inlineStr">
        <is>
          <t>DevOps Engineer</t>
        </is>
      </c>
      <c r="H1160" s="5" t="inlineStr">
        <is>
          <t>5</t>
        </is>
      </c>
      <c r="I1160" s="5" t="inlineStr">
        <is>
          <t>Hyderabad</t>
        </is>
      </c>
      <c r="J1160" s="5" t="inlineStr">
        <is>
          <t>Full-Time</t>
        </is>
      </c>
      <c r="K1160" s="7" t="n">
        <v>45719</v>
      </c>
      <c r="L1160" s="7" t="inlineStr"/>
      <c r="M1160" s="5" t="inlineStr">
        <is>
          <t>Yes</t>
        </is>
      </c>
      <c r="N1160" s="5" t="inlineStr"/>
      <c r="O1160" s="8" t="inlineStr">
        <is>
          <t>182000</t>
        </is>
      </c>
      <c r="P1160" s="5" t="inlineStr">
        <is>
          <t>5</t>
        </is>
      </c>
      <c r="Q1160" s="5" t="inlineStr">
        <is>
          <t>4</t>
        </is>
      </c>
      <c r="R1160" s="5" t="inlineStr">
        <is>
          <t>6</t>
        </is>
      </c>
      <c r="S1160" s="5" t="inlineStr">
        <is>
          <t>10</t>
        </is>
      </c>
      <c r="T1160" s="5" t="inlineStr">
        <is>
          <t>14</t>
        </is>
      </c>
      <c r="U1160" s="5">
        <f>IFS(C1160&lt;30,"Under 30",C1160&lt;40,"30-39",C1160&lt;50,"40-49",TRUE,"50+")</f>
        <v/>
      </c>
      <c r="V1160" s="5">
        <f>IFS(O1160&lt;60000,"Low (&lt;60k)",O1160&lt;100000,"Mid (60-100k)",TRUE,"High (100k+)")</f>
        <v/>
      </c>
      <c r="W1160" s="5">
        <f>IF(M1160="No","Attrited","Active")</f>
        <v/>
      </c>
    </row>
    <row r="1161">
      <c r="A1161" s="5" t="inlineStr">
        <is>
          <t>E01160</t>
        </is>
      </c>
      <c r="B1161" s="5" t="inlineStr">
        <is>
          <t>Male</t>
        </is>
      </c>
      <c r="C1161" s="6" t="inlineStr">
        <is>
          <t>35</t>
        </is>
      </c>
      <c r="D1161" s="5" t="inlineStr">
        <is>
          <t>Married</t>
        </is>
      </c>
      <c r="E1161" s="5" t="inlineStr">
        <is>
          <t>Bachelor</t>
        </is>
      </c>
      <c r="F1161" s="5" t="inlineStr">
        <is>
          <t>Marketing</t>
        </is>
      </c>
      <c r="G1161" s="5" t="inlineStr">
        <is>
          <t>Content Writer</t>
        </is>
      </c>
      <c r="H1161" s="5" t="inlineStr">
        <is>
          <t>5</t>
        </is>
      </c>
      <c r="I1161" s="5" t="inlineStr">
        <is>
          <t>Remote</t>
        </is>
      </c>
      <c r="J1161" s="5" t="inlineStr">
        <is>
          <t>Full-Time</t>
        </is>
      </c>
      <c r="K1161" s="7" t="n">
        <v>45502</v>
      </c>
      <c r="L1161" s="7" t="inlineStr"/>
      <c r="M1161" s="5" t="inlineStr">
        <is>
          <t>Yes</t>
        </is>
      </c>
      <c r="N1161" s="5" t="inlineStr"/>
      <c r="O1161" s="8" t="inlineStr">
        <is>
          <t>116000</t>
        </is>
      </c>
      <c r="P1161" s="5" t="inlineStr">
        <is>
          <t>10</t>
        </is>
      </c>
      <c r="Q1161" s="5" t="inlineStr">
        <is>
          <t>5</t>
        </is>
      </c>
      <c r="R1161" s="5" t="inlineStr">
        <is>
          <t>6</t>
        </is>
      </c>
      <c r="S1161" s="5" t="inlineStr">
        <is>
          <t>17</t>
        </is>
      </c>
      <c r="T1161" s="5" t="inlineStr">
        <is>
          <t>12</t>
        </is>
      </c>
      <c r="U1161" s="5">
        <f>IFS(C1161&lt;30,"Under 30",C1161&lt;40,"30-39",C1161&lt;50,"40-49",TRUE,"50+")</f>
        <v/>
      </c>
      <c r="V1161" s="5">
        <f>IFS(O1161&lt;60000,"Low (&lt;60k)",O1161&lt;100000,"Mid (60-100k)",TRUE,"High (100k+)")</f>
        <v/>
      </c>
      <c r="W1161" s="5">
        <f>IF(M1161="No","Attrited","Active")</f>
        <v/>
      </c>
    </row>
    <row r="1162">
      <c r="A1162" s="5" t="inlineStr">
        <is>
          <t>E01161</t>
        </is>
      </c>
      <c r="B1162" s="5" t="inlineStr">
        <is>
          <t>Male</t>
        </is>
      </c>
      <c r="C1162" s="6" t="inlineStr">
        <is>
          <t>32</t>
        </is>
      </c>
      <c r="D1162" s="5" t="inlineStr">
        <is>
          <t>Divorced</t>
        </is>
      </c>
      <c r="E1162" s="5" t="inlineStr">
        <is>
          <t>PhD</t>
        </is>
      </c>
      <c r="F1162" s="5" t="inlineStr">
        <is>
          <t>IT</t>
        </is>
      </c>
      <c r="G1162" s="5" t="inlineStr">
        <is>
          <t>IT Support</t>
        </is>
      </c>
      <c r="H1162" s="5" t="inlineStr">
        <is>
          <t>3</t>
        </is>
      </c>
      <c r="I1162" s="5" t="inlineStr">
        <is>
          <t>Chennai</t>
        </is>
      </c>
      <c r="J1162" s="5" t="inlineStr">
        <is>
          <t>Full-Time</t>
        </is>
      </c>
      <c r="K1162" s="7" t="n">
        <v>44959</v>
      </c>
      <c r="L1162" s="7" t="n">
        <v>45041</v>
      </c>
      <c r="M1162" s="5" t="inlineStr">
        <is>
          <t>No</t>
        </is>
      </c>
      <c r="N1162" s="5" t="inlineStr">
        <is>
          <t>Resigned</t>
        </is>
      </c>
      <c r="O1162" s="8" t="inlineStr">
        <is>
          <t>187000</t>
        </is>
      </c>
      <c r="P1162" s="5" t="inlineStr">
        <is>
          <t>0</t>
        </is>
      </c>
      <c r="Q1162" s="5" t="inlineStr">
        <is>
          <t>4</t>
        </is>
      </c>
      <c r="R1162" s="5" t="inlineStr">
        <is>
          <t>6</t>
        </is>
      </c>
      <c r="S1162" s="5" t="inlineStr">
        <is>
          <t>2</t>
        </is>
      </c>
      <c r="T1162" s="5" t="inlineStr">
        <is>
          <t>10</t>
        </is>
      </c>
      <c r="U1162" s="5">
        <f>IFS(C1162&lt;30,"Under 30",C1162&lt;40,"30-39",C1162&lt;50,"40-49",TRUE,"50+")</f>
        <v/>
      </c>
      <c r="V1162" s="5">
        <f>IFS(O1162&lt;60000,"Low (&lt;60k)",O1162&lt;100000,"Mid (60-100k)",TRUE,"High (100k+)")</f>
        <v/>
      </c>
      <c r="W1162" s="5">
        <f>IF(M1162="No","Attrited","Active")</f>
        <v/>
      </c>
    </row>
    <row r="1163">
      <c r="A1163" s="5" t="inlineStr">
        <is>
          <t>E01162</t>
        </is>
      </c>
      <c r="B1163" s="5" t="inlineStr">
        <is>
          <t>Female</t>
        </is>
      </c>
      <c r="C1163" s="6" t="inlineStr">
        <is>
          <t>37</t>
        </is>
      </c>
      <c r="D1163" s="5" t="inlineStr">
        <is>
          <t>Married</t>
        </is>
      </c>
      <c r="E1163" s="5" t="inlineStr">
        <is>
          <t>High School</t>
        </is>
      </c>
      <c r="F1163" s="5" t="inlineStr">
        <is>
          <t>Customer Support</t>
        </is>
      </c>
      <c r="G1163" s="5" t="inlineStr">
        <is>
          <t>Support Agent</t>
        </is>
      </c>
      <c r="H1163" s="5" t="inlineStr">
        <is>
          <t>5</t>
        </is>
      </c>
      <c r="I1163" s="5" t="inlineStr">
        <is>
          <t>Hyderabad</t>
        </is>
      </c>
      <c r="J1163" s="5" t="inlineStr">
        <is>
          <t>Full-Time</t>
        </is>
      </c>
      <c r="K1163" s="7" t="n">
        <v>44448</v>
      </c>
      <c r="L1163" s="7" t="n">
        <v>44498</v>
      </c>
      <c r="M1163" s="5" t="inlineStr">
        <is>
          <t>No</t>
        </is>
      </c>
      <c r="N1163" s="5" t="inlineStr">
        <is>
          <t>Resigned</t>
        </is>
      </c>
      <c r="O1163" s="8" t="inlineStr">
        <is>
          <t>91500</t>
        </is>
      </c>
      <c r="P1163" s="5" t="inlineStr">
        <is>
          <t>0</t>
        </is>
      </c>
      <c r="Q1163" s="5" t="inlineStr">
        <is>
          <t>4</t>
        </is>
      </c>
      <c r="R1163" s="5" t="inlineStr">
        <is>
          <t>7</t>
        </is>
      </c>
      <c r="S1163" s="5" t="inlineStr">
        <is>
          <t>1</t>
        </is>
      </c>
      <c r="T1163" s="5" t="inlineStr">
        <is>
          <t>0</t>
        </is>
      </c>
      <c r="U1163" s="5">
        <f>IFS(C1163&lt;30,"Under 30",C1163&lt;40,"30-39",C1163&lt;50,"40-49",TRUE,"50+")</f>
        <v/>
      </c>
      <c r="V1163" s="5">
        <f>IFS(O1163&lt;60000,"Low (&lt;60k)",O1163&lt;100000,"Mid (60-100k)",TRUE,"High (100k+)")</f>
        <v/>
      </c>
      <c r="W1163" s="5">
        <f>IF(M1163="No","Attrited","Active")</f>
        <v/>
      </c>
    </row>
    <row r="1164">
      <c r="A1164" s="5" t="inlineStr">
        <is>
          <t>E01163</t>
        </is>
      </c>
      <c r="B1164" s="5" t="inlineStr">
        <is>
          <t>Female</t>
        </is>
      </c>
      <c r="C1164" s="6" t="inlineStr">
        <is>
          <t>36</t>
        </is>
      </c>
      <c r="D1164" s="5" t="inlineStr">
        <is>
          <t>Married</t>
        </is>
      </c>
      <c r="E1164" s="5" t="inlineStr">
        <is>
          <t>Bachelor</t>
        </is>
      </c>
      <c r="F1164" s="5" t="inlineStr">
        <is>
          <t>IT</t>
        </is>
      </c>
      <c r="G1164" s="5" t="inlineStr">
        <is>
          <t>Data Analyst</t>
        </is>
      </c>
      <c r="H1164" s="5" t="inlineStr">
        <is>
          <t>4</t>
        </is>
      </c>
      <c r="I1164" s="5" t="inlineStr">
        <is>
          <t>Bengaluru</t>
        </is>
      </c>
      <c r="J1164" s="5" t="inlineStr">
        <is>
          <t>Full-Time</t>
        </is>
      </c>
      <c r="K1164" s="7" t="n">
        <v>44692</v>
      </c>
      <c r="L1164" s="7" t="inlineStr"/>
      <c r="M1164" s="5" t="inlineStr">
        <is>
          <t>Yes</t>
        </is>
      </c>
      <c r="N1164" s="5" t="inlineStr"/>
      <c r="O1164" s="8" t="inlineStr">
        <is>
          <t>171500</t>
        </is>
      </c>
      <c r="P1164" s="5" t="inlineStr">
        <is>
          <t>0</t>
        </is>
      </c>
      <c r="Q1164" s="5" t="inlineStr">
        <is>
          <t>4</t>
        </is>
      </c>
      <c r="R1164" s="5" t="inlineStr">
        <is>
          <t>7</t>
        </is>
      </c>
      <c r="S1164" s="5" t="inlineStr">
        <is>
          <t>44</t>
        </is>
      </c>
      <c r="T1164" s="5" t="inlineStr">
        <is>
          <t>12</t>
        </is>
      </c>
      <c r="U1164" s="5">
        <f>IFS(C1164&lt;30,"Under 30",C1164&lt;40,"30-39",C1164&lt;50,"40-49",TRUE,"50+")</f>
        <v/>
      </c>
      <c r="V1164" s="5">
        <f>IFS(O1164&lt;60000,"Low (&lt;60k)",O1164&lt;100000,"Mid (60-100k)",TRUE,"High (100k+)")</f>
        <v/>
      </c>
      <c r="W1164" s="5">
        <f>IF(M1164="No","Attrited","Active")</f>
        <v/>
      </c>
    </row>
    <row r="1165">
      <c r="A1165" s="5" t="inlineStr">
        <is>
          <t>E01164</t>
        </is>
      </c>
      <c r="B1165" s="5" t="inlineStr">
        <is>
          <t>Female</t>
        </is>
      </c>
      <c r="C1165" s="6" t="inlineStr">
        <is>
          <t>30</t>
        </is>
      </c>
      <c r="D1165" s="5" t="inlineStr">
        <is>
          <t>Married</t>
        </is>
      </c>
      <c r="E1165" s="5" t="inlineStr">
        <is>
          <t>Master</t>
        </is>
      </c>
      <c r="F1165" s="5" t="inlineStr">
        <is>
          <t>IT</t>
        </is>
      </c>
      <c r="G1165" s="5" t="inlineStr">
        <is>
          <t>Data Analyst</t>
        </is>
      </c>
      <c r="H1165" s="5" t="inlineStr">
        <is>
          <t>3</t>
        </is>
      </c>
      <c r="I1165" s="5" t="inlineStr">
        <is>
          <t>Delhi</t>
        </is>
      </c>
      <c r="J1165" s="5" t="inlineStr">
        <is>
          <t>Full-Time</t>
        </is>
      </c>
      <c r="K1165" s="7" t="n">
        <v>44619</v>
      </c>
      <c r="L1165" s="7" t="inlineStr"/>
      <c r="M1165" s="5" t="inlineStr">
        <is>
          <t>Yes</t>
        </is>
      </c>
      <c r="N1165" s="5" t="inlineStr"/>
      <c r="O1165" s="8" t="inlineStr">
        <is>
          <t>188000</t>
        </is>
      </c>
      <c r="P1165" s="5" t="inlineStr">
        <is>
          <t>0</t>
        </is>
      </c>
      <c r="Q1165" s="5" t="inlineStr">
        <is>
          <t>3</t>
        </is>
      </c>
      <c r="R1165" s="5" t="inlineStr">
        <is>
          <t>8</t>
        </is>
      </c>
      <c r="S1165" s="5" t="inlineStr">
        <is>
          <t>46</t>
        </is>
      </c>
      <c r="T1165" s="5" t="inlineStr">
        <is>
          <t>12</t>
        </is>
      </c>
      <c r="U1165" s="5">
        <f>IFS(C1165&lt;30,"Under 30",C1165&lt;40,"30-39",C1165&lt;50,"40-49",TRUE,"50+")</f>
        <v/>
      </c>
      <c r="V1165" s="5">
        <f>IFS(O1165&lt;60000,"Low (&lt;60k)",O1165&lt;100000,"Mid (60-100k)",TRUE,"High (100k+)")</f>
        <v/>
      </c>
      <c r="W1165" s="5">
        <f>IF(M1165="No","Attrited","Active")</f>
        <v/>
      </c>
    </row>
    <row r="1166">
      <c r="A1166" s="5" t="inlineStr">
        <is>
          <t>E01165</t>
        </is>
      </c>
      <c r="B1166" s="5" t="inlineStr">
        <is>
          <t>Female</t>
        </is>
      </c>
      <c r="C1166" s="6" t="inlineStr">
        <is>
          <t>35</t>
        </is>
      </c>
      <c r="D1166" s="5" t="inlineStr">
        <is>
          <t>Divorced</t>
        </is>
      </c>
      <c r="E1166" s="5" t="inlineStr">
        <is>
          <t>Diploma</t>
        </is>
      </c>
      <c r="F1166" s="5" t="inlineStr">
        <is>
          <t>Sales</t>
        </is>
      </c>
      <c r="G1166" s="5" t="inlineStr">
        <is>
          <t>Sales Executive</t>
        </is>
      </c>
      <c r="H1166" s="5" t="inlineStr">
        <is>
          <t>3</t>
        </is>
      </c>
      <c r="I1166" s="5" t="inlineStr">
        <is>
          <t>Remote</t>
        </is>
      </c>
      <c r="J1166" s="5" t="inlineStr">
        <is>
          <t>Full-Time</t>
        </is>
      </c>
      <c r="K1166" s="7" t="n">
        <v>44484</v>
      </c>
      <c r="L1166" s="7" t="inlineStr"/>
      <c r="M1166" s="5" t="inlineStr">
        <is>
          <t>Yes</t>
        </is>
      </c>
      <c r="N1166" s="5" t="inlineStr"/>
      <c r="O1166" s="8" t="inlineStr">
        <is>
          <t>100000</t>
        </is>
      </c>
      <c r="P1166" s="5" t="inlineStr">
        <is>
          <t>20</t>
        </is>
      </c>
      <c r="Q1166" s="5" t="inlineStr">
        <is>
          <t>3</t>
        </is>
      </c>
      <c r="R1166" s="5" t="inlineStr">
        <is>
          <t>6</t>
        </is>
      </c>
      <c r="S1166" s="5" t="inlineStr">
        <is>
          <t>51</t>
        </is>
      </c>
      <c r="T1166" s="5" t="inlineStr">
        <is>
          <t>1</t>
        </is>
      </c>
      <c r="U1166" s="5">
        <f>IFS(C1166&lt;30,"Under 30",C1166&lt;40,"30-39",C1166&lt;50,"40-49",TRUE,"50+")</f>
        <v/>
      </c>
      <c r="V1166" s="5">
        <f>IFS(O1166&lt;60000,"Low (&lt;60k)",O1166&lt;100000,"Mid (60-100k)",TRUE,"High (100k+)")</f>
        <v/>
      </c>
      <c r="W1166" s="5">
        <f>IF(M1166="No","Attrited","Active")</f>
        <v/>
      </c>
    </row>
    <row r="1167">
      <c r="A1167" s="5" t="inlineStr">
        <is>
          <t>E01166</t>
        </is>
      </c>
      <c r="B1167" s="5" t="inlineStr">
        <is>
          <t>Male</t>
        </is>
      </c>
      <c r="C1167" s="6" t="inlineStr">
        <is>
          <t>25</t>
        </is>
      </c>
      <c r="D1167" s="5" t="inlineStr">
        <is>
          <t>Married</t>
        </is>
      </c>
      <c r="E1167" s="5" t="inlineStr">
        <is>
          <t>Master</t>
        </is>
      </c>
      <c r="F1167" s="5" t="inlineStr">
        <is>
          <t>IT</t>
        </is>
      </c>
      <c r="G1167" s="5" t="inlineStr">
        <is>
          <t>Software Engineer</t>
        </is>
      </c>
      <c r="H1167" s="5" t="inlineStr">
        <is>
          <t>1</t>
        </is>
      </c>
      <c r="I1167" s="5" t="inlineStr">
        <is>
          <t>Chennai</t>
        </is>
      </c>
      <c r="J1167" s="5" t="inlineStr">
        <is>
          <t>Full-Time</t>
        </is>
      </c>
      <c r="K1167" s="7" t="n">
        <v>44686</v>
      </c>
      <c r="L1167" s="7" t="inlineStr"/>
      <c r="M1167" s="5" t="inlineStr">
        <is>
          <t>Yes</t>
        </is>
      </c>
      <c r="N1167" s="5" t="inlineStr"/>
      <c r="O1167" s="8" t="inlineStr">
        <is>
          <t>91000</t>
        </is>
      </c>
      <c r="P1167" s="5" t="inlineStr">
        <is>
          <t>15</t>
        </is>
      </c>
      <c r="Q1167" s="5" t="inlineStr">
        <is>
          <t>4</t>
        </is>
      </c>
      <c r="R1167" s="5" t="inlineStr">
        <is>
          <t>8</t>
        </is>
      </c>
      <c r="S1167" s="5" t="inlineStr">
        <is>
          <t>44</t>
        </is>
      </c>
      <c r="T1167" s="5" t="inlineStr">
        <is>
          <t>7</t>
        </is>
      </c>
      <c r="U1167" s="5">
        <f>IFS(C1167&lt;30,"Under 30",C1167&lt;40,"30-39",C1167&lt;50,"40-49",TRUE,"50+")</f>
        <v/>
      </c>
      <c r="V1167" s="5">
        <f>IFS(O1167&lt;60000,"Low (&lt;60k)",O1167&lt;100000,"Mid (60-100k)",TRUE,"High (100k+)")</f>
        <v/>
      </c>
      <c r="W1167" s="5">
        <f>IF(M1167="No","Attrited","Active")</f>
        <v/>
      </c>
    </row>
    <row r="1168">
      <c r="A1168" s="5" t="inlineStr">
        <is>
          <t>E01167</t>
        </is>
      </c>
      <c r="B1168" s="5" t="inlineStr">
        <is>
          <t>Female</t>
        </is>
      </c>
      <c r="C1168" s="6" t="inlineStr">
        <is>
          <t>30</t>
        </is>
      </c>
      <c r="D1168" s="5" t="inlineStr">
        <is>
          <t>Married</t>
        </is>
      </c>
      <c r="E1168" s="5" t="inlineStr">
        <is>
          <t>High School</t>
        </is>
      </c>
      <c r="F1168" s="5" t="inlineStr">
        <is>
          <t>Operations</t>
        </is>
      </c>
      <c r="G1168" s="5" t="inlineStr">
        <is>
          <t>Quality Analyst</t>
        </is>
      </c>
      <c r="H1168" s="5" t="inlineStr">
        <is>
          <t>1</t>
        </is>
      </c>
      <c r="I1168" s="5" t="inlineStr">
        <is>
          <t>Bengaluru</t>
        </is>
      </c>
      <c r="J1168" s="5" t="inlineStr">
        <is>
          <t>Full-Time</t>
        </is>
      </c>
      <c r="K1168" s="7" t="n">
        <v>44824</v>
      </c>
      <c r="L1168" s="7" t="n">
        <v>44946</v>
      </c>
      <c r="M1168" s="5" t="inlineStr">
        <is>
          <t>No</t>
        </is>
      </c>
      <c r="N1168" s="5" t="inlineStr">
        <is>
          <t>Resigned</t>
        </is>
      </c>
      <c r="O1168" s="8" t="inlineStr">
        <is>
          <t>63000</t>
        </is>
      </c>
      <c r="P1168" s="5" t="inlineStr">
        <is>
          <t>10</t>
        </is>
      </c>
      <c r="Q1168" s="5" t="inlineStr">
        <is>
          <t>5</t>
        </is>
      </c>
      <c r="R1168" s="5" t="inlineStr">
        <is>
          <t>6</t>
        </is>
      </c>
      <c r="S1168" s="5" t="inlineStr">
        <is>
          <t>4</t>
        </is>
      </c>
      <c r="T1168" s="5" t="inlineStr">
        <is>
          <t>8</t>
        </is>
      </c>
      <c r="U1168" s="5">
        <f>IFS(C1168&lt;30,"Under 30",C1168&lt;40,"30-39",C1168&lt;50,"40-49",TRUE,"50+")</f>
        <v/>
      </c>
      <c r="V1168" s="5">
        <f>IFS(O1168&lt;60000,"Low (&lt;60k)",O1168&lt;100000,"Mid (60-100k)",TRUE,"High (100k+)")</f>
        <v/>
      </c>
      <c r="W1168" s="5">
        <f>IF(M1168="No","Attrited","Active")</f>
        <v/>
      </c>
    </row>
    <row r="1169">
      <c r="A1169" s="5" t="inlineStr">
        <is>
          <t>E01168</t>
        </is>
      </c>
      <c r="B1169" s="5" t="inlineStr">
        <is>
          <t>Female</t>
        </is>
      </c>
      <c r="C1169" s="6" t="inlineStr">
        <is>
          <t>28</t>
        </is>
      </c>
      <c r="D1169" s="5" t="inlineStr">
        <is>
          <t>Married</t>
        </is>
      </c>
      <c r="E1169" s="5" t="inlineStr">
        <is>
          <t>Diploma</t>
        </is>
      </c>
      <c r="F1169" s="5" t="inlineStr">
        <is>
          <t>Executive</t>
        </is>
      </c>
      <c r="G1169" s="5" t="inlineStr">
        <is>
          <t>COO</t>
        </is>
      </c>
      <c r="H1169" s="5" t="inlineStr">
        <is>
          <t>3</t>
        </is>
      </c>
      <c r="I1169" s="5" t="inlineStr">
        <is>
          <t>Delhi</t>
        </is>
      </c>
      <c r="J1169" s="5" t="inlineStr">
        <is>
          <t>Full-Time</t>
        </is>
      </c>
      <c r="K1169" s="7" t="n">
        <v>45367</v>
      </c>
      <c r="L1169" s="7" t="inlineStr"/>
      <c r="M1169" s="5" t="inlineStr">
        <is>
          <t>Yes</t>
        </is>
      </c>
      <c r="N1169" s="5" t="inlineStr"/>
      <c r="O1169" s="8" t="inlineStr">
        <is>
          <t>200500</t>
        </is>
      </c>
      <c r="P1169" s="5" t="inlineStr">
        <is>
          <t>10</t>
        </is>
      </c>
      <c r="Q1169" s="5" t="inlineStr">
        <is>
          <t>4</t>
        </is>
      </c>
      <c r="R1169" s="5" t="inlineStr">
        <is>
          <t>6</t>
        </is>
      </c>
      <c r="S1169" s="5" t="inlineStr">
        <is>
          <t>21</t>
        </is>
      </c>
      <c r="T1169" s="5" t="inlineStr">
        <is>
          <t>6</t>
        </is>
      </c>
      <c r="U1169" s="5">
        <f>IFS(C1169&lt;30,"Under 30",C1169&lt;40,"30-39",C1169&lt;50,"40-49",TRUE,"50+")</f>
        <v/>
      </c>
      <c r="V1169" s="5">
        <f>IFS(O1169&lt;60000,"Low (&lt;60k)",O1169&lt;100000,"Mid (60-100k)",TRUE,"High (100k+)")</f>
        <v/>
      </c>
      <c r="W1169" s="5">
        <f>IF(M1169="No","Attrited","Active")</f>
        <v/>
      </c>
    </row>
    <row r="1170">
      <c r="A1170" s="5" t="inlineStr">
        <is>
          <t>E01169</t>
        </is>
      </c>
      <c r="B1170" s="5" t="inlineStr">
        <is>
          <t>Male</t>
        </is>
      </c>
      <c r="C1170" s="6" t="inlineStr">
        <is>
          <t>27</t>
        </is>
      </c>
      <c r="D1170" s="5" t="inlineStr">
        <is>
          <t>Married</t>
        </is>
      </c>
      <c r="E1170" s="5" t="inlineStr">
        <is>
          <t>Bachelor</t>
        </is>
      </c>
      <c r="F1170" s="5" t="inlineStr">
        <is>
          <t>Finance</t>
        </is>
      </c>
      <c r="G1170" s="5" t="inlineStr">
        <is>
          <t>Credit Analyst</t>
        </is>
      </c>
      <c r="H1170" s="5" t="inlineStr">
        <is>
          <t>2</t>
        </is>
      </c>
      <c r="I1170" s="5" t="inlineStr">
        <is>
          <t>Chennai</t>
        </is>
      </c>
      <c r="J1170" s="5" t="inlineStr">
        <is>
          <t>Full-Time</t>
        </is>
      </c>
      <c r="K1170" s="7" t="n">
        <v>45168</v>
      </c>
      <c r="L1170" s="7" t="n">
        <v>45302</v>
      </c>
      <c r="M1170" s="5" t="inlineStr">
        <is>
          <t>No</t>
        </is>
      </c>
      <c r="N1170" s="5" t="inlineStr">
        <is>
          <t>Resigned</t>
        </is>
      </c>
      <c r="O1170" s="8" t="inlineStr">
        <is>
          <t>119000</t>
        </is>
      </c>
      <c r="P1170" s="5" t="inlineStr">
        <is>
          <t>0</t>
        </is>
      </c>
      <c r="Q1170" s="5" t="inlineStr">
        <is>
          <t>4</t>
        </is>
      </c>
      <c r="R1170" s="5" t="inlineStr">
        <is>
          <t>5</t>
        </is>
      </c>
      <c r="S1170" s="5" t="inlineStr">
        <is>
          <t>4</t>
        </is>
      </c>
      <c r="T1170" s="5" t="inlineStr">
        <is>
          <t>7</t>
        </is>
      </c>
      <c r="U1170" s="5">
        <f>IFS(C1170&lt;30,"Under 30",C1170&lt;40,"30-39",C1170&lt;50,"40-49",TRUE,"50+")</f>
        <v/>
      </c>
      <c r="V1170" s="5">
        <f>IFS(O1170&lt;60000,"Low (&lt;60k)",O1170&lt;100000,"Mid (60-100k)",TRUE,"High (100k+)")</f>
        <v/>
      </c>
      <c r="W1170" s="5">
        <f>IF(M1170="No","Attrited","Active")</f>
        <v/>
      </c>
    </row>
    <row r="1171">
      <c r="A1171" s="5" t="inlineStr">
        <is>
          <t>E01170</t>
        </is>
      </c>
      <c r="B1171" s="5" t="inlineStr">
        <is>
          <t>Female</t>
        </is>
      </c>
      <c r="C1171" s="6" t="inlineStr">
        <is>
          <t>27</t>
        </is>
      </c>
      <c r="D1171" s="5" t="inlineStr">
        <is>
          <t>Married</t>
        </is>
      </c>
      <c r="E1171" s="5" t="inlineStr">
        <is>
          <t>PhD</t>
        </is>
      </c>
      <c r="F1171" s="5" t="inlineStr">
        <is>
          <t>IT</t>
        </is>
      </c>
      <c r="G1171" s="5" t="inlineStr">
        <is>
          <t>Software Engineer</t>
        </is>
      </c>
      <c r="H1171" s="5" t="inlineStr">
        <is>
          <t>3</t>
        </is>
      </c>
      <c r="I1171" s="5" t="inlineStr">
        <is>
          <t>Chennai</t>
        </is>
      </c>
      <c r="J1171" s="5" t="inlineStr">
        <is>
          <t>Full-Time</t>
        </is>
      </c>
      <c r="K1171" s="7" t="n">
        <v>45539</v>
      </c>
      <c r="L1171" s="7" t="inlineStr"/>
      <c r="M1171" s="5" t="inlineStr">
        <is>
          <t>Yes</t>
        </is>
      </c>
      <c r="N1171" s="5" t="inlineStr"/>
      <c r="O1171" s="8" t="inlineStr">
        <is>
          <t>152500</t>
        </is>
      </c>
      <c r="P1171" s="5" t="inlineStr">
        <is>
          <t>10</t>
        </is>
      </c>
      <c r="Q1171" s="5" t="inlineStr">
        <is>
          <t>3</t>
        </is>
      </c>
      <c r="R1171" s="5" t="inlineStr">
        <is>
          <t>5</t>
        </is>
      </c>
      <c r="S1171" s="5" t="inlineStr">
        <is>
          <t>16</t>
        </is>
      </c>
      <c r="T1171" s="5" t="inlineStr">
        <is>
          <t>9</t>
        </is>
      </c>
      <c r="U1171" s="5">
        <f>IFS(C1171&lt;30,"Under 30",C1171&lt;40,"30-39",C1171&lt;50,"40-49",TRUE,"50+")</f>
        <v/>
      </c>
      <c r="V1171" s="5">
        <f>IFS(O1171&lt;60000,"Low (&lt;60k)",O1171&lt;100000,"Mid (60-100k)",TRUE,"High (100k+)")</f>
        <v/>
      </c>
      <c r="W1171" s="5">
        <f>IF(M1171="No","Attrited","Active")</f>
        <v/>
      </c>
    </row>
    <row r="1172">
      <c r="A1172" s="5" t="inlineStr">
        <is>
          <t>E01171</t>
        </is>
      </c>
      <c r="B1172" s="5" t="inlineStr">
        <is>
          <t>Male</t>
        </is>
      </c>
      <c r="C1172" s="6" t="inlineStr">
        <is>
          <t>37</t>
        </is>
      </c>
      <c r="D1172" s="5" t="inlineStr">
        <is>
          <t>Single</t>
        </is>
      </c>
      <c r="E1172" s="5" t="inlineStr">
        <is>
          <t>High School</t>
        </is>
      </c>
      <c r="F1172" s="5" t="inlineStr">
        <is>
          <t>Customer Support</t>
        </is>
      </c>
      <c r="G1172" s="5" t="inlineStr">
        <is>
          <t>Support Agent</t>
        </is>
      </c>
      <c r="H1172" s="5" t="inlineStr">
        <is>
          <t>4</t>
        </is>
      </c>
      <c r="I1172" s="5" t="inlineStr">
        <is>
          <t>Delhi</t>
        </is>
      </c>
      <c r="J1172" s="5" t="inlineStr">
        <is>
          <t>Full-Time</t>
        </is>
      </c>
      <c r="K1172" s="7" t="n">
        <v>45922</v>
      </c>
      <c r="L1172" s="7" t="n">
        <v>46007</v>
      </c>
      <c r="M1172" s="5" t="inlineStr">
        <is>
          <t>No</t>
        </is>
      </c>
      <c r="N1172" s="5" t="inlineStr">
        <is>
          <t>Resigned</t>
        </is>
      </c>
      <c r="O1172" s="8" t="inlineStr">
        <is>
          <t>91000</t>
        </is>
      </c>
      <c r="P1172" s="5" t="inlineStr">
        <is>
          <t>5</t>
        </is>
      </c>
      <c r="Q1172" s="5" t="inlineStr">
        <is>
          <t>4</t>
        </is>
      </c>
      <c r="R1172" s="5" t="inlineStr">
        <is>
          <t>8</t>
        </is>
      </c>
      <c r="S1172" s="5" t="inlineStr">
        <is>
          <t>2</t>
        </is>
      </c>
      <c r="T1172" s="5" t="inlineStr">
        <is>
          <t>0</t>
        </is>
      </c>
      <c r="U1172" s="5">
        <f>IFS(C1172&lt;30,"Under 30",C1172&lt;40,"30-39",C1172&lt;50,"40-49",TRUE,"50+")</f>
        <v/>
      </c>
      <c r="V1172" s="5">
        <f>IFS(O1172&lt;60000,"Low (&lt;60k)",O1172&lt;100000,"Mid (60-100k)",TRUE,"High (100k+)")</f>
        <v/>
      </c>
      <c r="W1172" s="5">
        <f>IF(M1172="No","Attrited","Active")</f>
        <v/>
      </c>
    </row>
    <row r="1173">
      <c r="A1173" s="5" t="inlineStr">
        <is>
          <t>E01172</t>
        </is>
      </c>
      <c r="B1173" s="5" t="inlineStr">
        <is>
          <t>Female</t>
        </is>
      </c>
      <c r="C1173" s="6" t="inlineStr">
        <is>
          <t>27</t>
        </is>
      </c>
      <c r="D1173" s="5" t="inlineStr">
        <is>
          <t>Married</t>
        </is>
      </c>
      <c r="E1173" s="5" t="inlineStr">
        <is>
          <t>Bachelor</t>
        </is>
      </c>
      <c r="F1173" s="5" t="inlineStr">
        <is>
          <t>Finance</t>
        </is>
      </c>
      <c r="G1173" s="5" t="inlineStr">
        <is>
          <t>Credit Analyst</t>
        </is>
      </c>
      <c r="H1173" s="5" t="inlineStr">
        <is>
          <t>3</t>
        </is>
      </c>
      <c r="I1173" s="5" t="inlineStr">
        <is>
          <t>Delhi</t>
        </is>
      </c>
      <c r="J1173" s="5" t="inlineStr">
        <is>
          <t>Full-Time</t>
        </is>
      </c>
      <c r="K1173" s="7" t="n">
        <v>44911</v>
      </c>
      <c r="L1173" s="7" t="inlineStr"/>
      <c r="M1173" s="5" t="inlineStr">
        <is>
          <t>Yes</t>
        </is>
      </c>
      <c r="N1173" s="5" t="inlineStr"/>
      <c r="O1173" s="8" t="inlineStr">
        <is>
          <t>124000</t>
        </is>
      </c>
      <c r="P1173" s="5" t="inlineStr">
        <is>
          <t>5</t>
        </is>
      </c>
      <c r="Q1173" s="5" t="inlineStr">
        <is>
          <t>3</t>
        </is>
      </c>
      <c r="R1173" s="5" t="inlineStr">
        <is>
          <t>3</t>
        </is>
      </c>
      <c r="S1173" s="5" t="inlineStr">
        <is>
          <t>37</t>
        </is>
      </c>
      <c r="T1173" s="5" t="inlineStr">
        <is>
          <t>11</t>
        </is>
      </c>
      <c r="U1173" s="5">
        <f>IFS(C1173&lt;30,"Under 30",C1173&lt;40,"30-39",C1173&lt;50,"40-49",TRUE,"50+")</f>
        <v/>
      </c>
      <c r="V1173" s="5">
        <f>IFS(O1173&lt;60000,"Low (&lt;60k)",O1173&lt;100000,"Mid (60-100k)",TRUE,"High (100k+)")</f>
        <v/>
      </c>
      <c r="W1173" s="5">
        <f>IF(M1173="No","Attrited","Active")</f>
        <v/>
      </c>
    </row>
    <row r="1174">
      <c r="A1174" s="5" t="inlineStr">
        <is>
          <t>E01173</t>
        </is>
      </c>
      <c r="B1174" s="5" t="inlineStr">
        <is>
          <t>Female</t>
        </is>
      </c>
      <c r="C1174" s="6" t="inlineStr">
        <is>
          <t>40</t>
        </is>
      </c>
      <c r="D1174" s="5" t="inlineStr">
        <is>
          <t>Married</t>
        </is>
      </c>
      <c r="E1174" s="5" t="inlineStr">
        <is>
          <t>Master</t>
        </is>
      </c>
      <c r="F1174" s="5" t="inlineStr">
        <is>
          <t>Operations</t>
        </is>
      </c>
      <c r="G1174" s="5" t="inlineStr">
        <is>
          <t>Logistics Coordinator</t>
        </is>
      </c>
      <c r="H1174" s="5" t="inlineStr">
        <is>
          <t>6</t>
        </is>
      </c>
      <c r="I1174" s="5" t="inlineStr">
        <is>
          <t>Chennai</t>
        </is>
      </c>
      <c r="J1174" s="5" t="inlineStr">
        <is>
          <t>Full-Time</t>
        </is>
      </c>
      <c r="K1174" s="7" t="n">
        <v>45392</v>
      </c>
      <c r="L1174" s="7" t="inlineStr"/>
      <c r="M1174" s="5" t="inlineStr">
        <is>
          <t>Yes</t>
        </is>
      </c>
      <c r="N1174" s="5" t="inlineStr"/>
      <c r="O1174" s="8" t="inlineStr">
        <is>
          <t>119500</t>
        </is>
      </c>
      <c r="P1174" s="5" t="inlineStr">
        <is>
          <t>0</t>
        </is>
      </c>
      <c r="Q1174" s="5" t="inlineStr">
        <is>
          <t>4</t>
        </is>
      </c>
      <c r="R1174" s="5" t="inlineStr">
        <is>
          <t>3</t>
        </is>
      </c>
      <c r="S1174" s="5" t="inlineStr">
        <is>
          <t>21</t>
        </is>
      </c>
      <c r="T1174" s="5" t="inlineStr">
        <is>
          <t>1</t>
        </is>
      </c>
      <c r="U1174" s="5">
        <f>IFS(C1174&lt;30,"Under 30",C1174&lt;40,"30-39",C1174&lt;50,"40-49",TRUE,"50+")</f>
        <v/>
      </c>
      <c r="V1174" s="5">
        <f>IFS(O1174&lt;60000,"Low (&lt;60k)",O1174&lt;100000,"Mid (60-100k)",TRUE,"High (100k+)")</f>
        <v/>
      </c>
      <c r="W1174" s="5">
        <f>IF(M1174="No","Attrited","Active")</f>
        <v/>
      </c>
    </row>
    <row r="1175">
      <c r="A1175" s="5" t="inlineStr">
        <is>
          <t>E01174</t>
        </is>
      </c>
      <c r="B1175" s="5" t="inlineStr">
        <is>
          <t>Male</t>
        </is>
      </c>
      <c r="C1175" s="6" t="inlineStr">
        <is>
          <t>29</t>
        </is>
      </c>
      <c r="D1175" s="5" t="inlineStr">
        <is>
          <t>Married</t>
        </is>
      </c>
      <c r="E1175" s="5" t="inlineStr">
        <is>
          <t>Master</t>
        </is>
      </c>
      <c r="F1175" s="5" t="inlineStr">
        <is>
          <t>Finance</t>
        </is>
      </c>
      <c r="G1175" s="5" t="inlineStr">
        <is>
          <t>Accountant</t>
        </is>
      </c>
      <c r="H1175" s="5" t="inlineStr">
        <is>
          <t>1</t>
        </is>
      </c>
      <c r="I1175" s="5" t="inlineStr">
        <is>
          <t>Remote</t>
        </is>
      </c>
      <c r="J1175" s="5" t="inlineStr">
        <is>
          <t>Full-Time</t>
        </is>
      </c>
      <c r="K1175" s="7" t="n">
        <v>44865</v>
      </c>
      <c r="L1175" s="7" t="inlineStr"/>
      <c r="M1175" s="5" t="inlineStr">
        <is>
          <t>Yes</t>
        </is>
      </c>
      <c r="N1175" s="5" t="inlineStr"/>
      <c r="O1175" s="8" t="inlineStr">
        <is>
          <t>114500</t>
        </is>
      </c>
      <c r="P1175" s="5" t="inlineStr">
        <is>
          <t>15</t>
        </is>
      </c>
      <c r="Q1175" s="5" t="inlineStr">
        <is>
          <t>4</t>
        </is>
      </c>
      <c r="R1175" s="5" t="inlineStr">
        <is>
          <t>4</t>
        </is>
      </c>
      <c r="S1175" s="5" t="inlineStr">
        <is>
          <t>38</t>
        </is>
      </c>
      <c r="T1175" s="5" t="inlineStr">
        <is>
          <t>7</t>
        </is>
      </c>
      <c r="U1175" s="5">
        <f>IFS(C1175&lt;30,"Under 30",C1175&lt;40,"30-39",C1175&lt;50,"40-49",TRUE,"50+")</f>
        <v/>
      </c>
      <c r="V1175" s="5">
        <f>IFS(O1175&lt;60000,"Low (&lt;60k)",O1175&lt;100000,"Mid (60-100k)",TRUE,"High (100k+)")</f>
        <v/>
      </c>
      <c r="W1175" s="5">
        <f>IF(M1175="No","Attrited","Active")</f>
        <v/>
      </c>
    </row>
    <row r="1176">
      <c r="A1176" s="5" t="inlineStr">
        <is>
          <t>E01175</t>
        </is>
      </c>
      <c r="B1176" s="5" t="inlineStr">
        <is>
          <t>Female</t>
        </is>
      </c>
      <c r="C1176" s="6" t="inlineStr">
        <is>
          <t>28</t>
        </is>
      </c>
      <c r="D1176" s="5" t="inlineStr">
        <is>
          <t>Married</t>
        </is>
      </c>
      <c r="E1176" s="5" t="inlineStr">
        <is>
          <t>Master</t>
        </is>
      </c>
      <c r="F1176" s="5" t="inlineStr">
        <is>
          <t>Sales</t>
        </is>
      </c>
      <c r="G1176" s="5" t="inlineStr">
        <is>
          <t>Sales Executive</t>
        </is>
      </c>
      <c r="H1176" s="5" t="inlineStr">
        <is>
          <t>3</t>
        </is>
      </c>
      <c r="I1176" s="5" t="inlineStr">
        <is>
          <t>Mumbai</t>
        </is>
      </c>
      <c r="J1176" s="5" t="inlineStr">
        <is>
          <t>Full-Time</t>
        </is>
      </c>
      <c r="K1176" s="7" t="n">
        <v>44185</v>
      </c>
      <c r="L1176" s="7" t="n">
        <v>44222</v>
      </c>
      <c r="M1176" s="5" t="inlineStr">
        <is>
          <t>No</t>
        </is>
      </c>
      <c r="N1176" s="5" t="inlineStr">
        <is>
          <t>Resigned</t>
        </is>
      </c>
      <c r="O1176" s="8" t="inlineStr">
        <is>
          <t>131500</t>
        </is>
      </c>
      <c r="P1176" s="5" t="inlineStr">
        <is>
          <t>5</t>
        </is>
      </c>
      <c r="Q1176" s="5" t="inlineStr">
        <is>
          <t>4</t>
        </is>
      </c>
      <c r="R1176" s="5" t="inlineStr">
        <is>
          <t>6</t>
        </is>
      </c>
      <c r="S1176" s="5" t="inlineStr">
        <is>
          <t>1</t>
        </is>
      </c>
      <c r="T1176" s="5" t="inlineStr">
        <is>
          <t>0</t>
        </is>
      </c>
      <c r="U1176" s="5">
        <f>IFS(C1176&lt;30,"Under 30",C1176&lt;40,"30-39",C1176&lt;50,"40-49",TRUE,"50+")</f>
        <v/>
      </c>
      <c r="V1176" s="5">
        <f>IFS(O1176&lt;60000,"Low (&lt;60k)",O1176&lt;100000,"Mid (60-100k)",TRUE,"High (100k+)")</f>
        <v/>
      </c>
      <c r="W1176" s="5">
        <f>IF(M1176="No","Attrited","Active")</f>
        <v/>
      </c>
    </row>
    <row r="1177">
      <c r="A1177" s="5" t="inlineStr">
        <is>
          <t>E01176</t>
        </is>
      </c>
      <c r="B1177" s="5" t="inlineStr">
        <is>
          <t>Male</t>
        </is>
      </c>
      <c r="C1177" s="6" t="inlineStr">
        <is>
          <t>32</t>
        </is>
      </c>
      <c r="D1177" s="5" t="inlineStr">
        <is>
          <t>Single</t>
        </is>
      </c>
      <c r="E1177" s="5" t="inlineStr">
        <is>
          <t>PhD</t>
        </is>
      </c>
      <c r="F1177" s="5" t="inlineStr">
        <is>
          <t>Marketing</t>
        </is>
      </c>
      <c r="G1177" s="5" t="inlineStr">
        <is>
          <t>Marketing Analyst</t>
        </is>
      </c>
      <c r="H1177" s="5" t="inlineStr">
        <is>
          <t>5</t>
        </is>
      </c>
      <c r="I1177" s="5" t="inlineStr">
        <is>
          <t>Mumbai</t>
        </is>
      </c>
      <c r="J1177" s="5" t="inlineStr">
        <is>
          <t>Full-Time</t>
        </is>
      </c>
      <c r="K1177" s="7" t="n">
        <v>44890</v>
      </c>
      <c r="L1177" s="7" t="inlineStr"/>
      <c r="M1177" s="5" t="inlineStr">
        <is>
          <t>Yes</t>
        </is>
      </c>
      <c r="N1177" s="5" t="inlineStr"/>
      <c r="O1177" s="8" t="inlineStr">
        <is>
          <t>81000</t>
        </is>
      </c>
      <c r="P1177" s="5" t="inlineStr">
        <is>
          <t>15</t>
        </is>
      </c>
      <c r="Q1177" s="5" t="inlineStr">
        <is>
          <t>3</t>
        </is>
      </c>
      <c r="R1177" s="5" t="inlineStr">
        <is>
          <t>7</t>
        </is>
      </c>
      <c r="S1177" s="5" t="inlineStr">
        <is>
          <t>37</t>
        </is>
      </c>
      <c r="T1177" s="5" t="inlineStr">
        <is>
          <t>8</t>
        </is>
      </c>
      <c r="U1177" s="5">
        <f>IFS(C1177&lt;30,"Under 30",C1177&lt;40,"30-39",C1177&lt;50,"40-49",TRUE,"50+")</f>
        <v/>
      </c>
      <c r="V1177" s="5">
        <f>IFS(O1177&lt;60000,"Low (&lt;60k)",O1177&lt;100000,"Mid (60-100k)",TRUE,"High (100k+)")</f>
        <v/>
      </c>
      <c r="W1177" s="5">
        <f>IF(M1177="No","Attrited","Active")</f>
        <v/>
      </c>
    </row>
    <row r="1178">
      <c r="A1178" s="5" t="inlineStr">
        <is>
          <t>E01177</t>
        </is>
      </c>
      <c r="B1178" s="5" t="inlineStr">
        <is>
          <t>Male</t>
        </is>
      </c>
      <c r="C1178" s="6" t="inlineStr">
        <is>
          <t>33</t>
        </is>
      </c>
      <c r="D1178" s="5" t="inlineStr">
        <is>
          <t>Single</t>
        </is>
      </c>
      <c r="E1178" s="5" t="inlineStr">
        <is>
          <t>Diploma</t>
        </is>
      </c>
      <c r="F1178" s="5" t="inlineStr">
        <is>
          <t>Marketing</t>
        </is>
      </c>
      <c r="G1178" s="5" t="inlineStr">
        <is>
          <t>SEO Specialist</t>
        </is>
      </c>
      <c r="H1178" s="5" t="inlineStr">
        <is>
          <t>2</t>
        </is>
      </c>
      <c r="I1178" s="5" t="inlineStr">
        <is>
          <t>Bengaluru</t>
        </is>
      </c>
      <c r="J1178" s="5" t="inlineStr">
        <is>
          <t>Full-Time</t>
        </is>
      </c>
      <c r="K1178" s="7" t="n">
        <v>45775</v>
      </c>
      <c r="L1178" s="7" t="inlineStr"/>
      <c r="M1178" s="5" t="inlineStr">
        <is>
          <t>Yes</t>
        </is>
      </c>
      <c r="N1178" s="5" t="inlineStr"/>
      <c r="O1178" s="8" t="inlineStr">
        <is>
          <t>103500</t>
        </is>
      </c>
      <c r="P1178" s="5" t="inlineStr">
        <is>
          <t>10</t>
        </is>
      </c>
      <c r="Q1178" s="5" t="inlineStr">
        <is>
          <t>3</t>
        </is>
      </c>
      <c r="R1178" s="5" t="inlineStr">
        <is>
          <t>2</t>
        </is>
      </c>
      <c r="S1178" s="5" t="inlineStr">
        <is>
          <t>8</t>
        </is>
      </c>
      <c r="T1178" s="5" t="inlineStr">
        <is>
          <t>2</t>
        </is>
      </c>
      <c r="U1178" s="5">
        <f>IFS(C1178&lt;30,"Under 30",C1178&lt;40,"30-39",C1178&lt;50,"40-49",TRUE,"50+")</f>
        <v/>
      </c>
      <c r="V1178" s="5">
        <f>IFS(O1178&lt;60000,"Low (&lt;60k)",O1178&lt;100000,"Mid (60-100k)",TRUE,"High (100k+)")</f>
        <v/>
      </c>
      <c r="W1178" s="5">
        <f>IF(M1178="No","Attrited","Active")</f>
        <v/>
      </c>
    </row>
    <row r="1179">
      <c r="A1179" s="5" t="inlineStr">
        <is>
          <t>E01178</t>
        </is>
      </c>
      <c r="B1179" s="5" t="inlineStr">
        <is>
          <t>Male</t>
        </is>
      </c>
      <c r="C1179" s="6" t="inlineStr">
        <is>
          <t>37</t>
        </is>
      </c>
      <c r="D1179" s="5" t="inlineStr">
        <is>
          <t>Single</t>
        </is>
      </c>
      <c r="E1179" s="5" t="inlineStr">
        <is>
          <t>Diploma</t>
        </is>
      </c>
      <c r="F1179" s="5" t="inlineStr">
        <is>
          <t>Customer Support</t>
        </is>
      </c>
      <c r="G1179" s="5" t="inlineStr">
        <is>
          <t>Escalation Specialist</t>
        </is>
      </c>
      <c r="H1179" s="5" t="inlineStr">
        <is>
          <t>4</t>
        </is>
      </c>
      <c r="I1179" s="5" t="inlineStr">
        <is>
          <t>Bengaluru</t>
        </is>
      </c>
      <c r="J1179" s="5" t="inlineStr">
        <is>
          <t>Full-Time</t>
        </is>
      </c>
      <c r="K1179" s="7" t="n">
        <v>44731</v>
      </c>
      <c r="L1179" s="7" t="inlineStr"/>
      <c r="M1179" s="5" t="inlineStr">
        <is>
          <t>Yes</t>
        </is>
      </c>
      <c r="N1179" s="5" t="inlineStr"/>
      <c r="O1179" s="8" t="inlineStr">
        <is>
          <t>95500</t>
        </is>
      </c>
      <c r="P1179" s="5" t="inlineStr">
        <is>
          <t>10</t>
        </is>
      </c>
      <c r="Q1179" s="5" t="inlineStr">
        <is>
          <t>4</t>
        </is>
      </c>
      <c r="R1179" s="5" t="inlineStr">
        <is>
          <t>6</t>
        </is>
      </c>
      <c r="S1179" s="5" t="inlineStr">
        <is>
          <t>43</t>
        </is>
      </c>
      <c r="T1179" s="5" t="inlineStr">
        <is>
          <t>0</t>
        </is>
      </c>
      <c r="U1179" s="5">
        <f>IFS(C1179&lt;30,"Under 30",C1179&lt;40,"30-39",C1179&lt;50,"40-49",TRUE,"50+")</f>
        <v/>
      </c>
      <c r="V1179" s="5">
        <f>IFS(O1179&lt;60000,"Low (&lt;60k)",O1179&lt;100000,"Mid (60-100k)",TRUE,"High (100k+)")</f>
        <v/>
      </c>
      <c r="W1179" s="5">
        <f>IF(M1179="No","Attrited","Active")</f>
        <v/>
      </c>
    </row>
    <row r="1180">
      <c r="A1180" s="5" t="inlineStr">
        <is>
          <t>E01179</t>
        </is>
      </c>
      <c r="B1180" s="5" t="inlineStr">
        <is>
          <t>Male</t>
        </is>
      </c>
      <c r="C1180" s="6" t="inlineStr">
        <is>
          <t>34</t>
        </is>
      </c>
      <c r="D1180" s="5" t="inlineStr">
        <is>
          <t>Divorced</t>
        </is>
      </c>
      <c r="E1180" s="5" t="inlineStr">
        <is>
          <t>Bachelor</t>
        </is>
      </c>
      <c r="F1180" s="5" t="inlineStr">
        <is>
          <t>Research &amp; Development</t>
        </is>
      </c>
      <c r="G1180" s="5" t="inlineStr">
        <is>
          <t>Research Scientist</t>
        </is>
      </c>
      <c r="H1180" s="5" t="inlineStr">
        <is>
          <t>1</t>
        </is>
      </c>
      <c r="I1180" s="5" t="inlineStr">
        <is>
          <t>Delhi</t>
        </is>
      </c>
      <c r="J1180" s="5" t="inlineStr">
        <is>
          <t>Part-Time</t>
        </is>
      </c>
      <c r="K1180" s="7" t="n">
        <v>43925</v>
      </c>
      <c r="L1180" s="7" t="inlineStr"/>
      <c r="M1180" s="5" t="inlineStr">
        <is>
          <t>Yes</t>
        </is>
      </c>
      <c r="N1180" s="5" t="inlineStr"/>
      <c r="O1180" s="8" t="inlineStr">
        <is>
          <t>123000</t>
        </is>
      </c>
      <c r="P1180" s="5" t="inlineStr">
        <is>
          <t>10</t>
        </is>
      </c>
      <c r="Q1180" s="5" t="inlineStr">
        <is>
          <t>4</t>
        </is>
      </c>
      <c r="R1180" s="5" t="inlineStr">
        <is>
          <t>6</t>
        </is>
      </c>
      <c r="S1180" s="5" t="inlineStr">
        <is>
          <t>69</t>
        </is>
      </c>
      <c r="T1180" s="5" t="inlineStr">
        <is>
          <t>0</t>
        </is>
      </c>
      <c r="U1180" s="5">
        <f>IFS(C1180&lt;30,"Under 30",C1180&lt;40,"30-39",C1180&lt;50,"40-49",TRUE,"50+")</f>
        <v/>
      </c>
      <c r="V1180" s="5">
        <f>IFS(O1180&lt;60000,"Low (&lt;60k)",O1180&lt;100000,"Mid (60-100k)",TRUE,"High (100k+)")</f>
        <v/>
      </c>
      <c r="W1180" s="5">
        <f>IF(M1180="No","Attrited","Active")</f>
        <v/>
      </c>
    </row>
    <row r="1181">
      <c r="A1181" s="5" t="inlineStr">
        <is>
          <t>E01180</t>
        </is>
      </c>
      <c r="B1181" s="5" t="inlineStr">
        <is>
          <t>Female</t>
        </is>
      </c>
      <c r="C1181" s="6" t="inlineStr">
        <is>
          <t>30</t>
        </is>
      </c>
      <c r="D1181" s="5" t="inlineStr">
        <is>
          <t>Married</t>
        </is>
      </c>
      <c r="E1181" s="5" t="inlineStr">
        <is>
          <t>PhD</t>
        </is>
      </c>
      <c r="F1181" s="5" t="inlineStr">
        <is>
          <t>IT</t>
        </is>
      </c>
      <c r="G1181" s="5" t="inlineStr">
        <is>
          <t>IT Support</t>
        </is>
      </c>
      <c r="H1181" s="5" t="inlineStr">
        <is>
          <t>2</t>
        </is>
      </c>
      <c r="I1181" s="5" t="inlineStr">
        <is>
          <t>Mumbai</t>
        </is>
      </c>
      <c r="J1181" s="5" t="inlineStr">
        <is>
          <t>Full-Time</t>
        </is>
      </c>
      <c r="K1181" s="7" t="n">
        <v>44764</v>
      </c>
      <c r="L1181" s="7" t="inlineStr"/>
      <c r="M1181" s="5" t="inlineStr">
        <is>
          <t>Yes</t>
        </is>
      </c>
      <c r="N1181" s="5" t="inlineStr"/>
      <c r="O1181" s="8" t="inlineStr">
        <is>
          <t>102500</t>
        </is>
      </c>
      <c r="P1181" s="5" t="inlineStr">
        <is>
          <t>10</t>
        </is>
      </c>
      <c r="Q1181" s="5" t="inlineStr">
        <is>
          <t>5</t>
        </is>
      </c>
      <c r="R1181" s="5" t="inlineStr">
        <is>
          <t>3</t>
        </is>
      </c>
      <c r="S1181" s="5" t="inlineStr">
        <is>
          <t>41</t>
        </is>
      </c>
      <c r="T1181" s="5" t="inlineStr">
        <is>
          <t>6</t>
        </is>
      </c>
      <c r="U1181" s="5">
        <f>IFS(C1181&lt;30,"Under 30",C1181&lt;40,"30-39",C1181&lt;50,"40-49",TRUE,"50+")</f>
        <v/>
      </c>
      <c r="V1181" s="5">
        <f>IFS(O1181&lt;60000,"Low (&lt;60k)",O1181&lt;100000,"Mid (60-100k)",TRUE,"High (100k+)")</f>
        <v/>
      </c>
      <c r="W1181" s="5">
        <f>IF(M1181="No","Attrited","Active")</f>
        <v/>
      </c>
    </row>
    <row r="1182">
      <c r="A1182" s="5" t="inlineStr">
        <is>
          <t>E01181</t>
        </is>
      </c>
      <c r="B1182" s="5" t="inlineStr">
        <is>
          <t>Female</t>
        </is>
      </c>
      <c r="C1182" s="6" t="inlineStr">
        <is>
          <t>30</t>
        </is>
      </c>
      <c r="D1182" s="5" t="inlineStr">
        <is>
          <t>Single</t>
        </is>
      </c>
      <c r="E1182" s="5" t="inlineStr">
        <is>
          <t>High School</t>
        </is>
      </c>
      <c r="F1182" s="5" t="inlineStr">
        <is>
          <t>Research &amp; Development</t>
        </is>
      </c>
      <c r="G1182" s="5" t="inlineStr">
        <is>
          <t>Data Scientist</t>
        </is>
      </c>
      <c r="H1182" s="5" t="inlineStr">
        <is>
          <t>3</t>
        </is>
      </c>
      <c r="I1182" s="5" t="inlineStr">
        <is>
          <t>Chennai</t>
        </is>
      </c>
      <c r="J1182" s="5" t="inlineStr">
        <is>
          <t>Full-Time</t>
        </is>
      </c>
      <c r="K1182" s="7" t="n">
        <v>44443</v>
      </c>
      <c r="L1182" s="7" t="inlineStr"/>
      <c r="M1182" s="5" t="inlineStr">
        <is>
          <t>Yes</t>
        </is>
      </c>
      <c r="N1182" s="5" t="inlineStr"/>
      <c r="O1182" s="8" t="inlineStr">
        <is>
          <t>151000</t>
        </is>
      </c>
      <c r="P1182" s="5" t="inlineStr">
        <is>
          <t>5</t>
        </is>
      </c>
      <c r="Q1182" s="5" t="inlineStr">
        <is>
          <t>5</t>
        </is>
      </c>
      <c r="R1182" s="5" t="inlineStr">
        <is>
          <t>8</t>
        </is>
      </c>
      <c r="S1182" s="5" t="inlineStr">
        <is>
          <t>52</t>
        </is>
      </c>
      <c r="T1182" s="5" t="inlineStr">
        <is>
          <t>3</t>
        </is>
      </c>
      <c r="U1182" s="5">
        <f>IFS(C1182&lt;30,"Under 30",C1182&lt;40,"30-39",C1182&lt;50,"40-49",TRUE,"50+")</f>
        <v/>
      </c>
      <c r="V1182" s="5">
        <f>IFS(O1182&lt;60000,"Low (&lt;60k)",O1182&lt;100000,"Mid (60-100k)",TRUE,"High (100k+)")</f>
        <v/>
      </c>
      <c r="W1182" s="5">
        <f>IF(M1182="No","Attrited","Active")</f>
        <v/>
      </c>
    </row>
    <row r="1183">
      <c r="A1183" s="5" t="inlineStr">
        <is>
          <t>E01182</t>
        </is>
      </c>
      <c r="B1183" s="5" t="inlineStr">
        <is>
          <t>Male</t>
        </is>
      </c>
      <c r="C1183" s="6" t="inlineStr">
        <is>
          <t>35</t>
        </is>
      </c>
      <c r="D1183" s="5" t="inlineStr">
        <is>
          <t>Single</t>
        </is>
      </c>
      <c r="E1183" s="5" t="inlineStr">
        <is>
          <t>Bachelor</t>
        </is>
      </c>
      <c r="F1183" s="5" t="inlineStr">
        <is>
          <t>Finance</t>
        </is>
      </c>
      <c r="G1183" s="5" t="inlineStr">
        <is>
          <t>Financial Analyst</t>
        </is>
      </c>
      <c r="H1183" s="5" t="inlineStr">
        <is>
          <t>6</t>
        </is>
      </c>
      <c r="I1183" s="5" t="inlineStr">
        <is>
          <t>Remote</t>
        </is>
      </c>
      <c r="J1183" s="5" t="inlineStr">
        <is>
          <t>Full-Time</t>
        </is>
      </c>
      <c r="K1183" s="7" t="n">
        <v>44599</v>
      </c>
      <c r="L1183" s="7" t="inlineStr"/>
      <c r="M1183" s="5" t="inlineStr">
        <is>
          <t>Yes</t>
        </is>
      </c>
      <c r="N1183" s="5" t="inlineStr"/>
      <c r="O1183" s="8" t="inlineStr">
        <is>
          <t>119000</t>
        </is>
      </c>
      <c r="P1183" s="5" t="inlineStr">
        <is>
          <t>10</t>
        </is>
      </c>
      <c r="Q1183" s="5" t="inlineStr">
        <is>
          <t>4</t>
        </is>
      </c>
      <c r="R1183" s="5" t="inlineStr">
        <is>
          <t>2</t>
        </is>
      </c>
      <c r="S1183" s="5" t="inlineStr">
        <is>
          <t>47</t>
        </is>
      </c>
      <c r="T1183" s="5" t="inlineStr">
        <is>
          <t>6</t>
        </is>
      </c>
      <c r="U1183" s="5">
        <f>IFS(C1183&lt;30,"Under 30",C1183&lt;40,"30-39",C1183&lt;50,"40-49",TRUE,"50+")</f>
        <v/>
      </c>
      <c r="V1183" s="5">
        <f>IFS(O1183&lt;60000,"Low (&lt;60k)",O1183&lt;100000,"Mid (60-100k)",TRUE,"High (100k+)")</f>
        <v/>
      </c>
      <c r="W1183" s="5">
        <f>IF(M1183="No","Attrited","Active")</f>
        <v/>
      </c>
    </row>
    <row r="1184">
      <c r="A1184" s="5" t="inlineStr">
        <is>
          <t>E01183</t>
        </is>
      </c>
      <c r="B1184" s="5" t="inlineStr">
        <is>
          <t>Male</t>
        </is>
      </c>
      <c r="C1184" s="6" t="inlineStr">
        <is>
          <t>38</t>
        </is>
      </c>
      <c r="D1184" s="5" t="inlineStr">
        <is>
          <t>Married</t>
        </is>
      </c>
      <c r="E1184" s="5" t="inlineStr">
        <is>
          <t>High School</t>
        </is>
      </c>
      <c r="F1184" s="5" t="inlineStr">
        <is>
          <t>Finance</t>
        </is>
      </c>
      <c r="G1184" s="5" t="inlineStr">
        <is>
          <t>Accountant</t>
        </is>
      </c>
      <c r="H1184" s="5" t="inlineStr">
        <is>
          <t>4</t>
        </is>
      </c>
      <c r="I1184" s="5" t="inlineStr">
        <is>
          <t>Hyderabad</t>
        </is>
      </c>
      <c r="J1184" s="5" t="inlineStr">
        <is>
          <t>Full-Time</t>
        </is>
      </c>
      <c r="K1184" s="7" t="n">
        <v>45225</v>
      </c>
      <c r="L1184" s="7" t="inlineStr"/>
      <c r="M1184" s="5" t="inlineStr">
        <is>
          <t>Yes</t>
        </is>
      </c>
      <c r="N1184" s="5" t="inlineStr"/>
      <c r="O1184" s="8" t="inlineStr">
        <is>
          <t>159000</t>
        </is>
      </c>
      <c r="P1184" s="5" t="inlineStr">
        <is>
          <t>0</t>
        </is>
      </c>
      <c r="Q1184" s="5" t="inlineStr">
        <is>
          <t>4</t>
        </is>
      </c>
      <c r="R1184" s="5" t="inlineStr">
        <is>
          <t>8</t>
        </is>
      </c>
      <c r="S1184" s="5" t="inlineStr">
        <is>
          <t>26</t>
        </is>
      </c>
      <c r="T1184" s="5" t="inlineStr">
        <is>
          <t>0</t>
        </is>
      </c>
      <c r="U1184" s="5">
        <f>IFS(C1184&lt;30,"Under 30",C1184&lt;40,"30-39",C1184&lt;50,"40-49",TRUE,"50+")</f>
        <v/>
      </c>
      <c r="V1184" s="5">
        <f>IFS(O1184&lt;60000,"Low (&lt;60k)",O1184&lt;100000,"Mid (60-100k)",TRUE,"High (100k+)")</f>
        <v/>
      </c>
      <c r="W1184" s="5">
        <f>IF(M1184="No","Attrited","Active")</f>
        <v/>
      </c>
    </row>
    <row r="1185">
      <c r="A1185" s="5" t="inlineStr">
        <is>
          <t>E01184</t>
        </is>
      </c>
      <c r="B1185" s="5" t="inlineStr">
        <is>
          <t>Male</t>
        </is>
      </c>
      <c r="C1185" s="6" t="inlineStr">
        <is>
          <t>33</t>
        </is>
      </c>
      <c r="D1185" s="5" t="inlineStr">
        <is>
          <t>Single</t>
        </is>
      </c>
      <c r="E1185" s="5" t="inlineStr">
        <is>
          <t>Master</t>
        </is>
      </c>
      <c r="F1185" s="5" t="inlineStr">
        <is>
          <t>Operations</t>
        </is>
      </c>
      <c r="G1185" s="5" t="inlineStr">
        <is>
          <t>Quality Analyst</t>
        </is>
      </c>
      <c r="H1185" s="5" t="inlineStr">
        <is>
          <t>3</t>
        </is>
      </c>
      <c r="I1185" s="5" t="inlineStr">
        <is>
          <t>Bengaluru</t>
        </is>
      </c>
      <c r="J1185" s="5" t="inlineStr">
        <is>
          <t>Part-Time</t>
        </is>
      </c>
      <c r="K1185" s="7" t="n">
        <v>44659</v>
      </c>
      <c r="L1185" s="7" t="inlineStr"/>
      <c r="M1185" s="5" t="inlineStr">
        <is>
          <t>Yes</t>
        </is>
      </c>
      <c r="N1185" s="5" t="inlineStr"/>
      <c r="O1185" s="8" t="inlineStr">
        <is>
          <t>87500</t>
        </is>
      </c>
      <c r="P1185" s="5" t="inlineStr">
        <is>
          <t>5</t>
        </is>
      </c>
      <c r="Q1185" s="5" t="inlineStr">
        <is>
          <t>4</t>
        </is>
      </c>
      <c r="R1185" s="5" t="inlineStr">
        <is>
          <t>7</t>
        </is>
      </c>
      <c r="S1185" s="5" t="inlineStr">
        <is>
          <t>45</t>
        </is>
      </c>
      <c r="T1185" s="5" t="inlineStr">
        <is>
          <t>0</t>
        </is>
      </c>
      <c r="U1185" s="5">
        <f>IFS(C1185&lt;30,"Under 30",C1185&lt;40,"30-39",C1185&lt;50,"40-49",TRUE,"50+")</f>
        <v/>
      </c>
      <c r="V1185" s="5">
        <f>IFS(O1185&lt;60000,"Low (&lt;60k)",O1185&lt;100000,"Mid (60-100k)",TRUE,"High (100k+)")</f>
        <v/>
      </c>
      <c r="W1185" s="5">
        <f>IF(M1185="No","Attrited","Active")</f>
        <v/>
      </c>
    </row>
    <row r="1186">
      <c r="A1186" s="5" t="inlineStr">
        <is>
          <t>E01185</t>
        </is>
      </c>
      <c r="B1186" s="5" t="inlineStr">
        <is>
          <t>Male</t>
        </is>
      </c>
      <c r="C1186" s="6" t="inlineStr">
        <is>
          <t>38</t>
        </is>
      </c>
      <c r="D1186" s="5" t="inlineStr">
        <is>
          <t>Single</t>
        </is>
      </c>
      <c r="E1186" s="5" t="inlineStr">
        <is>
          <t>Master</t>
        </is>
      </c>
      <c r="F1186" s="5" t="inlineStr">
        <is>
          <t>Customer Support</t>
        </is>
      </c>
      <c r="G1186" s="5" t="inlineStr">
        <is>
          <t>Support Agent</t>
        </is>
      </c>
      <c r="H1186" s="5" t="inlineStr">
        <is>
          <t>6</t>
        </is>
      </c>
      <c r="I1186" s="5" t="inlineStr">
        <is>
          <t>Chennai</t>
        </is>
      </c>
      <c r="J1186" s="5" t="inlineStr">
        <is>
          <t>Part-Time</t>
        </is>
      </c>
      <c r="K1186" s="7" t="n">
        <v>43836</v>
      </c>
      <c r="L1186" s="7" t="inlineStr"/>
      <c r="M1186" s="5" t="inlineStr">
        <is>
          <t>Yes</t>
        </is>
      </c>
      <c r="N1186" s="5" t="inlineStr"/>
      <c r="O1186" s="8" t="inlineStr">
        <is>
          <t>84500</t>
        </is>
      </c>
      <c r="P1186" s="5" t="inlineStr">
        <is>
          <t>10</t>
        </is>
      </c>
      <c r="Q1186" s="5" t="inlineStr">
        <is>
          <t>4</t>
        </is>
      </c>
      <c r="R1186" s="5" t="inlineStr">
        <is>
          <t>3</t>
        </is>
      </c>
      <c r="S1186" s="5" t="inlineStr">
        <is>
          <t>72</t>
        </is>
      </c>
      <c r="T1186" s="5" t="inlineStr">
        <is>
          <t>7</t>
        </is>
      </c>
      <c r="U1186" s="5">
        <f>IFS(C1186&lt;30,"Under 30",C1186&lt;40,"30-39",C1186&lt;50,"40-49",TRUE,"50+")</f>
        <v/>
      </c>
      <c r="V1186" s="5">
        <f>IFS(O1186&lt;60000,"Low (&lt;60k)",O1186&lt;100000,"Mid (60-100k)",TRUE,"High (100k+)")</f>
        <v/>
      </c>
      <c r="W1186" s="5">
        <f>IF(M1186="No","Attrited","Active")</f>
        <v/>
      </c>
    </row>
    <row r="1187">
      <c r="A1187" s="5" t="inlineStr">
        <is>
          <t>E01186</t>
        </is>
      </c>
      <c r="B1187" s="5" t="inlineStr">
        <is>
          <t>Female</t>
        </is>
      </c>
      <c r="C1187" s="6" t="inlineStr">
        <is>
          <t>35</t>
        </is>
      </c>
      <c r="D1187" s="5" t="inlineStr">
        <is>
          <t>Single</t>
        </is>
      </c>
      <c r="E1187" s="5" t="inlineStr">
        <is>
          <t>Diploma</t>
        </is>
      </c>
      <c r="F1187" s="5" t="inlineStr">
        <is>
          <t>Marketing</t>
        </is>
      </c>
      <c r="G1187" s="5" t="inlineStr">
        <is>
          <t>SEO Specialist</t>
        </is>
      </c>
      <c r="H1187" s="5" t="inlineStr">
        <is>
          <t>2</t>
        </is>
      </c>
      <c r="I1187" s="5" t="inlineStr">
        <is>
          <t>Mumbai</t>
        </is>
      </c>
      <c r="J1187" s="5" t="inlineStr">
        <is>
          <t>Full-Time</t>
        </is>
      </c>
      <c r="K1187" s="7" t="n">
        <v>45249</v>
      </c>
      <c r="L1187" s="7" t="n">
        <v>45387</v>
      </c>
      <c r="M1187" s="5" t="inlineStr">
        <is>
          <t>No</t>
        </is>
      </c>
      <c r="N1187" s="5" t="inlineStr">
        <is>
          <t>Performance / Termination</t>
        </is>
      </c>
      <c r="O1187" s="8" t="inlineStr">
        <is>
          <t>82000</t>
        </is>
      </c>
      <c r="P1187" s="5" t="inlineStr">
        <is>
          <t>0</t>
        </is>
      </c>
      <c r="Q1187" s="5" t="inlineStr">
        <is>
          <t>3</t>
        </is>
      </c>
      <c r="R1187" s="5" t="inlineStr">
        <is>
          <t>7</t>
        </is>
      </c>
      <c r="S1187" s="5" t="inlineStr">
        <is>
          <t>4</t>
        </is>
      </c>
      <c r="T1187" s="5" t="inlineStr">
        <is>
          <t>7</t>
        </is>
      </c>
      <c r="U1187" s="5">
        <f>IFS(C1187&lt;30,"Under 30",C1187&lt;40,"30-39",C1187&lt;50,"40-49",TRUE,"50+")</f>
        <v/>
      </c>
      <c r="V1187" s="5">
        <f>IFS(O1187&lt;60000,"Low (&lt;60k)",O1187&lt;100000,"Mid (60-100k)",TRUE,"High (100k+)")</f>
        <v/>
      </c>
      <c r="W1187" s="5">
        <f>IF(M1187="No","Attrited","Active")</f>
        <v/>
      </c>
    </row>
    <row r="1188">
      <c r="A1188" s="5" t="inlineStr">
        <is>
          <t>E01187</t>
        </is>
      </c>
      <c r="B1188" s="5" t="inlineStr">
        <is>
          <t>Male</t>
        </is>
      </c>
      <c r="C1188" s="6" t="inlineStr">
        <is>
          <t>34</t>
        </is>
      </c>
      <c r="D1188" s="5" t="inlineStr">
        <is>
          <t>Married</t>
        </is>
      </c>
      <c r="E1188" s="5" t="inlineStr">
        <is>
          <t>Bachelor</t>
        </is>
      </c>
      <c r="F1188" s="5" t="inlineStr">
        <is>
          <t>Sales</t>
        </is>
      </c>
      <c r="G1188" s="5" t="inlineStr">
        <is>
          <t>Sales Executive</t>
        </is>
      </c>
      <c r="H1188" s="5" t="inlineStr">
        <is>
          <t>4</t>
        </is>
      </c>
      <c r="I1188" s="5" t="inlineStr">
        <is>
          <t>Mumbai</t>
        </is>
      </c>
      <c r="J1188" s="5" t="inlineStr">
        <is>
          <t>Full-Time</t>
        </is>
      </c>
      <c r="K1188" s="7" t="n">
        <v>45661</v>
      </c>
      <c r="L1188" s="7" t="n">
        <v>45770</v>
      </c>
      <c r="M1188" s="5" t="inlineStr">
        <is>
          <t>No</t>
        </is>
      </c>
      <c r="N1188" s="5" t="inlineStr">
        <is>
          <t>Resigned</t>
        </is>
      </c>
      <c r="O1188" s="8" t="inlineStr">
        <is>
          <t>114000</t>
        </is>
      </c>
      <c r="P1188" s="5" t="inlineStr">
        <is>
          <t>10</t>
        </is>
      </c>
      <c r="Q1188" s="5" t="inlineStr">
        <is>
          <t>4</t>
        </is>
      </c>
      <c r="R1188" s="5" t="inlineStr">
        <is>
          <t>8</t>
        </is>
      </c>
      <c r="S1188" s="5" t="inlineStr">
        <is>
          <t>3</t>
        </is>
      </c>
      <c r="T1188" s="5" t="inlineStr">
        <is>
          <t>7</t>
        </is>
      </c>
      <c r="U1188" s="5">
        <f>IFS(C1188&lt;30,"Under 30",C1188&lt;40,"30-39",C1188&lt;50,"40-49",TRUE,"50+")</f>
        <v/>
      </c>
      <c r="V1188" s="5">
        <f>IFS(O1188&lt;60000,"Low (&lt;60k)",O1188&lt;100000,"Mid (60-100k)",TRUE,"High (100k+)")</f>
        <v/>
      </c>
      <c r="W1188" s="5">
        <f>IF(M1188="No","Attrited","Active")</f>
        <v/>
      </c>
    </row>
    <row r="1189">
      <c r="A1189" s="5" t="inlineStr">
        <is>
          <t>E01188</t>
        </is>
      </c>
      <c r="B1189" s="5" t="inlineStr">
        <is>
          <t>Female</t>
        </is>
      </c>
      <c r="C1189" s="6" t="inlineStr">
        <is>
          <t>44</t>
        </is>
      </c>
      <c r="D1189" s="5" t="inlineStr">
        <is>
          <t>Married</t>
        </is>
      </c>
      <c r="E1189" s="5" t="inlineStr">
        <is>
          <t>Master</t>
        </is>
      </c>
      <c r="F1189" s="5" t="inlineStr">
        <is>
          <t>Sales</t>
        </is>
      </c>
      <c r="G1189" s="5" t="inlineStr">
        <is>
          <t>Sales Executive</t>
        </is>
      </c>
      <c r="H1189" s="5" t="inlineStr">
        <is>
          <t>7</t>
        </is>
      </c>
      <c r="I1189" s="5" t="inlineStr">
        <is>
          <t>Chennai</t>
        </is>
      </c>
      <c r="J1189" s="5" t="inlineStr">
        <is>
          <t>Full-Time</t>
        </is>
      </c>
      <c r="K1189" s="7" t="n">
        <v>45244</v>
      </c>
      <c r="L1189" s="7" t="n">
        <v>45274</v>
      </c>
      <c r="M1189" s="5" t="inlineStr">
        <is>
          <t>No</t>
        </is>
      </c>
      <c r="N1189" s="5" t="inlineStr">
        <is>
          <t>Relocation</t>
        </is>
      </c>
      <c r="O1189" s="8" t="inlineStr">
        <is>
          <t>192500</t>
        </is>
      </c>
      <c r="P1189" s="5" t="inlineStr">
        <is>
          <t>10</t>
        </is>
      </c>
      <c r="Q1189" s="5" t="inlineStr">
        <is>
          <t>3</t>
        </is>
      </c>
      <c r="R1189" s="5" t="inlineStr">
        <is>
          <t>5</t>
        </is>
      </c>
      <c r="S1189" s="5" t="inlineStr">
        <is>
          <t>1</t>
        </is>
      </c>
      <c r="T1189" s="5" t="inlineStr">
        <is>
          <t>2</t>
        </is>
      </c>
      <c r="U1189" s="5">
        <f>IFS(C1189&lt;30,"Under 30",C1189&lt;40,"30-39",C1189&lt;50,"40-49",TRUE,"50+")</f>
        <v/>
      </c>
      <c r="V1189" s="5">
        <f>IFS(O1189&lt;60000,"Low (&lt;60k)",O1189&lt;100000,"Mid (60-100k)",TRUE,"High (100k+)")</f>
        <v/>
      </c>
      <c r="W1189" s="5">
        <f>IF(M1189="No","Attrited","Active")</f>
        <v/>
      </c>
    </row>
    <row r="1190">
      <c r="A1190" s="5" t="inlineStr">
        <is>
          <t>E01189</t>
        </is>
      </c>
      <c r="B1190" s="5" t="inlineStr">
        <is>
          <t>Male</t>
        </is>
      </c>
      <c r="C1190" s="6" t="inlineStr">
        <is>
          <t>38</t>
        </is>
      </c>
      <c r="D1190" s="5" t="inlineStr">
        <is>
          <t>Single</t>
        </is>
      </c>
      <c r="E1190" s="5" t="inlineStr">
        <is>
          <t>PhD</t>
        </is>
      </c>
      <c r="F1190" s="5" t="inlineStr">
        <is>
          <t>Finance</t>
        </is>
      </c>
      <c r="G1190" s="5" t="inlineStr">
        <is>
          <t>Financial Analyst</t>
        </is>
      </c>
      <c r="H1190" s="5" t="inlineStr">
        <is>
          <t>4</t>
        </is>
      </c>
      <c r="I1190" s="5" t="inlineStr">
        <is>
          <t>Bengaluru</t>
        </is>
      </c>
      <c r="J1190" s="5" t="inlineStr">
        <is>
          <t>Full-Time</t>
        </is>
      </c>
      <c r="K1190" s="7" t="n">
        <v>44352</v>
      </c>
      <c r="L1190" s="7" t="inlineStr"/>
      <c r="M1190" s="5" t="inlineStr">
        <is>
          <t>Yes</t>
        </is>
      </c>
      <c r="N1190" s="5" t="inlineStr"/>
      <c r="O1190" s="8" t="inlineStr">
        <is>
          <t>116000</t>
        </is>
      </c>
      <c r="P1190" s="5" t="inlineStr">
        <is>
          <t>0</t>
        </is>
      </c>
      <c r="Q1190" s="5" t="inlineStr">
        <is>
          <t>3</t>
        </is>
      </c>
      <c r="R1190" s="5" t="inlineStr">
        <is>
          <t>6</t>
        </is>
      </c>
      <c r="S1190" s="5" t="inlineStr">
        <is>
          <t>55</t>
        </is>
      </c>
      <c r="T1190" s="5" t="inlineStr">
        <is>
          <t>7</t>
        </is>
      </c>
      <c r="U1190" s="5">
        <f>IFS(C1190&lt;30,"Under 30",C1190&lt;40,"30-39",C1190&lt;50,"40-49",TRUE,"50+")</f>
        <v/>
      </c>
      <c r="V1190" s="5">
        <f>IFS(O1190&lt;60000,"Low (&lt;60k)",O1190&lt;100000,"Mid (60-100k)",TRUE,"High (100k+)")</f>
        <v/>
      </c>
      <c r="W1190" s="5">
        <f>IF(M1190="No","Attrited","Active")</f>
        <v/>
      </c>
    </row>
    <row r="1191">
      <c r="A1191" s="5" t="inlineStr">
        <is>
          <t>E01190</t>
        </is>
      </c>
      <c r="B1191" s="5" t="inlineStr">
        <is>
          <t>Female</t>
        </is>
      </c>
      <c r="C1191" s="6" t="inlineStr">
        <is>
          <t>26</t>
        </is>
      </c>
      <c r="D1191" s="5" t="inlineStr">
        <is>
          <t>Married</t>
        </is>
      </c>
      <c r="E1191" s="5" t="inlineStr">
        <is>
          <t>Diploma</t>
        </is>
      </c>
      <c r="F1191" s="5" t="inlineStr">
        <is>
          <t>Research &amp; Development</t>
        </is>
      </c>
      <c r="G1191" s="5" t="inlineStr">
        <is>
          <t>Research Scientist</t>
        </is>
      </c>
      <c r="H1191" s="5" t="inlineStr">
        <is>
          <t>1</t>
        </is>
      </c>
      <c r="I1191" s="5" t="inlineStr">
        <is>
          <t>Bengaluru</t>
        </is>
      </c>
      <c r="J1191" s="5" t="inlineStr">
        <is>
          <t>Full-Time</t>
        </is>
      </c>
      <c r="K1191" s="7" t="n">
        <v>45280</v>
      </c>
      <c r="L1191" s="7" t="inlineStr"/>
      <c r="M1191" s="5" t="inlineStr">
        <is>
          <t>Yes</t>
        </is>
      </c>
      <c r="N1191" s="5" t="inlineStr"/>
      <c r="O1191" s="8" t="inlineStr">
        <is>
          <t>144500</t>
        </is>
      </c>
      <c r="P1191" s="5" t="inlineStr">
        <is>
          <t>0</t>
        </is>
      </c>
      <c r="Q1191" s="5" t="inlineStr">
        <is>
          <t>5</t>
        </is>
      </c>
      <c r="R1191" s="5" t="inlineStr">
        <is>
          <t>5</t>
        </is>
      </c>
      <c r="S1191" s="5" t="inlineStr">
        <is>
          <t>24</t>
        </is>
      </c>
      <c r="T1191" s="5" t="inlineStr">
        <is>
          <t>4</t>
        </is>
      </c>
      <c r="U1191" s="5">
        <f>IFS(C1191&lt;30,"Under 30",C1191&lt;40,"30-39",C1191&lt;50,"40-49",TRUE,"50+")</f>
        <v/>
      </c>
      <c r="V1191" s="5">
        <f>IFS(O1191&lt;60000,"Low (&lt;60k)",O1191&lt;100000,"Mid (60-100k)",TRUE,"High (100k+)")</f>
        <v/>
      </c>
      <c r="W1191" s="5">
        <f>IF(M1191="No","Attrited","Active")</f>
        <v/>
      </c>
    </row>
    <row r="1192">
      <c r="A1192" s="5" t="inlineStr">
        <is>
          <t>E01191</t>
        </is>
      </c>
      <c r="B1192" s="5" t="inlineStr">
        <is>
          <t>Female</t>
        </is>
      </c>
      <c r="C1192" s="6" t="inlineStr">
        <is>
          <t>35</t>
        </is>
      </c>
      <c r="D1192" s="5" t="inlineStr">
        <is>
          <t>Married</t>
        </is>
      </c>
      <c r="E1192" s="5" t="inlineStr">
        <is>
          <t>High School</t>
        </is>
      </c>
      <c r="F1192" s="5" t="inlineStr">
        <is>
          <t>Research &amp; Development</t>
        </is>
      </c>
      <c r="G1192" s="5" t="inlineStr">
        <is>
          <t>Data Scientist</t>
        </is>
      </c>
      <c r="H1192" s="5" t="inlineStr">
        <is>
          <t>3</t>
        </is>
      </c>
      <c r="I1192" s="5" t="inlineStr">
        <is>
          <t>Remote</t>
        </is>
      </c>
      <c r="J1192" s="5" t="inlineStr">
        <is>
          <t>Full-Time</t>
        </is>
      </c>
      <c r="K1192" s="7" t="n">
        <v>44476</v>
      </c>
      <c r="L1192" s="7" t="inlineStr"/>
      <c r="M1192" s="5" t="inlineStr">
        <is>
          <t>Yes</t>
        </is>
      </c>
      <c r="N1192" s="5" t="inlineStr"/>
      <c r="O1192" s="8" t="inlineStr">
        <is>
          <t>161000</t>
        </is>
      </c>
      <c r="P1192" s="5" t="inlineStr">
        <is>
          <t>0</t>
        </is>
      </c>
      <c r="Q1192" s="5" t="inlineStr">
        <is>
          <t>4</t>
        </is>
      </c>
      <c r="R1192" s="5" t="inlineStr">
        <is>
          <t>5</t>
        </is>
      </c>
      <c r="S1192" s="5" t="inlineStr">
        <is>
          <t>51</t>
        </is>
      </c>
      <c r="T1192" s="5" t="inlineStr">
        <is>
          <t>9</t>
        </is>
      </c>
      <c r="U1192" s="5">
        <f>IFS(C1192&lt;30,"Under 30",C1192&lt;40,"30-39",C1192&lt;50,"40-49",TRUE,"50+")</f>
        <v/>
      </c>
      <c r="V1192" s="5">
        <f>IFS(O1192&lt;60000,"Low (&lt;60k)",O1192&lt;100000,"Mid (60-100k)",TRUE,"High (100k+)")</f>
        <v/>
      </c>
      <c r="W1192" s="5">
        <f>IF(M1192="No","Attrited","Active")</f>
        <v/>
      </c>
    </row>
    <row r="1193">
      <c r="A1193" s="5" t="inlineStr">
        <is>
          <t>E01192</t>
        </is>
      </c>
      <c r="B1193" s="5" t="inlineStr">
        <is>
          <t>Female</t>
        </is>
      </c>
      <c r="C1193" s="6" t="inlineStr">
        <is>
          <t>25</t>
        </is>
      </c>
      <c r="D1193" s="5" t="inlineStr">
        <is>
          <t>Married</t>
        </is>
      </c>
      <c r="E1193" s="5" t="inlineStr">
        <is>
          <t>High School</t>
        </is>
      </c>
      <c r="F1193" s="5" t="inlineStr">
        <is>
          <t>Customer Support</t>
        </is>
      </c>
      <c r="G1193" s="5" t="inlineStr">
        <is>
          <t>Support Lead</t>
        </is>
      </c>
      <c r="H1193" s="5" t="inlineStr">
        <is>
          <t>1</t>
        </is>
      </c>
      <c r="I1193" s="5" t="inlineStr">
        <is>
          <t>Mumbai</t>
        </is>
      </c>
      <c r="J1193" s="5" t="inlineStr">
        <is>
          <t>Part-Time</t>
        </is>
      </c>
      <c r="K1193" s="7" t="n">
        <v>45526</v>
      </c>
      <c r="L1193" s="7" t="n">
        <v>45582</v>
      </c>
      <c r="M1193" s="5" t="inlineStr">
        <is>
          <t>No</t>
        </is>
      </c>
      <c r="N1193" s="5" t="inlineStr">
        <is>
          <t>Resigned</t>
        </is>
      </c>
      <c r="O1193" s="8" t="inlineStr">
        <is>
          <t>69500</t>
        </is>
      </c>
      <c r="P1193" s="5" t="inlineStr">
        <is>
          <t>10</t>
        </is>
      </c>
      <c r="Q1193" s="5" t="inlineStr">
        <is>
          <t>3</t>
        </is>
      </c>
      <c r="R1193" s="5" t="inlineStr">
        <is>
          <t>4</t>
        </is>
      </c>
      <c r="S1193" s="5" t="inlineStr">
        <is>
          <t>1</t>
        </is>
      </c>
      <c r="T1193" s="5" t="inlineStr">
        <is>
          <t>3</t>
        </is>
      </c>
      <c r="U1193" s="5">
        <f>IFS(C1193&lt;30,"Under 30",C1193&lt;40,"30-39",C1193&lt;50,"40-49",TRUE,"50+")</f>
        <v/>
      </c>
      <c r="V1193" s="5">
        <f>IFS(O1193&lt;60000,"Low (&lt;60k)",O1193&lt;100000,"Mid (60-100k)",TRUE,"High (100k+)")</f>
        <v/>
      </c>
      <c r="W1193" s="5">
        <f>IF(M1193="No","Attrited","Active")</f>
        <v/>
      </c>
    </row>
    <row r="1194">
      <c r="A1194" s="5" t="inlineStr">
        <is>
          <t>E01193</t>
        </is>
      </c>
      <c r="B1194" s="5" t="inlineStr">
        <is>
          <t>Female</t>
        </is>
      </c>
      <c r="C1194" s="6" t="inlineStr">
        <is>
          <t>31</t>
        </is>
      </c>
      <c r="D1194" s="5" t="inlineStr">
        <is>
          <t>Married</t>
        </is>
      </c>
      <c r="E1194" s="5" t="inlineStr">
        <is>
          <t>PhD</t>
        </is>
      </c>
      <c r="F1194" s="5" t="inlineStr">
        <is>
          <t>Marketing</t>
        </is>
      </c>
      <c r="G1194" s="5" t="inlineStr">
        <is>
          <t>Content Writer</t>
        </is>
      </c>
      <c r="H1194" s="5" t="inlineStr">
        <is>
          <t>1</t>
        </is>
      </c>
      <c r="I1194" s="5" t="inlineStr">
        <is>
          <t>Mumbai</t>
        </is>
      </c>
      <c r="J1194" s="5" t="inlineStr">
        <is>
          <t>Contract</t>
        </is>
      </c>
      <c r="K1194" s="7" t="n">
        <v>44673</v>
      </c>
      <c r="L1194" s="7" t="inlineStr"/>
      <c r="M1194" s="5" t="inlineStr">
        <is>
          <t>Yes</t>
        </is>
      </c>
      <c r="N1194" s="5" t="inlineStr"/>
      <c r="O1194" s="8" t="inlineStr">
        <is>
          <t>87000</t>
        </is>
      </c>
      <c r="P1194" s="5" t="inlineStr">
        <is>
          <t>0</t>
        </is>
      </c>
      <c r="Q1194" s="5" t="inlineStr">
        <is>
          <t>3</t>
        </is>
      </c>
      <c r="R1194" s="5" t="inlineStr">
        <is>
          <t>10</t>
        </is>
      </c>
      <c r="S1194" s="5" t="inlineStr">
        <is>
          <t>44</t>
        </is>
      </c>
      <c r="T1194" s="5" t="inlineStr">
        <is>
          <t>16</t>
        </is>
      </c>
      <c r="U1194" s="5">
        <f>IFS(C1194&lt;30,"Under 30",C1194&lt;40,"30-39",C1194&lt;50,"40-49",TRUE,"50+")</f>
        <v/>
      </c>
      <c r="V1194" s="5">
        <f>IFS(O1194&lt;60000,"Low (&lt;60k)",O1194&lt;100000,"Mid (60-100k)",TRUE,"High (100k+)")</f>
        <v/>
      </c>
      <c r="W1194" s="5">
        <f>IF(M1194="No","Attrited","Active")</f>
        <v/>
      </c>
    </row>
    <row r="1195">
      <c r="A1195" s="5" t="inlineStr">
        <is>
          <t>E01194</t>
        </is>
      </c>
      <c r="B1195" s="5" t="inlineStr">
        <is>
          <t>Female</t>
        </is>
      </c>
      <c r="C1195" s="6" t="inlineStr">
        <is>
          <t>27</t>
        </is>
      </c>
      <c r="D1195" s="5" t="inlineStr">
        <is>
          <t>Married</t>
        </is>
      </c>
      <c r="E1195" s="5" t="inlineStr">
        <is>
          <t>Bachelor</t>
        </is>
      </c>
      <c r="F1195" s="5" t="inlineStr">
        <is>
          <t>Finance</t>
        </is>
      </c>
      <c r="G1195" s="5" t="inlineStr">
        <is>
          <t>Accountant</t>
        </is>
      </c>
      <c r="H1195" s="5" t="inlineStr">
        <is>
          <t>3</t>
        </is>
      </c>
      <c r="I1195" s="5" t="inlineStr">
        <is>
          <t>Mumbai</t>
        </is>
      </c>
      <c r="J1195" s="5" t="inlineStr">
        <is>
          <t>Full-Time</t>
        </is>
      </c>
      <c r="K1195" s="7" t="n">
        <v>44893</v>
      </c>
      <c r="L1195" s="7" t="inlineStr"/>
      <c r="M1195" s="5" t="inlineStr">
        <is>
          <t>Yes</t>
        </is>
      </c>
      <c r="N1195" s="5" t="inlineStr"/>
      <c r="O1195" s="8" t="inlineStr">
        <is>
          <t>133500</t>
        </is>
      </c>
      <c r="P1195" s="5" t="inlineStr">
        <is>
          <t>5</t>
        </is>
      </c>
      <c r="Q1195" s="5" t="inlineStr">
        <is>
          <t>1</t>
        </is>
      </c>
      <c r="R1195" s="5" t="inlineStr">
        <is>
          <t>5</t>
        </is>
      </c>
      <c r="S1195" s="5" t="inlineStr">
        <is>
          <t>37</t>
        </is>
      </c>
      <c r="T1195" s="5" t="inlineStr">
        <is>
          <t>0</t>
        </is>
      </c>
      <c r="U1195" s="5">
        <f>IFS(C1195&lt;30,"Under 30",C1195&lt;40,"30-39",C1195&lt;50,"40-49",TRUE,"50+")</f>
        <v/>
      </c>
      <c r="V1195" s="5">
        <f>IFS(O1195&lt;60000,"Low (&lt;60k)",O1195&lt;100000,"Mid (60-100k)",TRUE,"High (100k+)")</f>
        <v/>
      </c>
      <c r="W1195" s="5">
        <f>IF(M1195="No","Attrited","Active")</f>
        <v/>
      </c>
    </row>
    <row r="1196">
      <c r="A1196" s="5" t="inlineStr">
        <is>
          <t>E01195</t>
        </is>
      </c>
      <c r="B1196" s="5" t="inlineStr">
        <is>
          <t>Male</t>
        </is>
      </c>
      <c r="C1196" s="6" t="inlineStr">
        <is>
          <t>37</t>
        </is>
      </c>
      <c r="D1196" s="5" t="inlineStr">
        <is>
          <t>Married</t>
        </is>
      </c>
      <c r="E1196" s="5" t="inlineStr">
        <is>
          <t>Bachelor</t>
        </is>
      </c>
      <c r="F1196" s="5" t="inlineStr">
        <is>
          <t>Customer Support</t>
        </is>
      </c>
      <c r="G1196" s="5" t="inlineStr">
        <is>
          <t>Escalation Specialist</t>
        </is>
      </c>
      <c r="H1196" s="5" t="inlineStr">
        <is>
          <t>3</t>
        </is>
      </c>
      <c r="I1196" s="5" t="inlineStr">
        <is>
          <t>Delhi</t>
        </is>
      </c>
      <c r="J1196" s="5" t="inlineStr">
        <is>
          <t>Part-Time</t>
        </is>
      </c>
      <c r="K1196" s="7" t="n">
        <v>44336</v>
      </c>
      <c r="L1196" s="7" t="inlineStr"/>
      <c r="M1196" s="5" t="inlineStr">
        <is>
          <t>Yes</t>
        </is>
      </c>
      <c r="N1196" s="5" t="inlineStr"/>
      <c r="O1196" s="8" t="inlineStr">
        <is>
          <t>70000</t>
        </is>
      </c>
      <c r="P1196" s="5" t="inlineStr">
        <is>
          <t>0</t>
        </is>
      </c>
      <c r="Q1196" s="5" t="inlineStr">
        <is>
          <t>3</t>
        </is>
      </c>
      <c r="R1196" s="5" t="inlineStr">
        <is>
          <t>5</t>
        </is>
      </c>
      <c r="S1196" s="5" t="inlineStr">
        <is>
          <t>56</t>
        </is>
      </c>
      <c r="T1196" s="5" t="inlineStr">
        <is>
          <t>10</t>
        </is>
      </c>
      <c r="U1196" s="5">
        <f>IFS(C1196&lt;30,"Under 30",C1196&lt;40,"30-39",C1196&lt;50,"40-49",TRUE,"50+")</f>
        <v/>
      </c>
      <c r="V1196" s="5">
        <f>IFS(O1196&lt;60000,"Low (&lt;60k)",O1196&lt;100000,"Mid (60-100k)",TRUE,"High (100k+)")</f>
        <v/>
      </c>
      <c r="W1196" s="5">
        <f>IF(M1196="No","Attrited","Active")</f>
        <v/>
      </c>
    </row>
    <row r="1197">
      <c r="A1197" s="5" t="inlineStr">
        <is>
          <t>E01196</t>
        </is>
      </c>
      <c r="B1197" s="5" t="inlineStr">
        <is>
          <t>Male</t>
        </is>
      </c>
      <c r="C1197" s="6" t="inlineStr">
        <is>
          <t>43</t>
        </is>
      </c>
      <c r="D1197" s="5" t="inlineStr">
        <is>
          <t>Married</t>
        </is>
      </c>
      <c r="E1197" s="5" t="inlineStr">
        <is>
          <t>Diploma</t>
        </is>
      </c>
      <c r="F1197" s="5" t="inlineStr">
        <is>
          <t>Operations</t>
        </is>
      </c>
      <c r="G1197" s="5" t="inlineStr">
        <is>
          <t>Operations Analyst</t>
        </is>
      </c>
      <c r="H1197" s="5" t="inlineStr">
        <is>
          <t>6</t>
        </is>
      </c>
      <c r="I1197" s="5" t="inlineStr">
        <is>
          <t>Remote</t>
        </is>
      </c>
      <c r="J1197" s="5" t="inlineStr">
        <is>
          <t>Full-Time</t>
        </is>
      </c>
      <c r="K1197" s="7" t="n">
        <v>45534</v>
      </c>
      <c r="L1197" s="7" t="n">
        <v>45583</v>
      </c>
      <c r="M1197" s="5" t="inlineStr">
        <is>
          <t>No</t>
        </is>
      </c>
      <c r="N1197" s="5" t="inlineStr">
        <is>
          <t>Retirement</t>
        </is>
      </c>
      <c r="O1197" s="8" t="inlineStr">
        <is>
          <t>143000</t>
        </is>
      </c>
      <c r="P1197" s="5" t="inlineStr">
        <is>
          <t>10</t>
        </is>
      </c>
      <c r="Q1197" s="5" t="inlineStr">
        <is>
          <t>1</t>
        </is>
      </c>
      <c r="R1197" s="5" t="inlineStr">
        <is>
          <t>10</t>
        </is>
      </c>
      <c r="S1197" s="5" t="inlineStr">
        <is>
          <t>1</t>
        </is>
      </c>
      <c r="T1197" s="5" t="inlineStr">
        <is>
          <t>10</t>
        </is>
      </c>
      <c r="U1197" s="5">
        <f>IFS(C1197&lt;30,"Under 30",C1197&lt;40,"30-39",C1197&lt;50,"40-49",TRUE,"50+")</f>
        <v/>
      </c>
      <c r="V1197" s="5">
        <f>IFS(O1197&lt;60000,"Low (&lt;60k)",O1197&lt;100000,"Mid (60-100k)",TRUE,"High (100k+)")</f>
        <v/>
      </c>
      <c r="W1197" s="5">
        <f>IF(M1197="No","Attrited","Active")</f>
        <v/>
      </c>
    </row>
    <row r="1198">
      <c r="A1198" s="5" t="inlineStr">
        <is>
          <t>E01197</t>
        </is>
      </c>
      <c r="B1198" s="5" t="inlineStr">
        <is>
          <t>Female</t>
        </is>
      </c>
      <c r="C1198" s="6" t="inlineStr">
        <is>
          <t>43</t>
        </is>
      </c>
      <c r="D1198" s="5" t="inlineStr">
        <is>
          <t>Married</t>
        </is>
      </c>
      <c r="E1198" s="5" t="inlineStr">
        <is>
          <t>Bachelor</t>
        </is>
      </c>
      <c r="F1198" s="5" t="inlineStr">
        <is>
          <t>Human Resources</t>
        </is>
      </c>
      <c r="G1198" s="5" t="inlineStr">
        <is>
          <t>HR Generalist</t>
        </is>
      </c>
      <c r="H1198" s="5" t="inlineStr">
        <is>
          <t>6</t>
        </is>
      </c>
      <c r="I1198" s="5" t="inlineStr">
        <is>
          <t>Chennai</t>
        </is>
      </c>
      <c r="J1198" s="5" t="inlineStr">
        <is>
          <t>Full-Time</t>
        </is>
      </c>
      <c r="K1198" s="7" t="n">
        <v>45921</v>
      </c>
      <c r="L1198" s="7" t="n">
        <v>46021</v>
      </c>
      <c r="M1198" s="5" t="inlineStr">
        <is>
          <t>No</t>
        </is>
      </c>
      <c r="N1198" s="5" t="inlineStr">
        <is>
          <t>Resigned</t>
        </is>
      </c>
      <c r="O1198" s="8" t="inlineStr">
        <is>
          <t>95500</t>
        </is>
      </c>
      <c r="P1198" s="5" t="inlineStr">
        <is>
          <t>15</t>
        </is>
      </c>
      <c r="Q1198" s="5" t="inlineStr">
        <is>
          <t>3</t>
        </is>
      </c>
      <c r="R1198" s="5" t="inlineStr">
        <is>
          <t>4</t>
        </is>
      </c>
      <c r="S1198" s="5" t="inlineStr">
        <is>
          <t>3</t>
        </is>
      </c>
      <c r="T1198" s="5" t="inlineStr">
        <is>
          <t>10</t>
        </is>
      </c>
      <c r="U1198" s="5">
        <f>IFS(C1198&lt;30,"Under 30",C1198&lt;40,"30-39",C1198&lt;50,"40-49",TRUE,"50+")</f>
        <v/>
      </c>
      <c r="V1198" s="5">
        <f>IFS(O1198&lt;60000,"Low (&lt;60k)",O1198&lt;100000,"Mid (60-100k)",TRUE,"High (100k+)")</f>
        <v/>
      </c>
      <c r="W1198" s="5">
        <f>IF(M1198="No","Attrited","Active")</f>
        <v/>
      </c>
    </row>
    <row r="1199">
      <c r="A1199" s="5" t="inlineStr">
        <is>
          <t>E01198</t>
        </is>
      </c>
      <c r="B1199" s="5" t="inlineStr">
        <is>
          <t>Female</t>
        </is>
      </c>
      <c r="C1199" s="6" t="inlineStr">
        <is>
          <t>30</t>
        </is>
      </c>
      <c r="D1199" s="5" t="inlineStr">
        <is>
          <t>Married</t>
        </is>
      </c>
      <c r="E1199" s="5" t="inlineStr">
        <is>
          <t>Master</t>
        </is>
      </c>
      <c r="F1199" s="5" t="inlineStr">
        <is>
          <t>Human Resources</t>
        </is>
      </c>
      <c r="G1199" s="5" t="inlineStr">
        <is>
          <t>Recruiter</t>
        </is>
      </c>
      <c r="H1199" s="5" t="inlineStr">
        <is>
          <t>2</t>
        </is>
      </c>
      <c r="I1199" s="5" t="inlineStr">
        <is>
          <t>Mumbai</t>
        </is>
      </c>
      <c r="J1199" s="5" t="inlineStr">
        <is>
          <t>Full-Time</t>
        </is>
      </c>
      <c r="K1199" s="7" t="n">
        <v>45788</v>
      </c>
      <c r="L1199" s="7" t="inlineStr"/>
      <c r="M1199" s="5" t="inlineStr">
        <is>
          <t>Yes</t>
        </is>
      </c>
      <c r="N1199" s="5" t="inlineStr"/>
      <c r="O1199" s="8" t="inlineStr">
        <is>
          <t>65000</t>
        </is>
      </c>
      <c r="P1199" s="5" t="inlineStr">
        <is>
          <t>0</t>
        </is>
      </c>
      <c r="Q1199" s="5" t="inlineStr">
        <is>
          <t>5</t>
        </is>
      </c>
      <c r="R1199" s="5" t="inlineStr">
        <is>
          <t>7</t>
        </is>
      </c>
      <c r="S1199" s="5" t="inlineStr">
        <is>
          <t>7</t>
        </is>
      </c>
      <c r="T1199" s="5" t="inlineStr">
        <is>
          <t>6</t>
        </is>
      </c>
      <c r="U1199" s="5">
        <f>IFS(C1199&lt;30,"Under 30",C1199&lt;40,"30-39",C1199&lt;50,"40-49",TRUE,"50+")</f>
        <v/>
      </c>
      <c r="V1199" s="5">
        <f>IFS(O1199&lt;60000,"Low (&lt;60k)",O1199&lt;100000,"Mid (60-100k)",TRUE,"High (100k+)")</f>
        <v/>
      </c>
      <c r="W1199" s="5">
        <f>IF(M1199="No","Attrited","Active")</f>
        <v/>
      </c>
    </row>
    <row r="1200">
      <c r="A1200" s="5" t="inlineStr">
        <is>
          <t>E01199</t>
        </is>
      </c>
      <c r="B1200" s="5" t="inlineStr">
        <is>
          <t>Male</t>
        </is>
      </c>
      <c r="C1200" s="6" t="inlineStr">
        <is>
          <t>33</t>
        </is>
      </c>
      <c r="D1200" s="5" t="inlineStr">
        <is>
          <t>Married</t>
        </is>
      </c>
      <c r="E1200" s="5" t="inlineStr">
        <is>
          <t>High School</t>
        </is>
      </c>
      <c r="F1200" s="5" t="inlineStr">
        <is>
          <t>Human Resources</t>
        </is>
      </c>
      <c r="G1200" s="5" t="inlineStr">
        <is>
          <t>Recruiter</t>
        </is>
      </c>
      <c r="H1200" s="5" t="inlineStr">
        <is>
          <t>3</t>
        </is>
      </c>
      <c r="I1200" s="5" t="inlineStr">
        <is>
          <t>Delhi</t>
        </is>
      </c>
      <c r="J1200" s="5" t="inlineStr">
        <is>
          <t>Full-Time</t>
        </is>
      </c>
      <c r="K1200" s="7" t="n">
        <v>45396</v>
      </c>
      <c r="L1200" s="7" t="inlineStr"/>
      <c r="M1200" s="5" t="inlineStr">
        <is>
          <t>Yes</t>
        </is>
      </c>
      <c r="N1200" s="5" t="inlineStr"/>
      <c r="O1200" s="8" t="inlineStr">
        <is>
          <t>106000</t>
        </is>
      </c>
      <c r="P1200" s="5" t="inlineStr">
        <is>
          <t>5</t>
        </is>
      </c>
      <c r="Q1200" s="5" t="inlineStr">
        <is>
          <t>3</t>
        </is>
      </c>
      <c r="R1200" s="5" t="inlineStr">
        <is>
          <t>5</t>
        </is>
      </c>
      <c r="S1200" s="5" t="inlineStr">
        <is>
          <t>20</t>
        </is>
      </c>
      <c r="T1200" s="5" t="inlineStr">
        <is>
          <t>7</t>
        </is>
      </c>
      <c r="U1200" s="5">
        <f>IFS(C1200&lt;30,"Under 30",C1200&lt;40,"30-39",C1200&lt;50,"40-49",TRUE,"50+")</f>
        <v/>
      </c>
      <c r="V1200" s="5">
        <f>IFS(O1200&lt;60000,"Low (&lt;60k)",O1200&lt;100000,"Mid (60-100k)",TRUE,"High (100k+)")</f>
        <v/>
      </c>
      <c r="W1200" s="5">
        <f>IF(M1200="No","Attrited","Active")</f>
        <v/>
      </c>
    </row>
    <row r="1201">
      <c r="A1201" s="5" t="inlineStr">
        <is>
          <t>E01200</t>
        </is>
      </c>
      <c r="B1201" s="5" t="inlineStr">
        <is>
          <t>Female</t>
        </is>
      </c>
      <c r="C1201" s="6" t="inlineStr">
        <is>
          <t>29</t>
        </is>
      </c>
      <c r="D1201" s="5" t="inlineStr">
        <is>
          <t>Married</t>
        </is>
      </c>
      <c r="E1201" s="5" t="inlineStr">
        <is>
          <t>Bachelor</t>
        </is>
      </c>
      <c r="F1201" s="5" t="inlineStr">
        <is>
          <t>Marketing</t>
        </is>
      </c>
      <c r="G1201" s="5" t="inlineStr">
        <is>
          <t>SEO Specialist</t>
        </is>
      </c>
      <c r="H1201" s="5" t="inlineStr">
        <is>
          <t>3</t>
        </is>
      </c>
      <c r="I1201" s="5" t="inlineStr">
        <is>
          <t>Mumbai</t>
        </is>
      </c>
      <c r="J1201" s="5" t="inlineStr">
        <is>
          <t>Full-Time</t>
        </is>
      </c>
      <c r="K1201" s="7" t="n">
        <v>45123</v>
      </c>
      <c r="L1201" s="7" t="inlineStr"/>
      <c r="M1201" s="5" t="inlineStr">
        <is>
          <t>Yes</t>
        </is>
      </c>
      <c r="N1201" s="5" t="inlineStr"/>
      <c r="O1201" s="8" t="inlineStr">
        <is>
          <t>76000</t>
        </is>
      </c>
      <c r="P1201" s="5" t="inlineStr">
        <is>
          <t>10</t>
        </is>
      </c>
      <c r="Q1201" s="5" t="inlineStr">
        <is>
          <t>5</t>
        </is>
      </c>
      <c r="R1201" s="5" t="inlineStr">
        <is>
          <t>6</t>
        </is>
      </c>
      <c r="S1201" s="5" t="inlineStr">
        <is>
          <t>29</t>
        </is>
      </c>
      <c r="T1201" s="5" t="inlineStr">
        <is>
          <t>0</t>
        </is>
      </c>
      <c r="U1201" s="5">
        <f>IFS(C1201&lt;30,"Under 30",C1201&lt;40,"30-39",C1201&lt;50,"40-49",TRUE,"50+")</f>
        <v/>
      </c>
      <c r="V1201" s="5">
        <f>IFS(O1201&lt;60000,"Low (&lt;60k)",O1201&lt;100000,"Mid (60-100k)",TRUE,"High (100k+)")</f>
        <v/>
      </c>
      <c r="W1201" s="5">
        <f>IF(M1201="No","Attrited","Active")</f>
        <v/>
      </c>
    </row>
    <row r="1202">
      <c r="A1202" s="5" t="inlineStr">
        <is>
          <t>E01201</t>
        </is>
      </c>
      <c r="B1202" s="5" t="inlineStr">
        <is>
          <t>Male</t>
        </is>
      </c>
      <c r="C1202" s="6" t="inlineStr">
        <is>
          <t>28</t>
        </is>
      </c>
      <c r="D1202" s="5" t="inlineStr">
        <is>
          <t>Married</t>
        </is>
      </c>
      <c r="E1202" s="5" t="inlineStr">
        <is>
          <t>High School</t>
        </is>
      </c>
      <c r="F1202" s="5" t="inlineStr">
        <is>
          <t>Finance</t>
        </is>
      </c>
      <c r="G1202" s="5" t="inlineStr">
        <is>
          <t>Financial Analyst</t>
        </is>
      </c>
      <c r="H1202" s="5" t="inlineStr">
        <is>
          <t>2</t>
        </is>
      </c>
      <c r="I1202" s="5" t="inlineStr">
        <is>
          <t>Chennai</t>
        </is>
      </c>
      <c r="J1202" s="5" t="inlineStr">
        <is>
          <t>Full-Time</t>
        </is>
      </c>
      <c r="K1202" s="7" t="n">
        <v>44352</v>
      </c>
      <c r="L1202" s="7" t="n">
        <v>44490</v>
      </c>
      <c r="M1202" s="5" t="inlineStr">
        <is>
          <t>No</t>
        </is>
      </c>
      <c r="N1202" s="5" t="inlineStr">
        <is>
          <t>Performance / Termination</t>
        </is>
      </c>
      <c r="O1202" s="8" t="inlineStr">
        <is>
          <t>113000</t>
        </is>
      </c>
      <c r="P1202" s="5" t="inlineStr">
        <is>
          <t>0</t>
        </is>
      </c>
      <c r="Q1202" s="5" t="inlineStr">
        <is>
          <t>3</t>
        </is>
      </c>
      <c r="R1202" s="5" t="inlineStr">
        <is>
          <t>4</t>
        </is>
      </c>
      <c r="S1202" s="5" t="inlineStr">
        <is>
          <t>4</t>
        </is>
      </c>
      <c r="T1202" s="5" t="inlineStr">
        <is>
          <t>0</t>
        </is>
      </c>
      <c r="U1202" s="5">
        <f>IFS(C1202&lt;30,"Under 30",C1202&lt;40,"30-39",C1202&lt;50,"40-49",TRUE,"50+")</f>
        <v/>
      </c>
      <c r="V1202" s="5">
        <f>IFS(O1202&lt;60000,"Low (&lt;60k)",O1202&lt;100000,"Mid (60-100k)",TRUE,"High (100k+)")</f>
        <v/>
      </c>
      <c r="W1202" s="5">
        <f>IF(M1202="No","Attrited","Active")</f>
        <v/>
      </c>
    </row>
    <row r="1203">
      <c r="A1203" s="5" t="inlineStr">
        <is>
          <t>E01202</t>
        </is>
      </c>
      <c r="B1203" s="5" t="inlineStr">
        <is>
          <t>Female</t>
        </is>
      </c>
      <c r="C1203" s="6" t="inlineStr">
        <is>
          <t>31</t>
        </is>
      </c>
      <c r="D1203" s="5" t="inlineStr">
        <is>
          <t>Single</t>
        </is>
      </c>
      <c r="E1203" s="5" t="inlineStr">
        <is>
          <t>Bachelor</t>
        </is>
      </c>
      <c r="F1203" s="5" t="inlineStr">
        <is>
          <t>Sales</t>
        </is>
      </c>
      <c r="G1203" s="5" t="inlineStr">
        <is>
          <t>Account Executive</t>
        </is>
      </c>
      <c r="H1203" s="5" t="inlineStr">
        <is>
          <t>3</t>
        </is>
      </c>
      <c r="I1203" s="5" t="inlineStr">
        <is>
          <t>Chennai</t>
        </is>
      </c>
      <c r="J1203" s="5" t="inlineStr">
        <is>
          <t>Full-Time</t>
        </is>
      </c>
      <c r="K1203" s="7" t="n">
        <v>45619</v>
      </c>
      <c r="L1203" s="7" t="inlineStr"/>
      <c r="M1203" s="5" t="inlineStr">
        <is>
          <t>Yes</t>
        </is>
      </c>
      <c r="N1203" s="5" t="inlineStr"/>
      <c r="O1203" s="8" t="inlineStr">
        <is>
          <t>126500</t>
        </is>
      </c>
      <c r="P1203" s="5" t="inlineStr">
        <is>
          <t>0</t>
        </is>
      </c>
      <c r="Q1203" s="5" t="inlineStr">
        <is>
          <t>3</t>
        </is>
      </c>
      <c r="R1203" s="5" t="inlineStr">
        <is>
          <t>8</t>
        </is>
      </c>
      <c r="S1203" s="5" t="inlineStr">
        <is>
          <t>13</t>
        </is>
      </c>
      <c r="T1203" s="5" t="inlineStr">
        <is>
          <t>8</t>
        </is>
      </c>
      <c r="U1203" s="5">
        <f>IFS(C1203&lt;30,"Under 30",C1203&lt;40,"30-39",C1203&lt;50,"40-49",TRUE,"50+")</f>
        <v/>
      </c>
      <c r="V1203" s="5">
        <f>IFS(O1203&lt;60000,"Low (&lt;60k)",O1203&lt;100000,"Mid (60-100k)",TRUE,"High (100k+)")</f>
        <v/>
      </c>
      <c r="W1203" s="5">
        <f>IF(M1203="No","Attrited","Active")</f>
        <v/>
      </c>
    </row>
    <row r="1204">
      <c r="A1204" s="5" t="inlineStr">
        <is>
          <t>E01203</t>
        </is>
      </c>
      <c r="B1204" s="5" t="inlineStr">
        <is>
          <t>Female</t>
        </is>
      </c>
      <c r="C1204" s="6" t="inlineStr">
        <is>
          <t>30</t>
        </is>
      </c>
      <c r="D1204" s="5" t="inlineStr">
        <is>
          <t>Married</t>
        </is>
      </c>
      <c r="E1204" s="5" t="inlineStr">
        <is>
          <t>Master</t>
        </is>
      </c>
      <c r="F1204" s="5" t="inlineStr">
        <is>
          <t>Customer Support</t>
        </is>
      </c>
      <c r="G1204" s="5" t="inlineStr">
        <is>
          <t>Support Lead</t>
        </is>
      </c>
      <c r="H1204" s="5" t="inlineStr">
        <is>
          <t>2</t>
        </is>
      </c>
      <c r="I1204" s="5" t="inlineStr">
        <is>
          <t>Bengaluru</t>
        </is>
      </c>
      <c r="J1204" s="5" t="inlineStr">
        <is>
          <t>Full-Time</t>
        </is>
      </c>
      <c r="K1204" s="7" t="n">
        <v>45763</v>
      </c>
      <c r="L1204" s="7" t="inlineStr"/>
      <c r="M1204" s="5" t="inlineStr">
        <is>
          <t>Yes</t>
        </is>
      </c>
      <c r="N1204" s="5" t="inlineStr"/>
      <c r="O1204" s="8" t="inlineStr">
        <is>
          <t>62000</t>
        </is>
      </c>
      <c r="P1204" s="5" t="inlineStr">
        <is>
          <t>0</t>
        </is>
      </c>
      <c r="Q1204" s="5" t="inlineStr">
        <is>
          <t>2</t>
        </is>
      </c>
      <c r="R1204" s="5" t="inlineStr">
        <is>
          <t>3</t>
        </is>
      </c>
      <c r="S1204" s="5" t="inlineStr">
        <is>
          <t>8</t>
        </is>
      </c>
      <c r="T1204" s="5" t="inlineStr">
        <is>
          <t>6</t>
        </is>
      </c>
      <c r="U1204" s="5">
        <f>IFS(C1204&lt;30,"Under 30",C1204&lt;40,"30-39",C1204&lt;50,"40-49",TRUE,"50+")</f>
        <v/>
      </c>
      <c r="V1204" s="5">
        <f>IFS(O1204&lt;60000,"Low (&lt;60k)",O1204&lt;100000,"Mid (60-100k)",TRUE,"High (100k+)")</f>
        <v/>
      </c>
      <c r="W1204" s="5">
        <f>IF(M1204="No","Attrited","Active")</f>
        <v/>
      </c>
    </row>
    <row r="1205">
      <c r="A1205" s="5" t="inlineStr">
        <is>
          <t>E01204</t>
        </is>
      </c>
      <c r="B1205" s="5" t="inlineStr">
        <is>
          <t>Female</t>
        </is>
      </c>
      <c r="C1205" s="6" t="inlineStr">
        <is>
          <t>31</t>
        </is>
      </c>
      <c r="D1205" s="5" t="inlineStr">
        <is>
          <t>Single</t>
        </is>
      </c>
      <c r="E1205" s="5" t="inlineStr">
        <is>
          <t>PhD</t>
        </is>
      </c>
      <c r="F1205" s="5" t="inlineStr">
        <is>
          <t>Marketing</t>
        </is>
      </c>
      <c r="G1205" s="5" t="inlineStr">
        <is>
          <t>SEO Specialist</t>
        </is>
      </c>
      <c r="H1205" s="5" t="inlineStr">
        <is>
          <t>1</t>
        </is>
      </c>
      <c r="I1205" s="5" t="inlineStr">
        <is>
          <t>Remote</t>
        </is>
      </c>
      <c r="J1205" s="5" t="inlineStr">
        <is>
          <t>Full-Time</t>
        </is>
      </c>
      <c r="K1205" s="7" t="n">
        <v>43990</v>
      </c>
      <c r="L1205" s="7" t="inlineStr"/>
      <c r="M1205" s="5" t="inlineStr">
        <is>
          <t>Yes</t>
        </is>
      </c>
      <c r="N1205" s="5" t="inlineStr"/>
      <c r="O1205" s="8" t="inlineStr">
        <is>
          <t>89000</t>
        </is>
      </c>
      <c r="P1205" s="5" t="inlineStr">
        <is>
          <t>0</t>
        </is>
      </c>
      <c r="Q1205" s="5" t="inlineStr">
        <is>
          <t>3</t>
        </is>
      </c>
      <c r="R1205" s="5" t="inlineStr">
        <is>
          <t>3</t>
        </is>
      </c>
      <c r="S1205" s="5" t="inlineStr">
        <is>
          <t>67</t>
        </is>
      </c>
      <c r="T1205" s="5" t="inlineStr">
        <is>
          <t>13</t>
        </is>
      </c>
      <c r="U1205" s="5">
        <f>IFS(C1205&lt;30,"Under 30",C1205&lt;40,"30-39",C1205&lt;50,"40-49",TRUE,"50+")</f>
        <v/>
      </c>
      <c r="V1205" s="5">
        <f>IFS(O1205&lt;60000,"Low (&lt;60k)",O1205&lt;100000,"Mid (60-100k)",TRUE,"High (100k+)")</f>
        <v/>
      </c>
      <c r="W1205" s="5">
        <f>IF(M1205="No","Attrited","Active")</f>
        <v/>
      </c>
    </row>
    <row r="1206">
      <c r="A1206" s="5" t="inlineStr">
        <is>
          <t>E01205</t>
        </is>
      </c>
      <c r="B1206" s="5" t="inlineStr">
        <is>
          <t>Female</t>
        </is>
      </c>
      <c r="C1206" s="6" t="inlineStr">
        <is>
          <t>32</t>
        </is>
      </c>
      <c r="D1206" s="5" t="inlineStr">
        <is>
          <t>Married</t>
        </is>
      </c>
      <c r="E1206" s="5" t="inlineStr">
        <is>
          <t>PhD</t>
        </is>
      </c>
      <c r="F1206" s="5" t="inlineStr">
        <is>
          <t>Sales</t>
        </is>
      </c>
      <c r="G1206" s="5" t="inlineStr">
        <is>
          <t>Sales Executive</t>
        </is>
      </c>
      <c r="H1206" s="5" t="inlineStr">
        <is>
          <t>2</t>
        </is>
      </c>
      <c r="I1206" s="5" t="inlineStr">
        <is>
          <t>Remote</t>
        </is>
      </c>
      <c r="J1206" s="5" t="inlineStr">
        <is>
          <t>Full-Time</t>
        </is>
      </c>
      <c r="K1206" s="7" t="n">
        <v>44699</v>
      </c>
      <c r="L1206" s="7" t="n">
        <v>44810</v>
      </c>
      <c r="M1206" s="5" t="inlineStr">
        <is>
          <t>No</t>
        </is>
      </c>
      <c r="N1206" s="5" t="inlineStr">
        <is>
          <t>Resigned</t>
        </is>
      </c>
      <c r="O1206" s="8" t="inlineStr">
        <is>
          <t>119500</t>
        </is>
      </c>
      <c r="P1206" s="5" t="inlineStr">
        <is>
          <t>0</t>
        </is>
      </c>
      <c r="Q1206" s="5" t="inlineStr">
        <is>
          <t>1</t>
        </is>
      </c>
      <c r="R1206" s="5" t="inlineStr">
        <is>
          <t>6</t>
        </is>
      </c>
      <c r="S1206" s="5" t="inlineStr">
        <is>
          <t>3</t>
        </is>
      </c>
      <c r="T1206" s="5" t="inlineStr">
        <is>
          <t>0</t>
        </is>
      </c>
      <c r="U1206" s="5">
        <f>IFS(C1206&lt;30,"Under 30",C1206&lt;40,"30-39",C1206&lt;50,"40-49",TRUE,"50+")</f>
        <v/>
      </c>
      <c r="V1206" s="5">
        <f>IFS(O1206&lt;60000,"Low (&lt;60k)",O1206&lt;100000,"Mid (60-100k)",TRUE,"High (100k+)")</f>
        <v/>
      </c>
      <c r="W1206" s="5">
        <f>IF(M1206="No","Attrited","Active")</f>
        <v/>
      </c>
    </row>
    <row r="1207">
      <c r="A1207" s="5" t="inlineStr">
        <is>
          <t>E01206</t>
        </is>
      </c>
      <c r="B1207" s="5" t="inlineStr">
        <is>
          <t>Female</t>
        </is>
      </c>
      <c r="C1207" s="6" t="inlineStr">
        <is>
          <t>33</t>
        </is>
      </c>
      <c r="D1207" s="5" t="inlineStr">
        <is>
          <t>Married</t>
        </is>
      </c>
      <c r="E1207" s="5" t="inlineStr">
        <is>
          <t>PhD</t>
        </is>
      </c>
      <c r="F1207" s="5" t="inlineStr">
        <is>
          <t>Human Resources</t>
        </is>
      </c>
      <c r="G1207" s="5" t="inlineStr">
        <is>
          <t>HR Analyst</t>
        </is>
      </c>
      <c r="H1207" s="5" t="inlineStr">
        <is>
          <t>1</t>
        </is>
      </c>
      <c r="I1207" s="5" t="inlineStr">
        <is>
          <t>Hyderabad</t>
        </is>
      </c>
      <c r="J1207" s="5" t="inlineStr">
        <is>
          <t>Part-Time</t>
        </is>
      </c>
      <c r="K1207" s="7" t="n">
        <v>45515</v>
      </c>
      <c r="L1207" s="7" t="inlineStr"/>
      <c r="M1207" s="5" t="inlineStr">
        <is>
          <t>Yes</t>
        </is>
      </c>
      <c r="N1207" s="5" t="inlineStr"/>
      <c r="O1207" s="8" t="inlineStr">
        <is>
          <t>88000</t>
        </is>
      </c>
      <c r="P1207" s="5" t="inlineStr">
        <is>
          <t>10</t>
        </is>
      </c>
      <c r="Q1207" s="5" t="inlineStr">
        <is>
          <t>4</t>
        </is>
      </c>
      <c r="R1207" s="5" t="inlineStr">
        <is>
          <t>7</t>
        </is>
      </c>
      <c r="S1207" s="5" t="inlineStr">
        <is>
          <t>16</t>
        </is>
      </c>
      <c r="T1207" s="5" t="inlineStr">
        <is>
          <t>1</t>
        </is>
      </c>
      <c r="U1207" s="5">
        <f>IFS(C1207&lt;30,"Under 30",C1207&lt;40,"30-39",C1207&lt;50,"40-49",TRUE,"50+")</f>
        <v/>
      </c>
      <c r="V1207" s="5">
        <f>IFS(O1207&lt;60000,"Low (&lt;60k)",O1207&lt;100000,"Mid (60-100k)",TRUE,"High (100k+)")</f>
        <v/>
      </c>
      <c r="W1207" s="5">
        <f>IF(M1207="No","Attrited","Active")</f>
        <v/>
      </c>
    </row>
    <row r="1208">
      <c r="A1208" s="5" t="inlineStr">
        <is>
          <t>E01207</t>
        </is>
      </c>
      <c r="B1208" s="5" t="inlineStr">
        <is>
          <t>Female</t>
        </is>
      </c>
      <c r="C1208" s="6" t="inlineStr">
        <is>
          <t>29</t>
        </is>
      </c>
      <c r="D1208" s="5" t="inlineStr">
        <is>
          <t>Married</t>
        </is>
      </c>
      <c r="E1208" s="5" t="inlineStr">
        <is>
          <t>Master</t>
        </is>
      </c>
      <c r="F1208" s="5" t="inlineStr">
        <is>
          <t>Research &amp; Development</t>
        </is>
      </c>
      <c r="G1208" s="5" t="inlineStr">
        <is>
          <t>Research Scientist</t>
        </is>
      </c>
      <c r="H1208" s="5" t="inlineStr">
        <is>
          <t>4</t>
        </is>
      </c>
      <c r="I1208" s="5" t="inlineStr">
        <is>
          <t>Remote</t>
        </is>
      </c>
      <c r="J1208" s="5" t="inlineStr">
        <is>
          <t>Full-Time</t>
        </is>
      </c>
      <c r="K1208" s="7" t="n">
        <v>45491</v>
      </c>
      <c r="L1208" s="7" t="inlineStr"/>
      <c r="M1208" s="5" t="inlineStr">
        <is>
          <t>Yes</t>
        </is>
      </c>
      <c r="N1208" s="5" t="inlineStr"/>
      <c r="O1208" s="8" t="inlineStr">
        <is>
          <t>178500</t>
        </is>
      </c>
      <c r="P1208" s="5" t="inlineStr">
        <is>
          <t>0</t>
        </is>
      </c>
      <c r="Q1208" s="5" t="inlineStr">
        <is>
          <t>4</t>
        </is>
      </c>
      <c r="R1208" s="5" t="inlineStr">
        <is>
          <t>7</t>
        </is>
      </c>
      <c r="S1208" s="5" t="inlineStr">
        <is>
          <t>17</t>
        </is>
      </c>
      <c r="T1208" s="5" t="inlineStr">
        <is>
          <t>0</t>
        </is>
      </c>
      <c r="U1208" s="5">
        <f>IFS(C1208&lt;30,"Under 30",C1208&lt;40,"30-39",C1208&lt;50,"40-49",TRUE,"50+")</f>
        <v/>
      </c>
      <c r="V1208" s="5">
        <f>IFS(O1208&lt;60000,"Low (&lt;60k)",O1208&lt;100000,"Mid (60-100k)",TRUE,"High (100k+)")</f>
        <v/>
      </c>
      <c r="W1208" s="5">
        <f>IF(M1208="No","Attrited","Active")</f>
        <v/>
      </c>
    </row>
    <row r="1209">
      <c r="A1209" s="5" t="inlineStr">
        <is>
          <t>E01208</t>
        </is>
      </c>
      <c r="B1209" s="5" t="inlineStr">
        <is>
          <t>Female</t>
        </is>
      </c>
      <c r="C1209" s="6" t="inlineStr">
        <is>
          <t>31</t>
        </is>
      </c>
      <c r="D1209" s="5" t="inlineStr">
        <is>
          <t>Single</t>
        </is>
      </c>
      <c r="E1209" s="5" t="inlineStr">
        <is>
          <t>High School</t>
        </is>
      </c>
      <c r="F1209" s="5" t="inlineStr">
        <is>
          <t>Operations</t>
        </is>
      </c>
      <c r="G1209" s="5" t="inlineStr">
        <is>
          <t>Quality Analyst</t>
        </is>
      </c>
      <c r="H1209" s="5" t="inlineStr">
        <is>
          <t>4</t>
        </is>
      </c>
      <c r="I1209" s="5" t="inlineStr">
        <is>
          <t>Chennai</t>
        </is>
      </c>
      <c r="J1209" s="5" t="inlineStr">
        <is>
          <t>Full-Time</t>
        </is>
      </c>
      <c r="K1209" s="7" t="n">
        <v>44272</v>
      </c>
      <c r="L1209" s="7" t="n">
        <v>44404</v>
      </c>
      <c r="M1209" s="5" t="inlineStr">
        <is>
          <t>No</t>
        </is>
      </c>
      <c r="N1209" s="5" t="inlineStr">
        <is>
          <t>Resigned</t>
        </is>
      </c>
      <c r="O1209" s="8" t="inlineStr">
        <is>
          <t>82500</t>
        </is>
      </c>
      <c r="P1209" s="5" t="inlineStr">
        <is>
          <t>10</t>
        </is>
      </c>
      <c r="Q1209" s="5" t="inlineStr">
        <is>
          <t>3</t>
        </is>
      </c>
      <c r="R1209" s="5" t="inlineStr">
        <is>
          <t>5</t>
        </is>
      </c>
      <c r="S1209" s="5" t="inlineStr">
        <is>
          <t>4</t>
        </is>
      </c>
      <c r="T1209" s="5" t="inlineStr">
        <is>
          <t>6</t>
        </is>
      </c>
      <c r="U1209" s="5">
        <f>IFS(C1209&lt;30,"Under 30",C1209&lt;40,"30-39",C1209&lt;50,"40-49",TRUE,"50+")</f>
        <v/>
      </c>
      <c r="V1209" s="5">
        <f>IFS(O1209&lt;60000,"Low (&lt;60k)",O1209&lt;100000,"Mid (60-100k)",TRUE,"High (100k+)")</f>
        <v/>
      </c>
      <c r="W1209" s="5">
        <f>IF(M1209="No","Attrited","Active")</f>
        <v/>
      </c>
    </row>
    <row r="1210">
      <c r="A1210" s="5" t="inlineStr">
        <is>
          <t>E01209</t>
        </is>
      </c>
      <c r="B1210" s="5" t="inlineStr">
        <is>
          <t>Male</t>
        </is>
      </c>
      <c r="C1210" s="6" t="inlineStr">
        <is>
          <t>35</t>
        </is>
      </c>
      <c r="D1210" s="5" t="inlineStr">
        <is>
          <t>Married</t>
        </is>
      </c>
      <c r="E1210" s="5" t="inlineStr">
        <is>
          <t>Bachelor</t>
        </is>
      </c>
      <c r="F1210" s="5" t="inlineStr">
        <is>
          <t>Finance</t>
        </is>
      </c>
      <c r="G1210" s="5" t="inlineStr">
        <is>
          <t>Accountant</t>
        </is>
      </c>
      <c r="H1210" s="5" t="inlineStr">
        <is>
          <t>6</t>
        </is>
      </c>
      <c r="I1210" s="5" t="inlineStr">
        <is>
          <t>Delhi</t>
        </is>
      </c>
      <c r="J1210" s="5" t="inlineStr">
        <is>
          <t>Full-Time</t>
        </is>
      </c>
      <c r="K1210" s="7" t="n">
        <v>44599</v>
      </c>
      <c r="L1210" s="7" t="inlineStr"/>
      <c r="M1210" s="5" t="inlineStr">
        <is>
          <t>Yes</t>
        </is>
      </c>
      <c r="N1210" s="5" t="inlineStr"/>
      <c r="O1210" s="8" t="inlineStr">
        <is>
          <t>177500</t>
        </is>
      </c>
      <c r="P1210" s="5" t="inlineStr">
        <is>
          <t>0</t>
        </is>
      </c>
      <c r="Q1210" s="5" t="inlineStr">
        <is>
          <t>2</t>
        </is>
      </c>
      <c r="R1210" s="5" t="inlineStr">
        <is>
          <t>8</t>
        </is>
      </c>
      <c r="S1210" s="5" t="inlineStr">
        <is>
          <t>47</t>
        </is>
      </c>
      <c r="T1210" s="5" t="inlineStr">
        <is>
          <t>4</t>
        </is>
      </c>
      <c r="U1210" s="5">
        <f>IFS(C1210&lt;30,"Under 30",C1210&lt;40,"30-39",C1210&lt;50,"40-49",TRUE,"50+")</f>
        <v/>
      </c>
      <c r="V1210" s="5">
        <f>IFS(O1210&lt;60000,"Low (&lt;60k)",O1210&lt;100000,"Mid (60-100k)",TRUE,"High (100k+)")</f>
        <v/>
      </c>
      <c r="W1210" s="5">
        <f>IF(M1210="No","Attrited","Active")</f>
        <v/>
      </c>
    </row>
    <row r="1211">
      <c r="A1211" s="5" t="inlineStr">
        <is>
          <t>E01210</t>
        </is>
      </c>
      <c r="B1211" s="5" t="inlineStr">
        <is>
          <t>Male</t>
        </is>
      </c>
      <c r="C1211" s="6" t="inlineStr">
        <is>
          <t>31</t>
        </is>
      </c>
      <c r="D1211" s="5" t="inlineStr">
        <is>
          <t>Married</t>
        </is>
      </c>
      <c r="E1211" s="5" t="inlineStr">
        <is>
          <t>Bachelor</t>
        </is>
      </c>
      <c r="F1211" s="5" t="inlineStr">
        <is>
          <t>IT</t>
        </is>
      </c>
      <c r="G1211" s="5" t="inlineStr">
        <is>
          <t>DevOps Engineer</t>
        </is>
      </c>
      <c r="H1211" s="5" t="inlineStr">
        <is>
          <t>1</t>
        </is>
      </c>
      <c r="I1211" s="5" t="inlineStr">
        <is>
          <t>Mumbai</t>
        </is>
      </c>
      <c r="J1211" s="5" t="inlineStr">
        <is>
          <t>Full-Time</t>
        </is>
      </c>
      <c r="K1211" s="7" t="n">
        <v>45508</v>
      </c>
      <c r="L1211" s="7" t="n">
        <v>45633</v>
      </c>
      <c r="M1211" s="5" t="inlineStr">
        <is>
          <t>No</t>
        </is>
      </c>
      <c r="N1211" s="5" t="inlineStr">
        <is>
          <t>Resigned</t>
        </is>
      </c>
      <c r="O1211" s="8" t="inlineStr">
        <is>
          <t>139500</t>
        </is>
      </c>
      <c r="P1211" s="5" t="inlineStr">
        <is>
          <t>5</t>
        </is>
      </c>
      <c r="Q1211" s="5" t="inlineStr">
        <is>
          <t>4</t>
        </is>
      </c>
      <c r="R1211" s="5" t="inlineStr">
        <is>
          <t>4</t>
        </is>
      </c>
      <c r="S1211" s="5" t="inlineStr">
        <is>
          <t>4</t>
        </is>
      </c>
      <c r="T1211" s="5" t="inlineStr">
        <is>
          <t>5</t>
        </is>
      </c>
      <c r="U1211" s="5">
        <f>IFS(C1211&lt;30,"Under 30",C1211&lt;40,"30-39",C1211&lt;50,"40-49",TRUE,"50+")</f>
        <v/>
      </c>
      <c r="V1211" s="5">
        <f>IFS(O1211&lt;60000,"Low (&lt;60k)",O1211&lt;100000,"Mid (60-100k)",TRUE,"High (100k+)")</f>
        <v/>
      </c>
      <c r="W1211" s="5">
        <f>IF(M1211="No","Attrited","Active")</f>
        <v/>
      </c>
    </row>
    <row r="1212">
      <c r="A1212" s="5" t="inlineStr">
        <is>
          <t>E01211</t>
        </is>
      </c>
      <c r="B1212" s="5" t="inlineStr">
        <is>
          <t>Male</t>
        </is>
      </c>
      <c r="C1212" s="6" t="inlineStr">
        <is>
          <t>25</t>
        </is>
      </c>
      <c r="D1212" s="5" t="inlineStr">
        <is>
          <t>Single</t>
        </is>
      </c>
      <c r="E1212" s="5" t="inlineStr">
        <is>
          <t>Bachelor</t>
        </is>
      </c>
      <c r="F1212" s="5" t="inlineStr">
        <is>
          <t>Operations</t>
        </is>
      </c>
      <c r="G1212" s="5" t="inlineStr">
        <is>
          <t>Quality Analyst</t>
        </is>
      </c>
      <c r="H1212" s="5" t="inlineStr">
        <is>
          <t>1</t>
        </is>
      </c>
      <c r="I1212" s="5" t="inlineStr">
        <is>
          <t>Bengaluru</t>
        </is>
      </c>
      <c r="J1212" s="5" t="inlineStr">
        <is>
          <t>Full-Time</t>
        </is>
      </c>
      <c r="K1212" s="7" t="n">
        <v>43865</v>
      </c>
      <c r="L1212" s="7" t="inlineStr"/>
      <c r="M1212" s="5" t="inlineStr">
        <is>
          <t>Yes</t>
        </is>
      </c>
      <c r="N1212" s="5" t="inlineStr"/>
      <c r="O1212" s="8" t="inlineStr">
        <is>
          <t>89500</t>
        </is>
      </c>
      <c r="P1212" s="5" t="inlineStr">
        <is>
          <t>0</t>
        </is>
      </c>
      <c r="Q1212" s="5" t="inlineStr">
        <is>
          <t>4</t>
        </is>
      </c>
      <c r="R1212" s="5" t="inlineStr">
        <is>
          <t>5</t>
        </is>
      </c>
      <c r="S1212" s="5" t="inlineStr">
        <is>
          <t>71</t>
        </is>
      </c>
      <c r="T1212" s="5" t="inlineStr">
        <is>
          <t>0</t>
        </is>
      </c>
      <c r="U1212" s="5">
        <f>IFS(C1212&lt;30,"Under 30",C1212&lt;40,"30-39",C1212&lt;50,"40-49",TRUE,"50+")</f>
        <v/>
      </c>
      <c r="V1212" s="5">
        <f>IFS(O1212&lt;60000,"Low (&lt;60k)",O1212&lt;100000,"Mid (60-100k)",TRUE,"High (100k+)")</f>
        <v/>
      </c>
      <c r="W1212" s="5">
        <f>IF(M1212="No","Attrited","Active")</f>
        <v/>
      </c>
    </row>
    <row r="1213">
      <c r="A1213" s="5" t="inlineStr">
        <is>
          <t>E01212</t>
        </is>
      </c>
      <c r="B1213" s="5" t="inlineStr">
        <is>
          <t>Female</t>
        </is>
      </c>
      <c r="C1213" s="6" t="inlineStr">
        <is>
          <t>32</t>
        </is>
      </c>
      <c r="D1213" s="5" t="inlineStr">
        <is>
          <t>Married</t>
        </is>
      </c>
      <c r="E1213" s="5" t="inlineStr">
        <is>
          <t>PhD</t>
        </is>
      </c>
      <c r="F1213" s="5" t="inlineStr">
        <is>
          <t>Customer Support</t>
        </is>
      </c>
      <c r="G1213" s="5" t="inlineStr">
        <is>
          <t>Escalation Specialist</t>
        </is>
      </c>
      <c r="H1213" s="5" t="inlineStr">
        <is>
          <t>1</t>
        </is>
      </c>
      <c r="I1213" s="5" t="inlineStr">
        <is>
          <t>Hyderabad</t>
        </is>
      </c>
      <c r="J1213" s="5" t="inlineStr">
        <is>
          <t>Full-Time</t>
        </is>
      </c>
      <c r="K1213" s="7" t="n">
        <v>45447</v>
      </c>
      <c r="L1213" s="7" t="inlineStr"/>
      <c r="M1213" s="5" t="inlineStr">
        <is>
          <t>Yes</t>
        </is>
      </c>
      <c r="N1213" s="5" t="inlineStr"/>
      <c r="O1213" s="8" t="inlineStr">
        <is>
          <t>67000</t>
        </is>
      </c>
      <c r="P1213" s="5" t="inlineStr">
        <is>
          <t>0</t>
        </is>
      </c>
      <c r="Q1213" s="5" t="inlineStr">
        <is>
          <t>3</t>
        </is>
      </c>
      <c r="R1213" s="5" t="inlineStr">
        <is>
          <t>9</t>
        </is>
      </c>
      <c r="S1213" s="5" t="inlineStr">
        <is>
          <t>19</t>
        </is>
      </c>
      <c r="T1213" s="5" t="inlineStr">
        <is>
          <t>5</t>
        </is>
      </c>
      <c r="U1213" s="5">
        <f>IFS(C1213&lt;30,"Under 30",C1213&lt;40,"30-39",C1213&lt;50,"40-49",TRUE,"50+")</f>
        <v/>
      </c>
      <c r="V1213" s="5">
        <f>IFS(O1213&lt;60000,"Low (&lt;60k)",O1213&lt;100000,"Mid (60-100k)",TRUE,"High (100k+)")</f>
        <v/>
      </c>
      <c r="W1213" s="5">
        <f>IF(M1213="No","Attrited","Active")</f>
        <v/>
      </c>
    </row>
    <row r="1214">
      <c r="A1214" s="5" t="inlineStr">
        <is>
          <t>E01213</t>
        </is>
      </c>
      <c r="B1214" s="5" t="inlineStr">
        <is>
          <t>Female</t>
        </is>
      </c>
      <c r="C1214" s="6" t="inlineStr">
        <is>
          <t>39</t>
        </is>
      </c>
      <c r="D1214" s="5" t="inlineStr">
        <is>
          <t>Married</t>
        </is>
      </c>
      <c r="E1214" s="5" t="inlineStr">
        <is>
          <t>High School</t>
        </is>
      </c>
      <c r="F1214" s="5" t="inlineStr">
        <is>
          <t>Sales</t>
        </is>
      </c>
      <c r="G1214" s="5" t="inlineStr">
        <is>
          <t>Account Executive</t>
        </is>
      </c>
      <c r="H1214" s="5" t="inlineStr">
        <is>
          <t>7</t>
        </is>
      </c>
      <c r="I1214" s="5" t="inlineStr">
        <is>
          <t>Bengaluru</t>
        </is>
      </c>
      <c r="J1214" s="5" t="inlineStr">
        <is>
          <t>Full-Time</t>
        </is>
      </c>
      <c r="K1214" s="7" t="n">
        <v>45092</v>
      </c>
      <c r="L1214" s="7" t="inlineStr"/>
      <c r="M1214" s="5" t="inlineStr">
        <is>
          <t>Yes</t>
        </is>
      </c>
      <c r="N1214" s="5" t="inlineStr"/>
      <c r="O1214" s="8" t="inlineStr">
        <is>
          <t>150000</t>
        </is>
      </c>
      <c r="P1214" s="5" t="inlineStr">
        <is>
          <t>0</t>
        </is>
      </c>
      <c r="Q1214" s="5" t="inlineStr">
        <is>
          <t>4</t>
        </is>
      </c>
      <c r="R1214" s="5" t="inlineStr">
        <is>
          <t>7</t>
        </is>
      </c>
      <c r="S1214" s="5" t="inlineStr">
        <is>
          <t>31</t>
        </is>
      </c>
      <c r="T1214" s="5" t="inlineStr">
        <is>
          <t>1</t>
        </is>
      </c>
      <c r="U1214" s="5">
        <f>IFS(C1214&lt;30,"Under 30",C1214&lt;40,"30-39",C1214&lt;50,"40-49",TRUE,"50+")</f>
        <v/>
      </c>
      <c r="V1214" s="5">
        <f>IFS(O1214&lt;60000,"Low (&lt;60k)",O1214&lt;100000,"Mid (60-100k)",TRUE,"High (100k+)")</f>
        <v/>
      </c>
      <c r="W1214" s="5">
        <f>IF(M1214="No","Attrited","Active")</f>
        <v/>
      </c>
    </row>
    <row r="1215">
      <c r="A1215" s="5" t="inlineStr">
        <is>
          <t>E01214</t>
        </is>
      </c>
      <c r="B1215" s="5" t="inlineStr">
        <is>
          <t>Female</t>
        </is>
      </c>
      <c r="C1215" s="6" t="inlineStr">
        <is>
          <t>33</t>
        </is>
      </c>
      <c r="D1215" s="5" t="inlineStr">
        <is>
          <t>Married</t>
        </is>
      </c>
      <c r="E1215" s="5" t="inlineStr">
        <is>
          <t>Diploma</t>
        </is>
      </c>
      <c r="F1215" s="5" t="inlineStr">
        <is>
          <t>Sales</t>
        </is>
      </c>
      <c r="G1215" s="5" t="inlineStr">
        <is>
          <t>Business Development</t>
        </is>
      </c>
      <c r="H1215" s="5" t="inlineStr">
        <is>
          <t>2</t>
        </is>
      </c>
      <c r="I1215" s="5" t="inlineStr">
        <is>
          <t>Remote</t>
        </is>
      </c>
      <c r="J1215" s="5" t="inlineStr">
        <is>
          <t>Full-Time</t>
        </is>
      </c>
      <c r="K1215" s="7" t="n">
        <v>45276</v>
      </c>
      <c r="L1215" s="7" t="inlineStr"/>
      <c r="M1215" s="5" t="inlineStr">
        <is>
          <t>Yes</t>
        </is>
      </c>
      <c r="N1215" s="5" t="inlineStr"/>
      <c r="O1215" s="8" t="inlineStr">
        <is>
          <t>113000</t>
        </is>
      </c>
      <c r="P1215" s="5" t="inlineStr">
        <is>
          <t>0</t>
        </is>
      </c>
      <c r="Q1215" s="5" t="inlineStr">
        <is>
          <t>3</t>
        </is>
      </c>
      <c r="R1215" s="5" t="inlineStr">
        <is>
          <t>6</t>
        </is>
      </c>
      <c r="S1215" s="5" t="inlineStr">
        <is>
          <t>24</t>
        </is>
      </c>
      <c r="T1215" s="5" t="inlineStr">
        <is>
          <t>0</t>
        </is>
      </c>
      <c r="U1215" s="5">
        <f>IFS(C1215&lt;30,"Under 30",C1215&lt;40,"30-39",C1215&lt;50,"40-49",TRUE,"50+")</f>
        <v/>
      </c>
      <c r="V1215" s="5">
        <f>IFS(O1215&lt;60000,"Low (&lt;60k)",O1215&lt;100000,"Mid (60-100k)",TRUE,"High (100k+)")</f>
        <v/>
      </c>
      <c r="W1215" s="5">
        <f>IF(M1215="No","Attrited","Active")</f>
        <v/>
      </c>
    </row>
    <row r="1216">
      <c r="A1216" s="5" t="inlineStr">
        <is>
          <t>E01215</t>
        </is>
      </c>
      <c r="B1216" s="5" t="inlineStr">
        <is>
          <t>Male</t>
        </is>
      </c>
      <c r="C1216" s="6" t="inlineStr">
        <is>
          <t>37</t>
        </is>
      </c>
      <c r="D1216" s="5" t="inlineStr">
        <is>
          <t>Married</t>
        </is>
      </c>
      <c r="E1216" s="5" t="inlineStr">
        <is>
          <t>Bachelor</t>
        </is>
      </c>
      <c r="F1216" s="5" t="inlineStr">
        <is>
          <t>Operations</t>
        </is>
      </c>
      <c r="G1216" s="5" t="inlineStr">
        <is>
          <t>Quality Analyst</t>
        </is>
      </c>
      <c r="H1216" s="5" t="inlineStr">
        <is>
          <t>4</t>
        </is>
      </c>
      <c r="I1216" s="5" t="inlineStr">
        <is>
          <t>Remote</t>
        </is>
      </c>
      <c r="J1216" s="5" t="inlineStr">
        <is>
          <t>Full-Time</t>
        </is>
      </c>
      <c r="K1216" s="7" t="n">
        <v>44971</v>
      </c>
      <c r="L1216" s="7" t="inlineStr"/>
      <c r="M1216" s="5" t="inlineStr">
        <is>
          <t>Yes</t>
        </is>
      </c>
      <c r="N1216" s="5" t="inlineStr"/>
      <c r="O1216" s="8" t="inlineStr">
        <is>
          <t>109000</t>
        </is>
      </c>
      <c r="P1216" s="5" t="inlineStr">
        <is>
          <t>5</t>
        </is>
      </c>
      <c r="Q1216" s="5" t="inlineStr">
        <is>
          <t>3</t>
        </is>
      </c>
      <c r="R1216" s="5" t="inlineStr">
        <is>
          <t>6</t>
        </is>
      </c>
      <c r="S1216" s="5" t="inlineStr">
        <is>
          <t>35</t>
        </is>
      </c>
      <c r="T1216" s="5" t="inlineStr">
        <is>
          <t>4</t>
        </is>
      </c>
      <c r="U1216" s="5">
        <f>IFS(C1216&lt;30,"Under 30",C1216&lt;40,"30-39",C1216&lt;50,"40-49",TRUE,"50+")</f>
        <v/>
      </c>
      <c r="V1216" s="5">
        <f>IFS(O1216&lt;60000,"Low (&lt;60k)",O1216&lt;100000,"Mid (60-100k)",TRUE,"High (100k+)")</f>
        <v/>
      </c>
      <c r="W1216" s="5">
        <f>IF(M1216="No","Attrited","Active")</f>
        <v/>
      </c>
    </row>
    <row r="1217">
      <c r="A1217" s="5" t="inlineStr">
        <is>
          <t>E01216</t>
        </is>
      </c>
      <c r="B1217" s="5" t="inlineStr">
        <is>
          <t>Female</t>
        </is>
      </c>
      <c r="C1217" s="6" t="inlineStr">
        <is>
          <t>31</t>
        </is>
      </c>
      <c r="D1217" s="5" t="inlineStr">
        <is>
          <t>Married</t>
        </is>
      </c>
      <c r="E1217" s="5" t="inlineStr">
        <is>
          <t>Master</t>
        </is>
      </c>
      <c r="F1217" s="5" t="inlineStr">
        <is>
          <t>IT</t>
        </is>
      </c>
      <c r="G1217" s="5" t="inlineStr">
        <is>
          <t>Data Analyst</t>
        </is>
      </c>
      <c r="H1217" s="5" t="inlineStr">
        <is>
          <t>1</t>
        </is>
      </c>
      <c r="I1217" s="5" t="inlineStr">
        <is>
          <t>Mumbai</t>
        </is>
      </c>
      <c r="J1217" s="5" t="inlineStr">
        <is>
          <t>Full-Time</t>
        </is>
      </c>
      <c r="K1217" s="7" t="n">
        <v>46006</v>
      </c>
      <c r="L1217" s="7" t="inlineStr"/>
      <c r="M1217" s="5" t="inlineStr">
        <is>
          <t>Yes</t>
        </is>
      </c>
      <c r="N1217" s="5" t="inlineStr"/>
      <c r="O1217" s="8" t="inlineStr">
        <is>
          <t>84500</t>
        </is>
      </c>
      <c r="P1217" s="5" t="inlineStr">
        <is>
          <t>0</t>
        </is>
      </c>
      <c r="Q1217" s="5" t="inlineStr">
        <is>
          <t>4</t>
        </is>
      </c>
      <c r="R1217" s="5" t="inlineStr">
        <is>
          <t>6</t>
        </is>
      </c>
      <c r="S1217" s="5" t="inlineStr">
        <is>
          <t>1</t>
        </is>
      </c>
      <c r="T1217" s="5" t="inlineStr">
        <is>
          <t>7</t>
        </is>
      </c>
      <c r="U1217" s="5">
        <f>IFS(C1217&lt;30,"Under 30",C1217&lt;40,"30-39",C1217&lt;50,"40-49",TRUE,"50+")</f>
        <v/>
      </c>
      <c r="V1217" s="5">
        <f>IFS(O1217&lt;60000,"Low (&lt;60k)",O1217&lt;100000,"Mid (60-100k)",TRUE,"High (100k+)")</f>
        <v/>
      </c>
      <c r="W1217" s="5">
        <f>IF(M1217="No","Attrited","Active")</f>
        <v/>
      </c>
    </row>
    <row r="1218">
      <c r="A1218" s="5" t="inlineStr">
        <is>
          <t>E01217</t>
        </is>
      </c>
      <c r="B1218" s="5" t="inlineStr">
        <is>
          <t>Female</t>
        </is>
      </c>
      <c r="C1218" s="6" t="inlineStr">
        <is>
          <t>31</t>
        </is>
      </c>
      <c r="D1218" s="5" t="inlineStr">
        <is>
          <t>Married</t>
        </is>
      </c>
      <c r="E1218" s="5" t="inlineStr">
        <is>
          <t>Bachelor</t>
        </is>
      </c>
      <c r="F1218" s="5" t="inlineStr">
        <is>
          <t>Finance</t>
        </is>
      </c>
      <c r="G1218" s="5" t="inlineStr">
        <is>
          <t>Financial Analyst</t>
        </is>
      </c>
      <c r="H1218" s="5" t="inlineStr">
        <is>
          <t>1</t>
        </is>
      </c>
      <c r="I1218" s="5" t="inlineStr">
        <is>
          <t>Chennai</t>
        </is>
      </c>
      <c r="J1218" s="5" t="inlineStr">
        <is>
          <t>Full-Time</t>
        </is>
      </c>
      <c r="K1218" s="7" t="n">
        <v>45602</v>
      </c>
      <c r="L1218" s="7" t="inlineStr"/>
      <c r="M1218" s="5" t="inlineStr">
        <is>
          <t>Yes</t>
        </is>
      </c>
      <c r="N1218" s="5" t="inlineStr"/>
      <c r="O1218" s="8" t="inlineStr">
        <is>
          <t>92500</t>
        </is>
      </c>
      <c r="P1218" s="5" t="inlineStr">
        <is>
          <t>0</t>
        </is>
      </c>
      <c r="Q1218" s="5" t="inlineStr">
        <is>
          <t>5</t>
        </is>
      </c>
      <c r="R1218" s="5" t="inlineStr">
        <is>
          <t>6</t>
        </is>
      </c>
      <c r="S1218" s="5" t="inlineStr">
        <is>
          <t>14</t>
        </is>
      </c>
      <c r="T1218" s="5" t="inlineStr">
        <is>
          <t>0</t>
        </is>
      </c>
      <c r="U1218" s="5">
        <f>IFS(C1218&lt;30,"Under 30",C1218&lt;40,"30-39",C1218&lt;50,"40-49",TRUE,"50+")</f>
        <v/>
      </c>
      <c r="V1218" s="5">
        <f>IFS(O1218&lt;60000,"Low (&lt;60k)",O1218&lt;100000,"Mid (60-100k)",TRUE,"High (100k+)")</f>
        <v/>
      </c>
      <c r="W1218" s="5">
        <f>IF(M1218="No","Attrited","Active")</f>
        <v/>
      </c>
    </row>
    <row r="1219">
      <c r="A1219" s="5" t="inlineStr">
        <is>
          <t>E01218</t>
        </is>
      </c>
      <c r="B1219" s="5" t="inlineStr">
        <is>
          <t>Male</t>
        </is>
      </c>
      <c r="C1219" s="6" t="inlineStr">
        <is>
          <t>41</t>
        </is>
      </c>
      <c r="D1219" s="5" t="inlineStr">
        <is>
          <t>Married</t>
        </is>
      </c>
      <c r="E1219" s="5" t="inlineStr">
        <is>
          <t>Diploma</t>
        </is>
      </c>
      <c r="F1219" s="5" t="inlineStr">
        <is>
          <t>Operations</t>
        </is>
      </c>
      <c r="G1219" s="5" t="inlineStr">
        <is>
          <t>Quality Analyst</t>
        </is>
      </c>
      <c r="H1219" s="5" t="inlineStr">
        <is>
          <t>5</t>
        </is>
      </c>
      <c r="I1219" s="5" t="inlineStr">
        <is>
          <t>Mumbai</t>
        </is>
      </c>
      <c r="J1219" s="5" t="inlineStr">
        <is>
          <t>Full-Time</t>
        </is>
      </c>
      <c r="K1219" s="7" t="n">
        <v>45794</v>
      </c>
      <c r="L1219" s="7" t="n">
        <v>45868</v>
      </c>
      <c r="M1219" s="5" t="inlineStr">
        <is>
          <t>No</t>
        </is>
      </c>
      <c r="N1219" s="5" t="inlineStr">
        <is>
          <t>Resigned</t>
        </is>
      </c>
      <c r="O1219" s="8" t="inlineStr">
        <is>
          <t>91000</t>
        </is>
      </c>
      <c r="P1219" s="5" t="inlineStr">
        <is>
          <t>10</t>
        </is>
      </c>
      <c r="Q1219" s="5" t="inlineStr">
        <is>
          <t>3</t>
        </is>
      </c>
      <c r="R1219" s="5" t="inlineStr">
        <is>
          <t>2</t>
        </is>
      </c>
      <c r="S1219" s="5" t="inlineStr">
        <is>
          <t>2</t>
        </is>
      </c>
      <c r="T1219" s="5" t="inlineStr">
        <is>
          <t>16</t>
        </is>
      </c>
      <c r="U1219" s="5">
        <f>IFS(C1219&lt;30,"Under 30",C1219&lt;40,"30-39",C1219&lt;50,"40-49",TRUE,"50+")</f>
        <v/>
      </c>
      <c r="V1219" s="5">
        <f>IFS(O1219&lt;60000,"Low (&lt;60k)",O1219&lt;100000,"Mid (60-100k)",TRUE,"High (100k+)")</f>
        <v/>
      </c>
      <c r="W1219" s="5">
        <f>IF(M1219="No","Attrited","Active")</f>
        <v/>
      </c>
    </row>
    <row r="1220">
      <c r="A1220" s="5" t="inlineStr">
        <is>
          <t>E01219</t>
        </is>
      </c>
      <c r="B1220" s="5" t="inlineStr">
        <is>
          <t>Male</t>
        </is>
      </c>
      <c r="C1220" s="6" t="inlineStr">
        <is>
          <t>33</t>
        </is>
      </c>
      <c r="D1220" s="5" t="inlineStr">
        <is>
          <t>Married</t>
        </is>
      </c>
      <c r="E1220" s="5" t="inlineStr">
        <is>
          <t>Diploma</t>
        </is>
      </c>
      <c r="F1220" s="5" t="inlineStr">
        <is>
          <t>Sales</t>
        </is>
      </c>
      <c r="G1220" s="5" t="inlineStr">
        <is>
          <t>Sales Executive</t>
        </is>
      </c>
      <c r="H1220" s="5" t="inlineStr">
        <is>
          <t>3</t>
        </is>
      </c>
      <c r="I1220" s="5" t="inlineStr">
        <is>
          <t>Hyderabad</t>
        </is>
      </c>
      <c r="J1220" s="5" t="inlineStr">
        <is>
          <t>Part-Time</t>
        </is>
      </c>
      <c r="K1220" s="7" t="n">
        <v>43999</v>
      </c>
      <c r="L1220" s="7" t="inlineStr"/>
      <c r="M1220" s="5" t="inlineStr">
        <is>
          <t>Yes</t>
        </is>
      </c>
      <c r="N1220" s="5" t="inlineStr"/>
      <c r="O1220" s="8" t="inlineStr">
        <is>
          <t>131500</t>
        </is>
      </c>
      <c r="P1220" s="5" t="inlineStr">
        <is>
          <t>0</t>
        </is>
      </c>
      <c r="Q1220" s="5" t="inlineStr">
        <is>
          <t>2</t>
        </is>
      </c>
      <c r="R1220" s="5" t="inlineStr">
        <is>
          <t>8</t>
        </is>
      </c>
      <c r="S1220" s="5" t="inlineStr">
        <is>
          <t>67</t>
        </is>
      </c>
      <c r="T1220" s="5" t="inlineStr">
        <is>
          <t>6</t>
        </is>
      </c>
      <c r="U1220" s="5">
        <f>IFS(C1220&lt;30,"Under 30",C1220&lt;40,"30-39",C1220&lt;50,"40-49",TRUE,"50+")</f>
        <v/>
      </c>
      <c r="V1220" s="5">
        <f>IFS(O1220&lt;60000,"Low (&lt;60k)",O1220&lt;100000,"Mid (60-100k)",TRUE,"High (100k+)")</f>
        <v/>
      </c>
      <c r="W1220" s="5">
        <f>IF(M1220="No","Attrited","Active")</f>
        <v/>
      </c>
    </row>
    <row r="1221">
      <c r="A1221" s="5" t="inlineStr">
        <is>
          <t>E01220</t>
        </is>
      </c>
      <c r="B1221" s="5" t="inlineStr">
        <is>
          <t>Female</t>
        </is>
      </c>
      <c r="C1221" s="6" t="inlineStr">
        <is>
          <t>33</t>
        </is>
      </c>
      <c r="D1221" s="5" t="inlineStr">
        <is>
          <t>Married</t>
        </is>
      </c>
      <c r="E1221" s="5" t="inlineStr">
        <is>
          <t>PhD</t>
        </is>
      </c>
      <c r="F1221" s="5" t="inlineStr">
        <is>
          <t>Operations</t>
        </is>
      </c>
      <c r="G1221" s="5" t="inlineStr">
        <is>
          <t>Quality Analyst</t>
        </is>
      </c>
      <c r="H1221" s="5" t="inlineStr">
        <is>
          <t>4</t>
        </is>
      </c>
      <c r="I1221" s="5" t="inlineStr">
        <is>
          <t>Hyderabad</t>
        </is>
      </c>
      <c r="J1221" s="5" t="inlineStr">
        <is>
          <t>Full-Time</t>
        </is>
      </c>
      <c r="K1221" s="7" t="n">
        <v>44995</v>
      </c>
      <c r="L1221" s="7" t="inlineStr"/>
      <c r="M1221" s="5" t="inlineStr">
        <is>
          <t>Yes</t>
        </is>
      </c>
      <c r="N1221" s="5" t="inlineStr"/>
      <c r="O1221" s="8" t="inlineStr">
        <is>
          <t>119000</t>
        </is>
      </c>
      <c r="P1221" s="5" t="inlineStr">
        <is>
          <t>10</t>
        </is>
      </c>
      <c r="Q1221" s="5" t="inlineStr">
        <is>
          <t>2</t>
        </is>
      </c>
      <c r="R1221" s="5" t="inlineStr">
        <is>
          <t>7</t>
        </is>
      </c>
      <c r="S1221" s="5" t="inlineStr">
        <is>
          <t>34</t>
        </is>
      </c>
      <c r="T1221" s="5" t="inlineStr">
        <is>
          <t>7</t>
        </is>
      </c>
      <c r="U1221" s="5">
        <f>IFS(C1221&lt;30,"Under 30",C1221&lt;40,"30-39",C1221&lt;50,"40-49",TRUE,"50+")</f>
        <v/>
      </c>
      <c r="V1221" s="5">
        <f>IFS(O1221&lt;60000,"Low (&lt;60k)",O1221&lt;100000,"Mid (60-100k)",TRUE,"High (100k+)")</f>
        <v/>
      </c>
      <c r="W1221" s="5">
        <f>IF(M1221="No","Attrited","Active")</f>
        <v/>
      </c>
    </row>
    <row r="1222">
      <c r="A1222" s="5" t="inlineStr">
        <is>
          <t>E01221</t>
        </is>
      </c>
      <c r="B1222" s="5" t="inlineStr">
        <is>
          <t>Female</t>
        </is>
      </c>
      <c r="C1222" s="6" t="inlineStr">
        <is>
          <t>27</t>
        </is>
      </c>
      <c r="D1222" s="5" t="inlineStr">
        <is>
          <t>Married</t>
        </is>
      </c>
      <c r="E1222" s="5" t="inlineStr">
        <is>
          <t>Bachelor</t>
        </is>
      </c>
      <c r="F1222" s="5" t="inlineStr">
        <is>
          <t>Finance</t>
        </is>
      </c>
      <c r="G1222" s="5" t="inlineStr">
        <is>
          <t>Financial Analyst</t>
        </is>
      </c>
      <c r="H1222" s="5" t="inlineStr">
        <is>
          <t>3</t>
        </is>
      </c>
      <c r="I1222" s="5" t="inlineStr">
        <is>
          <t>Remote</t>
        </is>
      </c>
      <c r="J1222" s="5" t="inlineStr">
        <is>
          <t>Full-Time</t>
        </is>
      </c>
      <c r="K1222" s="7" t="n">
        <v>44181</v>
      </c>
      <c r="L1222" s="7" t="inlineStr"/>
      <c r="M1222" s="5" t="inlineStr">
        <is>
          <t>Yes</t>
        </is>
      </c>
      <c r="N1222" s="5" t="inlineStr"/>
      <c r="O1222" s="8" t="inlineStr">
        <is>
          <t>145500</t>
        </is>
      </c>
      <c r="P1222" s="5" t="inlineStr">
        <is>
          <t>15</t>
        </is>
      </c>
      <c r="Q1222" s="5" t="inlineStr">
        <is>
          <t>5</t>
        </is>
      </c>
      <c r="R1222" s="5" t="inlineStr">
        <is>
          <t>5</t>
        </is>
      </c>
      <c r="S1222" s="5" t="inlineStr">
        <is>
          <t>61</t>
        </is>
      </c>
      <c r="T1222" s="5" t="inlineStr">
        <is>
          <t>5</t>
        </is>
      </c>
      <c r="U1222" s="5">
        <f>IFS(C1222&lt;30,"Under 30",C1222&lt;40,"30-39",C1222&lt;50,"40-49",TRUE,"50+")</f>
        <v/>
      </c>
      <c r="V1222" s="5">
        <f>IFS(O1222&lt;60000,"Low (&lt;60k)",O1222&lt;100000,"Mid (60-100k)",TRUE,"High (100k+)")</f>
        <v/>
      </c>
      <c r="W1222" s="5">
        <f>IF(M1222="No","Attrited","Active")</f>
        <v/>
      </c>
    </row>
    <row r="1223">
      <c r="A1223" s="5" t="inlineStr">
        <is>
          <t>E01222</t>
        </is>
      </c>
      <c r="B1223" s="5" t="inlineStr">
        <is>
          <t>Female</t>
        </is>
      </c>
      <c r="C1223" s="6" t="inlineStr">
        <is>
          <t>30</t>
        </is>
      </c>
      <c r="D1223" s="5" t="inlineStr">
        <is>
          <t>Single</t>
        </is>
      </c>
      <c r="E1223" s="5" t="inlineStr">
        <is>
          <t>Bachelor</t>
        </is>
      </c>
      <c r="F1223" s="5" t="inlineStr">
        <is>
          <t>Sales</t>
        </is>
      </c>
      <c r="G1223" s="5" t="inlineStr">
        <is>
          <t>Sales Executive</t>
        </is>
      </c>
      <c r="H1223" s="5" t="inlineStr">
        <is>
          <t>3</t>
        </is>
      </c>
      <c r="I1223" s="5" t="inlineStr">
        <is>
          <t>Delhi</t>
        </is>
      </c>
      <c r="J1223" s="5" t="inlineStr">
        <is>
          <t>Full-Time</t>
        </is>
      </c>
      <c r="K1223" s="7" t="n">
        <v>45205</v>
      </c>
      <c r="L1223" s="7" t="inlineStr"/>
      <c r="M1223" s="5" t="inlineStr">
        <is>
          <t>Yes</t>
        </is>
      </c>
      <c r="N1223" s="5" t="inlineStr"/>
      <c r="O1223" s="8" t="inlineStr">
        <is>
          <t>96500</t>
        </is>
      </c>
      <c r="P1223" s="5" t="inlineStr">
        <is>
          <t>5</t>
        </is>
      </c>
      <c r="Q1223" s="5" t="inlineStr">
        <is>
          <t>4</t>
        </is>
      </c>
      <c r="R1223" s="5" t="inlineStr">
        <is>
          <t>4</t>
        </is>
      </c>
      <c r="S1223" s="5" t="inlineStr">
        <is>
          <t>27</t>
        </is>
      </c>
      <c r="T1223" s="5" t="inlineStr">
        <is>
          <t>6</t>
        </is>
      </c>
      <c r="U1223" s="5">
        <f>IFS(C1223&lt;30,"Under 30",C1223&lt;40,"30-39",C1223&lt;50,"40-49",TRUE,"50+")</f>
        <v/>
      </c>
      <c r="V1223" s="5">
        <f>IFS(O1223&lt;60000,"Low (&lt;60k)",O1223&lt;100000,"Mid (60-100k)",TRUE,"High (100k+)")</f>
        <v/>
      </c>
      <c r="W1223" s="5">
        <f>IF(M1223="No","Attrited","Active")</f>
        <v/>
      </c>
    </row>
    <row r="1224">
      <c r="A1224" s="5" t="inlineStr">
        <is>
          <t>E01223</t>
        </is>
      </c>
      <c r="B1224" s="5" t="inlineStr">
        <is>
          <t>Female</t>
        </is>
      </c>
      <c r="C1224" s="6" t="inlineStr">
        <is>
          <t>26</t>
        </is>
      </c>
      <c r="D1224" s="5" t="inlineStr">
        <is>
          <t>Single</t>
        </is>
      </c>
      <c r="E1224" s="5" t="inlineStr">
        <is>
          <t>Bachelor</t>
        </is>
      </c>
      <c r="F1224" s="5" t="inlineStr">
        <is>
          <t>Research &amp; Development</t>
        </is>
      </c>
      <c r="G1224" s="5" t="inlineStr">
        <is>
          <t>Data Scientist</t>
        </is>
      </c>
      <c r="H1224" s="5" t="inlineStr">
        <is>
          <t>2</t>
        </is>
      </c>
      <c r="I1224" s="5" t="inlineStr">
        <is>
          <t>Mumbai</t>
        </is>
      </c>
      <c r="J1224" s="5" t="inlineStr">
        <is>
          <t>Full-Time</t>
        </is>
      </c>
      <c r="K1224" s="7" t="n">
        <v>45209</v>
      </c>
      <c r="L1224" s="7" t="inlineStr"/>
      <c r="M1224" s="5" t="inlineStr">
        <is>
          <t>Yes</t>
        </is>
      </c>
      <c r="N1224" s="5" t="inlineStr"/>
      <c r="O1224" s="8" t="inlineStr">
        <is>
          <t>178500</t>
        </is>
      </c>
      <c r="P1224" s="5" t="inlineStr">
        <is>
          <t>5</t>
        </is>
      </c>
      <c r="Q1224" s="5" t="inlineStr">
        <is>
          <t>4</t>
        </is>
      </c>
      <c r="R1224" s="5" t="inlineStr">
        <is>
          <t>6</t>
        </is>
      </c>
      <c r="S1224" s="5" t="inlineStr">
        <is>
          <t>27</t>
        </is>
      </c>
      <c r="T1224" s="5" t="inlineStr">
        <is>
          <t>10</t>
        </is>
      </c>
      <c r="U1224" s="5">
        <f>IFS(C1224&lt;30,"Under 30",C1224&lt;40,"30-39",C1224&lt;50,"40-49",TRUE,"50+")</f>
        <v/>
      </c>
      <c r="V1224" s="5">
        <f>IFS(O1224&lt;60000,"Low (&lt;60k)",O1224&lt;100000,"Mid (60-100k)",TRUE,"High (100k+)")</f>
        <v/>
      </c>
      <c r="W1224" s="5">
        <f>IF(M1224="No","Attrited","Active")</f>
        <v/>
      </c>
    </row>
    <row r="1225">
      <c r="A1225" s="5" t="inlineStr">
        <is>
          <t>E01224</t>
        </is>
      </c>
      <c r="B1225" s="5" t="inlineStr">
        <is>
          <t>Male</t>
        </is>
      </c>
      <c r="C1225" s="6" t="inlineStr">
        <is>
          <t>36</t>
        </is>
      </c>
      <c r="D1225" s="5" t="inlineStr">
        <is>
          <t>Married</t>
        </is>
      </c>
      <c r="E1225" s="5" t="inlineStr">
        <is>
          <t>Diploma</t>
        </is>
      </c>
      <c r="F1225" s="5" t="inlineStr">
        <is>
          <t>IT</t>
        </is>
      </c>
      <c r="G1225" s="5" t="inlineStr">
        <is>
          <t>IT Support</t>
        </is>
      </c>
      <c r="H1225" s="5" t="inlineStr">
        <is>
          <t>4</t>
        </is>
      </c>
      <c r="I1225" s="5" t="inlineStr">
        <is>
          <t>Chennai</t>
        </is>
      </c>
      <c r="J1225" s="5" t="inlineStr">
        <is>
          <t>Full-Time</t>
        </is>
      </c>
      <c r="K1225" s="7" t="n">
        <v>44616</v>
      </c>
      <c r="L1225" s="7" t="inlineStr"/>
      <c r="M1225" s="5" t="inlineStr">
        <is>
          <t>Yes</t>
        </is>
      </c>
      <c r="N1225" s="5" t="inlineStr"/>
      <c r="O1225" s="8" t="inlineStr">
        <is>
          <t>200000</t>
        </is>
      </c>
      <c r="P1225" s="5" t="inlineStr">
        <is>
          <t>10</t>
        </is>
      </c>
      <c r="Q1225" s="5" t="inlineStr">
        <is>
          <t>4</t>
        </is>
      </c>
      <c r="R1225" s="5" t="inlineStr">
        <is>
          <t>8</t>
        </is>
      </c>
      <c r="S1225" s="5" t="inlineStr">
        <is>
          <t>46</t>
        </is>
      </c>
      <c r="T1225" s="5" t="inlineStr">
        <is>
          <t>0</t>
        </is>
      </c>
      <c r="U1225" s="5">
        <f>IFS(C1225&lt;30,"Under 30",C1225&lt;40,"30-39",C1225&lt;50,"40-49",TRUE,"50+")</f>
        <v/>
      </c>
      <c r="V1225" s="5">
        <f>IFS(O1225&lt;60000,"Low (&lt;60k)",O1225&lt;100000,"Mid (60-100k)",TRUE,"High (100k+)")</f>
        <v/>
      </c>
      <c r="W1225" s="5">
        <f>IF(M1225="No","Attrited","Active")</f>
        <v/>
      </c>
    </row>
    <row r="1226">
      <c r="A1226" s="5" t="inlineStr">
        <is>
          <t>E01225</t>
        </is>
      </c>
      <c r="B1226" s="5" t="inlineStr">
        <is>
          <t>Female</t>
        </is>
      </c>
      <c r="C1226" s="6" t="inlineStr">
        <is>
          <t>40</t>
        </is>
      </c>
      <c r="D1226" s="5" t="inlineStr">
        <is>
          <t>Married</t>
        </is>
      </c>
      <c r="E1226" s="5" t="inlineStr">
        <is>
          <t>PhD</t>
        </is>
      </c>
      <c r="F1226" s="5" t="inlineStr">
        <is>
          <t>Customer Support</t>
        </is>
      </c>
      <c r="G1226" s="5" t="inlineStr">
        <is>
          <t>Support Agent</t>
        </is>
      </c>
      <c r="H1226" s="5" t="inlineStr">
        <is>
          <t>6</t>
        </is>
      </c>
      <c r="I1226" s="5" t="inlineStr">
        <is>
          <t>Mumbai</t>
        </is>
      </c>
      <c r="J1226" s="5" t="inlineStr">
        <is>
          <t>Full-Time</t>
        </is>
      </c>
      <c r="K1226" s="7" t="n">
        <v>44267</v>
      </c>
      <c r="L1226" s="7" t="inlineStr"/>
      <c r="M1226" s="5" t="inlineStr">
        <is>
          <t>Yes</t>
        </is>
      </c>
      <c r="N1226" s="5" t="inlineStr"/>
      <c r="O1226" s="8" t="inlineStr">
        <is>
          <t>108500</t>
        </is>
      </c>
      <c r="P1226" s="5" t="inlineStr">
        <is>
          <t>10</t>
        </is>
      </c>
      <c r="Q1226" s="5" t="inlineStr">
        <is>
          <t>3</t>
        </is>
      </c>
      <c r="R1226" s="5" t="inlineStr">
        <is>
          <t>4</t>
        </is>
      </c>
      <c r="S1226" s="5" t="inlineStr">
        <is>
          <t>58</t>
        </is>
      </c>
      <c r="T1226" s="5" t="inlineStr">
        <is>
          <t>11</t>
        </is>
      </c>
      <c r="U1226" s="5">
        <f>IFS(C1226&lt;30,"Under 30",C1226&lt;40,"30-39",C1226&lt;50,"40-49",TRUE,"50+")</f>
        <v/>
      </c>
      <c r="V1226" s="5">
        <f>IFS(O1226&lt;60000,"Low (&lt;60k)",O1226&lt;100000,"Mid (60-100k)",TRUE,"High (100k+)")</f>
        <v/>
      </c>
      <c r="W1226" s="5">
        <f>IF(M1226="No","Attrited","Active")</f>
        <v/>
      </c>
    </row>
    <row r="1227">
      <c r="A1227" s="5" t="inlineStr">
        <is>
          <t>E01226</t>
        </is>
      </c>
      <c r="B1227" s="5" t="inlineStr">
        <is>
          <t>Female</t>
        </is>
      </c>
      <c r="C1227" s="6" t="inlineStr">
        <is>
          <t>31</t>
        </is>
      </c>
      <c r="D1227" s="5" t="inlineStr">
        <is>
          <t>Married</t>
        </is>
      </c>
      <c r="E1227" s="5" t="inlineStr">
        <is>
          <t>Master</t>
        </is>
      </c>
      <c r="F1227" s="5" t="inlineStr">
        <is>
          <t>Operations</t>
        </is>
      </c>
      <c r="G1227" s="5" t="inlineStr">
        <is>
          <t>Logistics Coordinator</t>
        </is>
      </c>
      <c r="H1227" s="5" t="inlineStr">
        <is>
          <t>5</t>
        </is>
      </c>
      <c r="I1227" s="5" t="inlineStr">
        <is>
          <t>Chennai</t>
        </is>
      </c>
      <c r="J1227" s="5" t="inlineStr">
        <is>
          <t>Full-Time</t>
        </is>
      </c>
      <c r="K1227" s="7" t="n">
        <v>45253</v>
      </c>
      <c r="L1227" s="7" t="inlineStr"/>
      <c r="M1227" s="5" t="inlineStr">
        <is>
          <t>Yes</t>
        </is>
      </c>
      <c r="N1227" s="5" t="inlineStr"/>
      <c r="O1227" s="8" t="inlineStr">
        <is>
          <t>156000</t>
        </is>
      </c>
      <c r="P1227" s="5" t="inlineStr">
        <is>
          <t>5</t>
        </is>
      </c>
      <c r="Q1227" s="5" t="inlineStr">
        <is>
          <t>4</t>
        </is>
      </c>
      <c r="R1227" s="5" t="inlineStr">
        <is>
          <t>4</t>
        </is>
      </c>
      <c r="S1227" s="5" t="inlineStr">
        <is>
          <t>25</t>
        </is>
      </c>
      <c r="T1227" s="5" t="inlineStr">
        <is>
          <t>5</t>
        </is>
      </c>
      <c r="U1227" s="5">
        <f>IFS(C1227&lt;30,"Under 30",C1227&lt;40,"30-39",C1227&lt;50,"40-49",TRUE,"50+")</f>
        <v/>
      </c>
      <c r="V1227" s="5">
        <f>IFS(O1227&lt;60000,"Low (&lt;60k)",O1227&lt;100000,"Mid (60-100k)",TRUE,"High (100k+)")</f>
        <v/>
      </c>
      <c r="W1227" s="5">
        <f>IF(M1227="No","Attrited","Active")</f>
        <v/>
      </c>
    </row>
    <row r="1228">
      <c r="A1228" s="5" t="inlineStr">
        <is>
          <t>E01227</t>
        </is>
      </c>
      <c r="B1228" s="5" t="inlineStr">
        <is>
          <t>Female</t>
        </is>
      </c>
      <c r="C1228" s="6" t="inlineStr">
        <is>
          <t>30</t>
        </is>
      </c>
      <c r="D1228" s="5" t="inlineStr">
        <is>
          <t>Married</t>
        </is>
      </c>
      <c r="E1228" s="5" t="inlineStr">
        <is>
          <t>Bachelor</t>
        </is>
      </c>
      <c r="F1228" s="5" t="inlineStr">
        <is>
          <t>Finance</t>
        </is>
      </c>
      <c r="G1228" s="5" t="inlineStr">
        <is>
          <t>Credit Analyst</t>
        </is>
      </c>
      <c r="H1228" s="5" t="inlineStr">
        <is>
          <t>1</t>
        </is>
      </c>
      <c r="I1228" s="5" t="inlineStr">
        <is>
          <t>Bengaluru</t>
        </is>
      </c>
      <c r="J1228" s="5" t="inlineStr">
        <is>
          <t>Full-Time</t>
        </is>
      </c>
      <c r="K1228" s="7" t="n">
        <v>44003</v>
      </c>
      <c r="L1228" s="7" t="inlineStr"/>
      <c r="M1228" s="5" t="inlineStr">
        <is>
          <t>Yes</t>
        </is>
      </c>
      <c r="N1228" s="5" t="inlineStr"/>
      <c r="O1228" s="8" t="inlineStr">
        <is>
          <t>114500</t>
        </is>
      </c>
      <c r="P1228" s="5" t="inlineStr">
        <is>
          <t>5</t>
        </is>
      </c>
      <c r="Q1228" s="5" t="inlineStr">
        <is>
          <t>5</t>
        </is>
      </c>
      <c r="R1228" s="5" t="inlineStr">
        <is>
          <t>5</t>
        </is>
      </c>
      <c r="S1228" s="5" t="inlineStr">
        <is>
          <t>67</t>
        </is>
      </c>
      <c r="T1228" s="5" t="inlineStr">
        <is>
          <t>0</t>
        </is>
      </c>
      <c r="U1228" s="5">
        <f>IFS(C1228&lt;30,"Under 30",C1228&lt;40,"30-39",C1228&lt;50,"40-49",TRUE,"50+")</f>
        <v/>
      </c>
      <c r="V1228" s="5">
        <f>IFS(O1228&lt;60000,"Low (&lt;60k)",O1228&lt;100000,"Mid (60-100k)",TRUE,"High (100k+)")</f>
        <v/>
      </c>
      <c r="W1228" s="5">
        <f>IF(M1228="No","Attrited","Active")</f>
        <v/>
      </c>
    </row>
    <row r="1229">
      <c r="A1229" s="5" t="inlineStr">
        <is>
          <t>E01228</t>
        </is>
      </c>
      <c r="B1229" s="5" t="inlineStr">
        <is>
          <t>Female</t>
        </is>
      </c>
      <c r="C1229" s="6" t="inlineStr">
        <is>
          <t>36</t>
        </is>
      </c>
      <c r="D1229" s="5" t="inlineStr">
        <is>
          <t>Married</t>
        </is>
      </c>
      <c r="E1229" s="5" t="inlineStr">
        <is>
          <t>Diploma</t>
        </is>
      </c>
      <c r="F1229" s="5" t="inlineStr">
        <is>
          <t>Research &amp; Development</t>
        </is>
      </c>
      <c r="G1229" s="5" t="inlineStr">
        <is>
          <t>Product Engineer</t>
        </is>
      </c>
      <c r="H1229" s="5" t="inlineStr">
        <is>
          <t>4</t>
        </is>
      </c>
      <c r="I1229" s="5" t="inlineStr">
        <is>
          <t>Bengaluru</t>
        </is>
      </c>
      <c r="J1229" s="5" t="inlineStr">
        <is>
          <t>Full-Time</t>
        </is>
      </c>
      <c r="K1229" s="7" t="n">
        <v>44849</v>
      </c>
      <c r="L1229" s="7" t="inlineStr"/>
      <c r="M1229" s="5" t="inlineStr">
        <is>
          <t>Yes</t>
        </is>
      </c>
      <c r="N1229" s="5" t="inlineStr"/>
      <c r="O1229" s="8" t="inlineStr">
        <is>
          <t>230000</t>
        </is>
      </c>
      <c r="P1229" s="5" t="inlineStr">
        <is>
          <t>0</t>
        </is>
      </c>
      <c r="Q1229" s="5" t="inlineStr">
        <is>
          <t>5</t>
        </is>
      </c>
      <c r="R1229" s="5" t="inlineStr">
        <is>
          <t>5</t>
        </is>
      </c>
      <c r="S1229" s="5" t="inlineStr">
        <is>
          <t>39</t>
        </is>
      </c>
      <c r="T1229" s="5" t="inlineStr">
        <is>
          <t>9</t>
        </is>
      </c>
      <c r="U1229" s="5">
        <f>IFS(C1229&lt;30,"Under 30",C1229&lt;40,"30-39",C1229&lt;50,"40-49",TRUE,"50+")</f>
        <v/>
      </c>
      <c r="V1229" s="5">
        <f>IFS(O1229&lt;60000,"Low (&lt;60k)",O1229&lt;100000,"Mid (60-100k)",TRUE,"High (100k+)")</f>
        <v/>
      </c>
      <c r="W1229" s="5">
        <f>IF(M1229="No","Attrited","Active")</f>
        <v/>
      </c>
    </row>
    <row r="1230">
      <c r="A1230" s="5" t="inlineStr">
        <is>
          <t>E01229</t>
        </is>
      </c>
      <c r="B1230" s="5" t="inlineStr">
        <is>
          <t>Male</t>
        </is>
      </c>
      <c r="C1230" s="6" t="inlineStr">
        <is>
          <t>39</t>
        </is>
      </c>
      <c r="D1230" s="5" t="inlineStr">
        <is>
          <t>Married</t>
        </is>
      </c>
      <c r="E1230" s="5" t="inlineStr">
        <is>
          <t>Diploma</t>
        </is>
      </c>
      <c r="F1230" s="5" t="inlineStr">
        <is>
          <t>Operations</t>
        </is>
      </c>
      <c r="G1230" s="5" t="inlineStr">
        <is>
          <t>Operations Analyst</t>
        </is>
      </c>
      <c r="H1230" s="5" t="inlineStr">
        <is>
          <t>5</t>
        </is>
      </c>
      <c r="I1230" s="5" t="inlineStr">
        <is>
          <t>Bengaluru</t>
        </is>
      </c>
      <c r="J1230" s="5" t="inlineStr">
        <is>
          <t>Full-Time</t>
        </is>
      </c>
      <c r="K1230" s="7" t="n">
        <v>44888</v>
      </c>
      <c r="L1230" s="7" t="inlineStr"/>
      <c r="M1230" s="5" t="inlineStr">
        <is>
          <t>Yes</t>
        </is>
      </c>
      <c r="N1230" s="5" t="inlineStr"/>
      <c r="O1230" s="8" t="inlineStr">
        <is>
          <t>124000</t>
        </is>
      </c>
      <c r="P1230" s="5" t="inlineStr">
        <is>
          <t>5</t>
        </is>
      </c>
      <c r="Q1230" s="5" t="inlineStr">
        <is>
          <t>4</t>
        </is>
      </c>
      <c r="R1230" s="5" t="inlineStr">
        <is>
          <t>3</t>
        </is>
      </c>
      <c r="S1230" s="5" t="inlineStr">
        <is>
          <t>37</t>
        </is>
      </c>
      <c r="T1230" s="5" t="inlineStr">
        <is>
          <t>19</t>
        </is>
      </c>
      <c r="U1230" s="5">
        <f>IFS(C1230&lt;30,"Under 30",C1230&lt;40,"30-39",C1230&lt;50,"40-49",TRUE,"50+")</f>
        <v/>
      </c>
      <c r="V1230" s="5">
        <f>IFS(O1230&lt;60000,"Low (&lt;60k)",O1230&lt;100000,"Mid (60-100k)",TRUE,"High (100k+)")</f>
        <v/>
      </c>
      <c r="W1230" s="5">
        <f>IF(M1230="No","Attrited","Active")</f>
        <v/>
      </c>
    </row>
    <row r="1231">
      <c r="A1231" s="5" t="inlineStr">
        <is>
          <t>E01230</t>
        </is>
      </c>
      <c r="B1231" s="5" t="inlineStr">
        <is>
          <t>Female</t>
        </is>
      </c>
      <c r="C1231" s="6" t="inlineStr">
        <is>
          <t>44</t>
        </is>
      </c>
      <c r="D1231" s="5" t="inlineStr">
        <is>
          <t>Single</t>
        </is>
      </c>
      <c r="E1231" s="5" t="inlineStr">
        <is>
          <t>PhD</t>
        </is>
      </c>
      <c r="F1231" s="5" t="inlineStr">
        <is>
          <t>Research &amp; Development</t>
        </is>
      </c>
      <c r="G1231" s="5" t="inlineStr">
        <is>
          <t>Data Scientist</t>
        </is>
      </c>
      <c r="H1231" s="5" t="inlineStr">
        <is>
          <t>7</t>
        </is>
      </c>
      <c r="I1231" s="5" t="inlineStr">
        <is>
          <t>Remote</t>
        </is>
      </c>
      <c r="J1231" s="5" t="inlineStr">
        <is>
          <t>Full-Time</t>
        </is>
      </c>
      <c r="K1231" s="7" t="n">
        <v>45874</v>
      </c>
      <c r="L1231" s="7" t="inlineStr"/>
      <c r="M1231" s="5" t="inlineStr">
        <is>
          <t>Yes</t>
        </is>
      </c>
      <c r="N1231" s="5" t="inlineStr"/>
      <c r="O1231" s="8" t="inlineStr">
        <is>
          <t>306000</t>
        </is>
      </c>
      <c r="P1231" s="5" t="inlineStr">
        <is>
          <t>5</t>
        </is>
      </c>
      <c r="Q1231" s="5" t="inlineStr">
        <is>
          <t>4</t>
        </is>
      </c>
      <c r="R1231" s="5" t="inlineStr">
        <is>
          <t>8</t>
        </is>
      </c>
      <c r="S1231" s="5" t="inlineStr">
        <is>
          <t>4</t>
        </is>
      </c>
      <c r="T1231" s="5" t="inlineStr">
        <is>
          <t>4</t>
        </is>
      </c>
      <c r="U1231" s="5">
        <f>IFS(C1231&lt;30,"Under 30",C1231&lt;40,"30-39",C1231&lt;50,"40-49",TRUE,"50+")</f>
        <v/>
      </c>
      <c r="V1231" s="5">
        <f>IFS(O1231&lt;60000,"Low (&lt;60k)",O1231&lt;100000,"Mid (60-100k)",TRUE,"High (100k+)")</f>
        <v/>
      </c>
      <c r="W1231" s="5">
        <f>IF(M1231="No","Attrited","Active")</f>
        <v/>
      </c>
    </row>
    <row r="1232">
      <c r="A1232" s="5" t="inlineStr">
        <is>
          <t>E01231</t>
        </is>
      </c>
      <c r="B1232" s="5" t="inlineStr">
        <is>
          <t>Female</t>
        </is>
      </c>
      <c r="C1232" s="6" t="inlineStr">
        <is>
          <t>29</t>
        </is>
      </c>
      <c r="D1232" s="5" t="inlineStr">
        <is>
          <t>Married</t>
        </is>
      </c>
      <c r="E1232" s="5" t="inlineStr">
        <is>
          <t>PhD</t>
        </is>
      </c>
      <c r="F1232" s="5" t="inlineStr">
        <is>
          <t>Finance</t>
        </is>
      </c>
      <c r="G1232" s="5" t="inlineStr">
        <is>
          <t>Accountant</t>
        </is>
      </c>
      <c r="H1232" s="5" t="inlineStr">
        <is>
          <t>4</t>
        </is>
      </c>
      <c r="I1232" s="5" t="inlineStr">
        <is>
          <t>Mumbai</t>
        </is>
      </c>
      <c r="J1232" s="5" t="inlineStr">
        <is>
          <t>Part-Time</t>
        </is>
      </c>
      <c r="K1232" s="7" t="n">
        <v>45615</v>
      </c>
      <c r="L1232" s="7" t="inlineStr"/>
      <c r="M1232" s="5" t="inlineStr">
        <is>
          <t>Yes</t>
        </is>
      </c>
      <c r="N1232" s="5" t="inlineStr"/>
      <c r="O1232" s="8" t="inlineStr">
        <is>
          <t>149000</t>
        </is>
      </c>
      <c r="P1232" s="5" t="inlineStr">
        <is>
          <t>0</t>
        </is>
      </c>
      <c r="Q1232" s="5" t="inlineStr">
        <is>
          <t>4</t>
        </is>
      </c>
      <c r="R1232" s="5" t="inlineStr">
        <is>
          <t>8</t>
        </is>
      </c>
      <c r="S1232" s="5" t="inlineStr">
        <is>
          <t>13</t>
        </is>
      </c>
      <c r="T1232" s="5" t="inlineStr">
        <is>
          <t>6</t>
        </is>
      </c>
      <c r="U1232" s="5">
        <f>IFS(C1232&lt;30,"Under 30",C1232&lt;40,"30-39",C1232&lt;50,"40-49",TRUE,"50+")</f>
        <v/>
      </c>
      <c r="V1232" s="5">
        <f>IFS(O1232&lt;60000,"Low (&lt;60k)",O1232&lt;100000,"Mid (60-100k)",TRUE,"High (100k+)")</f>
        <v/>
      </c>
      <c r="W1232" s="5">
        <f>IF(M1232="No","Attrited","Active")</f>
        <v/>
      </c>
    </row>
    <row r="1233">
      <c r="A1233" s="5" t="inlineStr">
        <is>
          <t>E01232</t>
        </is>
      </c>
      <c r="B1233" s="5" t="inlineStr">
        <is>
          <t>Female</t>
        </is>
      </c>
      <c r="C1233" s="6" t="inlineStr">
        <is>
          <t>31</t>
        </is>
      </c>
      <c r="D1233" s="5" t="inlineStr">
        <is>
          <t>Married</t>
        </is>
      </c>
      <c r="E1233" s="5" t="inlineStr">
        <is>
          <t>PhD</t>
        </is>
      </c>
      <c r="F1233" s="5" t="inlineStr">
        <is>
          <t>Operations</t>
        </is>
      </c>
      <c r="G1233" s="5" t="inlineStr">
        <is>
          <t>Logistics Coordinator</t>
        </is>
      </c>
      <c r="H1233" s="5" t="inlineStr">
        <is>
          <t>1</t>
        </is>
      </c>
      <c r="I1233" s="5" t="inlineStr">
        <is>
          <t>Mumbai</t>
        </is>
      </c>
      <c r="J1233" s="5" t="inlineStr">
        <is>
          <t>Full-Time</t>
        </is>
      </c>
      <c r="K1233" s="7" t="n">
        <v>44224</v>
      </c>
      <c r="L1233" s="7" t="n">
        <v>44357</v>
      </c>
      <c r="M1233" s="5" t="inlineStr">
        <is>
          <t>No</t>
        </is>
      </c>
      <c r="N1233" s="5" t="inlineStr">
        <is>
          <t>Resigned</t>
        </is>
      </c>
      <c r="O1233" s="8" t="inlineStr">
        <is>
          <t>68500</t>
        </is>
      </c>
      <c r="P1233" s="5" t="inlineStr">
        <is>
          <t>0</t>
        </is>
      </c>
      <c r="Q1233" s="5" t="inlineStr">
        <is>
          <t>4</t>
        </is>
      </c>
      <c r="R1233" s="5" t="inlineStr">
        <is>
          <t>4</t>
        </is>
      </c>
      <c r="S1233" s="5" t="inlineStr">
        <is>
          <t>4</t>
        </is>
      </c>
      <c r="T1233" s="5" t="inlineStr">
        <is>
          <t>5</t>
        </is>
      </c>
      <c r="U1233" s="5">
        <f>IFS(C1233&lt;30,"Under 30",C1233&lt;40,"30-39",C1233&lt;50,"40-49",TRUE,"50+")</f>
        <v/>
      </c>
      <c r="V1233" s="5">
        <f>IFS(O1233&lt;60000,"Low (&lt;60k)",O1233&lt;100000,"Mid (60-100k)",TRUE,"High (100k+)")</f>
        <v/>
      </c>
      <c r="W1233" s="5">
        <f>IF(M1233="No","Attrited","Active")</f>
        <v/>
      </c>
    </row>
    <row r="1234">
      <c r="A1234" s="5" t="inlineStr">
        <is>
          <t>E01233</t>
        </is>
      </c>
      <c r="B1234" s="5" t="inlineStr">
        <is>
          <t>Male</t>
        </is>
      </c>
      <c r="C1234" s="6" t="inlineStr">
        <is>
          <t>37</t>
        </is>
      </c>
      <c r="D1234" s="5" t="inlineStr">
        <is>
          <t>Married</t>
        </is>
      </c>
      <c r="E1234" s="5" t="inlineStr">
        <is>
          <t>Bachelor</t>
        </is>
      </c>
      <c r="F1234" s="5" t="inlineStr">
        <is>
          <t>Human Resources</t>
        </is>
      </c>
      <c r="G1234" s="5" t="inlineStr">
        <is>
          <t>HR Analyst</t>
        </is>
      </c>
      <c r="H1234" s="5" t="inlineStr">
        <is>
          <t>3</t>
        </is>
      </c>
      <c r="I1234" s="5" t="inlineStr">
        <is>
          <t>Delhi</t>
        </is>
      </c>
      <c r="J1234" s="5" t="inlineStr">
        <is>
          <t>Full-Time</t>
        </is>
      </c>
      <c r="K1234" s="7" t="n">
        <v>45209</v>
      </c>
      <c r="L1234" s="7" t="inlineStr"/>
      <c r="M1234" s="5" t="inlineStr">
        <is>
          <t>Yes</t>
        </is>
      </c>
      <c r="N1234" s="5" t="inlineStr"/>
      <c r="O1234" s="8" t="inlineStr">
        <is>
          <t>105000</t>
        </is>
      </c>
      <c r="P1234" s="5" t="inlineStr">
        <is>
          <t>0</t>
        </is>
      </c>
      <c r="Q1234" s="5" t="inlineStr">
        <is>
          <t>4</t>
        </is>
      </c>
      <c r="R1234" s="5" t="inlineStr">
        <is>
          <t>7</t>
        </is>
      </c>
      <c r="S1234" s="5" t="inlineStr">
        <is>
          <t>27</t>
        </is>
      </c>
      <c r="T1234" s="5" t="inlineStr">
        <is>
          <t>6</t>
        </is>
      </c>
      <c r="U1234" s="5">
        <f>IFS(C1234&lt;30,"Under 30",C1234&lt;40,"30-39",C1234&lt;50,"40-49",TRUE,"50+")</f>
        <v/>
      </c>
      <c r="V1234" s="5">
        <f>IFS(O1234&lt;60000,"Low (&lt;60k)",O1234&lt;100000,"Mid (60-100k)",TRUE,"High (100k+)")</f>
        <v/>
      </c>
      <c r="W1234" s="5">
        <f>IF(M1234="No","Attrited","Active")</f>
        <v/>
      </c>
    </row>
    <row r="1235">
      <c r="A1235" s="5" t="inlineStr">
        <is>
          <t>E01234</t>
        </is>
      </c>
      <c r="B1235" s="5" t="inlineStr">
        <is>
          <t>Male</t>
        </is>
      </c>
      <c r="C1235" s="6" t="inlineStr">
        <is>
          <t>30</t>
        </is>
      </c>
      <c r="D1235" s="5" t="inlineStr">
        <is>
          <t>Married</t>
        </is>
      </c>
      <c r="E1235" s="5" t="inlineStr">
        <is>
          <t>Master</t>
        </is>
      </c>
      <c r="F1235" s="5" t="inlineStr">
        <is>
          <t>Finance</t>
        </is>
      </c>
      <c r="G1235" s="5" t="inlineStr">
        <is>
          <t>Accountant</t>
        </is>
      </c>
      <c r="H1235" s="5" t="inlineStr">
        <is>
          <t>1</t>
        </is>
      </c>
      <c r="I1235" s="5" t="inlineStr">
        <is>
          <t>Bengaluru</t>
        </is>
      </c>
      <c r="J1235" s="5" t="inlineStr">
        <is>
          <t>Full-Time</t>
        </is>
      </c>
      <c r="K1235" s="7" t="n">
        <v>44553</v>
      </c>
      <c r="L1235" s="7" t="inlineStr"/>
      <c r="M1235" s="5" t="inlineStr">
        <is>
          <t>Yes</t>
        </is>
      </c>
      <c r="N1235" s="5" t="inlineStr"/>
      <c r="O1235" s="8" t="inlineStr">
        <is>
          <t>91000</t>
        </is>
      </c>
      <c r="P1235" s="5" t="inlineStr">
        <is>
          <t>5</t>
        </is>
      </c>
      <c r="Q1235" s="5" t="inlineStr">
        <is>
          <t>5</t>
        </is>
      </c>
      <c r="R1235" s="5" t="inlineStr">
        <is>
          <t>7</t>
        </is>
      </c>
      <c r="S1235" s="5" t="inlineStr">
        <is>
          <t>48</t>
        </is>
      </c>
      <c r="T1235" s="5" t="inlineStr">
        <is>
          <t>7</t>
        </is>
      </c>
      <c r="U1235" s="5">
        <f>IFS(C1235&lt;30,"Under 30",C1235&lt;40,"30-39",C1235&lt;50,"40-49",TRUE,"50+")</f>
        <v/>
      </c>
      <c r="V1235" s="5">
        <f>IFS(O1235&lt;60000,"Low (&lt;60k)",O1235&lt;100000,"Mid (60-100k)",TRUE,"High (100k+)")</f>
        <v/>
      </c>
      <c r="W1235" s="5">
        <f>IF(M1235="No","Attrited","Active")</f>
        <v/>
      </c>
    </row>
    <row r="1236">
      <c r="A1236" s="5" t="inlineStr">
        <is>
          <t>E01235</t>
        </is>
      </c>
      <c r="B1236" s="5" t="inlineStr">
        <is>
          <t>Male</t>
        </is>
      </c>
      <c r="C1236" s="6" t="inlineStr">
        <is>
          <t>40</t>
        </is>
      </c>
      <c r="D1236" s="5" t="inlineStr">
        <is>
          <t>Single</t>
        </is>
      </c>
      <c r="E1236" s="5" t="inlineStr">
        <is>
          <t>Master</t>
        </is>
      </c>
      <c r="F1236" s="5" t="inlineStr">
        <is>
          <t>Finance</t>
        </is>
      </c>
      <c r="G1236" s="5" t="inlineStr">
        <is>
          <t>Credit Analyst</t>
        </is>
      </c>
      <c r="H1236" s="5" t="inlineStr">
        <is>
          <t>4</t>
        </is>
      </c>
      <c r="I1236" s="5" t="inlineStr">
        <is>
          <t>Bengaluru</t>
        </is>
      </c>
      <c r="J1236" s="5" t="inlineStr">
        <is>
          <t>Full-Time</t>
        </is>
      </c>
      <c r="K1236" s="7" t="n">
        <v>45498</v>
      </c>
      <c r="L1236" s="7" t="inlineStr"/>
      <c r="M1236" s="5" t="inlineStr">
        <is>
          <t>Yes</t>
        </is>
      </c>
      <c r="N1236" s="5" t="inlineStr"/>
      <c r="O1236" s="8" t="inlineStr">
        <is>
          <t>128000</t>
        </is>
      </c>
      <c r="P1236" s="5" t="inlineStr">
        <is>
          <t>0</t>
        </is>
      </c>
      <c r="Q1236" s="5" t="inlineStr">
        <is>
          <t>4</t>
        </is>
      </c>
      <c r="R1236" s="5" t="inlineStr">
        <is>
          <t>7</t>
        </is>
      </c>
      <c r="S1236" s="5" t="inlineStr">
        <is>
          <t>17</t>
        </is>
      </c>
      <c r="T1236" s="5" t="inlineStr">
        <is>
          <t>0</t>
        </is>
      </c>
      <c r="U1236" s="5">
        <f>IFS(C1236&lt;30,"Under 30",C1236&lt;40,"30-39",C1236&lt;50,"40-49",TRUE,"50+")</f>
        <v/>
      </c>
      <c r="V1236" s="5">
        <f>IFS(O1236&lt;60000,"Low (&lt;60k)",O1236&lt;100000,"Mid (60-100k)",TRUE,"High (100k+)")</f>
        <v/>
      </c>
      <c r="W1236" s="5">
        <f>IF(M1236="No","Attrited","Active")</f>
        <v/>
      </c>
    </row>
    <row r="1237">
      <c r="A1237" s="5" t="inlineStr">
        <is>
          <t>E01236</t>
        </is>
      </c>
      <c r="B1237" s="5" t="inlineStr">
        <is>
          <t>Male</t>
        </is>
      </c>
      <c r="C1237" s="6" t="inlineStr">
        <is>
          <t>38</t>
        </is>
      </c>
      <c r="D1237" s="5" t="inlineStr">
        <is>
          <t>Married</t>
        </is>
      </c>
      <c r="E1237" s="5" t="inlineStr">
        <is>
          <t>PhD</t>
        </is>
      </c>
      <c r="F1237" s="5" t="inlineStr">
        <is>
          <t>Finance</t>
        </is>
      </c>
      <c r="G1237" s="5" t="inlineStr">
        <is>
          <t>Credit Analyst</t>
        </is>
      </c>
      <c r="H1237" s="5" t="inlineStr">
        <is>
          <t>3</t>
        </is>
      </c>
      <c r="I1237" s="5" t="inlineStr">
        <is>
          <t>Chennai</t>
        </is>
      </c>
      <c r="J1237" s="5" t="inlineStr">
        <is>
          <t>Full-Time</t>
        </is>
      </c>
      <c r="K1237" s="7" t="n">
        <v>45975</v>
      </c>
      <c r="L1237" s="7" t="inlineStr"/>
      <c r="M1237" s="5" t="inlineStr">
        <is>
          <t>Yes</t>
        </is>
      </c>
      <c r="N1237" s="5" t="inlineStr"/>
      <c r="O1237" s="8" t="inlineStr">
        <is>
          <t>84500</t>
        </is>
      </c>
      <c r="P1237" s="5" t="inlineStr">
        <is>
          <t>10</t>
        </is>
      </c>
      <c r="Q1237" s="5" t="inlineStr">
        <is>
          <t>4</t>
        </is>
      </c>
      <c r="R1237" s="5" t="inlineStr">
        <is>
          <t>6</t>
        </is>
      </c>
      <c r="S1237" s="5" t="inlineStr">
        <is>
          <t>1</t>
        </is>
      </c>
      <c r="T1237" s="5" t="inlineStr">
        <is>
          <t>10</t>
        </is>
      </c>
      <c r="U1237" s="5">
        <f>IFS(C1237&lt;30,"Under 30",C1237&lt;40,"30-39",C1237&lt;50,"40-49",TRUE,"50+")</f>
        <v/>
      </c>
      <c r="V1237" s="5">
        <f>IFS(O1237&lt;60000,"Low (&lt;60k)",O1237&lt;100000,"Mid (60-100k)",TRUE,"High (100k+)")</f>
        <v/>
      </c>
      <c r="W1237" s="5">
        <f>IF(M1237="No","Attrited","Active")</f>
        <v/>
      </c>
    </row>
    <row r="1238">
      <c r="A1238" s="5" t="inlineStr">
        <is>
          <t>E01237</t>
        </is>
      </c>
      <c r="B1238" s="5" t="inlineStr">
        <is>
          <t>Female</t>
        </is>
      </c>
      <c r="C1238" s="6" t="inlineStr">
        <is>
          <t>28</t>
        </is>
      </c>
      <c r="D1238" s="5" t="inlineStr">
        <is>
          <t>Single</t>
        </is>
      </c>
      <c r="E1238" s="5" t="inlineStr">
        <is>
          <t>Diploma</t>
        </is>
      </c>
      <c r="F1238" s="5" t="inlineStr">
        <is>
          <t>Marketing</t>
        </is>
      </c>
      <c r="G1238" s="5" t="inlineStr">
        <is>
          <t>Content Writer</t>
        </is>
      </c>
      <c r="H1238" s="5" t="inlineStr">
        <is>
          <t>1</t>
        </is>
      </c>
      <c r="I1238" s="5" t="inlineStr">
        <is>
          <t>Delhi</t>
        </is>
      </c>
      <c r="J1238" s="5" t="inlineStr">
        <is>
          <t>Full-Time</t>
        </is>
      </c>
      <c r="K1238" s="7" t="n">
        <v>44958</v>
      </c>
      <c r="L1238" s="7" t="inlineStr"/>
      <c r="M1238" s="5" t="inlineStr">
        <is>
          <t>Yes</t>
        </is>
      </c>
      <c r="N1238" s="5" t="inlineStr"/>
      <c r="O1238" s="8" t="inlineStr">
        <is>
          <t>53500</t>
        </is>
      </c>
      <c r="P1238" s="5" t="inlineStr">
        <is>
          <t>10</t>
        </is>
      </c>
      <c r="Q1238" s="5" t="inlineStr">
        <is>
          <t>4</t>
        </is>
      </c>
      <c r="R1238" s="5" t="inlineStr">
        <is>
          <t>4</t>
        </is>
      </c>
      <c r="S1238" s="5" t="inlineStr">
        <is>
          <t>35</t>
        </is>
      </c>
      <c r="T1238" s="5" t="inlineStr">
        <is>
          <t>8</t>
        </is>
      </c>
      <c r="U1238" s="5">
        <f>IFS(C1238&lt;30,"Under 30",C1238&lt;40,"30-39",C1238&lt;50,"40-49",TRUE,"50+")</f>
        <v/>
      </c>
      <c r="V1238" s="5">
        <f>IFS(O1238&lt;60000,"Low (&lt;60k)",O1238&lt;100000,"Mid (60-100k)",TRUE,"High (100k+)")</f>
        <v/>
      </c>
      <c r="W1238" s="5">
        <f>IF(M1238="No","Attrited","Active")</f>
        <v/>
      </c>
    </row>
    <row r="1239">
      <c r="A1239" s="5" t="inlineStr">
        <is>
          <t>E01238</t>
        </is>
      </c>
      <c r="B1239" s="5" t="inlineStr">
        <is>
          <t>Male</t>
        </is>
      </c>
      <c r="C1239" s="6" t="inlineStr">
        <is>
          <t>26</t>
        </is>
      </c>
      <c r="D1239" s="5" t="inlineStr">
        <is>
          <t>Single</t>
        </is>
      </c>
      <c r="E1239" s="5" t="inlineStr">
        <is>
          <t>Diploma</t>
        </is>
      </c>
      <c r="F1239" s="5" t="inlineStr">
        <is>
          <t>Research &amp; Development</t>
        </is>
      </c>
      <c r="G1239" s="5" t="inlineStr">
        <is>
          <t>Research Scientist</t>
        </is>
      </c>
      <c r="H1239" s="5" t="inlineStr">
        <is>
          <t>1</t>
        </is>
      </c>
      <c r="I1239" s="5" t="inlineStr">
        <is>
          <t>Delhi</t>
        </is>
      </c>
      <c r="J1239" s="5" t="inlineStr">
        <is>
          <t>Full-Time</t>
        </is>
      </c>
      <c r="K1239" s="7" t="n">
        <v>45701</v>
      </c>
      <c r="L1239" s="7" t="inlineStr"/>
      <c r="M1239" s="5" t="inlineStr">
        <is>
          <t>Yes</t>
        </is>
      </c>
      <c r="N1239" s="5" t="inlineStr"/>
      <c r="O1239" s="8" t="inlineStr">
        <is>
          <t>152500</t>
        </is>
      </c>
      <c r="P1239" s="5" t="inlineStr">
        <is>
          <t>10</t>
        </is>
      </c>
      <c r="Q1239" s="5" t="inlineStr">
        <is>
          <t>4</t>
        </is>
      </c>
      <c r="R1239" s="5" t="inlineStr">
        <is>
          <t>3</t>
        </is>
      </c>
      <c r="S1239" s="5" t="inlineStr">
        <is>
          <t>10</t>
        </is>
      </c>
      <c r="T1239" s="5" t="inlineStr">
        <is>
          <t>12</t>
        </is>
      </c>
      <c r="U1239" s="5">
        <f>IFS(C1239&lt;30,"Under 30",C1239&lt;40,"30-39",C1239&lt;50,"40-49",TRUE,"50+")</f>
        <v/>
      </c>
      <c r="V1239" s="5">
        <f>IFS(O1239&lt;60000,"Low (&lt;60k)",O1239&lt;100000,"Mid (60-100k)",TRUE,"High (100k+)")</f>
        <v/>
      </c>
      <c r="W1239" s="5">
        <f>IF(M1239="No","Attrited","Active")</f>
        <v/>
      </c>
    </row>
    <row r="1240">
      <c r="A1240" s="5" t="inlineStr">
        <is>
          <t>E01239</t>
        </is>
      </c>
      <c r="B1240" s="5" t="inlineStr">
        <is>
          <t>Male</t>
        </is>
      </c>
      <c r="C1240" s="6" t="inlineStr">
        <is>
          <t>37</t>
        </is>
      </c>
      <c r="D1240" s="5" t="inlineStr">
        <is>
          <t>Single</t>
        </is>
      </c>
      <c r="E1240" s="5" t="inlineStr">
        <is>
          <t>Master</t>
        </is>
      </c>
      <c r="F1240" s="5" t="inlineStr">
        <is>
          <t>Finance</t>
        </is>
      </c>
      <c r="G1240" s="5" t="inlineStr">
        <is>
          <t>Credit Analyst</t>
        </is>
      </c>
      <c r="H1240" s="5" t="inlineStr">
        <is>
          <t>4</t>
        </is>
      </c>
      <c r="I1240" s="5" t="inlineStr">
        <is>
          <t>Mumbai</t>
        </is>
      </c>
      <c r="J1240" s="5" t="inlineStr">
        <is>
          <t>Full-Time</t>
        </is>
      </c>
      <c r="K1240" s="7" t="n">
        <v>45205</v>
      </c>
      <c r="L1240" s="7" t="inlineStr"/>
      <c r="M1240" s="5" t="inlineStr">
        <is>
          <t>Yes</t>
        </is>
      </c>
      <c r="N1240" s="5" t="inlineStr"/>
      <c r="O1240" s="8" t="inlineStr">
        <is>
          <t>144500</t>
        </is>
      </c>
      <c r="P1240" s="5" t="inlineStr">
        <is>
          <t>5</t>
        </is>
      </c>
      <c r="Q1240" s="5" t="inlineStr">
        <is>
          <t>4</t>
        </is>
      </c>
      <c r="R1240" s="5" t="inlineStr">
        <is>
          <t>6</t>
        </is>
      </c>
      <c r="S1240" s="5" t="inlineStr">
        <is>
          <t>27</t>
        </is>
      </c>
      <c r="T1240" s="5" t="inlineStr">
        <is>
          <t>0</t>
        </is>
      </c>
      <c r="U1240" s="5">
        <f>IFS(C1240&lt;30,"Under 30",C1240&lt;40,"30-39",C1240&lt;50,"40-49",TRUE,"50+")</f>
        <v/>
      </c>
      <c r="V1240" s="5">
        <f>IFS(O1240&lt;60000,"Low (&lt;60k)",O1240&lt;100000,"Mid (60-100k)",TRUE,"High (100k+)")</f>
        <v/>
      </c>
      <c r="W1240" s="5">
        <f>IF(M1240="No","Attrited","Active")</f>
        <v/>
      </c>
    </row>
    <row r="1241">
      <c r="A1241" s="5" t="inlineStr">
        <is>
          <t>E01240</t>
        </is>
      </c>
      <c r="B1241" s="5" t="inlineStr">
        <is>
          <t>Female</t>
        </is>
      </c>
      <c r="C1241" s="6" t="inlineStr">
        <is>
          <t>34</t>
        </is>
      </c>
      <c r="D1241" s="5" t="inlineStr">
        <is>
          <t>Married</t>
        </is>
      </c>
      <c r="E1241" s="5" t="inlineStr">
        <is>
          <t>Bachelor</t>
        </is>
      </c>
      <c r="F1241" s="5" t="inlineStr">
        <is>
          <t>Finance</t>
        </is>
      </c>
      <c r="G1241" s="5" t="inlineStr">
        <is>
          <t>Financial Analyst</t>
        </is>
      </c>
      <c r="H1241" s="5" t="inlineStr">
        <is>
          <t>4</t>
        </is>
      </c>
      <c r="I1241" s="5" t="inlineStr">
        <is>
          <t>Mumbai</t>
        </is>
      </c>
      <c r="J1241" s="5" t="inlineStr">
        <is>
          <t>Full-Time</t>
        </is>
      </c>
      <c r="K1241" s="7" t="n">
        <v>44065</v>
      </c>
      <c r="L1241" s="7" t="inlineStr"/>
      <c r="M1241" s="5" t="inlineStr">
        <is>
          <t>Yes</t>
        </is>
      </c>
      <c r="N1241" s="5" t="inlineStr"/>
      <c r="O1241" s="8" t="inlineStr">
        <is>
          <t>124500</t>
        </is>
      </c>
      <c r="P1241" s="5" t="inlineStr">
        <is>
          <t>10</t>
        </is>
      </c>
      <c r="Q1241" s="5" t="inlineStr">
        <is>
          <t>3</t>
        </is>
      </c>
      <c r="R1241" s="5" t="inlineStr">
        <is>
          <t>3</t>
        </is>
      </c>
      <c r="S1241" s="5" t="inlineStr">
        <is>
          <t>65</t>
        </is>
      </c>
      <c r="T1241" s="5" t="inlineStr">
        <is>
          <t>12</t>
        </is>
      </c>
      <c r="U1241" s="5">
        <f>IFS(C1241&lt;30,"Under 30",C1241&lt;40,"30-39",C1241&lt;50,"40-49",TRUE,"50+")</f>
        <v/>
      </c>
      <c r="V1241" s="5">
        <f>IFS(O1241&lt;60000,"Low (&lt;60k)",O1241&lt;100000,"Mid (60-100k)",TRUE,"High (100k+)")</f>
        <v/>
      </c>
      <c r="W1241" s="5">
        <f>IF(M1241="No","Attrited","Active")</f>
        <v/>
      </c>
    </row>
    <row r="1242">
      <c r="A1242" s="5" t="inlineStr">
        <is>
          <t>E01241</t>
        </is>
      </c>
      <c r="B1242" s="5" t="inlineStr">
        <is>
          <t>Male</t>
        </is>
      </c>
      <c r="C1242" s="6" t="inlineStr">
        <is>
          <t>27</t>
        </is>
      </c>
      <c r="D1242" s="5" t="inlineStr">
        <is>
          <t>Married</t>
        </is>
      </c>
      <c r="E1242" s="5" t="inlineStr">
        <is>
          <t>High School</t>
        </is>
      </c>
      <c r="F1242" s="5" t="inlineStr">
        <is>
          <t>Sales</t>
        </is>
      </c>
      <c r="G1242" s="5" t="inlineStr">
        <is>
          <t>Account Executive</t>
        </is>
      </c>
      <c r="H1242" s="5" t="inlineStr">
        <is>
          <t>3</t>
        </is>
      </c>
      <c r="I1242" s="5" t="inlineStr">
        <is>
          <t>Mumbai</t>
        </is>
      </c>
      <c r="J1242" s="5" t="inlineStr">
        <is>
          <t>Full-Time</t>
        </is>
      </c>
      <c r="K1242" s="7" t="n">
        <v>45155</v>
      </c>
      <c r="L1242" s="7" t="inlineStr"/>
      <c r="M1242" s="5" t="inlineStr">
        <is>
          <t>Yes</t>
        </is>
      </c>
      <c r="N1242" s="5" t="inlineStr"/>
      <c r="O1242" s="8" t="inlineStr">
        <is>
          <t>87500</t>
        </is>
      </c>
      <c r="P1242" s="5" t="inlineStr">
        <is>
          <t>0</t>
        </is>
      </c>
      <c r="Q1242" s="5" t="inlineStr">
        <is>
          <t>5</t>
        </is>
      </c>
      <c r="R1242" s="5" t="inlineStr">
        <is>
          <t>8</t>
        </is>
      </c>
      <c r="S1242" s="5" t="inlineStr">
        <is>
          <t>28</t>
        </is>
      </c>
      <c r="T1242" s="5" t="inlineStr">
        <is>
          <t>4</t>
        </is>
      </c>
      <c r="U1242" s="5">
        <f>IFS(C1242&lt;30,"Under 30",C1242&lt;40,"30-39",C1242&lt;50,"40-49",TRUE,"50+")</f>
        <v/>
      </c>
      <c r="V1242" s="5">
        <f>IFS(O1242&lt;60000,"Low (&lt;60k)",O1242&lt;100000,"Mid (60-100k)",TRUE,"High (100k+)")</f>
        <v/>
      </c>
      <c r="W1242" s="5">
        <f>IF(M1242="No","Attrited","Active")</f>
        <v/>
      </c>
    </row>
    <row r="1243">
      <c r="A1243" s="5" t="inlineStr">
        <is>
          <t>E01242</t>
        </is>
      </c>
      <c r="B1243" s="5" t="inlineStr">
        <is>
          <t>Female</t>
        </is>
      </c>
      <c r="C1243" s="6" t="inlineStr">
        <is>
          <t>31</t>
        </is>
      </c>
      <c r="D1243" s="5" t="inlineStr">
        <is>
          <t>Married</t>
        </is>
      </c>
      <c r="E1243" s="5" t="inlineStr">
        <is>
          <t>Diploma</t>
        </is>
      </c>
      <c r="F1243" s="5" t="inlineStr">
        <is>
          <t>Research &amp; Development</t>
        </is>
      </c>
      <c r="G1243" s="5" t="inlineStr">
        <is>
          <t>Research Scientist</t>
        </is>
      </c>
      <c r="H1243" s="5" t="inlineStr">
        <is>
          <t>4</t>
        </is>
      </c>
      <c r="I1243" s="5" t="inlineStr">
        <is>
          <t>Delhi</t>
        </is>
      </c>
      <c r="J1243" s="5" t="inlineStr">
        <is>
          <t>Full-Time</t>
        </is>
      </c>
      <c r="K1243" s="7" t="n">
        <v>44876</v>
      </c>
      <c r="L1243" s="7" t="n">
        <v>45016</v>
      </c>
      <c r="M1243" s="5" t="inlineStr">
        <is>
          <t>No</t>
        </is>
      </c>
      <c r="N1243" s="5" t="inlineStr">
        <is>
          <t>Resigned</t>
        </is>
      </c>
      <c r="O1243" s="8" t="inlineStr">
        <is>
          <t>212500</t>
        </is>
      </c>
      <c r="P1243" s="5" t="inlineStr">
        <is>
          <t>0</t>
        </is>
      </c>
      <c r="Q1243" s="5" t="inlineStr">
        <is>
          <t>3</t>
        </is>
      </c>
      <c r="R1243" s="5" t="inlineStr">
        <is>
          <t>6</t>
        </is>
      </c>
      <c r="S1243" s="5" t="inlineStr">
        <is>
          <t>4</t>
        </is>
      </c>
      <c r="T1243" s="5" t="inlineStr">
        <is>
          <t>3</t>
        </is>
      </c>
      <c r="U1243" s="5">
        <f>IFS(C1243&lt;30,"Under 30",C1243&lt;40,"30-39",C1243&lt;50,"40-49",TRUE,"50+")</f>
        <v/>
      </c>
      <c r="V1243" s="5">
        <f>IFS(O1243&lt;60000,"Low (&lt;60k)",O1243&lt;100000,"Mid (60-100k)",TRUE,"High (100k+)")</f>
        <v/>
      </c>
      <c r="W1243" s="5">
        <f>IF(M1243="No","Attrited","Active")</f>
        <v/>
      </c>
    </row>
    <row r="1244">
      <c r="A1244" s="5" t="inlineStr">
        <is>
          <t>E01243</t>
        </is>
      </c>
      <c r="B1244" s="5" t="inlineStr">
        <is>
          <t>Female</t>
        </is>
      </c>
      <c r="C1244" s="6" t="inlineStr">
        <is>
          <t>33</t>
        </is>
      </c>
      <c r="D1244" s="5" t="inlineStr">
        <is>
          <t>Married</t>
        </is>
      </c>
      <c r="E1244" s="5" t="inlineStr">
        <is>
          <t>Master</t>
        </is>
      </c>
      <c r="F1244" s="5" t="inlineStr">
        <is>
          <t>Operations</t>
        </is>
      </c>
      <c r="G1244" s="5" t="inlineStr">
        <is>
          <t>Operations Analyst</t>
        </is>
      </c>
      <c r="H1244" s="5" t="inlineStr">
        <is>
          <t>1</t>
        </is>
      </c>
      <c r="I1244" s="5" t="inlineStr">
        <is>
          <t>Hyderabad</t>
        </is>
      </c>
      <c r="J1244" s="5" t="inlineStr">
        <is>
          <t>Full-Time</t>
        </is>
      </c>
      <c r="K1244" s="7" t="n">
        <v>45820</v>
      </c>
      <c r="L1244" s="7" t="inlineStr"/>
      <c r="M1244" s="5" t="inlineStr">
        <is>
          <t>Yes</t>
        </is>
      </c>
      <c r="N1244" s="5" t="inlineStr"/>
      <c r="O1244" s="8" t="inlineStr">
        <is>
          <t>80000</t>
        </is>
      </c>
      <c r="P1244" s="5" t="inlineStr">
        <is>
          <t>0</t>
        </is>
      </c>
      <c r="Q1244" s="5" t="inlineStr">
        <is>
          <t>5</t>
        </is>
      </c>
      <c r="R1244" s="5" t="inlineStr">
        <is>
          <t>7</t>
        </is>
      </c>
      <c r="S1244" s="5" t="inlineStr">
        <is>
          <t>6</t>
        </is>
      </c>
      <c r="T1244" s="5" t="inlineStr">
        <is>
          <t>0</t>
        </is>
      </c>
      <c r="U1244" s="5">
        <f>IFS(C1244&lt;30,"Under 30",C1244&lt;40,"30-39",C1244&lt;50,"40-49",TRUE,"50+")</f>
        <v/>
      </c>
      <c r="V1244" s="5">
        <f>IFS(O1244&lt;60000,"Low (&lt;60k)",O1244&lt;100000,"Mid (60-100k)",TRUE,"High (100k+)")</f>
        <v/>
      </c>
      <c r="W1244" s="5">
        <f>IF(M1244="No","Attrited","Active")</f>
        <v/>
      </c>
    </row>
    <row r="1245">
      <c r="A1245" s="5" t="inlineStr">
        <is>
          <t>E01244</t>
        </is>
      </c>
      <c r="B1245" s="5" t="inlineStr">
        <is>
          <t>Female</t>
        </is>
      </c>
      <c r="C1245" s="6" t="inlineStr">
        <is>
          <t>32</t>
        </is>
      </c>
      <c r="D1245" s="5" t="inlineStr">
        <is>
          <t>Single</t>
        </is>
      </c>
      <c r="E1245" s="5" t="inlineStr">
        <is>
          <t>High School</t>
        </is>
      </c>
      <c r="F1245" s="5" t="inlineStr">
        <is>
          <t>Operations</t>
        </is>
      </c>
      <c r="G1245" s="5" t="inlineStr">
        <is>
          <t>Logistics Coordinator</t>
        </is>
      </c>
      <c r="H1245" s="5" t="inlineStr">
        <is>
          <t>1</t>
        </is>
      </c>
      <c r="I1245" s="5" t="inlineStr">
        <is>
          <t>Delhi</t>
        </is>
      </c>
      <c r="J1245" s="5" t="inlineStr">
        <is>
          <t>Full-Time</t>
        </is>
      </c>
      <c r="K1245" s="7" t="n">
        <v>45090</v>
      </c>
      <c r="L1245" s="7" t="inlineStr"/>
      <c r="M1245" s="5" t="inlineStr">
        <is>
          <t>Yes</t>
        </is>
      </c>
      <c r="N1245" s="5" t="inlineStr"/>
      <c r="O1245" s="8" t="inlineStr">
        <is>
          <t>62000</t>
        </is>
      </c>
      <c r="P1245" s="5" t="inlineStr">
        <is>
          <t>0</t>
        </is>
      </c>
      <c r="Q1245" s="5" t="inlineStr">
        <is>
          <t>3</t>
        </is>
      </c>
      <c r="R1245" s="5" t="inlineStr">
        <is>
          <t>4</t>
        </is>
      </c>
      <c r="S1245" s="5" t="inlineStr">
        <is>
          <t>31</t>
        </is>
      </c>
      <c r="T1245" s="5" t="inlineStr">
        <is>
          <t>3</t>
        </is>
      </c>
      <c r="U1245" s="5">
        <f>IFS(C1245&lt;30,"Under 30",C1245&lt;40,"30-39",C1245&lt;50,"40-49",TRUE,"50+")</f>
        <v/>
      </c>
      <c r="V1245" s="5">
        <f>IFS(O1245&lt;60000,"Low (&lt;60k)",O1245&lt;100000,"Mid (60-100k)",TRUE,"High (100k+)")</f>
        <v/>
      </c>
      <c r="W1245" s="5">
        <f>IF(M1245="No","Attrited","Active")</f>
        <v/>
      </c>
    </row>
    <row r="1246">
      <c r="A1246" s="5" t="inlineStr">
        <is>
          <t>E01245</t>
        </is>
      </c>
      <c r="B1246" s="5" t="inlineStr">
        <is>
          <t>Female</t>
        </is>
      </c>
      <c r="C1246" s="6" t="inlineStr">
        <is>
          <t>33</t>
        </is>
      </c>
      <c r="D1246" s="5" t="inlineStr">
        <is>
          <t>Married</t>
        </is>
      </c>
      <c r="E1246" s="5" t="inlineStr">
        <is>
          <t>Master</t>
        </is>
      </c>
      <c r="F1246" s="5" t="inlineStr">
        <is>
          <t>Marketing</t>
        </is>
      </c>
      <c r="G1246" s="5" t="inlineStr">
        <is>
          <t>Marketing Analyst</t>
        </is>
      </c>
      <c r="H1246" s="5" t="inlineStr">
        <is>
          <t>1</t>
        </is>
      </c>
      <c r="I1246" s="5" t="inlineStr">
        <is>
          <t>Chennai</t>
        </is>
      </c>
      <c r="J1246" s="5" t="inlineStr">
        <is>
          <t>Full-Time</t>
        </is>
      </c>
      <c r="K1246" s="7" t="n">
        <v>45797</v>
      </c>
      <c r="L1246" s="7" t="n">
        <v>45917</v>
      </c>
      <c r="M1246" s="5" t="inlineStr">
        <is>
          <t>No</t>
        </is>
      </c>
      <c r="N1246" s="5" t="inlineStr">
        <is>
          <t>Resigned</t>
        </is>
      </c>
      <c r="O1246" s="8" t="inlineStr">
        <is>
          <t>60000</t>
        </is>
      </c>
      <c r="P1246" s="5" t="inlineStr">
        <is>
          <t>5</t>
        </is>
      </c>
      <c r="Q1246" s="5" t="inlineStr">
        <is>
          <t>4</t>
        </is>
      </c>
      <c r="R1246" s="5" t="inlineStr">
        <is>
          <t>6</t>
        </is>
      </c>
      <c r="S1246" s="5" t="inlineStr">
        <is>
          <t>4</t>
        </is>
      </c>
      <c r="T1246" s="5" t="inlineStr">
        <is>
          <t>9</t>
        </is>
      </c>
      <c r="U1246" s="5">
        <f>IFS(C1246&lt;30,"Under 30",C1246&lt;40,"30-39",C1246&lt;50,"40-49",TRUE,"50+")</f>
        <v/>
      </c>
      <c r="V1246" s="5">
        <f>IFS(O1246&lt;60000,"Low (&lt;60k)",O1246&lt;100000,"Mid (60-100k)",TRUE,"High (100k+)")</f>
        <v/>
      </c>
      <c r="W1246" s="5">
        <f>IF(M1246="No","Attrited","Active")</f>
        <v/>
      </c>
    </row>
    <row r="1247">
      <c r="A1247" s="5" t="inlineStr">
        <is>
          <t>E01246</t>
        </is>
      </c>
      <c r="B1247" s="5" t="inlineStr">
        <is>
          <t>Female</t>
        </is>
      </c>
      <c r="C1247" s="6" t="inlineStr">
        <is>
          <t>30</t>
        </is>
      </c>
      <c r="D1247" s="5" t="inlineStr">
        <is>
          <t>Married</t>
        </is>
      </c>
      <c r="E1247" s="5" t="inlineStr">
        <is>
          <t>Master</t>
        </is>
      </c>
      <c r="F1247" s="5" t="inlineStr">
        <is>
          <t>Operations</t>
        </is>
      </c>
      <c r="G1247" s="5" t="inlineStr">
        <is>
          <t>Logistics Coordinator</t>
        </is>
      </c>
      <c r="H1247" s="5" t="inlineStr">
        <is>
          <t>2</t>
        </is>
      </c>
      <c r="I1247" s="5" t="inlineStr">
        <is>
          <t>Delhi</t>
        </is>
      </c>
      <c r="J1247" s="5" t="inlineStr">
        <is>
          <t>Full-Time</t>
        </is>
      </c>
      <c r="K1247" s="7" t="n">
        <v>45576</v>
      </c>
      <c r="L1247" s="7" t="n">
        <v>45668</v>
      </c>
      <c r="M1247" s="5" t="inlineStr">
        <is>
          <t>No</t>
        </is>
      </c>
      <c r="N1247" s="5" t="inlineStr">
        <is>
          <t>Performance / Termination</t>
        </is>
      </c>
      <c r="O1247" s="8" t="inlineStr">
        <is>
          <t>97000</t>
        </is>
      </c>
      <c r="P1247" s="5" t="inlineStr">
        <is>
          <t>10</t>
        </is>
      </c>
      <c r="Q1247" s="5" t="inlineStr">
        <is>
          <t>3</t>
        </is>
      </c>
      <c r="R1247" s="5" t="inlineStr">
        <is>
          <t>6</t>
        </is>
      </c>
      <c r="S1247" s="5" t="inlineStr">
        <is>
          <t>3</t>
        </is>
      </c>
      <c r="T1247" s="5" t="inlineStr">
        <is>
          <t>11</t>
        </is>
      </c>
      <c r="U1247" s="5">
        <f>IFS(C1247&lt;30,"Under 30",C1247&lt;40,"30-39",C1247&lt;50,"40-49",TRUE,"50+")</f>
        <v/>
      </c>
      <c r="V1247" s="5">
        <f>IFS(O1247&lt;60000,"Low (&lt;60k)",O1247&lt;100000,"Mid (60-100k)",TRUE,"High (100k+)")</f>
        <v/>
      </c>
      <c r="W1247" s="5">
        <f>IF(M1247="No","Attrited","Active")</f>
        <v/>
      </c>
    </row>
    <row r="1248">
      <c r="A1248" s="5" t="inlineStr">
        <is>
          <t>E01247</t>
        </is>
      </c>
      <c r="B1248" s="5" t="inlineStr">
        <is>
          <t>Female</t>
        </is>
      </c>
      <c r="C1248" s="6" t="inlineStr">
        <is>
          <t>34</t>
        </is>
      </c>
      <c r="D1248" s="5" t="inlineStr">
        <is>
          <t>Married</t>
        </is>
      </c>
      <c r="E1248" s="5" t="inlineStr">
        <is>
          <t>Diploma</t>
        </is>
      </c>
      <c r="F1248" s="5" t="inlineStr">
        <is>
          <t>Human Resources</t>
        </is>
      </c>
      <c r="G1248" s="5" t="inlineStr">
        <is>
          <t>HR Generalist</t>
        </is>
      </c>
      <c r="H1248" s="5" t="inlineStr">
        <is>
          <t>2</t>
        </is>
      </c>
      <c r="I1248" s="5" t="inlineStr">
        <is>
          <t>Remote</t>
        </is>
      </c>
      <c r="J1248" s="5" t="inlineStr">
        <is>
          <t>Full-Time</t>
        </is>
      </c>
      <c r="K1248" s="7" t="n">
        <v>44974</v>
      </c>
      <c r="L1248" s="7" t="n">
        <v>45076</v>
      </c>
      <c r="M1248" s="5" t="inlineStr">
        <is>
          <t>No</t>
        </is>
      </c>
      <c r="N1248" s="5" t="inlineStr">
        <is>
          <t>Retirement</t>
        </is>
      </c>
      <c r="O1248" s="8" t="inlineStr">
        <is>
          <t>95500</t>
        </is>
      </c>
      <c r="P1248" s="5" t="inlineStr">
        <is>
          <t>0</t>
        </is>
      </c>
      <c r="Q1248" s="5" t="inlineStr">
        <is>
          <t>2</t>
        </is>
      </c>
      <c r="R1248" s="5" t="inlineStr">
        <is>
          <t>5</t>
        </is>
      </c>
      <c r="S1248" s="5" t="inlineStr">
        <is>
          <t>3</t>
        </is>
      </c>
      <c r="T1248" s="5" t="inlineStr">
        <is>
          <t>7</t>
        </is>
      </c>
      <c r="U1248" s="5">
        <f>IFS(C1248&lt;30,"Under 30",C1248&lt;40,"30-39",C1248&lt;50,"40-49",TRUE,"50+")</f>
        <v/>
      </c>
      <c r="V1248" s="5">
        <f>IFS(O1248&lt;60000,"Low (&lt;60k)",O1248&lt;100000,"Mid (60-100k)",TRUE,"High (100k+)")</f>
        <v/>
      </c>
      <c r="W1248" s="5">
        <f>IF(M1248="No","Attrited","Active")</f>
        <v/>
      </c>
    </row>
    <row r="1249">
      <c r="A1249" s="5" t="inlineStr">
        <is>
          <t>E01248</t>
        </is>
      </c>
      <c r="B1249" s="5" t="inlineStr">
        <is>
          <t>Female</t>
        </is>
      </c>
      <c r="C1249" s="6" t="inlineStr">
        <is>
          <t>26</t>
        </is>
      </c>
      <c r="D1249" s="5" t="inlineStr">
        <is>
          <t>Married</t>
        </is>
      </c>
      <c r="E1249" s="5" t="inlineStr">
        <is>
          <t>Master</t>
        </is>
      </c>
      <c r="F1249" s="5" t="inlineStr">
        <is>
          <t>Operations</t>
        </is>
      </c>
      <c r="G1249" s="5" t="inlineStr">
        <is>
          <t>Logistics Coordinator</t>
        </is>
      </c>
      <c r="H1249" s="5" t="inlineStr">
        <is>
          <t>1</t>
        </is>
      </c>
      <c r="I1249" s="5" t="inlineStr">
        <is>
          <t>Delhi</t>
        </is>
      </c>
      <c r="J1249" s="5" t="inlineStr">
        <is>
          <t>Full-Time</t>
        </is>
      </c>
      <c r="K1249" s="7" t="n">
        <v>45824</v>
      </c>
      <c r="L1249" s="7" t="n">
        <v>45972</v>
      </c>
      <c r="M1249" s="5" t="inlineStr">
        <is>
          <t>No</t>
        </is>
      </c>
      <c r="N1249" s="5" t="inlineStr">
        <is>
          <t>Resigned</t>
        </is>
      </c>
      <c r="O1249" s="8" t="inlineStr">
        <is>
          <t>57000</t>
        </is>
      </c>
      <c r="P1249" s="5" t="inlineStr">
        <is>
          <t>0</t>
        </is>
      </c>
      <c r="Q1249" s="5" t="inlineStr">
        <is>
          <t>4</t>
        </is>
      </c>
      <c r="R1249" s="5" t="inlineStr">
        <is>
          <t>8</t>
        </is>
      </c>
      <c r="S1249" s="5" t="inlineStr">
        <is>
          <t>4</t>
        </is>
      </c>
      <c r="T1249" s="5" t="inlineStr">
        <is>
          <t>10</t>
        </is>
      </c>
      <c r="U1249" s="5">
        <f>IFS(C1249&lt;30,"Under 30",C1249&lt;40,"30-39",C1249&lt;50,"40-49",TRUE,"50+")</f>
        <v/>
      </c>
      <c r="V1249" s="5">
        <f>IFS(O1249&lt;60000,"Low (&lt;60k)",O1249&lt;100000,"Mid (60-100k)",TRUE,"High (100k+)")</f>
        <v/>
      </c>
      <c r="W1249" s="5">
        <f>IF(M1249="No","Attrited","Active")</f>
        <v/>
      </c>
    </row>
    <row r="1250">
      <c r="A1250" s="5" t="inlineStr">
        <is>
          <t>E01249</t>
        </is>
      </c>
      <c r="B1250" s="5" t="inlineStr">
        <is>
          <t>Female</t>
        </is>
      </c>
      <c r="C1250" s="6" t="inlineStr">
        <is>
          <t>25</t>
        </is>
      </c>
      <c r="D1250" s="5" t="inlineStr">
        <is>
          <t>Married</t>
        </is>
      </c>
      <c r="E1250" s="5" t="inlineStr">
        <is>
          <t>Bachelor</t>
        </is>
      </c>
      <c r="F1250" s="5" t="inlineStr">
        <is>
          <t>Operations</t>
        </is>
      </c>
      <c r="G1250" s="5" t="inlineStr">
        <is>
          <t>Quality Analyst</t>
        </is>
      </c>
      <c r="H1250" s="5" t="inlineStr">
        <is>
          <t>2</t>
        </is>
      </c>
      <c r="I1250" s="5" t="inlineStr">
        <is>
          <t>Delhi</t>
        </is>
      </c>
      <c r="J1250" s="5" t="inlineStr">
        <is>
          <t>Full-Time</t>
        </is>
      </c>
      <c r="K1250" s="7" t="n">
        <v>44217</v>
      </c>
      <c r="L1250" s="7" t="inlineStr"/>
      <c r="M1250" s="5" t="inlineStr">
        <is>
          <t>Yes</t>
        </is>
      </c>
      <c r="N1250" s="5" t="inlineStr"/>
      <c r="O1250" s="8" t="inlineStr">
        <is>
          <t>106000</t>
        </is>
      </c>
      <c r="P1250" s="5" t="inlineStr">
        <is>
          <t>10</t>
        </is>
      </c>
      <c r="Q1250" s="5" t="inlineStr">
        <is>
          <t>3</t>
        </is>
      </c>
      <c r="R1250" s="5" t="inlineStr">
        <is>
          <t>8</t>
        </is>
      </c>
      <c r="S1250" s="5" t="inlineStr">
        <is>
          <t>60</t>
        </is>
      </c>
      <c r="T1250" s="5" t="inlineStr">
        <is>
          <t>5</t>
        </is>
      </c>
      <c r="U1250" s="5">
        <f>IFS(C1250&lt;30,"Under 30",C1250&lt;40,"30-39",C1250&lt;50,"40-49",TRUE,"50+")</f>
        <v/>
      </c>
      <c r="V1250" s="5">
        <f>IFS(O1250&lt;60000,"Low (&lt;60k)",O1250&lt;100000,"Mid (60-100k)",TRUE,"High (100k+)")</f>
        <v/>
      </c>
      <c r="W1250" s="5">
        <f>IF(M1250="No","Attrited","Active")</f>
        <v/>
      </c>
    </row>
    <row r="1251">
      <c r="A1251" s="5" t="inlineStr">
        <is>
          <t>E01250</t>
        </is>
      </c>
      <c r="B1251" s="5" t="inlineStr">
        <is>
          <t>Male</t>
        </is>
      </c>
      <c r="C1251" s="6" t="inlineStr">
        <is>
          <t>36</t>
        </is>
      </c>
      <c r="D1251" s="5" t="inlineStr">
        <is>
          <t>Married</t>
        </is>
      </c>
      <c r="E1251" s="5" t="inlineStr">
        <is>
          <t>Diploma</t>
        </is>
      </c>
      <c r="F1251" s="5" t="inlineStr">
        <is>
          <t>Research &amp; Development</t>
        </is>
      </c>
      <c r="G1251" s="5" t="inlineStr">
        <is>
          <t>Product Engineer</t>
        </is>
      </c>
      <c r="H1251" s="5" t="inlineStr">
        <is>
          <t>6</t>
        </is>
      </c>
      <c r="I1251" s="5" t="inlineStr">
        <is>
          <t>Hyderabad</t>
        </is>
      </c>
      <c r="J1251" s="5" t="inlineStr">
        <is>
          <t>Full-Time</t>
        </is>
      </c>
      <c r="K1251" s="7" t="n">
        <v>44811</v>
      </c>
      <c r="L1251" s="7" t="inlineStr"/>
      <c r="M1251" s="5" t="inlineStr">
        <is>
          <t>Yes</t>
        </is>
      </c>
      <c r="N1251" s="5" t="inlineStr"/>
      <c r="O1251" s="8" t="inlineStr">
        <is>
          <t>167500</t>
        </is>
      </c>
      <c r="P1251" s="5" t="inlineStr">
        <is>
          <t>0</t>
        </is>
      </c>
      <c r="Q1251" s="5" t="inlineStr">
        <is>
          <t>4</t>
        </is>
      </c>
      <c r="R1251" s="5" t="inlineStr">
        <is>
          <t>6</t>
        </is>
      </c>
      <c r="S1251" s="5" t="inlineStr">
        <is>
          <t>40</t>
        </is>
      </c>
      <c r="T1251" s="5" t="inlineStr">
        <is>
          <t>2</t>
        </is>
      </c>
      <c r="U1251" s="5">
        <f>IFS(C1251&lt;30,"Under 30",C1251&lt;40,"30-39",C1251&lt;50,"40-49",TRUE,"50+")</f>
        <v/>
      </c>
      <c r="V1251" s="5">
        <f>IFS(O1251&lt;60000,"Low (&lt;60k)",O1251&lt;100000,"Mid (60-100k)",TRUE,"High (100k+)")</f>
        <v/>
      </c>
      <c r="W1251" s="5">
        <f>IF(M1251="No","Attrited","Active")</f>
        <v/>
      </c>
    </row>
    <row r="1252">
      <c r="A1252" s="5" t="inlineStr">
        <is>
          <t>E01251</t>
        </is>
      </c>
      <c r="B1252" s="5" t="inlineStr">
        <is>
          <t>Male</t>
        </is>
      </c>
      <c r="C1252" s="6" t="inlineStr">
        <is>
          <t>27</t>
        </is>
      </c>
      <c r="D1252" s="5" t="inlineStr">
        <is>
          <t>Married</t>
        </is>
      </c>
      <c r="E1252" s="5" t="inlineStr">
        <is>
          <t>High School</t>
        </is>
      </c>
      <c r="F1252" s="5" t="inlineStr">
        <is>
          <t>Sales</t>
        </is>
      </c>
      <c r="G1252" s="5" t="inlineStr">
        <is>
          <t>Account Executive</t>
        </is>
      </c>
      <c r="H1252" s="5" t="inlineStr">
        <is>
          <t>3</t>
        </is>
      </c>
      <c r="I1252" s="5" t="inlineStr">
        <is>
          <t>Bengaluru</t>
        </is>
      </c>
      <c r="J1252" s="5" t="inlineStr">
        <is>
          <t>Full-Time</t>
        </is>
      </c>
      <c r="K1252" s="7" t="n">
        <v>45465</v>
      </c>
      <c r="L1252" s="7" t="inlineStr"/>
      <c r="M1252" s="5" t="inlineStr">
        <is>
          <t>Yes</t>
        </is>
      </c>
      <c r="N1252" s="5" t="inlineStr"/>
      <c r="O1252" s="8" t="inlineStr">
        <is>
          <t>92500</t>
        </is>
      </c>
      <c r="P1252" s="5" t="inlineStr">
        <is>
          <t>5</t>
        </is>
      </c>
      <c r="Q1252" s="5" t="inlineStr">
        <is>
          <t>5</t>
        </is>
      </c>
      <c r="R1252" s="5" t="inlineStr">
        <is>
          <t>4</t>
        </is>
      </c>
      <c r="S1252" s="5" t="inlineStr">
        <is>
          <t>18</t>
        </is>
      </c>
      <c r="T1252" s="5" t="inlineStr">
        <is>
          <t>0</t>
        </is>
      </c>
      <c r="U1252" s="5">
        <f>IFS(C1252&lt;30,"Under 30",C1252&lt;40,"30-39",C1252&lt;50,"40-49",TRUE,"50+")</f>
        <v/>
      </c>
      <c r="V1252" s="5">
        <f>IFS(O1252&lt;60000,"Low (&lt;60k)",O1252&lt;100000,"Mid (60-100k)",TRUE,"High (100k+)")</f>
        <v/>
      </c>
      <c r="W1252" s="5">
        <f>IF(M1252="No","Attrited","Active")</f>
        <v/>
      </c>
    </row>
    <row r="1253">
      <c r="A1253" s="5" t="inlineStr">
        <is>
          <t>E01252</t>
        </is>
      </c>
      <c r="B1253" s="5" t="inlineStr">
        <is>
          <t>Female</t>
        </is>
      </c>
      <c r="C1253" s="6" t="inlineStr">
        <is>
          <t>29</t>
        </is>
      </c>
      <c r="D1253" s="5" t="inlineStr">
        <is>
          <t>Married</t>
        </is>
      </c>
      <c r="E1253" s="5" t="inlineStr">
        <is>
          <t>Diploma</t>
        </is>
      </c>
      <c r="F1253" s="5" t="inlineStr">
        <is>
          <t>Customer Support</t>
        </is>
      </c>
      <c r="G1253" s="5" t="inlineStr">
        <is>
          <t>Support Lead</t>
        </is>
      </c>
      <c r="H1253" s="5" t="inlineStr">
        <is>
          <t>1</t>
        </is>
      </c>
      <c r="I1253" s="5" t="inlineStr">
        <is>
          <t>Delhi</t>
        </is>
      </c>
      <c r="J1253" s="5" t="inlineStr">
        <is>
          <t>Full-Time</t>
        </is>
      </c>
      <c r="K1253" s="7" t="n">
        <v>44889</v>
      </c>
      <c r="L1253" s="7" t="inlineStr"/>
      <c r="M1253" s="5" t="inlineStr">
        <is>
          <t>Yes</t>
        </is>
      </c>
      <c r="N1253" s="5" t="inlineStr"/>
      <c r="O1253" s="8" t="inlineStr">
        <is>
          <t>65500</t>
        </is>
      </c>
      <c r="P1253" s="5" t="inlineStr">
        <is>
          <t>20</t>
        </is>
      </c>
      <c r="Q1253" s="5" t="inlineStr">
        <is>
          <t>4</t>
        </is>
      </c>
      <c r="R1253" s="5" t="inlineStr">
        <is>
          <t>5</t>
        </is>
      </c>
      <c r="S1253" s="5" t="inlineStr">
        <is>
          <t>37</t>
        </is>
      </c>
      <c r="T1253" s="5" t="inlineStr">
        <is>
          <t>0</t>
        </is>
      </c>
      <c r="U1253" s="5">
        <f>IFS(C1253&lt;30,"Under 30",C1253&lt;40,"30-39",C1253&lt;50,"40-49",TRUE,"50+")</f>
        <v/>
      </c>
      <c r="V1253" s="5">
        <f>IFS(O1253&lt;60000,"Low (&lt;60k)",O1253&lt;100000,"Mid (60-100k)",TRUE,"High (100k+)")</f>
        <v/>
      </c>
      <c r="W1253" s="5">
        <f>IF(M1253="No","Attrited","Active")</f>
        <v/>
      </c>
    </row>
    <row r="1254">
      <c r="A1254" s="5" t="inlineStr">
        <is>
          <t>E01253</t>
        </is>
      </c>
      <c r="B1254" s="5" t="inlineStr">
        <is>
          <t>Female</t>
        </is>
      </c>
      <c r="C1254" s="6" t="inlineStr">
        <is>
          <t>32</t>
        </is>
      </c>
      <c r="D1254" s="5" t="inlineStr">
        <is>
          <t>Married</t>
        </is>
      </c>
      <c r="E1254" s="5" t="inlineStr">
        <is>
          <t>PhD</t>
        </is>
      </c>
      <c r="F1254" s="5" t="inlineStr">
        <is>
          <t>Operations</t>
        </is>
      </c>
      <c r="G1254" s="5" t="inlineStr">
        <is>
          <t>Operations Analyst</t>
        </is>
      </c>
      <c r="H1254" s="5" t="inlineStr">
        <is>
          <t>1</t>
        </is>
      </c>
      <c r="I1254" s="5" t="inlineStr">
        <is>
          <t>Remote</t>
        </is>
      </c>
      <c r="J1254" s="5" t="inlineStr">
        <is>
          <t>Full-Time</t>
        </is>
      </c>
      <c r="K1254" s="7" t="n">
        <v>45851</v>
      </c>
      <c r="L1254" s="7" t="inlineStr"/>
      <c r="M1254" s="5" t="inlineStr">
        <is>
          <t>Yes</t>
        </is>
      </c>
      <c r="N1254" s="5" t="inlineStr"/>
      <c r="O1254" s="8" t="inlineStr">
        <is>
          <t>74000</t>
        </is>
      </c>
      <c r="P1254" s="5" t="inlineStr">
        <is>
          <t>10</t>
        </is>
      </c>
      <c r="Q1254" s="5" t="inlineStr">
        <is>
          <t>3</t>
        </is>
      </c>
      <c r="R1254" s="5" t="inlineStr">
        <is>
          <t>7</t>
        </is>
      </c>
      <c r="S1254" s="5" t="inlineStr">
        <is>
          <t>5</t>
        </is>
      </c>
      <c r="T1254" s="5" t="inlineStr">
        <is>
          <t>0</t>
        </is>
      </c>
      <c r="U1254" s="5">
        <f>IFS(C1254&lt;30,"Under 30",C1254&lt;40,"30-39",C1254&lt;50,"40-49",TRUE,"50+")</f>
        <v/>
      </c>
      <c r="V1254" s="5">
        <f>IFS(O1254&lt;60000,"Low (&lt;60k)",O1254&lt;100000,"Mid (60-100k)",TRUE,"High (100k+)")</f>
        <v/>
      </c>
      <c r="W1254" s="5">
        <f>IF(M1254="No","Attrited","Active")</f>
        <v/>
      </c>
    </row>
    <row r="1255">
      <c r="A1255" s="5" t="inlineStr">
        <is>
          <t>E01254</t>
        </is>
      </c>
      <c r="B1255" s="5" t="inlineStr">
        <is>
          <t>Female</t>
        </is>
      </c>
      <c r="C1255" s="6" t="inlineStr">
        <is>
          <t>32</t>
        </is>
      </c>
      <c r="D1255" s="5" t="inlineStr">
        <is>
          <t>Single</t>
        </is>
      </c>
      <c r="E1255" s="5" t="inlineStr">
        <is>
          <t>Bachelor</t>
        </is>
      </c>
      <c r="F1255" s="5" t="inlineStr">
        <is>
          <t>Marketing</t>
        </is>
      </c>
      <c r="G1255" s="5" t="inlineStr">
        <is>
          <t>Marketing Analyst</t>
        </is>
      </c>
      <c r="H1255" s="5" t="inlineStr">
        <is>
          <t>3</t>
        </is>
      </c>
      <c r="I1255" s="5" t="inlineStr">
        <is>
          <t>Bengaluru</t>
        </is>
      </c>
      <c r="J1255" s="5" t="inlineStr">
        <is>
          <t>Full-Time</t>
        </is>
      </c>
      <c r="K1255" s="7" t="n">
        <v>44086</v>
      </c>
      <c r="L1255" s="7" t="inlineStr"/>
      <c r="M1255" s="5" t="inlineStr">
        <is>
          <t>Yes</t>
        </is>
      </c>
      <c r="N1255" s="5" t="inlineStr"/>
      <c r="O1255" s="8" t="inlineStr">
        <is>
          <t>96000</t>
        </is>
      </c>
      <c r="P1255" s="5" t="inlineStr">
        <is>
          <t>5</t>
        </is>
      </c>
      <c r="Q1255" s="5" t="inlineStr">
        <is>
          <t>3</t>
        </is>
      </c>
      <c r="R1255" s="5" t="inlineStr">
        <is>
          <t>10</t>
        </is>
      </c>
      <c r="S1255" s="5" t="inlineStr">
        <is>
          <t>64</t>
        </is>
      </c>
      <c r="T1255" s="5" t="inlineStr">
        <is>
          <t>3</t>
        </is>
      </c>
      <c r="U1255" s="5">
        <f>IFS(C1255&lt;30,"Under 30",C1255&lt;40,"30-39",C1255&lt;50,"40-49",TRUE,"50+")</f>
        <v/>
      </c>
      <c r="V1255" s="5">
        <f>IFS(O1255&lt;60000,"Low (&lt;60k)",O1255&lt;100000,"Mid (60-100k)",TRUE,"High (100k+)")</f>
        <v/>
      </c>
      <c r="W1255" s="5">
        <f>IF(M1255="No","Attrited","Active")</f>
        <v/>
      </c>
    </row>
    <row r="1256">
      <c r="A1256" s="5" t="inlineStr">
        <is>
          <t>E01255</t>
        </is>
      </c>
      <c r="B1256" s="5" t="inlineStr">
        <is>
          <t>Female</t>
        </is>
      </c>
      <c r="C1256" s="6" t="inlineStr">
        <is>
          <t>40</t>
        </is>
      </c>
      <c r="D1256" s="5" t="inlineStr">
        <is>
          <t>Married</t>
        </is>
      </c>
      <c r="E1256" s="5" t="inlineStr">
        <is>
          <t>PhD</t>
        </is>
      </c>
      <c r="F1256" s="5" t="inlineStr">
        <is>
          <t>Customer Support</t>
        </is>
      </c>
      <c r="G1256" s="5" t="inlineStr">
        <is>
          <t>Escalation Specialist</t>
        </is>
      </c>
      <c r="H1256" s="5" t="inlineStr">
        <is>
          <t>5</t>
        </is>
      </c>
      <c r="I1256" s="5" t="inlineStr">
        <is>
          <t>Mumbai</t>
        </is>
      </c>
      <c r="J1256" s="5" t="inlineStr">
        <is>
          <t>Full-Time</t>
        </is>
      </c>
      <c r="K1256" s="7" t="n">
        <v>44902</v>
      </c>
      <c r="L1256" s="7" t="n">
        <v>44943</v>
      </c>
      <c r="M1256" s="5" t="inlineStr">
        <is>
          <t>No</t>
        </is>
      </c>
      <c r="N1256" s="5" t="inlineStr">
        <is>
          <t>Resigned</t>
        </is>
      </c>
      <c r="O1256" s="8" t="inlineStr">
        <is>
          <t>79000</t>
        </is>
      </c>
      <c r="P1256" s="5" t="inlineStr">
        <is>
          <t>5</t>
        </is>
      </c>
      <c r="Q1256" s="5" t="inlineStr">
        <is>
          <t>2</t>
        </is>
      </c>
      <c r="R1256" s="5" t="inlineStr">
        <is>
          <t>6</t>
        </is>
      </c>
      <c r="S1256" s="5" t="inlineStr">
        <is>
          <t>1</t>
        </is>
      </c>
      <c r="T1256" s="5" t="inlineStr">
        <is>
          <t>5</t>
        </is>
      </c>
      <c r="U1256" s="5">
        <f>IFS(C1256&lt;30,"Under 30",C1256&lt;40,"30-39",C1256&lt;50,"40-49",TRUE,"50+")</f>
        <v/>
      </c>
      <c r="V1256" s="5">
        <f>IFS(O1256&lt;60000,"Low (&lt;60k)",O1256&lt;100000,"Mid (60-100k)",TRUE,"High (100k+)")</f>
        <v/>
      </c>
      <c r="W1256" s="5">
        <f>IF(M1256="No","Attrited","Active")</f>
        <v/>
      </c>
    </row>
    <row r="1257">
      <c r="A1257" s="5" t="inlineStr">
        <is>
          <t>E01256</t>
        </is>
      </c>
      <c r="B1257" s="5" t="inlineStr">
        <is>
          <t>Female</t>
        </is>
      </c>
      <c r="C1257" s="6" t="inlineStr">
        <is>
          <t>40</t>
        </is>
      </c>
      <c r="D1257" s="5" t="inlineStr">
        <is>
          <t>Divorced</t>
        </is>
      </c>
      <c r="E1257" s="5" t="inlineStr">
        <is>
          <t>Master</t>
        </is>
      </c>
      <c r="F1257" s="5" t="inlineStr">
        <is>
          <t>Customer Support</t>
        </is>
      </c>
      <c r="G1257" s="5" t="inlineStr">
        <is>
          <t>Support Agent</t>
        </is>
      </c>
      <c r="H1257" s="5" t="inlineStr">
        <is>
          <t>4</t>
        </is>
      </c>
      <c r="I1257" s="5" t="inlineStr">
        <is>
          <t>Bengaluru</t>
        </is>
      </c>
      <c r="J1257" s="5" t="inlineStr">
        <is>
          <t>Part-Time</t>
        </is>
      </c>
      <c r="K1257" s="7" t="n">
        <v>44006</v>
      </c>
      <c r="L1257" s="7" t="n">
        <v>44131</v>
      </c>
      <c r="M1257" s="5" t="inlineStr">
        <is>
          <t>No</t>
        </is>
      </c>
      <c r="N1257" s="5" t="inlineStr">
        <is>
          <t>Resigned</t>
        </is>
      </c>
      <c r="O1257" s="8" t="inlineStr">
        <is>
          <t>83000</t>
        </is>
      </c>
      <c r="P1257" s="5" t="inlineStr">
        <is>
          <t>0</t>
        </is>
      </c>
      <c r="Q1257" s="5" t="inlineStr">
        <is>
          <t>2</t>
        </is>
      </c>
      <c r="R1257" s="5" t="inlineStr">
        <is>
          <t>7</t>
        </is>
      </c>
      <c r="S1257" s="5" t="inlineStr">
        <is>
          <t>4</t>
        </is>
      </c>
      <c r="T1257" s="5" t="inlineStr">
        <is>
          <t>23</t>
        </is>
      </c>
      <c r="U1257" s="5">
        <f>IFS(C1257&lt;30,"Under 30",C1257&lt;40,"30-39",C1257&lt;50,"40-49",TRUE,"50+")</f>
        <v/>
      </c>
      <c r="V1257" s="5">
        <f>IFS(O1257&lt;60000,"Low (&lt;60k)",O1257&lt;100000,"Mid (60-100k)",TRUE,"High (100k+)")</f>
        <v/>
      </c>
      <c r="W1257" s="5">
        <f>IF(M1257="No","Attrited","Active")</f>
        <v/>
      </c>
    </row>
    <row r="1258">
      <c r="A1258" s="5" t="inlineStr">
        <is>
          <t>E01257</t>
        </is>
      </c>
      <c r="B1258" s="5" t="inlineStr">
        <is>
          <t>Male</t>
        </is>
      </c>
      <c r="C1258" s="6" t="inlineStr">
        <is>
          <t>34</t>
        </is>
      </c>
      <c r="D1258" s="5" t="inlineStr">
        <is>
          <t>Married</t>
        </is>
      </c>
      <c r="E1258" s="5" t="inlineStr">
        <is>
          <t>Master</t>
        </is>
      </c>
      <c r="F1258" s="5" t="inlineStr">
        <is>
          <t>Customer Support</t>
        </is>
      </c>
      <c r="G1258" s="5" t="inlineStr">
        <is>
          <t>Support Agent</t>
        </is>
      </c>
      <c r="H1258" s="5" t="inlineStr">
        <is>
          <t>5</t>
        </is>
      </c>
      <c r="I1258" s="5" t="inlineStr">
        <is>
          <t>Mumbai</t>
        </is>
      </c>
      <c r="J1258" s="5" t="inlineStr">
        <is>
          <t>Full-Time</t>
        </is>
      </c>
      <c r="K1258" s="7" t="n">
        <v>45333</v>
      </c>
      <c r="L1258" s="7" t="inlineStr"/>
      <c r="M1258" s="5" t="inlineStr">
        <is>
          <t>Yes</t>
        </is>
      </c>
      <c r="N1258" s="5" t="inlineStr"/>
      <c r="O1258" s="8" t="inlineStr">
        <is>
          <t>107500</t>
        </is>
      </c>
      <c r="P1258" s="5" t="inlineStr">
        <is>
          <t>5</t>
        </is>
      </c>
      <c r="Q1258" s="5" t="inlineStr">
        <is>
          <t>3</t>
        </is>
      </c>
      <c r="R1258" s="5" t="inlineStr">
        <is>
          <t>6</t>
        </is>
      </c>
      <c r="S1258" s="5" t="inlineStr">
        <is>
          <t>22</t>
        </is>
      </c>
      <c r="T1258" s="5" t="inlineStr">
        <is>
          <t>6</t>
        </is>
      </c>
      <c r="U1258" s="5">
        <f>IFS(C1258&lt;30,"Under 30",C1258&lt;40,"30-39",C1258&lt;50,"40-49",TRUE,"50+")</f>
        <v/>
      </c>
      <c r="V1258" s="5">
        <f>IFS(O1258&lt;60000,"Low (&lt;60k)",O1258&lt;100000,"Mid (60-100k)",TRUE,"High (100k+)")</f>
        <v/>
      </c>
      <c r="W1258" s="5">
        <f>IF(M1258="No","Attrited","Active")</f>
        <v/>
      </c>
    </row>
    <row r="1259">
      <c r="A1259" s="5" t="inlineStr">
        <is>
          <t>E01258</t>
        </is>
      </c>
      <c r="B1259" s="5" t="inlineStr">
        <is>
          <t>Female</t>
        </is>
      </c>
      <c r="C1259" s="6" t="inlineStr">
        <is>
          <t>31</t>
        </is>
      </c>
      <c r="D1259" s="5" t="inlineStr">
        <is>
          <t>Single</t>
        </is>
      </c>
      <c r="E1259" s="5" t="inlineStr">
        <is>
          <t>Bachelor</t>
        </is>
      </c>
      <c r="F1259" s="5" t="inlineStr">
        <is>
          <t>IT</t>
        </is>
      </c>
      <c r="G1259" s="5" t="inlineStr">
        <is>
          <t>DevOps Engineer</t>
        </is>
      </c>
      <c r="H1259" s="5" t="inlineStr">
        <is>
          <t>3</t>
        </is>
      </c>
      <c r="I1259" s="5" t="inlineStr">
        <is>
          <t>Hyderabad</t>
        </is>
      </c>
      <c r="J1259" s="5" t="inlineStr">
        <is>
          <t>Full-Time</t>
        </is>
      </c>
      <c r="K1259" s="7" t="n">
        <v>43897</v>
      </c>
      <c r="L1259" s="7" t="inlineStr"/>
      <c r="M1259" s="5" t="inlineStr">
        <is>
          <t>Yes</t>
        </is>
      </c>
      <c r="N1259" s="5" t="inlineStr"/>
      <c r="O1259" s="8" t="inlineStr">
        <is>
          <t>180000</t>
        </is>
      </c>
      <c r="P1259" s="5" t="inlineStr">
        <is>
          <t>0</t>
        </is>
      </c>
      <c r="Q1259" s="5" t="inlineStr">
        <is>
          <t>4</t>
        </is>
      </c>
      <c r="R1259" s="5" t="inlineStr">
        <is>
          <t>5</t>
        </is>
      </c>
      <c r="S1259" s="5" t="inlineStr">
        <is>
          <t>70</t>
        </is>
      </c>
      <c r="T1259" s="5" t="inlineStr">
        <is>
          <t>2</t>
        </is>
      </c>
      <c r="U1259" s="5">
        <f>IFS(C1259&lt;30,"Under 30",C1259&lt;40,"30-39",C1259&lt;50,"40-49",TRUE,"50+")</f>
        <v/>
      </c>
      <c r="V1259" s="5">
        <f>IFS(O1259&lt;60000,"Low (&lt;60k)",O1259&lt;100000,"Mid (60-100k)",TRUE,"High (100k+)")</f>
        <v/>
      </c>
      <c r="W1259" s="5">
        <f>IF(M1259="No","Attrited","Active")</f>
        <v/>
      </c>
    </row>
    <row r="1260">
      <c r="A1260" s="5" t="inlineStr">
        <is>
          <t>E01259</t>
        </is>
      </c>
      <c r="B1260" s="5" t="inlineStr">
        <is>
          <t>Female</t>
        </is>
      </c>
      <c r="C1260" s="6" t="inlineStr">
        <is>
          <t>32</t>
        </is>
      </c>
      <c r="D1260" s="5" t="inlineStr">
        <is>
          <t>Married</t>
        </is>
      </c>
      <c r="E1260" s="5" t="inlineStr">
        <is>
          <t>Diploma</t>
        </is>
      </c>
      <c r="F1260" s="5" t="inlineStr">
        <is>
          <t>Operations</t>
        </is>
      </c>
      <c r="G1260" s="5" t="inlineStr">
        <is>
          <t>Operations Analyst</t>
        </is>
      </c>
      <c r="H1260" s="5" t="inlineStr">
        <is>
          <t>3</t>
        </is>
      </c>
      <c r="I1260" s="5" t="inlineStr">
        <is>
          <t>Bengaluru</t>
        </is>
      </c>
      <c r="J1260" s="5" t="inlineStr">
        <is>
          <t>Full-Time</t>
        </is>
      </c>
      <c r="K1260" s="7" t="n">
        <v>43889</v>
      </c>
      <c r="L1260" s="7" t="n">
        <v>43990</v>
      </c>
      <c r="M1260" s="5" t="inlineStr">
        <is>
          <t>No</t>
        </is>
      </c>
      <c r="N1260" s="5" t="inlineStr">
        <is>
          <t>Relocation</t>
        </is>
      </c>
      <c r="O1260" s="8" t="inlineStr">
        <is>
          <t>89000</t>
        </is>
      </c>
      <c r="P1260" s="5" t="inlineStr">
        <is>
          <t>5</t>
        </is>
      </c>
      <c r="Q1260" s="5" t="inlineStr">
        <is>
          <t>4</t>
        </is>
      </c>
      <c r="R1260" s="5" t="inlineStr">
        <is>
          <t>5</t>
        </is>
      </c>
      <c r="S1260" s="5" t="inlineStr">
        <is>
          <t>3</t>
        </is>
      </c>
      <c r="T1260" s="5" t="inlineStr">
        <is>
          <t>6</t>
        </is>
      </c>
      <c r="U1260" s="5">
        <f>IFS(C1260&lt;30,"Under 30",C1260&lt;40,"30-39",C1260&lt;50,"40-49",TRUE,"50+")</f>
        <v/>
      </c>
      <c r="V1260" s="5">
        <f>IFS(O1260&lt;60000,"Low (&lt;60k)",O1260&lt;100000,"Mid (60-100k)",TRUE,"High (100k+)")</f>
        <v/>
      </c>
      <c r="W1260" s="5">
        <f>IF(M1260="No","Attrited","Active")</f>
        <v/>
      </c>
    </row>
    <row r="1261">
      <c r="A1261" s="5" t="inlineStr">
        <is>
          <t>E01260</t>
        </is>
      </c>
      <c r="B1261" s="5" t="inlineStr">
        <is>
          <t>Female</t>
        </is>
      </c>
      <c r="C1261" s="6" t="inlineStr">
        <is>
          <t>23</t>
        </is>
      </c>
      <c r="D1261" s="5" t="inlineStr">
        <is>
          <t>Married</t>
        </is>
      </c>
      <c r="E1261" s="5" t="inlineStr">
        <is>
          <t>High School</t>
        </is>
      </c>
      <c r="F1261" s="5" t="inlineStr">
        <is>
          <t>Sales</t>
        </is>
      </c>
      <c r="G1261" s="5" t="inlineStr">
        <is>
          <t>Business Development</t>
        </is>
      </c>
      <c r="H1261" s="5" t="inlineStr">
        <is>
          <t>1</t>
        </is>
      </c>
      <c r="I1261" s="5" t="inlineStr">
        <is>
          <t>Delhi</t>
        </is>
      </c>
      <c r="J1261" s="5" t="inlineStr">
        <is>
          <t>Full-Time</t>
        </is>
      </c>
      <c r="K1261" s="7" t="n">
        <v>44620</v>
      </c>
      <c r="L1261" s="7" t="inlineStr"/>
      <c r="M1261" s="5" t="inlineStr">
        <is>
          <t>Yes</t>
        </is>
      </c>
      <c r="N1261" s="5" t="inlineStr"/>
      <c r="O1261" s="8" t="inlineStr">
        <is>
          <t>75000</t>
        </is>
      </c>
      <c r="P1261" s="5" t="inlineStr">
        <is>
          <t>0</t>
        </is>
      </c>
      <c r="Q1261" s="5" t="inlineStr">
        <is>
          <t>4</t>
        </is>
      </c>
      <c r="R1261" s="5" t="inlineStr">
        <is>
          <t>8</t>
        </is>
      </c>
      <c r="S1261" s="5" t="inlineStr">
        <is>
          <t>46</t>
        </is>
      </c>
      <c r="T1261" s="5" t="inlineStr">
        <is>
          <t>9</t>
        </is>
      </c>
      <c r="U1261" s="5">
        <f>IFS(C1261&lt;30,"Under 30",C1261&lt;40,"30-39",C1261&lt;50,"40-49",TRUE,"50+")</f>
        <v/>
      </c>
      <c r="V1261" s="5">
        <f>IFS(O1261&lt;60000,"Low (&lt;60k)",O1261&lt;100000,"Mid (60-100k)",TRUE,"High (100k+)")</f>
        <v/>
      </c>
      <c r="W1261" s="5">
        <f>IF(M1261="No","Attrited","Active")</f>
        <v/>
      </c>
    </row>
    <row r="1262">
      <c r="A1262" s="5" t="inlineStr">
        <is>
          <t>E01261</t>
        </is>
      </c>
      <c r="B1262" s="5" t="inlineStr">
        <is>
          <t>Male</t>
        </is>
      </c>
      <c r="C1262" s="6" t="inlineStr">
        <is>
          <t>38</t>
        </is>
      </c>
      <c r="D1262" s="5" t="inlineStr">
        <is>
          <t>Married</t>
        </is>
      </c>
      <c r="E1262" s="5" t="inlineStr">
        <is>
          <t>PhD</t>
        </is>
      </c>
      <c r="F1262" s="5" t="inlineStr">
        <is>
          <t>Operations</t>
        </is>
      </c>
      <c r="G1262" s="5" t="inlineStr">
        <is>
          <t>Operations Analyst</t>
        </is>
      </c>
      <c r="H1262" s="5" t="inlineStr">
        <is>
          <t>5</t>
        </is>
      </c>
      <c r="I1262" s="5" t="inlineStr">
        <is>
          <t>Remote</t>
        </is>
      </c>
      <c r="J1262" s="5" t="inlineStr">
        <is>
          <t>Full-Time</t>
        </is>
      </c>
      <c r="K1262" s="7" t="n">
        <v>43867</v>
      </c>
      <c r="L1262" s="7" t="inlineStr"/>
      <c r="M1262" s="5" t="inlineStr">
        <is>
          <t>Yes</t>
        </is>
      </c>
      <c r="N1262" s="5" t="inlineStr"/>
      <c r="O1262" s="8" t="inlineStr">
        <is>
          <t>87500</t>
        </is>
      </c>
      <c r="P1262" s="5" t="inlineStr">
        <is>
          <t>10</t>
        </is>
      </c>
      <c r="Q1262" s="5" t="inlineStr">
        <is>
          <t>1</t>
        </is>
      </c>
      <c r="R1262" s="5" t="inlineStr">
        <is>
          <t>3</t>
        </is>
      </c>
      <c r="S1262" s="5" t="inlineStr">
        <is>
          <t>71</t>
        </is>
      </c>
      <c r="T1262" s="5" t="inlineStr">
        <is>
          <t>4</t>
        </is>
      </c>
      <c r="U1262" s="5">
        <f>IFS(C1262&lt;30,"Under 30",C1262&lt;40,"30-39",C1262&lt;50,"40-49",TRUE,"50+")</f>
        <v/>
      </c>
      <c r="V1262" s="5">
        <f>IFS(O1262&lt;60000,"Low (&lt;60k)",O1262&lt;100000,"Mid (60-100k)",TRUE,"High (100k+)")</f>
        <v/>
      </c>
      <c r="W1262" s="5">
        <f>IF(M1262="No","Attrited","Active")</f>
        <v/>
      </c>
    </row>
    <row r="1263">
      <c r="A1263" s="5" t="inlineStr">
        <is>
          <t>E01262</t>
        </is>
      </c>
      <c r="B1263" s="5" t="inlineStr">
        <is>
          <t>Female</t>
        </is>
      </c>
      <c r="C1263" s="6" t="inlineStr">
        <is>
          <t>31</t>
        </is>
      </c>
      <c r="D1263" s="5" t="inlineStr">
        <is>
          <t>Married</t>
        </is>
      </c>
      <c r="E1263" s="5" t="inlineStr">
        <is>
          <t>High School</t>
        </is>
      </c>
      <c r="F1263" s="5" t="inlineStr">
        <is>
          <t>Operations</t>
        </is>
      </c>
      <c r="G1263" s="5" t="inlineStr">
        <is>
          <t>Operations Analyst</t>
        </is>
      </c>
      <c r="H1263" s="5" t="inlineStr">
        <is>
          <t>2</t>
        </is>
      </c>
      <c r="I1263" s="5" t="inlineStr">
        <is>
          <t>Bengaluru</t>
        </is>
      </c>
      <c r="J1263" s="5" t="inlineStr">
        <is>
          <t>Full-Time</t>
        </is>
      </c>
      <c r="K1263" s="7" t="n">
        <v>44526</v>
      </c>
      <c r="L1263" s="7" t="n">
        <v>44612</v>
      </c>
      <c r="M1263" s="5" t="inlineStr">
        <is>
          <t>No</t>
        </is>
      </c>
      <c r="N1263" s="5" t="inlineStr">
        <is>
          <t>Resigned</t>
        </is>
      </c>
      <c r="O1263" s="8" t="inlineStr">
        <is>
          <t>104000</t>
        </is>
      </c>
      <c r="P1263" s="5" t="inlineStr">
        <is>
          <t>5</t>
        </is>
      </c>
      <c r="Q1263" s="5" t="inlineStr">
        <is>
          <t>1</t>
        </is>
      </c>
      <c r="R1263" s="5" t="inlineStr">
        <is>
          <t>5</t>
        </is>
      </c>
      <c r="S1263" s="5" t="inlineStr">
        <is>
          <t>2</t>
        </is>
      </c>
      <c r="T1263" s="5" t="inlineStr">
        <is>
          <t>11</t>
        </is>
      </c>
      <c r="U1263" s="5">
        <f>IFS(C1263&lt;30,"Under 30",C1263&lt;40,"30-39",C1263&lt;50,"40-49",TRUE,"50+")</f>
        <v/>
      </c>
      <c r="V1263" s="5">
        <f>IFS(O1263&lt;60000,"Low (&lt;60k)",O1263&lt;100000,"Mid (60-100k)",TRUE,"High (100k+)")</f>
        <v/>
      </c>
      <c r="W1263" s="5">
        <f>IF(M1263="No","Attrited","Active")</f>
        <v/>
      </c>
    </row>
    <row r="1264">
      <c r="A1264" s="5" t="inlineStr">
        <is>
          <t>E01263</t>
        </is>
      </c>
      <c r="B1264" s="5" t="inlineStr">
        <is>
          <t>Female</t>
        </is>
      </c>
      <c r="C1264" s="6" t="inlineStr">
        <is>
          <t>34</t>
        </is>
      </c>
      <c r="D1264" s="5" t="inlineStr">
        <is>
          <t>Married</t>
        </is>
      </c>
      <c r="E1264" s="5" t="inlineStr">
        <is>
          <t>Diploma</t>
        </is>
      </c>
      <c r="F1264" s="5" t="inlineStr">
        <is>
          <t>Operations</t>
        </is>
      </c>
      <c r="G1264" s="5" t="inlineStr">
        <is>
          <t>Logistics Coordinator</t>
        </is>
      </c>
      <c r="H1264" s="5" t="inlineStr">
        <is>
          <t>2</t>
        </is>
      </c>
      <c r="I1264" s="5" t="inlineStr">
        <is>
          <t>Delhi</t>
        </is>
      </c>
      <c r="J1264" s="5" t="inlineStr">
        <is>
          <t>Full-Time</t>
        </is>
      </c>
      <c r="K1264" s="7" t="n">
        <v>45630</v>
      </c>
      <c r="L1264" s="7" t="inlineStr"/>
      <c r="M1264" s="5" t="inlineStr">
        <is>
          <t>Yes</t>
        </is>
      </c>
      <c r="N1264" s="5" t="inlineStr"/>
      <c r="O1264" s="8" t="inlineStr">
        <is>
          <t>69500</t>
        </is>
      </c>
      <c r="P1264" s="5" t="inlineStr">
        <is>
          <t>5</t>
        </is>
      </c>
      <c r="Q1264" s="5" t="inlineStr">
        <is>
          <t>2</t>
        </is>
      </c>
      <c r="R1264" s="5" t="inlineStr">
        <is>
          <t>6</t>
        </is>
      </c>
      <c r="S1264" s="5" t="inlineStr">
        <is>
          <t>13</t>
        </is>
      </c>
      <c r="T1264" s="5" t="inlineStr">
        <is>
          <t>0</t>
        </is>
      </c>
      <c r="U1264" s="5">
        <f>IFS(C1264&lt;30,"Under 30",C1264&lt;40,"30-39",C1264&lt;50,"40-49",TRUE,"50+")</f>
        <v/>
      </c>
      <c r="V1264" s="5">
        <f>IFS(O1264&lt;60000,"Low (&lt;60k)",O1264&lt;100000,"Mid (60-100k)",TRUE,"High (100k+)")</f>
        <v/>
      </c>
      <c r="W1264" s="5">
        <f>IF(M1264="No","Attrited","Active")</f>
        <v/>
      </c>
    </row>
    <row r="1265">
      <c r="A1265" s="5" t="inlineStr">
        <is>
          <t>E01264</t>
        </is>
      </c>
      <c r="B1265" s="5" t="inlineStr">
        <is>
          <t>Female</t>
        </is>
      </c>
      <c r="C1265" s="6" t="inlineStr">
        <is>
          <t>32</t>
        </is>
      </c>
      <c r="D1265" s="5" t="inlineStr">
        <is>
          <t>Single</t>
        </is>
      </c>
      <c r="E1265" s="5" t="inlineStr">
        <is>
          <t>Diploma</t>
        </is>
      </c>
      <c r="F1265" s="5" t="inlineStr">
        <is>
          <t>Human Resources</t>
        </is>
      </c>
      <c r="G1265" s="5" t="inlineStr">
        <is>
          <t>HR Analyst</t>
        </is>
      </c>
      <c r="H1265" s="5" t="inlineStr">
        <is>
          <t>2</t>
        </is>
      </c>
      <c r="I1265" s="5" t="inlineStr">
        <is>
          <t>Remote</t>
        </is>
      </c>
      <c r="J1265" s="5" t="inlineStr">
        <is>
          <t>Full-Time</t>
        </is>
      </c>
      <c r="K1265" s="7" t="n">
        <v>45463</v>
      </c>
      <c r="L1265" s="7" t="inlineStr"/>
      <c r="M1265" s="5" t="inlineStr">
        <is>
          <t>Yes</t>
        </is>
      </c>
      <c r="N1265" s="5" t="inlineStr"/>
      <c r="O1265" s="8" t="inlineStr">
        <is>
          <t>66000</t>
        </is>
      </c>
      <c r="P1265" s="5" t="inlineStr">
        <is>
          <t>0</t>
        </is>
      </c>
      <c r="Q1265" s="5" t="inlineStr">
        <is>
          <t>3</t>
        </is>
      </c>
      <c r="R1265" s="5" t="inlineStr">
        <is>
          <t>5</t>
        </is>
      </c>
      <c r="S1265" s="5" t="inlineStr">
        <is>
          <t>18</t>
        </is>
      </c>
      <c r="T1265" s="5" t="inlineStr">
        <is>
          <t>2</t>
        </is>
      </c>
      <c r="U1265" s="5">
        <f>IFS(C1265&lt;30,"Under 30",C1265&lt;40,"30-39",C1265&lt;50,"40-49",TRUE,"50+")</f>
        <v/>
      </c>
      <c r="V1265" s="5">
        <f>IFS(O1265&lt;60000,"Low (&lt;60k)",O1265&lt;100000,"Mid (60-100k)",TRUE,"High (100k+)")</f>
        <v/>
      </c>
      <c r="W1265" s="5">
        <f>IF(M1265="No","Attrited","Active")</f>
        <v/>
      </c>
    </row>
    <row r="1266">
      <c r="A1266" s="5" t="inlineStr">
        <is>
          <t>E01265</t>
        </is>
      </c>
      <c r="B1266" s="5" t="inlineStr">
        <is>
          <t>Female</t>
        </is>
      </c>
      <c r="C1266" s="6" t="inlineStr">
        <is>
          <t>33</t>
        </is>
      </c>
      <c r="D1266" s="5" t="inlineStr">
        <is>
          <t>Single</t>
        </is>
      </c>
      <c r="E1266" s="5" t="inlineStr">
        <is>
          <t>High School</t>
        </is>
      </c>
      <c r="F1266" s="5" t="inlineStr">
        <is>
          <t>IT</t>
        </is>
      </c>
      <c r="G1266" s="5" t="inlineStr">
        <is>
          <t>IT Support</t>
        </is>
      </c>
      <c r="H1266" s="5" t="inlineStr">
        <is>
          <t>2</t>
        </is>
      </c>
      <c r="I1266" s="5" t="inlineStr">
        <is>
          <t>Hyderabad</t>
        </is>
      </c>
      <c r="J1266" s="5" t="inlineStr">
        <is>
          <t>Full-Time</t>
        </is>
      </c>
      <c r="K1266" s="7" t="n">
        <v>44199</v>
      </c>
      <c r="L1266" s="7" t="n">
        <v>44276</v>
      </c>
      <c r="M1266" s="5" t="inlineStr">
        <is>
          <t>No</t>
        </is>
      </c>
      <c r="N1266" s="5" t="inlineStr">
        <is>
          <t>Resigned</t>
        </is>
      </c>
      <c r="O1266" s="8" t="inlineStr">
        <is>
          <t>96000</t>
        </is>
      </c>
      <c r="P1266" s="5" t="inlineStr">
        <is>
          <t>0</t>
        </is>
      </c>
      <c r="Q1266" s="5" t="inlineStr">
        <is>
          <t>5</t>
        </is>
      </c>
      <c r="R1266" s="5" t="inlineStr">
        <is>
          <t>9</t>
        </is>
      </c>
      <c r="S1266" s="5" t="inlineStr">
        <is>
          <t>2</t>
        </is>
      </c>
      <c r="T1266" s="5" t="inlineStr">
        <is>
          <t>7</t>
        </is>
      </c>
      <c r="U1266" s="5">
        <f>IFS(C1266&lt;30,"Under 30",C1266&lt;40,"30-39",C1266&lt;50,"40-49",TRUE,"50+")</f>
        <v/>
      </c>
      <c r="V1266" s="5">
        <f>IFS(O1266&lt;60000,"Low (&lt;60k)",O1266&lt;100000,"Mid (60-100k)",TRUE,"High (100k+)")</f>
        <v/>
      </c>
      <c r="W1266" s="5">
        <f>IF(M1266="No","Attrited","Active")</f>
        <v/>
      </c>
    </row>
    <row r="1267">
      <c r="A1267" s="5" t="inlineStr">
        <is>
          <t>E01266</t>
        </is>
      </c>
      <c r="B1267" s="5" t="inlineStr">
        <is>
          <t>Male</t>
        </is>
      </c>
      <c r="C1267" s="6" t="inlineStr">
        <is>
          <t>31</t>
        </is>
      </c>
      <c r="D1267" s="5" t="inlineStr">
        <is>
          <t>Single</t>
        </is>
      </c>
      <c r="E1267" s="5" t="inlineStr">
        <is>
          <t>PhD</t>
        </is>
      </c>
      <c r="F1267" s="5" t="inlineStr">
        <is>
          <t>IT</t>
        </is>
      </c>
      <c r="G1267" s="5" t="inlineStr">
        <is>
          <t>Data Analyst</t>
        </is>
      </c>
      <c r="H1267" s="5" t="inlineStr">
        <is>
          <t>3</t>
        </is>
      </c>
      <c r="I1267" s="5" t="inlineStr">
        <is>
          <t>Delhi</t>
        </is>
      </c>
      <c r="J1267" s="5" t="inlineStr">
        <is>
          <t>Full-Time</t>
        </is>
      </c>
      <c r="K1267" s="7" t="n">
        <v>45121</v>
      </c>
      <c r="L1267" s="7" t="inlineStr"/>
      <c r="M1267" s="5" t="inlineStr">
        <is>
          <t>Yes</t>
        </is>
      </c>
      <c r="N1267" s="5" t="inlineStr"/>
      <c r="O1267" s="8" t="inlineStr">
        <is>
          <t>130000</t>
        </is>
      </c>
      <c r="P1267" s="5" t="inlineStr">
        <is>
          <t>10</t>
        </is>
      </c>
      <c r="Q1267" s="5" t="inlineStr">
        <is>
          <t>4</t>
        </is>
      </c>
      <c r="R1267" s="5" t="inlineStr">
        <is>
          <t>8</t>
        </is>
      </c>
      <c r="S1267" s="5" t="inlineStr">
        <is>
          <t>30</t>
        </is>
      </c>
      <c r="T1267" s="5" t="inlineStr">
        <is>
          <t>7</t>
        </is>
      </c>
      <c r="U1267" s="5">
        <f>IFS(C1267&lt;30,"Under 30",C1267&lt;40,"30-39",C1267&lt;50,"40-49",TRUE,"50+")</f>
        <v/>
      </c>
      <c r="V1267" s="5">
        <f>IFS(O1267&lt;60000,"Low (&lt;60k)",O1267&lt;100000,"Mid (60-100k)",TRUE,"High (100k+)")</f>
        <v/>
      </c>
      <c r="W1267" s="5">
        <f>IF(M1267="No","Attrited","Active")</f>
        <v/>
      </c>
    </row>
    <row r="1268">
      <c r="A1268" s="5" t="inlineStr">
        <is>
          <t>E01267</t>
        </is>
      </c>
      <c r="B1268" s="5" t="inlineStr">
        <is>
          <t>Female</t>
        </is>
      </c>
      <c r="C1268" s="6" t="inlineStr">
        <is>
          <t>33</t>
        </is>
      </c>
      <c r="D1268" s="5" t="inlineStr">
        <is>
          <t>Married</t>
        </is>
      </c>
      <c r="E1268" s="5" t="inlineStr">
        <is>
          <t>PhD</t>
        </is>
      </c>
      <c r="F1268" s="5" t="inlineStr">
        <is>
          <t>Human Resources</t>
        </is>
      </c>
      <c r="G1268" s="5" t="inlineStr">
        <is>
          <t>HR Analyst</t>
        </is>
      </c>
      <c r="H1268" s="5" t="inlineStr">
        <is>
          <t>2</t>
        </is>
      </c>
      <c r="I1268" s="5" t="inlineStr">
        <is>
          <t>Mumbai</t>
        </is>
      </c>
      <c r="J1268" s="5" t="inlineStr">
        <is>
          <t>Full-Time</t>
        </is>
      </c>
      <c r="K1268" s="7" t="n">
        <v>43958</v>
      </c>
      <c r="L1268" s="7" t="inlineStr"/>
      <c r="M1268" s="5" t="inlineStr">
        <is>
          <t>Yes</t>
        </is>
      </c>
      <c r="N1268" s="5" t="inlineStr"/>
      <c r="O1268" s="8" t="inlineStr">
        <is>
          <t>83500</t>
        </is>
      </c>
      <c r="P1268" s="5" t="inlineStr">
        <is>
          <t>5</t>
        </is>
      </c>
      <c r="Q1268" s="5" t="inlineStr">
        <is>
          <t>3</t>
        </is>
      </c>
      <c r="R1268" s="5" t="inlineStr">
        <is>
          <t>4</t>
        </is>
      </c>
      <c r="S1268" s="5" t="inlineStr">
        <is>
          <t>68</t>
        </is>
      </c>
      <c r="T1268" s="5" t="inlineStr">
        <is>
          <t>9</t>
        </is>
      </c>
      <c r="U1268" s="5">
        <f>IFS(C1268&lt;30,"Under 30",C1268&lt;40,"30-39",C1268&lt;50,"40-49",TRUE,"50+")</f>
        <v/>
      </c>
      <c r="V1268" s="5">
        <f>IFS(O1268&lt;60000,"Low (&lt;60k)",O1268&lt;100000,"Mid (60-100k)",TRUE,"High (100k+)")</f>
        <v/>
      </c>
      <c r="W1268" s="5">
        <f>IF(M1268="No","Attrited","Active")</f>
        <v/>
      </c>
    </row>
    <row r="1269">
      <c r="A1269" s="5" t="inlineStr">
        <is>
          <t>E01268</t>
        </is>
      </c>
      <c r="B1269" s="5" t="inlineStr">
        <is>
          <t>Male</t>
        </is>
      </c>
      <c r="C1269" s="6" t="inlineStr">
        <is>
          <t>33</t>
        </is>
      </c>
      <c r="D1269" s="5" t="inlineStr">
        <is>
          <t>Married</t>
        </is>
      </c>
      <c r="E1269" s="5" t="inlineStr">
        <is>
          <t>Bachelor</t>
        </is>
      </c>
      <c r="F1269" s="5" t="inlineStr">
        <is>
          <t>Sales</t>
        </is>
      </c>
      <c r="G1269" s="5" t="inlineStr">
        <is>
          <t>Account Executive</t>
        </is>
      </c>
      <c r="H1269" s="5" t="inlineStr">
        <is>
          <t>3</t>
        </is>
      </c>
      <c r="I1269" s="5" t="inlineStr">
        <is>
          <t>Mumbai</t>
        </is>
      </c>
      <c r="J1269" s="5" t="inlineStr">
        <is>
          <t>Full-Time</t>
        </is>
      </c>
      <c r="K1269" s="7" t="n">
        <v>45985</v>
      </c>
      <c r="L1269" s="7" t="n">
        <v>46000</v>
      </c>
      <c r="M1269" s="5" t="inlineStr">
        <is>
          <t>No</t>
        </is>
      </c>
      <c r="N1269" s="5" t="inlineStr">
        <is>
          <t>Resigned</t>
        </is>
      </c>
      <c r="O1269" s="8" t="inlineStr">
        <is>
          <t>127000</t>
        </is>
      </c>
      <c r="P1269" s="5" t="inlineStr">
        <is>
          <t>5</t>
        </is>
      </c>
      <c r="Q1269" s="5" t="inlineStr">
        <is>
          <t>5</t>
        </is>
      </c>
      <c r="R1269" s="5" t="inlineStr">
        <is>
          <t>6</t>
        </is>
      </c>
      <c r="S1269" s="5" t="inlineStr">
        <is>
          <t>1</t>
        </is>
      </c>
      <c r="T1269" s="5" t="inlineStr">
        <is>
          <t>15</t>
        </is>
      </c>
      <c r="U1269" s="5">
        <f>IFS(C1269&lt;30,"Under 30",C1269&lt;40,"30-39",C1269&lt;50,"40-49",TRUE,"50+")</f>
        <v/>
      </c>
      <c r="V1269" s="5">
        <f>IFS(O1269&lt;60000,"Low (&lt;60k)",O1269&lt;100000,"Mid (60-100k)",TRUE,"High (100k+)")</f>
        <v/>
      </c>
      <c r="W1269" s="5">
        <f>IF(M1269="No","Attrited","Active")</f>
        <v/>
      </c>
    </row>
    <row r="1270">
      <c r="A1270" s="5" t="inlineStr">
        <is>
          <t>E01269</t>
        </is>
      </c>
      <c r="B1270" s="5" t="inlineStr">
        <is>
          <t>Male</t>
        </is>
      </c>
      <c r="C1270" s="6" t="inlineStr">
        <is>
          <t>34</t>
        </is>
      </c>
      <c r="D1270" s="5" t="inlineStr">
        <is>
          <t>Married</t>
        </is>
      </c>
      <c r="E1270" s="5" t="inlineStr">
        <is>
          <t>Bachelor</t>
        </is>
      </c>
      <c r="F1270" s="5" t="inlineStr">
        <is>
          <t>Customer Support</t>
        </is>
      </c>
      <c r="G1270" s="5" t="inlineStr">
        <is>
          <t>Support Agent</t>
        </is>
      </c>
      <c r="H1270" s="5" t="inlineStr">
        <is>
          <t>1</t>
        </is>
      </c>
      <c r="I1270" s="5" t="inlineStr">
        <is>
          <t>Remote</t>
        </is>
      </c>
      <c r="J1270" s="5" t="inlineStr">
        <is>
          <t>Full-Time</t>
        </is>
      </c>
      <c r="K1270" s="7" t="n">
        <v>44494</v>
      </c>
      <c r="L1270" s="7" t="inlineStr"/>
      <c r="M1270" s="5" t="inlineStr">
        <is>
          <t>Yes</t>
        </is>
      </c>
      <c r="N1270" s="5" t="inlineStr"/>
      <c r="O1270" s="8" t="inlineStr">
        <is>
          <t>66500</t>
        </is>
      </c>
      <c r="P1270" s="5" t="inlineStr">
        <is>
          <t>0</t>
        </is>
      </c>
      <c r="Q1270" s="5" t="inlineStr">
        <is>
          <t>2</t>
        </is>
      </c>
      <c r="R1270" s="5" t="inlineStr">
        <is>
          <t>7</t>
        </is>
      </c>
      <c r="S1270" s="5" t="inlineStr">
        <is>
          <t>50</t>
        </is>
      </c>
      <c r="T1270" s="5" t="inlineStr">
        <is>
          <t>2</t>
        </is>
      </c>
      <c r="U1270" s="5">
        <f>IFS(C1270&lt;30,"Under 30",C1270&lt;40,"30-39",C1270&lt;50,"40-49",TRUE,"50+")</f>
        <v/>
      </c>
      <c r="V1270" s="5">
        <f>IFS(O1270&lt;60000,"Low (&lt;60k)",O1270&lt;100000,"Mid (60-100k)",TRUE,"High (100k+)")</f>
        <v/>
      </c>
      <c r="W1270" s="5">
        <f>IF(M1270="No","Attrited","Active")</f>
        <v/>
      </c>
    </row>
    <row r="1271">
      <c r="A1271" s="5" t="inlineStr">
        <is>
          <t>E01270</t>
        </is>
      </c>
      <c r="B1271" s="5" t="inlineStr">
        <is>
          <t>Male</t>
        </is>
      </c>
      <c r="C1271" s="6" t="inlineStr">
        <is>
          <t>24</t>
        </is>
      </c>
      <c r="D1271" s="5" t="inlineStr">
        <is>
          <t>Married</t>
        </is>
      </c>
      <c r="E1271" s="5" t="inlineStr">
        <is>
          <t>Bachelor</t>
        </is>
      </c>
      <c r="F1271" s="5" t="inlineStr">
        <is>
          <t>Marketing</t>
        </is>
      </c>
      <c r="G1271" s="5" t="inlineStr">
        <is>
          <t>Marketing Analyst</t>
        </is>
      </c>
      <c r="H1271" s="5" t="inlineStr">
        <is>
          <t>1</t>
        </is>
      </c>
      <c r="I1271" s="5" t="inlineStr">
        <is>
          <t>Delhi</t>
        </is>
      </c>
      <c r="J1271" s="5" t="inlineStr">
        <is>
          <t>Full-Time</t>
        </is>
      </c>
      <c r="K1271" s="7" t="n">
        <v>45602</v>
      </c>
      <c r="L1271" s="7" t="inlineStr"/>
      <c r="M1271" s="5" t="inlineStr">
        <is>
          <t>Yes</t>
        </is>
      </c>
      <c r="N1271" s="5" t="inlineStr"/>
      <c r="O1271" s="8" t="inlineStr">
        <is>
          <t>52500</t>
        </is>
      </c>
      <c r="P1271" s="5" t="inlineStr">
        <is>
          <t>15</t>
        </is>
      </c>
      <c r="Q1271" s="5" t="inlineStr">
        <is>
          <t>3</t>
        </is>
      </c>
      <c r="R1271" s="5" t="inlineStr">
        <is>
          <t>4</t>
        </is>
      </c>
      <c r="S1271" s="5" t="inlineStr">
        <is>
          <t>14</t>
        </is>
      </c>
      <c r="T1271" s="5" t="inlineStr">
        <is>
          <t>12</t>
        </is>
      </c>
      <c r="U1271" s="5">
        <f>IFS(C1271&lt;30,"Under 30",C1271&lt;40,"30-39",C1271&lt;50,"40-49",TRUE,"50+")</f>
        <v/>
      </c>
      <c r="V1271" s="5">
        <f>IFS(O1271&lt;60000,"Low (&lt;60k)",O1271&lt;100000,"Mid (60-100k)",TRUE,"High (100k+)")</f>
        <v/>
      </c>
      <c r="W1271" s="5">
        <f>IF(M1271="No","Attrited","Active")</f>
        <v/>
      </c>
    </row>
    <row r="1272">
      <c r="A1272" s="5" t="inlineStr">
        <is>
          <t>E01271</t>
        </is>
      </c>
      <c r="B1272" s="5" t="inlineStr">
        <is>
          <t>Male</t>
        </is>
      </c>
      <c r="C1272" s="6" t="inlineStr">
        <is>
          <t>38</t>
        </is>
      </c>
      <c r="D1272" s="5" t="inlineStr">
        <is>
          <t>Married</t>
        </is>
      </c>
      <c r="E1272" s="5" t="inlineStr">
        <is>
          <t>PhD</t>
        </is>
      </c>
      <c r="F1272" s="5" t="inlineStr">
        <is>
          <t>Sales</t>
        </is>
      </c>
      <c r="G1272" s="5" t="inlineStr">
        <is>
          <t>Sales Executive</t>
        </is>
      </c>
      <c r="H1272" s="5" t="inlineStr">
        <is>
          <t>4</t>
        </is>
      </c>
      <c r="I1272" s="5" t="inlineStr">
        <is>
          <t>Bengaluru</t>
        </is>
      </c>
      <c r="J1272" s="5" t="inlineStr">
        <is>
          <t>Contract</t>
        </is>
      </c>
      <c r="K1272" s="7" t="n">
        <v>44963</v>
      </c>
      <c r="L1272" s="7" t="inlineStr"/>
      <c r="M1272" s="5" t="inlineStr">
        <is>
          <t>Yes</t>
        </is>
      </c>
      <c r="N1272" s="5" t="inlineStr"/>
      <c r="O1272" s="8" t="inlineStr">
        <is>
          <t>129000</t>
        </is>
      </c>
      <c r="P1272" s="5" t="inlineStr">
        <is>
          <t>15</t>
        </is>
      </c>
      <c r="Q1272" s="5" t="inlineStr">
        <is>
          <t>4</t>
        </is>
      </c>
      <c r="R1272" s="5" t="inlineStr">
        <is>
          <t>4</t>
        </is>
      </c>
      <c r="S1272" s="5" t="inlineStr">
        <is>
          <t>35</t>
        </is>
      </c>
      <c r="T1272" s="5" t="inlineStr">
        <is>
          <t>4</t>
        </is>
      </c>
      <c r="U1272" s="5">
        <f>IFS(C1272&lt;30,"Under 30",C1272&lt;40,"30-39",C1272&lt;50,"40-49",TRUE,"50+")</f>
        <v/>
      </c>
      <c r="V1272" s="5">
        <f>IFS(O1272&lt;60000,"Low (&lt;60k)",O1272&lt;100000,"Mid (60-100k)",TRUE,"High (100k+)")</f>
        <v/>
      </c>
      <c r="W1272" s="5">
        <f>IF(M1272="No","Attrited","Active")</f>
        <v/>
      </c>
    </row>
    <row r="1273">
      <c r="A1273" s="5" t="inlineStr">
        <is>
          <t>E01272</t>
        </is>
      </c>
      <c r="B1273" s="5" t="inlineStr">
        <is>
          <t>Female</t>
        </is>
      </c>
      <c r="C1273" s="6" t="inlineStr">
        <is>
          <t>41</t>
        </is>
      </c>
      <c r="D1273" s="5" t="inlineStr">
        <is>
          <t>Married</t>
        </is>
      </c>
      <c r="E1273" s="5" t="inlineStr">
        <is>
          <t>Diploma</t>
        </is>
      </c>
      <c r="F1273" s="5" t="inlineStr">
        <is>
          <t>Sales</t>
        </is>
      </c>
      <c r="G1273" s="5" t="inlineStr">
        <is>
          <t>Account Executive</t>
        </is>
      </c>
      <c r="H1273" s="5" t="inlineStr">
        <is>
          <t>7</t>
        </is>
      </c>
      <c r="I1273" s="5" t="inlineStr">
        <is>
          <t>Delhi</t>
        </is>
      </c>
      <c r="J1273" s="5" t="inlineStr">
        <is>
          <t>Full-Time</t>
        </is>
      </c>
      <c r="K1273" s="7" t="n">
        <v>44117</v>
      </c>
      <c r="L1273" s="7" t="inlineStr"/>
      <c r="M1273" s="5" t="inlineStr">
        <is>
          <t>Yes</t>
        </is>
      </c>
      <c r="N1273" s="5" t="inlineStr"/>
      <c r="O1273" s="8" t="inlineStr">
        <is>
          <t>168500</t>
        </is>
      </c>
      <c r="P1273" s="5" t="inlineStr">
        <is>
          <t>10</t>
        </is>
      </c>
      <c r="Q1273" s="5" t="inlineStr">
        <is>
          <t>5</t>
        </is>
      </c>
      <c r="R1273" s="5" t="inlineStr">
        <is>
          <t>6</t>
        </is>
      </c>
      <c r="S1273" s="5" t="inlineStr">
        <is>
          <t>63</t>
        </is>
      </c>
      <c r="T1273" s="5" t="inlineStr">
        <is>
          <t>0</t>
        </is>
      </c>
      <c r="U1273" s="5">
        <f>IFS(C1273&lt;30,"Under 30",C1273&lt;40,"30-39",C1273&lt;50,"40-49",TRUE,"50+")</f>
        <v/>
      </c>
      <c r="V1273" s="5">
        <f>IFS(O1273&lt;60000,"Low (&lt;60k)",O1273&lt;100000,"Mid (60-100k)",TRUE,"High (100k+)")</f>
        <v/>
      </c>
      <c r="W1273" s="5">
        <f>IF(M1273="No","Attrited","Active")</f>
        <v/>
      </c>
    </row>
    <row r="1274">
      <c r="A1274" s="5" t="inlineStr">
        <is>
          <t>E01273</t>
        </is>
      </c>
      <c r="B1274" s="5" t="inlineStr">
        <is>
          <t>Male</t>
        </is>
      </c>
      <c r="C1274" s="6" t="inlineStr">
        <is>
          <t>35</t>
        </is>
      </c>
      <c r="D1274" s="5" t="inlineStr">
        <is>
          <t>Married</t>
        </is>
      </c>
      <c r="E1274" s="5" t="inlineStr">
        <is>
          <t>Diploma</t>
        </is>
      </c>
      <c r="F1274" s="5" t="inlineStr">
        <is>
          <t>Customer Support</t>
        </is>
      </c>
      <c r="G1274" s="5" t="inlineStr">
        <is>
          <t>Escalation Specialist</t>
        </is>
      </c>
      <c r="H1274" s="5" t="inlineStr">
        <is>
          <t>3</t>
        </is>
      </c>
      <c r="I1274" s="5" t="inlineStr">
        <is>
          <t>Delhi</t>
        </is>
      </c>
      <c r="J1274" s="5" t="inlineStr">
        <is>
          <t>Full-Time</t>
        </is>
      </c>
      <c r="K1274" s="7" t="n">
        <v>45912</v>
      </c>
      <c r="L1274" s="7" t="n">
        <v>46021</v>
      </c>
      <c r="M1274" s="5" t="inlineStr">
        <is>
          <t>No</t>
        </is>
      </c>
      <c r="N1274" s="5" t="inlineStr">
        <is>
          <t>Layoff</t>
        </is>
      </c>
      <c r="O1274" s="8" t="inlineStr">
        <is>
          <t>66500</t>
        </is>
      </c>
      <c r="P1274" s="5" t="inlineStr">
        <is>
          <t>0</t>
        </is>
      </c>
      <c r="Q1274" s="5" t="inlineStr">
        <is>
          <t>4</t>
        </is>
      </c>
      <c r="R1274" s="5" t="inlineStr">
        <is>
          <t>5</t>
        </is>
      </c>
      <c r="S1274" s="5" t="inlineStr">
        <is>
          <t>3</t>
        </is>
      </c>
      <c r="T1274" s="5" t="inlineStr">
        <is>
          <t>1</t>
        </is>
      </c>
      <c r="U1274" s="5">
        <f>IFS(C1274&lt;30,"Under 30",C1274&lt;40,"30-39",C1274&lt;50,"40-49",TRUE,"50+")</f>
        <v/>
      </c>
      <c r="V1274" s="5">
        <f>IFS(O1274&lt;60000,"Low (&lt;60k)",O1274&lt;100000,"Mid (60-100k)",TRUE,"High (100k+)")</f>
        <v/>
      </c>
      <c r="W1274" s="5">
        <f>IF(M1274="No","Attrited","Active")</f>
        <v/>
      </c>
    </row>
    <row r="1275">
      <c r="A1275" s="5" t="inlineStr">
        <is>
          <t>E01274</t>
        </is>
      </c>
      <c r="B1275" s="5" t="inlineStr">
        <is>
          <t>Male</t>
        </is>
      </c>
      <c r="C1275" s="6" t="inlineStr">
        <is>
          <t>36</t>
        </is>
      </c>
      <c r="D1275" s="5" t="inlineStr">
        <is>
          <t>Married</t>
        </is>
      </c>
      <c r="E1275" s="5" t="inlineStr">
        <is>
          <t>Master</t>
        </is>
      </c>
      <c r="F1275" s="5" t="inlineStr">
        <is>
          <t>Operations</t>
        </is>
      </c>
      <c r="G1275" s="5" t="inlineStr">
        <is>
          <t>Logistics Coordinator</t>
        </is>
      </c>
      <c r="H1275" s="5" t="inlineStr">
        <is>
          <t>4</t>
        </is>
      </c>
      <c r="I1275" s="5" t="inlineStr">
        <is>
          <t>Remote</t>
        </is>
      </c>
      <c r="J1275" s="5" t="inlineStr">
        <is>
          <t>Full-Time</t>
        </is>
      </c>
      <c r="K1275" s="7" t="n">
        <v>44200</v>
      </c>
      <c r="L1275" s="7" t="inlineStr"/>
      <c r="M1275" s="5" t="inlineStr">
        <is>
          <t>Yes</t>
        </is>
      </c>
      <c r="N1275" s="5" t="inlineStr"/>
      <c r="O1275" s="8" t="inlineStr">
        <is>
          <t>128500</t>
        </is>
      </c>
      <c r="P1275" s="5" t="inlineStr">
        <is>
          <t>0</t>
        </is>
      </c>
      <c r="Q1275" s="5" t="inlineStr">
        <is>
          <t>3</t>
        </is>
      </c>
      <c r="R1275" s="5" t="inlineStr">
        <is>
          <t>10</t>
        </is>
      </c>
      <c r="S1275" s="5" t="inlineStr">
        <is>
          <t>60</t>
        </is>
      </c>
      <c r="T1275" s="5" t="inlineStr">
        <is>
          <t>6</t>
        </is>
      </c>
      <c r="U1275" s="5">
        <f>IFS(C1275&lt;30,"Under 30",C1275&lt;40,"30-39",C1275&lt;50,"40-49",TRUE,"50+")</f>
        <v/>
      </c>
      <c r="V1275" s="5">
        <f>IFS(O1275&lt;60000,"Low (&lt;60k)",O1275&lt;100000,"Mid (60-100k)",TRUE,"High (100k+)")</f>
        <v/>
      </c>
      <c r="W1275" s="5">
        <f>IF(M1275="No","Attrited","Active")</f>
        <v/>
      </c>
    </row>
    <row r="1276">
      <c r="A1276" s="5" t="inlineStr">
        <is>
          <t>E01275</t>
        </is>
      </c>
      <c r="B1276" s="5" t="inlineStr">
        <is>
          <t>Male</t>
        </is>
      </c>
      <c r="C1276" s="6" t="inlineStr">
        <is>
          <t>23</t>
        </is>
      </c>
      <c r="D1276" s="5" t="inlineStr">
        <is>
          <t>Married</t>
        </is>
      </c>
      <c r="E1276" s="5" t="inlineStr">
        <is>
          <t>High School</t>
        </is>
      </c>
      <c r="F1276" s="5" t="inlineStr">
        <is>
          <t>Sales</t>
        </is>
      </c>
      <c r="G1276" s="5" t="inlineStr">
        <is>
          <t>Business Development</t>
        </is>
      </c>
      <c r="H1276" s="5" t="inlineStr">
        <is>
          <t>1</t>
        </is>
      </c>
      <c r="I1276" s="5" t="inlineStr">
        <is>
          <t>Mumbai</t>
        </is>
      </c>
      <c r="J1276" s="5" t="inlineStr">
        <is>
          <t>Full-Time</t>
        </is>
      </c>
      <c r="K1276" s="7" t="n">
        <v>45175</v>
      </c>
      <c r="L1276" s="7" t="inlineStr"/>
      <c r="M1276" s="5" t="inlineStr">
        <is>
          <t>Yes</t>
        </is>
      </c>
      <c r="N1276" s="5" t="inlineStr"/>
      <c r="O1276" s="8" t="inlineStr">
        <is>
          <t>69500</t>
        </is>
      </c>
      <c r="P1276" s="5" t="inlineStr">
        <is>
          <t>15</t>
        </is>
      </c>
      <c r="Q1276" s="5" t="inlineStr">
        <is>
          <t>3</t>
        </is>
      </c>
      <c r="R1276" s="5" t="inlineStr">
        <is>
          <t>7</t>
        </is>
      </c>
      <c r="S1276" s="5" t="inlineStr">
        <is>
          <t>28</t>
        </is>
      </c>
      <c r="T1276" s="5" t="inlineStr">
        <is>
          <t>7</t>
        </is>
      </c>
      <c r="U1276" s="5">
        <f>IFS(C1276&lt;30,"Under 30",C1276&lt;40,"30-39",C1276&lt;50,"40-49",TRUE,"50+")</f>
        <v/>
      </c>
      <c r="V1276" s="5">
        <f>IFS(O1276&lt;60000,"Low (&lt;60k)",O1276&lt;100000,"Mid (60-100k)",TRUE,"High (100k+)")</f>
        <v/>
      </c>
      <c r="W1276" s="5">
        <f>IF(M1276="No","Attrited","Active")</f>
        <v/>
      </c>
    </row>
    <row r="1277">
      <c r="A1277" s="5" t="inlineStr">
        <is>
          <t>E01276</t>
        </is>
      </c>
      <c r="B1277" s="5" t="inlineStr">
        <is>
          <t>Female</t>
        </is>
      </c>
      <c r="C1277" s="6" t="inlineStr">
        <is>
          <t>27</t>
        </is>
      </c>
      <c r="D1277" s="5" t="inlineStr">
        <is>
          <t>Single</t>
        </is>
      </c>
      <c r="E1277" s="5" t="inlineStr">
        <is>
          <t>Bachelor</t>
        </is>
      </c>
      <c r="F1277" s="5" t="inlineStr">
        <is>
          <t>Sales</t>
        </is>
      </c>
      <c r="G1277" s="5" t="inlineStr">
        <is>
          <t>Business Development</t>
        </is>
      </c>
      <c r="H1277" s="5" t="inlineStr">
        <is>
          <t>2</t>
        </is>
      </c>
      <c r="I1277" s="5" t="inlineStr">
        <is>
          <t>Delhi</t>
        </is>
      </c>
      <c r="J1277" s="5" t="inlineStr">
        <is>
          <t>Full-Time</t>
        </is>
      </c>
      <c r="K1277" s="7" t="n">
        <v>44834</v>
      </c>
      <c r="L1277" s="7" t="inlineStr"/>
      <c r="M1277" s="5" t="inlineStr">
        <is>
          <t>Yes</t>
        </is>
      </c>
      <c r="N1277" s="5" t="inlineStr"/>
      <c r="O1277" s="8" t="inlineStr">
        <is>
          <t>120500</t>
        </is>
      </c>
      <c r="P1277" s="5" t="inlineStr">
        <is>
          <t>0</t>
        </is>
      </c>
      <c r="Q1277" s="5" t="inlineStr">
        <is>
          <t>4</t>
        </is>
      </c>
      <c r="R1277" s="5" t="inlineStr">
        <is>
          <t>10</t>
        </is>
      </c>
      <c r="S1277" s="5" t="inlineStr">
        <is>
          <t>39</t>
        </is>
      </c>
      <c r="T1277" s="5" t="inlineStr">
        <is>
          <t>0</t>
        </is>
      </c>
      <c r="U1277" s="5">
        <f>IFS(C1277&lt;30,"Under 30",C1277&lt;40,"30-39",C1277&lt;50,"40-49",TRUE,"50+")</f>
        <v/>
      </c>
      <c r="V1277" s="5">
        <f>IFS(O1277&lt;60000,"Low (&lt;60k)",O1277&lt;100000,"Mid (60-100k)",TRUE,"High (100k+)")</f>
        <v/>
      </c>
      <c r="W1277" s="5">
        <f>IF(M1277="No","Attrited","Active")</f>
        <v/>
      </c>
    </row>
    <row r="1278">
      <c r="A1278" s="5" t="inlineStr">
        <is>
          <t>E01277</t>
        </is>
      </c>
      <c r="B1278" s="5" t="inlineStr">
        <is>
          <t>Female</t>
        </is>
      </c>
      <c r="C1278" s="6" t="inlineStr">
        <is>
          <t>35</t>
        </is>
      </c>
      <c r="D1278" s="5" t="inlineStr">
        <is>
          <t>Divorced</t>
        </is>
      </c>
      <c r="E1278" s="5" t="inlineStr">
        <is>
          <t>Diploma</t>
        </is>
      </c>
      <c r="F1278" s="5" t="inlineStr">
        <is>
          <t>Research &amp; Development</t>
        </is>
      </c>
      <c r="G1278" s="5" t="inlineStr">
        <is>
          <t>Product Engineer</t>
        </is>
      </c>
      <c r="H1278" s="5" t="inlineStr">
        <is>
          <t>3</t>
        </is>
      </c>
      <c r="I1278" s="5" t="inlineStr">
        <is>
          <t>Hyderabad</t>
        </is>
      </c>
      <c r="J1278" s="5" t="inlineStr">
        <is>
          <t>Full-Time</t>
        </is>
      </c>
      <c r="K1278" s="7" t="n">
        <v>44200</v>
      </c>
      <c r="L1278" s="7" t="inlineStr"/>
      <c r="M1278" s="5" t="inlineStr">
        <is>
          <t>Yes</t>
        </is>
      </c>
      <c r="N1278" s="5" t="inlineStr"/>
      <c r="O1278" s="8" t="inlineStr">
        <is>
          <t>192500</t>
        </is>
      </c>
      <c r="P1278" s="5" t="inlineStr">
        <is>
          <t>10</t>
        </is>
      </c>
      <c r="Q1278" s="5" t="inlineStr">
        <is>
          <t>3</t>
        </is>
      </c>
      <c r="R1278" s="5" t="inlineStr">
        <is>
          <t>5</t>
        </is>
      </c>
      <c r="S1278" s="5" t="inlineStr">
        <is>
          <t>60</t>
        </is>
      </c>
      <c r="T1278" s="5" t="inlineStr">
        <is>
          <t>2</t>
        </is>
      </c>
      <c r="U1278" s="5">
        <f>IFS(C1278&lt;30,"Under 30",C1278&lt;40,"30-39",C1278&lt;50,"40-49",TRUE,"50+")</f>
        <v/>
      </c>
      <c r="V1278" s="5">
        <f>IFS(O1278&lt;60000,"Low (&lt;60k)",O1278&lt;100000,"Mid (60-100k)",TRUE,"High (100k+)")</f>
        <v/>
      </c>
      <c r="W1278" s="5">
        <f>IF(M1278="No","Attrited","Active")</f>
        <v/>
      </c>
    </row>
    <row r="1279">
      <c r="A1279" s="5" t="inlineStr">
        <is>
          <t>E01278</t>
        </is>
      </c>
      <c r="B1279" s="5" t="inlineStr">
        <is>
          <t>Male</t>
        </is>
      </c>
      <c r="C1279" s="6" t="inlineStr">
        <is>
          <t>24</t>
        </is>
      </c>
      <c r="D1279" s="5" t="inlineStr">
        <is>
          <t>Married</t>
        </is>
      </c>
      <c r="E1279" s="5" t="inlineStr">
        <is>
          <t>Diploma</t>
        </is>
      </c>
      <c r="F1279" s="5" t="inlineStr">
        <is>
          <t>Sales</t>
        </is>
      </c>
      <c r="G1279" s="5" t="inlineStr">
        <is>
          <t>Account Executive</t>
        </is>
      </c>
      <c r="H1279" s="5" t="inlineStr">
        <is>
          <t>1</t>
        </is>
      </c>
      <c r="I1279" s="5" t="inlineStr">
        <is>
          <t>Remote</t>
        </is>
      </c>
      <c r="J1279" s="5" t="inlineStr">
        <is>
          <t>Full-Time</t>
        </is>
      </c>
      <c r="K1279" s="7" t="n">
        <v>45470</v>
      </c>
      <c r="L1279" s="7" t="inlineStr"/>
      <c r="M1279" s="5" t="inlineStr">
        <is>
          <t>Yes</t>
        </is>
      </c>
      <c r="N1279" s="5" t="inlineStr"/>
      <c r="O1279" s="8" t="inlineStr">
        <is>
          <t>61500</t>
        </is>
      </c>
      <c r="P1279" s="5" t="inlineStr">
        <is>
          <t>10</t>
        </is>
      </c>
      <c r="Q1279" s="5" t="inlineStr">
        <is>
          <t>3</t>
        </is>
      </c>
      <c r="R1279" s="5" t="inlineStr">
        <is>
          <t>3</t>
        </is>
      </c>
      <c r="S1279" s="5" t="inlineStr">
        <is>
          <t>18</t>
        </is>
      </c>
      <c r="T1279" s="5" t="inlineStr">
        <is>
          <t>1</t>
        </is>
      </c>
      <c r="U1279" s="5">
        <f>IFS(C1279&lt;30,"Under 30",C1279&lt;40,"30-39",C1279&lt;50,"40-49",TRUE,"50+")</f>
        <v/>
      </c>
      <c r="V1279" s="5">
        <f>IFS(O1279&lt;60000,"Low (&lt;60k)",O1279&lt;100000,"Mid (60-100k)",TRUE,"High (100k+)")</f>
        <v/>
      </c>
      <c r="W1279" s="5">
        <f>IF(M1279="No","Attrited","Active")</f>
        <v/>
      </c>
    </row>
    <row r="1280">
      <c r="A1280" s="5" t="inlineStr">
        <is>
          <t>E01279</t>
        </is>
      </c>
      <c r="B1280" s="5" t="inlineStr">
        <is>
          <t>Male</t>
        </is>
      </c>
      <c r="C1280" s="6" t="inlineStr">
        <is>
          <t>41</t>
        </is>
      </c>
      <c r="D1280" s="5" t="inlineStr">
        <is>
          <t>Married</t>
        </is>
      </c>
      <c r="E1280" s="5" t="inlineStr">
        <is>
          <t>Bachelor</t>
        </is>
      </c>
      <c r="F1280" s="5" t="inlineStr">
        <is>
          <t>IT</t>
        </is>
      </c>
      <c r="G1280" s="5" t="inlineStr">
        <is>
          <t>Software Engineer</t>
        </is>
      </c>
      <c r="H1280" s="5" t="inlineStr">
        <is>
          <t>5</t>
        </is>
      </c>
      <c r="I1280" s="5" t="inlineStr">
        <is>
          <t>Delhi</t>
        </is>
      </c>
      <c r="J1280" s="5" t="inlineStr">
        <is>
          <t>Part-Time</t>
        </is>
      </c>
      <c r="K1280" s="7" t="n">
        <v>45753</v>
      </c>
      <c r="L1280" s="7" t="inlineStr"/>
      <c r="M1280" s="5" t="inlineStr">
        <is>
          <t>Yes</t>
        </is>
      </c>
      <c r="N1280" s="5" t="inlineStr"/>
      <c r="O1280" s="8" t="inlineStr">
        <is>
          <t>156500</t>
        </is>
      </c>
      <c r="P1280" s="5" t="inlineStr">
        <is>
          <t>0</t>
        </is>
      </c>
      <c r="Q1280" s="5" t="inlineStr">
        <is>
          <t>4</t>
        </is>
      </c>
      <c r="R1280" s="5" t="inlineStr">
        <is>
          <t>7</t>
        </is>
      </c>
      <c r="S1280" s="5" t="inlineStr">
        <is>
          <t>8</t>
        </is>
      </c>
      <c r="T1280" s="5" t="inlineStr">
        <is>
          <t>4</t>
        </is>
      </c>
      <c r="U1280" s="5">
        <f>IFS(C1280&lt;30,"Under 30",C1280&lt;40,"30-39",C1280&lt;50,"40-49",TRUE,"50+")</f>
        <v/>
      </c>
      <c r="V1280" s="5">
        <f>IFS(O1280&lt;60000,"Low (&lt;60k)",O1280&lt;100000,"Mid (60-100k)",TRUE,"High (100k+)")</f>
        <v/>
      </c>
      <c r="W1280" s="5">
        <f>IF(M1280="No","Attrited","Active")</f>
        <v/>
      </c>
    </row>
    <row r="1281">
      <c r="A1281" s="5" t="inlineStr">
        <is>
          <t>E01280</t>
        </is>
      </c>
      <c r="B1281" s="5" t="inlineStr">
        <is>
          <t>Female</t>
        </is>
      </c>
      <c r="C1281" s="6" t="inlineStr">
        <is>
          <t>35</t>
        </is>
      </c>
      <c r="D1281" s="5" t="inlineStr">
        <is>
          <t>Married</t>
        </is>
      </c>
      <c r="E1281" s="5" t="inlineStr">
        <is>
          <t>Diploma</t>
        </is>
      </c>
      <c r="F1281" s="5" t="inlineStr">
        <is>
          <t>Operations</t>
        </is>
      </c>
      <c r="G1281" s="5" t="inlineStr">
        <is>
          <t>Operations Analyst</t>
        </is>
      </c>
      <c r="H1281" s="5" t="inlineStr">
        <is>
          <t>3</t>
        </is>
      </c>
      <c r="I1281" s="5" t="inlineStr">
        <is>
          <t>Hyderabad</t>
        </is>
      </c>
      <c r="J1281" s="5" t="inlineStr">
        <is>
          <t>Part-Time</t>
        </is>
      </c>
      <c r="K1281" s="7" t="n">
        <v>45998</v>
      </c>
      <c r="L1281" s="7" t="inlineStr"/>
      <c r="M1281" s="5" t="inlineStr">
        <is>
          <t>Yes</t>
        </is>
      </c>
      <c r="N1281" s="5" t="inlineStr"/>
      <c r="O1281" s="8" t="inlineStr">
        <is>
          <t>89500</t>
        </is>
      </c>
      <c r="P1281" s="5" t="inlineStr">
        <is>
          <t>0</t>
        </is>
      </c>
      <c r="Q1281" s="5" t="inlineStr">
        <is>
          <t>4</t>
        </is>
      </c>
      <c r="R1281" s="5" t="inlineStr">
        <is>
          <t>5</t>
        </is>
      </c>
      <c r="S1281" s="5" t="inlineStr">
        <is>
          <t>1</t>
        </is>
      </c>
      <c r="T1281" s="5" t="inlineStr">
        <is>
          <t>0</t>
        </is>
      </c>
      <c r="U1281" s="5">
        <f>IFS(C1281&lt;30,"Under 30",C1281&lt;40,"30-39",C1281&lt;50,"40-49",TRUE,"50+")</f>
        <v/>
      </c>
      <c r="V1281" s="5">
        <f>IFS(O1281&lt;60000,"Low (&lt;60k)",O1281&lt;100000,"Mid (60-100k)",TRUE,"High (100k+)")</f>
        <v/>
      </c>
      <c r="W1281" s="5">
        <f>IF(M1281="No","Attrited","Active")</f>
        <v/>
      </c>
    </row>
    <row r="1282">
      <c r="A1282" s="5" t="inlineStr">
        <is>
          <t>E01281</t>
        </is>
      </c>
      <c r="B1282" s="5" t="inlineStr">
        <is>
          <t>Male</t>
        </is>
      </c>
      <c r="C1282" s="6" t="inlineStr">
        <is>
          <t>27</t>
        </is>
      </c>
      <c r="D1282" s="5" t="inlineStr">
        <is>
          <t>Married</t>
        </is>
      </c>
      <c r="E1282" s="5" t="inlineStr">
        <is>
          <t>Bachelor</t>
        </is>
      </c>
      <c r="F1282" s="5" t="inlineStr">
        <is>
          <t>Customer Support</t>
        </is>
      </c>
      <c r="G1282" s="5" t="inlineStr">
        <is>
          <t>Support Agent</t>
        </is>
      </c>
      <c r="H1282" s="5" t="inlineStr">
        <is>
          <t>3</t>
        </is>
      </c>
      <c r="I1282" s="5" t="inlineStr">
        <is>
          <t>Delhi</t>
        </is>
      </c>
      <c r="J1282" s="5" t="inlineStr">
        <is>
          <t>Full-Time</t>
        </is>
      </c>
      <c r="K1282" s="7" t="n">
        <v>44594</v>
      </c>
      <c r="L1282" s="7" t="inlineStr"/>
      <c r="M1282" s="5" t="inlineStr">
        <is>
          <t>Yes</t>
        </is>
      </c>
      <c r="N1282" s="5" t="inlineStr"/>
      <c r="O1282" s="8" t="inlineStr">
        <is>
          <t>57500</t>
        </is>
      </c>
      <c r="P1282" s="5" t="inlineStr">
        <is>
          <t>0</t>
        </is>
      </c>
      <c r="Q1282" s="5" t="inlineStr">
        <is>
          <t>5</t>
        </is>
      </c>
      <c r="R1282" s="5" t="inlineStr">
        <is>
          <t>6</t>
        </is>
      </c>
      <c r="S1282" s="5" t="inlineStr">
        <is>
          <t>47</t>
        </is>
      </c>
      <c r="T1282" s="5" t="inlineStr">
        <is>
          <t>1</t>
        </is>
      </c>
      <c r="U1282" s="5">
        <f>IFS(C1282&lt;30,"Under 30",C1282&lt;40,"30-39",C1282&lt;50,"40-49",TRUE,"50+")</f>
        <v/>
      </c>
      <c r="V1282" s="5">
        <f>IFS(O1282&lt;60000,"Low (&lt;60k)",O1282&lt;100000,"Mid (60-100k)",TRUE,"High (100k+)")</f>
        <v/>
      </c>
      <c r="W1282" s="5">
        <f>IF(M1282="No","Attrited","Active")</f>
        <v/>
      </c>
    </row>
    <row r="1283">
      <c r="A1283" s="5" t="inlineStr">
        <is>
          <t>E01282</t>
        </is>
      </c>
      <c r="B1283" s="5" t="inlineStr">
        <is>
          <t>Male</t>
        </is>
      </c>
      <c r="C1283" s="6" t="inlineStr">
        <is>
          <t>28</t>
        </is>
      </c>
      <c r="D1283" s="5" t="inlineStr">
        <is>
          <t>Single</t>
        </is>
      </c>
      <c r="E1283" s="5" t="inlineStr">
        <is>
          <t>PhD</t>
        </is>
      </c>
      <c r="F1283" s="5" t="inlineStr">
        <is>
          <t>Marketing</t>
        </is>
      </c>
      <c r="G1283" s="5" t="inlineStr">
        <is>
          <t>SEO Specialist</t>
        </is>
      </c>
      <c r="H1283" s="5" t="inlineStr">
        <is>
          <t>2</t>
        </is>
      </c>
      <c r="I1283" s="5" t="inlineStr">
        <is>
          <t>Remote</t>
        </is>
      </c>
      <c r="J1283" s="5" t="inlineStr">
        <is>
          <t>Full-Time</t>
        </is>
      </c>
      <c r="K1283" s="7" t="n">
        <v>43970</v>
      </c>
      <c r="L1283" s="7" t="inlineStr"/>
      <c r="M1283" s="5" t="inlineStr">
        <is>
          <t>Yes</t>
        </is>
      </c>
      <c r="N1283" s="5" t="inlineStr"/>
      <c r="O1283" s="8" t="inlineStr">
        <is>
          <t>85000</t>
        </is>
      </c>
      <c r="P1283" s="5" t="inlineStr">
        <is>
          <t>10</t>
        </is>
      </c>
      <c r="Q1283" s="5" t="inlineStr">
        <is>
          <t>4</t>
        </is>
      </c>
      <c r="R1283" s="5" t="inlineStr">
        <is>
          <t>3</t>
        </is>
      </c>
      <c r="S1283" s="5" t="inlineStr">
        <is>
          <t>68</t>
        </is>
      </c>
      <c r="T1283" s="5" t="inlineStr">
        <is>
          <t>6</t>
        </is>
      </c>
      <c r="U1283" s="5">
        <f>IFS(C1283&lt;30,"Under 30",C1283&lt;40,"30-39",C1283&lt;50,"40-49",TRUE,"50+")</f>
        <v/>
      </c>
      <c r="V1283" s="5">
        <f>IFS(O1283&lt;60000,"Low (&lt;60k)",O1283&lt;100000,"Mid (60-100k)",TRUE,"High (100k+)")</f>
        <v/>
      </c>
      <c r="W1283" s="5">
        <f>IF(M1283="No","Attrited","Active")</f>
        <v/>
      </c>
    </row>
    <row r="1284">
      <c r="A1284" s="5" t="inlineStr">
        <is>
          <t>E01283</t>
        </is>
      </c>
      <c r="B1284" s="5" t="inlineStr">
        <is>
          <t>Female</t>
        </is>
      </c>
      <c r="C1284" s="6" t="inlineStr">
        <is>
          <t>28</t>
        </is>
      </c>
      <c r="D1284" s="5" t="inlineStr">
        <is>
          <t>Married</t>
        </is>
      </c>
      <c r="E1284" s="5" t="inlineStr">
        <is>
          <t>PhD</t>
        </is>
      </c>
      <c r="F1284" s="5" t="inlineStr">
        <is>
          <t>Finance</t>
        </is>
      </c>
      <c r="G1284" s="5" t="inlineStr">
        <is>
          <t>Financial Analyst</t>
        </is>
      </c>
      <c r="H1284" s="5" t="inlineStr">
        <is>
          <t>2</t>
        </is>
      </c>
      <c r="I1284" s="5" t="inlineStr">
        <is>
          <t>Chennai</t>
        </is>
      </c>
      <c r="J1284" s="5" t="inlineStr">
        <is>
          <t>Full-Time</t>
        </is>
      </c>
      <c r="K1284" s="7" t="n">
        <v>45679</v>
      </c>
      <c r="L1284" s="7" t="inlineStr"/>
      <c r="M1284" s="5" t="inlineStr">
        <is>
          <t>Yes</t>
        </is>
      </c>
      <c r="N1284" s="5" t="inlineStr"/>
      <c r="O1284" s="8" t="inlineStr">
        <is>
          <t>128500</t>
        </is>
      </c>
      <c r="P1284" s="5" t="inlineStr">
        <is>
          <t>5</t>
        </is>
      </c>
      <c r="Q1284" s="5" t="inlineStr">
        <is>
          <t>3</t>
        </is>
      </c>
      <c r="R1284" s="5" t="inlineStr">
        <is>
          <t>6</t>
        </is>
      </c>
      <c r="S1284" s="5" t="inlineStr">
        <is>
          <t>11</t>
        </is>
      </c>
      <c r="T1284" s="5" t="inlineStr">
        <is>
          <t>5</t>
        </is>
      </c>
      <c r="U1284" s="5">
        <f>IFS(C1284&lt;30,"Under 30",C1284&lt;40,"30-39",C1284&lt;50,"40-49",TRUE,"50+")</f>
        <v/>
      </c>
      <c r="V1284" s="5">
        <f>IFS(O1284&lt;60000,"Low (&lt;60k)",O1284&lt;100000,"Mid (60-100k)",TRUE,"High (100k+)")</f>
        <v/>
      </c>
      <c r="W1284" s="5">
        <f>IF(M1284="No","Attrited","Active")</f>
        <v/>
      </c>
    </row>
    <row r="1285">
      <c r="A1285" s="5" t="inlineStr">
        <is>
          <t>E01284</t>
        </is>
      </c>
      <c r="B1285" s="5" t="inlineStr">
        <is>
          <t>Female</t>
        </is>
      </c>
      <c r="C1285" s="6" t="inlineStr">
        <is>
          <t>24</t>
        </is>
      </c>
      <c r="D1285" s="5" t="inlineStr">
        <is>
          <t>Single</t>
        </is>
      </c>
      <c r="E1285" s="5" t="inlineStr">
        <is>
          <t>Master</t>
        </is>
      </c>
      <c r="F1285" s="5" t="inlineStr">
        <is>
          <t>Customer Support</t>
        </is>
      </c>
      <c r="G1285" s="5" t="inlineStr">
        <is>
          <t>Support Lead</t>
        </is>
      </c>
      <c r="H1285" s="5" t="inlineStr">
        <is>
          <t>1</t>
        </is>
      </c>
      <c r="I1285" s="5" t="inlineStr">
        <is>
          <t>Bengaluru</t>
        </is>
      </c>
      <c r="J1285" s="5" t="inlineStr">
        <is>
          <t>Full-Time</t>
        </is>
      </c>
      <c r="K1285" s="7" t="n">
        <v>45336</v>
      </c>
      <c r="L1285" s="7" t="n">
        <v>45428</v>
      </c>
      <c r="M1285" s="5" t="inlineStr">
        <is>
          <t>No</t>
        </is>
      </c>
      <c r="N1285" s="5" t="inlineStr">
        <is>
          <t>Resigned</t>
        </is>
      </c>
      <c r="O1285" s="8" t="inlineStr">
        <is>
          <t>69000</t>
        </is>
      </c>
      <c r="P1285" s="5" t="inlineStr">
        <is>
          <t>10</t>
        </is>
      </c>
      <c r="Q1285" s="5" t="inlineStr">
        <is>
          <t>3</t>
        </is>
      </c>
      <c r="R1285" s="5" t="inlineStr">
        <is>
          <t>7</t>
        </is>
      </c>
      <c r="S1285" s="5" t="inlineStr">
        <is>
          <t>3</t>
        </is>
      </c>
      <c r="T1285" s="5" t="inlineStr">
        <is>
          <t>27</t>
        </is>
      </c>
      <c r="U1285" s="5">
        <f>IFS(C1285&lt;30,"Under 30",C1285&lt;40,"30-39",C1285&lt;50,"40-49",TRUE,"50+")</f>
        <v/>
      </c>
      <c r="V1285" s="5">
        <f>IFS(O1285&lt;60000,"Low (&lt;60k)",O1285&lt;100000,"Mid (60-100k)",TRUE,"High (100k+)")</f>
        <v/>
      </c>
      <c r="W1285" s="5">
        <f>IF(M1285="No","Attrited","Active")</f>
        <v/>
      </c>
    </row>
    <row r="1286">
      <c r="A1286" s="5" t="inlineStr">
        <is>
          <t>E01285</t>
        </is>
      </c>
      <c r="B1286" s="5" t="inlineStr">
        <is>
          <t>Male</t>
        </is>
      </c>
      <c r="C1286" s="6" t="inlineStr">
        <is>
          <t>26</t>
        </is>
      </c>
      <c r="D1286" s="5" t="inlineStr">
        <is>
          <t>Married</t>
        </is>
      </c>
      <c r="E1286" s="5" t="inlineStr">
        <is>
          <t>Bachelor</t>
        </is>
      </c>
      <c r="F1286" s="5" t="inlineStr">
        <is>
          <t>IT</t>
        </is>
      </c>
      <c r="G1286" s="5" t="inlineStr">
        <is>
          <t>IT Support</t>
        </is>
      </c>
      <c r="H1286" s="5" t="inlineStr">
        <is>
          <t>2</t>
        </is>
      </c>
      <c r="I1286" s="5" t="inlineStr">
        <is>
          <t>Bengaluru</t>
        </is>
      </c>
      <c r="J1286" s="5" t="inlineStr">
        <is>
          <t>Full-Time</t>
        </is>
      </c>
      <c r="K1286" s="7" t="n">
        <v>45154</v>
      </c>
      <c r="L1286" s="7" t="n">
        <v>45212</v>
      </c>
      <c r="M1286" s="5" t="inlineStr">
        <is>
          <t>No</t>
        </is>
      </c>
      <c r="N1286" s="5" t="inlineStr">
        <is>
          <t>Retirement</t>
        </is>
      </c>
      <c r="O1286" s="8" t="inlineStr">
        <is>
          <t>148000</t>
        </is>
      </c>
      <c r="P1286" s="5" t="inlineStr">
        <is>
          <t>15</t>
        </is>
      </c>
      <c r="Q1286" s="5" t="inlineStr">
        <is>
          <t>3</t>
        </is>
      </c>
      <c r="R1286" s="5" t="inlineStr">
        <is>
          <t>9</t>
        </is>
      </c>
      <c r="S1286" s="5" t="inlineStr">
        <is>
          <t>1</t>
        </is>
      </c>
      <c r="T1286" s="5" t="inlineStr">
        <is>
          <t>7</t>
        </is>
      </c>
      <c r="U1286" s="5">
        <f>IFS(C1286&lt;30,"Under 30",C1286&lt;40,"30-39",C1286&lt;50,"40-49",TRUE,"50+")</f>
        <v/>
      </c>
      <c r="V1286" s="5">
        <f>IFS(O1286&lt;60000,"Low (&lt;60k)",O1286&lt;100000,"Mid (60-100k)",TRUE,"High (100k+)")</f>
        <v/>
      </c>
      <c r="W1286" s="5">
        <f>IF(M1286="No","Attrited","Active")</f>
        <v/>
      </c>
    </row>
    <row r="1287">
      <c r="A1287" s="5" t="inlineStr">
        <is>
          <t>E01286</t>
        </is>
      </c>
      <c r="B1287" s="5" t="inlineStr">
        <is>
          <t>Male</t>
        </is>
      </c>
      <c r="C1287" s="6" t="inlineStr">
        <is>
          <t>28</t>
        </is>
      </c>
      <c r="D1287" s="5" t="inlineStr">
        <is>
          <t>Married</t>
        </is>
      </c>
      <c r="E1287" s="5" t="inlineStr">
        <is>
          <t>PhD</t>
        </is>
      </c>
      <c r="F1287" s="5" t="inlineStr">
        <is>
          <t>Research &amp; Development</t>
        </is>
      </c>
      <c r="G1287" s="5" t="inlineStr">
        <is>
          <t>Research Scientist</t>
        </is>
      </c>
      <c r="H1287" s="5" t="inlineStr">
        <is>
          <t>1</t>
        </is>
      </c>
      <c r="I1287" s="5" t="inlineStr">
        <is>
          <t>Remote</t>
        </is>
      </c>
      <c r="J1287" s="5" t="inlineStr">
        <is>
          <t>Full-Time</t>
        </is>
      </c>
      <c r="K1287" s="7" t="n">
        <v>45231</v>
      </c>
      <c r="L1287" s="7" t="inlineStr"/>
      <c r="M1287" s="5" t="inlineStr">
        <is>
          <t>Yes</t>
        </is>
      </c>
      <c r="N1287" s="5" t="inlineStr"/>
      <c r="O1287" s="8" t="inlineStr">
        <is>
          <t>113500</t>
        </is>
      </c>
      <c r="P1287" s="5" t="inlineStr">
        <is>
          <t>10</t>
        </is>
      </c>
      <c r="Q1287" s="5" t="inlineStr">
        <is>
          <t>5</t>
        </is>
      </c>
      <c r="R1287" s="5" t="inlineStr">
        <is>
          <t>7</t>
        </is>
      </c>
      <c r="S1287" s="5" t="inlineStr">
        <is>
          <t>26</t>
        </is>
      </c>
      <c r="T1287" s="5" t="inlineStr">
        <is>
          <t>8</t>
        </is>
      </c>
      <c r="U1287" s="5">
        <f>IFS(C1287&lt;30,"Under 30",C1287&lt;40,"30-39",C1287&lt;50,"40-49",TRUE,"50+")</f>
        <v/>
      </c>
      <c r="V1287" s="5">
        <f>IFS(O1287&lt;60000,"Low (&lt;60k)",O1287&lt;100000,"Mid (60-100k)",TRUE,"High (100k+)")</f>
        <v/>
      </c>
      <c r="W1287" s="5">
        <f>IF(M1287="No","Attrited","Active")</f>
        <v/>
      </c>
    </row>
    <row r="1288">
      <c r="A1288" s="5" t="inlineStr">
        <is>
          <t>E01287</t>
        </is>
      </c>
      <c r="B1288" s="5" t="inlineStr">
        <is>
          <t>Male</t>
        </is>
      </c>
      <c r="C1288" s="6" t="inlineStr">
        <is>
          <t>31</t>
        </is>
      </c>
      <c r="D1288" s="5" t="inlineStr">
        <is>
          <t>Married</t>
        </is>
      </c>
      <c r="E1288" s="5" t="inlineStr">
        <is>
          <t>Diploma</t>
        </is>
      </c>
      <c r="F1288" s="5" t="inlineStr">
        <is>
          <t>Customer Support</t>
        </is>
      </c>
      <c r="G1288" s="5" t="inlineStr">
        <is>
          <t>Support Agent</t>
        </is>
      </c>
      <c r="H1288" s="5" t="inlineStr">
        <is>
          <t>5</t>
        </is>
      </c>
      <c r="I1288" s="5" t="inlineStr">
        <is>
          <t>Hyderabad</t>
        </is>
      </c>
      <c r="J1288" s="5" t="inlineStr">
        <is>
          <t>Part-Time</t>
        </is>
      </c>
      <c r="K1288" s="7" t="n">
        <v>44186</v>
      </c>
      <c r="L1288" s="7" t="inlineStr"/>
      <c r="M1288" s="5" t="inlineStr">
        <is>
          <t>Yes</t>
        </is>
      </c>
      <c r="N1288" s="5" t="inlineStr"/>
      <c r="O1288" s="8" t="inlineStr">
        <is>
          <t>100500</t>
        </is>
      </c>
      <c r="P1288" s="5" t="inlineStr">
        <is>
          <t>0</t>
        </is>
      </c>
      <c r="Q1288" s="5" t="inlineStr">
        <is>
          <t>3</t>
        </is>
      </c>
      <c r="R1288" s="5" t="inlineStr">
        <is>
          <t>7</t>
        </is>
      </c>
      <c r="S1288" s="5" t="inlineStr">
        <is>
          <t>61</t>
        </is>
      </c>
      <c r="T1288" s="5" t="inlineStr">
        <is>
          <t>11</t>
        </is>
      </c>
      <c r="U1288" s="5">
        <f>IFS(C1288&lt;30,"Under 30",C1288&lt;40,"30-39",C1288&lt;50,"40-49",TRUE,"50+")</f>
        <v/>
      </c>
      <c r="V1288" s="5">
        <f>IFS(O1288&lt;60000,"Low (&lt;60k)",O1288&lt;100000,"Mid (60-100k)",TRUE,"High (100k+)")</f>
        <v/>
      </c>
      <c r="W1288" s="5">
        <f>IF(M1288="No","Attrited","Active")</f>
        <v/>
      </c>
    </row>
    <row r="1289">
      <c r="A1289" s="5" t="inlineStr">
        <is>
          <t>E01288</t>
        </is>
      </c>
      <c r="B1289" s="5" t="inlineStr">
        <is>
          <t>Female</t>
        </is>
      </c>
      <c r="C1289" s="6" t="inlineStr">
        <is>
          <t>35</t>
        </is>
      </c>
      <c r="D1289" s="5" t="inlineStr">
        <is>
          <t>Married</t>
        </is>
      </c>
      <c r="E1289" s="5" t="inlineStr">
        <is>
          <t>Master</t>
        </is>
      </c>
      <c r="F1289" s="5" t="inlineStr">
        <is>
          <t>Customer Support</t>
        </is>
      </c>
      <c r="G1289" s="5" t="inlineStr">
        <is>
          <t>Escalation Specialist</t>
        </is>
      </c>
      <c r="H1289" s="5" t="inlineStr">
        <is>
          <t>3</t>
        </is>
      </c>
      <c r="I1289" s="5" t="inlineStr">
        <is>
          <t>Mumbai</t>
        </is>
      </c>
      <c r="J1289" s="5" t="inlineStr">
        <is>
          <t>Full-Time</t>
        </is>
      </c>
      <c r="K1289" s="7" t="n">
        <v>44999</v>
      </c>
      <c r="L1289" s="7" t="inlineStr"/>
      <c r="M1289" s="5" t="inlineStr">
        <is>
          <t>Yes</t>
        </is>
      </c>
      <c r="N1289" s="5" t="inlineStr"/>
      <c r="O1289" s="8" t="inlineStr">
        <is>
          <t>79500</t>
        </is>
      </c>
      <c r="P1289" s="5" t="inlineStr">
        <is>
          <t>5</t>
        </is>
      </c>
      <c r="Q1289" s="5" t="inlineStr">
        <is>
          <t>3</t>
        </is>
      </c>
      <c r="R1289" s="5" t="inlineStr">
        <is>
          <t>8</t>
        </is>
      </c>
      <c r="S1289" s="5" t="inlineStr">
        <is>
          <t>34</t>
        </is>
      </c>
      <c r="T1289" s="5" t="inlineStr">
        <is>
          <t>3</t>
        </is>
      </c>
      <c r="U1289" s="5">
        <f>IFS(C1289&lt;30,"Under 30",C1289&lt;40,"30-39",C1289&lt;50,"40-49",TRUE,"50+")</f>
        <v/>
      </c>
      <c r="V1289" s="5">
        <f>IFS(O1289&lt;60000,"Low (&lt;60k)",O1289&lt;100000,"Mid (60-100k)",TRUE,"High (100k+)")</f>
        <v/>
      </c>
      <c r="W1289" s="5">
        <f>IF(M1289="No","Attrited","Active")</f>
        <v/>
      </c>
    </row>
    <row r="1290">
      <c r="A1290" s="5" t="inlineStr">
        <is>
          <t>E01289</t>
        </is>
      </c>
      <c r="B1290" s="5" t="inlineStr">
        <is>
          <t>Male</t>
        </is>
      </c>
      <c r="C1290" s="6" t="inlineStr">
        <is>
          <t>28</t>
        </is>
      </c>
      <c r="D1290" s="5" t="inlineStr">
        <is>
          <t>Married</t>
        </is>
      </c>
      <c r="E1290" s="5" t="inlineStr">
        <is>
          <t>Master</t>
        </is>
      </c>
      <c r="F1290" s="5" t="inlineStr">
        <is>
          <t>IT</t>
        </is>
      </c>
      <c r="G1290" s="5" t="inlineStr">
        <is>
          <t>IT Support</t>
        </is>
      </c>
      <c r="H1290" s="5" t="inlineStr">
        <is>
          <t>3</t>
        </is>
      </c>
      <c r="I1290" s="5" t="inlineStr">
        <is>
          <t>Chennai</t>
        </is>
      </c>
      <c r="J1290" s="5" t="inlineStr">
        <is>
          <t>Full-Time</t>
        </is>
      </c>
      <c r="K1290" s="7" t="n">
        <v>45363</v>
      </c>
      <c r="L1290" s="7" t="inlineStr"/>
      <c r="M1290" s="5" t="inlineStr">
        <is>
          <t>Yes</t>
        </is>
      </c>
      <c r="N1290" s="5" t="inlineStr"/>
      <c r="O1290" s="8" t="inlineStr">
        <is>
          <t>112000</t>
        </is>
      </c>
      <c r="P1290" s="5" t="inlineStr">
        <is>
          <t>0</t>
        </is>
      </c>
      <c r="Q1290" s="5" t="inlineStr">
        <is>
          <t>5</t>
        </is>
      </c>
      <c r="R1290" s="5" t="inlineStr">
        <is>
          <t>7</t>
        </is>
      </c>
      <c r="S1290" s="5" t="inlineStr">
        <is>
          <t>21</t>
        </is>
      </c>
      <c r="T1290" s="5" t="inlineStr">
        <is>
          <t>2</t>
        </is>
      </c>
      <c r="U1290" s="5">
        <f>IFS(C1290&lt;30,"Under 30",C1290&lt;40,"30-39",C1290&lt;50,"40-49",TRUE,"50+")</f>
        <v/>
      </c>
      <c r="V1290" s="5">
        <f>IFS(O1290&lt;60000,"Low (&lt;60k)",O1290&lt;100000,"Mid (60-100k)",TRUE,"High (100k+)")</f>
        <v/>
      </c>
      <c r="W1290" s="5">
        <f>IF(M1290="No","Attrited","Active")</f>
        <v/>
      </c>
    </row>
    <row r="1291">
      <c r="A1291" s="5" t="inlineStr">
        <is>
          <t>E01290</t>
        </is>
      </c>
      <c r="B1291" s="5" t="inlineStr">
        <is>
          <t>Female</t>
        </is>
      </c>
      <c r="C1291" s="6" t="inlineStr">
        <is>
          <t>33</t>
        </is>
      </c>
      <c r="D1291" s="5" t="inlineStr">
        <is>
          <t>Married</t>
        </is>
      </c>
      <c r="E1291" s="5" t="inlineStr">
        <is>
          <t>Diploma</t>
        </is>
      </c>
      <c r="F1291" s="5" t="inlineStr">
        <is>
          <t>Customer Support</t>
        </is>
      </c>
      <c r="G1291" s="5" t="inlineStr">
        <is>
          <t>Support Lead</t>
        </is>
      </c>
      <c r="H1291" s="5" t="inlineStr">
        <is>
          <t>2</t>
        </is>
      </c>
      <c r="I1291" s="5" t="inlineStr">
        <is>
          <t>Hyderabad</t>
        </is>
      </c>
      <c r="J1291" s="5" t="inlineStr">
        <is>
          <t>Full-Time</t>
        </is>
      </c>
      <c r="K1291" s="7" t="n">
        <v>45471</v>
      </c>
      <c r="L1291" s="7" t="n">
        <v>45609</v>
      </c>
      <c r="M1291" s="5" t="inlineStr">
        <is>
          <t>No</t>
        </is>
      </c>
      <c r="N1291" s="5" t="inlineStr">
        <is>
          <t>Retirement</t>
        </is>
      </c>
      <c r="O1291" s="8" t="inlineStr">
        <is>
          <t>58500</t>
        </is>
      </c>
      <c r="P1291" s="5" t="inlineStr">
        <is>
          <t>10</t>
        </is>
      </c>
      <c r="Q1291" s="5" t="inlineStr">
        <is>
          <t>3</t>
        </is>
      </c>
      <c r="R1291" s="5" t="inlineStr">
        <is>
          <t>9</t>
        </is>
      </c>
      <c r="S1291" s="5" t="inlineStr">
        <is>
          <t>4</t>
        </is>
      </c>
      <c r="T1291" s="5" t="inlineStr">
        <is>
          <t>0</t>
        </is>
      </c>
      <c r="U1291" s="5">
        <f>IFS(C1291&lt;30,"Under 30",C1291&lt;40,"30-39",C1291&lt;50,"40-49",TRUE,"50+")</f>
        <v/>
      </c>
      <c r="V1291" s="5">
        <f>IFS(O1291&lt;60000,"Low (&lt;60k)",O1291&lt;100000,"Mid (60-100k)",TRUE,"High (100k+)")</f>
        <v/>
      </c>
      <c r="W1291" s="5">
        <f>IF(M1291="No","Attrited","Active")</f>
        <v/>
      </c>
    </row>
    <row r="1292">
      <c r="A1292" s="5" t="inlineStr">
        <is>
          <t>E01291</t>
        </is>
      </c>
      <c r="B1292" s="5" t="inlineStr">
        <is>
          <t>Male</t>
        </is>
      </c>
      <c r="C1292" s="6" t="inlineStr">
        <is>
          <t>32</t>
        </is>
      </c>
      <c r="D1292" s="5" t="inlineStr">
        <is>
          <t>Married</t>
        </is>
      </c>
      <c r="E1292" s="5" t="inlineStr">
        <is>
          <t>Diploma</t>
        </is>
      </c>
      <c r="F1292" s="5" t="inlineStr">
        <is>
          <t>Research &amp; Development</t>
        </is>
      </c>
      <c r="G1292" s="5" t="inlineStr">
        <is>
          <t>Data Scientist</t>
        </is>
      </c>
      <c r="H1292" s="5" t="inlineStr">
        <is>
          <t>4</t>
        </is>
      </c>
      <c r="I1292" s="5" t="inlineStr">
        <is>
          <t>Remote</t>
        </is>
      </c>
      <c r="J1292" s="5" t="inlineStr">
        <is>
          <t>Full-Time</t>
        </is>
      </c>
      <c r="K1292" s="7" t="n">
        <v>43831</v>
      </c>
      <c r="L1292" s="7" t="inlineStr"/>
      <c r="M1292" s="5" t="inlineStr">
        <is>
          <t>Yes</t>
        </is>
      </c>
      <c r="N1292" s="5" t="inlineStr"/>
      <c r="O1292" s="8" t="inlineStr">
        <is>
          <t>210500</t>
        </is>
      </c>
      <c r="P1292" s="5" t="inlineStr">
        <is>
          <t>15</t>
        </is>
      </c>
      <c r="Q1292" s="5" t="inlineStr">
        <is>
          <t>4</t>
        </is>
      </c>
      <c r="R1292" s="5" t="inlineStr">
        <is>
          <t>7</t>
        </is>
      </c>
      <c r="S1292" s="5" t="inlineStr">
        <is>
          <t>73</t>
        </is>
      </c>
      <c r="T1292" s="5" t="inlineStr">
        <is>
          <t>6</t>
        </is>
      </c>
      <c r="U1292" s="5">
        <f>IFS(C1292&lt;30,"Under 30",C1292&lt;40,"30-39",C1292&lt;50,"40-49",TRUE,"50+")</f>
        <v/>
      </c>
      <c r="V1292" s="5">
        <f>IFS(O1292&lt;60000,"Low (&lt;60k)",O1292&lt;100000,"Mid (60-100k)",TRUE,"High (100k+)")</f>
        <v/>
      </c>
      <c r="W1292" s="5">
        <f>IF(M1292="No","Attrited","Active")</f>
        <v/>
      </c>
    </row>
    <row r="1293">
      <c r="A1293" s="5" t="inlineStr">
        <is>
          <t>E01292</t>
        </is>
      </c>
      <c r="B1293" s="5" t="inlineStr">
        <is>
          <t>Male</t>
        </is>
      </c>
      <c r="C1293" s="6" t="inlineStr">
        <is>
          <t>31</t>
        </is>
      </c>
      <c r="D1293" s="5" t="inlineStr">
        <is>
          <t>Married</t>
        </is>
      </c>
      <c r="E1293" s="5" t="inlineStr">
        <is>
          <t>Bachelor</t>
        </is>
      </c>
      <c r="F1293" s="5" t="inlineStr">
        <is>
          <t>Customer Support</t>
        </is>
      </c>
      <c r="G1293" s="5" t="inlineStr">
        <is>
          <t>Escalation Specialist</t>
        </is>
      </c>
      <c r="H1293" s="5" t="inlineStr">
        <is>
          <t>3</t>
        </is>
      </c>
      <c r="I1293" s="5" t="inlineStr">
        <is>
          <t>Chennai</t>
        </is>
      </c>
      <c r="J1293" s="5" t="inlineStr">
        <is>
          <t>Full-Time</t>
        </is>
      </c>
      <c r="K1293" s="7" t="n">
        <v>46012</v>
      </c>
      <c r="L1293" s="7" t="inlineStr"/>
      <c r="M1293" s="5" t="inlineStr">
        <is>
          <t>Yes</t>
        </is>
      </c>
      <c r="N1293" s="5" t="inlineStr"/>
      <c r="O1293" s="8" t="inlineStr">
        <is>
          <t>53500</t>
        </is>
      </c>
      <c r="P1293" s="5" t="inlineStr">
        <is>
          <t>0</t>
        </is>
      </c>
      <c r="Q1293" s="5" t="inlineStr">
        <is>
          <t>2</t>
        </is>
      </c>
      <c r="R1293" s="5" t="inlineStr">
        <is>
          <t>6</t>
        </is>
      </c>
      <c r="S1293" s="5" t="inlineStr">
        <is>
          <t>1</t>
        </is>
      </c>
      <c r="T1293" s="5" t="inlineStr">
        <is>
          <t>4</t>
        </is>
      </c>
      <c r="U1293" s="5">
        <f>IFS(C1293&lt;30,"Under 30",C1293&lt;40,"30-39",C1293&lt;50,"40-49",TRUE,"50+")</f>
        <v/>
      </c>
      <c r="V1293" s="5">
        <f>IFS(O1293&lt;60000,"Low (&lt;60k)",O1293&lt;100000,"Mid (60-100k)",TRUE,"High (100k+)")</f>
        <v/>
      </c>
      <c r="W1293" s="5">
        <f>IF(M1293="No","Attrited","Active")</f>
        <v/>
      </c>
    </row>
    <row r="1294">
      <c r="A1294" s="5" t="inlineStr">
        <is>
          <t>E01293</t>
        </is>
      </c>
      <c r="B1294" s="5" t="inlineStr">
        <is>
          <t>Female</t>
        </is>
      </c>
      <c r="C1294" s="6" t="inlineStr">
        <is>
          <t>34</t>
        </is>
      </c>
      <c r="D1294" s="5" t="inlineStr">
        <is>
          <t>Married</t>
        </is>
      </c>
      <c r="E1294" s="5" t="inlineStr">
        <is>
          <t>Master</t>
        </is>
      </c>
      <c r="F1294" s="5" t="inlineStr">
        <is>
          <t>Finance</t>
        </is>
      </c>
      <c r="G1294" s="5" t="inlineStr">
        <is>
          <t>Financial Analyst</t>
        </is>
      </c>
      <c r="H1294" s="5" t="inlineStr">
        <is>
          <t>2</t>
        </is>
      </c>
      <c r="I1294" s="5" t="inlineStr">
        <is>
          <t>Bengaluru</t>
        </is>
      </c>
      <c r="J1294" s="5" t="inlineStr">
        <is>
          <t>Full-Time</t>
        </is>
      </c>
      <c r="K1294" s="7" t="n">
        <v>45458</v>
      </c>
      <c r="L1294" s="7" t="inlineStr"/>
      <c r="M1294" s="5" t="inlineStr">
        <is>
          <t>Yes</t>
        </is>
      </c>
      <c r="N1294" s="5" t="inlineStr"/>
      <c r="O1294" s="8" t="inlineStr">
        <is>
          <t>92500</t>
        </is>
      </c>
      <c r="P1294" s="5" t="inlineStr">
        <is>
          <t>0</t>
        </is>
      </c>
      <c r="Q1294" s="5" t="inlineStr">
        <is>
          <t>5</t>
        </is>
      </c>
      <c r="R1294" s="5" t="inlineStr">
        <is>
          <t>7</t>
        </is>
      </c>
      <c r="S1294" s="5" t="inlineStr">
        <is>
          <t>18</t>
        </is>
      </c>
      <c r="T1294" s="5" t="inlineStr">
        <is>
          <t>11</t>
        </is>
      </c>
      <c r="U1294" s="5">
        <f>IFS(C1294&lt;30,"Under 30",C1294&lt;40,"30-39",C1294&lt;50,"40-49",TRUE,"50+")</f>
        <v/>
      </c>
      <c r="V1294" s="5">
        <f>IFS(O1294&lt;60000,"Low (&lt;60k)",O1294&lt;100000,"Mid (60-100k)",TRUE,"High (100k+)")</f>
        <v/>
      </c>
      <c r="W1294" s="5">
        <f>IF(M1294="No","Attrited","Active")</f>
        <v/>
      </c>
    </row>
    <row r="1295">
      <c r="A1295" s="5" t="inlineStr">
        <is>
          <t>E01294</t>
        </is>
      </c>
      <c r="B1295" s="5" t="inlineStr">
        <is>
          <t>Female</t>
        </is>
      </c>
      <c r="C1295" s="6" t="inlineStr">
        <is>
          <t>39</t>
        </is>
      </c>
      <c r="D1295" s="5" t="inlineStr">
        <is>
          <t>Married</t>
        </is>
      </c>
      <c r="E1295" s="5" t="inlineStr">
        <is>
          <t>High School</t>
        </is>
      </c>
      <c r="F1295" s="5" t="inlineStr">
        <is>
          <t>Research &amp; Development</t>
        </is>
      </c>
      <c r="G1295" s="5" t="inlineStr">
        <is>
          <t>Product Engineer</t>
        </is>
      </c>
      <c r="H1295" s="5" t="inlineStr">
        <is>
          <t>7</t>
        </is>
      </c>
      <c r="I1295" s="5" t="inlineStr">
        <is>
          <t>Chennai</t>
        </is>
      </c>
      <c r="J1295" s="5" t="inlineStr">
        <is>
          <t>Full-Time</t>
        </is>
      </c>
      <c r="K1295" s="7" t="n">
        <v>45755</v>
      </c>
      <c r="L1295" s="7" t="inlineStr"/>
      <c r="M1295" s="5" t="inlineStr">
        <is>
          <t>Yes</t>
        </is>
      </c>
      <c r="N1295" s="5" t="inlineStr"/>
      <c r="O1295" s="8" t="inlineStr">
        <is>
          <t>243000</t>
        </is>
      </c>
      <c r="P1295" s="5" t="inlineStr">
        <is>
          <t>5</t>
        </is>
      </c>
      <c r="Q1295" s="5" t="inlineStr">
        <is>
          <t>3</t>
        </is>
      </c>
      <c r="R1295" s="5" t="inlineStr">
        <is>
          <t>10</t>
        </is>
      </c>
      <c r="S1295" s="5" t="inlineStr">
        <is>
          <t>8</t>
        </is>
      </c>
      <c r="T1295" s="5" t="inlineStr">
        <is>
          <t>16</t>
        </is>
      </c>
      <c r="U1295" s="5">
        <f>IFS(C1295&lt;30,"Under 30",C1295&lt;40,"30-39",C1295&lt;50,"40-49",TRUE,"50+")</f>
        <v/>
      </c>
      <c r="V1295" s="5">
        <f>IFS(O1295&lt;60000,"Low (&lt;60k)",O1295&lt;100000,"Mid (60-100k)",TRUE,"High (100k+)")</f>
        <v/>
      </c>
      <c r="W1295" s="5">
        <f>IF(M1295="No","Attrited","Active")</f>
        <v/>
      </c>
    </row>
    <row r="1296">
      <c r="A1296" s="5" t="inlineStr">
        <is>
          <t>E01295</t>
        </is>
      </c>
      <c r="B1296" s="5" t="inlineStr">
        <is>
          <t>Male</t>
        </is>
      </c>
      <c r="C1296" s="6" t="inlineStr">
        <is>
          <t>37</t>
        </is>
      </c>
      <c r="D1296" s="5" t="inlineStr">
        <is>
          <t>Married</t>
        </is>
      </c>
      <c r="E1296" s="5" t="inlineStr">
        <is>
          <t>Bachelor</t>
        </is>
      </c>
      <c r="F1296" s="5" t="inlineStr">
        <is>
          <t>Human Resources</t>
        </is>
      </c>
      <c r="G1296" s="5" t="inlineStr">
        <is>
          <t>HR Analyst</t>
        </is>
      </c>
      <c r="H1296" s="5" t="inlineStr">
        <is>
          <t>4</t>
        </is>
      </c>
      <c r="I1296" s="5" t="inlineStr">
        <is>
          <t>Bengaluru</t>
        </is>
      </c>
      <c r="J1296" s="5" t="inlineStr">
        <is>
          <t>Full-Time</t>
        </is>
      </c>
      <c r="K1296" s="7" t="n">
        <v>44584</v>
      </c>
      <c r="L1296" s="7" t="inlineStr"/>
      <c r="M1296" s="5" t="inlineStr">
        <is>
          <t>Yes</t>
        </is>
      </c>
      <c r="N1296" s="5" t="inlineStr"/>
      <c r="O1296" s="8" t="inlineStr">
        <is>
          <t>138000</t>
        </is>
      </c>
      <c r="P1296" s="5" t="inlineStr">
        <is>
          <t>5</t>
        </is>
      </c>
      <c r="Q1296" s="5" t="inlineStr">
        <is>
          <t>4</t>
        </is>
      </c>
      <c r="R1296" s="5" t="inlineStr">
        <is>
          <t>6</t>
        </is>
      </c>
      <c r="S1296" s="5" t="inlineStr">
        <is>
          <t>47</t>
        </is>
      </c>
      <c r="T1296" s="5" t="inlineStr">
        <is>
          <t>5</t>
        </is>
      </c>
      <c r="U1296" s="5">
        <f>IFS(C1296&lt;30,"Under 30",C1296&lt;40,"30-39",C1296&lt;50,"40-49",TRUE,"50+")</f>
        <v/>
      </c>
      <c r="V1296" s="5">
        <f>IFS(O1296&lt;60000,"Low (&lt;60k)",O1296&lt;100000,"Mid (60-100k)",TRUE,"High (100k+)")</f>
        <v/>
      </c>
      <c r="W1296" s="5">
        <f>IF(M1296="No","Attrited","Active")</f>
        <v/>
      </c>
    </row>
    <row r="1297">
      <c r="A1297" s="5" t="inlineStr">
        <is>
          <t>E01296</t>
        </is>
      </c>
      <c r="B1297" s="5" t="inlineStr">
        <is>
          <t>Male</t>
        </is>
      </c>
      <c r="C1297" s="6" t="inlineStr">
        <is>
          <t>28</t>
        </is>
      </c>
      <c r="D1297" s="5" t="inlineStr">
        <is>
          <t>Single</t>
        </is>
      </c>
      <c r="E1297" s="5" t="inlineStr">
        <is>
          <t>Master</t>
        </is>
      </c>
      <c r="F1297" s="5" t="inlineStr">
        <is>
          <t>Research &amp; Development</t>
        </is>
      </c>
      <c r="G1297" s="5" t="inlineStr">
        <is>
          <t>Data Scientist</t>
        </is>
      </c>
      <c r="H1297" s="5" t="inlineStr">
        <is>
          <t>3</t>
        </is>
      </c>
      <c r="I1297" s="5" t="inlineStr">
        <is>
          <t>Delhi</t>
        </is>
      </c>
      <c r="J1297" s="5" t="inlineStr">
        <is>
          <t>Full-Time</t>
        </is>
      </c>
      <c r="K1297" s="7" t="n">
        <v>44799</v>
      </c>
      <c r="L1297" s="7" t="inlineStr"/>
      <c r="M1297" s="5" t="inlineStr">
        <is>
          <t>Yes</t>
        </is>
      </c>
      <c r="N1297" s="5" t="inlineStr"/>
      <c r="O1297" s="8" t="inlineStr">
        <is>
          <t>168000</t>
        </is>
      </c>
      <c r="P1297" s="5" t="inlineStr">
        <is>
          <t>20</t>
        </is>
      </c>
      <c r="Q1297" s="5" t="inlineStr">
        <is>
          <t>3</t>
        </is>
      </c>
      <c r="R1297" s="5" t="inlineStr">
        <is>
          <t>7</t>
        </is>
      </c>
      <c r="S1297" s="5" t="inlineStr">
        <is>
          <t>40</t>
        </is>
      </c>
      <c r="T1297" s="5" t="inlineStr">
        <is>
          <t>10</t>
        </is>
      </c>
      <c r="U1297" s="5">
        <f>IFS(C1297&lt;30,"Under 30",C1297&lt;40,"30-39",C1297&lt;50,"40-49",TRUE,"50+")</f>
        <v/>
      </c>
      <c r="V1297" s="5">
        <f>IFS(O1297&lt;60000,"Low (&lt;60k)",O1297&lt;100000,"Mid (60-100k)",TRUE,"High (100k+)")</f>
        <v/>
      </c>
      <c r="W1297" s="5">
        <f>IF(M1297="No","Attrited","Active")</f>
        <v/>
      </c>
    </row>
    <row r="1298">
      <c r="A1298" s="5" t="inlineStr">
        <is>
          <t>E01297</t>
        </is>
      </c>
      <c r="B1298" s="5" t="inlineStr">
        <is>
          <t>Female</t>
        </is>
      </c>
      <c r="C1298" s="6" t="inlineStr">
        <is>
          <t>32</t>
        </is>
      </c>
      <c r="D1298" s="5" t="inlineStr">
        <is>
          <t>Single</t>
        </is>
      </c>
      <c r="E1298" s="5" t="inlineStr">
        <is>
          <t>Diploma</t>
        </is>
      </c>
      <c r="F1298" s="5" t="inlineStr">
        <is>
          <t>Human Resources</t>
        </is>
      </c>
      <c r="G1298" s="5" t="inlineStr">
        <is>
          <t>HR Generalist</t>
        </is>
      </c>
      <c r="H1298" s="5" t="inlineStr">
        <is>
          <t>3</t>
        </is>
      </c>
      <c r="I1298" s="5" t="inlineStr">
        <is>
          <t>Delhi</t>
        </is>
      </c>
      <c r="J1298" s="5" t="inlineStr">
        <is>
          <t>Full-Time</t>
        </is>
      </c>
      <c r="K1298" s="7" t="n">
        <v>44759</v>
      </c>
      <c r="L1298" s="7" t="inlineStr"/>
      <c r="M1298" s="5" t="inlineStr">
        <is>
          <t>Yes</t>
        </is>
      </c>
      <c r="N1298" s="5" t="inlineStr"/>
      <c r="O1298" s="8" t="inlineStr">
        <is>
          <t>111000</t>
        </is>
      </c>
      <c r="P1298" s="5" t="inlineStr">
        <is>
          <t>15</t>
        </is>
      </c>
      <c r="Q1298" s="5" t="inlineStr">
        <is>
          <t>4</t>
        </is>
      </c>
      <c r="R1298" s="5" t="inlineStr">
        <is>
          <t>4</t>
        </is>
      </c>
      <c r="S1298" s="5" t="inlineStr">
        <is>
          <t>42</t>
        </is>
      </c>
      <c r="T1298" s="5" t="inlineStr">
        <is>
          <t>0</t>
        </is>
      </c>
      <c r="U1298" s="5">
        <f>IFS(C1298&lt;30,"Under 30",C1298&lt;40,"30-39",C1298&lt;50,"40-49",TRUE,"50+")</f>
        <v/>
      </c>
      <c r="V1298" s="5">
        <f>IFS(O1298&lt;60000,"Low (&lt;60k)",O1298&lt;100000,"Mid (60-100k)",TRUE,"High (100k+)")</f>
        <v/>
      </c>
      <c r="W1298" s="5">
        <f>IF(M1298="No","Attrited","Active")</f>
        <v/>
      </c>
    </row>
    <row r="1299">
      <c r="A1299" s="5" t="inlineStr">
        <is>
          <t>E01298</t>
        </is>
      </c>
      <c r="B1299" s="5" t="inlineStr">
        <is>
          <t>Male</t>
        </is>
      </c>
      <c r="C1299" s="6" t="inlineStr">
        <is>
          <t>31</t>
        </is>
      </c>
      <c r="D1299" s="5" t="inlineStr">
        <is>
          <t>Married</t>
        </is>
      </c>
      <c r="E1299" s="5" t="inlineStr">
        <is>
          <t>Master</t>
        </is>
      </c>
      <c r="F1299" s="5" t="inlineStr">
        <is>
          <t>Finance</t>
        </is>
      </c>
      <c r="G1299" s="5" t="inlineStr">
        <is>
          <t>Accountant</t>
        </is>
      </c>
      <c r="H1299" s="5" t="inlineStr">
        <is>
          <t>2</t>
        </is>
      </c>
      <c r="I1299" s="5" t="inlineStr">
        <is>
          <t>Remote</t>
        </is>
      </c>
      <c r="J1299" s="5" t="inlineStr">
        <is>
          <t>Full-Time</t>
        </is>
      </c>
      <c r="K1299" s="7" t="n">
        <v>44406</v>
      </c>
      <c r="L1299" s="7" t="inlineStr"/>
      <c r="M1299" s="5" t="inlineStr">
        <is>
          <t>Yes</t>
        </is>
      </c>
      <c r="N1299" s="5" t="inlineStr"/>
      <c r="O1299" s="8" t="inlineStr">
        <is>
          <t>116000</t>
        </is>
      </c>
      <c r="P1299" s="5" t="inlineStr">
        <is>
          <t>0</t>
        </is>
      </c>
      <c r="Q1299" s="5" t="inlineStr">
        <is>
          <t>4</t>
        </is>
      </c>
      <c r="R1299" s="5" t="inlineStr">
        <is>
          <t>8</t>
        </is>
      </c>
      <c r="S1299" s="5" t="inlineStr">
        <is>
          <t>53</t>
        </is>
      </c>
      <c r="T1299" s="5" t="inlineStr">
        <is>
          <t>1</t>
        </is>
      </c>
      <c r="U1299" s="5">
        <f>IFS(C1299&lt;30,"Under 30",C1299&lt;40,"30-39",C1299&lt;50,"40-49",TRUE,"50+")</f>
        <v/>
      </c>
      <c r="V1299" s="5">
        <f>IFS(O1299&lt;60000,"Low (&lt;60k)",O1299&lt;100000,"Mid (60-100k)",TRUE,"High (100k+)")</f>
        <v/>
      </c>
      <c r="W1299" s="5">
        <f>IF(M1299="No","Attrited","Active")</f>
        <v/>
      </c>
    </row>
    <row r="1300">
      <c r="A1300" s="5" t="inlineStr">
        <is>
          <t>E01299</t>
        </is>
      </c>
      <c r="B1300" s="5" t="inlineStr">
        <is>
          <t>Female</t>
        </is>
      </c>
      <c r="C1300" s="6" t="inlineStr">
        <is>
          <t>34</t>
        </is>
      </c>
      <c r="D1300" s="5" t="inlineStr">
        <is>
          <t>Married</t>
        </is>
      </c>
      <c r="E1300" s="5" t="inlineStr">
        <is>
          <t>High School</t>
        </is>
      </c>
      <c r="F1300" s="5" t="inlineStr">
        <is>
          <t>Operations</t>
        </is>
      </c>
      <c r="G1300" s="5" t="inlineStr">
        <is>
          <t>Quality Analyst</t>
        </is>
      </c>
      <c r="H1300" s="5" t="inlineStr">
        <is>
          <t>4</t>
        </is>
      </c>
      <c r="I1300" s="5" t="inlineStr">
        <is>
          <t>Remote</t>
        </is>
      </c>
      <c r="J1300" s="5" t="inlineStr">
        <is>
          <t>Full-Time</t>
        </is>
      </c>
      <c r="K1300" s="7" t="n">
        <v>44395</v>
      </c>
      <c r="L1300" s="7" t="inlineStr"/>
      <c r="M1300" s="5" t="inlineStr">
        <is>
          <t>Yes</t>
        </is>
      </c>
      <c r="N1300" s="5" t="inlineStr"/>
      <c r="O1300" s="8" t="inlineStr">
        <is>
          <t>141000</t>
        </is>
      </c>
      <c r="P1300" s="5" t="inlineStr">
        <is>
          <t>0</t>
        </is>
      </c>
      <c r="Q1300" s="5" t="inlineStr">
        <is>
          <t>5</t>
        </is>
      </c>
      <c r="R1300" s="5" t="inlineStr">
        <is>
          <t>10</t>
        </is>
      </c>
      <c r="S1300" s="5" t="inlineStr">
        <is>
          <t>54</t>
        </is>
      </c>
      <c r="T1300" s="5" t="inlineStr">
        <is>
          <t>0</t>
        </is>
      </c>
      <c r="U1300" s="5">
        <f>IFS(C1300&lt;30,"Under 30",C1300&lt;40,"30-39",C1300&lt;50,"40-49",TRUE,"50+")</f>
        <v/>
      </c>
      <c r="V1300" s="5">
        <f>IFS(O1300&lt;60000,"Low (&lt;60k)",O1300&lt;100000,"Mid (60-100k)",TRUE,"High (100k+)")</f>
        <v/>
      </c>
      <c r="W1300" s="5">
        <f>IF(M1300="No","Attrited","Active")</f>
        <v/>
      </c>
    </row>
    <row r="1301">
      <c r="A1301" s="5" t="inlineStr">
        <is>
          <t>E01300</t>
        </is>
      </c>
      <c r="B1301" s="5" t="inlineStr">
        <is>
          <t>Male</t>
        </is>
      </c>
      <c r="C1301" s="6" t="inlineStr">
        <is>
          <t>33</t>
        </is>
      </c>
      <c r="D1301" s="5" t="inlineStr">
        <is>
          <t>Married</t>
        </is>
      </c>
      <c r="E1301" s="5" t="inlineStr">
        <is>
          <t>Diploma</t>
        </is>
      </c>
      <c r="F1301" s="5" t="inlineStr">
        <is>
          <t>Customer Support</t>
        </is>
      </c>
      <c r="G1301" s="5" t="inlineStr">
        <is>
          <t>Escalation Specialist</t>
        </is>
      </c>
      <c r="H1301" s="5" t="inlineStr">
        <is>
          <t>2</t>
        </is>
      </c>
      <c r="I1301" s="5" t="inlineStr">
        <is>
          <t>Delhi</t>
        </is>
      </c>
      <c r="J1301" s="5" t="inlineStr">
        <is>
          <t>Full-Time</t>
        </is>
      </c>
      <c r="K1301" s="7" t="n">
        <v>45973</v>
      </c>
      <c r="L1301" s="7" t="inlineStr"/>
      <c r="M1301" s="5" t="inlineStr">
        <is>
          <t>Yes</t>
        </is>
      </c>
      <c r="N1301" s="5" t="inlineStr"/>
      <c r="O1301" s="8" t="inlineStr">
        <is>
          <t>57000</t>
        </is>
      </c>
      <c r="P1301" s="5" t="inlineStr">
        <is>
          <t>10</t>
        </is>
      </c>
      <c r="Q1301" s="5" t="inlineStr">
        <is>
          <t>4</t>
        </is>
      </c>
      <c r="R1301" s="5" t="inlineStr">
        <is>
          <t>5</t>
        </is>
      </c>
      <c r="S1301" s="5" t="inlineStr">
        <is>
          <t>1</t>
        </is>
      </c>
      <c r="T1301" s="5" t="inlineStr">
        <is>
          <t>8</t>
        </is>
      </c>
      <c r="U1301" s="5">
        <f>IFS(C1301&lt;30,"Under 30",C1301&lt;40,"30-39",C1301&lt;50,"40-49",TRUE,"50+")</f>
        <v/>
      </c>
      <c r="V1301" s="5">
        <f>IFS(O1301&lt;60000,"Low (&lt;60k)",O1301&lt;100000,"Mid (60-100k)",TRUE,"High (100k+)")</f>
        <v/>
      </c>
      <c r="W1301" s="5">
        <f>IF(M1301="No","Attrited","Active")</f>
        <v/>
      </c>
    </row>
    <row r="1302">
      <c r="A1302" s="5" t="inlineStr">
        <is>
          <t>E01301</t>
        </is>
      </c>
      <c r="B1302" s="5" t="inlineStr">
        <is>
          <t>Female</t>
        </is>
      </c>
      <c r="C1302" s="6" t="inlineStr">
        <is>
          <t>27</t>
        </is>
      </c>
      <c r="D1302" s="5" t="inlineStr">
        <is>
          <t>Single</t>
        </is>
      </c>
      <c r="E1302" s="5" t="inlineStr">
        <is>
          <t>High School</t>
        </is>
      </c>
      <c r="F1302" s="5" t="inlineStr">
        <is>
          <t>IT</t>
        </is>
      </c>
      <c r="G1302" s="5" t="inlineStr">
        <is>
          <t>Data Analyst</t>
        </is>
      </c>
      <c r="H1302" s="5" t="inlineStr">
        <is>
          <t>1</t>
        </is>
      </c>
      <c r="I1302" s="5" t="inlineStr">
        <is>
          <t>Remote</t>
        </is>
      </c>
      <c r="J1302" s="5" t="inlineStr">
        <is>
          <t>Full-Time</t>
        </is>
      </c>
      <c r="K1302" s="7" t="n">
        <v>44444</v>
      </c>
      <c r="L1302" s="7" t="n">
        <v>44533</v>
      </c>
      <c r="M1302" s="5" t="inlineStr">
        <is>
          <t>No</t>
        </is>
      </c>
      <c r="N1302" s="5" t="inlineStr">
        <is>
          <t>Resigned</t>
        </is>
      </c>
      <c r="O1302" s="8" t="inlineStr">
        <is>
          <t>92000</t>
        </is>
      </c>
      <c r="P1302" s="5" t="inlineStr">
        <is>
          <t>0</t>
        </is>
      </c>
      <c r="Q1302" s="5" t="inlineStr">
        <is>
          <t>3</t>
        </is>
      </c>
      <c r="R1302" s="5" t="inlineStr">
        <is>
          <t>9</t>
        </is>
      </c>
      <c r="S1302" s="5" t="inlineStr">
        <is>
          <t>2</t>
        </is>
      </c>
      <c r="T1302" s="5" t="inlineStr">
        <is>
          <t>5</t>
        </is>
      </c>
      <c r="U1302" s="5">
        <f>IFS(C1302&lt;30,"Under 30",C1302&lt;40,"30-39",C1302&lt;50,"40-49",TRUE,"50+")</f>
        <v/>
      </c>
      <c r="V1302" s="5">
        <f>IFS(O1302&lt;60000,"Low (&lt;60k)",O1302&lt;100000,"Mid (60-100k)",TRUE,"High (100k+)")</f>
        <v/>
      </c>
      <c r="W1302" s="5">
        <f>IF(M1302="No","Attrited","Active")</f>
        <v/>
      </c>
    </row>
    <row r="1303">
      <c r="A1303" s="5" t="inlineStr">
        <is>
          <t>E01302</t>
        </is>
      </c>
      <c r="B1303" s="5" t="inlineStr">
        <is>
          <t>Female</t>
        </is>
      </c>
      <c r="C1303" s="6" t="inlineStr">
        <is>
          <t>29</t>
        </is>
      </c>
      <c r="D1303" s="5" t="inlineStr">
        <is>
          <t>Divorced</t>
        </is>
      </c>
      <c r="E1303" s="5" t="inlineStr">
        <is>
          <t>Diploma</t>
        </is>
      </c>
      <c r="F1303" s="5" t="inlineStr">
        <is>
          <t>Customer Support</t>
        </is>
      </c>
      <c r="G1303" s="5" t="inlineStr">
        <is>
          <t>Support Lead</t>
        </is>
      </c>
      <c r="H1303" s="5" t="inlineStr">
        <is>
          <t>4</t>
        </is>
      </c>
      <c r="I1303" s="5" t="inlineStr">
        <is>
          <t>Bengaluru</t>
        </is>
      </c>
      <c r="J1303" s="5" t="inlineStr">
        <is>
          <t>Full-Time</t>
        </is>
      </c>
      <c r="K1303" s="7" t="n">
        <v>44910</v>
      </c>
      <c r="L1303" s="7" t="inlineStr"/>
      <c r="M1303" s="5" t="inlineStr">
        <is>
          <t>Yes</t>
        </is>
      </c>
      <c r="N1303" s="5" t="inlineStr"/>
      <c r="O1303" s="8" t="inlineStr">
        <is>
          <t>82500</t>
        </is>
      </c>
      <c r="P1303" s="5" t="inlineStr">
        <is>
          <t>0</t>
        </is>
      </c>
      <c r="Q1303" s="5" t="inlineStr">
        <is>
          <t>5</t>
        </is>
      </c>
      <c r="R1303" s="5" t="inlineStr">
        <is>
          <t>10</t>
        </is>
      </c>
      <c r="S1303" s="5" t="inlineStr">
        <is>
          <t>37</t>
        </is>
      </c>
      <c r="T1303" s="5" t="inlineStr">
        <is>
          <t>7</t>
        </is>
      </c>
      <c r="U1303" s="5">
        <f>IFS(C1303&lt;30,"Under 30",C1303&lt;40,"30-39",C1303&lt;50,"40-49",TRUE,"50+")</f>
        <v/>
      </c>
      <c r="V1303" s="5">
        <f>IFS(O1303&lt;60000,"Low (&lt;60k)",O1303&lt;100000,"Mid (60-100k)",TRUE,"High (100k+)")</f>
        <v/>
      </c>
      <c r="W1303" s="5">
        <f>IF(M1303="No","Attrited","Active")</f>
        <v/>
      </c>
    </row>
    <row r="1304">
      <c r="A1304" s="5" t="inlineStr">
        <is>
          <t>E01303</t>
        </is>
      </c>
      <c r="B1304" s="5" t="inlineStr">
        <is>
          <t>Female</t>
        </is>
      </c>
      <c r="C1304" s="6" t="inlineStr">
        <is>
          <t>29</t>
        </is>
      </c>
      <c r="D1304" s="5" t="inlineStr">
        <is>
          <t>Married</t>
        </is>
      </c>
      <c r="E1304" s="5" t="inlineStr">
        <is>
          <t>Bachelor</t>
        </is>
      </c>
      <c r="F1304" s="5" t="inlineStr">
        <is>
          <t>Customer Support</t>
        </is>
      </c>
      <c r="G1304" s="5" t="inlineStr">
        <is>
          <t>Support Lead</t>
        </is>
      </c>
      <c r="H1304" s="5" t="inlineStr">
        <is>
          <t>2</t>
        </is>
      </c>
      <c r="I1304" s="5" t="inlineStr">
        <is>
          <t>Delhi</t>
        </is>
      </c>
      <c r="J1304" s="5" t="inlineStr">
        <is>
          <t>Full-Time</t>
        </is>
      </c>
      <c r="K1304" s="7" t="n">
        <v>44332</v>
      </c>
      <c r="L1304" s="7" t="n">
        <v>44480</v>
      </c>
      <c r="M1304" s="5" t="inlineStr">
        <is>
          <t>No</t>
        </is>
      </c>
      <c r="N1304" s="5" t="inlineStr">
        <is>
          <t>Resigned</t>
        </is>
      </c>
      <c r="O1304" s="8" t="inlineStr">
        <is>
          <t>84000</t>
        </is>
      </c>
      <c r="P1304" s="5" t="inlineStr">
        <is>
          <t>5</t>
        </is>
      </c>
      <c r="Q1304" s="5" t="inlineStr">
        <is>
          <t>5</t>
        </is>
      </c>
      <c r="R1304" s="5" t="inlineStr">
        <is>
          <t>5</t>
        </is>
      </c>
      <c r="S1304" s="5" t="inlineStr">
        <is>
          <t>4</t>
        </is>
      </c>
      <c r="T1304" s="5" t="inlineStr">
        <is>
          <t>7</t>
        </is>
      </c>
      <c r="U1304" s="5">
        <f>IFS(C1304&lt;30,"Under 30",C1304&lt;40,"30-39",C1304&lt;50,"40-49",TRUE,"50+")</f>
        <v/>
      </c>
      <c r="V1304" s="5">
        <f>IFS(O1304&lt;60000,"Low (&lt;60k)",O1304&lt;100000,"Mid (60-100k)",TRUE,"High (100k+)")</f>
        <v/>
      </c>
      <c r="W1304" s="5">
        <f>IF(M1304="No","Attrited","Active")</f>
        <v/>
      </c>
    </row>
    <row r="1305">
      <c r="A1305" s="5" t="inlineStr">
        <is>
          <t>E01304</t>
        </is>
      </c>
      <c r="B1305" s="5" t="inlineStr">
        <is>
          <t>Male</t>
        </is>
      </c>
      <c r="C1305" s="6" t="inlineStr">
        <is>
          <t>28</t>
        </is>
      </c>
      <c r="D1305" s="5" t="inlineStr">
        <is>
          <t>Married</t>
        </is>
      </c>
      <c r="E1305" s="5" t="inlineStr">
        <is>
          <t>Diploma</t>
        </is>
      </c>
      <c r="F1305" s="5" t="inlineStr">
        <is>
          <t>IT</t>
        </is>
      </c>
      <c r="G1305" s="5" t="inlineStr">
        <is>
          <t>Data Analyst</t>
        </is>
      </c>
      <c r="H1305" s="5" t="inlineStr">
        <is>
          <t>2</t>
        </is>
      </c>
      <c r="I1305" s="5" t="inlineStr">
        <is>
          <t>Delhi</t>
        </is>
      </c>
      <c r="J1305" s="5" t="inlineStr">
        <is>
          <t>Full-Time</t>
        </is>
      </c>
      <c r="K1305" s="7" t="n">
        <v>44943</v>
      </c>
      <c r="L1305" s="7" t="inlineStr"/>
      <c r="M1305" s="5" t="inlineStr">
        <is>
          <t>Yes</t>
        </is>
      </c>
      <c r="N1305" s="5" t="inlineStr"/>
      <c r="O1305" s="8" t="inlineStr">
        <is>
          <t>125000</t>
        </is>
      </c>
      <c r="P1305" s="5" t="inlineStr">
        <is>
          <t>0</t>
        </is>
      </c>
      <c r="Q1305" s="5" t="inlineStr">
        <is>
          <t>3</t>
        </is>
      </c>
      <c r="R1305" s="5" t="inlineStr">
        <is>
          <t>5</t>
        </is>
      </c>
      <c r="S1305" s="5" t="inlineStr">
        <is>
          <t>35</t>
        </is>
      </c>
      <c r="T1305" s="5" t="inlineStr">
        <is>
          <t>7</t>
        </is>
      </c>
      <c r="U1305" s="5">
        <f>IFS(C1305&lt;30,"Under 30",C1305&lt;40,"30-39",C1305&lt;50,"40-49",TRUE,"50+")</f>
        <v/>
      </c>
      <c r="V1305" s="5">
        <f>IFS(O1305&lt;60000,"Low (&lt;60k)",O1305&lt;100000,"Mid (60-100k)",TRUE,"High (100k+)")</f>
        <v/>
      </c>
      <c r="W1305" s="5">
        <f>IF(M1305="No","Attrited","Active")</f>
        <v/>
      </c>
    </row>
    <row r="1306">
      <c r="A1306" s="5" t="inlineStr">
        <is>
          <t>E01305</t>
        </is>
      </c>
      <c r="B1306" s="5" t="inlineStr">
        <is>
          <t>Male</t>
        </is>
      </c>
      <c r="C1306" s="6" t="inlineStr">
        <is>
          <t>33</t>
        </is>
      </c>
      <c r="D1306" s="5" t="inlineStr">
        <is>
          <t>Married</t>
        </is>
      </c>
      <c r="E1306" s="5" t="inlineStr">
        <is>
          <t>PhD</t>
        </is>
      </c>
      <c r="F1306" s="5" t="inlineStr">
        <is>
          <t>Customer Support</t>
        </is>
      </c>
      <c r="G1306" s="5" t="inlineStr">
        <is>
          <t>Support Agent</t>
        </is>
      </c>
      <c r="H1306" s="5" t="inlineStr">
        <is>
          <t>1</t>
        </is>
      </c>
      <c r="I1306" s="5" t="inlineStr">
        <is>
          <t>Hyderabad</t>
        </is>
      </c>
      <c r="J1306" s="5" t="inlineStr">
        <is>
          <t>Full-Time</t>
        </is>
      </c>
      <c r="K1306" s="7" t="n">
        <v>43897</v>
      </c>
      <c r="L1306" s="7" t="inlineStr"/>
      <c r="M1306" s="5" t="inlineStr">
        <is>
          <t>Yes</t>
        </is>
      </c>
      <c r="N1306" s="5" t="inlineStr"/>
      <c r="O1306" s="8" t="inlineStr">
        <is>
          <t>41000</t>
        </is>
      </c>
      <c r="P1306" s="5" t="inlineStr">
        <is>
          <t>0</t>
        </is>
      </c>
      <c r="Q1306" s="5" t="inlineStr">
        <is>
          <t>3</t>
        </is>
      </c>
      <c r="R1306" s="5" t="inlineStr">
        <is>
          <t>7</t>
        </is>
      </c>
      <c r="S1306" s="5" t="inlineStr">
        <is>
          <t>70</t>
        </is>
      </c>
      <c r="T1306" s="5" t="inlineStr">
        <is>
          <t>17</t>
        </is>
      </c>
      <c r="U1306" s="5">
        <f>IFS(C1306&lt;30,"Under 30",C1306&lt;40,"30-39",C1306&lt;50,"40-49",TRUE,"50+")</f>
        <v/>
      </c>
      <c r="V1306" s="5">
        <f>IFS(O1306&lt;60000,"Low (&lt;60k)",O1306&lt;100000,"Mid (60-100k)",TRUE,"High (100k+)")</f>
        <v/>
      </c>
      <c r="W1306" s="5">
        <f>IF(M1306="No","Attrited","Active")</f>
        <v/>
      </c>
    </row>
    <row r="1307">
      <c r="A1307" s="5" t="inlineStr">
        <is>
          <t>E01306</t>
        </is>
      </c>
      <c r="B1307" s="5" t="inlineStr">
        <is>
          <t>Female</t>
        </is>
      </c>
      <c r="C1307" s="6" t="inlineStr">
        <is>
          <t>28</t>
        </is>
      </c>
      <c r="D1307" s="5" t="inlineStr">
        <is>
          <t>Married</t>
        </is>
      </c>
      <c r="E1307" s="5" t="inlineStr">
        <is>
          <t>Diploma</t>
        </is>
      </c>
      <c r="F1307" s="5" t="inlineStr">
        <is>
          <t>Customer Support</t>
        </is>
      </c>
      <c r="G1307" s="5" t="inlineStr">
        <is>
          <t>Support Agent</t>
        </is>
      </c>
      <c r="H1307" s="5" t="inlineStr">
        <is>
          <t>3</t>
        </is>
      </c>
      <c r="I1307" s="5" t="inlineStr">
        <is>
          <t>Chennai</t>
        </is>
      </c>
      <c r="J1307" s="5" t="inlineStr">
        <is>
          <t>Full-Time</t>
        </is>
      </c>
      <c r="K1307" s="7" t="n">
        <v>46020</v>
      </c>
      <c r="L1307" s="7" t="inlineStr"/>
      <c r="M1307" s="5" t="inlineStr">
        <is>
          <t>Yes</t>
        </is>
      </c>
      <c r="N1307" s="5" t="inlineStr"/>
      <c r="O1307" s="8" t="inlineStr">
        <is>
          <t>71000</t>
        </is>
      </c>
      <c r="P1307" s="5" t="inlineStr">
        <is>
          <t>5</t>
        </is>
      </c>
      <c r="Q1307" s="5" t="inlineStr">
        <is>
          <t>4</t>
        </is>
      </c>
      <c r="R1307" s="5" t="inlineStr">
        <is>
          <t>10</t>
        </is>
      </c>
      <c r="S1307" s="5" t="inlineStr">
        <is>
          <t>1</t>
        </is>
      </c>
      <c r="T1307" s="5" t="inlineStr">
        <is>
          <t>1</t>
        </is>
      </c>
      <c r="U1307" s="5">
        <f>IFS(C1307&lt;30,"Under 30",C1307&lt;40,"30-39",C1307&lt;50,"40-49",TRUE,"50+")</f>
        <v/>
      </c>
      <c r="V1307" s="5">
        <f>IFS(O1307&lt;60000,"Low (&lt;60k)",O1307&lt;100000,"Mid (60-100k)",TRUE,"High (100k+)")</f>
        <v/>
      </c>
      <c r="W1307" s="5">
        <f>IF(M1307="No","Attrited","Active")</f>
        <v/>
      </c>
    </row>
    <row r="1308">
      <c r="A1308" s="5" t="inlineStr">
        <is>
          <t>E01307</t>
        </is>
      </c>
      <c r="B1308" s="5" t="inlineStr">
        <is>
          <t>Male</t>
        </is>
      </c>
      <c r="C1308" s="6" t="inlineStr">
        <is>
          <t>29</t>
        </is>
      </c>
      <c r="D1308" s="5" t="inlineStr">
        <is>
          <t>Married</t>
        </is>
      </c>
      <c r="E1308" s="5" t="inlineStr">
        <is>
          <t>PhD</t>
        </is>
      </c>
      <c r="F1308" s="5" t="inlineStr">
        <is>
          <t>Research &amp; Development</t>
        </is>
      </c>
      <c r="G1308" s="5" t="inlineStr">
        <is>
          <t>Data Scientist</t>
        </is>
      </c>
      <c r="H1308" s="5" t="inlineStr">
        <is>
          <t>2</t>
        </is>
      </c>
      <c r="I1308" s="5" t="inlineStr">
        <is>
          <t>Hyderabad</t>
        </is>
      </c>
      <c r="J1308" s="5" t="inlineStr">
        <is>
          <t>Full-Time</t>
        </is>
      </c>
      <c r="K1308" s="7" t="n">
        <v>45152</v>
      </c>
      <c r="L1308" s="7" t="inlineStr"/>
      <c r="M1308" s="5" t="inlineStr">
        <is>
          <t>Yes</t>
        </is>
      </c>
      <c r="N1308" s="5" t="inlineStr"/>
      <c r="O1308" s="8" t="inlineStr">
        <is>
          <t>111500</t>
        </is>
      </c>
      <c r="P1308" s="5" t="inlineStr">
        <is>
          <t>10</t>
        </is>
      </c>
      <c r="Q1308" s="5" t="inlineStr">
        <is>
          <t>3</t>
        </is>
      </c>
      <c r="R1308" s="5" t="inlineStr">
        <is>
          <t>7</t>
        </is>
      </c>
      <c r="S1308" s="5" t="inlineStr">
        <is>
          <t>29</t>
        </is>
      </c>
      <c r="T1308" s="5" t="inlineStr">
        <is>
          <t>6</t>
        </is>
      </c>
      <c r="U1308" s="5">
        <f>IFS(C1308&lt;30,"Under 30",C1308&lt;40,"30-39",C1308&lt;50,"40-49",TRUE,"50+")</f>
        <v/>
      </c>
      <c r="V1308" s="5">
        <f>IFS(O1308&lt;60000,"Low (&lt;60k)",O1308&lt;100000,"Mid (60-100k)",TRUE,"High (100k+)")</f>
        <v/>
      </c>
      <c r="W1308" s="5">
        <f>IF(M1308="No","Attrited","Active")</f>
        <v/>
      </c>
    </row>
    <row r="1309">
      <c r="A1309" s="5" t="inlineStr">
        <is>
          <t>E01308</t>
        </is>
      </c>
      <c r="B1309" s="5" t="inlineStr">
        <is>
          <t>Male</t>
        </is>
      </c>
      <c r="C1309" s="6" t="inlineStr">
        <is>
          <t>29</t>
        </is>
      </c>
      <c r="D1309" s="5" t="inlineStr">
        <is>
          <t>Single</t>
        </is>
      </c>
      <c r="E1309" s="5" t="inlineStr">
        <is>
          <t>Diploma</t>
        </is>
      </c>
      <c r="F1309" s="5" t="inlineStr">
        <is>
          <t>Research &amp; Development</t>
        </is>
      </c>
      <c r="G1309" s="5" t="inlineStr">
        <is>
          <t>Research Scientist</t>
        </is>
      </c>
      <c r="H1309" s="5" t="inlineStr">
        <is>
          <t>1</t>
        </is>
      </c>
      <c r="I1309" s="5" t="inlineStr">
        <is>
          <t>Mumbai</t>
        </is>
      </c>
      <c r="J1309" s="5" t="inlineStr">
        <is>
          <t>Full-Time</t>
        </is>
      </c>
      <c r="K1309" s="7" t="n">
        <v>44882</v>
      </c>
      <c r="L1309" s="7" t="inlineStr"/>
      <c r="M1309" s="5" t="inlineStr">
        <is>
          <t>Yes</t>
        </is>
      </c>
      <c r="N1309" s="5" t="inlineStr"/>
      <c r="O1309" s="8" t="inlineStr">
        <is>
          <t>158500</t>
        </is>
      </c>
      <c r="P1309" s="5" t="inlineStr">
        <is>
          <t>5</t>
        </is>
      </c>
      <c r="Q1309" s="5" t="inlineStr">
        <is>
          <t>3</t>
        </is>
      </c>
      <c r="R1309" s="5" t="inlineStr">
        <is>
          <t>5</t>
        </is>
      </c>
      <c r="S1309" s="5" t="inlineStr">
        <is>
          <t>38</t>
        </is>
      </c>
      <c r="T1309" s="5" t="inlineStr">
        <is>
          <t>0</t>
        </is>
      </c>
      <c r="U1309" s="5">
        <f>IFS(C1309&lt;30,"Under 30",C1309&lt;40,"30-39",C1309&lt;50,"40-49",TRUE,"50+")</f>
        <v/>
      </c>
      <c r="V1309" s="5">
        <f>IFS(O1309&lt;60000,"Low (&lt;60k)",O1309&lt;100000,"Mid (60-100k)",TRUE,"High (100k+)")</f>
        <v/>
      </c>
      <c r="W1309" s="5">
        <f>IF(M1309="No","Attrited","Active")</f>
        <v/>
      </c>
    </row>
    <row r="1310">
      <c r="A1310" s="5" t="inlineStr">
        <is>
          <t>E01309</t>
        </is>
      </c>
      <c r="B1310" s="5" t="inlineStr">
        <is>
          <t>Female</t>
        </is>
      </c>
      <c r="C1310" s="6" t="inlineStr">
        <is>
          <t>30</t>
        </is>
      </c>
      <c r="D1310" s="5" t="inlineStr">
        <is>
          <t>Married</t>
        </is>
      </c>
      <c r="E1310" s="5" t="inlineStr">
        <is>
          <t>Bachelor</t>
        </is>
      </c>
      <c r="F1310" s="5" t="inlineStr">
        <is>
          <t>Finance</t>
        </is>
      </c>
      <c r="G1310" s="5" t="inlineStr">
        <is>
          <t>Credit Analyst</t>
        </is>
      </c>
      <c r="H1310" s="5" t="inlineStr">
        <is>
          <t>2</t>
        </is>
      </c>
      <c r="I1310" s="5" t="inlineStr">
        <is>
          <t>Mumbai</t>
        </is>
      </c>
      <c r="J1310" s="5" t="inlineStr">
        <is>
          <t>Full-Time</t>
        </is>
      </c>
      <c r="K1310" s="7" t="n">
        <v>44259</v>
      </c>
      <c r="L1310" s="7" t="inlineStr"/>
      <c r="M1310" s="5" t="inlineStr">
        <is>
          <t>Yes</t>
        </is>
      </c>
      <c r="N1310" s="5" t="inlineStr"/>
      <c r="O1310" s="8" t="inlineStr">
        <is>
          <t>118000</t>
        </is>
      </c>
      <c r="P1310" s="5" t="inlineStr">
        <is>
          <t>10</t>
        </is>
      </c>
      <c r="Q1310" s="5" t="inlineStr">
        <is>
          <t>5</t>
        </is>
      </c>
      <c r="R1310" s="5" t="inlineStr">
        <is>
          <t>6</t>
        </is>
      </c>
      <c r="S1310" s="5" t="inlineStr">
        <is>
          <t>58</t>
        </is>
      </c>
      <c r="T1310" s="5" t="inlineStr">
        <is>
          <t>4</t>
        </is>
      </c>
      <c r="U1310" s="5">
        <f>IFS(C1310&lt;30,"Under 30",C1310&lt;40,"30-39",C1310&lt;50,"40-49",TRUE,"50+")</f>
        <v/>
      </c>
      <c r="V1310" s="5">
        <f>IFS(O1310&lt;60000,"Low (&lt;60k)",O1310&lt;100000,"Mid (60-100k)",TRUE,"High (100k+)")</f>
        <v/>
      </c>
      <c r="W1310" s="5">
        <f>IF(M1310="No","Attrited","Active")</f>
        <v/>
      </c>
    </row>
    <row r="1311">
      <c r="A1311" s="5" t="inlineStr">
        <is>
          <t>E01310</t>
        </is>
      </c>
      <c r="B1311" s="5" t="inlineStr">
        <is>
          <t>Male</t>
        </is>
      </c>
      <c r="C1311" s="6" t="inlineStr">
        <is>
          <t>36</t>
        </is>
      </c>
      <c r="D1311" s="5" t="inlineStr">
        <is>
          <t>Divorced</t>
        </is>
      </c>
      <c r="E1311" s="5" t="inlineStr">
        <is>
          <t>High School</t>
        </is>
      </c>
      <c r="F1311" s="5" t="inlineStr">
        <is>
          <t>Sales</t>
        </is>
      </c>
      <c r="G1311" s="5" t="inlineStr">
        <is>
          <t>Sales Executive</t>
        </is>
      </c>
      <c r="H1311" s="5" t="inlineStr">
        <is>
          <t>2</t>
        </is>
      </c>
      <c r="I1311" s="5" t="inlineStr">
        <is>
          <t>Chennai</t>
        </is>
      </c>
      <c r="J1311" s="5" t="inlineStr">
        <is>
          <t>Contract</t>
        </is>
      </c>
      <c r="K1311" s="7" t="n">
        <v>45329</v>
      </c>
      <c r="L1311" s="7" t="n">
        <v>45423</v>
      </c>
      <c r="M1311" s="5" t="inlineStr">
        <is>
          <t>No</t>
        </is>
      </c>
      <c r="N1311" s="5" t="inlineStr">
        <is>
          <t>Resigned</t>
        </is>
      </c>
      <c r="O1311" s="8" t="inlineStr">
        <is>
          <t>71000</t>
        </is>
      </c>
      <c r="P1311" s="5" t="inlineStr">
        <is>
          <t>15</t>
        </is>
      </c>
      <c r="Q1311" s="5" t="inlineStr">
        <is>
          <t>3</t>
        </is>
      </c>
      <c r="R1311" s="5" t="inlineStr">
        <is>
          <t>5</t>
        </is>
      </c>
      <c r="S1311" s="5" t="inlineStr">
        <is>
          <t>3</t>
        </is>
      </c>
      <c r="T1311" s="5" t="inlineStr">
        <is>
          <t>15</t>
        </is>
      </c>
      <c r="U1311" s="5">
        <f>IFS(C1311&lt;30,"Under 30",C1311&lt;40,"30-39",C1311&lt;50,"40-49",TRUE,"50+")</f>
        <v/>
      </c>
      <c r="V1311" s="5">
        <f>IFS(O1311&lt;60000,"Low (&lt;60k)",O1311&lt;100000,"Mid (60-100k)",TRUE,"High (100k+)")</f>
        <v/>
      </c>
      <c r="W1311" s="5">
        <f>IF(M1311="No","Attrited","Active")</f>
        <v/>
      </c>
    </row>
    <row r="1312">
      <c r="A1312" s="5" t="inlineStr">
        <is>
          <t>E01311</t>
        </is>
      </c>
      <c r="B1312" s="5" t="inlineStr">
        <is>
          <t>Male</t>
        </is>
      </c>
      <c r="C1312" s="6" t="inlineStr">
        <is>
          <t>27</t>
        </is>
      </c>
      <c r="D1312" s="5" t="inlineStr">
        <is>
          <t>Single</t>
        </is>
      </c>
      <c r="E1312" s="5" t="inlineStr">
        <is>
          <t>PhD</t>
        </is>
      </c>
      <c r="F1312" s="5" t="inlineStr">
        <is>
          <t>Research &amp; Development</t>
        </is>
      </c>
      <c r="G1312" s="5" t="inlineStr">
        <is>
          <t>Data Scientist</t>
        </is>
      </c>
      <c r="H1312" s="5" t="inlineStr">
        <is>
          <t>1</t>
        </is>
      </c>
      <c r="I1312" s="5" t="inlineStr">
        <is>
          <t>Bengaluru</t>
        </is>
      </c>
      <c r="J1312" s="5" t="inlineStr">
        <is>
          <t>Full-Time</t>
        </is>
      </c>
      <c r="K1312" s="7" t="n">
        <v>45186</v>
      </c>
      <c r="L1312" s="7" t="inlineStr"/>
      <c r="M1312" s="5" t="inlineStr">
        <is>
          <t>Yes</t>
        </is>
      </c>
      <c r="N1312" s="5" t="inlineStr"/>
      <c r="O1312" s="8" t="inlineStr">
        <is>
          <t>156000</t>
        </is>
      </c>
      <c r="P1312" s="5" t="inlineStr">
        <is>
          <t>5</t>
        </is>
      </c>
      <c r="Q1312" s="5" t="inlineStr">
        <is>
          <t>4</t>
        </is>
      </c>
      <c r="R1312" s="5" t="inlineStr">
        <is>
          <t>3</t>
        </is>
      </c>
      <c r="S1312" s="5" t="inlineStr">
        <is>
          <t>27</t>
        </is>
      </c>
      <c r="T1312" s="5" t="inlineStr">
        <is>
          <t>0</t>
        </is>
      </c>
      <c r="U1312" s="5">
        <f>IFS(C1312&lt;30,"Under 30",C1312&lt;40,"30-39",C1312&lt;50,"40-49",TRUE,"50+")</f>
        <v/>
      </c>
      <c r="V1312" s="5">
        <f>IFS(O1312&lt;60000,"Low (&lt;60k)",O1312&lt;100000,"Mid (60-100k)",TRUE,"High (100k+)")</f>
        <v/>
      </c>
      <c r="W1312" s="5">
        <f>IF(M1312="No","Attrited","Active")</f>
        <v/>
      </c>
    </row>
    <row r="1313">
      <c r="A1313" s="5" t="inlineStr">
        <is>
          <t>E01312</t>
        </is>
      </c>
      <c r="B1313" s="5" t="inlineStr">
        <is>
          <t>Female</t>
        </is>
      </c>
      <c r="C1313" s="6" t="inlineStr">
        <is>
          <t>36</t>
        </is>
      </c>
      <c r="D1313" s="5" t="inlineStr">
        <is>
          <t>Married</t>
        </is>
      </c>
      <c r="E1313" s="5" t="inlineStr">
        <is>
          <t>Bachelor</t>
        </is>
      </c>
      <c r="F1313" s="5" t="inlineStr">
        <is>
          <t>Research &amp; Development</t>
        </is>
      </c>
      <c r="G1313" s="5" t="inlineStr">
        <is>
          <t>Research Scientist</t>
        </is>
      </c>
      <c r="H1313" s="5" t="inlineStr">
        <is>
          <t>2</t>
        </is>
      </c>
      <c r="I1313" s="5" t="inlineStr">
        <is>
          <t>Bengaluru</t>
        </is>
      </c>
      <c r="J1313" s="5" t="inlineStr">
        <is>
          <t>Part-Time</t>
        </is>
      </c>
      <c r="K1313" s="7" t="n">
        <v>45221</v>
      </c>
      <c r="L1313" s="7" t="inlineStr"/>
      <c r="M1313" s="5" t="inlineStr">
        <is>
          <t>Yes</t>
        </is>
      </c>
      <c r="N1313" s="5" t="inlineStr"/>
      <c r="O1313" s="8" t="inlineStr">
        <is>
          <t>114000</t>
        </is>
      </c>
      <c r="P1313" s="5" t="inlineStr">
        <is>
          <t>5</t>
        </is>
      </c>
      <c r="Q1313" s="5" t="inlineStr">
        <is>
          <t>5</t>
        </is>
      </c>
      <c r="R1313" s="5" t="inlineStr">
        <is>
          <t>3</t>
        </is>
      </c>
      <c r="S1313" s="5" t="inlineStr">
        <is>
          <t>26</t>
        </is>
      </c>
      <c r="T1313" s="5" t="inlineStr">
        <is>
          <t>15</t>
        </is>
      </c>
      <c r="U1313" s="5">
        <f>IFS(C1313&lt;30,"Under 30",C1313&lt;40,"30-39",C1313&lt;50,"40-49",TRUE,"50+")</f>
        <v/>
      </c>
      <c r="V1313" s="5">
        <f>IFS(O1313&lt;60000,"Low (&lt;60k)",O1313&lt;100000,"Mid (60-100k)",TRUE,"High (100k+)")</f>
        <v/>
      </c>
      <c r="W1313" s="5">
        <f>IF(M1313="No","Attrited","Active")</f>
        <v/>
      </c>
    </row>
    <row r="1314">
      <c r="A1314" s="5" t="inlineStr">
        <is>
          <t>E01313</t>
        </is>
      </c>
      <c r="B1314" s="5" t="inlineStr">
        <is>
          <t>Female</t>
        </is>
      </c>
      <c r="C1314" s="6" t="inlineStr">
        <is>
          <t>28</t>
        </is>
      </c>
      <c r="D1314" s="5" t="inlineStr">
        <is>
          <t>Married</t>
        </is>
      </c>
      <c r="E1314" s="5" t="inlineStr">
        <is>
          <t>High School</t>
        </is>
      </c>
      <c r="F1314" s="5" t="inlineStr">
        <is>
          <t>Finance</t>
        </is>
      </c>
      <c r="G1314" s="5" t="inlineStr">
        <is>
          <t>Credit Analyst</t>
        </is>
      </c>
      <c r="H1314" s="5" t="inlineStr">
        <is>
          <t>1</t>
        </is>
      </c>
      <c r="I1314" s="5" t="inlineStr">
        <is>
          <t>Bengaluru</t>
        </is>
      </c>
      <c r="J1314" s="5" t="inlineStr">
        <is>
          <t>Full-Time</t>
        </is>
      </c>
      <c r="K1314" s="7" t="n">
        <v>44040</v>
      </c>
      <c r="L1314" s="7" t="inlineStr"/>
      <c r="M1314" s="5" t="inlineStr">
        <is>
          <t>Yes</t>
        </is>
      </c>
      <c r="N1314" s="5" t="inlineStr"/>
      <c r="O1314" s="8" t="inlineStr">
        <is>
          <t>91500</t>
        </is>
      </c>
      <c r="P1314" s="5" t="inlineStr">
        <is>
          <t>0</t>
        </is>
      </c>
      <c r="Q1314" s="5" t="inlineStr">
        <is>
          <t>4</t>
        </is>
      </c>
      <c r="R1314" s="5" t="inlineStr">
        <is>
          <t>6</t>
        </is>
      </c>
      <c r="S1314" s="5" t="inlineStr">
        <is>
          <t>66</t>
        </is>
      </c>
      <c r="T1314" s="5" t="inlineStr">
        <is>
          <t>7</t>
        </is>
      </c>
      <c r="U1314" s="5">
        <f>IFS(C1314&lt;30,"Under 30",C1314&lt;40,"30-39",C1314&lt;50,"40-49",TRUE,"50+")</f>
        <v/>
      </c>
      <c r="V1314" s="5">
        <f>IFS(O1314&lt;60000,"Low (&lt;60k)",O1314&lt;100000,"Mid (60-100k)",TRUE,"High (100k+)")</f>
        <v/>
      </c>
      <c r="W1314" s="5">
        <f>IF(M1314="No","Attrited","Active")</f>
        <v/>
      </c>
    </row>
    <row r="1315">
      <c r="A1315" s="5" t="inlineStr">
        <is>
          <t>E01314</t>
        </is>
      </c>
      <c r="B1315" s="5" t="inlineStr">
        <is>
          <t>Male</t>
        </is>
      </c>
      <c r="C1315" s="6" t="inlineStr">
        <is>
          <t>38</t>
        </is>
      </c>
      <c r="D1315" s="5" t="inlineStr">
        <is>
          <t>Married</t>
        </is>
      </c>
      <c r="E1315" s="5" t="inlineStr">
        <is>
          <t>Diploma</t>
        </is>
      </c>
      <c r="F1315" s="5" t="inlineStr">
        <is>
          <t>Sales</t>
        </is>
      </c>
      <c r="G1315" s="5" t="inlineStr">
        <is>
          <t>Business Development</t>
        </is>
      </c>
      <c r="H1315" s="5" t="inlineStr">
        <is>
          <t>6</t>
        </is>
      </c>
      <c r="I1315" s="5" t="inlineStr">
        <is>
          <t>Chennai</t>
        </is>
      </c>
      <c r="J1315" s="5" t="inlineStr">
        <is>
          <t>Full-Time</t>
        </is>
      </c>
      <c r="K1315" s="7" t="n">
        <v>45086</v>
      </c>
      <c r="L1315" s="7" t="inlineStr"/>
      <c r="M1315" s="5" t="inlineStr">
        <is>
          <t>Yes</t>
        </is>
      </c>
      <c r="N1315" s="5" t="inlineStr"/>
      <c r="O1315" s="8" t="inlineStr">
        <is>
          <t>112000</t>
        </is>
      </c>
      <c r="P1315" s="5" t="inlineStr">
        <is>
          <t>5</t>
        </is>
      </c>
      <c r="Q1315" s="5" t="inlineStr">
        <is>
          <t>3</t>
        </is>
      </c>
      <c r="R1315" s="5" t="inlineStr">
        <is>
          <t>7</t>
        </is>
      </c>
      <c r="S1315" s="5" t="inlineStr">
        <is>
          <t>31</t>
        </is>
      </c>
      <c r="T1315" s="5" t="inlineStr">
        <is>
          <t>11</t>
        </is>
      </c>
      <c r="U1315" s="5">
        <f>IFS(C1315&lt;30,"Under 30",C1315&lt;40,"30-39",C1315&lt;50,"40-49",TRUE,"50+")</f>
        <v/>
      </c>
      <c r="V1315" s="5">
        <f>IFS(O1315&lt;60000,"Low (&lt;60k)",O1315&lt;100000,"Mid (60-100k)",TRUE,"High (100k+)")</f>
        <v/>
      </c>
      <c r="W1315" s="5">
        <f>IF(M1315="No","Attrited","Active")</f>
        <v/>
      </c>
    </row>
    <row r="1316">
      <c r="A1316" s="5" t="inlineStr">
        <is>
          <t>E01315</t>
        </is>
      </c>
      <c r="B1316" s="5" t="inlineStr">
        <is>
          <t>Female</t>
        </is>
      </c>
      <c r="C1316" s="6" t="inlineStr">
        <is>
          <t>25</t>
        </is>
      </c>
      <c r="D1316" s="5" t="inlineStr">
        <is>
          <t>Married</t>
        </is>
      </c>
      <c r="E1316" s="5" t="inlineStr">
        <is>
          <t>High School</t>
        </is>
      </c>
      <c r="F1316" s="5" t="inlineStr">
        <is>
          <t>Finance</t>
        </is>
      </c>
      <c r="G1316" s="5" t="inlineStr">
        <is>
          <t>Financial Analyst</t>
        </is>
      </c>
      <c r="H1316" s="5" t="inlineStr">
        <is>
          <t>1</t>
        </is>
      </c>
      <c r="I1316" s="5" t="inlineStr">
        <is>
          <t>Hyderabad</t>
        </is>
      </c>
      <c r="J1316" s="5" t="inlineStr">
        <is>
          <t>Full-Time</t>
        </is>
      </c>
      <c r="K1316" s="7" t="n">
        <v>44668</v>
      </c>
      <c r="L1316" s="7" t="n">
        <v>44750</v>
      </c>
      <c r="M1316" s="5" t="inlineStr">
        <is>
          <t>No</t>
        </is>
      </c>
      <c r="N1316" s="5" t="inlineStr">
        <is>
          <t>Performance / Termination</t>
        </is>
      </c>
      <c r="O1316" s="8" t="inlineStr">
        <is>
          <t>110500</t>
        </is>
      </c>
      <c r="P1316" s="5" t="inlineStr">
        <is>
          <t>15</t>
        </is>
      </c>
      <c r="Q1316" s="5" t="inlineStr">
        <is>
          <t>3</t>
        </is>
      </c>
      <c r="R1316" s="5" t="inlineStr">
        <is>
          <t>7</t>
        </is>
      </c>
      <c r="S1316" s="5" t="inlineStr">
        <is>
          <t>2</t>
        </is>
      </c>
      <c r="T1316" s="5" t="inlineStr">
        <is>
          <t>3</t>
        </is>
      </c>
      <c r="U1316" s="5">
        <f>IFS(C1316&lt;30,"Under 30",C1316&lt;40,"30-39",C1316&lt;50,"40-49",TRUE,"50+")</f>
        <v/>
      </c>
      <c r="V1316" s="5">
        <f>IFS(O1316&lt;60000,"Low (&lt;60k)",O1316&lt;100000,"Mid (60-100k)",TRUE,"High (100k+)")</f>
        <v/>
      </c>
      <c r="W1316" s="5">
        <f>IF(M1316="No","Attrited","Active")</f>
        <v/>
      </c>
    </row>
    <row r="1317">
      <c r="A1317" s="5" t="inlineStr">
        <is>
          <t>E01316</t>
        </is>
      </c>
      <c r="B1317" s="5" t="inlineStr">
        <is>
          <t>Female</t>
        </is>
      </c>
      <c r="C1317" s="6" t="inlineStr">
        <is>
          <t>30</t>
        </is>
      </c>
      <c r="D1317" s="5" t="inlineStr">
        <is>
          <t>Married</t>
        </is>
      </c>
      <c r="E1317" s="5" t="inlineStr">
        <is>
          <t>PhD</t>
        </is>
      </c>
      <c r="F1317" s="5" t="inlineStr">
        <is>
          <t>Research &amp; Development</t>
        </is>
      </c>
      <c r="G1317" s="5" t="inlineStr">
        <is>
          <t>Research Scientist</t>
        </is>
      </c>
      <c r="H1317" s="5" t="inlineStr">
        <is>
          <t>3</t>
        </is>
      </c>
      <c r="I1317" s="5" t="inlineStr">
        <is>
          <t>Remote</t>
        </is>
      </c>
      <c r="J1317" s="5" t="inlineStr">
        <is>
          <t>Full-Time</t>
        </is>
      </c>
      <c r="K1317" s="7" t="n">
        <v>44760</v>
      </c>
      <c r="L1317" s="7" t="inlineStr"/>
      <c r="M1317" s="5" t="inlineStr">
        <is>
          <t>Yes</t>
        </is>
      </c>
      <c r="N1317" s="5" t="inlineStr"/>
      <c r="O1317" s="8" t="inlineStr">
        <is>
          <t>154000</t>
        </is>
      </c>
      <c r="P1317" s="5" t="inlineStr">
        <is>
          <t>0</t>
        </is>
      </c>
      <c r="Q1317" s="5" t="inlineStr">
        <is>
          <t>2</t>
        </is>
      </c>
      <c r="R1317" s="5" t="inlineStr">
        <is>
          <t>6</t>
        </is>
      </c>
      <c r="S1317" s="5" t="inlineStr">
        <is>
          <t>42</t>
        </is>
      </c>
      <c r="T1317" s="5" t="inlineStr">
        <is>
          <t>8</t>
        </is>
      </c>
      <c r="U1317" s="5">
        <f>IFS(C1317&lt;30,"Under 30",C1317&lt;40,"30-39",C1317&lt;50,"40-49",TRUE,"50+")</f>
        <v/>
      </c>
      <c r="V1317" s="5">
        <f>IFS(O1317&lt;60000,"Low (&lt;60k)",O1317&lt;100000,"Mid (60-100k)",TRUE,"High (100k+)")</f>
        <v/>
      </c>
      <c r="W1317" s="5">
        <f>IF(M1317="No","Attrited","Active")</f>
        <v/>
      </c>
    </row>
    <row r="1318">
      <c r="A1318" s="5" t="inlineStr">
        <is>
          <t>E01317</t>
        </is>
      </c>
      <c r="B1318" s="5" t="inlineStr">
        <is>
          <t>Female</t>
        </is>
      </c>
      <c r="C1318" s="6" t="inlineStr">
        <is>
          <t>30</t>
        </is>
      </c>
      <c r="D1318" s="5" t="inlineStr">
        <is>
          <t>Married</t>
        </is>
      </c>
      <c r="E1318" s="5" t="inlineStr">
        <is>
          <t>Master</t>
        </is>
      </c>
      <c r="F1318" s="5" t="inlineStr">
        <is>
          <t>Sales</t>
        </is>
      </c>
      <c r="G1318" s="5" t="inlineStr">
        <is>
          <t>Sales Executive</t>
        </is>
      </c>
      <c r="H1318" s="5" t="inlineStr">
        <is>
          <t>1</t>
        </is>
      </c>
      <c r="I1318" s="5" t="inlineStr">
        <is>
          <t>Delhi</t>
        </is>
      </c>
      <c r="J1318" s="5" t="inlineStr">
        <is>
          <t>Full-Time</t>
        </is>
      </c>
      <c r="K1318" s="7" t="n">
        <v>45517</v>
      </c>
      <c r="L1318" s="7" t="inlineStr"/>
      <c r="M1318" s="5" t="inlineStr">
        <is>
          <t>Yes</t>
        </is>
      </c>
      <c r="N1318" s="5" t="inlineStr"/>
      <c r="O1318" s="8" t="inlineStr">
        <is>
          <t>67500</t>
        </is>
      </c>
      <c r="P1318" s="5" t="inlineStr">
        <is>
          <t>15</t>
        </is>
      </c>
      <c r="Q1318" s="5" t="inlineStr">
        <is>
          <t>4</t>
        </is>
      </c>
      <c r="R1318" s="5" t="inlineStr">
        <is>
          <t>7</t>
        </is>
      </c>
      <c r="S1318" s="5" t="inlineStr">
        <is>
          <t>16</t>
        </is>
      </c>
      <c r="T1318" s="5" t="inlineStr">
        <is>
          <t>3</t>
        </is>
      </c>
      <c r="U1318" s="5">
        <f>IFS(C1318&lt;30,"Under 30",C1318&lt;40,"30-39",C1318&lt;50,"40-49",TRUE,"50+")</f>
        <v/>
      </c>
      <c r="V1318" s="5">
        <f>IFS(O1318&lt;60000,"Low (&lt;60k)",O1318&lt;100000,"Mid (60-100k)",TRUE,"High (100k+)")</f>
        <v/>
      </c>
      <c r="W1318" s="5">
        <f>IF(M1318="No","Attrited","Active")</f>
        <v/>
      </c>
    </row>
    <row r="1319">
      <c r="A1319" s="5" t="inlineStr">
        <is>
          <t>E01318</t>
        </is>
      </c>
      <c r="B1319" s="5" t="inlineStr">
        <is>
          <t>Female</t>
        </is>
      </c>
      <c r="C1319" s="6" t="inlineStr">
        <is>
          <t>29</t>
        </is>
      </c>
      <c r="D1319" s="5" t="inlineStr">
        <is>
          <t>Single</t>
        </is>
      </c>
      <c r="E1319" s="5" t="inlineStr">
        <is>
          <t>Master</t>
        </is>
      </c>
      <c r="F1319" s="5" t="inlineStr">
        <is>
          <t>Operations</t>
        </is>
      </c>
      <c r="G1319" s="5" t="inlineStr">
        <is>
          <t>Logistics Coordinator</t>
        </is>
      </c>
      <c r="H1319" s="5" t="inlineStr">
        <is>
          <t>4</t>
        </is>
      </c>
      <c r="I1319" s="5" t="inlineStr">
        <is>
          <t>Delhi</t>
        </is>
      </c>
      <c r="J1319" s="5" t="inlineStr">
        <is>
          <t>Full-Time</t>
        </is>
      </c>
      <c r="K1319" s="7" t="n">
        <v>43833</v>
      </c>
      <c r="L1319" s="7" t="inlineStr"/>
      <c r="M1319" s="5" t="inlineStr">
        <is>
          <t>Yes</t>
        </is>
      </c>
      <c r="N1319" s="5" t="inlineStr"/>
      <c r="O1319" s="8" t="inlineStr">
        <is>
          <t>105500</t>
        </is>
      </c>
      <c r="P1319" s="5" t="inlineStr">
        <is>
          <t>0</t>
        </is>
      </c>
      <c r="Q1319" s="5" t="inlineStr">
        <is>
          <t>5</t>
        </is>
      </c>
      <c r="R1319" s="5" t="inlineStr">
        <is>
          <t>6</t>
        </is>
      </c>
      <c r="S1319" s="5" t="inlineStr">
        <is>
          <t>72</t>
        </is>
      </c>
      <c r="T1319" s="5" t="inlineStr">
        <is>
          <t>2</t>
        </is>
      </c>
      <c r="U1319" s="5">
        <f>IFS(C1319&lt;30,"Under 30",C1319&lt;40,"30-39",C1319&lt;50,"40-49",TRUE,"50+")</f>
        <v/>
      </c>
      <c r="V1319" s="5">
        <f>IFS(O1319&lt;60000,"Low (&lt;60k)",O1319&lt;100000,"Mid (60-100k)",TRUE,"High (100k+)")</f>
        <v/>
      </c>
      <c r="W1319" s="5">
        <f>IF(M1319="No","Attrited","Active")</f>
        <v/>
      </c>
    </row>
    <row r="1320">
      <c r="A1320" s="5" t="inlineStr">
        <is>
          <t>E01319</t>
        </is>
      </c>
      <c r="B1320" s="5" t="inlineStr">
        <is>
          <t>Male</t>
        </is>
      </c>
      <c r="C1320" s="6" t="inlineStr">
        <is>
          <t>25</t>
        </is>
      </c>
      <c r="D1320" s="5" t="inlineStr">
        <is>
          <t>Married</t>
        </is>
      </c>
      <c r="E1320" s="5" t="inlineStr">
        <is>
          <t>PhD</t>
        </is>
      </c>
      <c r="F1320" s="5" t="inlineStr">
        <is>
          <t>Sales</t>
        </is>
      </c>
      <c r="G1320" s="5" t="inlineStr">
        <is>
          <t>Sales Executive</t>
        </is>
      </c>
      <c r="H1320" s="5" t="inlineStr">
        <is>
          <t>2</t>
        </is>
      </c>
      <c r="I1320" s="5" t="inlineStr">
        <is>
          <t>Bengaluru</t>
        </is>
      </c>
      <c r="J1320" s="5" t="inlineStr">
        <is>
          <t>Full-Time</t>
        </is>
      </c>
      <c r="K1320" s="7" t="n">
        <v>45889</v>
      </c>
      <c r="L1320" s="7" t="inlineStr"/>
      <c r="M1320" s="5" t="inlineStr">
        <is>
          <t>Yes</t>
        </is>
      </c>
      <c r="N1320" s="5" t="inlineStr"/>
      <c r="O1320" s="8" t="inlineStr">
        <is>
          <t>73500</t>
        </is>
      </c>
      <c r="P1320" s="5" t="inlineStr">
        <is>
          <t>0</t>
        </is>
      </c>
      <c r="Q1320" s="5" t="inlineStr">
        <is>
          <t>2</t>
        </is>
      </c>
      <c r="R1320" s="5" t="inlineStr">
        <is>
          <t>8</t>
        </is>
      </c>
      <c r="S1320" s="5" t="inlineStr">
        <is>
          <t>4</t>
        </is>
      </c>
      <c r="T1320" s="5" t="inlineStr">
        <is>
          <t>16</t>
        </is>
      </c>
      <c r="U1320" s="5">
        <f>IFS(C1320&lt;30,"Under 30",C1320&lt;40,"30-39",C1320&lt;50,"40-49",TRUE,"50+")</f>
        <v/>
      </c>
      <c r="V1320" s="5">
        <f>IFS(O1320&lt;60000,"Low (&lt;60k)",O1320&lt;100000,"Mid (60-100k)",TRUE,"High (100k+)")</f>
        <v/>
      </c>
      <c r="W1320" s="5">
        <f>IF(M1320="No","Attrited","Active")</f>
        <v/>
      </c>
    </row>
    <row r="1321">
      <c r="A1321" s="5" t="inlineStr">
        <is>
          <t>E01320</t>
        </is>
      </c>
      <c r="B1321" s="5" t="inlineStr">
        <is>
          <t>Male</t>
        </is>
      </c>
      <c r="C1321" s="6" t="inlineStr">
        <is>
          <t>30</t>
        </is>
      </c>
      <c r="D1321" s="5" t="inlineStr">
        <is>
          <t>Divorced</t>
        </is>
      </c>
      <c r="E1321" s="5" t="inlineStr">
        <is>
          <t>Master</t>
        </is>
      </c>
      <c r="F1321" s="5" t="inlineStr">
        <is>
          <t>Customer Support</t>
        </is>
      </c>
      <c r="G1321" s="5" t="inlineStr">
        <is>
          <t>Escalation Specialist</t>
        </is>
      </c>
      <c r="H1321" s="5" t="inlineStr">
        <is>
          <t>3</t>
        </is>
      </c>
      <c r="I1321" s="5" t="inlineStr">
        <is>
          <t>Delhi</t>
        </is>
      </c>
      <c r="J1321" s="5" t="inlineStr">
        <is>
          <t>Full-Time</t>
        </is>
      </c>
      <c r="K1321" s="7" t="n">
        <v>45491</v>
      </c>
      <c r="L1321" s="7" t="n">
        <v>45562</v>
      </c>
      <c r="M1321" s="5" t="inlineStr">
        <is>
          <t>No</t>
        </is>
      </c>
      <c r="N1321" s="5" t="inlineStr">
        <is>
          <t>Resigned</t>
        </is>
      </c>
      <c r="O1321" s="8" t="inlineStr">
        <is>
          <t>92500</t>
        </is>
      </c>
      <c r="P1321" s="5" t="inlineStr">
        <is>
          <t>0</t>
        </is>
      </c>
      <c r="Q1321" s="5" t="inlineStr">
        <is>
          <t>3</t>
        </is>
      </c>
      <c r="R1321" s="5" t="inlineStr">
        <is>
          <t>6</t>
        </is>
      </c>
      <c r="S1321" s="5" t="inlineStr">
        <is>
          <t>2</t>
        </is>
      </c>
      <c r="T1321" s="5" t="inlineStr">
        <is>
          <t>2</t>
        </is>
      </c>
      <c r="U1321" s="5">
        <f>IFS(C1321&lt;30,"Under 30",C1321&lt;40,"30-39",C1321&lt;50,"40-49",TRUE,"50+")</f>
        <v/>
      </c>
      <c r="V1321" s="5">
        <f>IFS(O1321&lt;60000,"Low (&lt;60k)",O1321&lt;100000,"Mid (60-100k)",TRUE,"High (100k+)")</f>
        <v/>
      </c>
      <c r="W1321" s="5">
        <f>IF(M1321="No","Attrited","Active")</f>
        <v/>
      </c>
    </row>
    <row r="1322">
      <c r="A1322" s="5" t="inlineStr">
        <is>
          <t>E01321</t>
        </is>
      </c>
      <c r="B1322" s="5" t="inlineStr">
        <is>
          <t>Female</t>
        </is>
      </c>
      <c r="C1322" s="6" t="inlineStr">
        <is>
          <t>29</t>
        </is>
      </c>
      <c r="D1322" s="5" t="inlineStr">
        <is>
          <t>Married</t>
        </is>
      </c>
      <c r="E1322" s="5" t="inlineStr">
        <is>
          <t>Bachelor</t>
        </is>
      </c>
      <c r="F1322" s="5" t="inlineStr">
        <is>
          <t>Sales</t>
        </is>
      </c>
      <c r="G1322" s="5" t="inlineStr">
        <is>
          <t>Business Development</t>
        </is>
      </c>
      <c r="H1322" s="5" t="inlineStr">
        <is>
          <t>2</t>
        </is>
      </c>
      <c r="I1322" s="5" t="inlineStr">
        <is>
          <t>Hyderabad</t>
        </is>
      </c>
      <c r="J1322" s="5" t="inlineStr">
        <is>
          <t>Full-Time</t>
        </is>
      </c>
      <c r="K1322" s="7" t="n">
        <v>45574</v>
      </c>
      <c r="L1322" s="7" t="inlineStr"/>
      <c r="M1322" s="5" t="inlineStr">
        <is>
          <t>Yes</t>
        </is>
      </c>
      <c r="N1322" s="5" t="inlineStr"/>
      <c r="O1322" s="8" t="inlineStr">
        <is>
          <t>80500</t>
        </is>
      </c>
      <c r="P1322" s="5" t="inlineStr">
        <is>
          <t>5</t>
        </is>
      </c>
      <c r="Q1322" s="5" t="inlineStr">
        <is>
          <t>3</t>
        </is>
      </c>
      <c r="R1322" s="5" t="inlineStr">
        <is>
          <t>7</t>
        </is>
      </c>
      <c r="S1322" s="5" t="inlineStr">
        <is>
          <t>14</t>
        </is>
      </c>
      <c r="T1322" s="5" t="inlineStr">
        <is>
          <t>16</t>
        </is>
      </c>
      <c r="U1322" s="5">
        <f>IFS(C1322&lt;30,"Under 30",C1322&lt;40,"30-39",C1322&lt;50,"40-49",TRUE,"50+")</f>
        <v/>
      </c>
      <c r="V1322" s="5">
        <f>IFS(O1322&lt;60000,"Low (&lt;60k)",O1322&lt;100000,"Mid (60-100k)",TRUE,"High (100k+)")</f>
        <v/>
      </c>
      <c r="W1322" s="5">
        <f>IF(M1322="No","Attrited","Active")</f>
        <v/>
      </c>
    </row>
    <row r="1323">
      <c r="A1323" s="5" t="inlineStr">
        <is>
          <t>E01322</t>
        </is>
      </c>
      <c r="B1323" s="5" t="inlineStr">
        <is>
          <t>Male</t>
        </is>
      </c>
      <c r="C1323" s="6" t="inlineStr">
        <is>
          <t>41</t>
        </is>
      </c>
      <c r="D1323" s="5" t="inlineStr">
        <is>
          <t>Single</t>
        </is>
      </c>
      <c r="E1323" s="5" t="inlineStr">
        <is>
          <t>Bachelor</t>
        </is>
      </c>
      <c r="F1323" s="5" t="inlineStr">
        <is>
          <t>Finance</t>
        </is>
      </c>
      <c r="G1323" s="5" t="inlineStr">
        <is>
          <t>Credit Analyst</t>
        </is>
      </c>
      <c r="H1323" s="5" t="inlineStr">
        <is>
          <t>5</t>
        </is>
      </c>
      <c r="I1323" s="5" t="inlineStr">
        <is>
          <t>Chennai</t>
        </is>
      </c>
      <c r="J1323" s="5" t="inlineStr">
        <is>
          <t>Contract</t>
        </is>
      </c>
      <c r="K1323" s="7" t="n">
        <v>44013</v>
      </c>
      <c r="L1323" s="7" t="inlineStr"/>
      <c r="M1323" s="5" t="inlineStr">
        <is>
          <t>Yes</t>
        </is>
      </c>
      <c r="N1323" s="5" t="inlineStr"/>
      <c r="O1323" s="8" t="inlineStr">
        <is>
          <t>113000</t>
        </is>
      </c>
      <c r="P1323" s="5" t="inlineStr">
        <is>
          <t>0</t>
        </is>
      </c>
      <c r="Q1323" s="5" t="inlineStr">
        <is>
          <t>4</t>
        </is>
      </c>
      <c r="R1323" s="5" t="inlineStr">
        <is>
          <t>4</t>
        </is>
      </c>
      <c r="S1323" s="5" t="inlineStr">
        <is>
          <t>66</t>
        </is>
      </c>
      <c r="T1323" s="5" t="inlineStr">
        <is>
          <t>6</t>
        </is>
      </c>
      <c r="U1323" s="5">
        <f>IFS(C1323&lt;30,"Under 30",C1323&lt;40,"30-39",C1323&lt;50,"40-49",TRUE,"50+")</f>
        <v/>
      </c>
      <c r="V1323" s="5">
        <f>IFS(O1323&lt;60000,"Low (&lt;60k)",O1323&lt;100000,"Mid (60-100k)",TRUE,"High (100k+)")</f>
        <v/>
      </c>
      <c r="W1323" s="5">
        <f>IF(M1323="No","Attrited","Active")</f>
        <v/>
      </c>
    </row>
    <row r="1324">
      <c r="A1324" s="5" t="inlineStr">
        <is>
          <t>E01323</t>
        </is>
      </c>
      <c r="B1324" s="5" t="inlineStr">
        <is>
          <t>Male</t>
        </is>
      </c>
      <c r="C1324" s="6" t="inlineStr">
        <is>
          <t>28</t>
        </is>
      </c>
      <c r="D1324" s="5" t="inlineStr">
        <is>
          <t>Married</t>
        </is>
      </c>
      <c r="E1324" s="5" t="inlineStr">
        <is>
          <t>High School</t>
        </is>
      </c>
      <c r="F1324" s="5" t="inlineStr">
        <is>
          <t>Customer Support</t>
        </is>
      </c>
      <c r="G1324" s="5" t="inlineStr">
        <is>
          <t>Support Agent</t>
        </is>
      </c>
      <c r="H1324" s="5" t="inlineStr">
        <is>
          <t>2</t>
        </is>
      </c>
      <c r="I1324" s="5" t="inlineStr">
        <is>
          <t>Remote</t>
        </is>
      </c>
      <c r="J1324" s="5" t="inlineStr">
        <is>
          <t>Full-Time</t>
        </is>
      </c>
      <c r="K1324" s="7" t="n">
        <v>44781</v>
      </c>
      <c r="L1324" s="7" t="n">
        <v>44889</v>
      </c>
      <c r="M1324" s="5" t="inlineStr">
        <is>
          <t>No</t>
        </is>
      </c>
      <c r="N1324" s="5" t="inlineStr">
        <is>
          <t>Resigned</t>
        </is>
      </c>
      <c r="O1324" s="8" t="inlineStr">
        <is>
          <t>57000</t>
        </is>
      </c>
      <c r="P1324" s="5" t="inlineStr">
        <is>
          <t>0</t>
        </is>
      </c>
      <c r="Q1324" s="5" t="inlineStr">
        <is>
          <t>5</t>
        </is>
      </c>
      <c r="R1324" s="5" t="inlineStr">
        <is>
          <t>6</t>
        </is>
      </c>
      <c r="S1324" s="5" t="inlineStr">
        <is>
          <t>3</t>
        </is>
      </c>
      <c r="T1324" s="5" t="inlineStr">
        <is>
          <t>7</t>
        </is>
      </c>
      <c r="U1324" s="5">
        <f>IFS(C1324&lt;30,"Under 30",C1324&lt;40,"30-39",C1324&lt;50,"40-49",TRUE,"50+")</f>
        <v/>
      </c>
      <c r="V1324" s="5">
        <f>IFS(O1324&lt;60000,"Low (&lt;60k)",O1324&lt;100000,"Mid (60-100k)",TRUE,"High (100k+)")</f>
        <v/>
      </c>
      <c r="W1324" s="5">
        <f>IF(M1324="No","Attrited","Active")</f>
        <v/>
      </c>
    </row>
    <row r="1325">
      <c r="A1325" s="5" t="inlineStr">
        <is>
          <t>E01324</t>
        </is>
      </c>
      <c r="B1325" s="5" t="inlineStr">
        <is>
          <t>Female</t>
        </is>
      </c>
      <c r="C1325" s="6" t="inlineStr">
        <is>
          <t>27</t>
        </is>
      </c>
      <c r="D1325" s="5" t="inlineStr">
        <is>
          <t>Married</t>
        </is>
      </c>
      <c r="E1325" s="5" t="inlineStr">
        <is>
          <t>Bachelor</t>
        </is>
      </c>
      <c r="F1325" s="5" t="inlineStr">
        <is>
          <t>Operations</t>
        </is>
      </c>
      <c r="G1325" s="5" t="inlineStr">
        <is>
          <t>Logistics Coordinator</t>
        </is>
      </c>
      <c r="H1325" s="5" t="inlineStr">
        <is>
          <t>2</t>
        </is>
      </c>
      <c r="I1325" s="5" t="inlineStr">
        <is>
          <t>Mumbai</t>
        </is>
      </c>
      <c r="J1325" s="5" t="inlineStr">
        <is>
          <t>Full-Time</t>
        </is>
      </c>
      <c r="K1325" s="7" t="n">
        <v>44148</v>
      </c>
      <c r="L1325" s="7" t="inlineStr"/>
      <c r="M1325" s="5" t="inlineStr">
        <is>
          <t>Yes</t>
        </is>
      </c>
      <c r="N1325" s="5" t="inlineStr"/>
      <c r="O1325" s="8" t="inlineStr">
        <is>
          <t>71000</t>
        </is>
      </c>
      <c r="P1325" s="5" t="inlineStr">
        <is>
          <t>10</t>
        </is>
      </c>
      <c r="Q1325" s="5" t="inlineStr">
        <is>
          <t>4</t>
        </is>
      </c>
      <c r="R1325" s="5" t="inlineStr">
        <is>
          <t>4</t>
        </is>
      </c>
      <c r="S1325" s="5" t="inlineStr">
        <is>
          <t>62</t>
        </is>
      </c>
      <c r="T1325" s="5" t="inlineStr">
        <is>
          <t>11</t>
        </is>
      </c>
      <c r="U1325" s="5">
        <f>IFS(C1325&lt;30,"Under 30",C1325&lt;40,"30-39",C1325&lt;50,"40-49",TRUE,"50+")</f>
        <v/>
      </c>
      <c r="V1325" s="5">
        <f>IFS(O1325&lt;60000,"Low (&lt;60k)",O1325&lt;100000,"Mid (60-100k)",TRUE,"High (100k+)")</f>
        <v/>
      </c>
      <c r="W1325" s="5">
        <f>IF(M1325="No","Attrited","Active")</f>
        <v/>
      </c>
    </row>
    <row r="1326">
      <c r="A1326" s="5" t="inlineStr">
        <is>
          <t>E01325</t>
        </is>
      </c>
      <c r="B1326" s="5" t="inlineStr">
        <is>
          <t>Male</t>
        </is>
      </c>
      <c r="C1326" s="6" t="inlineStr">
        <is>
          <t>35</t>
        </is>
      </c>
      <c r="D1326" s="5" t="inlineStr">
        <is>
          <t>Divorced</t>
        </is>
      </c>
      <c r="E1326" s="5" t="inlineStr">
        <is>
          <t>Master</t>
        </is>
      </c>
      <c r="F1326" s="5" t="inlineStr">
        <is>
          <t>IT</t>
        </is>
      </c>
      <c r="G1326" s="5" t="inlineStr">
        <is>
          <t>IT Support</t>
        </is>
      </c>
      <c r="H1326" s="5" t="inlineStr">
        <is>
          <t>2</t>
        </is>
      </c>
      <c r="I1326" s="5" t="inlineStr">
        <is>
          <t>Hyderabad</t>
        </is>
      </c>
      <c r="J1326" s="5" t="inlineStr">
        <is>
          <t>Full-Time</t>
        </is>
      </c>
      <c r="K1326" s="7" t="n">
        <v>45323</v>
      </c>
      <c r="L1326" s="7" t="inlineStr"/>
      <c r="M1326" s="5" t="inlineStr">
        <is>
          <t>Yes</t>
        </is>
      </c>
      <c r="N1326" s="5" t="inlineStr"/>
      <c r="O1326" s="8" t="inlineStr">
        <is>
          <t>146000</t>
        </is>
      </c>
      <c r="P1326" s="5" t="inlineStr">
        <is>
          <t>0</t>
        </is>
      </c>
      <c r="Q1326" s="5" t="inlineStr">
        <is>
          <t>4</t>
        </is>
      </c>
      <c r="R1326" s="5" t="inlineStr">
        <is>
          <t>4</t>
        </is>
      </c>
      <c r="S1326" s="5" t="inlineStr">
        <is>
          <t>23</t>
        </is>
      </c>
      <c r="T1326" s="5" t="inlineStr">
        <is>
          <t>2</t>
        </is>
      </c>
      <c r="U1326" s="5">
        <f>IFS(C1326&lt;30,"Under 30",C1326&lt;40,"30-39",C1326&lt;50,"40-49",TRUE,"50+")</f>
        <v/>
      </c>
      <c r="V1326" s="5">
        <f>IFS(O1326&lt;60000,"Low (&lt;60k)",O1326&lt;100000,"Mid (60-100k)",TRUE,"High (100k+)")</f>
        <v/>
      </c>
      <c r="W1326" s="5">
        <f>IF(M1326="No","Attrited","Active")</f>
        <v/>
      </c>
    </row>
    <row r="1327">
      <c r="A1327" s="5" t="inlineStr">
        <is>
          <t>E01326</t>
        </is>
      </c>
      <c r="B1327" s="5" t="inlineStr">
        <is>
          <t>Female</t>
        </is>
      </c>
      <c r="C1327" s="6" t="inlineStr">
        <is>
          <t>31</t>
        </is>
      </c>
      <c r="D1327" s="5" t="inlineStr">
        <is>
          <t>Single</t>
        </is>
      </c>
      <c r="E1327" s="5" t="inlineStr">
        <is>
          <t>PhD</t>
        </is>
      </c>
      <c r="F1327" s="5" t="inlineStr">
        <is>
          <t>Operations</t>
        </is>
      </c>
      <c r="G1327" s="5" t="inlineStr">
        <is>
          <t>Operations Analyst</t>
        </is>
      </c>
      <c r="H1327" s="5" t="inlineStr">
        <is>
          <t>4</t>
        </is>
      </c>
      <c r="I1327" s="5" t="inlineStr">
        <is>
          <t>Remote</t>
        </is>
      </c>
      <c r="J1327" s="5" t="inlineStr">
        <is>
          <t>Full-Time</t>
        </is>
      </c>
      <c r="K1327" s="7" t="n">
        <v>44204</v>
      </c>
      <c r="L1327" s="7" t="inlineStr"/>
      <c r="M1327" s="5" t="inlineStr">
        <is>
          <t>Yes</t>
        </is>
      </c>
      <c r="N1327" s="5" t="inlineStr"/>
      <c r="O1327" s="8" t="inlineStr">
        <is>
          <t>116500</t>
        </is>
      </c>
      <c r="P1327" s="5" t="inlineStr">
        <is>
          <t>0</t>
        </is>
      </c>
      <c r="Q1327" s="5" t="inlineStr">
        <is>
          <t>3</t>
        </is>
      </c>
      <c r="R1327" s="5" t="inlineStr">
        <is>
          <t>8</t>
        </is>
      </c>
      <c r="S1327" s="5" t="inlineStr">
        <is>
          <t>60</t>
        </is>
      </c>
      <c r="T1327" s="5" t="inlineStr">
        <is>
          <t>4</t>
        </is>
      </c>
      <c r="U1327" s="5">
        <f>IFS(C1327&lt;30,"Under 30",C1327&lt;40,"30-39",C1327&lt;50,"40-49",TRUE,"50+")</f>
        <v/>
      </c>
      <c r="V1327" s="5">
        <f>IFS(O1327&lt;60000,"Low (&lt;60k)",O1327&lt;100000,"Mid (60-100k)",TRUE,"High (100k+)")</f>
        <v/>
      </c>
      <c r="W1327" s="5">
        <f>IF(M1327="No","Attrited","Active")</f>
        <v/>
      </c>
    </row>
    <row r="1328">
      <c r="A1328" s="5" t="inlineStr">
        <is>
          <t>E01327</t>
        </is>
      </c>
      <c r="B1328" s="5" t="inlineStr">
        <is>
          <t>Female</t>
        </is>
      </c>
      <c r="C1328" s="6" t="inlineStr">
        <is>
          <t>31</t>
        </is>
      </c>
      <c r="D1328" s="5" t="inlineStr">
        <is>
          <t>Single</t>
        </is>
      </c>
      <c r="E1328" s="5" t="inlineStr">
        <is>
          <t>High School</t>
        </is>
      </c>
      <c r="F1328" s="5" t="inlineStr">
        <is>
          <t>Finance</t>
        </is>
      </c>
      <c r="G1328" s="5" t="inlineStr">
        <is>
          <t>Accountant</t>
        </is>
      </c>
      <c r="H1328" s="5" t="inlineStr">
        <is>
          <t>5</t>
        </is>
      </c>
      <c r="I1328" s="5" t="inlineStr">
        <is>
          <t>Delhi</t>
        </is>
      </c>
      <c r="J1328" s="5" t="inlineStr">
        <is>
          <t>Full-Time</t>
        </is>
      </c>
      <c r="K1328" s="7" t="n">
        <v>44257</v>
      </c>
      <c r="L1328" s="7" t="inlineStr"/>
      <c r="M1328" s="5" t="inlineStr">
        <is>
          <t>Yes</t>
        </is>
      </c>
      <c r="N1328" s="5" t="inlineStr"/>
      <c r="O1328" s="8" t="inlineStr">
        <is>
          <t>108000</t>
        </is>
      </c>
      <c r="P1328" s="5" t="inlineStr">
        <is>
          <t>0</t>
        </is>
      </c>
      <c r="Q1328" s="5" t="inlineStr">
        <is>
          <t>3</t>
        </is>
      </c>
      <c r="R1328" s="5" t="inlineStr">
        <is>
          <t>5</t>
        </is>
      </c>
      <c r="S1328" s="5" t="inlineStr">
        <is>
          <t>58</t>
        </is>
      </c>
      <c r="T1328" s="5" t="inlineStr">
        <is>
          <t>12</t>
        </is>
      </c>
      <c r="U1328" s="5">
        <f>IFS(C1328&lt;30,"Under 30",C1328&lt;40,"30-39",C1328&lt;50,"40-49",TRUE,"50+")</f>
        <v/>
      </c>
      <c r="V1328" s="5">
        <f>IFS(O1328&lt;60000,"Low (&lt;60k)",O1328&lt;100000,"Mid (60-100k)",TRUE,"High (100k+)")</f>
        <v/>
      </c>
      <c r="W1328" s="5">
        <f>IF(M1328="No","Attrited","Active")</f>
        <v/>
      </c>
    </row>
    <row r="1329">
      <c r="A1329" s="5" t="inlineStr">
        <is>
          <t>E01328</t>
        </is>
      </c>
      <c r="B1329" s="5" t="inlineStr">
        <is>
          <t>Female</t>
        </is>
      </c>
      <c r="C1329" s="6" t="inlineStr">
        <is>
          <t>29</t>
        </is>
      </c>
      <c r="D1329" s="5" t="inlineStr">
        <is>
          <t>Married</t>
        </is>
      </c>
      <c r="E1329" s="5" t="inlineStr">
        <is>
          <t>Master</t>
        </is>
      </c>
      <c r="F1329" s="5" t="inlineStr">
        <is>
          <t>Marketing</t>
        </is>
      </c>
      <c r="G1329" s="5" t="inlineStr">
        <is>
          <t>Marketing Analyst</t>
        </is>
      </c>
      <c r="H1329" s="5" t="inlineStr">
        <is>
          <t>2</t>
        </is>
      </c>
      <c r="I1329" s="5" t="inlineStr">
        <is>
          <t>Hyderabad</t>
        </is>
      </c>
      <c r="J1329" s="5" t="inlineStr">
        <is>
          <t>Full-Time</t>
        </is>
      </c>
      <c r="K1329" s="7" t="n">
        <v>45728</v>
      </c>
      <c r="L1329" s="7" t="inlineStr"/>
      <c r="M1329" s="5" t="inlineStr">
        <is>
          <t>Yes</t>
        </is>
      </c>
      <c r="N1329" s="5" t="inlineStr"/>
      <c r="O1329" s="8" t="inlineStr">
        <is>
          <t>60500</t>
        </is>
      </c>
      <c r="P1329" s="5" t="inlineStr">
        <is>
          <t>0</t>
        </is>
      </c>
      <c r="Q1329" s="5" t="inlineStr">
        <is>
          <t>4</t>
        </is>
      </c>
      <c r="R1329" s="5" t="inlineStr">
        <is>
          <t>5</t>
        </is>
      </c>
      <c r="S1329" s="5" t="inlineStr">
        <is>
          <t>9</t>
        </is>
      </c>
      <c r="T1329" s="5" t="inlineStr">
        <is>
          <t>10</t>
        </is>
      </c>
      <c r="U1329" s="5">
        <f>IFS(C1329&lt;30,"Under 30",C1329&lt;40,"30-39",C1329&lt;50,"40-49",TRUE,"50+")</f>
        <v/>
      </c>
      <c r="V1329" s="5">
        <f>IFS(O1329&lt;60000,"Low (&lt;60k)",O1329&lt;100000,"Mid (60-100k)",TRUE,"High (100k+)")</f>
        <v/>
      </c>
      <c r="W1329" s="5">
        <f>IF(M1329="No","Attrited","Active")</f>
        <v/>
      </c>
    </row>
    <row r="1330">
      <c r="A1330" s="5" t="inlineStr">
        <is>
          <t>E01329</t>
        </is>
      </c>
      <c r="B1330" s="5" t="inlineStr">
        <is>
          <t>Male</t>
        </is>
      </c>
      <c r="C1330" s="6" t="inlineStr">
        <is>
          <t>33</t>
        </is>
      </c>
      <c r="D1330" s="5" t="inlineStr">
        <is>
          <t>Single</t>
        </is>
      </c>
      <c r="E1330" s="5" t="inlineStr">
        <is>
          <t>Bachelor</t>
        </is>
      </c>
      <c r="F1330" s="5" t="inlineStr">
        <is>
          <t>Research &amp; Development</t>
        </is>
      </c>
      <c r="G1330" s="5" t="inlineStr">
        <is>
          <t>Product Engineer</t>
        </is>
      </c>
      <c r="H1330" s="5" t="inlineStr">
        <is>
          <t>3</t>
        </is>
      </c>
      <c r="I1330" s="5" t="inlineStr">
        <is>
          <t>Mumbai</t>
        </is>
      </c>
      <c r="J1330" s="5" t="inlineStr">
        <is>
          <t>Full-Time</t>
        </is>
      </c>
      <c r="K1330" s="7" t="n">
        <v>45996</v>
      </c>
      <c r="L1330" s="7" t="inlineStr"/>
      <c r="M1330" s="5" t="inlineStr">
        <is>
          <t>Yes</t>
        </is>
      </c>
      <c r="N1330" s="5" t="inlineStr"/>
      <c r="O1330" s="8" t="inlineStr">
        <is>
          <t>150000</t>
        </is>
      </c>
      <c r="P1330" s="5" t="inlineStr">
        <is>
          <t>0</t>
        </is>
      </c>
      <c r="Q1330" s="5" t="inlineStr">
        <is>
          <t>5</t>
        </is>
      </c>
      <c r="R1330" s="5" t="inlineStr">
        <is>
          <t>6</t>
        </is>
      </c>
      <c r="S1330" s="5" t="inlineStr">
        <is>
          <t>1</t>
        </is>
      </c>
      <c r="T1330" s="5" t="inlineStr">
        <is>
          <t>9</t>
        </is>
      </c>
      <c r="U1330" s="5">
        <f>IFS(C1330&lt;30,"Under 30",C1330&lt;40,"30-39",C1330&lt;50,"40-49",TRUE,"50+")</f>
        <v/>
      </c>
      <c r="V1330" s="5">
        <f>IFS(O1330&lt;60000,"Low (&lt;60k)",O1330&lt;100000,"Mid (60-100k)",TRUE,"High (100k+)")</f>
        <v/>
      </c>
      <c r="W1330" s="5">
        <f>IF(M1330="No","Attrited","Active")</f>
        <v/>
      </c>
    </row>
    <row r="1331">
      <c r="A1331" s="5" t="inlineStr">
        <is>
          <t>E01330</t>
        </is>
      </c>
      <c r="B1331" s="5" t="inlineStr">
        <is>
          <t>Male</t>
        </is>
      </c>
      <c r="C1331" s="6" t="inlineStr">
        <is>
          <t>33</t>
        </is>
      </c>
      <c r="D1331" s="5" t="inlineStr">
        <is>
          <t>Married</t>
        </is>
      </c>
      <c r="E1331" s="5" t="inlineStr">
        <is>
          <t>High School</t>
        </is>
      </c>
      <c r="F1331" s="5" t="inlineStr">
        <is>
          <t>Marketing</t>
        </is>
      </c>
      <c r="G1331" s="5" t="inlineStr">
        <is>
          <t>SEO Specialist</t>
        </is>
      </c>
      <c r="H1331" s="5" t="inlineStr">
        <is>
          <t>4</t>
        </is>
      </c>
      <c r="I1331" s="5" t="inlineStr">
        <is>
          <t>Mumbai</t>
        </is>
      </c>
      <c r="J1331" s="5" t="inlineStr">
        <is>
          <t>Full-Time</t>
        </is>
      </c>
      <c r="K1331" s="7" t="n">
        <v>44549</v>
      </c>
      <c r="L1331" s="7" t="inlineStr"/>
      <c r="M1331" s="5" t="inlineStr">
        <is>
          <t>Yes</t>
        </is>
      </c>
      <c r="N1331" s="5" t="inlineStr"/>
      <c r="O1331" s="8" t="inlineStr">
        <is>
          <t>126000</t>
        </is>
      </c>
      <c r="P1331" s="5" t="inlineStr">
        <is>
          <t>0</t>
        </is>
      </c>
      <c r="Q1331" s="5" t="inlineStr">
        <is>
          <t>3</t>
        </is>
      </c>
      <c r="R1331" s="5" t="inlineStr">
        <is>
          <t>5</t>
        </is>
      </c>
      <c r="S1331" s="5" t="inlineStr">
        <is>
          <t>49</t>
        </is>
      </c>
      <c r="T1331" s="5" t="inlineStr">
        <is>
          <t>8</t>
        </is>
      </c>
      <c r="U1331" s="5">
        <f>IFS(C1331&lt;30,"Under 30",C1331&lt;40,"30-39",C1331&lt;50,"40-49",TRUE,"50+")</f>
        <v/>
      </c>
      <c r="V1331" s="5">
        <f>IFS(O1331&lt;60000,"Low (&lt;60k)",O1331&lt;100000,"Mid (60-100k)",TRUE,"High (100k+)")</f>
        <v/>
      </c>
      <c r="W1331" s="5">
        <f>IF(M1331="No","Attrited","Active")</f>
        <v/>
      </c>
    </row>
    <row r="1332">
      <c r="A1332" s="5" t="inlineStr">
        <is>
          <t>E01331</t>
        </is>
      </c>
      <c r="B1332" s="5" t="inlineStr">
        <is>
          <t>Female</t>
        </is>
      </c>
      <c r="C1332" s="6" t="inlineStr">
        <is>
          <t>40</t>
        </is>
      </c>
      <c r="D1332" s="5" t="inlineStr">
        <is>
          <t>Married</t>
        </is>
      </c>
      <c r="E1332" s="5" t="inlineStr">
        <is>
          <t>High School</t>
        </is>
      </c>
      <c r="F1332" s="5" t="inlineStr">
        <is>
          <t>Sales</t>
        </is>
      </c>
      <c r="G1332" s="5" t="inlineStr">
        <is>
          <t>Business Development</t>
        </is>
      </c>
      <c r="H1332" s="5" t="inlineStr">
        <is>
          <t>5</t>
        </is>
      </c>
      <c r="I1332" s="5" t="inlineStr">
        <is>
          <t>Bengaluru</t>
        </is>
      </c>
      <c r="J1332" s="5" t="inlineStr">
        <is>
          <t>Full-Time</t>
        </is>
      </c>
      <c r="K1332" s="7" t="n">
        <v>44056</v>
      </c>
      <c r="L1332" s="7" t="inlineStr"/>
      <c r="M1332" s="5" t="inlineStr">
        <is>
          <t>Yes</t>
        </is>
      </c>
      <c r="N1332" s="5" t="inlineStr"/>
      <c r="O1332" s="8" t="inlineStr">
        <is>
          <t>108500</t>
        </is>
      </c>
      <c r="P1332" s="5" t="inlineStr">
        <is>
          <t>10</t>
        </is>
      </c>
      <c r="Q1332" s="5" t="inlineStr">
        <is>
          <t>3</t>
        </is>
      </c>
      <c r="R1332" s="5" t="inlineStr">
        <is>
          <t>1</t>
        </is>
      </c>
      <c r="S1332" s="5" t="inlineStr">
        <is>
          <t>65</t>
        </is>
      </c>
      <c r="T1332" s="5" t="inlineStr">
        <is>
          <t>0</t>
        </is>
      </c>
      <c r="U1332" s="5">
        <f>IFS(C1332&lt;30,"Under 30",C1332&lt;40,"30-39",C1332&lt;50,"40-49",TRUE,"50+")</f>
        <v/>
      </c>
      <c r="V1332" s="5">
        <f>IFS(O1332&lt;60000,"Low (&lt;60k)",O1332&lt;100000,"Mid (60-100k)",TRUE,"High (100k+)")</f>
        <v/>
      </c>
      <c r="W1332" s="5">
        <f>IF(M1332="No","Attrited","Active")</f>
        <v/>
      </c>
    </row>
    <row r="1333">
      <c r="A1333" s="5" t="inlineStr">
        <is>
          <t>E01332</t>
        </is>
      </c>
      <c r="B1333" s="5" t="inlineStr">
        <is>
          <t>Female</t>
        </is>
      </c>
      <c r="C1333" s="6" t="inlineStr">
        <is>
          <t>24</t>
        </is>
      </c>
      <c r="D1333" s="5" t="inlineStr">
        <is>
          <t>Married</t>
        </is>
      </c>
      <c r="E1333" s="5" t="inlineStr">
        <is>
          <t>High School</t>
        </is>
      </c>
      <c r="F1333" s="5" t="inlineStr">
        <is>
          <t>Customer Support</t>
        </is>
      </c>
      <c r="G1333" s="5" t="inlineStr">
        <is>
          <t>Support Lead</t>
        </is>
      </c>
      <c r="H1333" s="5" t="inlineStr">
        <is>
          <t>1</t>
        </is>
      </c>
      <c r="I1333" s="5" t="inlineStr">
        <is>
          <t>Bengaluru</t>
        </is>
      </c>
      <c r="J1333" s="5" t="inlineStr">
        <is>
          <t>Full-Time</t>
        </is>
      </c>
      <c r="K1333" s="7" t="n">
        <v>45605</v>
      </c>
      <c r="L1333" s="7" t="inlineStr"/>
      <c r="M1333" s="5" t="inlineStr">
        <is>
          <t>Yes</t>
        </is>
      </c>
      <c r="N1333" s="5" t="inlineStr"/>
      <c r="O1333" s="8" t="inlineStr">
        <is>
          <t>47500</t>
        </is>
      </c>
      <c r="P1333" s="5" t="inlineStr">
        <is>
          <t>5</t>
        </is>
      </c>
      <c r="Q1333" s="5" t="inlineStr">
        <is>
          <t>4</t>
        </is>
      </c>
      <c r="R1333" s="5" t="inlineStr">
        <is>
          <t>8</t>
        </is>
      </c>
      <c r="S1333" s="5" t="inlineStr">
        <is>
          <t>13</t>
        </is>
      </c>
      <c r="T1333" s="5" t="inlineStr">
        <is>
          <t>8</t>
        </is>
      </c>
      <c r="U1333" s="5">
        <f>IFS(C1333&lt;30,"Under 30",C1333&lt;40,"30-39",C1333&lt;50,"40-49",TRUE,"50+")</f>
        <v/>
      </c>
      <c r="V1333" s="5">
        <f>IFS(O1333&lt;60000,"Low (&lt;60k)",O1333&lt;100000,"Mid (60-100k)",TRUE,"High (100k+)")</f>
        <v/>
      </c>
      <c r="W1333" s="5">
        <f>IF(M1333="No","Attrited","Active")</f>
        <v/>
      </c>
    </row>
    <row r="1334">
      <c r="A1334" s="5" t="inlineStr">
        <is>
          <t>E01333</t>
        </is>
      </c>
      <c r="B1334" s="5" t="inlineStr">
        <is>
          <t>Female</t>
        </is>
      </c>
      <c r="C1334" s="6" t="inlineStr">
        <is>
          <t>27</t>
        </is>
      </c>
      <c r="D1334" s="5" t="inlineStr">
        <is>
          <t>Single</t>
        </is>
      </c>
      <c r="E1334" s="5" t="inlineStr">
        <is>
          <t>Master</t>
        </is>
      </c>
      <c r="F1334" s="5" t="inlineStr">
        <is>
          <t>Customer Support</t>
        </is>
      </c>
      <c r="G1334" s="5" t="inlineStr">
        <is>
          <t>Support Agent</t>
        </is>
      </c>
      <c r="H1334" s="5" t="inlineStr">
        <is>
          <t>3</t>
        </is>
      </c>
      <c r="I1334" s="5" t="inlineStr">
        <is>
          <t>Hyderabad</t>
        </is>
      </c>
      <c r="J1334" s="5" t="inlineStr">
        <is>
          <t>Full-Time</t>
        </is>
      </c>
      <c r="K1334" s="7" t="n">
        <v>45581</v>
      </c>
      <c r="L1334" s="7" t="inlineStr"/>
      <c r="M1334" s="5" t="inlineStr">
        <is>
          <t>Yes</t>
        </is>
      </c>
      <c r="N1334" s="5" t="inlineStr"/>
      <c r="O1334" s="8" t="inlineStr">
        <is>
          <t>68500</t>
        </is>
      </c>
      <c r="P1334" s="5" t="inlineStr">
        <is>
          <t>0</t>
        </is>
      </c>
      <c r="Q1334" s="5" t="inlineStr">
        <is>
          <t>4</t>
        </is>
      </c>
      <c r="R1334" s="5" t="inlineStr">
        <is>
          <t>10</t>
        </is>
      </c>
      <c r="S1334" s="5" t="inlineStr">
        <is>
          <t>14</t>
        </is>
      </c>
      <c r="T1334" s="5" t="inlineStr">
        <is>
          <t>9</t>
        </is>
      </c>
      <c r="U1334" s="5">
        <f>IFS(C1334&lt;30,"Under 30",C1334&lt;40,"30-39",C1334&lt;50,"40-49",TRUE,"50+")</f>
        <v/>
      </c>
      <c r="V1334" s="5">
        <f>IFS(O1334&lt;60000,"Low (&lt;60k)",O1334&lt;100000,"Mid (60-100k)",TRUE,"High (100k+)")</f>
        <v/>
      </c>
      <c r="W1334" s="5">
        <f>IF(M1334="No","Attrited","Active")</f>
        <v/>
      </c>
    </row>
    <row r="1335">
      <c r="A1335" s="5" t="inlineStr">
        <is>
          <t>E01334</t>
        </is>
      </c>
      <c r="B1335" s="5" t="inlineStr">
        <is>
          <t>Male</t>
        </is>
      </c>
      <c r="C1335" s="6" t="inlineStr">
        <is>
          <t>25</t>
        </is>
      </c>
      <c r="D1335" s="5" t="inlineStr">
        <is>
          <t>Married</t>
        </is>
      </c>
      <c r="E1335" s="5" t="inlineStr">
        <is>
          <t>PhD</t>
        </is>
      </c>
      <c r="F1335" s="5" t="inlineStr">
        <is>
          <t>Human Resources</t>
        </is>
      </c>
      <c r="G1335" s="5" t="inlineStr">
        <is>
          <t>HR Generalist</t>
        </is>
      </c>
      <c r="H1335" s="5" t="inlineStr">
        <is>
          <t>2</t>
        </is>
      </c>
      <c r="I1335" s="5" t="inlineStr">
        <is>
          <t>Delhi</t>
        </is>
      </c>
      <c r="J1335" s="5" t="inlineStr">
        <is>
          <t>Full-Time</t>
        </is>
      </c>
      <c r="K1335" s="7" t="n">
        <v>45235</v>
      </c>
      <c r="L1335" s="7" t="inlineStr"/>
      <c r="M1335" s="5" t="inlineStr">
        <is>
          <t>Yes</t>
        </is>
      </c>
      <c r="N1335" s="5" t="inlineStr"/>
      <c r="O1335" s="8" t="inlineStr">
        <is>
          <t>74000</t>
        </is>
      </c>
      <c r="P1335" s="5" t="inlineStr">
        <is>
          <t>0</t>
        </is>
      </c>
      <c r="Q1335" s="5" t="inlineStr">
        <is>
          <t>3</t>
        </is>
      </c>
      <c r="R1335" s="5" t="inlineStr">
        <is>
          <t>4</t>
        </is>
      </c>
      <c r="S1335" s="5" t="inlineStr">
        <is>
          <t>26</t>
        </is>
      </c>
      <c r="T1335" s="5" t="inlineStr">
        <is>
          <t>8</t>
        </is>
      </c>
      <c r="U1335" s="5">
        <f>IFS(C1335&lt;30,"Under 30",C1335&lt;40,"30-39",C1335&lt;50,"40-49",TRUE,"50+")</f>
        <v/>
      </c>
      <c r="V1335" s="5">
        <f>IFS(O1335&lt;60000,"Low (&lt;60k)",O1335&lt;100000,"Mid (60-100k)",TRUE,"High (100k+)")</f>
        <v/>
      </c>
      <c r="W1335" s="5">
        <f>IF(M1335="No","Attrited","Active")</f>
        <v/>
      </c>
    </row>
    <row r="1336">
      <c r="A1336" s="5" t="inlineStr">
        <is>
          <t>E01335</t>
        </is>
      </c>
      <c r="B1336" s="5" t="inlineStr">
        <is>
          <t>Male</t>
        </is>
      </c>
      <c r="C1336" s="6" t="inlineStr">
        <is>
          <t>37</t>
        </is>
      </c>
      <c r="D1336" s="5" t="inlineStr">
        <is>
          <t>Married</t>
        </is>
      </c>
      <c r="E1336" s="5" t="inlineStr">
        <is>
          <t>Master</t>
        </is>
      </c>
      <c r="F1336" s="5" t="inlineStr">
        <is>
          <t>Marketing</t>
        </is>
      </c>
      <c r="G1336" s="5" t="inlineStr">
        <is>
          <t>Content Writer</t>
        </is>
      </c>
      <c r="H1336" s="5" t="inlineStr">
        <is>
          <t>4</t>
        </is>
      </c>
      <c r="I1336" s="5" t="inlineStr">
        <is>
          <t>Bengaluru</t>
        </is>
      </c>
      <c r="J1336" s="5" t="inlineStr">
        <is>
          <t>Part-Time</t>
        </is>
      </c>
      <c r="K1336" s="7" t="n">
        <v>45575</v>
      </c>
      <c r="L1336" s="7" t="inlineStr"/>
      <c r="M1336" s="5" t="inlineStr">
        <is>
          <t>Yes</t>
        </is>
      </c>
      <c r="N1336" s="5" t="inlineStr"/>
      <c r="O1336" s="8" t="inlineStr">
        <is>
          <t>103500</t>
        </is>
      </c>
      <c r="P1336" s="5" t="inlineStr">
        <is>
          <t>15</t>
        </is>
      </c>
      <c r="Q1336" s="5" t="inlineStr">
        <is>
          <t>4</t>
        </is>
      </c>
      <c r="R1336" s="5" t="inlineStr">
        <is>
          <t>6</t>
        </is>
      </c>
      <c r="S1336" s="5" t="inlineStr">
        <is>
          <t>14</t>
        </is>
      </c>
      <c r="T1336" s="5" t="inlineStr">
        <is>
          <t>5</t>
        </is>
      </c>
      <c r="U1336" s="5">
        <f>IFS(C1336&lt;30,"Under 30",C1336&lt;40,"30-39",C1336&lt;50,"40-49",TRUE,"50+")</f>
        <v/>
      </c>
      <c r="V1336" s="5">
        <f>IFS(O1336&lt;60000,"Low (&lt;60k)",O1336&lt;100000,"Mid (60-100k)",TRUE,"High (100k+)")</f>
        <v/>
      </c>
      <c r="W1336" s="5">
        <f>IF(M1336="No","Attrited","Active")</f>
        <v/>
      </c>
    </row>
    <row r="1337">
      <c r="A1337" s="5" t="inlineStr">
        <is>
          <t>E01336</t>
        </is>
      </c>
      <c r="B1337" s="5" t="inlineStr">
        <is>
          <t>Male</t>
        </is>
      </c>
      <c r="C1337" s="6" t="inlineStr">
        <is>
          <t>33</t>
        </is>
      </c>
      <c r="D1337" s="5" t="inlineStr">
        <is>
          <t>Single</t>
        </is>
      </c>
      <c r="E1337" s="5" t="inlineStr">
        <is>
          <t>Bachelor</t>
        </is>
      </c>
      <c r="F1337" s="5" t="inlineStr">
        <is>
          <t>Sales</t>
        </is>
      </c>
      <c r="G1337" s="5" t="inlineStr">
        <is>
          <t>Sales Executive</t>
        </is>
      </c>
      <c r="H1337" s="5" t="inlineStr">
        <is>
          <t>1</t>
        </is>
      </c>
      <c r="I1337" s="5" t="inlineStr">
        <is>
          <t>Mumbai</t>
        </is>
      </c>
      <c r="J1337" s="5" t="inlineStr">
        <is>
          <t>Full-Time</t>
        </is>
      </c>
      <c r="K1337" s="7" t="n">
        <v>44842</v>
      </c>
      <c r="L1337" s="7" t="inlineStr"/>
      <c r="M1337" s="5" t="inlineStr">
        <is>
          <t>Yes</t>
        </is>
      </c>
      <c r="N1337" s="5" t="inlineStr"/>
      <c r="O1337" s="8" t="inlineStr">
        <is>
          <t>92000</t>
        </is>
      </c>
      <c r="P1337" s="5" t="inlineStr">
        <is>
          <t>5</t>
        </is>
      </c>
      <c r="Q1337" s="5" t="inlineStr">
        <is>
          <t>4</t>
        </is>
      </c>
      <c r="R1337" s="5" t="inlineStr">
        <is>
          <t>5</t>
        </is>
      </c>
      <c r="S1337" s="5" t="inlineStr">
        <is>
          <t>39</t>
        </is>
      </c>
      <c r="T1337" s="5" t="inlineStr">
        <is>
          <t>11</t>
        </is>
      </c>
      <c r="U1337" s="5">
        <f>IFS(C1337&lt;30,"Under 30",C1337&lt;40,"30-39",C1337&lt;50,"40-49",TRUE,"50+")</f>
        <v/>
      </c>
      <c r="V1337" s="5">
        <f>IFS(O1337&lt;60000,"Low (&lt;60k)",O1337&lt;100000,"Mid (60-100k)",TRUE,"High (100k+)")</f>
        <v/>
      </c>
      <c r="W1337" s="5">
        <f>IF(M1337="No","Attrited","Active")</f>
        <v/>
      </c>
    </row>
    <row r="1338">
      <c r="A1338" s="5" t="inlineStr">
        <is>
          <t>E01337</t>
        </is>
      </c>
      <c r="B1338" s="5" t="inlineStr">
        <is>
          <t>Male</t>
        </is>
      </c>
      <c r="C1338" s="6" t="inlineStr">
        <is>
          <t>36</t>
        </is>
      </c>
      <c r="D1338" s="5" t="inlineStr">
        <is>
          <t>Married</t>
        </is>
      </c>
      <c r="E1338" s="5" t="inlineStr">
        <is>
          <t>Master</t>
        </is>
      </c>
      <c r="F1338" s="5" t="inlineStr">
        <is>
          <t>Finance</t>
        </is>
      </c>
      <c r="G1338" s="5" t="inlineStr">
        <is>
          <t>Credit Analyst</t>
        </is>
      </c>
      <c r="H1338" s="5" t="inlineStr">
        <is>
          <t>5</t>
        </is>
      </c>
      <c r="I1338" s="5" t="inlineStr">
        <is>
          <t>Delhi</t>
        </is>
      </c>
      <c r="J1338" s="5" t="inlineStr">
        <is>
          <t>Full-Time</t>
        </is>
      </c>
      <c r="K1338" s="7" t="n">
        <v>44137</v>
      </c>
      <c r="L1338" s="7" t="inlineStr"/>
      <c r="M1338" s="5" t="inlineStr">
        <is>
          <t>Yes</t>
        </is>
      </c>
      <c r="N1338" s="5" t="inlineStr"/>
      <c r="O1338" s="8" t="inlineStr">
        <is>
          <t>134500</t>
        </is>
      </c>
      <c r="P1338" s="5" t="inlineStr">
        <is>
          <t>5</t>
        </is>
      </c>
      <c r="Q1338" s="5" t="inlineStr">
        <is>
          <t>1</t>
        </is>
      </c>
      <c r="R1338" s="5" t="inlineStr">
        <is>
          <t>7</t>
        </is>
      </c>
      <c r="S1338" s="5" t="inlineStr">
        <is>
          <t>62</t>
        </is>
      </c>
      <c r="T1338" s="5" t="inlineStr">
        <is>
          <t>1</t>
        </is>
      </c>
      <c r="U1338" s="5">
        <f>IFS(C1338&lt;30,"Under 30",C1338&lt;40,"30-39",C1338&lt;50,"40-49",TRUE,"50+")</f>
        <v/>
      </c>
      <c r="V1338" s="5">
        <f>IFS(O1338&lt;60000,"Low (&lt;60k)",O1338&lt;100000,"Mid (60-100k)",TRUE,"High (100k+)")</f>
        <v/>
      </c>
      <c r="W1338" s="5">
        <f>IF(M1338="No","Attrited","Active")</f>
        <v/>
      </c>
    </row>
    <row r="1339">
      <c r="A1339" s="5" t="inlineStr">
        <is>
          <t>E01338</t>
        </is>
      </c>
      <c r="B1339" s="5" t="inlineStr">
        <is>
          <t>Female</t>
        </is>
      </c>
      <c r="C1339" s="6" t="inlineStr">
        <is>
          <t>41</t>
        </is>
      </c>
      <c r="D1339" s="5" t="inlineStr">
        <is>
          <t>Single</t>
        </is>
      </c>
      <c r="E1339" s="5" t="inlineStr">
        <is>
          <t>High School</t>
        </is>
      </c>
      <c r="F1339" s="5" t="inlineStr">
        <is>
          <t>Sales</t>
        </is>
      </c>
      <c r="G1339" s="5" t="inlineStr">
        <is>
          <t>Business Development</t>
        </is>
      </c>
      <c r="H1339" s="5" t="inlineStr">
        <is>
          <t>6</t>
        </is>
      </c>
      <c r="I1339" s="5" t="inlineStr">
        <is>
          <t>Delhi</t>
        </is>
      </c>
      <c r="J1339" s="5" t="inlineStr">
        <is>
          <t>Part-Time</t>
        </is>
      </c>
      <c r="K1339" s="7" t="n">
        <v>44636</v>
      </c>
      <c r="L1339" s="7" t="inlineStr"/>
      <c r="M1339" s="5" t="inlineStr">
        <is>
          <t>Yes</t>
        </is>
      </c>
      <c r="N1339" s="5" t="inlineStr"/>
      <c r="O1339" s="8" t="inlineStr">
        <is>
          <t>108000</t>
        </is>
      </c>
      <c r="P1339" s="5" t="inlineStr">
        <is>
          <t>15</t>
        </is>
      </c>
      <c r="Q1339" s="5" t="inlineStr">
        <is>
          <t>3</t>
        </is>
      </c>
      <c r="R1339" s="5" t="inlineStr">
        <is>
          <t>6</t>
        </is>
      </c>
      <c r="S1339" s="5" t="inlineStr">
        <is>
          <t>46</t>
        </is>
      </c>
      <c r="T1339" s="5" t="inlineStr">
        <is>
          <t>0</t>
        </is>
      </c>
      <c r="U1339" s="5">
        <f>IFS(C1339&lt;30,"Under 30",C1339&lt;40,"30-39",C1339&lt;50,"40-49",TRUE,"50+")</f>
        <v/>
      </c>
      <c r="V1339" s="5">
        <f>IFS(O1339&lt;60000,"Low (&lt;60k)",O1339&lt;100000,"Mid (60-100k)",TRUE,"High (100k+)")</f>
        <v/>
      </c>
      <c r="W1339" s="5">
        <f>IF(M1339="No","Attrited","Active")</f>
        <v/>
      </c>
    </row>
    <row r="1340">
      <c r="A1340" s="5" t="inlineStr">
        <is>
          <t>E01339</t>
        </is>
      </c>
      <c r="B1340" s="5" t="inlineStr">
        <is>
          <t>Female</t>
        </is>
      </c>
      <c r="C1340" s="6" t="inlineStr">
        <is>
          <t>32</t>
        </is>
      </c>
      <c r="D1340" s="5" t="inlineStr">
        <is>
          <t>Single</t>
        </is>
      </c>
      <c r="E1340" s="5" t="inlineStr">
        <is>
          <t>Diploma</t>
        </is>
      </c>
      <c r="F1340" s="5" t="inlineStr">
        <is>
          <t>Customer Support</t>
        </is>
      </c>
      <c r="G1340" s="5" t="inlineStr">
        <is>
          <t>Support Lead</t>
        </is>
      </c>
      <c r="H1340" s="5" t="inlineStr">
        <is>
          <t>5</t>
        </is>
      </c>
      <c r="I1340" s="5" t="inlineStr">
        <is>
          <t>Bengaluru</t>
        </is>
      </c>
      <c r="J1340" s="5" t="inlineStr">
        <is>
          <t>Full-Time</t>
        </is>
      </c>
      <c r="K1340" s="7" t="n">
        <v>45806</v>
      </c>
      <c r="L1340" s="7" t="inlineStr"/>
      <c r="M1340" s="5" t="inlineStr">
        <is>
          <t>Yes</t>
        </is>
      </c>
      <c r="N1340" s="5" t="inlineStr"/>
      <c r="O1340" s="8" t="inlineStr">
        <is>
          <t>91500</t>
        </is>
      </c>
      <c r="P1340" s="5" t="inlineStr">
        <is>
          <t>0</t>
        </is>
      </c>
      <c r="Q1340" s="5" t="inlineStr">
        <is>
          <t>4</t>
        </is>
      </c>
      <c r="R1340" s="5" t="inlineStr">
        <is>
          <t>7</t>
        </is>
      </c>
      <c r="S1340" s="5" t="inlineStr">
        <is>
          <t>7</t>
        </is>
      </c>
      <c r="T1340" s="5" t="inlineStr">
        <is>
          <t>5</t>
        </is>
      </c>
      <c r="U1340" s="5">
        <f>IFS(C1340&lt;30,"Under 30",C1340&lt;40,"30-39",C1340&lt;50,"40-49",TRUE,"50+")</f>
        <v/>
      </c>
      <c r="V1340" s="5">
        <f>IFS(O1340&lt;60000,"Low (&lt;60k)",O1340&lt;100000,"Mid (60-100k)",TRUE,"High (100k+)")</f>
        <v/>
      </c>
      <c r="W1340" s="5">
        <f>IF(M1340="No","Attrited","Active")</f>
        <v/>
      </c>
    </row>
    <row r="1341">
      <c r="A1341" s="5" t="inlineStr">
        <is>
          <t>E01340</t>
        </is>
      </c>
      <c r="B1341" s="5" t="inlineStr">
        <is>
          <t>Female</t>
        </is>
      </c>
      <c r="C1341" s="6" t="inlineStr">
        <is>
          <t>39</t>
        </is>
      </c>
      <c r="D1341" s="5" t="inlineStr">
        <is>
          <t>Married</t>
        </is>
      </c>
      <c r="E1341" s="5" t="inlineStr">
        <is>
          <t>High School</t>
        </is>
      </c>
      <c r="F1341" s="5" t="inlineStr">
        <is>
          <t>Human Resources</t>
        </is>
      </c>
      <c r="G1341" s="5" t="inlineStr">
        <is>
          <t>Recruiter</t>
        </is>
      </c>
      <c r="H1341" s="5" t="inlineStr">
        <is>
          <t>7</t>
        </is>
      </c>
      <c r="I1341" s="5" t="inlineStr">
        <is>
          <t>Bengaluru</t>
        </is>
      </c>
      <c r="J1341" s="5" t="inlineStr">
        <is>
          <t>Part-Time</t>
        </is>
      </c>
      <c r="K1341" s="7" t="n">
        <v>45678</v>
      </c>
      <c r="L1341" s="7" t="n">
        <v>45726</v>
      </c>
      <c r="M1341" s="5" t="inlineStr">
        <is>
          <t>No</t>
        </is>
      </c>
      <c r="N1341" s="5" t="inlineStr">
        <is>
          <t>Retirement</t>
        </is>
      </c>
      <c r="O1341" s="8" t="inlineStr">
        <is>
          <t>124000</t>
        </is>
      </c>
      <c r="P1341" s="5" t="inlineStr">
        <is>
          <t>5</t>
        </is>
      </c>
      <c r="Q1341" s="5" t="inlineStr">
        <is>
          <t>4</t>
        </is>
      </c>
      <c r="R1341" s="5" t="inlineStr">
        <is>
          <t>6</t>
        </is>
      </c>
      <c r="S1341" s="5" t="inlineStr">
        <is>
          <t>1</t>
        </is>
      </c>
      <c r="T1341" s="5" t="inlineStr">
        <is>
          <t>8</t>
        </is>
      </c>
      <c r="U1341" s="5">
        <f>IFS(C1341&lt;30,"Under 30",C1341&lt;40,"30-39",C1341&lt;50,"40-49",TRUE,"50+")</f>
        <v/>
      </c>
      <c r="V1341" s="5">
        <f>IFS(O1341&lt;60000,"Low (&lt;60k)",O1341&lt;100000,"Mid (60-100k)",TRUE,"High (100k+)")</f>
        <v/>
      </c>
      <c r="W1341" s="5">
        <f>IF(M1341="No","Attrited","Active")</f>
        <v/>
      </c>
    </row>
    <row r="1342">
      <c r="A1342" s="5" t="inlineStr">
        <is>
          <t>E01341</t>
        </is>
      </c>
      <c r="B1342" s="5" t="inlineStr">
        <is>
          <t>Male</t>
        </is>
      </c>
      <c r="C1342" s="6" t="inlineStr">
        <is>
          <t>26</t>
        </is>
      </c>
      <c r="D1342" s="5" t="inlineStr">
        <is>
          <t>Married</t>
        </is>
      </c>
      <c r="E1342" s="5" t="inlineStr">
        <is>
          <t>Bachelor</t>
        </is>
      </c>
      <c r="F1342" s="5" t="inlineStr">
        <is>
          <t>Marketing</t>
        </is>
      </c>
      <c r="G1342" s="5" t="inlineStr">
        <is>
          <t>Marketing Analyst</t>
        </is>
      </c>
      <c r="H1342" s="5" t="inlineStr">
        <is>
          <t>2</t>
        </is>
      </c>
      <c r="I1342" s="5" t="inlineStr">
        <is>
          <t>Remote</t>
        </is>
      </c>
      <c r="J1342" s="5" t="inlineStr">
        <is>
          <t>Full-Time</t>
        </is>
      </c>
      <c r="K1342" s="7" t="n">
        <v>45832</v>
      </c>
      <c r="L1342" s="7" t="inlineStr"/>
      <c r="M1342" s="5" t="inlineStr">
        <is>
          <t>Yes</t>
        </is>
      </c>
      <c r="N1342" s="5" t="inlineStr"/>
      <c r="O1342" s="8" t="inlineStr">
        <is>
          <t>94500</t>
        </is>
      </c>
      <c r="P1342" s="5" t="inlineStr">
        <is>
          <t>0</t>
        </is>
      </c>
      <c r="Q1342" s="5" t="inlineStr">
        <is>
          <t>3</t>
        </is>
      </c>
      <c r="R1342" s="5" t="inlineStr">
        <is>
          <t>9</t>
        </is>
      </c>
      <c r="S1342" s="5" t="inlineStr">
        <is>
          <t>6</t>
        </is>
      </c>
      <c r="T1342" s="5" t="inlineStr">
        <is>
          <t>8</t>
        </is>
      </c>
      <c r="U1342" s="5">
        <f>IFS(C1342&lt;30,"Under 30",C1342&lt;40,"30-39",C1342&lt;50,"40-49",TRUE,"50+")</f>
        <v/>
      </c>
      <c r="V1342" s="5">
        <f>IFS(O1342&lt;60000,"Low (&lt;60k)",O1342&lt;100000,"Mid (60-100k)",TRUE,"High (100k+)")</f>
        <v/>
      </c>
      <c r="W1342" s="5">
        <f>IF(M1342="No","Attrited","Active")</f>
        <v/>
      </c>
    </row>
    <row r="1343">
      <c r="A1343" s="5" t="inlineStr">
        <is>
          <t>E01342</t>
        </is>
      </c>
      <c r="B1343" s="5" t="inlineStr">
        <is>
          <t>Male</t>
        </is>
      </c>
      <c r="C1343" s="6" t="inlineStr">
        <is>
          <t>32</t>
        </is>
      </c>
      <c r="D1343" s="5" t="inlineStr">
        <is>
          <t>Married</t>
        </is>
      </c>
      <c r="E1343" s="5" t="inlineStr">
        <is>
          <t>High School</t>
        </is>
      </c>
      <c r="F1343" s="5" t="inlineStr">
        <is>
          <t>Operations</t>
        </is>
      </c>
      <c r="G1343" s="5" t="inlineStr">
        <is>
          <t>Quality Analyst</t>
        </is>
      </c>
      <c r="H1343" s="5" t="inlineStr">
        <is>
          <t>5</t>
        </is>
      </c>
      <c r="I1343" s="5" t="inlineStr">
        <is>
          <t>Delhi</t>
        </is>
      </c>
      <c r="J1343" s="5" t="inlineStr">
        <is>
          <t>Part-Time</t>
        </is>
      </c>
      <c r="K1343" s="7" t="n">
        <v>44335</v>
      </c>
      <c r="L1343" s="7" t="inlineStr"/>
      <c r="M1343" s="5" t="inlineStr">
        <is>
          <t>Yes</t>
        </is>
      </c>
      <c r="N1343" s="5" t="inlineStr"/>
      <c r="O1343" s="8" t="inlineStr">
        <is>
          <t>105000</t>
        </is>
      </c>
      <c r="P1343" s="5" t="inlineStr">
        <is>
          <t>5</t>
        </is>
      </c>
      <c r="Q1343" s="5" t="inlineStr">
        <is>
          <t>4</t>
        </is>
      </c>
      <c r="R1343" s="5" t="inlineStr">
        <is>
          <t>6</t>
        </is>
      </c>
      <c r="S1343" s="5" t="inlineStr">
        <is>
          <t>56</t>
        </is>
      </c>
      <c r="T1343" s="5" t="inlineStr">
        <is>
          <t>1</t>
        </is>
      </c>
      <c r="U1343" s="5">
        <f>IFS(C1343&lt;30,"Under 30",C1343&lt;40,"30-39",C1343&lt;50,"40-49",TRUE,"50+")</f>
        <v/>
      </c>
      <c r="V1343" s="5">
        <f>IFS(O1343&lt;60000,"Low (&lt;60k)",O1343&lt;100000,"Mid (60-100k)",TRUE,"High (100k+)")</f>
        <v/>
      </c>
      <c r="W1343" s="5">
        <f>IF(M1343="No","Attrited","Active")</f>
        <v/>
      </c>
    </row>
    <row r="1344">
      <c r="A1344" s="5" t="inlineStr">
        <is>
          <t>E01343</t>
        </is>
      </c>
      <c r="B1344" s="5" t="inlineStr">
        <is>
          <t>Female</t>
        </is>
      </c>
      <c r="C1344" s="6" t="inlineStr">
        <is>
          <t>36</t>
        </is>
      </c>
      <c r="D1344" s="5" t="inlineStr">
        <is>
          <t>Married</t>
        </is>
      </c>
      <c r="E1344" s="5" t="inlineStr">
        <is>
          <t>PhD</t>
        </is>
      </c>
      <c r="F1344" s="5" t="inlineStr">
        <is>
          <t>Human Resources</t>
        </is>
      </c>
      <c r="G1344" s="5" t="inlineStr">
        <is>
          <t>HR Analyst</t>
        </is>
      </c>
      <c r="H1344" s="5" t="inlineStr">
        <is>
          <t>2</t>
        </is>
      </c>
      <c r="I1344" s="5" t="inlineStr">
        <is>
          <t>Chennai</t>
        </is>
      </c>
      <c r="J1344" s="5" t="inlineStr">
        <is>
          <t>Contract</t>
        </is>
      </c>
      <c r="K1344" s="7" t="n">
        <v>44797</v>
      </c>
      <c r="L1344" s="7" t="inlineStr"/>
      <c r="M1344" s="5" t="inlineStr">
        <is>
          <t>Yes</t>
        </is>
      </c>
      <c r="N1344" s="5" t="inlineStr"/>
      <c r="O1344" s="8" t="inlineStr">
        <is>
          <t>92000</t>
        </is>
      </c>
      <c r="P1344" s="5" t="inlineStr">
        <is>
          <t>5</t>
        </is>
      </c>
      <c r="Q1344" s="5" t="inlineStr">
        <is>
          <t>4</t>
        </is>
      </c>
      <c r="R1344" s="5" t="inlineStr">
        <is>
          <t>6</t>
        </is>
      </c>
      <c r="S1344" s="5" t="inlineStr">
        <is>
          <t>40</t>
        </is>
      </c>
      <c r="T1344" s="5" t="inlineStr">
        <is>
          <t>15</t>
        </is>
      </c>
      <c r="U1344" s="5">
        <f>IFS(C1344&lt;30,"Under 30",C1344&lt;40,"30-39",C1344&lt;50,"40-49",TRUE,"50+")</f>
        <v/>
      </c>
      <c r="V1344" s="5">
        <f>IFS(O1344&lt;60000,"Low (&lt;60k)",O1344&lt;100000,"Mid (60-100k)",TRUE,"High (100k+)")</f>
        <v/>
      </c>
      <c r="W1344" s="5">
        <f>IF(M1344="No","Attrited","Active")</f>
        <v/>
      </c>
    </row>
    <row r="1345">
      <c r="A1345" s="5" t="inlineStr">
        <is>
          <t>E01344</t>
        </is>
      </c>
      <c r="B1345" s="5" t="inlineStr">
        <is>
          <t>Male</t>
        </is>
      </c>
      <c r="C1345" s="6" t="inlineStr">
        <is>
          <t>35</t>
        </is>
      </c>
      <c r="D1345" s="5" t="inlineStr">
        <is>
          <t>Married</t>
        </is>
      </c>
      <c r="E1345" s="5" t="inlineStr">
        <is>
          <t>Diploma</t>
        </is>
      </c>
      <c r="F1345" s="5" t="inlineStr">
        <is>
          <t>Research &amp; Development</t>
        </is>
      </c>
      <c r="G1345" s="5" t="inlineStr">
        <is>
          <t>Product Engineer</t>
        </is>
      </c>
      <c r="H1345" s="5" t="inlineStr">
        <is>
          <t>2</t>
        </is>
      </c>
      <c r="I1345" s="5" t="inlineStr">
        <is>
          <t>Mumbai</t>
        </is>
      </c>
      <c r="J1345" s="5" t="inlineStr">
        <is>
          <t>Full-Time</t>
        </is>
      </c>
      <c r="K1345" s="7" t="n">
        <v>45088</v>
      </c>
      <c r="L1345" s="7" t="n">
        <v>45197</v>
      </c>
      <c r="M1345" s="5" t="inlineStr">
        <is>
          <t>No</t>
        </is>
      </c>
      <c r="N1345" s="5" t="inlineStr">
        <is>
          <t>Resigned</t>
        </is>
      </c>
      <c r="O1345" s="8" t="inlineStr">
        <is>
          <t>171000</t>
        </is>
      </c>
      <c r="P1345" s="5" t="inlineStr">
        <is>
          <t>5</t>
        </is>
      </c>
      <c r="Q1345" s="5" t="inlineStr">
        <is>
          <t>4</t>
        </is>
      </c>
      <c r="R1345" s="5" t="inlineStr">
        <is>
          <t>6</t>
        </is>
      </c>
      <c r="S1345" s="5" t="inlineStr">
        <is>
          <t>3</t>
        </is>
      </c>
      <c r="T1345" s="5" t="inlineStr">
        <is>
          <t>3</t>
        </is>
      </c>
      <c r="U1345" s="5">
        <f>IFS(C1345&lt;30,"Under 30",C1345&lt;40,"30-39",C1345&lt;50,"40-49",TRUE,"50+")</f>
        <v/>
      </c>
      <c r="V1345" s="5">
        <f>IFS(O1345&lt;60000,"Low (&lt;60k)",O1345&lt;100000,"Mid (60-100k)",TRUE,"High (100k+)")</f>
        <v/>
      </c>
      <c r="W1345" s="5">
        <f>IF(M1345="No","Attrited","Active")</f>
        <v/>
      </c>
    </row>
    <row r="1346">
      <c r="A1346" s="5" t="inlineStr">
        <is>
          <t>E01345</t>
        </is>
      </c>
      <c r="B1346" s="5" t="inlineStr">
        <is>
          <t>Female</t>
        </is>
      </c>
      <c r="C1346" s="6" t="inlineStr">
        <is>
          <t>30</t>
        </is>
      </c>
      <c r="D1346" s="5" t="inlineStr">
        <is>
          <t>Married</t>
        </is>
      </c>
      <c r="E1346" s="5" t="inlineStr">
        <is>
          <t>High School</t>
        </is>
      </c>
      <c r="F1346" s="5" t="inlineStr">
        <is>
          <t>Finance</t>
        </is>
      </c>
      <c r="G1346" s="5" t="inlineStr">
        <is>
          <t>Accountant</t>
        </is>
      </c>
      <c r="H1346" s="5" t="inlineStr">
        <is>
          <t>1</t>
        </is>
      </c>
      <c r="I1346" s="5" t="inlineStr">
        <is>
          <t>Hyderabad</t>
        </is>
      </c>
      <c r="J1346" s="5" t="inlineStr">
        <is>
          <t>Full-Time</t>
        </is>
      </c>
      <c r="K1346" s="7" t="n">
        <v>45667</v>
      </c>
      <c r="L1346" s="7" t="inlineStr"/>
      <c r="M1346" s="5" t="inlineStr">
        <is>
          <t>Yes</t>
        </is>
      </c>
      <c r="N1346" s="5" t="inlineStr"/>
      <c r="O1346" s="8" t="inlineStr">
        <is>
          <t>95500</t>
        </is>
      </c>
      <c r="P1346" s="5" t="inlineStr">
        <is>
          <t>5</t>
        </is>
      </c>
      <c r="Q1346" s="5" t="inlineStr">
        <is>
          <t>4</t>
        </is>
      </c>
      <c r="R1346" s="5" t="inlineStr">
        <is>
          <t>8</t>
        </is>
      </c>
      <c r="S1346" s="5" t="inlineStr">
        <is>
          <t>11</t>
        </is>
      </c>
      <c r="T1346" s="5" t="inlineStr">
        <is>
          <t>3</t>
        </is>
      </c>
      <c r="U1346" s="5">
        <f>IFS(C1346&lt;30,"Under 30",C1346&lt;40,"30-39",C1346&lt;50,"40-49",TRUE,"50+")</f>
        <v/>
      </c>
      <c r="V1346" s="5">
        <f>IFS(O1346&lt;60000,"Low (&lt;60k)",O1346&lt;100000,"Mid (60-100k)",TRUE,"High (100k+)")</f>
        <v/>
      </c>
      <c r="W1346" s="5">
        <f>IF(M1346="No","Attrited","Active")</f>
        <v/>
      </c>
    </row>
    <row r="1347">
      <c r="A1347" s="5" t="inlineStr">
        <is>
          <t>E01346</t>
        </is>
      </c>
      <c r="B1347" s="5" t="inlineStr">
        <is>
          <t>Male</t>
        </is>
      </c>
      <c r="C1347" s="6" t="inlineStr">
        <is>
          <t>43</t>
        </is>
      </c>
      <c r="D1347" s="5" t="inlineStr">
        <is>
          <t>Single</t>
        </is>
      </c>
      <c r="E1347" s="5" t="inlineStr">
        <is>
          <t>PhD</t>
        </is>
      </c>
      <c r="F1347" s="5" t="inlineStr">
        <is>
          <t>Customer Support</t>
        </is>
      </c>
      <c r="G1347" s="5" t="inlineStr">
        <is>
          <t>Support Lead</t>
        </is>
      </c>
      <c r="H1347" s="5" t="inlineStr">
        <is>
          <t>6</t>
        </is>
      </c>
      <c r="I1347" s="5" t="inlineStr">
        <is>
          <t>Mumbai</t>
        </is>
      </c>
      <c r="J1347" s="5" t="inlineStr">
        <is>
          <t>Full-Time</t>
        </is>
      </c>
      <c r="K1347" s="7" t="n">
        <v>44465</v>
      </c>
      <c r="L1347" s="7" t="inlineStr"/>
      <c r="M1347" s="5" t="inlineStr">
        <is>
          <t>Yes</t>
        </is>
      </c>
      <c r="N1347" s="5" t="inlineStr"/>
      <c r="O1347" s="8" t="inlineStr">
        <is>
          <t>108000</t>
        </is>
      </c>
      <c r="P1347" s="5" t="inlineStr">
        <is>
          <t>15</t>
        </is>
      </c>
      <c r="Q1347" s="5" t="inlineStr">
        <is>
          <t>3</t>
        </is>
      </c>
      <c r="R1347" s="5" t="inlineStr">
        <is>
          <t>9</t>
        </is>
      </c>
      <c r="S1347" s="5" t="inlineStr">
        <is>
          <t>51</t>
        </is>
      </c>
      <c r="T1347" s="5" t="inlineStr">
        <is>
          <t>4</t>
        </is>
      </c>
      <c r="U1347" s="5">
        <f>IFS(C1347&lt;30,"Under 30",C1347&lt;40,"30-39",C1347&lt;50,"40-49",TRUE,"50+")</f>
        <v/>
      </c>
      <c r="V1347" s="5">
        <f>IFS(O1347&lt;60000,"Low (&lt;60k)",O1347&lt;100000,"Mid (60-100k)",TRUE,"High (100k+)")</f>
        <v/>
      </c>
      <c r="W1347" s="5">
        <f>IF(M1347="No","Attrited","Active")</f>
        <v/>
      </c>
    </row>
    <row r="1348">
      <c r="A1348" s="5" t="inlineStr">
        <is>
          <t>E01347</t>
        </is>
      </c>
      <c r="B1348" s="5" t="inlineStr">
        <is>
          <t>Female</t>
        </is>
      </c>
      <c r="C1348" s="6" t="inlineStr">
        <is>
          <t>31</t>
        </is>
      </c>
      <c r="D1348" s="5" t="inlineStr">
        <is>
          <t>Married</t>
        </is>
      </c>
      <c r="E1348" s="5" t="inlineStr">
        <is>
          <t>Diploma</t>
        </is>
      </c>
      <c r="F1348" s="5" t="inlineStr">
        <is>
          <t>Sales</t>
        </is>
      </c>
      <c r="G1348" s="5" t="inlineStr">
        <is>
          <t>Business Development</t>
        </is>
      </c>
      <c r="H1348" s="5" t="inlineStr">
        <is>
          <t>5</t>
        </is>
      </c>
      <c r="I1348" s="5" t="inlineStr">
        <is>
          <t>Remote</t>
        </is>
      </c>
      <c r="J1348" s="5" t="inlineStr">
        <is>
          <t>Contract</t>
        </is>
      </c>
      <c r="K1348" s="7" t="n">
        <v>44689</v>
      </c>
      <c r="L1348" s="7" t="inlineStr"/>
      <c r="M1348" s="5" t="inlineStr">
        <is>
          <t>Yes</t>
        </is>
      </c>
      <c r="N1348" s="5" t="inlineStr"/>
      <c r="O1348" s="8" t="inlineStr">
        <is>
          <t>135000</t>
        </is>
      </c>
      <c r="P1348" s="5" t="inlineStr">
        <is>
          <t>10</t>
        </is>
      </c>
      <c r="Q1348" s="5" t="inlineStr">
        <is>
          <t>3</t>
        </is>
      </c>
      <c r="R1348" s="5" t="inlineStr">
        <is>
          <t>5</t>
        </is>
      </c>
      <c r="S1348" s="5" t="inlineStr">
        <is>
          <t>44</t>
        </is>
      </c>
      <c r="T1348" s="5" t="inlineStr">
        <is>
          <t>0</t>
        </is>
      </c>
      <c r="U1348" s="5">
        <f>IFS(C1348&lt;30,"Under 30",C1348&lt;40,"30-39",C1348&lt;50,"40-49",TRUE,"50+")</f>
        <v/>
      </c>
      <c r="V1348" s="5">
        <f>IFS(O1348&lt;60000,"Low (&lt;60k)",O1348&lt;100000,"Mid (60-100k)",TRUE,"High (100k+)")</f>
        <v/>
      </c>
      <c r="W1348" s="5">
        <f>IF(M1348="No","Attrited","Active")</f>
        <v/>
      </c>
    </row>
    <row r="1349">
      <c r="A1349" s="5" t="inlineStr">
        <is>
          <t>E01348</t>
        </is>
      </c>
      <c r="B1349" s="5" t="inlineStr">
        <is>
          <t>Male</t>
        </is>
      </c>
      <c r="C1349" s="6" t="inlineStr">
        <is>
          <t>33</t>
        </is>
      </c>
      <c r="D1349" s="5" t="inlineStr">
        <is>
          <t>Divorced</t>
        </is>
      </c>
      <c r="E1349" s="5" t="inlineStr">
        <is>
          <t>Master</t>
        </is>
      </c>
      <c r="F1349" s="5" t="inlineStr">
        <is>
          <t>Customer Support</t>
        </is>
      </c>
      <c r="G1349" s="5" t="inlineStr">
        <is>
          <t>Escalation Specialist</t>
        </is>
      </c>
      <c r="H1349" s="5" t="inlineStr">
        <is>
          <t>1</t>
        </is>
      </c>
      <c r="I1349" s="5" t="inlineStr">
        <is>
          <t>Hyderabad</t>
        </is>
      </c>
      <c r="J1349" s="5" t="inlineStr">
        <is>
          <t>Full-Time</t>
        </is>
      </c>
      <c r="K1349" s="7" t="n">
        <v>45883</v>
      </c>
      <c r="L1349" s="7" t="n">
        <v>46019</v>
      </c>
      <c r="M1349" s="5" t="inlineStr">
        <is>
          <t>No</t>
        </is>
      </c>
      <c r="N1349" s="5" t="inlineStr">
        <is>
          <t>Resigned</t>
        </is>
      </c>
      <c r="O1349" s="8" t="inlineStr">
        <is>
          <t>65000</t>
        </is>
      </c>
      <c r="P1349" s="5" t="inlineStr">
        <is>
          <t>0</t>
        </is>
      </c>
      <c r="Q1349" s="5" t="inlineStr">
        <is>
          <t>3</t>
        </is>
      </c>
      <c r="R1349" s="5" t="inlineStr">
        <is>
          <t>6</t>
        </is>
      </c>
      <c r="S1349" s="5" t="inlineStr">
        <is>
          <t>4</t>
        </is>
      </c>
      <c r="T1349" s="5" t="inlineStr">
        <is>
          <t>14</t>
        </is>
      </c>
      <c r="U1349" s="5">
        <f>IFS(C1349&lt;30,"Under 30",C1349&lt;40,"30-39",C1349&lt;50,"40-49",TRUE,"50+")</f>
        <v/>
      </c>
      <c r="V1349" s="5">
        <f>IFS(O1349&lt;60000,"Low (&lt;60k)",O1349&lt;100000,"Mid (60-100k)",TRUE,"High (100k+)")</f>
        <v/>
      </c>
      <c r="W1349" s="5">
        <f>IF(M1349="No","Attrited","Active")</f>
        <v/>
      </c>
    </row>
    <row r="1350">
      <c r="A1350" s="5" t="inlineStr">
        <is>
          <t>E01349</t>
        </is>
      </c>
      <c r="B1350" s="5" t="inlineStr">
        <is>
          <t>Male</t>
        </is>
      </c>
      <c r="C1350" s="6" t="inlineStr">
        <is>
          <t>36</t>
        </is>
      </c>
      <c r="D1350" s="5" t="inlineStr">
        <is>
          <t>Married</t>
        </is>
      </c>
      <c r="E1350" s="5" t="inlineStr">
        <is>
          <t>Bachelor</t>
        </is>
      </c>
      <c r="F1350" s="5" t="inlineStr">
        <is>
          <t>IT</t>
        </is>
      </c>
      <c r="G1350" s="5" t="inlineStr">
        <is>
          <t>DevOps Engineer</t>
        </is>
      </c>
      <c r="H1350" s="5" t="inlineStr">
        <is>
          <t>3</t>
        </is>
      </c>
      <c r="I1350" s="5" t="inlineStr">
        <is>
          <t>Hyderabad</t>
        </is>
      </c>
      <c r="J1350" s="5" t="inlineStr">
        <is>
          <t>Full-Time</t>
        </is>
      </c>
      <c r="K1350" s="7" t="n">
        <v>45924</v>
      </c>
      <c r="L1350" s="7" t="inlineStr"/>
      <c r="M1350" s="5" t="inlineStr">
        <is>
          <t>Yes</t>
        </is>
      </c>
      <c r="N1350" s="5" t="inlineStr"/>
      <c r="O1350" s="8" t="inlineStr">
        <is>
          <t>123500</t>
        </is>
      </c>
      <c r="P1350" s="5" t="inlineStr">
        <is>
          <t>15</t>
        </is>
      </c>
      <c r="Q1350" s="5" t="inlineStr">
        <is>
          <t>3</t>
        </is>
      </c>
      <c r="R1350" s="5" t="inlineStr">
        <is>
          <t>3</t>
        </is>
      </c>
      <c r="S1350" s="5" t="inlineStr">
        <is>
          <t>3</t>
        </is>
      </c>
      <c r="T1350" s="5" t="inlineStr">
        <is>
          <t>0</t>
        </is>
      </c>
      <c r="U1350" s="5">
        <f>IFS(C1350&lt;30,"Under 30",C1350&lt;40,"30-39",C1350&lt;50,"40-49",TRUE,"50+")</f>
        <v/>
      </c>
      <c r="V1350" s="5">
        <f>IFS(O1350&lt;60000,"Low (&lt;60k)",O1350&lt;100000,"Mid (60-100k)",TRUE,"High (100k+)")</f>
        <v/>
      </c>
      <c r="W1350" s="5">
        <f>IF(M1350="No","Attrited","Active")</f>
        <v/>
      </c>
    </row>
    <row r="1351">
      <c r="A1351" s="5" t="inlineStr">
        <is>
          <t>E01350</t>
        </is>
      </c>
      <c r="B1351" s="5" t="inlineStr">
        <is>
          <t>Female</t>
        </is>
      </c>
      <c r="C1351" s="6" t="inlineStr">
        <is>
          <t>29</t>
        </is>
      </c>
      <c r="D1351" s="5" t="inlineStr">
        <is>
          <t>Married</t>
        </is>
      </c>
      <c r="E1351" s="5" t="inlineStr">
        <is>
          <t>High School</t>
        </is>
      </c>
      <c r="F1351" s="5" t="inlineStr">
        <is>
          <t>Executive</t>
        </is>
      </c>
      <c r="G1351" s="5" t="inlineStr">
        <is>
          <t>COO</t>
        </is>
      </c>
      <c r="H1351" s="5" t="inlineStr">
        <is>
          <t>2</t>
        </is>
      </c>
      <c r="I1351" s="5" t="inlineStr">
        <is>
          <t>Bengaluru</t>
        </is>
      </c>
      <c r="J1351" s="5" t="inlineStr">
        <is>
          <t>Full-Time</t>
        </is>
      </c>
      <c r="K1351" s="7" t="n">
        <v>44258</v>
      </c>
      <c r="L1351" s="7" t="n">
        <v>44342</v>
      </c>
      <c r="M1351" s="5" t="inlineStr">
        <is>
          <t>No</t>
        </is>
      </c>
      <c r="N1351" s="5" t="inlineStr">
        <is>
          <t>Resigned</t>
        </is>
      </c>
      <c r="O1351" s="8" t="inlineStr">
        <is>
          <t>181500</t>
        </is>
      </c>
      <c r="P1351" s="5" t="inlineStr">
        <is>
          <t>5</t>
        </is>
      </c>
      <c r="Q1351" s="5" t="inlineStr">
        <is>
          <t>3</t>
        </is>
      </c>
      <c r="R1351" s="5" t="inlineStr">
        <is>
          <t>7</t>
        </is>
      </c>
      <c r="S1351" s="5" t="inlineStr">
        <is>
          <t>2</t>
        </is>
      </c>
      <c r="T1351" s="5" t="inlineStr">
        <is>
          <t>5</t>
        </is>
      </c>
      <c r="U1351" s="5">
        <f>IFS(C1351&lt;30,"Under 30",C1351&lt;40,"30-39",C1351&lt;50,"40-49",TRUE,"50+")</f>
        <v/>
      </c>
      <c r="V1351" s="5">
        <f>IFS(O1351&lt;60000,"Low (&lt;60k)",O1351&lt;100000,"Mid (60-100k)",TRUE,"High (100k+)")</f>
        <v/>
      </c>
      <c r="W1351" s="5">
        <f>IF(M1351="No","Attrited","Active")</f>
        <v/>
      </c>
    </row>
    <row r="1352">
      <c r="A1352" s="5" t="inlineStr">
        <is>
          <t>E01351</t>
        </is>
      </c>
      <c r="B1352" s="5" t="inlineStr">
        <is>
          <t>Female</t>
        </is>
      </c>
      <c r="C1352" s="6" t="inlineStr">
        <is>
          <t>32</t>
        </is>
      </c>
      <c r="D1352" s="5" t="inlineStr">
        <is>
          <t>Married</t>
        </is>
      </c>
      <c r="E1352" s="5" t="inlineStr">
        <is>
          <t>Master</t>
        </is>
      </c>
      <c r="F1352" s="5" t="inlineStr">
        <is>
          <t>IT</t>
        </is>
      </c>
      <c r="G1352" s="5" t="inlineStr">
        <is>
          <t>IT Support</t>
        </is>
      </c>
      <c r="H1352" s="5" t="inlineStr">
        <is>
          <t>1</t>
        </is>
      </c>
      <c r="I1352" s="5" t="inlineStr">
        <is>
          <t>Chennai</t>
        </is>
      </c>
      <c r="J1352" s="5" t="inlineStr">
        <is>
          <t>Full-Time</t>
        </is>
      </c>
      <c r="K1352" s="7" t="n">
        <v>44502</v>
      </c>
      <c r="L1352" s="7" t="n">
        <v>44577</v>
      </c>
      <c r="M1352" s="5" t="inlineStr">
        <is>
          <t>No</t>
        </is>
      </c>
      <c r="N1352" s="5" t="inlineStr">
        <is>
          <t>Resigned</t>
        </is>
      </c>
      <c r="O1352" s="8" t="inlineStr">
        <is>
          <t>129500</t>
        </is>
      </c>
      <c r="P1352" s="5" t="inlineStr">
        <is>
          <t>5</t>
        </is>
      </c>
      <c r="Q1352" s="5" t="inlineStr">
        <is>
          <t>4</t>
        </is>
      </c>
      <c r="R1352" s="5" t="inlineStr">
        <is>
          <t>5</t>
        </is>
      </c>
      <c r="S1352" s="5" t="inlineStr">
        <is>
          <t>2</t>
        </is>
      </c>
      <c r="T1352" s="5" t="inlineStr">
        <is>
          <t>9</t>
        </is>
      </c>
      <c r="U1352" s="5">
        <f>IFS(C1352&lt;30,"Under 30",C1352&lt;40,"30-39",C1352&lt;50,"40-49",TRUE,"50+")</f>
        <v/>
      </c>
      <c r="V1352" s="5">
        <f>IFS(O1352&lt;60000,"Low (&lt;60k)",O1352&lt;100000,"Mid (60-100k)",TRUE,"High (100k+)")</f>
        <v/>
      </c>
      <c r="W1352" s="5">
        <f>IF(M1352="No","Attrited","Active")</f>
        <v/>
      </c>
    </row>
    <row r="1353">
      <c r="A1353" s="5" t="inlineStr">
        <is>
          <t>E01352</t>
        </is>
      </c>
      <c r="B1353" s="5" t="inlineStr">
        <is>
          <t>Male</t>
        </is>
      </c>
      <c r="C1353" s="6" t="inlineStr">
        <is>
          <t>25</t>
        </is>
      </c>
      <c r="D1353" s="5" t="inlineStr">
        <is>
          <t>Married</t>
        </is>
      </c>
      <c r="E1353" s="5" t="inlineStr">
        <is>
          <t>High School</t>
        </is>
      </c>
      <c r="F1353" s="5" t="inlineStr">
        <is>
          <t>Sales</t>
        </is>
      </c>
      <c r="G1353" s="5" t="inlineStr">
        <is>
          <t>Sales Executive</t>
        </is>
      </c>
      <c r="H1353" s="5" t="inlineStr">
        <is>
          <t>2</t>
        </is>
      </c>
      <c r="I1353" s="5" t="inlineStr">
        <is>
          <t>Hyderabad</t>
        </is>
      </c>
      <c r="J1353" s="5" t="inlineStr">
        <is>
          <t>Full-Time</t>
        </is>
      </c>
      <c r="K1353" s="7" t="n">
        <v>45976</v>
      </c>
      <c r="L1353" s="7" t="inlineStr"/>
      <c r="M1353" s="5" t="inlineStr">
        <is>
          <t>Yes</t>
        </is>
      </c>
      <c r="N1353" s="5" t="inlineStr"/>
      <c r="O1353" s="8" t="inlineStr">
        <is>
          <t>117000</t>
        </is>
      </c>
      <c r="P1353" s="5" t="inlineStr">
        <is>
          <t>10</t>
        </is>
      </c>
      <c r="Q1353" s="5" t="inlineStr">
        <is>
          <t>4</t>
        </is>
      </c>
      <c r="R1353" s="5" t="inlineStr">
        <is>
          <t>8</t>
        </is>
      </c>
      <c r="S1353" s="5" t="inlineStr">
        <is>
          <t>1</t>
        </is>
      </c>
      <c r="T1353" s="5" t="inlineStr">
        <is>
          <t>0</t>
        </is>
      </c>
      <c r="U1353" s="5">
        <f>IFS(C1353&lt;30,"Under 30",C1353&lt;40,"30-39",C1353&lt;50,"40-49",TRUE,"50+")</f>
        <v/>
      </c>
      <c r="V1353" s="5">
        <f>IFS(O1353&lt;60000,"Low (&lt;60k)",O1353&lt;100000,"Mid (60-100k)",TRUE,"High (100k+)")</f>
        <v/>
      </c>
      <c r="W1353" s="5">
        <f>IF(M1353="No","Attrited","Active")</f>
        <v/>
      </c>
    </row>
    <row r="1354">
      <c r="A1354" s="5" t="inlineStr">
        <is>
          <t>E01353</t>
        </is>
      </c>
      <c r="B1354" s="5" t="inlineStr">
        <is>
          <t>Male</t>
        </is>
      </c>
      <c r="C1354" s="6" t="inlineStr">
        <is>
          <t>33</t>
        </is>
      </c>
      <c r="D1354" s="5" t="inlineStr">
        <is>
          <t>Single</t>
        </is>
      </c>
      <c r="E1354" s="5" t="inlineStr">
        <is>
          <t>Diploma</t>
        </is>
      </c>
      <c r="F1354" s="5" t="inlineStr">
        <is>
          <t>Operations</t>
        </is>
      </c>
      <c r="G1354" s="5" t="inlineStr">
        <is>
          <t>Logistics Coordinator</t>
        </is>
      </c>
      <c r="H1354" s="5" t="inlineStr">
        <is>
          <t>2</t>
        </is>
      </c>
      <c r="I1354" s="5" t="inlineStr">
        <is>
          <t>Chennai</t>
        </is>
      </c>
      <c r="J1354" s="5" t="inlineStr">
        <is>
          <t>Full-Time</t>
        </is>
      </c>
      <c r="K1354" s="7" t="n">
        <v>44979</v>
      </c>
      <c r="L1354" s="7" t="inlineStr"/>
      <c r="M1354" s="5" t="inlineStr">
        <is>
          <t>Yes</t>
        </is>
      </c>
      <c r="N1354" s="5" t="inlineStr"/>
      <c r="O1354" s="8" t="inlineStr">
        <is>
          <t>101500</t>
        </is>
      </c>
      <c r="P1354" s="5" t="inlineStr">
        <is>
          <t>15</t>
        </is>
      </c>
      <c r="Q1354" s="5" t="inlineStr">
        <is>
          <t>3</t>
        </is>
      </c>
      <c r="R1354" s="5" t="inlineStr">
        <is>
          <t>6</t>
        </is>
      </c>
      <c r="S1354" s="5" t="inlineStr">
        <is>
          <t>34</t>
        </is>
      </c>
      <c r="T1354" s="5" t="inlineStr">
        <is>
          <t>17</t>
        </is>
      </c>
      <c r="U1354" s="5">
        <f>IFS(C1354&lt;30,"Under 30",C1354&lt;40,"30-39",C1354&lt;50,"40-49",TRUE,"50+")</f>
        <v/>
      </c>
      <c r="V1354" s="5">
        <f>IFS(O1354&lt;60000,"Low (&lt;60k)",O1354&lt;100000,"Mid (60-100k)",TRUE,"High (100k+)")</f>
        <v/>
      </c>
      <c r="W1354" s="5">
        <f>IF(M1354="No","Attrited","Active")</f>
        <v/>
      </c>
    </row>
    <row r="1355">
      <c r="A1355" s="5" t="inlineStr">
        <is>
          <t>E01354</t>
        </is>
      </c>
      <c r="B1355" s="5" t="inlineStr">
        <is>
          <t>Male</t>
        </is>
      </c>
      <c r="C1355" s="6" t="inlineStr">
        <is>
          <t>32</t>
        </is>
      </c>
      <c r="D1355" s="5" t="inlineStr">
        <is>
          <t>Married</t>
        </is>
      </c>
      <c r="E1355" s="5" t="inlineStr">
        <is>
          <t>PhD</t>
        </is>
      </c>
      <c r="F1355" s="5" t="inlineStr">
        <is>
          <t>Customer Support</t>
        </is>
      </c>
      <c r="G1355" s="5" t="inlineStr">
        <is>
          <t>Support Agent</t>
        </is>
      </c>
      <c r="H1355" s="5" t="inlineStr">
        <is>
          <t>3</t>
        </is>
      </c>
      <c r="I1355" s="5" t="inlineStr">
        <is>
          <t>Mumbai</t>
        </is>
      </c>
      <c r="J1355" s="5" t="inlineStr">
        <is>
          <t>Full-Time</t>
        </is>
      </c>
      <c r="K1355" s="7" t="n">
        <v>44240</v>
      </c>
      <c r="L1355" s="7" t="inlineStr"/>
      <c r="M1355" s="5" t="inlineStr">
        <is>
          <t>Yes</t>
        </is>
      </c>
      <c r="N1355" s="5" t="inlineStr"/>
      <c r="O1355" s="8" t="inlineStr">
        <is>
          <t>79000</t>
        </is>
      </c>
      <c r="P1355" s="5" t="inlineStr">
        <is>
          <t>0</t>
        </is>
      </c>
      <c r="Q1355" s="5" t="inlineStr">
        <is>
          <t>4</t>
        </is>
      </c>
      <c r="R1355" s="5" t="inlineStr">
        <is>
          <t>7</t>
        </is>
      </c>
      <c r="S1355" s="5" t="inlineStr">
        <is>
          <t>59</t>
        </is>
      </c>
      <c r="T1355" s="5" t="inlineStr">
        <is>
          <t>10</t>
        </is>
      </c>
      <c r="U1355" s="5">
        <f>IFS(C1355&lt;30,"Under 30",C1355&lt;40,"30-39",C1355&lt;50,"40-49",TRUE,"50+")</f>
        <v/>
      </c>
      <c r="V1355" s="5">
        <f>IFS(O1355&lt;60000,"Low (&lt;60k)",O1355&lt;100000,"Mid (60-100k)",TRUE,"High (100k+)")</f>
        <v/>
      </c>
      <c r="W1355" s="5">
        <f>IF(M1355="No","Attrited","Active")</f>
        <v/>
      </c>
    </row>
    <row r="1356">
      <c r="A1356" s="5" t="inlineStr">
        <is>
          <t>E01355</t>
        </is>
      </c>
      <c r="B1356" s="5" t="inlineStr">
        <is>
          <t>Male</t>
        </is>
      </c>
      <c r="C1356" s="6" t="inlineStr">
        <is>
          <t>30</t>
        </is>
      </c>
      <c r="D1356" s="5" t="inlineStr">
        <is>
          <t>Single</t>
        </is>
      </c>
      <c r="E1356" s="5" t="inlineStr">
        <is>
          <t>Bachelor</t>
        </is>
      </c>
      <c r="F1356" s="5" t="inlineStr">
        <is>
          <t>Customer Support</t>
        </is>
      </c>
      <c r="G1356" s="5" t="inlineStr">
        <is>
          <t>Support Agent</t>
        </is>
      </c>
      <c r="H1356" s="5" t="inlineStr">
        <is>
          <t>2</t>
        </is>
      </c>
      <c r="I1356" s="5" t="inlineStr">
        <is>
          <t>Delhi</t>
        </is>
      </c>
      <c r="J1356" s="5" t="inlineStr">
        <is>
          <t>Full-Time</t>
        </is>
      </c>
      <c r="K1356" s="7" t="n">
        <v>44186</v>
      </c>
      <c r="L1356" s="7" t="inlineStr"/>
      <c r="M1356" s="5" t="inlineStr">
        <is>
          <t>Yes</t>
        </is>
      </c>
      <c r="N1356" s="5" t="inlineStr"/>
      <c r="O1356" s="8" t="inlineStr">
        <is>
          <t>76500</t>
        </is>
      </c>
      <c r="P1356" s="5" t="inlineStr">
        <is>
          <t>10</t>
        </is>
      </c>
      <c r="Q1356" s="5" t="inlineStr">
        <is>
          <t>3</t>
        </is>
      </c>
      <c r="R1356" s="5" t="inlineStr">
        <is>
          <t>4</t>
        </is>
      </c>
      <c r="S1356" s="5" t="inlineStr">
        <is>
          <t>61</t>
        </is>
      </c>
      <c r="T1356" s="5" t="inlineStr">
        <is>
          <t>14</t>
        </is>
      </c>
      <c r="U1356" s="5">
        <f>IFS(C1356&lt;30,"Under 30",C1356&lt;40,"30-39",C1356&lt;50,"40-49",TRUE,"50+")</f>
        <v/>
      </c>
      <c r="V1356" s="5">
        <f>IFS(O1356&lt;60000,"Low (&lt;60k)",O1356&lt;100000,"Mid (60-100k)",TRUE,"High (100k+)")</f>
        <v/>
      </c>
      <c r="W1356" s="5">
        <f>IF(M1356="No","Attrited","Active")</f>
        <v/>
      </c>
    </row>
    <row r="1357">
      <c r="A1357" s="5" t="inlineStr">
        <is>
          <t>E01356</t>
        </is>
      </c>
      <c r="B1357" s="5" t="inlineStr">
        <is>
          <t>Male</t>
        </is>
      </c>
      <c r="C1357" s="6" t="inlineStr">
        <is>
          <t>34</t>
        </is>
      </c>
      <c r="D1357" s="5" t="inlineStr">
        <is>
          <t>Married</t>
        </is>
      </c>
      <c r="E1357" s="5" t="inlineStr">
        <is>
          <t>Bachelor</t>
        </is>
      </c>
      <c r="F1357" s="5" t="inlineStr">
        <is>
          <t>Sales</t>
        </is>
      </c>
      <c r="G1357" s="5" t="inlineStr">
        <is>
          <t>Business Development</t>
        </is>
      </c>
      <c r="H1357" s="5" t="inlineStr">
        <is>
          <t>2</t>
        </is>
      </c>
      <c r="I1357" s="5" t="inlineStr">
        <is>
          <t>Chennai</t>
        </is>
      </c>
      <c r="J1357" s="5" t="inlineStr">
        <is>
          <t>Full-Time</t>
        </is>
      </c>
      <c r="K1357" s="7" t="n">
        <v>45896</v>
      </c>
      <c r="L1357" s="7" t="n">
        <v>45975</v>
      </c>
      <c r="M1357" s="5" t="inlineStr">
        <is>
          <t>No</t>
        </is>
      </c>
      <c r="N1357" s="5" t="inlineStr">
        <is>
          <t>Resigned</t>
        </is>
      </c>
      <c r="O1357" s="8" t="inlineStr">
        <is>
          <t>121500</t>
        </is>
      </c>
      <c r="P1357" s="5" t="inlineStr">
        <is>
          <t>15</t>
        </is>
      </c>
      <c r="Q1357" s="5" t="inlineStr">
        <is>
          <t>4</t>
        </is>
      </c>
      <c r="R1357" s="5" t="inlineStr">
        <is>
          <t>7</t>
        </is>
      </c>
      <c r="S1357" s="5" t="inlineStr">
        <is>
          <t>2</t>
        </is>
      </c>
      <c r="T1357" s="5" t="inlineStr">
        <is>
          <t>4</t>
        </is>
      </c>
      <c r="U1357" s="5">
        <f>IFS(C1357&lt;30,"Under 30",C1357&lt;40,"30-39",C1357&lt;50,"40-49",TRUE,"50+")</f>
        <v/>
      </c>
      <c r="V1357" s="5">
        <f>IFS(O1357&lt;60000,"Low (&lt;60k)",O1357&lt;100000,"Mid (60-100k)",TRUE,"High (100k+)")</f>
        <v/>
      </c>
      <c r="W1357" s="5">
        <f>IF(M1357="No","Attrited","Active")</f>
        <v/>
      </c>
    </row>
    <row r="1358">
      <c r="A1358" s="5" t="inlineStr">
        <is>
          <t>E01357</t>
        </is>
      </c>
      <c r="B1358" s="5" t="inlineStr">
        <is>
          <t>Female</t>
        </is>
      </c>
      <c r="C1358" s="6" t="inlineStr">
        <is>
          <t>25</t>
        </is>
      </c>
      <c r="D1358" s="5" t="inlineStr">
        <is>
          <t>Married</t>
        </is>
      </c>
      <c r="E1358" s="5" t="inlineStr">
        <is>
          <t>PhD</t>
        </is>
      </c>
      <c r="F1358" s="5" t="inlineStr">
        <is>
          <t>Operations</t>
        </is>
      </c>
      <c r="G1358" s="5" t="inlineStr">
        <is>
          <t>Logistics Coordinator</t>
        </is>
      </c>
      <c r="H1358" s="5" t="inlineStr">
        <is>
          <t>1</t>
        </is>
      </c>
      <c r="I1358" s="5" t="inlineStr">
        <is>
          <t>Delhi</t>
        </is>
      </c>
      <c r="J1358" s="5" t="inlineStr">
        <is>
          <t>Full-Time</t>
        </is>
      </c>
      <c r="K1358" s="7" t="n">
        <v>45642</v>
      </c>
      <c r="L1358" s="7" t="inlineStr"/>
      <c r="M1358" s="5" t="inlineStr">
        <is>
          <t>Yes</t>
        </is>
      </c>
      <c r="N1358" s="5" t="inlineStr"/>
      <c r="O1358" s="8" t="inlineStr">
        <is>
          <t>76000</t>
        </is>
      </c>
      <c r="P1358" s="5" t="inlineStr">
        <is>
          <t>15</t>
        </is>
      </c>
      <c r="Q1358" s="5" t="inlineStr">
        <is>
          <t>5</t>
        </is>
      </c>
      <c r="R1358" s="5" t="inlineStr">
        <is>
          <t>7</t>
        </is>
      </c>
      <c r="S1358" s="5" t="inlineStr">
        <is>
          <t>12</t>
        </is>
      </c>
      <c r="T1358" s="5" t="inlineStr">
        <is>
          <t>8</t>
        </is>
      </c>
      <c r="U1358" s="5">
        <f>IFS(C1358&lt;30,"Under 30",C1358&lt;40,"30-39",C1358&lt;50,"40-49",TRUE,"50+")</f>
        <v/>
      </c>
      <c r="V1358" s="5">
        <f>IFS(O1358&lt;60000,"Low (&lt;60k)",O1358&lt;100000,"Mid (60-100k)",TRUE,"High (100k+)")</f>
        <v/>
      </c>
      <c r="W1358" s="5">
        <f>IF(M1358="No","Attrited","Active")</f>
        <v/>
      </c>
    </row>
    <row r="1359">
      <c r="A1359" s="5" t="inlineStr">
        <is>
          <t>E01358</t>
        </is>
      </c>
      <c r="B1359" s="5" t="inlineStr">
        <is>
          <t>Male</t>
        </is>
      </c>
      <c r="C1359" s="6" t="inlineStr">
        <is>
          <t>43</t>
        </is>
      </c>
      <c r="D1359" s="5" t="inlineStr">
        <is>
          <t>Married</t>
        </is>
      </c>
      <c r="E1359" s="5" t="inlineStr">
        <is>
          <t>High School</t>
        </is>
      </c>
      <c r="F1359" s="5" t="inlineStr">
        <is>
          <t>IT</t>
        </is>
      </c>
      <c r="G1359" s="5" t="inlineStr">
        <is>
          <t>Software Engineer</t>
        </is>
      </c>
      <c r="H1359" s="5" t="inlineStr">
        <is>
          <t>6</t>
        </is>
      </c>
      <c r="I1359" s="5" t="inlineStr">
        <is>
          <t>Chennai</t>
        </is>
      </c>
      <c r="J1359" s="5" t="inlineStr">
        <is>
          <t>Full-Time</t>
        </is>
      </c>
      <c r="K1359" s="7" t="n">
        <v>45707</v>
      </c>
      <c r="L1359" s="7" t="inlineStr"/>
      <c r="M1359" s="5" t="inlineStr">
        <is>
          <t>Yes</t>
        </is>
      </c>
      <c r="N1359" s="5" t="inlineStr"/>
      <c r="O1359" s="8" t="inlineStr">
        <is>
          <t>159500</t>
        </is>
      </c>
      <c r="P1359" s="5" t="inlineStr">
        <is>
          <t>0</t>
        </is>
      </c>
      <c r="Q1359" s="5" t="inlineStr">
        <is>
          <t>3</t>
        </is>
      </c>
      <c r="R1359" s="5" t="inlineStr">
        <is>
          <t>6</t>
        </is>
      </c>
      <c r="S1359" s="5" t="inlineStr">
        <is>
          <t>10</t>
        </is>
      </c>
      <c r="T1359" s="5" t="inlineStr">
        <is>
          <t>16</t>
        </is>
      </c>
      <c r="U1359" s="5">
        <f>IFS(C1359&lt;30,"Under 30",C1359&lt;40,"30-39",C1359&lt;50,"40-49",TRUE,"50+")</f>
        <v/>
      </c>
      <c r="V1359" s="5">
        <f>IFS(O1359&lt;60000,"Low (&lt;60k)",O1359&lt;100000,"Mid (60-100k)",TRUE,"High (100k+)")</f>
        <v/>
      </c>
      <c r="W1359" s="5">
        <f>IF(M1359="No","Attrited","Active")</f>
        <v/>
      </c>
    </row>
    <row r="1360">
      <c r="A1360" s="5" t="inlineStr">
        <is>
          <t>E01359</t>
        </is>
      </c>
      <c r="B1360" s="5" t="inlineStr">
        <is>
          <t>Male</t>
        </is>
      </c>
      <c r="C1360" s="6" t="inlineStr">
        <is>
          <t>34</t>
        </is>
      </c>
      <c r="D1360" s="5" t="inlineStr">
        <is>
          <t>Single</t>
        </is>
      </c>
      <c r="E1360" s="5" t="inlineStr">
        <is>
          <t>High School</t>
        </is>
      </c>
      <c r="F1360" s="5" t="inlineStr">
        <is>
          <t>Operations</t>
        </is>
      </c>
      <c r="G1360" s="5" t="inlineStr">
        <is>
          <t>Logistics Coordinator</t>
        </is>
      </c>
      <c r="H1360" s="5" t="inlineStr">
        <is>
          <t>1</t>
        </is>
      </c>
      <c r="I1360" s="5" t="inlineStr">
        <is>
          <t>Chennai</t>
        </is>
      </c>
      <c r="J1360" s="5" t="inlineStr">
        <is>
          <t>Full-Time</t>
        </is>
      </c>
      <c r="K1360" s="7" t="n">
        <v>44689</v>
      </c>
      <c r="L1360" s="7" t="inlineStr"/>
      <c r="M1360" s="5" t="inlineStr">
        <is>
          <t>Yes</t>
        </is>
      </c>
      <c r="N1360" s="5" t="inlineStr"/>
      <c r="O1360" s="8" t="inlineStr">
        <is>
          <t>77000</t>
        </is>
      </c>
      <c r="P1360" s="5" t="inlineStr">
        <is>
          <t>15</t>
        </is>
      </c>
      <c r="Q1360" s="5" t="inlineStr">
        <is>
          <t>3</t>
        </is>
      </c>
      <c r="R1360" s="5" t="inlineStr">
        <is>
          <t>7</t>
        </is>
      </c>
      <c r="S1360" s="5" t="inlineStr">
        <is>
          <t>44</t>
        </is>
      </c>
      <c r="T1360" s="5" t="inlineStr">
        <is>
          <t>12</t>
        </is>
      </c>
      <c r="U1360" s="5">
        <f>IFS(C1360&lt;30,"Under 30",C1360&lt;40,"30-39",C1360&lt;50,"40-49",TRUE,"50+")</f>
        <v/>
      </c>
      <c r="V1360" s="5">
        <f>IFS(O1360&lt;60000,"Low (&lt;60k)",O1360&lt;100000,"Mid (60-100k)",TRUE,"High (100k+)")</f>
        <v/>
      </c>
      <c r="W1360" s="5">
        <f>IF(M1360="No","Attrited","Active")</f>
        <v/>
      </c>
    </row>
    <row r="1361">
      <c r="A1361" s="5" t="inlineStr">
        <is>
          <t>E01360</t>
        </is>
      </c>
      <c r="B1361" s="5" t="inlineStr">
        <is>
          <t>Female</t>
        </is>
      </c>
      <c r="C1361" s="6" t="inlineStr">
        <is>
          <t>33</t>
        </is>
      </c>
      <c r="D1361" s="5" t="inlineStr">
        <is>
          <t>Married</t>
        </is>
      </c>
      <c r="E1361" s="5" t="inlineStr">
        <is>
          <t>High School</t>
        </is>
      </c>
      <c r="F1361" s="5" t="inlineStr">
        <is>
          <t>Marketing</t>
        </is>
      </c>
      <c r="G1361" s="5" t="inlineStr">
        <is>
          <t>SEO Specialist</t>
        </is>
      </c>
      <c r="H1361" s="5" t="inlineStr">
        <is>
          <t>2</t>
        </is>
      </c>
      <c r="I1361" s="5" t="inlineStr">
        <is>
          <t>Mumbai</t>
        </is>
      </c>
      <c r="J1361" s="5" t="inlineStr">
        <is>
          <t>Full-Time</t>
        </is>
      </c>
      <c r="K1361" s="7" t="n">
        <v>44219</v>
      </c>
      <c r="L1361" s="7" t="inlineStr"/>
      <c r="M1361" s="5" t="inlineStr">
        <is>
          <t>Yes</t>
        </is>
      </c>
      <c r="N1361" s="5" t="inlineStr"/>
      <c r="O1361" s="8" t="inlineStr">
        <is>
          <t>69500</t>
        </is>
      </c>
      <c r="P1361" s="5" t="inlineStr">
        <is>
          <t>5</t>
        </is>
      </c>
      <c r="Q1361" s="5" t="inlineStr">
        <is>
          <t>5</t>
        </is>
      </c>
      <c r="R1361" s="5" t="inlineStr">
        <is>
          <t>5</t>
        </is>
      </c>
      <c r="S1361" s="5" t="inlineStr">
        <is>
          <t>60</t>
        </is>
      </c>
      <c r="T1361" s="5" t="inlineStr">
        <is>
          <t>6</t>
        </is>
      </c>
      <c r="U1361" s="5">
        <f>IFS(C1361&lt;30,"Under 30",C1361&lt;40,"30-39",C1361&lt;50,"40-49",TRUE,"50+")</f>
        <v/>
      </c>
      <c r="V1361" s="5">
        <f>IFS(O1361&lt;60000,"Low (&lt;60k)",O1361&lt;100000,"Mid (60-100k)",TRUE,"High (100k+)")</f>
        <v/>
      </c>
      <c r="W1361" s="5">
        <f>IF(M1361="No","Attrited","Active")</f>
        <v/>
      </c>
    </row>
    <row r="1362">
      <c r="A1362" s="5" t="inlineStr">
        <is>
          <t>E01361</t>
        </is>
      </c>
      <c r="B1362" s="5" t="inlineStr">
        <is>
          <t>Male</t>
        </is>
      </c>
      <c r="C1362" s="6" t="inlineStr">
        <is>
          <t>30</t>
        </is>
      </c>
      <c r="D1362" s="5" t="inlineStr">
        <is>
          <t>Married</t>
        </is>
      </c>
      <c r="E1362" s="5" t="inlineStr">
        <is>
          <t>Bachelor</t>
        </is>
      </c>
      <c r="F1362" s="5" t="inlineStr">
        <is>
          <t>IT</t>
        </is>
      </c>
      <c r="G1362" s="5" t="inlineStr">
        <is>
          <t>DevOps Engineer</t>
        </is>
      </c>
      <c r="H1362" s="5" t="inlineStr">
        <is>
          <t>1</t>
        </is>
      </c>
      <c r="I1362" s="5" t="inlineStr">
        <is>
          <t>Remote</t>
        </is>
      </c>
      <c r="J1362" s="5" t="inlineStr">
        <is>
          <t>Full-Time</t>
        </is>
      </c>
      <c r="K1362" s="7" t="n">
        <v>44960</v>
      </c>
      <c r="L1362" s="7" t="inlineStr"/>
      <c r="M1362" s="5" t="inlineStr">
        <is>
          <t>Yes</t>
        </is>
      </c>
      <c r="N1362" s="5" t="inlineStr"/>
      <c r="O1362" s="8" t="inlineStr">
        <is>
          <t>92500</t>
        </is>
      </c>
      <c r="P1362" s="5" t="inlineStr">
        <is>
          <t>10</t>
        </is>
      </c>
      <c r="Q1362" s="5" t="inlineStr">
        <is>
          <t>4</t>
        </is>
      </c>
      <c r="R1362" s="5" t="inlineStr">
        <is>
          <t>4</t>
        </is>
      </c>
      <c r="S1362" s="5" t="inlineStr">
        <is>
          <t>35</t>
        </is>
      </c>
      <c r="T1362" s="5" t="inlineStr">
        <is>
          <t>2</t>
        </is>
      </c>
      <c r="U1362" s="5">
        <f>IFS(C1362&lt;30,"Under 30",C1362&lt;40,"30-39",C1362&lt;50,"40-49",TRUE,"50+")</f>
        <v/>
      </c>
      <c r="V1362" s="5">
        <f>IFS(O1362&lt;60000,"Low (&lt;60k)",O1362&lt;100000,"Mid (60-100k)",TRUE,"High (100k+)")</f>
        <v/>
      </c>
      <c r="W1362" s="5">
        <f>IF(M1362="No","Attrited","Active")</f>
        <v/>
      </c>
    </row>
    <row r="1363">
      <c r="A1363" s="5" t="inlineStr">
        <is>
          <t>E01362</t>
        </is>
      </c>
      <c r="B1363" s="5" t="inlineStr">
        <is>
          <t>Female</t>
        </is>
      </c>
      <c r="C1363" s="6" t="inlineStr">
        <is>
          <t>29</t>
        </is>
      </c>
      <c r="D1363" s="5" t="inlineStr">
        <is>
          <t>Divorced</t>
        </is>
      </c>
      <c r="E1363" s="5" t="inlineStr">
        <is>
          <t>Diploma</t>
        </is>
      </c>
      <c r="F1363" s="5" t="inlineStr">
        <is>
          <t>Marketing</t>
        </is>
      </c>
      <c r="G1363" s="5" t="inlineStr">
        <is>
          <t>Content Writer</t>
        </is>
      </c>
      <c r="H1363" s="5" t="inlineStr">
        <is>
          <t>1</t>
        </is>
      </c>
      <c r="I1363" s="5" t="inlineStr">
        <is>
          <t>Delhi</t>
        </is>
      </c>
      <c r="J1363" s="5" t="inlineStr">
        <is>
          <t>Full-Time</t>
        </is>
      </c>
      <c r="K1363" s="7" t="n">
        <v>43892</v>
      </c>
      <c r="L1363" s="7" t="n">
        <v>43957</v>
      </c>
      <c r="M1363" s="5" t="inlineStr">
        <is>
          <t>No</t>
        </is>
      </c>
      <c r="N1363" s="5" t="inlineStr">
        <is>
          <t>Relocation</t>
        </is>
      </c>
      <c r="O1363" s="8" t="inlineStr">
        <is>
          <t>63000</t>
        </is>
      </c>
      <c r="P1363" s="5" t="inlineStr">
        <is>
          <t>5</t>
        </is>
      </c>
      <c r="Q1363" s="5" t="inlineStr">
        <is>
          <t>3</t>
        </is>
      </c>
      <c r="R1363" s="5" t="inlineStr">
        <is>
          <t>5</t>
        </is>
      </c>
      <c r="S1363" s="5" t="inlineStr">
        <is>
          <t>2</t>
        </is>
      </c>
      <c r="T1363" s="5" t="inlineStr">
        <is>
          <t>8</t>
        </is>
      </c>
      <c r="U1363" s="5">
        <f>IFS(C1363&lt;30,"Under 30",C1363&lt;40,"30-39",C1363&lt;50,"40-49",TRUE,"50+")</f>
        <v/>
      </c>
      <c r="V1363" s="5">
        <f>IFS(O1363&lt;60000,"Low (&lt;60k)",O1363&lt;100000,"Mid (60-100k)",TRUE,"High (100k+)")</f>
        <v/>
      </c>
      <c r="W1363" s="5">
        <f>IF(M1363="No","Attrited","Active")</f>
        <v/>
      </c>
    </row>
    <row r="1364">
      <c r="A1364" s="5" t="inlineStr">
        <is>
          <t>E01363</t>
        </is>
      </c>
      <c r="B1364" s="5" t="inlineStr">
        <is>
          <t>Male</t>
        </is>
      </c>
      <c r="C1364" s="6" t="inlineStr">
        <is>
          <t>37</t>
        </is>
      </c>
      <c r="D1364" s="5" t="inlineStr">
        <is>
          <t>Divorced</t>
        </is>
      </c>
      <c r="E1364" s="5" t="inlineStr">
        <is>
          <t>High School</t>
        </is>
      </c>
      <c r="F1364" s="5" t="inlineStr">
        <is>
          <t>Human Resources</t>
        </is>
      </c>
      <c r="G1364" s="5" t="inlineStr">
        <is>
          <t>Recruiter</t>
        </is>
      </c>
      <c r="H1364" s="5" t="inlineStr">
        <is>
          <t>5</t>
        </is>
      </c>
      <c r="I1364" s="5" t="inlineStr">
        <is>
          <t>Bengaluru</t>
        </is>
      </c>
      <c r="J1364" s="5" t="inlineStr">
        <is>
          <t>Full-Time</t>
        </is>
      </c>
      <c r="K1364" s="7" t="n">
        <v>44046</v>
      </c>
      <c r="L1364" s="7" t="inlineStr"/>
      <c r="M1364" s="5" t="inlineStr">
        <is>
          <t>Yes</t>
        </is>
      </c>
      <c r="N1364" s="5" t="inlineStr"/>
      <c r="O1364" s="8" t="inlineStr">
        <is>
          <t>120500</t>
        </is>
      </c>
      <c r="P1364" s="5" t="inlineStr">
        <is>
          <t>10</t>
        </is>
      </c>
      <c r="Q1364" s="5" t="inlineStr">
        <is>
          <t>4</t>
        </is>
      </c>
      <c r="R1364" s="5" t="inlineStr">
        <is>
          <t>6</t>
        </is>
      </c>
      <c r="S1364" s="5" t="inlineStr">
        <is>
          <t>65</t>
        </is>
      </c>
      <c r="T1364" s="5" t="inlineStr">
        <is>
          <t>8</t>
        </is>
      </c>
      <c r="U1364" s="5">
        <f>IFS(C1364&lt;30,"Under 30",C1364&lt;40,"30-39",C1364&lt;50,"40-49",TRUE,"50+")</f>
        <v/>
      </c>
      <c r="V1364" s="5">
        <f>IFS(O1364&lt;60000,"Low (&lt;60k)",O1364&lt;100000,"Mid (60-100k)",TRUE,"High (100k+)")</f>
        <v/>
      </c>
      <c r="W1364" s="5">
        <f>IF(M1364="No","Attrited","Active")</f>
        <v/>
      </c>
    </row>
    <row r="1365">
      <c r="A1365" s="5" t="inlineStr">
        <is>
          <t>E01364</t>
        </is>
      </c>
      <c r="B1365" s="5" t="inlineStr">
        <is>
          <t>Female</t>
        </is>
      </c>
      <c r="C1365" s="6" t="inlineStr">
        <is>
          <t>42</t>
        </is>
      </c>
      <c r="D1365" s="5" t="inlineStr">
        <is>
          <t>Married</t>
        </is>
      </c>
      <c r="E1365" s="5" t="inlineStr">
        <is>
          <t>High School</t>
        </is>
      </c>
      <c r="F1365" s="5" t="inlineStr">
        <is>
          <t>IT</t>
        </is>
      </c>
      <c r="G1365" s="5" t="inlineStr">
        <is>
          <t>Data Analyst</t>
        </is>
      </c>
      <c r="H1365" s="5" t="inlineStr">
        <is>
          <t>6</t>
        </is>
      </c>
      <c r="I1365" s="5" t="inlineStr">
        <is>
          <t>Hyderabad</t>
        </is>
      </c>
      <c r="J1365" s="5" t="inlineStr">
        <is>
          <t>Full-Time</t>
        </is>
      </c>
      <c r="K1365" s="7" t="n">
        <v>44264</v>
      </c>
      <c r="L1365" s="7" t="inlineStr"/>
      <c r="M1365" s="5" t="inlineStr">
        <is>
          <t>Yes</t>
        </is>
      </c>
      <c r="N1365" s="5" t="inlineStr"/>
      <c r="O1365" s="8" t="inlineStr">
        <is>
          <t>146500</t>
        </is>
      </c>
      <c r="P1365" s="5" t="inlineStr">
        <is>
          <t>5</t>
        </is>
      </c>
      <c r="Q1365" s="5" t="inlineStr">
        <is>
          <t>2</t>
        </is>
      </c>
      <c r="R1365" s="5" t="inlineStr">
        <is>
          <t>6</t>
        </is>
      </c>
      <c r="S1365" s="5" t="inlineStr">
        <is>
          <t>58</t>
        </is>
      </c>
      <c r="T1365" s="5" t="inlineStr">
        <is>
          <t>0</t>
        </is>
      </c>
      <c r="U1365" s="5">
        <f>IFS(C1365&lt;30,"Under 30",C1365&lt;40,"30-39",C1365&lt;50,"40-49",TRUE,"50+")</f>
        <v/>
      </c>
      <c r="V1365" s="5">
        <f>IFS(O1365&lt;60000,"Low (&lt;60k)",O1365&lt;100000,"Mid (60-100k)",TRUE,"High (100k+)")</f>
        <v/>
      </c>
      <c r="W1365" s="5">
        <f>IF(M1365="No","Attrited","Active")</f>
        <v/>
      </c>
    </row>
    <row r="1366">
      <c r="A1366" s="5" t="inlineStr">
        <is>
          <t>E01365</t>
        </is>
      </c>
      <c r="B1366" s="5" t="inlineStr">
        <is>
          <t>Female</t>
        </is>
      </c>
      <c r="C1366" s="6" t="inlineStr">
        <is>
          <t>28</t>
        </is>
      </c>
      <c r="D1366" s="5" t="inlineStr">
        <is>
          <t>Married</t>
        </is>
      </c>
      <c r="E1366" s="5" t="inlineStr">
        <is>
          <t>High School</t>
        </is>
      </c>
      <c r="F1366" s="5" t="inlineStr">
        <is>
          <t>Customer Support</t>
        </is>
      </c>
      <c r="G1366" s="5" t="inlineStr">
        <is>
          <t>Support Agent</t>
        </is>
      </c>
      <c r="H1366" s="5" t="inlineStr">
        <is>
          <t>1</t>
        </is>
      </c>
      <c r="I1366" s="5" t="inlineStr">
        <is>
          <t>Chennai</t>
        </is>
      </c>
      <c r="J1366" s="5" t="inlineStr">
        <is>
          <t>Full-Time</t>
        </is>
      </c>
      <c r="K1366" s="7" t="n">
        <v>44494</v>
      </c>
      <c r="L1366" s="7" t="inlineStr"/>
      <c r="M1366" s="5" t="inlineStr">
        <is>
          <t>Yes</t>
        </is>
      </c>
      <c r="N1366" s="5" t="inlineStr"/>
      <c r="O1366" s="8" t="inlineStr">
        <is>
          <t>56000</t>
        </is>
      </c>
      <c r="P1366" s="5" t="inlineStr">
        <is>
          <t>5</t>
        </is>
      </c>
      <c r="Q1366" s="5" t="inlineStr">
        <is>
          <t>4</t>
        </is>
      </c>
      <c r="R1366" s="5" t="inlineStr">
        <is>
          <t>3</t>
        </is>
      </c>
      <c r="S1366" s="5" t="inlineStr">
        <is>
          <t>50</t>
        </is>
      </c>
      <c r="T1366" s="5" t="inlineStr">
        <is>
          <t>14</t>
        </is>
      </c>
      <c r="U1366" s="5">
        <f>IFS(C1366&lt;30,"Under 30",C1366&lt;40,"30-39",C1366&lt;50,"40-49",TRUE,"50+")</f>
        <v/>
      </c>
      <c r="V1366" s="5">
        <f>IFS(O1366&lt;60000,"Low (&lt;60k)",O1366&lt;100000,"Mid (60-100k)",TRUE,"High (100k+)")</f>
        <v/>
      </c>
      <c r="W1366" s="5">
        <f>IF(M1366="No","Attrited","Active")</f>
        <v/>
      </c>
    </row>
    <row r="1367">
      <c r="A1367" s="5" t="inlineStr">
        <is>
          <t>E01366</t>
        </is>
      </c>
      <c r="B1367" s="5" t="inlineStr">
        <is>
          <t>Male</t>
        </is>
      </c>
      <c r="C1367" s="6" t="inlineStr">
        <is>
          <t>32</t>
        </is>
      </c>
      <c r="D1367" s="5" t="inlineStr">
        <is>
          <t>Married</t>
        </is>
      </c>
      <c r="E1367" s="5" t="inlineStr">
        <is>
          <t>Diploma</t>
        </is>
      </c>
      <c r="F1367" s="5" t="inlineStr">
        <is>
          <t>Operations</t>
        </is>
      </c>
      <c r="G1367" s="5" t="inlineStr">
        <is>
          <t>Quality Analyst</t>
        </is>
      </c>
      <c r="H1367" s="5" t="inlineStr">
        <is>
          <t>2</t>
        </is>
      </c>
      <c r="I1367" s="5" t="inlineStr">
        <is>
          <t>Chennai</t>
        </is>
      </c>
      <c r="J1367" s="5" t="inlineStr">
        <is>
          <t>Full-Time</t>
        </is>
      </c>
      <c r="K1367" s="7" t="n">
        <v>45780</v>
      </c>
      <c r="L1367" s="7" t="inlineStr"/>
      <c r="M1367" s="5" t="inlineStr">
        <is>
          <t>Yes</t>
        </is>
      </c>
      <c r="N1367" s="5" t="inlineStr"/>
      <c r="O1367" s="8" t="inlineStr">
        <is>
          <t>76000</t>
        </is>
      </c>
      <c r="P1367" s="5" t="inlineStr">
        <is>
          <t>5</t>
        </is>
      </c>
      <c r="Q1367" s="5" t="inlineStr">
        <is>
          <t>4</t>
        </is>
      </c>
      <c r="R1367" s="5" t="inlineStr">
        <is>
          <t>8</t>
        </is>
      </c>
      <c r="S1367" s="5" t="inlineStr">
        <is>
          <t>8</t>
        </is>
      </c>
      <c r="T1367" s="5" t="inlineStr">
        <is>
          <t>8</t>
        </is>
      </c>
      <c r="U1367" s="5">
        <f>IFS(C1367&lt;30,"Under 30",C1367&lt;40,"30-39",C1367&lt;50,"40-49",TRUE,"50+")</f>
        <v/>
      </c>
      <c r="V1367" s="5">
        <f>IFS(O1367&lt;60000,"Low (&lt;60k)",O1367&lt;100000,"Mid (60-100k)",TRUE,"High (100k+)")</f>
        <v/>
      </c>
      <c r="W1367" s="5">
        <f>IF(M1367="No","Attrited","Active")</f>
        <v/>
      </c>
    </row>
    <row r="1368">
      <c r="A1368" s="5" t="inlineStr">
        <is>
          <t>E01367</t>
        </is>
      </c>
      <c r="B1368" s="5" t="inlineStr">
        <is>
          <t>Female</t>
        </is>
      </c>
      <c r="C1368" s="6" t="inlineStr">
        <is>
          <t>36</t>
        </is>
      </c>
      <c r="D1368" s="5" t="inlineStr">
        <is>
          <t>Married</t>
        </is>
      </c>
      <c r="E1368" s="5" t="inlineStr">
        <is>
          <t>PhD</t>
        </is>
      </c>
      <c r="F1368" s="5" t="inlineStr">
        <is>
          <t>Executive</t>
        </is>
      </c>
      <c r="G1368" s="5" t="inlineStr">
        <is>
          <t>CEO</t>
        </is>
      </c>
      <c r="H1368" s="5" t="inlineStr">
        <is>
          <t>3</t>
        </is>
      </c>
      <c r="I1368" s="5" t="inlineStr">
        <is>
          <t>Mumbai</t>
        </is>
      </c>
      <c r="J1368" s="5" t="inlineStr">
        <is>
          <t>Full-Time</t>
        </is>
      </c>
      <c r="K1368" s="7" t="n">
        <v>45824</v>
      </c>
      <c r="L1368" s="7" t="inlineStr"/>
      <c r="M1368" s="5" t="inlineStr">
        <is>
          <t>Yes</t>
        </is>
      </c>
      <c r="N1368" s="5" t="inlineStr"/>
      <c r="O1368" s="8" t="inlineStr">
        <is>
          <t>305500</t>
        </is>
      </c>
      <c r="P1368" s="5" t="inlineStr">
        <is>
          <t>5</t>
        </is>
      </c>
      <c r="Q1368" s="5" t="inlineStr">
        <is>
          <t>3</t>
        </is>
      </c>
      <c r="R1368" s="5" t="inlineStr">
        <is>
          <t>6</t>
        </is>
      </c>
      <c r="S1368" s="5" t="inlineStr">
        <is>
          <t>6</t>
        </is>
      </c>
      <c r="T1368" s="5" t="inlineStr">
        <is>
          <t>4</t>
        </is>
      </c>
      <c r="U1368" s="5">
        <f>IFS(C1368&lt;30,"Under 30",C1368&lt;40,"30-39",C1368&lt;50,"40-49",TRUE,"50+")</f>
        <v/>
      </c>
      <c r="V1368" s="5">
        <f>IFS(O1368&lt;60000,"Low (&lt;60k)",O1368&lt;100000,"Mid (60-100k)",TRUE,"High (100k+)")</f>
        <v/>
      </c>
      <c r="W1368" s="5">
        <f>IF(M1368="No","Attrited","Active")</f>
        <v/>
      </c>
    </row>
    <row r="1369">
      <c r="A1369" s="5" t="inlineStr">
        <is>
          <t>E01368</t>
        </is>
      </c>
      <c r="B1369" s="5" t="inlineStr">
        <is>
          <t>Female</t>
        </is>
      </c>
      <c r="C1369" s="6" t="inlineStr">
        <is>
          <t>27</t>
        </is>
      </c>
      <c r="D1369" s="5" t="inlineStr">
        <is>
          <t>Single</t>
        </is>
      </c>
      <c r="E1369" s="5" t="inlineStr">
        <is>
          <t>Master</t>
        </is>
      </c>
      <c r="F1369" s="5" t="inlineStr">
        <is>
          <t>Customer Support</t>
        </is>
      </c>
      <c r="G1369" s="5" t="inlineStr">
        <is>
          <t>Support Agent</t>
        </is>
      </c>
      <c r="H1369" s="5" t="inlineStr">
        <is>
          <t>1</t>
        </is>
      </c>
      <c r="I1369" s="5" t="inlineStr">
        <is>
          <t>Mumbai</t>
        </is>
      </c>
      <c r="J1369" s="5" t="inlineStr">
        <is>
          <t>Full-Time</t>
        </is>
      </c>
      <c r="K1369" s="7" t="n">
        <v>45101</v>
      </c>
      <c r="L1369" s="7" t="inlineStr"/>
      <c r="M1369" s="5" t="inlineStr">
        <is>
          <t>Yes</t>
        </is>
      </c>
      <c r="N1369" s="5" t="inlineStr"/>
      <c r="O1369" s="8" t="inlineStr">
        <is>
          <t>62500</t>
        </is>
      </c>
      <c r="P1369" s="5" t="inlineStr">
        <is>
          <t>15</t>
        </is>
      </c>
      <c r="Q1369" s="5" t="inlineStr">
        <is>
          <t>3</t>
        </is>
      </c>
      <c r="R1369" s="5" t="inlineStr">
        <is>
          <t>7</t>
        </is>
      </c>
      <c r="S1369" s="5" t="inlineStr">
        <is>
          <t>30</t>
        </is>
      </c>
      <c r="T1369" s="5" t="inlineStr">
        <is>
          <t>2</t>
        </is>
      </c>
      <c r="U1369" s="5">
        <f>IFS(C1369&lt;30,"Under 30",C1369&lt;40,"30-39",C1369&lt;50,"40-49",TRUE,"50+")</f>
        <v/>
      </c>
      <c r="V1369" s="5">
        <f>IFS(O1369&lt;60000,"Low (&lt;60k)",O1369&lt;100000,"Mid (60-100k)",TRUE,"High (100k+)")</f>
        <v/>
      </c>
      <c r="W1369" s="5">
        <f>IF(M1369="No","Attrited","Active")</f>
        <v/>
      </c>
    </row>
    <row r="1370">
      <c r="A1370" s="5" t="inlineStr">
        <is>
          <t>E01369</t>
        </is>
      </c>
      <c r="B1370" s="5" t="inlineStr">
        <is>
          <t>Male</t>
        </is>
      </c>
      <c r="C1370" s="6" t="inlineStr">
        <is>
          <t>30</t>
        </is>
      </c>
      <c r="D1370" s="5" t="inlineStr">
        <is>
          <t>Married</t>
        </is>
      </c>
      <c r="E1370" s="5" t="inlineStr">
        <is>
          <t>Bachelor</t>
        </is>
      </c>
      <c r="F1370" s="5" t="inlineStr">
        <is>
          <t>Human Resources</t>
        </is>
      </c>
      <c r="G1370" s="5" t="inlineStr">
        <is>
          <t>Recruiter</t>
        </is>
      </c>
      <c r="H1370" s="5" t="inlineStr">
        <is>
          <t>1</t>
        </is>
      </c>
      <c r="I1370" s="5" t="inlineStr">
        <is>
          <t>Bengaluru</t>
        </is>
      </c>
      <c r="J1370" s="5" t="inlineStr">
        <is>
          <t>Full-Time</t>
        </is>
      </c>
      <c r="K1370" s="7" t="n">
        <v>45957</v>
      </c>
      <c r="L1370" s="7" t="n">
        <v>46021</v>
      </c>
      <c r="M1370" s="5" t="inlineStr">
        <is>
          <t>No</t>
        </is>
      </c>
      <c r="N1370" s="5" t="inlineStr">
        <is>
          <t>Retirement</t>
        </is>
      </c>
      <c r="O1370" s="8" t="inlineStr">
        <is>
          <t>80000</t>
        </is>
      </c>
      <c r="P1370" s="5" t="inlineStr">
        <is>
          <t>0</t>
        </is>
      </c>
      <c r="Q1370" s="5" t="inlineStr">
        <is>
          <t>3</t>
        </is>
      </c>
      <c r="R1370" s="5" t="inlineStr">
        <is>
          <t>9</t>
        </is>
      </c>
      <c r="S1370" s="5" t="inlineStr">
        <is>
          <t>2</t>
        </is>
      </c>
      <c r="T1370" s="5" t="inlineStr">
        <is>
          <t>7</t>
        </is>
      </c>
      <c r="U1370" s="5">
        <f>IFS(C1370&lt;30,"Under 30",C1370&lt;40,"30-39",C1370&lt;50,"40-49",TRUE,"50+")</f>
        <v/>
      </c>
      <c r="V1370" s="5">
        <f>IFS(O1370&lt;60000,"Low (&lt;60k)",O1370&lt;100000,"Mid (60-100k)",TRUE,"High (100k+)")</f>
        <v/>
      </c>
      <c r="W1370" s="5">
        <f>IF(M1370="No","Attrited","Active")</f>
        <v/>
      </c>
    </row>
    <row r="1371">
      <c r="A1371" s="5" t="inlineStr">
        <is>
          <t>E01370</t>
        </is>
      </c>
      <c r="B1371" s="5" t="inlineStr">
        <is>
          <t>Male</t>
        </is>
      </c>
      <c r="C1371" s="6" t="inlineStr">
        <is>
          <t>33</t>
        </is>
      </c>
      <c r="D1371" s="5" t="inlineStr">
        <is>
          <t>Married</t>
        </is>
      </c>
      <c r="E1371" s="5" t="inlineStr">
        <is>
          <t>High School</t>
        </is>
      </c>
      <c r="F1371" s="5" t="inlineStr">
        <is>
          <t>Sales</t>
        </is>
      </c>
      <c r="G1371" s="5" t="inlineStr">
        <is>
          <t>Business Development</t>
        </is>
      </c>
      <c r="H1371" s="5" t="inlineStr">
        <is>
          <t>3</t>
        </is>
      </c>
      <c r="I1371" s="5" t="inlineStr">
        <is>
          <t>Delhi</t>
        </is>
      </c>
      <c r="J1371" s="5" t="inlineStr">
        <is>
          <t>Full-Time</t>
        </is>
      </c>
      <c r="K1371" s="7" t="n">
        <v>45030</v>
      </c>
      <c r="L1371" s="7" t="inlineStr"/>
      <c r="M1371" s="5" t="inlineStr">
        <is>
          <t>Yes</t>
        </is>
      </c>
      <c r="N1371" s="5" t="inlineStr"/>
      <c r="O1371" s="8" t="inlineStr">
        <is>
          <t>116000</t>
        </is>
      </c>
      <c r="P1371" s="5" t="inlineStr">
        <is>
          <t>0</t>
        </is>
      </c>
      <c r="Q1371" s="5" t="inlineStr">
        <is>
          <t>3</t>
        </is>
      </c>
      <c r="R1371" s="5" t="inlineStr">
        <is>
          <t>7</t>
        </is>
      </c>
      <c r="S1371" s="5" t="inlineStr">
        <is>
          <t>33</t>
        </is>
      </c>
      <c r="T1371" s="5" t="inlineStr">
        <is>
          <t>3</t>
        </is>
      </c>
      <c r="U1371" s="5">
        <f>IFS(C1371&lt;30,"Under 30",C1371&lt;40,"30-39",C1371&lt;50,"40-49",TRUE,"50+")</f>
        <v/>
      </c>
      <c r="V1371" s="5">
        <f>IFS(O1371&lt;60000,"Low (&lt;60k)",O1371&lt;100000,"Mid (60-100k)",TRUE,"High (100k+)")</f>
        <v/>
      </c>
      <c r="W1371" s="5">
        <f>IF(M1371="No","Attrited","Active")</f>
        <v/>
      </c>
    </row>
    <row r="1372">
      <c r="A1372" s="5" t="inlineStr">
        <is>
          <t>E01371</t>
        </is>
      </c>
      <c r="B1372" s="5" t="inlineStr">
        <is>
          <t>Male</t>
        </is>
      </c>
      <c r="C1372" s="6" t="inlineStr">
        <is>
          <t>24</t>
        </is>
      </c>
      <c r="D1372" s="5" t="inlineStr">
        <is>
          <t>Single</t>
        </is>
      </c>
      <c r="E1372" s="5" t="inlineStr">
        <is>
          <t>Master</t>
        </is>
      </c>
      <c r="F1372" s="5" t="inlineStr">
        <is>
          <t>IT</t>
        </is>
      </c>
      <c r="G1372" s="5" t="inlineStr">
        <is>
          <t>Software Engineer</t>
        </is>
      </c>
      <c r="H1372" s="5" t="inlineStr">
        <is>
          <t>1</t>
        </is>
      </c>
      <c r="I1372" s="5" t="inlineStr">
        <is>
          <t>Chennai</t>
        </is>
      </c>
      <c r="J1372" s="5" t="inlineStr">
        <is>
          <t>Full-Time</t>
        </is>
      </c>
      <c r="K1372" s="7" t="n">
        <v>45867</v>
      </c>
      <c r="L1372" s="7" t="inlineStr"/>
      <c r="M1372" s="5" t="inlineStr">
        <is>
          <t>Yes</t>
        </is>
      </c>
      <c r="N1372" s="5" t="inlineStr"/>
      <c r="O1372" s="8" t="inlineStr">
        <is>
          <t>96000</t>
        </is>
      </c>
      <c r="P1372" s="5" t="inlineStr">
        <is>
          <t>5</t>
        </is>
      </c>
      <c r="Q1372" s="5" t="inlineStr">
        <is>
          <t>4</t>
        </is>
      </c>
      <c r="R1372" s="5" t="inlineStr">
        <is>
          <t>4</t>
        </is>
      </c>
      <c r="S1372" s="5" t="inlineStr">
        <is>
          <t>5</t>
        </is>
      </c>
      <c r="T1372" s="5" t="inlineStr">
        <is>
          <t>5</t>
        </is>
      </c>
      <c r="U1372" s="5">
        <f>IFS(C1372&lt;30,"Under 30",C1372&lt;40,"30-39",C1372&lt;50,"40-49",TRUE,"50+")</f>
        <v/>
      </c>
      <c r="V1372" s="5">
        <f>IFS(O1372&lt;60000,"Low (&lt;60k)",O1372&lt;100000,"Mid (60-100k)",TRUE,"High (100k+)")</f>
        <v/>
      </c>
      <c r="W1372" s="5">
        <f>IF(M1372="No","Attrited","Active")</f>
        <v/>
      </c>
    </row>
    <row r="1373">
      <c r="A1373" s="5" t="inlineStr">
        <is>
          <t>E01372</t>
        </is>
      </c>
      <c r="B1373" s="5" t="inlineStr">
        <is>
          <t>Female</t>
        </is>
      </c>
      <c r="C1373" s="6" t="inlineStr">
        <is>
          <t>32</t>
        </is>
      </c>
      <c r="D1373" s="5" t="inlineStr">
        <is>
          <t>Married</t>
        </is>
      </c>
      <c r="E1373" s="5" t="inlineStr">
        <is>
          <t>High School</t>
        </is>
      </c>
      <c r="F1373" s="5" t="inlineStr">
        <is>
          <t>Research &amp; Development</t>
        </is>
      </c>
      <c r="G1373" s="5" t="inlineStr">
        <is>
          <t>Research Scientist</t>
        </is>
      </c>
      <c r="H1373" s="5" t="inlineStr">
        <is>
          <t>4</t>
        </is>
      </c>
      <c r="I1373" s="5" t="inlineStr">
        <is>
          <t>Bengaluru</t>
        </is>
      </c>
      <c r="J1373" s="5" t="inlineStr">
        <is>
          <t>Full-Time</t>
        </is>
      </c>
      <c r="K1373" s="7" t="n">
        <v>44209</v>
      </c>
      <c r="L1373" s="7" t="inlineStr"/>
      <c r="M1373" s="5" t="inlineStr">
        <is>
          <t>Yes</t>
        </is>
      </c>
      <c r="N1373" s="5" t="inlineStr"/>
      <c r="O1373" s="8" t="inlineStr">
        <is>
          <t>189000</t>
        </is>
      </c>
      <c r="P1373" s="5" t="inlineStr">
        <is>
          <t>0</t>
        </is>
      </c>
      <c r="Q1373" s="5" t="inlineStr">
        <is>
          <t>2</t>
        </is>
      </c>
      <c r="R1373" s="5" t="inlineStr">
        <is>
          <t>6</t>
        </is>
      </c>
      <c r="S1373" s="5" t="inlineStr">
        <is>
          <t>60</t>
        </is>
      </c>
      <c r="T1373" s="5" t="inlineStr">
        <is>
          <t>7</t>
        </is>
      </c>
      <c r="U1373" s="5">
        <f>IFS(C1373&lt;30,"Under 30",C1373&lt;40,"30-39",C1373&lt;50,"40-49",TRUE,"50+")</f>
        <v/>
      </c>
      <c r="V1373" s="5">
        <f>IFS(O1373&lt;60000,"Low (&lt;60k)",O1373&lt;100000,"Mid (60-100k)",TRUE,"High (100k+)")</f>
        <v/>
      </c>
      <c r="W1373" s="5">
        <f>IF(M1373="No","Attrited","Active")</f>
        <v/>
      </c>
    </row>
    <row r="1374">
      <c r="A1374" s="5" t="inlineStr">
        <is>
          <t>E01373</t>
        </is>
      </c>
      <c r="B1374" s="5" t="inlineStr">
        <is>
          <t>Female</t>
        </is>
      </c>
      <c r="C1374" s="6" t="inlineStr">
        <is>
          <t>35</t>
        </is>
      </c>
      <c r="D1374" s="5" t="inlineStr">
        <is>
          <t>Married</t>
        </is>
      </c>
      <c r="E1374" s="5" t="inlineStr">
        <is>
          <t>Bachelor</t>
        </is>
      </c>
      <c r="F1374" s="5" t="inlineStr">
        <is>
          <t>IT</t>
        </is>
      </c>
      <c r="G1374" s="5" t="inlineStr">
        <is>
          <t>IT Support</t>
        </is>
      </c>
      <c r="H1374" s="5" t="inlineStr">
        <is>
          <t>6</t>
        </is>
      </c>
      <c r="I1374" s="5" t="inlineStr">
        <is>
          <t>Hyderabad</t>
        </is>
      </c>
      <c r="J1374" s="5" t="inlineStr">
        <is>
          <t>Full-Time</t>
        </is>
      </c>
      <c r="K1374" s="7" t="n">
        <v>45620</v>
      </c>
      <c r="L1374" s="7" t="inlineStr"/>
      <c r="M1374" s="5" t="inlineStr">
        <is>
          <t>Yes</t>
        </is>
      </c>
      <c r="N1374" s="5" t="inlineStr"/>
      <c r="O1374" s="8" t="inlineStr">
        <is>
          <t>211500</t>
        </is>
      </c>
      <c r="P1374" s="5" t="inlineStr">
        <is>
          <t>0</t>
        </is>
      </c>
      <c r="Q1374" s="5" t="inlineStr">
        <is>
          <t>1</t>
        </is>
      </c>
      <c r="R1374" s="5" t="inlineStr">
        <is>
          <t>10</t>
        </is>
      </c>
      <c r="S1374" s="5" t="inlineStr">
        <is>
          <t>13</t>
        </is>
      </c>
      <c r="T1374" s="5" t="inlineStr">
        <is>
          <t>5</t>
        </is>
      </c>
      <c r="U1374" s="5">
        <f>IFS(C1374&lt;30,"Under 30",C1374&lt;40,"30-39",C1374&lt;50,"40-49",TRUE,"50+")</f>
        <v/>
      </c>
      <c r="V1374" s="5">
        <f>IFS(O1374&lt;60000,"Low (&lt;60k)",O1374&lt;100000,"Mid (60-100k)",TRUE,"High (100k+)")</f>
        <v/>
      </c>
      <c r="W1374" s="5">
        <f>IF(M1374="No","Attrited","Active")</f>
        <v/>
      </c>
    </row>
    <row r="1375">
      <c r="A1375" s="5" t="inlineStr">
        <is>
          <t>E01374</t>
        </is>
      </c>
      <c r="B1375" s="5" t="inlineStr">
        <is>
          <t>Female</t>
        </is>
      </c>
      <c r="C1375" s="6" t="inlineStr">
        <is>
          <t>31</t>
        </is>
      </c>
      <c r="D1375" s="5" t="inlineStr">
        <is>
          <t>Married</t>
        </is>
      </c>
      <c r="E1375" s="5" t="inlineStr">
        <is>
          <t>High School</t>
        </is>
      </c>
      <c r="F1375" s="5" t="inlineStr">
        <is>
          <t>Sales</t>
        </is>
      </c>
      <c r="G1375" s="5" t="inlineStr">
        <is>
          <t>Sales Executive</t>
        </is>
      </c>
      <c r="H1375" s="5" t="inlineStr">
        <is>
          <t>5</t>
        </is>
      </c>
      <c r="I1375" s="5" t="inlineStr">
        <is>
          <t>Bengaluru</t>
        </is>
      </c>
      <c r="J1375" s="5" t="inlineStr">
        <is>
          <t>Full-Time</t>
        </is>
      </c>
      <c r="K1375" s="7" t="n">
        <v>44731</v>
      </c>
      <c r="L1375" s="7" t="inlineStr"/>
      <c r="M1375" s="5" t="inlineStr">
        <is>
          <t>Yes</t>
        </is>
      </c>
      <c r="N1375" s="5" t="inlineStr"/>
      <c r="O1375" s="8" t="inlineStr">
        <is>
          <t>136500</t>
        </is>
      </c>
      <c r="P1375" s="5" t="inlineStr">
        <is>
          <t>0</t>
        </is>
      </c>
      <c r="Q1375" s="5" t="inlineStr">
        <is>
          <t>3</t>
        </is>
      </c>
      <c r="R1375" s="5" t="inlineStr">
        <is>
          <t>5</t>
        </is>
      </c>
      <c r="S1375" s="5" t="inlineStr">
        <is>
          <t>43</t>
        </is>
      </c>
      <c r="T1375" s="5" t="inlineStr">
        <is>
          <t>0</t>
        </is>
      </c>
      <c r="U1375" s="5">
        <f>IFS(C1375&lt;30,"Under 30",C1375&lt;40,"30-39",C1375&lt;50,"40-49",TRUE,"50+")</f>
        <v/>
      </c>
      <c r="V1375" s="5">
        <f>IFS(O1375&lt;60000,"Low (&lt;60k)",O1375&lt;100000,"Mid (60-100k)",TRUE,"High (100k+)")</f>
        <v/>
      </c>
      <c r="W1375" s="5">
        <f>IF(M1375="No","Attrited","Active")</f>
        <v/>
      </c>
    </row>
    <row r="1376">
      <c r="A1376" s="5" t="inlineStr">
        <is>
          <t>E01375</t>
        </is>
      </c>
      <c r="B1376" s="5" t="inlineStr">
        <is>
          <t>Male</t>
        </is>
      </c>
      <c r="C1376" s="6" t="inlineStr">
        <is>
          <t>30</t>
        </is>
      </c>
      <c r="D1376" s="5" t="inlineStr">
        <is>
          <t>Married</t>
        </is>
      </c>
      <c r="E1376" s="5" t="inlineStr">
        <is>
          <t>PhD</t>
        </is>
      </c>
      <c r="F1376" s="5" t="inlineStr">
        <is>
          <t>Sales</t>
        </is>
      </c>
      <c r="G1376" s="5" t="inlineStr">
        <is>
          <t>Account Executive</t>
        </is>
      </c>
      <c r="H1376" s="5" t="inlineStr">
        <is>
          <t>4</t>
        </is>
      </c>
      <c r="I1376" s="5" t="inlineStr">
        <is>
          <t>Mumbai</t>
        </is>
      </c>
      <c r="J1376" s="5" t="inlineStr">
        <is>
          <t>Full-Time</t>
        </is>
      </c>
      <c r="K1376" s="7" t="n">
        <v>45992</v>
      </c>
      <c r="L1376" s="7" t="n">
        <v>46007</v>
      </c>
      <c r="M1376" s="5" t="inlineStr">
        <is>
          <t>No</t>
        </is>
      </c>
      <c r="N1376" s="5" t="inlineStr">
        <is>
          <t>Resigned</t>
        </is>
      </c>
      <c r="O1376" s="8" t="inlineStr">
        <is>
          <t>117000</t>
        </is>
      </c>
      <c r="P1376" s="5" t="inlineStr">
        <is>
          <t>0</t>
        </is>
      </c>
      <c r="Q1376" s="5" t="inlineStr">
        <is>
          <t>4</t>
        </is>
      </c>
      <c r="R1376" s="5" t="inlineStr">
        <is>
          <t>6</t>
        </is>
      </c>
      <c r="S1376" s="5" t="inlineStr">
        <is>
          <t>1</t>
        </is>
      </c>
      <c r="T1376" s="5" t="inlineStr">
        <is>
          <t>4</t>
        </is>
      </c>
      <c r="U1376" s="5">
        <f>IFS(C1376&lt;30,"Under 30",C1376&lt;40,"30-39",C1376&lt;50,"40-49",TRUE,"50+")</f>
        <v/>
      </c>
      <c r="V1376" s="5">
        <f>IFS(O1376&lt;60000,"Low (&lt;60k)",O1376&lt;100000,"Mid (60-100k)",TRUE,"High (100k+)")</f>
        <v/>
      </c>
      <c r="W1376" s="5">
        <f>IF(M1376="No","Attrited","Active")</f>
        <v/>
      </c>
    </row>
    <row r="1377">
      <c r="A1377" s="5" t="inlineStr">
        <is>
          <t>E01376</t>
        </is>
      </c>
      <c r="B1377" s="5" t="inlineStr">
        <is>
          <t>Male</t>
        </is>
      </c>
      <c r="C1377" s="6" t="inlineStr">
        <is>
          <t>28</t>
        </is>
      </c>
      <c r="D1377" s="5" t="inlineStr">
        <is>
          <t>Married</t>
        </is>
      </c>
      <c r="E1377" s="5" t="inlineStr">
        <is>
          <t>Bachelor</t>
        </is>
      </c>
      <c r="F1377" s="5" t="inlineStr">
        <is>
          <t>Sales</t>
        </is>
      </c>
      <c r="G1377" s="5" t="inlineStr">
        <is>
          <t>Account Executive</t>
        </is>
      </c>
      <c r="H1377" s="5" t="inlineStr">
        <is>
          <t>2</t>
        </is>
      </c>
      <c r="I1377" s="5" t="inlineStr">
        <is>
          <t>Mumbai</t>
        </is>
      </c>
      <c r="J1377" s="5" t="inlineStr">
        <is>
          <t>Full-Time</t>
        </is>
      </c>
      <c r="K1377" s="7" t="n">
        <v>45972</v>
      </c>
      <c r="L1377" s="7" t="inlineStr"/>
      <c r="M1377" s="5" t="inlineStr">
        <is>
          <t>Yes</t>
        </is>
      </c>
      <c r="N1377" s="5" t="inlineStr"/>
      <c r="O1377" s="8" t="inlineStr">
        <is>
          <t>76500</t>
        </is>
      </c>
      <c r="P1377" s="5" t="inlineStr">
        <is>
          <t>20</t>
        </is>
      </c>
      <c r="Q1377" s="5" t="inlineStr">
        <is>
          <t>3</t>
        </is>
      </c>
      <c r="R1377" s="5" t="inlineStr">
        <is>
          <t>6</t>
        </is>
      </c>
      <c r="S1377" s="5" t="inlineStr">
        <is>
          <t>1</t>
        </is>
      </c>
      <c r="T1377" s="5" t="inlineStr">
        <is>
          <t>0</t>
        </is>
      </c>
      <c r="U1377" s="5">
        <f>IFS(C1377&lt;30,"Under 30",C1377&lt;40,"30-39",C1377&lt;50,"40-49",TRUE,"50+")</f>
        <v/>
      </c>
      <c r="V1377" s="5">
        <f>IFS(O1377&lt;60000,"Low (&lt;60k)",O1377&lt;100000,"Mid (60-100k)",TRUE,"High (100k+)")</f>
        <v/>
      </c>
      <c r="W1377" s="5">
        <f>IF(M1377="No","Attrited","Active")</f>
        <v/>
      </c>
    </row>
    <row r="1378">
      <c r="A1378" s="5" t="inlineStr">
        <is>
          <t>E01377</t>
        </is>
      </c>
      <c r="B1378" s="5" t="inlineStr">
        <is>
          <t>Male</t>
        </is>
      </c>
      <c r="C1378" s="6" t="inlineStr">
        <is>
          <t>31</t>
        </is>
      </c>
      <c r="D1378" s="5" t="inlineStr">
        <is>
          <t>Married</t>
        </is>
      </c>
      <c r="E1378" s="5" t="inlineStr">
        <is>
          <t>High School</t>
        </is>
      </c>
      <c r="F1378" s="5" t="inlineStr">
        <is>
          <t>Customer Support</t>
        </is>
      </c>
      <c r="G1378" s="5" t="inlineStr">
        <is>
          <t>Support Agent</t>
        </is>
      </c>
      <c r="H1378" s="5" t="inlineStr">
        <is>
          <t>2</t>
        </is>
      </c>
      <c r="I1378" s="5" t="inlineStr">
        <is>
          <t>Chennai</t>
        </is>
      </c>
      <c r="J1378" s="5" t="inlineStr">
        <is>
          <t>Full-Time</t>
        </is>
      </c>
      <c r="K1378" s="7" t="n">
        <v>44076</v>
      </c>
      <c r="L1378" s="7" t="inlineStr"/>
      <c r="M1378" s="5" t="inlineStr">
        <is>
          <t>Yes</t>
        </is>
      </c>
      <c r="N1378" s="5" t="inlineStr"/>
      <c r="O1378" s="8" t="inlineStr">
        <is>
          <t>83500</t>
        </is>
      </c>
      <c r="P1378" s="5" t="inlineStr">
        <is>
          <t>15</t>
        </is>
      </c>
      <c r="Q1378" s="5" t="inlineStr">
        <is>
          <t>4</t>
        </is>
      </c>
      <c r="R1378" s="5" t="inlineStr">
        <is>
          <t>6</t>
        </is>
      </c>
      <c r="S1378" s="5" t="inlineStr">
        <is>
          <t>64</t>
        </is>
      </c>
      <c r="T1378" s="5" t="inlineStr">
        <is>
          <t>0</t>
        </is>
      </c>
      <c r="U1378" s="5">
        <f>IFS(C1378&lt;30,"Under 30",C1378&lt;40,"30-39",C1378&lt;50,"40-49",TRUE,"50+")</f>
        <v/>
      </c>
      <c r="V1378" s="5">
        <f>IFS(O1378&lt;60000,"Low (&lt;60k)",O1378&lt;100000,"Mid (60-100k)",TRUE,"High (100k+)")</f>
        <v/>
      </c>
      <c r="W1378" s="5">
        <f>IF(M1378="No","Attrited","Active")</f>
        <v/>
      </c>
    </row>
    <row r="1379">
      <c r="A1379" s="5" t="inlineStr">
        <is>
          <t>E01378</t>
        </is>
      </c>
      <c r="B1379" s="5" t="inlineStr">
        <is>
          <t>Male</t>
        </is>
      </c>
      <c r="C1379" s="6" t="inlineStr">
        <is>
          <t>25</t>
        </is>
      </c>
      <c r="D1379" s="5" t="inlineStr">
        <is>
          <t>Single</t>
        </is>
      </c>
      <c r="E1379" s="5" t="inlineStr">
        <is>
          <t>High School</t>
        </is>
      </c>
      <c r="F1379" s="5" t="inlineStr">
        <is>
          <t>Operations</t>
        </is>
      </c>
      <c r="G1379" s="5" t="inlineStr">
        <is>
          <t>Quality Analyst</t>
        </is>
      </c>
      <c r="H1379" s="5" t="inlineStr">
        <is>
          <t>1</t>
        </is>
      </c>
      <c r="I1379" s="5" t="inlineStr">
        <is>
          <t>Chennai</t>
        </is>
      </c>
      <c r="J1379" s="5" t="inlineStr">
        <is>
          <t>Full-Time</t>
        </is>
      </c>
      <c r="K1379" s="7" t="n">
        <v>44110</v>
      </c>
      <c r="L1379" s="7" t="inlineStr"/>
      <c r="M1379" s="5" t="inlineStr">
        <is>
          <t>Yes</t>
        </is>
      </c>
      <c r="N1379" s="5" t="inlineStr"/>
      <c r="O1379" s="8" t="inlineStr">
        <is>
          <t>64500</t>
        </is>
      </c>
      <c r="P1379" s="5" t="inlineStr">
        <is>
          <t>10</t>
        </is>
      </c>
      <c r="Q1379" s="5" t="inlineStr">
        <is>
          <t>3</t>
        </is>
      </c>
      <c r="R1379" s="5" t="inlineStr">
        <is>
          <t>6</t>
        </is>
      </c>
      <c r="S1379" s="5" t="inlineStr">
        <is>
          <t>63</t>
        </is>
      </c>
      <c r="T1379" s="5" t="inlineStr">
        <is>
          <t>7</t>
        </is>
      </c>
      <c r="U1379" s="5">
        <f>IFS(C1379&lt;30,"Under 30",C1379&lt;40,"30-39",C1379&lt;50,"40-49",TRUE,"50+")</f>
        <v/>
      </c>
      <c r="V1379" s="5">
        <f>IFS(O1379&lt;60000,"Low (&lt;60k)",O1379&lt;100000,"Mid (60-100k)",TRUE,"High (100k+)")</f>
        <v/>
      </c>
      <c r="W1379" s="5">
        <f>IF(M1379="No","Attrited","Active")</f>
        <v/>
      </c>
    </row>
    <row r="1380">
      <c r="A1380" s="5" t="inlineStr">
        <is>
          <t>E01379</t>
        </is>
      </c>
      <c r="B1380" s="5" t="inlineStr">
        <is>
          <t>Female</t>
        </is>
      </c>
      <c r="C1380" s="6" t="inlineStr">
        <is>
          <t>29</t>
        </is>
      </c>
      <c r="D1380" s="5" t="inlineStr">
        <is>
          <t>Married</t>
        </is>
      </c>
      <c r="E1380" s="5" t="inlineStr">
        <is>
          <t>Bachelor</t>
        </is>
      </c>
      <c r="F1380" s="5" t="inlineStr">
        <is>
          <t>Operations</t>
        </is>
      </c>
      <c r="G1380" s="5" t="inlineStr">
        <is>
          <t>Quality Analyst</t>
        </is>
      </c>
      <c r="H1380" s="5" t="inlineStr">
        <is>
          <t>2</t>
        </is>
      </c>
      <c r="I1380" s="5" t="inlineStr">
        <is>
          <t>Bengaluru</t>
        </is>
      </c>
      <c r="J1380" s="5" t="inlineStr">
        <is>
          <t>Full-Time</t>
        </is>
      </c>
      <c r="K1380" s="7" t="n">
        <v>44189</v>
      </c>
      <c r="L1380" s="7" t="inlineStr"/>
      <c r="M1380" s="5" t="inlineStr">
        <is>
          <t>Yes</t>
        </is>
      </c>
      <c r="N1380" s="5" t="inlineStr"/>
      <c r="O1380" s="8" t="inlineStr">
        <is>
          <t>85500</t>
        </is>
      </c>
      <c r="P1380" s="5" t="inlineStr">
        <is>
          <t>0</t>
        </is>
      </c>
      <c r="Q1380" s="5" t="inlineStr">
        <is>
          <t>3</t>
        </is>
      </c>
      <c r="R1380" s="5" t="inlineStr">
        <is>
          <t>7</t>
        </is>
      </c>
      <c r="S1380" s="5" t="inlineStr">
        <is>
          <t>61</t>
        </is>
      </c>
      <c r="T1380" s="5" t="inlineStr">
        <is>
          <t>17</t>
        </is>
      </c>
      <c r="U1380" s="5">
        <f>IFS(C1380&lt;30,"Under 30",C1380&lt;40,"30-39",C1380&lt;50,"40-49",TRUE,"50+")</f>
        <v/>
      </c>
      <c r="V1380" s="5">
        <f>IFS(O1380&lt;60000,"Low (&lt;60k)",O1380&lt;100000,"Mid (60-100k)",TRUE,"High (100k+)")</f>
        <v/>
      </c>
      <c r="W1380" s="5">
        <f>IF(M1380="No","Attrited","Active")</f>
        <v/>
      </c>
    </row>
    <row r="1381">
      <c r="A1381" s="5" t="inlineStr">
        <is>
          <t>E01380</t>
        </is>
      </c>
      <c r="B1381" s="5" t="inlineStr">
        <is>
          <t>Female</t>
        </is>
      </c>
      <c r="C1381" s="6" t="inlineStr">
        <is>
          <t>38</t>
        </is>
      </c>
      <c r="D1381" s="5" t="inlineStr">
        <is>
          <t>Married</t>
        </is>
      </c>
      <c r="E1381" s="5" t="inlineStr">
        <is>
          <t>PhD</t>
        </is>
      </c>
      <c r="F1381" s="5" t="inlineStr">
        <is>
          <t>Research &amp; Development</t>
        </is>
      </c>
      <c r="G1381" s="5" t="inlineStr">
        <is>
          <t>Data Scientist</t>
        </is>
      </c>
      <c r="H1381" s="5" t="inlineStr">
        <is>
          <t>3</t>
        </is>
      </c>
      <c r="I1381" s="5" t="inlineStr">
        <is>
          <t>Bengaluru</t>
        </is>
      </c>
      <c r="J1381" s="5" t="inlineStr">
        <is>
          <t>Full-Time</t>
        </is>
      </c>
      <c r="K1381" s="7" t="n">
        <v>44216</v>
      </c>
      <c r="L1381" s="7" t="inlineStr"/>
      <c r="M1381" s="5" t="inlineStr">
        <is>
          <t>Yes</t>
        </is>
      </c>
      <c r="N1381" s="5" t="inlineStr"/>
      <c r="O1381" s="8" t="inlineStr">
        <is>
          <t>193500</t>
        </is>
      </c>
      <c r="P1381" s="5" t="inlineStr">
        <is>
          <t>5</t>
        </is>
      </c>
      <c r="Q1381" s="5" t="inlineStr">
        <is>
          <t>4</t>
        </is>
      </c>
      <c r="R1381" s="5" t="inlineStr">
        <is>
          <t>7</t>
        </is>
      </c>
      <c r="S1381" s="5" t="inlineStr">
        <is>
          <t>60</t>
        </is>
      </c>
      <c r="T1381" s="5" t="inlineStr">
        <is>
          <t>2</t>
        </is>
      </c>
      <c r="U1381" s="5">
        <f>IFS(C1381&lt;30,"Under 30",C1381&lt;40,"30-39",C1381&lt;50,"40-49",TRUE,"50+")</f>
        <v/>
      </c>
      <c r="V1381" s="5">
        <f>IFS(O1381&lt;60000,"Low (&lt;60k)",O1381&lt;100000,"Mid (60-100k)",TRUE,"High (100k+)")</f>
        <v/>
      </c>
      <c r="W1381" s="5">
        <f>IF(M1381="No","Attrited","Active")</f>
        <v/>
      </c>
    </row>
    <row r="1382">
      <c r="A1382" s="5" t="inlineStr">
        <is>
          <t>E01381</t>
        </is>
      </c>
      <c r="B1382" s="5" t="inlineStr">
        <is>
          <t>Male</t>
        </is>
      </c>
      <c r="C1382" s="6" t="inlineStr">
        <is>
          <t>31</t>
        </is>
      </c>
      <c r="D1382" s="5" t="inlineStr">
        <is>
          <t>Married</t>
        </is>
      </c>
      <c r="E1382" s="5" t="inlineStr">
        <is>
          <t>PhD</t>
        </is>
      </c>
      <c r="F1382" s="5" t="inlineStr">
        <is>
          <t>Operations</t>
        </is>
      </c>
      <c r="G1382" s="5" t="inlineStr">
        <is>
          <t>Operations Analyst</t>
        </is>
      </c>
      <c r="H1382" s="5" t="inlineStr">
        <is>
          <t>1</t>
        </is>
      </c>
      <c r="I1382" s="5" t="inlineStr">
        <is>
          <t>Hyderabad</t>
        </is>
      </c>
      <c r="J1382" s="5" t="inlineStr">
        <is>
          <t>Full-Time</t>
        </is>
      </c>
      <c r="K1382" s="7" t="n">
        <v>45699</v>
      </c>
      <c r="L1382" s="7" t="n">
        <v>45842</v>
      </c>
      <c r="M1382" s="5" t="inlineStr">
        <is>
          <t>No</t>
        </is>
      </c>
      <c r="N1382" s="5" t="inlineStr">
        <is>
          <t>Resigned</t>
        </is>
      </c>
      <c r="O1382" s="8" t="inlineStr">
        <is>
          <t>81500</t>
        </is>
      </c>
      <c r="P1382" s="5" t="inlineStr">
        <is>
          <t>5</t>
        </is>
      </c>
      <c r="Q1382" s="5" t="inlineStr">
        <is>
          <t>3</t>
        </is>
      </c>
      <c r="R1382" s="5" t="inlineStr">
        <is>
          <t>3</t>
        </is>
      </c>
      <c r="S1382" s="5" t="inlineStr">
        <is>
          <t>4</t>
        </is>
      </c>
      <c r="T1382" s="5" t="inlineStr">
        <is>
          <t>1</t>
        </is>
      </c>
      <c r="U1382" s="5">
        <f>IFS(C1382&lt;30,"Under 30",C1382&lt;40,"30-39",C1382&lt;50,"40-49",TRUE,"50+")</f>
        <v/>
      </c>
      <c r="V1382" s="5">
        <f>IFS(O1382&lt;60000,"Low (&lt;60k)",O1382&lt;100000,"Mid (60-100k)",TRUE,"High (100k+)")</f>
        <v/>
      </c>
      <c r="W1382" s="5">
        <f>IF(M1382="No","Attrited","Active")</f>
        <v/>
      </c>
    </row>
    <row r="1383">
      <c r="A1383" s="5" t="inlineStr">
        <is>
          <t>E01382</t>
        </is>
      </c>
      <c r="B1383" s="5" t="inlineStr">
        <is>
          <t>Male</t>
        </is>
      </c>
      <c r="C1383" s="6" t="inlineStr">
        <is>
          <t>29</t>
        </is>
      </c>
      <c r="D1383" s="5" t="inlineStr">
        <is>
          <t>Married</t>
        </is>
      </c>
      <c r="E1383" s="5" t="inlineStr">
        <is>
          <t>Diploma</t>
        </is>
      </c>
      <c r="F1383" s="5" t="inlineStr">
        <is>
          <t>Research &amp; Development</t>
        </is>
      </c>
      <c r="G1383" s="5" t="inlineStr">
        <is>
          <t>Product Engineer</t>
        </is>
      </c>
      <c r="H1383" s="5" t="inlineStr">
        <is>
          <t>2</t>
        </is>
      </c>
      <c r="I1383" s="5" t="inlineStr">
        <is>
          <t>Delhi</t>
        </is>
      </c>
      <c r="J1383" s="5" t="inlineStr">
        <is>
          <t>Full-Time</t>
        </is>
      </c>
      <c r="K1383" s="7" t="n">
        <v>44229</v>
      </c>
      <c r="L1383" s="7" t="inlineStr"/>
      <c r="M1383" s="5" t="inlineStr">
        <is>
          <t>Yes</t>
        </is>
      </c>
      <c r="N1383" s="5" t="inlineStr"/>
      <c r="O1383" s="8" t="inlineStr">
        <is>
          <t>151000</t>
        </is>
      </c>
      <c r="P1383" s="5" t="inlineStr">
        <is>
          <t>5</t>
        </is>
      </c>
      <c r="Q1383" s="5" t="inlineStr">
        <is>
          <t>3</t>
        </is>
      </c>
      <c r="R1383" s="5" t="inlineStr">
        <is>
          <t>7</t>
        </is>
      </c>
      <c r="S1383" s="5" t="inlineStr">
        <is>
          <t>59</t>
        </is>
      </c>
      <c r="T1383" s="5" t="inlineStr">
        <is>
          <t>0</t>
        </is>
      </c>
      <c r="U1383" s="5">
        <f>IFS(C1383&lt;30,"Under 30",C1383&lt;40,"30-39",C1383&lt;50,"40-49",TRUE,"50+")</f>
        <v/>
      </c>
      <c r="V1383" s="5">
        <f>IFS(O1383&lt;60000,"Low (&lt;60k)",O1383&lt;100000,"Mid (60-100k)",TRUE,"High (100k+)")</f>
        <v/>
      </c>
      <c r="W1383" s="5">
        <f>IF(M1383="No","Attrited","Active")</f>
        <v/>
      </c>
    </row>
    <row r="1384">
      <c r="A1384" s="5" t="inlineStr">
        <is>
          <t>E01383</t>
        </is>
      </c>
      <c r="B1384" s="5" t="inlineStr">
        <is>
          <t>Male</t>
        </is>
      </c>
      <c r="C1384" s="6" t="inlineStr">
        <is>
          <t>33</t>
        </is>
      </c>
      <c r="D1384" s="5" t="inlineStr">
        <is>
          <t>Single</t>
        </is>
      </c>
      <c r="E1384" s="5" t="inlineStr">
        <is>
          <t>Diploma</t>
        </is>
      </c>
      <c r="F1384" s="5" t="inlineStr">
        <is>
          <t>Finance</t>
        </is>
      </c>
      <c r="G1384" s="5" t="inlineStr">
        <is>
          <t>Accountant</t>
        </is>
      </c>
      <c r="H1384" s="5" t="inlineStr">
        <is>
          <t>5</t>
        </is>
      </c>
      <c r="I1384" s="5" t="inlineStr">
        <is>
          <t>Chennai</t>
        </is>
      </c>
      <c r="J1384" s="5" t="inlineStr">
        <is>
          <t>Full-Time</t>
        </is>
      </c>
      <c r="K1384" s="7" t="n">
        <v>45281</v>
      </c>
      <c r="L1384" s="7" t="inlineStr"/>
      <c r="M1384" s="5" t="inlineStr">
        <is>
          <t>Yes</t>
        </is>
      </c>
      <c r="N1384" s="5" t="inlineStr"/>
      <c r="O1384" s="8" t="inlineStr">
        <is>
          <t>135000</t>
        </is>
      </c>
      <c r="P1384" s="5" t="inlineStr">
        <is>
          <t>0</t>
        </is>
      </c>
      <c r="Q1384" s="5" t="inlineStr">
        <is>
          <t>2</t>
        </is>
      </c>
      <c r="R1384" s="5" t="inlineStr">
        <is>
          <t>5</t>
        </is>
      </c>
      <c r="S1384" s="5" t="inlineStr">
        <is>
          <t>24</t>
        </is>
      </c>
      <c r="T1384" s="5" t="inlineStr">
        <is>
          <t>6</t>
        </is>
      </c>
      <c r="U1384" s="5">
        <f>IFS(C1384&lt;30,"Under 30",C1384&lt;40,"30-39",C1384&lt;50,"40-49",TRUE,"50+")</f>
        <v/>
      </c>
      <c r="V1384" s="5">
        <f>IFS(O1384&lt;60000,"Low (&lt;60k)",O1384&lt;100000,"Mid (60-100k)",TRUE,"High (100k+)")</f>
        <v/>
      </c>
      <c r="W1384" s="5">
        <f>IF(M1384="No","Attrited","Active")</f>
        <v/>
      </c>
    </row>
    <row r="1385">
      <c r="A1385" s="5" t="inlineStr">
        <is>
          <t>E01384</t>
        </is>
      </c>
      <c r="B1385" s="5" t="inlineStr">
        <is>
          <t>Male</t>
        </is>
      </c>
      <c r="C1385" s="6" t="inlineStr">
        <is>
          <t>23</t>
        </is>
      </c>
      <c r="D1385" s="5" t="inlineStr">
        <is>
          <t>Married</t>
        </is>
      </c>
      <c r="E1385" s="5" t="inlineStr">
        <is>
          <t>High School</t>
        </is>
      </c>
      <c r="F1385" s="5" t="inlineStr">
        <is>
          <t>IT</t>
        </is>
      </c>
      <c r="G1385" s="5" t="inlineStr">
        <is>
          <t>Data Analyst</t>
        </is>
      </c>
      <c r="H1385" s="5" t="inlineStr">
        <is>
          <t>1</t>
        </is>
      </c>
      <c r="I1385" s="5" t="inlineStr">
        <is>
          <t>Delhi</t>
        </is>
      </c>
      <c r="J1385" s="5" t="inlineStr">
        <is>
          <t>Full-Time</t>
        </is>
      </c>
      <c r="K1385" s="7" t="n">
        <v>44997</v>
      </c>
      <c r="L1385" s="7" t="inlineStr"/>
      <c r="M1385" s="5" t="inlineStr">
        <is>
          <t>Yes</t>
        </is>
      </c>
      <c r="N1385" s="5" t="inlineStr"/>
      <c r="O1385" s="8" t="inlineStr">
        <is>
          <t>82500</t>
        </is>
      </c>
      <c r="P1385" s="5" t="inlineStr">
        <is>
          <t>10</t>
        </is>
      </c>
      <c r="Q1385" s="5" t="inlineStr">
        <is>
          <t>4</t>
        </is>
      </c>
      <c r="R1385" s="5" t="inlineStr">
        <is>
          <t>6</t>
        </is>
      </c>
      <c r="S1385" s="5" t="inlineStr">
        <is>
          <t>34</t>
        </is>
      </c>
      <c r="T1385" s="5" t="inlineStr">
        <is>
          <t>5</t>
        </is>
      </c>
      <c r="U1385" s="5">
        <f>IFS(C1385&lt;30,"Under 30",C1385&lt;40,"30-39",C1385&lt;50,"40-49",TRUE,"50+")</f>
        <v/>
      </c>
      <c r="V1385" s="5">
        <f>IFS(O1385&lt;60000,"Low (&lt;60k)",O1385&lt;100000,"Mid (60-100k)",TRUE,"High (100k+)")</f>
        <v/>
      </c>
      <c r="W1385" s="5">
        <f>IF(M1385="No","Attrited","Active")</f>
        <v/>
      </c>
    </row>
    <row r="1386">
      <c r="A1386" s="5" t="inlineStr">
        <is>
          <t>E01385</t>
        </is>
      </c>
      <c r="B1386" s="5" t="inlineStr">
        <is>
          <t>Male</t>
        </is>
      </c>
      <c r="C1386" s="6" t="inlineStr">
        <is>
          <t>23</t>
        </is>
      </c>
      <c r="D1386" s="5" t="inlineStr">
        <is>
          <t>Married</t>
        </is>
      </c>
      <c r="E1386" s="5" t="inlineStr">
        <is>
          <t>Master</t>
        </is>
      </c>
      <c r="F1386" s="5" t="inlineStr">
        <is>
          <t>Operations</t>
        </is>
      </c>
      <c r="G1386" s="5" t="inlineStr">
        <is>
          <t>Operations Analyst</t>
        </is>
      </c>
      <c r="H1386" s="5" t="inlineStr">
        <is>
          <t>1</t>
        </is>
      </c>
      <c r="I1386" s="5" t="inlineStr">
        <is>
          <t>Remote</t>
        </is>
      </c>
      <c r="J1386" s="5" t="inlineStr">
        <is>
          <t>Full-Time</t>
        </is>
      </c>
      <c r="K1386" s="7" t="n">
        <v>45034</v>
      </c>
      <c r="L1386" s="7" t="inlineStr"/>
      <c r="M1386" s="5" t="inlineStr">
        <is>
          <t>Yes</t>
        </is>
      </c>
      <c r="N1386" s="5" t="inlineStr"/>
      <c r="O1386" s="8" t="inlineStr">
        <is>
          <t>83000</t>
        </is>
      </c>
      <c r="P1386" s="5" t="inlineStr">
        <is>
          <t>0</t>
        </is>
      </c>
      <c r="Q1386" s="5" t="inlineStr">
        <is>
          <t>4</t>
        </is>
      </c>
      <c r="R1386" s="5" t="inlineStr">
        <is>
          <t>4</t>
        </is>
      </c>
      <c r="S1386" s="5" t="inlineStr">
        <is>
          <t>32</t>
        </is>
      </c>
      <c r="T1386" s="5" t="inlineStr">
        <is>
          <t>8</t>
        </is>
      </c>
      <c r="U1386" s="5">
        <f>IFS(C1386&lt;30,"Under 30",C1386&lt;40,"30-39",C1386&lt;50,"40-49",TRUE,"50+")</f>
        <v/>
      </c>
      <c r="V1386" s="5">
        <f>IFS(O1386&lt;60000,"Low (&lt;60k)",O1386&lt;100000,"Mid (60-100k)",TRUE,"High (100k+)")</f>
        <v/>
      </c>
      <c r="W1386" s="5">
        <f>IF(M1386="No","Attrited","Active")</f>
        <v/>
      </c>
    </row>
    <row r="1387">
      <c r="A1387" s="5" t="inlineStr">
        <is>
          <t>E01386</t>
        </is>
      </c>
      <c r="B1387" s="5" t="inlineStr">
        <is>
          <t>Male</t>
        </is>
      </c>
      <c r="C1387" s="6" t="inlineStr">
        <is>
          <t>35</t>
        </is>
      </c>
      <c r="D1387" s="5" t="inlineStr">
        <is>
          <t>Married</t>
        </is>
      </c>
      <c r="E1387" s="5" t="inlineStr">
        <is>
          <t>Diploma</t>
        </is>
      </c>
      <c r="F1387" s="5" t="inlineStr">
        <is>
          <t>Customer Support</t>
        </is>
      </c>
      <c r="G1387" s="5" t="inlineStr">
        <is>
          <t>Support Agent</t>
        </is>
      </c>
      <c r="H1387" s="5" t="inlineStr">
        <is>
          <t>3</t>
        </is>
      </c>
      <c r="I1387" s="5" t="inlineStr">
        <is>
          <t>Delhi</t>
        </is>
      </c>
      <c r="J1387" s="5" t="inlineStr">
        <is>
          <t>Full-Time</t>
        </is>
      </c>
      <c r="K1387" s="7" t="n">
        <v>44667</v>
      </c>
      <c r="L1387" s="7" t="inlineStr"/>
      <c r="M1387" s="5" t="inlineStr">
        <is>
          <t>Yes</t>
        </is>
      </c>
      <c r="N1387" s="5" t="inlineStr"/>
      <c r="O1387" s="8" t="inlineStr">
        <is>
          <t>54000</t>
        </is>
      </c>
      <c r="P1387" s="5" t="inlineStr">
        <is>
          <t>15</t>
        </is>
      </c>
      <c r="Q1387" s="5" t="inlineStr">
        <is>
          <t>3</t>
        </is>
      </c>
      <c r="R1387" s="5" t="inlineStr">
        <is>
          <t>4</t>
        </is>
      </c>
      <c r="S1387" s="5" t="inlineStr">
        <is>
          <t>45</t>
        </is>
      </c>
      <c r="T1387" s="5" t="inlineStr">
        <is>
          <t>11</t>
        </is>
      </c>
      <c r="U1387" s="5">
        <f>IFS(C1387&lt;30,"Under 30",C1387&lt;40,"30-39",C1387&lt;50,"40-49",TRUE,"50+")</f>
        <v/>
      </c>
      <c r="V1387" s="5">
        <f>IFS(O1387&lt;60000,"Low (&lt;60k)",O1387&lt;100000,"Mid (60-100k)",TRUE,"High (100k+)")</f>
        <v/>
      </c>
      <c r="W1387" s="5">
        <f>IF(M1387="No","Attrited","Active")</f>
        <v/>
      </c>
    </row>
    <row r="1388">
      <c r="A1388" s="5" t="inlineStr">
        <is>
          <t>E01387</t>
        </is>
      </c>
      <c r="B1388" s="5" t="inlineStr">
        <is>
          <t>Male</t>
        </is>
      </c>
      <c r="C1388" s="6" t="inlineStr">
        <is>
          <t>25</t>
        </is>
      </c>
      <c r="D1388" s="5" t="inlineStr">
        <is>
          <t>Married</t>
        </is>
      </c>
      <c r="E1388" s="5" t="inlineStr">
        <is>
          <t>Diploma</t>
        </is>
      </c>
      <c r="F1388" s="5" t="inlineStr">
        <is>
          <t>IT</t>
        </is>
      </c>
      <c r="G1388" s="5" t="inlineStr">
        <is>
          <t>Software Engineer</t>
        </is>
      </c>
      <c r="H1388" s="5" t="inlineStr">
        <is>
          <t>2</t>
        </is>
      </c>
      <c r="I1388" s="5" t="inlineStr">
        <is>
          <t>Remote</t>
        </is>
      </c>
      <c r="J1388" s="5" t="inlineStr">
        <is>
          <t>Full-Time</t>
        </is>
      </c>
      <c r="K1388" s="7" t="n">
        <v>44103</v>
      </c>
      <c r="L1388" s="7" t="inlineStr"/>
      <c r="M1388" s="5" t="inlineStr">
        <is>
          <t>Yes</t>
        </is>
      </c>
      <c r="N1388" s="5" t="inlineStr"/>
      <c r="O1388" s="8" t="inlineStr">
        <is>
          <t>165500</t>
        </is>
      </c>
      <c r="P1388" s="5" t="inlineStr">
        <is>
          <t>10</t>
        </is>
      </c>
      <c r="Q1388" s="5" t="inlineStr">
        <is>
          <t>4</t>
        </is>
      </c>
      <c r="R1388" s="5" t="inlineStr">
        <is>
          <t>7</t>
        </is>
      </c>
      <c r="S1388" s="5" t="inlineStr">
        <is>
          <t>63</t>
        </is>
      </c>
      <c r="T1388" s="5" t="inlineStr">
        <is>
          <t>14</t>
        </is>
      </c>
      <c r="U1388" s="5">
        <f>IFS(C1388&lt;30,"Under 30",C1388&lt;40,"30-39",C1388&lt;50,"40-49",TRUE,"50+")</f>
        <v/>
      </c>
      <c r="V1388" s="5">
        <f>IFS(O1388&lt;60000,"Low (&lt;60k)",O1388&lt;100000,"Mid (60-100k)",TRUE,"High (100k+)")</f>
        <v/>
      </c>
      <c r="W1388" s="5">
        <f>IF(M1388="No","Attrited","Active")</f>
        <v/>
      </c>
    </row>
    <row r="1389">
      <c r="A1389" s="5" t="inlineStr">
        <is>
          <t>E01388</t>
        </is>
      </c>
      <c r="B1389" s="5" t="inlineStr">
        <is>
          <t>Male</t>
        </is>
      </c>
      <c r="C1389" s="6" t="inlineStr">
        <is>
          <t>33</t>
        </is>
      </c>
      <c r="D1389" s="5" t="inlineStr">
        <is>
          <t>Divorced</t>
        </is>
      </c>
      <c r="E1389" s="5" t="inlineStr">
        <is>
          <t>Bachelor</t>
        </is>
      </c>
      <c r="F1389" s="5" t="inlineStr">
        <is>
          <t>Operations</t>
        </is>
      </c>
      <c r="G1389" s="5" t="inlineStr">
        <is>
          <t>Quality Analyst</t>
        </is>
      </c>
      <c r="H1389" s="5" t="inlineStr">
        <is>
          <t>1</t>
        </is>
      </c>
      <c r="I1389" s="5" t="inlineStr">
        <is>
          <t>Bengaluru</t>
        </is>
      </c>
      <c r="J1389" s="5" t="inlineStr">
        <is>
          <t>Full-Time</t>
        </is>
      </c>
      <c r="K1389" s="7" t="n">
        <v>45491</v>
      </c>
      <c r="L1389" s="7" t="inlineStr"/>
      <c r="M1389" s="5" t="inlineStr">
        <is>
          <t>Yes</t>
        </is>
      </c>
      <c r="N1389" s="5" t="inlineStr"/>
      <c r="O1389" s="8" t="inlineStr">
        <is>
          <t>79000</t>
        </is>
      </c>
      <c r="P1389" s="5" t="inlineStr">
        <is>
          <t>10</t>
        </is>
      </c>
      <c r="Q1389" s="5" t="inlineStr">
        <is>
          <t>1</t>
        </is>
      </c>
      <c r="R1389" s="5" t="inlineStr">
        <is>
          <t>7</t>
        </is>
      </c>
      <c r="S1389" s="5" t="inlineStr">
        <is>
          <t>17</t>
        </is>
      </c>
      <c r="T1389" s="5" t="inlineStr">
        <is>
          <t>5</t>
        </is>
      </c>
      <c r="U1389" s="5">
        <f>IFS(C1389&lt;30,"Under 30",C1389&lt;40,"30-39",C1389&lt;50,"40-49",TRUE,"50+")</f>
        <v/>
      </c>
      <c r="V1389" s="5">
        <f>IFS(O1389&lt;60000,"Low (&lt;60k)",O1389&lt;100000,"Mid (60-100k)",TRUE,"High (100k+)")</f>
        <v/>
      </c>
      <c r="W1389" s="5">
        <f>IF(M1389="No","Attrited","Active")</f>
        <v/>
      </c>
    </row>
    <row r="1390">
      <c r="A1390" s="5" t="inlineStr">
        <is>
          <t>E01389</t>
        </is>
      </c>
      <c r="B1390" s="5" t="inlineStr">
        <is>
          <t>Female</t>
        </is>
      </c>
      <c r="C1390" s="6" t="inlineStr">
        <is>
          <t>42</t>
        </is>
      </c>
      <c r="D1390" s="5" t="inlineStr">
        <is>
          <t>Married</t>
        </is>
      </c>
      <c r="E1390" s="5" t="inlineStr">
        <is>
          <t>Master</t>
        </is>
      </c>
      <c r="F1390" s="5" t="inlineStr">
        <is>
          <t>Customer Support</t>
        </is>
      </c>
      <c r="G1390" s="5" t="inlineStr">
        <is>
          <t>Escalation Specialist</t>
        </is>
      </c>
      <c r="H1390" s="5" t="inlineStr">
        <is>
          <t>7</t>
        </is>
      </c>
      <c r="I1390" s="5" t="inlineStr">
        <is>
          <t>Remote</t>
        </is>
      </c>
      <c r="J1390" s="5" t="inlineStr">
        <is>
          <t>Full-Time</t>
        </is>
      </c>
      <c r="K1390" s="7" t="n">
        <v>45651</v>
      </c>
      <c r="L1390" s="7" t="inlineStr"/>
      <c r="M1390" s="5" t="inlineStr">
        <is>
          <t>Yes</t>
        </is>
      </c>
      <c r="N1390" s="5" t="inlineStr"/>
      <c r="O1390" s="8" t="inlineStr">
        <is>
          <t>106500</t>
        </is>
      </c>
      <c r="P1390" s="5" t="inlineStr">
        <is>
          <t>0</t>
        </is>
      </c>
      <c r="Q1390" s="5" t="inlineStr">
        <is>
          <t>3</t>
        </is>
      </c>
      <c r="R1390" s="5" t="inlineStr">
        <is>
          <t>5</t>
        </is>
      </c>
      <c r="S1390" s="5" t="inlineStr">
        <is>
          <t>12</t>
        </is>
      </c>
      <c r="T1390" s="5" t="inlineStr">
        <is>
          <t>11</t>
        </is>
      </c>
      <c r="U1390" s="5">
        <f>IFS(C1390&lt;30,"Under 30",C1390&lt;40,"30-39",C1390&lt;50,"40-49",TRUE,"50+")</f>
        <v/>
      </c>
      <c r="V1390" s="5">
        <f>IFS(O1390&lt;60000,"Low (&lt;60k)",O1390&lt;100000,"Mid (60-100k)",TRUE,"High (100k+)")</f>
        <v/>
      </c>
      <c r="W1390" s="5">
        <f>IF(M1390="No","Attrited","Active")</f>
        <v/>
      </c>
    </row>
    <row r="1391">
      <c r="A1391" s="5" t="inlineStr">
        <is>
          <t>E01390</t>
        </is>
      </c>
      <c r="B1391" s="5" t="inlineStr">
        <is>
          <t>Female</t>
        </is>
      </c>
      <c r="C1391" s="6" t="inlineStr">
        <is>
          <t>31</t>
        </is>
      </c>
      <c r="D1391" s="5" t="inlineStr">
        <is>
          <t>Married</t>
        </is>
      </c>
      <c r="E1391" s="5" t="inlineStr">
        <is>
          <t>PhD</t>
        </is>
      </c>
      <c r="F1391" s="5" t="inlineStr">
        <is>
          <t>Customer Support</t>
        </is>
      </c>
      <c r="G1391" s="5" t="inlineStr">
        <is>
          <t>Support Lead</t>
        </is>
      </c>
      <c r="H1391" s="5" t="inlineStr">
        <is>
          <t>2</t>
        </is>
      </c>
      <c r="I1391" s="5" t="inlineStr">
        <is>
          <t>Chennai</t>
        </is>
      </c>
      <c r="J1391" s="5" t="inlineStr">
        <is>
          <t>Full-Time</t>
        </is>
      </c>
      <c r="K1391" s="7" t="n">
        <v>45072</v>
      </c>
      <c r="L1391" s="7" t="inlineStr"/>
      <c r="M1391" s="5" t="inlineStr">
        <is>
          <t>Yes</t>
        </is>
      </c>
      <c r="N1391" s="5" t="inlineStr"/>
      <c r="O1391" s="8" t="inlineStr">
        <is>
          <t>59000</t>
        </is>
      </c>
      <c r="P1391" s="5" t="inlineStr">
        <is>
          <t>0</t>
        </is>
      </c>
      <c r="Q1391" s="5" t="inlineStr">
        <is>
          <t>3</t>
        </is>
      </c>
      <c r="R1391" s="5" t="inlineStr">
        <is>
          <t>10</t>
        </is>
      </c>
      <c r="S1391" s="5" t="inlineStr">
        <is>
          <t>31</t>
        </is>
      </c>
      <c r="T1391" s="5" t="inlineStr">
        <is>
          <t>6</t>
        </is>
      </c>
      <c r="U1391" s="5">
        <f>IFS(C1391&lt;30,"Under 30",C1391&lt;40,"30-39",C1391&lt;50,"40-49",TRUE,"50+")</f>
        <v/>
      </c>
      <c r="V1391" s="5">
        <f>IFS(O1391&lt;60000,"Low (&lt;60k)",O1391&lt;100000,"Mid (60-100k)",TRUE,"High (100k+)")</f>
        <v/>
      </c>
      <c r="W1391" s="5">
        <f>IF(M1391="No","Attrited","Active")</f>
        <v/>
      </c>
    </row>
    <row r="1392">
      <c r="A1392" s="5" t="inlineStr">
        <is>
          <t>E01391</t>
        </is>
      </c>
      <c r="B1392" s="5" t="inlineStr">
        <is>
          <t>Male</t>
        </is>
      </c>
      <c r="C1392" s="6" t="inlineStr">
        <is>
          <t>27</t>
        </is>
      </c>
      <c r="D1392" s="5" t="inlineStr">
        <is>
          <t>Married</t>
        </is>
      </c>
      <c r="E1392" s="5" t="inlineStr">
        <is>
          <t>PhD</t>
        </is>
      </c>
      <c r="F1392" s="5" t="inlineStr">
        <is>
          <t>Operations</t>
        </is>
      </c>
      <c r="G1392" s="5" t="inlineStr">
        <is>
          <t>Quality Analyst</t>
        </is>
      </c>
      <c r="H1392" s="5" t="inlineStr">
        <is>
          <t>1</t>
        </is>
      </c>
      <c r="I1392" s="5" t="inlineStr">
        <is>
          <t>Remote</t>
        </is>
      </c>
      <c r="J1392" s="5" t="inlineStr">
        <is>
          <t>Full-Time</t>
        </is>
      </c>
      <c r="K1392" s="7" t="n">
        <v>44240</v>
      </c>
      <c r="L1392" s="7" t="n">
        <v>44348</v>
      </c>
      <c r="M1392" s="5" t="inlineStr">
        <is>
          <t>No</t>
        </is>
      </c>
      <c r="N1392" s="5" t="inlineStr">
        <is>
          <t>Layoff</t>
        </is>
      </c>
      <c r="O1392" s="8" t="inlineStr">
        <is>
          <t>74000</t>
        </is>
      </c>
      <c r="P1392" s="5" t="inlineStr">
        <is>
          <t>0</t>
        </is>
      </c>
      <c r="Q1392" s="5" t="inlineStr">
        <is>
          <t>4</t>
        </is>
      </c>
      <c r="R1392" s="5" t="inlineStr">
        <is>
          <t>6</t>
        </is>
      </c>
      <c r="S1392" s="5" t="inlineStr">
        <is>
          <t>3</t>
        </is>
      </c>
      <c r="T1392" s="5" t="inlineStr">
        <is>
          <t>4</t>
        </is>
      </c>
      <c r="U1392" s="5">
        <f>IFS(C1392&lt;30,"Under 30",C1392&lt;40,"30-39",C1392&lt;50,"40-49",TRUE,"50+")</f>
        <v/>
      </c>
      <c r="V1392" s="5">
        <f>IFS(O1392&lt;60000,"Low (&lt;60k)",O1392&lt;100000,"Mid (60-100k)",TRUE,"High (100k+)")</f>
        <v/>
      </c>
      <c r="W1392" s="5">
        <f>IF(M1392="No","Attrited","Active")</f>
        <v/>
      </c>
    </row>
    <row r="1393">
      <c r="A1393" s="5" t="inlineStr">
        <is>
          <t>E01392</t>
        </is>
      </c>
      <c r="B1393" s="5" t="inlineStr">
        <is>
          <t>Male</t>
        </is>
      </c>
      <c r="C1393" s="6" t="inlineStr">
        <is>
          <t>29</t>
        </is>
      </c>
      <c r="D1393" s="5" t="inlineStr">
        <is>
          <t>Married</t>
        </is>
      </c>
      <c r="E1393" s="5" t="inlineStr">
        <is>
          <t>Bachelor</t>
        </is>
      </c>
      <c r="F1393" s="5" t="inlineStr">
        <is>
          <t>Finance</t>
        </is>
      </c>
      <c r="G1393" s="5" t="inlineStr">
        <is>
          <t>Credit Analyst</t>
        </is>
      </c>
      <c r="H1393" s="5" t="inlineStr">
        <is>
          <t>1</t>
        </is>
      </c>
      <c r="I1393" s="5" t="inlineStr">
        <is>
          <t>Chennai</t>
        </is>
      </c>
      <c r="J1393" s="5" t="inlineStr">
        <is>
          <t>Full-Time</t>
        </is>
      </c>
      <c r="K1393" s="7" t="n">
        <v>44717</v>
      </c>
      <c r="L1393" s="7" t="inlineStr"/>
      <c r="M1393" s="5" t="inlineStr">
        <is>
          <t>Yes</t>
        </is>
      </c>
      <c r="N1393" s="5" t="inlineStr"/>
      <c r="O1393" s="8" t="inlineStr">
        <is>
          <t>67000</t>
        </is>
      </c>
      <c r="P1393" s="5" t="inlineStr">
        <is>
          <t>10</t>
        </is>
      </c>
      <c r="Q1393" s="5" t="inlineStr">
        <is>
          <t>3</t>
        </is>
      </c>
      <c r="R1393" s="5" t="inlineStr">
        <is>
          <t>7</t>
        </is>
      </c>
      <c r="S1393" s="5" t="inlineStr">
        <is>
          <t>43</t>
        </is>
      </c>
      <c r="T1393" s="5" t="inlineStr">
        <is>
          <t>9</t>
        </is>
      </c>
      <c r="U1393" s="5">
        <f>IFS(C1393&lt;30,"Under 30",C1393&lt;40,"30-39",C1393&lt;50,"40-49",TRUE,"50+")</f>
        <v/>
      </c>
      <c r="V1393" s="5">
        <f>IFS(O1393&lt;60000,"Low (&lt;60k)",O1393&lt;100000,"Mid (60-100k)",TRUE,"High (100k+)")</f>
        <v/>
      </c>
      <c r="W1393" s="5">
        <f>IF(M1393="No","Attrited","Active")</f>
        <v/>
      </c>
    </row>
    <row r="1394">
      <c r="A1394" s="5" t="inlineStr">
        <is>
          <t>E01393</t>
        </is>
      </c>
      <c r="B1394" s="5" t="inlineStr">
        <is>
          <t>Female</t>
        </is>
      </c>
      <c r="C1394" s="6" t="inlineStr">
        <is>
          <t>38</t>
        </is>
      </c>
      <c r="D1394" s="5" t="inlineStr">
        <is>
          <t>Married</t>
        </is>
      </c>
      <c r="E1394" s="5" t="inlineStr">
        <is>
          <t>High School</t>
        </is>
      </c>
      <c r="F1394" s="5" t="inlineStr">
        <is>
          <t>Finance</t>
        </is>
      </c>
      <c r="G1394" s="5" t="inlineStr">
        <is>
          <t>Accountant</t>
        </is>
      </c>
      <c r="H1394" s="5" t="inlineStr">
        <is>
          <t>3</t>
        </is>
      </c>
      <c r="I1394" s="5" t="inlineStr">
        <is>
          <t>Mumbai</t>
        </is>
      </c>
      <c r="J1394" s="5" t="inlineStr">
        <is>
          <t>Full-Time</t>
        </is>
      </c>
      <c r="K1394" s="7" t="n">
        <v>43985</v>
      </c>
      <c r="L1394" s="7" t="inlineStr"/>
      <c r="M1394" s="5" t="inlineStr">
        <is>
          <t>Yes</t>
        </is>
      </c>
      <c r="N1394" s="5" t="inlineStr"/>
      <c r="O1394" s="8" t="inlineStr">
        <is>
          <t>115000</t>
        </is>
      </c>
      <c r="P1394" s="5" t="inlineStr">
        <is>
          <t>15</t>
        </is>
      </c>
      <c r="Q1394" s="5" t="inlineStr">
        <is>
          <t>5</t>
        </is>
      </c>
      <c r="R1394" s="5" t="inlineStr">
        <is>
          <t>5</t>
        </is>
      </c>
      <c r="S1394" s="5" t="inlineStr">
        <is>
          <t>67</t>
        </is>
      </c>
      <c r="T1394" s="5" t="inlineStr">
        <is>
          <t>0</t>
        </is>
      </c>
      <c r="U1394" s="5">
        <f>IFS(C1394&lt;30,"Under 30",C1394&lt;40,"30-39",C1394&lt;50,"40-49",TRUE,"50+")</f>
        <v/>
      </c>
      <c r="V1394" s="5">
        <f>IFS(O1394&lt;60000,"Low (&lt;60k)",O1394&lt;100000,"Mid (60-100k)",TRUE,"High (100k+)")</f>
        <v/>
      </c>
      <c r="W1394" s="5">
        <f>IF(M1394="No","Attrited","Active")</f>
        <v/>
      </c>
    </row>
    <row r="1395">
      <c r="A1395" s="5" t="inlineStr">
        <is>
          <t>E01394</t>
        </is>
      </c>
      <c r="B1395" s="5" t="inlineStr">
        <is>
          <t>Male</t>
        </is>
      </c>
      <c r="C1395" s="6" t="inlineStr">
        <is>
          <t>30</t>
        </is>
      </c>
      <c r="D1395" s="5" t="inlineStr">
        <is>
          <t>Single</t>
        </is>
      </c>
      <c r="E1395" s="5" t="inlineStr">
        <is>
          <t>PhD</t>
        </is>
      </c>
      <c r="F1395" s="5" t="inlineStr">
        <is>
          <t>Marketing</t>
        </is>
      </c>
      <c r="G1395" s="5" t="inlineStr">
        <is>
          <t>Marketing Analyst</t>
        </is>
      </c>
      <c r="H1395" s="5" t="inlineStr">
        <is>
          <t>3</t>
        </is>
      </c>
      <c r="I1395" s="5" t="inlineStr">
        <is>
          <t>Remote</t>
        </is>
      </c>
      <c r="J1395" s="5" t="inlineStr">
        <is>
          <t>Contract</t>
        </is>
      </c>
      <c r="K1395" s="7" t="n">
        <v>44747</v>
      </c>
      <c r="L1395" s="7" t="inlineStr"/>
      <c r="M1395" s="5" t="inlineStr">
        <is>
          <t>Yes</t>
        </is>
      </c>
      <c r="N1395" s="5" t="inlineStr"/>
      <c r="O1395" s="8" t="inlineStr">
        <is>
          <t>86000</t>
        </is>
      </c>
      <c r="P1395" s="5" t="inlineStr">
        <is>
          <t>10</t>
        </is>
      </c>
      <c r="Q1395" s="5" t="inlineStr">
        <is>
          <t>2</t>
        </is>
      </c>
      <c r="R1395" s="5" t="inlineStr">
        <is>
          <t>8</t>
        </is>
      </c>
      <c r="S1395" s="5" t="inlineStr">
        <is>
          <t>42</t>
        </is>
      </c>
      <c r="T1395" s="5" t="inlineStr">
        <is>
          <t>0</t>
        </is>
      </c>
      <c r="U1395" s="5">
        <f>IFS(C1395&lt;30,"Under 30",C1395&lt;40,"30-39",C1395&lt;50,"40-49",TRUE,"50+")</f>
        <v/>
      </c>
      <c r="V1395" s="5">
        <f>IFS(O1395&lt;60000,"Low (&lt;60k)",O1395&lt;100000,"Mid (60-100k)",TRUE,"High (100k+)")</f>
        <v/>
      </c>
      <c r="W1395" s="5">
        <f>IF(M1395="No","Attrited","Active")</f>
        <v/>
      </c>
    </row>
    <row r="1396">
      <c r="A1396" s="5" t="inlineStr">
        <is>
          <t>E01395</t>
        </is>
      </c>
      <c r="B1396" s="5" t="inlineStr">
        <is>
          <t>Female</t>
        </is>
      </c>
      <c r="C1396" s="6" t="inlineStr">
        <is>
          <t>28</t>
        </is>
      </c>
      <c r="D1396" s="5" t="inlineStr">
        <is>
          <t>Married</t>
        </is>
      </c>
      <c r="E1396" s="5" t="inlineStr">
        <is>
          <t>Diploma</t>
        </is>
      </c>
      <c r="F1396" s="5" t="inlineStr">
        <is>
          <t>Customer Support</t>
        </is>
      </c>
      <c r="G1396" s="5" t="inlineStr">
        <is>
          <t>Support Lead</t>
        </is>
      </c>
      <c r="H1396" s="5" t="inlineStr">
        <is>
          <t>3</t>
        </is>
      </c>
      <c r="I1396" s="5" t="inlineStr">
        <is>
          <t>Delhi</t>
        </is>
      </c>
      <c r="J1396" s="5" t="inlineStr">
        <is>
          <t>Full-Time</t>
        </is>
      </c>
      <c r="K1396" s="7" t="n">
        <v>44649</v>
      </c>
      <c r="L1396" s="7" t="inlineStr"/>
      <c r="M1396" s="5" t="inlineStr">
        <is>
          <t>Yes</t>
        </is>
      </c>
      <c r="N1396" s="5" t="inlineStr"/>
      <c r="O1396" s="8" t="inlineStr">
        <is>
          <t>75000</t>
        </is>
      </c>
      <c r="P1396" s="5" t="inlineStr">
        <is>
          <t>0</t>
        </is>
      </c>
      <c r="Q1396" s="5" t="inlineStr">
        <is>
          <t>3</t>
        </is>
      </c>
      <c r="R1396" s="5" t="inlineStr">
        <is>
          <t>7</t>
        </is>
      </c>
      <c r="S1396" s="5" t="inlineStr">
        <is>
          <t>45</t>
        </is>
      </c>
      <c r="T1396" s="5" t="inlineStr">
        <is>
          <t>5</t>
        </is>
      </c>
      <c r="U1396" s="5">
        <f>IFS(C1396&lt;30,"Under 30",C1396&lt;40,"30-39",C1396&lt;50,"40-49",TRUE,"50+")</f>
        <v/>
      </c>
      <c r="V1396" s="5">
        <f>IFS(O1396&lt;60000,"Low (&lt;60k)",O1396&lt;100000,"Mid (60-100k)",TRUE,"High (100k+)")</f>
        <v/>
      </c>
      <c r="W1396" s="5">
        <f>IF(M1396="No","Attrited","Active")</f>
        <v/>
      </c>
    </row>
    <row r="1397">
      <c r="A1397" s="5" t="inlineStr">
        <is>
          <t>E01396</t>
        </is>
      </c>
      <c r="B1397" s="5" t="inlineStr">
        <is>
          <t>Male</t>
        </is>
      </c>
      <c r="C1397" s="6" t="inlineStr">
        <is>
          <t>28</t>
        </is>
      </c>
      <c r="D1397" s="5" t="inlineStr">
        <is>
          <t>Married</t>
        </is>
      </c>
      <c r="E1397" s="5" t="inlineStr">
        <is>
          <t>Master</t>
        </is>
      </c>
      <c r="F1397" s="5" t="inlineStr">
        <is>
          <t>Finance</t>
        </is>
      </c>
      <c r="G1397" s="5" t="inlineStr">
        <is>
          <t>Credit Analyst</t>
        </is>
      </c>
      <c r="H1397" s="5" t="inlineStr">
        <is>
          <t>3</t>
        </is>
      </c>
      <c r="I1397" s="5" t="inlineStr">
        <is>
          <t>Hyderabad</t>
        </is>
      </c>
      <c r="J1397" s="5" t="inlineStr">
        <is>
          <t>Full-Time</t>
        </is>
      </c>
      <c r="K1397" s="7" t="n">
        <v>44761</v>
      </c>
      <c r="L1397" s="7" t="inlineStr"/>
      <c r="M1397" s="5" t="inlineStr">
        <is>
          <t>Yes</t>
        </is>
      </c>
      <c r="N1397" s="5" t="inlineStr"/>
      <c r="O1397" s="8" t="inlineStr">
        <is>
          <t>146000</t>
        </is>
      </c>
      <c r="P1397" s="5" t="inlineStr">
        <is>
          <t>0</t>
        </is>
      </c>
      <c r="Q1397" s="5" t="inlineStr">
        <is>
          <t>3</t>
        </is>
      </c>
      <c r="R1397" s="5" t="inlineStr">
        <is>
          <t>8</t>
        </is>
      </c>
      <c r="S1397" s="5" t="inlineStr">
        <is>
          <t>42</t>
        </is>
      </c>
      <c r="T1397" s="5" t="inlineStr">
        <is>
          <t>0</t>
        </is>
      </c>
      <c r="U1397" s="5">
        <f>IFS(C1397&lt;30,"Under 30",C1397&lt;40,"30-39",C1397&lt;50,"40-49",TRUE,"50+")</f>
        <v/>
      </c>
      <c r="V1397" s="5">
        <f>IFS(O1397&lt;60000,"Low (&lt;60k)",O1397&lt;100000,"Mid (60-100k)",TRUE,"High (100k+)")</f>
        <v/>
      </c>
      <c r="W1397" s="5">
        <f>IF(M1397="No","Attrited","Active")</f>
        <v/>
      </c>
    </row>
    <row r="1398">
      <c r="A1398" s="5" t="inlineStr">
        <is>
          <t>E01397</t>
        </is>
      </c>
      <c r="B1398" s="5" t="inlineStr">
        <is>
          <t>Male</t>
        </is>
      </c>
      <c r="C1398" s="6" t="inlineStr">
        <is>
          <t>29</t>
        </is>
      </c>
      <c r="D1398" s="5" t="inlineStr">
        <is>
          <t>Married</t>
        </is>
      </c>
      <c r="E1398" s="5" t="inlineStr">
        <is>
          <t>PhD</t>
        </is>
      </c>
      <c r="F1398" s="5" t="inlineStr">
        <is>
          <t>Research &amp; Development</t>
        </is>
      </c>
      <c r="G1398" s="5" t="inlineStr">
        <is>
          <t>Research Scientist</t>
        </is>
      </c>
      <c r="H1398" s="5" t="inlineStr">
        <is>
          <t>1</t>
        </is>
      </c>
      <c r="I1398" s="5" t="inlineStr">
        <is>
          <t>Remote</t>
        </is>
      </c>
      <c r="J1398" s="5" t="inlineStr">
        <is>
          <t>Full-Time</t>
        </is>
      </c>
      <c r="K1398" s="7" t="n">
        <v>45665</v>
      </c>
      <c r="L1398" s="7" t="inlineStr"/>
      <c r="M1398" s="5" t="inlineStr">
        <is>
          <t>Yes</t>
        </is>
      </c>
      <c r="N1398" s="5" t="inlineStr"/>
      <c r="O1398" s="8" t="inlineStr">
        <is>
          <t>151500</t>
        </is>
      </c>
      <c r="P1398" s="5" t="inlineStr">
        <is>
          <t>5</t>
        </is>
      </c>
      <c r="Q1398" s="5" t="inlineStr">
        <is>
          <t>4</t>
        </is>
      </c>
      <c r="R1398" s="5" t="inlineStr">
        <is>
          <t>5</t>
        </is>
      </c>
      <c r="S1398" s="5" t="inlineStr">
        <is>
          <t>11</t>
        </is>
      </c>
      <c r="T1398" s="5" t="inlineStr">
        <is>
          <t>6</t>
        </is>
      </c>
      <c r="U1398" s="5">
        <f>IFS(C1398&lt;30,"Under 30",C1398&lt;40,"30-39",C1398&lt;50,"40-49",TRUE,"50+")</f>
        <v/>
      </c>
      <c r="V1398" s="5">
        <f>IFS(O1398&lt;60000,"Low (&lt;60k)",O1398&lt;100000,"Mid (60-100k)",TRUE,"High (100k+)")</f>
        <v/>
      </c>
      <c r="W1398" s="5">
        <f>IF(M1398="No","Attrited","Active")</f>
        <v/>
      </c>
    </row>
    <row r="1399">
      <c r="A1399" s="5" t="inlineStr">
        <is>
          <t>E01398</t>
        </is>
      </c>
      <c r="B1399" s="5" t="inlineStr">
        <is>
          <t>Male</t>
        </is>
      </c>
      <c r="C1399" s="6" t="inlineStr">
        <is>
          <t>27</t>
        </is>
      </c>
      <c r="D1399" s="5" t="inlineStr">
        <is>
          <t>Married</t>
        </is>
      </c>
      <c r="E1399" s="5" t="inlineStr">
        <is>
          <t>PhD</t>
        </is>
      </c>
      <c r="F1399" s="5" t="inlineStr">
        <is>
          <t>Marketing</t>
        </is>
      </c>
      <c r="G1399" s="5" t="inlineStr">
        <is>
          <t>Marketing Analyst</t>
        </is>
      </c>
      <c r="H1399" s="5" t="inlineStr">
        <is>
          <t>3</t>
        </is>
      </c>
      <c r="I1399" s="5" t="inlineStr">
        <is>
          <t>Hyderabad</t>
        </is>
      </c>
      <c r="J1399" s="5" t="inlineStr">
        <is>
          <t>Full-Time</t>
        </is>
      </c>
      <c r="K1399" s="7" t="n">
        <v>45434</v>
      </c>
      <c r="L1399" s="7" t="inlineStr"/>
      <c r="M1399" s="5" t="inlineStr">
        <is>
          <t>Yes</t>
        </is>
      </c>
      <c r="N1399" s="5" t="inlineStr"/>
      <c r="O1399" s="8" t="inlineStr">
        <is>
          <t>83500</t>
        </is>
      </c>
      <c r="P1399" s="5" t="inlineStr">
        <is>
          <t>0</t>
        </is>
      </c>
      <c r="Q1399" s="5" t="inlineStr">
        <is>
          <t>3</t>
        </is>
      </c>
      <c r="R1399" s="5" t="inlineStr">
        <is>
          <t>6</t>
        </is>
      </c>
      <c r="S1399" s="5" t="inlineStr">
        <is>
          <t>19</t>
        </is>
      </c>
      <c r="T1399" s="5" t="inlineStr">
        <is>
          <t>1</t>
        </is>
      </c>
      <c r="U1399" s="5">
        <f>IFS(C1399&lt;30,"Under 30",C1399&lt;40,"30-39",C1399&lt;50,"40-49",TRUE,"50+")</f>
        <v/>
      </c>
      <c r="V1399" s="5">
        <f>IFS(O1399&lt;60000,"Low (&lt;60k)",O1399&lt;100000,"Mid (60-100k)",TRUE,"High (100k+)")</f>
        <v/>
      </c>
      <c r="W1399" s="5">
        <f>IF(M1399="No","Attrited","Active")</f>
        <v/>
      </c>
    </row>
    <row r="1400">
      <c r="A1400" s="5" t="inlineStr">
        <is>
          <t>E01399</t>
        </is>
      </c>
      <c r="B1400" s="5" t="inlineStr">
        <is>
          <t>Male</t>
        </is>
      </c>
      <c r="C1400" s="6" t="inlineStr">
        <is>
          <t>33</t>
        </is>
      </c>
      <c r="D1400" s="5" t="inlineStr">
        <is>
          <t>Married</t>
        </is>
      </c>
      <c r="E1400" s="5" t="inlineStr">
        <is>
          <t>Diploma</t>
        </is>
      </c>
      <c r="F1400" s="5" t="inlineStr">
        <is>
          <t>Sales</t>
        </is>
      </c>
      <c r="G1400" s="5" t="inlineStr">
        <is>
          <t>Account Executive</t>
        </is>
      </c>
      <c r="H1400" s="5" t="inlineStr">
        <is>
          <t>4</t>
        </is>
      </c>
      <c r="I1400" s="5" t="inlineStr">
        <is>
          <t>Delhi</t>
        </is>
      </c>
      <c r="J1400" s="5" t="inlineStr">
        <is>
          <t>Full-Time</t>
        </is>
      </c>
      <c r="K1400" s="7" t="n">
        <v>43902</v>
      </c>
      <c r="L1400" s="7" t="inlineStr"/>
      <c r="M1400" s="5" t="inlineStr">
        <is>
          <t>Yes</t>
        </is>
      </c>
      <c r="N1400" s="5" t="inlineStr"/>
      <c r="O1400" s="8" t="inlineStr">
        <is>
          <t>142000</t>
        </is>
      </c>
      <c r="P1400" s="5" t="inlineStr">
        <is>
          <t>5</t>
        </is>
      </c>
      <c r="Q1400" s="5" t="inlineStr">
        <is>
          <t>4</t>
        </is>
      </c>
      <c r="R1400" s="5" t="inlineStr">
        <is>
          <t>5</t>
        </is>
      </c>
      <c r="S1400" s="5" t="inlineStr">
        <is>
          <t>70</t>
        </is>
      </c>
      <c r="T1400" s="5" t="inlineStr">
        <is>
          <t>2</t>
        </is>
      </c>
      <c r="U1400" s="5">
        <f>IFS(C1400&lt;30,"Under 30",C1400&lt;40,"30-39",C1400&lt;50,"40-49",TRUE,"50+")</f>
        <v/>
      </c>
      <c r="V1400" s="5">
        <f>IFS(O1400&lt;60000,"Low (&lt;60k)",O1400&lt;100000,"Mid (60-100k)",TRUE,"High (100k+)")</f>
        <v/>
      </c>
      <c r="W1400" s="5">
        <f>IF(M1400="No","Attrited","Active")</f>
        <v/>
      </c>
    </row>
    <row r="1401">
      <c r="A1401" s="5" t="inlineStr">
        <is>
          <t>E01400</t>
        </is>
      </c>
      <c r="B1401" s="5" t="inlineStr">
        <is>
          <t>Male</t>
        </is>
      </c>
      <c r="C1401" s="6" t="inlineStr">
        <is>
          <t>25</t>
        </is>
      </c>
      <c r="D1401" s="5" t="inlineStr">
        <is>
          <t>Married</t>
        </is>
      </c>
      <c r="E1401" s="5" t="inlineStr">
        <is>
          <t>PhD</t>
        </is>
      </c>
      <c r="F1401" s="5" t="inlineStr">
        <is>
          <t>Customer Support</t>
        </is>
      </c>
      <c r="G1401" s="5" t="inlineStr">
        <is>
          <t>Support Agent</t>
        </is>
      </c>
      <c r="H1401" s="5" t="inlineStr">
        <is>
          <t>1</t>
        </is>
      </c>
      <c r="I1401" s="5" t="inlineStr">
        <is>
          <t>Bengaluru</t>
        </is>
      </c>
      <c r="J1401" s="5" t="inlineStr">
        <is>
          <t>Part-Time</t>
        </is>
      </c>
      <c r="K1401" s="7" t="n">
        <v>44973</v>
      </c>
      <c r="L1401" s="7" t="n">
        <v>45108</v>
      </c>
      <c r="M1401" s="5" t="inlineStr">
        <is>
          <t>No</t>
        </is>
      </c>
      <c r="N1401" s="5" t="inlineStr">
        <is>
          <t>Resigned</t>
        </is>
      </c>
      <c r="O1401" s="8" t="inlineStr">
        <is>
          <t>55500</t>
        </is>
      </c>
      <c r="P1401" s="5" t="inlineStr">
        <is>
          <t>0</t>
        </is>
      </c>
      <c r="Q1401" s="5" t="inlineStr">
        <is>
          <t>4</t>
        </is>
      </c>
      <c r="R1401" s="5" t="inlineStr">
        <is>
          <t>5</t>
        </is>
      </c>
      <c r="S1401" s="5" t="inlineStr">
        <is>
          <t>4</t>
        </is>
      </c>
      <c r="T1401" s="5" t="inlineStr">
        <is>
          <t>6</t>
        </is>
      </c>
      <c r="U1401" s="5">
        <f>IFS(C1401&lt;30,"Under 30",C1401&lt;40,"30-39",C1401&lt;50,"40-49",TRUE,"50+")</f>
        <v/>
      </c>
      <c r="V1401" s="5">
        <f>IFS(O1401&lt;60000,"Low (&lt;60k)",O1401&lt;100000,"Mid (60-100k)",TRUE,"High (100k+)")</f>
        <v/>
      </c>
      <c r="W1401" s="5">
        <f>IF(M1401="No","Attrited","Active")</f>
        <v/>
      </c>
    </row>
    <row r="1402">
      <c r="A1402" s="5" t="inlineStr">
        <is>
          <t>E01401</t>
        </is>
      </c>
      <c r="B1402" s="5" t="inlineStr">
        <is>
          <t>Male</t>
        </is>
      </c>
      <c r="C1402" s="6" t="inlineStr">
        <is>
          <t>34</t>
        </is>
      </c>
      <c r="D1402" s="5" t="inlineStr">
        <is>
          <t>Single</t>
        </is>
      </c>
      <c r="E1402" s="5" t="inlineStr">
        <is>
          <t>Diploma</t>
        </is>
      </c>
      <c r="F1402" s="5" t="inlineStr">
        <is>
          <t>Marketing</t>
        </is>
      </c>
      <c r="G1402" s="5" t="inlineStr">
        <is>
          <t>Content Writer</t>
        </is>
      </c>
      <c r="H1402" s="5" t="inlineStr">
        <is>
          <t>1</t>
        </is>
      </c>
      <c r="I1402" s="5" t="inlineStr">
        <is>
          <t>Mumbai</t>
        </is>
      </c>
      <c r="J1402" s="5" t="inlineStr">
        <is>
          <t>Full-Time</t>
        </is>
      </c>
      <c r="K1402" s="7" t="n">
        <v>43976</v>
      </c>
      <c r="L1402" s="7" t="inlineStr"/>
      <c r="M1402" s="5" t="inlineStr">
        <is>
          <t>Yes</t>
        </is>
      </c>
      <c r="N1402" s="5" t="inlineStr"/>
      <c r="O1402" s="8" t="inlineStr">
        <is>
          <t>63000</t>
        </is>
      </c>
      <c r="P1402" s="5" t="inlineStr">
        <is>
          <t>0</t>
        </is>
      </c>
      <c r="Q1402" s="5" t="inlineStr">
        <is>
          <t>3</t>
        </is>
      </c>
      <c r="R1402" s="5" t="inlineStr">
        <is>
          <t>5</t>
        </is>
      </c>
      <c r="S1402" s="5" t="inlineStr">
        <is>
          <t>68</t>
        </is>
      </c>
      <c r="T1402" s="5" t="inlineStr">
        <is>
          <t>0</t>
        </is>
      </c>
      <c r="U1402" s="5">
        <f>IFS(C1402&lt;30,"Under 30",C1402&lt;40,"30-39",C1402&lt;50,"40-49",TRUE,"50+")</f>
        <v/>
      </c>
      <c r="V1402" s="5">
        <f>IFS(O1402&lt;60000,"Low (&lt;60k)",O1402&lt;100000,"Mid (60-100k)",TRUE,"High (100k+)")</f>
        <v/>
      </c>
      <c r="W1402" s="5">
        <f>IF(M1402="No","Attrited","Active")</f>
        <v/>
      </c>
    </row>
    <row r="1403">
      <c r="A1403" s="5" t="inlineStr">
        <is>
          <t>E01402</t>
        </is>
      </c>
      <c r="B1403" s="5" t="inlineStr">
        <is>
          <t>Male</t>
        </is>
      </c>
      <c r="C1403" s="6" t="inlineStr">
        <is>
          <t>36</t>
        </is>
      </c>
      <c r="D1403" s="5" t="inlineStr">
        <is>
          <t>Married</t>
        </is>
      </c>
      <c r="E1403" s="5" t="inlineStr">
        <is>
          <t>PhD</t>
        </is>
      </c>
      <c r="F1403" s="5" t="inlineStr">
        <is>
          <t>Sales</t>
        </is>
      </c>
      <c r="G1403" s="5" t="inlineStr">
        <is>
          <t>Account Executive</t>
        </is>
      </c>
      <c r="H1403" s="5" t="inlineStr">
        <is>
          <t>2</t>
        </is>
      </c>
      <c r="I1403" s="5" t="inlineStr">
        <is>
          <t>Chennai</t>
        </is>
      </c>
      <c r="J1403" s="5" t="inlineStr">
        <is>
          <t>Full-Time</t>
        </is>
      </c>
      <c r="K1403" s="7" t="n">
        <v>45830</v>
      </c>
      <c r="L1403" s="7" t="inlineStr"/>
      <c r="M1403" s="5" t="inlineStr">
        <is>
          <t>Yes</t>
        </is>
      </c>
      <c r="N1403" s="5" t="inlineStr"/>
      <c r="O1403" s="8" t="inlineStr">
        <is>
          <t>113500</t>
        </is>
      </c>
      <c r="P1403" s="5" t="inlineStr">
        <is>
          <t>20</t>
        </is>
      </c>
      <c r="Q1403" s="5" t="inlineStr">
        <is>
          <t>5</t>
        </is>
      </c>
      <c r="R1403" s="5" t="inlineStr">
        <is>
          <t>4</t>
        </is>
      </c>
      <c r="S1403" s="5" t="inlineStr">
        <is>
          <t>6</t>
        </is>
      </c>
      <c r="T1403" s="5" t="inlineStr">
        <is>
          <t>12</t>
        </is>
      </c>
      <c r="U1403" s="5">
        <f>IFS(C1403&lt;30,"Under 30",C1403&lt;40,"30-39",C1403&lt;50,"40-49",TRUE,"50+")</f>
        <v/>
      </c>
      <c r="V1403" s="5">
        <f>IFS(O1403&lt;60000,"Low (&lt;60k)",O1403&lt;100000,"Mid (60-100k)",TRUE,"High (100k+)")</f>
        <v/>
      </c>
      <c r="W1403" s="5">
        <f>IF(M1403="No","Attrited","Active")</f>
        <v/>
      </c>
    </row>
    <row r="1404">
      <c r="A1404" s="5" t="inlineStr">
        <is>
          <t>E01403</t>
        </is>
      </c>
      <c r="B1404" s="5" t="inlineStr">
        <is>
          <t>Male</t>
        </is>
      </c>
      <c r="C1404" s="6" t="inlineStr">
        <is>
          <t>38</t>
        </is>
      </c>
      <c r="D1404" s="5" t="inlineStr">
        <is>
          <t>Single</t>
        </is>
      </c>
      <c r="E1404" s="5" t="inlineStr">
        <is>
          <t>PhD</t>
        </is>
      </c>
      <c r="F1404" s="5" t="inlineStr">
        <is>
          <t>Operations</t>
        </is>
      </c>
      <c r="G1404" s="5" t="inlineStr">
        <is>
          <t>Logistics Coordinator</t>
        </is>
      </c>
      <c r="H1404" s="5" t="inlineStr">
        <is>
          <t>3</t>
        </is>
      </c>
      <c r="I1404" s="5" t="inlineStr">
        <is>
          <t>Remote</t>
        </is>
      </c>
      <c r="J1404" s="5" t="inlineStr">
        <is>
          <t>Full-Time</t>
        </is>
      </c>
      <c r="K1404" s="7" t="n">
        <v>44797</v>
      </c>
      <c r="L1404" s="7" t="inlineStr"/>
      <c r="M1404" s="5" t="inlineStr">
        <is>
          <t>Yes</t>
        </is>
      </c>
      <c r="N1404" s="5" t="inlineStr"/>
      <c r="O1404" s="8" t="inlineStr">
        <is>
          <t>81500</t>
        </is>
      </c>
      <c r="P1404" s="5" t="inlineStr">
        <is>
          <t>20</t>
        </is>
      </c>
      <c r="Q1404" s="5" t="inlineStr">
        <is>
          <t>4</t>
        </is>
      </c>
      <c r="R1404" s="5" t="inlineStr">
        <is>
          <t>7</t>
        </is>
      </c>
      <c r="S1404" s="5" t="inlineStr">
        <is>
          <t>40</t>
        </is>
      </c>
      <c r="T1404" s="5" t="inlineStr">
        <is>
          <t>4</t>
        </is>
      </c>
      <c r="U1404" s="5">
        <f>IFS(C1404&lt;30,"Under 30",C1404&lt;40,"30-39",C1404&lt;50,"40-49",TRUE,"50+")</f>
        <v/>
      </c>
      <c r="V1404" s="5">
        <f>IFS(O1404&lt;60000,"Low (&lt;60k)",O1404&lt;100000,"Mid (60-100k)",TRUE,"High (100k+)")</f>
        <v/>
      </c>
      <c r="W1404" s="5">
        <f>IF(M1404="No","Attrited","Active")</f>
        <v/>
      </c>
    </row>
    <row r="1405">
      <c r="A1405" s="5" t="inlineStr">
        <is>
          <t>E01404</t>
        </is>
      </c>
      <c r="B1405" s="5" t="inlineStr">
        <is>
          <t>Male</t>
        </is>
      </c>
      <c r="C1405" s="6" t="inlineStr">
        <is>
          <t>26</t>
        </is>
      </c>
      <c r="D1405" s="5" t="inlineStr">
        <is>
          <t>Single</t>
        </is>
      </c>
      <c r="E1405" s="5" t="inlineStr">
        <is>
          <t>PhD</t>
        </is>
      </c>
      <c r="F1405" s="5" t="inlineStr">
        <is>
          <t>Sales</t>
        </is>
      </c>
      <c r="G1405" s="5" t="inlineStr">
        <is>
          <t>Business Development</t>
        </is>
      </c>
      <c r="H1405" s="5" t="inlineStr">
        <is>
          <t>1</t>
        </is>
      </c>
      <c r="I1405" s="5" t="inlineStr">
        <is>
          <t>Delhi</t>
        </is>
      </c>
      <c r="J1405" s="5" t="inlineStr">
        <is>
          <t>Full-Time</t>
        </is>
      </c>
      <c r="K1405" s="7" t="n">
        <v>45101</v>
      </c>
      <c r="L1405" s="7" t="inlineStr"/>
      <c r="M1405" s="5" t="inlineStr">
        <is>
          <t>Yes</t>
        </is>
      </c>
      <c r="N1405" s="5" t="inlineStr"/>
      <c r="O1405" s="8" t="inlineStr">
        <is>
          <t>93500</t>
        </is>
      </c>
      <c r="P1405" s="5" t="inlineStr">
        <is>
          <t>0</t>
        </is>
      </c>
      <c r="Q1405" s="5" t="inlineStr">
        <is>
          <t>4</t>
        </is>
      </c>
      <c r="R1405" s="5" t="inlineStr">
        <is>
          <t>7</t>
        </is>
      </c>
      <c r="S1405" s="5" t="inlineStr">
        <is>
          <t>30</t>
        </is>
      </c>
      <c r="T1405" s="5" t="inlineStr">
        <is>
          <t>6</t>
        </is>
      </c>
      <c r="U1405" s="5">
        <f>IFS(C1405&lt;30,"Under 30",C1405&lt;40,"30-39",C1405&lt;50,"40-49",TRUE,"50+")</f>
        <v/>
      </c>
      <c r="V1405" s="5">
        <f>IFS(O1405&lt;60000,"Low (&lt;60k)",O1405&lt;100000,"Mid (60-100k)",TRUE,"High (100k+)")</f>
        <v/>
      </c>
      <c r="W1405" s="5">
        <f>IF(M1405="No","Attrited","Active")</f>
        <v/>
      </c>
    </row>
    <row r="1406">
      <c r="A1406" s="5" t="inlineStr">
        <is>
          <t>E01405</t>
        </is>
      </c>
      <c r="B1406" s="5" t="inlineStr">
        <is>
          <t>Male</t>
        </is>
      </c>
      <c r="C1406" s="6" t="inlineStr">
        <is>
          <t>32</t>
        </is>
      </c>
      <c r="D1406" s="5" t="inlineStr">
        <is>
          <t>Married</t>
        </is>
      </c>
      <c r="E1406" s="5" t="inlineStr">
        <is>
          <t>High School</t>
        </is>
      </c>
      <c r="F1406" s="5" t="inlineStr">
        <is>
          <t>Finance</t>
        </is>
      </c>
      <c r="G1406" s="5" t="inlineStr">
        <is>
          <t>Financial Analyst</t>
        </is>
      </c>
      <c r="H1406" s="5" t="inlineStr">
        <is>
          <t>3</t>
        </is>
      </c>
      <c r="I1406" s="5" t="inlineStr">
        <is>
          <t>Delhi</t>
        </is>
      </c>
      <c r="J1406" s="5" t="inlineStr">
        <is>
          <t>Part-Time</t>
        </is>
      </c>
      <c r="K1406" s="7" t="n">
        <v>44375</v>
      </c>
      <c r="L1406" s="7" t="inlineStr"/>
      <c r="M1406" s="5" t="inlineStr">
        <is>
          <t>Yes</t>
        </is>
      </c>
      <c r="N1406" s="5" t="inlineStr"/>
      <c r="O1406" s="8" t="inlineStr">
        <is>
          <t>106500</t>
        </is>
      </c>
      <c r="P1406" s="5" t="inlineStr">
        <is>
          <t>0</t>
        </is>
      </c>
      <c r="Q1406" s="5" t="inlineStr">
        <is>
          <t>5</t>
        </is>
      </c>
      <c r="R1406" s="5" t="inlineStr">
        <is>
          <t>3</t>
        </is>
      </c>
      <c r="S1406" s="5" t="inlineStr">
        <is>
          <t>54</t>
        </is>
      </c>
      <c r="T1406" s="5" t="inlineStr">
        <is>
          <t>5</t>
        </is>
      </c>
      <c r="U1406" s="5">
        <f>IFS(C1406&lt;30,"Under 30",C1406&lt;40,"30-39",C1406&lt;50,"40-49",TRUE,"50+")</f>
        <v/>
      </c>
      <c r="V1406" s="5">
        <f>IFS(O1406&lt;60000,"Low (&lt;60k)",O1406&lt;100000,"Mid (60-100k)",TRUE,"High (100k+)")</f>
        <v/>
      </c>
      <c r="W1406" s="5">
        <f>IF(M1406="No","Attrited","Active")</f>
        <v/>
      </c>
    </row>
    <row r="1407">
      <c r="A1407" s="5" t="inlineStr">
        <is>
          <t>E01406</t>
        </is>
      </c>
      <c r="B1407" s="5" t="inlineStr">
        <is>
          <t>Male</t>
        </is>
      </c>
      <c r="C1407" s="6" t="inlineStr">
        <is>
          <t>34</t>
        </is>
      </c>
      <c r="D1407" s="5" t="inlineStr">
        <is>
          <t>Married</t>
        </is>
      </c>
      <c r="E1407" s="5" t="inlineStr">
        <is>
          <t>Diploma</t>
        </is>
      </c>
      <c r="F1407" s="5" t="inlineStr">
        <is>
          <t>Research &amp; Development</t>
        </is>
      </c>
      <c r="G1407" s="5" t="inlineStr">
        <is>
          <t>Research Scientist</t>
        </is>
      </c>
      <c r="H1407" s="5" t="inlineStr">
        <is>
          <t>2</t>
        </is>
      </c>
      <c r="I1407" s="5" t="inlineStr">
        <is>
          <t>Delhi</t>
        </is>
      </c>
      <c r="J1407" s="5" t="inlineStr">
        <is>
          <t>Full-Time</t>
        </is>
      </c>
      <c r="K1407" s="7" t="n">
        <v>45157</v>
      </c>
      <c r="L1407" s="7" t="inlineStr"/>
      <c r="M1407" s="5" t="inlineStr">
        <is>
          <t>Yes</t>
        </is>
      </c>
      <c r="N1407" s="5" t="inlineStr"/>
      <c r="O1407" s="8" t="inlineStr">
        <is>
          <t>106000</t>
        </is>
      </c>
      <c r="P1407" s="5" t="inlineStr">
        <is>
          <t>0</t>
        </is>
      </c>
      <c r="Q1407" s="5" t="inlineStr">
        <is>
          <t>3</t>
        </is>
      </c>
      <c r="R1407" s="5" t="inlineStr">
        <is>
          <t>6</t>
        </is>
      </c>
      <c r="S1407" s="5" t="inlineStr">
        <is>
          <t>28</t>
        </is>
      </c>
      <c r="T1407" s="5" t="inlineStr">
        <is>
          <t>8</t>
        </is>
      </c>
      <c r="U1407" s="5">
        <f>IFS(C1407&lt;30,"Under 30",C1407&lt;40,"30-39",C1407&lt;50,"40-49",TRUE,"50+")</f>
        <v/>
      </c>
      <c r="V1407" s="5">
        <f>IFS(O1407&lt;60000,"Low (&lt;60k)",O1407&lt;100000,"Mid (60-100k)",TRUE,"High (100k+)")</f>
        <v/>
      </c>
      <c r="W1407" s="5">
        <f>IF(M1407="No","Attrited","Active")</f>
        <v/>
      </c>
    </row>
    <row r="1408">
      <c r="A1408" s="5" t="inlineStr">
        <is>
          <t>E01407</t>
        </is>
      </c>
      <c r="B1408" s="5" t="inlineStr">
        <is>
          <t>Male</t>
        </is>
      </c>
      <c r="C1408" s="6" t="inlineStr">
        <is>
          <t>34</t>
        </is>
      </c>
      <c r="D1408" s="5" t="inlineStr">
        <is>
          <t>Single</t>
        </is>
      </c>
      <c r="E1408" s="5" t="inlineStr">
        <is>
          <t>Diploma</t>
        </is>
      </c>
      <c r="F1408" s="5" t="inlineStr">
        <is>
          <t>Sales</t>
        </is>
      </c>
      <c r="G1408" s="5" t="inlineStr">
        <is>
          <t>Account Executive</t>
        </is>
      </c>
      <c r="H1408" s="5" t="inlineStr">
        <is>
          <t>5</t>
        </is>
      </c>
      <c r="I1408" s="5" t="inlineStr">
        <is>
          <t>Remote</t>
        </is>
      </c>
      <c r="J1408" s="5" t="inlineStr">
        <is>
          <t>Full-Time</t>
        </is>
      </c>
      <c r="K1408" s="7" t="n">
        <v>44821</v>
      </c>
      <c r="L1408" s="7" t="inlineStr"/>
      <c r="M1408" s="5" t="inlineStr">
        <is>
          <t>Yes</t>
        </is>
      </c>
      <c r="N1408" s="5" t="inlineStr"/>
      <c r="O1408" s="8" t="inlineStr">
        <is>
          <t>105000</t>
        </is>
      </c>
      <c r="P1408" s="5" t="inlineStr">
        <is>
          <t>0</t>
        </is>
      </c>
      <c r="Q1408" s="5" t="inlineStr">
        <is>
          <t>4</t>
        </is>
      </c>
      <c r="R1408" s="5" t="inlineStr">
        <is>
          <t>3</t>
        </is>
      </c>
      <c r="S1408" s="5" t="inlineStr">
        <is>
          <t>40</t>
        </is>
      </c>
      <c r="T1408" s="5" t="inlineStr">
        <is>
          <t>6</t>
        </is>
      </c>
      <c r="U1408" s="5">
        <f>IFS(C1408&lt;30,"Under 30",C1408&lt;40,"30-39",C1408&lt;50,"40-49",TRUE,"50+")</f>
        <v/>
      </c>
      <c r="V1408" s="5">
        <f>IFS(O1408&lt;60000,"Low (&lt;60k)",O1408&lt;100000,"Mid (60-100k)",TRUE,"High (100k+)")</f>
        <v/>
      </c>
      <c r="W1408" s="5">
        <f>IF(M1408="No","Attrited","Active")</f>
        <v/>
      </c>
    </row>
    <row r="1409">
      <c r="A1409" s="5" t="inlineStr">
        <is>
          <t>E01408</t>
        </is>
      </c>
      <c r="B1409" s="5" t="inlineStr">
        <is>
          <t>Female</t>
        </is>
      </c>
      <c r="C1409" s="6" t="inlineStr">
        <is>
          <t>28</t>
        </is>
      </c>
      <c r="D1409" s="5" t="inlineStr">
        <is>
          <t>Married</t>
        </is>
      </c>
      <c r="E1409" s="5" t="inlineStr">
        <is>
          <t>Master</t>
        </is>
      </c>
      <c r="F1409" s="5" t="inlineStr">
        <is>
          <t>IT</t>
        </is>
      </c>
      <c r="G1409" s="5" t="inlineStr">
        <is>
          <t>DevOps Engineer</t>
        </is>
      </c>
      <c r="H1409" s="5" t="inlineStr">
        <is>
          <t>1</t>
        </is>
      </c>
      <c r="I1409" s="5" t="inlineStr">
        <is>
          <t>Bengaluru</t>
        </is>
      </c>
      <c r="J1409" s="5" t="inlineStr">
        <is>
          <t>Full-Time</t>
        </is>
      </c>
      <c r="K1409" s="7" t="n">
        <v>44428</v>
      </c>
      <c r="L1409" s="7" t="inlineStr"/>
      <c r="M1409" s="5" t="inlineStr">
        <is>
          <t>Yes</t>
        </is>
      </c>
      <c r="N1409" s="5" t="inlineStr"/>
      <c r="O1409" s="8" t="inlineStr">
        <is>
          <t>147000</t>
        </is>
      </c>
      <c r="P1409" s="5" t="inlineStr">
        <is>
          <t>5</t>
        </is>
      </c>
      <c r="Q1409" s="5" t="inlineStr">
        <is>
          <t>4</t>
        </is>
      </c>
      <c r="R1409" s="5" t="inlineStr">
        <is>
          <t>9</t>
        </is>
      </c>
      <c r="S1409" s="5" t="inlineStr">
        <is>
          <t>53</t>
        </is>
      </c>
      <c r="T1409" s="5" t="inlineStr">
        <is>
          <t>0</t>
        </is>
      </c>
      <c r="U1409" s="5">
        <f>IFS(C1409&lt;30,"Under 30",C1409&lt;40,"30-39",C1409&lt;50,"40-49",TRUE,"50+")</f>
        <v/>
      </c>
      <c r="V1409" s="5">
        <f>IFS(O1409&lt;60000,"Low (&lt;60k)",O1409&lt;100000,"Mid (60-100k)",TRUE,"High (100k+)")</f>
        <v/>
      </c>
      <c r="W1409" s="5">
        <f>IF(M1409="No","Attrited","Active")</f>
        <v/>
      </c>
    </row>
    <row r="1410">
      <c r="A1410" s="5" t="inlineStr">
        <is>
          <t>E01409</t>
        </is>
      </c>
      <c r="B1410" s="5" t="inlineStr">
        <is>
          <t>Female</t>
        </is>
      </c>
      <c r="C1410" s="6" t="inlineStr">
        <is>
          <t>34</t>
        </is>
      </c>
      <c r="D1410" s="5" t="inlineStr">
        <is>
          <t>Married</t>
        </is>
      </c>
      <c r="E1410" s="5" t="inlineStr">
        <is>
          <t>Bachelor</t>
        </is>
      </c>
      <c r="F1410" s="5" t="inlineStr">
        <is>
          <t>Finance</t>
        </is>
      </c>
      <c r="G1410" s="5" t="inlineStr">
        <is>
          <t>Accountant</t>
        </is>
      </c>
      <c r="H1410" s="5" t="inlineStr">
        <is>
          <t>2</t>
        </is>
      </c>
      <c r="I1410" s="5" t="inlineStr">
        <is>
          <t>Hyderabad</t>
        </is>
      </c>
      <c r="J1410" s="5" t="inlineStr">
        <is>
          <t>Full-Time</t>
        </is>
      </c>
      <c r="K1410" s="7" t="n">
        <v>45557</v>
      </c>
      <c r="L1410" s="7" t="inlineStr"/>
      <c r="M1410" s="5" t="inlineStr">
        <is>
          <t>Yes</t>
        </is>
      </c>
      <c r="N1410" s="5" t="inlineStr"/>
      <c r="O1410" s="8" t="inlineStr">
        <is>
          <t>122500</t>
        </is>
      </c>
      <c r="P1410" s="5" t="inlineStr">
        <is>
          <t>10</t>
        </is>
      </c>
      <c r="Q1410" s="5" t="inlineStr">
        <is>
          <t>2</t>
        </is>
      </c>
      <c r="R1410" s="5" t="inlineStr">
        <is>
          <t>7</t>
        </is>
      </c>
      <c r="S1410" s="5" t="inlineStr">
        <is>
          <t>15</t>
        </is>
      </c>
      <c r="T1410" s="5" t="inlineStr">
        <is>
          <t>5</t>
        </is>
      </c>
      <c r="U1410" s="5">
        <f>IFS(C1410&lt;30,"Under 30",C1410&lt;40,"30-39",C1410&lt;50,"40-49",TRUE,"50+")</f>
        <v/>
      </c>
      <c r="V1410" s="5">
        <f>IFS(O1410&lt;60000,"Low (&lt;60k)",O1410&lt;100000,"Mid (60-100k)",TRUE,"High (100k+)")</f>
        <v/>
      </c>
      <c r="W1410" s="5">
        <f>IF(M1410="No","Attrited","Active")</f>
        <v/>
      </c>
    </row>
    <row r="1411">
      <c r="A1411" s="5" t="inlineStr">
        <is>
          <t>E01410</t>
        </is>
      </c>
      <c r="B1411" s="5" t="inlineStr">
        <is>
          <t>Female</t>
        </is>
      </c>
      <c r="C1411" s="6" t="inlineStr">
        <is>
          <t>25</t>
        </is>
      </c>
      <c r="D1411" s="5" t="inlineStr">
        <is>
          <t>Married</t>
        </is>
      </c>
      <c r="E1411" s="5" t="inlineStr">
        <is>
          <t>Diploma</t>
        </is>
      </c>
      <c r="F1411" s="5" t="inlineStr">
        <is>
          <t>Research &amp; Development</t>
        </is>
      </c>
      <c r="G1411" s="5" t="inlineStr">
        <is>
          <t>Data Scientist</t>
        </is>
      </c>
      <c r="H1411" s="5" t="inlineStr">
        <is>
          <t>2</t>
        </is>
      </c>
      <c r="I1411" s="5" t="inlineStr">
        <is>
          <t>Remote</t>
        </is>
      </c>
      <c r="J1411" s="5" t="inlineStr">
        <is>
          <t>Full-Time</t>
        </is>
      </c>
      <c r="K1411" s="7" t="n">
        <v>45437</v>
      </c>
      <c r="L1411" s="7" t="inlineStr"/>
      <c r="M1411" s="5" t="inlineStr">
        <is>
          <t>Yes</t>
        </is>
      </c>
      <c r="N1411" s="5" t="inlineStr"/>
      <c r="O1411" s="8" t="inlineStr">
        <is>
          <t>175000</t>
        </is>
      </c>
      <c r="P1411" s="5" t="inlineStr">
        <is>
          <t>5</t>
        </is>
      </c>
      <c r="Q1411" s="5" t="inlineStr">
        <is>
          <t>2</t>
        </is>
      </c>
      <c r="R1411" s="5" t="inlineStr">
        <is>
          <t>7</t>
        </is>
      </c>
      <c r="S1411" s="5" t="inlineStr">
        <is>
          <t>19</t>
        </is>
      </c>
      <c r="T1411" s="5" t="inlineStr">
        <is>
          <t>2</t>
        </is>
      </c>
      <c r="U1411" s="5">
        <f>IFS(C1411&lt;30,"Under 30",C1411&lt;40,"30-39",C1411&lt;50,"40-49",TRUE,"50+")</f>
        <v/>
      </c>
      <c r="V1411" s="5">
        <f>IFS(O1411&lt;60000,"Low (&lt;60k)",O1411&lt;100000,"Mid (60-100k)",TRUE,"High (100k+)")</f>
        <v/>
      </c>
      <c r="W1411" s="5">
        <f>IF(M1411="No","Attrited","Active")</f>
        <v/>
      </c>
    </row>
    <row r="1412">
      <c r="A1412" s="5" t="inlineStr">
        <is>
          <t>E01411</t>
        </is>
      </c>
      <c r="B1412" s="5" t="inlineStr">
        <is>
          <t>Female</t>
        </is>
      </c>
      <c r="C1412" s="6" t="inlineStr">
        <is>
          <t>25</t>
        </is>
      </c>
      <c r="D1412" s="5" t="inlineStr">
        <is>
          <t>Married</t>
        </is>
      </c>
      <c r="E1412" s="5" t="inlineStr">
        <is>
          <t>Bachelor</t>
        </is>
      </c>
      <c r="F1412" s="5" t="inlineStr">
        <is>
          <t>Finance</t>
        </is>
      </c>
      <c r="G1412" s="5" t="inlineStr">
        <is>
          <t>Credit Analyst</t>
        </is>
      </c>
      <c r="H1412" s="5" t="inlineStr">
        <is>
          <t>1</t>
        </is>
      </c>
      <c r="I1412" s="5" t="inlineStr">
        <is>
          <t>Hyderabad</t>
        </is>
      </c>
      <c r="J1412" s="5" t="inlineStr">
        <is>
          <t>Full-Time</t>
        </is>
      </c>
      <c r="K1412" s="7" t="n">
        <v>45277</v>
      </c>
      <c r="L1412" s="7" t="inlineStr"/>
      <c r="M1412" s="5" t="inlineStr">
        <is>
          <t>Yes</t>
        </is>
      </c>
      <c r="N1412" s="5" t="inlineStr"/>
      <c r="O1412" s="8" t="inlineStr">
        <is>
          <t>108000</t>
        </is>
      </c>
      <c r="P1412" s="5" t="inlineStr">
        <is>
          <t>0</t>
        </is>
      </c>
      <c r="Q1412" s="5" t="inlineStr">
        <is>
          <t>4</t>
        </is>
      </c>
      <c r="R1412" s="5" t="inlineStr">
        <is>
          <t>6</t>
        </is>
      </c>
      <c r="S1412" s="5" t="inlineStr">
        <is>
          <t>24</t>
        </is>
      </c>
      <c r="T1412" s="5" t="inlineStr">
        <is>
          <t>0</t>
        </is>
      </c>
      <c r="U1412" s="5">
        <f>IFS(C1412&lt;30,"Under 30",C1412&lt;40,"30-39",C1412&lt;50,"40-49",TRUE,"50+")</f>
        <v/>
      </c>
      <c r="V1412" s="5">
        <f>IFS(O1412&lt;60000,"Low (&lt;60k)",O1412&lt;100000,"Mid (60-100k)",TRUE,"High (100k+)")</f>
        <v/>
      </c>
      <c r="W1412" s="5">
        <f>IF(M1412="No","Attrited","Active")</f>
        <v/>
      </c>
    </row>
    <row r="1413">
      <c r="A1413" s="5" t="inlineStr">
        <is>
          <t>E01412</t>
        </is>
      </c>
      <c r="B1413" s="5" t="inlineStr">
        <is>
          <t>Male</t>
        </is>
      </c>
      <c r="C1413" s="6" t="inlineStr">
        <is>
          <t>29</t>
        </is>
      </c>
      <c r="D1413" s="5" t="inlineStr">
        <is>
          <t>Single</t>
        </is>
      </c>
      <c r="E1413" s="5" t="inlineStr">
        <is>
          <t>Bachelor</t>
        </is>
      </c>
      <c r="F1413" s="5" t="inlineStr">
        <is>
          <t>Customer Support</t>
        </is>
      </c>
      <c r="G1413" s="5" t="inlineStr">
        <is>
          <t>Support Lead</t>
        </is>
      </c>
      <c r="H1413" s="5" t="inlineStr">
        <is>
          <t>4</t>
        </is>
      </c>
      <c r="I1413" s="5" t="inlineStr">
        <is>
          <t>Bengaluru</t>
        </is>
      </c>
      <c r="J1413" s="5" t="inlineStr">
        <is>
          <t>Full-Time</t>
        </is>
      </c>
      <c r="K1413" s="7" t="n">
        <v>44724</v>
      </c>
      <c r="L1413" s="7" t="n">
        <v>44801</v>
      </c>
      <c r="M1413" s="5" t="inlineStr">
        <is>
          <t>No</t>
        </is>
      </c>
      <c r="N1413" s="5" t="inlineStr">
        <is>
          <t>Retirement</t>
        </is>
      </c>
      <c r="O1413" s="8" t="inlineStr">
        <is>
          <t>85000</t>
        </is>
      </c>
      <c r="P1413" s="5" t="inlineStr">
        <is>
          <t>10</t>
        </is>
      </c>
      <c r="Q1413" s="5" t="inlineStr">
        <is>
          <t>1</t>
        </is>
      </c>
      <c r="R1413" s="5" t="inlineStr">
        <is>
          <t>7</t>
        </is>
      </c>
      <c r="S1413" s="5" t="inlineStr">
        <is>
          <t>2</t>
        </is>
      </c>
      <c r="T1413" s="5" t="inlineStr">
        <is>
          <t>6</t>
        </is>
      </c>
      <c r="U1413" s="5">
        <f>IFS(C1413&lt;30,"Under 30",C1413&lt;40,"30-39",C1413&lt;50,"40-49",TRUE,"50+")</f>
        <v/>
      </c>
      <c r="V1413" s="5">
        <f>IFS(O1413&lt;60000,"Low (&lt;60k)",O1413&lt;100000,"Mid (60-100k)",TRUE,"High (100k+)")</f>
        <v/>
      </c>
      <c r="W1413" s="5">
        <f>IF(M1413="No","Attrited","Active")</f>
        <v/>
      </c>
    </row>
    <row r="1414">
      <c r="A1414" s="5" t="inlineStr">
        <is>
          <t>E01413</t>
        </is>
      </c>
      <c r="B1414" s="5" t="inlineStr">
        <is>
          <t>Female</t>
        </is>
      </c>
      <c r="C1414" s="6" t="inlineStr">
        <is>
          <t>32</t>
        </is>
      </c>
      <c r="D1414" s="5" t="inlineStr">
        <is>
          <t>Married</t>
        </is>
      </c>
      <c r="E1414" s="5" t="inlineStr">
        <is>
          <t>Bachelor</t>
        </is>
      </c>
      <c r="F1414" s="5" t="inlineStr">
        <is>
          <t>Marketing</t>
        </is>
      </c>
      <c r="G1414" s="5" t="inlineStr">
        <is>
          <t>Content Writer</t>
        </is>
      </c>
      <c r="H1414" s="5" t="inlineStr">
        <is>
          <t>2</t>
        </is>
      </c>
      <c r="I1414" s="5" t="inlineStr">
        <is>
          <t>Bengaluru</t>
        </is>
      </c>
      <c r="J1414" s="5" t="inlineStr">
        <is>
          <t>Full-Time</t>
        </is>
      </c>
      <c r="K1414" s="7" t="n">
        <v>44719</v>
      </c>
      <c r="L1414" s="7" t="inlineStr"/>
      <c r="M1414" s="5" t="inlineStr">
        <is>
          <t>Yes</t>
        </is>
      </c>
      <c r="N1414" s="5" t="inlineStr"/>
      <c r="O1414" s="8" t="inlineStr">
        <is>
          <t>59000</t>
        </is>
      </c>
      <c r="P1414" s="5" t="inlineStr">
        <is>
          <t>10</t>
        </is>
      </c>
      <c r="Q1414" s="5" t="inlineStr">
        <is>
          <t>5</t>
        </is>
      </c>
      <c r="R1414" s="5" t="inlineStr">
        <is>
          <t>5</t>
        </is>
      </c>
      <c r="S1414" s="5" t="inlineStr">
        <is>
          <t>43</t>
        </is>
      </c>
      <c r="T1414" s="5" t="inlineStr">
        <is>
          <t>11</t>
        </is>
      </c>
      <c r="U1414" s="5">
        <f>IFS(C1414&lt;30,"Under 30",C1414&lt;40,"30-39",C1414&lt;50,"40-49",TRUE,"50+")</f>
        <v/>
      </c>
      <c r="V1414" s="5">
        <f>IFS(O1414&lt;60000,"Low (&lt;60k)",O1414&lt;100000,"Mid (60-100k)",TRUE,"High (100k+)")</f>
        <v/>
      </c>
      <c r="W1414" s="5">
        <f>IF(M1414="No","Attrited","Active")</f>
        <v/>
      </c>
    </row>
    <row r="1415">
      <c r="A1415" s="5" t="inlineStr">
        <is>
          <t>E01414</t>
        </is>
      </c>
      <c r="B1415" s="5" t="inlineStr">
        <is>
          <t>Female</t>
        </is>
      </c>
      <c r="C1415" s="6" t="inlineStr">
        <is>
          <t>39</t>
        </is>
      </c>
      <c r="D1415" s="5" t="inlineStr">
        <is>
          <t>Married</t>
        </is>
      </c>
      <c r="E1415" s="5" t="inlineStr">
        <is>
          <t>Master</t>
        </is>
      </c>
      <c r="F1415" s="5" t="inlineStr">
        <is>
          <t>IT</t>
        </is>
      </c>
      <c r="G1415" s="5" t="inlineStr">
        <is>
          <t>Data Analyst</t>
        </is>
      </c>
      <c r="H1415" s="5" t="inlineStr">
        <is>
          <t>4</t>
        </is>
      </c>
      <c r="I1415" s="5" t="inlineStr">
        <is>
          <t>Remote</t>
        </is>
      </c>
      <c r="J1415" s="5" t="inlineStr">
        <is>
          <t>Full-Time</t>
        </is>
      </c>
      <c r="K1415" s="7" t="n">
        <v>45185</v>
      </c>
      <c r="L1415" s="7" t="n">
        <v>45279</v>
      </c>
      <c r="M1415" s="5" t="inlineStr">
        <is>
          <t>No</t>
        </is>
      </c>
      <c r="N1415" s="5" t="inlineStr">
        <is>
          <t>Layoff</t>
        </is>
      </c>
      <c r="O1415" s="8" t="inlineStr">
        <is>
          <t>195500</t>
        </is>
      </c>
      <c r="P1415" s="5" t="inlineStr">
        <is>
          <t>10</t>
        </is>
      </c>
      <c r="Q1415" s="5" t="inlineStr">
        <is>
          <t>5</t>
        </is>
      </c>
      <c r="R1415" s="5" t="inlineStr">
        <is>
          <t>5</t>
        </is>
      </c>
      <c r="S1415" s="5" t="inlineStr">
        <is>
          <t>3</t>
        </is>
      </c>
      <c r="T1415" s="5" t="inlineStr">
        <is>
          <t>6</t>
        </is>
      </c>
      <c r="U1415" s="5">
        <f>IFS(C1415&lt;30,"Under 30",C1415&lt;40,"30-39",C1415&lt;50,"40-49",TRUE,"50+")</f>
        <v/>
      </c>
      <c r="V1415" s="5">
        <f>IFS(O1415&lt;60000,"Low (&lt;60k)",O1415&lt;100000,"Mid (60-100k)",TRUE,"High (100k+)")</f>
        <v/>
      </c>
      <c r="W1415" s="5">
        <f>IF(M1415="No","Attrited","Active")</f>
        <v/>
      </c>
    </row>
    <row r="1416">
      <c r="A1416" s="5" t="inlineStr">
        <is>
          <t>E01415</t>
        </is>
      </c>
      <c r="B1416" s="5" t="inlineStr">
        <is>
          <t>Male</t>
        </is>
      </c>
      <c r="C1416" s="6" t="inlineStr">
        <is>
          <t>33</t>
        </is>
      </c>
      <c r="D1416" s="5" t="inlineStr">
        <is>
          <t>Single</t>
        </is>
      </c>
      <c r="E1416" s="5" t="inlineStr">
        <is>
          <t>Diploma</t>
        </is>
      </c>
      <c r="F1416" s="5" t="inlineStr">
        <is>
          <t>Research &amp; Development</t>
        </is>
      </c>
      <c r="G1416" s="5" t="inlineStr">
        <is>
          <t>Product Engineer</t>
        </is>
      </c>
      <c r="H1416" s="5" t="inlineStr">
        <is>
          <t>5</t>
        </is>
      </c>
      <c r="I1416" s="5" t="inlineStr">
        <is>
          <t>Bengaluru</t>
        </is>
      </c>
      <c r="J1416" s="5" t="inlineStr">
        <is>
          <t>Contract</t>
        </is>
      </c>
      <c r="K1416" s="7" t="n">
        <v>45842</v>
      </c>
      <c r="L1416" s="7" t="n">
        <v>45944</v>
      </c>
      <c r="M1416" s="5" t="inlineStr">
        <is>
          <t>No</t>
        </is>
      </c>
      <c r="N1416" s="5" t="inlineStr">
        <is>
          <t>Resigned</t>
        </is>
      </c>
      <c r="O1416" s="8" t="inlineStr">
        <is>
          <t>189000</t>
        </is>
      </c>
      <c r="P1416" s="5" t="inlineStr">
        <is>
          <t>0</t>
        </is>
      </c>
      <c r="Q1416" s="5" t="inlineStr">
        <is>
          <t>2</t>
        </is>
      </c>
      <c r="R1416" s="5" t="inlineStr">
        <is>
          <t>8</t>
        </is>
      </c>
      <c r="S1416" s="5" t="inlineStr">
        <is>
          <t>3</t>
        </is>
      </c>
      <c r="T1416" s="5" t="inlineStr">
        <is>
          <t>4</t>
        </is>
      </c>
      <c r="U1416" s="5">
        <f>IFS(C1416&lt;30,"Under 30",C1416&lt;40,"30-39",C1416&lt;50,"40-49",TRUE,"50+")</f>
        <v/>
      </c>
      <c r="V1416" s="5">
        <f>IFS(O1416&lt;60000,"Low (&lt;60k)",O1416&lt;100000,"Mid (60-100k)",TRUE,"High (100k+)")</f>
        <v/>
      </c>
      <c r="W1416" s="5">
        <f>IF(M1416="No","Attrited","Active")</f>
        <v/>
      </c>
    </row>
    <row r="1417">
      <c r="A1417" s="5" t="inlineStr">
        <is>
          <t>E01416</t>
        </is>
      </c>
      <c r="B1417" s="5" t="inlineStr">
        <is>
          <t>Male</t>
        </is>
      </c>
      <c r="C1417" s="6" t="inlineStr">
        <is>
          <t>38</t>
        </is>
      </c>
      <c r="D1417" s="5" t="inlineStr">
        <is>
          <t>Married</t>
        </is>
      </c>
      <c r="E1417" s="5" t="inlineStr">
        <is>
          <t>Bachelor</t>
        </is>
      </c>
      <c r="F1417" s="5" t="inlineStr">
        <is>
          <t>Operations</t>
        </is>
      </c>
      <c r="G1417" s="5" t="inlineStr">
        <is>
          <t>Logistics Coordinator</t>
        </is>
      </c>
      <c r="H1417" s="5" t="inlineStr">
        <is>
          <t>4</t>
        </is>
      </c>
      <c r="I1417" s="5" t="inlineStr">
        <is>
          <t>Remote</t>
        </is>
      </c>
      <c r="J1417" s="5" t="inlineStr">
        <is>
          <t>Full-Time</t>
        </is>
      </c>
      <c r="K1417" s="7" t="n">
        <v>44207</v>
      </c>
      <c r="L1417" s="7" t="inlineStr"/>
      <c r="M1417" s="5" t="inlineStr">
        <is>
          <t>Yes</t>
        </is>
      </c>
      <c r="N1417" s="5" t="inlineStr"/>
      <c r="O1417" s="8" t="inlineStr">
        <is>
          <t>124000</t>
        </is>
      </c>
      <c r="P1417" s="5" t="inlineStr">
        <is>
          <t>0</t>
        </is>
      </c>
      <c r="Q1417" s="5" t="inlineStr">
        <is>
          <t>4</t>
        </is>
      </c>
      <c r="R1417" s="5" t="inlineStr">
        <is>
          <t>6</t>
        </is>
      </c>
      <c r="S1417" s="5" t="inlineStr">
        <is>
          <t>60</t>
        </is>
      </c>
      <c r="T1417" s="5" t="inlineStr">
        <is>
          <t>11</t>
        </is>
      </c>
      <c r="U1417" s="5">
        <f>IFS(C1417&lt;30,"Under 30",C1417&lt;40,"30-39",C1417&lt;50,"40-49",TRUE,"50+")</f>
        <v/>
      </c>
      <c r="V1417" s="5">
        <f>IFS(O1417&lt;60000,"Low (&lt;60k)",O1417&lt;100000,"Mid (60-100k)",TRUE,"High (100k+)")</f>
        <v/>
      </c>
      <c r="W1417" s="5">
        <f>IF(M1417="No","Attrited","Active")</f>
        <v/>
      </c>
    </row>
    <row r="1418">
      <c r="A1418" s="5" t="inlineStr">
        <is>
          <t>E01417</t>
        </is>
      </c>
      <c r="B1418" s="5" t="inlineStr">
        <is>
          <t>Female</t>
        </is>
      </c>
      <c r="C1418" s="6" t="inlineStr">
        <is>
          <t>28</t>
        </is>
      </c>
      <c r="D1418" s="5" t="inlineStr">
        <is>
          <t>Married</t>
        </is>
      </c>
      <c r="E1418" s="5" t="inlineStr">
        <is>
          <t>Bachelor</t>
        </is>
      </c>
      <c r="F1418" s="5" t="inlineStr">
        <is>
          <t>Sales</t>
        </is>
      </c>
      <c r="G1418" s="5" t="inlineStr">
        <is>
          <t>Account Executive</t>
        </is>
      </c>
      <c r="H1418" s="5" t="inlineStr">
        <is>
          <t>1</t>
        </is>
      </c>
      <c r="I1418" s="5" t="inlineStr">
        <is>
          <t>Bengaluru</t>
        </is>
      </c>
      <c r="J1418" s="5" t="inlineStr">
        <is>
          <t>Full-Time</t>
        </is>
      </c>
      <c r="K1418" s="7" t="n">
        <v>45903</v>
      </c>
      <c r="L1418" s="7" t="n">
        <v>45944</v>
      </c>
      <c r="M1418" s="5" t="inlineStr">
        <is>
          <t>No</t>
        </is>
      </c>
      <c r="N1418" s="5" t="inlineStr">
        <is>
          <t>Resigned</t>
        </is>
      </c>
      <c r="O1418" s="8" t="inlineStr">
        <is>
          <t>80500</t>
        </is>
      </c>
      <c r="P1418" s="5" t="inlineStr">
        <is>
          <t>10</t>
        </is>
      </c>
      <c r="Q1418" s="5" t="inlineStr">
        <is>
          <t>3</t>
        </is>
      </c>
      <c r="R1418" s="5" t="inlineStr">
        <is>
          <t>7</t>
        </is>
      </c>
      <c r="S1418" s="5" t="inlineStr">
        <is>
          <t>1</t>
        </is>
      </c>
      <c r="T1418" s="5" t="inlineStr">
        <is>
          <t>12</t>
        </is>
      </c>
      <c r="U1418" s="5">
        <f>IFS(C1418&lt;30,"Under 30",C1418&lt;40,"30-39",C1418&lt;50,"40-49",TRUE,"50+")</f>
        <v/>
      </c>
      <c r="V1418" s="5">
        <f>IFS(O1418&lt;60000,"Low (&lt;60k)",O1418&lt;100000,"Mid (60-100k)",TRUE,"High (100k+)")</f>
        <v/>
      </c>
      <c r="W1418" s="5">
        <f>IF(M1418="No","Attrited","Active")</f>
        <v/>
      </c>
    </row>
    <row r="1419">
      <c r="A1419" s="5" t="inlineStr">
        <is>
          <t>E01418</t>
        </is>
      </c>
      <c r="B1419" s="5" t="inlineStr">
        <is>
          <t>Female</t>
        </is>
      </c>
      <c r="C1419" s="6" t="inlineStr">
        <is>
          <t>31</t>
        </is>
      </c>
      <c r="D1419" s="5" t="inlineStr">
        <is>
          <t>Married</t>
        </is>
      </c>
      <c r="E1419" s="5" t="inlineStr">
        <is>
          <t>High School</t>
        </is>
      </c>
      <c r="F1419" s="5" t="inlineStr">
        <is>
          <t>IT</t>
        </is>
      </c>
      <c r="G1419" s="5" t="inlineStr">
        <is>
          <t>Data Analyst</t>
        </is>
      </c>
      <c r="H1419" s="5" t="inlineStr">
        <is>
          <t>3</t>
        </is>
      </c>
      <c r="I1419" s="5" t="inlineStr">
        <is>
          <t>Remote</t>
        </is>
      </c>
      <c r="J1419" s="5" t="inlineStr">
        <is>
          <t>Full-Time</t>
        </is>
      </c>
      <c r="K1419" s="7" t="n">
        <v>44005</v>
      </c>
      <c r="L1419" s="7" t="inlineStr"/>
      <c r="M1419" s="5" t="inlineStr">
        <is>
          <t>Yes</t>
        </is>
      </c>
      <c r="N1419" s="5" t="inlineStr"/>
      <c r="O1419" s="8" t="inlineStr">
        <is>
          <t>173500</t>
        </is>
      </c>
      <c r="P1419" s="5" t="inlineStr">
        <is>
          <t>0</t>
        </is>
      </c>
      <c r="Q1419" s="5" t="inlineStr">
        <is>
          <t>5</t>
        </is>
      </c>
      <c r="R1419" s="5" t="inlineStr">
        <is>
          <t>7</t>
        </is>
      </c>
      <c r="S1419" s="5" t="inlineStr">
        <is>
          <t>67</t>
        </is>
      </c>
      <c r="T1419" s="5" t="inlineStr">
        <is>
          <t>8</t>
        </is>
      </c>
      <c r="U1419" s="5">
        <f>IFS(C1419&lt;30,"Under 30",C1419&lt;40,"30-39",C1419&lt;50,"40-49",TRUE,"50+")</f>
        <v/>
      </c>
      <c r="V1419" s="5">
        <f>IFS(O1419&lt;60000,"Low (&lt;60k)",O1419&lt;100000,"Mid (60-100k)",TRUE,"High (100k+)")</f>
        <v/>
      </c>
      <c r="W1419" s="5">
        <f>IF(M1419="No","Attrited","Active")</f>
        <v/>
      </c>
    </row>
    <row r="1420">
      <c r="A1420" s="5" t="inlineStr">
        <is>
          <t>E01419</t>
        </is>
      </c>
      <c r="B1420" s="5" t="inlineStr">
        <is>
          <t>Female</t>
        </is>
      </c>
      <c r="C1420" s="6" t="inlineStr">
        <is>
          <t>37</t>
        </is>
      </c>
      <c r="D1420" s="5" t="inlineStr">
        <is>
          <t>Married</t>
        </is>
      </c>
      <c r="E1420" s="5" t="inlineStr">
        <is>
          <t>High School</t>
        </is>
      </c>
      <c r="F1420" s="5" t="inlineStr">
        <is>
          <t>IT</t>
        </is>
      </c>
      <c r="G1420" s="5" t="inlineStr">
        <is>
          <t>Data Analyst</t>
        </is>
      </c>
      <c r="H1420" s="5" t="inlineStr">
        <is>
          <t>7</t>
        </is>
      </c>
      <c r="I1420" s="5" t="inlineStr">
        <is>
          <t>Chennai</t>
        </is>
      </c>
      <c r="J1420" s="5" t="inlineStr">
        <is>
          <t>Full-Time</t>
        </is>
      </c>
      <c r="K1420" s="7" t="n">
        <v>45090</v>
      </c>
      <c r="L1420" s="7" t="inlineStr"/>
      <c r="M1420" s="5" t="inlineStr">
        <is>
          <t>Yes</t>
        </is>
      </c>
      <c r="N1420" s="5" t="inlineStr"/>
      <c r="O1420" s="8" t="inlineStr">
        <is>
          <t>260000</t>
        </is>
      </c>
      <c r="P1420" s="5" t="inlineStr">
        <is>
          <t>0</t>
        </is>
      </c>
      <c r="Q1420" s="5" t="inlineStr">
        <is>
          <t>4</t>
        </is>
      </c>
      <c r="R1420" s="5" t="inlineStr">
        <is>
          <t>6</t>
        </is>
      </c>
      <c r="S1420" s="5" t="inlineStr">
        <is>
          <t>31</t>
        </is>
      </c>
      <c r="T1420" s="5" t="inlineStr">
        <is>
          <t>8</t>
        </is>
      </c>
      <c r="U1420" s="5">
        <f>IFS(C1420&lt;30,"Under 30",C1420&lt;40,"30-39",C1420&lt;50,"40-49",TRUE,"50+")</f>
        <v/>
      </c>
      <c r="V1420" s="5">
        <f>IFS(O1420&lt;60000,"Low (&lt;60k)",O1420&lt;100000,"Mid (60-100k)",TRUE,"High (100k+)")</f>
        <v/>
      </c>
      <c r="W1420" s="5">
        <f>IF(M1420="No","Attrited","Active")</f>
        <v/>
      </c>
    </row>
    <row r="1421">
      <c r="A1421" s="5" t="inlineStr">
        <is>
          <t>E01420</t>
        </is>
      </c>
      <c r="B1421" s="5" t="inlineStr">
        <is>
          <t>Female</t>
        </is>
      </c>
      <c r="C1421" s="6" t="inlineStr">
        <is>
          <t>34</t>
        </is>
      </c>
      <c r="D1421" s="5" t="inlineStr">
        <is>
          <t>Married</t>
        </is>
      </c>
      <c r="E1421" s="5" t="inlineStr">
        <is>
          <t>Master</t>
        </is>
      </c>
      <c r="F1421" s="5" t="inlineStr">
        <is>
          <t>Operations</t>
        </is>
      </c>
      <c r="G1421" s="5" t="inlineStr">
        <is>
          <t>Quality Analyst</t>
        </is>
      </c>
      <c r="H1421" s="5" t="inlineStr">
        <is>
          <t>1</t>
        </is>
      </c>
      <c r="I1421" s="5" t="inlineStr">
        <is>
          <t>Bengaluru</t>
        </is>
      </c>
      <c r="J1421" s="5" t="inlineStr">
        <is>
          <t>Full-Time</t>
        </is>
      </c>
      <c r="K1421" s="7" t="n">
        <v>44779</v>
      </c>
      <c r="L1421" s="7" t="inlineStr"/>
      <c r="M1421" s="5" t="inlineStr">
        <is>
          <t>Yes</t>
        </is>
      </c>
      <c r="N1421" s="5" t="inlineStr"/>
      <c r="O1421" s="8" t="inlineStr">
        <is>
          <t>75000</t>
        </is>
      </c>
      <c r="P1421" s="5" t="inlineStr">
        <is>
          <t>0</t>
        </is>
      </c>
      <c r="Q1421" s="5" t="inlineStr">
        <is>
          <t>3</t>
        </is>
      </c>
      <c r="R1421" s="5" t="inlineStr">
        <is>
          <t>5</t>
        </is>
      </c>
      <c r="S1421" s="5" t="inlineStr">
        <is>
          <t>41</t>
        </is>
      </c>
      <c r="T1421" s="5" t="inlineStr">
        <is>
          <t>2</t>
        </is>
      </c>
      <c r="U1421" s="5">
        <f>IFS(C1421&lt;30,"Under 30",C1421&lt;40,"30-39",C1421&lt;50,"40-49",TRUE,"50+")</f>
        <v/>
      </c>
      <c r="V1421" s="5">
        <f>IFS(O1421&lt;60000,"Low (&lt;60k)",O1421&lt;100000,"Mid (60-100k)",TRUE,"High (100k+)")</f>
        <v/>
      </c>
      <c r="W1421" s="5">
        <f>IF(M1421="No","Attrited","Active")</f>
        <v/>
      </c>
    </row>
    <row r="1422">
      <c r="A1422" s="5" t="inlineStr">
        <is>
          <t>E01421</t>
        </is>
      </c>
      <c r="B1422" s="5" t="inlineStr">
        <is>
          <t>Female</t>
        </is>
      </c>
      <c r="C1422" s="6" t="inlineStr">
        <is>
          <t>34</t>
        </is>
      </c>
      <c r="D1422" s="5" t="inlineStr">
        <is>
          <t>Married</t>
        </is>
      </c>
      <c r="E1422" s="5" t="inlineStr">
        <is>
          <t>PhD</t>
        </is>
      </c>
      <c r="F1422" s="5" t="inlineStr">
        <is>
          <t>Human Resources</t>
        </is>
      </c>
      <c r="G1422" s="5" t="inlineStr">
        <is>
          <t>Recruiter</t>
        </is>
      </c>
      <c r="H1422" s="5" t="inlineStr">
        <is>
          <t>4</t>
        </is>
      </c>
      <c r="I1422" s="5" t="inlineStr">
        <is>
          <t>Chennai</t>
        </is>
      </c>
      <c r="J1422" s="5" t="inlineStr">
        <is>
          <t>Full-Time</t>
        </is>
      </c>
      <c r="K1422" s="7" t="n">
        <v>44555</v>
      </c>
      <c r="L1422" s="7" t="inlineStr"/>
      <c r="M1422" s="5" t="inlineStr">
        <is>
          <t>Yes</t>
        </is>
      </c>
      <c r="N1422" s="5" t="inlineStr"/>
      <c r="O1422" s="8" t="inlineStr">
        <is>
          <t>94500</t>
        </is>
      </c>
      <c r="P1422" s="5" t="inlineStr">
        <is>
          <t>0</t>
        </is>
      </c>
      <c r="Q1422" s="5" t="inlineStr">
        <is>
          <t>5</t>
        </is>
      </c>
      <c r="R1422" s="5" t="inlineStr">
        <is>
          <t>7</t>
        </is>
      </c>
      <c r="S1422" s="5" t="inlineStr">
        <is>
          <t>48</t>
        </is>
      </c>
      <c r="T1422" s="5" t="inlineStr">
        <is>
          <t>9</t>
        </is>
      </c>
      <c r="U1422" s="5">
        <f>IFS(C1422&lt;30,"Under 30",C1422&lt;40,"30-39",C1422&lt;50,"40-49",TRUE,"50+")</f>
        <v/>
      </c>
      <c r="V1422" s="5">
        <f>IFS(O1422&lt;60000,"Low (&lt;60k)",O1422&lt;100000,"Mid (60-100k)",TRUE,"High (100k+)")</f>
        <v/>
      </c>
      <c r="W1422" s="5">
        <f>IF(M1422="No","Attrited","Active")</f>
        <v/>
      </c>
    </row>
    <row r="1423">
      <c r="A1423" s="5" t="inlineStr">
        <is>
          <t>E01422</t>
        </is>
      </c>
      <c r="B1423" s="5" t="inlineStr">
        <is>
          <t>Female</t>
        </is>
      </c>
      <c r="C1423" s="6" t="inlineStr">
        <is>
          <t>37</t>
        </is>
      </c>
      <c r="D1423" s="5" t="inlineStr">
        <is>
          <t>Divorced</t>
        </is>
      </c>
      <c r="E1423" s="5" t="inlineStr">
        <is>
          <t>Master</t>
        </is>
      </c>
      <c r="F1423" s="5" t="inlineStr">
        <is>
          <t>Customer Support</t>
        </is>
      </c>
      <c r="G1423" s="5" t="inlineStr">
        <is>
          <t>Escalation Specialist</t>
        </is>
      </c>
      <c r="H1423" s="5" t="inlineStr">
        <is>
          <t>5</t>
        </is>
      </c>
      <c r="I1423" s="5" t="inlineStr">
        <is>
          <t>Remote</t>
        </is>
      </c>
      <c r="J1423" s="5" t="inlineStr">
        <is>
          <t>Full-Time</t>
        </is>
      </c>
      <c r="K1423" s="7" t="n">
        <v>44668</v>
      </c>
      <c r="L1423" s="7" t="inlineStr"/>
      <c r="M1423" s="5" t="inlineStr">
        <is>
          <t>Yes</t>
        </is>
      </c>
      <c r="N1423" s="5" t="inlineStr"/>
      <c r="O1423" s="8" t="inlineStr">
        <is>
          <t>77500</t>
        </is>
      </c>
      <c r="P1423" s="5" t="inlineStr">
        <is>
          <t>0</t>
        </is>
      </c>
      <c r="Q1423" s="5" t="inlineStr">
        <is>
          <t>3</t>
        </is>
      </c>
      <c r="R1423" s="5" t="inlineStr">
        <is>
          <t>5</t>
        </is>
      </c>
      <c r="S1423" s="5" t="inlineStr">
        <is>
          <t>45</t>
        </is>
      </c>
      <c r="T1423" s="5" t="inlineStr">
        <is>
          <t>22</t>
        </is>
      </c>
      <c r="U1423" s="5">
        <f>IFS(C1423&lt;30,"Under 30",C1423&lt;40,"30-39",C1423&lt;50,"40-49",TRUE,"50+")</f>
        <v/>
      </c>
      <c r="V1423" s="5">
        <f>IFS(O1423&lt;60000,"Low (&lt;60k)",O1423&lt;100000,"Mid (60-100k)",TRUE,"High (100k+)")</f>
        <v/>
      </c>
      <c r="W1423" s="5">
        <f>IF(M1423="No","Attrited","Active")</f>
        <v/>
      </c>
    </row>
    <row r="1424">
      <c r="A1424" s="5" t="inlineStr">
        <is>
          <t>E01423</t>
        </is>
      </c>
      <c r="B1424" s="5" t="inlineStr">
        <is>
          <t>Male</t>
        </is>
      </c>
      <c r="C1424" s="6" t="inlineStr">
        <is>
          <t>28</t>
        </is>
      </c>
      <c r="D1424" s="5" t="inlineStr">
        <is>
          <t>Married</t>
        </is>
      </c>
      <c r="E1424" s="5" t="inlineStr">
        <is>
          <t>PhD</t>
        </is>
      </c>
      <c r="F1424" s="5" t="inlineStr">
        <is>
          <t>Sales</t>
        </is>
      </c>
      <c r="G1424" s="5" t="inlineStr">
        <is>
          <t>Account Executive</t>
        </is>
      </c>
      <c r="H1424" s="5" t="inlineStr">
        <is>
          <t>3</t>
        </is>
      </c>
      <c r="I1424" s="5" t="inlineStr">
        <is>
          <t>Bengaluru</t>
        </is>
      </c>
      <c r="J1424" s="5" t="inlineStr">
        <is>
          <t>Full-Time</t>
        </is>
      </c>
      <c r="K1424" s="7" t="n">
        <v>44088</v>
      </c>
      <c r="L1424" s="7" t="inlineStr"/>
      <c r="M1424" s="5" t="inlineStr">
        <is>
          <t>Yes</t>
        </is>
      </c>
      <c r="N1424" s="5" t="inlineStr"/>
      <c r="O1424" s="8" t="inlineStr">
        <is>
          <t>83000</t>
        </is>
      </c>
      <c r="P1424" s="5" t="inlineStr">
        <is>
          <t>5</t>
        </is>
      </c>
      <c r="Q1424" s="5" t="inlineStr">
        <is>
          <t>3</t>
        </is>
      </c>
      <c r="R1424" s="5" t="inlineStr">
        <is>
          <t>5</t>
        </is>
      </c>
      <c r="S1424" s="5" t="inlineStr">
        <is>
          <t>64</t>
        </is>
      </c>
      <c r="T1424" s="5" t="inlineStr">
        <is>
          <t>11</t>
        </is>
      </c>
      <c r="U1424" s="5">
        <f>IFS(C1424&lt;30,"Under 30",C1424&lt;40,"30-39",C1424&lt;50,"40-49",TRUE,"50+")</f>
        <v/>
      </c>
      <c r="V1424" s="5">
        <f>IFS(O1424&lt;60000,"Low (&lt;60k)",O1424&lt;100000,"Mid (60-100k)",TRUE,"High (100k+)")</f>
        <v/>
      </c>
      <c r="W1424" s="5">
        <f>IF(M1424="No","Attrited","Active")</f>
        <v/>
      </c>
    </row>
    <row r="1425">
      <c r="A1425" s="5" t="inlineStr">
        <is>
          <t>E01424</t>
        </is>
      </c>
      <c r="B1425" s="5" t="inlineStr">
        <is>
          <t>Female</t>
        </is>
      </c>
      <c r="C1425" s="6" t="inlineStr">
        <is>
          <t>31</t>
        </is>
      </c>
      <c r="D1425" s="5" t="inlineStr">
        <is>
          <t>Married</t>
        </is>
      </c>
      <c r="E1425" s="5" t="inlineStr">
        <is>
          <t>High School</t>
        </is>
      </c>
      <c r="F1425" s="5" t="inlineStr">
        <is>
          <t>Customer Support</t>
        </is>
      </c>
      <c r="G1425" s="5" t="inlineStr">
        <is>
          <t>Support Agent</t>
        </is>
      </c>
      <c r="H1425" s="5" t="inlineStr">
        <is>
          <t>3</t>
        </is>
      </c>
      <c r="I1425" s="5" t="inlineStr">
        <is>
          <t>Remote</t>
        </is>
      </c>
      <c r="J1425" s="5" t="inlineStr">
        <is>
          <t>Part-Time</t>
        </is>
      </c>
      <c r="K1425" s="7" t="n">
        <v>45814</v>
      </c>
      <c r="L1425" s="7" t="inlineStr"/>
      <c r="M1425" s="5" t="inlineStr">
        <is>
          <t>Yes</t>
        </is>
      </c>
      <c r="N1425" s="5" t="inlineStr"/>
      <c r="O1425" s="8" t="inlineStr">
        <is>
          <t>76500</t>
        </is>
      </c>
      <c r="P1425" s="5" t="inlineStr">
        <is>
          <t>0</t>
        </is>
      </c>
      <c r="Q1425" s="5" t="inlineStr">
        <is>
          <t>5</t>
        </is>
      </c>
      <c r="R1425" s="5" t="inlineStr">
        <is>
          <t>5</t>
        </is>
      </c>
      <c r="S1425" s="5" t="inlineStr">
        <is>
          <t>6</t>
        </is>
      </c>
      <c r="T1425" s="5" t="inlineStr">
        <is>
          <t>0</t>
        </is>
      </c>
      <c r="U1425" s="5">
        <f>IFS(C1425&lt;30,"Under 30",C1425&lt;40,"30-39",C1425&lt;50,"40-49",TRUE,"50+")</f>
        <v/>
      </c>
      <c r="V1425" s="5">
        <f>IFS(O1425&lt;60000,"Low (&lt;60k)",O1425&lt;100000,"Mid (60-100k)",TRUE,"High (100k+)")</f>
        <v/>
      </c>
      <c r="W1425" s="5">
        <f>IF(M1425="No","Attrited","Active")</f>
        <v/>
      </c>
    </row>
    <row r="1426">
      <c r="A1426" s="5" t="inlineStr">
        <is>
          <t>E01425</t>
        </is>
      </c>
      <c r="B1426" s="5" t="inlineStr">
        <is>
          <t>Male</t>
        </is>
      </c>
      <c r="C1426" s="6" t="inlineStr">
        <is>
          <t>34</t>
        </is>
      </c>
      <c r="D1426" s="5" t="inlineStr">
        <is>
          <t>Married</t>
        </is>
      </c>
      <c r="E1426" s="5" t="inlineStr">
        <is>
          <t>High School</t>
        </is>
      </c>
      <c r="F1426" s="5" t="inlineStr">
        <is>
          <t>IT</t>
        </is>
      </c>
      <c r="G1426" s="5" t="inlineStr">
        <is>
          <t>Data Analyst</t>
        </is>
      </c>
      <c r="H1426" s="5" t="inlineStr">
        <is>
          <t>1</t>
        </is>
      </c>
      <c r="I1426" s="5" t="inlineStr">
        <is>
          <t>Hyderabad</t>
        </is>
      </c>
      <c r="J1426" s="5" t="inlineStr">
        <is>
          <t>Full-Time</t>
        </is>
      </c>
      <c r="K1426" s="7" t="n">
        <v>45302</v>
      </c>
      <c r="L1426" s="7" t="inlineStr"/>
      <c r="M1426" s="5" t="inlineStr">
        <is>
          <t>Yes</t>
        </is>
      </c>
      <c r="N1426" s="5" t="inlineStr"/>
      <c r="O1426" s="8" t="inlineStr">
        <is>
          <t>140000</t>
        </is>
      </c>
      <c r="P1426" s="5" t="inlineStr">
        <is>
          <t>10</t>
        </is>
      </c>
      <c r="Q1426" s="5" t="inlineStr">
        <is>
          <t>3</t>
        </is>
      </c>
      <c r="R1426" s="5" t="inlineStr">
        <is>
          <t>8</t>
        </is>
      </c>
      <c r="S1426" s="5" t="inlineStr">
        <is>
          <t>24</t>
        </is>
      </c>
      <c r="T1426" s="5" t="inlineStr">
        <is>
          <t>7</t>
        </is>
      </c>
      <c r="U1426" s="5">
        <f>IFS(C1426&lt;30,"Under 30",C1426&lt;40,"30-39",C1426&lt;50,"40-49",TRUE,"50+")</f>
        <v/>
      </c>
      <c r="V1426" s="5">
        <f>IFS(O1426&lt;60000,"Low (&lt;60k)",O1426&lt;100000,"Mid (60-100k)",TRUE,"High (100k+)")</f>
        <v/>
      </c>
      <c r="W1426" s="5">
        <f>IF(M1426="No","Attrited","Active")</f>
        <v/>
      </c>
    </row>
    <row r="1427">
      <c r="A1427" s="5" t="inlineStr">
        <is>
          <t>E01426</t>
        </is>
      </c>
      <c r="B1427" s="5" t="inlineStr">
        <is>
          <t>Female</t>
        </is>
      </c>
      <c r="C1427" s="6" t="inlineStr">
        <is>
          <t>31</t>
        </is>
      </c>
      <c r="D1427" s="5" t="inlineStr">
        <is>
          <t>Married</t>
        </is>
      </c>
      <c r="E1427" s="5" t="inlineStr">
        <is>
          <t>Master</t>
        </is>
      </c>
      <c r="F1427" s="5" t="inlineStr">
        <is>
          <t>Research &amp; Development</t>
        </is>
      </c>
      <c r="G1427" s="5" t="inlineStr">
        <is>
          <t>Product Engineer</t>
        </is>
      </c>
      <c r="H1427" s="5" t="inlineStr">
        <is>
          <t>4</t>
        </is>
      </c>
      <c r="I1427" s="5" t="inlineStr">
        <is>
          <t>Delhi</t>
        </is>
      </c>
      <c r="J1427" s="5" t="inlineStr">
        <is>
          <t>Part-Time</t>
        </is>
      </c>
      <c r="K1427" s="7" t="n">
        <v>45579</v>
      </c>
      <c r="L1427" s="7" t="n">
        <v>45665</v>
      </c>
      <c r="M1427" s="5" t="inlineStr">
        <is>
          <t>No</t>
        </is>
      </c>
      <c r="N1427" s="5" t="inlineStr">
        <is>
          <t>Performance / Termination</t>
        </is>
      </c>
      <c r="O1427" s="8" t="inlineStr">
        <is>
          <t>139000</t>
        </is>
      </c>
      <c r="P1427" s="5" t="inlineStr">
        <is>
          <t>0</t>
        </is>
      </c>
      <c r="Q1427" s="5" t="inlineStr">
        <is>
          <t>4</t>
        </is>
      </c>
      <c r="R1427" s="5" t="inlineStr">
        <is>
          <t>9</t>
        </is>
      </c>
      <c r="S1427" s="5" t="inlineStr">
        <is>
          <t>2</t>
        </is>
      </c>
      <c r="T1427" s="5" t="inlineStr">
        <is>
          <t>11</t>
        </is>
      </c>
      <c r="U1427" s="5">
        <f>IFS(C1427&lt;30,"Under 30",C1427&lt;40,"30-39",C1427&lt;50,"40-49",TRUE,"50+")</f>
        <v/>
      </c>
      <c r="V1427" s="5">
        <f>IFS(O1427&lt;60000,"Low (&lt;60k)",O1427&lt;100000,"Mid (60-100k)",TRUE,"High (100k+)")</f>
        <v/>
      </c>
      <c r="W1427" s="5">
        <f>IF(M1427="No","Attrited","Active")</f>
        <v/>
      </c>
    </row>
    <row r="1428">
      <c r="A1428" s="5" t="inlineStr">
        <is>
          <t>E01427</t>
        </is>
      </c>
      <c r="B1428" s="5" t="inlineStr">
        <is>
          <t>Male</t>
        </is>
      </c>
      <c r="C1428" s="6" t="inlineStr">
        <is>
          <t>32</t>
        </is>
      </c>
      <c r="D1428" s="5" t="inlineStr">
        <is>
          <t>Single</t>
        </is>
      </c>
      <c r="E1428" s="5" t="inlineStr">
        <is>
          <t>Master</t>
        </is>
      </c>
      <c r="F1428" s="5" t="inlineStr">
        <is>
          <t>Operations</t>
        </is>
      </c>
      <c r="G1428" s="5" t="inlineStr">
        <is>
          <t>Quality Analyst</t>
        </is>
      </c>
      <c r="H1428" s="5" t="inlineStr">
        <is>
          <t>1</t>
        </is>
      </c>
      <c r="I1428" s="5" t="inlineStr">
        <is>
          <t>Chennai</t>
        </is>
      </c>
      <c r="J1428" s="5" t="inlineStr">
        <is>
          <t>Full-Time</t>
        </is>
      </c>
      <c r="K1428" s="7" t="n">
        <v>45811</v>
      </c>
      <c r="L1428" s="7" t="inlineStr"/>
      <c r="M1428" s="5" t="inlineStr">
        <is>
          <t>Yes</t>
        </is>
      </c>
      <c r="N1428" s="5" t="inlineStr"/>
      <c r="O1428" s="8" t="inlineStr">
        <is>
          <t>74500</t>
        </is>
      </c>
      <c r="P1428" s="5" t="inlineStr">
        <is>
          <t>15</t>
        </is>
      </c>
      <c r="Q1428" s="5" t="inlineStr">
        <is>
          <t>5</t>
        </is>
      </c>
      <c r="R1428" s="5" t="inlineStr">
        <is>
          <t>8</t>
        </is>
      </c>
      <c r="S1428" s="5" t="inlineStr">
        <is>
          <t>7</t>
        </is>
      </c>
      <c r="T1428" s="5" t="inlineStr">
        <is>
          <t>1</t>
        </is>
      </c>
      <c r="U1428" s="5">
        <f>IFS(C1428&lt;30,"Under 30",C1428&lt;40,"30-39",C1428&lt;50,"40-49",TRUE,"50+")</f>
        <v/>
      </c>
      <c r="V1428" s="5">
        <f>IFS(O1428&lt;60000,"Low (&lt;60k)",O1428&lt;100000,"Mid (60-100k)",TRUE,"High (100k+)")</f>
        <v/>
      </c>
      <c r="W1428" s="5">
        <f>IF(M1428="No","Attrited","Active")</f>
        <v/>
      </c>
    </row>
    <row r="1429">
      <c r="A1429" s="5" t="inlineStr">
        <is>
          <t>E01428</t>
        </is>
      </c>
      <c r="B1429" s="5" t="inlineStr">
        <is>
          <t>Female</t>
        </is>
      </c>
      <c r="C1429" s="6" t="inlineStr">
        <is>
          <t>29</t>
        </is>
      </c>
      <c r="D1429" s="5" t="inlineStr">
        <is>
          <t>Married</t>
        </is>
      </c>
      <c r="E1429" s="5" t="inlineStr">
        <is>
          <t>High School</t>
        </is>
      </c>
      <c r="F1429" s="5" t="inlineStr">
        <is>
          <t>Marketing</t>
        </is>
      </c>
      <c r="G1429" s="5" t="inlineStr">
        <is>
          <t>Marketing Analyst</t>
        </is>
      </c>
      <c r="H1429" s="5" t="inlineStr">
        <is>
          <t>1</t>
        </is>
      </c>
      <c r="I1429" s="5" t="inlineStr">
        <is>
          <t>Bengaluru</t>
        </is>
      </c>
      <c r="J1429" s="5" t="inlineStr">
        <is>
          <t>Part-Time</t>
        </is>
      </c>
      <c r="K1429" s="7" t="n">
        <v>44898</v>
      </c>
      <c r="L1429" s="7" t="inlineStr"/>
      <c r="M1429" s="5" t="inlineStr">
        <is>
          <t>Yes</t>
        </is>
      </c>
      <c r="N1429" s="5" t="inlineStr"/>
      <c r="O1429" s="8" t="inlineStr">
        <is>
          <t>59000</t>
        </is>
      </c>
      <c r="P1429" s="5" t="inlineStr">
        <is>
          <t>0</t>
        </is>
      </c>
      <c r="Q1429" s="5" t="inlineStr">
        <is>
          <t>4</t>
        </is>
      </c>
      <c r="R1429" s="5" t="inlineStr">
        <is>
          <t>9</t>
        </is>
      </c>
      <c r="S1429" s="5" t="inlineStr">
        <is>
          <t>37</t>
        </is>
      </c>
      <c r="T1429" s="5" t="inlineStr">
        <is>
          <t>0</t>
        </is>
      </c>
      <c r="U1429" s="5">
        <f>IFS(C1429&lt;30,"Under 30",C1429&lt;40,"30-39",C1429&lt;50,"40-49",TRUE,"50+")</f>
        <v/>
      </c>
      <c r="V1429" s="5">
        <f>IFS(O1429&lt;60000,"Low (&lt;60k)",O1429&lt;100000,"Mid (60-100k)",TRUE,"High (100k+)")</f>
        <v/>
      </c>
      <c r="W1429" s="5">
        <f>IF(M1429="No","Attrited","Active")</f>
        <v/>
      </c>
    </row>
    <row r="1430">
      <c r="A1430" s="5" t="inlineStr">
        <is>
          <t>E01429</t>
        </is>
      </c>
      <c r="B1430" s="5" t="inlineStr">
        <is>
          <t>Female</t>
        </is>
      </c>
      <c r="C1430" s="6" t="inlineStr">
        <is>
          <t>25</t>
        </is>
      </c>
      <c r="D1430" s="5" t="inlineStr">
        <is>
          <t>Married</t>
        </is>
      </c>
      <c r="E1430" s="5" t="inlineStr">
        <is>
          <t>Diploma</t>
        </is>
      </c>
      <c r="F1430" s="5" t="inlineStr">
        <is>
          <t>Finance</t>
        </is>
      </c>
      <c r="G1430" s="5" t="inlineStr">
        <is>
          <t>Financial Analyst</t>
        </is>
      </c>
      <c r="H1430" s="5" t="inlineStr">
        <is>
          <t>2</t>
        </is>
      </c>
      <c r="I1430" s="5" t="inlineStr">
        <is>
          <t>Hyderabad</t>
        </is>
      </c>
      <c r="J1430" s="5" t="inlineStr">
        <is>
          <t>Full-Time</t>
        </is>
      </c>
      <c r="K1430" s="7" t="n">
        <v>44923</v>
      </c>
      <c r="L1430" s="7" t="n">
        <v>45008</v>
      </c>
      <c r="M1430" s="5" t="inlineStr">
        <is>
          <t>No</t>
        </is>
      </c>
      <c r="N1430" s="5" t="inlineStr">
        <is>
          <t>Retirement</t>
        </is>
      </c>
      <c r="O1430" s="8" t="inlineStr">
        <is>
          <t>119500</t>
        </is>
      </c>
      <c r="P1430" s="5" t="inlineStr">
        <is>
          <t>20</t>
        </is>
      </c>
      <c r="Q1430" s="5" t="inlineStr">
        <is>
          <t>3</t>
        </is>
      </c>
      <c r="R1430" s="5" t="inlineStr">
        <is>
          <t>7</t>
        </is>
      </c>
      <c r="S1430" s="5" t="inlineStr">
        <is>
          <t>2</t>
        </is>
      </c>
      <c r="T1430" s="5" t="inlineStr">
        <is>
          <t>9</t>
        </is>
      </c>
      <c r="U1430" s="5">
        <f>IFS(C1430&lt;30,"Under 30",C1430&lt;40,"30-39",C1430&lt;50,"40-49",TRUE,"50+")</f>
        <v/>
      </c>
      <c r="V1430" s="5">
        <f>IFS(O1430&lt;60000,"Low (&lt;60k)",O1430&lt;100000,"Mid (60-100k)",TRUE,"High (100k+)")</f>
        <v/>
      </c>
      <c r="W1430" s="5">
        <f>IF(M1430="No","Attrited","Active")</f>
        <v/>
      </c>
    </row>
    <row r="1431">
      <c r="A1431" s="5" t="inlineStr">
        <is>
          <t>E01430</t>
        </is>
      </c>
      <c r="B1431" s="5" t="inlineStr">
        <is>
          <t>Female</t>
        </is>
      </c>
      <c r="C1431" s="6" t="inlineStr">
        <is>
          <t>32</t>
        </is>
      </c>
      <c r="D1431" s="5" t="inlineStr">
        <is>
          <t>Married</t>
        </is>
      </c>
      <c r="E1431" s="5" t="inlineStr">
        <is>
          <t>Diploma</t>
        </is>
      </c>
      <c r="F1431" s="5" t="inlineStr">
        <is>
          <t>Customer Support</t>
        </is>
      </c>
      <c r="G1431" s="5" t="inlineStr">
        <is>
          <t>Support Lead</t>
        </is>
      </c>
      <c r="H1431" s="5" t="inlineStr">
        <is>
          <t>1</t>
        </is>
      </c>
      <c r="I1431" s="5" t="inlineStr">
        <is>
          <t>Delhi</t>
        </is>
      </c>
      <c r="J1431" s="5" t="inlineStr">
        <is>
          <t>Contract</t>
        </is>
      </c>
      <c r="K1431" s="7" t="n">
        <v>45348</v>
      </c>
      <c r="L1431" s="7" t="inlineStr"/>
      <c r="M1431" s="5" t="inlineStr">
        <is>
          <t>Yes</t>
        </is>
      </c>
      <c r="N1431" s="5" t="inlineStr"/>
      <c r="O1431" s="8" t="inlineStr">
        <is>
          <t>70500</t>
        </is>
      </c>
      <c r="P1431" s="5" t="inlineStr">
        <is>
          <t>0</t>
        </is>
      </c>
      <c r="Q1431" s="5" t="inlineStr">
        <is>
          <t>5</t>
        </is>
      </c>
      <c r="R1431" s="5" t="inlineStr">
        <is>
          <t>6</t>
        </is>
      </c>
      <c r="S1431" s="5" t="inlineStr">
        <is>
          <t>22</t>
        </is>
      </c>
      <c r="T1431" s="5" t="inlineStr">
        <is>
          <t>0</t>
        </is>
      </c>
      <c r="U1431" s="5">
        <f>IFS(C1431&lt;30,"Under 30",C1431&lt;40,"30-39",C1431&lt;50,"40-49",TRUE,"50+")</f>
        <v/>
      </c>
      <c r="V1431" s="5">
        <f>IFS(O1431&lt;60000,"Low (&lt;60k)",O1431&lt;100000,"Mid (60-100k)",TRUE,"High (100k+)")</f>
        <v/>
      </c>
      <c r="W1431" s="5">
        <f>IF(M1431="No","Attrited","Active")</f>
        <v/>
      </c>
    </row>
    <row r="1432">
      <c r="A1432" s="5" t="inlineStr">
        <is>
          <t>E01431</t>
        </is>
      </c>
      <c r="B1432" s="5" t="inlineStr">
        <is>
          <t>Male</t>
        </is>
      </c>
      <c r="C1432" s="6" t="inlineStr">
        <is>
          <t>39</t>
        </is>
      </c>
      <c r="D1432" s="5" t="inlineStr">
        <is>
          <t>Single</t>
        </is>
      </c>
      <c r="E1432" s="5" t="inlineStr">
        <is>
          <t>Bachelor</t>
        </is>
      </c>
      <c r="F1432" s="5" t="inlineStr">
        <is>
          <t>Human Resources</t>
        </is>
      </c>
      <c r="G1432" s="5" t="inlineStr">
        <is>
          <t>Recruiter</t>
        </is>
      </c>
      <c r="H1432" s="5" t="inlineStr">
        <is>
          <t>4</t>
        </is>
      </c>
      <c r="I1432" s="5" t="inlineStr">
        <is>
          <t>Mumbai</t>
        </is>
      </c>
      <c r="J1432" s="5" t="inlineStr">
        <is>
          <t>Full-Time</t>
        </is>
      </c>
      <c r="K1432" s="7" t="n">
        <v>44004</v>
      </c>
      <c r="L1432" s="7" t="inlineStr"/>
      <c r="M1432" s="5" t="inlineStr">
        <is>
          <t>Yes</t>
        </is>
      </c>
      <c r="N1432" s="5" t="inlineStr"/>
      <c r="O1432" s="8" t="inlineStr">
        <is>
          <t>88000</t>
        </is>
      </c>
      <c r="P1432" s="5" t="inlineStr">
        <is>
          <t>5</t>
        </is>
      </c>
      <c r="Q1432" s="5" t="inlineStr">
        <is>
          <t>4</t>
        </is>
      </c>
      <c r="R1432" s="5" t="inlineStr">
        <is>
          <t>9</t>
        </is>
      </c>
      <c r="S1432" s="5" t="inlineStr">
        <is>
          <t>67</t>
        </is>
      </c>
      <c r="T1432" s="5" t="inlineStr">
        <is>
          <t>0</t>
        </is>
      </c>
      <c r="U1432" s="5">
        <f>IFS(C1432&lt;30,"Under 30",C1432&lt;40,"30-39",C1432&lt;50,"40-49",TRUE,"50+")</f>
        <v/>
      </c>
      <c r="V1432" s="5">
        <f>IFS(O1432&lt;60000,"Low (&lt;60k)",O1432&lt;100000,"Mid (60-100k)",TRUE,"High (100k+)")</f>
        <v/>
      </c>
      <c r="W1432" s="5">
        <f>IF(M1432="No","Attrited","Active")</f>
        <v/>
      </c>
    </row>
    <row r="1433">
      <c r="A1433" s="5" t="inlineStr">
        <is>
          <t>E01432</t>
        </is>
      </c>
      <c r="B1433" s="5" t="inlineStr">
        <is>
          <t>Female</t>
        </is>
      </c>
      <c r="C1433" s="6" t="inlineStr">
        <is>
          <t>24</t>
        </is>
      </c>
      <c r="D1433" s="5" t="inlineStr">
        <is>
          <t>Married</t>
        </is>
      </c>
      <c r="E1433" s="5" t="inlineStr">
        <is>
          <t>Master</t>
        </is>
      </c>
      <c r="F1433" s="5" t="inlineStr">
        <is>
          <t>Research &amp; Development</t>
        </is>
      </c>
      <c r="G1433" s="5" t="inlineStr">
        <is>
          <t>Product Engineer</t>
        </is>
      </c>
      <c r="H1433" s="5" t="inlineStr">
        <is>
          <t>1</t>
        </is>
      </c>
      <c r="I1433" s="5" t="inlineStr">
        <is>
          <t>Hyderabad</t>
        </is>
      </c>
      <c r="J1433" s="5" t="inlineStr">
        <is>
          <t>Full-Time</t>
        </is>
      </c>
      <c r="K1433" s="7" t="n">
        <v>45645</v>
      </c>
      <c r="L1433" s="7" t="inlineStr"/>
      <c r="M1433" s="5" t="inlineStr">
        <is>
          <t>Yes</t>
        </is>
      </c>
      <c r="N1433" s="5" t="inlineStr"/>
      <c r="O1433" s="8" t="inlineStr">
        <is>
          <t>122500</t>
        </is>
      </c>
      <c r="P1433" s="5" t="inlineStr">
        <is>
          <t>0</t>
        </is>
      </c>
      <c r="Q1433" s="5" t="inlineStr">
        <is>
          <t>3</t>
        </is>
      </c>
      <c r="R1433" s="5" t="inlineStr">
        <is>
          <t>6</t>
        </is>
      </c>
      <c r="S1433" s="5" t="inlineStr">
        <is>
          <t>12</t>
        </is>
      </c>
      <c r="T1433" s="5" t="inlineStr">
        <is>
          <t>6</t>
        </is>
      </c>
      <c r="U1433" s="5">
        <f>IFS(C1433&lt;30,"Under 30",C1433&lt;40,"30-39",C1433&lt;50,"40-49",TRUE,"50+")</f>
        <v/>
      </c>
      <c r="V1433" s="5">
        <f>IFS(O1433&lt;60000,"Low (&lt;60k)",O1433&lt;100000,"Mid (60-100k)",TRUE,"High (100k+)")</f>
        <v/>
      </c>
      <c r="W1433" s="5">
        <f>IF(M1433="No","Attrited","Active")</f>
        <v/>
      </c>
    </row>
    <row r="1434">
      <c r="A1434" s="5" t="inlineStr">
        <is>
          <t>E01433</t>
        </is>
      </c>
      <c r="B1434" s="5" t="inlineStr">
        <is>
          <t>Male</t>
        </is>
      </c>
      <c r="C1434" s="6" t="inlineStr">
        <is>
          <t>27</t>
        </is>
      </c>
      <c r="D1434" s="5" t="inlineStr">
        <is>
          <t>Married</t>
        </is>
      </c>
      <c r="E1434" s="5" t="inlineStr">
        <is>
          <t>PhD</t>
        </is>
      </c>
      <c r="F1434" s="5" t="inlineStr">
        <is>
          <t>Finance</t>
        </is>
      </c>
      <c r="G1434" s="5" t="inlineStr">
        <is>
          <t>Credit Analyst</t>
        </is>
      </c>
      <c r="H1434" s="5" t="inlineStr">
        <is>
          <t>2</t>
        </is>
      </c>
      <c r="I1434" s="5" t="inlineStr">
        <is>
          <t>Delhi</t>
        </is>
      </c>
      <c r="J1434" s="5" t="inlineStr">
        <is>
          <t>Full-Time</t>
        </is>
      </c>
      <c r="K1434" s="7" t="n">
        <v>45086</v>
      </c>
      <c r="L1434" s="7" t="inlineStr"/>
      <c r="M1434" s="5" t="inlineStr">
        <is>
          <t>Yes</t>
        </is>
      </c>
      <c r="N1434" s="5" t="inlineStr"/>
      <c r="O1434" s="8" t="inlineStr">
        <is>
          <t>118000</t>
        </is>
      </c>
      <c r="P1434" s="5" t="inlineStr">
        <is>
          <t>5</t>
        </is>
      </c>
      <c r="Q1434" s="5" t="inlineStr">
        <is>
          <t>3</t>
        </is>
      </c>
      <c r="R1434" s="5" t="inlineStr">
        <is>
          <t>8</t>
        </is>
      </c>
      <c r="S1434" s="5" t="inlineStr">
        <is>
          <t>31</t>
        </is>
      </c>
      <c r="T1434" s="5" t="inlineStr">
        <is>
          <t>22</t>
        </is>
      </c>
      <c r="U1434" s="5">
        <f>IFS(C1434&lt;30,"Under 30",C1434&lt;40,"30-39",C1434&lt;50,"40-49",TRUE,"50+")</f>
        <v/>
      </c>
      <c r="V1434" s="5">
        <f>IFS(O1434&lt;60000,"Low (&lt;60k)",O1434&lt;100000,"Mid (60-100k)",TRUE,"High (100k+)")</f>
        <v/>
      </c>
      <c r="W1434" s="5">
        <f>IF(M1434="No","Attrited","Active")</f>
        <v/>
      </c>
    </row>
    <row r="1435">
      <c r="A1435" s="5" t="inlineStr">
        <is>
          <t>E01434</t>
        </is>
      </c>
      <c r="B1435" s="5" t="inlineStr">
        <is>
          <t>Female</t>
        </is>
      </c>
      <c r="C1435" s="6" t="inlineStr">
        <is>
          <t>26</t>
        </is>
      </c>
      <c r="D1435" s="5" t="inlineStr">
        <is>
          <t>Married</t>
        </is>
      </c>
      <c r="E1435" s="5" t="inlineStr">
        <is>
          <t>PhD</t>
        </is>
      </c>
      <c r="F1435" s="5" t="inlineStr">
        <is>
          <t>Human Resources</t>
        </is>
      </c>
      <c r="G1435" s="5" t="inlineStr">
        <is>
          <t>Recruiter</t>
        </is>
      </c>
      <c r="H1435" s="5" t="inlineStr">
        <is>
          <t>1</t>
        </is>
      </c>
      <c r="I1435" s="5" t="inlineStr">
        <is>
          <t>Bengaluru</t>
        </is>
      </c>
      <c r="J1435" s="5" t="inlineStr">
        <is>
          <t>Full-Time</t>
        </is>
      </c>
      <c r="K1435" s="7" t="n">
        <v>45143</v>
      </c>
      <c r="L1435" s="7" t="inlineStr"/>
      <c r="M1435" s="5" t="inlineStr">
        <is>
          <t>Yes</t>
        </is>
      </c>
      <c r="N1435" s="5" t="inlineStr"/>
      <c r="O1435" s="8" t="inlineStr">
        <is>
          <t>96000</t>
        </is>
      </c>
      <c r="P1435" s="5" t="inlineStr">
        <is>
          <t>0</t>
        </is>
      </c>
      <c r="Q1435" s="5" t="inlineStr">
        <is>
          <t>4</t>
        </is>
      </c>
      <c r="R1435" s="5" t="inlineStr">
        <is>
          <t>8</t>
        </is>
      </c>
      <c r="S1435" s="5" t="inlineStr">
        <is>
          <t>29</t>
        </is>
      </c>
      <c r="T1435" s="5" t="inlineStr">
        <is>
          <t>0</t>
        </is>
      </c>
      <c r="U1435" s="5">
        <f>IFS(C1435&lt;30,"Under 30",C1435&lt;40,"30-39",C1435&lt;50,"40-49",TRUE,"50+")</f>
        <v/>
      </c>
      <c r="V1435" s="5">
        <f>IFS(O1435&lt;60000,"Low (&lt;60k)",O1435&lt;100000,"Mid (60-100k)",TRUE,"High (100k+)")</f>
        <v/>
      </c>
      <c r="W1435" s="5">
        <f>IF(M1435="No","Attrited","Active")</f>
        <v/>
      </c>
    </row>
    <row r="1436">
      <c r="A1436" s="5" t="inlineStr">
        <is>
          <t>E01435</t>
        </is>
      </c>
      <c r="B1436" s="5" t="inlineStr">
        <is>
          <t>Female</t>
        </is>
      </c>
      <c r="C1436" s="6" t="inlineStr">
        <is>
          <t>38</t>
        </is>
      </c>
      <c r="D1436" s="5" t="inlineStr">
        <is>
          <t>Single</t>
        </is>
      </c>
      <c r="E1436" s="5" t="inlineStr">
        <is>
          <t>Master</t>
        </is>
      </c>
      <c r="F1436" s="5" t="inlineStr">
        <is>
          <t>Sales</t>
        </is>
      </c>
      <c r="G1436" s="5" t="inlineStr">
        <is>
          <t>Sales Executive</t>
        </is>
      </c>
      <c r="H1436" s="5" t="inlineStr">
        <is>
          <t>6</t>
        </is>
      </c>
      <c r="I1436" s="5" t="inlineStr">
        <is>
          <t>Bengaluru</t>
        </is>
      </c>
      <c r="J1436" s="5" t="inlineStr">
        <is>
          <t>Full-Time</t>
        </is>
      </c>
      <c r="K1436" s="7" t="n">
        <v>45206</v>
      </c>
      <c r="L1436" s="7" t="inlineStr"/>
      <c r="M1436" s="5" t="inlineStr">
        <is>
          <t>Yes</t>
        </is>
      </c>
      <c r="N1436" s="5" t="inlineStr"/>
      <c r="O1436" s="8" t="inlineStr">
        <is>
          <t>167000</t>
        </is>
      </c>
      <c r="P1436" s="5" t="inlineStr">
        <is>
          <t>15</t>
        </is>
      </c>
      <c r="Q1436" s="5" t="inlineStr">
        <is>
          <t>4</t>
        </is>
      </c>
      <c r="R1436" s="5" t="inlineStr">
        <is>
          <t>5</t>
        </is>
      </c>
      <c r="S1436" s="5" t="inlineStr">
        <is>
          <t>27</t>
        </is>
      </c>
      <c r="T1436" s="5" t="inlineStr">
        <is>
          <t>2</t>
        </is>
      </c>
      <c r="U1436" s="5">
        <f>IFS(C1436&lt;30,"Under 30",C1436&lt;40,"30-39",C1436&lt;50,"40-49",TRUE,"50+")</f>
        <v/>
      </c>
      <c r="V1436" s="5">
        <f>IFS(O1436&lt;60000,"Low (&lt;60k)",O1436&lt;100000,"Mid (60-100k)",TRUE,"High (100k+)")</f>
        <v/>
      </c>
      <c r="W1436" s="5">
        <f>IF(M1436="No","Attrited","Active")</f>
        <v/>
      </c>
    </row>
    <row r="1437">
      <c r="A1437" s="5" t="inlineStr">
        <is>
          <t>E01436</t>
        </is>
      </c>
      <c r="B1437" s="5" t="inlineStr">
        <is>
          <t>Male</t>
        </is>
      </c>
      <c r="C1437" s="6" t="inlineStr">
        <is>
          <t>34</t>
        </is>
      </c>
      <c r="D1437" s="5" t="inlineStr">
        <is>
          <t>Married</t>
        </is>
      </c>
      <c r="E1437" s="5" t="inlineStr">
        <is>
          <t>Diploma</t>
        </is>
      </c>
      <c r="F1437" s="5" t="inlineStr">
        <is>
          <t>Operations</t>
        </is>
      </c>
      <c r="G1437" s="5" t="inlineStr">
        <is>
          <t>Quality Analyst</t>
        </is>
      </c>
      <c r="H1437" s="5" t="inlineStr">
        <is>
          <t>5</t>
        </is>
      </c>
      <c r="I1437" s="5" t="inlineStr">
        <is>
          <t>Bengaluru</t>
        </is>
      </c>
      <c r="J1437" s="5" t="inlineStr">
        <is>
          <t>Full-Time</t>
        </is>
      </c>
      <c r="K1437" s="7" t="n">
        <v>45253</v>
      </c>
      <c r="L1437" s="7" t="inlineStr"/>
      <c r="M1437" s="5" t="inlineStr">
        <is>
          <t>Yes</t>
        </is>
      </c>
      <c r="N1437" s="5" t="inlineStr"/>
      <c r="O1437" s="8" t="inlineStr">
        <is>
          <t>120000</t>
        </is>
      </c>
      <c r="P1437" s="5" t="inlineStr">
        <is>
          <t>0</t>
        </is>
      </c>
      <c r="Q1437" s="5" t="inlineStr">
        <is>
          <t>4</t>
        </is>
      </c>
      <c r="R1437" s="5" t="inlineStr">
        <is>
          <t>3</t>
        </is>
      </c>
      <c r="S1437" s="5" t="inlineStr">
        <is>
          <t>25</t>
        </is>
      </c>
      <c r="T1437" s="5" t="inlineStr">
        <is>
          <t>4</t>
        </is>
      </c>
      <c r="U1437" s="5">
        <f>IFS(C1437&lt;30,"Under 30",C1437&lt;40,"30-39",C1437&lt;50,"40-49",TRUE,"50+")</f>
        <v/>
      </c>
      <c r="V1437" s="5">
        <f>IFS(O1437&lt;60000,"Low (&lt;60k)",O1437&lt;100000,"Mid (60-100k)",TRUE,"High (100k+)")</f>
        <v/>
      </c>
      <c r="W1437" s="5">
        <f>IF(M1437="No","Attrited","Active")</f>
        <v/>
      </c>
    </row>
    <row r="1438">
      <c r="A1438" s="5" t="inlineStr">
        <is>
          <t>E01437</t>
        </is>
      </c>
      <c r="B1438" s="5" t="inlineStr">
        <is>
          <t>Female</t>
        </is>
      </c>
      <c r="C1438" s="6" t="inlineStr">
        <is>
          <t>33</t>
        </is>
      </c>
      <c r="D1438" s="5" t="inlineStr">
        <is>
          <t>Married</t>
        </is>
      </c>
      <c r="E1438" s="5" t="inlineStr">
        <is>
          <t>High School</t>
        </is>
      </c>
      <c r="F1438" s="5" t="inlineStr">
        <is>
          <t>Finance</t>
        </is>
      </c>
      <c r="G1438" s="5" t="inlineStr">
        <is>
          <t>Financial Analyst</t>
        </is>
      </c>
      <c r="H1438" s="5" t="inlineStr">
        <is>
          <t>3</t>
        </is>
      </c>
      <c r="I1438" s="5" t="inlineStr">
        <is>
          <t>Hyderabad</t>
        </is>
      </c>
      <c r="J1438" s="5" t="inlineStr">
        <is>
          <t>Full-Time</t>
        </is>
      </c>
      <c r="K1438" s="7" t="n">
        <v>44435</v>
      </c>
      <c r="L1438" s="7" t="inlineStr"/>
      <c r="M1438" s="5" t="inlineStr">
        <is>
          <t>Yes</t>
        </is>
      </c>
      <c r="N1438" s="5" t="inlineStr"/>
      <c r="O1438" s="8" t="inlineStr">
        <is>
          <t>138000</t>
        </is>
      </c>
      <c r="P1438" s="5" t="inlineStr">
        <is>
          <t>0</t>
        </is>
      </c>
      <c r="Q1438" s="5" t="inlineStr">
        <is>
          <t>4</t>
        </is>
      </c>
      <c r="R1438" s="5" t="inlineStr">
        <is>
          <t>6</t>
        </is>
      </c>
      <c r="S1438" s="5" t="inlineStr">
        <is>
          <t>52</t>
        </is>
      </c>
      <c r="T1438" s="5" t="inlineStr">
        <is>
          <t>3</t>
        </is>
      </c>
      <c r="U1438" s="5">
        <f>IFS(C1438&lt;30,"Under 30",C1438&lt;40,"30-39",C1438&lt;50,"40-49",TRUE,"50+")</f>
        <v/>
      </c>
      <c r="V1438" s="5">
        <f>IFS(O1438&lt;60000,"Low (&lt;60k)",O1438&lt;100000,"Mid (60-100k)",TRUE,"High (100k+)")</f>
        <v/>
      </c>
      <c r="W1438" s="5">
        <f>IF(M1438="No","Attrited","Active")</f>
        <v/>
      </c>
    </row>
    <row r="1439">
      <c r="A1439" s="5" t="inlineStr">
        <is>
          <t>E01438</t>
        </is>
      </c>
      <c r="B1439" s="5" t="inlineStr">
        <is>
          <t>Male</t>
        </is>
      </c>
      <c r="C1439" s="6" t="inlineStr">
        <is>
          <t>33</t>
        </is>
      </c>
      <c r="D1439" s="5" t="inlineStr">
        <is>
          <t>Single</t>
        </is>
      </c>
      <c r="E1439" s="5" t="inlineStr">
        <is>
          <t>Bachelor</t>
        </is>
      </c>
      <c r="F1439" s="5" t="inlineStr">
        <is>
          <t>Human Resources</t>
        </is>
      </c>
      <c r="G1439" s="5" t="inlineStr">
        <is>
          <t>HR Generalist</t>
        </is>
      </c>
      <c r="H1439" s="5" t="inlineStr">
        <is>
          <t>1</t>
        </is>
      </c>
      <c r="I1439" s="5" t="inlineStr">
        <is>
          <t>Mumbai</t>
        </is>
      </c>
      <c r="J1439" s="5" t="inlineStr">
        <is>
          <t>Contract</t>
        </is>
      </c>
      <c r="K1439" s="7" t="n">
        <v>44719</v>
      </c>
      <c r="L1439" s="7" t="n">
        <v>44811</v>
      </c>
      <c r="M1439" s="5" t="inlineStr">
        <is>
          <t>No</t>
        </is>
      </c>
      <c r="N1439" s="5" t="inlineStr">
        <is>
          <t>Retirement</t>
        </is>
      </c>
      <c r="O1439" s="8" t="inlineStr">
        <is>
          <t>64500</t>
        </is>
      </c>
      <c r="P1439" s="5" t="inlineStr">
        <is>
          <t>15</t>
        </is>
      </c>
      <c r="Q1439" s="5" t="inlineStr">
        <is>
          <t>4</t>
        </is>
      </c>
      <c r="R1439" s="5" t="inlineStr">
        <is>
          <t>4</t>
        </is>
      </c>
      <c r="S1439" s="5" t="inlineStr">
        <is>
          <t>3</t>
        </is>
      </c>
      <c r="T1439" s="5" t="inlineStr">
        <is>
          <t>10</t>
        </is>
      </c>
      <c r="U1439" s="5">
        <f>IFS(C1439&lt;30,"Under 30",C1439&lt;40,"30-39",C1439&lt;50,"40-49",TRUE,"50+")</f>
        <v/>
      </c>
      <c r="V1439" s="5">
        <f>IFS(O1439&lt;60000,"Low (&lt;60k)",O1439&lt;100000,"Mid (60-100k)",TRUE,"High (100k+)")</f>
        <v/>
      </c>
      <c r="W1439" s="5">
        <f>IF(M1439="No","Attrited","Active")</f>
        <v/>
      </c>
    </row>
    <row r="1440">
      <c r="A1440" s="5" t="inlineStr">
        <is>
          <t>E01439</t>
        </is>
      </c>
      <c r="B1440" s="5" t="inlineStr">
        <is>
          <t>Male</t>
        </is>
      </c>
      <c r="C1440" s="6" t="inlineStr">
        <is>
          <t>31</t>
        </is>
      </c>
      <c r="D1440" s="5" t="inlineStr">
        <is>
          <t>Married</t>
        </is>
      </c>
      <c r="E1440" s="5" t="inlineStr">
        <is>
          <t>Master</t>
        </is>
      </c>
      <c r="F1440" s="5" t="inlineStr">
        <is>
          <t>IT</t>
        </is>
      </c>
      <c r="G1440" s="5" t="inlineStr">
        <is>
          <t>Software Engineer</t>
        </is>
      </c>
      <c r="H1440" s="5" t="inlineStr">
        <is>
          <t>2</t>
        </is>
      </c>
      <c r="I1440" s="5" t="inlineStr">
        <is>
          <t>Bengaluru</t>
        </is>
      </c>
      <c r="J1440" s="5" t="inlineStr">
        <is>
          <t>Contract</t>
        </is>
      </c>
      <c r="K1440" s="7" t="n">
        <v>45323</v>
      </c>
      <c r="L1440" s="7" t="inlineStr"/>
      <c r="M1440" s="5" t="inlineStr">
        <is>
          <t>Yes</t>
        </is>
      </c>
      <c r="N1440" s="5" t="inlineStr"/>
      <c r="O1440" s="8" t="inlineStr">
        <is>
          <t>139500</t>
        </is>
      </c>
      <c r="P1440" s="5" t="inlineStr">
        <is>
          <t>0</t>
        </is>
      </c>
      <c r="Q1440" s="5" t="inlineStr">
        <is>
          <t>3</t>
        </is>
      </c>
      <c r="R1440" s="5" t="inlineStr">
        <is>
          <t>3</t>
        </is>
      </c>
      <c r="S1440" s="5" t="inlineStr">
        <is>
          <t>23</t>
        </is>
      </c>
      <c r="T1440" s="5" t="inlineStr">
        <is>
          <t>14</t>
        </is>
      </c>
      <c r="U1440" s="5">
        <f>IFS(C1440&lt;30,"Under 30",C1440&lt;40,"30-39",C1440&lt;50,"40-49",TRUE,"50+")</f>
        <v/>
      </c>
      <c r="V1440" s="5">
        <f>IFS(O1440&lt;60000,"Low (&lt;60k)",O1440&lt;100000,"Mid (60-100k)",TRUE,"High (100k+)")</f>
        <v/>
      </c>
      <c r="W1440" s="5">
        <f>IF(M1440="No","Attrited","Active")</f>
        <v/>
      </c>
    </row>
    <row r="1441">
      <c r="A1441" s="5" t="inlineStr">
        <is>
          <t>E01440</t>
        </is>
      </c>
      <c r="B1441" s="5" t="inlineStr">
        <is>
          <t>Female</t>
        </is>
      </c>
      <c r="C1441" s="6" t="inlineStr">
        <is>
          <t>35</t>
        </is>
      </c>
      <c r="D1441" s="5" t="inlineStr">
        <is>
          <t>Married</t>
        </is>
      </c>
      <c r="E1441" s="5" t="inlineStr">
        <is>
          <t>Bachelor</t>
        </is>
      </c>
      <c r="F1441" s="5" t="inlineStr">
        <is>
          <t>Operations</t>
        </is>
      </c>
      <c r="G1441" s="5" t="inlineStr">
        <is>
          <t>Operations Analyst</t>
        </is>
      </c>
      <c r="H1441" s="5" t="inlineStr">
        <is>
          <t>3</t>
        </is>
      </c>
      <c r="I1441" s="5" t="inlineStr">
        <is>
          <t>Delhi</t>
        </is>
      </c>
      <c r="J1441" s="5" t="inlineStr">
        <is>
          <t>Full-Time</t>
        </is>
      </c>
      <c r="K1441" s="7" t="n">
        <v>44868</v>
      </c>
      <c r="L1441" s="7" t="inlineStr"/>
      <c r="M1441" s="5" t="inlineStr">
        <is>
          <t>Yes</t>
        </is>
      </c>
      <c r="N1441" s="5" t="inlineStr"/>
      <c r="O1441" s="8" t="inlineStr">
        <is>
          <t>75000</t>
        </is>
      </c>
      <c r="P1441" s="5" t="inlineStr">
        <is>
          <t>5</t>
        </is>
      </c>
      <c r="Q1441" s="5" t="inlineStr">
        <is>
          <t>4</t>
        </is>
      </c>
      <c r="R1441" s="5" t="inlineStr">
        <is>
          <t>7</t>
        </is>
      </c>
      <c r="S1441" s="5" t="inlineStr">
        <is>
          <t>38</t>
        </is>
      </c>
      <c r="T1441" s="5" t="inlineStr">
        <is>
          <t>0</t>
        </is>
      </c>
      <c r="U1441" s="5">
        <f>IFS(C1441&lt;30,"Under 30",C1441&lt;40,"30-39",C1441&lt;50,"40-49",TRUE,"50+")</f>
        <v/>
      </c>
      <c r="V1441" s="5">
        <f>IFS(O1441&lt;60000,"Low (&lt;60k)",O1441&lt;100000,"Mid (60-100k)",TRUE,"High (100k+)")</f>
        <v/>
      </c>
      <c r="W1441" s="5">
        <f>IF(M1441="No","Attrited","Active")</f>
        <v/>
      </c>
    </row>
    <row r="1442">
      <c r="A1442" s="5" t="inlineStr">
        <is>
          <t>E01441</t>
        </is>
      </c>
      <c r="B1442" s="5" t="inlineStr">
        <is>
          <t>Male</t>
        </is>
      </c>
      <c r="C1442" s="6" t="inlineStr">
        <is>
          <t>34</t>
        </is>
      </c>
      <c r="D1442" s="5" t="inlineStr">
        <is>
          <t>Single</t>
        </is>
      </c>
      <c r="E1442" s="5" t="inlineStr">
        <is>
          <t>High School</t>
        </is>
      </c>
      <c r="F1442" s="5" t="inlineStr">
        <is>
          <t>Marketing</t>
        </is>
      </c>
      <c r="G1442" s="5" t="inlineStr">
        <is>
          <t>Content Writer</t>
        </is>
      </c>
      <c r="H1442" s="5" t="inlineStr">
        <is>
          <t>4</t>
        </is>
      </c>
      <c r="I1442" s="5" t="inlineStr">
        <is>
          <t>Remote</t>
        </is>
      </c>
      <c r="J1442" s="5" t="inlineStr">
        <is>
          <t>Full-Time</t>
        </is>
      </c>
      <c r="K1442" s="7" t="n">
        <v>45670</v>
      </c>
      <c r="L1442" s="7" t="n">
        <v>45738</v>
      </c>
      <c r="M1442" s="5" t="inlineStr">
        <is>
          <t>No</t>
        </is>
      </c>
      <c r="N1442" s="5" t="inlineStr">
        <is>
          <t>Resigned</t>
        </is>
      </c>
      <c r="O1442" s="8" t="inlineStr">
        <is>
          <t>118500</t>
        </is>
      </c>
      <c r="P1442" s="5" t="inlineStr">
        <is>
          <t>0</t>
        </is>
      </c>
      <c r="Q1442" s="5" t="inlineStr">
        <is>
          <t>2</t>
        </is>
      </c>
      <c r="R1442" s="5" t="inlineStr">
        <is>
          <t>2</t>
        </is>
      </c>
      <c r="S1442" s="5" t="inlineStr">
        <is>
          <t>2</t>
        </is>
      </c>
      <c r="T1442" s="5" t="inlineStr">
        <is>
          <t>2</t>
        </is>
      </c>
      <c r="U1442" s="5">
        <f>IFS(C1442&lt;30,"Under 30",C1442&lt;40,"30-39",C1442&lt;50,"40-49",TRUE,"50+")</f>
        <v/>
      </c>
      <c r="V1442" s="5">
        <f>IFS(O1442&lt;60000,"Low (&lt;60k)",O1442&lt;100000,"Mid (60-100k)",TRUE,"High (100k+)")</f>
        <v/>
      </c>
      <c r="W1442" s="5">
        <f>IF(M1442="No","Attrited","Active")</f>
        <v/>
      </c>
    </row>
    <row r="1443">
      <c r="A1443" s="5" t="inlineStr">
        <is>
          <t>E01442</t>
        </is>
      </c>
      <c r="B1443" s="5" t="inlineStr">
        <is>
          <t>Male</t>
        </is>
      </c>
      <c r="C1443" s="6" t="inlineStr">
        <is>
          <t>41</t>
        </is>
      </c>
      <c r="D1443" s="5" t="inlineStr">
        <is>
          <t>Married</t>
        </is>
      </c>
      <c r="E1443" s="5" t="inlineStr">
        <is>
          <t>High School</t>
        </is>
      </c>
      <c r="F1443" s="5" t="inlineStr">
        <is>
          <t>Operations</t>
        </is>
      </c>
      <c r="G1443" s="5" t="inlineStr">
        <is>
          <t>Operations Analyst</t>
        </is>
      </c>
      <c r="H1443" s="5" t="inlineStr">
        <is>
          <t>5</t>
        </is>
      </c>
      <c r="I1443" s="5" t="inlineStr">
        <is>
          <t>Bengaluru</t>
        </is>
      </c>
      <c r="J1443" s="5" t="inlineStr">
        <is>
          <t>Full-Time</t>
        </is>
      </c>
      <c r="K1443" s="7" t="n">
        <v>44307</v>
      </c>
      <c r="L1443" s="7" t="inlineStr"/>
      <c r="M1443" s="5" t="inlineStr">
        <is>
          <t>Yes</t>
        </is>
      </c>
      <c r="N1443" s="5" t="inlineStr"/>
      <c r="O1443" s="8" t="inlineStr">
        <is>
          <t>126000</t>
        </is>
      </c>
      <c r="P1443" s="5" t="inlineStr">
        <is>
          <t>0</t>
        </is>
      </c>
      <c r="Q1443" s="5" t="inlineStr">
        <is>
          <t>3</t>
        </is>
      </c>
      <c r="R1443" s="5" t="inlineStr">
        <is>
          <t>4</t>
        </is>
      </c>
      <c r="S1443" s="5" t="inlineStr">
        <is>
          <t>57</t>
        </is>
      </c>
      <c r="T1443" s="5" t="inlineStr">
        <is>
          <t>8</t>
        </is>
      </c>
      <c r="U1443" s="5">
        <f>IFS(C1443&lt;30,"Under 30",C1443&lt;40,"30-39",C1443&lt;50,"40-49",TRUE,"50+")</f>
        <v/>
      </c>
      <c r="V1443" s="5">
        <f>IFS(O1443&lt;60000,"Low (&lt;60k)",O1443&lt;100000,"Mid (60-100k)",TRUE,"High (100k+)")</f>
        <v/>
      </c>
      <c r="W1443" s="5">
        <f>IF(M1443="No","Attrited","Active")</f>
        <v/>
      </c>
    </row>
    <row r="1444">
      <c r="A1444" s="5" t="inlineStr">
        <is>
          <t>E01443</t>
        </is>
      </c>
      <c r="B1444" s="5" t="inlineStr">
        <is>
          <t>Female</t>
        </is>
      </c>
      <c r="C1444" s="6" t="inlineStr">
        <is>
          <t>39</t>
        </is>
      </c>
      <c r="D1444" s="5" t="inlineStr">
        <is>
          <t>Married</t>
        </is>
      </c>
      <c r="E1444" s="5" t="inlineStr">
        <is>
          <t>High School</t>
        </is>
      </c>
      <c r="F1444" s="5" t="inlineStr">
        <is>
          <t>Human Resources</t>
        </is>
      </c>
      <c r="G1444" s="5" t="inlineStr">
        <is>
          <t>Recruiter</t>
        </is>
      </c>
      <c r="H1444" s="5" t="inlineStr">
        <is>
          <t>5</t>
        </is>
      </c>
      <c r="I1444" s="5" t="inlineStr">
        <is>
          <t>Remote</t>
        </is>
      </c>
      <c r="J1444" s="5" t="inlineStr">
        <is>
          <t>Full-Time</t>
        </is>
      </c>
      <c r="K1444" s="7" t="n">
        <v>43888</v>
      </c>
      <c r="L1444" s="7" t="inlineStr"/>
      <c r="M1444" s="5" t="inlineStr">
        <is>
          <t>Yes</t>
        </is>
      </c>
      <c r="N1444" s="5" t="inlineStr"/>
      <c r="O1444" s="8" t="inlineStr">
        <is>
          <t>113500</t>
        </is>
      </c>
      <c r="P1444" s="5" t="inlineStr">
        <is>
          <t>15</t>
        </is>
      </c>
      <c r="Q1444" s="5" t="inlineStr">
        <is>
          <t>2</t>
        </is>
      </c>
      <c r="R1444" s="5" t="inlineStr">
        <is>
          <t>4</t>
        </is>
      </c>
      <c r="S1444" s="5" t="inlineStr">
        <is>
          <t>71</t>
        </is>
      </c>
      <c r="T1444" s="5" t="inlineStr">
        <is>
          <t>2</t>
        </is>
      </c>
      <c r="U1444" s="5">
        <f>IFS(C1444&lt;30,"Under 30",C1444&lt;40,"30-39",C1444&lt;50,"40-49",TRUE,"50+")</f>
        <v/>
      </c>
      <c r="V1444" s="5">
        <f>IFS(O1444&lt;60000,"Low (&lt;60k)",O1444&lt;100000,"Mid (60-100k)",TRUE,"High (100k+)")</f>
        <v/>
      </c>
      <c r="W1444" s="5">
        <f>IF(M1444="No","Attrited","Active")</f>
        <v/>
      </c>
    </row>
    <row r="1445">
      <c r="A1445" s="5" t="inlineStr">
        <is>
          <t>E01444</t>
        </is>
      </c>
      <c r="B1445" s="5" t="inlineStr">
        <is>
          <t>Female</t>
        </is>
      </c>
      <c r="C1445" s="6" t="inlineStr">
        <is>
          <t>32</t>
        </is>
      </c>
      <c r="D1445" s="5" t="inlineStr">
        <is>
          <t>Married</t>
        </is>
      </c>
      <c r="E1445" s="5" t="inlineStr">
        <is>
          <t>PhD</t>
        </is>
      </c>
      <c r="F1445" s="5" t="inlineStr">
        <is>
          <t>Sales</t>
        </is>
      </c>
      <c r="G1445" s="5" t="inlineStr">
        <is>
          <t>Business Development</t>
        </is>
      </c>
      <c r="H1445" s="5" t="inlineStr">
        <is>
          <t>3</t>
        </is>
      </c>
      <c r="I1445" s="5" t="inlineStr">
        <is>
          <t>Mumbai</t>
        </is>
      </c>
      <c r="J1445" s="5" t="inlineStr">
        <is>
          <t>Full-Time</t>
        </is>
      </c>
      <c r="K1445" s="7" t="n">
        <v>45610</v>
      </c>
      <c r="L1445" s="7" t="inlineStr"/>
      <c r="M1445" s="5" t="inlineStr">
        <is>
          <t>Yes</t>
        </is>
      </c>
      <c r="N1445" s="5" t="inlineStr"/>
      <c r="O1445" s="8" t="inlineStr">
        <is>
          <t>77000</t>
        </is>
      </c>
      <c r="P1445" s="5" t="inlineStr">
        <is>
          <t>10</t>
        </is>
      </c>
      <c r="Q1445" s="5" t="inlineStr">
        <is>
          <t>3</t>
        </is>
      </c>
      <c r="R1445" s="5" t="inlineStr">
        <is>
          <t>3</t>
        </is>
      </c>
      <c r="S1445" s="5" t="inlineStr">
        <is>
          <t>13</t>
        </is>
      </c>
      <c r="T1445" s="5" t="inlineStr">
        <is>
          <t>14</t>
        </is>
      </c>
      <c r="U1445" s="5">
        <f>IFS(C1445&lt;30,"Under 30",C1445&lt;40,"30-39",C1445&lt;50,"40-49",TRUE,"50+")</f>
        <v/>
      </c>
      <c r="V1445" s="5">
        <f>IFS(O1445&lt;60000,"Low (&lt;60k)",O1445&lt;100000,"Mid (60-100k)",TRUE,"High (100k+)")</f>
        <v/>
      </c>
      <c r="W1445" s="5">
        <f>IF(M1445="No","Attrited","Active")</f>
        <v/>
      </c>
    </row>
    <row r="1446">
      <c r="A1446" s="5" t="inlineStr">
        <is>
          <t>E01445</t>
        </is>
      </c>
      <c r="B1446" s="5" t="inlineStr">
        <is>
          <t>Female</t>
        </is>
      </c>
      <c r="C1446" s="6" t="inlineStr">
        <is>
          <t>31</t>
        </is>
      </c>
      <c r="D1446" s="5" t="inlineStr">
        <is>
          <t>Single</t>
        </is>
      </c>
      <c r="E1446" s="5" t="inlineStr">
        <is>
          <t>Master</t>
        </is>
      </c>
      <c r="F1446" s="5" t="inlineStr">
        <is>
          <t>Sales</t>
        </is>
      </c>
      <c r="G1446" s="5" t="inlineStr">
        <is>
          <t>Business Development</t>
        </is>
      </c>
      <c r="H1446" s="5" t="inlineStr">
        <is>
          <t>2</t>
        </is>
      </c>
      <c r="I1446" s="5" t="inlineStr">
        <is>
          <t>Hyderabad</t>
        </is>
      </c>
      <c r="J1446" s="5" t="inlineStr">
        <is>
          <t>Contract</t>
        </is>
      </c>
      <c r="K1446" s="7" t="n">
        <v>44805</v>
      </c>
      <c r="L1446" s="7" t="n">
        <v>44865</v>
      </c>
      <c r="M1446" s="5" t="inlineStr">
        <is>
          <t>No</t>
        </is>
      </c>
      <c r="N1446" s="5" t="inlineStr">
        <is>
          <t>Resigned</t>
        </is>
      </c>
      <c r="O1446" s="8" t="inlineStr">
        <is>
          <t>97000</t>
        </is>
      </c>
      <c r="P1446" s="5" t="inlineStr">
        <is>
          <t>5</t>
        </is>
      </c>
      <c r="Q1446" s="5" t="inlineStr">
        <is>
          <t>4</t>
        </is>
      </c>
      <c r="R1446" s="5" t="inlineStr">
        <is>
          <t>4</t>
        </is>
      </c>
      <c r="S1446" s="5" t="inlineStr">
        <is>
          <t>2</t>
        </is>
      </c>
      <c r="T1446" s="5" t="inlineStr">
        <is>
          <t>8</t>
        </is>
      </c>
      <c r="U1446" s="5">
        <f>IFS(C1446&lt;30,"Under 30",C1446&lt;40,"30-39",C1446&lt;50,"40-49",TRUE,"50+")</f>
        <v/>
      </c>
      <c r="V1446" s="5">
        <f>IFS(O1446&lt;60000,"Low (&lt;60k)",O1446&lt;100000,"Mid (60-100k)",TRUE,"High (100k+)")</f>
        <v/>
      </c>
      <c r="W1446" s="5">
        <f>IF(M1446="No","Attrited","Active")</f>
        <v/>
      </c>
    </row>
    <row r="1447">
      <c r="A1447" s="5" t="inlineStr">
        <is>
          <t>E01446</t>
        </is>
      </c>
      <c r="B1447" s="5" t="inlineStr">
        <is>
          <t>Female</t>
        </is>
      </c>
      <c r="C1447" s="6" t="inlineStr">
        <is>
          <t>28</t>
        </is>
      </c>
      <c r="D1447" s="5" t="inlineStr">
        <is>
          <t>Married</t>
        </is>
      </c>
      <c r="E1447" s="5" t="inlineStr">
        <is>
          <t>Master</t>
        </is>
      </c>
      <c r="F1447" s="5" t="inlineStr">
        <is>
          <t>Operations</t>
        </is>
      </c>
      <c r="G1447" s="5" t="inlineStr">
        <is>
          <t>Operations Analyst</t>
        </is>
      </c>
      <c r="H1447" s="5" t="inlineStr">
        <is>
          <t>3</t>
        </is>
      </c>
      <c r="I1447" s="5" t="inlineStr">
        <is>
          <t>Mumbai</t>
        </is>
      </c>
      <c r="J1447" s="5" t="inlineStr">
        <is>
          <t>Full-Time</t>
        </is>
      </c>
      <c r="K1447" s="7" t="n">
        <v>44834</v>
      </c>
      <c r="L1447" s="7" t="inlineStr"/>
      <c r="M1447" s="5" t="inlineStr">
        <is>
          <t>Yes</t>
        </is>
      </c>
      <c r="N1447" s="5" t="inlineStr"/>
      <c r="O1447" s="8" t="inlineStr">
        <is>
          <t>105000</t>
        </is>
      </c>
      <c r="P1447" s="5" t="inlineStr">
        <is>
          <t>5</t>
        </is>
      </c>
      <c r="Q1447" s="5" t="inlineStr">
        <is>
          <t>4</t>
        </is>
      </c>
      <c r="R1447" s="5" t="inlineStr">
        <is>
          <t>6</t>
        </is>
      </c>
      <c r="S1447" s="5" t="inlineStr">
        <is>
          <t>39</t>
        </is>
      </c>
      <c r="T1447" s="5" t="inlineStr">
        <is>
          <t>2</t>
        </is>
      </c>
      <c r="U1447" s="5">
        <f>IFS(C1447&lt;30,"Under 30",C1447&lt;40,"30-39",C1447&lt;50,"40-49",TRUE,"50+")</f>
        <v/>
      </c>
      <c r="V1447" s="5">
        <f>IFS(O1447&lt;60000,"Low (&lt;60k)",O1447&lt;100000,"Mid (60-100k)",TRUE,"High (100k+)")</f>
        <v/>
      </c>
      <c r="W1447" s="5">
        <f>IF(M1447="No","Attrited","Active")</f>
        <v/>
      </c>
    </row>
    <row r="1448">
      <c r="A1448" s="5" t="inlineStr">
        <is>
          <t>E01447</t>
        </is>
      </c>
      <c r="B1448" s="5" t="inlineStr">
        <is>
          <t>Female</t>
        </is>
      </c>
      <c r="C1448" s="6" t="inlineStr">
        <is>
          <t>35</t>
        </is>
      </c>
      <c r="D1448" s="5" t="inlineStr">
        <is>
          <t>Married</t>
        </is>
      </c>
      <c r="E1448" s="5" t="inlineStr">
        <is>
          <t>PhD</t>
        </is>
      </c>
      <c r="F1448" s="5" t="inlineStr">
        <is>
          <t>Finance</t>
        </is>
      </c>
      <c r="G1448" s="5" t="inlineStr">
        <is>
          <t>Financial Analyst</t>
        </is>
      </c>
      <c r="H1448" s="5" t="inlineStr">
        <is>
          <t>2</t>
        </is>
      </c>
      <c r="I1448" s="5" t="inlineStr">
        <is>
          <t>Remote</t>
        </is>
      </c>
      <c r="J1448" s="5" t="inlineStr">
        <is>
          <t>Full-Time</t>
        </is>
      </c>
      <c r="K1448" s="7" t="n">
        <v>45364</v>
      </c>
      <c r="L1448" s="7" t="inlineStr"/>
      <c r="M1448" s="5" t="inlineStr">
        <is>
          <t>Yes</t>
        </is>
      </c>
      <c r="N1448" s="5" t="inlineStr"/>
      <c r="O1448" s="8" t="inlineStr">
        <is>
          <t>121000</t>
        </is>
      </c>
      <c r="P1448" s="5" t="inlineStr">
        <is>
          <t>20</t>
        </is>
      </c>
      <c r="Q1448" s="5" t="inlineStr">
        <is>
          <t>3</t>
        </is>
      </c>
      <c r="R1448" s="5" t="inlineStr">
        <is>
          <t>7</t>
        </is>
      </c>
      <c r="S1448" s="5" t="inlineStr">
        <is>
          <t>21</t>
        </is>
      </c>
      <c r="T1448" s="5" t="inlineStr">
        <is>
          <t>8</t>
        </is>
      </c>
      <c r="U1448" s="5">
        <f>IFS(C1448&lt;30,"Under 30",C1448&lt;40,"30-39",C1448&lt;50,"40-49",TRUE,"50+")</f>
        <v/>
      </c>
      <c r="V1448" s="5">
        <f>IFS(O1448&lt;60000,"Low (&lt;60k)",O1448&lt;100000,"Mid (60-100k)",TRUE,"High (100k+)")</f>
        <v/>
      </c>
      <c r="W1448" s="5">
        <f>IF(M1448="No","Attrited","Active")</f>
        <v/>
      </c>
    </row>
    <row r="1449">
      <c r="A1449" s="5" t="inlineStr">
        <is>
          <t>E01448</t>
        </is>
      </c>
      <c r="B1449" s="5" t="inlineStr">
        <is>
          <t>Male</t>
        </is>
      </c>
      <c r="C1449" s="6" t="inlineStr">
        <is>
          <t>25</t>
        </is>
      </c>
      <c r="D1449" s="5" t="inlineStr">
        <is>
          <t>Married</t>
        </is>
      </c>
      <c r="E1449" s="5" t="inlineStr">
        <is>
          <t>Bachelor</t>
        </is>
      </c>
      <c r="F1449" s="5" t="inlineStr">
        <is>
          <t>Human Resources</t>
        </is>
      </c>
      <c r="G1449" s="5" t="inlineStr">
        <is>
          <t>HR Analyst</t>
        </is>
      </c>
      <c r="H1449" s="5" t="inlineStr">
        <is>
          <t>1</t>
        </is>
      </c>
      <c r="I1449" s="5" t="inlineStr">
        <is>
          <t>Mumbai</t>
        </is>
      </c>
      <c r="J1449" s="5" t="inlineStr">
        <is>
          <t>Full-Time</t>
        </is>
      </c>
      <c r="K1449" s="7" t="n">
        <v>44796</v>
      </c>
      <c r="L1449" s="7" t="inlineStr"/>
      <c r="M1449" s="5" t="inlineStr">
        <is>
          <t>Yes</t>
        </is>
      </c>
      <c r="N1449" s="5" t="inlineStr"/>
      <c r="O1449" s="8" t="inlineStr">
        <is>
          <t>68500</t>
        </is>
      </c>
      <c r="P1449" s="5" t="inlineStr">
        <is>
          <t>0</t>
        </is>
      </c>
      <c r="Q1449" s="5" t="inlineStr">
        <is>
          <t>5</t>
        </is>
      </c>
      <c r="R1449" s="5" t="inlineStr">
        <is>
          <t>5</t>
        </is>
      </c>
      <c r="S1449" s="5" t="inlineStr">
        <is>
          <t>40</t>
        </is>
      </c>
      <c r="T1449" s="5" t="inlineStr">
        <is>
          <t>0</t>
        </is>
      </c>
      <c r="U1449" s="5">
        <f>IFS(C1449&lt;30,"Under 30",C1449&lt;40,"30-39",C1449&lt;50,"40-49",TRUE,"50+")</f>
        <v/>
      </c>
      <c r="V1449" s="5">
        <f>IFS(O1449&lt;60000,"Low (&lt;60k)",O1449&lt;100000,"Mid (60-100k)",TRUE,"High (100k+)")</f>
        <v/>
      </c>
      <c r="W1449" s="5">
        <f>IF(M1449="No","Attrited","Active")</f>
        <v/>
      </c>
    </row>
    <row r="1450">
      <c r="A1450" s="5" t="inlineStr">
        <is>
          <t>E01449</t>
        </is>
      </c>
      <c r="B1450" s="5" t="inlineStr">
        <is>
          <t>Female</t>
        </is>
      </c>
      <c r="C1450" s="6" t="inlineStr">
        <is>
          <t>30</t>
        </is>
      </c>
      <c r="D1450" s="5" t="inlineStr">
        <is>
          <t>Married</t>
        </is>
      </c>
      <c r="E1450" s="5" t="inlineStr">
        <is>
          <t>Bachelor</t>
        </is>
      </c>
      <c r="F1450" s="5" t="inlineStr">
        <is>
          <t>IT</t>
        </is>
      </c>
      <c r="G1450" s="5" t="inlineStr">
        <is>
          <t>Data Analyst</t>
        </is>
      </c>
      <c r="H1450" s="5" t="inlineStr">
        <is>
          <t>2</t>
        </is>
      </c>
      <c r="I1450" s="5" t="inlineStr">
        <is>
          <t>Delhi</t>
        </is>
      </c>
      <c r="J1450" s="5" t="inlineStr">
        <is>
          <t>Full-Time</t>
        </is>
      </c>
      <c r="K1450" s="7" t="n">
        <v>44403</v>
      </c>
      <c r="L1450" s="7" t="inlineStr"/>
      <c r="M1450" s="5" t="inlineStr">
        <is>
          <t>Yes</t>
        </is>
      </c>
      <c r="N1450" s="5" t="inlineStr"/>
      <c r="O1450" s="8" t="inlineStr">
        <is>
          <t>102500</t>
        </is>
      </c>
      <c r="P1450" s="5" t="inlineStr">
        <is>
          <t>10</t>
        </is>
      </c>
      <c r="Q1450" s="5" t="inlineStr">
        <is>
          <t>2</t>
        </is>
      </c>
      <c r="R1450" s="5" t="inlineStr">
        <is>
          <t>6</t>
        </is>
      </c>
      <c r="S1450" s="5" t="inlineStr">
        <is>
          <t>53</t>
        </is>
      </c>
      <c r="T1450" s="5" t="inlineStr">
        <is>
          <t>10</t>
        </is>
      </c>
      <c r="U1450" s="5">
        <f>IFS(C1450&lt;30,"Under 30",C1450&lt;40,"30-39",C1450&lt;50,"40-49",TRUE,"50+")</f>
        <v/>
      </c>
      <c r="V1450" s="5">
        <f>IFS(O1450&lt;60000,"Low (&lt;60k)",O1450&lt;100000,"Mid (60-100k)",TRUE,"High (100k+)")</f>
        <v/>
      </c>
      <c r="W1450" s="5">
        <f>IF(M1450="No","Attrited","Active")</f>
        <v/>
      </c>
    </row>
    <row r="1451">
      <c r="A1451" s="5" t="inlineStr">
        <is>
          <t>E01450</t>
        </is>
      </c>
      <c r="B1451" s="5" t="inlineStr">
        <is>
          <t>Male</t>
        </is>
      </c>
      <c r="C1451" s="6" t="inlineStr">
        <is>
          <t>34</t>
        </is>
      </c>
      <c r="D1451" s="5" t="inlineStr">
        <is>
          <t>Married</t>
        </is>
      </c>
      <c r="E1451" s="5" t="inlineStr">
        <is>
          <t>Bachelor</t>
        </is>
      </c>
      <c r="F1451" s="5" t="inlineStr">
        <is>
          <t>Finance</t>
        </is>
      </c>
      <c r="G1451" s="5" t="inlineStr">
        <is>
          <t>Credit Analyst</t>
        </is>
      </c>
      <c r="H1451" s="5" t="inlineStr">
        <is>
          <t>4</t>
        </is>
      </c>
      <c r="I1451" s="5" t="inlineStr">
        <is>
          <t>Bengaluru</t>
        </is>
      </c>
      <c r="J1451" s="5" t="inlineStr">
        <is>
          <t>Full-Time</t>
        </is>
      </c>
      <c r="K1451" s="7" t="n">
        <v>44734</v>
      </c>
      <c r="L1451" s="7" t="inlineStr"/>
      <c r="M1451" s="5" t="inlineStr">
        <is>
          <t>Yes</t>
        </is>
      </c>
      <c r="N1451" s="5" t="inlineStr"/>
      <c r="O1451" s="8" t="inlineStr">
        <is>
          <t>145500</t>
        </is>
      </c>
      <c r="P1451" s="5" t="inlineStr">
        <is>
          <t>0</t>
        </is>
      </c>
      <c r="Q1451" s="5" t="inlineStr">
        <is>
          <t>5</t>
        </is>
      </c>
      <c r="R1451" s="5" t="inlineStr">
        <is>
          <t>6</t>
        </is>
      </c>
      <c r="S1451" s="5" t="inlineStr">
        <is>
          <t>42</t>
        </is>
      </c>
      <c r="T1451" s="5" t="inlineStr">
        <is>
          <t>12</t>
        </is>
      </c>
      <c r="U1451" s="5">
        <f>IFS(C1451&lt;30,"Under 30",C1451&lt;40,"30-39",C1451&lt;50,"40-49",TRUE,"50+")</f>
        <v/>
      </c>
      <c r="V1451" s="5">
        <f>IFS(O1451&lt;60000,"Low (&lt;60k)",O1451&lt;100000,"Mid (60-100k)",TRUE,"High (100k+)")</f>
        <v/>
      </c>
      <c r="W1451" s="5">
        <f>IF(M1451="No","Attrited","Active")</f>
        <v/>
      </c>
    </row>
    <row r="1452">
      <c r="A1452" s="5" t="inlineStr">
        <is>
          <t>E01451</t>
        </is>
      </c>
      <c r="B1452" s="5" t="inlineStr">
        <is>
          <t>Male</t>
        </is>
      </c>
      <c r="C1452" s="6" t="inlineStr">
        <is>
          <t>29</t>
        </is>
      </c>
      <c r="D1452" s="5" t="inlineStr">
        <is>
          <t>Married</t>
        </is>
      </c>
      <c r="E1452" s="5" t="inlineStr">
        <is>
          <t>High School</t>
        </is>
      </c>
      <c r="F1452" s="5" t="inlineStr">
        <is>
          <t>Finance</t>
        </is>
      </c>
      <c r="G1452" s="5" t="inlineStr">
        <is>
          <t>Financial Analyst</t>
        </is>
      </c>
      <c r="H1452" s="5" t="inlineStr">
        <is>
          <t>2</t>
        </is>
      </c>
      <c r="I1452" s="5" t="inlineStr">
        <is>
          <t>Remote</t>
        </is>
      </c>
      <c r="J1452" s="5" t="inlineStr">
        <is>
          <t>Full-Time</t>
        </is>
      </c>
      <c r="K1452" s="7" t="n">
        <v>44330</v>
      </c>
      <c r="L1452" s="7" t="inlineStr"/>
      <c r="M1452" s="5" t="inlineStr">
        <is>
          <t>Yes</t>
        </is>
      </c>
      <c r="N1452" s="5" t="inlineStr"/>
      <c r="O1452" s="8" t="inlineStr">
        <is>
          <t>85500</t>
        </is>
      </c>
      <c r="P1452" s="5" t="inlineStr">
        <is>
          <t>0</t>
        </is>
      </c>
      <c r="Q1452" s="5" t="inlineStr">
        <is>
          <t>3</t>
        </is>
      </c>
      <c r="R1452" s="5" t="inlineStr">
        <is>
          <t>5</t>
        </is>
      </c>
      <c r="S1452" s="5" t="inlineStr">
        <is>
          <t>56</t>
        </is>
      </c>
      <c r="T1452" s="5" t="inlineStr">
        <is>
          <t>11</t>
        </is>
      </c>
      <c r="U1452" s="5">
        <f>IFS(C1452&lt;30,"Under 30",C1452&lt;40,"30-39",C1452&lt;50,"40-49",TRUE,"50+")</f>
        <v/>
      </c>
      <c r="V1452" s="5">
        <f>IFS(O1452&lt;60000,"Low (&lt;60k)",O1452&lt;100000,"Mid (60-100k)",TRUE,"High (100k+)")</f>
        <v/>
      </c>
      <c r="W1452" s="5">
        <f>IF(M1452="No","Attrited","Active")</f>
        <v/>
      </c>
    </row>
    <row r="1453">
      <c r="A1453" s="5" t="inlineStr">
        <is>
          <t>E01452</t>
        </is>
      </c>
      <c r="B1453" s="5" t="inlineStr">
        <is>
          <t>Female</t>
        </is>
      </c>
      <c r="C1453" s="6" t="inlineStr">
        <is>
          <t>35</t>
        </is>
      </c>
      <c r="D1453" s="5" t="inlineStr">
        <is>
          <t>Married</t>
        </is>
      </c>
      <c r="E1453" s="5" t="inlineStr">
        <is>
          <t>High School</t>
        </is>
      </c>
      <c r="F1453" s="5" t="inlineStr">
        <is>
          <t>IT</t>
        </is>
      </c>
      <c r="G1453" s="5" t="inlineStr">
        <is>
          <t>Data Analyst</t>
        </is>
      </c>
      <c r="H1453" s="5" t="inlineStr">
        <is>
          <t>6</t>
        </is>
      </c>
      <c r="I1453" s="5" t="inlineStr">
        <is>
          <t>Mumbai</t>
        </is>
      </c>
      <c r="J1453" s="5" t="inlineStr">
        <is>
          <t>Full-Time</t>
        </is>
      </c>
      <c r="K1453" s="7" t="n">
        <v>45156</v>
      </c>
      <c r="L1453" s="7" t="inlineStr"/>
      <c r="M1453" s="5" t="inlineStr">
        <is>
          <t>Yes</t>
        </is>
      </c>
      <c r="N1453" s="5" t="inlineStr"/>
      <c r="O1453" s="8" t="inlineStr">
        <is>
          <t>187500</t>
        </is>
      </c>
      <c r="P1453" s="5" t="inlineStr">
        <is>
          <t>5</t>
        </is>
      </c>
      <c r="Q1453" s="5" t="inlineStr">
        <is>
          <t>2</t>
        </is>
      </c>
      <c r="R1453" s="5" t="inlineStr">
        <is>
          <t>8</t>
        </is>
      </c>
      <c r="S1453" s="5" t="inlineStr">
        <is>
          <t>28</t>
        </is>
      </c>
      <c r="T1453" s="5" t="inlineStr">
        <is>
          <t>16</t>
        </is>
      </c>
      <c r="U1453" s="5">
        <f>IFS(C1453&lt;30,"Under 30",C1453&lt;40,"30-39",C1453&lt;50,"40-49",TRUE,"50+")</f>
        <v/>
      </c>
      <c r="V1453" s="5">
        <f>IFS(O1453&lt;60000,"Low (&lt;60k)",O1453&lt;100000,"Mid (60-100k)",TRUE,"High (100k+)")</f>
        <v/>
      </c>
      <c r="W1453" s="5">
        <f>IF(M1453="No","Attrited","Active")</f>
        <v/>
      </c>
    </row>
    <row r="1454">
      <c r="A1454" s="5" t="inlineStr">
        <is>
          <t>E01453</t>
        </is>
      </c>
      <c r="B1454" s="5" t="inlineStr">
        <is>
          <t>Female</t>
        </is>
      </c>
      <c r="C1454" s="6" t="inlineStr">
        <is>
          <t>39</t>
        </is>
      </c>
      <c r="D1454" s="5" t="inlineStr">
        <is>
          <t>Married</t>
        </is>
      </c>
      <c r="E1454" s="5" t="inlineStr">
        <is>
          <t>High School</t>
        </is>
      </c>
      <c r="F1454" s="5" t="inlineStr">
        <is>
          <t>Finance</t>
        </is>
      </c>
      <c r="G1454" s="5" t="inlineStr">
        <is>
          <t>Accountant</t>
        </is>
      </c>
      <c r="H1454" s="5" t="inlineStr">
        <is>
          <t>7</t>
        </is>
      </c>
      <c r="I1454" s="5" t="inlineStr">
        <is>
          <t>Chennai</t>
        </is>
      </c>
      <c r="J1454" s="5" t="inlineStr">
        <is>
          <t>Full-Time</t>
        </is>
      </c>
      <c r="K1454" s="7" t="n">
        <v>45528</v>
      </c>
      <c r="L1454" s="7" t="n">
        <v>45593</v>
      </c>
      <c r="M1454" s="5" t="inlineStr">
        <is>
          <t>No</t>
        </is>
      </c>
      <c r="N1454" s="5" t="inlineStr">
        <is>
          <t>Resigned</t>
        </is>
      </c>
      <c r="O1454" s="8" t="inlineStr">
        <is>
          <t>123000</t>
        </is>
      </c>
      <c r="P1454" s="5" t="inlineStr">
        <is>
          <t>0</t>
        </is>
      </c>
      <c r="Q1454" s="5" t="inlineStr">
        <is>
          <t>5</t>
        </is>
      </c>
      <c r="R1454" s="5" t="inlineStr">
        <is>
          <t>6</t>
        </is>
      </c>
      <c r="S1454" s="5" t="inlineStr">
        <is>
          <t>2</t>
        </is>
      </c>
      <c r="T1454" s="5" t="inlineStr">
        <is>
          <t>0</t>
        </is>
      </c>
      <c r="U1454" s="5">
        <f>IFS(C1454&lt;30,"Under 30",C1454&lt;40,"30-39",C1454&lt;50,"40-49",TRUE,"50+")</f>
        <v/>
      </c>
      <c r="V1454" s="5">
        <f>IFS(O1454&lt;60000,"Low (&lt;60k)",O1454&lt;100000,"Mid (60-100k)",TRUE,"High (100k+)")</f>
        <v/>
      </c>
      <c r="W1454" s="5">
        <f>IF(M1454="No","Attrited","Active")</f>
        <v/>
      </c>
    </row>
    <row r="1455">
      <c r="A1455" s="5" t="inlineStr">
        <is>
          <t>E01454</t>
        </is>
      </c>
      <c r="B1455" s="5" t="inlineStr">
        <is>
          <t>Male</t>
        </is>
      </c>
      <c r="C1455" s="6" t="inlineStr">
        <is>
          <t>33</t>
        </is>
      </c>
      <c r="D1455" s="5" t="inlineStr">
        <is>
          <t>Married</t>
        </is>
      </c>
      <c r="E1455" s="5" t="inlineStr">
        <is>
          <t>Diploma</t>
        </is>
      </c>
      <c r="F1455" s="5" t="inlineStr">
        <is>
          <t>IT</t>
        </is>
      </c>
      <c r="G1455" s="5" t="inlineStr">
        <is>
          <t>Software Engineer</t>
        </is>
      </c>
      <c r="H1455" s="5" t="inlineStr">
        <is>
          <t>6</t>
        </is>
      </c>
      <c r="I1455" s="5" t="inlineStr">
        <is>
          <t>Hyderabad</t>
        </is>
      </c>
      <c r="J1455" s="5" t="inlineStr">
        <is>
          <t>Full-Time</t>
        </is>
      </c>
      <c r="K1455" s="7" t="n">
        <v>43842</v>
      </c>
      <c r="L1455" s="7" t="inlineStr"/>
      <c r="M1455" s="5" t="inlineStr">
        <is>
          <t>Yes</t>
        </is>
      </c>
      <c r="N1455" s="5" t="inlineStr"/>
      <c r="O1455" s="8" t="inlineStr">
        <is>
          <t>251500</t>
        </is>
      </c>
      <c r="P1455" s="5" t="inlineStr">
        <is>
          <t>20</t>
        </is>
      </c>
      <c r="Q1455" s="5" t="inlineStr">
        <is>
          <t>4</t>
        </is>
      </c>
      <c r="R1455" s="5" t="inlineStr">
        <is>
          <t>4</t>
        </is>
      </c>
      <c r="S1455" s="5" t="inlineStr">
        <is>
          <t>72</t>
        </is>
      </c>
      <c r="T1455" s="5" t="inlineStr">
        <is>
          <t>0</t>
        </is>
      </c>
      <c r="U1455" s="5">
        <f>IFS(C1455&lt;30,"Under 30",C1455&lt;40,"30-39",C1455&lt;50,"40-49",TRUE,"50+")</f>
        <v/>
      </c>
      <c r="V1455" s="5">
        <f>IFS(O1455&lt;60000,"Low (&lt;60k)",O1455&lt;100000,"Mid (60-100k)",TRUE,"High (100k+)")</f>
        <v/>
      </c>
      <c r="W1455" s="5">
        <f>IF(M1455="No","Attrited","Active")</f>
        <v/>
      </c>
    </row>
    <row r="1456">
      <c r="A1456" s="5" t="inlineStr">
        <is>
          <t>E01455</t>
        </is>
      </c>
      <c r="B1456" s="5" t="inlineStr">
        <is>
          <t>Female</t>
        </is>
      </c>
      <c r="C1456" s="6" t="inlineStr">
        <is>
          <t>33</t>
        </is>
      </c>
      <c r="D1456" s="5" t="inlineStr">
        <is>
          <t>Single</t>
        </is>
      </c>
      <c r="E1456" s="5" t="inlineStr">
        <is>
          <t>Master</t>
        </is>
      </c>
      <c r="F1456" s="5" t="inlineStr">
        <is>
          <t>IT</t>
        </is>
      </c>
      <c r="G1456" s="5" t="inlineStr">
        <is>
          <t>Software Engineer</t>
        </is>
      </c>
      <c r="H1456" s="5" t="inlineStr">
        <is>
          <t>3</t>
        </is>
      </c>
      <c r="I1456" s="5" t="inlineStr">
        <is>
          <t>Hyderabad</t>
        </is>
      </c>
      <c r="J1456" s="5" t="inlineStr">
        <is>
          <t>Contract</t>
        </is>
      </c>
      <c r="K1456" s="7" t="n">
        <v>45618</v>
      </c>
      <c r="L1456" s="7" t="inlineStr"/>
      <c r="M1456" s="5" t="inlineStr">
        <is>
          <t>Yes</t>
        </is>
      </c>
      <c r="N1456" s="5" t="inlineStr"/>
      <c r="O1456" s="8" t="inlineStr">
        <is>
          <t>109500</t>
        </is>
      </c>
      <c r="P1456" s="5" t="inlineStr">
        <is>
          <t>10</t>
        </is>
      </c>
      <c r="Q1456" s="5" t="inlineStr">
        <is>
          <t>5</t>
        </is>
      </c>
      <c r="R1456" s="5" t="inlineStr">
        <is>
          <t>8</t>
        </is>
      </c>
      <c r="S1456" s="5" t="inlineStr">
        <is>
          <t>13</t>
        </is>
      </c>
      <c r="T1456" s="5" t="inlineStr">
        <is>
          <t>7</t>
        </is>
      </c>
      <c r="U1456" s="5">
        <f>IFS(C1456&lt;30,"Under 30",C1456&lt;40,"30-39",C1456&lt;50,"40-49",TRUE,"50+")</f>
        <v/>
      </c>
      <c r="V1456" s="5">
        <f>IFS(O1456&lt;60000,"Low (&lt;60k)",O1456&lt;100000,"Mid (60-100k)",TRUE,"High (100k+)")</f>
        <v/>
      </c>
      <c r="W1456" s="5">
        <f>IF(M1456="No","Attrited","Active")</f>
        <v/>
      </c>
    </row>
    <row r="1457">
      <c r="A1457" s="5" t="inlineStr">
        <is>
          <t>E01456</t>
        </is>
      </c>
      <c r="B1457" s="5" t="inlineStr">
        <is>
          <t>Female</t>
        </is>
      </c>
      <c r="C1457" s="6" t="inlineStr">
        <is>
          <t>36</t>
        </is>
      </c>
      <c r="D1457" s="5" t="inlineStr">
        <is>
          <t>Single</t>
        </is>
      </c>
      <c r="E1457" s="5" t="inlineStr">
        <is>
          <t>High School</t>
        </is>
      </c>
      <c r="F1457" s="5" t="inlineStr">
        <is>
          <t>Marketing</t>
        </is>
      </c>
      <c r="G1457" s="5" t="inlineStr">
        <is>
          <t>Marketing Analyst</t>
        </is>
      </c>
      <c r="H1457" s="5" t="inlineStr">
        <is>
          <t>2</t>
        </is>
      </c>
      <c r="I1457" s="5" t="inlineStr">
        <is>
          <t>Delhi</t>
        </is>
      </c>
      <c r="J1457" s="5" t="inlineStr">
        <is>
          <t>Full-Time</t>
        </is>
      </c>
      <c r="K1457" s="7" t="n">
        <v>44724</v>
      </c>
      <c r="L1457" s="7" t="inlineStr"/>
      <c r="M1457" s="5" t="inlineStr">
        <is>
          <t>Yes</t>
        </is>
      </c>
      <c r="N1457" s="5" t="inlineStr"/>
      <c r="O1457" s="8" t="inlineStr">
        <is>
          <t>67500</t>
        </is>
      </c>
      <c r="P1457" s="5" t="inlineStr">
        <is>
          <t>20</t>
        </is>
      </c>
      <c r="Q1457" s="5" t="inlineStr">
        <is>
          <t>5</t>
        </is>
      </c>
      <c r="R1457" s="5" t="inlineStr">
        <is>
          <t>6</t>
        </is>
      </c>
      <c r="S1457" s="5" t="inlineStr">
        <is>
          <t>43</t>
        </is>
      </c>
      <c r="T1457" s="5" t="inlineStr">
        <is>
          <t>4</t>
        </is>
      </c>
      <c r="U1457" s="5">
        <f>IFS(C1457&lt;30,"Under 30",C1457&lt;40,"30-39",C1457&lt;50,"40-49",TRUE,"50+")</f>
        <v/>
      </c>
      <c r="V1457" s="5">
        <f>IFS(O1457&lt;60000,"Low (&lt;60k)",O1457&lt;100000,"Mid (60-100k)",TRUE,"High (100k+)")</f>
        <v/>
      </c>
      <c r="W1457" s="5">
        <f>IF(M1457="No","Attrited","Active")</f>
        <v/>
      </c>
    </row>
    <row r="1458">
      <c r="A1458" s="5" t="inlineStr">
        <is>
          <t>E01457</t>
        </is>
      </c>
      <c r="B1458" s="5" t="inlineStr">
        <is>
          <t>Female</t>
        </is>
      </c>
      <c r="C1458" s="6" t="inlineStr">
        <is>
          <t>36</t>
        </is>
      </c>
      <c r="D1458" s="5" t="inlineStr">
        <is>
          <t>Married</t>
        </is>
      </c>
      <c r="E1458" s="5" t="inlineStr">
        <is>
          <t>Bachelor</t>
        </is>
      </c>
      <c r="F1458" s="5" t="inlineStr">
        <is>
          <t>Sales</t>
        </is>
      </c>
      <c r="G1458" s="5" t="inlineStr">
        <is>
          <t>Business Development</t>
        </is>
      </c>
      <c r="H1458" s="5" t="inlineStr">
        <is>
          <t>4</t>
        </is>
      </c>
      <c r="I1458" s="5" t="inlineStr">
        <is>
          <t>Delhi</t>
        </is>
      </c>
      <c r="J1458" s="5" t="inlineStr">
        <is>
          <t>Full-Time</t>
        </is>
      </c>
      <c r="K1458" s="7" t="n">
        <v>44830</v>
      </c>
      <c r="L1458" s="7" t="inlineStr"/>
      <c r="M1458" s="5" t="inlineStr">
        <is>
          <t>Yes</t>
        </is>
      </c>
      <c r="N1458" s="5" t="inlineStr"/>
      <c r="O1458" s="8" t="inlineStr">
        <is>
          <t>121000</t>
        </is>
      </c>
      <c r="P1458" s="5" t="inlineStr">
        <is>
          <t>10</t>
        </is>
      </c>
      <c r="Q1458" s="5" t="inlineStr">
        <is>
          <t>5</t>
        </is>
      </c>
      <c r="R1458" s="5" t="inlineStr">
        <is>
          <t>8</t>
        </is>
      </c>
      <c r="S1458" s="5" t="inlineStr">
        <is>
          <t>39</t>
        </is>
      </c>
      <c r="T1458" s="5" t="inlineStr">
        <is>
          <t>6</t>
        </is>
      </c>
      <c r="U1458" s="5">
        <f>IFS(C1458&lt;30,"Under 30",C1458&lt;40,"30-39",C1458&lt;50,"40-49",TRUE,"50+")</f>
        <v/>
      </c>
      <c r="V1458" s="5">
        <f>IFS(O1458&lt;60000,"Low (&lt;60k)",O1458&lt;100000,"Mid (60-100k)",TRUE,"High (100k+)")</f>
        <v/>
      </c>
      <c r="W1458" s="5">
        <f>IF(M1458="No","Attrited","Active")</f>
        <v/>
      </c>
    </row>
    <row r="1459">
      <c r="A1459" s="5" t="inlineStr">
        <is>
          <t>E01458</t>
        </is>
      </c>
      <c r="B1459" s="5" t="inlineStr">
        <is>
          <t>Female</t>
        </is>
      </c>
      <c r="C1459" s="6" t="inlineStr">
        <is>
          <t>37</t>
        </is>
      </c>
      <c r="D1459" s="5" t="inlineStr">
        <is>
          <t>Married</t>
        </is>
      </c>
      <c r="E1459" s="5" t="inlineStr">
        <is>
          <t>Bachelor</t>
        </is>
      </c>
      <c r="F1459" s="5" t="inlineStr">
        <is>
          <t>Marketing</t>
        </is>
      </c>
      <c r="G1459" s="5" t="inlineStr">
        <is>
          <t>SEO Specialist</t>
        </is>
      </c>
      <c r="H1459" s="5" t="inlineStr">
        <is>
          <t>6</t>
        </is>
      </c>
      <c r="I1459" s="5" t="inlineStr">
        <is>
          <t>Mumbai</t>
        </is>
      </c>
      <c r="J1459" s="5" t="inlineStr">
        <is>
          <t>Full-Time</t>
        </is>
      </c>
      <c r="K1459" s="7" t="n">
        <v>43920</v>
      </c>
      <c r="L1459" s="7" t="inlineStr"/>
      <c r="M1459" s="5" t="inlineStr">
        <is>
          <t>Yes</t>
        </is>
      </c>
      <c r="N1459" s="5" t="inlineStr"/>
      <c r="O1459" s="8" t="inlineStr">
        <is>
          <t>114000</t>
        </is>
      </c>
      <c r="P1459" s="5" t="inlineStr">
        <is>
          <t>10</t>
        </is>
      </c>
      <c r="Q1459" s="5" t="inlineStr">
        <is>
          <t>3</t>
        </is>
      </c>
      <c r="R1459" s="5" t="inlineStr">
        <is>
          <t>6</t>
        </is>
      </c>
      <c r="S1459" s="5" t="inlineStr">
        <is>
          <t>70</t>
        </is>
      </c>
      <c r="T1459" s="5" t="inlineStr">
        <is>
          <t>0</t>
        </is>
      </c>
      <c r="U1459" s="5">
        <f>IFS(C1459&lt;30,"Under 30",C1459&lt;40,"30-39",C1459&lt;50,"40-49",TRUE,"50+")</f>
        <v/>
      </c>
      <c r="V1459" s="5">
        <f>IFS(O1459&lt;60000,"Low (&lt;60k)",O1459&lt;100000,"Mid (60-100k)",TRUE,"High (100k+)")</f>
        <v/>
      </c>
      <c r="W1459" s="5">
        <f>IF(M1459="No","Attrited","Active")</f>
        <v/>
      </c>
    </row>
    <row r="1460">
      <c r="A1460" s="5" t="inlineStr">
        <is>
          <t>E01459</t>
        </is>
      </c>
      <c r="B1460" s="5" t="inlineStr">
        <is>
          <t>Male</t>
        </is>
      </c>
      <c r="C1460" s="6" t="inlineStr">
        <is>
          <t>33</t>
        </is>
      </c>
      <c r="D1460" s="5" t="inlineStr">
        <is>
          <t>Single</t>
        </is>
      </c>
      <c r="E1460" s="5" t="inlineStr">
        <is>
          <t>High School</t>
        </is>
      </c>
      <c r="F1460" s="5" t="inlineStr">
        <is>
          <t>Operations</t>
        </is>
      </c>
      <c r="G1460" s="5" t="inlineStr">
        <is>
          <t>Logistics Coordinator</t>
        </is>
      </c>
      <c r="H1460" s="5" t="inlineStr">
        <is>
          <t>5</t>
        </is>
      </c>
      <c r="I1460" s="5" t="inlineStr">
        <is>
          <t>Hyderabad</t>
        </is>
      </c>
      <c r="J1460" s="5" t="inlineStr">
        <is>
          <t>Full-Time</t>
        </is>
      </c>
      <c r="K1460" s="7" t="n">
        <v>44808</v>
      </c>
      <c r="L1460" s="7" t="inlineStr"/>
      <c r="M1460" s="5" t="inlineStr">
        <is>
          <t>Yes</t>
        </is>
      </c>
      <c r="N1460" s="5" t="inlineStr"/>
      <c r="O1460" s="8" t="inlineStr">
        <is>
          <t>149500</t>
        </is>
      </c>
      <c r="P1460" s="5" t="inlineStr">
        <is>
          <t>5</t>
        </is>
      </c>
      <c r="Q1460" s="5" t="inlineStr">
        <is>
          <t>5</t>
        </is>
      </c>
      <c r="R1460" s="5" t="inlineStr">
        <is>
          <t>9</t>
        </is>
      </c>
      <c r="S1460" s="5" t="inlineStr">
        <is>
          <t>40</t>
        </is>
      </c>
      <c r="T1460" s="5" t="inlineStr">
        <is>
          <t>14</t>
        </is>
      </c>
      <c r="U1460" s="5">
        <f>IFS(C1460&lt;30,"Under 30",C1460&lt;40,"30-39",C1460&lt;50,"40-49",TRUE,"50+")</f>
        <v/>
      </c>
      <c r="V1460" s="5">
        <f>IFS(O1460&lt;60000,"Low (&lt;60k)",O1460&lt;100000,"Mid (60-100k)",TRUE,"High (100k+)")</f>
        <v/>
      </c>
      <c r="W1460" s="5">
        <f>IF(M1460="No","Attrited","Active")</f>
        <v/>
      </c>
    </row>
    <row r="1461">
      <c r="A1461" s="5" t="inlineStr">
        <is>
          <t>E01460</t>
        </is>
      </c>
      <c r="B1461" s="5" t="inlineStr">
        <is>
          <t>Male</t>
        </is>
      </c>
      <c r="C1461" s="6" t="inlineStr">
        <is>
          <t>41</t>
        </is>
      </c>
      <c r="D1461" s="5" t="inlineStr">
        <is>
          <t>Married</t>
        </is>
      </c>
      <c r="E1461" s="5" t="inlineStr">
        <is>
          <t>Master</t>
        </is>
      </c>
      <c r="F1461" s="5" t="inlineStr">
        <is>
          <t>Research &amp; Development</t>
        </is>
      </c>
      <c r="G1461" s="5" t="inlineStr">
        <is>
          <t>Product Engineer</t>
        </is>
      </c>
      <c r="H1461" s="5" t="inlineStr">
        <is>
          <t>5</t>
        </is>
      </c>
      <c r="I1461" s="5" t="inlineStr">
        <is>
          <t>Delhi</t>
        </is>
      </c>
      <c r="J1461" s="5" t="inlineStr">
        <is>
          <t>Part-Time</t>
        </is>
      </c>
      <c r="K1461" s="7" t="n">
        <v>44495</v>
      </c>
      <c r="L1461" s="7" t="inlineStr"/>
      <c r="M1461" s="5" t="inlineStr">
        <is>
          <t>Yes</t>
        </is>
      </c>
      <c r="N1461" s="5" t="inlineStr"/>
      <c r="O1461" s="8" t="inlineStr">
        <is>
          <t>178000</t>
        </is>
      </c>
      <c r="P1461" s="5" t="inlineStr">
        <is>
          <t>0</t>
        </is>
      </c>
      <c r="Q1461" s="5" t="inlineStr">
        <is>
          <t>3</t>
        </is>
      </c>
      <c r="R1461" s="5" t="inlineStr">
        <is>
          <t>4</t>
        </is>
      </c>
      <c r="S1461" s="5" t="inlineStr">
        <is>
          <t>50</t>
        </is>
      </c>
      <c r="T1461" s="5" t="inlineStr">
        <is>
          <t>7</t>
        </is>
      </c>
      <c r="U1461" s="5">
        <f>IFS(C1461&lt;30,"Under 30",C1461&lt;40,"30-39",C1461&lt;50,"40-49",TRUE,"50+")</f>
        <v/>
      </c>
      <c r="V1461" s="5">
        <f>IFS(O1461&lt;60000,"Low (&lt;60k)",O1461&lt;100000,"Mid (60-100k)",TRUE,"High (100k+)")</f>
        <v/>
      </c>
      <c r="W1461" s="5">
        <f>IF(M1461="No","Attrited","Active")</f>
        <v/>
      </c>
    </row>
    <row r="1462">
      <c r="A1462" s="5" t="inlineStr">
        <is>
          <t>E01461</t>
        </is>
      </c>
      <c r="B1462" s="5" t="inlineStr">
        <is>
          <t>Male</t>
        </is>
      </c>
      <c r="C1462" s="6" t="inlineStr">
        <is>
          <t>25</t>
        </is>
      </c>
      <c r="D1462" s="5" t="inlineStr">
        <is>
          <t>Married</t>
        </is>
      </c>
      <c r="E1462" s="5" t="inlineStr">
        <is>
          <t>Master</t>
        </is>
      </c>
      <c r="F1462" s="5" t="inlineStr">
        <is>
          <t>Customer Support</t>
        </is>
      </c>
      <c r="G1462" s="5" t="inlineStr">
        <is>
          <t>Support Agent</t>
        </is>
      </c>
      <c r="H1462" s="5" t="inlineStr">
        <is>
          <t>2</t>
        </is>
      </c>
      <c r="I1462" s="5" t="inlineStr">
        <is>
          <t>Hyderabad</t>
        </is>
      </c>
      <c r="J1462" s="5" t="inlineStr">
        <is>
          <t>Full-Time</t>
        </is>
      </c>
      <c r="K1462" s="7" t="n">
        <v>44648</v>
      </c>
      <c r="L1462" s="7" t="n">
        <v>44753</v>
      </c>
      <c r="M1462" s="5" t="inlineStr">
        <is>
          <t>No</t>
        </is>
      </c>
      <c r="N1462" s="5" t="inlineStr">
        <is>
          <t>Resigned</t>
        </is>
      </c>
      <c r="O1462" s="8" t="inlineStr">
        <is>
          <t>80500</t>
        </is>
      </c>
      <c r="P1462" s="5" t="inlineStr">
        <is>
          <t>10</t>
        </is>
      </c>
      <c r="Q1462" s="5" t="inlineStr">
        <is>
          <t>3</t>
        </is>
      </c>
      <c r="R1462" s="5" t="inlineStr">
        <is>
          <t>6</t>
        </is>
      </c>
      <c r="S1462" s="5" t="inlineStr">
        <is>
          <t>3</t>
        </is>
      </c>
      <c r="T1462" s="5" t="inlineStr">
        <is>
          <t>6</t>
        </is>
      </c>
      <c r="U1462" s="5">
        <f>IFS(C1462&lt;30,"Under 30",C1462&lt;40,"30-39",C1462&lt;50,"40-49",TRUE,"50+")</f>
        <v/>
      </c>
      <c r="V1462" s="5">
        <f>IFS(O1462&lt;60000,"Low (&lt;60k)",O1462&lt;100000,"Mid (60-100k)",TRUE,"High (100k+)")</f>
        <v/>
      </c>
      <c r="W1462" s="5">
        <f>IF(M1462="No","Attrited","Active")</f>
        <v/>
      </c>
    </row>
    <row r="1463">
      <c r="A1463" s="5" t="inlineStr">
        <is>
          <t>E01462</t>
        </is>
      </c>
      <c r="B1463" s="5" t="inlineStr">
        <is>
          <t>Female</t>
        </is>
      </c>
      <c r="C1463" s="6" t="inlineStr">
        <is>
          <t>33</t>
        </is>
      </c>
      <c r="D1463" s="5" t="inlineStr">
        <is>
          <t>Married</t>
        </is>
      </c>
      <c r="E1463" s="5" t="inlineStr">
        <is>
          <t>High School</t>
        </is>
      </c>
      <c r="F1463" s="5" t="inlineStr">
        <is>
          <t>Operations</t>
        </is>
      </c>
      <c r="G1463" s="5" t="inlineStr">
        <is>
          <t>Quality Analyst</t>
        </is>
      </c>
      <c r="H1463" s="5" t="inlineStr">
        <is>
          <t>3</t>
        </is>
      </c>
      <c r="I1463" s="5" t="inlineStr">
        <is>
          <t>Remote</t>
        </is>
      </c>
      <c r="J1463" s="5" t="inlineStr">
        <is>
          <t>Full-Time</t>
        </is>
      </c>
      <c r="K1463" s="7" t="n">
        <v>45413</v>
      </c>
      <c r="L1463" s="7" t="inlineStr"/>
      <c r="M1463" s="5" t="inlineStr">
        <is>
          <t>Yes</t>
        </is>
      </c>
      <c r="N1463" s="5" t="inlineStr"/>
      <c r="O1463" s="8" t="inlineStr">
        <is>
          <t>91500</t>
        </is>
      </c>
      <c r="P1463" s="5" t="inlineStr">
        <is>
          <t>10</t>
        </is>
      </c>
      <c r="Q1463" s="5" t="inlineStr">
        <is>
          <t>4</t>
        </is>
      </c>
      <c r="R1463" s="5" t="inlineStr">
        <is>
          <t>6</t>
        </is>
      </c>
      <c r="S1463" s="5" t="inlineStr">
        <is>
          <t>20</t>
        </is>
      </c>
      <c r="T1463" s="5" t="inlineStr">
        <is>
          <t>9</t>
        </is>
      </c>
      <c r="U1463" s="5">
        <f>IFS(C1463&lt;30,"Under 30",C1463&lt;40,"30-39",C1463&lt;50,"40-49",TRUE,"50+")</f>
        <v/>
      </c>
      <c r="V1463" s="5">
        <f>IFS(O1463&lt;60000,"Low (&lt;60k)",O1463&lt;100000,"Mid (60-100k)",TRUE,"High (100k+)")</f>
        <v/>
      </c>
      <c r="W1463" s="5">
        <f>IF(M1463="No","Attrited","Active")</f>
        <v/>
      </c>
    </row>
    <row r="1464">
      <c r="A1464" s="5" t="inlineStr">
        <is>
          <t>E01463</t>
        </is>
      </c>
      <c r="B1464" s="5" t="inlineStr">
        <is>
          <t>Male</t>
        </is>
      </c>
      <c r="C1464" s="6" t="inlineStr">
        <is>
          <t>35</t>
        </is>
      </c>
      <c r="D1464" s="5" t="inlineStr">
        <is>
          <t>Single</t>
        </is>
      </c>
      <c r="E1464" s="5" t="inlineStr">
        <is>
          <t>Diploma</t>
        </is>
      </c>
      <c r="F1464" s="5" t="inlineStr">
        <is>
          <t>Operations</t>
        </is>
      </c>
      <c r="G1464" s="5" t="inlineStr">
        <is>
          <t>Logistics Coordinator</t>
        </is>
      </c>
      <c r="H1464" s="5" t="inlineStr">
        <is>
          <t>5</t>
        </is>
      </c>
      <c r="I1464" s="5" t="inlineStr">
        <is>
          <t>Delhi</t>
        </is>
      </c>
      <c r="J1464" s="5" t="inlineStr">
        <is>
          <t>Full-Time</t>
        </is>
      </c>
      <c r="K1464" s="7" t="n">
        <v>43937</v>
      </c>
      <c r="L1464" s="7" t="inlineStr"/>
      <c r="M1464" s="5" t="inlineStr">
        <is>
          <t>Yes</t>
        </is>
      </c>
      <c r="N1464" s="5" t="inlineStr"/>
      <c r="O1464" s="8" t="inlineStr">
        <is>
          <t>88500</t>
        </is>
      </c>
      <c r="P1464" s="5" t="inlineStr">
        <is>
          <t>0</t>
        </is>
      </c>
      <c r="Q1464" s="5" t="inlineStr">
        <is>
          <t>4</t>
        </is>
      </c>
      <c r="R1464" s="5" t="inlineStr">
        <is>
          <t>6</t>
        </is>
      </c>
      <c r="S1464" s="5" t="inlineStr">
        <is>
          <t>69</t>
        </is>
      </c>
      <c r="T1464" s="5" t="inlineStr">
        <is>
          <t>6</t>
        </is>
      </c>
      <c r="U1464" s="5">
        <f>IFS(C1464&lt;30,"Under 30",C1464&lt;40,"30-39",C1464&lt;50,"40-49",TRUE,"50+")</f>
        <v/>
      </c>
      <c r="V1464" s="5">
        <f>IFS(O1464&lt;60000,"Low (&lt;60k)",O1464&lt;100000,"Mid (60-100k)",TRUE,"High (100k+)")</f>
        <v/>
      </c>
      <c r="W1464" s="5">
        <f>IF(M1464="No","Attrited","Active")</f>
        <v/>
      </c>
    </row>
    <row r="1465">
      <c r="A1465" s="5" t="inlineStr">
        <is>
          <t>E01464</t>
        </is>
      </c>
      <c r="B1465" s="5" t="inlineStr">
        <is>
          <t>Female</t>
        </is>
      </c>
      <c r="C1465" s="6" t="inlineStr">
        <is>
          <t>32</t>
        </is>
      </c>
      <c r="D1465" s="5" t="inlineStr">
        <is>
          <t>Single</t>
        </is>
      </c>
      <c r="E1465" s="5" t="inlineStr">
        <is>
          <t>Master</t>
        </is>
      </c>
      <c r="F1465" s="5" t="inlineStr">
        <is>
          <t>Marketing</t>
        </is>
      </c>
      <c r="G1465" s="5" t="inlineStr">
        <is>
          <t>Content Writer</t>
        </is>
      </c>
      <c r="H1465" s="5" t="inlineStr">
        <is>
          <t>1</t>
        </is>
      </c>
      <c r="I1465" s="5" t="inlineStr">
        <is>
          <t>Bengaluru</t>
        </is>
      </c>
      <c r="J1465" s="5" t="inlineStr">
        <is>
          <t>Full-Time</t>
        </is>
      </c>
      <c r="K1465" s="7" t="n">
        <v>44778</v>
      </c>
      <c r="L1465" s="7" t="n">
        <v>44912</v>
      </c>
      <c r="M1465" s="5" t="inlineStr">
        <is>
          <t>No</t>
        </is>
      </c>
      <c r="N1465" s="5" t="inlineStr">
        <is>
          <t>Relocation</t>
        </is>
      </c>
      <c r="O1465" s="8" t="inlineStr">
        <is>
          <t>56500</t>
        </is>
      </c>
      <c r="P1465" s="5" t="inlineStr">
        <is>
          <t>0</t>
        </is>
      </c>
      <c r="Q1465" s="5" t="inlineStr">
        <is>
          <t>3</t>
        </is>
      </c>
      <c r="R1465" s="5" t="inlineStr">
        <is>
          <t>4</t>
        </is>
      </c>
      <c r="S1465" s="5" t="inlineStr">
        <is>
          <t>4</t>
        </is>
      </c>
      <c r="T1465" s="5" t="inlineStr">
        <is>
          <t>10</t>
        </is>
      </c>
      <c r="U1465" s="5">
        <f>IFS(C1465&lt;30,"Under 30",C1465&lt;40,"30-39",C1465&lt;50,"40-49",TRUE,"50+")</f>
        <v/>
      </c>
      <c r="V1465" s="5">
        <f>IFS(O1465&lt;60000,"Low (&lt;60k)",O1465&lt;100000,"Mid (60-100k)",TRUE,"High (100k+)")</f>
        <v/>
      </c>
      <c r="W1465" s="5">
        <f>IF(M1465="No","Attrited","Active")</f>
        <v/>
      </c>
    </row>
    <row r="1466">
      <c r="A1466" s="5" t="inlineStr">
        <is>
          <t>E01465</t>
        </is>
      </c>
      <c r="B1466" s="5" t="inlineStr">
        <is>
          <t>Female</t>
        </is>
      </c>
      <c r="C1466" s="6" t="inlineStr">
        <is>
          <t>35</t>
        </is>
      </c>
      <c r="D1466" s="5" t="inlineStr">
        <is>
          <t>Married</t>
        </is>
      </c>
      <c r="E1466" s="5" t="inlineStr">
        <is>
          <t>Master</t>
        </is>
      </c>
      <c r="F1466" s="5" t="inlineStr">
        <is>
          <t>Sales</t>
        </is>
      </c>
      <c r="G1466" s="5" t="inlineStr">
        <is>
          <t>Sales Executive</t>
        </is>
      </c>
      <c r="H1466" s="5" t="inlineStr">
        <is>
          <t>2</t>
        </is>
      </c>
      <c r="I1466" s="5" t="inlineStr">
        <is>
          <t>Remote</t>
        </is>
      </c>
      <c r="J1466" s="5" t="inlineStr">
        <is>
          <t>Full-Time</t>
        </is>
      </c>
      <c r="K1466" s="7" t="n">
        <v>45711</v>
      </c>
      <c r="L1466" s="7" t="inlineStr"/>
      <c r="M1466" s="5" t="inlineStr">
        <is>
          <t>Yes</t>
        </is>
      </c>
      <c r="N1466" s="5" t="inlineStr"/>
      <c r="O1466" s="8" t="inlineStr">
        <is>
          <t>118500</t>
        </is>
      </c>
      <c r="P1466" s="5" t="inlineStr">
        <is>
          <t>5</t>
        </is>
      </c>
      <c r="Q1466" s="5" t="inlineStr">
        <is>
          <t>4</t>
        </is>
      </c>
      <c r="R1466" s="5" t="inlineStr">
        <is>
          <t>7</t>
        </is>
      </c>
      <c r="S1466" s="5" t="inlineStr">
        <is>
          <t>10</t>
        </is>
      </c>
      <c r="T1466" s="5" t="inlineStr">
        <is>
          <t>9</t>
        </is>
      </c>
      <c r="U1466" s="5">
        <f>IFS(C1466&lt;30,"Under 30",C1466&lt;40,"30-39",C1466&lt;50,"40-49",TRUE,"50+")</f>
        <v/>
      </c>
      <c r="V1466" s="5">
        <f>IFS(O1466&lt;60000,"Low (&lt;60k)",O1466&lt;100000,"Mid (60-100k)",TRUE,"High (100k+)")</f>
        <v/>
      </c>
      <c r="W1466" s="5">
        <f>IF(M1466="No","Attrited","Active")</f>
        <v/>
      </c>
    </row>
    <row r="1467">
      <c r="A1467" s="5" t="inlineStr">
        <is>
          <t>E01466</t>
        </is>
      </c>
      <c r="B1467" s="5" t="inlineStr">
        <is>
          <t>Female</t>
        </is>
      </c>
      <c r="C1467" s="6" t="inlineStr">
        <is>
          <t>28</t>
        </is>
      </c>
      <c r="D1467" s="5" t="inlineStr">
        <is>
          <t>Married</t>
        </is>
      </c>
      <c r="E1467" s="5" t="inlineStr">
        <is>
          <t>High School</t>
        </is>
      </c>
      <c r="F1467" s="5" t="inlineStr">
        <is>
          <t>Marketing</t>
        </is>
      </c>
      <c r="G1467" s="5" t="inlineStr">
        <is>
          <t>Marketing Analyst</t>
        </is>
      </c>
      <c r="H1467" s="5" t="inlineStr">
        <is>
          <t>1</t>
        </is>
      </c>
      <c r="I1467" s="5" t="inlineStr">
        <is>
          <t>Remote</t>
        </is>
      </c>
      <c r="J1467" s="5" t="inlineStr">
        <is>
          <t>Full-Time</t>
        </is>
      </c>
      <c r="K1467" s="7" t="n">
        <v>45741</v>
      </c>
      <c r="L1467" s="7" t="inlineStr"/>
      <c r="M1467" s="5" t="inlineStr">
        <is>
          <t>Yes</t>
        </is>
      </c>
      <c r="N1467" s="5" t="inlineStr"/>
      <c r="O1467" s="8" t="inlineStr">
        <is>
          <t>83500</t>
        </is>
      </c>
      <c r="P1467" s="5" t="inlineStr">
        <is>
          <t>0</t>
        </is>
      </c>
      <c r="Q1467" s="5" t="inlineStr">
        <is>
          <t>4</t>
        </is>
      </c>
      <c r="R1467" s="5" t="inlineStr">
        <is>
          <t>5</t>
        </is>
      </c>
      <c r="S1467" s="5" t="inlineStr">
        <is>
          <t>9</t>
        </is>
      </c>
      <c r="T1467" s="5" t="inlineStr">
        <is>
          <t>0</t>
        </is>
      </c>
      <c r="U1467" s="5">
        <f>IFS(C1467&lt;30,"Under 30",C1467&lt;40,"30-39",C1467&lt;50,"40-49",TRUE,"50+")</f>
        <v/>
      </c>
      <c r="V1467" s="5">
        <f>IFS(O1467&lt;60000,"Low (&lt;60k)",O1467&lt;100000,"Mid (60-100k)",TRUE,"High (100k+)")</f>
        <v/>
      </c>
      <c r="W1467" s="5">
        <f>IF(M1467="No","Attrited","Active")</f>
        <v/>
      </c>
    </row>
    <row r="1468">
      <c r="A1468" s="5" t="inlineStr">
        <is>
          <t>E01467</t>
        </is>
      </c>
      <c r="B1468" s="5" t="inlineStr">
        <is>
          <t>Female</t>
        </is>
      </c>
      <c r="C1468" s="6" t="inlineStr">
        <is>
          <t>32</t>
        </is>
      </c>
      <c r="D1468" s="5" t="inlineStr">
        <is>
          <t>Single</t>
        </is>
      </c>
      <c r="E1468" s="5" t="inlineStr">
        <is>
          <t>Bachelor</t>
        </is>
      </c>
      <c r="F1468" s="5" t="inlineStr">
        <is>
          <t>Operations</t>
        </is>
      </c>
      <c r="G1468" s="5" t="inlineStr">
        <is>
          <t>Quality Analyst</t>
        </is>
      </c>
      <c r="H1468" s="5" t="inlineStr">
        <is>
          <t>4</t>
        </is>
      </c>
      <c r="I1468" s="5" t="inlineStr">
        <is>
          <t>Remote</t>
        </is>
      </c>
      <c r="J1468" s="5" t="inlineStr">
        <is>
          <t>Full-Time</t>
        </is>
      </c>
      <c r="K1468" s="7" t="n">
        <v>45670</v>
      </c>
      <c r="L1468" s="7" t="inlineStr"/>
      <c r="M1468" s="5" t="inlineStr">
        <is>
          <t>Yes</t>
        </is>
      </c>
      <c r="N1468" s="5" t="inlineStr"/>
      <c r="O1468" s="8" t="inlineStr">
        <is>
          <t>134500</t>
        </is>
      </c>
      <c r="P1468" s="5" t="inlineStr">
        <is>
          <t>0</t>
        </is>
      </c>
      <c r="Q1468" s="5" t="inlineStr">
        <is>
          <t>3</t>
        </is>
      </c>
      <c r="R1468" s="5" t="inlineStr">
        <is>
          <t>7</t>
        </is>
      </c>
      <c r="S1468" s="5" t="inlineStr">
        <is>
          <t>11</t>
        </is>
      </c>
      <c r="T1468" s="5" t="inlineStr">
        <is>
          <t>6</t>
        </is>
      </c>
      <c r="U1468" s="5">
        <f>IFS(C1468&lt;30,"Under 30",C1468&lt;40,"30-39",C1468&lt;50,"40-49",TRUE,"50+")</f>
        <v/>
      </c>
      <c r="V1468" s="5">
        <f>IFS(O1468&lt;60000,"Low (&lt;60k)",O1468&lt;100000,"Mid (60-100k)",TRUE,"High (100k+)")</f>
        <v/>
      </c>
      <c r="W1468" s="5">
        <f>IF(M1468="No","Attrited","Active")</f>
        <v/>
      </c>
    </row>
    <row r="1469">
      <c r="A1469" s="5" t="inlineStr">
        <is>
          <t>E01468</t>
        </is>
      </c>
      <c r="B1469" s="5" t="inlineStr">
        <is>
          <t>Female</t>
        </is>
      </c>
      <c r="C1469" s="6" t="inlineStr">
        <is>
          <t>28</t>
        </is>
      </c>
      <c r="D1469" s="5" t="inlineStr">
        <is>
          <t>Married</t>
        </is>
      </c>
      <c r="E1469" s="5" t="inlineStr">
        <is>
          <t>Bachelor</t>
        </is>
      </c>
      <c r="F1469" s="5" t="inlineStr">
        <is>
          <t>Sales</t>
        </is>
      </c>
      <c r="G1469" s="5" t="inlineStr">
        <is>
          <t>Business Development</t>
        </is>
      </c>
      <c r="H1469" s="5" t="inlineStr">
        <is>
          <t>1</t>
        </is>
      </c>
      <c r="I1469" s="5" t="inlineStr">
        <is>
          <t>Hyderabad</t>
        </is>
      </c>
      <c r="J1469" s="5" t="inlineStr">
        <is>
          <t>Full-Time</t>
        </is>
      </c>
      <c r="K1469" s="7" t="n">
        <v>43916</v>
      </c>
      <c r="L1469" s="7" t="n">
        <v>43981</v>
      </c>
      <c r="M1469" s="5" t="inlineStr">
        <is>
          <t>No</t>
        </is>
      </c>
      <c r="N1469" s="5" t="inlineStr">
        <is>
          <t>Performance / Termination</t>
        </is>
      </c>
      <c r="O1469" s="8" t="inlineStr">
        <is>
          <t>80000</t>
        </is>
      </c>
      <c r="P1469" s="5" t="inlineStr">
        <is>
          <t>10</t>
        </is>
      </c>
      <c r="Q1469" s="5" t="inlineStr">
        <is>
          <t>1</t>
        </is>
      </c>
      <c r="R1469" s="5" t="inlineStr">
        <is>
          <t>4</t>
        </is>
      </c>
      <c r="S1469" s="5" t="inlineStr">
        <is>
          <t>2</t>
        </is>
      </c>
      <c r="T1469" s="5" t="inlineStr">
        <is>
          <t>12</t>
        </is>
      </c>
      <c r="U1469" s="5">
        <f>IFS(C1469&lt;30,"Under 30",C1469&lt;40,"30-39",C1469&lt;50,"40-49",TRUE,"50+")</f>
        <v/>
      </c>
      <c r="V1469" s="5">
        <f>IFS(O1469&lt;60000,"Low (&lt;60k)",O1469&lt;100000,"Mid (60-100k)",TRUE,"High (100k+)")</f>
        <v/>
      </c>
      <c r="W1469" s="5">
        <f>IF(M1469="No","Attrited","Active")</f>
        <v/>
      </c>
    </row>
    <row r="1470">
      <c r="A1470" s="5" t="inlineStr">
        <is>
          <t>E01469</t>
        </is>
      </c>
      <c r="B1470" s="5" t="inlineStr">
        <is>
          <t>Male</t>
        </is>
      </c>
      <c r="C1470" s="6" t="inlineStr">
        <is>
          <t>31</t>
        </is>
      </c>
      <c r="D1470" s="5" t="inlineStr">
        <is>
          <t>Married</t>
        </is>
      </c>
      <c r="E1470" s="5" t="inlineStr">
        <is>
          <t>Diploma</t>
        </is>
      </c>
      <c r="F1470" s="5" t="inlineStr">
        <is>
          <t>Marketing</t>
        </is>
      </c>
      <c r="G1470" s="5" t="inlineStr">
        <is>
          <t>Content Writer</t>
        </is>
      </c>
      <c r="H1470" s="5" t="inlineStr">
        <is>
          <t>3</t>
        </is>
      </c>
      <c r="I1470" s="5" t="inlineStr">
        <is>
          <t>Delhi</t>
        </is>
      </c>
      <c r="J1470" s="5" t="inlineStr">
        <is>
          <t>Full-Time</t>
        </is>
      </c>
      <c r="K1470" s="7" t="n">
        <v>44264</v>
      </c>
      <c r="L1470" s="7" t="inlineStr"/>
      <c r="M1470" s="5" t="inlineStr">
        <is>
          <t>Yes</t>
        </is>
      </c>
      <c r="N1470" s="5" t="inlineStr"/>
      <c r="O1470" s="8" t="inlineStr">
        <is>
          <t>91000</t>
        </is>
      </c>
      <c r="P1470" s="5" t="inlineStr">
        <is>
          <t>15</t>
        </is>
      </c>
      <c r="Q1470" s="5" t="inlineStr">
        <is>
          <t>3</t>
        </is>
      </c>
      <c r="R1470" s="5" t="inlineStr">
        <is>
          <t>3</t>
        </is>
      </c>
      <c r="S1470" s="5" t="inlineStr">
        <is>
          <t>58</t>
        </is>
      </c>
      <c r="T1470" s="5" t="inlineStr">
        <is>
          <t>8</t>
        </is>
      </c>
      <c r="U1470" s="5">
        <f>IFS(C1470&lt;30,"Under 30",C1470&lt;40,"30-39",C1470&lt;50,"40-49",TRUE,"50+")</f>
        <v/>
      </c>
      <c r="V1470" s="5">
        <f>IFS(O1470&lt;60000,"Low (&lt;60k)",O1470&lt;100000,"Mid (60-100k)",TRUE,"High (100k+)")</f>
        <v/>
      </c>
      <c r="W1470" s="5">
        <f>IF(M1470="No","Attrited","Active")</f>
        <v/>
      </c>
    </row>
    <row r="1471">
      <c r="A1471" s="5" t="inlineStr">
        <is>
          <t>E01470</t>
        </is>
      </c>
      <c r="B1471" s="5" t="inlineStr">
        <is>
          <t>Male</t>
        </is>
      </c>
      <c r="C1471" s="6" t="inlineStr">
        <is>
          <t>25</t>
        </is>
      </c>
      <c r="D1471" s="5" t="inlineStr">
        <is>
          <t>Single</t>
        </is>
      </c>
      <c r="E1471" s="5" t="inlineStr">
        <is>
          <t>PhD</t>
        </is>
      </c>
      <c r="F1471" s="5" t="inlineStr">
        <is>
          <t>Customer Support</t>
        </is>
      </c>
      <c r="G1471" s="5" t="inlineStr">
        <is>
          <t>Support Agent</t>
        </is>
      </c>
      <c r="H1471" s="5" t="inlineStr">
        <is>
          <t>2</t>
        </is>
      </c>
      <c r="I1471" s="5" t="inlineStr">
        <is>
          <t>Mumbai</t>
        </is>
      </c>
      <c r="J1471" s="5" t="inlineStr">
        <is>
          <t>Full-Time</t>
        </is>
      </c>
      <c r="K1471" s="7" t="n">
        <v>44303</v>
      </c>
      <c r="L1471" s="7" t="n">
        <v>44444</v>
      </c>
      <c r="M1471" s="5" t="inlineStr">
        <is>
          <t>No</t>
        </is>
      </c>
      <c r="N1471" s="5" t="inlineStr">
        <is>
          <t>Resigned</t>
        </is>
      </c>
      <c r="O1471" s="8" t="inlineStr">
        <is>
          <t>60500</t>
        </is>
      </c>
      <c r="P1471" s="5" t="inlineStr">
        <is>
          <t>0</t>
        </is>
      </c>
      <c r="Q1471" s="5" t="inlineStr">
        <is>
          <t>3</t>
        </is>
      </c>
      <c r="R1471" s="5" t="inlineStr">
        <is>
          <t>7</t>
        </is>
      </c>
      <c r="S1471" s="5" t="inlineStr">
        <is>
          <t>4</t>
        </is>
      </c>
      <c r="T1471" s="5" t="inlineStr">
        <is>
          <t>7</t>
        </is>
      </c>
      <c r="U1471" s="5">
        <f>IFS(C1471&lt;30,"Under 30",C1471&lt;40,"30-39",C1471&lt;50,"40-49",TRUE,"50+")</f>
        <v/>
      </c>
      <c r="V1471" s="5">
        <f>IFS(O1471&lt;60000,"Low (&lt;60k)",O1471&lt;100000,"Mid (60-100k)",TRUE,"High (100k+)")</f>
        <v/>
      </c>
      <c r="W1471" s="5">
        <f>IF(M1471="No","Attrited","Active")</f>
        <v/>
      </c>
    </row>
    <row r="1472">
      <c r="A1472" s="5" t="inlineStr">
        <is>
          <t>E01471</t>
        </is>
      </c>
      <c r="B1472" s="5" t="inlineStr">
        <is>
          <t>Male</t>
        </is>
      </c>
      <c r="C1472" s="6" t="inlineStr">
        <is>
          <t>36</t>
        </is>
      </c>
      <c r="D1472" s="5" t="inlineStr">
        <is>
          <t>Married</t>
        </is>
      </c>
      <c r="E1472" s="5" t="inlineStr">
        <is>
          <t>Master</t>
        </is>
      </c>
      <c r="F1472" s="5" t="inlineStr">
        <is>
          <t>Sales</t>
        </is>
      </c>
      <c r="G1472" s="5" t="inlineStr">
        <is>
          <t>Account Executive</t>
        </is>
      </c>
      <c r="H1472" s="5" t="inlineStr">
        <is>
          <t>3</t>
        </is>
      </c>
      <c r="I1472" s="5" t="inlineStr">
        <is>
          <t>Chennai</t>
        </is>
      </c>
      <c r="J1472" s="5" t="inlineStr">
        <is>
          <t>Part-Time</t>
        </is>
      </c>
      <c r="K1472" s="7" t="n">
        <v>44045</v>
      </c>
      <c r="L1472" s="7" t="n">
        <v>44121</v>
      </c>
      <c r="M1472" s="5" t="inlineStr">
        <is>
          <t>No</t>
        </is>
      </c>
      <c r="N1472" s="5" t="inlineStr">
        <is>
          <t>Performance / Termination</t>
        </is>
      </c>
      <c r="O1472" s="8" t="inlineStr">
        <is>
          <t>94000</t>
        </is>
      </c>
      <c r="P1472" s="5" t="inlineStr">
        <is>
          <t>10</t>
        </is>
      </c>
      <c r="Q1472" s="5" t="inlineStr">
        <is>
          <t>2</t>
        </is>
      </c>
      <c r="R1472" s="5" t="inlineStr">
        <is>
          <t>6</t>
        </is>
      </c>
      <c r="S1472" s="5" t="inlineStr">
        <is>
          <t>2</t>
        </is>
      </c>
      <c r="T1472" s="5" t="inlineStr">
        <is>
          <t>0</t>
        </is>
      </c>
      <c r="U1472" s="5">
        <f>IFS(C1472&lt;30,"Under 30",C1472&lt;40,"30-39",C1472&lt;50,"40-49",TRUE,"50+")</f>
        <v/>
      </c>
      <c r="V1472" s="5">
        <f>IFS(O1472&lt;60000,"Low (&lt;60k)",O1472&lt;100000,"Mid (60-100k)",TRUE,"High (100k+)")</f>
        <v/>
      </c>
      <c r="W1472" s="5">
        <f>IF(M1472="No","Attrited","Active")</f>
        <v/>
      </c>
    </row>
    <row r="1473">
      <c r="A1473" s="5" t="inlineStr">
        <is>
          <t>E01472</t>
        </is>
      </c>
      <c r="B1473" s="5" t="inlineStr">
        <is>
          <t>Male</t>
        </is>
      </c>
      <c r="C1473" s="6" t="inlineStr">
        <is>
          <t>27</t>
        </is>
      </c>
      <c r="D1473" s="5" t="inlineStr">
        <is>
          <t>Divorced</t>
        </is>
      </c>
      <c r="E1473" s="5" t="inlineStr">
        <is>
          <t>Bachelor</t>
        </is>
      </c>
      <c r="F1473" s="5" t="inlineStr">
        <is>
          <t>Sales</t>
        </is>
      </c>
      <c r="G1473" s="5" t="inlineStr">
        <is>
          <t>Business Development</t>
        </is>
      </c>
      <c r="H1473" s="5" t="inlineStr">
        <is>
          <t>3</t>
        </is>
      </c>
      <c r="I1473" s="5" t="inlineStr">
        <is>
          <t>Bengaluru</t>
        </is>
      </c>
      <c r="J1473" s="5" t="inlineStr">
        <is>
          <t>Full-Time</t>
        </is>
      </c>
      <c r="K1473" s="7" t="n">
        <v>45141</v>
      </c>
      <c r="L1473" s="7" t="inlineStr"/>
      <c r="M1473" s="5" t="inlineStr">
        <is>
          <t>Yes</t>
        </is>
      </c>
      <c r="N1473" s="5" t="inlineStr"/>
      <c r="O1473" s="8" t="inlineStr">
        <is>
          <t>108500</t>
        </is>
      </c>
      <c r="P1473" s="5" t="inlineStr">
        <is>
          <t>10</t>
        </is>
      </c>
      <c r="Q1473" s="5" t="inlineStr">
        <is>
          <t>4</t>
        </is>
      </c>
      <c r="R1473" s="5" t="inlineStr">
        <is>
          <t>5</t>
        </is>
      </c>
      <c r="S1473" s="5" t="inlineStr">
        <is>
          <t>29</t>
        </is>
      </c>
      <c r="T1473" s="5" t="inlineStr">
        <is>
          <t>8</t>
        </is>
      </c>
      <c r="U1473" s="5">
        <f>IFS(C1473&lt;30,"Under 30",C1473&lt;40,"30-39",C1473&lt;50,"40-49",TRUE,"50+")</f>
        <v/>
      </c>
      <c r="V1473" s="5">
        <f>IFS(O1473&lt;60000,"Low (&lt;60k)",O1473&lt;100000,"Mid (60-100k)",TRUE,"High (100k+)")</f>
        <v/>
      </c>
      <c r="W1473" s="5">
        <f>IF(M1473="No","Attrited","Active")</f>
        <v/>
      </c>
    </row>
    <row r="1474">
      <c r="A1474" s="5" t="inlineStr">
        <is>
          <t>E01473</t>
        </is>
      </c>
      <c r="B1474" s="5" t="inlineStr">
        <is>
          <t>Male</t>
        </is>
      </c>
      <c r="C1474" s="6" t="inlineStr">
        <is>
          <t>35</t>
        </is>
      </c>
      <c r="D1474" s="5" t="inlineStr">
        <is>
          <t>Married</t>
        </is>
      </c>
      <c r="E1474" s="5" t="inlineStr">
        <is>
          <t>Bachelor</t>
        </is>
      </c>
      <c r="F1474" s="5" t="inlineStr">
        <is>
          <t>Marketing</t>
        </is>
      </c>
      <c r="G1474" s="5" t="inlineStr">
        <is>
          <t>Content Writer</t>
        </is>
      </c>
      <c r="H1474" s="5" t="inlineStr">
        <is>
          <t>2</t>
        </is>
      </c>
      <c r="I1474" s="5" t="inlineStr">
        <is>
          <t>Remote</t>
        </is>
      </c>
      <c r="J1474" s="5" t="inlineStr">
        <is>
          <t>Full-Time</t>
        </is>
      </c>
      <c r="K1474" s="7" t="n">
        <v>44127</v>
      </c>
      <c r="L1474" s="7" t="inlineStr"/>
      <c r="M1474" s="5" t="inlineStr">
        <is>
          <t>Yes</t>
        </is>
      </c>
      <c r="N1474" s="5" t="inlineStr"/>
      <c r="O1474" s="8" t="inlineStr">
        <is>
          <t>66500</t>
        </is>
      </c>
      <c r="P1474" s="5" t="inlineStr">
        <is>
          <t>20</t>
        </is>
      </c>
      <c r="Q1474" s="5" t="inlineStr">
        <is>
          <t>4</t>
        </is>
      </c>
      <c r="R1474" s="5" t="inlineStr">
        <is>
          <t>8</t>
        </is>
      </c>
      <c r="S1474" s="5" t="inlineStr">
        <is>
          <t>63</t>
        </is>
      </c>
      <c r="T1474" s="5" t="inlineStr">
        <is>
          <t>11</t>
        </is>
      </c>
      <c r="U1474" s="5">
        <f>IFS(C1474&lt;30,"Under 30",C1474&lt;40,"30-39",C1474&lt;50,"40-49",TRUE,"50+")</f>
        <v/>
      </c>
      <c r="V1474" s="5">
        <f>IFS(O1474&lt;60000,"Low (&lt;60k)",O1474&lt;100000,"Mid (60-100k)",TRUE,"High (100k+)")</f>
        <v/>
      </c>
      <c r="W1474" s="5">
        <f>IF(M1474="No","Attrited","Active")</f>
        <v/>
      </c>
    </row>
    <row r="1475">
      <c r="A1475" s="5" t="inlineStr">
        <is>
          <t>E01474</t>
        </is>
      </c>
      <c r="B1475" s="5" t="inlineStr">
        <is>
          <t>Male</t>
        </is>
      </c>
      <c r="C1475" s="6" t="inlineStr">
        <is>
          <t>28</t>
        </is>
      </c>
      <c r="D1475" s="5" t="inlineStr">
        <is>
          <t>Married</t>
        </is>
      </c>
      <c r="E1475" s="5" t="inlineStr">
        <is>
          <t>High School</t>
        </is>
      </c>
      <c r="F1475" s="5" t="inlineStr">
        <is>
          <t>Executive</t>
        </is>
      </c>
      <c r="G1475" s="5" t="inlineStr">
        <is>
          <t>COO</t>
        </is>
      </c>
      <c r="H1475" s="5" t="inlineStr">
        <is>
          <t>2</t>
        </is>
      </c>
      <c r="I1475" s="5" t="inlineStr">
        <is>
          <t>Mumbai</t>
        </is>
      </c>
      <c r="J1475" s="5" t="inlineStr">
        <is>
          <t>Full-Time</t>
        </is>
      </c>
      <c r="K1475" s="7" t="n">
        <v>45069</v>
      </c>
      <c r="L1475" s="7" t="inlineStr"/>
      <c r="M1475" s="5" t="inlineStr">
        <is>
          <t>Yes</t>
        </is>
      </c>
      <c r="N1475" s="5" t="inlineStr"/>
      <c r="O1475" s="8" t="inlineStr">
        <is>
          <t>299500</t>
        </is>
      </c>
      <c r="P1475" s="5" t="inlineStr">
        <is>
          <t>0</t>
        </is>
      </c>
      <c r="Q1475" s="5" t="inlineStr">
        <is>
          <t>4</t>
        </is>
      </c>
      <c r="R1475" s="5" t="inlineStr">
        <is>
          <t>7</t>
        </is>
      </c>
      <c r="S1475" s="5" t="inlineStr">
        <is>
          <t>31</t>
        </is>
      </c>
      <c r="T1475" s="5" t="inlineStr">
        <is>
          <t>7</t>
        </is>
      </c>
      <c r="U1475" s="5">
        <f>IFS(C1475&lt;30,"Under 30",C1475&lt;40,"30-39",C1475&lt;50,"40-49",TRUE,"50+")</f>
        <v/>
      </c>
      <c r="V1475" s="5">
        <f>IFS(O1475&lt;60000,"Low (&lt;60k)",O1475&lt;100000,"Mid (60-100k)",TRUE,"High (100k+)")</f>
        <v/>
      </c>
      <c r="W1475" s="5">
        <f>IF(M1475="No","Attrited","Active")</f>
        <v/>
      </c>
    </row>
    <row r="1476">
      <c r="A1476" s="5" t="inlineStr">
        <is>
          <t>E01475</t>
        </is>
      </c>
      <c r="B1476" s="5" t="inlineStr">
        <is>
          <t>Female</t>
        </is>
      </c>
      <c r="C1476" s="6" t="inlineStr">
        <is>
          <t>30</t>
        </is>
      </c>
      <c r="D1476" s="5" t="inlineStr">
        <is>
          <t>Married</t>
        </is>
      </c>
      <c r="E1476" s="5" t="inlineStr">
        <is>
          <t>PhD</t>
        </is>
      </c>
      <c r="F1476" s="5" t="inlineStr">
        <is>
          <t>Operations</t>
        </is>
      </c>
      <c r="G1476" s="5" t="inlineStr">
        <is>
          <t>Quality Analyst</t>
        </is>
      </c>
      <c r="H1476" s="5" t="inlineStr">
        <is>
          <t>3</t>
        </is>
      </c>
      <c r="I1476" s="5" t="inlineStr">
        <is>
          <t>Mumbai</t>
        </is>
      </c>
      <c r="J1476" s="5" t="inlineStr">
        <is>
          <t>Full-Time</t>
        </is>
      </c>
      <c r="K1476" s="7" t="n">
        <v>44545</v>
      </c>
      <c r="L1476" s="7" t="inlineStr"/>
      <c r="M1476" s="5" t="inlineStr">
        <is>
          <t>Yes</t>
        </is>
      </c>
      <c r="N1476" s="5" t="inlineStr"/>
      <c r="O1476" s="8" t="inlineStr">
        <is>
          <t>90000</t>
        </is>
      </c>
      <c r="P1476" s="5" t="inlineStr">
        <is>
          <t>5</t>
        </is>
      </c>
      <c r="Q1476" s="5" t="inlineStr">
        <is>
          <t>3</t>
        </is>
      </c>
      <c r="R1476" s="5" t="inlineStr">
        <is>
          <t>5</t>
        </is>
      </c>
      <c r="S1476" s="5" t="inlineStr">
        <is>
          <t>49</t>
        </is>
      </c>
      <c r="T1476" s="5" t="inlineStr">
        <is>
          <t>5</t>
        </is>
      </c>
      <c r="U1476" s="5">
        <f>IFS(C1476&lt;30,"Under 30",C1476&lt;40,"30-39",C1476&lt;50,"40-49",TRUE,"50+")</f>
        <v/>
      </c>
      <c r="V1476" s="5">
        <f>IFS(O1476&lt;60000,"Low (&lt;60k)",O1476&lt;100000,"Mid (60-100k)",TRUE,"High (100k+)")</f>
        <v/>
      </c>
      <c r="W1476" s="5">
        <f>IF(M1476="No","Attrited","Active")</f>
        <v/>
      </c>
    </row>
    <row r="1477">
      <c r="A1477" s="5" t="inlineStr">
        <is>
          <t>E01476</t>
        </is>
      </c>
      <c r="B1477" s="5" t="inlineStr">
        <is>
          <t>Female</t>
        </is>
      </c>
      <c r="C1477" s="6" t="inlineStr">
        <is>
          <t>29</t>
        </is>
      </c>
      <c r="D1477" s="5" t="inlineStr">
        <is>
          <t>Married</t>
        </is>
      </c>
      <c r="E1477" s="5" t="inlineStr">
        <is>
          <t>High School</t>
        </is>
      </c>
      <c r="F1477" s="5" t="inlineStr">
        <is>
          <t>Marketing</t>
        </is>
      </c>
      <c r="G1477" s="5" t="inlineStr">
        <is>
          <t>SEO Specialist</t>
        </is>
      </c>
      <c r="H1477" s="5" t="inlineStr">
        <is>
          <t>3</t>
        </is>
      </c>
      <c r="I1477" s="5" t="inlineStr">
        <is>
          <t>Delhi</t>
        </is>
      </c>
      <c r="J1477" s="5" t="inlineStr">
        <is>
          <t>Full-Time</t>
        </is>
      </c>
      <c r="K1477" s="7" t="n">
        <v>45443</v>
      </c>
      <c r="L1477" s="7" t="inlineStr"/>
      <c r="M1477" s="5" t="inlineStr">
        <is>
          <t>Yes</t>
        </is>
      </c>
      <c r="N1477" s="5" t="inlineStr"/>
      <c r="O1477" s="8" t="inlineStr">
        <is>
          <t>94500</t>
        </is>
      </c>
      <c r="P1477" s="5" t="inlineStr">
        <is>
          <t>5</t>
        </is>
      </c>
      <c r="Q1477" s="5" t="inlineStr">
        <is>
          <t>4</t>
        </is>
      </c>
      <c r="R1477" s="5" t="inlineStr">
        <is>
          <t>3</t>
        </is>
      </c>
      <c r="S1477" s="5" t="inlineStr">
        <is>
          <t>19</t>
        </is>
      </c>
      <c r="T1477" s="5" t="inlineStr">
        <is>
          <t>11</t>
        </is>
      </c>
      <c r="U1477" s="5">
        <f>IFS(C1477&lt;30,"Under 30",C1477&lt;40,"30-39",C1477&lt;50,"40-49",TRUE,"50+")</f>
        <v/>
      </c>
      <c r="V1477" s="5">
        <f>IFS(O1477&lt;60000,"Low (&lt;60k)",O1477&lt;100000,"Mid (60-100k)",TRUE,"High (100k+)")</f>
        <v/>
      </c>
      <c r="W1477" s="5">
        <f>IF(M1477="No","Attrited","Active")</f>
        <v/>
      </c>
    </row>
    <row r="1478">
      <c r="A1478" s="5" t="inlineStr">
        <is>
          <t>E01477</t>
        </is>
      </c>
      <c r="B1478" s="5" t="inlineStr">
        <is>
          <t>Female</t>
        </is>
      </c>
      <c r="C1478" s="6" t="inlineStr">
        <is>
          <t>39</t>
        </is>
      </c>
      <c r="D1478" s="5" t="inlineStr">
        <is>
          <t>Married</t>
        </is>
      </c>
      <c r="E1478" s="5" t="inlineStr">
        <is>
          <t>PhD</t>
        </is>
      </c>
      <c r="F1478" s="5" t="inlineStr">
        <is>
          <t>Operations</t>
        </is>
      </c>
      <c r="G1478" s="5" t="inlineStr">
        <is>
          <t>Operations Analyst</t>
        </is>
      </c>
      <c r="H1478" s="5" t="inlineStr">
        <is>
          <t>7</t>
        </is>
      </c>
      <c r="I1478" s="5" t="inlineStr">
        <is>
          <t>Chennai</t>
        </is>
      </c>
      <c r="J1478" s="5" t="inlineStr">
        <is>
          <t>Full-Time</t>
        </is>
      </c>
      <c r="K1478" s="7" t="n">
        <v>44751</v>
      </c>
      <c r="L1478" s="7" t="inlineStr"/>
      <c r="M1478" s="5" t="inlineStr">
        <is>
          <t>Yes</t>
        </is>
      </c>
      <c r="N1478" s="5" t="inlineStr"/>
      <c r="O1478" s="8" t="inlineStr">
        <is>
          <t>153500</t>
        </is>
      </c>
      <c r="P1478" s="5" t="inlineStr">
        <is>
          <t>0</t>
        </is>
      </c>
      <c r="Q1478" s="5" t="inlineStr">
        <is>
          <t>3</t>
        </is>
      </c>
      <c r="R1478" s="5" t="inlineStr">
        <is>
          <t>10</t>
        </is>
      </c>
      <c r="S1478" s="5" t="inlineStr">
        <is>
          <t>42</t>
        </is>
      </c>
      <c r="T1478" s="5" t="inlineStr">
        <is>
          <t>17</t>
        </is>
      </c>
      <c r="U1478" s="5">
        <f>IFS(C1478&lt;30,"Under 30",C1478&lt;40,"30-39",C1478&lt;50,"40-49",TRUE,"50+")</f>
        <v/>
      </c>
      <c r="V1478" s="5">
        <f>IFS(O1478&lt;60000,"Low (&lt;60k)",O1478&lt;100000,"Mid (60-100k)",TRUE,"High (100k+)")</f>
        <v/>
      </c>
      <c r="W1478" s="5">
        <f>IF(M1478="No","Attrited","Active")</f>
        <v/>
      </c>
    </row>
    <row r="1479">
      <c r="A1479" s="5" t="inlineStr">
        <is>
          <t>E01478</t>
        </is>
      </c>
      <c r="B1479" s="5" t="inlineStr">
        <is>
          <t>Male</t>
        </is>
      </c>
      <c r="C1479" s="6" t="inlineStr">
        <is>
          <t>36</t>
        </is>
      </c>
      <c r="D1479" s="5" t="inlineStr">
        <is>
          <t>Single</t>
        </is>
      </c>
      <c r="E1479" s="5" t="inlineStr">
        <is>
          <t>High School</t>
        </is>
      </c>
      <c r="F1479" s="5" t="inlineStr">
        <is>
          <t>Operations</t>
        </is>
      </c>
      <c r="G1479" s="5" t="inlineStr">
        <is>
          <t>Quality Analyst</t>
        </is>
      </c>
      <c r="H1479" s="5" t="inlineStr">
        <is>
          <t>4</t>
        </is>
      </c>
      <c r="I1479" s="5" t="inlineStr">
        <is>
          <t>Delhi</t>
        </is>
      </c>
      <c r="J1479" s="5" t="inlineStr">
        <is>
          <t>Full-Time</t>
        </is>
      </c>
      <c r="K1479" s="7" t="n">
        <v>44909</v>
      </c>
      <c r="L1479" s="7" t="inlineStr"/>
      <c r="M1479" s="5" t="inlineStr">
        <is>
          <t>Yes</t>
        </is>
      </c>
      <c r="N1479" s="5" t="inlineStr"/>
      <c r="O1479" s="8" t="inlineStr">
        <is>
          <t>131000</t>
        </is>
      </c>
      <c r="P1479" s="5" t="inlineStr">
        <is>
          <t>5</t>
        </is>
      </c>
      <c r="Q1479" s="5" t="inlineStr">
        <is>
          <t>4</t>
        </is>
      </c>
      <c r="R1479" s="5" t="inlineStr">
        <is>
          <t>9</t>
        </is>
      </c>
      <c r="S1479" s="5" t="inlineStr">
        <is>
          <t>37</t>
        </is>
      </c>
      <c r="T1479" s="5" t="inlineStr">
        <is>
          <t>1</t>
        </is>
      </c>
      <c r="U1479" s="5">
        <f>IFS(C1479&lt;30,"Under 30",C1479&lt;40,"30-39",C1479&lt;50,"40-49",TRUE,"50+")</f>
        <v/>
      </c>
      <c r="V1479" s="5">
        <f>IFS(O1479&lt;60000,"Low (&lt;60k)",O1479&lt;100000,"Mid (60-100k)",TRUE,"High (100k+)")</f>
        <v/>
      </c>
      <c r="W1479" s="5">
        <f>IF(M1479="No","Attrited","Active")</f>
        <v/>
      </c>
    </row>
    <row r="1480">
      <c r="A1480" s="5" t="inlineStr">
        <is>
          <t>E01479</t>
        </is>
      </c>
      <c r="B1480" s="5" t="inlineStr">
        <is>
          <t>Female</t>
        </is>
      </c>
      <c r="C1480" s="6" t="inlineStr">
        <is>
          <t>40</t>
        </is>
      </c>
      <c r="D1480" s="5" t="inlineStr">
        <is>
          <t>Single</t>
        </is>
      </c>
      <c r="E1480" s="5" t="inlineStr">
        <is>
          <t>Bachelor</t>
        </is>
      </c>
      <c r="F1480" s="5" t="inlineStr">
        <is>
          <t>Research &amp; Development</t>
        </is>
      </c>
      <c r="G1480" s="5" t="inlineStr">
        <is>
          <t>Data Scientist</t>
        </is>
      </c>
      <c r="H1480" s="5" t="inlineStr">
        <is>
          <t>6</t>
        </is>
      </c>
      <c r="I1480" s="5" t="inlineStr">
        <is>
          <t>Chennai</t>
        </is>
      </c>
      <c r="J1480" s="5" t="inlineStr">
        <is>
          <t>Full-Time</t>
        </is>
      </c>
      <c r="K1480" s="7" t="n">
        <v>44585</v>
      </c>
      <c r="L1480" s="7" t="inlineStr"/>
      <c r="M1480" s="5" t="inlineStr">
        <is>
          <t>Yes</t>
        </is>
      </c>
      <c r="N1480" s="5" t="inlineStr"/>
      <c r="O1480" s="8" t="inlineStr">
        <is>
          <t>269500</t>
        </is>
      </c>
      <c r="P1480" s="5" t="inlineStr">
        <is>
          <t>10</t>
        </is>
      </c>
      <c r="Q1480" s="5" t="inlineStr">
        <is>
          <t>3</t>
        </is>
      </c>
      <c r="R1480" s="5" t="inlineStr">
        <is>
          <t>5</t>
        </is>
      </c>
      <c r="S1480" s="5" t="inlineStr">
        <is>
          <t>47</t>
        </is>
      </c>
      <c r="T1480" s="5" t="inlineStr">
        <is>
          <t>7</t>
        </is>
      </c>
      <c r="U1480" s="5">
        <f>IFS(C1480&lt;30,"Under 30",C1480&lt;40,"30-39",C1480&lt;50,"40-49",TRUE,"50+")</f>
        <v/>
      </c>
      <c r="V1480" s="5">
        <f>IFS(O1480&lt;60000,"Low (&lt;60k)",O1480&lt;100000,"Mid (60-100k)",TRUE,"High (100k+)")</f>
        <v/>
      </c>
      <c r="W1480" s="5">
        <f>IF(M1480="No","Attrited","Active")</f>
        <v/>
      </c>
    </row>
    <row r="1481">
      <c r="A1481" s="5" t="inlineStr">
        <is>
          <t>E01480</t>
        </is>
      </c>
      <c r="B1481" s="5" t="inlineStr">
        <is>
          <t>Male</t>
        </is>
      </c>
      <c r="C1481" s="6" t="inlineStr">
        <is>
          <t>30</t>
        </is>
      </c>
      <c r="D1481" s="5" t="inlineStr">
        <is>
          <t>Married</t>
        </is>
      </c>
      <c r="E1481" s="5" t="inlineStr">
        <is>
          <t>High School</t>
        </is>
      </c>
      <c r="F1481" s="5" t="inlineStr">
        <is>
          <t>Operations</t>
        </is>
      </c>
      <c r="G1481" s="5" t="inlineStr">
        <is>
          <t>Logistics Coordinator</t>
        </is>
      </c>
      <c r="H1481" s="5" t="inlineStr">
        <is>
          <t>3</t>
        </is>
      </c>
      <c r="I1481" s="5" t="inlineStr">
        <is>
          <t>Mumbai</t>
        </is>
      </c>
      <c r="J1481" s="5" t="inlineStr">
        <is>
          <t>Contract</t>
        </is>
      </c>
      <c r="K1481" s="7" t="n">
        <v>45228</v>
      </c>
      <c r="L1481" s="7" t="inlineStr"/>
      <c r="M1481" s="5" t="inlineStr">
        <is>
          <t>Yes</t>
        </is>
      </c>
      <c r="N1481" s="5" t="inlineStr"/>
      <c r="O1481" s="8" t="inlineStr">
        <is>
          <t>108500</t>
        </is>
      </c>
      <c r="P1481" s="5" t="inlineStr">
        <is>
          <t>20</t>
        </is>
      </c>
      <c r="Q1481" s="5" t="inlineStr">
        <is>
          <t>3</t>
        </is>
      </c>
      <c r="R1481" s="5" t="inlineStr">
        <is>
          <t>9</t>
        </is>
      </c>
      <c r="S1481" s="5" t="inlineStr">
        <is>
          <t>26</t>
        </is>
      </c>
      <c r="T1481" s="5" t="inlineStr">
        <is>
          <t>8</t>
        </is>
      </c>
      <c r="U1481" s="5">
        <f>IFS(C1481&lt;30,"Under 30",C1481&lt;40,"30-39",C1481&lt;50,"40-49",TRUE,"50+")</f>
        <v/>
      </c>
      <c r="V1481" s="5">
        <f>IFS(O1481&lt;60000,"Low (&lt;60k)",O1481&lt;100000,"Mid (60-100k)",TRUE,"High (100k+)")</f>
        <v/>
      </c>
      <c r="W1481" s="5">
        <f>IF(M1481="No","Attrited","Active")</f>
        <v/>
      </c>
    </row>
    <row r="1482">
      <c r="A1482" s="5" t="inlineStr">
        <is>
          <t>E01481</t>
        </is>
      </c>
      <c r="B1482" s="5" t="inlineStr">
        <is>
          <t>Male</t>
        </is>
      </c>
      <c r="C1482" s="6" t="inlineStr">
        <is>
          <t>36</t>
        </is>
      </c>
      <c r="D1482" s="5" t="inlineStr">
        <is>
          <t>Married</t>
        </is>
      </c>
      <c r="E1482" s="5" t="inlineStr">
        <is>
          <t>PhD</t>
        </is>
      </c>
      <c r="F1482" s="5" t="inlineStr">
        <is>
          <t>IT</t>
        </is>
      </c>
      <c r="G1482" s="5" t="inlineStr">
        <is>
          <t>Software Engineer</t>
        </is>
      </c>
      <c r="H1482" s="5" t="inlineStr">
        <is>
          <t>4</t>
        </is>
      </c>
      <c r="I1482" s="5" t="inlineStr">
        <is>
          <t>Chennai</t>
        </is>
      </c>
      <c r="J1482" s="5" t="inlineStr">
        <is>
          <t>Full-Time</t>
        </is>
      </c>
      <c r="K1482" s="7" t="n">
        <v>45796</v>
      </c>
      <c r="L1482" s="7" t="inlineStr"/>
      <c r="M1482" s="5" t="inlineStr">
        <is>
          <t>Yes</t>
        </is>
      </c>
      <c r="N1482" s="5" t="inlineStr"/>
      <c r="O1482" s="8" t="inlineStr">
        <is>
          <t>153000</t>
        </is>
      </c>
      <c r="P1482" s="5" t="inlineStr">
        <is>
          <t>0</t>
        </is>
      </c>
      <c r="Q1482" s="5" t="inlineStr">
        <is>
          <t>2</t>
        </is>
      </c>
      <c r="R1482" s="5" t="inlineStr">
        <is>
          <t>7</t>
        </is>
      </c>
      <c r="S1482" s="5" t="inlineStr">
        <is>
          <t>7</t>
        </is>
      </c>
      <c r="T1482" s="5" t="inlineStr">
        <is>
          <t>0</t>
        </is>
      </c>
      <c r="U1482" s="5">
        <f>IFS(C1482&lt;30,"Under 30",C1482&lt;40,"30-39",C1482&lt;50,"40-49",TRUE,"50+")</f>
        <v/>
      </c>
      <c r="V1482" s="5">
        <f>IFS(O1482&lt;60000,"Low (&lt;60k)",O1482&lt;100000,"Mid (60-100k)",TRUE,"High (100k+)")</f>
        <v/>
      </c>
      <c r="W1482" s="5">
        <f>IF(M1482="No","Attrited","Active")</f>
        <v/>
      </c>
    </row>
    <row r="1483">
      <c r="A1483" s="5" t="inlineStr">
        <is>
          <t>E01482</t>
        </is>
      </c>
      <c r="B1483" s="5" t="inlineStr">
        <is>
          <t>Female</t>
        </is>
      </c>
      <c r="C1483" s="6" t="inlineStr">
        <is>
          <t>25</t>
        </is>
      </c>
      <c r="D1483" s="5" t="inlineStr">
        <is>
          <t>Single</t>
        </is>
      </c>
      <c r="E1483" s="5" t="inlineStr">
        <is>
          <t>Diploma</t>
        </is>
      </c>
      <c r="F1483" s="5" t="inlineStr">
        <is>
          <t>Marketing</t>
        </is>
      </c>
      <c r="G1483" s="5" t="inlineStr">
        <is>
          <t>Content Writer</t>
        </is>
      </c>
      <c r="H1483" s="5" t="inlineStr">
        <is>
          <t>2</t>
        </is>
      </c>
      <c r="I1483" s="5" t="inlineStr">
        <is>
          <t>Mumbai</t>
        </is>
      </c>
      <c r="J1483" s="5" t="inlineStr">
        <is>
          <t>Full-Time</t>
        </is>
      </c>
      <c r="K1483" s="7" t="n">
        <v>45582</v>
      </c>
      <c r="L1483" s="7" t="n">
        <v>45643</v>
      </c>
      <c r="M1483" s="5" t="inlineStr">
        <is>
          <t>No</t>
        </is>
      </c>
      <c r="N1483" s="5" t="inlineStr">
        <is>
          <t>Relocation</t>
        </is>
      </c>
      <c r="O1483" s="8" t="inlineStr">
        <is>
          <t>64000</t>
        </is>
      </c>
      <c r="P1483" s="5" t="inlineStr">
        <is>
          <t>15</t>
        </is>
      </c>
      <c r="Q1483" s="5" t="inlineStr">
        <is>
          <t>4</t>
        </is>
      </c>
      <c r="R1483" s="5" t="inlineStr">
        <is>
          <t>4</t>
        </is>
      </c>
      <c r="S1483" s="5" t="inlineStr">
        <is>
          <t>2</t>
        </is>
      </c>
      <c r="T1483" s="5" t="inlineStr">
        <is>
          <t>2</t>
        </is>
      </c>
      <c r="U1483" s="5">
        <f>IFS(C1483&lt;30,"Under 30",C1483&lt;40,"30-39",C1483&lt;50,"40-49",TRUE,"50+")</f>
        <v/>
      </c>
      <c r="V1483" s="5">
        <f>IFS(O1483&lt;60000,"Low (&lt;60k)",O1483&lt;100000,"Mid (60-100k)",TRUE,"High (100k+)")</f>
        <v/>
      </c>
      <c r="W1483" s="5">
        <f>IF(M1483="No","Attrited","Active")</f>
        <v/>
      </c>
    </row>
    <row r="1484">
      <c r="A1484" s="5" t="inlineStr">
        <is>
          <t>E01483</t>
        </is>
      </c>
      <c r="B1484" s="5" t="inlineStr">
        <is>
          <t>Male</t>
        </is>
      </c>
      <c r="C1484" s="6" t="inlineStr">
        <is>
          <t>37</t>
        </is>
      </c>
      <c r="D1484" s="5" t="inlineStr">
        <is>
          <t>Married</t>
        </is>
      </c>
      <c r="E1484" s="5" t="inlineStr">
        <is>
          <t>Master</t>
        </is>
      </c>
      <c r="F1484" s="5" t="inlineStr">
        <is>
          <t>Sales</t>
        </is>
      </c>
      <c r="G1484" s="5" t="inlineStr">
        <is>
          <t>Sales Executive</t>
        </is>
      </c>
      <c r="H1484" s="5" t="inlineStr">
        <is>
          <t>5</t>
        </is>
      </c>
      <c r="I1484" s="5" t="inlineStr">
        <is>
          <t>Hyderabad</t>
        </is>
      </c>
      <c r="J1484" s="5" t="inlineStr">
        <is>
          <t>Full-Time</t>
        </is>
      </c>
      <c r="K1484" s="7" t="n">
        <v>45295</v>
      </c>
      <c r="L1484" s="7" t="n">
        <v>45327</v>
      </c>
      <c r="M1484" s="5" t="inlineStr">
        <is>
          <t>No</t>
        </is>
      </c>
      <c r="N1484" s="5" t="inlineStr">
        <is>
          <t>Retirement</t>
        </is>
      </c>
      <c r="O1484" s="8" t="inlineStr">
        <is>
          <t>140000</t>
        </is>
      </c>
      <c r="P1484" s="5" t="inlineStr">
        <is>
          <t>5</t>
        </is>
      </c>
      <c r="Q1484" s="5" t="inlineStr">
        <is>
          <t>3</t>
        </is>
      </c>
      <c r="R1484" s="5" t="inlineStr">
        <is>
          <t>2</t>
        </is>
      </c>
      <c r="S1484" s="5" t="inlineStr">
        <is>
          <t>1</t>
        </is>
      </c>
      <c r="T1484" s="5" t="inlineStr">
        <is>
          <t>0</t>
        </is>
      </c>
      <c r="U1484" s="5">
        <f>IFS(C1484&lt;30,"Under 30",C1484&lt;40,"30-39",C1484&lt;50,"40-49",TRUE,"50+")</f>
        <v/>
      </c>
      <c r="V1484" s="5">
        <f>IFS(O1484&lt;60000,"Low (&lt;60k)",O1484&lt;100000,"Mid (60-100k)",TRUE,"High (100k+)")</f>
        <v/>
      </c>
      <c r="W1484" s="5">
        <f>IF(M1484="No","Attrited","Active")</f>
        <v/>
      </c>
    </row>
    <row r="1485">
      <c r="A1485" s="5" t="inlineStr">
        <is>
          <t>E01484</t>
        </is>
      </c>
      <c r="B1485" s="5" t="inlineStr">
        <is>
          <t>Male</t>
        </is>
      </c>
      <c r="C1485" s="6" t="inlineStr">
        <is>
          <t>32</t>
        </is>
      </c>
      <c r="D1485" s="5" t="inlineStr">
        <is>
          <t>Married</t>
        </is>
      </c>
      <c r="E1485" s="5" t="inlineStr">
        <is>
          <t>Master</t>
        </is>
      </c>
      <c r="F1485" s="5" t="inlineStr">
        <is>
          <t>Sales</t>
        </is>
      </c>
      <c r="G1485" s="5" t="inlineStr">
        <is>
          <t>Account Executive</t>
        </is>
      </c>
      <c r="H1485" s="5" t="inlineStr">
        <is>
          <t>4</t>
        </is>
      </c>
      <c r="I1485" s="5" t="inlineStr">
        <is>
          <t>Chennai</t>
        </is>
      </c>
      <c r="J1485" s="5" t="inlineStr">
        <is>
          <t>Full-Time</t>
        </is>
      </c>
      <c r="K1485" s="7" t="n">
        <v>45917</v>
      </c>
      <c r="L1485" s="7" t="inlineStr"/>
      <c r="M1485" s="5" t="inlineStr">
        <is>
          <t>Yes</t>
        </is>
      </c>
      <c r="N1485" s="5" t="inlineStr"/>
      <c r="O1485" s="8" t="inlineStr">
        <is>
          <t>146500</t>
        </is>
      </c>
      <c r="P1485" s="5" t="inlineStr">
        <is>
          <t>10</t>
        </is>
      </c>
      <c r="Q1485" s="5" t="inlineStr">
        <is>
          <t>4</t>
        </is>
      </c>
      <c r="R1485" s="5" t="inlineStr">
        <is>
          <t>8</t>
        </is>
      </c>
      <c r="S1485" s="5" t="inlineStr">
        <is>
          <t>3</t>
        </is>
      </c>
      <c r="T1485" s="5" t="inlineStr">
        <is>
          <t>9</t>
        </is>
      </c>
      <c r="U1485" s="5">
        <f>IFS(C1485&lt;30,"Under 30",C1485&lt;40,"30-39",C1485&lt;50,"40-49",TRUE,"50+")</f>
        <v/>
      </c>
      <c r="V1485" s="5">
        <f>IFS(O1485&lt;60000,"Low (&lt;60k)",O1485&lt;100000,"Mid (60-100k)",TRUE,"High (100k+)")</f>
        <v/>
      </c>
      <c r="W1485" s="5">
        <f>IF(M1485="No","Attrited","Active")</f>
        <v/>
      </c>
    </row>
    <row r="1486">
      <c r="A1486" s="5" t="inlineStr">
        <is>
          <t>E01485</t>
        </is>
      </c>
      <c r="B1486" s="5" t="inlineStr">
        <is>
          <t>Male</t>
        </is>
      </c>
      <c r="C1486" s="6" t="inlineStr">
        <is>
          <t>25</t>
        </is>
      </c>
      <c r="D1486" s="5" t="inlineStr">
        <is>
          <t>Married</t>
        </is>
      </c>
      <c r="E1486" s="5" t="inlineStr">
        <is>
          <t>PhD</t>
        </is>
      </c>
      <c r="F1486" s="5" t="inlineStr">
        <is>
          <t>Customer Support</t>
        </is>
      </c>
      <c r="G1486" s="5" t="inlineStr">
        <is>
          <t>Escalation Specialist</t>
        </is>
      </c>
      <c r="H1486" s="5" t="inlineStr">
        <is>
          <t>2</t>
        </is>
      </c>
      <c r="I1486" s="5" t="inlineStr">
        <is>
          <t>Chennai</t>
        </is>
      </c>
      <c r="J1486" s="5" t="inlineStr">
        <is>
          <t>Full-Time</t>
        </is>
      </c>
      <c r="K1486" s="7" t="n">
        <v>45666</v>
      </c>
      <c r="L1486" s="7" t="inlineStr"/>
      <c r="M1486" s="5" t="inlineStr">
        <is>
          <t>Yes</t>
        </is>
      </c>
      <c r="N1486" s="5" t="inlineStr"/>
      <c r="O1486" s="8" t="inlineStr">
        <is>
          <t>53000</t>
        </is>
      </c>
      <c r="P1486" s="5" t="inlineStr">
        <is>
          <t>5</t>
        </is>
      </c>
      <c r="Q1486" s="5" t="inlineStr">
        <is>
          <t>4</t>
        </is>
      </c>
      <c r="R1486" s="5" t="inlineStr">
        <is>
          <t>8</t>
        </is>
      </c>
      <c r="S1486" s="5" t="inlineStr">
        <is>
          <t>11</t>
        </is>
      </c>
      <c r="T1486" s="5" t="inlineStr">
        <is>
          <t>6</t>
        </is>
      </c>
      <c r="U1486" s="5">
        <f>IFS(C1486&lt;30,"Under 30",C1486&lt;40,"30-39",C1486&lt;50,"40-49",TRUE,"50+")</f>
        <v/>
      </c>
      <c r="V1486" s="5">
        <f>IFS(O1486&lt;60000,"Low (&lt;60k)",O1486&lt;100000,"Mid (60-100k)",TRUE,"High (100k+)")</f>
        <v/>
      </c>
      <c r="W1486" s="5">
        <f>IF(M1486="No","Attrited","Active")</f>
        <v/>
      </c>
    </row>
    <row r="1487">
      <c r="A1487" s="5" t="inlineStr">
        <is>
          <t>E01486</t>
        </is>
      </c>
      <c r="B1487" s="5" t="inlineStr">
        <is>
          <t>Female</t>
        </is>
      </c>
      <c r="C1487" s="6" t="inlineStr">
        <is>
          <t>38</t>
        </is>
      </c>
      <c r="D1487" s="5" t="inlineStr">
        <is>
          <t>Married</t>
        </is>
      </c>
      <c r="E1487" s="5" t="inlineStr">
        <is>
          <t>Master</t>
        </is>
      </c>
      <c r="F1487" s="5" t="inlineStr">
        <is>
          <t>Sales</t>
        </is>
      </c>
      <c r="G1487" s="5" t="inlineStr">
        <is>
          <t>Account Executive</t>
        </is>
      </c>
      <c r="H1487" s="5" t="inlineStr">
        <is>
          <t>4</t>
        </is>
      </c>
      <c r="I1487" s="5" t="inlineStr">
        <is>
          <t>Mumbai</t>
        </is>
      </c>
      <c r="J1487" s="5" t="inlineStr">
        <is>
          <t>Full-Time</t>
        </is>
      </c>
      <c r="K1487" s="7" t="n">
        <v>44012</v>
      </c>
      <c r="L1487" s="7" t="inlineStr"/>
      <c r="M1487" s="5" t="inlineStr">
        <is>
          <t>Yes</t>
        </is>
      </c>
      <c r="N1487" s="5" t="inlineStr"/>
      <c r="O1487" s="8" t="inlineStr">
        <is>
          <t>139500</t>
        </is>
      </c>
      <c r="P1487" s="5" t="inlineStr">
        <is>
          <t>5</t>
        </is>
      </c>
      <c r="Q1487" s="5" t="inlineStr">
        <is>
          <t>5</t>
        </is>
      </c>
      <c r="R1487" s="5" t="inlineStr">
        <is>
          <t>6</t>
        </is>
      </c>
      <c r="S1487" s="5" t="inlineStr">
        <is>
          <t>67</t>
        </is>
      </c>
      <c r="T1487" s="5" t="inlineStr">
        <is>
          <t>8</t>
        </is>
      </c>
      <c r="U1487" s="5">
        <f>IFS(C1487&lt;30,"Under 30",C1487&lt;40,"30-39",C1487&lt;50,"40-49",TRUE,"50+")</f>
        <v/>
      </c>
      <c r="V1487" s="5">
        <f>IFS(O1487&lt;60000,"Low (&lt;60k)",O1487&lt;100000,"Mid (60-100k)",TRUE,"High (100k+)")</f>
        <v/>
      </c>
      <c r="W1487" s="5">
        <f>IF(M1487="No","Attrited","Active")</f>
        <v/>
      </c>
    </row>
    <row r="1488">
      <c r="A1488" s="5" t="inlineStr">
        <is>
          <t>E01487</t>
        </is>
      </c>
      <c r="B1488" s="5" t="inlineStr">
        <is>
          <t>Male</t>
        </is>
      </c>
      <c r="C1488" s="6" t="inlineStr">
        <is>
          <t>32</t>
        </is>
      </c>
      <c r="D1488" s="5" t="inlineStr">
        <is>
          <t>Married</t>
        </is>
      </c>
      <c r="E1488" s="5" t="inlineStr">
        <is>
          <t>PhD</t>
        </is>
      </c>
      <c r="F1488" s="5" t="inlineStr">
        <is>
          <t>Operations</t>
        </is>
      </c>
      <c r="G1488" s="5" t="inlineStr">
        <is>
          <t>Logistics Coordinator</t>
        </is>
      </c>
      <c r="H1488" s="5" t="inlineStr">
        <is>
          <t>1</t>
        </is>
      </c>
      <c r="I1488" s="5" t="inlineStr">
        <is>
          <t>Mumbai</t>
        </is>
      </c>
      <c r="J1488" s="5" t="inlineStr">
        <is>
          <t>Full-Time</t>
        </is>
      </c>
      <c r="K1488" s="7" t="n">
        <v>44848</v>
      </c>
      <c r="L1488" s="7" t="inlineStr"/>
      <c r="M1488" s="5" t="inlineStr">
        <is>
          <t>Yes</t>
        </is>
      </c>
      <c r="N1488" s="5" t="inlineStr"/>
      <c r="O1488" s="8" t="inlineStr">
        <is>
          <t>92500</t>
        </is>
      </c>
      <c r="P1488" s="5" t="inlineStr">
        <is>
          <t>15</t>
        </is>
      </c>
      <c r="Q1488" s="5" t="inlineStr">
        <is>
          <t>5</t>
        </is>
      </c>
      <c r="R1488" s="5" t="inlineStr">
        <is>
          <t>7</t>
        </is>
      </c>
      <c r="S1488" s="5" t="inlineStr">
        <is>
          <t>39</t>
        </is>
      </c>
      <c r="T1488" s="5" t="inlineStr">
        <is>
          <t>6</t>
        </is>
      </c>
      <c r="U1488" s="5">
        <f>IFS(C1488&lt;30,"Under 30",C1488&lt;40,"30-39",C1488&lt;50,"40-49",TRUE,"50+")</f>
        <v/>
      </c>
      <c r="V1488" s="5">
        <f>IFS(O1488&lt;60000,"Low (&lt;60k)",O1488&lt;100000,"Mid (60-100k)",TRUE,"High (100k+)")</f>
        <v/>
      </c>
      <c r="W1488" s="5">
        <f>IF(M1488="No","Attrited","Active")</f>
        <v/>
      </c>
    </row>
    <row r="1489">
      <c r="A1489" s="5" t="inlineStr">
        <is>
          <t>E01488</t>
        </is>
      </c>
      <c r="B1489" s="5" t="inlineStr">
        <is>
          <t>Male</t>
        </is>
      </c>
      <c r="C1489" s="6" t="inlineStr">
        <is>
          <t>31</t>
        </is>
      </c>
      <c r="D1489" s="5" t="inlineStr">
        <is>
          <t>Married</t>
        </is>
      </c>
      <c r="E1489" s="5" t="inlineStr">
        <is>
          <t>Master</t>
        </is>
      </c>
      <c r="F1489" s="5" t="inlineStr">
        <is>
          <t>Customer Support</t>
        </is>
      </c>
      <c r="G1489" s="5" t="inlineStr">
        <is>
          <t>Support Agent</t>
        </is>
      </c>
      <c r="H1489" s="5" t="inlineStr">
        <is>
          <t>4</t>
        </is>
      </c>
      <c r="I1489" s="5" t="inlineStr">
        <is>
          <t>Delhi</t>
        </is>
      </c>
      <c r="J1489" s="5" t="inlineStr">
        <is>
          <t>Full-Time</t>
        </is>
      </c>
      <c r="K1489" s="7" t="n">
        <v>44748</v>
      </c>
      <c r="L1489" s="7" t="inlineStr"/>
      <c r="M1489" s="5" t="inlineStr">
        <is>
          <t>Yes</t>
        </is>
      </c>
      <c r="N1489" s="5" t="inlineStr"/>
      <c r="O1489" s="8" t="inlineStr">
        <is>
          <t>98000</t>
        </is>
      </c>
      <c r="P1489" s="5" t="inlineStr">
        <is>
          <t>10</t>
        </is>
      </c>
      <c r="Q1489" s="5" t="inlineStr">
        <is>
          <t>3</t>
        </is>
      </c>
      <c r="R1489" s="5" t="inlineStr">
        <is>
          <t>10</t>
        </is>
      </c>
      <c r="S1489" s="5" t="inlineStr">
        <is>
          <t>42</t>
        </is>
      </c>
      <c r="T1489" s="5" t="inlineStr">
        <is>
          <t>11</t>
        </is>
      </c>
      <c r="U1489" s="5">
        <f>IFS(C1489&lt;30,"Under 30",C1489&lt;40,"30-39",C1489&lt;50,"40-49",TRUE,"50+")</f>
        <v/>
      </c>
      <c r="V1489" s="5">
        <f>IFS(O1489&lt;60000,"Low (&lt;60k)",O1489&lt;100000,"Mid (60-100k)",TRUE,"High (100k+)")</f>
        <v/>
      </c>
      <c r="W1489" s="5">
        <f>IF(M1489="No","Attrited","Active")</f>
        <v/>
      </c>
    </row>
    <row r="1490">
      <c r="A1490" s="5" t="inlineStr">
        <is>
          <t>E01489</t>
        </is>
      </c>
      <c r="B1490" s="5" t="inlineStr">
        <is>
          <t>Male</t>
        </is>
      </c>
      <c r="C1490" s="6" t="inlineStr">
        <is>
          <t>33</t>
        </is>
      </c>
      <c r="D1490" s="5" t="inlineStr">
        <is>
          <t>Single</t>
        </is>
      </c>
      <c r="E1490" s="5" t="inlineStr">
        <is>
          <t>Bachelor</t>
        </is>
      </c>
      <c r="F1490" s="5" t="inlineStr">
        <is>
          <t>IT</t>
        </is>
      </c>
      <c r="G1490" s="5" t="inlineStr">
        <is>
          <t>Software Engineer</t>
        </is>
      </c>
      <c r="H1490" s="5" t="inlineStr">
        <is>
          <t>1</t>
        </is>
      </c>
      <c r="I1490" s="5" t="inlineStr">
        <is>
          <t>Delhi</t>
        </is>
      </c>
      <c r="J1490" s="5" t="inlineStr">
        <is>
          <t>Full-Time</t>
        </is>
      </c>
      <c r="K1490" s="7" t="n">
        <v>45473</v>
      </c>
      <c r="L1490" s="7" t="inlineStr"/>
      <c r="M1490" s="5" t="inlineStr">
        <is>
          <t>Yes</t>
        </is>
      </c>
      <c r="N1490" s="5" t="inlineStr"/>
      <c r="O1490" s="8" t="inlineStr">
        <is>
          <t>90000</t>
        </is>
      </c>
      <c r="P1490" s="5" t="inlineStr">
        <is>
          <t>0</t>
        </is>
      </c>
      <c r="Q1490" s="5" t="inlineStr">
        <is>
          <t>2</t>
        </is>
      </c>
      <c r="R1490" s="5" t="inlineStr">
        <is>
          <t>10</t>
        </is>
      </c>
      <c r="S1490" s="5" t="inlineStr">
        <is>
          <t>18</t>
        </is>
      </c>
      <c r="T1490" s="5" t="inlineStr">
        <is>
          <t>13</t>
        </is>
      </c>
      <c r="U1490" s="5">
        <f>IFS(C1490&lt;30,"Under 30",C1490&lt;40,"30-39",C1490&lt;50,"40-49",TRUE,"50+")</f>
        <v/>
      </c>
      <c r="V1490" s="5">
        <f>IFS(O1490&lt;60000,"Low (&lt;60k)",O1490&lt;100000,"Mid (60-100k)",TRUE,"High (100k+)")</f>
        <v/>
      </c>
      <c r="W1490" s="5">
        <f>IF(M1490="No","Attrited","Active")</f>
        <v/>
      </c>
    </row>
    <row r="1491">
      <c r="A1491" s="5" t="inlineStr">
        <is>
          <t>E01490</t>
        </is>
      </c>
      <c r="B1491" s="5" t="inlineStr">
        <is>
          <t>Female</t>
        </is>
      </c>
      <c r="C1491" s="6" t="inlineStr">
        <is>
          <t>32</t>
        </is>
      </c>
      <c r="D1491" s="5" t="inlineStr">
        <is>
          <t>Single</t>
        </is>
      </c>
      <c r="E1491" s="5" t="inlineStr">
        <is>
          <t>Master</t>
        </is>
      </c>
      <c r="F1491" s="5" t="inlineStr">
        <is>
          <t>Operations</t>
        </is>
      </c>
      <c r="G1491" s="5" t="inlineStr">
        <is>
          <t>Logistics Coordinator</t>
        </is>
      </c>
      <c r="H1491" s="5" t="inlineStr">
        <is>
          <t>2</t>
        </is>
      </c>
      <c r="I1491" s="5" t="inlineStr">
        <is>
          <t>Delhi</t>
        </is>
      </c>
      <c r="J1491" s="5" t="inlineStr">
        <is>
          <t>Full-Time</t>
        </is>
      </c>
      <c r="K1491" s="7" t="n">
        <v>44819</v>
      </c>
      <c r="L1491" s="7" t="n">
        <v>44961</v>
      </c>
      <c r="M1491" s="5" t="inlineStr">
        <is>
          <t>No</t>
        </is>
      </c>
      <c r="N1491" s="5" t="inlineStr">
        <is>
          <t>Relocation</t>
        </is>
      </c>
      <c r="O1491" s="8" t="inlineStr">
        <is>
          <t>79500</t>
        </is>
      </c>
      <c r="P1491" s="5" t="inlineStr">
        <is>
          <t>5</t>
        </is>
      </c>
      <c r="Q1491" s="5" t="inlineStr">
        <is>
          <t>5</t>
        </is>
      </c>
      <c r="R1491" s="5" t="inlineStr">
        <is>
          <t>5</t>
        </is>
      </c>
      <c r="S1491" s="5" t="inlineStr">
        <is>
          <t>4</t>
        </is>
      </c>
      <c r="T1491" s="5" t="inlineStr">
        <is>
          <t>10</t>
        </is>
      </c>
      <c r="U1491" s="5">
        <f>IFS(C1491&lt;30,"Under 30",C1491&lt;40,"30-39",C1491&lt;50,"40-49",TRUE,"50+")</f>
        <v/>
      </c>
      <c r="V1491" s="5">
        <f>IFS(O1491&lt;60000,"Low (&lt;60k)",O1491&lt;100000,"Mid (60-100k)",TRUE,"High (100k+)")</f>
        <v/>
      </c>
      <c r="W1491" s="5">
        <f>IF(M1491="No","Attrited","Active")</f>
        <v/>
      </c>
    </row>
    <row r="1492">
      <c r="A1492" s="5" t="inlineStr">
        <is>
          <t>E01491</t>
        </is>
      </c>
      <c r="B1492" s="5" t="inlineStr">
        <is>
          <t>Female</t>
        </is>
      </c>
      <c r="C1492" s="6" t="inlineStr">
        <is>
          <t>26</t>
        </is>
      </c>
      <c r="D1492" s="5" t="inlineStr">
        <is>
          <t>Married</t>
        </is>
      </c>
      <c r="E1492" s="5" t="inlineStr">
        <is>
          <t>Master</t>
        </is>
      </c>
      <c r="F1492" s="5" t="inlineStr">
        <is>
          <t>Operations</t>
        </is>
      </c>
      <c r="G1492" s="5" t="inlineStr">
        <is>
          <t>Quality Analyst</t>
        </is>
      </c>
      <c r="H1492" s="5" t="inlineStr">
        <is>
          <t>1</t>
        </is>
      </c>
      <c r="I1492" s="5" t="inlineStr">
        <is>
          <t>Hyderabad</t>
        </is>
      </c>
      <c r="J1492" s="5" t="inlineStr">
        <is>
          <t>Contract</t>
        </is>
      </c>
      <c r="K1492" s="7" t="n">
        <v>45038</v>
      </c>
      <c r="L1492" s="7" t="n">
        <v>45145</v>
      </c>
      <c r="M1492" s="5" t="inlineStr">
        <is>
          <t>No</t>
        </is>
      </c>
      <c r="N1492" s="5" t="inlineStr">
        <is>
          <t>Performance / Termination</t>
        </is>
      </c>
      <c r="O1492" s="8" t="inlineStr">
        <is>
          <t>64500</t>
        </is>
      </c>
      <c r="P1492" s="5" t="inlineStr">
        <is>
          <t>5</t>
        </is>
      </c>
      <c r="Q1492" s="5" t="inlineStr">
        <is>
          <t>3</t>
        </is>
      </c>
      <c r="R1492" s="5" t="inlineStr">
        <is>
          <t>8</t>
        </is>
      </c>
      <c r="S1492" s="5" t="inlineStr">
        <is>
          <t>3</t>
        </is>
      </c>
      <c r="T1492" s="5" t="inlineStr">
        <is>
          <t>0</t>
        </is>
      </c>
      <c r="U1492" s="5">
        <f>IFS(C1492&lt;30,"Under 30",C1492&lt;40,"30-39",C1492&lt;50,"40-49",TRUE,"50+")</f>
        <v/>
      </c>
      <c r="V1492" s="5">
        <f>IFS(O1492&lt;60000,"Low (&lt;60k)",O1492&lt;100000,"Mid (60-100k)",TRUE,"High (100k+)")</f>
        <v/>
      </c>
      <c r="W1492" s="5">
        <f>IF(M1492="No","Attrited","Active")</f>
        <v/>
      </c>
    </row>
    <row r="1493">
      <c r="A1493" s="5" t="inlineStr">
        <is>
          <t>E01492</t>
        </is>
      </c>
      <c r="B1493" s="5" t="inlineStr">
        <is>
          <t>Female</t>
        </is>
      </c>
      <c r="C1493" s="6" t="inlineStr">
        <is>
          <t>26</t>
        </is>
      </c>
      <c r="D1493" s="5" t="inlineStr">
        <is>
          <t>Married</t>
        </is>
      </c>
      <c r="E1493" s="5" t="inlineStr">
        <is>
          <t>PhD</t>
        </is>
      </c>
      <c r="F1493" s="5" t="inlineStr">
        <is>
          <t>Research &amp; Development</t>
        </is>
      </c>
      <c r="G1493" s="5" t="inlineStr">
        <is>
          <t>Data Scientist</t>
        </is>
      </c>
      <c r="H1493" s="5" t="inlineStr">
        <is>
          <t>1</t>
        </is>
      </c>
      <c r="I1493" s="5" t="inlineStr">
        <is>
          <t>Chennai</t>
        </is>
      </c>
      <c r="J1493" s="5" t="inlineStr">
        <is>
          <t>Full-Time</t>
        </is>
      </c>
      <c r="K1493" s="7" t="n">
        <v>44160</v>
      </c>
      <c r="L1493" s="7" t="n">
        <v>44192</v>
      </c>
      <c r="M1493" s="5" t="inlineStr">
        <is>
          <t>No</t>
        </is>
      </c>
      <c r="N1493" s="5" t="inlineStr">
        <is>
          <t>Resigned</t>
        </is>
      </c>
      <c r="O1493" s="8" t="inlineStr">
        <is>
          <t>149500</t>
        </is>
      </c>
      <c r="P1493" s="5" t="inlineStr">
        <is>
          <t>0</t>
        </is>
      </c>
      <c r="Q1493" s="5" t="inlineStr">
        <is>
          <t>4</t>
        </is>
      </c>
      <c r="R1493" s="5" t="inlineStr">
        <is>
          <t>7</t>
        </is>
      </c>
      <c r="S1493" s="5" t="inlineStr">
        <is>
          <t>1</t>
        </is>
      </c>
      <c r="T1493" s="5" t="inlineStr">
        <is>
          <t>0</t>
        </is>
      </c>
      <c r="U1493" s="5">
        <f>IFS(C1493&lt;30,"Under 30",C1493&lt;40,"30-39",C1493&lt;50,"40-49",TRUE,"50+")</f>
        <v/>
      </c>
      <c r="V1493" s="5">
        <f>IFS(O1493&lt;60000,"Low (&lt;60k)",O1493&lt;100000,"Mid (60-100k)",TRUE,"High (100k+)")</f>
        <v/>
      </c>
      <c r="W1493" s="5">
        <f>IF(M1493="No","Attrited","Active")</f>
        <v/>
      </c>
    </row>
    <row r="1494">
      <c r="A1494" s="5" t="inlineStr">
        <is>
          <t>E01493</t>
        </is>
      </c>
      <c r="B1494" s="5" t="inlineStr">
        <is>
          <t>Male</t>
        </is>
      </c>
      <c r="C1494" s="6" t="inlineStr">
        <is>
          <t>31</t>
        </is>
      </c>
      <c r="D1494" s="5" t="inlineStr">
        <is>
          <t>Married</t>
        </is>
      </c>
      <c r="E1494" s="5" t="inlineStr">
        <is>
          <t>Bachelor</t>
        </is>
      </c>
      <c r="F1494" s="5" t="inlineStr">
        <is>
          <t>IT</t>
        </is>
      </c>
      <c r="G1494" s="5" t="inlineStr">
        <is>
          <t>IT Support</t>
        </is>
      </c>
      <c r="H1494" s="5" t="inlineStr">
        <is>
          <t>3</t>
        </is>
      </c>
      <c r="I1494" s="5" t="inlineStr">
        <is>
          <t>Hyderabad</t>
        </is>
      </c>
      <c r="J1494" s="5" t="inlineStr">
        <is>
          <t>Full-Time</t>
        </is>
      </c>
      <c r="K1494" s="7" t="n">
        <v>44629</v>
      </c>
      <c r="L1494" s="7" t="inlineStr"/>
      <c r="M1494" s="5" t="inlineStr">
        <is>
          <t>Yes</t>
        </is>
      </c>
      <c r="N1494" s="5" t="inlineStr"/>
      <c r="O1494" s="8" t="inlineStr">
        <is>
          <t>112500</t>
        </is>
      </c>
      <c r="P1494" s="5" t="inlineStr">
        <is>
          <t>0</t>
        </is>
      </c>
      <c r="Q1494" s="5" t="inlineStr">
        <is>
          <t>4</t>
        </is>
      </c>
      <c r="R1494" s="5" t="inlineStr">
        <is>
          <t>8</t>
        </is>
      </c>
      <c r="S1494" s="5" t="inlineStr">
        <is>
          <t>46</t>
        </is>
      </c>
      <c r="T1494" s="5" t="inlineStr">
        <is>
          <t>4</t>
        </is>
      </c>
      <c r="U1494" s="5">
        <f>IFS(C1494&lt;30,"Under 30",C1494&lt;40,"30-39",C1494&lt;50,"40-49",TRUE,"50+")</f>
        <v/>
      </c>
      <c r="V1494" s="5">
        <f>IFS(O1494&lt;60000,"Low (&lt;60k)",O1494&lt;100000,"Mid (60-100k)",TRUE,"High (100k+)")</f>
        <v/>
      </c>
      <c r="W1494" s="5">
        <f>IF(M1494="No","Attrited","Active")</f>
        <v/>
      </c>
    </row>
    <row r="1495">
      <c r="A1495" s="5" t="inlineStr">
        <is>
          <t>E01494</t>
        </is>
      </c>
      <c r="B1495" s="5" t="inlineStr">
        <is>
          <t>Female</t>
        </is>
      </c>
      <c r="C1495" s="6" t="inlineStr">
        <is>
          <t>32</t>
        </is>
      </c>
      <c r="D1495" s="5" t="inlineStr">
        <is>
          <t>Married</t>
        </is>
      </c>
      <c r="E1495" s="5" t="inlineStr">
        <is>
          <t>PhD</t>
        </is>
      </c>
      <c r="F1495" s="5" t="inlineStr">
        <is>
          <t>Operations</t>
        </is>
      </c>
      <c r="G1495" s="5" t="inlineStr">
        <is>
          <t>Operations Analyst</t>
        </is>
      </c>
      <c r="H1495" s="5" t="inlineStr">
        <is>
          <t>1</t>
        </is>
      </c>
      <c r="I1495" s="5" t="inlineStr">
        <is>
          <t>Hyderabad</t>
        </is>
      </c>
      <c r="J1495" s="5" t="inlineStr">
        <is>
          <t>Full-Time</t>
        </is>
      </c>
      <c r="K1495" s="7" t="n">
        <v>44943</v>
      </c>
      <c r="L1495" s="7" t="n">
        <v>45075</v>
      </c>
      <c r="M1495" s="5" t="inlineStr">
        <is>
          <t>No</t>
        </is>
      </c>
      <c r="N1495" s="5" t="inlineStr">
        <is>
          <t>Resigned</t>
        </is>
      </c>
      <c r="O1495" s="8" t="inlineStr">
        <is>
          <t>95500</t>
        </is>
      </c>
      <c r="P1495" s="5" t="inlineStr">
        <is>
          <t>0</t>
        </is>
      </c>
      <c r="Q1495" s="5" t="inlineStr">
        <is>
          <t>2</t>
        </is>
      </c>
      <c r="R1495" s="5" t="inlineStr">
        <is>
          <t>5</t>
        </is>
      </c>
      <c r="S1495" s="5" t="inlineStr">
        <is>
          <t>4</t>
        </is>
      </c>
      <c r="T1495" s="5" t="inlineStr">
        <is>
          <t>1</t>
        </is>
      </c>
      <c r="U1495" s="5">
        <f>IFS(C1495&lt;30,"Under 30",C1495&lt;40,"30-39",C1495&lt;50,"40-49",TRUE,"50+")</f>
        <v/>
      </c>
      <c r="V1495" s="5">
        <f>IFS(O1495&lt;60000,"Low (&lt;60k)",O1495&lt;100000,"Mid (60-100k)",TRUE,"High (100k+)")</f>
        <v/>
      </c>
      <c r="W1495" s="5">
        <f>IF(M1495="No","Attrited","Active")</f>
        <v/>
      </c>
    </row>
    <row r="1496">
      <c r="A1496" s="5" t="inlineStr">
        <is>
          <t>E01495</t>
        </is>
      </c>
      <c r="B1496" s="5" t="inlineStr">
        <is>
          <t>Male</t>
        </is>
      </c>
      <c r="C1496" s="6" t="inlineStr">
        <is>
          <t>44</t>
        </is>
      </c>
      <c r="D1496" s="5" t="inlineStr">
        <is>
          <t>Married</t>
        </is>
      </c>
      <c r="E1496" s="5" t="inlineStr">
        <is>
          <t>High School</t>
        </is>
      </c>
      <c r="F1496" s="5" t="inlineStr">
        <is>
          <t>Sales</t>
        </is>
      </c>
      <c r="G1496" s="5" t="inlineStr">
        <is>
          <t>Business Development</t>
        </is>
      </c>
      <c r="H1496" s="5" t="inlineStr">
        <is>
          <t>6</t>
        </is>
      </c>
      <c r="I1496" s="5" t="inlineStr">
        <is>
          <t>Delhi</t>
        </is>
      </c>
      <c r="J1496" s="5" t="inlineStr">
        <is>
          <t>Full-Time</t>
        </is>
      </c>
      <c r="K1496" s="7" t="n">
        <v>44995</v>
      </c>
      <c r="L1496" s="7" t="inlineStr"/>
      <c r="M1496" s="5" t="inlineStr">
        <is>
          <t>Yes</t>
        </is>
      </c>
      <c r="N1496" s="5" t="inlineStr"/>
      <c r="O1496" s="8" t="inlineStr">
        <is>
          <t>184500</t>
        </is>
      </c>
      <c r="P1496" s="5" t="inlineStr">
        <is>
          <t>15</t>
        </is>
      </c>
      <c r="Q1496" s="5" t="inlineStr">
        <is>
          <t>4</t>
        </is>
      </c>
      <c r="R1496" s="5" t="inlineStr">
        <is>
          <t>4</t>
        </is>
      </c>
      <c r="S1496" s="5" t="inlineStr">
        <is>
          <t>34</t>
        </is>
      </c>
      <c r="T1496" s="5" t="inlineStr">
        <is>
          <t>4</t>
        </is>
      </c>
      <c r="U1496" s="5">
        <f>IFS(C1496&lt;30,"Under 30",C1496&lt;40,"30-39",C1496&lt;50,"40-49",TRUE,"50+")</f>
        <v/>
      </c>
      <c r="V1496" s="5">
        <f>IFS(O1496&lt;60000,"Low (&lt;60k)",O1496&lt;100000,"Mid (60-100k)",TRUE,"High (100k+)")</f>
        <v/>
      </c>
      <c r="W1496" s="5">
        <f>IF(M1496="No","Attrited","Active")</f>
        <v/>
      </c>
    </row>
    <row r="1497">
      <c r="A1497" s="5" t="inlineStr">
        <is>
          <t>E01496</t>
        </is>
      </c>
      <c r="B1497" s="5" t="inlineStr">
        <is>
          <t>Male</t>
        </is>
      </c>
      <c r="C1497" s="6" t="inlineStr">
        <is>
          <t>42</t>
        </is>
      </c>
      <c r="D1497" s="5" t="inlineStr">
        <is>
          <t>Married</t>
        </is>
      </c>
      <c r="E1497" s="5" t="inlineStr">
        <is>
          <t>Diploma</t>
        </is>
      </c>
      <c r="F1497" s="5" t="inlineStr">
        <is>
          <t>IT</t>
        </is>
      </c>
      <c r="G1497" s="5" t="inlineStr">
        <is>
          <t>IT Support</t>
        </is>
      </c>
      <c r="H1497" s="5" t="inlineStr">
        <is>
          <t>7</t>
        </is>
      </c>
      <c r="I1497" s="5" t="inlineStr">
        <is>
          <t>Hyderabad</t>
        </is>
      </c>
      <c r="J1497" s="5" t="inlineStr">
        <is>
          <t>Full-Time</t>
        </is>
      </c>
      <c r="K1497" s="7" t="n">
        <v>44287</v>
      </c>
      <c r="L1497" s="7" t="inlineStr"/>
      <c r="M1497" s="5" t="inlineStr">
        <is>
          <t>Yes</t>
        </is>
      </c>
      <c r="N1497" s="5" t="inlineStr"/>
      <c r="O1497" s="8" t="inlineStr">
        <is>
          <t>206500</t>
        </is>
      </c>
      <c r="P1497" s="5" t="inlineStr">
        <is>
          <t>10</t>
        </is>
      </c>
      <c r="Q1497" s="5" t="inlineStr">
        <is>
          <t>4</t>
        </is>
      </c>
      <c r="R1497" s="5" t="inlineStr">
        <is>
          <t>6</t>
        </is>
      </c>
      <c r="S1497" s="5" t="inlineStr">
        <is>
          <t>57</t>
        </is>
      </c>
      <c r="T1497" s="5" t="inlineStr">
        <is>
          <t>2</t>
        </is>
      </c>
      <c r="U1497" s="5">
        <f>IFS(C1497&lt;30,"Under 30",C1497&lt;40,"30-39",C1497&lt;50,"40-49",TRUE,"50+")</f>
        <v/>
      </c>
      <c r="V1497" s="5">
        <f>IFS(O1497&lt;60000,"Low (&lt;60k)",O1497&lt;100000,"Mid (60-100k)",TRUE,"High (100k+)")</f>
        <v/>
      </c>
      <c r="W1497" s="5">
        <f>IF(M1497="No","Attrited","Active")</f>
        <v/>
      </c>
    </row>
    <row r="1498">
      <c r="A1498" s="5" t="inlineStr">
        <is>
          <t>E01497</t>
        </is>
      </c>
      <c r="B1498" s="5" t="inlineStr">
        <is>
          <t>Female</t>
        </is>
      </c>
      <c r="C1498" s="6" t="inlineStr">
        <is>
          <t>32</t>
        </is>
      </c>
      <c r="D1498" s="5" t="inlineStr">
        <is>
          <t>Married</t>
        </is>
      </c>
      <c r="E1498" s="5" t="inlineStr">
        <is>
          <t>PhD</t>
        </is>
      </c>
      <c r="F1498" s="5" t="inlineStr">
        <is>
          <t>Marketing</t>
        </is>
      </c>
      <c r="G1498" s="5" t="inlineStr">
        <is>
          <t>Content Writer</t>
        </is>
      </c>
      <c r="H1498" s="5" t="inlineStr">
        <is>
          <t>2</t>
        </is>
      </c>
      <c r="I1498" s="5" t="inlineStr">
        <is>
          <t>Remote</t>
        </is>
      </c>
      <c r="J1498" s="5" t="inlineStr">
        <is>
          <t>Full-Time</t>
        </is>
      </c>
      <c r="K1498" s="7" t="n">
        <v>44800</v>
      </c>
      <c r="L1498" s="7" t="inlineStr"/>
      <c r="M1498" s="5" t="inlineStr">
        <is>
          <t>Yes</t>
        </is>
      </c>
      <c r="N1498" s="5" t="inlineStr"/>
      <c r="O1498" s="8" t="inlineStr">
        <is>
          <t>65500</t>
        </is>
      </c>
      <c r="P1498" s="5" t="inlineStr">
        <is>
          <t>10</t>
        </is>
      </c>
      <c r="Q1498" s="5" t="inlineStr">
        <is>
          <t>4</t>
        </is>
      </c>
      <c r="R1498" s="5" t="inlineStr">
        <is>
          <t>4</t>
        </is>
      </c>
      <c r="S1498" s="5" t="inlineStr">
        <is>
          <t>40</t>
        </is>
      </c>
      <c r="T1498" s="5" t="inlineStr">
        <is>
          <t>0</t>
        </is>
      </c>
      <c r="U1498" s="5">
        <f>IFS(C1498&lt;30,"Under 30",C1498&lt;40,"30-39",C1498&lt;50,"40-49",TRUE,"50+")</f>
        <v/>
      </c>
      <c r="V1498" s="5">
        <f>IFS(O1498&lt;60000,"Low (&lt;60k)",O1498&lt;100000,"Mid (60-100k)",TRUE,"High (100k+)")</f>
        <v/>
      </c>
      <c r="W1498" s="5">
        <f>IF(M1498="No","Attrited","Active")</f>
        <v/>
      </c>
    </row>
    <row r="1499">
      <c r="A1499" s="5" t="inlineStr">
        <is>
          <t>E01498</t>
        </is>
      </c>
      <c r="B1499" s="5" t="inlineStr">
        <is>
          <t>Female</t>
        </is>
      </c>
      <c r="C1499" s="6" t="inlineStr">
        <is>
          <t>35</t>
        </is>
      </c>
      <c r="D1499" s="5" t="inlineStr">
        <is>
          <t>Married</t>
        </is>
      </c>
      <c r="E1499" s="5" t="inlineStr">
        <is>
          <t>High School</t>
        </is>
      </c>
      <c r="F1499" s="5" t="inlineStr">
        <is>
          <t>IT</t>
        </is>
      </c>
      <c r="G1499" s="5" t="inlineStr">
        <is>
          <t>IT Support</t>
        </is>
      </c>
      <c r="H1499" s="5" t="inlineStr">
        <is>
          <t>5</t>
        </is>
      </c>
      <c r="I1499" s="5" t="inlineStr">
        <is>
          <t>Remote</t>
        </is>
      </c>
      <c r="J1499" s="5" t="inlineStr">
        <is>
          <t>Full-Time</t>
        </is>
      </c>
      <c r="K1499" s="7" t="n">
        <v>45760</v>
      </c>
      <c r="L1499" s="7" t="inlineStr"/>
      <c r="M1499" s="5" t="inlineStr">
        <is>
          <t>Yes</t>
        </is>
      </c>
      <c r="N1499" s="5" t="inlineStr"/>
      <c r="O1499" s="8" t="inlineStr">
        <is>
          <t>156000</t>
        </is>
      </c>
      <c r="P1499" s="5" t="inlineStr">
        <is>
          <t>5</t>
        </is>
      </c>
      <c r="Q1499" s="5" t="inlineStr">
        <is>
          <t>2</t>
        </is>
      </c>
      <c r="R1499" s="5" t="inlineStr">
        <is>
          <t>5</t>
        </is>
      </c>
      <c r="S1499" s="5" t="inlineStr">
        <is>
          <t>8</t>
        </is>
      </c>
      <c r="T1499" s="5" t="inlineStr">
        <is>
          <t>15</t>
        </is>
      </c>
      <c r="U1499" s="5">
        <f>IFS(C1499&lt;30,"Under 30",C1499&lt;40,"30-39",C1499&lt;50,"40-49",TRUE,"50+")</f>
        <v/>
      </c>
      <c r="V1499" s="5">
        <f>IFS(O1499&lt;60000,"Low (&lt;60k)",O1499&lt;100000,"Mid (60-100k)",TRUE,"High (100k+)")</f>
        <v/>
      </c>
      <c r="W1499" s="5">
        <f>IF(M1499="No","Attrited","Active")</f>
        <v/>
      </c>
    </row>
    <row r="1500">
      <c r="A1500" s="5" t="inlineStr">
        <is>
          <t>E01499</t>
        </is>
      </c>
      <c r="B1500" s="5" t="inlineStr">
        <is>
          <t>Male</t>
        </is>
      </c>
      <c r="C1500" s="6" t="inlineStr">
        <is>
          <t>37</t>
        </is>
      </c>
      <c r="D1500" s="5" t="inlineStr">
        <is>
          <t>Married</t>
        </is>
      </c>
      <c r="E1500" s="5" t="inlineStr">
        <is>
          <t>Bachelor</t>
        </is>
      </c>
      <c r="F1500" s="5" t="inlineStr">
        <is>
          <t>Sales</t>
        </is>
      </c>
      <c r="G1500" s="5" t="inlineStr">
        <is>
          <t>Account Executive</t>
        </is>
      </c>
      <c r="H1500" s="5" t="inlineStr">
        <is>
          <t>3</t>
        </is>
      </c>
      <c r="I1500" s="5" t="inlineStr">
        <is>
          <t>Remote</t>
        </is>
      </c>
      <c r="J1500" s="5" t="inlineStr">
        <is>
          <t>Full-Time</t>
        </is>
      </c>
      <c r="K1500" s="7" t="n">
        <v>44585</v>
      </c>
      <c r="L1500" s="7" t="inlineStr"/>
      <c r="M1500" s="5" t="inlineStr">
        <is>
          <t>Yes</t>
        </is>
      </c>
      <c r="N1500" s="5" t="inlineStr"/>
      <c r="O1500" s="8" t="inlineStr">
        <is>
          <t>86500</t>
        </is>
      </c>
      <c r="P1500" s="5" t="inlineStr">
        <is>
          <t>10</t>
        </is>
      </c>
      <c r="Q1500" s="5" t="inlineStr">
        <is>
          <t>5</t>
        </is>
      </c>
      <c r="R1500" s="5" t="inlineStr">
        <is>
          <t>4</t>
        </is>
      </c>
      <c r="S1500" s="5" t="inlineStr">
        <is>
          <t>47</t>
        </is>
      </c>
      <c r="T1500" s="5" t="inlineStr">
        <is>
          <t>2</t>
        </is>
      </c>
      <c r="U1500" s="5">
        <f>IFS(C1500&lt;30,"Under 30",C1500&lt;40,"30-39",C1500&lt;50,"40-49",TRUE,"50+")</f>
        <v/>
      </c>
      <c r="V1500" s="5">
        <f>IFS(O1500&lt;60000,"Low (&lt;60k)",O1500&lt;100000,"Mid (60-100k)",TRUE,"High (100k+)")</f>
        <v/>
      </c>
      <c r="W1500" s="5">
        <f>IF(M1500="No","Attrited","Active")</f>
        <v/>
      </c>
    </row>
    <row r="1501">
      <c r="A1501" s="5" t="inlineStr">
        <is>
          <t>E01500</t>
        </is>
      </c>
      <c r="B1501" s="5" t="inlineStr">
        <is>
          <t>Male</t>
        </is>
      </c>
      <c r="C1501" s="6" t="inlineStr">
        <is>
          <t>30</t>
        </is>
      </c>
      <c r="D1501" s="5" t="inlineStr">
        <is>
          <t>Single</t>
        </is>
      </c>
      <c r="E1501" s="5" t="inlineStr">
        <is>
          <t>Master</t>
        </is>
      </c>
      <c r="F1501" s="5" t="inlineStr">
        <is>
          <t>IT</t>
        </is>
      </c>
      <c r="G1501" s="5" t="inlineStr">
        <is>
          <t>DevOps Engineer</t>
        </is>
      </c>
      <c r="H1501" s="5" t="inlineStr">
        <is>
          <t>1</t>
        </is>
      </c>
      <c r="I1501" s="5" t="inlineStr">
        <is>
          <t>Mumbai</t>
        </is>
      </c>
      <c r="J1501" s="5" t="inlineStr">
        <is>
          <t>Full-Time</t>
        </is>
      </c>
      <c r="K1501" s="7" t="n">
        <v>45211</v>
      </c>
      <c r="L1501" s="7" t="inlineStr"/>
      <c r="M1501" s="5" t="inlineStr">
        <is>
          <t>Yes</t>
        </is>
      </c>
      <c r="N1501" s="5" t="inlineStr"/>
      <c r="O1501" s="8" t="inlineStr">
        <is>
          <t>138000</t>
        </is>
      </c>
      <c r="P1501" s="5" t="inlineStr">
        <is>
          <t>0</t>
        </is>
      </c>
      <c r="Q1501" s="5" t="inlineStr">
        <is>
          <t>5</t>
        </is>
      </c>
      <c r="R1501" s="5" t="inlineStr">
        <is>
          <t>6</t>
        </is>
      </c>
      <c r="S1501" s="5" t="inlineStr">
        <is>
          <t>27</t>
        </is>
      </c>
      <c r="T1501" s="5" t="inlineStr">
        <is>
          <t>5</t>
        </is>
      </c>
      <c r="U1501" s="5">
        <f>IFS(C1501&lt;30,"Under 30",C1501&lt;40,"30-39",C1501&lt;50,"40-49",TRUE,"50+")</f>
        <v/>
      </c>
      <c r="V1501" s="5">
        <f>IFS(O1501&lt;60000,"Low (&lt;60k)",O1501&lt;100000,"Mid (60-100k)",TRUE,"High (100k+)")</f>
        <v/>
      </c>
      <c r="W1501" s="5">
        <f>IF(M1501="No","Attrited","Active")</f>
        <v/>
      </c>
    </row>
    <row r="1502">
      <c r="A1502" s="5" t="inlineStr">
        <is>
          <t>E01501</t>
        </is>
      </c>
      <c r="B1502" s="5" t="inlineStr">
        <is>
          <t>Male</t>
        </is>
      </c>
      <c r="C1502" s="6" t="inlineStr">
        <is>
          <t>37</t>
        </is>
      </c>
      <c r="D1502" s="5" t="inlineStr">
        <is>
          <t>Single</t>
        </is>
      </c>
      <c r="E1502" s="5" t="inlineStr">
        <is>
          <t>High School</t>
        </is>
      </c>
      <c r="F1502" s="5" t="inlineStr">
        <is>
          <t>Sales</t>
        </is>
      </c>
      <c r="G1502" s="5" t="inlineStr">
        <is>
          <t>Sales Executive</t>
        </is>
      </c>
      <c r="H1502" s="5" t="inlineStr">
        <is>
          <t>5</t>
        </is>
      </c>
      <c r="I1502" s="5" t="inlineStr">
        <is>
          <t>Bengaluru</t>
        </is>
      </c>
      <c r="J1502" s="5" t="inlineStr">
        <is>
          <t>Full-Time</t>
        </is>
      </c>
      <c r="K1502" s="7" t="n">
        <v>45797</v>
      </c>
      <c r="L1502" s="7" t="inlineStr"/>
      <c r="M1502" s="5" t="inlineStr">
        <is>
          <t>Yes</t>
        </is>
      </c>
      <c r="N1502" s="5" t="inlineStr"/>
      <c r="O1502" s="8" t="inlineStr">
        <is>
          <t>98000</t>
        </is>
      </c>
      <c r="P1502" s="5" t="inlineStr">
        <is>
          <t>10</t>
        </is>
      </c>
      <c r="Q1502" s="5" t="inlineStr">
        <is>
          <t>4</t>
        </is>
      </c>
      <c r="R1502" s="5" t="inlineStr">
        <is>
          <t>6</t>
        </is>
      </c>
      <c r="S1502" s="5" t="inlineStr">
        <is>
          <t>7</t>
        </is>
      </c>
      <c r="T1502" s="5" t="inlineStr">
        <is>
          <t>16</t>
        </is>
      </c>
      <c r="U1502" s="5">
        <f>IFS(C1502&lt;30,"Under 30",C1502&lt;40,"30-39",C1502&lt;50,"40-49",TRUE,"50+")</f>
        <v/>
      </c>
      <c r="V1502" s="5">
        <f>IFS(O1502&lt;60000,"Low (&lt;60k)",O1502&lt;100000,"Mid (60-100k)",TRUE,"High (100k+)")</f>
        <v/>
      </c>
      <c r="W1502" s="5">
        <f>IF(M1502="No","Attrited","Active")</f>
        <v/>
      </c>
    </row>
    <row r="1503">
      <c r="A1503" s="5" t="inlineStr">
        <is>
          <t>E01502</t>
        </is>
      </c>
      <c r="B1503" s="5" t="inlineStr">
        <is>
          <t>Male</t>
        </is>
      </c>
      <c r="C1503" s="6" t="inlineStr">
        <is>
          <t>38</t>
        </is>
      </c>
      <c r="D1503" s="5" t="inlineStr">
        <is>
          <t>Single</t>
        </is>
      </c>
      <c r="E1503" s="5" t="inlineStr">
        <is>
          <t>Bachelor</t>
        </is>
      </c>
      <c r="F1503" s="5" t="inlineStr">
        <is>
          <t>Sales</t>
        </is>
      </c>
      <c r="G1503" s="5" t="inlineStr">
        <is>
          <t>Business Development</t>
        </is>
      </c>
      <c r="H1503" s="5" t="inlineStr">
        <is>
          <t>4</t>
        </is>
      </c>
      <c r="I1503" s="5" t="inlineStr">
        <is>
          <t>Chennai</t>
        </is>
      </c>
      <c r="J1503" s="5" t="inlineStr">
        <is>
          <t>Full-Time</t>
        </is>
      </c>
      <c r="K1503" s="7" t="n">
        <v>44858</v>
      </c>
      <c r="L1503" s="7" t="inlineStr"/>
      <c r="M1503" s="5" t="inlineStr">
        <is>
          <t>Yes</t>
        </is>
      </c>
      <c r="N1503" s="5" t="inlineStr"/>
      <c r="O1503" s="8" t="inlineStr">
        <is>
          <t>140000</t>
        </is>
      </c>
      <c r="P1503" s="5" t="inlineStr">
        <is>
          <t>5</t>
        </is>
      </c>
      <c r="Q1503" s="5" t="inlineStr">
        <is>
          <t>5</t>
        </is>
      </c>
      <c r="R1503" s="5" t="inlineStr">
        <is>
          <t>8</t>
        </is>
      </c>
      <c r="S1503" s="5" t="inlineStr">
        <is>
          <t>38</t>
        </is>
      </c>
      <c r="T1503" s="5" t="inlineStr">
        <is>
          <t>0</t>
        </is>
      </c>
      <c r="U1503" s="5">
        <f>IFS(C1503&lt;30,"Under 30",C1503&lt;40,"30-39",C1503&lt;50,"40-49",TRUE,"50+")</f>
        <v/>
      </c>
      <c r="V1503" s="5">
        <f>IFS(O1503&lt;60000,"Low (&lt;60k)",O1503&lt;100000,"Mid (60-100k)",TRUE,"High (100k+)")</f>
        <v/>
      </c>
      <c r="W1503" s="5">
        <f>IF(M1503="No","Attrited","Active")</f>
        <v/>
      </c>
    </row>
    <row r="1504">
      <c r="A1504" s="5" t="inlineStr">
        <is>
          <t>E01503</t>
        </is>
      </c>
      <c r="B1504" s="5" t="inlineStr">
        <is>
          <t>Male</t>
        </is>
      </c>
      <c r="C1504" s="6" t="inlineStr">
        <is>
          <t>31</t>
        </is>
      </c>
      <c r="D1504" s="5" t="inlineStr">
        <is>
          <t>Married</t>
        </is>
      </c>
      <c r="E1504" s="5" t="inlineStr">
        <is>
          <t>Diploma</t>
        </is>
      </c>
      <c r="F1504" s="5" t="inlineStr">
        <is>
          <t>IT</t>
        </is>
      </c>
      <c r="G1504" s="5" t="inlineStr">
        <is>
          <t>IT Support</t>
        </is>
      </c>
      <c r="H1504" s="5" t="inlineStr">
        <is>
          <t>3</t>
        </is>
      </c>
      <c r="I1504" s="5" t="inlineStr">
        <is>
          <t>Delhi</t>
        </is>
      </c>
      <c r="J1504" s="5" t="inlineStr">
        <is>
          <t>Part-Time</t>
        </is>
      </c>
      <c r="K1504" s="7" t="n">
        <v>45103</v>
      </c>
      <c r="L1504" s="7" t="inlineStr"/>
      <c r="M1504" s="5" t="inlineStr">
        <is>
          <t>Yes</t>
        </is>
      </c>
      <c r="N1504" s="5" t="inlineStr"/>
      <c r="O1504" s="8" t="inlineStr">
        <is>
          <t>120500</t>
        </is>
      </c>
      <c r="P1504" s="5" t="inlineStr">
        <is>
          <t>15</t>
        </is>
      </c>
      <c r="Q1504" s="5" t="inlineStr">
        <is>
          <t>3</t>
        </is>
      </c>
      <c r="R1504" s="5" t="inlineStr">
        <is>
          <t>6</t>
        </is>
      </c>
      <c r="S1504" s="5" t="inlineStr">
        <is>
          <t>30</t>
        </is>
      </c>
      <c r="T1504" s="5" t="inlineStr">
        <is>
          <t>11</t>
        </is>
      </c>
      <c r="U1504" s="5">
        <f>IFS(C1504&lt;30,"Under 30",C1504&lt;40,"30-39",C1504&lt;50,"40-49",TRUE,"50+")</f>
        <v/>
      </c>
      <c r="V1504" s="5">
        <f>IFS(O1504&lt;60000,"Low (&lt;60k)",O1504&lt;100000,"Mid (60-100k)",TRUE,"High (100k+)")</f>
        <v/>
      </c>
      <c r="W1504" s="5">
        <f>IF(M1504="No","Attrited","Active")</f>
        <v/>
      </c>
    </row>
    <row r="1505">
      <c r="A1505" s="5" t="inlineStr">
        <is>
          <t>E01504</t>
        </is>
      </c>
      <c r="B1505" s="5" t="inlineStr">
        <is>
          <t>Female</t>
        </is>
      </c>
      <c r="C1505" s="6" t="inlineStr">
        <is>
          <t>40</t>
        </is>
      </c>
      <c r="D1505" s="5" t="inlineStr">
        <is>
          <t>Married</t>
        </is>
      </c>
      <c r="E1505" s="5" t="inlineStr">
        <is>
          <t>Master</t>
        </is>
      </c>
      <c r="F1505" s="5" t="inlineStr">
        <is>
          <t>Operations</t>
        </is>
      </c>
      <c r="G1505" s="5" t="inlineStr">
        <is>
          <t>Logistics Coordinator</t>
        </is>
      </c>
      <c r="H1505" s="5" t="inlineStr">
        <is>
          <t>5</t>
        </is>
      </c>
      <c r="I1505" s="5" t="inlineStr">
        <is>
          <t>Bengaluru</t>
        </is>
      </c>
      <c r="J1505" s="5" t="inlineStr">
        <is>
          <t>Full-Time</t>
        </is>
      </c>
      <c r="K1505" s="7" t="n">
        <v>44882</v>
      </c>
      <c r="L1505" s="7" t="inlineStr"/>
      <c r="M1505" s="5" t="inlineStr">
        <is>
          <t>Yes</t>
        </is>
      </c>
      <c r="N1505" s="5" t="inlineStr"/>
      <c r="O1505" s="8" t="inlineStr">
        <is>
          <t>116500</t>
        </is>
      </c>
      <c r="P1505" s="5" t="inlineStr">
        <is>
          <t>0</t>
        </is>
      </c>
      <c r="Q1505" s="5" t="inlineStr">
        <is>
          <t>5</t>
        </is>
      </c>
      <c r="R1505" s="5" t="inlineStr">
        <is>
          <t>8</t>
        </is>
      </c>
      <c r="S1505" s="5" t="inlineStr">
        <is>
          <t>38</t>
        </is>
      </c>
      <c r="T1505" s="5" t="inlineStr">
        <is>
          <t>5</t>
        </is>
      </c>
      <c r="U1505" s="5">
        <f>IFS(C1505&lt;30,"Under 30",C1505&lt;40,"30-39",C1505&lt;50,"40-49",TRUE,"50+")</f>
        <v/>
      </c>
      <c r="V1505" s="5">
        <f>IFS(O1505&lt;60000,"Low (&lt;60k)",O1505&lt;100000,"Mid (60-100k)",TRUE,"High (100k+)")</f>
        <v/>
      </c>
      <c r="W1505" s="5">
        <f>IF(M1505="No","Attrited","Active")</f>
        <v/>
      </c>
    </row>
    <row r="1506">
      <c r="A1506" s="5" t="inlineStr">
        <is>
          <t>E01505</t>
        </is>
      </c>
      <c r="B1506" s="5" t="inlineStr">
        <is>
          <t>Male</t>
        </is>
      </c>
      <c r="C1506" s="6" t="inlineStr">
        <is>
          <t>31</t>
        </is>
      </c>
      <c r="D1506" s="5" t="inlineStr">
        <is>
          <t>Divorced</t>
        </is>
      </c>
      <c r="E1506" s="5" t="inlineStr">
        <is>
          <t>Master</t>
        </is>
      </c>
      <c r="F1506" s="5" t="inlineStr">
        <is>
          <t>IT</t>
        </is>
      </c>
      <c r="G1506" s="5" t="inlineStr">
        <is>
          <t>DevOps Engineer</t>
        </is>
      </c>
      <c r="H1506" s="5" t="inlineStr">
        <is>
          <t>2</t>
        </is>
      </c>
      <c r="I1506" s="5" t="inlineStr">
        <is>
          <t>Hyderabad</t>
        </is>
      </c>
      <c r="J1506" s="5" t="inlineStr">
        <is>
          <t>Full-Time</t>
        </is>
      </c>
      <c r="K1506" s="7" t="n">
        <v>44830</v>
      </c>
      <c r="L1506" s="7" t="inlineStr"/>
      <c r="M1506" s="5" t="inlineStr">
        <is>
          <t>Yes</t>
        </is>
      </c>
      <c r="N1506" s="5" t="inlineStr"/>
      <c r="O1506" s="8" t="inlineStr">
        <is>
          <t>160500</t>
        </is>
      </c>
      <c r="P1506" s="5" t="inlineStr">
        <is>
          <t>5</t>
        </is>
      </c>
      <c r="Q1506" s="5" t="inlineStr">
        <is>
          <t>3</t>
        </is>
      </c>
      <c r="R1506" s="5" t="inlineStr">
        <is>
          <t>5</t>
        </is>
      </c>
      <c r="S1506" s="5" t="inlineStr">
        <is>
          <t>39</t>
        </is>
      </c>
      <c r="T1506" s="5" t="inlineStr">
        <is>
          <t>10</t>
        </is>
      </c>
      <c r="U1506" s="5">
        <f>IFS(C1506&lt;30,"Under 30",C1506&lt;40,"30-39",C1506&lt;50,"40-49",TRUE,"50+")</f>
        <v/>
      </c>
      <c r="V1506" s="5">
        <f>IFS(O1506&lt;60000,"Low (&lt;60k)",O1506&lt;100000,"Mid (60-100k)",TRUE,"High (100k+)")</f>
        <v/>
      </c>
      <c r="W1506" s="5">
        <f>IF(M1506="No","Attrited","Active")</f>
        <v/>
      </c>
    </row>
    <row r="1507">
      <c r="A1507" s="5" t="inlineStr">
        <is>
          <t>E01506</t>
        </is>
      </c>
      <c r="B1507" s="5" t="inlineStr">
        <is>
          <t>Female</t>
        </is>
      </c>
      <c r="C1507" s="6" t="inlineStr">
        <is>
          <t>32</t>
        </is>
      </c>
      <c r="D1507" s="5" t="inlineStr">
        <is>
          <t>Single</t>
        </is>
      </c>
      <c r="E1507" s="5" t="inlineStr">
        <is>
          <t>PhD</t>
        </is>
      </c>
      <c r="F1507" s="5" t="inlineStr">
        <is>
          <t>Customer Support</t>
        </is>
      </c>
      <c r="G1507" s="5" t="inlineStr">
        <is>
          <t>Support Agent</t>
        </is>
      </c>
      <c r="H1507" s="5" t="inlineStr">
        <is>
          <t>1</t>
        </is>
      </c>
      <c r="I1507" s="5" t="inlineStr">
        <is>
          <t>Bengaluru</t>
        </is>
      </c>
      <c r="J1507" s="5" t="inlineStr">
        <is>
          <t>Full-Time</t>
        </is>
      </c>
      <c r="K1507" s="7" t="n">
        <v>44308</v>
      </c>
      <c r="L1507" s="7" t="inlineStr"/>
      <c r="M1507" s="5" t="inlineStr">
        <is>
          <t>Yes</t>
        </is>
      </c>
      <c r="N1507" s="5" t="inlineStr"/>
      <c r="O1507" s="8" t="inlineStr">
        <is>
          <t>73000</t>
        </is>
      </c>
      <c r="P1507" s="5" t="inlineStr">
        <is>
          <t>10</t>
        </is>
      </c>
      <c r="Q1507" s="5" t="inlineStr">
        <is>
          <t>3</t>
        </is>
      </c>
      <c r="R1507" s="5" t="inlineStr">
        <is>
          <t>7</t>
        </is>
      </c>
      <c r="S1507" s="5" t="inlineStr">
        <is>
          <t>57</t>
        </is>
      </c>
      <c r="T1507" s="5" t="inlineStr">
        <is>
          <t>12</t>
        </is>
      </c>
      <c r="U1507" s="5">
        <f>IFS(C1507&lt;30,"Under 30",C1507&lt;40,"30-39",C1507&lt;50,"40-49",TRUE,"50+")</f>
        <v/>
      </c>
      <c r="V1507" s="5">
        <f>IFS(O1507&lt;60000,"Low (&lt;60k)",O1507&lt;100000,"Mid (60-100k)",TRUE,"High (100k+)")</f>
        <v/>
      </c>
      <c r="W1507" s="5">
        <f>IF(M1507="No","Attrited","Active")</f>
        <v/>
      </c>
    </row>
    <row r="1508">
      <c r="A1508" s="5" t="inlineStr">
        <is>
          <t>E01507</t>
        </is>
      </c>
      <c r="B1508" s="5" t="inlineStr">
        <is>
          <t>Female</t>
        </is>
      </c>
      <c r="C1508" s="6" t="inlineStr">
        <is>
          <t>31</t>
        </is>
      </c>
      <c r="D1508" s="5" t="inlineStr">
        <is>
          <t>Married</t>
        </is>
      </c>
      <c r="E1508" s="5" t="inlineStr">
        <is>
          <t>High School</t>
        </is>
      </c>
      <c r="F1508" s="5" t="inlineStr">
        <is>
          <t>IT</t>
        </is>
      </c>
      <c r="G1508" s="5" t="inlineStr">
        <is>
          <t>Software Engineer</t>
        </is>
      </c>
      <c r="H1508" s="5" t="inlineStr">
        <is>
          <t>1</t>
        </is>
      </c>
      <c r="I1508" s="5" t="inlineStr">
        <is>
          <t>Bengaluru</t>
        </is>
      </c>
      <c r="J1508" s="5" t="inlineStr">
        <is>
          <t>Full-Time</t>
        </is>
      </c>
      <c r="K1508" s="7" t="n">
        <v>44479</v>
      </c>
      <c r="L1508" s="7" t="inlineStr"/>
      <c r="M1508" s="5" t="inlineStr">
        <is>
          <t>Yes</t>
        </is>
      </c>
      <c r="N1508" s="5" t="inlineStr"/>
      <c r="O1508" s="8" t="inlineStr">
        <is>
          <t>108000</t>
        </is>
      </c>
      <c r="P1508" s="5" t="inlineStr">
        <is>
          <t>0</t>
        </is>
      </c>
      <c r="Q1508" s="5" t="inlineStr">
        <is>
          <t>4</t>
        </is>
      </c>
      <c r="R1508" s="5" t="inlineStr">
        <is>
          <t>7</t>
        </is>
      </c>
      <c r="S1508" s="5" t="inlineStr">
        <is>
          <t>51</t>
        </is>
      </c>
      <c r="T1508" s="5" t="inlineStr">
        <is>
          <t>7</t>
        </is>
      </c>
      <c r="U1508" s="5">
        <f>IFS(C1508&lt;30,"Under 30",C1508&lt;40,"30-39",C1508&lt;50,"40-49",TRUE,"50+")</f>
        <v/>
      </c>
      <c r="V1508" s="5">
        <f>IFS(O1508&lt;60000,"Low (&lt;60k)",O1508&lt;100000,"Mid (60-100k)",TRUE,"High (100k+)")</f>
        <v/>
      </c>
      <c r="W1508" s="5">
        <f>IF(M1508="No","Attrited","Active")</f>
        <v/>
      </c>
    </row>
    <row r="1509">
      <c r="A1509" s="5" t="inlineStr">
        <is>
          <t>E01508</t>
        </is>
      </c>
      <c r="B1509" s="5" t="inlineStr">
        <is>
          <t>Female</t>
        </is>
      </c>
      <c r="C1509" s="6" t="inlineStr">
        <is>
          <t>31</t>
        </is>
      </c>
      <c r="D1509" s="5" t="inlineStr">
        <is>
          <t>Single</t>
        </is>
      </c>
      <c r="E1509" s="5" t="inlineStr">
        <is>
          <t>Master</t>
        </is>
      </c>
      <c r="F1509" s="5" t="inlineStr">
        <is>
          <t>Marketing</t>
        </is>
      </c>
      <c r="G1509" s="5" t="inlineStr">
        <is>
          <t>SEO Specialist</t>
        </is>
      </c>
      <c r="H1509" s="5" t="inlineStr">
        <is>
          <t>4</t>
        </is>
      </c>
      <c r="I1509" s="5" t="inlineStr">
        <is>
          <t>Delhi</t>
        </is>
      </c>
      <c r="J1509" s="5" t="inlineStr">
        <is>
          <t>Full-Time</t>
        </is>
      </c>
      <c r="K1509" s="7" t="n">
        <v>45099</v>
      </c>
      <c r="L1509" s="7" t="inlineStr"/>
      <c r="M1509" s="5" t="inlineStr">
        <is>
          <t>Yes</t>
        </is>
      </c>
      <c r="N1509" s="5" t="inlineStr"/>
      <c r="O1509" s="8" t="inlineStr">
        <is>
          <t>83500</t>
        </is>
      </c>
      <c r="P1509" s="5" t="inlineStr">
        <is>
          <t>0</t>
        </is>
      </c>
      <c r="Q1509" s="5" t="inlineStr">
        <is>
          <t>4</t>
        </is>
      </c>
      <c r="R1509" s="5" t="inlineStr">
        <is>
          <t>6</t>
        </is>
      </c>
      <c r="S1509" s="5" t="inlineStr">
        <is>
          <t>30</t>
        </is>
      </c>
      <c r="T1509" s="5" t="inlineStr">
        <is>
          <t>7</t>
        </is>
      </c>
      <c r="U1509" s="5">
        <f>IFS(C1509&lt;30,"Under 30",C1509&lt;40,"30-39",C1509&lt;50,"40-49",TRUE,"50+")</f>
        <v/>
      </c>
      <c r="V1509" s="5">
        <f>IFS(O1509&lt;60000,"Low (&lt;60k)",O1509&lt;100000,"Mid (60-100k)",TRUE,"High (100k+)")</f>
        <v/>
      </c>
      <c r="W1509" s="5">
        <f>IF(M1509="No","Attrited","Active")</f>
        <v/>
      </c>
    </row>
    <row r="1510">
      <c r="A1510" s="5" t="inlineStr">
        <is>
          <t>E01509</t>
        </is>
      </c>
      <c r="B1510" s="5" t="inlineStr">
        <is>
          <t>Male</t>
        </is>
      </c>
      <c r="C1510" s="6" t="inlineStr">
        <is>
          <t>34</t>
        </is>
      </c>
      <c r="D1510" s="5" t="inlineStr">
        <is>
          <t>Single</t>
        </is>
      </c>
      <c r="E1510" s="5" t="inlineStr">
        <is>
          <t>High School</t>
        </is>
      </c>
      <c r="F1510" s="5" t="inlineStr">
        <is>
          <t>Sales</t>
        </is>
      </c>
      <c r="G1510" s="5" t="inlineStr">
        <is>
          <t>Account Executive</t>
        </is>
      </c>
      <c r="H1510" s="5" t="inlineStr">
        <is>
          <t>3</t>
        </is>
      </c>
      <c r="I1510" s="5" t="inlineStr">
        <is>
          <t>Remote</t>
        </is>
      </c>
      <c r="J1510" s="5" t="inlineStr">
        <is>
          <t>Full-Time</t>
        </is>
      </c>
      <c r="K1510" s="7" t="n">
        <v>44721</v>
      </c>
      <c r="L1510" s="7" t="inlineStr"/>
      <c r="M1510" s="5" t="inlineStr">
        <is>
          <t>Yes</t>
        </is>
      </c>
      <c r="N1510" s="5" t="inlineStr"/>
      <c r="O1510" s="8" t="inlineStr">
        <is>
          <t>84000</t>
        </is>
      </c>
      <c r="P1510" s="5" t="inlineStr">
        <is>
          <t>10</t>
        </is>
      </c>
      <c r="Q1510" s="5" t="inlineStr">
        <is>
          <t>3</t>
        </is>
      </c>
      <c r="R1510" s="5" t="inlineStr">
        <is>
          <t>3</t>
        </is>
      </c>
      <c r="S1510" s="5" t="inlineStr">
        <is>
          <t>43</t>
        </is>
      </c>
      <c r="T1510" s="5" t="inlineStr">
        <is>
          <t>6</t>
        </is>
      </c>
      <c r="U1510" s="5">
        <f>IFS(C1510&lt;30,"Under 30",C1510&lt;40,"30-39",C1510&lt;50,"40-49",TRUE,"50+")</f>
        <v/>
      </c>
      <c r="V1510" s="5">
        <f>IFS(O1510&lt;60000,"Low (&lt;60k)",O1510&lt;100000,"Mid (60-100k)",TRUE,"High (100k+)")</f>
        <v/>
      </c>
      <c r="W1510" s="5">
        <f>IF(M1510="No","Attrited","Active")</f>
        <v/>
      </c>
    </row>
    <row r="1511">
      <c r="A1511" s="5" t="inlineStr">
        <is>
          <t>E01510</t>
        </is>
      </c>
      <c r="B1511" s="5" t="inlineStr">
        <is>
          <t>Male</t>
        </is>
      </c>
      <c r="C1511" s="6" t="inlineStr">
        <is>
          <t>33</t>
        </is>
      </c>
      <c r="D1511" s="5" t="inlineStr">
        <is>
          <t>Married</t>
        </is>
      </c>
      <c r="E1511" s="5" t="inlineStr">
        <is>
          <t>Diploma</t>
        </is>
      </c>
      <c r="F1511" s="5" t="inlineStr">
        <is>
          <t>Marketing</t>
        </is>
      </c>
      <c r="G1511" s="5" t="inlineStr">
        <is>
          <t>SEO Specialist</t>
        </is>
      </c>
      <c r="H1511" s="5" t="inlineStr">
        <is>
          <t>4</t>
        </is>
      </c>
      <c r="I1511" s="5" t="inlineStr">
        <is>
          <t>Remote</t>
        </is>
      </c>
      <c r="J1511" s="5" t="inlineStr">
        <is>
          <t>Full-Time</t>
        </is>
      </c>
      <c r="K1511" s="7" t="n">
        <v>45108</v>
      </c>
      <c r="L1511" s="7" t="inlineStr"/>
      <c r="M1511" s="5" t="inlineStr">
        <is>
          <t>Yes</t>
        </is>
      </c>
      <c r="N1511" s="5" t="inlineStr"/>
      <c r="O1511" s="8" t="inlineStr">
        <is>
          <t>101000</t>
        </is>
      </c>
      <c r="P1511" s="5" t="inlineStr">
        <is>
          <t>15</t>
        </is>
      </c>
      <c r="Q1511" s="5" t="inlineStr">
        <is>
          <t>5</t>
        </is>
      </c>
      <c r="R1511" s="5" t="inlineStr">
        <is>
          <t>6</t>
        </is>
      </c>
      <c r="S1511" s="5" t="inlineStr">
        <is>
          <t>30</t>
        </is>
      </c>
      <c r="T1511" s="5" t="inlineStr">
        <is>
          <t>7</t>
        </is>
      </c>
      <c r="U1511" s="5">
        <f>IFS(C1511&lt;30,"Under 30",C1511&lt;40,"30-39",C1511&lt;50,"40-49",TRUE,"50+")</f>
        <v/>
      </c>
      <c r="V1511" s="5">
        <f>IFS(O1511&lt;60000,"Low (&lt;60k)",O1511&lt;100000,"Mid (60-100k)",TRUE,"High (100k+)")</f>
        <v/>
      </c>
      <c r="W1511" s="5">
        <f>IF(M1511="No","Attrited","Active")</f>
        <v/>
      </c>
    </row>
    <row r="1512">
      <c r="A1512" s="5" t="inlineStr">
        <is>
          <t>E01511</t>
        </is>
      </c>
      <c r="B1512" s="5" t="inlineStr">
        <is>
          <t>Female</t>
        </is>
      </c>
      <c r="C1512" s="6" t="inlineStr">
        <is>
          <t>37</t>
        </is>
      </c>
      <c r="D1512" s="5" t="inlineStr">
        <is>
          <t>Married</t>
        </is>
      </c>
      <c r="E1512" s="5" t="inlineStr">
        <is>
          <t>Bachelor</t>
        </is>
      </c>
      <c r="F1512" s="5" t="inlineStr">
        <is>
          <t>IT</t>
        </is>
      </c>
      <c r="G1512" s="5" t="inlineStr">
        <is>
          <t>Software Engineer</t>
        </is>
      </c>
      <c r="H1512" s="5" t="inlineStr">
        <is>
          <t>5</t>
        </is>
      </c>
      <c r="I1512" s="5" t="inlineStr">
        <is>
          <t>Mumbai</t>
        </is>
      </c>
      <c r="J1512" s="5" t="inlineStr">
        <is>
          <t>Full-Time</t>
        </is>
      </c>
      <c r="K1512" s="7" t="n">
        <v>44780</v>
      </c>
      <c r="L1512" s="7" t="inlineStr"/>
      <c r="M1512" s="5" t="inlineStr">
        <is>
          <t>Yes</t>
        </is>
      </c>
      <c r="N1512" s="5" t="inlineStr"/>
      <c r="O1512" s="8" t="inlineStr">
        <is>
          <t>172500</t>
        </is>
      </c>
      <c r="P1512" s="5" t="inlineStr">
        <is>
          <t>15</t>
        </is>
      </c>
      <c r="Q1512" s="5" t="inlineStr">
        <is>
          <t>3</t>
        </is>
      </c>
      <c r="R1512" s="5" t="inlineStr">
        <is>
          <t>6</t>
        </is>
      </c>
      <c r="S1512" s="5" t="inlineStr">
        <is>
          <t>41</t>
        </is>
      </c>
      <c r="T1512" s="5" t="inlineStr">
        <is>
          <t>8</t>
        </is>
      </c>
      <c r="U1512" s="5">
        <f>IFS(C1512&lt;30,"Under 30",C1512&lt;40,"30-39",C1512&lt;50,"40-49",TRUE,"50+")</f>
        <v/>
      </c>
      <c r="V1512" s="5">
        <f>IFS(O1512&lt;60000,"Low (&lt;60k)",O1512&lt;100000,"Mid (60-100k)",TRUE,"High (100k+)")</f>
        <v/>
      </c>
      <c r="W1512" s="5">
        <f>IF(M1512="No","Attrited","Active")</f>
        <v/>
      </c>
    </row>
    <row r="1513">
      <c r="A1513" s="5" t="inlineStr">
        <is>
          <t>E01512</t>
        </is>
      </c>
      <c r="B1513" s="5" t="inlineStr">
        <is>
          <t>Female</t>
        </is>
      </c>
      <c r="C1513" s="6" t="inlineStr">
        <is>
          <t>30</t>
        </is>
      </c>
      <c r="D1513" s="5" t="inlineStr">
        <is>
          <t>Married</t>
        </is>
      </c>
      <c r="E1513" s="5" t="inlineStr">
        <is>
          <t>High School</t>
        </is>
      </c>
      <c r="F1513" s="5" t="inlineStr">
        <is>
          <t>Sales</t>
        </is>
      </c>
      <c r="G1513" s="5" t="inlineStr">
        <is>
          <t>Account Executive</t>
        </is>
      </c>
      <c r="H1513" s="5" t="inlineStr">
        <is>
          <t>1</t>
        </is>
      </c>
      <c r="I1513" s="5" t="inlineStr">
        <is>
          <t>Delhi</t>
        </is>
      </c>
      <c r="J1513" s="5" t="inlineStr">
        <is>
          <t>Full-Time</t>
        </is>
      </c>
      <c r="K1513" s="7" t="n">
        <v>44697</v>
      </c>
      <c r="L1513" s="7" t="n">
        <v>44795</v>
      </c>
      <c r="M1513" s="5" t="inlineStr">
        <is>
          <t>No</t>
        </is>
      </c>
      <c r="N1513" s="5" t="inlineStr">
        <is>
          <t>Resigned</t>
        </is>
      </c>
      <c r="O1513" s="8" t="inlineStr">
        <is>
          <t>106500</t>
        </is>
      </c>
      <c r="P1513" s="5" t="inlineStr">
        <is>
          <t>15</t>
        </is>
      </c>
      <c r="Q1513" s="5" t="inlineStr">
        <is>
          <t>3</t>
        </is>
      </c>
      <c r="R1513" s="5" t="inlineStr">
        <is>
          <t>6</t>
        </is>
      </c>
      <c r="S1513" s="5" t="inlineStr">
        <is>
          <t>3</t>
        </is>
      </c>
      <c r="T1513" s="5" t="inlineStr">
        <is>
          <t>4</t>
        </is>
      </c>
      <c r="U1513" s="5">
        <f>IFS(C1513&lt;30,"Under 30",C1513&lt;40,"30-39",C1513&lt;50,"40-49",TRUE,"50+")</f>
        <v/>
      </c>
      <c r="V1513" s="5">
        <f>IFS(O1513&lt;60000,"Low (&lt;60k)",O1513&lt;100000,"Mid (60-100k)",TRUE,"High (100k+)")</f>
        <v/>
      </c>
      <c r="W1513" s="5">
        <f>IF(M1513="No","Attrited","Active")</f>
        <v/>
      </c>
    </row>
    <row r="1514">
      <c r="A1514" s="5" t="inlineStr">
        <is>
          <t>E01513</t>
        </is>
      </c>
      <c r="B1514" s="5" t="inlineStr">
        <is>
          <t>Female</t>
        </is>
      </c>
      <c r="C1514" s="6" t="inlineStr">
        <is>
          <t>31</t>
        </is>
      </c>
      <c r="D1514" s="5" t="inlineStr">
        <is>
          <t>Married</t>
        </is>
      </c>
      <c r="E1514" s="5" t="inlineStr">
        <is>
          <t>Diploma</t>
        </is>
      </c>
      <c r="F1514" s="5" t="inlineStr">
        <is>
          <t>IT</t>
        </is>
      </c>
      <c r="G1514" s="5" t="inlineStr">
        <is>
          <t>IT Support</t>
        </is>
      </c>
      <c r="H1514" s="5" t="inlineStr">
        <is>
          <t>3</t>
        </is>
      </c>
      <c r="I1514" s="5" t="inlineStr">
        <is>
          <t>Bengaluru</t>
        </is>
      </c>
      <c r="J1514" s="5" t="inlineStr">
        <is>
          <t>Full-Time</t>
        </is>
      </c>
      <c r="K1514" s="7" t="n">
        <v>44130</v>
      </c>
      <c r="L1514" s="7" t="inlineStr"/>
      <c r="M1514" s="5" t="inlineStr">
        <is>
          <t>Yes</t>
        </is>
      </c>
      <c r="N1514" s="5" t="inlineStr"/>
      <c r="O1514" s="8" t="inlineStr">
        <is>
          <t>135000</t>
        </is>
      </c>
      <c r="P1514" s="5" t="inlineStr">
        <is>
          <t>0</t>
        </is>
      </c>
      <c r="Q1514" s="5" t="inlineStr">
        <is>
          <t>3</t>
        </is>
      </c>
      <c r="R1514" s="5" t="inlineStr">
        <is>
          <t>4</t>
        </is>
      </c>
      <c r="S1514" s="5" t="inlineStr">
        <is>
          <t>63</t>
        </is>
      </c>
      <c r="T1514" s="5" t="inlineStr">
        <is>
          <t>11</t>
        </is>
      </c>
      <c r="U1514" s="5">
        <f>IFS(C1514&lt;30,"Under 30",C1514&lt;40,"30-39",C1514&lt;50,"40-49",TRUE,"50+")</f>
        <v/>
      </c>
      <c r="V1514" s="5">
        <f>IFS(O1514&lt;60000,"Low (&lt;60k)",O1514&lt;100000,"Mid (60-100k)",TRUE,"High (100k+)")</f>
        <v/>
      </c>
      <c r="W1514" s="5">
        <f>IF(M1514="No","Attrited","Active")</f>
        <v/>
      </c>
    </row>
    <row r="1515">
      <c r="A1515" s="5" t="inlineStr">
        <is>
          <t>E01514</t>
        </is>
      </c>
      <c r="B1515" s="5" t="inlineStr">
        <is>
          <t>Female</t>
        </is>
      </c>
      <c r="C1515" s="6" t="inlineStr">
        <is>
          <t>30</t>
        </is>
      </c>
      <c r="D1515" s="5" t="inlineStr">
        <is>
          <t>Married</t>
        </is>
      </c>
      <c r="E1515" s="5" t="inlineStr">
        <is>
          <t>Master</t>
        </is>
      </c>
      <c r="F1515" s="5" t="inlineStr">
        <is>
          <t>Finance</t>
        </is>
      </c>
      <c r="G1515" s="5" t="inlineStr">
        <is>
          <t>Financial Analyst</t>
        </is>
      </c>
      <c r="H1515" s="5" t="inlineStr">
        <is>
          <t>2</t>
        </is>
      </c>
      <c r="I1515" s="5" t="inlineStr">
        <is>
          <t>Chennai</t>
        </is>
      </c>
      <c r="J1515" s="5" t="inlineStr">
        <is>
          <t>Full-Time</t>
        </is>
      </c>
      <c r="K1515" s="7" t="n">
        <v>44385</v>
      </c>
      <c r="L1515" s="7" t="inlineStr"/>
      <c r="M1515" s="5" t="inlineStr">
        <is>
          <t>Yes</t>
        </is>
      </c>
      <c r="N1515" s="5" t="inlineStr"/>
      <c r="O1515" s="8" t="inlineStr">
        <is>
          <t>82500</t>
        </is>
      </c>
      <c r="P1515" s="5" t="inlineStr">
        <is>
          <t>10</t>
        </is>
      </c>
      <c r="Q1515" s="5" t="inlineStr">
        <is>
          <t>2</t>
        </is>
      </c>
      <c r="R1515" s="5" t="inlineStr">
        <is>
          <t>5</t>
        </is>
      </c>
      <c r="S1515" s="5" t="inlineStr">
        <is>
          <t>54</t>
        </is>
      </c>
      <c r="T1515" s="5" t="inlineStr">
        <is>
          <t>0</t>
        </is>
      </c>
      <c r="U1515" s="5">
        <f>IFS(C1515&lt;30,"Under 30",C1515&lt;40,"30-39",C1515&lt;50,"40-49",TRUE,"50+")</f>
        <v/>
      </c>
      <c r="V1515" s="5">
        <f>IFS(O1515&lt;60000,"Low (&lt;60k)",O1515&lt;100000,"Mid (60-100k)",TRUE,"High (100k+)")</f>
        <v/>
      </c>
      <c r="W1515" s="5">
        <f>IF(M1515="No","Attrited","Active")</f>
        <v/>
      </c>
    </row>
    <row r="1516">
      <c r="A1516" s="5" t="inlineStr">
        <is>
          <t>E01515</t>
        </is>
      </c>
      <c r="B1516" s="5" t="inlineStr">
        <is>
          <t>Female</t>
        </is>
      </c>
      <c r="C1516" s="6" t="inlineStr">
        <is>
          <t>31</t>
        </is>
      </c>
      <c r="D1516" s="5" t="inlineStr">
        <is>
          <t>Single</t>
        </is>
      </c>
      <c r="E1516" s="5" t="inlineStr">
        <is>
          <t>Bachelor</t>
        </is>
      </c>
      <c r="F1516" s="5" t="inlineStr">
        <is>
          <t>Marketing</t>
        </is>
      </c>
      <c r="G1516" s="5" t="inlineStr">
        <is>
          <t>Content Writer</t>
        </is>
      </c>
      <c r="H1516" s="5" t="inlineStr">
        <is>
          <t>5</t>
        </is>
      </c>
      <c r="I1516" s="5" t="inlineStr">
        <is>
          <t>Bengaluru</t>
        </is>
      </c>
      <c r="J1516" s="5" t="inlineStr">
        <is>
          <t>Full-Time</t>
        </is>
      </c>
      <c r="K1516" s="7" t="n">
        <v>44763</v>
      </c>
      <c r="L1516" s="7" t="inlineStr"/>
      <c r="M1516" s="5" t="inlineStr">
        <is>
          <t>Yes</t>
        </is>
      </c>
      <c r="N1516" s="5" t="inlineStr"/>
      <c r="O1516" s="8" t="inlineStr">
        <is>
          <t>86500</t>
        </is>
      </c>
      <c r="P1516" s="5" t="inlineStr">
        <is>
          <t>0</t>
        </is>
      </c>
      <c r="Q1516" s="5" t="inlineStr">
        <is>
          <t>5</t>
        </is>
      </c>
      <c r="R1516" s="5" t="inlineStr">
        <is>
          <t>5</t>
        </is>
      </c>
      <c r="S1516" s="5" t="inlineStr">
        <is>
          <t>41</t>
        </is>
      </c>
      <c r="T1516" s="5" t="inlineStr">
        <is>
          <t>8</t>
        </is>
      </c>
      <c r="U1516" s="5">
        <f>IFS(C1516&lt;30,"Under 30",C1516&lt;40,"30-39",C1516&lt;50,"40-49",TRUE,"50+")</f>
        <v/>
      </c>
      <c r="V1516" s="5">
        <f>IFS(O1516&lt;60000,"Low (&lt;60k)",O1516&lt;100000,"Mid (60-100k)",TRUE,"High (100k+)")</f>
        <v/>
      </c>
      <c r="W1516" s="5">
        <f>IF(M1516="No","Attrited","Active")</f>
        <v/>
      </c>
    </row>
    <row r="1517">
      <c r="A1517" s="5" t="inlineStr">
        <is>
          <t>E01516</t>
        </is>
      </c>
      <c r="B1517" s="5" t="inlineStr">
        <is>
          <t>Female</t>
        </is>
      </c>
      <c r="C1517" s="6" t="inlineStr">
        <is>
          <t>37</t>
        </is>
      </c>
      <c r="D1517" s="5" t="inlineStr">
        <is>
          <t>Married</t>
        </is>
      </c>
      <c r="E1517" s="5" t="inlineStr">
        <is>
          <t>Diploma</t>
        </is>
      </c>
      <c r="F1517" s="5" t="inlineStr">
        <is>
          <t>Research &amp; Development</t>
        </is>
      </c>
      <c r="G1517" s="5" t="inlineStr">
        <is>
          <t>Product Engineer</t>
        </is>
      </c>
      <c r="H1517" s="5" t="inlineStr">
        <is>
          <t>6</t>
        </is>
      </c>
      <c r="I1517" s="5" t="inlineStr">
        <is>
          <t>Remote</t>
        </is>
      </c>
      <c r="J1517" s="5" t="inlineStr">
        <is>
          <t>Part-Time</t>
        </is>
      </c>
      <c r="K1517" s="7" t="n">
        <v>46002</v>
      </c>
      <c r="L1517" s="7" t="inlineStr"/>
      <c r="M1517" s="5" t="inlineStr">
        <is>
          <t>Yes</t>
        </is>
      </c>
      <c r="N1517" s="5" t="inlineStr"/>
      <c r="O1517" s="8" t="inlineStr">
        <is>
          <t>185500</t>
        </is>
      </c>
      <c r="P1517" s="5" t="inlineStr">
        <is>
          <t>0</t>
        </is>
      </c>
      <c r="Q1517" s="5" t="inlineStr">
        <is>
          <t>2</t>
        </is>
      </c>
      <c r="R1517" s="5" t="inlineStr">
        <is>
          <t>9</t>
        </is>
      </c>
      <c r="S1517" s="5" t="inlineStr">
        <is>
          <t>1</t>
        </is>
      </c>
      <c r="T1517" s="5" t="inlineStr">
        <is>
          <t>4</t>
        </is>
      </c>
      <c r="U1517" s="5">
        <f>IFS(C1517&lt;30,"Under 30",C1517&lt;40,"30-39",C1517&lt;50,"40-49",TRUE,"50+")</f>
        <v/>
      </c>
      <c r="V1517" s="5">
        <f>IFS(O1517&lt;60000,"Low (&lt;60k)",O1517&lt;100000,"Mid (60-100k)",TRUE,"High (100k+)")</f>
        <v/>
      </c>
      <c r="W1517" s="5">
        <f>IF(M1517="No","Attrited","Active")</f>
        <v/>
      </c>
    </row>
    <row r="1518">
      <c r="A1518" s="5" t="inlineStr">
        <is>
          <t>E01517</t>
        </is>
      </c>
      <c r="B1518" s="5" t="inlineStr">
        <is>
          <t>Female</t>
        </is>
      </c>
      <c r="C1518" s="6" t="inlineStr">
        <is>
          <t>33</t>
        </is>
      </c>
      <c r="D1518" s="5" t="inlineStr">
        <is>
          <t>Married</t>
        </is>
      </c>
      <c r="E1518" s="5" t="inlineStr">
        <is>
          <t>PhD</t>
        </is>
      </c>
      <c r="F1518" s="5" t="inlineStr">
        <is>
          <t>Marketing</t>
        </is>
      </c>
      <c r="G1518" s="5" t="inlineStr">
        <is>
          <t>Marketing Analyst</t>
        </is>
      </c>
      <c r="H1518" s="5" t="inlineStr">
        <is>
          <t>3</t>
        </is>
      </c>
      <c r="I1518" s="5" t="inlineStr">
        <is>
          <t>Delhi</t>
        </is>
      </c>
      <c r="J1518" s="5" t="inlineStr">
        <is>
          <t>Full-Time</t>
        </is>
      </c>
      <c r="K1518" s="7" t="n">
        <v>45097</v>
      </c>
      <c r="L1518" s="7" t="inlineStr"/>
      <c r="M1518" s="5" t="inlineStr">
        <is>
          <t>Yes</t>
        </is>
      </c>
      <c r="N1518" s="5" t="inlineStr"/>
      <c r="O1518" s="8" t="inlineStr">
        <is>
          <t>94000</t>
        </is>
      </c>
      <c r="P1518" s="5" t="inlineStr">
        <is>
          <t>0</t>
        </is>
      </c>
      <c r="Q1518" s="5" t="inlineStr">
        <is>
          <t>4</t>
        </is>
      </c>
      <c r="R1518" s="5" t="inlineStr">
        <is>
          <t>9</t>
        </is>
      </c>
      <c r="S1518" s="5" t="inlineStr">
        <is>
          <t>30</t>
        </is>
      </c>
      <c r="T1518" s="5" t="inlineStr">
        <is>
          <t>18</t>
        </is>
      </c>
      <c r="U1518" s="5">
        <f>IFS(C1518&lt;30,"Under 30",C1518&lt;40,"30-39",C1518&lt;50,"40-49",TRUE,"50+")</f>
        <v/>
      </c>
      <c r="V1518" s="5">
        <f>IFS(O1518&lt;60000,"Low (&lt;60k)",O1518&lt;100000,"Mid (60-100k)",TRUE,"High (100k+)")</f>
        <v/>
      </c>
      <c r="W1518" s="5">
        <f>IF(M1518="No","Attrited","Active")</f>
        <v/>
      </c>
    </row>
    <row r="1519">
      <c r="A1519" s="5" t="inlineStr">
        <is>
          <t>E01518</t>
        </is>
      </c>
      <c r="B1519" s="5" t="inlineStr">
        <is>
          <t>Female</t>
        </is>
      </c>
      <c r="C1519" s="6" t="inlineStr">
        <is>
          <t>32</t>
        </is>
      </c>
      <c r="D1519" s="5" t="inlineStr">
        <is>
          <t>Married</t>
        </is>
      </c>
      <c r="E1519" s="5" t="inlineStr">
        <is>
          <t>Bachelor</t>
        </is>
      </c>
      <c r="F1519" s="5" t="inlineStr">
        <is>
          <t>Research &amp; Development</t>
        </is>
      </c>
      <c r="G1519" s="5" t="inlineStr">
        <is>
          <t>Data Scientist</t>
        </is>
      </c>
      <c r="H1519" s="5" t="inlineStr">
        <is>
          <t>1</t>
        </is>
      </c>
      <c r="I1519" s="5" t="inlineStr">
        <is>
          <t>Bengaluru</t>
        </is>
      </c>
      <c r="J1519" s="5" t="inlineStr">
        <is>
          <t>Full-Time</t>
        </is>
      </c>
      <c r="K1519" s="7" t="n">
        <v>45154</v>
      </c>
      <c r="L1519" s="7" t="inlineStr"/>
      <c r="M1519" s="5" t="inlineStr">
        <is>
          <t>Yes</t>
        </is>
      </c>
      <c r="N1519" s="5" t="inlineStr"/>
      <c r="O1519" s="8" t="inlineStr">
        <is>
          <t>116000</t>
        </is>
      </c>
      <c r="P1519" s="5" t="inlineStr">
        <is>
          <t>5</t>
        </is>
      </c>
      <c r="Q1519" s="5" t="inlineStr">
        <is>
          <t>4</t>
        </is>
      </c>
      <c r="R1519" s="5" t="inlineStr">
        <is>
          <t>8</t>
        </is>
      </c>
      <c r="S1519" s="5" t="inlineStr">
        <is>
          <t>28</t>
        </is>
      </c>
      <c r="T1519" s="5" t="inlineStr">
        <is>
          <t>1</t>
        </is>
      </c>
      <c r="U1519" s="5">
        <f>IFS(C1519&lt;30,"Under 30",C1519&lt;40,"30-39",C1519&lt;50,"40-49",TRUE,"50+")</f>
        <v/>
      </c>
      <c r="V1519" s="5">
        <f>IFS(O1519&lt;60000,"Low (&lt;60k)",O1519&lt;100000,"Mid (60-100k)",TRUE,"High (100k+)")</f>
        <v/>
      </c>
      <c r="W1519" s="5">
        <f>IF(M1519="No","Attrited","Active")</f>
        <v/>
      </c>
    </row>
    <row r="1520">
      <c r="A1520" s="5" t="inlineStr">
        <is>
          <t>E01519</t>
        </is>
      </c>
      <c r="B1520" s="5" t="inlineStr">
        <is>
          <t>Female</t>
        </is>
      </c>
      <c r="C1520" s="6" t="inlineStr">
        <is>
          <t>33</t>
        </is>
      </c>
      <c r="D1520" s="5" t="inlineStr">
        <is>
          <t>Married</t>
        </is>
      </c>
      <c r="E1520" s="5" t="inlineStr">
        <is>
          <t>High School</t>
        </is>
      </c>
      <c r="F1520" s="5" t="inlineStr">
        <is>
          <t>Customer Support</t>
        </is>
      </c>
      <c r="G1520" s="5" t="inlineStr">
        <is>
          <t>Support Agent</t>
        </is>
      </c>
      <c r="H1520" s="5" t="inlineStr">
        <is>
          <t>2</t>
        </is>
      </c>
      <c r="I1520" s="5" t="inlineStr">
        <is>
          <t>Chennai</t>
        </is>
      </c>
      <c r="J1520" s="5" t="inlineStr">
        <is>
          <t>Full-Time</t>
        </is>
      </c>
      <c r="K1520" s="7" t="n">
        <v>43950</v>
      </c>
      <c r="L1520" s="7" t="n">
        <v>44044</v>
      </c>
      <c r="M1520" s="5" t="inlineStr">
        <is>
          <t>No</t>
        </is>
      </c>
      <c r="N1520" s="5" t="inlineStr">
        <is>
          <t>Resigned</t>
        </is>
      </c>
      <c r="O1520" s="8" t="inlineStr">
        <is>
          <t>76000</t>
        </is>
      </c>
      <c r="P1520" s="5" t="inlineStr">
        <is>
          <t>5</t>
        </is>
      </c>
      <c r="Q1520" s="5" t="inlineStr">
        <is>
          <t>5</t>
        </is>
      </c>
      <c r="R1520" s="5" t="inlineStr">
        <is>
          <t>8</t>
        </is>
      </c>
      <c r="S1520" s="5" t="inlineStr">
        <is>
          <t>3</t>
        </is>
      </c>
      <c r="T1520" s="5" t="inlineStr">
        <is>
          <t>5</t>
        </is>
      </c>
      <c r="U1520" s="5">
        <f>IFS(C1520&lt;30,"Under 30",C1520&lt;40,"30-39",C1520&lt;50,"40-49",TRUE,"50+")</f>
        <v/>
      </c>
      <c r="V1520" s="5">
        <f>IFS(O1520&lt;60000,"Low (&lt;60k)",O1520&lt;100000,"Mid (60-100k)",TRUE,"High (100k+)")</f>
        <v/>
      </c>
      <c r="W1520" s="5">
        <f>IF(M1520="No","Attrited","Active")</f>
        <v/>
      </c>
    </row>
    <row r="1521">
      <c r="A1521" s="5" t="inlineStr">
        <is>
          <t>E01520</t>
        </is>
      </c>
      <c r="B1521" s="5" t="inlineStr">
        <is>
          <t>Male</t>
        </is>
      </c>
      <c r="C1521" s="6" t="inlineStr">
        <is>
          <t>35</t>
        </is>
      </c>
      <c r="D1521" s="5" t="inlineStr">
        <is>
          <t>Single</t>
        </is>
      </c>
      <c r="E1521" s="5" t="inlineStr">
        <is>
          <t>PhD</t>
        </is>
      </c>
      <c r="F1521" s="5" t="inlineStr">
        <is>
          <t>Operations</t>
        </is>
      </c>
      <c r="G1521" s="5" t="inlineStr">
        <is>
          <t>Operations Analyst</t>
        </is>
      </c>
      <c r="H1521" s="5" t="inlineStr">
        <is>
          <t>3</t>
        </is>
      </c>
      <c r="I1521" s="5" t="inlineStr">
        <is>
          <t>Chennai</t>
        </is>
      </c>
      <c r="J1521" s="5" t="inlineStr">
        <is>
          <t>Full-Time</t>
        </is>
      </c>
      <c r="K1521" s="7" t="n">
        <v>45586</v>
      </c>
      <c r="L1521" s="7" t="inlineStr"/>
      <c r="M1521" s="5" t="inlineStr">
        <is>
          <t>Yes</t>
        </is>
      </c>
      <c r="N1521" s="5" t="inlineStr"/>
      <c r="O1521" s="8" t="inlineStr">
        <is>
          <t>102500</t>
        </is>
      </c>
      <c r="P1521" s="5" t="inlineStr">
        <is>
          <t>5</t>
        </is>
      </c>
      <c r="Q1521" s="5" t="inlineStr">
        <is>
          <t>3</t>
        </is>
      </c>
      <c r="R1521" s="5" t="inlineStr">
        <is>
          <t>5</t>
        </is>
      </c>
      <c r="S1521" s="5" t="inlineStr">
        <is>
          <t>14</t>
        </is>
      </c>
      <c r="T1521" s="5" t="inlineStr">
        <is>
          <t>7</t>
        </is>
      </c>
      <c r="U1521" s="5">
        <f>IFS(C1521&lt;30,"Under 30",C1521&lt;40,"30-39",C1521&lt;50,"40-49",TRUE,"50+")</f>
        <v/>
      </c>
      <c r="V1521" s="5">
        <f>IFS(O1521&lt;60000,"Low (&lt;60k)",O1521&lt;100000,"Mid (60-100k)",TRUE,"High (100k+)")</f>
        <v/>
      </c>
      <c r="W1521" s="5">
        <f>IF(M1521="No","Attrited","Active")</f>
        <v/>
      </c>
    </row>
    <row r="1522">
      <c r="A1522" s="5" t="inlineStr">
        <is>
          <t>E01521</t>
        </is>
      </c>
      <c r="B1522" s="5" t="inlineStr">
        <is>
          <t>Female</t>
        </is>
      </c>
      <c r="C1522" s="6" t="inlineStr">
        <is>
          <t>30</t>
        </is>
      </c>
      <c r="D1522" s="5" t="inlineStr">
        <is>
          <t>Married</t>
        </is>
      </c>
      <c r="E1522" s="5" t="inlineStr">
        <is>
          <t>Master</t>
        </is>
      </c>
      <c r="F1522" s="5" t="inlineStr">
        <is>
          <t>IT</t>
        </is>
      </c>
      <c r="G1522" s="5" t="inlineStr">
        <is>
          <t>Software Engineer</t>
        </is>
      </c>
      <c r="H1522" s="5" t="inlineStr">
        <is>
          <t>1</t>
        </is>
      </c>
      <c r="I1522" s="5" t="inlineStr">
        <is>
          <t>Chennai</t>
        </is>
      </c>
      <c r="J1522" s="5" t="inlineStr">
        <is>
          <t>Full-Time</t>
        </is>
      </c>
      <c r="K1522" s="7" t="n">
        <v>44255</v>
      </c>
      <c r="L1522" s="7" t="inlineStr"/>
      <c r="M1522" s="5" t="inlineStr">
        <is>
          <t>Yes</t>
        </is>
      </c>
      <c r="N1522" s="5" t="inlineStr"/>
      <c r="O1522" s="8" t="inlineStr">
        <is>
          <t>92000</t>
        </is>
      </c>
      <c r="P1522" s="5" t="inlineStr">
        <is>
          <t>10</t>
        </is>
      </c>
      <c r="Q1522" s="5" t="inlineStr">
        <is>
          <t>3</t>
        </is>
      </c>
      <c r="R1522" s="5" t="inlineStr">
        <is>
          <t>5</t>
        </is>
      </c>
      <c r="S1522" s="5" t="inlineStr">
        <is>
          <t>58</t>
        </is>
      </c>
      <c r="T1522" s="5" t="inlineStr">
        <is>
          <t>12</t>
        </is>
      </c>
      <c r="U1522" s="5">
        <f>IFS(C1522&lt;30,"Under 30",C1522&lt;40,"30-39",C1522&lt;50,"40-49",TRUE,"50+")</f>
        <v/>
      </c>
      <c r="V1522" s="5">
        <f>IFS(O1522&lt;60000,"Low (&lt;60k)",O1522&lt;100000,"Mid (60-100k)",TRUE,"High (100k+)")</f>
        <v/>
      </c>
      <c r="W1522" s="5">
        <f>IF(M1522="No","Attrited","Active")</f>
        <v/>
      </c>
    </row>
    <row r="1523">
      <c r="A1523" s="5" t="inlineStr">
        <is>
          <t>E01522</t>
        </is>
      </c>
      <c r="B1523" s="5" t="inlineStr">
        <is>
          <t>Female</t>
        </is>
      </c>
      <c r="C1523" s="6" t="inlineStr">
        <is>
          <t>42</t>
        </is>
      </c>
      <c r="D1523" s="5" t="inlineStr">
        <is>
          <t>Married</t>
        </is>
      </c>
      <c r="E1523" s="5" t="inlineStr">
        <is>
          <t>Bachelor</t>
        </is>
      </c>
      <c r="F1523" s="5" t="inlineStr">
        <is>
          <t>Sales</t>
        </is>
      </c>
      <c r="G1523" s="5" t="inlineStr">
        <is>
          <t>Account Executive</t>
        </is>
      </c>
      <c r="H1523" s="5" t="inlineStr">
        <is>
          <t>5</t>
        </is>
      </c>
      <c r="I1523" s="5" t="inlineStr">
        <is>
          <t>Chennai</t>
        </is>
      </c>
      <c r="J1523" s="5" t="inlineStr">
        <is>
          <t>Full-Time</t>
        </is>
      </c>
      <c r="K1523" s="7" t="n">
        <v>45464</v>
      </c>
      <c r="L1523" s="7" t="inlineStr"/>
      <c r="M1523" s="5" t="inlineStr">
        <is>
          <t>Yes</t>
        </is>
      </c>
      <c r="N1523" s="5" t="inlineStr"/>
      <c r="O1523" s="8" t="inlineStr">
        <is>
          <t>112000</t>
        </is>
      </c>
      <c r="P1523" s="5" t="inlineStr">
        <is>
          <t>5</t>
        </is>
      </c>
      <c r="Q1523" s="5" t="inlineStr">
        <is>
          <t>4</t>
        </is>
      </c>
      <c r="R1523" s="5" t="inlineStr">
        <is>
          <t>7</t>
        </is>
      </c>
      <c r="S1523" s="5" t="inlineStr">
        <is>
          <t>18</t>
        </is>
      </c>
      <c r="T1523" s="5" t="inlineStr">
        <is>
          <t>6</t>
        </is>
      </c>
      <c r="U1523" s="5">
        <f>IFS(C1523&lt;30,"Under 30",C1523&lt;40,"30-39",C1523&lt;50,"40-49",TRUE,"50+")</f>
        <v/>
      </c>
      <c r="V1523" s="5">
        <f>IFS(O1523&lt;60000,"Low (&lt;60k)",O1523&lt;100000,"Mid (60-100k)",TRUE,"High (100k+)")</f>
        <v/>
      </c>
      <c r="W1523" s="5">
        <f>IF(M1523="No","Attrited","Active")</f>
        <v/>
      </c>
    </row>
    <row r="1524">
      <c r="A1524" s="5" t="inlineStr">
        <is>
          <t>E01523</t>
        </is>
      </c>
      <c r="B1524" s="5" t="inlineStr">
        <is>
          <t>Male</t>
        </is>
      </c>
      <c r="C1524" s="6" t="inlineStr">
        <is>
          <t>28</t>
        </is>
      </c>
      <c r="D1524" s="5" t="inlineStr">
        <is>
          <t>Divorced</t>
        </is>
      </c>
      <c r="E1524" s="5" t="inlineStr">
        <is>
          <t>PhD</t>
        </is>
      </c>
      <c r="F1524" s="5" t="inlineStr">
        <is>
          <t>Operations</t>
        </is>
      </c>
      <c r="G1524" s="5" t="inlineStr">
        <is>
          <t>Logistics Coordinator</t>
        </is>
      </c>
      <c r="H1524" s="5" t="inlineStr">
        <is>
          <t>1</t>
        </is>
      </c>
      <c r="I1524" s="5" t="inlineStr">
        <is>
          <t>Chennai</t>
        </is>
      </c>
      <c r="J1524" s="5" t="inlineStr">
        <is>
          <t>Full-Time</t>
        </is>
      </c>
      <c r="K1524" s="7" t="n">
        <v>45811</v>
      </c>
      <c r="L1524" s="7" t="inlineStr"/>
      <c r="M1524" s="5" t="inlineStr">
        <is>
          <t>Yes</t>
        </is>
      </c>
      <c r="N1524" s="5" t="inlineStr"/>
      <c r="O1524" s="8" t="inlineStr">
        <is>
          <t>84000</t>
        </is>
      </c>
      <c r="P1524" s="5" t="inlineStr">
        <is>
          <t>5</t>
        </is>
      </c>
      <c r="Q1524" s="5" t="inlineStr">
        <is>
          <t>3</t>
        </is>
      </c>
      <c r="R1524" s="5" t="inlineStr">
        <is>
          <t>6</t>
        </is>
      </c>
      <c r="S1524" s="5" t="inlineStr">
        <is>
          <t>7</t>
        </is>
      </c>
      <c r="T1524" s="5" t="inlineStr">
        <is>
          <t>4</t>
        </is>
      </c>
      <c r="U1524" s="5">
        <f>IFS(C1524&lt;30,"Under 30",C1524&lt;40,"30-39",C1524&lt;50,"40-49",TRUE,"50+")</f>
        <v/>
      </c>
      <c r="V1524" s="5">
        <f>IFS(O1524&lt;60000,"Low (&lt;60k)",O1524&lt;100000,"Mid (60-100k)",TRUE,"High (100k+)")</f>
        <v/>
      </c>
      <c r="W1524" s="5">
        <f>IF(M1524="No","Attrited","Active")</f>
        <v/>
      </c>
    </row>
    <row r="1525">
      <c r="A1525" s="5" t="inlineStr">
        <is>
          <t>E01524</t>
        </is>
      </c>
      <c r="B1525" s="5" t="inlineStr">
        <is>
          <t>Male</t>
        </is>
      </c>
      <c r="C1525" s="6" t="inlineStr">
        <is>
          <t>34</t>
        </is>
      </c>
      <c r="D1525" s="5" t="inlineStr">
        <is>
          <t>Married</t>
        </is>
      </c>
      <c r="E1525" s="5" t="inlineStr">
        <is>
          <t>Bachelor</t>
        </is>
      </c>
      <c r="F1525" s="5" t="inlineStr">
        <is>
          <t>Finance</t>
        </is>
      </c>
      <c r="G1525" s="5" t="inlineStr">
        <is>
          <t>Credit Analyst</t>
        </is>
      </c>
      <c r="H1525" s="5" t="inlineStr">
        <is>
          <t>1</t>
        </is>
      </c>
      <c r="I1525" s="5" t="inlineStr">
        <is>
          <t>Mumbai</t>
        </is>
      </c>
      <c r="J1525" s="5" t="inlineStr">
        <is>
          <t>Full-Time</t>
        </is>
      </c>
      <c r="K1525" s="7" t="n">
        <v>44751</v>
      </c>
      <c r="L1525" s="7" t="inlineStr"/>
      <c r="M1525" s="5" t="inlineStr">
        <is>
          <t>Yes</t>
        </is>
      </c>
      <c r="N1525" s="5" t="inlineStr"/>
      <c r="O1525" s="8" t="inlineStr">
        <is>
          <t>110000</t>
        </is>
      </c>
      <c r="P1525" s="5" t="inlineStr">
        <is>
          <t>0</t>
        </is>
      </c>
      <c r="Q1525" s="5" t="inlineStr">
        <is>
          <t>3</t>
        </is>
      </c>
      <c r="R1525" s="5" t="inlineStr">
        <is>
          <t>4</t>
        </is>
      </c>
      <c r="S1525" s="5" t="inlineStr">
        <is>
          <t>42</t>
        </is>
      </c>
      <c r="T1525" s="5" t="inlineStr">
        <is>
          <t>3</t>
        </is>
      </c>
      <c r="U1525" s="5">
        <f>IFS(C1525&lt;30,"Under 30",C1525&lt;40,"30-39",C1525&lt;50,"40-49",TRUE,"50+")</f>
        <v/>
      </c>
      <c r="V1525" s="5">
        <f>IFS(O1525&lt;60000,"Low (&lt;60k)",O1525&lt;100000,"Mid (60-100k)",TRUE,"High (100k+)")</f>
        <v/>
      </c>
      <c r="W1525" s="5">
        <f>IF(M1525="No","Attrited","Active")</f>
        <v/>
      </c>
    </row>
    <row r="1526">
      <c r="A1526" s="5" t="inlineStr">
        <is>
          <t>E01525</t>
        </is>
      </c>
      <c r="B1526" s="5" t="inlineStr">
        <is>
          <t>Female</t>
        </is>
      </c>
      <c r="C1526" s="6" t="inlineStr">
        <is>
          <t>27</t>
        </is>
      </c>
      <c r="D1526" s="5" t="inlineStr">
        <is>
          <t>Married</t>
        </is>
      </c>
      <c r="E1526" s="5" t="inlineStr">
        <is>
          <t>Diploma</t>
        </is>
      </c>
      <c r="F1526" s="5" t="inlineStr">
        <is>
          <t>Customer Support</t>
        </is>
      </c>
      <c r="G1526" s="5" t="inlineStr">
        <is>
          <t>Escalation Specialist</t>
        </is>
      </c>
      <c r="H1526" s="5" t="inlineStr">
        <is>
          <t>3</t>
        </is>
      </c>
      <c r="I1526" s="5" t="inlineStr">
        <is>
          <t>Bengaluru</t>
        </is>
      </c>
      <c r="J1526" s="5" t="inlineStr">
        <is>
          <t>Full-Time</t>
        </is>
      </c>
      <c r="K1526" s="7" t="n">
        <v>45964</v>
      </c>
      <c r="L1526" s="7" t="inlineStr"/>
      <c r="M1526" s="5" t="inlineStr">
        <is>
          <t>Yes</t>
        </is>
      </c>
      <c r="N1526" s="5" t="inlineStr"/>
      <c r="O1526" s="8" t="inlineStr">
        <is>
          <t>82000</t>
        </is>
      </c>
      <c r="P1526" s="5" t="inlineStr">
        <is>
          <t>0</t>
        </is>
      </c>
      <c r="Q1526" s="5" t="inlineStr">
        <is>
          <t>4</t>
        </is>
      </c>
      <c r="R1526" s="5" t="inlineStr">
        <is>
          <t>6</t>
        </is>
      </c>
      <c r="S1526" s="5" t="inlineStr">
        <is>
          <t>1</t>
        </is>
      </c>
      <c r="T1526" s="5" t="inlineStr">
        <is>
          <t>10</t>
        </is>
      </c>
      <c r="U1526" s="5">
        <f>IFS(C1526&lt;30,"Under 30",C1526&lt;40,"30-39",C1526&lt;50,"40-49",TRUE,"50+")</f>
        <v/>
      </c>
      <c r="V1526" s="5">
        <f>IFS(O1526&lt;60000,"Low (&lt;60k)",O1526&lt;100000,"Mid (60-100k)",TRUE,"High (100k+)")</f>
        <v/>
      </c>
      <c r="W1526" s="5">
        <f>IF(M1526="No","Attrited","Active")</f>
        <v/>
      </c>
    </row>
    <row r="1527">
      <c r="A1527" s="5" t="inlineStr">
        <is>
          <t>E01526</t>
        </is>
      </c>
      <c r="B1527" s="5" t="inlineStr">
        <is>
          <t>Female</t>
        </is>
      </c>
      <c r="C1527" s="6" t="inlineStr">
        <is>
          <t>33</t>
        </is>
      </c>
      <c r="D1527" s="5" t="inlineStr">
        <is>
          <t>Married</t>
        </is>
      </c>
      <c r="E1527" s="5" t="inlineStr">
        <is>
          <t>High School</t>
        </is>
      </c>
      <c r="F1527" s="5" t="inlineStr">
        <is>
          <t>Customer Support</t>
        </is>
      </c>
      <c r="G1527" s="5" t="inlineStr">
        <is>
          <t>Support Lead</t>
        </is>
      </c>
      <c r="H1527" s="5" t="inlineStr">
        <is>
          <t>3</t>
        </is>
      </c>
      <c r="I1527" s="5" t="inlineStr">
        <is>
          <t>Hyderabad</t>
        </is>
      </c>
      <c r="J1527" s="5" t="inlineStr">
        <is>
          <t>Full-Time</t>
        </is>
      </c>
      <c r="K1527" s="7" t="n">
        <v>45671</v>
      </c>
      <c r="L1527" s="7" t="n">
        <v>45711</v>
      </c>
      <c r="M1527" s="5" t="inlineStr">
        <is>
          <t>No</t>
        </is>
      </c>
      <c r="N1527" s="5" t="inlineStr">
        <is>
          <t>Layoff</t>
        </is>
      </c>
      <c r="O1527" s="8" t="inlineStr">
        <is>
          <t>76000</t>
        </is>
      </c>
      <c r="P1527" s="5" t="inlineStr">
        <is>
          <t>0</t>
        </is>
      </c>
      <c r="Q1527" s="5" t="inlineStr">
        <is>
          <t>4</t>
        </is>
      </c>
      <c r="R1527" s="5" t="inlineStr">
        <is>
          <t>9</t>
        </is>
      </c>
      <c r="S1527" s="5" t="inlineStr">
        <is>
          <t>1</t>
        </is>
      </c>
      <c r="T1527" s="5" t="inlineStr">
        <is>
          <t>10</t>
        </is>
      </c>
      <c r="U1527" s="5">
        <f>IFS(C1527&lt;30,"Under 30",C1527&lt;40,"30-39",C1527&lt;50,"40-49",TRUE,"50+")</f>
        <v/>
      </c>
      <c r="V1527" s="5">
        <f>IFS(O1527&lt;60000,"Low (&lt;60k)",O1527&lt;100000,"Mid (60-100k)",TRUE,"High (100k+)")</f>
        <v/>
      </c>
      <c r="W1527" s="5">
        <f>IF(M1527="No","Attrited","Active")</f>
        <v/>
      </c>
    </row>
    <row r="1528">
      <c r="A1528" s="5" t="inlineStr">
        <is>
          <t>E01527</t>
        </is>
      </c>
      <c r="B1528" s="5" t="inlineStr">
        <is>
          <t>Male</t>
        </is>
      </c>
      <c r="C1528" s="6" t="inlineStr">
        <is>
          <t>32</t>
        </is>
      </c>
      <c r="D1528" s="5" t="inlineStr">
        <is>
          <t>Married</t>
        </is>
      </c>
      <c r="E1528" s="5" t="inlineStr">
        <is>
          <t>Master</t>
        </is>
      </c>
      <c r="F1528" s="5" t="inlineStr">
        <is>
          <t>Operations</t>
        </is>
      </c>
      <c r="G1528" s="5" t="inlineStr">
        <is>
          <t>Quality Analyst</t>
        </is>
      </c>
      <c r="H1528" s="5" t="inlineStr">
        <is>
          <t>1</t>
        </is>
      </c>
      <c r="I1528" s="5" t="inlineStr">
        <is>
          <t>Remote</t>
        </is>
      </c>
      <c r="J1528" s="5" t="inlineStr">
        <is>
          <t>Full-Time</t>
        </is>
      </c>
      <c r="K1528" s="7" t="n">
        <v>44836</v>
      </c>
      <c r="L1528" s="7" t="n">
        <v>44949</v>
      </c>
      <c r="M1528" s="5" t="inlineStr">
        <is>
          <t>No</t>
        </is>
      </c>
      <c r="N1528" s="5" t="inlineStr">
        <is>
          <t>Retirement</t>
        </is>
      </c>
      <c r="O1528" s="8" t="inlineStr">
        <is>
          <t>76500</t>
        </is>
      </c>
      <c r="P1528" s="5" t="inlineStr">
        <is>
          <t>0</t>
        </is>
      </c>
      <c r="Q1528" s="5" t="inlineStr">
        <is>
          <t>5</t>
        </is>
      </c>
      <c r="R1528" s="5" t="inlineStr">
        <is>
          <t>4</t>
        </is>
      </c>
      <c r="S1528" s="5" t="inlineStr">
        <is>
          <t>3</t>
        </is>
      </c>
      <c r="T1528" s="5" t="inlineStr">
        <is>
          <t>3</t>
        </is>
      </c>
      <c r="U1528" s="5">
        <f>IFS(C1528&lt;30,"Under 30",C1528&lt;40,"30-39",C1528&lt;50,"40-49",TRUE,"50+")</f>
        <v/>
      </c>
      <c r="V1528" s="5">
        <f>IFS(O1528&lt;60000,"Low (&lt;60k)",O1528&lt;100000,"Mid (60-100k)",TRUE,"High (100k+)")</f>
        <v/>
      </c>
      <c r="W1528" s="5">
        <f>IF(M1528="No","Attrited","Active")</f>
        <v/>
      </c>
    </row>
    <row r="1529">
      <c r="A1529" s="5" t="inlineStr">
        <is>
          <t>E01528</t>
        </is>
      </c>
      <c r="B1529" s="5" t="inlineStr">
        <is>
          <t>Male</t>
        </is>
      </c>
      <c r="C1529" s="6" t="inlineStr">
        <is>
          <t>26</t>
        </is>
      </c>
      <c r="D1529" s="5" t="inlineStr">
        <is>
          <t>Married</t>
        </is>
      </c>
      <c r="E1529" s="5" t="inlineStr">
        <is>
          <t>Bachelor</t>
        </is>
      </c>
      <c r="F1529" s="5" t="inlineStr">
        <is>
          <t>Operations</t>
        </is>
      </c>
      <c r="G1529" s="5" t="inlineStr">
        <is>
          <t>Logistics Coordinator</t>
        </is>
      </c>
      <c r="H1529" s="5" t="inlineStr">
        <is>
          <t>1</t>
        </is>
      </c>
      <c r="I1529" s="5" t="inlineStr">
        <is>
          <t>Remote</t>
        </is>
      </c>
      <c r="J1529" s="5" t="inlineStr">
        <is>
          <t>Contract</t>
        </is>
      </c>
      <c r="K1529" s="7" t="n">
        <v>44566</v>
      </c>
      <c r="L1529" s="7" t="inlineStr"/>
      <c r="M1529" s="5" t="inlineStr">
        <is>
          <t>Yes</t>
        </is>
      </c>
      <c r="N1529" s="5" t="inlineStr"/>
      <c r="O1529" s="8" t="inlineStr">
        <is>
          <t>89500</t>
        </is>
      </c>
      <c r="P1529" s="5" t="inlineStr">
        <is>
          <t>0</t>
        </is>
      </c>
      <c r="Q1529" s="5" t="inlineStr">
        <is>
          <t>5</t>
        </is>
      </c>
      <c r="R1529" s="5" t="inlineStr">
        <is>
          <t>6</t>
        </is>
      </c>
      <c r="S1529" s="5" t="inlineStr">
        <is>
          <t>48</t>
        </is>
      </c>
      <c r="T1529" s="5" t="inlineStr">
        <is>
          <t>6</t>
        </is>
      </c>
      <c r="U1529" s="5">
        <f>IFS(C1529&lt;30,"Under 30",C1529&lt;40,"30-39",C1529&lt;50,"40-49",TRUE,"50+")</f>
        <v/>
      </c>
      <c r="V1529" s="5">
        <f>IFS(O1529&lt;60000,"Low (&lt;60k)",O1529&lt;100000,"Mid (60-100k)",TRUE,"High (100k+)")</f>
        <v/>
      </c>
      <c r="W1529" s="5">
        <f>IF(M1529="No","Attrited","Active")</f>
        <v/>
      </c>
    </row>
    <row r="1530">
      <c r="A1530" s="5" t="inlineStr">
        <is>
          <t>E01529</t>
        </is>
      </c>
      <c r="B1530" s="5" t="inlineStr">
        <is>
          <t>Female</t>
        </is>
      </c>
      <c r="C1530" s="6" t="inlineStr">
        <is>
          <t>35</t>
        </is>
      </c>
      <c r="D1530" s="5" t="inlineStr">
        <is>
          <t>Single</t>
        </is>
      </c>
      <c r="E1530" s="5" t="inlineStr">
        <is>
          <t>High School</t>
        </is>
      </c>
      <c r="F1530" s="5" t="inlineStr">
        <is>
          <t>Human Resources</t>
        </is>
      </c>
      <c r="G1530" s="5" t="inlineStr">
        <is>
          <t>Recruiter</t>
        </is>
      </c>
      <c r="H1530" s="5" t="inlineStr">
        <is>
          <t>2</t>
        </is>
      </c>
      <c r="I1530" s="5" t="inlineStr">
        <is>
          <t>Remote</t>
        </is>
      </c>
      <c r="J1530" s="5" t="inlineStr">
        <is>
          <t>Full-Time</t>
        </is>
      </c>
      <c r="K1530" s="7" t="n">
        <v>45596</v>
      </c>
      <c r="L1530" s="7" t="n">
        <v>45704</v>
      </c>
      <c r="M1530" s="5" t="inlineStr">
        <is>
          <t>No</t>
        </is>
      </c>
      <c r="N1530" s="5" t="inlineStr">
        <is>
          <t>Resigned</t>
        </is>
      </c>
      <c r="O1530" s="8" t="inlineStr">
        <is>
          <t>101500</t>
        </is>
      </c>
      <c r="P1530" s="5" t="inlineStr">
        <is>
          <t>5</t>
        </is>
      </c>
      <c r="Q1530" s="5" t="inlineStr">
        <is>
          <t>4</t>
        </is>
      </c>
      <c r="R1530" s="5" t="inlineStr">
        <is>
          <t>5</t>
        </is>
      </c>
      <c r="S1530" s="5" t="inlineStr">
        <is>
          <t>3</t>
        </is>
      </c>
      <c r="T1530" s="5" t="inlineStr">
        <is>
          <t>6</t>
        </is>
      </c>
      <c r="U1530" s="5">
        <f>IFS(C1530&lt;30,"Under 30",C1530&lt;40,"30-39",C1530&lt;50,"40-49",TRUE,"50+")</f>
        <v/>
      </c>
      <c r="V1530" s="5">
        <f>IFS(O1530&lt;60000,"Low (&lt;60k)",O1530&lt;100000,"Mid (60-100k)",TRUE,"High (100k+)")</f>
        <v/>
      </c>
      <c r="W1530" s="5">
        <f>IF(M1530="No","Attrited","Active")</f>
        <v/>
      </c>
    </row>
    <row r="1531">
      <c r="A1531" s="5" t="inlineStr">
        <is>
          <t>E01530</t>
        </is>
      </c>
      <c r="B1531" s="5" t="inlineStr">
        <is>
          <t>Male</t>
        </is>
      </c>
      <c r="C1531" s="6" t="inlineStr">
        <is>
          <t>35</t>
        </is>
      </c>
      <c r="D1531" s="5" t="inlineStr">
        <is>
          <t>Married</t>
        </is>
      </c>
      <c r="E1531" s="5" t="inlineStr">
        <is>
          <t>Bachelor</t>
        </is>
      </c>
      <c r="F1531" s="5" t="inlineStr">
        <is>
          <t>Sales</t>
        </is>
      </c>
      <c r="G1531" s="5" t="inlineStr">
        <is>
          <t>Account Executive</t>
        </is>
      </c>
      <c r="H1531" s="5" t="inlineStr">
        <is>
          <t>7</t>
        </is>
      </c>
      <c r="I1531" s="5" t="inlineStr">
        <is>
          <t>Hyderabad</t>
        </is>
      </c>
      <c r="J1531" s="5" t="inlineStr">
        <is>
          <t>Contract</t>
        </is>
      </c>
      <c r="K1531" s="7" t="n">
        <v>45377</v>
      </c>
      <c r="L1531" s="7" t="inlineStr"/>
      <c r="M1531" s="5" t="inlineStr">
        <is>
          <t>Yes</t>
        </is>
      </c>
      <c r="N1531" s="5" t="inlineStr"/>
      <c r="O1531" s="8" t="inlineStr">
        <is>
          <t>131500</t>
        </is>
      </c>
      <c r="P1531" s="5" t="inlineStr">
        <is>
          <t>0</t>
        </is>
      </c>
      <c r="Q1531" s="5" t="inlineStr">
        <is>
          <t>4</t>
        </is>
      </c>
      <c r="R1531" s="5" t="inlineStr">
        <is>
          <t>6</t>
        </is>
      </c>
      <c r="S1531" s="5" t="inlineStr">
        <is>
          <t>21</t>
        </is>
      </c>
      <c r="T1531" s="5" t="inlineStr">
        <is>
          <t>7</t>
        </is>
      </c>
      <c r="U1531" s="5">
        <f>IFS(C1531&lt;30,"Under 30",C1531&lt;40,"30-39",C1531&lt;50,"40-49",TRUE,"50+")</f>
        <v/>
      </c>
      <c r="V1531" s="5">
        <f>IFS(O1531&lt;60000,"Low (&lt;60k)",O1531&lt;100000,"Mid (60-100k)",TRUE,"High (100k+)")</f>
        <v/>
      </c>
      <c r="W1531" s="5">
        <f>IF(M1531="No","Attrited","Active")</f>
        <v/>
      </c>
    </row>
    <row r="1532">
      <c r="A1532" s="5" t="inlineStr">
        <is>
          <t>E01531</t>
        </is>
      </c>
      <c r="B1532" s="5" t="inlineStr">
        <is>
          <t>Male</t>
        </is>
      </c>
      <c r="C1532" s="6" t="inlineStr">
        <is>
          <t>23</t>
        </is>
      </c>
      <c r="D1532" s="5" t="inlineStr">
        <is>
          <t>Married</t>
        </is>
      </c>
      <c r="E1532" s="5" t="inlineStr">
        <is>
          <t>High School</t>
        </is>
      </c>
      <c r="F1532" s="5" t="inlineStr">
        <is>
          <t>Sales</t>
        </is>
      </c>
      <c r="G1532" s="5" t="inlineStr">
        <is>
          <t>Account Executive</t>
        </is>
      </c>
      <c r="H1532" s="5" t="inlineStr">
        <is>
          <t>1</t>
        </is>
      </c>
      <c r="I1532" s="5" t="inlineStr">
        <is>
          <t>Chennai</t>
        </is>
      </c>
      <c r="J1532" s="5" t="inlineStr">
        <is>
          <t>Full-Time</t>
        </is>
      </c>
      <c r="K1532" s="7" t="n">
        <v>44660</v>
      </c>
      <c r="L1532" s="7" t="n">
        <v>44711</v>
      </c>
      <c r="M1532" s="5" t="inlineStr">
        <is>
          <t>No</t>
        </is>
      </c>
      <c r="N1532" s="5" t="inlineStr">
        <is>
          <t>Resigned</t>
        </is>
      </c>
      <c r="O1532" s="8" t="inlineStr">
        <is>
          <t>81000</t>
        </is>
      </c>
      <c r="P1532" s="5" t="inlineStr">
        <is>
          <t>10</t>
        </is>
      </c>
      <c r="Q1532" s="5" t="inlineStr">
        <is>
          <t>2</t>
        </is>
      </c>
      <c r="R1532" s="5" t="inlineStr">
        <is>
          <t>7</t>
        </is>
      </c>
      <c r="S1532" s="5" t="inlineStr">
        <is>
          <t>1</t>
        </is>
      </c>
      <c r="T1532" s="5" t="inlineStr">
        <is>
          <t>8</t>
        </is>
      </c>
      <c r="U1532" s="5">
        <f>IFS(C1532&lt;30,"Under 30",C1532&lt;40,"30-39",C1532&lt;50,"40-49",TRUE,"50+")</f>
        <v/>
      </c>
      <c r="V1532" s="5">
        <f>IFS(O1532&lt;60000,"Low (&lt;60k)",O1532&lt;100000,"Mid (60-100k)",TRUE,"High (100k+)")</f>
        <v/>
      </c>
      <c r="W1532" s="5">
        <f>IF(M1532="No","Attrited","Active")</f>
        <v/>
      </c>
    </row>
    <row r="1533">
      <c r="A1533" s="5" t="inlineStr">
        <is>
          <t>E01532</t>
        </is>
      </c>
      <c r="B1533" s="5" t="inlineStr">
        <is>
          <t>Male</t>
        </is>
      </c>
      <c r="C1533" s="6" t="inlineStr">
        <is>
          <t>28</t>
        </is>
      </c>
      <c r="D1533" s="5" t="inlineStr">
        <is>
          <t>Single</t>
        </is>
      </c>
      <c r="E1533" s="5" t="inlineStr">
        <is>
          <t>Diploma</t>
        </is>
      </c>
      <c r="F1533" s="5" t="inlineStr">
        <is>
          <t>Finance</t>
        </is>
      </c>
      <c r="G1533" s="5" t="inlineStr">
        <is>
          <t>Accountant</t>
        </is>
      </c>
      <c r="H1533" s="5" t="inlineStr">
        <is>
          <t>1</t>
        </is>
      </c>
      <c r="I1533" s="5" t="inlineStr">
        <is>
          <t>Bengaluru</t>
        </is>
      </c>
      <c r="J1533" s="5" t="inlineStr">
        <is>
          <t>Full-Time</t>
        </is>
      </c>
      <c r="K1533" s="7" t="n">
        <v>44432</v>
      </c>
      <c r="L1533" s="7" t="inlineStr"/>
      <c r="M1533" s="5" t="inlineStr">
        <is>
          <t>Yes</t>
        </is>
      </c>
      <c r="N1533" s="5" t="inlineStr"/>
      <c r="O1533" s="8" t="inlineStr">
        <is>
          <t>77500</t>
        </is>
      </c>
      <c r="P1533" s="5" t="inlineStr">
        <is>
          <t>0</t>
        </is>
      </c>
      <c r="Q1533" s="5" t="inlineStr">
        <is>
          <t>3</t>
        </is>
      </c>
      <c r="R1533" s="5" t="inlineStr">
        <is>
          <t>4</t>
        </is>
      </c>
      <c r="S1533" s="5" t="inlineStr">
        <is>
          <t>53</t>
        </is>
      </c>
      <c r="T1533" s="5" t="inlineStr">
        <is>
          <t>4</t>
        </is>
      </c>
      <c r="U1533" s="5">
        <f>IFS(C1533&lt;30,"Under 30",C1533&lt;40,"30-39",C1533&lt;50,"40-49",TRUE,"50+")</f>
        <v/>
      </c>
      <c r="V1533" s="5">
        <f>IFS(O1533&lt;60000,"Low (&lt;60k)",O1533&lt;100000,"Mid (60-100k)",TRUE,"High (100k+)")</f>
        <v/>
      </c>
      <c r="W1533" s="5">
        <f>IF(M1533="No","Attrited","Active")</f>
        <v/>
      </c>
    </row>
    <row r="1534">
      <c r="A1534" s="5" t="inlineStr">
        <is>
          <t>E01533</t>
        </is>
      </c>
      <c r="B1534" s="5" t="inlineStr">
        <is>
          <t>Female</t>
        </is>
      </c>
      <c r="C1534" s="6" t="inlineStr">
        <is>
          <t>35</t>
        </is>
      </c>
      <c r="D1534" s="5" t="inlineStr">
        <is>
          <t>Married</t>
        </is>
      </c>
      <c r="E1534" s="5" t="inlineStr">
        <is>
          <t>Master</t>
        </is>
      </c>
      <c r="F1534" s="5" t="inlineStr">
        <is>
          <t>Operations</t>
        </is>
      </c>
      <c r="G1534" s="5" t="inlineStr">
        <is>
          <t>Quality Analyst</t>
        </is>
      </c>
      <c r="H1534" s="5" t="inlineStr">
        <is>
          <t>4</t>
        </is>
      </c>
      <c r="I1534" s="5" t="inlineStr">
        <is>
          <t>Hyderabad</t>
        </is>
      </c>
      <c r="J1534" s="5" t="inlineStr">
        <is>
          <t>Full-Time</t>
        </is>
      </c>
      <c r="K1534" s="7" t="n">
        <v>45369</v>
      </c>
      <c r="L1534" s="7" t="inlineStr"/>
      <c r="M1534" s="5" t="inlineStr">
        <is>
          <t>Yes</t>
        </is>
      </c>
      <c r="N1534" s="5" t="inlineStr"/>
      <c r="O1534" s="8" t="inlineStr">
        <is>
          <t>130000</t>
        </is>
      </c>
      <c r="P1534" s="5" t="inlineStr">
        <is>
          <t>15</t>
        </is>
      </c>
      <c r="Q1534" s="5" t="inlineStr">
        <is>
          <t>4</t>
        </is>
      </c>
      <c r="R1534" s="5" t="inlineStr">
        <is>
          <t>7</t>
        </is>
      </c>
      <c r="S1534" s="5" t="inlineStr">
        <is>
          <t>21</t>
        </is>
      </c>
      <c r="T1534" s="5" t="inlineStr">
        <is>
          <t>2</t>
        </is>
      </c>
      <c r="U1534" s="5">
        <f>IFS(C1534&lt;30,"Under 30",C1534&lt;40,"30-39",C1534&lt;50,"40-49",TRUE,"50+")</f>
        <v/>
      </c>
      <c r="V1534" s="5">
        <f>IFS(O1534&lt;60000,"Low (&lt;60k)",O1534&lt;100000,"Mid (60-100k)",TRUE,"High (100k+)")</f>
        <v/>
      </c>
      <c r="W1534" s="5">
        <f>IF(M1534="No","Attrited","Active")</f>
        <v/>
      </c>
    </row>
    <row r="1535">
      <c r="A1535" s="5" t="inlineStr">
        <is>
          <t>E01534</t>
        </is>
      </c>
      <c r="B1535" s="5" t="inlineStr">
        <is>
          <t>Female</t>
        </is>
      </c>
      <c r="C1535" s="6" t="inlineStr">
        <is>
          <t>45</t>
        </is>
      </c>
      <c r="D1535" s="5" t="inlineStr">
        <is>
          <t>Married</t>
        </is>
      </c>
      <c r="E1535" s="5" t="inlineStr">
        <is>
          <t>PhD</t>
        </is>
      </c>
      <c r="F1535" s="5" t="inlineStr">
        <is>
          <t>Research &amp; Development</t>
        </is>
      </c>
      <c r="G1535" s="5" t="inlineStr">
        <is>
          <t>Research Scientist</t>
        </is>
      </c>
      <c r="H1535" s="5" t="inlineStr">
        <is>
          <t>7</t>
        </is>
      </c>
      <c r="I1535" s="5" t="inlineStr">
        <is>
          <t>Mumbai</t>
        </is>
      </c>
      <c r="J1535" s="5" t="inlineStr">
        <is>
          <t>Full-Time</t>
        </is>
      </c>
      <c r="K1535" s="7" t="n">
        <v>45564</v>
      </c>
      <c r="L1535" s="7" t="n">
        <v>45695</v>
      </c>
      <c r="M1535" s="5" t="inlineStr">
        <is>
          <t>No</t>
        </is>
      </c>
      <c r="N1535" s="5" t="inlineStr">
        <is>
          <t>Layoff</t>
        </is>
      </c>
      <c r="O1535" s="8" t="inlineStr">
        <is>
          <t>283500</t>
        </is>
      </c>
      <c r="P1535" s="5" t="inlineStr">
        <is>
          <t>0</t>
        </is>
      </c>
      <c r="Q1535" s="5" t="inlineStr">
        <is>
          <t>4</t>
        </is>
      </c>
      <c r="R1535" s="5" t="inlineStr">
        <is>
          <t>4</t>
        </is>
      </c>
      <c r="S1535" s="5" t="inlineStr">
        <is>
          <t>4</t>
        </is>
      </c>
      <c r="T1535" s="5" t="inlineStr">
        <is>
          <t>14</t>
        </is>
      </c>
      <c r="U1535" s="5">
        <f>IFS(C1535&lt;30,"Under 30",C1535&lt;40,"30-39",C1535&lt;50,"40-49",TRUE,"50+")</f>
        <v/>
      </c>
      <c r="V1535" s="5">
        <f>IFS(O1535&lt;60000,"Low (&lt;60k)",O1535&lt;100000,"Mid (60-100k)",TRUE,"High (100k+)")</f>
        <v/>
      </c>
      <c r="W1535" s="5">
        <f>IF(M1535="No","Attrited","Active")</f>
        <v/>
      </c>
    </row>
    <row r="1536">
      <c r="A1536" s="5" t="inlineStr">
        <is>
          <t>E01535</t>
        </is>
      </c>
      <c r="B1536" s="5" t="inlineStr">
        <is>
          <t>Male</t>
        </is>
      </c>
      <c r="C1536" s="6" t="inlineStr">
        <is>
          <t>37</t>
        </is>
      </c>
      <c r="D1536" s="5" t="inlineStr">
        <is>
          <t>Single</t>
        </is>
      </c>
      <c r="E1536" s="5" t="inlineStr">
        <is>
          <t>Master</t>
        </is>
      </c>
      <c r="F1536" s="5" t="inlineStr">
        <is>
          <t>Finance</t>
        </is>
      </c>
      <c r="G1536" s="5" t="inlineStr">
        <is>
          <t>Accountant</t>
        </is>
      </c>
      <c r="H1536" s="5" t="inlineStr">
        <is>
          <t>3</t>
        </is>
      </c>
      <c r="I1536" s="5" t="inlineStr">
        <is>
          <t>Hyderabad</t>
        </is>
      </c>
      <c r="J1536" s="5" t="inlineStr">
        <is>
          <t>Full-Time</t>
        </is>
      </c>
      <c r="K1536" s="7" t="n">
        <v>44679</v>
      </c>
      <c r="L1536" s="7" t="n">
        <v>44774</v>
      </c>
      <c r="M1536" s="5" t="inlineStr">
        <is>
          <t>No</t>
        </is>
      </c>
      <c r="N1536" s="5" t="inlineStr">
        <is>
          <t>Resigned</t>
        </is>
      </c>
      <c r="O1536" s="8" t="inlineStr">
        <is>
          <t>101500</t>
        </is>
      </c>
      <c r="P1536" s="5" t="inlineStr">
        <is>
          <t>10</t>
        </is>
      </c>
      <c r="Q1536" s="5" t="inlineStr">
        <is>
          <t>4</t>
        </is>
      </c>
      <c r="R1536" s="5" t="inlineStr">
        <is>
          <t>6</t>
        </is>
      </c>
      <c r="S1536" s="5" t="inlineStr">
        <is>
          <t>3</t>
        </is>
      </c>
      <c r="T1536" s="5" t="inlineStr">
        <is>
          <t>0</t>
        </is>
      </c>
      <c r="U1536" s="5">
        <f>IFS(C1536&lt;30,"Under 30",C1536&lt;40,"30-39",C1536&lt;50,"40-49",TRUE,"50+")</f>
        <v/>
      </c>
      <c r="V1536" s="5">
        <f>IFS(O1536&lt;60000,"Low (&lt;60k)",O1536&lt;100000,"Mid (60-100k)",TRUE,"High (100k+)")</f>
        <v/>
      </c>
      <c r="W1536" s="5">
        <f>IF(M1536="No","Attrited","Active")</f>
        <v/>
      </c>
    </row>
    <row r="1537">
      <c r="A1537" s="5" t="inlineStr">
        <is>
          <t>E01536</t>
        </is>
      </c>
      <c r="B1537" s="5" t="inlineStr">
        <is>
          <t>Female</t>
        </is>
      </c>
      <c r="C1537" s="6" t="inlineStr">
        <is>
          <t>34</t>
        </is>
      </c>
      <c r="D1537" s="5" t="inlineStr">
        <is>
          <t>Married</t>
        </is>
      </c>
      <c r="E1537" s="5" t="inlineStr">
        <is>
          <t>Bachelor</t>
        </is>
      </c>
      <c r="F1537" s="5" t="inlineStr">
        <is>
          <t>Operations</t>
        </is>
      </c>
      <c r="G1537" s="5" t="inlineStr">
        <is>
          <t>Operations Analyst</t>
        </is>
      </c>
      <c r="H1537" s="5" t="inlineStr">
        <is>
          <t>3</t>
        </is>
      </c>
      <c r="I1537" s="5" t="inlineStr">
        <is>
          <t>Mumbai</t>
        </is>
      </c>
      <c r="J1537" s="5" t="inlineStr">
        <is>
          <t>Full-Time</t>
        </is>
      </c>
      <c r="K1537" s="7" t="n">
        <v>44548</v>
      </c>
      <c r="L1537" s="7" t="inlineStr"/>
      <c r="M1537" s="5" t="inlineStr">
        <is>
          <t>Yes</t>
        </is>
      </c>
      <c r="N1537" s="5" t="inlineStr"/>
      <c r="O1537" s="8" t="inlineStr">
        <is>
          <t>112000</t>
        </is>
      </c>
      <c r="P1537" s="5" t="inlineStr">
        <is>
          <t>5</t>
        </is>
      </c>
      <c r="Q1537" s="5" t="inlineStr">
        <is>
          <t>4</t>
        </is>
      </c>
      <c r="R1537" s="5" t="inlineStr">
        <is>
          <t>7</t>
        </is>
      </c>
      <c r="S1537" s="5" t="inlineStr">
        <is>
          <t>49</t>
        </is>
      </c>
      <c r="T1537" s="5" t="inlineStr">
        <is>
          <t>16</t>
        </is>
      </c>
      <c r="U1537" s="5">
        <f>IFS(C1537&lt;30,"Under 30",C1537&lt;40,"30-39",C1537&lt;50,"40-49",TRUE,"50+")</f>
        <v/>
      </c>
      <c r="V1537" s="5">
        <f>IFS(O1537&lt;60000,"Low (&lt;60k)",O1537&lt;100000,"Mid (60-100k)",TRUE,"High (100k+)")</f>
        <v/>
      </c>
      <c r="W1537" s="5">
        <f>IF(M1537="No","Attrited","Active")</f>
        <v/>
      </c>
    </row>
    <row r="1538">
      <c r="A1538" s="5" t="inlineStr">
        <is>
          <t>E01537</t>
        </is>
      </c>
      <c r="B1538" s="5" t="inlineStr">
        <is>
          <t>Female</t>
        </is>
      </c>
      <c r="C1538" s="6" t="inlineStr">
        <is>
          <t>35</t>
        </is>
      </c>
      <c r="D1538" s="5" t="inlineStr">
        <is>
          <t>Single</t>
        </is>
      </c>
      <c r="E1538" s="5" t="inlineStr">
        <is>
          <t>Diploma</t>
        </is>
      </c>
      <c r="F1538" s="5" t="inlineStr">
        <is>
          <t>Human Resources</t>
        </is>
      </c>
      <c r="G1538" s="5" t="inlineStr">
        <is>
          <t>HR Analyst</t>
        </is>
      </c>
      <c r="H1538" s="5" t="inlineStr">
        <is>
          <t>6</t>
        </is>
      </c>
      <c r="I1538" s="5" t="inlineStr">
        <is>
          <t>Delhi</t>
        </is>
      </c>
      <c r="J1538" s="5" t="inlineStr">
        <is>
          <t>Full-Time</t>
        </is>
      </c>
      <c r="K1538" s="7" t="n">
        <v>44904</v>
      </c>
      <c r="L1538" s="7" t="inlineStr"/>
      <c r="M1538" s="5" t="inlineStr">
        <is>
          <t>Yes</t>
        </is>
      </c>
      <c r="N1538" s="5" t="inlineStr"/>
      <c r="O1538" s="8" t="inlineStr">
        <is>
          <t>122000</t>
        </is>
      </c>
      <c r="P1538" s="5" t="inlineStr">
        <is>
          <t>15</t>
        </is>
      </c>
      <c r="Q1538" s="5" t="inlineStr">
        <is>
          <t>2</t>
        </is>
      </c>
      <c r="R1538" s="5" t="inlineStr">
        <is>
          <t>10</t>
        </is>
      </c>
      <c r="S1538" s="5" t="inlineStr">
        <is>
          <t>37</t>
        </is>
      </c>
      <c r="T1538" s="5" t="inlineStr">
        <is>
          <t>8</t>
        </is>
      </c>
      <c r="U1538" s="5">
        <f>IFS(C1538&lt;30,"Under 30",C1538&lt;40,"30-39",C1538&lt;50,"40-49",TRUE,"50+")</f>
        <v/>
      </c>
      <c r="V1538" s="5">
        <f>IFS(O1538&lt;60000,"Low (&lt;60k)",O1538&lt;100000,"Mid (60-100k)",TRUE,"High (100k+)")</f>
        <v/>
      </c>
      <c r="W1538" s="5">
        <f>IF(M1538="No","Attrited","Active")</f>
        <v/>
      </c>
    </row>
    <row r="1539">
      <c r="A1539" s="5" t="inlineStr">
        <is>
          <t>E01538</t>
        </is>
      </c>
      <c r="B1539" s="5" t="inlineStr">
        <is>
          <t>Male</t>
        </is>
      </c>
      <c r="C1539" s="6" t="inlineStr">
        <is>
          <t>36</t>
        </is>
      </c>
      <c r="D1539" s="5" t="inlineStr">
        <is>
          <t>Married</t>
        </is>
      </c>
      <c r="E1539" s="5" t="inlineStr">
        <is>
          <t>Diploma</t>
        </is>
      </c>
      <c r="F1539" s="5" t="inlineStr">
        <is>
          <t>Sales</t>
        </is>
      </c>
      <c r="G1539" s="5" t="inlineStr">
        <is>
          <t>Business Development</t>
        </is>
      </c>
      <c r="H1539" s="5" t="inlineStr">
        <is>
          <t>7</t>
        </is>
      </c>
      <c r="I1539" s="5" t="inlineStr">
        <is>
          <t>Delhi</t>
        </is>
      </c>
      <c r="J1539" s="5" t="inlineStr">
        <is>
          <t>Full-Time</t>
        </is>
      </c>
      <c r="K1539" s="7" t="n">
        <v>44796</v>
      </c>
      <c r="L1539" s="7" t="inlineStr"/>
      <c r="M1539" s="5" t="inlineStr">
        <is>
          <t>Yes</t>
        </is>
      </c>
      <c r="N1539" s="5" t="inlineStr"/>
      <c r="O1539" s="8" t="inlineStr">
        <is>
          <t>153500</t>
        </is>
      </c>
      <c r="P1539" s="5" t="inlineStr">
        <is>
          <t>10</t>
        </is>
      </c>
      <c r="Q1539" s="5" t="inlineStr">
        <is>
          <t>5</t>
        </is>
      </c>
      <c r="R1539" s="5" t="inlineStr">
        <is>
          <t>6</t>
        </is>
      </c>
      <c r="S1539" s="5" t="inlineStr">
        <is>
          <t>40</t>
        </is>
      </c>
      <c r="T1539" s="5" t="inlineStr">
        <is>
          <t>2</t>
        </is>
      </c>
      <c r="U1539" s="5">
        <f>IFS(C1539&lt;30,"Under 30",C1539&lt;40,"30-39",C1539&lt;50,"40-49",TRUE,"50+")</f>
        <v/>
      </c>
      <c r="V1539" s="5">
        <f>IFS(O1539&lt;60000,"Low (&lt;60k)",O1539&lt;100000,"Mid (60-100k)",TRUE,"High (100k+)")</f>
        <v/>
      </c>
      <c r="W1539" s="5">
        <f>IF(M1539="No","Attrited","Active")</f>
        <v/>
      </c>
    </row>
    <row r="1540">
      <c r="A1540" s="5" t="inlineStr">
        <is>
          <t>E01539</t>
        </is>
      </c>
      <c r="B1540" s="5" t="inlineStr">
        <is>
          <t>Female</t>
        </is>
      </c>
      <c r="C1540" s="6" t="inlineStr">
        <is>
          <t>35</t>
        </is>
      </c>
      <c r="D1540" s="5" t="inlineStr">
        <is>
          <t>Married</t>
        </is>
      </c>
      <c r="E1540" s="5" t="inlineStr">
        <is>
          <t>High School</t>
        </is>
      </c>
      <c r="F1540" s="5" t="inlineStr">
        <is>
          <t>Sales</t>
        </is>
      </c>
      <c r="G1540" s="5" t="inlineStr">
        <is>
          <t>Business Development</t>
        </is>
      </c>
      <c r="H1540" s="5" t="inlineStr">
        <is>
          <t>3</t>
        </is>
      </c>
      <c r="I1540" s="5" t="inlineStr">
        <is>
          <t>Delhi</t>
        </is>
      </c>
      <c r="J1540" s="5" t="inlineStr">
        <is>
          <t>Full-Time</t>
        </is>
      </c>
      <c r="K1540" s="7" t="n">
        <v>45713</v>
      </c>
      <c r="L1540" s="7" t="inlineStr"/>
      <c r="M1540" s="5" t="inlineStr">
        <is>
          <t>Yes</t>
        </is>
      </c>
      <c r="N1540" s="5" t="inlineStr"/>
      <c r="O1540" s="8" t="inlineStr">
        <is>
          <t>134500</t>
        </is>
      </c>
      <c r="P1540" s="5" t="inlineStr">
        <is>
          <t>5</t>
        </is>
      </c>
      <c r="Q1540" s="5" t="inlineStr">
        <is>
          <t>5</t>
        </is>
      </c>
      <c r="R1540" s="5" t="inlineStr">
        <is>
          <t>9</t>
        </is>
      </c>
      <c r="S1540" s="5" t="inlineStr">
        <is>
          <t>10</t>
        </is>
      </c>
      <c r="T1540" s="5" t="inlineStr">
        <is>
          <t>0</t>
        </is>
      </c>
      <c r="U1540" s="5">
        <f>IFS(C1540&lt;30,"Under 30",C1540&lt;40,"30-39",C1540&lt;50,"40-49",TRUE,"50+")</f>
        <v/>
      </c>
      <c r="V1540" s="5">
        <f>IFS(O1540&lt;60000,"Low (&lt;60k)",O1540&lt;100000,"Mid (60-100k)",TRUE,"High (100k+)")</f>
        <v/>
      </c>
      <c r="W1540" s="5">
        <f>IF(M1540="No","Attrited","Active")</f>
        <v/>
      </c>
    </row>
    <row r="1541">
      <c r="A1541" s="5" t="inlineStr">
        <is>
          <t>E01540</t>
        </is>
      </c>
      <c r="B1541" s="5" t="inlineStr">
        <is>
          <t>Male</t>
        </is>
      </c>
      <c r="C1541" s="6" t="inlineStr">
        <is>
          <t>33</t>
        </is>
      </c>
      <c r="D1541" s="5" t="inlineStr">
        <is>
          <t>Single</t>
        </is>
      </c>
      <c r="E1541" s="5" t="inlineStr">
        <is>
          <t>PhD</t>
        </is>
      </c>
      <c r="F1541" s="5" t="inlineStr">
        <is>
          <t>Human Resources</t>
        </is>
      </c>
      <c r="G1541" s="5" t="inlineStr">
        <is>
          <t>Recruiter</t>
        </is>
      </c>
      <c r="H1541" s="5" t="inlineStr">
        <is>
          <t>2</t>
        </is>
      </c>
      <c r="I1541" s="5" t="inlineStr">
        <is>
          <t>Bengaluru</t>
        </is>
      </c>
      <c r="J1541" s="5" t="inlineStr">
        <is>
          <t>Full-Time</t>
        </is>
      </c>
      <c r="K1541" s="7" t="n">
        <v>44103</v>
      </c>
      <c r="L1541" s="7" t="inlineStr"/>
      <c r="M1541" s="5" t="inlineStr">
        <is>
          <t>Yes</t>
        </is>
      </c>
      <c r="N1541" s="5" t="inlineStr"/>
      <c r="O1541" s="8" t="inlineStr">
        <is>
          <t>66500</t>
        </is>
      </c>
      <c r="P1541" s="5" t="inlineStr">
        <is>
          <t>15</t>
        </is>
      </c>
      <c r="Q1541" s="5" t="inlineStr">
        <is>
          <t>4</t>
        </is>
      </c>
      <c r="R1541" s="5" t="inlineStr">
        <is>
          <t>7</t>
        </is>
      </c>
      <c r="S1541" s="5" t="inlineStr">
        <is>
          <t>63</t>
        </is>
      </c>
      <c r="T1541" s="5" t="inlineStr">
        <is>
          <t>0</t>
        </is>
      </c>
      <c r="U1541" s="5">
        <f>IFS(C1541&lt;30,"Under 30",C1541&lt;40,"30-39",C1541&lt;50,"40-49",TRUE,"50+")</f>
        <v/>
      </c>
      <c r="V1541" s="5">
        <f>IFS(O1541&lt;60000,"Low (&lt;60k)",O1541&lt;100000,"Mid (60-100k)",TRUE,"High (100k+)")</f>
        <v/>
      </c>
      <c r="W1541" s="5">
        <f>IF(M1541="No","Attrited","Active")</f>
        <v/>
      </c>
    </row>
    <row r="1542">
      <c r="A1542" s="5" t="inlineStr">
        <is>
          <t>E01541</t>
        </is>
      </c>
      <c r="B1542" s="5" t="inlineStr">
        <is>
          <t>Female</t>
        </is>
      </c>
      <c r="C1542" s="6" t="inlineStr">
        <is>
          <t>32</t>
        </is>
      </c>
      <c r="D1542" s="5" t="inlineStr">
        <is>
          <t>Married</t>
        </is>
      </c>
      <c r="E1542" s="5" t="inlineStr">
        <is>
          <t>PhD</t>
        </is>
      </c>
      <c r="F1542" s="5" t="inlineStr">
        <is>
          <t>IT</t>
        </is>
      </c>
      <c r="G1542" s="5" t="inlineStr">
        <is>
          <t>IT Support</t>
        </is>
      </c>
      <c r="H1542" s="5" t="inlineStr">
        <is>
          <t>3</t>
        </is>
      </c>
      <c r="I1542" s="5" t="inlineStr">
        <is>
          <t>Hyderabad</t>
        </is>
      </c>
      <c r="J1542" s="5" t="inlineStr">
        <is>
          <t>Contract</t>
        </is>
      </c>
      <c r="K1542" s="7" t="n">
        <v>44971</v>
      </c>
      <c r="L1542" s="7" t="inlineStr"/>
      <c r="M1542" s="5" t="inlineStr">
        <is>
          <t>Yes</t>
        </is>
      </c>
      <c r="N1542" s="5" t="inlineStr"/>
      <c r="O1542" s="8" t="inlineStr">
        <is>
          <t>140500</t>
        </is>
      </c>
      <c r="P1542" s="5" t="inlineStr">
        <is>
          <t>5</t>
        </is>
      </c>
      <c r="Q1542" s="5" t="inlineStr">
        <is>
          <t>3</t>
        </is>
      </c>
      <c r="R1542" s="5" t="inlineStr">
        <is>
          <t>5</t>
        </is>
      </c>
      <c r="S1542" s="5" t="inlineStr">
        <is>
          <t>35</t>
        </is>
      </c>
      <c r="T1542" s="5" t="inlineStr">
        <is>
          <t>13</t>
        </is>
      </c>
      <c r="U1542" s="5">
        <f>IFS(C1542&lt;30,"Under 30",C1542&lt;40,"30-39",C1542&lt;50,"40-49",TRUE,"50+")</f>
        <v/>
      </c>
      <c r="V1542" s="5">
        <f>IFS(O1542&lt;60000,"Low (&lt;60k)",O1542&lt;100000,"Mid (60-100k)",TRUE,"High (100k+)")</f>
        <v/>
      </c>
      <c r="W1542" s="5">
        <f>IF(M1542="No","Attrited","Active")</f>
        <v/>
      </c>
    </row>
    <row r="1543">
      <c r="A1543" s="5" t="inlineStr">
        <is>
          <t>E01542</t>
        </is>
      </c>
      <c r="B1543" s="5" t="inlineStr">
        <is>
          <t>Male</t>
        </is>
      </c>
      <c r="C1543" s="6" t="inlineStr">
        <is>
          <t>35</t>
        </is>
      </c>
      <c r="D1543" s="5" t="inlineStr">
        <is>
          <t>Married</t>
        </is>
      </c>
      <c r="E1543" s="5" t="inlineStr">
        <is>
          <t>Bachelor</t>
        </is>
      </c>
      <c r="F1543" s="5" t="inlineStr">
        <is>
          <t>Sales</t>
        </is>
      </c>
      <c r="G1543" s="5" t="inlineStr">
        <is>
          <t>Business Development</t>
        </is>
      </c>
      <c r="H1543" s="5" t="inlineStr">
        <is>
          <t>4</t>
        </is>
      </c>
      <c r="I1543" s="5" t="inlineStr">
        <is>
          <t>Chennai</t>
        </is>
      </c>
      <c r="J1543" s="5" t="inlineStr">
        <is>
          <t>Full-Time</t>
        </is>
      </c>
      <c r="K1543" s="7" t="n">
        <v>44748</v>
      </c>
      <c r="L1543" s="7" t="inlineStr"/>
      <c r="M1543" s="5" t="inlineStr">
        <is>
          <t>Yes</t>
        </is>
      </c>
      <c r="N1543" s="5" t="inlineStr"/>
      <c r="O1543" s="8" t="inlineStr">
        <is>
          <t>112500</t>
        </is>
      </c>
      <c r="P1543" s="5" t="inlineStr">
        <is>
          <t>10</t>
        </is>
      </c>
      <c r="Q1543" s="5" t="inlineStr">
        <is>
          <t>5</t>
        </is>
      </c>
      <c r="R1543" s="5" t="inlineStr">
        <is>
          <t>5</t>
        </is>
      </c>
      <c r="S1543" s="5" t="inlineStr">
        <is>
          <t>42</t>
        </is>
      </c>
      <c r="T1543" s="5" t="inlineStr">
        <is>
          <t>5</t>
        </is>
      </c>
      <c r="U1543" s="5">
        <f>IFS(C1543&lt;30,"Under 30",C1543&lt;40,"30-39",C1543&lt;50,"40-49",TRUE,"50+")</f>
        <v/>
      </c>
      <c r="V1543" s="5">
        <f>IFS(O1543&lt;60000,"Low (&lt;60k)",O1543&lt;100000,"Mid (60-100k)",TRUE,"High (100k+)")</f>
        <v/>
      </c>
      <c r="W1543" s="5">
        <f>IF(M1543="No","Attrited","Active")</f>
        <v/>
      </c>
    </row>
    <row r="1544">
      <c r="A1544" s="5" t="inlineStr">
        <is>
          <t>E01543</t>
        </is>
      </c>
      <c r="B1544" s="5" t="inlineStr">
        <is>
          <t>Male</t>
        </is>
      </c>
      <c r="C1544" s="6" t="inlineStr">
        <is>
          <t>30</t>
        </is>
      </c>
      <c r="D1544" s="5" t="inlineStr">
        <is>
          <t>Married</t>
        </is>
      </c>
      <c r="E1544" s="5" t="inlineStr">
        <is>
          <t>Master</t>
        </is>
      </c>
      <c r="F1544" s="5" t="inlineStr">
        <is>
          <t>Customer Support</t>
        </is>
      </c>
      <c r="G1544" s="5" t="inlineStr">
        <is>
          <t>Escalation Specialist</t>
        </is>
      </c>
      <c r="H1544" s="5" t="inlineStr">
        <is>
          <t>1</t>
        </is>
      </c>
      <c r="I1544" s="5" t="inlineStr">
        <is>
          <t>Mumbai</t>
        </is>
      </c>
      <c r="J1544" s="5" t="inlineStr">
        <is>
          <t>Full-Time</t>
        </is>
      </c>
      <c r="K1544" s="7" t="n">
        <v>44104</v>
      </c>
      <c r="L1544" s="7" t="inlineStr"/>
      <c r="M1544" s="5" t="inlineStr">
        <is>
          <t>Yes</t>
        </is>
      </c>
      <c r="N1544" s="5" t="inlineStr"/>
      <c r="O1544" s="8" t="inlineStr">
        <is>
          <t>64500</t>
        </is>
      </c>
      <c r="P1544" s="5" t="inlineStr">
        <is>
          <t>10</t>
        </is>
      </c>
      <c r="Q1544" s="5" t="inlineStr">
        <is>
          <t>2</t>
        </is>
      </c>
      <c r="R1544" s="5" t="inlineStr">
        <is>
          <t>5</t>
        </is>
      </c>
      <c r="S1544" s="5" t="inlineStr">
        <is>
          <t>63</t>
        </is>
      </c>
      <c r="T1544" s="5" t="inlineStr">
        <is>
          <t>8</t>
        </is>
      </c>
      <c r="U1544" s="5">
        <f>IFS(C1544&lt;30,"Under 30",C1544&lt;40,"30-39",C1544&lt;50,"40-49",TRUE,"50+")</f>
        <v/>
      </c>
      <c r="V1544" s="5">
        <f>IFS(O1544&lt;60000,"Low (&lt;60k)",O1544&lt;100000,"Mid (60-100k)",TRUE,"High (100k+)")</f>
        <v/>
      </c>
      <c r="W1544" s="5">
        <f>IF(M1544="No","Attrited","Active")</f>
        <v/>
      </c>
    </row>
    <row r="1545">
      <c r="A1545" s="5" t="inlineStr">
        <is>
          <t>E01544</t>
        </is>
      </c>
      <c r="B1545" s="5" t="inlineStr">
        <is>
          <t>Male</t>
        </is>
      </c>
      <c r="C1545" s="6" t="inlineStr">
        <is>
          <t>23</t>
        </is>
      </c>
      <c r="D1545" s="5" t="inlineStr">
        <is>
          <t>Married</t>
        </is>
      </c>
      <c r="E1545" s="5" t="inlineStr">
        <is>
          <t>High School</t>
        </is>
      </c>
      <c r="F1545" s="5" t="inlineStr">
        <is>
          <t>Operations</t>
        </is>
      </c>
      <c r="G1545" s="5" t="inlineStr">
        <is>
          <t>Quality Analyst</t>
        </is>
      </c>
      <c r="H1545" s="5" t="inlineStr">
        <is>
          <t>1</t>
        </is>
      </c>
      <c r="I1545" s="5" t="inlineStr">
        <is>
          <t>Remote</t>
        </is>
      </c>
      <c r="J1545" s="5" t="inlineStr">
        <is>
          <t>Full-Time</t>
        </is>
      </c>
      <c r="K1545" s="7" t="n">
        <v>44830</v>
      </c>
      <c r="L1545" s="7" t="inlineStr"/>
      <c r="M1545" s="5" t="inlineStr">
        <is>
          <t>Yes</t>
        </is>
      </c>
      <c r="N1545" s="5" t="inlineStr"/>
      <c r="O1545" s="8" t="inlineStr">
        <is>
          <t>95000</t>
        </is>
      </c>
      <c r="P1545" s="5" t="inlineStr">
        <is>
          <t>0</t>
        </is>
      </c>
      <c r="Q1545" s="5" t="inlineStr">
        <is>
          <t>3</t>
        </is>
      </c>
      <c r="R1545" s="5" t="inlineStr">
        <is>
          <t>8</t>
        </is>
      </c>
      <c r="S1545" s="5" t="inlineStr">
        <is>
          <t>39</t>
        </is>
      </c>
      <c r="T1545" s="5" t="inlineStr">
        <is>
          <t>7</t>
        </is>
      </c>
      <c r="U1545" s="5">
        <f>IFS(C1545&lt;30,"Under 30",C1545&lt;40,"30-39",C1545&lt;50,"40-49",TRUE,"50+")</f>
        <v/>
      </c>
      <c r="V1545" s="5">
        <f>IFS(O1545&lt;60000,"Low (&lt;60k)",O1545&lt;100000,"Mid (60-100k)",TRUE,"High (100k+)")</f>
        <v/>
      </c>
      <c r="W1545" s="5">
        <f>IF(M1545="No","Attrited","Active")</f>
        <v/>
      </c>
    </row>
    <row r="1546">
      <c r="A1546" s="5" t="inlineStr">
        <is>
          <t>E01545</t>
        </is>
      </c>
      <c r="B1546" s="5" t="inlineStr">
        <is>
          <t>Female</t>
        </is>
      </c>
      <c r="C1546" s="6" t="inlineStr">
        <is>
          <t>44</t>
        </is>
      </c>
      <c r="D1546" s="5" t="inlineStr">
        <is>
          <t>Single</t>
        </is>
      </c>
      <c r="E1546" s="5" t="inlineStr">
        <is>
          <t>Bachelor</t>
        </is>
      </c>
      <c r="F1546" s="5" t="inlineStr">
        <is>
          <t>Sales</t>
        </is>
      </c>
      <c r="G1546" s="5" t="inlineStr">
        <is>
          <t>Account Executive</t>
        </is>
      </c>
      <c r="H1546" s="5" t="inlineStr">
        <is>
          <t>6</t>
        </is>
      </c>
      <c r="I1546" s="5" t="inlineStr">
        <is>
          <t>Remote</t>
        </is>
      </c>
      <c r="J1546" s="5" t="inlineStr">
        <is>
          <t>Full-Time</t>
        </is>
      </c>
      <c r="K1546" s="7" t="n">
        <v>43900</v>
      </c>
      <c r="L1546" s="7" t="inlineStr"/>
      <c r="M1546" s="5" t="inlineStr">
        <is>
          <t>Yes</t>
        </is>
      </c>
      <c r="N1546" s="5" t="inlineStr"/>
      <c r="O1546" s="8" t="inlineStr">
        <is>
          <t>114000</t>
        </is>
      </c>
      <c r="P1546" s="5" t="inlineStr">
        <is>
          <t>0</t>
        </is>
      </c>
      <c r="Q1546" s="5" t="inlineStr">
        <is>
          <t>3</t>
        </is>
      </c>
      <c r="R1546" s="5" t="inlineStr">
        <is>
          <t>9</t>
        </is>
      </c>
      <c r="S1546" s="5" t="inlineStr">
        <is>
          <t>70</t>
        </is>
      </c>
      <c r="T1546" s="5" t="inlineStr">
        <is>
          <t>15</t>
        </is>
      </c>
      <c r="U1546" s="5">
        <f>IFS(C1546&lt;30,"Under 30",C1546&lt;40,"30-39",C1546&lt;50,"40-49",TRUE,"50+")</f>
        <v/>
      </c>
      <c r="V1546" s="5">
        <f>IFS(O1546&lt;60000,"Low (&lt;60k)",O1546&lt;100000,"Mid (60-100k)",TRUE,"High (100k+)")</f>
        <v/>
      </c>
      <c r="W1546" s="5">
        <f>IF(M1546="No","Attrited","Active")</f>
        <v/>
      </c>
    </row>
    <row r="1547">
      <c r="A1547" s="5" t="inlineStr">
        <is>
          <t>E01546</t>
        </is>
      </c>
      <c r="B1547" s="5" t="inlineStr">
        <is>
          <t>Male</t>
        </is>
      </c>
      <c r="C1547" s="6" t="inlineStr">
        <is>
          <t>34</t>
        </is>
      </c>
      <c r="D1547" s="5" t="inlineStr">
        <is>
          <t>Single</t>
        </is>
      </c>
      <c r="E1547" s="5" t="inlineStr">
        <is>
          <t>Diploma</t>
        </is>
      </c>
      <c r="F1547" s="5" t="inlineStr">
        <is>
          <t>IT</t>
        </is>
      </c>
      <c r="G1547" s="5" t="inlineStr">
        <is>
          <t>DevOps Engineer</t>
        </is>
      </c>
      <c r="H1547" s="5" t="inlineStr">
        <is>
          <t>2</t>
        </is>
      </c>
      <c r="I1547" s="5" t="inlineStr">
        <is>
          <t>Hyderabad</t>
        </is>
      </c>
      <c r="J1547" s="5" t="inlineStr">
        <is>
          <t>Full-Time</t>
        </is>
      </c>
      <c r="K1547" s="7" t="n">
        <v>44432</v>
      </c>
      <c r="L1547" s="7" t="inlineStr"/>
      <c r="M1547" s="5" t="inlineStr">
        <is>
          <t>Yes</t>
        </is>
      </c>
      <c r="N1547" s="5" t="inlineStr"/>
      <c r="O1547" s="8" t="inlineStr">
        <is>
          <t>158500</t>
        </is>
      </c>
      <c r="P1547" s="5" t="inlineStr">
        <is>
          <t>0</t>
        </is>
      </c>
      <c r="Q1547" s="5" t="inlineStr">
        <is>
          <t>2</t>
        </is>
      </c>
      <c r="R1547" s="5" t="inlineStr">
        <is>
          <t>2</t>
        </is>
      </c>
      <c r="S1547" s="5" t="inlineStr">
        <is>
          <t>53</t>
        </is>
      </c>
      <c r="T1547" s="5" t="inlineStr">
        <is>
          <t>7</t>
        </is>
      </c>
      <c r="U1547" s="5">
        <f>IFS(C1547&lt;30,"Under 30",C1547&lt;40,"30-39",C1547&lt;50,"40-49",TRUE,"50+")</f>
        <v/>
      </c>
      <c r="V1547" s="5">
        <f>IFS(O1547&lt;60000,"Low (&lt;60k)",O1547&lt;100000,"Mid (60-100k)",TRUE,"High (100k+)")</f>
        <v/>
      </c>
      <c r="W1547" s="5">
        <f>IF(M1547="No","Attrited","Active")</f>
        <v/>
      </c>
    </row>
    <row r="1548">
      <c r="A1548" s="5" t="inlineStr">
        <is>
          <t>E01547</t>
        </is>
      </c>
      <c r="B1548" s="5" t="inlineStr">
        <is>
          <t>Female</t>
        </is>
      </c>
      <c r="C1548" s="6" t="inlineStr">
        <is>
          <t>43</t>
        </is>
      </c>
      <c r="D1548" s="5" t="inlineStr">
        <is>
          <t>Married</t>
        </is>
      </c>
      <c r="E1548" s="5" t="inlineStr">
        <is>
          <t>PhD</t>
        </is>
      </c>
      <c r="F1548" s="5" t="inlineStr">
        <is>
          <t>Research &amp; Development</t>
        </is>
      </c>
      <c r="G1548" s="5" t="inlineStr">
        <is>
          <t>Product Engineer</t>
        </is>
      </c>
      <c r="H1548" s="5" t="inlineStr">
        <is>
          <t>6</t>
        </is>
      </c>
      <c r="I1548" s="5" t="inlineStr">
        <is>
          <t>Bengaluru</t>
        </is>
      </c>
      <c r="J1548" s="5" t="inlineStr">
        <is>
          <t>Full-Time</t>
        </is>
      </c>
      <c r="K1548" s="7" t="n">
        <v>45105</v>
      </c>
      <c r="L1548" s="7" t="inlineStr"/>
      <c r="M1548" s="5" t="inlineStr">
        <is>
          <t>Yes</t>
        </is>
      </c>
      <c r="N1548" s="5" t="inlineStr"/>
      <c r="O1548" s="8" t="inlineStr">
        <is>
          <t>174500</t>
        </is>
      </c>
      <c r="P1548" s="5" t="inlineStr">
        <is>
          <t>10</t>
        </is>
      </c>
      <c r="Q1548" s="5" t="inlineStr">
        <is>
          <t>3</t>
        </is>
      </c>
      <c r="R1548" s="5" t="inlineStr">
        <is>
          <t>7</t>
        </is>
      </c>
      <c r="S1548" s="5" t="inlineStr">
        <is>
          <t>30</t>
        </is>
      </c>
      <c r="T1548" s="5" t="inlineStr">
        <is>
          <t>9</t>
        </is>
      </c>
      <c r="U1548" s="5">
        <f>IFS(C1548&lt;30,"Under 30",C1548&lt;40,"30-39",C1548&lt;50,"40-49",TRUE,"50+")</f>
        <v/>
      </c>
      <c r="V1548" s="5">
        <f>IFS(O1548&lt;60000,"Low (&lt;60k)",O1548&lt;100000,"Mid (60-100k)",TRUE,"High (100k+)")</f>
        <v/>
      </c>
      <c r="W1548" s="5">
        <f>IF(M1548="No","Attrited","Active")</f>
        <v/>
      </c>
    </row>
    <row r="1549">
      <c r="A1549" s="5" t="inlineStr">
        <is>
          <t>E01548</t>
        </is>
      </c>
      <c r="B1549" s="5" t="inlineStr">
        <is>
          <t>Female</t>
        </is>
      </c>
      <c r="C1549" s="6" t="inlineStr">
        <is>
          <t>33</t>
        </is>
      </c>
      <c r="D1549" s="5" t="inlineStr">
        <is>
          <t>Single</t>
        </is>
      </c>
      <c r="E1549" s="5" t="inlineStr">
        <is>
          <t>Master</t>
        </is>
      </c>
      <c r="F1549" s="5" t="inlineStr">
        <is>
          <t>IT</t>
        </is>
      </c>
      <c r="G1549" s="5" t="inlineStr">
        <is>
          <t>Data Analyst</t>
        </is>
      </c>
      <c r="H1549" s="5" t="inlineStr">
        <is>
          <t>3</t>
        </is>
      </c>
      <c r="I1549" s="5" t="inlineStr">
        <is>
          <t>Hyderabad</t>
        </is>
      </c>
      <c r="J1549" s="5" t="inlineStr">
        <is>
          <t>Full-Time</t>
        </is>
      </c>
      <c r="K1549" s="7" t="n">
        <v>45377</v>
      </c>
      <c r="L1549" s="7" t="inlineStr"/>
      <c r="M1549" s="5" t="inlineStr">
        <is>
          <t>Yes</t>
        </is>
      </c>
      <c r="N1549" s="5" t="inlineStr"/>
      <c r="O1549" s="8" t="inlineStr">
        <is>
          <t>186000</t>
        </is>
      </c>
      <c r="P1549" s="5" t="inlineStr">
        <is>
          <t>0</t>
        </is>
      </c>
      <c r="Q1549" s="5" t="inlineStr">
        <is>
          <t>4</t>
        </is>
      </c>
      <c r="R1549" s="5" t="inlineStr">
        <is>
          <t>2</t>
        </is>
      </c>
      <c r="S1549" s="5" t="inlineStr">
        <is>
          <t>21</t>
        </is>
      </c>
      <c r="T1549" s="5" t="inlineStr">
        <is>
          <t>8</t>
        </is>
      </c>
      <c r="U1549" s="5">
        <f>IFS(C1549&lt;30,"Under 30",C1549&lt;40,"30-39",C1549&lt;50,"40-49",TRUE,"50+")</f>
        <v/>
      </c>
      <c r="V1549" s="5">
        <f>IFS(O1549&lt;60000,"Low (&lt;60k)",O1549&lt;100000,"Mid (60-100k)",TRUE,"High (100k+)")</f>
        <v/>
      </c>
      <c r="W1549" s="5">
        <f>IF(M1549="No","Attrited","Active")</f>
        <v/>
      </c>
    </row>
    <row r="1550">
      <c r="A1550" s="5" t="inlineStr">
        <is>
          <t>E01549</t>
        </is>
      </c>
      <c r="B1550" s="5" t="inlineStr">
        <is>
          <t>Female</t>
        </is>
      </c>
      <c r="C1550" s="6" t="inlineStr">
        <is>
          <t>26</t>
        </is>
      </c>
      <c r="D1550" s="5" t="inlineStr">
        <is>
          <t>Single</t>
        </is>
      </c>
      <c r="E1550" s="5" t="inlineStr">
        <is>
          <t>High School</t>
        </is>
      </c>
      <c r="F1550" s="5" t="inlineStr">
        <is>
          <t>Human Resources</t>
        </is>
      </c>
      <c r="G1550" s="5" t="inlineStr">
        <is>
          <t>HR Generalist</t>
        </is>
      </c>
      <c r="H1550" s="5" t="inlineStr">
        <is>
          <t>1</t>
        </is>
      </c>
      <c r="I1550" s="5" t="inlineStr">
        <is>
          <t>Chennai</t>
        </is>
      </c>
      <c r="J1550" s="5" t="inlineStr">
        <is>
          <t>Full-Time</t>
        </is>
      </c>
      <c r="K1550" s="7" t="n">
        <v>45866</v>
      </c>
      <c r="L1550" s="7" t="inlineStr"/>
      <c r="M1550" s="5" t="inlineStr">
        <is>
          <t>Yes</t>
        </is>
      </c>
      <c r="N1550" s="5" t="inlineStr"/>
      <c r="O1550" s="8" t="inlineStr">
        <is>
          <t>78500</t>
        </is>
      </c>
      <c r="P1550" s="5" t="inlineStr">
        <is>
          <t>5</t>
        </is>
      </c>
      <c r="Q1550" s="5" t="inlineStr">
        <is>
          <t>4</t>
        </is>
      </c>
      <c r="R1550" s="5" t="inlineStr">
        <is>
          <t>6</t>
        </is>
      </c>
      <c r="S1550" s="5" t="inlineStr">
        <is>
          <t>5</t>
        </is>
      </c>
      <c r="T1550" s="5" t="inlineStr">
        <is>
          <t>6</t>
        </is>
      </c>
      <c r="U1550" s="5">
        <f>IFS(C1550&lt;30,"Under 30",C1550&lt;40,"30-39",C1550&lt;50,"40-49",TRUE,"50+")</f>
        <v/>
      </c>
      <c r="V1550" s="5">
        <f>IFS(O1550&lt;60000,"Low (&lt;60k)",O1550&lt;100000,"Mid (60-100k)",TRUE,"High (100k+)")</f>
        <v/>
      </c>
      <c r="W1550" s="5">
        <f>IF(M1550="No","Attrited","Active")</f>
        <v/>
      </c>
    </row>
    <row r="1551">
      <c r="A1551" s="5" t="inlineStr">
        <is>
          <t>E01550</t>
        </is>
      </c>
      <c r="B1551" s="5" t="inlineStr">
        <is>
          <t>Female</t>
        </is>
      </c>
      <c r="C1551" s="6" t="inlineStr">
        <is>
          <t>38</t>
        </is>
      </c>
      <c r="D1551" s="5" t="inlineStr">
        <is>
          <t>Married</t>
        </is>
      </c>
      <c r="E1551" s="5" t="inlineStr">
        <is>
          <t>Bachelor</t>
        </is>
      </c>
      <c r="F1551" s="5" t="inlineStr">
        <is>
          <t>Operations</t>
        </is>
      </c>
      <c r="G1551" s="5" t="inlineStr">
        <is>
          <t>Quality Analyst</t>
        </is>
      </c>
      <c r="H1551" s="5" t="inlineStr">
        <is>
          <t>6</t>
        </is>
      </c>
      <c r="I1551" s="5" t="inlineStr">
        <is>
          <t>Hyderabad</t>
        </is>
      </c>
      <c r="J1551" s="5" t="inlineStr">
        <is>
          <t>Full-Time</t>
        </is>
      </c>
      <c r="K1551" s="7" t="n">
        <v>45773</v>
      </c>
      <c r="L1551" s="7" t="inlineStr"/>
      <c r="M1551" s="5" t="inlineStr">
        <is>
          <t>Yes</t>
        </is>
      </c>
      <c r="N1551" s="5" t="inlineStr"/>
      <c r="O1551" s="8" t="inlineStr">
        <is>
          <t>134000</t>
        </is>
      </c>
      <c r="P1551" s="5" t="inlineStr">
        <is>
          <t>10</t>
        </is>
      </c>
      <c r="Q1551" s="5" t="inlineStr">
        <is>
          <t>4</t>
        </is>
      </c>
      <c r="R1551" s="5" t="inlineStr">
        <is>
          <t>4</t>
        </is>
      </c>
      <c r="S1551" s="5" t="inlineStr">
        <is>
          <t>8</t>
        </is>
      </c>
      <c r="T1551" s="5" t="inlineStr">
        <is>
          <t>5</t>
        </is>
      </c>
      <c r="U1551" s="5">
        <f>IFS(C1551&lt;30,"Under 30",C1551&lt;40,"30-39",C1551&lt;50,"40-49",TRUE,"50+")</f>
        <v/>
      </c>
      <c r="V1551" s="5">
        <f>IFS(O1551&lt;60000,"Low (&lt;60k)",O1551&lt;100000,"Mid (60-100k)",TRUE,"High (100k+)")</f>
        <v/>
      </c>
      <c r="W1551" s="5">
        <f>IF(M1551="No","Attrited","Active")</f>
        <v/>
      </c>
    </row>
    <row r="1552">
      <c r="A1552" s="5" t="inlineStr">
        <is>
          <t>E01551</t>
        </is>
      </c>
      <c r="B1552" s="5" t="inlineStr">
        <is>
          <t>Female</t>
        </is>
      </c>
      <c r="C1552" s="6" t="inlineStr">
        <is>
          <t>30</t>
        </is>
      </c>
      <c r="D1552" s="5" t="inlineStr">
        <is>
          <t>Divorced</t>
        </is>
      </c>
      <c r="E1552" s="5" t="inlineStr">
        <is>
          <t>Diploma</t>
        </is>
      </c>
      <c r="F1552" s="5" t="inlineStr">
        <is>
          <t>Customer Support</t>
        </is>
      </c>
      <c r="G1552" s="5" t="inlineStr">
        <is>
          <t>Support Lead</t>
        </is>
      </c>
      <c r="H1552" s="5" t="inlineStr">
        <is>
          <t>2</t>
        </is>
      </c>
      <c r="I1552" s="5" t="inlineStr">
        <is>
          <t>Chennai</t>
        </is>
      </c>
      <c r="J1552" s="5" t="inlineStr">
        <is>
          <t>Full-Time</t>
        </is>
      </c>
      <c r="K1552" s="7" t="n">
        <v>45566</v>
      </c>
      <c r="L1552" s="7" t="n">
        <v>45696</v>
      </c>
      <c r="M1552" s="5" t="inlineStr">
        <is>
          <t>No</t>
        </is>
      </c>
      <c r="N1552" s="5" t="inlineStr">
        <is>
          <t>Retirement</t>
        </is>
      </c>
      <c r="O1552" s="8" t="inlineStr">
        <is>
          <t>49500</t>
        </is>
      </c>
      <c r="P1552" s="5" t="inlineStr">
        <is>
          <t>0</t>
        </is>
      </c>
      <c r="Q1552" s="5" t="inlineStr">
        <is>
          <t>2</t>
        </is>
      </c>
      <c r="R1552" s="5" t="inlineStr">
        <is>
          <t>5</t>
        </is>
      </c>
      <c r="S1552" s="5" t="inlineStr">
        <is>
          <t>4</t>
        </is>
      </c>
      <c r="T1552" s="5" t="inlineStr">
        <is>
          <t>2</t>
        </is>
      </c>
      <c r="U1552" s="5">
        <f>IFS(C1552&lt;30,"Under 30",C1552&lt;40,"30-39",C1552&lt;50,"40-49",TRUE,"50+")</f>
        <v/>
      </c>
      <c r="V1552" s="5">
        <f>IFS(O1552&lt;60000,"Low (&lt;60k)",O1552&lt;100000,"Mid (60-100k)",TRUE,"High (100k+)")</f>
        <v/>
      </c>
      <c r="W1552" s="5">
        <f>IF(M1552="No","Attrited","Active")</f>
        <v/>
      </c>
    </row>
    <row r="1553">
      <c r="A1553" s="5" t="inlineStr">
        <is>
          <t>E01552</t>
        </is>
      </c>
      <c r="B1553" s="5" t="inlineStr">
        <is>
          <t>Female</t>
        </is>
      </c>
      <c r="C1553" s="6" t="inlineStr">
        <is>
          <t>24</t>
        </is>
      </c>
      <c r="D1553" s="5" t="inlineStr">
        <is>
          <t>Married</t>
        </is>
      </c>
      <c r="E1553" s="5" t="inlineStr">
        <is>
          <t>Bachelor</t>
        </is>
      </c>
      <c r="F1553" s="5" t="inlineStr">
        <is>
          <t>Sales</t>
        </is>
      </c>
      <c r="G1553" s="5" t="inlineStr">
        <is>
          <t>Business Development</t>
        </is>
      </c>
      <c r="H1553" s="5" t="inlineStr">
        <is>
          <t>1</t>
        </is>
      </c>
      <c r="I1553" s="5" t="inlineStr">
        <is>
          <t>Bengaluru</t>
        </is>
      </c>
      <c r="J1553" s="5" t="inlineStr">
        <is>
          <t>Part-Time</t>
        </is>
      </c>
      <c r="K1553" s="7" t="n">
        <v>45490</v>
      </c>
      <c r="L1553" s="7" t="n">
        <v>45568</v>
      </c>
      <c r="M1553" s="5" t="inlineStr">
        <is>
          <t>No</t>
        </is>
      </c>
      <c r="N1553" s="5" t="inlineStr">
        <is>
          <t>Resigned</t>
        </is>
      </c>
      <c r="O1553" s="8" t="inlineStr">
        <is>
          <t>103000</t>
        </is>
      </c>
      <c r="P1553" s="5" t="inlineStr">
        <is>
          <t>0</t>
        </is>
      </c>
      <c r="Q1553" s="5" t="inlineStr">
        <is>
          <t>3</t>
        </is>
      </c>
      <c r="R1553" s="5" t="inlineStr">
        <is>
          <t>6</t>
        </is>
      </c>
      <c r="S1553" s="5" t="inlineStr">
        <is>
          <t>2</t>
        </is>
      </c>
      <c r="T1553" s="5" t="inlineStr">
        <is>
          <t>15</t>
        </is>
      </c>
      <c r="U1553" s="5">
        <f>IFS(C1553&lt;30,"Under 30",C1553&lt;40,"30-39",C1553&lt;50,"40-49",TRUE,"50+")</f>
        <v/>
      </c>
      <c r="V1553" s="5">
        <f>IFS(O1553&lt;60000,"Low (&lt;60k)",O1553&lt;100000,"Mid (60-100k)",TRUE,"High (100k+)")</f>
        <v/>
      </c>
      <c r="W1553" s="5">
        <f>IF(M1553="No","Attrited","Active")</f>
        <v/>
      </c>
    </row>
    <row r="1554">
      <c r="A1554" s="5" t="inlineStr">
        <is>
          <t>E01553</t>
        </is>
      </c>
      <c r="B1554" s="5" t="inlineStr">
        <is>
          <t>Male</t>
        </is>
      </c>
      <c r="C1554" s="6" t="inlineStr">
        <is>
          <t>30</t>
        </is>
      </c>
      <c r="D1554" s="5" t="inlineStr">
        <is>
          <t>Single</t>
        </is>
      </c>
      <c r="E1554" s="5" t="inlineStr">
        <is>
          <t>PhD</t>
        </is>
      </c>
      <c r="F1554" s="5" t="inlineStr">
        <is>
          <t>Customer Support</t>
        </is>
      </c>
      <c r="G1554" s="5" t="inlineStr">
        <is>
          <t>Escalation Specialist</t>
        </is>
      </c>
      <c r="H1554" s="5" t="inlineStr">
        <is>
          <t>1</t>
        </is>
      </c>
      <c r="I1554" s="5" t="inlineStr">
        <is>
          <t>Hyderabad</t>
        </is>
      </c>
      <c r="J1554" s="5" t="inlineStr">
        <is>
          <t>Full-Time</t>
        </is>
      </c>
      <c r="K1554" s="7" t="n">
        <v>44901</v>
      </c>
      <c r="L1554" s="7" t="inlineStr"/>
      <c r="M1554" s="5" t="inlineStr">
        <is>
          <t>Yes</t>
        </is>
      </c>
      <c r="N1554" s="5" t="inlineStr"/>
      <c r="O1554" s="8" t="inlineStr">
        <is>
          <t>48000</t>
        </is>
      </c>
      <c r="P1554" s="5" t="inlineStr">
        <is>
          <t>0</t>
        </is>
      </c>
      <c r="Q1554" s="5" t="inlineStr">
        <is>
          <t>5</t>
        </is>
      </c>
      <c r="R1554" s="5" t="inlineStr">
        <is>
          <t>7</t>
        </is>
      </c>
      <c r="S1554" s="5" t="inlineStr">
        <is>
          <t>37</t>
        </is>
      </c>
      <c r="T1554" s="5" t="inlineStr">
        <is>
          <t>3</t>
        </is>
      </c>
      <c r="U1554" s="5">
        <f>IFS(C1554&lt;30,"Under 30",C1554&lt;40,"30-39",C1554&lt;50,"40-49",TRUE,"50+")</f>
        <v/>
      </c>
      <c r="V1554" s="5">
        <f>IFS(O1554&lt;60000,"Low (&lt;60k)",O1554&lt;100000,"Mid (60-100k)",TRUE,"High (100k+)")</f>
        <v/>
      </c>
      <c r="W1554" s="5">
        <f>IF(M1554="No","Attrited","Active")</f>
        <v/>
      </c>
    </row>
    <row r="1555">
      <c r="A1555" s="5" t="inlineStr">
        <is>
          <t>E01554</t>
        </is>
      </c>
      <c r="B1555" s="5" t="inlineStr">
        <is>
          <t>Female</t>
        </is>
      </c>
      <c r="C1555" s="6" t="inlineStr">
        <is>
          <t>39</t>
        </is>
      </c>
      <c r="D1555" s="5" t="inlineStr">
        <is>
          <t>Married</t>
        </is>
      </c>
      <c r="E1555" s="5" t="inlineStr">
        <is>
          <t>Bachelor</t>
        </is>
      </c>
      <c r="F1555" s="5" t="inlineStr">
        <is>
          <t>Research &amp; Development</t>
        </is>
      </c>
      <c r="G1555" s="5" t="inlineStr">
        <is>
          <t>Product Engineer</t>
        </is>
      </c>
      <c r="H1555" s="5" t="inlineStr">
        <is>
          <t>4</t>
        </is>
      </c>
      <c r="I1555" s="5" t="inlineStr">
        <is>
          <t>Remote</t>
        </is>
      </c>
      <c r="J1555" s="5" t="inlineStr">
        <is>
          <t>Full-Time</t>
        </is>
      </c>
      <c r="K1555" s="7" t="n">
        <v>44489</v>
      </c>
      <c r="L1555" s="7" t="inlineStr"/>
      <c r="M1555" s="5" t="inlineStr">
        <is>
          <t>Yes</t>
        </is>
      </c>
      <c r="N1555" s="5" t="inlineStr"/>
      <c r="O1555" s="8" t="inlineStr">
        <is>
          <t>227000</t>
        </is>
      </c>
      <c r="P1555" s="5" t="inlineStr">
        <is>
          <t>10</t>
        </is>
      </c>
      <c r="Q1555" s="5" t="inlineStr">
        <is>
          <t>3</t>
        </is>
      </c>
      <c r="R1555" s="5" t="inlineStr">
        <is>
          <t>5</t>
        </is>
      </c>
      <c r="S1555" s="5" t="inlineStr">
        <is>
          <t>51</t>
        </is>
      </c>
      <c r="T1555" s="5" t="inlineStr">
        <is>
          <t>5</t>
        </is>
      </c>
      <c r="U1555" s="5">
        <f>IFS(C1555&lt;30,"Under 30",C1555&lt;40,"30-39",C1555&lt;50,"40-49",TRUE,"50+")</f>
        <v/>
      </c>
      <c r="V1555" s="5">
        <f>IFS(O1555&lt;60000,"Low (&lt;60k)",O1555&lt;100000,"Mid (60-100k)",TRUE,"High (100k+)")</f>
        <v/>
      </c>
      <c r="W1555" s="5">
        <f>IF(M1555="No","Attrited","Active")</f>
        <v/>
      </c>
    </row>
    <row r="1556">
      <c r="A1556" s="5" t="inlineStr">
        <is>
          <t>E01555</t>
        </is>
      </c>
      <c r="B1556" s="5" t="inlineStr">
        <is>
          <t>Female</t>
        </is>
      </c>
      <c r="C1556" s="6" t="inlineStr">
        <is>
          <t>33</t>
        </is>
      </c>
      <c r="D1556" s="5" t="inlineStr">
        <is>
          <t>Married</t>
        </is>
      </c>
      <c r="E1556" s="5" t="inlineStr">
        <is>
          <t>Diploma</t>
        </is>
      </c>
      <c r="F1556" s="5" t="inlineStr">
        <is>
          <t>Human Resources</t>
        </is>
      </c>
      <c r="G1556" s="5" t="inlineStr">
        <is>
          <t>HR Analyst</t>
        </is>
      </c>
      <c r="H1556" s="5" t="inlineStr">
        <is>
          <t>3</t>
        </is>
      </c>
      <c r="I1556" s="5" t="inlineStr">
        <is>
          <t>Hyderabad</t>
        </is>
      </c>
      <c r="J1556" s="5" t="inlineStr">
        <is>
          <t>Full-Time</t>
        </is>
      </c>
      <c r="K1556" s="7" t="n">
        <v>46006</v>
      </c>
      <c r="L1556" s="7" t="inlineStr"/>
      <c r="M1556" s="5" t="inlineStr">
        <is>
          <t>Yes</t>
        </is>
      </c>
      <c r="N1556" s="5" t="inlineStr"/>
      <c r="O1556" s="8" t="inlineStr">
        <is>
          <t>93500</t>
        </is>
      </c>
      <c r="P1556" s="5" t="inlineStr">
        <is>
          <t>0</t>
        </is>
      </c>
      <c r="Q1556" s="5" t="inlineStr">
        <is>
          <t>5</t>
        </is>
      </c>
      <c r="R1556" s="5" t="inlineStr">
        <is>
          <t>9</t>
        </is>
      </c>
      <c r="S1556" s="5" t="inlineStr">
        <is>
          <t>1</t>
        </is>
      </c>
      <c r="T1556" s="5" t="inlineStr">
        <is>
          <t>2</t>
        </is>
      </c>
      <c r="U1556" s="5">
        <f>IFS(C1556&lt;30,"Under 30",C1556&lt;40,"30-39",C1556&lt;50,"40-49",TRUE,"50+")</f>
        <v/>
      </c>
      <c r="V1556" s="5">
        <f>IFS(O1556&lt;60000,"Low (&lt;60k)",O1556&lt;100000,"Mid (60-100k)",TRUE,"High (100k+)")</f>
        <v/>
      </c>
      <c r="W1556" s="5">
        <f>IF(M1556="No","Attrited","Active")</f>
        <v/>
      </c>
    </row>
    <row r="1557">
      <c r="A1557" s="5" t="inlineStr">
        <is>
          <t>E01556</t>
        </is>
      </c>
      <c r="B1557" s="5" t="inlineStr">
        <is>
          <t>Male</t>
        </is>
      </c>
      <c r="C1557" s="6" t="inlineStr">
        <is>
          <t>27</t>
        </is>
      </c>
      <c r="D1557" s="5" t="inlineStr">
        <is>
          <t>Divorced</t>
        </is>
      </c>
      <c r="E1557" s="5" t="inlineStr">
        <is>
          <t>PhD</t>
        </is>
      </c>
      <c r="F1557" s="5" t="inlineStr">
        <is>
          <t>Marketing</t>
        </is>
      </c>
      <c r="G1557" s="5" t="inlineStr">
        <is>
          <t>Content Writer</t>
        </is>
      </c>
      <c r="H1557" s="5" t="inlineStr">
        <is>
          <t>1</t>
        </is>
      </c>
      <c r="I1557" s="5" t="inlineStr">
        <is>
          <t>Remote</t>
        </is>
      </c>
      <c r="J1557" s="5" t="inlineStr">
        <is>
          <t>Full-Time</t>
        </is>
      </c>
      <c r="K1557" s="7" t="n">
        <v>44174</v>
      </c>
      <c r="L1557" s="7" t="n">
        <v>44258</v>
      </c>
      <c r="M1557" s="5" t="inlineStr">
        <is>
          <t>No</t>
        </is>
      </c>
      <c r="N1557" s="5" t="inlineStr">
        <is>
          <t>Resigned</t>
        </is>
      </c>
      <c r="O1557" s="8" t="inlineStr">
        <is>
          <t>56000</t>
        </is>
      </c>
      <c r="P1557" s="5" t="inlineStr">
        <is>
          <t>15</t>
        </is>
      </c>
      <c r="Q1557" s="5" t="inlineStr">
        <is>
          <t>3</t>
        </is>
      </c>
      <c r="R1557" s="5" t="inlineStr">
        <is>
          <t>3</t>
        </is>
      </c>
      <c r="S1557" s="5" t="inlineStr">
        <is>
          <t>2</t>
        </is>
      </c>
      <c r="T1557" s="5" t="inlineStr">
        <is>
          <t>1</t>
        </is>
      </c>
      <c r="U1557" s="5">
        <f>IFS(C1557&lt;30,"Under 30",C1557&lt;40,"30-39",C1557&lt;50,"40-49",TRUE,"50+")</f>
        <v/>
      </c>
      <c r="V1557" s="5">
        <f>IFS(O1557&lt;60000,"Low (&lt;60k)",O1557&lt;100000,"Mid (60-100k)",TRUE,"High (100k+)")</f>
        <v/>
      </c>
      <c r="W1557" s="5">
        <f>IF(M1557="No","Attrited","Active")</f>
        <v/>
      </c>
    </row>
    <row r="1558">
      <c r="A1558" s="5" t="inlineStr">
        <is>
          <t>E01557</t>
        </is>
      </c>
      <c r="B1558" s="5" t="inlineStr">
        <is>
          <t>Female</t>
        </is>
      </c>
      <c r="C1558" s="6" t="inlineStr">
        <is>
          <t>31</t>
        </is>
      </c>
      <c r="D1558" s="5" t="inlineStr">
        <is>
          <t>Married</t>
        </is>
      </c>
      <c r="E1558" s="5" t="inlineStr">
        <is>
          <t>Bachelor</t>
        </is>
      </c>
      <c r="F1558" s="5" t="inlineStr">
        <is>
          <t>Sales</t>
        </is>
      </c>
      <c r="G1558" s="5" t="inlineStr">
        <is>
          <t>Sales Executive</t>
        </is>
      </c>
      <c r="H1558" s="5" t="inlineStr">
        <is>
          <t>5</t>
        </is>
      </c>
      <c r="I1558" s="5" t="inlineStr">
        <is>
          <t>Mumbai</t>
        </is>
      </c>
      <c r="J1558" s="5" t="inlineStr">
        <is>
          <t>Contract</t>
        </is>
      </c>
      <c r="K1558" s="7" t="n">
        <v>45779</v>
      </c>
      <c r="L1558" s="7" t="inlineStr"/>
      <c r="M1558" s="5" t="inlineStr">
        <is>
          <t>Yes</t>
        </is>
      </c>
      <c r="N1558" s="5" t="inlineStr"/>
      <c r="O1558" s="8" t="inlineStr">
        <is>
          <t>137500</t>
        </is>
      </c>
      <c r="P1558" s="5" t="inlineStr">
        <is>
          <t>0</t>
        </is>
      </c>
      <c r="Q1558" s="5" t="inlineStr">
        <is>
          <t>4</t>
        </is>
      </c>
      <c r="R1558" s="5" t="inlineStr">
        <is>
          <t>9</t>
        </is>
      </c>
      <c r="S1558" s="5" t="inlineStr">
        <is>
          <t>8</t>
        </is>
      </c>
      <c r="T1558" s="5" t="inlineStr">
        <is>
          <t>3</t>
        </is>
      </c>
      <c r="U1558" s="5">
        <f>IFS(C1558&lt;30,"Under 30",C1558&lt;40,"30-39",C1558&lt;50,"40-49",TRUE,"50+")</f>
        <v/>
      </c>
      <c r="V1558" s="5">
        <f>IFS(O1558&lt;60000,"Low (&lt;60k)",O1558&lt;100000,"Mid (60-100k)",TRUE,"High (100k+)")</f>
        <v/>
      </c>
      <c r="W1558" s="5">
        <f>IF(M1558="No","Attrited","Active")</f>
        <v/>
      </c>
    </row>
    <row r="1559">
      <c r="A1559" s="5" t="inlineStr">
        <is>
          <t>E01558</t>
        </is>
      </c>
      <c r="B1559" s="5" t="inlineStr">
        <is>
          <t>Male</t>
        </is>
      </c>
      <c r="C1559" s="6" t="inlineStr">
        <is>
          <t>26</t>
        </is>
      </c>
      <c r="D1559" s="5" t="inlineStr">
        <is>
          <t>Married</t>
        </is>
      </c>
      <c r="E1559" s="5" t="inlineStr">
        <is>
          <t>Bachelor</t>
        </is>
      </c>
      <c r="F1559" s="5" t="inlineStr">
        <is>
          <t>Customer Support</t>
        </is>
      </c>
      <c r="G1559" s="5" t="inlineStr">
        <is>
          <t>Escalation Specialist</t>
        </is>
      </c>
      <c r="H1559" s="5" t="inlineStr">
        <is>
          <t>1</t>
        </is>
      </c>
      <c r="I1559" s="5" t="inlineStr">
        <is>
          <t>Remote</t>
        </is>
      </c>
      <c r="J1559" s="5" t="inlineStr">
        <is>
          <t>Full-Time</t>
        </is>
      </c>
      <c r="K1559" s="7" t="n">
        <v>45048</v>
      </c>
      <c r="L1559" s="7" t="inlineStr"/>
      <c r="M1559" s="5" t="inlineStr">
        <is>
          <t>Yes</t>
        </is>
      </c>
      <c r="N1559" s="5" t="inlineStr"/>
      <c r="O1559" s="8" t="inlineStr">
        <is>
          <t>58500</t>
        </is>
      </c>
      <c r="P1559" s="5" t="inlineStr">
        <is>
          <t>0</t>
        </is>
      </c>
      <c r="Q1559" s="5" t="inlineStr">
        <is>
          <t>2</t>
        </is>
      </c>
      <c r="R1559" s="5" t="inlineStr">
        <is>
          <t>5</t>
        </is>
      </c>
      <c r="S1559" s="5" t="inlineStr">
        <is>
          <t>32</t>
        </is>
      </c>
      <c r="T1559" s="5" t="inlineStr">
        <is>
          <t>8</t>
        </is>
      </c>
      <c r="U1559" s="5">
        <f>IFS(C1559&lt;30,"Under 30",C1559&lt;40,"30-39",C1559&lt;50,"40-49",TRUE,"50+")</f>
        <v/>
      </c>
      <c r="V1559" s="5">
        <f>IFS(O1559&lt;60000,"Low (&lt;60k)",O1559&lt;100000,"Mid (60-100k)",TRUE,"High (100k+)")</f>
        <v/>
      </c>
      <c r="W1559" s="5">
        <f>IF(M1559="No","Attrited","Active")</f>
        <v/>
      </c>
    </row>
    <row r="1560">
      <c r="A1560" s="5" t="inlineStr">
        <is>
          <t>E01559</t>
        </is>
      </c>
      <c r="B1560" s="5" t="inlineStr">
        <is>
          <t>Male</t>
        </is>
      </c>
      <c r="C1560" s="6" t="inlineStr">
        <is>
          <t>32</t>
        </is>
      </c>
      <c r="D1560" s="5" t="inlineStr">
        <is>
          <t>Single</t>
        </is>
      </c>
      <c r="E1560" s="5" t="inlineStr">
        <is>
          <t>Bachelor</t>
        </is>
      </c>
      <c r="F1560" s="5" t="inlineStr">
        <is>
          <t>Customer Support</t>
        </is>
      </c>
      <c r="G1560" s="5" t="inlineStr">
        <is>
          <t>Escalation Specialist</t>
        </is>
      </c>
      <c r="H1560" s="5" t="inlineStr">
        <is>
          <t>1</t>
        </is>
      </c>
      <c r="I1560" s="5" t="inlineStr">
        <is>
          <t>Bengaluru</t>
        </is>
      </c>
      <c r="J1560" s="5" t="inlineStr">
        <is>
          <t>Full-Time</t>
        </is>
      </c>
      <c r="K1560" s="7" t="n">
        <v>44460</v>
      </c>
      <c r="L1560" s="7" t="inlineStr"/>
      <c r="M1560" s="5" t="inlineStr">
        <is>
          <t>Yes</t>
        </is>
      </c>
      <c r="N1560" s="5" t="inlineStr"/>
      <c r="O1560" s="8" t="inlineStr">
        <is>
          <t>72000</t>
        </is>
      </c>
      <c r="P1560" s="5" t="inlineStr">
        <is>
          <t>20</t>
        </is>
      </c>
      <c r="Q1560" s="5" t="inlineStr">
        <is>
          <t>5</t>
        </is>
      </c>
      <c r="R1560" s="5" t="inlineStr">
        <is>
          <t>6</t>
        </is>
      </c>
      <c r="S1560" s="5" t="inlineStr">
        <is>
          <t>52</t>
        </is>
      </c>
      <c r="T1560" s="5" t="inlineStr">
        <is>
          <t>10</t>
        </is>
      </c>
      <c r="U1560" s="5">
        <f>IFS(C1560&lt;30,"Under 30",C1560&lt;40,"30-39",C1560&lt;50,"40-49",TRUE,"50+")</f>
        <v/>
      </c>
      <c r="V1560" s="5">
        <f>IFS(O1560&lt;60000,"Low (&lt;60k)",O1560&lt;100000,"Mid (60-100k)",TRUE,"High (100k+)")</f>
        <v/>
      </c>
      <c r="W1560" s="5">
        <f>IF(M1560="No","Attrited","Active")</f>
        <v/>
      </c>
    </row>
    <row r="1561">
      <c r="A1561" s="5" t="inlineStr">
        <is>
          <t>E01560</t>
        </is>
      </c>
      <c r="B1561" s="5" t="inlineStr">
        <is>
          <t>Male</t>
        </is>
      </c>
      <c r="C1561" s="6" t="inlineStr">
        <is>
          <t>34</t>
        </is>
      </c>
      <c r="D1561" s="5" t="inlineStr">
        <is>
          <t>Married</t>
        </is>
      </c>
      <c r="E1561" s="5" t="inlineStr">
        <is>
          <t>Bachelor</t>
        </is>
      </c>
      <c r="F1561" s="5" t="inlineStr">
        <is>
          <t>Human Resources</t>
        </is>
      </c>
      <c r="G1561" s="5" t="inlineStr">
        <is>
          <t>Recruiter</t>
        </is>
      </c>
      <c r="H1561" s="5" t="inlineStr">
        <is>
          <t>2</t>
        </is>
      </c>
      <c r="I1561" s="5" t="inlineStr">
        <is>
          <t>Chennai</t>
        </is>
      </c>
      <c r="J1561" s="5" t="inlineStr">
        <is>
          <t>Full-Time</t>
        </is>
      </c>
      <c r="K1561" s="7" t="n">
        <v>45076</v>
      </c>
      <c r="L1561" s="7" t="inlineStr"/>
      <c r="M1561" s="5" t="inlineStr">
        <is>
          <t>Yes</t>
        </is>
      </c>
      <c r="N1561" s="5" t="inlineStr"/>
      <c r="O1561" s="8" t="inlineStr">
        <is>
          <t>89500</t>
        </is>
      </c>
      <c r="P1561" s="5" t="inlineStr">
        <is>
          <t>0</t>
        </is>
      </c>
      <c r="Q1561" s="5" t="inlineStr">
        <is>
          <t>5</t>
        </is>
      </c>
      <c r="R1561" s="5" t="inlineStr">
        <is>
          <t>5</t>
        </is>
      </c>
      <c r="S1561" s="5" t="inlineStr">
        <is>
          <t>31</t>
        </is>
      </c>
      <c r="T1561" s="5" t="inlineStr">
        <is>
          <t>12</t>
        </is>
      </c>
      <c r="U1561" s="5">
        <f>IFS(C1561&lt;30,"Under 30",C1561&lt;40,"30-39",C1561&lt;50,"40-49",TRUE,"50+")</f>
        <v/>
      </c>
      <c r="V1561" s="5">
        <f>IFS(O1561&lt;60000,"Low (&lt;60k)",O1561&lt;100000,"Mid (60-100k)",TRUE,"High (100k+)")</f>
        <v/>
      </c>
      <c r="W1561" s="5">
        <f>IF(M1561="No","Attrited","Active")</f>
        <v/>
      </c>
    </row>
    <row r="1562">
      <c r="A1562" s="5" t="inlineStr">
        <is>
          <t>E01561</t>
        </is>
      </c>
      <c r="B1562" s="5" t="inlineStr">
        <is>
          <t>Female</t>
        </is>
      </c>
      <c r="C1562" s="6" t="inlineStr">
        <is>
          <t>30</t>
        </is>
      </c>
      <c r="D1562" s="5" t="inlineStr">
        <is>
          <t>Single</t>
        </is>
      </c>
      <c r="E1562" s="5" t="inlineStr">
        <is>
          <t>High School</t>
        </is>
      </c>
      <c r="F1562" s="5" t="inlineStr">
        <is>
          <t>Marketing</t>
        </is>
      </c>
      <c r="G1562" s="5" t="inlineStr">
        <is>
          <t>SEO Specialist</t>
        </is>
      </c>
      <c r="H1562" s="5" t="inlineStr">
        <is>
          <t>2</t>
        </is>
      </c>
      <c r="I1562" s="5" t="inlineStr">
        <is>
          <t>Hyderabad</t>
        </is>
      </c>
      <c r="J1562" s="5" t="inlineStr">
        <is>
          <t>Full-Time</t>
        </is>
      </c>
      <c r="K1562" s="7" t="n">
        <v>43846</v>
      </c>
      <c r="L1562" s="7" t="inlineStr"/>
      <c r="M1562" s="5" t="inlineStr">
        <is>
          <t>Yes</t>
        </is>
      </c>
      <c r="N1562" s="5" t="inlineStr"/>
      <c r="O1562" s="8" t="inlineStr">
        <is>
          <t>64000</t>
        </is>
      </c>
      <c r="P1562" s="5" t="inlineStr">
        <is>
          <t>15</t>
        </is>
      </c>
      <c r="Q1562" s="5" t="inlineStr">
        <is>
          <t>3</t>
        </is>
      </c>
      <c r="R1562" s="5" t="inlineStr">
        <is>
          <t>7</t>
        </is>
      </c>
      <c r="S1562" s="5" t="inlineStr">
        <is>
          <t>72</t>
        </is>
      </c>
      <c r="T1562" s="5" t="inlineStr">
        <is>
          <t>6</t>
        </is>
      </c>
      <c r="U1562" s="5">
        <f>IFS(C1562&lt;30,"Under 30",C1562&lt;40,"30-39",C1562&lt;50,"40-49",TRUE,"50+")</f>
        <v/>
      </c>
      <c r="V1562" s="5">
        <f>IFS(O1562&lt;60000,"Low (&lt;60k)",O1562&lt;100000,"Mid (60-100k)",TRUE,"High (100k+)")</f>
        <v/>
      </c>
      <c r="W1562" s="5">
        <f>IF(M1562="No","Attrited","Active")</f>
        <v/>
      </c>
    </row>
    <row r="1563">
      <c r="A1563" s="5" t="inlineStr">
        <is>
          <t>E01562</t>
        </is>
      </c>
      <c r="B1563" s="5" t="inlineStr">
        <is>
          <t>Female</t>
        </is>
      </c>
      <c r="C1563" s="6" t="inlineStr">
        <is>
          <t>31</t>
        </is>
      </c>
      <c r="D1563" s="5" t="inlineStr">
        <is>
          <t>Married</t>
        </is>
      </c>
      <c r="E1563" s="5" t="inlineStr">
        <is>
          <t>Bachelor</t>
        </is>
      </c>
      <c r="F1563" s="5" t="inlineStr">
        <is>
          <t>Operations</t>
        </is>
      </c>
      <c r="G1563" s="5" t="inlineStr">
        <is>
          <t>Quality Analyst</t>
        </is>
      </c>
      <c r="H1563" s="5" t="inlineStr">
        <is>
          <t>2</t>
        </is>
      </c>
      <c r="I1563" s="5" t="inlineStr">
        <is>
          <t>Chennai</t>
        </is>
      </c>
      <c r="J1563" s="5" t="inlineStr">
        <is>
          <t>Full-Time</t>
        </is>
      </c>
      <c r="K1563" s="7" t="n">
        <v>45745</v>
      </c>
      <c r="L1563" s="7" t="n">
        <v>45861</v>
      </c>
      <c r="M1563" s="5" t="inlineStr">
        <is>
          <t>No</t>
        </is>
      </c>
      <c r="N1563" s="5" t="inlineStr">
        <is>
          <t>Resigned</t>
        </is>
      </c>
      <c r="O1563" s="8" t="inlineStr">
        <is>
          <t>102500</t>
        </is>
      </c>
      <c r="P1563" s="5" t="inlineStr">
        <is>
          <t>0</t>
        </is>
      </c>
      <c r="Q1563" s="5" t="inlineStr">
        <is>
          <t>4</t>
        </is>
      </c>
      <c r="R1563" s="5" t="inlineStr">
        <is>
          <t>5</t>
        </is>
      </c>
      <c r="S1563" s="5" t="inlineStr">
        <is>
          <t>3</t>
        </is>
      </c>
      <c r="T1563" s="5" t="inlineStr">
        <is>
          <t>3</t>
        </is>
      </c>
      <c r="U1563" s="5">
        <f>IFS(C1563&lt;30,"Under 30",C1563&lt;40,"30-39",C1563&lt;50,"40-49",TRUE,"50+")</f>
        <v/>
      </c>
      <c r="V1563" s="5">
        <f>IFS(O1563&lt;60000,"Low (&lt;60k)",O1563&lt;100000,"Mid (60-100k)",TRUE,"High (100k+)")</f>
        <v/>
      </c>
      <c r="W1563" s="5">
        <f>IF(M1563="No","Attrited","Active")</f>
        <v/>
      </c>
    </row>
    <row r="1564">
      <c r="A1564" s="5" t="inlineStr">
        <is>
          <t>E01563</t>
        </is>
      </c>
      <c r="B1564" s="5" t="inlineStr">
        <is>
          <t>Female</t>
        </is>
      </c>
      <c r="C1564" s="6" t="inlineStr">
        <is>
          <t>33</t>
        </is>
      </c>
      <c r="D1564" s="5" t="inlineStr">
        <is>
          <t>Married</t>
        </is>
      </c>
      <c r="E1564" s="5" t="inlineStr">
        <is>
          <t>High School</t>
        </is>
      </c>
      <c r="F1564" s="5" t="inlineStr">
        <is>
          <t>IT</t>
        </is>
      </c>
      <c r="G1564" s="5" t="inlineStr">
        <is>
          <t>DevOps Engineer</t>
        </is>
      </c>
      <c r="H1564" s="5" t="inlineStr">
        <is>
          <t>2</t>
        </is>
      </c>
      <c r="I1564" s="5" t="inlineStr">
        <is>
          <t>Bengaluru</t>
        </is>
      </c>
      <c r="J1564" s="5" t="inlineStr">
        <is>
          <t>Full-Time</t>
        </is>
      </c>
      <c r="K1564" s="7" t="n">
        <v>43836</v>
      </c>
      <c r="L1564" s="7" t="n">
        <v>43911</v>
      </c>
      <c r="M1564" s="5" t="inlineStr">
        <is>
          <t>No</t>
        </is>
      </c>
      <c r="N1564" s="5" t="inlineStr">
        <is>
          <t>Resigned</t>
        </is>
      </c>
      <c r="O1564" s="8" t="inlineStr">
        <is>
          <t>117500</t>
        </is>
      </c>
      <c r="P1564" s="5" t="inlineStr">
        <is>
          <t>0</t>
        </is>
      </c>
      <c r="Q1564" s="5" t="inlineStr">
        <is>
          <t>3</t>
        </is>
      </c>
      <c r="R1564" s="5" t="inlineStr">
        <is>
          <t>6</t>
        </is>
      </c>
      <c r="S1564" s="5" t="inlineStr">
        <is>
          <t>2</t>
        </is>
      </c>
      <c r="T1564" s="5" t="inlineStr">
        <is>
          <t>1</t>
        </is>
      </c>
      <c r="U1564" s="5">
        <f>IFS(C1564&lt;30,"Under 30",C1564&lt;40,"30-39",C1564&lt;50,"40-49",TRUE,"50+")</f>
        <v/>
      </c>
      <c r="V1564" s="5">
        <f>IFS(O1564&lt;60000,"Low (&lt;60k)",O1564&lt;100000,"Mid (60-100k)",TRUE,"High (100k+)")</f>
        <v/>
      </c>
      <c r="W1564" s="5">
        <f>IF(M1564="No","Attrited","Active")</f>
        <v/>
      </c>
    </row>
    <row r="1565">
      <c r="A1565" s="5" t="inlineStr">
        <is>
          <t>E01564</t>
        </is>
      </c>
      <c r="B1565" s="5" t="inlineStr">
        <is>
          <t>Female</t>
        </is>
      </c>
      <c r="C1565" s="6" t="inlineStr">
        <is>
          <t>41</t>
        </is>
      </c>
      <c r="D1565" s="5" t="inlineStr">
        <is>
          <t>Single</t>
        </is>
      </c>
      <c r="E1565" s="5" t="inlineStr">
        <is>
          <t>High School</t>
        </is>
      </c>
      <c r="F1565" s="5" t="inlineStr">
        <is>
          <t>Sales</t>
        </is>
      </c>
      <c r="G1565" s="5" t="inlineStr">
        <is>
          <t>Account Executive</t>
        </is>
      </c>
      <c r="H1565" s="5" t="inlineStr">
        <is>
          <t>7</t>
        </is>
      </c>
      <c r="I1565" s="5" t="inlineStr">
        <is>
          <t>Remote</t>
        </is>
      </c>
      <c r="J1565" s="5" t="inlineStr">
        <is>
          <t>Part-Time</t>
        </is>
      </c>
      <c r="K1565" s="7" t="n">
        <v>45373</v>
      </c>
      <c r="L1565" s="7" t="inlineStr"/>
      <c r="M1565" s="5" t="inlineStr">
        <is>
          <t>Yes</t>
        </is>
      </c>
      <c r="N1565" s="5" t="inlineStr"/>
      <c r="O1565" s="8" t="inlineStr">
        <is>
          <t>130500</t>
        </is>
      </c>
      <c r="P1565" s="5" t="inlineStr">
        <is>
          <t>15</t>
        </is>
      </c>
      <c r="Q1565" s="5" t="inlineStr">
        <is>
          <t>3</t>
        </is>
      </c>
      <c r="R1565" s="5" t="inlineStr">
        <is>
          <t>3</t>
        </is>
      </c>
      <c r="S1565" s="5" t="inlineStr">
        <is>
          <t>21</t>
        </is>
      </c>
      <c r="T1565" s="5" t="inlineStr">
        <is>
          <t>10</t>
        </is>
      </c>
      <c r="U1565" s="5">
        <f>IFS(C1565&lt;30,"Under 30",C1565&lt;40,"30-39",C1565&lt;50,"40-49",TRUE,"50+")</f>
        <v/>
      </c>
      <c r="V1565" s="5">
        <f>IFS(O1565&lt;60000,"Low (&lt;60k)",O1565&lt;100000,"Mid (60-100k)",TRUE,"High (100k+)")</f>
        <v/>
      </c>
      <c r="W1565" s="5">
        <f>IF(M1565="No","Attrited","Active")</f>
        <v/>
      </c>
    </row>
    <row r="1566">
      <c r="A1566" s="5" t="inlineStr">
        <is>
          <t>E01565</t>
        </is>
      </c>
      <c r="B1566" s="5" t="inlineStr">
        <is>
          <t>Male</t>
        </is>
      </c>
      <c r="C1566" s="6" t="inlineStr">
        <is>
          <t>30</t>
        </is>
      </c>
      <c r="D1566" s="5" t="inlineStr">
        <is>
          <t>Married</t>
        </is>
      </c>
      <c r="E1566" s="5" t="inlineStr">
        <is>
          <t>Master</t>
        </is>
      </c>
      <c r="F1566" s="5" t="inlineStr">
        <is>
          <t>Human Resources</t>
        </is>
      </c>
      <c r="G1566" s="5" t="inlineStr">
        <is>
          <t>HR Analyst</t>
        </is>
      </c>
      <c r="H1566" s="5" t="inlineStr">
        <is>
          <t>3</t>
        </is>
      </c>
      <c r="I1566" s="5" t="inlineStr">
        <is>
          <t>Mumbai</t>
        </is>
      </c>
      <c r="J1566" s="5" t="inlineStr">
        <is>
          <t>Full-Time</t>
        </is>
      </c>
      <c r="K1566" s="7" t="n">
        <v>45010</v>
      </c>
      <c r="L1566" s="7" t="inlineStr"/>
      <c r="M1566" s="5" t="inlineStr">
        <is>
          <t>Yes</t>
        </is>
      </c>
      <c r="N1566" s="5" t="inlineStr"/>
      <c r="O1566" s="8" t="inlineStr">
        <is>
          <t>109000</t>
        </is>
      </c>
      <c r="P1566" s="5" t="inlineStr">
        <is>
          <t>5</t>
        </is>
      </c>
      <c r="Q1566" s="5" t="inlineStr">
        <is>
          <t>3</t>
        </is>
      </c>
      <c r="R1566" s="5" t="inlineStr">
        <is>
          <t>9</t>
        </is>
      </c>
      <c r="S1566" s="5" t="inlineStr">
        <is>
          <t>33</t>
        </is>
      </c>
      <c r="T1566" s="5" t="inlineStr">
        <is>
          <t>1</t>
        </is>
      </c>
      <c r="U1566" s="5">
        <f>IFS(C1566&lt;30,"Under 30",C1566&lt;40,"30-39",C1566&lt;50,"40-49",TRUE,"50+")</f>
        <v/>
      </c>
      <c r="V1566" s="5">
        <f>IFS(O1566&lt;60000,"Low (&lt;60k)",O1566&lt;100000,"Mid (60-100k)",TRUE,"High (100k+)")</f>
        <v/>
      </c>
      <c r="W1566" s="5">
        <f>IF(M1566="No","Attrited","Active")</f>
        <v/>
      </c>
    </row>
    <row r="1567">
      <c r="A1567" s="5" t="inlineStr">
        <is>
          <t>E01566</t>
        </is>
      </c>
      <c r="B1567" s="5" t="inlineStr">
        <is>
          <t>Male</t>
        </is>
      </c>
      <c r="C1567" s="6" t="inlineStr">
        <is>
          <t>38</t>
        </is>
      </c>
      <c r="D1567" s="5" t="inlineStr">
        <is>
          <t>Married</t>
        </is>
      </c>
      <c r="E1567" s="5" t="inlineStr">
        <is>
          <t>Bachelor</t>
        </is>
      </c>
      <c r="F1567" s="5" t="inlineStr">
        <is>
          <t>Finance</t>
        </is>
      </c>
      <c r="G1567" s="5" t="inlineStr">
        <is>
          <t>Financial Analyst</t>
        </is>
      </c>
      <c r="H1567" s="5" t="inlineStr">
        <is>
          <t>4</t>
        </is>
      </c>
      <c r="I1567" s="5" t="inlineStr">
        <is>
          <t>Bengaluru</t>
        </is>
      </c>
      <c r="J1567" s="5" t="inlineStr">
        <is>
          <t>Full-Time</t>
        </is>
      </c>
      <c r="K1567" s="7" t="n">
        <v>44574</v>
      </c>
      <c r="L1567" s="7" t="n">
        <v>44665</v>
      </c>
      <c r="M1567" s="5" t="inlineStr">
        <is>
          <t>No</t>
        </is>
      </c>
      <c r="N1567" s="5" t="inlineStr">
        <is>
          <t>Resigned</t>
        </is>
      </c>
      <c r="O1567" s="8" t="inlineStr">
        <is>
          <t>113000</t>
        </is>
      </c>
      <c r="P1567" s="5" t="inlineStr">
        <is>
          <t>0</t>
        </is>
      </c>
      <c r="Q1567" s="5" t="inlineStr">
        <is>
          <t>4</t>
        </is>
      </c>
      <c r="R1567" s="5" t="inlineStr">
        <is>
          <t>2</t>
        </is>
      </c>
      <c r="S1567" s="5" t="inlineStr">
        <is>
          <t>3</t>
        </is>
      </c>
      <c r="T1567" s="5" t="inlineStr">
        <is>
          <t>2</t>
        </is>
      </c>
      <c r="U1567" s="5">
        <f>IFS(C1567&lt;30,"Under 30",C1567&lt;40,"30-39",C1567&lt;50,"40-49",TRUE,"50+")</f>
        <v/>
      </c>
      <c r="V1567" s="5">
        <f>IFS(O1567&lt;60000,"Low (&lt;60k)",O1567&lt;100000,"Mid (60-100k)",TRUE,"High (100k+)")</f>
        <v/>
      </c>
      <c r="W1567" s="5">
        <f>IF(M1567="No","Attrited","Active")</f>
        <v/>
      </c>
    </row>
    <row r="1568">
      <c r="A1568" s="5" t="inlineStr">
        <is>
          <t>E01567</t>
        </is>
      </c>
      <c r="B1568" s="5" t="inlineStr">
        <is>
          <t>Female</t>
        </is>
      </c>
      <c r="C1568" s="6" t="inlineStr">
        <is>
          <t>40</t>
        </is>
      </c>
      <c r="D1568" s="5" t="inlineStr">
        <is>
          <t>Married</t>
        </is>
      </c>
      <c r="E1568" s="5" t="inlineStr">
        <is>
          <t>High School</t>
        </is>
      </c>
      <c r="F1568" s="5" t="inlineStr">
        <is>
          <t>IT</t>
        </is>
      </c>
      <c r="G1568" s="5" t="inlineStr">
        <is>
          <t>Data Analyst</t>
        </is>
      </c>
      <c r="H1568" s="5" t="inlineStr">
        <is>
          <t>5</t>
        </is>
      </c>
      <c r="I1568" s="5" t="inlineStr">
        <is>
          <t>Mumbai</t>
        </is>
      </c>
      <c r="J1568" s="5" t="inlineStr">
        <is>
          <t>Full-Time</t>
        </is>
      </c>
      <c r="K1568" s="7" t="n">
        <v>43961</v>
      </c>
      <c r="L1568" s="7" t="inlineStr"/>
      <c r="M1568" s="5" t="inlineStr">
        <is>
          <t>Yes</t>
        </is>
      </c>
      <c r="N1568" s="5" t="inlineStr"/>
      <c r="O1568" s="8" t="inlineStr">
        <is>
          <t>229000</t>
        </is>
      </c>
      <c r="P1568" s="5" t="inlineStr">
        <is>
          <t>5</t>
        </is>
      </c>
      <c r="Q1568" s="5" t="inlineStr">
        <is>
          <t>4</t>
        </is>
      </c>
      <c r="R1568" s="5" t="inlineStr">
        <is>
          <t>5</t>
        </is>
      </c>
      <c r="S1568" s="5" t="inlineStr">
        <is>
          <t>68</t>
        </is>
      </c>
      <c r="T1568" s="5" t="inlineStr">
        <is>
          <t>0</t>
        </is>
      </c>
      <c r="U1568" s="5">
        <f>IFS(C1568&lt;30,"Under 30",C1568&lt;40,"30-39",C1568&lt;50,"40-49",TRUE,"50+")</f>
        <v/>
      </c>
      <c r="V1568" s="5">
        <f>IFS(O1568&lt;60000,"Low (&lt;60k)",O1568&lt;100000,"Mid (60-100k)",TRUE,"High (100k+)")</f>
        <v/>
      </c>
      <c r="W1568" s="5">
        <f>IF(M1568="No","Attrited","Active")</f>
        <v/>
      </c>
    </row>
    <row r="1569">
      <c r="A1569" s="5" t="inlineStr">
        <is>
          <t>E01568</t>
        </is>
      </c>
      <c r="B1569" s="5" t="inlineStr">
        <is>
          <t>Male</t>
        </is>
      </c>
      <c r="C1569" s="6" t="inlineStr">
        <is>
          <t>29</t>
        </is>
      </c>
      <c r="D1569" s="5" t="inlineStr">
        <is>
          <t>Married</t>
        </is>
      </c>
      <c r="E1569" s="5" t="inlineStr">
        <is>
          <t>Bachelor</t>
        </is>
      </c>
      <c r="F1569" s="5" t="inlineStr">
        <is>
          <t>Customer Support</t>
        </is>
      </c>
      <c r="G1569" s="5" t="inlineStr">
        <is>
          <t>Support Lead</t>
        </is>
      </c>
      <c r="H1569" s="5" t="inlineStr">
        <is>
          <t>2</t>
        </is>
      </c>
      <c r="I1569" s="5" t="inlineStr">
        <is>
          <t>Bengaluru</t>
        </is>
      </c>
      <c r="J1569" s="5" t="inlineStr">
        <is>
          <t>Full-Time</t>
        </is>
      </c>
      <c r="K1569" s="7" t="n">
        <v>45836</v>
      </c>
      <c r="L1569" s="7" t="inlineStr"/>
      <c r="M1569" s="5" t="inlineStr">
        <is>
          <t>Yes</t>
        </is>
      </c>
      <c r="N1569" s="5" t="inlineStr"/>
      <c r="O1569" s="8" t="inlineStr">
        <is>
          <t>72000</t>
        </is>
      </c>
      <c r="P1569" s="5" t="inlineStr">
        <is>
          <t>20</t>
        </is>
      </c>
      <c r="Q1569" s="5" t="inlineStr">
        <is>
          <t>3</t>
        </is>
      </c>
      <c r="R1569" s="5" t="inlineStr">
        <is>
          <t>3</t>
        </is>
      </c>
      <c r="S1569" s="5" t="inlineStr">
        <is>
          <t>6</t>
        </is>
      </c>
      <c r="T1569" s="5" t="inlineStr">
        <is>
          <t>7</t>
        </is>
      </c>
      <c r="U1569" s="5">
        <f>IFS(C1569&lt;30,"Under 30",C1569&lt;40,"30-39",C1569&lt;50,"40-49",TRUE,"50+")</f>
        <v/>
      </c>
      <c r="V1569" s="5">
        <f>IFS(O1569&lt;60000,"Low (&lt;60k)",O1569&lt;100000,"Mid (60-100k)",TRUE,"High (100k+)")</f>
        <v/>
      </c>
      <c r="W1569" s="5">
        <f>IF(M1569="No","Attrited","Active")</f>
        <v/>
      </c>
    </row>
    <row r="1570">
      <c r="A1570" s="5" t="inlineStr">
        <is>
          <t>E01569</t>
        </is>
      </c>
      <c r="B1570" s="5" t="inlineStr">
        <is>
          <t>Female</t>
        </is>
      </c>
      <c r="C1570" s="6" t="inlineStr">
        <is>
          <t>38</t>
        </is>
      </c>
      <c r="D1570" s="5" t="inlineStr">
        <is>
          <t>Single</t>
        </is>
      </c>
      <c r="E1570" s="5" t="inlineStr">
        <is>
          <t>Master</t>
        </is>
      </c>
      <c r="F1570" s="5" t="inlineStr">
        <is>
          <t>Research &amp; Development</t>
        </is>
      </c>
      <c r="G1570" s="5" t="inlineStr">
        <is>
          <t>Product Engineer</t>
        </is>
      </c>
      <c r="H1570" s="5" t="inlineStr">
        <is>
          <t>4</t>
        </is>
      </c>
      <c r="I1570" s="5" t="inlineStr">
        <is>
          <t>Bengaluru</t>
        </is>
      </c>
      <c r="J1570" s="5" t="inlineStr">
        <is>
          <t>Full-Time</t>
        </is>
      </c>
      <c r="K1570" s="7" t="n">
        <v>45261</v>
      </c>
      <c r="L1570" s="7" t="inlineStr"/>
      <c r="M1570" s="5" t="inlineStr">
        <is>
          <t>Yes</t>
        </is>
      </c>
      <c r="N1570" s="5" t="inlineStr"/>
      <c r="O1570" s="8" t="inlineStr">
        <is>
          <t>170000</t>
        </is>
      </c>
      <c r="P1570" s="5" t="inlineStr">
        <is>
          <t>15</t>
        </is>
      </c>
      <c r="Q1570" s="5" t="inlineStr">
        <is>
          <t>2</t>
        </is>
      </c>
      <c r="R1570" s="5" t="inlineStr">
        <is>
          <t>4</t>
        </is>
      </c>
      <c r="S1570" s="5" t="inlineStr">
        <is>
          <t>25</t>
        </is>
      </c>
      <c r="T1570" s="5" t="inlineStr">
        <is>
          <t>14</t>
        </is>
      </c>
      <c r="U1570" s="5">
        <f>IFS(C1570&lt;30,"Under 30",C1570&lt;40,"30-39",C1570&lt;50,"40-49",TRUE,"50+")</f>
        <v/>
      </c>
      <c r="V1570" s="5">
        <f>IFS(O1570&lt;60000,"Low (&lt;60k)",O1570&lt;100000,"Mid (60-100k)",TRUE,"High (100k+)")</f>
        <v/>
      </c>
      <c r="W1570" s="5">
        <f>IF(M1570="No","Attrited","Active")</f>
        <v/>
      </c>
    </row>
    <row r="1571">
      <c r="A1571" s="5" t="inlineStr">
        <is>
          <t>E01570</t>
        </is>
      </c>
      <c r="B1571" s="5" t="inlineStr">
        <is>
          <t>Male</t>
        </is>
      </c>
      <c r="C1571" s="6" t="inlineStr">
        <is>
          <t>23</t>
        </is>
      </c>
      <c r="D1571" s="5" t="inlineStr">
        <is>
          <t>Married</t>
        </is>
      </c>
      <c r="E1571" s="5" t="inlineStr">
        <is>
          <t>Diploma</t>
        </is>
      </c>
      <c r="F1571" s="5" t="inlineStr">
        <is>
          <t>Marketing</t>
        </is>
      </c>
      <c r="G1571" s="5" t="inlineStr">
        <is>
          <t>SEO Specialist</t>
        </is>
      </c>
      <c r="H1571" s="5" t="inlineStr">
        <is>
          <t>1</t>
        </is>
      </c>
      <c r="I1571" s="5" t="inlineStr">
        <is>
          <t>Bengaluru</t>
        </is>
      </c>
      <c r="J1571" s="5" t="inlineStr">
        <is>
          <t>Full-Time</t>
        </is>
      </c>
      <c r="K1571" s="7" t="n">
        <v>45374</v>
      </c>
      <c r="L1571" s="7" t="inlineStr"/>
      <c r="M1571" s="5" t="inlineStr">
        <is>
          <t>Yes</t>
        </is>
      </c>
      <c r="N1571" s="5" t="inlineStr"/>
      <c r="O1571" s="8" t="inlineStr">
        <is>
          <t>61500</t>
        </is>
      </c>
      <c r="P1571" s="5" t="inlineStr">
        <is>
          <t>10</t>
        </is>
      </c>
      <c r="Q1571" s="5" t="inlineStr">
        <is>
          <t>2</t>
        </is>
      </c>
      <c r="R1571" s="5" t="inlineStr">
        <is>
          <t>7</t>
        </is>
      </c>
      <c r="S1571" s="5" t="inlineStr">
        <is>
          <t>21</t>
        </is>
      </c>
      <c r="T1571" s="5" t="inlineStr">
        <is>
          <t>13</t>
        </is>
      </c>
      <c r="U1571" s="5">
        <f>IFS(C1571&lt;30,"Under 30",C1571&lt;40,"30-39",C1571&lt;50,"40-49",TRUE,"50+")</f>
        <v/>
      </c>
      <c r="V1571" s="5">
        <f>IFS(O1571&lt;60000,"Low (&lt;60k)",O1571&lt;100000,"Mid (60-100k)",TRUE,"High (100k+)")</f>
        <v/>
      </c>
      <c r="W1571" s="5">
        <f>IF(M1571="No","Attrited","Active")</f>
        <v/>
      </c>
    </row>
    <row r="1572">
      <c r="A1572" s="5" t="inlineStr">
        <is>
          <t>E01571</t>
        </is>
      </c>
      <c r="B1572" s="5" t="inlineStr">
        <is>
          <t>Female</t>
        </is>
      </c>
      <c r="C1572" s="6" t="inlineStr">
        <is>
          <t>28</t>
        </is>
      </c>
      <c r="D1572" s="5" t="inlineStr">
        <is>
          <t>Married</t>
        </is>
      </c>
      <c r="E1572" s="5" t="inlineStr">
        <is>
          <t>Bachelor</t>
        </is>
      </c>
      <c r="F1572" s="5" t="inlineStr">
        <is>
          <t>Finance</t>
        </is>
      </c>
      <c r="G1572" s="5" t="inlineStr">
        <is>
          <t>Accountant</t>
        </is>
      </c>
      <c r="H1572" s="5" t="inlineStr">
        <is>
          <t>3</t>
        </is>
      </c>
      <c r="I1572" s="5" t="inlineStr">
        <is>
          <t>Chennai</t>
        </is>
      </c>
      <c r="J1572" s="5" t="inlineStr">
        <is>
          <t>Full-Time</t>
        </is>
      </c>
      <c r="K1572" s="7" t="n">
        <v>44461</v>
      </c>
      <c r="L1572" s="7" t="inlineStr"/>
      <c r="M1572" s="5" t="inlineStr">
        <is>
          <t>Yes</t>
        </is>
      </c>
      <c r="N1572" s="5" t="inlineStr"/>
      <c r="O1572" s="8" t="inlineStr">
        <is>
          <t>139000</t>
        </is>
      </c>
      <c r="P1572" s="5" t="inlineStr">
        <is>
          <t>5</t>
        </is>
      </c>
      <c r="Q1572" s="5" t="inlineStr">
        <is>
          <t>3</t>
        </is>
      </c>
      <c r="R1572" s="5" t="inlineStr">
        <is>
          <t>6</t>
        </is>
      </c>
      <c r="S1572" s="5" t="inlineStr">
        <is>
          <t>52</t>
        </is>
      </c>
      <c r="T1572" s="5" t="inlineStr">
        <is>
          <t>6</t>
        </is>
      </c>
      <c r="U1572" s="5">
        <f>IFS(C1572&lt;30,"Under 30",C1572&lt;40,"30-39",C1572&lt;50,"40-49",TRUE,"50+")</f>
        <v/>
      </c>
      <c r="V1572" s="5">
        <f>IFS(O1572&lt;60000,"Low (&lt;60k)",O1572&lt;100000,"Mid (60-100k)",TRUE,"High (100k+)")</f>
        <v/>
      </c>
      <c r="W1572" s="5">
        <f>IF(M1572="No","Attrited","Active")</f>
        <v/>
      </c>
    </row>
    <row r="1573">
      <c r="A1573" s="5" t="inlineStr">
        <is>
          <t>E01572</t>
        </is>
      </c>
      <c r="B1573" s="5" t="inlineStr">
        <is>
          <t>Male</t>
        </is>
      </c>
      <c r="C1573" s="6" t="inlineStr">
        <is>
          <t>28</t>
        </is>
      </c>
      <c r="D1573" s="5" t="inlineStr">
        <is>
          <t>Married</t>
        </is>
      </c>
      <c r="E1573" s="5" t="inlineStr">
        <is>
          <t>High School</t>
        </is>
      </c>
      <c r="F1573" s="5" t="inlineStr">
        <is>
          <t>Human Resources</t>
        </is>
      </c>
      <c r="G1573" s="5" t="inlineStr">
        <is>
          <t>HR Generalist</t>
        </is>
      </c>
      <c r="H1573" s="5" t="inlineStr">
        <is>
          <t>2</t>
        </is>
      </c>
      <c r="I1573" s="5" t="inlineStr">
        <is>
          <t>Remote</t>
        </is>
      </c>
      <c r="J1573" s="5" t="inlineStr">
        <is>
          <t>Full-Time</t>
        </is>
      </c>
      <c r="K1573" s="7" t="n">
        <v>45311</v>
      </c>
      <c r="L1573" s="7" t="inlineStr"/>
      <c r="M1573" s="5" t="inlineStr">
        <is>
          <t>Yes</t>
        </is>
      </c>
      <c r="N1573" s="5" t="inlineStr"/>
      <c r="O1573" s="8" t="inlineStr">
        <is>
          <t>97500</t>
        </is>
      </c>
      <c r="P1573" s="5" t="inlineStr">
        <is>
          <t>0</t>
        </is>
      </c>
      <c r="Q1573" s="5" t="inlineStr">
        <is>
          <t>3</t>
        </is>
      </c>
      <c r="R1573" s="5" t="inlineStr">
        <is>
          <t>4</t>
        </is>
      </c>
      <c r="S1573" s="5" t="inlineStr">
        <is>
          <t>23</t>
        </is>
      </c>
      <c r="T1573" s="5" t="inlineStr">
        <is>
          <t>0</t>
        </is>
      </c>
      <c r="U1573" s="5">
        <f>IFS(C1573&lt;30,"Under 30",C1573&lt;40,"30-39",C1573&lt;50,"40-49",TRUE,"50+")</f>
        <v/>
      </c>
      <c r="V1573" s="5">
        <f>IFS(O1573&lt;60000,"Low (&lt;60k)",O1573&lt;100000,"Mid (60-100k)",TRUE,"High (100k+)")</f>
        <v/>
      </c>
      <c r="W1573" s="5">
        <f>IF(M1573="No","Attrited","Active")</f>
        <v/>
      </c>
    </row>
    <row r="1574">
      <c r="A1574" s="5" t="inlineStr">
        <is>
          <t>E01573</t>
        </is>
      </c>
      <c r="B1574" s="5" t="inlineStr">
        <is>
          <t>Male</t>
        </is>
      </c>
      <c r="C1574" s="6" t="inlineStr">
        <is>
          <t>32</t>
        </is>
      </c>
      <c r="D1574" s="5" t="inlineStr">
        <is>
          <t>Married</t>
        </is>
      </c>
      <c r="E1574" s="5" t="inlineStr">
        <is>
          <t>PhD</t>
        </is>
      </c>
      <c r="F1574" s="5" t="inlineStr">
        <is>
          <t>IT</t>
        </is>
      </c>
      <c r="G1574" s="5" t="inlineStr">
        <is>
          <t>IT Support</t>
        </is>
      </c>
      <c r="H1574" s="5" t="inlineStr">
        <is>
          <t>1</t>
        </is>
      </c>
      <c r="I1574" s="5" t="inlineStr">
        <is>
          <t>Delhi</t>
        </is>
      </c>
      <c r="J1574" s="5" t="inlineStr">
        <is>
          <t>Contract</t>
        </is>
      </c>
      <c r="K1574" s="7" t="n">
        <v>43976</v>
      </c>
      <c r="L1574" s="7" t="n">
        <v>44078</v>
      </c>
      <c r="M1574" s="5" t="inlineStr">
        <is>
          <t>No</t>
        </is>
      </c>
      <c r="N1574" s="5" t="inlineStr">
        <is>
          <t>Performance / Termination</t>
        </is>
      </c>
      <c r="O1574" s="8" t="inlineStr">
        <is>
          <t>121000</t>
        </is>
      </c>
      <c r="P1574" s="5" t="inlineStr">
        <is>
          <t>10</t>
        </is>
      </c>
      <c r="Q1574" s="5" t="inlineStr">
        <is>
          <t>1</t>
        </is>
      </c>
      <c r="R1574" s="5" t="inlineStr">
        <is>
          <t>4</t>
        </is>
      </c>
      <c r="S1574" s="5" t="inlineStr">
        <is>
          <t>3</t>
        </is>
      </c>
      <c r="T1574" s="5" t="inlineStr">
        <is>
          <t>5</t>
        </is>
      </c>
      <c r="U1574" s="5">
        <f>IFS(C1574&lt;30,"Under 30",C1574&lt;40,"30-39",C1574&lt;50,"40-49",TRUE,"50+")</f>
        <v/>
      </c>
      <c r="V1574" s="5">
        <f>IFS(O1574&lt;60000,"Low (&lt;60k)",O1574&lt;100000,"Mid (60-100k)",TRUE,"High (100k+)")</f>
        <v/>
      </c>
      <c r="W1574" s="5">
        <f>IF(M1574="No","Attrited","Active")</f>
        <v/>
      </c>
    </row>
    <row r="1575">
      <c r="A1575" s="5" t="inlineStr">
        <is>
          <t>E01574</t>
        </is>
      </c>
      <c r="B1575" s="5" t="inlineStr">
        <is>
          <t>Female</t>
        </is>
      </c>
      <c r="C1575" s="6" t="inlineStr">
        <is>
          <t>23</t>
        </is>
      </c>
      <c r="D1575" s="5" t="inlineStr">
        <is>
          <t>Married</t>
        </is>
      </c>
      <c r="E1575" s="5" t="inlineStr">
        <is>
          <t>Diploma</t>
        </is>
      </c>
      <c r="F1575" s="5" t="inlineStr">
        <is>
          <t>Human Resources</t>
        </is>
      </c>
      <c r="G1575" s="5" t="inlineStr">
        <is>
          <t>Recruiter</t>
        </is>
      </c>
      <c r="H1575" s="5" t="inlineStr">
        <is>
          <t>1</t>
        </is>
      </c>
      <c r="I1575" s="5" t="inlineStr">
        <is>
          <t>Remote</t>
        </is>
      </c>
      <c r="J1575" s="5" t="inlineStr">
        <is>
          <t>Full-Time</t>
        </is>
      </c>
      <c r="K1575" s="7" t="n">
        <v>44994</v>
      </c>
      <c r="L1575" s="7" t="inlineStr"/>
      <c r="M1575" s="5" t="inlineStr">
        <is>
          <t>Yes</t>
        </is>
      </c>
      <c r="N1575" s="5" t="inlineStr"/>
      <c r="O1575" s="8" t="inlineStr">
        <is>
          <t>90500</t>
        </is>
      </c>
      <c r="P1575" s="5" t="inlineStr">
        <is>
          <t>0</t>
        </is>
      </c>
      <c r="Q1575" s="5" t="inlineStr">
        <is>
          <t>4</t>
        </is>
      </c>
      <c r="R1575" s="5" t="inlineStr">
        <is>
          <t>8</t>
        </is>
      </c>
      <c r="S1575" s="5" t="inlineStr">
        <is>
          <t>34</t>
        </is>
      </c>
      <c r="T1575" s="5" t="inlineStr">
        <is>
          <t>16</t>
        </is>
      </c>
      <c r="U1575" s="5">
        <f>IFS(C1575&lt;30,"Under 30",C1575&lt;40,"30-39",C1575&lt;50,"40-49",TRUE,"50+")</f>
        <v/>
      </c>
      <c r="V1575" s="5">
        <f>IFS(O1575&lt;60000,"Low (&lt;60k)",O1575&lt;100000,"Mid (60-100k)",TRUE,"High (100k+)")</f>
        <v/>
      </c>
      <c r="W1575" s="5">
        <f>IF(M1575="No","Attrited","Active")</f>
        <v/>
      </c>
    </row>
    <row r="1576">
      <c r="A1576" s="5" t="inlineStr">
        <is>
          <t>E01575</t>
        </is>
      </c>
      <c r="B1576" s="5" t="inlineStr">
        <is>
          <t>Male</t>
        </is>
      </c>
      <c r="C1576" s="6" t="inlineStr">
        <is>
          <t>42</t>
        </is>
      </c>
      <c r="D1576" s="5" t="inlineStr">
        <is>
          <t>Married</t>
        </is>
      </c>
      <c r="E1576" s="5" t="inlineStr">
        <is>
          <t>Diploma</t>
        </is>
      </c>
      <c r="F1576" s="5" t="inlineStr">
        <is>
          <t>Sales</t>
        </is>
      </c>
      <c r="G1576" s="5" t="inlineStr">
        <is>
          <t>Business Development</t>
        </is>
      </c>
      <c r="H1576" s="5" t="inlineStr">
        <is>
          <t>7</t>
        </is>
      </c>
      <c r="I1576" s="5" t="inlineStr">
        <is>
          <t>Chennai</t>
        </is>
      </c>
      <c r="J1576" s="5" t="inlineStr">
        <is>
          <t>Full-Time</t>
        </is>
      </c>
      <c r="K1576" s="7" t="n">
        <v>43859</v>
      </c>
      <c r="L1576" s="7" t="inlineStr"/>
      <c r="M1576" s="5" t="inlineStr">
        <is>
          <t>Yes</t>
        </is>
      </c>
      <c r="N1576" s="5" t="inlineStr"/>
      <c r="O1576" s="8" t="inlineStr">
        <is>
          <t>116000</t>
        </is>
      </c>
      <c r="P1576" s="5" t="inlineStr">
        <is>
          <t>5</t>
        </is>
      </c>
      <c r="Q1576" s="5" t="inlineStr">
        <is>
          <t>2</t>
        </is>
      </c>
      <c r="R1576" s="5" t="inlineStr">
        <is>
          <t>6</t>
        </is>
      </c>
      <c r="S1576" s="5" t="inlineStr">
        <is>
          <t>72</t>
        </is>
      </c>
      <c r="T1576" s="5" t="inlineStr">
        <is>
          <t>0</t>
        </is>
      </c>
      <c r="U1576" s="5">
        <f>IFS(C1576&lt;30,"Under 30",C1576&lt;40,"30-39",C1576&lt;50,"40-49",TRUE,"50+")</f>
        <v/>
      </c>
      <c r="V1576" s="5">
        <f>IFS(O1576&lt;60000,"Low (&lt;60k)",O1576&lt;100000,"Mid (60-100k)",TRUE,"High (100k+)")</f>
        <v/>
      </c>
      <c r="W1576" s="5">
        <f>IF(M1576="No","Attrited","Active")</f>
        <v/>
      </c>
    </row>
    <row r="1577">
      <c r="A1577" s="5" t="inlineStr">
        <is>
          <t>E01576</t>
        </is>
      </c>
      <c r="B1577" s="5" t="inlineStr">
        <is>
          <t>Male</t>
        </is>
      </c>
      <c r="C1577" s="6" t="inlineStr">
        <is>
          <t>30</t>
        </is>
      </c>
      <c r="D1577" s="5" t="inlineStr">
        <is>
          <t>Divorced</t>
        </is>
      </c>
      <c r="E1577" s="5" t="inlineStr">
        <is>
          <t>Bachelor</t>
        </is>
      </c>
      <c r="F1577" s="5" t="inlineStr">
        <is>
          <t>Customer Support</t>
        </is>
      </c>
      <c r="G1577" s="5" t="inlineStr">
        <is>
          <t>Support Lead</t>
        </is>
      </c>
      <c r="H1577" s="5" t="inlineStr">
        <is>
          <t>1</t>
        </is>
      </c>
      <c r="I1577" s="5" t="inlineStr">
        <is>
          <t>Remote</t>
        </is>
      </c>
      <c r="J1577" s="5" t="inlineStr">
        <is>
          <t>Full-Time</t>
        </is>
      </c>
      <c r="K1577" s="7" t="n">
        <v>44111</v>
      </c>
      <c r="L1577" s="7" t="n">
        <v>44170</v>
      </c>
      <c r="M1577" s="5" t="inlineStr">
        <is>
          <t>No</t>
        </is>
      </c>
      <c r="N1577" s="5" t="inlineStr">
        <is>
          <t>Resigned</t>
        </is>
      </c>
      <c r="O1577" s="8" t="inlineStr">
        <is>
          <t>63000</t>
        </is>
      </c>
      <c r="P1577" s="5" t="inlineStr">
        <is>
          <t>5</t>
        </is>
      </c>
      <c r="Q1577" s="5" t="inlineStr">
        <is>
          <t>4</t>
        </is>
      </c>
      <c r="R1577" s="5" t="inlineStr">
        <is>
          <t>4</t>
        </is>
      </c>
      <c r="S1577" s="5" t="inlineStr">
        <is>
          <t>1</t>
        </is>
      </c>
      <c r="T1577" s="5" t="inlineStr">
        <is>
          <t>6</t>
        </is>
      </c>
      <c r="U1577" s="5">
        <f>IFS(C1577&lt;30,"Under 30",C1577&lt;40,"30-39",C1577&lt;50,"40-49",TRUE,"50+")</f>
        <v/>
      </c>
      <c r="V1577" s="5">
        <f>IFS(O1577&lt;60000,"Low (&lt;60k)",O1577&lt;100000,"Mid (60-100k)",TRUE,"High (100k+)")</f>
        <v/>
      </c>
      <c r="W1577" s="5">
        <f>IF(M1577="No","Attrited","Active")</f>
        <v/>
      </c>
    </row>
    <row r="1578">
      <c r="A1578" s="5" t="inlineStr">
        <is>
          <t>E01577</t>
        </is>
      </c>
      <c r="B1578" s="5" t="inlineStr">
        <is>
          <t>Female</t>
        </is>
      </c>
      <c r="C1578" s="6" t="inlineStr">
        <is>
          <t>35</t>
        </is>
      </c>
      <c r="D1578" s="5" t="inlineStr">
        <is>
          <t>Married</t>
        </is>
      </c>
      <c r="E1578" s="5" t="inlineStr">
        <is>
          <t>Master</t>
        </is>
      </c>
      <c r="F1578" s="5" t="inlineStr">
        <is>
          <t>Marketing</t>
        </is>
      </c>
      <c r="G1578" s="5" t="inlineStr">
        <is>
          <t>Marketing Analyst</t>
        </is>
      </c>
      <c r="H1578" s="5" t="inlineStr">
        <is>
          <t>7</t>
        </is>
      </c>
      <c r="I1578" s="5" t="inlineStr">
        <is>
          <t>Mumbai</t>
        </is>
      </c>
      <c r="J1578" s="5" t="inlineStr">
        <is>
          <t>Full-Time</t>
        </is>
      </c>
      <c r="K1578" s="7" t="n">
        <v>44262</v>
      </c>
      <c r="L1578" s="7" t="inlineStr"/>
      <c r="M1578" s="5" t="inlineStr">
        <is>
          <t>Yes</t>
        </is>
      </c>
      <c r="N1578" s="5" t="inlineStr"/>
      <c r="O1578" s="8" t="inlineStr">
        <is>
          <t>129000</t>
        </is>
      </c>
      <c r="P1578" s="5" t="inlineStr">
        <is>
          <t>0</t>
        </is>
      </c>
      <c r="Q1578" s="5" t="inlineStr">
        <is>
          <t>3</t>
        </is>
      </c>
      <c r="R1578" s="5" t="inlineStr">
        <is>
          <t>6</t>
        </is>
      </c>
      <c r="S1578" s="5" t="inlineStr">
        <is>
          <t>58</t>
        </is>
      </c>
      <c r="T1578" s="5" t="inlineStr">
        <is>
          <t>6</t>
        </is>
      </c>
      <c r="U1578" s="5">
        <f>IFS(C1578&lt;30,"Under 30",C1578&lt;40,"30-39",C1578&lt;50,"40-49",TRUE,"50+")</f>
        <v/>
      </c>
      <c r="V1578" s="5">
        <f>IFS(O1578&lt;60000,"Low (&lt;60k)",O1578&lt;100000,"Mid (60-100k)",TRUE,"High (100k+)")</f>
        <v/>
      </c>
      <c r="W1578" s="5">
        <f>IF(M1578="No","Attrited","Active")</f>
        <v/>
      </c>
    </row>
    <row r="1579">
      <c r="A1579" s="5" t="inlineStr">
        <is>
          <t>E01578</t>
        </is>
      </c>
      <c r="B1579" s="5" t="inlineStr">
        <is>
          <t>Male</t>
        </is>
      </c>
      <c r="C1579" s="6" t="inlineStr">
        <is>
          <t>43</t>
        </is>
      </c>
      <c r="D1579" s="5" t="inlineStr">
        <is>
          <t>Married</t>
        </is>
      </c>
      <c r="E1579" s="5" t="inlineStr">
        <is>
          <t>High School</t>
        </is>
      </c>
      <c r="F1579" s="5" t="inlineStr">
        <is>
          <t>Sales</t>
        </is>
      </c>
      <c r="G1579" s="5" t="inlineStr">
        <is>
          <t>Account Executive</t>
        </is>
      </c>
      <c r="H1579" s="5" t="inlineStr">
        <is>
          <t>7</t>
        </is>
      </c>
      <c r="I1579" s="5" t="inlineStr">
        <is>
          <t>Hyderabad</t>
        </is>
      </c>
      <c r="J1579" s="5" t="inlineStr">
        <is>
          <t>Full-Time</t>
        </is>
      </c>
      <c r="K1579" s="7" t="n">
        <v>45205</v>
      </c>
      <c r="L1579" s="7" t="inlineStr"/>
      <c r="M1579" s="5" t="inlineStr">
        <is>
          <t>Yes</t>
        </is>
      </c>
      <c r="N1579" s="5" t="inlineStr"/>
      <c r="O1579" s="8" t="inlineStr">
        <is>
          <t>166000</t>
        </is>
      </c>
      <c r="P1579" s="5" t="inlineStr">
        <is>
          <t>5</t>
        </is>
      </c>
      <c r="Q1579" s="5" t="inlineStr">
        <is>
          <t>3</t>
        </is>
      </c>
      <c r="R1579" s="5" t="inlineStr">
        <is>
          <t>4</t>
        </is>
      </c>
      <c r="S1579" s="5" t="inlineStr">
        <is>
          <t>27</t>
        </is>
      </c>
      <c r="T1579" s="5" t="inlineStr">
        <is>
          <t>0</t>
        </is>
      </c>
      <c r="U1579" s="5">
        <f>IFS(C1579&lt;30,"Under 30",C1579&lt;40,"30-39",C1579&lt;50,"40-49",TRUE,"50+")</f>
        <v/>
      </c>
      <c r="V1579" s="5">
        <f>IFS(O1579&lt;60000,"Low (&lt;60k)",O1579&lt;100000,"Mid (60-100k)",TRUE,"High (100k+)")</f>
        <v/>
      </c>
      <c r="W1579" s="5">
        <f>IF(M1579="No","Attrited","Active")</f>
        <v/>
      </c>
    </row>
    <row r="1580">
      <c r="A1580" s="5" t="inlineStr">
        <is>
          <t>E01579</t>
        </is>
      </c>
      <c r="B1580" s="5" t="inlineStr">
        <is>
          <t>Female</t>
        </is>
      </c>
      <c r="C1580" s="6" t="inlineStr">
        <is>
          <t>46</t>
        </is>
      </c>
      <c r="D1580" s="5" t="inlineStr">
        <is>
          <t>Single</t>
        </is>
      </c>
      <c r="E1580" s="5" t="inlineStr">
        <is>
          <t>Diploma</t>
        </is>
      </c>
      <c r="F1580" s="5" t="inlineStr">
        <is>
          <t>Customer Support</t>
        </is>
      </c>
      <c r="G1580" s="5" t="inlineStr">
        <is>
          <t>Support Lead</t>
        </is>
      </c>
      <c r="H1580" s="5" t="inlineStr">
        <is>
          <t>7</t>
        </is>
      </c>
      <c r="I1580" s="5" t="inlineStr">
        <is>
          <t>Mumbai</t>
        </is>
      </c>
      <c r="J1580" s="5" t="inlineStr">
        <is>
          <t>Full-Time</t>
        </is>
      </c>
      <c r="K1580" s="7" t="n">
        <v>45398</v>
      </c>
      <c r="L1580" s="7" t="inlineStr"/>
      <c r="M1580" s="5" t="inlineStr">
        <is>
          <t>Yes</t>
        </is>
      </c>
      <c r="N1580" s="5" t="inlineStr"/>
      <c r="O1580" s="8" t="inlineStr">
        <is>
          <t>87000</t>
        </is>
      </c>
      <c r="P1580" s="5" t="inlineStr">
        <is>
          <t>0</t>
        </is>
      </c>
      <c r="Q1580" s="5" t="inlineStr">
        <is>
          <t>1</t>
        </is>
      </c>
      <c r="R1580" s="5" t="inlineStr">
        <is>
          <t>4</t>
        </is>
      </c>
      <c r="S1580" s="5" t="inlineStr">
        <is>
          <t>20</t>
        </is>
      </c>
      <c r="T1580" s="5" t="inlineStr">
        <is>
          <t>7</t>
        </is>
      </c>
      <c r="U1580" s="5">
        <f>IFS(C1580&lt;30,"Under 30",C1580&lt;40,"30-39",C1580&lt;50,"40-49",TRUE,"50+")</f>
        <v/>
      </c>
      <c r="V1580" s="5">
        <f>IFS(O1580&lt;60000,"Low (&lt;60k)",O1580&lt;100000,"Mid (60-100k)",TRUE,"High (100k+)")</f>
        <v/>
      </c>
      <c r="W1580" s="5">
        <f>IF(M1580="No","Attrited","Active")</f>
        <v/>
      </c>
    </row>
    <row r="1581">
      <c r="A1581" s="5" t="inlineStr">
        <is>
          <t>E01580</t>
        </is>
      </c>
      <c r="B1581" s="5" t="inlineStr">
        <is>
          <t>Female</t>
        </is>
      </c>
      <c r="C1581" s="6" t="inlineStr">
        <is>
          <t>26</t>
        </is>
      </c>
      <c r="D1581" s="5" t="inlineStr">
        <is>
          <t>Single</t>
        </is>
      </c>
      <c r="E1581" s="5" t="inlineStr">
        <is>
          <t>PhD</t>
        </is>
      </c>
      <c r="F1581" s="5" t="inlineStr">
        <is>
          <t>Finance</t>
        </is>
      </c>
      <c r="G1581" s="5" t="inlineStr">
        <is>
          <t>Accountant</t>
        </is>
      </c>
      <c r="H1581" s="5" t="inlineStr">
        <is>
          <t>1</t>
        </is>
      </c>
      <c r="I1581" s="5" t="inlineStr">
        <is>
          <t>Remote</t>
        </is>
      </c>
      <c r="J1581" s="5" t="inlineStr">
        <is>
          <t>Full-Time</t>
        </is>
      </c>
      <c r="K1581" s="7" t="n">
        <v>44957</v>
      </c>
      <c r="L1581" s="7" t="inlineStr"/>
      <c r="M1581" s="5" t="inlineStr">
        <is>
          <t>Yes</t>
        </is>
      </c>
      <c r="N1581" s="5" t="inlineStr"/>
      <c r="O1581" s="8" t="inlineStr">
        <is>
          <t>74500</t>
        </is>
      </c>
      <c r="P1581" s="5" t="inlineStr">
        <is>
          <t>0</t>
        </is>
      </c>
      <c r="Q1581" s="5" t="inlineStr">
        <is>
          <t>3</t>
        </is>
      </c>
      <c r="R1581" s="5" t="inlineStr">
        <is>
          <t>6</t>
        </is>
      </c>
      <c r="S1581" s="5" t="inlineStr">
        <is>
          <t>35</t>
        </is>
      </c>
      <c r="T1581" s="5" t="inlineStr">
        <is>
          <t>2</t>
        </is>
      </c>
      <c r="U1581" s="5">
        <f>IFS(C1581&lt;30,"Under 30",C1581&lt;40,"30-39",C1581&lt;50,"40-49",TRUE,"50+")</f>
        <v/>
      </c>
      <c r="V1581" s="5">
        <f>IFS(O1581&lt;60000,"Low (&lt;60k)",O1581&lt;100000,"Mid (60-100k)",TRUE,"High (100k+)")</f>
        <v/>
      </c>
      <c r="W1581" s="5">
        <f>IF(M1581="No","Attrited","Active")</f>
        <v/>
      </c>
    </row>
    <row r="1582">
      <c r="A1582" s="5" t="inlineStr">
        <is>
          <t>E01581</t>
        </is>
      </c>
      <c r="B1582" s="5" t="inlineStr">
        <is>
          <t>Male</t>
        </is>
      </c>
      <c r="C1582" s="6" t="inlineStr">
        <is>
          <t>33</t>
        </is>
      </c>
      <c r="D1582" s="5" t="inlineStr">
        <is>
          <t>Married</t>
        </is>
      </c>
      <c r="E1582" s="5" t="inlineStr">
        <is>
          <t>PhD</t>
        </is>
      </c>
      <c r="F1582" s="5" t="inlineStr">
        <is>
          <t>Sales</t>
        </is>
      </c>
      <c r="G1582" s="5" t="inlineStr">
        <is>
          <t>Sales Executive</t>
        </is>
      </c>
      <c r="H1582" s="5" t="inlineStr">
        <is>
          <t>4</t>
        </is>
      </c>
      <c r="I1582" s="5" t="inlineStr">
        <is>
          <t>Bengaluru</t>
        </is>
      </c>
      <c r="J1582" s="5" t="inlineStr">
        <is>
          <t>Full-Time</t>
        </is>
      </c>
      <c r="K1582" s="7" t="n">
        <v>45308</v>
      </c>
      <c r="L1582" s="7" t="n">
        <v>45401</v>
      </c>
      <c r="M1582" s="5" t="inlineStr">
        <is>
          <t>No</t>
        </is>
      </c>
      <c r="N1582" s="5" t="inlineStr">
        <is>
          <t>Relocation</t>
        </is>
      </c>
      <c r="O1582" s="8" t="inlineStr">
        <is>
          <t>151000</t>
        </is>
      </c>
      <c r="P1582" s="5" t="inlineStr">
        <is>
          <t>0</t>
        </is>
      </c>
      <c r="Q1582" s="5" t="inlineStr">
        <is>
          <t>3</t>
        </is>
      </c>
      <c r="R1582" s="5" t="inlineStr">
        <is>
          <t>5</t>
        </is>
      </c>
      <c r="S1582" s="5" t="inlineStr">
        <is>
          <t>3</t>
        </is>
      </c>
      <c r="T1582" s="5" t="inlineStr">
        <is>
          <t>7</t>
        </is>
      </c>
      <c r="U1582" s="5">
        <f>IFS(C1582&lt;30,"Under 30",C1582&lt;40,"30-39",C1582&lt;50,"40-49",TRUE,"50+")</f>
        <v/>
      </c>
      <c r="V1582" s="5">
        <f>IFS(O1582&lt;60000,"Low (&lt;60k)",O1582&lt;100000,"Mid (60-100k)",TRUE,"High (100k+)")</f>
        <v/>
      </c>
      <c r="W1582" s="5">
        <f>IF(M1582="No","Attrited","Active")</f>
        <v/>
      </c>
    </row>
    <row r="1583">
      <c r="A1583" s="5" t="inlineStr">
        <is>
          <t>E01582</t>
        </is>
      </c>
      <c r="B1583" s="5" t="inlineStr">
        <is>
          <t>Male</t>
        </is>
      </c>
      <c r="C1583" s="6" t="inlineStr">
        <is>
          <t>24</t>
        </is>
      </c>
      <c r="D1583" s="5" t="inlineStr">
        <is>
          <t>Married</t>
        </is>
      </c>
      <c r="E1583" s="5" t="inlineStr">
        <is>
          <t>High School</t>
        </is>
      </c>
      <c r="F1583" s="5" t="inlineStr">
        <is>
          <t>Sales</t>
        </is>
      </c>
      <c r="G1583" s="5" t="inlineStr">
        <is>
          <t>Account Executive</t>
        </is>
      </c>
      <c r="H1583" s="5" t="inlineStr">
        <is>
          <t>1</t>
        </is>
      </c>
      <c r="I1583" s="5" t="inlineStr">
        <is>
          <t>Mumbai</t>
        </is>
      </c>
      <c r="J1583" s="5" t="inlineStr">
        <is>
          <t>Full-Time</t>
        </is>
      </c>
      <c r="K1583" s="7" t="n">
        <v>45233</v>
      </c>
      <c r="L1583" s="7" t="n">
        <v>45357</v>
      </c>
      <c r="M1583" s="5" t="inlineStr">
        <is>
          <t>No</t>
        </is>
      </c>
      <c r="N1583" s="5" t="inlineStr">
        <is>
          <t>Resigned</t>
        </is>
      </c>
      <c r="O1583" s="8" t="inlineStr">
        <is>
          <t>81500</t>
        </is>
      </c>
      <c r="P1583" s="5" t="inlineStr">
        <is>
          <t>5</t>
        </is>
      </c>
      <c r="Q1583" s="5" t="inlineStr">
        <is>
          <t>1</t>
        </is>
      </c>
      <c r="R1583" s="5" t="inlineStr">
        <is>
          <t>7</t>
        </is>
      </c>
      <c r="S1583" s="5" t="inlineStr">
        <is>
          <t>4</t>
        </is>
      </c>
      <c r="T1583" s="5" t="inlineStr">
        <is>
          <t>0</t>
        </is>
      </c>
      <c r="U1583" s="5">
        <f>IFS(C1583&lt;30,"Under 30",C1583&lt;40,"30-39",C1583&lt;50,"40-49",TRUE,"50+")</f>
        <v/>
      </c>
      <c r="V1583" s="5">
        <f>IFS(O1583&lt;60000,"Low (&lt;60k)",O1583&lt;100000,"Mid (60-100k)",TRUE,"High (100k+)")</f>
        <v/>
      </c>
      <c r="W1583" s="5">
        <f>IF(M1583="No","Attrited","Active")</f>
        <v/>
      </c>
    </row>
    <row r="1584">
      <c r="A1584" s="5" t="inlineStr">
        <is>
          <t>E01583</t>
        </is>
      </c>
      <c r="B1584" s="5" t="inlineStr">
        <is>
          <t>Female</t>
        </is>
      </c>
      <c r="C1584" s="6" t="inlineStr">
        <is>
          <t>39</t>
        </is>
      </c>
      <c r="D1584" s="5" t="inlineStr">
        <is>
          <t>Married</t>
        </is>
      </c>
      <c r="E1584" s="5" t="inlineStr">
        <is>
          <t>Diploma</t>
        </is>
      </c>
      <c r="F1584" s="5" t="inlineStr">
        <is>
          <t>Finance</t>
        </is>
      </c>
      <c r="G1584" s="5" t="inlineStr">
        <is>
          <t>Financial Analyst</t>
        </is>
      </c>
      <c r="H1584" s="5" t="inlineStr">
        <is>
          <t>7</t>
        </is>
      </c>
      <c r="I1584" s="5" t="inlineStr">
        <is>
          <t>Bengaluru</t>
        </is>
      </c>
      <c r="J1584" s="5" t="inlineStr">
        <is>
          <t>Part-Time</t>
        </is>
      </c>
      <c r="K1584" s="7" t="n">
        <v>45271</v>
      </c>
      <c r="L1584" s="7" t="inlineStr"/>
      <c r="M1584" s="5" t="inlineStr">
        <is>
          <t>Yes</t>
        </is>
      </c>
      <c r="N1584" s="5" t="inlineStr"/>
      <c r="O1584" s="8" t="inlineStr">
        <is>
          <t>120500</t>
        </is>
      </c>
      <c r="P1584" s="5" t="inlineStr">
        <is>
          <t>5</t>
        </is>
      </c>
      <c r="Q1584" s="5" t="inlineStr">
        <is>
          <t>4</t>
        </is>
      </c>
      <c r="R1584" s="5" t="inlineStr">
        <is>
          <t>3</t>
        </is>
      </c>
      <c r="S1584" s="5" t="inlineStr">
        <is>
          <t>25</t>
        </is>
      </c>
      <c r="T1584" s="5" t="inlineStr">
        <is>
          <t>0</t>
        </is>
      </c>
      <c r="U1584" s="5">
        <f>IFS(C1584&lt;30,"Under 30",C1584&lt;40,"30-39",C1584&lt;50,"40-49",TRUE,"50+")</f>
        <v/>
      </c>
      <c r="V1584" s="5">
        <f>IFS(O1584&lt;60000,"Low (&lt;60k)",O1584&lt;100000,"Mid (60-100k)",TRUE,"High (100k+)")</f>
        <v/>
      </c>
      <c r="W1584" s="5">
        <f>IF(M1584="No","Attrited","Active")</f>
        <v/>
      </c>
    </row>
    <row r="1585">
      <c r="A1585" s="5" t="inlineStr">
        <is>
          <t>E01584</t>
        </is>
      </c>
      <c r="B1585" s="5" t="inlineStr">
        <is>
          <t>Female</t>
        </is>
      </c>
      <c r="C1585" s="6" t="inlineStr">
        <is>
          <t>40</t>
        </is>
      </c>
      <c r="D1585" s="5" t="inlineStr">
        <is>
          <t>Married</t>
        </is>
      </c>
      <c r="E1585" s="5" t="inlineStr">
        <is>
          <t>Master</t>
        </is>
      </c>
      <c r="F1585" s="5" t="inlineStr">
        <is>
          <t>Research &amp; Development</t>
        </is>
      </c>
      <c r="G1585" s="5" t="inlineStr">
        <is>
          <t>Data Scientist</t>
        </is>
      </c>
      <c r="H1585" s="5" t="inlineStr">
        <is>
          <t>4</t>
        </is>
      </c>
      <c r="I1585" s="5" t="inlineStr">
        <is>
          <t>Mumbai</t>
        </is>
      </c>
      <c r="J1585" s="5" t="inlineStr">
        <is>
          <t>Full-Time</t>
        </is>
      </c>
      <c r="K1585" s="7" t="n">
        <v>44894</v>
      </c>
      <c r="L1585" s="7" t="n">
        <v>45028</v>
      </c>
      <c r="M1585" s="5" t="inlineStr">
        <is>
          <t>No</t>
        </is>
      </c>
      <c r="N1585" s="5" t="inlineStr">
        <is>
          <t>Resigned</t>
        </is>
      </c>
      <c r="O1585" s="8" t="inlineStr">
        <is>
          <t>223500</t>
        </is>
      </c>
      <c r="P1585" s="5" t="inlineStr">
        <is>
          <t>10</t>
        </is>
      </c>
      <c r="Q1585" s="5" t="inlineStr">
        <is>
          <t>5</t>
        </is>
      </c>
      <c r="R1585" s="5" t="inlineStr">
        <is>
          <t>5</t>
        </is>
      </c>
      <c r="S1585" s="5" t="inlineStr">
        <is>
          <t>4</t>
        </is>
      </c>
      <c r="T1585" s="5" t="inlineStr">
        <is>
          <t>2</t>
        </is>
      </c>
      <c r="U1585" s="5">
        <f>IFS(C1585&lt;30,"Under 30",C1585&lt;40,"30-39",C1585&lt;50,"40-49",TRUE,"50+")</f>
        <v/>
      </c>
      <c r="V1585" s="5">
        <f>IFS(O1585&lt;60000,"Low (&lt;60k)",O1585&lt;100000,"Mid (60-100k)",TRUE,"High (100k+)")</f>
        <v/>
      </c>
      <c r="W1585" s="5">
        <f>IF(M1585="No","Attrited","Active")</f>
        <v/>
      </c>
    </row>
    <row r="1586">
      <c r="A1586" s="5" t="inlineStr">
        <is>
          <t>E01585</t>
        </is>
      </c>
      <c r="B1586" s="5" t="inlineStr">
        <is>
          <t>Male</t>
        </is>
      </c>
      <c r="C1586" s="6" t="inlineStr">
        <is>
          <t>44</t>
        </is>
      </c>
      <c r="D1586" s="5" t="inlineStr">
        <is>
          <t>Married</t>
        </is>
      </c>
      <c r="E1586" s="5" t="inlineStr">
        <is>
          <t>Diploma</t>
        </is>
      </c>
      <c r="F1586" s="5" t="inlineStr">
        <is>
          <t>Marketing</t>
        </is>
      </c>
      <c r="G1586" s="5" t="inlineStr">
        <is>
          <t>SEO Specialist</t>
        </is>
      </c>
      <c r="H1586" s="5" t="inlineStr">
        <is>
          <t>6</t>
        </is>
      </c>
      <c r="I1586" s="5" t="inlineStr">
        <is>
          <t>Remote</t>
        </is>
      </c>
      <c r="J1586" s="5" t="inlineStr">
        <is>
          <t>Full-Time</t>
        </is>
      </c>
      <c r="K1586" s="7" t="n">
        <v>44495</v>
      </c>
      <c r="L1586" s="7" t="inlineStr"/>
      <c r="M1586" s="5" t="inlineStr">
        <is>
          <t>Yes</t>
        </is>
      </c>
      <c r="N1586" s="5" t="inlineStr"/>
      <c r="O1586" s="8" t="inlineStr">
        <is>
          <t>110500</t>
        </is>
      </c>
      <c r="P1586" s="5" t="inlineStr">
        <is>
          <t>20</t>
        </is>
      </c>
      <c r="Q1586" s="5" t="inlineStr">
        <is>
          <t>3</t>
        </is>
      </c>
      <c r="R1586" s="5" t="inlineStr">
        <is>
          <t>8</t>
        </is>
      </c>
      <c r="S1586" s="5" t="inlineStr">
        <is>
          <t>50</t>
        </is>
      </c>
      <c r="T1586" s="5" t="inlineStr">
        <is>
          <t>11</t>
        </is>
      </c>
      <c r="U1586" s="5">
        <f>IFS(C1586&lt;30,"Under 30",C1586&lt;40,"30-39",C1586&lt;50,"40-49",TRUE,"50+")</f>
        <v/>
      </c>
      <c r="V1586" s="5">
        <f>IFS(O1586&lt;60000,"Low (&lt;60k)",O1586&lt;100000,"Mid (60-100k)",TRUE,"High (100k+)")</f>
        <v/>
      </c>
      <c r="W1586" s="5">
        <f>IF(M1586="No","Attrited","Active")</f>
        <v/>
      </c>
    </row>
    <row r="1587">
      <c r="A1587" s="5" t="inlineStr">
        <is>
          <t>E01586</t>
        </is>
      </c>
      <c r="B1587" s="5" t="inlineStr">
        <is>
          <t>Female</t>
        </is>
      </c>
      <c r="C1587" s="6" t="inlineStr">
        <is>
          <t>37</t>
        </is>
      </c>
      <c r="D1587" s="5" t="inlineStr">
        <is>
          <t>Married</t>
        </is>
      </c>
      <c r="E1587" s="5" t="inlineStr">
        <is>
          <t>High School</t>
        </is>
      </c>
      <c r="F1587" s="5" t="inlineStr">
        <is>
          <t>Sales</t>
        </is>
      </c>
      <c r="G1587" s="5" t="inlineStr">
        <is>
          <t>Sales Executive</t>
        </is>
      </c>
      <c r="H1587" s="5" t="inlineStr">
        <is>
          <t>3</t>
        </is>
      </c>
      <c r="I1587" s="5" t="inlineStr">
        <is>
          <t>Delhi</t>
        </is>
      </c>
      <c r="J1587" s="5" t="inlineStr">
        <is>
          <t>Full-Time</t>
        </is>
      </c>
      <c r="K1587" s="7" t="n">
        <v>45332</v>
      </c>
      <c r="L1587" s="7" t="inlineStr"/>
      <c r="M1587" s="5" t="inlineStr">
        <is>
          <t>Yes</t>
        </is>
      </c>
      <c r="N1587" s="5" t="inlineStr"/>
      <c r="O1587" s="8" t="inlineStr">
        <is>
          <t>112000</t>
        </is>
      </c>
      <c r="P1587" s="5" t="inlineStr">
        <is>
          <t>5</t>
        </is>
      </c>
      <c r="Q1587" s="5" t="inlineStr">
        <is>
          <t>4</t>
        </is>
      </c>
      <c r="R1587" s="5" t="inlineStr">
        <is>
          <t>4</t>
        </is>
      </c>
      <c r="S1587" s="5" t="inlineStr">
        <is>
          <t>23</t>
        </is>
      </c>
      <c r="T1587" s="5" t="inlineStr">
        <is>
          <t>1</t>
        </is>
      </c>
      <c r="U1587" s="5">
        <f>IFS(C1587&lt;30,"Under 30",C1587&lt;40,"30-39",C1587&lt;50,"40-49",TRUE,"50+")</f>
        <v/>
      </c>
      <c r="V1587" s="5">
        <f>IFS(O1587&lt;60000,"Low (&lt;60k)",O1587&lt;100000,"Mid (60-100k)",TRUE,"High (100k+)")</f>
        <v/>
      </c>
      <c r="W1587" s="5">
        <f>IF(M1587="No","Attrited","Active")</f>
        <v/>
      </c>
    </row>
    <row r="1588">
      <c r="A1588" s="5" t="inlineStr">
        <is>
          <t>E01587</t>
        </is>
      </c>
      <c r="B1588" s="5" t="inlineStr">
        <is>
          <t>Male</t>
        </is>
      </c>
      <c r="C1588" s="6" t="inlineStr">
        <is>
          <t>32</t>
        </is>
      </c>
      <c r="D1588" s="5" t="inlineStr">
        <is>
          <t>Married</t>
        </is>
      </c>
      <c r="E1588" s="5" t="inlineStr">
        <is>
          <t>PhD</t>
        </is>
      </c>
      <c r="F1588" s="5" t="inlineStr">
        <is>
          <t>Operations</t>
        </is>
      </c>
      <c r="G1588" s="5" t="inlineStr">
        <is>
          <t>Logistics Coordinator</t>
        </is>
      </c>
      <c r="H1588" s="5" t="inlineStr">
        <is>
          <t>2</t>
        </is>
      </c>
      <c r="I1588" s="5" t="inlineStr">
        <is>
          <t>Delhi</t>
        </is>
      </c>
      <c r="J1588" s="5" t="inlineStr">
        <is>
          <t>Full-Time</t>
        </is>
      </c>
      <c r="K1588" s="7" t="n">
        <v>45385</v>
      </c>
      <c r="L1588" s="7" t="inlineStr"/>
      <c r="M1588" s="5" t="inlineStr">
        <is>
          <t>Yes</t>
        </is>
      </c>
      <c r="N1588" s="5" t="inlineStr"/>
      <c r="O1588" s="8" t="inlineStr">
        <is>
          <t>83500</t>
        </is>
      </c>
      <c r="P1588" s="5" t="inlineStr">
        <is>
          <t>5</t>
        </is>
      </c>
      <c r="Q1588" s="5" t="inlineStr">
        <is>
          <t>3</t>
        </is>
      </c>
      <c r="R1588" s="5" t="inlineStr">
        <is>
          <t>5</t>
        </is>
      </c>
      <c r="S1588" s="5" t="inlineStr">
        <is>
          <t>21</t>
        </is>
      </c>
      <c r="T1588" s="5" t="inlineStr">
        <is>
          <t>0</t>
        </is>
      </c>
      <c r="U1588" s="5">
        <f>IFS(C1588&lt;30,"Under 30",C1588&lt;40,"30-39",C1588&lt;50,"40-49",TRUE,"50+")</f>
        <v/>
      </c>
      <c r="V1588" s="5">
        <f>IFS(O1588&lt;60000,"Low (&lt;60k)",O1588&lt;100000,"Mid (60-100k)",TRUE,"High (100k+)")</f>
        <v/>
      </c>
      <c r="W1588" s="5">
        <f>IF(M1588="No","Attrited","Active")</f>
        <v/>
      </c>
    </row>
    <row r="1589">
      <c r="A1589" s="5" t="inlineStr">
        <is>
          <t>E01588</t>
        </is>
      </c>
      <c r="B1589" s="5" t="inlineStr">
        <is>
          <t>Female</t>
        </is>
      </c>
      <c r="C1589" s="6" t="inlineStr">
        <is>
          <t>37</t>
        </is>
      </c>
      <c r="D1589" s="5" t="inlineStr">
        <is>
          <t>Married</t>
        </is>
      </c>
      <c r="E1589" s="5" t="inlineStr">
        <is>
          <t>Master</t>
        </is>
      </c>
      <c r="F1589" s="5" t="inlineStr">
        <is>
          <t>Sales</t>
        </is>
      </c>
      <c r="G1589" s="5" t="inlineStr">
        <is>
          <t>Sales Executive</t>
        </is>
      </c>
      <c r="H1589" s="5" t="inlineStr">
        <is>
          <t>4</t>
        </is>
      </c>
      <c r="I1589" s="5" t="inlineStr">
        <is>
          <t>Mumbai</t>
        </is>
      </c>
      <c r="J1589" s="5" t="inlineStr">
        <is>
          <t>Contract</t>
        </is>
      </c>
      <c r="K1589" s="7" t="n">
        <v>44592</v>
      </c>
      <c r="L1589" s="7" t="n">
        <v>44637</v>
      </c>
      <c r="M1589" s="5" t="inlineStr">
        <is>
          <t>No</t>
        </is>
      </c>
      <c r="N1589" s="5" t="inlineStr">
        <is>
          <t>Resigned</t>
        </is>
      </c>
      <c r="O1589" s="8" t="inlineStr">
        <is>
          <t>140000</t>
        </is>
      </c>
      <c r="P1589" s="5" t="inlineStr">
        <is>
          <t>20</t>
        </is>
      </c>
      <c r="Q1589" s="5" t="inlineStr">
        <is>
          <t>4</t>
        </is>
      </c>
      <c r="R1589" s="5" t="inlineStr">
        <is>
          <t>3</t>
        </is>
      </c>
      <c r="S1589" s="5" t="inlineStr">
        <is>
          <t>1</t>
        </is>
      </c>
      <c r="T1589" s="5" t="inlineStr">
        <is>
          <t>3</t>
        </is>
      </c>
      <c r="U1589" s="5">
        <f>IFS(C1589&lt;30,"Under 30",C1589&lt;40,"30-39",C1589&lt;50,"40-49",TRUE,"50+")</f>
        <v/>
      </c>
      <c r="V1589" s="5">
        <f>IFS(O1589&lt;60000,"Low (&lt;60k)",O1589&lt;100000,"Mid (60-100k)",TRUE,"High (100k+)")</f>
        <v/>
      </c>
      <c r="W1589" s="5">
        <f>IF(M1589="No","Attrited","Active")</f>
        <v/>
      </c>
    </row>
    <row r="1590">
      <c r="A1590" s="5" t="inlineStr">
        <is>
          <t>E01589</t>
        </is>
      </c>
      <c r="B1590" s="5" t="inlineStr">
        <is>
          <t>Male</t>
        </is>
      </c>
      <c r="C1590" s="6" t="inlineStr">
        <is>
          <t>29</t>
        </is>
      </c>
      <c r="D1590" s="5" t="inlineStr">
        <is>
          <t>Married</t>
        </is>
      </c>
      <c r="E1590" s="5" t="inlineStr">
        <is>
          <t>Bachelor</t>
        </is>
      </c>
      <c r="F1590" s="5" t="inlineStr">
        <is>
          <t>Operations</t>
        </is>
      </c>
      <c r="G1590" s="5" t="inlineStr">
        <is>
          <t>Quality Analyst</t>
        </is>
      </c>
      <c r="H1590" s="5" t="inlineStr">
        <is>
          <t>2</t>
        </is>
      </c>
      <c r="I1590" s="5" t="inlineStr">
        <is>
          <t>Remote</t>
        </is>
      </c>
      <c r="J1590" s="5" t="inlineStr">
        <is>
          <t>Full-Time</t>
        </is>
      </c>
      <c r="K1590" s="7" t="n">
        <v>44889</v>
      </c>
      <c r="L1590" s="7" t="n">
        <v>44941</v>
      </c>
      <c r="M1590" s="5" t="inlineStr">
        <is>
          <t>No</t>
        </is>
      </c>
      <c r="N1590" s="5" t="inlineStr">
        <is>
          <t>Retirement</t>
        </is>
      </c>
      <c r="O1590" s="8" t="inlineStr">
        <is>
          <t>104000</t>
        </is>
      </c>
      <c r="P1590" s="5" t="inlineStr">
        <is>
          <t>5</t>
        </is>
      </c>
      <c r="Q1590" s="5" t="inlineStr">
        <is>
          <t>4</t>
        </is>
      </c>
      <c r="R1590" s="5" t="inlineStr">
        <is>
          <t>5</t>
        </is>
      </c>
      <c r="S1590" s="5" t="inlineStr">
        <is>
          <t>1</t>
        </is>
      </c>
      <c r="T1590" s="5" t="inlineStr">
        <is>
          <t>0</t>
        </is>
      </c>
      <c r="U1590" s="5">
        <f>IFS(C1590&lt;30,"Under 30",C1590&lt;40,"30-39",C1590&lt;50,"40-49",TRUE,"50+")</f>
        <v/>
      </c>
      <c r="V1590" s="5">
        <f>IFS(O1590&lt;60000,"Low (&lt;60k)",O1590&lt;100000,"Mid (60-100k)",TRUE,"High (100k+)")</f>
        <v/>
      </c>
      <c r="W1590" s="5">
        <f>IF(M1590="No","Attrited","Active")</f>
        <v/>
      </c>
    </row>
    <row r="1591">
      <c r="A1591" s="5" t="inlineStr">
        <is>
          <t>E01590</t>
        </is>
      </c>
      <c r="B1591" s="5" t="inlineStr">
        <is>
          <t>Male</t>
        </is>
      </c>
      <c r="C1591" s="6" t="inlineStr">
        <is>
          <t>24</t>
        </is>
      </c>
      <c r="D1591" s="5" t="inlineStr">
        <is>
          <t>Married</t>
        </is>
      </c>
      <c r="E1591" s="5" t="inlineStr">
        <is>
          <t>Master</t>
        </is>
      </c>
      <c r="F1591" s="5" t="inlineStr">
        <is>
          <t>Research &amp; Development</t>
        </is>
      </c>
      <c r="G1591" s="5" t="inlineStr">
        <is>
          <t>Data Scientist</t>
        </is>
      </c>
      <c r="H1591" s="5" t="inlineStr">
        <is>
          <t>1</t>
        </is>
      </c>
      <c r="I1591" s="5" t="inlineStr">
        <is>
          <t>Mumbai</t>
        </is>
      </c>
      <c r="J1591" s="5" t="inlineStr">
        <is>
          <t>Full-Time</t>
        </is>
      </c>
      <c r="K1591" s="7" t="n">
        <v>44944</v>
      </c>
      <c r="L1591" s="7" t="inlineStr"/>
      <c r="M1591" s="5" t="inlineStr">
        <is>
          <t>Yes</t>
        </is>
      </c>
      <c r="N1591" s="5" t="inlineStr"/>
      <c r="O1591" s="8" t="inlineStr">
        <is>
          <t>93500</t>
        </is>
      </c>
      <c r="P1591" s="5" t="inlineStr">
        <is>
          <t>0</t>
        </is>
      </c>
      <c r="Q1591" s="5" t="inlineStr">
        <is>
          <t>3</t>
        </is>
      </c>
      <c r="R1591" s="5" t="inlineStr">
        <is>
          <t>7</t>
        </is>
      </c>
      <c r="S1591" s="5" t="inlineStr">
        <is>
          <t>35</t>
        </is>
      </c>
      <c r="T1591" s="5" t="inlineStr">
        <is>
          <t>10</t>
        </is>
      </c>
      <c r="U1591" s="5">
        <f>IFS(C1591&lt;30,"Under 30",C1591&lt;40,"30-39",C1591&lt;50,"40-49",TRUE,"50+")</f>
        <v/>
      </c>
      <c r="V1591" s="5">
        <f>IFS(O1591&lt;60000,"Low (&lt;60k)",O1591&lt;100000,"Mid (60-100k)",TRUE,"High (100k+)")</f>
        <v/>
      </c>
      <c r="W1591" s="5">
        <f>IF(M1591="No","Attrited","Active")</f>
        <v/>
      </c>
    </row>
    <row r="1592">
      <c r="A1592" s="5" t="inlineStr">
        <is>
          <t>E01591</t>
        </is>
      </c>
      <c r="B1592" s="5" t="inlineStr">
        <is>
          <t>Male</t>
        </is>
      </c>
      <c r="C1592" s="6" t="inlineStr">
        <is>
          <t>26</t>
        </is>
      </c>
      <c r="D1592" s="5" t="inlineStr">
        <is>
          <t>Single</t>
        </is>
      </c>
      <c r="E1592" s="5" t="inlineStr">
        <is>
          <t>High School</t>
        </is>
      </c>
      <c r="F1592" s="5" t="inlineStr">
        <is>
          <t>Sales</t>
        </is>
      </c>
      <c r="G1592" s="5" t="inlineStr">
        <is>
          <t>Account Executive</t>
        </is>
      </c>
      <c r="H1592" s="5" t="inlineStr">
        <is>
          <t>2</t>
        </is>
      </c>
      <c r="I1592" s="5" t="inlineStr">
        <is>
          <t>Mumbai</t>
        </is>
      </c>
      <c r="J1592" s="5" t="inlineStr">
        <is>
          <t>Part-Time</t>
        </is>
      </c>
      <c r="K1592" s="7" t="n">
        <v>44974</v>
      </c>
      <c r="L1592" s="7" t="inlineStr"/>
      <c r="M1592" s="5" t="inlineStr">
        <is>
          <t>Yes</t>
        </is>
      </c>
      <c r="N1592" s="5" t="inlineStr"/>
      <c r="O1592" s="8" t="inlineStr">
        <is>
          <t>107000</t>
        </is>
      </c>
      <c r="P1592" s="5" t="inlineStr">
        <is>
          <t>0</t>
        </is>
      </c>
      <c r="Q1592" s="5" t="inlineStr">
        <is>
          <t>3</t>
        </is>
      </c>
      <c r="R1592" s="5" t="inlineStr">
        <is>
          <t>6</t>
        </is>
      </c>
      <c r="S1592" s="5" t="inlineStr">
        <is>
          <t>34</t>
        </is>
      </c>
      <c r="T1592" s="5" t="inlineStr">
        <is>
          <t>2</t>
        </is>
      </c>
      <c r="U1592" s="5">
        <f>IFS(C1592&lt;30,"Under 30",C1592&lt;40,"30-39",C1592&lt;50,"40-49",TRUE,"50+")</f>
        <v/>
      </c>
      <c r="V1592" s="5">
        <f>IFS(O1592&lt;60000,"Low (&lt;60k)",O1592&lt;100000,"Mid (60-100k)",TRUE,"High (100k+)")</f>
        <v/>
      </c>
      <c r="W1592" s="5">
        <f>IF(M1592="No","Attrited","Active")</f>
        <v/>
      </c>
    </row>
    <row r="1593">
      <c r="A1593" s="5" t="inlineStr">
        <is>
          <t>E01592</t>
        </is>
      </c>
      <c r="B1593" s="5" t="inlineStr">
        <is>
          <t>Male</t>
        </is>
      </c>
      <c r="C1593" s="6" t="inlineStr">
        <is>
          <t>32</t>
        </is>
      </c>
      <c r="D1593" s="5" t="inlineStr">
        <is>
          <t>Divorced</t>
        </is>
      </c>
      <c r="E1593" s="5" t="inlineStr">
        <is>
          <t>PhD</t>
        </is>
      </c>
      <c r="F1593" s="5" t="inlineStr">
        <is>
          <t>Finance</t>
        </is>
      </c>
      <c r="G1593" s="5" t="inlineStr">
        <is>
          <t>Accountant</t>
        </is>
      </c>
      <c r="H1593" s="5" t="inlineStr">
        <is>
          <t>3</t>
        </is>
      </c>
      <c r="I1593" s="5" t="inlineStr">
        <is>
          <t>Hyderabad</t>
        </is>
      </c>
      <c r="J1593" s="5" t="inlineStr">
        <is>
          <t>Full-Time</t>
        </is>
      </c>
      <c r="K1593" s="7" t="n">
        <v>44037</v>
      </c>
      <c r="L1593" s="7" t="inlineStr"/>
      <c r="M1593" s="5" t="inlineStr">
        <is>
          <t>Yes</t>
        </is>
      </c>
      <c r="N1593" s="5" t="inlineStr"/>
      <c r="O1593" s="8" t="inlineStr">
        <is>
          <t>115000</t>
        </is>
      </c>
      <c r="P1593" s="5" t="inlineStr">
        <is>
          <t>5</t>
        </is>
      </c>
      <c r="Q1593" s="5" t="inlineStr">
        <is>
          <t>4</t>
        </is>
      </c>
      <c r="R1593" s="5" t="inlineStr">
        <is>
          <t>6</t>
        </is>
      </c>
      <c r="S1593" s="5" t="inlineStr">
        <is>
          <t>66</t>
        </is>
      </c>
      <c r="T1593" s="5" t="inlineStr">
        <is>
          <t>0</t>
        </is>
      </c>
      <c r="U1593" s="5">
        <f>IFS(C1593&lt;30,"Under 30",C1593&lt;40,"30-39",C1593&lt;50,"40-49",TRUE,"50+")</f>
        <v/>
      </c>
      <c r="V1593" s="5">
        <f>IFS(O1593&lt;60000,"Low (&lt;60k)",O1593&lt;100000,"Mid (60-100k)",TRUE,"High (100k+)")</f>
        <v/>
      </c>
      <c r="W1593" s="5">
        <f>IF(M1593="No","Attrited","Active")</f>
        <v/>
      </c>
    </row>
    <row r="1594">
      <c r="A1594" s="5" t="inlineStr">
        <is>
          <t>E01593</t>
        </is>
      </c>
      <c r="B1594" s="5" t="inlineStr">
        <is>
          <t>Female</t>
        </is>
      </c>
      <c r="C1594" s="6" t="inlineStr">
        <is>
          <t>35</t>
        </is>
      </c>
      <c r="D1594" s="5" t="inlineStr">
        <is>
          <t>Divorced</t>
        </is>
      </c>
      <c r="E1594" s="5" t="inlineStr">
        <is>
          <t>PhD</t>
        </is>
      </c>
      <c r="F1594" s="5" t="inlineStr">
        <is>
          <t>IT</t>
        </is>
      </c>
      <c r="G1594" s="5" t="inlineStr">
        <is>
          <t>Software Engineer</t>
        </is>
      </c>
      <c r="H1594" s="5" t="inlineStr">
        <is>
          <t>5</t>
        </is>
      </c>
      <c r="I1594" s="5" t="inlineStr">
        <is>
          <t>Hyderabad</t>
        </is>
      </c>
      <c r="J1594" s="5" t="inlineStr">
        <is>
          <t>Full-Time</t>
        </is>
      </c>
      <c r="K1594" s="7" t="n">
        <v>44530</v>
      </c>
      <c r="L1594" s="7" t="inlineStr"/>
      <c r="M1594" s="5" t="inlineStr">
        <is>
          <t>Yes</t>
        </is>
      </c>
      <c r="N1594" s="5" t="inlineStr"/>
      <c r="O1594" s="8" t="inlineStr">
        <is>
          <t>210000</t>
        </is>
      </c>
      <c r="P1594" s="5" t="inlineStr">
        <is>
          <t>5</t>
        </is>
      </c>
      <c r="Q1594" s="5" t="inlineStr">
        <is>
          <t>3</t>
        </is>
      </c>
      <c r="R1594" s="5" t="inlineStr">
        <is>
          <t>7</t>
        </is>
      </c>
      <c r="S1594" s="5" t="inlineStr">
        <is>
          <t>49</t>
        </is>
      </c>
      <c r="T1594" s="5" t="inlineStr">
        <is>
          <t>0</t>
        </is>
      </c>
      <c r="U1594" s="5">
        <f>IFS(C1594&lt;30,"Under 30",C1594&lt;40,"30-39",C1594&lt;50,"40-49",TRUE,"50+")</f>
        <v/>
      </c>
      <c r="V1594" s="5">
        <f>IFS(O1594&lt;60000,"Low (&lt;60k)",O1594&lt;100000,"Mid (60-100k)",TRUE,"High (100k+)")</f>
        <v/>
      </c>
      <c r="W1594" s="5">
        <f>IF(M1594="No","Attrited","Active")</f>
        <v/>
      </c>
    </row>
    <row r="1595">
      <c r="A1595" s="5" t="inlineStr">
        <is>
          <t>E01594</t>
        </is>
      </c>
      <c r="B1595" s="5" t="inlineStr">
        <is>
          <t>Female</t>
        </is>
      </c>
      <c r="C1595" s="6" t="inlineStr">
        <is>
          <t>27</t>
        </is>
      </c>
      <c r="D1595" s="5" t="inlineStr">
        <is>
          <t>Single</t>
        </is>
      </c>
      <c r="E1595" s="5" t="inlineStr">
        <is>
          <t>PhD</t>
        </is>
      </c>
      <c r="F1595" s="5" t="inlineStr">
        <is>
          <t>Sales</t>
        </is>
      </c>
      <c r="G1595" s="5" t="inlineStr">
        <is>
          <t>Sales Executive</t>
        </is>
      </c>
      <c r="H1595" s="5" t="inlineStr">
        <is>
          <t>1</t>
        </is>
      </c>
      <c r="I1595" s="5" t="inlineStr">
        <is>
          <t>Delhi</t>
        </is>
      </c>
      <c r="J1595" s="5" t="inlineStr">
        <is>
          <t>Full-Time</t>
        </is>
      </c>
      <c r="K1595" s="7" t="n">
        <v>45600</v>
      </c>
      <c r="L1595" s="7" t="inlineStr"/>
      <c r="M1595" s="5" t="inlineStr">
        <is>
          <t>Yes</t>
        </is>
      </c>
      <c r="N1595" s="5" t="inlineStr"/>
      <c r="O1595" s="8" t="inlineStr">
        <is>
          <t>82000</t>
        </is>
      </c>
      <c r="P1595" s="5" t="inlineStr">
        <is>
          <t>15</t>
        </is>
      </c>
      <c r="Q1595" s="5" t="inlineStr">
        <is>
          <t>2</t>
        </is>
      </c>
      <c r="R1595" s="5" t="inlineStr">
        <is>
          <t>5</t>
        </is>
      </c>
      <c r="S1595" s="5" t="inlineStr">
        <is>
          <t>14</t>
        </is>
      </c>
      <c r="T1595" s="5" t="inlineStr">
        <is>
          <t>5</t>
        </is>
      </c>
      <c r="U1595" s="5">
        <f>IFS(C1595&lt;30,"Under 30",C1595&lt;40,"30-39",C1595&lt;50,"40-49",TRUE,"50+")</f>
        <v/>
      </c>
      <c r="V1595" s="5">
        <f>IFS(O1595&lt;60000,"Low (&lt;60k)",O1595&lt;100000,"Mid (60-100k)",TRUE,"High (100k+)")</f>
        <v/>
      </c>
      <c r="W1595" s="5">
        <f>IF(M1595="No","Attrited","Active")</f>
        <v/>
      </c>
    </row>
    <row r="1596">
      <c r="A1596" s="5" t="inlineStr">
        <is>
          <t>E01595</t>
        </is>
      </c>
      <c r="B1596" s="5" t="inlineStr">
        <is>
          <t>Male</t>
        </is>
      </c>
      <c r="C1596" s="6" t="inlineStr">
        <is>
          <t>29</t>
        </is>
      </c>
      <c r="D1596" s="5" t="inlineStr">
        <is>
          <t>Married</t>
        </is>
      </c>
      <c r="E1596" s="5" t="inlineStr">
        <is>
          <t>Diploma</t>
        </is>
      </c>
      <c r="F1596" s="5" t="inlineStr">
        <is>
          <t>Sales</t>
        </is>
      </c>
      <c r="G1596" s="5" t="inlineStr">
        <is>
          <t>Sales Executive</t>
        </is>
      </c>
      <c r="H1596" s="5" t="inlineStr">
        <is>
          <t>1</t>
        </is>
      </c>
      <c r="I1596" s="5" t="inlineStr">
        <is>
          <t>Bengaluru</t>
        </is>
      </c>
      <c r="J1596" s="5" t="inlineStr">
        <is>
          <t>Full-Time</t>
        </is>
      </c>
      <c r="K1596" s="7" t="n">
        <v>44455</v>
      </c>
      <c r="L1596" s="7" t="n">
        <v>44598</v>
      </c>
      <c r="M1596" s="5" t="inlineStr">
        <is>
          <t>No</t>
        </is>
      </c>
      <c r="N1596" s="5" t="inlineStr">
        <is>
          <t>Resigned</t>
        </is>
      </c>
      <c r="O1596" s="8" t="inlineStr">
        <is>
          <t>105000</t>
        </is>
      </c>
      <c r="P1596" s="5" t="inlineStr">
        <is>
          <t>15</t>
        </is>
      </c>
      <c r="Q1596" s="5" t="inlineStr">
        <is>
          <t>4</t>
        </is>
      </c>
      <c r="R1596" s="5" t="inlineStr">
        <is>
          <t>3</t>
        </is>
      </c>
      <c r="S1596" s="5" t="inlineStr">
        <is>
          <t>4</t>
        </is>
      </c>
      <c r="T1596" s="5" t="inlineStr">
        <is>
          <t>18</t>
        </is>
      </c>
      <c r="U1596" s="5">
        <f>IFS(C1596&lt;30,"Under 30",C1596&lt;40,"30-39",C1596&lt;50,"40-49",TRUE,"50+")</f>
        <v/>
      </c>
      <c r="V1596" s="5">
        <f>IFS(O1596&lt;60000,"Low (&lt;60k)",O1596&lt;100000,"Mid (60-100k)",TRUE,"High (100k+)")</f>
        <v/>
      </c>
      <c r="W1596" s="5">
        <f>IF(M1596="No","Attrited","Active")</f>
        <v/>
      </c>
    </row>
    <row r="1597">
      <c r="A1597" s="5" t="inlineStr">
        <is>
          <t>E01596</t>
        </is>
      </c>
      <c r="B1597" s="5" t="inlineStr">
        <is>
          <t>Male</t>
        </is>
      </c>
      <c r="C1597" s="6" t="inlineStr">
        <is>
          <t>34</t>
        </is>
      </c>
      <c r="D1597" s="5" t="inlineStr">
        <is>
          <t>Married</t>
        </is>
      </c>
      <c r="E1597" s="5" t="inlineStr">
        <is>
          <t>High School</t>
        </is>
      </c>
      <c r="F1597" s="5" t="inlineStr">
        <is>
          <t>Marketing</t>
        </is>
      </c>
      <c r="G1597" s="5" t="inlineStr">
        <is>
          <t>SEO Specialist</t>
        </is>
      </c>
      <c r="H1597" s="5" t="inlineStr">
        <is>
          <t>2</t>
        </is>
      </c>
      <c r="I1597" s="5" t="inlineStr">
        <is>
          <t>Chennai</t>
        </is>
      </c>
      <c r="J1597" s="5" t="inlineStr">
        <is>
          <t>Full-Time</t>
        </is>
      </c>
      <c r="K1597" s="7" t="n">
        <v>45084</v>
      </c>
      <c r="L1597" s="7" t="inlineStr"/>
      <c r="M1597" s="5" t="inlineStr">
        <is>
          <t>Yes</t>
        </is>
      </c>
      <c r="N1597" s="5" t="inlineStr"/>
      <c r="O1597" s="8" t="inlineStr">
        <is>
          <t>60500</t>
        </is>
      </c>
      <c r="P1597" s="5" t="inlineStr">
        <is>
          <t>10</t>
        </is>
      </c>
      <c r="Q1597" s="5" t="inlineStr">
        <is>
          <t>3</t>
        </is>
      </c>
      <c r="R1597" s="5" t="inlineStr">
        <is>
          <t>6</t>
        </is>
      </c>
      <c r="S1597" s="5" t="inlineStr">
        <is>
          <t>31</t>
        </is>
      </c>
      <c r="T1597" s="5" t="inlineStr">
        <is>
          <t>0</t>
        </is>
      </c>
      <c r="U1597" s="5">
        <f>IFS(C1597&lt;30,"Under 30",C1597&lt;40,"30-39",C1597&lt;50,"40-49",TRUE,"50+")</f>
        <v/>
      </c>
      <c r="V1597" s="5">
        <f>IFS(O1597&lt;60000,"Low (&lt;60k)",O1597&lt;100000,"Mid (60-100k)",TRUE,"High (100k+)")</f>
        <v/>
      </c>
      <c r="W1597" s="5">
        <f>IF(M1597="No","Attrited","Active")</f>
        <v/>
      </c>
    </row>
    <row r="1598">
      <c r="A1598" s="5" t="inlineStr">
        <is>
          <t>E01597</t>
        </is>
      </c>
      <c r="B1598" s="5" t="inlineStr">
        <is>
          <t>Male</t>
        </is>
      </c>
      <c r="C1598" s="6" t="inlineStr">
        <is>
          <t>38</t>
        </is>
      </c>
      <c r="D1598" s="5" t="inlineStr">
        <is>
          <t>Married</t>
        </is>
      </c>
      <c r="E1598" s="5" t="inlineStr">
        <is>
          <t>Diploma</t>
        </is>
      </c>
      <c r="F1598" s="5" t="inlineStr">
        <is>
          <t>Customer Support</t>
        </is>
      </c>
      <c r="G1598" s="5" t="inlineStr">
        <is>
          <t>Support Lead</t>
        </is>
      </c>
      <c r="H1598" s="5" t="inlineStr">
        <is>
          <t>6</t>
        </is>
      </c>
      <c r="I1598" s="5" t="inlineStr">
        <is>
          <t>Chennai</t>
        </is>
      </c>
      <c r="J1598" s="5" t="inlineStr">
        <is>
          <t>Part-Time</t>
        </is>
      </c>
      <c r="K1598" s="7" t="n">
        <v>45875</v>
      </c>
      <c r="L1598" s="7" t="n">
        <v>45915</v>
      </c>
      <c r="M1598" s="5" t="inlineStr">
        <is>
          <t>No</t>
        </is>
      </c>
      <c r="N1598" s="5" t="inlineStr">
        <is>
          <t>Retirement</t>
        </is>
      </c>
      <c r="O1598" s="8" t="inlineStr">
        <is>
          <t>108000</t>
        </is>
      </c>
      <c r="P1598" s="5" t="inlineStr">
        <is>
          <t>0</t>
        </is>
      </c>
      <c r="Q1598" s="5" t="inlineStr">
        <is>
          <t>3</t>
        </is>
      </c>
      <c r="R1598" s="5" t="inlineStr">
        <is>
          <t>7</t>
        </is>
      </c>
      <c r="S1598" s="5" t="inlineStr">
        <is>
          <t>1</t>
        </is>
      </c>
      <c r="T1598" s="5" t="inlineStr">
        <is>
          <t>12</t>
        </is>
      </c>
      <c r="U1598" s="5">
        <f>IFS(C1598&lt;30,"Under 30",C1598&lt;40,"30-39",C1598&lt;50,"40-49",TRUE,"50+")</f>
        <v/>
      </c>
      <c r="V1598" s="5">
        <f>IFS(O1598&lt;60000,"Low (&lt;60k)",O1598&lt;100000,"Mid (60-100k)",TRUE,"High (100k+)")</f>
        <v/>
      </c>
      <c r="W1598" s="5">
        <f>IF(M1598="No","Attrited","Active")</f>
        <v/>
      </c>
    </row>
    <row r="1599">
      <c r="A1599" s="5" t="inlineStr">
        <is>
          <t>E01598</t>
        </is>
      </c>
      <c r="B1599" s="5" t="inlineStr">
        <is>
          <t>Male</t>
        </is>
      </c>
      <c r="C1599" s="6" t="inlineStr">
        <is>
          <t>25</t>
        </is>
      </c>
      <c r="D1599" s="5" t="inlineStr">
        <is>
          <t>Married</t>
        </is>
      </c>
      <c r="E1599" s="5" t="inlineStr">
        <is>
          <t>PhD</t>
        </is>
      </c>
      <c r="F1599" s="5" t="inlineStr">
        <is>
          <t>Customer Support</t>
        </is>
      </c>
      <c r="G1599" s="5" t="inlineStr">
        <is>
          <t>Escalation Specialist</t>
        </is>
      </c>
      <c r="H1599" s="5" t="inlineStr">
        <is>
          <t>2</t>
        </is>
      </c>
      <c r="I1599" s="5" t="inlineStr">
        <is>
          <t>Remote</t>
        </is>
      </c>
      <c r="J1599" s="5" t="inlineStr">
        <is>
          <t>Full-Time</t>
        </is>
      </c>
      <c r="K1599" s="7" t="n">
        <v>45531</v>
      </c>
      <c r="L1599" s="7" t="inlineStr"/>
      <c r="M1599" s="5" t="inlineStr">
        <is>
          <t>Yes</t>
        </is>
      </c>
      <c r="N1599" s="5" t="inlineStr"/>
      <c r="O1599" s="8" t="inlineStr">
        <is>
          <t>60000</t>
        </is>
      </c>
      <c r="P1599" s="5" t="inlineStr">
        <is>
          <t>0</t>
        </is>
      </c>
      <c r="Q1599" s="5" t="inlineStr">
        <is>
          <t>4</t>
        </is>
      </c>
      <c r="R1599" s="5" t="inlineStr">
        <is>
          <t>6</t>
        </is>
      </c>
      <c r="S1599" s="5" t="inlineStr">
        <is>
          <t>16</t>
        </is>
      </c>
      <c r="T1599" s="5" t="inlineStr">
        <is>
          <t>5</t>
        </is>
      </c>
      <c r="U1599" s="5">
        <f>IFS(C1599&lt;30,"Under 30",C1599&lt;40,"30-39",C1599&lt;50,"40-49",TRUE,"50+")</f>
        <v/>
      </c>
      <c r="V1599" s="5">
        <f>IFS(O1599&lt;60000,"Low (&lt;60k)",O1599&lt;100000,"Mid (60-100k)",TRUE,"High (100k+)")</f>
        <v/>
      </c>
      <c r="W1599" s="5">
        <f>IF(M1599="No","Attrited","Active")</f>
        <v/>
      </c>
    </row>
    <row r="1600">
      <c r="A1600" s="5" t="inlineStr">
        <is>
          <t>E01599</t>
        </is>
      </c>
      <c r="B1600" s="5" t="inlineStr">
        <is>
          <t>Female</t>
        </is>
      </c>
      <c r="C1600" s="6" t="inlineStr">
        <is>
          <t>34</t>
        </is>
      </c>
      <c r="D1600" s="5" t="inlineStr">
        <is>
          <t>Married</t>
        </is>
      </c>
      <c r="E1600" s="5" t="inlineStr">
        <is>
          <t>Diploma</t>
        </is>
      </c>
      <c r="F1600" s="5" t="inlineStr">
        <is>
          <t>IT</t>
        </is>
      </c>
      <c r="G1600" s="5" t="inlineStr">
        <is>
          <t>Software Engineer</t>
        </is>
      </c>
      <c r="H1600" s="5" t="inlineStr">
        <is>
          <t>2</t>
        </is>
      </c>
      <c r="I1600" s="5" t="inlineStr">
        <is>
          <t>Mumbai</t>
        </is>
      </c>
      <c r="J1600" s="5" t="inlineStr">
        <is>
          <t>Full-Time</t>
        </is>
      </c>
      <c r="K1600" s="7" t="n">
        <v>45082</v>
      </c>
      <c r="L1600" s="7" t="inlineStr"/>
      <c r="M1600" s="5" t="inlineStr">
        <is>
          <t>Yes</t>
        </is>
      </c>
      <c r="N1600" s="5" t="inlineStr"/>
      <c r="O1600" s="8" t="inlineStr">
        <is>
          <t>124500</t>
        </is>
      </c>
      <c r="P1600" s="5" t="inlineStr">
        <is>
          <t>0</t>
        </is>
      </c>
      <c r="Q1600" s="5" t="inlineStr">
        <is>
          <t>3</t>
        </is>
      </c>
      <c r="R1600" s="5" t="inlineStr">
        <is>
          <t>8</t>
        </is>
      </c>
      <c r="S1600" s="5" t="inlineStr">
        <is>
          <t>31</t>
        </is>
      </c>
      <c r="T1600" s="5" t="inlineStr">
        <is>
          <t>0</t>
        </is>
      </c>
      <c r="U1600" s="5">
        <f>IFS(C1600&lt;30,"Under 30",C1600&lt;40,"30-39",C1600&lt;50,"40-49",TRUE,"50+")</f>
        <v/>
      </c>
      <c r="V1600" s="5">
        <f>IFS(O1600&lt;60000,"Low (&lt;60k)",O1600&lt;100000,"Mid (60-100k)",TRUE,"High (100k+)")</f>
        <v/>
      </c>
      <c r="W1600" s="5">
        <f>IF(M1600="No","Attrited","Active")</f>
        <v/>
      </c>
    </row>
    <row r="1601">
      <c r="A1601" s="5" t="inlineStr">
        <is>
          <t>E01600</t>
        </is>
      </c>
      <c r="B1601" s="5" t="inlineStr">
        <is>
          <t>Male</t>
        </is>
      </c>
      <c r="C1601" s="6" t="inlineStr">
        <is>
          <t>35</t>
        </is>
      </c>
      <c r="D1601" s="5" t="inlineStr">
        <is>
          <t>Single</t>
        </is>
      </c>
      <c r="E1601" s="5" t="inlineStr">
        <is>
          <t>Diploma</t>
        </is>
      </c>
      <c r="F1601" s="5" t="inlineStr">
        <is>
          <t>Operations</t>
        </is>
      </c>
      <c r="G1601" s="5" t="inlineStr">
        <is>
          <t>Quality Analyst</t>
        </is>
      </c>
      <c r="H1601" s="5" t="inlineStr">
        <is>
          <t>4</t>
        </is>
      </c>
      <c r="I1601" s="5" t="inlineStr">
        <is>
          <t>Mumbai</t>
        </is>
      </c>
      <c r="J1601" s="5" t="inlineStr">
        <is>
          <t>Part-Time</t>
        </is>
      </c>
      <c r="K1601" s="7" t="n">
        <v>45934</v>
      </c>
      <c r="L1601" s="7" t="n">
        <v>46021</v>
      </c>
      <c r="M1601" s="5" t="inlineStr">
        <is>
          <t>No</t>
        </is>
      </c>
      <c r="N1601" s="5" t="inlineStr">
        <is>
          <t>Performance / Termination</t>
        </is>
      </c>
      <c r="O1601" s="8" t="inlineStr">
        <is>
          <t>133000</t>
        </is>
      </c>
      <c r="P1601" s="5" t="inlineStr">
        <is>
          <t>5</t>
        </is>
      </c>
      <c r="Q1601" s="5" t="inlineStr">
        <is>
          <t>4</t>
        </is>
      </c>
      <c r="R1601" s="5" t="inlineStr">
        <is>
          <t>6</t>
        </is>
      </c>
      <c r="S1601" s="5" t="inlineStr">
        <is>
          <t>2</t>
        </is>
      </c>
      <c r="T1601" s="5" t="inlineStr">
        <is>
          <t>0</t>
        </is>
      </c>
      <c r="U1601" s="5">
        <f>IFS(C1601&lt;30,"Under 30",C1601&lt;40,"30-39",C1601&lt;50,"40-49",TRUE,"50+")</f>
        <v/>
      </c>
      <c r="V1601" s="5">
        <f>IFS(O1601&lt;60000,"Low (&lt;60k)",O1601&lt;100000,"Mid (60-100k)",TRUE,"High (100k+)")</f>
        <v/>
      </c>
      <c r="W1601" s="5">
        <f>IF(M1601="No","Attrited","Active")</f>
        <v/>
      </c>
    </row>
    <row r="1602">
      <c r="A1602" s="5" t="inlineStr">
        <is>
          <t>E01601</t>
        </is>
      </c>
      <c r="B1602" s="5" t="inlineStr">
        <is>
          <t>Male</t>
        </is>
      </c>
      <c r="C1602" s="6" t="inlineStr">
        <is>
          <t>25</t>
        </is>
      </c>
      <c r="D1602" s="5" t="inlineStr">
        <is>
          <t>Married</t>
        </is>
      </c>
      <c r="E1602" s="5" t="inlineStr">
        <is>
          <t>Master</t>
        </is>
      </c>
      <c r="F1602" s="5" t="inlineStr">
        <is>
          <t>Marketing</t>
        </is>
      </c>
      <c r="G1602" s="5" t="inlineStr">
        <is>
          <t>Marketing Analyst</t>
        </is>
      </c>
      <c r="H1602" s="5" t="inlineStr">
        <is>
          <t>2</t>
        </is>
      </c>
      <c r="I1602" s="5" t="inlineStr">
        <is>
          <t>Mumbai</t>
        </is>
      </c>
      <c r="J1602" s="5" t="inlineStr">
        <is>
          <t>Full-Time</t>
        </is>
      </c>
      <c r="K1602" s="7" t="n">
        <v>45011</v>
      </c>
      <c r="L1602" s="7" t="inlineStr"/>
      <c r="M1602" s="5" t="inlineStr">
        <is>
          <t>Yes</t>
        </is>
      </c>
      <c r="N1602" s="5" t="inlineStr"/>
      <c r="O1602" s="8" t="inlineStr">
        <is>
          <t>63000</t>
        </is>
      </c>
      <c r="P1602" s="5" t="inlineStr">
        <is>
          <t>0</t>
        </is>
      </c>
      <c r="Q1602" s="5" t="inlineStr">
        <is>
          <t>4</t>
        </is>
      </c>
      <c r="R1602" s="5" t="inlineStr">
        <is>
          <t>2</t>
        </is>
      </c>
      <c r="S1602" s="5" t="inlineStr">
        <is>
          <t>33</t>
        </is>
      </c>
      <c r="T1602" s="5" t="inlineStr">
        <is>
          <t>10</t>
        </is>
      </c>
      <c r="U1602" s="5">
        <f>IFS(C1602&lt;30,"Under 30",C1602&lt;40,"30-39",C1602&lt;50,"40-49",TRUE,"50+")</f>
        <v/>
      </c>
      <c r="V1602" s="5">
        <f>IFS(O1602&lt;60000,"Low (&lt;60k)",O1602&lt;100000,"Mid (60-100k)",TRUE,"High (100k+)")</f>
        <v/>
      </c>
      <c r="W1602" s="5">
        <f>IF(M1602="No","Attrited","Active")</f>
        <v/>
      </c>
    </row>
    <row r="1603">
      <c r="A1603" s="5" t="inlineStr">
        <is>
          <t>E01602</t>
        </is>
      </c>
      <c r="B1603" s="5" t="inlineStr">
        <is>
          <t>Male</t>
        </is>
      </c>
      <c r="C1603" s="6" t="inlineStr">
        <is>
          <t>26</t>
        </is>
      </c>
      <c r="D1603" s="5" t="inlineStr">
        <is>
          <t>Single</t>
        </is>
      </c>
      <c r="E1603" s="5" t="inlineStr">
        <is>
          <t>Diploma</t>
        </is>
      </c>
      <c r="F1603" s="5" t="inlineStr">
        <is>
          <t>Marketing</t>
        </is>
      </c>
      <c r="G1603" s="5" t="inlineStr">
        <is>
          <t>Content Writer</t>
        </is>
      </c>
      <c r="H1603" s="5" t="inlineStr">
        <is>
          <t>1</t>
        </is>
      </c>
      <c r="I1603" s="5" t="inlineStr">
        <is>
          <t>Mumbai</t>
        </is>
      </c>
      <c r="J1603" s="5" t="inlineStr">
        <is>
          <t>Full-Time</t>
        </is>
      </c>
      <c r="K1603" s="7" t="n">
        <v>44669</v>
      </c>
      <c r="L1603" s="7" t="n">
        <v>44704</v>
      </c>
      <c r="M1603" s="5" t="inlineStr">
        <is>
          <t>No</t>
        </is>
      </c>
      <c r="N1603" s="5" t="inlineStr">
        <is>
          <t>Layoff</t>
        </is>
      </c>
      <c r="O1603" s="8" t="inlineStr">
        <is>
          <t>59500</t>
        </is>
      </c>
      <c r="P1603" s="5" t="inlineStr">
        <is>
          <t>5</t>
        </is>
      </c>
      <c r="Q1603" s="5" t="inlineStr">
        <is>
          <t>4</t>
        </is>
      </c>
      <c r="R1603" s="5" t="inlineStr">
        <is>
          <t>7</t>
        </is>
      </c>
      <c r="S1603" s="5" t="inlineStr">
        <is>
          <t>1</t>
        </is>
      </c>
      <c r="T1603" s="5" t="inlineStr">
        <is>
          <t>5</t>
        </is>
      </c>
      <c r="U1603" s="5">
        <f>IFS(C1603&lt;30,"Under 30",C1603&lt;40,"30-39",C1603&lt;50,"40-49",TRUE,"50+")</f>
        <v/>
      </c>
      <c r="V1603" s="5">
        <f>IFS(O1603&lt;60000,"Low (&lt;60k)",O1603&lt;100000,"Mid (60-100k)",TRUE,"High (100k+)")</f>
        <v/>
      </c>
      <c r="W1603" s="5">
        <f>IF(M1603="No","Attrited","Active")</f>
        <v/>
      </c>
    </row>
    <row r="1604">
      <c r="A1604" s="5" t="inlineStr">
        <is>
          <t>E01603</t>
        </is>
      </c>
      <c r="B1604" s="5" t="inlineStr">
        <is>
          <t>Female</t>
        </is>
      </c>
      <c r="C1604" s="6" t="inlineStr">
        <is>
          <t>25</t>
        </is>
      </c>
      <c r="D1604" s="5" t="inlineStr">
        <is>
          <t>Married</t>
        </is>
      </c>
      <c r="E1604" s="5" t="inlineStr">
        <is>
          <t>Bachelor</t>
        </is>
      </c>
      <c r="F1604" s="5" t="inlineStr">
        <is>
          <t>Operations</t>
        </is>
      </c>
      <c r="G1604" s="5" t="inlineStr">
        <is>
          <t>Logistics Coordinator</t>
        </is>
      </c>
      <c r="H1604" s="5" t="inlineStr">
        <is>
          <t>2</t>
        </is>
      </c>
      <c r="I1604" s="5" t="inlineStr">
        <is>
          <t>Hyderabad</t>
        </is>
      </c>
      <c r="J1604" s="5" t="inlineStr">
        <is>
          <t>Part-Time</t>
        </is>
      </c>
      <c r="K1604" s="7" t="n">
        <v>44446</v>
      </c>
      <c r="L1604" s="7" t="inlineStr"/>
      <c r="M1604" s="5" t="inlineStr">
        <is>
          <t>Yes</t>
        </is>
      </c>
      <c r="N1604" s="5" t="inlineStr"/>
      <c r="O1604" s="8" t="inlineStr">
        <is>
          <t>98500</t>
        </is>
      </c>
      <c r="P1604" s="5" t="inlineStr">
        <is>
          <t>5</t>
        </is>
      </c>
      <c r="Q1604" s="5" t="inlineStr">
        <is>
          <t>2</t>
        </is>
      </c>
      <c r="R1604" s="5" t="inlineStr">
        <is>
          <t>6</t>
        </is>
      </c>
      <c r="S1604" s="5" t="inlineStr">
        <is>
          <t>52</t>
        </is>
      </c>
      <c r="T1604" s="5" t="inlineStr">
        <is>
          <t>4</t>
        </is>
      </c>
      <c r="U1604" s="5">
        <f>IFS(C1604&lt;30,"Under 30",C1604&lt;40,"30-39",C1604&lt;50,"40-49",TRUE,"50+")</f>
        <v/>
      </c>
      <c r="V1604" s="5">
        <f>IFS(O1604&lt;60000,"Low (&lt;60k)",O1604&lt;100000,"Mid (60-100k)",TRUE,"High (100k+)")</f>
        <v/>
      </c>
      <c r="W1604" s="5">
        <f>IF(M1604="No","Attrited","Active")</f>
        <v/>
      </c>
    </row>
    <row r="1605">
      <c r="A1605" s="5" t="inlineStr">
        <is>
          <t>E01604</t>
        </is>
      </c>
      <c r="B1605" s="5" t="inlineStr">
        <is>
          <t>Male</t>
        </is>
      </c>
      <c r="C1605" s="6" t="inlineStr">
        <is>
          <t>38</t>
        </is>
      </c>
      <c r="D1605" s="5" t="inlineStr">
        <is>
          <t>Single</t>
        </is>
      </c>
      <c r="E1605" s="5" t="inlineStr">
        <is>
          <t>Diploma</t>
        </is>
      </c>
      <c r="F1605" s="5" t="inlineStr">
        <is>
          <t>Marketing</t>
        </is>
      </c>
      <c r="G1605" s="5" t="inlineStr">
        <is>
          <t>Content Writer</t>
        </is>
      </c>
      <c r="H1605" s="5" t="inlineStr">
        <is>
          <t>3</t>
        </is>
      </c>
      <c r="I1605" s="5" t="inlineStr">
        <is>
          <t>Delhi</t>
        </is>
      </c>
      <c r="J1605" s="5" t="inlineStr">
        <is>
          <t>Full-Time</t>
        </is>
      </c>
      <c r="K1605" s="7" t="n">
        <v>43885</v>
      </c>
      <c r="L1605" s="7" t="inlineStr"/>
      <c r="M1605" s="5" t="inlineStr">
        <is>
          <t>Yes</t>
        </is>
      </c>
      <c r="N1605" s="5" t="inlineStr"/>
      <c r="O1605" s="8" t="inlineStr">
        <is>
          <t>76500</t>
        </is>
      </c>
      <c r="P1605" s="5" t="inlineStr">
        <is>
          <t>0</t>
        </is>
      </c>
      <c r="Q1605" s="5" t="inlineStr">
        <is>
          <t>4</t>
        </is>
      </c>
      <c r="R1605" s="5" t="inlineStr">
        <is>
          <t>7</t>
        </is>
      </c>
      <c r="S1605" s="5" t="inlineStr">
        <is>
          <t>71</t>
        </is>
      </c>
      <c r="T1605" s="5" t="inlineStr">
        <is>
          <t>0</t>
        </is>
      </c>
      <c r="U1605" s="5">
        <f>IFS(C1605&lt;30,"Under 30",C1605&lt;40,"30-39",C1605&lt;50,"40-49",TRUE,"50+")</f>
        <v/>
      </c>
      <c r="V1605" s="5">
        <f>IFS(O1605&lt;60000,"Low (&lt;60k)",O1605&lt;100000,"Mid (60-100k)",TRUE,"High (100k+)")</f>
        <v/>
      </c>
      <c r="W1605" s="5">
        <f>IF(M1605="No","Attrited","Active")</f>
        <v/>
      </c>
    </row>
    <row r="1606">
      <c r="A1606" s="5" t="inlineStr">
        <is>
          <t>E01605</t>
        </is>
      </c>
      <c r="B1606" s="5" t="inlineStr">
        <is>
          <t>Female</t>
        </is>
      </c>
      <c r="C1606" s="6" t="inlineStr">
        <is>
          <t>39</t>
        </is>
      </c>
      <c r="D1606" s="5" t="inlineStr">
        <is>
          <t>Married</t>
        </is>
      </c>
      <c r="E1606" s="5" t="inlineStr">
        <is>
          <t>Master</t>
        </is>
      </c>
      <c r="F1606" s="5" t="inlineStr">
        <is>
          <t>Operations</t>
        </is>
      </c>
      <c r="G1606" s="5" t="inlineStr">
        <is>
          <t>Operations Analyst</t>
        </is>
      </c>
      <c r="H1606" s="5" t="inlineStr">
        <is>
          <t>4</t>
        </is>
      </c>
      <c r="I1606" s="5" t="inlineStr">
        <is>
          <t>Hyderabad</t>
        </is>
      </c>
      <c r="J1606" s="5" t="inlineStr">
        <is>
          <t>Part-Time</t>
        </is>
      </c>
      <c r="K1606" s="7" t="n">
        <v>45128</v>
      </c>
      <c r="L1606" s="7" t="inlineStr"/>
      <c r="M1606" s="5" t="inlineStr">
        <is>
          <t>Yes</t>
        </is>
      </c>
      <c r="N1606" s="5" t="inlineStr"/>
      <c r="O1606" s="8" t="inlineStr">
        <is>
          <t>103500</t>
        </is>
      </c>
      <c r="P1606" s="5" t="inlineStr">
        <is>
          <t>0</t>
        </is>
      </c>
      <c r="Q1606" s="5" t="inlineStr">
        <is>
          <t>5</t>
        </is>
      </c>
      <c r="R1606" s="5" t="inlineStr">
        <is>
          <t>6</t>
        </is>
      </c>
      <c r="S1606" s="5" t="inlineStr">
        <is>
          <t>29</t>
        </is>
      </c>
      <c r="T1606" s="5" t="inlineStr">
        <is>
          <t>3</t>
        </is>
      </c>
      <c r="U1606" s="5">
        <f>IFS(C1606&lt;30,"Under 30",C1606&lt;40,"30-39",C1606&lt;50,"40-49",TRUE,"50+")</f>
        <v/>
      </c>
      <c r="V1606" s="5">
        <f>IFS(O1606&lt;60000,"Low (&lt;60k)",O1606&lt;100000,"Mid (60-100k)",TRUE,"High (100k+)")</f>
        <v/>
      </c>
      <c r="W1606" s="5">
        <f>IF(M1606="No","Attrited","Active")</f>
        <v/>
      </c>
    </row>
    <row r="1607">
      <c r="A1607" s="5" t="inlineStr">
        <is>
          <t>E01606</t>
        </is>
      </c>
      <c r="B1607" s="5" t="inlineStr">
        <is>
          <t>Female</t>
        </is>
      </c>
      <c r="C1607" s="6" t="inlineStr">
        <is>
          <t>37</t>
        </is>
      </c>
      <c r="D1607" s="5" t="inlineStr">
        <is>
          <t>Married</t>
        </is>
      </c>
      <c r="E1607" s="5" t="inlineStr">
        <is>
          <t>Bachelor</t>
        </is>
      </c>
      <c r="F1607" s="5" t="inlineStr">
        <is>
          <t>Marketing</t>
        </is>
      </c>
      <c r="G1607" s="5" t="inlineStr">
        <is>
          <t>Marketing Analyst</t>
        </is>
      </c>
      <c r="H1607" s="5" t="inlineStr">
        <is>
          <t>5</t>
        </is>
      </c>
      <c r="I1607" s="5" t="inlineStr">
        <is>
          <t>Mumbai</t>
        </is>
      </c>
      <c r="J1607" s="5" t="inlineStr">
        <is>
          <t>Full-Time</t>
        </is>
      </c>
      <c r="K1607" s="7" t="n">
        <v>44477</v>
      </c>
      <c r="L1607" s="7" t="inlineStr"/>
      <c r="M1607" s="5" t="inlineStr">
        <is>
          <t>Yes</t>
        </is>
      </c>
      <c r="N1607" s="5" t="inlineStr"/>
      <c r="O1607" s="8" t="inlineStr">
        <is>
          <t>98000</t>
        </is>
      </c>
      <c r="P1607" s="5" t="inlineStr">
        <is>
          <t>10</t>
        </is>
      </c>
      <c r="Q1607" s="5" t="inlineStr">
        <is>
          <t>3</t>
        </is>
      </c>
      <c r="R1607" s="5" t="inlineStr">
        <is>
          <t>4</t>
        </is>
      </c>
      <c r="S1607" s="5" t="inlineStr">
        <is>
          <t>51</t>
        </is>
      </c>
      <c r="T1607" s="5" t="inlineStr">
        <is>
          <t>8</t>
        </is>
      </c>
      <c r="U1607" s="5">
        <f>IFS(C1607&lt;30,"Under 30",C1607&lt;40,"30-39",C1607&lt;50,"40-49",TRUE,"50+")</f>
        <v/>
      </c>
      <c r="V1607" s="5">
        <f>IFS(O1607&lt;60000,"Low (&lt;60k)",O1607&lt;100000,"Mid (60-100k)",TRUE,"High (100k+)")</f>
        <v/>
      </c>
      <c r="W1607" s="5">
        <f>IF(M1607="No","Attrited","Active")</f>
        <v/>
      </c>
    </row>
    <row r="1608">
      <c r="A1608" s="5" t="inlineStr">
        <is>
          <t>E01607</t>
        </is>
      </c>
      <c r="B1608" s="5" t="inlineStr">
        <is>
          <t>Female</t>
        </is>
      </c>
      <c r="C1608" s="6" t="inlineStr">
        <is>
          <t>25</t>
        </is>
      </c>
      <c r="D1608" s="5" t="inlineStr">
        <is>
          <t>Married</t>
        </is>
      </c>
      <c r="E1608" s="5" t="inlineStr">
        <is>
          <t>Bachelor</t>
        </is>
      </c>
      <c r="F1608" s="5" t="inlineStr">
        <is>
          <t>Marketing</t>
        </is>
      </c>
      <c r="G1608" s="5" t="inlineStr">
        <is>
          <t>SEO Specialist</t>
        </is>
      </c>
      <c r="H1608" s="5" t="inlineStr">
        <is>
          <t>2</t>
        </is>
      </c>
      <c r="I1608" s="5" t="inlineStr">
        <is>
          <t>Bengaluru</t>
        </is>
      </c>
      <c r="J1608" s="5" t="inlineStr">
        <is>
          <t>Full-Time</t>
        </is>
      </c>
      <c r="K1608" s="7" t="n">
        <v>43944</v>
      </c>
      <c r="L1608" s="7" t="inlineStr"/>
      <c r="M1608" s="5" t="inlineStr">
        <is>
          <t>Yes</t>
        </is>
      </c>
      <c r="N1608" s="5" t="inlineStr"/>
      <c r="O1608" s="8" t="inlineStr">
        <is>
          <t>100500</t>
        </is>
      </c>
      <c r="P1608" s="5" t="inlineStr">
        <is>
          <t>10</t>
        </is>
      </c>
      <c r="Q1608" s="5" t="inlineStr">
        <is>
          <t>3</t>
        </is>
      </c>
      <c r="R1608" s="5" t="inlineStr">
        <is>
          <t>6</t>
        </is>
      </c>
      <c r="S1608" s="5" t="inlineStr">
        <is>
          <t>69</t>
        </is>
      </c>
      <c r="T1608" s="5" t="inlineStr">
        <is>
          <t>8</t>
        </is>
      </c>
      <c r="U1608" s="5">
        <f>IFS(C1608&lt;30,"Under 30",C1608&lt;40,"30-39",C1608&lt;50,"40-49",TRUE,"50+")</f>
        <v/>
      </c>
      <c r="V1608" s="5">
        <f>IFS(O1608&lt;60000,"Low (&lt;60k)",O1608&lt;100000,"Mid (60-100k)",TRUE,"High (100k+)")</f>
        <v/>
      </c>
      <c r="W1608" s="5">
        <f>IF(M1608="No","Attrited","Active")</f>
        <v/>
      </c>
    </row>
    <row r="1609">
      <c r="A1609" s="5" t="inlineStr">
        <is>
          <t>E01608</t>
        </is>
      </c>
      <c r="B1609" s="5" t="inlineStr">
        <is>
          <t>Female</t>
        </is>
      </c>
      <c r="C1609" s="6" t="inlineStr">
        <is>
          <t>27</t>
        </is>
      </c>
      <c r="D1609" s="5" t="inlineStr">
        <is>
          <t>Married</t>
        </is>
      </c>
      <c r="E1609" s="5" t="inlineStr">
        <is>
          <t>Master</t>
        </is>
      </c>
      <c r="F1609" s="5" t="inlineStr">
        <is>
          <t>Human Resources</t>
        </is>
      </c>
      <c r="G1609" s="5" t="inlineStr">
        <is>
          <t>HR Generalist</t>
        </is>
      </c>
      <c r="H1609" s="5" t="inlineStr">
        <is>
          <t>3</t>
        </is>
      </c>
      <c r="I1609" s="5" t="inlineStr">
        <is>
          <t>Bengaluru</t>
        </is>
      </c>
      <c r="J1609" s="5" t="inlineStr">
        <is>
          <t>Full-Time</t>
        </is>
      </c>
      <c r="K1609" s="7" t="n">
        <v>44060</v>
      </c>
      <c r="L1609" s="7" t="inlineStr"/>
      <c r="M1609" s="5" t="inlineStr">
        <is>
          <t>Yes</t>
        </is>
      </c>
      <c r="N1609" s="5" t="inlineStr"/>
      <c r="O1609" s="8" t="inlineStr">
        <is>
          <t>79000</t>
        </is>
      </c>
      <c r="P1609" s="5" t="inlineStr">
        <is>
          <t>0</t>
        </is>
      </c>
      <c r="Q1609" s="5" t="inlineStr">
        <is>
          <t>3</t>
        </is>
      </c>
      <c r="R1609" s="5" t="inlineStr">
        <is>
          <t>7</t>
        </is>
      </c>
      <c r="S1609" s="5" t="inlineStr">
        <is>
          <t>65</t>
        </is>
      </c>
      <c r="T1609" s="5" t="inlineStr">
        <is>
          <t>7</t>
        </is>
      </c>
      <c r="U1609" s="5">
        <f>IFS(C1609&lt;30,"Under 30",C1609&lt;40,"30-39",C1609&lt;50,"40-49",TRUE,"50+")</f>
        <v/>
      </c>
      <c r="V1609" s="5">
        <f>IFS(O1609&lt;60000,"Low (&lt;60k)",O1609&lt;100000,"Mid (60-100k)",TRUE,"High (100k+)")</f>
        <v/>
      </c>
      <c r="W1609" s="5">
        <f>IF(M1609="No","Attrited","Active")</f>
        <v/>
      </c>
    </row>
    <row r="1610">
      <c r="A1610" s="5" t="inlineStr">
        <is>
          <t>E01609</t>
        </is>
      </c>
      <c r="B1610" s="5" t="inlineStr">
        <is>
          <t>Female</t>
        </is>
      </c>
      <c r="C1610" s="6" t="inlineStr">
        <is>
          <t>32</t>
        </is>
      </c>
      <c r="D1610" s="5" t="inlineStr">
        <is>
          <t>Married</t>
        </is>
      </c>
      <c r="E1610" s="5" t="inlineStr">
        <is>
          <t>Master</t>
        </is>
      </c>
      <c r="F1610" s="5" t="inlineStr">
        <is>
          <t>Research &amp; Development</t>
        </is>
      </c>
      <c r="G1610" s="5" t="inlineStr">
        <is>
          <t>Research Scientist</t>
        </is>
      </c>
      <c r="H1610" s="5" t="inlineStr">
        <is>
          <t>4</t>
        </is>
      </c>
      <c r="I1610" s="5" t="inlineStr">
        <is>
          <t>Remote</t>
        </is>
      </c>
      <c r="J1610" s="5" t="inlineStr">
        <is>
          <t>Full-Time</t>
        </is>
      </c>
      <c r="K1610" s="7" t="n">
        <v>44434</v>
      </c>
      <c r="L1610" s="7" t="inlineStr"/>
      <c r="M1610" s="5" t="inlineStr">
        <is>
          <t>Yes</t>
        </is>
      </c>
      <c r="N1610" s="5" t="inlineStr"/>
      <c r="O1610" s="8" t="inlineStr">
        <is>
          <t>142000</t>
        </is>
      </c>
      <c r="P1610" s="5" t="inlineStr">
        <is>
          <t>10</t>
        </is>
      </c>
      <c r="Q1610" s="5" t="inlineStr">
        <is>
          <t>2</t>
        </is>
      </c>
      <c r="R1610" s="5" t="inlineStr">
        <is>
          <t>5</t>
        </is>
      </c>
      <c r="S1610" s="5" t="inlineStr">
        <is>
          <t>52</t>
        </is>
      </c>
      <c r="T1610" s="5" t="inlineStr">
        <is>
          <t>5</t>
        </is>
      </c>
      <c r="U1610" s="5">
        <f>IFS(C1610&lt;30,"Under 30",C1610&lt;40,"30-39",C1610&lt;50,"40-49",TRUE,"50+")</f>
        <v/>
      </c>
      <c r="V1610" s="5">
        <f>IFS(O1610&lt;60000,"Low (&lt;60k)",O1610&lt;100000,"Mid (60-100k)",TRUE,"High (100k+)")</f>
        <v/>
      </c>
      <c r="W1610" s="5">
        <f>IF(M1610="No","Attrited","Active")</f>
        <v/>
      </c>
    </row>
    <row r="1611">
      <c r="A1611" s="5" t="inlineStr">
        <is>
          <t>E01610</t>
        </is>
      </c>
      <c r="B1611" s="5" t="inlineStr">
        <is>
          <t>Male</t>
        </is>
      </c>
      <c r="C1611" s="6" t="inlineStr">
        <is>
          <t>31</t>
        </is>
      </c>
      <c r="D1611" s="5" t="inlineStr">
        <is>
          <t>Married</t>
        </is>
      </c>
      <c r="E1611" s="5" t="inlineStr">
        <is>
          <t>Master</t>
        </is>
      </c>
      <c r="F1611" s="5" t="inlineStr">
        <is>
          <t>Finance</t>
        </is>
      </c>
      <c r="G1611" s="5" t="inlineStr">
        <is>
          <t>Financial Analyst</t>
        </is>
      </c>
      <c r="H1611" s="5" t="inlineStr">
        <is>
          <t>4</t>
        </is>
      </c>
      <c r="I1611" s="5" t="inlineStr">
        <is>
          <t>Mumbai</t>
        </is>
      </c>
      <c r="J1611" s="5" t="inlineStr">
        <is>
          <t>Full-Time</t>
        </is>
      </c>
      <c r="K1611" s="7" t="n">
        <v>44538</v>
      </c>
      <c r="L1611" s="7" t="inlineStr"/>
      <c r="M1611" s="5" t="inlineStr">
        <is>
          <t>Yes</t>
        </is>
      </c>
      <c r="N1611" s="5" t="inlineStr"/>
      <c r="O1611" s="8" t="inlineStr">
        <is>
          <t>104500</t>
        </is>
      </c>
      <c r="P1611" s="5" t="inlineStr">
        <is>
          <t>5</t>
        </is>
      </c>
      <c r="Q1611" s="5" t="inlineStr">
        <is>
          <t>5</t>
        </is>
      </c>
      <c r="R1611" s="5" t="inlineStr">
        <is>
          <t>6</t>
        </is>
      </c>
      <c r="S1611" s="5" t="inlineStr">
        <is>
          <t>49</t>
        </is>
      </c>
      <c r="T1611" s="5" t="inlineStr">
        <is>
          <t>6</t>
        </is>
      </c>
      <c r="U1611" s="5">
        <f>IFS(C1611&lt;30,"Under 30",C1611&lt;40,"30-39",C1611&lt;50,"40-49",TRUE,"50+")</f>
        <v/>
      </c>
      <c r="V1611" s="5">
        <f>IFS(O1611&lt;60000,"Low (&lt;60k)",O1611&lt;100000,"Mid (60-100k)",TRUE,"High (100k+)")</f>
        <v/>
      </c>
      <c r="W1611" s="5">
        <f>IF(M1611="No","Attrited","Active")</f>
        <v/>
      </c>
    </row>
    <row r="1612">
      <c r="A1612" s="5" t="inlineStr">
        <is>
          <t>E01611</t>
        </is>
      </c>
      <c r="B1612" s="5" t="inlineStr">
        <is>
          <t>Female</t>
        </is>
      </c>
      <c r="C1612" s="6" t="inlineStr">
        <is>
          <t>26</t>
        </is>
      </c>
      <c r="D1612" s="5" t="inlineStr">
        <is>
          <t>Married</t>
        </is>
      </c>
      <c r="E1612" s="5" t="inlineStr">
        <is>
          <t>Diploma</t>
        </is>
      </c>
      <c r="F1612" s="5" t="inlineStr">
        <is>
          <t>Research &amp; Development</t>
        </is>
      </c>
      <c r="G1612" s="5" t="inlineStr">
        <is>
          <t>Product Engineer</t>
        </is>
      </c>
      <c r="H1612" s="5" t="inlineStr">
        <is>
          <t>2</t>
        </is>
      </c>
      <c r="I1612" s="5" t="inlineStr">
        <is>
          <t>Remote</t>
        </is>
      </c>
      <c r="J1612" s="5" t="inlineStr">
        <is>
          <t>Part-Time</t>
        </is>
      </c>
      <c r="K1612" s="7" t="n">
        <v>44584</v>
      </c>
      <c r="L1612" s="7" t="inlineStr"/>
      <c r="M1612" s="5" t="inlineStr">
        <is>
          <t>Yes</t>
        </is>
      </c>
      <c r="N1612" s="5" t="inlineStr"/>
      <c r="O1612" s="8" t="inlineStr">
        <is>
          <t>124000</t>
        </is>
      </c>
      <c r="P1612" s="5" t="inlineStr">
        <is>
          <t>5</t>
        </is>
      </c>
      <c r="Q1612" s="5" t="inlineStr">
        <is>
          <t>5</t>
        </is>
      </c>
      <c r="R1612" s="5" t="inlineStr">
        <is>
          <t>5</t>
        </is>
      </c>
      <c r="S1612" s="5" t="inlineStr">
        <is>
          <t>47</t>
        </is>
      </c>
      <c r="T1612" s="5" t="inlineStr">
        <is>
          <t>7</t>
        </is>
      </c>
      <c r="U1612" s="5">
        <f>IFS(C1612&lt;30,"Under 30",C1612&lt;40,"30-39",C1612&lt;50,"40-49",TRUE,"50+")</f>
        <v/>
      </c>
      <c r="V1612" s="5">
        <f>IFS(O1612&lt;60000,"Low (&lt;60k)",O1612&lt;100000,"Mid (60-100k)",TRUE,"High (100k+)")</f>
        <v/>
      </c>
      <c r="W1612" s="5">
        <f>IF(M1612="No","Attrited","Active")</f>
        <v/>
      </c>
    </row>
    <row r="1613">
      <c r="A1613" s="5" t="inlineStr">
        <is>
          <t>E01612</t>
        </is>
      </c>
      <c r="B1613" s="5" t="inlineStr">
        <is>
          <t>Female</t>
        </is>
      </c>
      <c r="C1613" s="6" t="inlineStr">
        <is>
          <t>40</t>
        </is>
      </c>
      <c r="D1613" s="5" t="inlineStr">
        <is>
          <t>Married</t>
        </is>
      </c>
      <c r="E1613" s="5" t="inlineStr">
        <is>
          <t>Bachelor</t>
        </is>
      </c>
      <c r="F1613" s="5" t="inlineStr">
        <is>
          <t>Marketing</t>
        </is>
      </c>
      <c r="G1613" s="5" t="inlineStr">
        <is>
          <t>Content Writer</t>
        </is>
      </c>
      <c r="H1613" s="5" t="inlineStr">
        <is>
          <t>6</t>
        </is>
      </c>
      <c r="I1613" s="5" t="inlineStr">
        <is>
          <t>Bengaluru</t>
        </is>
      </c>
      <c r="J1613" s="5" t="inlineStr">
        <is>
          <t>Full-Time</t>
        </is>
      </c>
      <c r="K1613" s="7" t="n">
        <v>45904</v>
      </c>
      <c r="L1613" s="7" t="n">
        <v>46021</v>
      </c>
      <c r="M1613" s="5" t="inlineStr">
        <is>
          <t>No</t>
        </is>
      </c>
      <c r="N1613" s="5" t="inlineStr">
        <is>
          <t>Resigned</t>
        </is>
      </c>
      <c r="O1613" s="8" t="inlineStr">
        <is>
          <t>155500</t>
        </is>
      </c>
      <c r="P1613" s="5" t="inlineStr">
        <is>
          <t>0</t>
        </is>
      </c>
      <c r="Q1613" s="5" t="inlineStr">
        <is>
          <t>3</t>
        </is>
      </c>
      <c r="R1613" s="5" t="inlineStr">
        <is>
          <t>2</t>
        </is>
      </c>
      <c r="S1613" s="5" t="inlineStr">
        <is>
          <t>3</t>
        </is>
      </c>
      <c r="T1613" s="5" t="inlineStr">
        <is>
          <t>4</t>
        </is>
      </c>
      <c r="U1613" s="5">
        <f>IFS(C1613&lt;30,"Under 30",C1613&lt;40,"30-39",C1613&lt;50,"40-49",TRUE,"50+")</f>
        <v/>
      </c>
      <c r="V1613" s="5">
        <f>IFS(O1613&lt;60000,"Low (&lt;60k)",O1613&lt;100000,"Mid (60-100k)",TRUE,"High (100k+)")</f>
        <v/>
      </c>
      <c r="W1613" s="5">
        <f>IF(M1613="No","Attrited","Active")</f>
        <v/>
      </c>
    </row>
    <row r="1614">
      <c r="A1614" s="5" t="inlineStr">
        <is>
          <t>E01613</t>
        </is>
      </c>
      <c r="B1614" s="5" t="inlineStr">
        <is>
          <t>Female</t>
        </is>
      </c>
      <c r="C1614" s="6" t="inlineStr">
        <is>
          <t>32</t>
        </is>
      </c>
      <c r="D1614" s="5" t="inlineStr">
        <is>
          <t>Married</t>
        </is>
      </c>
      <c r="E1614" s="5" t="inlineStr">
        <is>
          <t>Diploma</t>
        </is>
      </c>
      <c r="F1614" s="5" t="inlineStr">
        <is>
          <t>Finance</t>
        </is>
      </c>
      <c r="G1614" s="5" t="inlineStr">
        <is>
          <t>Accountant</t>
        </is>
      </c>
      <c r="H1614" s="5" t="inlineStr">
        <is>
          <t>3</t>
        </is>
      </c>
      <c r="I1614" s="5" t="inlineStr">
        <is>
          <t>Chennai</t>
        </is>
      </c>
      <c r="J1614" s="5" t="inlineStr">
        <is>
          <t>Full-Time</t>
        </is>
      </c>
      <c r="K1614" s="7" t="n">
        <v>43984</v>
      </c>
      <c r="L1614" s="7" t="inlineStr"/>
      <c r="M1614" s="5" t="inlineStr">
        <is>
          <t>Yes</t>
        </is>
      </c>
      <c r="N1614" s="5" t="inlineStr"/>
      <c r="O1614" s="8" t="inlineStr">
        <is>
          <t>93000</t>
        </is>
      </c>
      <c r="P1614" s="5" t="inlineStr">
        <is>
          <t>10</t>
        </is>
      </c>
      <c r="Q1614" s="5" t="inlineStr">
        <is>
          <t>5</t>
        </is>
      </c>
      <c r="R1614" s="5" t="inlineStr">
        <is>
          <t>5</t>
        </is>
      </c>
      <c r="S1614" s="5" t="inlineStr">
        <is>
          <t>67</t>
        </is>
      </c>
      <c r="T1614" s="5" t="inlineStr">
        <is>
          <t>6</t>
        </is>
      </c>
      <c r="U1614" s="5">
        <f>IFS(C1614&lt;30,"Under 30",C1614&lt;40,"30-39",C1614&lt;50,"40-49",TRUE,"50+")</f>
        <v/>
      </c>
      <c r="V1614" s="5">
        <f>IFS(O1614&lt;60000,"Low (&lt;60k)",O1614&lt;100000,"Mid (60-100k)",TRUE,"High (100k+)")</f>
        <v/>
      </c>
      <c r="W1614" s="5">
        <f>IF(M1614="No","Attrited","Active")</f>
        <v/>
      </c>
    </row>
    <row r="1615">
      <c r="A1615" s="5" t="inlineStr">
        <is>
          <t>E01614</t>
        </is>
      </c>
      <c r="B1615" s="5" t="inlineStr">
        <is>
          <t>Male</t>
        </is>
      </c>
      <c r="C1615" s="6" t="inlineStr">
        <is>
          <t>23</t>
        </is>
      </c>
      <c r="D1615" s="5" t="inlineStr">
        <is>
          <t>Married</t>
        </is>
      </c>
      <c r="E1615" s="5" t="inlineStr">
        <is>
          <t>High School</t>
        </is>
      </c>
      <c r="F1615" s="5" t="inlineStr">
        <is>
          <t>Sales</t>
        </is>
      </c>
      <c r="G1615" s="5" t="inlineStr">
        <is>
          <t>Business Development</t>
        </is>
      </c>
      <c r="H1615" s="5" t="inlineStr">
        <is>
          <t>1</t>
        </is>
      </c>
      <c r="I1615" s="5" t="inlineStr">
        <is>
          <t>Remote</t>
        </is>
      </c>
      <c r="J1615" s="5" t="inlineStr">
        <is>
          <t>Full-Time</t>
        </is>
      </c>
      <c r="K1615" s="7" t="n">
        <v>43863</v>
      </c>
      <c r="L1615" s="7" t="n">
        <v>43896</v>
      </c>
      <c r="M1615" s="5" t="inlineStr">
        <is>
          <t>No</t>
        </is>
      </c>
      <c r="N1615" s="5" t="inlineStr">
        <is>
          <t>Resigned</t>
        </is>
      </c>
      <c r="O1615" s="8" t="inlineStr">
        <is>
          <t>96500</t>
        </is>
      </c>
      <c r="P1615" s="5" t="inlineStr">
        <is>
          <t>5</t>
        </is>
      </c>
      <c r="Q1615" s="5" t="inlineStr">
        <is>
          <t>3</t>
        </is>
      </c>
      <c r="R1615" s="5" t="inlineStr">
        <is>
          <t>7</t>
        </is>
      </c>
      <c r="S1615" s="5" t="inlineStr">
        <is>
          <t>1</t>
        </is>
      </c>
      <c r="T1615" s="5" t="inlineStr">
        <is>
          <t>12</t>
        </is>
      </c>
      <c r="U1615" s="5">
        <f>IFS(C1615&lt;30,"Under 30",C1615&lt;40,"30-39",C1615&lt;50,"40-49",TRUE,"50+")</f>
        <v/>
      </c>
      <c r="V1615" s="5">
        <f>IFS(O1615&lt;60000,"Low (&lt;60k)",O1615&lt;100000,"Mid (60-100k)",TRUE,"High (100k+)")</f>
        <v/>
      </c>
      <c r="W1615" s="5">
        <f>IF(M1615="No","Attrited","Active")</f>
        <v/>
      </c>
    </row>
    <row r="1616">
      <c r="A1616" s="5" t="inlineStr">
        <is>
          <t>E01615</t>
        </is>
      </c>
      <c r="B1616" s="5" t="inlineStr">
        <is>
          <t>Female</t>
        </is>
      </c>
      <c r="C1616" s="6" t="inlineStr">
        <is>
          <t>28</t>
        </is>
      </c>
      <c r="D1616" s="5" t="inlineStr">
        <is>
          <t>Married</t>
        </is>
      </c>
      <c r="E1616" s="5" t="inlineStr">
        <is>
          <t>High School</t>
        </is>
      </c>
      <c r="F1616" s="5" t="inlineStr">
        <is>
          <t>IT</t>
        </is>
      </c>
      <c r="G1616" s="5" t="inlineStr">
        <is>
          <t>Data Analyst</t>
        </is>
      </c>
      <c r="H1616" s="5" t="inlineStr">
        <is>
          <t>2</t>
        </is>
      </c>
      <c r="I1616" s="5" t="inlineStr">
        <is>
          <t>Delhi</t>
        </is>
      </c>
      <c r="J1616" s="5" t="inlineStr">
        <is>
          <t>Full-Time</t>
        </is>
      </c>
      <c r="K1616" s="7" t="n">
        <v>44741</v>
      </c>
      <c r="L1616" s="7" t="n">
        <v>44804</v>
      </c>
      <c r="M1616" s="5" t="inlineStr">
        <is>
          <t>No</t>
        </is>
      </c>
      <c r="N1616" s="5" t="inlineStr">
        <is>
          <t>Resigned</t>
        </is>
      </c>
      <c r="O1616" s="8" t="inlineStr">
        <is>
          <t>122500</t>
        </is>
      </c>
      <c r="P1616" s="5" t="inlineStr">
        <is>
          <t>20</t>
        </is>
      </c>
      <c r="Q1616" s="5" t="inlineStr">
        <is>
          <t>5</t>
        </is>
      </c>
      <c r="R1616" s="5" t="inlineStr">
        <is>
          <t>6</t>
        </is>
      </c>
      <c r="S1616" s="5" t="inlineStr">
        <is>
          <t>2</t>
        </is>
      </c>
      <c r="T1616" s="5" t="inlineStr">
        <is>
          <t>0</t>
        </is>
      </c>
      <c r="U1616" s="5">
        <f>IFS(C1616&lt;30,"Under 30",C1616&lt;40,"30-39",C1616&lt;50,"40-49",TRUE,"50+")</f>
        <v/>
      </c>
      <c r="V1616" s="5">
        <f>IFS(O1616&lt;60000,"Low (&lt;60k)",O1616&lt;100000,"Mid (60-100k)",TRUE,"High (100k+)")</f>
        <v/>
      </c>
      <c r="W1616" s="5">
        <f>IF(M1616="No","Attrited","Active")</f>
        <v/>
      </c>
    </row>
    <row r="1617">
      <c r="A1617" s="5" t="inlineStr">
        <is>
          <t>E01616</t>
        </is>
      </c>
      <c r="B1617" s="5" t="inlineStr">
        <is>
          <t>Female</t>
        </is>
      </c>
      <c r="C1617" s="6" t="inlineStr">
        <is>
          <t>41</t>
        </is>
      </c>
      <c r="D1617" s="5" t="inlineStr">
        <is>
          <t>Married</t>
        </is>
      </c>
      <c r="E1617" s="5" t="inlineStr">
        <is>
          <t>High School</t>
        </is>
      </c>
      <c r="F1617" s="5" t="inlineStr">
        <is>
          <t>Marketing</t>
        </is>
      </c>
      <c r="G1617" s="5" t="inlineStr">
        <is>
          <t>Marketing Analyst</t>
        </is>
      </c>
      <c r="H1617" s="5" t="inlineStr">
        <is>
          <t>5</t>
        </is>
      </c>
      <c r="I1617" s="5" t="inlineStr">
        <is>
          <t>Delhi</t>
        </is>
      </c>
      <c r="J1617" s="5" t="inlineStr">
        <is>
          <t>Part-Time</t>
        </is>
      </c>
      <c r="K1617" s="7" t="n">
        <v>44824</v>
      </c>
      <c r="L1617" s="7" t="inlineStr"/>
      <c r="M1617" s="5" t="inlineStr">
        <is>
          <t>Yes</t>
        </is>
      </c>
      <c r="N1617" s="5" t="inlineStr"/>
      <c r="O1617" s="8" t="inlineStr">
        <is>
          <t>142000</t>
        </is>
      </c>
      <c r="P1617" s="5" t="inlineStr">
        <is>
          <t>15</t>
        </is>
      </c>
      <c r="Q1617" s="5" t="inlineStr">
        <is>
          <t>4</t>
        </is>
      </c>
      <c r="R1617" s="5" t="inlineStr">
        <is>
          <t>7</t>
        </is>
      </c>
      <c r="S1617" s="5" t="inlineStr">
        <is>
          <t>39</t>
        </is>
      </c>
      <c r="T1617" s="5" t="inlineStr">
        <is>
          <t>15</t>
        </is>
      </c>
      <c r="U1617" s="5">
        <f>IFS(C1617&lt;30,"Under 30",C1617&lt;40,"30-39",C1617&lt;50,"40-49",TRUE,"50+")</f>
        <v/>
      </c>
      <c r="V1617" s="5">
        <f>IFS(O1617&lt;60000,"Low (&lt;60k)",O1617&lt;100000,"Mid (60-100k)",TRUE,"High (100k+)")</f>
        <v/>
      </c>
      <c r="W1617" s="5">
        <f>IF(M1617="No","Attrited","Active")</f>
        <v/>
      </c>
    </row>
    <row r="1618">
      <c r="A1618" s="5" t="inlineStr">
        <is>
          <t>E01617</t>
        </is>
      </c>
      <c r="B1618" s="5" t="inlineStr">
        <is>
          <t>Male</t>
        </is>
      </c>
      <c r="C1618" s="6" t="inlineStr">
        <is>
          <t>41</t>
        </is>
      </c>
      <c r="D1618" s="5" t="inlineStr">
        <is>
          <t>Married</t>
        </is>
      </c>
      <c r="E1618" s="5" t="inlineStr">
        <is>
          <t>High School</t>
        </is>
      </c>
      <c r="F1618" s="5" t="inlineStr">
        <is>
          <t>Operations</t>
        </is>
      </c>
      <c r="G1618" s="5" t="inlineStr">
        <is>
          <t>Quality Analyst</t>
        </is>
      </c>
      <c r="H1618" s="5" t="inlineStr">
        <is>
          <t>7</t>
        </is>
      </c>
      <c r="I1618" s="5" t="inlineStr">
        <is>
          <t>Bengaluru</t>
        </is>
      </c>
      <c r="J1618" s="5" t="inlineStr">
        <is>
          <t>Full-Time</t>
        </is>
      </c>
      <c r="K1618" s="7" t="n">
        <v>44168</v>
      </c>
      <c r="L1618" s="7" t="n">
        <v>44317</v>
      </c>
      <c r="M1618" s="5" t="inlineStr">
        <is>
          <t>No</t>
        </is>
      </c>
      <c r="N1618" s="5" t="inlineStr">
        <is>
          <t>Performance / Termination</t>
        </is>
      </c>
      <c r="O1618" s="8" t="inlineStr">
        <is>
          <t>157000</t>
        </is>
      </c>
      <c r="P1618" s="5" t="inlineStr">
        <is>
          <t>0</t>
        </is>
      </c>
      <c r="Q1618" s="5" t="inlineStr">
        <is>
          <t>3</t>
        </is>
      </c>
      <c r="R1618" s="5" t="inlineStr">
        <is>
          <t>3</t>
        </is>
      </c>
      <c r="S1618" s="5" t="inlineStr">
        <is>
          <t>4</t>
        </is>
      </c>
      <c r="T1618" s="5" t="inlineStr">
        <is>
          <t>12</t>
        </is>
      </c>
      <c r="U1618" s="5">
        <f>IFS(C1618&lt;30,"Under 30",C1618&lt;40,"30-39",C1618&lt;50,"40-49",TRUE,"50+")</f>
        <v/>
      </c>
      <c r="V1618" s="5">
        <f>IFS(O1618&lt;60000,"Low (&lt;60k)",O1618&lt;100000,"Mid (60-100k)",TRUE,"High (100k+)")</f>
        <v/>
      </c>
      <c r="W1618" s="5">
        <f>IF(M1618="No","Attrited","Active")</f>
        <v/>
      </c>
    </row>
    <row r="1619">
      <c r="A1619" s="5" t="inlineStr">
        <is>
          <t>E01618</t>
        </is>
      </c>
      <c r="B1619" s="5" t="inlineStr">
        <is>
          <t>Male</t>
        </is>
      </c>
      <c r="C1619" s="6" t="inlineStr">
        <is>
          <t>36</t>
        </is>
      </c>
      <c r="D1619" s="5" t="inlineStr">
        <is>
          <t>Single</t>
        </is>
      </c>
      <c r="E1619" s="5" t="inlineStr">
        <is>
          <t>Bachelor</t>
        </is>
      </c>
      <c r="F1619" s="5" t="inlineStr">
        <is>
          <t>Human Resources</t>
        </is>
      </c>
      <c r="G1619" s="5" t="inlineStr">
        <is>
          <t>HR Analyst</t>
        </is>
      </c>
      <c r="H1619" s="5" t="inlineStr">
        <is>
          <t>5</t>
        </is>
      </c>
      <c r="I1619" s="5" t="inlineStr">
        <is>
          <t>Chennai</t>
        </is>
      </c>
      <c r="J1619" s="5" t="inlineStr">
        <is>
          <t>Full-Time</t>
        </is>
      </c>
      <c r="K1619" s="7" t="n">
        <v>44896</v>
      </c>
      <c r="L1619" s="7" t="inlineStr"/>
      <c r="M1619" s="5" t="inlineStr">
        <is>
          <t>Yes</t>
        </is>
      </c>
      <c r="N1619" s="5" t="inlineStr"/>
      <c r="O1619" s="8" t="inlineStr">
        <is>
          <t>91500</t>
        </is>
      </c>
      <c r="P1619" s="5" t="inlineStr">
        <is>
          <t>5</t>
        </is>
      </c>
      <c r="Q1619" s="5" t="inlineStr">
        <is>
          <t>2</t>
        </is>
      </c>
      <c r="R1619" s="5" t="inlineStr">
        <is>
          <t>6</t>
        </is>
      </c>
      <c r="S1619" s="5" t="inlineStr">
        <is>
          <t>37</t>
        </is>
      </c>
      <c r="T1619" s="5" t="inlineStr">
        <is>
          <t>6</t>
        </is>
      </c>
      <c r="U1619" s="5">
        <f>IFS(C1619&lt;30,"Under 30",C1619&lt;40,"30-39",C1619&lt;50,"40-49",TRUE,"50+")</f>
        <v/>
      </c>
      <c r="V1619" s="5">
        <f>IFS(O1619&lt;60000,"Low (&lt;60k)",O1619&lt;100000,"Mid (60-100k)",TRUE,"High (100k+)")</f>
        <v/>
      </c>
      <c r="W1619" s="5">
        <f>IF(M1619="No","Attrited","Active")</f>
        <v/>
      </c>
    </row>
    <row r="1620">
      <c r="A1620" s="5" t="inlineStr">
        <is>
          <t>E01619</t>
        </is>
      </c>
      <c r="B1620" s="5" t="inlineStr">
        <is>
          <t>Male</t>
        </is>
      </c>
      <c r="C1620" s="6" t="inlineStr">
        <is>
          <t>31</t>
        </is>
      </c>
      <c r="D1620" s="5" t="inlineStr">
        <is>
          <t>Married</t>
        </is>
      </c>
      <c r="E1620" s="5" t="inlineStr">
        <is>
          <t>Diploma</t>
        </is>
      </c>
      <c r="F1620" s="5" t="inlineStr">
        <is>
          <t>Human Resources</t>
        </is>
      </c>
      <c r="G1620" s="5" t="inlineStr">
        <is>
          <t>HR Generalist</t>
        </is>
      </c>
      <c r="H1620" s="5" t="inlineStr">
        <is>
          <t>2</t>
        </is>
      </c>
      <c r="I1620" s="5" t="inlineStr">
        <is>
          <t>Chennai</t>
        </is>
      </c>
      <c r="J1620" s="5" t="inlineStr">
        <is>
          <t>Full-Time</t>
        </is>
      </c>
      <c r="K1620" s="7" t="n">
        <v>45108</v>
      </c>
      <c r="L1620" s="7" t="inlineStr"/>
      <c r="M1620" s="5" t="inlineStr">
        <is>
          <t>Yes</t>
        </is>
      </c>
      <c r="N1620" s="5" t="inlineStr"/>
      <c r="O1620" s="8" t="inlineStr">
        <is>
          <t>92000</t>
        </is>
      </c>
      <c r="P1620" s="5" t="inlineStr">
        <is>
          <t>5</t>
        </is>
      </c>
      <c r="Q1620" s="5" t="inlineStr">
        <is>
          <t>5</t>
        </is>
      </c>
      <c r="R1620" s="5" t="inlineStr">
        <is>
          <t>5</t>
        </is>
      </c>
      <c r="S1620" s="5" t="inlineStr">
        <is>
          <t>30</t>
        </is>
      </c>
      <c r="T1620" s="5" t="inlineStr">
        <is>
          <t>5</t>
        </is>
      </c>
      <c r="U1620" s="5">
        <f>IFS(C1620&lt;30,"Under 30",C1620&lt;40,"30-39",C1620&lt;50,"40-49",TRUE,"50+")</f>
        <v/>
      </c>
      <c r="V1620" s="5">
        <f>IFS(O1620&lt;60000,"Low (&lt;60k)",O1620&lt;100000,"Mid (60-100k)",TRUE,"High (100k+)")</f>
        <v/>
      </c>
      <c r="W1620" s="5">
        <f>IF(M1620="No","Attrited","Active")</f>
        <v/>
      </c>
    </row>
    <row r="1621">
      <c r="A1621" s="5" t="inlineStr">
        <is>
          <t>E01620</t>
        </is>
      </c>
      <c r="B1621" s="5" t="inlineStr">
        <is>
          <t>Female</t>
        </is>
      </c>
      <c r="C1621" s="6" t="inlineStr">
        <is>
          <t>37</t>
        </is>
      </c>
      <c r="D1621" s="5" t="inlineStr">
        <is>
          <t>Single</t>
        </is>
      </c>
      <c r="E1621" s="5" t="inlineStr">
        <is>
          <t>Diploma</t>
        </is>
      </c>
      <c r="F1621" s="5" t="inlineStr">
        <is>
          <t>Customer Support</t>
        </is>
      </c>
      <c r="G1621" s="5" t="inlineStr">
        <is>
          <t>Support Agent</t>
        </is>
      </c>
      <c r="H1621" s="5" t="inlineStr">
        <is>
          <t>5</t>
        </is>
      </c>
      <c r="I1621" s="5" t="inlineStr">
        <is>
          <t>Remote</t>
        </is>
      </c>
      <c r="J1621" s="5" t="inlineStr">
        <is>
          <t>Full-Time</t>
        </is>
      </c>
      <c r="K1621" s="7" t="n">
        <v>44456</v>
      </c>
      <c r="L1621" s="7" t="inlineStr"/>
      <c r="M1621" s="5" t="inlineStr">
        <is>
          <t>Yes</t>
        </is>
      </c>
      <c r="N1621" s="5" t="inlineStr"/>
      <c r="O1621" s="8" t="inlineStr">
        <is>
          <t>109000</t>
        </is>
      </c>
      <c r="P1621" s="5" t="inlineStr">
        <is>
          <t>0</t>
        </is>
      </c>
      <c r="Q1621" s="5" t="inlineStr">
        <is>
          <t>4</t>
        </is>
      </c>
      <c r="R1621" s="5" t="inlineStr">
        <is>
          <t>5</t>
        </is>
      </c>
      <c r="S1621" s="5" t="inlineStr">
        <is>
          <t>52</t>
        </is>
      </c>
      <c r="T1621" s="5" t="inlineStr">
        <is>
          <t>0</t>
        </is>
      </c>
      <c r="U1621" s="5">
        <f>IFS(C1621&lt;30,"Under 30",C1621&lt;40,"30-39",C1621&lt;50,"40-49",TRUE,"50+")</f>
        <v/>
      </c>
      <c r="V1621" s="5">
        <f>IFS(O1621&lt;60000,"Low (&lt;60k)",O1621&lt;100000,"Mid (60-100k)",TRUE,"High (100k+)")</f>
        <v/>
      </c>
      <c r="W1621" s="5">
        <f>IF(M1621="No","Attrited","Active")</f>
        <v/>
      </c>
    </row>
    <row r="1622">
      <c r="A1622" s="5" t="inlineStr">
        <is>
          <t>E01621</t>
        </is>
      </c>
      <c r="B1622" s="5" t="inlineStr">
        <is>
          <t>Female</t>
        </is>
      </c>
      <c r="C1622" s="6" t="inlineStr">
        <is>
          <t>34</t>
        </is>
      </c>
      <c r="D1622" s="5" t="inlineStr">
        <is>
          <t>Married</t>
        </is>
      </c>
      <c r="E1622" s="5" t="inlineStr">
        <is>
          <t>PhD</t>
        </is>
      </c>
      <c r="F1622" s="5" t="inlineStr">
        <is>
          <t>Marketing</t>
        </is>
      </c>
      <c r="G1622" s="5" t="inlineStr">
        <is>
          <t>Marketing Analyst</t>
        </is>
      </c>
      <c r="H1622" s="5" t="inlineStr">
        <is>
          <t>5</t>
        </is>
      </c>
      <c r="I1622" s="5" t="inlineStr">
        <is>
          <t>Delhi</t>
        </is>
      </c>
      <c r="J1622" s="5" t="inlineStr">
        <is>
          <t>Full-Time</t>
        </is>
      </c>
      <c r="K1622" s="7" t="n">
        <v>45897</v>
      </c>
      <c r="L1622" s="7" t="inlineStr"/>
      <c r="M1622" s="5" t="inlineStr">
        <is>
          <t>Yes</t>
        </is>
      </c>
      <c r="N1622" s="5" t="inlineStr"/>
      <c r="O1622" s="8" t="inlineStr">
        <is>
          <t>126500</t>
        </is>
      </c>
      <c r="P1622" s="5" t="inlineStr">
        <is>
          <t>10</t>
        </is>
      </c>
      <c r="Q1622" s="5" t="inlineStr">
        <is>
          <t>4</t>
        </is>
      </c>
      <c r="R1622" s="5" t="inlineStr">
        <is>
          <t>6</t>
        </is>
      </c>
      <c r="S1622" s="5" t="inlineStr">
        <is>
          <t>4</t>
        </is>
      </c>
      <c r="T1622" s="5" t="inlineStr">
        <is>
          <t>3</t>
        </is>
      </c>
      <c r="U1622" s="5">
        <f>IFS(C1622&lt;30,"Under 30",C1622&lt;40,"30-39",C1622&lt;50,"40-49",TRUE,"50+")</f>
        <v/>
      </c>
      <c r="V1622" s="5">
        <f>IFS(O1622&lt;60000,"Low (&lt;60k)",O1622&lt;100000,"Mid (60-100k)",TRUE,"High (100k+)")</f>
        <v/>
      </c>
      <c r="W1622" s="5">
        <f>IF(M1622="No","Attrited","Active")</f>
        <v/>
      </c>
    </row>
    <row r="1623">
      <c r="A1623" s="5" t="inlineStr">
        <is>
          <t>E01622</t>
        </is>
      </c>
      <c r="B1623" s="5" t="inlineStr">
        <is>
          <t>Male</t>
        </is>
      </c>
      <c r="C1623" s="6" t="inlineStr">
        <is>
          <t>26</t>
        </is>
      </c>
      <c r="D1623" s="5" t="inlineStr">
        <is>
          <t>Single</t>
        </is>
      </c>
      <c r="E1623" s="5" t="inlineStr">
        <is>
          <t>Diploma</t>
        </is>
      </c>
      <c r="F1623" s="5" t="inlineStr">
        <is>
          <t>Marketing</t>
        </is>
      </c>
      <c r="G1623" s="5" t="inlineStr">
        <is>
          <t>Content Writer</t>
        </is>
      </c>
      <c r="H1623" s="5" t="inlineStr">
        <is>
          <t>1</t>
        </is>
      </c>
      <c r="I1623" s="5" t="inlineStr">
        <is>
          <t>Mumbai</t>
        </is>
      </c>
      <c r="J1623" s="5" t="inlineStr">
        <is>
          <t>Full-Time</t>
        </is>
      </c>
      <c r="K1623" s="7" t="n">
        <v>44142</v>
      </c>
      <c r="L1623" s="7" t="inlineStr"/>
      <c r="M1623" s="5" t="inlineStr">
        <is>
          <t>Yes</t>
        </is>
      </c>
      <c r="N1623" s="5" t="inlineStr"/>
      <c r="O1623" s="8" t="inlineStr">
        <is>
          <t>62500</t>
        </is>
      </c>
      <c r="P1623" s="5" t="inlineStr">
        <is>
          <t>5</t>
        </is>
      </c>
      <c r="Q1623" s="5" t="inlineStr">
        <is>
          <t>4</t>
        </is>
      </c>
      <c r="R1623" s="5" t="inlineStr">
        <is>
          <t>5</t>
        </is>
      </c>
      <c r="S1623" s="5" t="inlineStr">
        <is>
          <t>62</t>
        </is>
      </c>
      <c r="T1623" s="5" t="inlineStr">
        <is>
          <t>0</t>
        </is>
      </c>
      <c r="U1623" s="5">
        <f>IFS(C1623&lt;30,"Under 30",C1623&lt;40,"30-39",C1623&lt;50,"40-49",TRUE,"50+")</f>
        <v/>
      </c>
      <c r="V1623" s="5">
        <f>IFS(O1623&lt;60000,"Low (&lt;60k)",O1623&lt;100000,"Mid (60-100k)",TRUE,"High (100k+)")</f>
        <v/>
      </c>
      <c r="W1623" s="5">
        <f>IF(M1623="No","Attrited","Active")</f>
        <v/>
      </c>
    </row>
    <row r="1624">
      <c r="A1624" s="5" t="inlineStr">
        <is>
          <t>E01623</t>
        </is>
      </c>
      <c r="B1624" s="5" t="inlineStr">
        <is>
          <t>Male</t>
        </is>
      </c>
      <c r="C1624" s="6" t="inlineStr">
        <is>
          <t>31</t>
        </is>
      </c>
      <c r="D1624" s="5" t="inlineStr">
        <is>
          <t>Single</t>
        </is>
      </c>
      <c r="E1624" s="5" t="inlineStr">
        <is>
          <t>Bachelor</t>
        </is>
      </c>
      <c r="F1624" s="5" t="inlineStr">
        <is>
          <t>IT</t>
        </is>
      </c>
      <c r="G1624" s="5" t="inlineStr">
        <is>
          <t>Software Engineer</t>
        </is>
      </c>
      <c r="H1624" s="5" t="inlineStr">
        <is>
          <t>5</t>
        </is>
      </c>
      <c r="I1624" s="5" t="inlineStr">
        <is>
          <t>Remote</t>
        </is>
      </c>
      <c r="J1624" s="5" t="inlineStr">
        <is>
          <t>Full-Time</t>
        </is>
      </c>
      <c r="K1624" s="7" t="n">
        <v>45452</v>
      </c>
      <c r="L1624" s="7" t="inlineStr"/>
      <c r="M1624" s="5" t="inlineStr">
        <is>
          <t>Yes</t>
        </is>
      </c>
      <c r="N1624" s="5" t="inlineStr"/>
      <c r="O1624" s="8" t="inlineStr">
        <is>
          <t>178500</t>
        </is>
      </c>
      <c r="P1624" s="5" t="inlineStr">
        <is>
          <t>10</t>
        </is>
      </c>
      <c r="Q1624" s="5" t="inlineStr">
        <is>
          <t>3</t>
        </is>
      </c>
      <c r="R1624" s="5" t="inlineStr">
        <is>
          <t>7</t>
        </is>
      </c>
      <c r="S1624" s="5" t="inlineStr">
        <is>
          <t>19</t>
        </is>
      </c>
      <c r="T1624" s="5" t="inlineStr">
        <is>
          <t>0</t>
        </is>
      </c>
      <c r="U1624" s="5">
        <f>IFS(C1624&lt;30,"Under 30",C1624&lt;40,"30-39",C1624&lt;50,"40-49",TRUE,"50+")</f>
        <v/>
      </c>
      <c r="V1624" s="5">
        <f>IFS(O1624&lt;60000,"Low (&lt;60k)",O1624&lt;100000,"Mid (60-100k)",TRUE,"High (100k+)")</f>
        <v/>
      </c>
      <c r="W1624" s="5">
        <f>IF(M1624="No","Attrited","Active")</f>
        <v/>
      </c>
    </row>
    <row r="1625">
      <c r="A1625" s="5" t="inlineStr">
        <is>
          <t>E01624</t>
        </is>
      </c>
      <c r="B1625" s="5" t="inlineStr">
        <is>
          <t>Male</t>
        </is>
      </c>
      <c r="C1625" s="6" t="inlineStr">
        <is>
          <t>32</t>
        </is>
      </c>
      <c r="D1625" s="5" t="inlineStr">
        <is>
          <t>Married</t>
        </is>
      </c>
      <c r="E1625" s="5" t="inlineStr">
        <is>
          <t>Master</t>
        </is>
      </c>
      <c r="F1625" s="5" t="inlineStr">
        <is>
          <t>Sales</t>
        </is>
      </c>
      <c r="G1625" s="5" t="inlineStr">
        <is>
          <t>Account Executive</t>
        </is>
      </c>
      <c r="H1625" s="5" t="inlineStr">
        <is>
          <t>3</t>
        </is>
      </c>
      <c r="I1625" s="5" t="inlineStr">
        <is>
          <t>Hyderabad</t>
        </is>
      </c>
      <c r="J1625" s="5" t="inlineStr">
        <is>
          <t>Full-Time</t>
        </is>
      </c>
      <c r="K1625" s="7" t="n">
        <v>45138</v>
      </c>
      <c r="L1625" s="7" t="inlineStr"/>
      <c r="M1625" s="5" t="inlineStr">
        <is>
          <t>Yes</t>
        </is>
      </c>
      <c r="N1625" s="5" t="inlineStr"/>
      <c r="O1625" s="8" t="inlineStr">
        <is>
          <t>87500</t>
        </is>
      </c>
      <c r="P1625" s="5" t="inlineStr">
        <is>
          <t>0</t>
        </is>
      </c>
      <c r="Q1625" s="5" t="inlineStr">
        <is>
          <t>3</t>
        </is>
      </c>
      <c r="R1625" s="5" t="inlineStr">
        <is>
          <t>6</t>
        </is>
      </c>
      <c r="S1625" s="5" t="inlineStr">
        <is>
          <t>29</t>
        </is>
      </c>
      <c r="T1625" s="5" t="inlineStr">
        <is>
          <t>0</t>
        </is>
      </c>
      <c r="U1625" s="5">
        <f>IFS(C1625&lt;30,"Under 30",C1625&lt;40,"30-39",C1625&lt;50,"40-49",TRUE,"50+")</f>
        <v/>
      </c>
      <c r="V1625" s="5">
        <f>IFS(O1625&lt;60000,"Low (&lt;60k)",O1625&lt;100000,"Mid (60-100k)",TRUE,"High (100k+)")</f>
        <v/>
      </c>
      <c r="W1625" s="5">
        <f>IF(M1625="No","Attrited","Active")</f>
        <v/>
      </c>
    </row>
    <row r="1626">
      <c r="A1626" s="5" t="inlineStr">
        <is>
          <t>E01625</t>
        </is>
      </c>
      <c r="B1626" s="5" t="inlineStr">
        <is>
          <t>Female</t>
        </is>
      </c>
      <c r="C1626" s="6" t="inlineStr">
        <is>
          <t>38</t>
        </is>
      </c>
      <c r="D1626" s="5" t="inlineStr">
        <is>
          <t>Married</t>
        </is>
      </c>
      <c r="E1626" s="5" t="inlineStr">
        <is>
          <t>Master</t>
        </is>
      </c>
      <c r="F1626" s="5" t="inlineStr">
        <is>
          <t>Operations</t>
        </is>
      </c>
      <c r="G1626" s="5" t="inlineStr">
        <is>
          <t>Logistics Coordinator</t>
        </is>
      </c>
      <c r="H1626" s="5" t="inlineStr">
        <is>
          <t>5</t>
        </is>
      </c>
      <c r="I1626" s="5" t="inlineStr">
        <is>
          <t>Bengaluru</t>
        </is>
      </c>
      <c r="J1626" s="5" t="inlineStr">
        <is>
          <t>Part-Time</t>
        </is>
      </c>
      <c r="K1626" s="7" t="n">
        <v>44724</v>
      </c>
      <c r="L1626" s="7" t="inlineStr"/>
      <c r="M1626" s="5" t="inlineStr">
        <is>
          <t>Yes</t>
        </is>
      </c>
      <c r="N1626" s="5" t="inlineStr"/>
      <c r="O1626" s="8" t="inlineStr">
        <is>
          <t>140500</t>
        </is>
      </c>
      <c r="P1626" s="5" t="inlineStr">
        <is>
          <t>5</t>
        </is>
      </c>
      <c r="Q1626" s="5" t="inlineStr">
        <is>
          <t>3</t>
        </is>
      </c>
      <c r="R1626" s="5" t="inlineStr">
        <is>
          <t>5</t>
        </is>
      </c>
      <c r="S1626" s="5" t="inlineStr">
        <is>
          <t>43</t>
        </is>
      </c>
      <c r="T1626" s="5" t="inlineStr">
        <is>
          <t>13</t>
        </is>
      </c>
      <c r="U1626" s="5">
        <f>IFS(C1626&lt;30,"Under 30",C1626&lt;40,"30-39",C1626&lt;50,"40-49",TRUE,"50+")</f>
        <v/>
      </c>
      <c r="V1626" s="5">
        <f>IFS(O1626&lt;60000,"Low (&lt;60k)",O1626&lt;100000,"Mid (60-100k)",TRUE,"High (100k+)")</f>
        <v/>
      </c>
      <c r="W1626" s="5">
        <f>IF(M1626="No","Attrited","Active")</f>
        <v/>
      </c>
    </row>
    <row r="1627">
      <c r="A1627" s="5" t="inlineStr">
        <is>
          <t>E01626</t>
        </is>
      </c>
      <c r="B1627" s="5" t="inlineStr">
        <is>
          <t>Female</t>
        </is>
      </c>
      <c r="C1627" s="6" t="inlineStr">
        <is>
          <t>27</t>
        </is>
      </c>
      <c r="D1627" s="5" t="inlineStr">
        <is>
          <t>Single</t>
        </is>
      </c>
      <c r="E1627" s="5" t="inlineStr">
        <is>
          <t>Bachelor</t>
        </is>
      </c>
      <c r="F1627" s="5" t="inlineStr">
        <is>
          <t>Finance</t>
        </is>
      </c>
      <c r="G1627" s="5" t="inlineStr">
        <is>
          <t>Financial Analyst</t>
        </is>
      </c>
      <c r="H1627" s="5" t="inlineStr">
        <is>
          <t>1</t>
        </is>
      </c>
      <c r="I1627" s="5" t="inlineStr">
        <is>
          <t>Remote</t>
        </is>
      </c>
      <c r="J1627" s="5" t="inlineStr">
        <is>
          <t>Full-Time</t>
        </is>
      </c>
      <c r="K1627" s="7" t="n">
        <v>44996</v>
      </c>
      <c r="L1627" s="7" t="inlineStr"/>
      <c r="M1627" s="5" t="inlineStr">
        <is>
          <t>Yes</t>
        </is>
      </c>
      <c r="N1627" s="5" t="inlineStr"/>
      <c r="O1627" s="8" t="inlineStr">
        <is>
          <t>76500</t>
        </is>
      </c>
      <c r="P1627" s="5" t="inlineStr">
        <is>
          <t>0</t>
        </is>
      </c>
      <c r="Q1627" s="5" t="inlineStr">
        <is>
          <t>2</t>
        </is>
      </c>
      <c r="R1627" s="5" t="inlineStr">
        <is>
          <t>4</t>
        </is>
      </c>
      <c r="S1627" s="5" t="inlineStr">
        <is>
          <t>34</t>
        </is>
      </c>
      <c r="T1627" s="5" t="inlineStr">
        <is>
          <t>2</t>
        </is>
      </c>
      <c r="U1627" s="5">
        <f>IFS(C1627&lt;30,"Under 30",C1627&lt;40,"30-39",C1627&lt;50,"40-49",TRUE,"50+")</f>
        <v/>
      </c>
      <c r="V1627" s="5">
        <f>IFS(O1627&lt;60000,"Low (&lt;60k)",O1627&lt;100000,"Mid (60-100k)",TRUE,"High (100k+)")</f>
        <v/>
      </c>
      <c r="W1627" s="5">
        <f>IF(M1627="No","Attrited","Active")</f>
        <v/>
      </c>
    </row>
    <row r="1628">
      <c r="A1628" s="5" t="inlineStr">
        <is>
          <t>E01627</t>
        </is>
      </c>
      <c r="B1628" s="5" t="inlineStr">
        <is>
          <t>Female</t>
        </is>
      </c>
      <c r="C1628" s="6" t="inlineStr">
        <is>
          <t>32</t>
        </is>
      </c>
      <c r="D1628" s="5" t="inlineStr">
        <is>
          <t>Married</t>
        </is>
      </c>
      <c r="E1628" s="5" t="inlineStr">
        <is>
          <t>PhD</t>
        </is>
      </c>
      <c r="F1628" s="5" t="inlineStr">
        <is>
          <t>Marketing</t>
        </is>
      </c>
      <c r="G1628" s="5" t="inlineStr">
        <is>
          <t>SEO Specialist</t>
        </is>
      </c>
      <c r="H1628" s="5" t="inlineStr">
        <is>
          <t>1</t>
        </is>
      </c>
      <c r="I1628" s="5" t="inlineStr">
        <is>
          <t>Chennai</t>
        </is>
      </c>
      <c r="J1628" s="5" t="inlineStr">
        <is>
          <t>Contract</t>
        </is>
      </c>
      <c r="K1628" s="7" t="n">
        <v>45338</v>
      </c>
      <c r="L1628" s="7" t="inlineStr"/>
      <c r="M1628" s="5" t="inlineStr">
        <is>
          <t>Yes</t>
        </is>
      </c>
      <c r="N1628" s="5" t="inlineStr"/>
      <c r="O1628" s="8" t="inlineStr">
        <is>
          <t>75500</t>
        </is>
      </c>
      <c r="P1628" s="5" t="inlineStr">
        <is>
          <t>0</t>
        </is>
      </c>
      <c r="Q1628" s="5" t="inlineStr">
        <is>
          <t>5</t>
        </is>
      </c>
      <c r="R1628" s="5" t="inlineStr">
        <is>
          <t>5</t>
        </is>
      </c>
      <c r="S1628" s="5" t="inlineStr">
        <is>
          <t>22</t>
        </is>
      </c>
      <c r="T1628" s="5" t="inlineStr">
        <is>
          <t>3</t>
        </is>
      </c>
      <c r="U1628" s="5">
        <f>IFS(C1628&lt;30,"Under 30",C1628&lt;40,"30-39",C1628&lt;50,"40-49",TRUE,"50+")</f>
        <v/>
      </c>
      <c r="V1628" s="5">
        <f>IFS(O1628&lt;60000,"Low (&lt;60k)",O1628&lt;100000,"Mid (60-100k)",TRUE,"High (100k+)")</f>
        <v/>
      </c>
      <c r="W1628" s="5">
        <f>IF(M1628="No","Attrited","Active")</f>
        <v/>
      </c>
    </row>
    <row r="1629">
      <c r="A1629" s="5" t="inlineStr">
        <is>
          <t>E01628</t>
        </is>
      </c>
      <c r="B1629" s="5" t="inlineStr">
        <is>
          <t>Male</t>
        </is>
      </c>
      <c r="C1629" s="6" t="inlineStr">
        <is>
          <t>32</t>
        </is>
      </c>
      <c r="D1629" s="5" t="inlineStr">
        <is>
          <t>Married</t>
        </is>
      </c>
      <c r="E1629" s="5" t="inlineStr">
        <is>
          <t>PhD</t>
        </is>
      </c>
      <c r="F1629" s="5" t="inlineStr">
        <is>
          <t>Customer Support</t>
        </is>
      </c>
      <c r="G1629" s="5" t="inlineStr">
        <is>
          <t>Support Agent</t>
        </is>
      </c>
      <c r="H1629" s="5" t="inlineStr">
        <is>
          <t>3</t>
        </is>
      </c>
      <c r="I1629" s="5" t="inlineStr">
        <is>
          <t>Bengaluru</t>
        </is>
      </c>
      <c r="J1629" s="5" t="inlineStr">
        <is>
          <t>Full-Time</t>
        </is>
      </c>
      <c r="K1629" s="7" t="n">
        <v>44949</v>
      </c>
      <c r="L1629" s="7" t="inlineStr"/>
      <c r="M1629" s="5" t="inlineStr">
        <is>
          <t>Yes</t>
        </is>
      </c>
      <c r="N1629" s="5" t="inlineStr"/>
      <c r="O1629" s="8" t="inlineStr">
        <is>
          <t>69500</t>
        </is>
      </c>
      <c r="P1629" s="5" t="inlineStr">
        <is>
          <t>5</t>
        </is>
      </c>
      <c r="Q1629" s="5" t="inlineStr">
        <is>
          <t>4</t>
        </is>
      </c>
      <c r="R1629" s="5" t="inlineStr">
        <is>
          <t>4</t>
        </is>
      </c>
      <c r="S1629" s="5" t="inlineStr">
        <is>
          <t>35</t>
        </is>
      </c>
      <c r="T1629" s="5" t="inlineStr">
        <is>
          <t>2</t>
        </is>
      </c>
      <c r="U1629" s="5">
        <f>IFS(C1629&lt;30,"Under 30",C1629&lt;40,"30-39",C1629&lt;50,"40-49",TRUE,"50+")</f>
        <v/>
      </c>
      <c r="V1629" s="5">
        <f>IFS(O1629&lt;60000,"Low (&lt;60k)",O1629&lt;100000,"Mid (60-100k)",TRUE,"High (100k+)")</f>
        <v/>
      </c>
      <c r="W1629" s="5">
        <f>IF(M1629="No","Attrited","Active")</f>
        <v/>
      </c>
    </row>
    <row r="1630">
      <c r="A1630" s="5" t="inlineStr">
        <is>
          <t>E01629</t>
        </is>
      </c>
      <c r="B1630" s="5" t="inlineStr">
        <is>
          <t>Male</t>
        </is>
      </c>
      <c r="C1630" s="6" t="inlineStr">
        <is>
          <t>45</t>
        </is>
      </c>
      <c r="D1630" s="5" t="inlineStr">
        <is>
          <t>Married</t>
        </is>
      </c>
      <c r="E1630" s="5" t="inlineStr">
        <is>
          <t>High School</t>
        </is>
      </c>
      <c r="F1630" s="5" t="inlineStr">
        <is>
          <t>Finance</t>
        </is>
      </c>
      <c r="G1630" s="5" t="inlineStr">
        <is>
          <t>Credit Analyst</t>
        </is>
      </c>
      <c r="H1630" s="5" t="inlineStr">
        <is>
          <t>7</t>
        </is>
      </c>
      <c r="I1630" s="5" t="inlineStr">
        <is>
          <t>Chennai</t>
        </is>
      </c>
      <c r="J1630" s="5" t="inlineStr">
        <is>
          <t>Full-Time</t>
        </is>
      </c>
      <c r="K1630" s="7" t="n">
        <v>45774</v>
      </c>
      <c r="L1630" s="7" t="n">
        <v>45908</v>
      </c>
      <c r="M1630" s="5" t="inlineStr">
        <is>
          <t>No</t>
        </is>
      </c>
      <c r="N1630" s="5" t="inlineStr">
        <is>
          <t>Resigned</t>
        </is>
      </c>
      <c r="O1630" s="8" t="inlineStr">
        <is>
          <t>161500</t>
        </is>
      </c>
      <c r="P1630" s="5" t="inlineStr">
        <is>
          <t>5</t>
        </is>
      </c>
      <c r="Q1630" s="5" t="inlineStr">
        <is>
          <t>5</t>
        </is>
      </c>
      <c r="R1630" s="5" t="inlineStr">
        <is>
          <t>7</t>
        </is>
      </c>
      <c r="S1630" s="5" t="inlineStr">
        <is>
          <t>4</t>
        </is>
      </c>
      <c r="T1630" s="5" t="inlineStr">
        <is>
          <t>0</t>
        </is>
      </c>
      <c r="U1630" s="5">
        <f>IFS(C1630&lt;30,"Under 30",C1630&lt;40,"30-39",C1630&lt;50,"40-49",TRUE,"50+")</f>
        <v/>
      </c>
      <c r="V1630" s="5">
        <f>IFS(O1630&lt;60000,"Low (&lt;60k)",O1630&lt;100000,"Mid (60-100k)",TRUE,"High (100k+)")</f>
        <v/>
      </c>
      <c r="W1630" s="5">
        <f>IF(M1630="No","Attrited","Active")</f>
        <v/>
      </c>
    </row>
    <row r="1631">
      <c r="A1631" s="5" t="inlineStr">
        <is>
          <t>E01630</t>
        </is>
      </c>
      <c r="B1631" s="5" t="inlineStr">
        <is>
          <t>Male</t>
        </is>
      </c>
      <c r="C1631" s="6" t="inlineStr">
        <is>
          <t>36</t>
        </is>
      </c>
      <c r="D1631" s="5" t="inlineStr">
        <is>
          <t>Single</t>
        </is>
      </c>
      <c r="E1631" s="5" t="inlineStr">
        <is>
          <t>Master</t>
        </is>
      </c>
      <c r="F1631" s="5" t="inlineStr">
        <is>
          <t>Finance</t>
        </is>
      </c>
      <c r="G1631" s="5" t="inlineStr">
        <is>
          <t>Financial Analyst</t>
        </is>
      </c>
      <c r="H1631" s="5" t="inlineStr">
        <is>
          <t>3</t>
        </is>
      </c>
      <c r="I1631" s="5" t="inlineStr">
        <is>
          <t>Bengaluru</t>
        </is>
      </c>
      <c r="J1631" s="5" t="inlineStr">
        <is>
          <t>Full-Time</t>
        </is>
      </c>
      <c r="K1631" s="7" t="n">
        <v>44023</v>
      </c>
      <c r="L1631" s="7" t="inlineStr"/>
      <c r="M1631" s="5" t="inlineStr">
        <is>
          <t>Yes</t>
        </is>
      </c>
      <c r="N1631" s="5" t="inlineStr"/>
      <c r="O1631" s="8" t="inlineStr">
        <is>
          <t>86500</t>
        </is>
      </c>
      <c r="P1631" s="5" t="inlineStr">
        <is>
          <t>0</t>
        </is>
      </c>
      <c r="Q1631" s="5" t="inlineStr">
        <is>
          <t>3</t>
        </is>
      </c>
      <c r="R1631" s="5" t="inlineStr">
        <is>
          <t>6</t>
        </is>
      </c>
      <c r="S1631" s="5" t="inlineStr">
        <is>
          <t>66</t>
        </is>
      </c>
      <c r="T1631" s="5" t="inlineStr">
        <is>
          <t>11</t>
        </is>
      </c>
      <c r="U1631" s="5">
        <f>IFS(C1631&lt;30,"Under 30",C1631&lt;40,"30-39",C1631&lt;50,"40-49",TRUE,"50+")</f>
        <v/>
      </c>
      <c r="V1631" s="5">
        <f>IFS(O1631&lt;60000,"Low (&lt;60k)",O1631&lt;100000,"Mid (60-100k)",TRUE,"High (100k+)")</f>
        <v/>
      </c>
      <c r="W1631" s="5">
        <f>IF(M1631="No","Attrited","Active")</f>
        <v/>
      </c>
    </row>
    <row r="1632">
      <c r="A1632" s="5" t="inlineStr">
        <is>
          <t>E01631</t>
        </is>
      </c>
      <c r="B1632" s="5" t="inlineStr">
        <is>
          <t>Female</t>
        </is>
      </c>
      <c r="C1632" s="6" t="inlineStr">
        <is>
          <t>29</t>
        </is>
      </c>
      <c r="D1632" s="5" t="inlineStr">
        <is>
          <t>Married</t>
        </is>
      </c>
      <c r="E1632" s="5" t="inlineStr">
        <is>
          <t>Master</t>
        </is>
      </c>
      <c r="F1632" s="5" t="inlineStr">
        <is>
          <t>Operations</t>
        </is>
      </c>
      <c r="G1632" s="5" t="inlineStr">
        <is>
          <t>Operations Analyst</t>
        </is>
      </c>
      <c r="H1632" s="5" t="inlineStr">
        <is>
          <t>2</t>
        </is>
      </c>
      <c r="I1632" s="5" t="inlineStr">
        <is>
          <t>Remote</t>
        </is>
      </c>
      <c r="J1632" s="5" t="inlineStr">
        <is>
          <t>Full-Time</t>
        </is>
      </c>
      <c r="K1632" s="7" t="n">
        <v>45424</v>
      </c>
      <c r="L1632" s="7" t="inlineStr"/>
      <c r="M1632" s="5" t="inlineStr">
        <is>
          <t>Yes</t>
        </is>
      </c>
      <c r="N1632" s="5" t="inlineStr"/>
      <c r="O1632" s="8" t="inlineStr">
        <is>
          <t>113000</t>
        </is>
      </c>
      <c r="P1632" s="5" t="inlineStr">
        <is>
          <t>10</t>
        </is>
      </c>
      <c r="Q1632" s="5" t="inlineStr">
        <is>
          <t>2</t>
        </is>
      </c>
      <c r="R1632" s="5" t="inlineStr">
        <is>
          <t>7</t>
        </is>
      </c>
      <c r="S1632" s="5" t="inlineStr">
        <is>
          <t>19</t>
        </is>
      </c>
      <c r="T1632" s="5" t="inlineStr">
        <is>
          <t>4</t>
        </is>
      </c>
      <c r="U1632" s="5">
        <f>IFS(C1632&lt;30,"Under 30",C1632&lt;40,"30-39",C1632&lt;50,"40-49",TRUE,"50+")</f>
        <v/>
      </c>
      <c r="V1632" s="5">
        <f>IFS(O1632&lt;60000,"Low (&lt;60k)",O1632&lt;100000,"Mid (60-100k)",TRUE,"High (100k+)")</f>
        <v/>
      </c>
      <c r="W1632" s="5">
        <f>IF(M1632="No","Attrited","Active")</f>
        <v/>
      </c>
    </row>
    <row r="1633">
      <c r="A1633" s="5" t="inlineStr">
        <is>
          <t>E01632</t>
        </is>
      </c>
      <c r="B1633" s="5" t="inlineStr">
        <is>
          <t>Female</t>
        </is>
      </c>
      <c r="C1633" s="6" t="inlineStr">
        <is>
          <t>23</t>
        </is>
      </c>
      <c r="D1633" s="5" t="inlineStr">
        <is>
          <t>Married</t>
        </is>
      </c>
      <c r="E1633" s="5" t="inlineStr">
        <is>
          <t>Master</t>
        </is>
      </c>
      <c r="F1633" s="5" t="inlineStr">
        <is>
          <t>IT</t>
        </is>
      </c>
      <c r="G1633" s="5" t="inlineStr">
        <is>
          <t>Software Engineer</t>
        </is>
      </c>
      <c r="H1633" s="5" t="inlineStr">
        <is>
          <t>1</t>
        </is>
      </c>
      <c r="I1633" s="5" t="inlineStr">
        <is>
          <t>Bengaluru</t>
        </is>
      </c>
      <c r="J1633" s="5" t="inlineStr">
        <is>
          <t>Contract</t>
        </is>
      </c>
      <c r="K1633" s="7" t="n">
        <v>43892</v>
      </c>
      <c r="L1633" s="7" t="n">
        <v>43998</v>
      </c>
      <c r="M1633" s="5" t="inlineStr">
        <is>
          <t>No</t>
        </is>
      </c>
      <c r="N1633" s="5" t="inlineStr">
        <is>
          <t>Resigned</t>
        </is>
      </c>
      <c r="O1633" s="8" t="inlineStr">
        <is>
          <t>136500</t>
        </is>
      </c>
      <c r="P1633" s="5" t="inlineStr">
        <is>
          <t>5</t>
        </is>
      </c>
      <c r="Q1633" s="5" t="inlineStr">
        <is>
          <t>3</t>
        </is>
      </c>
      <c r="R1633" s="5" t="inlineStr">
        <is>
          <t>7</t>
        </is>
      </c>
      <c r="S1633" s="5" t="inlineStr">
        <is>
          <t>3</t>
        </is>
      </c>
      <c r="T1633" s="5" t="inlineStr">
        <is>
          <t>8</t>
        </is>
      </c>
      <c r="U1633" s="5">
        <f>IFS(C1633&lt;30,"Under 30",C1633&lt;40,"30-39",C1633&lt;50,"40-49",TRUE,"50+")</f>
        <v/>
      </c>
      <c r="V1633" s="5">
        <f>IFS(O1633&lt;60000,"Low (&lt;60k)",O1633&lt;100000,"Mid (60-100k)",TRUE,"High (100k+)")</f>
        <v/>
      </c>
      <c r="W1633" s="5">
        <f>IF(M1633="No","Attrited","Active")</f>
        <v/>
      </c>
    </row>
    <row r="1634">
      <c r="A1634" s="5" t="inlineStr">
        <is>
          <t>E01633</t>
        </is>
      </c>
      <c r="B1634" s="5" t="inlineStr">
        <is>
          <t>Male</t>
        </is>
      </c>
      <c r="C1634" s="6" t="inlineStr">
        <is>
          <t>43</t>
        </is>
      </c>
      <c r="D1634" s="5" t="inlineStr">
        <is>
          <t>Divorced</t>
        </is>
      </c>
      <c r="E1634" s="5" t="inlineStr">
        <is>
          <t>High School</t>
        </is>
      </c>
      <c r="F1634" s="5" t="inlineStr">
        <is>
          <t>Customer Support</t>
        </is>
      </c>
      <c r="G1634" s="5" t="inlineStr">
        <is>
          <t>Support Agent</t>
        </is>
      </c>
      <c r="H1634" s="5" t="inlineStr">
        <is>
          <t>6</t>
        </is>
      </c>
      <c r="I1634" s="5" t="inlineStr">
        <is>
          <t>Delhi</t>
        </is>
      </c>
      <c r="J1634" s="5" t="inlineStr">
        <is>
          <t>Full-Time</t>
        </is>
      </c>
      <c r="K1634" s="7" t="n">
        <v>45448</v>
      </c>
      <c r="L1634" s="7" t="inlineStr"/>
      <c r="M1634" s="5" t="inlineStr">
        <is>
          <t>Yes</t>
        </is>
      </c>
      <c r="N1634" s="5" t="inlineStr"/>
      <c r="O1634" s="8" t="inlineStr">
        <is>
          <t>107500</t>
        </is>
      </c>
      <c r="P1634" s="5" t="inlineStr">
        <is>
          <t>0</t>
        </is>
      </c>
      <c r="Q1634" s="5" t="inlineStr">
        <is>
          <t>4</t>
        </is>
      </c>
      <c r="R1634" s="5" t="inlineStr">
        <is>
          <t>7</t>
        </is>
      </c>
      <c r="S1634" s="5" t="inlineStr">
        <is>
          <t>19</t>
        </is>
      </c>
      <c r="T1634" s="5" t="inlineStr">
        <is>
          <t>12</t>
        </is>
      </c>
      <c r="U1634" s="5">
        <f>IFS(C1634&lt;30,"Under 30",C1634&lt;40,"30-39",C1634&lt;50,"40-49",TRUE,"50+")</f>
        <v/>
      </c>
      <c r="V1634" s="5">
        <f>IFS(O1634&lt;60000,"Low (&lt;60k)",O1634&lt;100000,"Mid (60-100k)",TRUE,"High (100k+)")</f>
        <v/>
      </c>
      <c r="W1634" s="5">
        <f>IF(M1634="No","Attrited","Active")</f>
        <v/>
      </c>
    </row>
    <row r="1635">
      <c r="A1635" s="5" t="inlineStr">
        <is>
          <t>E01634</t>
        </is>
      </c>
      <c r="B1635" s="5" t="inlineStr">
        <is>
          <t>Male</t>
        </is>
      </c>
      <c r="C1635" s="6" t="inlineStr">
        <is>
          <t>29</t>
        </is>
      </c>
      <c r="D1635" s="5" t="inlineStr">
        <is>
          <t>Married</t>
        </is>
      </c>
      <c r="E1635" s="5" t="inlineStr">
        <is>
          <t>PhD</t>
        </is>
      </c>
      <c r="F1635" s="5" t="inlineStr">
        <is>
          <t>Human Resources</t>
        </is>
      </c>
      <c r="G1635" s="5" t="inlineStr">
        <is>
          <t>Recruiter</t>
        </is>
      </c>
      <c r="H1635" s="5" t="inlineStr">
        <is>
          <t>1</t>
        </is>
      </c>
      <c r="I1635" s="5" t="inlineStr">
        <is>
          <t>Delhi</t>
        </is>
      </c>
      <c r="J1635" s="5" t="inlineStr">
        <is>
          <t>Full-Time</t>
        </is>
      </c>
      <c r="K1635" s="7" t="n">
        <v>45762</v>
      </c>
      <c r="L1635" s="7" t="inlineStr"/>
      <c r="M1635" s="5" t="inlineStr">
        <is>
          <t>Yes</t>
        </is>
      </c>
      <c r="N1635" s="5" t="inlineStr"/>
      <c r="O1635" s="8" t="inlineStr">
        <is>
          <t>60500</t>
        </is>
      </c>
      <c r="P1635" s="5" t="inlineStr">
        <is>
          <t>15</t>
        </is>
      </c>
      <c r="Q1635" s="5" t="inlineStr">
        <is>
          <t>4</t>
        </is>
      </c>
      <c r="R1635" s="5" t="inlineStr">
        <is>
          <t>5</t>
        </is>
      </c>
      <c r="S1635" s="5" t="inlineStr">
        <is>
          <t>8</t>
        </is>
      </c>
      <c r="T1635" s="5" t="inlineStr">
        <is>
          <t>3</t>
        </is>
      </c>
      <c r="U1635" s="5">
        <f>IFS(C1635&lt;30,"Under 30",C1635&lt;40,"30-39",C1635&lt;50,"40-49",TRUE,"50+")</f>
        <v/>
      </c>
      <c r="V1635" s="5">
        <f>IFS(O1635&lt;60000,"Low (&lt;60k)",O1635&lt;100000,"Mid (60-100k)",TRUE,"High (100k+)")</f>
        <v/>
      </c>
      <c r="W1635" s="5">
        <f>IF(M1635="No","Attrited","Active")</f>
        <v/>
      </c>
    </row>
    <row r="1636">
      <c r="A1636" s="5" t="inlineStr">
        <is>
          <t>E01635</t>
        </is>
      </c>
      <c r="B1636" s="5" t="inlineStr">
        <is>
          <t>Female</t>
        </is>
      </c>
      <c r="C1636" s="6" t="inlineStr">
        <is>
          <t>33</t>
        </is>
      </c>
      <c r="D1636" s="5" t="inlineStr">
        <is>
          <t>Single</t>
        </is>
      </c>
      <c r="E1636" s="5" t="inlineStr">
        <is>
          <t>High School</t>
        </is>
      </c>
      <c r="F1636" s="5" t="inlineStr">
        <is>
          <t>Research &amp; Development</t>
        </is>
      </c>
      <c r="G1636" s="5" t="inlineStr">
        <is>
          <t>Product Engineer</t>
        </is>
      </c>
      <c r="H1636" s="5" t="inlineStr">
        <is>
          <t>4</t>
        </is>
      </c>
      <c r="I1636" s="5" t="inlineStr">
        <is>
          <t>Delhi</t>
        </is>
      </c>
      <c r="J1636" s="5" t="inlineStr">
        <is>
          <t>Contract</t>
        </is>
      </c>
      <c r="K1636" s="7" t="n">
        <v>44689</v>
      </c>
      <c r="L1636" s="7" t="inlineStr"/>
      <c r="M1636" s="5" t="inlineStr">
        <is>
          <t>Yes</t>
        </is>
      </c>
      <c r="N1636" s="5" t="inlineStr"/>
      <c r="O1636" s="8" t="inlineStr">
        <is>
          <t>134000</t>
        </is>
      </c>
      <c r="P1636" s="5" t="inlineStr">
        <is>
          <t>20</t>
        </is>
      </c>
      <c r="Q1636" s="5" t="inlineStr">
        <is>
          <t>5</t>
        </is>
      </c>
      <c r="R1636" s="5" t="inlineStr">
        <is>
          <t>4</t>
        </is>
      </c>
      <c r="S1636" s="5" t="inlineStr">
        <is>
          <t>44</t>
        </is>
      </c>
      <c r="T1636" s="5" t="inlineStr">
        <is>
          <t>0</t>
        </is>
      </c>
      <c r="U1636" s="5">
        <f>IFS(C1636&lt;30,"Under 30",C1636&lt;40,"30-39",C1636&lt;50,"40-49",TRUE,"50+")</f>
        <v/>
      </c>
      <c r="V1636" s="5">
        <f>IFS(O1636&lt;60000,"Low (&lt;60k)",O1636&lt;100000,"Mid (60-100k)",TRUE,"High (100k+)")</f>
        <v/>
      </c>
      <c r="W1636" s="5">
        <f>IF(M1636="No","Attrited","Active")</f>
        <v/>
      </c>
    </row>
    <row r="1637">
      <c r="A1637" s="5" t="inlineStr">
        <is>
          <t>E01636</t>
        </is>
      </c>
      <c r="B1637" s="5" t="inlineStr">
        <is>
          <t>Female</t>
        </is>
      </c>
      <c r="C1637" s="6" t="inlineStr">
        <is>
          <t>27</t>
        </is>
      </c>
      <c r="D1637" s="5" t="inlineStr">
        <is>
          <t>Single</t>
        </is>
      </c>
      <c r="E1637" s="5" t="inlineStr">
        <is>
          <t>High School</t>
        </is>
      </c>
      <c r="F1637" s="5" t="inlineStr">
        <is>
          <t>Sales</t>
        </is>
      </c>
      <c r="G1637" s="5" t="inlineStr">
        <is>
          <t>Account Executive</t>
        </is>
      </c>
      <c r="H1637" s="5" t="inlineStr">
        <is>
          <t>3</t>
        </is>
      </c>
      <c r="I1637" s="5" t="inlineStr">
        <is>
          <t>Remote</t>
        </is>
      </c>
      <c r="J1637" s="5" t="inlineStr">
        <is>
          <t>Full-Time</t>
        </is>
      </c>
      <c r="K1637" s="7" t="n">
        <v>45500</v>
      </c>
      <c r="L1637" s="7" t="inlineStr"/>
      <c r="M1637" s="5" t="inlineStr">
        <is>
          <t>Yes</t>
        </is>
      </c>
      <c r="N1637" s="5" t="inlineStr"/>
      <c r="O1637" s="8" t="inlineStr">
        <is>
          <t>106500</t>
        </is>
      </c>
      <c r="P1637" s="5" t="inlineStr">
        <is>
          <t>0</t>
        </is>
      </c>
      <c r="Q1637" s="5" t="inlineStr">
        <is>
          <t>2</t>
        </is>
      </c>
      <c r="R1637" s="5" t="inlineStr">
        <is>
          <t>8</t>
        </is>
      </c>
      <c r="S1637" s="5" t="inlineStr">
        <is>
          <t>17</t>
        </is>
      </c>
      <c r="T1637" s="5" t="inlineStr">
        <is>
          <t>3</t>
        </is>
      </c>
      <c r="U1637" s="5">
        <f>IFS(C1637&lt;30,"Under 30",C1637&lt;40,"30-39",C1637&lt;50,"40-49",TRUE,"50+")</f>
        <v/>
      </c>
      <c r="V1637" s="5">
        <f>IFS(O1637&lt;60000,"Low (&lt;60k)",O1637&lt;100000,"Mid (60-100k)",TRUE,"High (100k+)")</f>
        <v/>
      </c>
      <c r="W1637" s="5">
        <f>IF(M1637="No","Attrited","Active")</f>
        <v/>
      </c>
    </row>
    <row r="1638">
      <c r="A1638" s="5" t="inlineStr">
        <is>
          <t>E01637</t>
        </is>
      </c>
      <c r="B1638" s="5" t="inlineStr">
        <is>
          <t>Female</t>
        </is>
      </c>
      <c r="C1638" s="6" t="inlineStr">
        <is>
          <t>30</t>
        </is>
      </c>
      <c r="D1638" s="5" t="inlineStr">
        <is>
          <t>Single</t>
        </is>
      </c>
      <c r="E1638" s="5" t="inlineStr">
        <is>
          <t>PhD</t>
        </is>
      </c>
      <c r="F1638" s="5" t="inlineStr">
        <is>
          <t>Marketing</t>
        </is>
      </c>
      <c r="G1638" s="5" t="inlineStr">
        <is>
          <t>Marketing Analyst</t>
        </is>
      </c>
      <c r="H1638" s="5" t="inlineStr">
        <is>
          <t>1</t>
        </is>
      </c>
      <c r="I1638" s="5" t="inlineStr">
        <is>
          <t>Remote</t>
        </is>
      </c>
      <c r="J1638" s="5" t="inlineStr">
        <is>
          <t>Full-Time</t>
        </is>
      </c>
      <c r="K1638" s="7" t="n">
        <v>44274</v>
      </c>
      <c r="L1638" s="7" t="inlineStr"/>
      <c r="M1638" s="5" t="inlineStr">
        <is>
          <t>Yes</t>
        </is>
      </c>
      <c r="N1638" s="5" t="inlineStr"/>
      <c r="O1638" s="8" t="inlineStr">
        <is>
          <t>85500</t>
        </is>
      </c>
      <c r="P1638" s="5" t="inlineStr">
        <is>
          <t>20</t>
        </is>
      </c>
      <c r="Q1638" s="5" t="inlineStr">
        <is>
          <t>5</t>
        </is>
      </c>
      <c r="R1638" s="5" t="inlineStr">
        <is>
          <t>9</t>
        </is>
      </c>
      <c r="S1638" s="5" t="inlineStr">
        <is>
          <t>58</t>
        </is>
      </c>
      <c r="T1638" s="5" t="inlineStr">
        <is>
          <t>2</t>
        </is>
      </c>
      <c r="U1638" s="5">
        <f>IFS(C1638&lt;30,"Under 30",C1638&lt;40,"30-39",C1638&lt;50,"40-49",TRUE,"50+")</f>
        <v/>
      </c>
      <c r="V1638" s="5">
        <f>IFS(O1638&lt;60000,"Low (&lt;60k)",O1638&lt;100000,"Mid (60-100k)",TRUE,"High (100k+)")</f>
        <v/>
      </c>
      <c r="W1638" s="5">
        <f>IF(M1638="No","Attrited","Active")</f>
        <v/>
      </c>
    </row>
    <row r="1639">
      <c r="A1639" s="5" t="inlineStr">
        <is>
          <t>E01638</t>
        </is>
      </c>
      <c r="B1639" s="5" t="inlineStr">
        <is>
          <t>Male</t>
        </is>
      </c>
      <c r="C1639" s="6" t="inlineStr">
        <is>
          <t>33</t>
        </is>
      </c>
      <c r="D1639" s="5" t="inlineStr">
        <is>
          <t>Married</t>
        </is>
      </c>
      <c r="E1639" s="5" t="inlineStr">
        <is>
          <t>Diploma</t>
        </is>
      </c>
      <c r="F1639" s="5" t="inlineStr">
        <is>
          <t>Customer Support</t>
        </is>
      </c>
      <c r="G1639" s="5" t="inlineStr">
        <is>
          <t>Escalation Specialist</t>
        </is>
      </c>
      <c r="H1639" s="5" t="inlineStr">
        <is>
          <t>1</t>
        </is>
      </c>
      <c r="I1639" s="5" t="inlineStr">
        <is>
          <t>Hyderabad</t>
        </is>
      </c>
      <c r="J1639" s="5" t="inlineStr">
        <is>
          <t>Full-Time</t>
        </is>
      </c>
      <c r="K1639" s="7" t="n">
        <v>45735</v>
      </c>
      <c r="L1639" s="7" t="inlineStr"/>
      <c r="M1639" s="5" t="inlineStr">
        <is>
          <t>Yes</t>
        </is>
      </c>
      <c r="N1639" s="5" t="inlineStr"/>
      <c r="O1639" s="8" t="inlineStr">
        <is>
          <t>41500</t>
        </is>
      </c>
      <c r="P1639" s="5" t="inlineStr">
        <is>
          <t>5</t>
        </is>
      </c>
      <c r="Q1639" s="5" t="inlineStr">
        <is>
          <t>5</t>
        </is>
      </c>
      <c r="R1639" s="5" t="inlineStr">
        <is>
          <t>9</t>
        </is>
      </c>
      <c r="S1639" s="5" t="inlineStr">
        <is>
          <t>9</t>
        </is>
      </c>
      <c r="T1639" s="5" t="inlineStr">
        <is>
          <t>0</t>
        </is>
      </c>
      <c r="U1639" s="5">
        <f>IFS(C1639&lt;30,"Under 30",C1639&lt;40,"30-39",C1639&lt;50,"40-49",TRUE,"50+")</f>
        <v/>
      </c>
      <c r="V1639" s="5">
        <f>IFS(O1639&lt;60000,"Low (&lt;60k)",O1639&lt;100000,"Mid (60-100k)",TRUE,"High (100k+)")</f>
        <v/>
      </c>
      <c r="W1639" s="5">
        <f>IF(M1639="No","Attrited","Active")</f>
        <v/>
      </c>
    </row>
    <row r="1640">
      <c r="A1640" s="5" t="inlineStr">
        <is>
          <t>E01639</t>
        </is>
      </c>
      <c r="B1640" s="5" t="inlineStr">
        <is>
          <t>Male</t>
        </is>
      </c>
      <c r="C1640" s="6" t="inlineStr">
        <is>
          <t>37</t>
        </is>
      </c>
      <c r="D1640" s="5" t="inlineStr">
        <is>
          <t>Single</t>
        </is>
      </c>
      <c r="E1640" s="5" t="inlineStr">
        <is>
          <t>Bachelor</t>
        </is>
      </c>
      <c r="F1640" s="5" t="inlineStr">
        <is>
          <t>Research &amp; Development</t>
        </is>
      </c>
      <c r="G1640" s="5" t="inlineStr">
        <is>
          <t>Data Scientist</t>
        </is>
      </c>
      <c r="H1640" s="5" t="inlineStr">
        <is>
          <t>5</t>
        </is>
      </c>
      <c r="I1640" s="5" t="inlineStr">
        <is>
          <t>Bengaluru</t>
        </is>
      </c>
      <c r="J1640" s="5" t="inlineStr">
        <is>
          <t>Full-Time</t>
        </is>
      </c>
      <c r="K1640" s="7" t="n">
        <v>45268</v>
      </c>
      <c r="L1640" s="7" t="n">
        <v>45305</v>
      </c>
      <c r="M1640" s="5" t="inlineStr">
        <is>
          <t>No</t>
        </is>
      </c>
      <c r="N1640" s="5" t="inlineStr">
        <is>
          <t>Resigned</t>
        </is>
      </c>
      <c r="O1640" s="8" t="inlineStr">
        <is>
          <t>203000</t>
        </is>
      </c>
      <c r="P1640" s="5" t="inlineStr">
        <is>
          <t>20</t>
        </is>
      </c>
      <c r="Q1640" s="5" t="inlineStr">
        <is>
          <t>3</t>
        </is>
      </c>
      <c r="R1640" s="5" t="inlineStr">
        <is>
          <t>8</t>
        </is>
      </c>
      <c r="S1640" s="5" t="inlineStr">
        <is>
          <t>1</t>
        </is>
      </c>
      <c r="T1640" s="5" t="inlineStr">
        <is>
          <t>11</t>
        </is>
      </c>
      <c r="U1640" s="5">
        <f>IFS(C1640&lt;30,"Under 30",C1640&lt;40,"30-39",C1640&lt;50,"40-49",TRUE,"50+")</f>
        <v/>
      </c>
      <c r="V1640" s="5">
        <f>IFS(O1640&lt;60000,"Low (&lt;60k)",O1640&lt;100000,"Mid (60-100k)",TRUE,"High (100k+)")</f>
        <v/>
      </c>
      <c r="W1640" s="5">
        <f>IF(M1640="No","Attrited","Active")</f>
        <v/>
      </c>
    </row>
    <row r="1641">
      <c r="A1641" s="5" t="inlineStr">
        <is>
          <t>E01640</t>
        </is>
      </c>
      <c r="B1641" s="5" t="inlineStr">
        <is>
          <t>Male</t>
        </is>
      </c>
      <c r="C1641" s="6" t="inlineStr">
        <is>
          <t>28</t>
        </is>
      </c>
      <c r="D1641" s="5" t="inlineStr">
        <is>
          <t>Divorced</t>
        </is>
      </c>
      <c r="E1641" s="5" t="inlineStr">
        <is>
          <t>High School</t>
        </is>
      </c>
      <c r="F1641" s="5" t="inlineStr">
        <is>
          <t>Customer Support</t>
        </is>
      </c>
      <c r="G1641" s="5" t="inlineStr">
        <is>
          <t>Escalation Specialist</t>
        </is>
      </c>
      <c r="H1641" s="5" t="inlineStr">
        <is>
          <t>3</t>
        </is>
      </c>
      <c r="I1641" s="5" t="inlineStr">
        <is>
          <t>Remote</t>
        </is>
      </c>
      <c r="J1641" s="5" t="inlineStr">
        <is>
          <t>Contract</t>
        </is>
      </c>
      <c r="K1641" s="7" t="n">
        <v>45011</v>
      </c>
      <c r="L1641" s="7" t="inlineStr"/>
      <c r="M1641" s="5" t="inlineStr">
        <is>
          <t>Yes</t>
        </is>
      </c>
      <c r="N1641" s="5" t="inlineStr"/>
      <c r="O1641" s="8" t="inlineStr">
        <is>
          <t>74000</t>
        </is>
      </c>
      <c r="P1641" s="5" t="inlineStr">
        <is>
          <t>0</t>
        </is>
      </c>
      <c r="Q1641" s="5" t="inlineStr">
        <is>
          <t>5</t>
        </is>
      </c>
      <c r="R1641" s="5" t="inlineStr">
        <is>
          <t>5</t>
        </is>
      </c>
      <c r="S1641" s="5" t="inlineStr">
        <is>
          <t>33</t>
        </is>
      </c>
      <c r="T1641" s="5" t="inlineStr">
        <is>
          <t>9</t>
        </is>
      </c>
      <c r="U1641" s="5">
        <f>IFS(C1641&lt;30,"Under 30",C1641&lt;40,"30-39",C1641&lt;50,"40-49",TRUE,"50+")</f>
        <v/>
      </c>
      <c r="V1641" s="5">
        <f>IFS(O1641&lt;60000,"Low (&lt;60k)",O1641&lt;100000,"Mid (60-100k)",TRUE,"High (100k+)")</f>
        <v/>
      </c>
      <c r="W1641" s="5">
        <f>IF(M1641="No","Attrited","Active")</f>
        <v/>
      </c>
    </row>
    <row r="1642">
      <c r="A1642" s="5" t="inlineStr">
        <is>
          <t>E01641</t>
        </is>
      </c>
      <c r="B1642" s="5" t="inlineStr">
        <is>
          <t>Male</t>
        </is>
      </c>
      <c r="C1642" s="6" t="inlineStr">
        <is>
          <t>37</t>
        </is>
      </c>
      <c r="D1642" s="5" t="inlineStr">
        <is>
          <t>Married</t>
        </is>
      </c>
      <c r="E1642" s="5" t="inlineStr">
        <is>
          <t>Diploma</t>
        </is>
      </c>
      <c r="F1642" s="5" t="inlineStr">
        <is>
          <t>Sales</t>
        </is>
      </c>
      <c r="G1642" s="5" t="inlineStr">
        <is>
          <t>Sales Executive</t>
        </is>
      </c>
      <c r="H1642" s="5" t="inlineStr">
        <is>
          <t>7</t>
        </is>
      </c>
      <c r="I1642" s="5" t="inlineStr">
        <is>
          <t>Delhi</t>
        </is>
      </c>
      <c r="J1642" s="5" t="inlineStr">
        <is>
          <t>Full-Time</t>
        </is>
      </c>
      <c r="K1642" s="7" t="n">
        <v>44417</v>
      </c>
      <c r="L1642" s="7" t="n">
        <v>44466</v>
      </c>
      <c r="M1642" s="5" t="inlineStr">
        <is>
          <t>No</t>
        </is>
      </c>
      <c r="N1642" s="5" t="inlineStr">
        <is>
          <t>Layoff</t>
        </is>
      </c>
      <c r="O1642" s="8" t="inlineStr">
        <is>
          <t>144000</t>
        </is>
      </c>
      <c r="P1642" s="5" t="inlineStr">
        <is>
          <t>0</t>
        </is>
      </c>
      <c r="Q1642" s="5" t="inlineStr">
        <is>
          <t>3</t>
        </is>
      </c>
      <c r="R1642" s="5" t="inlineStr">
        <is>
          <t>4</t>
        </is>
      </c>
      <c r="S1642" s="5" t="inlineStr">
        <is>
          <t>1</t>
        </is>
      </c>
      <c r="T1642" s="5" t="inlineStr">
        <is>
          <t>4</t>
        </is>
      </c>
      <c r="U1642" s="5">
        <f>IFS(C1642&lt;30,"Under 30",C1642&lt;40,"30-39",C1642&lt;50,"40-49",TRUE,"50+")</f>
        <v/>
      </c>
      <c r="V1642" s="5">
        <f>IFS(O1642&lt;60000,"Low (&lt;60k)",O1642&lt;100000,"Mid (60-100k)",TRUE,"High (100k+)")</f>
        <v/>
      </c>
      <c r="W1642" s="5">
        <f>IF(M1642="No","Attrited","Active")</f>
        <v/>
      </c>
    </row>
    <row r="1643">
      <c r="A1643" s="5" t="inlineStr">
        <is>
          <t>E01642</t>
        </is>
      </c>
      <c r="B1643" s="5" t="inlineStr">
        <is>
          <t>Male</t>
        </is>
      </c>
      <c r="C1643" s="6" t="inlineStr">
        <is>
          <t>43</t>
        </is>
      </c>
      <c r="D1643" s="5" t="inlineStr">
        <is>
          <t>Married</t>
        </is>
      </c>
      <c r="E1643" s="5" t="inlineStr">
        <is>
          <t>PhD</t>
        </is>
      </c>
      <c r="F1643" s="5" t="inlineStr">
        <is>
          <t>Research &amp; Development</t>
        </is>
      </c>
      <c r="G1643" s="5" t="inlineStr">
        <is>
          <t>Research Scientist</t>
        </is>
      </c>
      <c r="H1643" s="5" t="inlineStr">
        <is>
          <t>6</t>
        </is>
      </c>
      <c r="I1643" s="5" t="inlineStr">
        <is>
          <t>Chennai</t>
        </is>
      </c>
      <c r="J1643" s="5" t="inlineStr">
        <is>
          <t>Full-Time</t>
        </is>
      </c>
      <c r="K1643" s="7" t="n">
        <v>44593</v>
      </c>
      <c r="L1643" s="7" t="inlineStr"/>
      <c r="M1643" s="5" t="inlineStr">
        <is>
          <t>Yes</t>
        </is>
      </c>
      <c r="N1643" s="5" t="inlineStr"/>
      <c r="O1643" s="8" t="inlineStr">
        <is>
          <t>179500</t>
        </is>
      </c>
      <c r="P1643" s="5" t="inlineStr">
        <is>
          <t>20</t>
        </is>
      </c>
      <c r="Q1643" s="5" t="inlineStr">
        <is>
          <t>4</t>
        </is>
      </c>
      <c r="R1643" s="5" t="inlineStr">
        <is>
          <t>9</t>
        </is>
      </c>
      <c r="S1643" s="5" t="inlineStr">
        <is>
          <t>47</t>
        </is>
      </c>
      <c r="T1643" s="5" t="inlineStr">
        <is>
          <t>0</t>
        </is>
      </c>
      <c r="U1643" s="5">
        <f>IFS(C1643&lt;30,"Under 30",C1643&lt;40,"30-39",C1643&lt;50,"40-49",TRUE,"50+")</f>
        <v/>
      </c>
      <c r="V1643" s="5">
        <f>IFS(O1643&lt;60000,"Low (&lt;60k)",O1643&lt;100000,"Mid (60-100k)",TRUE,"High (100k+)")</f>
        <v/>
      </c>
      <c r="W1643" s="5">
        <f>IF(M1643="No","Attrited","Active")</f>
        <v/>
      </c>
    </row>
    <row r="1644">
      <c r="A1644" s="5" t="inlineStr">
        <is>
          <t>E01643</t>
        </is>
      </c>
      <c r="B1644" s="5" t="inlineStr">
        <is>
          <t>Male</t>
        </is>
      </c>
      <c r="C1644" s="6" t="inlineStr">
        <is>
          <t>30</t>
        </is>
      </c>
      <c r="D1644" s="5" t="inlineStr">
        <is>
          <t>Married</t>
        </is>
      </c>
      <c r="E1644" s="5" t="inlineStr">
        <is>
          <t>PhD</t>
        </is>
      </c>
      <c r="F1644" s="5" t="inlineStr">
        <is>
          <t>Customer Support</t>
        </is>
      </c>
      <c r="G1644" s="5" t="inlineStr">
        <is>
          <t>Support Lead</t>
        </is>
      </c>
      <c r="H1644" s="5" t="inlineStr">
        <is>
          <t>4</t>
        </is>
      </c>
      <c r="I1644" s="5" t="inlineStr">
        <is>
          <t>Delhi</t>
        </is>
      </c>
      <c r="J1644" s="5" t="inlineStr">
        <is>
          <t>Full-Time</t>
        </is>
      </c>
      <c r="K1644" s="7" t="n">
        <v>45140</v>
      </c>
      <c r="L1644" s="7" t="inlineStr"/>
      <c r="M1644" s="5" t="inlineStr">
        <is>
          <t>Yes</t>
        </is>
      </c>
      <c r="N1644" s="5" t="inlineStr"/>
      <c r="O1644" s="8" t="inlineStr">
        <is>
          <t>96000</t>
        </is>
      </c>
      <c r="P1644" s="5" t="inlineStr">
        <is>
          <t>0</t>
        </is>
      </c>
      <c r="Q1644" s="5" t="inlineStr">
        <is>
          <t>3</t>
        </is>
      </c>
      <c r="R1644" s="5" t="inlineStr">
        <is>
          <t>4</t>
        </is>
      </c>
      <c r="S1644" s="5" t="inlineStr">
        <is>
          <t>29</t>
        </is>
      </c>
      <c r="T1644" s="5" t="inlineStr">
        <is>
          <t>0</t>
        </is>
      </c>
      <c r="U1644" s="5">
        <f>IFS(C1644&lt;30,"Under 30",C1644&lt;40,"30-39",C1644&lt;50,"40-49",TRUE,"50+")</f>
        <v/>
      </c>
      <c r="V1644" s="5">
        <f>IFS(O1644&lt;60000,"Low (&lt;60k)",O1644&lt;100000,"Mid (60-100k)",TRUE,"High (100k+)")</f>
        <v/>
      </c>
      <c r="W1644" s="5">
        <f>IF(M1644="No","Attrited","Active")</f>
        <v/>
      </c>
    </row>
    <row r="1645">
      <c r="A1645" s="5" t="inlineStr">
        <is>
          <t>E01644</t>
        </is>
      </c>
      <c r="B1645" s="5" t="inlineStr">
        <is>
          <t>Male</t>
        </is>
      </c>
      <c r="C1645" s="6" t="inlineStr">
        <is>
          <t>28</t>
        </is>
      </c>
      <c r="D1645" s="5" t="inlineStr">
        <is>
          <t>Married</t>
        </is>
      </c>
      <c r="E1645" s="5" t="inlineStr">
        <is>
          <t>Master</t>
        </is>
      </c>
      <c r="F1645" s="5" t="inlineStr">
        <is>
          <t>Customer Support</t>
        </is>
      </c>
      <c r="G1645" s="5" t="inlineStr">
        <is>
          <t>Support Lead</t>
        </is>
      </c>
      <c r="H1645" s="5" t="inlineStr">
        <is>
          <t>1</t>
        </is>
      </c>
      <c r="I1645" s="5" t="inlineStr">
        <is>
          <t>Remote</t>
        </is>
      </c>
      <c r="J1645" s="5" t="inlineStr">
        <is>
          <t>Full-Time</t>
        </is>
      </c>
      <c r="K1645" s="7" t="n">
        <v>45111</v>
      </c>
      <c r="L1645" s="7" t="inlineStr"/>
      <c r="M1645" s="5" t="inlineStr">
        <is>
          <t>Yes</t>
        </is>
      </c>
      <c r="N1645" s="5" t="inlineStr"/>
      <c r="O1645" s="8" t="inlineStr">
        <is>
          <t>48000</t>
        </is>
      </c>
      <c r="P1645" s="5" t="inlineStr">
        <is>
          <t>5</t>
        </is>
      </c>
      <c r="Q1645" s="5" t="inlineStr">
        <is>
          <t>5</t>
        </is>
      </c>
      <c r="R1645" s="5" t="inlineStr">
        <is>
          <t>6</t>
        </is>
      </c>
      <c r="S1645" s="5" t="inlineStr">
        <is>
          <t>30</t>
        </is>
      </c>
      <c r="T1645" s="5" t="inlineStr">
        <is>
          <t>0</t>
        </is>
      </c>
      <c r="U1645" s="5">
        <f>IFS(C1645&lt;30,"Under 30",C1645&lt;40,"30-39",C1645&lt;50,"40-49",TRUE,"50+")</f>
        <v/>
      </c>
      <c r="V1645" s="5">
        <f>IFS(O1645&lt;60000,"Low (&lt;60k)",O1645&lt;100000,"Mid (60-100k)",TRUE,"High (100k+)")</f>
        <v/>
      </c>
      <c r="W1645" s="5">
        <f>IF(M1645="No","Attrited","Active")</f>
        <v/>
      </c>
    </row>
    <row r="1646">
      <c r="A1646" s="5" t="inlineStr">
        <is>
          <t>E01645</t>
        </is>
      </c>
      <c r="B1646" s="5" t="inlineStr">
        <is>
          <t>Female</t>
        </is>
      </c>
      <c r="C1646" s="6" t="inlineStr">
        <is>
          <t>31</t>
        </is>
      </c>
      <c r="D1646" s="5" t="inlineStr">
        <is>
          <t>Single</t>
        </is>
      </c>
      <c r="E1646" s="5" t="inlineStr">
        <is>
          <t>Diploma</t>
        </is>
      </c>
      <c r="F1646" s="5" t="inlineStr">
        <is>
          <t>Human Resources</t>
        </is>
      </c>
      <c r="G1646" s="5" t="inlineStr">
        <is>
          <t>HR Analyst</t>
        </is>
      </c>
      <c r="H1646" s="5" t="inlineStr">
        <is>
          <t>4</t>
        </is>
      </c>
      <c r="I1646" s="5" t="inlineStr">
        <is>
          <t>Remote</t>
        </is>
      </c>
      <c r="J1646" s="5" t="inlineStr">
        <is>
          <t>Full-Time</t>
        </is>
      </c>
      <c r="K1646" s="7" t="n">
        <v>44651</v>
      </c>
      <c r="L1646" s="7" t="inlineStr"/>
      <c r="M1646" s="5" t="inlineStr">
        <is>
          <t>Yes</t>
        </is>
      </c>
      <c r="N1646" s="5" t="inlineStr"/>
      <c r="O1646" s="8" t="inlineStr">
        <is>
          <t>105000</t>
        </is>
      </c>
      <c r="P1646" s="5" t="inlineStr">
        <is>
          <t>5</t>
        </is>
      </c>
      <c r="Q1646" s="5" t="inlineStr">
        <is>
          <t>5</t>
        </is>
      </c>
      <c r="R1646" s="5" t="inlineStr">
        <is>
          <t>10</t>
        </is>
      </c>
      <c r="S1646" s="5" t="inlineStr">
        <is>
          <t>45</t>
        </is>
      </c>
      <c r="T1646" s="5" t="inlineStr">
        <is>
          <t>6</t>
        </is>
      </c>
      <c r="U1646" s="5">
        <f>IFS(C1646&lt;30,"Under 30",C1646&lt;40,"30-39",C1646&lt;50,"40-49",TRUE,"50+")</f>
        <v/>
      </c>
      <c r="V1646" s="5">
        <f>IFS(O1646&lt;60000,"Low (&lt;60k)",O1646&lt;100000,"Mid (60-100k)",TRUE,"High (100k+)")</f>
        <v/>
      </c>
      <c r="W1646" s="5">
        <f>IF(M1646="No","Attrited","Active")</f>
        <v/>
      </c>
    </row>
    <row r="1647">
      <c r="A1647" s="5" t="inlineStr">
        <is>
          <t>E01646</t>
        </is>
      </c>
      <c r="B1647" s="5" t="inlineStr">
        <is>
          <t>Male</t>
        </is>
      </c>
      <c r="C1647" s="6" t="inlineStr">
        <is>
          <t>25</t>
        </is>
      </c>
      <c r="D1647" s="5" t="inlineStr">
        <is>
          <t>Single</t>
        </is>
      </c>
      <c r="E1647" s="5" t="inlineStr">
        <is>
          <t>Diploma</t>
        </is>
      </c>
      <c r="F1647" s="5" t="inlineStr">
        <is>
          <t>Operations</t>
        </is>
      </c>
      <c r="G1647" s="5" t="inlineStr">
        <is>
          <t>Quality Analyst</t>
        </is>
      </c>
      <c r="H1647" s="5" t="inlineStr">
        <is>
          <t>1</t>
        </is>
      </c>
      <c r="I1647" s="5" t="inlineStr">
        <is>
          <t>Bengaluru</t>
        </is>
      </c>
      <c r="J1647" s="5" t="inlineStr">
        <is>
          <t>Full-Time</t>
        </is>
      </c>
      <c r="K1647" s="7" t="n">
        <v>44932</v>
      </c>
      <c r="L1647" s="7" t="inlineStr"/>
      <c r="M1647" s="5" t="inlineStr">
        <is>
          <t>Yes</t>
        </is>
      </c>
      <c r="N1647" s="5" t="inlineStr"/>
      <c r="O1647" s="8" t="inlineStr">
        <is>
          <t>55500</t>
        </is>
      </c>
      <c r="P1647" s="5" t="inlineStr">
        <is>
          <t>0</t>
        </is>
      </c>
      <c r="Q1647" s="5" t="inlineStr">
        <is>
          <t>3</t>
        </is>
      </c>
      <c r="R1647" s="5" t="inlineStr">
        <is>
          <t>5</t>
        </is>
      </c>
      <c r="S1647" s="5" t="inlineStr">
        <is>
          <t>36</t>
        </is>
      </c>
      <c r="T1647" s="5" t="inlineStr">
        <is>
          <t>10</t>
        </is>
      </c>
      <c r="U1647" s="5">
        <f>IFS(C1647&lt;30,"Under 30",C1647&lt;40,"30-39",C1647&lt;50,"40-49",TRUE,"50+")</f>
        <v/>
      </c>
      <c r="V1647" s="5">
        <f>IFS(O1647&lt;60000,"Low (&lt;60k)",O1647&lt;100000,"Mid (60-100k)",TRUE,"High (100k+)")</f>
        <v/>
      </c>
      <c r="W1647" s="5">
        <f>IF(M1647="No","Attrited","Active")</f>
        <v/>
      </c>
    </row>
    <row r="1648">
      <c r="A1648" s="5" t="inlineStr">
        <is>
          <t>E01647</t>
        </is>
      </c>
      <c r="B1648" s="5" t="inlineStr">
        <is>
          <t>Female</t>
        </is>
      </c>
      <c r="C1648" s="6" t="inlineStr">
        <is>
          <t>34</t>
        </is>
      </c>
      <c r="D1648" s="5" t="inlineStr">
        <is>
          <t>Single</t>
        </is>
      </c>
      <c r="E1648" s="5" t="inlineStr">
        <is>
          <t>High School</t>
        </is>
      </c>
      <c r="F1648" s="5" t="inlineStr">
        <is>
          <t>Marketing</t>
        </is>
      </c>
      <c r="G1648" s="5" t="inlineStr">
        <is>
          <t>Marketing Analyst</t>
        </is>
      </c>
      <c r="H1648" s="5" t="inlineStr">
        <is>
          <t>4</t>
        </is>
      </c>
      <c r="I1648" s="5" t="inlineStr">
        <is>
          <t>Mumbai</t>
        </is>
      </c>
      <c r="J1648" s="5" t="inlineStr">
        <is>
          <t>Full-Time</t>
        </is>
      </c>
      <c r="K1648" s="7" t="n">
        <v>43919</v>
      </c>
      <c r="L1648" s="7" t="inlineStr"/>
      <c r="M1648" s="5" t="inlineStr">
        <is>
          <t>Yes</t>
        </is>
      </c>
      <c r="N1648" s="5" t="inlineStr"/>
      <c r="O1648" s="8" t="inlineStr">
        <is>
          <t>79500</t>
        </is>
      </c>
      <c r="P1648" s="5" t="inlineStr">
        <is>
          <t>15</t>
        </is>
      </c>
      <c r="Q1648" s="5" t="inlineStr">
        <is>
          <t>3</t>
        </is>
      </c>
      <c r="R1648" s="5" t="inlineStr">
        <is>
          <t>6</t>
        </is>
      </c>
      <c r="S1648" s="5" t="inlineStr">
        <is>
          <t>70</t>
        </is>
      </c>
      <c r="T1648" s="5" t="inlineStr">
        <is>
          <t>2</t>
        </is>
      </c>
      <c r="U1648" s="5">
        <f>IFS(C1648&lt;30,"Under 30",C1648&lt;40,"30-39",C1648&lt;50,"40-49",TRUE,"50+")</f>
        <v/>
      </c>
      <c r="V1648" s="5">
        <f>IFS(O1648&lt;60000,"Low (&lt;60k)",O1648&lt;100000,"Mid (60-100k)",TRUE,"High (100k+)")</f>
        <v/>
      </c>
      <c r="W1648" s="5">
        <f>IF(M1648="No","Attrited","Active")</f>
        <v/>
      </c>
    </row>
    <row r="1649">
      <c r="A1649" s="5" t="inlineStr">
        <is>
          <t>E01648</t>
        </is>
      </c>
      <c r="B1649" s="5" t="inlineStr">
        <is>
          <t>Male</t>
        </is>
      </c>
      <c r="C1649" s="6" t="inlineStr">
        <is>
          <t>38</t>
        </is>
      </c>
      <c r="D1649" s="5" t="inlineStr">
        <is>
          <t>Single</t>
        </is>
      </c>
      <c r="E1649" s="5" t="inlineStr">
        <is>
          <t>Diploma</t>
        </is>
      </c>
      <c r="F1649" s="5" t="inlineStr">
        <is>
          <t>Marketing</t>
        </is>
      </c>
      <c r="G1649" s="5" t="inlineStr">
        <is>
          <t>SEO Specialist</t>
        </is>
      </c>
      <c r="H1649" s="5" t="inlineStr">
        <is>
          <t>4</t>
        </is>
      </c>
      <c r="I1649" s="5" t="inlineStr">
        <is>
          <t>Chennai</t>
        </is>
      </c>
      <c r="J1649" s="5" t="inlineStr">
        <is>
          <t>Full-Time</t>
        </is>
      </c>
      <c r="K1649" s="7" t="n">
        <v>44108</v>
      </c>
      <c r="L1649" s="7" t="inlineStr"/>
      <c r="M1649" s="5" t="inlineStr">
        <is>
          <t>Yes</t>
        </is>
      </c>
      <c r="N1649" s="5" t="inlineStr"/>
      <c r="O1649" s="8" t="inlineStr">
        <is>
          <t>118500</t>
        </is>
      </c>
      <c r="P1649" s="5" t="inlineStr">
        <is>
          <t>15</t>
        </is>
      </c>
      <c r="Q1649" s="5" t="inlineStr">
        <is>
          <t>4</t>
        </is>
      </c>
      <c r="R1649" s="5" t="inlineStr">
        <is>
          <t>3</t>
        </is>
      </c>
      <c r="S1649" s="5" t="inlineStr">
        <is>
          <t>63</t>
        </is>
      </c>
      <c r="T1649" s="5" t="inlineStr">
        <is>
          <t>1</t>
        </is>
      </c>
      <c r="U1649" s="5">
        <f>IFS(C1649&lt;30,"Under 30",C1649&lt;40,"30-39",C1649&lt;50,"40-49",TRUE,"50+")</f>
        <v/>
      </c>
      <c r="V1649" s="5">
        <f>IFS(O1649&lt;60000,"Low (&lt;60k)",O1649&lt;100000,"Mid (60-100k)",TRUE,"High (100k+)")</f>
        <v/>
      </c>
      <c r="W1649" s="5">
        <f>IF(M1649="No","Attrited","Active")</f>
        <v/>
      </c>
    </row>
    <row r="1650">
      <c r="A1650" s="5" t="inlineStr">
        <is>
          <t>E01649</t>
        </is>
      </c>
      <c r="B1650" s="5" t="inlineStr">
        <is>
          <t>Female</t>
        </is>
      </c>
      <c r="C1650" s="6" t="inlineStr">
        <is>
          <t>31</t>
        </is>
      </c>
      <c r="D1650" s="5" t="inlineStr">
        <is>
          <t>Married</t>
        </is>
      </c>
      <c r="E1650" s="5" t="inlineStr">
        <is>
          <t>Master</t>
        </is>
      </c>
      <c r="F1650" s="5" t="inlineStr">
        <is>
          <t>IT</t>
        </is>
      </c>
      <c r="G1650" s="5" t="inlineStr">
        <is>
          <t>DevOps Engineer</t>
        </is>
      </c>
      <c r="H1650" s="5" t="inlineStr">
        <is>
          <t>2</t>
        </is>
      </c>
      <c r="I1650" s="5" t="inlineStr">
        <is>
          <t>Delhi</t>
        </is>
      </c>
      <c r="J1650" s="5" t="inlineStr">
        <is>
          <t>Full-Time</t>
        </is>
      </c>
      <c r="K1650" s="7" t="n">
        <v>44265</v>
      </c>
      <c r="L1650" s="7" t="inlineStr"/>
      <c r="M1650" s="5" t="inlineStr">
        <is>
          <t>Yes</t>
        </is>
      </c>
      <c r="N1650" s="5" t="inlineStr"/>
      <c r="O1650" s="8" t="inlineStr">
        <is>
          <t>165000</t>
        </is>
      </c>
      <c r="P1650" s="5" t="inlineStr">
        <is>
          <t>0</t>
        </is>
      </c>
      <c r="Q1650" s="5" t="inlineStr">
        <is>
          <t>4</t>
        </is>
      </c>
      <c r="R1650" s="5" t="inlineStr">
        <is>
          <t>10</t>
        </is>
      </c>
      <c r="S1650" s="5" t="inlineStr">
        <is>
          <t>58</t>
        </is>
      </c>
      <c r="T1650" s="5" t="inlineStr">
        <is>
          <t>11</t>
        </is>
      </c>
      <c r="U1650" s="5">
        <f>IFS(C1650&lt;30,"Under 30",C1650&lt;40,"30-39",C1650&lt;50,"40-49",TRUE,"50+")</f>
        <v/>
      </c>
      <c r="V1650" s="5">
        <f>IFS(O1650&lt;60000,"Low (&lt;60k)",O1650&lt;100000,"Mid (60-100k)",TRUE,"High (100k+)")</f>
        <v/>
      </c>
      <c r="W1650" s="5">
        <f>IF(M1650="No","Attrited","Active")</f>
        <v/>
      </c>
    </row>
    <row r="1651">
      <c r="A1651" s="5" t="inlineStr">
        <is>
          <t>E01650</t>
        </is>
      </c>
      <c r="B1651" s="5" t="inlineStr">
        <is>
          <t>Female</t>
        </is>
      </c>
      <c r="C1651" s="6" t="inlineStr">
        <is>
          <t>33</t>
        </is>
      </c>
      <c r="D1651" s="5" t="inlineStr">
        <is>
          <t>Divorced</t>
        </is>
      </c>
      <c r="E1651" s="5" t="inlineStr">
        <is>
          <t>High School</t>
        </is>
      </c>
      <c r="F1651" s="5" t="inlineStr">
        <is>
          <t>Finance</t>
        </is>
      </c>
      <c r="G1651" s="5" t="inlineStr">
        <is>
          <t>Financial Analyst</t>
        </is>
      </c>
      <c r="H1651" s="5" t="inlineStr">
        <is>
          <t>6</t>
        </is>
      </c>
      <c r="I1651" s="5" t="inlineStr">
        <is>
          <t>Hyderabad</t>
        </is>
      </c>
      <c r="J1651" s="5" t="inlineStr">
        <is>
          <t>Full-Time</t>
        </is>
      </c>
      <c r="K1651" s="7" t="n">
        <v>45602</v>
      </c>
      <c r="L1651" s="7" t="inlineStr"/>
      <c r="M1651" s="5" t="inlineStr">
        <is>
          <t>Yes</t>
        </is>
      </c>
      <c r="N1651" s="5" t="inlineStr"/>
      <c r="O1651" s="8" t="inlineStr">
        <is>
          <t>168500</t>
        </is>
      </c>
      <c r="P1651" s="5" t="inlineStr">
        <is>
          <t>0</t>
        </is>
      </c>
      <c r="Q1651" s="5" t="inlineStr">
        <is>
          <t>4</t>
        </is>
      </c>
      <c r="R1651" s="5" t="inlineStr">
        <is>
          <t>6</t>
        </is>
      </c>
      <c r="S1651" s="5" t="inlineStr">
        <is>
          <t>14</t>
        </is>
      </c>
      <c r="T1651" s="5" t="inlineStr">
        <is>
          <t>20</t>
        </is>
      </c>
      <c r="U1651" s="5">
        <f>IFS(C1651&lt;30,"Under 30",C1651&lt;40,"30-39",C1651&lt;50,"40-49",TRUE,"50+")</f>
        <v/>
      </c>
      <c r="V1651" s="5">
        <f>IFS(O1651&lt;60000,"Low (&lt;60k)",O1651&lt;100000,"Mid (60-100k)",TRUE,"High (100k+)")</f>
        <v/>
      </c>
      <c r="W1651" s="5">
        <f>IF(M1651="No","Attrited","Active")</f>
        <v/>
      </c>
    </row>
    <row r="1652">
      <c r="A1652" s="5" t="inlineStr">
        <is>
          <t>E01651</t>
        </is>
      </c>
      <c r="B1652" s="5" t="inlineStr">
        <is>
          <t>Male</t>
        </is>
      </c>
      <c r="C1652" s="6" t="inlineStr">
        <is>
          <t>34</t>
        </is>
      </c>
      <c r="D1652" s="5" t="inlineStr">
        <is>
          <t>Single</t>
        </is>
      </c>
      <c r="E1652" s="5" t="inlineStr">
        <is>
          <t>Diploma</t>
        </is>
      </c>
      <c r="F1652" s="5" t="inlineStr">
        <is>
          <t>Customer Support</t>
        </is>
      </c>
      <c r="G1652" s="5" t="inlineStr">
        <is>
          <t>Escalation Specialist</t>
        </is>
      </c>
      <c r="H1652" s="5" t="inlineStr">
        <is>
          <t>6</t>
        </is>
      </c>
      <c r="I1652" s="5" t="inlineStr">
        <is>
          <t>Remote</t>
        </is>
      </c>
      <c r="J1652" s="5" t="inlineStr">
        <is>
          <t>Full-Time</t>
        </is>
      </c>
      <c r="K1652" s="7" t="n">
        <v>45985</v>
      </c>
      <c r="L1652" s="7" t="inlineStr"/>
      <c r="M1652" s="5" t="inlineStr">
        <is>
          <t>Yes</t>
        </is>
      </c>
      <c r="N1652" s="5" t="inlineStr"/>
      <c r="O1652" s="8" t="inlineStr">
        <is>
          <t>112500</t>
        </is>
      </c>
      <c r="P1652" s="5" t="inlineStr">
        <is>
          <t>0</t>
        </is>
      </c>
      <c r="Q1652" s="5" t="inlineStr">
        <is>
          <t>2</t>
        </is>
      </c>
      <c r="R1652" s="5" t="inlineStr">
        <is>
          <t>7</t>
        </is>
      </c>
      <c r="S1652" s="5" t="inlineStr">
        <is>
          <t>1</t>
        </is>
      </c>
      <c r="T1652" s="5" t="inlineStr">
        <is>
          <t>0</t>
        </is>
      </c>
      <c r="U1652" s="5">
        <f>IFS(C1652&lt;30,"Under 30",C1652&lt;40,"30-39",C1652&lt;50,"40-49",TRUE,"50+")</f>
        <v/>
      </c>
      <c r="V1652" s="5">
        <f>IFS(O1652&lt;60000,"Low (&lt;60k)",O1652&lt;100000,"Mid (60-100k)",TRUE,"High (100k+)")</f>
        <v/>
      </c>
      <c r="W1652" s="5">
        <f>IF(M1652="No","Attrited","Active")</f>
        <v/>
      </c>
    </row>
    <row r="1653">
      <c r="A1653" s="5" t="inlineStr">
        <is>
          <t>E01652</t>
        </is>
      </c>
      <c r="B1653" s="5" t="inlineStr">
        <is>
          <t>Male</t>
        </is>
      </c>
      <c r="C1653" s="6" t="inlineStr">
        <is>
          <t>30</t>
        </is>
      </c>
      <c r="D1653" s="5" t="inlineStr">
        <is>
          <t>Married</t>
        </is>
      </c>
      <c r="E1653" s="5" t="inlineStr">
        <is>
          <t>High School</t>
        </is>
      </c>
      <c r="F1653" s="5" t="inlineStr">
        <is>
          <t>Customer Support</t>
        </is>
      </c>
      <c r="G1653" s="5" t="inlineStr">
        <is>
          <t>Escalation Specialist</t>
        </is>
      </c>
      <c r="H1653" s="5" t="inlineStr">
        <is>
          <t>2</t>
        </is>
      </c>
      <c r="I1653" s="5" t="inlineStr">
        <is>
          <t>Bengaluru</t>
        </is>
      </c>
      <c r="J1653" s="5" t="inlineStr">
        <is>
          <t>Full-Time</t>
        </is>
      </c>
      <c r="K1653" s="7" t="n">
        <v>44233</v>
      </c>
      <c r="L1653" s="7" t="inlineStr"/>
      <c r="M1653" s="5" t="inlineStr">
        <is>
          <t>Yes</t>
        </is>
      </c>
      <c r="N1653" s="5" t="inlineStr"/>
      <c r="O1653" s="8" t="inlineStr">
        <is>
          <t>55500</t>
        </is>
      </c>
      <c r="P1653" s="5" t="inlineStr">
        <is>
          <t>15</t>
        </is>
      </c>
      <c r="Q1653" s="5" t="inlineStr">
        <is>
          <t>3</t>
        </is>
      </c>
      <c r="R1653" s="5" t="inlineStr">
        <is>
          <t>2</t>
        </is>
      </c>
      <c r="S1653" s="5" t="inlineStr">
        <is>
          <t>59</t>
        </is>
      </c>
      <c r="T1653" s="5" t="inlineStr">
        <is>
          <t>3</t>
        </is>
      </c>
      <c r="U1653" s="5">
        <f>IFS(C1653&lt;30,"Under 30",C1653&lt;40,"30-39",C1653&lt;50,"40-49",TRUE,"50+")</f>
        <v/>
      </c>
      <c r="V1653" s="5">
        <f>IFS(O1653&lt;60000,"Low (&lt;60k)",O1653&lt;100000,"Mid (60-100k)",TRUE,"High (100k+)")</f>
        <v/>
      </c>
      <c r="W1653" s="5">
        <f>IF(M1653="No","Attrited","Active")</f>
        <v/>
      </c>
    </row>
    <row r="1654">
      <c r="A1654" s="5" t="inlineStr">
        <is>
          <t>E01653</t>
        </is>
      </c>
      <c r="B1654" s="5" t="inlineStr">
        <is>
          <t>Female</t>
        </is>
      </c>
      <c r="C1654" s="6" t="inlineStr">
        <is>
          <t>41</t>
        </is>
      </c>
      <c r="D1654" s="5" t="inlineStr">
        <is>
          <t>Married</t>
        </is>
      </c>
      <c r="E1654" s="5" t="inlineStr">
        <is>
          <t>Diploma</t>
        </is>
      </c>
      <c r="F1654" s="5" t="inlineStr">
        <is>
          <t>Customer Support</t>
        </is>
      </c>
      <c r="G1654" s="5" t="inlineStr">
        <is>
          <t>Support Lead</t>
        </is>
      </c>
      <c r="H1654" s="5" t="inlineStr">
        <is>
          <t>5</t>
        </is>
      </c>
      <c r="I1654" s="5" t="inlineStr">
        <is>
          <t>Mumbai</t>
        </is>
      </c>
      <c r="J1654" s="5" t="inlineStr">
        <is>
          <t>Full-Time</t>
        </is>
      </c>
      <c r="K1654" s="7" t="n">
        <v>45501</v>
      </c>
      <c r="L1654" s="7" t="inlineStr"/>
      <c r="M1654" s="5" t="inlineStr">
        <is>
          <t>Yes</t>
        </is>
      </c>
      <c r="N1654" s="5" t="inlineStr"/>
      <c r="O1654" s="8" t="inlineStr">
        <is>
          <t>100500</t>
        </is>
      </c>
      <c r="P1654" s="5" t="inlineStr">
        <is>
          <t>0</t>
        </is>
      </c>
      <c r="Q1654" s="5" t="inlineStr">
        <is>
          <t>3</t>
        </is>
      </c>
      <c r="R1654" s="5" t="inlineStr">
        <is>
          <t>3</t>
        </is>
      </c>
      <c r="S1654" s="5" t="inlineStr">
        <is>
          <t>17</t>
        </is>
      </c>
      <c r="T1654" s="5" t="inlineStr">
        <is>
          <t>4</t>
        </is>
      </c>
      <c r="U1654" s="5">
        <f>IFS(C1654&lt;30,"Under 30",C1654&lt;40,"30-39",C1654&lt;50,"40-49",TRUE,"50+")</f>
        <v/>
      </c>
      <c r="V1654" s="5">
        <f>IFS(O1654&lt;60000,"Low (&lt;60k)",O1654&lt;100000,"Mid (60-100k)",TRUE,"High (100k+)")</f>
        <v/>
      </c>
      <c r="W1654" s="5">
        <f>IF(M1654="No","Attrited","Active")</f>
        <v/>
      </c>
    </row>
    <row r="1655">
      <c r="A1655" s="5" t="inlineStr">
        <is>
          <t>E01654</t>
        </is>
      </c>
      <c r="B1655" s="5" t="inlineStr">
        <is>
          <t>Male</t>
        </is>
      </c>
      <c r="C1655" s="6" t="inlineStr">
        <is>
          <t>36</t>
        </is>
      </c>
      <c r="D1655" s="5" t="inlineStr">
        <is>
          <t>Married</t>
        </is>
      </c>
      <c r="E1655" s="5" t="inlineStr">
        <is>
          <t>Master</t>
        </is>
      </c>
      <c r="F1655" s="5" t="inlineStr">
        <is>
          <t>Finance</t>
        </is>
      </c>
      <c r="G1655" s="5" t="inlineStr">
        <is>
          <t>Accountant</t>
        </is>
      </c>
      <c r="H1655" s="5" t="inlineStr">
        <is>
          <t>4</t>
        </is>
      </c>
      <c r="I1655" s="5" t="inlineStr">
        <is>
          <t>Delhi</t>
        </is>
      </c>
      <c r="J1655" s="5" t="inlineStr">
        <is>
          <t>Full-Time</t>
        </is>
      </c>
      <c r="K1655" s="7" t="n">
        <v>45460</v>
      </c>
      <c r="L1655" s="7" t="inlineStr"/>
      <c r="M1655" s="5" t="inlineStr">
        <is>
          <t>Yes</t>
        </is>
      </c>
      <c r="N1655" s="5" t="inlineStr"/>
      <c r="O1655" s="8" t="inlineStr">
        <is>
          <t>152500</t>
        </is>
      </c>
      <c r="P1655" s="5" t="inlineStr">
        <is>
          <t>5</t>
        </is>
      </c>
      <c r="Q1655" s="5" t="inlineStr">
        <is>
          <t>5</t>
        </is>
      </c>
      <c r="R1655" s="5" t="inlineStr">
        <is>
          <t>5</t>
        </is>
      </c>
      <c r="S1655" s="5" t="inlineStr">
        <is>
          <t>18</t>
        </is>
      </c>
      <c r="T1655" s="5" t="inlineStr">
        <is>
          <t>16</t>
        </is>
      </c>
      <c r="U1655" s="5">
        <f>IFS(C1655&lt;30,"Under 30",C1655&lt;40,"30-39",C1655&lt;50,"40-49",TRUE,"50+")</f>
        <v/>
      </c>
      <c r="V1655" s="5">
        <f>IFS(O1655&lt;60000,"Low (&lt;60k)",O1655&lt;100000,"Mid (60-100k)",TRUE,"High (100k+)")</f>
        <v/>
      </c>
      <c r="W1655" s="5">
        <f>IF(M1655="No","Attrited","Active")</f>
        <v/>
      </c>
    </row>
    <row r="1656">
      <c r="A1656" s="5" t="inlineStr">
        <is>
          <t>E01655</t>
        </is>
      </c>
      <c r="B1656" s="5" t="inlineStr">
        <is>
          <t>Female</t>
        </is>
      </c>
      <c r="C1656" s="6" t="inlineStr">
        <is>
          <t>33</t>
        </is>
      </c>
      <c r="D1656" s="5" t="inlineStr">
        <is>
          <t>Married</t>
        </is>
      </c>
      <c r="E1656" s="5" t="inlineStr">
        <is>
          <t>PhD</t>
        </is>
      </c>
      <c r="F1656" s="5" t="inlineStr">
        <is>
          <t>IT</t>
        </is>
      </c>
      <c r="G1656" s="5" t="inlineStr">
        <is>
          <t>Software Engineer</t>
        </is>
      </c>
      <c r="H1656" s="5" t="inlineStr">
        <is>
          <t>4</t>
        </is>
      </c>
      <c r="I1656" s="5" t="inlineStr">
        <is>
          <t>Remote</t>
        </is>
      </c>
      <c r="J1656" s="5" t="inlineStr">
        <is>
          <t>Full-Time</t>
        </is>
      </c>
      <c r="K1656" s="7" t="n">
        <v>44786</v>
      </c>
      <c r="L1656" s="7" t="inlineStr"/>
      <c r="M1656" s="5" t="inlineStr">
        <is>
          <t>Yes</t>
        </is>
      </c>
      <c r="N1656" s="5" t="inlineStr"/>
      <c r="O1656" s="8" t="inlineStr">
        <is>
          <t>207000</t>
        </is>
      </c>
      <c r="P1656" s="5" t="inlineStr">
        <is>
          <t>15</t>
        </is>
      </c>
      <c r="Q1656" s="5" t="inlineStr">
        <is>
          <t>5</t>
        </is>
      </c>
      <c r="R1656" s="5" t="inlineStr">
        <is>
          <t>8</t>
        </is>
      </c>
      <c r="S1656" s="5" t="inlineStr">
        <is>
          <t>41</t>
        </is>
      </c>
      <c r="T1656" s="5" t="inlineStr">
        <is>
          <t>5</t>
        </is>
      </c>
      <c r="U1656" s="5">
        <f>IFS(C1656&lt;30,"Under 30",C1656&lt;40,"30-39",C1656&lt;50,"40-49",TRUE,"50+")</f>
        <v/>
      </c>
      <c r="V1656" s="5">
        <f>IFS(O1656&lt;60000,"Low (&lt;60k)",O1656&lt;100000,"Mid (60-100k)",TRUE,"High (100k+)")</f>
        <v/>
      </c>
      <c r="W1656" s="5">
        <f>IF(M1656="No","Attrited","Active")</f>
        <v/>
      </c>
    </row>
    <row r="1657">
      <c r="A1657" s="5" t="inlineStr">
        <is>
          <t>E01656</t>
        </is>
      </c>
      <c r="B1657" s="5" t="inlineStr">
        <is>
          <t>Female</t>
        </is>
      </c>
      <c r="C1657" s="6" t="inlineStr">
        <is>
          <t>30</t>
        </is>
      </c>
      <c r="D1657" s="5" t="inlineStr">
        <is>
          <t>Married</t>
        </is>
      </c>
      <c r="E1657" s="5" t="inlineStr">
        <is>
          <t>Diploma</t>
        </is>
      </c>
      <c r="F1657" s="5" t="inlineStr">
        <is>
          <t>Customer Support</t>
        </is>
      </c>
      <c r="G1657" s="5" t="inlineStr">
        <is>
          <t>Support Agent</t>
        </is>
      </c>
      <c r="H1657" s="5" t="inlineStr">
        <is>
          <t>2</t>
        </is>
      </c>
      <c r="I1657" s="5" t="inlineStr">
        <is>
          <t>Bengaluru</t>
        </is>
      </c>
      <c r="J1657" s="5" t="inlineStr">
        <is>
          <t>Full-Time</t>
        </is>
      </c>
      <c r="K1657" s="7" t="n">
        <v>45470</v>
      </c>
      <c r="L1657" s="7" t="inlineStr"/>
      <c r="M1657" s="5" t="inlineStr">
        <is>
          <t>Yes</t>
        </is>
      </c>
      <c r="N1657" s="5" t="inlineStr"/>
      <c r="O1657" s="8" t="inlineStr">
        <is>
          <t>64000</t>
        </is>
      </c>
      <c r="P1657" s="5" t="inlineStr">
        <is>
          <t>10</t>
        </is>
      </c>
      <c r="Q1657" s="5" t="inlineStr">
        <is>
          <t>2</t>
        </is>
      </c>
      <c r="R1657" s="5" t="inlineStr">
        <is>
          <t>4</t>
        </is>
      </c>
      <c r="S1657" s="5" t="inlineStr">
        <is>
          <t>18</t>
        </is>
      </c>
      <c r="T1657" s="5" t="inlineStr">
        <is>
          <t>9</t>
        </is>
      </c>
      <c r="U1657" s="5">
        <f>IFS(C1657&lt;30,"Under 30",C1657&lt;40,"30-39",C1657&lt;50,"40-49",TRUE,"50+")</f>
        <v/>
      </c>
      <c r="V1657" s="5">
        <f>IFS(O1657&lt;60000,"Low (&lt;60k)",O1657&lt;100000,"Mid (60-100k)",TRUE,"High (100k+)")</f>
        <v/>
      </c>
      <c r="W1657" s="5">
        <f>IF(M1657="No","Attrited","Active")</f>
        <v/>
      </c>
    </row>
    <row r="1658">
      <c r="A1658" s="5" t="inlineStr">
        <is>
          <t>E01657</t>
        </is>
      </c>
      <c r="B1658" s="5" t="inlineStr">
        <is>
          <t>Male</t>
        </is>
      </c>
      <c r="C1658" s="6" t="inlineStr">
        <is>
          <t>30</t>
        </is>
      </c>
      <c r="D1658" s="5" t="inlineStr">
        <is>
          <t>Married</t>
        </is>
      </c>
      <c r="E1658" s="5" t="inlineStr">
        <is>
          <t>PhD</t>
        </is>
      </c>
      <c r="F1658" s="5" t="inlineStr">
        <is>
          <t>Human Resources</t>
        </is>
      </c>
      <c r="G1658" s="5" t="inlineStr">
        <is>
          <t>HR Generalist</t>
        </is>
      </c>
      <c r="H1658" s="5" t="inlineStr">
        <is>
          <t>2</t>
        </is>
      </c>
      <c r="I1658" s="5" t="inlineStr">
        <is>
          <t>Delhi</t>
        </is>
      </c>
      <c r="J1658" s="5" t="inlineStr">
        <is>
          <t>Full-Time</t>
        </is>
      </c>
      <c r="K1658" s="7" t="n">
        <v>45764</v>
      </c>
      <c r="L1658" s="7" t="inlineStr"/>
      <c r="M1658" s="5" t="inlineStr">
        <is>
          <t>Yes</t>
        </is>
      </c>
      <c r="N1658" s="5" t="inlineStr"/>
      <c r="O1658" s="8" t="inlineStr">
        <is>
          <t>100500</t>
        </is>
      </c>
      <c r="P1658" s="5" t="inlineStr">
        <is>
          <t>0</t>
        </is>
      </c>
      <c r="Q1658" s="5" t="inlineStr">
        <is>
          <t>5</t>
        </is>
      </c>
      <c r="R1658" s="5" t="inlineStr">
        <is>
          <t>4</t>
        </is>
      </c>
      <c r="S1658" s="5" t="inlineStr">
        <is>
          <t>8</t>
        </is>
      </c>
      <c r="T1658" s="5" t="inlineStr">
        <is>
          <t>7</t>
        </is>
      </c>
      <c r="U1658" s="5">
        <f>IFS(C1658&lt;30,"Under 30",C1658&lt;40,"30-39",C1658&lt;50,"40-49",TRUE,"50+")</f>
        <v/>
      </c>
      <c r="V1658" s="5">
        <f>IFS(O1658&lt;60000,"Low (&lt;60k)",O1658&lt;100000,"Mid (60-100k)",TRUE,"High (100k+)")</f>
        <v/>
      </c>
      <c r="W1658" s="5">
        <f>IF(M1658="No","Attrited","Active")</f>
        <v/>
      </c>
    </row>
    <row r="1659">
      <c r="A1659" s="5" t="inlineStr">
        <is>
          <t>E01658</t>
        </is>
      </c>
      <c r="B1659" s="5" t="inlineStr">
        <is>
          <t>Male</t>
        </is>
      </c>
      <c r="C1659" s="6" t="inlineStr">
        <is>
          <t>36</t>
        </is>
      </c>
      <c r="D1659" s="5" t="inlineStr">
        <is>
          <t>Single</t>
        </is>
      </c>
      <c r="E1659" s="5" t="inlineStr">
        <is>
          <t>Bachelor</t>
        </is>
      </c>
      <c r="F1659" s="5" t="inlineStr">
        <is>
          <t>Finance</t>
        </is>
      </c>
      <c r="G1659" s="5" t="inlineStr">
        <is>
          <t>Financial Analyst</t>
        </is>
      </c>
      <c r="H1659" s="5" t="inlineStr">
        <is>
          <t>5</t>
        </is>
      </c>
      <c r="I1659" s="5" t="inlineStr">
        <is>
          <t>Remote</t>
        </is>
      </c>
      <c r="J1659" s="5" t="inlineStr">
        <is>
          <t>Full-Time</t>
        </is>
      </c>
      <c r="K1659" s="7" t="n">
        <v>44491</v>
      </c>
      <c r="L1659" s="7" t="inlineStr"/>
      <c r="M1659" s="5" t="inlineStr">
        <is>
          <t>Yes</t>
        </is>
      </c>
      <c r="N1659" s="5" t="inlineStr"/>
      <c r="O1659" s="8" t="inlineStr">
        <is>
          <t>111000</t>
        </is>
      </c>
      <c r="P1659" s="5" t="inlineStr">
        <is>
          <t>5</t>
        </is>
      </c>
      <c r="Q1659" s="5" t="inlineStr">
        <is>
          <t>4</t>
        </is>
      </c>
      <c r="R1659" s="5" t="inlineStr">
        <is>
          <t>6</t>
        </is>
      </c>
      <c r="S1659" s="5" t="inlineStr">
        <is>
          <t>51</t>
        </is>
      </c>
      <c r="T1659" s="5" t="inlineStr">
        <is>
          <t>7</t>
        </is>
      </c>
      <c r="U1659" s="5">
        <f>IFS(C1659&lt;30,"Under 30",C1659&lt;40,"30-39",C1659&lt;50,"40-49",TRUE,"50+")</f>
        <v/>
      </c>
      <c r="V1659" s="5">
        <f>IFS(O1659&lt;60000,"Low (&lt;60k)",O1659&lt;100000,"Mid (60-100k)",TRUE,"High (100k+)")</f>
        <v/>
      </c>
      <c r="W1659" s="5">
        <f>IF(M1659="No","Attrited","Active")</f>
        <v/>
      </c>
    </row>
    <row r="1660">
      <c r="A1660" s="5" t="inlineStr">
        <is>
          <t>E01659</t>
        </is>
      </c>
      <c r="B1660" s="5" t="inlineStr">
        <is>
          <t>Male</t>
        </is>
      </c>
      <c r="C1660" s="6" t="inlineStr">
        <is>
          <t>37</t>
        </is>
      </c>
      <c r="D1660" s="5" t="inlineStr">
        <is>
          <t>Married</t>
        </is>
      </c>
      <c r="E1660" s="5" t="inlineStr">
        <is>
          <t>High School</t>
        </is>
      </c>
      <c r="F1660" s="5" t="inlineStr">
        <is>
          <t>Executive</t>
        </is>
      </c>
      <c r="G1660" s="5" t="inlineStr">
        <is>
          <t>COO</t>
        </is>
      </c>
      <c r="H1660" s="5" t="inlineStr">
        <is>
          <t>7</t>
        </is>
      </c>
      <c r="I1660" s="5" t="inlineStr">
        <is>
          <t>Bengaluru</t>
        </is>
      </c>
      <c r="J1660" s="5" t="inlineStr">
        <is>
          <t>Full-Time</t>
        </is>
      </c>
      <c r="K1660" s="7" t="n">
        <v>45741</v>
      </c>
      <c r="L1660" s="7" t="inlineStr"/>
      <c r="M1660" s="5" t="inlineStr">
        <is>
          <t>Yes</t>
        </is>
      </c>
      <c r="N1660" s="5" t="inlineStr"/>
      <c r="O1660" s="8" t="inlineStr">
        <is>
          <t>292000</t>
        </is>
      </c>
      <c r="P1660" s="5" t="inlineStr">
        <is>
          <t>20</t>
        </is>
      </c>
      <c r="Q1660" s="5" t="inlineStr">
        <is>
          <t>5</t>
        </is>
      </c>
      <c r="R1660" s="5" t="inlineStr">
        <is>
          <t>3</t>
        </is>
      </c>
      <c r="S1660" s="5" t="inlineStr">
        <is>
          <t>9</t>
        </is>
      </c>
      <c r="T1660" s="5" t="inlineStr">
        <is>
          <t>5</t>
        </is>
      </c>
      <c r="U1660" s="5">
        <f>IFS(C1660&lt;30,"Under 30",C1660&lt;40,"30-39",C1660&lt;50,"40-49",TRUE,"50+")</f>
        <v/>
      </c>
      <c r="V1660" s="5">
        <f>IFS(O1660&lt;60000,"Low (&lt;60k)",O1660&lt;100000,"Mid (60-100k)",TRUE,"High (100k+)")</f>
        <v/>
      </c>
      <c r="W1660" s="5">
        <f>IF(M1660="No","Attrited","Active")</f>
        <v/>
      </c>
    </row>
    <row r="1661">
      <c r="A1661" s="5" t="inlineStr">
        <is>
          <t>E01660</t>
        </is>
      </c>
      <c r="B1661" s="5" t="inlineStr">
        <is>
          <t>Female</t>
        </is>
      </c>
      <c r="C1661" s="6" t="inlineStr">
        <is>
          <t>33</t>
        </is>
      </c>
      <c r="D1661" s="5" t="inlineStr">
        <is>
          <t>Married</t>
        </is>
      </c>
      <c r="E1661" s="5" t="inlineStr">
        <is>
          <t>Diploma</t>
        </is>
      </c>
      <c r="F1661" s="5" t="inlineStr">
        <is>
          <t>Operations</t>
        </is>
      </c>
      <c r="G1661" s="5" t="inlineStr">
        <is>
          <t>Operations Analyst</t>
        </is>
      </c>
      <c r="H1661" s="5" t="inlineStr">
        <is>
          <t>2</t>
        </is>
      </c>
      <c r="I1661" s="5" t="inlineStr">
        <is>
          <t>Mumbai</t>
        </is>
      </c>
      <c r="J1661" s="5" t="inlineStr">
        <is>
          <t>Full-Time</t>
        </is>
      </c>
      <c r="K1661" s="7" t="n">
        <v>43858</v>
      </c>
      <c r="L1661" s="7" t="inlineStr"/>
      <c r="M1661" s="5" t="inlineStr">
        <is>
          <t>Yes</t>
        </is>
      </c>
      <c r="N1661" s="5" t="inlineStr"/>
      <c r="O1661" s="8" t="inlineStr">
        <is>
          <t>110500</t>
        </is>
      </c>
      <c r="P1661" s="5" t="inlineStr">
        <is>
          <t>15</t>
        </is>
      </c>
      <c r="Q1661" s="5" t="inlineStr">
        <is>
          <t>5</t>
        </is>
      </c>
      <c r="R1661" s="5" t="inlineStr">
        <is>
          <t>6</t>
        </is>
      </c>
      <c r="S1661" s="5" t="inlineStr">
        <is>
          <t>72</t>
        </is>
      </c>
      <c r="T1661" s="5" t="inlineStr">
        <is>
          <t>9</t>
        </is>
      </c>
      <c r="U1661" s="5">
        <f>IFS(C1661&lt;30,"Under 30",C1661&lt;40,"30-39",C1661&lt;50,"40-49",TRUE,"50+")</f>
        <v/>
      </c>
      <c r="V1661" s="5">
        <f>IFS(O1661&lt;60000,"Low (&lt;60k)",O1661&lt;100000,"Mid (60-100k)",TRUE,"High (100k+)")</f>
        <v/>
      </c>
      <c r="W1661" s="5">
        <f>IF(M1661="No","Attrited","Active")</f>
        <v/>
      </c>
    </row>
    <row r="1662">
      <c r="A1662" s="5" t="inlineStr">
        <is>
          <t>E01661</t>
        </is>
      </c>
      <c r="B1662" s="5" t="inlineStr">
        <is>
          <t>Male</t>
        </is>
      </c>
      <c r="C1662" s="6" t="inlineStr">
        <is>
          <t>34</t>
        </is>
      </c>
      <c r="D1662" s="5" t="inlineStr">
        <is>
          <t>Married</t>
        </is>
      </c>
      <c r="E1662" s="5" t="inlineStr">
        <is>
          <t>Diploma</t>
        </is>
      </c>
      <c r="F1662" s="5" t="inlineStr">
        <is>
          <t>Finance</t>
        </is>
      </c>
      <c r="G1662" s="5" t="inlineStr">
        <is>
          <t>Financial Analyst</t>
        </is>
      </c>
      <c r="H1662" s="5" t="inlineStr">
        <is>
          <t>2</t>
        </is>
      </c>
      <c r="I1662" s="5" t="inlineStr">
        <is>
          <t>Delhi</t>
        </is>
      </c>
      <c r="J1662" s="5" t="inlineStr">
        <is>
          <t>Full-Time</t>
        </is>
      </c>
      <c r="K1662" s="7" t="n">
        <v>44444</v>
      </c>
      <c r="L1662" s="7" t="inlineStr"/>
      <c r="M1662" s="5" t="inlineStr">
        <is>
          <t>Yes</t>
        </is>
      </c>
      <c r="N1662" s="5" t="inlineStr"/>
      <c r="O1662" s="8" t="inlineStr">
        <is>
          <t>126500</t>
        </is>
      </c>
      <c r="P1662" s="5" t="inlineStr">
        <is>
          <t>15</t>
        </is>
      </c>
      <c r="Q1662" s="5" t="inlineStr">
        <is>
          <t>2</t>
        </is>
      </c>
      <c r="R1662" s="5" t="inlineStr">
        <is>
          <t>5</t>
        </is>
      </c>
      <c r="S1662" s="5" t="inlineStr">
        <is>
          <t>52</t>
        </is>
      </c>
      <c r="T1662" s="5" t="inlineStr">
        <is>
          <t>15</t>
        </is>
      </c>
      <c r="U1662" s="5">
        <f>IFS(C1662&lt;30,"Under 30",C1662&lt;40,"30-39",C1662&lt;50,"40-49",TRUE,"50+")</f>
        <v/>
      </c>
      <c r="V1662" s="5">
        <f>IFS(O1662&lt;60000,"Low (&lt;60k)",O1662&lt;100000,"Mid (60-100k)",TRUE,"High (100k+)")</f>
        <v/>
      </c>
      <c r="W1662" s="5">
        <f>IF(M1662="No","Attrited","Active")</f>
        <v/>
      </c>
    </row>
    <row r="1663">
      <c r="A1663" s="5" t="inlineStr">
        <is>
          <t>E01662</t>
        </is>
      </c>
      <c r="B1663" s="5" t="inlineStr">
        <is>
          <t>Male</t>
        </is>
      </c>
      <c r="C1663" s="6" t="inlineStr">
        <is>
          <t>34</t>
        </is>
      </c>
      <c r="D1663" s="5" t="inlineStr">
        <is>
          <t>Single</t>
        </is>
      </c>
      <c r="E1663" s="5" t="inlineStr">
        <is>
          <t>Bachelor</t>
        </is>
      </c>
      <c r="F1663" s="5" t="inlineStr">
        <is>
          <t>Finance</t>
        </is>
      </c>
      <c r="G1663" s="5" t="inlineStr">
        <is>
          <t>Credit Analyst</t>
        </is>
      </c>
      <c r="H1663" s="5" t="inlineStr">
        <is>
          <t>6</t>
        </is>
      </c>
      <c r="I1663" s="5" t="inlineStr">
        <is>
          <t>Delhi</t>
        </is>
      </c>
      <c r="J1663" s="5" t="inlineStr">
        <is>
          <t>Full-Time</t>
        </is>
      </c>
      <c r="K1663" s="7" t="n">
        <v>45680</v>
      </c>
      <c r="L1663" s="7" t="inlineStr"/>
      <c r="M1663" s="5" t="inlineStr">
        <is>
          <t>Yes</t>
        </is>
      </c>
      <c r="N1663" s="5" t="inlineStr"/>
      <c r="O1663" s="8" t="inlineStr">
        <is>
          <t>184500</t>
        </is>
      </c>
      <c r="P1663" s="5" t="inlineStr">
        <is>
          <t>10</t>
        </is>
      </c>
      <c r="Q1663" s="5" t="inlineStr">
        <is>
          <t>5</t>
        </is>
      </c>
      <c r="R1663" s="5" t="inlineStr">
        <is>
          <t>4</t>
        </is>
      </c>
      <c r="S1663" s="5" t="inlineStr">
        <is>
          <t>11</t>
        </is>
      </c>
      <c r="T1663" s="5" t="inlineStr">
        <is>
          <t>6</t>
        </is>
      </c>
      <c r="U1663" s="5">
        <f>IFS(C1663&lt;30,"Under 30",C1663&lt;40,"30-39",C1663&lt;50,"40-49",TRUE,"50+")</f>
        <v/>
      </c>
      <c r="V1663" s="5">
        <f>IFS(O1663&lt;60000,"Low (&lt;60k)",O1663&lt;100000,"Mid (60-100k)",TRUE,"High (100k+)")</f>
        <v/>
      </c>
      <c r="W1663" s="5">
        <f>IF(M1663="No","Attrited","Active")</f>
        <v/>
      </c>
    </row>
    <row r="1664">
      <c r="A1664" s="5" t="inlineStr">
        <is>
          <t>E01663</t>
        </is>
      </c>
      <c r="B1664" s="5" t="inlineStr">
        <is>
          <t>Female</t>
        </is>
      </c>
      <c r="C1664" s="6" t="inlineStr">
        <is>
          <t>38</t>
        </is>
      </c>
      <c r="D1664" s="5" t="inlineStr">
        <is>
          <t>Married</t>
        </is>
      </c>
      <c r="E1664" s="5" t="inlineStr">
        <is>
          <t>Master</t>
        </is>
      </c>
      <c r="F1664" s="5" t="inlineStr">
        <is>
          <t>Research &amp; Development</t>
        </is>
      </c>
      <c r="G1664" s="5" t="inlineStr">
        <is>
          <t>Research Scientist</t>
        </is>
      </c>
      <c r="H1664" s="5" t="inlineStr">
        <is>
          <t>3</t>
        </is>
      </c>
      <c r="I1664" s="5" t="inlineStr">
        <is>
          <t>Delhi</t>
        </is>
      </c>
      <c r="J1664" s="5" t="inlineStr">
        <is>
          <t>Full-Time</t>
        </is>
      </c>
      <c r="K1664" s="7" t="n">
        <v>45767</v>
      </c>
      <c r="L1664" s="7" t="inlineStr"/>
      <c r="M1664" s="5" t="inlineStr">
        <is>
          <t>Yes</t>
        </is>
      </c>
      <c r="N1664" s="5" t="inlineStr"/>
      <c r="O1664" s="8" t="inlineStr">
        <is>
          <t>187500</t>
        </is>
      </c>
      <c r="P1664" s="5" t="inlineStr">
        <is>
          <t>15</t>
        </is>
      </c>
      <c r="Q1664" s="5" t="inlineStr">
        <is>
          <t>3</t>
        </is>
      </c>
      <c r="R1664" s="5" t="inlineStr">
        <is>
          <t>2</t>
        </is>
      </c>
      <c r="S1664" s="5" t="inlineStr">
        <is>
          <t>8</t>
        </is>
      </c>
      <c r="T1664" s="5" t="inlineStr">
        <is>
          <t>2</t>
        </is>
      </c>
      <c r="U1664" s="5">
        <f>IFS(C1664&lt;30,"Under 30",C1664&lt;40,"30-39",C1664&lt;50,"40-49",TRUE,"50+")</f>
        <v/>
      </c>
      <c r="V1664" s="5">
        <f>IFS(O1664&lt;60000,"Low (&lt;60k)",O1664&lt;100000,"Mid (60-100k)",TRUE,"High (100k+)")</f>
        <v/>
      </c>
      <c r="W1664" s="5">
        <f>IF(M1664="No","Attrited","Active")</f>
        <v/>
      </c>
    </row>
    <row r="1665">
      <c r="A1665" s="5" t="inlineStr">
        <is>
          <t>E01664</t>
        </is>
      </c>
      <c r="B1665" s="5" t="inlineStr">
        <is>
          <t>Male</t>
        </is>
      </c>
      <c r="C1665" s="6" t="inlineStr">
        <is>
          <t>30</t>
        </is>
      </c>
      <c r="D1665" s="5" t="inlineStr">
        <is>
          <t>Married</t>
        </is>
      </c>
      <c r="E1665" s="5" t="inlineStr">
        <is>
          <t>High School</t>
        </is>
      </c>
      <c r="F1665" s="5" t="inlineStr">
        <is>
          <t>Finance</t>
        </is>
      </c>
      <c r="G1665" s="5" t="inlineStr">
        <is>
          <t>Financial Analyst</t>
        </is>
      </c>
      <c r="H1665" s="5" t="inlineStr">
        <is>
          <t>2</t>
        </is>
      </c>
      <c r="I1665" s="5" t="inlineStr">
        <is>
          <t>Hyderabad</t>
        </is>
      </c>
      <c r="J1665" s="5" t="inlineStr">
        <is>
          <t>Part-Time</t>
        </is>
      </c>
      <c r="K1665" s="7" t="n">
        <v>44953</v>
      </c>
      <c r="L1665" s="7" t="inlineStr"/>
      <c r="M1665" s="5" t="inlineStr">
        <is>
          <t>Yes</t>
        </is>
      </c>
      <c r="N1665" s="5" t="inlineStr"/>
      <c r="O1665" s="8" t="inlineStr">
        <is>
          <t>84500</t>
        </is>
      </c>
      <c r="P1665" s="5" t="inlineStr">
        <is>
          <t>0</t>
        </is>
      </c>
      <c r="Q1665" s="5" t="inlineStr">
        <is>
          <t>4</t>
        </is>
      </c>
      <c r="R1665" s="5" t="inlineStr">
        <is>
          <t>6</t>
        </is>
      </c>
      <c r="S1665" s="5" t="inlineStr">
        <is>
          <t>35</t>
        </is>
      </c>
      <c r="T1665" s="5" t="inlineStr">
        <is>
          <t>8</t>
        </is>
      </c>
      <c r="U1665" s="5">
        <f>IFS(C1665&lt;30,"Under 30",C1665&lt;40,"30-39",C1665&lt;50,"40-49",TRUE,"50+")</f>
        <v/>
      </c>
      <c r="V1665" s="5">
        <f>IFS(O1665&lt;60000,"Low (&lt;60k)",O1665&lt;100000,"Mid (60-100k)",TRUE,"High (100k+)")</f>
        <v/>
      </c>
      <c r="W1665" s="5">
        <f>IF(M1665="No","Attrited","Active")</f>
        <v/>
      </c>
    </row>
    <row r="1666">
      <c r="A1666" s="5" t="inlineStr">
        <is>
          <t>E01665</t>
        </is>
      </c>
      <c r="B1666" s="5" t="inlineStr">
        <is>
          <t>Female</t>
        </is>
      </c>
      <c r="C1666" s="6" t="inlineStr">
        <is>
          <t>40</t>
        </is>
      </c>
      <c r="D1666" s="5" t="inlineStr">
        <is>
          <t>Married</t>
        </is>
      </c>
      <c r="E1666" s="5" t="inlineStr">
        <is>
          <t>PhD</t>
        </is>
      </c>
      <c r="F1666" s="5" t="inlineStr">
        <is>
          <t>Marketing</t>
        </is>
      </c>
      <c r="G1666" s="5" t="inlineStr">
        <is>
          <t>Marketing Analyst</t>
        </is>
      </c>
      <c r="H1666" s="5" t="inlineStr">
        <is>
          <t>7</t>
        </is>
      </c>
      <c r="I1666" s="5" t="inlineStr">
        <is>
          <t>Bengaluru</t>
        </is>
      </c>
      <c r="J1666" s="5" t="inlineStr">
        <is>
          <t>Full-Time</t>
        </is>
      </c>
      <c r="K1666" s="7" t="n">
        <v>45708</v>
      </c>
      <c r="L1666" s="7" t="inlineStr"/>
      <c r="M1666" s="5" t="inlineStr">
        <is>
          <t>Yes</t>
        </is>
      </c>
      <c r="N1666" s="5" t="inlineStr"/>
      <c r="O1666" s="8" t="inlineStr">
        <is>
          <t>136500</t>
        </is>
      </c>
      <c r="P1666" s="5" t="inlineStr">
        <is>
          <t>5</t>
        </is>
      </c>
      <c r="Q1666" s="5" t="inlineStr">
        <is>
          <t>4</t>
        </is>
      </c>
      <c r="R1666" s="5" t="inlineStr">
        <is>
          <t>5</t>
        </is>
      </c>
      <c r="S1666" s="5" t="inlineStr">
        <is>
          <t>10</t>
        </is>
      </c>
      <c r="T1666" s="5" t="inlineStr">
        <is>
          <t>22</t>
        </is>
      </c>
      <c r="U1666" s="5">
        <f>IFS(C1666&lt;30,"Under 30",C1666&lt;40,"30-39",C1666&lt;50,"40-49",TRUE,"50+")</f>
        <v/>
      </c>
      <c r="V1666" s="5">
        <f>IFS(O1666&lt;60000,"Low (&lt;60k)",O1666&lt;100000,"Mid (60-100k)",TRUE,"High (100k+)")</f>
        <v/>
      </c>
      <c r="W1666" s="5">
        <f>IF(M1666="No","Attrited","Active")</f>
        <v/>
      </c>
    </row>
    <row r="1667">
      <c r="A1667" s="5" t="inlineStr">
        <is>
          <t>E01666</t>
        </is>
      </c>
      <c r="B1667" s="5" t="inlineStr">
        <is>
          <t>Male</t>
        </is>
      </c>
      <c r="C1667" s="6" t="inlineStr">
        <is>
          <t>33</t>
        </is>
      </c>
      <c r="D1667" s="5" t="inlineStr">
        <is>
          <t>Married</t>
        </is>
      </c>
      <c r="E1667" s="5" t="inlineStr">
        <is>
          <t>Diploma</t>
        </is>
      </c>
      <c r="F1667" s="5" t="inlineStr">
        <is>
          <t>Operations</t>
        </is>
      </c>
      <c r="G1667" s="5" t="inlineStr">
        <is>
          <t>Operations Analyst</t>
        </is>
      </c>
      <c r="H1667" s="5" t="inlineStr">
        <is>
          <t>2</t>
        </is>
      </c>
      <c r="I1667" s="5" t="inlineStr">
        <is>
          <t>Remote</t>
        </is>
      </c>
      <c r="J1667" s="5" t="inlineStr">
        <is>
          <t>Full-Time</t>
        </is>
      </c>
      <c r="K1667" s="7" t="n">
        <v>45830</v>
      </c>
      <c r="L1667" s="7" t="n">
        <v>45887</v>
      </c>
      <c r="M1667" s="5" t="inlineStr">
        <is>
          <t>No</t>
        </is>
      </c>
      <c r="N1667" s="5" t="inlineStr">
        <is>
          <t>Resigned</t>
        </is>
      </c>
      <c r="O1667" s="8" t="inlineStr">
        <is>
          <t>69000</t>
        </is>
      </c>
      <c r="P1667" s="5" t="inlineStr">
        <is>
          <t>5</t>
        </is>
      </c>
      <c r="Q1667" s="5" t="inlineStr">
        <is>
          <t>4</t>
        </is>
      </c>
      <c r="R1667" s="5" t="inlineStr">
        <is>
          <t>7</t>
        </is>
      </c>
      <c r="S1667" s="5" t="inlineStr">
        <is>
          <t>1</t>
        </is>
      </c>
      <c r="T1667" s="5" t="inlineStr">
        <is>
          <t>8</t>
        </is>
      </c>
      <c r="U1667" s="5">
        <f>IFS(C1667&lt;30,"Under 30",C1667&lt;40,"30-39",C1667&lt;50,"40-49",TRUE,"50+")</f>
        <v/>
      </c>
      <c r="V1667" s="5">
        <f>IFS(O1667&lt;60000,"Low (&lt;60k)",O1667&lt;100000,"Mid (60-100k)",TRUE,"High (100k+)")</f>
        <v/>
      </c>
      <c r="W1667" s="5">
        <f>IF(M1667="No","Attrited","Active")</f>
        <v/>
      </c>
    </row>
    <row r="1668">
      <c r="A1668" s="5" t="inlineStr">
        <is>
          <t>E01667</t>
        </is>
      </c>
      <c r="B1668" s="5" t="inlineStr">
        <is>
          <t>Female</t>
        </is>
      </c>
      <c r="C1668" s="6" t="inlineStr">
        <is>
          <t>25</t>
        </is>
      </c>
      <c r="D1668" s="5" t="inlineStr">
        <is>
          <t>Married</t>
        </is>
      </c>
      <c r="E1668" s="5" t="inlineStr">
        <is>
          <t>PhD</t>
        </is>
      </c>
      <c r="F1668" s="5" t="inlineStr">
        <is>
          <t>IT</t>
        </is>
      </c>
      <c r="G1668" s="5" t="inlineStr">
        <is>
          <t>Data Analyst</t>
        </is>
      </c>
      <c r="H1668" s="5" t="inlineStr">
        <is>
          <t>2</t>
        </is>
      </c>
      <c r="I1668" s="5" t="inlineStr">
        <is>
          <t>Chennai</t>
        </is>
      </c>
      <c r="J1668" s="5" t="inlineStr">
        <is>
          <t>Full-Time</t>
        </is>
      </c>
      <c r="K1668" s="7" t="n">
        <v>45264</v>
      </c>
      <c r="L1668" s="7" t="inlineStr"/>
      <c r="M1668" s="5" t="inlineStr">
        <is>
          <t>Yes</t>
        </is>
      </c>
      <c r="N1668" s="5" t="inlineStr"/>
      <c r="O1668" s="8" t="inlineStr">
        <is>
          <t>101500</t>
        </is>
      </c>
      <c r="P1668" s="5" t="inlineStr">
        <is>
          <t>15</t>
        </is>
      </c>
      <c r="Q1668" s="5" t="inlineStr">
        <is>
          <t>2</t>
        </is>
      </c>
      <c r="R1668" s="5" t="inlineStr">
        <is>
          <t>6</t>
        </is>
      </c>
      <c r="S1668" s="5" t="inlineStr">
        <is>
          <t>25</t>
        </is>
      </c>
      <c r="T1668" s="5" t="inlineStr">
        <is>
          <t>1</t>
        </is>
      </c>
      <c r="U1668" s="5">
        <f>IFS(C1668&lt;30,"Under 30",C1668&lt;40,"30-39",C1668&lt;50,"40-49",TRUE,"50+")</f>
        <v/>
      </c>
      <c r="V1668" s="5">
        <f>IFS(O1668&lt;60000,"Low (&lt;60k)",O1668&lt;100000,"Mid (60-100k)",TRUE,"High (100k+)")</f>
        <v/>
      </c>
      <c r="W1668" s="5">
        <f>IF(M1668="No","Attrited","Active")</f>
        <v/>
      </c>
    </row>
    <row r="1669">
      <c r="A1669" s="5" t="inlineStr">
        <is>
          <t>E01668</t>
        </is>
      </c>
      <c r="B1669" s="5" t="inlineStr">
        <is>
          <t>Male</t>
        </is>
      </c>
      <c r="C1669" s="6" t="inlineStr">
        <is>
          <t>40</t>
        </is>
      </c>
      <c r="D1669" s="5" t="inlineStr">
        <is>
          <t>Married</t>
        </is>
      </c>
      <c r="E1669" s="5" t="inlineStr">
        <is>
          <t>Bachelor</t>
        </is>
      </c>
      <c r="F1669" s="5" t="inlineStr">
        <is>
          <t>Human Resources</t>
        </is>
      </c>
      <c r="G1669" s="5" t="inlineStr">
        <is>
          <t>Recruiter</t>
        </is>
      </c>
      <c r="H1669" s="5" t="inlineStr">
        <is>
          <t>6</t>
        </is>
      </c>
      <c r="I1669" s="5" t="inlineStr">
        <is>
          <t>Mumbai</t>
        </is>
      </c>
      <c r="J1669" s="5" t="inlineStr">
        <is>
          <t>Full-Time</t>
        </is>
      </c>
      <c r="K1669" s="7" t="n">
        <v>44391</v>
      </c>
      <c r="L1669" s="7" t="inlineStr"/>
      <c r="M1669" s="5" t="inlineStr">
        <is>
          <t>Yes</t>
        </is>
      </c>
      <c r="N1669" s="5" t="inlineStr"/>
      <c r="O1669" s="8" t="inlineStr">
        <is>
          <t>164500</t>
        </is>
      </c>
      <c r="P1669" s="5" t="inlineStr">
        <is>
          <t>10</t>
        </is>
      </c>
      <c r="Q1669" s="5" t="inlineStr">
        <is>
          <t>4</t>
        </is>
      </c>
      <c r="R1669" s="5" t="inlineStr">
        <is>
          <t>10</t>
        </is>
      </c>
      <c r="S1669" s="5" t="inlineStr">
        <is>
          <t>54</t>
        </is>
      </c>
      <c r="T1669" s="5" t="inlineStr">
        <is>
          <t>13</t>
        </is>
      </c>
      <c r="U1669" s="5">
        <f>IFS(C1669&lt;30,"Under 30",C1669&lt;40,"30-39",C1669&lt;50,"40-49",TRUE,"50+")</f>
        <v/>
      </c>
      <c r="V1669" s="5">
        <f>IFS(O1669&lt;60000,"Low (&lt;60k)",O1669&lt;100000,"Mid (60-100k)",TRUE,"High (100k+)")</f>
        <v/>
      </c>
      <c r="W1669" s="5">
        <f>IF(M1669="No","Attrited","Active")</f>
        <v/>
      </c>
    </row>
    <row r="1670">
      <c r="A1670" s="5" t="inlineStr">
        <is>
          <t>E01669</t>
        </is>
      </c>
      <c r="B1670" s="5" t="inlineStr">
        <is>
          <t>Male</t>
        </is>
      </c>
      <c r="C1670" s="6" t="inlineStr">
        <is>
          <t>31</t>
        </is>
      </c>
      <c r="D1670" s="5" t="inlineStr">
        <is>
          <t>Married</t>
        </is>
      </c>
      <c r="E1670" s="5" t="inlineStr">
        <is>
          <t>High School</t>
        </is>
      </c>
      <c r="F1670" s="5" t="inlineStr">
        <is>
          <t>Operations</t>
        </is>
      </c>
      <c r="G1670" s="5" t="inlineStr">
        <is>
          <t>Quality Analyst</t>
        </is>
      </c>
      <c r="H1670" s="5" t="inlineStr">
        <is>
          <t>2</t>
        </is>
      </c>
      <c r="I1670" s="5" t="inlineStr">
        <is>
          <t>Remote</t>
        </is>
      </c>
      <c r="J1670" s="5" t="inlineStr">
        <is>
          <t>Full-Time</t>
        </is>
      </c>
      <c r="K1670" s="7" t="n">
        <v>43995</v>
      </c>
      <c r="L1670" s="7" t="inlineStr"/>
      <c r="M1670" s="5" t="inlineStr">
        <is>
          <t>Yes</t>
        </is>
      </c>
      <c r="N1670" s="5" t="inlineStr"/>
      <c r="O1670" s="8" t="inlineStr">
        <is>
          <t>79000</t>
        </is>
      </c>
      <c r="P1670" s="5" t="inlineStr">
        <is>
          <t>5</t>
        </is>
      </c>
      <c r="Q1670" s="5" t="inlineStr">
        <is>
          <t>3</t>
        </is>
      </c>
      <c r="R1670" s="5" t="inlineStr">
        <is>
          <t>6</t>
        </is>
      </c>
      <c r="S1670" s="5" t="inlineStr">
        <is>
          <t>67</t>
        </is>
      </c>
      <c r="T1670" s="5" t="inlineStr">
        <is>
          <t>0</t>
        </is>
      </c>
      <c r="U1670" s="5">
        <f>IFS(C1670&lt;30,"Under 30",C1670&lt;40,"30-39",C1670&lt;50,"40-49",TRUE,"50+")</f>
        <v/>
      </c>
      <c r="V1670" s="5">
        <f>IFS(O1670&lt;60000,"Low (&lt;60k)",O1670&lt;100000,"Mid (60-100k)",TRUE,"High (100k+)")</f>
        <v/>
      </c>
      <c r="W1670" s="5">
        <f>IF(M1670="No","Attrited","Active")</f>
        <v/>
      </c>
    </row>
    <row r="1671">
      <c r="A1671" s="5" t="inlineStr">
        <is>
          <t>E01670</t>
        </is>
      </c>
      <c r="B1671" s="5" t="inlineStr">
        <is>
          <t>Female</t>
        </is>
      </c>
      <c r="C1671" s="6" t="inlineStr">
        <is>
          <t>34</t>
        </is>
      </c>
      <c r="D1671" s="5" t="inlineStr">
        <is>
          <t>Married</t>
        </is>
      </c>
      <c r="E1671" s="5" t="inlineStr">
        <is>
          <t>High School</t>
        </is>
      </c>
      <c r="F1671" s="5" t="inlineStr">
        <is>
          <t>Operations</t>
        </is>
      </c>
      <c r="G1671" s="5" t="inlineStr">
        <is>
          <t>Quality Analyst</t>
        </is>
      </c>
      <c r="H1671" s="5" t="inlineStr">
        <is>
          <t>3</t>
        </is>
      </c>
      <c r="I1671" s="5" t="inlineStr">
        <is>
          <t>Bengaluru</t>
        </is>
      </c>
      <c r="J1671" s="5" t="inlineStr">
        <is>
          <t>Full-Time</t>
        </is>
      </c>
      <c r="K1671" s="7" t="n">
        <v>45427</v>
      </c>
      <c r="L1671" s="7" t="inlineStr"/>
      <c r="M1671" s="5" t="inlineStr">
        <is>
          <t>Yes</t>
        </is>
      </c>
      <c r="N1671" s="5" t="inlineStr"/>
      <c r="O1671" s="8" t="inlineStr">
        <is>
          <t>82000</t>
        </is>
      </c>
      <c r="P1671" s="5" t="inlineStr">
        <is>
          <t>0</t>
        </is>
      </c>
      <c r="Q1671" s="5" t="inlineStr">
        <is>
          <t>4</t>
        </is>
      </c>
      <c r="R1671" s="5" t="inlineStr">
        <is>
          <t>7</t>
        </is>
      </c>
      <c r="S1671" s="5" t="inlineStr">
        <is>
          <t>19</t>
        </is>
      </c>
      <c r="T1671" s="5" t="inlineStr">
        <is>
          <t>9</t>
        </is>
      </c>
      <c r="U1671" s="5">
        <f>IFS(C1671&lt;30,"Under 30",C1671&lt;40,"30-39",C1671&lt;50,"40-49",TRUE,"50+")</f>
        <v/>
      </c>
      <c r="V1671" s="5">
        <f>IFS(O1671&lt;60000,"Low (&lt;60k)",O1671&lt;100000,"Mid (60-100k)",TRUE,"High (100k+)")</f>
        <v/>
      </c>
      <c r="W1671" s="5">
        <f>IF(M1671="No","Attrited","Active")</f>
        <v/>
      </c>
    </row>
    <row r="1672">
      <c r="A1672" s="5" t="inlineStr">
        <is>
          <t>E01671</t>
        </is>
      </c>
      <c r="B1672" s="5" t="inlineStr">
        <is>
          <t>Male</t>
        </is>
      </c>
      <c r="C1672" s="6" t="inlineStr">
        <is>
          <t>36</t>
        </is>
      </c>
      <c r="D1672" s="5" t="inlineStr">
        <is>
          <t>Married</t>
        </is>
      </c>
      <c r="E1672" s="5" t="inlineStr">
        <is>
          <t>PhD</t>
        </is>
      </c>
      <c r="F1672" s="5" t="inlineStr">
        <is>
          <t>Sales</t>
        </is>
      </c>
      <c r="G1672" s="5" t="inlineStr">
        <is>
          <t>Account Executive</t>
        </is>
      </c>
      <c r="H1672" s="5" t="inlineStr">
        <is>
          <t>4</t>
        </is>
      </c>
      <c r="I1672" s="5" t="inlineStr">
        <is>
          <t>Mumbai</t>
        </is>
      </c>
      <c r="J1672" s="5" t="inlineStr">
        <is>
          <t>Full-Time</t>
        </is>
      </c>
      <c r="K1672" s="7" t="n">
        <v>45800</v>
      </c>
      <c r="L1672" s="7" t="n">
        <v>45940</v>
      </c>
      <c r="M1672" s="5" t="inlineStr">
        <is>
          <t>No</t>
        </is>
      </c>
      <c r="N1672" s="5" t="inlineStr">
        <is>
          <t>Layoff</t>
        </is>
      </c>
      <c r="O1672" s="8" t="inlineStr">
        <is>
          <t>131000</t>
        </is>
      </c>
      <c r="P1672" s="5" t="inlineStr">
        <is>
          <t>15</t>
        </is>
      </c>
      <c r="Q1672" s="5" t="inlineStr">
        <is>
          <t>3</t>
        </is>
      </c>
      <c r="R1672" s="5" t="inlineStr">
        <is>
          <t>4</t>
        </is>
      </c>
      <c r="S1672" s="5" t="inlineStr">
        <is>
          <t>4</t>
        </is>
      </c>
      <c r="T1672" s="5" t="inlineStr">
        <is>
          <t>23</t>
        </is>
      </c>
      <c r="U1672" s="5">
        <f>IFS(C1672&lt;30,"Under 30",C1672&lt;40,"30-39",C1672&lt;50,"40-49",TRUE,"50+")</f>
        <v/>
      </c>
      <c r="V1672" s="5">
        <f>IFS(O1672&lt;60000,"Low (&lt;60k)",O1672&lt;100000,"Mid (60-100k)",TRUE,"High (100k+)")</f>
        <v/>
      </c>
      <c r="W1672" s="5">
        <f>IF(M1672="No","Attrited","Active")</f>
        <v/>
      </c>
    </row>
    <row r="1673">
      <c r="A1673" s="5" t="inlineStr">
        <is>
          <t>E01672</t>
        </is>
      </c>
      <c r="B1673" s="5" t="inlineStr">
        <is>
          <t>Female</t>
        </is>
      </c>
      <c r="C1673" s="6" t="inlineStr">
        <is>
          <t>36</t>
        </is>
      </c>
      <c r="D1673" s="5" t="inlineStr">
        <is>
          <t>Divorced</t>
        </is>
      </c>
      <c r="E1673" s="5" t="inlineStr">
        <is>
          <t>High School</t>
        </is>
      </c>
      <c r="F1673" s="5" t="inlineStr">
        <is>
          <t>Marketing</t>
        </is>
      </c>
      <c r="G1673" s="5" t="inlineStr">
        <is>
          <t>Marketing Analyst</t>
        </is>
      </c>
      <c r="H1673" s="5" t="inlineStr">
        <is>
          <t>6</t>
        </is>
      </c>
      <c r="I1673" s="5" t="inlineStr">
        <is>
          <t>Mumbai</t>
        </is>
      </c>
      <c r="J1673" s="5" t="inlineStr">
        <is>
          <t>Full-Time</t>
        </is>
      </c>
      <c r="K1673" s="7" t="n">
        <v>44385</v>
      </c>
      <c r="L1673" s="7" t="inlineStr"/>
      <c r="M1673" s="5" t="inlineStr">
        <is>
          <t>Yes</t>
        </is>
      </c>
      <c r="N1673" s="5" t="inlineStr"/>
      <c r="O1673" s="8" t="inlineStr">
        <is>
          <t>99000</t>
        </is>
      </c>
      <c r="P1673" s="5" t="inlineStr">
        <is>
          <t>15</t>
        </is>
      </c>
      <c r="Q1673" s="5" t="inlineStr">
        <is>
          <t>5</t>
        </is>
      </c>
      <c r="R1673" s="5" t="inlineStr">
        <is>
          <t>6</t>
        </is>
      </c>
      <c r="S1673" s="5" t="inlineStr">
        <is>
          <t>54</t>
        </is>
      </c>
      <c r="T1673" s="5" t="inlineStr">
        <is>
          <t>0</t>
        </is>
      </c>
      <c r="U1673" s="5">
        <f>IFS(C1673&lt;30,"Under 30",C1673&lt;40,"30-39",C1673&lt;50,"40-49",TRUE,"50+")</f>
        <v/>
      </c>
      <c r="V1673" s="5">
        <f>IFS(O1673&lt;60000,"Low (&lt;60k)",O1673&lt;100000,"Mid (60-100k)",TRUE,"High (100k+)")</f>
        <v/>
      </c>
      <c r="W1673" s="5">
        <f>IF(M1673="No","Attrited","Active")</f>
        <v/>
      </c>
    </row>
    <row r="1674">
      <c r="A1674" s="5" t="inlineStr">
        <is>
          <t>E01673</t>
        </is>
      </c>
      <c r="B1674" s="5" t="inlineStr">
        <is>
          <t>Female</t>
        </is>
      </c>
      <c r="C1674" s="6" t="inlineStr">
        <is>
          <t>25</t>
        </is>
      </c>
      <c r="D1674" s="5" t="inlineStr">
        <is>
          <t>Married</t>
        </is>
      </c>
      <c r="E1674" s="5" t="inlineStr">
        <is>
          <t>Bachelor</t>
        </is>
      </c>
      <c r="F1674" s="5" t="inlineStr">
        <is>
          <t>Sales</t>
        </is>
      </c>
      <c r="G1674" s="5" t="inlineStr">
        <is>
          <t>Sales Executive</t>
        </is>
      </c>
      <c r="H1674" s="5" t="inlineStr">
        <is>
          <t>1</t>
        </is>
      </c>
      <c r="I1674" s="5" t="inlineStr">
        <is>
          <t>Bengaluru</t>
        </is>
      </c>
      <c r="J1674" s="5" t="inlineStr">
        <is>
          <t>Part-Time</t>
        </is>
      </c>
      <c r="K1674" s="7" t="n">
        <v>44963</v>
      </c>
      <c r="L1674" s="7" t="inlineStr"/>
      <c r="M1674" s="5" t="inlineStr">
        <is>
          <t>Yes</t>
        </is>
      </c>
      <c r="N1674" s="5" t="inlineStr"/>
      <c r="O1674" s="8" t="inlineStr">
        <is>
          <t>94000</t>
        </is>
      </c>
      <c r="P1674" s="5" t="inlineStr">
        <is>
          <t>0</t>
        </is>
      </c>
      <c r="Q1674" s="5" t="inlineStr">
        <is>
          <t>4</t>
        </is>
      </c>
      <c r="R1674" s="5" t="inlineStr">
        <is>
          <t>9</t>
        </is>
      </c>
      <c r="S1674" s="5" t="inlineStr">
        <is>
          <t>35</t>
        </is>
      </c>
      <c r="T1674" s="5" t="inlineStr">
        <is>
          <t>12</t>
        </is>
      </c>
      <c r="U1674" s="5">
        <f>IFS(C1674&lt;30,"Under 30",C1674&lt;40,"30-39",C1674&lt;50,"40-49",TRUE,"50+")</f>
        <v/>
      </c>
      <c r="V1674" s="5">
        <f>IFS(O1674&lt;60000,"Low (&lt;60k)",O1674&lt;100000,"Mid (60-100k)",TRUE,"High (100k+)")</f>
        <v/>
      </c>
      <c r="W1674" s="5">
        <f>IF(M1674="No","Attrited","Active")</f>
        <v/>
      </c>
    </row>
    <row r="1675">
      <c r="A1675" s="5" t="inlineStr">
        <is>
          <t>E01674</t>
        </is>
      </c>
      <c r="B1675" s="5" t="inlineStr">
        <is>
          <t>Female</t>
        </is>
      </c>
      <c r="C1675" s="6" t="inlineStr">
        <is>
          <t>39</t>
        </is>
      </c>
      <c r="D1675" s="5" t="inlineStr">
        <is>
          <t>Married</t>
        </is>
      </c>
      <c r="E1675" s="5" t="inlineStr">
        <is>
          <t>High School</t>
        </is>
      </c>
      <c r="F1675" s="5" t="inlineStr">
        <is>
          <t>Customer Support</t>
        </is>
      </c>
      <c r="G1675" s="5" t="inlineStr">
        <is>
          <t>Escalation Specialist</t>
        </is>
      </c>
      <c r="H1675" s="5" t="inlineStr">
        <is>
          <t>5</t>
        </is>
      </c>
      <c r="I1675" s="5" t="inlineStr">
        <is>
          <t>Delhi</t>
        </is>
      </c>
      <c r="J1675" s="5" t="inlineStr">
        <is>
          <t>Full-Time</t>
        </is>
      </c>
      <c r="K1675" s="7" t="n">
        <v>44978</v>
      </c>
      <c r="L1675" s="7" t="inlineStr"/>
      <c r="M1675" s="5" t="inlineStr">
        <is>
          <t>Yes</t>
        </is>
      </c>
      <c r="N1675" s="5" t="inlineStr"/>
      <c r="O1675" s="8" t="inlineStr">
        <is>
          <t>98000</t>
        </is>
      </c>
      <c r="P1675" s="5" t="inlineStr">
        <is>
          <t>0</t>
        </is>
      </c>
      <c r="Q1675" s="5" t="inlineStr">
        <is>
          <t>3</t>
        </is>
      </c>
      <c r="R1675" s="5" t="inlineStr">
        <is>
          <t>5</t>
        </is>
      </c>
      <c r="S1675" s="5" t="inlineStr">
        <is>
          <t>34</t>
        </is>
      </c>
      <c r="T1675" s="5" t="inlineStr">
        <is>
          <t>3</t>
        </is>
      </c>
      <c r="U1675" s="5">
        <f>IFS(C1675&lt;30,"Under 30",C1675&lt;40,"30-39",C1675&lt;50,"40-49",TRUE,"50+")</f>
        <v/>
      </c>
      <c r="V1675" s="5">
        <f>IFS(O1675&lt;60000,"Low (&lt;60k)",O1675&lt;100000,"Mid (60-100k)",TRUE,"High (100k+)")</f>
        <v/>
      </c>
      <c r="W1675" s="5">
        <f>IF(M1675="No","Attrited","Active")</f>
        <v/>
      </c>
    </row>
    <row r="1676">
      <c r="A1676" s="5" t="inlineStr">
        <is>
          <t>E01675</t>
        </is>
      </c>
      <c r="B1676" s="5" t="inlineStr">
        <is>
          <t>Male</t>
        </is>
      </c>
      <c r="C1676" s="6" t="inlineStr">
        <is>
          <t>38</t>
        </is>
      </c>
      <c r="D1676" s="5" t="inlineStr">
        <is>
          <t>Divorced</t>
        </is>
      </c>
      <c r="E1676" s="5" t="inlineStr">
        <is>
          <t>Bachelor</t>
        </is>
      </c>
      <c r="F1676" s="5" t="inlineStr">
        <is>
          <t>Sales</t>
        </is>
      </c>
      <c r="G1676" s="5" t="inlineStr">
        <is>
          <t>Business Development</t>
        </is>
      </c>
      <c r="H1676" s="5" t="inlineStr">
        <is>
          <t>3</t>
        </is>
      </c>
      <c r="I1676" s="5" t="inlineStr">
        <is>
          <t>Hyderabad</t>
        </is>
      </c>
      <c r="J1676" s="5" t="inlineStr">
        <is>
          <t>Full-Time</t>
        </is>
      </c>
      <c r="K1676" s="7" t="n">
        <v>45419</v>
      </c>
      <c r="L1676" s="7" t="n">
        <v>45568</v>
      </c>
      <c r="M1676" s="5" t="inlineStr">
        <is>
          <t>No</t>
        </is>
      </c>
      <c r="N1676" s="5" t="inlineStr">
        <is>
          <t>Resigned</t>
        </is>
      </c>
      <c r="O1676" s="8" t="inlineStr">
        <is>
          <t>111000</t>
        </is>
      </c>
      <c r="P1676" s="5" t="inlineStr">
        <is>
          <t>5</t>
        </is>
      </c>
      <c r="Q1676" s="5" t="inlineStr">
        <is>
          <t>4</t>
        </is>
      </c>
      <c r="R1676" s="5" t="inlineStr">
        <is>
          <t>6</t>
        </is>
      </c>
      <c r="S1676" s="5" t="inlineStr">
        <is>
          <t>4</t>
        </is>
      </c>
      <c r="T1676" s="5" t="inlineStr">
        <is>
          <t>8</t>
        </is>
      </c>
      <c r="U1676" s="5">
        <f>IFS(C1676&lt;30,"Under 30",C1676&lt;40,"30-39",C1676&lt;50,"40-49",TRUE,"50+")</f>
        <v/>
      </c>
      <c r="V1676" s="5">
        <f>IFS(O1676&lt;60000,"Low (&lt;60k)",O1676&lt;100000,"Mid (60-100k)",TRUE,"High (100k+)")</f>
        <v/>
      </c>
      <c r="W1676" s="5">
        <f>IF(M1676="No","Attrited","Active")</f>
        <v/>
      </c>
    </row>
    <row r="1677">
      <c r="A1677" s="5" t="inlineStr">
        <is>
          <t>E01676</t>
        </is>
      </c>
      <c r="B1677" s="5" t="inlineStr">
        <is>
          <t>Female</t>
        </is>
      </c>
      <c r="C1677" s="6" t="inlineStr">
        <is>
          <t>36</t>
        </is>
      </c>
      <c r="D1677" s="5" t="inlineStr">
        <is>
          <t>Single</t>
        </is>
      </c>
      <c r="E1677" s="5" t="inlineStr">
        <is>
          <t>Master</t>
        </is>
      </c>
      <c r="F1677" s="5" t="inlineStr">
        <is>
          <t>Operations</t>
        </is>
      </c>
      <c r="G1677" s="5" t="inlineStr">
        <is>
          <t>Operations Analyst</t>
        </is>
      </c>
      <c r="H1677" s="5" t="inlineStr">
        <is>
          <t>5</t>
        </is>
      </c>
      <c r="I1677" s="5" t="inlineStr">
        <is>
          <t>Chennai</t>
        </is>
      </c>
      <c r="J1677" s="5" t="inlineStr">
        <is>
          <t>Full-Time</t>
        </is>
      </c>
      <c r="K1677" s="7" t="n">
        <v>44389</v>
      </c>
      <c r="L1677" s="7" t="n">
        <v>44429</v>
      </c>
      <c r="M1677" s="5" t="inlineStr">
        <is>
          <t>No</t>
        </is>
      </c>
      <c r="N1677" s="5" t="inlineStr">
        <is>
          <t>Resigned</t>
        </is>
      </c>
      <c r="O1677" s="8" t="inlineStr">
        <is>
          <t>135000</t>
        </is>
      </c>
      <c r="P1677" s="5" t="inlineStr">
        <is>
          <t>0</t>
        </is>
      </c>
      <c r="Q1677" s="5" t="inlineStr">
        <is>
          <t>3</t>
        </is>
      </c>
      <c r="R1677" s="5" t="inlineStr">
        <is>
          <t>6</t>
        </is>
      </c>
      <c r="S1677" s="5" t="inlineStr">
        <is>
          <t>1</t>
        </is>
      </c>
      <c r="T1677" s="5" t="inlineStr">
        <is>
          <t>10</t>
        </is>
      </c>
      <c r="U1677" s="5">
        <f>IFS(C1677&lt;30,"Under 30",C1677&lt;40,"30-39",C1677&lt;50,"40-49",TRUE,"50+")</f>
        <v/>
      </c>
      <c r="V1677" s="5">
        <f>IFS(O1677&lt;60000,"Low (&lt;60k)",O1677&lt;100000,"Mid (60-100k)",TRUE,"High (100k+)")</f>
        <v/>
      </c>
      <c r="W1677" s="5">
        <f>IF(M1677="No","Attrited","Active")</f>
        <v/>
      </c>
    </row>
    <row r="1678">
      <c r="A1678" s="5" t="inlineStr">
        <is>
          <t>E01677</t>
        </is>
      </c>
      <c r="B1678" s="5" t="inlineStr">
        <is>
          <t>Female</t>
        </is>
      </c>
      <c r="C1678" s="6" t="inlineStr">
        <is>
          <t>29</t>
        </is>
      </c>
      <c r="D1678" s="5" t="inlineStr">
        <is>
          <t>Single</t>
        </is>
      </c>
      <c r="E1678" s="5" t="inlineStr">
        <is>
          <t>High School</t>
        </is>
      </c>
      <c r="F1678" s="5" t="inlineStr">
        <is>
          <t>Finance</t>
        </is>
      </c>
      <c r="G1678" s="5" t="inlineStr">
        <is>
          <t>Credit Analyst</t>
        </is>
      </c>
      <c r="H1678" s="5" t="inlineStr">
        <is>
          <t>1</t>
        </is>
      </c>
      <c r="I1678" s="5" t="inlineStr">
        <is>
          <t>Bengaluru</t>
        </is>
      </c>
      <c r="J1678" s="5" t="inlineStr">
        <is>
          <t>Full-Time</t>
        </is>
      </c>
      <c r="K1678" s="7" t="n">
        <v>45706</v>
      </c>
      <c r="L1678" s="7" t="n">
        <v>45800</v>
      </c>
      <c r="M1678" s="5" t="inlineStr">
        <is>
          <t>No</t>
        </is>
      </c>
      <c r="N1678" s="5" t="inlineStr">
        <is>
          <t>Performance / Termination</t>
        </is>
      </c>
      <c r="O1678" s="8" t="inlineStr">
        <is>
          <t>74500</t>
        </is>
      </c>
      <c r="P1678" s="5" t="inlineStr">
        <is>
          <t>15</t>
        </is>
      </c>
      <c r="Q1678" s="5" t="inlineStr">
        <is>
          <t>4</t>
        </is>
      </c>
      <c r="R1678" s="5" t="inlineStr">
        <is>
          <t>10</t>
        </is>
      </c>
      <c r="S1678" s="5" t="inlineStr">
        <is>
          <t>3</t>
        </is>
      </c>
      <c r="T1678" s="5" t="inlineStr">
        <is>
          <t>8</t>
        </is>
      </c>
      <c r="U1678" s="5">
        <f>IFS(C1678&lt;30,"Under 30",C1678&lt;40,"30-39",C1678&lt;50,"40-49",TRUE,"50+")</f>
        <v/>
      </c>
      <c r="V1678" s="5">
        <f>IFS(O1678&lt;60000,"Low (&lt;60k)",O1678&lt;100000,"Mid (60-100k)",TRUE,"High (100k+)")</f>
        <v/>
      </c>
      <c r="W1678" s="5">
        <f>IF(M1678="No","Attrited","Active")</f>
        <v/>
      </c>
    </row>
    <row r="1679">
      <c r="A1679" s="5" t="inlineStr">
        <is>
          <t>E01678</t>
        </is>
      </c>
      <c r="B1679" s="5" t="inlineStr">
        <is>
          <t>Male</t>
        </is>
      </c>
      <c r="C1679" s="6" t="inlineStr">
        <is>
          <t>34</t>
        </is>
      </c>
      <c r="D1679" s="5" t="inlineStr">
        <is>
          <t>Married</t>
        </is>
      </c>
      <c r="E1679" s="5" t="inlineStr">
        <is>
          <t>Bachelor</t>
        </is>
      </c>
      <c r="F1679" s="5" t="inlineStr">
        <is>
          <t>Human Resources</t>
        </is>
      </c>
      <c r="G1679" s="5" t="inlineStr">
        <is>
          <t>HR Analyst</t>
        </is>
      </c>
      <c r="H1679" s="5" t="inlineStr">
        <is>
          <t>5</t>
        </is>
      </c>
      <c r="I1679" s="5" t="inlineStr">
        <is>
          <t>Chennai</t>
        </is>
      </c>
      <c r="J1679" s="5" t="inlineStr">
        <is>
          <t>Full-Time</t>
        </is>
      </c>
      <c r="K1679" s="7" t="n">
        <v>45546</v>
      </c>
      <c r="L1679" s="7" t="inlineStr"/>
      <c r="M1679" s="5" t="inlineStr">
        <is>
          <t>Yes</t>
        </is>
      </c>
      <c r="N1679" s="5" t="inlineStr"/>
      <c r="O1679" s="8" t="inlineStr">
        <is>
          <t>124500</t>
        </is>
      </c>
      <c r="P1679" s="5" t="inlineStr">
        <is>
          <t>0</t>
        </is>
      </c>
      <c r="Q1679" s="5" t="inlineStr">
        <is>
          <t>3</t>
        </is>
      </c>
      <c r="R1679" s="5" t="inlineStr">
        <is>
          <t>5</t>
        </is>
      </c>
      <c r="S1679" s="5" t="inlineStr">
        <is>
          <t>15</t>
        </is>
      </c>
      <c r="T1679" s="5" t="inlineStr">
        <is>
          <t>0</t>
        </is>
      </c>
      <c r="U1679" s="5">
        <f>IFS(C1679&lt;30,"Under 30",C1679&lt;40,"30-39",C1679&lt;50,"40-49",TRUE,"50+")</f>
        <v/>
      </c>
      <c r="V1679" s="5">
        <f>IFS(O1679&lt;60000,"Low (&lt;60k)",O1679&lt;100000,"Mid (60-100k)",TRUE,"High (100k+)")</f>
        <v/>
      </c>
      <c r="W1679" s="5">
        <f>IF(M1679="No","Attrited","Active")</f>
        <v/>
      </c>
    </row>
    <row r="1680">
      <c r="A1680" s="5" t="inlineStr">
        <is>
          <t>E01679</t>
        </is>
      </c>
      <c r="B1680" s="5" t="inlineStr">
        <is>
          <t>Male</t>
        </is>
      </c>
      <c r="C1680" s="6" t="inlineStr">
        <is>
          <t>27</t>
        </is>
      </c>
      <c r="D1680" s="5" t="inlineStr">
        <is>
          <t>Single</t>
        </is>
      </c>
      <c r="E1680" s="5" t="inlineStr">
        <is>
          <t>Diploma</t>
        </is>
      </c>
      <c r="F1680" s="5" t="inlineStr">
        <is>
          <t>Operations</t>
        </is>
      </c>
      <c r="G1680" s="5" t="inlineStr">
        <is>
          <t>Quality Analyst</t>
        </is>
      </c>
      <c r="H1680" s="5" t="inlineStr">
        <is>
          <t>3</t>
        </is>
      </c>
      <c r="I1680" s="5" t="inlineStr">
        <is>
          <t>Hyderabad</t>
        </is>
      </c>
      <c r="J1680" s="5" t="inlineStr">
        <is>
          <t>Full-Time</t>
        </is>
      </c>
      <c r="K1680" s="7" t="n">
        <v>44260</v>
      </c>
      <c r="L1680" s="7" t="n">
        <v>44373</v>
      </c>
      <c r="M1680" s="5" t="inlineStr">
        <is>
          <t>No</t>
        </is>
      </c>
      <c r="N1680" s="5" t="inlineStr">
        <is>
          <t>Layoff</t>
        </is>
      </c>
      <c r="O1680" s="8" t="inlineStr">
        <is>
          <t>83000</t>
        </is>
      </c>
      <c r="P1680" s="5" t="inlineStr">
        <is>
          <t>10</t>
        </is>
      </c>
      <c r="Q1680" s="5" t="inlineStr">
        <is>
          <t>4</t>
        </is>
      </c>
      <c r="R1680" s="5" t="inlineStr">
        <is>
          <t>5</t>
        </is>
      </c>
      <c r="S1680" s="5" t="inlineStr">
        <is>
          <t>3</t>
        </is>
      </c>
      <c r="T1680" s="5" t="inlineStr">
        <is>
          <t>9</t>
        </is>
      </c>
      <c r="U1680" s="5">
        <f>IFS(C1680&lt;30,"Under 30",C1680&lt;40,"30-39",C1680&lt;50,"40-49",TRUE,"50+")</f>
        <v/>
      </c>
      <c r="V1680" s="5">
        <f>IFS(O1680&lt;60000,"Low (&lt;60k)",O1680&lt;100000,"Mid (60-100k)",TRUE,"High (100k+)")</f>
        <v/>
      </c>
      <c r="W1680" s="5">
        <f>IF(M1680="No","Attrited","Active")</f>
        <v/>
      </c>
    </row>
    <row r="1681">
      <c r="A1681" s="5" t="inlineStr">
        <is>
          <t>E01680</t>
        </is>
      </c>
      <c r="B1681" s="5" t="inlineStr">
        <is>
          <t>Female</t>
        </is>
      </c>
      <c r="C1681" s="6" t="inlineStr">
        <is>
          <t>33</t>
        </is>
      </c>
      <c r="D1681" s="5" t="inlineStr">
        <is>
          <t>Married</t>
        </is>
      </c>
      <c r="E1681" s="5" t="inlineStr">
        <is>
          <t>High School</t>
        </is>
      </c>
      <c r="F1681" s="5" t="inlineStr">
        <is>
          <t>Finance</t>
        </is>
      </c>
      <c r="G1681" s="5" t="inlineStr">
        <is>
          <t>Credit Analyst</t>
        </is>
      </c>
      <c r="H1681" s="5" t="inlineStr">
        <is>
          <t>1</t>
        </is>
      </c>
      <c r="I1681" s="5" t="inlineStr">
        <is>
          <t>Remote</t>
        </is>
      </c>
      <c r="J1681" s="5" t="inlineStr">
        <is>
          <t>Full-Time</t>
        </is>
      </c>
      <c r="K1681" s="7" t="n">
        <v>43960</v>
      </c>
      <c r="L1681" s="7" t="inlineStr"/>
      <c r="M1681" s="5" t="inlineStr">
        <is>
          <t>Yes</t>
        </is>
      </c>
      <c r="N1681" s="5" t="inlineStr"/>
      <c r="O1681" s="8" t="inlineStr">
        <is>
          <t>99000</t>
        </is>
      </c>
      <c r="P1681" s="5" t="inlineStr">
        <is>
          <t>5</t>
        </is>
      </c>
      <c r="Q1681" s="5" t="inlineStr">
        <is>
          <t>2</t>
        </is>
      </c>
      <c r="R1681" s="5" t="inlineStr">
        <is>
          <t>6</t>
        </is>
      </c>
      <c r="S1681" s="5" t="inlineStr">
        <is>
          <t>68</t>
        </is>
      </c>
      <c r="T1681" s="5" t="inlineStr">
        <is>
          <t>0</t>
        </is>
      </c>
      <c r="U1681" s="5">
        <f>IFS(C1681&lt;30,"Under 30",C1681&lt;40,"30-39",C1681&lt;50,"40-49",TRUE,"50+")</f>
        <v/>
      </c>
      <c r="V1681" s="5">
        <f>IFS(O1681&lt;60000,"Low (&lt;60k)",O1681&lt;100000,"Mid (60-100k)",TRUE,"High (100k+)")</f>
        <v/>
      </c>
      <c r="W1681" s="5">
        <f>IF(M1681="No","Attrited","Active")</f>
        <v/>
      </c>
    </row>
    <row r="1682">
      <c r="A1682" s="5" t="inlineStr">
        <is>
          <t>E01681</t>
        </is>
      </c>
      <c r="B1682" s="5" t="inlineStr">
        <is>
          <t>Male</t>
        </is>
      </c>
      <c r="C1682" s="6" t="inlineStr">
        <is>
          <t>25</t>
        </is>
      </c>
      <c r="D1682" s="5" t="inlineStr">
        <is>
          <t>Single</t>
        </is>
      </c>
      <c r="E1682" s="5" t="inlineStr">
        <is>
          <t>Diploma</t>
        </is>
      </c>
      <c r="F1682" s="5" t="inlineStr">
        <is>
          <t>Finance</t>
        </is>
      </c>
      <c r="G1682" s="5" t="inlineStr">
        <is>
          <t>Accountant</t>
        </is>
      </c>
      <c r="H1682" s="5" t="inlineStr">
        <is>
          <t>1</t>
        </is>
      </c>
      <c r="I1682" s="5" t="inlineStr">
        <is>
          <t>Mumbai</t>
        </is>
      </c>
      <c r="J1682" s="5" t="inlineStr">
        <is>
          <t>Part-Time</t>
        </is>
      </c>
      <c r="K1682" s="7" t="n">
        <v>45353</v>
      </c>
      <c r="L1682" s="7" t="inlineStr"/>
      <c r="M1682" s="5" t="inlineStr">
        <is>
          <t>Yes</t>
        </is>
      </c>
      <c r="N1682" s="5" t="inlineStr"/>
      <c r="O1682" s="8" t="inlineStr">
        <is>
          <t>75000</t>
        </is>
      </c>
      <c r="P1682" s="5" t="inlineStr">
        <is>
          <t>0</t>
        </is>
      </c>
      <c r="Q1682" s="5" t="inlineStr">
        <is>
          <t>4</t>
        </is>
      </c>
      <c r="R1682" s="5" t="inlineStr">
        <is>
          <t>7</t>
        </is>
      </c>
      <c r="S1682" s="5" t="inlineStr">
        <is>
          <t>22</t>
        </is>
      </c>
      <c r="T1682" s="5" t="inlineStr">
        <is>
          <t>6</t>
        </is>
      </c>
      <c r="U1682" s="5">
        <f>IFS(C1682&lt;30,"Under 30",C1682&lt;40,"30-39",C1682&lt;50,"40-49",TRUE,"50+")</f>
        <v/>
      </c>
      <c r="V1682" s="5">
        <f>IFS(O1682&lt;60000,"Low (&lt;60k)",O1682&lt;100000,"Mid (60-100k)",TRUE,"High (100k+)")</f>
        <v/>
      </c>
      <c r="W1682" s="5">
        <f>IF(M1682="No","Attrited","Active")</f>
        <v/>
      </c>
    </row>
    <row r="1683">
      <c r="A1683" s="5" t="inlineStr">
        <is>
          <t>E01682</t>
        </is>
      </c>
      <c r="B1683" s="5" t="inlineStr">
        <is>
          <t>Female</t>
        </is>
      </c>
      <c r="C1683" s="6" t="inlineStr">
        <is>
          <t>43</t>
        </is>
      </c>
      <c r="D1683" s="5" t="inlineStr">
        <is>
          <t>Married</t>
        </is>
      </c>
      <c r="E1683" s="5" t="inlineStr">
        <is>
          <t>Diploma</t>
        </is>
      </c>
      <c r="F1683" s="5" t="inlineStr">
        <is>
          <t>Research &amp; Development</t>
        </is>
      </c>
      <c r="G1683" s="5" t="inlineStr">
        <is>
          <t>Research Scientist</t>
        </is>
      </c>
      <c r="H1683" s="5" t="inlineStr">
        <is>
          <t>6</t>
        </is>
      </c>
      <c r="I1683" s="5" t="inlineStr">
        <is>
          <t>Chennai</t>
        </is>
      </c>
      <c r="J1683" s="5" t="inlineStr">
        <is>
          <t>Full-Time</t>
        </is>
      </c>
      <c r="K1683" s="7" t="n">
        <v>43976</v>
      </c>
      <c r="L1683" s="7" t="inlineStr"/>
      <c r="M1683" s="5" t="inlineStr">
        <is>
          <t>Yes</t>
        </is>
      </c>
      <c r="N1683" s="5" t="inlineStr"/>
      <c r="O1683" s="8" t="inlineStr">
        <is>
          <t>268000</t>
        </is>
      </c>
      <c r="P1683" s="5" t="inlineStr">
        <is>
          <t>15</t>
        </is>
      </c>
      <c r="Q1683" s="5" t="inlineStr">
        <is>
          <t>3</t>
        </is>
      </c>
      <c r="R1683" s="5" t="inlineStr">
        <is>
          <t>4</t>
        </is>
      </c>
      <c r="S1683" s="5" t="inlineStr">
        <is>
          <t>68</t>
        </is>
      </c>
      <c r="T1683" s="5" t="inlineStr">
        <is>
          <t>2</t>
        </is>
      </c>
      <c r="U1683" s="5">
        <f>IFS(C1683&lt;30,"Under 30",C1683&lt;40,"30-39",C1683&lt;50,"40-49",TRUE,"50+")</f>
        <v/>
      </c>
      <c r="V1683" s="5">
        <f>IFS(O1683&lt;60000,"Low (&lt;60k)",O1683&lt;100000,"Mid (60-100k)",TRUE,"High (100k+)")</f>
        <v/>
      </c>
      <c r="W1683" s="5">
        <f>IF(M1683="No","Attrited","Active")</f>
        <v/>
      </c>
    </row>
    <row r="1684">
      <c r="A1684" s="5" t="inlineStr">
        <is>
          <t>E01683</t>
        </is>
      </c>
      <c r="B1684" s="5" t="inlineStr">
        <is>
          <t>Female</t>
        </is>
      </c>
      <c r="C1684" s="6" t="inlineStr">
        <is>
          <t>24</t>
        </is>
      </c>
      <c r="D1684" s="5" t="inlineStr">
        <is>
          <t>Married</t>
        </is>
      </c>
      <c r="E1684" s="5" t="inlineStr">
        <is>
          <t>High School</t>
        </is>
      </c>
      <c r="F1684" s="5" t="inlineStr">
        <is>
          <t>Operations</t>
        </is>
      </c>
      <c r="G1684" s="5" t="inlineStr">
        <is>
          <t>Quality Analyst</t>
        </is>
      </c>
      <c r="H1684" s="5" t="inlineStr">
        <is>
          <t>1</t>
        </is>
      </c>
      <c r="I1684" s="5" t="inlineStr">
        <is>
          <t>Delhi</t>
        </is>
      </c>
      <c r="J1684" s="5" t="inlineStr">
        <is>
          <t>Full-Time</t>
        </is>
      </c>
      <c r="K1684" s="7" t="n">
        <v>44895</v>
      </c>
      <c r="L1684" s="7" t="inlineStr"/>
      <c r="M1684" s="5" t="inlineStr">
        <is>
          <t>Yes</t>
        </is>
      </c>
      <c r="N1684" s="5" t="inlineStr"/>
      <c r="O1684" s="8" t="inlineStr">
        <is>
          <t>73500</t>
        </is>
      </c>
      <c r="P1684" s="5" t="inlineStr">
        <is>
          <t>10</t>
        </is>
      </c>
      <c r="Q1684" s="5" t="inlineStr">
        <is>
          <t>4</t>
        </is>
      </c>
      <c r="R1684" s="5" t="inlineStr">
        <is>
          <t>4</t>
        </is>
      </c>
      <c r="S1684" s="5" t="inlineStr">
        <is>
          <t>37</t>
        </is>
      </c>
      <c r="T1684" s="5" t="inlineStr">
        <is>
          <t>6</t>
        </is>
      </c>
      <c r="U1684" s="5">
        <f>IFS(C1684&lt;30,"Under 30",C1684&lt;40,"30-39",C1684&lt;50,"40-49",TRUE,"50+")</f>
        <v/>
      </c>
      <c r="V1684" s="5">
        <f>IFS(O1684&lt;60000,"Low (&lt;60k)",O1684&lt;100000,"Mid (60-100k)",TRUE,"High (100k+)")</f>
        <v/>
      </c>
      <c r="W1684" s="5">
        <f>IF(M1684="No","Attrited","Active")</f>
        <v/>
      </c>
    </row>
    <row r="1685">
      <c r="A1685" s="5" t="inlineStr">
        <is>
          <t>E01684</t>
        </is>
      </c>
      <c r="B1685" s="5" t="inlineStr">
        <is>
          <t>Male</t>
        </is>
      </c>
      <c r="C1685" s="6" t="inlineStr">
        <is>
          <t>42</t>
        </is>
      </c>
      <c r="D1685" s="5" t="inlineStr">
        <is>
          <t>Married</t>
        </is>
      </c>
      <c r="E1685" s="5" t="inlineStr">
        <is>
          <t>Diploma</t>
        </is>
      </c>
      <c r="F1685" s="5" t="inlineStr">
        <is>
          <t>Customer Support</t>
        </is>
      </c>
      <c r="G1685" s="5" t="inlineStr">
        <is>
          <t>Escalation Specialist</t>
        </is>
      </c>
      <c r="H1685" s="5" t="inlineStr">
        <is>
          <t>5</t>
        </is>
      </c>
      <c r="I1685" s="5" t="inlineStr">
        <is>
          <t>Mumbai</t>
        </is>
      </c>
      <c r="J1685" s="5" t="inlineStr">
        <is>
          <t>Full-Time</t>
        </is>
      </c>
      <c r="K1685" s="7" t="n">
        <v>45076</v>
      </c>
      <c r="L1685" s="7" t="inlineStr"/>
      <c r="M1685" s="5" t="inlineStr">
        <is>
          <t>Yes</t>
        </is>
      </c>
      <c r="N1685" s="5" t="inlineStr"/>
      <c r="O1685" s="8" t="inlineStr">
        <is>
          <t>93500</t>
        </is>
      </c>
      <c r="P1685" s="5" t="inlineStr">
        <is>
          <t>5</t>
        </is>
      </c>
      <c r="Q1685" s="5" t="inlineStr">
        <is>
          <t>3</t>
        </is>
      </c>
      <c r="R1685" s="5" t="inlineStr">
        <is>
          <t>8</t>
        </is>
      </c>
      <c r="S1685" s="5" t="inlineStr">
        <is>
          <t>31</t>
        </is>
      </c>
      <c r="T1685" s="5" t="inlineStr">
        <is>
          <t>0</t>
        </is>
      </c>
      <c r="U1685" s="5">
        <f>IFS(C1685&lt;30,"Under 30",C1685&lt;40,"30-39",C1685&lt;50,"40-49",TRUE,"50+")</f>
        <v/>
      </c>
      <c r="V1685" s="5">
        <f>IFS(O1685&lt;60000,"Low (&lt;60k)",O1685&lt;100000,"Mid (60-100k)",TRUE,"High (100k+)")</f>
        <v/>
      </c>
      <c r="W1685" s="5">
        <f>IF(M1685="No","Attrited","Active")</f>
        <v/>
      </c>
    </row>
    <row r="1686">
      <c r="A1686" s="5" t="inlineStr">
        <is>
          <t>E01685</t>
        </is>
      </c>
      <c r="B1686" s="5" t="inlineStr">
        <is>
          <t>Female</t>
        </is>
      </c>
      <c r="C1686" s="6" t="inlineStr">
        <is>
          <t>35</t>
        </is>
      </c>
      <c r="D1686" s="5" t="inlineStr">
        <is>
          <t>Married</t>
        </is>
      </c>
      <c r="E1686" s="5" t="inlineStr">
        <is>
          <t>Master</t>
        </is>
      </c>
      <c r="F1686" s="5" t="inlineStr">
        <is>
          <t>Finance</t>
        </is>
      </c>
      <c r="G1686" s="5" t="inlineStr">
        <is>
          <t>Financial Analyst</t>
        </is>
      </c>
      <c r="H1686" s="5" t="inlineStr">
        <is>
          <t>3</t>
        </is>
      </c>
      <c r="I1686" s="5" t="inlineStr">
        <is>
          <t>Chennai</t>
        </is>
      </c>
      <c r="J1686" s="5" t="inlineStr">
        <is>
          <t>Full-Time</t>
        </is>
      </c>
      <c r="K1686" s="7" t="n">
        <v>45814</v>
      </c>
      <c r="L1686" s="7" t="inlineStr"/>
      <c r="M1686" s="5" t="inlineStr">
        <is>
          <t>Yes</t>
        </is>
      </c>
      <c r="N1686" s="5" t="inlineStr"/>
      <c r="O1686" s="8" t="inlineStr">
        <is>
          <t>119500</t>
        </is>
      </c>
      <c r="P1686" s="5" t="inlineStr">
        <is>
          <t>5</t>
        </is>
      </c>
      <c r="Q1686" s="5" t="inlineStr">
        <is>
          <t>5</t>
        </is>
      </c>
      <c r="R1686" s="5" t="inlineStr">
        <is>
          <t>7</t>
        </is>
      </c>
      <c r="S1686" s="5" t="inlineStr">
        <is>
          <t>6</t>
        </is>
      </c>
      <c r="T1686" s="5" t="inlineStr">
        <is>
          <t>2</t>
        </is>
      </c>
      <c r="U1686" s="5">
        <f>IFS(C1686&lt;30,"Under 30",C1686&lt;40,"30-39",C1686&lt;50,"40-49",TRUE,"50+")</f>
        <v/>
      </c>
      <c r="V1686" s="5">
        <f>IFS(O1686&lt;60000,"Low (&lt;60k)",O1686&lt;100000,"Mid (60-100k)",TRUE,"High (100k+)")</f>
        <v/>
      </c>
      <c r="W1686" s="5">
        <f>IF(M1686="No","Attrited","Active")</f>
        <v/>
      </c>
    </row>
    <row r="1687">
      <c r="A1687" s="5" t="inlineStr">
        <is>
          <t>E01686</t>
        </is>
      </c>
      <c r="B1687" s="5" t="inlineStr">
        <is>
          <t>Male</t>
        </is>
      </c>
      <c r="C1687" s="6" t="inlineStr">
        <is>
          <t>29</t>
        </is>
      </c>
      <c r="D1687" s="5" t="inlineStr">
        <is>
          <t>Married</t>
        </is>
      </c>
      <c r="E1687" s="5" t="inlineStr">
        <is>
          <t>Bachelor</t>
        </is>
      </c>
      <c r="F1687" s="5" t="inlineStr">
        <is>
          <t>Human Resources</t>
        </is>
      </c>
      <c r="G1687" s="5" t="inlineStr">
        <is>
          <t>HR Analyst</t>
        </is>
      </c>
      <c r="H1687" s="5" t="inlineStr">
        <is>
          <t>4</t>
        </is>
      </c>
      <c r="I1687" s="5" t="inlineStr">
        <is>
          <t>Remote</t>
        </is>
      </c>
      <c r="J1687" s="5" t="inlineStr">
        <is>
          <t>Full-Time</t>
        </is>
      </c>
      <c r="K1687" s="7" t="n">
        <v>44396</v>
      </c>
      <c r="L1687" s="7" t="inlineStr"/>
      <c r="M1687" s="5" t="inlineStr">
        <is>
          <t>Yes</t>
        </is>
      </c>
      <c r="N1687" s="5" t="inlineStr"/>
      <c r="O1687" s="8" t="inlineStr">
        <is>
          <t>108000</t>
        </is>
      </c>
      <c r="P1687" s="5" t="inlineStr">
        <is>
          <t>0</t>
        </is>
      </c>
      <c r="Q1687" s="5" t="inlineStr">
        <is>
          <t>3</t>
        </is>
      </c>
      <c r="R1687" s="5" t="inlineStr">
        <is>
          <t>10</t>
        </is>
      </c>
      <c r="S1687" s="5" t="inlineStr">
        <is>
          <t>54</t>
        </is>
      </c>
      <c r="T1687" s="5" t="inlineStr">
        <is>
          <t>0</t>
        </is>
      </c>
      <c r="U1687" s="5">
        <f>IFS(C1687&lt;30,"Under 30",C1687&lt;40,"30-39",C1687&lt;50,"40-49",TRUE,"50+")</f>
        <v/>
      </c>
      <c r="V1687" s="5">
        <f>IFS(O1687&lt;60000,"Low (&lt;60k)",O1687&lt;100000,"Mid (60-100k)",TRUE,"High (100k+)")</f>
        <v/>
      </c>
      <c r="W1687" s="5">
        <f>IF(M1687="No","Attrited","Active")</f>
        <v/>
      </c>
    </row>
    <row r="1688">
      <c r="A1688" s="5" t="inlineStr">
        <is>
          <t>E01687</t>
        </is>
      </c>
      <c r="B1688" s="5" t="inlineStr">
        <is>
          <t>Female</t>
        </is>
      </c>
      <c r="C1688" s="6" t="inlineStr">
        <is>
          <t>30</t>
        </is>
      </c>
      <c r="D1688" s="5" t="inlineStr">
        <is>
          <t>Single</t>
        </is>
      </c>
      <c r="E1688" s="5" t="inlineStr">
        <is>
          <t>High School</t>
        </is>
      </c>
      <c r="F1688" s="5" t="inlineStr">
        <is>
          <t>Operations</t>
        </is>
      </c>
      <c r="G1688" s="5" t="inlineStr">
        <is>
          <t>Operations Analyst</t>
        </is>
      </c>
      <c r="H1688" s="5" t="inlineStr">
        <is>
          <t>3</t>
        </is>
      </c>
      <c r="I1688" s="5" t="inlineStr">
        <is>
          <t>Delhi</t>
        </is>
      </c>
      <c r="J1688" s="5" t="inlineStr">
        <is>
          <t>Full-Time</t>
        </is>
      </c>
      <c r="K1688" s="7" t="n">
        <v>45048</v>
      </c>
      <c r="L1688" s="7" t="inlineStr"/>
      <c r="M1688" s="5" t="inlineStr">
        <is>
          <t>Yes</t>
        </is>
      </c>
      <c r="N1688" s="5" t="inlineStr"/>
      <c r="O1688" s="8" t="inlineStr">
        <is>
          <t>90500</t>
        </is>
      </c>
      <c r="P1688" s="5" t="inlineStr">
        <is>
          <t>0</t>
        </is>
      </c>
      <c r="Q1688" s="5" t="inlineStr">
        <is>
          <t>4</t>
        </is>
      </c>
      <c r="R1688" s="5" t="inlineStr">
        <is>
          <t>5</t>
        </is>
      </c>
      <c r="S1688" s="5" t="inlineStr">
        <is>
          <t>32</t>
        </is>
      </c>
      <c r="T1688" s="5" t="inlineStr">
        <is>
          <t>9</t>
        </is>
      </c>
      <c r="U1688" s="5">
        <f>IFS(C1688&lt;30,"Under 30",C1688&lt;40,"30-39",C1688&lt;50,"40-49",TRUE,"50+")</f>
        <v/>
      </c>
      <c r="V1688" s="5">
        <f>IFS(O1688&lt;60000,"Low (&lt;60k)",O1688&lt;100000,"Mid (60-100k)",TRUE,"High (100k+)")</f>
        <v/>
      </c>
      <c r="W1688" s="5">
        <f>IF(M1688="No","Attrited","Active")</f>
        <v/>
      </c>
    </row>
    <row r="1689">
      <c r="A1689" s="5" t="inlineStr">
        <is>
          <t>E01688</t>
        </is>
      </c>
      <c r="B1689" s="5" t="inlineStr">
        <is>
          <t>Male</t>
        </is>
      </c>
      <c r="C1689" s="6" t="inlineStr">
        <is>
          <t>28</t>
        </is>
      </c>
      <c r="D1689" s="5" t="inlineStr">
        <is>
          <t>Married</t>
        </is>
      </c>
      <c r="E1689" s="5" t="inlineStr">
        <is>
          <t>High School</t>
        </is>
      </c>
      <c r="F1689" s="5" t="inlineStr">
        <is>
          <t>Marketing</t>
        </is>
      </c>
      <c r="G1689" s="5" t="inlineStr">
        <is>
          <t>Marketing Analyst</t>
        </is>
      </c>
      <c r="H1689" s="5" t="inlineStr">
        <is>
          <t>3</t>
        </is>
      </c>
      <c r="I1689" s="5" t="inlineStr">
        <is>
          <t>Hyderabad</t>
        </is>
      </c>
      <c r="J1689" s="5" t="inlineStr">
        <is>
          <t>Full-Time</t>
        </is>
      </c>
      <c r="K1689" s="7" t="n">
        <v>45702</v>
      </c>
      <c r="L1689" s="7" t="inlineStr"/>
      <c r="M1689" s="5" t="inlineStr">
        <is>
          <t>Yes</t>
        </is>
      </c>
      <c r="N1689" s="5" t="inlineStr"/>
      <c r="O1689" s="8" t="inlineStr">
        <is>
          <t>88000</t>
        </is>
      </c>
      <c r="P1689" s="5" t="inlineStr">
        <is>
          <t>10</t>
        </is>
      </c>
      <c r="Q1689" s="5" t="inlineStr">
        <is>
          <t>3</t>
        </is>
      </c>
      <c r="R1689" s="5" t="inlineStr">
        <is>
          <t>7</t>
        </is>
      </c>
      <c r="S1689" s="5" t="inlineStr">
        <is>
          <t>10</t>
        </is>
      </c>
      <c r="T1689" s="5" t="inlineStr">
        <is>
          <t>7</t>
        </is>
      </c>
      <c r="U1689" s="5">
        <f>IFS(C1689&lt;30,"Under 30",C1689&lt;40,"30-39",C1689&lt;50,"40-49",TRUE,"50+")</f>
        <v/>
      </c>
      <c r="V1689" s="5">
        <f>IFS(O1689&lt;60000,"Low (&lt;60k)",O1689&lt;100000,"Mid (60-100k)",TRUE,"High (100k+)")</f>
        <v/>
      </c>
      <c r="W1689" s="5">
        <f>IF(M1689="No","Attrited","Active")</f>
        <v/>
      </c>
    </row>
    <row r="1690">
      <c r="A1690" s="5" t="inlineStr">
        <is>
          <t>E01689</t>
        </is>
      </c>
      <c r="B1690" s="5" t="inlineStr">
        <is>
          <t>Female</t>
        </is>
      </c>
      <c r="C1690" s="6" t="inlineStr">
        <is>
          <t>27</t>
        </is>
      </c>
      <c r="D1690" s="5" t="inlineStr">
        <is>
          <t>Married</t>
        </is>
      </c>
      <c r="E1690" s="5" t="inlineStr">
        <is>
          <t>PhD</t>
        </is>
      </c>
      <c r="F1690" s="5" t="inlineStr">
        <is>
          <t>Finance</t>
        </is>
      </c>
      <c r="G1690" s="5" t="inlineStr">
        <is>
          <t>Financial Analyst</t>
        </is>
      </c>
      <c r="H1690" s="5" t="inlineStr">
        <is>
          <t>2</t>
        </is>
      </c>
      <c r="I1690" s="5" t="inlineStr">
        <is>
          <t>Bengaluru</t>
        </is>
      </c>
      <c r="J1690" s="5" t="inlineStr">
        <is>
          <t>Full-Time</t>
        </is>
      </c>
      <c r="K1690" s="7" t="n">
        <v>45119</v>
      </c>
      <c r="L1690" s="7" t="inlineStr"/>
      <c r="M1690" s="5" t="inlineStr">
        <is>
          <t>Yes</t>
        </is>
      </c>
      <c r="N1690" s="5" t="inlineStr"/>
      <c r="O1690" s="8" t="inlineStr">
        <is>
          <t>120500</t>
        </is>
      </c>
      <c r="P1690" s="5" t="inlineStr">
        <is>
          <t>0</t>
        </is>
      </c>
      <c r="Q1690" s="5" t="inlineStr">
        <is>
          <t>3</t>
        </is>
      </c>
      <c r="R1690" s="5" t="inlineStr">
        <is>
          <t>7</t>
        </is>
      </c>
      <c r="S1690" s="5" t="inlineStr">
        <is>
          <t>30</t>
        </is>
      </c>
      <c r="T1690" s="5" t="inlineStr">
        <is>
          <t>5</t>
        </is>
      </c>
      <c r="U1690" s="5">
        <f>IFS(C1690&lt;30,"Under 30",C1690&lt;40,"30-39",C1690&lt;50,"40-49",TRUE,"50+")</f>
        <v/>
      </c>
      <c r="V1690" s="5">
        <f>IFS(O1690&lt;60000,"Low (&lt;60k)",O1690&lt;100000,"Mid (60-100k)",TRUE,"High (100k+)")</f>
        <v/>
      </c>
      <c r="W1690" s="5">
        <f>IF(M1690="No","Attrited","Active")</f>
        <v/>
      </c>
    </row>
    <row r="1691">
      <c r="A1691" s="5" t="inlineStr">
        <is>
          <t>E01690</t>
        </is>
      </c>
      <c r="B1691" s="5" t="inlineStr">
        <is>
          <t>Male</t>
        </is>
      </c>
      <c r="C1691" s="6" t="inlineStr">
        <is>
          <t>38</t>
        </is>
      </c>
      <c r="D1691" s="5" t="inlineStr">
        <is>
          <t>Single</t>
        </is>
      </c>
      <c r="E1691" s="5" t="inlineStr">
        <is>
          <t>Diploma</t>
        </is>
      </c>
      <c r="F1691" s="5" t="inlineStr">
        <is>
          <t>Customer Support</t>
        </is>
      </c>
      <c r="G1691" s="5" t="inlineStr">
        <is>
          <t>Support Lead</t>
        </is>
      </c>
      <c r="H1691" s="5" t="inlineStr">
        <is>
          <t>4</t>
        </is>
      </c>
      <c r="I1691" s="5" t="inlineStr">
        <is>
          <t>Hyderabad</t>
        </is>
      </c>
      <c r="J1691" s="5" t="inlineStr">
        <is>
          <t>Full-Time</t>
        </is>
      </c>
      <c r="K1691" s="7" t="n">
        <v>44520</v>
      </c>
      <c r="L1691" s="7" t="inlineStr"/>
      <c r="M1691" s="5" t="inlineStr">
        <is>
          <t>Yes</t>
        </is>
      </c>
      <c r="N1691" s="5" t="inlineStr"/>
      <c r="O1691" s="8" t="inlineStr">
        <is>
          <t>102500</t>
        </is>
      </c>
      <c r="P1691" s="5" t="inlineStr">
        <is>
          <t>15</t>
        </is>
      </c>
      <c r="Q1691" s="5" t="inlineStr">
        <is>
          <t>4</t>
        </is>
      </c>
      <c r="R1691" s="5" t="inlineStr">
        <is>
          <t>6</t>
        </is>
      </c>
      <c r="S1691" s="5" t="inlineStr">
        <is>
          <t>50</t>
        </is>
      </c>
      <c r="T1691" s="5" t="inlineStr">
        <is>
          <t>5</t>
        </is>
      </c>
      <c r="U1691" s="5">
        <f>IFS(C1691&lt;30,"Under 30",C1691&lt;40,"30-39",C1691&lt;50,"40-49",TRUE,"50+")</f>
        <v/>
      </c>
      <c r="V1691" s="5">
        <f>IFS(O1691&lt;60000,"Low (&lt;60k)",O1691&lt;100000,"Mid (60-100k)",TRUE,"High (100k+)")</f>
        <v/>
      </c>
      <c r="W1691" s="5">
        <f>IF(M1691="No","Attrited","Active")</f>
        <v/>
      </c>
    </row>
    <row r="1692">
      <c r="A1692" s="5" t="inlineStr">
        <is>
          <t>E01691</t>
        </is>
      </c>
      <c r="B1692" s="5" t="inlineStr">
        <is>
          <t>Female</t>
        </is>
      </c>
      <c r="C1692" s="6" t="inlineStr">
        <is>
          <t>26</t>
        </is>
      </c>
      <c r="D1692" s="5" t="inlineStr">
        <is>
          <t>Single</t>
        </is>
      </c>
      <c r="E1692" s="5" t="inlineStr">
        <is>
          <t>Bachelor</t>
        </is>
      </c>
      <c r="F1692" s="5" t="inlineStr">
        <is>
          <t>Customer Support</t>
        </is>
      </c>
      <c r="G1692" s="5" t="inlineStr">
        <is>
          <t>Support Lead</t>
        </is>
      </c>
      <c r="H1692" s="5" t="inlineStr">
        <is>
          <t>1</t>
        </is>
      </c>
      <c r="I1692" s="5" t="inlineStr">
        <is>
          <t>Remote</t>
        </is>
      </c>
      <c r="J1692" s="5" t="inlineStr">
        <is>
          <t>Full-Time</t>
        </is>
      </c>
      <c r="K1692" s="7" t="n">
        <v>44191</v>
      </c>
      <c r="L1692" s="7" t="inlineStr"/>
      <c r="M1692" s="5" t="inlineStr">
        <is>
          <t>Yes</t>
        </is>
      </c>
      <c r="N1692" s="5" t="inlineStr"/>
      <c r="O1692" s="8" t="inlineStr">
        <is>
          <t>63500</t>
        </is>
      </c>
      <c r="P1692" s="5" t="inlineStr">
        <is>
          <t>0</t>
        </is>
      </c>
      <c r="Q1692" s="5" t="inlineStr">
        <is>
          <t>3</t>
        </is>
      </c>
      <c r="R1692" s="5" t="inlineStr">
        <is>
          <t>5</t>
        </is>
      </c>
      <c r="S1692" s="5" t="inlineStr">
        <is>
          <t>61</t>
        </is>
      </c>
      <c r="T1692" s="5" t="inlineStr">
        <is>
          <t>5</t>
        </is>
      </c>
      <c r="U1692" s="5">
        <f>IFS(C1692&lt;30,"Under 30",C1692&lt;40,"30-39",C1692&lt;50,"40-49",TRUE,"50+")</f>
        <v/>
      </c>
      <c r="V1692" s="5">
        <f>IFS(O1692&lt;60000,"Low (&lt;60k)",O1692&lt;100000,"Mid (60-100k)",TRUE,"High (100k+)")</f>
        <v/>
      </c>
      <c r="W1692" s="5">
        <f>IF(M1692="No","Attrited","Active")</f>
        <v/>
      </c>
    </row>
    <row r="1693">
      <c r="A1693" s="5" t="inlineStr">
        <is>
          <t>E01692</t>
        </is>
      </c>
      <c r="B1693" s="5" t="inlineStr">
        <is>
          <t>Male</t>
        </is>
      </c>
      <c r="C1693" s="6" t="inlineStr">
        <is>
          <t>28</t>
        </is>
      </c>
      <c r="D1693" s="5" t="inlineStr">
        <is>
          <t>Married</t>
        </is>
      </c>
      <c r="E1693" s="5" t="inlineStr">
        <is>
          <t>Bachelor</t>
        </is>
      </c>
      <c r="F1693" s="5" t="inlineStr">
        <is>
          <t>Sales</t>
        </is>
      </c>
      <c r="G1693" s="5" t="inlineStr">
        <is>
          <t>Business Development</t>
        </is>
      </c>
      <c r="H1693" s="5" t="inlineStr">
        <is>
          <t>2</t>
        </is>
      </c>
      <c r="I1693" s="5" t="inlineStr">
        <is>
          <t>Remote</t>
        </is>
      </c>
      <c r="J1693" s="5" t="inlineStr">
        <is>
          <t>Full-Time</t>
        </is>
      </c>
      <c r="K1693" s="7" t="n">
        <v>44083</v>
      </c>
      <c r="L1693" s="7" t="inlineStr"/>
      <c r="M1693" s="5" t="inlineStr">
        <is>
          <t>Yes</t>
        </is>
      </c>
      <c r="N1693" s="5" t="inlineStr"/>
      <c r="O1693" s="8" t="inlineStr">
        <is>
          <t>79000</t>
        </is>
      </c>
      <c r="P1693" s="5" t="inlineStr">
        <is>
          <t>5</t>
        </is>
      </c>
      <c r="Q1693" s="5" t="inlineStr">
        <is>
          <t>2</t>
        </is>
      </c>
      <c r="R1693" s="5" t="inlineStr">
        <is>
          <t>9</t>
        </is>
      </c>
      <c r="S1693" s="5" t="inlineStr">
        <is>
          <t>64</t>
        </is>
      </c>
      <c r="T1693" s="5" t="inlineStr">
        <is>
          <t>1</t>
        </is>
      </c>
      <c r="U1693" s="5">
        <f>IFS(C1693&lt;30,"Under 30",C1693&lt;40,"30-39",C1693&lt;50,"40-49",TRUE,"50+")</f>
        <v/>
      </c>
      <c r="V1693" s="5">
        <f>IFS(O1693&lt;60000,"Low (&lt;60k)",O1693&lt;100000,"Mid (60-100k)",TRUE,"High (100k+)")</f>
        <v/>
      </c>
      <c r="W1693" s="5">
        <f>IF(M1693="No","Attrited","Active")</f>
        <v/>
      </c>
    </row>
    <row r="1694">
      <c r="A1694" s="5" t="inlineStr">
        <is>
          <t>E01693</t>
        </is>
      </c>
      <c r="B1694" s="5" t="inlineStr">
        <is>
          <t>Male</t>
        </is>
      </c>
      <c r="C1694" s="6" t="inlineStr">
        <is>
          <t>30</t>
        </is>
      </c>
      <c r="D1694" s="5" t="inlineStr">
        <is>
          <t>Married</t>
        </is>
      </c>
      <c r="E1694" s="5" t="inlineStr">
        <is>
          <t>High School</t>
        </is>
      </c>
      <c r="F1694" s="5" t="inlineStr">
        <is>
          <t>Marketing</t>
        </is>
      </c>
      <c r="G1694" s="5" t="inlineStr">
        <is>
          <t>Marketing Analyst</t>
        </is>
      </c>
      <c r="H1694" s="5" t="inlineStr">
        <is>
          <t>1</t>
        </is>
      </c>
      <c r="I1694" s="5" t="inlineStr">
        <is>
          <t>Chennai</t>
        </is>
      </c>
      <c r="J1694" s="5" t="inlineStr">
        <is>
          <t>Full-Time</t>
        </is>
      </c>
      <c r="K1694" s="7" t="n">
        <v>44119</v>
      </c>
      <c r="L1694" s="7" t="n">
        <v>44157</v>
      </c>
      <c r="M1694" s="5" t="inlineStr">
        <is>
          <t>No</t>
        </is>
      </c>
      <c r="N1694" s="5" t="inlineStr">
        <is>
          <t>Resigned</t>
        </is>
      </c>
      <c r="O1694" s="8" t="inlineStr">
        <is>
          <t>85500</t>
        </is>
      </c>
      <c r="P1694" s="5" t="inlineStr">
        <is>
          <t>0</t>
        </is>
      </c>
      <c r="Q1694" s="5" t="inlineStr">
        <is>
          <t>3</t>
        </is>
      </c>
      <c r="R1694" s="5" t="inlineStr">
        <is>
          <t>4</t>
        </is>
      </c>
      <c r="S1694" s="5" t="inlineStr">
        <is>
          <t>1</t>
        </is>
      </c>
      <c r="T1694" s="5" t="inlineStr">
        <is>
          <t>1</t>
        </is>
      </c>
      <c r="U1694" s="5">
        <f>IFS(C1694&lt;30,"Under 30",C1694&lt;40,"30-39",C1694&lt;50,"40-49",TRUE,"50+")</f>
        <v/>
      </c>
      <c r="V1694" s="5">
        <f>IFS(O1694&lt;60000,"Low (&lt;60k)",O1694&lt;100000,"Mid (60-100k)",TRUE,"High (100k+)")</f>
        <v/>
      </c>
      <c r="W1694" s="5">
        <f>IF(M1694="No","Attrited","Active")</f>
        <v/>
      </c>
    </row>
    <row r="1695">
      <c r="A1695" s="5" t="inlineStr">
        <is>
          <t>E01694</t>
        </is>
      </c>
      <c r="B1695" s="5" t="inlineStr">
        <is>
          <t>Male</t>
        </is>
      </c>
      <c r="C1695" s="6" t="inlineStr">
        <is>
          <t>29</t>
        </is>
      </c>
      <c r="D1695" s="5" t="inlineStr">
        <is>
          <t>Single</t>
        </is>
      </c>
      <c r="E1695" s="5" t="inlineStr">
        <is>
          <t>PhD</t>
        </is>
      </c>
      <c r="F1695" s="5" t="inlineStr">
        <is>
          <t>Operations</t>
        </is>
      </c>
      <c r="G1695" s="5" t="inlineStr">
        <is>
          <t>Logistics Coordinator</t>
        </is>
      </c>
      <c r="H1695" s="5" t="inlineStr">
        <is>
          <t>2</t>
        </is>
      </c>
      <c r="I1695" s="5" t="inlineStr">
        <is>
          <t>Mumbai</t>
        </is>
      </c>
      <c r="J1695" s="5" t="inlineStr">
        <is>
          <t>Part-Time</t>
        </is>
      </c>
      <c r="K1695" s="7" t="n">
        <v>45406</v>
      </c>
      <c r="L1695" s="7" t="inlineStr"/>
      <c r="M1695" s="5" t="inlineStr">
        <is>
          <t>Yes</t>
        </is>
      </c>
      <c r="N1695" s="5" t="inlineStr"/>
      <c r="O1695" s="8" t="inlineStr">
        <is>
          <t>69500</t>
        </is>
      </c>
      <c r="P1695" s="5" t="inlineStr">
        <is>
          <t>0</t>
        </is>
      </c>
      <c r="Q1695" s="5" t="inlineStr">
        <is>
          <t>4</t>
        </is>
      </c>
      <c r="R1695" s="5" t="inlineStr">
        <is>
          <t>5</t>
        </is>
      </c>
      <c r="S1695" s="5" t="inlineStr">
        <is>
          <t>20</t>
        </is>
      </c>
      <c r="T1695" s="5" t="inlineStr">
        <is>
          <t>4</t>
        </is>
      </c>
      <c r="U1695" s="5">
        <f>IFS(C1695&lt;30,"Under 30",C1695&lt;40,"30-39",C1695&lt;50,"40-49",TRUE,"50+")</f>
        <v/>
      </c>
      <c r="V1695" s="5">
        <f>IFS(O1695&lt;60000,"Low (&lt;60k)",O1695&lt;100000,"Mid (60-100k)",TRUE,"High (100k+)")</f>
        <v/>
      </c>
      <c r="W1695" s="5">
        <f>IF(M1695="No","Attrited","Active")</f>
        <v/>
      </c>
    </row>
    <row r="1696">
      <c r="A1696" s="5" t="inlineStr">
        <is>
          <t>E01695</t>
        </is>
      </c>
      <c r="B1696" s="5" t="inlineStr">
        <is>
          <t>Male</t>
        </is>
      </c>
      <c r="C1696" s="6" t="inlineStr">
        <is>
          <t>32</t>
        </is>
      </c>
      <c r="D1696" s="5" t="inlineStr">
        <is>
          <t>Married</t>
        </is>
      </c>
      <c r="E1696" s="5" t="inlineStr">
        <is>
          <t>Master</t>
        </is>
      </c>
      <c r="F1696" s="5" t="inlineStr">
        <is>
          <t>IT</t>
        </is>
      </c>
      <c r="G1696" s="5" t="inlineStr">
        <is>
          <t>DevOps Engineer</t>
        </is>
      </c>
      <c r="H1696" s="5" t="inlineStr">
        <is>
          <t>2</t>
        </is>
      </c>
      <c r="I1696" s="5" t="inlineStr">
        <is>
          <t>Hyderabad</t>
        </is>
      </c>
      <c r="J1696" s="5" t="inlineStr">
        <is>
          <t>Full-Time</t>
        </is>
      </c>
      <c r="K1696" s="7" t="n">
        <v>44914</v>
      </c>
      <c r="L1696" s="7" t="inlineStr"/>
      <c r="M1696" s="5" t="inlineStr">
        <is>
          <t>Yes</t>
        </is>
      </c>
      <c r="N1696" s="5" t="inlineStr"/>
      <c r="O1696" s="8" t="inlineStr">
        <is>
          <t>103500</t>
        </is>
      </c>
      <c r="P1696" s="5" t="inlineStr">
        <is>
          <t>0</t>
        </is>
      </c>
      <c r="Q1696" s="5" t="inlineStr">
        <is>
          <t>3</t>
        </is>
      </c>
      <c r="R1696" s="5" t="inlineStr">
        <is>
          <t>4</t>
        </is>
      </c>
      <c r="S1696" s="5" t="inlineStr">
        <is>
          <t>36</t>
        </is>
      </c>
      <c r="T1696" s="5" t="inlineStr">
        <is>
          <t>9</t>
        </is>
      </c>
      <c r="U1696" s="5">
        <f>IFS(C1696&lt;30,"Under 30",C1696&lt;40,"30-39",C1696&lt;50,"40-49",TRUE,"50+")</f>
        <v/>
      </c>
      <c r="V1696" s="5">
        <f>IFS(O1696&lt;60000,"Low (&lt;60k)",O1696&lt;100000,"Mid (60-100k)",TRUE,"High (100k+)")</f>
        <v/>
      </c>
      <c r="W1696" s="5">
        <f>IF(M1696="No","Attrited","Active")</f>
        <v/>
      </c>
    </row>
    <row r="1697">
      <c r="A1697" s="5" t="inlineStr">
        <is>
          <t>E01696</t>
        </is>
      </c>
      <c r="B1697" s="5" t="inlineStr">
        <is>
          <t>Female</t>
        </is>
      </c>
      <c r="C1697" s="6" t="inlineStr">
        <is>
          <t>32</t>
        </is>
      </c>
      <c r="D1697" s="5" t="inlineStr">
        <is>
          <t>Married</t>
        </is>
      </c>
      <c r="E1697" s="5" t="inlineStr">
        <is>
          <t>Master</t>
        </is>
      </c>
      <c r="F1697" s="5" t="inlineStr">
        <is>
          <t>Sales</t>
        </is>
      </c>
      <c r="G1697" s="5" t="inlineStr">
        <is>
          <t>Business Development</t>
        </is>
      </c>
      <c r="H1697" s="5" t="inlineStr">
        <is>
          <t>1</t>
        </is>
      </c>
      <c r="I1697" s="5" t="inlineStr">
        <is>
          <t>Remote</t>
        </is>
      </c>
      <c r="J1697" s="5" t="inlineStr">
        <is>
          <t>Contract</t>
        </is>
      </c>
      <c r="K1697" s="7" t="n">
        <v>45005</v>
      </c>
      <c r="L1697" s="7" t="inlineStr"/>
      <c r="M1697" s="5" t="inlineStr">
        <is>
          <t>Yes</t>
        </is>
      </c>
      <c r="N1697" s="5" t="inlineStr"/>
      <c r="O1697" s="8" t="inlineStr">
        <is>
          <t>97000</t>
        </is>
      </c>
      <c r="P1697" s="5" t="inlineStr">
        <is>
          <t>0</t>
        </is>
      </c>
      <c r="Q1697" s="5" t="inlineStr">
        <is>
          <t>4</t>
        </is>
      </c>
      <c r="R1697" s="5" t="inlineStr">
        <is>
          <t>5</t>
        </is>
      </c>
      <c r="S1697" s="5" t="inlineStr">
        <is>
          <t>33</t>
        </is>
      </c>
      <c r="T1697" s="5" t="inlineStr">
        <is>
          <t>0</t>
        </is>
      </c>
      <c r="U1697" s="5">
        <f>IFS(C1697&lt;30,"Under 30",C1697&lt;40,"30-39",C1697&lt;50,"40-49",TRUE,"50+")</f>
        <v/>
      </c>
      <c r="V1697" s="5">
        <f>IFS(O1697&lt;60000,"Low (&lt;60k)",O1697&lt;100000,"Mid (60-100k)",TRUE,"High (100k+)")</f>
        <v/>
      </c>
      <c r="W1697" s="5">
        <f>IF(M1697="No","Attrited","Active")</f>
        <v/>
      </c>
    </row>
    <row r="1698">
      <c r="A1698" s="5" t="inlineStr">
        <is>
          <t>E01697</t>
        </is>
      </c>
      <c r="B1698" s="5" t="inlineStr">
        <is>
          <t>Male</t>
        </is>
      </c>
      <c r="C1698" s="6" t="inlineStr">
        <is>
          <t>41</t>
        </is>
      </c>
      <c r="D1698" s="5" t="inlineStr">
        <is>
          <t>Married</t>
        </is>
      </c>
      <c r="E1698" s="5" t="inlineStr">
        <is>
          <t>Bachelor</t>
        </is>
      </c>
      <c r="F1698" s="5" t="inlineStr">
        <is>
          <t>Research &amp; Development</t>
        </is>
      </c>
      <c r="G1698" s="5" t="inlineStr">
        <is>
          <t>Research Scientist</t>
        </is>
      </c>
      <c r="H1698" s="5" t="inlineStr">
        <is>
          <t>5</t>
        </is>
      </c>
      <c r="I1698" s="5" t="inlineStr">
        <is>
          <t>Hyderabad</t>
        </is>
      </c>
      <c r="J1698" s="5" t="inlineStr">
        <is>
          <t>Full-Time</t>
        </is>
      </c>
      <c r="K1698" s="7" t="n">
        <v>45100</v>
      </c>
      <c r="L1698" s="7" t="inlineStr"/>
      <c r="M1698" s="5" t="inlineStr">
        <is>
          <t>Yes</t>
        </is>
      </c>
      <c r="N1698" s="5" t="inlineStr"/>
      <c r="O1698" s="8" t="inlineStr">
        <is>
          <t>224500</t>
        </is>
      </c>
      <c r="P1698" s="5" t="inlineStr">
        <is>
          <t>5</t>
        </is>
      </c>
      <c r="Q1698" s="5" t="inlineStr">
        <is>
          <t>4</t>
        </is>
      </c>
      <c r="R1698" s="5" t="inlineStr">
        <is>
          <t>2</t>
        </is>
      </c>
      <c r="S1698" s="5" t="inlineStr">
        <is>
          <t>30</t>
        </is>
      </c>
      <c r="T1698" s="5" t="inlineStr">
        <is>
          <t>0</t>
        </is>
      </c>
      <c r="U1698" s="5">
        <f>IFS(C1698&lt;30,"Under 30",C1698&lt;40,"30-39",C1698&lt;50,"40-49",TRUE,"50+")</f>
        <v/>
      </c>
      <c r="V1698" s="5">
        <f>IFS(O1698&lt;60000,"Low (&lt;60k)",O1698&lt;100000,"Mid (60-100k)",TRUE,"High (100k+)")</f>
        <v/>
      </c>
      <c r="W1698" s="5">
        <f>IF(M1698="No","Attrited","Active")</f>
        <v/>
      </c>
    </row>
    <row r="1699">
      <c r="A1699" s="5" t="inlineStr">
        <is>
          <t>E01698</t>
        </is>
      </c>
      <c r="B1699" s="5" t="inlineStr">
        <is>
          <t>Female</t>
        </is>
      </c>
      <c r="C1699" s="6" t="inlineStr">
        <is>
          <t>33</t>
        </is>
      </c>
      <c r="D1699" s="5" t="inlineStr">
        <is>
          <t>Married</t>
        </is>
      </c>
      <c r="E1699" s="5" t="inlineStr">
        <is>
          <t>Diploma</t>
        </is>
      </c>
      <c r="F1699" s="5" t="inlineStr">
        <is>
          <t>Customer Support</t>
        </is>
      </c>
      <c r="G1699" s="5" t="inlineStr">
        <is>
          <t>Support Lead</t>
        </is>
      </c>
      <c r="H1699" s="5" t="inlineStr">
        <is>
          <t>1</t>
        </is>
      </c>
      <c r="I1699" s="5" t="inlineStr">
        <is>
          <t>Mumbai</t>
        </is>
      </c>
      <c r="J1699" s="5" t="inlineStr">
        <is>
          <t>Full-Time</t>
        </is>
      </c>
      <c r="K1699" s="7" t="n">
        <v>44207</v>
      </c>
      <c r="L1699" s="7" t="n">
        <v>44333</v>
      </c>
      <c r="M1699" s="5" t="inlineStr">
        <is>
          <t>No</t>
        </is>
      </c>
      <c r="N1699" s="5" t="inlineStr">
        <is>
          <t>Resigned</t>
        </is>
      </c>
      <c r="O1699" s="8" t="inlineStr">
        <is>
          <t>71500</t>
        </is>
      </c>
      <c r="P1699" s="5" t="inlineStr">
        <is>
          <t>0</t>
        </is>
      </c>
      <c r="Q1699" s="5" t="inlineStr">
        <is>
          <t>3</t>
        </is>
      </c>
      <c r="R1699" s="5" t="inlineStr">
        <is>
          <t>5</t>
        </is>
      </c>
      <c r="S1699" s="5" t="inlineStr">
        <is>
          <t>4</t>
        </is>
      </c>
      <c r="T1699" s="5" t="inlineStr">
        <is>
          <t>15</t>
        </is>
      </c>
      <c r="U1699" s="5">
        <f>IFS(C1699&lt;30,"Under 30",C1699&lt;40,"30-39",C1699&lt;50,"40-49",TRUE,"50+")</f>
        <v/>
      </c>
      <c r="V1699" s="5">
        <f>IFS(O1699&lt;60000,"Low (&lt;60k)",O1699&lt;100000,"Mid (60-100k)",TRUE,"High (100k+)")</f>
        <v/>
      </c>
      <c r="W1699" s="5">
        <f>IF(M1699="No","Attrited","Active")</f>
        <v/>
      </c>
    </row>
    <row r="1700">
      <c r="A1700" s="5" t="inlineStr">
        <is>
          <t>E01699</t>
        </is>
      </c>
      <c r="B1700" s="5" t="inlineStr">
        <is>
          <t>Female</t>
        </is>
      </c>
      <c r="C1700" s="6" t="inlineStr">
        <is>
          <t>44</t>
        </is>
      </c>
      <c r="D1700" s="5" t="inlineStr">
        <is>
          <t>Married</t>
        </is>
      </c>
      <c r="E1700" s="5" t="inlineStr">
        <is>
          <t>Diploma</t>
        </is>
      </c>
      <c r="F1700" s="5" t="inlineStr">
        <is>
          <t>Sales</t>
        </is>
      </c>
      <c r="G1700" s="5" t="inlineStr">
        <is>
          <t>Business Development</t>
        </is>
      </c>
      <c r="H1700" s="5" t="inlineStr">
        <is>
          <t>7</t>
        </is>
      </c>
      <c r="I1700" s="5" t="inlineStr">
        <is>
          <t>Chennai</t>
        </is>
      </c>
      <c r="J1700" s="5" t="inlineStr">
        <is>
          <t>Full-Time</t>
        </is>
      </c>
      <c r="K1700" s="7" t="n">
        <v>45615</v>
      </c>
      <c r="L1700" s="7" t="inlineStr"/>
      <c r="M1700" s="5" t="inlineStr">
        <is>
          <t>Yes</t>
        </is>
      </c>
      <c r="N1700" s="5" t="inlineStr"/>
      <c r="O1700" s="8" t="inlineStr">
        <is>
          <t>158500</t>
        </is>
      </c>
      <c r="P1700" s="5" t="inlineStr">
        <is>
          <t>15</t>
        </is>
      </c>
      <c r="Q1700" s="5" t="inlineStr">
        <is>
          <t>5</t>
        </is>
      </c>
      <c r="R1700" s="5" t="inlineStr">
        <is>
          <t>10</t>
        </is>
      </c>
      <c r="S1700" s="5" t="inlineStr">
        <is>
          <t>13</t>
        </is>
      </c>
      <c r="T1700" s="5" t="inlineStr">
        <is>
          <t>11</t>
        </is>
      </c>
      <c r="U1700" s="5">
        <f>IFS(C1700&lt;30,"Under 30",C1700&lt;40,"30-39",C1700&lt;50,"40-49",TRUE,"50+")</f>
        <v/>
      </c>
      <c r="V1700" s="5">
        <f>IFS(O1700&lt;60000,"Low (&lt;60k)",O1700&lt;100000,"Mid (60-100k)",TRUE,"High (100k+)")</f>
        <v/>
      </c>
      <c r="W1700" s="5">
        <f>IF(M1700="No","Attrited","Active")</f>
        <v/>
      </c>
    </row>
    <row r="1701">
      <c r="A1701" s="5" t="inlineStr">
        <is>
          <t>E01700</t>
        </is>
      </c>
      <c r="B1701" s="5" t="inlineStr">
        <is>
          <t>Male</t>
        </is>
      </c>
      <c r="C1701" s="6" t="inlineStr">
        <is>
          <t>28</t>
        </is>
      </c>
      <c r="D1701" s="5" t="inlineStr">
        <is>
          <t>Single</t>
        </is>
      </c>
      <c r="E1701" s="5" t="inlineStr">
        <is>
          <t>Diploma</t>
        </is>
      </c>
      <c r="F1701" s="5" t="inlineStr">
        <is>
          <t>Sales</t>
        </is>
      </c>
      <c r="G1701" s="5" t="inlineStr">
        <is>
          <t>Business Development</t>
        </is>
      </c>
      <c r="H1701" s="5" t="inlineStr">
        <is>
          <t>3</t>
        </is>
      </c>
      <c r="I1701" s="5" t="inlineStr">
        <is>
          <t>Bengaluru</t>
        </is>
      </c>
      <c r="J1701" s="5" t="inlineStr">
        <is>
          <t>Full-Time</t>
        </is>
      </c>
      <c r="K1701" s="7" t="n">
        <v>44489</v>
      </c>
      <c r="L1701" s="7" t="inlineStr"/>
      <c r="M1701" s="5" t="inlineStr">
        <is>
          <t>Yes</t>
        </is>
      </c>
      <c r="N1701" s="5" t="inlineStr"/>
      <c r="O1701" s="8" t="inlineStr">
        <is>
          <t>93500</t>
        </is>
      </c>
      <c r="P1701" s="5" t="inlineStr">
        <is>
          <t>5</t>
        </is>
      </c>
      <c r="Q1701" s="5" t="inlineStr">
        <is>
          <t>4</t>
        </is>
      </c>
      <c r="R1701" s="5" t="inlineStr">
        <is>
          <t>8</t>
        </is>
      </c>
      <c r="S1701" s="5" t="inlineStr">
        <is>
          <t>51</t>
        </is>
      </c>
      <c r="T1701" s="5" t="inlineStr">
        <is>
          <t>3</t>
        </is>
      </c>
      <c r="U1701" s="5">
        <f>IFS(C1701&lt;30,"Under 30",C1701&lt;40,"30-39",C1701&lt;50,"40-49",TRUE,"50+")</f>
        <v/>
      </c>
      <c r="V1701" s="5">
        <f>IFS(O1701&lt;60000,"Low (&lt;60k)",O1701&lt;100000,"Mid (60-100k)",TRUE,"High (100k+)")</f>
        <v/>
      </c>
      <c r="W1701" s="5">
        <f>IF(M1701="No","Attrited","Active")</f>
        <v/>
      </c>
    </row>
    <row r="1702">
      <c r="A1702" s="5" t="inlineStr">
        <is>
          <t>E01701</t>
        </is>
      </c>
      <c r="B1702" s="5" t="inlineStr">
        <is>
          <t>Female</t>
        </is>
      </c>
      <c r="C1702" s="6" t="inlineStr">
        <is>
          <t>32</t>
        </is>
      </c>
      <c r="D1702" s="5" t="inlineStr">
        <is>
          <t>Single</t>
        </is>
      </c>
      <c r="E1702" s="5" t="inlineStr">
        <is>
          <t>Master</t>
        </is>
      </c>
      <c r="F1702" s="5" t="inlineStr">
        <is>
          <t>Finance</t>
        </is>
      </c>
      <c r="G1702" s="5" t="inlineStr">
        <is>
          <t>Credit Analyst</t>
        </is>
      </c>
      <c r="H1702" s="5" t="inlineStr">
        <is>
          <t>1</t>
        </is>
      </c>
      <c r="I1702" s="5" t="inlineStr">
        <is>
          <t>Chennai</t>
        </is>
      </c>
      <c r="J1702" s="5" t="inlineStr">
        <is>
          <t>Part-Time</t>
        </is>
      </c>
      <c r="K1702" s="7" t="n">
        <v>44845</v>
      </c>
      <c r="L1702" s="7" t="n">
        <v>44942</v>
      </c>
      <c r="M1702" s="5" t="inlineStr">
        <is>
          <t>No</t>
        </is>
      </c>
      <c r="N1702" s="5" t="inlineStr">
        <is>
          <t>Resigned</t>
        </is>
      </c>
      <c r="O1702" s="8" t="inlineStr">
        <is>
          <t>86500</t>
        </is>
      </c>
      <c r="P1702" s="5" t="inlineStr">
        <is>
          <t>0</t>
        </is>
      </c>
      <c r="Q1702" s="5" t="inlineStr">
        <is>
          <t>2</t>
        </is>
      </c>
      <c r="R1702" s="5" t="inlineStr">
        <is>
          <t>5</t>
        </is>
      </c>
      <c r="S1702" s="5" t="inlineStr">
        <is>
          <t>3</t>
        </is>
      </c>
      <c r="T1702" s="5" t="inlineStr">
        <is>
          <t>0</t>
        </is>
      </c>
      <c r="U1702" s="5">
        <f>IFS(C1702&lt;30,"Under 30",C1702&lt;40,"30-39",C1702&lt;50,"40-49",TRUE,"50+")</f>
        <v/>
      </c>
      <c r="V1702" s="5">
        <f>IFS(O1702&lt;60000,"Low (&lt;60k)",O1702&lt;100000,"Mid (60-100k)",TRUE,"High (100k+)")</f>
        <v/>
      </c>
      <c r="W1702" s="5">
        <f>IF(M1702="No","Attrited","Active")</f>
        <v/>
      </c>
    </row>
    <row r="1703">
      <c r="A1703" s="5" t="inlineStr">
        <is>
          <t>E01702</t>
        </is>
      </c>
      <c r="B1703" s="5" t="inlineStr">
        <is>
          <t>Male</t>
        </is>
      </c>
      <c r="C1703" s="6" t="inlineStr">
        <is>
          <t>37</t>
        </is>
      </c>
      <c r="D1703" s="5" t="inlineStr">
        <is>
          <t>Married</t>
        </is>
      </c>
      <c r="E1703" s="5" t="inlineStr">
        <is>
          <t>PhD</t>
        </is>
      </c>
      <c r="F1703" s="5" t="inlineStr">
        <is>
          <t>Marketing</t>
        </is>
      </c>
      <c r="G1703" s="5" t="inlineStr">
        <is>
          <t>Content Writer</t>
        </is>
      </c>
      <c r="H1703" s="5" t="inlineStr">
        <is>
          <t>3</t>
        </is>
      </c>
      <c r="I1703" s="5" t="inlineStr">
        <is>
          <t>Hyderabad</t>
        </is>
      </c>
      <c r="J1703" s="5" t="inlineStr">
        <is>
          <t>Full-Time</t>
        </is>
      </c>
      <c r="K1703" s="7" t="n">
        <v>44574</v>
      </c>
      <c r="L1703" s="7" t="inlineStr"/>
      <c r="M1703" s="5" t="inlineStr">
        <is>
          <t>Yes</t>
        </is>
      </c>
      <c r="N1703" s="5" t="inlineStr"/>
      <c r="O1703" s="8" t="inlineStr">
        <is>
          <t>71000</t>
        </is>
      </c>
      <c r="P1703" s="5" t="inlineStr">
        <is>
          <t>20</t>
        </is>
      </c>
      <c r="Q1703" s="5" t="inlineStr">
        <is>
          <t>3</t>
        </is>
      </c>
      <c r="R1703" s="5" t="inlineStr">
        <is>
          <t>6</t>
        </is>
      </c>
      <c r="S1703" s="5" t="inlineStr">
        <is>
          <t>48</t>
        </is>
      </c>
      <c r="T1703" s="5" t="inlineStr">
        <is>
          <t>4</t>
        </is>
      </c>
      <c r="U1703" s="5">
        <f>IFS(C1703&lt;30,"Under 30",C1703&lt;40,"30-39",C1703&lt;50,"40-49",TRUE,"50+")</f>
        <v/>
      </c>
      <c r="V1703" s="5">
        <f>IFS(O1703&lt;60000,"Low (&lt;60k)",O1703&lt;100000,"Mid (60-100k)",TRUE,"High (100k+)")</f>
        <v/>
      </c>
      <c r="W1703" s="5">
        <f>IF(M1703="No","Attrited","Active")</f>
        <v/>
      </c>
    </row>
    <row r="1704">
      <c r="A1704" s="5" t="inlineStr">
        <is>
          <t>E01703</t>
        </is>
      </c>
      <c r="B1704" s="5" t="inlineStr">
        <is>
          <t>Male</t>
        </is>
      </c>
      <c r="C1704" s="6" t="inlineStr">
        <is>
          <t>39</t>
        </is>
      </c>
      <c r="D1704" s="5" t="inlineStr">
        <is>
          <t>Married</t>
        </is>
      </c>
      <c r="E1704" s="5" t="inlineStr">
        <is>
          <t>PhD</t>
        </is>
      </c>
      <c r="F1704" s="5" t="inlineStr">
        <is>
          <t>IT</t>
        </is>
      </c>
      <c r="G1704" s="5" t="inlineStr">
        <is>
          <t>DevOps Engineer</t>
        </is>
      </c>
      <c r="H1704" s="5" t="inlineStr">
        <is>
          <t>7</t>
        </is>
      </c>
      <c r="I1704" s="5" t="inlineStr">
        <is>
          <t>Bengaluru</t>
        </is>
      </c>
      <c r="J1704" s="5" t="inlineStr">
        <is>
          <t>Full-Time</t>
        </is>
      </c>
      <c r="K1704" s="7" t="n">
        <v>45707</v>
      </c>
      <c r="L1704" s="7" t="inlineStr"/>
      <c r="M1704" s="5" t="inlineStr">
        <is>
          <t>Yes</t>
        </is>
      </c>
      <c r="N1704" s="5" t="inlineStr"/>
      <c r="O1704" s="8" t="inlineStr">
        <is>
          <t>158500</t>
        </is>
      </c>
      <c r="P1704" s="5" t="inlineStr">
        <is>
          <t>10</t>
        </is>
      </c>
      <c r="Q1704" s="5" t="inlineStr">
        <is>
          <t>2</t>
        </is>
      </c>
      <c r="R1704" s="5" t="inlineStr">
        <is>
          <t>7</t>
        </is>
      </c>
      <c r="S1704" s="5" t="inlineStr">
        <is>
          <t>10</t>
        </is>
      </c>
      <c r="T1704" s="5" t="inlineStr">
        <is>
          <t>0</t>
        </is>
      </c>
      <c r="U1704" s="5">
        <f>IFS(C1704&lt;30,"Under 30",C1704&lt;40,"30-39",C1704&lt;50,"40-49",TRUE,"50+")</f>
        <v/>
      </c>
      <c r="V1704" s="5">
        <f>IFS(O1704&lt;60000,"Low (&lt;60k)",O1704&lt;100000,"Mid (60-100k)",TRUE,"High (100k+)")</f>
        <v/>
      </c>
      <c r="W1704" s="5">
        <f>IF(M1704="No","Attrited","Active")</f>
        <v/>
      </c>
    </row>
    <row r="1705">
      <c r="A1705" s="5" t="inlineStr">
        <is>
          <t>E01704</t>
        </is>
      </c>
      <c r="B1705" s="5" t="inlineStr">
        <is>
          <t>Male</t>
        </is>
      </c>
      <c r="C1705" s="6" t="inlineStr">
        <is>
          <t>34</t>
        </is>
      </c>
      <c r="D1705" s="5" t="inlineStr">
        <is>
          <t>Married</t>
        </is>
      </c>
      <c r="E1705" s="5" t="inlineStr">
        <is>
          <t>Bachelor</t>
        </is>
      </c>
      <c r="F1705" s="5" t="inlineStr">
        <is>
          <t>Research &amp; Development</t>
        </is>
      </c>
      <c r="G1705" s="5" t="inlineStr">
        <is>
          <t>Research Scientist</t>
        </is>
      </c>
      <c r="H1705" s="5" t="inlineStr">
        <is>
          <t>1</t>
        </is>
      </c>
      <c r="I1705" s="5" t="inlineStr">
        <is>
          <t>Hyderabad</t>
        </is>
      </c>
      <c r="J1705" s="5" t="inlineStr">
        <is>
          <t>Full-Time</t>
        </is>
      </c>
      <c r="K1705" s="7" t="n">
        <v>44761</v>
      </c>
      <c r="L1705" s="7" t="n">
        <v>44886</v>
      </c>
      <c r="M1705" s="5" t="inlineStr">
        <is>
          <t>No</t>
        </is>
      </c>
      <c r="N1705" s="5" t="inlineStr">
        <is>
          <t>Resigned</t>
        </is>
      </c>
      <c r="O1705" s="8" t="inlineStr">
        <is>
          <t>158500</t>
        </is>
      </c>
      <c r="P1705" s="5" t="inlineStr">
        <is>
          <t>10</t>
        </is>
      </c>
      <c r="Q1705" s="5" t="inlineStr">
        <is>
          <t>5</t>
        </is>
      </c>
      <c r="R1705" s="5" t="inlineStr">
        <is>
          <t>8</t>
        </is>
      </c>
      <c r="S1705" s="5" t="inlineStr">
        <is>
          <t>4</t>
        </is>
      </c>
      <c r="T1705" s="5" t="inlineStr">
        <is>
          <t>14</t>
        </is>
      </c>
      <c r="U1705" s="5">
        <f>IFS(C1705&lt;30,"Under 30",C1705&lt;40,"30-39",C1705&lt;50,"40-49",TRUE,"50+")</f>
        <v/>
      </c>
      <c r="V1705" s="5">
        <f>IFS(O1705&lt;60000,"Low (&lt;60k)",O1705&lt;100000,"Mid (60-100k)",TRUE,"High (100k+)")</f>
        <v/>
      </c>
      <c r="W1705" s="5">
        <f>IF(M1705="No","Attrited","Active")</f>
        <v/>
      </c>
    </row>
    <row r="1706">
      <c r="A1706" s="5" t="inlineStr">
        <is>
          <t>E01705</t>
        </is>
      </c>
      <c r="B1706" s="5" t="inlineStr">
        <is>
          <t>Male</t>
        </is>
      </c>
      <c r="C1706" s="6" t="inlineStr">
        <is>
          <t>34</t>
        </is>
      </c>
      <c r="D1706" s="5" t="inlineStr">
        <is>
          <t>Married</t>
        </is>
      </c>
      <c r="E1706" s="5" t="inlineStr">
        <is>
          <t>High School</t>
        </is>
      </c>
      <c r="F1706" s="5" t="inlineStr">
        <is>
          <t>Sales</t>
        </is>
      </c>
      <c r="G1706" s="5" t="inlineStr">
        <is>
          <t>Business Development</t>
        </is>
      </c>
      <c r="H1706" s="5" t="inlineStr">
        <is>
          <t>4</t>
        </is>
      </c>
      <c r="I1706" s="5" t="inlineStr">
        <is>
          <t>Delhi</t>
        </is>
      </c>
      <c r="J1706" s="5" t="inlineStr">
        <is>
          <t>Full-Time</t>
        </is>
      </c>
      <c r="K1706" s="7" t="n">
        <v>45767</v>
      </c>
      <c r="L1706" s="7" t="n">
        <v>45900</v>
      </c>
      <c r="M1706" s="5" t="inlineStr">
        <is>
          <t>No</t>
        </is>
      </c>
      <c r="N1706" s="5" t="inlineStr">
        <is>
          <t>Layoff</t>
        </is>
      </c>
      <c r="O1706" s="8" t="inlineStr">
        <is>
          <t>104500</t>
        </is>
      </c>
      <c r="P1706" s="5" t="inlineStr">
        <is>
          <t>10</t>
        </is>
      </c>
      <c r="Q1706" s="5" t="inlineStr">
        <is>
          <t>5</t>
        </is>
      </c>
      <c r="R1706" s="5" t="inlineStr">
        <is>
          <t>4</t>
        </is>
      </c>
      <c r="S1706" s="5" t="inlineStr">
        <is>
          <t>4</t>
        </is>
      </c>
      <c r="T1706" s="5" t="inlineStr">
        <is>
          <t>0</t>
        </is>
      </c>
      <c r="U1706" s="5">
        <f>IFS(C1706&lt;30,"Under 30",C1706&lt;40,"30-39",C1706&lt;50,"40-49",TRUE,"50+")</f>
        <v/>
      </c>
      <c r="V1706" s="5">
        <f>IFS(O1706&lt;60000,"Low (&lt;60k)",O1706&lt;100000,"Mid (60-100k)",TRUE,"High (100k+)")</f>
        <v/>
      </c>
      <c r="W1706" s="5">
        <f>IF(M1706="No","Attrited","Active")</f>
        <v/>
      </c>
    </row>
    <row r="1707">
      <c r="A1707" s="5" t="inlineStr">
        <is>
          <t>E01706</t>
        </is>
      </c>
      <c r="B1707" s="5" t="inlineStr">
        <is>
          <t>Male</t>
        </is>
      </c>
      <c r="C1707" s="6" t="inlineStr">
        <is>
          <t>28</t>
        </is>
      </c>
      <c r="D1707" s="5" t="inlineStr">
        <is>
          <t>Married</t>
        </is>
      </c>
      <c r="E1707" s="5" t="inlineStr">
        <is>
          <t>Master</t>
        </is>
      </c>
      <c r="F1707" s="5" t="inlineStr">
        <is>
          <t>Customer Support</t>
        </is>
      </c>
      <c r="G1707" s="5" t="inlineStr">
        <is>
          <t>Escalation Specialist</t>
        </is>
      </c>
      <c r="H1707" s="5" t="inlineStr">
        <is>
          <t>3</t>
        </is>
      </c>
      <c r="I1707" s="5" t="inlineStr">
        <is>
          <t>Chennai</t>
        </is>
      </c>
      <c r="J1707" s="5" t="inlineStr">
        <is>
          <t>Full-Time</t>
        </is>
      </c>
      <c r="K1707" s="7" t="n">
        <v>45444</v>
      </c>
      <c r="L1707" s="7" t="inlineStr"/>
      <c r="M1707" s="5" t="inlineStr">
        <is>
          <t>Yes</t>
        </is>
      </c>
      <c r="N1707" s="5" t="inlineStr"/>
      <c r="O1707" s="8" t="inlineStr">
        <is>
          <t>73500</t>
        </is>
      </c>
      <c r="P1707" s="5" t="inlineStr">
        <is>
          <t>10</t>
        </is>
      </c>
      <c r="Q1707" s="5" t="inlineStr">
        <is>
          <t>2</t>
        </is>
      </c>
      <c r="R1707" s="5" t="inlineStr">
        <is>
          <t>6</t>
        </is>
      </c>
      <c r="S1707" s="5" t="inlineStr">
        <is>
          <t>19</t>
        </is>
      </c>
      <c r="T1707" s="5" t="inlineStr">
        <is>
          <t>4</t>
        </is>
      </c>
      <c r="U1707" s="5">
        <f>IFS(C1707&lt;30,"Under 30",C1707&lt;40,"30-39",C1707&lt;50,"40-49",TRUE,"50+")</f>
        <v/>
      </c>
      <c r="V1707" s="5">
        <f>IFS(O1707&lt;60000,"Low (&lt;60k)",O1707&lt;100000,"Mid (60-100k)",TRUE,"High (100k+)")</f>
        <v/>
      </c>
      <c r="W1707" s="5">
        <f>IF(M1707="No","Attrited","Active")</f>
        <v/>
      </c>
    </row>
    <row r="1708">
      <c r="A1708" s="5" t="inlineStr">
        <is>
          <t>E01707</t>
        </is>
      </c>
      <c r="B1708" s="5" t="inlineStr">
        <is>
          <t>Male</t>
        </is>
      </c>
      <c r="C1708" s="6" t="inlineStr">
        <is>
          <t>31</t>
        </is>
      </c>
      <c r="D1708" s="5" t="inlineStr">
        <is>
          <t>Single</t>
        </is>
      </c>
      <c r="E1708" s="5" t="inlineStr">
        <is>
          <t>Diploma</t>
        </is>
      </c>
      <c r="F1708" s="5" t="inlineStr">
        <is>
          <t>Finance</t>
        </is>
      </c>
      <c r="G1708" s="5" t="inlineStr">
        <is>
          <t>Accountant</t>
        </is>
      </c>
      <c r="H1708" s="5" t="inlineStr">
        <is>
          <t>1</t>
        </is>
      </c>
      <c r="I1708" s="5" t="inlineStr">
        <is>
          <t>Bengaluru</t>
        </is>
      </c>
      <c r="J1708" s="5" t="inlineStr">
        <is>
          <t>Full-Time</t>
        </is>
      </c>
      <c r="K1708" s="7" t="n">
        <v>45486</v>
      </c>
      <c r="L1708" s="7" t="n">
        <v>45521</v>
      </c>
      <c r="M1708" s="5" t="inlineStr">
        <is>
          <t>No</t>
        </is>
      </c>
      <c r="N1708" s="5" t="inlineStr">
        <is>
          <t>Relocation</t>
        </is>
      </c>
      <c r="O1708" s="8" t="inlineStr">
        <is>
          <t>77500</t>
        </is>
      </c>
      <c r="P1708" s="5" t="inlineStr">
        <is>
          <t>10</t>
        </is>
      </c>
      <c r="Q1708" s="5" t="inlineStr">
        <is>
          <t>3</t>
        </is>
      </c>
      <c r="R1708" s="5" t="inlineStr">
        <is>
          <t>7</t>
        </is>
      </c>
      <c r="S1708" s="5" t="inlineStr">
        <is>
          <t>1</t>
        </is>
      </c>
      <c r="T1708" s="5" t="inlineStr">
        <is>
          <t>2</t>
        </is>
      </c>
      <c r="U1708" s="5">
        <f>IFS(C1708&lt;30,"Under 30",C1708&lt;40,"30-39",C1708&lt;50,"40-49",TRUE,"50+")</f>
        <v/>
      </c>
      <c r="V1708" s="5">
        <f>IFS(O1708&lt;60000,"Low (&lt;60k)",O1708&lt;100000,"Mid (60-100k)",TRUE,"High (100k+)")</f>
        <v/>
      </c>
      <c r="W1708" s="5">
        <f>IF(M1708="No","Attrited","Active")</f>
        <v/>
      </c>
    </row>
    <row r="1709">
      <c r="A1709" s="5" t="inlineStr">
        <is>
          <t>E01708</t>
        </is>
      </c>
      <c r="B1709" s="5" t="inlineStr">
        <is>
          <t>Female</t>
        </is>
      </c>
      <c r="C1709" s="6" t="inlineStr">
        <is>
          <t>31</t>
        </is>
      </c>
      <c r="D1709" s="5" t="inlineStr">
        <is>
          <t>Married</t>
        </is>
      </c>
      <c r="E1709" s="5" t="inlineStr">
        <is>
          <t>Diploma</t>
        </is>
      </c>
      <c r="F1709" s="5" t="inlineStr">
        <is>
          <t>Operations</t>
        </is>
      </c>
      <c r="G1709" s="5" t="inlineStr">
        <is>
          <t>Operations Analyst</t>
        </is>
      </c>
      <c r="H1709" s="5" t="inlineStr">
        <is>
          <t>2</t>
        </is>
      </c>
      <c r="I1709" s="5" t="inlineStr">
        <is>
          <t>Chennai</t>
        </is>
      </c>
      <c r="J1709" s="5" t="inlineStr">
        <is>
          <t>Full-Time</t>
        </is>
      </c>
      <c r="K1709" s="7" t="n">
        <v>44594</v>
      </c>
      <c r="L1709" s="7" t="inlineStr"/>
      <c r="M1709" s="5" t="inlineStr">
        <is>
          <t>Yes</t>
        </is>
      </c>
      <c r="N1709" s="5" t="inlineStr"/>
      <c r="O1709" s="8" t="inlineStr">
        <is>
          <t>93500</t>
        </is>
      </c>
      <c r="P1709" s="5" t="inlineStr">
        <is>
          <t>0</t>
        </is>
      </c>
      <c r="Q1709" s="5" t="inlineStr">
        <is>
          <t>5</t>
        </is>
      </c>
      <c r="R1709" s="5" t="inlineStr">
        <is>
          <t>6</t>
        </is>
      </c>
      <c r="S1709" s="5" t="inlineStr">
        <is>
          <t>47</t>
        </is>
      </c>
      <c r="T1709" s="5" t="inlineStr">
        <is>
          <t>6</t>
        </is>
      </c>
      <c r="U1709" s="5">
        <f>IFS(C1709&lt;30,"Under 30",C1709&lt;40,"30-39",C1709&lt;50,"40-49",TRUE,"50+")</f>
        <v/>
      </c>
      <c r="V1709" s="5">
        <f>IFS(O1709&lt;60000,"Low (&lt;60k)",O1709&lt;100000,"Mid (60-100k)",TRUE,"High (100k+)")</f>
        <v/>
      </c>
      <c r="W1709" s="5">
        <f>IF(M1709="No","Attrited","Active")</f>
        <v/>
      </c>
    </row>
    <row r="1710">
      <c r="A1710" s="5" t="inlineStr">
        <is>
          <t>E01709</t>
        </is>
      </c>
      <c r="B1710" s="5" t="inlineStr">
        <is>
          <t>Male</t>
        </is>
      </c>
      <c r="C1710" s="6" t="inlineStr">
        <is>
          <t>28</t>
        </is>
      </c>
      <c r="D1710" s="5" t="inlineStr">
        <is>
          <t>Single</t>
        </is>
      </c>
      <c r="E1710" s="5" t="inlineStr">
        <is>
          <t>PhD</t>
        </is>
      </c>
      <c r="F1710" s="5" t="inlineStr">
        <is>
          <t>Human Resources</t>
        </is>
      </c>
      <c r="G1710" s="5" t="inlineStr">
        <is>
          <t>HR Analyst</t>
        </is>
      </c>
      <c r="H1710" s="5" t="inlineStr">
        <is>
          <t>3</t>
        </is>
      </c>
      <c r="I1710" s="5" t="inlineStr">
        <is>
          <t>Chennai</t>
        </is>
      </c>
      <c r="J1710" s="5" t="inlineStr">
        <is>
          <t>Full-Time</t>
        </is>
      </c>
      <c r="K1710" s="7" t="n">
        <v>44322</v>
      </c>
      <c r="L1710" s="7" t="inlineStr"/>
      <c r="M1710" s="5" t="inlineStr">
        <is>
          <t>Yes</t>
        </is>
      </c>
      <c r="N1710" s="5" t="inlineStr"/>
      <c r="O1710" s="8" t="inlineStr">
        <is>
          <t>108000</t>
        </is>
      </c>
      <c r="P1710" s="5" t="inlineStr">
        <is>
          <t>10</t>
        </is>
      </c>
      <c r="Q1710" s="5" t="inlineStr">
        <is>
          <t>3</t>
        </is>
      </c>
      <c r="R1710" s="5" t="inlineStr">
        <is>
          <t>8</t>
        </is>
      </c>
      <c r="S1710" s="5" t="inlineStr">
        <is>
          <t>56</t>
        </is>
      </c>
      <c r="T1710" s="5" t="inlineStr">
        <is>
          <t>0</t>
        </is>
      </c>
      <c r="U1710" s="5">
        <f>IFS(C1710&lt;30,"Under 30",C1710&lt;40,"30-39",C1710&lt;50,"40-49",TRUE,"50+")</f>
        <v/>
      </c>
      <c r="V1710" s="5">
        <f>IFS(O1710&lt;60000,"Low (&lt;60k)",O1710&lt;100000,"Mid (60-100k)",TRUE,"High (100k+)")</f>
        <v/>
      </c>
      <c r="W1710" s="5">
        <f>IF(M1710="No","Attrited","Active")</f>
        <v/>
      </c>
    </row>
    <row r="1711">
      <c r="A1711" s="5" t="inlineStr">
        <is>
          <t>E01710</t>
        </is>
      </c>
      <c r="B1711" s="5" t="inlineStr">
        <is>
          <t>Male</t>
        </is>
      </c>
      <c r="C1711" s="6" t="inlineStr">
        <is>
          <t>34</t>
        </is>
      </c>
      <c r="D1711" s="5" t="inlineStr">
        <is>
          <t>Married</t>
        </is>
      </c>
      <c r="E1711" s="5" t="inlineStr">
        <is>
          <t>Master</t>
        </is>
      </c>
      <c r="F1711" s="5" t="inlineStr">
        <is>
          <t>Finance</t>
        </is>
      </c>
      <c r="G1711" s="5" t="inlineStr">
        <is>
          <t>Financial Analyst</t>
        </is>
      </c>
      <c r="H1711" s="5" t="inlineStr">
        <is>
          <t>2</t>
        </is>
      </c>
      <c r="I1711" s="5" t="inlineStr">
        <is>
          <t>Chennai</t>
        </is>
      </c>
      <c r="J1711" s="5" t="inlineStr">
        <is>
          <t>Full-Time</t>
        </is>
      </c>
      <c r="K1711" s="7" t="n">
        <v>44919</v>
      </c>
      <c r="L1711" s="7" t="inlineStr"/>
      <c r="M1711" s="5" t="inlineStr">
        <is>
          <t>Yes</t>
        </is>
      </c>
      <c r="N1711" s="5" t="inlineStr"/>
      <c r="O1711" s="8" t="inlineStr">
        <is>
          <t>96500</t>
        </is>
      </c>
      <c r="P1711" s="5" t="inlineStr">
        <is>
          <t>0</t>
        </is>
      </c>
      <c r="Q1711" s="5" t="inlineStr">
        <is>
          <t>5</t>
        </is>
      </c>
      <c r="R1711" s="5" t="inlineStr">
        <is>
          <t>7</t>
        </is>
      </c>
      <c r="S1711" s="5" t="inlineStr">
        <is>
          <t>36</t>
        </is>
      </c>
      <c r="T1711" s="5" t="inlineStr">
        <is>
          <t>0</t>
        </is>
      </c>
      <c r="U1711" s="5">
        <f>IFS(C1711&lt;30,"Under 30",C1711&lt;40,"30-39",C1711&lt;50,"40-49",TRUE,"50+")</f>
        <v/>
      </c>
      <c r="V1711" s="5">
        <f>IFS(O1711&lt;60000,"Low (&lt;60k)",O1711&lt;100000,"Mid (60-100k)",TRUE,"High (100k+)")</f>
        <v/>
      </c>
      <c r="W1711" s="5">
        <f>IF(M1711="No","Attrited","Active")</f>
        <v/>
      </c>
    </row>
    <row r="1712">
      <c r="A1712" s="5" t="inlineStr">
        <is>
          <t>E01711</t>
        </is>
      </c>
      <c r="B1712" s="5" t="inlineStr">
        <is>
          <t>Female</t>
        </is>
      </c>
      <c r="C1712" s="6" t="inlineStr">
        <is>
          <t>36</t>
        </is>
      </c>
      <c r="D1712" s="5" t="inlineStr">
        <is>
          <t>Married</t>
        </is>
      </c>
      <c r="E1712" s="5" t="inlineStr">
        <is>
          <t>High School</t>
        </is>
      </c>
      <c r="F1712" s="5" t="inlineStr">
        <is>
          <t>Operations</t>
        </is>
      </c>
      <c r="G1712" s="5" t="inlineStr">
        <is>
          <t>Quality Analyst</t>
        </is>
      </c>
      <c r="H1712" s="5" t="inlineStr">
        <is>
          <t>3</t>
        </is>
      </c>
      <c r="I1712" s="5" t="inlineStr">
        <is>
          <t>Mumbai</t>
        </is>
      </c>
      <c r="J1712" s="5" t="inlineStr">
        <is>
          <t>Full-Time</t>
        </is>
      </c>
      <c r="K1712" s="7" t="n">
        <v>44047</v>
      </c>
      <c r="L1712" s="7" t="n">
        <v>44174</v>
      </c>
      <c r="M1712" s="5" t="inlineStr">
        <is>
          <t>No</t>
        </is>
      </c>
      <c r="N1712" s="5" t="inlineStr">
        <is>
          <t>Performance / Termination</t>
        </is>
      </c>
      <c r="O1712" s="8" t="inlineStr">
        <is>
          <t>117000</t>
        </is>
      </c>
      <c r="P1712" s="5" t="inlineStr">
        <is>
          <t>10</t>
        </is>
      </c>
      <c r="Q1712" s="5" t="inlineStr">
        <is>
          <t>2</t>
        </is>
      </c>
      <c r="R1712" s="5" t="inlineStr">
        <is>
          <t>8</t>
        </is>
      </c>
      <c r="S1712" s="5" t="inlineStr">
        <is>
          <t>4</t>
        </is>
      </c>
      <c r="T1712" s="5" t="inlineStr">
        <is>
          <t>16</t>
        </is>
      </c>
      <c r="U1712" s="5">
        <f>IFS(C1712&lt;30,"Under 30",C1712&lt;40,"30-39",C1712&lt;50,"40-49",TRUE,"50+")</f>
        <v/>
      </c>
      <c r="V1712" s="5">
        <f>IFS(O1712&lt;60000,"Low (&lt;60k)",O1712&lt;100000,"Mid (60-100k)",TRUE,"High (100k+)")</f>
        <v/>
      </c>
      <c r="W1712" s="5">
        <f>IF(M1712="No","Attrited","Active")</f>
        <v/>
      </c>
    </row>
    <row r="1713">
      <c r="A1713" s="5" t="inlineStr">
        <is>
          <t>E01712</t>
        </is>
      </c>
      <c r="B1713" s="5" t="inlineStr">
        <is>
          <t>Male</t>
        </is>
      </c>
      <c r="C1713" s="6" t="inlineStr">
        <is>
          <t>33</t>
        </is>
      </c>
      <c r="D1713" s="5" t="inlineStr">
        <is>
          <t>Married</t>
        </is>
      </c>
      <c r="E1713" s="5" t="inlineStr">
        <is>
          <t>Master</t>
        </is>
      </c>
      <c r="F1713" s="5" t="inlineStr">
        <is>
          <t>Customer Support</t>
        </is>
      </c>
      <c r="G1713" s="5" t="inlineStr">
        <is>
          <t>Escalation Specialist</t>
        </is>
      </c>
      <c r="H1713" s="5" t="inlineStr">
        <is>
          <t>3</t>
        </is>
      </c>
      <c r="I1713" s="5" t="inlineStr">
        <is>
          <t>Delhi</t>
        </is>
      </c>
      <c r="J1713" s="5" t="inlineStr">
        <is>
          <t>Full-Time</t>
        </is>
      </c>
      <c r="K1713" s="7" t="n">
        <v>44192</v>
      </c>
      <c r="L1713" s="7" t="inlineStr"/>
      <c r="M1713" s="5" t="inlineStr">
        <is>
          <t>Yes</t>
        </is>
      </c>
      <c r="N1713" s="5" t="inlineStr"/>
      <c r="O1713" s="8" t="inlineStr">
        <is>
          <t>91500</t>
        </is>
      </c>
      <c r="P1713" s="5" t="inlineStr">
        <is>
          <t>15</t>
        </is>
      </c>
      <c r="Q1713" s="5" t="inlineStr">
        <is>
          <t>3</t>
        </is>
      </c>
      <c r="R1713" s="5" t="inlineStr">
        <is>
          <t>4</t>
        </is>
      </c>
      <c r="S1713" s="5" t="inlineStr">
        <is>
          <t>61</t>
        </is>
      </c>
      <c r="T1713" s="5" t="inlineStr">
        <is>
          <t>5</t>
        </is>
      </c>
      <c r="U1713" s="5">
        <f>IFS(C1713&lt;30,"Under 30",C1713&lt;40,"30-39",C1713&lt;50,"40-49",TRUE,"50+")</f>
        <v/>
      </c>
      <c r="V1713" s="5">
        <f>IFS(O1713&lt;60000,"Low (&lt;60k)",O1713&lt;100000,"Mid (60-100k)",TRUE,"High (100k+)")</f>
        <v/>
      </c>
      <c r="W1713" s="5">
        <f>IF(M1713="No","Attrited","Active")</f>
        <v/>
      </c>
    </row>
    <row r="1714">
      <c r="A1714" s="5" t="inlineStr">
        <is>
          <t>E01713</t>
        </is>
      </c>
      <c r="B1714" s="5" t="inlineStr">
        <is>
          <t>Female</t>
        </is>
      </c>
      <c r="C1714" s="6" t="inlineStr">
        <is>
          <t>29</t>
        </is>
      </c>
      <c r="D1714" s="5" t="inlineStr">
        <is>
          <t>Married</t>
        </is>
      </c>
      <c r="E1714" s="5" t="inlineStr">
        <is>
          <t>Master</t>
        </is>
      </c>
      <c r="F1714" s="5" t="inlineStr">
        <is>
          <t>Sales</t>
        </is>
      </c>
      <c r="G1714" s="5" t="inlineStr">
        <is>
          <t>Sales Executive</t>
        </is>
      </c>
      <c r="H1714" s="5" t="inlineStr">
        <is>
          <t>4</t>
        </is>
      </c>
      <c r="I1714" s="5" t="inlineStr">
        <is>
          <t>Chennai</t>
        </is>
      </c>
      <c r="J1714" s="5" t="inlineStr">
        <is>
          <t>Full-Time</t>
        </is>
      </c>
      <c r="K1714" s="7" t="n">
        <v>43839</v>
      </c>
      <c r="L1714" s="7" t="inlineStr"/>
      <c r="M1714" s="5" t="inlineStr">
        <is>
          <t>Yes</t>
        </is>
      </c>
      <c r="N1714" s="5" t="inlineStr"/>
      <c r="O1714" s="8" t="inlineStr">
        <is>
          <t>127500</t>
        </is>
      </c>
      <c r="P1714" s="5" t="inlineStr">
        <is>
          <t>10</t>
        </is>
      </c>
      <c r="Q1714" s="5" t="inlineStr">
        <is>
          <t>5</t>
        </is>
      </c>
      <c r="R1714" s="5" t="inlineStr">
        <is>
          <t>7</t>
        </is>
      </c>
      <c r="S1714" s="5" t="inlineStr">
        <is>
          <t>72</t>
        </is>
      </c>
      <c r="T1714" s="5" t="inlineStr">
        <is>
          <t>0</t>
        </is>
      </c>
      <c r="U1714" s="5">
        <f>IFS(C1714&lt;30,"Under 30",C1714&lt;40,"30-39",C1714&lt;50,"40-49",TRUE,"50+")</f>
        <v/>
      </c>
      <c r="V1714" s="5">
        <f>IFS(O1714&lt;60000,"Low (&lt;60k)",O1714&lt;100000,"Mid (60-100k)",TRUE,"High (100k+)")</f>
        <v/>
      </c>
      <c r="W1714" s="5">
        <f>IF(M1714="No","Attrited","Active")</f>
        <v/>
      </c>
    </row>
    <row r="1715">
      <c r="A1715" s="5" t="inlineStr">
        <is>
          <t>E01714</t>
        </is>
      </c>
      <c r="B1715" s="5" t="inlineStr">
        <is>
          <t>Female</t>
        </is>
      </c>
      <c r="C1715" s="6" t="inlineStr">
        <is>
          <t>35</t>
        </is>
      </c>
      <c r="D1715" s="5" t="inlineStr">
        <is>
          <t>Married</t>
        </is>
      </c>
      <c r="E1715" s="5" t="inlineStr">
        <is>
          <t>Bachelor</t>
        </is>
      </c>
      <c r="F1715" s="5" t="inlineStr">
        <is>
          <t>Marketing</t>
        </is>
      </c>
      <c r="G1715" s="5" t="inlineStr">
        <is>
          <t>Content Writer</t>
        </is>
      </c>
      <c r="H1715" s="5" t="inlineStr">
        <is>
          <t>2</t>
        </is>
      </c>
      <c r="I1715" s="5" t="inlineStr">
        <is>
          <t>Hyderabad</t>
        </is>
      </c>
      <c r="J1715" s="5" t="inlineStr">
        <is>
          <t>Full-Time</t>
        </is>
      </c>
      <c r="K1715" s="7" t="n">
        <v>43885</v>
      </c>
      <c r="L1715" s="7" t="n">
        <v>43996</v>
      </c>
      <c r="M1715" s="5" t="inlineStr">
        <is>
          <t>No</t>
        </is>
      </c>
      <c r="N1715" s="5" t="inlineStr">
        <is>
          <t>Layoff</t>
        </is>
      </c>
      <c r="O1715" s="8" t="inlineStr">
        <is>
          <t>72500</t>
        </is>
      </c>
      <c r="P1715" s="5" t="inlineStr">
        <is>
          <t>5</t>
        </is>
      </c>
      <c r="Q1715" s="5" t="inlineStr">
        <is>
          <t>3</t>
        </is>
      </c>
      <c r="R1715" s="5" t="inlineStr">
        <is>
          <t>5</t>
        </is>
      </c>
      <c r="S1715" s="5" t="inlineStr">
        <is>
          <t>3</t>
        </is>
      </c>
      <c r="T1715" s="5" t="inlineStr">
        <is>
          <t>7</t>
        </is>
      </c>
      <c r="U1715" s="5">
        <f>IFS(C1715&lt;30,"Under 30",C1715&lt;40,"30-39",C1715&lt;50,"40-49",TRUE,"50+")</f>
        <v/>
      </c>
      <c r="V1715" s="5">
        <f>IFS(O1715&lt;60000,"Low (&lt;60k)",O1715&lt;100000,"Mid (60-100k)",TRUE,"High (100k+)")</f>
        <v/>
      </c>
      <c r="W1715" s="5">
        <f>IF(M1715="No","Attrited","Active")</f>
        <v/>
      </c>
    </row>
    <row r="1716">
      <c r="A1716" s="5" t="inlineStr">
        <is>
          <t>E01715</t>
        </is>
      </c>
      <c r="B1716" s="5" t="inlineStr">
        <is>
          <t>Female</t>
        </is>
      </c>
      <c r="C1716" s="6" t="inlineStr">
        <is>
          <t>36</t>
        </is>
      </c>
      <c r="D1716" s="5" t="inlineStr">
        <is>
          <t>Married</t>
        </is>
      </c>
      <c r="E1716" s="5" t="inlineStr">
        <is>
          <t>High School</t>
        </is>
      </c>
      <c r="F1716" s="5" t="inlineStr">
        <is>
          <t>Operations</t>
        </is>
      </c>
      <c r="G1716" s="5" t="inlineStr">
        <is>
          <t>Quality Analyst</t>
        </is>
      </c>
      <c r="H1716" s="5" t="inlineStr">
        <is>
          <t>3</t>
        </is>
      </c>
      <c r="I1716" s="5" t="inlineStr">
        <is>
          <t>Chennai</t>
        </is>
      </c>
      <c r="J1716" s="5" t="inlineStr">
        <is>
          <t>Full-Time</t>
        </is>
      </c>
      <c r="K1716" s="7" t="n">
        <v>45972</v>
      </c>
      <c r="L1716" s="7" t="inlineStr"/>
      <c r="M1716" s="5" t="inlineStr">
        <is>
          <t>Yes</t>
        </is>
      </c>
      <c r="N1716" s="5" t="inlineStr"/>
      <c r="O1716" s="8" t="inlineStr">
        <is>
          <t>77500</t>
        </is>
      </c>
      <c r="P1716" s="5" t="inlineStr">
        <is>
          <t>0</t>
        </is>
      </c>
      <c r="Q1716" s="5" t="inlineStr">
        <is>
          <t>3</t>
        </is>
      </c>
      <c r="R1716" s="5" t="inlineStr">
        <is>
          <t>7</t>
        </is>
      </c>
      <c r="S1716" s="5" t="inlineStr">
        <is>
          <t>1</t>
        </is>
      </c>
      <c r="T1716" s="5" t="inlineStr">
        <is>
          <t>4</t>
        </is>
      </c>
      <c r="U1716" s="5">
        <f>IFS(C1716&lt;30,"Under 30",C1716&lt;40,"30-39",C1716&lt;50,"40-49",TRUE,"50+")</f>
        <v/>
      </c>
      <c r="V1716" s="5">
        <f>IFS(O1716&lt;60000,"Low (&lt;60k)",O1716&lt;100000,"Mid (60-100k)",TRUE,"High (100k+)")</f>
        <v/>
      </c>
      <c r="W1716" s="5">
        <f>IF(M1716="No","Attrited","Active")</f>
        <v/>
      </c>
    </row>
    <row r="1717">
      <c r="A1717" s="5" t="inlineStr">
        <is>
          <t>E01716</t>
        </is>
      </c>
      <c r="B1717" s="5" t="inlineStr">
        <is>
          <t>Male</t>
        </is>
      </c>
      <c r="C1717" s="6" t="inlineStr">
        <is>
          <t>32</t>
        </is>
      </c>
      <c r="D1717" s="5" t="inlineStr">
        <is>
          <t>Single</t>
        </is>
      </c>
      <c r="E1717" s="5" t="inlineStr">
        <is>
          <t>Bachelor</t>
        </is>
      </c>
      <c r="F1717" s="5" t="inlineStr">
        <is>
          <t>Operations</t>
        </is>
      </c>
      <c r="G1717" s="5" t="inlineStr">
        <is>
          <t>Logistics Coordinator</t>
        </is>
      </c>
      <c r="H1717" s="5" t="inlineStr">
        <is>
          <t>3</t>
        </is>
      </c>
      <c r="I1717" s="5" t="inlineStr">
        <is>
          <t>Hyderabad</t>
        </is>
      </c>
      <c r="J1717" s="5" t="inlineStr">
        <is>
          <t>Full-Time</t>
        </is>
      </c>
      <c r="K1717" s="7" t="n">
        <v>43957</v>
      </c>
      <c r="L1717" s="7" t="inlineStr"/>
      <c r="M1717" s="5" t="inlineStr">
        <is>
          <t>Yes</t>
        </is>
      </c>
      <c r="N1717" s="5" t="inlineStr"/>
      <c r="O1717" s="8" t="inlineStr">
        <is>
          <t>72000</t>
        </is>
      </c>
      <c r="P1717" s="5" t="inlineStr">
        <is>
          <t>0</t>
        </is>
      </c>
      <c r="Q1717" s="5" t="inlineStr">
        <is>
          <t>3</t>
        </is>
      </c>
      <c r="R1717" s="5" t="inlineStr">
        <is>
          <t>10</t>
        </is>
      </c>
      <c r="S1717" s="5" t="inlineStr">
        <is>
          <t>68</t>
        </is>
      </c>
      <c r="T1717" s="5" t="inlineStr">
        <is>
          <t>4</t>
        </is>
      </c>
      <c r="U1717" s="5">
        <f>IFS(C1717&lt;30,"Under 30",C1717&lt;40,"30-39",C1717&lt;50,"40-49",TRUE,"50+")</f>
        <v/>
      </c>
      <c r="V1717" s="5">
        <f>IFS(O1717&lt;60000,"Low (&lt;60k)",O1717&lt;100000,"Mid (60-100k)",TRUE,"High (100k+)")</f>
        <v/>
      </c>
      <c r="W1717" s="5">
        <f>IF(M1717="No","Attrited","Active")</f>
        <v/>
      </c>
    </row>
    <row r="1718">
      <c r="A1718" s="5" t="inlineStr">
        <is>
          <t>E01717</t>
        </is>
      </c>
      <c r="B1718" s="5" t="inlineStr">
        <is>
          <t>Male</t>
        </is>
      </c>
      <c r="C1718" s="6" t="inlineStr">
        <is>
          <t>30</t>
        </is>
      </c>
      <c r="D1718" s="5" t="inlineStr">
        <is>
          <t>Married</t>
        </is>
      </c>
      <c r="E1718" s="5" t="inlineStr">
        <is>
          <t>PhD</t>
        </is>
      </c>
      <c r="F1718" s="5" t="inlineStr">
        <is>
          <t>Human Resources</t>
        </is>
      </c>
      <c r="G1718" s="5" t="inlineStr">
        <is>
          <t>Recruiter</t>
        </is>
      </c>
      <c r="H1718" s="5" t="inlineStr">
        <is>
          <t>1</t>
        </is>
      </c>
      <c r="I1718" s="5" t="inlineStr">
        <is>
          <t>Mumbai</t>
        </is>
      </c>
      <c r="J1718" s="5" t="inlineStr">
        <is>
          <t>Full-Time</t>
        </is>
      </c>
      <c r="K1718" s="7" t="n">
        <v>45286</v>
      </c>
      <c r="L1718" s="7" t="inlineStr"/>
      <c r="M1718" s="5" t="inlineStr">
        <is>
          <t>Yes</t>
        </is>
      </c>
      <c r="N1718" s="5" t="inlineStr"/>
      <c r="O1718" s="8" t="inlineStr">
        <is>
          <t>96000</t>
        </is>
      </c>
      <c r="P1718" s="5" t="inlineStr">
        <is>
          <t>15</t>
        </is>
      </c>
      <c r="Q1718" s="5" t="inlineStr">
        <is>
          <t>4</t>
        </is>
      </c>
      <c r="R1718" s="5" t="inlineStr">
        <is>
          <t>6</t>
        </is>
      </c>
      <c r="S1718" s="5" t="inlineStr">
        <is>
          <t>24</t>
        </is>
      </c>
      <c r="T1718" s="5" t="inlineStr">
        <is>
          <t>8</t>
        </is>
      </c>
      <c r="U1718" s="5">
        <f>IFS(C1718&lt;30,"Under 30",C1718&lt;40,"30-39",C1718&lt;50,"40-49",TRUE,"50+")</f>
        <v/>
      </c>
      <c r="V1718" s="5">
        <f>IFS(O1718&lt;60000,"Low (&lt;60k)",O1718&lt;100000,"Mid (60-100k)",TRUE,"High (100k+)")</f>
        <v/>
      </c>
      <c r="W1718" s="5">
        <f>IF(M1718="No","Attrited","Active")</f>
        <v/>
      </c>
    </row>
    <row r="1719">
      <c r="A1719" s="5" t="inlineStr">
        <is>
          <t>E01718</t>
        </is>
      </c>
      <c r="B1719" s="5" t="inlineStr">
        <is>
          <t>Male</t>
        </is>
      </c>
      <c r="C1719" s="6" t="inlineStr">
        <is>
          <t>44</t>
        </is>
      </c>
      <c r="D1719" s="5" t="inlineStr">
        <is>
          <t>Single</t>
        </is>
      </c>
      <c r="E1719" s="5" t="inlineStr">
        <is>
          <t>Diploma</t>
        </is>
      </c>
      <c r="F1719" s="5" t="inlineStr">
        <is>
          <t>Finance</t>
        </is>
      </c>
      <c r="G1719" s="5" t="inlineStr">
        <is>
          <t>Accountant</t>
        </is>
      </c>
      <c r="H1719" s="5" t="inlineStr">
        <is>
          <t>7</t>
        </is>
      </c>
      <c r="I1719" s="5" t="inlineStr">
        <is>
          <t>Chennai</t>
        </is>
      </c>
      <c r="J1719" s="5" t="inlineStr">
        <is>
          <t>Full-Time</t>
        </is>
      </c>
      <c r="K1719" s="7" t="n">
        <v>45984</v>
      </c>
      <c r="L1719" s="7" t="inlineStr"/>
      <c r="M1719" s="5" t="inlineStr">
        <is>
          <t>Yes</t>
        </is>
      </c>
      <c r="N1719" s="5" t="inlineStr"/>
      <c r="O1719" s="8" t="inlineStr">
        <is>
          <t>181500</t>
        </is>
      </c>
      <c r="P1719" s="5" t="inlineStr">
        <is>
          <t>10</t>
        </is>
      </c>
      <c r="Q1719" s="5" t="inlineStr">
        <is>
          <t>5</t>
        </is>
      </c>
      <c r="R1719" s="5" t="inlineStr">
        <is>
          <t>5</t>
        </is>
      </c>
      <c r="S1719" s="5" t="inlineStr">
        <is>
          <t>1</t>
        </is>
      </c>
      <c r="T1719" s="5" t="inlineStr">
        <is>
          <t>5</t>
        </is>
      </c>
      <c r="U1719" s="5">
        <f>IFS(C1719&lt;30,"Under 30",C1719&lt;40,"30-39",C1719&lt;50,"40-49",TRUE,"50+")</f>
        <v/>
      </c>
      <c r="V1719" s="5">
        <f>IFS(O1719&lt;60000,"Low (&lt;60k)",O1719&lt;100000,"Mid (60-100k)",TRUE,"High (100k+)")</f>
        <v/>
      </c>
      <c r="W1719" s="5">
        <f>IF(M1719="No","Attrited","Active")</f>
        <v/>
      </c>
    </row>
    <row r="1720">
      <c r="A1720" s="5" t="inlineStr">
        <is>
          <t>E01719</t>
        </is>
      </c>
      <c r="B1720" s="5" t="inlineStr">
        <is>
          <t>Male</t>
        </is>
      </c>
      <c r="C1720" s="6" t="inlineStr">
        <is>
          <t>32</t>
        </is>
      </c>
      <c r="D1720" s="5" t="inlineStr">
        <is>
          <t>Married</t>
        </is>
      </c>
      <c r="E1720" s="5" t="inlineStr">
        <is>
          <t>Diploma</t>
        </is>
      </c>
      <c r="F1720" s="5" t="inlineStr">
        <is>
          <t>Sales</t>
        </is>
      </c>
      <c r="G1720" s="5" t="inlineStr">
        <is>
          <t>Business Development</t>
        </is>
      </c>
      <c r="H1720" s="5" t="inlineStr">
        <is>
          <t>1</t>
        </is>
      </c>
      <c r="I1720" s="5" t="inlineStr">
        <is>
          <t>Bengaluru</t>
        </is>
      </c>
      <c r="J1720" s="5" t="inlineStr">
        <is>
          <t>Full-Time</t>
        </is>
      </c>
      <c r="K1720" s="7" t="n">
        <v>45692</v>
      </c>
      <c r="L1720" s="7" t="inlineStr"/>
      <c r="M1720" s="5" t="inlineStr">
        <is>
          <t>Yes</t>
        </is>
      </c>
      <c r="N1720" s="5" t="inlineStr"/>
      <c r="O1720" s="8" t="inlineStr">
        <is>
          <t>100000</t>
        </is>
      </c>
      <c r="P1720" s="5" t="inlineStr">
        <is>
          <t>0</t>
        </is>
      </c>
      <c r="Q1720" s="5" t="inlineStr">
        <is>
          <t>4</t>
        </is>
      </c>
      <c r="R1720" s="5" t="inlineStr">
        <is>
          <t>7</t>
        </is>
      </c>
      <c r="S1720" s="5" t="inlineStr">
        <is>
          <t>11</t>
        </is>
      </c>
      <c r="T1720" s="5" t="inlineStr">
        <is>
          <t>0</t>
        </is>
      </c>
      <c r="U1720" s="5">
        <f>IFS(C1720&lt;30,"Under 30",C1720&lt;40,"30-39",C1720&lt;50,"40-49",TRUE,"50+")</f>
        <v/>
      </c>
      <c r="V1720" s="5">
        <f>IFS(O1720&lt;60000,"Low (&lt;60k)",O1720&lt;100000,"Mid (60-100k)",TRUE,"High (100k+)")</f>
        <v/>
      </c>
      <c r="W1720" s="5">
        <f>IF(M1720="No","Attrited","Active")</f>
        <v/>
      </c>
    </row>
    <row r="1721">
      <c r="A1721" s="5" t="inlineStr">
        <is>
          <t>E01720</t>
        </is>
      </c>
      <c r="B1721" s="5" t="inlineStr">
        <is>
          <t>Male</t>
        </is>
      </c>
      <c r="C1721" s="6" t="inlineStr">
        <is>
          <t>34</t>
        </is>
      </c>
      <c r="D1721" s="5" t="inlineStr">
        <is>
          <t>Single</t>
        </is>
      </c>
      <c r="E1721" s="5" t="inlineStr">
        <is>
          <t>Bachelor</t>
        </is>
      </c>
      <c r="F1721" s="5" t="inlineStr">
        <is>
          <t>Finance</t>
        </is>
      </c>
      <c r="G1721" s="5" t="inlineStr">
        <is>
          <t>Financial Analyst</t>
        </is>
      </c>
      <c r="H1721" s="5" t="inlineStr">
        <is>
          <t>4</t>
        </is>
      </c>
      <c r="I1721" s="5" t="inlineStr">
        <is>
          <t>Remote</t>
        </is>
      </c>
      <c r="J1721" s="5" t="inlineStr">
        <is>
          <t>Full-Time</t>
        </is>
      </c>
      <c r="K1721" s="7" t="n">
        <v>45458</v>
      </c>
      <c r="L1721" s="7" t="inlineStr"/>
      <c r="M1721" s="5" t="inlineStr">
        <is>
          <t>Yes</t>
        </is>
      </c>
      <c r="N1721" s="5" t="inlineStr"/>
      <c r="O1721" s="8" t="inlineStr">
        <is>
          <t>151500</t>
        </is>
      </c>
      <c r="P1721" s="5" t="inlineStr">
        <is>
          <t>20</t>
        </is>
      </c>
      <c r="Q1721" s="5" t="inlineStr">
        <is>
          <t>3</t>
        </is>
      </c>
      <c r="R1721" s="5" t="inlineStr">
        <is>
          <t>9</t>
        </is>
      </c>
      <c r="S1721" s="5" t="inlineStr">
        <is>
          <t>18</t>
        </is>
      </c>
      <c r="T1721" s="5" t="inlineStr">
        <is>
          <t>9</t>
        </is>
      </c>
      <c r="U1721" s="5">
        <f>IFS(C1721&lt;30,"Under 30",C1721&lt;40,"30-39",C1721&lt;50,"40-49",TRUE,"50+")</f>
        <v/>
      </c>
      <c r="V1721" s="5">
        <f>IFS(O1721&lt;60000,"Low (&lt;60k)",O1721&lt;100000,"Mid (60-100k)",TRUE,"High (100k+)")</f>
        <v/>
      </c>
      <c r="W1721" s="5">
        <f>IF(M1721="No","Attrited","Active")</f>
        <v/>
      </c>
    </row>
    <row r="1722">
      <c r="A1722" s="5" t="inlineStr">
        <is>
          <t>E01721</t>
        </is>
      </c>
      <c r="B1722" s="5" t="inlineStr">
        <is>
          <t>Male</t>
        </is>
      </c>
      <c r="C1722" s="6" t="inlineStr">
        <is>
          <t>37</t>
        </is>
      </c>
      <c r="D1722" s="5" t="inlineStr">
        <is>
          <t>Single</t>
        </is>
      </c>
      <c r="E1722" s="5" t="inlineStr">
        <is>
          <t>Diploma</t>
        </is>
      </c>
      <c r="F1722" s="5" t="inlineStr">
        <is>
          <t>Research &amp; Development</t>
        </is>
      </c>
      <c r="G1722" s="5" t="inlineStr">
        <is>
          <t>Product Engineer</t>
        </is>
      </c>
      <c r="H1722" s="5" t="inlineStr">
        <is>
          <t>6</t>
        </is>
      </c>
      <c r="I1722" s="5" t="inlineStr">
        <is>
          <t>Delhi</t>
        </is>
      </c>
      <c r="J1722" s="5" t="inlineStr">
        <is>
          <t>Full-Time</t>
        </is>
      </c>
      <c r="K1722" s="7" t="n">
        <v>45715</v>
      </c>
      <c r="L1722" s="7" t="inlineStr"/>
      <c r="M1722" s="5" t="inlineStr">
        <is>
          <t>Yes</t>
        </is>
      </c>
      <c r="N1722" s="5" t="inlineStr"/>
      <c r="O1722" s="8" t="inlineStr">
        <is>
          <t>177500</t>
        </is>
      </c>
      <c r="P1722" s="5" t="inlineStr">
        <is>
          <t>10</t>
        </is>
      </c>
      <c r="Q1722" s="5" t="inlineStr">
        <is>
          <t>5</t>
        </is>
      </c>
      <c r="R1722" s="5" t="inlineStr">
        <is>
          <t>4</t>
        </is>
      </c>
      <c r="S1722" s="5" t="inlineStr">
        <is>
          <t>10</t>
        </is>
      </c>
      <c r="T1722" s="5" t="inlineStr">
        <is>
          <t>4</t>
        </is>
      </c>
      <c r="U1722" s="5">
        <f>IFS(C1722&lt;30,"Under 30",C1722&lt;40,"30-39",C1722&lt;50,"40-49",TRUE,"50+")</f>
        <v/>
      </c>
      <c r="V1722" s="5">
        <f>IFS(O1722&lt;60000,"Low (&lt;60k)",O1722&lt;100000,"Mid (60-100k)",TRUE,"High (100k+)")</f>
        <v/>
      </c>
      <c r="W1722" s="5">
        <f>IF(M1722="No","Attrited","Active")</f>
        <v/>
      </c>
    </row>
    <row r="1723">
      <c r="A1723" s="5" t="inlineStr">
        <is>
          <t>E01722</t>
        </is>
      </c>
      <c r="B1723" s="5" t="inlineStr">
        <is>
          <t>Male</t>
        </is>
      </c>
      <c r="C1723" s="6" t="inlineStr">
        <is>
          <t>33</t>
        </is>
      </c>
      <c r="D1723" s="5" t="inlineStr">
        <is>
          <t>Married</t>
        </is>
      </c>
      <c r="E1723" s="5" t="inlineStr">
        <is>
          <t>High School</t>
        </is>
      </c>
      <c r="F1723" s="5" t="inlineStr">
        <is>
          <t>Operations</t>
        </is>
      </c>
      <c r="G1723" s="5" t="inlineStr">
        <is>
          <t>Quality Analyst</t>
        </is>
      </c>
      <c r="H1723" s="5" t="inlineStr">
        <is>
          <t>3</t>
        </is>
      </c>
      <c r="I1723" s="5" t="inlineStr">
        <is>
          <t>Delhi</t>
        </is>
      </c>
      <c r="J1723" s="5" t="inlineStr">
        <is>
          <t>Full-Time</t>
        </is>
      </c>
      <c r="K1723" s="7" t="n">
        <v>45802</v>
      </c>
      <c r="L1723" s="7" t="inlineStr"/>
      <c r="M1723" s="5" t="inlineStr">
        <is>
          <t>Yes</t>
        </is>
      </c>
      <c r="N1723" s="5" t="inlineStr"/>
      <c r="O1723" s="8" t="inlineStr">
        <is>
          <t>98500</t>
        </is>
      </c>
      <c r="P1723" s="5" t="inlineStr">
        <is>
          <t>5</t>
        </is>
      </c>
      <c r="Q1723" s="5" t="inlineStr">
        <is>
          <t>5</t>
        </is>
      </c>
      <c r="R1723" s="5" t="inlineStr">
        <is>
          <t>5</t>
        </is>
      </c>
      <c r="S1723" s="5" t="inlineStr">
        <is>
          <t>7</t>
        </is>
      </c>
      <c r="T1723" s="5" t="inlineStr">
        <is>
          <t>6</t>
        </is>
      </c>
      <c r="U1723" s="5">
        <f>IFS(C1723&lt;30,"Under 30",C1723&lt;40,"30-39",C1723&lt;50,"40-49",TRUE,"50+")</f>
        <v/>
      </c>
      <c r="V1723" s="5">
        <f>IFS(O1723&lt;60000,"Low (&lt;60k)",O1723&lt;100000,"Mid (60-100k)",TRUE,"High (100k+)")</f>
        <v/>
      </c>
      <c r="W1723" s="5">
        <f>IF(M1723="No","Attrited","Active")</f>
        <v/>
      </c>
    </row>
    <row r="1724">
      <c r="A1724" s="5" t="inlineStr">
        <is>
          <t>E01723</t>
        </is>
      </c>
      <c r="B1724" s="5" t="inlineStr">
        <is>
          <t>Female</t>
        </is>
      </c>
      <c r="C1724" s="6" t="inlineStr">
        <is>
          <t>30</t>
        </is>
      </c>
      <c r="D1724" s="5" t="inlineStr">
        <is>
          <t>Married</t>
        </is>
      </c>
      <c r="E1724" s="5" t="inlineStr">
        <is>
          <t>High School</t>
        </is>
      </c>
      <c r="F1724" s="5" t="inlineStr">
        <is>
          <t>Customer Support</t>
        </is>
      </c>
      <c r="G1724" s="5" t="inlineStr">
        <is>
          <t>Support Lead</t>
        </is>
      </c>
      <c r="H1724" s="5" t="inlineStr">
        <is>
          <t>1</t>
        </is>
      </c>
      <c r="I1724" s="5" t="inlineStr">
        <is>
          <t>Hyderabad</t>
        </is>
      </c>
      <c r="J1724" s="5" t="inlineStr">
        <is>
          <t>Full-Time</t>
        </is>
      </c>
      <c r="K1724" s="7" t="n">
        <v>45909</v>
      </c>
      <c r="L1724" s="7" t="n">
        <v>45992</v>
      </c>
      <c r="M1724" s="5" t="inlineStr">
        <is>
          <t>No</t>
        </is>
      </c>
      <c r="N1724" s="5" t="inlineStr">
        <is>
          <t>Resigned</t>
        </is>
      </c>
      <c r="O1724" s="8" t="inlineStr">
        <is>
          <t>66500</t>
        </is>
      </c>
      <c r="P1724" s="5" t="inlineStr">
        <is>
          <t>10</t>
        </is>
      </c>
      <c r="Q1724" s="5" t="inlineStr">
        <is>
          <t>4</t>
        </is>
      </c>
      <c r="R1724" s="5" t="inlineStr">
        <is>
          <t>5</t>
        </is>
      </c>
      <c r="S1724" s="5" t="inlineStr">
        <is>
          <t>2</t>
        </is>
      </c>
      <c r="T1724" s="5" t="inlineStr">
        <is>
          <t>6</t>
        </is>
      </c>
      <c r="U1724" s="5">
        <f>IFS(C1724&lt;30,"Under 30",C1724&lt;40,"30-39",C1724&lt;50,"40-49",TRUE,"50+")</f>
        <v/>
      </c>
      <c r="V1724" s="5">
        <f>IFS(O1724&lt;60000,"Low (&lt;60k)",O1724&lt;100000,"Mid (60-100k)",TRUE,"High (100k+)")</f>
        <v/>
      </c>
      <c r="W1724" s="5">
        <f>IF(M1724="No","Attrited","Active")</f>
        <v/>
      </c>
    </row>
    <row r="1725">
      <c r="A1725" s="5" t="inlineStr">
        <is>
          <t>E01724</t>
        </is>
      </c>
      <c r="B1725" s="5" t="inlineStr">
        <is>
          <t>Female</t>
        </is>
      </c>
      <c r="C1725" s="6" t="inlineStr">
        <is>
          <t>35</t>
        </is>
      </c>
      <c r="D1725" s="5" t="inlineStr">
        <is>
          <t>Married</t>
        </is>
      </c>
      <c r="E1725" s="5" t="inlineStr">
        <is>
          <t>High School</t>
        </is>
      </c>
      <c r="F1725" s="5" t="inlineStr">
        <is>
          <t>Human Resources</t>
        </is>
      </c>
      <c r="G1725" s="5" t="inlineStr">
        <is>
          <t>Recruiter</t>
        </is>
      </c>
      <c r="H1725" s="5" t="inlineStr">
        <is>
          <t>2</t>
        </is>
      </c>
      <c r="I1725" s="5" t="inlineStr">
        <is>
          <t>Remote</t>
        </is>
      </c>
      <c r="J1725" s="5" t="inlineStr">
        <is>
          <t>Full-Time</t>
        </is>
      </c>
      <c r="K1725" s="7" t="n">
        <v>45634</v>
      </c>
      <c r="L1725" s="7" t="inlineStr"/>
      <c r="M1725" s="5" t="inlineStr">
        <is>
          <t>Yes</t>
        </is>
      </c>
      <c r="N1725" s="5" t="inlineStr"/>
      <c r="O1725" s="8" t="inlineStr">
        <is>
          <t>72000</t>
        </is>
      </c>
      <c r="P1725" s="5" t="inlineStr">
        <is>
          <t>0</t>
        </is>
      </c>
      <c r="Q1725" s="5" t="inlineStr">
        <is>
          <t>3</t>
        </is>
      </c>
      <c r="R1725" s="5" t="inlineStr">
        <is>
          <t>5</t>
        </is>
      </c>
      <c r="S1725" s="5" t="inlineStr">
        <is>
          <t>12</t>
        </is>
      </c>
      <c r="T1725" s="5" t="inlineStr">
        <is>
          <t>9</t>
        </is>
      </c>
      <c r="U1725" s="5">
        <f>IFS(C1725&lt;30,"Under 30",C1725&lt;40,"30-39",C1725&lt;50,"40-49",TRUE,"50+")</f>
        <v/>
      </c>
      <c r="V1725" s="5">
        <f>IFS(O1725&lt;60000,"Low (&lt;60k)",O1725&lt;100000,"Mid (60-100k)",TRUE,"High (100k+)")</f>
        <v/>
      </c>
      <c r="W1725" s="5">
        <f>IF(M1725="No","Attrited","Active")</f>
        <v/>
      </c>
    </row>
    <row r="1726">
      <c r="A1726" s="5" t="inlineStr">
        <is>
          <t>E01725</t>
        </is>
      </c>
      <c r="B1726" s="5" t="inlineStr">
        <is>
          <t>Male</t>
        </is>
      </c>
      <c r="C1726" s="6" t="inlineStr">
        <is>
          <t>30</t>
        </is>
      </c>
      <c r="D1726" s="5" t="inlineStr">
        <is>
          <t>Divorced</t>
        </is>
      </c>
      <c r="E1726" s="5" t="inlineStr">
        <is>
          <t>Diploma</t>
        </is>
      </c>
      <c r="F1726" s="5" t="inlineStr">
        <is>
          <t>Sales</t>
        </is>
      </c>
      <c r="G1726" s="5" t="inlineStr">
        <is>
          <t>Business Development</t>
        </is>
      </c>
      <c r="H1726" s="5" t="inlineStr">
        <is>
          <t>2</t>
        </is>
      </c>
      <c r="I1726" s="5" t="inlineStr">
        <is>
          <t>Delhi</t>
        </is>
      </c>
      <c r="J1726" s="5" t="inlineStr">
        <is>
          <t>Full-Time</t>
        </is>
      </c>
      <c r="K1726" s="7" t="n">
        <v>44965</v>
      </c>
      <c r="L1726" s="7" t="inlineStr"/>
      <c r="M1726" s="5" t="inlineStr">
        <is>
          <t>Yes</t>
        </is>
      </c>
      <c r="N1726" s="5" t="inlineStr"/>
      <c r="O1726" s="8" t="inlineStr">
        <is>
          <t>113500</t>
        </is>
      </c>
      <c r="P1726" s="5" t="inlineStr">
        <is>
          <t>5</t>
        </is>
      </c>
      <c r="Q1726" s="5" t="inlineStr">
        <is>
          <t>3</t>
        </is>
      </c>
      <c r="R1726" s="5" t="inlineStr">
        <is>
          <t>8</t>
        </is>
      </c>
      <c r="S1726" s="5" t="inlineStr">
        <is>
          <t>35</t>
        </is>
      </c>
      <c r="T1726" s="5" t="inlineStr">
        <is>
          <t>5</t>
        </is>
      </c>
      <c r="U1726" s="5">
        <f>IFS(C1726&lt;30,"Under 30",C1726&lt;40,"30-39",C1726&lt;50,"40-49",TRUE,"50+")</f>
        <v/>
      </c>
      <c r="V1726" s="5">
        <f>IFS(O1726&lt;60000,"Low (&lt;60k)",O1726&lt;100000,"Mid (60-100k)",TRUE,"High (100k+)")</f>
        <v/>
      </c>
      <c r="W1726" s="5">
        <f>IF(M1726="No","Attrited","Active")</f>
        <v/>
      </c>
    </row>
    <row r="1727">
      <c r="A1727" s="5" t="inlineStr">
        <is>
          <t>E01726</t>
        </is>
      </c>
      <c r="B1727" s="5" t="inlineStr">
        <is>
          <t>Female</t>
        </is>
      </c>
      <c r="C1727" s="6" t="inlineStr">
        <is>
          <t>28</t>
        </is>
      </c>
      <c r="D1727" s="5" t="inlineStr">
        <is>
          <t>Single</t>
        </is>
      </c>
      <c r="E1727" s="5" t="inlineStr">
        <is>
          <t>High School</t>
        </is>
      </c>
      <c r="F1727" s="5" t="inlineStr">
        <is>
          <t>Finance</t>
        </is>
      </c>
      <c r="G1727" s="5" t="inlineStr">
        <is>
          <t>Financial Analyst</t>
        </is>
      </c>
      <c r="H1727" s="5" t="inlineStr">
        <is>
          <t>1</t>
        </is>
      </c>
      <c r="I1727" s="5" t="inlineStr">
        <is>
          <t>Bengaluru</t>
        </is>
      </c>
      <c r="J1727" s="5" t="inlineStr">
        <is>
          <t>Full-Time</t>
        </is>
      </c>
      <c r="K1727" s="7" t="n">
        <v>44821</v>
      </c>
      <c r="L1727" s="7" t="inlineStr"/>
      <c r="M1727" s="5" t="inlineStr">
        <is>
          <t>Yes</t>
        </is>
      </c>
      <c r="N1727" s="5" t="inlineStr"/>
      <c r="O1727" s="8" t="inlineStr">
        <is>
          <t>68000</t>
        </is>
      </c>
      <c r="P1727" s="5" t="inlineStr">
        <is>
          <t>15</t>
        </is>
      </c>
      <c r="Q1727" s="5" t="inlineStr">
        <is>
          <t>4</t>
        </is>
      </c>
      <c r="R1727" s="5" t="inlineStr">
        <is>
          <t>10</t>
        </is>
      </c>
      <c r="S1727" s="5" t="inlineStr">
        <is>
          <t>40</t>
        </is>
      </c>
      <c r="T1727" s="5" t="inlineStr">
        <is>
          <t>5</t>
        </is>
      </c>
      <c r="U1727" s="5">
        <f>IFS(C1727&lt;30,"Under 30",C1727&lt;40,"30-39",C1727&lt;50,"40-49",TRUE,"50+")</f>
        <v/>
      </c>
      <c r="V1727" s="5">
        <f>IFS(O1727&lt;60000,"Low (&lt;60k)",O1727&lt;100000,"Mid (60-100k)",TRUE,"High (100k+)")</f>
        <v/>
      </c>
      <c r="W1727" s="5">
        <f>IF(M1727="No","Attrited","Active")</f>
        <v/>
      </c>
    </row>
    <row r="1728">
      <c r="A1728" s="5" t="inlineStr">
        <is>
          <t>E01727</t>
        </is>
      </c>
      <c r="B1728" s="5" t="inlineStr">
        <is>
          <t>Male</t>
        </is>
      </c>
      <c r="C1728" s="6" t="inlineStr">
        <is>
          <t>34</t>
        </is>
      </c>
      <c r="D1728" s="5" t="inlineStr">
        <is>
          <t>Married</t>
        </is>
      </c>
      <c r="E1728" s="5" t="inlineStr">
        <is>
          <t>Diploma</t>
        </is>
      </c>
      <c r="F1728" s="5" t="inlineStr">
        <is>
          <t>Human Resources</t>
        </is>
      </c>
      <c r="G1728" s="5" t="inlineStr">
        <is>
          <t>HR Analyst</t>
        </is>
      </c>
      <c r="H1728" s="5" t="inlineStr">
        <is>
          <t>3</t>
        </is>
      </c>
      <c r="I1728" s="5" t="inlineStr">
        <is>
          <t>Bengaluru</t>
        </is>
      </c>
      <c r="J1728" s="5" t="inlineStr">
        <is>
          <t>Full-Time</t>
        </is>
      </c>
      <c r="K1728" s="7" t="n">
        <v>45876</v>
      </c>
      <c r="L1728" s="7" t="n">
        <v>45928</v>
      </c>
      <c r="M1728" s="5" t="inlineStr">
        <is>
          <t>No</t>
        </is>
      </c>
      <c r="N1728" s="5" t="inlineStr">
        <is>
          <t>Retirement</t>
        </is>
      </c>
      <c r="O1728" s="8" t="inlineStr">
        <is>
          <t>83500</t>
        </is>
      </c>
      <c r="P1728" s="5" t="inlineStr">
        <is>
          <t>0</t>
        </is>
      </c>
      <c r="Q1728" s="5" t="inlineStr">
        <is>
          <t>5</t>
        </is>
      </c>
      <c r="R1728" s="5" t="inlineStr">
        <is>
          <t>8</t>
        </is>
      </c>
      <c r="S1728" s="5" t="inlineStr">
        <is>
          <t>1</t>
        </is>
      </c>
      <c r="T1728" s="5" t="inlineStr">
        <is>
          <t>4</t>
        </is>
      </c>
      <c r="U1728" s="5">
        <f>IFS(C1728&lt;30,"Under 30",C1728&lt;40,"30-39",C1728&lt;50,"40-49",TRUE,"50+")</f>
        <v/>
      </c>
      <c r="V1728" s="5">
        <f>IFS(O1728&lt;60000,"Low (&lt;60k)",O1728&lt;100000,"Mid (60-100k)",TRUE,"High (100k+)")</f>
        <v/>
      </c>
      <c r="W1728" s="5">
        <f>IF(M1728="No","Attrited","Active")</f>
        <v/>
      </c>
    </row>
    <row r="1729">
      <c r="A1729" s="5" t="inlineStr">
        <is>
          <t>E01728</t>
        </is>
      </c>
      <c r="B1729" s="5" t="inlineStr">
        <is>
          <t>Female</t>
        </is>
      </c>
      <c r="C1729" s="6" t="inlineStr">
        <is>
          <t>25</t>
        </is>
      </c>
      <c r="D1729" s="5" t="inlineStr">
        <is>
          <t>Single</t>
        </is>
      </c>
      <c r="E1729" s="5" t="inlineStr">
        <is>
          <t>Diploma</t>
        </is>
      </c>
      <c r="F1729" s="5" t="inlineStr">
        <is>
          <t>Finance</t>
        </is>
      </c>
      <c r="G1729" s="5" t="inlineStr">
        <is>
          <t>Credit Analyst</t>
        </is>
      </c>
      <c r="H1729" s="5" t="inlineStr">
        <is>
          <t>2</t>
        </is>
      </c>
      <c r="I1729" s="5" t="inlineStr">
        <is>
          <t>Delhi</t>
        </is>
      </c>
      <c r="J1729" s="5" t="inlineStr">
        <is>
          <t>Full-Time</t>
        </is>
      </c>
      <c r="K1729" s="7" t="n">
        <v>44865</v>
      </c>
      <c r="L1729" s="7" t="inlineStr"/>
      <c r="M1729" s="5" t="inlineStr">
        <is>
          <t>Yes</t>
        </is>
      </c>
      <c r="N1729" s="5" t="inlineStr"/>
      <c r="O1729" s="8" t="inlineStr">
        <is>
          <t>129000</t>
        </is>
      </c>
      <c r="P1729" s="5" t="inlineStr">
        <is>
          <t>10</t>
        </is>
      </c>
      <c r="Q1729" s="5" t="inlineStr">
        <is>
          <t>4</t>
        </is>
      </c>
      <c r="R1729" s="5" t="inlineStr">
        <is>
          <t>7</t>
        </is>
      </c>
      <c r="S1729" s="5" t="inlineStr">
        <is>
          <t>38</t>
        </is>
      </c>
      <c r="T1729" s="5" t="inlineStr">
        <is>
          <t>5</t>
        </is>
      </c>
      <c r="U1729" s="5">
        <f>IFS(C1729&lt;30,"Under 30",C1729&lt;40,"30-39",C1729&lt;50,"40-49",TRUE,"50+")</f>
        <v/>
      </c>
      <c r="V1729" s="5">
        <f>IFS(O1729&lt;60000,"Low (&lt;60k)",O1729&lt;100000,"Mid (60-100k)",TRUE,"High (100k+)")</f>
        <v/>
      </c>
      <c r="W1729" s="5">
        <f>IF(M1729="No","Attrited","Active")</f>
        <v/>
      </c>
    </row>
    <row r="1730">
      <c r="A1730" s="5" t="inlineStr">
        <is>
          <t>E01729</t>
        </is>
      </c>
      <c r="B1730" s="5" t="inlineStr">
        <is>
          <t>Male</t>
        </is>
      </c>
      <c r="C1730" s="6" t="inlineStr">
        <is>
          <t>31</t>
        </is>
      </c>
      <c r="D1730" s="5" t="inlineStr">
        <is>
          <t>Divorced</t>
        </is>
      </c>
      <c r="E1730" s="5" t="inlineStr">
        <is>
          <t>Diploma</t>
        </is>
      </c>
      <c r="F1730" s="5" t="inlineStr">
        <is>
          <t>Operations</t>
        </is>
      </c>
      <c r="G1730" s="5" t="inlineStr">
        <is>
          <t>Operations Analyst</t>
        </is>
      </c>
      <c r="H1730" s="5" t="inlineStr">
        <is>
          <t>2</t>
        </is>
      </c>
      <c r="I1730" s="5" t="inlineStr">
        <is>
          <t>Remote</t>
        </is>
      </c>
      <c r="J1730" s="5" t="inlineStr">
        <is>
          <t>Full-Time</t>
        </is>
      </c>
      <c r="K1730" s="7" t="n">
        <v>44838</v>
      </c>
      <c r="L1730" s="7" t="n">
        <v>44949</v>
      </c>
      <c r="M1730" s="5" t="inlineStr">
        <is>
          <t>No</t>
        </is>
      </c>
      <c r="N1730" s="5" t="inlineStr">
        <is>
          <t>Resigned</t>
        </is>
      </c>
      <c r="O1730" s="8" t="inlineStr">
        <is>
          <t>78500</t>
        </is>
      </c>
      <c r="P1730" s="5" t="inlineStr">
        <is>
          <t>0</t>
        </is>
      </c>
      <c r="Q1730" s="5" t="inlineStr">
        <is>
          <t>3</t>
        </is>
      </c>
      <c r="R1730" s="5" t="inlineStr">
        <is>
          <t>7</t>
        </is>
      </c>
      <c r="S1730" s="5" t="inlineStr">
        <is>
          <t>3</t>
        </is>
      </c>
      <c r="T1730" s="5" t="inlineStr">
        <is>
          <t>5</t>
        </is>
      </c>
      <c r="U1730" s="5">
        <f>IFS(C1730&lt;30,"Under 30",C1730&lt;40,"30-39",C1730&lt;50,"40-49",TRUE,"50+")</f>
        <v/>
      </c>
      <c r="V1730" s="5">
        <f>IFS(O1730&lt;60000,"Low (&lt;60k)",O1730&lt;100000,"Mid (60-100k)",TRUE,"High (100k+)")</f>
        <v/>
      </c>
      <c r="W1730" s="5">
        <f>IF(M1730="No","Attrited","Active")</f>
        <v/>
      </c>
    </row>
    <row r="1731">
      <c r="A1731" s="5" t="inlineStr">
        <is>
          <t>E01730</t>
        </is>
      </c>
      <c r="B1731" s="5" t="inlineStr">
        <is>
          <t>Female</t>
        </is>
      </c>
      <c r="C1731" s="6" t="inlineStr">
        <is>
          <t>27</t>
        </is>
      </c>
      <c r="D1731" s="5" t="inlineStr">
        <is>
          <t>Married</t>
        </is>
      </c>
      <c r="E1731" s="5" t="inlineStr">
        <is>
          <t>Diploma</t>
        </is>
      </c>
      <c r="F1731" s="5" t="inlineStr">
        <is>
          <t>Customer Support</t>
        </is>
      </c>
      <c r="G1731" s="5" t="inlineStr">
        <is>
          <t>Support Lead</t>
        </is>
      </c>
      <c r="H1731" s="5" t="inlineStr">
        <is>
          <t>3</t>
        </is>
      </c>
      <c r="I1731" s="5" t="inlineStr">
        <is>
          <t>Bengaluru</t>
        </is>
      </c>
      <c r="J1731" s="5" t="inlineStr">
        <is>
          <t>Full-Time</t>
        </is>
      </c>
      <c r="K1731" s="7" t="n">
        <v>45999</v>
      </c>
      <c r="L1731" s="7" t="n">
        <v>46014</v>
      </c>
      <c r="M1731" s="5" t="inlineStr">
        <is>
          <t>No</t>
        </is>
      </c>
      <c r="N1731" s="5" t="inlineStr">
        <is>
          <t>Resigned</t>
        </is>
      </c>
      <c r="O1731" s="8" t="inlineStr">
        <is>
          <t>71000</t>
        </is>
      </c>
      <c r="P1731" s="5" t="inlineStr">
        <is>
          <t>15</t>
        </is>
      </c>
      <c r="Q1731" s="5" t="inlineStr">
        <is>
          <t>4</t>
        </is>
      </c>
      <c r="R1731" s="5" t="inlineStr">
        <is>
          <t>7</t>
        </is>
      </c>
      <c r="S1731" s="5" t="inlineStr">
        <is>
          <t>1</t>
        </is>
      </c>
      <c r="T1731" s="5" t="inlineStr">
        <is>
          <t>4</t>
        </is>
      </c>
      <c r="U1731" s="5">
        <f>IFS(C1731&lt;30,"Under 30",C1731&lt;40,"30-39",C1731&lt;50,"40-49",TRUE,"50+")</f>
        <v/>
      </c>
      <c r="V1731" s="5">
        <f>IFS(O1731&lt;60000,"Low (&lt;60k)",O1731&lt;100000,"Mid (60-100k)",TRUE,"High (100k+)")</f>
        <v/>
      </c>
      <c r="W1731" s="5">
        <f>IF(M1731="No","Attrited","Active")</f>
        <v/>
      </c>
    </row>
    <row r="1732">
      <c r="A1732" s="5" t="inlineStr">
        <is>
          <t>E01731</t>
        </is>
      </c>
      <c r="B1732" s="5" t="inlineStr">
        <is>
          <t>Male</t>
        </is>
      </c>
      <c r="C1732" s="6" t="inlineStr">
        <is>
          <t>39</t>
        </is>
      </c>
      <c r="D1732" s="5" t="inlineStr">
        <is>
          <t>Divorced</t>
        </is>
      </c>
      <c r="E1732" s="5" t="inlineStr">
        <is>
          <t>PhD</t>
        </is>
      </c>
      <c r="F1732" s="5" t="inlineStr">
        <is>
          <t>Customer Support</t>
        </is>
      </c>
      <c r="G1732" s="5" t="inlineStr">
        <is>
          <t>Escalation Specialist</t>
        </is>
      </c>
      <c r="H1732" s="5" t="inlineStr">
        <is>
          <t>6</t>
        </is>
      </c>
      <c r="I1732" s="5" t="inlineStr">
        <is>
          <t>Hyderabad</t>
        </is>
      </c>
      <c r="J1732" s="5" t="inlineStr">
        <is>
          <t>Full-Time</t>
        </is>
      </c>
      <c r="K1732" s="7" t="n">
        <v>44315</v>
      </c>
      <c r="L1732" s="7" t="inlineStr"/>
      <c r="M1732" s="5" t="inlineStr">
        <is>
          <t>Yes</t>
        </is>
      </c>
      <c r="N1732" s="5" t="inlineStr"/>
      <c r="O1732" s="8" t="inlineStr">
        <is>
          <t>119000</t>
        </is>
      </c>
      <c r="P1732" s="5" t="inlineStr">
        <is>
          <t>5</t>
        </is>
      </c>
      <c r="Q1732" s="5" t="inlineStr">
        <is>
          <t>4</t>
        </is>
      </c>
      <c r="R1732" s="5" t="inlineStr">
        <is>
          <t>4</t>
        </is>
      </c>
      <c r="S1732" s="5" t="inlineStr">
        <is>
          <t>56</t>
        </is>
      </c>
      <c r="T1732" s="5" t="inlineStr">
        <is>
          <t>15</t>
        </is>
      </c>
      <c r="U1732" s="5">
        <f>IFS(C1732&lt;30,"Under 30",C1732&lt;40,"30-39",C1732&lt;50,"40-49",TRUE,"50+")</f>
        <v/>
      </c>
      <c r="V1732" s="5">
        <f>IFS(O1732&lt;60000,"Low (&lt;60k)",O1732&lt;100000,"Mid (60-100k)",TRUE,"High (100k+)")</f>
        <v/>
      </c>
      <c r="W1732" s="5">
        <f>IF(M1732="No","Attrited","Active")</f>
        <v/>
      </c>
    </row>
    <row r="1733">
      <c r="A1733" s="5" t="inlineStr">
        <is>
          <t>E01732</t>
        </is>
      </c>
      <c r="B1733" s="5" t="inlineStr">
        <is>
          <t>Female</t>
        </is>
      </c>
      <c r="C1733" s="6" t="inlineStr">
        <is>
          <t>32</t>
        </is>
      </c>
      <c r="D1733" s="5" t="inlineStr">
        <is>
          <t>Married</t>
        </is>
      </c>
      <c r="E1733" s="5" t="inlineStr">
        <is>
          <t>Diploma</t>
        </is>
      </c>
      <c r="F1733" s="5" t="inlineStr">
        <is>
          <t>Research &amp; Development</t>
        </is>
      </c>
      <c r="G1733" s="5" t="inlineStr">
        <is>
          <t>Research Scientist</t>
        </is>
      </c>
      <c r="H1733" s="5" t="inlineStr">
        <is>
          <t>5</t>
        </is>
      </c>
      <c r="I1733" s="5" t="inlineStr">
        <is>
          <t>Delhi</t>
        </is>
      </c>
      <c r="J1733" s="5" t="inlineStr">
        <is>
          <t>Full-Time</t>
        </is>
      </c>
      <c r="K1733" s="7" t="n">
        <v>45723</v>
      </c>
      <c r="L1733" s="7" t="inlineStr"/>
      <c r="M1733" s="5" t="inlineStr">
        <is>
          <t>Yes</t>
        </is>
      </c>
      <c r="N1733" s="5" t="inlineStr"/>
      <c r="O1733" s="8" t="inlineStr">
        <is>
          <t>181000</t>
        </is>
      </c>
      <c r="P1733" s="5" t="inlineStr">
        <is>
          <t>0</t>
        </is>
      </c>
      <c r="Q1733" s="5" t="inlineStr">
        <is>
          <t>4</t>
        </is>
      </c>
      <c r="R1733" s="5" t="inlineStr">
        <is>
          <t>5</t>
        </is>
      </c>
      <c r="S1733" s="5" t="inlineStr">
        <is>
          <t>9</t>
        </is>
      </c>
      <c r="T1733" s="5" t="inlineStr">
        <is>
          <t>6</t>
        </is>
      </c>
      <c r="U1733" s="5">
        <f>IFS(C1733&lt;30,"Under 30",C1733&lt;40,"30-39",C1733&lt;50,"40-49",TRUE,"50+")</f>
        <v/>
      </c>
      <c r="V1733" s="5">
        <f>IFS(O1733&lt;60000,"Low (&lt;60k)",O1733&lt;100000,"Mid (60-100k)",TRUE,"High (100k+)")</f>
        <v/>
      </c>
      <c r="W1733" s="5">
        <f>IF(M1733="No","Attrited","Active")</f>
        <v/>
      </c>
    </row>
    <row r="1734">
      <c r="A1734" s="5" t="inlineStr">
        <is>
          <t>E01733</t>
        </is>
      </c>
      <c r="B1734" s="5" t="inlineStr">
        <is>
          <t>Male</t>
        </is>
      </c>
      <c r="C1734" s="6" t="inlineStr">
        <is>
          <t>25</t>
        </is>
      </c>
      <c r="D1734" s="5" t="inlineStr">
        <is>
          <t>Married</t>
        </is>
      </c>
      <c r="E1734" s="5" t="inlineStr">
        <is>
          <t>Bachelor</t>
        </is>
      </c>
      <c r="F1734" s="5" t="inlineStr">
        <is>
          <t>IT</t>
        </is>
      </c>
      <c r="G1734" s="5" t="inlineStr">
        <is>
          <t>Data Analyst</t>
        </is>
      </c>
      <c r="H1734" s="5" t="inlineStr">
        <is>
          <t>2</t>
        </is>
      </c>
      <c r="I1734" s="5" t="inlineStr">
        <is>
          <t>Delhi</t>
        </is>
      </c>
      <c r="J1734" s="5" t="inlineStr">
        <is>
          <t>Full-Time</t>
        </is>
      </c>
      <c r="K1734" s="7" t="n">
        <v>45987</v>
      </c>
      <c r="L1734" s="7" t="n">
        <v>46002</v>
      </c>
      <c r="M1734" s="5" t="inlineStr">
        <is>
          <t>No</t>
        </is>
      </c>
      <c r="N1734" s="5" t="inlineStr">
        <is>
          <t>Relocation</t>
        </is>
      </c>
      <c r="O1734" s="8" t="inlineStr">
        <is>
          <t>151500</t>
        </is>
      </c>
      <c r="P1734" s="5" t="inlineStr">
        <is>
          <t>0</t>
        </is>
      </c>
      <c r="Q1734" s="5" t="inlineStr">
        <is>
          <t>1</t>
        </is>
      </c>
      <c r="R1734" s="5" t="inlineStr">
        <is>
          <t>3</t>
        </is>
      </c>
      <c r="S1734" s="5" t="inlineStr">
        <is>
          <t>1</t>
        </is>
      </c>
      <c r="T1734" s="5" t="inlineStr">
        <is>
          <t>14</t>
        </is>
      </c>
      <c r="U1734" s="5">
        <f>IFS(C1734&lt;30,"Under 30",C1734&lt;40,"30-39",C1734&lt;50,"40-49",TRUE,"50+")</f>
        <v/>
      </c>
      <c r="V1734" s="5">
        <f>IFS(O1734&lt;60000,"Low (&lt;60k)",O1734&lt;100000,"Mid (60-100k)",TRUE,"High (100k+)")</f>
        <v/>
      </c>
      <c r="W1734" s="5">
        <f>IF(M1734="No","Attrited","Active")</f>
        <v/>
      </c>
    </row>
    <row r="1735">
      <c r="A1735" s="5" t="inlineStr">
        <is>
          <t>E01734</t>
        </is>
      </c>
      <c r="B1735" s="5" t="inlineStr">
        <is>
          <t>Male</t>
        </is>
      </c>
      <c r="C1735" s="6" t="inlineStr">
        <is>
          <t>31</t>
        </is>
      </c>
      <c r="D1735" s="5" t="inlineStr">
        <is>
          <t>Married</t>
        </is>
      </c>
      <c r="E1735" s="5" t="inlineStr">
        <is>
          <t>Bachelor</t>
        </is>
      </c>
      <c r="F1735" s="5" t="inlineStr">
        <is>
          <t>Finance</t>
        </is>
      </c>
      <c r="G1735" s="5" t="inlineStr">
        <is>
          <t>Accountant</t>
        </is>
      </c>
      <c r="H1735" s="5" t="inlineStr">
        <is>
          <t>2</t>
        </is>
      </c>
      <c r="I1735" s="5" t="inlineStr">
        <is>
          <t>Mumbai</t>
        </is>
      </c>
      <c r="J1735" s="5" t="inlineStr">
        <is>
          <t>Full-Time</t>
        </is>
      </c>
      <c r="K1735" s="7" t="n">
        <v>45114</v>
      </c>
      <c r="L1735" s="7" t="inlineStr"/>
      <c r="M1735" s="5" t="inlineStr">
        <is>
          <t>Yes</t>
        </is>
      </c>
      <c r="N1735" s="5" t="inlineStr"/>
      <c r="O1735" s="8" t="inlineStr">
        <is>
          <t>129000</t>
        </is>
      </c>
      <c r="P1735" s="5" t="inlineStr">
        <is>
          <t>0</t>
        </is>
      </c>
      <c r="Q1735" s="5" t="inlineStr">
        <is>
          <t>5</t>
        </is>
      </c>
      <c r="R1735" s="5" t="inlineStr">
        <is>
          <t>7</t>
        </is>
      </c>
      <c r="S1735" s="5" t="inlineStr">
        <is>
          <t>30</t>
        </is>
      </c>
      <c r="T1735" s="5" t="inlineStr">
        <is>
          <t>7</t>
        </is>
      </c>
      <c r="U1735" s="5">
        <f>IFS(C1735&lt;30,"Under 30",C1735&lt;40,"30-39",C1735&lt;50,"40-49",TRUE,"50+")</f>
        <v/>
      </c>
      <c r="V1735" s="5">
        <f>IFS(O1735&lt;60000,"Low (&lt;60k)",O1735&lt;100000,"Mid (60-100k)",TRUE,"High (100k+)")</f>
        <v/>
      </c>
      <c r="W1735" s="5">
        <f>IF(M1735="No","Attrited","Active")</f>
        <v/>
      </c>
    </row>
    <row r="1736">
      <c r="A1736" s="5" t="inlineStr">
        <is>
          <t>E01735</t>
        </is>
      </c>
      <c r="B1736" s="5" t="inlineStr">
        <is>
          <t>Male</t>
        </is>
      </c>
      <c r="C1736" s="6" t="inlineStr">
        <is>
          <t>28</t>
        </is>
      </c>
      <c r="D1736" s="5" t="inlineStr">
        <is>
          <t>Married</t>
        </is>
      </c>
      <c r="E1736" s="5" t="inlineStr">
        <is>
          <t>PhD</t>
        </is>
      </c>
      <c r="F1736" s="5" t="inlineStr">
        <is>
          <t>IT</t>
        </is>
      </c>
      <c r="G1736" s="5" t="inlineStr">
        <is>
          <t>IT Support</t>
        </is>
      </c>
      <c r="H1736" s="5" t="inlineStr">
        <is>
          <t>1</t>
        </is>
      </c>
      <c r="I1736" s="5" t="inlineStr">
        <is>
          <t>Hyderabad</t>
        </is>
      </c>
      <c r="J1736" s="5" t="inlineStr">
        <is>
          <t>Full-Time</t>
        </is>
      </c>
      <c r="K1736" s="7" t="n">
        <v>44179</v>
      </c>
      <c r="L1736" s="7" t="inlineStr"/>
      <c r="M1736" s="5" t="inlineStr">
        <is>
          <t>Yes</t>
        </is>
      </c>
      <c r="N1736" s="5" t="inlineStr"/>
      <c r="O1736" s="8" t="inlineStr">
        <is>
          <t>98000</t>
        </is>
      </c>
      <c r="P1736" s="5" t="inlineStr">
        <is>
          <t>15</t>
        </is>
      </c>
      <c r="Q1736" s="5" t="inlineStr">
        <is>
          <t>3</t>
        </is>
      </c>
      <c r="R1736" s="5" t="inlineStr">
        <is>
          <t>6</t>
        </is>
      </c>
      <c r="S1736" s="5" t="inlineStr">
        <is>
          <t>61</t>
        </is>
      </c>
      <c r="T1736" s="5" t="inlineStr">
        <is>
          <t>15</t>
        </is>
      </c>
      <c r="U1736" s="5">
        <f>IFS(C1736&lt;30,"Under 30",C1736&lt;40,"30-39",C1736&lt;50,"40-49",TRUE,"50+")</f>
        <v/>
      </c>
      <c r="V1736" s="5">
        <f>IFS(O1736&lt;60000,"Low (&lt;60k)",O1736&lt;100000,"Mid (60-100k)",TRUE,"High (100k+)")</f>
        <v/>
      </c>
      <c r="W1736" s="5">
        <f>IF(M1736="No","Attrited","Active")</f>
        <v/>
      </c>
    </row>
    <row r="1737">
      <c r="A1737" s="5" t="inlineStr">
        <is>
          <t>E01736</t>
        </is>
      </c>
      <c r="B1737" s="5" t="inlineStr">
        <is>
          <t>Female</t>
        </is>
      </c>
      <c r="C1737" s="6" t="inlineStr">
        <is>
          <t>36</t>
        </is>
      </c>
      <c r="D1737" s="5" t="inlineStr">
        <is>
          <t>Married</t>
        </is>
      </c>
      <c r="E1737" s="5" t="inlineStr">
        <is>
          <t>PhD</t>
        </is>
      </c>
      <c r="F1737" s="5" t="inlineStr">
        <is>
          <t>Finance</t>
        </is>
      </c>
      <c r="G1737" s="5" t="inlineStr">
        <is>
          <t>Financial Analyst</t>
        </is>
      </c>
      <c r="H1737" s="5" t="inlineStr">
        <is>
          <t>2</t>
        </is>
      </c>
      <c r="I1737" s="5" t="inlineStr">
        <is>
          <t>Remote</t>
        </is>
      </c>
      <c r="J1737" s="5" t="inlineStr">
        <is>
          <t>Full-Time</t>
        </is>
      </c>
      <c r="K1737" s="7" t="n">
        <v>45066</v>
      </c>
      <c r="L1737" s="7" t="inlineStr"/>
      <c r="M1737" s="5" t="inlineStr">
        <is>
          <t>Yes</t>
        </is>
      </c>
      <c r="N1737" s="5" t="inlineStr"/>
      <c r="O1737" s="8" t="inlineStr">
        <is>
          <t>117000</t>
        </is>
      </c>
      <c r="P1737" s="5" t="inlineStr">
        <is>
          <t>0</t>
        </is>
      </c>
      <c r="Q1737" s="5" t="inlineStr">
        <is>
          <t>3</t>
        </is>
      </c>
      <c r="R1737" s="5" t="inlineStr">
        <is>
          <t>8</t>
        </is>
      </c>
      <c r="S1737" s="5" t="inlineStr">
        <is>
          <t>31</t>
        </is>
      </c>
      <c r="T1737" s="5" t="inlineStr">
        <is>
          <t>0</t>
        </is>
      </c>
      <c r="U1737" s="5">
        <f>IFS(C1737&lt;30,"Under 30",C1737&lt;40,"30-39",C1737&lt;50,"40-49",TRUE,"50+")</f>
        <v/>
      </c>
      <c r="V1737" s="5">
        <f>IFS(O1737&lt;60000,"Low (&lt;60k)",O1737&lt;100000,"Mid (60-100k)",TRUE,"High (100k+)")</f>
        <v/>
      </c>
      <c r="W1737" s="5">
        <f>IF(M1737="No","Attrited","Active")</f>
        <v/>
      </c>
    </row>
    <row r="1738">
      <c r="A1738" s="5" t="inlineStr">
        <is>
          <t>E01737</t>
        </is>
      </c>
      <c r="B1738" s="5" t="inlineStr">
        <is>
          <t>Male</t>
        </is>
      </c>
      <c r="C1738" s="6" t="inlineStr">
        <is>
          <t>25</t>
        </is>
      </c>
      <c r="D1738" s="5" t="inlineStr">
        <is>
          <t>Single</t>
        </is>
      </c>
      <c r="E1738" s="5" t="inlineStr">
        <is>
          <t>High School</t>
        </is>
      </c>
      <c r="F1738" s="5" t="inlineStr">
        <is>
          <t>IT</t>
        </is>
      </c>
      <c r="G1738" s="5" t="inlineStr">
        <is>
          <t>Software Engineer</t>
        </is>
      </c>
      <c r="H1738" s="5" t="inlineStr">
        <is>
          <t>2</t>
        </is>
      </c>
      <c r="I1738" s="5" t="inlineStr">
        <is>
          <t>Bengaluru</t>
        </is>
      </c>
      <c r="J1738" s="5" t="inlineStr">
        <is>
          <t>Full-Time</t>
        </is>
      </c>
      <c r="K1738" s="7" t="n">
        <v>44012</v>
      </c>
      <c r="L1738" s="7" t="n">
        <v>44055</v>
      </c>
      <c r="M1738" s="5" t="inlineStr">
        <is>
          <t>No</t>
        </is>
      </c>
      <c r="N1738" s="5" t="inlineStr">
        <is>
          <t>Resigned</t>
        </is>
      </c>
      <c r="O1738" s="8" t="inlineStr">
        <is>
          <t>162500</t>
        </is>
      </c>
      <c r="P1738" s="5" t="inlineStr">
        <is>
          <t>0</t>
        </is>
      </c>
      <c r="Q1738" s="5" t="inlineStr">
        <is>
          <t>4</t>
        </is>
      </c>
      <c r="R1738" s="5" t="inlineStr">
        <is>
          <t>3</t>
        </is>
      </c>
      <c r="S1738" s="5" t="inlineStr">
        <is>
          <t>1</t>
        </is>
      </c>
      <c r="T1738" s="5" t="inlineStr">
        <is>
          <t>0</t>
        </is>
      </c>
      <c r="U1738" s="5">
        <f>IFS(C1738&lt;30,"Under 30",C1738&lt;40,"30-39",C1738&lt;50,"40-49",TRUE,"50+")</f>
        <v/>
      </c>
      <c r="V1738" s="5">
        <f>IFS(O1738&lt;60000,"Low (&lt;60k)",O1738&lt;100000,"Mid (60-100k)",TRUE,"High (100k+)")</f>
        <v/>
      </c>
      <c r="W1738" s="5">
        <f>IF(M1738="No","Attrited","Active")</f>
        <v/>
      </c>
    </row>
    <row r="1739">
      <c r="A1739" s="5" t="inlineStr">
        <is>
          <t>E01738</t>
        </is>
      </c>
      <c r="B1739" s="5" t="inlineStr">
        <is>
          <t>Female</t>
        </is>
      </c>
      <c r="C1739" s="6" t="inlineStr">
        <is>
          <t>30</t>
        </is>
      </c>
      <c r="D1739" s="5" t="inlineStr">
        <is>
          <t>Married</t>
        </is>
      </c>
      <c r="E1739" s="5" t="inlineStr">
        <is>
          <t>Master</t>
        </is>
      </c>
      <c r="F1739" s="5" t="inlineStr">
        <is>
          <t>Customer Support</t>
        </is>
      </c>
      <c r="G1739" s="5" t="inlineStr">
        <is>
          <t>Escalation Specialist</t>
        </is>
      </c>
      <c r="H1739" s="5" t="inlineStr">
        <is>
          <t>1</t>
        </is>
      </c>
      <c r="I1739" s="5" t="inlineStr">
        <is>
          <t>Remote</t>
        </is>
      </c>
      <c r="J1739" s="5" t="inlineStr">
        <is>
          <t>Full-Time</t>
        </is>
      </c>
      <c r="K1739" s="7" t="n">
        <v>44700</v>
      </c>
      <c r="L1739" s="7" t="n">
        <v>44770</v>
      </c>
      <c r="M1739" s="5" t="inlineStr">
        <is>
          <t>No</t>
        </is>
      </c>
      <c r="N1739" s="5" t="inlineStr">
        <is>
          <t>Performance / Termination</t>
        </is>
      </c>
      <c r="O1739" s="8" t="inlineStr">
        <is>
          <t>50500</t>
        </is>
      </c>
      <c r="P1739" s="5" t="inlineStr">
        <is>
          <t>0</t>
        </is>
      </c>
      <c r="Q1739" s="5" t="inlineStr">
        <is>
          <t>4</t>
        </is>
      </c>
      <c r="R1739" s="5" t="inlineStr">
        <is>
          <t>8</t>
        </is>
      </c>
      <c r="S1739" s="5" t="inlineStr">
        <is>
          <t>2</t>
        </is>
      </c>
      <c r="T1739" s="5" t="inlineStr">
        <is>
          <t>16</t>
        </is>
      </c>
      <c r="U1739" s="5">
        <f>IFS(C1739&lt;30,"Under 30",C1739&lt;40,"30-39",C1739&lt;50,"40-49",TRUE,"50+")</f>
        <v/>
      </c>
      <c r="V1739" s="5">
        <f>IFS(O1739&lt;60000,"Low (&lt;60k)",O1739&lt;100000,"Mid (60-100k)",TRUE,"High (100k+)")</f>
        <v/>
      </c>
      <c r="W1739" s="5">
        <f>IF(M1739="No","Attrited","Active")</f>
        <v/>
      </c>
    </row>
    <row r="1740">
      <c r="A1740" s="5" t="inlineStr">
        <is>
          <t>E01739</t>
        </is>
      </c>
      <c r="B1740" s="5" t="inlineStr">
        <is>
          <t>Male</t>
        </is>
      </c>
      <c r="C1740" s="6" t="inlineStr">
        <is>
          <t>32</t>
        </is>
      </c>
      <c r="D1740" s="5" t="inlineStr">
        <is>
          <t>Married</t>
        </is>
      </c>
      <c r="E1740" s="5" t="inlineStr">
        <is>
          <t>High School</t>
        </is>
      </c>
      <c r="F1740" s="5" t="inlineStr">
        <is>
          <t>Sales</t>
        </is>
      </c>
      <c r="G1740" s="5" t="inlineStr">
        <is>
          <t>Account Executive</t>
        </is>
      </c>
      <c r="H1740" s="5" t="inlineStr">
        <is>
          <t>2</t>
        </is>
      </c>
      <c r="I1740" s="5" t="inlineStr">
        <is>
          <t>Delhi</t>
        </is>
      </c>
      <c r="J1740" s="5" t="inlineStr">
        <is>
          <t>Full-Time</t>
        </is>
      </c>
      <c r="K1740" s="7" t="n">
        <v>45628</v>
      </c>
      <c r="L1740" s="7" t="n">
        <v>45771</v>
      </c>
      <c r="M1740" s="5" t="inlineStr">
        <is>
          <t>No</t>
        </is>
      </c>
      <c r="N1740" s="5" t="inlineStr">
        <is>
          <t>Resigned</t>
        </is>
      </c>
      <c r="O1740" s="8" t="inlineStr">
        <is>
          <t>82000</t>
        </is>
      </c>
      <c r="P1740" s="5" t="inlineStr">
        <is>
          <t>15</t>
        </is>
      </c>
      <c r="Q1740" s="5" t="inlineStr">
        <is>
          <t>2</t>
        </is>
      </c>
      <c r="R1740" s="5" t="inlineStr">
        <is>
          <t>7</t>
        </is>
      </c>
      <c r="S1740" s="5" t="inlineStr">
        <is>
          <t>4</t>
        </is>
      </c>
      <c r="T1740" s="5" t="inlineStr">
        <is>
          <t>4</t>
        </is>
      </c>
      <c r="U1740" s="5">
        <f>IFS(C1740&lt;30,"Under 30",C1740&lt;40,"30-39",C1740&lt;50,"40-49",TRUE,"50+")</f>
        <v/>
      </c>
      <c r="V1740" s="5">
        <f>IFS(O1740&lt;60000,"Low (&lt;60k)",O1740&lt;100000,"Mid (60-100k)",TRUE,"High (100k+)")</f>
        <v/>
      </c>
      <c r="W1740" s="5">
        <f>IF(M1740="No","Attrited","Active")</f>
        <v/>
      </c>
    </row>
    <row r="1741">
      <c r="A1741" s="5" t="inlineStr">
        <is>
          <t>E01740</t>
        </is>
      </c>
      <c r="B1741" s="5" t="inlineStr">
        <is>
          <t>Male</t>
        </is>
      </c>
      <c r="C1741" s="6" t="inlineStr">
        <is>
          <t>32</t>
        </is>
      </c>
      <c r="D1741" s="5" t="inlineStr">
        <is>
          <t>Married</t>
        </is>
      </c>
      <c r="E1741" s="5" t="inlineStr">
        <is>
          <t>Diploma</t>
        </is>
      </c>
      <c r="F1741" s="5" t="inlineStr">
        <is>
          <t>IT</t>
        </is>
      </c>
      <c r="G1741" s="5" t="inlineStr">
        <is>
          <t>Software Engineer</t>
        </is>
      </c>
      <c r="H1741" s="5" t="inlineStr">
        <is>
          <t>1</t>
        </is>
      </c>
      <c r="I1741" s="5" t="inlineStr">
        <is>
          <t>Remote</t>
        </is>
      </c>
      <c r="J1741" s="5" t="inlineStr">
        <is>
          <t>Full-Time</t>
        </is>
      </c>
      <c r="K1741" s="7" t="n">
        <v>45116</v>
      </c>
      <c r="L1741" s="7" t="inlineStr"/>
      <c r="M1741" s="5" t="inlineStr">
        <is>
          <t>Yes</t>
        </is>
      </c>
      <c r="N1741" s="5" t="inlineStr"/>
      <c r="O1741" s="8" t="inlineStr">
        <is>
          <t>123000</t>
        </is>
      </c>
      <c r="P1741" s="5" t="inlineStr">
        <is>
          <t>10</t>
        </is>
      </c>
      <c r="Q1741" s="5" t="inlineStr">
        <is>
          <t>3</t>
        </is>
      </c>
      <c r="R1741" s="5" t="inlineStr">
        <is>
          <t>3</t>
        </is>
      </c>
      <c r="S1741" s="5" t="inlineStr">
        <is>
          <t>30</t>
        </is>
      </c>
      <c r="T1741" s="5" t="inlineStr">
        <is>
          <t>9</t>
        </is>
      </c>
      <c r="U1741" s="5">
        <f>IFS(C1741&lt;30,"Under 30",C1741&lt;40,"30-39",C1741&lt;50,"40-49",TRUE,"50+")</f>
        <v/>
      </c>
      <c r="V1741" s="5">
        <f>IFS(O1741&lt;60000,"Low (&lt;60k)",O1741&lt;100000,"Mid (60-100k)",TRUE,"High (100k+)")</f>
        <v/>
      </c>
      <c r="W1741" s="5">
        <f>IF(M1741="No","Attrited","Active")</f>
        <v/>
      </c>
    </row>
    <row r="1742">
      <c r="A1742" s="5" t="inlineStr">
        <is>
          <t>E01741</t>
        </is>
      </c>
      <c r="B1742" s="5" t="inlineStr">
        <is>
          <t>Male</t>
        </is>
      </c>
      <c r="C1742" s="6" t="inlineStr">
        <is>
          <t>38</t>
        </is>
      </c>
      <c r="D1742" s="5" t="inlineStr">
        <is>
          <t>Married</t>
        </is>
      </c>
      <c r="E1742" s="5" t="inlineStr">
        <is>
          <t>Master</t>
        </is>
      </c>
      <c r="F1742" s="5" t="inlineStr">
        <is>
          <t>Customer Support</t>
        </is>
      </c>
      <c r="G1742" s="5" t="inlineStr">
        <is>
          <t>Support Lead</t>
        </is>
      </c>
      <c r="H1742" s="5" t="inlineStr">
        <is>
          <t>5</t>
        </is>
      </c>
      <c r="I1742" s="5" t="inlineStr">
        <is>
          <t>Remote</t>
        </is>
      </c>
      <c r="J1742" s="5" t="inlineStr">
        <is>
          <t>Full-Time</t>
        </is>
      </c>
      <c r="K1742" s="7" t="n">
        <v>43930</v>
      </c>
      <c r="L1742" s="7" t="inlineStr"/>
      <c r="M1742" s="5" t="inlineStr">
        <is>
          <t>Yes</t>
        </is>
      </c>
      <c r="N1742" s="5" t="inlineStr"/>
      <c r="O1742" s="8" t="inlineStr">
        <is>
          <t>103500</t>
        </is>
      </c>
      <c r="P1742" s="5" t="inlineStr">
        <is>
          <t>15</t>
        </is>
      </c>
      <c r="Q1742" s="5" t="inlineStr">
        <is>
          <t>3</t>
        </is>
      </c>
      <c r="R1742" s="5" t="inlineStr">
        <is>
          <t>10</t>
        </is>
      </c>
      <c r="S1742" s="5" t="inlineStr">
        <is>
          <t>69</t>
        </is>
      </c>
      <c r="T1742" s="5" t="inlineStr">
        <is>
          <t>6</t>
        </is>
      </c>
      <c r="U1742" s="5">
        <f>IFS(C1742&lt;30,"Under 30",C1742&lt;40,"30-39",C1742&lt;50,"40-49",TRUE,"50+")</f>
        <v/>
      </c>
      <c r="V1742" s="5">
        <f>IFS(O1742&lt;60000,"Low (&lt;60k)",O1742&lt;100000,"Mid (60-100k)",TRUE,"High (100k+)")</f>
        <v/>
      </c>
      <c r="W1742" s="5">
        <f>IF(M1742="No","Attrited","Active")</f>
        <v/>
      </c>
    </row>
    <row r="1743">
      <c r="A1743" s="5" t="inlineStr">
        <is>
          <t>E01742</t>
        </is>
      </c>
      <c r="B1743" s="5" t="inlineStr">
        <is>
          <t>Female</t>
        </is>
      </c>
      <c r="C1743" s="6" t="inlineStr">
        <is>
          <t>33</t>
        </is>
      </c>
      <c r="D1743" s="5" t="inlineStr">
        <is>
          <t>Married</t>
        </is>
      </c>
      <c r="E1743" s="5" t="inlineStr">
        <is>
          <t>Diploma</t>
        </is>
      </c>
      <c r="F1743" s="5" t="inlineStr">
        <is>
          <t>IT</t>
        </is>
      </c>
      <c r="G1743" s="5" t="inlineStr">
        <is>
          <t>DevOps Engineer</t>
        </is>
      </c>
      <c r="H1743" s="5" t="inlineStr">
        <is>
          <t>1</t>
        </is>
      </c>
      <c r="I1743" s="5" t="inlineStr">
        <is>
          <t>Hyderabad</t>
        </is>
      </c>
      <c r="J1743" s="5" t="inlineStr">
        <is>
          <t>Full-Time</t>
        </is>
      </c>
      <c r="K1743" s="7" t="n">
        <v>45918</v>
      </c>
      <c r="L1743" s="7" t="inlineStr"/>
      <c r="M1743" s="5" t="inlineStr">
        <is>
          <t>Yes</t>
        </is>
      </c>
      <c r="N1743" s="5" t="inlineStr"/>
      <c r="O1743" s="8" t="inlineStr">
        <is>
          <t>113500</t>
        </is>
      </c>
      <c r="P1743" s="5" t="inlineStr">
        <is>
          <t>5</t>
        </is>
      </c>
      <c r="Q1743" s="5" t="inlineStr">
        <is>
          <t>4</t>
        </is>
      </c>
      <c r="R1743" s="5" t="inlineStr">
        <is>
          <t>9</t>
        </is>
      </c>
      <c r="S1743" s="5" t="inlineStr">
        <is>
          <t>3</t>
        </is>
      </c>
      <c r="T1743" s="5" t="inlineStr">
        <is>
          <t>6</t>
        </is>
      </c>
      <c r="U1743" s="5">
        <f>IFS(C1743&lt;30,"Under 30",C1743&lt;40,"30-39",C1743&lt;50,"40-49",TRUE,"50+")</f>
        <v/>
      </c>
      <c r="V1743" s="5">
        <f>IFS(O1743&lt;60000,"Low (&lt;60k)",O1743&lt;100000,"Mid (60-100k)",TRUE,"High (100k+)")</f>
        <v/>
      </c>
      <c r="W1743" s="5">
        <f>IF(M1743="No","Attrited","Active")</f>
        <v/>
      </c>
    </row>
    <row r="1744">
      <c r="A1744" s="5" t="inlineStr">
        <is>
          <t>E01743</t>
        </is>
      </c>
      <c r="B1744" s="5" t="inlineStr">
        <is>
          <t>Male</t>
        </is>
      </c>
      <c r="C1744" s="6" t="inlineStr">
        <is>
          <t>37</t>
        </is>
      </c>
      <c r="D1744" s="5" t="inlineStr">
        <is>
          <t>Divorced</t>
        </is>
      </c>
      <c r="E1744" s="5" t="inlineStr">
        <is>
          <t>High School</t>
        </is>
      </c>
      <c r="F1744" s="5" t="inlineStr">
        <is>
          <t>Sales</t>
        </is>
      </c>
      <c r="G1744" s="5" t="inlineStr">
        <is>
          <t>Business Development</t>
        </is>
      </c>
      <c r="H1744" s="5" t="inlineStr">
        <is>
          <t>4</t>
        </is>
      </c>
      <c r="I1744" s="5" t="inlineStr">
        <is>
          <t>Chennai</t>
        </is>
      </c>
      <c r="J1744" s="5" t="inlineStr">
        <is>
          <t>Full-Time</t>
        </is>
      </c>
      <c r="K1744" s="7" t="n">
        <v>45016</v>
      </c>
      <c r="L1744" s="7" t="inlineStr"/>
      <c r="M1744" s="5" t="inlineStr">
        <is>
          <t>Yes</t>
        </is>
      </c>
      <c r="N1744" s="5" t="inlineStr"/>
      <c r="O1744" s="8" t="inlineStr">
        <is>
          <t>107500</t>
        </is>
      </c>
      <c r="P1744" s="5" t="inlineStr">
        <is>
          <t>10</t>
        </is>
      </c>
      <c r="Q1744" s="5" t="inlineStr">
        <is>
          <t>3</t>
        </is>
      </c>
      <c r="R1744" s="5" t="inlineStr">
        <is>
          <t>8</t>
        </is>
      </c>
      <c r="S1744" s="5" t="inlineStr">
        <is>
          <t>33</t>
        </is>
      </c>
      <c r="T1744" s="5" t="inlineStr">
        <is>
          <t>14</t>
        </is>
      </c>
      <c r="U1744" s="5">
        <f>IFS(C1744&lt;30,"Under 30",C1744&lt;40,"30-39",C1744&lt;50,"40-49",TRUE,"50+")</f>
        <v/>
      </c>
      <c r="V1744" s="5">
        <f>IFS(O1744&lt;60000,"Low (&lt;60k)",O1744&lt;100000,"Mid (60-100k)",TRUE,"High (100k+)")</f>
        <v/>
      </c>
      <c r="W1744" s="5">
        <f>IF(M1744="No","Attrited","Active")</f>
        <v/>
      </c>
    </row>
    <row r="1745">
      <c r="A1745" s="5" t="inlineStr">
        <is>
          <t>E01744</t>
        </is>
      </c>
      <c r="B1745" s="5" t="inlineStr">
        <is>
          <t>Female</t>
        </is>
      </c>
      <c r="C1745" s="6" t="inlineStr">
        <is>
          <t>32</t>
        </is>
      </c>
      <c r="D1745" s="5" t="inlineStr">
        <is>
          <t>Married</t>
        </is>
      </c>
      <c r="E1745" s="5" t="inlineStr">
        <is>
          <t>PhD</t>
        </is>
      </c>
      <c r="F1745" s="5" t="inlineStr">
        <is>
          <t>Sales</t>
        </is>
      </c>
      <c r="G1745" s="5" t="inlineStr">
        <is>
          <t>Account Executive</t>
        </is>
      </c>
      <c r="H1745" s="5" t="inlineStr">
        <is>
          <t>3</t>
        </is>
      </c>
      <c r="I1745" s="5" t="inlineStr">
        <is>
          <t>Delhi</t>
        </is>
      </c>
      <c r="J1745" s="5" t="inlineStr">
        <is>
          <t>Part-Time</t>
        </is>
      </c>
      <c r="K1745" s="7" t="n">
        <v>45182</v>
      </c>
      <c r="L1745" s="7" t="n">
        <v>45323</v>
      </c>
      <c r="M1745" s="5" t="inlineStr">
        <is>
          <t>No</t>
        </is>
      </c>
      <c r="N1745" s="5" t="inlineStr">
        <is>
          <t>Retirement</t>
        </is>
      </c>
      <c r="O1745" s="8" t="inlineStr">
        <is>
          <t>92000</t>
        </is>
      </c>
      <c r="P1745" s="5" t="inlineStr">
        <is>
          <t>0</t>
        </is>
      </c>
      <c r="Q1745" s="5" t="inlineStr">
        <is>
          <t>5</t>
        </is>
      </c>
      <c r="R1745" s="5" t="inlineStr">
        <is>
          <t>1</t>
        </is>
      </c>
      <c r="S1745" s="5" t="inlineStr">
        <is>
          <t>4</t>
        </is>
      </c>
      <c r="T1745" s="5" t="inlineStr">
        <is>
          <t>0</t>
        </is>
      </c>
      <c r="U1745" s="5">
        <f>IFS(C1745&lt;30,"Under 30",C1745&lt;40,"30-39",C1745&lt;50,"40-49",TRUE,"50+")</f>
        <v/>
      </c>
      <c r="V1745" s="5">
        <f>IFS(O1745&lt;60000,"Low (&lt;60k)",O1745&lt;100000,"Mid (60-100k)",TRUE,"High (100k+)")</f>
        <v/>
      </c>
      <c r="W1745" s="5">
        <f>IF(M1745="No","Attrited","Active")</f>
        <v/>
      </c>
    </row>
    <row r="1746">
      <c r="A1746" s="5" t="inlineStr">
        <is>
          <t>E01745</t>
        </is>
      </c>
      <c r="B1746" s="5" t="inlineStr">
        <is>
          <t>Female</t>
        </is>
      </c>
      <c r="C1746" s="6" t="inlineStr">
        <is>
          <t>35</t>
        </is>
      </c>
      <c r="D1746" s="5" t="inlineStr">
        <is>
          <t>Married</t>
        </is>
      </c>
      <c r="E1746" s="5" t="inlineStr">
        <is>
          <t>Bachelor</t>
        </is>
      </c>
      <c r="F1746" s="5" t="inlineStr">
        <is>
          <t>IT</t>
        </is>
      </c>
      <c r="G1746" s="5" t="inlineStr">
        <is>
          <t>Data Analyst</t>
        </is>
      </c>
      <c r="H1746" s="5" t="inlineStr">
        <is>
          <t>2</t>
        </is>
      </c>
      <c r="I1746" s="5" t="inlineStr">
        <is>
          <t>Bengaluru</t>
        </is>
      </c>
      <c r="J1746" s="5" t="inlineStr">
        <is>
          <t>Full-Time</t>
        </is>
      </c>
      <c r="K1746" s="7" t="n">
        <v>45436</v>
      </c>
      <c r="L1746" s="7" t="inlineStr"/>
      <c r="M1746" s="5" t="inlineStr">
        <is>
          <t>Yes</t>
        </is>
      </c>
      <c r="N1746" s="5" t="inlineStr"/>
      <c r="O1746" s="8" t="inlineStr">
        <is>
          <t>168500</t>
        </is>
      </c>
      <c r="P1746" s="5" t="inlineStr">
        <is>
          <t>0</t>
        </is>
      </c>
      <c r="Q1746" s="5" t="inlineStr">
        <is>
          <t>4</t>
        </is>
      </c>
      <c r="R1746" s="5" t="inlineStr">
        <is>
          <t>5</t>
        </is>
      </c>
      <c r="S1746" s="5" t="inlineStr">
        <is>
          <t>19</t>
        </is>
      </c>
      <c r="T1746" s="5" t="inlineStr">
        <is>
          <t>0</t>
        </is>
      </c>
      <c r="U1746" s="5">
        <f>IFS(C1746&lt;30,"Under 30",C1746&lt;40,"30-39",C1746&lt;50,"40-49",TRUE,"50+")</f>
        <v/>
      </c>
      <c r="V1746" s="5">
        <f>IFS(O1746&lt;60000,"Low (&lt;60k)",O1746&lt;100000,"Mid (60-100k)",TRUE,"High (100k+)")</f>
        <v/>
      </c>
      <c r="W1746" s="5">
        <f>IF(M1746="No","Attrited","Active")</f>
        <v/>
      </c>
    </row>
    <row r="1747">
      <c r="A1747" s="5" t="inlineStr">
        <is>
          <t>E01746</t>
        </is>
      </c>
      <c r="B1747" s="5" t="inlineStr">
        <is>
          <t>Female</t>
        </is>
      </c>
      <c r="C1747" s="6" t="inlineStr">
        <is>
          <t>30</t>
        </is>
      </c>
      <c r="D1747" s="5" t="inlineStr">
        <is>
          <t>Single</t>
        </is>
      </c>
      <c r="E1747" s="5" t="inlineStr">
        <is>
          <t>PhD</t>
        </is>
      </c>
      <c r="F1747" s="5" t="inlineStr">
        <is>
          <t>Customer Support</t>
        </is>
      </c>
      <c r="G1747" s="5" t="inlineStr">
        <is>
          <t>Escalation Specialist</t>
        </is>
      </c>
      <c r="H1747" s="5" t="inlineStr">
        <is>
          <t>3</t>
        </is>
      </c>
      <c r="I1747" s="5" t="inlineStr">
        <is>
          <t>Chennai</t>
        </is>
      </c>
      <c r="J1747" s="5" t="inlineStr">
        <is>
          <t>Full-Time</t>
        </is>
      </c>
      <c r="K1747" s="7" t="n">
        <v>44822</v>
      </c>
      <c r="L1747" s="7" t="n">
        <v>44925</v>
      </c>
      <c r="M1747" s="5" t="inlineStr">
        <is>
          <t>No</t>
        </is>
      </c>
      <c r="N1747" s="5" t="inlineStr">
        <is>
          <t>Resigned</t>
        </is>
      </c>
      <c r="O1747" s="8" t="inlineStr">
        <is>
          <t>75500</t>
        </is>
      </c>
      <c r="P1747" s="5" t="inlineStr">
        <is>
          <t>5</t>
        </is>
      </c>
      <c r="Q1747" s="5" t="inlineStr">
        <is>
          <t>3</t>
        </is>
      </c>
      <c r="R1747" s="5" t="inlineStr">
        <is>
          <t>4</t>
        </is>
      </c>
      <c r="S1747" s="5" t="inlineStr">
        <is>
          <t>3</t>
        </is>
      </c>
      <c r="T1747" s="5" t="inlineStr">
        <is>
          <t>7</t>
        </is>
      </c>
      <c r="U1747" s="5">
        <f>IFS(C1747&lt;30,"Under 30",C1747&lt;40,"30-39",C1747&lt;50,"40-49",TRUE,"50+")</f>
        <v/>
      </c>
      <c r="V1747" s="5">
        <f>IFS(O1747&lt;60000,"Low (&lt;60k)",O1747&lt;100000,"Mid (60-100k)",TRUE,"High (100k+)")</f>
        <v/>
      </c>
      <c r="W1747" s="5">
        <f>IF(M1747="No","Attrited","Active")</f>
        <v/>
      </c>
    </row>
    <row r="1748">
      <c r="A1748" s="5" t="inlineStr">
        <is>
          <t>E01747</t>
        </is>
      </c>
      <c r="B1748" s="5" t="inlineStr">
        <is>
          <t>Female</t>
        </is>
      </c>
      <c r="C1748" s="6" t="inlineStr">
        <is>
          <t>38</t>
        </is>
      </c>
      <c r="D1748" s="5" t="inlineStr">
        <is>
          <t>Single</t>
        </is>
      </c>
      <c r="E1748" s="5" t="inlineStr">
        <is>
          <t>Master</t>
        </is>
      </c>
      <c r="F1748" s="5" t="inlineStr">
        <is>
          <t>Sales</t>
        </is>
      </c>
      <c r="G1748" s="5" t="inlineStr">
        <is>
          <t>Sales Executive</t>
        </is>
      </c>
      <c r="H1748" s="5" t="inlineStr">
        <is>
          <t>4</t>
        </is>
      </c>
      <c r="I1748" s="5" t="inlineStr">
        <is>
          <t>Bengaluru</t>
        </is>
      </c>
      <c r="J1748" s="5" t="inlineStr">
        <is>
          <t>Full-Time</t>
        </is>
      </c>
      <c r="K1748" s="7" t="n">
        <v>45035</v>
      </c>
      <c r="L1748" s="7" t="inlineStr"/>
      <c r="M1748" s="5" t="inlineStr">
        <is>
          <t>Yes</t>
        </is>
      </c>
      <c r="N1748" s="5" t="inlineStr"/>
      <c r="O1748" s="8" t="inlineStr">
        <is>
          <t>139500</t>
        </is>
      </c>
      <c r="P1748" s="5" t="inlineStr">
        <is>
          <t>0</t>
        </is>
      </c>
      <c r="Q1748" s="5" t="inlineStr">
        <is>
          <t>4</t>
        </is>
      </c>
      <c r="R1748" s="5" t="inlineStr">
        <is>
          <t>5</t>
        </is>
      </c>
      <c r="S1748" s="5" t="inlineStr">
        <is>
          <t>32</t>
        </is>
      </c>
      <c r="T1748" s="5" t="inlineStr">
        <is>
          <t>5</t>
        </is>
      </c>
      <c r="U1748" s="5">
        <f>IFS(C1748&lt;30,"Under 30",C1748&lt;40,"30-39",C1748&lt;50,"40-49",TRUE,"50+")</f>
        <v/>
      </c>
      <c r="V1748" s="5">
        <f>IFS(O1748&lt;60000,"Low (&lt;60k)",O1748&lt;100000,"Mid (60-100k)",TRUE,"High (100k+)")</f>
        <v/>
      </c>
      <c r="W1748" s="5">
        <f>IF(M1748="No","Attrited","Active")</f>
        <v/>
      </c>
    </row>
    <row r="1749">
      <c r="A1749" s="5" t="inlineStr">
        <is>
          <t>E01748</t>
        </is>
      </c>
      <c r="B1749" s="5" t="inlineStr">
        <is>
          <t>Male</t>
        </is>
      </c>
      <c r="C1749" s="6" t="inlineStr">
        <is>
          <t>35</t>
        </is>
      </c>
      <c r="D1749" s="5" t="inlineStr">
        <is>
          <t>Divorced</t>
        </is>
      </c>
      <c r="E1749" s="5" t="inlineStr">
        <is>
          <t>PhD</t>
        </is>
      </c>
      <c r="F1749" s="5" t="inlineStr">
        <is>
          <t>Research &amp; Development</t>
        </is>
      </c>
      <c r="G1749" s="5" t="inlineStr">
        <is>
          <t>Product Engineer</t>
        </is>
      </c>
      <c r="H1749" s="5" t="inlineStr">
        <is>
          <t>2</t>
        </is>
      </c>
      <c r="I1749" s="5" t="inlineStr">
        <is>
          <t>Mumbai</t>
        </is>
      </c>
      <c r="J1749" s="5" t="inlineStr">
        <is>
          <t>Full-Time</t>
        </is>
      </c>
      <c r="K1749" s="7" t="n">
        <v>44713</v>
      </c>
      <c r="L1749" s="7" t="inlineStr"/>
      <c r="M1749" s="5" t="inlineStr">
        <is>
          <t>Yes</t>
        </is>
      </c>
      <c r="N1749" s="5" t="inlineStr"/>
      <c r="O1749" s="8" t="inlineStr">
        <is>
          <t>175500</t>
        </is>
      </c>
      <c r="P1749" s="5" t="inlineStr">
        <is>
          <t>0</t>
        </is>
      </c>
      <c r="Q1749" s="5" t="inlineStr">
        <is>
          <t>3</t>
        </is>
      </c>
      <c r="R1749" s="5" t="inlineStr">
        <is>
          <t>6</t>
        </is>
      </c>
      <c r="S1749" s="5" t="inlineStr">
        <is>
          <t>43</t>
        </is>
      </c>
      <c r="T1749" s="5" t="inlineStr">
        <is>
          <t>0</t>
        </is>
      </c>
      <c r="U1749" s="5">
        <f>IFS(C1749&lt;30,"Under 30",C1749&lt;40,"30-39",C1749&lt;50,"40-49",TRUE,"50+")</f>
        <v/>
      </c>
      <c r="V1749" s="5">
        <f>IFS(O1749&lt;60000,"Low (&lt;60k)",O1749&lt;100000,"Mid (60-100k)",TRUE,"High (100k+)")</f>
        <v/>
      </c>
      <c r="W1749" s="5">
        <f>IF(M1749="No","Attrited","Active")</f>
        <v/>
      </c>
    </row>
    <row r="1750">
      <c r="A1750" s="5" t="inlineStr">
        <is>
          <t>E01749</t>
        </is>
      </c>
      <c r="B1750" s="5" t="inlineStr">
        <is>
          <t>Male</t>
        </is>
      </c>
      <c r="C1750" s="6" t="inlineStr">
        <is>
          <t>41</t>
        </is>
      </c>
      <c r="D1750" s="5" t="inlineStr">
        <is>
          <t>Married</t>
        </is>
      </c>
      <c r="E1750" s="5" t="inlineStr">
        <is>
          <t>Master</t>
        </is>
      </c>
      <c r="F1750" s="5" t="inlineStr">
        <is>
          <t>Operations</t>
        </is>
      </c>
      <c r="G1750" s="5" t="inlineStr">
        <is>
          <t>Logistics Coordinator</t>
        </is>
      </c>
      <c r="H1750" s="5" t="inlineStr">
        <is>
          <t>5</t>
        </is>
      </c>
      <c r="I1750" s="5" t="inlineStr">
        <is>
          <t>Remote</t>
        </is>
      </c>
      <c r="J1750" s="5" t="inlineStr">
        <is>
          <t>Full-Time</t>
        </is>
      </c>
      <c r="K1750" s="7" t="n">
        <v>45884</v>
      </c>
      <c r="L1750" s="7" t="inlineStr"/>
      <c r="M1750" s="5" t="inlineStr">
        <is>
          <t>Yes</t>
        </is>
      </c>
      <c r="N1750" s="5" t="inlineStr"/>
      <c r="O1750" s="8" t="inlineStr">
        <is>
          <t>98500</t>
        </is>
      </c>
      <c r="P1750" s="5" t="inlineStr">
        <is>
          <t>10</t>
        </is>
      </c>
      <c r="Q1750" s="5" t="inlineStr">
        <is>
          <t>1</t>
        </is>
      </c>
      <c r="R1750" s="5" t="inlineStr">
        <is>
          <t>8</t>
        </is>
      </c>
      <c r="S1750" s="5" t="inlineStr">
        <is>
          <t>4</t>
        </is>
      </c>
      <c r="T1750" s="5" t="inlineStr">
        <is>
          <t>12</t>
        </is>
      </c>
      <c r="U1750" s="5">
        <f>IFS(C1750&lt;30,"Under 30",C1750&lt;40,"30-39",C1750&lt;50,"40-49",TRUE,"50+")</f>
        <v/>
      </c>
      <c r="V1750" s="5">
        <f>IFS(O1750&lt;60000,"Low (&lt;60k)",O1750&lt;100000,"Mid (60-100k)",TRUE,"High (100k+)")</f>
        <v/>
      </c>
      <c r="W1750" s="5">
        <f>IF(M1750="No","Attrited","Active")</f>
        <v/>
      </c>
    </row>
    <row r="1751">
      <c r="A1751" s="5" t="inlineStr">
        <is>
          <t>E01750</t>
        </is>
      </c>
      <c r="B1751" s="5" t="inlineStr">
        <is>
          <t>Female</t>
        </is>
      </c>
      <c r="C1751" s="6" t="inlineStr">
        <is>
          <t>33</t>
        </is>
      </c>
      <c r="D1751" s="5" t="inlineStr">
        <is>
          <t>Married</t>
        </is>
      </c>
      <c r="E1751" s="5" t="inlineStr">
        <is>
          <t>PhD</t>
        </is>
      </c>
      <c r="F1751" s="5" t="inlineStr">
        <is>
          <t>Operations</t>
        </is>
      </c>
      <c r="G1751" s="5" t="inlineStr">
        <is>
          <t>Quality Analyst</t>
        </is>
      </c>
      <c r="H1751" s="5" t="inlineStr">
        <is>
          <t>4</t>
        </is>
      </c>
      <c r="I1751" s="5" t="inlineStr">
        <is>
          <t>Remote</t>
        </is>
      </c>
      <c r="J1751" s="5" t="inlineStr">
        <is>
          <t>Full-Time</t>
        </is>
      </c>
      <c r="K1751" s="7" t="n">
        <v>45218</v>
      </c>
      <c r="L1751" s="7" t="n">
        <v>45270</v>
      </c>
      <c r="M1751" s="5" t="inlineStr">
        <is>
          <t>No</t>
        </is>
      </c>
      <c r="N1751" s="5" t="inlineStr">
        <is>
          <t>Resigned</t>
        </is>
      </c>
      <c r="O1751" s="8" t="inlineStr">
        <is>
          <t>83500</t>
        </is>
      </c>
      <c r="P1751" s="5" t="inlineStr">
        <is>
          <t>0</t>
        </is>
      </c>
      <c r="Q1751" s="5" t="inlineStr">
        <is>
          <t>5</t>
        </is>
      </c>
      <c r="R1751" s="5" t="inlineStr">
        <is>
          <t>3</t>
        </is>
      </c>
      <c r="S1751" s="5" t="inlineStr">
        <is>
          <t>1</t>
        </is>
      </c>
      <c r="T1751" s="5" t="inlineStr">
        <is>
          <t>0</t>
        </is>
      </c>
      <c r="U1751" s="5">
        <f>IFS(C1751&lt;30,"Under 30",C1751&lt;40,"30-39",C1751&lt;50,"40-49",TRUE,"50+")</f>
        <v/>
      </c>
      <c r="V1751" s="5">
        <f>IFS(O1751&lt;60000,"Low (&lt;60k)",O1751&lt;100000,"Mid (60-100k)",TRUE,"High (100k+)")</f>
        <v/>
      </c>
      <c r="W1751" s="5">
        <f>IF(M1751="No","Attrited","Active")</f>
        <v/>
      </c>
    </row>
    <row r="1752">
      <c r="A1752" s="5" t="inlineStr">
        <is>
          <t>E01751</t>
        </is>
      </c>
      <c r="B1752" s="5" t="inlineStr">
        <is>
          <t>Female</t>
        </is>
      </c>
      <c r="C1752" s="6" t="inlineStr">
        <is>
          <t>38</t>
        </is>
      </c>
      <c r="D1752" s="5" t="inlineStr">
        <is>
          <t>Married</t>
        </is>
      </c>
      <c r="E1752" s="5" t="inlineStr">
        <is>
          <t>Master</t>
        </is>
      </c>
      <c r="F1752" s="5" t="inlineStr">
        <is>
          <t>Sales</t>
        </is>
      </c>
      <c r="G1752" s="5" t="inlineStr">
        <is>
          <t>Sales Executive</t>
        </is>
      </c>
      <c r="H1752" s="5" t="inlineStr">
        <is>
          <t>4</t>
        </is>
      </c>
      <c r="I1752" s="5" t="inlineStr">
        <is>
          <t>Hyderabad</t>
        </is>
      </c>
      <c r="J1752" s="5" t="inlineStr">
        <is>
          <t>Full-Time</t>
        </is>
      </c>
      <c r="K1752" s="7" t="n">
        <v>44635</v>
      </c>
      <c r="L1752" s="7" t="inlineStr"/>
      <c r="M1752" s="5" t="inlineStr">
        <is>
          <t>Yes</t>
        </is>
      </c>
      <c r="N1752" s="5" t="inlineStr"/>
      <c r="O1752" s="8" t="inlineStr">
        <is>
          <t>136000</t>
        </is>
      </c>
      <c r="P1752" s="5" t="inlineStr">
        <is>
          <t>20</t>
        </is>
      </c>
      <c r="Q1752" s="5" t="inlineStr">
        <is>
          <t>5</t>
        </is>
      </c>
      <c r="R1752" s="5" t="inlineStr">
        <is>
          <t>7</t>
        </is>
      </c>
      <c r="S1752" s="5" t="inlineStr">
        <is>
          <t>46</t>
        </is>
      </c>
      <c r="T1752" s="5" t="inlineStr">
        <is>
          <t>5</t>
        </is>
      </c>
      <c r="U1752" s="5">
        <f>IFS(C1752&lt;30,"Under 30",C1752&lt;40,"30-39",C1752&lt;50,"40-49",TRUE,"50+")</f>
        <v/>
      </c>
      <c r="V1752" s="5">
        <f>IFS(O1752&lt;60000,"Low (&lt;60k)",O1752&lt;100000,"Mid (60-100k)",TRUE,"High (100k+)")</f>
        <v/>
      </c>
      <c r="W1752" s="5">
        <f>IF(M1752="No","Attrited","Active")</f>
        <v/>
      </c>
    </row>
    <row r="1753">
      <c r="A1753" s="5" t="inlineStr">
        <is>
          <t>E01752</t>
        </is>
      </c>
      <c r="B1753" s="5" t="inlineStr">
        <is>
          <t>Male</t>
        </is>
      </c>
      <c r="C1753" s="6" t="inlineStr">
        <is>
          <t>43</t>
        </is>
      </c>
      <c r="D1753" s="5" t="inlineStr">
        <is>
          <t>Married</t>
        </is>
      </c>
      <c r="E1753" s="5" t="inlineStr">
        <is>
          <t>Master</t>
        </is>
      </c>
      <c r="F1753" s="5" t="inlineStr">
        <is>
          <t>Human Resources</t>
        </is>
      </c>
      <c r="G1753" s="5" t="inlineStr">
        <is>
          <t>HR Generalist</t>
        </is>
      </c>
      <c r="H1753" s="5" t="inlineStr">
        <is>
          <t>6</t>
        </is>
      </c>
      <c r="I1753" s="5" t="inlineStr">
        <is>
          <t>Mumbai</t>
        </is>
      </c>
      <c r="J1753" s="5" t="inlineStr">
        <is>
          <t>Full-Time</t>
        </is>
      </c>
      <c r="K1753" s="7" t="n">
        <v>43894</v>
      </c>
      <c r="L1753" s="7" t="inlineStr"/>
      <c r="M1753" s="5" t="inlineStr">
        <is>
          <t>Yes</t>
        </is>
      </c>
      <c r="N1753" s="5" t="inlineStr"/>
      <c r="O1753" s="8" t="inlineStr">
        <is>
          <t>133500</t>
        </is>
      </c>
      <c r="P1753" s="5" t="inlineStr">
        <is>
          <t>0</t>
        </is>
      </c>
      <c r="Q1753" s="5" t="inlineStr">
        <is>
          <t>4</t>
        </is>
      </c>
      <c r="R1753" s="5" t="inlineStr">
        <is>
          <t>3</t>
        </is>
      </c>
      <c r="S1753" s="5" t="inlineStr">
        <is>
          <t>70</t>
        </is>
      </c>
      <c r="T1753" s="5" t="inlineStr">
        <is>
          <t>3</t>
        </is>
      </c>
      <c r="U1753" s="5">
        <f>IFS(C1753&lt;30,"Under 30",C1753&lt;40,"30-39",C1753&lt;50,"40-49",TRUE,"50+")</f>
        <v/>
      </c>
      <c r="V1753" s="5">
        <f>IFS(O1753&lt;60000,"Low (&lt;60k)",O1753&lt;100000,"Mid (60-100k)",TRUE,"High (100k+)")</f>
        <v/>
      </c>
      <c r="W1753" s="5">
        <f>IF(M1753="No","Attrited","Active")</f>
        <v/>
      </c>
    </row>
    <row r="1754">
      <c r="A1754" s="5" t="inlineStr">
        <is>
          <t>E01753</t>
        </is>
      </c>
      <c r="B1754" s="5" t="inlineStr">
        <is>
          <t>Male</t>
        </is>
      </c>
      <c r="C1754" s="6" t="inlineStr">
        <is>
          <t>27</t>
        </is>
      </c>
      <c r="D1754" s="5" t="inlineStr">
        <is>
          <t>Married</t>
        </is>
      </c>
      <c r="E1754" s="5" t="inlineStr">
        <is>
          <t>Master</t>
        </is>
      </c>
      <c r="F1754" s="5" t="inlineStr">
        <is>
          <t>Sales</t>
        </is>
      </c>
      <c r="G1754" s="5" t="inlineStr">
        <is>
          <t>Sales Executive</t>
        </is>
      </c>
      <c r="H1754" s="5" t="inlineStr">
        <is>
          <t>1</t>
        </is>
      </c>
      <c r="I1754" s="5" t="inlineStr">
        <is>
          <t>Mumbai</t>
        </is>
      </c>
      <c r="J1754" s="5" t="inlineStr">
        <is>
          <t>Full-Time</t>
        </is>
      </c>
      <c r="K1754" s="7" t="n">
        <v>44925</v>
      </c>
      <c r="L1754" s="7" t="inlineStr"/>
      <c r="M1754" s="5" t="inlineStr">
        <is>
          <t>Yes</t>
        </is>
      </c>
      <c r="N1754" s="5" t="inlineStr"/>
      <c r="O1754" s="8" t="inlineStr">
        <is>
          <t>92000</t>
        </is>
      </c>
      <c r="P1754" s="5" t="inlineStr">
        <is>
          <t>0</t>
        </is>
      </c>
      <c r="Q1754" s="5" t="inlineStr">
        <is>
          <t>4</t>
        </is>
      </c>
      <c r="R1754" s="5" t="inlineStr">
        <is>
          <t>5</t>
        </is>
      </c>
      <c r="S1754" s="5" t="inlineStr">
        <is>
          <t>36</t>
        </is>
      </c>
      <c r="T1754" s="5" t="inlineStr">
        <is>
          <t>1</t>
        </is>
      </c>
      <c r="U1754" s="5">
        <f>IFS(C1754&lt;30,"Under 30",C1754&lt;40,"30-39",C1754&lt;50,"40-49",TRUE,"50+")</f>
        <v/>
      </c>
      <c r="V1754" s="5">
        <f>IFS(O1754&lt;60000,"Low (&lt;60k)",O1754&lt;100000,"Mid (60-100k)",TRUE,"High (100k+)")</f>
        <v/>
      </c>
      <c r="W1754" s="5">
        <f>IF(M1754="No","Attrited","Active")</f>
        <v/>
      </c>
    </row>
    <row r="1755">
      <c r="A1755" s="5" t="inlineStr">
        <is>
          <t>E01754</t>
        </is>
      </c>
      <c r="B1755" s="5" t="inlineStr">
        <is>
          <t>Male</t>
        </is>
      </c>
      <c r="C1755" s="6" t="inlineStr">
        <is>
          <t>39</t>
        </is>
      </c>
      <c r="D1755" s="5" t="inlineStr">
        <is>
          <t>Single</t>
        </is>
      </c>
      <c r="E1755" s="5" t="inlineStr">
        <is>
          <t>High School</t>
        </is>
      </c>
      <c r="F1755" s="5" t="inlineStr">
        <is>
          <t>Sales</t>
        </is>
      </c>
      <c r="G1755" s="5" t="inlineStr">
        <is>
          <t>Account Executive</t>
        </is>
      </c>
      <c r="H1755" s="5" t="inlineStr">
        <is>
          <t>5</t>
        </is>
      </c>
      <c r="I1755" s="5" t="inlineStr">
        <is>
          <t>Bengaluru</t>
        </is>
      </c>
      <c r="J1755" s="5" t="inlineStr">
        <is>
          <t>Full-Time</t>
        </is>
      </c>
      <c r="K1755" s="7" t="n">
        <v>45633</v>
      </c>
      <c r="L1755" s="7" t="inlineStr"/>
      <c r="M1755" s="5" t="inlineStr">
        <is>
          <t>Yes</t>
        </is>
      </c>
      <c r="N1755" s="5" t="inlineStr"/>
      <c r="O1755" s="8" t="inlineStr">
        <is>
          <t>135000</t>
        </is>
      </c>
      <c r="P1755" s="5" t="inlineStr">
        <is>
          <t>0</t>
        </is>
      </c>
      <c r="Q1755" s="5" t="inlineStr">
        <is>
          <t>3</t>
        </is>
      </c>
      <c r="R1755" s="5" t="inlineStr">
        <is>
          <t>6</t>
        </is>
      </c>
      <c r="S1755" s="5" t="inlineStr">
        <is>
          <t>12</t>
        </is>
      </c>
      <c r="T1755" s="5" t="inlineStr">
        <is>
          <t>0</t>
        </is>
      </c>
      <c r="U1755" s="5">
        <f>IFS(C1755&lt;30,"Under 30",C1755&lt;40,"30-39",C1755&lt;50,"40-49",TRUE,"50+")</f>
        <v/>
      </c>
      <c r="V1755" s="5">
        <f>IFS(O1755&lt;60000,"Low (&lt;60k)",O1755&lt;100000,"Mid (60-100k)",TRUE,"High (100k+)")</f>
        <v/>
      </c>
      <c r="W1755" s="5">
        <f>IF(M1755="No","Attrited","Active")</f>
        <v/>
      </c>
    </row>
    <row r="1756">
      <c r="A1756" s="5" t="inlineStr">
        <is>
          <t>E01755</t>
        </is>
      </c>
      <c r="B1756" s="5" t="inlineStr">
        <is>
          <t>Male</t>
        </is>
      </c>
      <c r="C1756" s="6" t="inlineStr">
        <is>
          <t>27</t>
        </is>
      </c>
      <c r="D1756" s="5" t="inlineStr">
        <is>
          <t>Single</t>
        </is>
      </c>
      <c r="E1756" s="5" t="inlineStr">
        <is>
          <t>Master</t>
        </is>
      </c>
      <c r="F1756" s="5" t="inlineStr">
        <is>
          <t>Human Resources</t>
        </is>
      </c>
      <c r="G1756" s="5" t="inlineStr">
        <is>
          <t>HR Analyst</t>
        </is>
      </c>
      <c r="H1756" s="5" t="inlineStr">
        <is>
          <t>1</t>
        </is>
      </c>
      <c r="I1756" s="5" t="inlineStr">
        <is>
          <t>Chennai</t>
        </is>
      </c>
      <c r="J1756" s="5" t="inlineStr">
        <is>
          <t>Full-Time</t>
        </is>
      </c>
      <c r="K1756" s="7" t="n">
        <v>45721</v>
      </c>
      <c r="L1756" s="7" t="inlineStr"/>
      <c r="M1756" s="5" t="inlineStr">
        <is>
          <t>Yes</t>
        </is>
      </c>
      <c r="N1756" s="5" t="inlineStr"/>
      <c r="O1756" s="8" t="inlineStr">
        <is>
          <t>90000</t>
        </is>
      </c>
      <c r="P1756" s="5" t="inlineStr">
        <is>
          <t>0</t>
        </is>
      </c>
      <c r="Q1756" s="5" t="inlineStr">
        <is>
          <t>5</t>
        </is>
      </c>
      <c r="R1756" s="5" t="inlineStr">
        <is>
          <t>4</t>
        </is>
      </c>
      <c r="S1756" s="5" t="inlineStr">
        <is>
          <t>10</t>
        </is>
      </c>
      <c r="T1756" s="5" t="inlineStr">
        <is>
          <t>5</t>
        </is>
      </c>
      <c r="U1756" s="5">
        <f>IFS(C1756&lt;30,"Under 30",C1756&lt;40,"30-39",C1756&lt;50,"40-49",TRUE,"50+")</f>
        <v/>
      </c>
      <c r="V1756" s="5">
        <f>IFS(O1756&lt;60000,"Low (&lt;60k)",O1756&lt;100000,"Mid (60-100k)",TRUE,"High (100k+)")</f>
        <v/>
      </c>
      <c r="W1756" s="5">
        <f>IF(M1756="No","Attrited","Active")</f>
        <v/>
      </c>
    </row>
    <row r="1757">
      <c r="A1757" s="5" t="inlineStr">
        <is>
          <t>E01756</t>
        </is>
      </c>
      <c r="B1757" s="5" t="inlineStr">
        <is>
          <t>Female</t>
        </is>
      </c>
      <c r="C1757" s="6" t="inlineStr">
        <is>
          <t>34</t>
        </is>
      </c>
      <c r="D1757" s="5" t="inlineStr">
        <is>
          <t>Married</t>
        </is>
      </c>
      <c r="E1757" s="5" t="inlineStr">
        <is>
          <t>Diploma</t>
        </is>
      </c>
      <c r="F1757" s="5" t="inlineStr">
        <is>
          <t>Research &amp; Development</t>
        </is>
      </c>
      <c r="G1757" s="5" t="inlineStr">
        <is>
          <t>Product Engineer</t>
        </is>
      </c>
      <c r="H1757" s="5" t="inlineStr">
        <is>
          <t>5</t>
        </is>
      </c>
      <c r="I1757" s="5" t="inlineStr">
        <is>
          <t>Remote</t>
        </is>
      </c>
      <c r="J1757" s="5" t="inlineStr">
        <is>
          <t>Full-Time</t>
        </is>
      </c>
      <c r="K1757" s="7" t="n">
        <v>45060</v>
      </c>
      <c r="L1757" s="7" t="inlineStr"/>
      <c r="M1757" s="5" t="inlineStr">
        <is>
          <t>Yes</t>
        </is>
      </c>
      <c r="N1757" s="5" t="inlineStr"/>
      <c r="O1757" s="8" t="inlineStr">
        <is>
          <t>209000</t>
        </is>
      </c>
      <c r="P1757" s="5" t="inlineStr">
        <is>
          <t>0</t>
        </is>
      </c>
      <c r="Q1757" s="5" t="inlineStr">
        <is>
          <t>3</t>
        </is>
      </c>
      <c r="R1757" s="5" t="inlineStr">
        <is>
          <t>9</t>
        </is>
      </c>
      <c r="S1757" s="5" t="inlineStr">
        <is>
          <t>32</t>
        </is>
      </c>
      <c r="T1757" s="5" t="inlineStr">
        <is>
          <t>13</t>
        </is>
      </c>
      <c r="U1757" s="5">
        <f>IFS(C1757&lt;30,"Under 30",C1757&lt;40,"30-39",C1757&lt;50,"40-49",TRUE,"50+")</f>
        <v/>
      </c>
      <c r="V1757" s="5">
        <f>IFS(O1757&lt;60000,"Low (&lt;60k)",O1757&lt;100000,"Mid (60-100k)",TRUE,"High (100k+)")</f>
        <v/>
      </c>
      <c r="W1757" s="5">
        <f>IF(M1757="No","Attrited","Active")</f>
        <v/>
      </c>
    </row>
    <row r="1758">
      <c r="A1758" s="5" t="inlineStr">
        <is>
          <t>E01757</t>
        </is>
      </c>
      <c r="B1758" s="5" t="inlineStr">
        <is>
          <t>Female</t>
        </is>
      </c>
      <c r="C1758" s="6" t="inlineStr">
        <is>
          <t>35</t>
        </is>
      </c>
      <c r="D1758" s="5" t="inlineStr">
        <is>
          <t>Married</t>
        </is>
      </c>
      <c r="E1758" s="5" t="inlineStr">
        <is>
          <t>PhD</t>
        </is>
      </c>
      <c r="F1758" s="5" t="inlineStr">
        <is>
          <t>IT</t>
        </is>
      </c>
      <c r="G1758" s="5" t="inlineStr">
        <is>
          <t>DevOps Engineer</t>
        </is>
      </c>
      <c r="H1758" s="5" t="inlineStr">
        <is>
          <t>7</t>
        </is>
      </c>
      <c r="I1758" s="5" t="inlineStr">
        <is>
          <t>Remote</t>
        </is>
      </c>
      <c r="J1758" s="5" t="inlineStr">
        <is>
          <t>Full-Time</t>
        </is>
      </c>
      <c r="K1758" s="7" t="n">
        <v>45494</v>
      </c>
      <c r="L1758" s="7" t="inlineStr"/>
      <c r="M1758" s="5" t="inlineStr">
        <is>
          <t>Yes</t>
        </is>
      </c>
      <c r="N1758" s="5" t="inlineStr"/>
      <c r="O1758" s="8" t="inlineStr">
        <is>
          <t>210500</t>
        </is>
      </c>
      <c r="P1758" s="5" t="inlineStr">
        <is>
          <t>10</t>
        </is>
      </c>
      <c r="Q1758" s="5" t="inlineStr">
        <is>
          <t>5</t>
        </is>
      </c>
      <c r="R1758" s="5" t="inlineStr">
        <is>
          <t>9</t>
        </is>
      </c>
      <c r="S1758" s="5" t="inlineStr">
        <is>
          <t>17</t>
        </is>
      </c>
      <c r="T1758" s="5" t="inlineStr">
        <is>
          <t>0</t>
        </is>
      </c>
      <c r="U1758" s="5">
        <f>IFS(C1758&lt;30,"Under 30",C1758&lt;40,"30-39",C1758&lt;50,"40-49",TRUE,"50+")</f>
        <v/>
      </c>
      <c r="V1758" s="5">
        <f>IFS(O1758&lt;60000,"Low (&lt;60k)",O1758&lt;100000,"Mid (60-100k)",TRUE,"High (100k+)")</f>
        <v/>
      </c>
      <c r="W1758" s="5">
        <f>IF(M1758="No","Attrited","Active")</f>
        <v/>
      </c>
    </row>
    <row r="1759">
      <c r="A1759" s="5" t="inlineStr">
        <is>
          <t>E01758</t>
        </is>
      </c>
      <c r="B1759" s="5" t="inlineStr">
        <is>
          <t>Female</t>
        </is>
      </c>
      <c r="C1759" s="6" t="inlineStr">
        <is>
          <t>34</t>
        </is>
      </c>
      <c r="D1759" s="5" t="inlineStr">
        <is>
          <t>Married</t>
        </is>
      </c>
      <c r="E1759" s="5" t="inlineStr">
        <is>
          <t>Master</t>
        </is>
      </c>
      <c r="F1759" s="5" t="inlineStr">
        <is>
          <t>IT</t>
        </is>
      </c>
      <c r="G1759" s="5" t="inlineStr">
        <is>
          <t>IT Support</t>
        </is>
      </c>
      <c r="H1759" s="5" t="inlineStr">
        <is>
          <t>3</t>
        </is>
      </c>
      <c r="I1759" s="5" t="inlineStr">
        <is>
          <t>Bengaluru</t>
        </is>
      </c>
      <c r="J1759" s="5" t="inlineStr">
        <is>
          <t>Full-Time</t>
        </is>
      </c>
      <c r="K1759" s="7" t="n">
        <v>44711</v>
      </c>
      <c r="L1759" s="7" t="inlineStr"/>
      <c r="M1759" s="5" t="inlineStr">
        <is>
          <t>Yes</t>
        </is>
      </c>
      <c r="N1759" s="5" t="inlineStr"/>
      <c r="O1759" s="8" t="inlineStr">
        <is>
          <t>128500</t>
        </is>
      </c>
      <c r="P1759" s="5" t="inlineStr">
        <is>
          <t>5</t>
        </is>
      </c>
      <c r="Q1759" s="5" t="inlineStr">
        <is>
          <t>3</t>
        </is>
      </c>
      <c r="R1759" s="5" t="inlineStr">
        <is>
          <t>4</t>
        </is>
      </c>
      <c r="S1759" s="5" t="inlineStr">
        <is>
          <t>43</t>
        </is>
      </c>
      <c r="T1759" s="5" t="inlineStr">
        <is>
          <t>10</t>
        </is>
      </c>
      <c r="U1759" s="5">
        <f>IFS(C1759&lt;30,"Under 30",C1759&lt;40,"30-39",C1759&lt;50,"40-49",TRUE,"50+")</f>
        <v/>
      </c>
      <c r="V1759" s="5">
        <f>IFS(O1759&lt;60000,"Low (&lt;60k)",O1759&lt;100000,"Mid (60-100k)",TRUE,"High (100k+)")</f>
        <v/>
      </c>
      <c r="W1759" s="5">
        <f>IF(M1759="No","Attrited","Active")</f>
        <v/>
      </c>
    </row>
    <row r="1760">
      <c r="A1760" s="5" t="inlineStr">
        <is>
          <t>E01759</t>
        </is>
      </c>
      <c r="B1760" s="5" t="inlineStr">
        <is>
          <t>Male</t>
        </is>
      </c>
      <c r="C1760" s="6" t="inlineStr">
        <is>
          <t>39</t>
        </is>
      </c>
      <c r="D1760" s="5" t="inlineStr">
        <is>
          <t>Single</t>
        </is>
      </c>
      <c r="E1760" s="5" t="inlineStr">
        <is>
          <t>Master</t>
        </is>
      </c>
      <c r="F1760" s="5" t="inlineStr">
        <is>
          <t>IT</t>
        </is>
      </c>
      <c r="G1760" s="5" t="inlineStr">
        <is>
          <t>Data Analyst</t>
        </is>
      </c>
      <c r="H1760" s="5" t="inlineStr">
        <is>
          <t>4</t>
        </is>
      </c>
      <c r="I1760" s="5" t="inlineStr">
        <is>
          <t>Remote</t>
        </is>
      </c>
      <c r="J1760" s="5" t="inlineStr">
        <is>
          <t>Full-Time</t>
        </is>
      </c>
      <c r="K1760" s="7" t="n">
        <v>44637</v>
      </c>
      <c r="L1760" s="7" t="inlineStr"/>
      <c r="M1760" s="5" t="inlineStr">
        <is>
          <t>Yes</t>
        </is>
      </c>
      <c r="N1760" s="5" t="inlineStr"/>
      <c r="O1760" s="8" t="inlineStr">
        <is>
          <t>202000</t>
        </is>
      </c>
      <c r="P1760" s="5" t="inlineStr">
        <is>
          <t>5</t>
        </is>
      </c>
      <c r="Q1760" s="5" t="inlineStr">
        <is>
          <t>5</t>
        </is>
      </c>
      <c r="R1760" s="5" t="inlineStr">
        <is>
          <t>2</t>
        </is>
      </c>
      <c r="S1760" s="5" t="inlineStr">
        <is>
          <t>46</t>
        </is>
      </c>
      <c r="T1760" s="5" t="inlineStr">
        <is>
          <t>7</t>
        </is>
      </c>
      <c r="U1760" s="5">
        <f>IFS(C1760&lt;30,"Under 30",C1760&lt;40,"30-39",C1760&lt;50,"40-49",TRUE,"50+")</f>
        <v/>
      </c>
      <c r="V1760" s="5">
        <f>IFS(O1760&lt;60000,"Low (&lt;60k)",O1760&lt;100000,"Mid (60-100k)",TRUE,"High (100k+)")</f>
        <v/>
      </c>
      <c r="W1760" s="5">
        <f>IF(M1760="No","Attrited","Active")</f>
        <v/>
      </c>
    </row>
    <row r="1761">
      <c r="A1761" s="5" t="inlineStr">
        <is>
          <t>E01760</t>
        </is>
      </c>
      <c r="B1761" s="5" t="inlineStr">
        <is>
          <t>Male</t>
        </is>
      </c>
      <c r="C1761" s="6" t="inlineStr">
        <is>
          <t>36</t>
        </is>
      </c>
      <c r="D1761" s="5" t="inlineStr">
        <is>
          <t>Married</t>
        </is>
      </c>
      <c r="E1761" s="5" t="inlineStr">
        <is>
          <t>High School</t>
        </is>
      </c>
      <c r="F1761" s="5" t="inlineStr">
        <is>
          <t>Operations</t>
        </is>
      </c>
      <c r="G1761" s="5" t="inlineStr">
        <is>
          <t>Quality Analyst</t>
        </is>
      </c>
      <c r="H1761" s="5" t="inlineStr">
        <is>
          <t>2</t>
        </is>
      </c>
      <c r="I1761" s="5" t="inlineStr">
        <is>
          <t>Mumbai</t>
        </is>
      </c>
      <c r="J1761" s="5" t="inlineStr">
        <is>
          <t>Full-Time</t>
        </is>
      </c>
      <c r="K1761" s="7" t="n">
        <v>44320</v>
      </c>
      <c r="L1761" s="7" t="n">
        <v>44376</v>
      </c>
      <c r="M1761" s="5" t="inlineStr">
        <is>
          <t>No</t>
        </is>
      </c>
      <c r="N1761" s="5" t="inlineStr">
        <is>
          <t>Resigned</t>
        </is>
      </c>
      <c r="O1761" s="8" t="inlineStr">
        <is>
          <t>107500</t>
        </is>
      </c>
      <c r="P1761" s="5" t="inlineStr">
        <is>
          <t>0</t>
        </is>
      </c>
      <c r="Q1761" s="5" t="inlineStr">
        <is>
          <t>5</t>
        </is>
      </c>
      <c r="R1761" s="5" t="inlineStr">
        <is>
          <t>6</t>
        </is>
      </c>
      <c r="S1761" s="5" t="inlineStr">
        <is>
          <t>1</t>
        </is>
      </c>
      <c r="T1761" s="5" t="inlineStr">
        <is>
          <t>3</t>
        </is>
      </c>
      <c r="U1761" s="5">
        <f>IFS(C1761&lt;30,"Under 30",C1761&lt;40,"30-39",C1761&lt;50,"40-49",TRUE,"50+")</f>
        <v/>
      </c>
      <c r="V1761" s="5">
        <f>IFS(O1761&lt;60000,"Low (&lt;60k)",O1761&lt;100000,"Mid (60-100k)",TRUE,"High (100k+)")</f>
        <v/>
      </c>
      <c r="W1761" s="5">
        <f>IF(M1761="No","Attrited","Active")</f>
        <v/>
      </c>
    </row>
    <row r="1762">
      <c r="A1762" s="5" t="inlineStr">
        <is>
          <t>E01761</t>
        </is>
      </c>
      <c r="B1762" s="5" t="inlineStr">
        <is>
          <t>Male</t>
        </is>
      </c>
      <c r="C1762" s="6" t="inlineStr">
        <is>
          <t>36</t>
        </is>
      </c>
      <c r="D1762" s="5" t="inlineStr">
        <is>
          <t>Married</t>
        </is>
      </c>
      <c r="E1762" s="5" t="inlineStr">
        <is>
          <t>PhD</t>
        </is>
      </c>
      <c r="F1762" s="5" t="inlineStr">
        <is>
          <t>IT</t>
        </is>
      </c>
      <c r="G1762" s="5" t="inlineStr">
        <is>
          <t>IT Support</t>
        </is>
      </c>
      <c r="H1762" s="5" t="inlineStr">
        <is>
          <t>3</t>
        </is>
      </c>
      <c r="I1762" s="5" t="inlineStr">
        <is>
          <t>Mumbai</t>
        </is>
      </c>
      <c r="J1762" s="5" t="inlineStr">
        <is>
          <t>Full-Time</t>
        </is>
      </c>
      <c r="K1762" s="7" t="n">
        <v>44423</v>
      </c>
      <c r="L1762" s="7" t="inlineStr"/>
      <c r="M1762" s="5" t="inlineStr">
        <is>
          <t>Yes</t>
        </is>
      </c>
      <c r="N1762" s="5" t="inlineStr"/>
      <c r="O1762" s="8" t="inlineStr">
        <is>
          <t>173000</t>
        </is>
      </c>
      <c r="P1762" s="5" t="inlineStr">
        <is>
          <t>20</t>
        </is>
      </c>
      <c r="Q1762" s="5" t="inlineStr">
        <is>
          <t>2</t>
        </is>
      </c>
      <c r="R1762" s="5" t="inlineStr">
        <is>
          <t>4</t>
        </is>
      </c>
      <c r="S1762" s="5" t="inlineStr">
        <is>
          <t>53</t>
        </is>
      </c>
      <c r="T1762" s="5" t="inlineStr">
        <is>
          <t>10</t>
        </is>
      </c>
      <c r="U1762" s="5">
        <f>IFS(C1762&lt;30,"Under 30",C1762&lt;40,"30-39",C1762&lt;50,"40-49",TRUE,"50+")</f>
        <v/>
      </c>
      <c r="V1762" s="5">
        <f>IFS(O1762&lt;60000,"Low (&lt;60k)",O1762&lt;100000,"Mid (60-100k)",TRUE,"High (100k+)")</f>
        <v/>
      </c>
      <c r="W1762" s="5">
        <f>IF(M1762="No","Attrited","Active")</f>
        <v/>
      </c>
    </row>
    <row r="1763">
      <c r="A1763" s="5" t="inlineStr">
        <is>
          <t>E01762</t>
        </is>
      </c>
      <c r="B1763" s="5" t="inlineStr">
        <is>
          <t>Male</t>
        </is>
      </c>
      <c r="C1763" s="6" t="inlineStr">
        <is>
          <t>35</t>
        </is>
      </c>
      <c r="D1763" s="5" t="inlineStr">
        <is>
          <t>Married</t>
        </is>
      </c>
      <c r="E1763" s="5" t="inlineStr">
        <is>
          <t>Diploma</t>
        </is>
      </c>
      <c r="F1763" s="5" t="inlineStr">
        <is>
          <t>Finance</t>
        </is>
      </c>
      <c r="G1763" s="5" t="inlineStr">
        <is>
          <t>Accountant</t>
        </is>
      </c>
      <c r="H1763" s="5" t="inlineStr">
        <is>
          <t>5</t>
        </is>
      </c>
      <c r="I1763" s="5" t="inlineStr">
        <is>
          <t>Bengaluru</t>
        </is>
      </c>
      <c r="J1763" s="5" t="inlineStr">
        <is>
          <t>Full-Time</t>
        </is>
      </c>
      <c r="K1763" s="7" t="n">
        <v>44094</v>
      </c>
      <c r="L1763" s="7" t="inlineStr"/>
      <c r="M1763" s="5" t="inlineStr">
        <is>
          <t>Yes</t>
        </is>
      </c>
      <c r="N1763" s="5" t="inlineStr"/>
      <c r="O1763" s="8" t="inlineStr">
        <is>
          <t>155000</t>
        </is>
      </c>
      <c r="P1763" s="5" t="inlineStr">
        <is>
          <t>0</t>
        </is>
      </c>
      <c r="Q1763" s="5" t="inlineStr">
        <is>
          <t>4</t>
        </is>
      </c>
      <c r="R1763" s="5" t="inlineStr">
        <is>
          <t>10</t>
        </is>
      </c>
      <c r="S1763" s="5" t="inlineStr">
        <is>
          <t>64</t>
        </is>
      </c>
      <c r="T1763" s="5" t="inlineStr">
        <is>
          <t>13</t>
        </is>
      </c>
      <c r="U1763" s="5">
        <f>IFS(C1763&lt;30,"Under 30",C1763&lt;40,"30-39",C1763&lt;50,"40-49",TRUE,"50+")</f>
        <v/>
      </c>
      <c r="V1763" s="5">
        <f>IFS(O1763&lt;60000,"Low (&lt;60k)",O1763&lt;100000,"Mid (60-100k)",TRUE,"High (100k+)")</f>
        <v/>
      </c>
      <c r="W1763" s="5">
        <f>IF(M1763="No","Attrited","Active")</f>
        <v/>
      </c>
    </row>
    <row r="1764">
      <c r="A1764" s="5" t="inlineStr">
        <is>
          <t>E01763</t>
        </is>
      </c>
      <c r="B1764" s="5" t="inlineStr">
        <is>
          <t>Male</t>
        </is>
      </c>
      <c r="C1764" s="6" t="inlineStr">
        <is>
          <t>35</t>
        </is>
      </c>
      <c r="D1764" s="5" t="inlineStr">
        <is>
          <t>Married</t>
        </is>
      </c>
      <c r="E1764" s="5" t="inlineStr">
        <is>
          <t>Master</t>
        </is>
      </c>
      <c r="F1764" s="5" t="inlineStr">
        <is>
          <t>Operations</t>
        </is>
      </c>
      <c r="G1764" s="5" t="inlineStr">
        <is>
          <t>Logistics Coordinator</t>
        </is>
      </c>
      <c r="H1764" s="5" t="inlineStr">
        <is>
          <t>3</t>
        </is>
      </c>
      <c r="I1764" s="5" t="inlineStr">
        <is>
          <t>Remote</t>
        </is>
      </c>
      <c r="J1764" s="5" t="inlineStr">
        <is>
          <t>Full-Time</t>
        </is>
      </c>
      <c r="K1764" s="7" t="n">
        <v>44622</v>
      </c>
      <c r="L1764" s="7" t="inlineStr"/>
      <c r="M1764" s="5" t="inlineStr">
        <is>
          <t>Yes</t>
        </is>
      </c>
      <c r="N1764" s="5" t="inlineStr"/>
      <c r="O1764" s="8" t="inlineStr">
        <is>
          <t>93500</t>
        </is>
      </c>
      <c r="P1764" s="5" t="inlineStr">
        <is>
          <t>5</t>
        </is>
      </c>
      <c r="Q1764" s="5" t="inlineStr">
        <is>
          <t>4</t>
        </is>
      </c>
      <c r="R1764" s="5" t="inlineStr">
        <is>
          <t>6</t>
        </is>
      </c>
      <c r="S1764" s="5" t="inlineStr">
        <is>
          <t>46</t>
        </is>
      </c>
      <c r="T1764" s="5" t="inlineStr">
        <is>
          <t>1</t>
        </is>
      </c>
      <c r="U1764" s="5">
        <f>IFS(C1764&lt;30,"Under 30",C1764&lt;40,"30-39",C1764&lt;50,"40-49",TRUE,"50+")</f>
        <v/>
      </c>
      <c r="V1764" s="5">
        <f>IFS(O1764&lt;60000,"Low (&lt;60k)",O1764&lt;100000,"Mid (60-100k)",TRUE,"High (100k+)")</f>
        <v/>
      </c>
      <c r="W1764" s="5">
        <f>IF(M1764="No","Attrited","Active")</f>
        <v/>
      </c>
    </row>
    <row r="1765">
      <c r="A1765" s="5" t="inlineStr">
        <is>
          <t>E01764</t>
        </is>
      </c>
      <c r="B1765" s="5" t="inlineStr">
        <is>
          <t>Female</t>
        </is>
      </c>
      <c r="C1765" s="6" t="inlineStr">
        <is>
          <t>34</t>
        </is>
      </c>
      <c r="D1765" s="5" t="inlineStr">
        <is>
          <t>Married</t>
        </is>
      </c>
      <c r="E1765" s="5" t="inlineStr">
        <is>
          <t>PhD</t>
        </is>
      </c>
      <c r="F1765" s="5" t="inlineStr">
        <is>
          <t>Finance</t>
        </is>
      </c>
      <c r="G1765" s="5" t="inlineStr">
        <is>
          <t>Financial Analyst</t>
        </is>
      </c>
      <c r="H1765" s="5" t="inlineStr">
        <is>
          <t>3</t>
        </is>
      </c>
      <c r="I1765" s="5" t="inlineStr">
        <is>
          <t>Chennai</t>
        </is>
      </c>
      <c r="J1765" s="5" t="inlineStr">
        <is>
          <t>Full-Time</t>
        </is>
      </c>
      <c r="K1765" s="7" t="n">
        <v>44070</v>
      </c>
      <c r="L1765" s="7" t="inlineStr"/>
      <c r="M1765" s="5" t="inlineStr">
        <is>
          <t>Yes</t>
        </is>
      </c>
      <c r="N1765" s="5" t="inlineStr"/>
      <c r="O1765" s="8" t="inlineStr">
        <is>
          <t>132000</t>
        </is>
      </c>
      <c r="P1765" s="5" t="inlineStr">
        <is>
          <t>0</t>
        </is>
      </c>
      <c r="Q1765" s="5" t="inlineStr">
        <is>
          <t>4</t>
        </is>
      </c>
      <c r="R1765" s="5" t="inlineStr">
        <is>
          <t>5</t>
        </is>
      </c>
      <c r="S1765" s="5" t="inlineStr">
        <is>
          <t>65</t>
        </is>
      </c>
      <c r="T1765" s="5" t="inlineStr">
        <is>
          <t>3</t>
        </is>
      </c>
      <c r="U1765" s="5">
        <f>IFS(C1765&lt;30,"Under 30",C1765&lt;40,"30-39",C1765&lt;50,"40-49",TRUE,"50+")</f>
        <v/>
      </c>
      <c r="V1765" s="5">
        <f>IFS(O1765&lt;60000,"Low (&lt;60k)",O1765&lt;100000,"Mid (60-100k)",TRUE,"High (100k+)")</f>
        <v/>
      </c>
      <c r="W1765" s="5">
        <f>IF(M1765="No","Attrited","Active")</f>
        <v/>
      </c>
    </row>
    <row r="1766">
      <c r="A1766" s="5" t="inlineStr">
        <is>
          <t>E01765</t>
        </is>
      </c>
      <c r="B1766" s="5" t="inlineStr">
        <is>
          <t>Female</t>
        </is>
      </c>
      <c r="C1766" s="6" t="inlineStr">
        <is>
          <t>38</t>
        </is>
      </c>
      <c r="D1766" s="5" t="inlineStr">
        <is>
          <t>Married</t>
        </is>
      </c>
      <c r="E1766" s="5" t="inlineStr">
        <is>
          <t>PhD</t>
        </is>
      </c>
      <c r="F1766" s="5" t="inlineStr">
        <is>
          <t>IT</t>
        </is>
      </c>
      <c r="G1766" s="5" t="inlineStr">
        <is>
          <t>Software Engineer</t>
        </is>
      </c>
      <c r="H1766" s="5" t="inlineStr">
        <is>
          <t>6</t>
        </is>
      </c>
      <c r="I1766" s="5" t="inlineStr">
        <is>
          <t>Hyderabad</t>
        </is>
      </c>
      <c r="J1766" s="5" t="inlineStr">
        <is>
          <t>Full-Time</t>
        </is>
      </c>
      <c r="K1766" s="7" t="n">
        <v>44019</v>
      </c>
      <c r="L1766" s="7" t="n">
        <v>44124</v>
      </c>
      <c r="M1766" s="5" t="inlineStr">
        <is>
          <t>No</t>
        </is>
      </c>
      <c r="N1766" s="5" t="inlineStr">
        <is>
          <t>Relocation</t>
        </is>
      </c>
      <c r="O1766" s="8" t="inlineStr">
        <is>
          <t>197500</t>
        </is>
      </c>
      <c r="P1766" s="5" t="inlineStr">
        <is>
          <t>20</t>
        </is>
      </c>
      <c r="Q1766" s="5" t="inlineStr">
        <is>
          <t>3</t>
        </is>
      </c>
      <c r="R1766" s="5" t="inlineStr">
        <is>
          <t>7</t>
        </is>
      </c>
      <c r="S1766" s="5" t="inlineStr">
        <is>
          <t>3</t>
        </is>
      </c>
      <c r="T1766" s="5" t="inlineStr">
        <is>
          <t>0</t>
        </is>
      </c>
      <c r="U1766" s="5">
        <f>IFS(C1766&lt;30,"Under 30",C1766&lt;40,"30-39",C1766&lt;50,"40-49",TRUE,"50+")</f>
        <v/>
      </c>
      <c r="V1766" s="5">
        <f>IFS(O1766&lt;60000,"Low (&lt;60k)",O1766&lt;100000,"Mid (60-100k)",TRUE,"High (100k+)")</f>
        <v/>
      </c>
      <c r="W1766" s="5">
        <f>IF(M1766="No","Attrited","Active")</f>
        <v/>
      </c>
    </row>
    <row r="1767">
      <c r="A1767" s="5" t="inlineStr">
        <is>
          <t>E01766</t>
        </is>
      </c>
      <c r="B1767" s="5" t="inlineStr">
        <is>
          <t>Male</t>
        </is>
      </c>
      <c r="C1767" s="6" t="inlineStr">
        <is>
          <t>31</t>
        </is>
      </c>
      <c r="D1767" s="5" t="inlineStr">
        <is>
          <t>Married</t>
        </is>
      </c>
      <c r="E1767" s="5" t="inlineStr">
        <is>
          <t>High School</t>
        </is>
      </c>
      <c r="F1767" s="5" t="inlineStr">
        <is>
          <t>Customer Support</t>
        </is>
      </c>
      <c r="G1767" s="5" t="inlineStr">
        <is>
          <t>Support Agent</t>
        </is>
      </c>
      <c r="H1767" s="5" t="inlineStr">
        <is>
          <t>5</t>
        </is>
      </c>
      <c r="I1767" s="5" t="inlineStr">
        <is>
          <t>Bengaluru</t>
        </is>
      </c>
      <c r="J1767" s="5" t="inlineStr">
        <is>
          <t>Full-Time</t>
        </is>
      </c>
      <c r="K1767" s="7" t="n">
        <v>45646</v>
      </c>
      <c r="L1767" s="7" t="inlineStr"/>
      <c r="M1767" s="5" t="inlineStr">
        <is>
          <t>Yes</t>
        </is>
      </c>
      <c r="N1767" s="5" t="inlineStr"/>
      <c r="O1767" s="8" t="inlineStr">
        <is>
          <t>102000</t>
        </is>
      </c>
      <c r="P1767" s="5" t="inlineStr">
        <is>
          <t>10</t>
        </is>
      </c>
      <c r="Q1767" s="5" t="inlineStr">
        <is>
          <t>4</t>
        </is>
      </c>
      <c r="R1767" s="5" t="inlineStr">
        <is>
          <t>3</t>
        </is>
      </c>
      <c r="S1767" s="5" t="inlineStr">
        <is>
          <t>12</t>
        </is>
      </c>
      <c r="T1767" s="5" t="inlineStr">
        <is>
          <t>0</t>
        </is>
      </c>
      <c r="U1767" s="5">
        <f>IFS(C1767&lt;30,"Under 30",C1767&lt;40,"30-39",C1767&lt;50,"40-49",TRUE,"50+")</f>
        <v/>
      </c>
      <c r="V1767" s="5">
        <f>IFS(O1767&lt;60000,"Low (&lt;60k)",O1767&lt;100000,"Mid (60-100k)",TRUE,"High (100k+)")</f>
        <v/>
      </c>
      <c r="W1767" s="5">
        <f>IF(M1767="No","Attrited","Active")</f>
        <v/>
      </c>
    </row>
    <row r="1768">
      <c r="A1768" s="5" t="inlineStr">
        <is>
          <t>E01767</t>
        </is>
      </c>
      <c r="B1768" s="5" t="inlineStr">
        <is>
          <t>Male</t>
        </is>
      </c>
      <c r="C1768" s="6" t="inlineStr">
        <is>
          <t>28</t>
        </is>
      </c>
      <c r="D1768" s="5" t="inlineStr">
        <is>
          <t>Married</t>
        </is>
      </c>
      <c r="E1768" s="5" t="inlineStr">
        <is>
          <t>Master</t>
        </is>
      </c>
      <c r="F1768" s="5" t="inlineStr">
        <is>
          <t>Finance</t>
        </is>
      </c>
      <c r="G1768" s="5" t="inlineStr">
        <is>
          <t>Credit Analyst</t>
        </is>
      </c>
      <c r="H1768" s="5" t="inlineStr">
        <is>
          <t>2</t>
        </is>
      </c>
      <c r="I1768" s="5" t="inlineStr">
        <is>
          <t>Bengaluru</t>
        </is>
      </c>
      <c r="J1768" s="5" t="inlineStr">
        <is>
          <t>Full-Time</t>
        </is>
      </c>
      <c r="K1768" s="7" t="n">
        <v>44054</v>
      </c>
      <c r="L1768" s="7" t="inlineStr"/>
      <c r="M1768" s="5" t="inlineStr">
        <is>
          <t>Yes</t>
        </is>
      </c>
      <c r="N1768" s="5" t="inlineStr"/>
      <c r="O1768" s="8" t="inlineStr">
        <is>
          <t>103000</t>
        </is>
      </c>
      <c r="P1768" s="5" t="inlineStr">
        <is>
          <t>0</t>
        </is>
      </c>
      <c r="Q1768" s="5" t="inlineStr">
        <is>
          <t>1</t>
        </is>
      </c>
      <c r="R1768" s="5" t="inlineStr">
        <is>
          <t>7</t>
        </is>
      </c>
      <c r="S1768" s="5" t="inlineStr">
        <is>
          <t>65</t>
        </is>
      </c>
      <c r="T1768" s="5" t="inlineStr">
        <is>
          <t>7</t>
        </is>
      </c>
      <c r="U1768" s="5">
        <f>IFS(C1768&lt;30,"Under 30",C1768&lt;40,"30-39",C1768&lt;50,"40-49",TRUE,"50+")</f>
        <v/>
      </c>
      <c r="V1768" s="5">
        <f>IFS(O1768&lt;60000,"Low (&lt;60k)",O1768&lt;100000,"Mid (60-100k)",TRUE,"High (100k+)")</f>
        <v/>
      </c>
      <c r="W1768" s="5">
        <f>IF(M1768="No","Attrited","Active")</f>
        <v/>
      </c>
    </row>
    <row r="1769">
      <c r="A1769" s="5" t="inlineStr">
        <is>
          <t>E01768</t>
        </is>
      </c>
      <c r="B1769" s="5" t="inlineStr">
        <is>
          <t>Male</t>
        </is>
      </c>
      <c r="C1769" s="6" t="inlineStr">
        <is>
          <t>31</t>
        </is>
      </c>
      <c r="D1769" s="5" t="inlineStr">
        <is>
          <t>Married</t>
        </is>
      </c>
      <c r="E1769" s="5" t="inlineStr">
        <is>
          <t>PhD</t>
        </is>
      </c>
      <c r="F1769" s="5" t="inlineStr">
        <is>
          <t>IT</t>
        </is>
      </c>
      <c r="G1769" s="5" t="inlineStr">
        <is>
          <t>IT Support</t>
        </is>
      </c>
      <c r="H1769" s="5" t="inlineStr">
        <is>
          <t>2</t>
        </is>
      </c>
      <c r="I1769" s="5" t="inlineStr">
        <is>
          <t>Mumbai</t>
        </is>
      </c>
      <c r="J1769" s="5" t="inlineStr">
        <is>
          <t>Contract</t>
        </is>
      </c>
      <c r="K1769" s="7" t="n">
        <v>45219</v>
      </c>
      <c r="L1769" s="7" t="n">
        <v>45278</v>
      </c>
      <c r="M1769" s="5" t="inlineStr">
        <is>
          <t>No</t>
        </is>
      </c>
      <c r="N1769" s="5" t="inlineStr">
        <is>
          <t>Performance / Termination</t>
        </is>
      </c>
      <c r="O1769" s="8" t="inlineStr">
        <is>
          <t>116000</t>
        </is>
      </c>
      <c r="P1769" s="5" t="inlineStr">
        <is>
          <t>0</t>
        </is>
      </c>
      <c r="Q1769" s="5" t="inlineStr">
        <is>
          <t>3</t>
        </is>
      </c>
      <c r="R1769" s="5" t="inlineStr">
        <is>
          <t>3</t>
        </is>
      </c>
      <c r="S1769" s="5" t="inlineStr">
        <is>
          <t>1</t>
        </is>
      </c>
      <c r="T1769" s="5" t="inlineStr">
        <is>
          <t>3</t>
        </is>
      </c>
      <c r="U1769" s="5">
        <f>IFS(C1769&lt;30,"Under 30",C1769&lt;40,"30-39",C1769&lt;50,"40-49",TRUE,"50+")</f>
        <v/>
      </c>
      <c r="V1769" s="5">
        <f>IFS(O1769&lt;60000,"Low (&lt;60k)",O1769&lt;100000,"Mid (60-100k)",TRUE,"High (100k+)")</f>
        <v/>
      </c>
      <c r="W1769" s="5">
        <f>IF(M1769="No","Attrited","Active")</f>
        <v/>
      </c>
    </row>
    <row r="1770">
      <c r="A1770" s="5" t="inlineStr">
        <is>
          <t>E01769</t>
        </is>
      </c>
      <c r="B1770" s="5" t="inlineStr">
        <is>
          <t>Male</t>
        </is>
      </c>
      <c r="C1770" s="6" t="inlineStr">
        <is>
          <t>28</t>
        </is>
      </c>
      <c r="D1770" s="5" t="inlineStr">
        <is>
          <t>Married</t>
        </is>
      </c>
      <c r="E1770" s="5" t="inlineStr">
        <is>
          <t>Diploma</t>
        </is>
      </c>
      <c r="F1770" s="5" t="inlineStr">
        <is>
          <t>Research &amp; Development</t>
        </is>
      </c>
      <c r="G1770" s="5" t="inlineStr">
        <is>
          <t>Research Scientist</t>
        </is>
      </c>
      <c r="H1770" s="5" t="inlineStr">
        <is>
          <t>3</t>
        </is>
      </c>
      <c r="I1770" s="5" t="inlineStr">
        <is>
          <t>Delhi</t>
        </is>
      </c>
      <c r="J1770" s="5" t="inlineStr">
        <is>
          <t>Full-Time</t>
        </is>
      </c>
      <c r="K1770" s="7" t="n">
        <v>45416</v>
      </c>
      <c r="L1770" s="7" t="inlineStr"/>
      <c r="M1770" s="5" t="inlineStr">
        <is>
          <t>Yes</t>
        </is>
      </c>
      <c r="N1770" s="5" t="inlineStr"/>
      <c r="O1770" s="8" t="inlineStr">
        <is>
          <t>122000</t>
        </is>
      </c>
      <c r="P1770" s="5" t="inlineStr">
        <is>
          <t>10</t>
        </is>
      </c>
      <c r="Q1770" s="5" t="inlineStr">
        <is>
          <t>3</t>
        </is>
      </c>
      <c r="R1770" s="5" t="inlineStr">
        <is>
          <t>7</t>
        </is>
      </c>
      <c r="S1770" s="5" t="inlineStr">
        <is>
          <t>20</t>
        </is>
      </c>
      <c r="T1770" s="5" t="inlineStr">
        <is>
          <t>0</t>
        </is>
      </c>
      <c r="U1770" s="5">
        <f>IFS(C1770&lt;30,"Under 30",C1770&lt;40,"30-39",C1770&lt;50,"40-49",TRUE,"50+")</f>
        <v/>
      </c>
      <c r="V1770" s="5">
        <f>IFS(O1770&lt;60000,"Low (&lt;60k)",O1770&lt;100000,"Mid (60-100k)",TRUE,"High (100k+)")</f>
        <v/>
      </c>
      <c r="W1770" s="5">
        <f>IF(M1770="No","Attrited","Active")</f>
        <v/>
      </c>
    </row>
    <row r="1771">
      <c r="A1771" s="5" t="inlineStr">
        <is>
          <t>E01770</t>
        </is>
      </c>
      <c r="B1771" s="5" t="inlineStr">
        <is>
          <t>Male</t>
        </is>
      </c>
      <c r="C1771" s="6" t="inlineStr">
        <is>
          <t>32</t>
        </is>
      </c>
      <c r="D1771" s="5" t="inlineStr">
        <is>
          <t>Married</t>
        </is>
      </c>
      <c r="E1771" s="5" t="inlineStr">
        <is>
          <t>High School</t>
        </is>
      </c>
      <c r="F1771" s="5" t="inlineStr">
        <is>
          <t>Sales</t>
        </is>
      </c>
      <c r="G1771" s="5" t="inlineStr">
        <is>
          <t>Business Development</t>
        </is>
      </c>
      <c r="H1771" s="5" t="inlineStr">
        <is>
          <t>2</t>
        </is>
      </c>
      <c r="I1771" s="5" t="inlineStr">
        <is>
          <t>Bengaluru</t>
        </is>
      </c>
      <c r="J1771" s="5" t="inlineStr">
        <is>
          <t>Full-Time</t>
        </is>
      </c>
      <c r="K1771" s="7" t="n">
        <v>45954</v>
      </c>
      <c r="L1771" s="7" t="n">
        <v>46021</v>
      </c>
      <c r="M1771" s="5" t="inlineStr">
        <is>
          <t>No</t>
        </is>
      </c>
      <c r="N1771" s="5" t="inlineStr">
        <is>
          <t>Resigned</t>
        </is>
      </c>
      <c r="O1771" s="8" t="inlineStr">
        <is>
          <t>92500</t>
        </is>
      </c>
      <c r="P1771" s="5" t="inlineStr">
        <is>
          <t>0</t>
        </is>
      </c>
      <c r="Q1771" s="5" t="inlineStr">
        <is>
          <t>4</t>
        </is>
      </c>
      <c r="R1771" s="5" t="inlineStr">
        <is>
          <t>3</t>
        </is>
      </c>
      <c r="S1771" s="5" t="inlineStr">
        <is>
          <t>2</t>
        </is>
      </c>
      <c r="T1771" s="5" t="inlineStr">
        <is>
          <t>8</t>
        </is>
      </c>
      <c r="U1771" s="5">
        <f>IFS(C1771&lt;30,"Under 30",C1771&lt;40,"30-39",C1771&lt;50,"40-49",TRUE,"50+")</f>
        <v/>
      </c>
      <c r="V1771" s="5">
        <f>IFS(O1771&lt;60000,"Low (&lt;60k)",O1771&lt;100000,"Mid (60-100k)",TRUE,"High (100k+)")</f>
        <v/>
      </c>
      <c r="W1771" s="5">
        <f>IF(M1771="No","Attrited","Active")</f>
        <v/>
      </c>
    </row>
    <row r="1772">
      <c r="A1772" s="5" t="inlineStr">
        <is>
          <t>E01771</t>
        </is>
      </c>
      <c r="B1772" s="5" t="inlineStr">
        <is>
          <t>Male</t>
        </is>
      </c>
      <c r="C1772" s="6" t="inlineStr">
        <is>
          <t>32</t>
        </is>
      </c>
      <c r="D1772" s="5" t="inlineStr">
        <is>
          <t>Single</t>
        </is>
      </c>
      <c r="E1772" s="5" t="inlineStr">
        <is>
          <t>High School</t>
        </is>
      </c>
      <c r="F1772" s="5" t="inlineStr">
        <is>
          <t>Sales</t>
        </is>
      </c>
      <c r="G1772" s="5" t="inlineStr">
        <is>
          <t>Business Development</t>
        </is>
      </c>
      <c r="H1772" s="5" t="inlineStr">
        <is>
          <t>2</t>
        </is>
      </c>
      <c r="I1772" s="5" t="inlineStr">
        <is>
          <t>Bengaluru</t>
        </is>
      </c>
      <c r="J1772" s="5" t="inlineStr">
        <is>
          <t>Full-Time</t>
        </is>
      </c>
      <c r="K1772" s="7" t="n">
        <v>43921</v>
      </c>
      <c r="L1772" s="7" t="n">
        <v>44039</v>
      </c>
      <c r="M1772" s="5" t="inlineStr">
        <is>
          <t>No</t>
        </is>
      </c>
      <c r="N1772" s="5" t="inlineStr">
        <is>
          <t>Layoff</t>
        </is>
      </c>
      <c r="O1772" s="8" t="inlineStr">
        <is>
          <t>89500</t>
        </is>
      </c>
      <c r="P1772" s="5" t="inlineStr">
        <is>
          <t>20</t>
        </is>
      </c>
      <c r="Q1772" s="5" t="inlineStr">
        <is>
          <t>4</t>
        </is>
      </c>
      <c r="R1772" s="5" t="inlineStr">
        <is>
          <t>6</t>
        </is>
      </c>
      <c r="S1772" s="5" t="inlineStr">
        <is>
          <t>3</t>
        </is>
      </c>
      <c r="T1772" s="5" t="inlineStr">
        <is>
          <t>5</t>
        </is>
      </c>
      <c r="U1772" s="5">
        <f>IFS(C1772&lt;30,"Under 30",C1772&lt;40,"30-39",C1772&lt;50,"40-49",TRUE,"50+")</f>
        <v/>
      </c>
      <c r="V1772" s="5">
        <f>IFS(O1772&lt;60000,"Low (&lt;60k)",O1772&lt;100000,"Mid (60-100k)",TRUE,"High (100k+)")</f>
        <v/>
      </c>
      <c r="W1772" s="5">
        <f>IF(M1772="No","Attrited","Active")</f>
        <v/>
      </c>
    </row>
    <row r="1773">
      <c r="A1773" s="5" t="inlineStr">
        <is>
          <t>E01772</t>
        </is>
      </c>
      <c r="B1773" s="5" t="inlineStr">
        <is>
          <t>Male</t>
        </is>
      </c>
      <c r="C1773" s="6" t="inlineStr">
        <is>
          <t>32</t>
        </is>
      </c>
      <c r="D1773" s="5" t="inlineStr">
        <is>
          <t>Divorced</t>
        </is>
      </c>
      <c r="E1773" s="5" t="inlineStr">
        <is>
          <t>High School</t>
        </is>
      </c>
      <c r="F1773" s="5" t="inlineStr">
        <is>
          <t>Operations</t>
        </is>
      </c>
      <c r="G1773" s="5" t="inlineStr">
        <is>
          <t>Quality Analyst</t>
        </is>
      </c>
      <c r="H1773" s="5" t="inlineStr">
        <is>
          <t>2</t>
        </is>
      </c>
      <c r="I1773" s="5" t="inlineStr">
        <is>
          <t>Mumbai</t>
        </is>
      </c>
      <c r="J1773" s="5" t="inlineStr">
        <is>
          <t>Full-Time</t>
        </is>
      </c>
      <c r="K1773" s="7" t="n">
        <v>45728</v>
      </c>
      <c r="L1773" s="7" t="inlineStr"/>
      <c r="M1773" s="5" t="inlineStr">
        <is>
          <t>Yes</t>
        </is>
      </c>
      <c r="N1773" s="5" t="inlineStr"/>
      <c r="O1773" s="8" t="inlineStr">
        <is>
          <t>109000</t>
        </is>
      </c>
      <c r="P1773" s="5" t="inlineStr">
        <is>
          <t>5</t>
        </is>
      </c>
      <c r="Q1773" s="5" t="inlineStr">
        <is>
          <t>3</t>
        </is>
      </c>
      <c r="R1773" s="5" t="inlineStr">
        <is>
          <t>6</t>
        </is>
      </c>
      <c r="S1773" s="5" t="inlineStr">
        <is>
          <t>9</t>
        </is>
      </c>
      <c r="T1773" s="5" t="inlineStr">
        <is>
          <t>2</t>
        </is>
      </c>
      <c r="U1773" s="5">
        <f>IFS(C1773&lt;30,"Under 30",C1773&lt;40,"30-39",C1773&lt;50,"40-49",TRUE,"50+")</f>
        <v/>
      </c>
      <c r="V1773" s="5">
        <f>IFS(O1773&lt;60000,"Low (&lt;60k)",O1773&lt;100000,"Mid (60-100k)",TRUE,"High (100k+)")</f>
        <v/>
      </c>
      <c r="W1773" s="5">
        <f>IF(M1773="No","Attrited","Active")</f>
        <v/>
      </c>
    </row>
    <row r="1774">
      <c r="A1774" s="5" t="inlineStr">
        <is>
          <t>E01773</t>
        </is>
      </c>
      <c r="B1774" s="5" t="inlineStr">
        <is>
          <t>Female</t>
        </is>
      </c>
      <c r="C1774" s="6" t="inlineStr">
        <is>
          <t>36</t>
        </is>
      </c>
      <c r="D1774" s="5" t="inlineStr">
        <is>
          <t>Married</t>
        </is>
      </c>
      <c r="E1774" s="5" t="inlineStr">
        <is>
          <t>Bachelor</t>
        </is>
      </c>
      <c r="F1774" s="5" t="inlineStr">
        <is>
          <t>Research &amp; Development</t>
        </is>
      </c>
      <c r="G1774" s="5" t="inlineStr">
        <is>
          <t>Data Scientist</t>
        </is>
      </c>
      <c r="H1774" s="5" t="inlineStr">
        <is>
          <t>2</t>
        </is>
      </c>
      <c r="I1774" s="5" t="inlineStr">
        <is>
          <t>Bengaluru</t>
        </is>
      </c>
      <c r="J1774" s="5" t="inlineStr">
        <is>
          <t>Full-Time</t>
        </is>
      </c>
      <c r="K1774" s="7" t="n">
        <v>44792</v>
      </c>
      <c r="L1774" s="7" t="inlineStr"/>
      <c r="M1774" s="5" t="inlineStr">
        <is>
          <t>Yes</t>
        </is>
      </c>
      <c r="N1774" s="5" t="inlineStr"/>
      <c r="O1774" s="8" t="inlineStr">
        <is>
          <t>168000</t>
        </is>
      </c>
      <c r="P1774" s="5" t="inlineStr">
        <is>
          <t>0</t>
        </is>
      </c>
      <c r="Q1774" s="5" t="inlineStr">
        <is>
          <t>3</t>
        </is>
      </c>
      <c r="R1774" s="5" t="inlineStr">
        <is>
          <t>6</t>
        </is>
      </c>
      <c r="S1774" s="5" t="inlineStr">
        <is>
          <t>41</t>
        </is>
      </c>
      <c r="T1774" s="5" t="inlineStr">
        <is>
          <t>8</t>
        </is>
      </c>
      <c r="U1774" s="5">
        <f>IFS(C1774&lt;30,"Under 30",C1774&lt;40,"30-39",C1774&lt;50,"40-49",TRUE,"50+")</f>
        <v/>
      </c>
      <c r="V1774" s="5">
        <f>IFS(O1774&lt;60000,"Low (&lt;60k)",O1774&lt;100000,"Mid (60-100k)",TRUE,"High (100k+)")</f>
        <v/>
      </c>
      <c r="W1774" s="5">
        <f>IF(M1774="No","Attrited","Active")</f>
        <v/>
      </c>
    </row>
    <row r="1775">
      <c r="A1775" s="5" t="inlineStr">
        <is>
          <t>E01774</t>
        </is>
      </c>
      <c r="B1775" s="5" t="inlineStr">
        <is>
          <t>Female</t>
        </is>
      </c>
      <c r="C1775" s="6" t="inlineStr">
        <is>
          <t>37</t>
        </is>
      </c>
      <c r="D1775" s="5" t="inlineStr">
        <is>
          <t>Married</t>
        </is>
      </c>
      <c r="E1775" s="5" t="inlineStr">
        <is>
          <t>Master</t>
        </is>
      </c>
      <c r="F1775" s="5" t="inlineStr">
        <is>
          <t>Operations</t>
        </is>
      </c>
      <c r="G1775" s="5" t="inlineStr">
        <is>
          <t>Operations Analyst</t>
        </is>
      </c>
      <c r="H1775" s="5" t="inlineStr">
        <is>
          <t>3</t>
        </is>
      </c>
      <c r="I1775" s="5" t="inlineStr">
        <is>
          <t>Delhi</t>
        </is>
      </c>
      <c r="J1775" s="5" t="inlineStr">
        <is>
          <t>Full-Time</t>
        </is>
      </c>
      <c r="K1775" s="7" t="n">
        <v>44512</v>
      </c>
      <c r="L1775" s="7" t="inlineStr"/>
      <c r="M1775" s="5" t="inlineStr">
        <is>
          <t>Yes</t>
        </is>
      </c>
      <c r="N1775" s="5" t="inlineStr"/>
      <c r="O1775" s="8" t="inlineStr">
        <is>
          <t>77000</t>
        </is>
      </c>
      <c r="P1775" s="5" t="inlineStr">
        <is>
          <t>20</t>
        </is>
      </c>
      <c r="Q1775" s="5" t="inlineStr">
        <is>
          <t>5</t>
        </is>
      </c>
      <c r="R1775" s="5" t="inlineStr">
        <is>
          <t>7</t>
        </is>
      </c>
      <c r="S1775" s="5" t="inlineStr">
        <is>
          <t>50</t>
        </is>
      </c>
      <c r="T1775" s="5" t="inlineStr">
        <is>
          <t>10</t>
        </is>
      </c>
      <c r="U1775" s="5">
        <f>IFS(C1775&lt;30,"Under 30",C1775&lt;40,"30-39",C1775&lt;50,"40-49",TRUE,"50+")</f>
        <v/>
      </c>
      <c r="V1775" s="5">
        <f>IFS(O1775&lt;60000,"Low (&lt;60k)",O1775&lt;100000,"Mid (60-100k)",TRUE,"High (100k+)")</f>
        <v/>
      </c>
      <c r="W1775" s="5">
        <f>IF(M1775="No","Attrited","Active")</f>
        <v/>
      </c>
    </row>
    <row r="1776">
      <c r="A1776" s="5" t="inlineStr">
        <is>
          <t>E01775</t>
        </is>
      </c>
      <c r="B1776" s="5" t="inlineStr">
        <is>
          <t>Female</t>
        </is>
      </c>
      <c r="C1776" s="6" t="inlineStr">
        <is>
          <t>27</t>
        </is>
      </c>
      <c r="D1776" s="5" t="inlineStr">
        <is>
          <t>Married</t>
        </is>
      </c>
      <c r="E1776" s="5" t="inlineStr">
        <is>
          <t>Master</t>
        </is>
      </c>
      <c r="F1776" s="5" t="inlineStr">
        <is>
          <t>IT</t>
        </is>
      </c>
      <c r="G1776" s="5" t="inlineStr">
        <is>
          <t>IT Support</t>
        </is>
      </c>
      <c r="H1776" s="5" t="inlineStr">
        <is>
          <t>3</t>
        </is>
      </c>
      <c r="I1776" s="5" t="inlineStr">
        <is>
          <t>Remote</t>
        </is>
      </c>
      <c r="J1776" s="5" t="inlineStr">
        <is>
          <t>Full-Time</t>
        </is>
      </c>
      <c r="K1776" s="7" t="n">
        <v>44538</v>
      </c>
      <c r="L1776" s="7" t="inlineStr"/>
      <c r="M1776" s="5" t="inlineStr">
        <is>
          <t>Yes</t>
        </is>
      </c>
      <c r="N1776" s="5" t="inlineStr"/>
      <c r="O1776" s="8" t="inlineStr">
        <is>
          <t>145500</t>
        </is>
      </c>
      <c r="P1776" s="5" t="inlineStr">
        <is>
          <t>5</t>
        </is>
      </c>
      <c r="Q1776" s="5" t="inlineStr">
        <is>
          <t>3</t>
        </is>
      </c>
      <c r="R1776" s="5" t="inlineStr">
        <is>
          <t>7</t>
        </is>
      </c>
      <c r="S1776" s="5" t="inlineStr">
        <is>
          <t>49</t>
        </is>
      </c>
      <c r="T1776" s="5" t="inlineStr">
        <is>
          <t>1</t>
        </is>
      </c>
      <c r="U1776" s="5">
        <f>IFS(C1776&lt;30,"Under 30",C1776&lt;40,"30-39",C1776&lt;50,"40-49",TRUE,"50+")</f>
        <v/>
      </c>
      <c r="V1776" s="5">
        <f>IFS(O1776&lt;60000,"Low (&lt;60k)",O1776&lt;100000,"Mid (60-100k)",TRUE,"High (100k+)")</f>
        <v/>
      </c>
      <c r="W1776" s="5">
        <f>IF(M1776="No","Attrited","Active")</f>
        <v/>
      </c>
    </row>
    <row r="1777">
      <c r="A1777" s="5" t="inlineStr">
        <is>
          <t>E01776</t>
        </is>
      </c>
      <c r="B1777" s="5" t="inlineStr">
        <is>
          <t>Female</t>
        </is>
      </c>
      <c r="C1777" s="6" t="inlineStr">
        <is>
          <t>30</t>
        </is>
      </c>
      <c r="D1777" s="5" t="inlineStr">
        <is>
          <t>Married</t>
        </is>
      </c>
      <c r="E1777" s="5" t="inlineStr">
        <is>
          <t>High School</t>
        </is>
      </c>
      <c r="F1777" s="5" t="inlineStr">
        <is>
          <t>Marketing</t>
        </is>
      </c>
      <c r="G1777" s="5" t="inlineStr">
        <is>
          <t>SEO Specialist</t>
        </is>
      </c>
      <c r="H1777" s="5" t="inlineStr">
        <is>
          <t>4</t>
        </is>
      </c>
      <c r="I1777" s="5" t="inlineStr">
        <is>
          <t>Hyderabad</t>
        </is>
      </c>
      <c r="J1777" s="5" t="inlineStr">
        <is>
          <t>Full-Time</t>
        </is>
      </c>
      <c r="K1777" s="7" t="n">
        <v>44133</v>
      </c>
      <c r="L1777" s="7" t="inlineStr"/>
      <c r="M1777" s="5" t="inlineStr">
        <is>
          <t>Yes</t>
        </is>
      </c>
      <c r="N1777" s="5" t="inlineStr"/>
      <c r="O1777" s="8" t="inlineStr">
        <is>
          <t>129500</t>
        </is>
      </c>
      <c r="P1777" s="5" t="inlineStr">
        <is>
          <t>10</t>
        </is>
      </c>
      <c r="Q1777" s="5" t="inlineStr">
        <is>
          <t>3</t>
        </is>
      </c>
      <c r="R1777" s="5" t="inlineStr">
        <is>
          <t>4</t>
        </is>
      </c>
      <c r="S1777" s="5" t="inlineStr">
        <is>
          <t>62</t>
        </is>
      </c>
      <c r="T1777" s="5" t="inlineStr">
        <is>
          <t>5</t>
        </is>
      </c>
      <c r="U1777" s="5">
        <f>IFS(C1777&lt;30,"Under 30",C1777&lt;40,"30-39",C1777&lt;50,"40-49",TRUE,"50+")</f>
        <v/>
      </c>
      <c r="V1777" s="5">
        <f>IFS(O1777&lt;60000,"Low (&lt;60k)",O1777&lt;100000,"Mid (60-100k)",TRUE,"High (100k+)")</f>
        <v/>
      </c>
      <c r="W1777" s="5">
        <f>IF(M1777="No","Attrited","Active")</f>
        <v/>
      </c>
    </row>
    <row r="1778">
      <c r="A1778" s="5" t="inlineStr">
        <is>
          <t>E01777</t>
        </is>
      </c>
      <c r="B1778" s="5" t="inlineStr">
        <is>
          <t>Female</t>
        </is>
      </c>
      <c r="C1778" s="6" t="inlineStr">
        <is>
          <t>38</t>
        </is>
      </c>
      <c r="D1778" s="5" t="inlineStr">
        <is>
          <t>Single</t>
        </is>
      </c>
      <c r="E1778" s="5" t="inlineStr">
        <is>
          <t>Diploma</t>
        </is>
      </c>
      <c r="F1778" s="5" t="inlineStr">
        <is>
          <t>Sales</t>
        </is>
      </c>
      <c r="G1778" s="5" t="inlineStr">
        <is>
          <t>Account Executive</t>
        </is>
      </c>
      <c r="H1778" s="5" t="inlineStr">
        <is>
          <t>3</t>
        </is>
      </c>
      <c r="I1778" s="5" t="inlineStr">
        <is>
          <t>Mumbai</t>
        </is>
      </c>
      <c r="J1778" s="5" t="inlineStr">
        <is>
          <t>Full-Time</t>
        </is>
      </c>
      <c r="K1778" s="7" t="n">
        <v>45066</v>
      </c>
      <c r="L1778" s="7" t="inlineStr"/>
      <c r="M1778" s="5" t="inlineStr">
        <is>
          <t>Yes</t>
        </is>
      </c>
      <c r="N1778" s="5" t="inlineStr"/>
      <c r="O1778" s="8" t="inlineStr">
        <is>
          <t>91000</t>
        </is>
      </c>
      <c r="P1778" s="5" t="inlineStr">
        <is>
          <t>15</t>
        </is>
      </c>
      <c r="Q1778" s="5" t="inlineStr">
        <is>
          <t>3</t>
        </is>
      </c>
      <c r="R1778" s="5" t="inlineStr">
        <is>
          <t>6</t>
        </is>
      </c>
      <c r="S1778" s="5" t="inlineStr">
        <is>
          <t>31</t>
        </is>
      </c>
      <c r="T1778" s="5" t="inlineStr">
        <is>
          <t>0</t>
        </is>
      </c>
      <c r="U1778" s="5">
        <f>IFS(C1778&lt;30,"Under 30",C1778&lt;40,"30-39",C1778&lt;50,"40-49",TRUE,"50+")</f>
        <v/>
      </c>
      <c r="V1778" s="5">
        <f>IFS(O1778&lt;60000,"Low (&lt;60k)",O1778&lt;100000,"Mid (60-100k)",TRUE,"High (100k+)")</f>
        <v/>
      </c>
      <c r="W1778" s="5">
        <f>IF(M1778="No","Attrited","Active")</f>
        <v/>
      </c>
    </row>
    <row r="1779">
      <c r="A1779" s="5" t="inlineStr">
        <is>
          <t>E01778</t>
        </is>
      </c>
      <c r="B1779" s="5" t="inlineStr">
        <is>
          <t>Male</t>
        </is>
      </c>
      <c r="C1779" s="6" t="inlineStr">
        <is>
          <t>32</t>
        </is>
      </c>
      <c r="D1779" s="5" t="inlineStr">
        <is>
          <t>Single</t>
        </is>
      </c>
      <c r="E1779" s="5" t="inlineStr">
        <is>
          <t>PhD</t>
        </is>
      </c>
      <c r="F1779" s="5" t="inlineStr">
        <is>
          <t>Operations</t>
        </is>
      </c>
      <c r="G1779" s="5" t="inlineStr">
        <is>
          <t>Logistics Coordinator</t>
        </is>
      </c>
      <c r="H1779" s="5" t="inlineStr">
        <is>
          <t>3</t>
        </is>
      </c>
      <c r="I1779" s="5" t="inlineStr">
        <is>
          <t>Remote</t>
        </is>
      </c>
      <c r="J1779" s="5" t="inlineStr">
        <is>
          <t>Part-Time</t>
        </is>
      </c>
      <c r="K1779" s="7" t="n">
        <v>44207</v>
      </c>
      <c r="L1779" s="7" t="inlineStr"/>
      <c r="M1779" s="5" t="inlineStr">
        <is>
          <t>Yes</t>
        </is>
      </c>
      <c r="N1779" s="5" t="inlineStr"/>
      <c r="O1779" s="8" t="inlineStr">
        <is>
          <t>78000</t>
        </is>
      </c>
      <c r="P1779" s="5" t="inlineStr">
        <is>
          <t>0</t>
        </is>
      </c>
      <c r="Q1779" s="5" t="inlineStr">
        <is>
          <t>4</t>
        </is>
      </c>
      <c r="R1779" s="5" t="inlineStr">
        <is>
          <t>3</t>
        </is>
      </c>
      <c r="S1779" s="5" t="inlineStr">
        <is>
          <t>60</t>
        </is>
      </c>
      <c r="T1779" s="5" t="inlineStr">
        <is>
          <t>9</t>
        </is>
      </c>
      <c r="U1779" s="5">
        <f>IFS(C1779&lt;30,"Under 30",C1779&lt;40,"30-39",C1779&lt;50,"40-49",TRUE,"50+")</f>
        <v/>
      </c>
      <c r="V1779" s="5">
        <f>IFS(O1779&lt;60000,"Low (&lt;60k)",O1779&lt;100000,"Mid (60-100k)",TRUE,"High (100k+)")</f>
        <v/>
      </c>
      <c r="W1779" s="5">
        <f>IF(M1779="No","Attrited","Active")</f>
        <v/>
      </c>
    </row>
    <row r="1780">
      <c r="A1780" s="5" t="inlineStr">
        <is>
          <t>E01779</t>
        </is>
      </c>
      <c r="B1780" s="5" t="inlineStr">
        <is>
          <t>Male</t>
        </is>
      </c>
      <c r="C1780" s="6" t="inlineStr">
        <is>
          <t>32</t>
        </is>
      </c>
      <c r="D1780" s="5" t="inlineStr">
        <is>
          <t>Married</t>
        </is>
      </c>
      <c r="E1780" s="5" t="inlineStr">
        <is>
          <t>High School</t>
        </is>
      </c>
      <c r="F1780" s="5" t="inlineStr">
        <is>
          <t>IT</t>
        </is>
      </c>
      <c r="G1780" s="5" t="inlineStr">
        <is>
          <t>IT Support</t>
        </is>
      </c>
      <c r="H1780" s="5" t="inlineStr">
        <is>
          <t>2</t>
        </is>
      </c>
      <c r="I1780" s="5" t="inlineStr">
        <is>
          <t>Chennai</t>
        </is>
      </c>
      <c r="J1780" s="5" t="inlineStr">
        <is>
          <t>Full-Time</t>
        </is>
      </c>
      <c r="K1780" s="7" t="n">
        <v>45323</v>
      </c>
      <c r="L1780" s="7" t="inlineStr"/>
      <c r="M1780" s="5" t="inlineStr">
        <is>
          <t>Yes</t>
        </is>
      </c>
      <c r="N1780" s="5" t="inlineStr"/>
      <c r="O1780" s="8" t="inlineStr">
        <is>
          <t>107500</t>
        </is>
      </c>
      <c r="P1780" s="5" t="inlineStr">
        <is>
          <t>5</t>
        </is>
      </c>
      <c r="Q1780" s="5" t="inlineStr">
        <is>
          <t>4</t>
        </is>
      </c>
      <c r="R1780" s="5" t="inlineStr">
        <is>
          <t>7</t>
        </is>
      </c>
      <c r="S1780" s="5" t="inlineStr">
        <is>
          <t>23</t>
        </is>
      </c>
      <c r="T1780" s="5" t="inlineStr">
        <is>
          <t>4</t>
        </is>
      </c>
      <c r="U1780" s="5">
        <f>IFS(C1780&lt;30,"Under 30",C1780&lt;40,"30-39",C1780&lt;50,"40-49",TRUE,"50+")</f>
        <v/>
      </c>
      <c r="V1780" s="5">
        <f>IFS(O1780&lt;60000,"Low (&lt;60k)",O1780&lt;100000,"Mid (60-100k)",TRUE,"High (100k+)")</f>
        <v/>
      </c>
      <c r="W1780" s="5">
        <f>IF(M1780="No","Attrited","Active")</f>
        <v/>
      </c>
    </row>
    <row r="1781">
      <c r="A1781" s="5" t="inlineStr">
        <is>
          <t>E01780</t>
        </is>
      </c>
      <c r="B1781" s="5" t="inlineStr">
        <is>
          <t>Male</t>
        </is>
      </c>
      <c r="C1781" s="6" t="inlineStr">
        <is>
          <t>40</t>
        </is>
      </c>
      <c r="D1781" s="5" t="inlineStr">
        <is>
          <t>Married</t>
        </is>
      </c>
      <c r="E1781" s="5" t="inlineStr">
        <is>
          <t>High School</t>
        </is>
      </c>
      <c r="F1781" s="5" t="inlineStr">
        <is>
          <t>Finance</t>
        </is>
      </c>
      <c r="G1781" s="5" t="inlineStr">
        <is>
          <t>Credit Analyst</t>
        </is>
      </c>
      <c r="H1781" s="5" t="inlineStr">
        <is>
          <t>7</t>
        </is>
      </c>
      <c r="I1781" s="5" t="inlineStr">
        <is>
          <t>Delhi</t>
        </is>
      </c>
      <c r="J1781" s="5" t="inlineStr">
        <is>
          <t>Full-Time</t>
        </is>
      </c>
      <c r="K1781" s="7" t="n">
        <v>44392</v>
      </c>
      <c r="L1781" s="7" t="inlineStr"/>
      <c r="M1781" s="5" t="inlineStr">
        <is>
          <t>Yes</t>
        </is>
      </c>
      <c r="N1781" s="5" t="inlineStr"/>
      <c r="O1781" s="8" t="inlineStr">
        <is>
          <t>162500</t>
        </is>
      </c>
      <c r="P1781" s="5" t="inlineStr">
        <is>
          <t>5</t>
        </is>
      </c>
      <c r="Q1781" s="5" t="inlineStr">
        <is>
          <t>5</t>
        </is>
      </c>
      <c r="R1781" s="5" t="inlineStr">
        <is>
          <t>9</t>
        </is>
      </c>
      <c r="S1781" s="5" t="inlineStr">
        <is>
          <t>54</t>
        </is>
      </c>
      <c r="T1781" s="5" t="inlineStr">
        <is>
          <t>0</t>
        </is>
      </c>
      <c r="U1781" s="5">
        <f>IFS(C1781&lt;30,"Under 30",C1781&lt;40,"30-39",C1781&lt;50,"40-49",TRUE,"50+")</f>
        <v/>
      </c>
      <c r="V1781" s="5">
        <f>IFS(O1781&lt;60000,"Low (&lt;60k)",O1781&lt;100000,"Mid (60-100k)",TRUE,"High (100k+)")</f>
        <v/>
      </c>
      <c r="W1781" s="5">
        <f>IF(M1781="No","Attrited","Active")</f>
        <v/>
      </c>
    </row>
    <row r="1782">
      <c r="A1782" s="5" t="inlineStr">
        <is>
          <t>E01781</t>
        </is>
      </c>
      <c r="B1782" s="5" t="inlineStr">
        <is>
          <t>Female</t>
        </is>
      </c>
      <c r="C1782" s="6" t="inlineStr">
        <is>
          <t>24</t>
        </is>
      </c>
      <c r="D1782" s="5" t="inlineStr">
        <is>
          <t>Married</t>
        </is>
      </c>
      <c r="E1782" s="5" t="inlineStr">
        <is>
          <t>PhD</t>
        </is>
      </c>
      <c r="F1782" s="5" t="inlineStr">
        <is>
          <t>Operations</t>
        </is>
      </c>
      <c r="G1782" s="5" t="inlineStr">
        <is>
          <t>Quality Analyst</t>
        </is>
      </c>
      <c r="H1782" s="5" t="inlineStr">
        <is>
          <t>1</t>
        </is>
      </c>
      <c r="I1782" s="5" t="inlineStr">
        <is>
          <t>Remote</t>
        </is>
      </c>
      <c r="J1782" s="5" t="inlineStr">
        <is>
          <t>Full-Time</t>
        </is>
      </c>
      <c r="K1782" s="7" t="n">
        <v>45676</v>
      </c>
      <c r="L1782" s="7" t="inlineStr"/>
      <c r="M1782" s="5" t="inlineStr">
        <is>
          <t>Yes</t>
        </is>
      </c>
      <c r="N1782" s="5" t="inlineStr"/>
      <c r="O1782" s="8" t="inlineStr">
        <is>
          <t>55000</t>
        </is>
      </c>
      <c r="P1782" s="5" t="inlineStr">
        <is>
          <t>0</t>
        </is>
      </c>
      <c r="Q1782" s="5" t="inlineStr">
        <is>
          <t>4</t>
        </is>
      </c>
      <c r="R1782" s="5" t="inlineStr">
        <is>
          <t>4</t>
        </is>
      </c>
      <c r="S1782" s="5" t="inlineStr">
        <is>
          <t>11</t>
        </is>
      </c>
      <c r="T1782" s="5" t="inlineStr">
        <is>
          <t>8</t>
        </is>
      </c>
      <c r="U1782" s="5">
        <f>IFS(C1782&lt;30,"Under 30",C1782&lt;40,"30-39",C1782&lt;50,"40-49",TRUE,"50+")</f>
        <v/>
      </c>
      <c r="V1782" s="5">
        <f>IFS(O1782&lt;60000,"Low (&lt;60k)",O1782&lt;100000,"Mid (60-100k)",TRUE,"High (100k+)")</f>
        <v/>
      </c>
      <c r="W1782" s="5">
        <f>IF(M1782="No","Attrited","Active")</f>
        <v/>
      </c>
    </row>
    <row r="1783">
      <c r="A1783" s="5" t="inlineStr">
        <is>
          <t>E01782</t>
        </is>
      </c>
      <c r="B1783" s="5" t="inlineStr">
        <is>
          <t>Male</t>
        </is>
      </c>
      <c r="C1783" s="6" t="inlineStr">
        <is>
          <t>38</t>
        </is>
      </c>
      <c r="D1783" s="5" t="inlineStr">
        <is>
          <t>Married</t>
        </is>
      </c>
      <c r="E1783" s="5" t="inlineStr">
        <is>
          <t>Diploma</t>
        </is>
      </c>
      <c r="F1783" s="5" t="inlineStr">
        <is>
          <t>IT</t>
        </is>
      </c>
      <c r="G1783" s="5" t="inlineStr">
        <is>
          <t>Data Analyst</t>
        </is>
      </c>
      <c r="H1783" s="5" t="inlineStr">
        <is>
          <t>7</t>
        </is>
      </c>
      <c r="I1783" s="5" t="inlineStr">
        <is>
          <t>Chennai</t>
        </is>
      </c>
      <c r="J1783" s="5" t="inlineStr">
        <is>
          <t>Full-Time</t>
        </is>
      </c>
      <c r="K1783" s="7" t="n">
        <v>44879</v>
      </c>
      <c r="L1783" s="7" t="inlineStr"/>
      <c r="M1783" s="5" t="inlineStr">
        <is>
          <t>Yes</t>
        </is>
      </c>
      <c r="N1783" s="5" t="inlineStr"/>
      <c r="O1783" s="8" t="inlineStr">
        <is>
          <t>191000</t>
        </is>
      </c>
      <c r="P1783" s="5" t="inlineStr">
        <is>
          <t>5</t>
        </is>
      </c>
      <c r="Q1783" s="5" t="inlineStr">
        <is>
          <t>3</t>
        </is>
      </c>
      <c r="R1783" s="5" t="inlineStr">
        <is>
          <t>6</t>
        </is>
      </c>
      <c r="S1783" s="5" t="inlineStr">
        <is>
          <t>38</t>
        </is>
      </c>
      <c r="T1783" s="5" t="inlineStr">
        <is>
          <t>0</t>
        </is>
      </c>
      <c r="U1783" s="5">
        <f>IFS(C1783&lt;30,"Under 30",C1783&lt;40,"30-39",C1783&lt;50,"40-49",TRUE,"50+")</f>
        <v/>
      </c>
      <c r="V1783" s="5">
        <f>IFS(O1783&lt;60000,"Low (&lt;60k)",O1783&lt;100000,"Mid (60-100k)",TRUE,"High (100k+)")</f>
        <v/>
      </c>
      <c r="W1783" s="5">
        <f>IF(M1783="No","Attrited","Active")</f>
        <v/>
      </c>
    </row>
    <row r="1784">
      <c r="A1784" s="5" t="inlineStr">
        <is>
          <t>E01783</t>
        </is>
      </c>
      <c r="B1784" s="5" t="inlineStr">
        <is>
          <t>Male</t>
        </is>
      </c>
      <c r="C1784" s="6" t="inlineStr">
        <is>
          <t>33</t>
        </is>
      </c>
      <c r="D1784" s="5" t="inlineStr">
        <is>
          <t>Married</t>
        </is>
      </c>
      <c r="E1784" s="5" t="inlineStr">
        <is>
          <t>Master</t>
        </is>
      </c>
      <c r="F1784" s="5" t="inlineStr">
        <is>
          <t>IT</t>
        </is>
      </c>
      <c r="G1784" s="5" t="inlineStr">
        <is>
          <t>IT Support</t>
        </is>
      </c>
      <c r="H1784" s="5" t="inlineStr">
        <is>
          <t>2</t>
        </is>
      </c>
      <c r="I1784" s="5" t="inlineStr">
        <is>
          <t>Delhi</t>
        </is>
      </c>
      <c r="J1784" s="5" t="inlineStr">
        <is>
          <t>Full-Time</t>
        </is>
      </c>
      <c r="K1784" s="7" t="n">
        <v>44269</v>
      </c>
      <c r="L1784" s="7" t="inlineStr"/>
      <c r="M1784" s="5" t="inlineStr">
        <is>
          <t>Yes</t>
        </is>
      </c>
      <c r="N1784" s="5" t="inlineStr"/>
      <c r="O1784" s="8" t="inlineStr">
        <is>
          <t>152500</t>
        </is>
      </c>
      <c r="P1784" s="5" t="inlineStr">
        <is>
          <t>15</t>
        </is>
      </c>
      <c r="Q1784" s="5" t="inlineStr">
        <is>
          <t>4</t>
        </is>
      </c>
      <c r="R1784" s="5" t="inlineStr">
        <is>
          <t>8</t>
        </is>
      </c>
      <c r="S1784" s="5" t="inlineStr">
        <is>
          <t>58</t>
        </is>
      </c>
      <c r="T1784" s="5" t="inlineStr">
        <is>
          <t>11</t>
        </is>
      </c>
      <c r="U1784" s="5">
        <f>IFS(C1784&lt;30,"Under 30",C1784&lt;40,"30-39",C1784&lt;50,"40-49",TRUE,"50+")</f>
        <v/>
      </c>
      <c r="V1784" s="5">
        <f>IFS(O1784&lt;60000,"Low (&lt;60k)",O1784&lt;100000,"Mid (60-100k)",TRUE,"High (100k+)")</f>
        <v/>
      </c>
      <c r="W1784" s="5">
        <f>IF(M1784="No","Attrited","Active")</f>
        <v/>
      </c>
    </row>
    <row r="1785">
      <c r="A1785" s="5" t="inlineStr">
        <is>
          <t>E01784</t>
        </is>
      </c>
      <c r="B1785" s="5" t="inlineStr">
        <is>
          <t>Male</t>
        </is>
      </c>
      <c r="C1785" s="6" t="inlineStr">
        <is>
          <t>24</t>
        </is>
      </c>
      <c r="D1785" s="5" t="inlineStr">
        <is>
          <t>Married</t>
        </is>
      </c>
      <c r="E1785" s="5" t="inlineStr">
        <is>
          <t>Bachelor</t>
        </is>
      </c>
      <c r="F1785" s="5" t="inlineStr">
        <is>
          <t>Customer Support</t>
        </is>
      </c>
      <c r="G1785" s="5" t="inlineStr">
        <is>
          <t>Escalation Specialist</t>
        </is>
      </c>
      <c r="H1785" s="5" t="inlineStr">
        <is>
          <t>1</t>
        </is>
      </c>
      <c r="I1785" s="5" t="inlineStr">
        <is>
          <t>Remote</t>
        </is>
      </c>
      <c r="J1785" s="5" t="inlineStr">
        <is>
          <t>Full-Time</t>
        </is>
      </c>
      <c r="K1785" s="7" t="n">
        <v>43929</v>
      </c>
      <c r="L1785" s="7" t="inlineStr"/>
      <c r="M1785" s="5" t="inlineStr">
        <is>
          <t>Yes</t>
        </is>
      </c>
      <c r="N1785" s="5" t="inlineStr"/>
      <c r="O1785" s="8" t="inlineStr">
        <is>
          <t>43500</t>
        </is>
      </c>
      <c r="P1785" s="5" t="inlineStr">
        <is>
          <t>0</t>
        </is>
      </c>
      <c r="Q1785" s="5" t="inlineStr">
        <is>
          <t>3</t>
        </is>
      </c>
      <c r="R1785" s="5" t="inlineStr">
        <is>
          <t>6</t>
        </is>
      </c>
      <c r="S1785" s="5" t="inlineStr">
        <is>
          <t>69</t>
        </is>
      </c>
      <c r="T1785" s="5" t="inlineStr">
        <is>
          <t>3</t>
        </is>
      </c>
      <c r="U1785" s="5">
        <f>IFS(C1785&lt;30,"Under 30",C1785&lt;40,"30-39",C1785&lt;50,"40-49",TRUE,"50+")</f>
        <v/>
      </c>
      <c r="V1785" s="5">
        <f>IFS(O1785&lt;60000,"Low (&lt;60k)",O1785&lt;100000,"Mid (60-100k)",TRUE,"High (100k+)")</f>
        <v/>
      </c>
      <c r="W1785" s="5">
        <f>IF(M1785="No","Attrited","Active")</f>
        <v/>
      </c>
    </row>
    <row r="1786">
      <c r="A1786" s="5" t="inlineStr">
        <is>
          <t>E01785</t>
        </is>
      </c>
      <c r="B1786" s="5" t="inlineStr">
        <is>
          <t>Female</t>
        </is>
      </c>
      <c r="C1786" s="6" t="inlineStr">
        <is>
          <t>38</t>
        </is>
      </c>
      <c r="D1786" s="5" t="inlineStr">
        <is>
          <t>Single</t>
        </is>
      </c>
      <c r="E1786" s="5" t="inlineStr">
        <is>
          <t>PhD</t>
        </is>
      </c>
      <c r="F1786" s="5" t="inlineStr">
        <is>
          <t>Sales</t>
        </is>
      </c>
      <c r="G1786" s="5" t="inlineStr">
        <is>
          <t>Business Development</t>
        </is>
      </c>
      <c r="H1786" s="5" t="inlineStr">
        <is>
          <t>3</t>
        </is>
      </c>
      <c r="I1786" s="5" t="inlineStr">
        <is>
          <t>Delhi</t>
        </is>
      </c>
      <c r="J1786" s="5" t="inlineStr">
        <is>
          <t>Full-Time</t>
        </is>
      </c>
      <c r="K1786" s="7" t="n">
        <v>45881</v>
      </c>
      <c r="L1786" s="7" t="inlineStr"/>
      <c r="M1786" s="5" t="inlineStr">
        <is>
          <t>Yes</t>
        </is>
      </c>
      <c r="N1786" s="5" t="inlineStr"/>
      <c r="O1786" s="8" t="inlineStr">
        <is>
          <t>96000</t>
        </is>
      </c>
      <c r="P1786" s="5" t="inlineStr">
        <is>
          <t>10</t>
        </is>
      </c>
      <c r="Q1786" s="5" t="inlineStr">
        <is>
          <t>3</t>
        </is>
      </c>
      <c r="R1786" s="5" t="inlineStr">
        <is>
          <t>5</t>
        </is>
      </c>
      <c r="S1786" s="5" t="inlineStr">
        <is>
          <t>4</t>
        </is>
      </c>
      <c r="T1786" s="5" t="inlineStr">
        <is>
          <t>15</t>
        </is>
      </c>
      <c r="U1786" s="5">
        <f>IFS(C1786&lt;30,"Under 30",C1786&lt;40,"30-39",C1786&lt;50,"40-49",TRUE,"50+")</f>
        <v/>
      </c>
      <c r="V1786" s="5">
        <f>IFS(O1786&lt;60000,"Low (&lt;60k)",O1786&lt;100000,"Mid (60-100k)",TRUE,"High (100k+)")</f>
        <v/>
      </c>
      <c r="W1786" s="5">
        <f>IF(M1786="No","Attrited","Active")</f>
        <v/>
      </c>
    </row>
    <row r="1787">
      <c r="A1787" s="5" t="inlineStr">
        <is>
          <t>E01786</t>
        </is>
      </c>
      <c r="B1787" s="5" t="inlineStr">
        <is>
          <t>Female</t>
        </is>
      </c>
      <c r="C1787" s="6" t="inlineStr">
        <is>
          <t>35</t>
        </is>
      </c>
      <c r="D1787" s="5" t="inlineStr">
        <is>
          <t>Married</t>
        </is>
      </c>
      <c r="E1787" s="5" t="inlineStr">
        <is>
          <t>Diploma</t>
        </is>
      </c>
      <c r="F1787" s="5" t="inlineStr">
        <is>
          <t>Sales</t>
        </is>
      </c>
      <c r="G1787" s="5" t="inlineStr">
        <is>
          <t>Sales Executive</t>
        </is>
      </c>
      <c r="H1787" s="5" t="inlineStr">
        <is>
          <t>2</t>
        </is>
      </c>
      <c r="I1787" s="5" t="inlineStr">
        <is>
          <t>Mumbai</t>
        </is>
      </c>
      <c r="J1787" s="5" t="inlineStr">
        <is>
          <t>Full-Time</t>
        </is>
      </c>
      <c r="K1787" s="7" t="n">
        <v>44840</v>
      </c>
      <c r="L1787" s="7" t="inlineStr"/>
      <c r="M1787" s="5" t="inlineStr">
        <is>
          <t>Yes</t>
        </is>
      </c>
      <c r="N1787" s="5" t="inlineStr"/>
      <c r="O1787" s="8" t="inlineStr">
        <is>
          <t>94000</t>
        </is>
      </c>
      <c r="P1787" s="5" t="inlineStr">
        <is>
          <t>15</t>
        </is>
      </c>
      <c r="Q1787" s="5" t="inlineStr">
        <is>
          <t>3</t>
        </is>
      </c>
      <c r="R1787" s="5" t="inlineStr">
        <is>
          <t>6</t>
        </is>
      </c>
      <c r="S1787" s="5" t="inlineStr">
        <is>
          <t>39</t>
        </is>
      </c>
      <c r="T1787" s="5" t="inlineStr">
        <is>
          <t>10</t>
        </is>
      </c>
      <c r="U1787" s="5">
        <f>IFS(C1787&lt;30,"Under 30",C1787&lt;40,"30-39",C1787&lt;50,"40-49",TRUE,"50+")</f>
        <v/>
      </c>
      <c r="V1787" s="5">
        <f>IFS(O1787&lt;60000,"Low (&lt;60k)",O1787&lt;100000,"Mid (60-100k)",TRUE,"High (100k+)")</f>
        <v/>
      </c>
      <c r="W1787" s="5">
        <f>IF(M1787="No","Attrited","Active")</f>
        <v/>
      </c>
    </row>
    <row r="1788">
      <c r="A1788" s="5" t="inlineStr">
        <is>
          <t>E01787</t>
        </is>
      </c>
      <c r="B1788" s="5" t="inlineStr">
        <is>
          <t>Female</t>
        </is>
      </c>
      <c r="C1788" s="6" t="inlineStr">
        <is>
          <t>38</t>
        </is>
      </c>
      <c r="D1788" s="5" t="inlineStr">
        <is>
          <t>Married</t>
        </is>
      </c>
      <c r="E1788" s="5" t="inlineStr">
        <is>
          <t>Bachelor</t>
        </is>
      </c>
      <c r="F1788" s="5" t="inlineStr">
        <is>
          <t>IT</t>
        </is>
      </c>
      <c r="G1788" s="5" t="inlineStr">
        <is>
          <t>Data Analyst</t>
        </is>
      </c>
      <c r="H1788" s="5" t="inlineStr">
        <is>
          <t>3</t>
        </is>
      </c>
      <c r="I1788" s="5" t="inlineStr">
        <is>
          <t>Chennai</t>
        </is>
      </c>
      <c r="J1788" s="5" t="inlineStr">
        <is>
          <t>Full-Time</t>
        </is>
      </c>
      <c r="K1788" s="7" t="n">
        <v>43907</v>
      </c>
      <c r="L1788" s="7" t="inlineStr"/>
      <c r="M1788" s="5" t="inlineStr">
        <is>
          <t>Yes</t>
        </is>
      </c>
      <c r="N1788" s="5" t="inlineStr"/>
      <c r="O1788" s="8" t="inlineStr">
        <is>
          <t>178500</t>
        </is>
      </c>
      <c r="P1788" s="5" t="inlineStr">
        <is>
          <t>0</t>
        </is>
      </c>
      <c r="Q1788" s="5" t="inlineStr">
        <is>
          <t>5</t>
        </is>
      </c>
      <c r="R1788" s="5" t="inlineStr">
        <is>
          <t>5</t>
        </is>
      </c>
      <c r="S1788" s="5" t="inlineStr">
        <is>
          <t>70</t>
        </is>
      </c>
      <c r="T1788" s="5" t="inlineStr">
        <is>
          <t>1</t>
        </is>
      </c>
      <c r="U1788" s="5">
        <f>IFS(C1788&lt;30,"Under 30",C1788&lt;40,"30-39",C1788&lt;50,"40-49",TRUE,"50+")</f>
        <v/>
      </c>
      <c r="V1788" s="5">
        <f>IFS(O1788&lt;60000,"Low (&lt;60k)",O1788&lt;100000,"Mid (60-100k)",TRUE,"High (100k+)")</f>
        <v/>
      </c>
      <c r="W1788" s="5">
        <f>IF(M1788="No","Attrited","Active")</f>
        <v/>
      </c>
    </row>
    <row r="1789">
      <c r="A1789" s="5" t="inlineStr">
        <is>
          <t>E01788</t>
        </is>
      </c>
      <c r="B1789" s="5" t="inlineStr">
        <is>
          <t>Male</t>
        </is>
      </c>
      <c r="C1789" s="6" t="inlineStr">
        <is>
          <t>27</t>
        </is>
      </c>
      <c r="D1789" s="5" t="inlineStr">
        <is>
          <t>Divorced</t>
        </is>
      </c>
      <c r="E1789" s="5" t="inlineStr">
        <is>
          <t>High School</t>
        </is>
      </c>
      <c r="F1789" s="5" t="inlineStr">
        <is>
          <t>Executive</t>
        </is>
      </c>
      <c r="G1789" s="5" t="inlineStr">
        <is>
          <t>CEO</t>
        </is>
      </c>
      <c r="H1789" s="5" t="inlineStr">
        <is>
          <t>2</t>
        </is>
      </c>
      <c r="I1789" s="5" t="inlineStr">
        <is>
          <t>Mumbai</t>
        </is>
      </c>
      <c r="J1789" s="5" t="inlineStr">
        <is>
          <t>Full-Time</t>
        </is>
      </c>
      <c r="K1789" s="7" t="n">
        <v>43909</v>
      </c>
      <c r="L1789" s="7" t="inlineStr"/>
      <c r="M1789" s="5" t="inlineStr">
        <is>
          <t>Yes</t>
        </is>
      </c>
      <c r="N1789" s="5" t="inlineStr"/>
      <c r="O1789" s="8" t="inlineStr">
        <is>
          <t>239000</t>
        </is>
      </c>
      <c r="P1789" s="5" t="inlineStr">
        <is>
          <t>5</t>
        </is>
      </c>
      <c r="Q1789" s="5" t="inlineStr">
        <is>
          <t>2</t>
        </is>
      </c>
      <c r="R1789" s="5" t="inlineStr">
        <is>
          <t>9</t>
        </is>
      </c>
      <c r="S1789" s="5" t="inlineStr">
        <is>
          <t>70</t>
        </is>
      </c>
      <c r="T1789" s="5" t="inlineStr">
        <is>
          <t>7</t>
        </is>
      </c>
      <c r="U1789" s="5">
        <f>IFS(C1789&lt;30,"Under 30",C1789&lt;40,"30-39",C1789&lt;50,"40-49",TRUE,"50+")</f>
        <v/>
      </c>
      <c r="V1789" s="5">
        <f>IFS(O1789&lt;60000,"Low (&lt;60k)",O1789&lt;100000,"Mid (60-100k)",TRUE,"High (100k+)")</f>
        <v/>
      </c>
      <c r="W1789" s="5">
        <f>IF(M1789="No","Attrited","Active")</f>
        <v/>
      </c>
    </row>
    <row r="1790">
      <c r="A1790" s="5" t="inlineStr">
        <is>
          <t>E01789</t>
        </is>
      </c>
      <c r="B1790" s="5" t="inlineStr">
        <is>
          <t>Male</t>
        </is>
      </c>
      <c r="C1790" s="6" t="inlineStr">
        <is>
          <t>34</t>
        </is>
      </c>
      <c r="D1790" s="5" t="inlineStr">
        <is>
          <t>Married</t>
        </is>
      </c>
      <c r="E1790" s="5" t="inlineStr">
        <is>
          <t>Master</t>
        </is>
      </c>
      <c r="F1790" s="5" t="inlineStr">
        <is>
          <t>Sales</t>
        </is>
      </c>
      <c r="G1790" s="5" t="inlineStr">
        <is>
          <t>Sales Executive</t>
        </is>
      </c>
      <c r="H1790" s="5" t="inlineStr">
        <is>
          <t>6</t>
        </is>
      </c>
      <c r="I1790" s="5" t="inlineStr">
        <is>
          <t>Hyderabad</t>
        </is>
      </c>
      <c r="J1790" s="5" t="inlineStr">
        <is>
          <t>Full-Time</t>
        </is>
      </c>
      <c r="K1790" s="7" t="n">
        <v>45791</v>
      </c>
      <c r="L1790" s="7" t="inlineStr"/>
      <c r="M1790" s="5" t="inlineStr">
        <is>
          <t>Yes</t>
        </is>
      </c>
      <c r="N1790" s="5" t="inlineStr"/>
      <c r="O1790" s="8" t="inlineStr">
        <is>
          <t>131500</t>
        </is>
      </c>
      <c r="P1790" s="5" t="inlineStr">
        <is>
          <t>5</t>
        </is>
      </c>
      <c r="Q1790" s="5" t="inlineStr">
        <is>
          <t>3</t>
        </is>
      </c>
      <c r="R1790" s="5" t="inlineStr">
        <is>
          <t>4</t>
        </is>
      </c>
      <c r="S1790" s="5" t="inlineStr">
        <is>
          <t>7</t>
        </is>
      </c>
      <c r="T1790" s="5" t="inlineStr">
        <is>
          <t>7</t>
        </is>
      </c>
      <c r="U1790" s="5">
        <f>IFS(C1790&lt;30,"Under 30",C1790&lt;40,"30-39",C1790&lt;50,"40-49",TRUE,"50+")</f>
        <v/>
      </c>
      <c r="V1790" s="5">
        <f>IFS(O1790&lt;60000,"Low (&lt;60k)",O1790&lt;100000,"Mid (60-100k)",TRUE,"High (100k+)")</f>
        <v/>
      </c>
      <c r="W1790" s="5">
        <f>IF(M1790="No","Attrited","Active")</f>
        <v/>
      </c>
    </row>
    <row r="1791">
      <c r="A1791" s="5" t="inlineStr">
        <is>
          <t>E01790</t>
        </is>
      </c>
      <c r="B1791" s="5" t="inlineStr">
        <is>
          <t>Male</t>
        </is>
      </c>
      <c r="C1791" s="6" t="inlineStr">
        <is>
          <t>33</t>
        </is>
      </c>
      <c r="D1791" s="5" t="inlineStr">
        <is>
          <t>Divorced</t>
        </is>
      </c>
      <c r="E1791" s="5" t="inlineStr">
        <is>
          <t>Master</t>
        </is>
      </c>
      <c r="F1791" s="5" t="inlineStr">
        <is>
          <t>Human Resources</t>
        </is>
      </c>
      <c r="G1791" s="5" t="inlineStr">
        <is>
          <t>HR Generalist</t>
        </is>
      </c>
      <c r="H1791" s="5" t="inlineStr">
        <is>
          <t>3</t>
        </is>
      </c>
      <c r="I1791" s="5" t="inlineStr">
        <is>
          <t>Remote</t>
        </is>
      </c>
      <c r="J1791" s="5" t="inlineStr">
        <is>
          <t>Full-Time</t>
        </is>
      </c>
      <c r="K1791" s="7" t="n">
        <v>44642</v>
      </c>
      <c r="L1791" s="7" t="n">
        <v>44776</v>
      </c>
      <c r="M1791" s="5" t="inlineStr">
        <is>
          <t>No</t>
        </is>
      </c>
      <c r="N1791" s="5" t="inlineStr">
        <is>
          <t>Resigned</t>
        </is>
      </c>
      <c r="O1791" s="8" t="inlineStr">
        <is>
          <t>73000</t>
        </is>
      </c>
      <c r="P1791" s="5" t="inlineStr">
        <is>
          <t>5</t>
        </is>
      </c>
      <c r="Q1791" s="5" t="inlineStr">
        <is>
          <t>4</t>
        </is>
      </c>
      <c r="R1791" s="5" t="inlineStr">
        <is>
          <t>4</t>
        </is>
      </c>
      <c r="S1791" s="5" t="inlineStr">
        <is>
          <t>4</t>
        </is>
      </c>
      <c r="T1791" s="5" t="inlineStr">
        <is>
          <t>10</t>
        </is>
      </c>
      <c r="U1791" s="5">
        <f>IFS(C1791&lt;30,"Under 30",C1791&lt;40,"30-39",C1791&lt;50,"40-49",TRUE,"50+")</f>
        <v/>
      </c>
      <c r="V1791" s="5">
        <f>IFS(O1791&lt;60000,"Low (&lt;60k)",O1791&lt;100000,"Mid (60-100k)",TRUE,"High (100k+)")</f>
        <v/>
      </c>
      <c r="W1791" s="5">
        <f>IF(M1791="No","Attrited","Active")</f>
        <v/>
      </c>
    </row>
    <row r="1792">
      <c r="A1792" s="5" t="inlineStr">
        <is>
          <t>E01791</t>
        </is>
      </c>
      <c r="B1792" s="5" t="inlineStr">
        <is>
          <t>Male</t>
        </is>
      </c>
      <c r="C1792" s="6" t="inlineStr">
        <is>
          <t>36</t>
        </is>
      </c>
      <c r="D1792" s="5" t="inlineStr">
        <is>
          <t>Married</t>
        </is>
      </c>
      <c r="E1792" s="5" t="inlineStr">
        <is>
          <t>Bachelor</t>
        </is>
      </c>
      <c r="F1792" s="5" t="inlineStr">
        <is>
          <t>Sales</t>
        </is>
      </c>
      <c r="G1792" s="5" t="inlineStr">
        <is>
          <t>Sales Executive</t>
        </is>
      </c>
      <c r="H1792" s="5" t="inlineStr">
        <is>
          <t>2</t>
        </is>
      </c>
      <c r="I1792" s="5" t="inlineStr">
        <is>
          <t>Chennai</t>
        </is>
      </c>
      <c r="J1792" s="5" t="inlineStr">
        <is>
          <t>Full-Time</t>
        </is>
      </c>
      <c r="K1792" s="7" t="n">
        <v>44167</v>
      </c>
      <c r="L1792" s="7" t="n">
        <v>44305</v>
      </c>
      <c r="M1792" s="5" t="inlineStr">
        <is>
          <t>No</t>
        </is>
      </c>
      <c r="N1792" s="5" t="inlineStr">
        <is>
          <t>Relocation</t>
        </is>
      </c>
      <c r="O1792" s="8" t="inlineStr">
        <is>
          <t>112500</t>
        </is>
      </c>
      <c r="P1792" s="5" t="inlineStr">
        <is>
          <t>20</t>
        </is>
      </c>
      <c r="Q1792" s="5" t="inlineStr">
        <is>
          <t>3</t>
        </is>
      </c>
      <c r="R1792" s="5" t="inlineStr">
        <is>
          <t>6</t>
        </is>
      </c>
      <c r="S1792" s="5" t="inlineStr">
        <is>
          <t>4</t>
        </is>
      </c>
      <c r="T1792" s="5" t="inlineStr">
        <is>
          <t>8</t>
        </is>
      </c>
      <c r="U1792" s="5">
        <f>IFS(C1792&lt;30,"Under 30",C1792&lt;40,"30-39",C1792&lt;50,"40-49",TRUE,"50+")</f>
        <v/>
      </c>
      <c r="V1792" s="5">
        <f>IFS(O1792&lt;60000,"Low (&lt;60k)",O1792&lt;100000,"Mid (60-100k)",TRUE,"High (100k+)")</f>
        <v/>
      </c>
      <c r="W1792" s="5">
        <f>IF(M1792="No","Attrited","Active")</f>
        <v/>
      </c>
    </row>
    <row r="1793">
      <c r="A1793" s="5" t="inlineStr">
        <is>
          <t>E01792</t>
        </is>
      </c>
      <c r="B1793" s="5" t="inlineStr">
        <is>
          <t>Female</t>
        </is>
      </c>
      <c r="C1793" s="6" t="inlineStr">
        <is>
          <t>34</t>
        </is>
      </c>
      <c r="D1793" s="5" t="inlineStr">
        <is>
          <t>Married</t>
        </is>
      </c>
      <c r="E1793" s="5" t="inlineStr">
        <is>
          <t>High School</t>
        </is>
      </c>
      <c r="F1793" s="5" t="inlineStr">
        <is>
          <t>IT</t>
        </is>
      </c>
      <c r="G1793" s="5" t="inlineStr">
        <is>
          <t>Data Analyst</t>
        </is>
      </c>
      <c r="H1793" s="5" t="inlineStr">
        <is>
          <t>6</t>
        </is>
      </c>
      <c r="I1793" s="5" t="inlineStr">
        <is>
          <t>Bengaluru</t>
        </is>
      </c>
      <c r="J1793" s="5" t="inlineStr">
        <is>
          <t>Full-Time</t>
        </is>
      </c>
      <c r="K1793" s="7" t="n">
        <v>44208</v>
      </c>
      <c r="L1793" s="7" t="inlineStr"/>
      <c r="M1793" s="5" t="inlineStr">
        <is>
          <t>Yes</t>
        </is>
      </c>
      <c r="N1793" s="5" t="inlineStr"/>
      <c r="O1793" s="8" t="inlineStr">
        <is>
          <t>243500</t>
        </is>
      </c>
      <c r="P1793" s="5" t="inlineStr">
        <is>
          <t>0</t>
        </is>
      </c>
      <c r="Q1793" s="5" t="inlineStr">
        <is>
          <t>2</t>
        </is>
      </c>
      <c r="R1793" s="5" t="inlineStr">
        <is>
          <t>3</t>
        </is>
      </c>
      <c r="S1793" s="5" t="inlineStr">
        <is>
          <t>60</t>
        </is>
      </c>
      <c r="T1793" s="5" t="inlineStr">
        <is>
          <t>12</t>
        </is>
      </c>
      <c r="U1793" s="5">
        <f>IFS(C1793&lt;30,"Under 30",C1793&lt;40,"30-39",C1793&lt;50,"40-49",TRUE,"50+")</f>
        <v/>
      </c>
      <c r="V1793" s="5">
        <f>IFS(O1793&lt;60000,"Low (&lt;60k)",O1793&lt;100000,"Mid (60-100k)",TRUE,"High (100k+)")</f>
        <v/>
      </c>
      <c r="W1793" s="5">
        <f>IF(M1793="No","Attrited","Active")</f>
        <v/>
      </c>
    </row>
    <row r="1794">
      <c r="A1794" s="5" t="inlineStr">
        <is>
          <t>E01793</t>
        </is>
      </c>
      <c r="B1794" s="5" t="inlineStr">
        <is>
          <t>Male</t>
        </is>
      </c>
      <c r="C1794" s="6" t="inlineStr">
        <is>
          <t>31</t>
        </is>
      </c>
      <c r="D1794" s="5" t="inlineStr">
        <is>
          <t>Married</t>
        </is>
      </c>
      <c r="E1794" s="5" t="inlineStr">
        <is>
          <t>Master</t>
        </is>
      </c>
      <c r="F1794" s="5" t="inlineStr">
        <is>
          <t>Operations</t>
        </is>
      </c>
      <c r="G1794" s="5" t="inlineStr">
        <is>
          <t>Quality Analyst</t>
        </is>
      </c>
      <c r="H1794" s="5" t="inlineStr">
        <is>
          <t>2</t>
        </is>
      </c>
      <c r="I1794" s="5" t="inlineStr">
        <is>
          <t>Chennai</t>
        </is>
      </c>
      <c r="J1794" s="5" t="inlineStr">
        <is>
          <t>Full-Time</t>
        </is>
      </c>
      <c r="K1794" s="7" t="n">
        <v>45438</v>
      </c>
      <c r="L1794" s="7" t="inlineStr"/>
      <c r="M1794" s="5" t="inlineStr">
        <is>
          <t>Yes</t>
        </is>
      </c>
      <c r="N1794" s="5" t="inlineStr"/>
      <c r="O1794" s="8" t="inlineStr">
        <is>
          <t>78500</t>
        </is>
      </c>
      <c r="P1794" s="5" t="inlineStr">
        <is>
          <t>10</t>
        </is>
      </c>
      <c r="Q1794" s="5" t="inlineStr">
        <is>
          <t>4</t>
        </is>
      </c>
      <c r="R1794" s="5" t="inlineStr">
        <is>
          <t>7</t>
        </is>
      </c>
      <c r="S1794" s="5" t="inlineStr">
        <is>
          <t>19</t>
        </is>
      </c>
      <c r="T1794" s="5" t="inlineStr">
        <is>
          <t>0</t>
        </is>
      </c>
      <c r="U1794" s="5">
        <f>IFS(C1794&lt;30,"Under 30",C1794&lt;40,"30-39",C1794&lt;50,"40-49",TRUE,"50+")</f>
        <v/>
      </c>
      <c r="V1794" s="5">
        <f>IFS(O1794&lt;60000,"Low (&lt;60k)",O1794&lt;100000,"Mid (60-100k)",TRUE,"High (100k+)")</f>
        <v/>
      </c>
      <c r="W1794" s="5">
        <f>IF(M1794="No","Attrited","Active")</f>
        <v/>
      </c>
    </row>
    <row r="1795">
      <c r="A1795" s="5" t="inlineStr">
        <is>
          <t>E01794</t>
        </is>
      </c>
      <c r="B1795" s="5" t="inlineStr">
        <is>
          <t>Female</t>
        </is>
      </c>
      <c r="C1795" s="6" t="inlineStr">
        <is>
          <t>38</t>
        </is>
      </c>
      <c r="D1795" s="5" t="inlineStr">
        <is>
          <t>Single</t>
        </is>
      </c>
      <c r="E1795" s="5" t="inlineStr">
        <is>
          <t>Bachelor</t>
        </is>
      </c>
      <c r="F1795" s="5" t="inlineStr">
        <is>
          <t>Human Resources</t>
        </is>
      </c>
      <c r="G1795" s="5" t="inlineStr">
        <is>
          <t>Recruiter</t>
        </is>
      </c>
      <c r="H1795" s="5" t="inlineStr">
        <is>
          <t>3</t>
        </is>
      </c>
      <c r="I1795" s="5" t="inlineStr">
        <is>
          <t>Hyderabad</t>
        </is>
      </c>
      <c r="J1795" s="5" t="inlineStr">
        <is>
          <t>Part-Time</t>
        </is>
      </c>
      <c r="K1795" s="7" t="n">
        <v>45942</v>
      </c>
      <c r="L1795" s="7" t="inlineStr"/>
      <c r="M1795" s="5" t="inlineStr">
        <is>
          <t>Yes</t>
        </is>
      </c>
      <c r="N1795" s="5" t="inlineStr"/>
      <c r="O1795" s="8" t="inlineStr">
        <is>
          <t>112000</t>
        </is>
      </c>
      <c r="P1795" s="5" t="inlineStr">
        <is>
          <t>5</t>
        </is>
      </c>
      <c r="Q1795" s="5" t="inlineStr">
        <is>
          <t>4</t>
        </is>
      </c>
      <c r="R1795" s="5" t="inlineStr">
        <is>
          <t>5</t>
        </is>
      </c>
      <c r="S1795" s="5" t="inlineStr">
        <is>
          <t>2</t>
        </is>
      </c>
      <c r="T1795" s="5" t="inlineStr">
        <is>
          <t>0</t>
        </is>
      </c>
      <c r="U1795" s="5">
        <f>IFS(C1795&lt;30,"Under 30",C1795&lt;40,"30-39",C1795&lt;50,"40-49",TRUE,"50+")</f>
        <v/>
      </c>
      <c r="V1795" s="5">
        <f>IFS(O1795&lt;60000,"Low (&lt;60k)",O1795&lt;100000,"Mid (60-100k)",TRUE,"High (100k+)")</f>
        <v/>
      </c>
      <c r="W1795" s="5">
        <f>IF(M1795="No","Attrited","Active")</f>
        <v/>
      </c>
    </row>
    <row r="1796">
      <c r="A1796" s="5" t="inlineStr">
        <is>
          <t>E01795</t>
        </is>
      </c>
      <c r="B1796" s="5" t="inlineStr">
        <is>
          <t>Female</t>
        </is>
      </c>
      <c r="C1796" s="6" t="inlineStr">
        <is>
          <t>35</t>
        </is>
      </c>
      <c r="D1796" s="5" t="inlineStr">
        <is>
          <t>Married</t>
        </is>
      </c>
      <c r="E1796" s="5" t="inlineStr">
        <is>
          <t>Master</t>
        </is>
      </c>
      <c r="F1796" s="5" t="inlineStr">
        <is>
          <t>Research &amp; Development</t>
        </is>
      </c>
      <c r="G1796" s="5" t="inlineStr">
        <is>
          <t>Data Scientist</t>
        </is>
      </c>
      <c r="H1796" s="5" t="inlineStr">
        <is>
          <t>6</t>
        </is>
      </c>
      <c r="I1796" s="5" t="inlineStr">
        <is>
          <t>Chennai</t>
        </is>
      </c>
      <c r="J1796" s="5" t="inlineStr">
        <is>
          <t>Full-Time</t>
        </is>
      </c>
      <c r="K1796" s="7" t="n">
        <v>43987</v>
      </c>
      <c r="L1796" s="7" t="n">
        <v>44050</v>
      </c>
      <c r="M1796" s="5" t="inlineStr">
        <is>
          <t>No</t>
        </is>
      </c>
      <c r="N1796" s="5" t="inlineStr">
        <is>
          <t>Resigned</t>
        </is>
      </c>
      <c r="O1796" s="8" t="inlineStr">
        <is>
          <t>185000</t>
        </is>
      </c>
      <c r="P1796" s="5" t="inlineStr">
        <is>
          <t>0</t>
        </is>
      </c>
      <c r="Q1796" s="5" t="inlineStr">
        <is>
          <t>4</t>
        </is>
      </c>
      <c r="R1796" s="5" t="inlineStr">
        <is>
          <t>3</t>
        </is>
      </c>
      <c r="S1796" s="5" t="inlineStr">
        <is>
          <t>2</t>
        </is>
      </c>
      <c r="T1796" s="5" t="inlineStr">
        <is>
          <t>1</t>
        </is>
      </c>
      <c r="U1796" s="5">
        <f>IFS(C1796&lt;30,"Under 30",C1796&lt;40,"30-39",C1796&lt;50,"40-49",TRUE,"50+")</f>
        <v/>
      </c>
      <c r="V1796" s="5">
        <f>IFS(O1796&lt;60000,"Low (&lt;60k)",O1796&lt;100000,"Mid (60-100k)",TRUE,"High (100k+)")</f>
        <v/>
      </c>
      <c r="W1796" s="5">
        <f>IF(M1796="No","Attrited","Active")</f>
        <v/>
      </c>
    </row>
    <row r="1797">
      <c r="A1797" s="5" t="inlineStr">
        <is>
          <t>E01796</t>
        </is>
      </c>
      <c r="B1797" s="5" t="inlineStr">
        <is>
          <t>Male</t>
        </is>
      </c>
      <c r="C1797" s="6" t="inlineStr">
        <is>
          <t>34</t>
        </is>
      </c>
      <c r="D1797" s="5" t="inlineStr">
        <is>
          <t>Married</t>
        </is>
      </c>
      <c r="E1797" s="5" t="inlineStr">
        <is>
          <t>High School</t>
        </is>
      </c>
      <c r="F1797" s="5" t="inlineStr">
        <is>
          <t>Marketing</t>
        </is>
      </c>
      <c r="G1797" s="5" t="inlineStr">
        <is>
          <t>Content Writer</t>
        </is>
      </c>
      <c r="H1797" s="5" t="inlineStr">
        <is>
          <t>1</t>
        </is>
      </c>
      <c r="I1797" s="5" t="inlineStr">
        <is>
          <t>Chennai</t>
        </is>
      </c>
      <c r="J1797" s="5" t="inlineStr">
        <is>
          <t>Part-Time</t>
        </is>
      </c>
      <c r="K1797" s="7" t="n">
        <v>44087</v>
      </c>
      <c r="L1797" s="7" t="inlineStr"/>
      <c r="M1797" s="5" t="inlineStr">
        <is>
          <t>Yes</t>
        </is>
      </c>
      <c r="N1797" s="5" t="inlineStr"/>
      <c r="O1797" s="8" t="inlineStr">
        <is>
          <t>58000</t>
        </is>
      </c>
      <c r="P1797" s="5" t="inlineStr">
        <is>
          <t>5</t>
        </is>
      </c>
      <c r="Q1797" s="5" t="inlineStr">
        <is>
          <t>3</t>
        </is>
      </c>
      <c r="R1797" s="5" t="inlineStr">
        <is>
          <t>5</t>
        </is>
      </c>
      <c r="S1797" s="5" t="inlineStr">
        <is>
          <t>64</t>
        </is>
      </c>
      <c r="T1797" s="5" t="inlineStr">
        <is>
          <t>7</t>
        </is>
      </c>
      <c r="U1797" s="5">
        <f>IFS(C1797&lt;30,"Under 30",C1797&lt;40,"30-39",C1797&lt;50,"40-49",TRUE,"50+")</f>
        <v/>
      </c>
      <c r="V1797" s="5">
        <f>IFS(O1797&lt;60000,"Low (&lt;60k)",O1797&lt;100000,"Mid (60-100k)",TRUE,"High (100k+)")</f>
        <v/>
      </c>
      <c r="W1797" s="5">
        <f>IF(M1797="No","Attrited","Active")</f>
        <v/>
      </c>
    </row>
    <row r="1798">
      <c r="A1798" s="5" t="inlineStr">
        <is>
          <t>E01797</t>
        </is>
      </c>
      <c r="B1798" s="5" t="inlineStr">
        <is>
          <t>Female</t>
        </is>
      </c>
      <c r="C1798" s="6" t="inlineStr">
        <is>
          <t>28</t>
        </is>
      </c>
      <c r="D1798" s="5" t="inlineStr">
        <is>
          <t>Single</t>
        </is>
      </c>
      <c r="E1798" s="5" t="inlineStr">
        <is>
          <t>High School</t>
        </is>
      </c>
      <c r="F1798" s="5" t="inlineStr">
        <is>
          <t>Marketing</t>
        </is>
      </c>
      <c r="G1798" s="5" t="inlineStr">
        <is>
          <t>Marketing Analyst</t>
        </is>
      </c>
      <c r="H1798" s="5" t="inlineStr">
        <is>
          <t>2</t>
        </is>
      </c>
      <c r="I1798" s="5" t="inlineStr">
        <is>
          <t>Delhi</t>
        </is>
      </c>
      <c r="J1798" s="5" t="inlineStr">
        <is>
          <t>Full-Time</t>
        </is>
      </c>
      <c r="K1798" s="7" t="n">
        <v>45527</v>
      </c>
      <c r="L1798" s="7" t="inlineStr"/>
      <c r="M1798" s="5" t="inlineStr">
        <is>
          <t>Yes</t>
        </is>
      </c>
      <c r="N1798" s="5" t="inlineStr"/>
      <c r="O1798" s="8" t="inlineStr">
        <is>
          <t>58500</t>
        </is>
      </c>
      <c r="P1798" s="5" t="inlineStr">
        <is>
          <t>5</t>
        </is>
      </c>
      <c r="Q1798" s="5" t="inlineStr">
        <is>
          <t>4</t>
        </is>
      </c>
      <c r="R1798" s="5" t="inlineStr">
        <is>
          <t>4</t>
        </is>
      </c>
      <c r="S1798" s="5" t="inlineStr">
        <is>
          <t>16</t>
        </is>
      </c>
      <c r="T1798" s="5" t="inlineStr">
        <is>
          <t>10</t>
        </is>
      </c>
      <c r="U1798" s="5">
        <f>IFS(C1798&lt;30,"Under 30",C1798&lt;40,"30-39",C1798&lt;50,"40-49",TRUE,"50+")</f>
        <v/>
      </c>
      <c r="V1798" s="5">
        <f>IFS(O1798&lt;60000,"Low (&lt;60k)",O1798&lt;100000,"Mid (60-100k)",TRUE,"High (100k+)")</f>
        <v/>
      </c>
      <c r="W1798" s="5">
        <f>IF(M1798="No","Attrited","Active")</f>
        <v/>
      </c>
    </row>
    <row r="1799">
      <c r="A1799" s="5" t="inlineStr">
        <is>
          <t>E01798</t>
        </is>
      </c>
      <c r="B1799" s="5" t="inlineStr">
        <is>
          <t>Male</t>
        </is>
      </c>
      <c r="C1799" s="6" t="inlineStr">
        <is>
          <t>34</t>
        </is>
      </c>
      <c r="D1799" s="5" t="inlineStr">
        <is>
          <t>Single</t>
        </is>
      </c>
      <c r="E1799" s="5" t="inlineStr">
        <is>
          <t>PhD</t>
        </is>
      </c>
      <c r="F1799" s="5" t="inlineStr">
        <is>
          <t>Customer Support</t>
        </is>
      </c>
      <c r="G1799" s="5" t="inlineStr">
        <is>
          <t>Escalation Specialist</t>
        </is>
      </c>
      <c r="H1799" s="5" t="inlineStr">
        <is>
          <t>2</t>
        </is>
      </c>
      <c r="I1799" s="5" t="inlineStr">
        <is>
          <t>Mumbai</t>
        </is>
      </c>
      <c r="J1799" s="5" t="inlineStr">
        <is>
          <t>Full-Time</t>
        </is>
      </c>
      <c r="K1799" s="7" t="n">
        <v>45253</v>
      </c>
      <c r="L1799" s="7" t="inlineStr"/>
      <c r="M1799" s="5" t="inlineStr">
        <is>
          <t>Yes</t>
        </is>
      </c>
      <c r="N1799" s="5" t="inlineStr"/>
      <c r="O1799" s="8" t="inlineStr">
        <is>
          <t>76500</t>
        </is>
      </c>
      <c r="P1799" s="5" t="inlineStr">
        <is>
          <t>0</t>
        </is>
      </c>
      <c r="Q1799" s="5" t="inlineStr">
        <is>
          <t>3</t>
        </is>
      </c>
      <c r="R1799" s="5" t="inlineStr">
        <is>
          <t>6</t>
        </is>
      </c>
      <c r="S1799" s="5" t="inlineStr">
        <is>
          <t>25</t>
        </is>
      </c>
      <c r="T1799" s="5" t="inlineStr">
        <is>
          <t>14</t>
        </is>
      </c>
      <c r="U1799" s="5">
        <f>IFS(C1799&lt;30,"Under 30",C1799&lt;40,"30-39",C1799&lt;50,"40-49",TRUE,"50+")</f>
        <v/>
      </c>
      <c r="V1799" s="5">
        <f>IFS(O1799&lt;60000,"Low (&lt;60k)",O1799&lt;100000,"Mid (60-100k)",TRUE,"High (100k+)")</f>
        <v/>
      </c>
      <c r="W1799" s="5">
        <f>IF(M1799="No","Attrited","Active")</f>
        <v/>
      </c>
    </row>
    <row r="1800">
      <c r="A1800" s="5" t="inlineStr">
        <is>
          <t>E01799</t>
        </is>
      </c>
      <c r="B1800" s="5" t="inlineStr">
        <is>
          <t>Male</t>
        </is>
      </c>
      <c r="C1800" s="6" t="inlineStr">
        <is>
          <t>31</t>
        </is>
      </c>
      <c r="D1800" s="5" t="inlineStr">
        <is>
          <t>Divorced</t>
        </is>
      </c>
      <c r="E1800" s="5" t="inlineStr">
        <is>
          <t>Master</t>
        </is>
      </c>
      <c r="F1800" s="5" t="inlineStr">
        <is>
          <t>Research &amp; Development</t>
        </is>
      </c>
      <c r="G1800" s="5" t="inlineStr">
        <is>
          <t>Research Scientist</t>
        </is>
      </c>
      <c r="H1800" s="5" t="inlineStr">
        <is>
          <t>2</t>
        </is>
      </c>
      <c r="I1800" s="5" t="inlineStr">
        <is>
          <t>Hyderabad</t>
        </is>
      </c>
      <c r="J1800" s="5" t="inlineStr">
        <is>
          <t>Part-Time</t>
        </is>
      </c>
      <c r="K1800" s="7" t="n">
        <v>44230</v>
      </c>
      <c r="L1800" s="7" t="inlineStr"/>
      <c r="M1800" s="5" t="inlineStr">
        <is>
          <t>Yes</t>
        </is>
      </c>
      <c r="N1800" s="5" t="inlineStr"/>
      <c r="O1800" s="8" t="inlineStr">
        <is>
          <t>127500</t>
        </is>
      </c>
      <c r="P1800" s="5" t="inlineStr">
        <is>
          <t>10</t>
        </is>
      </c>
      <c r="Q1800" s="5" t="inlineStr">
        <is>
          <t>3</t>
        </is>
      </c>
      <c r="R1800" s="5" t="inlineStr">
        <is>
          <t>6</t>
        </is>
      </c>
      <c r="S1800" s="5" t="inlineStr">
        <is>
          <t>59</t>
        </is>
      </c>
      <c r="T1800" s="5" t="inlineStr">
        <is>
          <t>12</t>
        </is>
      </c>
      <c r="U1800" s="5">
        <f>IFS(C1800&lt;30,"Under 30",C1800&lt;40,"30-39",C1800&lt;50,"40-49",TRUE,"50+")</f>
        <v/>
      </c>
      <c r="V1800" s="5">
        <f>IFS(O1800&lt;60000,"Low (&lt;60k)",O1800&lt;100000,"Mid (60-100k)",TRUE,"High (100k+)")</f>
        <v/>
      </c>
      <c r="W1800" s="5">
        <f>IF(M1800="No","Attrited","Active")</f>
        <v/>
      </c>
    </row>
    <row r="1801">
      <c r="A1801" s="5" t="inlineStr">
        <is>
          <t>E01800</t>
        </is>
      </c>
      <c r="B1801" s="5" t="inlineStr">
        <is>
          <t>Male</t>
        </is>
      </c>
      <c r="C1801" s="6" t="inlineStr">
        <is>
          <t>26</t>
        </is>
      </c>
      <c r="D1801" s="5" t="inlineStr">
        <is>
          <t>Married</t>
        </is>
      </c>
      <c r="E1801" s="5" t="inlineStr">
        <is>
          <t>High School</t>
        </is>
      </c>
      <c r="F1801" s="5" t="inlineStr">
        <is>
          <t>Operations</t>
        </is>
      </c>
      <c r="G1801" s="5" t="inlineStr">
        <is>
          <t>Logistics Coordinator</t>
        </is>
      </c>
      <c r="H1801" s="5" t="inlineStr">
        <is>
          <t>2</t>
        </is>
      </c>
      <c r="I1801" s="5" t="inlineStr">
        <is>
          <t>Chennai</t>
        </is>
      </c>
      <c r="J1801" s="5" t="inlineStr">
        <is>
          <t>Full-Time</t>
        </is>
      </c>
      <c r="K1801" s="7" t="n">
        <v>45789</v>
      </c>
      <c r="L1801" s="7" t="n">
        <v>45825</v>
      </c>
      <c r="M1801" s="5" t="inlineStr">
        <is>
          <t>No</t>
        </is>
      </c>
      <c r="N1801" s="5" t="inlineStr">
        <is>
          <t>Resigned</t>
        </is>
      </c>
      <c r="O1801" s="8" t="inlineStr">
        <is>
          <t>99000</t>
        </is>
      </c>
      <c r="P1801" s="5" t="inlineStr">
        <is>
          <t>15</t>
        </is>
      </c>
      <c r="Q1801" s="5" t="inlineStr">
        <is>
          <t>2</t>
        </is>
      </c>
      <c r="R1801" s="5" t="inlineStr">
        <is>
          <t>8</t>
        </is>
      </c>
      <c r="S1801" s="5" t="inlineStr">
        <is>
          <t>1</t>
        </is>
      </c>
      <c r="T1801" s="5" t="inlineStr">
        <is>
          <t>0</t>
        </is>
      </c>
      <c r="U1801" s="5">
        <f>IFS(C1801&lt;30,"Under 30",C1801&lt;40,"30-39",C1801&lt;50,"40-49",TRUE,"50+")</f>
        <v/>
      </c>
      <c r="V1801" s="5">
        <f>IFS(O1801&lt;60000,"Low (&lt;60k)",O1801&lt;100000,"Mid (60-100k)",TRUE,"High (100k+)")</f>
        <v/>
      </c>
      <c r="W1801" s="5">
        <f>IF(M1801="No","Attrited","Active")</f>
        <v/>
      </c>
    </row>
    <row r="1802">
      <c r="A1802" s="5" t="inlineStr">
        <is>
          <t>E01801</t>
        </is>
      </c>
      <c r="B1802" s="5" t="inlineStr">
        <is>
          <t>Male</t>
        </is>
      </c>
      <c r="C1802" s="6" t="inlineStr">
        <is>
          <t>29</t>
        </is>
      </c>
      <c r="D1802" s="5" t="inlineStr">
        <is>
          <t>Married</t>
        </is>
      </c>
      <c r="E1802" s="5" t="inlineStr">
        <is>
          <t>Bachelor</t>
        </is>
      </c>
      <c r="F1802" s="5" t="inlineStr">
        <is>
          <t>Marketing</t>
        </is>
      </c>
      <c r="G1802" s="5" t="inlineStr">
        <is>
          <t>Marketing Analyst</t>
        </is>
      </c>
      <c r="H1802" s="5" t="inlineStr">
        <is>
          <t>3</t>
        </is>
      </c>
      <c r="I1802" s="5" t="inlineStr">
        <is>
          <t>Chennai</t>
        </is>
      </c>
      <c r="J1802" s="5" t="inlineStr">
        <is>
          <t>Full-Time</t>
        </is>
      </c>
      <c r="K1802" s="7" t="n">
        <v>44540</v>
      </c>
      <c r="L1802" s="7" t="inlineStr"/>
      <c r="M1802" s="5" t="inlineStr">
        <is>
          <t>Yes</t>
        </is>
      </c>
      <c r="N1802" s="5" t="inlineStr"/>
      <c r="O1802" s="8" t="inlineStr">
        <is>
          <t>89500</t>
        </is>
      </c>
      <c r="P1802" s="5" t="inlineStr">
        <is>
          <t>15</t>
        </is>
      </c>
      <c r="Q1802" s="5" t="inlineStr">
        <is>
          <t>4</t>
        </is>
      </c>
      <c r="R1802" s="5" t="inlineStr">
        <is>
          <t>5</t>
        </is>
      </c>
      <c r="S1802" s="5" t="inlineStr">
        <is>
          <t>49</t>
        </is>
      </c>
      <c r="T1802" s="5" t="inlineStr">
        <is>
          <t>4</t>
        </is>
      </c>
      <c r="U1802" s="5">
        <f>IFS(C1802&lt;30,"Under 30",C1802&lt;40,"30-39",C1802&lt;50,"40-49",TRUE,"50+")</f>
        <v/>
      </c>
      <c r="V1802" s="5">
        <f>IFS(O1802&lt;60000,"Low (&lt;60k)",O1802&lt;100000,"Mid (60-100k)",TRUE,"High (100k+)")</f>
        <v/>
      </c>
      <c r="W1802" s="5">
        <f>IF(M1802="No","Attrited","Active")</f>
        <v/>
      </c>
    </row>
    <row r="1803">
      <c r="A1803" s="5" t="inlineStr">
        <is>
          <t>E01802</t>
        </is>
      </c>
      <c r="B1803" s="5" t="inlineStr">
        <is>
          <t>Male</t>
        </is>
      </c>
      <c r="C1803" s="6" t="inlineStr">
        <is>
          <t>25</t>
        </is>
      </c>
      <c r="D1803" s="5" t="inlineStr">
        <is>
          <t>Married</t>
        </is>
      </c>
      <c r="E1803" s="5" t="inlineStr">
        <is>
          <t>Master</t>
        </is>
      </c>
      <c r="F1803" s="5" t="inlineStr">
        <is>
          <t>IT</t>
        </is>
      </c>
      <c r="G1803" s="5" t="inlineStr">
        <is>
          <t>DevOps Engineer</t>
        </is>
      </c>
      <c r="H1803" s="5" t="inlineStr">
        <is>
          <t>1</t>
        </is>
      </c>
      <c r="I1803" s="5" t="inlineStr">
        <is>
          <t>Remote</t>
        </is>
      </c>
      <c r="J1803" s="5" t="inlineStr">
        <is>
          <t>Full-Time</t>
        </is>
      </c>
      <c r="K1803" s="7" t="n">
        <v>44558</v>
      </c>
      <c r="L1803" s="7" t="n">
        <v>44702</v>
      </c>
      <c r="M1803" s="5" t="inlineStr">
        <is>
          <t>No</t>
        </is>
      </c>
      <c r="N1803" s="5" t="inlineStr">
        <is>
          <t>Resigned</t>
        </is>
      </c>
      <c r="O1803" s="8" t="inlineStr">
        <is>
          <t>125500</t>
        </is>
      </c>
      <c r="P1803" s="5" t="inlineStr">
        <is>
          <t>0</t>
        </is>
      </c>
      <c r="Q1803" s="5" t="inlineStr">
        <is>
          <t>4</t>
        </is>
      </c>
      <c r="R1803" s="5" t="inlineStr">
        <is>
          <t>3</t>
        </is>
      </c>
      <c r="S1803" s="5" t="inlineStr">
        <is>
          <t>4</t>
        </is>
      </c>
      <c r="T1803" s="5" t="inlineStr">
        <is>
          <t>1</t>
        </is>
      </c>
      <c r="U1803" s="5">
        <f>IFS(C1803&lt;30,"Under 30",C1803&lt;40,"30-39",C1803&lt;50,"40-49",TRUE,"50+")</f>
        <v/>
      </c>
      <c r="V1803" s="5">
        <f>IFS(O1803&lt;60000,"Low (&lt;60k)",O1803&lt;100000,"Mid (60-100k)",TRUE,"High (100k+)")</f>
        <v/>
      </c>
      <c r="W1803" s="5">
        <f>IF(M1803="No","Attrited","Active")</f>
        <v/>
      </c>
    </row>
    <row r="1804">
      <c r="A1804" s="5" t="inlineStr">
        <is>
          <t>E01803</t>
        </is>
      </c>
      <c r="B1804" s="5" t="inlineStr">
        <is>
          <t>Male</t>
        </is>
      </c>
      <c r="C1804" s="6" t="inlineStr">
        <is>
          <t>27</t>
        </is>
      </c>
      <c r="D1804" s="5" t="inlineStr">
        <is>
          <t>Single</t>
        </is>
      </c>
      <c r="E1804" s="5" t="inlineStr">
        <is>
          <t>High School</t>
        </is>
      </c>
      <c r="F1804" s="5" t="inlineStr">
        <is>
          <t>Customer Support</t>
        </is>
      </c>
      <c r="G1804" s="5" t="inlineStr">
        <is>
          <t>Support Lead</t>
        </is>
      </c>
      <c r="H1804" s="5" t="inlineStr">
        <is>
          <t>3</t>
        </is>
      </c>
      <c r="I1804" s="5" t="inlineStr">
        <is>
          <t>Delhi</t>
        </is>
      </c>
      <c r="J1804" s="5" t="inlineStr">
        <is>
          <t>Full-Time</t>
        </is>
      </c>
      <c r="K1804" s="7" t="n">
        <v>44059</v>
      </c>
      <c r="L1804" s="7" t="inlineStr"/>
      <c r="M1804" s="5" t="inlineStr">
        <is>
          <t>Yes</t>
        </is>
      </c>
      <c r="N1804" s="5" t="inlineStr"/>
      <c r="O1804" s="8" t="inlineStr">
        <is>
          <t>88500</t>
        </is>
      </c>
      <c r="P1804" s="5" t="inlineStr">
        <is>
          <t>10</t>
        </is>
      </c>
      <c r="Q1804" s="5" t="inlineStr">
        <is>
          <t>4</t>
        </is>
      </c>
      <c r="R1804" s="5" t="inlineStr">
        <is>
          <t>6</t>
        </is>
      </c>
      <c r="S1804" s="5" t="inlineStr">
        <is>
          <t>65</t>
        </is>
      </c>
      <c r="T1804" s="5" t="inlineStr">
        <is>
          <t>11</t>
        </is>
      </c>
      <c r="U1804" s="5">
        <f>IFS(C1804&lt;30,"Under 30",C1804&lt;40,"30-39",C1804&lt;50,"40-49",TRUE,"50+")</f>
        <v/>
      </c>
      <c r="V1804" s="5">
        <f>IFS(O1804&lt;60000,"Low (&lt;60k)",O1804&lt;100000,"Mid (60-100k)",TRUE,"High (100k+)")</f>
        <v/>
      </c>
      <c r="W1804" s="5">
        <f>IF(M1804="No","Attrited","Active")</f>
        <v/>
      </c>
    </row>
    <row r="1805">
      <c r="A1805" s="5" t="inlineStr">
        <is>
          <t>E01804</t>
        </is>
      </c>
      <c r="B1805" s="5" t="inlineStr">
        <is>
          <t>Female</t>
        </is>
      </c>
      <c r="C1805" s="6" t="inlineStr">
        <is>
          <t>33</t>
        </is>
      </c>
      <c r="D1805" s="5" t="inlineStr">
        <is>
          <t>Married</t>
        </is>
      </c>
      <c r="E1805" s="5" t="inlineStr">
        <is>
          <t>Diploma</t>
        </is>
      </c>
      <c r="F1805" s="5" t="inlineStr">
        <is>
          <t>Sales</t>
        </is>
      </c>
      <c r="G1805" s="5" t="inlineStr">
        <is>
          <t>Business Development</t>
        </is>
      </c>
      <c r="H1805" s="5" t="inlineStr">
        <is>
          <t>1</t>
        </is>
      </c>
      <c r="I1805" s="5" t="inlineStr">
        <is>
          <t>Remote</t>
        </is>
      </c>
      <c r="J1805" s="5" t="inlineStr">
        <is>
          <t>Full-Time</t>
        </is>
      </c>
      <c r="K1805" s="7" t="n">
        <v>44203</v>
      </c>
      <c r="L1805" s="7" t="inlineStr"/>
      <c r="M1805" s="5" t="inlineStr">
        <is>
          <t>Yes</t>
        </is>
      </c>
      <c r="N1805" s="5" t="inlineStr"/>
      <c r="O1805" s="8" t="inlineStr">
        <is>
          <t>95000</t>
        </is>
      </c>
      <c r="P1805" s="5" t="inlineStr">
        <is>
          <t>15</t>
        </is>
      </c>
      <c r="Q1805" s="5" t="inlineStr">
        <is>
          <t>4</t>
        </is>
      </c>
      <c r="R1805" s="5" t="inlineStr">
        <is>
          <t>7</t>
        </is>
      </c>
      <c r="S1805" s="5" t="inlineStr">
        <is>
          <t>60</t>
        </is>
      </c>
      <c r="T1805" s="5" t="inlineStr">
        <is>
          <t>5</t>
        </is>
      </c>
      <c r="U1805" s="5">
        <f>IFS(C1805&lt;30,"Under 30",C1805&lt;40,"30-39",C1805&lt;50,"40-49",TRUE,"50+")</f>
        <v/>
      </c>
      <c r="V1805" s="5">
        <f>IFS(O1805&lt;60000,"Low (&lt;60k)",O1805&lt;100000,"Mid (60-100k)",TRUE,"High (100k+)")</f>
        <v/>
      </c>
      <c r="W1805" s="5">
        <f>IF(M1805="No","Attrited","Active")</f>
        <v/>
      </c>
    </row>
    <row r="1806">
      <c r="A1806" s="5" t="inlineStr">
        <is>
          <t>E01805</t>
        </is>
      </c>
      <c r="B1806" s="5" t="inlineStr">
        <is>
          <t>Female</t>
        </is>
      </c>
      <c r="C1806" s="6" t="inlineStr">
        <is>
          <t>25</t>
        </is>
      </c>
      <c r="D1806" s="5" t="inlineStr">
        <is>
          <t>Married</t>
        </is>
      </c>
      <c r="E1806" s="5" t="inlineStr">
        <is>
          <t>Bachelor</t>
        </is>
      </c>
      <c r="F1806" s="5" t="inlineStr">
        <is>
          <t>Sales</t>
        </is>
      </c>
      <c r="G1806" s="5" t="inlineStr">
        <is>
          <t>Sales Executive</t>
        </is>
      </c>
      <c r="H1806" s="5" t="inlineStr">
        <is>
          <t>2</t>
        </is>
      </c>
      <c r="I1806" s="5" t="inlineStr">
        <is>
          <t>Mumbai</t>
        </is>
      </c>
      <c r="J1806" s="5" t="inlineStr">
        <is>
          <t>Full-Time</t>
        </is>
      </c>
      <c r="K1806" s="7" t="n">
        <v>45320</v>
      </c>
      <c r="L1806" s="7" t="inlineStr"/>
      <c r="M1806" s="5" t="inlineStr">
        <is>
          <t>Yes</t>
        </is>
      </c>
      <c r="N1806" s="5" t="inlineStr"/>
      <c r="O1806" s="8" t="inlineStr">
        <is>
          <t>108500</t>
        </is>
      </c>
      <c r="P1806" s="5" t="inlineStr">
        <is>
          <t>0</t>
        </is>
      </c>
      <c r="Q1806" s="5" t="inlineStr">
        <is>
          <t>3</t>
        </is>
      </c>
      <c r="R1806" s="5" t="inlineStr">
        <is>
          <t>5</t>
        </is>
      </c>
      <c r="S1806" s="5" t="inlineStr">
        <is>
          <t>23</t>
        </is>
      </c>
      <c r="T1806" s="5" t="inlineStr">
        <is>
          <t>1</t>
        </is>
      </c>
      <c r="U1806" s="5">
        <f>IFS(C1806&lt;30,"Under 30",C1806&lt;40,"30-39",C1806&lt;50,"40-49",TRUE,"50+")</f>
        <v/>
      </c>
      <c r="V1806" s="5">
        <f>IFS(O1806&lt;60000,"Low (&lt;60k)",O1806&lt;100000,"Mid (60-100k)",TRUE,"High (100k+)")</f>
        <v/>
      </c>
      <c r="W1806" s="5">
        <f>IF(M1806="No","Attrited","Active")</f>
        <v/>
      </c>
    </row>
    <row r="1807">
      <c r="A1807" s="5" t="inlineStr">
        <is>
          <t>E01806</t>
        </is>
      </c>
      <c r="B1807" s="5" t="inlineStr">
        <is>
          <t>Male</t>
        </is>
      </c>
      <c r="C1807" s="6" t="inlineStr">
        <is>
          <t>36</t>
        </is>
      </c>
      <c r="D1807" s="5" t="inlineStr">
        <is>
          <t>Single</t>
        </is>
      </c>
      <c r="E1807" s="5" t="inlineStr">
        <is>
          <t>Diploma</t>
        </is>
      </c>
      <c r="F1807" s="5" t="inlineStr">
        <is>
          <t>Sales</t>
        </is>
      </c>
      <c r="G1807" s="5" t="inlineStr">
        <is>
          <t>Business Development</t>
        </is>
      </c>
      <c r="H1807" s="5" t="inlineStr">
        <is>
          <t>5</t>
        </is>
      </c>
      <c r="I1807" s="5" t="inlineStr">
        <is>
          <t>Delhi</t>
        </is>
      </c>
      <c r="J1807" s="5" t="inlineStr">
        <is>
          <t>Part-Time</t>
        </is>
      </c>
      <c r="K1807" s="7" t="n">
        <v>44845</v>
      </c>
      <c r="L1807" s="7" t="inlineStr"/>
      <c r="M1807" s="5" t="inlineStr">
        <is>
          <t>Yes</t>
        </is>
      </c>
      <c r="N1807" s="5" t="inlineStr"/>
      <c r="O1807" s="8" t="inlineStr">
        <is>
          <t>147500</t>
        </is>
      </c>
      <c r="P1807" s="5" t="inlineStr">
        <is>
          <t>0</t>
        </is>
      </c>
      <c r="Q1807" s="5" t="inlineStr">
        <is>
          <t>3</t>
        </is>
      </c>
      <c r="R1807" s="5" t="inlineStr">
        <is>
          <t>5</t>
        </is>
      </c>
      <c r="S1807" s="5" t="inlineStr">
        <is>
          <t>39</t>
        </is>
      </c>
      <c r="T1807" s="5" t="inlineStr">
        <is>
          <t>15</t>
        </is>
      </c>
      <c r="U1807" s="5">
        <f>IFS(C1807&lt;30,"Under 30",C1807&lt;40,"30-39",C1807&lt;50,"40-49",TRUE,"50+")</f>
        <v/>
      </c>
      <c r="V1807" s="5">
        <f>IFS(O1807&lt;60000,"Low (&lt;60k)",O1807&lt;100000,"Mid (60-100k)",TRUE,"High (100k+)")</f>
        <v/>
      </c>
      <c r="W1807" s="5">
        <f>IF(M1807="No","Attrited","Active")</f>
        <v/>
      </c>
    </row>
    <row r="1808">
      <c r="A1808" s="5" t="inlineStr">
        <is>
          <t>E01807</t>
        </is>
      </c>
      <c r="B1808" s="5" t="inlineStr">
        <is>
          <t>Female</t>
        </is>
      </c>
      <c r="C1808" s="6" t="inlineStr">
        <is>
          <t>32</t>
        </is>
      </c>
      <c r="D1808" s="5" t="inlineStr">
        <is>
          <t>Married</t>
        </is>
      </c>
      <c r="E1808" s="5" t="inlineStr">
        <is>
          <t>High School</t>
        </is>
      </c>
      <c r="F1808" s="5" t="inlineStr">
        <is>
          <t>Operations</t>
        </is>
      </c>
      <c r="G1808" s="5" t="inlineStr">
        <is>
          <t>Operations Analyst</t>
        </is>
      </c>
      <c r="H1808" s="5" t="inlineStr">
        <is>
          <t>2</t>
        </is>
      </c>
      <c r="I1808" s="5" t="inlineStr">
        <is>
          <t>Bengaluru</t>
        </is>
      </c>
      <c r="J1808" s="5" t="inlineStr">
        <is>
          <t>Full-Time</t>
        </is>
      </c>
      <c r="K1808" s="7" t="n">
        <v>45271</v>
      </c>
      <c r="L1808" s="7" t="inlineStr"/>
      <c r="M1808" s="5" t="inlineStr">
        <is>
          <t>Yes</t>
        </is>
      </c>
      <c r="N1808" s="5" t="inlineStr"/>
      <c r="O1808" s="8" t="inlineStr">
        <is>
          <t>79000</t>
        </is>
      </c>
      <c r="P1808" s="5" t="inlineStr">
        <is>
          <t>20</t>
        </is>
      </c>
      <c r="Q1808" s="5" t="inlineStr">
        <is>
          <t>3</t>
        </is>
      </c>
      <c r="R1808" s="5" t="inlineStr">
        <is>
          <t>4</t>
        </is>
      </c>
      <c r="S1808" s="5" t="inlineStr">
        <is>
          <t>25</t>
        </is>
      </c>
      <c r="T1808" s="5" t="inlineStr">
        <is>
          <t>3</t>
        </is>
      </c>
      <c r="U1808" s="5">
        <f>IFS(C1808&lt;30,"Under 30",C1808&lt;40,"30-39",C1808&lt;50,"40-49",TRUE,"50+")</f>
        <v/>
      </c>
      <c r="V1808" s="5">
        <f>IFS(O1808&lt;60000,"Low (&lt;60k)",O1808&lt;100000,"Mid (60-100k)",TRUE,"High (100k+)")</f>
        <v/>
      </c>
      <c r="W1808" s="5">
        <f>IF(M1808="No","Attrited","Active")</f>
        <v/>
      </c>
    </row>
    <row r="1809">
      <c r="A1809" s="5" t="inlineStr">
        <is>
          <t>E01808</t>
        </is>
      </c>
      <c r="B1809" s="5" t="inlineStr">
        <is>
          <t>Female</t>
        </is>
      </c>
      <c r="C1809" s="6" t="inlineStr">
        <is>
          <t>43</t>
        </is>
      </c>
      <c r="D1809" s="5" t="inlineStr">
        <is>
          <t>Married</t>
        </is>
      </c>
      <c r="E1809" s="5" t="inlineStr">
        <is>
          <t>High School</t>
        </is>
      </c>
      <c r="F1809" s="5" t="inlineStr">
        <is>
          <t>Sales</t>
        </is>
      </c>
      <c r="G1809" s="5" t="inlineStr">
        <is>
          <t>Business Development</t>
        </is>
      </c>
      <c r="H1809" s="5" t="inlineStr">
        <is>
          <t>6</t>
        </is>
      </c>
      <c r="I1809" s="5" t="inlineStr">
        <is>
          <t>Chennai</t>
        </is>
      </c>
      <c r="J1809" s="5" t="inlineStr">
        <is>
          <t>Full-Time</t>
        </is>
      </c>
      <c r="K1809" s="7" t="n">
        <v>45388</v>
      </c>
      <c r="L1809" s="7" t="inlineStr"/>
      <c r="M1809" s="5" t="inlineStr">
        <is>
          <t>Yes</t>
        </is>
      </c>
      <c r="N1809" s="5" t="inlineStr"/>
      <c r="O1809" s="8" t="inlineStr">
        <is>
          <t>138500</t>
        </is>
      </c>
      <c r="P1809" s="5" t="inlineStr">
        <is>
          <t>0</t>
        </is>
      </c>
      <c r="Q1809" s="5" t="inlineStr">
        <is>
          <t>4</t>
        </is>
      </c>
      <c r="R1809" s="5" t="inlineStr">
        <is>
          <t>6</t>
        </is>
      </c>
      <c r="S1809" s="5" t="inlineStr">
        <is>
          <t>21</t>
        </is>
      </c>
      <c r="T1809" s="5" t="inlineStr">
        <is>
          <t>13</t>
        </is>
      </c>
      <c r="U1809" s="5">
        <f>IFS(C1809&lt;30,"Under 30",C1809&lt;40,"30-39",C1809&lt;50,"40-49",TRUE,"50+")</f>
        <v/>
      </c>
      <c r="V1809" s="5">
        <f>IFS(O1809&lt;60000,"Low (&lt;60k)",O1809&lt;100000,"Mid (60-100k)",TRUE,"High (100k+)")</f>
        <v/>
      </c>
      <c r="W1809" s="5">
        <f>IF(M1809="No","Attrited","Active")</f>
        <v/>
      </c>
    </row>
    <row r="1810">
      <c r="A1810" s="5" t="inlineStr">
        <is>
          <t>E01809</t>
        </is>
      </c>
      <c r="B1810" s="5" t="inlineStr">
        <is>
          <t>Female</t>
        </is>
      </c>
      <c r="C1810" s="6" t="inlineStr">
        <is>
          <t>36</t>
        </is>
      </c>
      <c r="D1810" s="5" t="inlineStr">
        <is>
          <t>Single</t>
        </is>
      </c>
      <c r="E1810" s="5" t="inlineStr">
        <is>
          <t>Bachelor</t>
        </is>
      </c>
      <c r="F1810" s="5" t="inlineStr">
        <is>
          <t>Customer Support</t>
        </is>
      </c>
      <c r="G1810" s="5" t="inlineStr">
        <is>
          <t>Escalation Specialist</t>
        </is>
      </c>
      <c r="H1810" s="5" t="inlineStr">
        <is>
          <t>6</t>
        </is>
      </c>
      <c r="I1810" s="5" t="inlineStr">
        <is>
          <t>Mumbai</t>
        </is>
      </c>
      <c r="J1810" s="5" t="inlineStr">
        <is>
          <t>Full-Time</t>
        </is>
      </c>
      <c r="K1810" s="7" t="n">
        <v>44658</v>
      </c>
      <c r="L1810" s="7" t="inlineStr"/>
      <c r="M1810" s="5" t="inlineStr">
        <is>
          <t>Yes</t>
        </is>
      </c>
      <c r="N1810" s="5" t="inlineStr"/>
      <c r="O1810" s="8" t="inlineStr">
        <is>
          <t>92500</t>
        </is>
      </c>
      <c r="P1810" s="5" t="inlineStr">
        <is>
          <t>0</t>
        </is>
      </c>
      <c r="Q1810" s="5" t="inlineStr">
        <is>
          <t>4</t>
        </is>
      </c>
      <c r="R1810" s="5" t="inlineStr">
        <is>
          <t>9</t>
        </is>
      </c>
      <c r="S1810" s="5" t="inlineStr">
        <is>
          <t>45</t>
        </is>
      </c>
      <c r="T1810" s="5" t="inlineStr">
        <is>
          <t>2</t>
        </is>
      </c>
      <c r="U1810" s="5">
        <f>IFS(C1810&lt;30,"Under 30",C1810&lt;40,"30-39",C1810&lt;50,"40-49",TRUE,"50+")</f>
        <v/>
      </c>
      <c r="V1810" s="5">
        <f>IFS(O1810&lt;60000,"Low (&lt;60k)",O1810&lt;100000,"Mid (60-100k)",TRUE,"High (100k+)")</f>
        <v/>
      </c>
      <c r="W1810" s="5">
        <f>IF(M1810="No","Attrited","Active")</f>
        <v/>
      </c>
    </row>
    <row r="1811">
      <c r="A1811" s="5" t="inlineStr">
        <is>
          <t>E01810</t>
        </is>
      </c>
      <c r="B1811" s="5" t="inlineStr">
        <is>
          <t>Male</t>
        </is>
      </c>
      <c r="C1811" s="6" t="inlineStr">
        <is>
          <t>28</t>
        </is>
      </c>
      <c r="D1811" s="5" t="inlineStr">
        <is>
          <t>Married</t>
        </is>
      </c>
      <c r="E1811" s="5" t="inlineStr">
        <is>
          <t>Diploma</t>
        </is>
      </c>
      <c r="F1811" s="5" t="inlineStr">
        <is>
          <t>Finance</t>
        </is>
      </c>
      <c r="G1811" s="5" t="inlineStr">
        <is>
          <t>Financial Analyst</t>
        </is>
      </c>
      <c r="H1811" s="5" t="inlineStr">
        <is>
          <t>3</t>
        </is>
      </c>
      <c r="I1811" s="5" t="inlineStr">
        <is>
          <t>Mumbai</t>
        </is>
      </c>
      <c r="J1811" s="5" t="inlineStr">
        <is>
          <t>Full-Time</t>
        </is>
      </c>
      <c r="K1811" s="7" t="n">
        <v>44964</v>
      </c>
      <c r="L1811" s="7" t="inlineStr"/>
      <c r="M1811" s="5" t="inlineStr">
        <is>
          <t>Yes</t>
        </is>
      </c>
      <c r="N1811" s="5" t="inlineStr"/>
      <c r="O1811" s="8" t="inlineStr">
        <is>
          <t>85000</t>
        </is>
      </c>
      <c r="P1811" s="5" t="inlineStr">
        <is>
          <t>0</t>
        </is>
      </c>
      <c r="Q1811" s="5" t="inlineStr">
        <is>
          <t>3</t>
        </is>
      </c>
      <c r="R1811" s="5" t="inlineStr">
        <is>
          <t>6</t>
        </is>
      </c>
      <c r="S1811" s="5" t="inlineStr">
        <is>
          <t>35</t>
        </is>
      </c>
      <c r="T1811" s="5" t="inlineStr">
        <is>
          <t>8</t>
        </is>
      </c>
      <c r="U1811" s="5">
        <f>IFS(C1811&lt;30,"Under 30",C1811&lt;40,"30-39",C1811&lt;50,"40-49",TRUE,"50+")</f>
        <v/>
      </c>
      <c r="V1811" s="5">
        <f>IFS(O1811&lt;60000,"Low (&lt;60k)",O1811&lt;100000,"Mid (60-100k)",TRUE,"High (100k+)")</f>
        <v/>
      </c>
      <c r="W1811" s="5">
        <f>IF(M1811="No","Attrited","Active")</f>
        <v/>
      </c>
    </row>
    <row r="1812">
      <c r="A1812" s="5" t="inlineStr">
        <is>
          <t>E01811</t>
        </is>
      </c>
      <c r="B1812" s="5" t="inlineStr">
        <is>
          <t>Male</t>
        </is>
      </c>
      <c r="C1812" s="6" t="inlineStr">
        <is>
          <t>34</t>
        </is>
      </c>
      <c r="D1812" s="5" t="inlineStr">
        <is>
          <t>Single</t>
        </is>
      </c>
      <c r="E1812" s="5" t="inlineStr">
        <is>
          <t>Master</t>
        </is>
      </c>
      <c r="F1812" s="5" t="inlineStr">
        <is>
          <t>Customer Support</t>
        </is>
      </c>
      <c r="G1812" s="5" t="inlineStr">
        <is>
          <t>Support Lead</t>
        </is>
      </c>
      <c r="H1812" s="5" t="inlineStr">
        <is>
          <t>2</t>
        </is>
      </c>
      <c r="I1812" s="5" t="inlineStr">
        <is>
          <t>Delhi</t>
        </is>
      </c>
      <c r="J1812" s="5" t="inlineStr">
        <is>
          <t>Full-Time</t>
        </is>
      </c>
      <c r="K1812" s="7" t="n">
        <v>44458</v>
      </c>
      <c r="L1812" s="7" t="inlineStr"/>
      <c r="M1812" s="5" t="inlineStr">
        <is>
          <t>Yes</t>
        </is>
      </c>
      <c r="N1812" s="5" t="inlineStr"/>
      <c r="O1812" s="8" t="inlineStr">
        <is>
          <t>53000</t>
        </is>
      </c>
      <c r="P1812" s="5" t="inlineStr">
        <is>
          <t>0</t>
        </is>
      </c>
      <c r="Q1812" s="5" t="inlineStr">
        <is>
          <t>4</t>
        </is>
      </c>
      <c r="R1812" s="5" t="inlineStr">
        <is>
          <t>6</t>
        </is>
      </c>
      <c r="S1812" s="5" t="inlineStr">
        <is>
          <t>52</t>
        </is>
      </c>
      <c r="T1812" s="5" t="inlineStr">
        <is>
          <t>0</t>
        </is>
      </c>
      <c r="U1812" s="5">
        <f>IFS(C1812&lt;30,"Under 30",C1812&lt;40,"30-39",C1812&lt;50,"40-49",TRUE,"50+")</f>
        <v/>
      </c>
      <c r="V1812" s="5">
        <f>IFS(O1812&lt;60000,"Low (&lt;60k)",O1812&lt;100000,"Mid (60-100k)",TRUE,"High (100k+)")</f>
        <v/>
      </c>
      <c r="W1812" s="5">
        <f>IF(M1812="No","Attrited","Active")</f>
        <v/>
      </c>
    </row>
    <row r="1813">
      <c r="A1813" s="5" t="inlineStr">
        <is>
          <t>E01812</t>
        </is>
      </c>
      <c r="B1813" s="5" t="inlineStr">
        <is>
          <t>Female</t>
        </is>
      </c>
      <c r="C1813" s="6" t="inlineStr">
        <is>
          <t>37</t>
        </is>
      </c>
      <c r="D1813" s="5" t="inlineStr">
        <is>
          <t>Married</t>
        </is>
      </c>
      <c r="E1813" s="5" t="inlineStr">
        <is>
          <t>Bachelor</t>
        </is>
      </c>
      <c r="F1813" s="5" t="inlineStr">
        <is>
          <t>Sales</t>
        </is>
      </c>
      <c r="G1813" s="5" t="inlineStr">
        <is>
          <t>Account Executive</t>
        </is>
      </c>
      <c r="H1813" s="5" t="inlineStr">
        <is>
          <t>3</t>
        </is>
      </c>
      <c r="I1813" s="5" t="inlineStr">
        <is>
          <t>Chennai</t>
        </is>
      </c>
      <c r="J1813" s="5" t="inlineStr">
        <is>
          <t>Full-Time</t>
        </is>
      </c>
      <c r="K1813" s="7" t="n">
        <v>45767</v>
      </c>
      <c r="L1813" s="7" t="n">
        <v>45851</v>
      </c>
      <c r="M1813" s="5" t="inlineStr">
        <is>
          <t>No</t>
        </is>
      </c>
      <c r="N1813" s="5" t="inlineStr">
        <is>
          <t>Retirement</t>
        </is>
      </c>
      <c r="O1813" s="8" t="inlineStr">
        <is>
          <t>126000</t>
        </is>
      </c>
      <c r="P1813" s="5" t="inlineStr">
        <is>
          <t>0</t>
        </is>
      </c>
      <c r="Q1813" s="5" t="inlineStr">
        <is>
          <t>4</t>
        </is>
      </c>
      <c r="R1813" s="5" t="inlineStr">
        <is>
          <t>6</t>
        </is>
      </c>
      <c r="S1813" s="5" t="inlineStr">
        <is>
          <t>2</t>
        </is>
      </c>
      <c r="T1813" s="5" t="inlineStr">
        <is>
          <t>3</t>
        </is>
      </c>
      <c r="U1813" s="5">
        <f>IFS(C1813&lt;30,"Under 30",C1813&lt;40,"30-39",C1813&lt;50,"40-49",TRUE,"50+")</f>
        <v/>
      </c>
      <c r="V1813" s="5">
        <f>IFS(O1813&lt;60000,"Low (&lt;60k)",O1813&lt;100000,"Mid (60-100k)",TRUE,"High (100k+)")</f>
        <v/>
      </c>
      <c r="W1813" s="5">
        <f>IF(M1813="No","Attrited","Active")</f>
        <v/>
      </c>
    </row>
    <row r="1814">
      <c r="A1814" s="5" t="inlineStr">
        <is>
          <t>E01813</t>
        </is>
      </c>
      <c r="B1814" s="5" t="inlineStr">
        <is>
          <t>Male</t>
        </is>
      </c>
      <c r="C1814" s="6" t="inlineStr">
        <is>
          <t>32</t>
        </is>
      </c>
      <c r="D1814" s="5" t="inlineStr">
        <is>
          <t>Married</t>
        </is>
      </c>
      <c r="E1814" s="5" t="inlineStr">
        <is>
          <t>PhD</t>
        </is>
      </c>
      <c r="F1814" s="5" t="inlineStr">
        <is>
          <t>Research &amp; Development</t>
        </is>
      </c>
      <c r="G1814" s="5" t="inlineStr">
        <is>
          <t>Data Scientist</t>
        </is>
      </c>
      <c r="H1814" s="5" t="inlineStr">
        <is>
          <t>1</t>
        </is>
      </c>
      <c r="I1814" s="5" t="inlineStr">
        <is>
          <t>Mumbai</t>
        </is>
      </c>
      <c r="J1814" s="5" t="inlineStr">
        <is>
          <t>Full-Time</t>
        </is>
      </c>
      <c r="K1814" s="7" t="n">
        <v>44058</v>
      </c>
      <c r="L1814" s="7" t="inlineStr"/>
      <c r="M1814" s="5" t="inlineStr">
        <is>
          <t>Yes</t>
        </is>
      </c>
      <c r="N1814" s="5" t="inlineStr"/>
      <c r="O1814" s="8" t="inlineStr">
        <is>
          <t>109000</t>
        </is>
      </c>
      <c r="P1814" s="5" t="inlineStr">
        <is>
          <t>5</t>
        </is>
      </c>
      <c r="Q1814" s="5" t="inlineStr">
        <is>
          <t>2</t>
        </is>
      </c>
      <c r="R1814" s="5" t="inlineStr">
        <is>
          <t>6</t>
        </is>
      </c>
      <c r="S1814" s="5" t="inlineStr">
        <is>
          <t>65</t>
        </is>
      </c>
      <c r="T1814" s="5" t="inlineStr">
        <is>
          <t>6</t>
        </is>
      </c>
      <c r="U1814" s="5">
        <f>IFS(C1814&lt;30,"Under 30",C1814&lt;40,"30-39",C1814&lt;50,"40-49",TRUE,"50+")</f>
        <v/>
      </c>
      <c r="V1814" s="5">
        <f>IFS(O1814&lt;60000,"Low (&lt;60k)",O1814&lt;100000,"Mid (60-100k)",TRUE,"High (100k+)")</f>
        <v/>
      </c>
      <c r="W1814" s="5">
        <f>IF(M1814="No","Attrited","Active")</f>
        <v/>
      </c>
    </row>
    <row r="1815">
      <c r="A1815" s="5" t="inlineStr">
        <is>
          <t>E01814</t>
        </is>
      </c>
      <c r="B1815" s="5" t="inlineStr">
        <is>
          <t>Male</t>
        </is>
      </c>
      <c r="C1815" s="6" t="inlineStr">
        <is>
          <t>24</t>
        </is>
      </c>
      <c r="D1815" s="5" t="inlineStr">
        <is>
          <t>Single</t>
        </is>
      </c>
      <c r="E1815" s="5" t="inlineStr">
        <is>
          <t>Master</t>
        </is>
      </c>
      <c r="F1815" s="5" t="inlineStr">
        <is>
          <t>IT</t>
        </is>
      </c>
      <c r="G1815" s="5" t="inlineStr">
        <is>
          <t>Software Engineer</t>
        </is>
      </c>
      <c r="H1815" s="5" t="inlineStr">
        <is>
          <t>1</t>
        </is>
      </c>
      <c r="I1815" s="5" t="inlineStr">
        <is>
          <t>Bengaluru</t>
        </is>
      </c>
      <c r="J1815" s="5" t="inlineStr">
        <is>
          <t>Full-Time</t>
        </is>
      </c>
      <c r="K1815" s="7" t="n">
        <v>44802</v>
      </c>
      <c r="L1815" s="7" t="inlineStr"/>
      <c r="M1815" s="5" t="inlineStr">
        <is>
          <t>Yes</t>
        </is>
      </c>
      <c r="N1815" s="5" t="inlineStr"/>
      <c r="O1815" s="8" t="inlineStr">
        <is>
          <t>102000</t>
        </is>
      </c>
      <c r="P1815" s="5" t="inlineStr">
        <is>
          <t>20</t>
        </is>
      </c>
      <c r="Q1815" s="5" t="inlineStr">
        <is>
          <t>4</t>
        </is>
      </c>
      <c r="R1815" s="5" t="inlineStr">
        <is>
          <t>8</t>
        </is>
      </c>
      <c r="S1815" s="5" t="inlineStr">
        <is>
          <t>40</t>
        </is>
      </c>
      <c r="T1815" s="5" t="inlineStr">
        <is>
          <t>6</t>
        </is>
      </c>
      <c r="U1815" s="5">
        <f>IFS(C1815&lt;30,"Under 30",C1815&lt;40,"30-39",C1815&lt;50,"40-49",TRUE,"50+")</f>
        <v/>
      </c>
      <c r="V1815" s="5">
        <f>IFS(O1815&lt;60000,"Low (&lt;60k)",O1815&lt;100000,"Mid (60-100k)",TRUE,"High (100k+)")</f>
        <v/>
      </c>
      <c r="W1815" s="5">
        <f>IF(M1815="No","Attrited","Active")</f>
        <v/>
      </c>
    </row>
    <row r="1816">
      <c r="A1816" s="5" t="inlineStr">
        <is>
          <t>E01815</t>
        </is>
      </c>
      <c r="B1816" s="5" t="inlineStr">
        <is>
          <t>Female</t>
        </is>
      </c>
      <c r="C1816" s="6" t="inlineStr">
        <is>
          <t>32</t>
        </is>
      </c>
      <c r="D1816" s="5" t="inlineStr">
        <is>
          <t>Married</t>
        </is>
      </c>
      <c r="E1816" s="5" t="inlineStr">
        <is>
          <t>Master</t>
        </is>
      </c>
      <c r="F1816" s="5" t="inlineStr">
        <is>
          <t>Finance</t>
        </is>
      </c>
      <c r="G1816" s="5" t="inlineStr">
        <is>
          <t>Financial Analyst</t>
        </is>
      </c>
      <c r="H1816" s="5" t="inlineStr">
        <is>
          <t>2</t>
        </is>
      </c>
      <c r="I1816" s="5" t="inlineStr">
        <is>
          <t>Chennai</t>
        </is>
      </c>
      <c r="J1816" s="5" t="inlineStr">
        <is>
          <t>Full-Time</t>
        </is>
      </c>
      <c r="K1816" s="7" t="n">
        <v>45447</v>
      </c>
      <c r="L1816" s="7" t="inlineStr"/>
      <c r="M1816" s="5" t="inlineStr">
        <is>
          <t>Yes</t>
        </is>
      </c>
      <c r="N1816" s="5" t="inlineStr"/>
      <c r="O1816" s="8" t="inlineStr">
        <is>
          <t>125000</t>
        </is>
      </c>
      <c r="P1816" s="5" t="inlineStr">
        <is>
          <t>20</t>
        </is>
      </c>
      <c r="Q1816" s="5" t="inlineStr">
        <is>
          <t>3</t>
        </is>
      </c>
      <c r="R1816" s="5" t="inlineStr">
        <is>
          <t>5</t>
        </is>
      </c>
      <c r="S1816" s="5" t="inlineStr">
        <is>
          <t>19</t>
        </is>
      </c>
      <c r="T1816" s="5" t="inlineStr">
        <is>
          <t>0</t>
        </is>
      </c>
      <c r="U1816" s="5">
        <f>IFS(C1816&lt;30,"Under 30",C1816&lt;40,"30-39",C1816&lt;50,"40-49",TRUE,"50+")</f>
        <v/>
      </c>
      <c r="V1816" s="5">
        <f>IFS(O1816&lt;60000,"Low (&lt;60k)",O1816&lt;100000,"Mid (60-100k)",TRUE,"High (100k+)")</f>
        <v/>
      </c>
      <c r="W1816" s="5">
        <f>IF(M1816="No","Attrited","Active")</f>
        <v/>
      </c>
    </row>
    <row r="1817">
      <c r="A1817" s="5" t="inlineStr">
        <is>
          <t>E01816</t>
        </is>
      </c>
      <c r="B1817" s="5" t="inlineStr">
        <is>
          <t>Female</t>
        </is>
      </c>
      <c r="C1817" s="6" t="inlineStr">
        <is>
          <t>25</t>
        </is>
      </c>
      <c r="D1817" s="5" t="inlineStr">
        <is>
          <t>Married</t>
        </is>
      </c>
      <c r="E1817" s="5" t="inlineStr">
        <is>
          <t>Bachelor</t>
        </is>
      </c>
      <c r="F1817" s="5" t="inlineStr">
        <is>
          <t>Sales</t>
        </is>
      </c>
      <c r="G1817" s="5" t="inlineStr">
        <is>
          <t>Sales Executive</t>
        </is>
      </c>
      <c r="H1817" s="5" t="inlineStr">
        <is>
          <t>1</t>
        </is>
      </c>
      <c r="I1817" s="5" t="inlineStr">
        <is>
          <t>Chennai</t>
        </is>
      </c>
      <c r="J1817" s="5" t="inlineStr">
        <is>
          <t>Full-Time</t>
        </is>
      </c>
      <c r="K1817" s="7" t="n">
        <v>45507</v>
      </c>
      <c r="L1817" s="7" t="inlineStr"/>
      <c r="M1817" s="5" t="inlineStr">
        <is>
          <t>Yes</t>
        </is>
      </c>
      <c r="N1817" s="5" t="inlineStr"/>
      <c r="O1817" s="8" t="inlineStr">
        <is>
          <t>96000</t>
        </is>
      </c>
      <c r="P1817" s="5" t="inlineStr">
        <is>
          <t>0</t>
        </is>
      </c>
      <c r="Q1817" s="5" t="inlineStr">
        <is>
          <t>4</t>
        </is>
      </c>
      <c r="R1817" s="5" t="inlineStr">
        <is>
          <t>4</t>
        </is>
      </c>
      <c r="S1817" s="5" t="inlineStr">
        <is>
          <t>17</t>
        </is>
      </c>
      <c r="T1817" s="5" t="inlineStr">
        <is>
          <t>16</t>
        </is>
      </c>
      <c r="U1817" s="5">
        <f>IFS(C1817&lt;30,"Under 30",C1817&lt;40,"30-39",C1817&lt;50,"40-49",TRUE,"50+")</f>
        <v/>
      </c>
      <c r="V1817" s="5">
        <f>IFS(O1817&lt;60000,"Low (&lt;60k)",O1817&lt;100000,"Mid (60-100k)",TRUE,"High (100k+)")</f>
        <v/>
      </c>
      <c r="W1817" s="5">
        <f>IF(M1817="No","Attrited","Active")</f>
        <v/>
      </c>
    </row>
    <row r="1818">
      <c r="A1818" s="5" t="inlineStr">
        <is>
          <t>E01817</t>
        </is>
      </c>
      <c r="B1818" s="5" t="inlineStr">
        <is>
          <t>Male</t>
        </is>
      </c>
      <c r="C1818" s="6" t="inlineStr">
        <is>
          <t>28</t>
        </is>
      </c>
      <c r="D1818" s="5" t="inlineStr">
        <is>
          <t>Married</t>
        </is>
      </c>
      <c r="E1818" s="5" t="inlineStr">
        <is>
          <t>High School</t>
        </is>
      </c>
      <c r="F1818" s="5" t="inlineStr">
        <is>
          <t>IT</t>
        </is>
      </c>
      <c r="G1818" s="5" t="inlineStr">
        <is>
          <t>IT Support</t>
        </is>
      </c>
      <c r="H1818" s="5" t="inlineStr">
        <is>
          <t>3</t>
        </is>
      </c>
      <c r="I1818" s="5" t="inlineStr">
        <is>
          <t>Remote</t>
        </is>
      </c>
      <c r="J1818" s="5" t="inlineStr">
        <is>
          <t>Full-Time</t>
        </is>
      </c>
      <c r="K1818" s="7" t="n">
        <v>44270</v>
      </c>
      <c r="L1818" s="7" t="inlineStr"/>
      <c r="M1818" s="5" t="inlineStr">
        <is>
          <t>Yes</t>
        </is>
      </c>
      <c r="N1818" s="5" t="inlineStr"/>
      <c r="O1818" s="8" t="inlineStr">
        <is>
          <t>189500</t>
        </is>
      </c>
      <c r="P1818" s="5" t="inlineStr">
        <is>
          <t>0</t>
        </is>
      </c>
      <c r="Q1818" s="5" t="inlineStr">
        <is>
          <t>3</t>
        </is>
      </c>
      <c r="R1818" s="5" t="inlineStr">
        <is>
          <t>6</t>
        </is>
      </c>
      <c r="S1818" s="5" t="inlineStr">
        <is>
          <t>58</t>
        </is>
      </c>
      <c r="T1818" s="5" t="inlineStr">
        <is>
          <t>6</t>
        </is>
      </c>
      <c r="U1818" s="5">
        <f>IFS(C1818&lt;30,"Under 30",C1818&lt;40,"30-39",C1818&lt;50,"40-49",TRUE,"50+")</f>
        <v/>
      </c>
      <c r="V1818" s="5">
        <f>IFS(O1818&lt;60000,"Low (&lt;60k)",O1818&lt;100000,"Mid (60-100k)",TRUE,"High (100k+)")</f>
        <v/>
      </c>
      <c r="W1818" s="5">
        <f>IF(M1818="No","Attrited","Active")</f>
        <v/>
      </c>
    </row>
    <row r="1819">
      <c r="A1819" s="5" t="inlineStr">
        <is>
          <t>E01818</t>
        </is>
      </c>
      <c r="B1819" s="5" t="inlineStr">
        <is>
          <t>Male</t>
        </is>
      </c>
      <c r="C1819" s="6" t="inlineStr">
        <is>
          <t>30</t>
        </is>
      </c>
      <c r="D1819" s="5" t="inlineStr">
        <is>
          <t>Married</t>
        </is>
      </c>
      <c r="E1819" s="5" t="inlineStr">
        <is>
          <t>PhD</t>
        </is>
      </c>
      <c r="F1819" s="5" t="inlineStr">
        <is>
          <t>Operations</t>
        </is>
      </c>
      <c r="G1819" s="5" t="inlineStr">
        <is>
          <t>Operations Analyst</t>
        </is>
      </c>
      <c r="H1819" s="5" t="inlineStr">
        <is>
          <t>2</t>
        </is>
      </c>
      <c r="I1819" s="5" t="inlineStr">
        <is>
          <t>Chennai</t>
        </is>
      </c>
      <c r="J1819" s="5" t="inlineStr">
        <is>
          <t>Full-Time</t>
        </is>
      </c>
      <c r="K1819" s="7" t="n">
        <v>45469</v>
      </c>
      <c r="L1819" s="7" t="n">
        <v>45568</v>
      </c>
      <c r="M1819" s="5" t="inlineStr">
        <is>
          <t>No</t>
        </is>
      </c>
      <c r="N1819" s="5" t="inlineStr">
        <is>
          <t>Resigned</t>
        </is>
      </c>
      <c r="O1819" s="8" t="inlineStr">
        <is>
          <t>72000</t>
        </is>
      </c>
      <c r="P1819" s="5" t="inlineStr">
        <is>
          <t>0</t>
        </is>
      </c>
      <c r="Q1819" s="5" t="inlineStr">
        <is>
          <t>4</t>
        </is>
      </c>
      <c r="R1819" s="5" t="inlineStr">
        <is>
          <t>5</t>
        </is>
      </c>
      <c r="S1819" s="5" t="inlineStr">
        <is>
          <t>3</t>
        </is>
      </c>
      <c r="T1819" s="5" t="inlineStr">
        <is>
          <t>13</t>
        </is>
      </c>
      <c r="U1819" s="5">
        <f>IFS(C1819&lt;30,"Under 30",C1819&lt;40,"30-39",C1819&lt;50,"40-49",TRUE,"50+")</f>
        <v/>
      </c>
      <c r="V1819" s="5">
        <f>IFS(O1819&lt;60000,"Low (&lt;60k)",O1819&lt;100000,"Mid (60-100k)",TRUE,"High (100k+)")</f>
        <v/>
      </c>
      <c r="W1819" s="5">
        <f>IF(M1819="No","Attrited","Active")</f>
        <v/>
      </c>
    </row>
    <row r="1820">
      <c r="A1820" s="5" t="inlineStr">
        <is>
          <t>E01819</t>
        </is>
      </c>
      <c r="B1820" s="5" t="inlineStr">
        <is>
          <t>Male</t>
        </is>
      </c>
      <c r="C1820" s="6" t="inlineStr">
        <is>
          <t>28</t>
        </is>
      </c>
      <c r="D1820" s="5" t="inlineStr">
        <is>
          <t>Married</t>
        </is>
      </c>
      <c r="E1820" s="5" t="inlineStr">
        <is>
          <t>PhD</t>
        </is>
      </c>
      <c r="F1820" s="5" t="inlineStr">
        <is>
          <t>Sales</t>
        </is>
      </c>
      <c r="G1820" s="5" t="inlineStr">
        <is>
          <t>Business Development</t>
        </is>
      </c>
      <c r="H1820" s="5" t="inlineStr">
        <is>
          <t>3</t>
        </is>
      </c>
      <c r="I1820" s="5" t="inlineStr">
        <is>
          <t>Hyderabad</t>
        </is>
      </c>
      <c r="J1820" s="5" t="inlineStr">
        <is>
          <t>Full-Time</t>
        </is>
      </c>
      <c r="K1820" s="7" t="n">
        <v>45074</v>
      </c>
      <c r="L1820" s="7" t="n">
        <v>45106</v>
      </c>
      <c r="M1820" s="5" t="inlineStr">
        <is>
          <t>No</t>
        </is>
      </c>
      <c r="N1820" s="5" t="inlineStr">
        <is>
          <t>Layoff</t>
        </is>
      </c>
      <c r="O1820" s="8" t="inlineStr">
        <is>
          <t>134000</t>
        </is>
      </c>
      <c r="P1820" s="5" t="inlineStr">
        <is>
          <t>10</t>
        </is>
      </c>
      <c r="Q1820" s="5" t="inlineStr">
        <is>
          <t>5</t>
        </is>
      </c>
      <c r="R1820" s="5" t="inlineStr">
        <is>
          <t>6</t>
        </is>
      </c>
      <c r="S1820" s="5" t="inlineStr">
        <is>
          <t>1</t>
        </is>
      </c>
      <c r="T1820" s="5" t="inlineStr">
        <is>
          <t>13</t>
        </is>
      </c>
      <c r="U1820" s="5">
        <f>IFS(C1820&lt;30,"Under 30",C1820&lt;40,"30-39",C1820&lt;50,"40-49",TRUE,"50+")</f>
        <v/>
      </c>
      <c r="V1820" s="5">
        <f>IFS(O1820&lt;60000,"Low (&lt;60k)",O1820&lt;100000,"Mid (60-100k)",TRUE,"High (100k+)")</f>
        <v/>
      </c>
      <c r="W1820" s="5">
        <f>IF(M1820="No","Attrited","Active")</f>
        <v/>
      </c>
    </row>
    <row r="1821">
      <c r="A1821" s="5" t="inlineStr">
        <is>
          <t>E01820</t>
        </is>
      </c>
      <c r="B1821" s="5" t="inlineStr">
        <is>
          <t>Female</t>
        </is>
      </c>
      <c r="C1821" s="6" t="inlineStr">
        <is>
          <t>30</t>
        </is>
      </c>
      <c r="D1821" s="5" t="inlineStr">
        <is>
          <t>Married</t>
        </is>
      </c>
      <c r="E1821" s="5" t="inlineStr">
        <is>
          <t>Bachelor</t>
        </is>
      </c>
      <c r="F1821" s="5" t="inlineStr">
        <is>
          <t>Sales</t>
        </is>
      </c>
      <c r="G1821" s="5" t="inlineStr">
        <is>
          <t>Account Executive</t>
        </is>
      </c>
      <c r="H1821" s="5" t="inlineStr">
        <is>
          <t>3</t>
        </is>
      </c>
      <c r="I1821" s="5" t="inlineStr">
        <is>
          <t>Hyderabad</t>
        </is>
      </c>
      <c r="J1821" s="5" t="inlineStr">
        <is>
          <t>Full-Time</t>
        </is>
      </c>
      <c r="K1821" s="7" t="n">
        <v>43928</v>
      </c>
      <c r="L1821" s="7" t="inlineStr"/>
      <c r="M1821" s="5" t="inlineStr">
        <is>
          <t>Yes</t>
        </is>
      </c>
      <c r="N1821" s="5" t="inlineStr"/>
      <c r="O1821" s="8" t="inlineStr">
        <is>
          <t>131500</t>
        </is>
      </c>
      <c r="P1821" s="5" t="inlineStr">
        <is>
          <t>10</t>
        </is>
      </c>
      <c r="Q1821" s="5" t="inlineStr">
        <is>
          <t>3</t>
        </is>
      </c>
      <c r="R1821" s="5" t="inlineStr">
        <is>
          <t>6</t>
        </is>
      </c>
      <c r="S1821" s="5" t="inlineStr">
        <is>
          <t>69</t>
        </is>
      </c>
      <c r="T1821" s="5" t="inlineStr">
        <is>
          <t>7</t>
        </is>
      </c>
      <c r="U1821" s="5">
        <f>IFS(C1821&lt;30,"Under 30",C1821&lt;40,"30-39",C1821&lt;50,"40-49",TRUE,"50+")</f>
        <v/>
      </c>
      <c r="V1821" s="5">
        <f>IFS(O1821&lt;60000,"Low (&lt;60k)",O1821&lt;100000,"Mid (60-100k)",TRUE,"High (100k+)")</f>
        <v/>
      </c>
      <c r="W1821" s="5">
        <f>IF(M1821="No","Attrited","Active")</f>
        <v/>
      </c>
    </row>
    <row r="1822">
      <c r="A1822" s="5" t="inlineStr">
        <is>
          <t>E01821</t>
        </is>
      </c>
      <c r="B1822" s="5" t="inlineStr">
        <is>
          <t>Male</t>
        </is>
      </c>
      <c r="C1822" s="6" t="inlineStr">
        <is>
          <t>44</t>
        </is>
      </c>
      <c r="D1822" s="5" t="inlineStr">
        <is>
          <t>Single</t>
        </is>
      </c>
      <c r="E1822" s="5" t="inlineStr">
        <is>
          <t>Diploma</t>
        </is>
      </c>
      <c r="F1822" s="5" t="inlineStr">
        <is>
          <t>Human Resources</t>
        </is>
      </c>
      <c r="G1822" s="5" t="inlineStr">
        <is>
          <t>Recruiter</t>
        </is>
      </c>
      <c r="H1822" s="5" t="inlineStr">
        <is>
          <t>7</t>
        </is>
      </c>
      <c r="I1822" s="5" t="inlineStr">
        <is>
          <t>Delhi</t>
        </is>
      </c>
      <c r="J1822" s="5" t="inlineStr">
        <is>
          <t>Full-Time</t>
        </is>
      </c>
      <c r="K1822" s="7" t="n">
        <v>43957</v>
      </c>
      <c r="L1822" s="7" t="inlineStr"/>
      <c r="M1822" s="5" t="inlineStr">
        <is>
          <t>Yes</t>
        </is>
      </c>
      <c r="N1822" s="5" t="inlineStr"/>
      <c r="O1822" s="8" t="inlineStr">
        <is>
          <t>148000</t>
        </is>
      </c>
      <c r="P1822" s="5" t="inlineStr">
        <is>
          <t>5</t>
        </is>
      </c>
      <c r="Q1822" s="5" t="inlineStr">
        <is>
          <t>4</t>
        </is>
      </c>
      <c r="R1822" s="5" t="inlineStr">
        <is>
          <t>6</t>
        </is>
      </c>
      <c r="S1822" s="5" t="inlineStr">
        <is>
          <t>68</t>
        </is>
      </c>
      <c r="T1822" s="5" t="inlineStr">
        <is>
          <t>17</t>
        </is>
      </c>
      <c r="U1822" s="5">
        <f>IFS(C1822&lt;30,"Under 30",C1822&lt;40,"30-39",C1822&lt;50,"40-49",TRUE,"50+")</f>
        <v/>
      </c>
      <c r="V1822" s="5">
        <f>IFS(O1822&lt;60000,"Low (&lt;60k)",O1822&lt;100000,"Mid (60-100k)",TRUE,"High (100k+)")</f>
        <v/>
      </c>
      <c r="W1822" s="5">
        <f>IF(M1822="No","Attrited","Active")</f>
        <v/>
      </c>
    </row>
    <row r="1823">
      <c r="A1823" s="5" t="inlineStr">
        <is>
          <t>E01822</t>
        </is>
      </c>
      <c r="B1823" s="5" t="inlineStr">
        <is>
          <t>Male</t>
        </is>
      </c>
      <c r="C1823" s="6" t="inlineStr">
        <is>
          <t>29</t>
        </is>
      </c>
      <c r="D1823" s="5" t="inlineStr">
        <is>
          <t>Married</t>
        </is>
      </c>
      <c r="E1823" s="5" t="inlineStr">
        <is>
          <t>Bachelor</t>
        </is>
      </c>
      <c r="F1823" s="5" t="inlineStr">
        <is>
          <t>Sales</t>
        </is>
      </c>
      <c r="G1823" s="5" t="inlineStr">
        <is>
          <t>Account Executive</t>
        </is>
      </c>
      <c r="H1823" s="5" t="inlineStr">
        <is>
          <t>4</t>
        </is>
      </c>
      <c r="I1823" s="5" t="inlineStr">
        <is>
          <t>Delhi</t>
        </is>
      </c>
      <c r="J1823" s="5" t="inlineStr">
        <is>
          <t>Full-Time</t>
        </is>
      </c>
      <c r="K1823" s="7" t="n">
        <v>44930</v>
      </c>
      <c r="L1823" s="7" t="n">
        <v>45003</v>
      </c>
      <c r="M1823" s="5" t="inlineStr">
        <is>
          <t>No</t>
        </is>
      </c>
      <c r="N1823" s="5" t="inlineStr">
        <is>
          <t>Resigned</t>
        </is>
      </c>
      <c r="O1823" s="8" t="inlineStr">
        <is>
          <t>148000</t>
        </is>
      </c>
      <c r="P1823" s="5" t="inlineStr">
        <is>
          <t>0</t>
        </is>
      </c>
      <c r="Q1823" s="5" t="inlineStr">
        <is>
          <t>1</t>
        </is>
      </c>
      <c r="R1823" s="5" t="inlineStr">
        <is>
          <t>6</t>
        </is>
      </c>
      <c r="S1823" s="5" t="inlineStr">
        <is>
          <t>2</t>
        </is>
      </c>
      <c r="T1823" s="5" t="inlineStr">
        <is>
          <t>0</t>
        </is>
      </c>
      <c r="U1823" s="5">
        <f>IFS(C1823&lt;30,"Under 30",C1823&lt;40,"30-39",C1823&lt;50,"40-49",TRUE,"50+")</f>
        <v/>
      </c>
      <c r="V1823" s="5">
        <f>IFS(O1823&lt;60000,"Low (&lt;60k)",O1823&lt;100000,"Mid (60-100k)",TRUE,"High (100k+)")</f>
        <v/>
      </c>
      <c r="W1823" s="5">
        <f>IF(M1823="No","Attrited","Active")</f>
        <v/>
      </c>
    </row>
    <row r="1824">
      <c r="A1824" s="5" t="inlineStr">
        <is>
          <t>E01823</t>
        </is>
      </c>
      <c r="B1824" s="5" t="inlineStr">
        <is>
          <t>Male</t>
        </is>
      </c>
      <c r="C1824" s="6" t="inlineStr">
        <is>
          <t>32</t>
        </is>
      </c>
      <c r="D1824" s="5" t="inlineStr">
        <is>
          <t>Married</t>
        </is>
      </c>
      <c r="E1824" s="5" t="inlineStr">
        <is>
          <t>Bachelor</t>
        </is>
      </c>
      <c r="F1824" s="5" t="inlineStr">
        <is>
          <t>Sales</t>
        </is>
      </c>
      <c r="G1824" s="5" t="inlineStr">
        <is>
          <t>Account Executive</t>
        </is>
      </c>
      <c r="H1824" s="5" t="inlineStr">
        <is>
          <t>2</t>
        </is>
      </c>
      <c r="I1824" s="5" t="inlineStr">
        <is>
          <t>Hyderabad</t>
        </is>
      </c>
      <c r="J1824" s="5" t="inlineStr">
        <is>
          <t>Full-Time</t>
        </is>
      </c>
      <c r="K1824" s="7" t="n">
        <v>45102</v>
      </c>
      <c r="L1824" s="7" t="inlineStr"/>
      <c r="M1824" s="5" t="inlineStr">
        <is>
          <t>Yes</t>
        </is>
      </c>
      <c r="N1824" s="5" t="inlineStr"/>
      <c r="O1824" s="8" t="inlineStr">
        <is>
          <t>68500</t>
        </is>
      </c>
      <c r="P1824" s="5" t="inlineStr">
        <is>
          <t>10</t>
        </is>
      </c>
      <c r="Q1824" s="5" t="inlineStr">
        <is>
          <t>4</t>
        </is>
      </c>
      <c r="R1824" s="5" t="inlineStr">
        <is>
          <t>7</t>
        </is>
      </c>
      <c r="S1824" s="5" t="inlineStr">
        <is>
          <t>30</t>
        </is>
      </c>
      <c r="T1824" s="5" t="inlineStr">
        <is>
          <t>2</t>
        </is>
      </c>
      <c r="U1824" s="5">
        <f>IFS(C1824&lt;30,"Under 30",C1824&lt;40,"30-39",C1824&lt;50,"40-49",TRUE,"50+")</f>
        <v/>
      </c>
      <c r="V1824" s="5">
        <f>IFS(O1824&lt;60000,"Low (&lt;60k)",O1824&lt;100000,"Mid (60-100k)",TRUE,"High (100k+)")</f>
        <v/>
      </c>
      <c r="W1824" s="5">
        <f>IF(M1824="No","Attrited","Active")</f>
        <v/>
      </c>
    </row>
    <row r="1825">
      <c r="A1825" s="5" t="inlineStr">
        <is>
          <t>E01824</t>
        </is>
      </c>
      <c r="B1825" s="5" t="inlineStr">
        <is>
          <t>Female</t>
        </is>
      </c>
      <c r="C1825" s="6" t="inlineStr">
        <is>
          <t>32</t>
        </is>
      </c>
      <c r="D1825" s="5" t="inlineStr">
        <is>
          <t>Married</t>
        </is>
      </c>
      <c r="E1825" s="5" t="inlineStr">
        <is>
          <t>High School</t>
        </is>
      </c>
      <c r="F1825" s="5" t="inlineStr">
        <is>
          <t>Finance</t>
        </is>
      </c>
      <c r="G1825" s="5" t="inlineStr">
        <is>
          <t>Financial Analyst</t>
        </is>
      </c>
      <c r="H1825" s="5" t="inlineStr">
        <is>
          <t>1</t>
        </is>
      </c>
      <c r="I1825" s="5" t="inlineStr">
        <is>
          <t>Delhi</t>
        </is>
      </c>
      <c r="J1825" s="5" t="inlineStr">
        <is>
          <t>Full-Time</t>
        </is>
      </c>
      <c r="K1825" s="7" t="n">
        <v>45125</v>
      </c>
      <c r="L1825" s="7" t="inlineStr"/>
      <c r="M1825" s="5" t="inlineStr">
        <is>
          <t>Yes</t>
        </is>
      </c>
      <c r="N1825" s="5" t="inlineStr"/>
      <c r="O1825" s="8" t="inlineStr">
        <is>
          <t>87500</t>
        </is>
      </c>
      <c r="P1825" s="5" t="inlineStr">
        <is>
          <t>10</t>
        </is>
      </c>
      <c r="Q1825" s="5" t="inlineStr">
        <is>
          <t>5</t>
        </is>
      </c>
      <c r="R1825" s="5" t="inlineStr">
        <is>
          <t>4</t>
        </is>
      </c>
      <c r="S1825" s="5" t="inlineStr">
        <is>
          <t>29</t>
        </is>
      </c>
      <c r="T1825" s="5" t="inlineStr">
        <is>
          <t>13</t>
        </is>
      </c>
      <c r="U1825" s="5">
        <f>IFS(C1825&lt;30,"Under 30",C1825&lt;40,"30-39",C1825&lt;50,"40-49",TRUE,"50+")</f>
        <v/>
      </c>
      <c r="V1825" s="5">
        <f>IFS(O1825&lt;60000,"Low (&lt;60k)",O1825&lt;100000,"Mid (60-100k)",TRUE,"High (100k+)")</f>
        <v/>
      </c>
      <c r="W1825" s="5">
        <f>IF(M1825="No","Attrited","Active")</f>
        <v/>
      </c>
    </row>
    <row r="1826">
      <c r="A1826" s="5" t="inlineStr">
        <is>
          <t>E01825</t>
        </is>
      </c>
      <c r="B1826" s="5" t="inlineStr">
        <is>
          <t>Male</t>
        </is>
      </c>
      <c r="C1826" s="6" t="inlineStr">
        <is>
          <t>36</t>
        </is>
      </c>
      <c r="D1826" s="5" t="inlineStr">
        <is>
          <t>Single</t>
        </is>
      </c>
      <c r="E1826" s="5" t="inlineStr">
        <is>
          <t>High School</t>
        </is>
      </c>
      <c r="F1826" s="5" t="inlineStr">
        <is>
          <t>Human Resources</t>
        </is>
      </c>
      <c r="G1826" s="5" t="inlineStr">
        <is>
          <t>HR Analyst</t>
        </is>
      </c>
      <c r="H1826" s="5" t="inlineStr">
        <is>
          <t>2</t>
        </is>
      </c>
      <c r="I1826" s="5" t="inlineStr">
        <is>
          <t>Chennai</t>
        </is>
      </c>
      <c r="J1826" s="5" t="inlineStr">
        <is>
          <t>Full-Time</t>
        </is>
      </c>
      <c r="K1826" s="7" t="n">
        <v>43940</v>
      </c>
      <c r="L1826" s="7" t="inlineStr"/>
      <c r="M1826" s="5" t="inlineStr">
        <is>
          <t>Yes</t>
        </is>
      </c>
      <c r="N1826" s="5" t="inlineStr"/>
      <c r="O1826" s="8" t="inlineStr">
        <is>
          <t>73500</t>
        </is>
      </c>
      <c r="P1826" s="5" t="inlineStr">
        <is>
          <t>0</t>
        </is>
      </c>
      <c r="Q1826" s="5" t="inlineStr">
        <is>
          <t>3</t>
        </is>
      </c>
      <c r="R1826" s="5" t="inlineStr">
        <is>
          <t>7</t>
        </is>
      </c>
      <c r="S1826" s="5" t="inlineStr">
        <is>
          <t>69</t>
        </is>
      </c>
      <c r="T1826" s="5" t="inlineStr">
        <is>
          <t>4</t>
        </is>
      </c>
      <c r="U1826" s="5">
        <f>IFS(C1826&lt;30,"Under 30",C1826&lt;40,"30-39",C1826&lt;50,"40-49",TRUE,"50+")</f>
        <v/>
      </c>
      <c r="V1826" s="5">
        <f>IFS(O1826&lt;60000,"Low (&lt;60k)",O1826&lt;100000,"Mid (60-100k)",TRUE,"High (100k+)")</f>
        <v/>
      </c>
      <c r="W1826" s="5">
        <f>IF(M1826="No","Attrited","Active")</f>
        <v/>
      </c>
    </row>
    <row r="1827">
      <c r="A1827" s="5" t="inlineStr">
        <is>
          <t>E01826</t>
        </is>
      </c>
      <c r="B1827" s="5" t="inlineStr">
        <is>
          <t>Male</t>
        </is>
      </c>
      <c r="C1827" s="6" t="inlineStr">
        <is>
          <t>35</t>
        </is>
      </c>
      <c r="D1827" s="5" t="inlineStr">
        <is>
          <t>Married</t>
        </is>
      </c>
      <c r="E1827" s="5" t="inlineStr">
        <is>
          <t>PhD</t>
        </is>
      </c>
      <c r="F1827" s="5" t="inlineStr">
        <is>
          <t>Human Resources</t>
        </is>
      </c>
      <c r="G1827" s="5" t="inlineStr">
        <is>
          <t>HR Analyst</t>
        </is>
      </c>
      <c r="H1827" s="5" t="inlineStr">
        <is>
          <t>4</t>
        </is>
      </c>
      <c r="I1827" s="5" t="inlineStr">
        <is>
          <t>Delhi</t>
        </is>
      </c>
      <c r="J1827" s="5" t="inlineStr">
        <is>
          <t>Part-Time</t>
        </is>
      </c>
      <c r="K1827" s="7" t="n">
        <v>44147</v>
      </c>
      <c r="L1827" s="7" t="inlineStr"/>
      <c r="M1827" s="5" t="inlineStr">
        <is>
          <t>Yes</t>
        </is>
      </c>
      <c r="N1827" s="5" t="inlineStr"/>
      <c r="O1827" s="8" t="inlineStr">
        <is>
          <t>102000</t>
        </is>
      </c>
      <c r="P1827" s="5" t="inlineStr">
        <is>
          <t>0</t>
        </is>
      </c>
      <c r="Q1827" s="5" t="inlineStr">
        <is>
          <t>3</t>
        </is>
      </c>
      <c r="R1827" s="5" t="inlineStr">
        <is>
          <t>6</t>
        </is>
      </c>
      <c r="S1827" s="5" t="inlineStr">
        <is>
          <t>62</t>
        </is>
      </c>
      <c r="T1827" s="5" t="inlineStr">
        <is>
          <t>13</t>
        </is>
      </c>
      <c r="U1827" s="5">
        <f>IFS(C1827&lt;30,"Under 30",C1827&lt;40,"30-39",C1827&lt;50,"40-49",TRUE,"50+")</f>
        <v/>
      </c>
      <c r="V1827" s="5">
        <f>IFS(O1827&lt;60000,"Low (&lt;60k)",O1827&lt;100000,"Mid (60-100k)",TRUE,"High (100k+)")</f>
        <v/>
      </c>
      <c r="W1827" s="5">
        <f>IF(M1827="No","Attrited","Active")</f>
        <v/>
      </c>
    </row>
    <row r="1828">
      <c r="A1828" s="5" t="inlineStr">
        <is>
          <t>E01827</t>
        </is>
      </c>
      <c r="B1828" s="5" t="inlineStr">
        <is>
          <t>Male</t>
        </is>
      </c>
      <c r="C1828" s="6" t="inlineStr">
        <is>
          <t>30</t>
        </is>
      </c>
      <c r="D1828" s="5" t="inlineStr">
        <is>
          <t>Single</t>
        </is>
      </c>
      <c r="E1828" s="5" t="inlineStr">
        <is>
          <t>Bachelor</t>
        </is>
      </c>
      <c r="F1828" s="5" t="inlineStr">
        <is>
          <t>Customer Support</t>
        </is>
      </c>
      <c r="G1828" s="5" t="inlineStr">
        <is>
          <t>Support Lead</t>
        </is>
      </c>
      <c r="H1828" s="5" t="inlineStr">
        <is>
          <t>2</t>
        </is>
      </c>
      <c r="I1828" s="5" t="inlineStr">
        <is>
          <t>Delhi</t>
        </is>
      </c>
      <c r="J1828" s="5" t="inlineStr">
        <is>
          <t>Full-Time</t>
        </is>
      </c>
      <c r="K1828" s="7" t="n">
        <v>45038</v>
      </c>
      <c r="L1828" s="7" t="inlineStr"/>
      <c r="M1828" s="5" t="inlineStr">
        <is>
          <t>Yes</t>
        </is>
      </c>
      <c r="N1828" s="5" t="inlineStr"/>
      <c r="O1828" s="8" t="inlineStr">
        <is>
          <t>58000</t>
        </is>
      </c>
      <c r="P1828" s="5" t="inlineStr">
        <is>
          <t>10</t>
        </is>
      </c>
      <c r="Q1828" s="5" t="inlineStr">
        <is>
          <t>3</t>
        </is>
      </c>
      <c r="R1828" s="5" t="inlineStr">
        <is>
          <t>8</t>
        </is>
      </c>
      <c r="S1828" s="5" t="inlineStr">
        <is>
          <t>32</t>
        </is>
      </c>
      <c r="T1828" s="5" t="inlineStr">
        <is>
          <t>8</t>
        </is>
      </c>
      <c r="U1828" s="5">
        <f>IFS(C1828&lt;30,"Under 30",C1828&lt;40,"30-39",C1828&lt;50,"40-49",TRUE,"50+")</f>
        <v/>
      </c>
      <c r="V1828" s="5">
        <f>IFS(O1828&lt;60000,"Low (&lt;60k)",O1828&lt;100000,"Mid (60-100k)",TRUE,"High (100k+)")</f>
        <v/>
      </c>
      <c r="W1828" s="5">
        <f>IF(M1828="No","Attrited","Active")</f>
        <v/>
      </c>
    </row>
    <row r="1829">
      <c r="A1829" s="5" t="inlineStr">
        <is>
          <t>E01828</t>
        </is>
      </c>
      <c r="B1829" s="5" t="inlineStr">
        <is>
          <t>Female</t>
        </is>
      </c>
      <c r="C1829" s="6" t="inlineStr">
        <is>
          <t>30</t>
        </is>
      </c>
      <c r="D1829" s="5" t="inlineStr">
        <is>
          <t>Married</t>
        </is>
      </c>
      <c r="E1829" s="5" t="inlineStr">
        <is>
          <t>Master</t>
        </is>
      </c>
      <c r="F1829" s="5" t="inlineStr">
        <is>
          <t>Human Resources</t>
        </is>
      </c>
      <c r="G1829" s="5" t="inlineStr">
        <is>
          <t>Recruiter</t>
        </is>
      </c>
      <c r="H1829" s="5" t="inlineStr">
        <is>
          <t>4</t>
        </is>
      </c>
      <c r="I1829" s="5" t="inlineStr">
        <is>
          <t>Remote</t>
        </is>
      </c>
      <c r="J1829" s="5" t="inlineStr">
        <is>
          <t>Full-Time</t>
        </is>
      </c>
      <c r="K1829" s="7" t="n">
        <v>45563</v>
      </c>
      <c r="L1829" s="7" t="inlineStr"/>
      <c r="M1829" s="5" t="inlineStr">
        <is>
          <t>Yes</t>
        </is>
      </c>
      <c r="N1829" s="5" t="inlineStr"/>
      <c r="O1829" s="8" t="inlineStr">
        <is>
          <t>104500</t>
        </is>
      </c>
      <c r="P1829" s="5" t="inlineStr">
        <is>
          <t>0</t>
        </is>
      </c>
      <c r="Q1829" s="5" t="inlineStr">
        <is>
          <t>3</t>
        </is>
      </c>
      <c r="R1829" s="5" t="inlineStr">
        <is>
          <t>6</t>
        </is>
      </c>
      <c r="S1829" s="5" t="inlineStr">
        <is>
          <t>15</t>
        </is>
      </c>
      <c r="T1829" s="5" t="inlineStr">
        <is>
          <t>0</t>
        </is>
      </c>
      <c r="U1829" s="5">
        <f>IFS(C1829&lt;30,"Under 30",C1829&lt;40,"30-39",C1829&lt;50,"40-49",TRUE,"50+")</f>
        <v/>
      </c>
      <c r="V1829" s="5">
        <f>IFS(O1829&lt;60000,"Low (&lt;60k)",O1829&lt;100000,"Mid (60-100k)",TRUE,"High (100k+)")</f>
        <v/>
      </c>
      <c r="W1829" s="5">
        <f>IF(M1829="No","Attrited","Active")</f>
        <v/>
      </c>
    </row>
    <row r="1830">
      <c r="A1830" s="5" t="inlineStr">
        <is>
          <t>E01829</t>
        </is>
      </c>
      <c r="B1830" s="5" t="inlineStr">
        <is>
          <t>Female</t>
        </is>
      </c>
      <c r="C1830" s="6" t="inlineStr">
        <is>
          <t>31</t>
        </is>
      </c>
      <c r="D1830" s="5" t="inlineStr">
        <is>
          <t>Married</t>
        </is>
      </c>
      <c r="E1830" s="5" t="inlineStr">
        <is>
          <t>Bachelor</t>
        </is>
      </c>
      <c r="F1830" s="5" t="inlineStr">
        <is>
          <t>Operations</t>
        </is>
      </c>
      <c r="G1830" s="5" t="inlineStr">
        <is>
          <t>Operations Analyst</t>
        </is>
      </c>
      <c r="H1830" s="5" t="inlineStr">
        <is>
          <t>2</t>
        </is>
      </c>
      <c r="I1830" s="5" t="inlineStr">
        <is>
          <t>Remote</t>
        </is>
      </c>
      <c r="J1830" s="5" t="inlineStr">
        <is>
          <t>Full-Time</t>
        </is>
      </c>
      <c r="K1830" s="7" t="n">
        <v>44750</v>
      </c>
      <c r="L1830" s="7" t="inlineStr"/>
      <c r="M1830" s="5" t="inlineStr">
        <is>
          <t>Yes</t>
        </is>
      </c>
      <c r="N1830" s="5" t="inlineStr"/>
      <c r="O1830" s="8" t="inlineStr">
        <is>
          <t>109000</t>
        </is>
      </c>
      <c r="P1830" s="5" t="inlineStr">
        <is>
          <t>5</t>
        </is>
      </c>
      <c r="Q1830" s="5" t="inlineStr">
        <is>
          <t>3</t>
        </is>
      </c>
      <c r="R1830" s="5" t="inlineStr">
        <is>
          <t>5</t>
        </is>
      </c>
      <c r="S1830" s="5" t="inlineStr">
        <is>
          <t>42</t>
        </is>
      </c>
      <c r="T1830" s="5" t="inlineStr">
        <is>
          <t>11</t>
        </is>
      </c>
      <c r="U1830" s="5">
        <f>IFS(C1830&lt;30,"Under 30",C1830&lt;40,"30-39",C1830&lt;50,"40-49",TRUE,"50+")</f>
        <v/>
      </c>
      <c r="V1830" s="5">
        <f>IFS(O1830&lt;60000,"Low (&lt;60k)",O1830&lt;100000,"Mid (60-100k)",TRUE,"High (100k+)")</f>
        <v/>
      </c>
      <c r="W1830" s="5">
        <f>IF(M1830="No","Attrited","Active")</f>
        <v/>
      </c>
    </row>
    <row r="1831">
      <c r="A1831" s="5" t="inlineStr">
        <is>
          <t>E01830</t>
        </is>
      </c>
      <c r="B1831" s="5" t="inlineStr">
        <is>
          <t>Male</t>
        </is>
      </c>
      <c r="C1831" s="6" t="inlineStr">
        <is>
          <t>36</t>
        </is>
      </c>
      <c r="D1831" s="5" t="inlineStr">
        <is>
          <t>Married</t>
        </is>
      </c>
      <c r="E1831" s="5" t="inlineStr">
        <is>
          <t>Bachelor</t>
        </is>
      </c>
      <c r="F1831" s="5" t="inlineStr">
        <is>
          <t>Operations</t>
        </is>
      </c>
      <c r="G1831" s="5" t="inlineStr">
        <is>
          <t>Quality Analyst</t>
        </is>
      </c>
      <c r="H1831" s="5" t="inlineStr">
        <is>
          <t>2</t>
        </is>
      </c>
      <c r="I1831" s="5" t="inlineStr">
        <is>
          <t>Remote</t>
        </is>
      </c>
      <c r="J1831" s="5" t="inlineStr">
        <is>
          <t>Part-Time</t>
        </is>
      </c>
      <c r="K1831" s="7" t="n">
        <v>45854</v>
      </c>
      <c r="L1831" s="7" t="n">
        <v>45909</v>
      </c>
      <c r="M1831" s="5" t="inlineStr">
        <is>
          <t>No</t>
        </is>
      </c>
      <c r="N1831" s="5" t="inlineStr">
        <is>
          <t>Retirement</t>
        </is>
      </c>
      <c r="O1831" s="8" t="inlineStr">
        <is>
          <t>75000</t>
        </is>
      </c>
      <c r="P1831" s="5" t="inlineStr">
        <is>
          <t>10</t>
        </is>
      </c>
      <c r="Q1831" s="5" t="inlineStr">
        <is>
          <t>4</t>
        </is>
      </c>
      <c r="R1831" s="5" t="inlineStr">
        <is>
          <t>5</t>
        </is>
      </c>
      <c r="S1831" s="5" t="inlineStr">
        <is>
          <t>1</t>
        </is>
      </c>
      <c r="T1831" s="5" t="inlineStr">
        <is>
          <t>7</t>
        </is>
      </c>
      <c r="U1831" s="5">
        <f>IFS(C1831&lt;30,"Under 30",C1831&lt;40,"30-39",C1831&lt;50,"40-49",TRUE,"50+")</f>
        <v/>
      </c>
      <c r="V1831" s="5">
        <f>IFS(O1831&lt;60000,"Low (&lt;60k)",O1831&lt;100000,"Mid (60-100k)",TRUE,"High (100k+)")</f>
        <v/>
      </c>
      <c r="W1831" s="5">
        <f>IF(M1831="No","Attrited","Active")</f>
        <v/>
      </c>
    </row>
    <row r="1832">
      <c r="A1832" s="5" t="inlineStr">
        <is>
          <t>E01831</t>
        </is>
      </c>
      <c r="B1832" s="5" t="inlineStr">
        <is>
          <t>Female</t>
        </is>
      </c>
      <c r="C1832" s="6" t="inlineStr">
        <is>
          <t>41</t>
        </is>
      </c>
      <c r="D1832" s="5" t="inlineStr">
        <is>
          <t>Married</t>
        </is>
      </c>
      <c r="E1832" s="5" t="inlineStr">
        <is>
          <t>Diploma</t>
        </is>
      </c>
      <c r="F1832" s="5" t="inlineStr">
        <is>
          <t>IT</t>
        </is>
      </c>
      <c r="G1832" s="5" t="inlineStr">
        <is>
          <t>IT Support</t>
        </is>
      </c>
      <c r="H1832" s="5" t="inlineStr">
        <is>
          <t>6</t>
        </is>
      </c>
      <c r="I1832" s="5" t="inlineStr">
        <is>
          <t>Bengaluru</t>
        </is>
      </c>
      <c r="J1832" s="5" t="inlineStr">
        <is>
          <t>Full-Time</t>
        </is>
      </c>
      <c r="K1832" s="7" t="n">
        <v>44310</v>
      </c>
      <c r="L1832" s="7" t="inlineStr"/>
      <c r="M1832" s="5" t="inlineStr">
        <is>
          <t>Yes</t>
        </is>
      </c>
      <c r="N1832" s="5" t="inlineStr"/>
      <c r="O1832" s="8" t="inlineStr">
        <is>
          <t>211000</t>
        </is>
      </c>
      <c r="P1832" s="5" t="inlineStr">
        <is>
          <t>5</t>
        </is>
      </c>
      <c r="Q1832" s="5" t="inlineStr">
        <is>
          <t>4</t>
        </is>
      </c>
      <c r="R1832" s="5" t="inlineStr">
        <is>
          <t>6</t>
        </is>
      </c>
      <c r="S1832" s="5" t="inlineStr">
        <is>
          <t>57</t>
        </is>
      </c>
      <c r="T1832" s="5" t="inlineStr">
        <is>
          <t>0</t>
        </is>
      </c>
      <c r="U1832" s="5">
        <f>IFS(C1832&lt;30,"Under 30",C1832&lt;40,"30-39",C1832&lt;50,"40-49",TRUE,"50+")</f>
        <v/>
      </c>
      <c r="V1832" s="5">
        <f>IFS(O1832&lt;60000,"Low (&lt;60k)",O1832&lt;100000,"Mid (60-100k)",TRUE,"High (100k+)")</f>
        <v/>
      </c>
      <c r="W1832" s="5">
        <f>IF(M1832="No","Attrited","Active")</f>
        <v/>
      </c>
    </row>
    <row r="1833">
      <c r="A1833" s="5" t="inlineStr">
        <is>
          <t>E01832</t>
        </is>
      </c>
      <c r="B1833" s="5" t="inlineStr">
        <is>
          <t>Female</t>
        </is>
      </c>
      <c r="C1833" s="6" t="inlineStr">
        <is>
          <t>30</t>
        </is>
      </c>
      <c r="D1833" s="5" t="inlineStr">
        <is>
          <t>Married</t>
        </is>
      </c>
      <c r="E1833" s="5" t="inlineStr">
        <is>
          <t>Diploma</t>
        </is>
      </c>
      <c r="F1833" s="5" t="inlineStr">
        <is>
          <t>Sales</t>
        </is>
      </c>
      <c r="G1833" s="5" t="inlineStr">
        <is>
          <t>Business Development</t>
        </is>
      </c>
      <c r="H1833" s="5" t="inlineStr">
        <is>
          <t>2</t>
        </is>
      </c>
      <c r="I1833" s="5" t="inlineStr">
        <is>
          <t>Delhi</t>
        </is>
      </c>
      <c r="J1833" s="5" t="inlineStr">
        <is>
          <t>Full-Time</t>
        </is>
      </c>
      <c r="K1833" s="7" t="n">
        <v>44745</v>
      </c>
      <c r="L1833" s="7" t="inlineStr"/>
      <c r="M1833" s="5" t="inlineStr">
        <is>
          <t>Yes</t>
        </is>
      </c>
      <c r="N1833" s="5" t="inlineStr"/>
      <c r="O1833" s="8" t="inlineStr">
        <is>
          <t>81000</t>
        </is>
      </c>
      <c r="P1833" s="5" t="inlineStr">
        <is>
          <t>5</t>
        </is>
      </c>
      <c r="Q1833" s="5" t="inlineStr">
        <is>
          <t>3</t>
        </is>
      </c>
      <c r="R1833" s="5" t="inlineStr">
        <is>
          <t>6</t>
        </is>
      </c>
      <c r="S1833" s="5" t="inlineStr">
        <is>
          <t>42</t>
        </is>
      </c>
      <c r="T1833" s="5" t="inlineStr">
        <is>
          <t>5</t>
        </is>
      </c>
      <c r="U1833" s="5">
        <f>IFS(C1833&lt;30,"Under 30",C1833&lt;40,"30-39",C1833&lt;50,"40-49",TRUE,"50+")</f>
        <v/>
      </c>
      <c r="V1833" s="5">
        <f>IFS(O1833&lt;60000,"Low (&lt;60k)",O1833&lt;100000,"Mid (60-100k)",TRUE,"High (100k+)")</f>
        <v/>
      </c>
      <c r="W1833" s="5">
        <f>IF(M1833="No","Attrited","Active")</f>
        <v/>
      </c>
    </row>
    <row r="1834">
      <c r="A1834" s="5" t="inlineStr">
        <is>
          <t>E01833</t>
        </is>
      </c>
      <c r="B1834" s="5" t="inlineStr">
        <is>
          <t>Male</t>
        </is>
      </c>
      <c r="C1834" s="6" t="inlineStr">
        <is>
          <t>31</t>
        </is>
      </c>
      <c r="D1834" s="5" t="inlineStr">
        <is>
          <t>Married</t>
        </is>
      </c>
      <c r="E1834" s="5" t="inlineStr">
        <is>
          <t>Diploma</t>
        </is>
      </c>
      <c r="F1834" s="5" t="inlineStr">
        <is>
          <t>Customer Support</t>
        </is>
      </c>
      <c r="G1834" s="5" t="inlineStr">
        <is>
          <t>Support Lead</t>
        </is>
      </c>
      <c r="H1834" s="5" t="inlineStr">
        <is>
          <t>3</t>
        </is>
      </c>
      <c r="I1834" s="5" t="inlineStr">
        <is>
          <t>Delhi</t>
        </is>
      </c>
      <c r="J1834" s="5" t="inlineStr">
        <is>
          <t>Full-Time</t>
        </is>
      </c>
      <c r="K1834" s="7" t="n">
        <v>44854</v>
      </c>
      <c r="L1834" s="7" t="n">
        <v>44905</v>
      </c>
      <c r="M1834" s="5" t="inlineStr">
        <is>
          <t>No</t>
        </is>
      </c>
      <c r="N1834" s="5" t="inlineStr">
        <is>
          <t>Resigned</t>
        </is>
      </c>
      <c r="O1834" s="8" t="inlineStr">
        <is>
          <t>72500</t>
        </is>
      </c>
      <c r="P1834" s="5" t="inlineStr">
        <is>
          <t>10</t>
        </is>
      </c>
      <c r="Q1834" s="5" t="inlineStr">
        <is>
          <t>5</t>
        </is>
      </c>
      <c r="R1834" s="5" t="inlineStr">
        <is>
          <t>7</t>
        </is>
      </c>
      <c r="S1834" s="5" t="inlineStr">
        <is>
          <t>1</t>
        </is>
      </c>
      <c r="T1834" s="5" t="inlineStr">
        <is>
          <t>12</t>
        </is>
      </c>
      <c r="U1834" s="5">
        <f>IFS(C1834&lt;30,"Under 30",C1834&lt;40,"30-39",C1834&lt;50,"40-49",TRUE,"50+")</f>
        <v/>
      </c>
      <c r="V1834" s="5">
        <f>IFS(O1834&lt;60000,"Low (&lt;60k)",O1834&lt;100000,"Mid (60-100k)",TRUE,"High (100k+)")</f>
        <v/>
      </c>
      <c r="W1834" s="5">
        <f>IF(M1834="No","Attrited","Active")</f>
        <v/>
      </c>
    </row>
    <row r="1835">
      <c r="A1835" s="5" t="inlineStr">
        <is>
          <t>E01834</t>
        </is>
      </c>
      <c r="B1835" s="5" t="inlineStr">
        <is>
          <t>Male</t>
        </is>
      </c>
      <c r="C1835" s="6" t="inlineStr">
        <is>
          <t>38</t>
        </is>
      </c>
      <c r="D1835" s="5" t="inlineStr">
        <is>
          <t>Married</t>
        </is>
      </c>
      <c r="E1835" s="5" t="inlineStr">
        <is>
          <t>Bachelor</t>
        </is>
      </c>
      <c r="F1835" s="5" t="inlineStr">
        <is>
          <t>Sales</t>
        </is>
      </c>
      <c r="G1835" s="5" t="inlineStr">
        <is>
          <t>Account Executive</t>
        </is>
      </c>
      <c r="H1835" s="5" t="inlineStr">
        <is>
          <t>5</t>
        </is>
      </c>
      <c r="I1835" s="5" t="inlineStr">
        <is>
          <t>Mumbai</t>
        </is>
      </c>
      <c r="J1835" s="5" t="inlineStr">
        <is>
          <t>Full-Time</t>
        </is>
      </c>
      <c r="K1835" s="7" t="n">
        <v>45662</v>
      </c>
      <c r="L1835" s="7" t="inlineStr"/>
      <c r="M1835" s="5" t="inlineStr">
        <is>
          <t>Yes</t>
        </is>
      </c>
      <c r="N1835" s="5" t="inlineStr"/>
      <c r="O1835" s="8" t="inlineStr">
        <is>
          <t>144000</t>
        </is>
      </c>
      <c r="P1835" s="5" t="inlineStr">
        <is>
          <t>10</t>
        </is>
      </c>
      <c r="Q1835" s="5" t="inlineStr">
        <is>
          <t>2</t>
        </is>
      </c>
      <c r="R1835" s="5" t="inlineStr">
        <is>
          <t>7</t>
        </is>
      </c>
      <c r="S1835" s="5" t="inlineStr">
        <is>
          <t>12</t>
        </is>
      </c>
      <c r="T1835" s="5" t="inlineStr">
        <is>
          <t>0</t>
        </is>
      </c>
      <c r="U1835" s="5">
        <f>IFS(C1835&lt;30,"Under 30",C1835&lt;40,"30-39",C1835&lt;50,"40-49",TRUE,"50+")</f>
        <v/>
      </c>
      <c r="V1835" s="5">
        <f>IFS(O1835&lt;60000,"Low (&lt;60k)",O1835&lt;100000,"Mid (60-100k)",TRUE,"High (100k+)")</f>
        <v/>
      </c>
      <c r="W1835" s="5">
        <f>IF(M1835="No","Attrited","Active")</f>
        <v/>
      </c>
    </row>
    <row r="1836">
      <c r="A1836" s="5" t="inlineStr">
        <is>
          <t>E01835</t>
        </is>
      </c>
      <c r="B1836" s="5" t="inlineStr">
        <is>
          <t>Male</t>
        </is>
      </c>
      <c r="C1836" s="6" t="inlineStr">
        <is>
          <t>35</t>
        </is>
      </c>
      <c r="D1836" s="5" t="inlineStr">
        <is>
          <t>Single</t>
        </is>
      </c>
      <c r="E1836" s="5" t="inlineStr">
        <is>
          <t>High School</t>
        </is>
      </c>
      <c r="F1836" s="5" t="inlineStr">
        <is>
          <t>Marketing</t>
        </is>
      </c>
      <c r="G1836" s="5" t="inlineStr">
        <is>
          <t>SEO Specialist</t>
        </is>
      </c>
      <c r="H1836" s="5" t="inlineStr">
        <is>
          <t>4</t>
        </is>
      </c>
      <c r="I1836" s="5" t="inlineStr">
        <is>
          <t>Bengaluru</t>
        </is>
      </c>
      <c r="J1836" s="5" t="inlineStr">
        <is>
          <t>Full-Time</t>
        </is>
      </c>
      <c r="K1836" s="7" t="n">
        <v>44857</v>
      </c>
      <c r="L1836" s="7" t="inlineStr"/>
      <c r="M1836" s="5" t="inlineStr">
        <is>
          <t>Yes</t>
        </is>
      </c>
      <c r="N1836" s="5" t="inlineStr"/>
      <c r="O1836" s="8" t="inlineStr">
        <is>
          <t>95500</t>
        </is>
      </c>
      <c r="P1836" s="5" t="inlineStr">
        <is>
          <t>15</t>
        </is>
      </c>
      <c r="Q1836" s="5" t="inlineStr">
        <is>
          <t>5</t>
        </is>
      </c>
      <c r="R1836" s="5" t="inlineStr">
        <is>
          <t>5</t>
        </is>
      </c>
      <c r="S1836" s="5" t="inlineStr">
        <is>
          <t>38</t>
        </is>
      </c>
      <c r="T1836" s="5" t="inlineStr">
        <is>
          <t>4</t>
        </is>
      </c>
      <c r="U1836" s="5">
        <f>IFS(C1836&lt;30,"Under 30",C1836&lt;40,"30-39",C1836&lt;50,"40-49",TRUE,"50+")</f>
        <v/>
      </c>
      <c r="V1836" s="5">
        <f>IFS(O1836&lt;60000,"Low (&lt;60k)",O1836&lt;100000,"Mid (60-100k)",TRUE,"High (100k+)")</f>
        <v/>
      </c>
      <c r="W1836" s="5">
        <f>IF(M1836="No","Attrited","Active")</f>
        <v/>
      </c>
    </row>
    <row r="1837">
      <c r="A1837" s="5" t="inlineStr">
        <is>
          <t>E01836</t>
        </is>
      </c>
      <c r="B1837" s="5" t="inlineStr">
        <is>
          <t>Female</t>
        </is>
      </c>
      <c r="C1837" s="6" t="inlineStr">
        <is>
          <t>26</t>
        </is>
      </c>
      <c r="D1837" s="5" t="inlineStr">
        <is>
          <t>Married</t>
        </is>
      </c>
      <c r="E1837" s="5" t="inlineStr">
        <is>
          <t>Master</t>
        </is>
      </c>
      <c r="F1837" s="5" t="inlineStr">
        <is>
          <t>Operations</t>
        </is>
      </c>
      <c r="G1837" s="5" t="inlineStr">
        <is>
          <t>Logistics Coordinator</t>
        </is>
      </c>
      <c r="H1837" s="5" t="inlineStr">
        <is>
          <t>1</t>
        </is>
      </c>
      <c r="I1837" s="5" t="inlineStr">
        <is>
          <t>Delhi</t>
        </is>
      </c>
      <c r="J1837" s="5" t="inlineStr">
        <is>
          <t>Full-Time</t>
        </is>
      </c>
      <c r="K1837" s="7" t="n">
        <v>45489</v>
      </c>
      <c r="L1837" s="7" t="inlineStr"/>
      <c r="M1837" s="5" t="inlineStr">
        <is>
          <t>Yes</t>
        </is>
      </c>
      <c r="N1837" s="5" t="inlineStr"/>
      <c r="O1837" s="8" t="inlineStr">
        <is>
          <t>74500</t>
        </is>
      </c>
      <c r="P1837" s="5" t="inlineStr">
        <is>
          <t>10</t>
        </is>
      </c>
      <c r="Q1837" s="5" t="inlineStr">
        <is>
          <t>5</t>
        </is>
      </c>
      <c r="R1837" s="5" t="inlineStr">
        <is>
          <t>4</t>
        </is>
      </c>
      <c r="S1837" s="5" t="inlineStr">
        <is>
          <t>17</t>
        </is>
      </c>
      <c r="T1837" s="5" t="inlineStr">
        <is>
          <t>1</t>
        </is>
      </c>
      <c r="U1837" s="5">
        <f>IFS(C1837&lt;30,"Under 30",C1837&lt;40,"30-39",C1837&lt;50,"40-49",TRUE,"50+")</f>
        <v/>
      </c>
      <c r="V1837" s="5">
        <f>IFS(O1837&lt;60000,"Low (&lt;60k)",O1837&lt;100000,"Mid (60-100k)",TRUE,"High (100k+)")</f>
        <v/>
      </c>
      <c r="W1837" s="5">
        <f>IF(M1837="No","Attrited","Active")</f>
        <v/>
      </c>
    </row>
    <row r="1838">
      <c r="A1838" s="5" t="inlineStr">
        <is>
          <t>E01837</t>
        </is>
      </c>
      <c r="B1838" s="5" t="inlineStr">
        <is>
          <t>Female</t>
        </is>
      </c>
      <c r="C1838" s="6" t="inlineStr">
        <is>
          <t>34</t>
        </is>
      </c>
      <c r="D1838" s="5" t="inlineStr">
        <is>
          <t>Married</t>
        </is>
      </c>
      <c r="E1838" s="5" t="inlineStr">
        <is>
          <t>High School</t>
        </is>
      </c>
      <c r="F1838" s="5" t="inlineStr">
        <is>
          <t>IT</t>
        </is>
      </c>
      <c r="G1838" s="5" t="inlineStr">
        <is>
          <t>DevOps Engineer</t>
        </is>
      </c>
      <c r="H1838" s="5" t="inlineStr">
        <is>
          <t>6</t>
        </is>
      </c>
      <c r="I1838" s="5" t="inlineStr">
        <is>
          <t>Hyderabad</t>
        </is>
      </c>
      <c r="J1838" s="5" t="inlineStr">
        <is>
          <t>Full-Time</t>
        </is>
      </c>
      <c r="K1838" s="7" t="n">
        <v>45348</v>
      </c>
      <c r="L1838" s="7" t="inlineStr"/>
      <c r="M1838" s="5" t="inlineStr">
        <is>
          <t>Yes</t>
        </is>
      </c>
      <c r="N1838" s="5" t="inlineStr"/>
      <c r="O1838" s="8" t="inlineStr">
        <is>
          <t>147000</t>
        </is>
      </c>
      <c r="P1838" s="5" t="inlineStr">
        <is>
          <t>0</t>
        </is>
      </c>
      <c r="Q1838" s="5" t="inlineStr">
        <is>
          <t>3</t>
        </is>
      </c>
      <c r="R1838" s="5" t="inlineStr">
        <is>
          <t>6</t>
        </is>
      </c>
      <c r="S1838" s="5" t="inlineStr">
        <is>
          <t>22</t>
        </is>
      </c>
      <c r="T1838" s="5" t="inlineStr">
        <is>
          <t>9</t>
        </is>
      </c>
      <c r="U1838" s="5">
        <f>IFS(C1838&lt;30,"Under 30",C1838&lt;40,"30-39",C1838&lt;50,"40-49",TRUE,"50+")</f>
        <v/>
      </c>
      <c r="V1838" s="5">
        <f>IFS(O1838&lt;60000,"Low (&lt;60k)",O1838&lt;100000,"Mid (60-100k)",TRUE,"High (100k+)")</f>
        <v/>
      </c>
      <c r="W1838" s="5">
        <f>IF(M1838="No","Attrited","Active")</f>
        <v/>
      </c>
    </row>
    <row r="1839">
      <c r="A1839" s="5" t="inlineStr">
        <is>
          <t>E01838</t>
        </is>
      </c>
      <c r="B1839" s="5" t="inlineStr">
        <is>
          <t>Female</t>
        </is>
      </c>
      <c r="C1839" s="6" t="inlineStr">
        <is>
          <t>27</t>
        </is>
      </c>
      <c r="D1839" s="5" t="inlineStr">
        <is>
          <t>Married</t>
        </is>
      </c>
      <c r="E1839" s="5" t="inlineStr">
        <is>
          <t>High School</t>
        </is>
      </c>
      <c r="F1839" s="5" t="inlineStr">
        <is>
          <t>IT</t>
        </is>
      </c>
      <c r="G1839" s="5" t="inlineStr">
        <is>
          <t>Data Analyst</t>
        </is>
      </c>
      <c r="H1839" s="5" t="inlineStr">
        <is>
          <t>2</t>
        </is>
      </c>
      <c r="I1839" s="5" t="inlineStr">
        <is>
          <t>Hyderabad</t>
        </is>
      </c>
      <c r="J1839" s="5" t="inlineStr">
        <is>
          <t>Full-Time</t>
        </is>
      </c>
      <c r="K1839" s="7" t="n">
        <v>44274</v>
      </c>
      <c r="L1839" s="7" t="inlineStr"/>
      <c r="M1839" s="5" t="inlineStr">
        <is>
          <t>Yes</t>
        </is>
      </c>
      <c r="N1839" s="5" t="inlineStr"/>
      <c r="O1839" s="8" t="inlineStr">
        <is>
          <t>148500</t>
        </is>
      </c>
      <c r="P1839" s="5" t="inlineStr">
        <is>
          <t>5</t>
        </is>
      </c>
      <c r="Q1839" s="5" t="inlineStr">
        <is>
          <t>1</t>
        </is>
      </c>
      <c r="R1839" s="5" t="inlineStr">
        <is>
          <t>6</t>
        </is>
      </c>
      <c r="S1839" s="5" t="inlineStr">
        <is>
          <t>58</t>
        </is>
      </c>
      <c r="T1839" s="5" t="inlineStr">
        <is>
          <t>0</t>
        </is>
      </c>
      <c r="U1839" s="5">
        <f>IFS(C1839&lt;30,"Under 30",C1839&lt;40,"30-39",C1839&lt;50,"40-49",TRUE,"50+")</f>
        <v/>
      </c>
      <c r="V1839" s="5">
        <f>IFS(O1839&lt;60000,"Low (&lt;60k)",O1839&lt;100000,"Mid (60-100k)",TRUE,"High (100k+)")</f>
        <v/>
      </c>
      <c r="W1839" s="5">
        <f>IF(M1839="No","Attrited","Active")</f>
        <v/>
      </c>
    </row>
    <row r="1840">
      <c r="A1840" s="5" t="inlineStr">
        <is>
          <t>E01839</t>
        </is>
      </c>
      <c r="B1840" s="5" t="inlineStr">
        <is>
          <t>Female</t>
        </is>
      </c>
      <c r="C1840" s="6" t="inlineStr">
        <is>
          <t>37</t>
        </is>
      </c>
      <c r="D1840" s="5" t="inlineStr">
        <is>
          <t>Married</t>
        </is>
      </c>
      <c r="E1840" s="5" t="inlineStr">
        <is>
          <t>Bachelor</t>
        </is>
      </c>
      <c r="F1840" s="5" t="inlineStr">
        <is>
          <t>Finance</t>
        </is>
      </c>
      <c r="G1840" s="5" t="inlineStr">
        <is>
          <t>Financial Analyst</t>
        </is>
      </c>
      <c r="H1840" s="5" t="inlineStr">
        <is>
          <t>4</t>
        </is>
      </c>
      <c r="I1840" s="5" t="inlineStr">
        <is>
          <t>Delhi</t>
        </is>
      </c>
      <c r="J1840" s="5" t="inlineStr">
        <is>
          <t>Full-Time</t>
        </is>
      </c>
      <c r="K1840" s="7" t="n">
        <v>43942</v>
      </c>
      <c r="L1840" s="7" t="inlineStr"/>
      <c r="M1840" s="5" t="inlineStr">
        <is>
          <t>Yes</t>
        </is>
      </c>
      <c r="N1840" s="5" t="inlineStr"/>
      <c r="O1840" s="8" t="inlineStr">
        <is>
          <t>145000</t>
        </is>
      </c>
      <c r="P1840" s="5" t="inlineStr">
        <is>
          <t>5</t>
        </is>
      </c>
      <c r="Q1840" s="5" t="inlineStr">
        <is>
          <t>4</t>
        </is>
      </c>
      <c r="R1840" s="5" t="inlineStr">
        <is>
          <t>5</t>
        </is>
      </c>
      <c r="S1840" s="5" t="inlineStr">
        <is>
          <t>69</t>
        </is>
      </c>
      <c r="T1840" s="5" t="inlineStr">
        <is>
          <t>10</t>
        </is>
      </c>
      <c r="U1840" s="5">
        <f>IFS(C1840&lt;30,"Under 30",C1840&lt;40,"30-39",C1840&lt;50,"40-49",TRUE,"50+")</f>
        <v/>
      </c>
      <c r="V1840" s="5">
        <f>IFS(O1840&lt;60000,"Low (&lt;60k)",O1840&lt;100000,"Mid (60-100k)",TRUE,"High (100k+)")</f>
        <v/>
      </c>
      <c r="W1840" s="5">
        <f>IF(M1840="No","Attrited","Active")</f>
        <v/>
      </c>
    </row>
    <row r="1841">
      <c r="A1841" s="5" t="inlineStr">
        <is>
          <t>E01840</t>
        </is>
      </c>
      <c r="B1841" s="5" t="inlineStr">
        <is>
          <t>Male</t>
        </is>
      </c>
      <c r="C1841" s="6" t="inlineStr">
        <is>
          <t>35</t>
        </is>
      </c>
      <c r="D1841" s="5" t="inlineStr">
        <is>
          <t>Single</t>
        </is>
      </c>
      <c r="E1841" s="5" t="inlineStr">
        <is>
          <t>Master</t>
        </is>
      </c>
      <c r="F1841" s="5" t="inlineStr">
        <is>
          <t>Marketing</t>
        </is>
      </c>
      <c r="G1841" s="5" t="inlineStr">
        <is>
          <t>Marketing Analyst</t>
        </is>
      </c>
      <c r="H1841" s="5" t="inlineStr">
        <is>
          <t>3</t>
        </is>
      </c>
      <c r="I1841" s="5" t="inlineStr">
        <is>
          <t>Mumbai</t>
        </is>
      </c>
      <c r="J1841" s="5" t="inlineStr">
        <is>
          <t>Full-Time</t>
        </is>
      </c>
      <c r="K1841" s="7" t="n">
        <v>44683</v>
      </c>
      <c r="L1841" s="7" t="inlineStr"/>
      <c r="M1841" s="5" t="inlineStr">
        <is>
          <t>Yes</t>
        </is>
      </c>
      <c r="N1841" s="5" t="inlineStr"/>
      <c r="O1841" s="8" t="inlineStr">
        <is>
          <t>100000</t>
        </is>
      </c>
      <c r="P1841" s="5" t="inlineStr">
        <is>
          <t>10</t>
        </is>
      </c>
      <c r="Q1841" s="5" t="inlineStr">
        <is>
          <t>3</t>
        </is>
      </c>
      <c r="R1841" s="5" t="inlineStr">
        <is>
          <t>5</t>
        </is>
      </c>
      <c r="S1841" s="5" t="inlineStr">
        <is>
          <t>44</t>
        </is>
      </c>
      <c r="T1841" s="5" t="inlineStr">
        <is>
          <t>0</t>
        </is>
      </c>
      <c r="U1841" s="5">
        <f>IFS(C1841&lt;30,"Under 30",C1841&lt;40,"30-39",C1841&lt;50,"40-49",TRUE,"50+")</f>
        <v/>
      </c>
      <c r="V1841" s="5">
        <f>IFS(O1841&lt;60000,"Low (&lt;60k)",O1841&lt;100000,"Mid (60-100k)",TRUE,"High (100k+)")</f>
        <v/>
      </c>
      <c r="W1841" s="5">
        <f>IF(M1841="No","Attrited","Active")</f>
        <v/>
      </c>
    </row>
    <row r="1842">
      <c r="A1842" s="5" t="inlineStr">
        <is>
          <t>E01841</t>
        </is>
      </c>
      <c r="B1842" s="5" t="inlineStr">
        <is>
          <t>Female</t>
        </is>
      </c>
      <c r="C1842" s="6" t="inlineStr">
        <is>
          <t>24</t>
        </is>
      </c>
      <c r="D1842" s="5" t="inlineStr">
        <is>
          <t>Married</t>
        </is>
      </c>
      <c r="E1842" s="5" t="inlineStr">
        <is>
          <t>Master</t>
        </is>
      </c>
      <c r="F1842" s="5" t="inlineStr">
        <is>
          <t>Human Resources</t>
        </is>
      </c>
      <c r="G1842" s="5" t="inlineStr">
        <is>
          <t>Recruiter</t>
        </is>
      </c>
      <c r="H1842" s="5" t="inlineStr">
        <is>
          <t>1</t>
        </is>
      </c>
      <c r="I1842" s="5" t="inlineStr">
        <is>
          <t>Hyderabad</t>
        </is>
      </c>
      <c r="J1842" s="5" t="inlineStr">
        <is>
          <t>Full-Time</t>
        </is>
      </c>
      <c r="K1842" s="7" t="n">
        <v>45463</v>
      </c>
      <c r="L1842" s="7" t="inlineStr"/>
      <c r="M1842" s="5" t="inlineStr">
        <is>
          <t>Yes</t>
        </is>
      </c>
      <c r="N1842" s="5" t="inlineStr"/>
      <c r="O1842" s="8" t="inlineStr">
        <is>
          <t>80000</t>
        </is>
      </c>
      <c r="P1842" s="5" t="inlineStr">
        <is>
          <t>0</t>
        </is>
      </c>
      <c r="Q1842" s="5" t="inlineStr">
        <is>
          <t>4</t>
        </is>
      </c>
      <c r="R1842" s="5" t="inlineStr">
        <is>
          <t>4</t>
        </is>
      </c>
      <c r="S1842" s="5" t="inlineStr">
        <is>
          <t>18</t>
        </is>
      </c>
      <c r="T1842" s="5" t="inlineStr">
        <is>
          <t>0</t>
        </is>
      </c>
      <c r="U1842" s="5">
        <f>IFS(C1842&lt;30,"Under 30",C1842&lt;40,"30-39",C1842&lt;50,"40-49",TRUE,"50+")</f>
        <v/>
      </c>
      <c r="V1842" s="5">
        <f>IFS(O1842&lt;60000,"Low (&lt;60k)",O1842&lt;100000,"Mid (60-100k)",TRUE,"High (100k+)")</f>
        <v/>
      </c>
      <c r="W1842" s="5">
        <f>IF(M1842="No","Attrited","Active")</f>
        <v/>
      </c>
    </row>
    <row r="1843">
      <c r="A1843" s="5" t="inlineStr">
        <is>
          <t>E01842</t>
        </is>
      </c>
      <c r="B1843" s="5" t="inlineStr">
        <is>
          <t>Male</t>
        </is>
      </c>
      <c r="C1843" s="6" t="inlineStr">
        <is>
          <t>25</t>
        </is>
      </c>
      <c r="D1843" s="5" t="inlineStr">
        <is>
          <t>Single</t>
        </is>
      </c>
      <c r="E1843" s="5" t="inlineStr">
        <is>
          <t>PhD</t>
        </is>
      </c>
      <c r="F1843" s="5" t="inlineStr">
        <is>
          <t>Sales</t>
        </is>
      </c>
      <c r="G1843" s="5" t="inlineStr">
        <is>
          <t>Business Development</t>
        </is>
      </c>
      <c r="H1843" s="5" t="inlineStr">
        <is>
          <t>2</t>
        </is>
      </c>
      <c r="I1843" s="5" t="inlineStr">
        <is>
          <t>Delhi</t>
        </is>
      </c>
      <c r="J1843" s="5" t="inlineStr">
        <is>
          <t>Full-Time</t>
        </is>
      </c>
      <c r="K1843" s="7" t="n">
        <v>44450</v>
      </c>
      <c r="L1843" s="7" t="n">
        <v>44569</v>
      </c>
      <c r="M1843" s="5" t="inlineStr">
        <is>
          <t>No</t>
        </is>
      </c>
      <c r="N1843" s="5" t="inlineStr">
        <is>
          <t>Resigned</t>
        </is>
      </c>
      <c r="O1843" s="8" t="inlineStr">
        <is>
          <t>88500</t>
        </is>
      </c>
      <c r="P1843" s="5" t="inlineStr">
        <is>
          <t>0</t>
        </is>
      </c>
      <c r="Q1843" s="5" t="inlineStr">
        <is>
          <t>3</t>
        </is>
      </c>
      <c r="R1843" s="5" t="inlineStr">
        <is>
          <t>6</t>
        </is>
      </c>
      <c r="S1843" s="5" t="inlineStr">
        <is>
          <t>3</t>
        </is>
      </c>
      <c r="T1843" s="5" t="inlineStr">
        <is>
          <t>9</t>
        </is>
      </c>
      <c r="U1843" s="5">
        <f>IFS(C1843&lt;30,"Under 30",C1843&lt;40,"30-39",C1843&lt;50,"40-49",TRUE,"50+")</f>
        <v/>
      </c>
      <c r="V1843" s="5">
        <f>IFS(O1843&lt;60000,"Low (&lt;60k)",O1843&lt;100000,"Mid (60-100k)",TRUE,"High (100k+)")</f>
        <v/>
      </c>
      <c r="W1843" s="5">
        <f>IF(M1843="No","Attrited","Active")</f>
        <v/>
      </c>
    </row>
    <row r="1844">
      <c r="A1844" s="5" t="inlineStr">
        <is>
          <t>E01843</t>
        </is>
      </c>
      <c r="B1844" s="5" t="inlineStr">
        <is>
          <t>Female</t>
        </is>
      </c>
      <c r="C1844" s="6" t="inlineStr">
        <is>
          <t>37</t>
        </is>
      </c>
      <c r="D1844" s="5" t="inlineStr">
        <is>
          <t>Married</t>
        </is>
      </c>
      <c r="E1844" s="5" t="inlineStr">
        <is>
          <t>Diploma</t>
        </is>
      </c>
      <c r="F1844" s="5" t="inlineStr">
        <is>
          <t>Executive</t>
        </is>
      </c>
      <c r="G1844" s="5" t="inlineStr">
        <is>
          <t>CFO</t>
        </is>
      </c>
      <c r="H1844" s="5" t="inlineStr">
        <is>
          <t>3</t>
        </is>
      </c>
      <c r="I1844" s="5" t="inlineStr">
        <is>
          <t>Mumbai</t>
        </is>
      </c>
      <c r="J1844" s="5" t="inlineStr">
        <is>
          <t>Full-Time</t>
        </is>
      </c>
      <c r="K1844" s="7" t="n">
        <v>44971</v>
      </c>
      <c r="L1844" s="7" t="inlineStr"/>
      <c r="M1844" s="5" t="inlineStr">
        <is>
          <t>Yes</t>
        </is>
      </c>
      <c r="N1844" s="5" t="inlineStr"/>
      <c r="O1844" s="8" t="inlineStr">
        <is>
          <t>336000</t>
        </is>
      </c>
      <c r="P1844" s="5" t="inlineStr">
        <is>
          <t>10</t>
        </is>
      </c>
      <c r="Q1844" s="5" t="inlineStr">
        <is>
          <t>3</t>
        </is>
      </c>
      <c r="R1844" s="5" t="inlineStr">
        <is>
          <t>4</t>
        </is>
      </c>
      <c r="S1844" s="5" t="inlineStr">
        <is>
          <t>35</t>
        </is>
      </c>
      <c r="T1844" s="5" t="inlineStr">
        <is>
          <t>5</t>
        </is>
      </c>
      <c r="U1844" s="5">
        <f>IFS(C1844&lt;30,"Under 30",C1844&lt;40,"30-39",C1844&lt;50,"40-49",TRUE,"50+")</f>
        <v/>
      </c>
      <c r="V1844" s="5">
        <f>IFS(O1844&lt;60000,"Low (&lt;60k)",O1844&lt;100000,"Mid (60-100k)",TRUE,"High (100k+)")</f>
        <v/>
      </c>
      <c r="W1844" s="5">
        <f>IF(M1844="No","Attrited","Active")</f>
        <v/>
      </c>
    </row>
    <row r="1845">
      <c r="A1845" s="5" t="inlineStr">
        <is>
          <t>E01844</t>
        </is>
      </c>
      <c r="B1845" s="5" t="inlineStr">
        <is>
          <t>Female</t>
        </is>
      </c>
      <c r="C1845" s="6" t="inlineStr">
        <is>
          <t>36</t>
        </is>
      </c>
      <c r="D1845" s="5" t="inlineStr">
        <is>
          <t>Married</t>
        </is>
      </c>
      <c r="E1845" s="5" t="inlineStr">
        <is>
          <t>Master</t>
        </is>
      </c>
      <c r="F1845" s="5" t="inlineStr">
        <is>
          <t>Operations</t>
        </is>
      </c>
      <c r="G1845" s="5" t="inlineStr">
        <is>
          <t>Logistics Coordinator</t>
        </is>
      </c>
      <c r="H1845" s="5" t="inlineStr">
        <is>
          <t>7</t>
        </is>
      </c>
      <c r="I1845" s="5" t="inlineStr">
        <is>
          <t>Mumbai</t>
        </is>
      </c>
      <c r="J1845" s="5" t="inlineStr">
        <is>
          <t>Full-Time</t>
        </is>
      </c>
      <c r="K1845" s="7" t="n">
        <v>45318</v>
      </c>
      <c r="L1845" s="7" t="inlineStr"/>
      <c r="M1845" s="5" t="inlineStr">
        <is>
          <t>Yes</t>
        </is>
      </c>
      <c r="N1845" s="5" t="inlineStr"/>
      <c r="O1845" s="8" t="inlineStr">
        <is>
          <t>166000</t>
        </is>
      </c>
      <c r="P1845" s="5" t="inlineStr">
        <is>
          <t>10</t>
        </is>
      </c>
      <c r="Q1845" s="5" t="inlineStr">
        <is>
          <t>3</t>
        </is>
      </c>
      <c r="R1845" s="5" t="inlineStr">
        <is>
          <t>8</t>
        </is>
      </c>
      <c r="S1845" s="5" t="inlineStr">
        <is>
          <t>23</t>
        </is>
      </c>
      <c r="T1845" s="5" t="inlineStr">
        <is>
          <t>0</t>
        </is>
      </c>
      <c r="U1845" s="5">
        <f>IFS(C1845&lt;30,"Under 30",C1845&lt;40,"30-39",C1845&lt;50,"40-49",TRUE,"50+")</f>
        <v/>
      </c>
      <c r="V1845" s="5">
        <f>IFS(O1845&lt;60000,"Low (&lt;60k)",O1845&lt;100000,"Mid (60-100k)",TRUE,"High (100k+)")</f>
        <v/>
      </c>
      <c r="W1845" s="5">
        <f>IF(M1845="No","Attrited","Active")</f>
        <v/>
      </c>
    </row>
    <row r="1846">
      <c r="A1846" s="5" t="inlineStr">
        <is>
          <t>E01845</t>
        </is>
      </c>
      <c r="B1846" s="5" t="inlineStr">
        <is>
          <t>Female</t>
        </is>
      </c>
      <c r="C1846" s="6" t="inlineStr">
        <is>
          <t>33</t>
        </is>
      </c>
      <c r="D1846" s="5" t="inlineStr">
        <is>
          <t>Married</t>
        </is>
      </c>
      <c r="E1846" s="5" t="inlineStr">
        <is>
          <t>Diploma</t>
        </is>
      </c>
      <c r="F1846" s="5" t="inlineStr">
        <is>
          <t>Customer Support</t>
        </is>
      </c>
      <c r="G1846" s="5" t="inlineStr">
        <is>
          <t>Support Lead</t>
        </is>
      </c>
      <c r="H1846" s="5" t="inlineStr">
        <is>
          <t>6</t>
        </is>
      </c>
      <c r="I1846" s="5" t="inlineStr">
        <is>
          <t>Hyderabad</t>
        </is>
      </c>
      <c r="J1846" s="5" t="inlineStr">
        <is>
          <t>Full-Time</t>
        </is>
      </c>
      <c r="K1846" s="7" t="n">
        <v>46006</v>
      </c>
      <c r="L1846" s="7" t="inlineStr"/>
      <c r="M1846" s="5" t="inlineStr">
        <is>
          <t>Yes</t>
        </is>
      </c>
      <c r="N1846" s="5" t="inlineStr"/>
      <c r="O1846" s="8" t="inlineStr">
        <is>
          <t>109500</t>
        </is>
      </c>
      <c r="P1846" s="5" t="inlineStr">
        <is>
          <t>20</t>
        </is>
      </c>
      <c r="Q1846" s="5" t="inlineStr">
        <is>
          <t>3</t>
        </is>
      </c>
      <c r="R1846" s="5" t="inlineStr">
        <is>
          <t>7</t>
        </is>
      </c>
      <c r="S1846" s="5" t="inlineStr">
        <is>
          <t>1</t>
        </is>
      </c>
      <c r="T1846" s="5" t="inlineStr">
        <is>
          <t>2</t>
        </is>
      </c>
      <c r="U1846" s="5">
        <f>IFS(C1846&lt;30,"Under 30",C1846&lt;40,"30-39",C1846&lt;50,"40-49",TRUE,"50+")</f>
        <v/>
      </c>
      <c r="V1846" s="5">
        <f>IFS(O1846&lt;60000,"Low (&lt;60k)",O1846&lt;100000,"Mid (60-100k)",TRUE,"High (100k+)")</f>
        <v/>
      </c>
      <c r="W1846" s="5">
        <f>IF(M1846="No","Attrited","Active")</f>
        <v/>
      </c>
    </row>
    <row r="1847">
      <c r="A1847" s="5" t="inlineStr">
        <is>
          <t>E01846</t>
        </is>
      </c>
      <c r="B1847" s="5" t="inlineStr">
        <is>
          <t>Male</t>
        </is>
      </c>
      <c r="C1847" s="6" t="inlineStr">
        <is>
          <t>27</t>
        </is>
      </c>
      <c r="D1847" s="5" t="inlineStr">
        <is>
          <t>Single</t>
        </is>
      </c>
      <c r="E1847" s="5" t="inlineStr">
        <is>
          <t>High School</t>
        </is>
      </c>
      <c r="F1847" s="5" t="inlineStr">
        <is>
          <t>Customer Support</t>
        </is>
      </c>
      <c r="G1847" s="5" t="inlineStr">
        <is>
          <t>Support Lead</t>
        </is>
      </c>
      <c r="H1847" s="5" t="inlineStr">
        <is>
          <t>1</t>
        </is>
      </c>
      <c r="I1847" s="5" t="inlineStr">
        <is>
          <t>Chennai</t>
        </is>
      </c>
      <c r="J1847" s="5" t="inlineStr">
        <is>
          <t>Full-Time</t>
        </is>
      </c>
      <c r="K1847" s="7" t="n">
        <v>44898</v>
      </c>
      <c r="L1847" s="7" t="inlineStr"/>
      <c r="M1847" s="5" t="inlineStr">
        <is>
          <t>Yes</t>
        </is>
      </c>
      <c r="N1847" s="5" t="inlineStr"/>
      <c r="O1847" s="8" t="inlineStr">
        <is>
          <t>66000</t>
        </is>
      </c>
      <c r="P1847" s="5" t="inlineStr">
        <is>
          <t>10</t>
        </is>
      </c>
      <c r="Q1847" s="5" t="inlineStr">
        <is>
          <t>3</t>
        </is>
      </c>
      <c r="R1847" s="5" t="inlineStr">
        <is>
          <t>9</t>
        </is>
      </c>
      <c r="S1847" s="5" t="inlineStr">
        <is>
          <t>37</t>
        </is>
      </c>
      <c r="T1847" s="5" t="inlineStr">
        <is>
          <t>5</t>
        </is>
      </c>
      <c r="U1847" s="5">
        <f>IFS(C1847&lt;30,"Under 30",C1847&lt;40,"30-39",C1847&lt;50,"40-49",TRUE,"50+")</f>
        <v/>
      </c>
      <c r="V1847" s="5">
        <f>IFS(O1847&lt;60000,"Low (&lt;60k)",O1847&lt;100000,"Mid (60-100k)",TRUE,"High (100k+)")</f>
        <v/>
      </c>
      <c r="W1847" s="5">
        <f>IF(M1847="No","Attrited","Active")</f>
        <v/>
      </c>
    </row>
    <row r="1848">
      <c r="A1848" s="5" t="inlineStr">
        <is>
          <t>E01847</t>
        </is>
      </c>
      <c r="B1848" s="5" t="inlineStr">
        <is>
          <t>Female</t>
        </is>
      </c>
      <c r="C1848" s="6" t="inlineStr">
        <is>
          <t>32</t>
        </is>
      </c>
      <c r="D1848" s="5" t="inlineStr">
        <is>
          <t>Single</t>
        </is>
      </c>
      <c r="E1848" s="5" t="inlineStr">
        <is>
          <t>Master</t>
        </is>
      </c>
      <c r="F1848" s="5" t="inlineStr">
        <is>
          <t>Operations</t>
        </is>
      </c>
      <c r="G1848" s="5" t="inlineStr">
        <is>
          <t>Quality Analyst</t>
        </is>
      </c>
      <c r="H1848" s="5" t="inlineStr">
        <is>
          <t>2</t>
        </is>
      </c>
      <c r="I1848" s="5" t="inlineStr">
        <is>
          <t>Chennai</t>
        </is>
      </c>
      <c r="J1848" s="5" t="inlineStr">
        <is>
          <t>Part-Time</t>
        </is>
      </c>
      <c r="K1848" s="7" t="n">
        <v>45334</v>
      </c>
      <c r="L1848" s="7" t="n">
        <v>45418</v>
      </c>
      <c r="M1848" s="5" t="inlineStr">
        <is>
          <t>No</t>
        </is>
      </c>
      <c r="N1848" s="5" t="inlineStr">
        <is>
          <t>Resigned</t>
        </is>
      </c>
      <c r="O1848" s="8" t="inlineStr">
        <is>
          <t>88000</t>
        </is>
      </c>
      <c r="P1848" s="5" t="inlineStr">
        <is>
          <t>10</t>
        </is>
      </c>
      <c r="Q1848" s="5" t="inlineStr">
        <is>
          <t>5</t>
        </is>
      </c>
      <c r="R1848" s="5" t="inlineStr">
        <is>
          <t>7</t>
        </is>
      </c>
      <c r="S1848" s="5" t="inlineStr">
        <is>
          <t>2</t>
        </is>
      </c>
      <c r="T1848" s="5" t="inlineStr">
        <is>
          <t>4</t>
        </is>
      </c>
      <c r="U1848" s="5">
        <f>IFS(C1848&lt;30,"Under 30",C1848&lt;40,"30-39",C1848&lt;50,"40-49",TRUE,"50+")</f>
        <v/>
      </c>
      <c r="V1848" s="5">
        <f>IFS(O1848&lt;60000,"Low (&lt;60k)",O1848&lt;100000,"Mid (60-100k)",TRUE,"High (100k+)")</f>
        <v/>
      </c>
      <c r="W1848" s="5">
        <f>IF(M1848="No","Attrited","Active")</f>
        <v/>
      </c>
    </row>
    <row r="1849">
      <c r="A1849" s="5" t="inlineStr">
        <is>
          <t>E01848</t>
        </is>
      </c>
      <c r="B1849" s="5" t="inlineStr">
        <is>
          <t>Male</t>
        </is>
      </c>
      <c r="C1849" s="6" t="inlineStr">
        <is>
          <t>40</t>
        </is>
      </c>
      <c r="D1849" s="5" t="inlineStr">
        <is>
          <t>Married</t>
        </is>
      </c>
      <c r="E1849" s="5" t="inlineStr">
        <is>
          <t>PhD</t>
        </is>
      </c>
      <c r="F1849" s="5" t="inlineStr">
        <is>
          <t>Customer Support</t>
        </is>
      </c>
      <c r="G1849" s="5" t="inlineStr">
        <is>
          <t>Escalation Specialist</t>
        </is>
      </c>
      <c r="H1849" s="5" t="inlineStr">
        <is>
          <t>4</t>
        </is>
      </c>
      <c r="I1849" s="5" t="inlineStr">
        <is>
          <t>Remote</t>
        </is>
      </c>
      <c r="J1849" s="5" t="inlineStr">
        <is>
          <t>Full-Time</t>
        </is>
      </c>
      <c r="K1849" s="7" t="n">
        <v>45261</v>
      </c>
      <c r="L1849" s="7" t="inlineStr"/>
      <c r="M1849" s="5" t="inlineStr">
        <is>
          <t>Yes</t>
        </is>
      </c>
      <c r="N1849" s="5" t="inlineStr"/>
      <c r="O1849" s="8" t="inlineStr">
        <is>
          <t>80000</t>
        </is>
      </c>
      <c r="P1849" s="5" t="inlineStr">
        <is>
          <t>5</t>
        </is>
      </c>
      <c r="Q1849" s="5" t="inlineStr">
        <is>
          <t>4</t>
        </is>
      </c>
      <c r="R1849" s="5" t="inlineStr">
        <is>
          <t>6</t>
        </is>
      </c>
      <c r="S1849" s="5" t="inlineStr">
        <is>
          <t>25</t>
        </is>
      </c>
      <c r="T1849" s="5" t="inlineStr">
        <is>
          <t>8</t>
        </is>
      </c>
      <c r="U1849" s="5">
        <f>IFS(C1849&lt;30,"Under 30",C1849&lt;40,"30-39",C1849&lt;50,"40-49",TRUE,"50+")</f>
        <v/>
      </c>
      <c r="V1849" s="5">
        <f>IFS(O1849&lt;60000,"Low (&lt;60k)",O1849&lt;100000,"Mid (60-100k)",TRUE,"High (100k+)")</f>
        <v/>
      </c>
      <c r="W1849" s="5">
        <f>IF(M1849="No","Attrited","Active")</f>
        <v/>
      </c>
    </row>
    <row r="1850">
      <c r="A1850" s="5" t="inlineStr">
        <is>
          <t>E01849</t>
        </is>
      </c>
      <c r="B1850" s="5" t="inlineStr">
        <is>
          <t>Male</t>
        </is>
      </c>
      <c r="C1850" s="6" t="inlineStr">
        <is>
          <t>38</t>
        </is>
      </c>
      <c r="D1850" s="5" t="inlineStr">
        <is>
          <t>Married</t>
        </is>
      </c>
      <c r="E1850" s="5" t="inlineStr">
        <is>
          <t>Diploma</t>
        </is>
      </c>
      <c r="F1850" s="5" t="inlineStr">
        <is>
          <t>Sales</t>
        </is>
      </c>
      <c r="G1850" s="5" t="inlineStr">
        <is>
          <t>Account Executive</t>
        </is>
      </c>
      <c r="H1850" s="5" t="inlineStr">
        <is>
          <t>7</t>
        </is>
      </c>
      <c r="I1850" s="5" t="inlineStr">
        <is>
          <t>Chennai</t>
        </is>
      </c>
      <c r="J1850" s="5" t="inlineStr">
        <is>
          <t>Full-Time</t>
        </is>
      </c>
      <c r="K1850" s="7" t="n">
        <v>44156</v>
      </c>
      <c r="L1850" s="7" t="inlineStr"/>
      <c r="M1850" s="5" t="inlineStr">
        <is>
          <t>Yes</t>
        </is>
      </c>
      <c r="N1850" s="5" t="inlineStr"/>
      <c r="O1850" s="8" t="inlineStr">
        <is>
          <t>120500</t>
        </is>
      </c>
      <c r="P1850" s="5" t="inlineStr">
        <is>
          <t>0</t>
        </is>
      </c>
      <c r="Q1850" s="5" t="inlineStr">
        <is>
          <t>3</t>
        </is>
      </c>
      <c r="R1850" s="5" t="inlineStr">
        <is>
          <t>6</t>
        </is>
      </c>
      <c r="S1850" s="5" t="inlineStr">
        <is>
          <t>62</t>
        </is>
      </c>
      <c r="T1850" s="5" t="inlineStr">
        <is>
          <t>1</t>
        </is>
      </c>
      <c r="U1850" s="5">
        <f>IFS(C1850&lt;30,"Under 30",C1850&lt;40,"30-39",C1850&lt;50,"40-49",TRUE,"50+")</f>
        <v/>
      </c>
      <c r="V1850" s="5">
        <f>IFS(O1850&lt;60000,"Low (&lt;60k)",O1850&lt;100000,"Mid (60-100k)",TRUE,"High (100k+)")</f>
        <v/>
      </c>
      <c r="W1850" s="5">
        <f>IF(M1850="No","Attrited","Active")</f>
        <v/>
      </c>
    </row>
    <row r="1851">
      <c r="A1851" s="5" t="inlineStr">
        <is>
          <t>E01850</t>
        </is>
      </c>
      <c r="B1851" s="5" t="inlineStr">
        <is>
          <t>Female</t>
        </is>
      </c>
      <c r="C1851" s="6" t="inlineStr">
        <is>
          <t>37</t>
        </is>
      </c>
      <c r="D1851" s="5" t="inlineStr">
        <is>
          <t>Single</t>
        </is>
      </c>
      <c r="E1851" s="5" t="inlineStr">
        <is>
          <t>Diploma</t>
        </is>
      </c>
      <c r="F1851" s="5" t="inlineStr">
        <is>
          <t>IT</t>
        </is>
      </c>
      <c r="G1851" s="5" t="inlineStr">
        <is>
          <t>Data Analyst</t>
        </is>
      </c>
      <c r="H1851" s="5" t="inlineStr">
        <is>
          <t>3</t>
        </is>
      </c>
      <c r="I1851" s="5" t="inlineStr">
        <is>
          <t>Remote</t>
        </is>
      </c>
      <c r="J1851" s="5" t="inlineStr">
        <is>
          <t>Full-Time</t>
        </is>
      </c>
      <c r="K1851" s="7" t="n">
        <v>45073</v>
      </c>
      <c r="L1851" s="7" t="inlineStr"/>
      <c r="M1851" s="5" t="inlineStr">
        <is>
          <t>Yes</t>
        </is>
      </c>
      <c r="N1851" s="5" t="inlineStr"/>
      <c r="O1851" s="8" t="inlineStr">
        <is>
          <t>163500</t>
        </is>
      </c>
      <c r="P1851" s="5" t="inlineStr">
        <is>
          <t>5</t>
        </is>
      </c>
      <c r="Q1851" s="5" t="inlineStr">
        <is>
          <t>4</t>
        </is>
      </c>
      <c r="R1851" s="5" t="inlineStr">
        <is>
          <t>6</t>
        </is>
      </c>
      <c r="S1851" s="5" t="inlineStr">
        <is>
          <t>31</t>
        </is>
      </c>
      <c r="T1851" s="5" t="inlineStr">
        <is>
          <t>13</t>
        </is>
      </c>
      <c r="U1851" s="5">
        <f>IFS(C1851&lt;30,"Under 30",C1851&lt;40,"30-39",C1851&lt;50,"40-49",TRUE,"50+")</f>
        <v/>
      </c>
      <c r="V1851" s="5">
        <f>IFS(O1851&lt;60000,"Low (&lt;60k)",O1851&lt;100000,"Mid (60-100k)",TRUE,"High (100k+)")</f>
        <v/>
      </c>
      <c r="W1851" s="5">
        <f>IF(M1851="No","Attrited","Active")</f>
        <v/>
      </c>
    </row>
    <row r="1852">
      <c r="A1852" s="5" t="inlineStr">
        <is>
          <t>E01851</t>
        </is>
      </c>
      <c r="B1852" s="5" t="inlineStr">
        <is>
          <t>Male</t>
        </is>
      </c>
      <c r="C1852" s="6" t="inlineStr">
        <is>
          <t>34</t>
        </is>
      </c>
      <c r="D1852" s="5" t="inlineStr">
        <is>
          <t>Married</t>
        </is>
      </c>
      <c r="E1852" s="5" t="inlineStr">
        <is>
          <t>Diploma</t>
        </is>
      </c>
      <c r="F1852" s="5" t="inlineStr">
        <is>
          <t>Operations</t>
        </is>
      </c>
      <c r="G1852" s="5" t="inlineStr">
        <is>
          <t>Logistics Coordinator</t>
        </is>
      </c>
      <c r="H1852" s="5" t="inlineStr">
        <is>
          <t>5</t>
        </is>
      </c>
      <c r="I1852" s="5" t="inlineStr">
        <is>
          <t>Hyderabad</t>
        </is>
      </c>
      <c r="J1852" s="5" t="inlineStr">
        <is>
          <t>Full-Time</t>
        </is>
      </c>
      <c r="K1852" s="7" t="n">
        <v>45309</v>
      </c>
      <c r="L1852" s="7" t="inlineStr"/>
      <c r="M1852" s="5" t="inlineStr">
        <is>
          <t>Yes</t>
        </is>
      </c>
      <c r="N1852" s="5" t="inlineStr"/>
      <c r="O1852" s="8" t="inlineStr">
        <is>
          <t>147500</t>
        </is>
      </c>
      <c r="P1852" s="5" t="inlineStr">
        <is>
          <t>0</t>
        </is>
      </c>
      <c r="Q1852" s="5" t="inlineStr">
        <is>
          <t>5</t>
        </is>
      </c>
      <c r="R1852" s="5" t="inlineStr">
        <is>
          <t>7</t>
        </is>
      </c>
      <c r="S1852" s="5" t="inlineStr">
        <is>
          <t>23</t>
        </is>
      </c>
      <c r="T1852" s="5" t="inlineStr">
        <is>
          <t>3</t>
        </is>
      </c>
      <c r="U1852" s="5">
        <f>IFS(C1852&lt;30,"Under 30",C1852&lt;40,"30-39",C1852&lt;50,"40-49",TRUE,"50+")</f>
        <v/>
      </c>
      <c r="V1852" s="5">
        <f>IFS(O1852&lt;60000,"Low (&lt;60k)",O1852&lt;100000,"Mid (60-100k)",TRUE,"High (100k+)")</f>
        <v/>
      </c>
      <c r="W1852" s="5">
        <f>IF(M1852="No","Attrited","Active")</f>
        <v/>
      </c>
    </row>
    <row r="1853">
      <c r="A1853" s="5" t="inlineStr">
        <is>
          <t>E01852</t>
        </is>
      </c>
      <c r="B1853" s="5" t="inlineStr">
        <is>
          <t>Male</t>
        </is>
      </c>
      <c r="C1853" s="6" t="inlineStr">
        <is>
          <t>41</t>
        </is>
      </c>
      <c r="D1853" s="5" t="inlineStr">
        <is>
          <t>Married</t>
        </is>
      </c>
      <c r="E1853" s="5" t="inlineStr">
        <is>
          <t>Diploma</t>
        </is>
      </c>
      <c r="F1853" s="5" t="inlineStr">
        <is>
          <t>Sales</t>
        </is>
      </c>
      <c r="G1853" s="5" t="inlineStr">
        <is>
          <t>Sales Executive</t>
        </is>
      </c>
      <c r="H1853" s="5" t="inlineStr">
        <is>
          <t>5</t>
        </is>
      </c>
      <c r="I1853" s="5" t="inlineStr">
        <is>
          <t>Mumbai</t>
        </is>
      </c>
      <c r="J1853" s="5" t="inlineStr">
        <is>
          <t>Full-Time</t>
        </is>
      </c>
      <c r="K1853" s="7" t="n">
        <v>45187</v>
      </c>
      <c r="L1853" s="7" t="inlineStr"/>
      <c r="M1853" s="5" t="inlineStr">
        <is>
          <t>Yes</t>
        </is>
      </c>
      <c r="N1853" s="5" t="inlineStr"/>
      <c r="O1853" s="8" t="inlineStr">
        <is>
          <t>115500</t>
        </is>
      </c>
      <c r="P1853" s="5" t="inlineStr">
        <is>
          <t>10</t>
        </is>
      </c>
      <c r="Q1853" s="5" t="inlineStr">
        <is>
          <t>4</t>
        </is>
      </c>
      <c r="R1853" s="5" t="inlineStr">
        <is>
          <t>7</t>
        </is>
      </c>
      <c r="S1853" s="5" t="inlineStr">
        <is>
          <t>27</t>
        </is>
      </c>
      <c r="T1853" s="5" t="inlineStr">
        <is>
          <t>9</t>
        </is>
      </c>
      <c r="U1853" s="5">
        <f>IFS(C1853&lt;30,"Under 30",C1853&lt;40,"30-39",C1853&lt;50,"40-49",TRUE,"50+")</f>
        <v/>
      </c>
      <c r="V1853" s="5">
        <f>IFS(O1853&lt;60000,"Low (&lt;60k)",O1853&lt;100000,"Mid (60-100k)",TRUE,"High (100k+)")</f>
        <v/>
      </c>
      <c r="W1853" s="5">
        <f>IF(M1853="No","Attrited","Active")</f>
        <v/>
      </c>
    </row>
    <row r="1854">
      <c r="A1854" s="5" t="inlineStr">
        <is>
          <t>E01853</t>
        </is>
      </c>
      <c r="B1854" s="5" t="inlineStr">
        <is>
          <t>Female</t>
        </is>
      </c>
      <c r="C1854" s="6" t="inlineStr">
        <is>
          <t>32</t>
        </is>
      </c>
      <c r="D1854" s="5" t="inlineStr">
        <is>
          <t>Single</t>
        </is>
      </c>
      <c r="E1854" s="5" t="inlineStr">
        <is>
          <t>PhD</t>
        </is>
      </c>
      <c r="F1854" s="5" t="inlineStr">
        <is>
          <t>Research &amp; Development</t>
        </is>
      </c>
      <c r="G1854" s="5" t="inlineStr">
        <is>
          <t>Research Scientist</t>
        </is>
      </c>
      <c r="H1854" s="5" t="inlineStr">
        <is>
          <t>5</t>
        </is>
      </c>
      <c r="I1854" s="5" t="inlineStr">
        <is>
          <t>Mumbai</t>
        </is>
      </c>
      <c r="J1854" s="5" t="inlineStr">
        <is>
          <t>Full-Time</t>
        </is>
      </c>
      <c r="K1854" s="7" t="n">
        <v>45223</v>
      </c>
      <c r="L1854" s="7" t="inlineStr"/>
      <c r="M1854" s="5" t="inlineStr">
        <is>
          <t>Yes</t>
        </is>
      </c>
      <c r="N1854" s="5" t="inlineStr"/>
      <c r="O1854" s="8" t="inlineStr">
        <is>
          <t>254500</t>
        </is>
      </c>
      <c r="P1854" s="5" t="inlineStr">
        <is>
          <t>5</t>
        </is>
      </c>
      <c r="Q1854" s="5" t="inlineStr">
        <is>
          <t>3</t>
        </is>
      </c>
      <c r="R1854" s="5" t="inlineStr">
        <is>
          <t>4</t>
        </is>
      </c>
      <c r="S1854" s="5" t="inlineStr">
        <is>
          <t>26</t>
        </is>
      </c>
      <c r="T1854" s="5" t="inlineStr">
        <is>
          <t>11</t>
        </is>
      </c>
      <c r="U1854" s="5">
        <f>IFS(C1854&lt;30,"Under 30",C1854&lt;40,"30-39",C1854&lt;50,"40-49",TRUE,"50+")</f>
        <v/>
      </c>
      <c r="V1854" s="5">
        <f>IFS(O1854&lt;60000,"Low (&lt;60k)",O1854&lt;100000,"Mid (60-100k)",TRUE,"High (100k+)")</f>
        <v/>
      </c>
      <c r="W1854" s="5">
        <f>IF(M1854="No","Attrited","Active")</f>
        <v/>
      </c>
    </row>
    <row r="1855">
      <c r="A1855" s="5" t="inlineStr">
        <is>
          <t>E01854</t>
        </is>
      </c>
      <c r="B1855" s="5" t="inlineStr">
        <is>
          <t>Female</t>
        </is>
      </c>
      <c r="C1855" s="6" t="inlineStr">
        <is>
          <t>34</t>
        </is>
      </c>
      <c r="D1855" s="5" t="inlineStr">
        <is>
          <t>Married</t>
        </is>
      </c>
      <c r="E1855" s="5" t="inlineStr">
        <is>
          <t>High School</t>
        </is>
      </c>
      <c r="F1855" s="5" t="inlineStr">
        <is>
          <t>Human Resources</t>
        </is>
      </c>
      <c r="G1855" s="5" t="inlineStr">
        <is>
          <t>HR Generalist</t>
        </is>
      </c>
      <c r="H1855" s="5" t="inlineStr">
        <is>
          <t>1</t>
        </is>
      </c>
      <c r="I1855" s="5" t="inlineStr">
        <is>
          <t>Bengaluru</t>
        </is>
      </c>
      <c r="J1855" s="5" t="inlineStr">
        <is>
          <t>Full-Time</t>
        </is>
      </c>
      <c r="K1855" s="7" t="n">
        <v>45241</v>
      </c>
      <c r="L1855" s="7" t="inlineStr"/>
      <c r="M1855" s="5" t="inlineStr">
        <is>
          <t>Yes</t>
        </is>
      </c>
      <c r="N1855" s="5" t="inlineStr"/>
      <c r="O1855" s="8" t="inlineStr">
        <is>
          <t>63500</t>
        </is>
      </c>
      <c r="P1855" s="5" t="inlineStr">
        <is>
          <t>5</t>
        </is>
      </c>
      <c r="Q1855" s="5" t="inlineStr">
        <is>
          <t>2</t>
        </is>
      </c>
      <c r="R1855" s="5" t="inlineStr">
        <is>
          <t>8</t>
        </is>
      </c>
      <c r="S1855" s="5" t="inlineStr">
        <is>
          <t>26</t>
        </is>
      </c>
      <c r="T1855" s="5" t="inlineStr">
        <is>
          <t>8</t>
        </is>
      </c>
      <c r="U1855" s="5">
        <f>IFS(C1855&lt;30,"Under 30",C1855&lt;40,"30-39",C1855&lt;50,"40-49",TRUE,"50+")</f>
        <v/>
      </c>
      <c r="V1855" s="5">
        <f>IFS(O1855&lt;60000,"Low (&lt;60k)",O1855&lt;100000,"Mid (60-100k)",TRUE,"High (100k+)")</f>
        <v/>
      </c>
      <c r="W1855" s="5">
        <f>IF(M1855="No","Attrited","Active")</f>
        <v/>
      </c>
    </row>
    <row r="1856">
      <c r="A1856" s="5" t="inlineStr">
        <is>
          <t>E01855</t>
        </is>
      </c>
      <c r="B1856" s="5" t="inlineStr">
        <is>
          <t>Male</t>
        </is>
      </c>
      <c r="C1856" s="6" t="inlineStr">
        <is>
          <t>36</t>
        </is>
      </c>
      <c r="D1856" s="5" t="inlineStr">
        <is>
          <t>Married</t>
        </is>
      </c>
      <c r="E1856" s="5" t="inlineStr">
        <is>
          <t>Bachelor</t>
        </is>
      </c>
      <c r="F1856" s="5" t="inlineStr">
        <is>
          <t>Finance</t>
        </is>
      </c>
      <c r="G1856" s="5" t="inlineStr">
        <is>
          <t>Financial Analyst</t>
        </is>
      </c>
      <c r="H1856" s="5" t="inlineStr">
        <is>
          <t>3</t>
        </is>
      </c>
      <c r="I1856" s="5" t="inlineStr">
        <is>
          <t>Delhi</t>
        </is>
      </c>
      <c r="J1856" s="5" t="inlineStr">
        <is>
          <t>Contract</t>
        </is>
      </c>
      <c r="K1856" s="7" t="n">
        <v>45940</v>
      </c>
      <c r="L1856" s="7" t="inlineStr"/>
      <c r="M1856" s="5" t="inlineStr">
        <is>
          <t>Yes</t>
        </is>
      </c>
      <c r="N1856" s="5" t="inlineStr"/>
      <c r="O1856" s="8" t="inlineStr">
        <is>
          <t>146000</t>
        </is>
      </c>
      <c r="P1856" s="5" t="inlineStr">
        <is>
          <t>10</t>
        </is>
      </c>
      <c r="Q1856" s="5" t="inlineStr">
        <is>
          <t>4</t>
        </is>
      </c>
      <c r="R1856" s="5" t="inlineStr">
        <is>
          <t>4</t>
        </is>
      </c>
      <c r="S1856" s="5" t="inlineStr">
        <is>
          <t>2</t>
        </is>
      </c>
      <c r="T1856" s="5" t="inlineStr">
        <is>
          <t>2</t>
        </is>
      </c>
      <c r="U1856" s="5">
        <f>IFS(C1856&lt;30,"Under 30",C1856&lt;40,"30-39",C1856&lt;50,"40-49",TRUE,"50+")</f>
        <v/>
      </c>
      <c r="V1856" s="5">
        <f>IFS(O1856&lt;60000,"Low (&lt;60k)",O1856&lt;100000,"Mid (60-100k)",TRUE,"High (100k+)")</f>
        <v/>
      </c>
      <c r="W1856" s="5">
        <f>IF(M1856="No","Attrited","Active")</f>
        <v/>
      </c>
    </row>
    <row r="1857">
      <c r="A1857" s="5" t="inlineStr">
        <is>
          <t>E01856</t>
        </is>
      </c>
      <c r="B1857" s="5" t="inlineStr">
        <is>
          <t>Male</t>
        </is>
      </c>
      <c r="C1857" s="6" t="inlineStr">
        <is>
          <t>31</t>
        </is>
      </c>
      <c r="D1857" s="5" t="inlineStr">
        <is>
          <t>Married</t>
        </is>
      </c>
      <c r="E1857" s="5" t="inlineStr">
        <is>
          <t>High School</t>
        </is>
      </c>
      <c r="F1857" s="5" t="inlineStr">
        <is>
          <t>Finance</t>
        </is>
      </c>
      <c r="G1857" s="5" t="inlineStr">
        <is>
          <t>Financial Analyst</t>
        </is>
      </c>
      <c r="H1857" s="5" t="inlineStr">
        <is>
          <t>5</t>
        </is>
      </c>
      <c r="I1857" s="5" t="inlineStr">
        <is>
          <t>Hyderabad</t>
        </is>
      </c>
      <c r="J1857" s="5" t="inlineStr">
        <is>
          <t>Full-Time</t>
        </is>
      </c>
      <c r="K1857" s="7" t="n">
        <v>44621</v>
      </c>
      <c r="L1857" s="7" t="inlineStr"/>
      <c r="M1857" s="5" t="inlineStr">
        <is>
          <t>Yes</t>
        </is>
      </c>
      <c r="N1857" s="5" t="inlineStr"/>
      <c r="O1857" s="8" t="inlineStr">
        <is>
          <t>174500</t>
        </is>
      </c>
      <c r="P1857" s="5" t="inlineStr">
        <is>
          <t>10</t>
        </is>
      </c>
      <c r="Q1857" s="5" t="inlineStr">
        <is>
          <t>4</t>
        </is>
      </c>
      <c r="R1857" s="5" t="inlineStr">
        <is>
          <t>8</t>
        </is>
      </c>
      <c r="S1857" s="5" t="inlineStr">
        <is>
          <t>46</t>
        </is>
      </c>
      <c r="T1857" s="5" t="inlineStr">
        <is>
          <t>6</t>
        </is>
      </c>
      <c r="U1857" s="5">
        <f>IFS(C1857&lt;30,"Under 30",C1857&lt;40,"30-39",C1857&lt;50,"40-49",TRUE,"50+")</f>
        <v/>
      </c>
      <c r="V1857" s="5">
        <f>IFS(O1857&lt;60000,"Low (&lt;60k)",O1857&lt;100000,"Mid (60-100k)",TRUE,"High (100k+)")</f>
        <v/>
      </c>
      <c r="W1857" s="5">
        <f>IF(M1857="No","Attrited","Active")</f>
        <v/>
      </c>
    </row>
    <row r="1858">
      <c r="A1858" s="5" t="inlineStr">
        <is>
          <t>E01857</t>
        </is>
      </c>
      <c r="B1858" s="5" t="inlineStr">
        <is>
          <t>Male</t>
        </is>
      </c>
      <c r="C1858" s="6" t="inlineStr">
        <is>
          <t>41</t>
        </is>
      </c>
      <c r="D1858" s="5" t="inlineStr">
        <is>
          <t>Married</t>
        </is>
      </c>
      <c r="E1858" s="5" t="inlineStr">
        <is>
          <t>Bachelor</t>
        </is>
      </c>
      <c r="F1858" s="5" t="inlineStr">
        <is>
          <t>Customer Support</t>
        </is>
      </c>
      <c r="G1858" s="5" t="inlineStr">
        <is>
          <t>Support Agent</t>
        </is>
      </c>
      <c r="H1858" s="5" t="inlineStr">
        <is>
          <t>7</t>
        </is>
      </c>
      <c r="I1858" s="5" t="inlineStr">
        <is>
          <t>Bengaluru</t>
        </is>
      </c>
      <c r="J1858" s="5" t="inlineStr">
        <is>
          <t>Full-Time</t>
        </is>
      </c>
      <c r="K1858" s="7" t="n">
        <v>45020</v>
      </c>
      <c r="L1858" s="7" t="inlineStr"/>
      <c r="M1858" s="5" t="inlineStr">
        <is>
          <t>Yes</t>
        </is>
      </c>
      <c r="N1858" s="5" t="inlineStr"/>
      <c r="O1858" s="8" t="inlineStr">
        <is>
          <t>133500</t>
        </is>
      </c>
      <c r="P1858" s="5" t="inlineStr">
        <is>
          <t>5</t>
        </is>
      </c>
      <c r="Q1858" s="5" t="inlineStr">
        <is>
          <t>5</t>
        </is>
      </c>
      <c r="R1858" s="5" t="inlineStr">
        <is>
          <t>5</t>
        </is>
      </c>
      <c r="S1858" s="5" t="inlineStr">
        <is>
          <t>33</t>
        </is>
      </c>
      <c r="T1858" s="5" t="inlineStr">
        <is>
          <t>0</t>
        </is>
      </c>
      <c r="U1858" s="5">
        <f>IFS(C1858&lt;30,"Under 30",C1858&lt;40,"30-39",C1858&lt;50,"40-49",TRUE,"50+")</f>
        <v/>
      </c>
      <c r="V1858" s="5">
        <f>IFS(O1858&lt;60000,"Low (&lt;60k)",O1858&lt;100000,"Mid (60-100k)",TRUE,"High (100k+)")</f>
        <v/>
      </c>
      <c r="W1858" s="5">
        <f>IF(M1858="No","Attrited","Active")</f>
        <v/>
      </c>
    </row>
    <row r="1859">
      <c r="A1859" s="5" t="inlineStr">
        <is>
          <t>E01858</t>
        </is>
      </c>
      <c r="B1859" s="5" t="inlineStr">
        <is>
          <t>Female</t>
        </is>
      </c>
      <c r="C1859" s="6" t="inlineStr">
        <is>
          <t>32</t>
        </is>
      </c>
      <c r="D1859" s="5" t="inlineStr">
        <is>
          <t>Single</t>
        </is>
      </c>
      <c r="E1859" s="5" t="inlineStr">
        <is>
          <t>PhD</t>
        </is>
      </c>
      <c r="F1859" s="5" t="inlineStr">
        <is>
          <t>Finance</t>
        </is>
      </c>
      <c r="G1859" s="5" t="inlineStr">
        <is>
          <t>Accountant</t>
        </is>
      </c>
      <c r="H1859" s="5" t="inlineStr">
        <is>
          <t>3</t>
        </is>
      </c>
      <c r="I1859" s="5" t="inlineStr">
        <is>
          <t>Bengaluru</t>
        </is>
      </c>
      <c r="J1859" s="5" t="inlineStr">
        <is>
          <t>Full-Time</t>
        </is>
      </c>
      <c r="K1859" s="7" t="n">
        <v>45643</v>
      </c>
      <c r="L1859" s="7" t="inlineStr"/>
      <c r="M1859" s="5" t="inlineStr">
        <is>
          <t>Yes</t>
        </is>
      </c>
      <c r="N1859" s="5" t="inlineStr"/>
      <c r="O1859" s="8" t="inlineStr">
        <is>
          <t>94500</t>
        </is>
      </c>
      <c r="P1859" s="5" t="inlineStr">
        <is>
          <t>0</t>
        </is>
      </c>
      <c r="Q1859" s="5" t="inlineStr">
        <is>
          <t>2</t>
        </is>
      </c>
      <c r="R1859" s="5" t="inlineStr">
        <is>
          <t>8</t>
        </is>
      </c>
      <c r="S1859" s="5" t="inlineStr">
        <is>
          <t>12</t>
        </is>
      </c>
      <c r="T1859" s="5" t="inlineStr">
        <is>
          <t>17</t>
        </is>
      </c>
      <c r="U1859" s="5">
        <f>IFS(C1859&lt;30,"Under 30",C1859&lt;40,"30-39",C1859&lt;50,"40-49",TRUE,"50+")</f>
        <v/>
      </c>
      <c r="V1859" s="5">
        <f>IFS(O1859&lt;60000,"Low (&lt;60k)",O1859&lt;100000,"Mid (60-100k)",TRUE,"High (100k+)")</f>
        <v/>
      </c>
      <c r="W1859" s="5">
        <f>IF(M1859="No","Attrited","Active")</f>
        <v/>
      </c>
    </row>
    <row r="1860">
      <c r="A1860" s="5" t="inlineStr">
        <is>
          <t>E01859</t>
        </is>
      </c>
      <c r="B1860" s="5" t="inlineStr">
        <is>
          <t>Female</t>
        </is>
      </c>
      <c r="C1860" s="6" t="inlineStr">
        <is>
          <t>37</t>
        </is>
      </c>
      <c r="D1860" s="5" t="inlineStr">
        <is>
          <t>Married</t>
        </is>
      </c>
      <c r="E1860" s="5" t="inlineStr">
        <is>
          <t>Bachelor</t>
        </is>
      </c>
      <c r="F1860" s="5" t="inlineStr">
        <is>
          <t>Marketing</t>
        </is>
      </c>
      <c r="G1860" s="5" t="inlineStr">
        <is>
          <t>Marketing Analyst</t>
        </is>
      </c>
      <c r="H1860" s="5" t="inlineStr">
        <is>
          <t>3</t>
        </is>
      </c>
      <c r="I1860" s="5" t="inlineStr">
        <is>
          <t>Hyderabad</t>
        </is>
      </c>
      <c r="J1860" s="5" t="inlineStr">
        <is>
          <t>Full-Time</t>
        </is>
      </c>
      <c r="K1860" s="7" t="n">
        <v>45441</v>
      </c>
      <c r="L1860" s="7" t="inlineStr"/>
      <c r="M1860" s="5" t="inlineStr">
        <is>
          <t>Yes</t>
        </is>
      </c>
      <c r="N1860" s="5" t="inlineStr"/>
      <c r="O1860" s="8" t="inlineStr">
        <is>
          <t>77000</t>
        </is>
      </c>
      <c r="P1860" s="5" t="inlineStr">
        <is>
          <t>0</t>
        </is>
      </c>
      <c r="Q1860" s="5" t="inlineStr">
        <is>
          <t>5</t>
        </is>
      </c>
      <c r="R1860" s="5" t="inlineStr">
        <is>
          <t>1</t>
        </is>
      </c>
      <c r="S1860" s="5" t="inlineStr">
        <is>
          <t>19</t>
        </is>
      </c>
      <c r="T1860" s="5" t="inlineStr">
        <is>
          <t>0</t>
        </is>
      </c>
      <c r="U1860" s="5">
        <f>IFS(C1860&lt;30,"Under 30",C1860&lt;40,"30-39",C1860&lt;50,"40-49",TRUE,"50+")</f>
        <v/>
      </c>
      <c r="V1860" s="5">
        <f>IFS(O1860&lt;60000,"Low (&lt;60k)",O1860&lt;100000,"Mid (60-100k)",TRUE,"High (100k+)")</f>
        <v/>
      </c>
      <c r="W1860" s="5">
        <f>IF(M1860="No","Attrited","Active")</f>
        <v/>
      </c>
    </row>
    <row r="1861">
      <c r="A1861" s="5" t="inlineStr">
        <is>
          <t>E01860</t>
        </is>
      </c>
      <c r="B1861" s="5" t="inlineStr">
        <is>
          <t>Male</t>
        </is>
      </c>
      <c r="C1861" s="6" t="inlineStr">
        <is>
          <t>37</t>
        </is>
      </c>
      <c r="D1861" s="5" t="inlineStr">
        <is>
          <t>Married</t>
        </is>
      </c>
      <c r="E1861" s="5" t="inlineStr">
        <is>
          <t>PhD</t>
        </is>
      </c>
      <c r="F1861" s="5" t="inlineStr">
        <is>
          <t>Marketing</t>
        </is>
      </c>
      <c r="G1861" s="5" t="inlineStr">
        <is>
          <t>SEO Specialist</t>
        </is>
      </c>
      <c r="H1861" s="5" t="inlineStr">
        <is>
          <t>3</t>
        </is>
      </c>
      <c r="I1861" s="5" t="inlineStr">
        <is>
          <t>Mumbai</t>
        </is>
      </c>
      <c r="J1861" s="5" t="inlineStr">
        <is>
          <t>Full-Time</t>
        </is>
      </c>
      <c r="K1861" s="7" t="n">
        <v>44785</v>
      </c>
      <c r="L1861" s="7" t="inlineStr"/>
      <c r="M1861" s="5" t="inlineStr">
        <is>
          <t>Yes</t>
        </is>
      </c>
      <c r="N1861" s="5" t="inlineStr"/>
      <c r="O1861" s="8" t="inlineStr">
        <is>
          <t>84500</t>
        </is>
      </c>
      <c r="P1861" s="5" t="inlineStr">
        <is>
          <t>0</t>
        </is>
      </c>
      <c r="Q1861" s="5" t="inlineStr">
        <is>
          <t>4</t>
        </is>
      </c>
      <c r="R1861" s="5" t="inlineStr">
        <is>
          <t>6</t>
        </is>
      </c>
      <c r="S1861" s="5" t="inlineStr">
        <is>
          <t>41</t>
        </is>
      </c>
      <c r="T1861" s="5" t="inlineStr">
        <is>
          <t>5</t>
        </is>
      </c>
      <c r="U1861" s="5">
        <f>IFS(C1861&lt;30,"Under 30",C1861&lt;40,"30-39",C1861&lt;50,"40-49",TRUE,"50+")</f>
        <v/>
      </c>
      <c r="V1861" s="5">
        <f>IFS(O1861&lt;60000,"Low (&lt;60k)",O1861&lt;100000,"Mid (60-100k)",TRUE,"High (100k+)")</f>
        <v/>
      </c>
      <c r="W1861" s="5">
        <f>IF(M1861="No","Attrited","Active")</f>
        <v/>
      </c>
    </row>
    <row r="1862">
      <c r="A1862" s="5" t="inlineStr">
        <is>
          <t>E01861</t>
        </is>
      </c>
      <c r="B1862" s="5" t="inlineStr">
        <is>
          <t>Male</t>
        </is>
      </c>
      <c r="C1862" s="6" t="inlineStr">
        <is>
          <t>34</t>
        </is>
      </c>
      <c r="D1862" s="5" t="inlineStr">
        <is>
          <t>Married</t>
        </is>
      </c>
      <c r="E1862" s="5" t="inlineStr">
        <is>
          <t>Bachelor</t>
        </is>
      </c>
      <c r="F1862" s="5" t="inlineStr">
        <is>
          <t>Marketing</t>
        </is>
      </c>
      <c r="G1862" s="5" t="inlineStr">
        <is>
          <t>SEO Specialist</t>
        </is>
      </c>
      <c r="H1862" s="5" t="inlineStr">
        <is>
          <t>1</t>
        </is>
      </c>
      <c r="I1862" s="5" t="inlineStr">
        <is>
          <t>Hyderabad</t>
        </is>
      </c>
      <c r="J1862" s="5" t="inlineStr">
        <is>
          <t>Full-Time</t>
        </is>
      </c>
      <c r="K1862" s="7" t="n">
        <v>44450</v>
      </c>
      <c r="L1862" s="7" t="inlineStr"/>
      <c r="M1862" s="5" t="inlineStr">
        <is>
          <t>Yes</t>
        </is>
      </c>
      <c r="N1862" s="5" t="inlineStr"/>
      <c r="O1862" s="8" t="inlineStr">
        <is>
          <t>52000</t>
        </is>
      </c>
      <c r="P1862" s="5" t="inlineStr">
        <is>
          <t>5</t>
        </is>
      </c>
      <c r="Q1862" s="5" t="inlineStr">
        <is>
          <t>2</t>
        </is>
      </c>
      <c r="R1862" s="5" t="inlineStr">
        <is>
          <t>10</t>
        </is>
      </c>
      <c r="S1862" s="5" t="inlineStr">
        <is>
          <t>52</t>
        </is>
      </c>
      <c r="T1862" s="5" t="inlineStr">
        <is>
          <t>7</t>
        </is>
      </c>
      <c r="U1862" s="5">
        <f>IFS(C1862&lt;30,"Under 30",C1862&lt;40,"30-39",C1862&lt;50,"40-49",TRUE,"50+")</f>
        <v/>
      </c>
      <c r="V1862" s="5">
        <f>IFS(O1862&lt;60000,"Low (&lt;60k)",O1862&lt;100000,"Mid (60-100k)",TRUE,"High (100k+)")</f>
        <v/>
      </c>
      <c r="W1862" s="5">
        <f>IF(M1862="No","Attrited","Active")</f>
        <v/>
      </c>
    </row>
    <row r="1863">
      <c r="A1863" s="5" t="inlineStr">
        <is>
          <t>E01862</t>
        </is>
      </c>
      <c r="B1863" s="5" t="inlineStr">
        <is>
          <t>Female</t>
        </is>
      </c>
      <c r="C1863" s="6" t="inlineStr">
        <is>
          <t>43</t>
        </is>
      </c>
      <c r="D1863" s="5" t="inlineStr">
        <is>
          <t>Married</t>
        </is>
      </c>
      <c r="E1863" s="5" t="inlineStr">
        <is>
          <t>Master</t>
        </is>
      </c>
      <c r="F1863" s="5" t="inlineStr">
        <is>
          <t>Sales</t>
        </is>
      </c>
      <c r="G1863" s="5" t="inlineStr">
        <is>
          <t>Business Development</t>
        </is>
      </c>
      <c r="H1863" s="5" t="inlineStr">
        <is>
          <t>7</t>
        </is>
      </c>
      <c r="I1863" s="5" t="inlineStr">
        <is>
          <t>Mumbai</t>
        </is>
      </c>
      <c r="J1863" s="5" t="inlineStr">
        <is>
          <t>Contract</t>
        </is>
      </c>
      <c r="K1863" s="7" t="n">
        <v>45908</v>
      </c>
      <c r="L1863" s="7" t="inlineStr"/>
      <c r="M1863" s="5" t="inlineStr">
        <is>
          <t>Yes</t>
        </is>
      </c>
      <c r="N1863" s="5" t="inlineStr"/>
      <c r="O1863" s="8" t="inlineStr">
        <is>
          <t>170000</t>
        </is>
      </c>
      <c r="P1863" s="5" t="inlineStr">
        <is>
          <t>0</t>
        </is>
      </c>
      <c r="Q1863" s="5" t="inlineStr">
        <is>
          <t>3</t>
        </is>
      </c>
      <c r="R1863" s="5" t="inlineStr">
        <is>
          <t>10</t>
        </is>
      </c>
      <c r="S1863" s="5" t="inlineStr">
        <is>
          <t>3</t>
        </is>
      </c>
      <c r="T1863" s="5" t="inlineStr">
        <is>
          <t>1</t>
        </is>
      </c>
      <c r="U1863" s="5">
        <f>IFS(C1863&lt;30,"Under 30",C1863&lt;40,"30-39",C1863&lt;50,"40-49",TRUE,"50+")</f>
        <v/>
      </c>
      <c r="V1863" s="5">
        <f>IFS(O1863&lt;60000,"Low (&lt;60k)",O1863&lt;100000,"Mid (60-100k)",TRUE,"High (100k+)")</f>
        <v/>
      </c>
      <c r="W1863" s="5">
        <f>IF(M1863="No","Attrited","Active")</f>
        <v/>
      </c>
    </row>
    <row r="1864">
      <c r="A1864" s="5" t="inlineStr">
        <is>
          <t>E01863</t>
        </is>
      </c>
      <c r="B1864" s="5" t="inlineStr">
        <is>
          <t>Male</t>
        </is>
      </c>
      <c r="C1864" s="6" t="inlineStr">
        <is>
          <t>38</t>
        </is>
      </c>
      <c r="D1864" s="5" t="inlineStr">
        <is>
          <t>Married</t>
        </is>
      </c>
      <c r="E1864" s="5" t="inlineStr">
        <is>
          <t>Diploma</t>
        </is>
      </c>
      <c r="F1864" s="5" t="inlineStr">
        <is>
          <t>Marketing</t>
        </is>
      </c>
      <c r="G1864" s="5" t="inlineStr">
        <is>
          <t>Marketing Analyst</t>
        </is>
      </c>
      <c r="H1864" s="5" t="inlineStr">
        <is>
          <t>4</t>
        </is>
      </c>
      <c r="I1864" s="5" t="inlineStr">
        <is>
          <t>Hyderabad</t>
        </is>
      </c>
      <c r="J1864" s="5" t="inlineStr">
        <is>
          <t>Full-Time</t>
        </is>
      </c>
      <c r="K1864" s="7" t="n">
        <v>45144</v>
      </c>
      <c r="L1864" s="7" t="inlineStr"/>
      <c r="M1864" s="5" t="inlineStr">
        <is>
          <t>Yes</t>
        </is>
      </c>
      <c r="N1864" s="5" t="inlineStr"/>
      <c r="O1864" s="8" t="inlineStr">
        <is>
          <t>95500</t>
        </is>
      </c>
      <c r="P1864" s="5" t="inlineStr">
        <is>
          <t>5</t>
        </is>
      </c>
      <c r="Q1864" s="5" t="inlineStr">
        <is>
          <t>4</t>
        </is>
      </c>
      <c r="R1864" s="5" t="inlineStr">
        <is>
          <t>5</t>
        </is>
      </c>
      <c r="S1864" s="5" t="inlineStr">
        <is>
          <t>29</t>
        </is>
      </c>
      <c r="T1864" s="5" t="inlineStr">
        <is>
          <t>7</t>
        </is>
      </c>
      <c r="U1864" s="5">
        <f>IFS(C1864&lt;30,"Under 30",C1864&lt;40,"30-39",C1864&lt;50,"40-49",TRUE,"50+")</f>
        <v/>
      </c>
      <c r="V1864" s="5">
        <f>IFS(O1864&lt;60000,"Low (&lt;60k)",O1864&lt;100000,"Mid (60-100k)",TRUE,"High (100k+)")</f>
        <v/>
      </c>
      <c r="W1864" s="5">
        <f>IF(M1864="No","Attrited","Active")</f>
        <v/>
      </c>
    </row>
    <row r="1865">
      <c r="A1865" s="5" t="inlineStr">
        <is>
          <t>E01864</t>
        </is>
      </c>
      <c r="B1865" s="5" t="inlineStr">
        <is>
          <t>Male</t>
        </is>
      </c>
      <c r="C1865" s="6" t="inlineStr">
        <is>
          <t>32</t>
        </is>
      </c>
      <c r="D1865" s="5" t="inlineStr">
        <is>
          <t>Married</t>
        </is>
      </c>
      <c r="E1865" s="5" t="inlineStr">
        <is>
          <t>PhD</t>
        </is>
      </c>
      <c r="F1865" s="5" t="inlineStr">
        <is>
          <t>Customer Support</t>
        </is>
      </c>
      <c r="G1865" s="5" t="inlineStr">
        <is>
          <t>Escalation Specialist</t>
        </is>
      </c>
      <c r="H1865" s="5" t="inlineStr">
        <is>
          <t>1</t>
        </is>
      </c>
      <c r="I1865" s="5" t="inlineStr">
        <is>
          <t>Chennai</t>
        </is>
      </c>
      <c r="J1865" s="5" t="inlineStr">
        <is>
          <t>Contract</t>
        </is>
      </c>
      <c r="K1865" s="7" t="n">
        <v>45055</v>
      </c>
      <c r="L1865" s="7" t="inlineStr"/>
      <c r="M1865" s="5" t="inlineStr">
        <is>
          <t>Yes</t>
        </is>
      </c>
      <c r="N1865" s="5" t="inlineStr"/>
      <c r="O1865" s="8" t="inlineStr">
        <is>
          <t>46000</t>
        </is>
      </c>
      <c r="P1865" s="5" t="inlineStr">
        <is>
          <t>0</t>
        </is>
      </c>
      <c r="Q1865" s="5" t="inlineStr">
        <is>
          <t>4</t>
        </is>
      </c>
      <c r="R1865" s="5" t="inlineStr">
        <is>
          <t>6</t>
        </is>
      </c>
      <c r="S1865" s="5" t="inlineStr">
        <is>
          <t>32</t>
        </is>
      </c>
      <c r="T1865" s="5" t="inlineStr">
        <is>
          <t>17</t>
        </is>
      </c>
      <c r="U1865" s="5">
        <f>IFS(C1865&lt;30,"Under 30",C1865&lt;40,"30-39",C1865&lt;50,"40-49",TRUE,"50+")</f>
        <v/>
      </c>
      <c r="V1865" s="5">
        <f>IFS(O1865&lt;60000,"Low (&lt;60k)",O1865&lt;100000,"Mid (60-100k)",TRUE,"High (100k+)")</f>
        <v/>
      </c>
      <c r="W1865" s="5">
        <f>IF(M1865="No","Attrited","Active")</f>
        <v/>
      </c>
    </row>
    <row r="1866">
      <c r="A1866" s="5" t="inlineStr">
        <is>
          <t>E01865</t>
        </is>
      </c>
      <c r="B1866" s="5" t="inlineStr">
        <is>
          <t>Female</t>
        </is>
      </c>
      <c r="C1866" s="6" t="inlineStr">
        <is>
          <t>34</t>
        </is>
      </c>
      <c r="D1866" s="5" t="inlineStr">
        <is>
          <t>Married</t>
        </is>
      </c>
      <c r="E1866" s="5" t="inlineStr">
        <is>
          <t>High School</t>
        </is>
      </c>
      <c r="F1866" s="5" t="inlineStr">
        <is>
          <t>Customer Support</t>
        </is>
      </c>
      <c r="G1866" s="5" t="inlineStr">
        <is>
          <t>Support Lead</t>
        </is>
      </c>
      <c r="H1866" s="5" t="inlineStr">
        <is>
          <t>2</t>
        </is>
      </c>
      <c r="I1866" s="5" t="inlineStr">
        <is>
          <t>Bengaluru</t>
        </is>
      </c>
      <c r="J1866" s="5" t="inlineStr">
        <is>
          <t>Full-Time</t>
        </is>
      </c>
      <c r="K1866" s="7" t="n">
        <v>45684</v>
      </c>
      <c r="L1866" s="7" t="inlineStr"/>
      <c r="M1866" s="5" t="inlineStr">
        <is>
          <t>Yes</t>
        </is>
      </c>
      <c r="N1866" s="5" t="inlineStr"/>
      <c r="O1866" s="8" t="inlineStr">
        <is>
          <t>69500</t>
        </is>
      </c>
      <c r="P1866" s="5" t="inlineStr">
        <is>
          <t>0</t>
        </is>
      </c>
      <c r="Q1866" s="5" t="inlineStr">
        <is>
          <t>4</t>
        </is>
      </c>
      <c r="R1866" s="5" t="inlineStr">
        <is>
          <t>5</t>
        </is>
      </c>
      <c r="S1866" s="5" t="inlineStr">
        <is>
          <t>11</t>
        </is>
      </c>
      <c r="T1866" s="5" t="inlineStr">
        <is>
          <t>7</t>
        </is>
      </c>
      <c r="U1866" s="5">
        <f>IFS(C1866&lt;30,"Under 30",C1866&lt;40,"30-39",C1866&lt;50,"40-49",TRUE,"50+")</f>
        <v/>
      </c>
      <c r="V1866" s="5">
        <f>IFS(O1866&lt;60000,"Low (&lt;60k)",O1866&lt;100000,"Mid (60-100k)",TRUE,"High (100k+)")</f>
        <v/>
      </c>
      <c r="W1866" s="5">
        <f>IF(M1866="No","Attrited","Active")</f>
        <v/>
      </c>
    </row>
    <row r="1867">
      <c r="A1867" s="5" t="inlineStr">
        <is>
          <t>E01866</t>
        </is>
      </c>
      <c r="B1867" s="5" t="inlineStr">
        <is>
          <t>Female</t>
        </is>
      </c>
      <c r="C1867" s="6" t="inlineStr">
        <is>
          <t>39</t>
        </is>
      </c>
      <c r="D1867" s="5" t="inlineStr">
        <is>
          <t>Married</t>
        </is>
      </c>
      <c r="E1867" s="5" t="inlineStr">
        <is>
          <t>Diploma</t>
        </is>
      </c>
      <c r="F1867" s="5" t="inlineStr">
        <is>
          <t>IT</t>
        </is>
      </c>
      <c r="G1867" s="5" t="inlineStr">
        <is>
          <t>IT Support</t>
        </is>
      </c>
      <c r="H1867" s="5" t="inlineStr">
        <is>
          <t>4</t>
        </is>
      </c>
      <c r="I1867" s="5" t="inlineStr">
        <is>
          <t>Remote</t>
        </is>
      </c>
      <c r="J1867" s="5" t="inlineStr">
        <is>
          <t>Full-Time</t>
        </is>
      </c>
      <c r="K1867" s="7" t="n">
        <v>44308</v>
      </c>
      <c r="L1867" s="7" t="inlineStr"/>
      <c r="M1867" s="5" t="inlineStr">
        <is>
          <t>Yes</t>
        </is>
      </c>
      <c r="N1867" s="5" t="inlineStr"/>
      <c r="O1867" s="8" t="inlineStr">
        <is>
          <t>179000</t>
        </is>
      </c>
      <c r="P1867" s="5" t="inlineStr">
        <is>
          <t>0</t>
        </is>
      </c>
      <c r="Q1867" s="5" t="inlineStr">
        <is>
          <t>3</t>
        </is>
      </c>
      <c r="R1867" s="5" t="inlineStr">
        <is>
          <t>6</t>
        </is>
      </c>
      <c r="S1867" s="5" t="inlineStr">
        <is>
          <t>57</t>
        </is>
      </c>
      <c r="T1867" s="5" t="inlineStr">
        <is>
          <t>0</t>
        </is>
      </c>
      <c r="U1867" s="5">
        <f>IFS(C1867&lt;30,"Under 30",C1867&lt;40,"30-39",C1867&lt;50,"40-49",TRUE,"50+")</f>
        <v/>
      </c>
      <c r="V1867" s="5">
        <f>IFS(O1867&lt;60000,"Low (&lt;60k)",O1867&lt;100000,"Mid (60-100k)",TRUE,"High (100k+)")</f>
        <v/>
      </c>
      <c r="W1867" s="5">
        <f>IF(M1867="No","Attrited","Active")</f>
        <v/>
      </c>
    </row>
    <row r="1868">
      <c r="A1868" s="5" t="inlineStr">
        <is>
          <t>E01867</t>
        </is>
      </c>
      <c r="B1868" s="5" t="inlineStr">
        <is>
          <t>Male</t>
        </is>
      </c>
      <c r="C1868" s="6" t="inlineStr">
        <is>
          <t>40</t>
        </is>
      </c>
      <c r="D1868" s="5" t="inlineStr">
        <is>
          <t>Married</t>
        </is>
      </c>
      <c r="E1868" s="5" t="inlineStr">
        <is>
          <t>PhD</t>
        </is>
      </c>
      <c r="F1868" s="5" t="inlineStr">
        <is>
          <t>Human Resources</t>
        </is>
      </c>
      <c r="G1868" s="5" t="inlineStr">
        <is>
          <t>HR Analyst</t>
        </is>
      </c>
      <c r="H1868" s="5" t="inlineStr">
        <is>
          <t>4</t>
        </is>
      </c>
      <c r="I1868" s="5" t="inlineStr">
        <is>
          <t>Chennai</t>
        </is>
      </c>
      <c r="J1868" s="5" t="inlineStr">
        <is>
          <t>Full-Time</t>
        </is>
      </c>
      <c r="K1868" s="7" t="n">
        <v>44470</v>
      </c>
      <c r="L1868" s="7" t="inlineStr"/>
      <c r="M1868" s="5" t="inlineStr">
        <is>
          <t>Yes</t>
        </is>
      </c>
      <c r="N1868" s="5" t="inlineStr"/>
      <c r="O1868" s="8" t="inlineStr">
        <is>
          <t>108000</t>
        </is>
      </c>
      <c r="P1868" s="5" t="inlineStr">
        <is>
          <t>0</t>
        </is>
      </c>
      <c r="Q1868" s="5" t="inlineStr">
        <is>
          <t>3</t>
        </is>
      </c>
      <c r="R1868" s="5" t="inlineStr">
        <is>
          <t>5</t>
        </is>
      </c>
      <c r="S1868" s="5" t="inlineStr">
        <is>
          <t>51</t>
        </is>
      </c>
      <c r="T1868" s="5" t="inlineStr">
        <is>
          <t>2</t>
        </is>
      </c>
      <c r="U1868" s="5">
        <f>IFS(C1868&lt;30,"Under 30",C1868&lt;40,"30-39",C1868&lt;50,"40-49",TRUE,"50+")</f>
        <v/>
      </c>
      <c r="V1868" s="5">
        <f>IFS(O1868&lt;60000,"Low (&lt;60k)",O1868&lt;100000,"Mid (60-100k)",TRUE,"High (100k+)")</f>
        <v/>
      </c>
      <c r="W1868" s="5">
        <f>IF(M1868="No","Attrited","Active")</f>
        <v/>
      </c>
    </row>
    <row r="1869">
      <c r="A1869" s="5" t="inlineStr">
        <is>
          <t>E01868</t>
        </is>
      </c>
      <c r="B1869" s="5" t="inlineStr">
        <is>
          <t>Male</t>
        </is>
      </c>
      <c r="C1869" s="6" t="inlineStr">
        <is>
          <t>29</t>
        </is>
      </c>
      <c r="D1869" s="5" t="inlineStr">
        <is>
          <t>Married</t>
        </is>
      </c>
      <c r="E1869" s="5" t="inlineStr">
        <is>
          <t>High School</t>
        </is>
      </c>
      <c r="F1869" s="5" t="inlineStr">
        <is>
          <t>IT</t>
        </is>
      </c>
      <c r="G1869" s="5" t="inlineStr">
        <is>
          <t>Software Engineer</t>
        </is>
      </c>
      <c r="H1869" s="5" t="inlineStr">
        <is>
          <t>4</t>
        </is>
      </c>
      <c r="I1869" s="5" t="inlineStr">
        <is>
          <t>Mumbai</t>
        </is>
      </c>
      <c r="J1869" s="5" t="inlineStr">
        <is>
          <t>Full-Time</t>
        </is>
      </c>
      <c r="K1869" s="7" t="n">
        <v>45924</v>
      </c>
      <c r="L1869" s="7" t="inlineStr"/>
      <c r="M1869" s="5" t="inlineStr">
        <is>
          <t>Yes</t>
        </is>
      </c>
      <c r="N1869" s="5" t="inlineStr"/>
      <c r="O1869" s="8" t="inlineStr">
        <is>
          <t>173000</t>
        </is>
      </c>
      <c r="P1869" s="5" t="inlineStr">
        <is>
          <t>0</t>
        </is>
      </c>
      <c r="Q1869" s="5" t="inlineStr">
        <is>
          <t>3</t>
        </is>
      </c>
      <c r="R1869" s="5" t="inlineStr">
        <is>
          <t>7</t>
        </is>
      </c>
      <c r="S1869" s="5" t="inlineStr">
        <is>
          <t>3</t>
        </is>
      </c>
      <c r="T1869" s="5" t="inlineStr">
        <is>
          <t>6</t>
        </is>
      </c>
      <c r="U1869" s="5">
        <f>IFS(C1869&lt;30,"Under 30",C1869&lt;40,"30-39",C1869&lt;50,"40-49",TRUE,"50+")</f>
        <v/>
      </c>
      <c r="V1869" s="5">
        <f>IFS(O1869&lt;60000,"Low (&lt;60k)",O1869&lt;100000,"Mid (60-100k)",TRUE,"High (100k+)")</f>
        <v/>
      </c>
      <c r="W1869" s="5">
        <f>IF(M1869="No","Attrited","Active")</f>
        <v/>
      </c>
    </row>
    <row r="1870">
      <c r="A1870" s="5" t="inlineStr">
        <is>
          <t>E01869</t>
        </is>
      </c>
      <c r="B1870" s="5" t="inlineStr">
        <is>
          <t>Male</t>
        </is>
      </c>
      <c r="C1870" s="6" t="inlineStr">
        <is>
          <t>45</t>
        </is>
      </c>
      <c r="D1870" s="5" t="inlineStr">
        <is>
          <t>Married</t>
        </is>
      </c>
      <c r="E1870" s="5" t="inlineStr">
        <is>
          <t>Diploma</t>
        </is>
      </c>
      <c r="F1870" s="5" t="inlineStr">
        <is>
          <t>Operations</t>
        </is>
      </c>
      <c r="G1870" s="5" t="inlineStr">
        <is>
          <t>Quality Analyst</t>
        </is>
      </c>
      <c r="H1870" s="5" t="inlineStr">
        <is>
          <t>7</t>
        </is>
      </c>
      <c r="I1870" s="5" t="inlineStr">
        <is>
          <t>Bengaluru</t>
        </is>
      </c>
      <c r="J1870" s="5" t="inlineStr">
        <is>
          <t>Contract</t>
        </is>
      </c>
      <c r="K1870" s="7" t="n">
        <v>45273</v>
      </c>
      <c r="L1870" s="7" t="inlineStr"/>
      <c r="M1870" s="5" t="inlineStr">
        <is>
          <t>Yes</t>
        </is>
      </c>
      <c r="N1870" s="5" t="inlineStr"/>
      <c r="O1870" s="8" t="inlineStr">
        <is>
          <t>169000</t>
        </is>
      </c>
      <c r="P1870" s="5" t="inlineStr">
        <is>
          <t>0</t>
        </is>
      </c>
      <c r="Q1870" s="5" t="inlineStr">
        <is>
          <t>2</t>
        </is>
      </c>
      <c r="R1870" s="5" t="inlineStr">
        <is>
          <t>5</t>
        </is>
      </c>
      <c r="S1870" s="5" t="inlineStr">
        <is>
          <t>24</t>
        </is>
      </c>
      <c r="T1870" s="5" t="inlineStr">
        <is>
          <t>11</t>
        </is>
      </c>
      <c r="U1870" s="5">
        <f>IFS(C1870&lt;30,"Under 30",C1870&lt;40,"30-39",C1870&lt;50,"40-49",TRUE,"50+")</f>
        <v/>
      </c>
      <c r="V1870" s="5">
        <f>IFS(O1870&lt;60000,"Low (&lt;60k)",O1870&lt;100000,"Mid (60-100k)",TRUE,"High (100k+)")</f>
        <v/>
      </c>
      <c r="W1870" s="5">
        <f>IF(M1870="No","Attrited","Active")</f>
        <v/>
      </c>
    </row>
    <row r="1871">
      <c r="A1871" s="5" t="inlineStr">
        <is>
          <t>E01870</t>
        </is>
      </c>
      <c r="B1871" s="5" t="inlineStr">
        <is>
          <t>Female</t>
        </is>
      </c>
      <c r="C1871" s="6" t="inlineStr">
        <is>
          <t>28</t>
        </is>
      </c>
      <c r="D1871" s="5" t="inlineStr">
        <is>
          <t>Single</t>
        </is>
      </c>
      <c r="E1871" s="5" t="inlineStr">
        <is>
          <t>PhD</t>
        </is>
      </c>
      <c r="F1871" s="5" t="inlineStr">
        <is>
          <t>Customer Support</t>
        </is>
      </c>
      <c r="G1871" s="5" t="inlineStr">
        <is>
          <t>Support Agent</t>
        </is>
      </c>
      <c r="H1871" s="5" t="inlineStr">
        <is>
          <t>2</t>
        </is>
      </c>
      <c r="I1871" s="5" t="inlineStr">
        <is>
          <t>Hyderabad</t>
        </is>
      </c>
      <c r="J1871" s="5" t="inlineStr">
        <is>
          <t>Full-Time</t>
        </is>
      </c>
      <c r="K1871" s="7" t="n">
        <v>45482</v>
      </c>
      <c r="L1871" s="7" t="n">
        <v>45543</v>
      </c>
      <c r="M1871" s="5" t="inlineStr">
        <is>
          <t>No</t>
        </is>
      </c>
      <c r="N1871" s="5" t="inlineStr">
        <is>
          <t>Resigned</t>
        </is>
      </c>
      <c r="O1871" s="8" t="inlineStr">
        <is>
          <t>55000</t>
        </is>
      </c>
      <c r="P1871" s="5" t="inlineStr">
        <is>
          <t>5</t>
        </is>
      </c>
      <c r="Q1871" s="5" t="inlineStr">
        <is>
          <t>5</t>
        </is>
      </c>
      <c r="R1871" s="5" t="inlineStr">
        <is>
          <t>6</t>
        </is>
      </c>
      <c r="S1871" s="5" t="inlineStr">
        <is>
          <t>2</t>
        </is>
      </c>
      <c r="T1871" s="5" t="inlineStr">
        <is>
          <t>2</t>
        </is>
      </c>
      <c r="U1871" s="5">
        <f>IFS(C1871&lt;30,"Under 30",C1871&lt;40,"30-39",C1871&lt;50,"40-49",TRUE,"50+")</f>
        <v/>
      </c>
      <c r="V1871" s="5">
        <f>IFS(O1871&lt;60000,"Low (&lt;60k)",O1871&lt;100000,"Mid (60-100k)",TRUE,"High (100k+)")</f>
        <v/>
      </c>
      <c r="W1871" s="5">
        <f>IF(M1871="No","Attrited","Active")</f>
        <v/>
      </c>
    </row>
    <row r="1872">
      <c r="A1872" s="5" t="inlineStr">
        <is>
          <t>E01871</t>
        </is>
      </c>
      <c r="B1872" s="5" t="inlineStr">
        <is>
          <t>Female</t>
        </is>
      </c>
      <c r="C1872" s="6" t="inlineStr">
        <is>
          <t>29</t>
        </is>
      </c>
      <c r="D1872" s="5" t="inlineStr">
        <is>
          <t>Married</t>
        </is>
      </c>
      <c r="E1872" s="5" t="inlineStr">
        <is>
          <t>Diploma</t>
        </is>
      </c>
      <c r="F1872" s="5" t="inlineStr">
        <is>
          <t>Finance</t>
        </is>
      </c>
      <c r="G1872" s="5" t="inlineStr">
        <is>
          <t>Credit Analyst</t>
        </is>
      </c>
      <c r="H1872" s="5" t="inlineStr">
        <is>
          <t>1</t>
        </is>
      </c>
      <c r="I1872" s="5" t="inlineStr">
        <is>
          <t>Bengaluru</t>
        </is>
      </c>
      <c r="J1872" s="5" t="inlineStr">
        <is>
          <t>Full-Time</t>
        </is>
      </c>
      <c r="K1872" s="7" t="n">
        <v>43933</v>
      </c>
      <c r="L1872" s="7" t="inlineStr"/>
      <c r="M1872" s="5" t="inlineStr">
        <is>
          <t>Yes</t>
        </is>
      </c>
      <c r="N1872" s="5" t="inlineStr"/>
      <c r="O1872" s="8" t="inlineStr">
        <is>
          <t>71000</t>
        </is>
      </c>
      <c r="P1872" s="5" t="inlineStr">
        <is>
          <t>5</t>
        </is>
      </c>
      <c r="Q1872" s="5" t="inlineStr">
        <is>
          <t>5</t>
        </is>
      </c>
      <c r="R1872" s="5" t="inlineStr">
        <is>
          <t>5</t>
        </is>
      </c>
      <c r="S1872" s="5" t="inlineStr">
        <is>
          <t>69</t>
        </is>
      </c>
      <c r="T1872" s="5" t="inlineStr">
        <is>
          <t>2</t>
        </is>
      </c>
      <c r="U1872" s="5">
        <f>IFS(C1872&lt;30,"Under 30",C1872&lt;40,"30-39",C1872&lt;50,"40-49",TRUE,"50+")</f>
        <v/>
      </c>
      <c r="V1872" s="5">
        <f>IFS(O1872&lt;60000,"Low (&lt;60k)",O1872&lt;100000,"Mid (60-100k)",TRUE,"High (100k+)")</f>
        <v/>
      </c>
      <c r="W1872" s="5">
        <f>IF(M1872="No","Attrited","Active")</f>
        <v/>
      </c>
    </row>
    <row r="1873">
      <c r="A1873" s="5" t="inlineStr">
        <is>
          <t>E01872</t>
        </is>
      </c>
      <c r="B1873" s="5" t="inlineStr">
        <is>
          <t>Male</t>
        </is>
      </c>
      <c r="C1873" s="6" t="inlineStr">
        <is>
          <t>27</t>
        </is>
      </c>
      <c r="D1873" s="5" t="inlineStr">
        <is>
          <t>Single</t>
        </is>
      </c>
      <c r="E1873" s="5" t="inlineStr">
        <is>
          <t>PhD</t>
        </is>
      </c>
      <c r="F1873" s="5" t="inlineStr">
        <is>
          <t>Operations</t>
        </is>
      </c>
      <c r="G1873" s="5" t="inlineStr">
        <is>
          <t>Quality Analyst</t>
        </is>
      </c>
      <c r="H1873" s="5" t="inlineStr">
        <is>
          <t>2</t>
        </is>
      </c>
      <c r="I1873" s="5" t="inlineStr">
        <is>
          <t>Hyderabad</t>
        </is>
      </c>
      <c r="J1873" s="5" t="inlineStr">
        <is>
          <t>Full-Time</t>
        </is>
      </c>
      <c r="K1873" s="7" t="n">
        <v>45630</v>
      </c>
      <c r="L1873" s="7" t="inlineStr"/>
      <c r="M1873" s="5" t="inlineStr">
        <is>
          <t>Yes</t>
        </is>
      </c>
      <c r="N1873" s="5" t="inlineStr"/>
      <c r="O1873" s="8" t="inlineStr">
        <is>
          <t>85500</t>
        </is>
      </c>
      <c r="P1873" s="5" t="inlineStr">
        <is>
          <t>0</t>
        </is>
      </c>
      <c r="Q1873" s="5" t="inlineStr">
        <is>
          <t>3</t>
        </is>
      </c>
      <c r="R1873" s="5" t="inlineStr">
        <is>
          <t>7</t>
        </is>
      </c>
      <c r="S1873" s="5" t="inlineStr">
        <is>
          <t>13</t>
        </is>
      </c>
      <c r="T1873" s="5" t="inlineStr">
        <is>
          <t>6</t>
        </is>
      </c>
      <c r="U1873" s="5">
        <f>IFS(C1873&lt;30,"Under 30",C1873&lt;40,"30-39",C1873&lt;50,"40-49",TRUE,"50+")</f>
        <v/>
      </c>
      <c r="V1873" s="5">
        <f>IFS(O1873&lt;60000,"Low (&lt;60k)",O1873&lt;100000,"Mid (60-100k)",TRUE,"High (100k+)")</f>
        <v/>
      </c>
      <c r="W1873" s="5">
        <f>IF(M1873="No","Attrited","Active")</f>
        <v/>
      </c>
    </row>
    <row r="1874">
      <c r="A1874" s="5" t="inlineStr">
        <is>
          <t>E01873</t>
        </is>
      </c>
      <c r="B1874" s="5" t="inlineStr">
        <is>
          <t>Female</t>
        </is>
      </c>
      <c r="C1874" s="6" t="inlineStr">
        <is>
          <t>29</t>
        </is>
      </c>
      <c r="D1874" s="5" t="inlineStr">
        <is>
          <t>Married</t>
        </is>
      </c>
      <c r="E1874" s="5" t="inlineStr">
        <is>
          <t>Bachelor</t>
        </is>
      </c>
      <c r="F1874" s="5" t="inlineStr">
        <is>
          <t>IT</t>
        </is>
      </c>
      <c r="G1874" s="5" t="inlineStr">
        <is>
          <t>IT Support</t>
        </is>
      </c>
      <c r="H1874" s="5" t="inlineStr">
        <is>
          <t>2</t>
        </is>
      </c>
      <c r="I1874" s="5" t="inlineStr">
        <is>
          <t>Mumbai</t>
        </is>
      </c>
      <c r="J1874" s="5" t="inlineStr">
        <is>
          <t>Full-Time</t>
        </is>
      </c>
      <c r="K1874" s="7" t="n">
        <v>45979</v>
      </c>
      <c r="L1874" s="7" t="n">
        <v>45994</v>
      </c>
      <c r="M1874" s="5" t="inlineStr">
        <is>
          <t>No</t>
        </is>
      </c>
      <c r="N1874" s="5" t="inlineStr">
        <is>
          <t>Performance / Termination</t>
        </is>
      </c>
      <c r="O1874" s="8" t="inlineStr">
        <is>
          <t>140500</t>
        </is>
      </c>
      <c r="P1874" s="5" t="inlineStr">
        <is>
          <t>0</t>
        </is>
      </c>
      <c r="Q1874" s="5" t="inlineStr">
        <is>
          <t>2</t>
        </is>
      </c>
      <c r="R1874" s="5" t="inlineStr">
        <is>
          <t>4</t>
        </is>
      </c>
      <c r="S1874" s="5" t="inlineStr">
        <is>
          <t>1</t>
        </is>
      </c>
      <c r="T1874" s="5" t="inlineStr">
        <is>
          <t>1</t>
        </is>
      </c>
      <c r="U1874" s="5">
        <f>IFS(C1874&lt;30,"Under 30",C1874&lt;40,"30-39",C1874&lt;50,"40-49",TRUE,"50+")</f>
        <v/>
      </c>
      <c r="V1874" s="5">
        <f>IFS(O1874&lt;60000,"Low (&lt;60k)",O1874&lt;100000,"Mid (60-100k)",TRUE,"High (100k+)")</f>
        <v/>
      </c>
      <c r="W1874" s="5">
        <f>IF(M1874="No","Attrited","Active")</f>
        <v/>
      </c>
    </row>
    <row r="1875">
      <c r="A1875" s="5" t="inlineStr">
        <is>
          <t>E01874</t>
        </is>
      </c>
      <c r="B1875" s="5" t="inlineStr">
        <is>
          <t>Female</t>
        </is>
      </c>
      <c r="C1875" s="6" t="inlineStr">
        <is>
          <t>30</t>
        </is>
      </c>
      <c r="D1875" s="5" t="inlineStr">
        <is>
          <t>Married</t>
        </is>
      </c>
      <c r="E1875" s="5" t="inlineStr">
        <is>
          <t>Master</t>
        </is>
      </c>
      <c r="F1875" s="5" t="inlineStr">
        <is>
          <t>Operations</t>
        </is>
      </c>
      <c r="G1875" s="5" t="inlineStr">
        <is>
          <t>Logistics Coordinator</t>
        </is>
      </c>
      <c r="H1875" s="5" t="inlineStr">
        <is>
          <t>1</t>
        </is>
      </c>
      <c r="I1875" s="5" t="inlineStr">
        <is>
          <t>Remote</t>
        </is>
      </c>
      <c r="J1875" s="5" t="inlineStr">
        <is>
          <t>Full-Time</t>
        </is>
      </c>
      <c r="K1875" s="7" t="n">
        <v>44668</v>
      </c>
      <c r="L1875" s="7" t="inlineStr"/>
      <c r="M1875" s="5" t="inlineStr">
        <is>
          <t>Yes</t>
        </is>
      </c>
      <c r="N1875" s="5" t="inlineStr"/>
      <c r="O1875" s="8" t="inlineStr">
        <is>
          <t>93000</t>
        </is>
      </c>
      <c r="P1875" s="5" t="inlineStr">
        <is>
          <t>10</t>
        </is>
      </c>
      <c r="Q1875" s="5" t="inlineStr">
        <is>
          <t>3</t>
        </is>
      </c>
      <c r="R1875" s="5" t="inlineStr">
        <is>
          <t>3</t>
        </is>
      </c>
      <c r="S1875" s="5" t="inlineStr">
        <is>
          <t>45</t>
        </is>
      </c>
      <c r="T1875" s="5" t="inlineStr">
        <is>
          <t>11</t>
        </is>
      </c>
      <c r="U1875" s="5">
        <f>IFS(C1875&lt;30,"Under 30",C1875&lt;40,"30-39",C1875&lt;50,"40-49",TRUE,"50+")</f>
        <v/>
      </c>
      <c r="V1875" s="5">
        <f>IFS(O1875&lt;60000,"Low (&lt;60k)",O1875&lt;100000,"Mid (60-100k)",TRUE,"High (100k+)")</f>
        <v/>
      </c>
      <c r="W1875" s="5">
        <f>IF(M1875="No","Attrited","Active")</f>
        <v/>
      </c>
    </row>
    <row r="1876">
      <c r="A1876" s="5" t="inlineStr">
        <is>
          <t>E01875</t>
        </is>
      </c>
      <c r="B1876" s="5" t="inlineStr">
        <is>
          <t>Female</t>
        </is>
      </c>
      <c r="C1876" s="6" t="inlineStr">
        <is>
          <t>46</t>
        </is>
      </c>
      <c r="D1876" s="5" t="inlineStr">
        <is>
          <t>Married</t>
        </is>
      </c>
      <c r="E1876" s="5" t="inlineStr">
        <is>
          <t>Bachelor</t>
        </is>
      </c>
      <c r="F1876" s="5" t="inlineStr">
        <is>
          <t>Human Resources</t>
        </is>
      </c>
      <c r="G1876" s="5" t="inlineStr">
        <is>
          <t>HR Analyst</t>
        </is>
      </c>
      <c r="H1876" s="5" t="inlineStr">
        <is>
          <t>7</t>
        </is>
      </c>
      <c r="I1876" s="5" t="inlineStr">
        <is>
          <t>Delhi</t>
        </is>
      </c>
      <c r="J1876" s="5" t="inlineStr">
        <is>
          <t>Part-Time</t>
        </is>
      </c>
      <c r="K1876" s="7" t="n">
        <v>45537</v>
      </c>
      <c r="L1876" s="7" t="inlineStr"/>
      <c r="M1876" s="5" t="inlineStr">
        <is>
          <t>Yes</t>
        </is>
      </c>
      <c r="N1876" s="5" t="inlineStr"/>
      <c r="O1876" s="8" t="inlineStr">
        <is>
          <t>117500</t>
        </is>
      </c>
      <c r="P1876" s="5" t="inlineStr">
        <is>
          <t>0</t>
        </is>
      </c>
      <c r="Q1876" s="5" t="inlineStr">
        <is>
          <t>3</t>
        </is>
      </c>
      <c r="R1876" s="5" t="inlineStr">
        <is>
          <t>3</t>
        </is>
      </c>
      <c r="S1876" s="5" t="inlineStr">
        <is>
          <t>16</t>
        </is>
      </c>
      <c r="T1876" s="5" t="inlineStr">
        <is>
          <t>0</t>
        </is>
      </c>
      <c r="U1876" s="5">
        <f>IFS(C1876&lt;30,"Under 30",C1876&lt;40,"30-39",C1876&lt;50,"40-49",TRUE,"50+")</f>
        <v/>
      </c>
      <c r="V1876" s="5">
        <f>IFS(O1876&lt;60000,"Low (&lt;60k)",O1876&lt;100000,"Mid (60-100k)",TRUE,"High (100k+)")</f>
        <v/>
      </c>
      <c r="W1876" s="5">
        <f>IF(M1876="No","Attrited","Active")</f>
        <v/>
      </c>
    </row>
    <row r="1877">
      <c r="A1877" s="5" t="inlineStr">
        <is>
          <t>E01876</t>
        </is>
      </c>
      <c r="B1877" s="5" t="inlineStr">
        <is>
          <t>Female</t>
        </is>
      </c>
      <c r="C1877" s="6" t="inlineStr">
        <is>
          <t>32</t>
        </is>
      </c>
      <c r="D1877" s="5" t="inlineStr">
        <is>
          <t>Married</t>
        </is>
      </c>
      <c r="E1877" s="5" t="inlineStr">
        <is>
          <t>Diploma</t>
        </is>
      </c>
      <c r="F1877" s="5" t="inlineStr">
        <is>
          <t>Finance</t>
        </is>
      </c>
      <c r="G1877" s="5" t="inlineStr">
        <is>
          <t>Accountant</t>
        </is>
      </c>
      <c r="H1877" s="5" t="inlineStr">
        <is>
          <t>2</t>
        </is>
      </c>
      <c r="I1877" s="5" t="inlineStr">
        <is>
          <t>Remote</t>
        </is>
      </c>
      <c r="J1877" s="5" t="inlineStr">
        <is>
          <t>Full-Time</t>
        </is>
      </c>
      <c r="K1877" s="7" t="n">
        <v>45714</v>
      </c>
      <c r="L1877" s="7" t="inlineStr"/>
      <c r="M1877" s="5" t="inlineStr">
        <is>
          <t>Yes</t>
        </is>
      </c>
      <c r="N1877" s="5" t="inlineStr"/>
      <c r="O1877" s="8" t="inlineStr">
        <is>
          <t>75000</t>
        </is>
      </c>
      <c r="P1877" s="5" t="inlineStr">
        <is>
          <t>20</t>
        </is>
      </c>
      <c r="Q1877" s="5" t="inlineStr">
        <is>
          <t>5</t>
        </is>
      </c>
      <c r="R1877" s="5" t="inlineStr">
        <is>
          <t>4</t>
        </is>
      </c>
      <c r="S1877" s="5" t="inlineStr">
        <is>
          <t>10</t>
        </is>
      </c>
      <c r="T1877" s="5" t="inlineStr">
        <is>
          <t>1</t>
        </is>
      </c>
      <c r="U1877" s="5">
        <f>IFS(C1877&lt;30,"Under 30",C1877&lt;40,"30-39",C1877&lt;50,"40-49",TRUE,"50+")</f>
        <v/>
      </c>
      <c r="V1877" s="5">
        <f>IFS(O1877&lt;60000,"Low (&lt;60k)",O1877&lt;100000,"Mid (60-100k)",TRUE,"High (100k+)")</f>
        <v/>
      </c>
      <c r="W1877" s="5">
        <f>IF(M1877="No","Attrited","Active")</f>
        <v/>
      </c>
    </row>
    <row r="1878">
      <c r="A1878" s="5" t="inlineStr">
        <is>
          <t>E01877</t>
        </is>
      </c>
      <c r="B1878" s="5" t="inlineStr">
        <is>
          <t>Male</t>
        </is>
      </c>
      <c r="C1878" s="6" t="inlineStr">
        <is>
          <t>26</t>
        </is>
      </c>
      <c r="D1878" s="5" t="inlineStr">
        <is>
          <t>Married</t>
        </is>
      </c>
      <c r="E1878" s="5" t="inlineStr">
        <is>
          <t>High School</t>
        </is>
      </c>
      <c r="F1878" s="5" t="inlineStr">
        <is>
          <t>Finance</t>
        </is>
      </c>
      <c r="G1878" s="5" t="inlineStr">
        <is>
          <t>Credit Analyst</t>
        </is>
      </c>
      <c r="H1878" s="5" t="inlineStr">
        <is>
          <t>1</t>
        </is>
      </c>
      <c r="I1878" s="5" t="inlineStr">
        <is>
          <t>Hyderabad</t>
        </is>
      </c>
      <c r="J1878" s="5" t="inlineStr">
        <is>
          <t>Full-Time</t>
        </is>
      </c>
      <c r="K1878" s="7" t="n">
        <v>44357</v>
      </c>
      <c r="L1878" s="7" t="inlineStr"/>
      <c r="M1878" s="5" t="inlineStr">
        <is>
          <t>Yes</t>
        </is>
      </c>
      <c r="N1878" s="5" t="inlineStr"/>
      <c r="O1878" s="8" t="inlineStr">
        <is>
          <t>78000</t>
        </is>
      </c>
      <c r="P1878" s="5" t="inlineStr">
        <is>
          <t>10</t>
        </is>
      </c>
      <c r="Q1878" s="5" t="inlineStr">
        <is>
          <t>3</t>
        </is>
      </c>
      <c r="R1878" s="5" t="inlineStr">
        <is>
          <t>9</t>
        </is>
      </c>
      <c r="S1878" s="5" t="inlineStr">
        <is>
          <t>55</t>
        </is>
      </c>
      <c r="T1878" s="5" t="inlineStr">
        <is>
          <t>3</t>
        </is>
      </c>
      <c r="U1878" s="5">
        <f>IFS(C1878&lt;30,"Under 30",C1878&lt;40,"30-39",C1878&lt;50,"40-49",TRUE,"50+")</f>
        <v/>
      </c>
      <c r="V1878" s="5">
        <f>IFS(O1878&lt;60000,"Low (&lt;60k)",O1878&lt;100000,"Mid (60-100k)",TRUE,"High (100k+)")</f>
        <v/>
      </c>
      <c r="W1878" s="5">
        <f>IF(M1878="No","Attrited","Active")</f>
        <v/>
      </c>
    </row>
    <row r="1879">
      <c r="A1879" s="5" t="inlineStr">
        <is>
          <t>E01878</t>
        </is>
      </c>
      <c r="B1879" s="5" t="inlineStr">
        <is>
          <t>Male</t>
        </is>
      </c>
      <c r="C1879" s="6" t="inlineStr">
        <is>
          <t>33</t>
        </is>
      </c>
      <c r="D1879" s="5" t="inlineStr">
        <is>
          <t>Married</t>
        </is>
      </c>
      <c r="E1879" s="5" t="inlineStr">
        <is>
          <t>Bachelor</t>
        </is>
      </c>
      <c r="F1879" s="5" t="inlineStr">
        <is>
          <t>IT</t>
        </is>
      </c>
      <c r="G1879" s="5" t="inlineStr">
        <is>
          <t>DevOps Engineer</t>
        </is>
      </c>
      <c r="H1879" s="5" t="inlineStr">
        <is>
          <t>4</t>
        </is>
      </c>
      <c r="I1879" s="5" t="inlineStr">
        <is>
          <t>Delhi</t>
        </is>
      </c>
      <c r="J1879" s="5" t="inlineStr">
        <is>
          <t>Part-Time</t>
        </is>
      </c>
      <c r="K1879" s="7" t="n">
        <v>43985</v>
      </c>
      <c r="L1879" s="7" t="inlineStr"/>
      <c r="M1879" s="5" t="inlineStr">
        <is>
          <t>Yes</t>
        </is>
      </c>
      <c r="N1879" s="5" t="inlineStr"/>
      <c r="O1879" s="8" t="inlineStr">
        <is>
          <t>164500</t>
        </is>
      </c>
      <c r="P1879" s="5" t="inlineStr">
        <is>
          <t>5</t>
        </is>
      </c>
      <c r="Q1879" s="5" t="inlineStr">
        <is>
          <t>5</t>
        </is>
      </c>
      <c r="R1879" s="5" t="inlineStr">
        <is>
          <t>5</t>
        </is>
      </c>
      <c r="S1879" s="5" t="inlineStr">
        <is>
          <t>67</t>
        </is>
      </c>
      <c r="T1879" s="5" t="inlineStr">
        <is>
          <t>0</t>
        </is>
      </c>
      <c r="U1879" s="5">
        <f>IFS(C1879&lt;30,"Under 30",C1879&lt;40,"30-39",C1879&lt;50,"40-49",TRUE,"50+")</f>
        <v/>
      </c>
      <c r="V1879" s="5">
        <f>IFS(O1879&lt;60000,"Low (&lt;60k)",O1879&lt;100000,"Mid (60-100k)",TRUE,"High (100k+)")</f>
        <v/>
      </c>
      <c r="W1879" s="5">
        <f>IF(M1879="No","Attrited","Active")</f>
        <v/>
      </c>
    </row>
    <row r="1880">
      <c r="A1880" s="5" t="inlineStr">
        <is>
          <t>E01879</t>
        </is>
      </c>
      <c r="B1880" s="5" t="inlineStr">
        <is>
          <t>Female</t>
        </is>
      </c>
      <c r="C1880" s="6" t="inlineStr">
        <is>
          <t>29</t>
        </is>
      </c>
      <c r="D1880" s="5" t="inlineStr">
        <is>
          <t>Single</t>
        </is>
      </c>
      <c r="E1880" s="5" t="inlineStr">
        <is>
          <t>High School</t>
        </is>
      </c>
      <c r="F1880" s="5" t="inlineStr">
        <is>
          <t>Sales</t>
        </is>
      </c>
      <c r="G1880" s="5" t="inlineStr">
        <is>
          <t>Account Executive</t>
        </is>
      </c>
      <c r="H1880" s="5" t="inlineStr">
        <is>
          <t>1</t>
        </is>
      </c>
      <c r="I1880" s="5" t="inlineStr">
        <is>
          <t>Remote</t>
        </is>
      </c>
      <c r="J1880" s="5" t="inlineStr">
        <is>
          <t>Full-Time</t>
        </is>
      </c>
      <c r="K1880" s="7" t="n">
        <v>44300</v>
      </c>
      <c r="L1880" s="7" t="inlineStr"/>
      <c r="M1880" s="5" t="inlineStr">
        <is>
          <t>Yes</t>
        </is>
      </c>
      <c r="N1880" s="5" t="inlineStr"/>
      <c r="O1880" s="8" t="inlineStr">
        <is>
          <t>96000</t>
        </is>
      </c>
      <c r="P1880" s="5" t="inlineStr">
        <is>
          <t>10</t>
        </is>
      </c>
      <c r="Q1880" s="5" t="inlineStr">
        <is>
          <t>5</t>
        </is>
      </c>
      <c r="R1880" s="5" t="inlineStr">
        <is>
          <t>6</t>
        </is>
      </c>
      <c r="S1880" s="5" t="inlineStr">
        <is>
          <t>57</t>
        </is>
      </c>
      <c r="T1880" s="5" t="inlineStr">
        <is>
          <t>0</t>
        </is>
      </c>
      <c r="U1880" s="5">
        <f>IFS(C1880&lt;30,"Under 30",C1880&lt;40,"30-39",C1880&lt;50,"40-49",TRUE,"50+")</f>
        <v/>
      </c>
      <c r="V1880" s="5">
        <f>IFS(O1880&lt;60000,"Low (&lt;60k)",O1880&lt;100000,"Mid (60-100k)",TRUE,"High (100k+)")</f>
        <v/>
      </c>
      <c r="W1880" s="5">
        <f>IF(M1880="No","Attrited","Active")</f>
        <v/>
      </c>
    </row>
    <row r="1881">
      <c r="A1881" s="5" t="inlineStr">
        <is>
          <t>E01880</t>
        </is>
      </c>
      <c r="B1881" s="5" t="inlineStr">
        <is>
          <t>Male</t>
        </is>
      </c>
      <c r="C1881" s="6" t="inlineStr">
        <is>
          <t>31</t>
        </is>
      </c>
      <c r="D1881" s="5" t="inlineStr">
        <is>
          <t>Single</t>
        </is>
      </c>
      <c r="E1881" s="5" t="inlineStr">
        <is>
          <t>High School</t>
        </is>
      </c>
      <c r="F1881" s="5" t="inlineStr">
        <is>
          <t>Human Resources</t>
        </is>
      </c>
      <c r="G1881" s="5" t="inlineStr">
        <is>
          <t>Recruiter</t>
        </is>
      </c>
      <c r="H1881" s="5" t="inlineStr">
        <is>
          <t>3</t>
        </is>
      </c>
      <c r="I1881" s="5" t="inlineStr">
        <is>
          <t>Mumbai</t>
        </is>
      </c>
      <c r="J1881" s="5" t="inlineStr">
        <is>
          <t>Full-Time</t>
        </is>
      </c>
      <c r="K1881" s="7" t="n">
        <v>45253</v>
      </c>
      <c r="L1881" s="7" t="inlineStr"/>
      <c r="M1881" s="5" t="inlineStr">
        <is>
          <t>Yes</t>
        </is>
      </c>
      <c r="N1881" s="5" t="inlineStr"/>
      <c r="O1881" s="8" t="inlineStr">
        <is>
          <t>71000</t>
        </is>
      </c>
      <c r="P1881" s="5" t="inlineStr">
        <is>
          <t>10</t>
        </is>
      </c>
      <c r="Q1881" s="5" t="inlineStr">
        <is>
          <t>4</t>
        </is>
      </c>
      <c r="R1881" s="5" t="inlineStr">
        <is>
          <t>4</t>
        </is>
      </c>
      <c r="S1881" s="5" t="inlineStr">
        <is>
          <t>25</t>
        </is>
      </c>
      <c r="T1881" s="5" t="inlineStr">
        <is>
          <t>2</t>
        </is>
      </c>
      <c r="U1881" s="5">
        <f>IFS(C1881&lt;30,"Under 30",C1881&lt;40,"30-39",C1881&lt;50,"40-49",TRUE,"50+")</f>
        <v/>
      </c>
      <c r="V1881" s="5">
        <f>IFS(O1881&lt;60000,"Low (&lt;60k)",O1881&lt;100000,"Mid (60-100k)",TRUE,"High (100k+)")</f>
        <v/>
      </c>
      <c r="W1881" s="5">
        <f>IF(M1881="No","Attrited","Active")</f>
        <v/>
      </c>
    </row>
    <row r="1882">
      <c r="A1882" s="5" t="inlineStr">
        <is>
          <t>E01881</t>
        </is>
      </c>
      <c r="B1882" s="5" t="inlineStr">
        <is>
          <t>Male</t>
        </is>
      </c>
      <c r="C1882" s="6" t="inlineStr">
        <is>
          <t>30</t>
        </is>
      </c>
      <c r="D1882" s="5" t="inlineStr">
        <is>
          <t>Married</t>
        </is>
      </c>
      <c r="E1882" s="5" t="inlineStr">
        <is>
          <t>High School</t>
        </is>
      </c>
      <c r="F1882" s="5" t="inlineStr">
        <is>
          <t>Sales</t>
        </is>
      </c>
      <c r="G1882" s="5" t="inlineStr">
        <is>
          <t>Business Development</t>
        </is>
      </c>
      <c r="H1882" s="5" t="inlineStr">
        <is>
          <t>4</t>
        </is>
      </c>
      <c r="I1882" s="5" t="inlineStr">
        <is>
          <t>Chennai</t>
        </is>
      </c>
      <c r="J1882" s="5" t="inlineStr">
        <is>
          <t>Full-Time</t>
        </is>
      </c>
      <c r="K1882" s="7" t="n">
        <v>44186</v>
      </c>
      <c r="L1882" s="7" t="inlineStr"/>
      <c r="M1882" s="5" t="inlineStr">
        <is>
          <t>Yes</t>
        </is>
      </c>
      <c r="N1882" s="5" t="inlineStr"/>
      <c r="O1882" s="8" t="inlineStr">
        <is>
          <t>119500</t>
        </is>
      </c>
      <c r="P1882" s="5" t="inlineStr">
        <is>
          <t>15</t>
        </is>
      </c>
      <c r="Q1882" s="5" t="inlineStr">
        <is>
          <t>3</t>
        </is>
      </c>
      <c r="R1882" s="5" t="inlineStr">
        <is>
          <t>9</t>
        </is>
      </c>
      <c r="S1882" s="5" t="inlineStr">
        <is>
          <t>61</t>
        </is>
      </c>
      <c r="T1882" s="5" t="inlineStr">
        <is>
          <t>0</t>
        </is>
      </c>
      <c r="U1882" s="5">
        <f>IFS(C1882&lt;30,"Under 30",C1882&lt;40,"30-39",C1882&lt;50,"40-49",TRUE,"50+")</f>
        <v/>
      </c>
      <c r="V1882" s="5">
        <f>IFS(O1882&lt;60000,"Low (&lt;60k)",O1882&lt;100000,"Mid (60-100k)",TRUE,"High (100k+)")</f>
        <v/>
      </c>
      <c r="W1882" s="5">
        <f>IF(M1882="No","Attrited","Active")</f>
        <v/>
      </c>
    </row>
    <row r="1883">
      <c r="A1883" s="5" t="inlineStr">
        <is>
          <t>E01882</t>
        </is>
      </c>
      <c r="B1883" s="5" t="inlineStr">
        <is>
          <t>Female</t>
        </is>
      </c>
      <c r="C1883" s="6" t="inlineStr">
        <is>
          <t>34</t>
        </is>
      </c>
      <c r="D1883" s="5" t="inlineStr">
        <is>
          <t>Married</t>
        </is>
      </c>
      <c r="E1883" s="5" t="inlineStr">
        <is>
          <t>Master</t>
        </is>
      </c>
      <c r="F1883" s="5" t="inlineStr">
        <is>
          <t>Human Resources</t>
        </is>
      </c>
      <c r="G1883" s="5" t="inlineStr">
        <is>
          <t>HR Generalist</t>
        </is>
      </c>
      <c r="H1883" s="5" t="inlineStr">
        <is>
          <t>1</t>
        </is>
      </c>
      <c r="I1883" s="5" t="inlineStr">
        <is>
          <t>Hyderabad</t>
        </is>
      </c>
      <c r="J1883" s="5" t="inlineStr">
        <is>
          <t>Full-Time</t>
        </is>
      </c>
      <c r="K1883" s="7" t="n">
        <v>44117</v>
      </c>
      <c r="L1883" s="7" t="inlineStr"/>
      <c r="M1883" s="5" t="inlineStr">
        <is>
          <t>Yes</t>
        </is>
      </c>
      <c r="N1883" s="5" t="inlineStr"/>
      <c r="O1883" s="8" t="inlineStr">
        <is>
          <t>62500</t>
        </is>
      </c>
      <c r="P1883" s="5" t="inlineStr">
        <is>
          <t>10</t>
        </is>
      </c>
      <c r="Q1883" s="5" t="inlineStr">
        <is>
          <t>4</t>
        </is>
      </c>
      <c r="R1883" s="5" t="inlineStr">
        <is>
          <t>5</t>
        </is>
      </c>
      <c r="S1883" s="5" t="inlineStr">
        <is>
          <t>63</t>
        </is>
      </c>
      <c r="T1883" s="5" t="inlineStr">
        <is>
          <t>0</t>
        </is>
      </c>
      <c r="U1883" s="5">
        <f>IFS(C1883&lt;30,"Under 30",C1883&lt;40,"30-39",C1883&lt;50,"40-49",TRUE,"50+")</f>
        <v/>
      </c>
      <c r="V1883" s="5">
        <f>IFS(O1883&lt;60000,"Low (&lt;60k)",O1883&lt;100000,"Mid (60-100k)",TRUE,"High (100k+)")</f>
        <v/>
      </c>
      <c r="W1883" s="5">
        <f>IF(M1883="No","Attrited","Active")</f>
        <v/>
      </c>
    </row>
    <row r="1884">
      <c r="A1884" s="5" t="inlineStr">
        <is>
          <t>E01883</t>
        </is>
      </c>
      <c r="B1884" s="5" t="inlineStr">
        <is>
          <t>Female</t>
        </is>
      </c>
      <c r="C1884" s="6" t="inlineStr">
        <is>
          <t>29</t>
        </is>
      </c>
      <c r="D1884" s="5" t="inlineStr">
        <is>
          <t>Single</t>
        </is>
      </c>
      <c r="E1884" s="5" t="inlineStr">
        <is>
          <t>PhD</t>
        </is>
      </c>
      <c r="F1884" s="5" t="inlineStr">
        <is>
          <t>Marketing</t>
        </is>
      </c>
      <c r="G1884" s="5" t="inlineStr">
        <is>
          <t>SEO Specialist</t>
        </is>
      </c>
      <c r="H1884" s="5" t="inlineStr">
        <is>
          <t>3</t>
        </is>
      </c>
      <c r="I1884" s="5" t="inlineStr">
        <is>
          <t>Delhi</t>
        </is>
      </c>
      <c r="J1884" s="5" t="inlineStr">
        <is>
          <t>Full-Time</t>
        </is>
      </c>
      <c r="K1884" s="7" t="n">
        <v>44056</v>
      </c>
      <c r="L1884" s="7" t="inlineStr"/>
      <c r="M1884" s="5" t="inlineStr">
        <is>
          <t>Yes</t>
        </is>
      </c>
      <c r="N1884" s="5" t="inlineStr"/>
      <c r="O1884" s="8" t="inlineStr">
        <is>
          <t>70000</t>
        </is>
      </c>
      <c r="P1884" s="5" t="inlineStr">
        <is>
          <t>10</t>
        </is>
      </c>
      <c r="Q1884" s="5" t="inlineStr">
        <is>
          <t>3</t>
        </is>
      </c>
      <c r="R1884" s="5" t="inlineStr">
        <is>
          <t>10</t>
        </is>
      </c>
      <c r="S1884" s="5" t="inlineStr">
        <is>
          <t>65</t>
        </is>
      </c>
      <c r="T1884" s="5" t="inlineStr">
        <is>
          <t>3</t>
        </is>
      </c>
      <c r="U1884" s="5">
        <f>IFS(C1884&lt;30,"Under 30",C1884&lt;40,"30-39",C1884&lt;50,"40-49",TRUE,"50+")</f>
        <v/>
      </c>
      <c r="V1884" s="5">
        <f>IFS(O1884&lt;60000,"Low (&lt;60k)",O1884&lt;100000,"Mid (60-100k)",TRUE,"High (100k+)")</f>
        <v/>
      </c>
      <c r="W1884" s="5">
        <f>IF(M1884="No","Attrited","Active")</f>
        <v/>
      </c>
    </row>
    <row r="1885">
      <c r="A1885" s="5" t="inlineStr">
        <is>
          <t>E01884</t>
        </is>
      </c>
      <c r="B1885" s="5" t="inlineStr">
        <is>
          <t>Female</t>
        </is>
      </c>
      <c r="C1885" s="6" t="inlineStr">
        <is>
          <t>36</t>
        </is>
      </c>
      <c r="D1885" s="5" t="inlineStr">
        <is>
          <t>Married</t>
        </is>
      </c>
      <c r="E1885" s="5" t="inlineStr">
        <is>
          <t>High School</t>
        </is>
      </c>
      <c r="F1885" s="5" t="inlineStr">
        <is>
          <t>Operations</t>
        </is>
      </c>
      <c r="G1885" s="5" t="inlineStr">
        <is>
          <t>Quality Analyst</t>
        </is>
      </c>
      <c r="H1885" s="5" t="inlineStr">
        <is>
          <t>2</t>
        </is>
      </c>
      <c r="I1885" s="5" t="inlineStr">
        <is>
          <t>Chennai</t>
        </is>
      </c>
      <c r="J1885" s="5" t="inlineStr">
        <is>
          <t>Full-Time</t>
        </is>
      </c>
      <c r="K1885" s="7" t="n">
        <v>45541</v>
      </c>
      <c r="L1885" s="7" t="inlineStr"/>
      <c r="M1885" s="5" t="inlineStr">
        <is>
          <t>Yes</t>
        </is>
      </c>
      <c r="N1885" s="5" t="inlineStr"/>
      <c r="O1885" s="8" t="inlineStr">
        <is>
          <t>71500</t>
        </is>
      </c>
      <c r="P1885" s="5" t="inlineStr">
        <is>
          <t>15</t>
        </is>
      </c>
      <c r="Q1885" s="5" t="inlineStr">
        <is>
          <t>4</t>
        </is>
      </c>
      <c r="R1885" s="5" t="inlineStr">
        <is>
          <t>6</t>
        </is>
      </c>
      <c r="S1885" s="5" t="inlineStr">
        <is>
          <t>16</t>
        </is>
      </c>
      <c r="T1885" s="5" t="inlineStr">
        <is>
          <t>9</t>
        </is>
      </c>
      <c r="U1885" s="5">
        <f>IFS(C1885&lt;30,"Under 30",C1885&lt;40,"30-39",C1885&lt;50,"40-49",TRUE,"50+")</f>
        <v/>
      </c>
      <c r="V1885" s="5">
        <f>IFS(O1885&lt;60000,"Low (&lt;60k)",O1885&lt;100000,"Mid (60-100k)",TRUE,"High (100k+)")</f>
        <v/>
      </c>
      <c r="W1885" s="5">
        <f>IF(M1885="No","Attrited","Active")</f>
        <v/>
      </c>
    </row>
    <row r="1886">
      <c r="A1886" s="5" t="inlineStr">
        <is>
          <t>E01885</t>
        </is>
      </c>
      <c r="B1886" s="5" t="inlineStr">
        <is>
          <t>Female</t>
        </is>
      </c>
      <c r="C1886" s="6" t="inlineStr">
        <is>
          <t>33</t>
        </is>
      </c>
      <c r="D1886" s="5" t="inlineStr">
        <is>
          <t>Married</t>
        </is>
      </c>
      <c r="E1886" s="5" t="inlineStr">
        <is>
          <t>High School</t>
        </is>
      </c>
      <c r="F1886" s="5" t="inlineStr">
        <is>
          <t>Customer Support</t>
        </is>
      </c>
      <c r="G1886" s="5" t="inlineStr">
        <is>
          <t>Support Agent</t>
        </is>
      </c>
      <c r="H1886" s="5" t="inlineStr">
        <is>
          <t>4</t>
        </is>
      </c>
      <c r="I1886" s="5" t="inlineStr">
        <is>
          <t>Mumbai</t>
        </is>
      </c>
      <c r="J1886" s="5" t="inlineStr">
        <is>
          <t>Full-Time</t>
        </is>
      </c>
      <c r="K1886" s="7" t="n">
        <v>45003</v>
      </c>
      <c r="L1886" s="7" t="inlineStr"/>
      <c r="M1886" s="5" t="inlineStr">
        <is>
          <t>Yes</t>
        </is>
      </c>
      <c r="N1886" s="5" t="inlineStr"/>
      <c r="O1886" s="8" t="inlineStr">
        <is>
          <t>88000</t>
        </is>
      </c>
      <c r="P1886" s="5" t="inlineStr">
        <is>
          <t>10</t>
        </is>
      </c>
      <c r="Q1886" s="5" t="inlineStr">
        <is>
          <t>4</t>
        </is>
      </c>
      <c r="R1886" s="5" t="inlineStr">
        <is>
          <t>6</t>
        </is>
      </c>
      <c r="S1886" s="5" t="inlineStr">
        <is>
          <t>33</t>
        </is>
      </c>
      <c r="T1886" s="5" t="inlineStr">
        <is>
          <t>7</t>
        </is>
      </c>
      <c r="U1886" s="5">
        <f>IFS(C1886&lt;30,"Under 30",C1886&lt;40,"30-39",C1886&lt;50,"40-49",TRUE,"50+")</f>
        <v/>
      </c>
      <c r="V1886" s="5">
        <f>IFS(O1886&lt;60000,"Low (&lt;60k)",O1886&lt;100000,"Mid (60-100k)",TRUE,"High (100k+)")</f>
        <v/>
      </c>
      <c r="W1886" s="5">
        <f>IF(M1886="No","Attrited","Active")</f>
        <v/>
      </c>
    </row>
    <row r="1887">
      <c r="A1887" s="5" t="inlineStr">
        <is>
          <t>E01886</t>
        </is>
      </c>
      <c r="B1887" s="5" t="inlineStr">
        <is>
          <t>Male</t>
        </is>
      </c>
      <c r="C1887" s="6" t="inlineStr">
        <is>
          <t>33</t>
        </is>
      </c>
      <c r="D1887" s="5" t="inlineStr">
        <is>
          <t>Single</t>
        </is>
      </c>
      <c r="E1887" s="5" t="inlineStr">
        <is>
          <t>Diploma</t>
        </is>
      </c>
      <c r="F1887" s="5" t="inlineStr">
        <is>
          <t>Sales</t>
        </is>
      </c>
      <c r="G1887" s="5" t="inlineStr">
        <is>
          <t>Business Development</t>
        </is>
      </c>
      <c r="H1887" s="5" t="inlineStr">
        <is>
          <t>3</t>
        </is>
      </c>
      <c r="I1887" s="5" t="inlineStr">
        <is>
          <t>Delhi</t>
        </is>
      </c>
      <c r="J1887" s="5" t="inlineStr">
        <is>
          <t>Full-Time</t>
        </is>
      </c>
      <c r="K1887" s="7" t="n">
        <v>45467</v>
      </c>
      <c r="L1887" s="7" t="inlineStr"/>
      <c r="M1887" s="5" t="inlineStr">
        <is>
          <t>Yes</t>
        </is>
      </c>
      <c r="N1887" s="5" t="inlineStr"/>
      <c r="O1887" s="8" t="inlineStr">
        <is>
          <t>97500</t>
        </is>
      </c>
      <c r="P1887" s="5" t="inlineStr">
        <is>
          <t>5</t>
        </is>
      </c>
      <c r="Q1887" s="5" t="inlineStr">
        <is>
          <t>3</t>
        </is>
      </c>
      <c r="R1887" s="5" t="inlineStr">
        <is>
          <t>5</t>
        </is>
      </c>
      <c r="S1887" s="5" t="inlineStr">
        <is>
          <t>18</t>
        </is>
      </c>
      <c r="T1887" s="5" t="inlineStr">
        <is>
          <t>9</t>
        </is>
      </c>
      <c r="U1887" s="5">
        <f>IFS(C1887&lt;30,"Under 30",C1887&lt;40,"30-39",C1887&lt;50,"40-49",TRUE,"50+")</f>
        <v/>
      </c>
      <c r="V1887" s="5">
        <f>IFS(O1887&lt;60000,"Low (&lt;60k)",O1887&lt;100000,"Mid (60-100k)",TRUE,"High (100k+)")</f>
        <v/>
      </c>
      <c r="W1887" s="5">
        <f>IF(M1887="No","Attrited","Active")</f>
        <v/>
      </c>
    </row>
    <row r="1888">
      <c r="A1888" s="5" t="inlineStr">
        <is>
          <t>E01887</t>
        </is>
      </c>
      <c r="B1888" s="5" t="inlineStr">
        <is>
          <t>Female</t>
        </is>
      </c>
      <c r="C1888" s="6" t="inlineStr">
        <is>
          <t>36</t>
        </is>
      </c>
      <c r="D1888" s="5" t="inlineStr">
        <is>
          <t>Divorced</t>
        </is>
      </c>
      <c r="E1888" s="5" t="inlineStr">
        <is>
          <t>High School</t>
        </is>
      </c>
      <c r="F1888" s="5" t="inlineStr">
        <is>
          <t>Research &amp; Development</t>
        </is>
      </c>
      <c r="G1888" s="5" t="inlineStr">
        <is>
          <t>Research Scientist</t>
        </is>
      </c>
      <c r="H1888" s="5" t="inlineStr">
        <is>
          <t>4</t>
        </is>
      </c>
      <c r="I1888" s="5" t="inlineStr">
        <is>
          <t>Remote</t>
        </is>
      </c>
      <c r="J1888" s="5" t="inlineStr">
        <is>
          <t>Full-Time</t>
        </is>
      </c>
      <c r="K1888" s="7" t="n">
        <v>44237</v>
      </c>
      <c r="L1888" s="7" t="inlineStr"/>
      <c r="M1888" s="5" t="inlineStr">
        <is>
          <t>Yes</t>
        </is>
      </c>
      <c r="N1888" s="5" t="inlineStr"/>
      <c r="O1888" s="8" t="inlineStr">
        <is>
          <t>230500</t>
        </is>
      </c>
      <c r="P1888" s="5" t="inlineStr">
        <is>
          <t>0</t>
        </is>
      </c>
      <c r="Q1888" s="5" t="inlineStr">
        <is>
          <t>3</t>
        </is>
      </c>
      <c r="R1888" s="5" t="inlineStr">
        <is>
          <t>8</t>
        </is>
      </c>
      <c r="S1888" s="5" t="inlineStr">
        <is>
          <t>59</t>
        </is>
      </c>
      <c r="T1888" s="5" t="inlineStr">
        <is>
          <t>17</t>
        </is>
      </c>
      <c r="U1888" s="5">
        <f>IFS(C1888&lt;30,"Under 30",C1888&lt;40,"30-39",C1888&lt;50,"40-49",TRUE,"50+")</f>
        <v/>
      </c>
      <c r="V1888" s="5">
        <f>IFS(O1888&lt;60000,"Low (&lt;60k)",O1888&lt;100000,"Mid (60-100k)",TRUE,"High (100k+)")</f>
        <v/>
      </c>
      <c r="W1888" s="5">
        <f>IF(M1888="No","Attrited","Active")</f>
        <v/>
      </c>
    </row>
    <row r="1889">
      <c r="A1889" s="5" t="inlineStr">
        <is>
          <t>E01888</t>
        </is>
      </c>
      <c r="B1889" s="5" t="inlineStr">
        <is>
          <t>Male</t>
        </is>
      </c>
      <c r="C1889" s="6" t="inlineStr">
        <is>
          <t>37</t>
        </is>
      </c>
      <c r="D1889" s="5" t="inlineStr">
        <is>
          <t>Married</t>
        </is>
      </c>
      <c r="E1889" s="5" t="inlineStr">
        <is>
          <t>PhD</t>
        </is>
      </c>
      <c r="F1889" s="5" t="inlineStr">
        <is>
          <t>Operations</t>
        </is>
      </c>
      <c r="G1889" s="5" t="inlineStr">
        <is>
          <t>Quality Analyst</t>
        </is>
      </c>
      <c r="H1889" s="5" t="inlineStr">
        <is>
          <t>6</t>
        </is>
      </c>
      <c r="I1889" s="5" t="inlineStr">
        <is>
          <t>Bengaluru</t>
        </is>
      </c>
      <c r="J1889" s="5" t="inlineStr">
        <is>
          <t>Full-Time</t>
        </is>
      </c>
      <c r="K1889" s="7" t="n">
        <v>44278</v>
      </c>
      <c r="L1889" s="7" t="inlineStr"/>
      <c r="M1889" s="5" t="inlineStr">
        <is>
          <t>Yes</t>
        </is>
      </c>
      <c r="N1889" s="5" t="inlineStr"/>
      <c r="O1889" s="8" t="inlineStr">
        <is>
          <t>129500</t>
        </is>
      </c>
      <c r="P1889" s="5" t="inlineStr">
        <is>
          <t>15</t>
        </is>
      </c>
      <c r="Q1889" s="5" t="inlineStr">
        <is>
          <t>4</t>
        </is>
      </c>
      <c r="R1889" s="5" t="inlineStr">
        <is>
          <t>8</t>
        </is>
      </c>
      <c r="S1889" s="5" t="inlineStr">
        <is>
          <t>58</t>
        </is>
      </c>
      <c r="T1889" s="5" t="inlineStr">
        <is>
          <t>0</t>
        </is>
      </c>
      <c r="U1889" s="5">
        <f>IFS(C1889&lt;30,"Under 30",C1889&lt;40,"30-39",C1889&lt;50,"40-49",TRUE,"50+")</f>
        <v/>
      </c>
      <c r="V1889" s="5">
        <f>IFS(O1889&lt;60000,"Low (&lt;60k)",O1889&lt;100000,"Mid (60-100k)",TRUE,"High (100k+)")</f>
        <v/>
      </c>
      <c r="W1889" s="5">
        <f>IF(M1889="No","Attrited","Active")</f>
        <v/>
      </c>
    </row>
    <row r="1890">
      <c r="A1890" s="5" t="inlineStr">
        <is>
          <t>E01889</t>
        </is>
      </c>
      <c r="B1890" s="5" t="inlineStr">
        <is>
          <t>Male</t>
        </is>
      </c>
      <c r="C1890" s="6" t="inlineStr">
        <is>
          <t>29</t>
        </is>
      </c>
      <c r="D1890" s="5" t="inlineStr">
        <is>
          <t>Married</t>
        </is>
      </c>
      <c r="E1890" s="5" t="inlineStr">
        <is>
          <t>High School</t>
        </is>
      </c>
      <c r="F1890" s="5" t="inlineStr">
        <is>
          <t>Finance</t>
        </is>
      </c>
      <c r="G1890" s="5" t="inlineStr">
        <is>
          <t>Accountant</t>
        </is>
      </c>
      <c r="H1890" s="5" t="inlineStr">
        <is>
          <t>1</t>
        </is>
      </c>
      <c r="I1890" s="5" t="inlineStr">
        <is>
          <t>Bengaluru</t>
        </is>
      </c>
      <c r="J1890" s="5" t="inlineStr">
        <is>
          <t>Full-Time</t>
        </is>
      </c>
      <c r="K1890" s="7" t="n">
        <v>44606</v>
      </c>
      <c r="L1890" s="7" t="inlineStr"/>
      <c r="M1890" s="5" t="inlineStr">
        <is>
          <t>Yes</t>
        </is>
      </c>
      <c r="N1890" s="5" t="inlineStr"/>
      <c r="O1890" s="8" t="inlineStr">
        <is>
          <t>73000</t>
        </is>
      </c>
      <c r="P1890" s="5" t="inlineStr">
        <is>
          <t>5</t>
        </is>
      </c>
      <c r="Q1890" s="5" t="inlineStr">
        <is>
          <t>3</t>
        </is>
      </c>
      <c r="R1890" s="5" t="inlineStr">
        <is>
          <t>2</t>
        </is>
      </c>
      <c r="S1890" s="5" t="inlineStr">
        <is>
          <t>47</t>
        </is>
      </c>
      <c r="T1890" s="5" t="inlineStr">
        <is>
          <t>0</t>
        </is>
      </c>
      <c r="U1890" s="5">
        <f>IFS(C1890&lt;30,"Under 30",C1890&lt;40,"30-39",C1890&lt;50,"40-49",TRUE,"50+")</f>
        <v/>
      </c>
      <c r="V1890" s="5">
        <f>IFS(O1890&lt;60000,"Low (&lt;60k)",O1890&lt;100000,"Mid (60-100k)",TRUE,"High (100k+)")</f>
        <v/>
      </c>
      <c r="W1890" s="5">
        <f>IF(M1890="No","Attrited","Active")</f>
        <v/>
      </c>
    </row>
    <row r="1891">
      <c r="A1891" s="5" t="inlineStr">
        <is>
          <t>E01890</t>
        </is>
      </c>
      <c r="B1891" s="5" t="inlineStr">
        <is>
          <t>Female</t>
        </is>
      </c>
      <c r="C1891" s="6" t="inlineStr">
        <is>
          <t>35</t>
        </is>
      </c>
      <c r="D1891" s="5" t="inlineStr">
        <is>
          <t>Married</t>
        </is>
      </c>
      <c r="E1891" s="5" t="inlineStr">
        <is>
          <t>Diploma</t>
        </is>
      </c>
      <c r="F1891" s="5" t="inlineStr">
        <is>
          <t>IT</t>
        </is>
      </c>
      <c r="G1891" s="5" t="inlineStr">
        <is>
          <t>DevOps Engineer</t>
        </is>
      </c>
      <c r="H1891" s="5" t="inlineStr">
        <is>
          <t>5</t>
        </is>
      </c>
      <c r="I1891" s="5" t="inlineStr">
        <is>
          <t>Bengaluru</t>
        </is>
      </c>
      <c r="J1891" s="5" t="inlineStr">
        <is>
          <t>Full-Time</t>
        </is>
      </c>
      <c r="K1891" s="7" t="n">
        <v>44766</v>
      </c>
      <c r="L1891" s="7" t="inlineStr"/>
      <c r="M1891" s="5" t="inlineStr">
        <is>
          <t>Yes</t>
        </is>
      </c>
      <c r="N1891" s="5" t="inlineStr"/>
      <c r="O1891" s="8" t="inlineStr">
        <is>
          <t>210500</t>
        </is>
      </c>
      <c r="P1891" s="5" t="inlineStr">
        <is>
          <t>5</t>
        </is>
      </c>
      <c r="Q1891" s="5" t="inlineStr">
        <is>
          <t>5</t>
        </is>
      </c>
      <c r="R1891" s="5" t="inlineStr">
        <is>
          <t>5</t>
        </is>
      </c>
      <c r="S1891" s="5" t="inlineStr">
        <is>
          <t>41</t>
        </is>
      </c>
      <c r="T1891" s="5" t="inlineStr">
        <is>
          <t>5</t>
        </is>
      </c>
      <c r="U1891" s="5">
        <f>IFS(C1891&lt;30,"Under 30",C1891&lt;40,"30-39",C1891&lt;50,"40-49",TRUE,"50+")</f>
        <v/>
      </c>
      <c r="V1891" s="5">
        <f>IFS(O1891&lt;60000,"Low (&lt;60k)",O1891&lt;100000,"Mid (60-100k)",TRUE,"High (100k+)")</f>
        <v/>
      </c>
      <c r="W1891" s="5">
        <f>IF(M1891="No","Attrited","Active")</f>
        <v/>
      </c>
    </row>
    <row r="1892">
      <c r="A1892" s="5" t="inlineStr">
        <is>
          <t>E01891</t>
        </is>
      </c>
      <c r="B1892" s="5" t="inlineStr">
        <is>
          <t>Female</t>
        </is>
      </c>
      <c r="C1892" s="6" t="inlineStr">
        <is>
          <t>35</t>
        </is>
      </c>
      <c r="D1892" s="5" t="inlineStr">
        <is>
          <t>Divorced</t>
        </is>
      </c>
      <c r="E1892" s="5" t="inlineStr">
        <is>
          <t>High School</t>
        </is>
      </c>
      <c r="F1892" s="5" t="inlineStr">
        <is>
          <t>Research &amp; Development</t>
        </is>
      </c>
      <c r="G1892" s="5" t="inlineStr">
        <is>
          <t>Research Scientist</t>
        </is>
      </c>
      <c r="H1892" s="5" t="inlineStr">
        <is>
          <t>3</t>
        </is>
      </c>
      <c r="I1892" s="5" t="inlineStr">
        <is>
          <t>Remote</t>
        </is>
      </c>
      <c r="J1892" s="5" t="inlineStr">
        <is>
          <t>Full-Time</t>
        </is>
      </c>
      <c r="K1892" s="7" t="n">
        <v>45799</v>
      </c>
      <c r="L1892" s="7" t="inlineStr"/>
      <c r="M1892" s="5" t="inlineStr">
        <is>
          <t>Yes</t>
        </is>
      </c>
      <c r="N1892" s="5" t="inlineStr"/>
      <c r="O1892" s="8" t="inlineStr">
        <is>
          <t>154500</t>
        </is>
      </c>
      <c r="P1892" s="5" t="inlineStr">
        <is>
          <t>0</t>
        </is>
      </c>
      <c r="Q1892" s="5" t="inlineStr">
        <is>
          <t>4</t>
        </is>
      </c>
      <c r="R1892" s="5" t="inlineStr">
        <is>
          <t>6</t>
        </is>
      </c>
      <c r="S1892" s="5" t="inlineStr">
        <is>
          <t>7</t>
        </is>
      </c>
      <c r="T1892" s="5" t="inlineStr">
        <is>
          <t>17</t>
        </is>
      </c>
      <c r="U1892" s="5">
        <f>IFS(C1892&lt;30,"Under 30",C1892&lt;40,"30-39",C1892&lt;50,"40-49",TRUE,"50+")</f>
        <v/>
      </c>
      <c r="V1892" s="5">
        <f>IFS(O1892&lt;60000,"Low (&lt;60k)",O1892&lt;100000,"Mid (60-100k)",TRUE,"High (100k+)")</f>
        <v/>
      </c>
      <c r="W1892" s="5">
        <f>IF(M1892="No","Attrited","Active")</f>
        <v/>
      </c>
    </row>
    <row r="1893">
      <c r="A1893" s="5" t="inlineStr">
        <is>
          <t>E01892</t>
        </is>
      </c>
      <c r="B1893" s="5" t="inlineStr">
        <is>
          <t>Male</t>
        </is>
      </c>
      <c r="C1893" s="6" t="inlineStr">
        <is>
          <t>39</t>
        </is>
      </c>
      <c r="D1893" s="5" t="inlineStr">
        <is>
          <t>Married</t>
        </is>
      </c>
      <c r="E1893" s="5" t="inlineStr">
        <is>
          <t>Diploma</t>
        </is>
      </c>
      <c r="F1893" s="5" t="inlineStr">
        <is>
          <t>Sales</t>
        </is>
      </c>
      <c r="G1893" s="5" t="inlineStr">
        <is>
          <t>Sales Executive</t>
        </is>
      </c>
      <c r="H1893" s="5" t="inlineStr">
        <is>
          <t>5</t>
        </is>
      </c>
      <c r="I1893" s="5" t="inlineStr">
        <is>
          <t>Bengaluru</t>
        </is>
      </c>
      <c r="J1893" s="5" t="inlineStr">
        <is>
          <t>Full-Time</t>
        </is>
      </c>
      <c r="K1893" s="7" t="n">
        <v>44082</v>
      </c>
      <c r="L1893" s="7" t="inlineStr"/>
      <c r="M1893" s="5" t="inlineStr">
        <is>
          <t>Yes</t>
        </is>
      </c>
      <c r="N1893" s="5" t="inlineStr"/>
      <c r="O1893" s="8" t="inlineStr">
        <is>
          <t>167000</t>
        </is>
      </c>
      <c r="P1893" s="5" t="inlineStr">
        <is>
          <t>5</t>
        </is>
      </c>
      <c r="Q1893" s="5" t="inlineStr">
        <is>
          <t>1</t>
        </is>
      </c>
      <c r="R1893" s="5" t="inlineStr">
        <is>
          <t>7</t>
        </is>
      </c>
      <c r="S1893" s="5" t="inlineStr">
        <is>
          <t>64</t>
        </is>
      </c>
      <c r="T1893" s="5" t="inlineStr">
        <is>
          <t>0</t>
        </is>
      </c>
      <c r="U1893" s="5">
        <f>IFS(C1893&lt;30,"Under 30",C1893&lt;40,"30-39",C1893&lt;50,"40-49",TRUE,"50+")</f>
        <v/>
      </c>
      <c r="V1893" s="5">
        <f>IFS(O1893&lt;60000,"Low (&lt;60k)",O1893&lt;100000,"Mid (60-100k)",TRUE,"High (100k+)")</f>
        <v/>
      </c>
      <c r="W1893" s="5">
        <f>IF(M1893="No","Attrited","Active")</f>
        <v/>
      </c>
    </row>
    <row r="1894">
      <c r="A1894" s="5" t="inlineStr">
        <is>
          <t>E01893</t>
        </is>
      </c>
      <c r="B1894" s="5" t="inlineStr">
        <is>
          <t>Male</t>
        </is>
      </c>
      <c r="C1894" s="6" t="inlineStr">
        <is>
          <t>34</t>
        </is>
      </c>
      <c r="D1894" s="5" t="inlineStr">
        <is>
          <t>Single</t>
        </is>
      </c>
      <c r="E1894" s="5" t="inlineStr">
        <is>
          <t>Bachelor</t>
        </is>
      </c>
      <c r="F1894" s="5" t="inlineStr">
        <is>
          <t>Research &amp; Development</t>
        </is>
      </c>
      <c r="G1894" s="5" t="inlineStr">
        <is>
          <t>Research Scientist</t>
        </is>
      </c>
      <c r="H1894" s="5" t="inlineStr">
        <is>
          <t>5</t>
        </is>
      </c>
      <c r="I1894" s="5" t="inlineStr">
        <is>
          <t>Bengaluru</t>
        </is>
      </c>
      <c r="J1894" s="5" t="inlineStr">
        <is>
          <t>Full-Time</t>
        </is>
      </c>
      <c r="K1894" s="7" t="n">
        <v>43857</v>
      </c>
      <c r="L1894" s="7" t="inlineStr"/>
      <c r="M1894" s="5" t="inlineStr">
        <is>
          <t>Yes</t>
        </is>
      </c>
      <c r="N1894" s="5" t="inlineStr"/>
      <c r="O1894" s="8" t="inlineStr">
        <is>
          <t>188000</t>
        </is>
      </c>
      <c r="P1894" s="5" t="inlineStr">
        <is>
          <t>5</t>
        </is>
      </c>
      <c r="Q1894" s="5" t="inlineStr">
        <is>
          <t>3</t>
        </is>
      </c>
      <c r="R1894" s="5" t="inlineStr">
        <is>
          <t>3</t>
        </is>
      </c>
      <c r="S1894" s="5" t="inlineStr">
        <is>
          <t>72</t>
        </is>
      </c>
      <c r="T1894" s="5" t="inlineStr">
        <is>
          <t>13</t>
        </is>
      </c>
      <c r="U1894" s="5">
        <f>IFS(C1894&lt;30,"Under 30",C1894&lt;40,"30-39",C1894&lt;50,"40-49",TRUE,"50+")</f>
        <v/>
      </c>
      <c r="V1894" s="5">
        <f>IFS(O1894&lt;60000,"Low (&lt;60k)",O1894&lt;100000,"Mid (60-100k)",TRUE,"High (100k+)")</f>
        <v/>
      </c>
      <c r="W1894" s="5">
        <f>IF(M1894="No","Attrited","Active")</f>
        <v/>
      </c>
    </row>
    <row r="1895">
      <c r="A1895" s="5" t="inlineStr">
        <is>
          <t>E01894</t>
        </is>
      </c>
      <c r="B1895" s="5" t="inlineStr">
        <is>
          <t>Male</t>
        </is>
      </c>
      <c r="C1895" s="6" t="inlineStr">
        <is>
          <t>27</t>
        </is>
      </c>
      <c r="D1895" s="5" t="inlineStr">
        <is>
          <t>Divorced</t>
        </is>
      </c>
      <c r="E1895" s="5" t="inlineStr">
        <is>
          <t>High School</t>
        </is>
      </c>
      <c r="F1895" s="5" t="inlineStr">
        <is>
          <t>Sales</t>
        </is>
      </c>
      <c r="G1895" s="5" t="inlineStr">
        <is>
          <t>Sales Executive</t>
        </is>
      </c>
      <c r="H1895" s="5" t="inlineStr">
        <is>
          <t>2</t>
        </is>
      </c>
      <c r="I1895" s="5" t="inlineStr">
        <is>
          <t>Hyderabad</t>
        </is>
      </c>
      <c r="J1895" s="5" t="inlineStr">
        <is>
          <t>Part-Time</t>
        </is>
      </c>
      <c r="K1895" s="7" t="n">
        <v>45664</v>
      </c>
      <c r="L1895" s="7" t="n">
        <v>45750</v>
      </c>
      <c r="M1895" s="5" t="inlineStr">
        <is>
          <t>No</t>
        </is>
      </c>
      <c r="N1895" s="5" t="inlineStr">
        <is>
          <t>Resigned</t>
        </is>
      </c>
      <c r="O1895" s="8" t="inlineStr">
        <is>
          <t>68500</t>
        </is>
      </c>
      <c r="P1895" s="5" t="inlineStr">
        <is>
          <t>5</t>
        </is>
      </c>
      <c r="Q1895" s="5" t="inlineStr">
        <is>
          <t>2</t>
        </is>
      </c>
      <c r="R1895" s="5" t="inlineStr">
        <is>
          <t>6</t>
        </is>
      </c>
      <c r="S1895" s="5" t="inlineStr">
        <is>
          <t>2</t>
        </is>
      </c>
      <c r="T1895" s="5" t="inlineStr">
        <is>
          <t>9</t>
        </is>
      </c>
      <c r="U1895" s="5">
        <f>IFS(C1895&lt;30,"Under 30",C1895&lt;40,"30-39",C1895&lt;50,"40-49",TRUE,"50+")</f>
        <v/>
      </c>
      <c r="V1895" s="5">
        <f>IFS(O1895&lt;60000,"Low (&lt;60k)",O1895&lt;100000,"Mid (60-100k)",TRUE,"High (100k+)")</f>
        <v/>
      </c>
      <c r="W1895" s="5">
        <f>IF(M1895="No","Attrited","Active")</f>
        <v/>
      </c>
    </row>
    <row r="1896">
      <c r="A1896" s="5" t="inlineStr">
        <is>
          <t>E01895</t>
        </is>
      </c>
      <c r="B1896" s="5" t="inlineStr">
        <is>
          <t>Male</t>
        </is>
      </c>
      <c r="C1896" s="6" t="inlineStr">
        <is>
          <t>32</t>
        </is>
      </c>
      <c r="D1896" s="5" t="inlineStr">
        <is>
          <t>Divorced</t>
        </is>
      </c>
      <c r="E1896" s="5" t="inlineStr">
        <is>
          <t>Master</t>
        </is>
      </c>
      <c r="F1896" s="5" t="inlineStr">
        <is>
          <t>Finance</t>
        </is>
      </c>
      <c r="G1896" s="5" t="inlineStr">
        <is>
          <t>Financial Analyst</t>
        </is>
      </c>
      <c r="H1896" s="5" t="inlineStr">
        <is>
          <t>1</t>
        </is>
      </c>
      <c r="I1896" s="5" t="inlineStr">
        <is>
          <t>Mumbai</t>
        </is>
      </c>
      <c r="J1896" s="5" t="inlineStr">
        <is>
          <t>Full-Time</t>
        </is>
      </c>
      <c r="K1896" s="7" t="n">
        <v>44572</v>
      </c>
      <c r="L1896" s="7" t="inlineStr"/>
      <c r="M1896" s="5" t="inlineStr">
        <is>
          <t>Yes</t>
        </is>
      </c>
      <c r="N1896" s="5" t="inlineStr"/>
      <c r="O1896" s="8" t="inlineStr">
        <is>
          <t>111000</t>
        </is>
      </c>
      <c r="P1896" s="5" t="inlineStr">
        <is>
          <t>0</t>
        </is>
      </c>
      <c r="Q1896" s="5" t="inlineStr">
        <is>
          <t>3</t>
        </is>
      </c>
      <c r="R1896" s="5" t="inlineStr">
        <is>
          <t>8</t>
        </is>
      </c>
      <c r="S1896" s="5" t="inlineStr">
        <is>
          <t>48</t>
        </is>
      </c>
      <c r="T1896" s="5" t="inlineStr">
        <is>
          <t>11</t>
        </is>
      </c>
      <c r="U1896" s="5">
        <f>IFS(C1896&lt;30,"Under 30",C1896&lt;40,"30-39",C1896&lt;50,"40-49",TRUE,"50+")</f>
        <v/>
      </c>
      <c r="V1896" s="5">
        <f>IFS(O1896&lt;60000,"Low (&lt;60k)",O1896&lt;100000,"Mid (60-100k)",TRUE,"High (100k+)")</f>
        <v/>
      </c>
      <c r="W1896" s="5">
        <f>IF(M1896="No","Attrited","Active")</f>
        <v/>
      </c>
    </row>
    <row r="1897">
      <c r="A1897" s="5" t="inlineStr">
        <is>
          <t>E01896</t>
        </is>
      </c>
      <c r="B1897" s="5" t="inlineStr">
        <is>
          <t>Male</t>
        </is>
      </c>
      <c r="C1897" s="6" t="inlineStr">
        <is>
          <t>44</t>
        </is>
      </c>
      <c r="D1897" s="5" t="inlineStr">
        <is>
          <t>Married</t>
        </is>
      </c>
      <c r="E1897" s="5" t="inlineStr">
        <is>
          <t>High School</t>
        </is>
      </c>
      <c r="F1897" s="5" t="inlineStr">
        <is>
          <t>Operations</t>
        </is>
      </c>
      <c r="G1897" s="5" t="inlineStr">
        <is>
          <t>Logistics Coordinator</t>
        </is>
      </c>
      <c r="H1897" s="5" t="inlineStr">
        <is>
          <t>6</t>
        </is>
      </c>
      <c r="I1897" s="5" t="inlineStr">
        <is>
          <t>Chennai</t>
        </is>
      </c>
      <c r="J1897" s="5" t="inlineStr">
        <is>
          <t>Part-Time</t>
        </is>
      </c>
      <c r="K1897" s="7" t="n">
        <v>43917</v>
      </c>
      <c r="L1897" s="7" t="inlineStr"/>
      <c r="M1897" s="5" t="inlineStr">
        <is>
          <t>Yes</t>
        </is>
      </c>
      <c r="N1897" s="5" t="inlineStr"/>
      <c r="O1897" s="8" t="inlineStr">
        <is>
          <t>113500</t>
        </is>
      </c>
      <c r="P1897" s="5" t="inlineStr">
        <is>
          <t>20</t>
        </is>
      </c>
      <c r="Q1897" s="5" t="inlineStr">
        <is>
          <t>5</t>
        </is>
      </c>
      <c r="R1897" s="5" t="inlineStr">
        <is>
          <t>4</t>
        </is>
      </c>
      <c r="S1897" s="5" t="inlineStr">
        <is>
          <t>70</t>
        </is>
      </c>
      <c r="T1897" s="5" t="inlineStr">
        <is>
          <t>9</t>
        </is>
      </c>
      <c r="U1897" s="5">
        <f>IFS(C1897&lt;30,"Under 30",C1897&lt;40,"30-39",C1897&lt;50,"40-49",TRUE,"50+")</f>
        <v/>
      </c>
      <c r="V1897" s="5">
        <f>IFS(O1897&lt;60000,"Low (&lt;60k)",O1897&lt;100000,"Mid (60-100k)",TRUE,"High (100k+)")</f>
        <v/>
      </c>
      <c r="W1897" s="5">
        <f>IF(M1897="No","Attrited","Active")</f>
        <v/>
      </c>
    </row>
    <row r="1898">
      <c r="A1898" s="5" t="inlineStr">
        <is>
          <t>E01897</t>
        </is>
      </c>
      <c r="B1898" s="5" t="inlineStr">
        <is>
          <t>Female</t>
        </is>
      </c>
      <c r="C1898" s="6" t="inlineStr">
        <is>
          <t>32</t>
        </is>
      </c>
      <c r="D1898" s="5" t="inlineStr">
        <is>
          <t>Married</t>
        </is>
      </c>
      <c r="E1898" s="5" t="inlineStr">
        <is>
          <t>High School</t>
        </is>
      </c>
      <c r="F1898" s="5" t="inlineStr">
        <is>
          <t>Marketing</t>
        </is>
      </c>
      <c r="G1898" s="5" t="inlineStr">
        <is>
          <t>SEO Specialist</t>
        </is>
      </c>
      <c r="H1898" s="5" t="inlineStr">
        <is>
          <t>2</t>
        </is>
      </c>
      <c r="I1898" s="5" t="inlineStr">
        <is>
          <t>Hyderabad</t>
        </is>
      </c>
      <c r="J1898" s="5" t="inlineStr">
        <is>
          <t>Full-Time</t>
        </is>
      </c>
      <c r="K1898" s="7" t="n">
        <v>45895</v>
      </c>
      <c r="L1898" s="7" t="inlineStr"/>
      <c r="M1898" s="5" t="inlineStr">
        <is>
          <t>Yes</t>
        </is>
      </c>
      <c r="N1898" s="5" t="inlineStr"/>
      <c r="O1898" s="8" t="inlineStr">
        <is>
          <t>73000</t>
        </is>
      </c>
      <c r="P1898" s="5" t="inlineStr">
        <is>
          <t>0</t>
        </is>
      </c>
      <c r="Q1898" s="5" t="inlineStr">
        <is>
          <t>4</t>
        </is>
      </c>
      <c r="R1898" s="5" t="inlineStr">
        <is>
          <t>3</t>
        </is>
      </c>
      <c r="S1898" s="5" t="inlineStr">
        <is>
          <t>4</t>
        </is>
      </c>
      <c r="T1898" s="5" t="inlineStr">
        <is>
          <t>1</t>
        </is>
      </c>
      <c r="U1898" s="5">
        <f>IFS(C1898&lt;30,"Under 30",C1898&lt;40,"30-39",C1898&lt;50,"40-49",TRUE,"50+")</f>
        <v/>
      </c>
      <c r="V1898" s="5">
        <f>IFS(O1898&lt;60000,"Low (&lt;60k)",O1898&lt;100000,"Mid (60-100k)",TRUE,"High (100k+)")</f>
        <v/>
      </c>
      <c r="W1898" s="5">
        <f>IF(M1898="No","Attrited","Active")</f>
        <v/>
      </c>
    </row>
    <row r="1899">
      <c r="A1899" s="5" t="inlineStr">
        <is>
          <t>E01898</t>
        </is>
      </c>
      <c r="B1899" s="5" t="inlineStr">
        <is>
          <t>Female</t>
        </is>
      </c>
      <c r="C1899" s="6" t="inlineStr">
        <is>
          <t>39</t>
        </is>
      </c>
      <c r="D1899" s="5" t="inlineStr">
        <is>
          <t>Single</t>
        </is>
      </c>
      <c r="E1899" s="5" t="inlineStr">
        <is>
          <t>High School</t>
        </is>
      </c>
      <c r="F1899" s="5" t="inlineStr">
        <is>
          <t>Operations</t>
        </is>
      </c>
      <c r="G1899" s="5" t="inlineStr">
        <is>
          <t>Logistics Coordinator</t>
        </is>
      </c>
      <c r="H1899" s="5" t="inlineStr">
        <is>
          <t>4</t>
        </is>
      </c>
      <c r="I1899" s="5" t="inlineStr">
        <is>
          <t>Bengaluru</t>
        </is>
      </c>
      <c r="J1899" s="5" t="inlineStr">
        <is>
          <t>Full-Time</t>
        </is>
      </c>
      <c r="K1899" s="7" t="n">
        <v>45251</v>
      </c>
      <c r="L1899" s="7" t="inlineStr"/>
      <c r="M1899" s="5" t="inlineStr">
        <is>
          <t>Yes</t>
        </is>
      </c>
      <c r="N1899" s="5" t="inlineStr"/>
      <c r="O1899" s="8" t="inlineStr">
        <is>
          <t>103500</t>
        </is>
      </c>
      <c r="P1899" s="5" t="inlineStr">
        <is>
          <t>15</t>
        </is>
      </c>
      <c r="Q1899" s="5" t="inlineStr">
        <is>
          <t>3</t>
        </is>
      </c>
      <c r="R1899" s="5" t="inlineStr">
        <is>
          <t>5</t>
        </is>
      </c>
      <c r="S1899" s="5" t="inlineStr">
        <is>
          <t>25</t>
        </is>
      </c>
      <c r="T1899" s="5" t="inlineStr">
        <is>
          <t>9</t>
        </is>
      </c>
      <c r="U1899" s="5">
        <f>IFS(C1899&lt;30,"Under 30",C1899&lt;40,"30-39",C1899&lt;50,"40-49",TRUE,"50+")</f>
        <v/>
      </c>
      <c r="V1899" s="5">
        <f>IFS(O1899&lt;60000,"Low (&lt;60k)",O1899&lt;100000,"Mid (60-100k)",TRUE,"High (100k+)")</f>
        <v/>
      </c>
      <c r="W1899" s="5">
        <f>IF(M1899="No","Attrited","Active")</f>
        <v/>
      </c>
    </row>
    <row r="1900">
      <c r="A1900" s="5" t="inlineStr">
        <is>
          <t>E01899</t>
        </is>
      </c>
      <c r="B1900" s="5" t="inlineStr">
        <is>
          <t>Male</t>
        </is>
      </c>
      <c r="C1900" s="6" t="inlineStr">
        <is>
          <t>34</t>
        </is>
      </c>
      <c r="D1900" s="5" t="inlineStr">
        <is>
          <t>Married</t>
        </is>
      </c>
      <c r="E1900" s="5" t="inlineStr">
        <is>
          <t>PhD</t>
        </is>
      </c>
      <c r="F1900" s="5" t="inlineStr">
        <is>
          <t>Marketing</t>
        </is>
      </c>
      <c r="G1900" s="5" t="inlineStr">
        <is>
          <t>Content Writer</t>
        </is>
      </c>
      <c r="H1900" s="5" t="inlineStr">
        <is>
          <t>2</t>
        </is>
      </c>
      <c r="I1900" s="5" t="inlineStr">
        <is>
          <t>Mumbai</t>
        </is>
      </c>
      <c r="J1900" s="5" t="inlineStr">
        <is>
          <t>Full-Time</t>
        </is>
      </c>
      <c r="K1900" s="7" t="n">
        <v>45132</v>
      </c>
      <c r="L1900" s="7" t="inlineStr"/>
      <c r="M1900" s="5" t="inlineStr">
        <is>
          <t>Yes</t>
        </is>
      </c>
      <c r="N1900" s="5" t="inlineStr"/>
      <c r="O1900" s="8" t="inlineStr">
        <is>
          <t>75500</t>
        </is>
      </c>
      <c r="P1900" s="5" t="inlineStr">
        <is>
          <t>5</t>
        </is>
      </c>
      <c r="Q1900" s="5" t="inlineStr">
        <is>
          <t>3</t>
        </is>
      </c>
      <c r="R1900" s="5" t="inlineStr">
        <is>
          <t>6</t>
        </is>
      </c>
      <c r="S1900" s="5" t="inlineStr">
        <is>
          <t>29</t>
        </is>
      </c>
      <c r="T1900" s="5" t="inlineStr">
        <is>
          <t>12</t>
        </is>
      </c>
      <c r="U1900" s="5">
        <f>IFS(C1900&lt;30,"Under 30",C1900&lt;40,"30-39",C1900&lt;50,"40-49",TRUE,"50+")</f>
        <v/>
      </c>
      <c r="V1900" s="5">
        <f>IFS(O1900&lt;60000,"Low (&lt;60k)",O1900&lt;100000,"Mid (60-100k)",TRUE,"High (100k+)")</f>
        <v/>
      </c>
      <c r="W1900" s="5">
        <f>IF(M1900="No","Attrited","Active")</f>
        <v/>
      </c>
    </row>
    <row r="1901">
      <c r="A1901" s="5" t="inlineStr">
        <is>
          <t>E01900</t>
        </is>
      </c>
      <c r="B1901" s="5" t="inlineStr">
        <is>
          <t>Male</t>
        </is>
      </c>
      <c r="C1901" s="6" t="inlineStr">
        <is>
          <t>38</t>
        </is>
      </c>
      <c r="D1901" s="5" t="inlineStr">
        <is>
          <t>Married</t>
        </is>
      </c>
      <c r="E1901" s="5" t="inlineStr">
        <is>
          <t>Diploma</t>
        </is>
      </c>
      <c r="F1901" s="5" t="inlineStr">
        <is>
          <t>Operations</t>
        </is>
      </c>
      <c r="G1901" s="5" t="inlineStr">
        <is>
          <t>Logistics Coordinator</t>
        </is>
      </c>
      <c r="H1901" s="5" t="inlineStr">
        <is>
          <t>4</t>
        </is>
      </c>
      <c r="I1901" s="5" t="inlineStr">
        <is>
          <t>Hyderabad</t>
        </is>
      </c>
      <c r="J1901" s="5" t="inlineStr">
        <is>
          <t>Full-Time</t>
        </is>
      </c>
      <c r="K1901" s="7" t="n">
        <v>44206</v>
      </c>
      <c r="L1901" s="7" t="inlineStr"/>
      <c r="M1901" s="5" t="inlineStr">
        <is>
          <t>Yes</t>
        </is>
      </c>
      <c r="N1901" s="5" t="inlineStr"/>
      <c r="O1901" s="8" t="inlineStr">
        <is>
          <t>101000</t>
        </is>
      </c>
      <c r="P1901" s="5" t="inlineStr">
        <is>
          <t>15</t>
        </is>
      </c>
      <c r="Q1901" s="5" t="inlineStr">
        <is>
          <t>3</t>
        </is>
      </c>
      <c r="R1901" s="5" t="inlineStr">
        <is>
          <t>6</t>
        </is>
      </c>
      <c r="S1901" s="5" t="inlineStr">
        <is>
          <t>60</t>
        </is>
      </c>
      <c r="T1901" s="5" t="inlineStr">
        <is>
          <t>6</t>
        </is>
      </c>
      <c r="U1901" s="5">
        <f>IFS(C1901&lt;30,"Under 30",C1901&lt;40,"30-39",C1901&lt;50,"40-49",TRUE,"50+")</f>
        <v/>
      </c>
      <c r="V1901" s="5">
        <f>IFS(O1901&lt;60000,"Low (&lt;60k)",O1901&lt;100000,"Mid (60-100k)",TRUE,"High (100k+)")</f>
        <v/>
      </c>
      <c r="W1901" s="5">
        <f>IF(M1901="No","Attrited","Active")</f>
        <v/>
      </c>
    </row>
    <row r="1902">
      <c r="A1902" s="5" t="inlineStr">
        <is>
          <t>E01901</t>
        </is>
      </c>
      <c r="B1902" s="5" t="inlineStr">
        <is>
          <t>Male</t>
        </is>
      </c>
      <c r="C1902" s="6" t="inlineStr">
        <is>
          <t>30</t>
        </is>
      </c>
      <c r="D1902" s="5" t="inlineStr">
        <is>
          <t>Married</t>
        </is>
      </c>
      <c r="E1902" s="5" t="inlineStr">
        <is>
          <t>Diploma</t>
        </is>
      </c>
      <c r="F1902" s="5" t="inlineStr">
        <is>
          <t>Research &amp; Development</t>
        </is>
      </c>
      <c r="G1902" s="5" t="inlineStr">
        <is>
          <t>Product Engineer</t>
        </is>
      </c>
      <c r="H1902" s="5" t="inlineStr">
        <is>
          <t>2</t>
        </is>
      </c>
      <c r="I1902" s="5" t="inlineStr">
        <is>
          <t>Remote</t>
        </is>
      </c>
      <c r="J1902" s="5" t="inlineStr">
        <is>
          <t>Full-Time</t>
        </is>
      </c>
      <c r="K1902" s="7" t="n">
        <v>44120</v>
      </c>
      <c r="L1902" s="7" t="inlineStr"/>
      <c r="M1902" s="5" t="inlineStr">
        <is>
          <t>Yes</t>
        </is>
      </c>
      <c r="N1902" s="5" t="inlineStr"/>
      <c r="O1902" s="8" t="inlineStr">
        <is>
          <t>147500</t>
        </is>
      </c>
      <c r="P1902" s="5" t="inlineStr">
        <is>
          <t>0</t>
        </is>
      </c>
      <c r="Q1902" s="5" t="inlineStr">
        <is>
          <t>5</t>
        </is>
      </c>
      <c r="R1902" s="5" t="inlineStr">
        <is>
          <t>4</t>
        </is>
      </c>
      <c r="S1902" s="5" t="inlineStr">
        <is>
          <t>63</t>
        </is>
      </c>
      <c r="T1902" s="5" t="inlineStr">
        <is>
          <t>10</t>
        </is>
      </c>
      <c r="U1902" s="5">
        <f>IFS(C1902&lt;30,"Under 30",C1902&lt;40,"30-39",C1902&lt;50,"40-49",TRUE,"50+")</f>
        <v/>
      </c>
      <c r="V1902" s="5">
        <f>IFS(O1902&lt;60000,"Low (&lt;60k)",O1902&lt;100000,"Mid (60-100k)",TRUE,"High (100k+)")</f>
        <v/>
      </c>
      <c r="W1902" s="5">
        <f>IF(M1902="No","Attrited","Active")</f>
        <v/>
      </c>
    </row>
    <row r="1903">
      <c r="A1903" s="5" t="inlineStr">
        <is>
          <t>E01902</t>
        </is>
      </c>
      <c r="B1903" s="5" t="inlineStr">
        <is>
          <t>Male</t>
        </is>
      </c>
      <c r="C1903" s="6" t="inlineStr">
        <is>
          <t>36</t>
        </is>
      </c>
      <c r="D1903" s="5" t="inlineStr">
        <is>
          <t>Married</t>
        </is>
      </c>
      <c r="E1903" s="5" t="inlineStr">
        <is>
          <t>Master</t>
        </is>
      </c>
      <c r="F1903" s="5" t="inlineStr">
        <is>
          <t>Operations</t>
        </is>
      </c>
      <c r="G1903" s="5" t="inlineStr">
        <is>
          <t>Operations Analyst</t>
        </is>
      </c>
      <c r="H1903" s="5" t="inlineStr">
        <is>
          <t>3</t>
        </is>
      </c>
      <c r="I1903" s="5" t="inlineStr">
        <is>
          <t>Mumbai</t>
        </is>
      </c>
      <c r="J1903" s="5" t="inlineStr">
        <is>
          <t>Full-Time</t>
        </is>
      </c>
      <c r="K1903" s="7" t="n">
        <v>44620</v>
      </c>
      <c r="L1903" s="7" t="inlineStr"/>
      <c r="M1903" s="5" t="inlineStr">
        <is>
          <t>Yes</t>
        </is>
      </c>
      <c r="N1903" s="5" t="inlineStr"/>
      <c r="O1903" s="8" t="inlineStr">
        <is>
          <t>96500</t>
        </is>
      </c>
      <c r="P1903" s="5" t="inlineStr">
        <is>
          <t>10</t>
        </is>
      </c>
      <c r="Q1903" s="5" t="inlineStr">
        <is>
          <t>3</t>
        </is>
      </c>
      <c r="R1903" s="5" t="inlineStr">
        <is>
          <t>4</t>
        </is>
      </c>
      <c r="S1903" s="5" t="inlineStr">
        <is>
          <t>46</t>
        </is>
      </c>
      <c r="T1903" s="5" t="inlineStr">
        <is>
          <t>10</t>
        </is>
      </c>
      <c r="U1903" s="5">
        <f>IFS(C1903&lt;30,"Under 30",C1903&lt;40,"30-39",C1903&lt;50,"40-49",TRUE,"50+")</f>
        <v/>
      </c>
      <c r="V1903" s="5">
        <f>IFS(O1903&lt;60000,"Low (&lt;60k)",O1903&lt;100000,"Mid (60-100k)",TRUE,"High (100k+)")</f>
        <v/>
      </c>
      <c r="W1903" s="5">
        <f>IF(M1903="No","Attrited","Active")</f>
        <v/>
      </c>
    </row>
    <row r="1904">
      <c r="A1904" s="5" t="inlineStr">
        <is>
          <t>E01903</t>
        </is>
      </c>
      <c r="B1904" s="5" t="inlineStr">
        <is>
          <t>Male</t>
        </is>
      </c>
      <c r="C1904" s="6" t="inlineStr">
        <is>
          <t>38</t>
        </is>
      </c>
      <c r="D1904" s="5" t="inlineStr">
        <is>
          <t>Married</t>
        </is>
      </c>
      <c r="E1904" s="5" t="inlineStr">
        <is>
          <t>High School</t>
        </is>
      </c>
      <c r="F1904" s="5" t="inlineStr">
        <is>
          <t>Sales</t>
        </is>
      </c>
      <c r="G1904" s="5" t="inlineStr">
        <is>
          <t>Business Development</t>
        </is>
      </c>
      <c r="H1904" s="5" t="inlineStr">
        <is>
          <t>5</t>
        </is>
      </c>
      <c r="I1904" s="5" t="inlineStr">
        <is>
          <t>Hyderabad</t>
        </is>
      </c>
      <c r="J1904" s="5" t="inlineStr">
        <is>
          <t>Full-Time</t>
        </is>
      </c>
      <c r="K1904" s="7" t="n">
        <v>45162</v>
      </c>
      <c r="L1904" s="7" t="inlineStr"/>
      <c r="M1904" s="5" t="inlineStr">
        <is>
          <t>Yes</t>
        </is>
      </c>
      <c r="N1904" s="5" t="inlineStr"/>
      <c r="O1904" s="8" t="inlineStr">
        <is>
          <t>165500</t>
        </is>
      </c>
      <c r="P1904" s="5" t="inlineStr">
        <is>
          <t>15</t>
        </is>
      </c>
      <c r="Q1904" s="5" t="inlineStr">
        <is>
          <t>4</t>
        </is>
      </c>
      <c r="R1904" s="5" t="inlineStr">
        <is>
          <t>7</t>
        </is>
      </c>
      <c r="S1904" s="5" t="inlineStr">
        <is>
          <t>28</t>
        </is>
      </c>
      <c r="T1904" s="5" t="inlineStr">
        <is>
          <t>2</t>
        </is>
      </c>
      <c r="U1904" s="5">
        <f>IFS(C1904&lt;30,"Under 30",C1904&lt;40,"30-39",C1904&lt;50,"40-49",TRUE,"50+")</f>
        <v/>
      </c>
      <c r="V1904" s="5">
        <f>IFS(O1904&lt;60000,"Low (&lt;60k)",O1904&lt;100000,"Mid (60-100k)",TRUE,"High (100k+)")</f>
        <v/>
      </c>
      <c r="W1904" s="5">
        <f>IF(M1904="No","Attrited","Active")</f>
        <v/>
      </c>
    </row>
    <row r="1905">
      <c r="A1905" s="5" t="inlineStr">
        <is>
          <t>E01904</t>
        </is>
      </c>
      <c r="B1905" s="5" t="inlineStr">
        <is>
          <t>Female</t>
        </is>
      </c>
      <c r="C1905" s="6" t="inlineStr">
        <is>
          <t>29</t>
        </is>
      </c>
      <c r="D1905" s="5" t="inlineStr">
        <is>
          <t>Married</t>
        </is>
      </c>
      <c r="E1905" s="5" t="inlineStr">
        <is>
          <t>PhD</t>
        </is>
      </c>
      <c r="F1905" s="5" t="inlineStr">
        <is>
          <t>Research &amp; Development</t>
        </is>
      </c>
      <c r="G1905" s="5" t="inlineStr">
        <is>
          <t>Research Scientist</t>
        </is>
      </c>
      <c r="H1905" s="5" t="inlineStr">
        <is>
          <t>2</t>
        </is>
      </c>
      <c r="I1905" s="5" t="inlineStr">
        <is>
          <t>Hyderabad</t>
        </is>
      </c>
      <c r="J1905" s="5" t="inlineStr">
        <is>
          <t>Part-Time</t>
        </is>
      </c>
      <c r="K1905" s="7" t="n">
        <v>45627</v>
      </c>
      <c r="L1905" s="7" t="n">
        <v>45674</v>
      </c>
      <c r="M1905" s="5" t="inlineStr">
        <is>
          <t>No</t>
        </is>
      </c>
      <c r="N1905" s="5" t="inlineStr">
        <is>
          <t>Layoff</t>
        </is>
      </c>
      <c r="O1905" s="8" t="inlineStr">
        <is>
          <t>148000</t>
        </is>
      </c>
      <c r="P1905" s="5" t="inlineStr">
        <is>
          <t>5</t>
        </is>
      </c>
      <c r="Q1905" s="5" t="inlineStr">
        <is>
          <t>5</t>
        </is>
      </c>
      <c r="R1905" s="5" t="inlineStr">
        <is>
          <t>1</t>
        </is>
      </c>
      <c r="S1905" s="5" t="inlineStr">
        <is>
          <t>1</t>
        </is>
      </c>
      <c r="T1905" s="5" t="inlineStr">
        <is>
          <t>4</t>
        </is>
      </c>
      <c r="U1905" s="5">
        <f>IFS(C1905&lt;30,"Under 30",C1905&lt;40,"30-39",C1905&lt;50,"40-49",TRUE,"50+")</f>
        <v/>
      </c>
      <c r="V1905" s="5">
        <f>IFS(O1905&lt;60000,"Low (&lt;60k)",O1905&lt;100000,"Mid (60-100k)",TRUE,"High (100k+)")</f>
        <v/>
      </c>
      <c r="W1905" s="5">
        <f>IF(M1905="No","Attrited","Active")</f>
        <v/>
      </c>
    </row>
    <row r="1906">
      <c r="A1906" s="5" t="inlineStr">
        <is>
          <t>E01905</t>
        </is>
      </c>
      <c r="B1906" s="5" t="inlineStr">
        <is>
          <t>Female</t>
        </is>
      </c>
      <c r="C1906" s="6" t="inlineStr">
        <is>
          <t>44</t>
        </is>
      </c>
      <c r="D1906" s="5" t="inlineStr">
        <is>
          <t>Single</t>
        </is>
      </c>
      <c r="E1906" s="5" t="inlineStr">
        <is>
          <t>High School</t>
        </is>
      </c>
      <c r="F1906" s="5" t="inlineStr">
        <is>
          <t>Operations</t>
        </is>
      </c>
      <c r="G1906" s="5" t="inlineStr">
        <is>
          <t>Logistics Coordinator</t>
        </is>
      </c>
      <c r="H1906" s="5" t="inlineStr">
        <is>
          <t>7</t>
        </is>
      </c>
      <c r="I1906" s="5" t="inlineStr">
        <is>
          <t>Chennai</t>
        </is>
      </c>
      <c r="J1906" s="5" t="inlineStr">
        <is>
          <t>Full-Time</t>
        </is>
      </c>
      <c r="K1906" s="7" t="n">
        <v>44494</v>
      </c>
      <c r="L1906" s="7" t="inlineStr"/>
      <c r="M1906" s="5" t="inlineStr">
        <is>
          <t>Yes</t>
        </is>
      </c>
      <c r="N1906" s="5" t="inlineStr"/>
      <c r="O1906" s="8" t="inlineStr">
        <is>
          <t>157500</t>
        </is>
      </c>
      <c r="P1906" s="5" t="inlineStr">
        <is>
          <t>0</t>
        </is>
      </c>
      <c r="Q1906" s="5" t="inlineStr">
        <is>
          <t>3</t>
        </is>
      </c>
      <c r="R1906" s="5" t="inlineStr">
        <is>
          <t>3</t>
        </is>
      </c>
      <c r="S1906" s="5" t="inlineStr">
        <is>
          <t>50</t>
        </is>
      </c>
      <c r="T1906" s="5" t="inlineStr">
        <is>
          <t>7</t>
        </is>
      </c>
      <c r="U1906" s="5">
        <f>IFS(C1906&lt;30,"Under 30",C1906&lt;40,"30-39",C1906&lt;50,"40-49",TRUE,"50+")</f>
        <v/>
      </c>
      <c r="V1906" s="5">
        <f>IFS(O1906&lt;60000,"Low (&lt;60k)",O1906&lt;100000,"Mid (60-100k)",TRUE,"High (100k+)")</f>
        <v/>
      </c>
      <c r="W1906" s="5">
        <f>IF(M1906="No","Attrited","Active")</f>
        <v/>
      </c>
    </row>
    <row r="1907">
      <c r="A1907" s="5" t="inlineStr">
        <is>
          <t>E01906</t>
        </is>
      </c>
      <c r="B1907" s="5" t="inlineStr">
        <is>
          <t>Female</t>
        </is>
      </c>
      <c r="C1907" s="6" t="inlineStr">
        <is>
          <t>39</t>
        </is>
      </c>
      <c r="D1907" s="5" t="inlineStr">
        <is>
          <t>Married</t>
        </is>
      </c>
      <c r="E1907" s="5" t="inlineStr">
        <is>
          <t>Bachelor</t>
        </is>
      </c>
      <c r="F1907" s="5" t="inlineStr">
        <is>
          <t>Research &amp; Development</t>
        </is>
      </c>
      <c r="G1907" s="5" t="inlineStr">
        <is>
          <t>Product Engineer</t>
        </is>
      </c>
      <c r="H1907" s="5" t="inlineStr">
        <is>
          <t>6</t>
        </is>
      </c>
      <c r="I1907" s="5" t="inlineStr">
        <is>
          <t>Chennai</t>
        </is>
      </c>
      <c r="J1907" s="5" t="inlineStr">
        <is>
          <t>Full-Time</t>
        </is>
      </c>
      <c r="K1907" s="7" t="n">
        <v>45962</v>
      </c>
      <c r="L1907" s="7" t="inlineStr"/>
      <c r="M1907" s="5" t="inlineStr">
        <is>
          <t>Yes</t>
        </is>
      </c>
      <c r="N1907" s="5" t="inlineStr"/>
      <c r="O1907" s="8" t="inlineStr">
        <is>
          <t>180000</t>
        </is>
      </c>
      <c r="P1907" s="5" t="inlineStr">
        <is>
          <t>10</t>
        </is>
      </c>
      <c r="Q1907" s="5" t="inlineStr">
        <is>
          <t>5</t>
        </is>
      </c>
      <c r="R1907" s="5" t="inlineStr">
        <is>
          <t>9</t>
        </is>
      </c>
      <c r="S1907" s="5" t="inlineStr">
        <is>
          <t>2</t>
        </is>
      </c>
      <c r="T1907" s="5" t="inlineStr">
        <is>
          <t>14</t>
        </is>
      </c>
      <c r="U1907" s="5">
        <f>IFS(C1907&lt;30,"Under 30",C1907&lt;40,"30-39",C1907&lt;50,"40-49",TRUE,"50+")</f>
        <v/>
      </c>
      <c r="V1907" s="5">
        <f>IFS(O1907&lt;60000,"Low (&lt;60k)",O1907&lt;100000,"Mid (60-100k)",TRUE,"High (100k+)")</f>
        <v/>
      </c>
      <c r="W1907" s="5">
        <f>IF(M1907="No","Attrited","Active")</f>
        <v/>
      </c>
    </row>
    <row r="1908">
      <c r="A1908" s="5" t="inlineStr">
        <is>
          <t>E01907</t>
        </is>
      </c>
      <c r="B1908" s="5" t="inlineStr">
        <is>
          <t>Male</t>
        </is>
      </c>
      <c r="C1908" s="6" t="inlineStr">
        <is>
          <t>42</t>
        </is>
      </c>
      <c r="D1908" s="5" t="inlineStr">
        <is>
          <t>Married</t>
        </is>
      </c>
      <c r="E1908" s="5" t="inlineStr">
        <is>
          <t>Bachelor</t>
        </is>
      </c>
      <c r="F1908" s="5" t="inlineStr">
        <is>
          <t>Marketing</t>
        </is>
      </c>
      <c r="G1908" s="5" t="inlineStr">
        <is>
          <t>Content Writer</t>
        </is>
      </c>
      <c r="H1908" s="5" t="inlineStr">
        <is>
          <t>5</t>
        </is>
      </c>
      <c r="I1908" s="5" t="inlineStr">
        <is>
          <t>Mumbai</t>
        </is>
      </c>
      <c r="J1908" s="5" t="inlineStr">
        <is>
          <t>Full-Time</t>
        </is>
      </c>
      <c r="K1908" s="7" t="n">
        <v>45681</v>
      </c>
      <c r="L1908" s="7" t="inlineStr"/>
      <c r="M1908" s="5" t="inlineStr">
        <is>
          <t>Yes</t>
        </is>
      </c>
      <c r="N1908" s="5" t="inlineStr"/>
      <c r="O1908" s="8" t="inlineStr">
        <is>
          <t>118500</t>
        </is>
      </c>
      <c r="P1908" s="5" t="inlineStr">
        <is>
          <t>20</t>
        </is>
      </c>
      <c r="Q1908" s="5" t="inlineStr">
        <is>
          <t>3</t>
        </is>
      </c>
      <c r="R1908" s="5" t="inlineStr">
        <is>
          <t>4</t>
        </is>
      </c>
      <c r="S1908" s="5" t="inlineStr">
        <is>
          <t>11</t>
        </is>
      </c>
      <c r="T1908" s="5" t="inlineStr">
        <is>
          <t>0</t>
        </is>
      </c>
      <c r="U1908" s="5">
        <f>IFS(C1908&lt;30,"Under 30",C1908&lt;40,"30-39",C1908&lt;50,"40-49",TRUE,"50+")</f>
        <v/>
      </c>
      <c r="V1908" s="5">
        <f>IFS(O1908&lt;60000,"Low (&lt;60k)",O1908&lt;100000,"Mid (60-100k)",TRUE,"High (100k+)")</f>
        <v/>
      </c>
      <c r="W1908" s="5">
        <f>IF(M1908="No","Attrited","Active")</f>
        <v/>
      </c>
    </row>
    <row r="1909">
      <c r="A1909" s="5" t="inlineStr">
        <is>
          <t>E01908</t>
        </is>
      </c>
      <c r="B1909" s="5" t="inlineStr">
        <is>
          <t>Female</t>
        </is>
      </c>
      <c r="C1909" s="6" t="inlineStr">
        <is>
          <t>29</t>
        </is>
      </c>
      <c r="D1909" s="5" t="inlineStr">
        <is>
          <t>Married</t>
        </is>
      </c>
      <c r="E1909" s="5" t="inlineStr">
        <is>
          <t>High School</t>
        </is>
      </c>
      <c r="F1909" s="5" t="inlineStr">
        <is>
          <t>Research &amp; Development</t>
        </is>
      </c>
      <c r="G1909" s="5" t="inlineStr">
        <is>
          <t>Product Engineer</t>
        </is>
      </c>
      <c r="H1909" s="5" t="inlineStr">
        <is>
          <t>1</t>
        </is>
      </c>
      <c r="I1909" s="5" t="inlineStr">
        <is>
          <t>Chennai</t>
        </is>
      </c>
      <c r="J1909" s="5" t="inlineStr">
        <is>
          <t>Full-Time</t>
        </is>
      </c>
      <c r="K1909" s="7" t="n">
        <v>45457</v>
      </c>
      <c r="L1909" s="7" t="inlineStr"/>
      <c r="M1909" s="5" t="inlineStr">
        <is>
          <t>Yes</t>
        </is>
      </c>
      <c r="N1909" s="5" t="inlineStr"/>
      <c r="O1909" s="8" t="inlineStr">
        <is>
          <t>126500</t>
        </is>
      </c>
      <c r="P1909" s="5" t="inlineStr">
        <is>
          <t>20</t>
        </is>
      </c>
      <c r="Q1909" s="5" t="inlineStr">
        <is>
          <t>4</t>
        </is>
      </c>
      <c r="R1909" s="5" t="inlineStr">
        <is>
          <t>3</t>
        </is>
      </c>
      <c r="S1909" s="5" t="inlineStr">
        <is>
          <t>18</t>
        </is>
      </c>
      <c r="T1909" s="5" t="inlineStr">
        <is>
          <t>11</t>
        </is>
      </c>
      <c r="U1909" s="5">
        <f>IFS(C1909&lt;30,"Under 30",C1909&lt;40,"30-39",C1909&lt;50,"40-49",TRUE,"50+")</f>
        <v/>
      </c>
      <c r="V1909" s="5">
        <f>IFS(O1909&lt;60000,"Low (&lt;60k)",O1909&lt;100000,"Mid (60-100k)",TRUE,"High (100k+)")</f>
        <v/>
      </c>
      <c r="W1909" s="5">
        <f>IF(M1909="No","Attrited","Active")</f>
        <v/>
      </c>
    </row>
    <row r="1910">
      <c r="A1910" s="5" t="inlineStr">
        <is>
          <t>E01909</t>
        </is>
      </c>
      <c r="B1910" s="5" t="inlineStr">
        <is>
          <t>Female</t>
        </is>
      </c>
      <c r="C1910" s="6" t="inlineStr">
        <is>
          <t>28</t>
        </is>
      </c>
      <c r="D1910" s="5" t="inlineStr">
        <is>
          <t>Married</t>
        </is>
      </c>
      <c r="E1910" s="5" t="inlineStr">
        <is>
          <t>Bachelor</t>
        </is>
      </c>
      <c r="F1910" s="5" t="inlineStr">
        <is>
          <t>Operations</t>
        </is>
      </c>
      <c r="G1910" s="5" t="inlineStr">
        <is>
          <t>Logistics Coordinator</t>
        </is>
      </c>
      <c r="H1910" s="5" t="inlineStr">
        <is>
          <t>2</t>
        </is>
      </c>
      <c r="I1910" s="5" t="inlineStr">
        <is>
          <t>Chennai</t>
        </is>
      </c>
      <c r="J1910" s="5" t="inlineStr">
        <is>
          <t>Full-Time</t>
        </is>
      </c>
      <c r="K1910" s="7" t="n">
        <v>44386</v>
      </c>
      <c r="L1910" s="7" t="n">
        <v>44450</v>
      </c>
      <c r="M1910" s="5" t="inlineStr">
        <is>
          <t>No</t>
        </is>
      </c>
      <c r="N1910" s="5" t="inlineStr">
        <is>
          <t>Resigned</t>
        </is>
      </c>
      <c r="O1910" s="8" t="inlineStr">
        <is>
          <t>70000</t>
        </is>
      </c>
      <c r="P1910" s="5" t="inlineStr">
        <is>
          <t>0</t>
        </is>
      </c>
      <c r="Q1910" s="5" t="inlineStr">
        <is>
          <t>3</t>
        </is>
      </c>
      <c r="R1910" s="5" t="inlineStr">
        <is>
          <t>5</t>
        </is>
      </c>
      <c r="S1910" s="5" t="inlineStr">
        <is>
          <t>2</t>
        </is>
      </c>
      <c r="T1910" s="5" t="inlineStr">
        <is>
          <t>0</t>
        </is>
      </c>
      <c r="U1910" s="5">
        <f>IFS(C1910&lt;30,"Under 30",C1910&lt;40,"30-39",C1910&lt;50,"40-49",TRUE,"50+")</f>
        <v/>
      </c>
      <c r="V1910" s="5">
        <f>IFS(O1910&lt;60000,"Low (&lt;60k)",O1910&lt;100000,"Mid (60-100k)",TRUE,"High (100k+)")</f>
        <v/>
      </c>
      <c r="W1910" s="5">
        <f>IF(M1910="No","Attrited","Active")</f>
        <v/>
      </c>
    </row>
    <row r="1911">
      <c r="A1911" s="5" t="inlineStr">
        <is>
          <t>E01910</t>
        </is>
      </c>
      <c r="B1911" s="5" t="inlineStr">
        <is>
          <t>Male</t>
        </is>
      </c>
      <c r="C1911" s="6" t="inlineStr">
        <is>
          <t>37</t>
        </is>
      </c>
      <c r="D1911" s="5" t="inlineStr">
        <is>
          <t>Married</t>
        </is>
      </c>
      <c r="E1911" s="5" t="inlineStr">
        <is>
          <t>Master</t>
        </is>
      </c>
      <c r="F1911" s="5" t="inlineStr">
        <is>
          <t>Marketing</t>
        </is>
      </c>
      <c r="G1911" s="5" t="inlineStr">
        <is>
          <t>SEO Specialist</t>
        </is>
      </c>
      <c r="H1911" s="5" t="inlineStr">
        <is>
          <t>5</t>
        </is>
      </c>
      <c r="I1911" s="5" t="inlineStr">
        <is>
          <t>Delhi</t>
        </is>
      </c>
      <c r="J1911" s="5" t="inlineStr">
        <is>
          <t>Full-Time</t>
        </is>
      </c>
      <c r="K1911" s="7" t="n">
        <v>45336</v>
      </c>
      <c r="L1911" s="7" t="inlineStr"/>
      <c r="M1911" s="5" t="inlineStr">
        <is>
          <t>Yes</t>
        </is>
      </c>
      <c r="N1911" s="5" t="inlineStr"/>
      <c r="O1911" s="8" t="inlineStr">
        <is>
          <t>91500</t>
        </is>
      </c>
      <c r="P1911" s="5" t="inlineStr">
        <is>
          <t>15</t>
        </is>
      </c>
      <c r="Q1911" s="5" t="inlineStr">
        <is>
          <t>5</t>
        </is>
      </c>
      <c r="R1911" s="5" t="inlineStr">
        <is>
          <t>5</t>
        </is>
      </c>
      <c r="S1911" s="5" t="inlineStr">
        <is>
          <t>22</t>
        </is>
      </c>
      <c r="T1911" s="5" t="inlineStr">
        <is>
          <t>2</t>
        </is>
      </c>
      <c r="U1911" s="5">
        <f>IFS(C1911&lt;30,"Under 30",C1911&lt;40,"30-39",C1911&lt;50,"40-49",TRUE,"50+")</f>
        <v/>
      </c>
      <c r="V1911" s="5">
        <f>IFS(O1911&lt;60000,"Low (&lt;60k)",O1911&lt;100000,"Mid (60-100k)",TRUE,"High (100k+)")</f>
        <v/>
      </c>
      <c r="W1911" s="5">
        <f>IF(M1911="No","Attrited","Active")</f>
        <v/>
      </c>
    </row>
    <row r="1912">
      <c r="A1912" s="5" t="inlineStr">
        <is>
          <t>E01911</t>
        </is>
      </c>
      <c r="B1912" s="5" t="inlineStr">
        <is>
          <t>Male</t>
        </is>
      </c>
      <c r="C1912" s="6" t="inlineStr">
        <is>
          <t>40</t>
        </is>
      </c>
      <c r="D1912" s="5" t="inlineStr">
        <is>
          <t>Divorced</t>
        </is>
      </c>
      <c r="E1912" s="5" t="inlineStr">
        <is>
          <t>PhD</t>
        </is>
      </c>
      <c r="F1912" s="5" t="inlineStr">
        <is>
          <t>Customer Support</t>
        </is>
      </c>
      <c r="G1912" s="5" t="inlineStr">
        <is>
          <t>Escalation Specialist</t>
        </is>
      </c>
      <c r="H1912" s="5" t="inlineStr">
        <is>
          <t>5</t>
        </is>
      </c>
      <c r="I1912" s="5" t="inlineStr">
        <is>
          <t>Hyderabad</t>
        </is>
      </c>
      <c r="J1912" s="5" t="inlineStr">
        <is>
          <t>Full-Time</t>
        </is>
      </c>
      <c r="K1912" s="7" t="n">
        <v>45232</v>
      </c>
      <c r="L1912" s="7" t="n">
        <v>45353</v>
      </c>
      <c r="M1912" s="5" t="inlineStr">
        <is>
          <t>No</t>
        </is>
      </c>
      <c r="N1912" s="5" t="inlineStr">
        <is>
          <t>Retirement</t>
        </is>
      </c>
      <c r="O1912" s="8" t="inlineStr">
        <is>
          <t>93000</t>
        </is>
      </c>
      <c r="P1912" s="5" t="inlineStr">
        <is>
          <t>10</t>
        </is>
      </c>
      <c r="Q1912" s="5" t="inlineStr">
        <is>
          <t>3</t>
        </is>
      </c>
      <c r="R1912" s="5" t="inlineStr">
        <is>
          <t>4</t>
        </is>
      </c>
      <c r="S1912" s="5" t="inlineStr">
        <is>
          <t>4</t>
        </is>
      </c>
      <c r="T1912" s="5" t="inlineStr">
        <is>
          <t>1</t>
        </is>
      </c>
      <c r="U1912" s="5">
        <f>IFS(C1912&lt;30,"Under 30",C1912&lt;40,"30-39",C1912&lt;50,"40-49",TRUE,"50+")</f>
        <v/>
      </c>
      <c r="V1912" s="5">
        <f>IFS(O1912&lt;60000,"Low (&lt;60k)",O1912&lt;100000,"Mid (60-100k)",TRUE,"High (100k+)")</f>
        <v/>
      </c>
      <c r="W1912" s="5">
        <f>IF(M1912="No","Attrited","Active")</f>
        <v/>
      </c>
    </row>
    <row r="1913">
      <c r="A1913" s="5" t="inlineStr">
        <is>
          <t>E01912</t>
        </is>
      </c>
      <c r="B1913" s="5" t="inlineStr">
        <is>
          <t>Female</t>
        </is>
      </c>
      <c r="C1913" s="6" t="inlineStr">
        <is>
          <t>36</t>
        </is>
      </c>
      <c r="D1913" s="5" t="inlineStr">
        <is>
          <t>Single</t>
        </is>
      </c>
      <c r="E1913" s="5" t="inlineStr">
        <is>
          <t>High School</t>
        </is>
      </c>
      <c r="F1913" s="5" t="inlineStr">
        <is>
          <t>IT</t>
        </is>
      </c>
      <c r="G1913" s="5" t="inlineStr">
        <is>
          <t>DevOps Engineer</t>
        </is>
      </c>
      <c r="H1913" s="5" t="inlineStr">
        <is>
          <t>2</t>
        </is>
      </c>
      <c r="I1913" s="5" t="inlineStr">
        <is>
          <t>Hyderabad</t>
        </is>
      </c>
      <c r="J1913" s="5" t="inlineStr">
        <is>
          <t>Full-Time</t>
        </is>
      </c>
      <c r="K1913" s="7" t="n">
        <v>45599</v>
      </c>
      <c r="L1913" s="7" t="inlineStr"/>
      <c r="M1913" s="5" t="inlineStr">
        <is>
          <t>Yes</t>
        </is>
      </c>
      <c r="N1913" s="5" t="inlineStr"/>
      <c r="O1913" s="8" t="inlineStr">
        <is>
          <t>119000</t>
        </is>
      </c>
      <c r="P1913" s="5" t="inlineStr">
        <is>
          <t>5</t>
        </is>
      </c>
      <c r="Q1913" s="5" t="inlineStr">
        <is>
          <t>5</t>
        </is>
      </c>
      <c r="R1913" s="5" t="inlineStr">
        <is>
          <t>8</t>
        </is>
      </c>
      <c r="S1913" s="5" t="inlineStr">
        <is>
          <t>14</t>
        </is>
      </c>
      <c r="T1913" s="5" t="inlineStr">
        <is>
          <t>11</t>
        </is>
      </c>
      <c r="U1913" s="5">
        <f>IFS(C1913&lt;30,"Under 30",C1913&lt;40,"30-39",C1913&lt;50,"40-49",TRUE,"50+")</f>
        <v/>
      </c>
      <c r="V1913" s="5">
        <f>IFS(O1913&lt;60000,"Low (&lt;60k)",O1913&lt;100000,"Mid (60-100k)",TRUE,"High (100k+)")</f>
        <v/>
      </c>
      <c r="W1913" s="5">
        <f>IF(M1913="No","Attrited","Active")</f>
        <v/>
      </c>
    </row>
    <row r="1914">
      <c r="A1914" s="5" t="inlineStr">
        <is>
          <t>E01913</t>
        </is>
      </c>
      <c r="B1914" s="5" t="inlineStr">
        <is>
          <t>Male</t>
        </is>
      </c>
      <c r="C1914" s="6" t="inlineStr">
        <is>
          <t>31</t>
        </is>
      </c>
      <c r="D1914" s="5" t="inlineStr">
        <is>
          <t>Married</t>
        </is>
      </c>
      <c r="E1914" s="5" t="inlineStr">
        <is>
          <t>Bachelor</t>
        </is>
      </c>
      <c r="F1914" s="5" t="inlineStr">
        <is>
          <t>Sales</t>
        </is>
      </c>
      <c r="G1914" s="5" t="inlineStr">
        <is>
          <t>Business Development</t>
        </is>
      </c>
      <c r="H1914" s="5" t="inlineStr">
        <is>
          <t>3</t>
        </is>
      </c>
      <c r="I1914" s="5" t="inlineStr">
        <is>
          <t>Mumbai</t>
        </is>
      </c>
      <c r="J1914" s="5" t="inlineStr">
        <is>
          <t>Full-Time</t>
        </is>
      </c>
      <c r="K1914" s="7" t="n">
        <v>44995</v>
      </c>
      <c r="L1914" s="7" t="inlineStr"/>
      <c r="M1914" s="5" t="inlineStr">
        <is>
          <t>Yes</t>
        </is>
      </c>
      <c r="N1914" s="5" t="inlineStr"/>
      <c r="O1914" s="8" t="inlineStr">
        <is>
          <t>93500</t>
        </is>
      </c>
      <c r="P1914" s="5" t="inlineStr">
        <is>
          <t>0</t>
        </is>
      </c>
      <c r="Q1914" s="5" t="inlineStr">
        <is>
          <t>3</t>
        </is>
      </c>
      <c r="R1914" s="5" t="inlineStr">
        <is>
          <t>7</t>
        </is>
      </c>
      <c r="S1914" s="5" t="inlineStr">
        <is>
          <t>34</t>
        </is>
      </c>
      <c r="T1914" s="5" t="inlineStr">
        <is>
          <t>9</t>
        </is>
      </c>
      <c r="U1914" s="5">
        <f>IFS(C1914&lt;30,"Under 30",C1914&lt;40,"30-39",C1914&lt;50,"40-49",TRUE,"50+")</f>
        <v/>
      </c>
      <c r="V1914" s="5">
        <f>IFS(O1914&lt;60000,"Low (&lt;60k)",O1914&lt;100000,"Mid (60-100k)",TRUE,"High (100k+)")</f>
        <v/>
      </c>
      <c r="W1914" s="5">
        <f>IF(M1914="No","Attrited","Active")</f>
        <v/>
      </c>
    </row>
    <row r="1915">
      <c r="A1915" s="5" t="inlineStr">
        <is>
          <t>E01914</t>
        </is>
      </c>
      <c r="B1915" s="5" t="inlineStr">
        <is>
          <t>Female</t>
        </is>
      </c>
      <c r="C1915" s="6" t="inlineStr">
        <is>
          <t>34</t>
        </is>
      </c>
      <c r="D1915" s="5" t="inlineStr">
        <is>
          <t>Married</t>
        </is>
      </c>
      <c r="E1915" s="5" t="inlineStr">
        <is>
          <t>Master</t>
        </is>
      </c>
      <c r="F1915" s="5" t="inlineStr">
        <is>
          <t>Marketing</t>
        </is>
      </c>
      <c r="G1915" s="5" t="inlineStr">
        <is>
          <t>SEO Specialist</t>
        </is>
      </c>
      <c r="H1915" s="5" t="inlineStr">
        <is>
          <t>6</t>
        </is>
      </c>
      <c r="I1915" s="5" t="inlineStr">
        <is>
          <t>Remote</t>
        </is>
      </c>
      <c r="J1915" s="5" t="inlineStr">
        <is>
          <t>Full-Time</t>
        </is>
      </c>
      <c r="K1915" s="7" t="n">
        <v>45262</v>
      </c>
      <c r="L1915" s="7" t="inlineStr"/>
      <c r="M1915" s="5" t="inlineStr">
        <is>
          <t>Yes</t>
        </is>
      </c>
      <c r="N1915" s="5" t="inlineStr"/>
      <c r="O1915" s="8" t="inlineStr">
        <is>
          <t>153500</t>
        </is>
      </c>
      <c r="P1915" s="5" t="inlineStr">
        <is>
          <t>0</t>
        </is>
      </c>
      <c r="Q1915" s="5" t="inlineStr">
        <is>
          <t>3</t>
        </is>
      </c>
      <c r="R1915" s="5" t="inlineStr">
        <is>
          <t>3</t>
        </is>
      </c>
      <c r="S1915" s="5" t="inlineStr">
        <is>
          <t>25</t>
        </is>
      </c>
      <c r="T1915" s="5" t="inlineStr">
        <is>
          <t>12</t>
        </is>
      </c>
      <c r="U1915" s="5">
        <f>IFS(C1915&lt;30,"Under 30",C1915&lt;40,"30-39",C1915&lt;50,"40-49",TRUE,"50+")</f>
        <v/>
      </c>
      <c r="V1915" s="5">
        <f>IFS(O1915&lt;60000,"Low (&lt;60k)",O1915&lt;100000,"Mid (60-100k)",TRUE,"High (100k+)")</f>
        <v/>
      </c>
      <c r="W1915" s="5">
        <f>IF(M1915="No","Attrited","Active")</f>
        <v/>
      </c>
    </row>
    <row r="1916">
      <c r="A1916" s="5" t="inlineStr">
        <is>
          <t>E01915</t>
        </is>
      </c>
      <c r="B1916" s="5" t="inlineStr">
        <is>
          <t>Female</t>
        </is>
      </c>
      <c r="C1916" s="6" t="inlineStr">
        <is>
          <t>30</t>
        </is>
      </c>
      <c r="D1916" s="5" t="inlineStr">
        <is>
          <t>Single</t>
        </is>
      </c>
      <c r="E1916" s="5" t="inlineStr">
        <is>
          <t>Diploma</t>
        </is>
      </c>
      <c r="F1916" s="5" t="inlineStr">
        <is>
          <t>Sales</t>
        </is>
      </c>
      <c r="G1916" s="5" t="inlineStr">
        <is>
          <t>Account Executive</t>
        </is>
      </c>
      <c r="H1916" s="5" t="inlineStr">
        <is>
          <t>4</t>
        </is>
      </c>
      <c r="I1916" s="5" t="inlineStr">
        <is>
          <t>Remote</t>
        </is>
      </c>
      <c r="J1916" s="5" t="inlineStr">
        <is>
          <t>Full-Time</t>
        </is>
      </c>
      <c r="K1916" s="7" t="n">
        <v>45786</v>
      </c>
      <c r="L1916" s="7" t="inlineStr"/>
      <c r="M1916" s="5" t="inlineStr">
        <is>
          <t>Yes</t>
        </is>
      </c>
      <c r="N1916" s="5" t="inlineStr"/>
      <c r="O1916" s="8" t="inlineStr">
        <is>
          <t>144500</t>
        </is>
      </c>
      <c r="P1916" s="5" t="inlineStr">
        <is>
          <t>10</t>
        </is>
      </c>
      <c r="Q1916" s="5" t="inlineStr">
        <is>
          <t>3</t>
        </is>
      </c>
      <c r="R1916" s="5" t="inlineStr">
        <is>
          <t>4</t>
        </is>
      </c>
      <c r="S1916" s="5" t="inlineStr">
        <is>
          <t>7</t>
        </is>
      </c>
      <c r="T1916" s="5" t="inlineStr">
        <is>
          <t>0</t>
        </is>
      </c>
      <c r="U1916" s="5">
        <f>IFS(C1916&lt;30,"Under 30",C1916&lt;40,"30-39",C1916&lt;50,"40-49",TRUE,"50+")</f>
        <v/>
      </c>
      <c r="V1916" s="5">
        <f>IFS(O1916&lt;60000,"Low (&lt;60k)",O1916&lt;100000,"Mid (60-100k)",TRUE,"High (100k+)")</f>
        <v/>
      </c>
      <c r="W1916" s="5">
        <f>IF(M1916="No","Attrited","Active")</f>
        <v/>
      </c>
    </row>
    <row r="1917">
      <c r="A1917" s="5" t="inlineStr">
        <is>
          <t>E01916</t>
        </is>
      </c>
      <c r="B1917" s="5" t="inlineStr">
        <is>
          <t>Female</t>
        </is>
      </c>
      <c r="C1917" s="6" t="inlineStr">
        <is>
          <t>41</t>
        </is>
      </c>
      <c r="D1917" s="5" t="inlineStr">
        <is>
          <t>Married</t>
        </is>
      </c>
      <c r="E1917" s="5" t="inlineStr">
        <is>
          <t>PhD</t>
        </is>
      </c>
      <c r="F1917" s="5" t="inlineStr">
        <is>
          <t>Finance</t>
        </is>
      </c>
      <c r="G1917" s="5" t="inlineStr">
        <is>
          <t>Accountant</t>
        </is>
      </c>
      <c r="H1917" s="5" t="inlineStr">
        <is>
          <t>6</t>
        </is>
      </c>
      <c r="I1917" s="5" t="inlineStr">
        <is>
          <t>Delhi</t>
        </is>
      </c>
      <c r="J1917" s="5" t="inlineStr">
        <is>
          <t>Full-Time</t>
        </is>
      </c>
      <c r="K1917" s="7" t="n">
        <v>44739</v>
      </c>
      <c r="L1917" s="7" t="inlineStr"/>
      <c r="M1917" s="5" t="inlineStr">
        <is>
          <t>Yes</t>
        </is>
      </c>
      <c r="N1917" s="5" t="inlineStr"/>
      <c r="O1917" s="8" t="inlineStr">
        <is>
          <t>140500</t>
        </is>
      </c>
      <c r="P1917" s="5" t="inlineStr">
        <is>
          <t>20</t>
        </is>
      </c>
      <c r="Q1917" s="5" t="inlineStr">
        <is>
          <t>5</t>
        </is>
      </c>
      <c r="R1917" s="5" t="inlineStr">
        <is>
          <t>5</t>
        </is>
      </c>
      <c r="S1917" s="5" t="inlineStr">
        <is>
          <t>42</t>
        </is>
      </c>
      <c r="T1917" s="5" t="inlineStr">
        <is>
          <t>0</t>
        </is>
      </c>
      <c r="U1917" s="5">
        <f>IFS(C1917&lt;30,"Under 30",C1917&lt;40,"30-39",C1917&lt;50,"40-49",TRUE,"50+")</f>
        <v/>
      </c>
      <c r="V1917" s="5">
        <f>IFS(O1917&lt;60000,"Low (&lt;60k)",O1917&lt;100000,"Mid (60-100k)",TRUE,"High (100k+)")</f>
        <v/>
      </c>
      <c r="W1917" s="5">
        <f>IF(M1917="No","Attrited","Active")</f>
        <v/>
      </c>
    </row>
    <row r="1918">
      <c r="A1918" s="5" t="inlineStr">
        <is>
          <t>E01917</t>
        </is>
      </c>
      <c r="B1918" s="5" t="inlineStr">
        <is>
          <t>Male</t>
        </is>
      </c>
      <c r="C1918" s="6" t="inlineStr">
        <is>
          <t>27</t>
        </is>
      </c>
      <c r="D1918" s="5" t="inlineStr">
        <is>
          <t>Married</t>
        </is>
      </c>
      <c r="E1918" s="5" t="inlineStr">
        <is>
          <t>High School</t>
        </is>
      </c>
      <c r="F1918" s="5" t="inlineStr">
        <is>
          <t>Operations</t>
        </is>
      </c>
      <c r="G1918" s="5" t="inlineStr">
        <is>
          <t>Operations Analyst</t>
        </is>
      </c>
      <c r="H1918" s="5" t="inlineStr">
        <is>
          <t>2</t>
        </is>
      </c>
      <c r="I1918" s="5" t="inlineStr">
        <is>
          <t>Bengaluru</t>
        </is>
      </c>
      <c r="J1918" s="5" t="inlineStr">
        <is>
          <t>Full-Time</t>
        </is>
      </c>
      <c r="K1918" s="7" t="n">
        <v>44327</v>
      </c>
      <c r="L1918" s="7" t="inlineStr"/>
      <c r="M1918" s="5" t="inlineStr">
        <is>
          <t>Yes</t>
        </is>
      </c>
      <c r="N1918" s="5" t="inlineStr"/>
      <c r="O1918" s="8" t="inlineStr">
        <is>
          <t>80000</t>
        </is>
      </c>
      <c r="P1918" s="5" t="inlineStr">
        <is>
          <t>0</t>
        </is>
      </c>
      <c r="Q1918" s="5" t="inlineStr">
        <is>
          <t>5</t>
        </is>
      </c>
      <c r="R1918" s="5" t="inlineStr">
        <is>
          <t>6</t>
        </is>
      </c>
      <c r="S1918" s="5" t="inlineStr">
        <is>
          <t>56</t>
        </is>
      </c>
      <c r="T1918" s="5" t="inlineStr">
        <is>
          <t>2</t>
        </is>
      </c>
      <c r="U1918" s="5">
        <f>IFS(C1918&lt;30,"Under 30",C1918&lt;40,"30-39",C1918&lt;50,"40-49",TRUE,"50+")</f>
        <v/>
      </c>
      <c r="V1918" s="5">
        <f>IFS(O1918&lt;60000,"Low (&lt;60k)",O1918&lt;100000,"Mid (60-100k)",TRUE,"High (100k+)")</f>
        <v/>
      </c>
      <c r="W1918" s="5">
        <f>IF(M1918="No","Attrited","Active")</f>
        <v/>
      </c>
    </row>
    <row r="1919">
      <c r="A1919" s="5" t="inlineStr">
        <is>
          <t>E01918</t>
        </is>
      </c>
      <c r="B1919" s="5" t="inlineStr">
        <is>
          <t>Male</t>
        </is>
      </c>
      <c r="C1919" s="6" t="inlineStr">
        <is>
          <t>23</t>
        </is>
      </c>
      <c r="D1919" s="5" t="inlineStr">
        <is>
          <t>Divorced</t>
        </is>
      </c>
      <c r="E1919" s="5" t="inlineStr">
        <is>
          <t>PhD</t>
        </is>
      </c>
      <c r="F1919" s="5" t="inlineStr">
        <is>
          <t>Customer Support</t>
        </is>
      </c>
      <c r="G1919" s="5" t="inlineStr">
        <is>
          <t>Support Agent</t>
        </is>
      </c>
      <c r="H1919" s="5" t="inlineStr">
        <is>
          <t>1</t>
        </is>
      </c>
      <c r="I1919" s="5" t="inlineStr">
        <is>
          <t>Delhi</t>
        </is>
      </c>
      <c r="J1919" s="5" t="inlineStr">
        <is>
          <t>Full-Time</t>
        </is>
      </c>
      <c r="K1919" s="7" t="n">
        <v>45783</v>
      </c>
      <c r="L1919" s="7" t="n">
        <v>45921</v>
      </c>
      <c r="M1919" s="5" t="inlineStr">
        <is>
          <t>No</t>
        </is>
      </c>
      <c r="N1919" s="5" t="inlineStr">
        <is>
          <t>Retirement</t>
        </is>
      </c>
      <c r="O1919" s="8" t="inlineStr">
        <is>
          <t>43500</t>
        </is>
      </c>
      <c r="P1919" s="5" t="inlineStr">
        <is>
          <t>5</t>
        </is>
      </c>
      <c r="Q1919" s="5" t="inlineStr">
        <is>
          <t>4</t>
        </is>
      </c>
      <c r="R1919" s="5" t="inlineStr">
        <is>
          <t>8</t>
        </is>
      </c>
      <c r="S1919" s="5" t="inlineStr">
        <is>
          <t>4</t>
        </is>
      </c>
      <c r="T1919" s="5" t="inlineStr">
        <is>
          <t>4</t>
        </is>
      </c>
      <c r="U1919" s="5">
        <f>IFS(C1919&lt;30,"Under 30",C1919&lt;40,"30-39",C1919&lt;50,"40-49",TRUE,"50+")</f>
        <v/>
      </c>
      <c r="V1919" s="5">
        <f>IFS(O1919&lt;60000,"Low (&lt;60k)",O1919&lt;100000,"Mid (60-100k)",TRUE,"High (100k+)")</f>
        <v/>
      </c>
      <c r="W1919" s="5">
        <f>IF(M1919="No","Attrited","Active")</f>
        <v/>
      </c>
    </row>
    <row r="1920">
      <c r="A1920" s="5" t="inlineStr">
        <is>
          <t>E01919</t>
        </is>
      </c>
      <c r="B1920" s="5" t="inlineStr">
        <is>
          <t>Male</t>
        </is>
      </c>
      <c r="C1920" s="6" t="inlineStr">
        <is>
          <t>29</t>
        </is>
      </c>
      <c r="D1920" s="5" t="inlineStr">
        <is>
          <t>Married</t>
        </is>
      </c>
      <c r="E1920" s="5" t="inlineStr">
        <is>
          <t>Bachelor</t>
        </is>
      </c>
      <c r="F1920" s="5" t="inlineStr">
        <is>
          <t>Operations</t>
        </is>
      </c>
      <c r="G1920" s="5" t="inlineStr">
        <is>
          <t>Quality Analyst</t>
        </is>
      </c>
      <c r="H1920" s="5" t="inlineStr">
        <is>
          <t>2</t>
        </is>
      </c>
      <c r="I1920" s="5" t="inlineStr">
        <is>
          <t>Bengaluru</t>
        </is>
      </c>
      <c r="J1920" s="5" t="inlineStr">
        <is>
          <t>Part-Time</t>
        </is>
      </c>
      <c r="K1920" s="7" t="n">
        <v>45489</v>
      </c>
      <c r="L1920" s="7" t="n">
        <v>45630</v>
      </c>
      <c r="M1920" s="5" t="inlineStr">
        <is>
          <t>No</t>
        </is>
      </c>
      <c r="N1920" s="5" t="inlineStr">
        <is>
          <t>Performance / Termination</t>
        </is>
      </c>
      <c r="O1920" s="8" t="inlineStr">
        <is>
          <t>70000</t>
        </is>
      </c>
      <c r="P1920" s="5" t="inlineStr">
        <is>
          <t>0</t>
        </is>
      </c>
      <c r="Q1920" s="5" t="inlineStr">
        <is>
          <t>5</t>
        </is>
      </c>
      <c r="R1920" s="5" t="inlineStr">
        <is>
          <t>9</t>
        </is>
      </c>
      <c r="S1920" s="5" t="inlineStr">
        <is>
          <t>4</t>
        </is>
      </c>
      <c r="T1920" s="5" t="inlineStr">
        <is>
          <t>11</t>
        </is>
      </c>
      <c r="U1920" s="5">
        <f>IFS(C1920&lt;30,"Under 30",C1920&lt;40,"30-39",C1920&lt;50,"40-49",TRUE,"50+")</f>
        <v/>
      </c>
      <c r="V1920" s="5">
        <f>IFS(O1920&lt;60000,"Low (&lt;60k)",O1920&lt;100000,"Mid (60-100k)",TRUE,"High (100k+)")</f>
        <v/>
      </c>
      <c r="W1920" s="5">
        <f>IF(M1920="No","Attrited","Active")</f>
        <v/>
      </c>
    </row>
    <row r="1921">
      <c r="A1921" s="5" t="inlineStr">
        <is>
          <t>E01920</t>
        </is>
      </c>
      <c r="B1921" s="5" t="inlineStr">
        <is>
          <t>Male</t>
        </is>
      </c>
      <c r="C1921" s="6" t="inlineStr">
        <is>
          <t>38</t>
        </is>
      </c>
      <c r="D1921" s="5" t="inlineStr">
        <is>
          <t>Married</t>
        </is>
      </c>
      <c r="E1921" s="5" t="inlineStr">
        <is>
          <t>Master</t>
        </is>
      </c>
      <c r="F1921" s="5" t="inlineStr">
        <is>
          <t>Finance</t>
        </is>
      </c>
      <c r="G1921" s="5" t="inlineStr">
        <is>
          <t>Accountant</t>
        </is>
      </c>
      <c r="H1921" s="5" t="inlineStr">
        <is>
          <t>3</t>
        </is>
      </c>
      <c r="I1921" s="5" t="inlineStr">
        <is>
          <t>Delhi</t>
        </is>
      </c>
      <c r="J1921" s="5" t="inlineStr">
        <is>
          <t>Full-Time</t>
        </is>
      </c>
      <c r="K1921" s="7" t="n">
        <v>44632</v>
      </c>
      <c r="L1921" s="7" t="inlineStr"/>
      <c r="M1921" s="5" t="inlineStr">
        <is>
          <t>Yes</t>
        </is>
      </c>
      <c r="N1921" s="5" t="inlineStr"/>
      <c r="O1921" s="8" t="inlineStr">
        <is>
          <t>112000</t>
        </is>
      </c>
      <c r="P1921" s="5" t="inlineStr">
        <is>
          <t>15</t>
        </is>
      </c>
      <c r="Q1921" s="5" t="inlineStr">
        <is>
          <t>3</t>
        </is>
      </c>
      <c r="R1921" s="5" t="inlineStr">
        <is>
          <t>5</t>
        </is>
      </c>
      <c r="S1921" s="5" t="inlineStr">
        <is>
          <t>46</t>
        </is>
      </c>
      <c r="T1921" s="5" t="inlineStr">
        <is>
          <t>4</t>
        </is>
      </c>
      <c r="U1921" s="5">
        <f>IFS(C1921&lt;30,"Under 30",C1921&lt;40,"30-39",C1921&lt;50,"40-49",TRUE,"50+")</f>
        <v/>
      </c>
      <c r="V1921" s="5">
        <f>IFS(O1921&lt;60000,"Low (&lt;60k)",O1921&lt;100000,"Mid (60-100k)",TRUE,"High (100k+)")</f>
        <v/>
      </c>
      <c r="W1921" s="5">
        <f>IF(M1921="No","Attrited","Active")</f>
        <v/>
      </c>
    </row>
    <row r="1922">
      <c r="A1922" s="5" t="inlineStr">
        <is>
          <t>E01921</t>
        </is>
      </c>
      <c r="B1922" s="5" t="inlineStr">
        <is>
          <t>Female</t>
        </is>
      </c>
      <c r="C1922" s="6" t="inlineStr">
        <is>
          <t>40</t>
        </is>
      </c>
      <c r="D1922" s="5" t="inlineStr">
        <is>
          <t>Single</t>
        </is>
      </c>
      <c r="E1922" s="5" t="inlineStr">
        <is>
          <t>Master</t>
        </is>
      </c>
      <c r="F1922" s="5" t="inlineStr">
        <is>
          <t>Finance</t>
        </is>
      </c>
      <c r="G1922" s="5" t="inlineStr">
        <is>
          <t>Accountant</t>
        </is>
      </c>
      <c r="H1922" s="5" t="inlineStr">
        <is>
          <t>7</t>
        </is>
      </c>
      <c r="I1922" s="5" t="inlineStr">
        <is>
          <t>Bengaluru</t>
        </is>
      </c>
      <c r="J1922" s="5" t="inlineStr">
        <is>
          <t>Full-Time</t>
        </is>
      </c>
      <c r="K1922" s="7" t="n">
        <v>45832</v>
      </c>
      <c r="L1922" s="7" t="inlineStr"/>
      <c r="M1922" s="5" t="inlineStr">
        <is>
          <t>Yes</t>
        </is>
      </c>
      <c r="N1922" s="5" t="inlineStr"/>
      <c r="O1922" s="8" t="inlineStr">
        <is>
          <t>204500</t>
        </is>
      </c>
      <c r="P1922" s="5" t="inlineStr">
        <is>
          <t>15</t>
        </is>
      </c>
      <c r="Q1922" s="5" t="inlineStr">
        <is>
          <t>1</t>
        </is>
      </c>
      <c r="R1922" s="5" t="inlineStr">
        <is>
          <t>5</t>
        </is>
      </c>
      <c r="S1922" s="5" t="inlineStr">
        <is>
          <t>6</t>
        </is>
      </c>
      <c r="T1922" s="5" t="inlineStr">
        <is>
          <t>0</t>
        </is>
      </c>
      <c r="U1922" s="5">
        <f>IFS(C1922&lt;30,"Under 30",C1922&lt;40,"30-39",C1922&lt;50,"40-49",TRUE,"50+")</f>
        <v/>
      </c>
      <c r="V1922" s="5">
        <f>IFS(O1922&lt;60000,"Low (&lt;60k)",O1922&lt;100000,"Mid (60-100k)",TRUE,"High (100k+)")</f>
        <v/>
      </c>
      <c r="W1922" s="5">
        <f>IF(M1922="No","Attrited","Active")</f>
        <v/>
      </c>
    </row>
    <row r="1923">
      <c r="A1923" s="5" t="inlineStr">
        <is>
          <t>E01922</t>
        </is>
      </c>
      <c r="B1923" s="5" t="inlineStr">
        <is>
          <t>Female</t>
        </is>
      </c>
      <c r="C1923" s="6" t="inlineStr">
        <is>
          <t>31</t>
        </is>
      </c>
      <c r="D1923" s="5" t="inlineStr">
        <is>
          <t>Single</t>
        </is>
      </c>
      <c r="E1923" s="5" t="inlineStr">
        <is>
          <t>Bachelor</t>
        </is>
      </c>
      <c r="F1923" s="5" t="inlineStr">
        <is>
          <t>Marketing</t>
        </is>
      </c>
      <c r="G1923" s="5" t="inlineStr">
        <is>
          <t>SEO Specialist</t>
        </is>
      </c>
      <c r="H1923" s="5" t="inlineStr">
        <is>
          <t>4</t>
        </is>
      </c>
      <c r="I1923" s="5" t="inlineStr">
        <is>
          <t>Chennai</t>
        </is>
      </c>
      <c r="J1923" s="5" t="inlineStr">
        <is>
          <t>Full-Time</t>
        </is>
      </c>
      <c r="K1923" s="7" t="n">
        <v>44357</v>
      </c>
      <c r="L1923" s="7" t="inlineStr"/>
      <c r="M1923" s="5" t="inlineStr">
        <is>
          <t>Yes</t>
        </is>
      </c>
      <c r="N1923" s="5" t="inlineStr"/>
      <c r="O1923" s="8" t="inlineStr">
        <is>
          <t>98500</t>
        </is>
      </c>
      <c r="P1923" s="5" t="inlineStr">
        <is>
          <t>5</t>
        </is>
      </c>
      <c r="Q1923" s="5" t="inlineStr">
        <is>
          <t>3</t>
        </is>
      </c>
      <c r="R1923" s="5" t="inlineStr">
        <is>
          <t>8</t>
        </is>
      </c>
      <c r="S1923" s="5" t="inlineStr">
        <is>
          <t>55</t>
        </is>
      </c>
      <c r="T1923" s="5" t="inlineStr">
        <is>
          <t>9</t>
        </is>
      </c>
      <c r="U1923" s="5">
        <f>IFS(C1923&lt;30,"Under 30",C1923&lt;40,"30-39",C1923&lt;50,"40-49",TRUE,"50+")</f>
        <v/>
      </c>
      <c r="V1923" s="5">
        <f>IFS(O1923&lt;60000,"Low (&lt;60k)",O1923&lt;100000,"Mid (60-100k)",TRUE,"High (100k+)")</f>
        <v/>
      </c>
      <c r="W1923" s="5">
        <f>IF(M1923="No","Attrited","Active")</f>
        <v/>
      </c>
    </row>
    <row r="1924">
      <c r="A1924" s="5" t="inlineStr">
        <is>
          <t>E01923</t>
        </is>
      </c>
      <c r="B1924" s="5" t="inlineStr">
        <is>
          <t>Female</t>
        </is>
      </c>
      <c r="C1924" s="6" t="inlineStr">
        <is>
          <t>25</t>
        </is>
      </c>
      <c r="D1924" s="5" t="inlineStr">
        <is>
          <t>Single</t>
        </is>
      </c>
      <c r="E1924" s="5" t="inlineStr">
        <is>
          <t>Master</t>
        </is>
      </c>
      <c r="F1924" s="5" t="inlineStr">
        <is>
          <t>Operations</t>
        </is>
      </c>
      <c r="G1924" s="5" t="inlineStr">
        <is>
          <t>Operations Analyst</t>
        </is>
      </c>
      <c r="H1924" s="5" t="inlineStr">
        <is>
          <t>2</t>
        </is>
      </c>
      <c r="I1924" s="5" t="inlineStr">
        <is>
          <t>Bengaluru</t>
        </is>
      </c>
      <c r="J1924" s="5" t="inlineStr">
        <is>
          <t>Full-Time</t>
        </is>
      </c>
      <c r="K1924" s="7" t="n">
        <v>45762</v>
      </c>
      <c r="L1924" s="7" t="n">
        <v>45870</v>
      </c>
      <c r="M1924" s="5" t="inlineStr">
        <is>
          <t>No</t>
        </is>
      </c>
      <c r="N1924" s="5" t="inlineStr">
        <is>
          <t>Resigned</t>
        </is>
      </c>
      <c r="O1924" s="8" t="inlineStr">
        <is>
          <t>105500</t>
        </is>
      </c>
      <c r="P1924" s="5" t="inlineStr">
        <is>
          <t>0</t>
        </is>
      </c>
      <c r="Q1924" s="5" t="inlineStr">
        <is>
          <t>4</t>
        </is>
      </c>
      <c r="R1924" s="5" t="inlineStr">
        <is>
          <t>5</t>
        </is>
      </c>
      <c r="S1924" s="5" t="inlineStr">
        <is>
          <t>3</t>
        </is>
      </c>
      <c r="T1924" s="5" t="inlineStr">
        <is>
          <t>9</t>
        </is>
      </c>
      <c r="U1924" s="5">
        <f>IFS(C1924&lt;30,"Under 30",C1924&lt;40,"30-39",C1924&lt;50,"40-49",TRUE,"50+")</f>
        <v/>
      </c>
      <c r="V1924" s="5">
        <f>IFS(O1924&lt;60000,"Low (&lt;60k)",O1924&lt;100000,"Mid (60-100k)",TRUE,"High (100k+)")</f>
        <v/>
      </c>
      <c r="W1924" s="5">
        <f>IF(M1924="No","Attrited","Active")</f>
        <v/>
      </c>
    </row>
    <row r="1925">
      <c r="A1925" s="5" t="inlineStr">
        <is>
          <t>E01924</t>
        </is>
      </c>
      <c r="B1925" s="5" t="inlineStr">
        <is>
          <t>Male</t>
        </is>
      </c>
      <c r="C1925" s="6" t="inlineStr">
        <is>
          <t>32</t>
        </is>
      </c>
      <c r="D1925" s="5" t="inlineStr">
        <is>
          <t>Married</t>
        </is>
      </c>
      <c r="E1925" s="5" t="inlineStr">
        <is>
          <t>Bachelor</t>
        </is>
      </c>
      <c r="F1925" s="5" t="inlineStr">
        <is>
          <t>Finance</t>
        </is>
      </c>
      <c r="G1925" s="5" t="inlineStr">
        <is>
          <t>Accountant</t>
        </is>
      </c>
      <c r="H1925" s="5" t="inlineStr">
        <is>
          <t>3</t>
        </is>
      </c>
      <c r="I1925" s="5" t="inlineStr">
        <is>
          <t>Remote</t>
        </is>
      </c>
      <c r="J1925" s="5" t="inlineStr">
        <is>
          <t>Full-Time</t>
        </is>
      </c>
      <c r="K1925" s="7" t="n">
        <v>44649</v>
      </c>
      <c r="L1925" s="7" t="inlineStr"/>
      <c r="M1925" s="5" t="inlineStr">
        <is>
          <t>Yes</t>
        </is>
      </c>
      <c r="N1925" s="5" t="inlineStr"/>
      <c r="O1925" s="8" t="inlineStr">
        <is>
          <t>135500</t>
        </is>
      </c>
      <c r="P1925" s="5" t="inlineStr">
        <is>
          <t>10</t>
        </is>
      </c>
      <c r="Q1925" s="5" t="inlineStr">
        <is>
          <t>2</t>
        </is>
      </c>
      <c r="R1925" s="5" t="inlineStr">
        <is>
          <t>4</t>
        </is>
      </c>
      <c r="S1925" s="5" t="inlineStr">
        <is>
          <t>45</t>
        </is>
      </c>
      <c r="T1925" s="5" t="inlineStr">
        <is>
          <t>6</t>
        </is>
      </c>
      <c r="U1925" s="5">
        <f>IFS(C1925&lt;30,"Under 30",C1925&lt;40,"30-39",C1925&lt;50,"40-49",TRUE,"50+")</f>
        <v/>
      </c>
      <c r="V1925" s="5">
        <f>IFS(O1925&lt;60000,"Low (&lt;60k)",O1925&lt;100000,"Mid (60-100k)",TRUE,"High (100k+)")</f>
        <v/>
      </c>
      <c r="W1925" s="5">
        <f>IF(M1925="No","Attrited","Active")</f>
        <v/>
      </c>
    </row>
    <row r="1926">
      <c r="A1926" s="5" t="inlineStr">
        <is>
          <t>E01925</t>
        </is>
      </c>
      <c r="B1926" s="5" t="inlineStr">
        <is>
          <t>Male</t>
        </is>
      </c>
      <c r="C1926" s="6" t="inlineStr">
        <is>
          <t>31</t>
        </is>
      </c>
      <c r="D1926" s="5" t="inlineStr">
        <is>
          <t>Married</t>
        </is>
      </c>
      <c r="E1926" s="5" t="inlineStr">
        <is>
          <t>Master</t>
        </is>
      </c>
      <c r="F1926" s="5" t="inlineStr">
        <is>
          <t>Human Resources</t>
        </is>
      </c>
      <c r="G1926" s="5" t="inlineStr">
        <is>
          <t>HR Analyst</t>
        </is>
      </c>
      <c r="H1926" s="5" t="inlineStr">
        <is>
          <t>3</t>
        </is>
      </c>
      <c r="I1926" s="5" t="inlineStr">
        <is>
          <t>Mumbai</t>
        </is>
      </c>
      <c r="J1926" s="5" t="inlineStr">
        <is>
          <t>Full-Time</t>
        </is>
      </c>
      <c r="K1926" s="7" t="n">
        <v>45939</v>
      </c>
      <c r="L1926" s="7" t="inlineStr"/>
      <c r="M1926" s="5" t="inlineStr">
        <is>
          <t>Yes</t>
        </is>
      </c>
      <c r="N1926" s="5" t="inlineStr"/>
      <c r="O1926" s="8" t="inlineStr">
        <is>
          <t>83500</t>
        </is>
      </c>
      <c r="P1926" s="5" t="inlineStr">
        <is>
          <t>10</t>
        </is>
      </c>
      <c r="Q1926" s="5" t="inlineStr">
        <is>
          <t>3</t>
        </is>
      </c>
      <c r="R1926" s="5" t="inlineStr">
        <is>
          <t>7</t>
        </is>
      </c>
      <c r="S1926" s="5" t="inlineStr">
        <is>
          <t>2</t>
        </is>
      </c>
      <c r="T1926" s="5" t="inlineStr">
        <is>
          <t>5</t>
        </is>
      </c>
      <c r="U1926" s="5">
        <f>IFS(C1926&lt;30,"Under 30",C1926&lt;40,"30-39",C1926&lt;50,"40-49",TRUE,"50+")</f>
        <v/>
      </c>
      <c r="V1926" s="5">
        <f>IFS(O1926&lt;60000,"Low (&lt;60k)",O1926&lt;100000,"Mid (60-100k)",TRUE,"High (100k+)")</f>
        <v/>
      </c>
      <c r="W1926" s="5">
        <f>IF(M1926="No","Attrited","Active")</f>
        <v/>
      </c>
    </row>
    <row r="1927">
      <c r="A1927" s="5" t="inlineStr">
        <is>
          <t>E01926</t>
        </is>
      </c>
      <c r="B1927" s="5" t="inlineStr">
        <is>
          <t>Male</t>
        </is>
      </c>
      <c r="C1927" s="6" t="inlineStr">
        <is>
          <t>26</t>
        </is>
      </c>
      <c r="D1927" s="5" t="inlineStr">
        <is>
          <t>Married</t>
        </is>
      </c>
      <c r="E1927" s="5" t="inlineStr">
        <is>
          <t>Diploma</t>
        </is>
      </c>
      <c r="F1927" s="5" t="inlineStr">
        <is>
          <t>Finance</t>
        </is>
      </c>
      <c r="G1927" s="5" t="inlineStr">
        <is>
          <t>Credit Analyst</t>
        </is>
      </c>
      <c r="H1927" s="5" t="inlineStr">
        <is>
          <t>1</t>
        </is>
      </c>
      <c r="I1927" s="5" t="inlineStr">
        <is>
          <t>Delhi</t>
        </is>
      </c>
      <c r="J1927" s="5" t="inlineStr">
        <is>
          <t>Full-Time</t>
        </is>
      </c>
      <c r="K1927" s="7" t="n">
        <v>44699</v>
      </c>
      <c r="L1927" s="7" t="inlineStr"/>
      <c r="M1927" s="5" t="inlineStr">
        <is>
          <t>Yes</t>
        </is>
      </c>
      <c r="N1927" s="5" t="inlineStr"/>
      <c r="O1927" s="8" t="inlineStr">
        <is>
          <t>77000</t>
        </is>
      </c>
      <c r="P1927" s="5" t="inlineStr">
        <is>
          <t>0</t>
        </is>
      </c>
      <c r="Q1927" s="5" t="inlineStr">
        <is>
          <t>4</t>
        </is>
      </c>
      <c r="R1927" s="5" t="inlineStr">
        <is>
          <t>7</t>
        </is>
      </c>
      <c r="S1927" s="5" t="inlineStr">
        <is>
          <t>44</t>
        </is>
      </c>
      <c r="T1927" s="5" t="inlineStr">
        <is>
          <t>8</t>
        </is>
      </c>
      <c r="U1927" s="5">
        <f>IFS(C1927&lt;30,"Under 30",C1927&lt;40,"30-39",C1927&lt;50,"40-49",TRUE,"50+")</f>
        <v/>
      </c>
      <c r="V1927" s="5">
        <f>IFS(O1927&lt;60000,"Low (&lt;60k)",O1927&lt;100000,"Mid (60-100k)",TRUE,"High (100k+)")</f>
        <v/>
      </c>
      <c r="W1927" s="5">
        <f>IF(M1927="No","Attrited","Active")</f>
        <v/>
      </c>
    </row>
    <row r="1928">
      <c r="A1928" s="5" t="inlineStr">
        <is>
          <t>E01927</t>
        </is>
      </c>
      <c r="B1928" s="5" t="inlineStr">
        <is>
          <t>Female</t>
        </is>
      </c>
      <c r="C1928" s="6" t="inlineStr">
        <is>
          <t>31</t>
        </is>
      </c>
      <c r="D1928" s="5" t="inlineStr">
        <is>
          <t>Single</t>
        </is>
      </c>
      <c r="E1928" s="5" t="inlineStr">
        <is>
          <t>Diploma</t>
        </is>
      </c>
      <c r="F1928" s="5" t="inlineStr">
        <is>
          <t>Operations</t>
        </is>
      </c>
      <c r="G1928" s="5" t="inlineStr">
        <is>
          <t>Logistics Coordinator</t>
        </is>
      </c>
      <c r="H1928" s="5" t="inlineStr">
        <is>
          <t>2</t>
        </is>
      </c>
      <c r="I1928" s="5" t="inlineStr">
        <is>
          <t>Delhi</t>
        </is>
      </c>
      <c r="J1928" s="5" t="inlineStr">
        <is>
          <t>Part-Time</t>
        </is>
      </c>
      <c r="K1928" s="7" t="n">
        <v>44292</v>
      </c>
      <c r="L1928" s="7" t="n">
        <v>44370</v>
      </c>
      <c r="M1928" s="5" t="inlineStr">
        <is>
          <t>No</t>
        </is>
      </c>
      <c r="N1928" s="5" t="inlineStr">
        <is>
          <t>Retirement</t>
        </is>
      </c>
      <c r="O1928" s="8" t="inlineStr">
        <is>
          <t>91000</t>
        </is>
      </c>
      <c r="P1928" s="5" t="inlineStr">
        <is>
          <t>10</t>
        </is>
      </c>
      <c r="Q1928" s="5" t="inlineStr">
        <is>
          <t>3</t>
        </is>
      </c>
      <c r="R1928" s="5" t="inlineStr">
        <is>
          <t>3</t>
        </is>
      </c>
      <c r="S1928" s="5" t="inlineStr">
        <is>
          <t>2</t>
        </is>
      </c>
      <c r="T1928" s="5" t="inlineStr">
        <is>
          <t>11</t>
        </is>
      </c>
      <c r="U1928" s="5">
        <f>IFS(C1928&lt;30,"Under 30",C1928&lt;40,"30-39",C1928&lt;50,"40-49",TRUE,"50+")</f>
        <v/>
      </c>
      <c r="V1928" s="5">
        <f>IFS(O1928&lt;60000,"Low (&lt;60k)",O1928&lt;100000,"Mid (60-100k)",TRUE,"High (100k+)")</f>
        <v/>
      </c>
      <c r="W1928" s="5">
        <f>IF(M1928="No","Attrited","Active")</f>
        <v/>
      </c>
    </row>
    <row r="1929">
      <c r="A1929" s="5" t="inlineStr">
        <is>
          <t>E01928</t>
        </is>
      </c>
      <c r="B1929" s="5" t="inlineStr">
        <is>
          <t>Male</t>
        </is>
      </c>
      <c r="C1929" s="6" t="inlineStr">
        <is>
          <t>27</t>
        </is>
      </c>
      <c r="D1929" s="5" t="inlineStr">
        <is>
          <t>Divorced</t>
        </is>
      </c>
      <c r="E1929" s="5" t="inlineStr">
        <is>
          <t>Master</t>
        </is>
      </c>
      <c r="F1929" s="5" t="inlineStr">
        <is>
          <t>Marketing</t>
        </is>
      </c>
      <c r="G1929" s="5" t="inlineStr">
        <is>
          <t>SEO Specialist</t>
        </is>
      </c>
      <c r="H1929" s="5" t="inlineStr">
        <is>
          <t>1</t>
        </is>
      </c>
      <c r="I1929" s="5" t="inlineStr">
        <is>
          <t>Delhi</t>
        </is>
      </c>
      <c r="J1929" s="5" t="inlineStr">
        <is>
          <t>Full-Time</t>
        </is>
      </c>
      <c r="K1929" s="7" t="n">
        <v>44388</v>
      </c>
      <c r="L1929" s="7" t="inlineStr"/>
      <c r="M1929" s="5" t="inlineStr">
        <is>
          <t>Yes</t>
        </is>
      </c>
      <c r="N1929" s="5" t="inlineStr"/>
      <c r="O1929" s="8" t="inlineStr">
        <is>
          <t>81500</t>
        </is>
      </c>
      <c r="P1929" s="5" t="inlineStr">
        <is>
          <t>0</t>
        </is>
      </c>
      <c r="Q1929" s="5" t="inlineStr">
        <is>
          <t>4</t>
        </is>
      </c>
      <c r="R1929" s="5" t="inlineStr">
        <is>
          <t>8</t>
        </is>
      </c>
      <c r="S1929" s="5" t="inlineStr">
        <is>
          <t>54</t>
        </is>
      </c>
      <c r="T1929" s="5" t="inlineStr">
        <is>
          <t>2</t>
        </is>
      </c>
      <c r="U1929" s="5">
        <f>IFS(C1929&lt;30,"Under 30",C1929&lt;40,"30-39",C1929&lt;50,"40-49",TRUE,"50+")</f>
        <v/>
      </c>
      <c r="V1929" s="5">
        <f>IFS(O1929&lt;60000,"Low (&lt;60k)",O1929&lt;100000,"Mid (60-100k)",TRUE,"High (100k+)")</f>
        <v/>
      </c>
      <c r="W1929" s="5">
        <f>IF(M1929="No","Attrited","Active")</f>
        <v/>
      </c>
    </row>
    <row r="1930">
      <c r="A1930" s="5" t="inlineStr">
        <is>
          <t>E01929</t>
        </is>
      </c>
      <c r="B1930" s="5" t="inlineStr">
        <is>
          <t>Female</t>
        </is>
      </c>
      <c r="C1930" s="6" t="inlineStr">
        <is>
          <t>36</t>
        </is>
      </c>
      <c r="D1930" s="5" t="inlineStr">
        <is>
          <t>Married</t>
        </is>
      </c>
      <c r="E1930" s="5" t="inlineStr">
        <is>
          <t>Master</t>
        </is>
      </c>
      <c r="F1930" s="5" t="inlineStr">
        <is>
          <t>Research &amp; Development</t>
        </is>
      </c>
      <c r="G1930" s="5" t="inlineStr">
        <is>
          <t>Research Scientist</t>
        </is>
      </c>
      <c r="H1930" s="5" t="inlineStr">
        <is>
          <t>6</t>
        </is>
      </c>
      <c r="I1930" s="5" t="inlineStr">
        <is>
          <t>Chennai</t>
        </is>
      </c>
      <c r="J1930" s="5" t="inlineStr">
        <is>
          <t>Full-Time</t>
        </is>
      </c>
      <c r="K1930" s="7" t="n">
        <v>44118</v>
      </c>
      <c r="L1930" s="7" t="inlineStr"/>
      <c r="M1930" s="5" t="inlineStr">
        <is>
          <t>Yes</t>
        </is>
      </c>
      <c r="N1930" s="5" t="inlineStr"/>
      <c r="O1930" s="8" t="inlineStr">
        <is>
          <t>237000</t>
        </is>
      </c>
      <c r="P1930" s="5" t="inlineStr">
        <is>
          <t>20</t>
        </is>
      </c>
      <c r="Q1930" s="5" t="inlineStr">
        <is>
          <t>3</t>
        </is>
      </c>
      <c r="R1930" s="5" t="inlineStr">
        <is>
          <t>3</t>
        </is>
      </c>
      <c r="S1930" s="5" t="inlineStr">
        <is>
          <t>63</t>
        </is>
      </c>
      <c r="T1930" s="5" t="inlineStr">
        <is>
          <t>6</t>
        </is>
      </c>
      <c r="U1930" s="5">
        <f>IFS(C1930&lt;30,"Under 30",C1930&lt;40,"30-39",C1930&lt;50,"40-49",TRUE,"50+")</f>
        <v/>
      </c>
      <c r="V1930" s="5">
        <f>IFS(O1930&lt;60000,"Low (&lt;60k)",O1930&lt;100000,"Mid (60-100k)",TRUE,"High (100k+)")</f>
        <v/>
      </c>
      <c r="W1930" s="5">
        <f>IF(M1930="No","Attrited","Active")</f>
        <v/>
      </c>
    </row>
    <row r="1931">
      <c r="A1931" s="5" t="inlineStr">
        <is>
          <t>E01930</t>
        </is>
      </c>
      <c r="B1931" s="5" t="inlineStr">
        <is>
          <t>Male</t>
        </is>
      </c>
      <c r="C1931" s="6" t="inlineStr">
        <is>
          <t>32</t>
        </is>
      </c>
      <c r="D1931" s="5" t="inlineStr">
        <is>
          <t>Married</t>
        </is>
      </c>
      <c r="E1931" s="5" t="inlineStr">
        <is>
          <t>PhD</t>
        </is>
      </c>
      <c r="F1931" s="5" t="inlineStr">
        <is>
          <t>Customer Support</t>
        </is>
      </c>
      <c r="G1931" s="5" t="inlineStr">
        <is>
          <t>Support Agent</t>
        </is>
      </c>
      <c r="H1931" s="5" t="inlineStr">
        <is>
          <t>2</t>
        </is>
      </c>
      <c r="I1931" s="5" t="inlineStr">
        <is>
          <t>Chennai</t>
        </is>
      </c>
      <c r="J1931" s="5" t="inlineStr">
        <is>
          <t>Part-Time</t>
        </is>
      </c>
      <c r="K1931" s="7" t="n">
        <v>45237</v>
      </c>
      <c r="L1931" s="7" t="n">
        <v>45369</v>
      </c>
      <c r="M1931" s="5" t="inlineStr">
        <is>
          <t>No</t>
        </is>
      </c>
      <c r="N1931" s="5" t="inlineStr">
        <is>
          <t>Resigned</t>
        </is>
      </c>
      <c r="O1931" s="8" t="inlineStr">
        <is>
          <t>53500</t>
        </is>
      </c>
      <c r="P1931" s="5" t="inlineStr">
        <is>
          <t>10</t>
        </is>
      </c>
      <c r="Q1931" s="5" t="inlineStr">
        <is>
          <t>3</t>
        </is>
      </c>
      <c r="R1931" s="5" t="inlineStr">
        <is>
          <t>7</t>
        </is>
      </c>
      <c r="S1931" s="5" t="inlineStr">
        <is>
          <t>4</t>
        </is>
      </c>
      <c r="T1931" s="5" t="inlineStr">
        <is>
          <t>3</t>
        </is>
      </c>
      <c r="U1931" s="5">
        <f>IFS(C1931&lt;30,"Under 30",C1931&lt;40,"30-39",C1931&lt;50,"40-49",TRUE,"50+")</f>
        <v/>
      </c>
      <c r="V1931" s="5">
        <f>IFS(O1931&lt;60000,"Low (&lt;60k)",O1931&lt;100000,"Mid (60-100k)",TRUE,"High (100k+)")</f>
        <v/>
      </c>
      <c r="W1931" s="5">
        <f>IF(M1931="No","Attrited","Active")</f>
        <v/>
      </c>
    </row>
    <row r="1932">
      <c r="A1932" s="5" t="inlineStr">
        <is>
          <t>E01931</t>
        </is>
      </c>
      <c r="B1932" s="5" t="inlineStr">
        <is>
          <t>Male</t>
        </is>
      </c>
      <c r="C1932" s="6" t="inlineStr">
        <is>
          <t>30</t>
        </is>
      </c>
      <c r="D1932" s="5" t="inlineStr">
        <is>
          <t>Married</t>
        </is>
      </c>
      <c r="E1932" s="5" t="inlineStr">
        <is>
          <t>High School</t>
        </is>
      </c>
      <c r="F1932" s="5" t="inlineStr">
        <is>
          <t>Research &amp; Development</t>
        </is>
      </c>
      <c r="G1932" s="5" t="inlineStr">
        <is>
          <t>Data Scientist</t>
        </is>
      </c>
      <c r="H1932" s="5" t="inlineStr">
        <is>
          <t>2</t>
        </is>
      </c>
      <c r="I1932" s="5" t="inlineStr">
        <is>
          <t>Chennai</t>
        </is>
      </c>
      <c r="J1932" s="5" t="inlineStr">
        <is>
          <t>Full-Time</t>
        </is>
      </c>
      <c r="K1932" s="7" t="n">
        <v>45240</v>
      </c>
      <c r="L1932" s="7" t="n">
        <v>45373</v>
      </c>
      <c r="M1932" s="5" t="inlineStr">
        <is>
          <t>No</t>
        </is>
      </c>
      <c r="N1932" s="5" t="inlineStr">
        <is>
          <t>Resigned</t>
        </is>
      </c>
      <c r="O1932" s="8" t="inlineStr">
        <is>
          <t>144500</t>
        </is>
      </c>
      <c r="P1932" s="5" t="inlineStr">
        <is>
          <t>5</t>
        </is>
      </c>
      <c r="Q1932" s="5" t="inlineStr">
        <is>
          <t>4</t>
        </is>
      </c>
      <c r="R1932" s="5" t="inlineStr">
        <is>
          <t>10</t>
        </is>
      </c>
      <c r="S1932" s="5" t="inlineStr">
        <is>
          <t>4</t>
        </is>
      </c>
      <c r="T1932" s="5" t="inlineStr">
        <is>
          <t>11</t>
        </is>
      </c>
      <c r="U1932" s="5">
        <f>IFS(C1932&lt;30,"Under 30",C1932&lt;40,"30-39",C1932&lt;50,"40-49",TRUE,"50+")</f>
        <v/>
      </c>
      <c r="V1932" s="5">
        <f>IFS(O1932&lt;60000,"Low (&lt;60k)",O1932&lt;100000,"Mid (60-100k)",TRUE,"High (100k+)")</f>
        <v/>
      </c>
      <c r="W1932" s="5">
        <f>IF(M1932="No","Attrited","Active")</f>
        <v/>
      </c>
    </row>
    <row r="1933">
      <c r="A1933" s="5" t="inlineStr">
        <is>
          <t>E01932</t>
        </is>
      </c>
      <c r="B1933" s="5" t="inlineStr">
        <is>
          <t>Male</t>
        </is>
      </c>
      <c r="C1933" s="6" t="inlineStr">
        <is>
          <t>26</t>
        </is>
      </c>
      <c r="D1933" s="5" t="inlineStr">
        <is>
          <t>Married</t>
        </is>
      </c>
      <c r="E1933" s="5" t="inlineStr">
        <is>
          <t>High School</t>
        </is>
      </c>
      <c r="F1933" s="5" t="inlineStr">
        <is>
          <t>Operations</t>
        </is>
      </c>
      <c r="G1933" s="5" t="inlineStr">
        <is>
          <t>Quality Analyst</t>
        </is>
      </c>
      <c r="H1933" s="5" t="inlineStr">
        <is>
          <t>2</t>
        </is>
      </c>
      <c r="I1933" s="5" t="inlineStr">
        <is>
          <t>Bengaluru</t>
        </is>
      </c>
      <c r="J1933" s="5" t="inlineStr">
        <is>
          <t>Full-Time</t>
        </is>
      </c>
      <c r="K1933" s="7" t="n">
        <v>44375</v>
      </c>
      <c r="L1933" s="7" t="inlineStr"/>
      <c r="M1933" s="5" t="inlineStr">
        <is>
          <t>Yes</t>
        </is>
      </c>
      <c r="N1933" s="5" t="inlineStr"/>
      <c r="O1933" s="8" t="inlineStr">
        <is>
          <t>101000</t>
        </is>
      </c>
      <c r="P1933" s="5" t="inlineStr">
        <is>
          <t>5</t>
        </is>
      </c>
      <c r="Q1933" s="5" t="inlineStr">
        <is>
          <t>3</t>
        </is>
      </c>
      <c r="R1933" s="5" t="inlineStr">
        <is>
          <t>6</t>
        </is>
      </c>
      <c r="S1933" s="5" t="inlineStr">
        <is>
          <t>54</t>
        </is>
      </c>
      <c r="T1933" s="5" t="inlineStr">
        <is>
          <t>4</t>
        </is>
      </c>
      <c r="U1933" s="5">
        <f>IFS(C1933&lt;30,"Under 30",C1933&lt;40,"30-39",C1933&lt;50,"40-49",TRUE,"50+")</f>
        <v/>
      </c>
      <c r="V1933" s="5">
        <f>IFS(O1933&lt;60000,"Low (&lt;60k)",O1933&lt;100000,"Mid (60-100k)",TRUE,"High (100k+)")</f>
        <v/>
      </c>
      <c r="W1933" s="5">
        <f>IF(M1933="No","Attrited","Active")</f>
        <v/>
      </c>
    </row>
    <row r="1934">
      <c r="A1934" s="5" t="inlineStr">
        <is>
          <t>E01933</t>
        </is>
      </c>
      <c r="B1934" s="5" t="inlineStr">
        <is>
          <t>Male</t>
        </is>
      </c>
      <c r="C1934" s="6" t="inlineStr">
        <is>
          <t>40</t>
        </is>
      </c>
      <c r="D1934" s="5" t="inlineStr">
        <is>
          <t>Married</t>
        </is>
      </c>
      <c r="E1934" s="5" t="inlineStr">
        <is>
          <t>Master</t>
        </is>
      </c>
      <c r="F1934" s="5" t="inlineStr">
        <is>
          <t>Sales</t>
        </is>
      </c>
      <c r="G1934" s="5" t="inlineStr">
        <is>
          <t>Business Development</t>
        </is>
      </c>
      <c r="H1934" s="5" t="inlineStr">
        <is>
          <t>5</t>
        </is>
      </c>
      <c r="I1934" s="5" t="inlineStr">
        <is>
          <t>Mumbai</t>
        </is>
      </c>
      <c r="J1934" s="5" t="inlineStr">
        <is>
          <t>Full-Time</t>
        </is>
      </c>
      <c r="K1934" s="7" t="n">
        <v>44351</v>
      </c>
      <c r="L1934" s="7" t="inlineStr"/>
      <c r="M1934" s="5" t="inlineStr">
        <is>
          <t>Yes</t>
        </is>
      </c>
      <c r="N1934" s="5" t="inlineStr"/>
      <c r="O1934" s="8" t="inlineStr">
        <is>
          <t>167500</t>
        </is>
      </c>
      <c r="P1934" s="5" t="inlineStr">
        <is>
          <t>20</t>
        </is>
      </c>
      <c r="Q1934" s="5" t="inlineStr">
        <is>
          <t>4</t>
        </is>
      </c>
      <c r="R1934" s="5" t="inlineStr">
        <is>
          <t>5</t>
        </is>
      </c>
      <c r="S1934" s="5" t="inlineStr">
        <is>
          <t>55</t>
        </is>
      </c>
      <c r="T1934" s="5" t="inlineStr">
        <is>
          <t>5</t>
        </is>
      </c>
      <c r="U1934" s="5">
        <f>IFS(C1934&lt;30,"Under 30",C1934&lt;40,"30-39",C1934&lt;50,"40-49",TRUE,"50+")</f>
        <v/>
      </c>
      <c r="V1934" s="5">
        <f>IFS(O1934&lt;60000,"Low (&lt;60k)",O1934&lt;100000,"Mid (60-100k)",TRUE,"High (100k+)")</f>
        <v/>
      </c>
      <c r="W1934" s="5">
        <f>IF(M1934="No","Attrited","Active")</f>
        <v/>
      </c>
    </row>
    <row r="1935">
      <c r="A1935" s="5" t="inlineStr">
        <is>
          <t>E01934</t>
        </is>
      </c>
      <c r="B1935" s="5" t="inlineStr">
        <is>
          <t>Male</t>
        </is>
      </c>
      <c r="C1935" s="6" t="inlineStr">
        <is>
          <t>35</t>
        </is>
      </c>
      <c r="D1935" s="5" t="inlineStr">
        <is>
          <t>Married</t>
        </is>
      </c>
      <c r="E1935" s="5" t="inlineStr">
        <is>
          <t>Diploma</t>
        </is>
      </c>
      <c r="F1935" s="5" t="inlineStr">
        <is>
          <t>Sales</t>
        </is>
      </c>
      <c r="G1935" s="5" t="inlineStr">
        <is>
          <t>Sales Executive</t>
        </is>
      </c>
      <c r="H1935" s="5" t="inlineStr">
        <is>
          <t>6</t>
        </is>
      </c>
      <c r="I1935" s="5" t="inlineStr">
        <is>
          <t>Remote</t>
        </is>
      </c>
      <c r="J1935" s="5" t="inlineStr">
        <is>
          <t>Full-Time</t>
        </is>
      </c>
      <c r="K1935" s="7" t="n">
        <v>44314</v>
      </c>
      <c r="L1935" s="7" t="inlineStr"/>
      <c r="M1935" s="5" t="inlineStr">
        <is>
          <t>Yes</t>
        </is>
      </c>
      <c r="N1935" s="5" t="inlineStr"/>
      <c r="O1935" s="8" t="inlineStr">
        <is>
          <t>148500</t>
        </is>
      </c>
      <c r="P1935" s="5" t="inlineStr">
        <is>
          <t>0</t>
        </is>
      </c>
      <c r="Q1935" s="5" t="inlineStr">
        <is>
          <t>2</t>
        </is>
      </c>
      <c r="R1935" s="5" t="inlineStr">
        <is>
          <t>6</t>
        </is>
      </c>
      <c r="S1935" s="5" t="inlineStr">
        <is>
          <t>56</t>
        </is>
      </c>
      <c r="T1935" s="5" t="inlineStr">
        <is>
          <t>1</t>
        </is>
      </c>
      <c r="U1935" s="5">
        <f>IFS(C1935&lt;30,"Under 30",C1935&lt;40,"30-39",C1935&lt;50,"40-49",TRUE,"50+")</f>
        <v/>
      </c>
      <c r="V1935" s="5">
        <f>IFS(O1935&lt;60000,"Low (&lt;60k)",O1935&lt;100000,"Mid (60-100k)",TRUE,"High (100k+)")</f>
        <v/>
      </c>
      <c r="W1935" s="5">
        <f>IF(M1935="No","Attrited","Active")</f>
        <v/>
      </c>
    </row>
    <row r="1936">
      <c r="A1936" s="5" t="inlineStr">
        <is>
          <t>E01935</t>
        </is>
      </c>
      <c r="B1936" s="5" t="inlineStr">
        <is>
          <t>Female</t>
        </is>
      </c>
      <c r="C1936" s="6" t="inlineStr">
        <is>
          <t>33</t>
        </is>
      </c>
      <c r="D1936" s="5" t="inlineStr">
        <is>
          <t>Single</t>
        </is>
      </c>
      <c r="E1936" s="5" t="inlineStr">
        <is>
          <t>PhD</t>
        </is>
      </c>
      <c r="F1936" s="5" t="inlineStr">
        <is>
          <t>Finance</t>
        </is>
      </c>
      <c r="G1936" s="5" t="inlineStr">
        <is>
          <t>Accountant</t>
        </is>
      </c>
      <c r="H1936" s="5" t="inlineStr">
        <is>
          <t>5</t>
        </is>
      </c>
      <c r="I1936" s="5" t="inlineStr">
        <is>
          <t>Delhi</t>
        </is>
      </c>
      <c r="J1936" s="5" t="inlineStr">
        <is>
          <t>Full-Time</t>
        </is>
      </c>
      <c r="K1936" s="7" t="n">
        <v>45024</v>
      </c>
      <c r="L1936" s="7" t="inlineStr"/>
      <c r="M1936" s="5" t="inlineStr">
        <is>
          <t>Yes</t>
        </is>
      </c>
      <c r="N1936" s="5" t="inlineStr"/>
      <c r="O1936" s="8" t="inlineStr">
        <is>
          <t>127500</t>
        </is>
      </c>
      <c r="P1936" s="5" t="inlineStr">
        <is>
          <t>5</t>
        </is>
      </c>
      <c r="Q1936" s="5" t="inlineStr">
        <is>
          <t>3</t>
        </is>
      </c>
      <c r="R1936" s="5" t="inlineStr">
        <is>
          <t>6</t>
        </is>
      </c>
      <c r="S1936" s="5" t="inlineStr">
        <is>
          <t>33</t>
        </is>
      </c>
      <c r="T1936" s="5" t="inlineStr">
        <is>
          <t>10</t>
        </is>
      </c>
      <c r="U1936" s="5">
        <f>IFS(C1936&lt;30,"Under 30",C1936&lt;40,"30-39",C1936&lt;50,"40-49",TRUE,"50+")</f>
        <v/>
      </c>
      <c r="V1936" s="5">
        <f>IFS(O1936&lt;60000,"Low (&lt;60k)",O1936&lt;100000,"Mid (60-100k)",TRUE,"High (100k+)")</f>
        <v/>
      </c>
      <c r="W1936" s="5">
        <f>IF(M1936="No","Attrited","Active")</f>
        <v/>
      </c>
    </row>
    <row r="1937">
      <c r="A1937" s="5" t="inlineStr">
        <is>
          <t>E01936</t>
        </is>
      </c>
      <c r="B1937" s="5" t="inlineStr">
        <is>
          <t>Male</t>
        </is>
      </c>
      <c r="C1937" s="6" t="inlineStr">
        <is>
          <t>30</t>
        </is>
      </c>
      <c r="D1937" s="5" t="inlineStr">
        <is>
          <t>Single</t>
        </is>
      </c>
      <c r="E1937" s="5" t="inlineStr">
        <is>
          <t>Master</t>
        </is>
      </c>
      <c r="F1937" s="5" t="inlineStr">
        <is>
          <t>IT</t>
        </is>
      </c>
      <c r="G1937" s="5" t="inlineStr">
        <is>
          <t>DevOps Engineer</t>
        </is>
      </c>
      <c r="H1937" s="5" t="inlineStr">
        <is>
          <t>2</t>
        </is>
      </c>
      <c r="I1937" s="5" t="inlineStr">
        <is>
          <t>Remote</t>
        </is>
      </c>
      <c r="J1937" s="5" t="inlineStr">
        <is>
          <t>Full-Time</t>
        </is>
      </c>
      <c r="K1937" s="7" t="n">
        <v>43884</v>
      </c>
      <c r="L1937" s="7" t="inlineStr"/>
      <c r="M1937" s="5" t="inlineStr">
        <is>
          <t>Yes</t>
        </is>
      </c>
      <c r="N1937" s="5" t="inlineStr"/>
      <c r="O1937" s="8" t="inlineStr">
        <is>
          <t>136000</t>
        </is>
      </c>
      <c r="P1937" s="5" t="inlineStr">
        <is>
          <t>10</t>
        </is>
      </c>
      <c r="Q1937" s="5" t="inlineStr">
        <is>
          <t>4</t>
        </is>
      </c>
      <c r="R1937" s="5" t="inlineStr">
        <is>
          <t>5</t>
        </is>
      </c>
      <c r="S1937" s="5" t="inlineStr">
        <is>
          <t>71</t>
        </is>
      </c>
      <c r="T1937" s="5" t="inlineStr">
        <is>
          <t>18</t>
        </is>
      </c>
      <c r="U1937" s="5">
        <f>IFS(C1937&lt;30,"Under 30",C1937&lt;40,"30-39",C1937&lt;50,"40-49",TRUE,"50+")</f>
        <v/>
      </c>
      <c r="V1937" s="5">
        <f>IFS(O1937&lt;60000,"Low (&lt;60k)",O1937&lt;100000,"Mid (60-100k)",TRUE,"High (100k+)")</f>
        <v/>
      </c>
      <c r="W1937" s="5">
        <f>IF(M1937="No","Attrited","Active")</f>
        <v/>
      </c>
    </row>
    <row r="1938">
      <c r="A1938" s="5" t="inlineStr">
        <is>
          <t>E01937</t>
        </is>
      </c>
      <c r="B1938" s="5" t="inlineStr">
        <is>
          <t>Male</t>
        </is>
      </c>
      <c r="C1938" s="6" t="inlineStr">
        <is>
          <t>42</t>
        </is>
      </c>
      <c r="D1938" s="5" t="inlineStr">
        <is>
          <t>Divorced</t>
        </is>
      </c>
      <c r="E1938" s="5" t="inlineStr">
        <is>
          <t>Master</t>
        </is>
      </c>
      <c r="F1938" s="5" t="inlineStr">
        <is>
          <t>Research &amp; Development</t>
        </is>
      </c>
      <c r="G1938" s="5" t="inlineStr">
        <is>
          <t>Data Scientist</t>
        </is>
      </c>
      <c r="H1938" s="5" t="inlineStr">
        <is>
          <t>6</t>
        </is>
      </c>
      <c r="I1938" s="5" t="inlineStr">
        <is>
          <t>Mumbai</t>
        </is>
      </c>
      <c r="J1938" s="5" t="inlineStr">
        <is>
          <t>Full-Time</t>
        </is>
      </c>
      <c r="K1938" s="7" t="n">
        <v>45681</v>
      </c>
      <c r="L1938" s="7" t="inlineStr"/>
      <c r="M1938" s="5" t="inlineStr">
        <is>
          <t>Yes</t>
        </is>
      </c>
      <c r="N1938" s="5" t="inlineStr"/>
      <c r="O1938" s="8" t="inlineStr">
        <is>
          <t>184000</t>
        </is>
      </c>
      <c r="P1938" s="5" t="inlineStr">
        <is>
          <t>0</t>
        </is>
      </c>
      <c r="Q1938" s="5" t="inlineStr">
        <is>
          <t>5</t>
        </is>
      </c>
      <c r="R1938" s="5" t="inlineStr">
        <is>
          <t>6</t>
        </is>
      </c>
      <c r="S1938" s="5" t="inlineStr">
        <is>
          <t>11</t>
        </is>
      </c>
      <c r="T1938" s="5" t="inlineStr">
        <is>
          <t>3</t>
        </is>
      </c>
      <c r="U1938" s="5">
        <f>IFS(C1938&lt;30,"Under 30",C1938&lt;40,"30-39",C1938&lt;50,"40-49",TRUE,"50+")</f>
        <v/>
      </c>
      <c r="V1938" s="5">
        <f>IFS(O1938&lt;60000,"Low (&lt;60k)",O1938&lt;100000,"Mid (60-100k)",TRUE,"High (100k+)")</f>
        <v/>
      </c>
      <c r="W1938" s="5">
        <f>IF(M1938="No","Attrited","Active")</f>
        <v/>
      </c>
    </row>
    <row r="1939">
      <c r="A1939" s="5" t="inlineStr">
        <is>
          <t>E01938</t>
        </is>
      </c>
      <c r="B1939" s="5" t="inlineStr">
        <is>
          <t>Male</t>
        </is>
      </c>
      <c r="C1939" s="6" t="inlineStr">
        <is>
          <t>37</t>
        </is>
      </c>
      <c r="D1939" s="5" t="inlineStr">
        <is>
          <t>Married</t>
        </is>
      </c>
      <c r="E1939" s="5" t="inlineStr">
        <is>
          <t>High School</t>
        </is>
      </c>
      <c r="F1939" s="5" t="inlineStr">
        <is>
          <t>Operations</t>
        </is>
      </c>
      <c r="G1939" s="5" t="inlineStr">
        <is>
          <t>Logistics Coordinator</t>
        </is>
      </c>
      <c r="H1939" s="5" t="inlineStr">
        <is>
          <t>4</t>
        </is>
      </c>
      <c r="I1939" s="5" t="inlineStr">
        <is>
          <t>Bengaluru</t>
        </is>
      </c>
      <c r="J1939" s="5" t="inlineStr">
        <is>
          <t>Full-Time</t>
        </is>
      </c>
      <c r="K1939" s="7" t="n">
        <v>45616</v>
      </c>
      <c r="L1939" s="7" t="inlineStr"/>
      <c r="M1939" s="5" t="inlineStr">
        <is>
          <t>Yes</t>
        </is>
      </c>
      <c r="N1939" s="5" t="inlineStr"/>
      <c r="O1939" s="8" t="inlineStr">
        <is>
          <t>127000</t>
        </is>
      </c>
      <c r="P1939" s="5" t="inlineStr">
        <is>
          <t>5</t>
        </is>
      </c>
      <c r="Q1939" s="5" t="inlineStr">
        <is>
          <t>5</t>
        </is>
      </c>
      <c r="R1939" s="5" t="inlineStr">
        <is>
          <t>6</t>
        </is>
      </c>
      <c r="S1939" s="5" t="inlineStr">
        <is>
          <t>13</t>
        </is>
      </c>
      <c r="T1939" s="5" t="inlineStr">
        <is>
          <t>0</t>
        </is>
      </c>
      <c r="U1939" s="5">
        <f>IFS(C1939&lt;30,"Under 30",C1939&lt;40,"30-39",C1939&lt;50,"40-49",TRUE,"50+")</f>
        <v/>
      </c>
      <c r="V1939" s="5">
        <f>IFS(O1939&lt;60000,"Low (&lt;60k)",O1939&lt;100000,"Mid (60-100k)",TRUE,"High (100k+)")</f>
        <v/>
      </c>
      <c r="W1939" s="5">
        <f>IF(M1939="No","Attrited","Active")</f>
        <v/>
      </c>
    </row>
    <row r="1940">
      <c r="A1940" s="5" t="inlineStr">
        <is>
          <t>E01939</t>
        </is>
      </c>
      <c r="B1940" s="5" t="inlineStr">
        <is>
          <t>Female</t>
        </is>
      </c>
      <c r="C1940" s="6" t="inlineStr">
        <is>
          <t>25</t>
        </is>
      </c>
      <c r="D1940" s="5" t="inlineStr">
        <is>
          <t>Married</t>
        </is>
      </c>
      <c r="E1940" s="5" t="inlineStr">
        <is>
          <t>Master</t>
        </is>
      </c>
      <c r="F1940" s="5" t="inlineStr">
        <is>
          <t>Customer Support</t>
        </is>
      </c>
      <c r="G1940" s="5" t="inlineStr">
        <is>
          <t>Support Lead</t>
        </is>
      </c>
      <c r="H1940" s="5" t="inlineStr">
        <is>
          <t>2</t>
        </is>
      </c>
      <c r="I1940" s="5" t="inlineStr">
        <is>
          <t>Remote</t>
        </is>
      </c>
      <c r="J1940" s="5" t="inlineStr">
        <is>
          <t>Full-Time</t>
        </is>
      </c>
      <c r="K1940" s="7" t="n">
        <v>44421</v>
      </c>
      <c r="L1940" s="7" t="n">
        <v>44470</v>
      </c>
      <c r="M1940" s="5" t="inlineStr">
        <is>
          <t>No</t>
        </is>
      </c>
      <c r="N1940" s="5" t="inlineStr">
        <is>
          <t>Retirement</t>
        </is>
      </c>
      <c r="O1940" s="8" t="inlineStr">
        <is>
          <t>78500</t>
        </is>
      </c>
      <c r="P1940" s="5" t="inlineStr">
        <is>
          <t>5</t>
        </is>
      </c>
      <c r="Q1940" s="5" t="inlineStr">
        <is>
          <t>3</t>
        </is>
      </c>
      <c r="R1940" s="5" t="inlineStr">
        <is>
          <t>2</t>
        </is>
      </c>
      <c r="S1940" s="5" t="inlineStr">
        <is>
          <t>1</t>
        </is>
      </c>
      <c r="T1940" s="5" t="inlineStr">
        <is>
          <t>6</t>
        </is>
      </c>
      <c r="U1940" s="5">
        <f>IFS(C1940&lt;30,"Under 30",C1940&lt;40,"30-39",C1940&lt;50,"40-49",TRUE,"50+")</f>
        <v/>
      </c>
      <c r="V1940" s="5">
        <f>IFS(O1940&lt;60000,"Low (&lt;60k)",O1940&lt;100000,"Mid (60-100k)",TRUE,"High (100k+)")</f>
        <v/>
      </c>
      <c r="W1940" s="5">
        <f>IF(M1940="No","Attrited","Active")</f>
        <v/>
      </c>
    </row>
    <row r="1941">
      <c r="A1941" s="5" t="inlineStr">
        <is>
          <t>E01940</t>
        </is>
      </c>
      <c r="B1941" s="5" t="inlineStr">
        <is>
          <t>Female</t>
        </is>
      </c>
      <c r="C1941" s="6" t="inlineStr">
        <is>
          <t>42</t>
        </is>
      </c>
      <c r="D1941" s="5" t="inlineStr">
        <is>
          <t>Married</t>
        </is>
      </c>
      <c r="E1941" s="5" t="inlineStr">
        <is>
          <t>Master</t>
        </is>
      </c>
      <c r="F1941" s="5" t="inlineStr">
        <is>
          <t>Customer Support</t>
        </is>
      </c>
      <c r="G1941" s="5" t="inlineStr">
        <is>
          <t>Support Lead</t>
        </is>
      </c>
      <c r="H1941" s="5" t="inlineStr">
        <is>
          <t>7</t>
        </is>
      </c>
      <c r="I1941" s="5" t="inlineStr">
        <is>
          <t>Bengaluru</t>
        </is>
      </c>
      <c r="J1941" s="5" t="inlineStr">
        <is>
          <t>Full-Time</t>
        </is>
      </c>
      <c r="K1941" s="7" t="n">
        <v>45412</v>
      </c>
      <c r="L1941" s="7" t="inlineStr"/>
      <c r="M1941" s="5" t="inlineStr">
        <is>
          <t>Yes</t>
        </is>
      </c>
      <c r="N1941" s="5" t="inlineStr"/>
      <c r="O1941" s="8" t="inlineStr">
        <is>
          <t>130500</t>
        </is>
      </c>
      <c r="P1941" s="5" t="inlineStr">
        <is>
          <t>0</t>
        </is>
      </c>
      <c r="Q1941" s="5" t="inlineStr">
        <is>
          <t>2</t>
        </is>
      </c>
      <c r="R1941" s="5" t="inlineStr">
        <is>
          <t>7</t>
        </is>
      </c>
      <c r="S1941" s="5" t="inlineStr">
        <is>
          <t>20</t>
        </is>
      </c>
      <c r="T1941" s="5" t="inlineStr">
        <is>
          <t>2</t>
        </is>
      </c>
      <c r="U1941" s="5">
        <f>IFS(C1941&lt;30,"Under 30",C1941&lt;40,"30-39",C1941&lt;50,"40-49",TRUE,"50+")</f>
        <v/>
      </c>
      <c r="V1941" s="5">
        <f>IFS(O1941&lt;60000,"Low (&lt;60k)",O1941&lt;100000,"Mid (60-100k)",TRUE,"High (100k+)")</f>
        <v/>
      </c>
      <c r="W1941" s="5">
        <f>IF(M1941="No","Attrited","Active")</f>
        <v/>
      </c>
    </row>
    <row r="1942">
      <c r="A1942" s="5" t="inlineStr">
        <is>
          <t>E01941</t>
        </is>
      </c>
      <c r="B1942" s="5" t="inlineStr">
        <is>
          <t>Male</t>
        </is>
      </c>
      <c r="C1942" s="6" t="inlineStr">
        <is>
          <t>33</t>
        </is>
      </c>
      <c r="D1942" s="5" t="inlineStr">
        <is>
          <t>Married</t>
        </is>
      </c>
      <c r="E1942" s="5" t="inlineStr">
        <is>
          <t>PhD</t>
        </is>
      </c>
      <c r="F1942" s="5" t="inlineStr">
        <is>
          <t>Sales</t>
        </is>
      </c>
      <c r="G1942" s="5" t="inlineStr">
        <is>
          <t>Sales Executive</t>
        </is>
      </c>
      <c r="H1942" s="5" t="inlineStr">
        <is>
          <t>2</t>
        </is>
      </c>
      <c r="I1942" s="5" t="inlineStr">
        <is>
          <t>Remote</t>
        </is>
      </c>
      <c r="J1942" s="5" t="inlineStr">
        <is>
          <t>Full-Time</t>
        </is>
      </c>
      <c r="K1942" s="7" t="n">
        <v>45808</v>
      </c>
      <c r="L1942" s="7" t="inlineStr"/>
      <c r="M1942" s="5" t="inlineStr">
        <is>
          <t>Yes</t>
        </is>
      </c>
      <c r="N1942" s="5" t="inlineStr"/>
      <c r="O1942" s="8" t="inlineStr">
        <is>
          <t>99000</t>
        </is>
      </c>
      <c r="P1942" s="5" t="inlineStr">
        <is>
          <t>0</t>
        </is>
      </c>
      <c r="Q1942" s="5" t="inlineStr">
        <is>
          <t>3</t>
        </is>
      </c>
      <c r="R1942" s="5" t="inlineStr">
        <is>
          <t>6</t>
        </is>
      </c>
      <c r="S1942" s="5" t="inlineStr">
        <is>
          <t>7</t>
        </is>
      </c>
      <c r="T1942" s="5" t="inlineStr">
        <is>
          <t>2</t>
        </is>
      </c>
      <c r="U1942" s="5">
        <f>IFS(C1942&lt;30,"Under 30",C1942&lt;40,"30-39",C1942&lt;50,"40-49",TRUE,"50+")</f>
        <v/>
      </c>
      <c r="V1942" s="5">
        <f>IFS(O1942&lt;60000,"Low (&lt;60k)",O1942&lt;100000,"Mid (60-100k)",TRUE,"High (100k+)")</f>
        <v/>
      </c>
      <c r="W1942" s="5">
        <f>IF(M1942="No","Attrited","Active")</f>
        <v/>
      </c>
    </row>
    <row r="1943">
      <c r="A1943" s="5" t="inlineStr">
        <is>
          <t>E01942</t>
        </is>
      </c>
      <c r="B1943" s="5" t="inlineStr">
        <is>
          <t>Male</t>
        </is>
      </c>
      <c r="C1943" s="6" t="inlineStr">
        <is>
          <t>33</t>
        </is>
      </c>
      <c r="D1943" s="5" t="inlineStr">
        <is>
          <t>Married</t>
        </is>
      </c>
      <c r="E1943" s="5" t="inlineStr">
        <is>
          <t>Bachelor</t>
        </is>
      </c>
      <c r="F1943" s="5" t="inlineStr">
        <is>
          <t>Marketing</t>
        </is>
      </c>
      <c r="G1943" s="5" t="inlineStr">
        <is>
          <t>Marketing Analyst</t>
        </is>
      </c>
      <c r="H1943" s="5" t="inlineStr">
        <is>
          <t>3</t>
        </is>
      </c>
      <c r="I1943" s="5" t="inlineStr">
        <is>
          <t>Bengaluru</t>
        </is>
      </c>
      <c r="J1943" s="5" t="inlineStr">
        <is>
          <t>Part-Time</t>
        </is>
      </c>
      <c r="K1943" s="7" t="n">
        <v>44981</v>
      </c>
      <c r="L1943" s="7" t="n">
        <v>45081</v>
      </c>
      <c r="M1943" s="5" t="inlineStr">
        <is>
          <t>No</t>
        </is>
      </c>
      <c r="N1943" s="5" t="inlineStr">
        <is>
          <t>Resigned</t>
        </is>
      </c>
      <c r="O1943" s="8" t="inlineStr">
        <is>
          <t>93000</t>
        </is>
      </c>
      <c r="P1943" s="5" t="inlineStr">
        <is>
          <t>0</t>
        </is>
      </c>
      <c r="Q1943" s="5" t="inlineStr">
        <is>
          <t>4</t>
        </is>
      </c>
      <c r="R1943" s="5" t="inlineStr">
        <is>
          <t>6</t>
        </is>
      </c>
      <c r="S1943" s="5" t="inlineStr">
        <is>
          <t>3</t>
        </is>
      </c>
      <c r="T1943" s="5" t="inlineStr">
        <is>
          <t>7</t>
        </is>
      </c>
      <c r="U1943" s="5">
        <f>IFS(C1943&lt;30,"Under 30",C1943&lt;40,"30-39",C1943&lt;50,"40-49",TRUE,"50+")</f>
        <v/>
      </c>
      <c r="V1943" s="5">
        <f>IFS(O1943&lt;60000,"Low (&lt;60k)",O1943&lt;100000,"Mid (60-100k)",TRUE,"High (100k+)")</f>
        <v/>
      </c>
      <c r="W1943" s="5">
        <f>IF(M1943="No","Attrited","Active")</f>
        <v/>
      </c>
    </row>
    <row r="1944">
      <c r="A1944" s="5" t="inlineStr">
        <is>
          <t>E01943</t>
        </is>
      </c>
      <c r="B1944" s="5" t="inlineStr">
        <is>
          <t>Female</t>
        </is>
      </c>
      <c r="C1944" s="6" t="inlineStr">
        <is>
          <t>30</t>
        </is>
      </c>
      <c r="D1944" s="5" t="inlineStr">
        <is>
          <t>Married</t>
        </is>
      </c>
      <c r="E1944" s="5" t="inlineStr">
        <is>
          <t>Diploma</t>
        </is>
      </c>
      <c r="F1944" s="5" t="inlineStr">
        <is>
          <t>Customer Support</t>
        </is>
      </c>
      <c r="G1944" s="5" t="inlineStr">
        <is>
          <t>Escalation Specialist</t>
        </is>
      </c>
      <c r="H1944" s="5" t="inlineStr">
        <is>
          <t>3</t>
        </is>
      </c>
      <c r="I1944" s="5" t="inlineStr">
        <is>
          <t>Chennai</t>
        </is>
      </c>
      <c r="J1944" s="5" t="inlineStr">
        <is>
          <t>Full-Time</t>
        </is>
      </c>
      <c r="K1944" s="7" t="n">
        <v>44183</v>
      </c>
      <c r="L1944" s="7" t="inlineStr"/>
      <c r="M1944" s="5" t="inlineStr">
        <is>
          <t>Yes</t>
        </is>
      </c>
      <c r="N1944" s="5" t="inlineStr"/>
      <c r="O1944" s="8" t="inlineStr">
        <is>
          <t>79000</t>
        </is>
      </c>
      <c r="P1944" s="5" t="inlineStr">
        <is>
          <t>10</t>
        </is>
      </c>
      <c r="Q1944" s="5" t="inlineStr">
        <is>
          <t>4</t>
        </is>
      </c>
      <c r="R1944" s="5" t="inlineStr">
        <is>
          <t>8</t>
        </is>
      </c>
      <c r="S1944" s="5" t="inlineStr">
        <is>
          <t>61</t>
        </is>
      </c>
      <c r="T1944" s="5" t="inlineStr">
        <is>
          <t>9</t>
        </is>
      </c>
      <c r="U1944" s="5">
        <f>IFS(C1944&lt;30,"Under 30",C1944&lt;40,"30-39",C1944&lt;50,"40-49",TRUE,"50+")</f>
        <v/>
      </c>
      <c r="V1944" s="5">
        <f>IFS(O1944&lt;60000,"Low (&lt;60k)",O1944&lt;100000,"Mid (60-100k)",TRUE,"High (100k+)")</f>
        <v/>
      </c>
      <c r="W1944" s="5">
        <f>IF(M1944="No","Attrited","Active")</f>
        <v/>
      </c>
    </row>
    <row r="1945">
      <c r="A1945" s="5" t="inlineStr">
        <is>
          <t>E01944</t>
        </is>
      </c>
      <c r="B1945" s="5" t="inlineStr">
        <is>
          <t>Male</t>
        </is>
      </c>
      <c r="C1945" s="6" t="inlineStr">
        <is>
          <t>32</t>
        </is>
      </c>
      <c r="D1945" s="5" t="inlineStr">
        <is>
          <t>Married</t>
        </is>
      </c>
      <c r="E1945" s="5" t="inlineStr">
        <is>
          <t>Diploma</t>
        </is>
      </c>
      <c r="F1945" s="5" t="inlineStr">
        <is>
          <t>Customer Support</t>
        </is>
      </c>
      <c r="G1945" s="5" t="inlineStr">
        <is>
          <t>Escalation Specialist</t>
        </is>
      </c>
      <c r="H1945" s="5" t="inlineStr">
        <is>
          <t>2</t>
        </is>
      </c>
      <c r="I1945" s="5" t="inlineStr">
        <is>
          <t>Delhi</t>
        </is>
      </c>
      <c r="J1945" s="5" t="inlineStr">
        <is>
          <t>Full-Time</t>
        </is>
      </c>
      <c r="K1945" s="7" t="n">
        <v>46008</v>
      </c>
      <c r="L1945" s="7" t="inlineStr"/>
      <c r="M1945" s="5" t="inlineStr">
        <is>
          <t>Yes</t>
        </is>
      </c>
      <c r="N1945" s="5" t="inlineStr"/>
      <c r="O1945" s="8" t="inlineStr">
        <is>
          <t>74000</t>
        </is>
      </c>
      <c r="P1945" s="5" t="inlineStr">
        <is>
          <t>0</t>
        </is>
      </c>
      <c r="Q1945" s="5" t="inlineStr">
        <is>
          <t>4</t>
        </is>
      </c>
      <c r="R1945" s="5" t="inlineStr">
        <is>
          <t>4</t>
        </is>
      </c>
      <c r="S1945" s="5" t="inlineStr">
        <is>
          <t>1</t>
        </is>
      </c>
      <c r="T1945" s="5" t="inlineStr">
        <is>
          <t>4</t>
        </is>
      </c>
      <c r="U1945" s="5">
        <f>IFS(C1945&lt;30,"Under 30",C1945&lt;40,"30-39",C1945&lt;50,"40-49",TRUE,"50+")</f>
        <v/>
      </c>
      <c r="V1945" s="5">
        <f>IFS(O1945&lt;60000,"Low (&lt;60k)",O1945&lt;100000,"Mid (60-100k)",TRUE,"High (100k+)")</f>
        <v/>
      </c>
      <c r="W1945" s="5">
        <f>IF(M1945="No","Attrited","Active")</f>
        <v/>
      </c>
    </row>
    <row r="1946">
      <c r="A1946" s="5" t="inlineStr">
        <is>
          <t>E01945</t>
        </is>
      </c>
      <c r="B1946" s="5" t="inlineStr">
        <is>
          <t>Female</t>
        </is>
      </c>
      <c r="C1946" s="6" t="inlineStr">
        <is>
          <t>34</t>
        </is>
      </c>
      <c r="D1946" s="5" t="inlineStr">
        <is>
          <t>Married</t>
        </is>
      </c>
      <c r="E1946" s="5" t="inlineStr">
        <is>
          <t>Diploma</t>
        </is>
      </c>
      <c r="F1946" s="5" t="inlineStr">
        <is>
          <t>Customer Support</t>
        </is>
      </c>
      <c r="G1946" s="5" t="inlineStr">
        <is>
          <t>Support Agent</t>
        </is>
      </c>
      <c r="H1946" s="5" t="inlineStr">
        <is>
          <t>1</t>
        </is>
      </c>
      <c r="I1946" s="5" t="inlineStr">
        <is>
          <t>Chennai</t>
        </is>
      </c>
      <c r="J1946" s="5" t="inlineStr">
        <is>
          <t>Full-Time</t>
        </is>
      </c>
      <c r="K1946" s="7" t="n">
        <v>44954</v>
      </c>
      <c r="L1946" s="7" t="inlineStr"/>
      <c r="M1946" s="5" t="inlineStr">
        <is>
          <t>Yes</t>
        </is>
      </c>
      <c r="N1946" s="5" t="inlineStr"/>
      <c r="O1946" s="8" t="inlineStr">
        <is>
          <t>61500</t>
        </is>
      </c>
      <c r="P1946" s="5" t="inlineStr">
        <is>
          <t>5</t>
        </is>
      </c>
      <c r="Q1946" s="5" t="inlineStr">
        <is>
          <t>3</t>
        </is>
      </c>
      <c r="R1946" s="5" t="inlineStr">
        <is>
          <t>5</t>
        </is>
      </c>
      <c r="S1946" s="5" t="inlineStr">
        <is>
          <t>35</t>
        </is>
      </c>
      <c r="T1946" s="5" t="inlineStr">
        <is>
          <t>17</t>
        </is>
      </c>
      <c r="U1946" s="5">
        <f>IFS(C1946&lt;30,"Under 30",C1946&lt;40,"30-39",C1946&lt;50,"40-49",TRUE,"50+")</f>
        <v/>
      </c>
      <c r="V1946" s="5">
        <f>IFS(O1946&lt;60000,"Low (&lt;60k)",O1946&lt;100000,"Mid (60-100k)",TRUE,"High (100k+)")</f>
        <v/>
      </c>
      <c r="W1946" s="5">
        <f>IF(M1946="No","Attrited","Active")</f>
        <v/>
      </c>
    </row>
    <row r="1947">
      <c r="A1947" s="5" t="inlineStr">
        <is>
          <t>E01946</t>
        </is>
      </c>
      <c r="B1947" s="5" t="inlineStr">
        <is>
          <t>Male</t>
        </is>
      </c>
      <c r="C1947" s="6" t="inlineStr">
        <is>
          <t>35</t>
        </is>
      </c>
      <c r="D1947" s="5" t="inlineStr">
        <is>
          <t>Married</t>
        </is>
      </c>
      <c r="E1947" s="5" t="inlineStr">
        <is>
          <t>Bachelor</t>
        </is>
      </c>
      <c r="F1947" s="5" t="inlineStr">
        <is>
          <t>Executive</t>
        </is>
      </c>
      <c r="G1947" s="5" t="inlineStr">
        <is>
          <t>CEO</t>
        </is>
      </c>
      <c r="H1947" s="5" t="inlineStr">
        <is>
          <t>3</t>
        </is>
      </c>
      <c r="I1947" s="5" t="inlineStr">
        <is>
          <t>Mumbai</t>
        </is>
      </c>
      <c r="J1947" s="5" t="inlineStr">
        <is>
          <t>Full-Time</t>
        </is>
      </c>
      <c r="K1947" s="7" t="n">
        <v>45042</v>
      </c>
      <c r="L1947" s="7" t="inlineStr"/>
      <c r="M1947" s="5" t="inlineStr">
        <is>
          <t>Yes</t>
        </is>
      </c>
      <c r="N1947" s="5" t="inlineStr"/>
      <c r="O1947" s="8" t="inlineStr">
        <is>
          <t>241500</t>
        </is>
      </c>
      <c r="P1947" s="5" t="inlineStr">
        <is>
          <t>5</t>
        </is>
      </c>
      <c r="Q1947" s="5" t="inlineStr">
        <is>
          <t>5</t>
        </is>
      </c>
      <c r="R1947" s="5" t="inlineStr">
        <is>
          <t>7</t>
        </is>
      </c>
      <c r="S1947" s="5" t="inlineStr">
        <is>
          <t>32</t>
        </is>
      </c>
      <c r="T1947" s="5" t="inlineStr">
        <is>
          <t>3</t>
        </is>
      </c>
      <c r="U1947" s="5">
        <f>IFS(C1947&lt;30,"Under 30",C1947&lt;40,"30-39",C1947&lt;50,"40-49",TRUE,"50+")</f>
        <v/>
      </c>
      <c r="V1947" s="5">
        <f>IFS(O1947&lt;60000,"Low (&lt;60k)",O1947&lt;100000,"Mid (60-100k)",TRUE,"High (100k+)")</f>
        <v/>
      </c>
      <c r="W1947" s="5">
        <f>IF(M1947="No","Attrited","Active")</f>
        <v/>
      </c>
    </row>
    <row r="1948">
      <c r="A1948" s="5" t="inlineStr">
        <is>
          <t>E01947</t>
        </is>
      </c>
      <c r="B1948" s="5" t="inlineStr">
        <is>
          <t>Male</t>
        </is>
      </c>
      <c r="C1948" s="6" t="inlineStr">
        <is>
          <t>36</t>
        </is>
      </c>
      <c r="D1948" s="5" t="inlineStr">
        <is>
          <t>Married</t>
        </is>
      </c>
      <c r="E1948" s="5" t="inlineStr">
        <is>
          <t>High School</t>
        </is>
      </c>
      <c r="F1948" s="5" t="inlineStr">
        <is>
          <t>Customer Support</t>
        </is>
      </c>
      <c r="G1948" s="5" t="inlineStr">
        <is>
          <t>Support Agent</t>
        </is>
      </c>
      <c r="H1948" s="5" t="inlineStr">
        <is>
          <t>3</t>
        </is>
      </c>
      <c r="I1948" s="5" t="inlineStr">
        <is>
          <t>Delhi</t>
        </is>
      </c>
      <c r="J1948" s="5" t="inlineStr">
        <is>
          <t>Full-Time</t>
        </is>
      </c>
      <c r="K1948" s="7" t="n">
        <v>45500</v>
      </c>
      <c r="L1948" s="7" t="inlineStr"/>
      <c r="M1948" s="5" t="inlineStr">
        <is>
          <t>Yes</t>
        </is>
      </c>
      <c r="N1948" s="5" t="inlineStr"/>
      <c r="O1948" s="8" t="inlineStr">
        <is>
          <t>69500</t>
        </is>
      </c>
      <c r="P1948" s="5" t="inlineStr">
        <is>
          <t>15</t>
        </is>
      </c>
      <c r="Q1948" s="5" t="inlineStr">
        <is>
          <t>5</t>
        </is>
      </c>
      <c r="R1948" s="5" t="inlineStr">
        <is>
          <t>5</t>
        </is>
      </c>
      <c r="S1948" s="5" t="inlineStr">
        <is>
          <t>17</t>
        </is>
      </c>
      <c r="T1948" s="5" t="inlineStr">
        <is>
          <t>4</t>
        </is>
      </c>
      <c r="U1948" s="5">
        <f>IFS(C1948&lt;30,"Under 30",C1948&lt;40,"30-39",C1948&lt;50,"40-49",TRUE,"50+")</f>
        <v/>
      </c>
      <c r="V1948" s="5">
        <f>IFS(O1948&lt;60000,"Low (&lt;60k)",O1948&lt;100000,"Mid (60-100k)",TRUE,"High (100k+)")</f>
        <v/>
      </c>
      <c r="W1948" s="5">
        <f>IF(M1948="No","Attrited","Active")</f>
        <v/>
      </c>
    </row>
    <row r="1949">
      <c r="A1949" s="5" t="inlineStr">
        <is>
          <t>E01948</t>
        </is>
      </c>
      <c r="B1949" s="5" t="inlineStr">
        <is>
          <t>Male</t>
        </is>
      </c>
      <c r="C1949" s="6" t="inlineStr">
        <is>
          <t>36</t>
        </is>
      </c>
      <c r="D1949" s="5" t="inlineStr">
        <is>
          <t>Married</t>
        </is>
      </c>
      <c r="E1949" s="5" t="inlineStr">
        <is>
          <t>PhD</t>
        </is>
      </c>
      <c r="F1949" s="5" t="inlineStr">
        <is>
          <t>IT</t>
        </is>
      </c>
      <c r="G1949" s="5" t="inlineStr">
        <is>
          <t>IT Support</t>
        </is>
      </c>
      <c r="H1949" s="5" t="inlineStr">
        <is>
          <t>3</t>
        </is>
      </c>
      <c r="I1949" s="5" t="inlineStr">
        <is>
          <t>Mumbai</t>
        </is>
      </c>
      <c r="J1949" s="5" t="inlineStr">
        <is>
          <t>Full-Time</t>
        </is>
      </c>
      <c r="K1949" s="7" t="n">
        <v>45391</v>
      </c>
      <c r="L1949" s="7" t="inlineStr"/>
      <c r="M1949" s="5" t="inlineStr">
        <is>
          <t>Yes</t>
        </is>
      </c>
      <c r="N1949" s="5" t="inlineStr"/>
      <c r="O1949" s="8" t="inlineStr">
        <is>
          <t>139000</t>
        </is>
      </c>
      <c r="P1949" s="5" t="inlineStr">
        <is>
          <t>5</t>
        </is>
      </c>
      <c r="Q1949" s="5" t="inlineStr">
        <is>
          <t>5</t>
        </is>
      </c>
      <c r="R1949" s="5" t="inlineStr">
        <is>
          <t>2</t>
        </is>
      </c>
      <c r="S1949" s="5" t="inlineStr">
        <is>
          <t>21</t>
        </is>
      </c>
      <c r="T1949" s="5" t="inlineStr">
        <is>
          <t>2</t>
        </is>
      </c>
      <c r="U1949" s="5">
        <f>IFS(C1949&lt;30,"Under 30",C1949&lt;40,"30-39",C1949&lt;50,"40-49",TRUE,"50+")</f>
        <v/>
      </c>
      <c r="V1949" s="5">
        <f>IFS(O1949&lt;60000,"Low (&lt;60k)",O1949&lt;100000,"Mid (60-100k)",TRUE,"High (100k+)")</f>
        <v/>
      </c>
      <c r="W1949" s="5">
        <f>IF(M1949="No","Attrited","Active")</f>
        <v/>
      </c>
    </row>
    <row r="1950">
      <c r="A1950" s="5" t="inlineStr">
        <is>
          <t>E01949</t>
        </is>
      </c>
      <c r="B1950" s="5" t="inlineStr">
        <is>
          <t>Female</t>
        </is>
      </c>
      <c r="C1950" s="6" t="inlineStr">
        <is>
          <t>29</t>
        </is>
      </c>
      <c r="D1950" s="5" t="inlineStr">
        <is>
          <t>Married</t>
        </is>
      </c>
      <c r="E1950" s="5" t="inlineStr">
        <is>
          <t>PhD</t>
        </is>
      </c>
      <c r="F1950" s="5" t="inlineStr">
        <is>
          <t>Finance</t>
        </is>
      </c>
      <c r="G1950" s="5" t="inlineStr">
        <is>
          <t>Accountant</t>
        </is>
      </c>
      <c r="H1950" s="5" t="inlineStr">
        <is>
          <t>3</t>
        </is>
      </c>
      <c r="I1950" s="5" t="inlineStr">
        <is>
          <t>Chennai</t>
        </is>
      </c>
      <c r="J1950" s="5" t="inlineStr">
        <is>
          <t>Full-Time</t>
        </is>
      </c>
      <c r="K1950" s="7" t="n">
        <v>44307</v>
      </c>
      <c r="L1950" s="7" t="inlineStr"/>
      <c r="M1950" s="5" t="inlineStr">
        <is>
          <t>Yes</t>
        </is>
      </c>
      <c r="N1950" s="5" t="inlineStr"/>
      <c r="O1950" s="8" t="inlineStr">
        <is>
          <t>121000</t>
        </is>
      </c>
      <c r="P1950" s="5" t="inlineStr">
        <is>
          <t>5</t>
        </is>
      </c>
      <c r="Q1950" s="5" t="inlineStr">
        <is>
          <t>3</t>
        </is>
      </c>
      <c r="R1950" s="5" t="inlineStr">
        <is>
          <t>6</t>
        </is>
      </c>
      <c r="S1950" s="5" t="inlineStr">
        <is>
          <t>57</t>
        </is>
      </c>
      <c r="T1950" s="5" t="inlineStr">
        <is>
          <t>8</t>
        </is>
      </c>
      <c r="U1950" s="5">
        <f>IFS(C1950&lt;30,"Under 30",C1950&lt;40,"30-39",C1950&lt;50,"40-49",TRUE,"50+")</f>
        <v/>
      </c>
      <c r="V1950" s="5">
        <f>IFS(O1950&lt;60000,"Low (&lt;60k)",O1950&lt;100000,"Mid (60-100k)",TRUE,"High (100k+)")</f>
        <v/>
      </c>
      <c r="W1950" s="5">
        <f>IF(M1950="No","Attrited","Active")</f>
        <v/>
      </c>
    </row>
    <row r="1951">
      <c r="A1951" s="5" t="inlineStr">
        <is>
          <t>E01950</t>
        </is>
      </c>
      <c r="B1951" s="5" t="inlineStr">
        <is>
          <t>Male</t>
        </is>
      </c>
      <c r="C1951" s="6" t="inlineStr">
        <is>
          <t>38</t>
        </is>
      </c>
      <c r="D1951" s="5" t="inlineStr">
        <is>
          <t>Single</t>
        </is>
      </c>
      <c r="E1951" s="5" t="inlineStr">
        <is>
          <t>Master</t>
        </is>
      </c>
      <c r="F1951" s="5" t="inlineStr">
        <is>
          <t>Research &amp; Development</t>
        </is>
      </c>
      <c r="G1951" s="5" t="inlineStr">
        <is>
          <t>Research Scientist</t>
        </is>
      </c>
      <c r="H1951" s="5" t="inlineStr">
        <is>
          <t>6</t>
        </is>
      </c>
      <c r="I1951" s="5" t="inlineStr">
        <is>
          <t>Chennai</t>
        </is>
      </c>
      <c r="J1951" s="5" t="inlineStr">
        <is>
          <t>Full-Time</t>
        </is>
      </c>
      <c r="K1951" s="7" t="n">
        <v>44280</v>
      </c>
      <c r="L1951" s="7" t="inlineStr"/>
      <c r="M1951" s="5" t="inlineStr">
        <is>
          <t>Yes</t>
        </is>
      </c>
      <c r="N1951" s="5" t="inlineStr"/>
      <c r="O1951" s="8" t="inlineStr">
        <is>
          <t>267000</t>
        </is>
      </c>
      <c r="P1951" s="5" t="inlineStr">
        <is>
          <t>0</t>
        </is>
      </c>
      <c r="Q1951" s="5" t="inlineStr">
        <is>
          <t>5</t>
        </is>
      </c>
      <c r="R1951" s="5" t="inlineStr">
        <is>
          <t>7</t>
        </is>
      </c>
      <c r="S1951" s="5" t="inlineStr">
        <is>
          <t>58</t>
        </is>
      </c>
      <c r="T1951" s="5" t="inlineStr">
        <is>
          <t>15</t>
        </is>
      </c>
      <c r="U1951" s="5">
        <f>IFS(C1951&lt;30,"Under 30",C1951&lt;40,"30-39",C1951&lt;50,"40-49",TRUE,"50+")</f>
        <v/>
      </c>
      <c r="V1951" s="5">
        <f>IFS(O1951&lt;60000,"Low (&lt;60k)",O1951&lt;100000,"Mid (60-100k)",TRUE,"High (100k+)")</f>
        <v/>
      </c>
      <c r="W1951" s="5">
        <f>IF(M1951="No","Attrited","Active")</f>
        <v/>
      </c>
    </row>
    <row r="1952">
      <c r="A1952" s="5" t="inlineStr">
        <is>
          <t>E01951</t>
        </is>
      </c>
      <c r="B1952" s="5" t="inlineStr">
        <is>
          <t>Female</t>
        </is>
      </c>
      <c r="C1952" s="6" t="inlineStr">
        <is>
          <t>26</t>
        </is>
      </c>
      <c r="D1952" s="5" t="inlineStr">
        <is>
          <t>Single</t>
        </is>
      </c>
      <c r="E1952" s="5" t="inlineStr">
        <is>
          <t>Master</t>
        </is>
      </c>
      <c r="F1952" s="5" t="inlineStr">
        <is>
          <t>Operations</t>
        </is>
      </c>
      <c r="G1952" s="5" t="inlineStr">
        <is>
          <t>Operations Analyst</t>
        </is>
      </c>
      <c r="H1952" s="5" t="inlineStr">
        <is>
          <t>1</t>
        </is>
      </c>
      <c r="I1952" s="5" t="inlineStr">
        <is>
          <t>Hyderabad</t>
        </is>
      </c>
      <c r="J1952" s="5" t="inlineStr">
        <is>
          <t>Full-Time</t>
        </is>
      </c>
      <c r="K1952" s="7" t="n">
        <v>44879</v>
      </c>
      <c r="L1952" s="7" t="inlineStr"/>
      <c r="M1952" s="5" t="inlineStr">
        <is>
          <t>Yes</t>
        </is>
      </c>
      <c r="N1952" s="5" t="inlineStr"/>
      <c r="O1952" s="8" t="inlineStr">
        <is>
          <t>87500</t>
        </is>
      </c>
      <c r="P1952" s="5" t="inlineStr">
        <is>
          <t>10</t>
        </is>
      </c>
      <c r="Q1952" s="5" t="inlineStr">
        <is>
          <t>3</t>
        </is>
      </c>
      <c r="R1952" s="5" t="inlineStr">
        <is>
          <t>6</t>
        </is>
      </c>
      <c r="S1952" s="5" t="inlineStr">
        <is>
          <t>38</t>
        </is>
      </c>
      <c r="T1952" s="5" t="inlineStr">
        <is>
          <t>2</t>
        </is>
      </c>
      <c r="U1952" s="5">
        <f>IFS(C1952&lt;30,"Under 30",C1952&lt;40,"30-39",C1952&lt;50,"40-49",TRUE,"50+")</f>
        <v/>
      </c>
      <c r="V1952" s="5">
        <f>IFS(O1952&lt;60000,"Low (&lt;60k)",O1952&lt;100000,"Mid (60-100k)",TRUE,"High (100k+)")</f>
        <v/>
      </c>
      <c r="W1952" s="5">
        <f>IF(M1952="No","Attrited","Active")</f>
        <v/>
      </c>
    </row>
    <row r="1953">
      <c r="A1953" s="5" t="inlineStr">
        <is>
          <t>E01952</t>
        </is>
      </c>
      <c r="B1953" s="5" t="inlineStr">
        <is>
          <t>Male</t>
        </is>
      </c>
      <c r="C1953" s="6" t="inlineStr">
        <is>
          <t>44</t>
        </is>
      </c>
      <c r="D1953" s="5" t="inlineStr">
        <is>
          <t>Married</t>
        </is>
      </c>
      <c r="E1953" s="5" t="inlineStr">
        <is>
          <t>High School</t>
        </is>
      </c>
      <c r="F1953" s="5" t="inlineStr">
        <is>
          <t>Finance</t>
        </is>
      </c>
      <c r="G1953" s="5" t="inlineStr">
        <is>
          <t>Financial Analyst</t>
        </is>
      </c>
      <c r="H1953" s="5" t="inlineStr">
        <is>
          <t>6</t>
        </is>
      </c>
      <c r="I1953" s="5" t="inlineStr">
        <is>
          <t>Bengaluru</t>
        </is>
      </c>
      <c r="J1953" s="5" t="inlineStr">
        <is>
          <t>Full-Time</t>
        </is>
      </c>
      <c r="K1953" s="7" t="n">
        <v>45005</v>
      </c>
      <c r="L1953" s="7" t="inlineStr"/>
      <c r="M1953" s="5" t="inlineStr">
        <is>
          <t>Yes</t>
        </is>
      </c>
      <c r="N1953" s="5" t="inlineStr"/>
      <c r="O1953" s="8" t="inlineStr">
        <is>
          <t>145000</t>
        </is>
      </c>
      <c r="P1953" s="5" t="inlineStr">
        <is>
          <t>10</t>
        </is>
      </c>
      <c r="Q1953" s="5" t="inlineStr">
        <is>
          <t>5</t>
        </is>
      </c>
      <c r="R1953" s="5" t="inlineStr">
        <is>
          <t>4</t>
        </is>
      </c>
      <c r="S1953" s="5" t="inlineStr">
        <is>
          <t>33</t>
        </is>
      </c>
      <c r="T1953" s="5" t="inlineStr">
        <is>
          <t>14</t>
        </is>
      </c>
      <c r="U1953" s="5">
        <f>IFS(C1953&lt;30,"Under 30",C1953&lt;40,"30-39",C1953&lt;50,"40-49",TRUE,"50+")</f>
        <v/>
      </c>
      <c r="V1953" s="5">
        <f>IFS(O1953&lt;60000,"Low (&lt;60k)",O1953&lt;100000,"Mid (60-100k)",TRUE,"High (100k+)")</f>
        <v/>
      </c>
      <c r="W1953" s="5">
        <f>IF(M1953="No","Attrited","Active")</f>
        <v/>
      </c>
    </row>
    <row r="1954">
      <c r="A1954" s="5" t="inlineStr">
        <is>
          <t>E01953</t>
        </is>
      </c>
      <c r="B1954" s="5" t="inlineStr">
        <is>
          <t>Male</t>
        </is>
      </c>
      <c r="C1954" s="6" t="inlineStr">
        <is>
          <t>28</t>
        </is>
      </c>
      <c r="D1954" s="5" t="inlineStr">
        <is>
          <t>Married</t>
        </is>
      </c>
      <c r="E1954" s="5" t="inlineStr">
        <is>
          <t>High School</t>
        </is>
      </c>
      <c r="F1954" s="5" t="inlineStr">
        <is>
          <t>Finance</t>
        </is>
      </c>
      <c r="G1954" s="5" t="inlineStr">
        <is>
          <t>Credit Analyst</t>
        </is>
      </c>
      <c r="H1954" s="5" t="inlineStr">
        <is>
          <t>2</t>
        </is>
      </c>
      <c r="I1954" s="5" t="inlineStr">
        <is>
          <t>Bengaluru</t>
        </is>
      </c>
      <c r="J1954" s="5" t="inlineStr">
        <is>
          <t>Full-Time</t>
        </is>
      </c>
      <c r="K1954" s="7" t="n">
        <v>44377</v>
      </c>
      <c r="L1954" s="7" t="n">
        <v>44440</v>
      </c>
      <c r="M1954" s="5" t="inlineStr">
        <is>
          <t>No</t>
        </is>
      </c>
      <c r="N1954" s="5" t="inlineStr">
        <is>
          <t>Performance / Termination</t>
        </is>
      </c>
      <c r="O1954" s="8" t="inlineStr">
        <is>
          <t>126500</t>
        </is>
      </c>
      <c r="P1954" s="5" t="inlineStr">
        <is>
          <t>0</t>
        </is>
      </c>
      <c r="Q1954" s="5" t="inlineStr">
        <is>
          <t>3</t>
        </is>
      </c>
      <c r="R1954" s="5" t="inlineStr">
        <is>
          <t>7</t>
        </is>
      </c>
      <c r="S1954" s="5" t="inlineStr">
        <is>
          <t>2</t>
        </is>
      </c>
      <c r="T1954" s="5" t="inlineStr">
        <is>
          <t>0</t>
        </is>
      </c>
      <c r="U1954" s="5">
        <f>IFS(C1954&lt;30,"Under 30",C1954&lt;40,"30-39",C1954&lt;50,"40-49",TRUE,"50+")</f>
        <v/>
      </c>
      <c r="V1954" s="5">
        <f>IFS(O1954&lt;60000,"Low (&lt;60k)",O1954&lt;100000,"Mid (60-100k)",TRUE,"High (100k+)")</f>
        <v/>
      </c>
      <c r="W1954" s="5">
        <f>IF(M1954="No","Attrited","Active")</f>
        <v/>
      </c>
    </row>
    <row r="1955">
      <c r="A1955" s="5" t="inlineStr">
        <is>
          <t>E01954</t>
        </is>
      </c>
      <c r="B1955" s="5" t="inlineStr">
        <is>
          <t>Male</t>
        </is>
      </c>
      <c r="C1955" s="6" t="inlineStr">
        <is>
          <t>28</t>
        </is>
      </c>
      <c r="D1955" s="5" t="inlineStr">
        <is>
          <t>Married</t>
        </is>
      </c>
      <c r="E1955" s="5" t="inlineStr">
        <is>
          <t>High School</t>
        </is>
      </c>
      <c r="F1955" s="5" t="inlineStr">
        <is>
          <t>Human Resources</t>
        </is>
      </c>
      <c r="G1955" s="5" t="inlineStr">
        <is>
          <t>Recruiter</t>
        </is>
      </c>
      <c r="H1955" s="5" t="inlineStr">
        <is>
          <t>3</t>
        </is>
      </c>
      <c r="I1955" s="5" t="inlineStr">
        <is>
          <t>Bengaluru</t>
        </is>
      </c>
      <c r="J1955" s="5" t="inlineStr">
        <is>
          <t>Full-Time</t>
        </is>
      </c>
      <c r="K1955" s="7" t="n">
        <v>45814</v>
      </c>
      <c r="L1955" s="7" t="inlineStr"/>
      <c r="M1955" s="5" t="inlineStr">
        <is>
          <t>Yes</t>
        </is>
      </c>
      <c r="N1955" s="5" t="inlineStr"/>
      <c r="O1955" s="8" t="inlineStr">
        <is>
          <t>90000</t>
        </is>
      </c>
      <c r="P1955" s="5" t="inlineStr">
        <is>
          <t>10</t>
        </is>
      </c>
      <c r="Q1955" s="5" t="inlineStr">
        <is>
          <t>5</t>
        </is>
      </c>
      <c r="R1955" s="5" t="inlineStr">
        <is>
          <t>5</t>
        </is>
      </c>
      <c r="S1955" s="5" t="inlineStr">
        <is>
          <t>6</t>
        </is>
      </c>
      <c r="T1955" s="5" t="inlineStr">
        <is>
          <t>5</t>
        </is>
      </c>
      <c r="U1955" s="5">
        <f>IFS(C1955&lt;30,"Under 30",C1955&lt;40,"30-39",C1955&lt;50,"40-49",TRUE,"50+")</f>
        <v/>
      </c>
      <c r="V1955" s="5">
        <f>IFS(O1955&lt;60000,"Low (&lt;60k)",O1955&lt;100000,"Mid (60-100k)",TRUE,"High (100k+)")</f>
        <v/>
      </c>
      <c r="W1955" s="5">
        <f>IF(M1955="No","Attrited","Active")</f>
        <v/>
      </c>
    </row>
    <row r="1956">
      <c r="A1956" s="5" t="inlineStr">
        <is>
          <t>E01955</t>
        </is>
      </c>
      <c r="B1956" s="5" t="inlineStr">
        <is>
          <t>Male</t>
        </is>
      </c>
      <c r="C1956" s="6" t="inlineStr">
        <is>
          <t>35</t>
        </is>
      </c>
      <c r="D1956" s="5" t="inlineStr">
        <is>
          <t>Married</t>
        </is>
      </c>
      <c r="E1956" s="5" t="inlineStr">
        <is>
          <t>PhD</t>
        </is>
      </c>
      <c r="F1956" s="5" t="inlineStr">
        <is>
          <t>Marketing</t>
        </is>
      </c>
      <c r="G1956" s="5" t="inlineStr">
        <is>
          <t>Marketing Analyst</t>
        </is>
      </c>
      <c r="H1956" s="5" t="inlineStr">
        <is>
          <t>6</t>
        </is>
      </c>
      <c r="I1956" s="5" t="inlineStr">
        <is>
          <t>Chennai</t>
        </is>
      </c>
      <c r="J1956" s="5" t="inlineStr">
        <is>
          <t>Full-Time</t>
        </is>
      </c>
      <c r="K1956" s="7" t="n">
        <v>44606</v>
      </c>
      <c r="L1956" s="7" t="inlineStr"/>
      <c r="M1956" s="5" t="inlineStr">
        <is>
          <t>Yes</t>
        </is>
      </c>
      <c r="N1956" s="5" t="inlineStr"/>
      <c r="O1956" s="8" t="inlineStr">
        <is>
          <t>131500</t>
        </is>
      </c>
      <c r="P1956" s="5" t="inlineStr">
        <is>
          <t>5</t>
        </is>
      </c>
      <c r="Q1956" s="5" t="inlineStr">
        <is>
          <t>5</t>
        </is>
      </c>
      <c r="R1956" s="5" t="inlineStr">
        <is>
          <t>7</t>
        </is>
      </c>
      <c r="S1956" s="5" t="inlineStr">
        <is>
          <t>47</t>
        </is>
      </c>
      <c r="T1956" s="5" t="inlineStr">
        <is>
          <t>0</t>
        </is>
      </c>
      <c r="U1956" s="5">
        <f>IFS(C1956&lt;30,"Under 30",C1956&lt;40,"30-39",C1956&lt;50,"40-49",TRUE,"50+")</f>
        <v/>
      </c>
      <c r="V1956" s="5">
        <f>IFS(O1956&lt;60000,"Low (&lt;60k)",O1956&lt;100000,"Mid (60-100k)",TRUE,"High (100k+)")</f>
        <v/>
      </c>
      <c r="W1956" s="5">
        <f>IF(M1956="No","Attrited","Active")</f>
        <v/>
      </c>
    </row>
    <row r="1957">
      <c r="A1957" s="5" t="inlineStr">
        <is>
          <t>E01956</t>
        </is>
      </c>
      <c r="B1957" s="5" t="inlineStr">
        <is>
          <t>Female</t>
        </is>
      </c>
      <c r="C1957" s="6" t="inlineStr">
        <is>
          <t>24</t>
        </is>
      </c>
      <c r="D1957" s="5" t="inlineStr">
        <is>
          <t>Single</t>
        </is>
      </c>
      <c r="E1957" s="5" t="inlineStr">
        <is>
          <t>Master</t>
        </is>
      </c>
      <c r="F1957" s="5" t="inlineStr">
        <is>
          <t>Operations</t>
        </is>
      </c>
      <c r="G1957" s="5" t="inlineStr">
        <is>
          <t>Logistics Coordinator</t>
        </is>
      </c>
      <c r="H1957" s="5" t="inlineStr">
        <is>
          <t>1</t>
        </is>
      </c>
      <c r="I1957" s="5" t="inlineStr">
        <is>
          <t>Bengaluru</t>
        </is>
      </c>
      <c r="J1957" s="5" t="inlineStr">
        <is>
          <t>Full-Time</t>
        </is>
      </c>
      <c r="K1957" s="7" t="n">
        <v>45271</v>
      </c>
      <c r="L1957" s="7" t="inlineStr"/>
      <c r="M1957" s="5" t="inlineStr">
        <is>
          <t>Yes</t>
        </is>
      </c>
      <c r="N1957" s="5" t="inlineStr"/>
      <c r="O1957" s="8" t="inlineStr">
        <is>
          <t>81000</t>
        </is>
      </c>
      <c r="P1957" s="5" t="inlineStr">
        <is>
          <t>10</t>
        </is>
      </c>
      <c r="Q1957" s="5" t="inlineStr">
        <is>
          <t>4</t>
        </is>
      </c>
      <c r="R1957" s="5" t="inlineStr">
        <is>
          <t>6</t>
        </is>
      </c>
      <c r="S1957" s="5" t="inlineStr">
        <is>
          <t>25</t>
        </is>
      </c>
      <c r="T1957" s="5" t="inlineStr">
        <is>
          <t>8</t>
        </is>
      </c>
      <c r="U1957" s="5">
        <f>IFS(C1957&lt;30,"Under 30",C1957&lt;40,"30-39",C1957&lt;50,"40-49",TRUE,"50+")</f>
        <v/>
      </c>
      <c r="V1957" s="5">
        <f>IFS(O1957&lt;60000,"Low (&lt;60k)",O1957&lt;100000,"Mid (60-100k)",TRUE,"High (100k+)")</f>
        <v/>
      </c>
      <c r="W1957" s="5">
        <f>IF(M1957="No","Attrited","Active")</f>
        <v/>
      </c>
    </row>
    <row r="1958">
      <c r="A1958" s="5" t="inlineStr">
        <is>
          <t>E01957</t>
        </is>
      </c>
      <c r="B1958" s="5" t="inlineStr">
        <is>
          <t>Female</t>
        </is>
      </c>
      <c r="C1958" s="6" t="inlineStr">
        <is>
          <t>26</t>
        </is>
      </c>
      <c r="D1958" s="5" t="inlineStr">
        <is>
          <t>Married</t>
        </is>
      </c>
      <c r="E1958" s="5" t="inlineStr">
        <is>
          <t>PhD</t>
        </is>
      </c>
      <c r="F1958" s="5" t="inlineStr">
        <is>
          <t>IT</t>
        </is>
      </c>
      <c r="G1958" s="5" t="inlineStr">
        <is>
          <t>Data Analyst</t>
        </is>
      </c>
      <c r="H1958" s="5" t="inlineStr">
        <is>
          <t>2</t>
        </is>
      </c>
      <c r="I1958" s="5" t="inlineStr">
        <is>
          <t>Hyderabad</t>
        </is>
      </c>
      <c r="J1958" s="5" t="inlineStr">
        <is>
          <t>Full-Time</t>
        </is>
      </c>
      <c r="K1958" s="7" t="n">
        <v>44169</v>
      </c>
      <c r="L1958" s="7" t="inlineStr"/>
      <c r="M1958" s="5" t="inlineStr">
        <is>
          <t>Yes</t>
        </is>
      </c>
      <c r="N1958" s="5" t="inlineStr"/>
      <c r="O1958" s="8" t="inlineStr">
        <is>
          <t>95000</t>
        </is>
      </c>
      <c r="P1958" s="5" t="inlineStr">
        <is>
          <t>5</t>
        </is>
      </c>
      <c r="Q1958" s="5" t="inlineStr">
        <is>
          <t>3</t>
        </is>
      </c>
      <c r="R1958" s="5" t="inlineStr">
        <is>
          <t>8</t>
        </is>
      </c>
      <c r="S1958" s="5" t="inlineStr">
        <is>
          <t>61</t>
        </is>
      </c>
      <c r="T1958" s="5" t="inlineStr">
        <is>
          <t>9</t>
        </is>
      </c>
      <c r="U1958" s="5">
        <f>IFS(C1958&lt;30,"Under 30",C1958&lt;40,"30-39",C1958&lt;50,"40-49",TRUE,"50+")</f>
        <v/>
      </c>
      <c r="V1958" s="5">
        <f>IFS(O1958&lt;60000,"Low (&lt;60k)",O1958&lt;100000,"Mid (60-100k)",TRUE,"High (100k+)")</f>
        <v/>
      </c>
      <c r="W1958" s="5">
        <f>IF(M1958="No","Attrited","Active")</f>
        <v/>
      </c>
    </row>
    <row r="1959">
      <c r="A1959" s="5" t="inlineStr">
        <is>
          <t>E01958</t>
        </is>
      </c>
      <c r="B1959" s="5" t="inlineStr">
        <is>
          <t>Male</t>
        </is>
      </c>
      <c r="C1959" s="6" t="inlineStr">
        <is>
          <t>23</t>
        </is>
      </c>
      <c r="D1959" s="5" t="inlineStr">
        <is>
          <t>Divorced</t>
        </is>
      </c>
      <c r="E1959" s="5" t="inlineStr">
        <is>
          <t>Diploma</t>
        </is>
      </c>
      <c r="F1959" s="5" t="inlineStr">
        <is>
          <t>Research &amp; Development</t>
        </is>
      </c>
      <c r="G1959" s="5" t="inlineStr">
        <is>
          <t>Data Scientist</t>
        </is>
      </c>
      <c r="H1959" s="5" t="inlineStr">
        <is>
          <t>1</t>
        </is>
      </c>
      <c r="I1959" s="5" t="inlineStr">
        <is>
          <t>Bengaluru</t>
        </is>
      </c>
      <c r="J1959" s="5" t="inlineStr">
        <is>
          <t>Full-Time</t>
        </is>
      </c>
      <c r="K1959" s="7" t="n">
        <v>44159</v>
      </c>
      <c r="L1959" s="7" t="inlineStr"/>
      <c r="M1959" s="5" t="inlineStr">
        <is>
          <t>Yes</t>
        </is>
      </c>
      <c r="N1959" s="5" t="inlineStr"/>
      <c r="O1959" s="8" t="inlineStr">
        <is>
          <t>128000</t>
        </is>
      </c>
      <c r="P1959" s="5" t="inlineStr">
        <is>
          <t>5</t>
        </is>
      </c>
      <c r="Q1959" s="5" t="inlineStr">
        <is>
          <t>4</t>
        </is>
      </c>
      <c r="R1959" s="5" t="inlineStr">
        <is>
          <t>5</t>
        </is>
      </c>
      <c r="S1959" s="5" t="inlineStr">
        <is>
          <t>62</t>
        </is>
      </c>
      <c r="T1959" s="5" t="inlineStr">
        <is>
          <t>0</t>
        </is>
      </c>
      <c r="U1959" s="5">
        <f>IFS(C1959&lt;30,"Under 30",C1959&lt;40,"30-39",C1959&lt;50,"40-49",TRUE,"50+")</f>
        <v/>
      </c>
      <c r="V1959" s="5">
        <f>IFS(O1959&lt;60000,"Low (&lt;60k)",O1959&lt;100000,"Mid (60-100k)",TRUE,"High (100k+)")</f>
        <v/>
      </c>
      <c r="W1959" s="5">
        <f>IF(M1959="No","Attrited","Active")</f>
        <v/>
      </c>
    </row>
    <row r="1960">
      <c r="A1960" s="5" t="inlineStr">
        <is>
          <t>E01959</t>
        </is>
      </c>
      <c r="B1960" s="5" t="inlineStr">
        <is>
          <t>Female</t>
        </is>
      </c>
      <c r="C1960" s="6" t="inlineStr">
        <is>
          <t>27</t>
        </is>
      </c>
      <c r="D1960" s="5" t="inlineStr">
        <is>
          <t>Single</t>
        </is>
      </c>
      <c r="E1960" s="5" t="inlineStr">
        <is>
          <t>Master</t>
        </is>
      </c>
      <c r="F1960" s="5" t="inlineStr">
        <is>
          <t>Operations</t>
        </is>
      </c>
      <c r="G1960" s="5" t="inlineStr">
        <is>
          <t>Quality Analyst</t>
        </is>
      </c>
      <c r="H1960" s="5" t="inlineStr">
        <is>
          <t>3</t>
        </is>
      </c>
      <c r="I1960" s="5" t="inlineStr">
        <is>
          <t>Hyderabad</t>
        </is>
      </c>
      <c r="J1960" s="5" t="inlineStr">
        <is>
          <t>Full-Time</t>
        </is>
      </c>
      <c r="K1960" s="7" t="n">
        <v>44674</v>
      </c>
      <c r="L1960" s="7" t="inlineStr"/>
      <c r="M1960" s="5" t="inlineStr">
        <is>
          <t>Yes</t>
        </is>
      </c>
      <c r="N1960" s="5" t="inlineStr"/>
      <c r="O1960" s="8" t="inlineStr">
        <is>
          <t>116000</t>
        </is>
      </c>
      <c r="P1960" s="5" t="inlineStr">
        <is>
          <t>0</t>
        </is>
      </c>
      <c r="Q1960" s="5" t="inlineStr">
        <is>
          <t>3</t>
        </is>
      </c>
      <c r="R1960" s="5" t="inlineStr">
        <is>
          <t>8</t>
        </is>
      </c>
      <c r="S1960" s="5" t="inlineStr">
        <is>
          <t>44</t>
        </is>
      </c>
      <c r="T1960" s="5" t="inlineStr">
        <is>
          <t>0</t>
        </is>
      </c>
      <c r="U1960" s="5">
        <f>IFS(C1960&lt;30,"Under 30",C1960&lt;40,"30-39",C1960&lt;50,"40-49",TRUE,"50+")</f>
        <v/>
      </c>
      <c r="V1960" s="5">
        <f>IFS(O1960&lt;60000,"Low (&lt;60k)",O1960&lt;100000,"Mid (60-100k)",TRUE,"High (100k+)")</f>
        <v/>
      </c>
      <c r="W1960" s="5">
        <f>IF(M1960="No","Attrited","Active")</f>
        <v/>
      </c>
    </row>
    <row r="1961">
      <c r="A1961" s="5" t="inlineStr">
        <is>
          <t>E01960</t>
        </is>
      </c>
      <c r="B1961" s="5" t="inlineStr">
        <is>
          <t>Male</t>
        </is>
      </c>
      <c r="C1961" s="6" t="inlineStr">
        <is>
          <t>34</t>
        </is>
      </c>
      <c r="D1961" s="5" t="inlineStr">
        <is>
          <t>Married</t>
        </is>
      </c>
      <c r="E1961" s="5" t="inlineStr">
        <is>
          <t>Bachelor</t>
        </is>
      </c>
      <c r="F1961" s="5" t="inlineStr">
        <is>
          <t>Customer Support</t>
        </is>
      </c>
      <c r="G1961" s="5" t="inlineStr">
        <is>
          <t>Escalation Specialist</t>
        </is>
      </c>
      <c r="H1961" s="5" t="inlineStr">
        <is>
          <t>3</t>
        </is>
      </c>
      <c r="I1961" s="5" t="inlineStr">
        <is>
          <t>Bengaluru</t>
        </is>
      </c>
      <c r="J1961" s="5" t="inlineStr">
        <is>
          <t>Full-Time</t>
        </is>
      </c>
      <c r="K1961" s="7" t="n">
        <v>45039</v>
      </c>
      <c r="L1961" s="7" t="inlineStr"/>
      <c r="M1961" s="5" t="inlineStr">
        <is>
          <t>Yes</t>
        </is>
      </c>
      <c r="N1961" s="5" t="inlineStr"/>
      <c r="O1961" s="8" t="inlineStr">
        <is>
          <t>94000</t>
        </is>
      </c>
      <c r="P1961" s="5" t="inlineStr">
        <is>
          <t>0</t>
        </is>
      </c>
      <c r="Q1961" s="5" t="inlineStr">
        <is>
          <t>4</t>
        </is>
      </c>
      <c r="R1961" s="5" t="inlineStr">
        <is>
          <t>7</t>
        </is>
      </c>
      <c r="S1961" s="5" t="inlineStr">
        <is>
          <t>32</t>
        </is>
      </c>
      <c r="T1961" s="5" t="inlineStr">
        <is>
          <t>0</t>
        </is>
      </c>
      <c r="U1961" s="5">
        <f>IFS(C1961&lt;30,"Under 30",C1961&lt;40,"30-39",C1961&lt;50,"40-49",TRUE,"50+")</f>
        <v/>
      </c>
      <c r="V1961" s="5">
        <f>IFS(O1961&lt;60000,"Low (&lt;60k)",O1961&lt;100000,"Mid (60-100k)",TRUE,"High (100k+)")</f>
        <v/>
      </c>
      <c r="W1961" s="5">
        <f>IF(M1961="No","Attrited","Active")</f>
        <v/>
      </c>
    </row>
    <row r="1962">
      <c r="A1962" s="5" t="inlineStr">
        <is>
          <t>E01961</t>
        </is>
      </c>
      <c r="B1962" s="5" t="inlineStr">
        <is>
          <t>Female</t>
        </is>
      </c>
      <c r="C1962" s="6" t="inlineStr">
        <is>
          <t>32</t>
        </is>
      </c>
      <c r="D1962" s="5" t="inlineStr">
        <is>
          <t>Married</t>
        </is>
      </c>
      <c r="E1962" s="5" t="inlineStr">
        <is>
          <t>Diploma</t>
        </is>
      </c>
      <c r="F1962" s="5" t="inlineStr">
        <is>
          <t>Research &amp; Development</t>
        </is>
      </c>
      <c r="G1962" s="5" t="inlineStr">
        <is>
          <t>Research Scientist</t>
        </is>
      </c>
      <c r="H1962" s="5" t="inlineStr">
        <is>
          <t>2</t>
        </is>
      </c>
      <c r="I1962" s="5" t="inlineStr">
        <is>
          <t>Mumbai</t>
        </is>
      </c>
      <c r="J1962" s="5" t="inlineStr">
        <is>
          <t>Full-Time</t>
        </is>
      </c>
      <c r="K1962" s="7" t="n">
        <v>43955</v>
      </c>
      <c r="L1962" s="7" t="n">
        <v>44075</v>
      </c>
      <c r="M1962" s="5" t="inlineStr">
        <is>
          <t>No</t>
        </is>
      </c>
      <c r="N1962" s="5" t="inlineStr">
        <is>
          <t>Layoff</t>
        </is>
      </c>
      <c r="O1962" s="8" t="inlineStr">
        <is>
          <t>163500</t>
        </is>
      </c>
      <c r="P1962" s="5" t="inlineStr">
        <is>
          <t>15</t>
        </is>
      </c>
      <c r="Q1962" s="5" t="inlineStr">
        <is>
          <t>4</t>
        </is>
      </c>
      <c r="R1962" s="5" t="inlineStr">
        <is>
          <t>6</t>
        </is>
      </c>
      <c r="S1962" s="5" t="inlineStr">
        <is>
          <t>4</t>
        </is>
      </c>
      <c r="T1962" s="5" t="inlineStr">
        <is>
          <t>10</t>
        </is>
      </c>
      <c r="U1962" s="5">
        <f>IFS(C1962&lt;30,"Under 30",C1962&lt;40,"30-39",C1962&lt;50,"40-49",TRUE,"50+")</f>
        <v/>
      </c>
      <c r="V1962" s="5">
        <f>IFS(O1962&lt;60000,"Low (&lt;60k)",O1962&lt;100000,"Mid (60-100k)",TRUE,"High (100k+)")</f>
        <v/>
      </c>
      <c r="W1962" s="5">
        <f>IF(M1962="No","Attrited","Active")</f>
        <v/>
      </c>
    </row>
    <row r="1963">
      <c r="A1963" s="5" t="inlineStr">
        <is>
          <t>E01962</t>
        </is>
      </c>
      <c r="B1963" s="5" t="inlineStr">
        <is>
          <t>Male</t>
        </is>
      </c>
      <c r="C1963" s="6" t="inlineStr">
        <is>
          <t>41</t>
        </is>
      </c>
      <c r="D1963" s="5" t="inlineStr">
        <is>
          <t>Married</t>
        </is>
      </c>
      <c r="E1963" s="5" t="inlineStr">
        <is>
          <t>Diploma</t>
        </is>
      </c>
      <c r="F1963" s="5" t="inlineStr">
        <is>
          <t>Marketing</t>
        </is>
      </c>
      <c r="G1963" s="5" t="inlineStr">
        <is>
          <t>Marketing Analyst</t>
        </is>
      </c>
      <c r="H1963" s="5" t="inlineStr">
        <is>
          <t>5</t>
        </is>
      </c>
      <c r="I1963" s="5" t="inlineStr">
        <is>
          <t>Mumbai</t>
        </is>
      </c>
      <c r="J1963" s="5" t="inlineStr">
        <is>
          <t>Full-Time</t>
        </is>
      </c>
      <c r="K1963" s="7" t="n">
        <v>44969</v>
      </c>
      <c r="L1963" s="7" t="inlineStr"/>
      <c r="M1963" s="5" t="inlineStr">
        <is>
          <t>Yes</t>
        </is>
      </c>
      <c r="N1963" s="5" t="inlineStr"/>
      <c r="O1963" s="8" t="inlineStr">
        <is>
          <t>113500</t>
        </is>
      </c>
      <c r="P1963" s="5" t="inlineStr">
        <is>
          <t>15</t>
        </is>
      </c>
      <c r="Q1963" s="5" t="inlineStr">
        <is>
          <t>3</t>
        </is>
      </c>
      <c r="R1963" s="5" t="inlineStr">
        <is>
          <t>5</t>
        </is>
      </c>
      <c r="S1963" s="5" t="inlineStr">
        <is>
          <t>35</t>
        </is>
      </c>
      <c r="T1963" s="5" t="inlineStr">
        <is>
          <t>8</t>
        </is>
      </c>
      <c r="U1963" s="5">
        <f>IFS(C1963&lt;30,"Under 30",C1963&lt;40,"30-39",C1963&lt;50,"40-49",TRUE,"50+")</f>
        <v/>
      </c>
      <c r="V1963" s="5">
        <f>IFS(O1963&lt;60000,"Low (&lt;60k)",O1963&lt;100000,"Mid (60-100k)",TRUE,"High (100k+)")</f>
        <v/>
      </c>
      <c r="W1963" s="5">
        <f>IF(M1963="No","Attrited","Active")</f>
        <v/>
      </c>
    </row>
    <row r="1964">
      <c r="A1964" s="5" t="inlineStr">
        <is>
          <t>E01963</t>
        </is>
      </c>
      <c r="B1964" s="5" t="inlineStr">
        <is>
          <t>Female</t>
        </is>
      </c>
      <c r="C1964" s="6" t="inlineStr">
        <is>
          <t>32</t>
        </is>
      </c>
      <c r="D1964" s="5" t="inlineStr">
        <is>
          <t>Married</t>
        </is>
      </c>
      <c r="E1964" s="5" t="inlineStr">
        <is>
          <t>Diploma</t>
        </is>
      </c>
      <c r="F1964" s="5" t="inlineStr">
        <is>
          <t>Human Resources</t>
        </is>
      </c>
      <c r="G1964" s="5" t="inlineStr">
        <is>
          <t>HR Generalist</t>
        </is>
      </c>
      <c r="H1964" s="5" t="inlineStr">
        <is>
          <t>4</t>
        </is>
      </c>
      <c r="I1964" s="5" t="inlineStr">
        <is>
          <t>Bengaluru</t>
        </is>
      </c>
      <c r="J1964" s="5" t="inlineStr">
        <is>
          <t>Full-Time</t>
        </is>
      </c>
      <c r="K1964" s="7" t="n">
        <v>45504</v>
      </c>
      <c r="L1964" s="7" t="inlineStr"/>
      <c r="M1964" s="5" t="inlineStr">
        <is>
          <t>Yes</t>
        </is>
      </c>
      <c r="N1964" s="5" t="inlineStr"/>
      <c r="O1964" s="8" t="inlineStr">
        <is>
          <t>88000</t>
        </is>
      </c>
      <c r="P1964" s="5" t="inlineStr">
        <is>
          <t>0</t>
        </is>
      </c>
      <c r="Q1964" s="5" t="inlineStr">
        <is>
          <t>4</t>
        </is>
      </c>
      <c r="R1964" s="5" t="inlineStr">
        <is>
          <t>5</t>
        </is>
      </c>
      <c r="S1964" s="5" t="inlineStr">
        <is>
          <t>17</t>
        </is>
      </c>
      <c r="T1964" s="5" t="inlineStr">
        <is>
          <t>2</t>
        </is>
      </c>
      <c r="U1964" s="5">
        <f>IFS(C1964&lt;30,"Under 30",C1964&lt;40,"30-39",C1964&lt;50,"40-49",TRUE,"50+")</f>
        <v/>
      </c>
      <c r="V1964" s="5">
        <f>IFS(O1964&lt;60000,"Low (&lt;60k)",O1964&lt;100000,"Mid (60-100k)",TRUE,"High (100k+)")</f>
        <v/>
      </c>
      <c r="W1964" s="5">
        <f>IF(M1964="No","Attrited","Active")</f>
        <v/>
      </c>
    </row>
    <row r="1965">
      <c r="A1965" s="5" t="inlineStr">
        <is>
          <t>E01964</t>
        </is>
      </c>
      <c r="B1965" s="5" t="inlineStr">
        <is>
          <t>Male</t>
        </is>
      </c>
      <c r="C1965" s="6" t="inlineStr">
        <is>
          <t>31</t>
        </is>
      </c>
      <c r="D1965" s="5" t="inlineStr">
        <is>
          <t>Married</t>
        </is>
      </c>
      <c r="E1965" s="5" t="inlineStr">
        <is>
          <t>Master</t>
        </is>
      </c>
      <c r="F1965" s="5" t="inlineStr">
        <is>
          <t>Marketing</t>
        </is>
      </c>
      <c r="G1965" s="5" t="inlineStr">
        <is>
          <t>SEO Specialist</t>
        </is>
      </c>
      <c r="H1965" s="5" t="inlineStr">
        <is>
          <t>2</t>
        </is>
      </c>
      <c r="I1965" s="5" t="inlineStr">
        <is>
          <t>Hyderabad</t>
        </is>
      </c>
      <c r="J1965" s="5" t="inlineStr">
        <is>
          <t>Part-Time</t>
        </is>
      </c>
      <c r="K1965" s="7" t="n">
        <v>43848</v>
      </c>
      <c r="L1965" s="7" t="inlineStr"/>
      <c r="M1965" s="5" t="inlineStr">
        <is>
          <t>Yes</t>
        </is>
      </c>
      <c r="N1965" s="5" t="inlineStr"/>
      <c r="O1965" s="8" t="inlineStr">
        <is>
          <t>66500</t>
        </is>
      </c>
      <c r="P1965" s="5" t="inlineStr">
        <is>
          <t>10</t>
        </is>
      </c>
      <c r="Q1965" s="5" t="inlineStr">
        <is>
          <t>1</t>
        </is>
      </c>
      <c r="R1965" s="5" t="inlineStr">
        <is>
          <t>6</t>
        </is>
      </c>
      <c r="S1965" s="5" t="inlineStr">
        <is>
          <t>72</t>
        </is>
      </c>
      <c r="T1965" s="5" t="inlineStr">
        <is>
          <t>4</t>
        </is>
      </c>
      <c r="U1965" s="5">
        <f>IFS(C1965&lt;30,"Under 30",C1965&lt;40,"30-39",C1965&lt;50,"40-49",TRUE,"50+")</f>
        <v/>
      </c>
      <c r="V1965" s="5">
        <f>IFS(O1965&lt;60000,"Low (&lt;60k)",O1965&lt;100000,"Mid (60-100k)",TRUE,"High (100k+)")</f>
        <v/>
      </c>
      <c r="W1965" s="5">
        <f>IF(M1965="No","Attrited","Active")</f>
        <v/>
      </c>
    </row>
    <row r="1966">
      <c r="A1966" s="5" t="inlineStr">
        <is>
          <t>E01965</t>
        </is>
      </c>
      <c r="B1966" s="5" t="inlineStr">
        <is>
          <t>Male</t>
        </is>
      </c>
      <c r="C1966" s="6" t="inlineStr">
        <is>
          <t>39</t>
        </is>
      </c>
      <c r="D1966" s="5" t="inlineStr">
        <is>
          <t>Married</t>
        </is>
      </c>
      <c r="E1966" s="5" t="inlineStr">
        <is>
          <t>Diploma</t>
        </is>
      </c>
      <c r="F1966" s="5" t="inlineStr">
        <is>
          <t>Human Resources</t>
        </is>
      </c>
      <c r="G1966" s="5" t="inlineStr">
        <is>
          <t>Recruiter</t>
        </is>
      </c>
      <c r="H1966" s="5" t="inlineStr">
        <is>
          <t>5</t>
        </is>
      </c>
      <c r="I1966" s="5" t="inlineStr">
        <is>
          <t>Chennai</t>
        </is>
      </c>
      <c r="J1966" s="5" t="inlineStr">
        <is>
          <t>Full-Time</t>
        </is>
      </c>
      <c r="K1966" s="7" t="n">
        <v>44668</v>
      </c>
      <c r="L1966" s="7" t="inlineStr"/>
      <c r="M1966" s="5" t="inlineStr">
        <is>
          <t>Yes</t>
        </is>
      </c>
      <c r="N1966" s="5" t="inlineStr"/>
      <c r="O1966" s="8" t="inlineStr">
        <is>
          <t>110000</t>
        </is>
      </c>
      <c r="P1966" s="5" t="inlineStr">
        <is>
          <t>0</t>
        </is>
      </c>
      <c r="Q1966" s="5" t="inlineStr">
        <is>
          <t>4</t>
        </is>
      </c>
      <c r="R1966" s="5" t="inlineStr">
        <is>
          <t>6</t>
        </is>
      </c>
      <c r="S1966" s="5" t="inlineStr">
        <is>
          <t>45</t>
        </is>
      </c>
      <c r="T1966" s="5" t="inlineStr">
        <is>
          <t>0</t>
        </is>
      </c>
      <c r="U1966" s="5">
        <f>IFS(C1966&lt;30,"Under 30",C1966&lt;40,"30-39",C1966&lt;50,"40-49",TRUE,"50+")</f>
        <v/>
      </c>
      <c r="V1966" s="5">
        <f>IFS(O1966&lt;60000,"Low (&lt;60k)",O1966&lt;100000,"Mid (60-100k)",TRUE,"High (100k+)")</f>
        <v/>
      </c>
      <c r="W1966" s="5">
        <f>IF(M1966="No","Attrited","Active")</f>
        <v/>
      </c>
    </row>
    <row r="1967">
      <c r="A1967" s="5" t="inlineStr">
        <is>
          <t>E01966</t>
        </is>
      </c>
      <c r="B1967" s="5" t="inlineStr">
        <is>
          <t>Male</t>
        </is>
      </c>
      <c r="C1967" s="6" t="inlineStr">
        <is>
          <t>25</t>
        </is>
      </c>
      <c r="D1967" s="5" t="inlineStr">
        <is>
          <t>Married</t>
        </is>
      </c>
      <c r="E1967" s="5" t="inlineStr">
        <is>
          <t>Bachelor</t>
        </is>
      </c>
      <c r="F1967" s="5" t="inlineStr">
        <is>
          <t>Human Resources</t>
        </is>
      </c>
      <c r="G1967" s="5" t="inlineStr">
        <is>
          <t>HR Analyst</t>
        </is>
      </c>
      <c r="H1967" s="5" t="inlineStr">
        <is>
          <t>2</t>
        </is>
      </c>
      <c r="I1967" s="5" t="inlineStr">
        <is>
          <t>Chennai</t>
        </is>
      </c>
      <c r="J1967" s="5" t="inlineStr">
        <is>
          <t>Full-Time</t>
        </is>
      </c>
      <c r="K1967" s="7" t="n">
        <v>45184</v>
      </c>
      <c r="L1967" s="7" t="inlineStr"/>
      <c r="M1967" s="5" t="inlineStr">
        <is>
          <t>Yes</t>
        </is>
      </c>
      <c r="N1967" s="5" t="inlineStr"/>
      <c r="O1967" s="8" t="inlineStr">
        <is>
          <t>112000</t>
        </is>
      </c>
      <c r="P1967" s="5" t="inlineStr">
        <is>
          <t>15</t>
        </is>
      </c>
      <c r="Q1967" s="5" t="inlineStr">
        <is>
          <t>3</t>
        </is>
      </c>
      <c r="R1967" s="5" t="inlineStr">
        <is>
          <t>5</t>
        </is>
      </c>
      <c r="S1967" s="5" t="inlineStr">
        <is>
          <t>27</t>
        </is>
      </c>
      <c r="T1967" s="5" t="inlineStr">
        <is>
          <t>14</t>
        </is>
      </c>
      <c r="U1967" s="5">
        <f>IFS(C1967&lt;30,"Under 30",C1967&lt;40,"30-39",C1967&lt;50,"40-49",TRUE,"50+")</f>
        <v/>
      </c>
      <c r="V1967" s="5">
        <f>IFS(O1967&lt;60000,"Low (&lt;60k)",O1967&lt;100000,"Mid (60-100k)",TRUE,"High (100k+)")</f>
        <v/>
      </c>
      <c r="W1967" s="5">
        <f>IF(M1967="No","Attrited","Active")</f>
        <v/>
      </c>
    </row>
    <row r="1968">
      <c r="A1968" s="5" t="inlineStr">
        <is>
          <t>E01967</t>
        </is>
      </c>
      <c r="B1968" s="5" t="inlineStr">
        <is>
          <t>Male</t>
        </is>
      </c>
      <c r="C1968" s="6" t="inlineStr">
        <is>
          <t>35</t>
        </is>
      </c>
      <c r="D1968" s="5" t="inlineStr">
        <is>
          <t>Married</t>
        </is>
      </c>
      <c r="E1968" s="5" t="inlineStr">
        <is>
          <t>Diploma</t>
        </is>
      </c>
      <c r="F1968" s="5" t="inlineStr">
        <is>
          <t>IT</t>
        </is>
      </c>
      <c r="G1968" s="5" t="inlineStr">
        <is>
          <t>IT Support</t>
        </is>
      </c>
      <c r="H1968" s="5" t="inlineStr">
        <is>
          <t>5</t>
        </is>
      </c>
      <c r="I1968" s="5" t="inlineStr">
        <is>
          <t>Delhi</t>
        </is>
      </c>
      <c r="J1968" s="5" t="inlineStr">
        <is>
          <t>Full-Time</t>
        </is>
      </c>
      <c r="K1968" s="7" t="n">
        <v>44941</v>
      </c>
      <c r="L1968" s="7" t="n">
        <v>45054</v>
      </c>
      <c r="M1968" s="5" t="inlineStr">
        <is>
          <t>No</t>
        </is>
      </c>
      <c r="N1968" s="5" t="inlineStr">
        <is>
          <t>Resigned</t>
        </is>
      </c>
      <c r="O1968" s="8" t="inlineStr">
        <is>
          <t>136500</t>
        </is>
      </c>
      <c r="P1968" s="5" t="inlineStr">
        <is>
          <t>20</t>
        </is>
      </c>
      <c r="Q1968" s="5" t="inlineStr">
        <is>
          <t>2</t>
        </is>
      </c>
      <c r="R1968" s="5" t="inlineStr">
        <is>
          <t>8</t>
        </is>
      </c>
      <c r="S1968" s="5" t="inlineStr">
        <is>
          <t>3</t>
        </is>
      </c>
      <c r="T1968" s="5" t="inlineStr">
        <is>
          <t>1</t>
        </is>
      </c>
      <c r="U1968" s="5">
        <f>IFS(C1968&lt;30,"Under 30",C1968&lt;40,"30-39",C1968&lt;50,"40-49",TRUE,"50+")</f>
        <v/>
      </c>
      <c r="V1968" s="5">
        <f>IFS(O1968&lt;60000,"Low (&lt;60k)",O1968&lt;100000,"Mid (60-100k)",TRUE,"High (100k+)")</f>
        <v/>
      </c>
      <c r="W1968" s="5">
        <f>IF(M1968="No","Attrited","Active")</f>
        <v/>
      </c>
    </row>
    <row r="1969">
      <c r="A1969" s="5" t="inlineStr">
        <is>
          <t>E01968</t>
        </is>
      </c>
      <c r="B1969" s="5" t="inlineStr">
        <is>
          <t>Female</t>
        </is>
      </c>
      <c r="C1969" s="6" t="inlineStr">
        <is>
          <t>39</t>
        </is>
      </c>
      <c r="D1969" s="5" t="inlineStr">
        <is>
          <t>Single</t>
        </is>
      </c>
      <c r="E1969" s="5" t="inlineStr">
        <is>
          <t>High School</t>
        </is>
      </c>
      <c r="F1969" s="5" t="inlineStr">
        <is>
          <t>Research &amp; Development</t>
        </is>
      </c>
      <c r="G1969" s="5" t="inlineStr">
        <is>
          <t>Product Engineer</t>
        </is>
      </c>
      <c r="H1969" s="5" t="inlineStr">
        <is>
          <t>6</t>
        </is>
      </c>
      <c r="I1969" s="5" t="inlineStr">
        <is>
          <t>Remote</t>
        </is>
      </c>
      <c r="J1969" s="5" t="inlineStr">
        <is>
          <t>Full-Time</t>
        </is>
      </c>
      <c r="K1969" s="7" t="n">
        <v>44928</v>
      </c>
      <c r="L1969" s="7" t="inlineStr"/>
      <c r="M1969" s="5" t="inlineStr">
        <is>
          <t>Yes</t>
        </is>
      </c>
      <c r="N1969" s="5" t="inlineStr"/>
      <c r="O1969" s="8" t="inlineStr">
        <is>
          <t>257000</t>
        </is>
      </c>
      <c r="P1969" s="5" t="inlineStr">
        <is>
          <t>15</t>
        </is>
      </c>
      <c r="Q1969" s="5" t="inlineStr">
        <is>
          <t>5</t>
        </is>
      </c>
      <c r="R1969" s="5" t="inlineStr">
        <is>
          <t>6</t>
        </is>
      </c>
      <c r="S1969" s="5" t="inlineStr">
        <is>
          <t>36</t>
        </is>
      </c>
      <c r="T1969" s="5" t="inlineStr">
        <is>
          <t>12</t>
        </is>
      </c>
      <c r="U1969" s="5">
        <f>IFS(C1969&lt;30,"Under 30",C1969&lt;40,"30-39",C1969&lt;50,"40-49",TRUE,"50+")</f>
        <v/>
      </c>
      <c r="V1969" s="5">
        <f>IFS(O1969&lt;60000,"Low (&lt;60k)",O1969&lt;100000,"Mid (60-100k)",TRUE,"High (100k+)")</f>
        <v/>
      </c>
      <c r="W1969" s="5">
        <f>IF(M1969="No","Attrited","Active")</f>
        <v/>
      </c>
    </row>
    <row r="1970">
      <c r="A1970" s="5" t="inlineStr">
        <is>
          <t>E01969</t>
        </is>
      </c>
      <c r="B1970" s="5" t="inlineStr">
        <is>
          <t>Female</t>
        </is>
      </c>
      <c r="C1970" s="6" t="inlineStr">
        <is>
          <t>34</t>
        </is>
      </c>
      <c r="D1970" s="5" t="inlineStr">
        <is>
          <t>Single</t>
        </is>
      </c>
      <c r="E1970" s="5" t="inlineStr">
        <is>
          <t>Bachelor</t>
        </is>
      </c>
      <c r="F1970" s="5" t="inlineStr">
        <is>
          <t>IT</t>
        </is>
      </c>
      <c r="G1970" s="5" t="inlineStr">
        <is>
          <t>DevOps Engineer</t>
        </is>
      </c>
      <c r="H1970" s="5" t="inlineStr">
        <is>
          <t>1</t>
        </is>
      </c>
      <c r="I1970" s="5" t="inlineStr">
        <is>
          <t>Bengaluru</t>
        </is>
      </c>
      <c r="J1970" s="5" t="inlineStr">
        <is>
          <t>Full-Time</t>
        </is>
      </c>
      <c r="K1970" s="7" t="n">
        <v>43929</v>
      </c>
      <c r="L1970" s="7" t="inlineStr"/>
      <c r="M1970" s="5" t="inlineStr">
        <is>
          <t>Yes</t>
        </is>
      </c>
      <c r="N1970" s="5" t="inlineStr"/>
      <c r="O1970" s="8" t="inlineStr">
        <is>
          <t>117500</t>
        </is>
      </c>
      <c r="P1970" s="5" t="inlineStr">
        <is>
          <t>15</t>
        </is>
      </c>
      <c r="Q1970" s="5" t="inlineStr">
        <is>
          <t>3</t>
        </is>
      </c>
      <c r="R1970" s="5" t="inlineStr">
        <is>
          <t>10</t>
        </is>
      </c>
      <c r="S1970" s="5" t="inlineStr">
        <is>
          <t>69</t>
        </is>
      </c>
      <c r="T1970" s="5" t="inlineStr">
        <is>
          <t>0</t>
        </is>
      </c>
      <c r="U1970" s="5">
        <f>IFS(C1970&lt;30,"Under 30",C1970&lt;40,"30-39",C1970&lt;50,"40-49",TRUE,"50+")</f>
        <v/>
      </c>
      <c r="V1970" s="5">
        <f>IFS(O1970&lt;60000,"Low (&lt;60k)",O1970&lt;100000,"Mid (60-100k)",TRUE,"High (100k+)")</f>
        <v/>
      </c>
      <c r="W1970" s="5">
        <f>IF(M1970="No","Attrited","Active")</f>
        <v/>
      </c>
    </row>
    <row r="1971">
      <c r="A1971" s="5" t="inlineStr">
        <is>
          <t>E01970</t>
        </is>
      </c>
      <c r="B1971" s="5" t="inlineStr">
        <is>
          <t>Female</t>
        </is>
      </c>
      <c r="C1971" s="6" t="inlineStr">
        <is>
          <t>25</t>
        </is>
      </c>
      <c r="D1971" s="5" t="inlineStr">
        <is>
          <t>Married</t>
        </is>
      </c>
      <c r="E1971" s="5" t="inlineStr">
        <is>
          <t>PhD</t>
        </is>
      </c>
      <c r="F1971" s="5" t="inlineStr">
        <is>
          <t>Finance</t>
        </is>
      </c>
      <c r="G1971" s="5" t="inlineStr">
        <is>
          <t>Financial Analyst</t>
        </is>
      </c>
      <c r="H1971" s="5" t="inlineStr">
        <is>
          <t>2</t>
        </is>
      </c>
      <c r="I1971" s="5" t="inlineStr">
        <is>
          <t>Hyderabad</t>
        </is>
      </c>
      <c r="J1971" s="5" t="inlineStr">
        <is>
          <t>Full-Time</t>
        </is>
      </c>
      <c r="K1971" s="7" t="n">
        <v>45002</v>
      </c>
      <c r="L1971" s="7" t="n">
        <v>45069</v>
      </c>
      <c r="M1971" s="5" t="inlineStr">
        <is>
          <t>No</t>
        </is>
      </c>
      <c r="N1971" s="5" t="inlineStr">
        <is>
          <t>Layoff</t>
        </is>
      </c>
      <c r="O1971" s="8" t="inlineStr">
        <is>
          <t>118500</t>
        </is>
      </c>
      <c r="P1971" s="5" t="inlineStr">
        <is>
          <t>15</t>
        </is>
      </c>
      <c r="Q1971" s="5" t="inlineStr">
        <is>
          <t>3</t>
        </is>
      </c>
      <c r="R1971" s="5" t="inlineStr">
        <is>
          <t>10</t>
        </is>
      </c>
      <c r="S1971" s="5" t="inlineStr">
        <is>
          <t>2</t>
        </is>
      </c>
      <c r="T1971" s="5" t="inlineStr">
        <is>
          <t>0</t>
        </is>
      </c>
      <c r="U1971" s="5">
        <f>IFS(C1971&lt;30,"Under 30",C1971&lt;40,"30-39",C1971&lt;50,"40-49",TRUE,"50+")</f>
        <v/>
      </c>
      <c r="V1971" s="5">
        <f>IFS(O1971&lt;60000,"Low (&lt;60k)",O1971&lt;100000,"Mid (60-100k)",TRUE,"High (100k+)")</f>
        <v/>
      </c>
      <c r="W1971" s="5">
        <f>IF(M1971="No","Attrited","Active")</f>
        <v/>
      </c>
    </row>
    <row r="1972">
      <c r="A1972" s="5" t="inlineStr">
        <is>
          <t>E01971</t>
        </is>
      </c>
      <c r="B1972" s="5" t="inlineStr">
        <is>
          <t>Female</t>
        </is>
      </c>
      <c r="C1972" s="6" t="inlineStr">
        <is>
          <t>24</t>
        </is>
      </c>
      <c r="D1972" s="5" t="inlineStr">
        <is>
          <t>Married</t>
        </is>
      </c>
      <c r="E1972" s="5" t="inlineStr">
        <is>
          <t>High School</t>
        </is>
      </c>
      <c r="F1972" s="5" t="inlineStr">
        <is>
          <t>IT</t>
        </is>
      </c>
      <c r="G1972" s="5" t="inlineStr">
        <is>
          <t>DevOps Engineer</t>
        </is>
      </c>
      <c r="H1972" s="5" t="inlineStr">
        <is>
          <t>1</t>
        </is>
      </c>
      <c r="I1972" s="5" t="inlineStr">
        <is>
          <t>Bengaluru</t>
        </is>
      </c>
      <c r="J1972" s="5" t="inlineStr">
        <is>
          <t>Part-Time</t>
        </is>
      </c>
      <c r="K1972" s="7" t="n">
        <v>44656</v>
      </c>
      <c r="L1972" s="7" t="inlineStr"/>
      <c r="M1972" s="5" t="inlineStr">
        <is>
          <t>Yes</t>
        </is>
      </c>
      <c r="N1972" s="5" t="inlineStr"/>
      <c r="O1972" s="8" t="inlineStr">
        <is>
          <t>83000</t>
        </is>
      </c>
      <c r="P1972" s="5" t="inlineStr">
        <is>
          <t>15</t>
        </is>
      </c>
      <c r="Q1972" s="5" t="inlineStr">
        <is>
          <t>5</t>
        </is>
      </c>
      <c r="R1972" s="5" t="inlineStr">
        <is>
          <t>8</t>
        </is>
      </c>
      <c r="S1972" s="5" t="inlineStr">
        <is>
          <t>45</t>
        </is>
      </c>
      <c r="T1972" s="5" t="inlineStr">
        <is>
          <t>3</t>
        </is>
      </c>
      <c r="U1972" s="5">
        <f>IFS(C1972&lt;30,"Under 30",C1972&lt;40,"30-39",C1972&lt;50,"40-49",TRUE,"50+")</f>
        <v/>
      </c>
      <c r="V1972" s="5">
        <f>IFS(O1972&lt;60000,"Low (&lt;60k)",O1972&lt;100000,"Mid (60-100k)",TRUE,"High (100k+)")</f>
        <v/>
      </c>
      <c r="W1972" s="5">
        <f>IF(M1972="No","Attrited","Active")</f>
        <v/>
      </c>
    </row>
    <row r="1973">
      <c r="A1973" s="5" t="inlineStr">
        <is>
          <t>E01972</t>
        </is>
      </c>
      <c r="B1973" s="5" t="inlineStr">
        <is>
          <t>Female</t>
        </is>
      </c>
      <c r="C1973" s="6" t="inlineStr">
        <is>
          <t>34</t>
        </is>
      </c>
      <c r="D1973" s="5" t="inlineStr">
        <is>
          <t>Married</t>
        </is>
      </c>
      <c r="E1973" s="5" t="inlineStr">
        <is>
          <t>High School</t>
        </is>
      </c>
      <c r="F1973" s="5" t="inlineStr">
        <is>
          <t>IT</t>
        </is>
      </c>
      <c r="G1973" s="5" t="inlineStr">
        <is>
          <t>Data Analyst</t>
        </is>
      </c>
      <c r="H1973" s="5" t="inlineStr">
        <is>
          <t>2</t>
        </is>
      </c>
      <c r="I1973" s="5" t="inlineStr">
        <is>
          <t>Bengaluru</t>
        </is>
      </c>
      <c r="J1973" s="5" t="inlineStr">
        <is>
          <t>Full-Time</t>
        </is>
      </c>
      <c r="K1973" s="7" t="n">
        <v>45492</v>
      </c>
      <c r="L1973" s="7" t="inlineStr"/>
      <c r="M1973" s="5" t="inlineStr">
        <is>
          <t>Yes</t>
        </is>
      </c>
      <c r="N1973" s="5" t="inlineStr"/>
      <c r="O1973" s="8" t="inlineStr">
        <is>
          <t>102500</t>
        </is>
      </c>
      <c r="P1973" s="5" t="inlineStr">
        <is>
          <t>0</t>
        </is>
      </c>
      <c r="Q1973" s="5" t="inlineStr">
        <is>
          <t>4</t>
        </is>
      </c>
      <c r="R1973" s="5" t="inlineStr">
        <is>
          <t>5</t>
        </is>
      </c>
      <c r="S1973" s="5" t="inlineStr">
        <is>
          <t>17</t>
        </is>
      </c>
      <c r="T1973" s="5" t="inlineStr">
        <is>
          <t>7</t>
        </is>
      </c>
      <c r="U1973" s="5">
        <f>IFS(C1973&lt;30,"Under 30",C1973&lt;40,"30-39",C1973&lt;50,"40-49",TRUE,"50+")</f>
        <v/>
      </c>
      <c r="V1973" s="5">
        <f>IFS(O1973&lt;60000,"Low (&lt;60k)",O1973&lt;100000,"Mid (60-100k)",TRUE,"High (100k+)")</f>
        <v/>
      </c>
      <c r="W1973" s="5">
        <f>IF(M1973="No","Attrited","Active")</f>
        <v/>
      </c>
    </row>
    <row r="1974">
      <c r="A1974" s="5" t="inlineStr">
        <is>
          <t>E01973</t>
        </is>
      </c>
      <c r="B1974" s="5" t="inlineStr">
        <is>
          <t>Male</t>
        </is>
      </c>
      <c r="C1974" s="6" t="inlineStr">
        <is>
          <t>34</t>
        </is>
      </c>
      <c r="D1974" s="5" t="inlineStr">
        <is>
          <t>Married</t>
        </is>
      </c>
      <c r="E1974" s="5" t="inlineStr">
        <is>
          <t>Bachelor</t>
        </is>
      </c>
      <c r="F1974" s="5" t="inlineStr">
        <is>
          <t>Operations</t>
        </is>
      </c>
      <c r="G1974" s="5" t="inlineStr">
        <is>
          <t>Operations Analyst</t>
        </is>
      </c>
      <c r="H1974" s="5" t="inlineStr">
        <is>
          <t>4</t>
        </is>
      </c>
      <c r="I1974" s="5" t="inlineStr">
        <is>
          <t>Remote</t>
        </is>
      </c>
      <c r="J1974" s="5" t="inlineStr">
        <is>
          <t>Full-Time</t>
        </is>
      </c>
      <c r="K1974" s="7" t="n">
        <v>45419</v>
      </c>
      <c r="L1974" s="7" t="inlineStr"/>
      <c r="M1974" s="5" t="inlineStr">
        <is>
          <t>Yes</t>
        </is>
      </c>
      <c r="N1974" s="5" t="inlineStr"/>
      <c r="O1974" s="8" t="inlineStr">
        <is>
          <t>120000</t>
        </is>
      </c>
      <c r="P1974" s="5" t="inlineStr">
        <is>
          <t>5</t>
        </is>
      </c>
      <c r="Q1974" s="5" t="inlineStr">
        <is>
          <t>3</t>
        </is>
      </c>
      <c r="R1974" s="5" t="inlineStr">
        <is>
          <t>5</t>
        </is>
      </c>
      <c r="S1974" s="5" t="inlineStr">
        <is>
          <t>20</t>
        </is>
      </c>
      <c r="T1974" s="5" t="inlineStr">
        <is>
          <t>0</t>
        </is>
      </c>
      <c r="U1974" s="5">
        <f>IFS(C1974&lt;30,"Under 30",C1974&lt;40,"30-39",C1974&lt;50,"40-49",TRUE,"50+")</f>
        <v/>
      </c>
      <c r="V1974" s="5">
        <f>IFS(O1974&lt;60000,"Low (&lt;60k)",O1974&lt;100000,"Mid (60-100k)",TRUE,"High (100k+)")</f>
        <v/>
      </c>
      <c r="W1974" s="5">
        <f>IF(M1974="No","Attrited","Active")</f>
        <v/>
      </c>
    </row>
    <row r="1975">
      <c r="A1975" s="5" t="inlineStr">
        <is>
          <t>E01974</t>
        </is>
      </c>
      <c r="B1975" s="5" t="inlineStr">
        <is>
          <t>Female</t>
        </is>
      </c>
      <c r="C1975" s="6" t="inlineStr">
        <is>
          <t>27</t>
        </is>
      </c>
      <c r="D1975" s="5" t="inlineStr">
        <is>
          <t>Divorced</t>
        </is>
      </c>
      <c r="E1975" s="5" t="inlineStr">
        <is>
          <t>High School</t>
        </is>
      </c>
      <c r="F1975" s="5" t="inlineStr">
        <is>
          <t>Customer Support</t>
        </is>
      </c>
      <c r="G1975" s="5" t="inlineStr">
        <is>
          <t>Support Lead</t>
        </is>
      </c>
      <c r="H1975" s="5" t="inlineStr">
        <is>
          <t>3</t>
        </is>
      </c>
      <c r="I1975" s="5" t="inlineStr">
        <is>
          <t>Bengaluru</t>
        </is>
      </c>
      <c r="J1975" s="5" t="inlineStr">
        <is>
          <t>Full-Time</t>
        </is>
      </c>
      <c r="K1975" s="7" t="n">
        <v>44023</v>
      </c>
      <c r="L1975" s="7" t="inlineStr"/>
      <c r="M1975" s="5" t="inlineStr">
        <is>
          <t>Yes</t>
        </is>
      </c>
      <c r="N1975" s="5" t="inlineStr"/>
      <c r="O1975" s="8" t="inlineStr">
        <is>
          <t>94000</t>
        </is>
      </c>
      <c r="P1975" s="5" t="inlineStr">
        <is>
          <t>0</t>
        </is>
      </c>
      <c r="Q1975" s="5" t="inlineStr">
        <is>
          <t>4</t>
        </is>
      </c>
      <c r="R1975" s="5" t="inlineStr">
        <is>
          <t>7</t>
        </is>
      </c>
      <c r="S1975" s="5" t="inlineStr">
        <is>
          <t>66</t>
        </is>
      </c>
      <c r="T1975" s="5" t="inlineStr">
        <is>
          <t>0</t>
        </is>
      </c>
      <c r="U1975" s="5">
        <f>IFS(C1975&lt;30,"Under 30",C1975&lt;40,"30-39",C1975&lt;50,"40-49",TRUE,"50+")</f>
        <v/>
      </c>
      <c r="V1975" s="5">
        <f>IFS(O1975&lt;60000,"Low (&lt;60k)",O1975&lt;100000,"Mid (60-100k)",TRUE,"High (100k+)")</f>
        <v/>
      </c>
      <c r="W1975" s="5">
        <f>IF(M1975="No","Attrited","Active")</f>
        <v/>
      </c>
    </row>
    <row r="1976">
      <c r="A1976" s="5" t="inlineStr">
        <is>
          <t>E01975</t>
        </is>
      </c>
      <c r="B1976" s="5" t="inlineStr">
        <is>
          <t>Male</t>
        </is>
      </c>
      <c r="C1976" s="6" t="inlineStr">
        <is>
          <t>33</t>
        </is>
      </c>
      <c r="D1976" s="5" t="inlineStr">
        <is>
          <t>Married</t>
        </is>
      </c>
      <c r="E1976" s="5" t="inlineStr">
        <is>
          <t>High School</t>
        </is>
      </c>
      <c r="F1976" s="5" t="inlineStr">
        <is>
          <t>Customer Support</t>
        </is>
      </c>
      <c r="G1976" s="5" t="inlineStr">
        <is>
          <t>Support Lead</t>
        </is>
      </c>
      <c r="H1976" s="5" t="inlineStr">
        <is>
          <t>3</t>
        </is>
      </c>
      <c r="I1976" s="5" t="inlineStr">
        <is>
          <t>Hyderabad</t>
        </is>
      </c>
      <c r="J1976" s="5" t="inlineStr">
        <is>
          <t>Full-Time</t>
        </is>
      </c>
      <c r="K1976" s="7" t="n">
        <v>44822</v>
      </c>
      <c r="L1976" s="7" t="inlineStr"/>
      <c r="M1976" s="5" t="inlineStr">
        <is>
          <t>Yes</t>
        </is>
      </c>
      <c r="N1976" s="5" t="inlineStr"/>
      <c r="O1976" s="8" t="inlineStr">
        <is>
          <t>65500</t>
        </is>
      </c>
      <c r="P1976" s="5" t="inlineStr">
        <is>
          <t>15</t>
        </is>
      </c>
      <c r="Q1976" s="5" t="inlineStr">
        <is>
          <t>4</t>
        </is>
      </c>
      <c r="R1976" s="5" t="inlineStr">
        <is>
          <t>6</t>
        </is>
      </c>
      <c r="S1976" s="5" t="inlineStr">
        <is>
          <t>40</t>
        </is>
      </c>
      <c r="T1976" s="5" t="inlineStr">
        <is>
          <t>0</t>
        </is>
      </c>
      <c r="U1976" s="5">
        <f>IFS(C1976&lt;30,"Under 30",C1976&lt;40,"30-39",C1976&lt;50,"40-49",TRUE,"50+")</f>
        <v/>
      </c>
      <c r="V1976" s="5">
        <f>IFS(O1976&lt;60000,"Low (&lt;60k)",O1976&lt;100000,"Mid (60-100k)",TRUE,"High (100k+)")</f>
        <v/>
      </c>
      <c r="W1976" s="5">
        <f>IF(M1976="No","Attrited","Active")</f>
        <v/>
      </c>
    </row>
    <row r="1977">
      <c r="A1977" s="5" t="inlineStr">
        <is>
          <t>E01976</t>
        </is>
      </c>
      <c r="B1977" s="5" t="inlineStr">
        <is>
          <t>Male</t>
        </is>
      </c>
      <c r="C1977" s="6" t="inlineStr">
        <is>
          <t>24</t>
        </is>
      </c>
      <c r="D1977" s="5" t="inlineStr">
        <is>
          <t>Divorced</t>
        </is>
      </c>
      <c r="E1977" s="5" t="inlineStr">
        <is>
          <t>PhD</t>
        </is>
      </c>
      <c r="F1977" s="5" t="inlineStr">
        <is>
          <t>Finance</t>
        </is>
      </c>
      <c r="G1977" s="5" t="inlineStr">
        <is>
          <t>Credit Analyst</t>
        </is>
      </c>
      <c r="H1977" s="5" t="inlineStr">
        <is>
          <t>1</t>
        </is>
      </c>
      <c r="I1977" s="5" t="inlineStr">
        <is>
          <t>Hyderabad</t>
        </is>
      </c>
      <c r="J1977" s="5" t="inlineStr">
        <is>
          <t>Full-Time</t>
        </is>
      </c>
      <c r="K1977" s="7" t="n">
        <v>45156</v>
      </c>
      <c r="L1977" s="7" t="inlineStr"/>
      <c r="M1977" s="5" t="inlineStr">
        <is>
          <t>Yes</t>
        </is>
      </c>
      <c r="N1977" s="5" t="inlineStr"/>
      <c r="O1977" s="8" t="inlineStr">
        <is>
          <t>97000</t>
        </is>
      </c>
      <c r="P1977" s="5" t="inlineStr">
        <is>
          <t>5</t>
        </is>
      </c>
      <c r="Q1977" s="5" t="inlineStr">
        <is>
          <t>3</t>
        </is>
      </c>
      <c r="R1977" s="5" t="inlineStr">
        <is>
          <t>4</t>
        </is>
      </c>
      <c r="S1977" s="5" t="inlineStr">
        <is>
          <t>28</t>
        </is>
      </c>
      <c r="T1977" s="5" t="inlineStr">
        <is>
          <t>3</t>
        </is>
      </c>
      <c r="U1977" s="5">
        <f>IFS(C1977&lt;30,"Under 30",C1977&lt;40,"30-39",C1977&lt;50,"40-49",TRUE,"50+")</f>
        <v/>
      </c>
      <c r="V1977" s="5">
        <f>IFS(O1977&lt;60000,"Low (&lt;60k)",O1977&lt;100000,"Mid (60-100k)",TRUE,"High (100k+)")</f>
        <v/>
      </c>
      <c r="W1977" s="5">
        <f>IF(M1977="No","Attrited","Active")</f>
        <v/>
      </c>
    </row>
    <row r="1978">
      <c r="A1978" s="5" t="inlineStr">
        <is>
          <t>E01977</t>
        </is>
      </c>
      <c r="B1978" s="5" t="inlineStr">
        <is>
          <t>Female</t>
        </is>
      </c>
      <c r="C1978" s="6" t="inlineStr">
        <is>
          <t>32</t>
        </is>
      </c>
      <c r="D1978" s="5" t="inlineStr">
        <is>
          <t>Married</t>
        </is>
      </c>
      <c r="E1978" s="5" t="inlineStr">
        <is>
          <t>Master</t>
        </is>
      </c>
      <c r="F1978" s="5" t="inlineStr">
        <is>
          <t>Marketing</t>
        </is>
      </c>
      <c r="G1978" s="5" t="inlineStr">
        <is>
          <t>SEO Specialist</t>
        </is>
      </c>
      <c r="H1978" s="5" t="inlineStr">
        <is>
          <t>1</t>
        </is>
      </c>
      <c r="I1978" s="5" t="inlineStr">
        <is>
          <t>Chennai</t>
        </is>
      </c>
      <c r="J1978" s="5" t="inlineStr">
        <is>
          <t>Full-Time</t>
        </is>
      </c>
      <c r="K1978" s="7" t="n">
        <v>44287</v>
      </c>
      <c r="L1978" s="7" t="inlineStr"/>
      <c r="M1978" s="5" t="inlineStr">
        <is>
          <t>Yes</t>
        </is>
      </c>
      <c r="N1978" s="5" t="inlineStr"/>
      <c r="O1978" s="8" t="inlineStr">
        <is>
          <t>67500</t>
        </is>
      </c>
      <c r="P1978" s="5" t="inlineStr">
        <is>
          <t>15</t>
        </is>
      </c>
      <c r="Q1978" s="5" t="inlineStr">
        <is>
          <t>5</t>
        </is>
      </c>
      <c r="R1978" s="5" t="inlineStr">
        <is>
          <t>9</t>
        </is>
      </c>
      <c r="S1978" s="5" t="inlineStr">
        <is>
          <t>57</t>
        </is>
      </c>
      <c r="T1978" s="5" t="inlineStr">
        <is>
          <t>11</t>
        </is>
      </c>
      <c r="U1978" s="5">
        <f>IFS(C1978&lt;30,"Under 30",C1978&lt;40,"30-39",C1978&lt;50,"40-49",TRUE,"50+")</f>
        <v/>
      </c>
      <c r="V1978" s="5">
        <f>IFS(O1978&lt;60000,"Low (&lt;60k)",O1978&lt;100000,"Mid (60-100k)",TRUE,"High (100k+)")</f>
        <v/>
      </c>
      <c r="W1978" s="5">
        <f>IF(M1978="No","Attrited","Active")</f>
        <v/>
      </c>
    </row>
    <row r="1979">
      <c r="A1979" s="5" t="inlineStr">
        <is>
          <t>E01978</t>
        </is>
      </c>
      <c r="B1979" s="5" t="inlineStr">
        <is>
          <t>Male</t>
        </is>
      </c>
      <c r="C1979" s="6" t="inlineStr">
        <is>
          <t>29</t>
        </is>
      </c>
      <c r="D1979" s="5" t="inlineStr">
        <is>
          <t>Married</t>
        </is>
      </c>
      <c r="E1979" s="5" t="inlineStr">
        <is>
          <t>Master</t>
        </is>
      </c>
      <c r="F1979" s="5" t="inlineStr">
        <is>
          <t>Customer Support</t>
        </is>
      </c>
      <c r="G1979" s="5" t="inlineStr">
        <is>
          <t>Support Lead</t>
        </is>
      </c>
      <c r="H1979" s="5" t="inlineStr">
        <is>
          <t>2</t>
        </is>
      </c>
      <c r="I1979" s="5" t="inlineStr">
        <is>
          <t>Bengaluru</t>
        </is>
      </c>
      <c r="J1979" s="5" t="inlineStr">
        <is>
          <t>Full-Time</t>
        </is>
      </c>
      <c r="K1979" s="7" t="n">
        <v>45472</v>
      </c>
      <c r="L1979" s="7" t="inlineStr"/>
      <c r="M1979" s="5" t="inlineStr">
        <is>
          <t>Yes</t>
        </is>
      </c>
      <c r="N1979" s="5" t="inlineStr"/>
      <c r="O1979" s="8" t="inlineStr">
        <is>
          <t>69500</t>
        </is>
      </c>
      <c r="P1979" s="5" t="inlineStr">
        <is>
          <t>5</t>
        </is>
      </c>
      <c r="Q1979" s="5" t="inlineStr">
        <is>
          <t>4</t>
        </is>
      </c>
      <c r="R1979" s="5" t="inlineStr">
        <is>
          <t>7</t>
        </is>
      </c>
      <c r="S1979" s="5" t="inlineStr">
        <is>
          <t>18</t>
        </is>
      </c>
      <c r="T1979" s="5" t="inlineStr">
        <is>
          <t>6</t>
        </is>
      </c>
      <c r="U1979" s="5">
        <f>IFS(C1979&lt;30,"Under 30",C1979&lt;40,"30-39",C1979&lt;50,"40-49",TRUE,"50+")</f>
        <v/>
      </c>
      <c r="V1979" s="5">
        <f>IFS(O1979&lt;60000,"Low (&lt;60k)",O1979&lt;100000,"Mid (60-100k)",TRUE,"High (100k+)")</f>
        <v/>
      </c>
      <c r="W1979" s="5">
        <f>IF(M1979="No","Attrited","Active")</f>
        <v/>
      </c>
    </row>
    <row r="1980">
      <c r="A1980" s="5" t="inlineStr">
        <is>
          <t>E01979</t>
        </is>
      </c>
      <c r="B1980" s="5" t="inlineStr">
        <is>
          <t>Male</t>
        </is>
      </c>
      <c r="C1980" s="6" t="inlineStr">
        <is>
          <t>38</t>
        </is>
      </c>
      <c r="D1980" s="5" t="inlineStr">
        <is>
          <t>Married</t>
        </is>
      </c>
      <c r="E1980" s="5" t="inlineStr">
        <is>
          <t>PhD</t>
        </is>
      </c>
      <c r="F1980" s="5" t="inlineStr">
        <is>
          <t>Operations</t>
        </is>
      </c>
      <c r="G1980" s="5" t="inlineStr">
        <is>
          <t>Quality Analyst</t>
        </is>
      </c>
      <c r="H1980" s="5" t="inlineStr">
        <is>
          <t>4</t>
        </is>
      </c>
      <c r="I1980" s="5" t="inlineStr">
        <is>
          <t>Bengaluru</t>
        </is>
      </c>
      <c r="J1980" s="5" t="inlineStr">
        <is>
          <t>Part-Time</t>
        </is>
      </c>
      <c r="K1980" s="7" t="n">
        <v>45277</v>
      </c>
      <c r="L1980" s="7" t="inlineStr"/>
      <c r="M1980" s="5" t="inlineStr">
        <is>
          <t>Yes</t>
        </is>
      </c>
      <c r="N1980" s="5" t="inlineStr"/>
      <c r="O1980" s="8" t="inlineStr">
        <is>
          <t>108000</t>
        </is>
      </c>
      <c r="P1980" s="5" t="inlineStr">
        <is>
          <t>0</t>
        </is>
      </c>
      <c r="Q1980" s="5" t="inlineStr">
        <is>
          <t>4</t>
        </is>
      </c>
      <c r="R1980" s="5" t="inlineStr">
        <is>
          <t>7</t>
        </is>
      </c>
      <c r="S1980" s="5" t="inlineStr">
        <is>
          <t>24</t>
        </is>
      </c>
      <c r="T1980" s="5" t="inlineStr">
        <is>
          <t>0</t>
        </is>
      </c>
      <c r="U1980" s="5">
        <f>IFS(C1980&lt;30,"Under 30",C1980&lt;40,"30-39",C1980&lt;50,"40-49",TRUE,"50+")</f>
        <v/>
      </c>
      <c r="V1980" s="5">
        <f>IFS(O1980&lt;60000,"Low (&lt;60k)",O1980&lt;100000,"Mid (60-100k)",TRUE,"High (100k+)")</f>
        <v/>
      </c>
      <c r="W1980" s="5">
        <f>IF(M1980="No","Attrited","Active")</f>
        <v/>
      </c>
    </row>
    <row r="1981">
      <c r="A1981" s="5" t="inlineStr">
        <is>
          <t>E01980</t>
        </is>
      </c>
      <c r="B1981" s="5" t="inlineStr">
        <is>
          <t>Male</t>
        </is>
      </c>
      <c r="C1981" s="6" t="inlineStr">
        <is>
          <t>26</t>
        </is>
      </c>
      <c r="D1981" s="5" t="inlineStr">
        <is>
          <t>Single</t>
        </is>
      </c>
      <c r="E1981" s="5" t="inlineStr">
        <is>
          <t>PhD</t>
        </is>
      </c>
      <c r="F1981" s="5" t="inlineStr">
        <is>
          <t>Marketing</t>
        </is>
      </c>
      <c r="G1981" s="5" t="inlineStr">
        <is>
          <t>Marketing Analyst</t>
        </is>
      </c>
      <c r="H1981" s="5" t="inlineStr">
        <is>
          <t>1</t>
        </is>
      </c>
      <c r="I1981" s="5" t="inlineStr">
        <is>
          <t>Mumbai</t>
        </is>
      </c>
      <c r="J1981" s="5" t="inlineStr">
        <is>
          <t>Full-Time</t>
        </is>
      </c>
      <c r="K1981" s="7" t="n">
        <v>45239</v>
      </c>
      <c r="L1981" s="7" t="n">
        <v>45313</v>
      </c>
      <c r="M1981" s="5" t="inlineStr">
        <is>
          <t>No</t>
        </is>
      </c>
      <c r="N1981" s="5" t="inlineStr">
        <is>
          <t>Resigned</t>
        </is>
      </c>
      <c r="O1981" s="8" t="inlineStr">
        <is>
          <t>86500</t>
        </is>
      </c>
      <c r="P1981" s="5" t="inlineStr">
        <is>
          <t>0</t>
        </is>
      </c>
      <c r="Q1981" s="5" t="inlineStr">
        <is>
          <t>4</t>
        </is>
      </c>
      <c r="R1981" s="5" t="inlineStr">
        <is>
          <t>6</t>
        </is>
      </c>
      <c r="S1981" s="5" t="inlineStr">
        <is>
          <t>2</t>
        </is>
      </c>
      <c r="T1981" s="5" t="inlineStr">
        <is>
          <t>0</t>
        </is>
      </c>
      <c r="U1981" s="5">
        <f>IFS(C1981&lt;30,"Under 30",C1981&lt;40,"30-39",C1981&lt;50,"40-49",TRUE,"50+")</f>
        <v/>
      </c>
      <c r="V1981" s="5">
        <f>IFS(O1981&lt;60000,"Low (&lt;60k)",O1981&lt;100000,"Mid (60-100k)",TRUE,"High (100k+)")</f>
        <v/>
      </c>
      <c r="W1981" s="5">
        <f>IF(M1981="No","Attrited","Active")</f>
        <v/>
      </c>
    </row>
    <row r="1982">
      <c r="A1982" s="5" t="inlineStr">
        <is>
          <t>E01981</t>
        </is>
      </c>
      <c r="B1982" s="5" t="inlineStr">
        <is>
          <t>Male</t>
        </is>
      </c>
      <c r="C1982" s="6" t="inlineStr">
        <is>
          <t>38</t>
        </is>
      </c>
      <c r="D1982" s="5" t="inlineStr">
        <is>
          <t>Single</t>
        </is>
      </c>
      <c r="E1982" s="5" t="inlineStr">
        <is>
          <t>PhD</t>
        </is>
      </c>
      <c r="F1982" s="5" t="inlineStr">
        <is>
          <t>Operations</t>
        </is>
      </c>
      <c r="G1982" s="5" t="inlineStr">
        <is>
          <t>Quality Analyst</t>
        </is>
      </c>
      <c r="H1982" s="5" t="inlineStr">
        <is>
          <t>7</t>
        </is>
      </c>
      <c r="I1982" s="5" t="inlineStr">
        <is>
          <t>Mumbai</t>
        </is>
      </c>
      <c r="J1982" s="5" t="inlineStr">
        <is>
          <t>Full-Time</t>
        </is>
      </c>
      <c r="K1982" s="7" t="n">
        <v>44134</v>
      </c>
      <c r="L1982" s="7" t="inlineStr"/>
      <c r="M1982" s="5" t="inlineStr">
        <is>
          <t>Yes</t>
        </is>
      </c>
      <c r="N1982" s="5" t="inlineStr"/>
      <c r="O1982" s="8" t="inlineStr">
        <is>
          <t>177000</t>
        </is>
      </c>
      <c r="P1982" s="5" t="inlineStr">
        <is>
          <t>0</t>
        </is>
      </c>
      <c r="Q1982" s="5" t="inlineStr">
        <is>
          <t>3</t>
        </is>
      </c>
      <c r="R1982" s="5" t="inlineStr">
        <is>
          <t>6</t>
        </is>
      </c>
      <c r="S1982" s="5" t="inlineStr">
        <is>
          <t>62</t>
        </is>
      </c>
      <c r="T1982" s="5" t="inlineStr">
        <is>
          <t>0</t>
        </is>
      </c>
      <c r="U1982" s="5">
        <f>IFS(C1982&lt;30,"Under 30",C1982&lt;40,"30-39",C1982&lt;50,"40-49",TRUE,"50+")</f>
        <v/>
      </c>
      <c r="V1982" s="5">
        <f>IFS(O1982&lt;60000,"Low (&lt;60k)",O1982&lt;100000,"Mid (60-100k)",TRUE,"High (100k+)")</f>
        <v/>
      </c>
      <c r="W1982" s="5">
        <f>IF(M1982="No","Attrited","Active")</f>
        <v/>
      </c>
    </row>
    <row r="1983">
      <c r="A1983" s="5" t="inlineStr">
        <is>
          <t>E01982</t>
        </is>
      </c>
      <c r="B1983" s="5" t="inlineStr">
        <is>
          <t>Female</t>
        </is>
      </c>
      <c r="C1983" s="6" t="inlineStr">
        <is>
          <t>34</t>
        </is>
      </c>
      <c r="D1983" s="5" t="inlineStr">
        <is>
          <t>Single</t>
        </is>
      </c>
      <c r="E1983" s="5" t="inlineStr">
        <is>
          <t>High School</t>
        </is>
      </c>
      <c r="F1983" s="5" t="inlineStr">
        <is>
          <t>IT</t>
        </is>
      </c>
      <c r="G1983" s="5" t="inlineStr">
        <is>
          <t>Data Analyst</t>
        </is>
      </c>
      <c r="H1983" s="5" t="inlineStr">
        <is>
          <t>4</t>
        </is>
      </c>
      <c r="I1983" s="5" t="inlineStr">
        <is>
          <t>Hyderabad</t>
        </is>
      </c>
      <c r="J1983" s="5" t="inlineStr">
        <is>
          <t>Full-Time</t>
        </is>
      </c>
      <c r="K1983" s="7" t="n">
        <v>45913</v>
      </c>
      <c r="L1983" s="7" t="inlineStr"/>
      <c r="M1983" s="5" t="inlineStr">
        <is>
          <t>Yes</t>
        </is>
      </c>
      <c r="N1983" s="5" t="inlineStr"/>
      <c r="O1983" s="8" t="inlineStr">
        <is>
          <t>148500</t>
        </is>
      </c>
      <c r="P1983" s="5" t="inlineStr">
        <is>
          <t>10</t>
        </is>
      </c>
      <c r="Q1983" s="5" t="inlineStr">
        <is>
          <t>4</t>
        </is>
      </c>
      <c r="R1983" s="5" t="inlineStr">
        <is>
          <t>7</t>
        </is>
      </c>
      <c r="S1983" s="5" t="inlineStr">
        <is>
          <t>3</t>
        </is>
      </c>
      <c r="T1983" s="5" t="inlineStr">
        <is>
          <t>0</t>
        </is>
      </c>
      <c r="U1983" s="5">
        <f>IFS(C1983&lt;30,"Under 30",C1983&lt;40,"30-39",C1983&lt;50,"40-49",TRUE,"50+")</f>
        <v/>
      </c>
      <c r="V1983" s="5">
        <f>IFS(O1983&lt;60000,"Low (&lt;60k)",O1983&lt;100000,"Mid (60-100k)",TRUE,"High (100k+)")</f>
        <v/>
      </c>
      <c r="W1983" s="5">
        <f>IF(M1983="No","Attrited","Active")</f>
        <v/>
      </c>
    </row>
    <row r="1984">
      <c r="A1984" s="5" t="inlineStr">
        <is>
          <t>E01983</t>
        </is>
      </c>
      <c r="B1984" s="5" t="inlineStr">
        <is>
          <t>Male</t>
        </is>
      </c>
      <c r="C1984" s="6" t="inlineStr">
        <is>
          <t>27</t>
        </is>
      </c>
      <c r="D1984" s="5" t="inlineStr">
        <is>
          <t>Married</t>
        </is>
      </c>
      <c r="E1984" s="5" t="inlineStr">
        <is>
          <t>Master</t>
        </is>
      </c>
      <c r="F1984" s="5" t="inlineStr">
        <is>
          <t>Finance</t>
        </is>
      </c>
      <c r="G1984" s="5" t="inlineStr">
        <is>
          <t>Financial Analyst</t>
        </is>
      </c>
      <c r="H1984" s="5" t="inlineStr">
        <is>
          <t>3</t>
        </is>
      </c>
      <c r="I1984" s="5" t="inlineStr">
        <is>
          <t>Remote</t>
        </is>
      </c>
      <c r="J1984" s="5" t="inlineStr">
        <is>
          <t>Full-Time</t>
        </is>
      </c>
      <c r="K1984" s="7" t="n">
        <v>44357</v>
      </c>
      <c r="L1984" s="7" t="inlineStr"/>
      <c r="M1984" s="5" t="inlineStr">
        <is>
          <t>Yes</t>
        </is>
      </c>
      <c r="N1984" s="5" t="inlineStr"/>
      <c r="O1984" s="8" t="inlineStr">
        <is>
          <t>84500</t>
        </is>
      </c>
      <c r="P1984" s="5" t="inlineStr">
        <is>
          <t>15</t>
        </is>
      </c>
      <c r="Q1984" s="5" t="inlineStr">
        <is>
          <t>4</t>
        </is>
      </c>
      <c r="R1984" s="5" t="inlineStr">
        <is>
          <t>7</t>
        </is>
      </c>
      <c r="S1984" s="5" t="inlineStr">
        <is>
          <t>55</t>
        </is>
      </c>
      <c r="T1984" s="5" t="inlineStr">
        <is>
          <t>10</t>
        </is>
      </c>
      <c r="U1984" s="5">
        <f>IFS(C1984&lt;30,"Under 30",C1984&lt;40,"30-39",C1984&lt;50,"40-49",TRUE,"50+")</f>
        <v/>
      </c>
      <c r="V1984" s="5">
        <f>IFS(O1984&lt;60000,"Low (&lt;60k)",O1984&lt;100000,"Mid (60-100k)",TRUE,"High (100k+)")</f>
        <v/>
      </c>
      <c r="W1984" s="5">
        <f>IF(M1984="No","Attrited","Active")</f>
        <v/>
      </c>
    </row>
    <row r="1985">
      <c r="A1985" s="5" t="inlineStr">
        <is>
          <t>E01984</t>
        </is>
      </c>
      <c r="B1985" s="5" t="inlineStr">
        <is>
          <t>Female</t>
        </is>
      </c>
      <c r="C1985" s="6" t="inlineStr">
        <is>
          <t>36</t>
        </is>
      </c>
      <c r="D1985" s="5" t="inlineStr">
        <is>
          <t>Divorced</t>
        </is>
      </c>
      <c r="E1985" s="5" t="inlineStr">
        <is>
          <t>Bachelor</t>
        </is>
      </c>
      <c r="F1985" s="5" t="inlineStr">
        <is>
          <t>Operations</t>
        </is>
      </c>
      <c r="G1985" s="5" t="inlineStr">
        <is>
          <t>Logistics Coordinator</t>
        </is>
      </c>
      <c r="H1985" s="5" t="inlineStr">
        <is>
          <t>2</t>
        </is>
      </c>
      <c r="I1985" s="5" t="inlineStr">
        <is>
          <t>Chennai</t>
        </is>
      </c>
      <c r="J1985" s="5" t="inlineStr">
        <is>
          <t>Full-Time</t>
        </is>
      </c>
      <c r="K1985" s="7" t="n">
        <v>45054</v>
      </c>
      <c r="L1985" s="7" t="inlineStr"/>
      <c r="M1985" s="5" t="inlineStr">
        <is>
          <t>Yes</t>
        </is>
      </c>
      <c r="N1985" s="5" t="inlineStr"/>
      <c r="O1985" s="8" t="inlineStr">
        <is>
          <t>69500</t>
        </is>
      </c>
      <c r="P1985" s="5" t="inlineStr">
        <is>
          <t>10</t>
        </is>
      </c>
      <c r="Q1985" s="5" t="inlineStr">
        <is>
          <t>4</t>
        </is>
      </c>
      <c r="R1985" s="5" t="inlineStr">
        <is>
          <t>8</t>
        </is>
      </c>
      <c r="S1985" s="5" t="inlineStr">
        <is>
          <t>32</t>
        </is>
      </c>
      <c r="T1985" s="5" t="inlineStr">
        <is>
          <t>8</t>
        </is>
      </c>
      <c r="U1985" s="5">
        <f>IFS(C1985&lt;30,"Under 30",C1985&lt;40,"30-39",C1985&lt;50,"40-49",TRUE,"50+")</f>
        <v/>
      </c>
      <c r="V1985" s="5">
        <f>IFS(O1985&lt;60000,"Low (&lt;60k)",O1985&lt;100000,"Mid (60-100k)",TRUE,"High (100k+)")</f>
        <v/>
      </c>
      <c r="W1985" s="5">
        <f>IF(M1985="No","Attrited","Active")</f>
        <v/>
      </c>
    </row>
    <row r="1986">
      <c r="A1986" s="5" t="inlineStr">
        <is>
          <t>E01985</t>
        </is>
      </c>
      <c r="B1986" s="5" t="inlineStr">
        <is>
          <t>Male</t>
        </is>
      </c>
      <c r="C1986" s="6" t="inlineStr">
        <is>
          <t>37</t>
        </is>
      </c>
      <c r="D1986" s="5" t="inlineStr">
        <is>
          <t>Married</t>
        </is>
      </c>
      <c r="E1986" s="5" t="inlineStr">
        <is>
          <t>High School</t>
        </is>
      </c>
      <c r="F1986" s="5" t="inlineStr">
        <is>
          <t>IT</t>
        </is>
      </c>
      <c r="G1986" s="5" t="inlineStr">
        <is>
          <t>DevOps Engineer</t>
        </is>
      </c>
      <c r="H1986" s="5" t="inlineStr">
        <is>
          <t>3</t>
        </is>
      </c>
      <c r="I1986" s="5" t="inlineStr">
        <is>
          <t>Delhi</t>
        </is>
      </c>
      <c r="J1986" s="5" t="inlineStr">
        <is>
          <t>Full-Time</t>
        </is>
      </c>
      <c r="K1986" s="7" t="n">
        <v>45848</v>
      </c>
      <c r="L1986" s="7" t="inlineStr"/>
      <c r="M1986" s="5" t="inlineStr">
        <is>
          <t>Yes</t>
        </is>
      </c>
      <c r="N1986" s="5" t="inlineStr"/>
      <c r="O1986" s="8" t="inlineStr">
        <is>
          <t>109000</t>
        </is>
      </c>
      <c r="P1986" s="5" t="inlineStr">
        <is>
          <t>0</t>
        </is>
      </c>
      <c r="Q1986" s="5" t="inlineStr">
        <is>
          <t>4</t>
        </is>
      </c>
      <c r="R1986" s="5" t="inlineStr">
        <is>
          <t>6</t>
        </is>
      </c>
      <c r="S1986" s="5" t="inlineStr">
        <is>
          <t>5</t>
        </is>
      </c>
      <c r="T1986" s="5" t="inlineStr">
        <is>
          <t>12</t>
        </is>
      </c>
      <c r="U1986" s="5">
        <f>IFS(C1986&lt;30,"Under 30",C1986&lt;40,"30-39",C1986&lt;50,"40-49",TRUE,"50+")</f>
        <v/>
      </c>
      <c r="V1986" s="5">
        <f>IFS(O1986&lt;60000,"Low (&lt;60k)",O1986&lt;100000,"Mid (60-100k)",TRUE,"High (100k+)")</f>
        <v/>
      </c>
      <c r="W1986" s="5">
        <f>IF(M1986="No","Attrited","Active")</f>
        <v/>
      </c>
    </row>
    <row r="1987">
      <c r="A1987" s="5" t="inlineStr">
        <is>
          <t>E01986</t>
        </is>
      </c>
      <c r="B1987" s="5" t="inlineStr">
        <is>
          <t>Female</t>
        </is>
      </c>
      <c r="C1987" s="6" t="inlineStr">
        <is>
          <t>36</t>
        </is>
      </c>
      <c r="D1987" s="5" t="inlineStr">
        <is>
          <t>Married</t>
        </is>
      </c>
      <c r="E1987" s="5" t="inlineStr">
        <is>
          <t>PhD</t>
        </is>
      </c>
      <c r="F1987" s="5" t="inlineStr">
        <is>
          <t>Customer Support</t>
        </is>
      </c>
      <c r="G1987" s="5" t="inlineStr">
        <is>
          <t>Support Agent</t>
        </is>
      </c>
      <c r="H1987" s="5" t="inlineStr">
        <is>
          <t>3</t>
        </is>
      </c>
      <c r="I1987" s="5" t="inlineStr">
        <is>
          <t>Delhi</t>
        </is>
      </c>
      <c r="J1987" s="5" t="inlineStr">
        <is>
          <t>Full-Time</t>
        </is>
      </c>
      <c r="K1987" s="7" t="n">
        <v>44518</v>
      </c>
      <c r="L1987" s="7" t="inlineStr"/>
      <c r="M1987" s="5" t="inlineStr">
        <is>
          <t>Yes</t>
        </is>
      </c>
      <c r="N1987" s="5" t="inlineStr"/>
      <c r="O1987" s="8" t="inlineStr">
        <is>
          <t>73500</t>
        </is>
      </c>
      <c r="P1987" s="5" t="inlineStr">
        <is>
          <t>0</t>
        </is>
      </c>
      <c r="Q1987" s="5" t="inlineStr">
        <is>
          <t>4</t>
        </is>
      </c>
      <c r="R1987" s="5" t="inlineStr">
        <is>
          <t>9</t>
        </is>
      </c>
      <c r="S1987" s="5" t="inlineStr">
        <is>
          <t>50</t>
        </is>
      </c>
      <c r="T1987" s="5" t="inlineStr">
        <is>
          <t>5</t>
        </is>
      </c>
      <c r="U1987" s="5">
        <f>IFS(C1987&lt;30,"Under 30",C1987&lt;40,"30-39",C1987&lt;50,"40-49",TRUE,"50+")</f>
        <v/>
      </c>
      <c r="V1987" s="5">
        <f>IFS(O1987&lt;60000,"Low (&lt;60k)",O1987&lt;100000,"Mid (60-100k)",TRUE,"High (100k+)")</f>
        <v/>
      </c>
      <c r="W1987" s="5">
        <f>IF(M1987="No","Attrited","Active")</f>
        <v/>
      </c>
    </row>
    <row r="1988">
      <c r="A1988" s="5" t="inlineStr">
        <is>
          <t>E01987</t>
        </is>
      </c>
      <c r="B1988" s="5" t="inlineStr">
        <is>
          <t>Female</t>
        </is>
      </c>
      <c r="C1988" s="6" t="inlineStr">
        <is>
          <t>38</t>
        </is>
      </c>
      <c r="D1988" s="5" t="inlineStr">
        <is>
          <t>Single</t>
        </is>
      </c>
      <c r="E1988" s="5" t="inlineStr">
        <is>
          <t>Bachelor</t>
        </is>
      </c>
      <c r="F1988" s="5" t="inlineStr">
        <is>
          <t>Operations</t>
        </is>
      </c>
      <c r="G1988" s="5" t="inlineStr">
        <is>
          <t>Logistics Coordinator</t>
        </is>
      </c>
      <c r="H1988" s="5" t="inlineStr">
        <is>
          <t>4</t>
        </is>
      </c>
      <c r="I1988" s="5" t="inlineStr">
        <is>
          <t>Chennai</t>
        </is>
      </c>
      <c r="J1988" s="5" t="inlineStr">
        <is>
          <t>Contract</t>
        </is>
      </c>
      <c r="K1988" s="7" t="n">
        <v>45436</v>
      </c>
      <c r="L1988" s="7" t="inlineStr"/>
      <c r="M1988" s="5" t="inlineStr">
        <is>
          <t>Yes</t>
        </is>
      </c>
      <c r="N1988" s="5" t="inlineStr"/>
      <c r="O1988" s="8" t="inlineStr">
        <is>
          <t>133500</t>
        </is>
      </c>
      <c r="P1988" s="5" t="inlineStr">
        <is>
          <t>10</t>
        </is>
      </c>
      <c r="Q1988" s="5" t="inlineStr">
        <is>
          <t>3</t>
        </is>
      </c>
      <c r="R1988" s="5" t="inlineStr">
        <is>
          <t>2</t>
        </is>
      </c>
      <c r="S1988" s="5" t="inlineStr">
        <is>
          <t>19</t>
        </is>
      </c>
      <c r="T1988" s="5" t="inlineStr">
        <is>
          <t>7</t>
        </is>
      </c>
      <c r="U1988" s="5">
        <f>IFS(C1988&lt;30,"Under 30",C1988&lt;40,"30-39",C1988&lt;50,"40-49",TRUE,"50+")</f>
        <v/>
      </c>
      <c r="V1988" s="5">
        <f>IFS(O1988&lt;60000,"Low (&lt;60k)",O1988&lt;100000,"Mid (60-100k)",TRUE,"High (100k+)")</f>
        <v/>
      </c>
      <c r="W1988" s="5">
        <f>IF(M1988="No","Attrited","Active")</f>
        <v/>
      </c>
    </row>
    <row r="1989">
      <c r="A1989" s="5" t="inlineStr">
        <is>
          <t>E01988</t>
        </is>
      </c>
      <c r="B1989" s="5" t="inlineStr">
        <is>
          <t>Female</t>
        </is>
      </c>
      <c r="C1989" s="6" t="inlineStr">
        <is>
          <t>46</t>
        </is>
      </c>
      <c r="D1989" s="5" t="inlineStr">
        <is>
          <t>Married</t>
        </is>
      </c>
      <c r="E1989" s="5" t="inlineStr">
        <is>
          <t>High School</t>
        </is>
      </c>
      <c r="F1989" s="5" t="inlineStr">
        <is>
          <t>Marketing</t>
        </is>
      </c>
      <c r="G1989" s="5" t="inlineStr">
        <is>
          <t>Marketing Analyst</t>
        </is>
      </c>
      <c r="H1989" s="5" t="inlineStr">
        <is>
          <t>7</t>
        </is>
      </c>
      <c r="I1989" s="5" t="inlineStr">
        <is>
          <t>Remote</t>
        </is>
      </c>
      <c r="J1989" s="5" t="inlineStr">
        <is>
          <t>Contract</t>
        </is>
      </c>
      <c r="K1989" s="7" t="n">
        <v>45814</v>
      </c>
      <c r="L1989" s="7" t="n">
        <v>45950</v>
      </c>
      <c r="M1989" s="5" t="inlineStr">
        <is>
          <t>No</t>
        </is>
      </c>
      <c r="N1989" s="5" t="inlineStr">
        <is>
          <t>Resigned</t>
        </is>
      </c>
      <c r="O1989" s="8" t="inlineStr">
        <is>
          <t>152000</t>
        </is>
      </c>
      <c r="P1989" s="5" t="inlineStr">
        <is>
          <t>0</t>
        </is>
      </c>
      <c r="Q1989" s="5" t="inlineStr">
        <is>
          <t>4</t>
        </is>
      </c>
      <c r="R1989" s="5" t="inlineStr">
        <is>
          <t>6</t>
        </is>
      </c>
      <c r="S1989" s="5" t="inlineStr">
        <is>
          <t>4</t>
        </is>
      </c>
      <c r="T1989" s="5" t="inlineStr">
        <is>
          <t>14</t>
        </is>
      </c>
      <c r="U1989" s="5">
        <f>IFS(C1989&lt;30,"Under 30",C1989&lt;40,"30-39",C1989&lt;50,"40-49",TRUE,"50+")</f>
        <v/>
      </c>
      <c r="V1989" s="5">
        <f>IFS(O1989&lt;60000,"Low (&lt;60k)",O1989&lt;100000,"Mid (60-100k)",TRUE,"High (100k+)")</f>
        <v/>
      </c>
      <c r="W1989" s="5">
        <f>IF(M1989="No","Attrited","Active")</f>
        <v/>
      </c>
    </row>
    <row r="1990">
      <c r="A1990" s="5" t="inlineStr">
        <is>
          <t>E01989</t>
        </is>
      </c>
      <c r="B1990" s="5" t="inlineStr">
        <is>
          <t>Male</t>
        </is>
      </c>
      <c r="C1990" s="6" t="inlineStr">
        <is>
          <t>39</t>
        </is>
      </c>
      <c r="D1990" s="5" t="inlineStr">
        <is>
          <t>Single</t>
        </is>
      </c>
      <c r="E1990" s="5" t="inlineStr">
        <is>
          <t>Diploma</t>
        </is>
      </c>
      <c r="F1990" s="5" t="inlineStr">
        <is>
          <t>Customer Support</t>
        </is>
      </c>
      <c r="G1990" s="5" t="inlineStr">
        <is>
          <t>Support Lead</t>
        </is>
      </c>
      <c r="H1990" s="5" t="inlineStr">
        <is>
          <t>7</t>
        </is>
      </c>
      <c r="I1990" s="5" t="inlineStr">
        <is>
          <t>Remote</t>
        </is>
      </c>
      <c r="J1990" s="5" t="inlineStr">
        <is>
          <t>Full-Time</t>
        </is>
      </c>
      <c r="K1990" s="7" t="n">
        <v>45699</v>
      </c>
      <c r="L1990" s="7" t="n">
        <v>45780</v>
      </c>
      <c r="M1990" s="5" t="inlineStr">
        <is>
          <t>No</t>
        </is>
      </c>
      <c r="N1990" s="5" t="inlineStr">
        <is>
          <t>Relocation</t>
        </is>
      </c>
      <c r="O1990" s="8" t="inlineStr">
        <is>
          <t>103000</t>
        </is>
      </c>
      <c r="P1990" s="5" t="inlineStr">
        <is>
          <t>0</t>
        </is>
      </c>
      <c r="Q1990" s="5" t="inlineStr">
        <is>
          <t>2</t>
        </is>
      </c>
      <c r="R1990" s="5" t="inlineStr">
        <is>
          <t>8</t>
        </is>
      </c>
      <c r="S1990" s="5" t="inlineStr">
        <is>
          <t>2</t>
        </is>
      </c>
      <c r="T1990" s="5" t="inlineStr">
        <is>
          <t>11</t>
        </is>
      </c>
      <c r="U1990" s="5">
        <f>IFS(C1990&lt;30,"Under 30",C1990&lt;40,"30-39",C1990&lt;50,"40-49",TRUE,"50+")</f>
        <v/>
      </c>
      <c r="V1990" s="5">
        <f>IFS(O1990&lt;60000,"Low (&lt;60k)",O1990&lt;100000,"Mid (60-100k)",TRUE,"High (100k+)")</f>
        <v/>
      </c>
      <c r="W1990" s="5">
        <f>IF(M1990="No","Attrited","Active")</f>
        <v/>
      </c>
    </row>
    <row r="1991">
      <c r="A1991" s="5" t="inlineStr">
        <is>
          <t>E01990</t>
        </is>
      </c>
      <c r="B1991" s="5" t="inlineStr">
        <is>
          <t>Male</t>
        </is>
      </c>
      <c r="C1991" s="6" t="inlineStr">
        <is>
          <t>33</t>
        </is>
      </c>
      <c r="D1991" s="5" t="inlineStr">
        <is>
          <t>Married</t>
        </is>
      </c>
      <c r="E1991" s="5" t="inlineStr">
        <is>
          <t>High School</t>
        </is>
      </c>
      <c r="F1991" s="5" t="inlineStr">
        <is>
          <t>IT</t>
        </is>
      </c>
      <c r="G1991" s="5" t="inlineStr">
        <is>
          <t>IT Support</t>
        </is>
      </c>
      <c r="H1991" s="5" t="inlineStr">
        <is>
          <t>4</t>
        </is>
      </c>
      <c r="I1991" s="5" t="inlineStr">
        <is>
          <t>Mumbai</t>
        </is>
      </c>
      <c r="J1991" s="5" t="inlineStr">
        <is>
          <t>Full-Time</t>
        </is>
      </c>
      <c r="K1991" s="7" t="n">
        <v>45978</v>
      </c>
      <c r="L1991" s="7" t="inlineStr"/>
      <c r="M1991" s="5" t="inlineStr">
        <is>
          <t>Yes</t>
        </is>
      </c>
      <c r="N1991" s="5" t="inlineStr"/>
      <c r="O1991" s="8" t="inlineStr">
        <is>
          <t>190000</t>
        </is>
      </c>
      <c r="P1991" s="5" t="inlineStr">
        <is>
          <t>10</t>
        </is>
      </c>
      <c r="Q1991" s="5" t="inlineStr">
        <is>
          <t>4</t>
        </is>
      </c>
      <c r="R1991" s="5" t="inlineStr">
        <is>
          <t>5</t>
        </is>
      </c>
      <c r="S1991" s="5" t="inlineStr">
        <is>
          <t>1</t>
        </is>
      </c>
      <c r="T1991" s="5" t="inlineStr">
        <is>
          <t>8</t>
        </is>
      </c>
      <c r="U1991" s="5">
        <f>IFS(C1991&lt;30,"Under 30",C1991&lt;40,"30-39",C1991&lt;50,"40-49",TRUE,"50+")</f>
        <v/>
      </c>
      <c r="V1991" s="5">
        <f>IFS(O1991&lt;60000,"Low (&lt;60k)",O1991&lt;100000,"Mid (60-100k)",TRUE,"High (100k+)")</f>
        <v/>
      </c>
      <c r="W1991" s="5">
        <f>IF(M1991="No","Attrited","Active")</f>
        <v/>
      </c>
    </row>
    <row r="1992">
      <c r="A1992" s="5" t="inlineStr">
        <is>
          <t>E01991</t>
        </is>
      </c>
      <c r="B1992" s="5" t="inlineStr">
        <is>
          <t>Male</t>
        </is>
      </c>
      <c r="C1992" s="6" t="inlineStr">
        <is>
          <t>36</t>
        </is>
      </c>
      <c r="D1992" s="5" t="inlineStr">
        <is>
          <t>Married</t>
        </is>
      </c>
      <c r="E1992" s="5" t="inlineStr">
        <is>
          <t>High School</t>
        </is>
      </c>
      <c r="F1992" s="5" t="inlineStr">
        <is>
          <t>Operations</t>
        </is>
      </c>
      <c r="G1992" s="5" t="inlineStr">
        <is>
          <t>Quality Analyst</t>
        </is>
      </c>
      <c r="H1992" s="5" t="inlineStr">
        <is>
          <t>6</t>
        </is>
      </c>
      <c r="I1992" s="5" t="inlineStr">
        <is>
          <t>Mumbai</t>
        </is>
      </c>
      <c r="J1992" s="5" t="inlineStr">
        <is>
          <t>Full-Time</t>
        </is>
      </c>
      <c r="K1992" s="7" t="n">
        <v>45614</v>
      </c>
      <c r="L1992" s="7" t="n">
        <v>45727</v>
      </c>
      <c r="M1992" s="5" t="inlineStr">
        <is>
          <t>No</t>
        </is>
      </c>
      <c r="N1992" s="5" t="inlineStr">
        <is>
          <t>Resigned</t>
        </is>
      </c>
      <c r="O1992" s="8" t="inlineStr">
        <is>
          <t>159000</t>
        </is>
      </c>
      <c r="P1992" s="5" t="inlineStr">
        <is>
          <t>0</t>
        </is>
      </c>
      <c r="Q1992" s="5" t="inlineStr">
        <is>
          <t>2</t>
        </is>
      </c>
      <c r="R1992" s="5" t="inlineStr">
        <is>
          <t>3</t>
        </is>
      </c>
      <c r="S1992" s="5" t="inlineStr">
        <is>
          <t>3</t>
        </is>
      </c>
      <c r="T1992" s="5" t="inlineStr">
        <is>
          <t>11</t>
        </is>
      </c>
      <c r="U1992" s="5">
        <f>IFS(C1992&lt;30,"Under 30",C1992&lt;40,"30-39",C1992&lt;50,"40-49",TRUE,"50+")</f>
        <v/>
      </c>
      <c r="V1992" s="5">
        <f>IFS(O1992&lt;60000,"Low (&lt;60k)",O1992&lt;100000,"Mid (60-100k)",TRUE,"High (100k+)")</f>
        <v/>
      </c>
      <c r="W1992" s="5">
        <f>IF(M1992="No","Attrited","Active")</f>
        <v/>
      </c>
    </row>
    <row r="1993">
      <c r="A1993" s="5" t="inlineStr">
        <is>
          <t>E01992</t>
        </is>
      </c>
      <c r="B1993" s="5" t="inlineStr">
        <is>
          <t>Female</t>
        </is>
      </c>
      <c r="C1993" s="6" t="inlineStr">
        <is>
          <t>27</t>
        </is>
      </c>
      <c r="D1993" s="5" t="inlineStr">
        <is>
          <t>Married</t>
        </is>
      </c>
      <c r="E1993" s="5" t="inlineStr">
        <is>
          <t>PhD</t>
        </is>
      </c>
      <c r="F1993" s="5" t="inlineStr">
        <is>
          <t>Research &amp; Development</t>
        </is>
      </c>
      <c r="G1993" s="5" t="inlineStr">
        <is>
          <t>Research Scientist</t>
        </is>
      </c>
      <c r="H1993" s="5" t="inlineStr">
        <is>
          <t>1</t>
        </is>
      </c>
      <c r="I1993" s="5" t="inlineStr">
        <is>
          <t>Bengaluru</t>
        </is>
      </c>
      <c r="J1993" s="5" t="inlineStr">
        <is>
          <t>Full-Time</t>
        </is>
      </c>
      <c r="K1993" s="7" t="n">
        <v>45648</v>
      </c>
      <c r="L1993" s="7" t="n">
        <v>45703</v>
      </c>
      <c r="M1993" s="5" t="inlineStr">
        <is>
          <t>No</t>
        </is>
      </c>
      <c r="N1993" s="5" t="inlineStr">
        <is>
          <t>Resigned</t>
        </is>
      </c>
      <c r="O1993" s="8" t="inlineStr">
        <is>
          <t>161500</t>
        </is>
      </c>
      <c r="P1993" s="5" t="inlineStr">
        <is>
          <t>0</t>
        </is>
      </c>
      <c r="Q1993" s="5" t="inlineStr">
        <is>
          <t>4</t>
        </is>
      </c>
      <c r="R1993" s="5" t="inlineStr">
        <is>
          <t>1</t>
        </is>
      </c>
      <c r="S1993" s="5" t="inlineStr">
        <is>
          <t>1</t>
        </is>
      </c>
      <c r="T1993" s="5" t="inlineStr">
        <is>
          <t>5</t>
        </is>
      </c>
      <c r="U1993" s="5">
        <f>IFS(C1993&lt;30,"Under 30",C1993&lt;40,"30-39",C1993&lt;50,"40-49",TRUE,"50+")</f>
        <v/>
      </c>
      <c r="V1993" s="5">
        <f>IFS(O1993&lt;60000,"Low (&lt;60k)",O1993&lt;100000,"Mid (60-100k)",TRUE,"High (100k+)")</f>
        <v/>
      </c>
      <c r="W1993" s="5">
        <f>IF(M1993="No","Attrited","Active")</f>
        <v/>
      </c>
    </row>
    <row r="1994">
      <c r="A1994" s="5" t="inlineStr">
        <is>
          <t>E01993</t>
        </is>
      </c>
      <c r="B1994" s="5" t="inlineStr">
        <is>
          <t>Female</t>
        </is>
      </c>
      <c r="C1994" s="6" t="inlineStr">
        <is>
          <t>37</t>
        </is>
      </c>
      <c r="D1994" s="5" t="inlineStr">
        <is>
          <t>Married</t>
        </is>
      </c>
      <c r="E1994" s="5" t="inlineStr">
        <is>
          <t>Master</t>
        </is>
      </c>
      <c r="F1994" s="5" t="inlineStr">
        <is>
          <t>Operations</t>
        </is>
      </c>
      <c r="G1994" s="5" t="inlineStr">
        <is>
          <t>Logistics Coordinator</t>
        </is>
      </c>
      <c r="H1994" s="5" t="inlineStr">
        <is>
          <t>5</t>
        </is>
      </c>
      <c r="I1994" s="5" t="inlineStr">
        <is>
          <t>Remote</t>
        </is>
      </c>
      <c r="J1994" s="5" t="inlineStr">
        <is>
          <t>Full-Time</t>
        </is>
      </c>
      <c r="K1994" s="7" t="n">
        <v>44992</v>
      </c>
      <c r="L1994" s="7" t="n">
        <v>45092</v>
      </c>
      <c r="M1994" s="5" t="inlineStr">
        <is>
          <t>No</t>
        </is>
      </c>
      <c r="N1994" s="5" t="inlineStr">
        <is>
          <t>Relocation</t>
        </is>
      </c>
      <c r="O1994" s="8" t="inlineStr">
        <is>
          <t>141000</t>
        </is>
      </c>
      <c r="P1994" s="5" t="inlineStr">
        <is>
          <t>20</t>
        </is>
      </c>
      <c r="Q1994" s="5" t="inlineStr">
        <is>
          <t>5</t>
        </is>
      </c>
      <c r="R1994" s="5" t="inlineStr">
        <is>
          <t>6</t>
        </is>
      </c>
      <c r="S1994" s="5" t="inlineStr">
        <is>
          <t>3</t>
        </is>
      </c>
      <c r="T1994" s="5" t="inlineStr">
        <is>
          <t>7</t>
        </is>
      </c>
      <c r="U1994" s="5">
        <f>IFS(C1994&lt;30,"Under 30",C1994&lt;40,"30-39",C1994&lt;50,"40-49",TRUE,"50+")</f>
        <v/>
      </c>
      <c r="V1994" s="5">
        <f>IFS(O1994&lt;60000,"Low (&lt;60k)",O1994&lt;100000,"Mid (60-100k)",TRUE,"High (100k+)")</f>
        <v/>
      </c>
      <c r="W1994" s="5">
        <f>IF(M1994="No","Attrited","Active")</f>
        <v/>
      </c>
    </row>
    <row r="1995">
      <c r="A1995" s="5" t="inlineStr">
        <is>
          <t>E01994</t>
        </is>
      </c>
      <c r="B1995" s="5" t="inlineStr">
        <is>
          <t>Female</t>
        </is>
      </c>
      <c r="C1995" s="6" t="inlineStr">
        <is>
          <t>36</t>
        </is>
      </c>
      <c r="D1995" s="5" t="inlineStr">
        <is>
          <t>Single</t>
        </is>
      </c>
      <c r="E1995" s="5" t="inlineStr">
        <is>
          <t>Diploma</t>
        </is>
      </c>
      <c r="F1995" s="5" t="inlineStr">
        <is>
          <t>Finance</t>
        </is>
      </c>
      <c r="G1995" s="5" t="inlineStr">
        <is>
          <t>Accountant</t>
        </is>
      </c>
      <c r="H1995" s="5" t="inlineStr">
        <is>
          <t>3</t>
        </is>
      </c>
      <c r="I1995" s="5" t="inlineStr">
        <is>
          <t>Mumbai</t>
        </is>
      </c>
      <c r="J1995" s="5" t="inlineStr">
        <is>
          <t>Contract</t>
        </is>
      </c>
      <c r="K1995" s="7" t="n">
        <v>43899</v>
      </c>
      <c r="L1995" s="7" t="inlineStr"/>
      <c r="M1995" s="5" t="inlineStr">
        <is>
          <t>Yes</t>
        </is>
      </c>
      <c r="N1995" s="5" t="inlineStr"/>
      <c r="O1995" s="8" t="inlineStr">
        <is>
          <t>133500</t>
        </is>
      </c>
      <c r="P1995" s="5" t="inlineStr">
        <is>
          <t>0</t>
        </is>
      </c>
      <c r="Q1995" s="5" t="inlineStr">
        <is>
          <t>4</t>
        </is>
      </c>
      <c r="R1995" s="5" t="inlineStr">
        <is>
          <t>4</t>
        </is>
      </c>
      <c r="S1995" s="5" t="inlineStr">
        <is>
          <t>70</t>
        </is>
      </c>
      <c r="T1995" s="5" t="inlineStr">
        <is>
          <t>5</t>
        </is>
      </c>
      <c r="U1995" s="5">
        <f>IFS(C1995&lt;30,"Under 30",C1995&lt;40,"30-39",C1995&lt;50,"40-49",TRUE,"50+")</f>
        <v/>
      </c>
      <c r="V1995" s="5">
        <f>IFS(O1995&lt;60000,"Low (&lt;60k)",O1995&lt;100000,"Mid (60-100k)",TRUE,"High (100k+)")</f>
        <v/>
      </c>
      <c r="W1995" s="5">
        <f>IF(M1995="No","Attrited","Active")</f>
        <v/>
      </c>
    </row>
    <row r="1996">
      <c r="A1996" s="5" t="inlineStr">
        <is>
          <t>E01995</t>
        </is>
      </c>
      <c r="B1996" s="5" t="inlineStr">
        <is>
          <t>Male</t>
        </is>
      </c>
      <c r="C1996" s="6" t="inlineStr">
        <is>
          <t>28</t>
        </is>
      </c>
      <c r="D1996" s="5" t="inlineStr">
        <is>
          <t>Single</t>
        </is>
      </c>
      <c r="E1996" s="5" t="inlineStr">
        <is>
          <t>Master</t>
        </is>
      </c>
      <c r="F1996" s="5" t="inlineStr">
        <is>
          <t>Customer Support</t>
        </is>
      </c>
      <c r="G1996" s="5" t="inlineStr">
        <is>
          <t>Support Agent</t>
        </is>
      </c>
      <c r="H1996" s="5" t="inlineStr">
        <is>
          <t>3</t>
        </is>
      </c>
      <c r="I1996" s="5" t="inlineStr">
        <is>
          <t>Remote</t>
        </is>
      </c>
      <c r="J1996" s="5" t="inlineStr">
        <is>
          <t>Full-Time</t>
        </is>
      </c>
      <c r="K1996" s="7" t="n">
        <v>45630</v>
      </c>
      <c r="L1996" s="7" t="inlineStr"/>
      <c r="M1996" s="5" t="inlineStr">
        <is>
          <t>Yes</t>
        </is>
      </c>
      <c r="N1996" s="5" t="inlineStr"/>
      <c r="O1996" s="8" t="inlineStr">
        <is>
          <t>75500</t>
        </is>
      </c>
      <c r="P1996" s="5" t="inlineStr">
        <is>
          <t>0</t>
        </is>
      </c>
      <c r="Q1996" s="5" t="inlineStr">
        <is>
          <t>5</t>
        </is>
      </c>
      <c r="R1996" s="5" t="inlineStr">
        <is>
          <t>8</t>
        </is>
      </c>
      <c r="S1996" s="5" t="inlineStr">
        <is>
          <t>13</t>
        </is>
      </c>
      <c r="T1996" s="5" t="inlineStr">
        <is>
          <t>3</t>
        </is>
      </c>
      <c r="U1996" s="5">
        <f>IFS(C1996&lt;30,"Under 30",C1996&lt;40,"30-39",C1996&lt;50,"40-49",TRUE,"50+")</f>
        <v/>
      </c>
      <c r="V1996" s="5">
        <f>IFS(O1996&lt;60000,"Low (&lt;60k)",O1996&lt;100000,"Mid (60-100k)",TRUE,"High (100k+)")</f>
        <v/>
      </c>
      <c r="W1996" s="5">
        <f>IF(M1996="No","Attrited","Active")</f>
        <v/>
      </c>
    </row>
    <row r="1997">
      <c r="A1997" s="5" t="inlineStr">
        <is>
          <t>E01996</t>
        </is>
      </c>
      <c r="B1997" s="5" t="inlineStr">
        <is>
          <t>Male</t>
        </is>
      </c>
      <c r="C1997" s="6" t="inlineStr">
        <is>
          <t>25</t>
        </is>
      </c>
      <c r="D1997" s="5" t="inlineStr">
        <is>
          <t>Married</t>
        </is>
      </c>
      <c r="E1997" s="5" t="inlineStr">
        <is>
          <t>Diploma</t>
        </is>
      </c>
      <c r="F1997" s="5" t="inlineStr">
        <is>
          <t>IT</t>
        </is>
      </c>
      <c r="G1997" s="5" t="inlineStr">
        <is>
          <t>IT Support</t>
        </is>
      </c>
      <c r="H1997" s="5" t="inlineStr">
        <is>
          <t>2</t>
        </is>
      </c>
      <c r="I1997" s="5" t="inlineStr">
        <is>
          <t>Bengaluru</t>
        </is>
      </c>
      <c r="J1997" s="5" t="inlineStr">
        <is>
          <t>Full-Time</t>
        </is>
      </c>
      <c r="K1997" s="7" t="n">
        <v>44420</v>
      </c>
      <c r="L1997" s="7" t="inlineStr"/>
      <c r="M1997" s="5" t="inlineStr">
        <is>
          <t>Yes</t>
        </is>
      </c>
      <c r="N1997" s="5" t="inlineStr"/>
      <c r="O1997" s="8" t="inlineStr">
        <is>
          <t>158000</t>
        </is>
      </c>
      <c r="P1997" s="5" t="inlineStr">
        <is>
          <t>10</t>
        </is>
      </c>
      <c r="Q1997" s="5" t="inlineStr">
        <is>
          <t>5</t>
        </is>
      </c>
      <c r="R1997" s="5" t="inlineStr">
        <is>
          <t>5</t>
        </is>
      </c>
      <c r="S1997" s="5" t="inlineStr">
        <is>
          <t>53</t>
        </is>
      </c>
      <c r="T1997" s="5" t="inlineStr">
        <is>
          <t>10</t>
        </is>
      </c>
      <c r="U1997" s="5">
        <f>IFS(C1997&lt;30,"Under 30",C1997&lt;40,"30-39",C1997&lt;50,"40-49",TRUE,"50+")</f>
        <v/>
      </c>
      <c r="V1997" s="5">
        <f>IFS(O1997&lt;60000,"Low (&lt;60k)",O1997&lt;100000,"Mid (60-100k)",TRUE,"High (100k+)")</f>
        <v/>
      </c>
      <c r="W1997" s="5">
        <f>IF(M1997="No","Attrited","Active")</f>
        <v/>
      </c>
    </row>
    <row r="1998">
      <c r="A1998" s="5" t="inlineStr">
        <is>
          <t>E01997</t>
        </is>
      </c>
      <c r="B1998" s="5" t="inlineStr">
        <is>
          <t>Female</t>
        </is>
      </c>
      <c r="C1998" s="6" t="inlineStr">
        <is>
          <t>27</t>
        </is>
      </c>
      <c r="D1998" s="5" t="inlineStr">
        <is>
          <t>Married</t>
        </is>
      </c>
      <c r="E1998" s="5" t="inlineStr">
        <is>
          <t>PhD</t>
        </is>
      </c>
      <c r="F1998" s="5" t="inlineStr">
        <is>
          <t>Operations</t>
        </is>
      </c>
      <c r="G1998" s="5" t="inlineStr">
        <is>
          <t>Operations Analyst</t>
        </is>
      </c>
      <c r="H1998" s="5" t="inlineStr">
        <is>
          <t>3</t>
        </is>
      </c>
      <c r="I1998" s="5" t="inlineStr">
        <is>
          <t>Bengaluru</t>
        </is>
      </c>
      <c r="J1998" s="5" t="inlineStr">
        <is>
          <t>Full-Time</t>
        </is>
      </c>
      <c r="K1998" s="7" t="n">
        <v>45184</v>
      </c>
      <c r="L1998" s="7" t="inlineStr"/>
      <c r="M1998" s="5" t="inlineStr">
        <is>
          <t>Yes</t>
        </is>
      </c>
      <c r="N1998" s="5" t="inlineStr"/>
      <c r="O1998" s="8" t="inlineStr">
        <is>
          <t>92000</t>
        </is>
      </c>
      <c r="P1998" s="5" t="inlineStr">
        <is>
          <t>5</t>
        </is>
      </c>
      <c r="Q1998" s="5" t="inlineStr">
        <is>
          <t>3</t>
        </is>
      </c>
      <c r="R1998" s="5" t="inlineStr">
        <is>
          <t>5</t>
        </is>
      </c>
      <c r="S1998" s="5" t="inlineStr">
        <is>
          <t>27</t>
        </is>
      </c>
      <c r="T1998" s="5" t="inlineStr">
        <is>
          <t>0</t>
        </is>
      </c>
      <c r="U1998" s="5">
        <f>IFS(C1998&lt;30,"Under 30",C1998&lt;40,"30-39",C1998&lt;50,"40-49",TRUE,"50+")</f>
        <v/>
      </c>
      <c r="V1998" s="5">
        <f>IFS(O1998&lt;60000,"Low (&lt;60k)",O1998&lt;100000,"Mid (60-100k)",TRUE,"High (100k+)")</f>
        <v/>
      </c>
      <c r="W1998" s="5">
        <f>IF(M1998="No","Attrited","Active")</f>
        <v/>
      </c>
    </row>
    <row r="1999">
      <c r="A1999" s="5" t="inlineStr">
        <is>
          <t>E01998</t>
        </is>
      </c>
      <c r="B1999" s="5" t="inlineStr">
        <is>
          <t>Female</t>
        </is>
      </c>
      <c r="C1999" s="6" t="inlineStr">
        <is>
          <t>41</t>
        </is>
      </c>
      <c r="D1999" s="5" t="inlineStr">
        <is>
          <t>Married</t>
        </is>
      </c>
      <c r="E1999" s="5" t="inlineStr">
        <is>
          <t>Master</t>
        </is>
      </c>
      <c r="F1999" s="5" t="inlineStr">
        <is>
          <t>Research &amp; Development</t>
        </is>
      </c>
      <c r="G1999" s="5" t="inlineStr">
        <is>
          <t>Product Engineer</t>
        </is>
      </c>
      <c r="H1999" s="5" t="inlineStr">
        <is>
          <t>5</t>
        </is>
      </c>
      <c r="I1999" s="5" t="inlineStr">
        <is>
          <t>Hyderabad</t>
        </is>
      </c>
      <c r="J1999" s="5" t="inlineStr">
        <is>
          <t>Full-Time</t>
        </is>
      </c>
      <c r="K1999" s="7" t="n">
        <v>44099</v>
      </c>
      <c r="L1999" s="7" t="inlineStr"/>
      <c r="M1999" s="5" t="inlineStr">
        <is>
          <t>Yes</t>
        </is>
      </c>
      <c r="N1999" s="5" t="inlineStr"/>
      <c r="O1999" s="8" t="inlineStr">
        <is>
          <t>258000</t>
        </is>
      </c>
      <c r="P1999" s="5" t="inlineStr">
        <is>
          <t>10</t>
        </is>
      </c>
      <c r="Q1999" s="5" t="inlineStr">
        <is>
          <t>4</t>
        </is>
      </c>
      <c r="R1999" s="5" t="inlineStr">
        <is>
          <t>1</t>
        </is>
      </c>
      <c r="S1999" s="5" t="inlineStr">
        <is>
          <t>64</t>
        </is>
      </c>
      <c r="T1999" s="5" t="inlineStr">
        <is>
          <t>0</t>
        </is>
      </c>
      <c r="U1999" s="5">
        <f>IFS(C1999&lt;30,"Under 30",C1999&lt;40,"30-39",C1999&lt;50,"40-49",TRUE,"50+")</f>
        <v/>
      </c>
      <c r="V1999" s="5">
        <f>IFS(O1999&lt;60000,"Low (&lt;60k)",O1999&lt;100000,"Mid (60-100k)",TRUE,"High (100k+)")</f>
        <v/>
      </c>
      <c r="W1999" s="5">
        <f>IF(M1999="No","Attrited","Active")</f>
        <v/>
      </c>
    </row>
    <row r="2000">
      <c r="A2000" s="5" t="inlineStr">
        <is>
          <t>E01999</t>
        </is>
      </c>
      <c r="B2000" s="5" t="inlineStr">
        <is>
          <t>Female</t>
        </is>
      </c>
      <c r="C2000" s="6" t="inlineStr">
        <is>
          <t>30</t>
        </is>
      </c>
      <c r="D2000" s="5" t="inlineStr">
        <is>
          <t>Divorced</t>
        </is>
      </c>
      <c r="E2000" s="5" t="inlineStr">
        <is>
          <t>PhD</t>
        </is>
      </c>
      <c r="F2000" s="5" t="inlineStr">
        <is>
          <t>Sales</t>
        </is>
      </c>
      <c r="G2000" s="5" t="inlineStr">
        <is>
          <t>Sales Executive</t>
        </is>
      </c>
      <c r="H2000" s="5" t="inlineStr">
        <is>
          <t>1</t>
        </is>
      </c>
      <c r="I2000" s="5" t="inlineStr">
        <is>
          <t>Hyderabad</t>
        </is>
      </c>
      <c r="J2000" s="5" t="inlineStr">
        <is>
          <t>Part-Time</t>
        </is>
      </c>
      <c r="K2000" s="7" t="n">
        <v>44285</v>
      </c>
      <c r="L2000" s="7" t="n">
        <v>44370</v>
      </c>
      <c r="M2000" s="5" t="inlineStr">
        <is>
          <t>No</t>
        </is>
      </c>
      <c r="N2000" s="5" t="inlineStr">
        <is>
          <t>Resigned</t>
        </is>
      </c>
      <c r="O2000" s="8" t="inlineStr">
        <is>
          <t>81000</t>
        </is>
      </c>
      <c r="P2000" s="5" t="inlineStr">
        <is>
          <t>5</t>
        </is>
      </c>
      <c r="Q2000" s="5" t="inlineStr">
        <is>
          <t>5</t>
        </is>
      </c>
      <c r="R2000" s="5" t="inlineStr">
        <is>
          <t>4</t>
        </is>
      </c>
      <c r="S2000" s="5" t="inlineStr">
        <is>
          <t>2</t>
        </is>
      </c>
      <c r="T2000" s="5" t="inlineStr">
        <is>
          <t>3</t>
        </is>
      </c>
      <c r="U2000" s="5">
        <f>IFS(C2000&lt;30,"Under 30",C2000&lt;40,"30-39",C2000&lt;50,"40-49",TRUE,"50+")</f>
        <v/>
      </c>
      <c r="V2000" s="5">
        <f>IFS(O2000&lt;60000,"Low (&lt;60k)",O2000&lt;100000,"Mid (60-100k)",TRUE,"High (100k+)")</f>
        <v/>
      </c>
      <c r="W2000" s="5">
        <f>IF(M2000="No","Attrited","Active")</f>
        <v/>
      </c>
    </row>
    <row r="2001">
      <c r="A2001" s="5" t="inlineStr">
        <is>
          <t>E02000</t>
        </is>
      </c>
      <c r="B2001" s="5" t="inlineStr">
        <is>
          <t>Male</t>
        </is>
      </c>
      <c r="C2001" s="6" t="inlineStr">
        <is>
          <t>37</t>
        </is>
      </c>
      <c r="D2001" s="5" t="inlineStr">
        <is>
          <t>Single</t>
        </is>
      </c>
      <c r="E2001" s="5" t="inlineStr">
        <is>
          <t>Bachelor</t>
        </is>
      </c>
      <c r="F2001" s="5" t="inlineStr">
        <is>
          <t>Operations</t>
        </is>
      </c>
      <c r="G2001" s="5" t="inlineStr">
        <is>
          <t>Quality Analyst</t>
        </is>
      </c>
      <c r="H2001" s="5" t="inlineStr">
        <is>
          <t>6</t>
        </is>
      </c>
      <c r="I2001" s="5" t="inlineStr">
        <is>
          <t>Chennai</t>
        </is>
      </c>
      <c r="J2001" s="5" t="inlineStr">
        <is>
          <t>Full-Time</t>
        </is>
      </c>
      <c r="K2001" s="7" t="n">
        <v>44047</v>
      </c>
      <c r="L2001" s="7" t="inlineStr"/>
      <c r="M2001" s="5" t="inlineStr">
        <is>
          <t>Yes</t>
        </is>
      </c>
      <c r="N2001" s="5" t="inlineStr"/>
      <c r="O2001" s="8" t="inlineStr">
        <is>
          <t>113500</t>
        </is>
      </c>
      <c r="P2001" s="5" t="inlineStr">
        <is>
          <t>15</t>
        </is>
      </c>
      <c r="Q2001" s="5" t="inlineStr">
        <is>
          <t>3</t>
        </is>
      </c>
      <c r="R2001" s="5" t="inlineStr">
        <is>
          <t>8</t>
        </is>
      </c>
      <c r="S2001" s="5" t="inlineStr">
        <is>
          <t>65</t>
        </is>
      </c>
      <c r="T2001" s="5" t="inlineStr">
        <is>
          <t>0</t>
        </is>
      </c>
      <c r="U2001" s="5">
        <f>IFS(C2001&lt;30,"Under 30",C2001&lt;40,"30-39",C2001&lt;50,"40-49",TRUE,"50+")</f>
        <v/>
      </c>
      <c r="V2001" s="5">
        <f>IFS(O2001&lt;60000,"Low (&lt;60k)",O2001&lt;100000,"Mid (60-100k)",TRUE,"High (100k+)")</f>
        <v/>
      </c>
      <c r="W2001" s="5">
        <f>IF(M2001="No","Attrited","Active")</f>
        <v/>
      </c>
    </row>
    <row r="2002">
      <c r="A2002" s="5" t="inlineStr">
        <is>
          <t>E02001</t>
        </is>
      </c>
      <c r="B2002" s="5" t="inlineStr">
        <is>
          <t>Male</t>
        </is>
      </c>
      <c r="C2002" s="6" t="inlineStr">
        <is>
          <t>27</t>
        </is>
      </c>
      <c r="D2002" s="5" t="inlineStr">
        <is>
          <t>Single</t>
        </is>
      </c>
      <c r="E2002" s="5" t="inlineStr">
        <is>
          <t>PhD</t>
        </is>
      </c>
      <c r="F2002" s="5" t="inlineStr">
        <is>
          <t>Sales</t>
        </is>
      </c>
      <c r="G2002" s="5" t="inlineStr">
        <is>
          <t>Account Executive</t>
        </is>
      </c>
      <c r="H2002" s="5" t="inlineStr">
        <is>
          <t>1</t>
        </is>
      </c>
      <c r="I2002" s="5" t="inlineStr">
        <is>
          <t>Bengaluru</t>
        </is>
      </c>
      <c r="J2002" s="5" t="inlineStr">
        <is>
          <t>Full-Time</t>
        </is>
      </c>
      <c r="K2002" s="7" t="n">
        <v>43997</v>
      </c>
      <c r="L2002" s="7" t="inlineStr"/>
      <c r="M2002" s="5" t="inlineStr">
        <is>
          <t>Yes</t>
        </is>
      </c>
      <c r="N2002" s="5" t="inlineStr"/>
      <c r="O2002" s="8" t="inlineStr">
        <is>
          <t>90500</t>
        </is>
      </c>
      <c r="P2002" s="5" t="inlineStr">
        <is>
          <t>5</t>
        </is>
      </c>
      <c r="Q2002" s="5" t="inlineStr">
        <is>
          <t>4</t>
        </is>
      </c>
      <c r="R2002" s="5" t="inlineStr">
        <is>
          <t>6</t>
        </is>
      </c>
      <c r="S2002" s="5" t="inlineStr">
        <is>
          <t>67</t>
        </is>
      </c>
      <c r="T2002" s="5" t="inlineStr">
        <is>
          <t>3</t>
        </is>
      </c>
      <c r="U2002" s="5">
        <f>IFS(C2002&lt;30,"Under 30",C2002&lt;40,"30-39",C2002&lt;50,"40-49",TRUE,"50+")</f>
        <v/>
      </c>
      <c r="V2002" s="5">
        <f>IFS(O2002&lt;60000,"Low (&lt;60k)",O2002&lt;100000,"Mid (60-100k)",TRUE,"High (100k+)")</f>
        <v/>
      </c>
      <c r="W2002" s="5">
        <f>IF(M2002="No","Attrited","Active")</f>
        <v/>
      </c>
    </row>
    <row r="2003">
      <c r="A2003" s="5" t="inlineStr">
        <is>
          <t>E02002</t>
        </is>
      </c>
      <c r="B2003" s="5" t="inlineStr">
        <is>
          <t>Male</t>
        </is>
      </c>
      <c r="C2003" s="6" t="inlineStr">
        <is>
          <t>27</t>
        </is>
      </c>
      <c r="D2003" s="5" t="inlineStr">
        <is>
          <t>Married</t>
        </is>
      </c>
      <c r="E2003" s="5" t="inlineStr">
        <is>
          <t>Diploma</t>
        </is>
      </c>
      <c r="F2003" s="5" t="inlineStr">
        <is>
          <t>Human Resources</t>
        </is>
      </c>
      <c r="G2003" s="5" t="inlineStr">
        <is>
          <t>HR Analyst</t>
        </is>
      </c>
      <c r="H2003" s="5" t="inlineStr">
        <is>
          <t>1</t>
        </is>
      </c>
      <c r="I2003" s="5" t="inlineStr">
        <is>
          <t>Chennai</t>
        </is>
      </c>
      <c r="J2003" s="5" t="inlineStr">
        <is>
          <t>Full-Time</t>
        </is>
      </c>
      <c r="K2003" s="7" t="n">
        <v>44846</v>
      </c>
      <c r="L2003" s="7" t="inlineStr"/>
      <c r="M2003" s="5" t="inlineStr">
        <is>
          <t>Yes</t>
        </is>
      </c>
      <c r="N2003" s="5" t="inlineStr"/>
      <c r="O2003" s="8" t="inlineStr">
        <is>
          <t>73000</t>
        </is>
      </c>
      <c r="P2003" s="5" t="inlineStr">
        <is>
          <t>5</t>
        </is>
      </c>
      <c r="Q2003" s="5" t="inlineStr">
        <is>
          <t>4</t>
        </is>
      </c>
      <c r="R2003" s="5" t="inlineStr">
        <is>
          <t>7</t>
        </is>
      </c>
      <c r="S2003" s="5" t="inlineStr">
        <is>
          <t>39</t>
        </is>
      </c>
      <c r="T2003" s="5" t="inlineStr">
        <is>
          <t>3</t>
        </is>
      </c>
      <c r="U2003" s="5">
        <f>IFS(C2003&lt;30,"Under 30",C2003&lt;40,"30-39",C2003&lt;50,"40-49",TRUE,"50+")</f>
        <v/>
      </c>
      <c r="V2003" s="5">
        <f>IFS(O2003&lt;60000,"Low (&lt;60k)",O2003&lt;100000,"Mid (60-100k)",TRUE,"High (100k+)")</f>
        <v/>
      </c>
      <c r="W2003" s="5">
        <f>IF(M2003="No","Attrited","Active")</f>
        <v/>
      </c>
    </row>
    <row r="2004">
      <c r="A2004" s="5" t="inlineStr">
        <is>
          <t>E02003</t>
        </is>
      </c>
      <c r="B2004" s="5" t="inlineStr">
        <is>
          <t>Female</t>
        </is>
      </c>
      <c r="C2004" s="6" t="inlineStr">
        <is>
          <t>25</t>
        </is>
      </c>
      <c r="D2004" s="5" t="inlineStr">
        <is>
          <t>Married</t>
        </is>
      </c>
      <c r="E2004" s="5" t="inlineStr">
        <is>
          <t>High School</t>
        </is>
      </c>
      <c r="F2004" s="5" t="inlineStr">
        <is>
          <t>Customer Support</t>
        </is>
      </c>
      <c r="G2004" s="5" t="inlineStr">
        <is>
          <t>Support Lead</t>
        </is>
      </c>
      <c r="H2004" s="5" t="inlineStr">
        <is>
          <t>1</t>
        </is>
      </c>
      <c r="I2004" s="5" t="inlineStr">
        <is>
          <t>Chennai</t>
        </is>
      </c>
      <c r="J2004" s="5" t="inlineStr">
        <is>
          <t>Part-Time</t>
        </is>
      </c>
      <c r="K2004" s="7" t="n">
        <v>44962</v>
      </c>
      <c r="L2004" s="7" t="inlineStr"/>
      <c r="M2004" s="5" t="inlineStr">
        <is>
          <t>Yes</t>
        </is>
      </c>
      <c r="N2004" s="5" t="inlineStr"/>
      <c r="O2004" s="8" t="inlineStr">
        <is>
          <t>69500</t>
        </is>
      </c>
      <c r="P2004" s="5" t="inlineStr">
        <is>
          <t>15</t>
        </is>
      </c>
      <c r="Q2004" s="5" t="inlineStr">
        <is>
          <t>4</t>
        </is>
      </c>
      <c r="R2004" s="5" t="inlineStr">
        <is>
          <t>9</t>
        </is>
      </c>
      <c r="S2004" s="5" t="inlineStr">
        <is>
          <t>35</t>
        </is>
      </c>
      <c r="T2004" s="5" t="inlineStr">
        <is>
          <t>13</t>
        </is>
      </c>
      <c r="U2004" s="5">
        <f>IFS(C2004&lt;30,"Under 30",C2004&lt;40,"30-39",C2004&lt;50,"40-49",TRUE,"50+")</f>
        <v/>
      </c>
      <c r="V2004" s="5">
        <f>IFS(O2004&lt;60000,"Low (&lt;60k)",O2004&lt;100000,"Mid (60-100k)",TRUE,"High (100k+)")</f>
        <v/>
      </c>
      <c r="W2004" s="5">
        <f>IF(M2004="No","Attrited","Active")</f>
        <v/>
      </c>
    </row>
    <row r="2005">
      <c r="A2005" s="5" t="inlineStr">
        <is>
          <t>E02004</t>
        </is>
      </c>
      <c r="B2005" s="5" t="inlineStr">
        <is>
          <t>Female</t>
        </is>
      </c>
      <c r="C2005" s="6" t="inlineStr">
        <is>
          <t>36</t>
        </is>
      </c>
      <c r="D2005" s="5" t="inlineStr">
        <is>
          <t>Married</t>
        </is>
      </c>
      <c r="E2005" s="5" t="inlineStr">
        <is>
          <t>Master</t>
        </is>
      </c>
      <c r="F2005" s="5" t="inlineStr">
        <is>
          <t>Operations</t>
        </is>
      </c>
      <c r="G2005" s="5" t="inlineStr">
        <is>
          <t>Logistics Coordinator</t>
        </is>
      </c>
      <c r="H2005" s="5" t="inlineStr">
        <is>
          <t>2</t>
        </is>
      </c>
      <c r="I2005" s="5" t="inlineStr">
        <is>
          <t>Delhi</t>
        </is>
      </c>
      <c r="J2005" s="5" t="inlineStr">
        <is>
          <t>Part-Time</t>
        </is>
      </c>
      <c r="K2005" s="7" t="n">
        <v>44986</v>
      </c>
      <c r="L2005" s="7" t="inlineStr"/>
      <c r="M2005" s="5" t="inlineStr">
        <is>
          <t>Yes</t>
        </is>
      </c>
      <c r="N2005" s="5" t="inlineStr"/>
      <c r="O2005" s="8" t="inlineStr">
        <is>
          <t>110500</t>
        </is>
      </c>
      <c r="P2005" s="5" t="inlineStr">
        <is>
          <t>15</t>
        </is>
      </c>
      <c r="Q2005" s="5" t="inlineStr">
        <is>
          <t>5</t>
        </is>
      </c>
      <c r="R2005" s="5" t="inlineStr">
        <is>
          <t>5</t>
        </is>
      </c>
      <c r="S2005" s="5" t="inlineStr">
        <is>
          <t>34</t>
        </is>
      </c>
      <c r="T2005" s="5" t="inlineStr">
        <is>
          <t>8</t>
        </is>
      </c>
      <c r="U2005" s="5">
        <f>IFS(C2005&lt;30,"Under 30",C2005&lt;40,"30-39",C2005&lt;50,"40-49",TRUE,"50+")</f>
        <v/>
      </c>
      <c r="V2005" s="5">
        <f>IFS(O2005&lt;60000,"Low (&lt;60k)",O2005&lt;100000,"Mid (60-100k)",TRUE,"High (100k+)")</f>
        <v/>
      </c>
      <c r="W2005" s="5">
        <f>IF(M2005="No","Attrited","Active")</f>
        <v/>
      </c>
    </row>
    <row r="2006">
      <c r="A2006" s="5" t="inlineStr">
        <is>
          <t>E02005</t>
        </is>
      </c>
      <c r="B2006" s="5" t="inlineStr">
        <is>
          <t>Male</t>
        </is>
      </c>
      <c r="C2006" s="6" t="inlineStr">
        <is>
          <t>41</t>
        </is>
      </c>
      <c r="D2006" s="5" t="inlineStr">
        <is>
          <t>Married</t>
        </is>
      </c>
      <c r="E2006" s="5" t="inlineStr">
        <is>
          <t>Diploma</t>
        </is>
      </c>
      <c r="F2006" s="5" t="inlineStr">
        <is>
          <t>Operations</t>
        </is>
      </c>
      <c r="G2006" s="5" t="inlineStr">
        <is>
          <t>Logistics Coordinator</t>
        </is>
      </c>
      <c r="H2006" s="5" t="inlineStr">
        <is>
          <t>7</t>
        </is>
      </c>
      <c r="I2006" s="5" t="inlineStr">
        <is>
          <t>Hyderabad</t>
        </is>
      </c>
      <c r="J2006" s="5" t="inlineStr">
        <is>
          <t>Full-Time</t>
        </is>
      </c>
      <c r="K2006" s="7" t="n">
        <v>43904</v>
      </c>
      <c r="L2006" s="7" t="inlineStr"/>
      <c r="M2006" s="5" t="inlineStr">
        <is>
          <t>Yes</t>
        </is>
      </c>
      <c r="N2006" s="5" t="inlineStr"/>
      <c r="O2006" s="8" t="inlineStr">
        <is>
          <t>168000</t>
        </is>
      </c>
      <c r="P2006" s="5" t="inlineStr">
        <is>
          <t>0</t>
        </is>
      </c>
      <c r="Q2006" s="5" t="inlineStr">
        <is>
          <t>4</t>
        </is>
      </c>
      <c r="R2006" s="5" t="inlineStr">
        <is>
          <t>7</t>
        </is>
      </c>
      <c r="S2006" s="5" t="inlineStr">
        <is>
          <t>70</t>
        </is>
      </c>
      <c r="T2006" s="5" t="inlineStr">
        <is>
          <t>0</t>
        </is>
      </c>
      <c r="U2006" s="5">
        <f>IFS(C2006&lt;30,"Under 30",C2006&lt;40,"30-39",C2006&lt;50,"40-49",TRUE,"50+")</f>
        <v/>
      </c>
      <c r="V2006" s="5">
        <f>IFS(O2006&lt;60000,"Low (&lt;60k)",O2006&lt;100000,"Mid (60-100k)",TRUE,"High (100k+)")</f>
        <v/>
      </c>
      <c r="W2006" s="5">
        <f>IF(M2006="No","Attrited","Active")</f>
        <v/>
      </c>
    </row>
    <row r="2007">
      <c r="A2007" s="5" t="inlineStr">
        <is>
          <t>E02006</t>
        </is>
      </c>
      <c r="B2007" s="5" t="inlineStr">
        <is>
          <t>Male</t>
        </is>
      </c>
      <c r="C2007" s="6" t="inlineStr">
        <is>
          <t>31</t>
        </is>
      </c>
      <c r="D2007" s="5" t="inlineStr">
        <is>
          <t>Married</t>
        </is>
      </c>
      <c r="E2007" s="5" t="inlineStr">
        <is>
          <t>Bachelor</t>
        </is>
      </c>
      <c r="F2007" s="5" t="inlineStr">
        <is>
          <t>Finance</t>
        </is>
      </c>
      <c r="G2007" s="5" t="inlineStr">
        <is>
          <t>Credit Analyst</t>
        </is>
      </c>
      <c r="H2007" s="5" t="inlineStr">
        <is>
          <t>2</t>
        </is>
      </c>
      <c r="I2007" s="5" t="inlineStr">
        <is>
          <t>Chennai</t>
        </is>
      </c>
      <c r="J2007" s="5" t="inlineStr">
        <is>
          <t>Full-Time</t>
        </is>
      </c>
      <c r="K2007" s="7" t="n">
        <v>44449</v>
      </c>
      <c r="L2007" s="7" t="inlineStr"/>
      <c r="M2007" s="5" t="inlineStr">
        <is>
          <t>Yes</t>
        </is>
      </c>
      <c r="N2007" s="5" t="inlineStr"/>
      <c r="O2007" s="8" t="inlineStr">
        <is>
          <t>74000</t>
        </is>
      </c>
      <c r="P2007" s="5" t="inlineStr">
        <is>
          <t>0</t>
        </is>
      </c>
      <c r="Q2007" s="5" t="inlineStr">
        <is>
          <t>4</t>
        </is>
      </c>
      <c r="R2007" s="5" t="inlineStr">
        <is>
          <t>4</t>
        </is>
      </c>
      <c r="S2007" s="5" t="inlineStr">
        <is>
          <t>52</t>
        </is>
      </c>
      <c r="T2007" s="5" t="inlineStr">
        <is>
          <t>15</t>
        </is>
      </c>
      <c r="U2007" s="5">
        <f>IFS(C2007&lt;30,"Under 30",C2007&lt;40,"30-39",C2007&lt;50,"40-49",TRUE,"50+")</f>
        <v/>
      </c>
      <c r="V2007" s="5">
        <f>IFS(O2007&lt;60000,"Low (&lt;60k)",O2007&lt;100000,"Mid (60-100k)",TRUE,"High (100k+)")</f>
        <v/>
      </c>
      <c r="W2007" s="5">
        <f>IF(M2007="No","Attrited","Active")</f>
        <v/>
      </c>
    </row>
    <row r="2008">
      <c r="A2008" s="5" t="inlineStr">
        <is>
          <t>E02007</t>
        </is>
      </c>
      <c r="B2008" s="5" t="inlineStr">
        <is>
          <t>Female</t>
        </is>
      </c>
      <c r="C2008" s="6" t="inlineStr">
        <is>
          <t>35</t>
        </is>
      </c>
      <c r="D2008" s="5" t="inlineStr">
        <is>
          <t>Divorced</t>
        </is>
      </c>
      <c r="E2008" s="5" t="inlineStr">
        <is>
          <t>Diploma</t>
        </is>
      </c>
      <c r="F2008" s="5" t="inlineStr">
        <is>
          <t>Operations</t>
        </is>
      </c>
      <c r="G2008" s="5" t="inlineStr">
        <is>
          <t>Operations Analyst</t>
        </is>
      </c>
      <c r="H2008" s="5" t="inlineStr">
        <is>
          <t>2</t>
        </is>
      </c>
      <c r="I2008" s="5" t="inlineStr">
        <is>
          <t>Mumbai</t>
        </is>
      </c>
      <c r="J2008" s="5" t="inlineStr">
        <is>
          <t>Full-Time</t>
        </is>
      </c>
      <c r="K2008" s="7" t="n">
        <v>44599</v>
      </c>
      <c r="L2008" s="7" t="inlineStr"/>
      <c r="M2008" s="5" t="inlineStr">
        <is>
          <t>Yes</t>
        </is>
      </c>
      <c r="N2008" s="5" t="inlineStr"/>
      <c r="O2008" s="8" t="inlineStr">
        <is>
          <t>94500</t>
        </is>
      </c>
      <c r="P2008" s="5" t="inlineStr">
        <is>
          <t>5</t>
        </is>
      </c>
      <c r="Q2008" s="5" t="inlineStr">
        <is>
          <t>3</t>
        </is>
      </c>
      <c r="R2008" s="5" t="inlineStr">
        <is>
          <t>4</t>
        </is>
      </c>
      <c r="S2008" s="5" t="inlineStr">
        <is>
          <t>47</t>
        </is>
      </c>
      <c r="T2008" s="5" t="inlineStr">
        <is>
          <t>11</t>
        </is>
      </c>
      <c r="U2008" s="5">
        <f>IFS(C2008&lt;30,"Under 30",C2008&lt;40,"30-39",C2008&lt;50,"40-49",TRUE,"50+")</f>
        <v/>
      </c>
      <c r="V2008" s="5">
        <f>IFS(O2008&lt;60000,"Low (&lt;60k)",O2008&lt;100000,"Mid (60-100k)",TRUE,"High (100k+)")</f>
        <v/>
      </c>
      <c r="W2008" s="5">
        <f>IF(M2008="No","Attrited","Active")</f>
        <v/>
      </c>
    </row>
    <row r="2009">
      <c r="A2009" s="5" t="inlineStr">
        <is>
          <t>E02008</t>
        </is>
      </c>
      <c r="B2009" s="5" t="inlineStr">
        <is>
          <t>Female</t>
        </is>
      </c>
      <c r="C2009" s="6" t="inlineStr">
        <is>
          <t>29</t>
        </is>
      </c>
      <c r="D2009" s="5" t="inlineStr">
        <is>
          <t>Married</t>
        </is>
      </c>
      <c r="E2009" s="5" t="inlineStr">
        <is>
          <t>High School</t>
        </is>
      </c>
      <c r="F2009" s="5" t="inlineStr">
        <is>
          <t>Human Resources</t>
        </is>
      </c>
      <c r="G2009" s="5" t="inlineStr">
        <is>
          <t>Recruiter</t>
        </is>
      </c>
      <c r="H2009" s="5" t="inlineStr">
        <is>
          <t>3</t>
        </is>
      </c>
      <c r="I2009" s="5" t="inlineStr">
        <is>
          <t>Bengaluru</t>
        </is>
      </c>
      <c r="J2009" s="5" t="inlineStr">
        <is>
          <t>Part-Time</t>
        </is>
      </c>
      <c r="K2009" s="7" t="n">
        <v>45515</v>
      </c>
      <c r="L2009" s="7" t="inlineStr"/>
      <c r="M2009" s="5" t="inlineStr">
        <is>
          <t>Yes</t>
        </is>
      </c>
      <c r="N2009" s="5" t="inlineStr"/>
      <c r="O2009" s="8" t="inlineStr">
        <is>
          <t>106500</t>
        </is>
      </c>
      <c r="P2009" s="5" t="inlineStr">
        <is>
          <t>0</t>
        </is>
      </c>
      <c r="Q2009" s="5" t="inlineStr">
        <is>
          <t>3</t>
        </is>
      </c>
      <c r="R2009" s="5" t="inlineStr">
        <is>
          <t>4</t>
        </is>
      </c>
      <c r="S2009" s="5" t="inlineStr">
        <is>
          <t>16</t>
        </is>
      </c>
      <c r="T2009" s="5" t="inlineStr">
        <is>
          <t>10</t>
        </is>
      </c>
      <c r="U2009" s="5">
        <f>IFS(C2009&lt;30,"Under 30",C2009&lt;40,"30-39",C2009&lt;50,"40-49",TRUE,"50+")</f>
        <v/>
      </c>
      <c r="V2009" s="5">
        <f>IFS(O2009&lt;60000,"Low (&lt;60k)",O2009&lt;100000,"Mid (60-100k)",TRUE,"High (100k+)")</f>
        <v/>
      </c>
      <c r="W2009" s="5">
        <f>IF(M2009="No","Attrited","Active")</f>
        <v/>
      </c>
    </row>
    <row r="2010">
      <c r="A2010" s="5" t="inlineStr">
        <is>
          <t>E02009</t>
        </is>
      </c>
      <c r="B2010" s="5" t="inlineStr">
        <is>
          <t>Female</t>
        </is>
      </c>
      <c r="C2010" s="6" t="inlineStr">
        <is>
          <t>28</t>
        </is>
      </c>
      <c r="D2010" s="5" t="inlineStr">
        <is>
          <t>Married</t>
        </is>
      </c>
      <c r="E2010" s="5" t="inlineStr">
        <is>
          <t>Master</t>
        </is>
      </c>
      <c r="F2010" s="5" t="inlineStr">
        <is>
          <t>Operations</t>
        </is>
      </c>
      <c r="G2010" s="5" t="inlineStr">
        <is>
          <t>Quality Analyst</t>
        </is>
      </c>
      <c r="H2010" s="5" t="inlineStr">
        <is>
          <t>1</t>
        </is>
      </c>
      <c r="I2010" s="5" t="inlineStr">
        <is>
          <t>Remote</t>
        </is>
      </c>
      <c r="J2010" s="5" t="inlineStr">
        <is>
          <t>Full-Time</t>
        </is>
      </c>
      <c r="K2010" s="7" t="n">
        <v>44149</v>
      </c>
      <c r="L2010" s="7" t="inlineStr"/>
      <c r="M2010" s="5" t="inlineStr">
        <is>
          <t>Yes</t>
        </is>
      </c>
      <c r="N2010" s="5" t="inlineStr"/>
      <c r="O2010" s="8" t="inlineStr">
        <is>
          <t>87500</t>
        </is>
      </c>
      <c r="P2010" s="5" t="inlineStr">
        <is>
          <t>10</t>
        </is>
      </c>
      <c r="Q2010" s="5" t="inlineStr">
        <is>
          <t>5</t>
        </is>
      </c>
      <c r="R2010" s="5" t="inlineStr">
        <is>
          <t>5</t>
        </is>
      </c>
      <c r="S2010" s="5" t="inlineStr">
        <is>
          <t>62</t>
        </is>
      </c>
      <c r="T2010" s="5" t="inlineStr">
        <is>
          <t>1</t>
        </is>
      </c>
      <c r="U2010" s="5">
        <f>IFS(C2010&lt;30,"Under 30",C2010&lt;40,"30-39",C2010&lt;50,"40-49",TRUE,"50+")</f>
        <v/>
      </c>
      <c r="V2010" s="5">
        <f>IFS(O2010&lt;60000,"Low (&lt;60k)",O2010&lt;100000,"Mid (60-100k)",TRUE,"High (100k+)")</f>
        <v/>
      </c>
      <c r="W2010" s="5">
        <f>IF(M2010="No","Attrited","Active")</f>
        <v/>
      </c>
    </row>
    <row r="2011">
      <c r="A2011" s="5" t="inlineStr">
        <is>
          <t>E02010</t>
        </is>
      </c>
      <c r="B2011" s="5" t="inlineStr">
        <is>
          <t>Male</t>
        </is>
      </c>
      <c r="C2011" s="6" t="inlineStr">
        <is>
          <t>27</t>
        </is>
      </c>
      <c r="D2011" s="5" t="inlineStr">
        <is>
          <t>Married</t>
        </is>
      </c>
      <c r="E2011" s="5" t="inlineStr">
        <is>
          <t>Bachelor</t>
        </is>
      </c>
      <c r="F2011" s="5" t="inlineStr">
        <is>
          <t>Research &amp; Development</t>
        </is>
      </c>
      <c r="G2011" s="5" t="inlineStr">
        <is>
          <t>Product Engineer</t>
        </is>
      </c>
      <c r="H2011" s="5" t="inlineStr">
        <is>
          <t>3</t>
        </is>
      </c>
      <c r="I2011" s="5" t="inlineStr">
        <is>
          <t>Delhi</t>
        </is>
      </c>
      <c r="J2011" s="5" t="inlineStr">
        <is>
          <t>Full-Time</t>
        </is>
      </c>
      <c r="K2011" s="7" t="n">
        <v>44851</v>
      </c>
      <c r="L2011" s="7" t="inlineStr"/>
      <c r="M2011" s="5" t="inlineStr">
        <is>
          <t>Yes</t>
        </is>
      </c>
      <c r="N2011" s="5" t="inlineStr"/>
      <c r="O2011" s="8" t="inlineStr">
        <is>
          <t>174000</t>
        </is>
      </c>
      <c r="P2011" s="5" t="inlineStr">
        <is>
          <t>15</t>
        </is>
      </c>
      <c r="Q2011" s="5" t="inlineStr">
        <is>
          <t>5</t>
        </is>
      </c>
      <c r="R2011" s="5" t="inlineStr">
        <is>
          <t>4</t>
        </is>
      </c>
      <c r="S2011" s="5" t="inlineStr">
        <is>
          <t>39</t>
        </is>
      </c>
      <c r="T2011" s="5" t="inlineStr">
        <is>
          <t>4</t>
        </is>
      </c>
      <c r="U2011" s="5">
        <f>IFS(C2011&lt;30,"Under 30",C2011&lt;40,"30-39",C2011&lt;50,"40-49",TRUE,"50+")</f>
        <v/>
      </c>
      <c r="V2011" s="5">
        <f>IFS(O2011&lt;60000,"Low (&lt;60k)",O2011&lt;100000,"Mid (60-100k)",TRUE,"High (100k+)")</f>
        <v/>
      </c>
      <c r="W2011" s="5">
        <f>IF(M2011="No","Attrited","Active")</f>
        <v/>
      </c>
    </row>
    <row r="2012">
      <c r="A2012" s="5" t="inlineStr">
        <is>
          <t>E02011</t>
        </is>
      </c>
      <c r="B2012" s="5" t="inlineStr">
        <is>
          <t>Male</t>
        </is>
      </c>
      <c r="C2012" s="6" t="inlineStr">
        <is>
          <t>29</t>
        </is>
      </c>
      <c r="D2012" s="5" t="inlineStr">
        <is>
          <t>Married</t>
        </is>
      </c>
      <c r="E2012" s="5" t="inlineStr">
        <is>
          <t>Master</t>
        </is>
      </c>
      <c r="F2012" s="5" t="inlineStr">
        <is>
          <t>Research &amp; Development</t>
        </is>
      </c>
      <c r="G2012" s="5" t="inlineStr">
        <is>
          <t>Product Engineer</t>
        </is>
      </c>
      <c r="H2012" s="5" t="inlineStr">
        <is>
          <t>3</t>
        </is>
      </c>
      <c r="I2012" s="5" t="inlineStr">
        <is>
          <t>Delhi</t>
        </is>
      </c>
      <c r="J2012" s="5" t="inlineStr">
        <is>
          <t>Full-Time</t>
        </is>
      </c>
      <c r="K2012" s="7" t="n">
        <v>44752</v>
      </c>
      <c r="L2012" s="7" t="inlineStr"/>
      <c r="M2012" s="5" t="inlineStr">
        <is>
          <t>Yes</t>
        </is>
      </c>
      <c r="N2012" s="5" t="inlineStr"/>
      <c r="O2012" s="8" t="inlineStr">
        <is>
          <t>138000</t>
        </is>
      </c>
      <c r="P2012" s="5" t="inlineStr">
        <is>
          <t>5</t>
        </is>
      </c>
      <c r="Q2012" s="5" t="inlineStr">
        <is>
          <t>1</t>
        </is>
      </c>
      <c r="R2012" s="5" t="inlineStr">
        <is>
          <t>8</t>
        </is>
      </c>
      <c r="S2012" s="5" t="inlineStr">
        <is>
          <t>42</t>
        </is>
      </c>
      <c r="T2012" s="5" t="inlineStr">
        <is>
          <t>9</t>
        </is>
      </c>
      <c r="U2012" s="5">
        <f>IFS(C2012&lt;30,"Under 30",C2012&lt;40,"30-39",C2012&lt;50,"40-49",TRUE,"50+")</f>
        <v/>
      </c>
      <c r="V2012" s="5">
        <f>IFS(O2012&lt;60000,"Low (&lt;60k)",O2012&lt;100000,"Mid (60-100k)",TRUE,"High (100k+)")</f>
        <v/>
      </c>
      <c r="W2012" s="5">
        <f>IF(M2012="No","Attrited","Active")</f>
        <v/>
      </c>
    </row>
    <row r="2013">
      <c r="A2013" s="5" t="inlineStr">
        <is>
          <t>E02012</t>
        </is>
      </c>
      <c r="B2013" s="5" t="inlineStr">
        <is>
          <t>Male</t>
        </is>
      </c>
      <c r="C2013" s="6" t="inlineStr">
        <is>
          <t>28</t>
        </is>
      </c>
      <c r="D2013" s="5" t="inlineStr">
        <is>
          <t>Married</t>
        </is>
      </c>
      <c r="E2013" s="5" t="inlineStr">
        <is>
          <t>Diploma</t>
        </is>
      </c>
      <c r="F2013" s="5" t="inlineStr">
        <is>
          <t>Operations</t>
        </is>
      </c>
      <c r="G2013" s="5" t="inlineStr">
        <is>
          <t>Operations Analyst</t>
        </is>
      </c>
      <c r="H2013" s="5" t="inlineStr">
        <is>
          <t>1</t>
        </is>
      </c>
      <c r="I2013" s="5" t="inlineStr">
        <is>
          <t>Chennai</t>
        </is>
      </c>
      <c r="J2013" s="5" t="inlineStr">
        <is>
          <t>Full-Time</t>
        </is>
      </c>
      <c r="K2013" s="7" t="n">
        <v>44042</v>
      </c>
      <c r="L2013" s="7" t="inlineStr"/>
      <c r="M2013" s="5" t="inlineStr">
        <is>
          <t>Yes</t>
        </is>
      </c>
      <c r="N2013" s="5" t="inlineStr"/>
      <c r="O2013" s="8" t="inlineStr">
        <is>
          <t>60000</t>
        </is>
      </c>
      <c r="P2013" s="5" t="inlineStr">
        <is>
          <t>5</t>
        </is>
      </c>
      <c r="Q2013" s="5" t="inlineStr">
        <is>
          <t>4</t>
        </is>
      </c>
      <c r="R2013" s="5" t="inlineStr">
        <is>
          <t>4</t>
        </is>
      </c>
      <c r="S2013" s="5" t="inlineStr">
        <is>
          <t>66</t>
        </is>
      </c>
      <c r="T2013" s="5" t="inlineStr">
        <is>
          <t>1</t>
        </is>
      </c>
      <c r="U2013" s="5">
        <f>IFS(C2013&lt;30,"Under 30",C2013&lt;40,"30-39",C2013&lt;50,"40-49",TRUE,"50+")</f>
        <v/>
      </c>
      <c r="V2013" s="5">
        <f>IFS(O2013&lt;60000,"Low (&lt;60k)",O2013&lt;100000,"Mid (60-100k)",TRUE,"High (100k+)")</f>
        <v/>
      </c>
      <c r="W2013" s="5">
        <f>IF(M2013="No","Attrited","Active")</f>
        <v/>
      </c>
    </row>
    <row r="2014">
      <c r="A2014" s="5" t="inlineStr">
        <is>
          <t>E02013</t>
        </is>
      </c>
      <c r="B2014" s="5" t="inlineStr">
        <is>
          <t>Male</t>
        </is>
      </c>
      <c r="C2014" s="6" t="inlineStr">
        <is>
          <t>34</t>
        </is>
      </c>
      <c r="D2014" s="5" t="inlineStr">
        <is>
          <t>Married</t>
        </is>
      </c>
      <c r="E2014" s="5" t="inlineStr">
        <is>
          <t>High School</t>
        </is>
      </c>
      <c r="F2014" s="5" t="inlineStr">
        <is>
          <t>Finance</t>
        </is>
      </c>
      <c r="G2014" s="5" t="inlineStr">
        <is>
          <t>Credit Analyst</t>
        </is>
      </c>
      <c r="H2014" s="5" t="inlineStr">
        <is>
          <t>3</t>
        </is>
      </c>
      <c r="I2014" s="5" t="inlineStr">
        <is>
          <t>Remote</t>
        </is>
      </c>
      <c r="J2014" s="5" t="inlineStr">
        <is>
          <t>Full-Time</t>
        </is>
      </c>
      <c r="K2014" s="7" t="n">
        <v>45696</v>
      </c>
      <c r="L2014" s="7" t="inlineStr"/>
      <c r="M2014" s="5" t="inlineStr">
        <is>
          <t>Yes</t>
        </is>
      </c>
      <c r="N2014" s="5" t="inlineStr"/>
      <c r="O2014" s="8" t="inlineStr">
        <is>
          <t>93000</t>
        </is>
      </c>
      <c r="P2014" s="5" t="inlineStr">
        <is>
          <t>10</t>
        </is>
      </c>
      <c r="Q2014" s="5" t="inlineStr">
        <is>
          <t>3</t>
        </is>
      </c>
      <c r="R2014" s="5" t="inlineStr">
        <is>
          <t>4</t>
        </is>
      </c>
      <c r="S2014" s="5" t="inlineStr">
        <is>
          <t>10</t>
        </is>
      </c>
      <c r="T2014" s="5" t="inlineStr">
        <is>
          <t>13</t>
        </is>
      </c>
      <c r="U2014" s="5">
        <f>IFS(C2014&lt;30,"Under 30",C2014&lt;40,"30-39",C2014&lt;50,"40-49",TRUE,"50+")</f>
        <v/>
      </c>
      <c r="V2014" s="5">
        <f>IFS(O2014&lt;60000,"Low (&lt;60k)",O2014&lt;100000,"Mid (60-100k)",TRUE,"High (100k+)")</f>
        <v/>
      </c>
      <c r="W2014" s="5">
        <f>IF(M2014="No","Attrited","Active")</f>
        <v/>
      </c>
    </row>
    <row r="2015">
      <c r="A2015" s="5" t="inlineStr">
        <is>
          <t>E02014</t>
        </is>
      </c>
      <c r="B2015" s="5" t="inlineStr">
        <is>
          <t>Male</t>
        </is>
      </c>
      <c r="C2015" s="6" t="inlineStr">
        <is>
          <t>38</t>
        </is>
      </c>
      <c r="D2015" s="5" t="inlineStr">
        <is>
          <t>Married</t>
        </is>
      </c>
      <c r="E2015" s="5" t="inlineStr">
        <is>
          <t>Master</t>
        </is>
      </c>
      <c r="F2015" s="5" t="inlineStr">
        <is>
          <t>IT</t>
        </is>
      </c>
      <c r="G2015" s="5" t="inlineStr">
        <is>
          <t>DevOps Engineer</t>
        </is>
      </c>
      <c r="H2015" s="5" t="inlineStr">
        <is>
          <t>3</t>
        </is>
      </c>
      <c r="I2015" s="5" t="inlineStr">
        <is>
          <t>Remote</t>
        </is>
      </c>
      <c r="J2015" s="5" t="inlineStr">
        <is>
          <t>Full-Time</t>
        </is>
      </c>
      <c r="K2015" s="7" t="n">
        <v>45785</v>
      </c>
      <c r="L2015" s="7" t="inlineStr"/>
      <c r="M2015" s="5" t="inlineStr">
        <is>
          <t>Yes</t>
        </is>
      </c>
      <c r="N2015" s="5" t="inlineStr"/>
      <c r="O2015" s="8" t="inlineStr">
        <is>
          <t>124000</t>
        </is>
      </c>
      <c r="P2015" s="5" t="inlineStr">
        <is>
          <t>5</t>
        </is>
      </c>
      <c r="Q2015" s="5" t="inlineStr">
        <is>
          <t>5</t>
        </is>
      </c>
      <c r="R2015" s="5" t="inlineStr">
        <is>
          <t>6</t>
        </is>
      </c>
      <c r="S2015" s="5" t="inlineStr">
        <is>
          <t>7</t>
        </is>
      </c>
      <c r="T2015" s="5" t="inlineStr">
        <is>
          <t>9</t>
        </is>
      </c>
      <c r="U2015" s="5">
        <f>IFS(C2015&lt;30,"Under 30",C2015&lt;40,"30-39",C2015&lt;50,"40-49",TRUE,"50+")</f>
        <v/>
      </c>
      <c r="V2015" s="5">
        <f>IFS(O2015&lt;60000,"Low (&lt;60k)",O2015&lt;100000,"Mid (60-100k)",TRUE,"High (100k+)")</f>
        <v/>
      </c>
      <c r="W2015" s="5">
        <f>IF(M2015="No","Attrited","Active")</f>
        <v/>
      </c>
    </row>
    <row r="2016">
      <c r="A2016" s="5" t="inlineStr">
        <is>
          <t>E02015</t>
        </is>
      </c>
      <c r="B2016" s="5" t="inlineStr">
        <is>
          <t>Male</t>
        </is>
      </c>
      <c r="C2016" s="6" t="inlineStr">
        <is>
          <t>26</t>
        </is>
      </c>
      <c r="D2016" s="5" t="inlineStr">
        <is>
          <t>Single</t>
        </is>
      </c>
      <c r="E2016" s="5" t="inlineStr">
        <is>
          <t>Bachelor</t>
        </is>
      </c>
      <c r="F2016" s="5" t="inlineStr">
        <is>
          <t>Customer Support</t>
        </is>
      </c>
      <c r="G2016" s="5" t="inlineStr">
        <is>
          <t>Support Agent</t>
        </is>
      </c>
      <c r="H2016" s="5" t="inlineStr">
        <is>
          <t>1</t>
        </is>
      </c>
      <c r="I2016" s="5" t="inlineStr">
        <is>
          <t>Remote</t>
        </is>
      </c>
      <c r="J2016" s="5" t="inlineStr">
        <is>
          <t>Full-Time</t>
        </is>
      </c>
      <c r="K2016" s="7" t="n">
        <v>45618</v>
      </c>
      <c r="L2016" s="7" t="n">
        <v>45655</v>
      </c>
      <c r="M2016" s="5" t="inlineStr">
        <is>
          <t>No</t>
        </is>
      </c>
      <c r="N2016" s="5" t="inlineStr">
        <is>
          <t>Retirement</t>
        </is>
      </c>
      <c r="O2016" s="8" t="inlineStr">
        <is>
          <t>61500</t>
        </is>
      </c>
      <c r="P2016" s="5" t="inlineStr">
        <is>
          <t>0</t>
        </is>
      </c>
      <c r="Q2016" s="5" t="inlineStr">
        <is>
          <t>4</t>
        </is>
      </c>
      <c r="R2016" s="5" t="inlineStr">
        <is>
          <t>7</t>
        </is>
      </c>
      <c r="S2016" s="5" t="inlineStr">
        <is>
          <t>1</t>
        </is>
      </c>
      <c r="T2016" s="5" t="inlineStr">
        <is>
          <t>2</t>
        </is>
      </c>
      <c r="U2016" s="5">
        <f>IFS(C2016&lt;30,"Under 30",C2016&lt;40,"30-39",C2016&lt;50,"40-49",TRUE,"50+")</f>
        <v/>
      </c>
      <c r="V2016" s="5">
        <f>IFS(O2016&lt;60000,"Low (&lt;60k)",O2016&lt;100000,"Mid (60-100k)",TRUE,"High (100k+)")</f>
        <v/>
      </c>
      <c r="W2016" s="5">
        <f>IF(M2016="No","Attrited","Active")</f>
        <v/>
      </c>
    </row>
    <row r="2017">
      <c r="A2017" s="5" t="inlineStr">
        <is>
          <t>E02016</t>
        </is>
      </c>
      <c r="B2017" s="5" t="inlineStr">
        <is>
          <t>Female</t>
        </is>
      </c>
      <c r="C2017" s="6" t="inlineStr">
        <is>
          <t>38</t>
        </is>
      </c>
      <c r="D2017" s="5" t="inlineStr">
        <is>
          <t>Married</t>
        </is>
      </c>
      <c r="E2017" s="5" t="inlineStr">
        <is>
          <t>Master</t>
        </is>
      </c>
      <c r="F2017" s="5" t="inlineStr">
        <is>
          <t>Human Resources</t>
        </is>
      </c>
      <c r="G2017" s="5" t="inlineStr">
        <is>
          <t>HR Analyst</t>
        </is>
      </c>
      <c r="H2017" s="5" t="inlineStr">
        <is>
          <t>3</t>
        </is>
      </c>
      <c r="I2017" s="5" t="inlineStr">
        <is>
          <t>Bengaluru</t>
        </is>
      </c>
      <c r="J2017" s="5" t="inlineStr">
        <is>
          <t>Full-Time</t>
        </is>
      </c>
      <c r="K2017" s="7" t="n">
        <v>44527</v>
      </c>
      <c r="L2017" s="7" t="inlineStr"/>
      <c r="M2017" s="5" t="inlineStr">
        <is>
          <t>Yes</t>
        </is>
      </c>
      <c r="N2017" s="5" t="inlineStr"/>
      <c r="O2017" s="8" t="inlineStr">
        <is>
          <t>106500</t>
        </is>
      </c>
      <c r="P2017" s="5" t="inlineStr">
        <is>
          <t>0</t>
        </is>
      </c>
      <c r="Q2017" s="5" t="inlineStr">
        <is>
          <t>2</t>
        </is>
      </c>
      <c r="R2017" s="5" t="inlineStr">
        <is>
          <t>8</t>
        </is>
      </c>
      <c r="S2017" s="5" t="inlineStr">
        <is>
          <t>49</t>
        </is>
      </c>
      <c r="T2017" s="5" t="inlineStr">
        <is>
          <t>8</t>
        </is>
      </c>
      <c r="U2017" s="5">
        <f>IFS(C2017&lt;30,"Under 30",C2017&lt;40,"30-39",C2017&lt;50,"40-49",TRUE,"50+")</f>
        <v/>
      </c>
      <c r="V2017" s="5">
        <f>IFS(O2017&lt;60000,"Low (&lt;60k)",O2017&lt;100000,"Mid (60-100k)",TRUE,"High (100k+)")</f>
        <v/>
      </c>
      <c r="W2017" s="5">
        <f>IF(M2017="No","Attrited","Active")</f>
        <v/>
      </c>
    </row>
    <row r="2018">
      <c r="A2018" s="5" t="inlineStr">
        <is>
          <t>E02017</t>
        </is>
      </c>
      <c r="B2018" s="5" t="inlineStr">
        <is>
          <t>Female</t>
        </is>
      </c>
      <c r="C2018" s="6" t="inlineStr">
        <is>
          <t>29</t>
        </is>
      </c>
      <c r="D2018" s="5" t="inlineStr">
        <is>
          <t>Single</t>
        </is>
      </c>
      <c r="E2018" s="5" t="inlineStr">
        <is>
          <t>PhD</t>
        </is>
      </c>
      <c r="F2018" s="5" t="inlineStr">
        <is>
          <t>Marketing</t>
        </is>
      </c>
      <c r="G2018" s="5" t="inlineStr">
        <is>
          <t>SEO Specialist</t>
        </is>
      </c>
      <c r="H2018" s="5" t="inlineStr">
        <is>
          <t>2</t>
        </is>
      </c>
      <c r="I2018" s="5" t="inlineStr">
        <is>
          <t>Chennai</t>
        </is>
      </c>
      <c r="J2018" s="5" t="inlineStr">
        <is>
          <t>Full-Time</t>
        </is>
      </c>
      <c r="K2018" s="7" t="n">
        <v>44818</v>
      </c>
      <c r="L2018" s="7" t="n">
        <v>44926</v>
      </c>
      <c r="M2018" s="5" t="inlineStr">
        <is>
          <t>No</t>
        </is>
      </c>
      <c r="N2018" s="5" t="inlineStr">
        <is>
          <t>Resigned</t>
        </is>
      </c>
      <c r="O2018" s="8" t="inlineStr">
        <is>
          <t>93000</t>
        </is>
      </c>
      <c r="P2018" s="5" t="inlineStr">
        <is>
          <t>15</t>
        </is>
      </c>
      <c r="Q2018" s="5" t="inlineStr">
        <is>
          <t>3</t>
        </is>
      </c>
      <c r="R2018" s="5" t="inlineStr">
        <is>
          <t>4</t>
        </is>
      </c>
      <c r="S2018" s="5" t="inlineStr">
        <is>
          <t>3</t>
        </is>
      </c>
      <c r="T2018" s="5" t="inlineStr">
        <is>
          <t>4</t>
        </is>
      </c>
      <c r="U2018" s="5">
        <f>IFS(C2018&lt;30,"Under 30",C2018&lt;40,"30-39",C2018&lt;50,"40-49",TRUE,"50+")</f>
        <v/>
      </c>
      <c r="V2018" s="5">
        <f>IFS(O2018&lt;60000,"Low (&lt;60k)",O2018&lt;100000,"Mid (60-100k)",TRUE,"High (100k+)")</f>
        <v/>
      </c>
      <c r="W2018" s="5">
        <f>IF(M2018="No","Attrited","Active")</f>
        <v/>
      </c>
    </row>
    <row r="2019">
      <c r="A2019" s="5" t="inlineStr">
        <is>
          <t>E02018</t>
        </is>
      </c>
      <c r="B2019" s="5" t="inlineStr">
        <is>
          <t>Male</t>
        </is>
      </c>
      <c r="C2019" s="6" t="inlineStr">
        <is>
          <t>39</t>
        </is>
      </c>
      <c r="D2019" s="5" t="inlineStr">
        <is>
          <t>Married</t>
        </is>
      </c>
      <c r="E2019" s="5" t="inlineStr">
        <is>
          <t>High School</t>
        </is>
      </c>
      <c r="F2019" s="5" t="inlineStr">
        <is>
          <t>Finance</t>
        </is>
      </c>
      <c r="G2019" s="5" t="inlineStr">
        <is>
          <t>Credit Analyst</t>
        </is>
      </c>
      <c r="H2019" s="5" t="inlineStr">
        <is>
          <t>5</t>
        </is>
      </c>
      <c r="I2019" s="5" t="inlineStr">
        <is>
          <t>Mumbai</t>
        </is>
      </c>
      <c r="J2019" s="5" t="inlineStr">
        <is>
          <t>Part-Time</t>
        </is>
      </c>
      <c r="K2019" s="7" t="n">
        <v>45843</v>
      </c>
      <c r="L2019" s="7" t="inlineStr"/>
      <c r="M2019" s="5" t="inlineStr">
        <is>
          <t>Yes</t>
        </is>
      </c>
      <c r="N2019" s="5" t="inlineStr"/>
      <c r="O2019" s="8" t="inlineStr">
        <is>
          <t>173500</t>
        </is>
      </c>
      <c r="P2019" s="5" t="inlineStr">
        <is>
          <t>0</t>
        </is>
      </c>
      <c r="Q2019" s="5" t="inlineStr">
        <is>
          <t>3</t>
        </is>
      </c>
      <c r="R2019" s="5" t="inlineStr">
        <is>
          <t>7</t>
        </is>
      </c>
      <c r="S2019" s="5" t="inlineStr">
        <is>
          <t>5</t>
        </is>
      </c>
      <c r="T2019" s="5" t="inlineStr">
        <is>
          <t>13</t>
        </is>
      </c>
      <c r="U2019" s="5">
        <f>IFS(C2019&lt;30,"Under 30",C2019&lt;40,"30-39",C2019&lt;50,"40-49",TRUE,"50+")</f>
        <v/>
      </c>
      <c r="V2019" s="5">
        <f>IFS(O2019&lt;60000,"Low (&lt;60k)",O2019&lt;100000,"Mid (60-100k)",TRUE,"High (100k+)")</f>
        <v/>
      </c>
      <c r="W2019" s="5">
        <f>IF(M2019="No","Attrited","Active")</f>
        <v/>
      </c>
    </row>
    <row r="2020">
      <c r="A2020" s="5" t="inlineStr">
        <is>
          <t>E02019</t>
        </is>
      </c>
      <c r="B2020" s="5" t="inlineStr">
        <is>
          <t>Female</t>
        </is>
      </c>
      <c r="C2020" s="6" t="inlineStr">
        <is>
          <t>33</t>
        </is>
      </c>
      <c r="D2020" s="5" t="inlineStr">
        <is>
          <t>Married</t>
        </is>
      </c>
      <c r="E2020" s="5" t="inlineStr">
        <is>
          <t>Diploma</t>
        </is>
      </c>
      <c r="F2020" s="5" t="inlineStr">
        <is>
          <t>Marketing</t>
        </is>
      </c>
      <c r="G2020" s="5" t="inlineStr">
        <is>
          <t>Marketing Analyst</t>
        </is>
      </c>
      <c r="H2020" s="5" t="inlineStr">
        <is>
          <t>2</t>
        </is>
      </c>
      <c r="I2020" s="5" t="inlineStr">
        <is>
          <t>Delhi</t>
        </is>
      </c>
      <c r="J2020" s="5" t="inlineStr">
        <is>
          <t>Part-Time</t>
        </is>
      </c>
      <c r="K2020" s="7" t="n">
        <v>44339</v>
      </c>
      <c r="L2020" s="7" t="inlineStr"/>
      <c r="M2020" s="5" t="inlineStr">
        <is>
          <t>Yes</t>
        </is>
      </c>
      <c r="N2020" s="5" t="inlineStr"/>
      <c r="O2020" s="8" t="inlineStr">
        <is>
          <t>74500</t>
        </is>
      </c>
      <c r="P2020" s="5" t="inlineStr">
        <is>
          <t>5</t>
        </is>
      </c>
      <c r="Q2020" s="5" t="inlineStr">
        <is>
          <t>5</t>
        </is>
      </c>
      <c r="R2020" s="5" t="inlineStr">
        <is>
          <t>3</t>
        </is>
      </c>
      <c r="S2020" s="5" t="inlineStr">
        <is>
          <t>56</t>
        </is>
      </c>
      <c r="T2020" s="5" t="inlineStr">
        <is>
          <t>4</t>
        </is>
      </c>
      <c r="U2020" s="5">
        <f>IFS(C2020&lt;30,"Under 30",C2020&lt;40,"30-39",C2020&lt;50,"40-49",TRUE,"50+")</f>
        <v/>
      </c>
      <c r="V2020" s="5">
        <f>IFS(O2020&lt;60000,"Low (&lt;60k)",O2020&lt;100000,"Mid (60-100k)",TRUE,"High (100k+)")</f>
        <v/>
      </c>
      <c r="W2020" s="5">
        <f>IF(M2020="No","Attrited","Active")</f>
        <v/>
      </c>
    </row>
    <row r="2021">
      <c r="A2021" s="5" t="inlineStr">
        <is>
          <t>E02020</t>
        </is>
      </c>
      <c r="B2021" s="5" t="inlineStr">
        <is>
          <t>Female</t>
        </is>
      </c>
      <c r="C2021" s="6" t="inlineStr">
        <is>
          <t>31</t>
        </is>
      </c>
      <c r="D2021" s="5" t="inlineStr">
        <is>
          <t>Married</t>
        </is>
      </c>
      <c r="E2021" s="5" t="inlineStr">
        <is>
          <t>Bachelor</t>
        </is>
      </c>
      <c r="F2021" s="5" t="inlineStr">
        <is>
          <t>IT</t>
        </is>
      </c>
      <c r="G2021" s="5" t="inlineStr">
        <is>
          <t>DevOps Engineer</t>
        </is>
      </c>
      <c r="H2021" s="5" t="inlineStr">
        <is>
          <t>1</t>
        </is>
      </c>
      <c r="I2021" s="5" t="inlineStr">
        <is>
          <t>Remote</t>
        </is>
      </c>
      <c r="J2021" s="5" t="inlineStr">
        <is>
          <t>Full-Time</t>
        </is>
      </c>
      <c r="K2021" s="7" t="n">
        <v>44269</v>
      </c>
      <c r="L2021" s="7" t="inlineStr"/>
      <c r="M2021" s="5" t="inlineStr">
        <is>
          <t>Yes</t>
        </is>
      </c>
      <c r="N2021" s="5" t="inlineStr"/>
      <c r="O2021" s="8" t="inlineStr">
        <is>
          <t>106000</t>
        </is>
      </c>
      <c r="P2021" s="5" t="inlineStr">
        <is>
          <t>0</t>
        </is>
      </c>
      <c r="Q2021" s="5" t="inlineStr">
        <is>
          <t>3</t>
        </is>
      </c>
      <c r="R2021" s="5" t="inlineStr">
        <is>
          <t>5</t>
        </is>
      </c>
      <c r="S2021" s="5" t="inlineStr">
        <is>
          <t>58</t>
        </is>
      </c>
      <c r="T2021" s="5" t="inlineStr">
        <is>
          <t>15</t>
        </is>
      </c>
      <c r="U2021" s="5">
        <f>IFS(C2021&lt;30,"Under 30",C2021&lt;40,"30-39",C2021&lt;50,"40-49",TRUE,"50+")</f>
        <v/>
      </c>
      <c r="V2021" s="5">
        <f>IFS(O2021&lt;60000,"Low (&lt;60k)",O2021&lt;100000,"Mid (60-100k)",TRUE,"High (100k+)")</f>
        <v/>
      </c>
      <c r="W2021" s="5">
        <f>IF(M2021="No","Attrited","Active")</f>
        <v/>
      </c>
    </row>
    <row r="2022">
      <c r="A2022" s="5" t="inlineStr">
        <is>
          <t>E02021</t>
        </is>
      </c>
      <c r="B2022" s="5" t="inlineStr">
        <is>
          <t>Male</t>
        </is>
      </c>
      <c r="C2022" s="6" t="inlineStr">
        <is>
          <t>31</t>
        </is>
      </c>
      <c r="D2022" s="5" t="inlineStr">
        <is>
          <t>Married</t>
        </is>
      </c>
      <c r="E2022" s="5" t="inlineStr">
        <is>
          <t>High School</t>
        </is>
      </c>
      <c r="F2022" s="5" t="inlineStr">
        <is>
          <t>Sales</t>
        </is>
      </c>
      <c r="G2022" s="5" t="inlineStr">
        <is>
          <t>Business Development</t>
        </is>
      </c>
      <c r="H2022" s="5" t="inlineStr">
        <is>
          <t>3</t>
        </is>
      </c>
      <c r="I2022" s="5" t="inlineStr">
        <is>
          <t>Bengaluru</t>
        </is>
      </c>
      <c r="J2022" s="5" t="inlineStr">
        <is>
          <t>Full-Time</t>
        </is>
      </c>
      <c r="K2022" s="7" t="n">
        <v>43843</v>
      </c>
      <c r="L2022" s="7" t="inlineStr"/>
      <c r="M2022" s="5" t="inlineStr">
        <is>
          <t>Yes</t>
        </is>
      </c>
      <c r="N2022" s="5" t="inlineStr"/>
      <c r="O2022" s="8" t="inlineStr">
        <is>
          <t>77500</t>
        </is>
      </c>
      <c r="P2022" s="5" t="inlineStr">
        <is>
          <t>0</t>
        </is>
      </c>
      <c r="Q2022" s="5" t="inlineStr">
        <is>
          <t>5</t>
        </is>
      </c>
      <c r="R2022" s="5" t="inlineStr">
        <is>
          <t>3</t>
        </is>
      </c>
      <c r="S2022" s="5" t="inlineStr">
        <is>
          <t>72</t>
        </is>
      </c>
      <c r="T2022" s="5" t="inlineStr">
        <is>
          <t>4</t>
        </is>
      </c>
      <c r="U2022" s="5">
        <f>IFS(C2022&lt;30,"Under 30",C2022&lt;40,"30-39",C2022&lt;50,"40-49",TRUE,"50+")</f>
        <v/>
      </c>
      <c r="V2022" s="5">
        <f>IFS(O2022&lt;60000,"Low (&lt;60k)",O2022&lt;100000,"Mid (60-100k)",TRUE,"High (100k+)")</f>
        <v/>
      </c>
      <c r="W2022" s="5">
        <f>IF(M2022="No","Attrited","Active")</f>
        <v/>
      </c>
    </row>
    <row r="2023">
      <c r="A2023" s="5" t="inlineStr">
        <is>
          <t>E02022</t>
        </is>
      </c>
      <c r="B2023" s="5" t="inlineStr">
        <is>
          <t>Female</t>
        </is>
      </c>
      <c r="C2023" s="6" t="inlineStr">
        <is>
          <t>27</t>
        </is>
      </c>
      <c r="D2023" s="5" t="inlineStr">
        <is>
          <t>Married</t>
        </is>
      </c>
      <c r="E2023" s="5" t="inlineStr">
        <is>
          <t>High School</t>
        </is>
      </c>
      <c r="F2023" s="5" t="inlineStr">
        <is>
          <t>Customer Support</t>
        </is>
      </c>
      <c r="G2023" s="5" t="inlineStr">
        <is>
          <t>Support Agent</t>
        </is>
      </c>
      <c r="H2023" s="5" t="inlineStr">
        <is>
          <t>3</t>
        </is>
      </c>
      <c r="I2023" s="5" t="inlineStr">
        <is>
          <t>Hyderabad</t>
        </is>
      </c>
      <c r="J2023" s="5" t="inlineStr">
        <is>
          <t>Full-Time</t>
        </is>
      </c>
      <c r="K2023" s="7" t="n">
        <v>44189</v>
      </c>
      <c r="L2023" s="7" t="inlineStr"/>
      <c r="M2023" s="5" t="inlineStr">
        <is>
          <t>Yes</t>
        </is>
      </c>
      <c r="N2023" s="5" t="inlineStr"/>
      <c r="O2023" s="8" t="inlineStr">
        <is>
          <t>69500</t>
        </is>
      </c>
      <c r="P2023" s="5" t="inlineStr">
        <is>
          <t>5</t>
        </is>
      </c>
      <c r="Q2023" s="5" t="inlineStr">
        <is>
          <t>3</t>
        </is>
      </c>
      <c r="R2023" s="5" t="inlineStr">
        <is>
          <t>6</t>
        </is>
      </c>
      <c r="S2023" s="5" t="inlineStr">
        <is>
          <t>61</t>
        </is>
      </c>
      <c r="T2023" s="5" t="inlineStr">
        <is>
          <t>5</t>
        </is>
      </c>
      <c r="U2023" s="5">
        <f>IFS(C2023&lt;30,"Under 30",C2023&lt;40,"30-39",C2023&lt;50,"40-49",TRUE,"50+")</f>
        <v/>
      </c>
      <c r="V2023" s="5">
        <f>IFS(O2023&lt;60000,"Low (&lt;60k)",O2023&lt;100000,"Mid (60-100k)",TRUE,"High (100k+)")</f>
        <v/>
      </c>
      <c r="W2023" s="5">
        <f>IF(M2023="No","Attrited","Active")</f>
        <v/>
      </c>
    </row>
    <row r="2024">
      <c r="A2024" s="5" t="inlineStr">
        <is>
          <t>E02023</t>
        </is>
      </c>
      <c r="B2024" s="5" t="inlineStr">
        <is>
          <t>Female</t>
        </is>
      </c>
      <c r="C2024" s="6" t="inlineStr">
        <is>
          <t>38</t>
        </is>
      </c>
      <c r="D2024" s="5" t="inlineStr">
        <is>
          <t>Single</t>
        </is>
      </c>
      <c r="E2024" s="5" t="inlineStr">
        <is>
          <t>PhD</t>
        </is>
      </c>
      <c r="F2024" s="5" t="inlineStr">
        <is>
          <t>Human Resources</t>
        </is>
      </c>
      <c r="G2024" s="5" t="inlineStr">
        <is>
          <t>HR Generalist</t>
        </is>
      </c>
      <c r="H2024" s="5" t="inlineStr">
        <is>
          <t>4</t>
        </is>
      </c>
      <c r="I2024" s="5" t="inlineStr">
        <is>
          <t>Bengaluru</t>
        </is>
      </c>
      <c r="J2024" s="5" t="inlineStr">
        <is>
          <t>Full-Time</t>
        </is>
      </c>
      <c r="K2024" s="7" t="n">
        <v>45628</v>
      </c>
      <c r="L2024" s="7" t="inlineStr"/>
      <c r="M2024" s="5" t="inlineStr">
        <is>
          <t>Yes</t>
        </is>
      </c>
      <c r="N2024" s="5" t="inlineStr"/>
      <c r="O2024" s="8" t="inlineStr">
        <is>
          <t>141500</t>
        </is>
      </c>
      <c r="P2024" s="5" t="inlineStr">
        <is>
          <t>0</t>
        </is>
      </c>
      <c r="Q2024" s="5" t="inlineStr">
        <is>
          <t>2</t>
        </is>
      </c>
      <c r="R2024" s="5" t="inlineStr">
        <is>
          <t>2</t>
        </is>
      </c>
      <c r="S2024" s="5" t="inlineStr">
        <is>
          <t>13</t>
        </is>
      </c>
      <c r="T2024" s="5" t="inlineStr">
        <is>
          <t>4</t>
        </is>
      </c>
      <c r="U2024" s="5">
        <f>IFS(C2024&lt;30,"Under 30",C2024&lt;40,"30-39",C2024&lt;50,"40-49",TRUE,"50+")</f>
        <v/>
      </c>
      <c r="V2024" s="5">
        <f>IFS(O2024&lt;60000,"Low (&lt;60k)",O2024&lt;100000,"Mid (60-100k)",TRUE,"High (100k+)")</f>
        <v/>
      </c>
      <c r="W2024" s="5">
        <f>IF(M2024="No","Attrited","Active")</f>
        <v/>
      </c>
    </row>
    <row r="2025">
      <c r="A2025" s="5" t="inlineStr">
        <is>
          <t>E02024</t>
        </is>
      </c>
      <c r="B2025" s="5" t="inlineStr">
        <is>
          <t>Male</t>
        </is>
      </c>
      <c r="C2025" s="6" t="inlineStr">
        <is>
          <t>33</t>
        </is>
      </c>
      <c r="D2025" s="5" t="inlineStr">
        <is>
          <t>Married</t>
        </is>
      </c>
      <c r="E2025" s="5" t="inlineStr">
        <is>
          <t>Bachelor</t>
        </is>
      </c>
      <c r="F2025" s="5" t="inlineStr">
        <is>
          <t>Sales</t>
        </is>
      </c>
      <c r="G2025" s="5" t="inlineStr">
        <is>
          <t>Account Executive</t>
        </is>
      </c>
      <c r="H2025" s="5" t="inlineStr">
        <is>
          <t>1</t>
        </is>
      </c>
      <c r="I2025" s="5" t="inlineStr">
        <is>
          <t>Remote</t>
        </is>
      </c>
      <c r="J2025" s="5" t="inlineStr">
        <is>
          <t>Full-Time</t>
        </is>
      </c>
      <c r="K2025" s="7" t="n">
        <v>45647</v>
      </c>
      <c r="L2025" s="7" t="n">
        <v>45746</v>
      </c>
      <c r="M2025" s="5" t="inlineStr">
        <is>
          <t>No</t>
        </is>
      </c>
      <c r="N2025" s="5" t="inlineStr">
        <is>
          <t>Resigned</t>
        </is>
      </c>
      <c r="O2025" s="8" t="inlineStr">
        <is>
          <t>81000</t>
        </is>
      </c>
      <c r="P2025" s="5" t="inlineStr">
        <is>
          <t>15</t>
        </is>
      </c>
      <c r="Q2025" s="5" t="inlineStr">
        <is>
          <t>3</t>
        </is>
      </c>
      <c r="R2025" s="5" t="inlineStr">
        <is>
          <t>6</t>
        </is>
      </c>
      <c r="S2025" s="5" t="inlineStr">
        <is>
          <t>3</t>
        </is>
      </c>
      <c r="T2025" s="5" t="inlineStr">
        <is>
          <t>4</t>
        </is>
      </c>
      <c r="U2025" s="5">
        <f>IFS(C2025&lt;30,"Under 30",C2025&lt;40,"30-39",C2025&lt;50,"40-49",TRUE,"50+")</f>
        <v/>
      </c>
      <c r="V2025" s="5">
        <f>IFS(O2025&lt;60000,"Low (&lt;60k)",O2025&lt;100000,"Mid (60-100k)",TRUE,"High (100k+)")</f>
        <v/>
      </c>
      <c r="W2025" s="5">
        <f>IF(M2025="No","Attrited","Active")</f>
        <v/>
      </c>
    </row>
    <row r="2026">
      <c r="A2026" s="5" t="inlineStr">
        <is>
          <t>E02025</t>
        </is>
      </c>
      <c r="B2026" s="5" t="inlineStr">
        <is>
          <t>Female</t>
        </is>
      </c>
      <c r="C2026" s="6" t="inlineStr">
        <is>
          <t>36</t>
        </is>
      </c>
      <c r="D2026" s="5" t="inlineStr">
        <is>
          <t>Married</t>
        </is>
      </c>
      <c r="E2026" s="5" t="inlineStr">
        <is>
          <t>High School</t>
        </is>
      </c>
      <c r="F2026" s="5" t="inlineStr">
        <is>
          <t>Customer Support</t>
        </is>
      </c>
      <c r="G2026" s="5" t="inlineStr">
        <is>
          <t>Escalation Specialist</t>
        </is>
      </c>
      <c r="H2026" s="5" t="inlineStr">
        <is>
          <t>6</t>
        </is>
      </c>
      <c r="I2026" s="5" t="inlineStr">
        <is>
          <t>Bengaluru</t>
        </is>
      </c>
      <c r="J2026" s="5" t="inlineStr">
        <is>
          <t>Full-Time</t>
        </is>
      </c>
      <c r="K2026" s="7" t="n">
        <v>44512</v>
      </c>
      <c r="L2026" s="7" t="n">
        <v>44645</v>
      </c>
      <c r="M2026" s="5" t="inlineStr">
        <is>
          <t>No</t>
        </is>
      </c>
      <c r="N2026" s="5" t="inlineStr">
        <is>
          <t>Resigned</t>
        </is>
      </c>
      <c r="O2026" s="8" t="inlineStr">
        <is>
          <t>110000</t>
        </is>
      </c>
      <c r="P2026" s="5" t="inlineStr">
        <is>
          <t>5</t>
        </is>
      </c>
      <c r="Q2026" s="5" t="inlineStr">
        <is>
          <t>4</t>
        </is>
      </c>
      <c r="R2026" s="5" t="inlineStr">
        <is>
          <t>5</t>
        </is>
      </c>
      <c r="S2026" s="5" t="inlineStr">
        <is>
          <t>4</t>
        </is>
      </c>
      <c r="T2026" s="5" t="inlineStr">
        <is>
          <t>3</t>
        </is>
      </c>
      <c r="U2026" s="5">
        <f>IFS(C2026&lt;30,"Under 30",C2026&lt;40,"30-39",C2026&lt;50,"40-49",TRUE,"50+")</f>
        <v/>
      </c>
      <c r="V2026" s="5">
        <f>IFS(O2026&lt;60000,"Low (&lt;60k)",O2026&lt;100000,"Mid (60-100k)",TRUE,"High (100k+)")</f>
        <v/>
      </c>
      <c r="W2026" s="5">
        <f>IF(M2026="No","Attrited","Active")</f>
        <v/>
      </c>
    </row>
    <row r="2027">
      <c r="A2027" s="5" t="inlineStr">
        <is>
          <t>E02026</t>
        </is>
      </c>
      <c r="B2027" s="5" t="inlineStr">
        <is>
          <t>Male</t>
        </is>
      </c>
      <c r="C2027" s="6" t="inlineStr">
        <is>
          <t>36</t>
        </is>
      </c>
      <c r="D2027" s="5" t="inlineStr">
        <is>
          <t>Married</t>
        </is>
      </c>
      <c r="E2027" s="5" t="inlineStr">
        <is>
          <t>Diploma</t>
        </is>
      </c>
      <c r="F2027" s="5" t="inlineStr">
        <is>
          <t>Sales</t>
        </is>
      </c>
      <c r="G2027" s="5" t="inlineStr">
        <is>
          <t>Sales Executive</t>
        </is>
      </c>
      <c r="H2027" s="5" t="inlineStr">
        <is>
          <t>2</t>
        </is>
      </c>
      <c r="I2027" s="5" t="inlineStr">
        <is>
          <t>Remote</t>
        </is>
      </c>
      <c r="J2027" s="5" t="inlineStr">
        <is>
          <t>Full-Time</t>
        </is>
      </c>
      <c r="K2027" s="7" t="n">
        <v>43874</v>
      </c>
      <c r="L2027" s="7" t="n">
        <v>43926</v>
      </c>
      <c r="M2027" s="5" t="inlineStr">
        <is>
          <t>No</t>
        </is>
      </c>
      <c r="N2027" s="5" t="inlineStr">
        <is>
          <t>Retirement</t>
        </is>
      </c>
      <c r="O2027" s="8" t="inlineStr">
        <is>
          <t>75000</t>
        </is>
      </c>
      <c r="P2027" s="5" t="inlineStr">
        <is>
          <t>0</t>
        </is>
      </c>
      <c r="Q2027" s="5" t="inlineStr">
        <is>
          <t>4</t>
        </is>
      </c>
      <c r="R2027" s="5" t="inlineStr">
        <is>
          <t>6</t>
        </is>
      </c>
      <c r="S2027" s="5" t="inlineStr">
        <is>
          <t>1</t>
        </is>
      </c>
      <c r="T2027" s="5" t="inlineStr">
        <is>
          <t>11</t>
        </is>
      </c>
      <c r="U2027" s="5">
        <f>IFS(C2027&lt;30,"Under 30",C2027&lt;40,"30-39",C2027&lt;50,"40-49",TRUE,"50+")</f>
        <v/>
      </c>
      <c r="V2027" s="5">
        <f>IFS(O2027&lt;60000,"Low (&lt;60k)",O2027&lt;100000,"Mid (60-100k)",TRUE,"High (100k+)")</f>
        <v/>
      </c>
      <c r="W2027" s="5">
        <f>IF(M2027="No","Attrited","Active")</f>
        <v/>
      </c>
    </row>
    <row r="2028">
      <c r="A2028" s="5" t="inlineStr">
        <is>
          <t>E02027</t>
        </is>
      </c>
      <c r="B2028" s="5" t="inlineStr">
        <is>
          <t>Male</t>
        </is>
      </c>
      <c r="C2028" s="6" t="inlineStr">
        <is>
          <t>39</t>
        </is>
      </c>
      <c r="D2028" s="5" t="inlineStr">
        <is>
          <t>Married</t>
        </is>
      </c>
      <c r="E2028" s="5" t="inlineStr">
        <is>
          <t>Master</t>
        </is>
      </c>
      <c r="F2028" s="5" t="inlineStr">
        <is>
          <t>Finance</t>
        </is>
      </c>
      <c r="G2028" s="5" t="inlineStr">
        <is>
          <t>Financial Analyst</t>
        </is>
      </c>
      <c r="H2028" s="5" t="inlineStr">
        <is>
          <t>5</t>
        </is>
      </c>
      <c r="I2028" s="5" t="inlineStr">
        <is>
          <t>Remote</t>
        </is>
      </c>
      <c r="J2028" s="5" t="inlineStr">
        <is>
          <t>Full-Time</t>
        </is>
      </c>
      <c r="K2028" s="7" t="n">
        <v>44118</v>
      </c>
      <c r="L2028" s="7" t="n">
        <v>44196</v>
      </c>
      <c r="M2028" s="5" t="inlineStr">
        <is>
          <t>No</t>
        </is>
      </c>
      <c r="N2028" s="5" t="inlineStr">
        <is>
          <t>Resigned</t>
        </is>
      </c>
      <c r="O2028" s="8" t="inlineStr">
        <is>
          <t>163000</t>
        </is>
      </c>
      <c r="P2028" s="5" t="inlineStr">
        <is>
          <t>10</t>
        </is>
      </c>
      <c r="Q2028" s="5" t="inlineStr">
        <is>
          <t>5</t>
        </is>
      </c>
      <c r="R2028" s="5" t="inlineStr">
        <is>
          <t>7</t>
        </is>
      </c>
      <c r="S2028" s="5" t="inlineStr">
        <is>
          <t>2</t>
        </is>
      </c>
      <c r="T2028" s="5" t="inlineStr">
        <is>
          <t>6</t>
        </is>
      </c>
      <c r="U2028" s="5">
        <f>IFS(C2028&lt;30,"Under 30",C2028&lt;40,"30-39",C2028&lt;50,"40-49",TRUE,"50+")</f>
        <v/>
      </c>
      <c r="V2028" s="5">
        <f>IFS(O2028&lt;60000,"Low (&lt;60k)",O2028&lt;100000,"Mid (60-100k)",TRUE,"High (100k+)")</f>
        <v/>
      </c>
      <c r="W2028" s="5">
        <f>IF(M2028="No","Attrited","Active")</f>
        <v/>
      </c>
    </row>
    <row r="2029">
      <c r="A2029" s="5" t="inlineStr">
        <is>
          <t>E02028</t>
        </is>
      </c>
      <c r="B2029" s="5" t="inlineStr">
        <is>
          <t>Male</t>
        </is>
      </c>
      <c r="C2029" s="6" t="inlineStr">
        <is>
          <t>42</t>
        </is>
      </c>
      <c r="D2029" s="5" t="inlineStr">
        <is>
          <t>Single</t>
        </is>
      </c>
      <c r="E2029" s="5" t="inlineStr">
        <is>
          <t>Master</t>
        </is>
      </c>
      <c r="F2029" s="5" t="inlineStr">
        <is>
          <t>Operations</t>
        </is>
      </c>
      <c r="G2029" s="5" t="inlineStr">
        <is>
          <t>Quality Analyst</t>
        </is>
      </c>
      <c r="H2029" s="5" t="inlineStr">
        <is>
          <t>5</t>
        </is>
      </c>
      <c r="I2029" s="5" t="inlineStr">
        <is>
          <t>Chennai</t>
        </is>
      </c>
      <c r="J2029" s="5" t="inlineStr">
        <is>
          <t>Full-Time</t>
        </is>
      </c>
      <c r="K2029" s="7" t="n">
        <v>45454</v>
      </c>
      <c r="L2029" s="7" t="inlineStr"/>
      <c r="M2029" s="5" t="inlineStr">
        <is>
          <t>Yes</t>
        </is>
      </c>
      <c r="N2029" s="5" t="inlineStr"/>
      <c r="O2029" s="8" t="inlineStr">
        <is>
          <t>105000</t>
        </is>
      </c>
      <c r="P2029" s="5" t="inlineStr">
        <is>
          <t>0</t>
        </is>
      </c>
      <c r="Q2029" s="5" t="inlineStr">
        <is>
          <t>4</t>
        </is>
      </c>
      <c r="R2029" s="5" t="inlineStr">
        <is>
          <t>4</t>
        </is>
      </c>
      <c r="S2029" s="5" t="inlineStr">
        <is>
          <t>18</t>
        </is>
      </c>
      <c r="T2029" s="5" t="inlineStr">
        <is>
          <t>13</t>
        </is>
      </c>
      <c r="U2029" s="5">
        <f>IFS(C2029&lt;30,"Under 30",C2029&lt;40,"30-39",C2029&lt;50,"40-49",TRUE,"50+")</f>
        <v/>
      </c>
      <c r="V2029" s="5">
        <f>IFS(O2029&lt;60000,"Low (&lt;60k)",O2029&lt;100000,"Mid (60-100k)",TRUE,"High (100k+)")</f>
        <v/>
      </c>
      <c r="W2029" s="5">
        <f>IF(M2029="No","Attrited","Active")</f>
        <v/>
      </c>
    </row>
    <row r="2030">
      <c r="A2030" s="5" t="inlineStr">
        <is>
          <t>E02029</t>
        </is>
      </c>
      <c r="B2030" s="5" t="inlineStr">
        <is>
          <t>Male</t>
        </is>
      </c>
      <c r="C2030" s="6" t="inlineStr">
        <is>
          <t>28</t>
        </is>
      </c>
      <c r="D2030" s="5" t="inlineStr">
        <is>
          <t>Single</t>
        </is>
      </c>
      <c r="E2030" s="5" t="inlineStr">
        <is>
          <t>PhD</t>
        </is>
      </c>
      <c r="F2030" s="5" t="inlineStr">
        <is>
          <t>Human Resources</t>
        </is>
      </c>
      <c r="G2030" s="5" t="inlineStr">
        <is>
          <t>HR Generalist</t>
        </is>
      </c>
      <c r="H2030" s="5" t="inlineStr">
        <is>
          <t>2</t>
        </is>
      </c>
      <c r="I2030" s="5" t="inlineStr">
        <is>
          <t>Remote</t>
        </is>
      </c>
      <c r="J2030" s="5" t="inlineStr">
        <is>
          <t>Full-Time</t>
        </is>
      </c>
      <c r="K2030" s="7" t="n">
        <v>45979</v>
      </c>
      <c r="L2030" s="7" t="n">
        <v>45994</v>
      </c>
      <c r="M2030" s="5" t="inlineStr">
        <is>
          <t>No</t>
        </is>
      </c>
      <c r="N2030" s="5" t="inlineStr">
        <is>
          <t>Resigned</t>
        </is>
      </c>
      <c r="O2030" s="8" t="inlineStr">
        <is>
          <t>63500</t>
        </is>
      </c>
      <c r="P2030" s="5" t="inlineStr">
        <is>
          <t>5</t>
        </is>
      </c>
      <c r="Q2030" s="5" t="inlineStr">
        <is>
          <t>2</t>
        </is>
      </c>
      <c r="R2030" s="5" t="inlineStr">
        <is>
          <t>4</t>
        </is>
      </c>
      <c r="S2030" s="5" t="inlineStr">
        <is>
          <t>1</t>
        </is>
      </c>
      <c r="T2030" s="5" t="inlineStr">
        <is>
          <t>4</t>
        </is>
      </c>
      <c r="U2030" s="5">
        <f>IFS(C2030&lt;30,"Under 30",C2030&lt;40,"30-39",C2030&lt;50,"40-49",TRUE,"50+")</f>
        <v/>
      </c>
      <c r="V2030" s="5">
        <f>IFS(O2030&lt;60000,"Low (&lt;60k)",O2030&lt;100000,"Mid (60-100k)",TRUE,"High (100k+)")</f>
        <v/>
      </c>
      <c r="W2030" s="5">
        <f>IF(M2030="No","Attrited","Active")</f>
        <v/>
      </c>
    </row>
    <row r="2031">
      <c r="A2031" s="5" t="inlineStr">
        <is>
          <t>E02030</t>
        </is>
      </c>
      <c r="B2031" s="5" t="inlineStr">
        <is>
          <t>Female</t>
        </is>
      </c>
      <c r="C2031" s="6" t="inlineStr">
        <is>
          <t>39</t>
        </is>
      </c>
      <c r="D2031" s="5" t="inlineStr">
        <is>
          <t>Married</t>
        </is>
      </c>
      <c r="E2031" s="5" t="inlineStr">
        <is>
          <t>High School</t>
        </is>
      </c>
      <c r="F2031" s="5" t="inlineStr">
        <is>
          <t>Operations</t>
        </is>
      </c>
      <c r="G2031" s="5" t="inlineStr">
        <is>
          <t>Logistics Coordinator</t>
        </is>
      </c>
      <c r="H2031" s="5" t="inlineStr">
        <is>
          <t>7</t>
        </is>
      </c>
      <c r="I2031" s="5" t="inlineStr">
        <is>
          <t>Delhi</t>
        </is>
      </c>
      <c r="J2031" s="5" t="inlineStr">
        <is>
          <t>Full-Time</t>
        </is>
      </c>
      <c r="K2031" s="7" t="n">
        <v>45598</v>
      </c>
      <c r="L2031" s="7" t="inlineStr"/>
      <c r="M2031" s="5" t="inlineStr">
        <is>
          <t>Yes</t>
        </is>
      </c>
      <c r="N2031" s="5" t="inlineStr"/>
      <c r="O2031" s="8" t="inlineStr">
        <is>
          <t>159000</t>
        </is>
      </c>
      <c r="P2031" s="5" t="inlineStr">
        <is>
          <t>15</t>
        </is>
      </c>
      <c r="Q2031" s="5" t="inlineStr">
        <is>
          <t>3</t>
        </is>
      </c>
      <c r="R2031" s="5" t="inlineStr">
        <is>
          <t>7</t>
        </is>
      </c>
      <c r="S2031" s="5" t="inlineStr">
        <is>
          <t>14</t>
        </is>
      </c>
      <c r="T2031" s="5" t="inlineStr">
        <is>
          <t>11</t>
        </is>
      </c>
      <c r="U2031" s="5">
        <f>IFS(C2031&lt;30,"Under 30",C2031&lt;40,"30-39",C2031&lt;50,"40-49",TRUE,"50+")</f>
        <v/>
      </c>
      <c r="V2031" s="5">
        <f>IFS(O2031&lt;60000,"Low (&lt;60k)",O2031&lt;100000,"Mid (60-100k)",TRUE,"High (100k+)")</f>
        <v/>
      </c>
      <c r="W2031" s="5">
        <f>IF(M2031="No","Attrited","Active")</f>
        <v/>
      </c>
    </row>
    <row r="2032">
      <c r="A2032" s="5" t="inlineStr">
        <is>
          <t>E02031</t>
        </is>
      </c>
      <c r="B2032" s="5" t="inlineStr">
        <is>
          <t>Female</t>
        </is>
      </c>
      <c r="C2032" s="6" t="inlineStr">
        <is>
          <t>33</t>
        </is>
      </c>
      <c r="D2032" s="5" t="inlineStr">
        <is>
          <t>Divorced</t>
        </is>
      </c>
      <c r="E2032" s="5" t="inlineStr">
        <is>
          <t>Bachelor</t>
        </is>
      </c>
      <c r="F2032" s="5" t="inlineStr">
        <is>
          <t>Operations</t>
        </is>
      </c>
      <c r="G2032" s="5" t="inlineStr">
        <is>
          <t>Operations Analyst</t>
        </is>
      </c>
      <c r="H2032" s="5" t="inlineStr">
        <is>
          <t>2</t>
        </is>
      </c>
      <c r="I2032" s="5" t="inlineStr">
        <is>
          <t>Hyderabad</t>
        </is>
      </c>
      <c r="J2032" s="5" t="inlineStr">
        <is>
          <t>Full-Time</t>
        </is>
      </c>
      <c r="K2032" s="7" t="n">
        <v>45537</v>
      </c>
      <c r="L2032" s="7" t="n">
        <v>45629</v>
      </c>
      <c r="M2032" s="5" t="inlineStr">
        <is>
          <t>No</t>
        </is>
      </c>
      <c r="N2032" s="5" t="inlineStr">
        <is>
          <t>Resigned</t>
        </is>
      </c>
      <c r="O2032" s="8" t="inlineStr">
        <is>
          <t>113000</t>
        </is>
      </c>
      <c r="P2032" s="5" t="inlineStr">
        <is>
          <t>0</t>
        </is>
      </c>
      <c r="Q2032" s="5" t="inlineStr">
        <is>
          <t>4</t>
        </is>
      </c>
      <c r="R2032" s="5" t="inlineStr">
        <is>
          <t>4</t>
        </is>
      </c>
      <c r="S2032" s="5" t="inlineStr">
        <is>
          <t>3</t>
        </is>
      </c>
      <c r="T2032" s="5" t="inlineStr">
        <is>
          <t>5</t>
        </is>
      </c>
      <c r="U2032" s="5">
        <f>IFS(C2032&lt;30,"Under 30",C2032&lt;40,"30-39",C2032&lt;50,"40-49",TRUE,"50+")</f>
        <v/>
      </c>
      <c r="V2032" s="5">
        <f>IFS(O2032&lt;60000,"Low (&lt;60k)",O2032&lt;100000,"Mid (60-100k)",TRUE,"High (100k+)")</f>
        <v/>
      </c>
      <c r="W2032" s="5">
        <f>IF(M2032="No","Attrited","Active")</f>
        <v/>
      </c>
    </row>
    <row r="2033">
      <c r="A2033" s="5" t="inlineStr">
        <is>
          <t>E02032</t>
        </is>
      </c>
      <c r="B2033" s="5" t="inlineStr">
        <is>
          <t>Male</t>
        </is>
      </c>
      <c r="C2033" s="6" t="inlineStr">
        <is>
          <t>30</t>
        </is>
      </c>
      <c r="D2033" s="5" t="inlineStr">
        <is>
          <t>Divorced</t>
        </is>
      </c>
      <c r="E2033" s="5" t="inlineStr">
        <is>
          <t>Diploma</t>
        </is>
      </c>
      <c r="F2033" s="5" t="inlineStr">
        <is>
          <t>Customer Support</t>
        </is>
      </c>
      <c r="G2033" s="5" t="inlineStr">
        <is>
          <t>Support Lead</t>
        </is>
      </c>
      <c r="H2033" s="5" t="inlineStr">
        <is>
          <t>1</t>
        </is>
      </c>
      <c r="I2033" s="5" t="inlineStr">
        <is>
          <t>Hyderabad</t>
        </is>
      </c>
      <c r="J2033" s="5" t="inlineStr">
        <is>
          <t>Full-Time</t>
        </is>
      </c>
      <c r="K2033" s="7" t="n">
        <v>44530</v>
      </c>
      <c r="L2033" s="7" t="n">
        <v>44614</v>
      </c>
      <c r="M2033" s="5" t="inlineStr">
        <is>
          <t>No</t>
        </is>
      </c>
      <c r="N2033" s="5" t="inlineStr">
        <is>
          <t>Retirement</t>
        </is>
      </c>
      <c r="O2033" s="8" t="inlineStr">
        <is>
          <t>71000</t>
        </is>
      </c>
      <c r="P2033" s="5" t="inlineStr">
        <is>
          <t>10</t>
        </is>
      </c>
      <c r="Q2033" s="5" t="inlineStr">
        <is>
          <t>3</t>
        </is>
      </c>
      <c r="R2033" s="5" t="inlineStr">
        <is>
          <t>3</t>
        </is>
      </c>
      <c r="S2033" s="5" t="inlineStr">
        <is>
          <t>2</t>
        </is>
      </c>
      <c r="T2033" s="5" t="inlineStr">
        <is>
          <t>7</t>
        </is>
      </c>
      <c r="U2033" s="5">
        <f>IFS(C2033&lt;30,"Under 30",C2033&lt;40,"30-39",C2033&lt;50,"40-49",TRUE,"50+")</f>
        <v/>
      </c>
      <c r="V2033" s="5">
        <f>IFS(O2033&lt;60000,"Low (&lt;60k)",O2033&lt;100000,"Mid (60-100k)",TRUE,"High (100k+)")</f>
        <v/>
      </c>
      <c r="W2033" s="5">
        <f>IF(M2033="No","Attrited","Active")</f>
        <v/>
      </c>
    </row>
    <row r="2034">
      <c r="A2034" s="5" t="inlineStr">
        <is>
          <t>E02033</t>
        </is>
      </c>
      <c r="B2034" s="5" t="inlineStr">
        <is>
          <t>Male</t>
        </is>
      </c>
      <c r="C2034" s="6" t="inlineStr">
        <is>
          <t>34</t>
        </is>
      </c>
      <c r="D2034" s="5" t="inlineStr">
        <is>
          <t>Divorced</t>
        </is>
      </c>
      <c r="E2034" s="5" t="inlineStr">
        <is>
          <t>Master</t>
        </is>
      </c>
      <c r="F2034" s="5" t="inlineStr">
        <is>
          <t>Customer Support</t>
        </is>
      </c>
      <c r="G2034" s="5" t="inlineStr">
        <is>
          <t>Escalation Specialist</t>
        </is>
      </c>
      <c r="H2034" s="5" t="inlineStr">
        <is>
          <t>3</t>
        </is>
      </c>
      <c r="I2034" s="5" t="inlineStr">
        <is>
          <t>Chennai</t>
        </is>
      </c>
      <c r="J2034" s="5" t="inlineStr">
        <is>
          <t>Full-Time</t>
        </is>
      </c>
      <c r="K2034" s="7" t="n">
        <v>44685</v>
      </c>
      <c r="L2034" s="7" t="inlineStr"/>
      <c r="M2034" s="5" t="inlineStr">
        <is>
          <t>Yes</t>
        </is>
      </c>
      <c r="N2034" s="5" t="inlineStr"/>
      <c r="O2034" s="8" t="inlineStr">
        <is>
          <t>74000</t>
        </is>
      </c>
      <c r="P2034" s="5" t="inlineStr">
        <is>
          <t>0</t>
        </is>
      </c>
      <c r="Q2034" s="5" t="inlineStr">
        <is>
          <t>3</t>
        </is>
      </c>
      <c r="R2034" s="5" t="inlineStr">
        <is>
          <t>7</t>
        </is>
      </c>
      <c r="S2034" s="5" t="inlineStr">
        <is>
          <t>44</t>
        </is>
      </c>
      <c r="T2034" s="5" t="inlineStr">
        <is>
          <t>2</t>
        </is>
      </c>
      <c r="U2034" s="5">
        <f>IFS(C2034&lt;30,"Under 30",C2034&lt;40,"30-39",C2034&lt;50,"40-49",TRUE,"50+")</f>
        <v/>
      </c>
      <c r="V2034" s="5">
        <f>IFS(O2034&lt;60000,"Low (&lt;60k)",O2034&lt;100000,"Mid (60-100k)",TRUE,"High (100k+)")</f>
        <v/>
      </c>
      <c r="W2034" s="5">
        <f>IF(M2034="No","Attrited","Active")</f>
        <v/>
      </c>
    </row>
    <row r="2035">
      <c r="A2035" s="5" t="inlineStr">
        <is>
          <t>E02034</t>
        </is>
      </c>
      <c r="B2035" s="5" t="inlineStr">
        <is>
          <t>Male</t>
        </is>
      </c>
      <c r="C2035" s="6" t="inlineStr">
        <is>
          <t>36</t>
        </is>
      </c>
      <c r="D2035" s="5" t="inlineStr">
        <is>
          <t>Married</t>
        </is>
      </c>
      <c r="E2035" s="5" t="inlineStr">
        <is>
          <t>Master</t>
        </is>
      </c>
      <c r="F2035" s="5" t="inlineStr">
        <is>
          <t>Marketing</t>
        </is>
      </c>
      <c r="G2035" s="5" t="inlineStr">
        <is>
          <t>Content Writer</t>
        </is>
      </c>
      <c r="H2035" s="5" t="inlineStr">
        <is>
          <t>2</t>
        </is>
      </c>
      <c r="I2035" s="5" t="inlineStr">
        <is>
          <t>Delhi</t>
        </is>
      </c>
      <c r="J2035" s="5" t="inlineStr">
        <is>
          <t>Full-Time</t>
        </is>
      </c>
      <c r="K2035" s="7" t="n">
        <v>45251</v>
      </c>
      <c r="L2035" s="7" t="inlineStr"/>
      <c r="M2035" s="5" t="inlineStr">
        <is>
          <t>Yes</t>
        </is>
      </c>
      <c r="N2035" s="5" t="inlineStr"/>
      <c r="O2035" s="8" t="inlineStr">
        <is>
          <t>71000</t>
        </is>
      </c>
      <c r="P2035" s="5" t="inlineStr">
        <is>
          <t>15</t>
        </is>
      </c>
      <c r="Q2035" s="5" t="inlineStr">
        <is>
          <t>3</t>
        </is>
      </c>
      <c r="R2035" s="5" t="inlineStr">
        <is>
          <t>7</t>
        </is>
      </c>
      <c r="S2035" s="5" t="inlineStr">
        <is>
          <t>25</t>
        </is>
      </c>
      <c r="T2035" s="5" t="inlineStr">
        <is>
          <t>0</t>
        </is>
      </c>
      <c r="U2035" s="5">
        <f>IFS(C2035&lt;30,"Under 30",C2035&lt;40,"30-39",C2035&lt;50,"40-49",TRUE,"50+")</f>
        <v/>
      </c>
      <c r="V2035" s="5">
        <f>IFS(O2035&lt;60000,"Low (&lt;60k)",O2035&lt;100000,"Mid (60-100k)",TRUE,"High (100k+)")</f>
        <v/>
      </c>
      <c r="W2035" s="5">
        <f>IF(M2035="No","Attrited","Active")</f>
        <v/>
      </c>
    </row>
    <row r="2036">
      <c r="A2036" s="5" t="inlineStr">
        <is>
          <t>E02035</t>
        </is>
      </c>
      <c r="B2036" s="5" t="inlineStr">
        <is>
          <t>Male</t>
        </is>
      </c>
      <c r="C2036" s="6" t="inlineStr">
        <is>
          <t>28</t>
        </is>
      </c>
      <c r="D2036" s="5" t="inlineStr">
        <is>
          <t>Married</t>
        </is>
      </c>
      <c r="E2036" s="5" t="inlineStr">
        <is>
          <t>Bachelor</t>
        </is>
      </c>
      <c r="F2036" s="5" t="inlineStr">
        <is>
          <t>Finance</t>
        </is>
      </c>
      <c r="G2036" s="5" t="inlineStr">
        <is>
          <t>Accountant</t>
        </is>
      </c>
      <c r="H2036" s="5" t="inlineStr">
        <is>
          <t>2</t>
        </is>
      </c>
      <c r="I2036" s="5" t="inlineStr">
        <is>
          <t>Mumbai</t>
        </is>
      </c>
      <c r="J2036" s="5" t="inlineStr">
        <is>
          <t>Full-Time</t>
        </is>
      </c>
      <c r="K2036" s="7" t="n">
        <v>43958</v>
      </c>
      <c r="L2036" s="7" t="n">
        <v>44084</v>
      </c>
      <c r="M2036" s="5" t="inlineStr">
        <is>
          <t>No</t>
        </is>
      </c>
      <c r="N2036" s="5" t="inlineStr">
        <is>
          <t>Resigned</t>
        </is>
      </c>
      <c r="O2036" s="8" t="inlineStr">
        <is>
          <t>104500</t>
        </is>
      </c>
      <c r="P2036" s="5" t="inlineStr">
        <is>
          <t>10</t>
        </is>
      </c>
      <c r="Q2036" s="5" t="inlineStr">
        <is>
          <t>4</t>
        </is>
      </c>
      <c r="R2036" s="5" t="inlineStr">
        <is>
          <t>9</t>
        </is>
      </c>
      <c r="S2036" s="5" t="inlineStr">
        <is>
          <t>4</t>
        </is>
      </c>
      <c r="T2036" s="5" t="inlineStr">
        <is>
          <t>0</t>
        </is>
      </c>
      <c r="U2036" s="5">
        <f>IFS(C2036&lt;30,"Under 30",C2036&lt;40,"30-39",C2036&lt;50,"40-49",TRUE,"50+")</f>
        <v/>
      </c>
      <c r="V2036" s="5">
        <f>IFS(O2036&lt;60000,"Low (&lt;60k)",O2036&lt;100000,"Mid (60-100k)",TRUE,"High (100k+)")</f>
        <v/>
      </c>
      <c r="W2036" s="5">
        <f>IF(M2036="No","Attrited","Active")</f>
        <v/>
      </c>
    </row>
    <row r="2037">
      <c r="A2037" s="5" t="inlineStr">
        <is>
          <t>E02036</t>
        </is>
      </c>
      <c r="B2037" s="5" t="inlineStr">
        <is>
          <t>Male</t>
        </is>
      </c>
      <c r="C2037" s="6" t="inlineStr">
        <is>
          <t>42</t>
        </is>
      </c>
      <c r="D2037" s="5" t="inlineStr">
        <is>
          <t>Married</t>
        </is>
      </c>
      <c r="E2037" s="5" t="inlineStr">
        <is>
          <t>High School</t>
        </is>
      </c>
      <c r="F2037" s="5" t="inlineStr">
        <is>
          <t>Customer Support</t>
        </is>
      </c>
      <c r="G2037" s="5" t="inlineStr">
        <is>
          <t>Escalation Specialist</t>
        </is>
      </c>
      <c r="H2037" s="5" t="inlineStr">
        <is>
          <t>6</t>
        </is>
      </c>
      <c r="I2037" s="5" t="inlineStr">
        <is>
          <t>Bengaluru</t>
        </is>
      </c>
      <c r="J2037" s="5" t="inlineStr">
        <is>
          <t>Part-Time</t>
        </is>
      </c>
      <c r="K2037" s="7" t="n">
        <v>45389</v>
      </c>
      <c r="L2037" s="7" t="inlineStr"/>
      <c r="M2037" s="5" t="inlineStr">
        <is>
          <t>Yes</t>
        </is>
      </c>
      <c r="N2037" s="5" t="inlineStr"/>
      <c r="O2037" s="8" t="inlineStr">
        <is>
          <t>113500</t>
        </is>
      </c>
      <c r="P2037" s="5" t="inlineStr">
        <is>
          <t>5</t>
        </is>
      </c>
      <c r="Q2037" s="5" t="inlineStr">
        <is>
          <t>5</t>
        </is>
      </c>
      <c r="R2037" s="5" t="inlineStr">
        <is>
          <t>4</t>
        </is>
      </c>
      <c r="S2037" s="5" t="inlineStr">
        <is>
          <t>21</t>
        </is>
      </c>
      <c r="T2037" s="5" t="inlineStr">
        <is>
          <t>9</t>
        </is>
      </c>
      <c r="U2037" s="5">
        <f>IFS(C2037&lt;30,"Under 30",C2037&lt;40,"30-39",C2037&lt;50,"40-49",TRUE,"50+")</f>
        <v/>
      </c>
      <c r="V2037" s="5">
        <f>IFS(O2037&lt;60000,"Low (&lt;60k)",O2037&lt;100000,"Mid (60-100k)",TRUE,"High (100k+)")</f>
        <v/>
      </c>
      <c r="W2037" s="5">
        <f>IF(M2037="No","Attrited","Active")</f>
        <v/>
      </c>
    </row>
    <row r="2038">
      <c r="A2038" s="5" t="inlineStr">
        <is>
          <t>E02037</t>
        </is>
      </c>
      <c r="B2038" s="5" t="inlineStr">
        <is>
          <t>Female</t>
        </is>
      </c>
      <c r="C2038" s="6" t="inlineStr">
        <is>
          <t>32</t>
        </is>
      </c>
      <c r="D2038" s="5" t="inlineStr">
        <is>
          <t>Single</t>
        </is>
      </c>
      <c r="E2038" s="5" t="inlineStr">
        <is>
          <t>PhD</t>
        </is>
      </c>
      <c r="F2038" s="5" t="inlineStr">
        <is>
          <t>Customer Support</t>
        </is>
      </c>
      <c r="G2038" s="5" t="inlineStr">
        <is>
          <t>Escalation Specialist</t>
        </is>
      </c>
      <c r="H2038" s="5" t="inlineStr">
        <is>
          <t>4</t>
        </is>
      </c>
      <c r="I2038" s="5" t="inlineStr">
        <is>
          <t>Hyderabad</t>
        </is>
      </c>
      <c r="J2038" s="5" t="inlineStr">
        <is>
          <t>Full-Time</t>
        </is>
      </c>
      <c r="K2038" s="7" t="n">
        <v>45888</v>
      </c>
      <c r="L2038" s="7" t="inlineStr"/>
      <c r="M2038" s="5" t="inlineStr">
        <is>
          <t>Yes</t>
        </is>
      </c>
      <c r="N2038" s="5" t="inlineStr"/>
      <c r="O2038" s="8" t="inlineStr">
        <is>
          <t>67500</t>
        </is>
      </c>
      <c r="P2038" s="5" t="inlineStr">
        <is>
          <t>5</t>
        </is>
      </c>
      <c r="Q2038" s="5" t="inlineStr">
        <is>
          <t>5</t>
        </is>
      </c>
      <c r="R2038" s="5" t="inlineStr">
        <is>
          <t>6</t>
        </is>
      </c>
      <c r="S2038" s="5" t="inlineStr">
        <is>
          <t>4</t>
        </is>
      </c>
      <c r="T2038" s="5" t="inlineStr">
        <is>
          <t>11</t>
        </is>
      </c>
      <c r="U2038" s="5">
        <f>IFS(C2038&lt;30,"Under 30",C2038&lt;40,"30-39",C2038&lt;50,"40-49",TRUE,"50+")</f>
        <v/>
      </c>
      <c r="V2038" s="5">
        <f>IFS(O2038&lt;60000,"Low (&lt;60k)",O2038&lt;100000,"Mid (60-100k)",TRUE,"High (100k+)")</f>
        <v/>
      </c>
      <c r="W2038" s="5">
        <f>IF(M2038="No","Attrited","Active")</f>
        <v/>
      </c>
    </row>
    <row r="2039">
      <c r="A2039" s="5" t="inlineStr">
        <is>
          <t>E02038</t>
        </is>
      </c>
      <c r="B2039" s="5" t="inlineStr">
        <is>
          <t>Female</t>
        </is>
      </c>
      <c r="C2039" s="6" t="inlineStr">
        <is>
          <t>25</t>
        </is>
      </c>
      <c r="D2039" s="5" t="inlineStr">
        <is>
          <t>Married</t>
        </is>
      </c>
      <c r="E2039" s="5" t="inlineStr">
        <is>
          <t>Diploma</t>
        </is>
      </c>
      <c r="F2039" s="5" t="inlineStr">
        <is>
          <t>Operations</t>
        </is>
      </c>
      <c r="G2039" s="5" t="inlineStr">
        <is>
          <t>Logistics Coordinator</t>
        </is>
      </c>
      <c r="H2039" s="5" t="inlineStr">
        <is>
          <t>2</t>
        </is>
      </c>
      <c r="I2039" s="5" t="inlineStr">
        <is>
          <t>Mumbai</t>
        </is>
      </c>
      <c r="J2039" s="5" t="inlineStr">
        <is>
          <t>Full-Time</t>
        </is>
      </c>
      <c r="K2039" s="7" t="n">
        <v>44547</v>
      </c>
      <c r="L2039" s="7" t="inlineStr"/>
      <c r="M2039" s="5" t="inlineStr">
        <is>
          <t>Yes</t>
        </is>
      </c>
      <c r="N2039" s="5" t="inlineStr"/>
      <c r="O2039" s="8" t="inlineStr">
        <is>
          <t>88500</t>
        </is>
      </c>
      <c r="P2039" s="5" t="inlineStr">
        <is>
          <t>15</t>
        </is>
      </c>
      <c r="Q2039" s="5" t="inlineStr">
        <is>
          <t>3</t>
        </is>
      </c>
      <c r="R2039" s="5" t="inlineStr">
        <is>
          <t>6</t>
        </is>
      </c>
      <c r="S2039" s="5" t="inlineStr">
        <is>
          <t>49</t>
        </is>
      </c>
      <c r="T2039" s="5" t="inlineStr">
        <is>
          <t>4</t>
        </is>
      </c>
      <c r="U2039" s="5">
        <f>IFS(C2039&lt;30,"Under 30",C2039&lt;40,"30-39",C2039&lt;50,"40-49",TRUE,"50+")</f>
        <v/>
      </c>
      <c r="V2039" s="5">
        <f>IFS(O2039&lt;60000,"Low (&lt;60k)",O2039&lt;100000,"Mid (60-100k)",TRUE,"High (100k+)")</f>
        <v/>
      </c>
      <c r="W2039" s="5">
        <f>IF(M2039="No","Attrited","Active")</f>
        <v/>
      </c>
    </row>
    <row r="2040">
      <c r="A2040" s="5" t="inlineStr">
        <is>
          <t>E02039</t>
        </is>
      </c>
      <c r="B2040" s="5" t="inlineStr">
        <is>
          <t>Female</t>
        </is>
      </c>
      <c r="C2040" s="6" t="inlineStr">
        <is>
          <t>30</t>
        </is>
      </c>
      <c r="D2040" s="5" t="inlineStr">
        <is>
          <t>Married</t>
        </is>
      </c>
      <c r="E2040" s="5" t="inlineStr">
        <is>
          <t>Bachelor</t>
        </is>
      </c>
      <c r="F2040" s="5" t="inlineStr">
        <is>
          <t>Finance</t>
        </is>
      </c>
      <c r="G2040" s="5" t="inlineStr">
        <is>
          <t>Financial Analyst</t>
        </is>
      </c>
      <c r="H2040" s="5" t="inlineStr">
        <is>
          <t>3</t>
        </is>
      </c>
      <c r="I2040" s="5" t="inlineStr">
        <is>
          <t>Chennai</t>
        </is>
      </c>
      <c r="J2040" s="5" t="inlineStr">
        <is>
          <t>Full-Time</t>
        </is>
      </c>
      <c r="K2040" s="7" t="n">
        <v>44357</v>
      </c>
      <c r="L2040" s="7" t="inlineStr"/>
      <c r="M2040" s="5" t="inlineStr">
        <is>
          <t>Yes</t>
        </is>
      </c>
      <c r="N2040" s="5" t="inlineStr"/>
      <c r="O2040" s="8" t="inlineStr">
        <is>
          <t>114000</t>
        </is>
      </c>
      <c r="P2040" s="5" t="inlineStr">
        <is>
          <t>15</t>
        </is>
      </c>
      <c r="Q2040" s="5" t="inlineStr">
        <is>
          <t>4</t>
        </is>
      </c>
      <c r="R2040" s="5" t="inlineStr">
        <is>
          <t>6</t>
        </is>
      </c>
      <c r="S2040" s="5" t="inlineStr">
        <is>
          <t>55</t>
        </is>
      </c>
      <c r="T2040" s="5" t="inlineStr">
        <is>
          <t>0</t>
        </is>
      </c>
      <c r="U2040" s="5">
        <f>IFS(C2040&lt;30,"Under 30",C2040&lt;40,"30-39",C2040&lt;50,"40-49",TRUE,"50+")</f>
        <v/>
      </c>
      <c r="V2040" s="5">
        <f>IFS(O2040&lt;60000,"Low (&lt;60k)",O2040&lt;100000,"Mid (60-100k)",TRUE,"High (100k+)")</f>
        <v/>
      </c>
      <c r="W2040" s="5">
        <f>IF(M2040="No","Attrited","Active")</f>
        <v/>
      </c>
    </row>
    <row r="2041">
      <c r="A2041" s="5" t="inlineStr">
        <is>
          <t>E02040</t>
        </is>
      </c>
      <c r="B2041" s="5" t="inlineStr">
        <is>
          <t>Female</t>
        </is>
      </c>
      <c r="C2041" s="6" t="inlineStr">
        <is>
          <t>36</t>
        </is>
      </c>
      <c r="D2041" s="5" t="inlineStr">
        <is>
          <t>Single</t>
        </is>
      </c>
      <c r="E2041" s="5" t="inlineStr">
        <is>
          <t>PhD</t>
        </is>
      </c>
      <c r="F2041" s="5" t="inlineStr">
        <is>
          <t>Finance</t>
        </is>
      </c>
      <c r="G2041" s="5" t="inlineStr">
        <is>
          <t>Credit Analyst</t>
        </is>
      </c>
      <c r="H2041" s="5" t="inlineStr">
        <is>
          <t>3</t>
        </is>
      </c>
      <c r="I2041" s="5" t="inlineStr">
        <is>
          <t>Delhi</t>
        </is>
      </c>
      <c r="J2041" s="5" t="inlineStr">
        <is>
          <t>Full-Time</t>
        </is>
      </c>
      <c r="K2041" s="7" t="n">
        <v>45570</v>
      </c>
      <c r="L2041" s="7" t="n">
        <v>45634</v>
      </c>
      <c r="M2041" s="5" t="inlineStr">
        <is>
          <t>No</t>
        </is>
      </c>
      <c r="N2041" s="5" t="inlineStr">
        <is>
          <t>Relocation</t>
        </is>
      </c>
      <c r="O2041" s="8" t="inlineStr">
        <is>
          <t>85000</t>
        </is>
      </c>
      <c r="P2041" s="5" t="inlineStr">
        <is>
          <t>0</t>
        </is>
      </c>
      <c r="Q2041" s="5" t="inlineStr">
        <is>
          <t>3</t>
        </is>
      </c>
      <c r="R2041" s="5" t="inlineStr">
        <is>
          <t>8</t>
        </is>
      </c>
      <c r="S2041" s="5" t="inlineStr">
        <is>
          <t>2</t>
        </is>
      </c>
      <c r="T2041" s="5" t="inlineStr">
        <is>
          <t>16</t>
        </is>
      </c>
      <c r="U2041" s="5">
        <f>IFS(C2041&lt;30,"Under 30",C2041&lt;40,"30-39",C2041&lt;50,"40-49",TRUE,"50+")</f>
        <v/>
      </c>
      <c r="V2041" s="5">
        <f>IFS(O2041&lt;60000,"Low (&lt;60k)",O2041&lt;100000,"Mid (60-100k)",TRUE,"High (100k+)")</f>
        <v/>
      </c>
      <c r="W2041" s="5">
        <f>IF(M2041="No","Attrited","Active")</f>
        <v/>
      </c>
    </row>
    <row r="2042">
      <c r="A2042" s="5" t="inlineStr">
        <is>
          <t>E02041</t>
        </is>
      </c>
      <c r="B2042" s="5" t="inlineStr">
        <is>
          <t>Male</t>
        </is>
      </c>
      <c r="C2042" s="6" t="inlineStr">
        <is>
          <t>31</t>
        </is>
      </c>
      <c r="D2042" s="5" t="inlineStr">
        <is>
          <t>Single</t>
        </is>
      </c>
      <c r="E2042" s="5" t="inlineStr">
        <is>
          <t>Diploma</t>
        </is>
      </c>
      <c r="F2042" s="5" t="inlineStr">
        <is>
          <t>Customer Support</t>
        </is>
      </c>
      <c r="G2042" s="5" t="inlineStr">
        <is>
          <t>Support Agent</t>
        </is>
      </c>
      <c r="H2042" s="5" t="inlineStr">
        <is>
          <t>3</t>
        </is>
      </c>
      <c r="I2042" s="5" t="inlineStr">
        <is>
          <t>Remote</t>
        </is>
      </c>
      <c r="J2042" s="5" t="inlineStr">
        <is>
          <t>Part-Time</t>
        </is>
      </c>
      <c r="K2042" s="7" t="n">
        <v>44166</v>
      </c>
      <c r="L2042" s="7" t="inlineStr"/>
      <c r="M2042" s="5" t="inlineStr">
        <is>
          <t>Yes</t>
        </is>
      </c>
      <c r="N2042" s="5" t="inlineStr"/>
      <c r="O2042" s="8" t="inlineStr">
        <is>
          <t>57500</t>
        </is>
      </c>
      <c r="P2042" s="5" t="inlineStr">
        <is>
          <t>0</t>
        </is>
      </c>
      <c r="Q2042" s="5" t="inlineStr">
        <is>
          <t>4</t>
        </is>
      </c>
      <c r="R2042" s="5" t="inlineStr">
        <is>
          <t>7</t>
        </is>
      </c>
      <c r="S2042" s="5" t="inlineStr">
        <is>
          <t>61</t>
        </is>
      </c>
      <c r="T2042" s="5" t="inlineStr">
        <is>
          <t>5</t>
        </is>
      </c>
      <c r="U2042" s="5">
        <f>IFS(C2042&lt;30,"Under 30",C2042&lt;40,"30-39",C2042&lt;50,"40-49",TRUE,"50+")</f>
        <v/>
      </c>
      <c r="V2042" s="5">
        <f>IFS(O2042&lt;60000,"Low (&lt;60k)",O2042&lt;100000,"Mid (60-100k)",TRUE,"High (100k+)")</f>
        <v/>
      </c>
      <c r="W2042" s="5">
        <f>IF(M2042="No","Attrited","Active")</f>
        <v/>
      </c>
    </row>
    <row r="2043">
      <c r="A2043" s="5" t="inlineStr">
        <is>
          <t>E02042</t>
        </is>
      </c>
      <c r="B2043" s="5" t="inlineStr">
        <is>
          <t>Male</t>
        </is>
      </c>
      <c r="C2043" s="6" t="inlineStr">
        <is>
          <t>35</t>
        </is>
      </c>
      <c r="D2043" s="5" t="inlineStr">
        <is>
          <t>Single</t>
        </is>
      </c>
      <c r="E2043" s="5" t="inlineStr">
        <is>
          <t>Diploma</t>
        </is>
      </c>
      <c r="F2043" s="5" t="inlineStr">
        <is>
          <t>Marketing</t>
        </is>
      </c>
      <c r="G2043" s="5" t="inlineStr">
        <is>
          <t>SEO Specialist</t>
        </is>
      </c>
      <c r="H2043" s="5" t="inlineStr">
        <is>
          <t>6</t>
        </is>
      </c>
      <c r="I2043" s="5" t="inlineStr">
        <is>
          <t>Remote</t>
        </is>
      </c>
      <c r="J2043" s="5" t="inlineStr">
        <is>
          <t>Full-Time</t>
        </is>
      </c>
      <c r="K2043" s="7" t="n">
        <v>44248</v>
      </c>
      <c r="L2043" s="7" t="inlineStr"/>
      <c r="M2043" s="5" t="inlineStr">
        <is>
          <t>Yes</t>
        </is>
      </c>
      <c r="N2043" s="5" t="inlineStr"/>
      <c r="O2043" s="8" t="inlineStr">
        <is>
          <t>118000</t>
        </is>
      </c>
      <c r="P2043" s="5" t="inlineStr">
        <is>
          <t>0</t>
        </is>
      </c>
      <c r="Q2043" s="5" t="inlineStr">
        <is>
          <t>3</t>
        </is>
      </c>
      <c r="R2043" s="5" t="inlineStr">
        <is>
          <t>4</t>
        </is>
      </c>
      <c r="S2043" s="5" t="inlineStr">
        <is>
          <t>59</t>
        </is>
      </c>
      <c r="T2043" s="5" t="inlineStr">
        <is>
          <t>7</t>
        </is>
      </c>
      <c r="U2043" s="5">
        <f>IFS(C2043&lt;30,"Under 30",C2043&lt;40,"30-39",C2043&lt;50,"40-49",TRUE,"50+")</f>
        <v/>
      </c>
      <c r="V2043" s="5">
        <f>IFS(O2043&lt;60000,"Low (&lt;60k)",O2043&lt;100000,"Mid (60-100k)",TRUE,"High (100k+)")</f>
        <v/>
      </c>
      <c r="W2043" s="5">
        <f>IF(M2043="No","Attrited","Active")</f>
        <v/>
      </c>
    </row>
    <row r="2044">
      <c r="A2044" s="5" t="inlineStr">
        <is>
          <t>E02043</t>
        </is>
      </c>
      <c r="B2044" s="5" t="inlineStr">
        <is>
          <t>Female</t>
        </is>
      </c>
      <c r="C2044" s="6" t="inlineStr">
        <is>
          <t>34</t>
        </is>
      </c>
      <c r="D2044" s="5" t="inlineStr">
        <is>
          <t>Single</t>
        </is>
      </c>
      <c r="E2044" s="5" t="inlineStr">
        <is>
          <t>PhD</t>
        </is>
      </c>
      <c r="F2044" s="5" t="inlineStr">
        <is>
          <t>Human Resources</t>
        </is>
      </c>
      <c r="G2044" s="5" t="inlineStr">
        <is>
          <t>HR Generalist</t>
        </is>
      </c>
      <c r="H2044" s="5" t="inlineStr">
        <is>
          <t>1</t>
        </is>
      </c>
      <c r="I2044" s="5" t="inlineStr">
        <is>
          <t>Hyderabad</t>
        </is>
      </c>
      <c r="J2044" s="5" t="inlineStr">
        <is>
          <t>Full-Time</t>
        </is>
      </c>
      <c r="K2044" s="7" t="n">
        <v>45182</v>
      </c>
      <c r="L2044" s="7" t="inlineStr"/>
      <c r="M2044" s="5" t="inlineStr">
        <is>
          <t>Yes</t>
        </is>
      </c>
      <c r="N2044" s="5" t="inlineStr"/>
      <c r="O2044" s="8" t="inlineStr">
        <is>
          <t>60500</t>
        </is>
      </c>
      <c r="P2044" s="5" t="inlineStr">
        <is>
          <t>0</t>
        </is>
      </c>
      <c r="Q2044" s="5" t="inlineStr">
        <is>
          <t>4</t>
        </is>
      </c>
      <c r="R2044" s="5" t="inlineStr">
        <is>
          <t>7</t>
        </is>
      </c>
      <c r="S2044" s="5" t="inlineStr">
        <is>
          <t>28</t>
        </is>
      </c>
      <c r="T2044" s="5" t="inlineStr">
        <is>
          <t>8</t>
        </is>
      </c>
      <c r="U2044" s="5">
        <f>IFS(C2044&lt;30,"Under 30",C2044&lt;40,"30-39",C2044&lt;50,"40-49",TRUE,"50+")</f>
        <v/>
      </c>
      <c r="V2044" s="5">
        <f>IFS(O2044&lt;60000,"Low (&lt;60k)",O2044&lt;100000,"Mid (60-100k)",TRUE,"High (100k+)")</f>
        <v/>
      </c>
      <c r="W2044" s="5">
        <f>IF(M2044="No","Attrited","Active")</f>
        <v/>
      </c>
    </row>
    <row r="2045">
      <c r="A2045" s="5" t="inlineStr">
        <is>
          <t>E02044</t>
        </is>
      </c>
      <c r="B2045" s="5" t="inlineStr">
        <is>
          <t>Male</t>
        </is>
      </c>
      <c r="C2045" s="6" t="inlineStr">
        <is>
          <t>34</t>
        </is>
      </c>
      <c r="D2045" s="5" t="inlineStr">
        <is>
          <t>Married</t>
        </is>
      </c>
      <c r="E2045" s="5" t="inlineStr">
        <is>
          <t>Master</t>
        </is>
      </c>
      <c r="F2045" s="5" t="inlineStr">
        <is>
          <t>Customer Support</t>
        </is>
      </c>
      <c r="G2045" s="5" t="inlineStr">
        <is>
          <t>Escalation Specialist</t>
        </is>
      </c>
      <c r="H2045" s="5" t="inlineStr">
        <is>
          <t>2</t>
        </is>
      </c>
      <c r="I2045" s="5" t="inlineStr">
        <is>
          <t>Delhi</t>
        </is>
      </c>
      <c r="J2045" s="5" t="inlineStr">
        <is>
          <t>Full-Time</t>
        </is>
      </c>
      <c r="K2045" s="7" t="n">
        <v>44922</v>
      </c>
      <c r="L2045" s="7" t="inlineStr"/>
      <c r="M2045" s="5" t="inlineStr">
        <is>
          <t>Yes</t>
        </is>
      </c>
      <c r="N2045" s="5" t="inlineStr"/>
      <c r="O2045" s="8" t="inlineStr">
        <is>
          <t>71000</t>
        </is>
      </c>
      <c r="P2045" s="5" t="inlineStr">
        <is>
          <t>10</t>
        </is>
      </c>
      <c r="Q2045" s="5" t="inlineStr">
        <is>
          <t>5</t>
        </is>
      </c>
      <c r="R2045" s="5" t="inlineStr">
        <is>
          <t>3</t>
        </is>
      </c>
      <c r="S2045" s="5" t="inlineStr">
        <is>
          <t>36</t>
        </is>
      </c>
      <c r="T2045" s="5" t="inlineStr">
        <is>
          <t>8</t>
        </is>
      </c>
      <c r="U2045" s="5">
        <f>IFS(C2045&lt;30,"Under 30",C2045&lt;40,"30-39",C2045&lt;50,"40-49",TRUE,"50+")</f>
        <v/>
      </c>
      <c r="V2045" s="5">
        <f>IFS(O2045&lt;60000,"Low (&lt;60k)",O2045&lt;100000,"Mid (60-100k)",TRUE,"High (100k+)")</f>
        <v/>
      </c>
      <c r="W2045" s="5">
        <f>IF(M2045="No","Attrited","Active")</f>
        <v/>
      </c>
    </row>
    <row r="2046">
      <c r="A2046" s="5" t="inlineStr">
        <is>
          <t>E02045</t>
        </is>
      </c>
      <c r="B2046" s="5" t="inlineStr">
        <is>
          <t>Male</t>
        </is>
      </c>
      <c r="C2046" s="6" t="inlineStr">
        <is>
          <t>33</t>
        </is>
      </c>
      <c r="D2046" s="5" t="inlineStr">
        <is>
          <t>Married</t>
        </is>
      </c>
      <c r="E2046" s="5" t="inlineStr">
        <is>
          <t>High School</t>
        </is>
      </c>
      <c r="F2046" s="5" t="inlineStr">
        <is>
          <t>Sales</t>
        </is>
      </c>
      <c r="G2046" s="5" t="inlineStr">
        <is>
          <t>Account Executive</t>
        </is>
      </c>
      <c r="H2046" s="5" t="inlineStr">
        <is>
          <t>2</t>
        </is>
      </c>
      <c r="I2046" s="5" t="inlineStr">
        <is>
          <t>Chennai</t>
        </is>
      </c>
      <c r="J2046" s="5" t="inlineStr">
        <is>
          <t>Part-Time</t>
        </is>
      </c>
      <c r="K2046" s="7" t="n">
        <v>44368</v>
      </c>
      <c r="L2046" s="7" t="n">
        <v>44502</v>
      </c>
      <c r="M2046" s="5" t="inlineStr">
        <is>
          <t>No</t>
        </is>
      </c>
      <c r="N2046" s="5" t="inlineStr">
        <is>
          <t>Resigned</t>
        </is>
      </c>
      <c r="O2046" s="8" t="inlineStr">
        <is>
          <t>103000</t>
        </is>
      </c>
      <c r="P2046" s="5" t="inlineStr">
        <is>
          <t>5</t>
        </is>
      </c>
      <c r="Q2046" s="5" t="inlineStr">
        <is>
          <t>5</t>
        </is>
      </c>
      <c r="R2046" s="5" t="inlineStr">
        <is>
          <t>8</t>
        </is>
      </c>
      <c r="S2046" s="5" t="inlineStr">
        <is>
          <t>4</t>
        </is>
      </c>
      <c r="T2046" s="5" t="inlineStr">
        <is>
          <t>0</t>
        </is>
      </c>
      <c r="U2046" s="5">
        <f>IFS(C2046&lt;30,"Under 30",C2046&lt;40,"30-39",C2046&lt;50,"40-49",TRUE,"50+")</f>
        <v/>
      </c>
      <c r="V2046" s="5">
        <f>IFS(O2046&lt;60000,"Low (&lt;60k)",O2046&lt;100000,"Mid (60-100k)",TRUE,"High (100k+)")</f>
        <v/>
      </c>
      <c r="W2046" s="5">
        <f>IF(M2046="No","Attrited","Active")</f>
        <v/>
      </c>
    </row>
    <row r="2047">
      <c r="A2047" s="5" t="inlineStr">
        <is>
          <t>E02046</t>
        </is>
      </c>
      <c r="B2047" s="5" t="inlineStr">
        <is>
          <t>Female</t>
        </is>
      </c>
      <c r="C2047" s="6" t="inlineStr">
        <is>
          <t>38</t>
        </is>
      </c>
      <c r="D2047" s="5" t="inlineStr">
        <is>
          <t>Married</t>
        </is>
      </c>
      <c r="E2047" s="5" t="inlineStr">
        <is>
          <t>Bachelor</t>
        </is>
      </c>
      <c r="F2047" s="5" t="inlineStr">
        <is>
          <t>Research &amp; Development</t>
        </is>
      </c>
      <c r="G2047" s="5" t="inlineStr">
        <is>
          <t>Research Scientist</t>
        </is>
      </c>
      <c r="H2047" s="5" t="inlineStr">
        <is>
          <t>3</t>
        </is>
      </c>
      <c r="I2047" s="5" t="inlineStr">
        <is>
          <t>Hyderabad</t>
        </is>
      </c>
      <c r="J2047" s="5" t="inlineStr">
        <is>
          <t>Full-Time</t>
        </is>
      </c>
      <c r="K2047" s="7" t="n">
        <v>45355</v>
      </c>
      <c r="L2047" s="7" t="inlineStr"/>
      <c r="M2047" s="5" t="inlineStr">
        <is>
          <t>Yes</t>
        </is>
      </c>
      <c r="N2047" s="5" t="inlineStr"/>
      <c r="O2047" s="8" t="inlineStr">
        <is>
          <t>145500</t>
        </is>
      </c>
      <c r="P2047" s="5" t="inlineStr">
        <is>
          <t>0</t>
        </is>
      </c>
      <c r="Q2047" s="5" t="inlineStr">
        <is>
          <t>2</t>
        </is>
      </c>
      <c r="R2047" s="5" t="inlineStr">
        <is>
          <t>8</t>
        </is>
      </c>
      <c r="S2047" s="5" t="inlineStr">
        <is>
          <t>22</t>
        </is>
      </c>
      <c r="T2047" s="5" t="inlineStr">
        <is>
          <t>16</t>
        </is>
      </c>
      <c r="U2047" s="5">
        <f>IFS(C2047&lt;30,"Under 30",C2047&lt;40,"30-39",C2047&lt;50,"40-49",TRUE,"50+")</f>
        <v/>
      </c>
      <c r="V2047" s="5">
        <f>IFS(O2047&lt;60000,"Low (&lt;60k)",O2047&lt;100000,"Mid (60-100k)",TRUE,"High (100k+)")</f>
        <v/>
      </c>
      <c r="W2047" s="5">
        <f>IF(M2047="No","Attrited","Active")</f>
        <v/>
      </c>
    </row>
    <row r="2048">
      <c r="A2048" s="5" t="inlineStr">
        <is>
          <t>E02047</t>
        </is>
      </c>
      <c r="B2048" s="5" t="inlineStr">
        <is>
          <t>Female</t>
        </is>
      </c>
      <c r="C2048" s="6" t="inlineStr">
        <is>
          <t>28</t>
        </is>
      </c>
      <c r="D2048" s="5" t="inlineStr">
        <is>
          <t>Married</t>
        </is>
      </c>
      <c r="E2048" s="5" t="inlineStr">
        <is>
          <t>High School</t>
        </is>
      </c>
      <c r="F2048" s="5" t="inlineStr">
        <is>
          <t>Research &amp; Development</t>
        </is>
      </c>
      <c r="G2048" s="5" t="inlineStr">
        <is>
          <t>Product Engineer</t>
        </is>
      </c>
      <c r="H2048" s="5" t="inlineStr">
        <is>
          <t>3</t>
        </is>
      </c>
      <c r="I2048" s="5" t="inlineStr">
        <is>
          <t>Bengaluru</t>
        </is>
      </c>
      <c r="J2048" s="5" t="inlineStr">
        <is>
          <t>Full-Time</t>
        </is>
      </c>
      <c r="K2048" s="7" t="n">
        <v>43991</v>
      </c>
      <c r="L2048" s="7" t="inlineStr"/>
      <c r="M2048" s="5" t="inlineStr">
        <is>
          <t>Yes</t>
        </is>
      </c>
      <c r="N2048" s="5" t="inlineStr"/>
      <c r="O2048" s="8" t="inlineStr">
        <is>
          <t>182000</t>
        </is>
      </c>
      <c r="P2048" s="5" t="inlineStr">
        <is>
          <t>5</t>
        </is>
      </c>
      <c r="Q2048" s="5" t="inlineStr">
        <is>
          <t>3</t>
        </is>
      </c>
      <c r="R2048" s="5" t="inlineStr">
        <is>
          <t>6</t>
        </is>
      </c>
      <c r="S2048" s="5" t="inlineStr">
        <is>
          <t>67</t>
        </is>
      </c>
      <c r="T2048" s="5" t="inlineStr">
        <is>
          <t>9</t>
        </is>
      </c>
      <c r="U2048" s="5">
        <f>IFS(C2048&lt;30,"Under 30",C2048&lt;40,"30-39",C2048&lt;50,"40-49",TRUE,"50+")</f>
        <v/>
      </c>
      <c r="V2048" s="5">
        <f>IFS(O2048&lt;60000,"Low (&lt;60k)",O2048&lt;100000,"Mid (60-100k)",TRUE,"High (100k+)")</f>
        <v/>
      </c>
      <c r="W2048" s="5">
        <f>IF(M2048="No","Attrited","Active")</f>
        <v/>
      </c>
    </row>
    <row r="2049">
      <c r="A2049" s="5" t="inlineStr">
        <is>
          <t>E02048</t>
        </is>
      </c>
      <c r="B2049" s="5" t="inlineStr">
        <is>
          <t>Male</t>
        </is>
      </c>
      <c r="C2049" s="6" t="inlineStr">
        <is>
          <t>35</t>
        </is>
      </c>
      <c r="D2049" s="5" t="inlineStr">
        <is>
          <t>Married</t>
        </is>
      </c>
      <c r="E2049" s="5" t="inlineStr">
        <is>
          <t>Master</t>
        </is>
      </c>
      <c r="F2049" s="5" t="inlineStr">
        <is>
          <t>Research &amp; Development</t>
        </is>
      </c>
      <c r="G2049" s="5" t="inlineStr">
        <is>
          <t>Product Engineer</t>
        </is>
      </c>
      <c r="H2049" s="5" t="inlineStr">
        <is>
          <t>7</t>
        </is>
      </c>
      <c r="I2049" s="5" t="inlineStr">
        <is>
          <t>Mumbai</t>
        </is>
      </c>
      <c r="J2049" s="5" t="inlineStr">
        <is>
          <t>Full-Time</t>
        </is>
      </c>
      <c r="K2049" s="7" t="n">
        <v>44802</v>
      </c>
      <c r="L2049" s="7" t="inlineStr"/>
      <c r="M2049" s="5" t="inlineStr">
        <is>
          <t>Yes</t>
        </is>
      </c>
      <c r="N2049" s="5" t="inlineStr"/>
      <c r="O2049" s="8" t="inlineStr">
        <is>
          <t>303000</t>
        </is>
      </c>
      <c r="P2049" s="5" t="inlineStr">
        <is>
          <t>10</t>
        </is>
      </c>
      <c r="Q2049" s="5" t="inlineStr">
        <is>
          <t>3</t>
        </is>
      </c>
      <c r="R2049" s="5" t="inlineStr">
        <is>
          <t>6</t>
        </is>
      </c>
      <c r="S2049" s="5" t="inlineStr">
        <is>
          <t>40</t>
        </is>
      </c>
      <c r="T2049" s="5" t="inlineStr">
        <is>
          <t>5</t>
        </is>
      </c>
      <c r="U2049" s="5">
        <f>IFS(C2049&lt;30,"Under 30",C2049&lt;40,"30-39",C2049&lt;50,"40-49",TRUE,"50+")</f>
        <v/>
      </c>
      <c r="V2049" s="5">
        <f>IFS(O2049&lt;60000,"Low (&lt;60k)",O2049&lt;100000,"Mid (60-100k)",TRUE,"High (100k+)")</f>
        <v/>
      </c>
      <c r="W2049" s="5">
        <f>IF(M2049="No","Attrited","Active")</f>
        <v/>
      </c>
    </row>
    <row r="2050">
      <c r="A2050" s="5" t="inlineStr">
        <is>
          <t>E02049</t>
        </is>
      </c>
      <c r="B2050" s="5" t="inlineStr">
        <is>
          <t>Male</t>
        </is>
      </c>
      <c r="C2050" s="6" t="inlineStr">
        <is>
          <t>31</t>
        </is>
      </c>
      <c r="D2050" s="5" t="inlineStr">
        <is>
          <t>Single</t>
        </is>
      </c>
      <c r="E2050" s="5" t="inlineStr">
        <is>
          <t>Master</t>
        </is>
      </c>
      <c r="F2050" s="5" t="inlineStr">
        <is>
          <t>Operations</t>
        </is>
      </c>
      <c r="G2050" s="5" t="inlineStr">
        <is>
          <t>Operations Analyst</t>
        </is>
      </c>
      <c r="H2050" s="5" t="inlineStr">
        <is>
          <t>2</t>
        </is>
      </c>
      <c r="I2050" s="5" t="inlineStr">
        <is>
          <t>Delhi</t>
        </is>
      </c>
      <c r="J2050" s="5" t="inlineStr">
        <is>
          <t>Full-Time</t>
        </is>
      </c>
      <c r="K2050" s="7" t="n">
        <v>45402</v>
      </c>
      <c r="L2050" s="7" t="n">
        <v>45522</v>
      </c>
      <c r="M2050" s="5" t="inlineStr">
        <is>
          <t>No</t>
        </is>
      </c>
      <c r="N2050" s="5" t="inlineStr">
        <is>
          <t>Resigned</t>
        </is>
      </c>
      <c r="O2050" s="8" t="inlineStr">
        <is>
          <t>91500</t>
        </is>
      </c>
      <c r="P2050" s="5" t="inlineStr">
        <is>
          <t>15</t>
        </is>
      </c>
      <c r="Q2050" s="5" t="inlineStr">
        <is>
          <t>2</t>
        </is>
      </c>
      <c r="R2050" s="5" t="inlineStr">
        <is>
          <t>9</t>
        </is>
      </c>
      <c r="S2050" s="5" t="inlineStr">
        <is>
          <t>4</t>
        </is>
      </c>
      <c r="T2050" s="5" t="inlineStr">
        <is>
          <t>12</t>
        </is>
      </c>
      <c r="U2050" s="5">
        <f>IFS(C2050&lt;30,"Under 30",C2050&lt;40,"30-39",C2050&lt;50,"40-49",TRUE,"50+")</f>
        <v/>
      </c>
      <c r="V2050" s="5">
        <f>IFS(O2050&lt;60000,"Low (&lt;60k)",O2050&lt;100000,"Mid (60-100k)",TRUE,"High (100k+)")</f>
        <v/>
      </c>
      <c r="W2050" s="5">
        <f>IF(M2050="No","Attrited","Active")</f>
        <v/>
      </c>
    </row>
    <row r="2051">
      <c r="A2051" s="5" t="inlineStr">
        <is>
          <t>E02050</t>
        </is>
      </c>
      <c r="B2051" s="5" t="inlineStr">
        <is>
          <t>Male</t>
        </is>
      </c>
      <c r="C2051" s="6" t="inlineStr">
        <is>
          <t>32</t>
        </is>
      </c>
      <c r="D2051" s="5" t="inlineStr">
        <is>
          <t>Married</t>
        </is>
      </c>
      <c r="E2051" s="5" t="inlineStr">
        <is>
          <t>Master</t>
        </is>
      </c>
      <c r="F2051" s="5" t="inlineStr">
        <is>
          <t>Research &amp; Development</t>
        </is>
      </c>
      <c r="G2051" s="5" t="inlineStr">
        <is>
          <t>Research Scientist</t>
        </is>
      </c>
      <c r="H2051" s="5" t="inlineStr">
        <is>
          <t>4</t>
        </is>
      </c>
      <c r="I2051" s="5" t="inlineStr">
        <is>
          <t>Hyderabad</t>
        </is>
      </c>
      <c r="J2051" s="5" t="inlineStr">
        <is>
          <t>Full-Time</t>
        </is>
      </c>
      <c r="K2051" s="7" t="n">
        <v>45134</v>
      </c>
      <c r="L2051" s="7" t="n">
        <v>45237</v>
      </c>
      <c r="M2051" s="5" t="inlineStr">
        <is>
          <t>No</t>
        </is>
      </c>
      <c r="N2051" s="5" t="inlineStr">
        <is>
          <t>Layoff</t>
        </is>
      </c>
      <c r="O2051" s="8" t="inlineStr">
        <is>
          <t>137000</t>
        </is>
      </c>
      <c r="P2051" s="5" t="inlineStr">
        <is>
          <t>0</t>
        </is>
      </c>
      <c r="Q2051" s="5" t="inlineStr">
        <is>
          <t>4</t>
        </is>
      </c>
      <c r="R2051" s="5" t="inlineStr">
        <is>
          <t>9</t>
        </is>
      </c>
      <c r="S2051" s="5" t="inlineStr">
        <is>
          <t>3</t>
        </is>
      </c>
      <c r="T2051" s="5" t="inlineStr">
        <is>
          <t>10</t>
        </is>
      </c>
      <c r="U2051" s="5">
        <f>IFS(C2051&lt;30,"Under 30",C2051&lt;40,"30-39",C2051&lt;50,"40-49",TRUE,"50+")</f>
        <v/>
      </c>
      <c r="V2051" s="5">
        <f>IFS(O2051&lt;60000,"Low (&lt;60k)",O2051&lt;100000,"Mid (60-100k)",TRUE,"High (100k+)")</f>
        <v/>
      </c>
      <c r="W2051" s="5">
        <f>IF(M2051="No","Attrited","Active")</f>
        <v/>
      </c>
    </row>
    <row r="2052">
      <c r="A2052" s="5" t="inlineStr">
        <is>
          <t>E02051</t>
        </is>
      </c>
      <c r="B2052" s="5" t="inlineStr">
        <is>
          <t>Male</t>
        </is>
      </c>
      <c r="C2052" s="6" t="inlineStr">
        <is>
          <t>28</t>
        </is>
      </c>
      <c r="D2052" s="5" t="inlineStr">
        <is>
          <t>Married</t>
        </is>
      </c>
      <c r="E2052" s="5" t="inlineStr">
        <is>
          <t>PhD</t>
        </is>
      </c>
      <c r="F2052" s="5" t="inlineStr">
        <is>
          <t>Customer Support</t>
        </is>
      </c>
      <c r="G2052" s="5" t="inlineStr">
        <is>
          <t>Support Agent</t>
        </is>
      </c>
      <c r="H2052" s="5" t="inlineStr">
        <is>
          <t>3</t>
        </is>
      </c>
      <c r="I2052" s="5" t="inlineStr">
        <is>
          <t>Hyderabad</t>
        </is>
      </c>
      <c r="J2052" s="5" t="inlineStr">
        <is>
          <t>Full-Time</t>
        </is>
      </c>
      <c r="K2052" s="7" t="n">
        <v>44100</v>
      </c>
      <c r="L2052" s="7" t="inlineStr"/>
      <c r="M2052" s="5" t="inlineStr">
        <is>
          <t>Yes</t>
        </is>
      </c>
      <c r="N2052" s="5" t="inlineStr"/>
      <c r="O2052" s="8" t="inlineStr">
        <is>
          <t>75500</t>
        </is>
      </c>
      <c r="P2052" s="5" t="inlineStr">
        <is>
          <t>0</t>
        </is>
      </c>
      <c r="Q2052" s="5" t="inlineStr">
        <is>
          <t>3</t>
        </is>
      </c>
      <c r="R2052" s="5" t="inlineStr">
        <is>
          <t>6</t>
        </is>
      </c>
      <c r="S2052" s="5" t="inlineStr">
        <is>
          <t>64</t>
        </is>
      </c>
      <c r="T2052" s="5" t="inlineStr">
        <is>
          <t>4</t>
        </is>
      </c>
      <c r="U2052" s="5">
        <f>IFS(C2052&lt;30,"Under 30",C2052&lt;40,"30-39",C2052&lt;50,"40-49",TRUE,"50+")</f>
        <v/>
      </c>
      <c r="V2052" s="5">
        <f>IFS(O2052&lt;60000,"Low (&lt;60k)",O2052&lt;100000,"Mid (60-100k)",TRUE,"High (100k+)")</f>
        <v/>
      </c>
      <c r="W2052" s="5">
        <f>IF(M2052="No","Attrited","Active")</f>
        <v/>
      </c>
    </row>
    <row r="2053">
      <c r="A2053" s="5" t="inlineStr">
        <is>
          <t>E02052</t>
        </is>
      </c>
      <c r="B2053" s="5" t="inlineStr">
        <is>
          <t>Female</t>
        </is>
      </c>
      <c r="C2053" s="6" t="inlineStr">
        <is>
          <t>36</t>
        </is>
      </c>
      <c r="D2053" s="5" t="inlineStr">
        <is>
          <t>Married</t>
        </is>
      </c>
      <c r="E2053" s="5" t="inlineStr">
        <is>
          <t>Bachelor</t>
        </is>
      </c>
      <c r="F2053" s="5" t="inlineStr">
        <is>
          <t>Customer Support</t>
        </is>
      </c>
      <c r="G2053" s="5" t="inlineStr">
        <is>
          <t>Support Lead</t>
        </is>
      </c>
      <c r="H2053" s="5" t="inlineStr">
        <is>
          <t>4</t>
        </is>
      </c>
      <c r="I2053" s="5" t="inlineStr">
        <is>
          <t>Remote</t>
        </is>
      </c>
      <c r="J2053" s="5" t="inlineStr">
        <is>
          <t>Full-Time</t>
        </is>
      </c>
      <c r="K2053" s="7" t="n">
        <v>44208</v>
      </c>
      <c r="L2053" s="7" t="inlineStr"/>
      <c r="M2053" s="5" t="inlineStr">
        <is>
          <t>Yes</t>
        </is>
      </c>
      <c r="N2053" s="5" t="inlineStr"/>
      <c r="O2053" s="8" t="inlineStr">
        <is>
          <t>59000</t>
        </is>
      </c>
      <c r="P2053" s="5" t="inlineStr">
        <is>
          <t>10</t>
        </is>
      </c>
      <c r="Q2053" s="5" t="inlineStr">
        <is>
          <t>4</t>
        </is>
      </c>
      <c r="R2053" s="5" t="inlineStr">
        <is>
          <t>7</t>
        </is>
      </c>
      <c r="S2053" s="5" t="inlineStr">
        <is>
          <t>60</t>
        </is>
      </c>
      <c r="T2053" s="5" t="inlineStr">
        <is>
          <t>14</t>
        </is>
      </c>
      <c r="U2053" s="5">
        <f>IFS(C2053&lt;30,"Under 30",C2053&lt;40,"30-39",C2053&lt;50,"40-49",TRUE,"50+")</f>
        <v/>
      </c>
      <c r="V2053" s="5">
        <f>IFS(O2053&lt;60000,"Low (&lt;60k)",O2053&lt;100000,"Mid (60-100k)",TRUE,"High (100k+)")</f>
        <v/>
      </c>
      <c r="W2053" s="5">
        <f>IF(M2053="No","Attrited","Active")</f>
        <v/>
      </c>
    </row>
    <row r="2054">
      <c r="A2054" s="5" t="inlineStr">
        <is>
          <t>E02053</t>
        </is>
      </c>
      <c r="B2054" s="5" t="inlineStr">
        <is>
          <t>Male</t>
        </is>
      </c>
      <c r="C2054" s="6" t="inlineStr">
        <is>
          <t>26</t>
        </is>
      </c>
      <c r="D2054" s="5" t="inlineStr">
        <is>
          <t>Married</t>
        </is>
      </c>
      <c r="E2054" s="5" t="inlineStr">
        <is>
          <t>PhD</t>
        </is>
      </c>
      <c r="F2054" s="5" t="inlineStr">
        <is>
          <t>Sales</t>
        </is>
      </c>
      <c r="G2054" s="5" t="inlineStr">
        <is>
          <t>Sales Executive</t>
        </is>
      </c>
      <c r="H2054" s="5" t="inlineStr">
        <is>
          <t>1</t>
        </is>
      </c>
      <c r="I2054" s="5" t="inlineStr">
        <is>
          <t>Remote</t>
        </is>
      </c>
      <c r="J2054" s="5" t="inlineStr">
        <is>
          <t>Full-Time</t>
        </is>
      </c>
      <c r="K2054" s="7" t="n">
        <v>45298</v>
      </c>
      <c r="L2054" s="7" t="inlineStr"/>
      <c r="M2054" s="5" t="inlineStr">
        <is>
          <t>Yes</t>
        </is>
      </c>
      <c r="N2054" s="5" t="inlineStr"/>
      <c r="O2054" s="8" t="inlineStr">
        <is>
          <t>77500</t>
        </is>
      </c>
      <c r="P2054" s="5" t="inlineStr">
        <is>
          <t>0</t>
        </is>
      </c>
      <c r="Q2054" s="5" t="inlineStr">
        <is>
          <t>3</t>
        </is>
      </c>
      <c r="R2054" s="5" t="inlineStr">
        <is>
          <t>7</t>
        </is>
      </c>
      <c r="S2054" s="5" t="inlineStr">
        <is>
          <t>24</t>
        </is>
      </c>
      <c r="T2054" s="5" t="inlineStr">
        <is>
          <t>3</t>
        </is>
      </c>
      <c r="U2054" s="5">
        <f>IFS(C2054&lt;30,"Under 30",C2054&lt;40,"30-39",C2054&lt;50,"40-49",TRUE,"50+")</f>
        <v/>
      </c>
      <c r="V2054" s="5">
        <f>IFS(O2054&lt;60000,"Low (&lt;60k)",O2054&lt;100000,"Mid (60-100k)",TRUE,"High (100k+)")</f>
        <v/>
      </c>
      <c r="W2054" s="5">
        <f>IF(M2054="No","Attrited","Active")</f>
        <v/>
      </c>
    </row>
    <row r="2055">
      <c r="A2055" s="5" t="inlineStr">
        <is>
          <t>E02054</t>
        </is>
      </c>
      <c r="B2055" s="5" t="inlineStr">
        <is>
          <t>Female</t>
        </is>
      </c>
      <c r="C2055" s="6" t="inlineStr">
        <is>
          <t>27</t>
        </is>
      </c>
      <c r="D2055" s="5" t="inlineStr">
        <is>
          <t>Married</t>
        </is>
      </c>
      <c r="E2055" s="5" t="inlineStr">
        <is>
          <t>PhD</t>
        </is>
      </c>
      <c r="F2055" s="5" t="inlineStr">
        <is>
          <t>Operations</t>
        </is>
      </c>
      <c r="G2055" s="5" t="inlineStr">
        <is>
          <t>Quality Analyst</t>
        </is>
      </c>
      <c r="H2055" s="5" t="inlineStr">
        <is>
          <t>2</t>
        </is>
      </c>
      <c r="I2055" s="5" t="inlineStr">
        <is>
          <t>Delhi</t>
        </is>
      </c>
      <c r="J2055" s="5" t="inlineStr">
        <is>
          <t>Full-Time</t>
        </is>
      </c>
      <c r="K2055" s="7" t="n">
        <v>44900</v>
      </c>
      <c r="L2055" s="7" t="inlineStr"/>
      <c r="M2055" s="5" t="inlineStr">
        <is>
          <t>Yes</t>
        </is>
      </c>
      <c r="N2055" s="5" t="inlineStr"/>
      <c r="O2055" s="8" t="inlineStr">
        <is>
          <t>110500</t>
        </is>
      </c>
      <c r="P2055" s="5" t="inlineStr">
        <is>
          <t>10</t>
        </is>
      </c>
      <c r="Q2055" s="5" t="inlineStr">
        <is>
          <t>4</t>
        </is>
      </c>
      <c r="R2055" s="5" t="inlineStr">
        <is>
          <t>9</t>
        </is>
      </c>
      <c r="S2055" s="5" t="inlineStr">
        <is>
          <t>37</t>
        </is>
      </c>
      <c r="T2055" s="5" t="inlineStr">
        <is>
          <t>21</t>
        </is>
      </c>
      <c r="U2055" s="5">
        <f>IFS(C2055&lt;30,"Under 30",C2055&lt;40,"30-39",C2055&lt;50,"40-49",TRUE,"50+")</f>
        <v/>
      </c>
      <c r="V2055" s="5">
        <f>IFS(O2055&lt;60000,"Low (&lt;60k)",O2055&lt;100000,"Mid (60-100k)",TRUE,"High (100k+)")</f>
        <v/>
      </c>
      <c r="W2055" s="5">
        <f>IF(M2055="No","Attrited","Active")</f>
        <v/>
      </c>
    </row>
    <row r="2056">
      <c r="A2056" s="5" t="inlineStr">
        <is>
          <t>E02055</t>
        </is>
      </c>
      <c r="B2056" s="5" t="inlineStr">
        <is>
          <t>Female</t>
        </is>
      </c>
      <c r="C2056" s="6" t="inlineStr">
        <is>
          <t>32</t>
        </is>
      </c>
      <c r="D2056" s="5" t="inlineStr">
        <is>
          <t>Single</t>
        </is>
      </c>
      <c r="E2056" s="5" t="inlineStr">
        <is>
          <t>High School</t>
        </is>
      </c>
      <c r="F2056" s="5" t="inlineStr">
        <is>
          <t>IT</t>
        </is>
      </c>
      <c r="G2056" s="5" t="inlineStr">
        <is>
          <t>Software Engineer</t>
        </is>
      </c>
      <c r="H2056" s="5" t="inlineStr">
        <is>
          <t>3</t>
        </is>
      </c>
      <c r="I2056" s="5" t="inlineStr">
        <is>
          <t>Mumbai</t>
        </is>
      </c>
      <c r="J2056" s="5" t="inlineStr">
        <is>
          <t>Full-Time</t>
        </is>
      </c>
      <c r="K2056" s="7" t="n">
        <v>44892</v>
      </c>
      <c r="L2056" s="7" t="inlineStr"/>
      <c r="M2056" s="5" t="inlineStr">
        <is>
          <t>Yes</t>
        </is>
      </c>
      <c r="N2056" s="5" t="inlineStr"/>
      <c r="O2056" s="8" t="inlineStr">
        <is>
          <t>169000</t>
        </is>
      </c>
      <c r="P2056" s="5" t="inlineStr">
        <is>
          <t>10</t>
        </is>
      </c>
      <c r="Q2056" s="5" t="inlineStr">
        <is>
          <t>3</t>
        </is>
      </c>
      <c r="R2056" s="5" t="inlineStr">
        <is>
          <t>6</t>
        </is>
      </c>
      <c r="S2056" s="5" t="inlineStr">
        <is>
          <t>37</t>
        </is>
      </c>
      <c r="T2056" s="5" t="inlineStr">
        <is>
          <t>2</t>
        </is>
      </c>
      <c r="U2056" s="5">
        <f>IFS(C2056&lt;30,"Under 30",C2056&lt;40,"30-39",C2056&lt;50,"40-49",TRUE,"50+")</f>
        <v/>
      </c>
      <c r="V2056" s="5">
        <f>IFS(O2056&lt;60000,"Low (&lt;60k)",O2056&lt;100000,"Mid (60-100k)",TRUE,"High (100k+)")</f>
        <v/>
      </c>
      <c r="W2056" s="5">
        <f>IF(M2056="No","Attrited","Active")</f>
        <v/>
      </c>
    </row>
    <row r="2057">
      <c r="A2057" s="5" t="inlineStr">
        <is>
          <t>E02056</t>
        </is>
      </c>
      <c r="B2057" s="5" t="inlineStr">
        <is>
          <t>Female</t>
        </is>
      </c>
      <c r="C2057" s="6" t="inlineStr">
        <is>
          <t>23</t>
        </is>
      </c>
      <c r="D2057" s="5" t="inlineStr">
        <is>
          <t>Married</t>
        </is>
      </c>
      <c r="E2057" s="5" t="inlineStr">
        <is>
          <t>Diploma</t>
        </is>
      </c>
      <c r="F2057" s="5" t="inlineStr">
        <is>
          <t>Finance</t>
        </is>
      </c>
      <c r="G2057" s="5" t="inlineStr">
        <is>
          <t>Accountant</t>
        </is>
      </c>
      <c r="H2057" s="5" t="inlineStr">
        <is>
          <t>1</t>
        </is>
      </c>
      <c r="I2057" s="5" t="inlineStr">
        <is>
          <t>Bengaluru</t>
        </is>
      </c>
      <c r="J2057" s="5" t="inlineStr">
        <is>
          <t>Full-Time</t>
        </is>
      </c>
      <c r="K2057" s="7" t="n">
        <v>44254</v>
      </c>
      <c r="L2057" s="7" t="inlineStr"/>
      <c r="M2057" s="5" t="inlineStr">
        <is>
          <t>Yes</t>
        </is>
      </c>
      <c r="N2057" s="5" t="inlineStr"/>
      <c r="O2057" s="8" t="inlineStr">
        <is>
          <t>84000</t>
        </is>
      </c>
      <c r="P2057" s="5" t="inlineStr">
        <is>
          <t>10</t>
        </is>
      </c>
      <c r="Q2057" s="5" t="inlineStr">
        <is>
          <t>4</t>
        </is>
      </c>
      <c r="R2057" s="5" t="inlineStr">
        <is>
          <t>2</t>
        </is>
      </c>
      <c r="S2057" s="5" t="inlineStr">
        <is>
          <t>58</t>
        </is>
      </c>
      <c r="T2057" s="5" t="inlineStr">
        <is>
          <t>10</t>
        </is>
      </c>
      <c r="U2057" s="5">
        <f>IFS(C2057&lt;30,"Under 30",C2057&lt;40,"30-39",C2057&lt;50,"40-49",TRUE,"50+")</f>
        <v/>
      </c>
      <c r="V2057" s="5">
        <f>IFS(O2057&lt;60000,"Low (&lt;60k)",O2057&lt;100000,"Mid (60-100k)",TRUE,"High (100k+)")</f>
        <v/>
      </c>
      <c r="W2057" s="5">
        <f>IF(M2057="No","Attrited","Active")</f>
        <v/>
      </c>
    </row>
    <row r="2058">
      <c r="A2058" s="5" t="inlineStr">
        <is>
          <t>E02057</t>
        </is>
      </c>
      <c r="B2058" s="5" t="inlineStr">
        <is>
          <t>Female</t>
        </is>
      </c>
      <c r="C2058" s="6" t="inlineStr">
        <is>
          <t>29</t>
        </is>
      </c>
      <c r="D2058" s="5" t="inlineStr">
        <is>
          <t>Single</t>
        </is>
      </c>
      <c r="E2058" s="5" t="inlineStr">
        <is>
          <t>PhD</t>
        </is>
      </c>
      <c r="F2058" s="5" t="inlineStr">
        <is>
          <t>Finance</t>
        </is>
      </c>
      <c r="G2058" s="5" t="inlineStr">
        <is>
          <t>Financial Analyst</t>
        </is>
      </c>
      <c r="H2058" s="5" t="inlineStr">
        <is>
          <t>1</t>
        </is>
      </c>
      <c r="I2058" s="5" t="inlineStr">
        <is>
          <t>Chennai</t>
        </is>
      </c>
      <c r="J2058" s="5" t="inlineStr">
        <is>
          <t>Full-Time</t>
        </is>
      </c>
      <c r="K2058" s="7" t="n">
        <v>44434</v>
      </c>
      <c r="L2058" s="7" t="inlineStr"/>
      <c r="M2058" s="5" t="inlineStr">
        <is>
          <t>Yes</t>
        </is>
      </c>
      <c r="N2058" s="5" t="inlineStr"/>
      <c r="O2058" s="8" t="inlineStr">
        <is>
          <t>106500</t>
        </is>
      </c>
      <c r="P2058" s="5" t="inlineStr">
        <is>
          <t>10</t>
        </is>
      </c>
      <c r="Q2058" s="5" t="inlineStr">
        <is>
          <t>4</t>
        </is>
      </c>
      <c r="R2058" s="5" t="inlineStr">
        <is>
          <t>10</t>
        </is>
      </c>
      <c r="S2058" s="5" t="inlineStr">
        <is>
          <t>52</t>
        </is>
      </c>
      <c r="T2058" s="5" t="inlineStr">
        <is>
          <t>21</t>
        </is>
      </c>
      <c r="U2058" s="5">
        <f>IFS(C2058&lt;30,"Under 30",C2058&lt;40,"30-39",C2058&lt;50,"40-49",TRUE,"50+")</f>
        <v/>
      </c>
      <c r="V2058" s="5">
        <f>IFS(O2058&lt;60000,"Low (&lt;60k)",O2058&lt;100000,"Mid (60-100k)",TRUE,"High (100k+)")</f>
        <v/>
      </c>
      <c r="W2058" s="5">
        <f>IF(M2058="No","Attrited","Active")</f>
        <v/>
      </c>
    </row>
    <row r="2059">
      <c r="A2059" s="5" t="inlineStr">
        <is>
          <t>E02058</t>
        </is>
      </c>
      <c r="B2059" s="5" t="inlineStr">
        <is>
          <t>Male</t>
        </is>
      </c>
      <c r="C2059" s="6" t="inlineStr">
        <is>
          <t>29</t>
        </is>
      </c>
      <c r="D2059" s="5" t="inlineStr">
        <is>
          <t>Married</t>
        </is>
      </c>
      <c r="E2059" s="5" t="inlineStr">
        <is>
          <t>Bachelor</t>
        </is>
      </c>
      <c r="F2059" s="5" t="inlineStr">
        <is>
          <t>Marketing</t>
        </is>
      </c>
      <c r="G2059" s="5" t="inlineStr">
        <is>
          <t>Marketing Analyst</t>
        </is>
      </c>
      <c r="H2059" s="5" t="inlineStr">
        <is>
          <t>3</t>
        </is>
      </c>
      <c r="I2059" s="5" t="inlineStr">
        <is>
          <t>Hyderabad</t>
        </is>
      </c>
      <c r="J2059" s="5" t="inlineStr">
        <is>
          <t>Full-Time</t>
        </is>
      </c>
      <c r="K2059" s="7" t="n">
        <v>44512</v>
      </c>
      <c r="L2059" s="7" t="inlineStr"/>
      <c r="M2059" s="5" t="inlineStr">
        <is>
          <t>Yes</t>
        </is>
      </c>
      <c r="N2059" s="5" t="inlineStr"/>
      <c r="O2059" s="8" t="inlineStr">
        <is>
          <t>81500</t>
        </is>
      </c>
      <c r="P2059" s="5" t="inlineStr">
        <is>
          <t>20</t>
        </is>
      </c>
      <c r="Q2059" s="5" t="inlineStr">
        <is>
          <t>4</t>
        </is>
      </c>
      <c r="R2059" s="5" t="inlineStr">
        <is>
          <t>8</t>
        </is>
      </c>
      <c r="S2059" s="5" t="inlineStr">
        <is>
          <t>50</t>
        </is>
      </c>
      <c r="T2059" s="5" t="inlineStr">
        <is>
          <t>11</t>
        </is>
      </c>
      <c r="U2059" s="5">
        <f>IFS(C2059&lt;30,"Under 30",C2059&lt;40,"30-39",C2059&lt;50,"40-49",TRUE,"50+")</f>
        <v/>
      </c>
      <c r="V2059" s="5">
        <f>IFS(O2059&lt;60000,"Low (&lt;60k)",O2059&lt;100000,"Mid (60-100k)",TRUE,"High (100k+)")</f>
        <v/>
      </c>
      <c r="W2059" s="5">
        <f>IF(M2059="No","Attrited","Active")</f>
        <v/>
      </c>
    </row>
    <row r="2060">
      <c r="A2060" s="5" t="inlineStr">
        <is>
          <t>E02059</t>
        </is>
      </c>
      <c r="B2060" s="5" t="inlineStr">
        <is>
          <t>Female</t>
        </is>
      </c>
      <c r="C2060" s="6" t="inlineStr">
        <is>
          <t>31</t>
        </is>
      </c>
      <c r="D2060" s="5" t="inlineStr">
        <is>
          <t>Married</t>
        </is>
      </c>
      <c r="E2060" s="5" t="inlineStr">
        <is>
          <t>Bachelor</t>
        </is>
      </c>
      <c r="F2060" s="5" t="inlineStr">
        <is>
          <t>Marketing</t>
        </is>
      </c>
      <c r="G2060" s="5" t="inlineStr">
        <is>
          <t>Marketing Analyst</t>
        </is>
      </c>
      <c r="H2060" s="5" t="inlineStr">
        <is>
          <t>4</t>
        </is>
      </c>
      <c r="I2060" s="5" t="inlineStr">
        <is>
          <t>Remote</t>
        </is>
      </c>
      <c r="J2060" s="5" t="inlineStr">
        <is>
          <t>Full-Time</t>
        </is>
      </c>
      <c r="K2060" s="7" t="n">
        <v>44494</v>
      </c>
      <c r="L2060" s="7" t="inlineStr"/>
      <c r="M2060" s="5" t="inlineStr">
        <is>
          <t>Yes</t>
        </is>
      </c>
      <c r="N2060" s="5" t="inlineStr"/>
      <c r="O2060" s="8" t="inlineStr">
        <is>
          <t>78500</t>
        </is>
      </c>
      <c r="P2060" s="5" t="inlineStr">
        <is>
          <t>10</t>
        </is>
      </c>
      <c r="Q2060" s="5" t="inlineStr">
        <is>
          <t>3</t>
        </is>
      </c>
      <c r="R2060" s="5" t="inlineStr">
        <is>
          <t>5</t>
        </is>
      </c>
      <c r="S2060" s="5" t="inlineStr">
        <is>
          <t>50</t>
        </is>
      </c>
      <c r="T2060" s="5" t="inlineStr">
        <is>
          <t>0</t>
        </is>
      </c>
      <c r="U2060" s="5">
        <f>IFS(C2060&lt;30,"Under 30",C2060&lt;40,"30-39",C2060&lt;50,"40-49",TRUE,"50+")</f>
        <v/>
      </c>
      <c r="V2060" s="5">
        <f>IFS(O2060&lt;60000,"Low (&lt;60k)",O2060&lt;100000,"Mid (60-100k)",TRUE,"High (100k+)")</f>
        <v/>
      </c>
      <c r="W2060" s="5">
        <f>IF(M2060="No","Attrited","Active")</f>
        <v/>
      </c>
    </row>
    <row r="2061">
      <c r="A2061" s="5" t="inlineStr">
        <is>
          <t>E02060</t>
        </is>
      </c>
      <c r="B2061" s="5" t="inlineStr">
        <is>
          <t>Female</t>
        </is>
      </c>
      <c r="C2061" s="6" t="inlineStr">
        <is>
          <t>30</t>
        </is>
      </c>
      <c r="D2061" s="5" t="inlineStr">
        <is>
          <t>Single</t>
        </is>
      </c>
      <c r="E2061" s="5" t="inlineStr">
        <is>
          <t>High School</t>
        </is>
      </c>
      <c r="F2061" s="5" t="inlineStr">
        <is>
          <t>Research &amp; Development</t>
        </is>
      </c>
      <c r="G2061" s="5" t="inlineStr">
        <is>
          <t>Research Scientist</t>
        </is>
      </c>
      <c r="H2061" s="5" t="inlineStr">
        <is>
          <t>2</t>
        </is>
      </c>
      <c r="I2061" s="5" t="inlineStr">
        <is>
          <t>Delhi</t>
        </is>
      </c>
      <c r="J2061" s="5" t="inlineStr">
        <is>
          <t>Full-Time</t>
        </is>
      </c>
      <c r="K2061" s="7" t="n">
        <v>45185</v>
      </c>
      <c r="L2061" s="7" t="inlineStr"/>
      <c r="M2061" s="5" t="inlineStr">
        <is>
          <t>Yes</t>
        </is>
      </c>
      <c r="N2061" s="5" t="inlineStr"/>
      <c r="O2061" s="8" t="inlineStr">
        <is>
          <t>149500</t>
        </is>
      </c>
      <c r="P2061" s="5" t="inlineStr">
        <is>
          <t>10</t>
        </is>
      </c>
      <c r="Q2061" s="5" t="inlineStr">
        <is>
          <t>4</t>
        </is>
      </c>
      <c r="R2061" s="5" t="inlineStr">
        <is>
          <t>5</t>
        </is>
      </c>
      <c r="S2061" s="5" t="inlineStr">
        <is>
          <t>27</t>
        </is>
      </c>
      <c r="T2061" s="5" t="inlineStr">
        <is>
          <t>0</t>
        </is>
      </c>
      <c r="U2061" s="5">
        <f>IFS(C2061&lt;30,"Under 30",C2061&lt;40,"30-39",C2061&lt;50,"40-49",TRUE,"50+")</f>
        <v/>
      </c>
      <c r="V2061" s="5">
        <f>IFS(O2061&lt;60000,"Low (&lt;60k)",O2061&lt;100000,"Mid (60-100k)",TRUE,"High (100k+)")</f>
        <v/>
      </c>
      <c r="W2061" s="5">
        <f>IF(M2061="No","Attrited","Active")</f>
        <v/>
      </c>
    </row>
    <row r="2062">
      <c r="A2062" s="5" t="inlineStr">
        <is>
          <t>E02061</t>
        </is>
      </c>
      <c r="B2062" s="5" t="inlineStr">
        <is>
          <t>Female</t>
        </is>
      </c>
      <c r="C2062" s="6" t="inlineStr">
        <is>
          <t>35</t>
        </is>
      </c>
      <c r="D2062" s="5" t="inlineStr">
        <is>
          <t>Divorced</t>
        </is>
      </c>
      <c r="E2062" s="5" t="inlineStr">
        <is>
          <t>PhD</t>
        </is>
      </c>
      <c r="F2062" s="5" t="inlineStr">
        <is>
          <t>IT</t>
        </is>
      </c>
      <c r="G2062" s="5" t="inlineStr">
        <is>
          <t>DevOps Engineer</t>
        </is>
      </c>
      <c r="H2062" s="5" t="inlineStr">
        <is>
          <t>3</t>
        </is>
      </c>
      <c r="I2062" s="5" t="inlineStr">
        <is>
          <t>Bengaluru</t>
        </is>
      </c>
      <c r="J2062" s="5" t="inlineStr">
        <is>
          <t>Full-Time</t>
        </is>
      </c>
      <c r="K2062" s="7" t="n">
        <v>45474</v>
      </c>
      <c r="L2062" s="7" t="inlineStr"/>
      <c r="M2062" s="5" t="inlineStr">
        <is>
          <t>Yes</t>
        </is>
      </c>
      <c r="N2062" s="5" t="inlineStr"/>
      <c r="O2062" s="8" t="inlineStr">
        <is>
          <t>180000</t>
        </is>
      </c>
      <c r="P2062" s="5" t="inlineStr">
        <is>
          <t>15</t>
        </is>
      </c>
      <c r="Q2062" s="5" t="inlineStr">
        <is>
          <t>4</t>
        </is>
      </c>
      <c r="R2062" s="5" t="inlineStr">
        <is>
          <t>7</t>
        </is>
      </c>
      <c r="S2062" s="5" t="inlineStr">
        <is>
          <t>18</t>
        </is>
      </c>
      <c r="T2062" s="5" t="inlineStr">
        <is>
          <t>4</t>
        </is>
      </c>
      <c r="U2062" s="5">
        <f>IFS(C2062&lt;30,"Under 30",C2062&lt;40,"30-39",C2062&lt;50,"40-49",TRUE,"50+")</f>
        <v/>
      </c>
      <c r="V2062" s="5">
        <f>IFS(O2062&lt;60000,"Low (&lt;60k)",O2062&lt;100000,"Mid (60-100k)",TRUE,"High (100k+)")</f>
        <v/>
      </c>
      <c r="W2062" s="5">
        <f>IF(M2062="No","Attrited","Active")</f>
        <v/>
      </c>
    </row>
    <row r="2063">
      <c r="A2063" s="5" t="inlineStr">
        <is>
          <t>E02062</t>
        </is>
      </c>
      <c r="B2063" s="5" t="inlineStr">
        <is>
          <t>Male</t>
        </is>
      </c>
      <c r="C2063" s="6" t="inlineStr">
        <is>
          <t>42</t>
        </is>
      </c>
      <c r="D2063" s="5" t="inlineStr">
        <is>
          <t>Married</t>
        </is>
      </c>
      <c r="E2063" s="5" t="inlineStr">
        <is>
          <t>High School</t>
        </is>
      </c>
      <c r="F2063" s="5" t="inlineStr">
        <is>
          <t>Research &amp; Development</t>
        </is>
      </c>
      <c r="G2063" s="5" t="inlineStr">
        <is>
          <t>Data Scientist</t>
        </is>
      </c>
      <c r="H2063" s="5" t="inlineStr">
        <is>
          <t>7</t>
        </is>
      </c>
      <c r="I2063" s="5" t="inlineStr">
        <is>
          <t>Chennai</t>
        </is>
      </c>
      <c r="J2063" s="5" t="inlineStr">
        <is>
          <t>Full-Time</t>
        </is>
      </c>
      <c r="K2063" s="7" t="n">
        <v>45170</v>
      </c>
      <c r="L2063" s="7" t="inlineStr"/>
      <c r="M2063" s="5" t="inlineStr">
        <is>
          <t>Yes</t>
        </is>
      </c>
      <c r="N2063" s="5" t="inlineStr"/>
      <c r="O2063" s="8" t="inlineStr">
        <is>
          <t>257500</t>
        </is>
      </c>
      <c r="P2063" s="5" t="inlineStr">
        <is>
          <t>0</t>
        </is>
      </c>
      <c r="Q2063" s="5" t="inlineStr">
        <is>
          <t>5</t>
        </is>
      </c>
      <c r="R2063" s="5" t="inlineStr">
        <is>
          <t>4</t>
        </is>
      </c>
      <c r="S2063" s="5" t="inlineStr">
        <is>
          <t>28</t>
        </is>
      </c>
      <c r="T2063" s="5" t="inlineStr">
        <is>
          <t>0</t>
        </is>
      </c>
      <c r="U2063" s="5">
        <f>IFS(C2063&lt;30,"Under 30",C2063&lt;40,"30-39",C2063&lt;50,"40-49",TRUE,"50+")</f>
        <v/>
      </c>
      <c r="V2063" s="5">
        <f>IFS(O2063&lt;60000,"Low (&lt;60k)",O2063&lt;100000,"Mid (60-100k)",TRUE,"High (100k+)")</f>
        <v/>
      </c>
      <c r="W2063" s="5">
        <f>IF(M2063="No","Attrited","Active")</f>
        <v/>
      </c>
    </row>
    <row r="2064">
      <c r="A2064" s="5" t="inlineStr">
        <is>
          <t>E02063</t>
        </is>
      </c>
      <c r="B2064" s="5" t="inlineStr">
        <is>
          <t>Female</t>
        </is>
      </c>
      <c r="C2064" s="6" t="inlineStr">
        <is>
          <t>35</t>
        </is>
      </c>
      <c r="D2064" s="5" t="inlineStr">
        <is>
          <t>Single</t>
        </is>
      </c>
      <c r="E2064" s="5" t="inlineStr">
        <is>
          <t>PhD</t>
        </is>
      </c>
      <c r="F2064" s="5" t="inlineStr">
        <is>
          <t>Sales</t>
        </is>
      </c>
      <c r="G2064" s="5" t="inlineStr">
        <is>
          <t>Business Development</t>
        </is>
      </c>
      <c r="H2064" s="5" t="inlineStr">
        <is>
          <t>4</t>
        </is>
      </c>
      <c r="I2064" s="5" t="inlineStr">
        <is>
          <t>Delhi</t>
        </is>
      </c>
      <c r="J2064" s="5" t="inlineStr">
        <is>
          <t>Part-Time</t>
        </is>
      </c>
      <c r="K2064" s="7" t="n">
        <v>44359</v>
      </c>
      <c r="L2064" s="7" t="inlineStr"/>
      <c r="M2064" s="5" t="inlineStr">
        <is>
          <t>Yes</t>
        </is>
      </c>
      <c r="N2064" s="5" t="inlineStr"/>
      <c r="O2064" s="8" t="inlineStr">
        <is>
          <t>110500</t>
        </is>
      </c>
      <c r="P2064" s="5" t="inlineStr">
        <is>
          <t>0</t>
        </is>
      </c>
      <c r="Q2064" s="5" t="inlineStr">
        <is>
          <t>4</t>
        </is>
      </c>
      <c r="R2064" s="5" t="inlineStr">
        <is>
          <t>6</t>
        </is>
      </c>
      <c r="S2064" s="5" t="inlineStr">
        <is>
          <t>55</t>
        </is>
      </c>
      <c r="T2064" s="5" t="inlineStr">
        <is>
          <t>3</t>
        </is>
      </c>
      <c r="U2064" s="5">
        <f>IFS(C2064&lt;30,"Under 30",C2064&lt;40,"30-39",C2064&lt;50,"40-49",TRUE,"50+")</f>
        <v/>
      </c>
      <c r="V2064" s="5">
        <f>IFS(O2064&lt;60000,"Low (&lt;60k)",O2064&lt;100000,"Mid (60-100k)",TRUE,"High (100k+)")</f>
        <v/>
      </c>
      <c r="W2064" s="5">
        <f>IF(M2064="No","Attrited","Active")</f>
        <v/>
      </c>
    </row>
    <row r="2065">
      <c r="A2065" s="5" t="inlineStr">
        <is>
          <t>E02064</t>
        </is>
      </c>
      <c r="B2065" s="5" t="inlineStr">
        <is>
          <t>Female</t>
        </is>
      </c>
      <c r="C2065" s="6" t="inlineStr">
        <is>
          <t>26</t>
        </is>
      </c>
      <c r="D2065" s="5" t="inlineStr">
        <is>
          <t>Married</t>
        </is>
      </c>
      <c r="E2065" s="5" t="inlineStr">
        <is>
          <t>Diploma</t>
        </is>
      </c>
      <c r="F2065" s="5" t="inlineStr">
        <is>
          <t>Sales</t>
        </is>
      </c>
      <c r="G2065" s="5" t="inlineStr">
        <is>
          <t>Account Executive</t>
        </is>
      </c>
      <c r="H2065" s="5" t="inlineStr">
        <is>
          <t>1</t>
        </is>
      </c>
      <c r="I2065" s="5" t="inlineStr">
        <is>
          <t>Hyderabad</t>
        </is>
      </c>
      <c r="J2065" s="5" t="inlineStr">
        <is>
          <t>Full-Time</t>
        </is>
      </c>
      <c r="K2065" s="7" t="n">
        <v>45352</v>
      </c>
      <c r="L2065" s="7" t="n">
        <v>45409</v>
      </c>
      <c r="M2065" s="5" t="inlineStr">
        <is>
          <t>No</t>
        </is>
      </c>
      <c r="N2065" s="5" t="inlineStr">
        <is>
          <t>Resigned</t>
        </is>
      </c>
      <c r="O2065" s="8" t="inlineStr">
        <is>
          <t>103500</t>
        </is>
      </c>
      <c r="P2065" s="5" t="inlineStr">
        <is>
          <t>5</t>
        </is>
      </c>
      <c r="Q2065" s="5" t="inlineStr">
        <is>
          <t>5</t>
        </is>
      </c>
      <c r="R2065" s="5" t="inlineStr">
        <is>
          <t>6</t>
        </is>
      </c>
      <c r="S2065" s="5" t="inlineStr">
        <is>
          <t>1</t>
        </is>
      </c>
      <c r="T2065" s="5" t="inlineStr">
        <is>
          <t>7</t>
        </is>
      </c>
      <c r="U2065" s="5">
        <f>IFS(C2065&lt;30,"Under 30",C2065&lt;40,"30-39",C2065&lt;50,"40-49",TRUE,"50+")</f>
        <v/>
      </c>
      <c r="V2065" s="5">
        <f>IFS(O2065&lt;60000,"Low (&lt;60k)",O2065&lt;100000,"Mid (60-100k)",TRUE,"High (100k+)")</f>
        <v/>
      </c>
      <c r="W2065" s="5">
        <f>IF(M2065="No","Attrited","Active")</f>
        <v/>
      </c>
    </row>
    <row r="2066">
      <c r="A2066" s="5" t="inlineStr">
        <is>
          <t>E02065</t>
        </is>
      </c>
      <c r="B2066" s="5" t="inlineStr">
        <is>
          <t>Female</t>
        </is>
      </c>
      <c r="C2066" s="6" t="inlineStr">
        <is>
          <t>45</t>
        </is>
      </c>
      <c r="D2066" s="5" t="inlineStr">
        <is>
          <t>Married</t>
        </is>
      </c>
      <c r="E2066" s="5" t="inlineStr">
        <is>
          <t>Diploma</t>
        </is>
      </c>
      <c r="F2066" s="5" t="inlineStr">
        <is>
          <t>Finance</t>
        </is>
      </c>
      <c r="G2066" s="5" t="inlineStr">
        <is>
          <t>Accountant</t>
        </is>
      </c>
      <c r="H2066" s="5" t="inlineStr">
        <is>
          <t>7</t>
        </is>
      </c>
      <c r="I2066" s="5" t="inlineStr">
        <is>
          <t>Mumbai</t>
        </is>
      </c>
      <c r="J2066" s="5" t="inlineStr">
        <is>
          <t>Full-Time</t>
        </is>
      </c>
      <c r="K2066" s="7" t="n">
        <v>44139</v>
      </c>
      <c r="L2066" s="7" t="inlineStr"/>
      <c r="M2066" s="5" t="inlineStr">
        <is>
          <t>Yes</t>
        </is>
      </c>
      <c r="N2066" s="5" t="inlineStr"/>
      <c r="O2066" s="8" t="inlineStr">
        <is>
          <t>162500</t>
        </is>
      </c>
      <c r="P2066" s="5" t="inlineStr">
        <is>
          <t>0</t>
        </is>
      </c>
      <c r="Q2066" s="5" t="inlineStr">
        <is>
          <t>4</t>
        </is>
      </c>
      <c r="R2066" s="5" t="inlineStr">
        <is>
          <t>7</t>
        </is>
      </c>
      <c r="S2066" s="5" t="inlineStr">
        <is>
          <t>62</t>
        </is>
      </c>
      <c r="T2066" s="5" t="inlineStr">
        <is>
          <t>7</t>
        </is>
      </c>
      <c r="U2066" s="5">
        <f>IFS(C2066&lt;30,"Under 30",C2066&lt;40,"30-39",C2066&lt;50,"40-49",TRUE,"50+")</f>
        <v/>
      </c>
      <c r="V2066" s="5">
        <f>IFS(O2066&lt;60000,"Low (&lt;60k)",O2066&lt;100000,"Mid (60-100k)",TRUE,"High (100k+)")</f>
        <v/>
      </c>
      <c r="W2066" s="5">
        <f>IF(M2066="No","Attrited","Active")</f>
        <v/>
      </c>
    </row>
    <row r="2067">
      <c r="A2067" s="5" t="inlineStr">
        <is>
          <t>E02066</t>
        </is>
      </c>
      <c r="B2067" s="5" t="inlineStr">
        <is>
          <t>Male</t>
        </is>
      </c>
      <c r="C2067" s="6" t="inlineStr">
        <is>
          <t>39</t>
        </is>
      </c>
      <c r="D2067" s="5" t="inlineStr">
        <is>
          <t>Married</t>
        </is>
      </c>
      <c r="E2067" s="5" t="inlineStr">
        <is>
          <t>Diploma</t>
        </is>
      </c>
      <c r="F2067" s="5" t="inlineStr">
        <is>
          <t>Operations</t>
        </is>
      </c>
      <c r="G2067" s="5" t="inlineStr">
        <is>
          <t>Logistics Coordinator</t>
        </is>
      </c>
      <c r="H2067" s="5" t="inlineStr">
        <is>
          <t>6</t>
        </is>
      </c>
      <c r="I2067" s="5" t="inlineStr">
        <is>
          <t>Hyderabad</t>
        </is>
      </c>
      <c r="J2067" s="5" t="inlineStr">
        <is>
          <t>Full-Time</t>
        </is>
      </c>
      <c r="K2067" s="7" t="n">
        <v>44556</v>
      </c>
      <c r="L2067" s="7" t="inlineStr"/>
      <c r="M2067" s="5" t="inlineStr">
        <is>
          <t>Yes</t>
        </is>
      </c>
      <c r="N2067" s="5" t="inlineStr"/>
      <c r="O2067" s="8" t="inlineStr">
        <is>
          <t>130000</t>
        </is>
      </c>
      <c r="P2067" s="5" t="inlineStr">
        <is>
          <t>5</t>
        </is>
      </c>
      <c r="Q2067" s="5" t="inlineStr">
        <is>
          <t>3</t>
        </is>
      </c>
      <c r="R2067" s="5" t="inlineStr">
        <is>
          <t>5</t>
        </is>
      </c>
      <c r="S2067" s="5" t="inlineStr">
        <is>
          <t>48</t>
        </is>
      </c>
      <c r="T2067" s="5" t="inlineStr">
        <is>
          <t>16</t>
        </is>
      </c>
      <c r="U2067" s="5">
        <f>IFS(C2067&lt;30,"Under 30",C2067&lt;40,"30-39",C2067&lt;50,"40-49",TRUE,"50+")</f>
        <v/>
      </c>
      <c r="V2067" s="5">
        <f>IFS(O2067&lt;60000,"Low (&lt;60k)",O2067&lt;100000,"Mid (60-100k)",TRUE,"High (100k+)")</f>
        <v/>
      </c>
      <c r="W2067" s="5">
        <f>IF(M2067="No","Attrited","Active")</f>
        <v/>
      </c>
    </row>
    <row r="2068">
      <c r="A2068" s="5" t="inlineStr">
        <is>
          <t>E02067</t>
        </is>
      </c>
      <c r="B2068" s="5" t="inlineStr">
        <is>
          <t>Female</t>
        </is>
      </c>
      <c r="C2068" s="6" t="inlineStr">
        <is>
          <t>40</t>
        </is>
      </c>
      <c r="D2068" s="5" t="inlineStr">
        <is>
          <t>Single</t>
        </is>
      </c>
      <c r="E2068" s="5" t="inlineStr">
        <is>
          <t>Master</t>
        </is>
      </c>
      <c r="F2068" s="5" t="inlineStr">
        <is>
          <t>IT</t>
        </is>
      </c>
      <c r="G2068" s="5" t="inlineStr">
        <is>
          <t>Data Analyst</t>
        </is>
      </c>
      <c r="H2068" s="5" t="inlineStr">
        <is>
          <t>7</t>
        </is>
      </c>
      <c r="I2068" s="5" t="inlineStr">
        <is>
          <t>Mumbai</t>
        </is>
      </c>
      <c r="J2068" s="5" t="inlineStr">
        <is>
          <t>Full-Time</t>
        </is>
      </c>
      <c r="K2068" s="7" t="n">
        <v>44757</v>
      </c>
      <c r="L2068" s="7" t="inlineStr"/>
      <c r="M2068" s="5" t="inlineStr">
        <is>
          <t>Yes</t>
        </is>
      </c>
      <c r="N2068" s="5" t="inlineStr"/>
      <c r="O2068" s="8" t="inlineStr">
        <is>
          <t>211500</t>
        </is>
      </c>
      <c r="P2068" s="5" t="inlineStr">
        <is>
          <t>0</t>
        </is>
      </c>
      <c r="Q2068" s="5" t="inlineStr">
        <is>
          <t>3</t>
        </is>
      </c>
      <c r="R2068" s="5" t="inlineStr">
        <is>
          <t>7</t>
        </is>
      </c>
      <c r="S2068" s="5" t="inlineStr">
        <is>
          <t>42</t>
        </is>
      </c>
      <c r="T2068" s="5" t="inlineStr">
        <is>
          <t>0</t>
        </is>
      </c>
      <c r="U2068" s="5">
        <f>IFS(C2068&lt;30,"Under 30",C2068&lt;40,"30-39",C2068&lt;50,"40-49",TRUE,"50+")</f>
        <v/>
      </c>
      <c r="V2068" s="5">
        <f>IFS(O2068&lt;60000,"Low (&lt;60k)",O2068&lt;100000,"Mid (60-100k)",TRUE,"High (100k+)")</f>
        <v/>
      </c>
      <c r="W2068" s="5">
        <f>IF(M2068="No","Attrited","Active")</f>
        <v/>
      </c>
    </row>
    <row r="2069">
      <c r="A2069" s="5" t="inlineStr">
        <is>
          <t>E02068</t>
        </is>
      </c>
      <c r="B2069" s="5" t="inlineStr">
        <is>
          <t>Male</t>
        </is>
      </c>
      <c r="C2069" s="6" t="inlineStr">
        <is>
          <t>34</t>
        </is>
      </c>
      <c r="D2069" s="5" t="inlineStr">
        <is>
          <t>Married</t>
        </is>
      </c>
      <c r="E2069" s="5" t="inlineStr">
        <is>
          <t>PhD</t>
        </is>
      </c>
      <c r="F2069" s="5" t="inlineStr">
        <is>
          <t>Sales</t>
        </is>
      </c>
      <c r="G2069" s="5" t="inlineStr">
        <is>
          <t>Account Executive</t>
        </is>
      </c>
      <c r="H2069" s="5" t="inlineStr">
        <is>
          <t>2</t>
        </is>
      </c>
      <c r="I2069" s="5" t="inlineStr">
        <is>
          <t>Remote</t>
        </is>
      </c>
      <c r="J2069" s="5" t="inlineStr">
        <is>
          <t>Full-Time</t>
        </is>
      </c>
      <c r="K2069" s="7" t="n">
        <v>44603</v>
      </c>
      <c r="L2069" s="7" t="n">
        <v>44674</v>
      </c>
      <c r="M2069" s="5" t="inlineStr">
        <is>
          <t>No</t>
        </is>
      </c>
      <c r="N2069" s="5" t="inlineStr">
        <is>
          <t>Resigned</t>
        </is>
      </c>
      <c r="O2069" s="8" t="inlineStr">
        <is>
          <t>81500</t>
        </is>
      </c>
      <c r="P2069" s="5" t="inlineStr">
        <is>
          <t>0</t>
        </is>
      </c>
      <c r="Q2069" s="5" t="inlineStr">
        <is>
          <t>4</t>
        </is>
      </c>
      <c r="R2069" s="5" t="inlineStr">
        <is>
          <t>5</t>
        </is>
      </c>
      <c r="S2069" s="5" t="inlineStr">
        <is>
          <t>2</t>
        </is>
      </c>
      <c r="T2069" s="5" t="inlineStr">
        <is>
          <t>13</t>
        </is>
      </c>
      <c r="U2069" s="5">
        <f>IFS(C2069&lt;30,"Under 30",C2069&lt;40,"30-39",C2069&lt;50,"40-49",TRUE,"50+")</f>
        <v/>
      </c>
      <c r="V2069" s="5">
        <f>IFS(O2069&lt;60000,"Low (&lt;60k)",O2069&lt;100000,"Mid (60-100k)",TRUE,"High (100k+)")</f>
        <v/>
      </c>
      <c r="W2069" s="5">
        <f>IF(M2069="No","Attrited","Active")</f>
        <v/>
      </c>
    </row>
    <row r="2070">
      <c r="A2070" s="5" t="inlineStr">
        <is>
          <t>E02069</t>
        </is>
      </c>
      <c r="B2070" s="5" t="inlineStr">
        <is>
          <t>Female</t>
        </is>
      </c>
      <c r="C2070" s="6" t="inlineStr">
        <is>
          <t>34</t>
        </is>
      </c>
      <c r="D2070" s="5" t="inlineStr">
        <is>
          <t>Married</t>
        </is>
      </c>
      <c r="E2070" s="5" t="inlineStr">
        <is>
          <t>Bachelor</t>
        </is>
      </c>
      <c r="F2070" s="5" t="inlineStr">
        <is>
          <t>Research &amp; Development</t>
        </is>
      </c>
      <c r="G2070" s="5" t="inlineStr">
        <is>
          <t>Research Scientist</t>
        </is>
      </c>
      <c r="H2070" s="5" t="inlineStr">
        <is>
          <t>1</t>
        </is>
      </c>
      <c r="I2070" s="5" t="inlineStr">
        <is>
          <t>Mumbai</t>
        </is>
      </c>
      <c r="J2070" s="5" t="inlineStr">
        <is>
          <t>Full-Time</t>
        </is>
      </c>
      <c r="K2070" s="7" t="n">
        <v>45390</v>
      </c>
      <c r="L2070" s="7" t="inlineStr"/>
      <c r="M2070" s="5" t="inlineStr">
        <is>
          <t>Yes</t>
        </is>
      </c>
      <c r="N2070" s="5" t="inlineStr"/>
      <c r="O2070" s="8" t="inlineStr">
        <is>
          <t>117000</t>
        </is>
      </c>
      <c r="P2070" s="5" t="inlineStr">
        <is>
          <t>0</t>
        </is>
      </c>
      <c r="Q2070" s="5" t="inlineStr">
        <is>
          <t>3</t>
        </is>
      </c>
      <c r="R2070" s="5" t="inlineStr">
        <is>
          <t>2</t>
        </is>
      </c>
      <c r="S2070" s="5" t="inlineStr">
        <is>
          <t>21</t>
        </is>
      </c>
      <c r="T2070" s="5" t="inlineStr">
        <is>
          <t>2</t>
        </is>
      </c>
      <c r="U2070" s="5">
        <f>IFS(C2070&lt;30,"Under 30",C2070&lt;40,"30-39",C2070&lt;50,"40-49",TRUE,"50+")</f>
        <v/>
      </c>
      <c r="V2070" s="5">
        <f>IFS(O2070&lt;60000,"Low (&lt;60k)",O2070&lt;100000,"Mid (60-100k)",TRUE,"High (100k+)")</f>
        <v/>
      </c>
      <c r="W2070" s="5">
        <f>IF(M2070="No","Attrited","Active")</f>
        <v/>
      </c>
    </row>
    <row r="2071">
      <c r="A2071" s="5" t="inlineStr">
        <is>
          <t>E02070</t>
        </is>
      </c>
      <c r="B2071" s="5" t="inlineStr">
        <is>
          <t>Male</t>
        </is>
      </c>
      <c r="C2071" s="6" t="inlineStr">
        <is>
          <t>23</t>
        </is>
      </c>
      <c r="D2071" s="5" t="inlineStr">
        <is>
          <t>Single</t>
        </is>
      </c>
      <c r="E2071" s="5" t="inlineStr">
        <is>
          <t>Bachelor</t>
        </is>
      </c>
      <c r="F2071" s="5" t="inlineStr">
        <is>
          <t>Operations</t>
        </is>
      </c>
      <c r="G2071" s="5" t="inlineStr">
        <is>
          <t>Logistics Coordinator</t>
        </is>
      </c>
      <c r="H2071" s="5" t="inlineStr">
        <is>
          <t>1</t>
        </is>
      </c>
      <c r="I2071" s="5" t="inlineStr">
        <is>
          <t>Hyderabad</t>
        </is>
      </c>
      <c r="J2071" s="5" t="inlineStr">
        <is>
          <t>Full-Time</t>
        </is>
      </c>
      <c r="K2071" s="7" t="n">
        <v>44104</v>
      </c>
      <c r="L2071" s="7" t="n">
        <v>44173</v>
      </c>
      <c r="M2071" s="5" t="inlineStr">
        <is>
          <t>No</t>
        </is>
      </c>
      <c r="N2071" s="5" t="inlineStr">
        <is>
          <t>Retirement</t>
        </is>
      </c>
      <c r="O2071" s="8" t="inlineStr">
        <is>
          <t>61000</t>
        </is>
      </c>
      <c r="P2071" s="5" t="inlineStr">
        <is>
          <t>5</t>
        </is>
      </c>
      <c r="Q2071" s="5" t="inlineStr">
        <is>
          <t>3</t>
        </is>
      </c>
      <c r="R2071" s="5" t="inlineStr">
        <is>
          <t>7</t>
        </is>
      </c>
      <c r="S2071" s="5" t="inlineStr">
        <is>
          <t>2</t>
        </is>
      </c>
      <c r="T2071" s="5" t="inlineStr">
        <is>
          <t>8</t>
        </is>
      </c>
      <c r="U2071" s="5">
        <f>IFS(C2071&lt;30,"Under 30",C2071&lt;40,"30-39",C2071&lt;50,"40-49",TRUE,"50+")</f>
        <v/>
      </c>
      <c r="V2071" s="5">
        <f>IFS(O2071&lt;60000,"Low (&lt;60k)",O2071&lt;100000,"Mid (60-100k)",TRUE,"High (100k+)")</f>
        <v/>
      </c>
      <c r="W2071" s="5">
        <f>IF(M2071="No","Attrited","Active")</f>
        <v/>
      </c>
    </row>
    <row r="2072">
      <c r="A2072" s="5" t="inlineStr">
        <is>
          <t>E02071</t>
        </is>
      </c>
      <c r="B2072" s="5" t="inlineStr">
        <is>
          <t>Female</t>
        </is>
      </c>
      <c r="C2072" s="6" t="inlineStr">
        <is>
          <t>33</t>
        </is>
      </c>
      <c r="D2072" s="5" t="inlineStr">
        <is>
          <t>Married</t>
        </is>
      </c>
      <c r="E2072" s="5" t="inlineStr">
        <is>
          <t>PhD</t>
        </is>
      </c>
      <c r="F2072" s="5" t="inlineStr">
        <is>
          <t>Marketing</t>
        </is>
      </c>
      <c r="G2072" s="5" t="inlineStr">
        <is>
          <t>Marketing Analyst</t>
        </is>
      </c>
      <c r="H2072" s="5" t="inlineStr">
        <is>
          <t>3</t>
        </is>
      </c>
      <c r="I2072" s="5" t="inlineStr">
        <is>
          <t>Bengaluru</t>
        </is>
      </c>
      <c r="J2072" s="5" t="inlineStr">
        <is>
          <t>Full-Time</t>
        </is>
      </c>
      <c r="K2072" s="7" t="n">
        <v>44194</v>
      </c>
      <c r="L2072" s="7" t="inlineStr"/>
      <c r="M2072" s="5" t="inlineStr">
        <is>
          <t>Yes</t>
        </is>
      </c>
      <c r="N2072" s="5" t="inlineStr"/>
      <c r="O2072" s="8" t="inlineStr">
        <is>
          <t>69500</t>
        </is>
      </c>
      <c r="P2072" s="5" t="inlineStr">
        <is>
          <t>0</t>
        </is>
      </c>
      <c r="Q2072" s="5" t="inlineStr">
        <is>
          <t>4</t>
        </is>
      </c>
      <c r="R2072" s="5" t="inlineStr">
        <is>
          <t>5</t>
        </is>
      </c>
      <c r="S2072" s="5" t="inlineStr">
        <is>
          <t>60</t>
        </is>
      </c>
      <c r="T2072" s="5" t="inlineStr">
        <is>
          <t>0</t>
        </is>
      </c>
      <c r="U2072" s="5">
        <f>IFS(C2072&lt;30,"Under 30",C2072&lt;40,"30-39",C2072&lt;50,"40-49",TRUE,"50+")</f>
        <v/>
      </c>
      <c r="V2072" s="5">
        <f>IFS(O2072&lt;60000,"Low (&lt;60k)",O2072&lt;100000,"Mid (60-100k)",TRUE,"High (100k+)")</f>
        <v/>
      </c>
      <c r="W2072" s="5">
        <f>IF(M2072="No","Attrited","Active")</f>
        <v/>
      </c>
    </row>
    <row r="2073">
      <c r="A2073" s="5" t="inlineStr">
        <is>
          <t>E02072</t>
        </is>
      </c>
      <c r="B2073" s="5" t="inlineStr">
        <is>
          <t>Female</t>
        </is>
      </c>
      <c r="C2073" s="6" t="inlineStr">
        <is>
          <t>28</t>
        </is>
      </c>
      <c r="D2073" s="5" t="inlineStr">
        <is>
          <t>Married</t>
        </is>
      </c>
      <c r="E2073" s="5" t="inlineStr">
        <is>
          <t>PhD</t>
        </is>
      </c>
      <c r="F2073" s="5" t="inlineStr">
        <is>
          <t>Human Resources</t>
        </is>
      </c>
      <c r="G2073" s="5" t="inlineStr">
        <is>
          <t>Recruiter</t>
        </is>
      </c>
      <c r="H2073" s="5" t="inlineStr">
        <is>
          <t>1</t>
        </is>
      </c>
      <c r="I2073" s="5" t="inlineStr">
        <is>
          <t>Delhi</t>
        </is>
      </c>
      <c r="J2073" s="5" t="inlineStr">
        <is>
          <t>Contract</t>
        </is>
      </c>
      <c r="K2073" s="7" t="n">
        <v>46011</v>
      </c>
      <c r="L2073" s="7" t="n">
        <v>46021</v>
      </c>
      <c r="M2073" s="5" t="inlineStr">
        <is>
          <t>No</t>
        </is>
      </c>
      <c r="N2073" s="5" t="inlineStr">
        <is>
          <t>Resigned</t>
        </is>
      </c>
      <c r="O2073" s="8" t="inlineStr">
        <is>
          <t>89000</t>
        </is>
      </c>
      <c r="P2073" s="5" t="inlineStr">
        <is>
          <t>10</t>
        </is>
      </c>
      <c r="Q2073" s="5" t="inlineStr">
        <is>
          <t>3</t>
        </is>
      </c>
      <c r="R2073" s="5" t="inlineStr">
        <is>
          <t>6</t>
        </is>
      </c>
      <c r="S2073" s="5" t="inlineStr">
        <is>
          <t>1</t>
        </is>
      </c>
      <c r="T2073" s="5" t="inlineStr">
        <is>
          <t>6</t>
        </is>
      </c>
      <c r="U2073" s="5">
        <f>IFS(C2073&lt;30,"Under 30",C2073&lt;40,"30-39",C2073&lt;50,"40-49",TRUE,"50+")</f>
        <v/>
      </c>
      <c r="V2073" s="5">
        <f>IFS(O2073&lt;60000,"Low (&lt;60k)",O2073&lt;100000,"Mid (60-100k)",TRUE,"High (100k+)")</f>
        <v/>
      </c>
      <c r="W2073" s="5">
        <f>IF(M2073="No","Attrited","Active")</f>
        <v/>
      </c>
    </row>
    <row r="2074">
      <c r="A2074" s="5" t="inlineStr">
        <is>
          <t>E02073</t>
        </is>
      </c>
      <c r="B2074" s="5" t="inlineStr">
        <is>
          <t>Male</t>
        </is>
      </c>
      <c r="C2074" s="6" t="inlineStr">
        <is>
          <t>25</t>
        </is>
      </c>
      <c r="D2074" s="5" t="inlineStr">
        <is>
          <t>Married</t>
        </is>
      </c>
      <c r="E2074" s="5" t="inlineStr">
        <is>
          <t>Master</t>
        </is>
      </c>
      <c r="F2074" s="5" t="inlineStr">
        <is>
          <t>Human Resources</t>
        </is>
      </c>
      <c r="G2074" s="5" t="inlineStr">
        <is>
          <t>HR Analyst</t>
        </is>
      </c>
      <c r="H2074" s="5" t="inlineStr">
        <is>
          <t>1</t>
        </is>
      </c>
      <c r="I2074" s="5" t="inlineStr">
        <is>
          <t>Delhi</t>
        </is>
      </c>
      <c r="J2074" s="5" t="inlineStr">
        <is>
          <t>Full-Time</t>
        </is>
      </c>
      <c r="K2074" s="7" t="n">
        <v>45747</v>
      </c>
      <c r="L2074" s="7" t="n">
        <v>45789</v>
      </c>
      <c r="M2074" s="5" t="inlineStr">
        <is>
          <t>No</t>
        </is>
      </c>
      <c r="N2074" s="5" t="inlineStr">
        <is>
          <t>Resigned</t>
        </is>
      </c>
      <c r="O2074" s="8" t="inlineStr">
        <is>
          <t>70000</t>
        </is>
      </c>
      <c r="P2074" s="5" t="inlineStr">
        <is>
          <t>0</t>
        </is>
      </c>
      <c r="Q2074" s="5" t="inlineStr">
        <is>
          <t>3</t>
        </is>
      </c>
      <c r="R2074" s="5" t="inlineStr">
        <is>
          <t>5</t>
        </is>
      </c>
      <c r="S2074" s="5" t="inlineStr">
        <is>
          <t>1</t>
        </is>
      </c>
      <c r="T2074" s="5" t="inlineStr">
        <is>
          <t>7</t>
        </is>
      </c>
      <c r="U2074" s="5">
        <f>IFS(C2074&lt;30,"Under 30",C2074&lt;40,"30-39",C2074&lt;50,"40-49",TRUE,"50+")</f>
        <v/>
      </c>
      <c r="V2074" s="5">
        <f>IFS(O2074&lt;60000,"Low (&lt;60k)",O2074&lt;100000,"Mid (60-100k)",TRUE,"High (100k+)")</f>
        <v/>
      </c>
      <c r="W2074" s="5">
        <f>IF(M2074="No","Attrited","Active")</f>
        <v/>
      </c>
    </row>
    <row r="2075">
      <c r="A2075" s="5" t="inlineStr">
        <is>
          <t>E02074</t>
        </is>
      </c>
      <c r="B2075" s="5" t="inlineStr">
        <is>
          <t>Male</t>
        </is>
      </c>
      <c r="C2075" s="6" t="inlineStr">
        <is>
          <t>39</t>
        </is>
      </c>
      <c r="D2075" s="5" t="inlineStr">
        <is>
          <t>Married</t>
        </is>
      </c>
      <c r="E2075" s="5" t="inlineStr">
        <is>
          <t>PhD</t>
        </is>
      </c>
      <c r="F2075" s="5" t="inlineStr">
        <is>
          <t>Operations</t>
        </is>
      </c>
      <c r="G2075" s="5" t="inlineStr">
        <is>
          <t>Quality Analyst</t>
        </is>
      </c>
      <c r="H2075" s="5" t="inlineStr">
        <is>
          <t>4</t>
        </is>
      </c>
      <c r="I2075" s="5" t="inlineStr">
        <is>
          <t>Bengaluru</t>
        </is>
      </c>
      <c r="J2075" s="5" t="inlineStr">
        <is>
          <t>Full-Time</t>
        </is>
      </c>
      <c r="K2075" s="7" t="n">
        <v>45785</v>
      </c>
      <c r="L2075" s="7" t="n">
        <v>45917</v>
      </c>
      <c r="M2075" s="5" t="inlineStr">
        <is>
          <t>No</t>
        </is>
      </c>
      <c r="N2075" s="5" t="inlineStr">
        <is>
          <t>Resigned</t>
        </is>
      </c>
      <c r="O2075" s="8" t="inlineStr">
        <is>
          <t>125000</t>
        </is>
      </c>
      <c r="P2075" s="5" t="inlineStr">
        <is>
          <t>0</t>
        </is>
      </c>
      <c r="Q2075" s="5" t="inlineStr">
        <is>
          <t>4</t>
        </is>
      </c>
      <c r="R2075" s="5" t="inlineStr">
        <is>
          <t>3</t>
        </is>
      </c>
      <c r="S2075" s="5" t="inlineStr">
        <is>
          <t>4</t>
        </is>
      </c>
      <c r="T2075" s="5" t="inlineStr">
        <is>
          <t>8</t>
        </is>
      </c>
      <c r="U2075" s="5">
        <f>IFS(C2075&lt;30,"Under 30",C2075&lt;40,"30-39",C2075&lt;50,"40-49",TRUE,"50+")</f>
        <v/>
      </c>
      <c r="V2075" s="5">
        <f>IFS(O2075&lt;60000,"Low (&lt;60k)",O2075&lt;100000,"Mid (60-100k)",TRUE,"High (100k+)")</f>
        <v/>
      </c>
      <c r="W2075" s="5">
        <f>IF(M2075="No","Attrited","Active")</f>
        <v/>
      </c>
    </row>
    <row r="2076">
      <c r="A2076" s="5" t="inlineStr">
        <is>
          <t>E02075</t>
        </is>
      </c>
      <c r="B2076" s="5" t="inlineStr">
        <is>
          <t>Female</t>
        </is>
      </c>
      <c r="C2076" s="6" t="inlineStr">
        <is>
          <t>30</t>
        </is>
      </c>
      <c r="D2076" s="5" t="inlineStr">
        <is>
          <t>Married</t>
        </is>
      </c>
      <c r="E2076" s="5" t="inlineStr">
        <is>
          <t>PhD</t>
        </is>
      </c>
      <c r="F2076" s="5" t="inlineStr">
        <is>
          <t>Sales</t>
        </is>
      </c>
      <c r="G2076" s="5" t="inlineStr">
        <is>
          <t>Business Development</t>
        </is>
      </c>
      <c r="H2076" s="5" t="inlineStr">
        <is>
          <t>1</t>
        </is>
      </c>
      <c r="I2076" s="5" t="inlineStr">
        <is>
          <t>Remote</t>
        </is>
      </c>
      <c r="J2076" s="5" t="inlineStr">
        <is>
          <t>Full-Time</t>
        </is>
      </c>
      <c r="K2076" s="7" t="n">
        <v>44162</v>
      </c>
      <c r="L2076" s="7" t="n">
        <v>44209</v>
      </c>
      <c r="M2076" s="5" t="inlineStr">
        <is>
          <t>No</t>
        </is>
      </c>
      <c r="N2076" s="5" t="inlineStr">
        <is>
          <t>Performance / Termination</t>
        </is>
      </c>
      <c r="O2076" s="8" t="inlineStr">
        <is>
          <t>100500</t>
        </is>
      </c>
      <c r="P2076" s="5" t="inlineStr">
        <is>
          <t>5</t>
        </is>
      </c>
      <c r="Q2076" s="5" t="inlineStr">
        <is>
          <t>4</t>
        </is>
      </c>
      <c r="R2076" s="5" t="inlineStr">
        <is>
          <t>6</t>
        </is>
      </c>
      <c r="S2076" s="5" t="inlineStr">
        <is>
          <t>1</t>
        </is>
      </c>
      <c r="T2076" s="5" t="inlineStr">
        <is>
          <t>1</t>
        </is>
      </c>
      <c r="U2076" s="5">
        <f>IFS(C2076&lt;30,"Under 30",C2076&lt;40,"30-39",C2076&lt;50,"40-49",TRUE,"50+")</f>
        <v/>
      </c>
      <c r="V2076" s="5">
        <f>IFS(O2076&lt;60000,"Low (&lt;60k)",O2076&lt;100000,"Mid (60-100k)",TRUE,"High (100k+)")</f>
        <v/>
      </c>
      <c r="W2076" s="5">
        <f>IF(M2076="No","Attrited","Active")</f>
        <v/>
      </c>
    </row>
    <row r="2077">
      <c r="A2077" s="5" t="inlineStr">
        <is>
          <t>E02076</t>
        </is>
      </c>
      <c r="B2077" s="5" t="inlineStr">
        <is>
          <t>Male</t>
        </is>
      </c>
      <c r="C2077" s="6" t="inlineStr">
        <is>
          <t>33</t>
        </is>
      </c>
      <c r="D2077" s="5" t="inlineStr">
        <is>
          <t>Married</t>
        </is>
      </c>
      <c r="E2077" s="5" t="inlineStr">
        <is>
          <t>Master</t>
        </is>
      </c>
      <c r="F2077" s="5" t="inlineStr">
        <is>
          <t>Customer Support</t>
        </is>
      </c>
      <c r="G2077" s="5" t="inlineStr">
        <is>
          <t>Support Agent</t>
        </is>
      </c>
      <c r="H2077" s="5" t="inlineStr">
        <is>
          <t>3</t>
        </is>
      </c>
      <c r="I2077" s="5" t="inlineStr">
        <is>
          <t>Delhi</t>
        </is>
      </c>
      <c r="J2077" s="5" t="inlineStr">
        <is>
          <t>Part-Time</t>
        </is>
      </c>
      <c r="K2077" s="7" t="n">
        <v>44487</v>
      </c>
      <c r="L2077" s="7" t="inlineStr"/>
      <c r="M2077" s="5" t="inlineStr">
        <is>
          <t>Yes</t>
        </is>
      </c>
      <c r="N2077" s="5" t="inlineStr"/>
      <c r="O2077" s="8" t="inlineStr">
        <is>
          <t>85000</t>
        </is>
      </c>
      <c r="P2077" s="5" t="inlineStr">
        <is>
          <t>0</t>
        </is>
      </c>
      <c r="Q2077" s="5" t="inlineStr">
        <is>
          <t>3</t>
        </is>
      </c>
      <c r="R2077" s="5" t="inlineStr">
        <is>
          <t>6</t>
        </is>
      </c>
      <c r="S2077" s="5" t="inlineStr">
        <is>
          <t>51</t>
        </is>
      </c>
      <c r="T2077" s="5" t="inlineStr">
        <is>
          <t>15</t>
        </is>
      </c>
      <c r="U2077" s="5">
        <f>IFS(C2077&lt;30,"Under 30",C2077&lt;40,"30-39",C2077&lt;50,"40-49",TRUE,"50+")</f>
        <v/>
      </c>
      <c r="V2077" s="5">
        <f>IFS(O2077&lt;60000,"Low (&lt;60k)",O2077&lt;100000,"Mid (60-100k)",TRUE,"High (100k+)")</f>
        <v/>
      </c>
      <c r="W2077" s="5">
        <f>IF(M2077="No","Attrited","Active")</f>
        <v/>
      </c>
    </row>
    <row r="2078">
      <c r="A2078" s="5" t="inlineStr">
        <is>
          <t>E02077</t>
        </is>
      </c>
      <c r="B2078" s="5" t="inlineStr">
        <is>
          <t>Female</t>
        </is>
      </c>
      <c r="C2078" s="6" t="inlineStr">
        <is>
          <t>38</t>
        </is>
      </c>
      <c r="D2078" s="5" t="inlineStr">
        <is>
          <t>Married</t>
        </is>
      </c>
      <c r="E2078" s="5" t="inlineStr">
        <is>
          <t>PhD</t>
        </is>
      </c>
      <c r="F2078" s="5" t="inlineStr">
        <is>
          <t>Sales</t>
        </is>
      </c>
      <c r="G2078" s="5" t="inlineStr">
        <is>
          <t>Sales Executive</t>
        </is>
      </c>
      <c r="H2078" s="5" t="inlineStr">
        <is>
          <t>4</t>
        </is>
      </c>
      <c r="I2078" s="5" t="inlineStr">
        <is>
          <t>Mumbai</t>
        </is>
      </c>
      <c r="J2078" s="5" t="inlineStr">
        <is>
          <t>Full-Time</t>
        </is>
      </c>
      <c r="K2078" s="7" t="n">
        <v>45534</v>
      </c>
      <c r="L2078" s="7" t="inlineStr"/>
      <c r="M2078" s="5" t="inlineStr">
        <is>
          <t>Yes</t>
        </is>
      </c>
      <c r="N2078" s="5" t="inlineStr"/>
      <c r="O2078" s="8" t="inlineStr">
        <is>
          <t>87000</t>
        </is>
      </c>
      <c r="P2078" s="5" t="inlineStr">
        <is>
          <t>0</t>
        </is>
      </c>
      <c r="Q2078" s="5" t="inlineStr">
        <is>
          <t>3</t>
        </is>
      </c>
      <c r="R2078" s="5" t="inlineStr">
        <is>
          <t>7</t>
        </is>
      </c>
      <c r="S2078" s="5" t="inlineStr">
        <is>
          <t>16</t>
        </is>
      </c>
      <c r="T2078" s="5" t="inlineStr">
        <is>
          <t>0</t>
        </is>
      </c>
      <c r="U2078" s="5">
        <f>IFS(C2078&lt;30,"Under 30",C2078&lt;40,"30-39",C2078&lt;50,"40-49",TRUE,"50+")</f>
        <v/>
      </c>
      <c r="V2078" s="5">
        <f>IFS(O2078&lt;60000,"Low (&lt;60k)",O2078&lt;100000,"Mid (60-100k)",TRUE,"High (100k+)")</f>
        <v/>
      </c>
      <c r="W2078" s="5">
        <f>IF(M2078="No","Attrited","Active")</f>
        <v/>
      </c>
    </row>
    <row r="2079">
      <c r="A2079" s="5" t="inlineStr">
        <is>
          <t>E02078</t>
        </is>
      </c>
      <c r="B2079" s="5" t="inlineStr">
        <is>
          <t>Male</t>
        </is>
      </c>
      <c r="C2079" s="6" t="inlineStr">
        <is>
          <t>30</t>
        </is>
      </c>
      <c r="D2079" s="5" t="inlineStr">
        <is>
          <t>Married</t>
        </is>
      </c>
      <c r="E2079" s="5" t="inlineStr">
        <is>
          <t>PhD</t>
        </is>
      </c>
      <c r="F2079" s="5" t="inlineStr">
        <is>
          <t>Operations</t>
        </is>
      </c>
      <c r="G2079" s="5" t="inlineStr">
        <is>
          <t>Logistics Coordinator</t>
        </is>
      </c>
      <c r="H2079" s="5" t="inlineStr">
        <is>
          <t>1</t>
        </is>
      </c>
      <c r="I2079" s="5" t="inlineStr">
        <is>
          <t>Delhi</t>
        </is>
      </c>
      <c r="J2079" s="5" t="inlineStr">
        <is>
          <t>Full-Time</t>
        </is>
      </c>
      <c r="K2079" s="7" t="n">
        <v>43932</v>
      </c>
      <c r="L2079" s="7" t="inlineStr"/>
      <c r="M2079" s="5" t="inlineStr">
        <is>
          <t>Yes</t>
        </is>
      </c>
      <c r="N2079" s="5" t="inlineStr"/>
      <c r="O2079" s="8" t="inlineStr">
        <is>
          <t>57500</t>
        </is>
      </c>
      <c r="P2079" s="5" t="inlineStr">
        <is>
          <t>5</t>
        </is>
      </c>
      <c r="Q2079" s="5" t="inlineStr">
        <is>
          <t>1</t>
        </is>
      </c>
      <c r="R2079" s="5" t="inlineStr">
        <is>
          <t>6</t>
        </is>
      </c>
      <c r="S2079" s="5" t="inlineStr">
        <is>
          <t>69</t>
        </is>
      </c>
      <c r="T2079" s="5" t="inlineStr">
        <is>
          <t>0</t>
        </is>
      </c>
      <c r="U2079" s="5">
        <f>IFS(C2079&lt;30,"Under 30",C2079&lt;40,"30-39",C2079&lt;50,"40-49",TRUE,"50+")</f>
        <v/>
      </c>
      <c r="V2079" s="5">
        <f>IFS(O2079&lt;60000,"Low (&lt;60k)",O2079&lt;100000,"Mid (60-100k)",TRUE,"High (100k+)")</f>
        <v/>
      </c>
      <c r="W2079" s="5">
        <f>IF(M2079="No","Attrited","Active")</f>
        <v/>
      </c>
    </row>
    <row r="2080">
      <c r="A2080" s="5" t="inlineStr">
        <is>
          <t>E02079</t>
        </is>
      </c>
      <c r="B2080" s="5" t="inlineStr">
        <is>
          <t>Male</t>
        </is>
      </c>
      <c r="C2080" s="6" t="inlineStr">
        <is>
          <t>33</t>
        </is>
      </c>
      <c r="D2080" s="5" t="inlineStr">
        <is>
          <t>Married</t>
        </is>
      </c>
      <c r="E2080" s="5" t="inlineStr">
        <is>
          <t>High School</t>
        </is>
      </c>
      <c r="F2080" s="5" t="inlineStr">
        <is>
          <t>Operations</t>
        </is>
      </c>
      <c r="G2080" s="5" t="inlineStr">
        <is>
          <t>Operations Analyst</t>
        </is>
      </c>
      <c r="H2080" s="5" t="inlineStr">
        <is>
          <t>3</t>
        </is>
      </c>
      <c r="I2080" s="5" t="inlineStr">
        <is>
          <t>Bengaluru</t>
        </is>
      </c>
      <c r="J2080" s="5" t="inlineStr">
        <is>
          <t>Full-Time</t>
        </is>
      </c>
      <c r="K2080" s="7" t="n">
        <v>45333</v>
      </c>
      <c r="L2080" s="7" t="inlineStr"/>
      <c r="M2080" s="5" t="inlineStr">
        <is>
          <t>Yes</t>
        </is>
      </c>
      <c r="N2080" s="5" t="inlineStr"/>
      <c r="O2080" s="8" t="inlineStr">
        <is>
          <t>101500</t>
        </is>
      </c>
      <c r="P2080" s="5" t="inlineStr">
        <is>
          <t>10</t>
        </is>
      </c>
      <c r="Q2080" s="5" t="inlineStr">
        <is>
          <t>5</t>
        </is>
      </c>
      <c r="R2080" s="5" t="inlineStr">
        <is>
          <t>5</t>
        </is>
      </c>
      <c r="S2080" s="5" t="inlineStr">
        <is>
          <t>22</t>
        </is>
      </c>
      <c r="T2080" s="5" t="inlineStr">
        <is>
          <t>6</t>
        </is>
      </c>
      <c r="U2080" s="5">
        <f>IFS(C2080&lt;30,"Under 30",C2080&lt;40,"30-39",C2080&lt;50,"40-49",TRUE,"50+")</f>
        <v/>
      </c>
      <c r="V2080" s="5">
        <f>IFS(O2080&lt;60000,"Low (&lt;60k)",O2080&lt;100000,"Mid (60-100k)",TRUE,"High (100k+)")</f>
        <v/>
      </c>
      <c r="W2080" s="5">
        <f>IF(M2080="No","Attrited","Active")</f>
        <v/>
      </c>
    </row>
    <row r="2081">
      <c r="A2081" s="5" t="inlineStr">
        <is>
          <t>E02080</t>
        </is>
      </c>
      <c r="B2081" s="5" t="inlineStr">
        <is>
          <t>Male</t>
        </is>
      </c>
      <c r="C2081" s="6" t="inlineStr">
        <is>
          <t>29</t>
        </is>
      </c>
      <c r="D2081" s="5" t="inlineStr">
        <is>
          <t>Married</t>
        </is>
      </c>
      <c r="E2081" s="5" t="inlineStr">
        <is>
          <t>PhD</t>
        </is>
      </c>
      <c r="F2081" s="5" t="inlineStr">
        <is>
          <t>IT</t>
        </is>
      </c>
      <c r="G2081" s="5" t="inlineStr">
        <is>
          <t>DevOps Engineer</t>
        </is>
      </c>
      <c r="H2081" s="5" t="inlineStr">
        <is>
          <t>1</t>
        </is>
      </c>
      <c r="I2081" s="5" t="inlineStr">
        <is>
          <t>Mumbai</t>
        </is>
      </c>
      <c r="J2081" s="5" t="inlineStr">
        <is>
          <t>Full-Time</t>
        </is>
      </c>
      <c r="K2081" s="7" t="n">
        <v>45997</v>
      </c>
      <c r="L2081" s="7" t="inlineStr"/>
      <c r="M2081" s="5" t="inlineStr">
        <is>
          <t>Yes</t>
        </is>
      </c>
      <c r="N2081" s="5" t="inlineStr"/>
      <c r="O2081" s="8" t="inlineStr">
        <is>
          <t>114000</t>
        </is>
      </c>
      <c r="P2081" s="5" t="inlineStr">
        <is>
          <t>0</t>
        </is>
      </c>
      <c r="Q2081" s="5" t="inlineStr">
        <is>
          <t>3</t>
        </is>
      </c>
      <c r="R2081" s="5" t="inlineStr">
        <is>
          <t>3</t>
        </is>
      </c>
      <c r="S2081" s="5" t="inlineStr">
        <is>
          <t>1</t>
        </is>
      </c>
      <c r="T2081" s="5" t="inlineStr">
        <is>
          <t>4</t>
        </is>
      </c>
      <c r="U2081" s="5">
        <f>IFS(C2081&lt;30,"Under 30",C2081&lt;40,"30-39",C2081&lt;50,"40-49",TRUE,"50+")</f>
        <v/>
      </c>
      <c r="V2081" s="5">
        <f>IFS(O2081&lt;60000,"Low (&lt;60k)",O2081&lt;100000,"Mid (60-100k)",TRUE,"High (100k+)")</f>
        <v/>
      </c>
      <c r="W2081" s="5">
        <f>IF(M2081="No","Attrited","Active")</f>
        <v/>
      </c>
    </row>
    <row r="2082">
      <c r="A2082" s="5" t="inlineStr">
        <is>
          <t>E02081</t>
        </is>
      </c>
      <c r="B2082" s="5" t="inlineStr">
        <is>
          <t>Male</t>
        </is>
      </c>
      <c r="C2082" s="6" t="inlineStr">
        <is>
          <t>42</t>
        </is>
      </c>
      <c r="D2082" s="5" t="inlineStr">
        <is>
          <t>Single</t>
        </is>
      </c>
      <c r="E2082" s="5" t="inlineStr">
        <is>
          <t>PhD</t>
        </is>
      </c>
      <c r="F2082" s="5" t="inlineStr">
        <is>
          <t>Finance</t>
        </is>
      </c>
      <c r="G2082" s="5" t="inlineStr">
        <is>
          <t>Accountant</t>
        </is>
      </c>
      <c r="H2082" s="5" t="inlineStr">
        <is>
          <t>5</t>
        </is>
      </c>
      <c r="I2082" s="5" t="inlineStr">
        <is>
          <t>Chennai</t>
        </is>
      </c>
      <c r="J2082" s="5" t="inlineStr">
        <is>
          <t>Full-Time</t>
        </is>
      </c>
      <c r="K2082" s="7" t="n">
        <v>44767</v>
      </c>
      <c r="L2082" s="7" t="inlineStr"/>
      <c r="M2082" s="5" t="inlineStr">
        <is>
          <t>Yes</t>
        </is>
      </c>
      <c r="N2082" s="5" t="inlineStr"/>
      <c r="O2082" s="8" t="inlineStr">
        <is>
          <t>178000</t>
        </is>
      </c>
      <c r="P2082" s="5" t="inlineStr">
        <is>
          <t>10</t>
        </is>
      </c>
      <c r="Q2082" s="5" t="inlineStr">
        <is>
          <t>2</t>
        </is>
      </c>
      <c r="R2082" s="5" t="inlineStr">
        <is>
          <t>4</t>
        </is>
      </c>
      <c r="S2082" s="5" t="inlineStr">
        <is>
          <t>41</t>
        </is>
      </c>
      <c r="T2082" s="5" t="inlineStr">
        <is>
          <t>0</t>
        </is>
      </c>
      <c r="U2082" s="5">
        <f>IFS(C2082&lt;30,"Under 30",C2082&lt;40,"30-39",C2082&lt;50,"40-49",TRUE,"50+")</f>
        <v/>
      </c>
      <c r="V2082" s="5">
        <f>IFS(O2082&lt;60000,"Low (&lt;60k)",O2082&lt;100000,"Mid (60-100k)",TRUE,"High (100k+)")</f>
        <v/>
      </c>
      <c r="W2082" s="5">
        <f>IF(M2082="No","Attrited","Active")</f>
        <v/>
      </c>
    </row>
    <row r="2083">
      <c r="A2083" s="5" t="inlineStr">
        <is>
          <t>E02082</t>
        </is>
      </c>
      <c r="B2083" s="5" t="inlineStr">
        <is>
          <t>Female</t>
        </is>
      </c>
      <c r="C2083" s="6" t="inlineStr">
        <is>
          <t>39</t>
        </is>
      </c>
      <c r="D2083" s="5" t="inlineStr">
        <is>
          <t>Married</t>
        </is>
      </c>
      <c r="E2083" s="5" t="inlineStr">
        <is>
          <t>Diploma</t>
        </is>
      </c>
      <c r="F2083" s="5" t="inlineStr">
        <is>
          <t>IT</t>
        </is>
      </c>
      <c r="G2083" s="5" t="inlineStr">
        <is>
          <t>Software Engineer</t>
        </is>
      </c>
      <c r="H2083" s="5" t="inlineStr">
        <is>
          <t>7</t>
        </is>
      </c>
      <c r="I2083" s="5" t="inlineStr">
        <is>
          <t>Mumbai</t>
        </is>
      </c>
      <c r="J2083" s="5" t="inlineStr">
        <is>
          <t>Full-Time</t>
        </is>
      </c>
      <c r="K2083" s="7" t="n">
        <v>44887</v>
      </c>
      <c r="L2083" s="7" t="inlineStr"/>
      <c r="M2083" s="5" t="inlineStr">
        <is>
          <t>Yes</t>
        </is>
      </c>
      <c r="N2083" s="5" t="inlineStr"/>
      <c r="O2083" s="8" t="inlineStr">
        <is>
          <t>256000</t>
        </is>
      </c>
      <c r="P2083" s="5" t="inlineStr">
        <is>
          <t>0</t>
        </is>
      </c>
      <c r="Q2083" s="5" t="inlineStr">
        <is>
          <t>5</t>
        </is>
      </c>
      <c r="R2083" s="5" t="inlineStr">
        <is>
          <t>6</t>
        </is>
      </c>
      <c r="S2083" s="5" t="inlineStr">
        <is>
          <t>37</t>
        </is>
      </c>
      <c r="T2083" s="5" t="inlineStr">
        <is>
          <t>8</t>
        </is>
      </c>
      <c r="U2083" s="5">
        <f>IFS(C2083&lt;30,"Under 30",C2083&lt;40,"30-39",C2083&lt;50,"40-49",TRUE,"50+")</f>
        <v/>
      </c>
      <c r="V2083" s="5">
        <f>IFS(O2083&lt;60000,"Low (&lt;60k)",O2083&lt;100000,"Mid (60-100k)",TRUE,"High (100k+)")</f>
        <v/>
      </c>
      <c r="W2083" s="5">
        <f>IF(M2083="No","Attrited","Active")</f>
        <v/>
      </c>
    </row>
    <row r="2084">
      <c r="A2084" s="5" t="inlineStr">
        <is>
          <t>E02083</t>
        </is>
      </c>
      <c r="B2084" s="5" t="inlineStr">
        <is>
          <t>Male</t>
        </is>
      </c>
      <c r="C2084" s="6" t="inlineStr">
        <is>
          <t>38</t>
        </is>
      </c>
      <c r="D2084" s="5" t="inlineStr">
        <is>
          <t>Married</t>
        </is>
      </c>
      <c r="E2084" s="5" t="inlineStr">
        <is>
          <t>Bachelor</t>
        </is>
      </c>
      <c r="F2084" s="5" t="inlineStr">
        <is>
          <t>Operations</t>
        </is>
      </c>
      <c r="G2084" s="5" t="inlineStr">
        <is>
          <t>Operations Analyst</t>
        </is>
      </c>
      <c r="H2084" s="5" t="inlineStr">
        <is>
          <t>6</t>
        </is>
      </c>
      <c r="I2084" s="5" t="inlineStr">
        <is>
          <t>Remote</t>
        </is>
      </c>
      <c r="J2084" s="5" t="inlineStr">
        <is>
          <t>Full-Time</t>
        </is>
      </c>
      <c r="K2084" s="7" t="n">
        <v>43945</v>
      </c>
      <c r="L2084" s="7" t="inlineStr"/>
      <c r="M2084" s="5" t="inlineStr">
        <is>
          <t>Yes</t>
        </is>
      </c>
      <c r="N2084" s="5" t="inlineStr"/>
      <c r="O2084" s="8" t="inlineStr">
        <is>
          <t>143000</t>
        </is>
      </c>
      <c r="P2084" s="5" t="inlineStr">
        <is>
          <t>0</t>
        </is>
      </c>
      <c r="Q2084" s="5" t="inlineStr">
        <is>
          <t>3</t>
        </is>
      </c>
      <c r="R2084" s="5" t="inlineStr">
        <is>
          <t>6</t>
        </is>
      </c>
      <c r="S2084" s="5" t="inlineStr">
        <is>
          <t>69</t>
        </is>
      </c>
      <c r="T2084" s="5" t="inlineStr">
        <is>
          <t>8</t>
        </is>
      </c>
      <c r="U2084" s="5">
        <f>IFS(C2084&lt;30,"Under 30",C2084&lt;40,"30-39",C2084&lt;50,"40-49",TRUE,"50+")</f>
        <v/>
      </c>
      <c r="V2084" s="5">
        <f>IFS(O2084&lt;60000,"Low (&lt;60k)",O2084&lt;100000,"Mid (60-100k)",TRUE,"High (100k+)")</f>
        <v/>
      </c>
      <c r="W2084" s="5">
        <f>IF(M2084="No","Attrited","Active")</f>
        <v/>
      </c>
    </row>
    <row r="2085">
      <c r="A2085" s="5" t="inlineStr">
        <is>
          <t>E02084</t>
        </is>
      </c>
      <c r="B2085" s="5" t="inlineStr">
        <is>
          <t>Male</t>
        </is>
      </c>
      <c r="C2085" s="6" t="inlineStr">
        <is>
          <t>35</t>
        </is>
      </c>
      <c r="D2085" s="5" t="inlineStr">
        <is>
          <t>Married</t>
        </is>
      </c>
      <c r="E2085" s="5" t="inlineStr">
        <is>
          <t>Diploma</t>
        </is>
      </c>
      <c r="F2085" s="5" t="inlineStr">
        <is>
          <t>Operations</t>
        </is>
      </c>
      <c r="G2085" s="5" t="inlineStr">
        <is>
          <t>Logistics Coordinator</t>
        </is>
      </c>
      <c r="H2085" s="5" t="inlineStr">
        <is>
          <t>3</t>
        </is>
      </c>
      <c r="I2085" s="5" t="inlineStr">
        <is>
          <t>Delhi</t>
        </is>
      </c>
      <c r="J2085" s="5" t="inlineStr">
        <is>
          <t>Full-Time</t>
        </is>
      </c>
      <c r="K2085" s="7" t="n">
        <v>45973</v>
      </c>
      <c r="L2085" s="7" t="n">
        <v>45988</v>
      </c>
      <c r="M2085" s="5" t="inlineStr">
        <is>
          <t>No</t>
        </is>
      </c>
      <c r="N2085" s="5" t="inlineStr">
        <is>
          <t>Resigned</t>
        </is>
      </c>
      <c r="O2085" s="8" t="inlineStr">
        <is>
          <t>95000</t>
        </is>
      </c>
      <c r="P2085" s="5" t="inlineStr">
        <is>
          <t>0</t>
        </is>
      </c>
      <c r="Q2085" s="5" t="inlineStr">
        <is>
          <t>3</t>
        </is>
      </c>
      <c r="R2085" s="5" t="inlineStr">
        <is>
          <t>5</t>
        </is>
      </c>
      <c r="S2085" s="5" t="inlineStr">
        <is>
          <t>1</t>
        </is>
      </c>
      <c r="T2085" s="5" t="inlineStr">
        <is>
          <t>6</t>
        </is>
      </c>
      <c r="U2085" s="5">
        <f>IFS(C2085&lt;30,"Under 30",C2085&lt;40,"30-39",C2085&lt;50,"40-49",TRUE,"50+")</f>
        <v/>
      </c>
      <c r="V2085" s="5">
        <f>IFS(O2085&lt;60000,"Low (&lt;60k)",O2085&lt;100000,"Mid (60-100k)",TRUE,"High (100k+)")</f>
        <v/>
      </c>
      <c r="W2085" s="5">
        <f>IF(M2085="No","Attrited","Active")</f>
        <v/>
      </c>
    </row>
    <row r="2086">
      <c r="A2086" s="5" t="inlineStr">
        <is>
          <t>E02085</t>
        </is>
      </c>
      <c r="B2086" s="5" t="inlineStr">
        <is>
          <t>Female</t>
        </is>
      </c>
      <c r="C2086" s="6" t="inlineStr">
        <is>
          <t>27</t>
        </is>
      </c>
      <c r="D2086" s="5" t="inlineStr">
        <is>
          <t>Married</t>
        </is>
      </c>
      <c r="E2086" s="5" t="inlineStr">
        <is>
          <t>Master</t>
        </is>
      </c>
      <c r="F2086" s="5" t="inlineStr">
        <is>
          <t>Operations</t>
        </is>
      </c>
      <c r="G2086" s="5" t="inlineStr">
        <is>
          <t>Operations Analyst</t>
        </is>
      </c>
      <c r="H2086" s="5" t="inlineStr">
        <is>
          <t>3</t>
        </is>
      </c>
      <c r="I2086" s="5" t="inlineStr">
        <is>
          <t>Delhi</t>
        </is>
      </c>
      <c r="J2086" s="5" t="inlineStr">
        <is>
          <t>Full-Time</t>
        </is>
      </c>
      <c r="K2086" s="7" t="n">
        <v>44183</v>
      </c>
      <c r="L2086" s="7" t="inlineStr"/>
      <c r="M2086" s="5" t="inlineStr">
        <is>
          <t>Yes</t>
        </is>
      </c>
      <c r="N2086" s="5" t="inlineStr"/>
      <c r="O2086" s="8" t="inlineStr">
        <is>
          <t>109500</t>
        </is>
      </c>
      <c r="P2086" s="5" t="inlineStr">
        <is>
          <t>0</t>
        </is>
      </c>
      <c r="Q2086" s="5" t="inlineStr">
        <is>
          <t>4</t>
        </is>
      </c>
      <c r="R2086" s="5" t="inlineStr">
        <is>
          <t>4</t>
        </is>
      </c>
      <c r="S2086" s="5" t="inlineStr">
        <is>
          <t>61</t>
        </is>
      </c>
      <c r="T2086" s="5" t="inlineStr">
        <is>
          <t>3</t>
        </is>
      </c>
      <c r="U2086" s="5">
        <f>IFS(C2086&lt;30,"Under 30",C2086&lt;40,"30-39",C2086&lt;50,"40-49",TRUE,"50+")</f>
        <v/>
      </c>
      <c r="V2086" s="5">
        <f>IFS(O2086&lt;60000,"Low (&lt;60k)",O2086&lt;100000,"Mid (60-100k)",TRUE,"High (100k+)")</f>
        <v/>
      </c>
      <c r="W2086" s="5">
        <f>IF(M2086="No","Attrited","Active")</f>
        <v/>
      </c>
    </row>
    <row r="2087">
      <c r="A2087" s="5" t="inlineStr">
        <is>
          <t>E02086</t>
        </is>
      </c>
      <c r="B2087" s="5" t="inlineStr">
        <is>
          <t>Female</t>
        </is>
      </c>
      <c r="C2087" s="6" t="inlineStr">
        <is>
          <t>32</t>
        </is>
      </c>
      <c r="D2087" s="5" t="inlineStr">
        <is>
          <t>Married</t>
        </is>
      </c>
      <c r="E2087" s="5" t="inlineStr">
        <is>
          <t>High School</t>
        </is>
      </c>
      <c r="F2087" s="5" t="inlineStr">
        <is>
          <t>Marketing</t>
        </is>
      </c>
      <c r="G2087" s="5" t="inlineStr">
        <is>
          <t>SEO Specialist</t>
        </is>
      </c>
      <c r="H2087" s="5" t="inlineStr">
        <is>
          <t>3</t>
        </is>
      </c>
      <c r="I2087" s="5" t="inlineStr">
        <is>
          <t>Mumbai</t>
        </is>
      </c>
      <c r="J2087" s="5" t="inlineStr">
        <is>
          <t>Full-Time</t>
        </is>
      </c>
      <c r="K2087" s="7" t="n">
        <v>45577</v>
      </c>
      <c r="L2087" s="7" t="inlineStr"/>
      <c r="M2087" s="5" t="inlineStr">
        <is>
          <t>Yes</t>
        </is>
      </c>
      <c r="N2087" s="5" t="inlineStr"/>
      <c r="O2087" s="8" t="inlineStr">
        <is>
          <t>103000</t>
        </is>
      </c>
      <c r="P2087" s="5" t="inlineStr">
        <is>
          <t>10</t>
        </is>
      </c>
      <c r="Q2087" s="5" t="inlineStr">
        <is>
          <t>3</t>
        </is>
      </c>
      <c r="R2087" s="5" t="inlineStr">
        <is>
          <t>6</t>
        </is>
      </c>
      <c r="S2087" s="5" t="inlineStr">
        <is>
          <t>14</t>
        </is>
      </c>
      <c r="T2087" s="5" t="inlineStr">
        <is>
          <t>8</t>
        </is>
      </c>
      <c r="U2087" s="5">
        <f>IFS(C2087&lt;30,"Under 30",C2087&lt;40,"30-39",C2087&lt;50,"40-49",TRUE,"50+")</f>
        <v/>
      </c>
      <c r="V2087" s="5">
        <f>IFS(O2087&lt;60000,"Low (&lt;60k)",O2087&lt;100000,"Mid (60-100k)",TRUE,"High (100k+)")</f>
        <v/>
      </c>
      <c r="W2087" s="5">
        <f>IF(M2087="No","Attrited","Active")</f>
        <v/>
      </c>
    </row>
    <row r="2088">
      <c r="A2088" s="5" t="inlineStr">
        <is>
          <t>E02087</t>
        </is>
      </c>
      <c r="B2088" s="5" t="inlineStr">
        <is>
          <t>Female</t>
        </is>
      </c>
      <c r="C2088" s="6" t="inlineStr">
        <is>
          <t>46</t>
        </is>
      </c>
      <c r="D2088" s="5" t="inlineStr">
        <is>
          <t>Single</t>
        </is>
      </c>
      <c r="E2088" s="5" t="inlineStr">
        <is>
          <t>High School</t>
        </is>
      </c>
      <c r="F2088" s="5" t="inlineStr">
        <is>
          <t>Finance</t>
        </is>
      </c>
      <c r="G2088" s="5" t="inlineStr">
        <is>
          <t>Financial Analyst</t>
        </is>
      </c>
      <c r="H2088" s="5" t="inlineStr">
        <is>
          <t>7</t>
        </is>
      </c>
      <c r="I2088" s="5" t="inlineStr">
        <is>
          <t>Delhi</t>
        </is>
      </c>
      <c r="J2088" s="5" t="inlineStr">
        <is>
          <t>Full-Time</t>
        </is>
      </c>
      <c r="K2088" s="7" t="n">
        <v>45742</v>
      </c>
      <c r="L2088" s="7" t="inlineStr"/>
      <c r="M2088" s="5" t="inlineStr">
        <is>
          <t>Yes</t>
        </is>
      </c>
      <c r="N2088" s="5" t="inlineStr"/>
      <c r="O2088" s="8" t="inlineStr">
        <is>
          <t>215000</t>
        </is>
      </c>
      <c r="P2088" s="5" t="inlineStr">
        <is>
          <t>5</t>
        </is>
      </c>
      <c r="Q2088" s="5" t="inlineStr">
        <is>
          <t>5</t>
        </is>
      </c>
      <c r="R2088" s="5" t="inlineStr">
        <is>
          <t>5</t>
        </is>
      </c>
      <c r="S2088" s="5" t="inlineStr">
        <is>
          <t>9</t>
        </is>
      </c>
      <c r="T2088" s="5" t="inlineStr">
        <is>
          <t>2</t>
        </is>
      </c>
      <c r="U2088" s="5">
        <f>IFS(C2088&lt;30,"Under 30",C2088&lt;40,"30-39",C2088&lt;50,"40-49",TRUE,"50+")</f>
        <v/>
      </c>
      <c r="V2088" s="5">
        <f>IFS(O2088&lt;60000,"Low (&lt;60k)",O2088&lt;100000,"Mid (60-100k)",TRUE,"High (100k+)")</f>
        <v/>
      </c>
      <c r="W2088" s="5">
        <f>IF(M2088="No","Attrited","Active")</f>
        <v/>
      </c>
    </row>
    <row r="2089">
      <c r="A2089" s="5" t="inlineStr">
        <is>
          <t>E02088</t>
        </is>
      </c>
      <c r="B2089" s="5" t="inlineStr">
        <is>
          <t>Female</t>
        </is>
      </c>
      <c r="C2089" s="6" t="inlineStr">
        <is>
          <t>42</t>
        </is>
      </c>
      <c r="D2089" s="5" t="inlineStr">
        <is>
          <t>Married</t>
        </is>
      </c>
      <c r="E2089" s="5" t="inlineStr">
        <is>
          <t>Master</t>
        </is>
      </c>
      <c r="F2089" s="5" t="inlineStr">
        <is>
          <t>Sales</t>
        </is>
      </c>
      <c r="G2089" s="5" t="inlineStr">
        <is>
          <t>Sales Executive</t>
        </is>
      </c>
      <c r="H2089" s="5" t="inlineStr">
        <is>
          <t>6</t>
        </is>
      </c>
      <c r="I2089" s="5" t="inlineStr">
        <is>
          <t>Remote</t>
        </is>
      </c>
      <c r="J2089" s="5" t="inlineStr">
        <is>
          <t>Full-Time</t>
        </is>
      </c>
      <c r="K2089" s="7" t="n">
        <v>44393</v>
      </c>
      <c r="L2089" s="7" t="inlineStr"/>
      <c r="M2089" s="5" t="inlineStr">
        <is>
          <t>Yes</t>
        </is>
      </c>
      <c r="N2089" s="5" t="inlineStr"/>
      <c r="O2089" s="8" t="inlineStr">
        <is>
          <t>158500</t>
        </is>
      </c>
      <c r="P2089" s="5" t="inlineStr">
        <is>
          <t>0</t>
        </is>
      </c>
      <c r="Q2089" s="5" t="inlineStr">
        <is>
          <t>3</t>
        </is>
      </c>
      <c r="R2089" s="5" t="inlineStr">
        <is>
          <t>8</t>
        </is>
      </c>
      <c r="S2089" s="5" t="inlineStr">
        <is>
          <t>54</t>
        </is>
      </c>
      <c r="T2089" s="5" t="inlineStr">
        <is>
          <t>3</t>
        </is>
      </c>
      <c r="U2089" s="5">
        <f>IFS(C2089&lt;30,"Under 30",C2089&lt;40,"30-39",C2089&lt;50,"40-49",TRUE,"50+")</f>
        <v/>
      </c>
      <c r="V2089" s="5">
        <f>IFS(O2089&lt;60000,"Low (&lt;60k)",O2089&lt;100000,"Mid (60-100k)",TRUE,"High (100k+)")</f>
        <v/>
      </c>
      <c r="W2089" s="5">
        <f>IF(M2089="No","Attrited","Active")</f>
        <v/>
      </c>
    </row>
    <row r="2090">
      <c r="A2090" s="5" t="inlineStr">
        <is>
          <t>E02089</t>
        </is>
      </c>
      <c r="B2090" s="5" t="inlineStr">
        <is>
          <t>Male</t>
        </is>
      </c>
      <c r="C2090" s="6" t="inlineStr">
        <is>
          <t>38</t>
        </is>
      </c>
      <c r="D2090" s="5" t="inlineStr">
        <is>
          <t>Single</t>
        </is>
      </c>
      <c r="E2090" s="5" t="inlineStr">
        <is>
          <t>Master</t>
        </is>
      </c>
      <c r="F2090" s="5" t="inlineStr">
        <is>
          <t>Operations</t>
        </is>
      </c>
      <c r="G2090" s="5" t="inlineStr">
        <is>
          <t>Operations Analyst</t>
        </is>
      </c>
      <c r="H2090" s="5" t="inlineStr">
        <is>
          <t>4</t>
        </is>
      </c>
      <c r="I2090" s="5" t="inlineStr">
        <is>
          <t>Remote</t>
        </is>
      </c>
      <c r="J2090" s="5" t="inlineStr">
        <is>
          <t>Part-Time</t>
        </is>
      </c>
      <c r="K2090" s="7" t="n">
        <v>44055</v>
      </c>
      <c r="L2090" s="7" t="inlineStr"/>
      <c r="M2090" s="5" t="inlineStr">
        <is>
          <t>Yes</t>
        </is>
      </c>
      <c r="N2090" s="5" t="inlineStr"/>
      <c r="O2090" s="8" t="inlineStr">
        <is>
          <t>117500</t>
        </is>
      </c>
      <c r="P2090" s="5" t="inlineStr">
        <is>
          <t>10</t>
        </is>
      </c>
      <c r="Q2090" s="5" t="inlineStr">
        <is>
          <t>4</t>
        </is>
      </c>
      <c r="R2090" s="5" t="inlineStr">
        <is>
          <t>4</t>
        </is>
      </c>
      <c r="S2090" s="5" t="inlineStr">
        <is>
          <t>65</t>
        </is>
      </c>
      <c r="T2090" s="5" t="inlineStr">
        <is>
          <t>3</t>
        </is>
      </c>
      <c r="U2090" s="5">
        <f>IFS(C2090&lt;30,"Under 30",C2090&lt;40,"30-39",C2090&lt;50,"40-49",TRUE,"50+")</f>
        <v/>
      </c>
      <c r="V2090" s="5">
        <f>IFS(O2090&lt;60000,"Low (&lt;60k)",O2090&lt;100000,"Mid (60-100k)",TRUE,"High (100k+)")</f>
        <v/>
      </c>
      <c r="W2090" s="5">
        <f>IF(M2090="No","Attrited","Active")</f>
        <v/>
      </c>
    </row>
    <row r="2091">
      <c r="A2091" s="5" t="inlineStr">
        <is>
          <t>E02090</t>
        </is>
      </c>
      <c r="B2091" s="5" t="inlineStr">
        <is>
          <t>Female</t>
        </is>
      </c>
      <c r="C2091" s="6" t="inlineStr">
        <is>
          <t>34</t>
        </is>
      </c>
      <c r="D2091" s="5" t="inlineStr">
        <is>
          <t>Married</t>
        </is>
      </c>
      <c r="E2091" s="5" t="inlineStr">
        <is>
          <t>Master</t>
        </is>
      </c>
      <c r="F2091" s="5" t="inlineStr">
        <is>
          <t>Marketing</t>
        </is>
      </c>
      <c r="G2091" s="5" t="inlineStr">
        <is>
          <t>SEO Specialist</t>
        </is>
      </c>
      <c r="H2091" s="5" t="inlineStr">
        <is>
          <t>2</t>
        </is>
      </c>
      <c r="I2091" s="5" t="inlineStr">
        <is>
          <t>Bengaluru</t>
        </is>
      </c>
      <c r="J2091" s="5" t="inlineStr">
        <is>
          <t>Part-Time</t>
        </is>
      </c>
      <c r="K2091" s="7" t="n">
        <v>45527</v>
      </c>
      <c r="L2091" s="7" t="inlineStr"/>
      <c r="M2091" s="5" t="inlineStr">
        <is>
          <t>Yes</t>
        </is>
      </c>
      <c r="N2091" s="5" t="inlineStr"/>
      <c r="O2091" s="8" t="inlineStr">
        <is>
          <t>62000</t>
        </is>
      </c>
      <c r="P2091" s="5" t="inlineStr">
        <is>
          <t>0</t>
        </is>
      </c>
      <c r="Q2091" s="5" t="inlineStr">
        <is>
          <t>4</t>
        </is>
      </c>
      <c r="R2091" s="5" t="inlineStr">
        <is>
          <t>5</t>
        </is>
      </c>
      <c r="S2091" s="5" t="inlineStr">
        <is>
          <t>16</t>
        </is>
      </c>
      <c r="T2091" s="5" t="inlineStr">
        <is>
          <t>0</t>
        </is>
      </c>
      <c r="U2091" s="5">
        <f>IFS(C2091&lt;30,"Under 30",C2091&lt;40,"30-39",C2091&lt;50,"40-49",TRUE,"50+")</f>
        <v/>
      </c>
      <c r="V2091" s="5">
        <f>IFS(O2091&lt;60000,"Low (&lt;60k)",O2091&lt;100000,"Mid (60-100k)",TRUE,"High (100k+)")</f>
        <v/>
      </c>
      <c r="W2091" s="5">
        <f>IF(M2091="No","Attrited","Active")</f>
        <v/>
      </c>
    </row>
    <row r="2092">
      <c r="A2092" s="5" t="inlineStr">
        <is>
          <t>E02091</t>
        </is>
      </c>
      <c r="B2092" s="5" t="inlineStr">
        <is>
          <t>Female</t>
        </is>
      </c>
      <c r="C2092" s="6" t="inlineStr">
        <is>
          <t>35</t>
        </is>
      </c>
      <c r="D2092" s="5" t="inlineStr">
        <is>
          <t>Married</t>
        </is>
      </c>
      <c r="E2092" s="5" t="inlineStr">
        <is>
          <t>PhD</t>
        </is>
      </c>
      <c r="F2092" s="5" t="inlineStr">
        <is>
          <t>Sales</t>
        </is>
      </c>
      <c r="G2092" s="5" t="inlineStr">
        <is>
          <t>Business Development</t>
        </is>
      </c>
      <c r="H2092" s="5" t="inlineStr">
        <is>
          <t>5</t>
        </is>
      </c>
      <c r="I2092" s="5" t="inlineStr">
        <is>
          <t>Remote</t>
        </is>
      </c>
      <c r="J2092" s="5" t="inlineStr">
        <is>
          <t>Contract</t>
        </is>
      </c>
      <c r="K2092" s="7" t="n">
        <v>44876</v>
      </c>
      <c r="L2092" s="7" t="inlineStr"/>
      <c r="M2092" s="5" t="inlineStr">
        <is>
          <t>Yes</t>
        </is>
      </c>
      <c r="N2092" s="5" t="inlineStr"/>
      <c r="O2092" s="8" t="inlineStr">
        <is>
          <t>165500</t>
        </is>
      </c>
      <c r="P2092" s="5" t="inlineStr">
        <is>
          <t>15</t>
        </is>
      </c>
      <c r="Q2092" s="5" t="inlineStr">
        <is>
          <t>5</t>
        </is>
      </c>
      <c r="R2092" s="5" t="inlineStr">
        <is>
          <t>10</t>
        </is>
      </c>
      <c r="S2092" s="5" t="inlineStr">
        <is>
          <t>38</t>
        </is>
      </c>
      <c r="T2092" s="5" t="inlineStr">
        <is>
          <t>7</t>
        </is>
      </c>
      <c r="U2092" s="5">
        <f>IFS(C2092&lt;30,"Under 30",C2092&lt;40,"30-39",C2092&lt;50,"40-49",TRUE,"50+")</f>
        <v/>
      </c>
      <c r="V2092" s="5">
        <f>IFS(O2092&lt;60000,"Low (&lt;60k)",O2092&lt;100000,"Mid (60-100k)",TRUE,"High (100k+)")</f>
        <v/>
      </c>
      <c r="W2092" s="5">
        <f>IF(M2092="No","Attrited","Active")</f>
        <v/>
      </c>
    </row>
    <row r="2093">
      <c r="A2093" s="5" t="inlineStr">
        <is>
          <t>E02092</t>
        </is>
      </c>
      <c r="B2093" s="5" t="inlineStr">
        <is>
          <t>Female</t>
        </is>
      </c>
      <c r="C2093" s="6" t="inlineStr">
        <is>
          <t>31</t>
        </is>
      </c>
      <c r="D2093" s="5" t="inlineStr">
        <is>
          <t>Divorced</t>
        </is>
      </c>
      <c r="E2093" s="5" t="inlineStr">
        <is>
          <t>Diploma</t>
        </is>
      </c>
      <c r="F2093" s="5" t="inlineStr">
        <is>
          <t>Operations</t>
        </is>
      </c>
      <c r="G2093" s="5" t="inlineStr">
        <is>
          <t>Quality Analyst</t>
        </is>
      </c>
      <c r="H2093" s="5" t="inlineStr">
        <is>
          <t>2</t>
        </is>
      </c>
      <c r="I2093" s="5" t="inlineStr">
        <is>
          <t>Delhi</t>
        </is>
      </c>
      <c r="J2093" s="5" t="inlineStr">
        <is>
          <t>Full-Time</t>
        </is>
      </c>
      <c r="K2093" s="7" t="n">
        <v>45487</v>
      </c>
      <c r="L2093" s="7" t="inlineStr"/>
      <c r="M2093" s="5" t="inlineStr">
        <is>
          <t>Yes</t>
        </is>
      </c>
      <c r="N2093" s="5" t="inlineStr"/>
      <c r="O2093" s="8" t="inlineStr">
        <is>
          <t>64000</t>
        </is>
      </c>
      <c r="P2093" s="5" t="inlineStr">
        <is>
          <t>5</t>
        </is>
      </c>
      <c r="Q2093" s="5" t="inlineStr">
        <is>
          <t>2</t>
        </is>
      </c>
      <c r="R2093" s="5" t="inlineStr">
        <is>
          <t>5</t>
        </is>
      </c>
      <c r="S2093" s="5" t="inlineStr">
        <is>
          <t>17</t>
        </is>
      </c>
      <c r="T2093" s="5" t="inlineStr">
        <is>
          <t>11</t>
        </is>
      </c>
      <c r="U2093" s="5">
        <f>IFS(C2093&lt;30,"Under 30",C2093&lt;40,"30-39",C2093&lt;50,"40-49",TRUE,"50+")</f>
        <v/>
      </c>
      <c r="V2093" s="5">
        <f>IFS(O2093&lt;60000,"Low (&lt;60k)",O2093&lt;100000,"Mid (60-100k)",TRUE,"High (100k+)")</f>
        <v/>
      </c>
      <c r="W2093" s="5">
        <f>IF(M2093="No","Attrited","Active")</f>
        <v/>
      </c>
    </row>
    <row r="2094">
      <c r="A2094" s="5" t="inlineStr">
        <is>
          <t>E02093</t>
        </is>
      </c>
      <c r="B2094" s="5" t="inlineStr">
        <is>
          <t>Male</t>
        </is>
      </c>
      <c r="C2094" s="6" t="inlineStr">
        <is>
          <t>42</t>
        </is>
      </c>
      <c r="D2094" s="5" t="inlineStr">
        <is>
          <t>Married</t>
        </is>
      </c>
      <c r="E2094" s="5" t="inlineStr">
        <is>
          <t>PhD</t>
        </is>
      </c>
      <c r="F2094" s="5" t="inlineStr">
        <is>
          <t>Sales</t>
        </is>
      </c>
      <c r="G2094" s="5" t="inlineStr">
        <is>
          <t>Account Executive</t>
        </is>
      </c>
      <c r="H2094" s="5" t="inlineStr">
        <is>
          <t>5</t>
        </is>
      </c>
      <c r="I2094" s="5" t="inlineStr">
        <is>
          <t>Mumbai</t>
        </is>
      </c>
      <c r="J2094" s="5" t="inlineStr">
        <is>
          <t>Full-Time</t>
        </is>
      </c>
      <c r="K2094" s="7" t="n">
        <v>44270</v>
      </c>
      <c r="L2094" s="7" t="inlineStr"/>
      <c r="M2094" s="5" t="inlineStr">
        <is>
          <t>Yes</t>
        </is>
      </c>
      <c r="N2094" s="5" t="inlineStr"/>
      <c r="O2094" s="8" t="inlineStr">
        <is>
          <t>109000</t>
        </is>
      </c>
      <c r="P2094" s="5" t="inlineStr">
        <is>
          <t>0</t>
        </is>
      </c>
      <c r="Q2094" s="5" t="inlineStr">
        <is>
          <t>3</t>
        </is>
      </c>
      <c r="R2094" s="5" t="inlineStr">
        <is>
          <t>2</t>
        </is>
      </c>
      <c r="S2094" s="5" t="inlineStr">
        <is>
          <t>58</t>
        </is>
      </c>
      <c r="T2094" s="5" t="inlineStr">
        <is>
          <t>11</t>
        </is>
      </c>
      <c r="U2094" s="5">
        <f>IFS(C2094&lt;30,"Under 30",C2094&lt;40,"30-39",C2094&lt;50,"40-49",TRUE,"50+")</f>
        <v/>
      </c>
      <c r="V2094" s="5">
        <f>IFS(O2094&lt;60000,"Low (&lt;60k)",O2094&lt;100000,"Mid (60-100k)",TRUE,"High (100k+)")</f>
        <v/>
      </c>
      <c r="W2094" s="5">
        <f>IF(M2094="No","Attrited","Active")</f>
        <v/>
      </c>
    </row>
    <row r="2095">
      <c r="A2095" s="5" t="inlineStr">
        <is>
          <t>E02094</t>
        </is>
      </c>
      <c r="B2095" s="5" t="inlineStr">
        <is>
          <t>Male</t>
        </is>
      </c>
      <c r="C2095" s="6" t="inlineStr">
        <is>
          <t>26</t>
        </is>
      </c>
      <c r="D2095" s="5" t="inlineStr">
        <is>
          <t>Single</t>
        </is>
      </c>
      <c r="E2095" s="5" t="inlineStr">
        <is>
          <t>Master</t>
        </is>
      </c>
      <c r="F2095" s="5" t="inlineStr">
        <is>
          <t>Sales</t>
        </is>
      </c>
      <c r="G2095" s="5" t="inlineStr">
        <is>
          <t>Sales Executive</t>
        </is>
      </c>
      <c r="H2095" s="5" t="inlineStr">
        <is>
          <t>1</t>
        </is>
      </c>
      <c r="I2095" s="5" t="inlineStr">
        <is>
          <t>Bengaluru</t>
        </is>
      </c>
      <c r="J2095" s="5" t="inlineStr">
        <is>
          <t>Full-Time</t>
        </is>
      </c>
      <c r="K2095" s="7" t="n">
        <v>44941</v>
      </c>
      <c r="L2095" s="7" t="n">
        <v>44974</v>
      </c>
      <c r="M2095" s="5" t="inlineStr">
        <is>
          <t>No</t>
        </is>
      </c>
      <c r="N2095" s="5" t="inlineStr">
        <is>
          <t>Layoff</t>
        </is>
      </c>
      <c r="O2095" s="8" t="inlineStr">
        <is>
          <t>81000</t>
        </is>
      </c>
      <c r="P2095" s="5" t="inlineStr">
        <is>
          <t>15</t>
        </is>
      </c>
      <c r="Q2095" s="5" t="inlineStr">
        <is>
          <t>4</t>
        </is>
      </c>
      <c r="R2095" s="5" t="inlineStr">
        <is>
          <t>6</t>
        </is>
      </c>
      <c r="S2095" s="5" t="inlineStr">
        <is>
          <t>1</t>
        </is>
      </c>
      <c r="T2095" s="5" t="inlineStr">
        <is>
          <t>0</t>
        </is>
      </c>
      <c r="U2095" s="5">
        <f>IFS(C2095&lt;30,"Under 30",C2095&lt;40,"30-39",C2095&lt;50,"40-49",TRUE,"50+")</f>
        <v/>
      </c>
      <c r="V2095" s="5">
        <f>IFS(O2095&lt;60000,"Low (&lt;60k)",O2095&lt;100000,"Mid (60-100k)",TRUE,"High (100k+)")</f>
        <v/>
      </c>
      <c r="W2095" s="5">
        <f>IF(M2095="No","Attrited","Active")</f>
        <v/>
      </c>
    </row>
    <row r="2096">
      <c r="A2096" s="5" t="inlineStr">
        <is>
          <t>E02095</t>
        </is>
      </c>
      <c r="B2096" s="5" t="inlineStr">
        <is>
          <t>Male</t>
        </is>
      </c>
      <c r="C2096" s="6" t="inlineStr">
        <is>
          <t>30</t>
        </is>
      </c>
      <c r="D2096" s="5" t="inlineStr">
        <is>
          <t>Married</t>
        </is>
      </c>
      <c r="E2096" s="5" t="inlineStr">
        <is>
          <t>Master</t>
        </is>
      </c>
      <c r="F2096" s="5" t="inlineStr">
        <is>
          <t>IT</t>
        </is>
      </c>
      <c r="G2096" s="5" t="inlineStr">
        <is>
          <t>IT Support</t>
        </is>
      </c>
      <c r="H2096" s="5" t="inlineStr">
        <is>
          <t>1</t>
        </is>
      </c>
      <c r="I2096" s="5" t="inlineStr">
        <is>
          <t>Delhi</t>
        </is>
      </c>
      <c r="J2096" s="5" t="inlineStr">
        <is>
          <t>Full-Time</t>
        </is>
      </c>
      <c r="K2096" s="7" t="n">
        <v>44541</v>
      </c>
      <c r="L2096" s="7" t="inlineStr"/>
      <c r="M2096" s="5" t="inlineStr">
        <is>
          <t>Yes</t>
        </is>
      </c>
      <c r="N2096" s="5" t="inlineStr"/>
      <c r="O2096" s="8" t="inlineStr">
        <is>
          <t>87000</t>
        </is>
      </c>
      <c r="P2096" s="5" t="inlineStr">
        <is>
          <t>5</t>
        </is>
      </c>
      <c r="Q2096" s="5" t="inlineStr">
        <is>
          <t>4</t>
        </is>
      </c>
      <c r="R2096" s="5" t="inlineStr">
        <is>
          <t>6</t>
        </is>
      </c>
      <c r="S2096" s="5" t="inlineStr">
        <is>
          <t>49</t>
        </is>
      </c>
      <c r="T2096" s="5" t="inlineStr">
        <is>
          <t>13</t>
        </is>
      </c>
      <c r="U2096" s="5">
        <f>IFS(C2096&lt;30,"Under 30",C2096&lt;40,"30-39",C2096&lt;50,"40-49",TRUE,"50+")</f>
        <v/>
      </c>
      <c r="V2096" s="5">
        <f>IFS(O2096&lt;60000,"Low (&lt;60k)",O2096&lt;100000,"Mid (60-100k)",TRUE,"High (100k+)")</f>
        <v/>
      </c>
      <c r="W2096" s="5">
        <f>IF(M2096="No","Attrited","Active")</f>
        <v/>
      </c>
    </row>
    <row r="2097">
      <c r="A2097" s="5" t="inlineStr">
        <is>
          <t>E02096</t>
        </is>
      </c>
      <c r="B2097" s="5" t="inlineStr">
        <is>
          <t>Male</t>
        </is>
      </c>
      <c r="C2097" s="6" t="inlineStr">
        <is>
          <t>37</t>
        </is>
      </c>
      <c r="D2097" s="5" t="inlineStr">
        <is>
          <t>Married</t>
        </is>
      </c>
      <c r="E2097" s="5" t="inlineStr">
        <is>
          <t>High School</t>
        </is>
      </c>
      <c r="F2097" s="5" t="inlineStr">
        <is>
          <t>Sales</t>
        </is>
      </c>
      <c r="G2097" s="5" t="inlineStr">
        <is>
          <t>Account Executive</t>
        </is>
      </c>
      <c r="H2097" s="5" t="inlineStr">
        <is>
          <t>3</t>
        </is>
      </c>
      <c r="I2097" s="5" t="inlineStr">
        <is>
          <t>Bengaluru</t>
        </is>
      </c>
      <c r="J2097" s="5" t="inlineStr">
        <is>
          <t>Full-Time</t>
        </is>
      </c>
      <c r="K2097" s="7" t="n">
        <v>44084</v>
      </c>
      <c r="L2097" s="7" t="inlineStr"/>
      <c r="M2097" s="5" t="inlineStr">
        <is>
          <t>Yes</t>
        </is>
      </c>
      <c r="N2097" s="5" t="inlineStr"/>
      <c r="O2097" s="8" t="inlineStr">
        <is>
          <t>125000</t>
        </is>
      </c>
      <c r="P2097" s="5" t="inlineStr">
        <is>
          <t>10</t>
        </is>
      </c>
      <c r="Q2097" s="5" t="inlineStr">
        <is>
          <t>3</t>
        </is>
      </c>
      <c r="R2097" s="5" t="inlineStr">
        <is>
          <t>5</t>
        </is>
      </c>
      <c r="S2097" s="5" t="inlineStr">
        <is>
          <t>64</t>
        </is>
      </c>
      <c r="T2097" s="5" t="inlineStr">
        <is>
          <t>9</t>
        </is>
      </c>
      <c r="U2097" s="5">
        <f>IFS(C2097&lt;30,"Under 30",C2097&lt;40,"30-39",C2097&lt;50,"40-49",TRUE,"50+")</f>
        <v/>
      </c>
      <c r="V2097" s="5">
        <f>IFS(O2097&lt;60000,"Low (&lt;60k)",O2097&lt;100000,"Mid (60-100k)",TRUE,"High (100k+)")</f>
        <v/>
      </c>
      <c r="W2097" s="5">
        <f>IF(M2097="No","Attrited","Active")</f>
        <v/>
      </c>
    </row>
    <row r="2098">
      <c r="A2098" s="5" t="inlineStr">
        <is>
          <t>E02097</t>
        </is>
      </c>
      <c r="B2098" s="5" t="inlineStr">
        <is>
          <t>Female</t>
        </is>
      </c>
      <c r="C2098" s="6" t="inlineStr">
        <is>
          <t>32</t>
        </is>
      </c>
      <c r="D2098" s="5" t="inlineStr">
        <is>
          <t>Married</t>
        </is>
      </c>
      <c r="E2098" s="5" t="inlineStr">
        <is>
          <t>PhD</t>
        </is>
      </c>
      <c r="F2098" s="5" t="inlineStr">
        <is>
          <t>Sales</t>
        </is>
      </c>
      <c r="G2098" s="5" t="inlineStr">
        <is>
          <t>Sales Executive</t>
        </is>
      </c>
      <c r="H2098" s="5" t="inlineStr">
        <is>
          <t>3</t>
        </is>
      </c>
      <c r="I2098" s="5" t="inlineStr">
        <is>
          <t>Remote</t>
        </is>
      </c>
      <c r="J2098" s="5" t="inlineStr">
        <is>
          <t>Full-Time</t>
        </is>
      </c>
      <c r="K2098" s="7" t="n">
        <v>45470</v>
      </c>
      <c r="L2098" s="7" t="inlineStr"/>
      <c r="M2098" s="5" t="inlineStr">
        <is>
          <t>Yes</t>
        </is>
      </c>
      <c r="N2098" s="5" t="inlineStr"/>
      <c r="O2098" s="8" t="inlineStr">
        <is>
          <t>134000</t>
        </is>
      </c>
      <c r="P2098" s="5" t="inlineStr">
        <is>
          <t>10</t>
        </is>
      </c>
      <c r="Q2098" s="5" t="inlineStr">
        <is>
          <t>3</t>
        </is>
      </c>
      <c r="R2098" s="5" t="inlineStr">
        <is>
          <t>6</t>
        </is>
      </c>
      <c r="S2098" s="5" t="inlineStr">
        <is>
          <t>18</t>
        </is>
      </c>
      <c r="T2098" s="5" t="inlineStr">
        <is>
          <t>4</t>
        </is>
      </c>
      <c r="U2098" s="5">
        <f>IFS(C2098&lt;30,"Under 30",C2098&lt;40,"30-39",C2098&lt;50,"40-49",TRUE,"50+")</f>
        <v/>
      </c>
      <c r="V2098" s="5">
        <f>IFS(O2098&lt;60000,"Low (&lt;60k)",O2098&lt;100000,"Mid (60-100k)",TRUE,"High (100k+)")</f>
        <v/>
      </c>
      <c r="W2098" s="5">
        <f>IF(M2098="No","Attrited","Active")</f>
        <v/>
      </c>
    </row>
    <row r="2099">
      <c r="A2099" s="5" t="inlineStr">
        <is>
          <t>E02098</t>
        </is>
      </c>
      <c r="B2099" s="5" t="inlineStr">
        <is>
          <t>Female</t>
        </is>
      </c>
      <c r="C2099" s="6" t="inlineStr">
        <is>
          <t>26</t>
        </is>
      </c>
      <c r="D2099" s="5" t="inlineStr">
        <is>
          <t>Married</t>
        </is>
      </c>
      <c r="E2099" s="5" t="inlineStr">
        <is>
          <t>High School</t>
        </is>
      </c>
      <c r="F2099" s="5" t="inlineStr">
        <is>
          <t>Marketing</t>
        </is>
      </c>
      <c r="G2099" s="5" t="inlineStr">
        <is>
          <t>Content Writer</t>
        </is>
      </c>
      <c r="H2099" s="5" t="inlineStr">
        <is>
          <t>2</t>
        </is>
      </c>
      <c r="I2099" s="5" t="inlineStr">
        <is>
          <t>Mumbai</t>
        </is>
      </c>
      <c r="J2099" s="5" t="inlineStr">
        <is>
          <t>Part-Time</t>
        </is>
      </c>
      <c r="K2099" s="7" t="n">
        <v>45785</v>
      </c>
      <c r="L2099" s="7" t="inlineStr"/>
      <c r="M2099" s="5" t="inlineStr">
        <is>
          <t>Yes</t>
        </is>
      </c>
      <c r="N2099" s="5" t="inlineStr"/>
      <c r="O2099" s="8" t="inlineStr">
        <is>
          <t>87500</t>
        </is>
      </c>
      <c r="P2099" s="5" t="inlineStr">
        <is>
          <t>5</t>
        </is>
      </c>
      <c r="Q2099" s="5" t="inlineStr">
        <is>
          <t>5</t>
        </is>
      </c>
      <c r="R2099" s="5" t="inlineStr">
        <is>
          <t>6</t>
        </is>
      </c>
      <c r="S2099" s="5" t="inlineStr">
        <is>
          <t>7</t>
        </is>
      </c>
      <c r="T2099" s="5" t="inlineStr">
        <is>
          <t>10</t>
        </is>
      </c>
      <c r="U2099" s="5">
        <f>IFS(C2099&lt;30,"Under 30",C2099&lt;40,"30-39",C2099&lt;50,"40-49",TRUE,"50+")</f>
        <v/>
      </c>
      <c r="V2099" s="5">
        <f>IFS(O2099&lt;60000,"Low (&lt;60k)",O2099&lt;100000,"Mid (60-100k)",TRUE,"High (100k+)")</f>
        <v/>
      </c>
      <c r="W2099" s="5">
        <f>IF(M2099="No","Attrited","Active")</f>
        <v/>
      </c>
    </row>
    <row r="2100">
      <c r="A2100" s="5" t="inlineStr">
        <is>
          <t>E02099</t>
        </is>
      </c>
      <c r="B2100" s="5" t="inlineStr">
        <is>
          <t>Female</t>
        </is>
      </c>
      <c r="C2100" s="6" t="inlineStr">
        <is>
          <t>45</t>
        </is>
      </c>
      <c r="D2100" s="5" t="inlineStr">
        <is>
          <t>Married</t>
        </is>
      </c>
      <c r="E2100" s="5" t="inlineStr">
        <is>
          <t>Diploma</t>
        </is>
      </c>
      <c r="F2100" s="5" t="inlineStr">
        <is>
          <t>Marketing</t>
        </is>
      </c>
      <c r="G2100" s="5" t="inlineStr">
        <is>
          <t>Marketing Analyst</t>
        </is>
      </c>
      <c r="H2100" s="5" t="inlineStr">
        <is>
          <t>7</t>
        </is>
      </c>
      <c r="I2100" s="5" t="inlineStr">
        <is>
          <t>Mumbai</t>
        </is>
      </c>
      <c r="J2100" s="5" t="inlineStr">
        <is>
          <t>Full-Time</t>
        </is>
      </c>
      <c r="K2100" s="7" t="n">
        <v>44137</v>
      </c>
      <c r="L2100" s="7" t="n">
        <v>44200</v>
      </c>
      <c r="M2100" s="5" t="inlineStr">
        <is>
          <t>No</t>
        </is>
      </c>
      <c r="N2100" s="5" t="inlineStr">
        <is>
          <t>Resigned</t>
        </is>
      </c>
      <c r="O2100" s="8" t="inlineStr">
        <is>
          <t>100500</t>
        </is>
      </c>
      <c r="P2100" s="5" t="inlineStr">
        <is>
          <t>15</t>
        </is>
      </c>
      <c r="Q2100" s="5" t="inlineStr">
        <is>
          <t>5</t>
        </is>
      </c>
      <c r="R2100" s="5" t="inlineStr">
        <is>
          <t>7</t>
        </is>
      </c>
      <c r="S2100" s="5" t="inlineStr">
        <is>
          <t>2</t>
        </is>
      </c>
      <c r="T2100" s="5" t="inlineStr">
        <is>
          <t>8</t>
        </is>
      </c>
      <c r="U2100" s="5">
        <f>IFS(C2100&lt;30,"Under 30",C2100&lt;40,"30-39",C2100&lt;50,"40-49",TRUE,"50+")</f>
        <v/>
      </c>
      <c r="V2100" s="5">
        <f>IFS(O2100&lt;60000,"Low (&lt;60k)",O2100&lt;100000,"Mid (60-100k)",TRUE,"High (100k+)")</f>
        <v/>
      </c>
      <c r="W2100" s="5">
        <f>IF(M2100="No","Attrited","Active")</f>
        <v/>
      </c>
    </row>
    <row r="2101">
      <c r="A2101" s="5" t="inlineStr">
        <is>
          <t>E02100</t>
        </is>
      </c>
      <c r="B2101" s="5" t="inlineStr">
        <is>
          <t>Male</t>
        </is>
      </c>
      <c r="C2101" s="6" t="inlineStr">
        <is>
          <t>28</t>
        </is>
      </c>
      <c r="D2101" s="5" t="inlineStr">
        <is>
          <t>Married</t>
        </is>
      </c>
      <c r="E2101" s="5" t="inlineStr">
        <is>
          <t>High School</t>
        </is>
      </c>
      <c r="F2101" s="5" t="inlineStr">
        <is>
          <t>Customer Support</t>
        </is>
      </c>
      <c r="G2101" s="5" t="inlineStr">
        <is>
          <t>Support Lead</t>
        </is>
      </c>
      <c r="H2101" s="5" t="inlineStr">
        <is>
          <t>2</t>
        </is>
      </c>
      <c r="I2101" s="5" t="inlineStr">
        <is>
          <t>Mumbai</t>
        </is>
      </c>
      <c r="J2101" s="5" t="inlineStr">
        <is>
          <t>Full-Time</t>
        </is>
      </c>
      <c r="K2101" s="7" t="n">
        <v>44969</v>
      </c>
      <c r="L2101" s="7" t="inlineStr"/>
      <c r="M2101" s="5" t="inlineStr">
        <is>
          <t>Yes</t>
        </is>
      </c>
      <c r="N2101" s="5" t="inlineStr"/>
      <c r="O2101" s="8" t="inlineStr">
        <is>
          <t>64500</t>
        </is>
      </c>
      <c r="P2101" s="5" t="inlineStr">
        <is>
          <t>5</t>
        </is>
      </c>
      <c r="Q2101" s="5" t="inlineStr">
        <is>
          <t>4</t>
        </is>
      </c>
      <c r="R2101" s="5" t="inlineStr">
        <is>
          <t>4</t>
        </is>
      </c>
      <c r="S2101" s="5" t="inlineStr">
        <is>
          <t>35</t>
        </is>
      </c>
      <c r="T2101" s="5" t="inlineStr">
        <is>
          <t>0</t>
        </is>
      </c>
      <c r="U2101" s="5">
        <f>IFS(C2101&lt;30,"Under 30",C2101&lt;40,"30-39",C2101&lt;50,"40-49",TRUE,"50+")</f>
        <v/>
      </c>
      <c r="V2101" s="5">
        <f>IFS(O2101&lt;60000,"Low (&lt;60k)",O2101&lt;100000,"Mid (60-100k)",TRUE,"High (100k+)")</f>
        <v/>
      </c>
      <c r="W2101" s="5">
        <f>IF(M2101="No","Attrited","Active")</f>
        <v/>
      </c>
    </row>
    <row r="2102">
      <c r="A2102" s="5" t="inlineStr">
        <is>
          <t>E02101</t>
        </is>
      </c>
      <c r="B2102" s="5" t="inlineStr">
        <is>
          <t>Female</t>
        </is>
      </c>
      <c r="C2102" s="6" t="inlineStr">
        <is>
          <t>25</t>
        </is>
      </c>
      <c r="D2102" s="5" t="inlineStr">
        <is>
          <t>Married</t>
        </is>
      </c>
      <c r="E2102" s="5" t="inlineStr">
        <is>
          <t>PhD</t>
        </is>
      </c>
      <c r="F2102" s="5" t="inlineStr">
        <is>
          <t>Human Resources</t>
        </is>
      </c>
      <c r="G2102" s="5" t="inlineStr">
        <is>
          <t>Recruiter</t>
        </is>
      </c>
      <c r="H2102" s="5" t="inlineStr">
        <is>
          <t>2</t>
        </is>
      </c>
      <c r="I2102" s="5" t="inlineStr">
        <is>
          <t>Bengaluru</t>
        </is>
      </c>
      <c r="J2102" s="5" t="inlineStr">
        <is>
          <t>Full-Time</t>
        </is>
      </c>
      <c r="K2102" s="7" t="n">
        <v>45520</v>
      </c>
      <c r="L2102" s="7" t="inlineStr"/>
      <c r="M2102" s="5" t="inlineStr">
        <is>
          <t>Yes</t>
        </is>
      </c>
      <c r="N2102" s="5" t="inlineStr"/>
      <c r="O2102" s="8" t="inlineStr">
        <is>
          <t>66500</t>
        </is>
      </c>
      <c r="P2102" s="5" t="inlineStr">
        <is>
          <t>15</t>
        </is>
      </c>
      <c r="Q2102" s="5" t="inlineStr">
        <is>
          <t>4</t>
        </is>
      </c>
      <c r="R2102" s="5" t="inlineStr">
        <is>
          <t>8</t>
        </is>
      </c>
      <c r="S2102" s="5" t="inlineStr">
        <is>
          <t>16</t>
        </is>
      </c>
      <c r="T2102" s="5" t="inlineStr">
        <is>
          <t>11</t>
        </is>
      </c>
      <c r="U2102" s="5">
        <f>IFS(C2102&lt;30,"Under 30",C2102&lt;40,"30-39",C2102&lt;50,"40-49",TRUE,"50+")</f>
        <v/>
      </c>
      <c r="V2102" s="5">
        <f>IFS(O2102&lt;60000,"Low (&lt;60k)",O2102&lt;100000,"Mid (60-100k)",TRUE,"High (100k+)")</f>
        <v/>
      </c>
      <c r="W2102" s="5">
        <f>IF(M2102="No","Attrited","Active")</f>
        <v/>
      </c>
    </row>
    <row r="2103">
      <c r="A2103" s="5" t="inlineStr">
        <is>
          <t>E02102</t>
        </is>
      </c>
      <c r="B2103" s="5" t="inlineStr">
        <is>
          <t>Male</t>
        </is>
      </c>
      <c r="C2103" s="6" t="inlineStr">
        <is>
          <t>29</t>
        </is>
      </c>
      <c r="D2103" s="5" t="inlineStr">
        <is>
          <t>Married</t>
        </is>
      </c>
      <c r="E2103" s="5" t="inlineStr">
        <is>
          <t>PhD</t>
        </is>
      </c>
      <c r="F2103" s="5" t="inlineStr">
        <is>
          <t>Marketing</t>
        </is>
      </c>
      <c r="G2103" s="5" t="inlineStr">
        <is>
          <t>Content Writer</t>
        </is>
      </c>
      <c r="H2103" s="5" t="inlineStr">
        <is>
          <t>1</t>
        </is>
      </c>
      <c r="I2103" s="5" t="inlineStr">
        <is>
          <t>Bengaluru</t>
        </is>
      </c>
      <c r="J2103" s="5" t="inlineStr">
        <is>
          <t>Full-Time</t>
        </is>
      </c>
      <c r="K2103" s="7" t="n">
        <v>45684</v>
      </c>
      <c r="L2103" s="7" t="inlineStr"/>
      <c r="M2103" s="5" t="inlineStr">
        <is>
          <t>Yes</t>
        </is>
      </c>
      <c r="N2103" s="5" t="inlineStr"/>
      <c r="O2103" s="8" t="inlineStr">
        <is>
          <t>73000</t>
        </is>
      </c>
      <c r="P2103" s="5" t="inlineStr">
        <is>
          <t>15</t>
        </is>
      </c>
      <c r="Q2103" s="5" t="inlineStr">
        <is>
          <t>4</t>
        </is>
      </c>
      <c r="R2103" s="5" t="inlineStr">
        <is>
          <t>8</t>
        </is>
      </c>
      <c r="S2103" s="5" t="inlineStr">
        <is>
          <t>11</t>
        </is>
      </c>
      <c r="T2103" s="5" t="inlineStr">
        <is>
          <t>7</t>
        </is>
      </c>
      <c r="U2103" s="5">
        <f>IFS(C2103&lt;30,"Under 30",C2103&lt;40,"30-39",C2103&lt;50,"40-49",TRUE,"50+")</f>
        <v/>
      </c>
      <c r="V2103" s="5">
        <f>IFS(O2103&lt;60000,"Low (&lt;60k)",O2103&lt;100000,"Mid (60-100k)",TRUE,"High (100k+)")</f>
        <v/>
      </c>
      <c r="W2103" s="5">
        <f>IF(M2103="No","Attrited","Active")</f>
        <v/>
      </c>
    </row>
    <row r="2104">
      <c r="A2104" s="5" t="inlineStr">
        <is>
          <t>E02103</t>
        </is>
      </c>
      <c r="B2104" s="5" t="inlineStr">
        <is>
          <t>Male</t>
        </is>
      </c>
      <c r="C2104" s="6" t="inlineStr">
        <is>
          <t>30</t>
        </is>
      </c>
      <c r="D2104" s="5" t="inlineStr">
        <is>
          <t>Married</t>
        </is>
      </c>
      <c r="E2104" s="5" t="inlineStr">
        <is>
          <t>Diploma</t>
        </is>
      </c>
      <c r="F2104" s="5" t="inlineStr">
        <is>
          <t>Research &amp; Development</t>
        </is>
      </c>
      <c r="G2104" s="5" t="inlineStr">
        <is>
          <t>Research Scientist</t>
        </is>
      </c>
      <c r="H2104" s="5" t="inlineStr">
        <is>
          <t>1</t>
        </is>
      </c>
      <c r="I2104" s="5" t="inlineStr">
        <is>
          <t>Delhi</t>
        </is>
      </c>
      <c r="J2104" s="5" t="inlineStr">
        <is>
          <t>Full-Time</t>
        </is>
      </c>
      <c r="K2104" s="7" t="n">
        <v>43874</v>
      </c>
      <c r="L2104" s="7" t="inlineStr"/>
      <c r="M2104" s="5" t="inlineStr">
        <is>
          <t>Yes</t>
        </is>
      </c>
      <c r="N2104" s="5" t="inlineStr"/>
      <c r="O2104" s="8" t="inlineStr">
        <is>
          <t>101000</t>
        </is>
      </c>
      <c r="P2104" s="5" t="inlineStr">
        <is>
          <t>5</t>
        </is>
      </c>
      <c r="Q2104" s="5" t="inlineStr">
        <is>
          <t>4</t>
        </is>
      </c>
      <c r="R2104" s="5" t="inlineStr">
        <is>
          <t>6</t>
        </is>
      </c>
      <c r="S2104" s="5" t="inlineStr">
        <is>
          <t>71</t>
        </is>
      </c>
      <c r="T2104" s="5" t="inlineStr">
        <is>
          <t>0</t>
        </is>
      </c>
      <c r="U2104" s="5">
        <f>IFS(C2104&lt;30,"Under 30",C2104&lt;40,"30-39",C2104&lt;50,"40-49",TRUE,"50+")</f>
        <v/>
      </c>
      <c r="V2104" s="5">
        <f>IFS(O2104&lt;60000,"Low (&lt;60k)",O2104&lt;100000,"Mid (60-100k)",TRUE,"High (100k+)")</f>
        <v/>
      </c>
      <c r="W2104" s="5">
        <f>IF(M2104="No","Attrited","Active")</f>
        <v/>
      </c>
    </row>
    <row r="2105">
      <c r="A2105" s="5" t="inlineStr">
        <is>
          <t>E02104</t>
        </is>
      </c>
      <c r="B2105" s="5" t="inlineStr">
        <is>
          <t>Female</t>
        </is>
      </c>
      <c r="C2105" s="6" t="inlineStr">
        <is>
          <t>27</t>
        </is>
      </c>
      <c r="D2105" s="5" t="inlineStr">
        <is>
          <t>Married</t>
        </is>
      </c>
      <c r="E2105" s="5" t="inlineStr">
        <is>
          <t>Diploma</t>
        </is>
      </c>
      <c r="F2105" s="5" t="inlineStr">
        <is>
          <t>Sales</t>
        </is>
      </c>
      <c r="G2105" s="5" t="inlineStr">
        <is>
          <t>Account Executive</t>
        </is>
      </c>
      <c r="H2105" s="5" t="inlineStr">
        <is>
          <t>1</t>
        </is>
      </c>
      <c r="I2105" s="5" t="inlineStr">
        <is>
          <t>Mumbai</t>
        </is>
      </c>
      <c r="J2105" s="5" t="inlineStr">
        <is>
          <t>Full-Time</t>
        </is>
      </c>
      <c r="K2105" s="7" t="n">
        <v>45322</v>
      </c>
      <c r="L2105" s="7" t="inlineStr"/>
      <c r="M2105" s="5" t="inlineStr">
        <is>
          <t>Yes</t>
        </is>
      </c>
      <c r="N2105" s="5" t="inlineStr"/>
      <c r="O2105" s="8" t="inlineStr">
        <is>
          <t>100500</t>
        </is>
      </c>
      <c r="P2105" s="5" t="inlineStr">
        <is>
          <t>0</t>
        </is>
      </c>
      <c r="Q2105" s="5" t="inlineStr">
        <is>
          <t>2</t>
        </is>
      </c>
      <c r="R2105" s="5" t="inlineStr">
        <is>
          <t>6</t>
        </is>
      </c>
      <c r="S2105" s="5" t="inlineStr">
        <is>
          <t>23</t>
        </is>
      </c>
      <c r="T2105" s="5" t="inlineStr">
        <is>
          <t>0</t>
        </is>
      </c>
      <c r="U2105" s="5">
        <f>IFS(C2105&lt;30,"Under 30",C2105&lt;40,"30-39",C2105&lt;50,"40-49",TRUE,"50+")</f>
        <v/>
      </c>
      <c r="V2105" s="5">
        <f>IFS(O2105&lt;60000,"Low (&lt;60k)",O2105&lt;100000,"Mid (60-100k)",TRUE,"High (100k+)")</f>
        <v/>
      </c>
      <c r="W2105" s="5">
        <f>IF(M2105="No","Attrited","Active")</f>
        <v/>
      </c>
    </row>
    <row r="2106">
      <c r="A2106" s="5" t="inlineStr">
        <is>
          <t>E02105</t>
        </is>
      </c>
      <c r="B2106" s="5" t="inlineStr">
        <is>
          <t>Female</t>
        </is>
      </c>
      <c r="C2106" s="6" t="inlineStr">
        <is>
          <t>25</t>
        </is>
      </c>
      <c r="D2106" s="5" t="inlineStr">
        <is>
          <t>Single</t>
        </is>
      </c>
      <c r="E2106" s="5" t="inlineStr">
        <is>
          <t>High School</t>
        </is>
      </c>
      <c r="F2106" s="5" t="inlineStr">
        <is>
          <t>Operations</t>
        </is>
      </c>
      <c r="G2106" s="5" t="inlineStr">
        <is>
          <t>Operations Analyst</t>
        </is>
      </c>
      <c r="H2106" s="5" t="inlineStr">
        <is>
          <t>2</t>
        </is>
      </c>
      <c r="I2106" s="5" t="inlineStr">
        <is>
          <t>Mumbai</t>
        </is>
      </c>
      <c r="J2106" s="5" t="inlineStr">
        <is>
          <t>Full-Time</t>
        </is>
      </c>
      <c r="K2106" s="7" t="n">
        <v>44885</v>
      </c>
      <c r="L2106" s="7" t="inlineStr"/>
      <c r="M2106" s="5" t="inlineStr">
        <is>
          <t>Yes</t>
        </is>
      </c>
      <c r="N2106" s="5" t="inlineStr"/>
      <c r="O2106" s="8" t="inlineStr">
        <is>
          <t>85000</t>
        </is>
      </c>
      <c r="P2106" s="5" t="inlineStr">
        <is>
          <t>15</t>
        </is>
      </c>
      <c r="Q2106" s="5" t="inlineStr">
        <is>
          <t>3</t>
        </is>
      </c>
      <c r="R2106" s="5" t="inlineStr">
        <is>
          <t>8</t>
        </is>
      </c>
      <c r="S2106" s="5" t="inlineStr">
        <is>
          <t>37</t>
        </is>
      </c>
      <c r="T2106" s="5" t="inlineStr">
        <is>
          <t>2</t>
        </is>
      </c>
      <c r="U2106" s="5">
        <f>IFS(C2106&lt;30,"Under 30",C2106&lt;40,"30-39",C2106&lt;50,"40-49",TRUE,"50+")</f>
        <v/>
      </c>
      <c r="V2106" s="5">
        <f>IFS(O2106&lt;60000,"Low (&lt;60k)",O2106&lt;100000,"Mid (60-100k)",TRUE,"High (100k+)")</f>
        <v/>
      </c>
      <c r="W2106" s="5">
        <f>IF(M2106="No","Attrited","Active")</f>
        <v/>
      </c>
    </row>
    <row r="2107">
      <c r="A2107" s="5" t="inlineStr">
        <is>
          <t>E02106</t>
        </is>
      </c>
      <c r="B2107" s="5" t="inlineStr">
        <is>
          <t>Female</t>
        </is>
      </c>
      <c r="C2107" s="6" t="inlineStr">
        <is>
          <t>36</t>
        </is>
      </c>
      <c r="D2107" s="5" t="inlineStr">
        <is>
          <t>Married</t>
        </is>
      </c>
      <c r="E2107" s="5" t="inlineStr">
        <is>
          <t>Bachelor</t>
        </is>
      </c>
      <c r="F2107" s="5" t="inlineStr">
        <is>
          <t>Sales</t>
        </is>
      </c>
      <c r="G2107" s="5" t="inlineStr">
        <is>
          <t>Business Development</t>
        </is>
      </c>
      <c r="H2107" s="5" t="inlineStr">
        <is>
          <t>3</t>
        </is>
      </c>
      <c r="I2107" s="5" t="inlineStr">
        <is>
          <t>Hyderabad</t>
        </is>
      </c>
      <c r="J2107" s="5" t="inlineStr">
        <is>
          <t>Full-Time</t>
        </is>
      </c>
      <c r="K2107" s="7" t="n">
        <v>44252</v>
      </c>
      <c r="L2107" s="7" t="inlineStr"/>
      <c r="M2107" s="5" t="inlineStr">
        <is>
          <t>Yes</t>
        </is>
      </c>
      <c r="N2107" s="5" t="inlineStr"/>
      <c r="O2107" s="8" t="inlineStr">
        <is>
          <t>92000</t>
        </is>
      </c>
      <c r="P2107" s="5" t="inlineStr">
        <is>
          <t>5</t>
        </is>
      </c>
      <c r="Q2107" s="5" t="inlineStr">
        <is>
          <t>4</t>
        </is>
      </c>
      <c r="R2107" s="5" t="inlineStr">
        <is>
          <t>8</t>
        </is>
      </c>
      <c r="S2107" s="5" t="inlineStr">
        <is>
          <t>59</t>
        </is>
      </c>
      <c r="T2107" s="5" t="inlineStr">
        <is>
          <t>14</t>
        </is>
      </c>
      <c r="U2107" s="5">
        <f>IFS(C2107&lt;30,"Under 30",C2107&lt;40,"30-39",C2107&lt;50,"40-49",TRUE,"50+")</f>
        <v/>
      </c>
      <c r="V2107" s="5">
        <f>IFS(O2107&lt;60000,"Low (&lt;60k)",O2107&lt;100000,"Mid (60-100k)",TRUE,"High (100k+)")</f>
        <v/>
      </c>
      <c r="W2107" s="5">
        <f>IF(M2107="No","Attrited","Active")</f>
        <v/>
      </c>
    </row>
    <row r="2108">
      <c r="A2108" s="5" t="inlineStr">
        <is>
          <t>E02107</t>
        </is>
      </c>
      <c r="B2108" s="5" t="inlineStr">
        <is>
          <t>Male</t>
        </is>
      </c>
      <c r="C2108" s="6" t="inlineStr">
        <is>
          <t>36</t>
        </is>
      </c>
      <c r="D2108" s="5" t="inlineStr">
        <is>
          <t>Single</t>
        </is>
      </c>
      <c r="E2108" s="5" t="inlineStr">
        <is>
          <t>Bachelor</t>
        </is>
      </c>
      <c r="F2108" s="5" t="inlineStr">
        <is>
          <t>IT</t>
        </is>
      </c>
      <c r="G2108" s="5" t="inlineStr">
        <is>
          <t>Software Engineer</t>
        </is>
      </c>
      <c r="H2108" s="5" t="inlineStr">
        <is>
          <t>5</t>
        </is>
      </c>
      <c r="I2108" s="5" t="inlineStr">
        <is>
          <t>Mumbai</t>
        </is>
      </c>
      <c r="J2108" s="5" t="inlineStr">
        <is>
          <t>Full-Time</t>
        </is>
      </c>
      <c r="K2108" s="7" t="n">
        <v>44977</v>
      </c>
      <c r="L2108" s="7" t="inlineStr"/>
      <c r="M2108" s="5" t="inlineStr">
        <is>
          <t>Yes</t>
        </is>
      </c>
      <c r="N2108" s="5" t="inlineStr"/>
      <c r="O2108" s="8" t="inlineStr">
        <is>
          <t>139000</t>
        </is>
      </c>
      <c r="P2108" s="5" t="inlineStr">
        <is>
          <t>5</t>
        </is>
      </c>
      <c r="Q2108" s="5" t="inlineStr">
        <is>
          <t>5</t>
        </is>
      </c>
      <c r="R2108" s="5" t="inlineStr">
        <is>
          <t>5</t>
        </is>
      </c>
      <c r="S2108" s="5" t="inlineStr">
        <is>
          <t>34</t>
        </is>
      </c>
      <c r="T2108" s="5" t="inlineStr">
        <is>
          <t>11</t>
        </is>
      </c>
      <c r="U2108" s="5">
        <f>IFS(C2108&lt;30,"Under 30",C2108&lt;40,"30-39",C2108&lt;50,"40-49",TRUE,"50+")</f>
        <v/>
      </c>
      <c r="V2108" s="5">
        <f>IFS(O2108&lt;60000,"Low (&lt;60k)",O2108&lt;100000,"Mid (60-100k)",TRUE,"High (100k+)")</f>
        <v/>
      </c>
      <c r="W2108" s="5">
        <f>IF(M2108="No","Attrited","Active")</f>
        <v/>
      </c>
    </row>
    <row r="2109">
      <c r="A2109" s="5" t="inlineStr">
        <is>
          <t>E02108</t>
        </is>
      </c>
      <c r="B2109" s="5" t="inlineStr">
        <is>
          <t>Male</t>
        </is>
      </c>
      <c r="C2109" s="6" t="inlineStr">
        <is>
          <t>23</t>
        </is>
      </c>
      <c r="D2109" s="5" t="inlineStr">
        <is>
          <t>Married</t>
        </is>
      </c>
      <c r="E2109" s="5" t="inlineStr">
        <is>
          <t>PhD</t>
        </is>
      </c>
      <c r="F2109" s="5" t="inlineStr">
        <is>
          <t>Research &amp; Development</t>
        </is>
      </c>
      <c r="G2109" s="5" t="inlineStr">
        <is>
          <t>Product Engineer</t>
        </is>
      </c>
      <c r="H2109" s="5" t="inlineStr">
        <is>
          <t>1</t>
        </is>
      </c>
      <c r="I2109" s="5" t="inlineStr">
        <is>
          <t>Delhi</t>
        </is>
      </c>
      <c r="J2109" s="5" t="inlineStr">
        <is>
          <t>Full-Time</t>
        </is>
      </c>
      <c r="K2109" s="7" t="n">
        <v>43878</v>
      </c>
      <c r="L2109" s="7" t="inlineStr"/>
      <c r="M2109" s="5" t="inlineStr">
        <is>
          <t>Yes</t>
        </is>
      </c>
      <c r="N2109" s="5" t="inlineStr"/>
      <c r="O2109" s="8" t="inlineStr">
        <is>
          <t>106000</t>
        </is>
      </c>
      <c r="P2109" s="5" t="inlineStr">
        <is>
          <t>10</t>
        </is>
      </c>
      <c r="Q2109" s="5" t="inlineStr">
        <is>
          <t>5</t>
        </is>
      </c>
      <c r="R2109" s="5" t="inlineStr">
        <is>
          <t>9</t>
        </is>
      </c>
      <c r="S2109" s="5" t="inlineStr">
        <is>
          <t>71</t>
        </is>
      </c>
      <c r="T2109" s="5" t="inlineStr">
        <is>
          <t>0</t>
        </is>
      </c>
      <c r="U2109" s="5">
        <f>IFS(C2109&lt;30,"Under 30",C2109&lt;40,"30-39",C2109&lt;50,"40-49",TRUE,"50+")</f>
        <v/>
      </c>
      <c r="V2109" s="5">
        <f>IFS(O2109&lt;60000,"Low (&lt;60k)",O2109&lt;100000,"Mid (60-100k)",TRUE,"High (100k+)")</f>
        <v/>
      </c>
      <c r="W2109" s="5">
        <f>IF(M2109="No","Attrited","Active")</f>
        <v/>
      </c>
    </row>
    <row r="2110">
      <c r="A2110" s="5" t="inlineStr">
        <is>
          <t>E02109</t>
        </is>
      </c>
      <c r="B2110" s="5" t="inlineStr">
        <is>
          <t>Male</t>
        </is>
      </c>
      <c r="C2110" s="6" t="inlineStr">
        <is>
          <t>33</t>
        </is>
      </c>
      <c r="D2110" s="5" t="inlineStr">
        <is>
          <t>Married</t>
        </is>
      </c>
      <c r="E2110" s="5" t="inlineStr">
        <is>
          <t>Diploma</t>
        </is>
      </c>
      <c r="F2110" s="5" t="inlineStr">
        <is>
          <t>Research &amp; Development</t>
        </is>
      </c>
      <c r="G2110" s="5" t="inlineStr">
        <is>
          <t>Research Scientist</t>
        </is>
      </c>
      <c r="H2110" s="5" t="inlineStr">
        <is>
          <t>1</t>
        </is>
      </c>
      <c r="I2110" s="5" t="inlineStr">
        <is>
          <t>Chennai</t>
        </is>
      </c>
      <c r="J2110" s="5" t="inlineStr">
        <is>
          <t>Full-Time</t>
        </is>
      </c>
      <c r="K2110" s="7" t="n">
        <v>43862</v>
      </c>
      <c r="L2110" s="7" t="inlineStr"/>
      <c r="M2110" s="5" t="inlineStr">
        <is>
          <t>Yes</t>
        </is>
      </c>
      <c r="N2110" s="5" t="inlineStr"/>
      <c r="O2110" s="8" t="inlineStr">
        <is>
          <t>110000</t>
        </is>
      </c>
      <c r="P2110" s="5" t="inlineStr">
        <is>
          <t>10</t>
        </is>
      </c>
      <c r="Q2110" s="5" t="inlineStr">
        <is>
          <t>3</t>
        </is>
      </c>
      <c r="R2110" s="5" t="inlineStr">
        <is>
          <t>7</t>
        </is>
      </c>
      <c r="S2110" s="5" t="inlineStr">
        <is>
          <t>72</t>
        </is>
      </c>
      <c r="T2110" s="5" t="inlineStr">
        <is>
          <t>1</t>
        </is>
      </c>
      <c r="U2110" s="5">
        <f>IFS(C2110&lt;30,"Under 30",C2110&lt;40,"30-39",C2110&lt;50,"40-49",TRUE,"50+")</f>
        <v/>
      </c>
      <c r="V2110" s="5">
        <f>IFS(O2110&lt;60000,"Low (&lt;60k)",O2110&lt;100000,"Mid (60-100k)",TRUE,"High (100k+)")</f>
        <v/>
      </c>
      <c r="W2110" s="5">
        <f>IF(M2110="No","Attrited","Active")</f>
        <v/>
      </c>
    </row>
    <row r="2111">
      <c r="A2111" s="5" t="inlineStr">
        <is>
          <t>E02110</t>
        </is>
      </c>
      <c r="B2111" s="5" t="inlineStr">
        <is>
          <t>Female</t>
        </is>
      </c>
      <c r="C2111" s="6" t="inlineStr">
        <is>
          <t>30</t>
        </is>
      </c>
      <c r="D2111" s="5" t="inlineStr">
        <is>
          <t>Divorced</t>
        </is>
      </c>
      <c r="E2111" s="5" t="inlineStr">
        <is>
          <t>PhD</t>
        </is>
      </c>
      <c r="F2111" s="5" t="inlineStr">
        <is>
          <t>Customer Support</t>
        </is>
      </c>
      <c r="G2111" s="5" t="inlineStr">
        <is>
          <t>Escalation Specialist</t>
        </is>
      </c>
      <c r="H2111" s="5" t="inlineStr">
        <is>
          <t>4</t>
        </is>
      </c>
      <c r="I2111" s="5" t="inlineStr">
        <is>
          <t>Bengaluru</t>
        </is>
      </c>
      <c r="J2111" s="5" t="inlineStr">
        <is>
          <t>Full-Time</t>
        </is>
      </c>
      <c r="K2111" s="7" t="n">
        <v>45956</v>
      </c>
      <c r="L2111" s="7" t="n">
        <v>46016</v>
      </c>
      <c r="M2111" s="5" t="inlineStr">
        <is>
          <t>No</t>
        </is>
      </c>
      <c r="N2111" s="5" t="inlineStr">
        <is>
          <t>Relocation</t>
        </is>
      </c>
      <c r="O2111" s="8" t="inlineStr">
        <is>
          <t>98000</t>
        </is>
      </c>
      <c r="P2111" s="5" t="inlineStr">
        <is>
          <t>0</t>
        </is>
      </c>
      <c r="Q2111" s="5" t="inlineStr">
        <is>
          <t>5</t>
        </is>
      </c>
      <c r="R2111" s="5" t="inlineStr">
        <is>
          <t>7</t>
        </is>
      </c>
      <c r="S2111" s="5" t="inlineStr">
        <is>
          <t>2</t>
        </is>
      </c>
      <c r="T2111" s="5" t="inlineStr">
        <is>
          <t>10</t>
        </is>
      </c>
      <c r="U2111" s="5">
        <f>IFS(C2111&lt;30,"Under 30",C2111&lt;40,"30-39",C2111&lt;50,"40-49",TRUE,"50+")</f>
        <v/>
      </c>
      <c r="V2111" s="5">
        <f>IFS(O2111&lt;60000,"Low (&lt;60k)",O2111&lt;100000,"Mid (60-100k)",TRUE,"High (100k+)")</f>
        <v/>
      </c>
      <c r="W2111" s="5">
        <f>IF(M2111="No","Attrited","Active")</f>
        <v/>
      </c>
    </row>
    <row r="2112">
      <c r="A2112" s="5" t="inlineStr">
        <is>
          <t>E02111</t>
        </is>
      </c>
      <c r="B2112" s="5" t="inlineStr">
        <is>
          <t>Female</t>
        </is>
      </c>
      <c r="C2112" s="6" t="inlineStr">
        <is>
          <t>30</t>
        </is>
      </c>
      <c r="D2112" s="5" t="inlineStr">
        <is>
          <t>Married</t>
        </is>
      </c>
      <c r="E2112" s="5" t="inlineStr">
        <is>
          <t>Bachelor</t>
        </is>
      </c>
      <c r="F2112" s="5" t="inlineStr">
        <is>
          <t>Finance</t>
        </is>
      </c>
      <c r="G2112" s="5" t="inlineStr">
        <is>
          <t>Credit Analyst</t>
        </is>
      </c>
      <c r="H2112" s="5" t="inlineStr">
        <is>
          <t>3</t>
        </is>
      </c>
      <c r="I2112" s="5" t="inlineStr">
        <is>
          <t>Bengaluru</t>
        </is>
      </c>
      <c r="J2112" s="5" t="inlineStr">
        <is>
          <t>Full-Time</t>
        </is>
      </c>
      <c r="K2112" s="7" t="n">
        <v>45628</v>
      </c>
      <c r="L2112" s="7" t="inlineStr"/>
      <c r="M2112" s="5" t="inlineStr">
        <is>
          <t>Yes</t>
        </is>
      </c>
      <c r="N2112" s="5" t="inlineStr"/>
      <c r="O2112" s="8" t="inlineStr">
        <is>
          <t>139000</t>
        </is>
      </c>
      <c r="P2112" s="5" t="inlineStr">
        <is>
          <t>5</t>
        </is>
      </c>
      <c r="Q2112" s="5" t="inlineStr">
        <is>
          <t>5</t>
        </is>
      </c>
      <c r="R2112" s="5" t="inlineStr">
        <is>
          <t>5</t>
        </is>
      </c>
      <c r="S2112" s="5" t="inlineStr">
        <is>
          <t>13</t>
        </is>
      </c>
      <c r="T2112" s="5" t="inlineStr">
        <is>
          <t>13</t>
        </is>
      </c>
      <c r="U2112" s="5">
        <f>IFS(C2112&lt;30,"Under 30",C2112&lt;40,"30-39",C2112&lt;50,"40-49",TRUE,"50+")</f>
        <v/>
      </c>
      <c r="V2112" s="5">
        <f>IFS(O2112&lt;60000,"Low (&lt;60k)",O2112&lt;100000,"Mid (60-100k)",TRUE,"High (100k+)")</f>
        <v/>
      </c>
      <c r="W2112" s="5">
        <f>IF(M2112="No","Attrited","Active")</f>
        <v/>
      </c>
    </row>
    <row r="2113">
      <c r="A2113" s="5" t="inlineStr">
        <is>
          <t>E02112</t>
        </is>
      </c>
      <c r="B2113" s="5" t="inlineStr">
        <is>
          <t>Male</t>
        </is>
      </c>
      <c r="C2113" s="6" t="inlineStr">
        <is>
          <t>23</t>
        </is>
      </c>
      <c r="D2113" s="5" t="inlineStr">
        <is>
          <t>Married</t>
        </is>
      </c>
      <c r="E2113" s="5" t="inlineStr">
        <is>
          <t>High School</t>
        </is>
      </c>
      <c r="F2113" s="5" t="inlineStr">
        <is>
          <t>IT</t>
        </is>
      </c>
      <c r="G2113" s="5" t="inlineStr">
        <is>
          <t>DevOps Engineer</t>
        </is>
      </c>
      <c r="H2113" s="5" t="inlineStr">
        <is>
          <t>1</t>
        </is>
      </c>
      <c r="I2113" s="5" t="inlineStr">
        <is>
          <t>Chennai</t>
        </is>
      </c>
      <c r="J2113" s="5" t="inlineStr">
        <is>
          <t>Full-Time</t>
        </is>
      </c>
      <c r="K2113" s="7" t="n">
        <v>45975</v>
      </c>
      <c r="L2113" s="7" t="inlineStr"/>
      <c r="M2113" s="5" t="inlineStr">
        <is>
          <t>Yes</t>
        </is>
      </c>
      <c r="N2113" s="5" t="inlineStr"/>
      <c r="O2113" s="8" t="inlineStr">
        <is>
          <t>141000</t>
        </is>
      </c>
      <c r="P2113" s="5" t="inlineStr">
        <is>
          <t>0</t>
        </is>
      </c>
      <c r="Q2113" s="5" t="inlineStr">
        <is>
          <t>4</t>
        </is>
      </c>
      <c r="R2113" s="5" t="inlineStr">
        <is>
          <t>4</t>
        </is>
      </c>
      <c r="S2113" s="5" t="inlineStr">
        <is>
          <t>1</t>
        </is>
      </c>
      <c r="T2113" s="5" t="inlineStr">
        <is>
          <t>10</t>
        </is>
      </c>
      <c r="U2113" s="5">
        <f>IFS(C2113&lt;30,"Under 30",C2113&lt;40,"30-39",C2113&lt;50,"40-49",TRUE,"50+")</f>
        <v/>
      </c>
      <c r="V2113" s="5">
        <f>IFS(O2113&lt;60000,"Low (&lt;60k)",O2113&lt;100000,"Mid (60-100k)",TRUE,"High (100k+)")</f>
        <v/>
      </c>
      <c r="W2113" s="5">
        <f>IF(M2113="No","Attrited","Active")</f>
        <v/>
      </c>
    </row>
    <row r="2114">
      <c r="A2114" s="5" t="inlineStr">
        <is>
          <t>E02113</t>
        </is>
      </c>
      <c r="B2114" s="5" t="inlineStr">
        <is>
          <t>Male</t>
        </is>
      </c>
      <c r="C2114" s="6" t="inlineStr">
        <is>
          <t>32</t>
        </is>
      </c>
      <c r="D2114" s="5" t="inlineStr">
        <is>
          <t>Married</t>
        </is>
      </c>
      <c r="E2114" s="5" t="inlineStr">
        <is>
          <t>Diploma</t>
        </is>
      </c>
      <c r="F2114" s="5" t="inlineStr">
        <is>
          <t>Marketing</t>
        </is>
      </c>
      <c r="G2114" s="5" t="inlineStr">
        <is>
          <t>Content Writer</t>
        </is>
      </c>
      <c r="H2114" s="5" t="inlineStr">
        <is>
          <t>2</t>
        </is>
      </c>
      <c r="I2114" s="5" t="inlineStr">
        <is>
          <t>Remote</t>
        </is>
      </c>
      <c r="J2114" s="5" t="inlineStr">
        <is>
          <t>Contract</t>
        </is>
      </c>
      <c r="K2114" s="7" t="n">
        <v>45522</v>
      </c>
      <c r="L2114" s="7" t="inlineStr"/>
      <c r="M2114" s="5" t="inlineStr">
        <is>
          <t>Yes</t>
        </is>
      </c>
      <c r="N2114" s="5" t="inlineStr"/>
      <c r="O2114" s="8" t="inlineStr">
        <is>
          <t>89000</t>
        </is>
      </c>
      <c r="P2114" s="5" t="inlineStr">
        <is>
          <t>15</t>
        </is>
      </c>
      <c r="Q2114" s="5" t="inlineStr">
        <is>
          <t>4</t>
        </is>
      </c>
      <c r="R2114" s="5" t="inlineStr">
        <is>
          <t>7</t>
        </is>
      </c>
      <c r="S2114" s="5" t="inlineStr">
        <is>
          <t>16</t>
        </is>
      </c>
      <c r="T2114" s="5" t="inlineStr">
        <is>
          <t>0</t>
        </is>
      </c>
      <c r="U2114" s="5">
        <f>IFS(C2114&lt;30,"Under 30",C2114&lt;40,"30-39",C2114&lt;50,"40-49",TRUE,"50+")</f>
        <v/>
      </c>
      <c r="V2114" s="5">
        <f>IFS(O2114&lt;60000,"Low (&lt;60k)",O2114&lt;100000,"Mid (60-100k)",TRUE,"High (100k+)")</f>
        <v/>
      </c>
      <c r="W2114" s="5">
        <f>IF(M2114="No","Attrited","Active")</f>
        <v/>
      </c>
    </row>
    <row r="2115">
      <c r="A2115" s="5" t="inlineStr">
        <is>
          <t>E02114</t>
        </is>
      </c>
      <c r="B2115" s="5" t="inlineStr">
        <is>
          <t>Female</t>
        </is>
      </c>
      <c r="C2115" s="6" t="inlineStr">
        <is>
          <t>40</t>
        </is>
      </c>
      <c r="D2115" s="5" t="inlineStr">
        <is>
          <t>Married</t>
        </is>
      </c>
      <c r="E2115" s="5" t="inlineStr">
        <is>
          <t>PhD</t>
        </is>
      </c>
      <c r="F2115" s="5" t="inlineStr">
        <is>
          <t>Research &amp; Development</t>
        </is>
      </c>
      <c r="G2115" s="5" t="inlineStr">
        <is>
          <t>Product Engineer</t>
        </is>
      </c>
      <c r="H2115" s="5" t="inlineStr">
        <is>
          <t>4</t>
        </is>
      </c>
      <c r="I2115" s="5" t="inlineStr">
        <is>
          <t>Mumbai</t>
        </is>
      </c>
      <c r="J2115" s="5" t="inlineStr">
        <is>
          <t>Full-Time</t>
        </is>
      </c>
      <c r="K2115" s="7" t="n">
        <v>45846</v>
      </c>
      <c r="L2115" s="7" t="inlineStr"/>
      <c r="M2115" s="5" t="inlineStr">
        <is>
          <t>Yes</t>
        </is>
      </c>
      <c r="N2115" s="5" t="inlineStr"/>
      <c r="O2115" s="8" t="inlineStr">
        <is>
          <t>170500</t>
        </is>
      </c>
      <c r="P2115" s="5" t="inlineStr">
        <is>
          <t>0</t>
        </is>
      </c>
      <c r="Q2115" s="5" t="inlineStr">
        <is>
          <t>3</t>
        </is>
      </c>
      <c r="R2115" s="5" t="inlineStr">
        <is>
          <t>6</t>
        </is>
      </c>
      <c r="S2115" s="5" t="inlineStr">
        <is>
          <t>5</t>
        </is>
      </c>
      <c r="T2115" s="5" t="inlineStr">
        <is>
          <t>9</t>
        </is>
      </c>
      <c r="U2115" s="5">
        <f>IFS(C2115&lt;30,"Under 30",C2115&lt;40,"30-39",C2115&lt;50,"40-49",TRUE,"50+")</f>
        <v/>
      </c>
      <c r="V2115" s="5">
        <f>IFS(O2115&lt;60000,"Low (&lt;60k)",O2115&lt;100000,"Mid (60-100k)",TRUE,"High (100k+)")</f>
        <v/>
      </c>
      <c r="W2115" s="5">
        <f>IF(M2115="No","Attrited","Active")</f>
        <v/>
      </c>
    </row>
    <row r="2116">
      <c r="A2116" s="5" t="inlineStr">
        <is>
          <t>E02115</t>
        </is>
      </c>
      <c r="B2116" s="5" t="inlineStr">
        <is>
          <t>Female</t>
        </is>
      </c>
      <c r="C2116" s="6" t="inlineStr">
        <is>
          <t>31</t>
        </is>
      </c>
      <c r="D2116" s="5" t="inlineStr">
        <is>
          <t>Married</t>
        </is>
      </c>
      <c r="E2116" s="5" t="inlineStr">
        <is>
          <t>Bachelor</t>
        </is>
      </c>
      <c r="F2116" s="5" t="inlineStr">
        <is>
          <t>IT</t>
        </is>
      </c>
      <c r="G2116" s="5" t="inlineStr">
        <is>
          <t>Data Analyst</t>
        </is>
      </c>
      <c r="H2116" s="5" t="inlineStr">
        <is>
          <t>2</t>
        </is>
      </c>
      <c r="I2116" s="5" t="inlineStr">
        <is>
          <t>Hyderabad</t>
        </is>
      </c>
      <c r="J2116" s="5" t="inlineStr">
        <is>
          <t>Full-Time</t>
        </is>
      </c>
      <c r="K2116" s="7" t="n">
        <v>44388</v>
      </c>
      <c r="L2116" s="7" t="n">
        <v>44479</v>
      </c>
      <c r="M2116" s="5" t="inlineStr">
        <is>
          <t>No</t>
        </is>
      </c>
      <c r="N2116" s="5" t="inlineStr">
        <is>
          <t>Relocation</t>
        </is>
      </c>
      <c r="O2116" s="8" t="inlineStr">
        <is>
          <t>109000</t>
        </is>
      </c>
      <c r="P2116" s="5" t="inlineStr">
        <is>
          <t>0</t>
        </is>
      </c>
      <c r="Q2116" s="5" t="inlineStr">
        <is>
          <t>4</t>
        </is>
      </c>
      <c r="R2116" s="5" t="inlineStr">
        <is>
          <t>9</t>
        </is>
      </c>
      <c r="S2116" s="5" t="inlineStr">
        <is>
          <t>3</t>
        </is>
      </c>
      <c r="T2116" s="5" t="inlineStr">
        <is>
          <t>5</t>
        </is>
      </c>
      <c r="U2116" s="5">
        <f>IFS(C2116&lt;30,"Under 30",C2116&lt;40,"30-39",C2116&lt;50,"40-49",TRUE,"50+")</f>
        <v/>
      </c>
      <c r="V2116" s="5">
        <f>IFS(O2116&lt;60000,"Low (&lt;60k)",O2116&lt;100000,"Mid (60-100k)",TRUE,"High (100k+)")</f>
        <v/>
      </c>
      <c r="W2116" s="5">
        <f>IF(M2116="No","Attrited","Active")</f>
        <v/>
      </c>
    </row>
    <row r="2117">
      <c r="A2117" s="5" t="inlineStr">
        <is>
          <t>E02116</t>
        </is>
      </c>
      <c r="B2117" s="5" t="inlineStr">
        <is>
          <t>Male</t>
        </is>
      </c>
      <c r="C2117" s="6" t="inlineStr">
        <is>
          <t>32</t>
        </is>
      </c>
      <c r="D2117" s="5" t="inlineStr">
        <is>
          <t>Divorced</t>
        </is>
      </c>
      <c r="E2117" s="5" t="inlineStr">
        <is>
          <t>PhD</t>
        </is>
      </c>
      <c r="F2117" s="5" t="inlineStr">
        <is>
          <t>Sales</t>
        </is>
      </c>
      <c r="G2117" s="5" t="inlineStr">
        <is>
          <t>Sales Executive</t>
        </is>
      </c>
      <c r="H2117" s="5" t="inlineStr">
        <is>
          <t>3</t>
        </is>
      </c>
      <c r="I2117" s="5" t="inlineStr">
        <is>
          <t>Delhi</t>
        </is>
      </c>
      <c r="J2117" s="5" t="inlineStr">
        <is>
          <t>Full-Time</t>
        </is>
      </c>
      <c r="K2117" s="7" t="n">
        <v>44310</v>
      </c>
      <c r="L2117" s="7" t="inlineStr"/>
      <c r="M2117" s="5" t="inlineStr">
        <is>
          <t>Yes</t>
        </is>
      </c>
      <c r="N2117" s="5" t="inlineStr"/>
      <c r="O2117" s="8" t="inlineStr">
        <is>
          <t>101500</t>
        </is>
      </c>
      <c r="P2117" s="5" t="inlineStr">
        <is>
          <t>0</t>
        </is>
      </c>
      <c r="Q2117" s="5" t="inlineStr">
        <is>
          <t>4</t>
        </is>
      </c>
      <c r="R2117" s="5" t="inlineStr">
        <is>
          <t>3</t>
        </is>
      </c>
      <c r="S2117" s="5" t="inlineStr">
        <is>
          <t>57</t>
        </is>
      </c>
      <c r="T2117" s="5" t="inlineStr">
        <is>
          <t>3</t>
        </is>
      </c>
      <c r="U2117" s="5">
        <f>IFS(C2117&lt;30,"Under 30",C2117&lt;40,"30-39",C2117&lt;50,"40-49",TRUE,"50+")</f>
        <v/>
      </c>
      <c r="V2117" s="5">
        <f>IFS(O2117&lt;60000,"Low (&lt;60k)",O2117&lt;100000,"Mid (60-100k)",TRUE,"High (100k+)")</f>
        <v/>
      </c>
      <c r="W2117" s="5">
        <f>IF(M2117="No","Attrited","Active")</f>
        <v/>
      </c>
    </row>
    <row r="2118">
      <c r="A2118" s="5" t="inlineStr">
        <is>
          <t>E02117</t>
        </is>
      </c>
      <c r="B2118" s="5" t="inlineStr">
        <is>
          <t>Male</t>
        </is>
      </c>
      <c r="C2118" s="6" t="inlineStr">
        <is>
          <t>31</t>
        </is>
      </c>
      <c r="D2118" s="5" t="inlineStr">
        <is>
          <t>Single</t>
        </is>
      </c>
      <c r="E2118" s="5" t="inlineStr">
        <is>
          <t>Master</t>
        </is>
      </c>
      <c r="F2118" s="5" t="inlineStr">
        <is>
          <t>Customer Support</t>
        </is>
      </c>
      <c r="G2118" s="5" t="inlineStr">
        <is>
          <t>Support Agent</t>
        </is>
      </c>
      <c r="H2118" s="5" t="inlineStr">
        <is>
          <t>1</t>
        </is>
      </c>
      <c r="I2118" s="5" t="inlineStr">
        <is>
          <t>Delhi</t>
        </is>
      </c>
      <c r="J2118" s="5" t="inlineStr">
        <is>
          <t>Full-Time</t>
        </is>
      </c>
      <c r="K2118" s="7" t="n">
        <v>45385</v>
      </c>
      <c r="L2118" s="7" t="inlineStr"/>
      <c r="M2118" s="5" t="inlineStr">
        <is>
          <t>Yes</t>
        </is>
      </c>
      <c r="N2118" s="5" t="inlineStr"/>
      <c r="O2118" s="8" t="inlineStr">
        <is>
          <t>45000</t>
        </is>
      </c>
      <c r="P2118" s="5" t="inlineStr">
        <is>
          <t>0</t>
        </is>
      </c>
      <c r="Q2118" s="5" t="inlineStr">
        <is>
          <t>4</t>
        </is>
      </c>
      <c r="R2118" s="5" t="inlineStr">
        <is>
          <t>6</t>
        </is>
      </c>
      <c r="S2118" s="5" t="inlineStr">
        <is>
          <t>21</t>
        </is>
      </c>
      <c r="T2118" s="5" t="inlineStr">
        <is>
          <t>8</t>
        </is>
      </c>
      <c r="U2118" s="5">
        <f>IFS(C2118&lt;30,"Under 30",C2118&lt;40,"30-39",C2118&lt;50,"40-49",TRUE,"50+")</f>
        <v/>
      </c>
      <c r="V2118" s="5">
        <f>IFS(O2118&lt;60000,"Low (&lt;60k)",O2118&lt;100000,"Mid (60-100k)",TRUE,"High (100k+)")</f>
        <v/>
      </c>
      <c r="W2118" s="5">
        <f>IF(M2118="No","Attrited","Active")</f>
        <v/>
      </c>
    </row>
    <row r="2119">
      <c r="A2119" s="5" t="inlineStr">
        <is>
          <t>E02118</t>
        </is>
      </c>
      <c r="B2119" s="5" t="inlineStr">
        <is>
          <t>Female</t>
        </is>
      </c>
      <c r="C2119" s="6" t="inlineStr">
        <is>
          <t>31</t>
        </is>
      </c>
      <c r="D2119" s="5" t="inlineStr">
        <is>
          <t>Married</t>
        </is>
      </c>
      <c r="E2119" s="5" t="inlineStr">
        <is>
          <t>Master</t>
        </is>
      </c>
      <c r="F2119" s="5" t="inlineStr">
        <is>
          <t>Operations</t>
        </is>
      </c>
      <c r="G2119" s="5" t="inlineStr">
        <is>
          <t>Logistics Coordinator</t>
        </is>
      </c>
      <c r="H2119" s="5" t="inlineStr">
        <is>
          <t>2</t>
        </is>
      </c>
      <c r="I2119" s="5" t="inlineStr">
        <is>
          <t>Mumbai</t>
        </is>
      </c>
      <c r="J2119" s="5" t="inlineStr">
        <is>
          <t>Full-Time</t>
        </is>
      </c>
      <c r="K2119" s="7" t="n">
        <v>44043</v>
      </c>
      <c r="L2119" s="7" t="inlineStr"/>
      <c r="M2119" s="5" t="inlineStr">
        <is>
          <t>Yes</t>
        </is>
      </c>
      <c r="N2119" s="5" t="inlineStr"/>
      <c r="O2119" s="8" t="inlineStr">
        <is>
          <t>90500</t>
        </is>
      </c>
      <c r="P2119" s="5" t="inlineStr">
        <is>
          <t>5</t>
        </is>
      </c>
      <c r="Q2119" s="5" t="inlineStr">
        <is>
          <t>4</t>
        </is>
      </c>
      <c r="R2119" s="5" t="inlineStr">
        <is>
          <t>6</t>
        </is>
      </c>
      <c r="S2119" s="5" t="inlineStr">
        <is>
          <t>65</t>
        </is>
      </c>
      <c r="T2119" s="5" t="inlineStr">
        <is>
          <t>0</t>
        </is>
      </c>
      <c r="U2119" s="5">
        <f>IFS(C2119&lt;30,"Under 30",C2119&lt;40,"30-39",C2119&lt;50,"40-49",TRUE,"50+")</f>
        <v/>
      </c>
      <c r="V2119" s="5">
        <f>IFS(O2119&lt;60000,"Low (&lt;60k)",O2119&lt;100000,"Mid (60-100k)",TRUE,"High (100k+)")</f>
        <v/>
      </c>
      <c r="W2119" s="5">
        <f>IF(M2119="No","Attrited","Active")</f>
        <v/>
      </c>
    </row>
    <row r="2120">
      <c r="A2120" s="5" t="inlineStr">
        <is>
          <t>E02119</t>
        </is>
      </c>
      <c r="B2120" s="5" t="inlineStr">
        <is>
          <t>Female</t>
        </is>
      </c>
      <c r="C2120" s="6" t="inlineStr">
        <is>
          <t>39</t>
        </is>
      </c>
      <c r="D2120" s="5" t="inlineStr">
        <is>
          <t>Married</t>
        </is>
      </c>
      <c r="E2120" s="5" t="inlineStr">
        <is>
          <t>Bachelor</t>
        </is>
      </c>
      <c r="F2120" s="5" t="inlineStr">
        <is>
          <t>Customer Support</t>
        </is>
      </c>
      <c r="G2120" s="5" t="inlineStr">
        <is>
          <t>Escalation Specialist</t>
        </is>
      </c>
      <c r="H2120" s="5" t="inlineStr">
        <is>
          <t>4</t>
        </is>
      </c>
      <c r="I2120" s="5" t="inlineStr">
        <is>
          <t>Delhi</t>
        </is>
      </c>
      <c r="J2120" s="5" t="inlineStr">
        <is>
          <t>Full-Time</t>
        </is>
      </c>
      <c r="K2120" s="7" t="n">
        <v>45511</v>
      </c>
      <c r="L2120" s="7" t="inlineStr"/>
      <c r="M2120" s="5" t="inlineStr">
        <is>
          <t>Yes</t>
        </is>
      </c>
      <c r="N2120" s="5" t="inlineStr"/>
      <c r="O2120" s="8" t="inlineStr">
        <is>
          <t>73000</t>
        </is>
      </c>
      <c r="P2120" s="5" t="inlineStr">
        <is>
          <t>0</t>
        </is>
      </c>
      <c r="Q2120" s="5" t="inlineStr">
        <is>
          <t>5</t>
        </is>
      </c>
      <c r="R2120" s="5" t="inlineStr">
        <is>
          <t>8</t>
        </is>
      </c>
      <c r="S2120" s="5" t="inlineStr">
        <is>
          <t>17</t>
        </is>
      </c>
      <c r="T2120" s="5" t="inlineStr">
        <is>
          <t>15</t>
        </is>
      </c>
      <c r="U2120" s="5">
        <f>IFS(C2120&lt;30,"Under 30",C2120&lt;40,"30-39",C2120&lt;50,"40-49",TRUE,"50+")</f>
        <v/>
      </c>
      <c r="V2120" s="5">
        <f>IFS(O2120&lt;60000,"Low (&lt;60k)",O2120&lt;100000,"Mid (60-100k)",TRUE,"High (100k+)")</f>
        <v/>
      </c>
      <c r="W2120" s="5">
        <f>IF(M2120="No","Attrited","Active")</f>
        <v/>
      </c>
    </row>
    <row r="2121">
      <c r="A2121" s="5" t="inlineStr">
        <is>
          <t>E02120</t>
        </is>
      </c>
      <c r="B2121" s="5" t="inlineStr">
        <is>
          <t>Male</t>
        </is>
      </c>
      <c r="C2121" s="6" t="inlineStr">
        <is>
          <t>34</t>
        </is>
      </c>
      <c r="D2121" s="5" t="inlineStr">
        <is>
          <t>Single</t>
        </is>
      </c>
      <c r="E2121" s="5" t="inlineStr">
        <is>
          <t>Bachelor</t>
        </is>
      </c>
      <c r="F2121" s="5" t="inlineStr">
        <is>
          <t>Human Resources</t>
        </is>
      </c>
      <c r="G2121" s="5" t="inlineStr">
        <is>
          <t>HR Analyst</t>
        </is>
      </c>
      <c r="H2121" s="5" t="inlineStr">
        <is>
          <t>1</t>
        </is>
      </c>
      <c r="I2121" s="5" t="inlineStr">
        <is>
          <t>Chennai</t>
        </is>
      </c>
      <c r="J2121" s="5" t="inlineStr">
        <is>
          <t>Full-Time</t>
        </is>
      </c>
      <c r="K2121" s="7" t="n">
        <v>44967</v>
      </c>
      <c r="L2121" s="7" t="inlineStr"/>
      <c r="M2121" s="5" t="inlineStr">
        <is>
          <t>Yes</t>
        </is>
      </c>
      <c r="N2121" s="5" t="inlineStr"/>
      <c r="O2121" s="8" t="inlineStr">
        <is>
          <t>68500</t>
        </is>
      </c>
      <c r="P2121" s="5" t="inlineStr">
        <is>
          <t>10</t>
        </is>
      </c>
      <c r="Q2121" s="5" t="inlineStr">
        <is>
          <t>4</t>
        </is>
      </c>
      <c r="R2121" s="5" t="inlineStr">
        <is>
          <t>6</t>
        </is>
      </c>
      <c r="S2121" s="5" t="inlineStr">
        <is>
          <t>35</t>
        </is>
      </c>
      <c r="T2121" s="5" t="inlineStr">
        <is>
          <t>15</t>
        </is>
      </c>
      <c r="U2121" s="5">
        <f>IFS(C2121&lt;30,"Under 30",C2121&lt;40,"30-39",C2121&lt;50,"40-49",TRUE,"50+")</f>
        <v/>
      </c>
      <c r="V2121" s="5">
        <f>IFS(O2121&lt;60000,"Low (&lt;60k)",O2121&lt;100000,"Mid (60-100k)",TRUE,"High (100k+)")</f>
        <v/>
      </c>
      <c r="W2121" s="5">
        <f>IF(M2121="No","Attrited","Active")</f>
        <v/>
      </c>
    </row>
    <row r="2122">
      <c r="A2122" s="5" t="inlineStr">
        <is>
          <t>E02121</t>
        </is>
      </c>
      <c r="B2122" s="5" t="inlineStr">
        <is>
          <t>Male</t>
        </is>
      </c>
      <c r="C2122" s="6" t="inlineStr">
        <is>
          <t>38</t>
        </is>
      </c>
      <c r="D2122" s="5" t="inlineStr">
        <is>
          <t>Married</t>
        </is>
      </c>
      <c r="E2122" s="5" t="inlineStr">
        <is>
          <t>Diploma</t>
        </is>
      </c>
      <c r="F2122" s="5" t="inlineStr">
        <is>
          <t>Finance</t>
        </is>
      </c>
      <c r="G2122" s="5" t="inlineStr">
        <is>
          <t>Credit Analyst</t>
        </is>
      </c>
      <c r="H2122" s="5" t="inlineStr">
        <is>
          <t>4</t>
        </is>
      </c>
      <c r="I2122" s="5" t="inlineStr">
        <is>
          <t>Hyderabad</t>
        </is>
      </c>
      <c r="J2122" s="5" t="inlineStr">
        <is>
          <t>Contract</t>
        </is>
      </c>
      <c r="K2122" s="7" t="n">
        <v>44585</v>
      </c>
      <c r="L2122" s="7" t="inlineStr"/>
      <c r="M2122" s="5" t="inlineStr">
        <is>
          <t>Yes</t>
        </is>
      </c>
      <c r="N2122" s="5" t="inlineStr"/>
      <c r="O2122" s="8" t="inlineStr">
        <is>
          <t>161000</t>
        </is>
      </c>
      <c r="P2122" s="5" t="inlineStr">
        <is>
          <t>0</t>
        </is>
      </c>
      <c r="Q2122" s="5" t="inlineStr">
        <is>
          <t>4</t>
        </is>
      </c>
      <c r="R2122" s="5" t="inlineStr">
        <is>
          <t>6</t>
        </is>
      </c>
      <c r="S2122" s="5" t="inlineStr">
        <is>
          <t>47</t>
        </is>
      </c>
      <c r="T2122" s="5" t="inlineStr">
        <is>
          <t>10</t>
        </is>
      </c>
      <c r="U2122" s="5">
        <f>IFS(C2122&lt;30,"Under 30",C2122&lt;40,"30-39",C2122&lt;50,"40-49",TRUE,"50+")</f>
        <v/>
      </c>
      <c r="V2122" s="5">
        <f>IFS(O2122&lt;60000,"Low (&lt;60k)",O2122&lt;100000,"Mid (60-100k)",TRUE,"High (100k+)")</f>
        <v/>
      </c>
      <c r="W2122" s="5">
        <f>IF(M2122="No","Attrited","Active")</f>
        <v/>
      </c>
    </row>
    <row r="2123">
      <c r="A2123" s="5" t="inlineStr">
        <is>
          <t>E02122</t>
        </is>
      </c>
      <c r="B2123" s="5" t="inlineStr">
        <is>
          <t>Male</t>
        </is>
      </c>
      <c r="C2123" s="6" t="inlineStr">
        <is>
          <t>37</t>
        </is>
      </c>
      <c r="D2123" s="5" t="inlineStr">
        <is>
          <t>Married</t>
        </is>
      </c>
      <c r="E2123" s="5" t="inlineStr">
        <is>
          <t>Bachelor</t>
        </is>
      </c>
      <c r="F2123" s="5" t="inlineStr">
        <is>
          <t>Operations</t>
        </is>
      </c>
      <c r="G2123" s="5" t="inlineStr">
        <is>
          <t>Quality Analyst</t>
        </is>
      </c>
      <c r="H2123" s="5" t="inlineStr">
        <is>
          <t>3</t>
        </is>
      </c>
      <c r="I2123" s="5" t="inlineStr">
        <is>
          <t>Hyderabad</t>
        </is>
      </c>
      <c r="J2123" s="5" t="inlineStr">
        <is>
          <t>Full-Time</t>
        </is>
      </c>
      <c r="K2123" s="7" t="n">
        <v>45717</v>
      </c>
      <c r="L2123" s="7" t="inlineStr"/>
      <c r="M2123" s="5" t="inlineStr">
        <is>
          <t>Yes</t>
        </is>
      </c>
      <c r="N2123" s="5" t="inlineStr"/>
      <c r="O2123" s="8" t="inlineStr">
        <is>
          <t>113000</t>
        </is>
      </c>
      <c r="P2123" s="5" t="inlineStr">
        <is>
          <t>0</t>
        </is>
      </c>
      <c r="Q2123" s="5" t="inlineStr">
        <is>
          <t>3</t>
        </is>
      </c>
      <c r="R2123" s="5" t="inlineStr">
        <is>
          <t>8</t>
        </is>
      </c>
      <c r="S2123" s="5" t="inlineStr">
        <is>
          <t>10</t>
        </is>
      </c>
      <c r="T2123" s="5" t="inlineStr">
        <is>
          <t>13</t>
        </is>
      </c>
      <c r="U2123" s="5">
        <f>IFS(C2123&lt;30,"Under 30",C2123&lt;40,"30-39",C2123&lt;50,"40-49",TRUE,"50+")</f>
        <v/>
      </c>
      <c r="V2123" s="5">
        <f>IFS(O2123&lt;60000,"Low (&lt;60k)",O2123&lt;100000,"Mid (60-100k)",TRUE,"High (100k+)")</f>
        <v/>
      </c>
      <c r="W2123" s="5">
        <f>IF(M2123="No","Attrited","Active")</f>
        <v/>
      </c>
    </row>
    <row r="2124">
      <c r="A2124" s="5" t="inlineStr">
        <is>
          <t>E02123</t>
        </is>
      </c>
      <c r="B2124" s="5" t="inlineStr">
        <is>
          <t>Male</t>
        </is>
      </c>
      <c r="C2124" s="6" t="inlineStr">
        <is>
          <t>32</t>
        </is>
      </c>
      <c r="D2124" s="5" t="inlineStr">
        <is>
          <t>Married</t>
        </is>
      </c>
      <c r="E2124" s="5" t="inlineStr">
        <is>
          <t>High School</t>
        </is>
      </c>
      <c r="F2124" s="5" t="inlineStr">
        <is>
          <t>Sales</t>
        </is>
      </c>
      <c r="G2124" s="5" t="inlineStr">
        <is>
          <t>Account Executive</t>
        </is>
      </c>
      <c r="H2124" s="5" t="inlineStr">
        <is>
          <t>4</t>
        </is>
      </c>
      <c r="I2124" s="5" t="inlineStr">
        <is>
          <t>Bengaluru</t>
        </is>
      </c>
      <c r="J2124" s="5" t="inlineStr">
        <is>
          <t>Full-Time</t>
        </is>
      </c>
      <c r="K2124" s="7" t="n">
        <v>44940</v>
      </c>
      <c r="L2124" s="7" t="inlineStr"/>
      <c r="M2124" s="5" t="inlineStr">
        <is>
          <t>Yes</t>
        </is>
      </c>
      <c r="N2124" s="5" t="inlineStr"/>
      <c r="O2124" s="8" t="inlineStr">
        <is>
          <t>128500</t>
        </is>
      </c>
      <c r="P2124" s="5" t="inlineStr">
        <is>
          <t>0</t>
        </is>
      </c>
      <c r="Q2124" s="5" t="inlineStr">
        <is>
          <t>3</t>
        </is>
      </c>
      <c r="R2124" s="5" t="inlineStr">
        <is>
          <t>6</t>
        </is>
      </c>
      <c r="S2124" s="5" t="inlineStr">
        <is>
          <t>36</t>
        </is>
      </c>
      <c r="T2124" s="5" t="inlineStr">
        <is>
          <t>0</t>
        </is>
      </c>
      <c r="U2124" s="5">
        <f>IFS(C2124&lt;30,"Under 30",C2124&lt;40,"30-39",C2124&lt;50,"40-49",TRUE,"50+")</f>
        <v/>
      </c>
      <c r="V2124" s="5">
        <f>IFS(O2124&lt;60000,"Low (&lt;60k)",O2124&lt;100000,"Mid (60-100k)",TRUE,"High (100k+)")</f>
        <v/>
      </c>
      <c r="W2124" s="5">
        <f>IF(M2124="No","Attrited","Active")</f>
        <v/>
      </c>
    </row>
    <row r="2125">
      <c r="A2125" s="5" t="inlineStr">
        <is>
          <t>E02124</t>
        </is>
      </c>
      <c r="B2125" s="5" t="inlineStr">
        <is>
          <t>Male</t>
        </is>
      </c>
      <c r="C2125" s="6" t="inlineStr">
        <is>
          <t>33</t>
        </is>
      </c>
      <c r="D2125" s="5" t="inlineStr">
        <is>
          <t>Married</t>
        </is>
      </c>
      <c r="E2125" s="5" t="inlineStr">
        <is>
          <t>PhD</t>
        </is>
      </c>
      <c r="F2125" s="5" t="inlineStr">
        <is>
          <t>Operations</t>
        </is>
      </c>
      <c r="G2125" s="5" t="inlineStr">
        <is>
          <t>Operations Analyst</t>
        </is>
      </c>
      <c r="H2125" s="5" t="inlineStr">
        <is>
          <t>2</t>
        </is>
      </c>
      <c r="I2125" s="5" t="inlineStr">
        <is>
          <t>Hyderabad</t>
        </is>
      </c>
      <c r="J2125" s="5" t="inlineStr">
        <is>
          <t>Full-Time</t>
        </is>
      </c>
      <c r="K2125" s="7" t="n">
        <v>44266</v>
      </c>
      <c r="L2125" s="7" t="inlineStr"/>
      <c r="M2125" s="5" t="inlineStr">
        <is>
          <t>Yes</t>
        </is>
      </c>
      <c r="N2125" s="5" t="inlineStr"/>
      <c r="O2125" s="8" t="inlineStr">
        <is>
          <t>80500</t>
        </is>
      </c>
      <c r="P2125" s="5" t="inlineStr">
        <is>
          <t>5</t>
        </is>
      </c>
      <c r="Q2125" s="5" t="inlineStr">
        <is>
          <t>3</t>
        </is>
      </c>
      <c r="R2125" s="5" t="inlineStr">
        <is>
          <t>4</t>
        </is>
      </c>
      <c r="S2125" s="5" t="inlineStr">
        <is>
          <t>58</t>
        </is>
      </c>
      <c r="T2125" s="5" t="inlineStr">
        <is>
          <t>10</t>
        </is>
      </c>
      <c r="U2125" s="5">
        <f>IFS(C2125&lt;30,"Under 30",C2125&lt;40,"30-39",C2125&lt;50,"40-49",TRUE,"50+")</f>
        <v/>
      </c>
      <c r="V2125" s="5">
        <f>IFS(O2125&lt;60000,"Low (&lt;60k)",O2125&lt;100000,"Mid (60-100k)",TRUE,"High (100k+)")</f>
        <v/>
      </c>
      <c r="W2125" s="5">
        <f>IF(M2125="No","Attrited","Active")</f>
        <v/>
      </c>
    </row>
    <row r="2126">
      <c r="A2126" s="5" t="inlineStr">
        <is>
          <t>E02125</t>
        </is>
      </c>
      <c r="B2126" s="5" t="inlineStr">
        <is>
          <t>Female</t>
        </is>
      </c>
      <c r="C2126" s="6" t="inlineStr">
        <is>
          <t>36</t>
        </is>
      </c>
      <c r="D2126" s="5" t="inlineStr">
        <is>
          <t>Married</t>
        </is>
      </c>
      <c r="E2126" s="5" t="inlineStr">
        <is>
          <t>PhD</t>
        </is>
      </c>
      <c r="F2126" s="5" t="inlineStr">
        <is>
          <t>Marketing</t>
        </is>
      </c>
      <c r="G2126" s="5" t="inlineStr">
        <is>
          <t>SEO Specialist</t>
        </is>
      </c>
      <c r="H2126" s="5" t="inlineStr">
        <is>
          <t>7</t>
        </is>
      </c>
      <c r="I2126" s="5" t="inlineStr">
        <is>
          <t>Delhi</t>
        </is>
      </c>
      <c r="J2126" s="5" t="inlineStr">
        <is>
          <t>Full-Time</t>
        </is>
      </c>
      <c r="K2126" s="7" t="n">
        <v>45817</v>
      </c>
      <c r="L2126" s="7" t="n">
        <v>45951</v>
      </c>
      <c r="M2126" s="5" t="inlineStr">
        <is>
          <t>No</t>
        </is>
      </c>
      <c r="N2126" s="5" t="inlineStr">
        <is>
          <t>Performance / Termination</t>
        </is>
      </c>
      <c r="O2126" s="8" t="inlineStr">
        <is>
          <t>122500</t>
        </is>
      </c>
      <c r="P2126" s="5" t="inlineStr">
        <is>
          <t>10</t>
        </is>
      </c>
      <c r="Q2126" s="5" t="inlineStr">
        <is>
          <t>2</t>
        </is>
      </c>
      <c r="R2126" s="5" t="inlineStr">
        <is>
          <t>5</t>
        </is>
      </c>
      <c r="S2126" s="5" t="inlineStr">
        <is>
          <t>4</t>
        </is>
      </c>
      <c r="T2126" s="5" t="inlineStr">
        <is>
          <t>3</t>
        </is>
      </c>
      <c r="U2126" s="5">
        <f>IFS(C2126&lt;30,"Under 30",C2126&lt;40,"30-39",C2126&lt;50,"40-49",TRUE,"50+")</f>
        <v/>
      </c>
      <c r="V2126" s="5">
        <f>IFS(O2126&lt;60000,"Low (&lt;60k)",O2126&lt;100000,"Mid (60-100k)",TRUE,"High (100k+)")</f>
        <v/>
      </c>
      <c r="W2126" s="5">
        <f>IF(M2126="No","Attrited","Active")</f>
        <v/>
      </c>
    </row>
    <row r="2127">
      <c r="A2127" s="5" t="inlineStr">
        <is>
          <t>E02126</t>
        </is>
      </c>
      <c r="B2127" s="5" t="inlineStr">
        <is>
          <t>Female</t>
        </is>
      </c>
      <c r="C2127" s="6" t="inlineStr">
        <is>
          <t>34</t>
        </is>
      </c>
      <c r="D2127" s="5" t="inlineStr">
        <is>
          <t>Married</t>
        </is>
      </c>
      <c r="E2127" s="5" t="inlineStr">
        <is>
          <t>PhD</t>
        </is>
      </c>
      <c r="F2127" s="5" t="inlineStr">
        <is>
          <t>Customer Support</t>
        </is>
      </c>
      <c r="G2127" s="5" t="inlineStr">
        <is>
          <t>Support Agent</t>
        </is>
      </c>
      <c r="H2127" s="5" t="inlineStr">
        <is>
          <t>1</t>
        </is>
      </c>
      <c r="I2127" s="5" t="inlineStr">
        <is>
          <t>Remote</t>
        </is>
      </c>
      <c r="J2127" s="5" t="inlineStr">
        <is>
          <t>Part-Time</t>
        </is>
      </c>
      <c r="K2127" s="7" t="n">
        <v>44941</v>
      </c>
      <c r="L2127" s="7" t="n">
        <v>44991</v>
      </c>
      <c r="M2127" s="5" t="inlineStr">
        <is>
          <t>No</t>
        </is>
      </c>
      <c r="N2127" s="5" t="inlineStr">
        <is>
          <t>Resigned</t>
        </is>
      </c>
      <c r="O2127" s="8" t="inlineStr">
        <is>
          <t>61500</t>
        </is>
      </c>
      <c r="P2127" s="5" t="inlineStr">
        <is>
          <t>5</t>
        </is>
      </c>
      <c r="Q2127" s="5" t="inlineStr">
        <is>
          <t>3</t>
        </is>
      </c>
      <c r="R2127" s="5" t="inlineStr">
        <is>
          <t>7</t>
        </is>
      </c>
      <c r="S2127" s="5" t="inlineStr">
        <is>
          <t>1</t>
        </is>
      </c>
      <c r="T2127" s="5" t="inlineStr">
        <is>
          <t>14</t>
        </is>
      </c>
      <c r="U2127" s="5">
        <f>IFS(C2127&lt;30,"Under 30",C2127&lt;40,"30-39",C2127&lt;50,"40-49",TRUE,"50+")</f>
        <v/>
      </c>
      <c r="V2127" s="5">
        <f>IFS(O2127&lt;60000,"Low (&lt;60k)",O2127&lt;100000,"Mid (60-100k)",TRUE,"High (100k+)")</f>
        <v/>
      </c>
      <c r="W2127" s="5">
        <f>IF(M2127="No","Attrited","Active")</f>
        <v/>
      </c>
    </row>
    <row r="2128">
      <c r="A2128" s="5" t="inlineStr">
        <is>
          <t>E02127</t>
        </is>
      </c>
      <c r="B2128" s="5" t="inlineStr">
        <is>
          <t>Male</t>
        </is>
      </c>
      <c r="C2128" s="6" t="inlineStr">
        <is>
          <t>30</t>
        </is>
      </c>
      <c r="D2128" s="5" t="inlineStr">
        <is>
          <t>Married</t>
        </is>
      </c>
      <c r="E2128" s="5" t="inlineStr">
        <is>
          <t>Bachelor</t>
        </is>
      </c>
      <c r="F2128" s="5" t="inlineStr">
        <is>
          <t>IT</t>
        </is>
      </c>
      <c r="G2128" s="5" t="inlineStr">
        <is>
          <t>DevOps Engineer</t>
        </is>
      </c>
      <c r="H2128" s="5" t="inlineStr">
        <is>
          <t>1</t>
        </is>
      </c>
      <c r="I2128" s="5" t="inlineStr">
        <is>
          <t>Bengaluru</t>
        </is>
      </c>
      <c r="J2128" s="5" t="inlineStr">
        <is>
          <t>Full-Time</t>
        </is>
      </c>
      <c r="K2128" s="7" t="n">
        <v>44809</v>
      </c>
      <c r="L2128" s="7" t="n">
        <v>44941</v>
      </c>
      <c r="M2128" s="5" t="inlineStr">
        <is>
          <t>No</t>
        </is>
      </c>
      <c r="N2128" s="5" t="inlineStr">
        <is>
          <t>Resigned</t>
        </is>
      </c>
      <c r="O2128" s="8" t="inlineStr">
        <is>
          <t>142000</t>
        </is>
      </c>
      <c r="P2128" s="5" t="inlineStr">
        <is>
          <t>0</t>
        </is>
      </c>
      <c r="Q2128" s="5" t="inlineStr">
        <is>
          <t>3</t>
        </is>
      </c>
      <c r="R2128" s="5" t="inlineStr">
        <is>
          <t>5</t>
        </is>
      </c>
      <c r="S2128" s="5" t="inlineStr">
        <is>
          <t>4</t>
        </is>
      </c>
      <c r="T2128" s="5" t="inlineStr">
        <is>
          <t>2</t>
        </is>
      </c>
      <c r="U2128" s="5">
        <f>IFS(C2128&lt;30,"Under 30",C2128&lt;40,"30-39",C2128&lt;50,"40-49",TRUE,"50+")</f>
        <v/>
      </c>
      <c r="V2128" s="5">
        <f>IFS(O2128&lt;60000,"Low (&lt;60k)",O2128&lt;100000,"Mid (60-100k)",TRUE,"High (100k+)")</f>
        <v/>
      </c>
      <c r="W2128" s="5">
        <f>IF(M2128="No","Attrited","Active")</f>
        <v/>
      </c>
    </row>
    <row r="2129">
      <c r="A2129" s="5" t="inlineStr">
        <is>
          <t>E02128</t>
        </is>
      </c>
      <c r="B2129" s="5" t="inlineStr">
        <is>
          <t>Female</t>
        </is>
      </c>
      <c r="C2129" s="6" t="inlineStr">
        <is>
          <t>34</t>
        </is>
      </c>
      <c r="D2129" s="5" t="inlineStr">
        <is>
          <t>Married</t>
        </is>
      </c>
      <c r="E2129" s="5" t="inlineStr">
        <is>
          <t>Diploma</t>
        </is>
      </c>
      <c r="F2129" s="5" t="inlineStr">
        <is>
          <t>Research &amp; Development</t>
        </is>
      </c>
      <c r="G2129" s="5" t="inlineStr">
        <is>
          <t>Product Engineer</t>
        </is>
      </c>
      <c r="H2129" s="5" t="inlineStr">
        <is>
          <t>4</t>
        </is>
      </c>
      <c r="I2129" s="5" t="inlineStr">
        <is>
          <t>Hyderabad</t>
        </is>
      </c>
      <c r="J2129" s="5" t="inlineStr">
        <is>
          <t>Full-Time</t>
        </is>
      </c>
      <c r="K2129" s="7" t="n">
        <v>45612</v>
      </c>
      <c r="L2129" s="7" t="inlineStr"/>
      <c r="M2129" s="5" t="inlineStr">
        <is>
          <t>Yes</t>
        </is>
      </c>
      <c r="N2129" s="5" t="inlineStr"/>
      <c r="O2129" s="8" t="inlineStr">
        <is>
          <t>178500</t>
        </is>
      </c>
      <c r="P2129" s="5" t="inlineStr">
        <is>
          <t>0</t>
        </is>
      </c>
      <c r="Q2129" s="5" t="inlineStr">
        <is>
          <t>3</t>
        </is>
      </c>
      <c r="R2129" s="5" t="inlineStr">
        <is>
          <t>9</t>
        </is>
      </c>
      <c r="S2129" s="5" t="inlineStr">
        <is>
          <t>13</t>
        </is>
      </c>
      <c r="T2129" s="5" t="inlineStr">
        <is>
          <t>4</t>
        </is>
      </c>
      <c r="U2129" s="5">
        <f>IFS(C2129&lt;30,"Under 30",C2129&lt;40,"30-39",C2129&lt;50,"40-49",TRUE,"50+")</f>
        <v/>
      </c>
      <c r="V2129" s="5">
        <f>IFS(O2129&lt;60000,"Low (&lt;60k)",O2129&lt;100000,"Mid (60-100k)",TRUE,"High (100k+)")</f>
        <v/>
      </c>
      <c r="W2129" s="5">
        <f>IF(M2129="No","Attrited","Active")</f>
        <v/>
      </c>
    </row>
    <row r="2130">
      <c r="A2130" s="5" t="inlineStr">
        <is>
          <t>E02129</t>
        </is>
      </c>
      <c r="B2130" s="5" t="inlineStr">
        <is>
          <t>Male</t>
        </is>
      </c>
      <c r="C2130" s="6" t="inlineStr">
        <is>
          <t>40</t>
        </is>
      </c>
      <c r="D2130" s="5" t="inlineStr">
        <is>
          <t>Married</t>
        </is>
      </c>
      <c r="E2130" s="5" t="inlineStr">
        <is>
          <t>Bachelor</t>
        </is>
      </c>
      <c r="F2130" s="5" t="inlineStr">
        <is>
          <t>Executive</t>
        </is>
      </c>
      <c r="G2130" s="5" t="inlineStr">
        <is>
          <t>CFO</t>
        </is>
      </c>
      <c r="H2130" s="5" t="inlineStr">
        <is>
          <t>7</t>
        </is>
      </c>
      <c r="I2130" s="5" t="inlineStr">
        <is>
          <t>Remote</t>
        </is>
      </c>
      <c r="J2130" s="5" t="inlineStr">
        <is>
          <t>Full-Time</t>
        </is>
      </c>
      <c r="K2130" s="7" t="n">
        <v>45125</v>
      </c>
      <c r="L2130" s="7" t="inlineStr"/>
      <c r="M2130" s="5" t="inlineStr">
        <is>
          <t>Yes</t>
        </is>
      </c>
      <c r="N2130" s="5" t="inlineStr"/>
      <c r="O2130" s="8" t="inlineStr">
        <is>
          <t>282000</t>
        </is>
      </c>
      <c r="P2130" s="5" t="inlineStr">
        <is>
          <t>0</t>
        </is>
      </c>
      <c r="Q2130" s="5" t="inlineStr">
        <is>
          <t>3</t>
        </is>
      </c>
      <c r="R2130" s="5" t="inlineStr">
        <is>
          <t>4</t>
        </is>
      </c>
      <c r="S2130" s="5" t="inlineStr">
        <is>
          <t>29</t>
        </is>
      </c>
      <c r="T2130" s="5" t="inlineStr">
        <is>
          <t>0</t>
        </is>
      </c>
      <c r="U2130" s="5">
        <f>IFS(C2130&lt;30,"Under 30",C2130&lt;40,"30-39",C2130&lt;50,"40-49",TRUE,"50+")</f>
        <v/>
      </c>
      <c r="V2130" s="5">
        <f>IFS(O2130&lt;60000,"Low (&lt;60k)",O2130&lt;100000,"Mid (60-100k)",TRUE,"High (100k+)")</f>
        <v/>
      </c>
      <c r="W2130" s="5">
        <f>IF(M2130="No","Attrited","Active")</f>
        <v/>
      </c>
    </row>
    <row r="2131">
      <c r="A2131" s="5" t="inlineStr">
        <is>
          <t>E02130</t>
        </is>
      </c>
      <c r="B2131" s="5" t="inlineStr">
        <is>
          <t>Male</t>
        </is>
      </c>
      <c r="C2131" s="6" t="inlineStr">
        <is>
          <t>39</t>
        </is>
      </c>
      <c r="D2131" s="5" t="inlineStr">
        <is>
          <t>Married</t>
        </is>
      </c>
      <c r="E2131" s="5" t="inlineStr">
        <is>
          <t>Diploma</t>
        </is>
      </c>
      <c r="F2131" s="5" t="inlineStr">
        <is>
          <t>Operations</t>
        </is>
      </c>
      <c r="G2131" s="5" t="inlineStr">
        <is>
          <t>Operations Analyst</t>
        </is>
      </c>
      <c r="H2131" s="5" t="inlineStr">
        <is>
          <t>4</t>
        </is>
      </c>
      <c r="I2131" s="5" t="inlineStr">
        <is>
          <t>Mumbai</t>
        </is>
      </c>
      <c r="J2131" s="5" t="inlineStr">
        <is>
          <t>Full-Time</t>
        </is>
      </c>
      <c r="K2131" s="7" t="n">
        <v>44870</v>
      </c>
      <c r="L2131" s="7" t="inlineStr"/>
      <c r="M2131" s="5" t="inlineStr">
        <is>
          <t>Yes</t>
        </is>
      </c>
      <c r="N2131" s="5" t="inlineStr"/>
      <c r="O2131" s="8" t="inlineStr">
        <is>
          <t>109000</t>
        </is>
      </c>
      <c r="P2131" s="5" t="inlineStr">
        <is>
          <t>0</t>
        </is>
      </c>
      <c r="Q2131" s="5" t="inlineStr">
        <is>
          <t>4</t>
        </is>
      </c>
      <c r="R2131" s="5" t="inlineStr">
        <is>
          <t>5</t>
        </is>
      </c>
      <c r="S2131" s="5" t="inlineStr">
        <is>
          <t>38</t>
        </is>
      </c>
      <c r="T2131" s="5" t="inlineStr">
        <is>
          <t>17</t>
        </is>
      </c>
      <c r="U2131" s="5">
        <f>IFS(C2131&lt;30,"Under 30",C2131&lt;40,"30-39",C2131&lt;50,"40-49",TRUE,"50+")</f>
        <v/>
      </c>
      <c r="V2131" s="5">
        <f>IFS(O2131&lt;60000,"Low (&lt;60k)",O2131&lt;100000,"Mid (60-100k)",TRUE,"High (100k+)")</f>
        <v/>
      </c>
      <c r="W2131" s="5">
        <f>IF(M2131="No","Attrited","Active")</f>
        <v/>
      </c>
    </row>
    <row r="2132">
      <c r="A2132" s="5" t="inlineStr">
        <is>
          <t>E02131</t>
        </is>
      </c>
      <c r="B2132" s="5" t="inlineStr">
        <is>
          <t>Female</t>
        </is>
      </c>
      <c r="C2132" s="6" t="inlineStr">
        <is>
          <t>29</t>
        </is>
      </c>
      <c r="D2132" s="5" t="inlineStr">
        <is>
          <t>Married</t>
        </is>
      </c>
      <c r="E2132" s="5" t="inlineStr">
        <is>
          <t>Master</t>
        </is>
      </c>
      <c r="F2132" s="5" t="inlineStr">
        <is>
          <t>Operations</t>
        </is>
      </c>
      <c r="G2132" s="5" t="inlineStr">
        <is>
          <t>Quality Analyst</t>
        </is>
      </c>
      <c r="H2132" s="5" t="inlineStr">
        <is>
          <t>1</t>
        </is>
      </c>
      <c r="I2132" s="5" t="inlineStr">
        <is>
          <t>Chennai</t>
        </is>
      </c>
      <c r="J2132" s="5" t="inlineStr">
        <is>
          <t>Full-Time</t>
        </is>
      </c>
      <c r="K2132" s="7" t="n">
        <v>45574</v>
      </c>
      <c r="L2132" s="7" t="n">
        <v>45698</v>
      </c>
      <c r="M2132" s="5" t="inlineStr">
        <is>
          <t>No</t>
        </is>
      </c>
      <c r="N2132" s="5" t="inlineStr">
        <is>
          <t>Resigned</t>
        </is>
      </c>
      <c r="O2132" s="8" t="inlineStr">
        <is>
          <t>91500</t>
        </is>
      </c>
      <c r="P2132" s="5" t="inlineStr">
        <is>
          <t>0</t>
        </is>
      </c>
      <c r="Q2132" s="5" t="inlineStr">
        <is>
          <t>4</t>
        </is>
      </c>
      <c r="R2132" s="5" t="inlineStr">
        <is>
          <t>7</t>
        </is>
      </c>
      <c r="S2132" s="5" t="inlineStr">
        <is>
          <t>4</t>
        </is>
      </c>
      <c r="T2132" s="5" t="inlineStr">
        <is>
          <t>6</t>
        </is>
      </c>
      <c r="U2132" s="5">
        <f>IFS(C2132&lt;30,"Under 30",C2132&lt;40,"30-39",C2132&lt;50,"40-49",TRUE,"50+")</f>
        <v/>
      </c>
      <c r="V2132" s="5">
        <f>IFS(O2132&lt;60000,"Low (&lt;60k)",O2132&lt;100000,"Mid (60-100k)",TRUE,"High (100k+)")</f>
        <v/>
      </c>
      <c r="W2132" s="5">
        <f>IF(M2132="No","Attrited","Active")</f>
        <v/>
      </c>
    </row>
    <row r="2133">
      <c r="A2133" s="5" t="inlineStr">
        <is>
          <t>E02132</t>
        </is>
      </c>
      <c r="B2133" s="5" t="inlineStr">
        <is>
          <t>Female</t>
        </is>
      </c>
      <c r="C2133" s="6" t="inlineStr">
        <is>
          <t>27</t>
        </is>
      </c>
      <c r="D2133" s="5" t="inlineStr">
        <is>
          <t>Single</t>
        </is>
      </c>
      <c r="E2133" s="5" t="inlineStr">
        <is>
          <t>Bachelor</t>
        </is>
      </c>
      <c r="F2133" s="5" t="inlineStr">
        <is>
          <t>Sales</t>
        </is>
      </c>
      <c r="G2133" s="5" t="inlineStr">
        <is>
          <t>Business Development</t>
        </is>
      </c>
      <c r="H2133" s="5" t="inlineStr">
        <is>
          <t>2</t>
        </is>
      </c>
      <c r="I2133" s="5" t="inlineStr">
        <is>
          <t>Hyderabad</t>
        </is>
      </c>
      <c r="J2133" s="5" t="inlineStr">
        <is>
          <t>Full-Time</t>
        </is>
      </c>
      <c r="K2133" s="7" t="n">
        <v>44018</v>
      </c>
      <c r="L2133" s="7" t="inlineStr"/>
      <c r="M2133" s="5" t="inlineStr">
        <is>
          <t>Yes</t>
        </is>
      </c>
      <c r="N2133" s="5" t="inlineStr"/>
      <c r="O2133" s="8" t="inlineStr">
        <is>
          <t>91000</t>
        </is>
      </c>
      <c r="P2133" s="5" t="inlineStr">
        <is>
          <t>15</t>
        </is>
      </c>
      <c r="Q2133" s="5" t="inlineStr">
        <is>
          <t>3</t>
        </is>
      </c>
      <c r="R2133" s="5" t="inlineStr">
        <is>
          <t>4</t>
        </is>
      </c>
      <c r="S2133" s="5" t="inlineStr">
        <is>
          <t>66</t>
        </is>
      </c>
      <c r="T2133" s="5" t="inlineStr">
        <is>
          <t>10</t>
        </is>
      </c>
      <c r="U2133" s="5">
        <f>IFS(C2133&lt;30,"Under 30",C2133&lt;40,"30-39",C2133&lt;50,"40-49",TRUE,"50+")</f>
        <v/>
      </c>
      <c r="V2133" s="5">
        <f>IFS(O2133&lt;60000,"Low (&lt;60k)",O2133&lt;100000,"Mid (60-100k)",TRUE,"High (100k+)")</f>
        <v/>
      </c>
      <c r="W2133" s="5">
        <f>IF(M2133="No","Attrited","Active")</f>
        <v/>
      </c>
    </row>
    <row r="2134">
      <c r="A2134" s="5" t="inlineStr">
        <is>
          <t>E02133</t>
        </is>
      </c>
      <c r="B2134" s="5" t="inlineStr">
        <is>
          <t>Female</t>
        </is>
      </c>
      <c r="C2134" s="6" t="inlineStr">
        <is>
          <t>34</t>
        </is>
      </c>
      <c r="D2134" s="5" t="inlineStr">
        <is>
          <t>Single</t>
        </is>
      </c>
      <c r="E2134" s="5" t="inlineStr">
        <is>
          <t>Bachelor</t>
        </is>
      </c>
      <c r="F2134" s="5" t="inlineStr">
        <is>
          <t>Sales</t>
        </is>
      </c>
      <c r="G2134" s="5" t="inlineStr">
        <is>
          <t>Sales Executive</t>
        </is>
      </c>
      <c r="H2134" s="5" t="inlineStr">
        <is>
          <t>4</t>
        </is>
      </c>
      <c r="I2134" s="5" t="inlineStr">
        <is>
          <t>Remote</t>
        </is>
      </c>
      <c r="J2134" s="5" t="inlineStr">
        <is>
          <t>Part-Time</t>
        </is>
      </c>
      <c r="K2134" s="7" t="n">
        <v>44576</v>
      </c>
      <c r="L2134" s="7" t="inlineStr"/>
      <c r="M2134" s="5" t="inlineStr">
        <is>
          <t>Yes</t>
        </is>
      </c>
      <c r="N2134" s="5" t="inlineStr"/>
      <c r="O2134" s="8" t="inlineStr">
        <is>
          <t>94500</t>
        </is>
      </c>
      <c r="P2134" s="5" t="inlineStr">
        <is>
          <t>5</t>
        </is>
      </c>
      <c r="Q2134" s="5" t="inlineStr">
        <is>
          <t>3</t>
        </is>
      </c>
      <c r="R2134" s="5" t="inlineStr">
        <is>
          <t>8</t>
        </is>
      </c>
      <c r="S2134" s="5" t="inlineStr">
        <is>
          <t>48</t>
        </is>
      </c>
      <c r="T2134" s="5" t="inlineStr">
        <is>
          <t>13</t>
        </is>
      </c>
      <c r="U2134" s="5">
        <f>IFS(C2134&lt;30,"Under 30",C2134&lt;40,"30-39",C2134&lt;50,"40-49",TRUE,"50+")</f>
        <v/>
      </c>
      <c r="V2134" s="5">
        <f>IFS(O2134&lt;60000,"Low (&lt;60k)",O2134&lt;100000,"Mid (60-100k)",TRUE,"High (100k+)")</f>
        <v/>
      </c>
      <c r="W2134" s="5">
        <f>IF(M2134="No","Attrited","Active")</f>
        <v/>
      </c>
    </row>
    <row r="2135">
      <c r="A2135" s="5" t="inlineStr">
        <is>
          <t>E02134</t>
        </is>
      </c>
      <c r="B2135" s="5" t="inlineStr">
        <is>
          <t>Male</t>
        </is>
      </c>
      <c r="C2135" s="6" t="inlineStr">
        <is>
          <t>33</t>
        </is>
      </c>
      <c r="D2135" s="5" t="inlineStr">
        <is>
          <t>Single</t>
        </is>
      </c>
      <c r="E2135" s="5" t="inlineStr">
        <is>
          <t>Bachelor</t>
        </is>
      </c>
      <c r="F2135" s="5" t="inlineStr">
        <is>
          <t>Research &amp; Development</t>
        </is>
      </c>
      <c r="G2135" s="5" t="inlineStr">
        <is>
          <t>Product Engineer</t>
        </is>
      </c>
      <c r="H2135" s="5" t="inlineStr">
        <is>
          <t>6</t>
        </is>
      </c>
      <c r="I2135" s="5" t="inlineStr">
        <is>
          <t>Hyderabad</t>
        </is>
      </c>
      <c r="J2135" s="5" t="inlineStr">
        <is>
          <t>Full-Time</t>
        </is>
      </c>
      <c r="K2135" s="7" t="n">
        <v>45690</v>
      </c>
      <c r="L2135" s="7" t="inlineStr"/>
      <c r="M2135" s="5" t="inlineStr">
        <is>
          <t>Yes</t>
        </is>
      </c>
      <c r="N2135" s="5" t="inlineStr"/>
      <c r="O2135" s="8" t="inlineStr">
        <is>
          <t>252000</t>
        </is>
      </c>
      <c r="P2135" s="5" t="inlineStr">
        <is>
          <t>0</t>
        </is>
      </c>
      <c r="Q2135" s="5" t="inlineStr">
        <is>
          <t>5</t>
        </is>
      </c>
      <c r="R2135" s="5" t="inlineStr">
        <is>
          <t>5</t>
        </is>
      </c>
      <c r="S2135" s="5" t="inlineStr">
        <is>
          <t>11</t>
        </is>
      </c>
      <c r="T2135" s="5" t="inlineStr">
        <is>
          <t>12</t>
        </is>
      </c>
      <c r="U2135" s="5">
        <f>IFS(C2135&lt;30,"Under 30",C2135&lt;40,"30-39",C2135&lt;50,"40-49",TRUE,"50+")</f>
        <v/>
      </c>
      <c r="V2135" s="5">
        <f>IFS(O2135&lt;60000,"Low (&lt;60k)",O2135&lt;100000,"Mid (60-100k)",TRUE,"High (100k+)")</f>
        <v/>
      </c>
      <c r="W2135" s="5">
        <f>IF(M2135="No","Attrited","Active")</f>
        <v/>
      </c>
    </row>
    <row r="2136">
      <c r="A2136" s="5" t="inlineStr">
        <is>
          <t>E02135</t>
        </is>
      </c>
      <c r="B2136" s="5" t="inlineStr">
        <is>
          <t>Male</t>
        </is>
      </c>
      <c r="C2136" s="6" t="inlineStr">
        <is>
          <t>33</t>
        </is>
      </c>
      <c r="D2136" s="5" t="inlineStr">
        <is>
          <t>Married</t>
        </is>
      </c>
      <c r="E2136" s="5" t="inlineStr">
        <is>
          <t>Diploma</t>
        </is>
      </c>
      <c r="F2136" s="5" t="inlineStr">
        <is>
          <t>Sales</t>
        </is>
      </c>
      <c r="G2136" s="5" t="inlineStr">
        <is>
          <t>Business Development</t>
        </is>
      </c>
      <c r="H2136" s="5" t="inlineStr">
        <is>
          <t>1</t>
        </is>
      </c>
      <c r="I2136" s="5" t="inlineStr">
        <is>
          <t>Bengaluru</t>
        </is>
      </c>
      <c r="J2136" s="5" t="inlineStr">
        <is>
          <t>Full-Time</t>
        </is>
      </c>
      <c r="K2136" s="7" t="n">
        <v>44667</v>
      </c>
      <c r="L2136" s="7" t="inlineStr"/>
      <c r="M2136" s="5" t="inlineStr">
        <is>
          <t>Yes</t>
        </is>
      </c>
      <c r="N2136" s="5" t="inlineStr"/>
      <c r="O2136" s="8" t="inlineStr">
        <is>
          <t>81500</t>
        </is>
      </c>
      <c r="P2136" s="5" t="inlineStr">
        <is>
          <t>5</t>
        </is>
      </c>
      <c r="Q2136" s="5" t="inlineStr">
        <is>
          <t>3</t>
        </is>
      </c>
      <c r="R2136" s="5" t="inlineStr">
        <is>
          <t>5</t>
        </is>
      </c>
      <c r="S2136" s="5" t="inlineStr">
        <is>
          <t>45</t>
        </is>
      </c>
      <c r="T2136" s="5" t="inlineStr">
        <is>
          <t>7</t>
        </is>
      </c>
      <c r="U2136" s="5">
        <f>IFS(C2136&lt;30,"Under 30",C2136&lt;40,"30-39",C2136&lt;50,"40-49",TRUE,"50+")</f>
        <v/>
      </c>
      <c r="V2136" s="5">
        <f>IFS(O2136&lt;60000,"Low (&lt;60k)",O2136&lt;100000,"Mid (60-100k)",TRUE,"High (100k+)")</f>
        <v/>
      </c>
      <c r="W2136" s="5">
        <f>IF(M2136="No","Attrited","Active")</f>
        <v/>
      </c>
    </row>
    <row r="2137">
      <c r="A2137" s="5" t="inlineStr">
        <is>
          <t>E02136</t>
        </is>
      </c>
      <c r="B2137" s="5" t="inlineStr">
        <is>
          <t>Male</t>
        </is>
      </c>
      <c r="C2137" s="6" t="inlineStr">
        <is>
          <t>25</t>
        </is>
      </c>
      <c r="D2137" s="5" t="inlineStr">
        <is>
          <t>Married</t>
        </is>
      </c>
      <c r="E2137" s="5" t="inlineStr">
        <is>
          <t>Bachelor</t>
        </is>
      </c>
      <c r="F2137" s="5" t="inlineStr">
        <is>
          <t>Marketing</t>
        </is>
      </c>
      <c r="G2137" s="5" t="inlineStr">
        <is>
          <t>Content Writer</t>
        </is>
      </c>
      <c r="H2137" s="5" t="inlineStr">
        <is>
          <t>2</t>
        </is>
      </c>
      <c r="I2137" s="5" t="inlineStr">
        <is>
          <t>Hyderabad</t>
        </is>
      </c>
      <c r="J2137" s="5" t="inlineStr">
        <is>
          <t>Full-Time</t>
        </is>
      </c>
      <c r="K2137" s="7" t="n">
        <v>45695</v>
      </c>
      <c r="L2137" s="7" t="inlineStr"/>
      <c r="M2137" s="5" t="inlineStr">
        <is>
          <t>Yes</t>
        </is>
      </c>
      <c r="N2137" s="5" t="inlineStr"/>
      <c r="O2137" s="8" t="inlineStr">
        <is>
          <t>95500</t>
        </is>
      </c>
      <c r="P2137" s="5" t="inlineStr">
        <is>
          <t>20</t>
        </is>
      </c>
      <c r="Q2137" s="5" t="inlineStr">
        <is>
          <t>4</t>
        </is>
      </c>
      <c r="R2137" s="5" t="inlineStr">
        <is>
          <t>6</t>
        </is>
      </c>
      <c r="S2137" s="5" t="inlineStr">
        <is>
          <t>10</t>
        </is>
      </c>
      <c r="T2137" s="5" t="inlineStr">
        <is>
          <t>6</t>
        </is>
      </c>
      <c r="U2137" s="5">
        <f>IFS(C2137&lt;30,"Under 30",C2137&lt;40,"30-39",C2137&lt;50,"40-49",TRUE,"50+")</f>
        <v/>
      </c>
      <c r="V2137" s="5">
        <f>IFS(O2137&lt;60000,"Low (&lt;60k)",O2137&lt;100000,"Mid (60-100k)",TRUE,"High (100k+)")</f>
        <v/>
      </c>
      <c r="W2137" s="5">
        <f>IF(M2137="No","Attrited","Active")</f>
        <v/>
      </c>
    </row>
    <row r="2138">
      <c r="A2138" s="5" t="inlineStr">
        <is>
          <t>E02137</t>
        </is>
      </c>
      <c r="B2138" s="5" t="inlineStr">
        <is>
          <t>Female</t>
        </is>
      </c>
      <c r="C2138" s="6" t="inlineStr">
        <is>
          <t>39</t>
        </is>
      </c>
      <c r="D2138" s="5" t="inlineStr">
        <is>
          <t>Single</t>
        </is>
      </c>
      <c r="E2138" s="5" t="inlineStr">
        <is>
          <t>Master</t>
        </is>
      </c>
      <c r="F2138" s="5" t="inlineStr">
        <is>
          <t>Operations</t>
        </is>
      </c>
      <c r="G2138" s="5" t="inlineStr">
        <is>
          <t>Quality Analyst</t>
        </is>
      </c>
      <c r="H2138" s="5" t="inlineStr">
        <is>
          <t>6</t>
        </is>
      </c>
      <c r="I2138" s="5" t="inlineStr">
        <is>
          <t>Delhi</t>
        </is>
      </c>
      <c r="J2138" s="5" t="inlineStr">
        <is>
          <t>Full-Time</t>
        </is>
      </c>
      <c r="K2138" s="7" t="n">
        <v>44971</v>
      </c>
      <c r="L2138" s="7" t="inlineStr"/>
      <c r="M2138" s="5" t="inlineStr">
        <is>
          <t>Yes</t>
        </is>
      </c>
      <c r="N2138" s="5" t="inlineStr"/>
      <c r="O2138" s="8" t="inlineStr">
        <is>
          <t>102500</t>
        </is>
      </c>
      <c r="P2138" s="5" t="inlineStr">
        <is>
          <t>0</t>
        </is>
      </c>
      <c r="Q2138" s="5" t="inlineStr">
        <is>
          <t>5</t>
        </is>
      </c>
      <c r="R2138" s="5" t="inlineStr">
        <is>
          <t>8</t>
        </is>
      </c>
      <c r="S2138" s="5" t="inlineStr">
        <is>
          <t>35</t>
        </is>
      </c>
      <c r="T2138" s="5" t="inlineStr">
        <is>
          <t>11</t>
        </is>
      </c>
      <c r="U2138" s="5">
        <f>IFS(C2138&lt;30,"Under 30",C2138&lt;40,"30-39",C2138&lt;50,"40-49",TRUE,"50+")</f>
        <v/>
      </c>
      <c r="V2138" s="5">
        <f>IFS(O2138&lt;60000,"Low (&lt;60k)",O2138&lt;100000,"Mid (60-100k)",TRUE,"High (100k+)")</f>
        <v/>
      </c>
      <c r="W2138" s="5">
        <f>IF(M2138="No","Attrited","Active")</f>
        <v/>
      </c>
    </row>
    <row r="2139">
      <c r="A2139" s="5" t="inlineStr">
        <is>
          <t>E02138</t>
        </is>
      </c>
      <c r="B2139" s="5" t="inlineStr">
        <is>
          <t>Male</t>
        </is>
      </c>
      <c r="C2139" s="6" t="inlineStr">
        <is>
          <t>38</t>
        </is>
      </c>
      <c r="D2139" s="5" t="inlineStr">
        <is>
          <t>Single</t>
        </is>
      </c>
      <c r="E2139" s="5" t="inlineStr">
        <is>
          <t>PhD</t>
        </is>
      </c>
      <c r="F2139" s="5" t="inlineStr">
        <is>
          <t>Sales</t>
        </is>
      </c>
      <c r="G2139" s="5" t="inlineStr">
        <is>
          <t>Account Executive</t>
        </is>
      </c>
      <c r="H2139" s="5" t="inlineStr">
        <is>
          <t>3</t>
        </is>
      </c>
      <c r="I2139" s="5" t="inlineStr">
        <is>
          <t>Remote</t>
        </is>
      </c>
      <c r="J2139" s="5" t="inlineStr">
        <is>
          <t>Full-Time</t>
        </is>
      </c>
      <c r="K2139" s="7" t="n">
        <v>44027</v>
      </c>
      <c r="L2139" s="7" t="inlineStr"/>
      <c r="M2139" s="5" t="inlineStr">
        <is>
          <t>Yes</t>
        </is>
      </c>
      <c r="N2139" s="5" t="inlineStr"/>
      <c r="O2139" s="8" t="inlineStr">
        <is>
          <t>107500</t>
        </is>
      </c>
      <c r="P2139" s="5" t="inlineStr">
        <is>
          <t>0</t>
        </is>
      </c>
      <c r="Q2139" s="5" t="inlineStr">
        <is>
          <t>4</t>
        </is>
      </c>
      <c r="R2139" s="5" t="inlineStr">
        <is>
          <t>5</t>
        </is>
      </c>
      <c r="S2139" s="5" t="inlineStr">
        <is>
          <t>66</t>
        </is>
      </c>
      <c r="T2139" s="5" t="inlineStr">
        <is>
          <t>9</t>
        </is>
      </c>
      <c r="U2139" s="5">
        <f>IFS(C2139&lt;30,"Under 30",C2139&lt;40,"30-39",C2139&lt;50,"40-49",TRUE,"50+")</f>
        <v/>
      </c>
      <c r="V2139" s="5">
        <f>IFS(O2139&lt;60000,"Low (&lt;60k)",O2139&lt;100000,"Mid (60-100k)",TRUE,"High (100k+)")</f>
        <v/>
      </c>
      <c r="W2139" s="5">
        <f>IF(M2139="No","Attrited","Active")</f>
        <v/>
      </c>
    </row>
    <row r="2140">
      <c r="A2140" s="5" t="inlineStr">
        <is>
          <t>E02139</t>
        </is>
      </c>
      <c r="B2140" s="5" t="inlineStr">
        <is>
          <t>Female</t>
        </is>
      </c>
      <c r="C2140" s="6" t="inlineStr">
        <is>
          <t>31</t>
        </is>
      </c>
      <c r="D2140" s="5" t="inlineStr">
        <is>
          <t>Married</t>
        </is>
      </c>
      <c r="E2140" s="5" t="inlineStr">
        <is>
          <t>PhD</t>
        </is>
      </c>
      <c r="F2140" s="5" t="inlineStr">
        <is>
          <t>Human Resources</t>
        </is>
      </c>
      <c r="G2140" s="5" t="inlineStr">
        <is>
          <t>HR Generalist</t>
        </is>
      </c>
      <c r="H2140" s="5" t="inlineStr">
        <is>
          <t>3</t>
        </is>
      </c>
      <c r="I2140" s="5" t="inlineStr">
        <is>
          <t>Hyderabad</t>
        </is>
      </c>
      <c r="J2140" s="5" t="inlineStr">
        <is>
          <t>Contract</t>
        </is>
      </c>
      <c r="K2140" s="7" t="n">
        <v>44791</v>
      </c>
      <c r="L2140" s="7" t="inlineStr"/>
      <c r="M2140" s="5" t="inlineStr">
        <is>
          <t>Yes</t>
        </is>
      </c>
      <c r="N2140" s="5" t="inlineStr"/>
      <c r="O2140" s="8" t="inlineStr">
        <is>
          <t>99000</t>
        </is>
      </c>
      <c r="P2140" s="5" t="inlineStr">
        <is>
          <t>0</t>
        </is>
      </c>
      <c r="Q2140" s="5" t="inlineStr">
        <is>
          <t>2</t>
        </is>
      </c>
      <c r="R2140" s="5" t="inlineStr">
        <is>
          <t>4</t>
        </is>
      </c>
      <c r="S2140" s="5" t="inlineStr">
        <is>
          <t>41</t>
        </is>
      </c>
      <c r="T2140" s="5" t="inlineStr">
        <is>
          <t>4</t>
        </is>
      </c>
      <c r="U2140" s="5">
        <f>IFS(C2140&lt;30,"Under 30",C2140&lt;40,"30-39",C2140&lt;50,"40-49",TRUE,"50+")</f>
        <v/>
      </c>
      <c r="V2140" s="5">
        <f>IFS(O2140&lt;60000,"Low (&lt;60k)",O2140&lt;100000,"Mid (60-100k)",TRUE,"High (100k+)")</f>
        <v/>
      </c>
      <c r="W2140" s="5">
        <f>IF(M2140="No","Attrited","Active")</f>
        <v/>
      </c>
    </row>
    <row r="2141">
      <c r="A2141" s="5" t="inlineStr">
        <is>
          <t>E02140</t>
        </is>
      </c>
      <c r="B2141" s="5" t="inlineStr">
        <is>
          <t>Male</t>
        </is>
      </c>
      <c r="C2141" s="6" t="inlineStr">
        <is>
          <t>37</t>
        </is>
      </c>
      <c r="D2141" s="5" t="inlineStr">
        <is>
          <t>Married</t>
        </is>
      </c>
      <c r="E2141" s="5" t="inlineStr">
        <is>
          <t>Master</t>
        </is>
      </c>
      <c r="F2141" s="5" t="inlineStr">
        <is>
          <t>Sales</t>
        </is>
      </c>
      <c r="G2141" s="5" t="inlineStr">
        <is>
          <t>Business Development</t>
        </is>
      </c>
      <c r="H2141" s="5" t="inlineStr">
        <is>
          <t>4</t>
        </is>
      </c>
      <c r="I2141" s="5" t="inlineStr">
        <is>
          <t>Delhi</t>
        </is>
      </c>
      <c r="J2141" s="5" t="inlineStr">
        <is>
          <t>Contract</t>
        </is>
      </c>
      <c r="K2141" s="7" t="n">
        <v>44870</v>
      </c>
      <c r="L2141" s="7" t="inlineStr"/>
      <c r="M2141" s="5" t="inlineStr">
        <is>
          <t>Yes</t>
        </is>
      </c>
      <c r="N2141" s="5" t="inlineStr"/>
      <c r="O2141" s="8" t="inlineStr">
        <is>
          <t>95500</t>
        </is>
      </c>
      <c r="P2141" s="5" t="inlineStr">
        <is>
          <t>10</t>
        </is>
      </c>
      <c r="Q2141" s="5" t="inlineStr">
        <is>
          <t>5</t>
        </is>
      </c>
      <c r="R2141" s="5" t="inlineStr">
        <is>
          <t>4</t>
        </is>
      </c>
      <c r="S2141" s="5" t="inlineStr">
        <is>
          <t>38</t>
        </is>
      </c>
      <c r="T2141" s="5" t="inlineStr">
        <is>
          <t>7</t>
        </is>
      </c>
      <c r="U2141" s="5">
        <f>IFS(C2141&lt;30,"Under 30",C2141&lt;40,"30-39",C2141&lt;50,"40-49",TRUE,"50+")</f>
        <v/>
      </c>
      <c r="V2141" s="5">
        <f>IFS(O2141&lt;60000,"Low (&lt;60k)",O2141&lt;100000,"Mid (60-100k)",TRUE,"High (100k+)")</f>
        <v/>
      </c>
      <c r="W2141" s="5">
        <f>IF(M2141="No","Attrited","Active")</f>
        <v/>
      </c>
    </row>
    <row r="2142">
      <c r="A2142" s="5" t="inlineStr">
        <is>
          <t>E02141</t>
        </is>
      </c>
      <c r="B2142" s="5" t="inlineStr">
        <is>
          <t>Female</t>
        </is>
      </c>
      <c r="C2142" s="6" t="inlineStr">
        <is>
          <t>35</t>
        </is>
      </c>
      <c r="D2142" s="5" t="inlineStr">
        <is>
          <t>Single</t>
        </is>
      </c>
      <c r="E2142" s="5" t="inlineStr">
        <is>
          <t>High School</t>
        </is>
      </c>
      <c r="F2142" s="5" t="inlineStr">
        <is>
          <t>Finance</t>
        </is>
      </c>
      <c r="G2142" s="5" t="inlineStr">
        <is>
          <t>Financial Analyst</t>
        </is>
      </c>
      <c r="H2142" s="5" t="inlineStr">
        <is>
          <t>6</t>
        </is>
      </c>
      <c r="I2142" s="5" t="inlineStr">
        <is>
          <t>Delhi</t>
        </is>
      </c>
      <c r="J2142" s="5" t="inlineStr">
        <is>
          <t>Full-Time</t>
        </is>
      </c>
      <c r="K2142" s="7" t="n">
        <v>44066</v>
      </c>
      <c r="L2142" s="7" t="inlineStr"/>
      <c r="M2142" s="5" t="inlineStr">
        <is>
          <t>Yes</t>
        </is>
      </c>
      <c r="N2142" s="5" t="inlineStr"/>
      <c r="O2142" s="8" t="inlineStr">
        <is>
          <t>140000</t>
        </is>
      </c>
      <c r="P2142" s="5" t="inlineStr">
        <is>
          <t>5</t>
        </is>
      </c>
      <c r="Q2142" s="5" t="inlineStr">
        <is>
          <t>4</t>
        </is>
      </c>
      <c r="R2142" s="5" t="inlineStr">
        <is>
          <t>7</t>
        </is>
      </c>
      <c r="S2142" s="5" t="inlineStr">
        <is>
          <t>65</t>
        </is>
      </c>
      <c r="T2142" s="5" t="inlineStr">
        <is>
          <t>12</t>
        </is>
      </c>
      <c r="U2142" s="5">
        <f>IFS(C2142&lt;30,"Under 30",C2142&lt;40,"30-39",C2142&lt;50,"40-49",TRUE,"50+")</f>
        <v/>
      </c>
      <c r="V2142" s="5">
        <f>IFS(O2142&lt;60000,"Low (&lt;60k)",O2142&lt;100000,"Mid (60-100k)",TRUE,"High (100k+)")</f>
        <v/>
      </c>
      <c r="W2142" s="5">
        <f>IF(M2142="No","Attrited","Active")</f>
        <v/>
      </c>
    </row>
    <row r="2143">
      <c r="A2143" s="5" t="inlineStr">
        <is>
          <t>E02142</t>
        </is>
      </c>
      <c r="B2143" s="5" t="inlineStr">
        <is>
          <t>Male</t>
        </is>
      </c>
      <c r="C2143" s="6" t="inlineStr">
        <is>
          <t>28</t>
        </is>
      </c>
      <c r="D2143" s="5" t="inlineStr">
        <is>
          <t>Married</t>
        </is>
      </c>
      <c r="E2143" s="5" t="inlineStr">
        <is>
          <t>High School</t>
        </is>
      </c>
      <c r="F2143" s="5" t="inlineStr">
        <is>
          <t>Human Resources</t>
        </is>
      </c>
      <c r="G2143" s="5" t="inlineStr">
        <is>
          <t>Recruiter</t>
        </is>
      </c>
      <c r="H2143" s="5" t="inlineStr">
        <is>
          <t>3</t>
        </is>
      </c>
      <c r="I2143" s="5" t="inlineStr">
        <is>
          <t>Mumbai</t>
        </is>
      </c>
      <c r="J2143" s="5" t="inlineStr">
        <is>
          <t>Full-Time</t>
        </is>
      </c>
      <c r="K2143" s="7" t="n">
        <v>45985</v>
      </c>
      <c r="L2143" s="7" t="inlineStr"/>
      <c r="M2143" s="5" t="inlineStr">
        <is>
          <t>Yes</t>
        </is>
      </c>
      <c r="N2143" s="5" t="inlineStr"/>
      <c r="O2143" s="8" t="inlineStr">
        <is>
          <t>120500</t>
        </is>
      </c>
      <c r="P2143" s="5" t="inlineStr">
        <is>
          <t>10</t>
        </is>
      </c>
      <c r="Q2143" s="5" t="inlineStr">
        <is>
          <t>2</t>
        </is>
      </c>
      <c r="R2143" s="5" t="inlineStr">
        <is>
          <t>3</t>
        </is>
      </c>
      <c r="S2143" s="5" t="inlineStr">
        <is>
          <t>1</t>
        </is>
      </c>
      <c r="T2143" s="5" t="inlineStr">
        <is>
          <t>4</t>
        </is>
      </c>
      <c r="U2143" s="5">
        <f>IFS(C2143&lt;30,"Under 30",C2143&lt;40,"30-39",C2143&lt;50,"40-49",TRUE,"50+")</f>
        <v/>
      </c>
      <c r="V2143" s="5">
        <f>IFS(O2143&lt;60000,"Low (&lt;60k)",O2143&lt;100000,"Mid (60-100k)",TRUE,"High (100k+)")</f>
        <v/>
      </c>
      <c r="W2143" s="5">
        <f>IF(M2143="No","Attrited","Active")</f>
        <v/>
      </c>
    </row>
    <row r="2144">
      <c r="A2144" s="5" t="inlineStr">
        <is>
          <t>E02143</t>
        </is>
      </c>
      <c r="B2144" s="5" t="inlineStr">
        <is>
          <t>Male</t>
        </is>
      </c>
      <c r="C2144" s="6" t="inlineStr">
        <is>
          <t>35</t>
        </is>
      </c>
      <c r="D2144" s="5" t="inlineStr">
        <is>
          <t>Married</t>
        </is>
      </c>
      <c r="E2144" s="5" t="inlineStr">
        <is>
          <t>High School</t>
        </is>
      </c>
      <c r="F2144" s="5" t="inlineStr">
        <is>
          <t>Sales</t>
        </is>
      </c>
      <c r="G2144" s="5" t="inlineStr">
        <is>
          <t>Business Development</t>
        </is>
      </c>
      <c r="H2144" s="5" t="inlineStr">
        <is>
          <t>2</t>
        </is>
      </c>
      <c r="I2144" s="5" t="inlineStr">
        <is>
          <t>Chennai</t>
        </is>
      </c>
      <c r="J2144" s="5" t="inlineStr">
        <is>
          <t>Full-Time</t>
        </is>
      </c>
      <c r="K2144" s="7" t="n">
        <v>45991</v>
      </c>
      <c r="L2144" s="7" t="n">
        <v>46006</v>
      </c>
      <c r="M2144" s="5" t="inlineStr">
        <is>
          <t>No</t>
        </is>
      </c>
      <c r="N2144" s="5" t="inlineStr">
        <is>
          <t>Relocation</t>
        </is>
      </c>
      <c r="O2144" s="8" t="inlineStr">
        <is>
          <t>117000</t>
        </is>
      </c>
      <c r="P2144" s="5" t="inlineStr">
        <is>
          <t>0</t>
        </is>
      </c>
      <c r="Q2144" s="5" t="inlineStr">
        <is>
          <t>5</t>
        </is>
      </c>
      <c r="R2144" s="5" t="inlineStr">
        <is>
          <t>9</t>
        </is>
      </c>
      <c r="S2144" s="5" t="inlineStr">
        <is>
          <t>1</t>
        </is>
      </c>
      <c r="T2144" s="5" t="inlineStr">
        <is>
          <t>16</t>
        </is>
      </c>
      <c r="U2144" s="5">
        <f>IFS(C2144&lt;30,"Under 30",C2144&lt;40,"30-39",C2144&lt;50,"40-49",TRUE,"50+")</f>
        <v/>
      </c>
      <c r="V2144" s="5">
        <f>IFS(O2144&lt;60000,"Low (&lt;60k)",O2144&lt;100000,"Mid (60-100k)",TRUE,"High (100k+)")</f>
        <v/>
      </c>
      <c r="W2144" s="5">
        <f>IF(M2144="No","Attrited","Active")</f>
        <v/>
      </c>
    </row>
    <row r="2145">
      <c r="A2145" s="5" t="inlineStr">
        <is>
          <t>E02144</t>
        </is>
      </c>
      <c r="B2145" s="5" t="inlineStr">
        <is>
          <t>Male</t>
        </is>
      </c>
      <c r="C2145" s="6" t="inlineStr">
        <is>
          <t>35</t>
        </is>
      </c>
      <c r="D2145" s="5" t="inlineStr">
        <is>
          <t>Married</t>
        </is>
      </c>
      <c r="E2145" s="5" t="inlineStr">
        <is>
          <t>High School</t>
        </is>
      </c>
      <c r="F2145" s="5" t="inlineStr">
        <is>
          <t>Marketing</t>
        </is>
      </c>
      <c r="G2145" s="5" t="inlineStr">
        <is>
          <t>SEO Specialist</t>
        </is>
      </c>
      <c r="H2145" s="5" t="inlineStr">
        <is>
          <t>2</t>
        </is>
      </c>
      <c r="I2145" s="5" t="inlineStr">
        <is>
          <t>Delhi</t>
        </is>
      </c>
      <c r="J2145" s="5" t="inlineStr">
        <is>
          <t>Full-Time</t>
        </is>
      </c>
      <c r="K2145" s="7" t="n">
        <v>44884</v>
      </c>
      <c r="L2145" s="7" t="inlineStr"/>
      <c r="M2145" s="5" t="inlineStr">
        <is>
          <t>Yes</t>
        </is>
      </c>
      <c r="N2145" s="5" t="inlineStr"/>
      <c r="O2145" s="8" t="inlineStr">
        <is>
          <t>103000</t>
        </is>
      </c>
      <c r="P2145" s="5" t="inlineStr">
        <is>
          <t>0</t>
        </is>
      </c>
      <c r="Q2145" s="5" t="inlineStr">
        <is>
          <t>4</t>
        </is>
      </c>
      <c r="R2145" s="5" t="inlineStr">
        <is>
          <t>8</t>
        </is>
      </c>
      <c r="S2145" s="5" t="inlineStr">
        <is>
          <t>37</t>
        </is>
      </c>
      <c r="T2145" s="5" t="inlineStr">
        <is>
          <t>12</t>
        </is>
      </c>
      <c r="U2145" s="5">
        <f>IFS(C2145&lt;30,"Under 30",C2145&lt;40,"30-39",C2145&lt;50,"40-49",TRUE,"50+")</f>
        <v/>
      </c>
      <c r="V2145" s="5">
        <f>IFS(O2145&lt;60000,"Low (&lt;60k)",O2145&lt;100000,"Mid (60-100k)",TRUE,"High (100k+)")</f>
        <v/>
      </c>
      <c r="W2145" s="5">
        <f>IF(M2145="No","Attrited","Active")</f>
        <v/>
      </c>
    </row>
    <row r="2146">
      <c r="A2146" s="5" t="inlineStr">
        <is>
          <t>E02145</t>
        </is>
      </c>
      <c r="B2146" s="5" t="inlineStr">
        <is>
          <t>Male</t>
        </is>
      </c>
      <c r="C2146" s="6" t="inlineStr">
        <is>
          <t>33</t>
        </is>
      </c>
      <c r="D2146" s="5" t="inlineStr">
        <is>
          <t>Single</t>
        </is>
      </c>
      <c r="E2146" s="5" t="inlineStr">
        <is>
          <t>PhD</t>
        </is>
      </c>
      <c r="F2146" s="5" t="inlineStr">
        <is>
          <t>Finance</t>
        </is>
      </c>
      <c r="G2146" s="5" t="inlineStr">
        <is>
          <t>Financial Analyst</t>
        </is>
      </c>
      <c r="H2146" s="5" t="inlineStr">
        <is>
          <t>5</t>
        </is>
      </c>
      <c r="I2146" s="5" t="inlineStr">
        <is>
          <t>Remote</t>
        </is>
      </c>
      <c r="J2146" s="5" t="inlineStr">
        <is>
          <t>Full-Time</t>
        </is>
      </c>
      <c r="K2146" s="7" t="n">
        <v>45176</v>
      </c>
      <c r="L2146" s="7" t="n">
        <v>45266</v>
      </c>
      <c r="M2146" s="5" t="inlineStr">
        <is>
          <t>No</t>
        </is>
      </c>
      <c r="N2146" s="5" t="inlineStr">
        <is>
          <t>Resigned</t>
        </is>
      </c>
      <c r="O2146" s="8" t="inlineStr">
        <is>
          <t>110500</t>
        </is>
      </c>
      <c r="P2146" s="5" t="inlineStr">
        <is>
          <t>0</t>
        </is>
      </c>
      <c r="Q2146" s="5" t="inlineStr">
        <is>
          <t>2</t>
        </is>
      </c>
      <c r="R2146" s="5" t="inlineStr">
        <is>
          <t>9</t>
        </is>
      </c>
      <c r="S2146" s="5" t="inlineStr">
        <is>
          <t>3</t>
        </is>
      </c>
      <c r="T2146" s="5" t="inlineStr">
        <is>
          <t>8</t>
        </is>
      </c>
      <c r="U2146" s="5">
        <f>IFS(C2146&lt;30,"Under 30",C2146&lt;40,"30-39",C2146&lt;50,"40-49",TRUE,"50+")</f>
        <v/>
      </c>
      <c r="V2146" s="5">
        <f>IFS(O2146&lt;60000,"Low (&lt;60k)",O2146&lt;100000,"Mid (60-100k)",TRUE,"High (100k+)")</f>
        <v/>
      </c>
      <c r="W2146" s="5">
        <f>IF(M2146="No","Attrited","Active")</f>
        <v/>
      </c>
    </row>
    <row r="2147">
      <c r="A2147" s="5" t="inlineStr">
        <is>
          <t>E02146</t>
        </is>
      </c>
      <c r="B2147" s="5" t="inlineStr">
        <is>
          <t>Female</t>
        </is>
      </c>
      <c r="C2147" s="6" t="inlineStr">
        <is>
          <t>34</t>
        </is>
      </c>
      <c r="D2147" s="5" t="inlineStr">
        <is>
          <t>Married</t>
        </is>
      </c>
      <c r="E2147" s="5" t="inlineStr">
        <is>
          <t>Bachelor</t>
        </is>
      </c>
      <c r="F2147" s="5" t="inlineStr">
        <is>
          <t>Customer Support</t>
        </is>
      </c>
      <c r="G2147" s="5" t="inlineStr">
        <is>
          <t>Support Agent</t>
        </is>
      </c>
      <c r="H2147" s="5" t="inlineStr">
        <is>
          <t>1</t>
        </is>
      </c>
      <c r="I2147" s="5" t="inlineStr">
        <is>
          <t>Hyderabad</t>
        </is>
      </c>
      <c r="J2147" s="5" t="inlineStr">
        <is>
          <t>Full-Time</t>
        </is>
      </c>
      <c r="K2147" s="7" t="n">
        <v>44337</v>
      </c>
      <c r="L2147" s="7" t="n">
        <v>44405</v>
      </c>
      <c r="M2147" s="5" t="inlineStr">
        <is>
          <t>No</t>
        </is>
      </c>
      <c r="N2147" s="5" t="inlineStr">
        <is>
          <t>Retirement</t>
        </is>
      </c>
      <c r="O2147" s="8" t="inlineStr">
        <is>
          <t>72000</t>
        </is>
      </c>
      <c r="P2147" s="5" t="inlineStr">
        <is>
          <t>5</t>
        </is>
      </c>
      <c r="Q2147" s="5" t="inlineStr">
        <is>
          <t>4</t>
        </is>
      </c>
      <c r="R2147" s="5" t="inlineStr">
        <is>
          <t>5</t>
        </is>
      </c>
      <c r="S2147" s="5" t="inlineStr">
        <is>
          <t>2</t>
        </is>
      </c>
      <c r="T2147" s="5" t="inlineStr">
        <is>
          <t>8</t>
        </is>
      </c>
      <c r="U2147" s="5">
        <f>IFS(C2147&lt;30,"Under 30",C2147&lt;40,"30-39",C2147&lt;50,"40-49",TRUE,"50+")</f>
        <v/>
      </c>
      <c r="V2147" s="5">
        <f>IFS(O2147&lt;60000,"Low (&lt;60k)",O2147&lt;100000,"Mid (60-100k)",TRUE,"High (100k+)")</f>
        <v/>
      </c>
      <c r="W2147" s="5">
        <f>IF(M2147="No","Attrited","Active")</f>
        <v/>
      </c>
    </row>
    <row r="2148">
      <c r="A2148" s="5" t="inlineStr">
        <is>
          <t>E02147</t>
        </is>
      </c>
      <c r="B2148" s="5" t="inlineStr">
        <is>
          <t>Female</t>
        </is>
      </c>
      <c r="C2148" s="6" t="inlineStr">
        <is>
          <t>42</t>
        </is>
      </c>
      <c r="D2148" s="5" t="inlineStr">
        <is>
          <t>Married</t>
        </is>
      </c>
      <c r="E2148" s="5" t="inlineStr">
        <is>
          <t>PhD</t>
        </is>
      </c>
      <c r="F2148" s="5" t="inlineStr">
        <is>
          <t>Operations</t>
        </is>
      </c>
      <c r="G2148" s="5" t="inlineStr">
        <is>
          <t>Operations Analyst</t>
        </is>
      </c>
      <c r="H2148" s="5" t="inlineStr">
        <is>
          <t>6</t>
        </is>
      </c>
      <c r="I2148" s="5" t="inlineStr">
        <is>
          <t>Delhi</t>
        </is>
      </c>
      <c r="J2148" s="5" t="inlineStr">
        <is>
          <t>Contract</t>
        </is>
      </c>
      <c r="K2148" s="7" t="n">
        <v>44713</v>
      </c>
      <c r="L2148" s="7" t="inlineStr"/>
      <c r="M2148" s="5" t="inlineStr">
        <is>
          <t>Yes</t>
        </is>
      </c>
      <c r="N2148" s="5" t="inlineStr"/>
      <c r="O2148" s="8" t="inlineStr">
        <is>
          <t>95500</t>
        </is>
      </c>
      <c r="P2148" s="5" t="inlineStr">
        <is>
          <t>10</t>
        </is>
      </c>
      <c r="Q2148" s="5" t="inlineStr">
        <is>
          <t>4</t>
        </is>
      </c>
      <c r="R2148" s="5" t="inlineStr">
        <is>
          <t>6</t>
        </is>
      </c>
      <c r="S2148" s="5" t="inlineStr">
        <is>
          <t>43</t>
        </is>
      </c>
      <c r="T2148" s="5" t="inlineStr">
        <is>
          <t>4</t>
        </is>
      </c>
      <c r="U2148" s="5">
        <f>IFS(C2148&lt;30,"Under 30",C2148&lt;40,"30-39",C2148&lt;50,"40-49",TRUE,"50+")</f>
        <v/>
      </c>
      <c r="V2148" s="5">
        <f>IFS(O2148&lt;60000,"Low (&lt;60k)",O2148&lt;100000,"Mid (60-100k)",TRUE,"High (100k+)")</f>
        <v/>
      </c>
      <c r="W2148" s="5">
        <f>IF(M2148="No","Attrited","Active")</f>
        <v/>
      </c>
    </row>
    <row r="2149">
      <c r="A2149" s="5" t="inlineStr">
        <is>
          <t>E02148</t>
        </is>
      </c>
      <c r="B2149" s="5" t="inlineStr">
        <is>
          <t>Female</t>
        </is>
      </c>
      <c r="C2149" s="6" t="inlineStr">
        <is>
          <t>31</t>
        </is>
      </c>
      <c r="D2149" s="5" t="inlineStr">
        <is>
          <t>Divorced</t>
        </is>
      </c>
      <c r="E2149" s="5" t="inlineStr">
        <is>
          <t>Bachelor</t>
        </is>
      </c>
      <c r="F2149" s="5" t="inlineStr">
        <is>
          <t>Research &amp; Development</t>
        </is>
      </c>
      <c r="G2149" s="5" t="inlineStr">
        <is>
          <t>Product Engineer</t>
        </is>
      </c>
      <c r="H2149" s="5" t="inlineStr">
        <is>
          <t>2</t>
        </is>
      </c>
      <c r="I2149" s="5" t="inlineStr">
        <is>
          <t>Hyderabad</t>
        </is>
      </c>
      <c r="J2149" s="5" t="inlineStr">
        <is>
          <t>Full-Time</t>
        </is>
      </c>
      <c r="K2149" s="7" t="n">
        <v>43899</v>
      </c>
      <c r="L2149" s="7" t="n">
        <v>44008</v>
      </c>
      <c r="M2149" s="5" t="inlineStr">
        <is>
          <t>No</t>
        </is>
      </c>
      <c r="N2149" s="5" t="inlineStr">
        <is>
          <t>Resigned</t>
        </is>
      </c>
      <c r="O2149" s="8" t="inlineStr">
        <is>
          <t>148500</t>
        </is>
      </c>
      <c r="P2149" s="5" t="inlineStr">
        <is>
          <t>5</t>
        </is>
      </c>
      <c r="Q2149" s="5" t="inlineStr">
        <is>
          <t>4</t>
        </is>
      </c>
      <c r="R2149" s="5" t="inlineStr">
        <is>
          <t>6</t>
        </is>
      </c>
      <c r="S2149" s="5" t="inlineStr">
        <is>
          <t>3</t>
        </is>
      </c>
      <c r="T2149" s="5" t="inlineStr">
        <is>
          <t>11</t>
        </is>
      </c>
      <c r="U2149" s="5">
        <f>IFS(C2149&lt;30,"Under 30",C2149&lt;40,"30-39",C2149&lt;50,"40-49",TRUE,"50+")</f>
        <v/>
      </c>
      <c r="V2149" s="5">
        <f>IFS(O2149&lt;60000,"Low (&lt;60k)",O2149&lt;100000,"Mid (60-100k)",TRUE,"High (100k+)")</f>
        <v/>
      </c>
      <c r="W2149" s="5">
        <f>IF(M2149="No","Attrited","Active")</f>
        <v/>
      </c>
    </row>
    <row r="2150">
      <c r="A2150" s="5" t="inlineStr">
        <is>
          <t>E02149</t>
        </is>
      </c>
      <c r="B2150" s="5" t="inlineStr">
        <is>
          <t>Male</t>
        </is>
      </c>
      <c r="C2150" s="6" t="inlineStr">
        <is>
          <t>30</t>
        </is>
      </c>
      <c r="D2150" s="5" t="inlineStr">
        <is>
          <t>Single</t>
        </is>
      </c>
      <c r="E2150" s="5" t="inlineStr">
        <is>
          <t>Bachelor</t>
        </is>
      </c>
      <c r="F2150" s="5" t="inlineStr">
        <is>
          <t>IT</t>
        </is>
      </c>
      <c r="G2150" s="5" t="inlineStr">
        <is>
          <t>Software Engineer</t>
        </is>
      </c>
      <c r="H2150" s="5" t="inlineStr">
        <is>
          <t>3</t>
        </is>
      </c>
      <c r="I2150" s="5" t="inlineStr">
        <is>
          <t>Bengaluru</t>
        </is>
      </c>
      <c r="J2150" s="5" t="inlineStr">
        <is>
          <t>Full-Time</t>
        </is>
      </c>
      <c r="K2150" s="7" t="n">
        <v>44519</v>
      </c>
      <c r="L2150" s="7" t="inlineStr"/>
      <c r="M2150" s="5" t="inlineStr">
        <is>
          <t>Yes</t>
        </is>
      </c>
      <c r="N2150" s="5" t="inlineStr"/>
      <c r="O2150" s="8" t="inlineStr">
        <is>
          <t>107000</t>
        </is>
      </c>
      <c r="P2150" s="5" t="inlineStr">
        <is>
          <t>0</t>
        </is>
      </c>
      <c r="Q2150" s="5" t="inlineStr">
        <is>
          <t>5</t>
        </is>
      </c>
      <c r="R2150" s="5" t="inlineStr">
        <is>
          <t>6</t>
        </is>
      </c>
      <c r="S2150" s="5" t="inlineStr">
        <is>
          <t>50</t>
        </is>
      </c>
      <c r="T2150" s="5" t="inlineStr">
        <is>
          <t>9</t>
        </is>
      </c>
      <c r="U2150" s="5">
        <f>IFS(C2150&lt;30,"Under 30",C2150&lt;40,"30-39",C2150&lt;50,"40-49",TRUE,"50+")</f>
        <v/>
      </c>
      <c r="V2150" s="5">
        <f>IFS(O2150&lt;60000,"Low (&lt;60k)",O2150&lt;100000,"Mid (60-100k)",TRUE,"High (100k+)")</f>
        <v/>
      </c>
      <c r="W2150" s="5">
        <f>IF(M2150="No","Attrited","Active")</f>
        <v/>
      </c>
    </row>
    <row r="2151">
      <c r="A2151" s="5" t="inlineStr">
        <is>
          <t>E02150</t>
        </is>
      </c>
      <c r="B2151" s="5" t="inlineStr">
        <is>
          <t>Female</t>
        </is>
      </c>
      <c r="C2151" s="6" t="inlineStr">
        <is>
          <t>31</t>
        </is>
      </c>
      <c r="D2151" s="5" t="inlineStr">
        <is>
          <t>Single</t>
        </is>
      </c>
      <c r="E2151" s="5" t="inlineStr">
        <is>
          <t>PhD</t>
        </is>
      </c>
      <c r="F2151" s="5" t="inlineStr">
        <is>
          <t>Executive</t>
        </is>
      </c>
      <c r="G2151" s="5" t="inlineStr">
        <is>
          <t>COO</t>
        </is>
      </c>
      <c r="H2151" s="5" t="inlineStr">
        <is>
          <t>1</t>
        </is>
      </c>
      <c r="I2151" s="5" t="inlineStr">
        <is>
          <t>Chennai</t>
        </is>
      </c>
      <c r="J2151" s="5" t="inlineStr">
        <is>
          <t>Full-Time</t>
        </is>
      </c>
      <c r="K2151" s="7" t="n">
        <v>44573</v>
      </c>
      <c r="L2151" s="7" t="n">
        <v>44705</v>
      </c>
      <c r="M2151" s="5" t="inlineStr">
        <is>
          <t>No</t>
        </is>
      </c>
      <c r="N2151" s="5" t="inlineStr">
        <is>
          <t>Resigned</t>
        </is>
      </c>
      <c r="O2151" s="8" t="inlineStr">
        <is>
          <t>198500</t>
        </is>
      </c>
      <c r="P2151" s="5" t="inlineStr">
        <is>
          <t>0</t>
        </is>
      </c>
      <c r="Q2151" s="5" t="inlineStr">
        <is>
          <t>4</t>
        </is>
      </c>
      <c r="R2151" s="5" t="inlineStr">
        <is>
          <t>4</t>
        </is>
      </c>
      <c r="S2151" s="5" t="inlineStr">
        <is>
          <t>4</t>
        </is>
      </c>
      <c r="T2151" s="5" t="inlineStr">
        <is>
          <t>9</t>
        </is>
      </c>
      <c r="U2151" s="5">
        <f>IFS(C2151&lt;30,"Under 30",C2151&lt;40,"30-39",C2151&lt;50,"40-49",TRUE,"50+")</f>
        <v/>
      </c>
      <c r="V2151" s="5">
        <f>IFS(O2151&lt;60000,"Low (&lt;60k)",O2151&lt;100000,"Mid (60-100k)",TRUE,"High (100k+)")</f>
        <v/>
      </c>
      <c r="W2151" s="5">
        <f>IF(M2151="No","Attrited","Active")</f>
        <v/>
      </c>
    </row>
    <row r="2152">
      <c r="A2152" s="5" t="inlineStr">
        <is>
          <t>E02151</t>
        </is>
      </c>
      <c r="B2152" s="5" t="inlineStr">
        <is>
          <t>Female</t>
        </is>
      </c>
      <c r="C2152" s="6" t="inlineStr">
        <is>
          <t>35</t>
        </is>
      </c>
      <c r="D2152" s="5" t="inlineStr">
        <is>
          <t>Married</t>
        </is>
      </c>
      <c r="E2152" s="5" t="inlineStr">
        <is>
          <t>Diploma</t>
        </is>
      </c>
      <c r="F2152" s="5" t="inlineStr">
        <is>
          <t>IT</t>
        </is>
      </c>
      <c r="G2152" s="5" t="inlineStr">
        <is>
          <t>DevOps Engineer</t>
        </is>
      </c>
      <c r="H2152" s="5" t="inlineStr">
        <is>
          <t>6</t>
        </is>
      </c>
      <c r="I2152" s="5" t="inlineStr">
        <is>
          <t>Delhi</t>
        </is>
      </c>
      <c r="J2152" s="5" t="inlineStr">
        <is>
          <t>Full-Time</t>
        </is>
      </c>
      <c r="K2152" s="7" t="n">
        <v>45194</v>
      </c>
      <c r="L2152" s="7" t="inlineStr"/>
      <c r="M2152" s="5" t="inlineStr">
        <is>
          <t>Yes</t>
        </is>
      </c>
      <c r="N2152" s="5" t="inlineStr"/>
      <c r="O2152" s="8" t="inlineStr">
        <is>
          <t>144500</t>
        </is>
      </c>
      <c r="P2152" s="5" t="inlineStr">
        <is>
          <t>10</t>
        </is>
      </c>
      <c r="Q2152" s="5" t="inlineStr">
        <is>
          <t>3</t>
        </is>
      </c>
      <c r="R2152" s="5" t="inlineStr">
        <is>
          <t>8</t>
        </is>
      </c>
      <c r="S2152" s="5" t="inlineStr">
        <is>
          <t>27</t>
        </is>
      </c>
      <c r="T2152" s="5" t="inlineStr">
        <is>
          <t>0</t>
        </is>
      </c>
      <c r="U2152" s="5">
        <f>IFS(C2152&lt;30,"Under 30",C2152&lt;40,"30-39",C2152&lt;50,"40-49",TRUE,"50+")</f>
        <v/>
      </c>
      <c r="V2152" s="5">
        <f>IFS(O2152&lt;60000,"Low (&lt;60k)",O2152&lt;100000,"Mid (60-100k)",TRUE,"High (100k+)")</f>
        <v/>
      </c>
      <c r="W2152" s="5">
        <f>IF(M2152="No","Attrited","Active")</f>
        <v/>
      </c>
    </row>
    <row r="2153">
      <c r="A2153" s="5" t="inlineStr">
        <is>
          <t>E02152</t>
        </is>
      </c>
      <c r="B2153" s="5" t="inlineStr">
        <is>
          <t>Female</t>
        </is>
      </c>
      <c r="C2153" s="6" t="inlineStr">
        <is>
          <t>29</t>
        </is>
      </c>
      <c r="D2153" s="5" t="inlineStr">
        <is>
          <t>Married</t>
        </is>
      </c>
      <c r="E2153" s="5" t="inlineStr">
        <is>
          <t>PhD</t>
        </is>
      </c>
      <c r="F2153" s="5" t="inlineStr">
        <is>
          <t>Customer Support</t>
        </is>
      </c>
      <c r="G2153" s="5" t="inlineStr">
        <is>
          <t>Escalation Specialist</t>
        </is>
      </c>
      <c r="H2153" s="5" t="inlineStr">
        <is>
          <t>1</t>
        </is>
      </c>
      <c r="I2153" s="5" t="inlineStr">
        <is>
          <t>Hyderabad</t>
        </is>
      </c>
      <c r="J2153" s="5" t="inlineStr">
        <is>
          <t>Full-Time</t>
        </is>
      </c>
      <c r="K2153" s="7" t="n">
        <v>43875</v>
      </c>
      <c r="L2153" s="7" t="n">
        <v>44009</v>
      </c>
      <c r="M2153" s="5" t="inlineStr">
        <is>
          <t>No</t>
        </is>
      </c>
      <c r="N2153" s="5" t="inlineStr">
        <is>
          <t>Retirement</t>
        </is>
      </c>
      <c r="O2153" s="8" t="inlineStr">
        <is>
          <t>48000</t>
        </is>
      </c>
      <c r="P2153" s="5" t="inlineStr">
        <is>
          <t>0</t>
        </is>
      </c>
      <c r="Q2153" s="5" t="inlineStr">
        <is>
          <t>1</t>
        </is>
      </c>
      <c r="R2153" s="5" t="inlineStr">
        <is>
          <t>6</t>
        </is>
      </c>
      <c r="S2153" s="5" t="inlineStr">
        <is>
          <t>4</t>
        </is>
      </c>
      <c r="T2153" s="5" t="inlineStr">
        <is>
          <t>8</t>
        </is>
      </c>
      <c r="U2153" s="5">
        <f>IFS(C2153&lt;30,"Under 30",C2153&lt;40,"30-39",C2153&lt;50,"40-49",TRUE,"50+")</f>
        <v/>
      </c>
      <c r="V2153" s="5">
        <f>IFS(O2153&lt;60000,"Low (&lt;60k)",O2153&lt;100000,"Mid (60-100k)",TRUE,"High (100k+)")</f>
        <v/>
      </c>
      <c r="W2153" s="5">
        <f>IF(M2153="No","Attrited","Active")</f>
        <v/>
      </c>
    </row>
    <row r="2154">
      <c r="A2154" s="5" t="inlineStr">
        <is>
          <t>E02153</t>
        </is>
      </c>
      <c r="B2154" s="5" t="inlineStr">
        <is>
          <t>Male</t>
        </is>
      </c>
      <c r="C2154" s="6" t="inlineStr">
        <is>
          <t>36</t>
        </is>
      </c>
      <c r="D2154" s="5" t="inlineStr">
        <is>
          <t>Married</t>
        </is>
      </c>
      <c r="E2154" s="5" t="inlineStr">
        <is>
          <t>Diploma</t>
        </is>
      </c>
      <c r="F2154" s="5" t="inlineStr">
        <is>
          <t>Finance</t>
        </is>
      </c>
      <c r="G2154" s="5" t="inlineStr">
        <is>
          <t>Financial Analyst</t>
        </is>
      </c>
      <c r="H2154" s="5" t="inlineStr">
        <is>
          <t>2</t>
        </is>
      </c>
      <c r="I2154" s="5" t="inlineStr">
        <is>
          <t>Mumbai</t>
        </is>
      </c>
      <c r="J2154" s="5" t="inlineStr">
        <is>
          <t>Full-Time</t>
        </is>
      </c>
      <c r="K2154" s="7" t="n">
        <v>45348</v>
      </c>
      <c r="L2154" s="7" t="inlineStr"/>
      <c r="M2154" s="5" t="inlineStr">
        <is>
          <t>Yes</t>
        </is>
      </c>
      <c r="N2154" s="5" t="inlineStr"/>
      <c r="O2154" s="8" t="inlineStr">
        <is>
          <t>104000</t>
        </is>
      </c>
      <c r="P2154" s="5" t="inlineStr">
        <is>
          <t>10</t>
        </is>
      </c>
      <c r="Q2154" s="5" t="inlineStr">
        <is>
          <t>4</t>
        </is>
      </c>
      <c r="R2154" s="5" t="inlineStr">
        <is>
          <t>6</t>
        </is>
      </c>
      <c r="S2154" s="5" t="inlineStr">
        <is>
          <t>22</t>
        </is>
      </c>
      <c r="T2154" s="5" t="inlineStr">
        <is>
          <t>6</t>
        </is>
      </c>
      <c r="U2154" s="5">
        <f>IFS(C2154&lt;30,"Under 30",C2154&lt;40,"30-39",C2154&lt;50,"40-49",TRUE,"50+")</f>
        <v/>
      </c>
      <c r="V2154" s="5">
        <f>IFS(O2154&lt;60000,"Low (&lt;60k)",O2154&lt;100000,"Mid (60-100k)",TRUE,"High (100k+)")</f>
        <v/>
      </c>
      <c r="W2154" s="5">
        <f>IF(M2154="No","Attrited","Active")</f>
        <v/>
      </c>
    </row>
    <row r="2155">
      <c r="A2155" s="5" t="inlineStr">
        <is>
          <t>E02154</t>
        </is>
      </c>
      <c r="B2155" s="5" t="inlineStr">
        <is>
          <t>Female</t>
        </is>
      </c>
      <c r="C2155" s="6" t="inlineStr">
        <is>
          <t>29</t>
        </is>
      </c>
      <c r="D2155" s="5" t="inlineStr">
        <is>
          <t>Single</t>
        </is>
      </c>
      <c r="E2155" s="5" t="inlineStr">
        <is>
          <t>Diploma</t>
        </is>
      </c>
      <c r="F2155" s="5" t="inlineStr">
        <is>
          <t>Marketing</t>
        </is>
      </c>
      <c r="G2155" s="5" t="inlineStr">
        <is>
          <t>SEO Specialist</t>
        </is>
      </c>
      <c r="H2155" s="5" t="inlineStr">
        <is>
          <t>1</t>
        </is>
      </c>
      <c r="I2155" s="5" t="inlineStr">
        <is>
          <t>Chennai</t>
        </is>
      </c>
      <c r="J2155" s="5" t="inlineStr">
        <is>
          <t>Full-Time</t>
        </is>
      </c>
      <c r="K2155" s="7" t="n">
        <v>44819</v>
      </c>
      <c r="L2155" s="7" t="n">
        <v>44939</v>
      </c>
      <c r="M2155" s="5" t="inlineStr">
        <is>
          <t>No</t>
        </is>
      </c>
      <c r="N2155" s="5" t="inlineStr">
        <is>
          <t>Retirement</t>
        </is>
      </c>
      <c r="O2155" s="8" t="inlineStr">
        <is>
          <t>61500</t>
        </is>
      </c>
      <c r="P2155" s="5" t="inlineStr">
        <is>
          <t>10</t>
        </is>
      </c>
      <c r="Q2155" s="5" t="inlineStr">
        <is>
          <t>3</t>
        </is>
      </c>
      <c r="R2155" s="5" t="inlineStr">
        <is>
          <t>4</t>
        </is>
      </c>
      <c r="S2155" s="5" t="inlineStr">
        <is>
          <t>4</t>
        </is>
      </c>
      <c r="T2155" s="5" t="inlineStr">
        <is>
          <t>12</t>
        </is>
      </c>
      <c r="U2155" s="5">
        <f>IFS(C2155&lt;30,"Under 30",C2155&lt;40,"30-39",C2155&lt;50,"40-49",TRUE,"50+")</f>
        <v/>
      </c>
      <c r="V2155" s="5">
        <f>IFS(O2155&lt;60000,"Low (&lt;60k)",O2155&lt;100000,"Mid (60-100k)",TRUE,"High (100k+)")</f>
        <v/>
      </c>
      <c r="W2155" s="5">
        <f>IF(M2155="No","Attrited","Active")</f>
        <v/>
      </c>
    </row>
    <row r="2156">
      <c r="A2156" s="5" t="inlineStr">
        <is>
          <t>E02155</t>
        </is>
      </c>
      <c r="B2156" s="5" t="inlineStr">
        <is>
          <t>Male</t>
        </is>
      </c>
      <c r="C2156" s="6" t="inlineStr">
        <is>
          <t>36</t>
        </is>
      </c>
      <c r="D2156" s="5" t="inlineStr">
        <is>
          <t>Married</t>
        </is>
      </c>
      <c r="E2156" s="5" t="inlineStr">
        <is>
          <t>Master</t>
        </is>
      </c>
      <c r="F2156" s="5" t="inlineStr">
        <is>
          <t>Customer Support</t>
        </is>
      </c>
      <c r="G2156" s="5" t="inlineStr">
        <is>
          <t>Support Lead</t>
        </is>
      </c>
      <c r="H2156" s="5" t="inlineStr">
        <is>
          <t>3</t>
        </is>
      </c>
      <c r="I2156" s="5" t="inlineStr">
        <is>
          <t>Delhi</t>
        </is>
      </c>
      <c r="J2156" s="5" t="inlineStr">
        <is>
          <t>Full-Time</t>
        </is>
      </c>
      <c r="K2156" s="7" t="n">
        <v>44657</v>
      </c>
      <c r="L2156" s="7" t="inlineStr"/>
      <c r="M2156" s="5" t="inlineStr">
        <is>
          <t>Yes</t>
        </is>
      </c>
      <c r="N2156" s="5" t="inlineStr"/>
      <c r="O2156" s="8" t="inlineStr">
        <is>
          <t>91500</t>
        </is>
      </c>
      <c r="P2156" s="5" t="inlineStr">
        <is>
          <t>20</t>
        </is>
      </c>
      <c r="Q2156" s="5" t="inlineStr">
        <is>
          <t>3</t>
        </is>
      </c>
      <c r="R2156" s="5" t="inlineStr">
        <is>
          <t>8</t>
        </is>
      </c>
      <c r="S2156" s="5" t="inlineStr">
        <is>
          <t>45</t>
        </is>
      </c>
      <c r="T2156" s="5" t="inlineStr">
        <is>
          <t>6</t>
        </is>
      </c>
      <c r="U2156" s="5">
        <f>IFS(C2156&lt;30,"Under 30",C2156&lt;40,"30-39",C2156&lt;50,"40-49",TRUE,"50+")</f>
        <v/>
      </c>
      <c r="V2156" s="5">
        <f>IFS(O2156&lt;60000,"Low (&lt;60k)",O2156&lt;100000,"Mid (60-100k)",TRUE,"High (100k+)")</f>
        <v/>
      </c>
      <c r="W2156" s="5">
        <f>IF(M2156="No","Attrited","Active")</f>
        <v/>
      </c>
    </row>
    <row r="2157">
      <c r="A2157" s="5" t="inlineStr">
        <is>
          <t>E02156</t>
        </is>
      </c>
      <c r="B2157" s="5" t="inlineStr">
        <is>
          <t>Female</t>
        </is>
      </c>
      <c r="C2157" s="6" t="inlineStr">
        <is>
          <t>33</t>
        </is>
      </c>
      <c r="D2157" s="5" t="inlineStr">
        <is>
          <t>Married</t>
        </is>
      </c>
      <c r="E2157" s="5" t="inlineStr">
        <is>
          <t>Diploma</t>
        </is>
      </c>
      <c r="F2157" s="5" t="inlineStr">
        <is>
          <t>Sales</t>
        </is>
      </c>
      <c r="G2157" s="5" t="inlineStr">
        <is>
          <t>Business Development</t>
        </is>
      </c>
      <c r="H2157" s="5" t="inlineStr">
        <is>
          <t>2</t>
        </is>
      </c>
      <c r="I2157" s="5" t="inlineStr">
        <is>
          <t>Chennai</t>
        </is>
      </c>
      <c r="J2157" s="5" t="inlineStr">
        <is>
          <t>Full-Time</t>
        </is>
      </c>
      <c r="K2157" s="7" t="n">
        <v>44711</v>
      </c>
      <c r="L2157" s="7" t="n">
        <v>44768</v>
      </c>
      <c r="M2157" s="5" t="inlineStr">
        <is>
          <t>No</t>
        </is>
      </c>
      <c r="N2157" s="5" t="inlineStr">
        <is>
          <t>Retirement</t>
        </is>
      </c>
      <c r="O2157" s="8" t="inlineStr">
        <is>
          <t>92500</t>
        </is>
      </c>
      <c r="P2157" s="5" t="inlineStr">
        <is>
          <t>10</t>
        </is>
      </c>
      <c r="Q2157" s="5" t="inlineStr">
        <is>
          <t>5</t>
        </is>
      </c>
      <c r="R2157" s="5" t="inlineStr">
        <is>
          <t>4</t>
        </is>
      </c>
      <c r="S2157" s="5" t="inlineStr">
        <is>
          <t>1</t>
        </is>
      </c>
      <c r="T2157" s="5" t="inlineStr">
        <is>
          <t>2</t>
        </is>
      </c>
      <c r="U2157" s="5">
        <f>IFS(C2157&lt;30,"Under 30",C2157&lt;40,"30-39",C2157&lt;50,"40-49",TRUE,"50+")</f>
        <v/>
      </c>
      <c r="V2157" s="5">
        <f>IFS(O2157&lt;60000,"Low (&lt;60k)",O2157&lt;100000,"Mid (60-100k)",TRUE,"High (100k+)")</f>
        <v/>
      </c>
      <c r="W2157" s="5">
        <f>IF(M2157="No","Attrited","Active")</f>
        <v/>
      </c>
    </row>
    <row r="2158">
      <c r="A2158" s="5" t="inlineStr">
        <is>
          <t>E02157</t>
        </is>
      </c>
      <c r="B2158" s="5" t="inlineStr">
        <is>
          <t>Male</t>
        </is>
      </c>
      <c r="C2158" s="6" t="inlineStr">
        <is>
          <t>38</t>
        </is>
      </c>
      <c r="D2158" s="5" t="inlineStr">
        <is>
          <t>Divorced</t>
        </is>
      </c>
      <c r="E2158" s="5" t="inlineStr">
        <is>
          <t>Bachelor</t>
        </is>
      </c>
      <c r="F2158" s="5" t="inlineStr">
        <is>
          <t>Research &amp; Development</t>
        </is>
      </c>
      <c r="G2158" s="5" t="inlineStr">
        <is>
          <t>Research Scientist</t>
        </is>
      </c>
      <c r="H2158" s="5" t="inlineStr">
        <is>
          <t>5</t>
        </is>
      </c>
      <c r="I2158" s="5" t="inlineStr">
        <is>
          <t>Bengaluru</t>
        </is>
      </c>
      <c r="J2158" s="5" t="inlineStr">
        <is>
          <t>Full-Time</t>
        </is>
      </c>
      <c r="K2158" s="7" t="n">
        <v>44957</v>
      </c>
      <c r="L2158" s="7" t="inlineStr"/>
      <c r="M2158" s="5" t="inlineStr">
        <is>
          <t>Yes</t>
        </is>
      </c>
      <c r="N2158" s="5" t="inlineStr"/>
      <c r="O2158" s="8" t="inlineStr">
        <is>
          <t>159500</t>
        </is>
      </c>
      <c r="P2158" s="5" t="inlineStr">
        <is>
          <t>15</t>
        </is>
      </c>
      <c r="Q2158" s="5" t="inlineStr">
        <is>
          <t>4</t>
        </is>
      </c>
      <c r="R2158" s="5" t="inlineStr">
        <is>
          <t>6</t>
        </is>
      </c>
      <c r="S2158" s="5" t="inlineStr">
        <is>
          <t>35</t>
        </is>
      </c>
      <c r="T2158" s="5" t="inlineStr">
        <is>
          <t>4</t>
        </is>
      </c>
      <c r="U2158" s="5">
        <f>IFS(C2158&lt;30,"Under 30",C2158&lt;40,"30-39",C2158&lt;50,"40-49",TRUE,"50+")</f>
        <v/>
      </c>
      <c r="V2158" s="5">
        <f>IFS(O2158&lt;60000,"Low (&lt;60k)",O2158&lt;100000,"Mid (60-100k)",TRUE,"High (100k+)")</f>
        <v/>
      </c>
      <c r="W2158" s="5">
        <f>IF(M2158="No","Attrited","Active")</f>
        <v/>
      </c>
    </row>
    <row r="2159">
      <c r="A2159" s="5" t="inlineStr">
        <is>
          <t>E02158</t>
        </is>
      </c>
      <c r="B2159" s="5" t="inlineStr">
        <is>
          <t>Female</t>
        </is>
      </c>
      <c r="C2159" s="6" t="inlineStr">
        <is>
          <t>34</t>
        </is>
      </c>
      <c r="D2159" s="5" t="inlineStr">
        <is>
          <t>Single</t>
        </is>
      </c>
      <c r="E2159" s="5" t="inlineStr">
        <is>
          <t>Master</t>
        </is>
      </c>
      <c r="F2159" s="5" t="inlineStr">
        <is>
          <t>Marketing</t>
        </is>
      </c>
      <c r="G2159" s="5" t="inlineStr">
        <is>
          <t>SEO Specialist</t>
        </is>
      </c>
      <c r="H2159" s="5" t="inlineStr">
        <is>
          <t>2</t>
        </is>
      </c>
      <c r="I2159" s="5" t="inlineStr">
        <is>
          <t>Bengaluru</t>
        </is>
      </c>
      <c r="J2159" s="5" t="inlineStr">
        <is>
          <t>Contract</t>
        </is>
      </c>
      <c r="K2159" s="7" t="n">
        <v>44515</v>
      </c>
      <c r="L2159" s="7" t="inlineStr"/>
      <c r="M2159" s="5" t="inlineStr">
        <is>
          <t>Yes</t>
        </is>
      </c>
      <c r="N2159" s="5" t="inlineStr"/>
      <c r="O2159" s="8" t="inlineStr">
        <is>
          <t>64000</t>
        </is>
      </c>
      <c r="P2159" s="5" t="inlineStr">
        <is>
          <t>10</t>
        </is>
      </c>
      <c r="Q2159" s="5" t="inlineStr">
        <is>
          <t>4</t>
        </is>
      </c>
      <c r="R2159" s="5" t="inlineStr">
        <is>
          <t>5</t>
        </is>
      </c>
      <c r="S2159" s="5" t="inlineStr">
        <is>
          <t>50</t>
        </is>
      </c>
      <c r="T2159" s="5" t="inlineStr">
        <is>
          <t>1</t>
        </is>
      </c>
      <c r="U2159" s="5">
        <f>IFS(C2159&lt;30,"Under 30",C2159&lt;40,"30-39",C2159&lt;50,"40-49",TRUE,"50+")</f>
        <v/>
      </c>
      <c r="V2159" s="5">
        <f>IFS(O2159&lt;60000,"Low (&lt;60k)",O2159&lt;100000,"Mid (60-100k)",TRUE,"High (100k+)")</f>
        <v/>
      </c>
      <c r="W2159" s="5">
        <f>IF(M2159="No","Attrited","Active")</f>
        <v/>
      </c>
    </row>
    <row r="2160">
      <c r="A2160" s="5" t="inlineStr">
        <is>
          <t>E02159</t>
        </is>
      </c>
      <c r="B2160" s="5" t="inlineStr">
        <is>
          <t>Male</t>
        </is>
      </c>
      <c r="C2160" s="6" t="inlineStr">
        <is>
          <t>32</t>
        </is>
      </c>
      <c r="D2160" s="5" t="inlineStr">
        <is>
          <t>Married</t>
        </is>
      </c>
      <c r="E2160" s="5" t="inlineStr">
        <is>
          <t>High School</t>
        </is>
      </c>
      <c r="F2160" s="5" t="inlineStr">
        <is>
          <t>Human Resources</t>
        </is>
      </c>
      <c r="G2160" s="5" t="inlineStr">
        <is>
          <t>HR Analyst</t>
        </is>
      </c>
      <c r="H2160" s="5" t="inlineStr">
        <is>
          <t>5</t>
        </is>
      </c>
      <c r="I2160" s="5" t="inlineStr">
        <is>
          <t>Mumbai</t>
        </is>
      </c>
      <c r="J2160" s="5" t="inlineStr">
        <is>
          <t>Full-Time</t>
        </is>
      </c>
      <c r="K2160" s="7" t="n">
        <v>45543</v>
      </c>
      <c r="L2160" s="7" t="inlineStr"/>
      <c r="M2160" s="5" t="inlineStr">
        <is>
          <t>Yes</t>
        </is>
      </c>
      <c r="N2160" s="5" t="inlineStr"/>
      <c r="O2160" s="8" t="inlineStr">
        <is>
          <t>95000</t>
        </is>
      </c>
      <c r="P2160" s="5" t="inlineStr">
        <is>
          <t>5</t>
        </is>
      </c>
      <c r="Q2160" s="5" t="inlineStr">
        <is>
          <t>5</t>
        </is>
      </c>
      <c r="R2160" s="5" t="inlineStr">
        <is>
          <t>7</t>
        </is>
      </c>
      <c r="S2160" s="5" t="inlineStr">
        <is>
          <t>15</t>
        </is>
      </c>
      <c r="T2160" s="5" t="inlineStr">
        <is>
          <t>4</t>
        </is>
      </c>
      <c r="U2160" s="5">
        <f>IFS(C2160&lt;30,"Under 30",C2160&lt;40,"30-39",C2160&lt;50,"40-49",TRUE,"50+")</f>
        <v/>
      </c>
      <c r="V2160" s="5">
        <f>IFS(O2160&lt;60000,"Low (&lt;60k)",O2160&lt;100000,"Mid (60-100k)",TRUE,"High (100k+)")</f>
        <v/>
      </c>
      <c r="W2160" s="5">
        <f>IF(M2160="No","Attrited","Active")</f>
        <v/>
      </c>
    </row>
    <row r="2161">
      <c r="A2161" s="5" t="inlineStr">
        <is>
          <t>E02160</t>
        </is>
      </c>
      <c r="B2161" s="5" t="inlineStr">
        <is>
          <t>Female</t>
        </is>
      </c>
      <c r="C2161" s="6" t="inlineStr">
        <is>
          <t>29</t>
        </is>
      </c>
      <c r="D2161" s="5" t="inlineStr">
        <is>
          <t>Married</t>
        </is>
      </c>
      <c r="E2161" s="5" t="inlineStr">
        <is>
          <t>Master</t>
        </is>
      </c>
      <c r="F2161" s="5" t="inlineStr">
        <is>
          <t>Customer Support</t>
        </is>
      </c>
      <c r="G2161" s="5" t="inlineStr">
        <is>
          <t>Support Lead</t>
        </is>
      </c>
      <c r="H2161" s="5" t="inlineStr">
        <is>
          <t>1</t>
        </is>
      </c>
      <c r="I2161" s="5" t="inlineStr">
        <is>
          <t>Bengaluru</t>
        </is>
      </c>
      <c r="J2161" s="5" t="inlineStr">
        <is>
          <t>Full-Time</t>
        </is>
      </c>
      <c r="K2161" s="7" t="n">
        <v>44340</v>
      </c>
      <c r="L2161" s="7" t="n">
        <v>44489</v>
      </c>
      <c r="M2161" s="5" t="inlineStr">
        <is>
          <t>No</t>
        </is>
      </c>
      <c r="N2161" s="5" t="inlineStr">
        <is>
          <t>Resigned</t>
        </is>
      </c>
      <c r="O2161" s="8" t="inlineStr">
        <is>
          <t>54000</t>
        </is>
      </c>
      <c r="P2161" s="5" t="inlineStr">
        <is>
          <t>10</t>
        </is>
      </c>
      <c r="Q2161" s="5" t="inlineStr">
        <is>
          <t>5</t>
        </is>
      </c>
      <c r="R2161" s="5" t="inlineStr">
        <is>
          <t>7</t>
        </is>
      </c>
      <c r="S2161" s="5" t="inlineStr">
        <is>
          <t>4</t>
        </is>
      </c>
      <c r="T2161" s="5" t="inlineStr">
        <is>
          <t>4</t>
        </is>
      </c>
      <c r="U2161" s="5">
        <f>IFS(C2161&lt;30,"Under 30",C2161&lt;40,"30-39",C2161&lt;50,"40-49",TRUE,"50+")</f>
        <v/>
      </c>
      <c r="V2161" s="5">
        <f>IFS(O2161&lt;60000,"Low (&lt;60k)",O2161&lt;100000,"Mid (60-100k)",TRUE,"High (100k+)")</f>
        <v/>
      </c>
      <c r="W2161" s="5">
        <f>IF(M2161="No","Attrited","Active")</f>
        <v/>
      </c>
    </row>
    <row r="2162">
      <c r="A2162" s="5" t="inlineStr">
        <is>
          <t>E02161</t>
        </is>
      </c>
      <c r="B2162" s="5" t="inlineStr">
        <is>
          <t>Female</t>
        </is>
      </c>
      <c r="C2162" s="6" t="inlineStr">
        <is>
          <t>38</t>
        </is>
      </c>
      <c r="D2162" s="5" t="inlineStr">
        <is>
          <t>Married</t>
        </is>
      </c>
      <c r="E2162" s="5" t="inlineStr">
        <is>
          <t>Diploma</t>
        </is>
      </c>
      <c r="F2162" s="5" t="inlineStr">
        <is>
          <t>Operations</t>
        </is>
      </c>
      <c r="G2162" s="5" t="inlineStr">
        <is>
          <t>Quality Analyst</t>
        </is>
      </c>
      <c r="H2162" s="5" t="inlineStr">
        <is>
          <t>6</t>
        </is>
      </c>
      <c r="I2162" s="5" t="inlineStr">
        <is>
          <t>Chennai</t>
        </is>
      </c>
      <c r="J2162" s="5" t="inlineStr">
        <is>
          <t>Full-Time</t>
        </is>
      </c>
      <c r="K2162" s="7" t="n">
        <v>45440</v>
      </c>
      <c r="L2162" s="7" t="inlineStr"/>
      <c r="M2162" s="5" t="inlineStr">
        <is>
          <t>Yes</t>
        </is>
      </c>
      <c r="N2162" s="5" t="inlineStr"/>
      <c r="O2162" s="8" t="inlineStr">
        <is>
          <t>169500</t>
        </is>
      </c>
      <c r="P2162" s="5" t="inlineStr">
        <is>
          <t>0</t>
        </is>
      </c>
      <c r="Q2162" s="5" t="inlineStr">
        <is>
          <t>3</t>
        </is>
      </c>
      <c r="R2162" s="5" t="inlineStr">
        <is>
          <t>7</t>
        </is>
      </c>
      <c r="S2162" s="5" t="inlineStr">
        <is>
          <t>19</t>
        </is>
      </c>
      <c r="T2162" s="5" t="inlineStr">
        <is>
          <t>0</t>
        </is>
      </c>
      <c r="U2162" s="5">
        <f>IFS(C2162&lt;30,"Under 30",C2162&lt;40,"30-39",C2162&lt;50,"40-49",TRUE,"50+")</f>
        <v/>
      </c>
      <c r="V2162" s="5">
        <f>IFS(O2162&lt;60000,"Low (&lt;60k)",O2162&lt;100000,"Mid (60-100k)",TRUE,"High (100k+)")</f>
        <v/>
      </c>
      <c r="W2162" s="5">
        <f>IF(M2162="No","Attrited","Active")</f>
        <v/>
      </c>
    </row>
    <row r="2163">
      <c r="A2163" s="5" t="inlineStr">
        <is>
          <t>E02162</t>
        </is>
      </c>
      <c r="B2163" s="5" t="inlineStr">
        <is>
          <t>Female</t>
        </is>
      </c>
      <c r="C2163" s="6" t="inlineStr">
        <is>
          <t>25</t>
        </is>
      </c>
      <c r="D2163" s="5" t="inlineStr">
        <is>
          <t>Married</t>
        </is>
      </c>
      <c r="E2163" s="5" t="inlineStr">
        <is>
          <t>High School</t>
        </is>
      </c>
      <c r="F2163" s="5" t="inlineStr">
        <is>
          <t>Customer Support</t>
        </is>
      </c>
      <c r="G2163" s="5" t="inlineStr">
        <is>
          <t>Support Lead</t>
        </is>
      </c>
      <c r="H2163" s="5" t="inlineStr">
        <is>
          <t>2</t>
        </is>
      </c>
      <c r="I2163" s="5" t="inlineStr">
        <is>
          <t>Remote</t>
        </is>
      </c>
      <c r="J2163" s="5" t="inlineStr">
        <is>
          <t>Full-Time</t>
        </is>
      </c>
      <c r="K2163" s="7" t="n">
        <v>45809</v>
      </c>
      <c r="L2163" s="7" t="inlineStr"/>
      <c r="M2163" s="5" t="inlineStr">
        <is>
          <t>Yes</t>
        </is>
      </c>
      <c r="N2163" s="5" t="inlineStr"/>
      <c r="O2163" s="8" t="inlineStr">
        <is>
          <t>52000</t>
        </is>
      </c>
      <c r="P2163" s="5" t="inlineStr">
        <is>
          <t>0</t>
        </is>
      </c>
      <c r="Q2163" s="5" t="inlineStr">
        <is>
          <t>5</t>
        </is>
      </c>
      <c r="R2163" s="5" t="inlineStr">
        <is>
          <t>7</t>
        </is>
      </c>
      <c r="S2163" s="5" t="inlineStr">
        <is>
          <t>7</t>
        </is>
      </c>
      <c r="T2163" s="5" t="inlineStr">
        <is>
          <t>3</t>
        </is>
      </c>
      <c r="U2163" s="5">
        <f>IFS(C2163&lt;30,"Under 30",C2163&lt;40,"30-39",C2163&lt;50,"40-49",TRUE,"50+")</f>
        <v/>
      </c>
      <c r="V2163" s="5">
        <f>IFS(O2163&lt;60000,"Low (&lt;60k)",O2163&lt;100000,"Mid (60-100k)",TRUE,"High (100k+)")</f>
        <v/>
      </c>
      <c r="W2163" s="5">
        <f>IF(M2163="No","Attrited","Active")</f>
        <v/>
      </c>
    </row>
    <row r="2164">
      <c r="A2164" s="5" t="inlineStr">
        <is>
          <t>E02163</t>
        </is>
      </c>
      <c r="B2164" s="5" t="inlineStr">
        <is>
          <t>Male</t>
        </is>
      </c>
      <c r="C2164" s="6" t="inlineStr">
        <is>
          <t>34</t>
        </is>
      </c>
      <c r="D2164" s="5" t="inlineStr">
        <is>
          <t>Married</t>
        </is>
      </c>
      <c r="E2164" s="5" t="inlineStr">
        <is>
          <t>Diploma</t>
        </is>
      </c>
      <c r="F2164" s="5" t="inlineStr">
        <is>
          <t>Sales</t>
        </is>
      </c>
      <c r="G2164" s="5" t="inlineStr">
        <is>
          <t>Account Executive</t>
        </is>
      </c>
      <c r="H2164" s="5" t="inlineStr">
        <is>
          <t>3</t>
        </is>
      </c>
      <c r="I2164" s="5" t="inlineStr">
        <is>
          <t>Remote</t>
        </is>
      </c>
      <c r="J2164" s="5" t="inlineStr">
        <is>
          <t>Full-Time</t>
        </is>
      </c>
      <c r="K2164" s="7" t="n">
        <v>44985</v>
      </c>
      <c r="L2164" s="7" t="inlineStr"/>
      <c r="M2164" s="5" t="inlineStr">
        <is>
          <t>Yes</t>
        </is>
      </c>
      <c r="N2164" s="5" t="inlineStr"/>
      <c r="O2164" s="8" t="inlineStr">
        <is>
          <t>101500</t>
        </is>
      </c>
      <c r="P2164" s="5" t="inlineStr">
        <is>
          <t>0</t>
        </is>
      </c>
      <c r="Q2164" s="5" t="inlineStr">
        <is>
          <t>4</t>
        </is>
      </c>
      <c r="R2164" s="5" t="inlineStr">
        <is>
          <t>7</t>
        </is>
      </c>
      <c r="S2164" s="5" t="inlineStr">
        <is>
          <t>34</t>
        </is>
      </c>
      <c r="T2164" s="5" t="inlineStr">
        <is>
          <t>0</t>
        </is>
      </c>
      <c r="U2164" s="5">
        <f>IFS(C2164&lt;30,"Under 30",C2164&lt;40,"30-39",C2164&lt;50,"40-49",TRUE,"50+")</f>
        <v/>
      </c>
      <c r="V2164" s="5">
        <f>IFS(O2164&lt;60000,"Low (&lt;60k)",O2164&lt;100000,"Mid (60-100k)",TRUE,"High (100k+)")</f>
        <v/>
      </c>
      <c r="W2164" s="5">
        <f>IF(M2164="No","Attrited","Active")</f>
        <v/>
      </c>
    </row>
    <row r="2165">
      <c r="A2165" s="5" t="inlineStr">
        <is>
          <t>E02164</t>
        </is>
      </c>
      <c r="B2165" s="5" t="inlineStr">
        <is>
          <t>Male</t>
        </is>
      </c>
      <c r="C2165" s="6" t="inlineStr">
        <is>
          <t>28</t>
        </is>
      </c>
      <c r="D2165" s="5" t="inlineStr">
        <is>
          <t>Single</t>
        </is>
      </c>
      <c r="E2165" s="5" t="inlineStr">
        <is>
          <t>Master</t>
        </is>
      </c>
      <c r="F2165" s="5" t="inlineStr">
        <is>
          <t>Marketing</t>
        </is>
      </c>
      <c r="G2165" s="5" t="inlineStr">
        <is>
          <t>Marketing Analyst</t>
        </is>
      </c>
      <c r="H2165" s="5" t="inlineStr">
        <is>
          <t>1</t>
        </is>
      </c>
      <c r="I2165" s="5" t="inlineStr">
        <is>
          <t>Mumbai</t>
        </is>
      </c>
      <c r="J2165" s="5" t="inlineStr">
        <is>
          <t>Full-Time</t>
        </is>
      </c>
      <c r="K2165" s="7" t="n">
        <v>45873</v>
      </c>
      <c r="L2165" s="7" t="inlineStr"/>
      <c r="M2165" s="5" t="inlineStr">
        <is>
          <t>Yes</t>
        </is>
      </c>
      <c r="N2165" s="5" t="inlineStr"/>
      <c r="O2165" s="8" t="inlineStr">
        <is>
          <t>76000</t>
        </is>
      </c>
      <c r="P2165" s="5" t="inlineStr">
        <is>
          <t>5</t>
        </is>
      </c>
      <c r="Q2165" s="5" t="inlineStr">
        <is>
          <t>3</t>
        </is>
      </c>
      <c r="R2165" s="5" t="inlineStr">
        <is>
          <t>5</t>
        </is>
      </c>
      <c r="S2165" s="5" t="inlineStr">
        <is>
          <t>4</t>
        </is>
      </c>
      <c r="T2165" s="5" t="inlineStr">
        <is>
          <t>0</t>
        </is>
      </c>
      <c r="U2165" s="5">
        <f>IFS(C2165&lt;30,"Under 30",C2165&lt;40,"30-39",C2165&lt;50,"40-49",TRUE,"50+")</f>
        <v/>
      </c>
      <c r="V2165" s="5">
        <f>IFS(O2165&lt;60000,"Low (&lt;60k)",O2165&lt;100000,"Mid (60-100k)",TRUE,"High (100k+)")</f>
        <v/>
      </c>
      <c r="W2165" s="5">
        <f>IF(M2165="No","Attrited","Active")</f>
        <v/>
      </c>
    </row>
    <row r="2166">
      <c r="A2166" s="5" t="inlineStr">
        <is>
          <t>E02165</t>
        </is>
      </c>
      <c r="B2166" s="5" t="inlineStr">
        <is>
          <t>Male</t>
        </is>
      </c>
      <c r="C2166" s="6" t="inlineStr">
        <is>
          <t>32</t>
        </is>
      </c>
      <c r="D2166" s="5" t="inlineStr">
        <is>
          <t>Single</t>
        </is>
      </c>
      <c r="E2166" s="5" t="inlineStr">
        <is>
          <t>Master</t>
        </is>
      </c>
      <c r="F2166" s="5" t="inlineStr">
        <is>
          <t>IT</t>
        </is>
      </c>
      <c r="G2166" s="5" t="inlineStr">
        <is>
          <t>DevOps Engineer</t>
        </is>
      </c>
      <c r="H2166" s="5" t="inlineStr">
        <is>
          <t>2</t>
        </is>
      </c>
      <c r="I2166" s="5" t="inlineStr">
        <is>
          <t>Delhi</t>
        </is>
      </c>
      <c r="J2166" s="5" t="inlineStr">
        <is>
          <t>Full-Time</t>
        </is>
      </c>
      <c r="K2166" s="7" t="n">
        <v>44526</v>
      </c>
      <c r="L2166" s="7" t="inlineStr"/>
      <c r="M2166" s="5" t="inlineStr">
        <is>
          <t>Yes</t>
        </is>
      </c>
      <c r="N2166" s="5" t="inlineStr"/>
      <c r="O2166" s="8" t="inlineStr">
        <is>
          <t>147000</t>
        </is>
      </c>
      <c r="P2166" s="5" t="inlineStr">
        <is>
          <t>5</t>
        </is>
      </c>
      <c r="Q2166" s="5" t="inlineStr">
        <is>
          <t>5</t>
        </is>
      </c>
      <c r="R2166" s="5" t="inlineStr">
        <is>
          <t>9</t>
        </is>
      </c>
      <c r="S2166" s="5" t="inlineStr">
        <is>
          <t>49</t>
        </is>
      </c>
      <c r="T2166" s="5" t="inlineStr">
        <is>
          <t>0</t>
        </is>
      </c>
      <c r="U2166" s="5">
        <f>IFS(C2166&lt;30,"Under 30",C2166&lt;40,"30-39",C2166&lt;50,"40-49",TRUE,"50+")</f>
        <v/>
      </c>
      <c r="V2166" s="5">
        <f>IFS(O2166&lt;60000,"Low (&lt;60k)",O2166&lt;100000,"Mid (60-100k)",TRUE,"High (100k+)")</f>
        <v/>
      </c>
      <c r="W2166" s="5">
        <f>IF(M2166="No","Attrited","Active")</f>
        <v/>
      </c>
    </row>
    <row r="2167">
      <c r="A2167" s="5" t="inlineStr">
        <is>
          <t>E02166</t>
        </is>
      </c>
      <c r="B2167" s="5" t="inlineStr">
        <is>
          <t>Male</t>
        </is>
      </c>
      <c r="C2167" s="6" t="inlineStr">
        <is>
          <t>33</t>
        </is>
      </c>
      <c r="D2167" s="5" t="inlineStr">
        <is>
          <t>Married</t>
        </is>
      </c>
      <c r="E2167" s="5" t="inlineStr">
        <is>
          <t>Diploma</t>
        </is>
      </c>
      <c r="F2167" s="5" t="inlineStr">
        <is>
          <t>Customer Support</t>
        </is>
      </c>
      <c r="G2167" s="5" t="inlineStr">
        <is>
          <t>Support Agent</t>
        </is>
      </c>
      <c r="H2167" s="5" t="inlineStr">
        <is>
          <t>4</t>
        </is>
      </c>
      <c r="I2167" s="5" t="inlineStr">
        <is>
          <t>Chennai</t>
        </is>
      </c>
      <c r="J2167" s="5" t="inlineStr">
        <is>
          <t>Full-Time</t>
        </is>
      </c>
      <c r="K2167" s="7" t="n">
        <v>45037</v>
      </c>
      <c r="L2167" s="7" t="inlineStr"/>
      <c r="M2167" s="5" t="inlineStr">
        <is>
          <t>Yes</t>
        </is>
      </c>
      <c r="N2167" s="5" t="inlineStr"/>
      <c r="O2167" s="8" t="inlineStr">
        <is>
          <t>70500</t>
        </is>
      </c>
      <c r="P2167" s="5" t="inlineStr">
        <is>
          <t>5</t>
        </is>
      </c>
      <c r="Q2167" s="5" t="inlineStr">
        <is>
          <t>2</t>
        </is>
      </c>
      <c r="R2167" s="5" t="inlineStr">
        <is>
          <t>3</t>
        </is>
      </c>
      <c r="S2167" s="5" t="inlineStr">
        <is>
          <t>32</t>
        </is>
      </c>
      <c r="T2167" s="5" t="inlineStr">
        <is>
          <t>7</t>
        </is>
      </c>
      <c r="U2167" s="5">
        <f>IFS(C2167&lt;30,"Under 30",C2167&lt;40,"30-39",C2167&lt;50,"40-49",TRUE,"50+")</f>
        <v/>
      </c>
      <c r="V2167" s="5">
        <f>IFS(O2167&lt;60000,"Low (&lt;60k)",O2167&lt;100000,"Mid (60-100k)",TRUE,"High (100k+)")</f>
        <v/>
      </c>
      <c r="W2167" s="5">
        <f>IF(M2167="No","Attrited","Active")</f>
        <v/>
      </c>
    </row>
    <row r="2168">
      <c r="A2168" s="5" t="inlineStr">
        <is>
          <t>E02167</t>
        </is>
      </c>
      <c r="B2168" s="5" t="inlineStr">
        <is>
          <t>Male</t>
        </is>
      </c>
      <c r="C2168" s="6" t="inlineStr">
        <is>
          <t>36</t>
        </is>
      </c>
      <c r="D2168" s="5" t="inlineStr">
        <is>
          <t>Married</t>
        </is>
      </c>
      <c r="E2168" s="5" t="inlineStr">
        <is>
          <t>Master</t>
        </is>
      </c>
      <c r="F2168" s="5" t="inlineStr">
        <is>
          <t>Research &amp; Development</t>
        </is>
      </c>
      <c r="G2168" s="5" t="inlineStr">
        <is>
          <t>Research Scientist</t>
        </is>
      </c>
      <c r="H2168" s="5" t="inlineStr">
        <is>
          <t>4</t>
        </is>
      </c>
      <c r="I2168" s="5" t="inlineStr">
        <is>
          <t>Hyderabad</t>
        </is>
      </c>
      <c r="J2168" s="5" t="inlineStr">
        <is>
          <t>Contract</t>
        </is>
      </c>
      <c r="K2168" s="7" t="n">
        <v>45172</v>
      </c>
      <c r="L2168" s="7" t="inlineStr"/>
      <c r="M2168" s="5" t="inlineStr">
        <is>
          <t>Yes</t>
        </is>
      </c>
      <c r="N2168" s="5" t="inlineStr"/>
      <c r="O2168" s="8" t="inlineStr">
        <is>
          <t>143500</t>
        </is>
      </c>
      <c r="P2168" s="5" t="inlineStr">
        <is>
          <t>10</t>
        </is>
      </c>
      <c r="Q2168" s="5" t="inlineStr">
        <is>
          <t>5</t>
        </is>
      </c>
      <c r="R2168" s="5" t="inlineStr">
        <is>
          <t>8</t>
        </is>
      </c>
      <c r="S2168" s="5" t="inlineStr">
        <is>
          <t>28</t>
        </is>
      </c>
      <c r="T2168" s="5" t="inlineStr">
        <is>
          <t>5</t>
        </is>
      </c>
      <c r="U2168" s="5">
        <f>IFS(C2168&lt;30,"Under 30",C2168&lt;40,"30-39",C2168&lt;50,"40-49",TRUE,"50+")</f>
        <v/>
      </c>
      <c r="V2168" s="5">
        <f>IFS(O2168&lt;60000,"Low (&lt;60k)",O2168&lt;100000,"Mid (60-100k)",TRUE,"High (100k+)")</f>
        <v/>
      </c>
      <c r="W2168" s="5">
        <f>IF(M2168="No","Attrited","Active")</f>
        <v/>
      </c>
    </row>
    <row r="2169">
      <c r="A2169" s="5" t="inlineStr">
        <is>
          <t>E02168</t>
        </is>
      </c>
      <c r="B2169" s="5" t="inlineStr">
        <is>
          <t>Male</t>
        </is>
      </c>
      <c r="C2169" s="6" t="inlineStr">
        <is>
          <t>40</t>
        </is>
      </c>
      <c r="D2169" s="5" t="inlineStr">
        <is>
          <t>Single</t>
        </is>
      </c>
      <c r="E2169" s="5" t="inlineStr">
        <is>
          <t>High School</t>
        </is>
      </c>
      <c r="F2169" s="5" t="inlineStr">
        <is>
          <t>Customer Support</t>
        </is>
      </c>
      <c r="G2169" s="5" t="inlineStr">
        <is>
          <t>Support Agent</t>
        </is>
      </c>
      <c r="H2169" s="5" t="inlineStr">
        <is>
          <t>5</t>
        </is>
      </c>
      <c r="I2169" s="5" t="inlineStr">
        <is>
          <t>Remote</t>
        </is>
      </c>
      <c r="J2169" s="5" t="inlineStr">
        <is>
          <t>Full-Time</t>
        </is>
      </c>
      <c r="K2169" s="7" t="n">
        <v>45701</v>
      </c>
      <c r="L2169" s="7" t="inlineStr"/>
      <c r="M2169" s="5" t="inlineStr">
        <is>
          <t>Yes</t>
        </is>
      </c>
      <c r="N2169" s="5" t="inlineStr"/>
      <c r="O2169" s="8" t="inlineStr">
        <is>
          <t>96000</t>
        </is>
      </c>
      <c r="P2169" s="5" t="inlineStr">
        <is>
          <t>0</t>
        </is>
      </c>
      <c r="Q2169" s="5" t="inlineStr">
        <is>
          <t>4</t>
        </is>
      </c>
      <c r="R2169" s="5" t="inlineStr">
        <is>
          <t>4</t>
        </is>
      </c>
      <c r="S2169" s="5" t="inlineStr">
        <is>
          <t>10</t>
        </is>
      </c>
      <c r="T2169" s="5" t="inlineStr">
        <is>
          <t>12</t>
        </is>
      </c>
      <c r="U2169" s="5">
        <f>IFS(C2169&lt;30,"Under 30",C2169&lt;40,"30-39",C2169&lt;50,"40-49",TRUE,"50+")</f>
        <v/>
      </c>
      <c r="V2169" s="5">
        <f>IFS(O2169&lt;60000,"Low (&lt;60k)",O2169&lt;100000,"Mid (60-100k)",TRUE,"High (100k+)")</f>
        <v/>
      </c>
      <c r="W2169" s="5">
        <f>IF(M2169="No","Attrited","Active")</f>
        <v/>
      </c>
    </row>
    <row r="2170">
      <c r="A2170" s="5" t="inlineStr">
        <is>
          <t>E02169</t>
        </is>
      </c>
      <c r="B2170" s="5" t="inlineStr">
        <is>
          <t>Male</t>
        </is>
      </c>
      <c r="C2170" s="6" t="inlineStr">
        <is>
          <t>29</t>
        </is>
      </c>
      <c r="D2170" s="5" t="inlineStr">
        <is>
          <t>Married</t>
        </is>
      </c>
      <c r="E2170" s="5" t="inlineStr">
        <is>
          <t>Master</t>
        </is>
      </c>
      <c r="F2170" s="5" t="inlineStr">
        <is>
          <t>Sales</t>
        </is>
      </c>
      <c r="G2170" s="5" t="inlineStr">
        <is>
          <t>Business Development</t>
        </is>
      </c>
      <c r="H2170" s="5" t="inlineStr">
        <is>
          <t>1</t>
        </is>
      </c>
      <c r="I2170" s="5" t="inlineStr">
        <is>
          <t>Delhi</t>
        </is>
      </c>
      <c r="J2170" s="5" t="inlineStr">
        <is>
          <t>Full-Time</t>
        </is>
      </c>
      <c r="K2170" s="7" t="n">
        <v>45488</v>
      </c>
      <c r="L2170" s="7" t="inlineStr"/>
      <c r="M2170" s="5" t="inlineStr">
        <is>
          <t>Yes</t>
        </is>
      </c>
      <c r="N2170" s="5" t="inlineStr"/>
      <c r="O2170" s="8" t="inlineStr">
        <is>
          <t>89000</t>
        </is>
      </c>
      <c r="P2170" s="5" t="inlineStr">
        <is>
          <t>15</t>
        </is>
      </c>
      <c r="Q2170" s="5" t="inlineStr">
        <is>
          <t>2</t>
        </is>
      </c>
      <c r="R2170" s="5" t="inlineStr">
        <is>
          <t>6</t>
        </is>
      </c>
      <c r="S2170" s="5" t="inlineStr">
        <is>
          <t>17</t>
        </is>
      </c>
      <c r="T2170" s="5" t="inlineStr">
        <is>
          <t>11</t>
        </is>
      </c>
      <c r="U2170" s="5">
        <f>IFS(C2170&lt;30,"Under 30",C2170&lt;40,"30-39",C2170&lt;50,"40-49",TRUE,"50+")</f>
        <v/>
      </c>
      <c r="V2170" s="5">
        <f>IFS(O2170&lt;60000,"Low (&lt;60k)",O2170&lt;100000,"Mid (60-100k)",TRUE,"High (100k+)")</f>
        <v/>
      </c>
      <c r="W2170" s="5">
        <f>IF(M2170="No","Attrited","Active")</f>
        <v/>
      </c>
    </row>
    <row r="2171">
      <c r="A2171" s="5" t="inlineStr">
        <is>
          <t>E02170</t>
        </is>
      </c>
      <c r="B2171" s="5" t="inlineStr">
        <is>
          <t>Male</t>
        </is>
      </c>
      <c r="C2171" s="6" t="inlineStr">
        <is>
          <t>39</t>
        </is>
      </c>
      <c r="D2171" s="5" t="inlineStr">
        <is>
          <t>Single</t>
        </is>
      </c>
      <c r="E2171" s="5" t="inlineStr">
        <is>
          <t>Master</t>
        </is>
      </c>
      <c r="F2171" s="5" t="inlineStr">
        <is>
          <t>Operations</t>
        </is>
      </c>
      <c r="G2171" s="5" t="inlineStr">
        <is>
          <t>Operations Analyst</t>
        </is>
      </c>
      <c r="H2171" s="5" t="inlineStr">
        <is>
          <t>6</t>
        </is>
      </c>
      <c r="I2171" s="5" t="inlineStr">
        <is>
          <t>Remote</t>
        </is>
      </c>
      <c r="J2171" s="5" t="inlineStr">
        <is>
          <t>Full-Time</t>
        </is>
      </c>
      <c r="K2171" s="7" t="n">
        <v>44588</v>
      </c>
      <c r="L2171" s="7" t="n">
        <v>44640</v>
      </c>
      <c r="M2171" s="5" t="inlineStr">
        <is>
          <t>No</t>
        </is>
      </c>
      <c r="N2171" s="5" t="inlineStr">
        <is>
          <t>Performance / Termination</t>
        </is>
      </c>
      <c r="O2171" s="8" t="inlineStr">
        <is>
          <t>152500</t>
        </is>
      </c>
      <c r="P2171" s="5" t="inlineStr">
        <is>
          <t>0</t>
        </is>
      </c>
      <c r="Q2171" s="5" t="inlineStr">
        <is>
          <t>1</t>
        </is>
      </c>
      <c r="R2171" s="5" t="inlineStr">
        <is>
          <t>7</t>
        </is>
      </c>
      <c r="S2171" s="5" t="inlineStr">
        <is>
          <t>1</t>
        </is>
      </c>
      <c r="T2171" s="5" t="inlineStr">
        <is>
          <t>12</t>
        </is>
      </c>
      <c r="U2171" s="5">
        <f>IFS(C2171&lt;30,"Under 30",C2171&lt;40,"30-39",C2171&lt;50,"40-49",TRUE,"50+")</f>
        <v/>
      </c>
      <c r="V2171" s="5">
        <f>IFS(O2171&lt;60000,"Low (&lt;60k)",O2171&lt;100000,"Mid (60-100k)",TRUE,"High (100k+)")</f>
        <v/>
      </c>
      <c r="W2171" s="5">
        <f>IF(M2171="No","Attrited","Active")</f>
        <v/>
      </c>
    </row>
    <row r="2172">
      <c r="A2172" s="5" t="inlineStr">
        <is>
          <t>E02171</t>
        </is>
      </c>
      <c r="B2172" s="5" t="inlineStr">
        <is>
          <t>Male</t>
        </is>
      </c>
      <c r="C2172" s="6" t="inlineStr">
        <is>
          <t>35</t>
        </is>
      </c>
      <c r="D2172" s="5" t="inlineStr">
        <is>
          <t>Married</t>
        </is>
      </c>
      <c r="E2172" s="5" t="inlineStr">
        <is>
          <t>Master</t>
        </is>
      </c>
      <c r="F2172" s="5" t="inlineStr">
        <is>
          <t>IT</t>
        </is>
      </c>
      <c r="G2172" s="5" t="inlineStr">
        <is>
          <t>Software Engineer</t>
        </is>
      </c>
      <c r="H2172" s="5" t="inlineStr">
        <is>
          <t>7</t>
        </is>
      </c>
      <c r="I2172" s="5" t="inlineStr">
        <is>
          <t>Delhi</t>
        </is>
      </c>
      <c r="J2172" s="5" t="inlineStr">
        <is>
          <t>Full-Time</t>
        </is>
      </c>
      <c r="K2172" s="7" t="n">
        <v>45229</v>
      </c>
      <c r="L2172" s="7" t="inlineStr"/>
      <c r="M2172" s="5" t="inlineStr">
        <is>
          <t>Yes</t>
        </is>
      </c>
      <c r="N2172" s="5" t="inlineStr"/>
      <c r="O2172" s="8" t="inlineStr">
        <is>
          <t>185000</t>
        </is>
      </c>
      <c r="P2172" s="5" t="inlineStr">
        <is>
          <t>5</t>
        </is>
      </c>
      <c r="Q2172" s="5" t="inlineStr">
        <is>
          <t>3</t>
        </is>
      </c>
      <c r="R2172" s="5" t="inlineStr">
        <is>
          <t>8</t>
        </is>
      </c>
      <c r="S2172" s="5" t="inlineStr">
        <is>
          <t>26</t>
        </is>
      </c>
      <c r="T2172" s="5" t="inlineStr">
        <is>
          <t>8</t>
        </is>
      </c>
      <c r="U2172" s="5">
        <f>IFS(C2172&lt;30,"Under 30",C2172&lt;40,"30-39",C2172&lt;50,"40-49",TRUE,"50+")</f>
        <v/>
      </c>
      <c r="V2172" s="5">
        <f>IFS(O2172&lt;60000,"Low (&lt;60k)",O2172&lt;100000,"Mid (60-100k)",TRUE,"High (100k+)")</f>
        <v/>
      </c>
      <c r="W2172" s="5">
        <f>IF(M2172="No","Attrited","Active")</f>
        <v/>
      </c>
    </row>
    <row r="2173">
      <c r="A2173" s="5" t="inlineStr">
        <is>
          <t>E02172</t>
        </is>
      </c>
      <c r="B2173" s="5" t="inlineStr">
        <is>
          <t>Male</t>
        </is>
      </c>
      <c r="C2173" s="6" t="inlineStr">
        <is>
          <t>40</t>
        </is>
      </c>
      <c r="D2173" s="5" t="inlineStr">
        <is>
          <t>Married</t>
        </is>
      </c>
      <c r="E2173" s="5" t="inlineStr">
        <is>
          <t>High School</t>
        </is>
      </c>
      <c r="F2173" s="5" t="inlineStr">
        <is>
          <t>Customer Support</t>
        </is>
      </c>
      <c r="G2173" s="5" t="inlineStr">
        <is>
          <t>Escalation Specialist</t>
        </is>
      </c>
      <c r="H2173" s="5" t="inlineStr">
        <is>
          <t>4</t>
        </is>
      </c>
      <c r="I2173" s="5" t="inlineStr">
        <is>
          <t>Bengaluru</t>
        </is>
      </c>
      <c r="J2173" s="5" t="inlineStr">
        <is>
          <t>Full-Time</t>
        </is>
      </c>
      <c r="K2173" s="7" t="n">
        <v>45748</v>
      </c>
      <c r="L2173" s="7" t="inlineStr"/>
      <c r="M2173" s="5" t="inlineStr">
        <is>
          <t>Yes</t>
        </is>
      </c>
      <c r="N2173" s="5" t="inlineStr"/>
      <c r="O2173" s="8" t="inlineStr">
        <is>
          <t>78500</t>
        </is>
      </c>
      <c r="P2173" s="5" t="inlineStr">
        <is>
          <t>10</t>
        </is>
      </c>
      <c r="Q2173" s="5" t="inlineStr">
        <is>
          <t>5</t>
        </is>
      </c>
      <c r="R2173" s="5" t="inlineStr">
        <is>
          <t>2</t>
        </is>
      </c>
      <c r="S2173" s="5" t="inlineStr">
        <is>
          <t>9</t>
        </is>
      </c>
      <c r="T2173" s="5" t="inlineStr">
        <is>
          <t>8</t>
        </is>
      </c>
      <c r="U2173" s="5">
        <f>IFS(C2173&lt;30,"Under 30",C2173&lt;40,"30-39",C2173&lt;50,"40-49",TRUE,"50+")</f>
        <v/>
      </c>
      <c r="V2173" s="5">
        <f>IFS(O2173&lt;60000,"Low (&lt;60k)",O2173&lt;100000,"Mid (60-100k)",TRUE,"High (100k+)")</f>
        <v/>
      </c>
      <c r="W2173" s="5">
        <f>IF(M2173="No","Attrited","Active")</f>
        <v/>
      </c>
    </row>
    <row r="2174">
      <c r="A2174" s="5" t="inlineStr">
        <is>
          <t>E02173</t>
        </is>
      </c>
      <c r="B2174" s="5" t="inlineStr">
        <is>
          <t>Male</t>
        </is>
      </c>
      <c r="C2174" s="6" t="inlineStr">
        <is>
          <t>30</t>
        </is>
      </c>
      <c r="D2174" s="5" t="inlineStr">
        <is>
          <t>Married</t>
        </is>
      </c>
      <c r="E2174" s="5" t="inlineStr">
        <is>
          <t>PhD</t>
        </is>
      </c>
      <c r="F2174" s="5" t="inlineStr">
        <is>
          <t>Operations</t>
        </is>
      </c>
      <c r="G2174" s="5" t="inlineStr">
        <is>
          <t>Logistics Coordinator</t>
        </is>
      </c>
      <c r="H2174" s="5" t="inlineStr">
        <is>
          <t>1</t>
        </is>
      </c>
      <c r="I2174" s="5" t="inlineStr">
        <is>
          <t>Delhi</t>
        </is>
      </c>
      <c r="J2174" s="5" t="inlineStr">
        <is>
          <t>Full-Time</t>
        </is>
      </c>
      <c r="K2174" s="7" t="n">
        <v>45344</v>
      </c>
      <c r="L2174" s="7" t="inlineStr"/>
      <c r="M2174" s="5" t="inlineStr">
        <is>
          <t>Yes</t>
        </is>
      </c>
      <c r="N2174" s="5" t="inlineStr"/>
      <c r="O2174" s="8" t="inlineStr">
        <is>
          <t>62000</t>
        </is>
      </c>
      <c r="P2174" s="5" t="inlineStr">
        <is>
          <t>10</t>
        </is>
      </c>
      <c r="Q2174" s="5" t="inlineStr">
        <is>
          <t>3</t>
        </is>
      </c>
      <c r="R2174" s="5" t="inlineStr">
        <is>
          <t>6</t>
        </is>
      </c>
      <c r="S2174" s="5" t="inlineStr">
        <is>
          <t>22</t>
        </is>
      </c>
      <c r="T2174" s="5" t="inlineStr">
        <is>
          <t>0</t>
        </is>
      </c>
      <c r="U2174" s="5">
        <f>IFS(C2174&lt;30,"Under 30",C2174&lt;40,"30-39",C2174&lt;50,"40-49",TRUE,"50+")</f>
        <v/>
      </c>
      <c r="V2174" s="5">
        <f>IFS(O2174&lt;60000,"Low (&lt;60k)",O2174&lt;100000,"Mid (60-100k)",TRUE,"High (100k+)")</f>
        <v/>
      </c>
      <c r="W2174" s="5">
        <f>IF(M2174="No","Attrited","Active")</f>
        <v/>
      </c>
    </row>
    <row r="2175">
      <c r="A2175" s="5" t="inlineStr">
        <is>
          <t>E02174</t>
        </is>
      </c>
      <c r="B2175" s="5" t="inlineStr">
        <is>
          <t>Male</t>
        </is>
      </c>
      <c r="C2175" s="6" t="inlineStr">
        <is>
          <t>39</t>
        </is>
      </c>
      <c r="D2175" s="5" t="inlineStr">
        <is>
          <t>Married</t>
        </is>
      </c>
      <c r="E2175" s="5" t="inlineStr">
        <is>
          <t>High School</t>
        </is>
      </c>
      <c r="F2175" s="5" t="inlineStr">
        <is>
          <t>IT</t>
        </is>
      </c>
      <c r="G2175" s="5" t="inlineStr">
        <is>
          <t>DevOps Engineer</t>
        </is>
      </c>
      <c r="H2175" s="5" t="inlineStr">
        <is>
          <t>5</t>
        </is>
      </c>
      <c r="I2175" s="5" t="inlineStr">
        <is>
          <t>Hyderabad</t>
        </is>
      </c>
      <c r="J2175" s="5" t="inlineStr">
        <is>
          <t>Full-Time</t>
        </is>
      </c>
      <c r="K2175" s="7" t="n">
        <v>45503</v>
      </c>
      <c r="L2175" s="7" t="inlineStr"/>
      <c r="M2175" s="5" t="inlineStr">
        <is>
          <t>Yes</t>
        </is>
      </c>
      <c r="N2175" s="5" t="inlineStr"/>
      <c r="O2175" s="8" t="inlineStr">
        <is>
          <t>189000</t>
        </is>
      </c>
      <c r="P2175" s="5" t="inlineStr">
        <is>
          <t>5</t>
        </is>
      </c>
      <c r="Q2175" s="5" t="inlineStr">
        <is>
          <t>4</t>
        </is>
      </c>
      <c r="R2175" s="5" t="inlineStr">
        <is>
          <t>9</t>
        </is>
      </c>
      <c r="S2175" s="5" t="inlineStr">
        <is>
          <t>17</t>
        </is>
      </c>
      <c r="T2175" s="5" t="inlineStr">
        <is>
          <t>10</t>
        </is>
      </c>
      <c r="U2175" s="5">
        <f>IFS(C2175&lt;30,"Under 30",C2175&lt;40,"30-39",C2175&lt;50,"40-49",TRUE,"50+")</f>
        <v/>
      </c>
      <c r="V2175" s="5">
        <f>IFS(O2175&lt;60000,"Low (&lt;60k)",O2175&lt;100000,"Mid (60-100k)",TRUE,"High (100k+)")</f>
        <v/>
      </c>
      <c r="W2175" s="5">
        <f>IF(M2175="No","Attrited","Active")</f>
        <v/>
      </c>
    </row>
    <row r="2176">
      <c r="A2176" s="5" t="inlineStr">
        <is>
          <t>E02175</t>
        </is>
      </c>
      <c r="B2176" s="5" t="inlineStr">
        <is>
          <t>Female</t>
        </is>
      </c>
      <c r="C2176" s="6" t="inlineStr">
        <is>
          <t>33</t>
        </is>
      </c>
      <c r="D2176" s="5" t="inlineStr">
        <is>
          <t>Single</t>
        </is>
      </c>
      <c r="E2176" s="5" t="inlineStr">
        <is>
          <t>Diploma</t>
        </is>
      </c>
      <c r="F2176" s="5" t="inlineStr">
        <is>
          <t>IT</t>
        </is>
      </c>
      <c r="G2176" s="5" t="inlineStr">
        <is>
          <t>Software Engineer</t>
        </is>
      </c>
      <c r="H2176" s="5" t="inlineStr">
        <is>
          <t>2</t>
        </is>
      </c>
      <c r="I2176" s="5" t="inlineStr">
        <is>
          <t>Hyderabad</t>
        </is>
      </c>
      <c r="J2176" s="5" t="inlineStr">
        <is>
          <t>Full-Time</t>
        </is>
      </c>
      <c r="K2176" s="7" t="n">
        <v>44447</v>
      </c>
      <c r="L2176" s="7" t="inlineStr"/>
      <c r="M2176" s="5" t="inlineStr">
        <is>
          <t>Yes</t>
        </is>
      </c>
      <c r="N2176" s="5" t="inlineStr"/>
      <c r="O2176" s="8" t="inlineStr">
        <is>
          <t>110500</t>
        </is>
      </c>
      <c r="P2176" s="5" t="inlineStr">
        <is>
          <t>5</t>
        </is>
      </c>
      <c r="Q2176" s="5" t="inlineStr">
        <is>
          <t>5</t>
        </is>
      </c>
      <c r="R2176" s="5" t="inlineStr">
        <is>
          <t>4</t>
        </is>
      </c>
      <c r="S2176" s="5" t="inlineStr">
        <is>
          <t>52</t>
        </is>
      </c>
      <c r="T2176" s="5" t="inlineStr">
        <is>
          <t>3</t>
        </is>
      </c>
      <c r="U2176" s="5">
        <f>IFS(C2176&lt;30,"Under 30",C2176&lt;40,"30-39",C2176&lt;50,"40-49",TRUE,"50+")</f>
        <v/>
      </c>
      <c r="V2176" s="5">
        <f>IFS(O2176&lt;60000,"Low (&lt;60k)",O2176&lt;100000,"Mid (60-100k)",TRUE,"High (100k+)")</f>
        <v/>
      </c>
      <c r="W2176" s="5">
        <f>IF(M2176="No","Attrited","Active")</f>
        <v/>
      </c>
    </row>
    <row r="2177">
      <c r="A2177" s="5" t="inlineStr">
        <is>
          <t>E02176</t>
        </is>
      </c>
      <c r="B2177" s="5" t="inlineStr">
        <is>
          <t>Male</t>
        </is>
      </c>
      <c r="C2177" s="6" t="inlineStr">
        <is>
          <t>28</t>
        </is>
      </c>
      <c r="D2177" s="5" t="inlineStr">
        <is>
          <t>Single</t>
        </is>
      </c>
      <c r="E2177" s="5" t="inlineStr">
        <is>
          <t>Master</t>
        </is>
      </c>
      <c r="F2177" s="5" t="inlineStr">
        <is>
          <t>Customer Support</t>
        </is>
      </c>
      <c r="G2177" s="5" t="inlineStr">
        <is>
          <t>Escalation Specialist</t>
        </is>
      </c>
      <c r="H2177" s="5" t="inlineStr">
        <is>
          <t>1</t>
        </is>
      </c>
      <c r="I2177" s="5" t="inlineStr">
        <is>
          <t>Remote</t>
        </is>
      </c>
      <c r="J2177" s="5" t="inlineStr">
        <is>
          <t>Part-Time</t>
        </is>
      </c>
      <c r="K2177" s="7" t="n">
        <v>45540</v>
      </c>
      <c r="L2177" s="7" t="inlineStr"/>
      <c r="M2177" s="5" t="inlineStr">
        <is>
          <t>Yes</t>
        </is>
      </c>
      <c r="N2177" s="5" t="inlineStr"/>
      <c r="O2177" s="8" t="inlineStr">
        <is>
          <t>67500</t>
        </is>
      </c>
      <c r="P2177" s="5" t="inlineStr">
        <is>
          <t>15</t>
        </is>
      </c>
      <c r="Q2177" s="5" t="inlineStr">
        <is>
          <t>2</t>
        </is>
      </c>
      <c r="R2177" s="5" t="inlineStr">
        <is>
          <t>7</t>
        </is>
      </c>
      <c r="S2177" s="5" t="inlineStr">
        <is>
          <t>16</t>
        </is>
      </c>
      <c r="T2177" s="5" t="inlineStr">
        <is>
          <t>5</t>
        </is>
      </c>
      <c r="U2177" s="5">
        <f>IFS(C2177&lt;30,"Under 30",C2177&lt;40,"30-39",C2177&lt;50,"40-49",TRUE,"50+")</f>
        <v/>
      </c>
      <c r="V2177" s="5">
        <f>IFS(O2177&lt;60000,"Low (&lt;60k)",O2177&lt;100000,"Mid (60-100k)",TRUE,"High (100k+)")</f>
        <v/>
      </c>
      <c r="W2177" s="5">
        <f>IF(M2177="No","Attrited","Active")</f>
        <v/>
      </c>
    </row>
    <row r="2178">
      <c r="A2178" s="5" t="inlineStr">
        <is>
          <t>E02177</t>
        </is>
      </c>
      <c r="B2178" s="5" t="inlineStr">
        <is>
          <t>Female</t>
        </is>
      </c>
      <c r="C2178" s="6" t="inlineStr">
        <is>
          <t>36</t>
        </is>
      </c>
      <c r="D2178" s="5" t="inlineStr">
        <is>
          <t>Single</t>
        </is>
      </c>
      <c r="E2178" s="5" t="inlineStr">
        <is>
          <t>Diploma</t>
        </is>
      </c>
      <c r="F2178" s="5" t="inlineStr">
        <is>
          <t>Operations</t>
        </is>
      </c>
      <c r="G2178" s="5" t="inlineStr">
        <is>
          <t>Logistics Coordinator</t>
        </is>
      </c>
      <c r="H2178" s="5" t="inlineStr">
        <is>
          <t>2</t>
        </is>
      </c>
      <c r="I2178" s="5" t="inlineStr">
        <is>
          <t>Bengaluru</t>
        </is>
      </c>
      <c r="J2178" s="5" t="inlineStr">
        <is>
          <t>Full-Time</t>
        </is>
      </c>
      <c r="K2178" s="7" t="n">
        <v>43936</v>
      </c>
      <c r="L2178" s="7" t="n">
        <v>43995</v>
      </c>
      <c r="M2178" s="5" t="inlineStr">
        <is>
          <t>No</t>
        </is>
      </c>
      <c r="N2178" s="5" t="inlineStr">
        <is>
          <t>Layoff</t>
        </is>
      </c>
      <c r="O2178" s="8" t="inlineStr">
        <is>
          <t>86500</t>
        </is>
      </c>
      <c r="P2178" s="5" t="inlineStr">
        <is>
          <t>0</t>
        </is>
      </c>
      <c r="Q2178" s="5" t="inlineStr">
        <is>
          <t>5</t>
        </is>
      </c>
      <c r="R2178" s="5" t="inlineStr">
        <is>
          <t>5</t>
        </is>
      </c>
      <c r="S2178" s="5" t="inlineStr">
        <is>
          <t>1</t>
        </is>
      </c>
      <c r="T2178" s="5" t="inlineStr">
        <is>
          <t>6</t>
        </is>
      </c>
      <c r="U2178" s="5">
        <f>IFS(C2178&lt;30,"Under 30",C2178&lt;40,"30-39",C2178&lt;50,"40-49",TRUE,"50+")</f>
        <v/>
      </c>
      <c r="V2178" s="5">
        <f>IFS(O2178&lt;60000,"Low (&lt;60k)",O2178&lt;100000,"Mid (60-100k)",TRUE,"High (100k+)")</f>
        <v/>
      </c>
      <c r="W2178" s="5">
        <f>IF(M2178="No","Attrited","Active")</f>
        <v/>
      </c>
    </row>
    <row r="2179">
      <c r="A2179" s="5" t="inlineStr">
        <is>
          <t>E02178</t>
        </is>
      </c>
      <c r="B2179" s="5" t="inlineStr">
        <is>
          <t>Male</t>
        </is>
      </c>
      <c r="C2179" s="6" t="inlineStr">
        <is>
          <t>36</t>
        </is>
      </c>
      <c r="D2179" s="5" t="inlineStr">
        <is>
          <t>Divorced</t>
        </is>
      </c>
      <c r="E2179" s="5" t="inlineStr">
        <is>
          <t>High School</t>
        </is>
      </c>
      <c r="F2179" s="5" t="inlineStr">
        <is>
          <t>Human Resources</t>
        </is>
      </c>
      <c r="G2179" s="5" t="inlineStr">
        <is>
          <t>Recruiter</t>
        </is>
      </c>
      <c r="H2179" s="5" t="inlineStr">
        <is>
          <t>3</t>
        </is>
      </c>
      <c r="I2179" s="5" t="inlineStr">
        <is>
          <t>Mumbai</t>
        </is>
      </c>
      <c r="J2179" s="5" t="inlineStr">
        <is>
          <t>Full-Time</t>
        </is>
      </c>
      <c r="K2179" s="7" t="n">
        <v>44531</v>
      </c>
      <c r="L2179" s="7" t="inlineStr"/>
      <c r="M2179" s="5" t="inlineStr">
        <is>
          <t>Yes</t>
        </is>
      </c>
      <c r="N2179" s="5" t="inlineStr"/>
      <c r="O2179" s="8" t="inlineStr">
        <is>
          <t>80000</t>
        </is>
      </c>
      <c r="P2179" s="5" t="inlineStr">
        <is>
          <t>20</t>
        </is>
      </c>
      <c r="Q2179" s="5" t="inlineStr">
        <is>
          <t>3</t>
        </is>
      </c>
      <c r="R2179" s="5" t="inlineStr">
        <is>
          <t>9</t>
        </is>
      </c>
      <c r="S2179" s="5" t="inlineStr">
        <is>
          <t>49</t>
        </is>
      </c>
      <c r="T2179" s="5" t="inlineStr">
        <is>
          <t>7</t>
        </is>
      </c>
      <c r="U2179" s="5">
        <f>IFS(C2179&lt;30,"Under 30",C2179&lt;40,"30-39",C2179&lt;50,"40-49",TRUE,"50+")</f>
        <v/>
      </c>
      <c r="V2179" s="5">
        <f>IFS(O2179&lt;60000,"Low (&lt;60k)",O2179&lt;100000,"Mid (60-100k)",TRUE,"High (100k+)")</f>
        <v/>
      </c>
      <c r="W2179" s="5">
        <f>IF(M2179="No","Attrited","Active")</f>
        <v/>
      </c>
    </row>
    <row r="2180">
      <c r="A2180" s="5" t="inlineStr">
        <is>
          <t>E02179</t>
        </is>
      </c>
      <c r="B2180" s="5" t="inlineStr">
        <is>
          <t>Female</t>
        </is>
      </c>
      <c r="C2180" s="6" t="inlineStr">
        <is>
          <t>27</t>
        </is>
      </c>
      <c r="D2180" s="5" t="inlineStr">
        <is>
          <t>Married</t>
        </is>
      </c>
      <c r="E2180" s="5" t="inlineStr">
        <is>
          <t>Diploma</t>
        </is>
      </c>
      <c r="F2180" s="5" t="inlineStr">
        <is>
          <t>Finance</t>
        </is>
      </c>
      <c r="G2180" s="5" t="inlineStr">
        <is>
          <t>Credit Analyst</t>
        </is>
      </c>
      <c r="H2180" s="5" t="inlineStr">
        <is>
          <t>2</t>
        </is>
      </c>
      <c r="I2180" s="5" t="inlineStr">
        <is>
          <t>Delhi</t>
        </is>
      </c>
      <c r="J2180" s="5" t="inlineStr">
        <is>
          <t>Full-Time</t>
        </is>
      </c>
      <c r="K2180" s="7" t="n">
        <v>45316</v>
      </c>
      <c r="L2180" s="7" t="n">
        <v>45364</v>
      </c>
      <c r="M2180" s="5" t="inlineStr">
        <is>
          <t>No</t>
        </is>
      </c>
      <c r="N2180" s="5" t="inlineStr">
        <is>
          <t>Retirement</t>
        </is>
      </c>
      <c r="O2180" s="8" t="inlineStr">
        <is>
          <t>113500</t>
        </is>
      </c>
      <c r="P2180" s="5" t="inlineStr">
        <is>
          <t>20</t>
        </is>
      </c>
      <c r="Q2180" s="5" t="inlineStr">
        <is>
          <t>3</t>
        </is>
      </c>
      <c r="R2180" s="5" t="inlineStr">
        <is>
          <t>4</t>
        </is>
      </c>
      <c r="S2180" s="5" t="inlineStr">
        <is>
          <t>1</t>
        </is>
      </c>
      <c r="T2180" s="5" t="inlineStr">
        <is>
          <t>12</t>
        </is>
      </c>
      <c r="U2180" s="5">
        <f>IFS(C2180&lt;30,"Under 30",C2180&lt;40,"30-39",C2180&lt;50,"40-49",TRUE,"50+")</f>
        <v/>
      </c>
      <c r="V2180" s="5">
        <f>IFS(O2180&lt;60000,"Low (&lt;60k)",O2180&lt;100000,"Mid (60-100k)",TRUE,"High (100k+)")</f>
        <v/>
      </c>
      <c r="W2180" s="5">
        <f>IF(M2180="No","Attrited","Active")</f>
        <v/>
      </c>
    </row>
    <row r="2181">
      <c r="A2181" s="5" t="inlineStr">
        <is>
          <t>E02180</t>
        </is>
      </c>
      <c r="B2181" s="5" t="inlineStr">
        <is>
          <t>Female</t>
        </is>
      </c>
      <c r="C2181" s="6" t="inlineStr">
        <is>
          <t>37</t>
        </is>
      </c>
      <c r="D2181" s="5" t="inlineStr">
        <is>
          <t>Divorced</t>
        </is>
      </c>
      <c r="E2181" s="5" t="inlineStr">
        <is>
          <t>High School</t>
        </is>
      </c>
      <c r="F2181" s="5" t="inlineStr">
        <is>
          <t>IT</t>
        </is>
      </c>
      <c r="G2181" s="5" t="inlineStr">
        <is>
          <t>Software Engineer</t>
        </is>
      </c>
      <c r="H2181" s="5" t="inlineStr">
        <is>
          <t>3</t>
        </is>
      </c>
      <c r="I2181" s="5" t="inlineStr">
        <is>
          <t>Delhi</t>
        </is>
      </c>
      <c r="J2181" s="5" t="inlineStr">
        <is>
          <t>Contract</t>
        </is>
      </c>
      <c r="K2181" s="7" t="n">
        <v>44485</v>
      </c>
      <c r="L2181" s="7" t="inlineStr"/>
      <c r="M2181" s="5" t="inlineStr">
        <is>
          <t>Yes</t>
        </is>
      </c>
      <c r="N2181" s="5" t="inlineStr"/>
      <c r="O2181" s="8" t="inlineStr">
        <is>
          <t>114000</t>
        </is>
      </c>
      <c r="P2181" s="5" t="inlineStr">
        <is>
          <t>0</t>
        </is>
      </c>
      <c r="Q2181" s="5" t="inlineStr">
        <is>
          <t>4</t>
        </is>
      </c>
      <c r="R2181" s="5" t="inlineStr">
        <is>
          <t>6</t>
        </is>
      </c>
      <c r="S2181" s="5" t="inlineStr">
        <is>
          <t>51</t>
        </is>
      </c>
      <c r="T2181" s="5" t="inlineStr">
        <is>
          <t>0</t>
        </is>
      </c>
      <c r="U2181" s="5">
        <f>IFS(C2181&lt;30,"Under 30",C2181&lt;40,"30-39",C2181&lt;50,"40-49",TRUE,"50+")</f>
        <v/>
      </c>
      <c r="V2181" s="5">
        <f>IFS(O2181&lt;60000,"Low (&lt;60k)",O2181&lt;100000,"Mid (60-100k)",TRUE,"High (100k+)")</f>
        <v/>
      </c>
      <c r="W2181" s="5">
        <f>IF(M2181="No","Attrited","Active")</f>
        <v/>
      </c>
    </row>
    <row r="2182">
      <c r="A2182" s="5" t="inlineStr">
        <is>
          <t>E02181</t>
        </is>
      </c>
      <c r="B2182" s="5" t="inlineStr">
        <is>
          <t>Female</t>
        </is>
      </c>
      <c r="C2182" s="6" t="inlineStr">
        <is>
          <t>35</t>
        </is>
      </c>
      <c r="D2182" s="5" t="inlineStr">
        <is>
          <t>Married</t>
        </is>
      </c>
      <c r="E2182" s="5" t="inlineStr">
        <is>
          <t>PhD</t>
        </is>
      </c>
      <c r="F2182" s="5" t="inlineStr">
        <is>
          <t>Sales</t>
        </is>
      </c>
      <c r="G2182" s="5" t="inlineStr">
        <is>
          <t>Sales Executive</t>
        </is>
      </c>
      <c r="H2182" s="5" t="inlineStr">
        <is>
          <t>3</t>
        </is>
      </c>
      <c r="I2182" s="5" t="inlineStr">
        <is>
          <t>Remote</t>
        </is>
      </c>
      <c r="J2182" s="5" t="inlineStr">
        <is>
          <t>Full-Time</t>
        </is>
      </c>
      <c r="K2182" s="7" t="n">
        <v>44978</v>
      </c>
      <c r="L2182" s="7" t="inlineStr"/>
      <c r="M2182" s="5" t="inlineStr">
        <is>
          <t>Yes</t>
        </is>
      </c>
      <c r="N2182" s="5" t="inlineStr"/>
      <c r="O2182" s="8" t="inlineStr">
        <is>
          <t>109500</t>
        </is>
      </c>
      <c r="P2182" s="5" t="inlineStr">
        <is>
          <t>0</t>
        </is>
      </c>
      <c r="Q2182" s="5" t="inlineStr">
        <is>
          <t>4</t>
        </is>
      </c>
      <c r="R2182" s="5" t="inlineStr">
        <is>
          <t>6</t>
        </is>
      </c>
      <c r="S2182" s="5" t="inlineStr">
        <is>
          <t>34</t>
        </is>
      </c>
      <c r="T2182" s="5" t="inlineStr">
        <is>
          <t>20</t>
        </is>
      </c>
      <c r="U2182" s="5">
        <f>IFS(C2182&lt;30,"Under 30",C2182&lt;40,"30-39",C2182&lt;50,"40-49",TRUE,"50+")</f>
        <v/>
      </c>
      <c r="V2182" s="5">
        <f>IFS(O2182&lt;60000,"Low (&lt;60k)",O2182&lt;100000,"Mid (60-100k)",TRUE,"High (100k+)")</f>
        <v/>
      </c>
      <c r="W2182" s="5">
        <f>IF(M2182="No","Attrited","Active")</f>
        <v/>
      </c>
    </row>
    <row r="2183">
      <c r="A2183" s="5" t="inlineStr">
        <is>
          <t>E02182</t>
        </is>
      </c>
      <c r="B2183" s="5" t="inlineStr">
        <is>
          <t>Male</t>
        </is>
      </c>
      <c r="C2183" s="6" t="inlineStr">
        <is>
          <t>40</t>
        </is>
      </c>
      <c r="D2183" s="5" t="inlineStr">
        <is>
          <t>Single</t>
        </is>
      </c>
      <c r="E2183" s="5" t="inlineStr">
        <is>
          <t>Bachelor</t>
        </is>
      </c>
      <c r="F2183" s="5" t="inlineStr">
        <is>
          <t>Customer Support</t>
        </is>
      </c>
      <c r="G2183" s="5" t="inlineStr">
        <is>
          <t>Support Agent</t>
        </is>
      </c>
      <c r="H2183" s="5" t="inlineStr">
        <is>
          <t>4</t>
        </is>
      </c>
      <c r="I2183" s="5" t="inlineStr">
        <is>
          <t>Bengaluru</t>
        </is>
      </c>
      <c r="J2183" s="5" t="inlineStr">
        <is>
          <t>Full-Time</t>
        </is>
      </c>
      <c r="K2183" s="7" t="n">
        <v>45201</v>
      </c>
      <c r="L2183" s="7" t="inlineStr"/>
      <c r="M2183" s="5" t="inlineStr">
        <is>
          <t>Yes</t>
        </is>
      </c>
      <c r="N2183" s="5" t="inlineStr"/>
      <c r="O2183" s="8" t="inlineStr">
        <is>
          <t>73500</t>
        </is>
      </c>
      <c r="P2183" s="5" t="inlineStr">
        <is>
          <t>5</t>
        </is>
      </c>
      <c r="Q2183" s="5" t="inlineStr">
        <is>
          <t>4</t>
        </is>
      </c>
      <c r="R2183" s="5" t="inlineStr">
        <is>
          <t>5</t>
        </is>
      </c>
      <c r="S2183" s="5" t="inlineStr">
        <is>
          <t>27</t>
        </is>
      </c>
      <c r="T2183" s="5" t="inlineStr">
        <is>
          <t>4</t>
        </is>
      </c>
      <c r="U2183" s="5">
        <f>IFS(C2183&lt;30,"Under 30",C2183&lt;40,"30-39",C2183&lt;50,"40-49",TRUE,"50+")</f>
        <v/>
      </c>
      <c r="V2183" s="5">
        <f>IFS(O2183&lt;60000,"Low (&lt;60k)",O2183&lt;100000,"Mid (60-100k)",TRUE,"High (100k+)")</f>
        <v/>
      </c>
      <c r="W2183" s="5">
        <f>IF(M2183="No","Attrited","Active")</f>
        <v/>
      </c>
    </row>
    <row r="2184">
      <c r="A2184" s="5" t="inlineStr">
        <is>
          <t>E02183</t>
        </is>
      </c>
      <c r="B2184" s="5" t="inlineStr">
        <is>
          <t>Male</t>
        </is>
      </c>
      <c r="C2184" s="6" t="inlineStr">
        <is>
          <t>30</t>
        </is>
      </c>
      <c r="D2184" s="5" t="inlineStr">
        <is>
          <t>Married</t>
        </is>
      </c>
      <c r="E2184" s="5" t="inlineStr">
        <is>
          <t>Bachelor</t>
        </is>
      </c>
      <c r="F2184" s="5" t="inlineStr">
        <is>
          <t>IT</t>
        </is>
      </c>
      <c r="G2184" s="5" t="inlineStr">
        <is>
          <t>Data Analyst</t>
        </is>
      </c>
      <c r="H2184" s="5" t="inlineStr">
        <is>
          <t>2</t>
        </is>
      </c>
      <c r="I2184" s="5" t="inlineStr">
        <is>
          <t>Remote</t>
        </is>
      </c>
      <c r="J2184" s="5" t="inlineStr">
        <is>
          <t>Full-Time</t>
        </is>
      </c>
      <c r="K2184" s="7" t="n">
        <v>44942</v>
      </c>
      <c r="L2184" s="7" t="inlineStr"/>
      <c r="M2184" s="5" t="inlineStr">
        <is>
          <t>Yes</t>
        </is>
      </c>
      <c r="N2184" s="5" t="inlineStr"/>
      <c r="O2184" s="8" t="inlineStr">
        <is>
          <t>146500</t>
        </is>
      </c>
      <c r="P2184" s="5" t="inlineStr">
        <is>
          <t>15</t>
        </is>
      </c>
      <c r="Q2184" s="5" t="inlineStr">
        <is>
          <t>4</t>
        </is>
      </c>
      <c r="R2184" s="5" t="inlineStr">
        <is>
          <t>9</t>
        </is>
      </c>
      <c r="S2184" s="5" t="inlineStr">
        <is>
          <t>36</t>
        </is>
      </c>
      <c r="T2184" s="5" t="inlineStr">
        <is>
          <t>9</t>
        </is>
      </c>
      <c r="U2184" s="5">
        <f>IFS(C2184&lt;30,"Under 30",C2184&lt;40,"30-39",C2184&lt;50,"40-49",TRUE,"50+")</f>
        <v/>
      </c>
      <c r="V2184" s="5">
        <f>IFS(O2184&lt;60000,"Low (&lt;60k)",O2184&lt;100000,"Mid (60-100k)",TRUE,"High (100k+)")</f>
        <v/>
      </c>
      <c r="W2184" s="5">
        <f>IF(M2184="No","Attrited","Active")</f>
        <v/>
      </c>
    </row>
    <row r="2185">
      <c r="A2185" s="5" t="inlineStr">
        <is>
          <t>E02184</t>
        </is>
      </c>
      <c r="B2185" s="5" t="inlineStr">
        <is>
          <t>Male</t>
        </is>
      </c>
      <c r="C2185" s="6" t="inlineStr">
        <is>
          <t>33</t>
        </is>
      </c>
      <c r="D2185" s="5" t="inlineStr">
        <is>
          <t>Married</t>
        </is>
      </c>
      <c r="E2185" s="5" t="inlineStr">
        <is>
          <t>High School</t>
        </is>
      </c>
      <c r="F2185" s="5" t="inlineStr">
        <is>
          <t>Marketing</t>
        </is>
      </c>
      <c r="G2185" s="5" t="inlineStr">
        <is>
          <t>Content Writer</t>
        </is>
      </c>
      <c r="H2185" s="5" t="inlineStr">
        <is>
          <t>1</t>
        </is>
      </c>
      <c r="I2185" s="5" t="inlineStr">
        <is>
          <t>Bengaluru</t>
        </is>
      </c>
      <c r="J2185" s="5" t="inlineStr">
        <is>
          <t>Full-Time</t>
        </is>
      </c>
      <c r="K2185" s="7" t="n">
        <v>43998</v>
      </c>
      <c r="L2185" s="7" t="inlineStr"/>
      <c r="M2185" s="5" t="inlineStr">
        <is>
          <t>Yes</t>
        </is>
      </c>
      <c r="N2185" s="5" t="inlineStr"/>
      <c r="O2185" s="8" t="inlineStr">
        <is>
          <t>63000</t>
        </is>
      </c>
      <c r="P2185" s="5" t="inlineStr">
        <is>
          <t>0</t>
        </is>
      </c>
      <c r="Q2185" s="5" t="inlineStr">
        <is>
          <t>3</t>
        </is>
      </c>
      <c r="R2185" s="5" t="inlineStr">
        <is>
          <t>5</t>
        </is>
      </c>
      <c r="S2185" s="5" t="inlineStr">
        <is>
          <t>67</t>
        </is>
      </c>
      <c r="T2185" s="5" t="inlineStr">
        <is>
          <t>8</t>
        </is>
      </c>
      <c r="U2185" s="5">
        <f>IFS(C2185&lt;30,"Under 30",C2185&lt;40,"30-39",C2185&lt;50,"40-49",TRUE,"50+")</f>
        <v/>
      </c>
      <c r="V2185" s="5">
        <f>IFS(O2185&lt;60000,"Low (&lt;60k)",O2185&lt;100000,"Mid (60-100k)",TRUE,"High (100k+)")</f>
        <v/>
      </c>
      <c r="W2185" s="5">
        <f>IF(M2185="No","Attrited","Active")</f>
        <v/>
      </c>
    </row>
    <row r="2186">
      <c r="A2186" s="5" t="inlineStr">
        <is>
          <t>E02185</t>
        </is>
      </c>
      <c r="B2186" s="5" t="inlineStr">
        <is>
          <t>Female</t>
        </is>
      </c>
      <c r="C2186" s="6" t="inlineStr">
        <is>
          <t>23</t>
        </is>
      </c>
      <c r="D2186" s="5" t="inlineStr">
        <is>
          <t>Married</t>
        </is>
      </c>
      <c r="E2186" s="5" t="inlineStr">
        <is>
          <t>PhD</t>
        </is>
      </c>
      <c r="F2186" s="5" t="inlineStr">
        <is>
          <t>Operations</t>
        </is>
      </c>
      <c r="G2186" s="5" t="inlineStr">
        <is>
          <t>Quality Analyst</t>
        </is>
      </c>
      <c r="H2186" s="5" t="inlineStr">
        <is>
          <t>1</t>
        </is>
      </c>
      <c r="I2186" s="5" t="inlineStr">
        <is>
          <t>Hyderabad</t>
        </is>
      </c>
      <c r="J2186" s="5" t="inlineStr">
        <is>
          <t>Full-Time</t>
        </is>
      </c>
      <c r="K2186" s="7" t="n">
        <v>45056</v>
      </c>
      <c r="L2186" s="7" t="inlineStr"/>
      <c r="M2186" s="5" t="inlineStr">
        <is>
          <t>Yes</t>
        </is>
      </c>
      <c r="N2186" s="5" t="inlineStr"/>
      <c r="O2186" s="8" t="inlineStr">
        <is>
          <t>93500</t>
        </is>
      </c>
      <c r="P2186" s="5" t="inlineStr">
        <is>
          <t>10</t>
        </is>
      </c>
      <c r="Q2186" s="5" t="inlineStr">
        <is>
          <t>4</t>
        </is>
      </c>
      <c r="R2186" s="5" t="inlineStr">
        <is>
          <t>4</t>
        </is>
      </c>
      <c r="S2186" s="5" t="inlineStr">
        <is>
          <t>32</t>
        </is>
      </c>
      <c r="T2186" s="5" t="inlineStr">
        <is>
          <t>6</t>
        </is>
      </c>
      <c r="U2186" s="5">
        <f>IFS(C2186&lt;30,"Under 30",C2186&lt;40,"30-39",C2186&lt;50,"40-49",TRUE,"50+")</f>
        <v/>
      </c>
      <c r="V2186" s="5">
        <f>IFS(O2186&lt;60000,"Low (&lt;60k)",O2186&lt;100000,"Mid (60-100k)",TRUE,"High (100k+)")</f>
        <v/>
      </c>
      <c r="W2186" s="5">
        <f>IF(M2186="No","Attrited","Active")</f>
        <v/>
      </c>
    </row>
    <row r="2187">
      <c r="A2187" s="5" t="inlineStr">
        <is>
          <t>E02186</t>
        </is>
      </c>
      <c r="B2187" s="5" t="inlineStr">
        <is>
          <t>Female</t>
        </is>
      </c>
      <c r="C2187" s="6" t="inlineStr">
        <is>
          <t>34</t>
        </is>
      </c>
      <c r="D2187" s="5" t="inlineStr">
        <is>
          <t>Married</t>
        </is>
      </c>
      <c r="E2187" s="5" t="inlineStr">
        <is>
          <t>PhD</t>
        </is>
      </c>
      <c r="F2187" s="5" t="inlineStr">
        <is>
          <t>Marketing</t>
        </is>
      </c>
      <c r="G2187" s="5" t="inlineStr">
        <is>
          <t>Marketing Analyst</t>
        </is>
      </c>
      <c r="H2187" s="5" t="inlineStr">
        <is>
          <t>4</t>
        </is>
      </c>
      <c r="I2187" s="5" t="inlineStr">
        <is>
          <t>Hyderabad</t>
        </is>
      </c>
      <c r="J2187" s="5" t="inlineStr">
        <is>
          <t>Full-Time</t>
        </is>
      </c>
      <c r="K2187" s="7" t="n">
        <v>43935</v>
      </c>
      <c r="L2187" s="7" t="inlineStr"/>
      <c r="M2187" s="5" t="inlineStr">
        <is>
          <t>Yes</t>
        </is>
      </c>
      <c r="N2187" s="5" t="inlineStr"/>
      <c r="O2187" s="8" t="inlineStr">
        <is>
          <t>92500</t>
        </is>
      </c>
      <c r="P2187" s="5" t="inlineStr">
        <is>
          <t>15</t>
        </is>
      </c>
      <c r="Q2187" s="5" t="inlineStr">
        <is>
          <t>5</t>
        </is>
      </c>
      <c r="R2187" s="5" t="inlineStr">
        <is>
          <t>6</t>
        </is>
      </c>
      <c r="S2187" s="5" t="inlineStr">
        <is>
          <t>69</t>
        </is>
      </c>
      <c r="T2187" s="5" t="inlineStr">
        <is>
          <t>0</t>
        </is>
      </c>
      <c r="U2187" s="5">
        <f>IFS(C2187&lt;30,"Under 30",C2187&lt;40,"30-39",C2187&lt;50,"40-49",TRUE,"50+")</f>
        <v/>
      </c>
      <c r="V2187" s="5">
        <f>IFS(O2187&lt;60000,"Low (&lt;60k)",O2187&lt;100000,"Mid (60-100k)",TRUE,"High (100k+)")</f>
        <v/>
      </c>
      <c r="W2187" s="5">
        <f>IF(M2187="No","Attrited","Active")</f>
        <v/>
      </c>
    </row>
    <row r="2188">
      <c r="A2188" s="5" t="inlineStr">
        <is>
          <t>E02187</t>
        </is>
      </c>
      <c r="B2188" s="5" t="inlineStr">
        <is>
          <t>Female</t>
        </is>
      </c>
      <c r="C2188" s="6" t="inlineStr">
        <is>
          <t>32</t>
        </is>
      </c>
      <c r="D2188" s="5" t="inlineStr">
        <is>
          <t>Single</t>
        </is>
      </c>
      <c r="E2188" s="5" t="inlineStr">
        <is>
          <t>Bachelor</t>
        </is>
      </c>
      <c r="F2188" s="5" t="inlineStr">
        <is>
          <t>Marketing</t>
        </is>
      </c>
      <c r="G2188" s="5" t="inlineStr">
        <is>
          <t>Content Writer</t>
        </is>
      </c>
      <c r="H2188" s="5" t="inlineStr">
        <is>
          <t>1</t>
        </is>
      </c>
      <c r="I2188" s="5" t="inlineStr">
        <is>
          <t>Chennai</t>
        </is>
      </c>
      <c r="J2188" s="5" t="inlineStr">
        <is>
          <t>Full-Time</t>
        </is>
      </c>
      <c r="K2188" s="7" t="n">
        <v>44387</v>
      </c>
      <c r="L2188" s="7" t="n">
        <v>44465</v>
      </c>
      <c r="M2188" s="5" t="inlineStr">
        <is>
          <t>No</t>
        </is>
      </c>
      <c r="N2188" s="5" t="inlineStr">
        <is>
          <t>Resigned</t>
        </is>
      </c>
      <c r="O2188" s="8" t="inlineStr">
        <is>
          <t>83000</t>
        </is>
      </c>
      <c r="P2188" s="5" t="inlineStr">
        <is>
          <t>0</t>
        </is>
      </c>
      <c r="Q2188" s="5" t="inlineStr">
        <is>
          <t>2</t>
        </is>
      </c>
      <c r="R2188" s="5" t="inlineStr">
        <is>
          <t>4</t>
        </is>
      </c>
      <c r="S2188" s="5" t="inlineStr">
        <is>
          <t>2</t>
        </is>
      </c>
      <c r="T2188" s="5" t="inlineStr">
        <is>
          <t>3</t>
        </is>
      </c>
      <c r="U2188" s="5">
        <f>IFS(C2188&lt;30,"Under 30",C2188&lt;40,"30-39",C2188&lt;50,"40-49",TRUE,"50+")</f>
        <v/>
      </c>
      <c r="V2188" s="5">
        <f>IFS(O2188&lt;60000,"Low (&lt;60k)",O2188&lt;100000,"Mid (60-100k)",TRUE,"High (100k+)")</f>
        <v/>
      </c>
      <c r="W2188" s="5">
        <f>IF(M2188="No","Attrited","Active")</f>
        <v/>
      </c>
    </row>
    <row r="2189">
      <c r="A2189" s="5" t="inlineStr">
        <is>
          <t>E02188</t>
        </is>
      </c>
      <c r="B2189" s="5" t="inlineStr">
        <is>
          <t>Female</t>
        </is>
      </c>
      <c r="C2189" s="6" t="inlineStr">
        <is>
          <t>30</t>
        </is>
      </c>
      <c r="D2189" s="5" t="inlineStr">
        <is>
          <t>Married</t>
        </is>
      </c>
      <c r="E2189" s="5" t="inlineStr">
        <is>
          <t>Master</t>
        </is>
      </c>
      <c r="F2189" s="5" t="inlineStr">
        <is>
          <t>Research &amp; Development</t>
        </is>
      </c>
      <c r="G2189" s="5" t="inlineStr">
        <is>
          <t>Product Engineer</t>
        </is>
      </c>
      <c r="H2189" s="5" t="inlineStr">
        <is>
          <t>1</t>
        </is>
      </c>
      <c r="I2189" s="5" t="inlineStr">
        <is>
          <t>Mumbai</t>
        </is>
      </c>
      <c r="J2189" s="5" t="inlineStr">
        <is>
          <t>Full-Time</t>
        </is>
      </c>
      <c r="K2189" s="7" t="n">
        <v>44905</v>
      </c>
      <c r="L2189" s="7" t="inlineStr"/>
      <c r="M2189" s="5" t="inlineStr">
        <is>
          <t>Yes</t>
        </is>
      </c>
      <c r="N2189" s="5" t="inlineStr"/>
      <c r="O2189" s="8" t="inlineStr">
        <is>
          <t>163000</t>
        </is>
      </c>
      <c r="P2189" s="5" t="inlineStr">
        <is>
          <t>5</t>
        </is>
      </c>
      <c r="Q2189" s="5" t="inlineStr">
        <is>
          <t>4</t>
        </is>
      </c>
      <c r="R2189" s="5" t="inlineStr">
        <is>
          <t>5</t>
        </is>
      </c>
      <c r="S2189" s="5" t="inlineStr">
        <is>
          <t>37</t>
        </is>
      </c>
      <c r="T2189" s="5" t="inlineStr">
        <is>
          <t>7</t>
        </is>
      </c>
      <c r="U2189" s="5">
        <f>IFS(C2189&lt;30,"Under 30",C2189&lt;40,"30-39",C2189&lt;50,"40-49",TRUE,"50+")</f>
        <v/>
      </c>
      <c r="V2189" s="5">
        <f>IFS(O2189&lt;60000,"Low (&lt;60k)",O2189&lt;100000,"Mid (60-100k)",TRUE,"High (100k+)")</f>
        <v/>
      </c>
      <c r="W2189" s="5">
        <f>IF(M2189="No","Attrited","Active")</f>
        <v/>
      </c>
    </row>
    <row r="2190">
      <c r="A2190" s="5" t="inlineStr">
        <is>
          <t>E02189</t>
        </is>
      </c>
      <c r="B2190" s="5" t="inlineStr">
        <is>
          <t>Male</t>
        </is>
      </c>
      <c r="C2190" s="6" t="inlineStr">
        <is>
          <t>32</t>
        </is>
      </c>
      <c r="D2190" s="5" t="inlineStr">
        <is>
          <t>Married</t>
        </is>
      </c>
      <c r="E2190" s="5" t="inlineStr">
        <is>
          <t>PhD</t>
        </is>
      </c>
      <c r="F2190" s="5" t="inlineStr">
        <is>
          <t>Marketing</t>
        </is>
      </c>
      <c r="G2190" s="5" t="inlineStr">
        <is>
          <t>Content Writer</t>
        </is>
      </c>
      <c r="H2190" s="5" t="inlineStr">
        <is>
          <t>4</t>
        </is>
      </c>
      <c r="I2190" s="5" t="inlineStr">
        <is>
          <t>Hyderabad</t>
        </is>
      </c>
      <c r="J2190" s="5" t="inlineStr">
        <is>
          <t>Full-Time</t>
        </is>
      </c>
      <c r="K2190" s="7" t="n">
        <v>45421</v>
      </c>
      <c r="L2190" s="7" t="inlineStr"/>
      <c r="M2190" s="5" t="inlineStr">
        <is>
          <t>Yes</t>
        </is>
      </c>
      <c r="N2190" s="5" t="inlineStr"/>
      <c r="O2190" s="8" t="inlineStr">
        <is>
          <t>94500</t>
        </is>
      </c>
      <c r="P2190" s="5" t="inlineStr">
        <is>
          <t>5</t>
        </is>
      </c>
      <c r="Q2190" s="5" t="inlineStr">
        <is>
          <t>4</t>
        </is>
      </c>
      <c r="R2190" s="5" t="inlineStr">
        <is>
          <t>10</t>
        </is>
      </c>
      <c r="S2190" s="5" t="inlineStr">
        <is>
          <t>20</t>
        </is>
      </c>
      <c r="T2190" s="5" t="inlineStr">
        <is>
          <t>10</t>
        </is>
      </c>
      <c r="U2190" s="5">
        <f>IFS(C2190&lt;30,"Under 30",C2190&lt;40,"30-39",C2190&lt;50,"40-49",TRUE,"50+")</f>
        <v/>
      </c>
      <c r="V2190" s="5">
        <f>IFS(O2190&lt;60000,"Low (&lt;60k)",O2190&lt;100000,"Mid (60-100k)",TRUE,"High (100k+)")</f>
        <v/>
      </c>
      <c r="W2190" s="5">
        <f>IF(M2190="No","Attrited","Active")</f>
        <v/>
      </c>
    </row>
    <row r="2191">
      <c r="A2191" s="5" t="inlineStr">
        <is>
          <t>E02190</t>
        </is>
      </c>
      <c r="B2191" s="5" t="inlineStr">
        <is>
          <t>Female</t>
        </is>
      </c>
      <c r="C2191" s="6" t="inlineStr">
        <is>
          <t>35</t>
        </is>
      </c>
      <c r="D2191" s="5" t="inlineStr">
        <is>
          <t>Married</t>
        </is>
      </c>
      <c r="E2191" s="5" t="inlineStr">
        <is>
          <t>PhD</t>
        </is>
      </c>
      <c r="F2191" s="5" t="inlineStr">
        <is>
          <t>Sales</t>
        </is>
      </c>
      <c r="G2191" s="5" t="inlineStr">
        <is>
          <t>Business Development</t>
        </is>
      </c>
      <c r="H2191" s="5" t="inlineStr">
        <is>
          <t>4</t>
        </is>
      </c>
      <c r="I2191" s="5" t="inlineStr">
        <is>
          <t>Bengaluru</t>
        </is>
      </c>
      <c r="J2191" s="5" t="inlineStr">
        <is>
          <t>Contract</t>
        </is>
      </c>
      <c r="K2191" s="7" t="n">
        <v>44796</v>
      </c>
      <c r="L2191" s="7" t="inlineStr"/>
      <c r="M2191" s="5" t="inlineStr">
        <is>
          <t>Yes</t>
        </is>
      </c>
      <c r="N2191" s="5" t="inlineStr"/>
      <c r="O2191" s="8" t="inlineStr">
        <is>
          <t>100000</t>
        </is>
      </c>
      <c r="P2191" s="5" t="inlineStr">
        <is>
          <t>0</t>
        </is>
      </c>
      <c r="Q2191" s="5" t="inlineStr">
        <is>
          <t>4</t>
        </is>
      </c>
      <c r="R2191" s="5" t="inlineStr">
        <is>
          <t>7</t>
        </is>
      </c>
      <c r="S2191" s="5" t="inlineStr">
        <is>
          <t>40</t>
        </is>
      </c>
      <c r="T2191" s="5" t="inlineStr">
        <is>
          <t>0</t>
        </is>
      </c>
      <c r="U2191" s="5">
        <f>IFS(C2191&lt;30,"Under 30",C2191&lt;40,"30-39",C2191&lt;50,"40-49",TRUE,"50+")</f>
        <v/>
      </c>
      <c r="V2191" s="5">
        <f>IFS(O2191&lt;60000,"Low (&lt;60k)",O2191&lt;100000,"Mid (60-100k)",TRUE,"High (100k+)")</f>
        <v/>
      </c>
      <c r="W2191" s="5">
        <f>IF(M2191="No","Attrited","Active")</f>
        <v/>
      </c>
    </row>
    <row r="2192">
      <c r="A2192" s="5" t="inlineStr">
        <is>
          <t>E02191</t>
        </is>
      </c>
      <c r="B2192" s="5" t="inlineStr">
        <is>
          <t>Female</t>
        </is>
      </c>
      <c r="C2192" s="6" t="inlineStr">
        <is>
          <t>40</t>
        </is>
      </c>
      <c r="D2192" s="5" t="inlineStr">
        <is>
          <t>Married</t>
        </is>
      </c>
      <c r="E2192" s="5" t="inlineStr">
        <is>
          <t>Diploma</t>
        </is>
      </c>
      <c r="F2192" s="5" t="inlineStr">
        <is>
          <t>Customer Support</t>
        </is>
      </c>
      <c r="G2192" s="5" t="inlineStr">
        <is>
          <t>Support Lead</t>
        </is>
      </c>
      <c r="H2192" s="5" t="inlineStr">
        <is>
          <t>4</t>
        </is>
      </c>
      <c r="I2192" s="5" t="inlineStr">
        <is>
          <t>Remote</t>
        </is>
      </c>
      <c r="J2192" s="5" t="inlineStr">
        <is>
          <t>Part-Time</t>
        </is>
      </c>
      <c r="K2192" s="7" t="n">
        <v>45045</v>
      </c>
      <c r="L2192" s="7" t="inlineStr"/>
      <c r="M2192" s="5" t="inlineStr">
        <is>
          <t>Yes</t>
        </is>
      </c>
      <c r="N2192" s="5" t="inlineStr"/>
      <c r="O2192" s="8" t="inlineStr">
        <is>
          <t>92000</t>
        </is>
      </c>
      <c r="P2192" s="5" t="inlineStr">
        <is>
          <t>5</t>
        </is>
      </c>
      <c r="Q2192" s="5" t="inlineStr">
        <is>
          <t>2</t>
        </is>
      </c>
      <c r="R2192" s="5" t="inlineStr">
        <is>
          <t>5</t>
        </is>
      </c>
      <c r="S2192" s="5" t="inlineStr">
        <is>
          <t>32</t>
        </is>
      </c>
      <c r="T2192" s="5" t="inlineStr">
        <is>
          <t>13</t>
        </is>
      </c>
      <c r="U2192" s="5">
        <f>IFS(C2192&lt;30,"Under 30",C2192&lt;40,"30-39",C2192&lt;50,"40-49",TRUE,"50+")</f>
        <v/>
      </c>
      <c r="V2192" s="5">
        <f>IFS(O2192&lt;60000,"Low (&lt;60k)",O2192&lt;100000,"Mid (60-100k)",TRUE,"High (100k+)")</f>
        <v/>
      </c>
      <c r="W2192" s="5">
        <f>IF(M2192="No","Attrited","Active")</f>
        <v/>
      </c>
    </row>
    <row r="2193">
      <c r="A2193" s="5" t="inlineStr">
        <is>
          <t>E02192</t>
        </is>
      </c>
      <c r="B2193" s="5" t="inlineStr">
        <is>
          <t>Female</t>
        </is>
      </c>
      <c r="C2193" s="6" t="inlineStr">
        <is>
          <t>38</t>
        </is>
      </c>
      <c r="D2193" s="5" t="inlineStr">
        <is>
          <t>Divorced</t>
        </is>
      </c>
      <c r="E2193" s="5" t="inlineStr">
        <is>
          <t>Diploma</t>
        </is>
      </c>
      <c r="F2193" s="5" t="inlineStr">
        <is>
          <t>Customer Support</t>
        </is>
      </c>
      <c r="G2193" s="5" t="inlineStr">
        <is>
          <t>Escalation Specialist</t>
        </is>
      </c>
      <c r="H2193" s="5" t="inlineStr">
        <is>
          <t>3</t>
        </is>
      </c>
      <c r="I2193" s="5" t="inlineStr">
        <is>
          <t>Hyderabad</t>
        </is>
      </c>
      <c r="J2193" s="5" t="inlineStr">
        <is>
          <t>Full-Time</t>
        </is>
      </c>
      <c r="K2193" s="7" t="n">
        <v>44400</v>
      </c>
      <c r="L2193" s="7" t="n">
        <v>44452</v>
      </c>
      <c r="M2193" s="5" t="inlineStr">
        <is>
          <t>No</t>
        </is>
      </c>
      <c r="N2193" s="5" t="inlineStr">
        <is>
          <t>Resigned</t>
        </is>
      </c>
      <c r="O2193" s="8" t="inlineStr">
        <is>
          <t>81000</t>
        </is>
      </c>
      <c r="P2193" s="5" t="inlineStr">
        <is>
          <t>5</t>
        </is>
      </c>
      <c r="Q2193" s="5" t="inlineStr">
        <is>
          <t>3</t>
        </is>
      </c>
      <c r="R2193" s="5" t="inlineStr">
        <is>
          <t>5</t>
        </is>
      </c>
      <c r="S2193" s="5" t="inlineStr">
        <is>
          <t>1</t>
        </is>
      </c>
      <c r="T2193" s="5" t="inlineStr">
        <is>
          <t>5</t>
        </is>
      </c>
      <c r="U2193" s="5">
        <f>IFS(C2193&lt;30,"Under 30",C2193&lt;40,"30-39",C2193&lt;50,"40-49",TRUE,"50+")</f>
        <v/>
      </c>
      <c r="V2193" s="5">
        <f>IFS(O2193&lt;60000,"Low (&lt;60k)",O2193&lt;100000,"Mid (60-100k)",TRUE,"High (100k+)")</f>
        <v/>
      </c>
      <c r="W2193" s="5">
        <f>IF(M2193="No","Attrited","Active")</f>
        <v/>
      </c>
    </row>
    <row r="2194">
      <c r="A2194" s="5" t="inlineStr">
        <is>
          <t>E02193</t>
        </is>
      </c>
      <c r="B2194" s="5" t="inlineStr">
        <is>
          <t>Male</t>
        </is>
      </c>
      <c r="C2194" s="6" t="inlineStr">
        <is>
          <t>41</t>
        </is>
      </c>
      <c r="D2194" s="5" t="inlineStr">
        <is>
          <t>Married</t>
        </is>
      </c>
      <c r="E2194" s="5" t="inlineStr">
        <is>
          <t>PhD</t>
        </is>
      </c>
      <c r="F2194" s="5" t="inlineStr">
        <is>
          <t>Finance</t>
        </is>
      </c>
      <c r="G2194" s="5" t="inlineStr">
        <is>
          <t>Accountant</t>
        </is>
      </c>
      <c r="H2194" s="5" t="inlineStr">
        <is>
          <t>7</t>
        </is>
      </c>
      <c r="I2194" s="5" t="inlineStr">
        <is>
          <t>Chennai</t>
        </is>
      </c>
      <c r="J2194" s="5" t="inlineStr">
        <is>
          <t>Full-Time</t>
        </is>
      </c>
      <c r="K2194" s="7" t="n">
        <v>45182</v>
      </c>
      <c r="L2194" s="7" t="inlineStr"/>
      <c r="M2194" s="5" t="inlineStr">
        <is>
          <t>Yes</t>
        </is>
      </c>
      <c r="N2194" s="5" t="inlineStr"/>
      <c r="O2194" s="8" t="inlineStr">
        <is>
          <t>125500</t>
        </is>
      </c>
      <c r="P2194" s="5" t="inlineStr">
        <is>
          <t>0</t>
        </is>
      </c>
      <c r="Q2194" s="5" t="inlineStr">
        <is>
          <t>5</t>
        </is>
      </c>
      <c r="R2194" s="5" t="inlineStr">
        <is>
          <t>5</t>
        </is>
      </c>
      <c r="S2194" s="5" t="inlineStr">
        <is>
          <t>28</t>
        </is>
      </c>
      <c r="T2194" s="5" t="inlineStr">
        <is>
          <t>0</t>
        </is>
      </c>
      <c r="U2194" s="5">
        <f>IFS(C2194&lt;30,"Under 30",C2194&lt;40,"30-39",C2194&lt;50,"40-49",TRUE,"50+")</f>
        <v/>
      </c>
      <c r="V2194" s="5">
        <f>IFS(O2194&lt;60000,"Low (&lt;60k)",O2194&lt;100000,"Mid (60-100k)",TRUE,"High (100k+)")</f>
        <v/>
      </c>
      <c r="W2194" s="5">
        <f>IF(M2194="No","Attrited","Active")</f>
        <v/>
      </c>
    </row>
    <row r="2195">
      <c r="A2195" s="5" t="inlineStr">
        <is>
          <t>E02194</t>
        </is>
      </c>
      <c r="B2195" s="5" t="inlineStr">
        <is>
          <t>Male</t>
        </is>
      </c>
      <c r="C2195" s="6" t="inlineStr">
        <is>
          <t>25</t>
        </is>
      </c>
      <c r="D2195" s="5" t="inlineStr">
        <is>
          <t>Married</t>
        </is>
      </c>
      <c r="E2195" s="5" t="inlineStr">
        <is>
          <t>PhD</t>
        </is>
      </c>
      <c r="F2195" s="5" t="inlineStr">
        <is>
          <t>Customer Support</t>
        </is>
      </c>
      <c r="G2195" s="5" t="inlineStr">
        <is>
          <t>Escalation Specialist</t>
        </is>
      </c>
      <c r="H2195" s="5" t="inlineStr">
        <is>
          <t>2</t>
        </is>
      </c>
      <c r="I2195" s="5" t="inlineStr">
        <is>
          <t>Hyderabad</t>
        </is>
      </c>
      <c r="J2195" s="5" t="inlineStr">
        <is>
          <t>Full-Time</t>
        </is>
      </c>
      <c r="K2195" s="7" t="n">
        <v>44663</v>
      </c>
      <c r="L2195" s="7" t="inlineStr"/>
      <c r="M2195" s="5" t="inlineStr">
        <is>
          <t>Yes</t>
        </is>
      </c>
      <c r="N2195" s="5" t="inlineStr"/>
      <c r="O2195" s="8" t="inlineStr">
        <is>
          <t>81500</t>
        </is>
      </c>
      <c r="P2195" s="5" t="inlineStr">
        <is>
          <t>10</t>
        </is>
      </c>
      <c r="Q2195" s="5" t="inlineStr">
        <is>
          <t>5</t>
        </is>
      </c>
      <c r="R2195" s="5" t="inlineStr">
        <is>
          <t>8</t>
        </is>
      </c>
      <c r="S2195" s="5" t="inlineStr">
        <is>
          <t>45</t>
        </is>
      </c>
      <c r="T2195" s="5" t="inlineStr">
        <is>
          <t>10</t>
        </is>
      </c>
      <c r="U2195" s="5">
        <f>IFS(C2195&lt;30,"Under 30",C2195&lt;40,"30-39",C2195&lt;50,"40-49",TRUE,"50+")</f>
        <v/>
      </c>
      <c r="V2195" s="5">
        <f>IFS(O2195&lt;60000,"Low (&lt;60k)",O2195&lt;100000,"Mid (60-100k)",TRUE,"High (100k+)")</f>
        <v/>
      </c>
      <c r="W2195" s="5">
        <f>IF(M2195="No","Attrited","Active")</f>
        <v/>
      </c>
    </row>
    <row r="2196">
      <c r="A2196" s="5" t="inlineStr">
        <is>
          <t>E02195</t>
        </is>
      </c>
      <c r="B2196" s="5" t="inlineStr">
        <is>
          <t>Male</t>
        </is>
      </c>
      <c r="C2196" s="6" t="inlineStr">
        <is>
          <t>38</t>
        </is>
      </c>
      <c r="D2196" s="5" t="inlineStr">
        <is>
          <t>Married</t>
        </is>
      </c>
      <c r="E2196" s="5" t="inlineStr">
        <is>
          <t>PhD</t>
        </is>
      </c>
      <c r="F2196" s="5" t="inlineStr">
        <is>
          <t>Operations</t>
        </is>
      </c>
      <c r="G2196" s="5" t="inlineStr">
        <is>
          <t>Operations Analyst</t>
        </is>
      </c>
      <c r="H2196" s="5" t="inlineStr">
        <is>
          <t>4</t>
        </is>
      </c>
      <c r="I2196" s="5" t="inlineStr">
        <is>
          <t>Bengaluru</t>
        </is>
      </c>
      <c r="J2196" s="5" t="inlineStr">
        <is>
          <t>Full-Time</t>
        </is>
      </c>
      <c r="K2196" s="7" t="n">
        <v>43973</v>
      </c>
      <c r="L2196" s="7" t="inlineStr"/>
      <c r="M2196" s="5" t="inlineStr">
        <is>
          <t>Yes</t>
        </is>
      </c>
      <c r="N2196" s="5" t="inlineStr"/>
      <c r="O2196" s="8" t="inlineStr">
        <is>
          <t>89500</t>
        </is>
      </c>
      <c r="P2196" s="5" t="inlineStr">
        <is>
          <t>5</t>
        </is>
      </c>
      <c r="Q2196" s="5" t="inlineStr">
        <is>
          <t>3</t>
        </is>
      </c>
      <c r="R2196" s="5" t="inlineStr">
        <is>
          <t>6</t>
        </is>
      </c>
      <c r="S2196" s="5" t="inlineStr">
        <is>
          <t>68</t>
        </is>
      </c>
      <c r="T2196" s="5" t="inlineStr">
        <is>
          <t>0</t>
        </is>
      </c>
      <c r="U2196" s="5">
        <f>IFS(C2196&lt;30,"Under 30",C2196&lt;40,"30-39",C2196&lt;50,"40-49",TRUE,"50+")</f>
        <v/>
      </c>
      <c r="V2196" s="5">
        <f>IFS(O2196&lt;60000,"Low (&lt;60k)",O2196&lt;100000,"Mid (60-100k)",TRUE,"High (100k+)")</f>
        <v/>
      </c>
      <c r="W2196" s="5">
        <f>IF(M2196="No","Attrited","Active")</f>
        <v/>
      </c>
    </row>
    <row r="2197">
      <c r="A2197" s="5" t="inlineStr">
        <is>
          <t>E02196</t>
        </is>
      </c>
      <c r="B2197" s="5" t="inlineStr">
        <is>
          <t>Female</t>
        </is>
      </c>
      <c r="C2197" s="6" t="inlineStr">
        <is>
          <t>31</t>
        </is>
      </c>
      <c r="D2197" s="5" t="inlineStr">
        <is>
          <t>Married</t>
        </is>
      </c>
      <c r="E2197" s="5" t="inlineStr">
        <is>
          <t>High School</t>
        </is>
      </c>
      <c r="F2197" s="5" t="inlineStr">
        <is>
          <t>Sales</t>
        </is>
      </c>
      <c r="G2197" s="5" t="inlineStr">
        <is>
          <t>Sales Executive</t>
        </is>
      </c>
      <c r="H2197" s="5" t="inlineStr">
        <is>
          <t>2</t>
        </is>
      </c>
      <c r="I2197" s="5" t="inlineStr">
        <is>
          <t>Bengaluru</t>
        </is>
      </c>
      <c r="J2197" s="5" t="inlineStr">
        <is>
          <t>Full-Time</t>
        </is>
      </c>
      <c r="K2197" s="7" t="n">
        <v>45121</v>
      </c>
      <c r="L2197" s="7" t="inlineStr"/>
      <c r="M2197" s="5" t="inlineStr">
        <is>
          <t>Yes</t>
        </is>
      </c>
      <c r="N2197" s="5" t="inlineStr"/>
      <c r="O2197" s="8" t="inlineStr">
        <is>
          <t>73000</t>
        </is>
      </c>
      <c r="P2197" s="5" t="inlineStr">
        <is>
          <t>0</t>
        </is>
      </c>
      <c r="Q2197" s="5" t="inlineStr">
        <is>
          <t>3</t>
        </is>
      </c>
      <c r="R2197" s="5" t="inlineStr">
        <is>
          <t>7</t>
        </is>
      </c>
      <c r="S2197" s="5" t="inlineStr">
        <is>
          <t>30</t>
        </is>
      </c>
      <c r="T2197" s="5" t="inlineStr">
        <is>
          <t>4</t>
        </is>
      </c>
      <c r="U2197" s="5">
        <f>IFS(C2197&lt;30,"Under 30",C2197&lt;40,"30-39",C2197&lt;50,"40-49",TRUE,"50+")</f>
        <v/>
      </c>
      <c r="V2197" s="5">
        <f>IFS(O2197&lt;60000,"Low (&lt;60k)",O2197&lt;100000,"Mid (60-100k)",TRUE,"High (100k+)")</f>
        <v/>
      </c>
      <c r="W2197" s="5">
        <f>IF(M2197="No","Attrited","Active")</f>
        <v/>
      </c>
    </row>
    <row r="2198">
      <c r="A2198" s="5" t="inlineStr">
        <is>
          <t>E02197</t>
        </is>
      </c>
      <c r="B2198" s="5" t="inlineStr">
        <is>
          <t>Male</t>
        </is>
      </c>
      <c r="C2198" s="6" t="inlineStr">
        <is>
          <t>35</t>
        </is>
      </c>
      <c r="D2198" s="5" t="inlineStr">
        <is>
          <t>Single</t>
        </is>
      </c>
      <c r="E2198" s="5" t="inlineStr">
        <is>
          <t>High School</t>
        </is>
      </c>
      <c r="F2198" s="5" t="inlineStr">
        <is>
          <t>Sales</t>
        </is>
      </c>
      <c r="G2198" s="5" t="inlineStr">
        <is>
          <t>Sales Executive</t>
        </is>
      </c>
      <c r="H2198" s="5" t="inlineStr">
        <is>
          <t>2</t>
        </is>
      </c>
      <c r="I2198" s="5" t="inlineStr">
        <is>
          <t>Delhi</t>
        </is>
      </c>
      <c r="J2198" s="5" t="inlineStr">
        <is>
          <t>Full-Time</t>
        </is>
      </c>
      <c r="K2198" s="7" t="n">
        <v>45236</v>
      </c>
      <c r="L2198" s="7" t="inlineStr"/>
      <c r="M2198" s="5" t="inlineStr">
        <is>
          <t>Yes</t>
        </is>
      </c>
      <c r="N2198" s="5" t="inlineStr"/>
      <c r="O2198" s="8" t="inlineStr">
        <is>
          <t>73000</t>
        </is>
      </c>
      <c r="P2198" s="5" t="inlineStr">
        <is>
          <t>10</t>
        </is>
      </c>
      <c r="Q2198" s="5" t="inlineStr">
        <is>
          <t>3</t>
        </is>
      </c>
      <c r="R2198" s="5" t="inlineStr">
        <is>
          <t>8</t>
        </is>
      </c>
      <c r="S2198" s="5" t="inlineStr">
        <is>
          <t>26</t>
        </is>
      </c>
      <c r="T2198" s="5" t="inlineStr">
        <is>
          <t>12</t>
        </is>
      </c>
      <c r="U2198" s="5">
        <f>IFS(C2198&lt;30,"Under 30",C2198&lt;40,"30-39",C2198&lt;50,"40-49",TRUE,"50+")</f>
        <v/>
      </c>
      <c r="V2198" s="5">
        <f>IFS(O2198&lt;60000,"Low (&lt;60k)",O2198&lt;100000,"Mid (60-100k)",TRUE,"High (100k+)")</f>
        <v/>
      </c>
      <c r="W2198" s="5">
        <f>IF(M2198="No","Attrited","Active")</f>
        <v/>
      </c>
    </row>
    <row r="2199">
      <c r="A2199" s="5" t="inlineStr">
        <is>
          <t>E02198</t>
        </is>
      </c>
      <c r="B2199" s="5" t="inlineStr">
        <is>
          <t>Male</t>
        </is>
      </c>
      <c r="C2199" s="6" t="inlineStr">
        <is>
          <t>38</t>
        </is>
      </c>
      <c r="D2199" s="5" t="inlineStr">
        <is>
          <t>Single</t>
        </is>
      </c>
      <c r="E2199" s="5" t="inlineStr">
        <is>
          <t>PhD</t>
        </is>
      </c>
      <c r="F2199" s="5" t="inlineStr">
        <is>
          <t>Research &amp; Development</t>
        </is>
      </c>
      <c r="G2199" s="5" t="inlineStr">
        <is>
          <t>Product Engineer</t>
        </is>
      </c>
      <c r="H2199" s="5" t="inlineStr">
        <is>
          <t>3</t>
        </is>
      </c>
      <c r="I2199" s="5" t="inlineStr">
        <is>
          <t>Hyderabad</t>
        </is>
      </c>
      <c r="J2199" s="5" t="inlineStr">
        <is>
          <t>Full-Time</t>
        </is>
      </c>
      <c r="K2199" s="7" t="n">
        <v>44411</v>
      </c>
      <c r="L2199" s="7" t="n">
        <v>44496</v>
      </c>
      <c r="M2199" s="5" t="inlineStr">
        <is>
          <t>No</t>
        </is>
      </c>
      <c r="N2199" s="5" t="inlineStr">
        <is>
          <t>Retirement</t>
        </is>
      </c>
      <c r="O2199" s="8" t="inlineStr">
        <is>
          <t>174000</t>
        </is>
      </c>
      <c r="P2199" s="5" t="inlineStr">
        <is>
          <t>20</t>
        </is>
      </c>
      <c r="Q2199" s="5" t="inlineStr">
        <is>
          <t>3</t>
        </is>
      </c>
      <c r="R2199" s="5" t="inlineStr">
        <is>
          <t>4</t>
        </is>
      </c>
      <c r="S2199" s="5" t="inlineStr">
        <is>
          <t>2</t>
        </is>
      </c>
      <c r="T2199" s="5" t="inlineStr">
        <is>
          <t>15</t>
        </is>
      </c>
      <c r="U2199" s="5">
        <f>IFS(C2199&lt;30,"Under 30",C2199&lt;40,"30-39",C2199&lt;50,"40-49",TRUE,"50+")</f>
        <v/>
      </c>
      <c r="V2199" s="5">
        <f>IFS(O2199&lt;60000,"Low (&lt;60k)",O2199&lt;100000,"Mid (60-100k)",TRUE,"High (100k+)")</f>
        <v/>
      </c>
      <c r="W2199" s="5">
        <f>IF(M2199="No","Attrited","Active")</f>
        <v/>
      </c>
    </row>
    <row r="2200">
      <c r="A2200" s="5" t="inlineStr">
        <is>
          <t>E02199</t>
        </is>
      </c>
      <c r="B2200" s="5" t="inlineStr">
        <is>
          <t>Male</t>
        </is>
      </c>
      <c r="C2200" s="6" t="inlineStr">
        <is>
          <t>28</t>
        </is>
      </c>
      <c r="D2200" s="5" t="inlineStr">
        <is>
          <t>Divorced</t>
        </is>
      </c>
      <c r="E2200" s="5" t="inlineStr">
        <is>
          <t>PhD</t>
        </is>
      </c>
      <c r="F2200" s="5" t="inlineStr">
        <is>
          <t>Operations</t>
        </is>
      </c>
      <c r="G2200" s="5" t="inlineStr">
        <is>
          <t>Operations Analyst</t>
        </is>
      </c>
      <c r="H2200" s="5" t="inlineStr">
        <is>
          <t>3</t>
        </is>
      </c>
      <c r="I2200" s="5" t="inlineStr">
        <is>
          <t>Delhi</t>
        </is>
      </c>
      <c r="J2200" s="5" t="inlineStr">
        <is>
          <t>Full-Time</t>
        </is>
      </c>
      <c r="K2200" s="7" t="n">
        <v>45665</v>
      </c>
      <c r="L2200" s="7" t="n">
        <v>45735</v>
      </c>
      <c r="M2200" s="5" t="inlineStr">
        <is>
          <t>No</t>
        </is>
      </c>
      <c r="N2200" s="5" t="inlineStr">
        <is>
          <t>Resigned</t>
        </is>
      </c>
      <c r="O2200" s="8" t="inlineStr">
        <is>
          <t>79000</t>
        </is>
      </c>
      <c r="P2200" s="5" t="inlineStr">
        <is>
          <t>0</t>
        </is>
      </c>
      <c r="Q2200" s="5" t="inlineStr">
        <is>
          <t>5</t>
        </is>
      </c>
      <c r="R2200" s="5" t="inlineStr">
        <is>
          <t>7</t>
        </is>
      </c>
      <c r="S2200" s="5" t="inlineStr">
        <is>
          <t>2</t>
        </is>
      </c>
      <c r="T2200" s="5" t="inlineStr">
        <is>
          <t>3</t>
        </is>
      </c>
      <c r="U2200" s="5">
        <f>IFS(C2200&lt;30,"Under 30",C2200&lt;40,"30-39",C2200&lt;50,"40-49",TRUE,"50+")</f>
        <v/>
      </c>
      <c r="V2200" s="5">
        <f>IFS(O2200&lt;60000,"Low (&lt;60k)",O2200&lt;100000,"Mid (60-100k)",TRUE,"High (100k+)")</f>
        <v/>
      </c>
      <c r="W2200" s="5">
        <f>IF(M2200="No","Attrited","Active")</f>
        <v/>
      </c>
    </row>
    <row r="2201">
      <c r="A2201" s="5" t="inlineStr">
        <is>
          <t>E02200</t>
        </is>
      </c>
      <c r="B2201" s="5" t="inlineStr">
        <is>
          <t>Male</t>
        </is>
      </c>
      <c r="C2201" s="6" t="inlineStr">
        <is>
          <t>29</t>
        </is>
      </c>
      <c r="D2201" s="5" t="inlineStr">
        <is>
          <t>Married</t>
        </is>
      </c>
      <c r="E2201" s="5" t="inlineStr">
        <is>
          <t>Master</t>
        </is>
      </c>
      <c r="F2201" s="5" t="inlineStr">
        <is>
          <t>Customer Support</t>
        </is>
      </c>
      <c r="G2201" s="5" t="inlineStr">
        <is>
          <t>Support Agent</t>
        </is>
      </c>
      <c r="H2201" s="5" t="inlineStr">
        <is>
          <t>1</t>
        </is>
      </c>
      <c r="I2201" s="5" t="inlineStr">
        <is>
          <t>Remote</t>
        </is>
      </c>
      <c r="J2201" s="5" t="inlineStr">
        <is>
          <t>Part-Time</t>
        </is>
      </c>
      <c r="K2201" s="7" t="n">
        <v>44041</v>
      </c>
      <c r="L2201" s="7" t="inlineStr"/>
      <c r="M2201" s="5" t="inlineStr">
        <is>
          <t>Yes</t>
        </is>
      </c>
      <c r="N2201" s="5" t="inlineStr"/>
      <c r="O2201" s="8" t="inlineStr">
        <is>
          <t>52500</t>
        </is>
      </c>
      <c r="P2201" s="5" t="inlineStr">
        <is>
          <t>10</t>
        </is>
      </c>
      <c r="Q2201" s="5" t="inlineStr">
        <is>
          <t>4</t>
        </is>
      </c>
      <c r="R2201" s="5" t="inlineStr">
        <is>
          <t>5</t>
        </is>
      </c>
      <c r="S2201" s="5" t="inlineStr">
        <is>
          <t>66</t>
        </is>
      </c>
      <c r="T2201" s="5" t="inlineStr">
        <is>
          <t>4</t>
        </is>
      </c>
      <c r="U2201" s="5">
        <f>IFS(C2201&lt;30,"Under 30",C2201&lt;40,"30-39",C2201&lt;50,"40-49",TRUE,"50+")</f>
        <v/>
      </c>
      <c r="V2201" s="5">
        <f>IFS(O2201&lt;60000,"Low (&lt;60k)",O2201&lt;100000,"Mid (60-100k)",TRUE,"High (100k+)")</f>
        <v/>
      </c>
      <c r="W2201" s="5">
        <f>IF(M2201="No","Attrited","Active")</f>
        <v/>
      </c>
    </row>
    <row r="2202">
      <c r="A2202" s="5" t="inlineStr">
        <is>
          <t>E02201</t>
        </is>
      </c>
      <c r="B2202" s="5" t="inlineStr">
        <is>
          <t>Female</t>
        </is>
      </c>
      <c r="C2202" s="6" t="inlineStr">
        <is>
          <t>39</t>
        </is>
      </c>
      <c r="D2202" s="5" t="inlineStr">
        <is>
          <t>Divorced</t>
        </is>
      </c>
      <c r="E2202" s="5" t="inlineStr">
        <is>
          <t>Bachelor</t>
        </is>
      </c>
      <c r="F2202" s="5" t="inlineStr">
        <is>
          <t>IT</t>
        </is>
      </c>
      <c r="G2202" s="5" t="inlineStr">
        <is>
          <t>Software Engineer</t>
        </is>
      </c>
      <c r="H2202" s="5" t="inlineStr">
        <is>
          <t>4</t>
        </is>
      </c>
      <c r="I2202" s="5" t="inlineStr">
        <is>
          <t>Hyderabad</t>
        </is>
      </c>
      <c r="J2202" s="5" t="inlineStr">
        <is>
          <t>Full-Time</t>
        </is>
      </c>
      <c r="K2202" s="7" t="n">
        <v>43862</v>
      </c>
      <c r="L2202" s="7" t="n">
        <v>44006</v>
      </c>
      <c r="M2202" s="5" t="inlineStr">
        <is>
          <t>No</t>
        </is>
      </c>
      <c r="N2202" s="5" t="inlineStr">
        <is>
          <t>Resigned</t>
        </is>
      </c>
      <c r="O2202" s="8" t="inlineStr">
        <is>
          <t>177500</t>
        </is>
      </c>
      <c r="P2202" s="5" t="inlineStr">
        <is>
          <t>10</t>
        </is>
      </c>
      <c r="Q2202" s="5" t="inlineStr">
        <is>
          <t>5</t>
        </is>
      </c>
      <c r="R2202" s="5" t="inlineStr">
        <is>
          <t>5</t>
        </is>
      </c>
      <c r="S2202" s="5" t="inlineStr">
        <is>
          <t>4</t>
        </is>
      </c>
      <c r="T2202" s="5" t="inlineStr">
        <is>
          <t>4</t>
        </is>
      </c>
      <c r="U2202" s="5">
        <f>IFS(C2202&lt;30,"Under 30",C2202&lt;40,"30-39",C2202&lt;50,"40-49",TRUE,"50+")</f>
        <v/>
      </c>
      <c r="V2202" s="5">
        <f>IFS(O2202&lt;60000,"Low (&lt;60k)",O2202&lt;100000,"Mid (60-100k)",TRUE,"High (100k+)")</f>
        <v/>
      </c>
      <c r="W2202" s="5">
        <f>IF(M2202="No","Attrited","Active")</f>
        <v/>
      </c>
    </row>
    <row r="2203">
      <c r="A2203" s="5" t="inlineStr">
        <is>
          <t>E02202</t>
        </is>
      </c>
      <c r="B2203" s="5" t="inlineStr">
        <is>
          <t>Male</t>
        </is>
      </c>
      <c r="C2203" s="6" t="inlineStr">
        <is>
          <t>36</t>
        </is>
      </c>
      <c r="D2203" s="5" t="inlineStr">
        <is>
          <t>Married</t>
        </is>
      </c>
      <c r="E2203" s="5" t="inlineStr">
        <is>
          <t>PhD</t>
        </is>
      </c>
      <c r="F2203" s="5" t="inlineStr">
        <is>
          <t>Customer Support</t>
        </is>
      </c>
      <c r="G2203" s="5" t="inlineStr">
        <is>
          <t>Support Agent</t>
        </is>
      </c>
      <c r="H2203" s="5" t="inlineStr">
        <is>
          <t>3</t>
        </is>
      </c>
      <c r="I2203" s="5" t="inlineStr">
        <is>
          <t>Bengaluru</t>
        </is>
      </c>
      <c r="J2203" s="5" t="inlineStr">
        <is>
          <t>Full-Time</t>
        </is>
      </c>
      <c r="K2203" s="7" t="n">
        <v>44807</v>
      </c>
      <c r="L2203" s="7" t="n">
        <v>44860</v>
      </c>
      <c r="M2203" s="5" t="inlineStr">
        <is>
          <t>No</t>
        </is>
      </c>
      <c r="N2203" s="5" t="inlineStr">
        <is>
          <t>Performance / Termination</t>
        </is>
      </c>
      <c r="O2203" s="8" t="inlineStr">
        <is>
          <t>54500</t>
        </is>
      </c>
      <c r="P2203" s="5" t="inlineStr">
        <is>
          <t>10</t>
        </is>
      </c>
      <c r="Q2203" s="5" t="inlineStr">
        <is>
          <t>4</t>
        </is>
      </c>
      <c r="R2203" s="5" t="inlineStr">
        <is>
          <t>5</t>
        </is>
      </c>
      <c r="S2203" s="5" t="inlineStr">
        <is>
          <t>1</t>
        </is>
      </c>
      <c r="T2203" s="5" t="inlineStr">
        <is>
          <t>0</t>
        </is>
      </c>
      <c r="U2203" s="5">
        <f>IFS(C2203&lt;30,"Under 30",C2203&lt;40,"30-39",C2203&lt;50,"40-49",TRUE,"50+")</f>
        <v/>
      </c>
      <c r="V2203" s="5">
        <f>IFS(O2203&lt;60000,"Low (&lt;60k)",O2203&lt;100000,"Mid (60-100k)",TRUE,"High (100k+)")</f>
        <v/>
      </c>
      <c r="W2203" s="5">
        <f>IF(M2203="No","Attrited","Active")</f>
        <v/>
      </c>
    </row>
    <row r="2204">
      <c r="A2204" s="5" t="inlineStr">
        <is>
          <t>E02203</t>
        </is>
      </c>
      <c r="B2204" s="5" t="inlineStr">
        <is>
          <t>Female</t>
        </is>
      </c>
      <c r="C2204" s="6" t="inlineStr">
        <is>
          <t>23</t>
        </is>
      </c>
      <c r="D2204" s="5" t="inlineStr">
        <is>
          <t>Married</t>
        </is>
      </c>
      <c r="E2204" s="5" t="inlineStr">
        <is>
          <t>High School</t>
        </is>
      </c>
      <c r="F2204" s="5" t="inlineStr">
        <is>
          <t>Research &amp; Development</t>
        </is>
      </c>
      <c r="G2204" s="5" t="inlineStr">
        <is>
          <t>Research Scientist</t>
        </is>
      </c>
      <c r="H2204" s="5" t="inlineStr">
        <is>
          <t>1</t>
        </is>
      </c>
      <c r="I2204" s="5" t="inlineStr">
        <is>
          <t>Chennai</t>
        </is>
      </c>
      <c r="J2204" s="5" t="inlineStr">
        <is>
          <t>Full-Time</t>
        </is>
      </c>
      <c r="K2204" s="7" t="n">
        <v>45522</v>
      </c>
      <c r="L2204" s="7" t="inlineStr"/>
      <c r="M2204" s="5" t="inlineStr">
        <is>
          <t>Yes</t>
        </is>
      </c>
      <c r="N2204" s="5" t="inlineStr"/>
      <c r="O2204" s="8" t="inlineStr">
        <is>
          <t>121500</t>
        </is>
      </c>
      <c r="P2204" s="5" t="inlineStr">
        <is>
          <t>15</t>
        </is>
      </c>
      <c r="Q2204" s="5" t="inlineStr">
        <is>
          <t>3</t>
        </is>
      </c>
      <c r="R2204" s="5" t="inlineStr">
        <is>
          <t>1</t>
        </is>
      </c>
      <c r="S2204" s="5" t="inlineStr">
        <is>
          <t>16</t>
        </is>
      </c>
      <c r="T2204" s="5" t="inlineStr">
        <is>
          <t>5</t>
        </is>
      </c>
      <c r="U2204" s="5">
        <f>IFS(C2204&lt;30,"Under 30",C2204&lt;40,"30-39",C2204&lt;50,"40-49",TRUE,"50+")</f>
        <v/>
      </c>
      <c r="V2204" s="5">
        <f>IFS(O2204&lt;60000,"Low (&lt;60k)",O2204&lt;100000,"Mid (60-100k)",TRUE,"High (100k+)")</f>
        <v/>
      </c>
      <c r="W2204" s="5">
        <f>IF(M2204="No","Attrited","Active")</f>
        <v/>
      </c>
    </row>
    <row r="2205">
      <c r="A2205" s="5" t="inlineStr">
        <is>
          <t>E02204</t>
        </is>
      </c>
      <c r="B2205" s="5" t="inlineStr">
        <is>
          <t>Male</t>
        </is>
      </c>
      <c r="C2205" s="6" t="inlineStr">
        <is>
          <t>34</t>
        </is>
      </c>
      <c r="D2205" s="5" t="inlineStr">
        <is>
          <t>Married</t>
        </is>
      </c>
      <c r="E2205" s="5" t="inlineStr">
        <is>
          <t>PhD</t>
        </is>
      </c>
      <c r="F2205" s="5" t="inlineStr">
        <is>
          <t>Research &amp; Development</t>
        </is>
      </c>
      <c r="G2205" s="5" t="inlineStr">
        <is>
          <t>Research Scientist</t>
        </is>
      </c>
      <c r="H2205" s="5" t="inlineStr">
        <is>
          <t>2</t>
        </is>
      </c>
      <c r="I2205" s="5" t="inlineStr">
        <is>
          <t>Delhi</t>
        </is>
      </c>
      <c r="J2205" s="5" t="inlineStr">
        <is>
          <t>Full-Time</t>
        </is>
      </c>
      <c r="K2205" s="7" t="n">
        <v>43856</v>
      </c>
      <c r="L2205" s="7" t="inlineStr"/>
      <c r="M2205" s="5" t="inlineStr">
        <is>
          <t>Yes</t>
        </is>
      </c>
      <c r="N2205" s="5" t="inlineStr"/>
      <c r="O2205" s="8" t="inlineStr">
        <is>
          <t>177500</t>
        </is>
      </c>
      <c r="P2205" s="5" t="inlineStr">
        <is>
          <t>0</t>
        </is>
      </c>
      <c r="Q2205" s="5" t="inlineStr">
        <is>
          <t>4</t>
        </is>
      </c>
      <c r="R2205" s="5" t="inlineStr">
        <is>
          <t>5</t>
        </is>
      </c>
      <c r="S2205" s="5" t="inlineStr">
        <is>
          <t>72</t>
        </is>
      </c>
      <c r="T2205" s="5" t="inlineStr">
        <is>
          <t>4</t>
        </is>
      </c>
      <c r="U2205" s="5">
        <f>IFS(C2205&lt;30,"Under 30",C2205&lt;40,"30-39",C2205&lt;50,"40-49",TRUE,"50+")</f>
        <v/>
      </c>
      <c r="V2205" s="5">
        <f>IFS(O2205&lt;60000,"Low (&lt;60k)",O2205&lt;100000,"Mid (60-100k)",TRUE,"High (100k+)")</f>
        <v/>
      </c>
      <c r="W2205" s="5">
        <f>IF(M2205="No","Attrited","Active")</f>
        <v/>
      </c>
    </row>
    <row r="2206">
      <c r="A2206" s="5" t="inlineStr">
        <is>
          <t>E02205</t>
        </is>
      </c>
      <c r="B2206" s="5" t="inlineStr">
        <is>
          <t>Male</t>
        </is>
      </c>
      <c r="C2206" s="6" t="inlineStr">
        <is>
          <t>39</t>
        </is>
      </c>
      <c r="D2206" s="5" t="inlineStr">
        <is>
          <t>Married</t>
        </is>
      </c>
      <c r="E2206" s="5" t="inlineStr">
        <is>
          <t>Diploma</t>
        </is>
      </c>
      <c r="F2206" s="5" t="inlineStr">
        <is>
          <t>IT</t>
        </is>
      </c>
      <c r="G2206" s="5" t="inlineStr">
        <is>
          <t>DevOps Engineer</t>
        </is>
      </c>
      <c r="H2206" s="5" t="inlineStr">
        <is>
          <t>7</t>
        </is>
      </c>
      <c r="I2206" s="5" t="inlineStr">
        <is>
          <t>Mumbai</t>
        </is>
      </c>
      <c r="J2206" s="5" t="inlineStr">
        <is>
          <t>Full-Time</t>
        </is>
      </c>
      <c r="K2206" s="7" t="n">
        <v>45326</v>
      </c>
      <c r="L2206" s="7" t="inlineStr"/>
      <c r="M2206" s="5" t="inlineStr">
        <is>
          <t>Yes</t>
        </is>
      </c>
      <c r="N2206" s="5" t="inlineStr"/>
      <c r="O2206" s="8" t="inlineStr">
        <is>
          <t>191500</t>
        </is>
      </c>
      <c r="P2206" s="5" t="inlineStr">
        <is>
          <t>0</t>
        </is>
      </c>
      <c r="Q2206" s="5" t="inlineStr">
        <is>
          <t>4</t>
        </is>
      </c>
      <c r="R2206" s="5" t="inlineStr">
        <is>
          <t>7</t>
        </is>
      </c>
      <c r="S2206" s="5" t="inlineStr">
        <is>
          <t>23</t>
        </is>
      </c>
      <c r="T2206" s="5" t="inlineStr">
        <is>
          <t>12</t>
        </is>
      </c>
      <c r="U2206" s="5">
        <f>IFS(C2206&lt;30,"Under 30",C2206&lt;40,"30-39",C2206&lt;50,"40-49",TRUE,"50+")</f>
        <v/>
      </c>
      <c r="V2206" s="5">
        <f>IFS(O2206&lt;60000,"Low (&lt;60k)",O2206&lt;100000,"Mid (60-100k)",TRUE,"High (100k+)")</f>
        <v/>
      </c>
      <c r="W2206" s="5">
        <f>IF(M2206="No","Attrited","Active")</f>
        <v/>
      </c>
    </row>
    <row r="2207">
      <c r="A2207" s="5" t="inlineStr">
        <is>
          <t>E02206</t>
        </is>
      </c>
      <c r="B2207" s="5" t="inlineStr">
        <is>
          <t>Male</t>
        </is>
      </c>
      <c r="C2207" s="6" t="inlineStr">
        <is>
          <t>33</t>
        </is>
      </c>
      <c r="D2207" s="5" t="inlineStr">
        <is>
          <t>Married</t>
        </is>
      </c>
      <c r="E2207" s="5" t="inlineStr">
        <is>
          <t>High School</t>
        </is>
      </c>
      <c r="F2207" s="5" t="inlineStr">
        <is>
          <t>Operations</t>
        </is>
      </c>
      <c r="G2207" s="5" t="inlineStr">
        <is>
          <t>Logistics Coordinator</t>
        </is>
      </c>
      <c r="H2207" s="5" t="inlineStr">
        <is>
          <t>3</t>
        </is>
      </c>
      <c r="I2207" s="5" t="inlineStr">
        <is>
          <t>Chennai</t>
        </is>
      </c>
      <c r="J2207" s="5" t="inlineStr">
        <is>
          <t>Full-Time</t>
        </is>
      </c>
      <c r="K2207" s="7" t="n">
        <v>44396</v>
      </c>
      <c r="L2207" s="7" t="inlineStr"/>
      <c r="M2207" s="5" t="inlineStr">
        <is>
          <t>Yes</t>
        </is>
      </c>
      <c r="N2207" s="5" t="inlineStr"/>
      <c r="O2207" s="8" t="inlineStr">
        <is>
          <t>86000</t>
        </is>
      </c>
      <c r="P2207" s="5" t="inlineStr">
        <is>
          <t>5</t>
        </is>
      </c>
      <c r="Q2207" s="5" t="inlineStr">
        <is>
          <t>2</t>
        </is>
      </c>
      <c r="R2207" s="5" t="inlineStr">
        <is>
          <t>6</t>
        </is>
      </c>
      <c r="S2207" s="5" t="inlineStr">
        <is>
          <t>54</t>
        </is>
      </c>
      <c r="T2207" s="5" t="inlineStr">
        <is>
          <t>2</t>
        </is>
      </c>
      <c r="U2207" s="5">
        <f>IFS(C2207&lt;30,"Under 30",C2207&lt;40,"30-39",C2207&lt;50,"40-49",TRUE,"50+")</f>
        <v/>
      </c>
      <c r="V2207" s="5">
        <f>IFS(O2207&lt;60000,"Low (&lt;60k)",O2207&lt;100000,"Mid (60-100k)",TRUE,"High (100k+)")</f>
        <v/>
      </c>
      <c r="W2207" s="5">
        <f>IF(M2207="No","Attrited","Active")</f>
        <v/>
      </c>
    </row>
    <row r="2208">
      <c r="A2208" s="5" t="inlineStr">
        <is>
          <t>E02207</t>
        </is>
      </c>
      <c r="B2208" s="5" t="inlineStr">
        <is>
          <t>Female</t>
        </is>
      </c>
      <c r="C2208" s="6" t="inlineStr">
        <is>
          <t>28</t>
        </is>
      </c>
      <c r="D2208" s="5" t="inlineStr">
        <is>
          <t>Married</t>
        </is>
      </c>
      <c r="E2208" s="5" t="inlineStr">
        <is>
          <t>Bachelor</t>
        </is>
      </c>
      <c r="F2208" s="5" t="inlineStr">
        <is>
          <t>Customer Support</t>
        </is>
      </c>
      <c r="G2208" s="5" t="inlineStr">
        <is>
          <t>Escalation Specialist</t>
        </is>
      </c>
      <c r="H2208" s="5" t="inlineStr">
        <is>
          <t>3</t>
        </is>
      </c>
      <c r="I2208" s="5" t="inlineStr">
        <is>
          <t>Bengaluru</t>
        </is>
      </c>
      <c r="J2208" s="5" t="inlineStr">
        <is>
          <t>Full-Time</t>
        </is>
      </c>
      <c r="K2208" s="7" t="n">
        <v>44885</v>
      </c>
      <c r="L2208" s="7" t="inlineStr"/>
      <c r="M2208" s="5" t="inlineStr">
        <is>
          <t>Yes</t>
        </is>
      </c>
      <c r="N2208" s="5" t="inlineStr"/>
      <c r="O2208" s="8" t="inlineStr">
        <is>
          <t>89000</t>
        </is>
      </c>
      <c r="P2208" s="5" t="inlineStr">
        <is>
          <t>10</t>
        </is>
      </c>
      <c r="Q2208" s="5" t="inlineStr">
        <is>
          <t>3</t>
        </is>
      </c>
      <c r="R2208" s="5" t="inlineStr">
        <is>
          <t>2</t>
        </is>
      </c>
      <c r="S2208" s="5" t="inlineStr">
        <is>
          <t>37</t>
        </is>
      </c>
      <c r="T2208" s="5" t="inlineStr">
        <is>
          <t>8</t>
        </is>
      </c>
      <c r="U2208" s="5">
        <f>IFS(C2208&lt;30,"Under 30",C2208&lt;40,"30-39",C2208&lt;50,"40-49",TRUE,"50+")</f>
        <v/>
      </c>
      <c r="V2208" s="5">
        <f>IFS(O2208&lt;60000,"Low (&lt;60k)",O2208&lt;100000,"Mid (60-100k)",TRUE,"High (100k+)")</f>
        <v/>
      </c>
      <c r="W2208" s="5">
        <f>IF(M2208="No","Attrited","Active")</f>
        <v/>
      </c>
    </row>
    <row r="2209">
      <c r="A2209" s="5" t="inlineStr">
        <is>
          <t>E02208</t>
        </is>
      </c>
      <c r="B2209" s="5" t="inlineStr">
        <is>
          <t>Female</t>
        </is>
      </c>
      <c r="C2209" s="6" t="inlineStr">
        <is>
          <t>33</t>
        </is>
      </c>
      <c r="D2209" s="5" t="inlineStr">
        <is>
          <t>Married</t>
        </is>
      </c>
      <c r="E2209" s="5" t="inlineStr">
        <is>
          <t>Master</t>
        </is>
      </c>
      <c r="F2209" s="5" t="inlineStr">
        <is>
          <t>Customer Support</t>
        </is>
      </c>
      <c r="G2209" s="5" t="inlineStr">
        <is>
          <t>Support Lead</t>
        </is>
      </c>
      <c r="H2209" s="5" t="inlineStr">
        <is>
          <t>3</t>
        </is>
      </c>
      <c r="I2209" s="5" t="inlineStr">
        <is>
          <t>Bengaluru</t>
        </is>
      </c>
      <c r="J2209" s="5" t="inlineStr">
        <is>
          <t>Full-Time</t>
        </is>
      </c>
      <c r="K2209" s="7" t="n">
        <v>45135</v>
      </c>
      <c r="L2209" s="7" t="inlineStr"/>
      <c r="M2209" s="5" t="inlineStr">
        <is>
          <t>Yes</t>
        </is>
      </c>
      <c r="N2209" s="5" t="inlineStr"/>
      <c r="O2209" s="8" t="inlineStr">
        <is>
          <t>65500</t>
        </is>
      </c>
      <c r="P2209" s="5" t="inlineStr">
        <is>
          <t>0</t>
        </is>
      </c>
      <c r="Q2209" s="5" t="inlineStr">
        <is>
          <t>3</t>
        </is>
      </c>
      <c r="R2209" s="5" t="inlineStr">
        <is>
          <t>7</t>
        </is>
      </c>
      <c r="S2209" s="5" t="inlineStr">
        <is>
          <t>29</t>
        </is>
      </c>
      <c r="T2209" s="5" t="inlineStr">
        <is>
          <t>10</t>
        </is>
      </c>
      <c r="U2209" s="5">
        <f>IFS(C2209&lt;30,"Under 30",C2209&lt;40,"30-39",C2209&lt;50,"40-49",TRUE,"50+")</f>
        <v/>
      </c>
      <c r="V2209" s="5">
        <f>IFS(O2209&lt;60000,"Low (&lt;60k)",O2209&lt;100000,"Mid (60-100k)",TRUE,"High (100k+)")</f>
        <v/>
      </c>
      <c r="W2209" s="5">
        <f>IF(M2209="No","Attrited","Active")</f>
        <v/>
      </c>
    </row>
    <row r="2210">
      <c r="A2210" s="5" t="inlineStr">
        <is>
          <t>E02209</t>
        </is>
      </c>
      <c r="B2210" s="5" t="inlineStr">
        <is>
          <t>Male</t>
        </is>
      </c>
      <c r="C2210" s="6" t="inlineStr">
        <is>
          <t>27</t>
        </is>
      </c>
      <c r="D2210" s="5" t="inlineStr">
        <is>
          <t>Single</t>
        </is>
      </c>
      <c r="E2210" s="5" t="inlineStr">
        <is>
          <t>High School</t>
        </is>
      </c>
      <c r="F2210" s="5" t="inlineStr">
        <is>
          <t>Customer Support</t>
        </is>
      </c>
      <c r="G2210" s="5" t="inlineStr">
        <is>
          <t>Support Agent</t>
        </is>
      </c>
      <c r="H2210" s="5" t="inlineStr">
        <is>
          <t>3</t>
        </is>
      </c>
      <c r="I2210" s="5" t="inlineStr">
        <is>
          <t>Mumbai</t>
        </is>
      </c>
      <c r="J2210" s="5" t="inlineStr">
        <is>
          <t>Full-Time</t>
        </is>
      </c>
      <c r="K2210" s="7" t="n">
        <v>45635</v>
      </c>
      <c r="L2210" s="7" t="inlineStr"/>
      <c r="M2210" s="5" t="inlineStr">
        <is>
          <t>Yes</t>
        </is>
      </c>
      <c r="N2210" s="5" t="inlineStr"/>
      <c r="O2210" s="8" t="inlineStr">
        <is>
          <t>94000</t>
        </is>
      </c>
      <c r="P2210" s="5" t="inlineStr">
        <is>
          <t>20</t>
        </is>
      </c>
      <c r="Q2210" s="5" t="inlineStr">
        <is>
          <t>2</t>
        </is>
      </c>
      <c r="R2210" s="5" t="inlineStr">
        <is>
          <t>7</t>
        </is>
      </c>
      <c r="S2210" s="5" t="inlineStr">
        <is>
          <t>12</t>
        </is>
      </c>
      <c r="T2210" s="5" t="inlineStr">
        <is>
          <t>4</t>
        </is>
      </c>
      <c r="U2210" s="5">
        <f>IFS(C2210&lt;30,"Under 30",C2210&lt;40,"30-39",C2210&lt;50,"40-49",TRUE,"50+")</f>
        <v/>
      </c>
      <c r="V2210" s="5">
        <f>IFS(O2210&lt;60000,"Low (&lt;60k)",O2210&lt;100000,"Mid (60-100k)",TRUE,"High (100k+)")</f>
        <v/>
      </c>
      <c r="W2210" s="5">
        <f>IF(M2210="No","Attrited","Active")</f>
        <v/>
      </c>
    </row>
    <row r="2211">
      <c r="A2211" s="5" t="inlineStr">
        <is>
          <t>E02210</t>
        </is>
      </c>
      <c r="B2211" s="5" t="inlineStr">
        <is>
          <t>Female</t>
        </is>
      </c>
      <c r="C2211" s="6" t="inlineStr">
        <is>
          <t>31</t>
        </is>
      </c>
      <c r="D2211" s="5" t="inlineStr">
        <is>
          <t>Married</t>
        </is>
      </c>
      <c r="E2211" s="5" t="inlineStr">
        <is>
          <t>High School</t>
        </is>
      </c>
      <c r="F2211" s="5" t="inlineStr">
        <is>
          <t>Sales</t>
        </is>
      </c>
      <c r="G2211" s="5" t="inlineStr">
        <is>
          <t>Sales Executive</t>
        </is>
      </c>
      <c r="H2211" s="5" t="inlineStr">
        <is>
          <t>4</t>
        </is>
      </c>
      <c r="I2211" s="5" t="inlineStr">
        <is>
          <t>Delhi</t>
        </is>
      </c>
      <c r="J2211" s="5" t="inlineStr">
        <is>
          <t>Full-Time</t>
        </is>
      </c>
      <c r="K2211" s="7" t="n">
        <v>44446</v>
      </c>
      <c r="L2211" s="7" t="inlineStr"/>
      <c r="M2211" s="5" t="inlineStr">
        <is>
          <t>Yes</t>
        </is>
      </c>
      <c r="N2211" s="5" t="inlineStr"/>
      <c r="O2211" s="8" t="inlineStr">
        <is>
          <t>124500</t>
        </is>
      </c>
      <c r="P2211" s="5" t="inlineStr">
        <is>
          <t>0</t>
        </is>
      </c>
      <c r="Q2211" s="5" t="inlineStr">
        <is>
          <t>3</t>
        </is>
      </c>
      <c r="R2211" s="5" t="inlineStr">
        <is>
          <t>5</t>
        </is>
      </c>
      <c r="S2211" s="5" t="inlineStr">
        <is>
          <t>52</t>
        </is>
      </c>
      <c r="T2211" s="5" t="inlineStr">
        <is>
          <t>17</t>
        </is>
      </c>
      <c r="U2211" s="5">
        <f>IFS(C2211&lt;30,"Under 30",C2211&lt;40,"30-39",C2211&lt;50,"40-49",TRUE,"50+")</f>
        <v/>
      </c>
      <c r="V2211" s="5">
        <f>IFS(O2211&lt;60000,"Low (&lt;60k)",O2211&lt;100000,"Mid (60-100k)",TRUE,"High (100k+)")</f>
        <v/>
      </c>
      <c r="W2211" s="5">
        <f>IF(M2211="No","Attrited","Active")</f>
        <v/>
      </c>
    </row>
    <row r="2212">
      <c r="A2212" s="5" t="inlineStr">
        <is>
          <t>E02211</t>
        </is>
      </c>
      <c r="B2212" s="5" t="inlineStr">
        <is>
          <t>Male</t>
        </is>
      </c>
      <c r="C2212" s="6" t="inlineStr">
        <is>
          <t>27</t>
        </is>
      </c>
      <c r="D2212" s="5" t="inlineStr">
        <is>
          <t>Married</t>
        </is>
      </c>
      <c r="E2212" s="5" t="inlineStr">
        <is>
          <t>PhD</t>
        </is>
      </c>
      <c r="F2212" s="5" t="inlineStr">
        <is>
          <t>Finance</t>
        </is>
      </c>
      <c r="G2212" s="5" t="inlineStr">
        <is>
          <t>Financial Analyst</t>
        </is>
      </c>
      <c r="H2212" s="5" t="inlineStr">
        <is>
          <t>2</t>
        </is>
      </c>
      <c r="I2212" s="5" t="inlineStr">
        <is>
          <t>Remote</t>
        </is>
      </c>
      <c r="J2212" s="5" t="inlineStr">
        <is>
          <t>Full-Time</t>
        </is>
      </c>
      <c r="K2212" s="7" t="n">
        <v>44383</v>
      </c>
      <c r="L2212" s="7" t="inlineStr"/>
      <c r="M2212" s="5" t="inlineStr">
        <is>
          <t>Yes</t>
        </is>
      </c>
      <c r="N2212" s="5" t="inlineStr"/>
      <c r="O2212" s="8" t="inlineStr">
        <is>
          <t>85000</t>
        </is>
      </c>
      <c r="P2212" s="5" t="inlineStr">
        <is>
          <t>0</t>
        </is>
      </c>
      <c r="Q2212" s="5" t="inlineStr">
        <is>
          <t>4</t>
        </is>
      </c>
      <c r="R2212" s="5" t="inlineStr">
        <is>
          <t>4</t>
        </is>
      </c>
      <c r="S2212" s="5" t="inlineStr">
        <is>
          <t>54</t>
        </is>
      </c>
      <c r="T2212" s="5" t="inlineStr">
        <is>
          <t>19</t>
        </is>
      </c>
      <c r="U2212" s="5">
        <f>IFS(C2212&lt;30,"Under 30",C2212&lt;40,"30-39",C2212&lt;50,"40-49",TRUE,"50+")</f>
        <v/>
      </c>
      <c r="V2212" s="5">
        <f>IFS(O2212&lt;60000,"Low (&lt;60k)",O2212&lt;100000,"Mid (60-100k)",TRUE,"High (100k+)")</f>
        <v/>
      </c>
      <c r="W2212" s="5">
        <f>IF(M2212="No","Attrited","Active")</f>
        <v/>
      </c>
    </row>
    <row r="2213">
      <c r="A2213" s="5" t="inlineStr">
        <is>
          <t>E02212</t>
        </is>
      </c>
      <c r="B2213" s="5" t="inlineStr">
        <is>
          <t>Male</t>
        </is>
      </c>
      <c r="C2213" s="6" t="inlineStr">
        <is>
          <t>33</t>
        </is>
      </c>
      <c r="D2213" s="5" t="inlineStr">
        <is>
          <t>Single</t>
        </is>
      </c>
      <c r="E2213" s="5" t="inlineStr">
        <is>
          <t>Master</t>
        </is>
      </c>
      <c r="F2213" s="5" t="inlineStr">
        <is>
          <t>Sales</t>
        </is>
      </c>
      <c r="G2213" s="5" t="inlineStr">
        <is>
          <t>Account Executive</t>
        </is>
      </c>
      <c r="H2213" s="5" t="inlineStr">
        <is>
          <t>1</t>
        </is>
      </c>
      <c r="I2213" s="5" t="inlineStr">
        <is>
          <t>Delhi</t>
        </is>
      </c>
      <c r="J2213" s="5" t="inlineStr">
        <is>
          <t>Full-Time</t>
        </is>
      </c>
      <c r="K2213" s="7" t="n">
        <v>45076</v>
      </c>
      <c r="L2213" s="7" t="inlineStr"/>
      <c r="M2213" s="5" t="inlineStr">
        <is>
          <t>Yes</t>
        </is>
      </c>
      <c r="N2213" s="5" t="inlineStr"/>
      <c r="O2213" s="8" t="inlineStr">
        <is>
          <t>100000</t>
        </is>
      </c>
      <c r="P2213" s="5" t="inlineStr">
        <is>
          <t>0</t>
        </is>
      </c>
      <c r="Q2213" s="5" t="inlineStr">
        <is>
          <t>5</t>
        </is>
      </c>
      <c r="R2213" s="5" t="inlineStr">
        <is>
          <t>6</t>
        </is>
      </c>
      <c r="S2213" s="5" t="inlineStr">
        <is>
          <t>31</t>
        </is>
      </c>
      <c r="T2213" s="5" t="inlineStr">
        <is>
          <t>8</t>
        </is>
      </c>
      <c r="U2213" s="5">
        <f>IFS(C2213&lt;30,"Under 30",C2213&lt;40,"30-39",C2213&lt;50,"40-49",TRUE,"50+")</f>
        <v/>
      </c>
      <c r="V2213" s="5">
        <f>IFS(O2213&lt;60000,"Low (&lt;60k)",O2213&lt;100000,"Mid (60-100k)",TRUE,"High (100k+)")</f>
        <v/>
      </c>
      <c r="W2213" s="5">
        <f>IF(M2213="No","Attrited","Active")</f>
        <v/>
      </c>
    </row>
    <row r="2214">
      <c r="A2214" s="5" t="inlineStr">
        <is>
          <t>E02213</t>
        </is>
      </c>
      <c r="B2214" s="5" t="inlineStr">
        <is>
          <t>Male</t>
        </is>
      </c>
      <c r="C2214" s="6" t="inlineStr">
        <is>
          <t>34</t>
        </is>
      </c>
      <c r="D2214" s="5" t="inlineStr">
        <is>
          <t>Single</t>
        </is>
      </c>
      <c r="E2214" s="5" t="inlineStr">
        <is>
          <t>Master</t>
        </is>
      </c>
      <c r="F2214" s="5" t="inlineStr">
        <is>
          <t>Customer Support</t>
        </is>
      </c>
      <c r="G2214" s="5" t="inlineStr">
        <is>
          <t>Support Lead</t>
        </is>
      </c>
      <c r="H2214" s="5" t="inlineStr">
        <is>
          <t>1</t>
        </is>
      </c>
      <c r="I2214" s="5" t="inlineStr">
        <is>
          <t>Bengaluru</t>
        </is>
      </c>
      <c r="J2214" s="5" t="inlineStr">
        <is>
          <t>Full-Time</t>
        </is>
      </c>
      <c r="K2214" s="7" t="n">
        <v>45814</v>
      </c>
      <c r="L2214" s="7" t="n">
        <v>45932</v>
      </c>
      <c r="M2214" s="5" t="inlineStr">
        <is>
          <t>No</t>
        </is>
      </c>
      <c r="N2214" s="5" t="inlineStr">
        <is>
          <t>Resigned</t>
        </is>
      </c>
      <c r="O2214" s="8" t="inlineStr">
        <is>
          <t>68000</t>
        </is>
      </c>
      <c r="P2214" s="5" t="inlineStr">
        <is>
          <t>5</t>
        </is>
      </c>
      <c r="Q2214" s="5" t="inlineStr">
        <is>
          <t>3</t>
        </is>
      </c>
      <c r="R2214" s="5" t="inlineStr">
        <is>
          <t>5</t>
        </is>
      </c>
      <c r="S2214" s="5" t="inlineStr">
        <is>
          <t>3</t>
        </is>
      </c>
      <c r="T2214" s="5" t="inlineStr">
        <is>
          <t>0</t>
        </is>
      </c>
      <c r="U2214" s="5">
        <f>IFS(C2214&lt;30,"Under 30",C2214&lt;40,"30-39",C2214&lt;50,"40-49",TRUE,"50+")</f>
        <v/>
      </c>
      <c r="V2214" s="5">
        <f>IFS(O2214&lt;60000,"Low (&lt;60k)",O2214&lt;100000,"Mid (60-100k)",TRUE,"High (100k+)")</f>
        <v/>
      </c>
      <c r="W2214" s="5">
        <f>IF(M2214="No","Attrited","Active")</f>
        <v/>
      </c>
    </row>
    <row r="2215">
      <c r="A2215" s="5" t="inlineStr">
        <is>
          <t>E02214</t>
        </is>
      </c>
      <c r="B2215" s="5" t="inlineStr">
        <is>
          <t>Female</t>
        </is>
      </c>
      <c r="C2215" s="6" t="inlineStr">
        <is>
          <t>35</t>
        </is>
      </c>
      <c r="D2215" s="5" t="inlineStr">
        <is>
          <t>Married</t>
        </is>
      </c>
      <c r="E2215" s="5" t="inlineStr">
        <is>
          <t>Diploma</t>
        </is>
      </c>
      <c r="F2215" s="5" t="inlineStr">
        <is>
          <t>Finance</t>
        </is>
      </c>
      <c r="G2215" s="5" t="inlineStr">
        <is>
          <t>Credit Analyst</t>
        </is>
      </c>
      <c r="H2215" s="5" t="inlineStr">
        <is>
          <t>2</t>
        </is>
      </c>
      <c r="I2215" s="5" t="inlineStr">
        <is>
          <t>Chennai</t>
        </is>
      </c>
      <c r="J2215" s="5" t="inlineStr">
        <is>
          <t>Full-Time</t>
        </is>
      </c>
      <c r="K2215" s="7" t="n">
        <v>44266</v>
      </c>
      <c r="L2215" s="7" t="inlineStr"/>
      <c r="M2215" s="5" t="inlineStr">
        <is>
          <t>Yes</t>
        </is>
      </c>
      <c r="N2215" s="5" t="inlineStr"/>
      <c r="O2215" s="8" t="inlineStr">
        <is>
          <t>104000</t>
        </is>
      </c>
      <c r="P2215" s="5" t="inlineStr">
        <is>
          <t>15</t>
        </is>
      </c>
      <c r="Q2215" s="5" t="inlineStr">
        <is>
          <t>3</t>
        </is>
      </c>
      <c r="R2215" s="5" t="inlineStr">
        <is>
          <t>5</t>
        </is>
      </c>
      <c r="S2215" s="5" t="inlineStr">
        <is>
          <t>58</t>
        </is>
      </c>
      <c r="T2215" s="5" t="inlineStr">
        <is>
          <t>5</t>
        </is>
      </c>
      <c r="U2215" s="5">
        <f>IFS(C2215&lt;30,"Under 30",C2215&lt;40,"30-39",C2215&lt;50,"40-49",TRUE,"50+")</f>
        <v/>
      </c>
      <c r="V2215" s="5">
        <f>IFS(O2215&lt;60000,"Low (&lt;60k)",O2215&lt;100000,"Mid (60-100k)",TRUE,"High (100k+)")</f>
        <v/>
      </c>
      <c r="W2215" s="5">
        <f>IF(M2215="No","Attrited","Active")</f>
        <v/>
      </c>
    </row>
    <row r="2216">
      <c r="A2216" s="5" t="inlineStr">
        <is>
          <t>E02215</t>
        </is>
      </c>
      <c r="B2216" s="5" t="inlineStr">
        <is>
          <t>Female</t>
        </is>
      </c>
      <c r="C2216" s="6" t="inlineStr">
        <is>
          <t>36</t>
        </is>
      </c>
      <c r="D2216" s="5" t="inlineStr">
        <is>
          <t>Married</t>
        </is>
      </c>
      <c r="E2216" s="5" t="inlineStr">
        <is>
          <t>Master</t>
        </is>
      </c>
      <c r="F2216" s="5" t="inlineStr">
        <is>
          <t>IT</t>
        </is>
      </c>
      <c r="G2216" s="5" t="inlineStr">
        <is>
          <t>Data Analyst</t>
        </is>
      </c>
      <c r="H2216" s="5" t="inlineStr">
        <is>
          <t>4</t>
        </is>
      </c>
      <c r="I2216" s="5" t="inlineStr">
        <is>
          <t>Bengaluru</t>
        </is>
      </c>
      <c r="J2216" s="5" t="inlineStr">
        <is>
          <t>Full-Time</t>
        </is>
      </c>
      <c r="K2216" s="7" t="n">
        <v>45322</v>
      </c>
      <c r="L2216" s="7" t="inlineStr"/>
      <c r="M2216" s="5" t="inlineStr">
        <is>
          <t>Yes</t>
        </is>
      </c>
      <c r="N2216" s="5" t="inlineStr"/>
      <c r="O2216" s="8" t="inlineStr">
        <is>
          <t>183500</t>
        </is>
      </c>
      <c r="P2216" s="5" t="inlineStr">
        <is>
          <t>10</t>
        </is>
      </c>
      <c r="Q2216" s="5" t="inlineStr">
        <is>
          <t>3</t>
        </is>
      </c>
      <c r="R2216" s="5" t="inlineStr">
        <is>
          <t>9</t>
        </is>
      </c>
      <c r="S2216" s="5" t="inlineStr">
        <is>
          <t>23</t>
        </is>
      </c>
      <c r="T2216" s="5" t="inlineStr">
        <is>
          <t>11</t>
        </is>
      </c>
      <c r="U2216" s="5">
        <f>IFS(C2216&lt;30,"Under 30",C2216&lt;40,"30-39",C2216&lt;50,"40-49",TRUE,"50+")</f>
        <v/>
      </c>
      <c r="V2216" s="5">
        <f>IFS(O2216&lt;60000,"Low (&lt;60k)",O2216&lt;100000,"Mid (60-100k)",TRUE,"High (100k+)")</f>
        <v/>
      </c>
      <c r="W2216" s="5">
        <f>IF(M2216="No","Attrited","Active")</f>
        <v/>
      </c>
    </row>
    <row r="2217">
      <c r="A2217" s="5" t="inlineStr">
        <is>
          <t>E02216</t>
        </is>
      </c>
      <c r="B2217" s="5" t="inlineStr">
        <is>
          <t>Male</t>
        </is>
      </c>
      <c r="C2217" s="6" t="inlineStr">
        <is>
          <t>33</t>
        </is>
      </c>
      <c r="D2217" s="5" t="inlineStr">
        <is>
          <t>Married</t>
        </is>
      </c>
      <c r="E2217" s="5" t="inlineStr">
        <is>
          <t>Bachelor</t>
        </is>
      </c>
      <c r="F2217" s="5" t="inlineStr">
        <is>
          <t>Operations</t>
        </is>
      </c>
      <c r="G2217" s="5" t="inlineStr">
        <is>
          <t>Quality Analyst</t>
        </is>
      </c>
      <c r="H2217" s="5" t="inlineStr">
        <is>
          <t>2</t>
        </is>
      </c>
      <c r="I2217" s="5" t="inlineStr">
        <is>
          <t>Bengaluru</t>
        </is>
      </c>
      <c r="J2217" s="5" t="inlineStr">
        <is>
          <t>Part-Time</t>
        </is>
      </c>
      <c r="K2217" s="7" t="n">
        <v>45165</v>
      </c>
      <c r="L2217" s="7" t="inlineStr"/>
      <c r="M2217" s="5" t="inlineStr">
        <is>
          <t>Yes</t>
        </is>
      </c>
      <c r="N2217" s="5" t="inlineStr"/>
      <c r="O2217" s="8" t="inlineStr">
        <is>
          <t>84000</t>
        </is>
      </c>
      <c r="P2217" s="5" t="inlineStr">
        <is>
          <t>0</t>
        </is>
      </c>
      <c r="Q2217" s="5" t="inlineStr">
        <is>
          <t>4</t>
        </is>
      </c>
      <c r="R2217" s="5" t="inlineStr">
        <is>
          <t>5</t>
        </is>
      </c>
      <c r="S2217" s="5" t="inlineStr">
        <is>
          <t>28</t>
        </is>
      </c>
      <c r="T2217" s="5" t="inlineStr">
        <is>
          <t>6</t>
        </is>
      </c>
      <c r="U2217" s="5">
        <f>IFS(C2217&lt;30,"Under 30",C2217&lt;40,"30-39",C2217&lt;50,"40-49",TRUE,"50+")</f>
        <v/>
      </c>
      <c r="V2217" s="5">
        <f>IFS(O2217&lt;60000,"Low (&lt;60k)",O2217&lt;100000,"Mid (60-100k)",TRUE,"High (100k+)")</f>
        <v/>
      </c>
      <c r="W2217" s="5">
        <f>IF(M2217="No","Attrited","Active")</f>
        <v/>
      </c>
    </row>
    <row r="2218">
      <c r="A2218" s="5" t="inlineStr">
        <is>
          <t>E02217</t>
        </is>
      </c>
      <c r="B2218" s="5" t="inlineStr">
        <is>
          <t>Male</t>
        </is>
      </c>
      <c r="C2218" s="6" t="inlineStr">
        <is>
          <t>35</t>
        </is>
      </c>
      <c r="D2218" s="5" t="inlineStr">
        <is>
          <t>Divorced</t>
        </is>
      </c>
      <c r="E2218" s="5" t="inlineStr">
        <is>
          <t>Diploma</t>
        </is>
      </c>
      <c r="F2218" s="5" t="inlineStr">
        <is>
          <t>Human Resources</t>
        </is>
      </c>
      <c r="G2218" s="5" t="inlineStr">
        <is>
          <t>HR Generalist</t>
        </is>
      </c>
      <c r="H2218" s="5" t="inlineStr">
        <is>
          <t>3</t>
        </is>
      </c>
      <c r="I2218" s="5" t="inlineStr">
        <is>
          <t>Mumbai</t>
        </is>
      </c>
      <c r="J2218" s="5" t="inlineStr">
        <is>
          <t>Full-Time</t>
        </is>
      </c>
      <c r="K2218" s="7" t="n">
        <v>45856</v>
      </c>
      <c r="L2218" s="7" t="inlineStr"/>
      <c r="M2218" s="5" t="inlineStr">
        <is>
          <t>Yes</t>
        </is>
      </c>
      <c r="N2218" s="5" t="inlineStr"/>
      <c r="O2218" s="8" t="inlineStr">
        <is>
          <t>88500</t>
        </is>
      </c>
      <c r="P2218" s="5" t="inlineStr">
        <is>
          <t>0</t>
        </is>
      </c>
      <c r="Q2218" s="5" t="inlineStr">
        <is>
          <t>5</t>
        </is>
      </c>
      <c r="R2218" s="5" t="inlineStr">
        <is>
          <t>6</t>
        </is>
      </c>
      <c r="S2218" s="5" t="inlineStr">
        <is>
          <t>5</t>
        </is>
      </c>
      <c r="T2218" s="5" t="inlineStr">
        <is>
          <t>10</t>
        </is>
      </c>
      <c r="U2218" s="5">
        <f>IFS(C2218&lt;30,"Under 30",C2218&lt;40,"30-39",C2218&lt;50,"40-49",TRUE,"50+")</f>
        <v/>
      </c>
      <c r="V2218" s="5">
        <f>IFS(O2218&lt;60000,"Low (&lt;60k)",O2218&lt;100000,"Mid (60-100k)",TRUE,"High (100k+)")</f>
        <v/>
      </c>
      <c r="W2218" s="5">
        <f>IF(M2218="No","Attrited","Active")</f>
        <v/>
      </c>
    </row>
    <row r="2219">
      <c r="A2219" s="5" t="inlineStr">
        <is>
          <t>E02218</t>
        </is>
      </c>
      <c r="B2219" s="5" t="inlineStr">
        <is>
          <t>Male</t>
        </is>
      </c>
      <c r="C2219" s="6" t="inlineStr">
        <is>
          <t>26</t>
        </is>
      </c>
      <c r="D2219" s="5" t="inlineStr">
        <is>
          <t>Married</t>
        </is>
      </c>
      <c r="E2219" s="5" t="inlineStr">
        <is>
          <t>Master</t>
        </is>
      </c>
      <c r="F2219" s="5" t="inlineStr">
        <is>
          <t>Sales</t>
        </is>
      </c>
      <c r="G2219" s="5" t="inlineStr">
        <is>
          <t>Sales Executive</t>
        </is>
      </c>
      <c r="H2219" s="5" t="inlineStr">
        <is>
          <t>2</t>
        </is>
      </c>
      <c r="I2219" s="5" t="inlineStr">
        <is>
          <t>Chennai</t>
        </is>
      </c>
      <c r="J2219" s="5" t="inlineStr">
        <is>
          <t>Full-Time</t>
        </is>
      </c>
      <c r="K2219" s="7" t="n">
        <v>44673</v>
      </c>
      <c r="L2219" s="7" t="inlineStr"/>
      <c r="M2219" s="5" t="inlineStr">
        <is>
          <t>Yes</t>
        </is>
      </c>
      <c r="N2219" s="5" t="inlineStr"/>
      <c r="O2219" s="8" t="inlineStr">
        <is>
          <t>82000</t>
        </is>
      </c>
      <c r="P2219" s="5" t="inlineStr">
        <is>
          <t>5</t>
        </is>
      </c>
      <c r="Q2219" s="5" t="inlineStr">
        <is>
          <t>4</t>
        </is>
      </c>
      <c r="R2219" s="5" t="inlineStr">
        <is>
          <t>5</t>
        </is>
      </c>
      <c r="S2219" s="5" t="inlineStr">
        <is>
          <t>44</t>
        </is>
      </c>
      <c r="T2219" s="5" t="inlineStr">
        <is>
          <t>0</t>
        </is>
      </c>
      <c r="U2219" s="5">
        <f>IFS(C2219&lt;30,"Under 30",C2219&lt;40,"30-39",C2219&lt;50,"40-49",TRUE,"50+")</f>
        <v/>
      </c>
      <c r="V2219" s="5">
        <f>IFS(O2219&lt;60000,"Low (&lt;60k)",O2219&lt;100000,"Mid (60-100k)",TRUE,"High (100k+)")</f>
        <v/>
      </c>
      <c r="W2219" s="5">
        <f>IF(M2219="No","Attrited","Active")</f>
        <v/>
      </c>
    </row>
    <row r="2220">
      <c r="A2220" s="5" t="inlineStr">
        <is>
          <t>E02219</t>
        </is>
      </c>
      <c r="B2220" s="5" t="inlineStr">
        <is>
          <t>Female</t>
        </is>
      </c>
      <c r="C2220" s="6" t="inlineStr">
        <is>
          <t>27</t>
        </is>
      </c>
      <c r="D2220" s="5" t="inlineStr">
        <is>
          <t>Married</t>
        </is>
      </c>
      <c r="E2220" s="5" t="inlineStr">
        <is>
          <t>Diploma</t>
        </is>
      </c>
      <c r="F2220" s="5" t="inlineStr">
        <is>
          <t>Customer Support</t>
        </is>
      </c>
      <c r="G2220" s="5" t="inlineStr">
        <is>
          <t>Support Agent</t>
        </is>
      </c>
      <c r="H2220" s="5" t="inlineStr">
        <is>
          <t>1</t>
        </is>
      </c>
      <c r="I2220" s="5" t="inlineStr">
        <is>
          <t>Hyderabad</t>
        </is>
      </c>
      <c r="J2220" s="5" t="inlineStr">
        <is>
          <t>Full-Time</t>
        </is>
      </c>
      <c r="K2220" s="7" t="n">
        <v>45767</v>
      </c>
      <c r="L2220" s="7" t="inlineStr"/>
      <c r="M2220" s="5" t="inlineStr">
        <is>
          <t>Yes</t>
        </is>
      </c>
      <c r="N2220" s="5" t="inlineStr"/>
      <c r="O2220" s="8" t="inlineStr">
        <is>
          <t>68500</t>
        </is>
      </c>
      <c r="P2220" s="5" t="inlineStr">
        <is>
          <t>0</t>
        </is>
      </c>
      <c r="Q2220" s="5" t="inlineStr">
        <is>
          <t>1</t>
        </is>
      </c>
      <c r="R2220" s="5" t="inlineStr">
        <is>
          <t>7</t>
        </is>
      </c>
      <c r="S2220" s="5" t="inlineStr">
        <is>
          <t>8</t>
        </is>
      </c>
      <c r="T2220" s="5" t="inlineStr">
        <is>
          <t>0</t>
        </is>
      </c>
      <c r="U2220" s="5">
        <f>IFS(C2220&lt;30,"Under 30",C2220&lt;40,"30-39",C2220&lt;50,"40-49",TRUE,"50+")</f>
        <v/>
      </c>
      <c r="V2220" s="5">
        <f>IFS(O2220&lt;60000,"Low (&lt;60k)",O2220&lt;100000,"Mid (60-100k)",TRUE,"High (100k+)")</f>
        <v/>
      </c>
      <c r="W2220" s="5">
        <f>IF(M2220="No","Attrited","Active")</f>
        <v/>
      </c>
    </row>
    <row r="2221">
      <c r="A2221" s="5" t="inlineStr">
        <is>
          <t>E02220</t>
        </is>
      </c>
      <c r="B2221" s="5" t="inlineStr">
        <is>
          <t>Female</t>
        </is>
      </c>
      <c r="C2221" s="6" t="inlineStr">
        <is>
          <t>30</t>
        </is>
      </c>
      <c r="D2221" s="5" t="inlineStr">
        <is>
          <t>Single</t>
        </is>
      </c>
      <c r="E2221" s="5" t="inlineStr">
        <is>
          <t>Master</t>
        </is>
      </c>
      <c r="F2221" s="5" t="inlineStr">
        <is>
          <t>IT</t>
        </is>
      </c>
      <c r="G2221" s="5" t="inlineStr">
        <is>
          <t>DevOps Engineer</t>
        </is>
      </c>
      <c r="H2221" s="5" t="inlineStr">
        <is>
          <t>1</t>
        </is>
      </c>
      <c r="I2221" s="5" t="inlineStr">
        <is>
          <t>Hyderabad</t>
        </is>
      </c>
      <c r="J2221" s="5" t="inlineStr">
        <is>
          <t>Full-Time</t>
        </is>
      </c>
      <c r="K2221" s="7" t="n">
        <v>44469</v>
      </c>
      <c r="L2221" s="7" t="inlineStr"/>
      <c r="M2221" s="5" t="inlineStr">
        <is>
          <t>Yes</t>
        </is>
      </c>
      <c r="N2221" s="5" t="inlineStr"/>
      <c r="O2221" s="8" t="inlineStr">
        <is>
          <t>101500</t>
        </is>
      </c>
      <c r="P2221" s="5" t="inlineStr">
        <is>
          <t>0</t>
        </is>
      </c>
      <c r="Q2221" s="5" t="inlineStr">
        <is>
          <t>4</t>
        </is>
      </c>
      <c r="R2221" s="5" t="inlineStr">
        <is>
          <t>7</t>
        </is>
      </c>
      <c r="S2221" s="5" t="inlineStr">
        <is>
          <t>51</t>
        </is>
      </c>
      <c r="T2221" s="5" t="inlineStr">
        <is>
          <t>5</t>
        </is>
      </c>
      <c r="U2221" s="5">
        <f>IFS(C2221&lt;30,"Under 30",C2221&lt;40,"30-39",C2221&lt;50,"40-49",TRUE,"50+")</f>
        <v/>
      </c>
      <c r="V2221" s="5">
        <f>IFS(O2221&lt;60000,"Low (&lt;60k)",O2221&lt;100000,"Mid (60-100k)",TRUE,"High (100k+)")</f>
        <v/>
      </c>
      <c r="W2221" s="5">
        <f>IF(M2221="No","Attrited","Active")</f>
        <v/>
      </c>
    </row>
    <row r="2222">
      <c r="A2222" s="5" t="inlineStr">
        <is>
          <t>E02221</t>
        </is>
      </c>
      <c r="B2222" s="5" t="inlineStr">
        <is>
          <t>Male</t>
        </is>
      </c>
      <c r="C2222" s="6" t="inlineStr">
        <is>
          <t>36</t>
        </is>
      </c>
      <c r="D2222" s="5" t="inlineStr">
        <is>
          <t>Divorced</t>
        </is>
      </c>
      <c r="E2222" s="5" t="inlineStr">
        <is>
          <t>Bachelor</t>
        </is>
      </c>
      <c r="F2222" s="5" t="inlineStr">
        <is>
          <t>Marketing</t>
        </is>
      </c>
      <c r="G2222" s="5" t="inlineStr">
        <is>
          <t>Content Writer</t>
        </is>
      </c>
      <c r="H2222" s="5" t="inlineStr">
        <is>
          <t>2</t>
        </is>
      </c>
      <c r="I2222" s="5" t="inlineStr">
        <is>
          <t>Bengaluru</t>
        </is>
      </c>
      <c r="J2222" s="5" t="inlineStr">
        <is>
          <t>Full-Time</t>
        </is>
      </c>
      <c r="K2222" s="7" t="n">
        <v>45697</v>
      </c>
      <c r="L2222" s="7" t="inlineStr"/>
      <c r="M2222" s="5" t="inlineStr">
        <is>
          <t>Yes</t>
        </is>
      </c>
      <c r="N2222" s="5" t="inlineStr"/>
      <c r="O2222" s="8" t="inlineStr">
        <is>
          <t>76000</t>
        </is>
      </c>
      <c r="P2222" s="5" t="inlineStr">
        <is>
          <t>0</t>
        </is>
      </c>
      <c r="Q2222" s="5" t="inlineStr">
        <is>
          <t>4</t>
        </is>
      </c>
      <c r="R2222" s="5" t="inlineStr">
        <is>
          <t>4</t>
        </is>
      </c>
      <c r="S2222" s="5" t="inlineStr">
        <is>
          <t>10</t>
        </is>
      </c>
      <c r="T2222" s="5" t="inlineStr">
        <is>
          <t>18</t>
        </is>
      </c>
      <c r="U2222" s="5">
        <f>IFS(C2222&lt;30,"Under 30",C2222&lt;40,"30-39",C2222&lt;50,"40-49",TRUE,"50+")</f>
        <v/>
      </c>
      <c r="V2222" s="5">
        <f>IFS(O2222&lt;60000,"Low (&lt;60k)",O2222&lt;100000,"Mid (60-100k)",TRUE,"High (100k+)")</f>
        <v/>
      </c>
      <c r="W2222" s="5">
        <f>IF(M2222="No","Attrited","Active")</f>
        <v/>
      </c>
    </row>
    <row r="2223">
      <c r="A2223" s="5" t="inlineStr">
        <is>
          <t>E02222</t>
        </is>
      </c>
      <c r="B2223" s="5" t="inlineStr">
        <is>
          <t>Male</t>
        </is>
      </c>
      <c r="C2223" s="6" t="inlineStr">
        <is>
          <t>36</t>
        </is>
      </c>
      <c r="D2223" s="5" t="inlineStr">
        <is>
          <t>Single</t>
        </is>
      </c>
      <c r="E2223" s="5" t="inlineStr">
        <is>
          <t>High School</t>
        </is>
      </c>
      <c r="F2223" s="5" t="inlineStr">
        <is>
          <t>Sales</t>
        </is>
      </c>
      <c r="G2223" s="5" t="inlineStr">
        <is>
          <t>Sales Executive</t>
        </is>
      </c>
      <c r="H2223" s="5" t="inlineStr">
        <is>
          <t>6</t>
        </is>
      </c>
      <c r="I2223" s="5" t="inlineStr">
        <is>
          <t>Remote</t>
        </is>
      </c>
      <c r="J2223" s="5" t="inlineStr">
        <is>
          <t>Full-Time</t>
        </is>
      </c>
      <c r="K2223" s="7" t="n">
        <v>44677</v>
      </c>
      <c r="L2223" s="7" t="inlineStr"/>
      <c r="M2223" s="5" t="inlineStr">
        <is>
          <t>Yes</t>
        </is>
      </c>
      <c r="N2223" s="5" t="inlineStr"/>
      <c r="O2223" s="8" t="inlineStr">
        <is>
          <t>179500</t>
        </is>
      </c>
      <c r="P2223" s="5" t="inlineStr">
        <is>
          <t>20</t>
        </is>
      </c>
      <c r="Q2223" s="5" t="inlineStr">
        <is>
          <t>3</t>
        </is>
      </c>
      <c r="R2223" s="5" t="inlineStr">
        <is>
          <t>5</t>
        </is>
      </c>
      <c r="S2223" s="5" t="inlineStr">
        <is>
          <t>44</t>
        </is>
      </c>
      <c r="T2223" s="5" t="inlineStr">
        <is>
          <t>0</t>
        </is>
      </c>
      <c r="U2223" s="5">
        <f>IFS(C2223&lt;30,"Under 30",C2223&lt;40,"30-39",C2223&lt;50,"40-49",TRUE,"50+")</f>
        <v/>
      </c>
      <c r="V2223" s="5">
        <f>IFS(O2223&lt;60000,"Low (&lt;60k)",O2223&lt;100000,"Mid (60-100k)",TRUE,"High (100k+)")</f>
        <v/>
      </c>
      <c r="W2223" s="5">
        <f>IF(M2223="No","Attrited","Active")</f>
        <v/>
      </c>
    </row>
    <row r="2224">
      <c r="A2224" s="5" t="inlineStr">
        <is>
          <t>E02223</t>
        </is>
      </c>
      <c r="B2224" s="5" t="inlineStr">
        <is>
          <t>Female</t>
        </is>
      </c>
      <c r="C2224" s="6" t="inlineStr">
        <is>
          <t>35</t>
        </is>
      </c>
      <c r="D2224" s="5" t="inlineStr">
        <is>
          <t>Married</t>
        </is>
      </c>
      <c r="E2224" s="5" t="inlineStr">
        <is>
          <t>Bachelor</t>
        </is>
      </c>
      <c r="F2224" s="5" t="inlineStr">
        <is>
          <t>Sales</t>
        </is>
      </c>
      <c r="G2224" s="5" t="inlineStr">
        <is>
          <t>Sales Executive</t>
        </is>
      </c>
      <c r="H2224" s="5" t="inlineStr">
        <is>
          <t>3</t>
        </is>
      </c>
      <c r="I2224" s="5" t="inlineStr">
        <is>
          <t>Hyderabad</t>
        </is>
      </c>
      <c r="J2224" s="5" t="inlineStr">
        <is>
          <t>Contract</t>
        </is>
      </c>
      <c r="K2224" s="7" t="n">
        <v>44870</v>
      </c>
      <c r="L2224" s="7" t="inlineStr"/>
      <c r="M2224" s="5" t="inlineStr">
        <is>
          <t>Yes</t>
        </is>
      </c>
      <c r="N2224" s="5" t="inlineStr"/>
      <c r="O2224" s="8" t="inlineStr">
        <is>
          <t>93000</t>
        </is>
      </c>
      <c r="P2224" s="5" t="inlineStr">
        <is>
          <t>0</t>
        </is>
      </c>
      <c r="Q2224" s="5" t="inlineStr">
        <is>
          <t>3</t>
        </is>
      </c>
      <c r="R2224" s="5" t="inlineStr">
        <is>
          <t>6</t>
        </is>
      </c>
      <c r="S2224" s="5" t="inlineStr">
        <is>
          <t>38</t>
        </is>
      </c>
      <c r="T2224" s="5" t="inlineStr">
        <is>
          <t>7</t>
        </is>
      </c>
      <c r="U2224" s="5">
        <f>IFS(C2224&lt;30,"Under 30",C2224&lt;40,"30-39",C2224&lt;50,"40-49",TRUE,"50+")</f>
        <v/>
      </c>
      <c r="V2224" s="5">
        <f>IFS(O2224&lt;60000,"Low (&lt;60k)",O2224&lt;100000,"Mid (60-100k)",TRUE,"High (100k+)")</f>
        <v/>
      </c>
      <c r="W2224" s="5">
        <f>IF(M2224="No","Attrited","Active")</f>
        <v/>
      </c>
    </row>
    <row r="2225">
      <c r="A2225" s="5" t="inlineStr">
        <is>
          <t>E02224</t>
        </is>
      </c>
      <c r="B2225" s="5" t="inlineStr">
        <is>
          <t>Female</t>
        </is>
      </c>
      <c r="C2225" s="6" t="inlineStr">
        <is>
          <t>29</t>
        </is>
      </c>
      <c r="D2225" s="5" t="inlineStr">
        <is>
          <t>Single</t>
        </is>
      </c>
      <c r="E2225" s="5" t="inlineStr">
        <is>
          <t>Master</t>
        </is>
      </c>
      <c r="F2225" s="5" t="inlineStr">
        <is>
          <t>Customer Support</t>
        </is>
      </c>
      <c r="G2225" s="5" t="inlineStr">
        <is>
          <t>Support Agent</t>
        </is>
      </c>
      <c r="H2225" s="5" t="inlineStr">
        <is>
          <t>1</t>
        </is>
      </c>
      <c r="I2225" s="5" t="inlineStr">
        <is>
          <t>Mumbai</t>
        </is>
      </c>
      <c r="J2225" s="5" t="inlineStr">
        <is>
          <t>Full-Time</t>
        </is>
      </c>
      <c r="K2225" s="7" t="n">
        <v>44441</v>
      </c>
      <c r="L2225" s="7" t="n">
        <v>44580</v>
      </c>
      <c r="M2225" s="5" t="inlineStr">
        <is>
          <t>No</t>
        </is>
      </c>
      <c r="N2225" s="5" t="inlineStr">
        <is>
          <t>Performance / Termination</t>
        </is>
      </c>
      <c r="O2225" s="8" t="inlineStr">
        <is>
          <t>50000</t>
        </is>
      </c>
      <c r="P2225" s="5" t="inlineStr">
        <is>
          <t>20</t>
        </is>
      </c>
      <c r="Q2225" s="5" t="inlineStr">
        <is>
          <t>5</t>
        </is>
      </c>
      <c r="R2225" s="5" t="inlineStr">
        <is>
          <t>4</t>
        </is>
      </c>
      <c r="S2225" s="5" t="inlineStr">
        <is>
          <t>4</t>
        </is>
      </c>
      <c r="T2225" s="5" t="inlineStr">
        <is>
          <t>10</t>
        </is>
      </c>
      <c r="U2225" s="5">
        <f>IFS(C2225&lt;30,"Under 30",C2225&lt;40,"30-39",C2225&lt;50,"40-49",TRUE,"50+")</f>
        <v/>
      </c>
      <c r="V2225" s="5">
        <f>IFS(O2225&lt;60000,"Low (&lt;60k)",O2225&lt;100000,"Mid (60-100k)",TRUE,"High (100k+)")</f>
        <v/>
      </c>
      <c r="W2225" s="5">
        <f>IF(M2225="No","Attrited","Active")</f>
        <v/>
      </c>
    </row>
    <row r="2226">
      <c r="A2226" s="5" t="inlineStr">
        <is>
          <t>E02225</t>
        </is>
      </c>
      <c r="B2226" s="5" t="inlineStr">
        <is>
          <t>Male</t>
        </is>
      </c>
      <c r="C2226" s="6" t="inlineStr">
        <is>
          <t>39</t>
        </is>
      </c>
      <c r="D2226" s="5" t="inlineStr">
        <is>
          <t>Divorced</t>
        </is>
      </c>
      <c r="E2226" s="5" t="inlineStr">
        <is>
          <t>High School</t>
        </is>
      </c>
      <c r="F2226" s="5" t="inlineStr">
        <is>
          <t>Marketing</t>
        </is>
      </c>
      <c r="G2226" s="5" t="inlineStr">
        <is>
          <t>SEO Specialist</t>
        </is>
      </c>
      <c r="H2226" s="5" t="inlineStr">
        <is>
          <t>6</t>
        </is>
      </c>
      <c r="I2226" s="5" t="inlineStr">
        <is>
          <t>Remote</t>
        </is>
      </c>
      <c r="J2226" s="5" t="inlineStr">
        <is>
          <t>Full-Time</t>
        </is>
      </c>
      <c r="K2226" s="7" t="n">
        <v>44473</v>
      </c>
      <c r="L2226" s="7" t="inlineStr"/>
      <c r="M2226" s="5" t="inlineStr">
        <is>
          <t>Yes</t>
        </is>
      </c>
      <c r="N2226" s="5" t="inlineStr"/>
      <c r="O2226" s="8" t="inlineStr">
        <is>
          <t>156000</t>
        </is>
      </c>
      <c r="P2226" s="5" t="inlineStr">
        <is>
          <t>5</t>
        </is>
      </c>
      <c r="Q2226" s="5" t="inlineStr">
        <is>
          <t>4</t>
        </is>
      </c>
      <c r="R2226" s="5" t="inlineStr">
        <is>
          <t>6</t>
        </is>
      </c>
      <c r="S2226" s="5" t="inlineStr">
        <is>
          <t>51</t>
        </is>
      </c>
      <c r="T2226" s="5" t="inlineStr">
        <is>
          <t>10</t>
        </is>
      </c>
      <c r="U2226" s="5">
        <f>IFS(C2226&lt;30,"Under 30",C2226&lt;40,"30-39",C2226&lt;50,"40-49",TRUE,"50+")</f>
        <v/>
      </c>
      <c r="V2226" s="5">
        <f>IFS(O2226&lt;60000,"Low (&lt;60k)",O2226&lt;100000,"Mid (60-100k)",TRUE,"High (100k+)")</f>
        <v/>
      </c>
      <c r="W2226" s="5">
        <f>IF(M2226="No","Attrited","Active")</f>
        <v/>
      </c>
    </row>
    <row r="2227">
      <c r="A2227" s="5" t="inlineStr">
        <is>
          <t>E02226</t>
        </is>
      </c>
      <c r="B2227" s="5" t="inlineStr">
        <is>
          <t>Female</t>
        </is>
      </c>
      <c r="C2227" s="6" t="inlineStr">
        <is>
          <t>30</t>
        </is>
      </c>
      <c r="D2227" s="5" t="inlineStr">
        <is>
          <t>Married</t>
        </is>
      </c>
      <c r="E2227" s="5" t="inlineStr">
        <is>
          <t>Master</t>
        </is>
      </c>
      <c r="F2227" s="5" t="inlineStr">
        <is>
          <t>Marketing</t>
        </is>
      </c>
      <c r="G2227" s="5" t="inlineStr">
        <is>
          <t>SEO Specialist</t>
        </is>
      </c>
      <c r="H2227" s="5" t="inlineStr">
        <is>
          <t>4</t>
        </is>
      </c>
      <c r="I2227" s="5" t="inlineStr">
        <is>
          <t>Bengaluru</t>
        </is>
      </c>
      <c r="J2227" s="5" t="inlineStr">
        <is>
          <t>Full-Time</t>
        </is>
      </c>
      <c r="K2227" s="7" t="n">
        <v>45332</v>
      </c>
      <c r="L2227" s="7" t="inlineStr"/>
      <c r="M2227" s="5" t="inlineStr">
        <is>
          <t>Yes</t>
        </is>
      </c>
      <c r="N2227" s="5" t="inlineStr"/>
      <c r="O2227" s="8" t="inlineStr">
        <is>
          <t>104000</t>
        </is>
      </c>
      <c r="P2227" s="5" t="inlineStr">
        <is>
          <t>5</t>
        </is>
      </c>
      <c r="Q2227" s="5" t="inlineStr">
        <is>
          <t>3</t>
        </is>
      </c>
      <c r="R2227" s="5" t="inlineStr">
        <is>
          <t>8</t>
        </is>
      </c>
      <c r="S2227" s="5" t="inlineStr">
        <is>
          <t>23</t>
        </is>
      </c>
      <c r="T2227" s="5" t="inlineStr">
        <is>
          <t>13</t>
        </is>
      </c>
      <c r="U2227" s="5">
        <f>IFS(C2227&lt;30,"Under 30",C2227&lt;40,"30-39",C2227&lt;50,"40-49",TRUE,"50+")</f>
        <v/>
      </c>
      <c r="V2227" s="5">
        <f>IFS(O2227&lt;60000,"Low (&lt;60k)",O2227&lt;100000,"Mid (60-100k)",TRUE,"High (100k+)")</f>
        <v/>
      </c>
      <c r="W2227" s="5">
        <f>IF(M2227="No","Attrited","Active")</f>
        <v/>
      </c>
    </row>
    <row r="2228">
      <c r="A2228" s="5" t="inlineStr">
        <is>
          <t>E02227</t>
        </is>
      </c>
      <c r="B2228" s="5" t="inlineStr">
        <is>
          <t>Female</t>
        </is>
      </c>
      <c r="C2228" s="6" t="inlineStr">
        <is>
          <t>25</t>
        </is>
      </c>
      <c r="D2228" s="5" t="inlineStr">
        <is>
          <t>Single</t>
        </is>
      </c>
      <c r="E2228" s="5" t="inlineStr">
        <is>
          <t>High School</t>
        </is>
      </c>
      <c r="F2228" s="5" t="inlineStr">
        <is>
          <t>Operations</t>
        </is>
      </c>
      <c r="G2228" s="5" t="inlineStr">
        <is>
          <t>Quality Analyst</t>
        </is>
      </c>
      <c r="H2228" s="5" t="inlineStr">
        <is>
          <t>1</t>
        </is>
      </c>
      <c r="I2228" s="5" t="inlineStr">
        <is>
          <t>Chennai</t>
        </is>
      </c>
      <c r="J2228" s="5" t="inlineStr">
        <is>
          <t>Full-Time</t>
        </is>
      </c>
      <c r="K2228" s="7" t="n">
        <v>44140</v>
      </c>
      <c r="L2228" s="7" t="inlineStr"/>
      <c r="M2228" s="5" t="inlineStr">
        <is>
          <t>Yes</t>
        </is>
      </c>
      <c r="N2228" s="5" t="inlineStr"/>
      <c r="O2228" s="8" t="inlineStr">
        <is>
          <t>60500</t>
        </is>
      </c>
      <c r="P2228" s="5" t="inlineStr">
        <is>
          <t>0</t>
        </is>
      </c>
      <c r="Q2228" s="5" t="inlineStr">
        <is>
          <t>3</t>
        </is>
      </c>
      <c r="R2228" s="5" t="inlineStr">
        <is>
          <t>4</t>
        </is>
      </c>
      <c r="S2228" s="5" t="inlineStr">
        <is>
          <t>62</t>
        </is>
      </c>
      <c r="T2228" s="5" t="inlineStr">
        <is>
          <t>9</t>
        </is>
      </c>
      <c r="U2228" s="5">
        <f>IFS(C2228&lt;30,"Under 30",C2228&lt;40,"30-39",C2228&lt;50,"40-49",TRUE,"50+")</f>
        <v/>
      </c>
      <c r="V2228" s="5">
        <f>IFS(O2228&lt;60000,"Low (&lt;60k)",O2228&lt;100000,"Mid (60-100k)",TRUE,"High (100k+)")</f>
        <v/>
      </c>
      <c r="W2228" s="5">
        <f>IF(M2228="No","Attrited","Active")</f>
        <v/>
      </c>
    </row>
    <row r="2229">
      <c r="A2229" s="5" t="inlineStr">
        <is>
          <t>E02228</t>
        </is>
      </c>
      <c r="B2229" s="5" t="inlineStr">
        <is>
          <t>Male</t>
        </is>
      </c>
      <c r="C2229" s="6" t="inlineStr">
        <is>
          <t>39</t>
        </is>
      </c>
      <c r="D2229" s="5" t="inlineStr">
        <is>
          <t>Married</t>
        </is>
      </c>
      <c r="E2229" s="5" t="inlineStr">
        <is>
          <t>Diploma</t>
        </is>
      </c>
      <c r="F2229" s="5" t="inlineStr">
        <is>
          <t>Finance</t>
        </is>
      </c>
      <c r="G2229" s="5" t="inlineStr">
        <is>
          <t>Credit Analyst</t>
        </is>
      </c>
      <c r="H2229" s="5" t="inlineStr">
        <is>
          <t>5</t>
        </is>
      </c>
      <c r="I2229" s="5" t="inlineStr">
        <is>
          <t>Mumbai</t>
        </is>
      </c>
      <c r="J2229" s="5" t="inlineStr">
        <is>
          <t>Part-Time</t>
        </is>
      </c>
      <c r="K2229" s="7" t="n">
        <v>44812</v>
      </c>
      <c r="L2229" s="7" t="inlineStr"/>
      <c r="M2229" s="5" t="inlineStr">
        <is>
          <t>Yes</t>
        </is>
      </c>
      <c r="N2229" s="5" t="inlineStr"/>
      <c r="O2229" s="8" t="inlineStr">
        <is>
          <t>168500</t>
        </is>
      </c>
      <c r="P2229" s="5" t="inlineStr">
        <is>
          <t>5</t>
        </is>
      </c>
      <c r="Q2229" s="5" t="inlineStr">
        <is>
          <t>2</t>
        </is>
      </c>
      <c r="R2229" s="5" t="inlineStr">
        <is>
          <t>5</t>
        </is>
      </c>
      <c r="S2229" s="5" t="inlineStr">
        <is>
          <t>40</t>
        </is>
      </c>
      <c r="T2229" s="5" t="inlineStr">
        <is>
          <t>16</t>
        </is>
      </c>
      <c r="U2229" s="5">
        <f>IFS(C2229&lt;30,"Under 30",C2229&lt;40,"30-39",C2229&lt;50,"40-49",TRUE,"50+")</f>
        <v/>
      </c>
      <c r="V2229" s="5">
        <f>IFS(O2229&lt;60000,"Low (&lt;60k)",O2229&lt;100000,"Mid (60-100k)",TRUE,"High (100k+)")</f>
        <v/>
      </c>
      <c r="W2229" s="5">
        <f>IF(M2229="No","Attrited","Active")</f>
        <v/>
      </c>
    </row>
    <row r="2230">
      <c r="A2230" s="5" t="inlineStr">
        <is>
          <t>E02229</t>
        </is>
      </c>
      <c r="B2230" s="5" t="inlineStr">
        <is>
          <t>Male</t>
        </is>
      </c>
      <c r="C2230" s="6" t="inlineStr">
        <is>
          <t>32</t>
        </is>
      </c>
      <c r="D2230" s="5" t="inlineStr">
        <is>
          <t>Married</t>
        </is>
      </c>
      <c r="E2230" s="5" t="inlineStr">
        <is>
          <t>PhD</t>
        </is>
      </c>
      <c r="F2230" s="5" t="inlineStr">
        <is>
          <t>IT</t>
        </is>
      </c>
      <c r="G2230" s="5" t="inlineStr">
        <is>
          <t>IT Support</t>
        </is>
      </c>
      <c r="H2230" s="5" t="inlineStr">
        <is>
          <t>2</t>
        </is>
      </c>
      <c r="I2230" s="5" t="inlineStr">
        <is>
          <t>Mumbai</t>
        </is>
      </c>
      <c r="J2230" s="5" t="inlineStr">
        <is>
          <t>Full-Time</t>
        </is>
      </c>
      <c r="K2230" s="7" t="n">
        <v>45907</v>
      </c>
      <c r="L2230" s="7" t="inlineStr"/>
      <c r="M2230" s="5" t="inlineStr">
        <is>
          <t>Yes</t>
        </is>
      </c>
      <c r="N2230" s="5" t="inlineStr"/>
      <c r="O2230" s="8" t="inlineStr">
        <is>
          <t>160500</t>
        </is>
      </c>
      <c r="P2230" s="5" t="inlineStr">
        <is>
          <t>0</t>
        </is>
      </c>
      <c r="Q2230" s="5" t="inlineStr">
        <is>
          <t>4</t>
        </is>
      </c>
      <c r="R2230" s="5" t="inlineStr">
        <is>
          <t>10</t>
        </is>
      </c>
      <c r="S2230" s="5" t="inlineStr">
        <is>
          <t>3</t>
        </is>
      </c>
      <c r="T2230" s="5" t="inlineStr">
        <is>
          <t>0</t>
        </is>
      </c>
      <c r="U2230" s="5">
        <f>IFS(C2230&lt;30,"Under 30",C2230&lt;40,"30-39",C2230&lt;50,"40-49",TRUE,"50+")</f>
        <v/>
      </c>
      <c r="V2230" s="5">
        <f>IFS(O2230&lt;60000,"Low (&lt;60k)",O2230&lt;100000,"Mid (60-100k)",TRUE,"High (100k+)")</f>
        <v/>
      </c>
      <c r="W2230" s="5">
        <f>IF(M2230="No","Attrited","Active")</f>
        <v/>
      </c>
    </row>
    <row r="2231">
      <c r="A2231" s="5" t="inlineStr">
        <is>
          <t>E02230</t>
        </is>
      </c>
      <c r="B2231" s="5" t="inlineStr">
        <is>
          <t>Male</t>
        </is>
      </c>
      <c r="C2231" s="6" t="inlineStr">
        <is>
          <t>40</t>
        </is>
      </c>
      <c r="D2231" s="5" t="inlineStr">
        <is>
          <t>Single</t>
        </is>
      </c>
      <c r="E2231" s="5" t="inlineStr">
        <is>
          <t>Master</t>
        </is>
      </c>
      <c r="F2231" s="5" t="inlineStr">
        <is>
          <t>Customer Support</t>
        </is>
      </c>
      <c r="G2231" s="5" t="inlineStr">
        <is>
          <t>Support Agent</t>
        </is>
      </c>
      <c r="H2231" s="5" t="inlineStr">
        <is>
          <t>7</t>
        </is>
      </c>
      <c r="I2231" s="5" t="inlineStr">
        <is>
          <t>Delhi</t>
        </is>
      </c>
      <c r="J2231" s="5" t="inlineStr">
        <is>
          <t>Full-Time</t>
        </is>
      </c>
      <c r="K2231" s="7" t="n">
        <v>45827</v>
      </c>
      <c r="L2231" s="7" t="inlineStr"/>
      <c r="M2231" s="5" t="inlineStr">
        <is>
          <t>Yes</t>
        </is>
      </c>
      <c r="N2231" s="5" t="inlineStr"/>
      <c r="O2231" s="8" t="inlineStr">
        <is>
          <t>100000</t>
        </is>
      </c>
      <c r="P2231" s="5" t="inlineStr">
        <is>
          <t>10</t>
        </is>
      </c>
      <c r="Q2231" s="5" t="inlineStr">
        <is>
          <t>3</t>
        </is>
      </c>
      <c r="R2231" s="5" t="inlineStr">
        <is>
          <t>8</t>
        </is>
      </c>
      <c r="S2231" s="5" t="inlineStr">
        <is>
          <t>6</t>
        </is>
      </c>
      <c r="T2231" s="5" t="inlineStr">
        <is>
          <t>8</t>
        </is>
      </c>
      <c r="U2231" s="5">
        <f>IFS(C2231&lt;30,"Under 30",C2231&lt;40,"30-39",C2231&lt;50,"40-49",TRUE,"50+")</f>
        <v/>
      </c>
      <c r="V2231" s="5">
        <f>IFS(O2231&lt;60000,"Low (&lt;60k)",O2231&lt;100000,"Mid (60-100k)",TRUE,"High (100k+)")</f>
        <v/>
      </c>
      <c r="W2231" s="5">
        <f>IF(M2231="No","Attrited","Active")</f>
        <v/>
      </c>
    </row>
    <row r="2232">
      <c r="A2232" s="5" t="inlineStr">
        <is>
          <t>E02231</t>
        </is>
      </c>
      <c r="B2232" s="5" t="inlineStr">
        <is>
          <t>Female</t>
        </is>
      </c>
      <c r="C2232" s="6" t="inlineStr">
        <is>
          <t>34</t>
        </is>
      </c>
      <c r="D2232" s="5" t="inlineStr">
        <is>
          <t>Divorced</t>
        </is>
      </c>
      <c r="E2232" s="5" t="inlineStr">
        <is>
          <t>Diploma</t>
        </is>
      </c>
      <c r="F2232" s="5" t="inlineStr">
        <is>
          <t>Customer Support</t>
        </is>
      </c>
      <c r="G2232" s="5" t="inlineStr">
        <is>
          <t>Support Lead</t>
        </is>
      </c>
      <c r="H2232" s="5" t="inlineStr">
        <is>
          <t>2</t>
        </is>
      </c>
      <c r="I2232" s="5" t="inlineStr">
        <is>
          <t>Mumbai</t>
        </is>
      </c>
      <c r="J2232" s="5" t="inlineStr">
        <is>
          <t>Full-Time</t>
        </is>
      </c>
      <c r="K2232" s="7" t="n">
        <v>44075</v>
      </c>
      <c r="L2232" s="7" t="n">
        <v>44108</v>
      </c>
      <c r="M2232" s="5" t="inlineStr">
        <is>
          <t>No</t>
        </is>
      </c>
      <c r="N2232" s="5" t="inlineStr">
        <is>
          <t>Retirement</t>
        </is>
      </c>
      <c r="O2232" s="8" t="inlineStr">
        <is>
          <t>73500</t>
        </is>
      </c>
      <c r="P2232" s="5" t="inlineStr">
        <is>
          <t>0</t>
        </is>
      </c>
      <c r="Q2232" s="5" t="inlineStr">
        <is>
          <t>4</t>
        </is>
      </c>
      <c r="R2232" s="5" t="inlineStr">
        <is>
          <t>8</t>
        </is>
      </c>
      <c r="S2232" s="5" t="inlineStr">
        <is>
          <t>1</t>
        </is>
      </c>
      <c r="T2232" s="5" t="inlineStr">
        <is>
          <t>4</t>
        </is>
      </c>
      <c r="U2232" s="5">
        <f>IFS(C2232&lt;30,"Under 30",C2232&lt;40,"30-39",C2232&lt;50,"40-49",TRUE,"50+")</f>
        <v/>
      </c>
      <c r="V2232" s="5">
        <f>IFS(O2232&lt;60000,"Low (&lt;60k)",O2232&lt;100000,"Mid (60-100k)",TRUE,"High (100k+)")</f>
        <v/>
      </c>
      <c r="W2232" s="5">
        <f>IF(M2232="No","Attrited","Active")</f>
        <v/>
      </c>
    </row>
    <row r="2233">
      <c r="A2233" s="5" t="inlineStr">
        <is>
          <t>E02232</t>
        </is>
      </c>
      <c r="B2233" s="5" t="inlineStr">
        <is>
          <t>Male</t>
        </is>
      </c>
      <c r="C2233" s="6" t="inlineStr">
        <is>
          <t>31</t>
        </is>
      </c>
      <c r="D2233" s="5" t="inlineStr">
        <is>
          <t>Married</t>
        </is>
      </c>
      <c r="E2233" s="5" t="inlineStr">
        <is>
          <t>High School</t>
        </is>
      </c>
      <c r="F2233" s="5" t="inlineStr">
        <is>
          <t>IT</t>
        </is>
      </c>
      <c r="G2233" s="5" t="inlineStr">
        <is>
          <t>IT Support</t>
        </is>
      </c>
      <c r="H2233" s="5" t="inlineStr">
        <is>
          <t>5</t>
        </is>
      </c>
      <c r="I2233" s="5" t="inlineStr">
        <is>
          <t>Mumbai</t>
        </is>
      </c>
      <c r="J2233" s="5" t="inlineStr">
        <is>
          <t>Full-Time</t>
        </is>
      </c>
      <c r="K2233" s="7" t="n">
        <v>45463</v>
      </c>
      <c r="L2233" s="7" t="inlineStr"/>
      <c r="M2233" s="5" t="inlineStr">
        <is>
          <t>Yes</t>
        </is>
      </c>
      <c r="N2233" s="5" t="inlineStr"/>
      <c r="O2233" s="8" t="inlineStr">
        <is>
          <t>172000</t>
        </is>
      </c>
      <c r="P2233" s="5" t="inlineStr">
        <is>
          <t>0</t>
        </is>
      </c>
      <c r="Q2233" s="5" t="inlineStr">
        <is>
          <t>3</t>
        </is>
      </c>
      <c r="R2233" s="5" t="inlineStr">
        <is>
          <t>4</t>
        </is>
      </c>
      <c r="S2233" s="5" t="inlineStr">
        <is>
          <t>18</t>
        </is>
      </c>
      <c r="T2233" s="5" t="inlineStr">
        <is>
          <t>0</t>
        </is>
      </c>
      <c r="U2233" s="5">
        <f>IFS(C2233&lt;30,"Under 30",C2233&lt;40,"30-39",C2233&lt;50,"40-49",TRUE,"50+")</f>
        <v/>
      </c>
      <c r="V2233" s="5">
        <f>IFS(O2233&lt;60000,"Low (&lt;60k)",O2233&lt;100000,"Mid (60-100k)",TRUE,"High (100k+)")</f>
        <v/>
      </c>
      <c r="W2233" s="5">
        <f>IF(M2233="No","Attrited","Active")</f>
        <v/>
      </c>
    </row>
    <row r="2234">
      <c r="A2234" s="5" t="inlineStr">
        <is>
          <t>E02233</t>
        </is>
      </c>
      <c r="B2234" s="5" t="inlineStr">
        <is>
          <t>Male</t>
        </is>
      </c>
      <c r="C2234" s="6" t="inlineStr">
        <is>
          <t>38</t>
        </is>
      </c>
      <c r="D2234" s="5" t="inlineStr">
        <is>
          <t>Single</t>
        </is>
      </c>
      <c r="E2234" s="5" t="inlineStr">
        <is>
          <t>Bachelor</t>
        </is>
      </c>
      <c r="F2234" s="5" t="inlineStr">
        <is>
          <t>Research &amp; Development</t>
        </is>
      </c>
      <c r="G2234" s="5" t="inlineStr">
        <is>
          <t>Data Scientist</t>
        </is>
      </c>
      <c r="H2234" s="5" t="inlineStr">
        <is>
          <t>7</t>
        </is>
      </c>
      <c r="I2234" s="5" t="inlineStr">
        <is>
          <t>Mumbai</t>
        </is>
      </c>
      <c r="J2234" s="5" t="inlineStr">
        <is>
          <t>Full-Time</t>
        </is>
      </c>
      <c r="K2234" s="7" t="n">
        <v>43864</v>
      </c>
      <c r="L2234" s="7" t="inlineStr"/>
      <c r="M2234" s="5" t="inlineStr">
        <is>
          <t>Yes</t>
        </is>
      </c>
      <c r="N2234" s="5" t="inlineStr"/>
      <c r="O2234" s="8" t="inlineStr">
        <is>
          <t>301500</t>
        </is>
      </c>
      <c r="P2234" s="5" t="inlineStr">
        <is>
          <t>10</t>
        </is>
      </c>
      <c r="Q2234" s="5" t="inlineStr">
        <is>
          <t>4</t>
        </is>
      </c>
      <c r="R2234" s="5" t="inlineStr">
        <is>
          <t>8</t>
        </is>
      </c>
      <c r="S2234" s="5" t="inlineStr">
        <is>
          <t>71</t>
        </is>
      </c>
      <c r="T2234" s="5" t="inlineStr">
        <is>
          <t>0</t>
        </is>
      </c>
      <c r="U2234" s="5">
        <f>IFS(C2234&lt;30,"Under 30",C2234&lt;40,"30-39",C2234&lt;50,"40-49",TRUE,"50+")</f>
        <v/>
      </c>
      <c r="V2234" s="5">
        <f>IFS(O2234&lt;60000,"Low (&lt;60k)",O2234&lt;100000,"Mid (60-100k)",TRUE,"High (100k+)")</f>
        <v/>
      </c>
      <c r="W2234" s="5">
        <f>IF(M2234="No","Attrited","Active")</f>
        <v/>
      </c>
    </row>
    <row r="2235">
      <c r="A2235" s="5" t="inlineStr">
        <is>
          <t>E02234</t>
        </is>
      </c>
      <c r="B2235" s="5" t="inlineStr">
        <is>
          <t>Female</t>
        </is>
      </c>
      <c r="C2235" s="6" t="inlineStr">
        <is>
          <t>30</t>
        </is>
      </c>
      <c r="D2235" s="5" t="inlineStr">
        <is>
          <t>Single</t>
        </is>
      </c>
      <c r="E2235" s="5" t="inlineStr">
        <is>
          <t>Diploma</t>
        </is>
      </c>
      <c r="F2235" s="5" t="inlineStr">
        <is>
          <t>Operations</t>
        </is>
      </c>
      <c r="G2235" s="5" t="inlineStr">
        <is>
          <t>Operations Analyst</t>
        </is>
      </c>
      <c r="H2235" s="5" t="inlineStr">
        <is>
          <t>2</t>
        </is>
      </c>
      <c r="I2235" s="5" t="inlineStr">
        <is>
          <t>Chennai</t>
        </is>
      </c>
      <c r="J2235" s="5" t="inlineStr">
        <is>
          <t>Full-Time</t>
        </is>
      </c>
      <c r="K2235" s="7" t="n">
        <v>44565</v>
      </c>
      <c r="L2235" s="7" t="inlineStr"/>
      <c r="M2235" s="5" t="inlineStr">
        <is>
          <t>Yes</t>
        </is>
      </c>
      <c r="N2235" s="5" t="inlineStr"/>
      <c r="O2235" s="8" t="inlineStr">
        <is>
          <t>79500</t>
        </is>
      </c>
      <c r="P2235" s="5" t="inlineStr">
        <is>
          <t>5</t>
        </is>
      </c>
      <c r="Q2235" s="5" t="inlineStr">
        <is>
          <t>5</t>
        </is>
      </c>
      <c r="R2235" s="5" t="inlineStr">
        <is>
          <t>8</t>
        </is>
      </c>
      <c r="S2235" s="5" t="inlineStr">
        <is>
          <t>48</t>
        </is>
      </c>
      <c r="T2235" s="5" t="inlineStr">
        <is>
          <t>14</t>
        </is>
      </c>
      <c r="U2235" s="5">
        <f>IFS(C2235&lt;30,"Under 30",C2235&lt;40,"30-39",C2235&lt;50,"40-49",TRUE,"50+")</f>
        <v/>
      </c>
      <c r="V2235" s="5">
        <f>IFS(O2235&lt;60000,"Low (&lt;60k)",O2235&lt;100000,"Mid (60-100k)",TRUE,"High (100k+)")</f>
        <v/>
      </c>
      <c r="W2235" s="5">
        <f>IF(M2235="No","Attrited","Active")</f>
        <v/>
      </c>
    </row>
    <row r="2236">
      <c r="A2236" s="5" t="inlineStr">
        <is>
          <t>E02235</t>
        </is>
      </c>
      <c r="B2236" s="5" t="inlineStr">
        <is>
          <t>Female</t>
        </is>
      </c>
      <c r="C2236" s="6" t="inlineStr">
        <is>
          <t>35</t>
        </is>
      </c>
      <c r="D2236" s="5" t="inlineStr">
        <is>
          <t>Single</t>
        </is>
      </c>
      <c r="E2236" s="5" t="inlineStr">
        <is>
          <t>PhD</t>
        </is>
      </c>
      <c r="F2236" s="5" t="inlineStr">
        <is>
          <t>Sales</t>
        </is>
      </c>
      <c r="G2236" s="5" t="inlineStr">
        <is>
          <t>Business Development</t>
        </is>
      </c>
      <c r="H2236" s="5" t="inlineStr">
        <is>
          <t>6</t>
        </is>
      </c>
      <c r="I2236" s="5" t="inlineStr">
        <is>
          <t>Delhi</t>
        </is>
      </c>
      <c r="J2236" s="5" t="inlineStr">
        <is>
          <t>Full-Time</t>
        </is>
      </c>
      <c r="K2236" s="7" t="n">
        <v>44428</v>
      </c>
      <c r="L2236" s="7" t="inlineStr"/>
      <c r="M2236" s="5" t="inlineStr">
        <is>
          <t>Yes</t>
        </is>
      </c>
      <c r="N2236" s="5" t="inlineStr"/>
      <c r="O2236" s="8" t="inlineStr">
        <is>
          <t>161000</t>
        </is>
      </c>
      <c r="P2236" s="5" t="inlineStr">
        <is>
          <t>0</t>
        </is>
      </c>
      <c r="Q2236" s="5" t="inlineStr">
        <is>
          <t>5</t>
        </is>
      </c>
      <c r="R2236" s="5" t="inlineStr">
        <is>
          <t>4</t>
        </is>
      </c>
      <c r="S2236" s="5" t="inlineStr">
        <is>
          <t>53</t>
        </is>
      </c>
      <c r="T2236" s="5" t="inlineStr">
        <is>
          <t>6</t>
        </is>
      </c>
      <c r="U2236" s="5">
        <f>IFS(C2236&lt;30,"Under 30",C2236&lt;40,"30-39",C2236&lt;50,"40-49",TRUE,"50+")</f>
        <v/>
      </c>
      <c r="V2236" s="5">
        <f>IFS(O2236&lt;60000,"Low (&lt;60k)",O2236&lt;100000,"Mid (60-100k)",TRUE,"High (100k+)")</f>
        <v/>
      </c>
      <c r="W2236" s="5">
        <f>IF(M2236="No","Attrited","Active")</f>
        <v/>
      </c>
    </row>
    <row r="2237">
      <c r="A2237" s="5" t="inlineStr">
        <is>
          <t>E02236</t>
        </is>
      </c>
      <c r="B2237" s="5" t="inlineStr">
        <is>
          <t>Male</t>
        </is>
      </c>
      <c r="C2237" s="6" t="inlineStr">
        <is>
          <t>28</t>
        </is>
      </c>
      <c r="D2237" s="5" t="inlineStr">
        <is>
          <t>Married</t>
        </is>
      </c>
      <c r="E2237" s="5" t="inlineStr">
        <is>
          <t>High School</t>
        </is>
      </c>
      <c r="F2237" s="5" t="inlineStr">
        <is>
          <t>IT</t>
        </is>
      </c>
      <c r="G2237" s="5" t="inlineStr">
        <is>
          <t>DevOps Engineer</t>
        </is>
      </c>
      <c r="H2237" s="5" t="inlineStr">
        <is>
          <t>2</t>
        </is>
      </c>
      <c r="I2237" s="5" t="inlineStr">
        <is>
          <t>Remote</t>
        </is>
      </c>
      <c r="J2237" s="5" t="inlineStr">
        <is>
          <t>Contract</t>
        </is>
      </c>
      <c r="K2237" s="7" t="n">
        <v>45217</v>
      </c>
      <c r="L2237" s="7" t="inlineStr"/>
      <c r="M2237" s="5" t="inlineStr">
        <is>
          <t>Yes</t>
        </is>
      </c>
      <c r="N2237" s="5" t="inlineStr"/>
      <c r="O2237" s="8" t="inlineStr">
        <is>
          <t>119500</t>
        </is>
      </c>
      <c r="P2237" s="5" t="inlineStr">
        <is>
          <t>5</t>
        </is>
      </c>
      <c r="Q2237" s="5" t="inlineStr">
        <is>
          <t>5</t>
        </is>
      </c>
      <c r="R2237" s="5" t="inlineStr">
        <is>
          <t>4</t>
        </is>
      </c>
      <c r="S2237" s="5" t="inlineStr">
        <is>
          <t>26</t>
        </is>
      </c>
      <c r="T2237" s="5" t="inlineStr">
        <is>
          <t>3</t>
        </is>
      </c>
      <c r="U2237" s="5">
        <f>IFS(C2237&lt;30,"Under 30",C2237&lt;40,"30-39",C2237&lt;50,"40-49",TRUE,"50+")</f>
        <v/>
      </c>
      <c r="V2237" s="5">
        <f>IFS(O2237&lt;60000,"Low (&lt;60k)",O2237&lt;100000,"Mid (60-100k)",TRUE,"High (100k+)")</f>
        <v/>
      </c>
      <c r="W2237" s="5">
        <f>IF(M2237="No","Attrited","Active")</f>
        <v/>
      </c>
    </row>
    <row r="2238">
      <c r="A2238" s="5" t="inlineStr">
        <is>
          <t>E02237</t>
        </is>
      </c>
      <c r="B2238" s="5" t="inlineStr">
        <is>
          <t>Female</t>
        </is>
      </c>
      <c r="C2238" s="6" t="inlineStr">
        <is>
          <t>33</t>
        </is>
      </c>
      <c r="D2238" s="5" t="inlineStr">
        <is>
          <t>Single</t>
        </is>
      </c>
      <c r="E2238" s="5" t="inlineStr">
        <is>
          <t>PhD</t>
        </is>
      </c>
      <c r="F2238" s="5" t="inlineStr">
        <is>
          <t>Customer Support</t>
        </is>
      </c>
      <c r="G2238" s="5" t="inlineStr">
        <is>
          <t>Escalation Specialist</t>
        </is>
      </c>
      <c r="H2238" s="5" t="inlineStr">
        <is>
          <t>1</t>
        </is>
      </c>
      <c r="I2238" s="5" t="inlineStr">
        <is>
          <t>Mumbai</t>
        </is>
      </c>
      <c r="J2238" s="5" t="inlineStr">
        <is>
          <t>Full-Time</t>
        </is>
      </c>
      <c r="K2238" s="7" t="n">
        <v>44263</v>
      </c>
      <c r="L2238" s="7" t="inlineStr"/>
      <c r="M2238" s="5" t="inlineStr">
        <is>
          <t>Yes</t>
        </is>
      </c>
      <c r="N2238" s="5" t="inlineStr"/>
      <c r="O2238" s="8" t="inlineStr">
        <is>
          <t>71500</t>
        </is>
      </c>
      <c r="P2238" s="5" t="inlineStr">
        <is>
          <t>5</t>
        </is>
      </c>
      <c r="Q2238" s="5" t="inlineStr">
        <is>
          <t>3</t>
        </is>
      </c>
      <c r="R2238" s="5" t="inlineStr">
        <is>
          <t>3</t>
        </is>
      </c>
      <c r="S2238" s="5" t="inlineStr">
        <is>
          <t>58</t>
        </is>
      </c>
      <c r="T2238" s="5" t="inlineStr">
        <is>
          <t>5</t>
        </is>
      </c>
      <c r="U2238" s="5">
        <f>IFS(C2238&lt;30,"Under 30",C2238&lt;40,"30-39",C2238&lt;50,"40-49",TRUE,"50+")</f>
        <v/>
      </c>
      <c r="V2238" s="5">
        <f>IFS(O2238&lt;60000,"Low (&lt;60k)",O2238&lt;100000,"Mid (60-100k)",TRUE,"High (100k+)")</f>
        <v/>
      </c>
      <c r="W2238" s="5">
        <f>IF(M2238="No","Attrited","Active")</f>
        <v/>
      </c>
    </row>
    <row r="2239">
      <c r="A2239" s="5" t="inlineStr">
        <is>
          <t>E02238</t>
        </is>
      </c>
      <c r="B2239" s="5" t="inlineStr">
        <is>
          <t>Female</t>
        </is>
      </c>
      <c r="C2239" s="6" t="inlineStr">
        <is>
          <t>29</t>
        </is>
      </c>
      <c r="D2239" s="5" t="inlineStr">
        <is>
          <t>Married</t>
        </is>
      </c>
      <c r="E2239" s="5" t="inlineStr">
        <is>
          <t>Bachelor</t>
        </is>
      </c>
      <c r="F2239" s="5" t="inlineStr">
        <is>
          <t>Marketing</t>
        </is>
      </c>
      <c r="G2239" s="5" t="inlineStr">
        <is>
          <t>SEO Specialist</t>
        </is>
      </c>
      <c r="H2239" s="5" t="inlineStr">
        <is>
          <t>1</t>
        </is>
      </c>
      <c r="I2239" s="5" t="inlineStr">
        <is>
          <t>Mumbai</t>
        </is>
      </c>
      <c r="J2239" s="5" t="inlineStr">
        <is>
          <t>Full-Time</t>
        </is>
      </c>
      <c r="K2239" s="7" t="n">
        <v>45020</v>
      </c>
      <c r="L2239" s="7" t="n">
        <v>45053</v>
      </c>
      <c r="M2239" s="5" t="inlineStr">
        <is>
          <t>No</t>
        </is>
      </c>
      <c r="N2239" s="5" t="inlineStr">
        <is>
          <t>Resigned</t>
        </is>
      </c>
      <c r="O2239" s="8" t="inlineStr">
        <is>
          <t>78000</t>
        </is>
      </c>
      <c r="P2239" s="5" t="inlineStr">
        <is>
          <t>10</t>
        </is>
      </c>
      <c r="Q2239" s="5" t="inlineStr">
        <is>
          <t>3</t>
        </is>
      </c>
      <c r="R2239" s="5" t="inlineStr">
        <is>
          <t>8</t>
        </is>
      </c>
      <c r="S2239" s="5" t="inlineStr">
        <is>
          <t>1</t>
        </is>
      </c>
      <c r="T2239" s="5" t="inlineStr">
        <is>
          <t>17</t>
        </is>
      </c>
      <c r="U2239" s="5">
        <f>IFS(C2239&lt;30,"Under 30",C2239&lt;40,"30-39",C2239&lt;50,"40-49",TRUE,"50+")</f>
        <v/>
      </c>
      <c r="V2239" s="5">
        <f>IFS(O2239&lt;60000,"Low (&lt;60k)",O2239&lt;100000,"Mid (60-100k)",TRUE,"High (100k+)")</f>
        <v/>
      </c>
      <c r="W2239" s="5">
        <f>IF(M2239="No","Attrited","Active")</f>
        <v/>
      </c>
    </row>
    <row r="2240">
      <c r="A2240" s="5" t="inlineStr">
        <is>
          <t>E02239</t>
        </is>
      </c>
      <c r="B2240" s="5" t="inlineStr">
        <is>
          <t>Female</t>
        </is>
      </c>
      <c r="C2240" s="6" t="inlineStr">
        <is>
          <t>29</t>
        </is>
      </c>
      <c r="D2240" s="5" t="inlineStr">
        <is>
          <t>Married</t>
        </is>
      </c>
      <c r="E2240" s="5" t="inlineStr">
        <is>
          <t>Bachelor</t>
        </is>
      </c>
      <c r="F2240" s="5" t="inlineStr">
        <is>
          <t>Operations</t>
        </is>
      </c>
      <c r="G2240" s="5" t="inlineStr">
        <is>
          <t>Operations Analyst</t>
        </is>
      </c>
      <c r="H2240" s="5" t="inlineStr">
        <is>
          <t>1</t>
        </is>
      </c>
      <c r="I2240" s="5" t="inlineStr">
        <is>
          <t>Delhi</t>
        </is>
      </c>
      <c r="J2240" s="5" t="inlineStr">
        <is>
          <t>Full-Time</t>
        </is>
      </c>
      <c r="K2240" s="7" t="n">
        <v>45400</v>
      </c>
      <c r="L2240" s="7" t="inlineStr"/>
      <c r="M2240" s="5" t="inlineStr">
        <is>
          <t>Yes</t>
        </is>
      </c>
      <c r="N2240" s="5" t="inlineStr"/>
      <c r="O2240" s="8" t="inlineStr">
        <is>
          <t>59000</t>
        </is>
      </c>
      <c r="P2240" s="5" t="inlineStr">
        <is>
          <t>15</t>
        </is>
      </c>
      <c r="Q2240" s="5" t="inlineStr">
        <is>
          <t>2</t>
        </is>
      </c>
      <c r="R2240" s="5" t="inlineStr">
        <is>
          <t>3</t>
        </is>
      </c>
      <c r="S2240" s="5" t="inlineStr">
        <is>
          <t>20</t>
        </is>
      </c>
      <c r="T2240" s="5" t="inlineStr">
        <is>
          <t>5</t>
        </is>
      </c>
      <c r="U2240" s="5">
        <f>IFS(C2240&lt;30,"Under 30",C2240&lt;40,"30-39",C2240&lt;50,"40-49",TRUE,"50+")</f>
        <v/>
      </c>
      <c r="V2240" s="5">
        <f>IFS(O2240&lt;60000,"Low (&lt;60k)",O2240&lt;100000,"Mid (60-100k)",TRUE,"High (100k+)")</f>
        <v/>
      </c>
      <c r="W2240" s="5">
        <f>IF(M2240="No","Attrited","Active")</f>
        <v/>
      </c>
    </row>
    <row r="2241">
      <c r="A2241" s="5" t="inlineStr">
        <is>
          <t>E02240</t>
        </is>
      </c>
      <c r="B2241" s="5" t="inlineStr">
        <is>
          <t>Female</t>
        </is>
      </c>
      <c r="C2241" s="6" t="inlineStr">
        <is>
          <t>29</t>
        </is>
      </c>
      <c r="D2241" s="5" t="inlineStr">
        <is>
          <t>Single</t>
        </is>
      </c>
      <c r="E2241" s="5" t="inlineStr">
        <is>
          <t>High School</t>
        </is>
      </c>
      <c r="F2241" s="5" t="inlineStr">
        <is>
          <t>IT</t>
        </is>
      </c>
      <c r="G2241" s="5" t="inlineStr">
        <is>
          <t>DevOps Engineer</t>
        </is>
      </c>
      <c r="H2241" s="5" t="inlineStr">
        <is>
          <t>1</t>
        </is>
      </c>
      <c r="I2241" s="5" t="inlineStr">
        <is>
          <t>Hyderabad</t>
        </is>
      </c>
      <c r="J2241" s="5" t="inlineStr">
        <is>
          <t>Full-Time</t>
        </is>
      </c>
      <c r="K2241" s="7" t="n">
        <v>44527</v>
      </c>
      <c r="L2241" s="7" t="inlineStr"/>
      <c r="M2241" s="5" t="inlineStr">
        <is>
          <t>Yes</t>
        </is>
      </c>
      <c r="N2241" s="5" t="inlineStr"/>
      <c r="O2241" s="8" t="inlineStr">
        <is>
          <t>90500</t>
        </is>
      </c>
      <c r="P2241" s="5" t="inlineStr">
        <is>
          <t>0</t>
        </is>
      </c>
      <c r="Q2241" s="5" t="inlineStr">
        <is>
          <t>3</t>
        </is>
      </c>
      <c r="R2241" s="5" t="inlineStr">
        <is>
          <t>8</t>
        </is>
      </c>
      <c r="S2241" s="5" t="inlineStr">
        <is>
          <t>49</t>
        </is>
      </c>
      <c r="T2241" s="5" t="inlineStr">
        <is>
          <t>10</t>
        </is>
      </c>
      <c r="U2241" s="5">
        <f>IFS(C2241&lt;30,"Under 30",C2241&lt;40,"30-39",C2241&lt;50,"40-49",TRUE,"50+")</f>
        <v/>
      </c>
      <c r="V2241" s="5">
        <f>IFS(O2241&lt;60000,"Low (&lt;60k)",O2241&lt;100000,"Mid (60-100k)",TRUE,"High (100k+)")</f>
        <v/>
      </c>
      <c r="W2241" s="5">
        <f>IF(M2241="No","Attrited","Active")</f>
        <v/>
      </c>
    </row>
    <row r="2242">
      <c r="A2242" s="5" t="inlineStr">
        <is>
          <t>E02241</t>
        </is>
      </c>
      <c r="B2242" s="5" t="inlineStr">
        <is>
          <t>Male</t>
        </is>
      </c>
      <c r="C2242" s="6" t="inlineStr">
        <is>
          <t>40</t>
        </is>
      </c>
      <c r="D2242" s="5" t="inlineStr">
        <is>
          <t>Single</t>
        </is>
      </c>
      <c r="E2242" s="5" t="inlineStr">
        <is>
          <t>High School</t>
        </is>
      </c>
      <c r="F2242" s="5" t="inlineStr">
        <is>
          <t>IT</t>
        </is>
      </c>
      <c r="G2242" s="5" t="inlineStr">
        <is>
          <t>DevOps Engineer</t>
        </is>
      </c>
      <c r="H2242" s="5" t="inlineStr">
        <is>
          <t>5</t>
        </is>
      </c>
      <c r="I2242" s="5" t="inlineStr">
        <is>
          <t>Mumbai</t>
        </is>
      </c>
      <c r="J2242" s="5" t="inlineStr">
        <is>
          <t>Full-Time</t>
        </is>
      </c>
      <c r="K2242" s="7" t="n">
        <v>44456</v>
      </c>
      <c r="L2242" s="7" t="inlineStr"/>
      <c r="M2242" s="5" t="inlineStr">
        <is>
          <t>Yes</t>
        </is>
      </c>
      <c r="N2242" s="5" t="inlineStr"/>
      <c r="O2242" s="8" t="inlineStr">
        <is>
          <t>140500</t>
        </is>
      </c>
      <c r="P2242" s="5" t="inlineStr">
        <is>
          <t>0</t>
        </is>
      </c>
      <c r="Q2242" s="5" t="inlineStr">
        <is>
          <t>5</t>
        </is>
      </c>
      <c r="R2242" s="5" t="inlineStr">
        <is>
          <t>6</t>
        </is>
      </c>
      <c r="S2242" s="5" t="inlineStr">
        <is>
          <t>52</t>
        </is>
      </c>
      <c r="T2242" s="5" t="inlineStr">
        <is>
          <t>4</t>
        </is>
      </c>
      <c r="U2242" s="5">
        <f>IFS(C2242&lt;30,"Under 30",C2242&lt;40,"30-39",C2242&lt;50,"40-49",TRUE,"50+")</f>
        <v/>
      </c>
      <c r="V2242" s="5">
        <f>IFS(O2242&lt;60000,"Low (&lt;60k)",O2242&lt;100000,"Mid (60-100k)",TRUE,"High (100k+)")</f>
        <v/>
      </c>
      <c r="W2242" s="5">
        <f>IF(M2242="No","Attrited","Active")</f>
        <v/>
      </c>
    </row>
    <row r="2243">
      <c r="A2243" s="5" t="inlineStr">
        <is>
          <t>E02242</t>
        </is>
      </c>
      <c r="B2243" s="5" t="inlineStr">
        <is>
          <t>Male</t>
        </is>
      </c>
      <c r="C2243" s="6" t="inlineStr">
        <is>
          <t>34</t>
        </is>
      </c>
      <c r="D2243" s="5" t="inlineStr">
        <is>
          <t>Married</t>
        </is>
      </c>
      <c r="E2243" s="5" t="inlineStr">
        <is>
          <t>PhD</t>
        </is>
      </c>
      <c r="F2243" s="5" t="inlineStr">
        <is>
          <t>Finance</t>
        </is>
      </c>
      <c r="G2243" s="5" t="inlineStr">
        <is>
          <t>Accountant</t>
        </is>
      </c>
      <c r="H2243" s="5" t="inlineStr">
        <is>
          <t>4</t>
        </is>
      </c>
      <c r="I2243" s="5" t="inlineStr">
        <is>
          <t>Remote</t>
        </is>
      </c>
      <c r="J2243" s="5" t="inlineStr">
        <is>
          <t>Full-Time</t>
        </is>
      </c>
      <c r="K2243" s="7" t="n">
        <v>43930</v>
      </c>
      <c r="L2243" s="7" t="inlineStr"/>
      <c r="M2243" s="5" t="inlineStr">
        <is>
          <t>Yes</t>
        </is>
      </c>
      <c r="N2243" s="5" t="inlineStr"/>
      <c r="O2243" s="8" t="inlineStr">
        <is>
          <t>155000</t>
        </is>
      </c>
      <c r="P2243" s="5" t="inlineStr">
        <is>
          <t>15</t>
        </is>
      </c>
      <c r="Q2243" s="5" t="inlineStr">
        <is>
          <t>3</t>
        </is>
      </c>
      <c r="R2243" s="5" t="inlineStr">
        <is>
          <t>5</t>
        </is>
      </c>
      <c r="S2243" s="5" t="inlineStr">
        <is>
          <t>69</t>
        </is>
      </c>
      <c r="T2243" s="5" t="inlineStr">
        <is>
          <t>1</t>
        </is>
      </c>
      <c r="U2243" s="5">
        <f>IFS(C2243&lt;30,"Under 30",C2243&lt;40,"30-39",C2243&lt;50,"40-49",TRUE,"50+")</f>
        <v/>
      </c>
      <c r="V2243" s="5">
        <f>IFS(O2243&lt;60000,"Low (&lt;60k)",O2243&lt;100000,"Mid (60-100k)",TRUE,"High (100k+)")</f>
        <v/>
      </c>
      <c r="W2243" s="5">
        <f>IF(M2243="No","Attrited","Active")</f>
        <v/>
      </c>
    </row>
    <row r="2244">
      <c r="A2244" s="5" t="inlineStr">
        <is>
          <t>E02243</t>
        </is>
      </c>
      <c r="B2244" s="5" t="inlineStr">
        <is>
          <t>Male</t>
        </is>
      </c>
      <c r="C2244" s="6" t="inlineStr">
        <is>
          <t>42</t>
        </is>
      </c>
      <c r="D2244" s="5" t="inlineStr">
        <is>
          <t>Married</t>
        </is>
      </c>
      <c r="E2244" s="5" t="inlineStr">
        <is>
          <t>Diploma</t>
        </is>
      </c>
      <c r="F2244" s="5" t="inlineStr">
        <is>
          <t>Sales</t>
        </is>
      </c>
      <c r="G2244" s="5" t="inlineStr">
        <is>
          <t>Business Development</t>
        </is>
      </c>
      <c r="H2244" s="5" t="inlineStr">
        <is>
          <t>5</t>
        </is>
      </c>
      <c r="I2244" s="5" t="inlineStr">
        <is>
          <t>Hyderabad</t>
        </is>
      </c>
      <c r="J2244" s="5" t="inlineStr">
        <is>
          <t>Full-Time</t>
        </is>
      </c>
      <c r="K2244" s="7" t="n">
        <v>44602</v>
      </c>
      <c r="L2244" s="7" t="n">
        <v>44719</v>
      </c>
      <c r="M2244" s="5" t="inlineStr">
        <is>
          <t>No</t>
        </is>
      </c>
      <c r="N2244" s="5" t="inlineStr">
        <is>
          <t>Retirement</t>
        </is>
      </c>
      <c r="O2244" s="8" t="inlineStr">
        <is>
          <t>106000</t>
        </is>
      </c>
      <c r="P2244" s="5" t="inlineStr">
        <is>
          <t>0</t>
        </is>
      </c>
      <c r="Q2244" s="5" t="inlineStr">
        <is>
          <t>4</t>
        </is>
      </c>
      <c r="R2244" s="5" t="inlineStr">
        <is>
          <t>4</t>
        </is>
      </c>
      <c r="S2244" s="5" t="inlineStr">
        <is>
          <t>3</t>
        </is>
      </c>
      <c r="T2244" s="5" t="inlineStr">
        <is>
          <t>4</t>
        </is>
      </c>
      <c r="U2244" s="5">
        <f>IFS(C2244&lt;30,"Under 30",C2244&lt;40,"30-39",C2244&lt;50,"40-49",TRUE,"50+")</f>
        <v/>
      </c>
      <c r="V2244" s="5">
        <f>IFS(O2244&lt;60000,"Low (&lt;60k)",O2244&lt;100000,"Mid (60-100k)",TRUE,"High (100k+)")</f>
        <v/>
      </c>
      <c r="W2244" s="5">
        <f>IF(M2244="No","Attrited","Active")</f>
        <v/>
      </c>
    </row>
    <row r="2245">
      <c r="A2245" s="5" t="inlineStr">
        <is>
          <t>E02244</t>
        </is>
      </c>
      <c r="B2245" s="5" t="inlineStr">
        <is>
          <t>Male</t>
        </is>
      </c>
      <c r="C2245" s="6" t="inlineStr">
        <is>
          <t>45</t>
        </is>
      </c>
      <c r="D2245" s="5" t="inlineStr">
        <is>
          <t>Single</t>
        </is>
      </c>
      <c r="E2245" s="5" t="inlineStr">
        <is>
          <t>High School</t>
        </is>
      </c>
      <c r="F2245" s="5" t="inlineStr">
        <is>
          <t>Customer Support</t>
        </is>
      </c>
      <c r="G2245" s="5" t="inlineStr">
        <is>
          <t>Support Agent</t>
        </is>
      </c>
      <c r="H2245" s="5" t="inlineStr">
        <is>
          <t>7</t>
        </is>
      </c>
      <c r="I2245" s="5" t="inlineStr">
        <is>
          <t>Chennai</t>
        </is>
      </c>
      <c r="J2245" s="5" t="inlineStr">
        <is>
          <t>Full-Time</t>
        </is>
      </c>
      <c r="K2245" s="7" t="n">
        <v>45011</v>
      </c>
      <c r="L2245" s="7" t="inlineStr"/>
      <c r="M2245" s="5" t="inlineStr">
        <is>
          <t>Yes</t>
        </is>
      </c>
      <c r="N2245" s="5" t="inlineStr"/>
      <c r="O2245" s="8" t="inlineStr">
        <is>
          <t>84000</t>
        </is>
      </c>
      <c r="P2245" s="5" t="inlineStr">
        <is>
          <t>10</t>
        </is>
      </c>
      <c r="Q2245" s="5" t="inlineStr">
        <is>
          <t>1</t>
        </is>
      </c>
      <c r="R2245" s="5" t="inlineStr">
        <is>
          <t>8</t>
        </is>
      </c>
      <c r="S2245" s="5" t="inlineStr">
        <is>
          <t>33</t>
        </is>
      </c>
      <c r="T2245" s="5" t="inlineStr">
        <is>
          <t>12</t>
        </is>
      </c>
      <c r="U2245" s="5">
        <f>IFS(C2245&lt;30,"Under 30",C2245&lt;40,"30-39",C2245&lt;50,"40-49",TRUE,"50+")</f>
        <v/>
      </c>
      <c r="V2245" s="5">
        <f>IFS(O2245&lt;60000,"Low (&lt;60k)",O2245&lt;100000,"Mid (60-100k)",TRUE,"High (100k+)")</f>
        <v/>
      </c>
      <c r="W2245" s="5">
        <f>IF(M2245="No","Attrited","Active")</f>
        <v/>
      </c>
    </row>
    <row r="2246">
      <c r="A2246" s="5" t="inlineStr">
        <is>
          <t>E02245</t>
        </is>
      </c>
      <c r="B2246" s="5" t="inlineStr">
        <is>
          <t>Female</t>
        </is>
      </c>
      <c r="C2246" s="6" t="inlineStr">
        <is>
          <t>41</t>
        </is>
      </c>
      <c r="D2246" s="5" t="inlineStr">
        <is>
          <t>Divorced</t>
        </is>
      </c>
      <c r="E2246" s="5" t="inlineStr">
        <is>
          <t>Master</t>
        </is>
      </c>
      <c r="F2246" s="5" t="inlineStr">
        <is>
          <t>Operations</t>
        </is>
      </c>
      <c r="G2246" s="5" t="inlineStr">
        <is>
          <t>Quality Analyst</t>
        </is>
      </c>
      <c r="H2246" s="5" t="inlineStr">
        <is>
          <t>6</t>
        </is>
      </c>
      <c r="I2246" s="5" t="inlineStr">
        <is>
          <t>Chennai</t>
        </is>
      </c>
      <c r="J2246" s="5" t="inlineStr">
        <is>
          <t>Full-Time</t>
        </is>
      </c>
      <c r="K2246" s="7" t="n">
        <v>45934</v>
      </c>
      <c r="L2246" s="7" t="inlineStr"/>
      <c r="M2246" s="5" t="inlineStr">
        <is>
          <t>Yes</t>
        </is>
      </c>
      <c r="N2246" s="5" t="inlineStr"/>
      <c r="O2246" s="8" t="inlineStr">
        <is>
          <t>158000</t>
        </is>
      </c>
      <c r="P2246" s="5" t="inlineStr">
        <is>
          <t>5</t>
        </is>
      </c>
      <c r="Q2246" s="5" t="inlineStr">
        <is>
          <t>3</t>
        </is>
      </c>
      <c r="R2246" s="5" t="inlineStr">
        <is>
          <t>6</t>
        </is>
      </c>
      <c r="S2246" s="5" t="inlineStr">
        <is>
          <t>2</t>
        </is>
      </c>
      <c r="T2246" s="5" t="inlineStr">
        <is>
          <t>3</t>
        </is>
      </c>
      <c r="U2246" s="5">
        <f>IFS(C2246&lt;30,"Under 30",C2246&lt;40,"30-39",C2246&lt;50,"40-49",TRUE,"50+")</f>
        <v/>
      </c>
      <c r="V2246" s="5">
        <f>IFS(O2246&lt;60000,"Low (&lt;60k)",O2246&lt;100000,"Mid (60-100k)",TRUE,"High (100k+)")</f>
        <v/>
      </c>
      <c r="W2246" s="5">
        <f>IF(M2246="No","Attrited","Active")</f>
        <v/>
      </c>
    </row>
    <row r="2247">
      <c r="A2247" s="5" t="inlineStr">
        <is>
          <t>E02246</t>
        </is>
      </c>
      <c r="B2247" s="5" t="inlineStr">
        <is>
          <t>Male</t>
        </is>
      </c>
      <c r="C2247" s="6" t="inlineStr">
        <is>
          <t>27</t>
        </is>
      </c>
      <c r="D2247" s="5" t="inlineStr">
        <is>
          <t>Married</t>
        </is>
      </c>
      <c r="E2247" s="5" t="inlineStr">
        <is>
          <t>Master</t>
        </is>
      </c>
      <c r="F2247" s="5" t="inlineStr">
        <is>
          <t>Sales</t>
        </is>
      </c>
      <c r="G2247" s="5" t="inlineStr">
        <is>
          <t>Business Development</t>
        </is>
      </c>
      <c r="H2247" s="5" t="inlineStr">
        <is>
          <t>1</t>
        </is>
      </c>
      <c r="I2247" s="5" t="inlineStr">
        <is>
          <t>Hyderabad</t>
        </is>
      </c>
      <c r="J2247" s="5" t="inlineStr">
        <is>
          <t>Full-Time</t>
        </is>
      </c>
      <c r="K2247" s="7" t="n">
        <v>45678</v>
      </c>
      <c r="L2247" s="7" t="inlineStr"/>
      <c r="M2247" s="5" t="inlineStr">
        <is>
          <t>Yes</t>
        </is>
      </c>
      <c r="N2247" s="5" t="inlineStr"/>
      <c r="O2247" s="8" t="inlineStr">
        <is>
          <t>63000</t>
        </is>
      </c>
      <c r="P2247" s="5" t="inlineStr">
        <is>
          <t>0</t>
        </is>
      </c>
      <c r="Q2247" s="5" t="inlineStr">
        <is>
          <t>3</t>
        </is>
      </c>
      <c r="R2247" s="5" t="inlineStr">
        <is>
          <t>3</t>
        </is>
      </c>
      <c r="S2247" s="5" t="inlineStr">
        <is>
          <t>11</t>
        </is>
      </c>
      <c r="T2247" s="5" t="inlineStr">
        <is>
          <t>4</t>
        </is>
      </c>
      <c r="U2247" s="5">
        <f>IFS(C2247&lt;30,"Under 30",C2247&lt;40,"30-39",C2247&lt;50,"40-49",TRUE,"50+")</f>
        <v/>
      </c>
      <c r="V2247" s="5">
        <f>IFS(O2247&lt;60000,"Low (&lt;60k)",O2247&lt;100000,"Mid (60-100k)",TRUE,"High (100k+)")</f>
        <v/>
      </c>
      <c r="W2247" s="5">
        <f>IF(M2247="No","Attrited","Active")</f>
        <v/>
      </c>
    </row>
    <row r="2248">
      <c r="A2248" s="5" t="inlineStr">
        <is>
          <t>E02247</t>
        </is>
      </c>
      <c r="B2248" s="5" t="inlineStr">
        <is>
          <t>Female</t>
        </is>
      </c>
      <c r="C2248" s="6" t="inlineStr">
        <is>
          <t>34</t>
        </is>
      </c>
      <c r="D2248" s="5" t="inlineStr">
        <is>
          <t>Married</t>
        </is>
      </c>
      <c r="E2248" s="5" t="inlineStr">
        <is>
          <t>Master</t>
        </is>
      </c>
      <c r="F2248" s="5" t="inlineStr">
        <is>
          <t>Operations</t>
        </is>
      </c>
      <c r="G2248" s="5" t="inlineStr">
        <is>
          <t>Operations Analyst</t>
        </is>
      </c>
      <c r="H2248" s="5" t="inlineStr">
        <is>
          <t>1</t>
        </is>
      </c>
      <c r="I2248" s="5" t="inlineStr">
        <is>
          <t>Bengaluru</t>
        </is>
      </c>
      <c r="J2248" s="5" t="inlineStr">
        <is>
          <t>Full-Time</t>
        </is>
      </c>
      <c r="K2248" s="7" t="n">
        <v>44546</v>
      </c>
      <c r="L2248" s="7" t="inlineStr"/>
      <c r="M2248" s="5" t="inlineStr">
        <is>
          <t>Yes</t>
        </is>
      </c>
      <c r="N2248" s="5" t="inlineStr"/>
      <c r="O2248" s="8" t="inlineStr">
        <is>
          <t>61500</t>
        </is>
      </c>
      <c r="P2248" s="5" t="inlineStr">
        <is>
          <t>5</t>
        </is>
      </c>
      <c r="Q2248" s="5" t="inlineStr">
        <is>
          <t>4</t>
        </is>
      </c>
      <c r="R2248" s="5" t="inlineStr">
        <is>
          <t>6</t>
        </is>
      </c>
      <c r="S2248" s="5" t="inlineStr">
        <is>
          <t>49</t>
        </is>
      </c>
      <c r="T2248" s="5" t="inlineStr">
        <is>
          <t>0</t>
        </is>
      </c>
      <c r="U2248" s="5">
        <f>IFS(C2248&lt;30,"Under 30",C2248&lt;40,"30-39",C2248&lt;50,"40-49",TRUE,"50+")</f>
        <v/>
      </c>
      <c r="V2248" s="5">
        <f>IFS(O2248&lt;60000,"Low (&lt;60k)",O2248&lt;100000,"Mid (60-100k)",TRUE,"High (100k+)")</f>
        <v/>
      </c>
      <c r="W2248" s="5">
        <f>IF(M2248="No","Attrited","Active")</f>
        <v/>
      </c>
    </row>
    <row r="2249">
      <c r="A2249" s="5" t="inlineStr">
        <is>
          <t>E02248</t>
        </is>
      </c>
      <c r="B2249" s="5" t="inlineStr">
        <is>
          <t>Female</t>
        </is>
      </c>
      <c r="C2249" s="6" t="inlineStr">
        <is>
          <t>30</t>
        </is>
      </c>
      <c r="D2249" s="5" t="inlineStr">
        <is>
          <t>Single</t>
        </is>
      </c>
      <c r="E2249" s="5" t="inlineStr">
        <is>
          <t>PhD</t>
        </is>
      </c>
      <c r="F2249" s="5" t="inlineStr">
        <is>
          <t>Sales</t>
        </is>
      </c>
      <c r="G2249" s="5" t="inlineStr">
        <is>
          <t>Account Executive</t>
        </is>
      </c>
      <c r="H2249" s="5" t="inlineStr">
        <is>
          <t>3</t>
        </is>
      </c>
      <c r="I2249" s="5" t="inlineStr">
        <is>
          <t>Mumbai</t>
        </is>
      </c>
      <c r="J2249" s="5" t="inlineStr">
        <is>
          <t>Full-Time</t>
        </is>
      </c>
      <c r="K2249" s="7" t="n">
        <v>45545</v>
      </c>
      <c r="L2249" s="7" t="inlineStr"/>
      <c r="M2249" s="5" t="inlineStr">
        <is>
          <t>Yes</t>
        </is>
      </c>
      <c r="N2249" s="5" t="inlineStr"/>
      <c r="O2249" s="8" t="inlineStr">
        <is>
          <t>96500</t>
        </is>
      </c>
      <c r="P2249" s="5" t="inlineStr">
        <is>
          <t>10</t>
        </is>
      </c>
      <c r="Q2249" s="5" t="inlineStr">
        <is>
          <t>3</t>
        </is>
      </c>
      <c r="R2249" s="5" t="inlineStr">
        <is>
          <t>7</t>
        </is>
      </c>
      <c r="S2249" s="5" t="inlineStr">
        <is>
          <t>15</t>
        </is>
      </c>
      <c r="T2249" s="5" t="inlineStr">
        <is>
          <t>11</t>
        </is>
      </c>
      <c r="U2249" s="5">
        <f>IFS(C2249&lt;30,"Under 30",C2249&lt;40,"30-39",C2249&lt;50,"40-49",TRUE,"50+")</f>
        <v/>
      </c>
      <c r="V2249" s="5">
        <f>IFS(O2249&lt;60000,"Low (&lt;60k)",O2249&lt;100000,"Mid (60-100k)",TRUE,"High (100k+)")</f>
        <v/>
      </c>
      <c r="W2249" s="5">
        <f>IF(M2249="No","Attrited","Active")</f>
        <v/>
      </c>
    </row>
    <row r="2250">
      <c r="A2250" s="5" t="inlineStr">
        <is>
          <t>E02249</t>
        </is>
      </c>
      <c r="B2250" s="5" t="inlineStr">
        <is>
          <t>Female</t>
        </is>
      </c>
      <c r="C2250" s="6" t="inlineStr">
        <is>
          <t>25</t>
        </is>
      </c>
      <c r="D2250" s="5" t="inlineStr">
        <is>
          <t>Single</t>
        </is>
      </c>
      <c r="E2250" s="5" t="inlineStr">
        <is>
          <t>High School</t>
        </is>
      </c>
      <c r="F2250" s="5" t="inlineStr">
        <is>
          <t>IT</t>
        </is>
      </c>
      <c r="G2250" s="5" t="inlineStr">
        <is>
          <t>DevOps Engineer</t>
        </is>
      </c>
      <c r="H2250" s="5" t="inlineStr">
        <is>
          <t>2</t>
        </is>
      </c>
      <c r="I2250" s="5" t="inlineStr">
        <is>
          <t>Mumbai</t>
        </is>
      </c>
      <c r="J2250" s="5" t="inlineStr">
        <is>
          <t>Full-Time</t>
        </is>
      </c>
      <c r="K2250" s="7" t="n">
        <v>43850</v>
      </c>
      <c r="L2250" s="7" t="inlineStr"/>
      <c r="M2250" s="5" t="inlineStr">
        <is>
          <t>Yes</t>
        </is>
      </c>
      <c r="N2250" s="5" t="inlineStr"/>
      <c r="O2250" s="8" t="inlineStr">
        <is>
          <t>102000</t>
        </is>
      </c>
      <c r="P2250" s="5" t="inlineStr">
        <is>
          <t>0</t>
        </is>
      </c>
      <c r="Q2250" s="5" t="inlineStr">
        <is>
          <t>3</t>
        </is>
      </c>
      <c r="R2250" s="5" t="inlineStr">
        <is>
          <t>4</t>
        </is>
      </c>
      <c r="S2250" s="5" t="inlineStr">
        <is>
          <t>72</t>
        </is>
      </c>
      <c r="T2250" s="5" t="inlineStr">
        <is>
          <t>0</t>
        </is>
      </c>
      <c r="U2250" s="5">
        <f>IFS(C2250&lt;30,"Under 30",C2250&lt;40,"30-39",C2250&lt;50,"40-49",TRUE,"50+")</f>
        <v/>
      </c>
      <c r="V2250" s="5">
        <f>IFS(O2250&lt;60000,"Low (&lt;60k)",O2250&lt;100000,"Mid (60-100k)",TRUE,"High (100k+)")</f>
        <v/>
      </c>
      <c r="W2250" s="5">
        <f>IF(M2250="No","Attrited","Active")</f>
        <v/>
      </c>
    </row>
    <row r="2251">
      <c r="A2251" s="5" t="inlineStr">
        <is>
          <t>E02250</t>
        </is>
      </c>
      <c r="B2251" s="5" t="inlineStr">
        <is>
          <t>Male</t>
        </is>
      </c>
      <c r="C2251" s="6" t="inlineStr">
        <is>
          <t>36</t>
        </is>
      </c>
      <c r="D2251" s="5" t="inlineStr">
        <is>
          <t>Married</t>
        </is>
      </c>
      <c r="E2251" s="5" t="inlineStr">
        <is>
          <t>Master</t>
        </is>
      </c>
      <c r="F2251" s="5" t="inlineStr">
        <is>
          <t>Finance</t>
        </is>
      </c>
      <c r="G2251" s="5" t="inlineStr">
        <is>
          <t>Accountant</t>
        </is>
      </c>
      <c r="H2251" s="5" t="inlineStr">
        <is>
          <t>2</t>
        </is>
      </c>
      <c r="I2251" s="5" t="inlineStr">
        <is>
          <t>Chennai</t>
        </is>
      </c>
      <c r="J2251" s="5" t="inlineStr">
        <is>
          <t>Full-Time</t>
        </is>
      </c>
      <c r="K2251" s="7" t="n">
        <v>44224</v>
      </c>
      <c r="L2251" s="7" t="inlineStr"/>
      <c r="M2251" s="5" t="inlineStr">
        <is>
          <t>Yes</t>
        </is>
      </c>
      <c r="N2251" s="5" t="inlineStr"/>
      <c r="O2251" s="8" t="inlineStr">
        <is>
          <t>98000</t>
        </is>
      </c>
      <c r="P2251" s="5" t="inlineStr">
        <is>
          <t>10</t>
        </is>
      </c>
      <c r="Q2251" s="5" t="inlineStr">
        <is>
          <t>4</t>
        </is>
      </c>
      <c r="R2251" s="5" t="inlineStr">
        <is>
          <t>9</t>
        </is>
      </c>
      <c r="S2251" s="5" t="inlineStr">
        <is>
          <t>59</t>
        </is>
      </c>
      <c r="T2251" s="5" t="inlineStr">
        <is>
          <t>4</t>
        </is>
      </c>
      <c r="U2251" s="5">
        <f>IFS(C2251&lt;30,"Under 30",C2251&lt;40,"30-39",C2251&lt;50,"40-49",TRUE,"50+")</f>
        <v/>
      </c>
      <c r="V2251" s="5">
        <f>IFS(O2251&lt;60000,"Low (&lt;60k)",O2251&lt;100000,"Mid (60-100k)",TRUE,"High (100k+)")</f>
        <v/>
      </c>
      <c r="W2251" s="5">
        <f>IF(M2251="No","Attrited","Active")</f>
        <v/>
      </c>
    </row>
    <row r="2252">
      <c r="A2252" s="5" t="inlineStr">
        <is>
          <t>E02251</t>
        </is>
      </c>
      <c r="B2252" s="5" t="inlineStr">
        <is>
          <t>Female</t>
        </is>
      </c>
      <c r="C2252" s="6" t="inlineStr">
        <is>
          <t>29</t>
        </is>
      </c>
      <c r="D2252" s="5" t="inlineStr">
        <is>
          <t>Married</t>
        </is>
      </c>
      <c r="E2252" s="5" t="inlineStr">
        <is>
          <t>Diploma</t>
        </is>
      </c>
      <c r="F2252" s="5" t="inlineStr">
        <is>
          <t>Operations</t>
        </is>
      </c>
      <c r="G2252" s="5" t="inlineStr">
        <is>
          <t>Operations Analyst</t>
        </is>
      </c>
      <c r="H2252" s="5" t="inlineStr">
        <is>
          <t>1</t>
        </is>
      </c>
      <c r="I2252" s="5" t="inlineStr">
        <is>
          <t>Hyderabad</t>
        </is>
      </c>
      <c r="J2252" s="5" t="inlineStr">
        <is>
          <t>Part-Time</t>
        </is>
      </c>
      <c r="K2252" s="7" t="n">
        <v>44910</v>
      </c>
      <c r="L2252" s="7" t="inlineStr"/>
      <c r="M2252" s="5" t="inlineStr">
        <is>
          <t>Yes</t>
        </is>
      </c>
      <c r="N2252" s="5" t="inlineStr"/>
      <c r="O2252" s="8" t="inlineStr">
        <is>
          <t>98000</t>
        </is>
      </c>
      <c r="P2252" s="5" t="inlineStr">
        <is>
          <t>0</t>
        </is>
      </c>
      <c r="Q2252" s="5" t="inlineStr">
        <is>
          <t>3</t>
        </is>
      </c>
      <c r="R2252" s="5" t="inlineStr">
        <is>
          <t>9</t>
        </is>
      </c>
      <c r="S2252" s="5" t="inlineStr">
        <is>
          <t>37</t>
        </is>
      </c>
      <c r="T2252" s="5" t="inlineStr">
        <is>
          <t>9</t>
        </is>
      </c>
      <c r="U2252" s="5">
        <f>IFS(C2252&lt;30,"Under 30",C2252&lt;40,"30-39",C2252&lt;50,"40-49",TRUE,"50+")</f>
        <v/>
      </c>
      <c r="V2252" s="5">
        <f>IFS(O2252&lt;60000,"Low (&lt;60k)",O2252&lt;100000,"Mid (60-100k)",TRUE,"High (100k+)")</f>
        <v/>
      </c>
      <c r="W2252" s="5">
        <f>IF(M2252="No","Attrited","Active")</f>
        <v/>
      </c>
    </row>
    <row r="2253">
      <c r="A2253" s="5" t="inlineStr">
        <is>
          <t>E02252</t>
        </is>
      </c>
      <c r="B2253" s="5" t="inlineStr">
        <is>
          <t>Female</t>
        </is>
      </c>
      <c r="C2253" s="6" t="inlineStr">
        <is>
          <t>35</t>
        </is>
      </c>
      <c r="D2253" s="5" t="inlineStr">
        <is>
          <t>Married</t>
        </is>
      </c>
      <c r="E2253" s="5" t="inlineStr">
        <is>
          <t>Bachelor</t>
        </is>
      </c>
      <c r="F2253" s="5" t="inlineStr">
        <is>
          <t>Finance</t>
        </is>
      </c>
      <c r="G2253" s="5" t="inlineStr">
        <is>
          <t>Accountant</t>
        </is>
      </c>
      <c r="H2253" s="5" t="inlineStr">
        <is>
          <t>2</t>
        </is>
      </c>
      <c r="I2253" s="5" t="inlineStr">
        <is>
          <t>Mumbai</t>
        </is>
      </c>
      <c r="J2253" s="5" t="inlineStr">
        <is>
          <t>Part-Time</t>
        </is>
      </c>
      <c r="K2253" s="7" t="n">
        <v>45320</v>
      </c>
      <c r="L2253" s="7" t="inlineStr"/>
      <c r="M2253" s="5" t="inlineStr">
        <is>
          <t>Yes</t>
        </is>
      </c>
      <c r="N2253" s="5" t="inlineStr"/>
      <c r="O2253" s="8" t="inlineStr">
        <is>
          <t>90500</t>
        </is>
      </c>
      <c r="P2253" s="5" t="inlineStr">
        <is>
          <t>5</t>
        </is>
      </c>
      <c r="Q2253" s="5" t="inlineStr">
        <is>
          <t>5</t>
        </is>
      </c>
      <c r="R2253" s="5" t="inlineStr">
        <is>
          <t>7</t>
        </is>
      </c>
      <c r="S2253" s="5" t="inlineStr">
        <is>
          <t>23</t>
        </is>
      </c>
      <c r="T2253" s="5" t="inlineStr">
        <is>
          <t>6</t>
        </is>
      </c>
      <c r="U2253" s="5">
        <f>IFS(C2253&lt;30,"Under 30",C2253&lt;40,"30-39",C2253&lt;50,"40-49",TRUE,"50+")</f>
        <v/>
      </c>
      <c r="V2253" s="5">
        <f>IFS(O2253&lt;60000,"Low (&lt;60k)",O2253&lt;100000,"Mid (60-100k)",TRUE,"High (100k+)")</f>
        <v/>
      </c>
      <c r="W2253" s="5">
        <f>IF(M2253="No","Attrited","Active")</f>
        <v/>
      </c>
    </row>
    <row r="2254">
      <c r="A2254" s="5" t="inlineStr">
        <is>
          <t>E02253</t>
        </is>
      </c>
      <c r="B2254" s="5" t="inlineStr">
        <is>
          <t>Male</t>
        </is>
      </c>
      <c r="C2254" s="6" t="inlineStr">
        <is>
          <t>32</t>
        </is>
      </c>
      <c r="D2254" s="5" t="inlineStr">
        <is>
          <t>Married</t>
        </is>
      </c>
      <c r="E2254" s="5" t="inlineStr">
        <is>
          <t>Bachelor</t>
        </is>
      </c>
      <c r="F2254" s="5" t="inlineStr">
        <is>
          <t>Customer Support</t>
        </is>
      </c>
      <c r="G2254" s="5" t="inlineStr">
        <is>
          <t>Support Lead</t>
        </is>
      </c>
      <c r="H2254" s="5" t="inlineStr">
        <is>
          <t>4</t>
        </is>
      </c>
      <c r="I2254" s="5" t="inlineStr">
        <is>
          <t>Hyderabad</t>
        </is>
      </c>
      <c r="J2254" s="5" t="inlineStr">
        <is>
          <t>Full-Time</t>
        </is>
      </c>
      <c r="K2254" s="7" t="n">
        <v>44008</v>
      </c>
      <c r="L2254" s="7" t="n">
        <v>44126</v>
      </c>
      <c r="M2254" s="5" t="inlineStr">
        <is>
          <t>No</t>
        </is>
      </c>
      <c r="N2254" s="5" t="inlineStr">
        <is>
          <t>Layoff</t>
        </is>
      </c>
      <c r="O2254" s="8" t="inlineStr">
        <is>
          <t>82000</t>
        </is>
      </c>
      <c r="P2254" s="5" t="inlineStr">
        <is>
          <t>5</t>
        </is>
      </c>
      <c r="Q2254" s="5" t="inlineStr">
        <is>
          <t>3</t>
        </is>
      </c>
      <c r="R2254" s="5" t="inlineStr">
        <is>
          <t>6</t>
        </is>
      </c>
      <c r="S2254" s="5" t="inlineStr">
        <is>
          <t>3</t>
        </is>
      </c>
      <c r="T2254" s="5" t="inlineStr">
        <is>
          <t>6</t>
        </is>
      </c>
      <c r="U2254" s="5">
        <f>IFS(C2254&lt;30,"Under 30",C2254&lt;40,"30-39",C2254&lt;50,"40-49",TRUE,"50+")</f>
        <v/>
      </c>
      <c r="V2254" s="5">
        <f>IFS(O2254&lt;60000,"Low (&lt;60k)",O2254&lt;100000,"Mid (60-100k)",TRUE,"High (100k+)")</f>
        <v/>
      </c>
      <c r="W2254" s="5">
        <f>IF(M2254="No","Attrited","Active")</f>
        <v/>
      </c>
    </row>
    <row r="2255">
      <c r="A2255" s="5" t="inlineStr">
        <is>
          <t>E02254</t>
        </is>
      </c>
      <c r="B2255" s="5" t="inlineStr">
        <is>
          <t>Male</t>
        </is>
      </c>
      <c r="C2255" s="6" t="inlineStr">
        <is>
          <t>27</t>
        </is>
      </c>
      <c r="D2255" s="5" t="inlineStr">
        <is>
          <t>Single</t>
        </is>
      </c>
      <c r="E2255" s="5" t="inlineStr">
        <is>
          <t>High School</t>
        </is>
      </c>
      <c r="F2255" s="5" t="inlineStr">
        <is>
          <t>Finance</t>
        </is>
      </c>
      <c r="G2255" s="5" t="inlineStr">
        <is>
          <t>Credit Analyst</t>
        </is>
      </c>
      <c r="H2255" s="5" t="inlineStr">
        <is>
          <t>3</t>
        </is>
      </c>
      <c r="I2255" s="5" t="inlineStr">
        <is>
          <t>Mumbai</t>
        </is>
      </c>
      <c r="J2255" s="5" t="inlineStr">
        <is>
          <t>Full-Time</t>
        </is>
      </c>
      <c r="K2255" s="7" t="n">
        <v>45092</v>
      </c>
      <c r="L2255" s="7" t="inlineStr"/>
      <c r="M2255" s="5" t="inlineStr">
        <is>
          <t>Yes</t>
        </is>
      </c>
      <c r="N2255" s="5" t="inlineStr"/>
      <c r="O2255" s="8" t="inlineStr">
        <is>
          <t>126000</t>
        </is>
      </c>
      <c r="P2255" s="5" t="inlineStr">
        <is>
          <t>10</t>
        </is>
      </c>
      <c r="Q2255" s="5" t="inlineStr">
        <is>
          <t>5</t>
        </is>
      </c>
      <c r="R2255" s="5" t="inlineStr">
        <is>
          <t>6</t>
        </is>
      </c>
      <c r="S2255" s="5" t="inlineStr">
        <is>
          <t>31</t>
        </is>
      </c>
      <c r="T2255" s="5" t="inlineStr">
        <is>
          <t>1</t>
        </is>
      </c>
      <c r="U2255" s="5">
        <f>IFS(C2255&lt;30,"Under 30",C2255&lt;40,"30-39",C2255&lt;50,"40-49",TRUE,"50+")</f>
        <v/>
      </c>
      <c r="V2255" s="5">
        <f>IFS(O2255&lt;60000,"Low (&lt;60k)",O2255&lt;100000,"Mid (60-100k)",TRUE,"High (100k+)")</f>
        <v/>
      </c>
      <c r="W2255" s="5">
        <f>IF(M2255="No","Attrited","Active")</f>
        <v/>
      </c>
    </row>
    <row r="2256">
      <c r="A2256" s="5" t="inlineStr">
        <is>
          <t>E02255</t>
        </is>
      </c>
      <c r="B2256" s="5" t="inlineStr">
        <is>
          <t>Female</t>
        </is>
      </c>
      <c r="C2256" s="6" t="inlineStr">
        <is>
          <t>37</t>
        </is>
      </c>
      <c r="D2256" s="5" t="inlineStr">
        <is>
          <t>Married</t>
        </is>
      </c>
      <c r="E2256" s="5" t="inlineStr">
        <is>
          <t>PhD</t>
        </is>
      </c>
      <c r="F2256" s="5" t="inlineStr">
        <is>
          <t>Human Resources</t>
        </is>
      </c>
      <c r="G2256" s="5" t="inlineStr">
        <is>
          <t>HR Analyst</t>
        </is>
      </c>
      <c r="H2256" s="5" t="inlineStr">
        <is>
          <t>5</t>
        </is>
      </c>
      <c r="I2256" s="5" t="inlineStr">
        <is>
          <t>Hyderabad</t>
        </is>
      </c>
      <c r="J2256" s="5" t="inlineStr">
        <is>
          <t>Full-Time</t>
        </is>
      </c>
      <c r="K2256" s="7" t="n">
        <v>45044</v>
      </c>
      <c r="L2256" s="7" t="inlineStr"/>
      <c r="M2256" s="5" t="inlineStr">
        <is>
          <t>Yes</t>
        </is>
      </c>
      <c r="N2256" s="5" t="inlineStr"/>
      <c r="O2256" s="8" t="inlineStr">
        <is>
          <t>101000</t>
        </is>
      </c>
      <c r="P2256" s="5" t="inlineStr">
        <is>
          <t>0</t>
        </is>
      </c>
      <c r="Q2256" s="5" t="inlineStr">
        <is>
          <t>5</t>
        </is>
      </c>
      <c r="R2256" s="5" t="inlineStr">
        <is>
          <t>5</t>
        </is>
      </c>
      <c r="S2256" s="5" t="inlineStr">
        <is>
          <t>32</t>
        </is>
      </c>
      <c r="T2256" s="5" t="inlineStr">
        <is>
          <t>2</t>
        </is>
      </c>
      <c r="U2256" s="5">
        <f>IFS(C2256&lt;30,"Under 30",C2256&lt;40,"30-39",C2256&lt;50,"40-49",TRUE,"50+")</f>
        <v/>
      </c>
      <c r="V2256" s="5">
        <f>IFS(O2256&lt;60000,"Low (&lt;60k)",O2256&lt;100000,"Mid (60-100k)",TRUE,"High (100k+)")</f>
        <v/>
      </c>
      <c r="W2256" s="5">
        <f>IF(M2256="No","Attrited","Active")</f>
        <v/>
      </c>
    </row>
    <row r="2257">
      <c r="A2257" s="5" t="inlineStr">
        <is>
          <t>E02256</t>
        </is>
      </c>
      <c r="B2257" s="5" t="inlineStr">
        <is>
          <t>Male</t>
        </is>
      </c>
      <c r="C2257" s="6" t="inlineStr">
        <is>
          <t>35</t>
        </is>
      </c>
      <c r="D2257" s="5" t="inlineStr">
        <is>
          <t>Single</t>
        </is>
      </c>
      <c r="E2257" s="5" t="inlineStr">
        <is>
          <t>PhD</t>
        </is>
      </c>
      <c r="F2257" s="5" t="inlineStr">
        <is>
          <t>IT</t>
        </is>
      </c>
      <c r="G2257" s="5" t="inlineStr">
        <is>
          <t>DevOps Engineer</t>
        </is>
      </c>
      <c r="H2257" s="5" t="inlineStr">
        <is>
          <t>6</t>
        </is>
      </c>
      <c r="I2257" s="5" t="inlineStr">
        <is>
          <t>Remote</t>
        </is>
      </c>
      <c r="J2257" s="5" t="inlineStr">
        <is>
          <t>Full-Time</t>
        </is>
      </c>
      <c r="K2257" s="7" t="n">
        <v>45919</v>
      </c>
      <c r="L2257" s="7" t="inlineStr"/>
      <c r="M2257" s="5" t="inlineStr">
        <is>
          <t>Yes</t>
        </is>
      </c>
      <c r="N2257" s="5" t="inlineStr"/>
      <c r="O2257" s="8" t="inlineStr">
        <is>
          <t>224000</t>
        </is>
      </c>
      <c r="P2257" s="5" t="inlineStr">
        <is>
          <t>10</t>
        </is>
      </c>
      <c r="Q2257" s="5" t="inlineStr">
        <is>
          <t>3</t>
        </is>
      </c>
      <c r="R2257" s="5" t="inlineStr">
        <is>
          <t>6</t>
        </is>
      </c>
      <c r="S2257" s="5" t="inlineStr">
        <is>
          <t>3</t>
        </is>
      </c>
      <c r="T2257" s="5" t="inlineStr">
        <is>
          <t>1</t>
        </is>
      </c>
      <c r="U2257" s="5">
        <f>IFS(C2257&lt;30,"Under 30",C2257&lt;40,"30-39",C2257&lt;50,"40-49",TRUE,"50+")</f>
        <v/>
      </c>
      <c r="V2257" s="5">
        <f>IFS(O2257&lt;60000,"Low (&lt;60k)",O2257&lt;100000,"Mid (60-100k)",TRUE,"High (100k+)")</f>
        <v/>
      </c>
      <c r="W2257" s="5">
        <f>IF(M2257="No","Attrited","Active")</f>
        <v/>
      </c>
    </row>
    <row r="2258">
      <c r="A2258" s="5" t="inlineStr">
        <is>
          <t>E02257</t>
        </is>
      </c>
      <c r="B2258" s="5" t="inlineStr">
        <is>
          <t>Female</t>
        </is>
      </c>
      <c r="C2258" s="6" t="inlineStr">
        <is>
          <t>30</t>
        </is>
      </c>
      <c r="D2258" s="5" t="inlineStr">
        <is>
          <t>Single</t>
        </is>
      </c>
      <c r="E2258" s="5" t="inlineStr">
        <is>
          <t>PhD</t>
        </is>
      </c>
      <c r="F2258" s="5" t="inlineStr">
        <is>
          <t>Research &amp; Development</t>
        </is>
      </c>
      <c r="G2258" s="5" t="inlineStr">
        <is>
          <t>Data Scientist</t>
        </is>
      </c>
      <c r="H2258" s="5" t="inlineStr">
        <is>
          <t>1</t>
        </is>
      </c>
      <c r="I2258" s="5" t="inlineStr">
        <is>
          <t>Bengaluru</t>
        </is>
      </c>
      <c r="J2258" s="5" t="inlineStr">
        <is>
          <t>Full-Time</t>
        </is>
      </c>
      <c r="K2258" s="7" t="n">
        <v>44363</v>
      </c>
      <c r="L2258" s="7" t="n">
        <v>44496</v>
      </c>
      <c r="M2258" s="5" t="inlineStr">
        <is>
          <t>No</t>
        </is>
      </c>
      <c r="N2258" s="5" t="inlineStr">
        <is>
          <t>Layoff</t>
        </is>
      </c>
      <c r="O2258" s="8" t="inlineStr">
        <is>
          <t>113000</t>
        </is>
      </c>
      <c r="P2258" s="5" t="inlineStr">
        <is>
          <t>5</t>
        </is>
      </c>
      <c r="Q2258" s="5" t="inlineStr">
        <is>
          <t>4</t>
        </is>
      </c>
      <c r="R2258" s="5" t="inlineStr">
        <is>
          <t>4</t>
        </is>
      </c>
      <c r="S2258" s="5" t="inlineStr">
        <is>
          <t>4</t>
        </is>
      </c>
      <c r="T2258" s="5" t="inlineStr">
        <is>
          <t>0</t>
        </is>
      </c>
      <c r="U2258" s="5">
        <f>IFS(C2258&lt;30,"Under 30",C2258&lt;40,"30-39",C2258&lt;50,"40-49",TRUE,"50+")</f>
        <v/>
      </c>
      <c r="V2258" s="5">
        <f>IFS(O2258&lt;60000,"Low (&lt;60k)",O2258&lt;100000,"Mid (60-100k)",TRUE,"High (100k+)")</f>
        <v/>
      </c>
      <c r="W2258" s="5">
        <f>IF(M2258="No","Attrited","Active")</f>
        <v/>
      </c>
    </row>
    <row r="2259">
      <c r="A2259" s="5" t="inlineStr">
        <is>
          <t>E02258</t>
        </is>
      </c>
      <c r="B2259" s="5" t="inlineStr">
        <is>
          <t>Female</t>
        </is>
      </c>
      <c r="C2259" s="6" t="inlineStr">
        <is>
          <t>37</t>
        </is>
      </c>
      <c r="D2259" s="5" t="inlineStr">
        <is>
          <t>Single</t>
        </is>
      </c>
      <c r="E2259" s="5" t="inlineStr">
        <is>
          <t>Bachelor</t>
        </is>
      </c>
      <c r="F2259" s="5" t="inlineStr">
        <is>
          <t>IT</t>
        </is>
      </c>
      <c r="G2259" s="5" t="inlineStr">
        <is>
          <t>Data Analyst</t>
        </is>
      </c>
      <c r="H2259" s="5" t="inlineStr">
        <is>
          <t>6</t>
        </is>
      </c>
      <c r="I2259" s="5" t="inlineStr">
        <is>
          <t>Hyderabad</t>
        </is>
      </c>
      <c r="J2259" s="5" t="inlineStr">
        <is>
          <t>Contract</t>
        </is>
      </c>
      <c r="K2259" s="7" t="n">
        <v>45441</v>
      </c>
      <c r="L2259" s="7" t="inlineStr"/>
      <c r="M2259" s="5" t="inlineStr">
        <is>
          <t>Yes</t>
        </is>
      </c>
      <c r="N2259" s="5" t="inlineStr"/>
      <c r="O2259" s="8" t="inlineStr">
        <is>
          <t>239000</t>
        </is>
      </c>
      <c r="P2259" s="5" t="inlineStr">
        <is>
          <t>15</t>
        </is>
      </c>
      <c r="Q2259" s="5" t="inlineStr">
        <is>
          <t>4</t>
        </is>
      </c>
      <c r="R2259" s="5" t="inlineStr">
        <is>
          <t>8</t>
        </is>
      </c>
      <c r="S2259" s="5" t="inlineStr">
        <is>
          <t>19</t>
        </is>
      </c>
      <c r="T2259" s="5" t="inlineStr">
        <is>
          <t>10</t>
        </is>
      </c>
      <c r="U2259" s="5">
        <f>IFS(C2259&lt;30,"Under 30",C2259&lt;40,"30-39",C2259&lt;50,"40-49",TRUE,"50+")</f>
        <v/>
      </c>
      <c r="V2259" s="5">
        <f>IFS(O2259&lt;60000,"Low (&lt;60k)",O2259&lt;100000,"Mid (60-100k)",TRUE,"High (100k+)")</f>
        <v/>
      </c>
      <c r="W2259" s="5">
        <f>IF(M2259="No","Attrited","Active")</f>
        <v/>
      </c>
    </row>
    <row r="2260">
      <c r="A2260" s="5" t="inlineStr">
        <is>
          <t>E02259</t>
        </is>
      </c>
      <c r="B2260" s="5" t="inlineStr">
        <is>
          <t>Male</t>
        </is>
      </c>
      <c r="C2260" s="6" t="inlineStr">
        <is>
          <t>35</t>
        </is>
      </c>
      <c r="D2260" s="5" t="inlineStr">
        <is>
          <t>Married</t>
        </is>
      </c>
      <c r="E2260" s="5" t="inlineStr">
        <is>
          <t>Bachelor</t>
        </is>
      </c>
      <c r="F2260" s="5" t="inlineStr">
        <is>
          <t>IT</t>
        </is>
      </c>
      <c r="G2260" s="5" t="inlineStr">
        <is>
          <t>DevOps Engineer</t>
        </is>
      </c>
      <c r="H2260" s="5" t="inlineStr">
        <is>
          <t>2</t>
        </is>
      </c>
      <c r="I2260" s="5" t="inlineStr">
        <is>
          <t>Chennai</t>
        </is>
      </c>
      <c r="J2260" s="5" t="inlineStr">
        <is>
          <t>Full-Time</t>
        </is>
      </c>
      <c r="K2260" s="7" t="n">
        <v>44246</v>
      </c>
      <c r="L2260" s="7" t="inlineStr"/>
      <c r="M2260" s="5" t="inlineStr">
        <is>
          <t>Yes</t>
        </is>
      </c>
      <c r="N2260" s="5" t="inlineStr"/>
      <c r="O2260" s="8" t="inlineStr">
        <is>
          <t>138500</t>
        </is>
      </c>
      <c r="P2260" s="5" t="inlineStr">
        <is>
          <t>5</t>
        </is>
      </c>
      <c r="Q2260" s="5" t="inlineStr">
        <is>
          <t>5</t>
        </is>
      </c>
      <c r="R2260" s="5" t="inlineStr">
        <is>
          <t>6</t>
        </is>
      </c>
      <c r="S2260" s="5" t="inlineStr">
        <is>
          <t>59</t>
        </is>
      </c>
      <c r="T2260" s="5" t="inlineStr">
        <is>
          <t>8</t>
        </is>
      </c>
      <c r="U2260" s="5">
        <f>IFS(C2260&lt;30,"Under 30",C2260&lt;40,"30-39",C2260&lt;50,"40-49",TRUE,"50+")</f>
        <v/>
      </c>
      <c r="V2260" s="5">
        <f>IFS(O2260&lt;60000,"Low (&lt;60k)",O2260&lt;100000,"Mid (60-100k)",TRUE,"High (100k+)")</f>
        <v/>
      </c>
      <c r="W2260" s="5">
        <f>IF(M2260="No","Attrited","Active")</f>
        <v/>
      </c>
    </row>
    <row r="2261">
      <c r="A2261" s="5" t="inlineStr">
        <is>
          <t>E02260</t>
        </is>
      </c>
      <c r="B2261" s="5" t="inlineStr">
        <is>
          <t>Male</t>
        </is>
      </c>
      <c r="C2261" s="6" t="inlineStr">
        <is>
          <t>40</t>
        </is>
      </c>
      <c r="D2261" s="5" t="inlineStr">
        <is>
          <t>Married</t>
        </is>
      </c>
      <c r="E2261" s="5" t="inlineStr">
        <is>
          <t>Master</t>
        </is>
      </c>
      <c r="F2261" s="5" t="inlineStr">
        <is>
          <t>Operations</t>
        </is>
      </c>
      <c r="G2261" s="5" t="inlineStr">
        <is>
          <t>Operations Analyst</t>
        </is>
      </c>
      <c r="H2261" s="5" t="inlineStr">
        <is>
          <t>4</t>
        </is>
      </c>
      <c r="I2261" s="5" t="inlineStr">
        <is>
          <t>Delhi</t>
        </is>
      </c>
      <c r="J2261" s="5" t="inlineStr">
        <is>
          <t>Full-Time</t>
        </is>
      </c>
      <c r="K2261" s="7" t="n">
        <v>45590</v>
      </c>
      <c r="L2261" s="7" t="n">
        <v>45721</v>
      </c>
      <c r="M2261" s="5" t="inlineStr">
        <is>
          <t>No</t>
        </is>
      </c>
      <c r="N2261" s="5" t="inlineStr">
        <is>
          <t>Resigned</t>
        </is>
      </c>
      <c r="O2261" s="8" t="inlineStr">
        <is>
          <t>130000</t>
        </is>
      </c>
      <c r="P2261" s="5" t="inlineStr">
        <is>
          <t>10</t>
        </is>
      </c>
      <c r="Q2261" s="5" t="inlineStr">
        <is>
          <t>3</t>
        </is>
      </c>
      <c r="R2261" s="5" t="inlineStr">
        <is>
          <t>6</t>
        </is>
      </c>
      <c r="S2261" s="5" t="inlineStr">
        <is>
          <t>4</t>
        </is>
      </c>
      <c r="T2261" s="5" t="inlineStr">
        <is>
          <t>2</t>
        </is>
      </c>
      <c r="U2261" s="5">
        <f>IFS(C2261&lt;30,"Under 30",C2261&lt;40,"30-39",C2261&lt;50,"40-49",TRUE,"50+")</f>
        <v/>
      </c>
      <c r="V2261" s="5">
        <f>IFS(O2261&lt;60000,"Low (&lt;60k)",O2261&lt;100000,"Mid (60-100k)",TRUE,"High (100k+)")</f>
        <v/>
      </c>
      <c r="W2261" s="5">
        <f>IF(M2261="No","Attrited","Active")</f>
        <v/>
      </c>
    </row>
    <row r="2262">
      <c r="A2262" s="5" t="inlineStr">
        <is>
          <t>E02261</t>
        </is>
      </c>
      <c r="B2262" s="5" t="inlineStr">
        <is>
          <t>Female</t>
        </is>
      </c>
      <c r="C2262" s="6" t="inlineStr">
        <is>
          <t>37</t>
        </is>
      </c>
      <c r="D2262" s="5" t="inlineStr">
        <is>
          <t>Married</t>
        </is>
      </c>
      <c r="E2262" s="5" t="inlineStr">
        <is>
          <t>PhD</t>
        </is>
      </c>
      <c r="F2262" s="5" t="inlineStr">
        <is>
          <t>Customer Support</t>
        </is>
      </c>
      <c r="G2262" s="5" t="inlineStr">
        <is>
          <t>Escalation Specialist</t>
        </is>
      </c>
      <c r="H2262" s="5" t="inlineStr">
        <is>
          <t>4</t>
        </is>
      </c>
      <c r="I2262" s="5" t="inlineStr">
        <is>
          <t>Remote</t>
        </is>
      </c>
      <c r="J2262" s="5" t="inlineStr">
        <is>
          <t>Full-Time</t>
        </is>
      </c>
      <c r="K2262" s="7" t="n">
        <v>44498</v>
      </c>
      <c r="L2262" s="7" t="n">
        <v>44576</v>
      </c>
      <c r="M2262" s="5" t="inlineStr">
        <is>
          <t>No</t>
        </is>
      </c>
      <c r="N2262" s="5" t="inlineStr">
        <is>
          <t>Resigned</t>
        </is>
      </c>
      <c r="O2262" s="8" t="inlineStr">
        <is>
          <t>97500</t>
        </is>
      </c>
      <c r="P2262" s="5" t="inlineStr">
        <is>
          <t>5</t>
        </is>
      </c>
      <c r="Q2262" s="5" t="inlineStr">
        <is>
          <t>3</t>
        </is>
      </c>
      <c r="R2262" s="5" t="inlineStr">
        <is>
          <t>9</t>
        </is>
      </c>
      <c r="S2262" s="5" t="inlineStr">
        <is>
          <t>2</t>
        </is>
      </c>
      <c r="T2262" s="5" t="inlineStr">
        <is>
          <t>0</t>
        </is>
      </c>
      <c r="U2262" s="5">
        <f>IFS(C2262&lt;30,"Under 30",C2262&lt;40,"30-39",C2262&lt;50,"40-49",TRUE,"50+")</f>
        <v/>
      </c>
      <c r="V2262" s="5">
        <f>IFS(O2262&lt;60000,"Low (&lt;60k)",O2262&lt;100000,"Mid (60-100k)",TRUE,"High (100k+)")</f>
        <v/>
      </c>
      <c r="W2262" s="5">
        <f>IF(M2262="No","Attrited","Active")</f>
        <v/>
      </c>
    </row>
    <row r="2263">
      <c r="A2263" s="5" t="inlineStr">
        <is>
          <t>E02262</t>
        </is>
      </c>
      <c r="B2263" s="5" t="inlineStr">
        <is>
          <t>Male</t>
        </is>
      </c>
      <c r="C2263" s="6" t="inlineStr">
        <is>
          <t>30</t>
        </is>
      </c>
      <c r="D2263" s="5" t="inlineStr">
        <is>
          <t>Married</t>
        </is>
      </c>
      <c r="E2263" s="5" t="inlineStr">
        <is>
          <t>Bachelor</t>
        </is>
      </c>
      <c r="F2263" s="5" t="inlineStr">
        <is>
          <t>Sales</t>
        </is>
      </c>
      <c r="G2263" s="5" t="inlineStr">
        <is>
          <t>Business Development</t>
        </is>
      </c>
      <c r="H2263" s="5" t="inlineStr">
        <is>
          <t>4</t>
        </is>
      </c>
      <c r="I2263" s="5" t="inlineStr">
        <is>
          <t>Hyderabad</t>
        </is>
      </c>
      <c r="J2263" s="5" t="inlineStr">
        <is>
          <t>Full-Time</t>
        </is>
      </c>
      <c r="K2263" s="7" t="n">
        <v>45327</v>
      </c>
      <c r="L2263" s="7" t="inlineStr"/>
      <c r="M2263" s="5" t="inlineStr">
        <is>
          <t>Yes</t>
        </is>
      </c>
      <c r="N2263" s="5" t="inlineStr"/>
      <c r="O2263" s="8" t="inlineStr">
        <is>
          <t>88000</t>
        </is>
      </c>
      <c r="P2263" s="5" t="inlineStr">
        <is>
          <t>0</t>
        </is>
      </c>
      <c r="Q2263" s="5" t="inlineStr">
        <is>
          <t>4</t>
        </is>
      </c>
      <c r="R2263" s="5" t="inlineStr">
        <is>
          <t>3</t>
        </is>
      </c>
      <c r="S2263" s="5" t="inlineStr">
        <is>
          <t>23</t>
        </is>
      </c>
      <c r="T2263" s="5" t="inlineStr">
        <is>
          <t>9</t>
        </is>
      </c>
      <c r="U2263" s="5">
        <f>IFS(C2263&lt;30,"Under 30",C2263&lt;40,"30-39",C2263&lt;50,"40-49",TRUE,"50+")</f>
        <v/>
      </c>
      <c r="V2263" s="5">
        <f>IFS(O2263&lt;60000,"Low (&lt;60k)",O2263&lt;100000,"Mid (60-100k)",TRUE,"High (100k+)")</f>
        <v/>
      </c>
      <c r="W2263" s="5">
        <f>IF(M2263="No","Attrited","Active")</f>
        <v/>
      </c>
    </row>
    <row r="2264">
      <c r="A2264" s="5" t="inlineStr">
        <is>
          <t>E02263</t>
        </is>
      </c>
      <c r="B2264" s="5" t="inlineStr">
        <is>
          <t>Male</t>
        </is>
      </c>
      <c r="C2264" s="6" t="inlineStr">
        <is>
          <t>33</t>
        </is>
      </c>
      <c r="D2264" s="5" t="inlineStr">
        <is>
          <t>Divorced</t>
        </is>
      </c>
      <c r="E2264" s="5" t="inlineStr">
        <is>
          <t>PhD</t>
        </is>
      </c>
      <c r="F2264" s="5" t="inlineStr">
        <is>
          <t>Marketing</t>
        </is>
      </c>
      <c r="G2264" s="5" t="inlineStr">
        <is>
          <t>SEO Specialist</t>
        </is>
      </c>
      <c r="H2264" s="5" t="inlineStr">
        <is>
          <t>1</t>
        </is>
      </c>
      <c r="I2264" s="5" t="inlineStr">
        <is>
          <t>Mumbai</t>
        </is>
      </c>
      <c r="J2264" s="5" t="inlineStr">
        <is>
          <t>Full-Time</t>
        </is>
      </c>
      <c r="K2264" s="7" t="n">
        <v>44848</v>
      </c>
      <c r="L2264" s="7" t="n">
        <v>44990</v>
      </c>
      <c r="M2264" s="5" t="inlineStr">
        <is>
          <t>No</t>
        </is>
      </c>
      <c r="N2264" s="5" t="inlineStr">
        <is>
          <t>Resigned</t>
        </is>
      </c>
      <c r="O2264" s="8" t="inlineStr">
        <is>
          <t>61000</t>
        </is>
      </c>
      <c r="P2264" s="5" t="inlineStr">
        <is>
          <t>0</t>
        </is>
      </c>
      <c r="Q2264" s="5" t="inlineStr">
        <is>
          <t>3</t>
        </is>
      </c>
      <c r="R2264" s="5" t="inlineStr">
        <is>
          <t>4</t>
        </is>
      </c>
      <c r="S2264" s="5" t="inlineStr">
        <is>
          <t>4</t>
        </is>
      </c>
      <c r="T2264" s="5" t="inlineStr">
        <is>
          <t>4</t>
        </is>
      </c>
      <c r="U2264" s="5">
        <f>IFS(C2264&lt;30,"Under 30",C2264&lt;40,"30-39",C2264&lt;50,"40-49",TRUE,"50+")</f>
        <v/>
      </c>
      <c r="V2264" s="5">
        <f>IFS(O2264&lt;60000,"Low (&lt;60k)",O2264&lt;100000,"Mid (60-100k)",TRUE,"High (100k+)")</f>
        <v/>
      </c>
      <c r="W2264" s="5">
        <f>IF(M2264="No","Attrited","Active")</f>
        <v/>
      </c>
    </row>
    <row r="2265">
      <c r="A2265" s="5" t="inlineStr">
        <is>
          <t>E02264</t>
        </is>
      </c>
      <c r="B2265" s="5" t="inlineStr">
        <is>
          <t>Male</t>
        </is>
      </c>
      <c r="C2265" s="6" t="inlineStr">
        <is>
          <t>38</t>
        </is>
      </c>
      <c r="D2265" s="5" t="inlineStr">
        <is>
          <t>Married</t>
        </is>
      </c>
      <c r="E2265" s="5" t="inlineStr">
        <is>
          <t>PhD</t>
        </is>
      </c>
      <c r="F2265" s="5" t="inlineStr">
        <is>
          <t>Customer Support</t>
        </is>
      </c>
      <c r="G2265" s="5" t="inlineStr">
        <is>
          <t>Support Lead</t>
        </is>
      </c>
      <c r="H2265" s="5" t="inlineStr">
        <is>
          <t>5</t>
        </is>
      </c>
      <c r="I2265" s="5" t="inlineStr">
        <is>
          <t>Mumbai</t>
        </is>
      </c>
      <c r="J2265" s="5" t="inlineStr">
        <is>
          <t>Full-Time</t>
        </is>
      </c>
      <c r="K2265" s="7" t="n">
        <v>45810</v>
      </c>
      <c r="L2265" s="7" t="inlineStr"/>
      <c r="M2265" s="5" t="inlineStr">
        <is>
          <t>Yes</t>
        </is>
      </c>
      <c r="N2265" s="5" t="inlineStr"/>
      <c r="O2265" s="8" t="inlineStr">
        <is>
          <t>98500</t>
        </is>
      </c>
      <c r="P2265" s="5" t="inlineStr">
        <is>
          <t>5</t>
        </is>
      </c>
      <c r="Q2265" s="5" t="inlineStr">
        <is>
          <t>4</t>
        </is>
      </c>
      <c r="R2265" s="5" t="inlineStr">
        <is>
          <t>5</t>
        </is>
      </c>
      <c r="S2265" s="5" t="inlineStr">
        <is>
          <t>7</t>
        </is>
      </c>
      <c r="T2265" s="5" t="inlineStr">
        <is>
          <t>0</t>
        </is>
      </c>
      <c r="U2265" s="5">
        <f>IFS(C2265&lt;30,"Under 30",C2265&lt;40,"30-39",C2265&lt;50,"40-49",TRUE,"50+")</f>
        <v/>
      </c>
      <c r="V2265" s="5">
        <f>IFS(O2265&lt;60000,"Low (&lt;60k)",O2265&lt;100000,"Mid (60-100k)",TRUE,"High (100k+)")</f>
        <v/>
      </c>
      <c r="W2265" s="5">
        <f>IF(M2265="No","Attrited","Active")</f>
        <v/>
      </c>
    </row>
    <row r="2266">
      <c r="A2266" s="5" t="inlineStr">
        <is>
          <t>E02265</t>
        </is>
      </c>
      <c r="B2266" s="5" t="inlineStr">
        <is>
          <t>Male</t>
        </is>
      </c>
      <c r="C2266" s="6" t="inlineStr">
        <is>
          <t>37</t>
        </is>
      </c>
      <c r="D2266" s="5" t="inlineStr">
        <is>
          <t>Divorced</t>
        </is>
      </c>
      <c r="E2266" s="5" t="inlineStr">
        <is>
          <t>PhD</t>
        </is>
      </c>
      <c r="F2266" s="5" t="inlineStr">
        <is>
          <t>Executive</t>
        </is>
      </c>
      <c r="G2266" s="5" t="inlineStr">
        <is>
          <t>CEO</t>
        </is>
      </c>
      <c r="H2266" s="5" t="inlineStr">
        <is>
          <t>4</t>
        </is>
      </c>
      <c r="I2266" s="5" t="inlineStr">
        <is>
          <t>Mumbai</t>
        </is>
      </c>
      <c r="J2266" s="5" t="inlineStr">
        <is>
          <t>Full-Time</t>
        </is>
      </c>
      <c r="K2266" s="7" t="n">
        <v>45409</v>
      </c>
      <c r="L2266" s="7" t="inlineStr"/>
      <c r="M2266" s="5" t="inlineStr">
        <is>
          <t>Yes</t>
        </is>
      </c>
      <c r="N2266" s="5" t="inlineStr"/>
      <c r="O2266" s="8" t="inlineStr">
        <is>
          <t>344500</t>
        </is>
      </c>
      <c r="P2266" s="5" t="inlineStr">
        <is>
          <t>10</t>
        </is>
      </c>
      <c r="Q2266" s="5" t="inlineStr">
        <is>
          <t>4</t>
        </is>
      </c>
      <c r="R2266" s="5" t="inlineStr">
        <is>
          <t>7</t>
        </is>
      </c>
      <c r="S2266" s="5" t="inlineStr">
        <is>
          <t>20</t>
        </is>
      </c>
      <c r="T2266" s="5" t="inlineStr">
        <is>
          <t>0</t>
        </is>
      </c>
      <c r="U2266" s="5">
        <f>IFS(C2266&lt;30,"Under 30",C2266&lt;40,"30-39",C2266&lt;50,"40-49",TRUE,"50+")</f>
        <v/>
      </c>
      <c r="V2266" s="5">
        <f>IFS(O2266&lt;60000,"Low (&lt;60k)",O2266&lt;100000,"Mid (60-100k)",TRUE,"High (100k+)")</f>
        <v/>
      </c>
      <c r="W2266" s="5">
        <f>IF(M2266="No","Attrited","Active")</f>
        <v/>
      </c>
    </row>
    <row r="2267">
      <c r="A2267" s="5" t="inlineStr">
        <is>
          <t>E02266</t>
        </is>
      </c>
      <c r="B2267" s="5" t="inlineStr">
        <is>
          <t>Male</t>
        </is>
      </c>
      <c r="C2267" s="6" t="inlineStr">
        <is>
          <t>34</t>
        </is>
      </c>
      <c r="D2267" s="5" t="inlineStr">
        <is>
          <t>Married</t>
        </is>
      </c>
      <c r="E2267" s="5" t="inlineStr">
        <is>
          <t>PhD</t>
        </is>
      </c>
      <c r="F2267" s="5" t="inlineStr">
        <is>
          <t>Operations</t>
        </is>
      </c>
      <c r="G2267" s="5" t="inlineStr">
        <is>
          <t>Logistics Coordinator</t>
        </is>
      </c>
      <c r="H2267" s="5" t="inlineStr">
        <is>
          <t>3</t>
        </is>
      </c>
      <c r="I2267" s="5" t="inlineStr">
        <is>
          <t>Bengaluru</t>
        </is>
      </c>
      <c r="J2267" s="5" t="inlineStr">
        <is>
          <t>Part-Time</t>
        </is>
      </c>
      <c r="K2267" s="7" t="n">
        <v>44590</v>
      </c>
      <c r="L2267" s="7" t="inlineStr"/>
      <c r="M2267" s="5" t="inlineStr">
        <is>
          <t>Yes</t>
        </is>
      </c>
      <c r="N2267" s="5" t="inlineStr"/>
      <c r="O2267" s="8" t="inlineStr">
        <is>
          <t>104000</t>
        </is>
      </c>
      <c r="P2267" s="5" t="inlineStr">
        <is>
          <t>15</t>
        </is>
      </c>
      <c r="Q2267" s="5" t="inlineStr">
        <is>
          <t>5</t>
        </is>
      </c>
      <c r="R2267" s="5" t="inlineStr">
        <is>
          <t>6</t>
        </is>
      </c>
      <c r="S2267" s="5" t="inlineStr">
        <is>
          <t>47</t>
        </is>
      </c>
      <c r="T2267" s="5" t="inlineStr">
        <is>
          <t>19</t>
        </is>
      </c>
      <c r="U2267" s="5">
        <f>IFS(C2267&lt;30,"Under 30",C2267&lt;40,"30-39",C2267&lt;50,"40-49",TRUE,"50+")</f>
        <v/>
      </c>
      <c r="V2267" s="5">
        <f>IFS(O2267&lt;60000,"Low (&lt;60k)",O2267&lt;100000,"Mid (60-100k)",TRUE,"High (100k+)")</f>
        <v/>
      </c>
      <c r="W2267" s="5">
        <f>IF(M2267="No","Attrited","Active")</f>
        <v/>
      </c>
    </row>
    <row r="2268">
      <c r="A2268" s="5" t="inlineStr">
        <is>
          <t>E02267</t>
        </is>
      </c>
      <c r="B2268" s="5" t="inlineStr">
        <is>
          <t>Female</t>
        </is>
      </c>
      <c r="C2268" s="6" t="inlineStr">
        <is>
          <t>29</t>
        </is>
      </c>
      <c r="D2268" s="5" t="inlineStr">
        <is>
          <t>Single</t>
        </is>
      </c>
      <c r="E2268" s="5" t="inlineStr">
        <is>
          <t>PhD</t>
        </is>
      </c>
      <c r="F2268" s="5" t="inlineStr">
        <is>
          <t>Finance</t>
        </is>
      </c>
      <c r="G2268" s="5" t="inlineStr">
        <is>
          <t>Credit Analyst</t>
        </is>
      </c>
      <c r="H2268" s="5" t="inlineStr">
        <is>
          <t>4</t>
        </is>
      </c>
      <c r="I2268" s="5" t="inlineStr">
        <is>
          <t>Chennai</t>
        </is>
      </c>
      <c r="J2268" s="5" t="inlineStr">
        <is>
          <t>Full-Time</t>
        </is>
      </c>
      <c r="K2268" s="7" t="n">
        <v>44040</v>
      </c>
      <c r="L2268" s="7" t="inlineStr"/>
      <c r="M2268" s="5" t="inlineStr">
        <is>
          <t>Yes</t>
        </is>
      </c>
      <c r="N2268" s="5" t="inlineStr"/>
      <c r="O2268" s="8" t="inlineStr">
        <is>
          <t>135500</t>
        </is>
      </c>
      <c r="P2268" s="5" t="inlineStr">
        <is>
          <t>0</t>
        </is>
      </c>
      <c r="Q2268" s="5" t="inlineStr">
        <is>
          <t>3</t>
        </is>
      </c>
      <c r="R2268" s="5" t="inlineStr">
        <is>
          <t>8</t>
        </is>
      </c>
      <c r="S2268" s="5" t="inlineStr">
        <is>
          <t>66</t>
        </is>
      </c>
      <c r="T2268" s="5" t="inlineStr">
        <is>
          <t>8</t>
        </is>
      </c>
      <c r="U2268" s="5">
        <f>IFS(C2268&lt;30,"Under 30",C2268&lt;40,"30-39",C2268&lt;50,"40-49",TRUE,"50+")</f>
        <v/>
      </c>
      <c r="V2268" s="5">
        <f>IFS(O2268&lt;60000,"Low (&lt;60k)",O2268&lt;100000,"Mid (60-100k)",TRUE,"High (100k+)")</f>
        <v/>
      </c>
      <c r="W2268" s="5">
        <f>IF(M2268="No","Attrited","Active")</f>
        <v/>
      </c>
    </row>
    <row r="2269">
      <c r="A2269" s="5" t="inlineStr">
        <is>
          <t>E02268</t>
        </is>
      </c>
      <c r="B2269" s="5" t="inlineStr">
        <is>
          <t>Female</t>
        </is>
      </c>
      <c r="C2269" s="6" t="inlineStr">
        <is>
          <t>32</t>
        </is>
      </c>
      <c r="D2269" s="5" t="inlineStr">
        <is>
          <t>Married</t>
        </is>
      </c>
      <c r="E2269" s="5" t="inlineStr">
        <is>
          <t>Diploma</t>
        </is>
      </c>
      <c r="F2269" s="5" t="inlineStr">
        <is>
          <t>Finance</t>
        </is>
      </c>
      <c r="G2269" s="5" t="inlineStr">
        <is>
          <t>Credit Analyst</t>
        </is>
      </c>
      <c r="H2269" s="5" t="inlineStr">
        <is>
          <t>1</t>
        </is>
      </c>
      <c r="I2269" s="5" t="inlineStr">
        <is>
          <t>Remote</t>
        </is>
      </c>
      <c r="J2269" s="5" t="inlineStr">
        <is>
          <t>Full-Time</t>
        </is>
      </c>
      <c r="K2269" s="7" t="n">
        <v>45223</v>
      </c>
      <c r="L2269" s="7" t="n">
        <v>45367</v>
      </c>
      <c r="M2269" s="5" t="inlineStr">
        <is>
          <t>No</t>
        </is>
      </c>
      <c r="N2269" s="5" t="inlineStr">
        <is>
          <t>Resigned</t>
        </is>
      </c>
      <c r="O2269" s="8" t="inlineStr">
        <is>
          <t>98500</t>
        </is>
      </c>
      <c r="P2269" s="5" t="inlineStr">
        <is>
          <t>0</t>
        </is>
      </c>
      <c r="Q2269" s="5" t="inlineStr">
        <is>
          <t>3</t>
        </is>
      </c>
      <c r="R2269" s="5" t="inlineStr">
        <is>
          <t>6</t>
        </is>
      </c>
      <c r="S2269" s="5" t="inlineStr">
        <is>
          <t>4</t>
        </is>
      </c>
      <c r="T2269" s="5" t="inlineStr">
        <is>
          <t>4</t>
        </is>
      </c>
      <c r="U2269" s="5">
        <f>IFS(C2269&lt;30,"Under 30",C2269&lt;40,"30-39",C2269&lt;50,"40-49",TRUE,"50+")</f>
        <v/>
      </c>
      <c r="V2269" s="5">
        <f>IFS(O2269&lt;60000,"Low (&lt;60k)",O2269&lt;100000,"Mid (60-100k)",TRUE,"High (100k+)")</f>
        <v/>
      </c>
      <c r="W2269" s="5">
        <f>IF(M2269="No","Attrited","Active")</f>
        <v/>
      </c>
    </row>
    <row r="2270">
      <c r="A2270" s="5" t="inlineStr">
        <is>
          <t>E02269</t>
        </is>
      </c>
      <c r="B2270" s="5" t="inlineStr">
        <is>
          <t>Female</t>
        </is>
      </c>
      <c r="C2270" s="6" t="inlineStr">
        <is>
          <t>37</t>
        </is>
      </c>
      <c r="D2270" s="5" t="inlineStr">
        <is>
          <t>Married</t>
        </is>
      </c>
      <c r="E2270" s="5" t="inlineStr">
        <is>
          <t>High School</t>
        </is>
      </c>
      <c r="F2270" s="5" t="inlineStr">
        <is>
          <t>Operations</t>
        </is>
      </c>
      <c r="G2270" s="5" t="inlineStr">
        <is>
          <t>Operations Analyst</t>
        </is>
      </c>
      <c r="H2270" s="5" t="inlineStr">
        <is>
          <t>5</t>
        </is>
      </c>
      <c r="I2270" s="5" t="inlineStr">
        <is>
          <t>Remote</t>
        </is>
      </c>
      <c r="J2270" s="5" t="inlineStr">
        <is>
          <t>Full-Time</t>
        </is>
      </c>
      <c r="K2270" s="7" t="n">
        <v>44039</v>
      </c>
      <c r="L2270" s="7" t="inlineStr"/>
      <c r="M2270" s="5" t="inlineStr">
        <is>
          <t>Yes</t>
        </is>
      </c>
      <c r="N2270" s="5" t="inlineStr"/>
      <c r="O2270" s="8" t="inlineStr">
        <is>
          <t>124500</t>
        </is>
      </c>
      <c r="P2270" s="5" t="inlineStr">
        <is>
          <t>5</t>
        </is>
      </c>
      <c r="Q2270" s="5" t="inlineStr">
        <is>
          <t>3</t>
        </is>
      </c>
      <c r="R2270" s="5" t="inlineStr">
        <is>
          <t>4</t>
        </is>
      </c>
      <c r="S2270" s="5" t="inlineStr">
        <is>
          <t>66</t>
        </is>
      </c>
      <c r="T2270" s="5" t="inlineStr">
        <is>
          <t>9</t>
        </is>
      </c>
      <c r="U2270" s="5">
        <f>IFS(C2270&lt;30,"Under 30",C2270&lt;40,"30-39",C2270&lt;50,"40-49",TRUE,"50+")</f>
        <v/>
      </c>
      <c r="V2270" s="5">
        <f>IFS(O2270&lt;60000,"Low (&lt;60k)",O2270&lt;100000,"Mid (60-100k)",TRUE,"High (100k+)")</f>
        <v/>
      </c>
      <c r="W2270" s="5">
        <f>IF(M2270="No","Attrited","Active")</f>
        <v/>
      </c>
    </row>
    <row r="2271">
      <c r="A2271" s="5" t="inlineStr">
        <is>
          <t>E02270</t>
        </is>
      </c>
      <c r="B2271" s="5" t="inlineStr">
        <is>
          <t>Male</t>
        </is>
      </c>
      <c r="C2271" s="6" t="inlineStr">
        <is>
          <t>37</t>
        </is>
      </c>
      <c r="D2271" s="5" t="inlineStr">
        <is>
          <t>Single</t>
        </is>
      </c>
      <c r="E2271" s="5" t="inlineStr">
        <is>
          <t>Diploma</t>
        </is>
      </c>
      <c r="F2271" s="5" t="inlineStr">
        <is>
          <t>IT</t>
        </is>
      </c>
      <c r="G2271" s="5" t="inlineStr">
        <is>
          <t>Software Engineer</t>
        </is>
      </c>
      <c r="H2271" s="5" t="inlineStr">
        <is>
          <t>3</t>
        </is>
      </c>
      <c r="I2271" s="5" t="inlineStr">
        <is>
          <t>Hyderabad</t>
        </is>
      </c>
      <c r="J2271" s="5" t="inlineStr">
        <is>
          <t>Full-Time</t>
        </is>
      </c>
      <c r="K2271" s="7" t="n">
        <v>45326</v>
      </c>
      <c r="L2271" s="7" t="inlineStr"/>
      <c r="M2271" s="5" t="inlineStr">
        <is>
          <t>Yes</t>
        </is>
      </c>
      <c r="N2271" s="5" t="inlineStr"/>
      <c r="O2271" s="8" t="inlineStr">
        <is>
          <t>126000</t>
        </is>
      </c>
      <c r="P2271" s="5" t="inlineStr">
        <is>
          <t>0</t>
        </is>
      </c>
      <c r="Q2271" s="5" t="inlineStr">
        <is>
          <t>5</t>
        </is>
      </c>
      <c r="R2271" s="5" t="inlineStr">
        <is>
          <t>5</t>
        </is>
      </c>
      <c r="S2271" s="5" t="inlineStr">
        <is>
          <t>23</t>
        </is>
      </c>
      <c r="T2271" s="5" t="inlineStr">
        <is>
          <t>0</t>
        </is>
      </c>
      <c r="U2271" s="5">
        <f>IFS(C2271&lt;30,"Under 30",C2271&lt;40,"30-39",C2271&lt;50,"40-49",TRUE,"50+")</f>
        <v/>
      </c>
      <c r="V2271" s="5">
        <f>IFS(O2271&lt;60000,"Low (&lt;60k)",O2271&lt;100000,"Mid (60-100k)",TRUE,"High (100k+)")</f>
        <v/>
      </c>
      <c r="W2271" s="5">
        <f>IF(M2271="No","Attrited","Active")</f>
        <v/>
      </c>
    </row>
    <row r="2272">
      <c r="A2272" s="5" t="inlineStr">
        <is>
          <t>E02271</t>
        </is>
      </c>
      <c r="B2272" s="5" t="inlineStr">
        <is>
          <t>Female</t>
        </is>
      </c>
      <c r="C2272" s="6" t="inlineStr">
        <is>
          <t>33</t>
        </is>
      </c>
      <c r="D2272" s="5" t="inlineStr">
        <is>
          <t>Married</t>
        </is>
      </c>
      <c r="E2272" s="5" t="inlineStr">
        <is>
          <t>Diploma</t>
        </is>
      </c>
      <c r="F2272" s="5" t="inlineStr">
        <is>
          <t>IT</t>
        </is>
      </c>
      <c r="G2272" s="5" t="inlineStr">
        <is>
          <t>Data Analyst</t>
        </is>
      </c>
      <c r="H2272" s="5" t="inlineStr">
        <is>
          <t>6</t>
        </is>
      </c>
      <c r="I2272" s="5" t="inlineStr">
        <is>
          <t>Delhi</t>
        </is>
      </c>
      <c r="J2272" s="5" t="inlineStr">
        <is>
          <t>Full-Time</t>
        </is>
      </c>
      <c r="K2272" s="7" t="n">
        <v>45496</v>
      </c>
      <c r="L2272" s="7" t="inlineStr"/>
      <c r="M2272" s="5" t="inlineStr">
        <is>
          <t>Yes</t>
        </is>
      </c>
      <c r="N2272" s="5" t="inlineStr"/>
      <c r="O2272" s="8" t="inlineStr">
        <is>
          <t>254000</t>
        </is>
      </c>
      <c r="P2272" s="5" t="inlineStr">
        <is>
          <t>0</t>
        </is>
      </c>
      <c r="Q2272" s="5" t="inlineStr">
        <is>
          <t>4</t>
        </is>
      </c>
      <c r="R2272" s="5" t="inlineStr">
        <is>
          <t>5</t>
        </is>
      </c>
      <c r="S2272" s="5" t="inlineStr">
        <is>
          <t>17</t>
        </is>
      </c>
      <c r="T2272" s="5" t="inlineStr">
        <is>
          <t>0</t>
        </is>
      </c>
      <c r="U2272" s="5">
        <f>IFS(C2272&lt;30,"Under 30",C2272&lt;40,"30-39",C2272&lt;50,"40-49",TRUE,"50+")</f>
        <v/>
      </c>
      <c r="V2272" s="5">
        <f>IFS(O2272&lt;60000,"Low (&lt;60k)",O2272&lt;100000,"Mid (60-100k)",TRUE,"High (100k+)")</f>
        <v/>
      </c>
      <c r="W2272" s="5">
        <f>IF(M2272="No","Attrited","Active")</f>
        <v/>
      </c>
    </row>
    <row r="2273">
      <c r="A2273" s="5" t="inlineStr">
        <is>
          <t>E02272</t>
        </is>
      </c>
      <c r="B2273" s="5" t="inlineStr">
        <is>
          <t>Female</t>
        </is>
      </c>
      <c r="C2273" s="6" t="inlineStr">
        <is>
          <t>39</t>
        </is>
      </c>
      <c r="D2273" s="5" t="inlineStr">
        <is>
          <t>Married</t>
        </is>
      </c>
      <c r="E2273" s="5" t="inlineStr">
        <is>
          <t>Diploma</t>
        </is>
      </c>
      <c r="F2273" s="5" t="inlineStr">
        <is>
          <t>Marketing</t>
        </is>
      </c>
      <c r="G2273" s="5" t="inlineStr">
        <is>
          <t>Marketing Analyst</t>
        </is>
      </c>
      <c r="H2273" s="5" t="inlineStr">
        <is>
          <t>7</t>
        </is>
      </c>
      <c r="I2273" s="5" t="inlineStr">
        <is>
          <t>Hyderabad</t>
        </is>
      </c>
      <c r="J2273" s="5" t="inlineStr">
        <is>
          <t>Full-Time</t>
        </is>
      </c>
      <c r="K2273" s="7" t="n">
        <v>44557</v>
      </c>
      <c r="L2273" s="7" t="inlineStr"/>
      <c r="M2273" s="5" t="inlineStr">
        <is>
          <t>Yes</t>
        </is>
      </c>
      <c r="N2273" s="5" t="inlineStr"/>
      <c r="O2273" s="8" t="inlineStr">
        <is>
          <t>122500</t>
        </is>
      </c>
      <c r="P2273" s="5" t="inlineStr">
        <is>
          <t>0</t>
        </is>
      </c>
      <c r="Q2273" s="5" t="inlineStr">
        <is>
          <t>4</t>
        </is>
      </c>
      <c r="R2273" s="5" t="inlineStr">
        <is>
          <t>6</t>
        </is>
      </c>
      <c r="S2273" s="5" t="inlineStr">
        <is>
          <t>48</t>
        </is>
      </c>
      <c r="T2273" s="5" t="inlineStr">
        <is>
          <t>7</t>
        </is>
      </c>
      <c r="U2273" s="5">
        <f>IFS(C2273&lt;30,"Under 30",C2273&lt;40,"30-39",C2273&lt;50,"40-49",TRUE,"50+")</f>
        <v/>
      </c>
      <c r="V2273" s="5">
        <f>IFS(O2273&lt;60000,"Low (&lt;60k)",O2273&lt;100000,"Mid (60-100k)",TRUE,"High (100k+)")</f>
        <v/>
      </c>
      <c r="W2273" s="5">
        <f>IF(M2273="No","Attrited","Active")</f>
        <v/>
      </c>
    </row>
    <row r="2274">
      <c r="A2274" s="5" t="inlineStr">
        <is>
          <t>E02273</t>
        </is>
      </c>
      <c r="B2274" s="5" t="inlineStr">
        <is>
          <t>Female</t>
        </is>
      </c>
      <c r="C2274" s="6" t="inlineStr">
        <is>
          <t>34</t>
        </is>
      </c>
      <c r="D2274" s="5" t="inlineStr">
        <is>
          <t>Single</t>
        </is>
      </c>
      <c r="E2274" s="5" t="inlineStr">
        <is>
          <t>Diploma</t>
        </is>
      </c>
      <c r="F2274" s="5" t="inlineStr">
        <is>
          <t>Research &amp; Development</t>
        </is>
      </c>
      <c r="G2274" s="5" t="inlineStr">
        <is>
          <t>Research Scientist</t>
        </is>
      </c>
      <c r="H2274" s="5" t="inlineStr">
        <is>
          <t>2</t>
        </is>
      </c>
      <c r="I2274" s="5" t="inlineStr">
        <is>
          <t>Bengaluru</t>
        </is>
      </c>
      <c r="J2274" s="5" t="inlineStr">
        <is>
          <t>Full-Time</t>
        </is>
      </c>
      <c r="K2274" s="7" t="n">
        <v>44649</v>
      </c>
      <c r="L2274" s="7" t="n">
        <v>44693</v>
      </c>
      <c r="M2274" s="5" t="inlineStr">
        <is>
          <t>No</t>
        </is>
      </c>
      <c r="N2274" s="5" t="inlineStr">
        <is>
          <t>Retirement</t>
        </is>
      </c>
      <c r="O2274" s="8" t="inlineStr">
        <is>
          <t>125500</t>
        </is>
      </c>
      <c r="P2274" s="5" t="inlineStr">
        <is>
          <t>15</t>
        </is>
      </c>
      <c r="Q2274" s="5" t="inlineStr">
        <is>
          <t>3</t>
        </is>
      </c>
      <c r="R2274" s="5" t="inlineStr">
        <is>
          <t>2</t>
        </is>
      </c>
      <c r="S2274" s="5" t="inlineStr">
        <is>
          <t>1</t>
        </is>
      </c>
      <c r="T2274" s="5" t="inlineStr">
        <is>
          <t>12</t>
        </is>
      </c>
      <c r="U2274" s="5">
        <f>IFS(C2274&lt;30,"Under 30",C2274&lt;40,"30-39",C2274&lt;50,"40-49",TRUE,"50+")</f>
        <v/>
      </c>
      <c r="V2274" s="5">
        <f>IFS(O2274&lt;60000,"Low (&lt;60k)",O2274&lt;100000,"Mid (60-100k)",TRUE,"High (100k+)")</f>
        <v/>
      </c>
      <c r="W2274" s="5">
        <f>IF(M2274="No","Attrited","Active")</f>
        <v/>
      </c>
    </row>
    <row r="2275">
      <c r="A2275" s="5" t="inlineStr">
        <is>
          <t>E02274</t>
        </is>
      </c>
      <c r="B2275" s="5" t="inlineStr">
        <is>
          <t>Male</t>
        </is>
      </c>
      <c r="C2275" s="6" t="inlineStr">
        <is>
          <t>34</t>
        </is>
      </c>
      <c r="D2275" s="5" t="inlineStr">
        <is>
          <t>Married</t>
        </is>
      </c>
      <c r="E2275" s="5" t="inlineStr">
        <is>
          <t>Diploma</t>
        </is>
      </c>
      <c r="F2275" s="5" t="inlineStr">
        <is>
          <t>Marketing</t>
        </is>
      </c>
      <c r="G2275" s="5" t="inlineStr">
        <is>
          <t>SEO Specialist</t>
        </is>
      </c>
      <c r="H2275" s="5" t="inlineStr">
        <is>
          <t>5</t>
        </is>
      </c>
      <c r="I2275" s="5" t="inlineStr">
        <is>
          <t>Bengaluru</t>
        </is>
      </c>
      <c r="J2275" s="5" t="inlineStr">
        <is>
          <t>Full-Time</t>
        </is>
      </c>
      <c r="K2275" s="7" t="n">
        <v>43941</v>
      </c>
      <c r="L2275" s="7" t="inlineStr"/>
      <c r="M2275" s="5" t="inlineStr">
        <is>
          <t>Yes</t>
        </is>
      </c>
      <c r="N2275" s="5" t="inlineStr"/>
      <c r="O2275" s="8" t="inlineStr">
        <is>
          <t>132500</t>
        </is>
      </c>
      <c r="P2275" s="5" t="inlineStr">
        <is>
          <t>10</t>
        </is>
      </c>
      <c r="Q2275" s="5" t="inlineStr">
        <is>
          <t>3</t>
        </is>
      </c>
      <c r="R2275" s="5" t="inlineStr">
        <is>
          <t>6</t>
        </is>
      </c>
      <c r="S2275" s="5" t="inlineStr">
        <is>
          <t>69</t>
        </is>
      </c>
      <c r="T2275" s="5" t="inlineStr">
        <is>
          <t>12</t>
        </is>
      </c>
      <c r="U2275" s="5">
        <f>IFS(C2275&lt;30,"Under 30",C2275&lt;40,"30-39",C2275&lt;50,"40-49",TRUE,"50+")</f>
        <v/>
      </c>
      <c r="V2275" s="5">
        <f>IFS(O2275&lt;60000,"Low (&lt;60k)",O2275&lt;100000,"Mid (60-100k)",TRUE,"High (100k+)")</f>
        <v/>
      </c>
      <c r="W2275" s="5">
        <f>IF(M2275="No","Attrited","Active")</f>
        <v/>
      </c>
    </row>
    <row r="2276">
      <c r="A2276" s="5" t="inlineStr">
        <is>
          <t>E02275</t>
        </is>
      </c>
      <c r="B2276" s="5" t="inlineStr">
        <is>
          <t>Male</t>
        </is>
      </c>
      <c r="C2276" s="6" t="inlineStr">
        <is>
          <t>42</t>
        </is>
      </c>
      <c r="D2276" s="5" t="inlineStr">
        <is>
          <t>Single</t>
        </is>
      </c>
      <c r="E2276" s="5" t="inlineStr">
        <is>
          <t>Master</t>
        </is>
      </c>
      <c r="F2276" s="5" t="inlineStr">
        <is>
          <t>IT</t>
        </is>
      </c>
      <c r="G2276" s="5" t="inlineStr">
        <is>
          <t>Software Engineer</t>
        </is>
      </c>
      <c r="H2276" s="5" t="inlineStr">
        <is>
          <t>5</t>
        </is>
      </c>
      <c r="I2276" s="5" t="inlineStr">
        <is>
          <t>Remote</t>
        </is>
      </c>
      <c r="J2276" s="5" t="inlineStr">
        <is>
          <t>Full-Time</t>
        </is>
      </c>
      <c r="K2276" s="7" t="n">
        <v>45603</v>
      </c>
      <c r="L2276" s="7" t="inlineStr"/>
      <c r="M2276" s="5" t="inlineStr">
        <is>
          <t>Yes</t>
        </is>
      </c>
      <c r="N2276" s="5" t="inlineStr"/>
      <c r="O2276" s="8" t="inlineStr">
        <is>
          <t>184500</t>
        </is>
      </c>
      <c r="P2276" s="5" t="inlineStr">
        <is>
          <t>0</t>
        </is>
      </c>
      <c r="Q2276" s="5" t="inlineStr">
        <is>
          <t>3</t>
        </is>
      </c>
      <c r="R2276" s="5" t="inlineStr">
        <is>
          <t>7</t>
        </is>
      </c>
      <c r="S2276" s="5" t="inlineStr">
        <is>
          <t>13</t>
        </is>
      </c>
      <c r="T2276" s="5" t="inlineStr">
        <is>
          <t>0</t>
        </is>
      </c>
      <c r="U2276" s="5">
        <f>IFS(C2276&lt;30,"Under 30",C2276&lt;40,"30-39",C2276&lt;50,"40-49",TRUE,"50+")</f>
        <v/>
      </c>
      <c r="V2276" s="5">
        <f>IFS(O2276&lt;60000,"Low (&lt;60k)",O2276&lt;100000,"Mid (60-100k)",TRUE,"High (100k+)")</f>
        <v/>
      </c>
      <c r="W2276" s="5">
        <f>IF(M2276="No","Attrited","Active")</f>
        <v/>
      </c>
    </row>
    <row r="2277">
      <c r="A2277" s="5" t="inlineStr">
        <is>
          <t>E02276</t>
        </is>
      </c>
      <c r="B2277" s="5" t="inlineStr">
        <is>
          <t>Female</t>
        </is>
      </c>
      <c r="C2277" s="6" t="inlineStr">
        <is>
          <t>34</t>
        </is>
      </c>
      <c r="D2277" s="5" t="inlineStr">
        <is>
          <t>Married</t>
        </is>
      </c>
      <c r="E2277" s="5" t="inlineStr">
        <is>
          <t>Master</t>
        </is>
      </c>
      <c r="F2277" s="5" t="inlineStr">
        <is>
          <t>Operations</t>
        </is>
      </c>
      <c r="G2277" s="5" t="inlineStr">
        <is>
          <t>Logistics Coordinator</t>
        </is>
      </c>
      <c r="H2277" s="5" t="inlineStr">
        <is>
          <t>2</t>
        </is>
      </c>
      <c r="I2277" s="5" t="inlineStr">
        <is>
          <t>Bengaluru</t>
        </is>
      </c>
      <c r="J2277" s="5" t="inlineStr">
        <is>
          <t>Full-Time</t>
        </is>
      </c>
      <c r="K2277" s="7" t="n">
        <v>44442</v>
      </c>
      <c r="L2277" s="7" t="inlineStr"/>
      <c r="M2277" s="5" t="inlineStr">
        <is>
          <t>Yes</t>
        </is>
      </c>
      <c r="N2277" s="5" t="inlineStr"/>
      <c r="O2277" s="8" t="inlineStr">
        <is>
          <t>90000</t>
        </is>
      </c>
      <c r="P2277" s="5" t="inlineStr">
        <is>
          <t>5</t>
        </is>
      </c>
      <c r="Q2277" s="5" t="inlineStr">
        <is>
          <t>4</t>
        </is>
      </c>
      <c r="R2277" s="5" t="inlineStr">
        <is>
          <t>5</t>
        </is>
      </c>
      <c r="S2277" s="5" t="inlineStr">
        <is>
          <t>52</t>
        </is>
      </c>
      <c r="T2277" s="5" t="inlineStr">
        <is>
          <t>7</t>
        </is>
      </c>
      <c r="U2277" s="5">
        <f>IFS(C2277&lt;30,"Under 30",C2277&lt;40,"30-39",C2277&lt;50,"40-49",TRUE,"50+")</f>
        <v/>
      </c>
      <c r="V2277" s="5">
        <f>IFS(O2277&lt;60000,"Low (&lt;60k)",O2277&lt;100000,"Mid (60-100k)",TRUE,"High (100k+)")</f>
        <v/>
      </c>
      <c r="W2277" s="5">
        <f>IF(M2277="No","Attrited","Active")</f>
        <v/>
      </c>
    </row>
    <row r="2278">
      <c r="A2278" s="5" t="inlineStr">
        <is>
          <t>E02277</t>
        </is>
      </c>
      <c r="B2278" s="5" t="inlineStr">
        <is>
          <t>Male</t>
        </is>
      </c>
      <c r="C2278" s="6" t="inlineStr">
        <is>
          <t>32</t>
        </is>
      </c>
      <c r="D2278" s="5" t="inlineStr">
        <is>
          <t>Married</t>
        </is>
      </c>
      <c r="E2278" s="5" t="inlineStr">
        <is>
          <t>Bachelor</t>
        </is>
      </c>
      <c r="F2278" s="5" t="inlineStr">
        <is>
          <t>Operations</t>
        </is>
      </c>
      <c r="G2278" s="5" t="inlineStr">
        <is>
          <t>Logistics Coordinator</t>
        </is>
      </c>
      <c r="H2278" s="5" t="inlineStr">
        <is>
          <t>2</t>
        </is>
      </c>
      <c r="I2278" s="5" t="inlineStr">
        <is>
          <t>Delhi</t>
        </is>
      </c>
      <c r="J2278" s="5" t="inlineStr">
        <is>
          <t>Full-Time</t>
        </is>
      </c>
      <c r="K2278" s="7" t="n">
        <v>44318</v>
      </c>
      <c r="L2278" s="7" t="n">
        <v>44435</v>
      </c>
      <c r="M2278" s="5" t="inlineStr">
        <is>
          <t>No</t>
        </is>
      </c>
      <c r="N2278" s="5" t="inlineStr">
        <is>
          <t>Retirement</t>
        </is>
      </c>
      <c r="O2278" s="8" t="inlineStr">
        <is>
          <t>105500</t>
        </is>
      </c>
      <c r="P2278" s="5" t="inlineStr">
        <is>
          <t>0</t>
        </is>
      </c>
      <c r="Q2278" s="5" t="inlineStr">
        <is>
          <t>3</t>
        </is>
      </c>
      <c r="R2278" s="5" t="inlineStr">
        <is>
          <t>8</t>
        </is>
      </c>
      <c r="S2278" s="5" t="inlineStr">
        <is>
          <t>3</t>
        </is>
      </c>
      <c r="T2278" s="5" t="inlineStr">
        <is>
          <t>1</t>
        </is>
      </c>
      <c r="U2278" s="5">
        <f>IFS(C2278&lt;30,"Under 30",C2278&lt;40,"30-39",C2278&lt;50,"40-49",TRUE,"50+")</f>
        <v/>
      </c>
      <c r="V2278" s="5">
        <f>IFS(O2278&lt;60000,"Low (&lt;60k)",O2278&lt;100000,"Mid (60-100k)",TRUE,"High (100k+)")</f>
        <v/>
      </c>
      <c r="W2278" s="5">
        <f>IF(M2278="No","Attrited","Active")</f>
        <v/>
      </c>
    </row>
    <row r="2279">
      <c r="A2279" s="5" t="inlineStr">
        <is>
          <t>E02278</t>
        </is>
      </c>
      <c r="B2279" s="5" t="inlineStr">
        <is>
          <t>Male</t>
        </is>
      </c>
      <c r="C2279" s="6" t="inlineStr">
        <is>
          <t>33</t>
        </is>
      </c>
      <c r="D2279" s="5" t="inlineStr">
        <is>
          <t>Single</t>
        </is>
      </c>
      <c r="E2279" s="5" t="inlineStr">
        <is>
          <t>Diploma</t>
        </is>
      </c>
      <c r="F2279" s="5" t="inlineStr">
        <is>
          <t>Operations</t>
        </is>
      </c>
      <c r="G2279" s="5" t="inlineStr">
        <is>
          <t>Quality Analyst</t>
        </is>
      </c>
      <c r="H2279" s="5" t="inlineStr">
        <is>
          <t>1</t>
        </is>
      </c>
      <c r="I2279" s="5" t="inlineStr">
        <is>
          <t>Delhi</t>
        </is>
      </c>
      <c r="J2279" s="5" t="inlineStr">
        <is>
          <t>Contract</t>
        </is>
      </c>
      <c r="K2279" s="7" t="n">
        <v>44587</v>
      </c>
      <c r="L2279" s="7" t="n">
        <v>44673</v>
      </c>
      <c r="M2279" s="5" t="inlineStr">
        <is>
          <t>No</t>
        </is>
      </c>
      <c r="N2279" s="5" t="inlineStr">
        <is>
          <t>Layoff</t>
        </is>
      </c>
      <c r="O2279" s="8" t="inlineStr">
        <is>
          <t>68500</t>
        </is>
      </c>
      <c r="P2279" s="5" t="inlineStr">
        <is>
          <t>5</t>
        </is>
      </c>
      <c r="Q2279" s="5" t="inlineStr">
        <is>
          <t>3</t>
        </is>
      </c>
      <c r="R2279" s="5" t="inlineStr">
        <is>
          <t>7</t>
        </is>
      </c>
      <c r="S2279" s="5" t="inlineStr">
        <is>
          <t>2</t>
        </is>
      </c>
      <c r="T2279" s="5" t="inlineStr">
        <is>
          <t>3</t>
        </is>
      </c>
      <c r="U2279" s="5">
        <f>IFS(C2279&lt;30,"Under 30",C2279&lt;40,"30-39",C2279&lt;50,"40-49",TRUE,"50+")</f>
        <v/>
      </c>
      <c r="V2279" s="5">
        <f>IFS(O2279&lt;60000,"Low (&lt;60k)",O2279&lt;100000,"Mid (60-100k)",TRUE,"High (100k+)")</f>
        <v/>
      </c>
      <c r="W2279" s="5">
        <f>IF(M2279="No","Attrited","Active")</f>
        <v/>
      </c>
    </row>
    <row r="2280">
      <c r="A2280" s="5" t="inlineStr">
        <is>
          <t>E02279</t>
        </is>
      </c>
      <c r="B2280" s="5" t="inlineStr">
        <is>
          <t>Male</t>
        </is>
      </c>
      <c r="C2280" s="6" t="inlineStr">
        <is>
          <t>46</t>
        </is>
      </c>
      <c r="D2280" s="5" t="inlineStr">
        <is>
          <t>Married</t>
        </is>
      </c>
      <c r="E2280" s="5" t="inlineStr">
        <is>
          <t>PhD</t>
        </is>
      </c>
      <c r="F2280" s="5" t="inlineStr">
        <is>
          <t>Research &amp; Development</t>
        </is>
      </c>
      <c r="G2280" s="5" t="inlineStr">
        <is>
          <t>Data Scientist</t>
        </is>
      </c>
      <c r="H2280" s="5" t="inlineStr">
        <is>
          <t>7</t>
        </is>
      </c>
      <c r="I2280" s="5" t="inlineStr">
        <is>
          <t>Delhi</t>
        </is>
      </c>
      <c r="J2280" s="5" t="inlineStr">
        <is>
          <t>Full-Time</t>
        </is>
      </c>
      <c r="K2280" s="7" t="n">
        <v>45808</v>
      </c>
      <c r="L2280" s="7" t="n">
        <v>45857</v>
      </c>
      <c r="M2280" s="5" t="inlineStr">
        <is>
          <t>No</t>
        </is>
      </c>
      <c r="N2280" s="5" t="inlineStr">
        <is>
          <t>Resigned</t>
        </is>
      </c>
      <c r="O2280" s="8" t="inlineStr">
        <is>
          <t>273500</t>
        </is>
      </c>
      <c r="P2280" s="5" t="inlineStr">
        <is>
          <t>0</t>
        </is>
      </c>
      <c r="Q2280" s="5" t="inlineStr">
        <is>
          <t>4</t>
        </is>
      </c>
      <c r="R2280" s="5" t="inlineStr">
        <is>
          <t>4</t>
        </is>
      </c>
      <c r="S2280" s="5" t="inlineStr">
        <is>
          <t>1</t>
        </is>
      </c>
      <c r="T2280" s="5" t="inlineStr">
        <is>
          <t>6</t>
        </is>
      </c>
      <c r="U2280" s="5">
        <f>IFS(C2280&lt;30,"Under 30",C2280&lt;40,"30-39",C2280&lt;50,"40-49",TRUE,"50+")</f>
        <v/>
      </c>
      <c r="V2280" s="5">
        <f>IFS(O2280&lt;60000,"Low (&lt;60k)",O2280&lt;100000,"Mid (60-100k)",TRUE,"High (100k+)")</f>
        <v/>
      </c>
      <c r="W2280" s="5">
        <f>IF(M2280="No","Attrited","Active")</f>
        <v/>
      </c>
    </row>
    <row r="2281">
      <c r="A2281" s="5" t="inlineStr">
        <is>
          <t>E02280</t>
        </is>
      </c>
      <c r="B2281" s="5" t="inlineStr">
        <is>
          <t>Male</t>
        </is>
      </c>
      <c r="C2281" s="6" t="inlineStr">
        <is>
          <t>33</t>
        </is>
      </c>
      <c r="D2281" s="5" t="inlineStr">
        <is>
          <t>Married</t>
        </is>
      </c>
      <c r="E2281" s="5" t="inlineStr">
        <is>
          <t>Diploma</t>
        </is>
      </c>
      <c r="F2281" s="5" t="inlineStr">
        <is>
          <t>Customer Support</t>
        </is>
      </c>
      <c r="G2281" s="5" t="inlineStr">
        <is>
          <t>Support Lead</t>
        </is>
      </c>
      <c r="H2281" s="5" t="inlineStr">
        <is>
          <t>4</t>
        </is>
      </c>
      <c r="I2281" s="5" t="inlineStr">
        <is>
          <t>Delhi</t>
        </is>
      </c>
      <c r="J2281" s="5" t="inlineStr">
        <is>
          <t>Full-Time</t>
        </is>
      </c>
      <c r="K2281" s="7" t="n">
        <v>45556</v>
      </c>
      <c r="L2281" s="7" t="n">
        <v>45609</v>
      </c>
      <c r="M2281" s="5" t="inlineStr">
        <is>
          <t>No</t>
        </is>
      </c>
      <c r="N2281" s="5" t="inlineStr">
        <is>
          <t>Performance / Termination</t>
        </is>
      </c>
      <c r="O2281" s="8" t="inlineStr">
        <is>
          <t>99000</t>
        </is>
      </c>
      <c r="P2281" s="5" t="inlineStr">
        <is>
          <t>5</t>
        </is>
      </c>
      <c r="Q2281" s="5" t="inlineStr">
        <is>
          <t>5</t>
        </is>
      </c>
      <c r="R2281" s="5" t="inlineStr">
        <is>
          <t>6</t>
        </is>
      </c>
      <c r="S2281" s="5" t="inlineStr">
        <is>
          <t>1</t>
        </is>
      </c>
      <c r="T2281" s="5" t="inlineStr">
        <is>
          <t>13</t>
        </is>
      </c>
      <c r="U2281" s="5">
        <f>IFS(C2281&lt;30,"Under 30",C2281&lt;40,"30-39",C2281&lt;50,"40-49",TRUE,"50+")</f>
        <v/>
      </c>
      <c r="V2281" s="5">
        <f>IFS(O2281&lt;60000,"Low (&lt;60k)",O2281&lt;100000,"Mid (60-100k)",TRUE,"High (100k+)")</f>
        <v/>
      </c>
      <c r="W2281" s="5">
        <f>IF(M2281="No","Attrited","Active")</f>
        <v/>
      </c>
    </row>
    <row r="2282">
      <c r="A2282" s="5" t="inlineStr">
        <is>
          <t>E02281</t>
        </is>
      </c>
      <c r="B2282" s="5" t="inlineStr">
        <is>
          <t>Female</t>
        </is>
      </c>
      <c r="C2282" s="6" t="inlineStr">
        <is>
          <t>32</t>
        </is>
      </c>
      <c r="D2282" s="5" t="inlineStr">
        <is>
          <t>Married</t>
        </is>
      </c>
      <c r="E2282" s="5" t="inlineStr">
        <is>
          <t>Master</t>
        </is>
      </c>
      <c r="F2282" s="5" t="inlineStr">
        <is>
          <t>Research &amp; Development</t>
        </is>
      </c>
      <c r="G2282" s="5" t="inlineStr">
        <is>
          <t>Research Scientist</t>
        </is>
      </c>
      <c r="H2282" s="5" t="inlineStr">
        <is>
          <t>2</t>
        </is>
      </c>
      <c r="I2282" s="5" t="inlineStr">
        <is>
          <t>Remote</t>
        </is>
      </c>
      <c r="J2282" s="5" t="inlineStr">
        <is>
          <t>Full-Time</t>
        </is>
      </c>
      <c r="K2282" s="7" t="n">
        <v>45641</v>
      </c>
      <c r="L2282" s="7" t="inlineStr"/>
      <c r="M2282" s="5" t="inlineStr">
        <is>
          <t>Yes</t>
        </is>
      </c>
      <c r="N2282" s="5" t="inlineStr"/>
      <c r="O2282" s="8" t="inlineStr">
        <is>
          <t>159500</t>
        </is>
      </c>
      <c r="P2282" s="5" t="inlineStr">
        <is>
          <t>0</t>
        </is>
      </c>
      <c r="Q2282" s="5" t="inlineStr">
        <is>
          <t>3</t>
        </is>
      </c>
      <c r="R2282" s="5" t="inlineStr">
        <is>
          <t>5</t>
        </is>
      </c>
      <c r="S2282" s="5" t="inlineStr">
        <is>
          <t>12</t>
        </is>
      </c>
      <c r="T2282" s="5" t="inlineStr">
        <is>
          <t>3</t>
        </is>
      </c>
      <c r="U2282" s="5">
        <f>IFS(C2282&lt;30,"Under 30",C2282&lt;40,"30-39",C2282&lt;50,"40-49",TRUE,"50+")</f>
        <v/>
      </c>
      <c r="V2282" s="5">
        <f>IFS(O2282&lt;60000,"Low (&lt;60k)",O2282&lt;100000,"Mid (60-100k)",TRUE,"High (100k+)")</f>
        <v/>
      </c>
      <c r="W2282" s="5">
        <f>IF(M2282="No","Attrited","Active")</f>
        <v/>
      </c>
    </row>
    <row r="2283">
      <c r="A2283" s="5" t="inlineStr">
        <is>
          <t>E02282</t>
        </is>
      </c>
      <c r="B2283" s="5" t="inlineStr">
        <is>
          <t>Male</t>
        </is>
      </c>
      <c r="C2283" s="6" t="inlineStr">
        <is>
          <t>26</t>
        </is>
      </c>
      <c r="D2283" s="5" t="inlineStr">
        <is>
          <t>Single</t>
        </is>
      </c>
      <c r="E2283" s="5" t="inlineStr">
        <is>
          <t>PhD</t>
        </is>
      </c>
      <c r="F2283" s="5" t="inlineStr">
        <is>
          <t>Marketing</t>
        </is>
      </c>
      <c r="G2283" s="5" t="inlineStr">
        <is>
          <t>Content Writer</t>
        </is>
      </c>
      <c r="H2283" s="5" t="inlineStr">
        <is>
          <t>2</t>
        </is>
      </c>
      <c r="I2283" s="5" t="inlineStr">
        <is>
          <t>Delhi</t>
        </is>
      </c>
      <c r="J2283" s="5" t="inlineStr">
        <is>
          <t>Full-Time</t>
        </is>
      </c>
      <c r="K2283" s="7" t="n">
        <v>44796</v>
      </c>
      <c r="L2283" s="7" t="n">
        <v>44936</v>
      </c>
      <c r="M2283" s="5" t="inlineStr">
        <is>
          <t>No</t>
        </is>
      </c>
      <c r="N2283" s="5" t="inlineStr">
        <is>
          <t>Layoff</t>
        </is>
      </c>
      <c r="O2283" s="8" t="inlineStr">
        <is>
          <t>65500</t>
        </is>
      </c>
      <c r="P2283" s="5" t="inlineStr">
        <is>
          <t>0</t>
        </is>
      </c>
      <c r="Q2283" s="5" t="inlineStr">
        <is>
          <t>5</t>
        </is>
      </c>
      <c r="R2283" s="5" t="inlineStr">
        <is>
          <t>6</t>
        </is>
      </c>
      <c r="S2283" s="5" t="inlineStr">
        <is>
          <t>4</t>
        </is>
      </c>
      <c r="T2283" s="5" t="inlineStr">
        <is>
          <t>0</t>
        </is>
      </c>
      <c r="U2283" s="5">
        <f>IFS(C2283&lt;30,"Under 30",C2283&lt;40,"30-39",C2283&lt;50,"40-49",TRUE,"50+")</f>
        <v/>
      </c>
      <c r="V2283" s="5">
        <f>IFS(O2283&lt;60000,"Low (&lt;60k)",O2283&lt;100000,"Mid (60-100k)",TRUE,"High (100k+)")</f>
        <v/>
      </c>
      <c r="W2283" s="5">
        <f>IF(M2283="No","Attrited","Active")</f>
        <v/>
      </c>
    </row>
    <row r="2284">
      <c r="A2284" s="5" t="inlineStr">
        <is>
          <t>E02283</t>
        </is>
      </c>
      <c r="B2284" s="5" t="inlineStr">
        <is>
          <t>Male</t>
        </is>
      </c>
      <c r="C2284" s="6" t="inlineStr">
        <is>
          <t>34</t>
        </is>
      </c>
      <c r="D2284" s="5" t="inlineStr">
        <is>
          <t>Married</t>
        </is>
      </c>
      <c r="E2284" s="5" t="inlineStr">
        <is>
          <t>High School</t>
        </is>
      </c>
      <c r="F2284" s="5" t="inlineStr">
        <is>
          <t>Operations</t>
        </is>
      </c>
      <c r="G2284" s="5" t="inlineStr">
        <is>
          <t>Operations Analyst</t>
        </is>
      </c>
      <c r="H2284" s="5" t="inlineStr">
        <is>
          <t>5</t>
        </is>
      </c>
      <c r="I2284" s="5" t="inlineStr">
        <is>
          <t>Chennai</t>
        </is>
      </c>
      <c r="J2284" s="5" t="inlineStr">
        <is>
          <t>Full-Time</t>
        </is>
      </c>
      <c r="K2284" s="7" t="n">
        <v>45691</v>
      </c>
      <c r="L2284" s="7" t="n">
        <v>45754</v>
      </c>
      <c r="M2284" s="5" t="inlineStr">
        <is>
          <t>No</t>
        </is>
      </c>
      <c r="N2284" s="5" t="inlineStr">
        <is>
          <t>Retirement</t>
        </is>
      </c>
      <c r="O2284" s="8" t="inlineStr">
        <is>
          <t>91500</t>
        </is>
      </c>
      <c r="P2284" s="5" t="inlineStr">
        <is>
          <t>5</t>
        </is>
      </c>
      <c r="Q2284" s="5" t="inlineStr">
        <is>
          <t>4</t>
        </is>
      </c>
      <c r="R2284" s="5" t="inlineStr">
        <is>
          <t>6</t>
        </is>
      </c>
      <c r="S2284" s="5" t="inlineStr">
        <is>
          <t>2</t>
        </is>
      </c>
      <c r="T2284" s="5" t="inlineStr">
        <is>
          <t>4</t>
        </is>
      </c>
      <c r="U2284" s="5">
        <f>IFS(C2284&lt;30,"Under 30",C2284&lt;40,"30-39",C2284&lt;50,"40-49",TRUE,"50+")</f>
        <v/>
      </c>
      <c r="V2284" s="5">
        <f>IFS(O2284&lt;60000,"Low (&lt;60k)",O2284&lt;100000,"Mid (60-100k)",TRUE,"High (100k+)")</f>
        <v/>
      </c>
      <c r="W2284" s="5">
        <f>IF(M2284="No","Attrited","Active")</f>
        <v/>
      </c>
    </row>
    <row r="2285">
      <c r="A2285" s="5" t="inlineStr">
        <is>
          <t>E02284</t>
        </is>
      </c>
      <c r="B2285" s="5" t="inlineStr">
        <is>
          <t>Female</t>
        </is>
      </c>
      <c r="C2285" s="6" t="inlineStr">
        <is>
          <t>38</t>
        </is>
      </c>
      <c r="D2285" s="5" t="inlineStr">
        <is>
          <t>Married</t>
        </is>
      </c>
      <c r="E2285" s="5" t="inlineStr">
        <is>
          <t>Diploma</t>
        </is>
      </c>
      <c r="F2285" s="5" t="inlineStr">
        <is>
          <t>IT</t>
        </is>
      </c>
      <c r="G2285" s="5" t="inlineStr">
        <is>
          <t>IT Support</t>
        </is>
      </c>
      <c r="H2285" s="5" t="inlineStr">
        <is>
          <t>7</t>
        </is>
      </c>
      <c r="I2285" s="5" t="inlineStr">
        <is>
          <t>Chennai</t>
        </is>
      </c>
      <c r="J2285" s="5" t="inlineStr">
        <is>
          <t>Full-Time</t>
        </is>
      </c>
      <c r="K2285" s="7" t="n">
        <v>44090</v>
      </c>
      <c r="L2285" s="7" t="inlineStr"/>
      <c r="M2285" s="5" t="inlineStr">
        <is>
          <t>Yes</t>
        </is>
      </c>
      <c r="N2285" s="5" t="inlineStr"/>
      <c r="O2285" s="8" t="inlineStr">
        <is>
          <t>237500</t>
        </is>
      </c>
      <c r="P2285" s="5" t="inlineStr">
        <is>
          <t>10</t>
        </is>
      </c>
      <c r="Q2285" s="5" t="inlineStr">
        <is>
          <t>3</t>
        </is>
      </c>
      <c r="R2285" s="5" t="inlineStr">
        <is>
          <t>4</t>
        </is>
      </c>
      <c r="S2285" s="5" t="inlineStr">
        <is>
          <t>64</t>
        </is>
      </c>
      <c r="T2285" s="5" t="inlineStr">
        <is>
          <t>0</t>
        </is>
      </c>
      <c r="U2285" s="5">
        <f>IFS(C2285&lt;30,"Under 30",C2285&lt;40,"30-39",C2285&lt;50,"40-49",TRUE,"50+")</f>
        <v/>
      </c>
      <c r="V2285" s="5">
        <f>IFS(O2285&lt;60000,"Low (&lt;60k)",O2285&lt;100000,"Mid (60-100k)",TRUE,"High (100k+)")</f>
        <v/>
      </c>
      <c r="W2285" s="5">
        <f>IF(M2285="No","Attrited","Active")</f>
        <v/>
      </c>
    </row>
    <row r="2286">
      <c r="A2286" s="5" t="inlineStr">
        <is>
          <t>E02285</t>
        </is>
      </c>
      <c r="B2286" s="5" t="inlineStr">
        <is>
          <t>Female</t>
        </is>
      </c>
      <c r="C2286" s="6" t="inlineStr">
        <is>
          <t>33</t>
        </is>
      </c>
      <c r="D2286" s="5" t="inlineStr">
        <is>
          <t>Married</t>
        </is>
      </c>
      <c r="E2286" s="5" t="inlineStr">
        <is>
          <t>Bachelor</t>
        </is>
      </c>
      <c r="F2286" s="5" t="inlineStr">
        <is>
          <t>Marketing</t>
        </is>
      </c>
      <c r="G2286" s="5" t="inlineStr">
        <is>
          <t>Marketing Analyst</t>
        </is>
      </c>
      <c r="H2286" s="5" t="inlineStr">
        <is>
          <t>3</t>
        </is>
      </c>
      <c r="I2286" s="5" t="inlineStr">
        <is>
          <t>Mumbai</t>
        </is>
      </c>
      <c r="J2286" s="5" t="inlineStr">
        <is>
          <t>Full-Time</t>
        </is>
      </c>
      <c r="K2286" s="7" t="n">
        <v>44078</v>
      </c>
      <c r="L2286" s="7" t="inlineStr"/>
      <c r="M2286" s="5" t="inlineStr">
        <is>
          <t>Yes</t>
        </is>
      </c>
      <c r="N2286" s="5" t="inlineStr"/>
      <c r="O2286" s="8" t="inlineStr">
        <is>
          <t>111000</t>
        </is>
      </c>
      <c r="P2286" s="5" t="inlineStr">
        <is>
          <t>5</t>
        </is>
      </c>
      <c r="Q2286" s="5" t="inlineStr">
        <is>
          <t>2</t>
        </is>
      </c>
      <c r="R2286" s="5" t="inlineStr">
        <is>
          <t>8</t>
        </is>
      </c>
      <c r="S2286" s="5" t="inlineStr">
        <is>
          <t>64</t>
        </is>
      </c>
      <c r="T2286" s="5" t="inlineStr">
        <is>
          <t>5</t>
        </is>
      </c>
      <c r="U2286" s="5">
        <f>IFS(C2286&lt;30,"Under 30",C2286&lt;40,"30-39",C2286&lt;50,"40-49",TRUE,"50+")</f>
        <v/>
      </c>
      <c r="V2286" s="5">
        <f>IFS(O2286&lt;60000,"Low (&lt;60k)",O2286&lt;100000,"Mid (60-100k)",TRUE,"High (100k+)")</f>
        <v/>
      </c>
      <c r="W2286" s="5">
        <f>IF(M2286="No","Attrited","Active")</f>
        <v/>
      </c>
    </row>
    <row r="2287">
      <c r="A2287" s="5" t="inlineStr">
        <is>
          <t>E02286</t>
        </is>
      </c>
      <c r="B2287" s="5" t="inlineStr">
        <is>
          <t>Female</t>
        </is>
      </c>
      <c r="C2287" s="6" t="inlineStr">
        <is>
          <t>28</t>
        </is>
      </c>
      <c r="D2287" s="5" t="inlineStr">
        <is>
          <t>Single</t>
        </is>
      </c>
      <c r="E2287" s="5" t="inlineStr">
        <is>
          <t>Bachelor</t>
        </is>
      </c>
      <c r="F2287" s="5" t="inlineStr">
        <is>
          <t>Sales</t>
        </is>
      </c>
      <c r="G2287" s="5" t="inlineStr">
        <is>
          <t>Account Executive</t>
        </is>
      </c>
      <c r="H2287" s="5" t="inlineStr">
        <is>
          <t>1</t>
        </is>
      </c>
      <c r="I2287" s="5" t="inlineStr">
        <is>
          <t>Bengaluru</t>
        </is>
      </c>
      <c r="J2287" s="5" t="inlineStr">
        <is>
          <t>Full-Time</t>
        </is>
      </c>
      <c r="K2287" s="7" t="n">
        <v>45107</v>
      </c>
      <c r="L2287" s="7" t="inlineStr"/>
      <c r="M2287" s="5" t="inlineStr">
        <is>
          <t>Yes</t>
        </is>
      </c>
      <c r="N2287" s="5" t="inlineStr"/>
      <c r="O2287" s="8" t="inlineStr">
        <is>
          <t>100000</t>
        </is>
      </c>
      <c r="P2287" s="5" t="inlineStr">
        <is>
          <t>0</t>
        </is>
      </c>
      <c r="Q2287" s="5" t="inlineStr">
        <is>
          <t>5</t>
        </is>
      </c>
      <c r="R2287" s="5" t="inlineStr">
        <is>
          <t>8</t>
        </is>
      </c>
      <c r="S2287" s="5" t="inlineStr">
        <is>
          <t>30</t>
        </is>
      </c>
      <c r="T2287" s="5" t="inlineStr">
        <is>
          <t>11</t>
        </is>
      </c>
      <c r="U2287" s="5">
        <f>IFS(C2287&lt;30,"Under 30",C2287&lt;40,"30-39",C2287&lt;50,"40-49",TRUE,"50+")</f>
        <v/>
      </c>
      <c r="V2287" s="5">
        <f>IFS(O2287&lt;60000,"Low (&lt;60k)",O2287&lt;100000,"Mid (60-100k)",TRUE,"High (100k+)")</f>
        <v/>
      </c>
      <c r="W2287" s="5">
        <f>IF(M2287="No","Attrited","Active")</f>
        <v/>
      </c>
    </row>
    <row r="2288">
      <c r="A2288" s="5" t="inlineStr">
        <is>
          <t>E02287</t>
        </is>
      </c>
      <c r="B2288" s="5" t="inlineStr">
        <is>
          <t>Male</t>
        </is>
      </c>
      <c r="C2288" s="6" t="inlineStr">
        <is>
          <t>30</t>
        </is>
      </c>
      <c r="D2288" s="5" t="inlineStr">
        <is>
          <t>Single</t>
        </is>
      </c>
      <c r="E2288" s="5" t="inlineStr">
        <is>
          <t>Diploma</t>
        </is>
      </c>
      <c r="F2288" s="5" t="inlineStr">
        <is>
          <t>Research &amp; Development</t>
        </is>
      </c>
      <c r="G2288" s="5" t="inlineStr">
        <is>
          <t>Research Scientist</t>
        </is>
      </c>
      <c r="H2288" s="5" t="inlineStr">
        <is>
          <t>3</t>
        </is>
      </c>
      <c r="I2288" s="5" t="inlineStr">
        <is>
          <t>Hyderabad</t>
        </is>
      </c>
      <c r="J2288" s="5" t="inlineStr">
        <is>
          <t>Full-Time</t>
        </is>
      </c>
      <c r="K2288" s="7" t="n">
        <v>45590</v>
      </c>
      <c r="L2288" s="7" t="inlineStr"/>
      <c r="M2288" s="5" t="inlineStr">
        <is>
          <t>Yes</t>
        </is>
      </c>
      <c r="N2288" s="5" t="inlineStr"/>
      <c r="O2288" s="8" t="inlineStr">
        <is>
          <t>171000</t>
        </is>
      </c>
      <c r="P2288" s="5" t="inlineStr">
        <is>
          <t>10</t>
        </is>
      </c>
      <c r="Q2288" s="5" t="inlineStr">
        <is>
          <t>5</t>
        </is>
      </c>
      <c r="R2288" s="5" t="inlineStr">
        <is>
          <t>9</t>
        </is>
      </c>
      <c r="S2288" s="5" t="inlineStr">
        <is>
          <t>14</t>
        </is>
      </c>
      <c r="T2288" s="5" t="inlineStr">
        <is>
          <t>7</t>
        </is>
      </c>
      <c r="U2288" s="5">
        <f>IFS(C2288&lt;30,"Under 30",C2288&lt;40,"30-39",C2288&lt;50,"40-49",TRUE,"50+")</f>
        <v/>
      </c>
      <c r="V2288" s="5">
        <f>IFS(O2288&lt;60000,"Low (&lt;60k)",O2288&lt;100000,"Mid (60-100k)",TRUE,"High (100k+)")</f>
        <v/>
      </c>
      <c r="W2288" s="5">
        <f>IF(M2288="No","Attrited","Active")</f>
        <v/>
      </c>
    </row>
    <row r="2289">
      <c r="A2289" s="5" t="inlineStr">
        <is>
          <t>E02288</t>
        </is>
      </c>
      <c r="B2289" s="5" t="inlineStr">
        <is>
          <t>Female</t>
        </is>
      </c>
      <c r="C2289" s="6" t="inlineStr">
        <is>
          <t>34</t>
        </is>
      </c>
      <c r="D2289" s="5" t="inlineStr">
        <is>
          <t>Single</t>
        </is>
      </c>
      <c r="E2289" s="5" t="inlineStr">
        <is>
          <t>Diploma</t>
        </is>
      </c>
      <c r="F2289" s="5" t="inlineStr">
        <is>
          <t>Research &amp; Development</t>
        </is>
      </c>
      <c r="G2289" s="5" t="inlineStr">
        <is>
          <t>Product Engineer</t>
        </is>
      </c>
      <c r="H2289" s="5" t="inlineStr">
        <is>
          <t>2</t>
        </is>
      </c>
      <c r="I2289" s="5" t="inlineStr">
        <is>
          <t>Mumbai</t>
        </is>
      </c>
      <c r="J2289" s="5" t="inlineStr">
        <is>
          <t>Full-Time</t>
        </is>
      </c>
      <c r="K2289" s="7" t="n">
        <v>45495</v>
      </c>
      <c r="L2289" s="7" t="inlineStr"/>
      <c r="M2289" s="5" t="inlineStr">
        <is>
          <t>Yes</t>
        </is>
      </c>
      <c r="N2289" s="5" t="inlineStr"/>
      <c r="O2289" s="8" t="inlineStr">
        <is>
          <t>121000</t>
        </is>
      </c>
      <c r="P2289" s="5" t="inlineStr">
        <is>
          <t>15</t>
        </is>
      </c>
      <c r="Q2289" s="5" t="inlineStr">
        <is>
          <t>4</t>
        </is>
      </c>
      <c r="R2289" s="5" t="inlineStr">
        <is>
          <t>8</t>
        </is>
      </c>
      <c r="S2289" s="5" t="inlineStr">
        <is>
          <t>17</t>
        </is>
      </c>
      <c r="T2289" s="5" t="inlineStr">
        <is>
          <t>0</t>
        </is>
      </c>
      <c r="U2289" s="5">
        <f>IFS(C2289&lt;30,"Under 30",C2289&lt;40,"30-39",C2289&lt;50,"40-49",TRUE,"50+")</f>
        <v/>
      </c>
      <c r="V2289" s="5">
        <f>IFS(O2289&lt;60000,"Low (&lt;60k)",O2289&lt;100000,"Mid (60-100k)",TRUE,"High (100k+)")</f>
        <v/>
      </c>
      <c r="W2289" s="5">
        <f>IF(M2289="No","Attrited","Active")</f>
        <v/>
      </c>
    </row>
    <row r="2290">
      <c r="A2290" s="5" t="inlineStr">
        <is>
          <t>E02289</t>
        </is>
      </c>
      <c r="B2290" s="5" t="inlineStr">
        <is>
          <t>Female</t>
        </is>
      </c>
      <c r="C2290" s="6" t="inlineStr">
        <is>
          <t>30</t>
        </is>
      </c>
      <c r="D2290" s="5" t="inlineStr">
        <is>
          <t>Married</t>
        </is>
      </c>
      <c r="E2290" s="5" t="inlineStr">
        <is>
          <t>Diploma</t>
        </is>
      </c>
      <c r="F2290" s="5" t="inlineStr">
        <is>
          <t>Customer Support</t>
        </is>
      </c>
      <c r="G2290" s="5" t="inlineStr">
        <is>
          <t>Escalation Specialist</t>
        </is>
      </c>
      <c r="H2290" s="5" t="inlineStr">
        <is>
          <t>1</t>
        </is>
      </c>
      <c r="I2290" s="5" t="inlineStr">
        <is>
          <t>Chennai</t>
        </is>
      </c>
      <c r="J2290" s="5" t="inlineStr">
        <is>
          <t>Full-Time</t>
        </is>
      </c>
      <c r="K2290" s="7" t="n">
        <v>45127</v>
      </c>
      <c r="L2290" s="7" t="inlineStr"/>
      <c r="M2290" s="5" t="inlineStr">
        <is>
          <t>Yes</t>
        </is>
      </c>
      <c r="N2290" s="5" t="inlineStr"/>
      <c r="O2290" s="8" t="inlineStr">
        <is>
          <t>41500</t>
        </is>
      </c>
      <c r="P2290" s="5" t="inlineStr">
        <is>
          <t>0</t>
        </is>
      </c>
      <c r="Q2290" s="5" t="inlineStr">
        <is>
          <t>3</t>
        </is>
      </c>
      <c r="R2290" s="5" t="inlineStr">
        <is>
          <t>6</t>
        </is>
      </c>
      <c r="S2290" s="5" t="inlineStr">
        <is>
          <t>29</t>
        </is>
      </c>
      <c r="T2290" s="5" t="inlineStr">
        <is>
          <t>11</t>
        </is>
      </c>
      <c r="U2290" s="5">
        <f>IFS(C2290&lt;30,"Under 30",C2290&lt;40,"30-39",C2290&lt;50,"40-49",TRUE,"50+")</f>
        <v/>
      </c>
      <c r="V2290" s="5">
        <f>IFS(O2290&lt;60000,"Low (&lt;60k)",O2290&lt;100000,"Mid (60-100k)",TRUE,"High (100k+)")</f>
        <v/>
      </c>
      <c r="W2290" s="5">
        <f>IF(M2290="No","Attrited","Active")</f>
        <v/>
      </c>
    </row>
    <row r="2291">
      <c r="A2291" s="5" t="inlineStr">
        <is>
          <t>E02290</t>
        </is>
      </c>
      <c r="B2291" s="5" t="inlineStr">
        <is>
          <t>Female</t>
        </is>
      </c>
      <c r="C2291" s="6" t="inlineStr">
        <is>
          <t>35</t>
        </is>
      </c>
      <c r="D2291" s="5" t="inlineStr">
        <is>
          <t>Married</t>
        </is>
      </c>
      <c r="E2291" s="5" t="inlineStr">
        <is>
          <t>Master</t>
        </is>
      </c>
      <c r="F2291" s="5" t="inlineStr">
        <is>
          <t>IT</t>
        </is>
      </c>
      <c r="G2291" s="5" t="inlineStr">
        <is>
          <t>DevOps Engineer</t>
        </is>
      </c>
      <c r="H2291" s="5" t="inlineStr">
        <is>
          <t>2</t>
        </is>
      </c>
      <c r="I2291" s="5" t="inlineStr">
        <is>
          <t>Bengaluru</t>
        </is>
      </c>
      <c r="J2291" s="5" t="inlineStr">
        <is>
          <t>Full-Time</t>
        </is>
      </c>
      <c r="K2291" s="7" t="n">
        <v>43962</v>
      </c>
      <c r="L2291" s="7" t="inlineStr"/>
      <c r="M2291" s="5" t="inlineStr">
        <is>
          <t>Yes</t>
        </is>
      </c>
      <c r="N2291" s="5" t="inlineStr"/>
      <c r="O2291" s="8" t="inlineStr">
        <is>
          <t>150500</t>
        </is>
      </c>
      <c r="P2291" s="5" t="inlineStr">
        <is>
          <t>10</t>
        </is>
      </c>
      <c r="Q2291" s="5" t="inlineStr">
        <is>
          <t>3</t>
        </is>
      </c>
      <c r="R2291" s="5" t="inlineStr">
        <is>
          <t>7</t>
        </is>
      </c>
      <c r="S2291" s="5" t="inlineStr">
        <is>
          <t>68</t>
        </is>
      </c>
      <c r="T2291" s="5" t="inlineStr">
        <is>
          <t>6</t>
        </is>
      </c>
      <c r="U2291" s="5">
        <f>IFS(C2291&lt;30,"Under 30",C2291&lt;40,"30-39",C2291&lt;50,"40-49",TRUE,"50+")</f>
        <v/>
      </c>
      <c r="V2291" s="5">
        <f>IFS(O2291&lt;60000,"Low (&lt;60k)",O2291&lt;100000,"Mid (60-100k)",TRUE,"High (100k+)")</f>
        <v/>
      </c>
      <c r="W2291" s="5">
        <f>IF(M2291="No","Attrited","Active")</f>
        <v/>
      </c>
    </row>
    <row r="2292">
      <c r="A2292" s="5" t="inlineStr">
        <is>
          <t>E02291</t>
        </is>
      </c>
      <c r="B2292" s="5" t="inlineStr">
        <is>
          <t>Female</t>
        </is>
      </c>
      <c r="C2292" s="6" t="inlineStr">
        <is>
          <t>35</t>
        </is>
      </c>
      <c r="D2292" s="5" t="inlineStr">
        <is>
          <t>Single</t>
        </is>
      </c>
      <c r="E2292" s="5" t="inlineStr">
        <is>
          <t>Master</t>
        </is>
      </c>
      <c r="F2292" s="5" t="inlineStr">
        <is>
          <t>Customer Support</t>
        </is>
      </c>
      <c r="G2292" s="5" t="inlineStr">
        <is>
          <t>Support Lead</t>
        </is>
      </c>
      <c r="H2292" s="5" t="inlineStr">
        <is>
          <t>2</t>
        </is>
      </c>
      <c r="I2292" s="5" t="inlineStr">
        <is>
          <t>Delhi</t>
        </is>
      </c>
      <c r="J2292" s="5" t="inlineStr">
        <is>
          <t>Full-Time</t>
        </is>
      </c>
      <c r="K2292" s="7" t="n">
        <v>45535</v>
      </c>
      <c r="L2292" s="7" t="inlineStr"/>
      <c r="M2292" s="5" t="inlineStr">
        <is>
          <t>Yes</t>
        </is>
      </c>
      <c r="N2292" s="5" t="inlineStr"/>
      <c r="O2292" s="8" t="inlineStr">
        <is>
          <t>83500</t>
        </is>
      </c>
      <c r="P2292" s="5" t="inlineStr">
        <is>
          <t>10</t>
        </is>
      </c>
      <c r="Q2292" s="5" t="inlineStr">
        <is>
          <t>4</t>
        </is>
      </c>
      <c r="R2292" s="5" t="inlineStr">
        <is>
          <t>4</t>
        </is>
      </c>
      <c r="S2292" s="5" t="inlineStr">
        <is>
          <t>16</t>
        </is>
      </c>
      <c r="T2292" s="5" t="inlineStr">
        <is>
          <t>20</t>
        </is>
      </c>
      <c r="U2292" s="5">
        <f>IFS(C2292&lt;30,"Under 30",C2292&lt;40,"30-39",C2292&lt;50,"40-49",TRUE,"50+")</f>
        <v/>
      </c>
      <c r="V2292" s="5">
        <f>IFS(O2292&lt;60000,"Low (&lt;60k)",O2292&lt;100000,"Mid (60-100k)",TRUE,"High (100k+)")</f>
        <v/>
      </c>
      <c r="W2292" s="5">
        <f>IF(M2292="No","Attrited","Active")</f>
        <v/>
      </c>
    </row>
    <row r="2293">
      <c r="A2293" s="5" t="inlineStr">
        <is>
          <t>E02292</t>
        </is>
      </c>
      <c r="B2293" s="5" t="inlineStr">
        <is>
          <t>Female</t>
        </is>
      </c>
      <c r="C2293" s="6" t="inlineStr">
        <is>
          <t>37</t>
        </is>
      </c>
      <c r="D2293" s="5" t="inlineStr">
        <is>
          <t>Married</t>
        </is>
      </c>
      <c r="E2293" s="5" t="inlineStr">
        <is>
          <t>Master</t>
        </is>
      </c>
      <c r="F2293" s="5" t="inlineStr">
        <is>
          <t>Research &amp; Development</t>
        </is>
      </c>
      <c r="G2293" s="5" t="inlineStr">
        <is>
          <t>Product Engineer</t>
        </is>
      </c>
      <c r="H2293" s="5" t="inlineStr">
        <is>
          <t>3</t>
        </is>
      </c>
      <c r="I2293" s="5" t="inlineStr">
        <is>
          <t>Mumbai</t>
        </is>
      </c>
      <c r="J2293" s="5" t="inlineStr">
        <is>
          <t>Part-Time</t>
        </is>
      </c>
      <c r="K2293" s="7" t="n">
        <v>45381</v>
      </c>
      <c r="L2293" s="7" t="inlineStr"/>
      <c r="M2293" s="5" t="inlineStr">
        <is>
          <t>Yes</t>
        </is>
      </c>
      <c r="N2293" s="5" t="inlineStr"/>
      <c r="O2293" s="8" t="inlineStr">
        <is>
          <t>186000</t>
        </is>
      </c>
      <c r="P2293" s="5" t="inlineStr">
        <is>
          <t>0</t>
        </is>
      </c>
      <c r="Q2293" s="5" t="inlineStr">
        <is>
          <t>4</t>
        </is>
      </c>
      <c r="R2293" s="5" t="inlineStr">
        <is>
          <t>6</t>
        </is>
      </c>
      <c r="S2293" s="5" t="inlineStr">
        <is>
          <t>21</t>
        </is>
      </c>
      <c r="T2293" s="5" t="inlineStr">
        <is>
          <t>13</t>
        </is>
      </c>
      <c r="U2293" s="5">
        <f>IFS(C2293&lt;30,"Under 30",C2293&lt;40,"30-39",C2293&lt;50,"40-49",TRUE,"50+")</f>
        <v/>
      </c>
      <c r="V2293" s="5">
        <f>IFS(O2293&lt;60000,"Low (&lt;60k)",O2293&lt;100000,"Mid (60-100k)",TRUE,"High (100k+)")</f>
        <v/>
      </c>
      <c r="W2293" s="5">
        <f>IF(M2293="No","Attrited","Active")</f>
        <v/>
      </c>
    </row>
    <row r="2294">
      <c r="A2294" s="5" t="inlineStr">
        <is>
          <t>E02293</t>
        </is>
      </c>
      <c r="B2294" s="5" t="inlineStr">
        <is>
          <t>Male</t>
        </is>
      </c>
      <c r="C2294" s="6" t="inlineStr">
        <is>
          <t>28</t>
        </is>
      </c>
      <c r="D2294" s="5" t="inlineStr">
        <is>
          <t>Married</t>
        </is>
      </c>
      <c r="E2294" s="5" t="inlineStr">
        <is>
          <t>Diploma</t>
        </is>
      </c>
      <c r="F2294" s="5" t="inlineStr">
        <is>
          <t>Research &amp; Development</t>
        </is>
      </c>
      <c r="G2294" s="5" t="inlineStr">
        <is>
          <t>Data Scientist</t>
        </is>
      </c>
      <c r="H2294" s="5" t="inlineStr">
        <is>
          <t>3</t>
        </is>
      </c>
      <c r="I2294" s="5" t="inlineStr">
        <is>
          <t>Bengaluru</t>
        </is>
      </c>
      <c r="J2294" s="5" t="inlineStr">
        <is>
          <t>Part-Time</t>
        </is>
      </c>
      <c r="K2294" s="7" t="n">
        <v>44837</v>
      </c>
      <c r="L2294" s="7" t="inlineStr"/>
      <c r="M2294" s="5" t="inlineStr">
        <is>
          <t>Yes</t>
        </is>
      </c>
      <c r="N2294" s="5" t="inlineStr"/>
      <c r="O2294" s="8" t="inlineStr">
        <is>
          <t>140000</t>
        </is>
      </c>
      <c r="P2294" s="5" t="inlineStr">
        <is>
          <t>5</t>
        </is>
      </c>
      <c r="Q2294" s="5" t="inlineStr">
        <is>
          <t>4</t>
        </is>
      </c>
      <c r="R2294" s="5" t="inlineStr">
        <is>
          <t>6</t>
        </is>
      </c>
      <c r="S2294" s="5" t="inlineStr">
        <is>
          <t>39</t>
        </is>
      </c>
      <c r="T2294" s="5" t="inlineStr">
        <is>
          <t>9</t>
        </is>
      </c>
      <c r="U2294" s="5">
        <f>IFS(C2294&lt;30,"Under 30",C2294&lt;40,"30-39",C2294&lt;50,"40-49",TRUE,"50+")</f>
        <v/>
      </c>
      <c r="V2294" s="5">
        <f>IFS(O2294&lt;60000,"Low (&lt;60k)",O2294&lt;100000,"Mid (60-100k)",TRUE,"High (100k+)")</f>
        <v/>
      </c>
      <c r="W2294" s="5">
        <f>IF(M2294="No","Attrited","Active")</f>
        <v/>
      </c>
    </row>
    <row r="2295">
      <c r="A2295" s="5" t="inlineStr">
        <is>
          <t>E02294</t>
        </is>
      </c>
      <c r="B2295" s="5" t="inlineStr">
        <is>
          <t>Male</t>
        </is>
      </c>
      <c r="C2295" s="6" t="inlineStr">
        <is>
          <t>30</t>
        </is>
      </c>
      <c r="D2295" s="5" t="inlineStr">
        <is>
          <t>Married</t>
        </is>
      </c>
      <c r="E2295" s="5" t="inlineStr">
        <is>
          <t>Diploma</t>
        </is>
      </c>
      <c r="F2295" s="5" t="inlineStr">
        <is>
          <t>Research &amp; Development</t>
        </is>
      </c>
      <c r="G2295" s="5" t="inlineStr">
        <is>
          <t>Data Scientist</t>
        </is>
      </c>
      <c r="H2295" s="5" t="inlineStr">
        <is>
          <t>1</t>
        </is>
      </c>
      <c r="I2295" s="5" t="inlineStr">
        <is>
          <t>Mumbai</t>
        </is>
      </c>
      <c r="J2295" s="5" t="inlineStr">
        <is>
          <t>Full-Time</t>
        </is>
      </c>
      <c r="K2295" s="7" t="n">
        <v>44252</v>
      </c>
      <c r="L2295" s="7" t="inlineStr"/>
      <c r="M2295" s="5" t="inlineStr">
        <is>
          <t>Yes</t>
        </is>
      </c>
      <c r="N2295" s="5" t="inlineStr"/>
      <c r="O2295" s="8" t="inlineStr">
        <is>
          <t>116000</t>
        </is>
      </c>
      <c r="P2295" s="5" t="inlineStr">
        <is>
          <t>15</t>
        </is>
      </c>
      <c r="Q2295" s="5" t="inlineStr">
        <is>
          <t>4</t>
        </is>
      </c>
      <c r="R2295" s="5" t="inlineStr">
        <is>
          <t>5</t>
        </is>
      </c>
      <c r="S2295" s="5" t="inlineStr">
        <is>
          <t>59</t>
        </is>
      </c>
      <c r="T2295" s="5" t="inlineStr">
        <is>
          <t>12</t>
        </is>
      </c>
      <c r="U2295" s="5">
        <f>IFS(C2295&lt;30,"Under 30",C2295&lt;40,"30-39",C2295&lt;50,"40-49",TRUE,"50+")</f>
        <v/>
      </c>
      <c r="V2295" s="5">
        <f>IFS(O2295&lt;60000,"Low (&lt;60k)",O2295&lt;100000,"Mid (60-100k)",TRUE,"High (100k+)")</f>
        <v/>
      </c>
      <c r="W2295" s="5">
        <f>IF(M2295="No","Attrited","Active")</f>
        <v/>
      </c>
    </row>
    <row r="2296">
      <c r="A2296" s="5" t="inlineStr">
        <is>
          <t>E02295</t>
        </is>
      </c>
      <c r="B2296" s="5" t="inlineStr">
        <is>
          <t>Female</t>
        </is>
      </c>
      <c r="C2296" s="6" t="inlineStr">
        <is>
          <t>32</t>
        </is>
      </c>
      <c r="D2296" s="5" t="inlineStr">
        <is>
          <t>Single</t>
        </is>
      </c>
      <c r="E2296" s="5" t="inlineStr">
        <is>
          <t>PhD</t>
        </is>
      </c>
      <c r="F2296" s="5" t="inlineStr">
        <is>
          <t>IT</t>
        </is>
      </c>
      <c r="G2296" s="5" t="inlineStr">
        <is>
          <t>IT Support</t>
        </is>
      </c>
      <c r="H2296" s="5" t="inlineStr">
        <is>
          <t>4</t>
        </is>
      </c>
      <c r="I2296" s="5" t="inlineStr">
        <is>
          <t>Hyderabad</t>
        </is>
      </c>
      <c r="J2296" s="5" t="inlineStr">
        <is>
          <t>Full-Time</t>
        </is>
      </c>
      <c r="K2296" s="7" t="n">
        <v>45873</v>
      </c>
      <c r="L2296" s="7" t="n">
        <v>45952</v>
      </c>
      <c r="M2296" s="5" t="inlineStr">
        <is>
          <t>No</t>
        </is>
      </c>
      <c r="N2296" s="5" t="inlineStr">
        <is>
          <t>Retirement</t>
        </is>
      </c>
      <c r="O2296" s="8" t="inlineStr">
        <is>
          <t>149000</t>
        </is>
      </c>
      <c r="P2296" s="5" t="inlineStr">
        <is>
          <t>0</t>
        </is>
      </c>
      <c r="Q2296" s="5" t="inlineStr">
        <is>
          <t>5</t>
        </is>
      </c>
      <c r="R2296" s="5" t="inlineStr">
        <is>
          <t>7</t>
        </is>
      </c>
      <c r="S2296" s="5" t="inlineStr">
        <is>
          <t>2</t>
        </is>
      </c>
      <c r="T2296" s="5" t="inlineStr">
        <is>
          <t>2</t>
        </is>
      </c>
      <c r="U2296" s="5">
        <f>IFS(C2296&lt;30,"Under 30",C2296&lt;40,"30-39",C2296&lt;50,"40-49",TRUE,"50+")</f>
        <v/>
      </c>
      <c r="V2296" s="5">
        <f>IFS(O2296&lt;60000,"Low (&lt;60k)",O2296&lt;100000,"Mid (60-100k)",TRUE,"High (100k+)")</f>
        <v/>
      </c>
      <c r="W2296" s="5">
        <f>IF(M2296="No","Attrited","Active")</f>
        <v/>
      </c>
    </row>
    <row r="2297">
      <c r="A2297" s="5" t="inlineStr">
        <is>
          <t>E02296</t>
        </is>
      </c>
      <c r="B2297" s="5" t="inlineStr">
        <is>
          <t>Male</t>
        </is>
      </c>
      <c r="C2297" s="6" t="inlineStr">
        <is>
          <t>31</t>
        </is>
      </c>
      <c r="D2297" s="5" t="inlineStr">
        <is>
          <t>Married</t>
        </is>
      </c>
      <c r="E2297" s="5" t="inlineStr">
        <is>
          <t>High School</t>
        </is>
      </c>
      <c r="F2297" s="5" t="inlineStr">
        <is>
          <t>Operations</t>
        </is>
      </c>
      <c r="G2297" s="5" t="inlineStr">
        <is>
          <t>Operations Analyst</t>
        </is>
      </c>
      <c r="H2297" s="5" t="inlineStr">
        <is>
          <t>2</t>
        </is>
      </c>
      <c r="I2297" s="5" t="inlineStr">
        <is>
          <t>Chennai</t>
        </is>
      </c>
      <c r="J2297" s="5" t="inlineStr">
        <is>
          <t>Full-Time</t>
        </is>
      </c>
      <c r="K2297" s="7" t="n">
        <v>44029</v>
      </c>
      <c r="L2297" s="7" t="inlineStr"/>
      <c r="M2297" s="5" t="inlineStr">
        <is>
          <t>Yes</t>
        </is>
      </c>
      <c r="N2297" s="5" t="inlineStr"/>
      <c r="O2297" s="8" t="inlineStr">
        <is>
          <t>67500</t>
        </is>
      </c>
      <c r="P2297" s="5" t="inlineStr">
        <is>
          <t>0</t>
        </is>
      </c>
      <c r="Q2297" s="5" t="inlineStr">
        <is>
          <t>5</t>
        </is>
      </c>
      <c r="R2297" s="5" t="inlineStr">
        <is>
          <t>5</t>
        </is>
      </c>
      <c r="S2297" s="5" t="inlineStr">
        <is>
          <t>66</t>
        </is>
      </c>
      <c r="T2297" s="5" t="inlineStr">
        <is>
          <t>4</t>
        </is>
      </c>
      <c r="U2297" s="5">
        <f>IFS(C2297&lt;30,"Under 30",C2297&lt;40,"30-39",C2297&lt;50,"40-49",TRUE,"50+")</f>
        <v/>
      </c>
      <c r="V2297" s="5">
        <f>IFS(O2297&lt;60000,"Low (&lt;60k)",O2297&lt;100000,"Mid (60-100k)",TRUE,"High (100k+)")</f>
        <v/>
      </c>
      <c r="W2297" s="5">
        <f>IF(M2297="No","Attrited","Active")</f>
        <v/>
      </c>
    </row>
    <row r="2298">
      <c r="A2298" s="5" t="inlineStr">
        <is>
          <t>E02297</t>
        </is>
      </c>
      <c r="B2298" s="5" t="inlineStr">
        <is>
          <t>Male</t>
        </is>
      </c>
      <c r="C2298" s="6" t="inlineStr">
        <is>
          <t>34</t>
        </is>
      </c>
      <c r="D2298" s="5" t="inlineStr">
        <is>
          <t>Married</t>
        </is>
      </c>
      <c r="E2298" s="5" t="inlineStr">
        <is>
          <t>Bachelor</t>
        </is>
      </c>
      <c r="F2298" s="5" t="inlineStr">
        <is>
          <t>Sales</t>
        </is>
      </c>
      <c r="G2298" s="5" t="inlineStr">
        <is>
          <t>Sales Executive</t>
        </is>
      </c>
      <c r="H2298" s="5" t="inlineStr">
        <is>
          <t>3</t>
        </is>
      </c>
      <c r="I2298" s="5" t="inlineStr">
        <is>
          <t>Chennai</t>
        </is>
      </c>
      <c r="J2298" s="5" t="inlineStr">
        <is>
          <t>Part-Time</t>
        </is>
      </c>
      <c r="K2298" s="7" t="n">
        <v>44119</v>
      </c>
      <c r="L2298" s="7" t="inlineStr"/>
      <c r="M2298" s="5" t="inlineStr">
        <is>
          <t>Yes</t>
        </is>
      </c>
      <c r="N2298" s="5" t="inlineStr"/>
      <c r="O2298" s="8" t="inlineStr">
        <is>
          <t>112000</t>
        </is>
      </c>
      <c r="P2298" s="5" t="inlineStr">
        <is>
          <t>15</t>
        </is>
      </c>
      <c r="Q2298" s="5" t="inlineStr">
        <is>
          <t>2</t>
        </is>
      </c>
      <c r="R2298" s="5" t="inlineStr">
        <is>
          <t>7</t>
        </is>
      </c>
      <c r="S2298" s="5" t="inlineStr">
        <is>
          <t>63</t>
        </is>
      </c>
      <c r="T2298" s="5" t="inlineStr">
        <is>
          <t>0</t>
        </is>
      </c>
      <c r="U2298" s="5">
        <f>IFS(C2298&lt;30,"Under 30",C2298&lt;40,"30-39",C2298&lt;50,"40-49",TRUE,"50+")</f>
        <v/>
      </c>
      <c r="V2298" s="5">
        <f>IFS(O2298&lt;60000,"Low (&lt;60k)",O2298&lt;100000,"Mid (60-100k)",TRUE,"High (100k+)")</f>
        <v/>
      </c>
      <c r="W2298" s="5">
        <f>IF(M2298="No","Attrited","Active")</f>
        <v/>
      </c>
    </row>
    <row r="2299">
      <c r="A2299" s="5" t="inlineStr">
        <is>
          <t>E02298</t>
        </is>
      </c>
      <c r="B2299" s="5" t="inlineStr">
        <is>
          <t>Female</t>
        </is>
      </c>
      <c r="C2299" s="6" t="inlineStr">
        <is>
          <t>34</t>
        </is>
      </c>
      <c r="D2299" s="5" t="inlineStr">
        <is>
          <t>Single</t>
        </is>
      </c>
      <c r="E2299" s="5" t="inlineStr">
        <is>
          <t>Diploma</t>
        </is>
      </c>
      <c r="F2299" s="5" t="inlineStr">
        <is>
          <t>Human Resources</t>
        </is>
      </c>
      <c r="G2299" s="5" t="inlineStr">
        <is>
          <t>Recruiter</t>
        </is>
      </c>
      <c r="H2299" s="5" t="inlineStr">
        <is>
          <t>2</t>
        </is>
      </c>
      <c r="I2299" s="5" t="inlineStr">
        <is>
          <t>Delhi</t>
        </is>
      </c>
      <c r="J2299" s="5" t="inlineStr">
        <is>
          <t>Full-Time</t>
        </is>
      </c>
      <c r="K2299" s="7" t="n">
        <v>45185</v>
      </c>
      <c r="L2299" s="7" t="inlineStr"/>
      <c r="M2299" s="5" t="inlineStr">
        <is>
          <t>Yes</t>
        </is>
      </c>
      <c r="N2299" s="5" t="inlineStr"/>
      <c r="O2299" s="8" t="inlineStr">
        <is>
          <t>109000</t>
        </is>
      </c>
      <c r="P2299" s="5" t="inlineStr">
        <is>
          <t>15</t>
        </is>
      </c>
      <c r="Q2299" s="5" t="inlineStr">
        <is>
          <t>3</t>
        </is>
      </c>
      <c r="R2299" s="5" t="inlineStr">
        <is>
          <t>8</t>
        </is>
      </c>
      <c r="S2299" s="5" t="inlineStr">
        <is>
          <t>27</t>
        </is>
      </c>
      <c r="T2299" s="5" t="inlineStr">
        <is>
          <t>12</t>
        </is>
      </c>
      <c r="U2299" s="5">
        <f>IFS(C2299&lt;30,"Under 30",C2299&lt;40,"30-39",C2299&lt;50,"40-49",TRUE,"50+")</f>
        <v/>
      </c>
      <c r="V2299" s="5">
        <f>IFS(O2299&lt;60000,"Low (&lt;60k)",O2299&lt;100000,"Mid (60-100k)",TRUE,"High (100k+)")</f>
        <v/>
      </c>
      <c r="W2299" s="5">
        <f>IF(M2299="No","Attrited","Active")</f>
        <v/>
      </c>
    </row>
    <row r="2300">
      <c r="A2300" s="5" t="inlineStr">
        <is>
          <t>E02299</t>
        </is>
      </c>
      <c r="B2300" s="5" t="inlineStr">
        <is>
          <t>Female</t>
        </is>
      </c>
      <c r="C2300" s="6" t="inlineStr">
        <is>
          <t>40</t>
        </is>
      </c>
      <c r="D2300" s="5" t="inlineStr">
        <is>
          <t>Married</t>
        </is>
      </c>
      <c r="E2300" s="5" t="inlineStr">
        <is>
          <t>High School</t>
        </is>
      </c>
      <c r="F2300" s="5" t="inlineStr">
        <is>
          <t>Sales</t>
        </is>
      </c>
      <c r="G2300" s="5" t="inlineStr">
        <is>
          <t>Account Executive</t>
        </is>
      </c>
      <c r="H2300" s="5" t="inlineStr">
        <is>
          <t>6</t>
        </is>
      </c>
      <c r="I2300" s="5" t="inlineStr">
        <is>
          <t>Bengaluru</t>
        </is>
      </c>
      <c r="J2300" s="5" t="inlineStr">
        <is>
          <t>Full-Time</t>
        </is>
      </c>
      <c r="K2300" s="7" t="n">
        <v>44561</v>
      </c>
      <c r="L2300" s="7" t="inlineStr"/>
      <c r="M2300" s="5" t="inlineStr">
        <is>
          <t>Yes</t>
        </is>
      </c>
      <c r="N2300" s="5" t="inlineStr"/>
      <c r="O2300" s="8" t="inlineStr">
        <is>
          <t>140500</t>
        </is>
      </c>
      <c r="P2300" s="5" t="inlineStr">
        <is>
          <t>5</t>
        </is>
      </c>
      <c r="Q2300" s="5" t="inlineStr">
        <is>
          <t>4</t>
        </is>
      </c>
      <c r="R2300" s="5" t="inlineStr">
        <is>
          <t>5</t>
        </is>
      </c>
      <c r="S2300" s="5" t="inlineStr">
        <is>
          <t>48</t>
        </is>
      </c>
      <c r="T2300" s="5" t="inlineStr">
        <is>
          <t>0</t>
        </is>
      </c>
      <c r="U2300" s="5">
        <f>IFS(C2300&lt;30,"Under 30",C2300&lt;40,"30-39",C2300&lt;50,"40-49",TRUE,"50+")</f>
        <v/>
      </c>
      <c r="V2300" s="5">
        <f>IFS(O2300&lt;60000,"Low (&lt;60k)",O2300&lt;100000,"Mid (60-100k)",TRUE,"High (100k+)")</f>
        <v/>
      </c>
      <c r="W2300" s="5">
        <f>IF(M2300="No","Attrited","Active")</f>
        <v/>
      </c>
    </row>
    <row r="2301">
      <c r="A2301" s="5" t="inlineStr">
        <is>
          <t>E02300</t>
        </is>
      </c>
      <c r="B2301" s="5" t="inlineStr">
        <is>
          <t>Female</t>
        </is>
      </c>
      <c r="C2301" s="6" t="inlineStr">
        <is>
          <t>28</t>
        </is>
      </c>
      <c r="D2301" s="5" t="inlineStr">
        <is>
          <t>Single</t>
        </is>
      </c>
      <c r="E2301" s="5" t="inlineStr">
        <is>
          <t>PhD</t>
        </is>
      </c>
      <c r="F2301" s="5" t="inlineStr">
        <is>
          <t>Customer Support</t>
        </is>
      </c>
      <c r="G2301" s="5" t="inlineStr">
        <is>
          <t>Support Agent</t>
        </is>
      </c>
      <c r="H2301" s="5" t="inlineStr">
        <is>
          <t>1</t>
        </is>
      </c>
      <c r="I2301" s="5" t="inlineStr">
        <is>
          <t>Delhi</t>
        </is>
      </c>
      <c r="J2301" s="5" t="inlineStr">
        <is>
          <t>Full-Time</t>
        </is>
      </c>
      <c r="K2301" s="7" t="n">
        <v>44657</v>
      </c>
      <c r="L2301" s="7" t="n">
        <v>44775</v>
      </c>
      <c r="M2301" s="5" t="inlineStr">
        <is>
          <t>No</t>
        </is>
      </c>
      <c r="N2301" s="5" t="inlineStr">
        <is>
          <t>Resigned</t>
        </is>
      </c>
      <c r="O2301" s="8" t="inlineStr">
        <is>
          <t>57500</t>
        </is>
      </c>
      <c r="P2301" s="5" t="inlineStr">
        <is>
          <t>10</t>
        </is>
      </c>
      <c r="Q2301" s="5" t="inlineStr">
        <is>
          <t>3</t>
        </is>
      </c>
      <c r="R2301" s="5" t="inlineStr">
        <is>
          <t>2</t>
        </is>
      </c>
      <c r="S2301" s="5" t="inlineStr">
        <is>
          <t>3</t>
        </is>
      </c>
      <c r="T2301" s="5" t="inlineStr">
        <is>
          <t>0</t>
        </is>
      </c>
      <c r="U2301" s="5">
        <f>IFS(C2301&lt;30,"Under 30",C2301&lt;40,"30-39",C2301&lt;50,"40-49",TRUE,"50+")</f>
        <v/>
      </c>
      <c r="V2301" s="5">
        <f>IFS(O2301&lt;60000,"Low (&lt;60k)",O2301&lt;100000,"Mid (60-100k)",TRUE,"High (100k+)")</f>
        <v/>
      </c>
      <c r="W2301" s="5">
        <f>IF(M2301="No","Attrited","Active")</f>
        <v/>
      </c>
    </row>
    <row r="2302">
      <c r="A2302" s="5" t="inlineStr">
        <is>
          <t>E02301</t>
        </is>
      </c>
      <c r="B2302" s="5" t="inlineStr">
        <is>
          <t>Female</t>
        </is>
      </c>
      <c r="C2302" s="6" t="inlineStr">
        <is>
          <t>34</t>
        </is>
      </c>
      <c r="D2302" s="5" t="inlineStr">
        <is>
          <t>Married</t>
        </is>
      </c>
      <c r="E2302" s="5" t="inlineStr">
        <is>
          <t>Bachelor</t>
        </is>
      </c>
      <c r="F2302" s="5" t="inlineStr">
        <is>
          <t>Sales</t>
        </is>
      </c>
      <c r="G2302" s="5" t="inlineStr">
        <is>
          <t>Sales Executive</t>
        </is>
      </c>
      <c r="H2302" s="5" t="inlineStr">
        <is>
          <t>3</t>
        </is>
      </c>
      <c r="I2302" s="5" t="inlineStr">
        <is>
          <t>Bengaluru</t>
        </is>
      </c>
      <c r="J2302" s="5" t="inlineStr">
        <is>
          <t>Full-Time</t>
        </is>
      </c>
      <c r="K2302" s="7" t="n">
        <v>43944</v>
      </c>
      <c r="L2302" s="7" t="inlineStr"/>
      <c r="M2302" s="5" t="inlineStr">
        <is>
          <t>Yes</t>
        </is>
      </c>
      <c r="N2302" s="5" t="inlineStr"/>
      <c r="O2302" s="8" t="inlineStr">
        <is>
          <t>106000</t>
        </is>
      </c>
      <c r="P2302" s="5" t="inlineStr">
        <is>
          <t>20</t>
        </is>
      </c>
      <c r="Q2302" s="5" t="inlineStr">
        <is>
          <t>5</t>
        </is>
      </c>
      <c r="R2302" s="5" t="inlineStr">
        <is>
          <t>6</t>
        </is>
      </c>
      <c r="S2302" s="5" t="inlineStr">
        <is>
          <t>69</t>
        </is>
      </c>
      <c r="T2302" s="5" t="inlineStr">
        <is>
          <t>6</t>
        </is>
      </c>
      <c r="U2302" s="5">
        <f>IFS(C2302&lt;30,"Under 30",C2302&lt;40,"30-39",C2302&lt;50,"40-49",TRUE,"50+")</f>
        <v/>
      </c>
      <c r="V2302" s="5">
        <f>IFS(O2302&lt;60000,"Low (&lt;60k)",O2302&lt;100000,"Mid (60-100k)",TRUE,"High (100k+)")</f>
        <v/>
      </c>
      <c r="W2302" s="5">
        <f>IF(M2302="No","Attrited","Active")</f>
        <v/>
      </c>
    </row>
    <row r="2303">
      <c r="A2303" s="5" t="inlineStr">
        <is>
          <t>E02302</t>
        </is>
      </c>
      <c r="B2303" s="5" t="inlineStr">
        <is>
          <t>Female</t>
        </is>
      </c>
      <c r="C2303" s="6" t="inlineStr">
        <is>
          <t>31</t>
        </is>
      </c>
      <c r="D2303" s="5" t="inlineStr">
        <is>
          <t>Married</t>
        </is>
      </c>
      <c r="E2303" s="5" t="inlineStr">
        <is>
          <t>Diploma</t>
        </is>
      </c>
      <c r="F2303" s="5" t="inlineStr">
        <is>
          <t>Customer Support</t>
        </is>
      </c>
      <c r="G2303" s="5" t="inlineStr">
        <is>
          <t>Support Lead</t>
        </is>
      </c>
      <c r="H2303" s="5" t="inlineStr">
        <is>
          <t>1</t>
        </is>
      </c>
      <c r="I2303" s="5" t="inlineStr">
        <is>
          <t>Chennai</t>
        </is>
      </c>
      <c r="J2303" s="5" t="inlineStr">
        <is>
          <t>Full-Time</t>
        </is>
      </c>
      <c r="K2303" s="7" t="n">
        <v>45415</v>
      </c>
      <c r="L2303" s="7" t="inlineStr"/>
      <c r="M2303" s="5" t="inlineStr">
        <is>
          <t>Yes</t>
        </is>
      </c>
      <c r="N2303" s="5" t="inlineStr"/>
      <c r="O2303" s="8" t="inlineStr">
        <is>
          <t>51000</t>
        </is>
      </c>
      <c r="P2303" s="5" t="inlineStr">
        <is>
          <t>10</t>
        </is>
      </c>
      <c r="Q2303" s="5" t="inlineStr">
        <is>
          <t>3</t>
        </is>
      </c>
      <c r="R2303" s="5" t="inlineStr">
        <is>
          <t>5</t>
        </is>
      </c>
      <c r="S2303" s="5" t="inlineStr">
        <is>
          <t>20</t>
        </is>
      </c>
      <c r="T2303" s="5" t="inlineStr">
        <is>
          <t>4</t>
        </is>
      </c>
      <c r="U2303" s="5">
        <f>IFS(C2303&lt;30,"Under 30",C2303&lt;40,"30-39",C2303&lt;50,"40-49",TRUE,"50+")</f>
        <v/>
      </c>
      <c r="V2303" s="5">
        <f>IFS(O2303&lt;60000,"Low (&lt;60k)",O2303&lt;100000,"Mid (60-100k)",TRUE,"High (100k+)")</f>
        <v/>
      </c>
      <c r="W2303" s="5">
        <f>IF(M2303="No","Attrited","Active")</f>
        <v/>
      </c>
    </row>
    <row r="2304">
      <c r="A2304" s="5" t="inlineStr">
        <is>
          <t>E02303</t>
        </is>
      </c>
      <c r="B2304" s="5" t="inlineStr">
        <is>
          <t>Female</t>
        </is>
      </c>
      <c r="C2304" s="6" t="inlineStr">
        <is>
          <t>36</t>
        </is>
      </c>
      <c r="D2304" s="5" t="inlineStr">
        <is>
          <t>Married</t>
        </is>
      </c>
      <c r="E2304" s="5" t="inlineStr">
        <is>
          <t>Bachelor</t>
        </is>
      </c>
      <c r="F2304" s="5" t="inlineStr">
        <is>
          <t>Operations</t>
        </is>
      </c>
      <c r="G2304" s="5" t="inlineStr">
        <is>
          <t>Operations Analyst</t>
        </is>
      </c>
      <c r="H2304" s="5" t="inlineStr">
        <is>
          <t>3</t>
        </is>
      </c>
      <c r="I2304" s="5" t="inlineStr">
        <is>
          <t>Delhi</t>
        </is>
      </c>
      <c r="J2304" s="5" t="inlineStr">
        <is>
          <t>Full-Time</t>
        </is>
      </c>
      <c r="K2304" s="7" t="n">
        <v>44885</v>
      </c>
      <c r="L2304" s="7" t="inlineStr"/>
      <c r="M2304" s="5" t="inlineStr">
        <is>
          <t>Yes</t>
        </is>
      </c>
      <c r="N2304" s="5" t="inlineStr"/>
      <c r="O2304" s="8" t="inlineStr">
        <is>
          <t>114500</t>
        </is>
      </c>
      <c r="P2304" s="5" t="inlineStr">
        <is>
          <t>0</t>
        </is>
      </c>
      <c r="Q2304" s="5" t="inlineStr">
        <is>
          <t>2</t>
        </is>
      </c>
      <c r="R2304" s="5" t="inlineStr">
        <is>
          <t>5</t>
        </is>
      </c>
      <c r="S2304" s="5" t="inlineStr">
        <is>
          <t>37</t>
        </is>
      </c>
      <c r="T2304" s="5" t="inlineStr">
        <is>
          <t>5</t>
        </is>
      </c>
      <c r="U2304" s="5">
        <f>IFS(C2304&lt;30,"Under 30",C2304&lt;40,"30-39",C2304&lt;50,"40-49",TRUE,"50+")</f>
        <v/>
      </c>
      <c r="V2304" s="5">
        <f>IFS(O2304&lt;60000,"Low (&lt;60k)",O2304&lt;100000,"Mid (60-100k)",TRUE,"High (100k+)")</f>
        <v/>
      </c>
      <c r="W2304" s="5">
        <f>IF(M2304="No","Attrited","Active")</f>
        <v/>
      </c>
    </row>
    <row r="2305">
      <c r="A2305" s="5" t="inlineStr">
        <is>
          <t>E02304</t>
        </is>
      </c>
      <c r="B2305" s="5" t="inlineStr">
        <is>
          <t>Female</t>
        </is>
      </c>
      <c r="C2305" s="6" t="inlineStr">
        <is>
          <t>27</t>
        </is>
      </c>
      <c r="D2305" s="5" t="inlineStr">
        <is>
          <t>Divorced</t>
        </is>
      </c>
      <c r="E2305" s="5" t="inlineStr">
        <is>
          <t>PhD</t>
        </is>
      </c>
      <c r="F2305" s="5" t="inlineStr">
        <is>
          <t>Operations</t>
        </is>
      </c>
      <c r="G2305" s="5" t="inlineStr">
        <is>
          <t>Quality Analyst</t>
        </is>
      </c>
      <c r="H2305" s="5" t="inlineStr">
        <is>
          <t>1</t>
        </is>
      </c>
      <c r="I2305" s="5" t="inlineStr">
        <is>
          <t>Mumbai</t>
        </is>
      </c>
      <c r="J2305" s="5" t="inlineStr">
        <is>
          <t>Full-Time</t>
        </is>
      </c>
      <c r="K2305" s="7" t="n">
        <v>44648</v>
      </c>
      <c r="L2305" s="7" t="inlineStr"/>
      <c r="M2305" s="5" t="inlineStr">
        <is>
          <t>Yes</t>
        </is>
      </c>
      <c r="N2305" s="5" t="inlineStr"/>
      <c r="O2305" s="8" t="inlineStr">
        <is>
          <t>63000</t>
        </is>
      </c>
      <c r="P2305" s="5" t="inlineStr">
        <is>
          <t>10</t>
        </is>
      </c>
      <c r="Q2305" s="5" t="inlineStr">
        <is>
          <t>4</t>
        </is>
      </c>
      <c r="R2305" s="5" t="inlineStr">
        <is>
          <t>7</t>
        </is>
      </c>
      <c r="S2305" s="5" t="inlineStr">
        <is>
          <t>45</t>
        </is>
      </c>
      <c r="T2305" s="5" t="inlineStr">
        <is>
          <t>8</t>
        </is>
      </c>
      <c r="U2305" s="5">
        <f>IFS(C2305&lt;30,"Under 30",C2305&lt;40,"30-39",C2305&lt;50,"40-49",TRUE,"50+")</f>
        <v/>
      </c>
      <c r="V2305" s="5">
        <f>IFS(O2305&lt;60000,"Low (&lt;60k)",O2305&lt;100000,"Mid (60-100k)",TRUE,"High (100k+)")</f>
        <v/>
      </c>
      <c r="W2305" s="5">
        <f>IF(M2305="No","Attrited","Active")</f>
        <v/>
      </c>
    </row>
    <row r="2306">
      <c r="A2306" s="5" t="inlineStr">
        <is>
          <t>E02305</t>
        </is>
      </c>
      <c r="B2306" s="5" t="inlineStr">
        <is>
          <t>Male</t>
        </is>
      </c>
      <c r="C2306" s="6" t="inlineStr">
        <is>
          <t>27</t>
        </is>
      </c>
      <c r="D2306" s="5" t="inlineStr">
        <is>
          <t>Married</t>
        </is>
      </c>
      <c r="E2306" s="5" t="inlineStr">
        <is>
          <t>High School</t>
        </is>
      </c>
      <c r="F2306" s="5" t="inlineStr">
        <is>
          <t>Operations</t>
        </is>
      </c>
      <c r="G2306" s="5" t="inlineStr">
        <is>
          <t>Operations Analyst</t>
        </is>
      </c>
      <c r="H2306" s="5" t="inlineStr">
        <is>
          <t>3</t>
        </is>
      </c>
      <c r="I2306" s="5" t="inlineStr">
        <is>
          <t>Hyderabad</t>
        </is>
      </c>
      <c r="J2306" s="5" t="inlineStr">
        <is>
          <t>Full-Time</t>
        </is>
      </c>
      <c r="K2306" s="7" t="n">
        <v>44214</v>
      </c>
      <c r="L2306" s="7" t="inlineStr"/>
      <c r="M2306" s="5" t="inlineStr">
        <is>
          <t>Yes</t>
        </is>
      </c>
      <c r="N2306" s="5" t="inlineStr"/>
      <c r="O2306" s="8" t="inlineStr">
        <is>
          <t>91500</t>
        </is>
      </c>
      <c r="P2306" s="5" t="inlineStr">
        <is>
          <t>0</t>
        </is>
      </c>
      <c r="Q2306" s="5" t="inlineStr">
        <is>
          <t>4</t>
        </is>
      </c>
      <c r="R2306" s="5" t="inlineStr">
        <is>
          <t>7</t>
        </is>
      </c>
      <c r="S2306" s="5" t="inlineStr">
        <is>
          <t>60</t>
        </is>
      </c>
      <c r="T2306" s="5" t="inlineStr">
        <is>
          <t>13</t>
        </is>
      </c>
      <c r="U2306" s="5">
        <f>IFS(C2306&lt;30,"Under 30",C2306&lt;40,"30-39",C2306&lt;50,"40-49",TRUE,"50+")</f>
        <v/>
      </c>
      <c r="V2306" s="5">
        <f>IFS(O2306&lt;60000,"Low (&lt;60k)",O2306&lt;100000,"Mid (60-100k)",TRUE,"High (100k+)")</f>
        <v/>
      </c>
      <c r="W2306" s="5">
        <f>IF(M2306="No","Attrited","Active")</f>
        <v/>
      </c>
    </row>
    <row r="2307">
      <c r="A2307" s="5" t="inlineStr">
        <is>
          <t>E02306</t>
        </is>
      </c>
      <c r="B2307" s="5" t="inlineStr">
        <is>
          <t>Male</t>
        </is>
      </c>
      <c r="C2307" s="6" t="inlineStr">
        <is>
          <t>31</t>
        </is>
      </c>
      <c r="D2307" s="5" t="inlineStr">
        <is>
          <t>Divorced</t>
        </is>
      </c>
      <c r="E2307" s="5" t="inlineStr">
        <is>
          <t>Bachelor</t>
        </is>
      </c>
      <c r="F2307" s="5" t="inlineStr">
        <is>
          <t>Finance</t>
        </is>
      </c>
      <c r="G2307" s="5" t="inlineStr">
        <is>
          <t>Financial Analyst</t>
        </is>
      </c>
      <c r="H2307" s="5" t="inlineStr">
        <is>
          <t>1</t>
        </is>
      </c>
      <c r="I2307" s="5" t="inlineStr">
        <is>
          <t>Chennai</t>
        </is>
      </c>
      <c r="J2307" s="5" t="inlineStr">
        <is>
          <t>Full-Time</t>
        </is>
      </c>
      <c r="K2307" s="7" t="n">
        <v>44927</v>
      </c>
      <c r="L2307" s="7" t="n">
        <v>45067</v>
      </c>
      <c r="M2307" s="5" t="inlineStr">
        <is>
          <t>No</t>
        </is>
      </c>
      <c r="N2307" s="5" t="inlineStr">
        <is>
          <t>Resigned</t>
        </is>
      </c>
      <c r="O2307" s="8" t="inlineStr">
        <is>
          <t>89000</t>
        </is>
      </c>
      <c r="P2307" s="5" t="inlineStr">
        <is>
          <t>5</t>
        </is>
      </c>
      <c r="Q2307" s="5" t="inlineStr">
        <is>
          <t>3</t>
        </is>
      </c>
      <c r="R2307" s="5" t="inlineStr">
        <is>
          <t>4</t>
        </is>
      </c>
      <c r="S2307" s="5" t="inlineStr">
        <is>
          <t>4</t>
        </is>
      </c>
      <c r="T2307" s="5" t="inlineStr">
        <is>
          <t>12</t>
        </is>
      </c>
      <c r="U2307" s="5">
        <f>IFS(C2307&lt;30,"Under 30",C2307&lt;40,"30-39",C2307&lt;50,"40-49",TRUE,"50+")</f>
        <v/>
      </c>
      <c r="V2307" s="5">
        <f>IFS(O2307&lt;60000,"Low (&lt;60k)",O2307&lt;100000,"Mid (60-100k)",TRUE,"High (100k+)")</f>
        <v/>
      </c>
      <c r="W2307" s="5">
        <f>IF(M2307="No","Attrited","Active")</f>
        <v/>
      </c>
    </row>
    <row r="2308">
      <c r="A2308" s="5" t="inlineStr">
        <is>
          <t>E02307</t>
        </is>
      </c>
      <c r="B2308" s="5" t="inlineStr">
        <is>
          <t>Female</t>
        </is>
      </c>
      <c r="C2308" s="6" t="inlineStr">
        <is>
          <t>30</t>
        </is>
      </c>
      <c r="D2308" s="5" t="inlineStr">
        <is>
          <t>Married</t>
        </is>
      </c>
      <c r="E2308" s="5" t="inlineStr">
        <is>
          <t>High School</t>
        </is>
      </c>
      <c r="F2308" s="5" t="inlineStr">
        <is>
          <t>Marketing</t>
        </is>
      </c>
      <c r="G2308" s="5" t="inlineStr">
        <is>
          <t>Content Writer</t>
        </is>
      </c>
      <c r="H2308" s="5" t="inlineStr">
        <is>
          <t>3</t>
        </is>
      </c>
      <c r="I2308" s="5" t="inlineStr">
        <is>
          <t>Bengaluru</t>
        </is>
      </c>
      <c r="J2308" s="5" t="inlineStr">
        <is>
          <t>Full-Time</t>
        </is>
      </c>
      <c r="K2308" s="7" t="n">
        <v>43930</v>
      </c>
      <c r="L2308" s="7" t="inlineStr"/>
      <c r="M2308" s="5" t="inlineStr">
        <is>
          <t>Yes</t>
        </is>
      </c>
      <c r="N2308" s="5" t="inlineStr"/>
      <c r="O2308" s="8" t="inlineStr">
        <is>
          <t>109000</t>
        </is>
      </c>
      <c r="P2308" s="5" t="inlineStr">
        <is>
          <t>10</t>
        </is>
      </c>
      <c r="Q2308" s="5" t="inlineStr">
        <is>
          <t>3</t>
        </is>
      </c>
      <c r="R2308" s="5" t="inlineStr">
        <is>
          <t>7</t>
        </is>
      </c>
      <c r="S2308" s="5" t="inlineStr">
        <is>
          <t>69</t>
        </is>
      </c>
      <c r="T2308" s="5" t="inlineStr">
        <is>
          <t>0</t>
        </is>
      </c>
      <c r="U2308" s="5">
        <f>IFS(C2308&lt;30,"Under 30",C2308&lt;40,"30-39",C2308&lt;50,"40-49",TRUE,"50+")</f>
        <v/>
      </c>
      <c r="V2308" s="5">
        <f>IFS(O2308&lt;60000,"Low (&lt;60k)",O2308&lt;100000,"Mid (60-100k)",TRUE,"High (100k+)")</f>
        <v/>
      </c>
      <c r="W2308" s="5">
        <f>IF(M2308="No","Attrited","Active")</f>
        <v/>
      </c>
    </row>
    <row r="2309">
      <c r="A2309" s="5" t="inlineStr">
        <is>
          <t>E02308</t>
        </is>
      </c>
      <c r="B2309" s="5" t="inlineStr">
        <is>
          <t>Female</t>
        </is>
      </c>
      <c r="C2309" s="6" t="inlineStr">
        <is>
          <t>24</t>
        </is>
      </c>
      <c r="D2309" s="5" t="inlineStr">
        <is>
          <t>Single</t>
        </is>
      </c>
      <c r="E2309" s="5" t="inlineStr">
        <is>
          <t>High School</t>
        </is>
      </c>
      <c r="F2309" s="5" t="inlineStr">
        <is>
          <t>Operations</t>
        </is>
      </c>
      <c r="G2309" s="5" t="inlineStr">
        <is>
          <t>Logistics Coordinator</t>
        </is>
      </c>
      <c r="H2309" s="5" t="inlineStr">
        <is>
          <t>1</t>
        </is>
      </c>
      <c r="I2309" s="5" t="inlineStr">
        <is>
          <t>Delhi</t>
        </is>
      </c>
      <c r="J2309" s="5" t="inlineStr">
        <is>
          <t>Full-Time</t>
        </is>
      </c>
      <c r="K2309" s="7" t="n">
        <v>45219</v>
      </c>
      <c r="L2309" s="7" t="inlineStr"/>
      <c r="M2309" s="5" t="inlineStr">
        <is>
          <t>Yes</t>
        </is>
      </c>
      <c r="N2309" s="5" t="inlineStr"/>
      <c r="O2309" s="8" t="inlineStr">
        <is>
          <t>81000</t>
        </is>
      </c>
      <c r="P2309" s="5" t="inlineStr">
        <is>
          <t>5</t>
        </is>
      </c>
      <c r="Q2309" s="5" t="inlineStr">
        <is>
          <t>5</t>
        </is>
      </c>
      <c r="R2309" s="5" t="inlineStr">
        <is>
          <t>7</t>
        </is>
      </c>
      <c r="S2309" s="5" t="inlineStr">
        <is>
          <t>26</t>
        </is>
      </c>
      <c r="T2309" s="5" t="inlineStr">
        <is>
          <t>12</t>
        </is>
      </c>
      <c r="U2309" s="5">
        <f>IFS(C2309&lt;30,"Under 30",C2309&lt;40,"30-39",C2309&lt;50,"40-49",TRUE,"50+")</f>
        <v/>
      </c>
      <c r="V2309" s="5">
        <f>IFS(O2309&lt;60000,"Low (&lt;60k)",O2309&lt;100000,"Mid (60-100k)",TRUE,"High (100k+)")</f>
        <v/>
      </c>
      <c r="W2309" s="5">
        <f>IF(M2309="No","Attrited","Active")</f>
        <v/>
      </c>
    </row>
    <row r="2310">
      <c r="A2310" s="5" t="inlineStr">
        <is>
          <t>E02309</t>
        </is>
      </c>
      <c r="B2310" s="5" t="inlineStr">
        <is>
          <t>Female</t>
        </is>
      </c>
      <c r="C2310" s="6" t="inlineStr">
        <is>
          <t>23</t>
        </is>
      </c>
      <c r="D2310" s="5" t="inlineStr">
        <is>
          <t>Married</t>
        </is>
      </c>
      <c r="E2310" s="5" t="inlineStr">
        <is>
          <t>PhD</t>
        </is>
      </c>
      <c r="F2310" s="5" t="inlineStr">
        <is>
          <t>IT</t>
        </is>
      </c>
      <c r="G2310" s="5" t="inlineStr">
        <is>
          <t>IT Support</t>
        </is>
      </c>
      <c r="H2310" s="5" t="inlineStr">
        <is>
          <t>1</t>
        </is>
      </c>
      <c r="I2310" s="5" t="inlineStr">
        <is>
          <t>Delhi</t>
        </is>
      </c>
      <c r="J2310" s="5" t="inlineStr">
        <is>
          <t>Full-Time</t>
        </is>
      </c>
      <c r="K2310" s="7" t="n">
        <v>44226</v>
      </c>
      <c r="L2310" s="7" t="n">
        <v>44287</v>
      </c>
      <c r="M2310" s="5" t="inlineStr">
        <is>
          <t>No</t>
        </is>
      </c>
      <c r="N2310" s="5" t="inlineStr">
        <is>
          <t>Resigned</t>
        </is>
      </c>
      <c r="O2310" s="8" t="inlineStr">
        <is>
          <t>110500</t>
        </is>
      </c>
      <c r="P2310" s="5" t="inlineStr">
        <is>
          <t>0</t>
        </is>
      </c>
      <c r="Q2310" s="5" t="inlineStr">
        <is>
          <t>3</t>
        </is>
      </c>
      <c r="R2310" s="5" t="inlineStr">
        <is>
          <t>8</t>
        </is>
      </c>
      <c r="S2310" s="5" t="inlineStr">
        <is>
          <t>2</t>
        </is>
      </c>
      <c r="T2310" s="5" t="inlineStr">
        <is>
          <t>0</t>
        </is>
      </c>
      <c r="U2310" s="5">
        <f>IFS(C2310&lt;30,"Under 30",C2310&lt;40,"30-39",C2310&lt;50,"40-49",TRUE,"50+")</f>
        <v/>
      </c>
      <c r="V2310" s="5">
        <f>IFS(O2310&lt;60000,"Low (&lt;60k)",O2310&lt;100000,"Mid (60-100k)",TRUE,"High (100k+)")</f>
        <v/>
      </c>
      <c r="W2310" s="5">
        <f>IF(M2310="No","Attrited","Active")</f>
        <v/>
      </c>
    </row>
    <row r="2311">
      <c r="A2311" s="5" t="inlineStr">
        <is>
          <t>E02310</t>
        </is>
      </c>
      <c r="B2311" s="5" t="inlineStr">
        <is>
          <t>Male</t>
        </is>
      </c>
      <c r="C2311" s="6" t="inlineStr">
        <is>
          <t>33</t>
        </is>
      </c>
      <c r="D2311" s="5" t="inlineStr">
        <is>
          <t>Married</t>
        </is>
      </c>
      <c r="E2311" s="5" t="inlineStr">
        <is>
          <t>Master</t>
        </is>
      </c>
      <c r="F2311" s="5" t="inlineStr">
        <is>
          <t>Customer Support</t>
        </is>
      </c>
      <c r="G2311" s="5" t="inlineStr">
        <is>
          <t>Escalation Specialist</t>
        </is>
      </c>
      <c r="H2311" s="5" t="inlineStr">
        <is>
          <t>1</t>
        </is>
      </c>
      <c r="I2311" s="5" t="inlineStr">
        <is>
          <t>Delhi</t>
        </is>
      </c>
      <c r="J2311" s="5" t="inlineStr">
        <is>
          <t>Full-Time</t>
        </is>
      </c>
      <c r="K2311" s="7" t="n">
        <v>44655</v>
      </c>
      <c r="L2311" s="7" t="n">
        <v>44743</v>
      </c>
      <c r="M2311" s="5" t="inlineStr">
        <is>
          <t>No</t>
        </is>
      </c>
      <c r="N2311" s="5" t="inlineStr">
        <is>
          <t>Retirement</t>
        </is>
      </c>
      <c r="O2311" s="8" t="inlineStr">
        <is>
          <t>45000</t>
        </is>
      </c>
      <c r="P2311" s="5" t="inlineStr">
        <is>
          <t>5</t>
        </is>
      </c>
      <c r="Q2311" s="5" t="inlineStr">
        <is>
          <t>2</t>
        </is>
      </c>
      <c r="R2311" s="5" t="inlineStr">
        <is>
          <t>7</t>
        </is>
      </c>
      <c r="S2311" s="5" t="inlineStr">
        <is>
          <t>2</t>
        </is>
      </c>
      <c r="T2311" s="5" t="inlineStr">
        <is>
          <t>3</t>
        </is>
      </c>
      <c r="U2311" s="5">
        <f>IFS(C2311&lt;30,"Under 30",C2311&lt;40,"30-39",C2311&lt;50,"40-49",TRUE,"50+")</f>
        <v/>
      </c>
      <c r="V2311" s="5">
        <f>IFS(O2311&lt;60000,"Low (&lt;60k)",O2311&lt;100000,"Mid (60-100k)",TRUE,"High (100k+)")</f>
        <v/>
      </c>
      <c r="W2311" s="5">
        <f>IF(M2311="No","Attrited","Active")</f>
        <v/>
      </c>
    </row>
    <row r="2312">
      <c r="A2312" s="5" t="inlineStr">
        <is>
          <t>E02311</t>
        </is>
      </c>
      <c r="B2312" s="5" t="inlineStr">
        <is>
          <t>Male</t>
        </is>
      </c>
      <c r="C2312" s="6" t="inlineStr">
        <is>
          <t>38</t>
        </is>
      </c>
      <c r="D2312" s="5" t="inlineStr">
        <is>
          <t>Married</t>
        </is>
      </c>
      <c r="E2312" s="5" t="inlineStr">
        <is>
          <t>Diploma</t>
        </is>
      </c>
      <c r="F2312" s="5" t="inlineStr">
        <is>
          <t>Finance</t>
        </is>
      </c>
      <c r="G2312" s="5" t="inlineStr">
        <is>
          <t>Accountant</t>
        </is>
      </c>
      <c r="H2312" s="5" t="inlineStr">
        <is>
          <t>7</t>
        </is>
      </c>
      <c r="I2312" s="5" t="inlineStr">
        <is>
          <t>Chennai</t>
        </is>
      </c>
      <c r="J2312" s="5" t="inlineStr">
        <is>
          <t>Full-Time</t>
        </is>
      </c>
      <c r="K2312" s="7" t="n">
        <v>45325</v>
      </c>
      <c r="L2312" s="7" t="inlineStr"/>
      <c r="M2312" s="5" t="inlineStr">
        <is>
          <t>Yes</t>
        </is>
      </c>
      <c r="N2312" s="5" t="inlineStr"/>
      <c r="O2312" s="8" t="inlineStr">
        <is>
          <t>206000</t>
        </is>
      </c>
      <c r="P2312" s="5" t="inlineStr">
        <is>
          <t>0</t>
        </is>
      </c>
      <c r="Q2312" s="5" t="inlineStr">
        <is>
          <t>4</t>
        </is>
      </c>
      <c r="R2312" s="5" t="inlineStr">
        <is>
          <t>9</t>
        </is>
      </c>
      <c r="S2312" s="5" t="inlineStr">
        <is>
          <t>23</t>
        </is>
      </c>
      <c r="T2312" s="5" t="inlineStr">
        <is>
          <t>11</t>
        </is>
      </c>
      <c r="U2312" s="5">
        <f>IFS(C2312&lt;30,"Under 30",C2312&lt;40,"30-39",C2312&lt;50,"40-49",TRUE,"50+")</f>
        <v/>
      </c>
      <c r="V2312" s="5">
        <f>IFS(O2312&lt;60000,"Low (&lt;60k)",O2312&lt;100000,"Mid (60-100k)",TRUE,"High (100k+)")</f>
        <v/>
      </c>
      <c r="W2312" s="5">
        <f>IF(M2312="No","Attrited","Active")</f>
        <v/>
      </c>
    </row>
    <row r="2313">
      <c r="A2313" s="5" t="inlineStr">
        <is>
          <t>E02312</t>
        </is>
      </c>
      <c r="B2313" s="5" t="inlineStr">
        <is>
          <t>Male</t>
        </is>
      </c>
      <c r="C2313" s="6" t="inlineStr">
        <is>
          <t>35</t>
        </is>
      </c>
      <c r="D2313" s="5" t="inlineStr">
        <is>
          <t>Single</t>
        </is>
      </c>
      <c r="E2313" s="5" t="inlineStr">
        <is>
          <t>Master</t>
        </is>
      </c>
      <c r="F2313" s="5" t="inlineStr">
        <is>
          <t>Customer Support</t>
        </is>
      </c>
      <c r="G2313" s="5" t="inlineStr">
        <is>
          <t>Support Agent</t>
        </is>
      </c>
      <c r="H2313" s="5" t="inlineStr">
        <is>
          <t>2</t>
        </is>
      </c>
      <c r="I2313" s="5" t="inlineStr">
        <is>
          <t>Hyderabad</t>
        </is>
      </c>
      <c r="J2313" s="5" t="inlineStr">
        <is>
          <t>Full-Time</t>
        </is>
      </c>
      <c r="K2313" s="7" t="n">
        <v>44483</v>
      </c>
      <c r="L2313" s="7" t="inlineStr"/>
      <c r="M2313" s="5" t="inlineStr">
        <is>
          <t>Yes</t>
        </is>
      </c>
      <c r="N2313" s="5" t="inlineStr"/>
      <c r="O2313" s="8" t="inlineStr">
        <is>
          <t>65000</t>
        </is>
      </c>
      <c r="P2313" s="5" t="inlineStr">
        <is>
          <t>10</t>
        </is>
      </c>
      <c r="Q2313" s="5" t="inlineStr">
        <is>
          <t>4</t>
        </is>
      </c>
      <c r="R2313" s="5" t="inlineStr">
        <is>
          <t>6</t>
        </is>
      </c>
      <c r="S2313" s="5" t="inlineStr">
        <is>
          <t>51</t>
        </is>
      </c>
      <c r="T2313" s="5" t="inlineStr">
        <is>
          <t>10</t>
        </is>
      </c>
      <c r="U2313" s="5">
        <f>IFS(C2313&lt;30,"Under 30",C2313&lt;40,"30-39",C2313&lt;50,"40-49",TRUE,"50+")</f>
        <v/>
      </c>
      <c r="V2313" s="5">
        <f>IFS(O2313&lt;60000,"Low (&lt;60k)",O2313&lt;100000,"Mid (60-100k)",TRUE,"High (100k+)")</f>
        <v/>
      </c>
      <c r="W2313" s="5">
        <f>IF(M2313="No","Attrited","Active")</f>
        <v/>
      </c>
    </row>
    <row r="2314">
      <c r="A2314" s="5" t="inlineStr">
        <is>
          <t>E02313</t>
        </is>
      </c>
      <c r="B2314" s="5" t="inlineStr">
        <is>
          <t>Female</t>
        </is>
      </c>
      <c r="C2314" s="6" t="inlineStr">
        <is>
          <t>30</t>
        </is>
      </c>
      <c r="D2314" s="5" t="inlineStr">
        <is>
          <t>Married</t>
        </is>
      </c>
      <c r="E2314" s="5" t="inlineStr">
        <is>
          <t>Master</t>
        </is>
      </c>
      <c r="F2314" s="5" t="inlineStr">
        <is>
          <t>Customer Support</t>
        </is>
      </c>
      <c r="G2314" s="5" t="inlineStr">
        <is>
          <t>Support Agent</t>
        </is>
      </c>
      <c r="H2314" s="5" t="inlineStr">
        <is>
          <t>4</t>
        </is>
      </c>
      <c r="I2314" s="5" t="inlineStr">
        <is>
          <t>Chennai</t>
        </is>
      </c>
      <c r="J2314" s="5" t="inlineStr">
        <is>
          <t>Full-Time</t>
        </is>
      </c>
      <c r="K2314" s="7" t="n">
        <v>43859</v>
      </c>
      <c r="L2314" s="7" t="inlineStr"/>
      <c r="M2314" s="5" t="inlineStr">
        <is>
          <t>Yes</t>
        </is>
      </c>
      <c r="N2314" s="5" t="inlineStr"/>
      <c r="O2314" s="8" t="inlineStr">
        <is>
          <t>63000</t>
        </is>
      </c>
      <c r="P2314" s="5" t="inlineStr">
        <is>
          <t>0</t>
        </is>
      </c>
      <c r="Q2314" s="5" t="inlineStr">
        <is>
          <t>1</t>
        </is>
      </c>
      <c r="R2314" s="5" t="inlineStr">
        <is>
          <t>6</t>
        </is>
      </c>
      <c r="S2314" s="5" t="inlineStr">
        <is>
          <t>72</t>
        </is>
      </c>
      <c r="T2314" s="5" t="inlineStr">
        <is>
          <t>0</t>
        </is>
      </c>
      <c r="U2314" s="5">
        <f>IFS(C2314&lt;30,"Under 30",C2314&lt;40,"30-39",C2314&lt;50,"40-49",TRUE,"50+")</f>
        <v/>
      </c>
      <c r="V2314" s="5">
        <f>IFS(O2314&lt;60000,"Low (&lt;60k)",O2314&lt;100000,"Mid (60-100k)",TRUE,"High (100k+)")</f>
        <v/>
      </c>
      <c r="W2314" s="5">
        <f>IF(M2314="No","Attrited","Active")</f>
        <v/>
      </c>
    </row>
    <row r="2315">
      <c r="A2315" s="5" t="inlineStr">
        <is>
          <t>E02314</t>
        </is>
      </c>
      <c r="B2315" s="5" t="inlineStr">
        <is>
          <t>Male</t>
        </is>
      </c>
      <c r="C2315" s="6" t="inlineStr">
        <is>
          <t>39</t>
        </is>
      </c>
      <c r="D2315" s="5" t="inlineStr">
        <is>
          <t>Single</t>
        </is>
      </c>
      <c r="E2315" s="5" t="inlineStr">
        <is>
          <t>Bachelor</t>
        </is>
      </c>
      <c r="F2315" s="5" t="inlineStr">
        <is>
          <t>IT</t>
        </is>
      </c>
      <c r="G2315" s="5" t="inlineStr">
        <is>
          <t>IT Support</t>
        </is>
      </c>
      <c r="H2315" s="5" t="inlineStr">
        <is>
          <t>5</t>
        </is>
      </c>
      <c r="I2315" s="5" t="inlineStr">
        <is>
          <t>Mumbai</t>
        </is>
      </c>
      <c r="J2315" s="5" t="inlineStr">
        <is>
          <t>Contract</t>
        </is>
      </c>
      <c r="K2315" s="7" t="n">
        <v>44095</v>
      </c>
      <c r="L2315" s="7" t="inlineStr"/>
      <c r="M2315" s="5" t="inlineStr">
        <is>
          <t>Yes</t>
        </is>
      </c>
      <c r="N2315" s="5" t="inlineStr"/>
      <c r="O2315" s="8" t="inlineStr">
        <is>
          <t>206500</t>
        </is>
      </c>
      <c r="P2315" s="5" t="inlineStr">
        <is>
          <t>10</t>
        </is>
      </c>
      <c r="Q2315" s="5" t="inlineStr">
        <is>
          <t>3</t>
        </is>
      </c>
      <c r="R2315" s="5" t="inlineStr">
        <is>
          <t>8</t>
        </is>
      </c>
      <c r="S2315" s="5" t="inlineStr">
        <is>
          <t>64</t>
        </is>
      </c>
      <c r="T2315" s="5" t="inlineStr">
        <is>
          <t>17</t>
        </is>
      </c>
      <c r="U2315" s="5">
        <f>IFS(C2315&lt;30,"Under 30",C2315&lt;40,"30-39",C2315&lt;50,"40-49",TRUE,"50+")</f>
        <v/>
      </c>
      <c r="V2315" s="5">
        <f>IFS(O2315&lt;60000,"Low (&lt;60k)",O2315&lt;100000,"Mid (60-100k)",TRUE,"High (100k+)")</f>
        <v/>
      </c>
      <c r="W2315" s="5">
        <f>IF(M2315="No","Attrited","Active")</f>
        <v/>
      </c>
    </row>
    <row r="2316">
      <c r="A2316" s="5" t="inlineStr">
        <is>
          <t>E02315</t>
        </is>
      </c>
      <c r="B2316" s="5" t="inlineStr">
        <is>
          <t>Female</t>
        </is>
      </c>
      <c r="C2316" s="6" t="inlineStr">
        <is>
          <t>37</t>
        </is>
      </c>
      <c r="D2316" s="5" t="inlineStr">
        <is>
          <t>Married</t>
        </is>
      </c>
      <c r="E2316" s="5" t="inlineStr">
        <is>
          <t>Master</t>
        </is>
      </c>
      <c r="F2316" s="5" t="inlineStr">
        <is>
          <t>IT</t>
        </is>
      </c>
      <c r="G2316" s="5" t="inlineStr">
        <is>
          <t>IT Support</t>
        </is>
      </c>
      <c r="H2316" s="5" t="inlineStr">
        <is>
          <t>5</t>
        </is>
      </c>
      <c r="I2316" s="5" t="inlineStr">
        <is>
          <t>Hyderabad</t>
        </is>
      </c>
      <c r="J2316" s="5" t="inlineStr">
        <is>
          <t>Full-Time</t>
        </is>
      </c>
      <c r="K2316" s="7" t="n">
        <v>43911</v>
      </c>
      <c r="L2316" s="7" t="inlineStr"/>
      <c r="M2316" s="5" t="inlineStr">
        <is>
          <t>Yes</t>
        </is>
      </c>
      <c r="N2316" s="5" t="inlineStr"/>
      <c r="O2316" s="8" t="inlineStr">
        <is>
          <t>133500</t>
        </is>
      </c>
      <c r="P2316" s="5" t="inlineStr">
        <is>
          <t>5</t>
        </is>
      </c>
      <c r="Q2316" s="5" t="inlineStr">
        <is>
          <t>4</t>
        </is>
      </c>
      <c r="R2316" s="5" t="inlineStr">
        <is>
          <t>6</t>
        </is>
      </c>
      <c r="S2316" s="5" t="inlineStr">
        <is>
          <t>70</t>
        </is>
      </c>
      <c r="T2316" s="5" t="inlineStr">
        <is>
          <t>0</t>
        </is>
      </c>
      <c r="U2316" s="5">
        <f>IFS(C2316&lt;30,"Under 30",C2316&lt;40,"30-39",C2316&lt;50,"40-49",TRUE,"50+")</f>
        <v/>
      </c>
      <c r="V2316" s="5">
        <f>IFS(O2316&lt;60000,"Low (&lt;60k)",O2316&lt;100000,"Mid (60-100k)",TRUE,"High (100k+)")</f>
        <v/>
      </c>
      <c r="W2316" s="5">
        <f>IF(M2316="No","Attrited","Active")</f>
        <v/>
      </c>
    </row>
    <row r="2317">
      <c r="A2317" s="5" t="inlineStr">
        <is>
          <t>E02316</t>
        </is>
      </c>
      <c r="B2317" s="5" t="inlineStr">
        <is>
          <t>Female</t>
        </is>
      </c>
      <c r="C2317" s="6" t="inlineStr">
        <is>
          <t>35</t>
        </is>
      </c>
      <c r="D2317" s="5" t="inlineStr">
        <is>
          <t>Divorced</t>
        </is>
      </c>
      <c r="E2317" s="5" t="inlineStr">
        <is>
          <t>Bachelor</t>
        </is>
      </c>
      <c r="F2317" s="5" t="inlineStr">
        <is>
          <t>Finance</t>
        </is>
      </c>
      <c r="G2317" s="5" t="inlineStr">
        <is>
          <t>Financial Analyst</t>
        </is>
      </c>
      <c r="H2317" s="5" t="inlineStr">
        <is>
          <t>3</t>
        </is>
      </c>
      <c r="I2317" s="5" t="inlineStr">
        <is>
          <t>Hyderabad</t>
        </is>
      </c>
      <c r="J2317" s="5" t="inlineStr">
        <is>
          <t>Full-Time</t>
        </is>
      </c>
      <c r="K2317" s="7" t="n">
        <v>45872</v>
      </c>
      <c r="L2317" s="7" t="inlineStr"/>
      <c r="M2317" s="5" t="inlineStr">
        <is>
          <t>Yes</t>
        </is>
      </c>
      <c r="N2317" s="5" t="inlineStr"/>
      <c r="O2317" s="8" t="inlineStr">
        <is>
          <t>123500</t>
        </is>
      </c>
      <c r="P2317" s="5" t="inlineStr">
        <is>
          <t>0</t>
        </is>
      </c>
      <c r="Q2317" s="5" t="inlineStr">
        <is>
          <t>4</t>
        </is>
      </c>
      <c r="R2317" s="5" t="inlineStr">
        <is>
          <t>6</t>
        </is>
      </c>
      <c r="S2317" s="5" t="inlineStr">
        <is>
          <t>5</t>
        </is>
      </c>
      <c r="T2317" s="5" t="inlineStr">
        <is>
          <t>3</t>
        </is>
      </c>
      <c r="U2317" s="5">
        <f>IFS(C2317&lt;30,"Under 30",C2317&lt;40,"30-39",C2317&lt;50,"40-49",TRUE,"50+")</f>
        <v/>
      </c>
      <c r="V2317" s="5">
        <f>IFS(O2317&lt;60000,"Low (&lt;60k)",O2317&lt;100000,"Mid (60-100k)",TRUE,"High (100k+)")</f>
        <v/>
      </c>
      <c r="W2317" s="5">
        <f>IF(M2317="No","Attrited","Active")</f>
        <v/>
      </c>
    </row>
    <row r="2318">
      <c r="A2318" s="5" t="inlineStr">
        <is>
          <t>E02317</t>
        </is>
      </c>
      <c r="B2318" s="5" t="inlineStr">
        <is>
          <t>Female</t>
        </is>
      </c>
      <c r="C2318" s="6" t="inlineStr">
        <is>
          <t>36</t>
        </is>
      </c>
      <c r="D2318" s="5" t="inlineStr">
        <is>
          <t>Married</t>
        </is>
      </c>
      <c r="E2318" s="5" t="inlineStr">
        <is>
          <t>High School</t>
        </is>
      </c>
      <c r="F2318" s="5" t="inlineStr">
        <is>
          <t>Human Resources</t>
        </is>
      </c>
      <c r="G2318" s="5" t="inlineStr">
        <is>
          <t>HR Generalist</t>
        </is>
      </c>
      <c r="H2318" s="5" t="inlineStr">
        <is>
          <t>2</t>
        </is>
      </c>
      <c r="I2318" s="5" t="inlineStr">
        <is>
          <t>Mumbai</t>
        </is>
      </c>
      <c r="J2318" s="5" t="inlineStr">
        <is>
          <t>Full-Time</t>
        </is>
      </c>
      <c r="K2318" s="7" t="n">
        <v>44741</v>
      </c>
      <c r="L2318" s="7" t="inlineStr"/>
      <c r="M2318" s="5" t="inlineStr">
        <is>
          <t>Yes</t>
        </is>
      </c>
      <c r="N2318" s="5" t="inlineStr"/>
      <c r="O2318" s="8" t="inlineStr">
        <is>
          <t>99000</t>
        </is>
      </c>
      <c r="P2318" s="5" t="inlineStr">
        <is>
          <t>5</t>
        </is>
      </c>
      <c r="Q2318" s="5" t="inlineStr">
        <is>
          <t>4</t>
        </is>
      </c>
      <c r="R2318" s="5" t="inlineStr">
        <is>
          <t>9</t>
        </is>
      </c>
      <c r="S2318" s="5" t="inlineStr">
        <is>
          <t>42</t>
        </is>
      </c>
      <c r="T2318" s="5" t="inlineStr">
        <is>
          <t>0</t>
        </is>
      </c>
      <c r="U2318" s="5">
        <f>IFS(C2318&lt;30,"Under 30",C2318&lt;40,"30-39",C2318&lt;50,"40-49",TRUE,"50+")</f>
        <v/>
      </c>
      <c r="V2318" s="5">
        <f>IFS(O2318&lt;60000,"Low (&lt;60k)",O2318&lt;100000,"Mid (60-100k)",TRUE,"High (100k+)")</f>
        <v/>
      </c>
      <c r="W2318" s="5">
        <f>IF(M2318="No","Attrited","Active")</f>
        <v/>
      </c>
    </row>
    <row r="2319">
      <c r="A2319" s="5" t="inlineStr">
        <is>
          <t>E02318</t>
        </is>
      </c>
      <c r="B2319" s="5" t="inlineStr">
        <is>
          <t>Female</t>
        </is>
      </c>
      <c r="C2319" s="6" t="inlineStr">
        <is>
          <t>40</t>
        </is>
      </c>
      <c r="D2319" s="5" t="inlineStr">
        <is>
          <t>Married</t>
        </is>
      </c>
      <c r="E2319" s="5" t="inlineStr">
        <is>
          <t>Bachelor</t>
        </is>
      </c>
      <c r="F2319" s="5" t="inlineStr">
        <is>
          <t>Operations</t>
        </is>
      </c>
      <c r="G2319" s="5" t="inlineStr">
        <is>
          <t>Logistics Coordinator</t>
        </is>
      </c>
      <c r="H2319" s="5" t="inlineStr">
        <is>
          <t>4</t>
        </is>
      </c>
      <c r="I2319" s="5" t="inlineStr">
        <is>
          <t>Mumbai</t>
        </is>
      </c>
      <c r="J2319" s="5" t="inlineStr">
        <is>
          <t>Part-Time</t>
        </is>
      </c>
      <c r="K2319" s="7" t="n">
        <v>44861</v>
      </c>
      <c r="L2319" s="7" t="inlineStr"/>
      <c r="M2319" s="5" t="inlineStr">
        <is>
          <t>Yes</t>
        </is>
      </c>
      <c r="N2319" s="5" t="inlineStr"/>
      <c r="O2319" s="8" t="inlineStr">
        <is>
          <t>90000</t>
        </is>
      </c>
      <c r="P2319" s="5" t="inlineStr">
        <is>
          <t>5</t>
        </is>
      </c>
      <c r="Q2319" s="5" t="inlineStr">
        <is>
          <t>4</t>
        </is>
      </c>
      <c r="R2319" s="5" t="inlineStr">
        <is>
          <t>7</t>
        </is>
      </c>
      <c r="S2319" s="5" t="inlineStr">
        <is>
          <t>38</t>
        </is>
      </c>
      <c r="T2319" s="5" t="inlineStr">
        <is>
          <t>2</t>
        </is>
      </c>
      <c r="U2319" s="5">
        <f>IFS(C2319&lt;30,"Under 30",C2319&lt;40,"30-39",C2319&lt;50,"40-49",TRUE,"50+")</f>
        <v/>
      </c>
      <c r="V2319" s="5">
        <f>IFS(O2319&lt;60000,"Low (&lt;60k)",O2319&lt;100000,"Mid (60-100k)",TRUE,"High (100k+)")</f>
        <v/>
      </c>
      <c r="W2319" s="5">
        <f>IF(M2319="No","Attrited","Active")</f>
        <v/>
      </c>
    </row>
    <row r="2320">
      <c r="A2320" s="5" t="inlineStr">
        <is>
          <t>E02319</t>
        </is>
      </c>
      <c r="B2320" s="5" t="inlineStr">
        <is>
          <t>Male</t>
        </is>
      </c>
      <c r="C2320" s="6" t="inlineStr">
        <is>
          <t>34</t>
        </is>
      </c>
      <c r="D2320" s="5" t="inlineStr">
        <is>
          <t>Married</t>
        </is>
      </c>
      <c r="E2320" s="5" t="inlineStr">
        <is>
          <t>Bachelor</t>
        </is>
      </c>
      <c r="F2320" s="5" t="inlineStr">
        <is>
          <t>Sales</t>
        </is>
      </c>
      <c r="G2320" s="5" t="inlineStr">
        <is>
          <t>Account Executive</t>
        </is>
      </c>
      <c r="H2320" s="5" t="inlineStr">
        <is>
          <t>3</t>
        </is>
      </c>
      <c r="I2320" s="5" t="inlineStr">
        <is>
          <t>Remote</t>
        </is>
      </c>
      <c r="J2320" s="5" t="inlineStr">
        <is>
          <t>Full-Time</t>
        </is>
      </c>
      <c r="K2320" s="7" t="n">
        <v>44068</v>
      </c>
      <c r="L2320" s="7" t="n">
        <v>44100</v>
      </c>
      <c r="M2320" s="5" t="inlineStr">
        <is>
          <t>No</t>
        </is>
      </c>
      <c r="N2320" s="5" t="inlineStr">
        <is>
          <t>Resigned</t>
        </is>
      </c>
      <c r="O2320" s="8" t="inlineStr">
        <is>
          <t>123500</t>
        </is>
      </c>
      <c r="P2320" s="5" t="inlineStr">
        <is>
          <t>5</t>
        </is>
      </c>
      <c r="Q2320" s="5" t="inlineStr">
        <is>
          <t>3</t>
        </is>
      </c>
      <c r="R2320" s="5" t="inlineStr">
        <is>
          <t>8</t>
        </is>
      </c>
      <c r="S2320" s="5" t="inlineStr">
        <is>
          <t>1</t>
        </is>
      </c>
      <c r="T2320" s="5" t="inlineStr">
        <is>
          <t>3</t>
        </is>
      </c>
      <c r="U2320" s="5">
        <f>IFS(C2320&lt;30,"Under 30",C2320&lt;40,"30-39",C2320&lt;50,"40-49",TRUE,"50+")</f>
        <v/>
      </c>
      <c r="V2320" s="5">
        <f>IFS(O2320&lt;60000,"Low (&lt;60k)",O2320&lt;100000,"Mid (60-100k)",TRUE,"High (100k+)")</f>
        <v/>
      </c>
      <c r="W2320" s="5">
        <f>IF(M2320="No","Attrited","Active")</f>
        <v/>
      </c>
    </row>
    <row r="2321">
      <c r="A2321" s="5" t="inlineStr">
        <is>
          <t>E02320</t>
        </is>
      </c>
      <c r="B2321" s="5" t="inlineStr">
        <is>
          <t>Female</t>
        </is>
      </c>
      <c r="C2321" s="6" t="inlineStr">
        <is>
          <t>35</t>
        </is>
      </c>
      <c r="D2321" s="5" t="inlineStr">
        <is>
          <t>Married</t>
        </is>
      </c>
      <c r="E2321" s="5" t="inlineStr">
        <is>
          <t>Bachelor</t>
        </is>
      </c>
      <c r="F2321" s="5" t="inlineStr">
        <is>
          <t>IT</t>
        </is>
      </c>
      <c r="G2321" s="5" t="inlineStr">
        <is>
          <t>Software Engineer</t>
        </is>
      </c>
      <c r="H2321" s="5" t="inlineStr">
        <is>
          <t>3</t>
        </is>
      </c>
      <c r="I2321" s="5" t="inlineStr">
        <is>
          <t>Remote</t>
        </is>
      </c>
      <c r="J2321" s="5" t="inlineStr">
        <is>
          <t>Full-Time</t>
        </is>
      </c>
      <c r="K2321" s="7" t="n">
        <v>45386</v>
      </c>
      <c r="L2321" s="7" t="inlineStr"/>
      <c r="M2321" s="5" t="inlineStr">
        <is>
          <t>Yes</t>
        </is>
      </c>
      <c r="N2321" s="5" t="inlineStr"/>
      <c r="O2321" s="8" t="inlineStr">
        <is>
          <t>164500</t>
        </is>
      </c>
      <c r="P2321" s="5" t="inlineStr">
        <is>
          <t>15</t>
        </is>
      </c>
      <c r="Q2321" s="5" t="inlineStr">
        <is>
          <t>5</t>
        </is>
      </c>
      <c r="R2321" s="5" t="inlineStr">
        <is>
          <t>5</t>
        </is>
      </c>
      <c r="S2321" s="5" t="inlineStr">
        <is>
          <t>21</t>
        </is>
      </c>
      <c r="T2321" s="5" t="inlineStr">
        <is>
          <t>1</t>
        </is>
      </c>
      <c r="U2321" s="5">
        <f>IFS(C2321&lt;30,"Under 30",C2321&lt;40,"30-39",C2321&lt;50,"40-49",TRUE,"50+")</f>
        <v/>
      </c>
      <c r="V2321" s="5">
        <f>IFS(O2321&lt;60000,"Low (&lt;60k)",O2321&lt;100000,"Mid (60-100k)",TRUE,"High (100k+)")</f>
        <v/>
      </c>
      <c r="W2321" s="5">
        <f>IF(M2321="No","Attrited","Active")</f>
        <v/>
      </c>
    </row>
    <row r="2322">
      <c r="A2322" s="5" t="inlineStr">
        <is>
          <t>E02321</t>
        </is>
      </c>
      <c r="B2322" s="5" t="inlineStr">
        <is>
          <t>Female</t>
        </is>
      </c>
      <c r="C2322" s="6" t="inlineStr">
        <is>
          <t>31</t>
        </is>
      </c>
      <c r="D2322" s="5" t="inlineStr">
        <is>
          <t>Divorced</t>
        </is>
      </c>
      <c r="E2322" s="5" t="inlineStr">
        <is>
          <t>Bachelor</t>
        </is>
      </c>
      <c r="F2322" s="5" t="inlineStr">
        <is>
          <t>Sales</t>
        </is>
      </c>
      <c r="G2322" s="5" t="inlineStr">
        <is>
          <t>Business Development</t>
        </is>
      </c>
      <c r="H2322" s="5" t="inlineStr">
        <is>
          <t>1</t>
        </is>
      </c>
      <c r="I2322" s="5" t="inlineStr">
        <is>
          <t>Bengaluru</t>
        </is>
      </c>
      <c r="J2322" s="5" t="inlineStr">
        <is>
          <t>Part-Time</t>
        </is>
      </c>
      <c r="K2322" s="7" t="n">
        <v>45046</v>
      </c>
      <c r="L2322" s="7" t="inlineStr"/>
      <c r="M2322" s="5" t="inlineStr">
        <is>
          <t>Yes</t>
        </is>
      </c>
      <c r="N2322" s="5" t="inlineStr"/>
      <c r="O2322" s="8" t="inlineStr">
        <is>
          <t>71500</t>
        </is>
      </c>
      <c r="P2322" s="5" t="inlineStr">
        <is>
          <t>0</t>
        </is>
      </c>
      <c r="Q2322" s="5" t="inlineStr">
        <is>
          <t>5</t>
        </is>
      </c>
      <c r="R2322" s="5" t="inlineStr">
        <is>
          <t>6</t>
        </is>
      </c>
      <c r="S2322" s="5" t="inlineStr">
        <is>
          <t>32</t>
        </is>
      </c>
      <c r="T2322" s="5" t="inlineStr">
        <is>
          <t>12</t>
        </is>
      </c>
      <c r="U2322" s="5">
        <f>IFS(C2322&lt;30,"Under 30",C2322&lt;40,"30-39",C2322&lt;50,"40-49",TRUE,"50+")</f>
        <v/>
      </c>
      <c r="V2322" s="5">
        <f>IFS(O2322&lt;60000,"Low (&lt;60k)",O2322&lt;100000,"Mid (60-100k)",TRUE,"High (100k+)")</f>
        <v/>
      </c>
      <c r="W2322" s="5">
        <f>IF(M2322="No","Attrited","Active")</f>
        <v/>
      </c>
    </row>
    <row r="2323">
      <c r="A2323" s="5" t="inlineStr">
        <is>
          <t>E02322</t>
        </is>
      </c>
      <c r="B2323" s="5" t="inlineStr">
        <is>
          <t>Female</t>
        </is>
      </c>
      <c r="C2323" s="6" t="inlineStr">
        <is>
          <t>27</t>
        </is>
      </c>
      <c r="D2323" s="5" t="inlineStr">
        <is>
          <t>Single</t>
        </is>
      </c>
      <c r="E2323" s="5" t="inlineStr">
        <is>
          <t>Master</t>
        </is>
      </c>
      <c r="F2323" s="5" t="inlineStr">
        <is>
          <t>Finance</t>
        </is>
      </c>
      <c r="G2323" s="5" t="inlineStr">
        <is>
          <t>Credit Analyst</t>
        </is>
      </c>
      <c r="H2323" s="5" t="inlineStr">
        <is>
          <t>2</t>
        </is>
      </c>
      <c r="I2323" s="5" t="inlineStr">
        <is>
          <t>Delhi</t>
        </is>
      </c>
      <c r="J2323" s="5" t="inlineStr">
        <is>
          <t>Full-Time</t>
        </is>
      </c>
      <c r="K2323" s="7" t="n">
        <v>45844</v>
      </c>
      <c r="L2323" s="7" t="inlineStr"/>
      <c r="M2323" s="5" t="inlineStr">
        <is>
          <t>Yes</t>
        </is>
      </c>
      <c r="N2323" s="5" t="inlineStr"/>
      <c r="O2323" s="8" t="inlineStr">
        <is>
          <t>87000</t>
        </is>
      </c>
      <c r="P2323" s="5" t="inlineStr">
        <is>
          <t>0</t>
        </is>
      </c>
      <c r="Q2323" s="5" t="inlineStr">
        <is>
          <t>4</t>
        </is>
      </c>
      <c r="R2323" s="5" t="inlineStr">
        <is>
          <t>7</t>
        </is>
      </c>
      <c r="S2323" s="5" t="inlineStr">
        <is>
          <t>5</t>
        </is>
      </c>
      <c r="T2323" s="5" t="inlineStr">
        <is>
          <t>5</t>
        </is>
      </c>
      <c r="U2323" s="5">
        <f>IFS(C2323&lt;30,"Under 30",C2323&lt;40,"30-39",C2323&lt;50,"40-49",TRUE,"50+")</f>
        <v/>
      </c>
      <c r="V2323" s="5">
        <f>IFS(O2323&lt;60000,"Low (&lt;60k)",O2323&lt;100000,"Mid (60-100k)",TRUE,"High (100k+)")</f>
        <v/>
      </c>
      <c r="W2323" s="5">
        <f>IF(M2323="No","Attrited","Active")</f>
        <v/>
      </c>
    </row>
    <row r="2324">
      <c r="A2324" s="5" t="inlineStr">
        <is>
          <t>E02323</t>
        </is>
      </c>
      <c r="B2324" s="5" t="inlineStr">
        <is>
          <t>Female</t>
        </is>
      </c>
      <c r="C2324" s="6" t="inlineStr">
        <is>
          <t>32</t>
        </is>
      </c>
      <c r="D2324" s="5" t="inlineStr">
        <is>
          <t>Married</t>
        </is>
      </c>
      <c r="E2324" s="5" t="inlineStr">
        <is>
          <t>Bachelor</t>
        </is>
      </c>
      <c r="F2324" s="5" t="inlineStr">
        <is>
          <t>Customer Support</t>
        </is>
      </c>
      <c r="G2324" s="5" t="inlineStr">
        <is>
          <t>Escalation Specialist</t>
        </is>
      </c>
      <c r="H2324" s="5" t="inlineStr">
        <is>
          <t>2</t>
        </is>
      </c>
      <c r="I2324" s="5" t="inlineStr">
        <is>
          <t>Chennai</t>
        </is>
      </c>
      <c r="J2324" s="5" t="inlineStr">
        <is>
          <t>Contract</t>
        </is>
      </c>
      <c r="K2324" s="7" t="n">
        <v>45344</v>
      </c>
      <c r="L2324" s="7" t="n">
        <v>45463</v>
      </c>
      <c r="M2324" s="5" t="inlineStr">
        <is>
          <t>No</t>
        </is>
      </c>
      <c r="N2324" s="5" t="inlineStr">
        <is>
          <t>Resigned</t>
        </is>
      </c>
      <c r="O2324" s="8" t="inlineStr">
        <is>
          <t>54000</t>
        </is>
      </c>
      <c r="P2324" s="5" t="inlineStr">
        <is>
          <t>0</t>
        </is>
      </c>
      <c r="Q2324" s="5" t="inlineStr">
        <is>
          <t>3</t>
        </is>
      </c>
      <c r="R2324" s="5" t="inlineStr">
        <is>
          <t>6</t>
        </is>
      </c>
      <c r="S2324" s="5" t="inlineStr">
        <is>
          <t>3</t>
        </is>
      </c>
      <c r="T2324" s="5" t="inlineStr">
        <is>
          <t>4</t>
        </is>
      </c>
      <c r="U2324" s="5">
        <f>IFS(C2324&lt;30,"Under 30",C2324&lt;40,"30-39",C2324&lt;50,"40-49",TRUE,"50+")</f>
        <v/>
      </c>
      <c r="V2324" s="5">
        <f>IFS(O2324&lt;60000,"Low (&lt;60k)",O2324&lt;100000,"Mid (60-100k)",TRUE,"High (100k+)")</f>
        <v/>
      </c>
      <c r="W2324" s="5">
        <f>IF(M2324="No","Attrited","Active")</f>
        <v/>
      </c>
    </row>
    <row r="2325">
      <c r="A2325" s="5" t="inlineStr">
        <is>
          <t>E02324</t>
        </is>
      </c>
      <c r="B2325" s="5" t="inlineStr">
        <is>
          <t>Female</t>
        </is>
      </c>
      <c r="C2325" s="6" t="inlineStr">
        <is>
          <t>36</t>
        </is>
      </c>
      <c r="D2325" s="5" t="inlineStr">
        <is>
          <t>Married</t>
        </is>
      </c>
      <c r="E2325" s="5" t="inlineStr">
        <is>
          <t>Master</t>
        </is>
      </c>
      <c r="F2325" s="5" t="inlineStr">
        <is>
          <t>Operations</t>
        </is>
      </c>
      <c r="G2325" s="5" t="inlineStr">
        <is>
          <t>Logistics Coordinator</t>
        </is>
      </c>
      <c r="H2325" s="5" t="inlineStr">
        <is>
          <t>2</t>
        </is>
      </c>
      <c r="I2325" s="5" t="inlineStr">
        <is>
          <t>Hyderabad</t>
        </is>
      </c>
      <c r="J2325" s="5" t="inlineStr">
        <is>
          <t>Full-Time</t>
        </is>
      </c>
      <c r="K2325" s="7" t="n">
        <v>45329</v>
      </c>
      <c r="L2325" s="7" t="n">
        <v>45464</v>
      </c>
      <c r="M2325" s="5" t="inlineStr">
        <is>
          <t>No</t>
        </is>
      </c>
      <c r="N2325" s="5" t="inlineStr">
        <is>
          <t>Resigned</t>
        </is>
      </c>
      <c r="O2325" s="8" t="inlineStr">
        <is>
          <t>65500</t>
        </is>
      </c>
      <c r="P2325" s="5" t="inlineStr">
        <is>
          <t>10</t>
        </is>
      </c>
      <c r="Q2325" s="5" t="inlineStr">
        <is>
          <t>5</t>
        </is>
      </c>
      <c r="R2325" s="5" t="inlineStr">
        <is>
          <t>6</t>
        </is>
      </c>
      <c r="S2325" s="5" t="inlineStr">
        <is>
          <t>4</t>
        </is>
      </c>
      <c r="T2325" s="5" t="inlineStr">
        <is>
          <t>14</t>
        </is>
      </c>
      <c r="U2325" s="5">
        <f>IFS(C2325&lt;30,"Under 30",C2325&lt;40,"30-39",C2325&lt;50,"40-49",TRUE,"50+")</f>
        <v/>
      </c>
      <c r="V2325" s="5">
        <f>IFS(O2325&lt;60000,"Low (&lt;60k)",O2325&lt;100000,"Mid (60-100k)",TRUE,"High (100k+)")</f>
        <v/>
      </c>
      <c r="W2325" s="5">
        <f>IF(M2325="No","Attrited","Active")</f>
        <v/>
      </c>
    </row>
    <row r="2326">
      <c r="A2326" s="5" t="inlineStr">
        <is>
          <t>E02325</t>
        </is>
      </c>
      <c r="B2326" s="5" t="inlineStr">
        <is>
          <t>Female</t>
        </is>
      </c>
      <c r="C2326" s="6" t="inlineStr">
        <is>
          <t>27</t>
        </is>
      </c>
      <c r="D2326" s="5" t="inlineStr">
        <is>
          <t>Married</t>
        </is>
      </c>
      <c r="E2326" s="5" t="inlineStr">
        <is>
          <t>Diploma</t>
        </is>
      </c>
      <c r="F2326" s="5" t="inlineStr">
        <is>
          <t>Finance</t>
        </is>
      </c>
      <c r="G2326" s="5" t="inlineStr">
        <is>
          <t>Accountant</t>
        </is>
      </c>
      <c r="H2326" s="5" t="inlineStr">
        <is>
          <t>1</t>
        </is>
      </c>
      <c r="I2326" s="5" t="inlineStr">
        <is>
          <t>Remote</t>
        </is>
      </c>
      <c r="J2326" s="5" t="inlineStr">
        <is>
          <t>Full-Time</t>
        </is>
      </c>
      <c r="K2326" s="7" t="n">
        <v>45970</v>
      </c>
      <c r="L2326" s="7" t="inlineStr"/>
      <c r="M2326" s="5" t="inlineStr">
        <is>
          <t>Yes</t>
        </is>
      </c>
      <c r="N2326" s="5" t="inlineStr"/>
      <c r="O2326" s="8" t="inlineStr">
        <is>
          <t>86000</t>
        </is>
      </c>
      <c r="P2326" s="5" t="inlineStr">
        <is>
          <t>5</t>
        </is>
      </c>
      <c r="Q2326" s="5" t="inlineStr">
        <is>
          <t>3</t>
        </is>
      </c>
      <c r="R2326" s="5" t="inlineStr">
        <is>
          <t>8</t>
        </is>
      </c>
      <c r="S2326" s="5" t="inlineStr">
        <is>
          <t>1</t>
        </is>
      </c>
      <c r="T2326" s="5" t="inlineStr">
        <is>
          <t>0</t>
        </is>
      </c>
      <c r="U2326" s="5">
        <f>IFS(C2326&lt;30,"Under 30",C2326&lt;40,"30-39",C2326&lt;50,"40-49",TRUE,"50+")</f>
        <v/>
      </c>
      <c r="V2326" s="5">
        <f>IFS(O2326&lt;60000,"Low (&lt;60k)",O2326&lt;100000,"Mid (60-100k)",TRUE,"High (100k+)")</f>
        <v/>
      </c>
      <c r="W2326" s="5">
        <f>IF(M2326="No","Attrited","Active")</f>
        <v/>
      </c>
    </row>
    <row r="2327">
      <c r="A2327" s="5" t="inlineStr">
        <is>
          <t>E02326</t>
        </is>
      </c>
      <c r="B2327" s="5" t="inlineStr">
        <is>
          <t>Male</t>
        </is>
      </c>
      <c r="C2327" s="6" t="inlineStr">
        <is>
          <t>36</t>
        </is>
      </c>
      <c r="D2327" s="5" t="inlineStr">
        <is>
          <t>Single</t>
        </is>
      </c>
      <c r="E2327" s="5" t="inlineStr">
        <is>
          <t>Master</t>
        </is>
      </c>
      <c r="F2327" s="5" t="inlineStr">
        <is>
          <t>Sales</t>
        </is>
      </c>
      <c r="G2327" s="5" t="inlineStr">
        <is>
          <t>Sales Executive</t>
        </is>
      </c>
      <c r="H2327" s="5" t="inlineStr">
        <is>
          <t>3</t>
        </is>
      </c>
      <c r="I2327" s="5" t="inlineStr">
        <is>
          <t>Bengaluru</t>
        </is>
      </c>
      <c r="J2327" s="5" t="inlineStr">
        <is>
          <t>Full-Time</t>
        </is>
      </c>
      <c r="K2327" s="7" t="n">
        <v>44839</v>
      </c>
      <c r="L2327" s="7" t="inlineStr"/>
      <c r="M2327" s="5" t="inlineStr">
        <is>
          <t>Yes</t>
        </is>
      </c>
      <c r="N2327" s="5" t="inlineStr"/>
      <c r="O2327" s="8" t="inlineStr">
        <is>
          <t>107000</t>
        </is>
      </c>
      <c r="P2327" s="5" t="inlineStr">
        <is>
          <t>15</t>
        </is>
      </c>
      <c r="Q2327" s="5" t="inlineStr">
        <is>
          <t>2</t>
        </is>
      </c>
      <c r="R2327" s="5" t="inlineStr">
        <is>
          <t>6</t>
        </is>
      </c>
      <c r="S2327" s="5" t="inlineStr">
        <is>
          <t>39</t>
        </is>
      </c>
      <c r="T2327" s="5" t="inlineStr">
        <is>
          <t>3</t>
        </is>
      </c>
      <c r="U2327" s="5">
        <f>IFS(C2327&lt;30,"Under 30",C2327&lt;40,"30-39",C2327&lt;50,"40-49",TRUE,"50+")</f>
        <v/>
      </c>
      <c r="V2327" s="5">
        <f>IFS(O2327&lt;60000,"Low (&lt;60k)",O2327&lt;100000,"Mid (60-100k)",TRUE,"High (100k+)")</f>
        <v/>
      </c>
      <c r="W2327" s="5">
        <f>IF(M2327="No","Attrited","Active")</f>
        <v/>
      </c>
    </row>
    <row r="2328">
      <c r="A2328" s="5" t="inlineStr">
        <is>
          <t>E02327</t>
        </is>
      </c>
      <c r="B2328" s="5" t="inlineStr">
        <is>
          <t>Female</t>
        </is>
      </c>
      <c r="C2328" s="6" t="inlineStr">
        <is>
          <t>31</t>
        </is>
      </c>
      <c r="D2328" s="5" t="inlineStr">
        <is>
          <t>Married</t>
        </is>
      </c>
      <c r="E2328" s="5" t="inlineStr">
        <is>
          <t>PhD</t>
        </is>
      </c>
      <c r="F2328" s="5" t="inlineStr">
        <is>
          <t>Operations</t>
        </is>
      </c>
      <c r="G2328" s="5" t="inlineStr">
        <is>
          <t>Logistics Coordinator</t>
        </is>
      </c>
      <c r="H2328" s="5" t="inlineStr">
        <is>
          <t>2</t>
        </is>
      </c>
      <c r="I2328" s="5" t="inlineStr">
        <is>
          <t>Chennai</t>
        </is>
      </c>
      <c r="J2328" s="5" t="inlineStr">
        <is>
          <t>Full-Time</t>
        </is>
      </c>
      <c r="K2328" s="7" t="n">
        <v>44745</v>
      </c>
      <c r="L2328" s="7" t="inlineStr"/>
      <c r="M2328" s="5" t="inlineStr">
        <is>
          <t>Yes</t>
        </is>
      </c>
      <c r="N2328" s="5" t="inlineStr"/>
      <c r="O2328" s="8" t="inlineStr">
        <is>
          <t>91000</t>
        </is>
      </c>
      <c r="P2328" s="5" t="inlineStr">
        <is>
          <t>0</t>
        </is>
      </c>
      <c r="Q2328" s="5" t="inlineStr">
        <is>
          <t>4</t>
        </is>
      </c>
      <c r="R2328" s="5" t="inlineStr">
        <is>
          <t>6</t>
        </is>
      </c>
      <c r="S2328" s="5" t="inlineStr">
        <is>
          <t>42</t>
        </is>
      </c>
      <c r="T2328" s="5" t="inlineStr">
        <is>
          <t>1</t>
        </is>
      </c>
      <c r="U2328" s="5">
        <f>IFS(C2328&lt;30,"Under 30",C2328&lt;40,"30-39",C2328&lt;50,"40-49",TRUE,"50+")</f>
        <v/>
      </c>
      <c r="V2328" s="5">
        <f>IFS(O2328&lt;60000,"Low (&lt;60k)",O2328&lt;100000,"Mid (60-100k)",TRUE,"High (100k+)")</f>
        <v/>
      </c>
      <c r="W2328" s="5">
        <f>IF(M2328="No","Attrited","Active")</f>
        <v/>
      </c>
    </row>
    <row r="2329">
      <c r="A2329" s="5" t="inlineStr">
        <is>
          <t>E02328</t>
        </is>
      </c>
      <c r="B2329" s="5" t="inlineStr">
        <is>
          <t>Male</t>
        </is>
      </c>
      <c r="C2329" s="6" t="inlineStr">
        <is>
          <t>29</t>
        </is>
      </c>
      <c r="D2329" s="5" t="inlineStr">
        <is>
          <t>Married</t>
        </is>
      </c>
      <c r="E2329" s="5" t="inlineStr">
        <is>
          <t>Diploma</t>
        </is>
      </c>
      <c r="F2329" s="5" t="inlineStr">
        <is>
          <t>Customer Support</t>
        </is>
      </c>
      <c r="G2329" s="5" t="inlineStr">
        <is>
          <t>Support Agent</t>
        </is>
      </c>
      <c r="H2329" s="5" t="inlineStr">
        <is>
          <t>2</t>
        </is>
      </c>
      <c r="I2329" s="5" t="inlineStr">
        <is>
          <t>Delhi</t>
        </is>
      </c>
      <c r="J2329" s="5" t="inlineStr">
        <is>
          <t>Full-Time</t>
        </is>
      </c>
      <c r="K2329" s="7" t="n">
        <v>44155</v>
      </c>
      <c r="L2329" s="7" t="n">
        <v>44227</v>
      </c>
      <c r="M2329" s="5" t="inlineStr">
        <is>
          <t>No</t>
        </is>
      </c>
      <c r="N2329" s="5" t="inlineStr">
        <is>
          <t>Resigned</t>
        </is>
      </c>
      <c r="O2329" s="8" t="inlineStr">
        <is>
          <t>52500</t>
        </is>
      </c>
      <c r="P2329" s="5" t="inlineStr">
        <is>
          <t>5</t>
        </is>
      </c>
      <c r="Q2329" s="5" t="inlineStr">
        <is>
          <t>3</t>
        </is>
      </c>
      <c r="R2329" s="5" t="inlineStr">
        <is>
          <t>3</t>
        </is>
      </c>
      <c r="S2329" s="5" t="inlineStr">
        <is>
          <t>2</t>
        </is>
      </c>
      <c r="T2329" s="5" t="inlineStr">
        <is>
          <t>6</t>
        </is>
      </c>
      <c r="U2329" s="5">
        <f>IFS(C2329&lt;30,"Under 30",C2329&lt;40,"30-39",C2329&lt;50,"40-49",TRUE,"50+")</f>
        <v/>
      </c>
      <c r="V2329" s="5">
        <f>IFS(O2329&lt;60000,"Low (&lt;60k)",O2329&lt;100000,"Mid (60-100k)",TRUE,"High (100k+)")</f>
        <v/>
      </c>
      <c r="W2329" s="5">
        <f>IF(M2329="No","Attrited","Active")</f>
        <v/>
      </c>
    </row>
    <row r="2330">
      <c r="A2330" s="5" t="inlineStr">
        <is>
          <t>E02329</t>
        </is>
      </c>
      <c r="B2330" s="5" t="inlineStr">
        <is>
          <t>Female</t>
        </is>
      </c>
      <c r="C2330" s="6" t="inlineStr">
        <is>
          <t>35</t>
        </is>
      </c>
      <c r="D2330" s="5" t="inlineStr">
        <is>
          <t>Single</t>
        </is>
      </c>
      <c r="E2330" s="5" t="inlineStr">
        <is>
          <t>Diploma</t>
        </is>
      </c>
      <c r="F2330" s="5" t="inlineStr">
        <is>
          <t>Operations</t>
        </is>
      </c>
      <c r="G2330" s="5" t="inlineStr">
        <is>
          <t>Operations Analyst</t>
        </is>
      </c>
      <c r="H2330" s="5" t="inlineStr">
        <is>
          <t>2</t>
        </is>
      </c>
      <c r="I2330" s="5" t="inlineStr">
        <is>
          <t>Mumbai</t>
        </is>
      </c>
      <c r="J2330" s="5" t="inlineStr">
        <is>
          <t>Full-Time</t>
        </is>
      </c>
      <c r="K2330" s="7" t="n">
        <v>45632</v>
      </c>
      <c r="L2330" s="7" t="inlineStr"/>
      <c r="M2330" s="5" t="inlineStr">
        <is>
          <t>Yes</t>
        </is>
      </c>
      <c r="N2330" s="5" t="inlineStr"/>
      <c r="O2330" s="8" t="inlineStr">
        <is>
          <t>69000</t>
        </is>
      </c>
      <c r="P2330" s="5" t="inlineStr">
        <is>
          <t>0</t>
        </is>
      </c>
      <c r="Q2330" s="5" t="inlineStr">
        <is>
          <t>1</t>
        </is>
      </c>
      <c r="R2330" s="5" t="inlineStr">
        <is>
          <t>7</t>
        </is>
      </c>
      <c r="S2330" s="5" t="inlineStr">
        <is>
          <t>13</t>
        </is>
      </c>
      <c r="T2330" s="5" t="inlineStr">
        <is>
          <t>2</t>
        </is>
      </c>
      <c r="U2330" s="5">
        <f>IFS(C2330&lt;30,"Under 30",C2330&lt;40,"30-39",C2330&lt;50,"40-49",TRUE,"50+")</f>
        <v/>
      </c>
      <c r="V2330" s="5">
        <f>IFS(O2330&lt;60000,"Low (&lt;60k)",O2330&lt;100000,"Mid (60-100k)",TRUE,"High (100k+)")</f>
        <v/>
      </c>
      <c r="W2330" s="5">
        <f>IF(M2330="No","Attrited","Active")</f>
        <v/>
      </c>
    </row>
    <row r="2331">
      <c r="A2331" s="5" t="inlineStr">
        <is>
          <t>E02330</t>
        </is>
      </c>
      <c r="B2331" s="5" t="inlineStr">
        <is>
          <t>Female</t>
        </is>
      </c>
      <c r="C2331" s="6" t="inlineStr">
        <is>
          <t>37</t>
        </is>
      </c>
      <c r="D2331" s="5" t="inlineStr">
        <is>
          <t>Single</t>
        </is>
      </c>
      <c r="E2331" s="5" t="inlineStr">
        <is>
          <t>High School</t>
        </is>
      </c>
      <c r="F2331" s="5" t="inlineStr">
        <is>
          <t>Operations</t>
        </is>
      </c>
      <c r="G2331" s="5" t="inlineStr">
        <is>
          <t>Logistics Coordinator</t>
        </is>
      </c>
      <c r="H2331" s="5" t="inlineStr">
        <is>
          <t>5</t>
        </is>
      </c>
      <c r="I2331" s="5" t="inlineStr">
        <is>
          <t>Delhi</t>
        </is>
      </c>
      <c r="J2331" s="5" t="inlineStr">
        <is>
          <t>Part-Time</t>
        </is>
      </c>
      <c r="K2331" s="7" t="n">
        <v>44321</v>
      </c>
      <c r="L2331" s="7" t="n">
        <v>44427</v>
      </c>
      <c r="M2331" s="5" t="inlineStr">
        <is>
          <t>No</t>
        </is>
      </c>
      <c r="N2331" s="5" t="inlineStr">
        <is>
          <t>Retirement</t>
        </is>
      </c>
      <c r="O2331" s="8" t="inlineStr">
        <is>
          <t>136500</t>
        </is>
      </c>
      <c r="P2331" s="5" t="inlineStr">
        <is>
          <t>5</t>
        </is>
      </c>
      <c r="Q2331" s="5" t="inlineStr">
        <is>
          <t>3</t>
        </is>
      </c>
      <c r="R2331" s="5" t="inlineStr">
        <is>
          <t>5</t>
        </is>
      </c>
      <c r="S2331" s="5" t="inlineStr">
        <is>
          <t>3</t>
        </is>
      </c>
      <c r="T2331" s="5" t="inlineStr">
        <is>
          <t>5</t>
        </is>
      </c>
      <c r="U2331" s="5">
        <f>IFS(C2331&lt;30,"Under 30",C2331&lt;40,"30-39",C2331&lt;50,"40-49",TRUE,"50+")</f>
        <v/>
      </c>
      <c r="V2331" s="5">
        <f>IFS(O2331&lt;60000,"Low (&lt;60k)",O2331&lt;100000,"Mid (60-100k)",TRUE,"High (100k+)")</f>
        <v/>
      </c>
      <c r="W2331" s="5">
        <f>IF(M2331="No","Attrited","Active")</f>
        <v/>
      </c>
    </row>
    <row r="2332">
      <c r="A2332" s="5" t="inlineStr">
        <is>
          <t>E02331</t>
        </is>
      </c>
      <c r="B2332" s="5" t="inlineStr">
        <is>
          <t>Male</t>
        </is>
      </c>
      <c r="C2332" s="6" t="inlineStr">
        <is>
          <t>37</t>
        </is>
      </c>
      <c r="D2332" s="5" t="inlineStr">
        <is>
          <t>Single</t>
        </is>
      </c>
      <c r="E2332" s="5" t="inlineStr">
        <is>
          <t>PhD</t>
        </is>
      </c>
      <c r="F2332" s="5" t="inlineStr">
        <is>
          <t>Customer Support</t>
        </is>
      </c>
      <c r="G2332" s="5" t="inlineStr">
        <is>
          <t>Support Lead</t>
        </is>
      </c>
      <c r="H2332" s="5" t="inlineStr">
        <is>
          <t>7</t>
        </is>
      </c>
      <c r="I2332" s="5" t="inlineStr">
        <is>
          <t>Mumbai</t>
        </is>
      </c>
      <c r="J2332" s="5" t="inlineStr">
        <is>
          <t>Full-Time</t>
        </is>
      </c>
      <c r="K2332" s="7" t="n">
        <v>45975</v>
      </c>
      <c r="L2332" s="7" t="inlineStr"/>
      <c r="M2332" s="5" t="inlineStr">
        <is>
          <t>Yes</t>
        </is>
      </c>
      <c r="N2332" s="5" t="inlineStr"/>
      <c r="O2332" s="8" t="inlineStr">
        <is>
          <t>133000</t>
        </is>
      </c>
      <c r="P2332" s="5" t="inlineStr">
        <is>
          <t>0</t>
        </is>
      </c>
      <c r="Q2332" s="5" t="inlineStr">
        <is>
          <t>2</t>
        </is>
      </c>
      <c r="R2332" s="5" t="inlineStr">
        <is>
          <t>9</t>
        </is>
      </c>
      <c r="S2332" s="5" t="inlineStr">
        <is>
          <t>1</t>
        </is>
      </c>
      <c r="T2332" s="5" t="inlineStr">
        <is>
          <t>3</t>
        </is>
      </c>
      <c r="U2332" s="5">
        <f>IFS(C2332&lt;30,"Under 30",C2332&lt;40,"30-39",C2332&lt;50,"40-49",TRUE,"50+")</f>
        <v/>
      </c>
      <c r="V2332" s="5">
        <f>IFS(O2332&lt;60000,"Low (&lt;60k)",O2332&lt;100000,"Mid (60-100k)",TRUE,"High (100k+)")</f>
        <v/>
      </c>
      <c r="W2332" s="5">
        <f>IF(M2332="No","Attrited","Active")</f>
        <v/>
      </c>
    </row>
    <row r="2333">
      <c r="A2333" s="5" t="inlineStr">
        <is>
          <t>E02332</t>
        </is>
      </c>
      <c r="B2333" s="5" t="inlineStr">
        <is>
          <t>Female</t>
        </is>
      </c>
      <c r="C2333" s="6" t="inlineStr">
        <is>
          <t>33</t>
        </is>
      </c>
      <c r="D2333" s="5" t="inlineStr">
        <is>
          <t>Married</t>
        </is>
      </c>
      <c r="E2333" s="5" t="inlineStr">
        <is>
          <t>Master</t>
        </is>
      </c>
      <c r="F2333" s="5" t="inlineStr">
        <is>
          <t>Marketing</t>
        </is>
      </c>
      <c r="G2333" s="5" t="inlineStr">
        <is>
          <t>SEO Specialist</t>
        </is>
      </c>
      <c r="H2333" s="5" t="inlineStr">
        <is>
          <t>4</t>
        </is>
      </c>
      <c r="I2333" s="5" t="inlineStr">
        <is>
          <t>Mumbai</t>
        </is>
      </c>
      <c r="J2333" s="5" t="inlineStr">
        <is>
          <t>Full-Time</t>
        </is>
      </c>
      <c r="K2333" s="7" t="n">
        <v>45791</v>
      </c>
      <c r="L2333" s="7" t="inlineStr"/>
      <c r="M2333" s="5" t="inlineStr">
        <is>
          <t>Yes</t>
        </is>
      </c>
      <c r="N2333" s="5" t="inlineStr"/>
      <c r="O2333" s="8" t="inlineStr">
        <is>
          <t>87000</t>
        </is>
      </c>
      <c r="P2333" s="5" t="inlineStr">
        <is>
          <t>15</t>
        </is>
      </c>
      <c r="Q2333" s="5" t="inlineStr">
        <is>
          <t>4</t>
        </is>
      </c>
      <c r="R2333" s="5" t="inlineStr">
        <is>
          <t>5</t>
        </is>
      </c>
      <c r="S2333" s="5" t="inlineStr">
        <is>
          <t>7</t>
        </is>
      </c>
      <c r="T2333" s="5" t="inlineStr">
        <is>
          <t>3</t>
        </is>
      </c>
      <c r="U2333" s="5">
        <f>IFS(C2333&lt;30,"Under 30",C2333&lt;40,"30-39",C2333&lt;50,"40-49",TRUE,"50+")</f>
        <v/>
      </c>
      <c r="V2333" s="5">
        <f>IFS(O2333&lt;60000,"Low (&lt;60k)",O2333&lt;100000,"Mid (60-100k)",TRUE,"High (100k+)")</f>
        <v/>
      </c>
      <c r="W2333" s="5">
        <f>IF(M2333="No","Attrited","Active")</f>
        <v/>
      </c>
    </row>
    <row r="2334">
      <c r="A2334" s="5" t="inlineStr">
        <is>
          <t>E02333</t>
        </is>
      </c>
      <c r="B2334" s="5" t="inlineStr">
        <is>
          <t>Male</t>
        </is>
      </c>
      <c r="C2334" s="6" t="inlineStr">
        <is>
          <t>30</t>
        </is>
      </c>
      <c r="D2334" s="5" t="inlineStr">
        <is>
          <t>Married</t>
        </is>
      </c>
      <c r="E2334" s="5" t="inlineStr">
        <is>
          <t>Diploma</t>
        </is>
      </c>
      <c r="F2334" s="5" t="inlineStr">
        <is>
          <t>Human Resources</t>
        </is>
      </c>
      <c r="G2334" s="5" t="inlineStr">
        <is>
          <t>HR Generalist</t>
        </is>
      </c>
      <c r="H2334" s="5" t="inlineStr">
        <is>
          <t>4</t>
        </is>
      </c>
      <c r="I2334" s="5" t="inlineStr">
        <is>
          <t>Chennai</t>
        </is>
      </c>
      <c r="J2334" s="5" t="inlineStr">
        <is>
          <t>Full-Time</t>
        </is>
      </c>
      <c r="K2334" s="7" t="n">
        <v>45414</v>
      </c>
      <c r="L2334" s="7" t="inlineStr"/>
      <c r="M2334" s="5" t="inlineStr">
        <is>
          <t>Yes</t>
        </is>
      </c>
      <c r="N2334" s="5" t="inlineStr"/>
      <c r="O2334" s="8" t="inlineStr">
        <is>
          <t>102000</t>
        </is>
      </c>
      <c r="P2334" s="5" t="inlineStr">
        <is>
          <t>15</t>
        </is>
      </c>
      <c r="Q2334" s="5" t="inlineStr">
        <is>
          <t>2</t>
        </is>
      </c>
      <c r="R2334" s="5" t="inlineStr">
        <is>
          <t>4</t>
        </is>
      </c>
      <c r="S2334" s="5" t="inlineStr">
        <is>
          <t>20</t>
        </is>
      </c>
      <c r="T2334" s="5" t="inlineStr">
        <is>
          <t>5</t>
        </is>
      </c>
      <c r="U2334" s="5">
        <f>IFS(C2334&lt;30,"Under 30",C2334&lt;40,"30-39",C2334&lt;50,"40-49",TRUE,"50+")</f>
        <v/>
      </c>
      <c r="V2334" s="5">
        <f>IFS(O2334&lt;60000,"Low (&lt;60k)",O2334&lt;100000,"Mid (60-100k)",TRUE,"High (100k+)")</f>
        <v/>
      </c>
      <c r="W2334" s="5">
        <f>IF(M2334="No","Attrited","Active")</f>
        <v/>
      </c>
    </row>
    <row r="2335">
      <c r="A2335" s="5" t="inlineStr">
        <is>
          <t>E02334</t>
        </is>
      </c>
      <c r="B2335" s="5" t="inlineStr">
        <is>
          <t>Female</t>
        </is>
      </c>
      <c r="C2335" s="6" t="inlineStr">
        <is>
          <t>31</t>
        </is>
      </c>
      <c r="D2335" s="5" t="inlineStr">
        <is>
          <t>Married</t>
        </is>
      </c>
      <c r="E2335" s="5" t="inlineStr">
        <is>
          <t>PhD</t>
        </is>
      </c>
      <c r="F2335" s="5" t="inlineStr">
        <is>
          <t>Finance</t>
        </is>
      </c>
      <c r="G2335" s="5" t="inlineStr">
        <is>
          <t>Accountant</t>
        </is>
      </c>
      <c r="H2335" s="5" t="inlineStr">
        <is>
          <t>2</t>
        </is>
      </c>
      <c r="I2335" s="5" t="inlineStr">
        <is>
          <t>Chennai</t>
        </is>
      </c>
      <c r="J2335" s="5" t="inlineStr">
        <is>
          <t>Part-Time</t>
        </is>
      </c>
      <c r="K2335" s="7" t="n">
        <v>45994</v>
      </c>
      <c r="L2335" s="7" t="inlineStr"/>
      <c r="M2335" s="5" t="inlineStr">
        <is>
          <t>Yes</t>
        </is>
      </c>
      <c r="N2335" s="5" t="inlineStr"/>
      <c r="O2335" s="8" t="inlineStr">
        <is>
          <t>131000</t>
        </is>
      </c>
      <c r="P2335" s="5" t="inlineStr">
        <is>
          <t>10</t>
        </is>
      </c>
      <c r="Q2335" s="5" t="inlineStr">
        <is>
          <t>4</t>
        </is>
      </c>
      <c r="R2335" s="5" t="inlineStr">
        <is>
          <t>6</t>
        </is>
      </c>
      <c r="S2335" s="5" t="inlineStr">
        <is>
          <t>1</t>
        </is>
      </c>
      <c r="T2335" s="5" t="inlineStr">
        <is>
          <t>9</t>
        </is>
      </c>
      <c r="U2335" s="5">
        <f>IFS(C2335&lt;30,"Under 30",C2335&lt;40,"30-39",C2335&lt;50,"40-49",TRUE,"50+")</f>
        <v/>
      </c>
      <c r="V2335" s="5">
        <f>IFS(O2335&lt;60000,"Low (&lt;60k)",O2335&lt;100000,"Mid (60-100k)",TRUE,"High (100k+)")</f>
        <v/>
      </c>
      <c r="W2335" s="5">
        <f>IF(M2335="No","Attrited","Active")</f>
        <v/>
      </c>
    </row>
    <row r="2336">
      <c r="A2336" s="5" t="inlineStr">
        <is>
          <t>E02335</t>
        </is>
      </c>
      <c r="B2336" s="5" t="inlineStr">
        <is>
          <t>Male</t>
        </is>
      </c>
      <c r="C2336" s="6" t="inlineStr">
        <is>
          <t>29</t>
        </is>
      </c>
      <c r="D2336" s="5" t="inlineStr">
        <is>
          <t>Married</t>
        </is>
      </c>
      <c r="E2336" s="5" t="inlineStr">
        <is>
          <t>PhD</t>
        </is>
      </c>
      <c r="F2336" s="5" t="inlineStr">
        <is>
          <t>IT</t>
        </is>
      </c>
      <c r="G2336" s="5" t="inlineStr">
        <is>
          <t>DevOps Engineer</t>
        </is>
      </c>
      <c r="H2336" s="5" t="inlineStr">
        <is>
          <t>4</t>
        </is>
      </c>
      <c r="I2336" s="5" t="inlineStr">
        <is>
          <t>Bengaluru</t>
        </is>
      </c>
      <c r="J2336" s="5" t="inlineStr">
        <is>
          <t>Full-Time</t>
        </is>
      </c>
      <c r="K2336" s="7" t="n">
        <v>45040</v>
      </c>
      <c r="L2336" s="7" t="inlineStr"/>
      <c r="M2336" s="5" t="inlineStr">
        <is>
          <t>Yes</t>
        </is>
      </c>
      <c r="N2336" s="5" t="inlineStr"/>
      <c r="O2336" s="8" t="inlineStr">
        <is>
          <t>129000</t>
        </is>
      </c>
      <c r="P2336" s="5" t="inlineStr">
        <is>
          <t>5</t>
        </is>
      </c>
      <c r="Q2336" s="5" t="inlineStr">
        <is>
          <t>3</t>
        </is>
      </c>
      <c r="R2336" s="5" t="inlineStr">
        <is>
          <t>6</t>
        </is>
      </c>
      <c r="S2336" s="5" t="inlineStr">
        <is>
          <t>32</t>
        </is>
      </c>
      <c r="T2336" s="5" t="inlineStr">
        <is>
          <t>6</t>
        </is>
      </c>
      <c r="U2336" s="5">
        <f>IFS(C2336&lt;30,"Under 30",C2336&lt;40,"30-39",C2336&lt;50,"40-49",TRUE,"50+")</f>
        <v/>
      </c>
      <c r="V2336" s="5">
        <f>IFS(O2336&lt;60000,"Low (&lt;60k)",O2336&lt;100000,"Mid (60-100k)",TRUE,"High (100k+)")</f>
        <v/>
      </c>
      <c r="W2336" s="5">
        <f>IF(M2336="No","Attrited","Active")</f>
        <v/>
      </c>
    </row>
    <row r="2337">
      <c r="A2337" s="5" t="inlineStr">
        <is>
          <t>E02336</t>
        </is>
      </c>
      <c r="B2337" s="5" t="inlineStr">
        <is>
          <t>Female</t>
        </is>
      </c>
      <c r="C2337" s="6" t="inlineStr">
        <is>
          <t>40</t>
        </is>
      </c>
      <c r="D2337" s="5" t="inlineStr">
        <is>
          <t>Single</t>
        </is>
      </c>
      <c r="E2337" s="5" t="inlineStr">
        <is>
          <t>Bachelor</t>
        </is>
      </c>
      <c r="F2337" s="5" t="inlineStr">
        <is>
          <t>Customer Support</t>
        </is>
      </c>
      <c r="G2337" s="5" t="inlineStr">
        <is>
          <t>Support Agent</t>
        </is>
      </c>
      <c r="H2337" s="5" t="inlineStr">
        <is>
          <t>5</t>
        </is>
      </c>
      <c r="I2337" s="5" t="inlineStr">
        <is>
          <t>Hyderabad</t>
        </is>
      </c>
      <c r="J2337" s="5" t="inlineStr">
        <is>
          <t>Full-Time</t>
        </is>
      </c>
      <c r="K2337" s="7" t="n">
        <v>45117</v>
      </c>
      <c r="L2337" s="7" t="inlineStr"/>
      <c r="M2337" s="5" t="inlineStr">
        <is>
          <t>Yes</t>
        </is>
      </c>
      <c r="N2337" s="5" t="inlineStr"/>
      <c r="O2337" s="8" t="inlineStr">
        <is>
          <t>68000</t>
        </is>
      </c>
      <c r="P2337" s="5" t="inlineStr">
        <is>
          <t>5</t>
        </is>
      </c>
      <c r="Q2337" s="5" t="inlineStr">
        <is>
          <t>5</t>
        </is>
      </c>
      <c r="R2337" s="5" t="inlineStr">
        <is>
          <t>6</t>
        </is>
      </c>
      <c r="S2337" s="5" t="inlineStr">
        <is>
          <t>30</t>
        </is>
      </c>
      <c r="T2337" s="5" t="inlineStr">
        <is>
          <t>8</t>
        </is>
      </c>
      <c r="U2337" s="5">
        <f>IFS(C2337&lt;30,"Under 30",C2337&lt;40,"30-39",C2337&lt;50,"40-49",TRUE,"50+")</f>
        <v/>
      </c>
      <c r="V2337" s="5">
        <f>IFS(O2337&lt;60000,"Low (&lt;60k)",O2337&lt;100000,"Mid (60-100k)",TRUE,"High (100k+)")</f>
        <v/>
      </c>
      <c r="W2337" s="5">
        <f>IF(M2337="No","Attrited","Active")</f>
        <v/>
      </c>
    </row>
    <row r="2338">
      <c r="A2338" s="5" t="inlineStr">
        <is>
          <t>E02337</t>
        </is>
      </c>
      <c r="B2338" s="5" t="inlineStr">
        <is>
          <t>Male</t>
        </is>
      </c>
      <c r="C2338" s="6" t="inlineStr">
        <is>
          <t>24</t>
        </is>
      </c>
      <c r="D2338" s="5" t="inlineStr">
        <is>
          <t>Married</t>
        </is>
      </c>
      <c r="E2338" s="5" t="inlineStr">
        <is>
          <t>PhD</t>
        </is>
      </c>
      <c r="F2338" s="5" t="inlineStr">
        <is>
          <t>Operations</t>
        </is>
      </c>
      <c r="G2338" s="5" t="inlineStr">
        <is>
          <t>Quality Analyst</t>
        </is>
      </c>
      <c r="H2338" s="5" t="inlineStr">
        <is>
          <t>1</t>
        </is>
      </c>
      <c r="I2338" s="5" t="inlineStr">
        <is>
          <t>Remote</t>
        </is>
      </c>
      <c r="J2338" s="5" t="inlineStr">
        <is>
          <t>Full-Time</t>
        </is>
      </c>
      <c r="K2338" s="7" t="n">
        <v>44295</v>
      </c>
      <c r="L2338" s="7" t="inlineStr"/>
      <c r="M2338" s="5" t="inlineStr">
        <is>
          <t>Yes</t>
        </is>
      </c>
      <c r="N2338" s="5" t="inlineStr"/>
      <c r="O2338" s="8" t="inlineStr">
        <is>
          <t>66500</t>
        </is>
      </c>
      <c r="P2338" s="5" t="inlineStr">
        <is>
          <t>0</t>
        </is>
      </c>
      <c r="Q2338" s="5" t="inlineStr">
        <is>
          <t>4</t>
        </is>
      </c>
      <c r="R2338" s="5" t="inlineStr">
        <is>
          <t>8</t>
        </is>
      </c>
      <c r="S2338" s="5" t="inlineStr">
        <is>
          <t>57</t>
        </is>
      </c>
      <c r="T2338" s="5" t="inlineStr">
        <is>
          <t>0</t>
        </is>
      </c>
      <c r="U2338" s="5">
        <f>IFS(C2338&lt;30,"Under 30",C2338&lt;40,"30-39",C2338&lt;50,"40-49",TRUE,"50+")</f>
        <v/>
      </c>
      <c r="V2338" s="5">
        <f>IFS(O2338&lt;60000,"Low (&lt;60k)",O2338&lt;100000,"Mid (60-100k)",TRUE,"High (100k+)")</f>
        <v/>
      </c>
      <c r="W2338" s="5">
        <f>IF(M2338="No","Attrited","Active")</f>
        <v/>
      </c>
    </row>
    <row r="2339">
      <c r="A2339" s="5" t="inlineStr">
        <is>
          <t>E02338</t>
        </is>
      </c>
      <c r="B2339" s="5" t="inlineStr">
        <is>
          <t>Female</t>
        </is>
      </c>
      <c r="C2339" s="6" t="inlineStr">
        <is>
          <t>26</t>
        </is>
      </c>
      <c r="D2339" s="5" t="inlineStr">
        <is>
          <t>Married</t>
        </is>
      </c>
      <c r="E2339" s="5" t="inlineStr">
        <is>
          <t>Master</t>
        </is>
      </c>
      <c r="F2339" s="5" t="inlineStr">
        <is>
          <t>IT</t>
        </is>
      </c>
      <c r="G2339" s="5" t="inlineStr">
        <is>
          <t>DevOps Engineer</t>
        </is>
      </c>
      <c r="H2339" s="5" t="inlineStr">
        <is>
          <t>1</t>
        </is>
      </c>
      <c r="I2339" s="5" t="inlineStr">
        <is>
          <t>Delhi</t>
        </is>
      </c>
      <c r="J2339" s="5" t="inlineStr">
        <is>
          <t>Contract</t>
        </is>
      </c>
      <c r="K2339" s="7" t="n">
        <v>45938</v>
      </c>
      <c r="L2339" s="7" t="inlineStr"/>
      <c r="M2339" s="5" t="inlineStr">
        <is>
          <t>Yes</t>
        </is>
      </c>
      <c r="N2339" s="5" t="inlineStr"/>
      <c r="O2339" s="8" t="inlineStr">
        <is>
          <t>96500</t>
        </is>
      </c>
      <c r="P2339" s="5" t="inlineStr">
        <is>
          <t>0</t>
        </is>
      </c>
      <c r="Q2339" s="5" t="inlineStr">
        <is>
          <t>1</t>
        </is>
      </c>
      <c r="R2339" s="5" t="inlineStr">
        <is>
          <t>6</t>
        </is>
      </c>
      <c r="S2339" s="5" t="inlineStr">
        <is>
          <t>2</t>
        </is>
      </c>
      <c r="T2339" s="5" t="inlineStr">
        <is>
          <t>0</t>
        </is>
      </c>
      <c r="U2339" s="5">
        <f>IFS(C2339&lt;30,"Under 30",C2339&lt;40,"30-39",C2339&lt;50,"40-49",TRUE,"50+")</f>
        <v/>
      </c>
      <c r="V2339" s="5">
        <f>IFS(O2339&lt;60000,"Low (&lt;60k)",O2339&lt;100000,"Mid (60-100k)",TRUE,"High (100k+)")</f>
        <v/>
      </c>
      <c r="W2339" s="5">
        <f>IF(M2339="No","Attrited","Active")</f>
        <v/>
      </c>
    </row>
    <row r="2340">
      <c r="A2340" s="5" t="inlineStr">
        <is>
          <t>E02339</t>
        </is>
      </c>
      <c r="B2340" s="5" t="inlineStr">
        <is>
          <t>Male</t>
        </is>
      </c>
      <c r="C2340" s="6" t="inlineStr">
        <is>
          <t>25</t>
        </is>
      </c>
      <c r="D2340" s="5" t="inlineStr">
        <is>
          <t>Married</t>
        </is>
      </c>
      <c r="E2340" s="5" t="inlineStr">
        <is>
          <t>Master</t>
        </is>
      </c>
      <c r="F2340" s="5" t="inlineStr">
        <is>
          <t>Research &amp; Development</t>
        </is>
      </c>
      <c r="G2340" s="5" t="inlineStr">
        <is>
          <t>Research Scientist</t>
        </is>
      </c>
      <c r="H2340" s="5" t="inlineStr">
        <is>
          <t>2</t>
        </is>
      </c>
      <c r="I2340" s="5" t="inlineStr">
        <is>
          <t>Bengaluru</t>
        </is>
      </c>
      <c r="J2340" s="5" t="inlineStr">
        <is>
          <t>Full-Time</t>
        </is>
      </c>
      <c r="K2340" s="7" t="n">
        <v>44992</v>
      </c>
      <c r="L2340" s="7" t="inlineStr"/>
      <c r="M2340" s="5" t="inlineStr">
        <is>
          <t>Yes</t>
        </is>
      </c>
      <c r="N2340" s="5" t="inlineStr"/>
      <c r="O2340" s="8" t="inlineStr">
        <is>
          <t>177000</t>
        </is>
      </c>
      <c r="P2340" s="5" t="inlineStr">
        <is>
          <t>5</t>
        </is>
      </c>
      <c r="Q2340" s="5" t="inlineStr">
        <is>
          <t>4</t>
        </is>
      </c>
      <c r="R2340" s="5" t="inlineStr">
        <is>
          <t>7</t>
        </is>
      </c>
      <c r="S2340" s="5" t="inlineStr">
        <is>
          <t>34</t>
        </is>
      </c>
      <c r="T2340" s="5" t="inlineStr">
        <is>
          <t>0</t>
        </is>
      </c>
      <c r="U2340" s="5">
        <f>IFS(C2340&lt;30,"Under 30",C2340&lt;40,"30-39",C2340&lt;50,"40-49",TRUE,"50+")</f>
        <v/>
      </c>
      <c r="V2340" s="5">
        <f>IFS(O2340&lt;60000,"Low (&lt;60k)",O2340&lt;100000,"Mid (60-100k)",TRUE,"High (100k+)")</f>
        <v/>
      </c>
      <c r="W2340" s="5">
        <f>IF(M2340="No","Attrited","Active")</f>
        <v/>
      </c>
    </row>
    <row r="2341">
      <c r="A2341" s="5" t="inlineStr">
        <is>
          <t>E02340</t>
        </is>
      </c>
      <c r="B2341" s="5" t="inlineStr">
        <is>
          <t>Female</t>
        </is>
      </c>
      <c r="C2341" s="6" t="inlineStr">
        <is>
          <t>31</t>
        </is>
      </c>
      <c r="D2341" s="5" t="inlineStr">
        <is>
          <t>Married</t>
        </is>
      </c>
      <c r="E2341" s="5" t="inlineStr">
        <is>
          <t>High School</t>
        </is>
      </c>
      <c r="F2341" s="5" t="inlineStr">
        <is>
          <t>Sales</t>
        </is>
      </c>
      <c r="G2341" s="5" t="inlineStr">
        <is>
          <t>Account Executive</t>
        </is>
      </c>
      <c r="H2341" s="5" t="inlineStr">
        <is>
          <t>2</t>
        </is>
      </c>
      <c r="I2341" s="5" t="inlineStr">
        <is>
          <t>Mumbai</t>
        </is>
      </c>
      <c r="J2341" s="5" t="inlineStr">
        <is>
          <t>Full-Time</t>
        </is>
      </c>
      <c r="K2341" s="7" t="n">
        <v>45595</v>
      </c>
      <c r="L2341" s="7" t="inlineStr"/>
      <c r="M2341" s="5" t="inlineStr">
        <is>
          <t>Yes</t>
        </is>
      </c>
      <c r="N2341" s="5" t="inlineStr"/>
      <c r="O2341" s="8" t="inlineStr">
        <is>
          <t>111000</t>
        </is>
      </c>
      <c r="P2341" s="5" t="inlineStr">
        <is>
          <t>5</t>
        </is>
      </c>
      <c r="Q2341" s="5" t="inlineStr">
        <is>
          <t>3</t>
        </is>
      </c>
      <c r="R2341" s="5" t="inlineStr">
        <is>
          <t>7</t>
        </is>
      </c>
      <c r="S2341" s="5" t="inlineStr">
        <is>
          <t>14</t>
        </is>
      </c>
      <c r="T2341" s="5" t="inlineStr">
        <is>
          <t>6</t>
        </is>
      </c>
      <c r="U2341" s="5">
        <f>IFS(C2341&lt;30,"Under 30",C2341&lt;40,"30-39",C2341&lt;50,"40-49",TRUE,"50+")</f>
        <v/>
      </c>
      <c r="V2341" s="5">
        <f>IFS(O2341&lt;60000,"Low (&lt;60k)",O2341&lt;100000,"Mid (60-100k)",TRUE,"High (100k+)")</f>
        <v/>
      </c>
      <c r="W2341" s="5">
        <f>IF(M2341="No","Attrited","Active")</f>
        <v/>
      </c>
    </row>
    <row r="2342">
      <c r="A2342" s="5" t="inlineStr">
        <is>
          <t>E02341</t>
        </is>
      </c>
      <c r="B2342" s="5" t="inlineStr">
        <is>
          <t>Male</t>
        </is>
      </c>
      <c r="C2342" s="6" t="inlineStr">
        <is>
          <t>43</t>
        </is>
      </c>
      <c r="D2342" s="5" t="inlineStr">
        <is>
          <t>Married</t>
        </is>
      </c>
      <c r="E2342" s="5" t="inlineStr">
        <is>
          <t>Master</t>
        </is>
      </c>
      <c r="F2342" s="5" t="inlineStr">
        <is>
          <t>Executive</t>
        </is>
      </c>
      <c r="G2342" s="5" t="inlineStr">
        <is>
          <t>COO</t>
        </is>
      </c>
      <c r="H2342" s="5" t="inlineStr">
        <is>
          <t>6</t>
        </is>
      </c>
      <c r="I2342" s="5" t="inlineStr">
        <is>
          <t>Hyderabad</t>
        </is>
      </c>
      <c r="J2342" s="5" t="inlineStr">
        <is>
          <t>Part-Time</t>
        </is>
      </c>
      <c r="K2342" s="7" t="n">
        <v>45389</v>
      </c>
      <c r="L2342" s="7" t="inlineStr"/>
      <c r="M2342" s="5" t="inlineStr">
        <is>
          <t>Yes</t>
        </is>
      </c>
      <c r="N2342" s="5" t="inlineStr"/>
      <c r="O2342" s="8" t="inlineStr">
        <is>
          <t>255500</t>
        </is>
      </c>
      <c r="P2342" s="5" t="inlineStr">
        <is>
          <t>10</t>
        </is>
      </c>
      <c r="Q2342" s="5" t="inlineStr">
        <is>
          <t>3</t>
        </is>
      </c>
      <c r="R2342" s="5" t="inlineStr">
        <is>
          <t>7</t>
        </is>
      </c>
      <c r="S2342" s="5" t="inlineStr">
        <is>
          <t>21</t>
        </is>
      </c>
      <c r="T2342" s="5" t="inlineStr">
        <is>
          <t>9</t>
        </is>
      </c>
      <c r="U2342" s="5">
        <f>IFS(C2342&lt;30,"Under 30",C2342&lt;40,"30-39",C2342&lt;50,"40-49",TRUE,"50+")</f>
        <v/>
      </c>
      <c r="V2342" s="5">
        <f>IFS(O2342&lt;60000,"Low (&lt;60k)",O2342&lt;100000,"Mid (60-100k)",TRUE,"High (100k+)")</f>
        <v/>
      </c>
      <c r="W2342" s="5">
        <f>IF(M2342="No","Attrited","Active")</f>
        <v/>
      </c>
    </row>
    <row r="2343">
      <c r="A2343" s="5" t="inlineStr">
        <is>
          <t>E02342</t>
        </is>
      </c>
      <c r="B2343" s="5" t="inlineStr">
        <is>
          <t>Female</t>
        </is>
      </c>
      <c r="C2343" s="6" t="inlineStr">
        <is>
          <t>25</t>
        </is>
      </c>
      <c r="D2343" s="5" t="inlineStr">
        <is>
          <t>Married</t>
        </is>
      </c>
      <c r="E2343" s="5" t="inlineStr">
        <is>
          <t>Master</t>
        </is>
      </c>
      <c r="F2343" s="5" t="inlineStr">
        <is>
          <t>Customer Support</t>
        </is>
      </c>
      <c r="G2343" s="5" t="inlineStr">
        <is>
          <t>Escalation Specialist</t>
        </is>
      </c>
      <c r="H2343" s="5" t="inlineStr">
        <is>
          <t>1</t>
        </is>
      </c>
      <c r="I2343" s="5" t="inlineStr">
        <is>
          <t>Mumbai</t>
        </is>
      </c>
      <c r="J2343" s="5" t="inlineStr">
        <is>
          <t>Full-Time</t>
        </is>
      </c>
      <c r="K2343" s="7" t="n">
        <v>45870</v>
      </c>
      <c r="L2343" s="7" t="inlineStr"/>
      <c r="M2343" s="5" t="inlineStr">
        <is>
          <t>Yes</t>
        </is>
      </c>
      <c r="N2343" s="5" t="inlineStr"/>
      <c r="O2343" s="8" t="inlineStr">
        <is>
          <t>50000</t>
        </is>
      </c>
      <c r="P2343" s="5" t="inlineStr">
        <is>
          <t>5</t>
        </is>
      </c>
      <c r="Q2343" s="5" t="inlineStr">
        <is>
          <t>3</t>
        </is>
      </c>
      <c r="R2343" s="5" t="inlineStr">
        <is>
          <t>8</t>
        </is>
      </c>
      <c r="S2343" s="5" t="inlineStr">
        <is>
          <t>5</t>
        </is>
      </c>
      <c r="T2343" s="5" t="inlineStr">
        <is>
          <t>7</t>
        </is>
      </c>
      <c r="U2343" s="5">
        <f>IFS(C2343&lt;30,"Under 30",C2343&lt;40,"30-39",C2343&lt;50,"40-49",TRUE,"50+")</f>
        <v/>
      </c>
      <c r="V2343" s="5">
        <f>IFS(O2343&lt;60000,"Low (&lt;60k)",O2343&lt;100000,"Mid (60-100k)",TRUE,"High (100k+)")</f>
        <v/>
      </c>
      <c r="W2343" s="5">
        <f>IF(M2343="No","Attrited","Active")</f>
        <v/>
      </c>
    </row>
    <row r="2344">
      <c r="A2344" s="5" t="inlineStr">
        <is>
          <t>E02343</t>
        </is>
      </c>
      <c r="B2344" s="5" t="inlineStr">
        <is>
          <t>Female</t>
        </is>
      </c>
      <c r="C2344" s="6" t="inlineStr">
        <is>
          <t>32</t>
        </is>
      </c>
      <c r="D2344" s="5" t="inlineStr">
        <is>
          <t>Married</t>
        </is>
      </c>
      <c r="E2344" s="5" t="inlineStr">
        <is>
          <t>Diploma</t>
        </is>
      </c>
      <c r="F2344" s="5" t="inlineStr">
        <is>
          <t>Research &amp; Development</t>
        </is>
      </c>
      <c r="G2344" s="5" t="inlineStr">
        <is>
          <t>Research Scientist</t>
        </is>
      </c>
      <c r="H2344" s="5" t="inlineStr">
        <is>
          <t>2</t>
        </is>
      </c>
      <c r="I2344" s="5" t="inlineStr">
        <is>
          <t>Chennai</t>
        </is>
      </c>
      <c r="J2344" s="5" t="inlineStr">
        <is>
          <t>Full-Time</t>
        </is>
      </c>
      <c r="K2344" s="7" t="n">
        <v>45743</v>
      </c>
      <c r="L2344" s="7" t="inlineStr"/>
      <c r="M2344" s="5" t="inlineStr">
        <is>
          <t>Yes</t>
        </is>
      </c>
      <c r="N2344" s="5" t="inlineStr"/>
      <c r="O2344" s="8" t="inlineStr">
        <is>
          <t>154000</t>
        </is>
      </c>
      <c r="P2344" s="5" t="inlineStr">
        <is>
          <t>5</t>
        </is>
      </c>
      <c r="Q2344" s="5" t="inlineStr">
        <is>
          <t>3</t>
        </is>
      </c>
      <c r="R2344" s="5" t="inlineStr">
        <is>
          <t>8</t>
        </is>
      </c>
      <c r="S2344" s="5" t="inlineStr">
        <is>
          <t>9</t>
        </is>
      </c>
      <c r="T2344" s="5" t="inlineStr">
        <is>
          <t>3</t>
        </is>
      </c>
      <c r="U2344" s="5">
        <f>IFS(C2344&lt;30,"Under 30",C2344&lt;40,"30-39",C2344&lt;50,"40-49",TRUE,"50+")</f>
        <v/>
      </c>
      <c r="V2344" s="5">
        <f>IFS(O2344&lt;60000,"Low (&lt;60k)",O2344&lt;100000,"Mid (60-100k)",TRUE,"High (100k+)")</f>
        <v/>
      </c>
      <c r="W2344" s="5">
        <f>IF(M2344="No","Attrited","Active")</f>
        <v/>
      </c>
    </row>
    <row r="2345">
      <c r="A2345" s="5" t="inlineStr">
        <is>
          <t>E02344</t>
        </is>
      </c>
      <c r="B2345" s="5" t="inlineStr">
        <is>
          <t>Female</t>
        </is>
      </c>
      <c r="C2345" s="6" t="inlineStr">
        <is>
          <t>25</t>
        </is>
      </c>
      <c r="D2345" s="5" t="inlineStr">
        <is>
          <t>Married</t>
        </is>
      </c>
      <c r="E2345" s="5" t="inlineStr">
        <is>
          <t>Diploma</t>
        </is>
      </c>
      <c r="F2345" s="5" t="inlineStr">
        <is>
          <t>Operations</t>
        </is>
      </c>
      <c r="G2345" s="5" t="inlineStr">
        <is>
          <t>Operations Analyst</t>
        </is>
      </c>
      <c r="H2345" s="5" t="inlineStr">
        <is>
          <t>1</t>
        </is>
      </c>
      <c r="I2345" s="5" t="inlineStr">
        <is>
          <t>Mumbai</t>
        </is>
      </c>
      <c r="J2345" s="5" t="inlineStr">
        <is>
          <t>Full-Time</t>
        </is>
      </c>
      <c r="K2345" s="7" t="n">
        <v>44731</v>
      </c>
      <c r="L2345" s="7" t="inlineStr"/>
      <c r="M2345" s="5" t="inlineStr">
        <is>
          <t>Yes</t>
        </is>
      </c>
      <c r="N2345" s="5" t="inlineStr"/>
      <c r="O2345" s="8" t="inlineStr">
        <is>
          <t>82500</t>
        </is>
      </c>
      <c r="P2345" s="5" t="inlineStr">
        <is>
          <t>0</t>
        </is>
      </c>
      <c r="Q2345" s="5" t="inlineStr">
        <is>
          <t>5</t>
        </is>
      </c>
      <c r="R2345" s="5" t="inlineStr">
        <is>
          <t>6</t>
        </is>
      </c>
      <c r="S2345" s="5" t="inlineStr">
        <is>
          <t>43</t>
        </is>
      </c>
      <c r="T2345" s="5" t="inlineStr">
        <is>
          <t>0</t>
        </is>
      </c>
      <c r="U2345" s="5">
        <f>IFS(C2345&lt;30,"Under 30",C2345&lt;40,"30-39",C2345&lt;50,"40-49",TRUE,"50+")</f>
        <v/>
      </c>
      <c r="V2345" s="5">
        <f>IFS(O2345&lt;60000,"Low (&lt;60k)",O2345&lt;100000,"Mid (60-100k)",TRUE,"High (100k+)")</f>
        <v/>
      </c>
      <c r="W2345" s="5">
        <f>IF(M2345="No","Attrited","Active")</f>
        <v/>
      </c>
    </row>
    <row r="2346">
      <c r="A2346" s="5" t="inlineStr">
        <is>
          <t>E02345</t>
        </is>
      </c>
      <c r="B2346" s="5" t="inlineStr">
        <is>
          <t>Male</t>
        </is>
      </c>
      <c r="C2346" s="6" t="inlineStr">
        <is>
          <t>24</t>
        </is>
      </c>
      <c r="D2346" s="5" t="inlineStr">
        <is>
          <t>Single</t>
        </is>
      </c>
      <c r="E2346" s="5" t="inlineStr">
        <is>
          <t>PhD</t>
        </is>
      </c>
      <c r="F2346" s="5" t="inlineStr">
        <is>
          <t>Customer Support</t>
        </is>
      </c>
      <c r="G2346" s="5" t="inlineStr">
        <is>
          <t>Support Agent</t>
        </is>
      </c>
      <c r="H2346" s="5" t="inlineStr">
        <is>
          <t>1</t>
        </is>
      </c>
      <c r="I2346" s="5" t="inlineStr">
        <is>
          <t>Delhi</t>
        </is>
      </c>
      <c r="J2346" s="5" t="inlineStr">
        <is>
          <t>Full-Time</t>
        </is>
      </c>
      <c r="K2346" s="7" t="n">
        <v>45631</v>
      </c>
      <c r="L2346" s="7" t="inlineStr"/>
      <c r="M2346" s="5" t="inlineStr">
        <is>
          <t>Yes</t>
        </is>
      </c>
      <c r="N2346" s="5" t="inlineStr"/>
      <c r="O2346" s="8" t="inlineStr">
        <is>
          <t>64500</t>
        </is>
      </c>
      <c r="P2346" s="5" t="inlineStr">
        <is>
          <t>0</t>
        </is>
      </c>
      <c r="Q2346" s="5" t="inlineStr">
        <is>
          <t>3</t>
        </is>
      </c>
      <c r="R2346" s="5" t="inlineStr">
        <is>
          <t>6</t>
        </is>
      </c>
      <c r="S2346" s="5" t="inlineStr">
        <is>
          <t>13</t>
        </is>
      </c>
      <c r="T2346" s="5" t="inlineStr">
        <is>
          <t>18</t>
        </is>
      </c>
      <c r="U2346" s="5">
        <f>IFS(C2346&lt;30,"Under 30",C2346&lt;40,"30-39",C2346&lt;50,"40-49",TRUE,"50+")</f>
        <v/>
      </c>
      <c r="V2346" s="5">
        <f>IFS(O2346&lt;60000,"Low (&lt;60k)",O2346&lt;100000,"Mid (60-100k)",TRUE,"High (100k+)")</f>
        <v/>
      </c>
      <c r="W2346" s="5">
        <f>IF(M2346="No","Attrited","Active")</f>
        <v/>
      </c>
    </row>
    <row r="2347">
      <c r="A2347" s="5" t="inlineStr">
        <is>
          <t>E02346</t>
        </is>
      </c>
      <c r="B2347" s="5" t="inlineStr">
        <is>
          <t>Female</t>
        </is>
      </c>
      <c r="C2347" s="6" t="inlineStr">
        <is>
          <t>32</t>
        </is>
      </c>
      <c r="D2347" s="5" t="inlineStr">
        <is>
          <t>Single</t>
        </is>
      </c>
      <c r="E2347" s="5" t="inlineStr">
        <is>
          <t>High School</t>
        </is>
      </c>
      <c r="F2347" s="5" t="inlineStr">
        <is>
          <t>IT</t>
        </is>
      </c>
      <c r="G2347" s="5" t="inlineStr">
        <is>
          <t>DevOps Engineer</t>
        </is>
      </c>
      <c r="H2347" s="5" t="inlineStr">
        <is>
          <t>3</t>
        </is>
      </c>
      <c r="I2347" s="5" t="inlineStr">
        <is>
          <t>Mumbai</t>
        </is>
      </c>
      <c r="J2347" s="5" t="inlineStr">
        <is>
          <t>Full-Time</t>
        </is>
      </c>
      <c r="K2347" s="7" t="n">
        <v>45881</v>
      </c>
      <c r="L2347" s="7" t="inlineStr"/>
      <c r="M2347" s="5" t="inlineStr">
        <is>
          <t>Yes</t>
        </is>
      </c>
      <c r="N2347" s="5" t="inlineStr"/>
      <c r="O2347" s="8" t="inlineStr">
        <is>
          <t>127000</t>
        </is>
      </c>
      <c r="P2347" s="5" t="inlineStr">
        <is>
          <t>0</t>
        </is>
      </c>
      <c r="Q2347" s="5" t="inlineStr">
        <is>
          <t>3</t>
        </is>
      </c>
      <c r="R2347" s="5" t="inlineStr">
        <is>
          <t>8</t>
        </is>
      </c>
      <c r="S2347" s="5" t="inlineStr">
        <is>
          <t>4</t>
        </is>
      </c>
      <c r="T2347" s="5" t="inlineStr">
        <is>
          <t>11</t>
        </is>
      </c>
      <c r="U2347" s="5">
        <f>IFS(C2347&lt;30,"Under 30",C2347&lt;40,"30-39",C2347&lt;50,"40-49",TRUE,"50+")</f>
        <v/>
      </c>
      <c r="V2347" s="5">
        <f>IFS(O2347&lt;60000,"Low (&lt;60k)",O2347&lt;100000,"Mid (60-100k)",TRUE,"High (100k+)")</f>
        <v/>
      </c>
      <c r="W2347" s="5">
        <f>IF(M2347="No","Attrited","Active")</f>
        <v/>
      </c>
    </row>
    <row r="2348">
      <c r="A2348" s="5" t="inlineStr">
        <is>
          <t>E02347</t>
        </is>
      </c>
      <c r="B2348" s="5" t="inlineStr">
        <is>
          <t>Male</t>
        </is>
      </c>
      <c r="C2348" s="6" t="inlineStr">
        <is>
          <t>28</t>
        </is>
      </c>
      <c r="D2348" s="5" t="inlineStr">
        <is>
          <t>Married</t>
        </is>
      </c>
      <c r="E2348" s="5" t="inlineStr">
        <is>
          <t>Bachelor</t>
        </is>
      </c>
      <c r="F2348" s="5" t="inlineStr">
        <is>
          <t>Research &amp; Development</t>
        </is>
      </c>
      <c r="G2348" s="5" t="inlineStr">
        <is>
          <t>Data Scientist</t>
        </is>
      </c>
      <c r="H2348" s="5" t="inlineStr">
        <is>
          <t>1</t>
        </is>
      </c>
      <c r="I2348" s="5" t="inlineStr">
        <is>
          <t>Delhi</t>
        </is>
      </c>
      <c r="J2348" s="5" t="inlineStr">
        <is>
          <t>Part-Time</t>
        </is>
      </c>
      <c r="K2348" s="7" t="n">
        <v>44424</v>
      </c>
      <c r="L2348" s="7" t="inlineStr"/>
      <c r="M2348" s="5" t="inlineStr">
        <is>
          <t>Yes</t>
        </is>
      </c>
      <c r="N2348" s="5" t="inlineStr"/>
      <c r="O2348" s="8" t="inlineStr">
        <is>
          <t>108500</t>
        </is>
      </c>
      <c r="P2348" s="5" t="inlineStr">
        <is>
          <t>5</t>
        </is>
      </c>
      <c r="Q2348" s="5" t="inlineStr">
        <is>
          <t>3</t>
        </is>
      </c>
      <c r="R2348" s="5" t="inlineStr">
        <is>
          <t>6</t>
        </is>
      </c>
      <c r="S2348" s="5" t="inlineStr">
        <is>
          <t>53</t>
        </is>
      </c>
      <c r="T2348" s="5" t="inlineStr">
        <is>
          <t>7</t>
        </is>
      </c>
      <c r="U2348" s="5">
        <f>IFS(C2348&lt;30,"Under 30",C2348&lt;40,"30-39",C2348&lt;50,"40-49",TRUE,"50+")</f>
        <v/>
      </c>
      <c r="V2348" s="5">
        <f>IFS(O2348&lt;60000,"Low (&lt;60k)",O2348&lt;100000,"Mid (60-100k)",TRUE,"High (100k+)")</f>
        <v/>
      </c>
      <c r="W2348" s="5">
        <f>IF(M2348="No","Attrited","Active")</f>
        <v/>
      </c>
    </row>
    <row r="2349">
      <c r="A2349" s="5" t="inlineStr">
        <is>
          <t>E02348</t>
        </is>
      </c>
      <c r="B2349" s="5" t="inlineStr">
        <is>
          <t>Female</t>
        </is>
      </c>
      <c r="C2349" s="6" t="inlineStr">
        <is>
          <t>36</t>
        </is>
      </c>
      <c r="D2349" s="5" t="inlineStr">
        <is>
          <t>Single</t>
        </is>
      </c>
      <c r="E2349" s="5" t="inlineStr">
        <is>
          <t>Bachelor</t>
        </is>
      </c>
      <c r="F2349" s="5" t="inlineStr">
        <is>
          <t>Customer Support</t>
        </is>
      </c>
      <c r="G2349" s="5" t="inlineStr">
        <is>
          <t>Escalation Specialist</t>
        </is>
      </c>
      <c r="H2349" s="5" t="inlineStr">
        <is>
          <t>5</t>
        </is>
      </c>
      <c r="I2349" s="5" t="inlineStr">
        <is>
          <t>Remote</t>
        </is>
      </c>
      <c r="J2349" s="5" t="inlineStr">
        <is>
          <t>Full-Time</t>
        </is>
      </c>
      <c r="K2349" s="7" t="n">
        <v>45197</v>
      </c>
      <c r="L2349" s="7" t="inlineStr"/>
      <c r="M2349" s="5" t="inlineStr">
        <is>
          <t>Yes</t>
        </is>
      </c>
      <c r="N2349" s="5" t="inlineStr"/>
      <c r="O2349" s="8" t="inlineStr">
        <is>
          <t>102000</t>
        </is>
      </c>
      <c r="P2349" s="5" t="inlineStr">
        <is>
          <t>10</t>
        </is>
      </c>
      <c r="Q2349" s="5" t="inlineStr">
        <is>
          <t>5</t>
        </is>
      </c>
      <c r="R2349" s="5" t="inlineStr">
        <is>
          <t>4</t>
        </is>
      </c>
      <c r="S2349" s="5" t="inlineStr">
        <is>
          <t>27</t>
        </is>
      </c>
      <c r="T2349" s="5" t="inlineStr">
        <is>
          <t>4</t>
        </is>
      </c>
      <c r="U2349" s="5">
        <f>IFS(C2349&lt;30,"Under 30",C2349&lt;40,"30-39",C2349&lt;50,"40-49",TRUE,"50+")</f>
        <v/>
      </c>
      <c r="V2349" s="5">
        <f>IFS(O2349&lt;60000,"Low (&lt;60k)",O2349&lt;100000,"Mid (60-100k)",TRUE,"High (100k+)")</f>
        <v/>
      </c>
      <c r="W2349" s="5">
        <f>IF(M2349="No","Attrited","Active")</f>
        <v/>
      </c>
    </row>
    <row r="2350">
      <c r="A2350" s="5" t="inlineStr">
        <is>
          <t>E02349</t>
        </is>
      </c>
      <c r="B2350" s="5" t="inlineStr">
        <is>
          <t>Male</t>
        </is>
      </c>
      <c r="C2350" s="6" t="inlineStr">
        <is>
          <t>32</t>
        </is>
      </c>
      <c r="D2350" s="5" t="inlineStr">
        <is>
          <t>Married</t>
        </is>
      </c>
      <c r="E2350" s="5" t="inlineStr">
        <is>
          <t>High School</t>
        </is>
      </c>
      <c r="F2350" s="5" t="inlineStr">
        <is>
          <t>Marketing</t>
        </is>
      </c>
      <c r="G2350" s="5" t="inlineStr">
        <is>
          <t>SEO Specialist</t>
        </is>
      </c>
      <c r="H2350" s="5" t="inlineStr">
        <is>
          <t>4</t>
        </is>
      </c>
      <c r="I2350" s="5" t="inlineStr">
        <is>
          <t>Remote</t>
        </is>
      </c>
      <c r="J2350" s="5" t="inlineStr">
        <is>
          <t>Full-Time</t>
        </is>
      </c>
      <c r="K2350" s="7" t="n">
        <v>45663</v>
      </c>
      <c r="L2350" s="7" t="inlineStr"/>
      <c r="M2350" s="5" t="inlineStr">
        <is>
          <t>Yes</t>
        </is>
      </c>
      <c r="N2350" s="5" t="inlineStr"/>
      <c r="O2350" s="8" t="inlineStr">
        <is>
          <t>89500</t>
        </is>
      </c>
      <c r="P2350" s="5" t="inlineStr">
        <is>
          <t>0</t>
        </is>
      </c>
      <c r="Q2350" s="5" t="inlineStr">
        <is>
          <t>3</t>
        </is>
      </c>
      <c r="R2350" s="5" t="inlineStr">
        <is>
          <t>6</t>
        </is>
      </c>
      <c r="S2350" s="5" t="inlineStr">
        <is>
          <t>11</t>
        </is>
      </c>
      <c r="T2350" s="5" t="inlineStr">
        <is>
          <t>11</t>
        </is>
      </c>
      <c r="U2350" s="5">
        <f>IFS(C2350&lt;30,"Under 30",C2350&lt;40,"30-39",C2350&lt;50,"40-49",TRUE,"50+")</f>
        <v/>
      </c>
      <c r="V2350" s="5">
        <f>IFS(O2350&lt;60000,"Low (&lt;60k)",O2350&lt;100000,"Mid (60-100k)",TRUE,"High (100k+)")</f>
        <v/>
      </c>
      <c r="W2350" s="5">
        <f>IF(M2350="No","Attrited","Active")</f>
        <v/>
      </c>
    </row>
    <row r="2351">
      <c r="A2351" s="5" t="inlineStr">
        <is>
          <t>E02350</t>
        </is>
      </c>
      <c r="B2351" s="5" t="inlineStr">
        <is>
          <t>Male</t>
        </is>
      </c>
      <c r="C2351" s="6" t="inlineStr">
        <is>
          <t>34</t>
        </is>
      </c>
      <c r="D2351" s="5" t="inlineStr">
        <is>
          <t>Married</t>
        </is>
      </c>
      <c r="E2351" s="5" t="inlineStr">
        <is>
          <t>Diploma</t>
        </is>
      </c>
      <c r="F2351" s="5" t="inlineStr">
        <is>
          <t>Finance</t>
        </is>
      </c>
      <c r="G2351" s="5" t="inlineStr">
        <is>
          <t>Financial Analyst</t>
        </is>
      </c>
      <c r="H2351" s="5" t="inlineStr">
        <is>
          <t>6</t>
        </is>
      </c>
      <c r="I2351" s="5" t="inlineStr">
        <is>
          <t>Bengaluru</t>
        </is>
      </c>
      <c r="J2351" s="5" t="inlineStr">
        <is>
          <t>Full-Time</t>
        </is>
      </c>
      <c r="K2351" s="7" t="n">
        <v>45549</v>
      </c>
      <c r="L2351" s="7" t="inlineStr"/>
      <c r="M2351" s="5" t="inlineStr">
        <is>
          <t>Yes</t>
        </is>
      </c>
      <c r="N2351" s="5" t="inlineStr"/>
      <c r="O2351" s="8" t="inlineStr">
        <is>
          <t>193500</t>
        </is>
      </c>
      <c r="P2351" s="5" t="inlineStr">
        <is>
          <t>15</t>
        </is>
      </c>
      <c r="Q2351" s="5" t="inlineStr">
        <is>
          <t>4</t>
        </is>
      </c>
      <c r="R2351" s="5" t="inlineStr">
        <is>
          <t>4</t>
        </is>
      </c>
      <c r="S2351" s="5" t="inlineStr">
        <is>
          <t>15</t>
        </is>
      </c>
      <c r="T2351" s="5" t="inlineStr">
        <is>
          <t>15</t>
        </is>
      </c>
      <c r="U2351" s="5">
        <f>IFS(C2351&lt;30,"Under 30",C2351&lt;40,"30-39",C2351&lt;50,"40-49",TRUE,"50+")</f>
        <v/>
      </c>
      <c r="V2351" s="5">
        <f>IFS(O2351&lt;60000,"Low (&lt;60k)",O2351&lt;100000,"Mid (60-100k)",TRUE,"High (100k+)")</f>
        <v/>
      </c>
      <c r="W2351" s="5">
        <f>IF(M2351="No","Attrited","Active")</f>
        <v/>
      </c>
    </row>
    <row r="2352">
      <c r="A2352" s="5" t="inlineStr">
        <is>
          <t>E02351</t>
        </is>
      </c>
      <c r="B2352" s="5" t="inlineStr">
        <is>
          <t>Female</t>
        </is>
      </c>
      <c r="C2352" s="6" t="inlineStr">
        <is>
          <t>34</t>
        </is>
      </c>
      <c r="D2352" s="5" t="inlineStr">
        <is>
          <t>Single</t>
        </is>
      </c>
      <c r="E2352" s="5" t="inlineStr">
        <is>
          <t>Master</t>
        </is>
      </c>
      <c r="F2352" s="5" t="inlineStr">
        <is>
          <t>Executive</t>
        </is>
      </c>
      <c r="G2352" s="5" t="inlineStr">
        <is>
          <t>COO</t>
        </is>
      </c>
      <c r="H2352" s="5" t="inlineStr">
        <is>
          <t>1</t>
        </is>
      </c>
      <c r="I2352" s="5" t="inlineStr">
        <is>
          <t>Delhi</t>
        </is>
      </c>
      <c r="J2352" s="5" t="inlineStr">
        <is>
          <t>Full-Time</t>
        </is>
      </c>
      <c r="K2352" s="7" t="n">
        <v>45594</v>
      </c>
      <c r="L2352" s="7" t="inlineStr"/>
      <c r="M2352" s="5" t="inlineStr">
        <is>
          <t>Yes</t>
        </is>
      </c>
      <c r="N2352" s="5" t="inlineStr"/>
      <c r="O2352" s="8" t="inlineStr">
        <is>
          <t>209000</t>
        </is>
      </c>
      <c r="P2352" s="5" t="inlineStr">
        <is>
          <t>0</t>
        </is>
      </c>
      <c r="Q2352" s="5" t="inlineStr">
        <is>
          <t>2</t>
        </is>
      </c>
      <c r="R2352" s="5" t="inlineStr">
        <is>
          <t>10</t>
        </is>
      </c>
      <c r="S2352" s="5" t="inlineStr">
        <is>
          <t>14</t>
        </is>
      </c>
      <c r="T2352" s="5" t="inlineStr">
        <is>
          <t>6</t>
        </is>
      </c>
      <c r="U2352" s="5">
        <f>IFS(C2352&lt;30,"Under 30",C2352&lt;40,"30-39",C2352&lt;50,"40-49",TRUE,"50+")</f>
        <v/>
      </c>
      <c r="V2352" s="5">
        <f>IFS(O2352&lt;60000,"Low (&lt;60k)",O2352&lt;100000,"Mid (60-100k)",TRUE,"High (100k+)")</f>
        <v/>
      </c>
      <c r="W2352" s="5">
        <f>IF(M2352="No","Attrited","Active")</f>
        <v/>
      </c>
    </row>
    <row r="2353">
      <c r="A2353" s="5" t="inlineStr">
        <is>
          <t>E02352</t>
        </is>
      </c>
      <c r="B2353" s="5" t="inlineStr">
        <is>
          <t>Female</t>
        </is>
      </c>
      <c r="C2353" s="6" t="inlineStr">
        <is>
          <t>36</t>
        </is>
      </c>
      <c r="D2353" s="5" t="inlineStr">
        <is>
          <t>Single</t>
        </is>
      </c>
      <c r="E2353" s="5" t="inlineStr">
        <is>
          <t>Diploma</t>
        </is>
      </c>
      <c r="F2353" s="5" t="inlineStr">
        <is>
          <t>IT</t>
        </is>
      </c>
      <c r="G2353" s="5" t="inlineStr">
        <is>
          <t>DevOps Engineer</t>
        </is>
      </c>
      <c r="H2353" s="5" t="inlineStr">
        <is>
          <t>2</t>
        </is>
      </c>
      <c r="I2353" s="5" t="inlineStr">
        <is>
          <t>Remote</t>
        </is>
      </c>
      <c r="J2353" s="5" t="inlineStr">
        <is>
          <t>Full-Time</t>
        </is>
      </c>
      <c r="K2353" s="7" t="n">
        <v>44245</v>
      </c>
      <c r="L2353" s="7" t="inlineStr"/>
      <c r="M2353" s="5" t="inlineStr">
        <is>
          <t>Yes</t>
        </is>
      </c>
      <c r="N2353" s="5" t="inlineStr"/>
      <c r="O2353" s="8" t="inlineStr">
        <is>
          <t>110500</t>
        </is>
      </c>
      <c r="P2353" s="5" t="inlineStr">
        <is>
          <t>0</t>
        </is>
      </c>
      <c r="Q2353" s="5" t="inlineStr">
        <is>
          <t>3</t>
        </is>
      </c>
      <c r="R2353" s="5" t="inlineStr">
        <is>
          <t>7</t>
        </is>
      </c>
      <c r="S2353" s="5" t="inlineStr">
        <is>
          <t>59</t>
        </is>
      </c>
      <c r="T2353" s="5" t="inlineStr">
        <is>
          <t>13</t>
        </is>
      </c>
      <c r="U2353" s="5">
        <f>IFS(C2353&lt;30,"Under 30",C2353&lt;40,"30-39",C2353&lt;50,"40-49",TRUE,"50+")</f>
        <v/>
      </c>
      <c r="V2353" s="5">
        <f>IFS(O2353&lt;60000,"Low (&lt;60k)",O2353&lt;100000,"Mid (60-100k)",TRUE,"High (100k+)")</f>
        <v/>
      </c>
      <c r="W2353" s="5">
        <f>IF(M2353="No","Attrited","Active")</f>
        <v/>
      </c>
    </row>
    <row r="2354">
      <c r="A2354" s="5" t="inlineStr">
        <is>
          <t>E02353</t>
        </is>
      </c>
      <c r="B2354" s="5" t="inlineStr">
        <is>
          <t>Female</t>
        </is>
      </c>
      <c r="C2354" s="6" t="inlineStr">
        <is>
          <t>32</t>
        </is>
      </c>
      <c r="D2354" s="5" t="inlineStr">
        <is>
          <t>Married</t>
        </is>
      </c>
      <c r="E2354" s="5" t="inlineStr">
        <is>
          <t>PhD</t>
        </is>
      </c>
      <c r="F2354" s="5" t="inlineStr">
        <is>
          <t>Operations</t>
        </is>
      </c>
      <c r="G2354" s="5" t="inlineStr">
        <is>
          <t>Quality Analyst</t>
        </is>
      </c>
      <c r="H2354" s="5" t="inlineStr">
        <is>
          <t>4</t>
        </is>
      </c>
      <c r="I2354" s="5" t="inlineStr">
        <is>
          <t>Mumbai</t>
        </is>
      </c>
      <c r="J2354" s="5" t="inlineStr">
        <is>
          <t>Full-Time</t>
        </is>
      </c>
      <c r="K2354" s="7" t="n">
        <v>43842</v>
      </c>
      <c r="L2354" s="7" t="inlineStr"/>
      <c r="M2354" s="5" t="inlineStr">
        <is>
          <t>Yes</t>
        </is>
      </c>
      <c r="N2354" s="5" t="inlineStr"/>
      <c r="O2354" s="8" t="inlineStr">
        <is>
          <t>125500</t>
        </is>
      </c>
      <c r="P2354" s="5" t="inlineStr">
        <is>
          <t>15</t>
        </is>
      </c>
      <c r="Q2354" s="5" t="inlineStr">
        <is>
          <t>3</t>
        </is>
      </c>
      <c r="R2354" s="5" t="inlineStr">
        <is>
          <t>5</t>
        </is>
      </c>
      <c r="S2354" s="5" t="inlineStr">
        <is>
          <t>72</t>
        </is>
      </c>
      <c r="T2354" s="5" t="inlineStr">
        <is>
          <t>12</t>
        </is>
      </c>
      <c r="U2354" s="5">
        <f>IFS(C2354&lt;30,"Under 30",C2354&lt;40,"30-39",C2354&lt;50,"40-49",TRUE,"50+")</f>
        <v/>
      </c>
      <c r="V2354" s="5">
        <f>IFS(O2354&lt;60000,"Low (&lt;60k)",O2354&lt;100000,"Mid (60-100k)",TRUE,"High (100k+)")</f>
        <v/>
      </c>
      <c r="W2354" s="5">
        <f>IF(M2354="No","Attrited","Active")</f>
        <v/>
      </c>
    </row>
    <row r="2355">
      <c r="A2355" s="5" t="inlineStr">
        <is>
          <t>E02354</t>
        </is>
      </c>
      <c r="B2355" s="5" t="inlineStr">
        <is>
          <t>Female</t>
        </is>
      </c>
      <c r="C2355" s="6" t="inlineStr">
        <is>
          <t>31</t>
        </is>
      </c>
      <c r="D2355" s="5" t="inlineStr">
        <is>
          <t>Single</t>
        </is>
      </c>
      <c r="E2355" s="5" t="inlineStr">
        <is>
          <t>PhD</t>
        </is>
      </c>
      <c r="F2355" s="5" t="inlineStr">
        <is>
          <t>IT</t>
        </is>
      </c>
      <c r="G2355" s="5" t="inlineStr">
        <is>
          <t>DevOps Engineer</t>
        </is>
      </c>
      <c r="H2355" s="5" t="inlineStr">
        <is>
          <t>3</t>
        </is>
      </c>
      <c r="I2355" s="5" t="inlineStr">
        <is>
          <t>Remote</t>
        </is>
      </c>
      <c r="J2355" s="5" t="inlineStr">
        <is>
          <t>Full-Time</t>
        </is>
      </c>
      <c r="K2355" s="7" t="n">
        <v>44485</v>
      </c>
      <c r="L2355" s="7" t="inlineStr"/>
      <c r="M2355" s="5" t="inlineStr">
        <is>
          <t>Yes</t>
        </is>
      </c>
      <c r="N2355" s="5" t="inlineStr"/>
      <c r="O2355" s="8" t="inlineStr">
        <is>
          <t>117000</t>
        </is>
      </c>
      <c r="P2355" s="5" t="inlineStr">
        <is>
          <t>10</t>
        </is>
      </c>
      <c r="Q2355" s="5" t="inlineStr">
        <is>
          <t>4</t>
        </is>
      </c>
      <c r="R2355" s="5" t="inlineStr">
        <is>
          <t>3</t>
        </is>
      </c>
      <c r="S2355" s="5" t="inlineStr">
        <is>
          <t>51</t>
        </is>
      </c>
      <c r="T2355" s="5" t="inlineStr">
        <is>
          <t>7</t>
        </is>
      </c>
      <c r="U2355" s="5">
        <f>IFS(C2355&lt;30,"Under 30",C2355&lt;40,"30-39",C2355&lt;50,"40-49",TRUE,"50+")</f>
        <v/>
      </c>
      <c r="V2355" s="5">
        <f>IFS(O2355&lt;60000,"Low (&lt;60k)",O2355&lt;100000,"Mid (60-100k)",TRUE,"High (100k+)")</f>
        <v/>
      </c>
      <c r="W2355" s="5">
        <f>IF(M2355="No","Attrited","Active")</f>
        <v/>
      </c>
    </row>
    <row r="2356">
      <c r="A2356" s="5" t="inlineStr">
        <is>
          <t>E02355</t>
        </is>
      </c>
      <c r="B2356" s="5" t="inlineStr">
        <is>
          <t>Male</t>
        </is>
      </c>
      <c r="C2356" s="6" t="inlineStr">
        <is>
          <t>42</t>
        </is>
      </c>
      <c r="D2356" s="5" t="inlineStr">
        <is>
          <t>Married</t>
        </is>
      </c>
      <c r="E2356" s="5" t="inlineStr">
        <is>
          <t>Master</t>
        </is>
      </c>
      <c r="F2356" s="5" t="inlineStr">
        <is>
          <t>Sales</t>
        </is>
      </c>
      <c r="G2356" s="5" t="inlineStr">
        <is>
          <t>Business Development</t>
        </is>
      </c>
      <c r="H2356" s="5" t="inlineStr">
        <is>
          <t>5</t>
        </is>
      </c>
      <c r="I2356" s="5" t="inlineStr">
        <is>
          <t>Remote</t>
        </is>
      </c>
      <c r="J2356" s="5" t="inlineStr">
        <is>
          <t>Full-Time</t>
        </is>
      </c>
      <c r="K2356" s="7" t="n">
        <v>45842</v>
      </c>
      <c r="L2356" s="7" t="inlineStr"/>
      <c r="M2356" s="5" t="inlineStr">
        <is>
          <t>Yes</t>
        </is>
      </c>
      <c r="N2356" s="5" t="inlineStr"/>
      <c r="O2356" s="8" t="inlineStr">
        <is>
          <t>136000</t>
        </is>
      </c>
      <c r="P2356" s="5" t="inlineStr">
        <is>
          <t>20</t>
        </is>
      </c>
      <c r="Q2356" s="5" t="inlineStr">
        <is>
          <t>4</t>
        </is>
      </c>
      <c r="R2356" s="5" t="inlineStr">
        <is>
          <t>7</t>
        </is>
      </c>
      <c r="S2356" s="5" t="inlineStr">
        <is>
          <t>6</t>
        </is>
      </c>
      <c r="T2356" s="5" t="inlineStr">
        <is>
          <t>4</t>
        </is>
      </c>
      <c r="U2356" s="5">
        <f>IFS(C2356&lt;30,"Under 30",C2356&lt;40,"30-39",C2356&lt;50,"40-49",TRUE,"50+")</f>
        <v/>
      </c>
      <c r="V2356" s="5">
        <f>IFS(O2356&lt;60000,"Low (&lt;60k)",O2356&lt;100000,"Mid (60-100k)",TRUE,"High (100k+)")</f>
        <v/>
      </c>
      <c r="W2356" s="5">
        <f>IF(M2356="No","Attrited","Active")</f>
        <v/>
      </c>
    </row>
    <row r="2357">
      <c r="A2357" s="5" t="inlineStr">
        <is>
          <t>E02356</t>
        </is>
      </c>
      <c r="B2357" s="5" t="inlineStr">
        <is>
          <t>Female</t>
        </is>
      </c>
      <c r="C2357" s="6" t="inlineStr">
        <is>
          <t>26</t>
        </is>
      </c>
      <c r="D2357" s="5" t="inlineStr">
        <is>
          <t>Married</t>
        </is>
      </c>
      <c r="E2357" s="5" t="inlineStr">
        <is>
          <t>High School</t>
        </is>
      </c>
      <c r="F2357" s="5" t="inlineStr">
        <is>
          <t>Research &amp; Development</t>
        </is>
      </c>
      <c r="G2357" s="5" t="inlineStr">
        <is>
          <t>Research Scientist</t>
        </is>
      </c>
      <c r="H2357" s="5" t="inlineStr">
        <is>
          <t>2</t>
        </is>
      </c>
      <c r="I2357" s="5" t="inlineStr">
        <is>
          <t>Delhi</t>
        </is>
      </c>
      <c r="J2357" s="5" t="inlineStr">
        <is>
          <t>Full-Time</t>
        </is>
      </c>
      <c r="K2357" s="7" t="n">
        <v>45034</v>
      </c>
      <c r="L2357" s="7" t="inlineStr"/>
      <c r="M2357" s="5" t="inlineStr">
        <is>
          <t>Yes</t>
        </is>
      </c>
      <c r="N2357" s="5" t="inlineStr"/>
      <c r="O2357" s="8" t="inlineStr">
        <is>
          <t>108000</t>
        </is>
      </c>
      <c r="P2357" s="5" t="inlineStr">
        <is>
          <t>5</t>
        </is>
      </c>
      <c r="Q2357" s="5" t="inlineStr">
        <is>
          <t>3</t>
        </is>
      </c>
      <c r="R2357" s="5" t="inlineStr">
        <is>
          <t>6</t>
        </is>
      </c>
      <c r="S2357" s="5" t="inlineStr">
        <is>
          <t>32</t>
        </is>
      </c>
      <c r="T2357" s="5" t="inlineStr">
        <is>
          <t>0</t>
        </is>
      </c>
      <c r="U2357" s="5">
        <f>IFS(C2357&lt;30,"Under 30",C2357&lt;40,"30-39",C2357&lt;50,"40-49",TRUE,"50+")</f>
        <v/>
      </c>
      <c r="V2357" s="5">
        <f>IFS(O2357&lt;60000,"Low (&lt;60k)",O2357&lt;100000,"Mid (60-100k)",TRUE,"High (100k+)")</f>
        <v/>
      </c>
      <c r="W2357" s="5">
        <f>IF(M2357="No","Attrited","Active")</f>
        <v/>
      </c>
    </row>
    <row r="2358">
      <c r="A2358" s="5" t="inlineStr">
        <is>
          <t>E02357</t>
        </is>
      </c>
      <c r="B2358" s="5" t="inlineStr">
        <is>
          <t>Male</t>
        </is>
      </c>
      <c r="C2358" s="6" t="inlineStr">
        <is>
          <t>37</t>
        </is>
      </c>
      <c r="D2358" s="5" t="inlineStr">
        <is>
          <t>Married</t>
        </is>
      </c>
      <c r="E2358" s="5" t="inlineStr">
        <is>
          <t>PhD</t>
        </is>
      </c>
      <c r="F2358" s="5" t="inlineStr">
        <is>
          <t>Customer Support</t>
        </is>
      </c>
      <c r="G2358" s="5" t="inlineStr">
        <is>
          <t>Escalation Specialist</t>
        </is>
      </c>
      <c r="H2358" s="5" t="inlineStr">
        <is>
          <t>4</t>
        </is>
      </c>
      <c r="I2358" s="5" t="inlineStr">
        <is>
          <t>Hyderabad</t>
        </is>
      </c>
      <c r="J2358" s="5" t="inlineStr">
        <is>
          <t>Full-Time</t>
        </is>
      </c>
      <c r="K2358" s="7" t="n">
        <v>45990</v>
      </c>
      <c r="L2358" s="7" t="inlineStr"/>
      <c r="M2358" s="5" t="inlineStr">
        <is>
          <t>Yes</t>
        </is>
      </c>
      <c r="N2358" s="5" t="inlineStr"/>
      <c r="O2358" s="8" t="inlineStr">
        <is>
          <t>96000</t>
        </is>
      </c>
      <c r="P2358" s="5" t="inlineStr">
        <is>
          <t>5</t>
        </is>
      </c>
      <c r="Q2358" s="5" t="inlineStr">
        <is>
          <t>3</t>
        </is>
      </c>
      <c r="R2358" s="5" t="inlineStr">
        <is>
          <t>8</t>
        </is>
      </c>
      <c r="S2358" s="5" t="inlineStr">
        <is>
          <t>1</t>
        </is>
      </c>
      <c r="T2358" s="5" t="inlineStr">
        <is>
          <t>4</t>
        </is>
      </c>
      <c r="U2358" s="5">
        <f>IFS(C2358&lt;30,"Under 30",C2358&lt;40,"30-39",C2358&lt;50,"40-49",TRUE,"50+")</f>
        <v/>
      </c>
      <c r="V2358" s="5">
        <f>IFS(O2358&lt;60000,"Low (&lt;60k)",O2358&lt;100000,"Mid (60-100k)",TRUE,"High (100k+)")</f>
        <v/>
      </c>
      <c r="W2358" s="5">
        <f>IF(M2358="No","Attrited","Active")</f>
        <v/>
      </c>
    </row>
    <row r="2359">
      <c r="A2359" s="5" t="inlineStr">
        <is>
          <t>E02358</t>
        </is>
      </c>
      <c r="B2359" s="5" t="inlineStr">
        <is>
          <t>Male</t>
        </is>
      </c>
      <c r="C2359" s="6" t="inlineStr">
        <is>
          <t>35</t>
        </is>
      </c>
      <c r="D2359" s="5" t="inlineStr">
        <is>
          <t>Married</t>
        </is>
      </c>
      <c r="E2359" s="5" t="inlineStr">
        <is>
          <t>Master</t>
        </is>
      </c>
      <c r="F2359" s="5" t="inlineStr">
        <is>
          <t>Human Resources</t>
        </is>
      </c>
      <c r="G2359" s="5" t="inlineStr">
        <is>
          <t>Recruiter</t>
        </is>
      </c>
      <c r="H2359" s="5" t="inlineStr">
        <is>
          <t>3</t>
        </is>
      </c>
      <c r="I2359" s="5" t="inlineStr">
        <is>
          <t>Remote</t>
        </is>
      </c>
      <c r="J2359" s="5" t="inlineStr">
        <is>
          <t>Contract</t>
        </is>
      </c>
      <c r="K2359" s="7" t="n">
        <v>45486</v>
      </c>
      <c r="L2359" s="7" t="inlineStr"/>
      <c r="M2359" s="5" t="inlineStr">
        <is>
          <t>Yes</t>
        </is>
      </c>
      <c r="N2359" s="5" t="inlineStr"/>
      <c r="O2359" s="8" t="inlineStr">
        <is>
          <t>107500</t>
        </is>
      </c>
      <c r="P2359" s="5" t="inlineStr">
        <is>
          <t>10</t>
        </is>
      </c>
      <c r="Q2359" s="5" t="inlineStr">
        <is>
          <t>3</t>
        </is>
      </c>
      <c r="R2359" s="5" t="inlineStr">
        <is>
          <t>5</t>
        </is>
      </c>
      <c r="S2359" s="5" t="inlineStr">
        <is>
          <t>17</t>
        </is>
      </c>
      <c r="T2359" s="5" t="inlineStr">
        <is>
          <t>0</t>
        </is>
      </c>
      <c r="U2359" s="5">
        <f>IFS(C2359&lt;30,"Under 30",C2359&lt;40,"30-39",C2359&lt;50,"40-49",TRUE,"50+")</f>
        <v/>
      </c>
      <c r="V2359" s="5">
        <f>IFS(O2359&lt;60000,"Low (&lt;60k)",O2359&lt;100000,"Mid (60-100k)",TRUE,"High (100k+)")</f>
        <v/>
      </c>
      <c r="W2359" s="5">
        <f>IF(M2359="No","Attrited","Active")</f>
        <v/>
      </c>
    </row>
    <row r="2360">
      <c r="A2360" s="5" t="inlineStr">
        <is>
          <t>E02359</t>
        </is>
      </c>
      <c r="B2360" s="5" t="inlineStr">
        <is>
          <t>Male</t>
        </is>
      </c>
      <c r="C2360" s="6" t="inlineStr">
        <is>
          <t>33</t>
        </is>
      </c>
      <c r="D2360" s="5" t="inlineStr">
        <is>
          <t>Married</t>
        </is>
      </c>
      <c r="E2360" s="5" t="inlineStr">
        <is>
          <t>Master</t>
        </is>
      </c>
      <c r="F2360" s="5" t="inlineStr">
        <is>
          <t>Finance</t>
        </is>
      </c>
      <c r="G2360" s="5" t="inlineStr">
        <is>
          <t>Financial Analyst</t>
        </is>
      </c>
      <c r="H2360" s="5" t="inlineStr">
        <is>
          <t>2</t>
        </is>
      </c>
      <c r="I2360" s="5" t="inlineStr">
        <is>
          <t>Mumbai</t>
        </is>
      </c>
      <c r="J2360" s="5" t="inlineStr">
        <is>
          <t>Full-Time</t>
        </is>
      </c>
      <c r="K2360" s="7" t="n">
        <v>44848</v>
      </c>
      <c r="L2360" s="7" t="inlineStr"/>
      <c r="M2360" s="5" t="inlineStr">
        <is>
          <t>Yes</t>
        </is>
      </c>
      <c r="N2360" s="5" t="inlineStr"/>
      <c r="O2360" s="8" t="inlineStr">
        <is>
          <t>100000</t>
        </is>
      </c>
      <c r="P2360" s="5" t="inlineStr">
        <is>
          <t>15</t>
        </is>
      </c>
      <c r="Q2360" s="5" t="inlineStr">
        <is>
          <t>3</t>
        </is>
      </c>
      <c r="R2360" s="5" t="inlineStr">
        <is>
          <t>8</t>
        </is>
      </c>
      <c r="S2360" s="5" t="inlineStr">
        <is>
          <t>39</t>
        </is>
      </c>
      <c r="T2360" s="5" t="inlineStr">
        <is>
          <t>11</t>
        </is>
      </c>
      <c r="U2360" s="5">
        <f>IFS(C2360&lt;30,"Under 30",C2360&lt;40,"30-39",C2360&lt;50,"40-49",TRUE,"50+")</f>
        <v/>
      </c>
      <c r="V2360" s="5">
        <f>IFS(O2360&lt;60000,"Low (&lt;60k)",O2360&lt;100000,"Mid (60-100k)",TRUE,"High (100k+)")</f>
        <v/>
      </c>
      <c r="W2360" s="5">
        <f>IF(M2360="No","Attrited","Active")</f>
        <v/>
      </c>
    </row>
    <row r="2361">
      <c r="A2361" s="5" t="inlineStr">
        <is>
          <t>E02360</t>
        </is>
      </c>
      <c r="B2361" s="5" t="inlineStr">
        <is>
          <t>Male</t>
        </is>
      </c>
      <c r="C2361" s="6" t="inlineStr">
        <is>
          <t>30</t>
        </is>
      </c>
      <c r="D2361" s="5" t="inlineStr">
        <is>
          <t>Married</t>
        </is>
      </c>
      <c r="E2361" s="5" t="inlineStr">
        <is>
          <t>PhD</t>
        </is>
      </c>
      <c r="F2361" s="5" t="inlineStr">
        <is>
          <t>Operations</t>
        </is>
      </c>
      <c r="G2361" s="5" t="inlineStr">
        <is>
          <t>Quality Analyst</t>
        </is>
      </c>
      <c r="H2361" s="5" t="inlineStr">
        <is>
          <t>3</t>
        </is>
      </c>
      <c r="I2361" s="5" t="inlineStr">
        <is>
          <t>Chennai</t>
        </is>
      </c>
      <c r="J2361" s="5" t="inlineStr">
        <is>
          <t>Full-Time</t>
        </is>
      </c>
      <c r="K2361" s="7" t="n">
        <v>44886</v>
      </c>
      <c r="L2361" s="7" t="inlineStr"/>
      <c r="M2361" s="5" t="inlineStr">
        <is>
          <t>Yes</t>
        </is>
      </c>
      <c r="N2361" s="5" t="inlineStr"/>
      <c r="O2361" s="8" t="inlineStr">
        <is>
          <t>88500</t>
        </is>
      </c>
      <c r="P2361" s="5" t="inlineStr">
        <is>
          <t>5</t>
        </is>
      </c>
      <c r="Q2361" s="5" t="inlineStr">
        <is>
          <t>5</t>
        </is>
      </c>
      <c r="R2361" s="5" t="inlineStr">
        <is>
          <t>5</t>
        </is>
      </c>
      <c r="S2361" s="5" t="inlineStr">
        <is>
          <t>37</t>
        </is>
      </c>
      <c r="T2361" s="5" t="inlineStr">
        <is>
          <t>6</t>
        </is>
      </c>
      <c r="U2361" s="5">
        <f>IFS(C2361&lt;30,"Under 30",C2361&lt;40,"30-39",C2361&lt;50,"40-49",TRUE,"50+")</f>
        <v/>
      </c>
      <c r="V2361" s="5">
        <f>IFS(O2361&lt;60000,"Low (&lt;60k)",O2361&lt;100000,"Mid (60-100k)",TRUE,"High (100k+)")</f>
        <v/>
      </c>
      <c r="W2361" s="5">
        <f>IF(M2361="No","Attrited","Active")</f>
        <v/>
      </c>
    </row>
    <row r="2362">
      <c r="A2362" s="5" t="inlineStr">
        <is>
          <t>E02361</t>
        </is>
      </c>
      <c r="B2362" s="5" t="inlineStr">
        <is>
          <t>Male</t>
        </is>
      </c>
      <c r="C2362" s="6" t="inlineStr">
        <is>
          <t>31</t>
        </is>
      </c>
      <c r="D2362" s="5" t="inlineStr">
        <is>
          <t>Single</t>
        </is>
      </c>
      <c r="E2362" s="5" t="inlineStr">
        <is>
          <t>Bachelor</t>
        </is>
      </c>
      <c r="F2362" s="5" t="inlineStr">
        <is>
          <t>Operations</t>
        </is>
      </c>
      <c r="G2362" s="5" t="inlineStr">
        <is>
          <t>Logistics Coordinator</t>
        </is>
      </c>
      <c r="H2362" s="5" t="inlineStr">
        <is>
          <t>1</t>
        </is>
      </c>
      <c r="I2362" s="5" t="inlineStr">
        <is>
          <t>Chennai</t>
        </is>
      </c>
      <c r="J2362" s="5" t="inlineStr">
        <is>
          <t>Full-Time</t>
        </is>
      </c>
      <c r="K2362" s="7" t="n">
        <v>43854</v>
      </c>
      <c r="L2362" s="7" t="inlineStr"/>
      <c r="M2362" s="5" t="inlineStr">
        <is>
          <t>Yes</t>
        </is>
      </c>
      <c r="N2362" s="5" t="inlineStr"/>
      <c r="O2362" s="8" t="inlineStr">
        <is>
          <t>64000</t>
        </is>
      </c>
      <c r="P2362" s="5" t="inlineStr">
        <is>
          <t>0</t>
        </is>
      </c>
      <c r="Q2362" s="5" t="inlineStr">
        <is>
          <t>5</t>
        </is>
      </c>
      <c r="R2362" s="5" t="inlineStr">
        <is>
          <t>6</t>
        </is>
      </c>
      <c r="S2362" s="5" t="inlineStr">
        <is>
          <t>72</t>
        </is>
      </c>
      <c r="T2362" s="5" t="inlineStr">
        <is>
          <t>12</t>
        </is>
      </c>
      <c r="U2362" s="5">
        <f>IFS(C2362&lt;30,"Under 30",C2362&lt;40,"30-39",C2362&lt;50,"40-49",TRUE,"50+")</f>
        <v/>
      </c>
      <c r="V2362" s="5">
        <f>IFS(O2362&lt;60000,"Low (&lt;60k)",O2362&lt;100000,"Mid (60-100k)",TRUE,"High (100k+)")</f>
        <v/>
      </c>
      <c r="W2362" s="5">
        <f>IF(M2362="No","Attrited","Active")</f>
        <v/>
      </c>
    </row>
    <row r="2363">
      <c r="A2363" s="5" t="inlineStr">
        <is>
          <t>E02362</t>
        </is>
      </c>
      <c r="B2363" s="5" t="inlineStr">
        <is>
          <t>Male</t>
        </is>
      </c>
      <c r="C2363" s="6" t="inlineStr">
        <is>
          <t>32</t>
        </is>
      </c>
      <c r="D2363" s="5" t="inlineStr">
        <is>
          <t>Single</t>
        </is>
      </c>
      <c r="E2363" s="5" t="inlineStr">
        <is>
          <t>Master</t>
        </is>
      </c>
      <c r="F2363" s="5" t="inlineStr">
        <is>
          <t>Research &amp; Development</t>
        </is>
      </c>
      <c r="G2363" s="5" t="inlineStr">
        <is>
          <t>Research Scientist</t>
        </is>
      </c>
      <c r="H2363" s="5" t="inlineStr">
        <is>
          <t>5</t>
        </is>
      </c>
      <c r="I2363" s="5" t="inlineStr">
        <is>
          <t>Hyderabad</t>
        </is>
      </c>
      <c r="J2363" s="5" t="inlineStr">
        <is>
          <t>Full-Time</t>
        </is>
      </c>
      <c r="K2363" s="7" t="n">
        <v>45785</v>
      </c>
      <c r="L2363" s="7" t="inlineStr"/>
      <c r="M2363" s="5" t="inlineStr">
        <is>
          <t>Yes</t>
        </is>
      </c>
      <c r="N2363" s="5" t="inlineStr"/>
      <c r="O2363" s="8" t="inlineStr">
        <is>
          <t>146500</t>
        </is>
      </c>
      <c r="P2363" s="5" t="inlineStr">
        <is>
          <t>0</t>
        </is>
      </c>
      <c r="Q2363" s="5" t="inlineStr">
        <is>
          <t>5</t>
        </is>
      </c>
      <c r="R2363" s="5" t="inlineStr">
        <is>
          <t>5</t>
        </is>
      </c>
      <c r="S2363" s="5" t="inlineStr">
        <is>
          <t>7</t>
        </is>
      </c>
      <c r="T2363" s="5" t="inlineStr">
        <is>
          <t>9</t>
        </is>
      </c>
      <c r="U2363" s="5">
        <f>IFS(C2363&lt;30,"Under 30",C2363&lt;40,"30-39",C2363&lt;50,"40-49",TRUE,"50+")</f>
        <v/>
      </c>
      <c r="V2363" s="5">
        <f>IFS(O2363&lt;60000,"Low (&lt;60k)",O2363&lt;100000,"Mid (60-100k)",TRUE,"High (100k+)")</f>
        <v/>
      </c>
      <c r="W2363" s="5">
        <f>IF(M2363="No","Attrited","Active")</f>
        <v/>
      </c>
    </row>
    <row r="2364">
      <c r="A2364" s="5" t="inlineStr">
        <is>
          <t>E02363</t>
        </is>
      </c>
      <c r="B2364" s="5" t="inlineStr">
        <is>
          <t>Female</t>
        </is>
      </c>
      <c r="C2364" s="6" t="inlineStr">
        <is>
          <t>41</t>
        </is>
      </c>
      <c r="D2364" s="5" t="inlineStr">
        <is>
          <t>Married</t>
        </is>
      </c>
      <c r="E2364" s="5" t="inlineStr">
        <is>
          <t>Master</t>
        </is>
      </c>
      <c r="F2364" s="5" t="inlineStr">
        <is>
          <t>IT</t>
        </is>
      </c>
      <c r="G2364" s="5" t="inlineStr">
        <is>
          <t>Data Analyst</t>
        </is>
      </c>
      <c r="H2364" s="5" t="inlineStr">
        <is>
          <t>6</t>
        </is>
      </c>
      <c r="I2364" s="5" t="inlineStr">
        <is>
          <t>Mumbai</t>
        </is>
      </c>
      <c r="J2364" s="5" t="inlineStr">
        <is>
          <t>Full-Time</t>
        </is>
      </c>
      <c r="K2364" s="7" t="n">
        <v>44547</v>
      </c>
      <c r="L2364" s="7" t="inlineStr"/>
      <c r="M2364" s="5" t="inlineStr">
        <is>
          <t>Yes</t>
        </is>
      </c>
      <c r="N2364" s="5" t="inlineStr"/>
      <c r="O2364" s="8" t="inlineStr">
        <is>
          <t>189000</t>
        </is>
      </c>
      <c r="P2364" s="5" t="inlineStr">
        <is>
          <t>5</t>
        </is>
      </c>
      <c r="Q2364" s="5" t="inlineStr">
        <is>
          <t>2</t>
        </is>
      </c>
      <c r="R2364" s="5" t="inlineStr">
        <is>
          <t>3</t>
        </is>
      </c>
      <c r="S2364" s="5" t="inlineStr">
        <is>
          <t>49</t>
        </is>
      </c>
      <c r="T2364" s="5" t="inlineStr">
        <is>
          <t>8</t>
        </is>
      </c>
      <c r="U2364" s="5">
        <f>IFS(C2364&lt;30,"Under 30",C2364&lt;40,"30-39",C2364&lt;50,"40-49",TRUE,"50+")</f>
        <v/>
      </c>
      <c r="V2364" s="5">
        <f>IFS(O2364&lt;60000,"Low (&lt;60k)",O2364&lt;100000,"Mid (60-100k)",TRUE,"High (100k+)")</f>
        <v/>
      </c>
      <c r="W2364" s="5">
        <f>IF(M2364="No","Attrited","Active")</f>
        <v/>
      </c>
    </row>
    <row r="2365">
      <c r="A2365" s="5" t="inlineStr">
        <is>
          <t>E02364</t>
        </is>
      </c>
      <c r="B2365" s="5" t="inlineStr">
        <is>
          <t>Male</t>
        </is>
      </c>
      <c r="C2365" s="6" t="inlineStr">
        <is>
          <t>35</t>
        </is>
      </c>
      <c r="D2365" s="5" t="inlineStr">
        <is>
          <t>Married</t>
        </is>
      </c>
      <c r="E2365" s="5" t="inlineStr">
        <is>
          <t>Bachelor</t>
        </is>
      </c>
      <c r="F2365" s="5" t="inlineStr">
        <is>
          <t>IT</t>
        </is>
      </c>
      <c r="G2365" s="5" t="inlineStr">
        <is>
          <t>IT Support</t>
        </is>
      </c>
      <c r="H2365" s="5" t="inlineStr">
        <is>
          <t>3</t>
        </is>
      </c>
      <c r="I2365" s="5" t="inlineStr">
        <is>
          <t>Chennai</t>
        </is>
      </c>
      <c r="J2365" s="5" t="inlineStr">
        <is>
          <t>Full-Time</t>
        </is>
      </c>
      <c r="K2365" s="7" t="n">
        <v>45996</v>
      </c>
      <c r="L2365" s="7" t="inlineStr"/>
      <c r="M2365" s="5" t="inlineStr">
        <is>
          <t>Yes</t>
        </is>
      </c>
      <c r="N2365" s="5" t="inlineStr"/>
      <c r="O2365" s="8" t="inlineStr">
        <is>
          <t>150000</t>
        </is>
      </c>
      <c r="P2365" s="5" t="inlineStr">
        <is>
          <t>10</t>
        </is>
      </c>
      <c r="Q2365" s="5" t="inlineStr">
        <is>
          <t>4</t>
        </is>
      </c>
      <c r="R2365" s="5" t="inlineStr">
        <is>
          <t>4</t>
        </is>
      </c>
      <c r="S2365" s="5" t="inlineStr">
        <is>
          <t>1</t>
        </is>
      </c>
      <c r="T2365" s="5" t="inlineStr">
        <is>
          <t>11</t>
        </is>
      </c>
      <c r="U2365" s="5">
        <f>IFS(C2365&lt;30,"Under 30",C2365&lt;40,"30-39",C2365&lt;50,"40-49",TRUE,"50+")</f>
        <v/>
      </c>
      <c r="V2365" s="5">
        <f>IFS(O2365&lt;60000,"Low (&lt;60k)",O2365&lt;100000,"Mid (60-100k)",TRUE,"High (100k+)")</f>
        <v/>
      </c>
      <c r="W2365" s="5">
        <f>IF(M2365="No","Attrited","Active")</f>
        <v/>
      </c>
    </row>
    <row r="2366">
      <c r="A2366" s="5" t="inlineStr">
        <is>
          <t>E02365</t>
        </is>
      </c>
      <c r="B2366" s="5" t="inlineStr">
        <is>
          <t>Female</t>
        </is>
      </c>
      <c r="C2366" s="6" t="inlineStr">
        <is>
          <t>26</t>
        </is>
      </c>
      <c r="D2366" s="5" t="inlineStr">
        <is>
          <t>Married</t>
        </is>
      </c>
      <c r="E2366" s="5" t="inlineStr">
        <is>
          <t>PhD</t>
        </is>
      </c>
      <c r="F2366" s="5" t="inlineStr">
        <is>
          <t>Sales</t>
        </is>
      </c>
      <c r="G2366" s="5" t="inlineStr">
        <is>
          <t>Business Development</t>
        </is>
      </c>
      <c r="H2366" s="5" t="inlineStr">
        <is>
          <t>1</t>
        </is>
      </c>
      <c r="I2366" s="5" t="inlineStr">
        <is>
          <t>Delhi</t>
        </is>
      </c>
      <c r="J2366" s="5" t="inlineStr">
        <is>
          <t>Full-Time</t>
        </is>
      </c>
      <c r="K2366" s="7" t="n">
        <v>44912</v>
      </c>
      <c r="L2366" s="7" t="inlineStr"/>
      <c r="M2366" s="5" t="inlineStr">
        <is>
          <t>Yes</t>
        </is>
      </c>
      <c r="N2366" s="5" t="inlineStr"/>
      <c r="O2366" s="8" t="inlineStr">
        <is>
          <t>79000</t>
        </is>
      </c>
      <c r="P2366" s="5" t="inlineStr">
        <is>
          <t>0</t>
        </is>
      </c>
      <c r="Q2366" s="5" t="inlineStr">
        <is>
          <t>5</t>
        </is>
      </c>
      <c r="R2366" s="5" t="inlineStr">
        <is>
          <t>4</t>
        </is>
      </c>
      <c r="S2366" s="5" t="inlineStr">
        <is>
          <t>37</t>
        </is>
      </c>
      <c r="T2366" s="5" t="inlineStr">
        <is>
          <t>2</t>
        </is>
      </c>
      <c r="U2366" s="5">
        <f>IFS(C2366&lt;30,"Under 30",C2366&lt;40,"30-39",C2366&lt;50,"40-49",TRUE,"50+")</f>
        <v/>
      </c>
      <c r="V2366" s="5">
        <f>IFS(O2366&lt;60000,"Low (&lt;60k)",O2366&lt;100000,"Mid (60-100k)",TRUE,"High (100k+)")</f>
        <v/>
      </c>
      <c r="W2366" s="5">
        <f>IF(M2366="No","Attrited","Active")</f>
        <v/>
      </c>
    </row>
    <row r="2367">
      <c r="A2367" s="5" t="inlineStr">
        <is>
          <t>E02366</t>
        </is>
      </c>
      <c r="B2367" s="5" t="inlineStr">
        <is>
          <t>Female</t>
        </is>
      </c>
      <c r="C2367" s="6" t="inlineStr">
        <is>
          <t>35</t>
        </is>
      </c>
      <c r="D2367" s="5" t="inlineStr">
        <is>
          <t>Divorced</t>
        </is>
      </c>
      <c r="E2367" s="5" t="inlineStr">
        <is>
          <t>Master</t>
        </is>
      </c>
      <c r="F2367" s="5" t="inlineStr">
        <is>
          <t>Customer Support</t>
        </is>
      </c>
      <c r="G2367" s="5" t="inlineStr">
        <is>
          <t>Support Lead</t>
        </is>
      </c>
      <c r="H2367" s="5" t="inlineStr">
        <is>
          <t>2</t>
        </is>
      </c>
      <c r="I2367" s="5" t="inlineStr">
        <is>
          <t>Hyderabad</t>
        </is>
      </c>
      <c r="J2367" s="5" t="inlineStr">
        <is>
          <t>Full-Time</t>
        </is>
      </c>
      <c r="K2367" s="7" t="n">
        <v>45349</v>
      </c>
      <c r="L2367" s="7" t="inlineStr"/>
      <c r="M2367" s="5" t="inlineStr">
        <is>
          <t>Yes</t>
        </is>
      </c>
      <c r="N2367" s="5" t="inlineStr"/>
      <c r="O2367" s="8" t="inlineStr">
        <is>
          <t>60500</t>
        </is>
      </c>
      <c r="P2367" s="5" t="inlineStr">
        <is>
          <t>0</t>
        </is>
      </c>
      <c r="Q2367" s="5" t="inlineStr">
        <is>
          <t>5</t>
        </is>
      </c>
      <c r="R2367" s="5" t="inlineStr">
        <is>
          <t>5</t>
        </is>
      </c>
      <c r="S2367" s="5" t="inlineStr">
        <is>
          <t>22</t>
        </is>
      </c>
      <c r="T2367" s="5" t="inlineStr">
        <is>
          <t>1</t>
        </is>
      </c>
      <c r="U2367" s="5">
        <f>IFS(C2367&lt;30,"Under 30",C2367&lt;40,"30-39",C2367&lt;50,"40-49",TRUE,"50+")</f>
        <v/>
      </c>
      <c r="V2367" s="5">
        <f>IFS(O2367&lt;60000,"Low (&lt;60k)",O2367&lt;100000,"Mid (60-100k)",TRUE,"High (100k+)")</f>
        <v/>
      </c>
      <c r="W2367" s="5">
        <f>IF(M2367="No","Attrited","Active")</f>
        <v/>
      </c>
    </row>
    <row r="2368">
      <c r="A2368" s="5" t="inlineStr">
        <is>
          <t>E02367</t>
        </is>
      </c>
      <c r="B2368" s="5" t="inlineStr">
        <is>
          <t>Female</t>
        </is>
      </c>
      <c r="C2368" s="6" t="inlineStr">
        <is>
          <t>30</t>
        </is>
      </c>
      <c r="D2368" s="5" t="inlineStr">
        <is>
          <t>Married</t>
        </is>
      </c>
      <c r="E2368" s="5" t="inlineStr">
        <is>
          <t>PhD</t>
        </is>
      </c>
      <c r="F2368" s="5" t="inlineStr">
        <is>
          <t>Human Resources</t>
        </is>
      </c>
      <c r="G2368" s="5" t="inlineStr">
        <is>
          <t>HR Analyst</t>
        </is>
      </c>
      <c r="H2368" s="5" t="inlineStr">
        <is>
          <t>1</t>
        </is>
      </c>
      <c r="I2368" s="5" t="inlineStr">
        <is>
          <t>Bengaluru</t>
        </is>
      </c>
      <c r="J2368" s="5" t="inlineStr">
        <is>
          <t>Full-Time</t>
        </is>
      </c>
      <c r="K2368" s="7" t="n">
        <v>44639</v>
      </c>
      <c r="L2368" s="7" t="inlineStr"/>
      <c r="M2368" s="5" t="inlineStr">
        <is>
          <t>Yes</t>
        </is>
      </c>
      <c r="N2368" s="5" t="inlineStr"/>
      <c r="O2368" s="8" t="inlineStr">
        <is>
          <t>77000</t>
        </is>
      </c>
      <c r="P2368" s="5" t="inlineStr">
        <is>
          <t>5</t>
        </is>
      </c>
      <c r="Q2368" s="5" t="inlineStr">
        <is>
          <t>3</t>
        </is>
      </c>
      <c r="R2368" s="5" t="inlineStr">
        <is>
          <t>9</t>
        </is>
      </c>
      <c r="S2368" s="5" t="inlineStr">
        <is>
          <t>46</t>
        </is>
      </c>
      <c r="T2368" s="5" t="inlineStr">
        <is>
          <t>3</t>
        </is>
      </c>
      <c r="U2368" s="5">
        <f>IFS(C2368&lt;30,"Under 30",C2368&lt;40,"30-39",C2368&lt;50,"40-49",TRUE,"50+")</f>
        <v/>
      </c>
      <c r="V2368" s="5">
        <f>IFS(O2368&lt;60000,"Low (&lt;60k)",O2368&lt;100000,"Mid (60-100k)",TRUE,"High (100k+)")</f>
        <v/>
      </c>
      <c r="W2368" s="5">
        <f>IF(M2368="No","Attrited","Active")</f>
        <v/>
      </c>
    </row>
    <row r="2369">
      <c r="A2369" s="5" t="inlineStr">
        <is>
          <t>E02368</t>
        </is>
      </c>
      <c r="B2369" s="5" t="inlineStr">
        <is>
          <t>Female</t>
        </is>
      </c>
      <c r="C2369" s="6" t="inlineStr">
        <is>
          <t>36</t>
        </is>
      </c>
      <c r="D2369" s="5" t="inlineStr">
        <is>
          <t>Married</t>
        </is>
      </c>
      <c r="E2369" s="5" t="inlineStr">
        <is>
          <t>PhD</t>
        </is>
      </c>
      <c r="F2369" s="5" t="inlineStr">
        <is>
          <t>Operations</t>
        </is>
      </c>
      <c r="G2369" s="5" t="inlineStr">
        <is>
          <t>Quality Analyst</t>
        </is>
      </c>
      <c r="H2369" s="5" t="inlineStr">
        <is>
          <t>6</t>
        </is>
      </c>
      <c r="I2369" s="5" t="inlineStr">
        <is>
          <t>Remote</t>
        </is>
      </c>
      <c r="J2369" s="5" t="inlineStr">
        <is>
          <t>Full-Time</t>
        </is>
      </c>
      <c r="K2369" s="7" t="n">
        <v>44635</v>
      </c>
      <c r="L2369" s="7" t="inlineStr"/>
      <c r="M2369" s="5" t="inlineStr">
        <is>
          <t>Yes</t>
        </is>
      </c>
      <c r="N2369" s="5" t="inlineStr"/>
      <c r="O2369" s="8" t="inlineStr">
        <is>
          <t>96500</t>
        </is>
      </c>
      <c r="P2369" s="5" t="inlineStr">
        <is>
          <t>0</t>
        </is>
      </c>
      <c r="Q2369" s="5" t="inlineStr">
        <is>
          <t>3</t>
        </is>
      </c>
      <c r="R2369" s="5" t="inlineStr">
        <is>
          <t>5</t>
        </is>
      </c>
      <c r="S2369" s="5" t="inlineStr">
        <is>
          <t>46</t>
        </is>
      </c>
      <c r="T2369" s="5" t="inlineStr">
        <is>
          <t>15</t>
        </is>
      </c>
      <c r="U2369" s="5">
        <f>IFS(C2369&lt;30,"Under 30",C2369&lt;40,"30-39",C2369&lt;50,"40-49",TRUE,"50+")</f>
        <v/>
      </c>
      <c r="V2369" s="5">
        <f>IFS(O2369&lt;60000,"Low (&lt;60k)",O2369&lt;100000,"Mid (60-100k)",TRUE,"High (100k+)")</f>
        <v/>
      </c>
      <c r="W2369" s="5">
        <f>IF(M2369="No","Attrited","Active")</f>
        <v/>
      </c>
    </row>
    <row r="2370">
      <c r="A2370" s="5" t="inlineStr">
        <is>
          <t>E02369</t>
        </is>
      </c>
      <c r="B2370" s="5" t="inlineStr">
        <is>
          <t>Female</t>
        </is>
      </c>
      <c r="C2370" s="6" t="inlineStr">
        <is>
          <t>39</t>
        </is>
      </c>
      <c r="D2370" s="5" t="inlineStr">
        <is>
          <t>Single</t>
        </is>
      </c>
      <c r="E2370" s="5" t="inlineStr">
        <is>
          <t>Bachelor</t>
        </is>
      </c>
      <c r="F2370" s="5" t="inlineStr">
        <is>
          <t>Operations</t>
        </is>
      </c>
      <c r="G2370" s="5" t="inlineStr">
        <is>
          <t>Quality Analyst</t>
        </is>
      </c>
      <c r="H2370" s="5" t="inlineStr">
        <is>
          <t>4</t>
        </is>
      </c>
      <c r="I2370" s="5" t="inlineStr">
        <is>
          <t>Remote</t>
        </is>
      </c>
      <c r="J2370" s="5" t="inlineStr">
        <is>
          <t>Full-Time</t>
        </is>
      </c>
      <c r="K2370" s="7" t="n">
        <v>43989</v>
      </c>
      <c r="L2370" s="7" t="n">
        <v>44127</v>
      </c>
      <c r="M2370" s="5" t="inlineStr">
        <is>
          <t>No</t>
        </is>
      </c>
      <c r="N2370" s="5" t="inlineStr">
        <is>
          <t>Performance / Termination</t>
        </is>
      </c>
      <c r="O2370" s="8" t="inlineStr">
        <is>
          <t>132000</t>
        </is>
      </c>
      <c r="P2370" s="5" t="inlineStr">
        <is>
          <t>15</t>
        </is>
      </c>
      <c r="Q2370" s="5" t="inlineStr">
        <is>
          <t>5</t>
        </is>
      </c>
      <c r="R2370" s="5" t="inlineStr">
        <is>
          <t>4</t>
        </is>
      </c>
      <c r="S2370" s="5" t="inlineStr">
        <is>
          <t>4</t>
        </is>
      </c>
      <c r="T2370" s="5" t="inlineStr">
        <is>
          <t>14</t>
        </is>
      </c>
      <c r="U2370" s="5">
        <f>IFS(C2370&lt;30,"Under 30",C2370&lt;40,"30-39",C2370&lt;50,"40-49",TRUE,"50+")</f>
        <v/>
      </c>
      <c r="V2370" s="5">
        <f>IFS(O2370&lt;60000,"Low (&lt;60k)",O2370&lt;100000,"Mid (60-100k)",TRUE,"High (100k+)")</f>
        <v/>
      </c>
      <c r="W2370" s="5">
        <f>IF(M2370="No","Attrited","Active")</f>
        <v/>
      </c>
    </row>
    <row r="2371">
      <c r="A2371" s="5" t="inlineStr">
        <is>
          <t>E02370</t>
        </is>
      </c>
      <c r="B2371" s="5" t="inlineStr">
        <is>
          <t>Female</t>
        </is>
      </c>
      <c r="C2371" s="6" t="inlineStr">
        <is>
          <t>32</t>
        </is>
      </c>
      <c r="D2371" s="5" t="inlineStr">
        <is>
          <t>Single</t>
        </is>
      </c>
      <c r="E2371" s="5" t="inlineStr">
        <is>
          <t>Diploma</t>
        </is>
      </c>
      <c r="F2371" s="5" t="inlineStr">
        <is>
          <t>Marketing</t>
        </is>
      </c>
      <c r="G2371" s="5" t="inlineStr">
        <is>
          <t>SEO Specialist</t>
        </is>
      </c>
      <c r="H2371" s="5" t="inlineStr">
        <is>
          <t>1</t>
        </is>
      </c>
      <c r="I2371" s="5" t="inlineStr">
        <is>
          <t>Delhi</t>
        </is>
      </c>
      <c r="J2371" s="5" t="inlineStr">
        <is>
          <t>Part-Time</t>
        </is>
      </c>
      <c r="K2371" s="7" t="n">
        <v>45807</v>
      </c>
      <c r="L2371" s="7" t="inlineStr"/>
      <c r="M2371" s="5" t="inlineStr">
        <is>
          <t>Yes</t>
        </is>
      </c>
      <c r="N2371" s="5" t="inlineStr"/>
      <c r="O2371" s="8" t="inlineStr">
        <is>
          <t>58500</t>
        </is>
      </c>
      <c r="P2371" s="5" t="inlineStr">
        <is>
          <t>0</t>
        </is>
      </c>
      <c r="Q2371" s="5" t="inlineStr">
        <is>
          <t>3</t>
        </is>
      </c>
      <c r="R2371" s="5" t="inlineStr">
        <is>
          <t>6</t>
        </is>
      </c>
      <c r="S2371" s="5" t="inlineStr">
        <is>
          <t>7</t>
        </is>
      </c>
      <c r="T2371" s="5" t="inlineStr">
        <is>
          <t>12</t>
        </is>
      </c>
      <c r="U2371" s="5">
        <f>IFS(C2371&lt;30,"Under 30",C2371&lt;40,"30-39",C2371&lt;50,"40-49",TRUE,"50+")</f>
        <v/>
      </c>
      <c r="V2371" s="5">
        <f>IFS(O2371&lt;60000,"Low (&lt;60k)",O2371&lt;100000,"Mid (60-100k)",TRUE,"High (100k+)")</f>
        <v/>
      </c>
      <c r="W2371" s="5">
        <f>IF(M2371="No","Attrited","Active")</f>
        <v/>
      </c>
    </row>
    <row r="2372">
      <c r="A2372" s="5" t="inlineStr">
        <is>
          <t>E02371</t>
        </is>
      </c>
      <c r="B2372" s="5" t="inlineStr">
        <is>
          <t>Male</t>
        </is>
      </c>
      <c r="C2372" s="6" t="inlineStr">
        <is>
          <t>27</t>
        </is>
      </c>
      <c r="D2372" s="5" t="inlineStr">
        <is>
          <t>Married</t>
        </is>
      </c>
      <c r="E2372" s="5" t="inlineStr">
        <is>
          <t>PhD</t>
        </is>
      </c>
      <c r="F2372" s="5" t="inlineStr">
        <is>
          <t>Customer Support</t>
        </is>
      </c>
      <c r="G2372" s="5" t="inlineStr">
        <is>
          <t>Escalation Specialist</t>
        </is>
      </c>
      <c r="H2372" s="5" t="inlineStr">
        <is>
          <t>3</t>
        </is>
      </c>
      <c r="I2372" s="5" t="inlineStr">
        <is>
          <t>Hyderabad</t>
        </is>
      </c>
      <c r="J2372" s="5" t="inlineStr">
        <is>
          <t>Full-Time</t>
        </is>
      </c>
      <c r="K2372" s="7" t="n">
        <v>44439</v>
      </c>
      <c r="L2372" s="7" t="inlineStr"/>
      <c r="M2372" s="5" t="inlineStr">
        <is>
          <t>Yes</t>
        </is>
      </c>
      <c r="N2372" s="5" t="inlineStr"/>
      <c r="O2372" s="8" t="inlineStr">
        <is>
          <t>80000</t>
        </is>
      </c>
      <c r="P2372" s="5" t="inlineStr">
        <is>
          <t>5</t>
        </is>
      </c>
      <c r="Q2372" s="5" t="inlineStr">
        <is>
          <t>4</t>
        </is>
      </c>
      <c r="R2372" s="5" t="inlineStr">
        <is>
          <t>3</t>
        </is>
      </c>
      <c r="S2372" s="5" t="inlineStr">
        <is>
          <t>52</t>
        </is>
      </c>
      <c r="T2372" s="5" t="inlineStr">
        <is>
          <t>11</t>
        </is>
      </c>
      <c r="U2372" s="5">
        <f>IFS(C2372&lt;30,"Under 30",C2372&lt;40,"30-39",C2372&lt;50,"40-49",TRUE,"50+")</f>
        <v/>
      </c>
      <c r="V2372" s="5">
        <f>IFS(O2372&lt;60000,"Low (&lt;60k)",O2372&lt;100000,"Mid (60-100k)",TRUE,"High (100k+)")</f>
        <v/>
      </c>
      <c r="W2372" s="5">
        <f>IF(M2372="No","Attrited","Active")</f>
        <v/>
      </c>
    </row>
    <row r="2373">
      <c r="A2373" s="5" t="inlineStr">
        <is>
          <t>E02372</t>
        </is>
      </c>
      <c r="B2373" s="5" t="inlineStr">
        <is>
          <t>Male</t>
        </is>
      </c>
      <c r="C2373" s="6" t="inlineStr">
        <is>
          <t>23</t>
        </is>
      </c>
      <c r="D2373" s="5" t="inlineStr">
        <is>
          <t>Married</t>
        </is>
      </c>
      <c r="E2373" s="5" t="inlineStr">
        <is>
          <t>Bachelor</t>
        </is>
      </c>
      <c r="F2373" s="5" t="inlineStr">
        <is>
          <t>Sales</t>
        </is>
      </c>
      <c r="G2373" s="5" t="inlineStr">
        <is>
          <t>Sales Executive</t>
        </is>
      </c>
      <c r="H2373" s="5" t="inlineStr">
        <is>
          <t>1</t>
        </is>
      </c>
      <c r="I2373" s="5" t="inlineStr">
        <is>
          <t>Hyderabad</t>
        </is>
      </c>
      <c r="J2373" s="5" t="inlineStr">
        <is>
          <t>Full-Time</t>
        </is>
      </c>
      <c r="K2373" s="7" t="n">
        <v>45378</v>
      </c>
      <c r="L2373" s="7" t="n">
        <v>45521</v>
      </c>
      <c r="M2373" s="5" t="inlineStr">
        <is>
          <t>No</t>
        </is>
      </c>
      <c r="N2373" s="5" t="inlineStr">
        <is>
          <t>Resigned</t>
        </is>
      </c>
      <c r="O2373" s="8" t="inlineStr">
        <is>
          <t>72500</t>
        </is>
      </c>
      <c r="P2373" s="5" t="inlineStr">
        <is>
          <t>20</t>
        </is>
      </c>
      <c r="Q2373" s="5" t="inlineStr">
        <is>
          <t>3</t>
        </is>
      </c>
      <c r="R2373" s="5" t="inlineStr">
        <is>
          <t>3</t>
        </is>
      </c>
      <c r="S2373" s="5" t="inlineStr">
        <is>
          <t>4</t>
        </is>
      </c>
      <c r="T2373" s="5" t="inlineStr">
        <is>
          <t>4</t>
        </is>
      </c>
      <c r="U2373" s="5">
        <f>IFS(C2373&lt;30,"Under 30",C2373&lt;40,"30-39",C2373&lt;50,"40-49",TRUE,"50+")</f>
        <v/>
      </c>
      <c r="V2373" s="5">
        <f>IFS(O2373&lt;60000,"Low (&lt;60k)",O2373&lt;100000,"Mid (60-100k)",TRUE,"High (100k+)")</f>
        <v/>
      </c>
      <c r="W2373" s="5">
        <f>IF(M2373="No","Attrited","Active")</f>
        <v/>
      </c>
    </row>
    <row r="2374">
      <c r="A2374" s="5" t="inlineStr">
        <is>
          <t>E02373</t>
        </is>
      </c>
      <c r="B2374" s="5" t="inlineStr">
        <is>
          <t>Male</t>
        </is>
      </c>
      <c r="C2374" s="6" t="inlineStr">
        <is>
          <t>31</t>
        </is>
      </c>
      <c r="D2374" s="5" t="inlineStr">
        <is>
          <t>Married</t>
        </is>
      </c>
      <c r="E2374" s="5" t="inlineStr">
        <is>
          <t>Master</t>
        </is>
      </c>
      <c r="F2374" s="5" t="inlineStr">
        <is>
          <t>Operations</t>
        </is>
      </c>
      <c r="G2374" s="5" t="inlineStr">
        <is>
          <t>Operations Analyst</t>
        </is>
      </c>
      <c r="H2374" s="5" t="inlineStr">
        <is>
          <t>1</t>
        </is>
      </c>
      <c r="I2374" s="5" t="inlineStr">
        <is>
          <t>Chennai</t>
        </is>
      </c>
      <c r="J2374" s="5" t="inlineStr">
        <is>
          <t>Full-Time</t>
        </is>
      </c>
      <c r="K2374" s="7" t="n">
        <v>45883</v>
      </c>
      <c r="L2374" s="7" t="inlineStr"/>
      <c r="M2374" s="5" t="inlineStr">
        <is>
          <t>Yes</t>
        </is>
      </c>
      <c r="N2374" s="5" t="inlineStr"/>
      <c r="O2374" s="8" t="inlineStr">
        <is>
          <t>68500</t>
        </is>
      </c>
      <c r="P2374" s="5" t="inlineStr">
        <is>
          <t>10</t>
        </is>
      </c>
      <c r="Q2374" s="5" t="inlineStr">
        <is>
          <t>4</t>
        </is>
      </c>
      <c r="R2374" s="5" t="inlineStr">
        <is>
          <t>6</t>
        </is>
      </c>
      <c r="S2374" s="5" t="inlineStr">
        <is>
          <t>4</t>
        </is>
      </c>
      <c r="T2374" s="5" t="inlineStr">
        <is>
          <t>12</t>
        </is>
      </c>
      <c r="U2374" s="5">
        <f>IFS(C2374&lt;30,"Under 30",C2374&lt;40,"30-39",C2374&lt;50,"40-49",TRUE,"50+")</f>
        <v/>
      </c>
      <c r="V2374" s="5">
        <f>IFS(O2374&lt;60000,"Low (&lt;60k)",O2374&lt;100000,"Mid (60-100k)",TRUE,"High (100k+)")</f>
        <v/>
      </c>
      <c r="W2374" s="5">
        <f>IF(M2374="No","Attrited","Active")</f>
        <v/>
      </c>
    </row>
    <row r="2375">
      <c r="A2375" s="5" t="inlineStr">
        <is>
          <t>E02374</t>
        </is>
      </c>
      <c r="B2375" s="5" t="inlineStr">
        <is>
          <t>Male</t>
        </is>
      </c>
      <c r="C2375" s="6" t="inlineStr">
        <is>
          <t>30</t>
        </is>
      </c>
      <c r="D2375" s="5" t="inlineStr">
        <is>
          <t>Married</t>
        </is>
      </c>
      <c r="E2375" s="5" t="inlineStr">
        <is>
          <t>Diploma</t>
        </is>
      </c>
      <c r="F2375" s="5" t="inlineStr">
        <is>
          <t>Finance</t>
        </is>
      </c>
      <c r="G2375" s="5" t="inlineStr">
        <is>
          <t>Accountant</t>
        </is>
      </c>
      <c r="H2375" s="5" t="inlineStr">
        <is>
          <t>2</t>
        </is>
      </c>
      <c r="I2375" s="5" t="inlineStr">
        <is>
          <t>Delhi</t>
        </is>
      </c>
      <c r="J2375" s="5" t="inlineStr">
        <is>
          <t>Full-Time</t>
        </is>
      </c>
      <c r="K2375" s="7" t="n">
        <v>44716</v>
      </c>
      <c r="L2375" s="7" t="inlineStr"/>
      <c r="M2375" s="5" t="inlineStr">
        <is>
          <t>Yes</t>
        </is>
      </c>
      <c r="N2375" s="5" t="inlineStr"/>
      <c r="O2375" s="8" t="inlineStr">
        <is>
          <t>126500</t>
        </is>
      </c>
      <c r="P2375" s="5" t="inlineStr">
        <is>
          <t>0</t>
        </is>
      </c>
      <c r="Q2375" s="5" t="inlineStr">
        <is>
          <t>3</t>
        </is>
      </c>
      <c r="R2375" s="5" t="inlineStr">
        <is>
          <t>7</t>
        </is>
      </c>
      <c r="S2375" s="5" t="inlineStr">
        <is>
          <t>43</t>
        </is>
      </c>
      <c r="T2375" s="5" t="inlineStr">
        <is>
          <t>4</t>
        </is>
      </c>
      <c r="U2375" s="5">
        <f>IFS(C2375&lt;30,"Under 30",C2375&lt;40,"30-39",C2375&lt;50,"40-49",TRUE,"50+")</f>
        <v/>
      </c>
      <c r="V2375" s="5">
        <f>IFS(O2375&lt;60000,"Low (&lt;60k)",O2375&lt;100000,"Mid (60-100k)",TRUE,"High (100k+)")</f>
        <v/>
      </c>
      <c r="W2375" s="5">
        <f>IF(M2375="No","Attrited","Active")</f>
        <v/>
      </c>
    </row>
    <row r="2376">
      <c r="A2376" s="5" t="inlineStr">
        <is>
          <t>E02375</t>
        </is>
      </c>
      <c r="B2376" s="5" t="inlineStr">
        <is>
          <t>Female</t>
        </is>
      </c>
      <c r="C2376" s="6" t="inlineStr">
        <is>
          <t>34</t>
        </is>
      </c>
      <c r="D2376" s="5" t="inlineStr">
        <is>
          <t>Married</t>
        </is>
      </c>
      <c r="E2376" s="5" t="inlineStr">
        <is>
          <t>PhD</t>
        </is>
      </c>
      <c r="F2376" s="5" t="inlineStr">
        <is>
          <t>Customer Support</t>
        </is>
      </c>
      <c r="G2376" s="5" t="inlineStr">
        <is>
          <t>Escalation Specialist</t>
        </is>
      </c>
      <c r="H2376" s="5" t="inlineStr">
        <is>
          <t>3</t>
        </is>
      </c>
      <c r="I2376" s="5" t="inlineStr">
        <is>
          <t>Remote</t>
        </is>
      </c>
      <c r="J2376" s="5" t="inlineStr">
        <is>
          <t>Full-Time</t>
        </is>
      </c>
      <c r="K2376" s="7" t="n">
        <v>44981</v>
      </c>
      <c r="L2376" s="7" t="inlineStr"/>
      <c r="M2376" s="5" t="inlineStr">
        <is>
          <t>Yes</t>
        </is>
      </c>
      <c r="N2376" s="5" t="inlineStr"/>
      <c r="O2376" s="8" t="inlineStr">
        <is>
          <t>69000</t>
        </is>
      </c>
      <c r="P2376" s="5" t="inlineStr">
        <is>
          <t>0</t>
        </is>
      </c>
      <c r="Q2376" s="5" t="inlineStr">
        <is>
          <t>3</t>
        </is>
      </c>
      <c r="R2376" s="5" t="inlineStr">
        <is>
          <t>5</t>
        </is>
      </c>
      <c r="S2376" s="5" t="inlineStr">
        <is>
          <t>34</t>
        </is>
      </c>
      <c r="T2376" s="5" t="inlineStr">
        <is>
          <t>5</t>
        </is>
      </c>
      <c r="U2376" s="5">
        <f>IFS(C2376&lt;30,"Under 30",C2376&lt;40,"30-39",C2376&lt;50,"40-49",TRUE,"50+")</f>
        <v/>
      </c>
      <c r="V2376" s="5">
        <f>IFS(O2376&lt;60000,"Low (&lt;60k)",O2376&lt;100000,"Mid (60-100k)",TRUE,"High (100k+)")</f>
        <v/>
      </c>
      <c r="W2376" s="5">
        <f>IF(M2376="No","Attrited","Active")</f>
        <v/>
      </c>
    </row>
    <row r="2377">
      <c r="A2377" s="5" t="inlineStr">
        <is>
          <t>E02376</t>
        </is>
      </c>
      <c r="B2377" s="5" t="inlineStr">
        <is>
          <t>Male</t>
        </is>
      </c>
      <c r="C2377" s="6" t="inlineStr">
        <is>
          <t>26</t>
        </is>
      </c>
      <c r="D2377" s="5" t="inlineStr">
        <is>
          <t>Married</t>
        </is>
      </c>
      <c r="E2377" s="5" t="inlineStr">
        <is>
          <t>Master</t>
        </is>
      </c>
      <c r="F2377" s="5" t="inlineStr">
        <is>
          <t>Operations</t>
        </is>
      </c>
      <c r="G2377" s="5" t="inlineStr">
        <is>
          <t>Logistics Coordinator</t>
        </is>
      </c>
      <c r="H2377" s="5" t="inlineStr">
        <is>
          <t>2</t>
        </is>
      </c>
      <c r="I2377" s="5" t="inlineStr">
        <is>
          <t>Mumbai</t>
        </is>
      </c>
      <c r="J2377" s="5" t="inlineStr">
        <is>
          <t>Full-Time</t>
        </is>
      </c>
      <c r="K2377" s="7" t="n">
        <v>45267</v>
      </c>
      <c r="L2377" s="7" t="inlineStr"/>
      <c r="M2377" s="5" t="inlineStr">
        <is>
          <t>Yes</t>
        </is>
      </c>
      <c r="N2377" s="5" t="inlineStr"/>
      <c r="O2377" s="8" t="inlineStr">
        <is>
          <t>98500</t>
        </is>
      </c>
      <c r="P2377" s="5" t="inlineStr">
        <is>
          <t>5</t>
        </is>
      </c>
      <c r="Q2377" s="5" t="inlineStr">
        <is>
          <t>4</t>
        </is>
      </c>
      <c r="R2377" s="5" t="inlineStr">
        <is>
          <t>7</t>
        </is>
      </c>
      <c r="S2377" s="5" t="inlineStr">
        <is>
          <t>25</t>
        </is>
      </c>
      <c r="T2377" s="5" t="inlineStr">
        <is>
          <t>14</t>
        </is>
      </c>
      <c r="U2377" s="5">
        <f>IFS(C2377&lt;30,"Under 30",C2377&lt;40,"30-39",C2377&lt;50,"40-49",TRUE,"50+")</f>
        <v/>
      </c>
      <c r="V2377" s="5">
        <f>IFS(O2377&lt;60000,"Low (&lt;60k)",O2377&lt;100000,"Mid (60-100k)",TRUE,"High (100k+)")</f>
        <v/>
      </c>
      <c r="W2377" s="5">
        <f>IF(M2377="No","Attrited","Active")</f>
        <v/>
      </c>
    </row>
    <row r="2378">
      <c r="A2378" s="5" t="inlineStr">
        <is>
          <t>E02377</t>
        </is>
      </c>
      <c r="B2378" s="5" t="inlineStr">
        <is>
          <t>Female</t>
        </is>
      </c>
      <c r="C2378" s="6" t="inlineStr">
        <is>
          <t>32</t>
        </is>
      </c>
      <c r="D2378" s="5" t="inlineStr">
        <is>
          <t>Single</t>
        </is>
      </c>
      <c r="E2378" s="5" t="inlineStr">
        <is>
          <t>PhD</t>
        </is>
      </c>
      <c r="F2378" s="5" t="inlineStr">
        <is>
          <t>Finance</t>
        </is>
      </c>
      <c r="G2378" s="5" t="inlineStr">
        <is>
          <t>Accountant</t>
        </is>
      </c>
      <c r="H2378" s="5" t="inlineStr">
        <is>
          <t>1</t>
        </is>
      </c>
      <c r="I2378" s="5" t="inlineStr">
        <is>
          <t>Bengaluru</t>
        </is>
      </c>
      <c r="J2378" s="5" t="inlineStr">
        <is>
          <t>Full-Time</t>
        </is>
      </c>
      <c r="K2378" s="7" t="n">
        <v>44295</v>
      </c>
      <c r="L2378" s="7" t="inlineStr"/>
      <c r="M2378" s="5" t="inlineStr">
        <is>
          <t>Yes</t>
        </is>
      </c>
      <c r="N2378" s="5" t="inlineStr"/>
      <c r="O2378" s="8" t="inlineStr">
        <is>
          <t>69500</t>
        </is>
      </c>
      <c r="P2378" s="5" t="inlineStr">
        <is>
          <t>0</t>
        </is>
      </c>
      <c r="Q2378" s="5" t="inlineStr">
        <is>
          <t>3</t>
        </is>
      </c>
      <c r="R2378" s="5" t="inlineStr">
        <is>
          <t>10</t>
        </is>
      </c>
      <c r="S2378" s="5" t="inlineStr">
        <is>
          <t>57</t>
        </is>
      </c>
      <c r="T2378" s="5" t="inlineStr">
        <is>
          <t>7</t>
        </is>
      </c>
      <c r="U2378" s="5">
        <f>IFS(C2378&lt;30,"Under 30",C2378&lt;40,"30-39",C2378&lt;50,"40-49",TRUE,"50+")</f>
        <v/>
      </c>
      <c r="V2378" s="5">
        <f>IFS(O2378&lt;60000,"Low (&lt;60k)",O2378&lt;100000,"Mid (60-100k)",TRUE,"High (100k+)")</f>
        <v/>
      </c>
      <c r="W2378" s="5">
        <f>IF(M2378="No","Attrited","Active")</f>
        <v/>
      </c>
    </row>
    <row r="2379">
      <c r="A2379" s="5" t="inlineStr">
        <is>
          <t>E02378</t>
        </is>
      </c>
      <c r="B2379" s="5" t="inlineStr">
        <is>
          <t>Male</t>
        </is>
      </c>
      <c r="C2379" s="6" t="inlineStr">
        <is>
          <t>35</t>
        </is>
      </c>
      <c r="D2379" s="5" t="inlineStr">
        <is>
          <t>Married</t>
        </is>
      </c>
      <c r="E2379" s="5" t="inlineStr">
        <is>
          <t>Master</t>
        </is>
      </c>
      <c r="F2379" s="5" t="inlineStr">
        <is>
          <t>Sales</t>
        </is>
      </c>
      <c r="G2379" s="5" t="inlineStr">
        <is>
          <t>Sales Executive</t>
        </is>
      </c>
      <c r="H2379" s="5" t="inlineStr">
        <is>
          <t>5</t>
        </is>
      </c>
      <c r="I2379" s="5" t="inlineStr">
        <is>
          <t>Remote</t>
        </is>
      </c>
      <c r="J2379" s="5" t="inlineStr">
        <is>
          <t>Full-Time</t>
        </is>
      </c>
      <c r="K2379" s="7" t="n">
        <v>43925</v>
      </c>
      <c r="L2379" s="7" t="n">
        <v>44002</v>
      </c>
      <c r="M2379" s="5" t="inlineStr">
        <is>
          <t>No</t>
        </is>
      </c>
      <c r="N2379" s="5" t="inlineStr">
        <is>
          <t>Retirement</t>
        </is>
      </c>
      <c r="O2379" s="8" t="inlineStr">
        <is>
          <t>141500</t>
        </is>
      </c>
      <c r="P2379" s="5" t="inlineStr">
        <is>
          <t>5</t>
        </is>
      </c>
      <c r="Q2379" s="5" t="inlineStr">
        <is>
          <t>3</t>
        </is>
      </c>
      <c r="R2379" s="5" t="inlineStr">
        <is>
          <t>6</t>
        </is>
      </c>
      <c r="S2379" s="5" t="inlineStr">
        <is>
          <t>2</t>
        </is>
      </c>
      <c r="T2379" s="5" t="inlineStr">
        <is>
          <t>6</t>
        </is>
      </c>
      <c r="U2379" s="5">
        <f>IFS(C2379&lt;30,"Under 30",C2379&lt;40,"30-39",C2379&lt;50,"40-49",TRUE,"50+")</f>
        <v/>
      </c>
      <c r="V2379" s="5">
        <f>IFS(O2379&lt;60000,"Low (&lt;60k)",O2379&lt;100000,"Mid (60-100k)",TRUE,"High (100k+)")</f>
        <v/>
      </c>
      <c r="W2379" s="5">
        <f>IF(M2379="No","Attrited","Active")</f>
        <v/>
      </c>
    </row>
    <row r="2380">
      <c r="A2380" s="5" t="inlineStr">
        <is>
          <t>E02379</t>
        </is>
      </c>
      <c r="B2380" s="5" t="inlineStr">
        <is>
          <t>Female</t>
        </is>
      </c>
      <c r="C2380" s="6" t="inlineStr">
        <is>
          <t>38</t>
        </is>
      </c>
      <c r="D2380" s="5" t="inlineStr">
        <is>
          <t>Married</t>
        </is>
      </c>
      <c r="E2380" s="5" t="inlineStr">
        <is>
          <t>Master</t>
        </is>
      </c>
      <c r="F2380" s="5" t="inlineStr">
        <is>
          <t>Sales</t>
        </is>
      </c>
      <c r="G2380" s="5" t="inlineStr">
        <is>
          <t>Account Executive</t>
        </is>
      </c>
      <c r="H2380" s="5" t="inlineStr">
        <is>
          <t>5</t>
        </is>
      </c>
      <c r="I2380" s="5" t="inlineStr">
        <is>
          <t>Bengaluru</t>
        </is>
      </c>
      <c r="J2380" s="5" t="inlineStr">
        <is>
          <t>Full-Time</t>
        </is>
      </c>
      <c r="K2380" s="7" t="n">
        <v>44178</v>
      </c>
      <c r="L2380" s="7" t="inlineStr"/>
      <c r="M2380" s="5" t="inlineStr">
        <is>
          <t>Yes</t>
        </is>
      </c>
      <c r="N2380" s="5" t="inlineStr"/>
      <c r="O2380" s="8" t="inlineStr">
        <is>
          <t>166000</t>
        </is>
      </c>
      <c r="P2380" s="5" t="inlineStr">
        <is>
          <t>0</t>
        </is>
      </c>
      <c r="Q2380" s="5" t="inlineStr">
        <is>
          <t>4</t>
        </is>
      </c>
      <c r="R2380" s="5" t="inlineStr">
        <is>
          <t>6</t>
        </is>
      </c>
      <c r="S2380" s="5" t="inlineStr">
        <is>
          <t>61</t>
        </is>
      </c>
      <c r="T2380" s="5" t="inlineStr">
        <is>
          <t>0</t>
        </is>
      </c>
      <c r="U2380" s="5">
        <f>IFS(C2380&lt;30,"Under 30",C2380&lt;40,"30-39",C2380&lt;50,"40-49",TRUE,"50+")</f>
        <v/>
      </c>
      <c r="V2380" s="5">
        <f>IFS(O2380&lt;60000,"Low (&lt;60k)",O2380&lt;100000,"Mid (60-100k)",TRUE,"High (100k+)")</f>
        <v/>
      </c>
      <c r="W2380" s="5">
        <f>IF(M2380="No","Attrited","Active")</f>
        <v/>
      </c>
    </row>
    <row r="2381">
      <c r="A2381" s="5" t="inlineStr">
        <is>
          <t>E02380</t>
        </is>
      </c>
      <c r="B2381" s="5" t="inlineStr">
        <is>
          <t>Male</t>
        </is>
      </c>
      <c r="C2381" s="6" t="inlineStr">
        <is>
          <t>41</t>
        </is>
      </c>
      <c r="D2381" s="5" t="inlineStr">
        <is>
          <t>Single</t>
        </is>
      </c>
      <c r="E2381" s="5" t="inlineStr">
        <is>
          <t>High School</t>
        </is>
      </c>
      <c r="F2381" s="5" t="inlineStr">
        <is>
          <t>Finance</t>
        </is>
      </c>
      <c r="G2381" s="5" t="inlineStr">
        <is>
          <t>Credit Analyst</t>
        </is>
      </c>
      <c r="H2381" s="5" t="inlineStr">
        <is>
          <t>5</t>
        </is>
      </c>
      <c r="I2381" s="5" t="inlineStr">
        <is>
          <t>Bengaluru</t>
        </is>
      </c>
      <c r="J2381" s="5" t="inlineStr">
        <is>
          <t>Full-Time</t>
        </is>
      </c>
      <c r="K2381" s="7" t="n">
        <v>44350</v>
      </c>
      <c r="L2381" s="7" t="inlineStr"/>
      <c r="M2381" s="5" t="inlineStr">
        <is>
          <t>Yes</t>
        </is>
      </c>
      <c r="N2381" s="5" t="inlineStr"/>
      <c r="O2381" s="8" t="inlineStr">
        <is>
          <t>105500</t>
        </is>
      </c>
      <c r="P2381" s="5" t="inlineStr">
        <is>
          <t>0</t>
        </is>
      </c>
      <c r="Q2381" s="5" t="inlineStr">
        <is>
          <t>4</t>
        </is>
      </c>
      <c r="R2381" s="5" t="inlineStr">
        <is>
          <t>4</t>
        </is>
      </c>
      <c r="S2381" s="5" t="inlineStr">
        <is>
          <t>55</t>
        </is>
      </c>
      <c r="T2381" s="5" t="inlineStr">
        <is>
          <t>4</t>
        </is>
      </c>
      <c r="U2381" s="5">
        <f>IFS(C2381&lt;30,"Under 30",C2381&lt;40,"30-39",C2381&lt;50,"40-49",TRUE,"50+")</f>
        <v/>
      </c>
      <c r="V2381" s="5">
        <f>IFS(O2381&lt;60000,"Low (&lt;60k)",O2381&lt;100000,"Mid (60-100k)",TRUE,"High (100k+)")</f>
        <v/>
      </c>
      <c r="W2381" s="5">
        <f>IF(M2381="No","Attrited","Active")</f>
        <v/>
      </c>
    </row>
    <row r="2382">
      <c r="A2382" s="5" t="inlineStr">
        <is>
          <t>E02381</t>
        </is>
      </c>
      <c r="B2382" s="5" t="inlineStr">
        <is>
          <t>Male</t>
        </is>
      </c>
      <c r="C2382" s="6" t="inlineStr">
        <is>
          <t>28</t>
        </is>
      </c>
      <c r="D2382" s="5" t="inlineStr">
        <is>
          <t>Single</t>
        </is>
      </c>
      <c r="E2382" s="5" t="inlineStr">
        <is>
          <t>Diploma</t>
        </is>
      </c>
      <c r="F2382" s="5" t="inlineStr">
        <is>
          <t>Marketing</t>
        </is>
      </c>
      <c r="G2382" s="5" t="inlineStr">
        <is>
          <t>Content Writer</t>
        </is>
      </c>
      <c r="H2382" s="5" t="inlineStr">
        <is>
          <t>3</t>
        </is>
      </c>
      <c r="I2382" s="5" t="inlineStr">
        <is>
          <t>Chennai</t>
        </is>
      </c>
      <c r="J2382" s="5" t="inlineStr">
        <is>
          <t>Full-Time</t>
        </is>
      </c>
      <c r="K2382" s="7" t="n">
        <v>45402</v>
      </c>
      <c r="L2382" s="7" t="inlineStr"/>
      <c r="M2382" s="5" t="inlineStr">
        <is>
          <t>Yes</t>
        </is>
      </c>
      <c r="N2382" s="5" t="inlineStr"/>
      <c r="O2382" s="8" t="inlineStr">
        <is>
          <t>84500</t>
        </is>
      </c>
      <c r="P2382" s="5" t="inlineStr">
        <is>
          <t>0</t>
        </is>
      </c>
      <c r="Q2382" s="5" t="inlineStr">
        <is>
          <t>4</t>
        </is>
      </c>
      <c r="R2382" s="5" t="inlineStr">
        <is>
          <t>8</t>
        </is>
      </c>
      <c r="S2382" s="5" t="inlineStr">
        <is>
          <t>20</t>
        </is>
      </c>
      <c r="T2382" s="5" t="inlineStr">
        <is>
          <t>6</t>
        </is>
      </c>
      <c r="U2382" s="5">
        <f>IFS(C2382&lt;30,"Under 30",C2382&lt;40,"30-39",C2382&lt;50,"40-49",TRUE,"50+")</f>
        <v/>
      </c>
      <c r="V2382" s="5">
        <f>IFS(O2382&lt;60000,"Low (&lt;60k)",O2382&lt;100000,"Mid (60-100k)",TRUE,"High (100k+)")</f>
        <v/>
      </c>
      <c r="W2382" s="5">
        <f>IF(M2382="No","Attrited","Active")</f>
        <v/>
      </c>
    </row>
    <row r="2383">
      <c r="A2383" s="5" t="inlineStr">
        <is>
          <t>E02382</t>
        </is>
      </c>
      <c r="B2383" s="5" t="inlineStr">
        <is>
          <t>Male</t>
        </is>
      </c>
      <c r="C2383" s="6" t="inlineStr">
        <is>
          <t>31</t>
        </is>
      </c>
      <c r="D2383" s="5" t="inlineStr">
        <is>
          <t>Married</t>
        </is>
      </c>
      <c r="E2383" s="5" t="inlineStr">
        <is>
          <t>High School</t>
        </is>
      </c>
      <c r="F2383" s="5" t="inlineStr">
        <is>
          <t>Research &amp; Development</t>
        </is>
      </c>
      <c r="G2383" s="5" t="inlineStr">
        <is>
          <t>Data Scientist</t>
        </is>
      </c>
      <c r="H2383" s="5" t="inlineStr">
        <is>
          <t>3</t>
        </is>
      </c>
      <c r="I2383" s="5" t="inlineStr">
        <is>
          <t>Mumbai</t>
        </is>
      </c>
      <c r="J2383" s="5" t="inlineStr">
        <is>
          <t>Full-Time</t>
        </is>
      </c>
      <c r="K2383" s="7" t="n">
        <v>44701</v>
      </c>
      <c r="L2383" s="7" t="inlineStr"/>
      <c r="M2383" s="5" t="inlineStr">
        <is>
          <t>Yes</t>
        </is>
      </c>
      <c r="N2383" s="5" t="inlineStr"/>
      <c r="O2383" s="8" t="inlineStr">
        <is>
          <t>137500</t>
        </is>
      </c>
      <c r="P2383" s="5" t="inlineStr">
        <is>
          <t>10</t>
        </is>
      </c>
      <c r="Q2383" s="5" t="inlineStr">
        <is>
          <t>5</t>
        </is>
      </c>
      <c r="R2383" s="5" t="inlineStr">
        <is>
          <t>9</t>
        </is>
      </c>
      <c r="S2383" s="5" t="inlineStr">
        <is>
          <t>44</t>
        </is>
      </c>
      <c r="T2383" s="5" t="inlineStr">
        <is>
          <t>7</t>
        </is>
      </c>
      <c r="U2383" s="5">
        <f>IFS(C2383&lt;30,"Under 30",C2383&lt;40,"30-39",C2383&lt;50,"40-49",TRUE,"50+")</f>
        <v/>
      </c>
      <c r="V2383" s="5">
        <f>IFS(O2383&lt;60000,"Low (&lt;60k)",O2383&lt;100000,"Mid (60-100k)",TRUE,"High (100k+)")</f>
        <v/>
      </c>
      <c r="W2383" s="5">
        <f>IF(M2383="No","Attrited","Active")</f>
        <v/>
      </c>
    </row>
    <row r="2384">
      <c r="A2384" s="5" t="inlineStr">
        <is>
          <t>E02383</t>
        </is>
      </c>
      <c r="B2384" s="5" t="inlineStr">
        <is>
          <t>Male</t>
        </is>
      </c>
      <c r="C2384" s="6" t="inlineStr">
        <is>
          <t>26</t>
        </is>
      </c>
      <c r="D2384" s="5" t="inlineStr">
        <is>
          <t>Married</t>
        </is>
      </c>
      <c r="E2384" s="5" t="inlineStr">
        <is>
          <t>Bachelor</t>
        </is>
      </c>
      <c r="F2384" s="5" t="inlineStr">
        <is>
          <t>Finance</t>
        </is>
      </c>
      <c r="G2384" s="5" t="inlineStr">
        <is>
          <t>Accountant</t>
        </is>
      </c>
      <c r="H2384" s="5" t="inlineStr">
        <is>
          <t>1</t>
        </is>
      </c>
      <c r="I2384" s="5" t="inlineStr">
        <is>
          <t>Remote</t>
        </is>
      </c>
      <c r="J2384" s="5" t="inlineStr">
        <is>
          <t>Full-Time</t>
        </is>
      </c>
      <c r="K2384" s="7" t="n">
        <v>44417</v>
      </c>
      <c r="L2384" s="7" t="inlineStr"/>
      <c r="M2384" s="5" t="inlineStr">
        <is>
          <t>Yes</t>
        </is>
      </c>
      <c r="N2384" s="5" t="inlineStr"/>
      <c r="O2384" s="8" t="inlineStr">
        <is>
          <t>91000</t>
        </is>
      </c>
      <c r="P2384" s="5" t="inlineStr">
        <is>
          <t>5</t>
        </is>
      </c>
      <c r="Q2384" s="5" t="inlineStr">
        <is>
          <t>5</t>
        </is>
      </c>
      <c r="R2384" s="5" t="inlineStr">
        <is>
          <t>5</t>
        </is>
      </c>
      <c r="S2384" s="5" t="inlineStr">
        <is>
          <t>53</t>
        </is>
      </c>
      <c r="T2384" s="5" t="inlineStr">
        <is>
          <t>9</t>
        </is>
      </c>
      <c r="U2384" s="5">
        <f>IFS(C2384&lt;30,"Under 30",C2384&lt;40,"30-39",C2384&lt;50,"40-49",TRUE,"50+")</f>
        <v/>
      </c>
      <c r="V2384" s="5">
        <f>IFS(O2384&lt;60000,"Low (&lt;60k)",O2384&lt;100000,"Mid (60-100k)",TRUE,"High (100k+)")</f>
        <v/>
      </c>
      <c r="W2384" s="5">
        <f>IF(M2384="No","Attrited","Active")</f>
        <v/>
      </c>
    </row>
    <row r="2385">
      <c r="A2385" s="5" t="inlineStr">
        <is>
          <t>E02384</t>
        </is>
      </c>
      <c r="B2385" s="5" t="inlineStr">
        <is>
          <t>Male</t>
        </is>
      </c>
      <c r="C2385" s="6" t="inlineStr">
        <is>
          <t>32</t>
        </is>
      </c>
      <c r="D2385" s="5" t="inlineStr">
        <is>
          <t>Married</t>
        </is>
      </c>
      <c r="E2385" s="5" t="inlineStr">
        <is>
          <t>PhD</t>
        </is>
      </c>
      <c r="F2385" s="5" t="inlineStr">
        <is>
          <t>Marketing</t>
        </is>
      </c>
      <c r="G2385" s="5" t="inlineStr">
        <is>
          <t>Content Writer</t>
        </is>
      </c>
      <c r="H2385" s="5" t="inlineStr">
        <is>
          <t>2</t>
        </is>
      </c>
      <c r="I2385" s="5" t="inlineStr">
        <is>
          <t>Delhi</t>
        </is>
      </c>
      <c r="J2385" s="5" t="inlineStr">
        <is>
          <t>Full-Time</t>
        </is>
      </c>
      <c r="K2385" s="7" t="n">
        <v>45655</v>
      </c>
      <c r="L2385" s="7" t="n">
        <v>45741</v>
      </c>
      <c r="M2385" s="5" t="inlineStr">
        <is>
          <t>No</t>
        </is>
      </c>
      <c r="N2385" s="5" t="inlineStr">
        <is>
          <t>Resigned</t>
        </is>
      </c>
      <c r="O2385" s="8" t="inlineStr">
        <is>
          <t>102500</t>
        </is>
      </c>
      <c r="P2385" s="5" t="inlineStr">
        <is>
          <t>0</t>
        </is>
      </c>
      <c r="Q2385" s="5" t="inlineStr">
        <is>
          <t>5</t>
        </is>
      </c>
      <c r="R2385" s="5" t="inlineStr">
        <is>
          <t>4</t>
        </is>
      </c>
      <c r="S2385" s="5" t="inlineStr">
        <is>
          <t>2</t>
        </is>
      </c>
      <c r="T2385" s="5" t="inlineStr">
        <is>
          <t>17</t>
        </is>
      </c>
      <c r="U2385" s="5">
        <f>IFS(C2385&lt;30,"Under 30",C2385&lt;40,"30-39",C2385&lt;50,"40-49",TRUE,"50+")</f>
        <v/>
      </c>
      <c r="V2385" s="5">
        <f>IFS(O2385&lt;60000,"Low (&lt;60k)",O2385&lt;100000,"Mid (60-100k)",TRUE,"High (100k+)")</f>
        <v/>
      </c>
      <c r="W2385" s="5">
        <f>IF(M2385="No","Attrited","Active")</f>
        <v/>
      </c>
    </row>
    <row r="2386">
      <c r="A2386" s="5" t="inlineStr">
        <is>
          <t>E02385</t>
        </is>
      </c>
      <c r="B2386" s="5" t="inlineStr">
        <is>
          <t>Male</t>
        </is>
      </c>
      <c r="C2386" s="6" t="inlineStr">
        <is>
          <t>27</t>
        </is>
      </c>
      <c r="D2386" s="5" t="inlineStr">
        <is>
          <t>Single</t>
        </is>
      </c>
      <c r="E2386" s="5" t="inlineStr">
        <is>
          <t>PhD</t>
        </is>
      </c>
      <c r="F2386" s="5" t="inlineStr">
        <is>
          <t>Finance</t>
        </is>
      </c>
      <c r="G2386" s="5" t="inlineStr">
        <is>
          <t>Accountant</t>
        </is>
      </c>
      <c r="H2386" s="5" t="inlineStr">
        <is>
          <t>1</t>
        </is>
      </c>
      <c r="I2386" s="5" t="inlineStr">
        <is>
          <t>Mumbai</t>
        </is>
      </c>
      <c r="J2386" s="5" t="inlineStr">
        <is>
          <t>Full-Time</t>
        </is>
      </c>
      <c r="K2386" s="7" t="n">
        <v>44918</v>
      </c>
      <c r="L2386" s="7" t="inlineStr"/>
      <c r="M2386" s="5" t="inlineStr">
        <is>
          <t>Yes</t>
        </is>
      </c>
      <c r="N2386" s="5" t="inlineStr"/>
      <c r="O2386" s="8" t="inlineStr">
        <is>
          <t>83000</t>
        </is>
      </c>
      <c r="P2386" s="5" t="inlineStr">
        <is>
          <t>0</t>
        </is>
      </c>
      <c r="Q2386" s="5" t="inlineStr">
        <is>
          <t>5</t>
        </is>
      </c>
      <c r="R2386" s="5" t="inlineStr">
        <is>
          <t>2</t>
        </is>
      </c>
      <c r="S2386" s="5" t="inlineStr">
        <is>
          <t>36</t>
        </is>
      </c>
      <c r="T2386" s="5" t="inlineStr">
        <is>
          <t>7</t>
        </is>
      </c>
      <c r="U2386" s="5">
        <f>IFS(C2386&lt;30,"Under 30",C2386&lt;40,"30-39",C2386&lt;50,"40-49",TRUE,"50+")</f>
        <v/>
      </c>
      <c r="V2386" s="5">
        <f>IFS(O2386&lt;60000,"Low (&lt;60k)",O2386&lt;100000,"Mid (60-100k)",TRUE,"High (100k+)")</f>
        <v/>
      </c>
      <c r="W2386" s="5">
        <f>IF(M2386="No","Attrited","Active")</f>
        <v/>
      </c>
    </row>
    <row r="2387">
      <c r="A2387" s="5" t="inlineStr">
        <is>
          <t>E02386</t>
        </is>
      </c>
      <c r="B2387" s="5" t="inlineStr">
        <is>
          <t>Male</t>
        </is>
      </c>
      <c r="C2387" s="6" t="inlineStr">
        <is>
          <t>28</t>
        </is>
      </c>
      <c r="D2387" s="5" t="inlineStr">
        <is>
          <t>Single</t>
        </is>
      </c>
      <c r="E2387" s="5" t="inlineStr">
        <is>
          <t>Master</t>
        </is>
      </c>
      <c r="F2387" s="5" t="inlineStr">
        <is>
          <t>Human Resources</t>
        </is>
      </c>
      <c r="G2387" s="5" t="inlineStr">
        <is>
          <t>HR Generalist</t>
        </is>
      </c>
      <c r="H2387" s="5" t="inlineStr">
        <is>
          <t>3</t>
        </is>
      </c>
      <c r="I2387" s="5" t="inlineStr">
        <is>
          <t>Chennai</t>
        </is>
      </c>
      <c r="J2387" s="5" t="inlineStr">
        <is>
          <t>Full-Time</t>
        </is>
      </c>
      <c r="K2387" s="7" t="n">
        <v>45053</v>
      </c>
      <c r="L2387" s="7" t="inlineStr"/>
      <c r="M2387" s="5" t="inlineStr">
        <is>
          <t>Yes</t>
        </is>
      </c>
      <c r="N2387" s="5" t="inlineStr"/>
      <c r="O2387" s="8" t="inlineStr">
        <is>
          <t>108500</t>
        </is>
      </c>
      <c r="P2387" s="5" t="inlineStr">
        <is>
          <t>5</t>
        </is>
      </c>
      <c r="Q2387" s="5" t="inlineStr">
        <is>
          <t>3</t>
        </is>
      </c>
      <c r="R2387" s="5" t="inlineStr">
        <is>
          <t>2</t>
        </is>
      </c>
      <c r="S2387" s="5" t="inlineStr">
        <is>
          <t>32</t>
        </is>
      </c>
      <c r="T2387" s="5" t="inlineStr">
        <is>
          <t>3</t>
        </is>
      </c>
      <c r="U2387" s="5">
        <f>IFS(C2387&lt;30,"Under 30",C2387&lt;40,"30-39",C2387&lt;50,"40-49",TRUE,"50+")</f>
        <v/>
      </c>
      <c r="V2387" s="5">
        <f>IFS(O2387&lt;60000,"Low (&lt;60k)",O2387&lt;100000,"Mid (60-100k)",TRUE,"High (100k+)")</f>
        <v/>
      </c>
      <c r="W2387" s="5">
        <f>IF(M2387="No","Attrited","Active")</f>
        <v/>
      </c>
    </row>
    <row r="2388">
      <c r="A2388" s="5" t="inlineStr">
        <is>
          <t>E02387</t>
        </is>
      </c>
      <c r="B2388" s="5" t="inlineStr">
        <is>
          <t>Male</t>
        </is>
      </c>
      <c r="C2388" s="6" t="inlineStr">
        <is>
          <t>40</t>
        </is>
      </c>
      <c r="D2388" s="5" t="inlineStr">
        <is>
          <t>Divorced</t>
        </is>
      </c>
      <c r="E2388" s="5" t="inlineStr">
        <is>
          <t>Diploma</t>
        </is>
      </c>
      <c r="F2388" s="5" t="inlineStr">
        <is>
          <t>IT</t>
        </is>
      </c>
      <c r="G2388" s="5" t="inlineStr">
        <is>
          <t>IT Support</t>
        </is>
      </c>
      <c r="H2388" s="5" t="inlineStr">
        <is>
          <t>4</t>
        </is>
      </c>
      <c r="I2388" s="5" t="inlineStr">
        <is>
          <t>Mumbai</t>
        </is>
      </c>
      <c r="J2388" s="5" t="inlineStr">
        <is>
          <t>Full-Time</t>
        </is>
      </c>
      <c r="K2388" s="7" t="n">
        <v>45769</v>
      </c>
      <c r="L2388" s="7" t="inlineStr"/>
      <c r="M2388" s="5" t="inlineStr">
        <is>
          <t>Yes</t>
        </is>
      </c>
      <c r="N2388" s="5" t="inlineStr"/>
      <c r="O2388" s="8" t="inlineStr">
        <is>
          <t>183500</t>
        </is>
      </c>
      <c r="P2388" s="5" t="inlineStr">
        <is>
          <t>0</t>
        </is>
      </c>
      <c r="Q2388" s="5" t="inlineStr">
        <is>
          <t>2</t>
        </is>
      </c>
      <c r="R2388" s="5" t="inlineStr">
        <is>
          <t>6</t>
        </is>
      </c>
      <c r="S2388" s="5" t="inlineStr">
        <is>
          <t>8</t>
        </is>
      </c>
      <c r="T2388" s="5" t="inlineStr">
        <is>
          <t>2</t>
        </is>
      </c>
      <c r="U2388" s="5">
        <f>IFS(C2388&lt;30,"Under 30",C2388&lt;40,"30-39",C2388&lt;50,"40-49",TRUE,"50+")</f>
        <v/>
      </c>
      <c r="V2388" s="5">
        <f>IFS(O2388&lt;60000,"Low (&lt;60k)",O2388&lt;100000,"Mid (60-100k)",TRUE,"High (100k+)")</f>
        <v/>
      </c>
      <c r="W2388" s="5">
        <f>IF(M2388="No","Attrited","Active")</f>
        <v/>
      </c>
    </row>
    <row r="2389">
      <c r="A2389" s="5" t="inlineStr">
        <is>
          <t>E02388</t>
        </is>
      </c>
      <c r="B2389" s="5" t="inlineStr">
        <is>
          <t>Female</t>
        </is>
      </c>
      <c r="C2389" s="6" t="inlineStr">
        <is>
          <t>28</t>
        </is>
      </c>
      <c r="D2389" s="5" t="inlineStr">
        <is>
          <t>Married</t>
        </is>
      </c>
      <c r="E2389" s="5" t="inlineStr">
        <is>
          <t>High School</t>
        </is>
      </c>
      <c r="F2389" s="5" t="inlineStr">
        <is>
          <t>Sales</t>
        </is>
      </c>
      <c r="G2389" s="5" t="inlineStr">
        <is>
          <t>Account Executive</t>
        </is>
      </c>
      <c r="H2389" s="5" t="inlineStr">
        <is>
          <t>2</t>
        </is>
      </c>
      <c r="I2389" s="5" t="inlineStr">
        <is>
          <t>Delhi</t>
        </is>
      </c>
      <c r="J2389" s="5" t="inlineStr">
        <is>
          <t>Part-Time</t>
        </is>
      </c>
      <c r="K2389" s="7" t="n">
        <v>45262</v>
      </c>
      <c r="L2389" s="7" t="inlineStr"/>
      <c r="M2389" s="5" t="inlineStr">
        <is>
          <t>Yes</t>
        </is>
      </c>
      <c r="N2389" s="5" t="inlineStr"/>
      <c r="O2389" s="8" t="inlineStr">
        <is>
          <t>98500</t>
        </is>
      </c>
      <c r="P2389" s="5" t="inlineStr">
        <is>
          <t>0</t>
        </is>
      </c>
      <c r="Q2389" s="5" t="inlineStr">
        <is>
          <t>5</t>
        </is>
      </c>
      <c r="R2389" s="5" t="inlineStr">
        <is>
          <t>5</t>
        </is>
      </c>
      <c r="S2389" s="5" t="inlineStr">
        <is>
          <t>25</t>
        </is>
      </c>
      <c r="T2389" s="5" t="inlineStr">
        <is>
          <t>16</t>
        </is>
      </c>
      <c r="U2389" s="5">
        <f>IFS(C2389&lt;30,"Under 30",C2389&lt;40,"30-39",C2389&lt;50,"40-49",TRUE,"50+")</f>
        <v/>
      </c>
      <c r="V2389" s="5">
        <f>IFS(O2389&lt;60000,"Low (&lt;60k)",O2389&lt;100000,"Mid (60-100k)",TRUE,"High (100k+)")</f>
        <v/>
      </c>
      <c r="W2389" s="5">
        <f>IF(M2389="No","Attrited","Active")</f>
        <v/>
      </c>
    </row>
    <row r="2390">
      <c r="A2390" s="5" t="inlineStr">
        <is>
          <t>E02389</t>
        </is>
      </c>
      <c r="B2390" s="5" t="inlineStr">
        <is>
          <t>Female</t>
        </is>
      </c>
      <c r="C2390" s="6" t="inlineStr">
        <is>
          <t>27</t>
        </is>
      </c>
      <c r="D2390" s="5" t="inlineStr">
        <is>
          <t>Married</t>
        </is>
      </c>
      <c r="E2390" s="5" t="inlineStr">
        <is>
          <t>PhD</t>
        </is>
      </c>
      <c r="F2390" s="5" t="inlineStr">
        <is>
          <t>Operations</t>
        </is>
      </c>
      <c r="G2390" s="5" t="inlineStr">
        <is>
          <t>Operations Analyst</t>
        </is>
      </c>
      <c r="H2390" s="5" t="inlineStr">
        <is>
          <t>3</t>
        </is>
      </c>
      <c r="I2390" s="5" t="inlineStr">
        <is>
          <t>Hyderabad</t>
        </is>
      </c>
      <c r="J2390" s="5" t="inlineStr">
        <is>
          <t>Full-Time</t>
        </is>
      </c>
      <c r="K2390" s="7" t="n">
        <v>45701</v>
      </c>
      <c r="L2390" s="7" t="inlineStr"/>
      <c r="M2390" s="5" t="inlineStr">
        <is>
          <t>Yes</t>
        </is>
      </c>
      <c r="N2390" s="5" t="inlineStr"/>
      <c r="O2390" s="8" t="inlineStr">
        <is>
          <t>91500</t>
        </is>
      </c>
      <c r="P2390" s="5" t="inlineStr">
        <is>
          <t>0</t>
        </is>
      </c>
      <c r="Q2390" s="5" t="inlineStr">
        <is>
          <t>3</t>
        </is>
      </c>
      <c r="R2390" s="5" t="inlineStr">
        <is>
          <t>4</t>
        </is>
      </c>
      <c r="S2390" s="5" t="inlineStr">
        <is>
          <t>10</t>
        </is>
      </c>
      <c r="T2390" s="5" t="inlineStr">
        <is>
          <t>2</t>
        </is>
      </c>
      <c r="U2390" s="5">
        <f>IFS(C2390&lt;30,"Under 30",C2390&lt;40,"30-39",C2390&lt;50,"40-49",TRUE,"50+")</f>
        <v/>
      </c>
      <c r="V2390" s="5">
        <f>IFS(O2390&lt;60000,"Low (&lt;60k)",O2390&lt;100000,"Mid (60-100k)",TRUE,"High (100k+)")</f>
        <v/>
      </c>
      <c r="W2390" s="5">
        <f>IF(M2390="No","Attrited","Active")</f>
        <v/>
      </c>
    </row>
    <row r="2391">
      <c r="A2391" s="5" t="inlineStr">
        <is>
          <t>E02390</t>
        </is>
      </c>
      <c r="B2391" s="5" t="inlineStr">
        <is>
          <t>Female</t>
        </is>
      </c>
      <c r="C2391" s="6" t="inlineStr">
        <is>
          <t>26</t>
        </is>
      </c>
      <c r="D2391" s="5" t="inlineStr">
        <is>
          <t>Married</t>
        </is>
      </c>
      <c r="E2391" s="5" t="inlineStr">
        <is>
          <t>High School</t>
        </is>
      </c>
      <c r="F2391" s="5" t="inlineStr">
        <is>
          <t>IT</t>
        </is>
      </c>
      <c r="G2391" s="5" t="inlineStr">
        <is>
          <t>Data Analyst</t>
        </is>
      </c>
      <c r="H2391" s="5" t="inlineStr">
        <is>
          <t>2</t>
        </is>
      </c>
      <c r="I2391" s="5" t="inlineStr">
        <is>
          <t>Delhi</t>
        </is>
      </c>
      <c r="J2391" s="5" t="inlineStr">
        <is>
          <t>Full-Time</t>
        </is>
      </c>
      <c r="K2391" s="7" t="n">
        <v>45651</v>
      </c>
      <c r="L2391" s="7" t="n">
        <v>45762</v>
      </c>
      <c r="M2391" s="5" t="inlineStr">
        <is>
          <t>No</t>
        </is>
      </c>
      <c r="N2391" s="5" t="inlineStr">
        <is>
          <t>Resigned</t>
        </is>
      </c>
      <c r="O2391" s="8" t="inlineStr">
        <is>
          <t>100000</t>
        </is>
      </c>
      <c r="P2391" s="5" t="inlineStr">
        <is>
          <t>0</t>
        </is>
      </c>
      <c r="Q2391" s="5" t="inlineStr">
        <is>
          <t>4</t>
        </is>
      </c>
      <c r="R2391" s="5" t="inlineStr">
        <is>
          <t>7</t>
        </is>
      </c>
      <c r="S2391" s="5" t="inlineStr">
        <is>
          <t>3</t>
        </is>
      </c>
      <c r="T2391" s="5" t="inlineStr">
        <is>
          <t>10</t>
        </is>
      </c>
      <c r="U2391" s="5">
        <f>IFS(C2391&lt;30,"Under 30",C2391&lt;40,"30-39",C2391&lt;50,"40-49",TRUE,"50+")</f>
        <v/>
      </c>
      <c r="V2391" s="5">
        <f>IFS(O2391&lt;60000,"Low (&lt;60k)",O2391&lt;100000,"Mid (60-100k)",TRUE,"High (100k+)")</f>
        <v/>
      </c>
      <c r="W2391" s="5">
        <f>IF(M2391="No","Attrited","Active")</f>
        <v/>
      </c>
    </row>
    <row r="2392">
      <c r="A2392" s="5" t="inlineStr">
        <is>
          <t>E02391</t>
        </is>
      </c>
      <c r="B2392" s="5" t="inlineStr">
        <is>
          <t>Female</t>
        </is>
      </c>
      <c r="C2392" s="6" t="inlineStr">
        <is>
          <t>27</t>
        </is>
      </c>
      <c r="D2392" s="5" t="inlineStr">
        <is>
          <t>Divorced</t>
        </is>
      </c>
      <c r="E2392" s="5" t="inlineStr">
        <is>
          <t>Bachelor</t>
        </is>
      </c>
      <c r="F2392" s="5" t="inlineStr">
        <is>
          <t>Research &amp; Development</t>
        </is>
      </c>
      <c r="G2392" s="5" t="inlineStr">
        <is>
          <t>Data Scientist</t>
        </is>
      </c>
      <c r="H2392" s="5" t="inlineStr">
        <is>
          <t>2</t>
        </is>
      </c>
      <c r="I2392" s="5" t="inlineStr">
        <is>
          <t>Chennai</t>
        </is>
      </c>
      <c r="J2392" s="5" t="inlineStr">
        <is>
          <t>Full-Time</t>
        </is>
      </c>
      <c r="K2392" s="7" t="n">
        <v>45777</v>
      </c>
      <c r="L2392" s="7" t="inlineStr"/>
      <c r="M2392" s="5" t="inlineStr">
        <is>
          <t>Yes</t>
        </is>
      </c>
      <c r="N2392" s="5" t="inlineStr"/>
      <c r="O2392" s="8" t="inlineStr">
        <is>
          <t>160500</t>
        </is>
      </c>
      <c r="P2392" s="5" t="inlineStr">
        <is>
          <t>5</t>
        </is>
      </c>
      <c r="Q2392" s="5" t="inlineStr">
        <is>
          <t>4</t>
        </is>
      </c>
      <c r="R2392" s="5" t="inlineStr">
        <is>
          <t>6</t>
        </is>
      </c>
      <c r="S2392" s="5" t="inlineStr">
        <is>
          <t>8</t>
        </is>
      </c>
      <c r="T2392" s="5" t="inlineStr">
        <is>
          <t>13</t>
        </is>
      </c>
      <c r="U2392" s="5">
        <f>IFS(C2392&lt;30,"Under 30",C2392&lt;40,"30-39",C2392&lt;50,"40-49",TRUE,"50+")</f>
        <v/>
      </c>
      <c r="V2392" s="5">
        <f>IFS(O2392&lt;60000,"Low (&lt;60k)",O2392&lt;100000,"Mid (60-100k)",TRUE,"High (100k+)")</f>
        <v/>
      </c>
      <c r="W2392" s="5">
        <f>IF(M2392="No","Attrited","Active")</f>
        <v/>
      </c>
    </row>
    <row r="2393">
      <c r="A2393" s="5" t="inlineStr">
        <is>
          <t>E02392</t>
        </is>
      </c>
      <c r="B2393" s="5" t="inlineStr">
        <is>
          <t>Female</t>
        </is>
      </c>
      <c r="C2393" s="6" t="inlineStr">
        <is>
          <t>31</t>
        </is>
      </c>
      <c r="D2393" s="5" t="inlineStr">
        <is>
          <t>Single</t>
        </is>
      </c>
      <c r="E2393" s="5" t="inlineStr">
        <is>
          <t>Bachelor</t>
        </is>
      </c>
      <c r="F2393" s="5" t="inlineStr">
        <is>
          <t>Marketing</t>
        </is>
      </c>
      <c r="G2393" s="5" t="inlineStr">
        <is>
          <t>SEO Specialist</t>
        </is>
      </c>
      <c r="H2393" s="5" t="inlineStr">
        <is>
          <t>3</t>
        </is>
      </c>
      <c r="I2393" s="5" t="inlineStr">
        <is>
          <t>Hyderabad</t>
        </is>
      </c>
      <c r="J2393" s="5" t="inlineStr">
        <is>
          <t>Full-Time</t>
        </is>
      </c>
      <c r="K2393" s="7" t="n">
        <v>45302</v>
      </c>
      <c r="L2393" s="7" t="inlineStr"/>
      <c r="M2393" s="5" t="inlineStr">
        <is>
          <t>Yes</t>
        </is>
      </c>
      <c r="N2393" s="5" t="inlineStr"/>
      <c r="O2393" s="8" t="inlineStr">
        <is>
          <t>110500</t>
        </is>
      </c>
      <c r="P2393" s="5" t="inlineStr">
        <is>
          <t>0</t>
        </is>
      </c>
      <c r="Q2393" s="5" t="inlineStr">
        <is>
          <t>3</t>
        </is>
      </c>
      <c r="R2393" s="5" t="inlineStr">
        <is>
          <t>7</t>
        </is>
      </c>
      <c r="S2393" s="5" t="inlineStr">
        <is>
          <t>24</t>
        </is>
      </c>
      <c r="T2393" s="5" t="inlineStr">
        <is>
          <t>0</t>
        </is>
      </c>
      <c r="U2393" s="5">
        <f>IFS(C2393&lt;30,"Under 30",C2393&lt;40,"30-39",C2393&lt;50,"40-49",TRUE,"50+")</f>
        <v/>
      </c>
      <c r="V2393" s="5">
        <f>IFS(O2393&lt;60000,"Low (&lt;60k)",O2393&lt;100000,"Mid (60-100k)",TRUE,"High (100k+)")</f>
        <v/>
      </c>
      <c r="W2393" s="5">
        <f>IF(M2393="No","Attrited","Active")</f>
        <v/>
      </c>
    </row>
    <row r="2394">
      <c r="A2394" s="5" t="inlineStr">
        <is>
          <t>E02393</t>
        </is>
      </c>
      <c r="B2394" s="5" t="inlineStr">
        <is>
          <t>Female</t>
        </is>
      </c>
      <c r="C2394" s="6" t="inlineStr">
        <is>
          <t>34</t>
        </is>
      </c>
      <c r="D2394" s="5" t="inlineStr">
        <is>
          <t>Divorced</t>
        </is>
      </c>
      <c r="E2394" s="5" t="inlineStr">
        <is>
          <t>PhD</t>
        </is>
      </c>
      <c r="F2394" s="5" t="inlineStr">
        <is>
          <t>Customer Support</t>
        </is>
      </c>
      <c r="G2394" s="5" t="inlineStr">
        <is>
          <t>Support Lead</t>
        </is>
      </c>
      <c r="H2394" s="5" t="inlineStr">
        <is>
          <t>1</t>
        </is>
      </c>
      <c r="I2394" s="5" t="inlineStr">
        <is>
          <t>Bengaluru</t>
        </is>
      </c>
      <c r="J2394" s="5" t="inlineStr">
        <is>
          <t>Full-Time</t>
        </is>
      </c>
      <c r="K2394" s="7" t="n">
        <v>44636</v>
      </c>
      <c r="L2394" s="7" t="n">
        <v>44775</v>
      </c>
      <c r="M2394" s="5" t="inlineStr">
        <is>
          <t>No</t>
        </is>
      </c>
      <c r="N2394" s="5" t="inlineStr">
        <is>
          <t>Relocation</t>
        </is>
      </c>
      <c r="O2394" s="8" t="inlineStr">
        <is>
          <t>54000</t>
        </is>
      </c>
      <c r="P2394" s="5" t="inlineStr">
        <is>
          <t>5</t>
        </is>
      </c>
      <c r="Q2394" s="5" t="inlineStr">
        <is>
          <t>4</t>
        </is>
      </c>
      <c r="R2394" s="5" t="inlineStr">
        <is>
          <t>6</t>
        </is>
      </c>
      <c r="S2394" s="5" t="inlineStr">
        <is>
          <t>4</t>
        </is>
      </c>
      <c r="T2394" s="5" t="inlineStr">
        <is>
          <t>17</t>
        </is>
      </c>
      <c r="U2394" s="5">
        <f>IFS(C2394&lt;30,"Under 30",C2394&lt;40,"30-39",C2394&lt;50,"40-49",TRUE,"50+")</f>
        <v/>
      </c>
      <c r="V2394" s="5">
        <f>IFS(O2394&lt;60000,"Low (&lt;60k)",O2394&lt;100000,"Mid (60-100k)",TRUE,"High (100k+)")</f>
        <v/>
      </c>
      <c r="W2394" s="5">
        <f>IF(M2394="No","Attrited","Active")</f>
        <v/>
      </c>
    </row>
    <row r="2395">
      <c r="A2395" s="5" t="inlineStr">
        <is>
          <t>E02394</t>
        </is>
      </c>
      <c r="B2395" s="5" t="inlineStr">
        <is>
          <t>Female</t>
        </is>
      </c>
      <c r="C2395" s="6" t="inlineStr">
        <is>
          <t>36</t>
        </is>
      </c>
      <c r="D2395" s="5" t="inlineStr">
        <is>
          <t>Married</t>
        </is>
      </c>
      <c r="E2395" s="5" t="inlineStr">
        <is>
          <t>Bachelor</t>
        </is>
      </c>
      <c r="F2395" s="5" t="inlineStr">
        <is>
          <t>Finance</t>
        </is>
      </c>
      <c r="G2395" s="5" t="inlineStr">
        <is>
          <t>Accountant</t>
        </is>
      </c>
      <c r="H2395" s="5" t="inlineStr">
        <is>
          <t>3</t>
        </is>
      </c>
      <c r="I2395" s="5" t="inlineStr">
        <is>
          <t>Mumbai</t>
        </is>
      </c>
      <c r="J2395" s="5" t="inlineStr">
        <is>
          <t>Full-Time</t>
        </is>
      </c>
      <c r="K2395" s="7" t="n">
        <v>45931</v>
      </c>
      <c r="L2395" s="7" t="inlineStr"/>
      <c r="M2395" s="5" t="inlineStr">
        <is>
          <t>Yes</t>
        </is>
      </c>
      <c r="N2395" s="5" t="inlineStr"/>
      <c r="O2395" s="8" t="inlineStr">
        <is>
          <t>116500</t>
        </is>
      </c>
      <c r="P2395" s="5" t="inlineStr">
        <is>
          <t>10</t>
        </is>
      </c>
      <c r="Q2395" s="5" t="inlineStr">
        <is>
          <t>3</t>
        </is>
      </c>
      <c r="R2395" s="5" t="inlineStr">
        <is>
          <t>6</t>
        </is>
      </c>
      <c r="S2395" s="5" t="inlineStr">
        <is>
          <t>3</t>
        </is>
      </c>
      <c r="T2395" s="5" t="inlineStr">
        <is>
          <t>5</t>
        </is>
      </c>
      <c r="U2395" s="5">
        <f>IFS(C2395&lt;30,"Under 30",C2395&lt;40,"30-39",C2395&lt;50,"40-49",TRUE,"50+")</f>
        <v/>
      </c>
      <c r="V2395" s="5">
        <f>IFS(O2395&lt;60000,"Low (&lt;60k)",O2395&lt;100000,"Mid (60-100k)",TRUE,"High (100k+)")</f>
        <v/>
      </c>
      <c r="W2395" s="5">
        <f>IF(M2395="No","Attrited","Active")</f>
        <v/>
      </c>
    </row>
    <row r="2396">
      <c r="A2396" s="5" t="inlineStr">
        <is>
          <t>E02395</t>
        </is>
      </c>
      <c r="B2396" s="5" t="inlineStr">
        <is>
          <t>Female</t>
        </is>
      </c>
      <c r="C2396" s="6" t="inlineStr">
        <is>
          <t>28</t>
        </is>
      </c>
      <c r="D2396" s="5" t="inlineStr">
        <is>
          <t>Divorced</t>
        </is>
      </c>
      <c r="E2396" s="5" t="inlineStr">
        <is>
          <t>Master</t>
        </is>
      </c>
      <c r="F2396" s="5" t="inlineStr">
        <is>
          <t>Finance</t>
        </is>
      </c>
      <c r="G2396" s="5" t="inlineStr">
        <is>
          <t>Accountant</t>
        </is>
      </c>
      <c r="H2396" s="5" t="inlineStr">
        <is>
          <t>3</t>
        </is>
      </c>
      <c r="I2396" s="5" t="inlineStr">
        <is>
          <t>Bengaluru</t>
        </is>
      </c>
      <c r="J2396" s="5" t="inlineStr">
        <is>
          <t>Full-Time</t>
        </is>
      </c>
      <c r="K2396" s="7" t="n">
        <v>43832</v>
      </c>
      <c r="L2396" s="7" t="inlineStr"/>
      <c r="M2396" s="5" t="inlineStr">
        <is>
          <t>Yes</t>
        </is>
      </c>
      <c r="N2396" s="5" t="inlineStr"/>
      <c r="O2396" s="8" t="inlineStr">
        <is>
          <t>99500</t>
        </is>
      </c>
      <c r="P2396" s="5" t="inlineStr">
        <is>
          <t>15</t>
        </is>
      </c>
      <c r="Q2396" s="5" t="inlineStr">
        <is>
          <t>3</t>
        </is>
      </c>
      <c r="R2396" s="5" t="inlineStr">
        <is>
          <t>9</t>
        </is>
      </c>
      <c r="S2396" s="5" t="inlineStr">
        <is>
          <t>73</t>
        </is>
      </c>
      <c r="T2396" s="5" t="inlineStr">
        <is>
          <t>6</t>
        </is>
      </c>
      <c r="U2396" s="5">
        <f>IFS(C2396&lt;30,"Under 30",C2396&lt;40,"30-39",C2396&lt;50,"40-49",TRUE,"50+")</f>
        <v/>
      </c>
      <c r="V2396" s="5">
        <f>IFS(O2396&lt;60000,"Low (&lt;60k)",O2396&lt;100000,"Mid (60-100k)",TRUE,"High (100k+)")</f>
        <v/>
      </c>
      <c r="W2396" s="5">
        <f>IF(M2396="No","Attrited","Active")</f>
        <v/>
      </c>
    </row>
    <row r="2397">
      <c r="A2397" s="5" t="inlineStr">
        <is>
          <t>E02396</t>
        </is>
      </c>
      <c r="B2397" s="5" t="inlineStr">
        <is>
          <t>Female</t>
        </is>
      </c>
      <c r="C2397" s="6" t="inlineStr">
        <is>
          <t>30</t>
        </is>
      </c>
      <c r="D2397" s="5" t="inlineStr">
        <is>
          <t>Single</t>
        </is>
      </c>
      <c r="E2397" s="5" t="inlineStr">
        <is>
          <t>PhD</t>
        </is>
      </c>
      <c r="F2397" s="5" t="inlineStr">
        <is>
          <t>Sales</t>
        </is>
      </c>
      <c r="G2397" s="5" t="inlineStr">
        <is>
          <t>Account Executive</t>
        </is>
      </c>
      <c r="H2397" s="5" t="inlineStr">
        <is>
          <t>3</t>
        </is>
      </c>
      <c r="I2397" s="5" t="inlineStr">
        <is>
          <t>Delhi</t>
        </is>
      </c>
      <c r="J2397" s="5" t="inlineStr">
        <is>
          <t>Full-Time</t>
        </is>
      </c>
      <c r="K2397" s="7" t="n">
        <v>45431</v>
      </c>
      <c r="L2397" s="7" t="inlineStr"/>
      <c r="M2397" s="5" t="inlineStr">
        <is>
          <t>Yes</t>
        </is>
      </c>
      <c r="N2397" s="5" t="inlineStr"/>
      <c r="O2397" s="8" t="inlineStr">
        <is>
          <t>80000</t>
        </is>
      </c>
      <c r="P2397" s="5" t="inlineStr">
        <is>
          <t>5</t>
        </is>
      </c>
      <c r="Q2397" s="5" t="inlineStr">
        <is>
          <t>3</t>
        </is>
      </c>
      <c r="R2397" s="5" t="inlineStr">
        <is>
          <t>2</t>
        </is>
      </c>
      <c r="S2397" s="5" t="inlineStr">
        <is>
          <t>19</t>
        </is>
      </c>
      <c r="T2397" s="5" t="inlineStr">
        <is>
          <t>10</t>
        </is>
      </c>
      <c r="U2397" s="5">
        <f>IFS(C2397&lt;30,"Under 30",C2397&lt;40,"30-39",C2397&lt;50,"40-49",TRUE,"50+")</f>
        <v/>
      </c>
      <c r="V2397" s="5">
        <f>IFS(O2397&lt;60000,"Low (&lt;60k)",O2397&lt;100000,"Mid (60-100k)",TRUE,"High (100k+)")</f>
        <v/>
      </c>
      <c r="W2397" s="5">
        <f>IF(M2397="No","Attrited","Active")</f>
        <v/>
      </c>
    </row>
    <row r="2398">
      <c r="A2398" s="5" t="inlineStr">
        <is>
          <t>E02397</t>
        </is>
      </c>
      <c r="B2398" s="5" t="inlineStr">
        <is>
          <t>Male</t>
        </is>
      </c>
      <c r="C2398" s="6" t="inlineStr">
        <is>
          <t>29</t>
        </is>
      </c>
      <c r="D2398" s="5" t="inlineStr">
        <is>
          <t>Single</t>
        </is>
      </c>
      <c r="E2398" s="5" t="inlineStr">
        <is>
          <t>Bachelor</t>
        </is>
      </c>
      <c r="F2398" s="5" t="inlineStr">
        <is>
          <t>Sales</t>
        </is>
      </c>
      <c r="G2398" s="5" t="inlineStr">
        <is>
          <t>Sales Executive</t>
        </is>
      </c>
      <c r="H2398" s="5" t="inlineStr">
        <is>
          <t>3</t>
        </is>
      </c>
      <c r="I2398" s="5" t="inlineStr">
        <is>
          <t>Chennai</t>
        </is>
      </c>
      <c r="J2398" s="5" t="inlineStr">
        <is>
          <t>Full-Time</t>
        </is>
      </c>
      <c r="K2398" s="7" t="n">
        <v>43842</v>
      </c>
      <c r="L2398" s="7" t="inlineStr"/>
      <c r="M2398" s="5" t="inlineStr">
        <is>
          <t>Yes</t>
        </is>
      </c>
      <c r="N2398" s="5" t="inlineStr"/>
      <c r="O2398" s="8" t="inlineStr">
        <is>
          <t>138000</t>
        </is>
      </c>
      <c r="P2398" s="5" t="inlineStr">
        <is>
          <t>5</t>
        </is>
      </c>
      <c r="Q2398" s="5" t="inlineStr">
        <is>
          <t>4</t>
        </is>
      </c>
      <c r="R2398" s="5" t="inlineStr">
        <is>
          <t>5</t>
        </is>
      </c>
      <c r="S2398" s="5" t="inlineStr">
        <is>
          <t>72</t>
        </is>
      </c>
      <c r="T2398" s="5" t="inlineStr">
        <is>
          <t>10</t>
        </is>
      </c>
      <c r="U2398" s="5">
        <f>IFS(C2398&lt;30,"Under 30",C2398&lt;40,"30-39",C2398&lt;50,"40-49",TRUE,"50+")</f>
        <v/>
      </c>
      <c r="V2398" s="5">
        <f>IFS(O2398&lt;60000,"Low (&lt;60k)",O2398&lt;100000,"Mid (60-100k)",TRUE,"High (100k+)")</f>
        <v/>
      </c>
      <c r="W2398" s="5">
        <f>IF(M2398="No","Attrited","Active")</f>
        <v/>
      </c>
    </row>
    <row r="2399">
      <c r="A2399" s="5" t="inlineStr">
        <is>
          <t>E02398</t>
        </is>
      </c>
      <c r="B2399" s="5" t="inlineStr">
        <is>
          <t>Male</t>
        </is>
      </c>
      <c r="C2399" s="6" t="inlineStr">
        <is>
          <t>30</t>
        </is>
      </c>
      <c r="D2399" s="5" t="inlineStr">
        <is>
          <t>Married</t>
        </is>
      </c>
      <c r="E2399" s="5" t="inlineStr">
        <is>
          <t>PhD</t>
        </is>
      </c>
      <c r="F2399" s="5" t="inlineStr">
        <is>
          <t>Research &amp; Development</t>
        </is>
      </c>
      <c r="G2399" s="5" t="inlineStr">
        <is>
          <t>Product Engineer</t>
        </is>
      </c>
      <c r="H2399" s="5" t="inlineStr">
        <is>
          <t>4</t>
        </is>
      </c>
      <c r="I2399" s="5" t="inlineStr">
        <is>
          <t>Bengaluru</t>
        </is>
      </c>
      <c r="J2399" s="5" t="inlineStr">
        <is>
          <t>Part-Time</t>
        </is>
      </c>
      <c r="K2399" s="7" t="n">
        <v>44547</v>
      </c>
      <c r="L2399" s="7" t="inlineStr"/>
      <c r="M2399" s="5" t="inlineStr">
        <is>
          <t>Yes</t>
        </is>
      </c>
      <c r="N2399" s="5" t="inlineStr"/>
      <c r="O2399" s="8" t="inlineStr">
        <is>
          <t>174500</t>
        </is>
      </c>
      <c r="P2399" s="5" t="inlineStr">
        <is>
          <t>0</t>
        </is>
      </c>
      <c r="Q2399" s="5" t="inlineStr">
        <is>
          <t>3</t>
        </is>
      </c>
      <c r="R2399" s="5" t="inlineStr">
        <is>
          <t>6</t>
        </is>
      </c>
      <c r="S2399" s="5" t="inlineStr">
        <is>
          <t>49</t>
        </is>
      </c>
      <c r="T2399" s="5" t="inlineStr">
        <is>
          <t>15</t>
        </is>
      </c>
      <c r="U2399" s="5">
        <f>IFS(C2399&lt;30,"Under 30",C2399&lt;40,"30-39",C2399&lt;50,"40-49",TRUE,"50+")</f>
        <v/>
      </c>
      <c r="V2399" s="5">
        <f>IFS(O2399&lt;60000,"Low (&lt;60k)",O2399&lt;100000,"Mid (60-100k)",TRUE,"High (100k+)")</f>
        <v/>
      </c>
      <c r="W2399" s="5">
        <f>IF(M2399="No","Attrited","Active")</f>
        <v/>
      </c>
    </row>
    <row r="2400">
      <c r="A2400" s="5" t="inlineStr">
        <is>
          <t>E02399</t>
        </is>
      </c>
      <c r="B2400" s="5" t="inlineStr">
        <is>
          <t>Male</t>
        </is>
      </c>
      <c r="C2400" s="6" t="inlineStr">
        <is>
          <t>38</t>
        </is>
      </c>
      <c r="D2400" s="5" t="inlineStr">
        <is>
          <t>Single</t>
        </is>
      </c>
      <c r="E2400" s="5" t="inlineStr">
        <is>
          <t>High School</t>
        </is>
      </c>
      <c r="F2400" s="5" t="inlineStr">
        <is>
          <t>Research &amp; Development</t>
        </is>
      </c>
      <c r="G2400" s="5" t="inlineStr">
        <is>
          <t>Research Scientist</t>
        </is>
      </c>
      <c r="H2400" s="5" t="inlineStr">
        <is>
          <t>3</t>
        </is>
      </c>
      <c r="I2400" s="5" t="inlineStr">
        <is>
          <t>Bengaluru</t>
        </is>
      </c>
      <c r="J2400" s="5" t="inlineStr">
        <is>
          <t>Part-Time</t>
        </is>
      </c>
      <c r="K2400" s="7" t="n">
        <v>45641</v>
      </c>
      <c r="L2400" s="7" t="inlineStr"/>
      <c r="M2400" s="5" t="inlineStr">
        <is>
          <t>Yes</t>
        </is>
      </c>
      <c r="N2400" s="5" t="inlineStr"/>
      <c r="O2400" s="8" t="inlineStr">
        <is>
          <t>190500</t>
        </is>
      </c>
      <c r="P2400" s="5" t="inlineStr">
        <is>
          <t>10</t>
        </is>
      </c>
      <c r="Q2400" s="5" t="inlineStr">
        <is>
          <t>5</t>
        </is>
      </c>
      <c r="R2400" s="5" t="inlineStr">
        <is>
          <t>7</t>
        </is>
      </c>
      <c r="S2400" s="5" t="inlineStr">
        <is>
          <t>12</t>
        </is>
      </c>
      <c r="T2400" s="5" t="inlineStr">
        <is>
          <t>10</t>
        </is>
      </c>
      <c r="U2400" s="5">
        <f>IFS(C2400&lt;30,"Under 30",C2400&lt;40,"30-39",C2400&lt;50,"40-49",TRUE,"50+")</f>
        <v/>
      </c>
      <c r="V2400" s="5">
        <f>IFS(O2400&lt;60000,"Low (&lt;60k)",O2400&lt;100000,"Mid (60-100k)",TRUE,"High (100k+)")</f>
        <v/>
      </c>
      <c r="W2400" s="5">
        <f>IF(M2400="No","Attrited","Active")</f>
        <v/>
      </c>
    </row>
    <row r="2401">
      <c r="A2401" s="5" t="inlineStr">
        <is>
          <t>E02400</t>
        </is>
      </c>
      <c r="B2401" s="5" t="inlineStr">
        <is>
          <t>Female</t>
        </is>
      </c>
      <c r="C2401" s="6" t="inlineStr">
        <is>
          <t>28</t>
        </is>
      </c>
      <c r="D2401" s="5" t="inlineStr">
        <is>
          <t>Married</t>
        </is>
      </c>
      <c r="E2401" s="5" t="inlineStr">
        <is>
          <t>High School</t>
        </is>
      </c>
      <c r="F2401" s="5" t="inlineStr">
        <is>
          <t>Operations</t>
        </is>
      </c>
      <c r="G2401" s="5" t="inlineStr">
        <is>
          <t>Logistics Coordinator</t>
        </is>
      </c>
      <c r="H2401" s="5" t="inlineStr">
        <is>
          <t>1</t>
        </is>
      </c>
      <c r="I2401" s="5" t="inlineStr">
        <is>
          <t>Delhi</t>
        </is>
      </c>
      <c r="J2401" s="5" t="inlineStr">
        <is>
          <t>Full-Time</t>
        </is>
      </c>
      <c r="K2401" s="7" t="n">
        <v>45987</v>
      </c>
      <c r="L2401" s="7" t="inlineStr"/>
      <c r="M2401" s="5" t="inlineStr">
        <is>
          <t>Yes</t>
        </is>
      </c>
      <c r="N2401" s="5" t="inlineStr"/>
      <c r="O2401" s="8" t="inlineStr">
        <is>
          <t>61500</t>
        </is>
      </c>
      <c r="P2401" s="5" t="inlineStr">
        <is>
          <t>0</t>
        </is>
      </c>
      <c r="Q2401" s="5" t="inlineStr">
        <is>
          <t>5</t>
        </is>
      </c>
      <c r="R2401" s="5" t="inlineStr">
        <is>
          <t>6</t>
        </is>
      </c>
      <c r="S2401" s="5" t="inlineStr">
        <is>
          <t>1</t>
        </is>
      </c>
      <c r="T2401" s="5" t="inlineStr">
        <is>
          <t>10</t>
        </is>
      </c>
      <c r="U2401" s="5">
        <f>IFS(C2401&lt;30,"Under 30",C2401&lt;40,"30-39",C2401&lt;50,"40-49",TRUE,"50+")</f>
        <v/>
      </c>
      <c r="V2401" s="5">
        <f>IFS(O2401&lt;60000,"Low (&lt;60k)",O2401&lt;100000,"Mid (60-100k)",TRUE,"High (100k+)")</f>
        <v/>
      </c>
      <c r="W2401" s="5">
        <f>IF(M2401="No","Attrited","Active")</f>
        <v/>
      </c>
    </row>
    <row r="2402">
      <c r="A2402" s="5" t="inlineStr">
        <is>
          <t>E02401</t>
        </is>
      </c>
      <c r="B2402" s="5" t="inlineStr">
        <is>
          <t>Female</t>
        </is>
      </c>
      <c r="C2402" s="6" t="inlineStr">
        <is>
          <t>33</t>
        </is>
      </c>
      <c r="D2402" s="5" t="inlineStr">
        <is>
          <t>Married</t>
        </is>
      </c>
      <c r="E2402" s="5" t="inlineStr">
        <is>
          <t>High School</t>
        </is>
      </c>
      <c r="F2402" s="5" t="inlineStr">
        <is>
          <t>Research &amp; Development</t>
        </is>
      </c>
      <c r="G2402" s="5" t="inlineStr">
        <is>
          <t>Research Scientist</t>
        </is>
      </c>
      <c r="H2402" s="5" t="inlineStr">
        <is>
          <t>2</t>
        </is>
      </c>
      <c r="I2402" s="5" t="inlineStr">
        <is>
          <t>Bengaluru</t>
        </is>
      </c>
      <c r="J2402" s="5" t="inlineStr">
        <is>
          <t>Full-Time</t>
        </is>
      </c>
      <c r="K2402" s="7" t="n">
        <v>45567</v>
      </c>
      <c r="L2402" s="7" t="inlineStr"/>
      <c r="M2402" s="5" t="inlineStr">
        <is>
          <t>Yes</t>
        </is>
      </c>
      <c r="N2402" s="5" t="inlineStr"/>
      <c r="O2402" s="8" t="inlineStr">
        <is>
          <t>144500</t>
        </is>
      </c>
      <c r="P2402" s="5" t="inlineStr">
        <is>
          <t>0</t>
        </is>
      </c>
      <c r="Q2402" s="5" t="inlineStr">
        <is>
          <t>3</t>
        </is>
      </c>
      <c r="R2402" s="5" t="inlineStr">
        <is>
          <t>6</t>
        </is>
      </c>
      <c r="S2402" s="5" t="inlineStr">
        <is>
          <t>15</t>
        </is>
      </c>
      <c r="T2402" s="5" t="inlineStr">
        <is>
          <t>13</t>
        </is>
      </c>
      <c r="U2402" s="5">
        <f>IFS(C2402&lt;30,"Under 30",C2402&lt;40,"30-39",C2402&lt;50,"40-49",TRUE,"50+")</f>
        <v/>
      </c>
      <c r="V2402" s="5">
        <f>IFS(O2402&lt;60000,"Low (&lt;60k)",O2402&lt;100000,"Mid (60-100k)",TRUE,"High (100k+)")</f>
        <v/>
      </c>
      <c r="W2402" s="5">
        <f>IF(M2402="No","Attrited","Active")</f>
        <v/>
      </c>
    </row>
    <row r="2403">
      <c r="A2403" s="5" t="inlineStr">
        <is>
          <t>E02402</t>
        </is>
      </c>
      <c r="B2403" s="5" t="inlineStr">
        <is>
          <t>Female</t>
        </is>
      </c>
      <c r="C2403" s="6" t="inlineStr">
        <is>
          <t>30</t>
        </is>
      </c>
      <c r="D2403" s="5" t="inlineStr">
        <is>
          <t>Married</t>
        </is>
      </c>
      <c r="E2403" s="5" t="inlineStr">
        <is>
          <t>PhD</t>
        </is>
      </c>
      <c r="F2403" s="5" t="inlineStr">
        <is>
          <t>Customer Support</t>
        </is>
      </c>
      <c r="G2403" s="5" t="inlineStr">
        <is>
          <t>Escalation Specialist</t>
        </is>
      </c>
      <c r="H2403" s="5" t="inlineStr">
        <is>
          <t>4</t>
        </is>
      </c>
      <c r="I2403" s="5" t="inlineStr">
        <is>
          <t>Mumbai</t>
        </is>
      </c>
      <c r="J2403" s="5" t="inlineStr">
        <is>
          <t>Full-Time</t>
        </is>
      </c>
      <c r="K2403" s="7" t="n">
        <v>45924</v>
      </c>
      <c r="L2403" s="7" t="inlineStr"/>
      <c r="M2403" s="5" t="inlineStr">
        <is>
          <t>Yes</t>
        </is>
      </c>
      <c r="N2403" s="5" t="inlineStr"/>
      <c r="O2403" s="8" t="inlineStr">
        <is>
          <t>81000</t>
        </is>
      </c>
      <c r="P2403" s="5" t="inlineStr">
        <is>
          <t>10</t>
        </is>
      </c>
      <c r="Q2403" s="5" t="inlineStr">
        <is>
          <t>5</t>
        </is>
      </c>
      <c r="R2403" s="5" t="inlineStr">
        <is>
          <t>6</t>
        </is>
      </c>
      <c r="S2403" s="5" t="inlineStr">
        <is>
          <t>3</t>
        </is>
      </c>
      <c r="T2403" s="5" t="inlineStr">
        <is>
          <t>0</t>
        </is>
      </c>
      <c r="U2403" s="5">
        <f>IFS(C2403&lt;30,"Under 30",C2403&lt;40,"30-39",C2403&lt;50,"40-49",TRUE,"50+")</f>
        <v/>
      </c>
      <c r="V2403" s="5">
        <f>IFS(O2403&lt;60000,"Low (&lt;60k)",O2403&lt;100000,"Mid (60-100k)",TRUE,"High (100k+)")</f>
        <v/>
      </c>
      <c r="W2403" s="5">
        <f>IF(M2403="No","Attrited","Active")</f>
        <v/>
      </c>
    </row>
    <row r="2404">
      <c r="A2404" s="5" t="inlineStr">
        <is>
          <t>E02403</t>
        </is>
      </c>
      <c r="B2404" s="5" t="inlineStr">
        <is>
          <t>Female</t>
        </is>
      </c>
      <c r="C2404" s="6" t="inlineStr">
        <is>
          <t>29</t>
        </is>
      </c>
      <c r="D2404" s="5" t="inlineStr">
        <is>
          <t>Single</t>
        </is>
      </c>
      <c r="E2404" s="5" t="inlineStr">
        <is>
          <t>PhD</t>
        </is>
      </c>
      <c r="F2404" s="5" t="inlineStr">
        <is>
          <t>Operations</t>
        </is>
      </c>
      <c r="G2404" s="5" t="inlineStr">
        <is>
          <t>Quality Analyst</t>
        </is>
      </c>
      <c r="H2404" s="5" t="inlineStr">
        <is>
          <t>3</t>
        </is>
      </c>
      <c r="I2404" s="5" t="inlineStr">
        <is>
          <t>Bengaluru</t>
        </is>
      </c>
      <c r="J2404" s="5" t="inlineStr">
        <is>
          <t>Full-Time</t>
        </is>
      </c>
      <c r="K2404" s="7" t="n">
        <v>45539</v>
      </c>
      <c r="L2404" s="7" t="inlineStr"/>
      <c r="M2404" s="5" t="inlineStr">
        <is>
          <t>Yes</t>
        </is>
      </c>
      <c r="N2404" s="5" t="inlineStr"/>
      <c r="O2404" s="8" t="inlineStr">
        <is>
          <t>114500</t>
        </is>
      </c>
      <c r="P2404" s="5" t="inlineStr">
        <is>
          <t>10</t>
        </is>
      </c>
      <c r="Q2404" s="5" t="inlineStr">
        <is>
          <t>3</t>
        </is>
      </c>
      <c r="R2404" s="5" t="inlineStr">
        <is>
          <t>4</t>
        </is>
      </c>
      <c r="S2404" s="5" t="inlineStr">
        <is>
          <t>16</t>
        </is>
      </c>
      <c r="T2404" s="5" t="inlineStr">
        <is>
          <t>11</t>
        </is>
      </c>
      <c r="U2404" s="5">
        <f>IFS(C2404&lt;30,"Under 30",C2404&lt;40,"30-39",C2404&lt;50,"40-49",TRUE,"50+")</f>
        <v/>
      </c>
      <c r="V2404" s="5">
        <f>IFS(O2404&lt;60000,"Low (&lt;60k)",O2404&lt;100000,"Mid (60-100k)",TRUE,"High (100k+)")</f>
        <v/>
      </c>
      <c r="W2404" s="5">
        <f>IF(M2404="No","Attrited","Active")</f>
        <v/>
      </c>
    </row>
    <row r="2405">
      <c r="A2405" s="5" t="inlineStr">
        <is>
          <t>E02404</t>
        </is>
      </c>
      <c r="B2405" s="5" t="inlineStr">
        <is>
          <t>Male</t>
        </is>
      </c>
      <c r="C2405" s="6" t="inlineStr">
        <is>
          <t>31</t>
        </is>
      </c>
      <c r="D2405" s="5" t="inlineStr">
        <is>
          <t>Married</t>
        </is>
      </c>
      <c r="E2405" s="5" t="inlineStr">
        <is>
          <t>High School</t>
        </is>
      </c>
      <c r="F2405" s="5" t="inlineStr">
        <is>
          <t>Sales</t>
        </is>
      </c>
      <c r="G2405" s="5" t="inlineStr">
        <is>
          <t>Sales Executive</t>
        </is>
      </c>
      <c r="H2405" s="5" t="inlineStr">
        <is>
          <t>5</t>
        </is>
      </c>
      <c r="I2405" s="5" t="inlineStr">
        <is>
          <t>Bengaluru</t>
        </is>
      </c>
      <c r="J2405" s="5" t="inlineStr">
        <is>
          <t>Full-Time</t>
        </is>
      </c>
      <c r="K2405" s="7" t="n">
        <v>44479</v>
      </c>
      <c r="L2405" s="7" t="inlineStr"/>
      <c r="M2405" s="5" t="inlineStr">
        <is>
          <t>Yes</t>
        </is>
      </c>
      <c r="N2405" s="5" t="inlineStr"/>
      <c r="O2405" s="8" t="inlineStr">
        <is>
          <t>107000</t>
        </is>
      </c>
      <c r="P2405" s="5" t="inlineStr">
        <is>
          <t>0</t>
        </is>
      </c>
      <c r="Q2405" s="5" t="inlineStr">
        <is>
          <t>2</t>
        </is>
      </c>
      <c r="R2405" s="5" t="inlineStr">
        <is>
          <t>4</t>
        </is>
      </c>
      <c r="S2405" s="5" t="inlineStr">
        <is>
          <t>51</t>
        </is>
      </c>
      <c r="T2405" s="5" t="inlineStr">
        <is>
          <t>7</t>
        </is>
      </c>
      <c r="U2405" s="5">
        <f>IFS(C2405&lt;30,"Under 30",C2405&lt;40,"30-39",C2405&lt;50,"40-49",TRUE,"50+")</f>
        <v/>
      </c>
      <c r="V2405" s="5">
        <f>IFS(O2405&lt;60000,"Low (&lt;60k)",O2405&lt;100000,"Mid (60-100k)",TRUE,"High (100k+)")</f>
        <v/>
      </c>
      <c r="W2405" s="5">
        <f>IF(M2405="No","Attrited","Active")</f>
        <v/>
      </c>
    </row>
    <row r="2406">
      <c r="A2406" s="5" t="inlineStr">
        <is>
          <t>E02405</t>
        </is>
      </c>
      <c r="B2406" s="5" t="inlineStr">
        <is>
          <t>Female</t>
        </is>
      </c>
      <c r="C2406" s="6" t="inlineStr">
        <is>
          <t>44</t>
        </is>
      </c>
      <c r="D2406" s="5" t="inlineStr">
        <is>
          <t>Married</t>
        </is>
      </c>
      <c r="E2406" s="5" t="inlineStr">
        <is>
          <t>High School</t>
        </is>
      </c>
      <c r="F2406" s="5" t="inlineStr">
        <is>
          <t>Operations</t>
        </is>
      </c>
      <c r="G2406" s="5" t="inlineStr">
        <is>
          <t>Operations Analyst</t>
        </is>
      </c>
      <c r="H2406" s="5" t="inlineStr">
        <is>
          <t>6</t>
        </is>
      </c>
      <c r="I2406" s="5" t="inlineStr">
        <is>
          <t>Mumbai</t>
        </is>
      </c>
      <c r="J2406" s="5" t="inlineStr">
        <is>
          <t>Full-Time</t>
        </is>
      </c>
      <c r="K2406" s="7" t="n">
        <v>44409</v>
      </c>
      <c r="L2406" s="7" t="inlineStr"/>
      <c r="M2406" s="5" t="inlineStr">
        <is>
          <t>Yes</t>
        </is>
      </c>
      <c r="N2406" s="5" t="inlineStr"/>
      <c r="O2406" s="8" t="inlineStr">
        <is>
          <t>134000</t>
        </is>
      </c>
      <c r="P2406" s="5" t="inlineStr">
        <is>
          <t>0</t>
        </is>
      </c>
      <c r="Q2406" s="5" t="inlineStr">
        <is>
          <t>5</t>
        </is>
      </c>
      <c r="R2406" s="5" t="inlineStr">
        <is>
          <t>5</t>
        </is>
      </c>
      <c r="S2406" s="5" t="inlineStr">
        <is>
          <t>53</t>
        </is>
      </c>
      <c r="T2406" s="5" t="inlineStr">
        <is>
          <t>1</t>
        </is>
      </c>
      <c r="U2406" s="5">
        <f>IFS(C2406&lt;30,"Under 30",C2406&lt;40,"30-39",C2406&lt;50,"40-49",TRUE,"50+")</f>
        <v/>
      </c>
      <c r="V2406" s="5">
        <f>IFS(O2406&lt;60000,"Low (&lt;60k)",O2406&lt;100000,"Mid (60-100k)",TRUE,"High (100k+)")</f>
        <v/>
      </c>
      <c r="W2406" s="5">
        <f>IF(M2406="No","Attrited","Active")</f>
        <v/>
      </c>
    </row>
    <row r="2407">
      <c r="A2407" s="5" t="inlineStr">
        <is>
          <t>E02406</t>
        </is>
      </c>
      <c r="B2407" s="5" t="inlineStr">
        <is>
          <t>Male</t>
        </is>
      </c>
      <c r="C2407" s="6" t="inlineStr">
        <is>
          <t>30</t>
        </is>
      </c>
      <c r="D2407" s="5" t="inlineStr">
        <is>
          <t>Married</t>
        </is>
      </c>
      <c r="E2407" s="5" t="inlineStr">
        <is>
          <t>Bachelor</t>
        </is>
      </c>
      <c r="F2407" s="5" t="inlineStr">
        <is>
          <t>Finance</t>
        </is>
      </c>
      <c r="G2407" s="5" t="inlineStr">
        <is>
          <t>Financial Analyst</t>
        </is>
      </c>
      <c r="H2407" s="5" t="inlineStr">
        <is>
          <t>4</t>
        </is>
      </c>
      <c r="I2407" s="5" t="inlineStr">
        <is>
          <t>Chennai</t>
        </is>
      </c>
      <c r="J2407" s="5" t="inlineStr">
        <is>
          <t>Full-Time</t>
        </is>
      </c>
      <c r="K2407" s="7" t="n">
        <v>45277</v>
      </c>
      <c r="L2407" s="7" t="n">
        <v>45365</v>
      </c>
      <c r="M2407" s="5" t="inlineStr">
        <is>
          <t>No</t>
        </is>
      </c>
      <c r="N2407" s="5" t="inlineStr">
        <is>
          <t>Resigned</t>
        </is>
      </c>
      <c r="O2407" s="8" t="inlineStr">
        <is>
          <t>149500</t>
        </is>
      </c>
      <c r="P2407" s="5" t="inlineStr">
        <is>
          <t>0</t>
        </is>
      </c>
      <c r="Q2407" s="5" t="inlineStr">
        <is>
          <t>4</t>
        </is>
      </c>
      <c r="R2407" s="5" t="inlineStr">
        <is>
          <t>8</t>
        </is>
      </c>
      <c r="S2407" s="5" t="inlineStr">
        <is>
          <t>2</t>
        </is>
      </c>
      <c r="T2407" s="5" t="inlineStr">
        <is>
          <t>4</t>
        </is>
      </c>
      <c r="U2407" s="5">
        <f>IFS(C2407&lt;30,"Under 30",C2407&lt;40,"30-39",C2407&lt;50,"40-49",TRUE,"50+")</f>
        <v/>
      </c>
      <c r="V2407" s="5">
        <f>IFS(O2407&lt;60000,"Low (&lt;60k)",O2407&lt;100000,"Mid (60-100k)",TRUE,"High (100k+)")</f>
        <v/>
      </c>
      <c r="W2407" s="5">
        <f>IF(M2407="No","Attrited","Active")</f>
        <v/>
      </c>
    </row>
    <row r="2408">
      <c r="A2408" s="5" t="inlineStr">
        <is>
          <t>E02407</t>
        </is>
      </c>
      <c r="B2408" s="5" t="inlineStr">
        <is>
          <t>Male</t>
        </is>
      </c>
      <c r="C2408" s="6" t="inlineStr">
        <is>
          <t>31</t>
        </is>
      </c>
      <c r="D2408" s="5" t="inlineStr">
        <is>
          <t>Divorced</t>
        </is>
      </c>
      <c r="E2408" s="5" t="inlineStr">
        <is>
          <t>Diploma</t>
        </is>
      </c>
      <c r="F2408" s="5" t="inlineStr">
        <is>
          <t>IT</t>
        </is>
      </c>
      <c r="G2408" s="5" t="inlineStr">
        <is>
          <t>IT Support</t>
        </is>
      </c>
      <c r="H2408" s="5" t="inlineStr">
        <is>
          <t>5</t>
        </is>
      </c>
      <c r="I2408" s="5" t="inlineStr">
        <is>
          <t>Remote</t>
        </is>
      </c>
      <c r="J2408" s="5" t="inlineStr">
        <is>
          <t>Full-Time</t>
        </is>
      </c>
      <c r="K2408" s="7" t="n">
        <v>44154</v>
      </c>
      <c r="L2408" s="7" t="inlineStr"/>
      <c r="M2408" s="5" t="inlineStr">
        <is>
          <t>Yes</t>
        </is>
      </c>
      <c r="N2408" s="5" t="inlineStr"/>
      <c r="O2408" s="8" t="inlineStr">
        <is>
          <t>195500</t>
        </is>
      </c>
      <c r="P2408" s="5" t="inlineStr">
        <is>
          <t>15</t>
        </is>
      </c>
      <c r="Q2408" s="5" t="inlineStr">
        <is>
          <t>3</t>
        </is>
      </c>
      <c r="R2408" s="5" t="inlineStr">
        <is>
          <t>4</t>
        </is>
      </c>
      <c r="S2408" s="5" t="inlineStr">
        <is>
          <t>62</t>
        </is>
      </c>
      <c r="T2408" s="5" t="inlineStr">
        <is>
          <t>11</t>
        </is>
      </c>
      <c r="U2408" s="5">
        <f>IFS(C2408&lt;30,"Under 30",C2408&lt;40,"30-39",C2408&lt;50,"40-49",TRUE,"50+")</f>
        <v/>
      </c>
      <c r="V2408" s="5">
        <f>IFS(O2408&lt;60000,"Low (&lt;60k)",O2408&lt;100000,"Mid (60-100k)",TRUE,"High (100k+)")</f>
        <v/>
      </c>
      <c r="W2408" s="5">
        <f>IF(M2408="No","Attrited","Active")</f>
        <v/>
      </c>
    </row>
    <row r="2409">
      <c r="A2409" s="5" t="inlineStr">
        <is>
          <t>E02408</t>
        </is>
      </c>
      <c r="B2409" s="5" t="inlineStr">
        <is>
          <t>Female</t>
        </is>
      </c>
      <c r="C2409" s="6" t="inlineStr">
        <is>
          <t>27</t>
        </is>
      </c>
      <c r="D2409" s="5" t="inlineStr">
        <is>
          <t>Married</t>
        </is>
      </c>
      <c r="E2409" s="5" t="inlineStr">
        <is>
          <t>PhD</t>
        </is>
      </c>
      <c r="F2409" s="5" t="inlineStr">
        <is>
          <t>Customer Support</t>
        </is>
      </c>
      <c r="G2409" s="5" t="inlineStr">
        <is>
          <t>Escalation Specialist</t>
        </is>
      </c>
      <c r="H2409" s="5" t="inlineStr">
        <is>
          <t>3</t>
        </is>
      </c>
      <c r="I2409" s="5" t="inlineStr">
        <is>
          <t>Mumbai</t>
        </is>
      </c>
      <c r="J2409" s="5" t="inlineStr">
        <is>
          <t>Full-Time</t>
        </is>
      </c>
      <c r="K2409" s="7" t="n">
        <v>44148</v>
      </c>
      <c r="L2409" s="7" t="inlineStr"/>
      <c r="M2409" s="5" t="inlineStr">
        <is>
          <t>Yes</t>
        </is>
      </c>
      <c r="N2409" s="5" t="inlineStr"/>
      <c r="O2409" s="8" t="inlineStr">
        <is>
          <t>70000</t>
        </is>
      </c>
      <c r="P2409" s="5" t="inlineStr">
        <is>
          <t>5</t>
        </is>
      </c>
      <c r="Q2409" s="5" t="inlineStr">
        <is>
          <t>3</t>
        </is>
      </c>
      <c r="R2409" s="5" t="inlineStr">
        <is>
          <t>7</t>
        </is>
      </c>
      <c r="S2409" s="5" t="inlineStr">
        <is>
          <t>62</t>
        </is>
      </c>
      <c r="T2409" s="5" t="inlineStr">
        <is>
          <t>0</t>
        </is>
      </c>
      <c r="U2409" s="5">
        <f>IFS(C2409&lt;30,"Under 30",C2409&lt;40,"30-39",C2409&lt;50,"40-49",TRUE,"50+")</f>
        <v/>
      </c>
      <c r="V2409" s="5">
        <f>IFS(O2409&lt;60000,"Low (&lt;60k)",O2409&lt;100000,"Mid (60-100k)",TRUE,"High (100k+)")</f>
        <v/>
      </c>
      <c r="W2409" s="5">
        <f>IF(M2409="No","Attrited","Active")</f>
        <v/>
      </c>
    </row>
    <row r="2410">
      <c r="A2410" s="5" t="inlineStr">
        <is>
          <t>E02409</t>
        </is>
      </c>
      <c r="B2410" s="5" t="inlineStr">
        <is>
          <t>Male</t>
        </is>
      </c>
      <c r="C2410" s="6" t="inlineStr">
        <is>
          <t>34</t>
        </is>
      </c>
      <c r="D2410" s="5" t="inlineStr">
        <is>
          <t>Married</t>
        </is>
      </c>
      <c r="E2410" s="5" t="inlineStr">
        <is>
          <t>Master</t>
        </is>
      </c>
      <c r="F2410" s="5" t="inlineStr">
        <is>
          <t>Customer Support</t>
        </is>
      </c>
      <c r="G2410" s="5" t="inlineStr">
        <is>
          <t>Escalation Specialist</t>
        </is>
      </c>
      <c r="H2410" s="5" t="inlineStr">
        <is>
          <t>3</t>
        </is>
      </c>
      <c r="I2410" s="5" t="inlineStr">
        <is>
          <t>Remote</t>
        </is>
      </c>
      <c r="J2410" s="5" t="inlineStr">
        <is>
          <t>Full-Time</t>
        </is>
      </c>
      <c r="K2410" s="7" t="n">
        <v>45169</v>
      </c>
      <c r="L2410" s="7" t="inlineStr"/>
      <c r="M2410" s="5" t="inlineStr">
        <is>
          <t>Yes</t>
        </is>
      </c>
      <c r="N2410" s="5" t="inlineStr"/>
      <c r="O2410" s="8" t="inlineStr">
        <is>
          <t>89500</t>
        </is>
      </c>
      <c r="P2410" s="5" t="inlineStr">
        <is>
          <t>0</t>
        </is>
      </c>
      <c r="Q2410" s="5" t="inlineStr">
        <is>
          <t>5</t>
        </is>
      </c>
      <c r="R2410" s="5" t="inlineStr">
        <is>
          <t>7</t>
        </is>
      </c>
      <c r="S2410" s="5" t="inlineStr">
        <is>
          <t>28</t>
        </is>
      </c>
      <c r="T2410" s="5" t="inlineStr">
        <is>
          <t>0</t>
        </is>
      </c>
      <c r="U2410" s="5">
        <f>IFS(C2410&lt;30,"Under 30",C2410&lt;40,"30-39",C2410&lt;50,"40-49",TRUE,"50+")</f>
        <v/>
      </c>
      <c r="V2410" s="5">
        <f>IFS(O2410&lt;60000,"Low (&lt;60k)",O2410&lt;100000,"Mid (60-100k)",TRUE,"High (100k+)")</f>
        <v/>
      </c>
      <c r="W2410" s="5">
        <f>IF(M2410="No","Attrited","Active")</f>
        <v/>
      </c>
    </row>
    <row r="2411">
      <c r="A2411" s="5" t="inlineStr">
        <is>
          <t>E02410</t>
        </is>
      </c>
      <c r="B2411" s="5" t="inlineStr">
        <is>
          <t>Female</t>
        </is>
      </c>
      <c r="C2411" s="6" t="inlineStr">
        <is>
          <t>39</t>
        </is>
      </c>
      <c r="D2411" s="5" t="inlineStr">
        <is>
          <t>Single</t>
        </is>
      </c>
      <c r="E2411" s="5" t="inlineStr">
        <is>
          <t>PhD</t>
        </is>
      </c>
      <c r="F2411" s="5" t="inlineStr">
        <is>
          <t>IT</t>
        </is>
      </c>
      <c r="G2411" s="5" t="inlineStr">
        <is>
          <t>IT Support</t>
        </is>
      </c>
      <c r="H2411" s="5" t="inlineStr">
        <is>
          <t>5</t>
        </is>
      </c>
      <c r="I2411" s="5" t="inlineStr">
        <is>
          <t>Delhi</t>
        </is>
      </c>
      <c r="J2411" s="5" t="inlineStr">
        <is>
          <t>Part-Time</t>
        </is>
      </c>
      <c r="K2411" s="7" t="n">
        <v>45946</v>
      </c>
      <c r="L2411" s="7" t="inlineStr"/>
      <c r="M2411" s="5" t="inlineStr">
        <is>
          <t>Yes</t>
        </is>
      </c>
      <c r="N2411" s="5" t="inlineStr"/>
      <c r="O2411" s="8" t="inlineStr">
        <is>
          <t>192500</t>
        </is>
      </c>
      <c r="P2411" s="5" t="inlineStr">
        <is>
          <t>0</t>
        </is>
      </c>
      <c r="Q2411" s="5" t="inlineStr">
        <is>
          <t>4</t>
        </is>
      </c>
      <c r="R2411" s="5" t="inlineStr">
        <is>
          <t>7</t>
        </is>
      </c>
      <c r="S2411" s="5" t="inlineStr">
        <is>
          <t>2</t>
        </is>
      </c>
      <c r="T2411" s="5" t="inlineStr">
        <is>
          <t>22</t>
        </is>
      </c>
      <c r="U2411" s="5">
        <f>IFS(C2411&lt;30,"Under 30",C2411&lt;40,"30-39",C2411&lt;50,"40-49",TRUE,"50+")</f>
        <v/>
      </c>
      <c r="V2411" s="5">
        <f>IFS(O2411&lt;60000,"Low (&lt;60k)",O2411&lt;100000,"Mid (60-100k)",TRUE,"High (100k+)")</f>
        <v/>
      </c>
      <c r="W2411" s="5">
        <f>IF(M2411="No","Attrited","Active")</f>
        <v/>
      </c>
    </row>
    <row r="2412">
      <c r="A2412" s="5" t="inlineStr">
        <is>
          <t>E02411</t>
        </is>
      </c>
      <c r="B2412" s="5" t="inlineStr">
        <is>
          <t>Female</t>
        </is>
      </c>
      <c r="C2412" s="6" t="inlineStr">
        <is>
          <t>26</t>
        </is>
      </c>
      <c r="D2412" s="5" t="inlineStr">
        <is>
          <t>Single</t>
        </is>
      </c>
      <c r="E2412" s="5" t="inlineStr">
        <is>
          <t>Master</t>
        </is>
      </c>
      <c r="F2412" s="5" t="inlineStr">
        <is>
          <t>Customer Support</t>
        </is>
      </c>
      <c r="G2412" s="5" t="inlineStr">
        <is>
          <t>Support Lead</t>
        </is>
      </c>
      <c r="H2412" s="5" t="inlineStr">
        <is>
          <t>1</t>
        </is>
      </c>
      <c r="I2412" s="5" t="inlineStr">
        <is>
          <t>Bengaluru</t>
        </is>
      </c>
      <c r="J2412" s="5" t="inlineStr">
        <is>
          <t>Full-Time</t>
        </is>
      </c>
      <c r="K2412" s="7" t="n">
        <v>44939</v>
      </c>
      <c r="L2412" s="7" t="inlineStr"/>
      <c r="M2412" s="5" t="inlineStr">
        <is>
          <t>Yes</t>
        </is>
      </c>
      <c r="N2412" s="5" t="inlineStr"/>
      <c r="O2412" s="8" t="inlineStr">
        <is>
          <t>49000</t>
        </is>
      </c>
      <c r="P2412" s="5" t="inlineStr">
        <is>
          <t>5</t>
        </is>
      </c>
      <c r="Q2412" s="5" t="inlineStr">
        <is>
          <t>5</t>
        </is>
      </c>
      <c r="R2412" s="5" t="inlineStr">
        <is>
          <t>8</t>
        </is>
      </c>
      <c r="S2412" s="5" t="inlineStr">
        <is>
          <t>36</t>
        </is>
      </c>
      <c r="T2412" s="5" t="inlineStr">
        <is>
          <t>4</t>
        </is>
      </c>
      <c r="U2412" s="5">
        <f>IFS(C2412&lt;30,"Under 30",C2412&lt;40,"30-39",C2412&lt;50,"40-49",TRUE,"50+")</f>
        <v/>
      </c>
      <c r="V2412" s="5">
        <f>IFS(O2412&lt;60000,"Low (&lt;60k)",O2412&lt;100000,"Mid (60-100k)",TRUE,"High (100k+)")</f>
        <v/>
      </c>
      <c r="W2412" s="5">
        <f>IF(M2412="No","Attrited","Active")</f>
        <v/>
      </c>
    </row>
    <row r="2413">
      <c r="A2413" s="5" t="inlineStr">
        <is>
          <t>E02412</t>
        </is>
      </c>
      <c r="B2413" s="5" t="inlineStr">
        <is>
          <t>Male</t>
        </is>
      </c>
      <c r="C2413" s="6" t="inlineStr">
        <is>
          <t>44</t>
        </is>
      </c>
      <c r="D2413" s="5" t="inlineStr">
        <is>
          <t>Married</t>
        </is>
      </c>
      <c r="E2413" s="5" t="inlineStr">
        <is>
          <t>High School</t>
        </is>
      </c>
      <c r="F2413" s="5" t="inlineStr">
        <is>
          <t>Finance</t>
        </is>
      </c>
      <c r="G2413" s="5" t="inlineStr">
        <is>
          <t>Financial Analyst</t>
        </is>
      </c>
      <c r="H2413" s="5" t="inlineStr">
        <is>
          <t>6</t>
        </is>
      </c>
      <c r="I2413" s="5" t="inlineStr">
        <is>
          <t>Remote</t>
        </is>
      </c>
      <c r="J2413" s="5" t="inlineStr">
        <is>
          <t>Full-Time</t>
        </is>
      </c>
      <c r="K2413" s="7" t="n">
        <v>44980</v>
      </c>
      <c r="L2413" s="7" t="inlineStr"/>
      <c r="M2413" s="5" t="inlineStr">
        <is>
          <t>Yes</t>
        </is>
      </c>
      <c r="N2413" s="5" t="inlineStr"/>
      <c r="O2413" s="8" t="inlineStr">
        <is>
          <t>137000</t>
        </is>
      </c>
      <c r="P2413" s="5" t="inlineStr">
        <is>
          <t>20</t>
        </is>
      </c>
      <c r="Q2413" s="5" t="inlineStr">
        <is>
          <t>3</t>
        </is>
      </c>
      <c r="R2413" s="5" t="inlineStr">
        <is>
          <t>10</t>
        </is>
      </c>
      <c r="S2413" s="5" t="inlineStr">
        <is>
          <t>34</t>
        </is>
      </c>
      <c r="T2413" s="5" t="inlineStr">
        <is>
          <t>3</t>
        </is>
      </c>
      <c r="U2413" s="5">
        <f>IFS(C2413&lt;30,"Under 30",C2413&lt;40,"30-39",C2413&lt;50,"40-49",TRUE,"50+")</f>
        <v/>
      </c>
      <c r="V2413" s="5">
        <f>IFS(O2413&lt;60000,"Low (&lt;60k)",O2413&lt;100000,"Mid (60-100k)",TRUE,"High (100k+)")</f>
        <v/>
      </c>
      <c r="W2413" s="5">
        <f>IF(M2413="No","Attrited","Active")</f>
        <v/>
      </c>
    </row>
    <row r="2414">
      <c r="A2414" s="5" t="inlineStr">
        <is>
          <t>E02413</t>
        </is>
      </c>
      <c r="B2414" s="5" t="inlineStr">
        <is>
          <t>Female</t>
        </is>
      </c>
      <c r="C2414" s="6" t="inlineStr">
        <is>
          <t>24</t>
        </is>
      </c>
      <c r="D2414" s="5" t="inlineStr">
        <is>
          <t>Married</t>
        </is>
      </c>
      <c r="E2414" s="5" t="inlineStr">
        <is>
          <t>Diploma</t>
        </is>
      </c>
      <c r="F2414" s="5" t="inlineStr">
        <is>
          <t>Customer Support</t>
        </is>
      </c>
      <c r="G2414" s="5" t="inlineStr">
        <is>
          <t>Support Agent</t>
        </is>
      </c>
      <c r="H2414" s="5" t="inlineStr">
        <is>
          <t>1</t>
        </is>
      </c>
      <c r="I2414" s="5" t="inlineStr">
        <is>
          <t>Hyderabad</t>
        </is>
      </c>
      <c r="J2414" s="5" t="inlineStr">
        <is>
          <t>Full-Time</t>
        </is>
      </c>
      <c r="K2414" s="7" t="n">
        <v>45265</v>
      </c>
      <c r="L2414" s="7" t="inlineStr"/>
      <c r="M2414" s="5" t="inlineStr">
        <is>
          <t>Yes</t>
        </is>
      </c>
      <c r="N2414" s="5" t="inlineStr"/>
      <c r="O2414" s="8" t="inlineStr">
        <is>
          <t>64000</t>
        </is>
      </c>
      <c r="P2414" s="5" t="inlineStr">
        <is>
          <t>0</t>
        </is>
      </c>
      <c r="Q2414" s="5" t="inlineStr">
        <is>
          <t>1</t>
        </is>
      </c>
      <c r="R2414" s="5" t="inlineStr">
        <is>
          <t>8</t>
        </is>
      </c>
      <c r="S2414" s="5" t="inlineStr">
        <is>
          <t>25</t>
        </is>
      </c>
      <c r="T2414" s="5" t="inlineStr">
        <is>
          <t>8</t>
        </is>
      </c>
      <c r="U2414" s="5">
        <f>IFS(C2414&lt;30,"Under 30",C2414&lt;40,"30-39",C2414&lt;50,"40-49",TRUE,"50+")</f>
        <v/>
      </c>
      <c r="V2414" s="5">
        <f>IFS(O2414&lt;60000,"Low (&lt;60k)",O2414&lt;100000,"Mid (60-100k)",TRUE,"High (100k+)")</f>
        <v/>
      </c>
      <c r="W2414" s="5">
        <f>IF(M2414="No","Attrited","Active")</f>
        <v/>
      </c>
    </row>
    <row r="2415">
      <c r="A2415" s="5" t="inlineStr">
        <is>
          <t>E02414</t>
        </is>
      </c>
      <c r="B2415" s="5" t="inlineStr">
        <is>
          <t>Male</t>
        </is>
      </c>
      <c r="C2415" s="6" t="inlineStr">
        <is>
          <t>41</t>
        </is>
      </c>
      <c r="D2415" s="5" t="inlineStr">
        <is>
          <t>Single</t>
        </is>
      </c>
      <c r="E2415" s="5" t="inlineStr">
        <is>
          <t>Master</t>
        </is>
      </c>
      <c r="F2415" s="5" t="inlineStr">
        <is>
          <t>Finance</t>
        </is>
      </c>
      <c r="G2415" s="5" t="inlineStr">
        <is>
          <t>Credit Analyst</t>
        </is>
      </c>
      <c r="H2415" s="5" t="inlineStr">
        <is>
          <t>5</t>
        </is>
      </c>
      <c r="I2415" s="5" t="inlineStr">
        <is>
          <t>Hyderabad</t>
        </is>
      </c>
      <c r="J2415" s="5" t="inlineStr">
        <is>
          <t>Full-Time</t>
        </is>
      </c>
      <c r="K2415" s="7" t="n">
        <v>45284</v>
      </c>
      <c r="L2415" s="7" t="inlineStr"/>
      <c r="M2415" s="5" t="inlineStr">
        <is>
          <t>Yes</t>
        </is>
      </c>
      <c r="N2415" s="5" t="inlineStr"/>
      <c r="O2415" s="8" t="inlineStr">
        <is>
          <t>153000</t>
        </is>
      </c>
      <c r="P2415" s="5" t="inlineStr">
        <is>
          <t>10</t>
        </is>
      </c>
      <c r="Q2415" s="5" t="inlineStr">
        <is>
          <t>2</t>
        </is>
      </c>
      <c r="R2415" s="5" t="inlineStr">
        <is>
          <t>7</t>
        </is>
      </c>
      <c r="S2415" s="5" t="inlineStr">
        <is>
          <t>24</t>
        </is>
      </c>
      <c r="T2415" s="5" t="inlineStr">
        <is>
          <t>3</t>
        </is>
      </c>
      <c r="U2415" s="5">
        <f>IFS(C2415&lt;30,"Under 30",C2415&lt;40,"30-39",C2415&lt;50,"40-49",TRUE,"50+")</f>
        <v/>
      </c>
      <c r="V2415" s="5">
        <f>IFS(O2415&lt;60000,"Low (&lt;60k)",O2415&lt;100000,"Mid (60-100k)",TRUE,"High (100k+)")</f>
        <v/>
      </c>
      <c r="W2415" s="5">
        <f>IF(M2415="No","Attrited","Active")</f>
        <v/>
      </c>
    </row>
    <row r="2416">
      <c r="A2416" s="5" t="inlineStr">
        <is>
          <t>E02415</t>
        </is>
      </c>
      <c r="B2416" s="5" t="inlineStr">
        <is>
          <t>Female</t>
        </is>
      </c>
      <c r="C2416" s="6" t="inlineStr">
        <is>
          <t>32</t>
        </is>
      </c>
      <c r="D2416" s="5" t="inlineStr">
        <is>
          <t>Divorced</t>
        </is>
      </c>
      <c r="E2416" s="5" t="inlineStr">
        <is>
          <t>Diploma</t>
        </is>
      </c>
      <c r="F2416" s="5" t="inlineStr">
        <is>
          <t>Sales</t>
        </is>
      </c>
      <c r="G2416" s="5" t="inlineStr">
        <is>
          <t>Business Development</t>
        </is>
      </c>
      <c r="H2416" s="5" t="inlineStr">
        <is>
          <t>2</t>
        </is>
      </c>
      <c r="I2416" s="5" t="inlineStr">
        <is>
          <t>Hyderabad</t>
        </is>
      </c>
      <c r="J2416" s="5" t="inlineStr">
        <is>
          <t>Full-Time</t>
        </is>
      </c>
      <c r="K2416" s="7" t="n">
        <v>45155</v>
      </c>
      <c r="L2416" s="7" t="n">
        <v>45260</v>
      </c>
      <c r="M2416" s="5" t="inlineStr">
        <is>
          <t>No</t>
        </is>
      </c>
      <c r="N2416" s="5" t="inlineStr">
        <is>
          <t>Retirement</t>
        </is>
      </c>
      <c r="O2416" s="8" t="inlineStr">
        <is>
          <t>122500</t>
        </is>
      </c>
      <c r="P2416" s="5" t="inlineStr">
        <is>
          <t>5</t>
        </is>
      </c>
      <c r="Q2416" s="5" t="inlineStr">
        <is>
          <t>4</t>
        </is>
      </c>
      <c r="R2416" s="5" t="inlineStr">
        <is>
          <t>6</t>
        </is>
      </c>
      <c r="S2416" s="5" t="inlineStr">
        <is>
          <t>3</t>
        </is>
      </c>
      <c r="T2416" s="5" t="inlineStr">
        <is>
          <t>8</t>
        </is>
      </c>
      <c r="U2416" s="5">
        <f>IFS(C2416&lt;30,"Under 30",C2416&lt;40,"30-39",C2416&lt;50,"40-49",TRUE,"50+")</f>
        <v/>
      </c>
      <c r="V2416" s="5">
        <f>IFS(O2416&lt;60000,"Low (&lt;60k)",O2416&lt;100000,"Mid (60-100k)",TRUE,"High (100k+)")</f>
        <v/>
      </c>
      <c r="W2416" s="5">
        <f>IF(M2416="No","Attrited","Active")</f>
        <v/>
      </c>
    </row>
    <row r="2417">
      <c r="A2417" s="5" t="inlineStr">
        <is>
          <t>E02416</t>
        </is>
      </c>
      <c r="B2417" s="5" t="inlineStr">
        <is>
          <t>Female</t>
        </is>
      </c>
      <c r="C2417" s="6" t="inlineStr">
        <is>
          <t>35</t>
        </is>
      </c>
      <c r="D2417" s="5" t="inlineStr">
        <is>
          <t>Married</t>
        </is>
      </c>
      <c r="E2417" s="5" t="inlineStr">
        <is>
          <t>Diploma</t>
        </is>
      </c>
      <c r="F2417" s="5" t="inlineStr">
        <is>
          <t>Marketing</t>
        </is>
      </c>
      <c r="G2417" s="5" t="inlineStr">
        <is>
          <t>Content Writer</t>
        </is>
      </c>
      <c r="H2417" s="5" t="inlineStr">
        <is>
          <t>3</t>
        </is>
      </c>
      <c r="I2417" s="5" t="inlineStr">
        <is>
          <t>Remote</t>
        </is>
      </c>
      <c r="J2417" s="5" t="inlineStr">
        <is>
          <t>Full-Time</t>
        </is>
      </c>
      <c r="K2417" s="7" t="n">
        <v>45150</v>
      </c>
      <c r="L2417" s="7" t="inlineStr"/>
      <c r="M2417" s="5" t="inlineStr">
        <is>
          <t>Yes</t>
        </is>
      </c>
      <c r="N2417" s="5" t="inlineStr"/>
      <c r="O2417" s="8" t="inlineStr">
        <is>
          <t>97500</t>
        </is>
      </c>
      <c r="P2417" s="5" t="inlineStr">
        <is>
          <t>0</t>
        </is>
      </c>
      <c r="Q2417" s="5" t="inlineStr">
        <is>
          <t>4</t>
        </is>
      </c>
      <c r="R2417" s="5" t="inlineStr">
        <is>
          <t>5</t>
        </is>
      </c>
      <c r="S2417" s="5" t="inlineStr">
        <is>
          <t>29</t>
        </is>
      </c>
      <c r="T2417" s="5" t="inlineStr">
        <is>
          <t>2</t>
        </is>
      </c>
      <c r="U2417" s="5">
        <f>IFS(C2417&lt;30,"Under 30",C2417&lt;40,"30-39",C2417&lt;50,"40-49",TRUE,"50+")</f>
        <v/>
      </c>
      <c r="V2417" s="5">
        <f>IFS(O2417&lt;60000,"Low (&lt;60k)",O2417&lt;100000,"Mid (60-100k)",TRUE,"High (100k+)")</f>
        <v/>
      </c>
      <c r="W2417" s="5">
        <f>IF(M2417="No","Attrited","Active")</f>
        <v/>
      </c>
    </row>
    <row r="2418">
      <c r="A2418" s="5" t="inlineStr">
        <is>
          <t>E02417</t>
        </is>
      </c>
      <c r="B2418" s="5" t="inlineStr">
        <is>
          <t>Male</t>
        </is>
      </c>
      <c r="C2418" s="6" t="inlineStr">
        <is>
          <t>30</t>
        </is>
      </c>
      <c r="D2418" s="5" t="inlineStr">
        <is>
          <t>Married</t>
        </is>
      </c>
      <c r="E2418" s="5" t="inlineStr">
        <is>
          <t>PhD</t>
        </is>
      </c>
      <c r="F2418" s="5" t="inlineStr">
        <is>
          <t>Human Resources</t>
        </is>
      </c>
      <c r="G2418" s="5" t="inlineStr">
        <is>
          <t>HR Analyst</t>
        </is>
      </c>
      <c r="H2418" s="5" t="inlineStr">
        <is>
          <t>1</t>
        </is>
      </c>
      <c r="I2418" s="5" t="inlineStr">
        <is>
          <t>Chennai</t>
        </is>
      </c>
      <c r="J2418" s="5" t="inlineStr">
        <is>
          <t>Full-Time</t>
        </is>
      </c>
      <c r="K2418" s="7" t="n">
        <v>45761</v>
      </c>
      <c r="L2418" s="7" t="inlineStr"/>
      <c r="M2418" s="5" t="inlineStr">
        <is>
          <t>Yes</t>
        </is>
      </c>
      <c r="N2418" s="5" t="inlineStr"/>
      <c r="O2418" s="8" t="inlineStr">
        <is>
          <t>85000</t>
        </is>
      </c>
      <c r="P2418" s="5" t="inlineStr">
        <is>
          <t>5</t>
        </is>
      </c>
      <c r="Q2418" s="5" t="inlineStr">
        <is>
          <t>4</t>
        </is>
      </c>
      <c r="R2418" s="5" t="inlineStr">
        <is>
          <t>5</t>
        </is>
      </c>
      <c r="S2418" s="5" t="inlineStr">
        <is>
          <t>8</t>
        </is>
      </c>
      <c r="T2418" s="5" t="inlineStr">
        <is>
          <t>9</t>
        </is>
      </c>
      <c r="U2418" s="5">
        <f>IFS(C2418&lt;30,"Under 30",C2418&lt;40,"30-39",C2418&lt;50,"40-49",TRUE,"50+")</f>
        <v/>
      </c>
      <c r="V2418" s="5">
        <f>IFS(O2418&lt;60000,"Low (&lt;60k)",O2418&lt;100000,"Mid (60-100k)",TRUE,"High (100k+)")</f>
        <v/>
      </c>
      <c r="W2418" s="5">
        <f>IF(M2418="No","Attrited","Active")</f>
        <v/>
      </c>
    </row>
    <row r="2419">
      <c r="A2419" s="5" t="inlineStr">
        <is>
          <t>E02418</t>
        </is>
      </c>
      <c r="B2419" s="5" t="inlineStr">
        <is>
          <t>Male</t>
        </is>
      </c>
      <c r="C2419" s="6" t="inlineStr">
        <is>
          <t>31</t>
        </is>
      </c>
      <c r="D2419" s="5" t="inlineStr">
        <is>
          <t>Married</t>
        </is>
      </c>
      <c r="E2419" s="5" t="inlineStr">
        <is>
          <t>PhD</t>
        </is>
      </c>
      <c r="F2419" s="5" t="inlineStr">
        <is>
          <t>Marketing</t>
        </is>
      </c>
      <c r="G2419" s="5" t="inlineStr">
        <is>
          <t>Marketing Analyst</t>
        </is>
      </c>
      <c r="H2419" s="5" t="inlineStr">
        <is>
          <t>2</t>
        </is>
      </c>
      <c r="I2419" s="5" t="inlineStr">
        <is>
          <t>Bengaluru</t>
        </is>
      </c>
      <c r="J2419" s="5" t="inlineStr">
        <is>
          <t>Full-Time</t>
        </is>
      </c>
      <c r="K2419" s="7" t="n">
        <v>43907</v>
      </c>
      <c r="L2419" s="7" t="inlineStr"/>
      <c r="M2419" s="5" t="inlineStr">
        <is>
          <t>Yes</t>
        </is>
      </c>
      <c r="N2419" s="5" t="inlineStr"/>
      <c r="O2419" s="8" t="inlineStr">
        <is>
          <t>67000</t>
        </is>
      </c>
      <c r="P2419" s="5" t="inlineStr">
        <is>
          <t>15</t>
        </is>
      </c>
      <c r="Q2419" s="5" t="inlineStr">
        <is>
          <t>2</t>
        </is>
      </c>
      <c r="R2419" s="5" t="inlineStr">
        <is>
          <t>6</t>
        </is>
      </c>
      <c r="S2419" s="5" t="inlineStr">
        <is>
          <t>70</t>
        </is>
      </c>
      <c r="T2419" s="5" t="inlineStr">
        <is>
          <t>0</t>
        </is>
      </c>
      <c r="U2419" s="5">
        <f>IFS(C2419&lt;30,"Under 30",C2419&lt;40,"30-39",C2419&lt;50,"40-49",TRUE,"50+")</f>
        <v/>
      </c>
      <c r="V2419" s="5">
        <f>IFS(O2419&lt;60000,"Low (&lt;60k)",O2419&lt;100000,"Mid (60-100k)",TRUE,"High (100k+)")</f>
        <v/>
      </c>
      <c r="W2419" s="5">
        <f>IF(M2419="No","Attrited","Active")</f>
        <v/>
      </c>
    </row>
    <row r="2420">
      <c r="A2420" s="5" t="inlineStr">
        <is>
          <t>E02419</t>
        </is>
      </c>
      <c r="B2420" s="5" t="inlineStr">
        <is>
          <t>Male</t>
        </is>
      </c>
      <c r="C2420" s="6" t="inlineStr">
        <is>
          <t>31</t>
        </is>
      </c>
      <c r="D2420" s="5" t="inlineStr">
        <is>
          <t>Married</t>
        </is>
      </c>
      <c r="E2420" s="5" t="inlineStr">
        <is>
          <t>Diploma</t>
        </is>
      </c>
      <c r="F2420" s="5" t="inlineStr">
        <is>
          <t>Research &amp; Development</t>
        </is>
      </c>
      <c r="G2420" s="5" t="inlineStr">
        <is>
          <t>Data Scientist</t>
        </is>
      </c>
      <c r="H2420" s="5" t="inlineStr">
        <is>
          <t>1</t>
        </is>
      </c>
      <c r="I2420" s="5" t="inlineStr">
        <is>
          <t>Delhi</t>
        </is>
      </c>
      <c r="J2420" s="5" t="inlineStr">
        <is>
          <t>Full-Time</t>
        </is>
      </c>
      <c r="K2420" s="7" t="n">
        <v>45267</v>
      </c>
      <c r="L2420" s="7" t="n">
        <v>45355</v>
      </c>
      <c r="M2420" s="5" t="inlineStr">
        <is>
          <t>No</t>
        </is>
      </c>
      <c r="N2420" s="5" t="inlineStr">
        <is>
          <t>Relocation</t>
        </is>
      </c>
      <c r="O2420" s="8" t="inlineStr">
        <is>
          <t>140500</t>
        </is>
      </c>
      <c r="P2420" s="5" t="inlineStr">
        <is>
          <t>0</t>
        </is>
      </c>
      <c r="Q2420" s="5" t="inlineStr">
        <is>
          <t>2</t>
        </is>
      </c>
      <c r="R2420" s="5" t="inlineStr">
        <is>
          <t>7</t>
        </is>
      </c>
      <c r="S2420" s="5" t="inlineStr">
        <is>
          <t>2</t>
        </is>
      </c>
      <c r="T2420" s="5" t="inlineStr">
        <is>
          <t>11</t>
        </is>
      </c>
      <c r="U2420" s="5">
        <f>IFS(C2420&lt;30,"Under 30",C2420&lt;40,"30-39",C2420&lt;50,"40-49",TRUE,"50+")</f>
        <v/>
      </c>
      <c r="V2420" s="5">
        <f>IFS(O2420&lt;60000,"Low (&lt;60k)",O2420&lt;100000,"Mid (60-100k)",TRUE,"High (100k+)")</f>
        <v/>
      </c>
      <c r="W2420" s="5">
        <f>IF(M2420="No","Attrited","Active")</f>
        <v/>
      </c>
    </row>
    <row r="2421">
      <c r="A2421" s="5" t="inlineStr">
        <is>
          <t>E02420</t>
        </is>
      </c>
      <c r="B2421" s="5" t="inlineStr">
        <is>
          <t>Female</t>
        </is>
      </c>
      <c r="C2421" s="6" t="inlineStr">
        <is>
          <t>34</t>
        </is>
      </c>
      <c r="D2421" s="5" t="inlineStr">
        <is>
          <t>Married</t>
        </is>
      </c>
      <c r="E2421" s="5" t="inlineStr">
        <is>
          <t>Master</t>
        </is>
      </c>
      <c r="F2421" s="5" t="inlineStr">
        <is>
          <t>Operations</t>
        </is>
      </c>
      <c r="G2421" s="5" t="inlineStr">
        <is>
          <t>Operations Analyst</t>
        </is>
      </c>
      <c r="H2421" s="5" t="inlineStr">
        <is>
          <t>2</t>
        </is>
      </c>
      <c r="I2421" s="5" t="inlineStr">
        <is>
          <t>Hyderabad</t>
        </is>
      </c>
      <c r="J2421" s="5" t="inlineStr">
        <is>
          <t>Full-Time</t>
        </is>
      </c>
      <c r="K2421" s="7" t="n">
        <v>44501</v>
      </c>
      <c r="L2421" s="7" t="inlineStr"/>
      <c r="M2421" s="5" t="inlineStr">
        <is>
          <t>Yes</t>
        </is>
      </c>
      <c r="N2421" s="5" t="inlineStr"/>
      <c r="O2421" s="8" t="inlineStr">
        <is>
          <t>65500</t>
        </is>
      </c>
      <c r="P2421" s="5" t="inlineStr">
        <is>
          <t>15</t>
        </is>
      </c>
      <c r="Q2421" s="5" t="inlineStr">
        <is>
          <t>5</t>
        </is>
      </c>
      <c r="R2421" s="5" t="inlineStr">
        <is>
          <t>6</t>
        </is>
      </c>
      <c r="S2421" s="5" t="inlineStr">
        <is>
          <t>50</t>
        </is>
      </c>
      <c r="T2421" s="5" t="inlineStr">
        <is>
          <t>13</t>
        </is>
      </c>
      <c r="U2421" s="5">
        <f>IFS(C2421&lt;30,"Under 30",C2421&lt;40,"30-39",C2421&lt;50,"40-49",TRUE,"50+")</f>
        <v/>
      </c>
      <c r="V2421" s="5">
        <f>IFS(O2421&lt;60000,"Low (&lt;60k)",O2421&lt;100000,"Mid (60-100k)",TRUE,"High (100k+)")</f>
        <v/>
      </c>
      <c r="W2421" s="5">
        <f>IF(M2421="No","Attrited","Active")</f>
        <v/>
      </c>
    </row>
    <row r="2422">
      <c r="A2422" s="5" t="inlineStr">
        <is>
          <t>E02421</t>
        </is>
      </c>
      <c r="B2422" s="5" t="inlineStr">
        <is>
          <t>Female</t>
        </is>
      </c>
      <c r="C2422" s="6" t="inlineStr">
        <is>
          <t>31</t>
        </is>
      </c>
      <c r="D2422" s="5" t="inlineStr">
        <is>
          <t>Married</t>
        </is>
      </c>
      <c r="E2422" s="5" t="inlineStr">
        <is>
          <t>Diploma</t>
        </is>
      </c>
      <c r="F2422" s="5" t="inlineStr">
        <is>
          <t>Sales</t>
        </is>
      </c>
      <c r="G2422" s="5" t="inlineStr">
        <is>
          <t>Business Development</t>
        </is>
      </c>
      <c r="H2422" s="5" t="inlineStr">
        <is>
          <t>1</t>
        </is>
      </c>
      <c r="I2422" s="5" t="inlineStr">
        <is>
          <t>Delhi</t>
        </is>
      </c>
      <c r="J2422" s="5" t="inlineStr">
        <is>
          <t>Full-Time</t>
        </is>
      </c>
      <c r="K2422" s="7" t="n">
        <v>44766</v>
      </c>
      <c r="L2422" s="7" t="inlineStr"/>
      <c r="M2422" s="5" t="inlineStr">
        <is>
          <t>Yes</t>
        </is>
      </c>
      <c r="N2422" s="5" t="inlineStr"/>
      <c r="O2422" s="8" t="inlineStr">
        <is>
          <t>76000</t>
        </is>
      </c>
      <c r="P2422" s="5" t="inlineStr">
        <is>
          <t>0</t>
        </is>
      </c>
      <c r="Q2422" s="5" t="inlineStr">
        <is>
          <t>3</t>
        </is>
      </c>
      <c r="R2422" s="5" t="inlineStr">
        <is>
          <t>5</t>
        </is>
      </c>
      <c r="S2422" s="5" t="inlineStr">
        <is>
          <t>41</t>
        </is>
      </c>
      <c r="T2422" s="5" t="inlineStr">
        <is>
          <t>14</t>
        </is>
      </c>
      <c r="U2422" s="5">
        <f>IFS(C2422&lt;30,"Under 30",C2422&lt;40,"30-39",C2422&lt;50,"40-49",TRUE,"50+")</f>
        <v/>
      </c>
      <c r="V2422" s="5">
        <f>IFS(O2422&lt;60000,"Low (&lt;60k)",O2422&lt;100000,"Mid (60-100k)",TRUE,"High (100k+)")</f>
        <v/>
      </c>
      <c r="W2422" s="5">
        <f>IF(M2422="No","Attrited","Active")</f>
        <v/>
      </c>
    </row>
    <row r="2423">
      <c r="A2423" s="5" t="inlineStr">
        <is>
          <t>E02422</t>
        </is>
      </c>
      <c r="B2423" s="5" t="inlineStr">
        <is>
          <t>Male</t>
        </is>
      </c>
      <c r="C2423" s="6" t="inlineStr">
        <is>
          <t>30</t>
        </is>
      </c>
      <c r="D2423" s="5" t="inlineStr">
        <is>
          <t>Married</t>
        </is>
      </c>
      <c r="E2423" s="5" t="inlineStr">
        <is>
          <t>Bachelor</t>
        </is>
      </c>
      <c r="F2423" s="5" t="inlineStr">
        <is>
          <t>Operations</t>
        </is>
      </c>
      <c r="G2423" s="5" t="inlineStr">
        <is>
          <t>Quality Analyst</t>
        </is>
      </c>
      <c r="H2423" s="5" t="inlineStr">
        <is>
          <t>3</t>
        </is>
      </c>
      <c r="I2423" s="5" t="inlineStr">
        <is>
          <t>Remote</t>
        </is>
      </c>
      <c r="J2423" s="5" t="inlineStr">
        <is>
          <t>Full-Time</t>
        </is>
      </c>
      <c r="K2423" s="7" t="n">
        <v>45093</v>
      </c>
      <c r="L2423" s="7" t="inlineStr"/>
      <c r="M2423" s="5" t="inlineStr">
        <is>
          <t>Yes</t>
        </is>
      </c>
      <c r="N2423" s="5" t="inlineStr"/>
      <c r="O2423" s="8" t="inlineStr">
        <is>
          <t>93500</t>
        </is>
      </c>
      <c r="P2423" s="5" t="inlineStr">
        <is>
          <t>20</t>
        </is>
      </c>
      <c r="Q2423" s="5" t="inlineStr">
        <is>
          <t>3</t>
        </is>
      </c>
      <c r="R2423" s="5" t="inlineStr">
        <is>
          <t>5</t>
        </is>
      </c>
      <c r="S2423" s="5" t="inlineStr">
        <is>
          <t>30</t>
        </is>
      </c>
      <c r="T2423" s="5" t="inlineStr">
        <is>
          <t>20</t>
        </is>
      </c>
      <c r="U2423" s="5">
        <f>IFS(C2423&lt;30,"Under 30",C2423&lt;40,"30-39",C2423&lt;50,"40-49",TRUE,"50+")</f>
        <v/>
      </c>
      <c r="V2423" s="5">
        <f>IFS(O2423&lt;60000,"Low (&lt;60k)",O2423&lt;100000,"Mid (60-100k)",TRUE,"High (100k+)")</f>
        <v/>
      </c>
      <c r="W2423" s="5">
        <f>IF(M2423="No","Attrited","Active")</f>
        <v/>
      </c>
    </row>
    <row r="2424">
      <c r="A2424" s="5" t="inlineStr">
        <is>
          <t>E02423</t>
        </is>
      </c>
      <c r="B2424" s="5" t="inlineStr">
        <is>
          <t>Male</t>
        </is>
      </c>
      <c r="C2424" s="6" t="inlineStr">
        <is>
          <t>25</t>
        </is>
      </c>
      <c r="D2424" s="5" t="inlineStr">
        <is>
          <t>Married</t>
        </is>
      </c>
      <c r="E2424" s="5" t="inlineStr">
        <is>
          <t>Diploma</t>
        </is>
      </c>
      <c r="F2424" s="5" t="inlineStr">
        <is>
          <t>IT</t>
        </is>
      </c>
      <c r="G2424" s="5" t="inlineStr">
        <is>
          <t>DevOps Engineer</t>
        </is>
      </c>
      <c r="H2424" s="5" t="inlineStr">
        <is>
          <t>2</t>
        </is>
      </c>
      <c r="I2424" s="5" t="inlineStr">
        <is>
          <t>Delhi</t>
        </is>
      </c>
      <c r="J2424" s="5" t="inlineStr">
        <is>
          <t>Full-Time</t>
        </is>
      </c>
      <c r="K2424" s="7" t="n">
        <v>45526</v>
      </c>
      <c r="L2424" s="7" t="inlineStr"/>
      <c r="M2424" s="5" t="inlineStr">
        <is>
          <t>Yes</t>
        </is>
      </c>
      <c r="N2424" s="5" t="inlineStr"/>
      <c r="O2424" s="8" t="inlineStr">
        <is>
          <t>133000</t>
        </is>
      </c>
      <c r="P2424" s="5" t="inlineStr">
        <is>
          <t>0</t>
        </is>
      </c>
      <c r="Q2424" s="5" t="inlineStr">
        <is>
          <t>4</t>
        </is>
      </c>
      <c r="R2424" s="5" t="inlineStr">
        <is>
          <t>8</t>
        </is>
      </c>
      <c r="S2424" s="5" t="inlineStr">
        <is>
          <t>16</t>
        </is>
      </c>
      <c r="T2424" s="5" t="inlineStr">
        <is>
          <t>1</t>
        </is>
      </c>
      <c r="U2424" s="5">
        <f>IFS(C2424&lt;30,"Under 30",C2424&lt;40,"30-39",C2424&lt;50,"40-49",TRUE,"50+")</f>
        <v/>
      </c>
      <c r="V2424" s="5">
        <f>IFS(O2424&lt;60000,"Low (&lt;60k)",O2424&lt;100000,"Mid (60-100k)",TRUE,"High (100k+)")</f>
        <v/>
      </c>
      <c r="W2424" s="5">
        <f>IF(M2424="No","Attrited","Active")</f>
        <v/>
      </c>
    </row>
    <row r="2425">
      <c r="A2425" s="5" t="inlineStr">
        <is>
          <t>E02424</t>
        </is>
      </c>
      <c r="B2425" s="5" t="inlineStr">
        <is>
          <t>Female</t>
        </is>
      </c>
      <c r="C2425" s="6" t="inlineStr">
        <is>
          <t>30</t>
        </is>
      </c>
      <c r="D2425" s="5" t="inlineStr">
        <is>
          <t>Married</t>
        </is>
      </c>
      <c r="E2425" s="5" t="inlineStr">
        <is>
          <t>High School</t>
        </is>
      </c>
      <c r="F2425" s="5" t="inlineStr">
        <is>
          <t>IT</t>
        </is>
      </c>
      <c r="G2425" s="5" t="inlineStr">
        <is>
          <t>DevOps Engineer</t>
        </is>
      </c>
      <c r="H2425" s="5" t="inlineStr">
        <is>
          <t>2</t>
        </is>
      </c>
      <c r="I2425" s="5" t="inlineStr">
        <is>
          <t>Hyderabad</t>
        </is>
      </c>
      <c r="J2425" s="5" t="inlineStr">
        <is>
          <t>Full-Time</t>
        </is>
      </c>
      <c r="K2425" s="7" t="n">
        <v>43901</v>
      </c>
      <c r="L2425" s="7" t="inlineStr"/>
      <c r="M2425" s="5" t="inlineStr">
        <is>
          <t>Yes</t>
        </is>
      </c>
      <c r="N2425" s="5" t="inlineStr"/>
      <c r="O2425" s="8" t="inlineStr">
        <is>
          <t>103500</t>
        </is>
      </c>
      <c r="P2425" s="5" t="inlineStr">
        <is>
          <t>0</t>
        </is>
      </c>
      <c r="Q2425" s="5" t="inlineStr">
        <is>
          <t>3</t>
        </is>
      </c>
      <c r="R2425" s="5" t="inlineStr">
        <is>
          <t>8</t>
        </is>
      </c>
      <c r="S2425" s="5" t="inlineStr">
        <is>
          <t>70</t>
        </is>
      </c>
      <c r="T2425" s="5" t="inlineStr">
        <is>
          <t>7</t>
        </is>
      </c>
      <c r="U2425" s="5">
        <f>IFS(C2425&lt;30,"Under 30",C2425&lt;40,"30-39",C2425&lt;50,"40-49",TRUE,"50+")</f>
        <v/>
      </c>
      <c r="V2425" s="5">
        <f>IFS(O2425&lt;60000,"Low (&lt;60k)",O2425&lt;100000,"Mid (60-100k)",TRUE,"High (100k+)")</f>
        <v/>
      </c>
      <c r="W2425" s="5">
        <f>IF(M2425="No","Attrited","Active")</f>
        <v/>
      </c>
    </row>
    <row r="2426">
      <c r="A2426" s="5" t="inlineStr">
        <is>
          <t>E02425</t>
        </is>
      </c>
      <c r="B2426" s="5" t="inlineStr">
        <is>
          <t>Male</t>
        </is>
      </c>
      <c r="C2426" s="6" t="inlineStr">
        <is>
          <t>34</t>
        </is>
      </c>
      <c r="D2426" s="5" t="inlineStr">
        <is>
          <t>Single</t>
        </is>
      </c>
      <c r="E2426" s="5" t="inlineStr">
        <is>
          <t>Diploma</t>
        </is>
      </c>
      <c r="F2426" s="5" t="inlineStr">
        <is>
          <t>IT</t>
        </is>
      </c>
      <c r="G2426" s="5" t="inlineStr">
        <is>
          <t>DevOps Engineer</t>
        </is>
      </c>
      <c r="H2426" s="5" t="inlineStr">
        <is>
          <t>2</t>
        </is>
      </c>
      <c r="I2426" s="5" t="inlineStr">
        <is>
          <t>Mumbai</t>
        </is>
      </c>
      <c r="J2426" s="5" t="inlineStr">
        <is>
          <t>Full-Time</t>
        </is>
      </c>
      <c r="K2426" s="7" t="n">
        <v>45343</v>
      </c>
      <c r="L2426" s="7" t="inlineStr"/>
      <c r="M2426" s="5" t="inlineStr">
        <is>
          <t>Yes</t>
        </is>
      </c>
      <c r="N2426" s="5" t="inlineStr"/>
      <c r="O2426" s="8" t="inlineStr">
        <is>
          <t>118500</t>
        </is>
      </c>
      <c r="P2426" s="5" t="inlineStr">
        <is>
          <t>5</t>
        </is>
      </c>
      <c r="Q2426" s="5" t="inlineStr">
        <is>
          <t>3</t>
        </is>
      </c>
      <c r="R2426" s="5" t="inlineStr">
        <is>
          <t>3</t>
        </is>
      </c>
      <c r="S2426" s="5" t="inlineStr">
        <is>
          <t>22</t>
        </is>
      </c>
      <c r="T2426" s="5" t="inlineStr">
        <is>
          <t>0</t>
        </is>
      </c>
      <c r="U2426" s="5">
        <f>IFS(C2426&lt;30,"Under 30",C2426&lt;40,"30-39",C2426&lt;50,"40-49",TRUE,"50+")</f>
        <v/>
      </c>
      <c r="V2426" s="5">
        <f>IFS(O2426&lt;60000,"Low (&lt;60k)",O2426&lt;100000,"Mid (60-100k)",TRUE,"High (100k+)")</f>
        <v/>
      </c>
      <c r="W2426" s="5">
        <f>IF(M2426="No","Attrited","Active")</f>
        <v/>
      </c>
    </row>
    <row r="2427">
      <c r="A2427" s="5" t="inlineStr">
        <is>
          <t>E02426</t>
        </is>
      </c>
      <c r="B2427" s="5" t="inlineStr">
        <is>
          <t>Female</t>
        </is>
      </c>
      <c r="C2427" s="6" t="inlineStr">
        <is>
          <t>35</t>
        </is>
      </c>
      <c r="D2427" s="5" t="inlineStr">
        <is>
          <t>Married</t>
        </is>
      </c>
      <c r="E2427" s="5" t="inlineStr">
        <is>
          <t>Bachelor</t>
        </is>
      </c>
      <c r="F2427" s="5" t="inlineStr">
        <is>
          <t>Sales</t>
        </is>
      </c>
      <c r="G2427" s="5" t="inlineStr">
        <is>
          <t>Sales Executive</t>
        </is>
      </c>
      <c r="H2427" s="5" t="inlineStr">
        <is>
          <t>3</t>
        </is>
      </c>
      <c r="I2427" s="5" t="inlineStr">
        <is>
          <t>Chennai</t>
        </is>
      </c>
      <c r="J2427" s="5" t="inlineStr">
        <is>
          <t>Full-Time</t>
        </is>
      </c>
      <c r="K2427" s="7" t="n">
        <v>44169</v>
      </c>
      <c r="L2427" s="7" t="inlineStr"/>
      <c r="M2427" s="5" t="inlineStr">
        <is>
          <t>Yes</t>
        </is>
      </c>
      <c r="N2427" s="5" t="inlineStr"/>
      <c r="O2427" s="8" t="inlineStr">
        <is>
          <t>129000</t>
        </is>
      </c>
      <c r="P2427" s="5" t="inlineStr">
        <is>
          <t>5</t>
        </is>
      </c>
      <c r="Q2427" s="5" t="inlineStr">
        <is>
          <t>4</t>
        </is>
      </c>
      <c r="R2427" s="5" t="inlineStr">
        <is>
          <t>4</t>
        </is>
      </c>
      <c r="S2427" s="5" t="inlineStr">
        <is>
          <t>61</t>
        </is>
      </c>
      <c r="T2427" s="5" t="inlineStr">
        <is>
          <t>9</t>
        </is>
      </c>
      <c r="U2427" s="5">
        <f>IFS(C2427&lt;30,"Under 30",C2427&lt;40,"30-39",C2427&lt;50,"40-49",TRUE,"50+")</f>
        <v/>
      </c>
      <c r="V2427" s="5">
        <f>IFS(O2427&lt;60000,"Low (&lt;60k)",O2427&lt;100000,"Mid (60-100k)",TRUE,"High (100k+)")</f>
        <v/>
      </c>
      <c r="W2427" s="5">
        <f>IF(M2427="No","Attrited","Active")</f>
        <v/>
      </c>
    </row>
    <row r="2428">
      <c r="A2428" s="5" t="inlineStr">
        <is>
          <t>E02427</t>
        </is>
      </c>
      <c r="B2428" s="5" t="inlineStr">
        <is>
          <t>Male</t>
        </is>
      </c>
      <c r="C2428" s="6" t="inlineStr">
        <is>
          <t>39</t>
        </is>
      </c>
      <c r="D2428" s="5" t="inlineStr">
        <is>
          <t>Married</t>
        </is>
      </c>
      <c r="E2428" s="5" t="inlineStr">
        <is>
          <t>PhD</t>
        </is>
      </c>
      <c r="F2428" s="5" t="inlineStr">
        <is>
          <t>Operations</t>
        </is>
      </c>
      <c r="G2428" s="5" t="inlineStr">
        <is>
          <t>Logistics Coordinator</t>
        </is>
      </c>
      <c r="H2428" s="5" t="inlineStr">
        <is>
          <t>4</t>
        </is>
      </c>
      <c r="I2428" s="5" t="inlineStr">
        <is>
          <t>Delhi</t>
        </is>
      </c>
      <c r="J2428" s="5" t="inlineStr">
        <is>
          <t>Full-Time</t>
        </is>
      </c>
      <c r="K2428" s="7" t="n">
        <v>43959</v>
      </c>
      <c r="L2428" s="7" t="inlineStr"/>
      <c r="M2428" s="5" t="inlineStr">
        <is>
          <t>Yes</t>
        </is>
      </c>
      <c r="N2428" s="5" t="inlineStr"/>
      <c r="O2428" s="8" t="inlineStr">
        <is>
          <t>137000</t>
        </is>
      </c>
      <c r="P2428" s="5" t="inlineStr">
        <is>
          <t>10</t>
        </is>
      </c>
      <c r="Q2428" s="5" t="inlineStr">
        <is>
          <t>4</t>
        </is>
      </c>
      <c r="R2428" s="5" t="inlineStr">
        <is>
          <t>6</t>
        </is>
      </c>
      <c r="S2428" s="5" t="inlineStr">
        <is>
          <t>68</t>
        </is>
      </c>
      <c r="T2428" s="5" t="inlineStr">
        <is>
          <t>6</t>
        </is>
      </c>
      <c r="U2428" s="5">
        <f>IFS(C2428&lt;30,"Under 30",C2428&lt;40,"30-39",C2428&lt;50,"40-49",TRUE,"50+")</f>
        <v/>
      </c>
      <c r="V2428" s="5">
        <f>IFS(O2428&lt;60000,"Low (&lt;60k)",O2428&lt;100000,"Mid (60-100k)",TRUE,"High (100k+)")</f>
        <v/>
      </c>
      <c r="W2428" s="5">
        <f>IF(M2428="No","Attrited","Active")</f>
        <v/>
      </c>
    </row>
    <row r="2429">
      <c r="A2429" s="5" t="inlineStr">
        <is>
          <t>E02428</t>
        </is>
      </c>
      <c r="B2429" s="5" t="inlineStr">
        <is>
          <t>Female</t>
        </is>
      </c>
      <c r="C2429" s="6" t="inlineStr">
        <is>
          <t>29</t>
        </is>
      </c>
      <c r="D2429" s="5" t="inlineStr">
        <is>
          <t>Single</t>
        </is>
      </c>
      <c r="E2429" s="5" t="inlineStr">
        <is>
          <t>High School</t>
        </is>
      </c>
      <c r="F2429" s="5" t="inlineStr">
        <is>
          <t>Operations</t>
        </is>
      </c>
      <c r="G2429" s="5" t="inlineStr">
        <is>
          <t>Quality Analyst</t>
        </is>
      </c>
      <c r="H2429" s="5" t="inlineStr">
        <is>
          <t>3</t>
        </is>
      </c>
      <c r="I2429" s="5" t="inlineStr">
        <is>
          <t>Bengaluru</t>
        </is>
      </c>
      <c r="J2429" s="5" t="inlineStr">
        <is>
          <t>Contract</t>
        </is>
      </c>
      <c r="K2429" s="7" t="n">
        <v>45567</v>
      </c>
      <c r="L2429" s="7" t="inlineStr"/>
      <c r="M2429" s="5" t="inlineStr">
        <is>
          <t>Yes</t>
        </is>
      </c>
      <c r="N2429" s="5" t="inlineStr"/>
      <c r="O2429" s="8" t="inlineStr">
        <is>
          <t>77000</t>
        </is>
      </c>
      <c r="P2429" s="5" t="inlineStr">
        <is>
          <t>10</t>
        </is>
      </c>
      <c r="Q2429" s="5" t="inlineStr">
        <is>
          <t>5</t>
        </is>
      </c>
      <c r="R2429" s="5" t="inlineStr">
        <is>
          <t>6</t>
        </is>
      </c>
      <c r="S2429" s="5" t="inlineStr">
        <is>
          <t>15</t>
        </is>
      </c>
      <c r="T2429" s="5" t="inlineStr">
        <is>
          <t>11</t>
        </is>
      </c>
      <c r="U2429" s="5">
        <f>IFS(C2429&lt;30,"Under 30",C2429&lt;40,"30-39",C2429&lt;50,"40-49",TRUE,"50+")</f>
        <v/>
      </c>
      <c r="V2429" s="5">
        <f>IFS(O2429&lt;60000,"Low (&lt;60k)",O2429&lt;100000,"Mid (60-100k)",TRUE,"High (100k+)")</f>
        <v/>
      </c>
      <c r="W2429" s="5">
        <f>IF(M2429="No","Attrited","Active")</f>
        <v/>
      </c>
    </row>
    <row r="2430">
      <c r="A2430" s="5" t="inlineStr">
        <is>
          <t>E02429</t>
        </is>
      </c>
      <c r="B2430" s="5" t="inlineStr">
        <is>
          <t>Female</t>
        </is>
      </c>
      <c r="C2430" s="6" t="inlineStr">
        <is>
          <t>33</t>
        </is>
      </c>
      <c r="D2430" s="5" t="inlineStr">
        <is>
          <t>Married</t>
        </is>
      </c>
      <c r="E2430" s="5" t="inlineStr">
        <is>
          <t>PhD</t>
        </is>
      </c>
      <c r="F2430" s="5" t="inlineStr">
        <is>
          <t>Marketing</t>
        </is>
      </c>
      <c r="G2430" s="5" t="inlineStr">
        <is>
          <t>SEO Specialist</t>
        </is>
      </c>
      <c r="H2430" s="5" t="inlineStr">
        <is>
          <t>2</t>
        </is>
      </c>
      <c r="I2430" s="5" t="inlineStr">
        <is>
          <t>Bengaluru</t>
        </is>
      </c>
      <c r="J2430" s="5" t="inlineStr">
        <is>
          <t>Full-Time</t>
        </is>
      </c>
      <c r="K2430" s="7" t="n">
        <v>45999</v>
      </c>
      <c r="L2430" s="7" t="inlineStr"/>
      <c r="M2430" s="5" t="inlineStr">
        <is>
          <t>Yes</t>
        </is>
      </c>
      <c r="N2430" s="5" t="inlineStr"/>
      <c r="O2430" s="8" t="inlineStr">
        <is>
          <t>100000</t>
        </is>
      </c>
      <c r="P2430" s="5" t="inlineStr">
        <is>
          <t>10</t>
        </is>
      </c>
      <c r="Q2430" s="5" t="inlineStr">
        <is>
          <t>4</t>
        </is>
      </c>
      <c r="R2430" s="5" t="inlineStr">
        <is>
          <t>4</t>
        </is>
      </c>
      <c r="S2430" s="5" t="inlineStr">
        <is>
          <t>1</t>
        </is>
      </c>
      <c r="T2430" s="5" t="inlineStr">
        <is>
          <t>13</t>
        </is>
      </c>
      <c r="U2430" s="5">
        <f>IFS(C2430&lt;30,"Under 30",C2430&lt;40,"30-39",C2430&lt;50,"40-49",TRUE,"50+")</f>
        <v/>
      </c>
      <c r="V2430" s="5">
        <f>IFS(O2430&lt;60000,"Low (&lt;60k)",O2430&lt;100000,"Mid (60-100k)",TRUE,"High (100k+)")</f>
        <v/>
      </c>
      <c r="W2430" s="5">
        <f>IF(M2430="No","Attrited","Active")</f>
        <v/>
      </c>
    </row>
    <row r="2431">
      <c r="A2431" s="5" t="inlineStr">
        <is>
          <t>E02430</t>
        </is>
      </c>
      <c r="B2431" s="5" t="inlineStr">
        <is>
          <t>Female</t>
        </is>
      </c>
      <c r="C2431" s="6" t="inlineStr">
        <is>
          <t>32</t>
        </is>
      </c>
      <c r="D2431" s="5" t="inlineStr">
        <is>
          <t>Married</t>
        </is>
      </c>
      <c r="E2431" s="5" t="inlineStr">
        <is>
          <t>PhD</t>
        </is>
      </c>
      <c r="F2431" s="5" t="inlineStr">
        <is>
          <t>IT</t>
        </is>
      </c>
      <c r="G2431" s="5" t="inlineStr">
        <is>
          <t>Software Engineer</t>
        </is>
      </c>
      <c r="H2431" s="5" t="inlineStr">
        <is>
          <t>2</t>
        </is>
      </c>
      <c r="I2431" s="5" t="inlineStr">
        <is>
          <t>Remote</t>
        </is>
      </c>
      <c r="J2431" s="5" t="inlineStr">
        <is>
          <t>Full-Time</t>
        </is>
      </c>
      <c r="K2431" s="7" t="n">
        <v>44107</v>
      </c>
      <c r="L2431" s="7" t="inlineStr"/>
      <c r="M2431" s="5" t="inlineStr">
        <is>
          <t>Yes</t>
        </is>
      </c>
      <c r="N2431" s="5" t="inlineStr"/>
      <c r="O2431" s="8" t="inlineStr">
        <is>
          <t>99500</t>
        </is>
      </c>
      <c r="P2431" s="5" t="inlineStr">
        <is>
          <t>0</t>
        </is>
      </c>
      <c r="Q2431" s="5" t="inlineStr">
        <is>
          <t>4</t>
        </is>
      </c>
      <c r="R2431" s="5" t="inlineStr">
        <is>
          <t>8</t>
        </is>
      </c>
      <c r="S2431" s="5" t="inlineStr">
        <is>
          <t>63</t>
        </is>
      </c>
      <c r="T2431" s="5" t="inlineStr">
        <is>
          <t>13</t>
        </is>
      </c>
      <c r="U2431" s="5">
        <f>IFS(C2431&lt;30,"Under 30",C2431&lt;40,"30-39",C2431&lt;50,"40-49",TRUE,"50+")</f>
        <v/>
      </c>
      <c r="V2431" s="5">
        <f>IFS(O2431&lt;60000,"Low (&lt;60k)",O2431&lt;100000,"Mid (60-100k)",TRUE,"High (100k+)")</f>
        <v/>
      </c>
      <c r="W2431" s="5">
        <f>IF(M2431="No","Attrited","Active")</f>
        <v/>
      </c>
    </row>
    <row r="2432">
      <c r="A2432" s="5" t="inlineStr">
        <is>
          <t>E02431</t>
        </is>
      </c>
      <c r="B2432" s="5" t="inlineStr">
        <is>
          <t>Female</t>
        </is>
      </c>
      <c r="C2432" s="6" t="inlineStr">
        <is>
          <t>38</t>
        </is>
      </c>
      <c r="D2432" s="5" t="inlineStr">
        <is>
          <t>Married</t>
        </is>
      </c>
      <c r="E2432" s="5" t="inlineStr">
        <is>
          <t>Master</t>
        </is>
      </c>
      <c r="F2432" s="5" t="inlineStr">
        <is>
          <t>IT</t>
        </is>
      </c>
      <c r="G2432" s="5" t="inlineStr">
        <is>
          <t>Software Engineer</t>
        </is>
      </c>
      <c r="H2432" s="5" t="inlineStr">
        <is>
          <t>4</t>
        </is>
      </c>
      <c r="I2432" s="5" t="inlineStr">
        <is>
          <t>Hyderabad</t>
        </is>
      </c>
      <c r="J2432" s="5" t="inlineStr">
        <is>
          <t>Full-Time</t>
        </is>
      </c>
      <c r="K2432" s="7" t="n">
        <v>45899</v>
      </c>
      <c r="L2432" s="7" t="inlineStr"/>
      <c r="M2432" s="5" t="inlineStr">
        <is>
          <t>Yes</t>
        </is>
      </c>
      <c r="N2432" s="5" t="inlineStr"/>
      <c r="O2432" s="8" t="inlineStr">
        <is>
          <t>165500</t>
        </is>
      </c>
      <c r="P2432" s="5" t="inlineStr">
        <is>
          <t>0</t>
        </is>
      </c>
      <c r="Q2432" s="5" t="inlineStr">
        <is>
          <t>5</t>
        </is>
      </c>
      <c r="R2432" s="5" t="inlineStr">
        <is>
          <t>8</t>
        </is>
      </c>
      <c r="S2432" s="5" t="inlineStr">
        <is>
          <t>4</t>
        </is>
      </c>
      <c r="T2432" s="5" t="inlineStr">
        <is>
          <t>16</t>
        </is>
      </c>
      <c r="U2432" s="5">
        <f>IFS(C2432&lt;30,"Under 30",C2432&lt;40,"30-39",C2432&lt;50,"40-49",TRUE,"50+")</f>
        <v/>
      </c>
      <c r="V2432" s="5">
        <f>IFS(O2432&lt;60000,"Low (&lt;60k)",O2432&lt;100000,"Mid (60-100k)",TRUE,"High (100k+)")</f>
        <v/>
      </c>
      <c r="W2432" s="5">
        <f>IF(M2432="No","Attrited","Active")</f>
        <v/>
      </c>
    </row>
    <row r="2433">
      <c r="A2433" s="5" t="inlineStr">
        <is>
          <t>E02432</t>
        </is>
      </c>
      <c r="B2433" s="5" t="inlineStr">
        <is>
          <t>Female</t>
        </is>
      </c>
      <c r="C2433" s="6" t="inlineStr">
        <is>
          <t>27</t>
        </is>
      </c>
      <c r="D2433" s="5" t="inlineStr">
        <is>
          <t>Single</t>
        </is>
      </c>
      <c r="E2433" s="5" t="inlineStr">
        <is>
          <t>Master</t>
        </is>
      </c>
      <c r="F2433" s="5" t="inlineStr">
        <is>
          <t>Executive</t>
        </is>
      </c>
      <c r="G2433" s="5" t="inlineStr">
        <is>
          <t>CFO</t>
        </is>
      </c>
      <c r="H2433" s="5" t="inlineStr">
        <is>
          <t>2</t>
        </is>
      </c>
      <c r="I2433" s="5" t="inlineStr">
        <is>
          <t>Mumbai</t>
        </is>
      </c>
      <c r="J2433" s="5" t="inlineStr">
        <is>
          <t>Full-Time</t>
        </is>
      </c>
      <c r="K2433" s="7" t="n">
        <v>45787</v>
      </c>
      <c r="L2433" s="7" t="inlineStr"/>
      <c r="M2433" s="5" t="inlineStr">
        <is>
          <t>Yes</t>
        </is>
      </c>
      <c r="N2433" s="5" t="inlineStr"/>
      <c r="O2433" s="8" t="inlineStr">
        <is>
          <t>189500</t>
        </is>
      </c>
      <c r="P2433" s="5" t="inlineStr">
        <is>
          <t>0</t>
        </is>
      </c>
      <c r="Q2433" s="5" t="inlineStr">
        <is>
          <t>3</t>
        </is>
      </c>
      <c r="R2433" s="5" t="inlineStr">
        <is>
          <t>5</t>
        </is>
      </c>
      <c r="S2433" s="5" t="inlineStr">
        <is>
          <t>7</t>
        </is>
      </c>
      <c r="T2433" s="5" t="inlineStr">
        <is>
          <t>4</t>
        </is>
      </c>
      <c r="U2433" s="5">
        <f>IFS(C2433&lt;30,"Under 30",C2433&lt;40,"30-39",C2433&lt;50,"40-49",TRUE,"50+")</f>
        <v/>
      </c>
      <c r="V2433" s="5">
        <f>IFS(O2433&lt;60000,"Low (&lt;60k)",O2433&lt;100000,"Mid (60-100k)",TRUE,"High (100k+)")</f>
        <v/>
      </c>
      <c r="W2433" s="5">
        <f>IF(M2433="No","Attrited","Active")</f>
        <v/>
      </c>
    </row>
    <row r="2434">
      <c r="A2434" s="5" t="inlineStr">
        <is>
          <t>E02433</t>
        </is>
      </c>
      <c r="B2434" s="5" t="inlineStr">
        <is>
          <t>Male</t>
        </is>
      </c>
      <c r="C2434" s="6" t="inlineStr">
        <is>
          <t>30</t>
        </is>
      </c>
      <c r="D2434" s="5" t="inlineStr">
        <is>
          <t>Single</t>
        </is>
      </c>
      <c r="E2434" s="5" t="inlineStr">
        <is>
          <t>Diploma</t>
        </is>
      </c>
      <c r="F2434" s="5" t="inlineStr">
        <is>
          <t>Customer Support</t>
        </is>
      </c>
      <c r="G2434" s="5" t="inlineStr">
        <is>
          <t>Escalation Specialist</t>
        </is>
      </c>
      <c r="H2434" s="5" t="inlineStr">
        <is>
          <t>4</t>
        </is>
      </c>
      <c r="I2434" s="5" t="inlineStr">
        <is>
          <t>Mumbai</t>
        </is>
      </c>
      <c r="J2434" s="5" t="inlineStr">
        <is>
          <t>Full-Time</t>
        </is>
      </c>
      <c r="K2434" s="7" t="n">
        <v>43911</v>
      </c>
      <c r="L2434" s="7" t="n">
        <v>44031</v>
      </c>
      <c r="M2434" s="5" t="inlineStr">
        <is>
          <t>No</t>
        </is>
      </c>
      <c r="N2434" s="5" t="inlineStr">
        <is>
          <t>Layoff</t>
        </is>
      </c>
      <c r="O2434" s="8" t="inlineStr">
        <is>
          <t>83500</t>
        </is>
      </c>
      <c r="P2434" s="5" t="inlineStr">
        <is>
          <t>0</t>
        </is>
      </c>
      <c r="Q2434" s="5" t="inlineStr">
        <is>
          <t>3</t>
        </is>
      </c>
      <c r="R2434" s="5" t="inlineStr">
        <is>
          <t>5</t>
        </is>
      </c>
      <c r="S2434" s="5" t="inlineStr">
        <is>
          <t>4</t>
        </is>
      </c>
      <c r="T2434" s="5" t="inlineStr">
        <is>
          <t>8</t>
        </is>
      </c>
      <c r="U2434" s="5">
        <f>IFS(C2434&lt;30,"Under 30",C2434&lt;40,"30-39",C2434&lt;50,"40-49",TRUE,"50+")</f>
        <v/>
      </c>
      <c r="V2434" s="5">
        <f>IFS(O2434&lt;60000,"Low (&lt;60k)",O2434&lt;100000,"Mid (60-100k)",TRUE,"High (100k+)")</f>
        <v/>
      </c>
      <c r="W2434" s="5">
        <f>IF(M2434="No","Attrited","Active")</f>
        <v/>
      </c>
    </row>
    <row r="2435">
      <c r="A2435" s="5" t="inlineStr">
        <is>
          <t>E02434</t>
        </is>
      </c>
      <c r="B2435" s="5" t="inlineStr">
        <is>
          <t>Male</t>
        </is>
      </c>
      <c r="C2435" s="6" t="inlineStr">
        <is>
          <t>30</t>
        </is>
      </c>
      <c r="D2435" s="5" t="inlineStr">
        <is>
          <t>Single</t>
        </is>
      </c>
      <c r="E2435" s="5" t="inlineStr">
        <is>
          <t>PhD</t>
        </is>
      </c>
      <c r="F2435" s="5" t="inlineStr">
        <is>
          <t>Operations</t>
        </is>
      </c>
      <c r="G2435" s="5" t="inlineStr">
        <is>
          <t>Operations Analyst</t>
        </is>
      </c>
      <c r="H2435" s="5" t="inlineStr">
        <is>
          <t>1</t>
        </is>
      </c>
      <c r="I2435" s="5" t="inlineStr">
        <is>
          <t>Remote</t>
        </is>
      </c>
      <c r="J2435" s="5" t="inlineStr">
        <is>
          <t>Full-Time</t>
        </is>
      </c>
      <c r="K2435" s="7" t="n">
        <v>45288</v>
      </c>
      <c r="L2435" s="7" t="inlineStr"/>
      <c r="M2435" s="5" t="inlineStr">
        <is>
          <t>Yes</t>
        </is>
      </c>
      <c r="N2435" s="5" t="inlineStr"/>
      <c r="O2435" s="8" t="inlineStr">
        <is>
          <t>55500</t>
        </is>
      </c>
      <c r="P2435" s="5" t="inlineStr">
        <is>
          <t>10</t>
        </is>
      </c>
      <c r="Q2435" s="5" t="inlineStr">
        <is>
          <t>1</t>
        </is>
      </c>
      <c r="R2435" s="5" t="inlineStr">
        <is>
          <t>4</t>
        </is>
      </c>
      <c r="S2435" s="5" t="inlineStr">
        <is>
          <t>24</t>
        </is>
      </c>
      <c r="T2435" s="5" t="inlineStr">
        <is>
          <t>4</t>
        </is>
      </c>
      <c r="U2435" s="5">
        <f>IFS(C2435&lt;30,"Under 30",C2435&lt;40,"30-39",C2435&lt;50,"40-49",TRUE,"50+")</f>
        <v/>
      </c>
      <c r="V2435" s="5">
        <f>IFS(O2435&lt;60000,"Low (&lt;60k)",O2435&lt;100000,"Mid (60-100k)",TRUE,"High (100k+)")</f>
        <v/>
      </c>
      <c r="W2435" s="5">
        <f>IF(M2435="No","Attrited","Active")</f>
        <v/>
      </c>
    </row>
    <row r="2436">
      <c r="A2436" s="5" t="inlineStr">
        <is>
          <t>E02435</t>
        </is>
      </c>
      <c r="B2436" s="5" t="inlineStr">
        <is>
          <t>Male</t>
        </is>
      </c>
      <c r="C2436" s="6" t="inlineStr">
        <is>
          <t>36</t>
        </is>
      </c>
      <c r="D2436" s="5" t="inlineStr">
        <is>
          <t>Married</t>
        </is>
      </c>
      <c r="E2436" s="5" t="inlineStr">
        <is>
          <t>High School</t>
        </is>
      </c>
      <c r="F2436" s="5" t="inlineStr">
        <is>
          <t>Human Resources</t>
        </is>
      </c>
      <c r="G2436" s="5" t="inlineStr">
        <is>
          <t>HR Generalist</t>
        </is>
      </c>
      <c r="H2436" s="5" t="inlineStr">
        <is>
          <t>2</t>
        </is>
      </c>
      <c r="I2436" s="5" t="inlineStr">
        <is>
          <t>Hyderabad</t>
        </is>
      </c>
      <c r="J2436" s="5" t="inlineStr">
        <is>
          <t>Full-Time</t>
        </is>
      </c>
      <c r="K2436" s="7" t="n">
        <v>44181</v>
      </c>
      <c r="L2436" s="7" t="inlineStr"/>
      <c r="M2436" s="5" t="inlineStr">
        <is>
          <t>Yes</t>
        </is>
      </c>
      <c r="N2436" s="5" t="inlineStr"/>
      <c r="O2436" s="8" t="inlineStr">
        <is>
          <t>91000</t>
        </is>
      </c>
      <c r="P2436" s="5" t="inlineStr">
        <is>
          <t>5</t>
        </is>
      </c>
      <c r="Q2436" s="5" t="inlineStr">
        <is>
          <t>3</t>
        </is>
      </c>
      <c r="R2436" s="5" t="inlineStr">
        <is>
          <t>7</t>
        </is>
      </c>
      <c r="S2436" s="5" t="inlineStr">
        <is>
          <t>61</t>
        </is>
      </c>
      <c r="T2436" s="5" t="inlineStr">
        <is>
          <t>0</t>
        </is>
      </c>
      <c r="U2436" s="5">
        <f>IFS(C2436&lt;30,"Under 30",C2436&lt;40,"30-39",C2436&lt;50,"40-49",TRUE,"50+")</f>
        <v/>
      </c>
      <c r="V2436" s="5">
        <f>IFS(O2436&lt;60000,"Low (&lt;60k)",O2436&lt;100000,"Mid (60-100k)",TRUE,"High (100k+)")</f>
        <v/>
      </c>
      <c r="W2436" s="5">
        <f>IF(M2436="No","Attrited","Active")</f>
        <v/>
      </c>
    </row>
    <row r="2437">
      <c r="A2437" s="5" t="inlineStr">
        <is>
          <t>E02436</t>
        </is>
      </c>
      <c r="B2437" s="5" t="inlineStr">
        <is>
          <t>Female</t>
        </is>
      </c>
      <c r="C2437" s="6" t="inlineStr">
        <is>
          <t>33</t>
        </is>
      </c>
      <c r="D2437" s="5" t="inlineStr">
        <is>
          <t>Married</t>
        </is>
      </c>
      <c r="E2437" s="5" t="inlineStr">
        <is>
          <t>Diploma</t>
        </is>
      </c>
      <c r="F2437" s="5" t="inlineStr">
        <is>
          <t>Customer Support</t>
        </is>
      </c>
      <c r="G2437" s="5" t="inlineStr">
        <is>
          <t>Support Agent</t>
        </is>
      </c>
      <c r="H2437" s="5" t="inlineStr">
        <is>
          <t>3</t>
        </is>
      </c>
      <c r="I2437" s="5" t="inlineStr">
        <is>
          <t>Mumbai</t>
        </is>
      </c>
      <c r="J2437" s="5" t="inlineStr">
        <is>
          <t>Full-Time</t>
        </is>
      </c>
      <c r="K2437" s="7" t="n">
        <v>44146</v>
      </c>
      <c r="L2437" s="7" t="inlineStr"/>
      <c r="M2437" s="5" t="inlineStr">
        <is>
          <t>Yes</t>
        </is>
      </c>
      <c r="N2437" s="5" t="inlineStr"/>
      <c r="O2437" s="8" t="inlineStr">
        <is>
          <t>79000</t>
        </is>
      </c>
      <c r="P2437" s="5" t="inlineStr">
        <is>
          <t>0</t>
        </is>
      </c>
      <c r="Q2437" s="5" t="inlineStr">
        <is>
          <t>4</t>
        </is>
      </c>
      <c r="R2437" s="5" t="inlineStr">
        <is>
          <t>7</t>
        </is>
      </c>
      <c r="S2437" s="5" t="inlineStr">
        <is>
          <t>62</t>
        </is>
      </c>
      <c r="T2437" s="5" t="inlineStr">
        <is>
          <t>11</t>
        </is>
      </c>
      <c r="U2437" s="5">
        <f>IFS(C2437&lt;30,"Under 30",C2437&lt;40,"30-39",C2437&lt;50,"40-49",TRUE,"50+")</f>
        <v/>
      </c>
      <c r="V2437" s="5">
        <f>IFS(O2437&lt;60000,"Low (&lt;60k)",O2437&lt;100000,"Mid (60-100k)",TRUE,"High (100k+)")</f>
        <v/>
      </c>
      <c r="W2437" s="5">
        <f>IF(M2437="No","Attrited","Active")</f>
        <v/>
      </c>
    </row>
    <row r="2438">
      <c r="A2438" s="5" t="inlineStr">
        <is>
          <t>E02437</t>
        </is>
      </c>
      <c r="B2438" s="5" t="inlineStr">
        <is>
          <t>Female</t>
        </is>
      </c>
      <c r="C2438" s="6" t="inlineStr">
        <is>
          <t>38</t>
        </is>
      </c>
      <c r="D2438" s="5" t="inlineStr">
        <is>
          <t>Married</t>
        </is>
      </c>
      <c r="E2438" s="5" t="inlineStr">
        <is>
          <t>PhD</t>
        </is>
      </c>
      <c r="F2438" s="5" t="inlineStr">
        <is>
          <t>Executive</t>
        </is>
      </c>
      <c r="G2438" s="5" t="inlineStr">
        <is>
          <t>CEO</t>
        </is>
      </c>
      <c r="H2438" s="5" t="inlineStr">
        <is>
          <t>3</t>
        </is>
      </c>
      <c r="I2438" s="5" t="inlineStr">
        <is>
          <t>Remote</t>
        </is>
      </c>
      <c r="J2438" s="5" t="inlineStr">
        <is>
          <t>Full-Time</t>
        </is>
      </c>
      <c r="K2438" s="7" t="n">
        <v>45245</v>
      </c>
      <c r="L2438" s="7" t="inlineStr"/>
      <c r="M2438" s="5" t="inlineStr">
        <is>
          <t>Yes</t>
        </is>
      </c>
      <c r="N2438" s="5" t="inlineStr"/>
      <c r="O2438" s="8" t="inlineStr">
        <is>
          <t>213500</t>
        </is>
      </c>
      <c r="P2438" s="5" t="inlineStr">
        <is>
          <t>5</t>
        </is>
      </c>
      <c r="Q2438" s="5" t="inlineStr">
        <is>
          <t>3</t>
        </is>
      </c>
      <c r="R2438" s="5" t="inlineStr">
        <is>
          <t>4</t>
        </is>
      </c>
      <c r="S2438" s="5" t="inlineStr">
        <is>
          <t>25</t>
        </is>
      </c>
      <c r="T2438" s="5" t="inlineStr">
        <is>
          <t>4</t>
        </is>
      </c>
      <c r="U2438" s="5">
        <f>IFS(C2438&lt;30,"Under 30",C2438&lt;40,"30-39",C2438&lt;50,"40-49",TRUE,"50+")</f>
        <v/>
      </c>
      <c r="V2438" s="5">
        <f>IFS(O2438&lt;60000,"Low (&lt;60k)",O2438&lt;100000,"Mid (60-100k)",TRUE,"High (100k+)")</f>
        <v/>
      </c>
      <c r="W2438" s="5">
        <f>IF(M2438="No","Attrited","Active")</f>
        <v/>
      </c>
    </row>
    <row r="2439">
      <c r="A2439" s="5" t="inlineStr">
        <is>
          <t>E02438</t>
        </is>
      </c>
      <c r="B2439" s="5" t="inlineStr">
        <is>
          <t>Male</t>
        </is>
      </c>
      <c r="C2439" s="6" t="inlineStr">
        <is>
          <t>31</t>
        </is>
      </c>
      <c r="D2439" s="5" t="inlineStr">
        <is>
          <t>Married</t>
        </is>
      </c>
      <c r="E2439" s="5" t="inlineStr">
        <is>
          <t>Master</t>
        </is>
      </c>
      <c r="F2439" s="5" t="inlineStr">
        <is>
          <t>Operations</t>
        </is>
      </c>
      <c r="G2439" s="5" t="inlineStr">
        <is>
          <t>Logistics Coordinator</t>
        </is>
      </c>
      <c r="H2439" s="5" t="inlineStr">
        <is>
          <t>3</t>
        </is>
      </c>
      <c r="I2439" s="5" t="inlineStr">
        <is>
          <t>Delhi</t>
        </is>
      </c>
      <c r="J2439" s="5" t="inlineStr">
        <is>
          <t>Full-Time</t>
        </is>
      </c>
      <c r="K2439" s="7" t="n">
        <v>45083</v>
      </c>
      <c r="L2439" s="7" t="inlineStr"/>
      <c r="M2439" s="5" t="inlineStr">
        <is>
          <t>Yes</t>
        </is>
      </c>
      <c r="N2439" s="5" t="inlineStr"/>
      <c r="O2439" s="8" t="inlineStr">
        <is>
          <t>101500</t>
        </is>
      </c>
      <c r="P2439" s="5" t="inlineStr">
        <is>
          <t>0</t>
        </is>
      </c>
      <c r="Q2439" s="5" t="inlineStr">
        <is>
          <t>3</t>
        </is>
      </c>
      <c r="R2439" s="5" t="inlineStr">
        <is>
          <t>5</t>
        </is>
      </c>
      <c r="S2439" s="5" t="inlineStr">
        <is>
          <t>31</t>
        </is>
      </c>
      <c r="T2439" s="5" t="inlineStr">
        <is>
          <t>19</t>
        </is>
      </c>
      <c r="U2439" s="5">
        <f>IFS(C2439&lt;30,"Under 30",C2439&lt;40,"30-39",C2439&lt;50,"40-49",TRUE,"50+")</f>
        <v/>
      </c>
      <c r="V2439" s="5">
        <f>IFS(O2439&lt;60000,"Low (&lt;60k)",O2439&lt;100000,"Mid (60-100k)",TRUE,"High (100k+)")</f>
        <v/>
      </c>
      <c r="W2439" s="5">
        <f>IF(M2439="No","Attrited","Active")</f>
        <v/>
      </c>
    </row>
    <row r="2440">
      <c r="A2440" s="5" t="inlineStr">
        <is>
          <t>E02439</t>
        </is>
      </c>
      <c r="B2440" s="5" t="inlineStr">
        <is>
          <t>Female</t>
        </is>
      </c>
      <c r="C2440" s="6" t="inlineStr">
        <is>
          <t>35</t>
        </is>
      </c>
      <c r="D2440" s="5" t="inlineStr">
        <is>
          <t>Married</t>
        </is>
      </c>
      <c r="E2440" s="5" t="inlineStr">
        <is>
          <t>Bachelor</t>
        </is>
      </c>
      <c r="F2440" s="5" t="inlineStr">
        <is>
          <t>IT</t>
        </is>
      </c>
      <c r="G2440" s="5" t="inlineStr">
        <is>
          <t>Software Engineer</t>
        </is>
      </c>
      <c r="H2440" s="5" t="inlineStr">
        <is>
          <t>3</t>
        </is>
      </c>
      <c r="I2440" s="5" t="inlineStr">
        <is>
          <t>Hyderabad</t>
        </is>
      </c>
      <c r="J2440" s="5" t="inlineStr">
        <is>
          <t>Full-Time</t>
        </is>
      </c>
      <c r="K2440" s="7" t="n">
        <v>44021</v>
      </c>
      <c r="L2440" s="7" t="inlineStr"/>
      <c r="M2440" s="5" t="inlineStr">
        <is>
          <t>Yes</t>
        </is>
      </c>
      <c r="N2440" s="5" t="inlineStr"/>
      <c r="O2440" s="8" t="inlineStr">
        <is>
          <t>110500</t>
        </is>
      </c>
      <c r="P2440" s="5" t="inlineStr">
        <is>
          <t>0</t>
        </is>
      </c>
      <c r="Q2440" s="5" t="inlineStr">
        <is>
          <t>3</t>
        </is>
      </c>
      <c r="R2440" s="5" t="inlineStr">
        <is>
          <t>6</t>
        </is>
      </c>
      <c r="S2440" s="5" t="inlineStr">
        <is>
          <t>66</t>
        </is>
      </c>
      <c r="T2440" s="5" t="inlineStr">
        <is>
          <t>0</t>
        </is>
      </c>
      <c r="U2440" s="5">
        <f>IFS(C2440&lt;30,"Under 30",C2440&lt;40,"30-39",C2440&lt;50,"40-49",TRUE,"50+")</f>
        <v/>
      </c>
      <c r="V2440" s="5">
        <f>IFS(O2440&lt;60000,"Low (&lt;60k)",O2440&lt;100000,"Mid (60-100k)",TRUE,"High (100k+)")</f>
        <v/>
      </c>
      <c r="W2440" s="5">
        <f>IF(M2440="No","Attrited","Active")</f>
        <v/>
      </c>
    </row>
    <row r="2441">
      <c r="A2441" s="5" t="inlineStr">
        <is>
          <t>E02440</t>
        </is>
      </c>
      <c r="B2441" s="5" t="inlineStr">
        <is>
          <t>Male</t>
        </is>
      </c>
      <c r="C2441" s="6" t="inlineStr">
        <is>
          <t>38</t>
        </is>
      </c>
      <c r="D2441" s="5" t="inlineStr">
        <is>
          <t>Single</t>
        </is>
      </c>
      <c r="E2441" s="5" t="inlineStr">
        <is>
          <t>Diploma</t>
        </is>
      </c>
      <c r="F2441" s="5" t="inlineStr">
        <is>
          <t>Human Resources</t>
        </is>
      </c>
      <c r="G2441" s="5" t="inlineStr">
        <is>
          <t>Recruiter</t>
        </is>
      </c>
      <c r="H2441" s="5" t="inlineStr">
        <is>
          <t>3</t>
        </is>
      </c>
      <c r="I2441" s="5" t="inlineStr">
        <is>
          <t>Delhi</t>
        </is>
      </c>
      <c r="J2441" s="5" t="inlineStr">
        <is>
          <t>Full-Time</t>
        </is>
      </c>
      <c r="K2441" s="7" t="n">
        <v>44151</v>
      </c>
      <c r="L2441" s="7" t="inlineStr"/>
      <c r="M2441" s="5" t="inlineStr">
        <is>
          <t>Yes</t>
        </is>
      </c>
      <c r="N2441" s="5" t="inlineStr"/>
      <c r="O2441" s="8" t="inlineStr">
        <is>
          <t>122500</t>
        </is>
      </c>
      <c r="P2441" s="5" t="inlineStr">
        <is>
          <t>0</t>
        </is>
      </c>
      <c r="Q2441" s="5" t="inlineStr">
        <is>
          <t>4</t>
        </is>
      </c>
      <c r="R2441" s="5" t="inlineStr">
        <is>
          <t>8</t>
        </is>
      </c>
      <c r="S2441" s="5" t="inlineStr">
        <is>
          <t>62</t>
        </is>
      </c>
      <c r="T2441" s="5" t="inlineStr">
        <is>
          <t>4</t>
        </is>
      </c>
      <c r="U2441" s="5">
        <f>IFS(C2441&lt;30,"Under 30",C2441&lt;40,"30-39",C2441&lt;50,"40-49",TRUE,"50+")</f>
        <v/>
      </c>
      <c r="V2441" s="5">
        <f>IFS(O2441&lt;60000,"Low (&lt;60k)",O2441&lt;100000,"Mid (60-100k)",TRUE,"High (100k+)")</f>
        <v/>
      </c>
      <c r="W2441" s="5">
        <f>IF(M2441="No","Attrited","Active")</f>
        <v/>
      </c>
    </row>
    <row r="2442">
      <c r="A2442" s="5" t="inlineStr">
        <is>
          <t>E02441</t>
        </is>
      </c>
      <c r="B2442" s="5" t="inlineStr">
        <is>
          <t>Male</t>
        </is>
      </c>
      <c r="C2442" s="6" t="inlineStr">
        <is>
          <t>36</t>
        </is>
      </c>
      <c r="D2442" s="5" t="inlineStr">
        <is>
          <t>Married</t>
        </is>
      </c>
      <c r="E2442" s="5" t="inlineStr">
        <is>
          <t>Master</t>
        </is>
      </c>
      <c r="F2442" s="5" t="inlineStr">
        <is>
          <t>Operations</t>
        </is>
      </c>
      <c r="G2442" s="5" t="inlineStr">
        <is>
          <t>Operations Analyst</t>
        </is>
      </c>
      <c r="H2442" s="5" t="inlineStr">
        <is>
          <t>3</t>
        </is>
      </c>
      <c r="I2442" s="5" t="inlineStr">
        <is>
          <t>Hyderabad</t>
        </is>
      </c>
      <c r="J2442" s="5" t="inlineStr">
        <is>
          <t>Full-Time</t>
        </is>
      </c>
      <c r="K2442" s="7" t="n">
        <v>45047</v>
      </c>
      <c r="L2442" s="7" t="inlineStr"/>
      <c r="M2442" s="5" t="inlineStr">
        <is>
          <t>Yes</t>
        </is>
      </c>
      <c r="N2442" s="5" t="inlineStr"/>
      <c r="O2442" s="8" t="inlineStr">
        <is>
          <t>78000</t>
        </is>
      </c>
      <c r="P2442" s="5" t="inlineStr">
        <is>
          <t>5</t>
        </is>
      </c>
      <c r="Q2442" s="5" t="inlineStr">
        <is>
          <t>2</t>
        </is>
      </c>
      <c r="R2442" s="5" t="inlineStr">
        <is>
          <t>6</t>
        </is>
      </c>
      <c r="S2442" s="5" t="inlineStr">
        <is>
          <t>32</t>
        </is>
      </c>
      <c r="T2442" s="5" t="inlineStr">
        <is>
          <t>5</t>
        </is>
      </c>
      <c r="U2442" s="5">
        <f>IFS(C2442&lt;30,"Under 30",C2442&lt;40,"30-39",C2442&lt;50,"40-49",TRUE,"50+")</f>
        <v/>
      </c>
      <c r="V2442" s="5">
        <f>IFS(O2442&lt;60000,"Low (&lt;60k)",O2442&lt;100000,"Mid (60-100k)",TRUE,"High (100k+)")</f>
        <v/>
      </c>
      <c r="W2442" s="5">
        <f>IF(M2442="No","Attrited","Active")</f>
        <v/>
      </c>
    </row>
    <row r="2443">
      <c r="A2443" s="5" t="inlineStr">
        <is>
          <t>E02442</t>
        </is>
      </c>
      <c r="B2443" s="5" t="inlineStr">
        <is>
          <t>Male</t>
        </is>
      </c>
      <c r="C2443" s="6" t="inlineStr">
        <is>
          <t>31</t>
        </is>
      </c>
      <c r="D2443" s="5" t="inlineStr">
        <is>
          <t>Married</t>
        </is>
      </c>
      <c r="E2443" s="5" t="inlineStr">
        <is>
          <t>PhD</t>
        </is>
      </c>
      <c r="F2443" s="5" t="inlineStr">
        <is>
          <t>Customer Support</t>
        </is>
      </c>
      <c r="G2443" s="5" t="inlineStr">
        <is>
          <t>Escalation Specialist</t>
        </is>
      </c>
      <c r="H2443" s="5" t="inlineStr">
        <is>
          <t>5</t>
        </is>
      </c>
      <c r="I2443" s="5" t="inlineStr">
        <is>
          <t>Bengaluru</t>
        </is>
      </c>
      <c r="J2443" s="5" t="inlineStr">
        <is>
          <t>Full-Time</t>
        </is>
      </c>
      <c r="K2443" s="7" t="n">
        <v>44528</v>
      </c>
      <c r="L2443" s="7" t="inlineStr"/>
      <c r="M2443" s="5" t="inlineStr">
        <is>
          <t>Yes</t>
        </is>
      </c>
      <c r="N2443" s="5" t="inlineStr"/>
      <c r="O2443" s="8" t="inlineStr">
        <is>
          <t>110000</t>
        </is>
      </c>
      <c r="P2443" s="5" t="inlineStr">
        <is>
          <t>0</t>
        </is>
      </c>
      <c r="Q2443" s="5" t="inlineStr">
        <is>
          <t>4</t>
        </is>
      </c>
      <c r="R2443" s="5" t="inlineStr">
        <is>
          <t>8</t>
        </is>
      </c>
      <c r="S2443" s="5" t="inlineStr">
        <is>
          <t>49</t>
        </is>
      </c>
      <c r="T2443" s="5" t="inlineStr">
        <is>
          <t>8</t>
        </is>
      </c>
      <c r="U2443" s="5">
        <f>IFS(C2443&lt;30,"Under 30",C2443&lt;40,"30-39",C2443&lt;50,"40-49",TRUE,"50+")</f>
        <v/>
      </c>
      <c r="V2443" s="5">
        <f>IFS(O2443&lt;60000,"Low (&lt;60k)",O2443&lt;100000,"Mid (60-100k)",TRUE,"High (100k+)")</f>
        <v/>
      </c>
      <c r="W2443" s="5">
        <f>IF(M2443="No","Attrited","Active")</f>
        <v/>
      </c>
    </row>
    <row r="2444">
      <c r="A2444" s="5" t="inlineStr">
        <is>
          <t>E02443</t>
        </is>
      </c>
      <c r="B2444" s="5" t="inlineStr">
        <is>
          <t>Female</t>
        </is>
      </c>
      <c r="C2444" s="6" t="inlineStr">
        <is>
          <t>33</t>
        </is>
      </c>
      <c r="D2444" s="5" t="inlineStr">
        <is>
          <t>Married</t>
        </is>
      </c>
      <c r="E2444" s="5" t="inlineStr">
        <is>
          <t>High School</t>
        </is>
      </c>
      <c r="F2444" s="5" t="inlineStr">
        <is>
          <t>Customer Support</t>
        </is>
      </c>
      <c r="G2444" s="5" t="inlineStr">
        <is>
          <t>Support Lead</t>
        </is>
      </c>
      <c r="H2444" s="5" t="inlineStr">
        <is>
          <t>2</t>
        </is>
      </c>
      <c r="I2444" s="5" t="inlineStr">
        <is>
          <t>Bengaluru</t>
        </is>
      </c>
      <c r="J2444" s="5" t="inlineStr">
        <is>
          <t>Full-Time</t>
        </is>
      </c>
      <c r="K2444" s="7" t="n">
        <v>45081</v>
      </c>
      <c r="L2444" s="7" t="n">
        <v>45218</v>
      </c>
      <c r="M2444" s="5" t="inlineStr">
        <is>
          <t>No</t>
        </is>
      </c>
      <c r="N2444" s="5" t="inlineStr">
        <is>
          <t>Resigned</t>
        </is>
      </c>
      <c r="O2444" s="8" t="inlineStr">
        <is>
          <t>58000</t>
        </is>
      </c>
      <c r="P2444" s="5" t="inlineStr">
        <is>
          <t>0</t>
        </is>
      </c>
      <c r="Q2444" s="5" t="inlineStr">
        <is>
          <t>3</t>
        </is>
      </c>
      <c r="R2444" s="5" t="inlineStr">
        <is>
          <t>6</t>
        </is>
      </c>
      <c r="S2444" s="5" t="inlineStr">
        <is>
          <t>4</t>
        </is>
      </c>
      <c r="T2444" s="5" t="inlineStr">
        <is>
          <t>14</t>
        </is>
      </c>
      <c r="U2444" s="5">
        <f>IFS(C2444&lt;30,"Under 30",C2444&lt;40,"30-39",C2444&lt;50,"40-49",TRUE,"50+")</f>
        <v/>
      </c>
      <c r="V2444" s="5">
        <f>IFS(O2444&lt;60000,"Low (&lt;60k)",O2444&lt;100000,"Mid (60-100k)",TRUE,"High (100k+)")</f>
        <v/>
      </c>
      <c r="W2444" s="5">
        <f>IF(M2444="No","Attrited","Active")</f>
        <v/>
      </c>
    </row>
    <row r="2445">
      <c r="A2445" s="5" t="inlineStr">
        <is>
          <t>E02444</t>
        </is>
      </c>
      <c r="B2445" s="5" t="inlineStr">
        <is>
          <t>Female</t>
        </is>
      </c>
      <c r="C2445" s="6" t="inlineStr">
        <is>
          <t>38</t>
        </is>
      </c>
      <c r="D2445" s="5" t="inlineStr">
        <is>
          <t>Married</t>
        </is>
      </c>
      <c r="E2445" s="5" t="inlineStr">
        <is>
          <t>Master</t>
        </is>
      </c>
      <c r="F2445" s="5" t="inlineStr">
        <is>
          <t>Executive</t>
        </is>
      </c>
      <c r="G2445" s="5" t="inlineStr">
        <is>
          <t>COO</t>
        </is>
      </c>
      <c r="H2445" s="5" t="inlineStr">
        <is>
          <t>5</t>
        </is>
      </c>
      <c r="I2445" s="5" t="inlineStr">
        <is>
          <t>Mumbai</t>
        </is>
      </c>
      <c r="J2445" s="5" t="inlineStr">
        <is>
          <t>Full-Time</t>
        </is>
      </c>
      <c r="K2445" s="7" t="n">
        <v>44757</v>
      </c>
      <c r="L2445" s="7" t="inlineStr"/>
      <c r="M2445" s="5" t="inlineStr">
        <is>
          <t>Yes</t>
        </is>
      </c>
      <c r="N2445" s="5" t="inlineStr"/>
      <c r="O2445" s="8" t="inlineStr">
        <is>
          <t>399000</t>
        </is>
      </c>
      <c r="P2445" s="5" t="inlineStr">
        <is>
          <t>0</t>
        </is>
      </c>
      <c r="Q2445" s="5" t="inlineStr">
        <is>
          <t>4</t>
        </is>
      </c>
      <c r="R2445" s="5" t="inlineStr">
        <is>
          <t>9</t>
        </is>
      </c>
      <c r="S2445" s="5" t="inlineStr">
        <is>
          <t>42</t>
        </is>
      </c>
      <c r="T2445" s="5" t="inlineStr">
        <is>
          <t>1</t>
        </is>
      </c>
      <c r="U2445" s="5">
        <f>IFS(C2445&lt;30,"Under 30",C2445&lt;40,"30-39",C2445&lt;50,"40-49",TRUE,"50+")</f>
        <v/>
      </c>
      <c r="V2445" s="5">
        <f>IFS(O2445&lt;60000,"Low (&lt;60k)",O2445&lt;100000,"Mid (60-100k)",TRUE,"High (100k+)")</f>
        <v/>
      </c>
      <c r="W2445" s="5">
        <f>IF(M2445="No","Attrited","Active")</f>
        <v/>
      </c>
    </row>
    <row r="2446">
      <c r="A2446" s="5" t="inlineStr">
        <is>
          <t>E02445</t>
        </is>
      </c>
      <c r="B2446" s="5" t="inlineStr">
        <is>
          <t>Female</t>
        </is>
      </c>
      <c r="C2446" s="6" t="inlineStr">
        <is>
          <t>25</t>
        </is>
      </c>
      <c r="D2446" s="5" t="inlineStr">
        <is>
          <t>Married</t>
        </is>
      </c>
      <c r="E2446" s="5" t="inlineStr">
        <is>
          <t>Diploma</t>
        </is>
      </c>
      <c r="F2446" s="5" t="inlineStr">
        <is>
          <t>Sales</t>
        </is>
      </c>
      <c r="G2446" s="5" t="inlineStr">
        <is>
          <t>Sales Executive</t>
        </is>
      </c>
      <c r="H2446" s="5" t="inlineStr">
        <is>
          <t>2</t>
        </is>
      </c>
      <c r="I2446" s="5" t="inlineStr">
        <is>
          <t>Bengaluru</t>
        </is>
      </c>
      <c r="J2446" s="5" t="inlineStr">
        <is>
          <t>Full-Time</t>
        </is>
      </c>
      <c r="K2446" s="7" t="n">
        <v>45834</v>
      </c>
      <c r="L2446" s="7" t="inlineStr"/>
      <c r="M2446" s="5" t="inlineStr">
        <is>
          <t>Yes</t>
        </is>
      </c>
      <c r="N2446" s="5" t="inlineStr"/>
      <c r="O2446" s="8" t="inlineStr">
        <is>
          <t>115000</t>
        </is>
      </c>
      <c r="P2446" s="5" t="inlineStr">
        <is>
          <t>0</t>
        </is>
      </c>
      <c r="Q2446" s="5" t="inlineStr">
        <is>
          <t>4</t>
        </is>
      </c>
      <c r="R2446" s="5" t="inlineStr">
        <is>
          <t>8</t>
        </is>
      </c>
      <c r="S2446" s="5" t="inlineStr">
        <is>
          <t>6</t>
        </is>
      </c>
      <c r="T2446" s="5" t="inlineStr">
        <is>
          <t>10</t>
        </is>
      </c>
      <c r="U2446" s="5">
        <f>IFS(C2446&lt;30,"Under 30",C2446&lt;40,"30-39",C2446&lt;50,"40-49",TRUE,"50+")</f>
        <v/>
      </c>
      <c r="V2446" s="5">
        <f>IFS(O2446&lt;60000,"Low (&lt;60k)",O2446&lt;100000,"Mid (60-100k)",TRUE,"High (100k+)")</f>
        <v/>
      </c>
      <c r="W2446" s="5">
        <f>IF(M2446="No","Attrited","Active")</f>
        <v/>
      </c>
    </row>
    <row r="2447">
      <c r="A2447" s="5" t="inlineStr">
        <is>
          <t>E02446</t>
        </is>
      </c>
      <c r="B2447" s="5" t="inlineStr">
        <is>
          <t>Female</t>
        </is>
      </c>
      <c r="C2447" s="6" t="inlineStr">
        <is>
          <t>33</t>
        </is>
      </c>
      <c r="D2447" s="5" t="inlineStr">
        <is>
          <t>Single</t>
        </is>
      </c>
      <c r="E2447" s="5" t="inlineStr">
        <is>
          <t>Bachelor</t>
        </is>
      </c>
      <c r="F2447" s="5" t="inlineStr">
        <is>
          <t>Customer Support</t>
        </is>
      </c>
      <c r="G2447" s="5" t="inlineStr">
        <is>
          <t>Escalation Specialist</t>
        </is>
      </c>
      <c r="H2447" s="5" t="inlineStr">
        <is>
          <t>1</t>
        </is>
      </c>
      <c r="I2447" s="5" t="inlineStr">
        <is>
          <t>Mumbai</t>
        </is>
      </c>
      <c r="J2447" s="5" t="inlineStr">
        <is>
          <t>Full-Time</t>
        </is>
      </c>
      <c r="K2447" s="7" t="n">
        <v>45723</v>
      </c>
      <c r="L2447" s="7" t="inlineStr"/>
      <c r="M2447" s="5" t="inlineStr">
        <is>
          <t>Yes</t>
        </is>
      </c>
      <c r="N2447" s="5" t="inlineStr"/>
      <c r="O2447" s="8" t="inlineStr">
        <is>
          <t>63000</t>
        </is>
      </c>
      <c r="P2447" s="5" t="inlineStr">
        <is>
          <t>15</t>
        </is>
      </c>
      <c r="Q2447" s="5" t="inlineStr">
        <is>
          <t>5</t>
        </is>
      </c>
      <c r="R2447" s="5" t="inlineStr">
        <is>
          <t>5</t>
        </is>
      </c>
      <c r="S2447" s="5" t="inlineStr">
        <is>
          <t>9</t>
        </is>
      </c>
      <c r="T2447" s="5" t="inlineStr">
        <is>
          <t>8</t>
        </is>
      </c>
      <c r="U2447" s="5">
        <f>IFS(C2447&lt;30,"Under 30",C2447&lt;40,"30-39",C2447&lt;50,"40-49",TRUE,"50+")</f>
        <v/>
      </c>
      <c r="V2447" s="5">
        <f>IFS(O2447&lt;60000,"Low (&lt;60k)",O2447&lt;100000,"Mid (60-100k)",TRUE,"High (100k+)")</f>
        <v/>
      </c>
      <c r="W2447" s="5">
        <f>IF(M2447="No","Attrited","Active")</f>
        <v/>
      </c>
    </row>
    <row r="2448">
      <c r="A2448" s="5" t="inlineStr">
        <is>
          <t>E02447</t>
        </is>
      </c>
      <c r="B2448" s="5" t="inlineStr">
        <is>
          <t>Male</t>
        </is>
      </c>
      <c r="C2448" s="6" t="inlineStr">
        <is>
          <t>33</t>
        </is>
      </c>
      <c r="D2448" s="5" t="inlineStr">
        <is>
          <t>Married</t>
        </is>
      </c>
      <c r="E2448" s="5" t="inlineStr">
        <is>
          <t>Diploma</t>
        </is>
      </c>
      <c r="F2448" s="5" t="inlineStr">
        <is>
          <t>Operations</t>
        </is>
      </c>
      <c r="G2448" s="5" t="inlineStr">
        <is>
          <t>Quality Analyst</t>
        </is>
      </c>
      <c r="H2448" s="5" t="inlineStr">
        <is>
          <t>2</t>
        </is>
      </c>
      <c r="I2448" s="5" t="inlineStr">
        <is>
          <t>Remote</t>
        </is>
      </c>
      <c r="J2448" s="5" t="inlineStr">
        <is>
          <t>Full-Time</t>
        </is>
      </c>
      <c r="K2448" s="7" t="n">
        <v>44858</v>
      </c>
      <c r="L2448" s="7" t="inlineStr"/>
      <c r="M2448" s="5" t="inlineStr">
        <is>
          <t>Yes</t>
        </is>
      </c>
      <c r="N2448" s="5" t="inlineStr"/>
      <c r="O2448" s="8" t="inlineStr">
        <is>
          <t>100500</t>
        </is>
      </c>
      <c r="P2448" s="5" t="inlineStr">
        <is>
          <t>0</t>
        </is>
      </c>
      <c r="Q2448" s="5" t="inlineStr">
        <is>
          <t>2</t>
        </is>
      </c>
      <c r="R2448" s="5" t="inlineStr">
        <is>
          <t>4</t>
        </is>
      </c>
      <c r="S2448" s="5" t="inlineStr">
        <is>
          <t>38</t>
        </is>
      </c>
      <c r="T2448" s="5" t="inlineStr">
        <is>
          <t>4</t>
        </is>
      </c>
      <c r="U2448" s="5">
        <f>IFS(C2448&lt;30,"Under 30",C2448&lt;40,"30-39",C2448&lt;50,"40-49",TRUE,"50+")</f>
        <v/>
      </c>
      <c r="V2448" s="5">
        <f>IFS(O2448&lt;60000,"Low (&lt;60k)",O2448&lt;100000,"Mid (60-100k)",TRUE,"High (100k+)")</f>
        <v/>
      </c>
      <c r="W2448" s="5">
        <f>IF(M2448="No","Attrited","Active")</f>
        <v/>
      </c>
    </row>
    <row r="2449">
      <c r="A2449" s="5" t="inlineStr">
        <is>
          <t>E02448</t>
        </is>
      </c>
      <c r="B2449" s="5" t="inlineStr">
        <is>
          <t>Male</t>
        </is>
      </c>
      <c r="C2449" s="6" t="inlineStr">
        <is>
          <t>25</t>
        </is>
      </c>
      <c r="D2449" s="5" t="inlineStr">
        <is>
          <t>Married</t>
        </is>
      </c>
      <c r="E2449" s="5" t="inlineStr">
        <is>
          <t>Bachelor</t>
        </is>
      </c>
      <c r="F2449" s="5" t="inlineStr">
        <is>
          <t>IT</t>
        </is>
      </c>
      <c r="G2449" s="5" t="inlineStr">
        <is>
          <t>DevOps Engineer</t>
        </is>
      </c>
      <c r="H2449" s="5" t="inlineStr">
        <is>
          <t>2</t>
        </is>
      </c>
      <c r="I2449" s="5" t="inlineStr">
        <is>
          <t>Chennai</t>
        </is>
      </c>
      <c r="J2449" s="5" t="inlineStr">
        <is>
          <t>Full-Time</t>
        </is>
      </c>
      <c r="K2449" s="7" t="n">
        <v>43940</v>
      </c>
      <c r="L2449" s="7" t="n">
        <v>43990</v>
      </c>
      <c r="M2449" s="5" t="inlineStr">
        <is>
          <t>No</t>
        </is>
      </c>
      <c r="N2449" s="5" t="inlineStr">
        <is>
          <t>Resigned</t>
        </is>
      </c>
      <c r="O2449" s="8" t="inlineStr">
        <is>
          <t>101500</t>
        </is>
      </c>
      <c r="P2449" s="5" t="inlineStr">
        <is>
          <t>5</t>
        </is>
      </c>
      <c r="Q2449" s="5" t="inlineStr">
        <is>
          <t>3</t>
        </is>
      </c>
      <c r="R2449" s="5" t="inlineStr">
        <is>
          <t>2</t>
        </is>
      </c>
      <c r="S2449" s="5" t="inlineStr">
        <is>
          <t>1</t>
        </is>
      </c>
      <c r="T2449" s="5" t="inlineStr">
        <is>
          <t>8</t>
        </is>
      </c>
      <c r="U2449" s="5">
        <f>IFS(C2449&lt;30,"Under 30",C2449&lt;40,"30-39",C2449&lt;50,"40-49",TRUE,"50+")</f>
        <v/>
      </c>
      <c r="V2449" s="5">
        <f>IFS(O2449&lt;60000,"Low (&lt;60k)",O2449&lt;100000,"Mid (60-100k)",TRUE,"High (100k+)")</f>
        <v/>
      </c>
      <c r="W2449" s="5">
        <f>IF(M2449="No","Attrited","Active")</f>
        <v/>
      </c>
    </row>
    <row r="2450">
      <c r="A2450" s="5" t="inlineStr">
        <is>
          <t>E02449</t>
        </is>
      </c>
      <c r="B2450" s="5" t="inlineStr">
        <is>
          <t>Female</t>
        </is>
      </c>
      <c r="C2450" s="6" t="inlineStr">
        <is>
          <t>28</t>
        </is>
      </c>
      <c r="D2450" s="5" t="inlineStr">
        <is>
          <t>Married</t>
        </is>
      </c>
      <c r="E2450" s="5" t="inlineStr">
        <is>
          <t>Diploma</t>
        </is>
      </c>
      <c r="F2450" s="5" t="inlineStr">
        <is>
          <t>Operations</t>
        </is>
      </c>
      <c r="G2450" s="5" t="inlineStr">
        <is>
          <t>Operations Analyst</t>
        </is>
      </c>
      <c r="H2450" s="5" t="inlineStr">
        <is>
          <t>2</t>
        </is>
      </c>
      <c r="I2450" s="5" t="inlineStr">
        <is>
          <t>Chennai</t>
        </is>
      </c>
      <c r="J2450" s="5" t="inlineStr">
        <is>
          <t>Full-Time</t>
        </is>
      </c>
      <c r="K2450" s="7" t="n">
        <v>44529</v>
      </c>
      <c r="L2450" s="7" t="n">
        <v>44610</v>
      </c>
      <c r="M2450" s="5" t="inlineStr">
        <is>
          <t>No</t>
        </is>
      </c>
      <c r="N2450" s="5" t="inlineStr">
        <is>
          <t>Resigned</t>
        </is>
      </c>
      <c r="O2450" s="8" t="inlineStr">
        <is>
          <t>83500</t>
        </is>
      </c>
      <c r="P2450" s="5" t="inlineStr">
        <is>
          <t>0</t>
        </is>
      </c>
      <c r="Q2450" s="5" t="inlineStr">
        <is>
          <t>3</t>
        </is>
      </c>
      <c r="R2450" s="5" t="inlineStr">
        <is>
          <t>9</t>
        </is>
      </c>
      <c r="S2450" s="5" t="inlineStr">
        <is>
          <t>2</t>
        </is>
      </c>
      <c r="T2450" s="5" t="inlineStr">
        <is>
          <t>3</t>
        </is>
      </c>
      <c r="U2450" s="5">
        <f>IFS(C2450&lt;30,"Under 30",C2450&lt;40,"30-39",C2450&lt;50,"40-49",TRUE,"50+")</f>
        <v/>
      </c>
      <c r="V2450" s="5">
        <f>IFS(O2450&lt;60000,"Low (&lt;60k)",O2450&lt;100000,"Mid (60-100k)",TRUE,"High (100k+)")</f>
        <v/>
      </c>
      <c r="W2450" s="5">
        <f>IF(M2450="No","Attrited","Active")</f>
        <v/>
      </c>
    </row>
    <row r="2451">
      <c r="A2451" s="5" t="inlineStr">
        <is>
          <t>E02450</t>
        </is>
      </c>
      <c r="B2451" s="5" t="inlineStr">
        <is>
          <t>Male</t>
        </is>
      </c>
      <c r="C2451" s="6" t="inlineStr">
        <is>
          <t>32</t>
        </is>
      </c>
      <c r="D2451" s="5" t="inlineStr">
        <is>
          <t>Married</t>
        </is>
      </c>
      <c r="E2451" s="5" t="inlineStr">
        <is>
          <t>PhD</t>
        </is>
      </c>
      <c r="F2451" s="5" t="inlineStr">
        <is>
          <t>Customer Support</t>
        </is>
      </c>
      <c r="G2451" s="5" t="inlineStr">
        <is>
          <t>Support Lead</t>
        </is>
      </c>
      <c r="H2451" s="5" t="inlineStr">
        <is>
          <t>1</t>
        </is>
      </c>
      <c r="I2451" s="5" t="inlineStr">
        <is>
          <t>Bengaluru</t>
        </is>
      </c>
      <c r="J2451" s="5" t="inlineStr">
        <is>
          <t>Part-Time</t>
        </is>
      </c>
      <c r="K2451" s="7" t="n">
        <v>45667</v>
      </c>
      <c r="L2451" s="7" t="n">
        <v>45799</v>
      </c>
      <c r="M2451" s="5" t="inlineStr">
        <is>
          <t>No</t>
        </is>
      </c>
      <c r="N2451" s="5" t="inlineStr">
        <is>
          <t>Resigned</t>
        </is>
      </c>
      <c r="O2451" s="8" t="inlineStr">
        <is>
          <t>49500</t>
        </is>
      </c>
      <c r="P2451" s="5" t="inlineStr">
        <is>
          <t>10</t>
        </is>
      </c>
      <c r="Q2451" s="5" t="inlineStr">
        <is>
          <t>4</t>
        </is>
      </c>
      <c r="R2451" s="5" t="inlineStr">
        <is>
          <t>6</t>
        </is>
      </c>
      <c r="S2451" s="5" t="inlineStr">
        <is>
          <t>4</t>
        </is>
      </c>
      <c r="T2451" s="5" t="inlineStr">
        <is>
          <t>4</t>
        </is>
      </c>
      <c r="U2451" s="5">
        <f>IFS(C2451&lt;30,"Under 30",C2451&lt;40,"30-39",C2451&lt;50,"40-49",TRUE,"50+")</f>
        <v/>
      </c>
      <c r="V2451" s="5">
        <f>IFS(O2451&lt;60000,"Low (&lt;60k)",O2451&lt;100000,"Mid (60-100k)",TRUE,"High (100k+)")</f>
        <v/>
      </c>
      <c r="W2451" s="5">
        <f>IF(M2451="No","Attrited","Active")</f>
        <v/>
      </c>
    </row>
    <row r="2452">
      <c r="A2452" s="5" t="inlineStr">
        <is>
          <t>E02451</t>
        </is>
      </c>
      <c r="B2452" s="5" t="inlineStr">
        <is>
          <t>Female</t>
        </is>
      </c>
      <c r="C2452" s="6" t="inlineStr">
        <is>
          <t>27</t>
        </is>
      </c>
      <c r="D2452" s="5" t="inlineStr">
        <is>
          <t>Married</t>
        </is>
      </c>
      <c r="E2452" s="5" t="inlineStr">
        <is>
          <t>Diploma</t>
        </is>
      </c>
      <c r="F2452" s="5" t="inlineStr">
        <is>
          <t>Customer Support</t>
        </is>
      </c>
      <c r="G2452" s="5" t="inlineStr">
        <is>
          <t>Support Agent</t>
        </is>
      </c>
      <c r="H2452" s="5" t="inlineStr">
        <is>
          <t>2</t>
        </is>
      </c>
      <c r="I2452" s="5" t="inlineStr">
        <is>
          <t>Hyderabad</t>
        </is>
      </c>
      <c r="J2452" s="5" t="inlineStr">
        <is>
          <t>Part-Time</t>
        </is>
      </c>
      <c r="K2452" s="7" t="n">
        <v>45585</v>
      </c>
      <c r="L2452" s="7" t="inlineStr"/>
      <c r="M2452" s="5" t="inlineStr">
        <is>
          <t>Yes</t>
        </is>
      </c>
      <c r="N2452" s="5" t="inlineStr"/>
      <c r="O2452" s="8" t="inlineStr">
        <is>
          <t>70500</t>
        </is>
      </c>
      <c r="P2452" s="5" t="inlineStr">
        <is>
          <t>5</t>
        </is>
      </c>
      <c r="Q2452" s="5" t="inlineStr">
        <is>
          <t>4</t>
        </is>
      </c>
      <c r="R2452" s="5" t="inlineStr">
        <is>
          <t>3</t>
        </is>
      </c>
      <c r="S2452" s="5" t="inlineStr">
        <is>
          <t>14</t>
        </is>
      </c>
      <c r="T2452" s="5" t="inlineStr">
        <is>
          <t>0</t>
        </is>
      </c>
      <c r="U2452" s="5">
        <f>IFS(C2452&lt;30,"Under 30",C2452&lt;40,"30-39",C2452&lt;50,"40-49",TRUE,"50+")</f>
        <v/>
      </c>
      <c r="V2452" s="5">
        <f>IFS(O2452&lt;60000,"Low (&lt;60k)",O2452&lt;100000,"Mid (60-100k)",TRUE,"High (100k+)")</f>
        <v/>
      </c>
      <c r="W2452" s="5">
        <f>IF(M2452="No","Attrited","Active")</f>
        <v/>
      </c>
    </row>
    <row r="2453">
      <c r="A2453" s="5" t="inlineStr">
        <is>
          <t>E02452</t>
        </is>
      </c>
      <c r="B2453" s="5" t="inlineStr">
        <is>
          <t>Male</t>
        </is>
      </c>
      <c r="C2453" s="6" t="inlineStr">
        <is>
          <t>30</t>
        </is>
      </c>
      <c r="D2453" s="5" t="inlineStr">
        <is>
          <t>Married</t>
        </is>
      </c>
      <c r="E2453" s="5" t="inlineStr">
        <is>
          <t>PhD</t>
        </is>
      </c>
      <c r="F2453" s="5" t="inlineStr">
        <is>
          <t>IT</t>
        </is>
      </c>
      <c r="G2453" s="5" t="inlineStr">
        <is>
          <t>Data Analyst</t>
        </is>
      </c>
      <c r="H2453" s="5" t="inlineStr">
        <is>
          <t>1</t>
        </is>
      </c>
      <c r="I2453" s="5" t="inlineStr">
        <is>
          <t>Bengaluru</t>
        </is>
      </c>
      <c r="J2453" s="5" t="inlineStr">
        <is>
          <t>Full-Time</t>
        </is>
      </c>
      <c r="K2453" s="7" t="n">
        <v>43873</v>
      </c>
      <c r="L2453" s="7" t="inlineStr"/>
      <c r="M2453" s="5" t="inlineStr">
        <is>
          <t>Yes</t>
        </is>
      </c>
      <c r="N2453" s="5" t="inlineStr"/>
      <c r="O2453" s="8" t="inlineStr">
        <is>
          <t>120000</t>
        </is>
      </c>
      <c r="P2453" s="5" t="inlineStr">
        <is>
          <t>10</t>
        </is>
      </c>
      <c r="Q2453" s="5" t="inlineStr">
        <is>
          <t>4</t>
        </is>
      </c>
      <c r="R2453" s="5" t="inlineStr">
        <is>
          <t>4</t>
        </is>
      </c>
      <c r="S2453" s="5" t="inlineStr">
        <is>
          <t>71</t>
        </is>
      </c>
      <c r="T2453" s="5" t="inlineStr">
        <is>
          <t>12</t>
        </is>
      </c>
      <c r="U2453" s="5">
        <f>IFS(C2453&lt;30,"Under 30",C2453&lt;40,"30-39",C2453&lt;50,"40-49",TRUE,"50+")</f>
        <v/>
      </c>
      <c r="V2453" s="5">
        <f>IFS(O2453&lt;60000,"Low (&lt;60k)",O2453&lt;100000,"Mid (60-100k)",TRUE,"High (100k+)")</f>
        <v/>
      </c>
      <c r="W2453" s="5">
        <f>IF(M2453="No","Attrited","Active")</f>
        <v/>
      </c>
    </row>
    <row r="2454">
      <c r="A2454" s="5" t="inlineStr">
        <is>
          <t>E02453</t>
        </is>
      </c>
      <c r="B2454" s="5" t="inlineStr">
        <is>
          <t>Male</t>
        </is>
      </c>
      <c r="C2454" s="6" t="inlineStr">
        <is>
          <t>28</t>
        </is>
      </c>
      <c r="D2454" s="5" t="inlineStr">
        <is>
          <t>Married</t>
        </is>
      </c>
      <c r="E2454" s="5" t="inlineStr">
        <is>
          <t>Diploma</t>
        </is>
      </c>
      <c r="F2454" s="5" t="inlineStr">
        <is>
          <t>Human Resources</t>
        </is>
      </c>
      <c r="G2454" s="5" t="inlineStr">
        <is>
          <t>HR Analyst</t>
        </is>
      </c>
      <c r="H2454" s="5" t="inlineStr">
        <is>
          <t>3</t>
        </is>
      </c>
      <c r="I2454" s="5" t="inlineStr">
        <is>
          <t>Delhi</t>
        </is>
      </c>
      <c r="J2454" s="5" t="inlineStr">
        <is>
          <t>Full-Time</t>
        </is>
      </c>
      <c r="K2454" s="7" t="n">
        <v>45799</v>
      </c>
      <c r="L2454" s="7" t="inlineStr"/>
      <c r="M2454" s="5" t="inlineStr">
        <is>
          <t>Yes</t>
        </is>
      </c>
      <c r="N2454" s="5" t="inlineStr"/>
      <c r="O2454" s="8" t="inlineStr">
        <is>
          <t>84000</t>
        </is>
      </c>
      <c r="P2454" s="5" t="inlineStr">
        <is>
          <t>5</t>
        </is>
      </c>
      <c r="Q2454" s="5" t="inlineStr">
        <is>
          <t>5</t>
        </is>
      </c>
      <c r="R2454" s="5" t="inlineStr">
        <is>
          <t>10</t>
        </is>
      </c>
      <c r="S2454" s="5" t="inlineStr">
        <is>
          <t>7</t>
        </is>
      </c>
      <c r="T2454" s="5" t="inlineStr">
        <is>
          <t>14</t>
        </is>
      </c>
      <c r="U2454" s="5">
        <f>IFS(C2454&lt;30,"Under 30",C2454&lt;40,"30-39",C2454&lt;50,"40-49",TRUE,"50+")</f>
        <v/>
      </c>
      <c r="V2454" s="5">
        <f>IFS(O2454&lt;60000,"Low (&lt;60k)",O2454&lt;100000,"Mid (60-100k)",TRUE,"High (100k+)")</f>
        <v/>
      </c>
      <c r="W2454" s="5">
        <f>IF(M2454="No","Attrited","Active")</f>
        <v/>
      </c>
    </row>
    <row r="2455">
      <c r="A2455" s="5" t="inlineStr">
        <is>
          <t>E02454</t>
        </is>
      </c>
      <c r="B2455" s="5" t="inlineStr">
        <is>
          <t>Female</t>
        </is>
      </c>
      <c r="C2455" s="6" t="inlineStr">
        <is>
          <t>36</t>
        </is>
      </c>
      <c r="D2455" s="5" t="inlineStr">
        <is>
          <t>Married</t>
        </is>
      </c>
      <c r="E2455" s="5" t="inlineStr">
        <is>
          <t>High School</t>
        </is>
      </c>
      <c r="F2455" s="5" t="inlineStr">
        <is>
          <t>Operations</t>
        </is>
      </c>
      <c r="G2455" s="5" t="inlineStr">
        <is>
          <t>Logistics Coordinator</t>
        </is>
      </c>
      <c r="H2455" s="5" t="inlineStr">
        <is>
          <t>4</t>
        </is>
      </c>
      <c r="I2455" s="5" t="inlineStr">
        <is>
          <t>Hyderabad</t>
        </is>
      </c>
      <c r="J2455" s="5" t="inlineStr">
        <is>
          <t>Full-Time</t>
        </is>
      </c>
      <c r="K2455" s="7" t="n">
        <v>45662</v>
      </c>
      <c r="L2455" s="7" t="inlineStr"/>
      <c r="M2455" s="5" t="inlineStr">
        <is>
          <t>Yes</t>
        </is>
      </c>
      <c r="N2455" s="5" t="inlineStr"/>
      <c r="O2455" s="8" t="inlineStr">
        <is>
          <t>82500</t>
        </is>
      </c>
      <c r="P2455" s="5" t="inlineStr">
        <is>
          <t>15</t>
        </is>
      </c>
      <c r="Q2455" s="5" t="inlineStr">
        <is>
          <t>5</t>
        </is>
      </c>
      <c r="R2455" s="5" t="inlineStr">
        <is>
          <t>5</t>
        </is>
      </c>
      <c r="S2455" s="5" t="inlineStr">
        <is>
          <t>12</t>
        </is>
      </c>
      <c r="T2455" s="5" t="inlineStr">
        <is>
          <t>16</t>
        </is>
      </c>
      <c r="U2455" s="5">
        <f>IFS(C2455&lt;30,"Under 30",C2455&lt;40,"30-39",C2455&lt;50,"40-49",TRUE,"50+")</f>
        <v/>
      </c>
      <c r="V2455" s="5">
        <f>IFS(O2455&lt;60000,"Low (&lt;60k)",O2455&lt;100000,"Mid (60-100k)",TRUE,"High (100k+)")</f>
        <v/>
      </c>
      <c r="W2455" s="5">
        <f>IF(M2455="No","Attrited","Active")</f>
        <v/>
      </c>
    </row>
    <row r="2456">
      <c r="A2456" s="5" t="inlineStr">
        <is>
          <t>E02455</t>
        </is>
      </c>
      <c r="B2456" s="5" t="inlineStr">
        <is>
          <t>Male</t>
        </is>
      </c>
      <c r="C2456" s="6" t="inlineStr">
        <is>
          <t>34</t>
        </is>
      </c>
      <c r="D2456" s="5" t="inlineStr">
        <is>
          <t>Single</t>
        </is>
      </c>
      <c r="E2456" s="5" t="inlineStr">
        <is>
          <t>Diploma</t>
        </is>
      </c>
      <c r="F2456" s="5" t="inlineStr">
        <is>
          <t>Operations</t>
        </is>
      </c>
      <c r="G2456" s="5" t="inlineStr">
        <is>
          <t>Quality Analyst</t>
        </is>
      </c>
      <c r="H2456" s="5" t="inlineStr">
        <is>
          <t>1</t>
        </is>
      </c>
      <c r="I2456" s="5" t="inlineStr">
        <is>
          <t>Bengaluru</t>
        </is>
      </c>
      <c r="J2456" s="5" t="inlineStr">
        <is>
          <t>Full-Time</t>
        </is>
      </c>
      <c r="K2456" s="7" t="n">
        <v>46006</v>
      </c>
      <c r="L2456" s="7" t="inlineStr"/>
      <c r="M2456" s="5" t="inlineStr">
        <is>
          <t>Yes</t>
        </is>
      </c>
      <c r="N2456" s="5" t="inlineStr"/>
      <c r="O2456" s="8" t="inlineStr">
        <is>
          <t>75500</t>
        </is>
      </c>
      <c r="P2456" s="5" t="inlineStr">
        <is>
          <t>10</t>
        </is>
      </c>
      <c r="Q2456" s="5" t="inlineStr">
        <is>
          <t>4</t>
        </is>
      </c>
      <c r="R2456" s="5" t="inlineStr">
        <is>
          <t>4</t>
        </is>
      </c>
      <c r="S2456" s="5" t="inlineStr">
        <is>
          <t>1</t>
        </is>
      </c>
      <c r="T2456" s="5" t="inlineStr">
        <is>
          <t>10</t>
        </is>
      </c>
      <c r="U2456" s="5">
        <f>IFS(C2456&lt;30,"Under 30",C2456&lt;40,"30-39",C2456&lt;50,"40-49",TRUE,"50+")</f>
        <v/>
      </c>
      <c r="V2456" s="5">
        <f>IFS(O2456&lt;60000,"Low (&lt;60k)",O2456&lt;100000,"Mid (60-100k)",TRUE,"High (100k+)")</f>
        <v/>
      </c>
      <c r="W2456" s="5">
        <f>IF(M2456="No","Attrited","Active")</f>
        <v/>
      </c>
    </row>
    <row r="2457">
      <c r="A2457" s="5" t="inlineStr">
        <is>
          <t>E02456</t>
        </is>
      </c>
      <c r="B2457" s="5" t="inlineStr">
        <is>
          <t>Female</t>
        </is>
      </c>
      <c r="C2457" s="6" t="inlineStr">
        <is>
          <t>32</t>
        </is>
      </c>
      <c r="D2457" s="5" t="inlineStr">
        <is>
          <t>Married</t>
        </is>
      </c>
      <c r="E2457" s="5" t="inlineStr">
        <is>
          <t>High School</t>
        </is>
      </c>
      <c r="F2457" s="5" t="inlineStr">
        <is>
          <t>IT</t>
        </is>
      </c>
      <c r="G2457" s="5" t="inlineStr">
        <is>
          <t>Software Engineer</t>
        </is>
      </c>
      <c r="H2457" s="5" t="inlineStr">
        <is>
          <t>4</t>
        </is>
      </c>
      <c r="I2457" s="5" t="inlineStr">
        <is>
          <t>Mumbai</t>
        </is>
      </c>
      <c r="J2457" s="5" t="inlineStr">
        <is>
          <t>Full-Time</t>
        </is>
      </c>
      <c r="K2457" s="7" t="n">
        <v>44228</v>
      </c>
      <c r="L2457" s="7" t="inlineStr"/>
      <c r="M2457" s="5" t="inlineStr">
        <is>
          <t>Yes</t>
        </is>
      </c>
      <c r="N2457" s="5" t="inlineStr"/>
      <c r="O2457" s="8" t="inlineStr">
        <is>
          <t>184000</t>
        </is>
      </c>
      <c r="P2457" s="5" t="inlineStr">
        <is>
          <t>15</t>
        </is>
      </c>
      <c r="Q2457" s="5" t="inlineStr">
        <is>
          <t>5</t>
        </is>
      </c>
      <c r="R2457" s="5" t="inlineStr">
        <is>
          <t>10</t>
        </is>
      </c>
      <c r="S2457" s="5" t="inlineStr">
        <is>
          <t>59</t>
        </is>
      </c>
      <c r="T2457" s="5" t="inlineStr">
        <is>
          <t>0</t>
        </is>
      </c>
      <c r="U2457" s="5">
        <f>IFS(C2457&lt;30,"Under 30",C2457&lt;40,"30-39",C2457&lt;50,"40-49",TRUE,"50+")</f>
        <v/>
      </c>
      <c r="V2457" s="5">
        <f>IFS(O2457&lt;60000,"Low (&lt;60k)",O2457&lt;100000,"Mid (60-100k)",TRUE,"High (100k+)")</f>
        <v/>
      </c>
      <c r="W2457" s="5">
        <f>IF(M2457="No","Attrited","Active")</f>
        <v/>
      </c>
    </row>
    <row r="2458">
      <c r="A2458" s="5" t="inlineStr">
        <is>
          <t>E02457</t>
        </is>
      </c>
      <c r="B2458" s="5" t="inlineStr">
        <is>
          <t>Female</t>
        </is>
      </c>
      <c r="C2458" s="6" t="inlineStr">
        <is>
          <t>32</t>
        </is>
      </c>
      <c r="D2458" s="5" t="inlineStr">
        <is>
          <t>Single</t>
        </is>
      </c>
      <c r="E2458" s="5" t="inlineStr">
        <is>
          <t>Master</t>
        </is>
      </c>
      <c r="F2458" s="5" t="inlineStr">
        <is>
          <t>Customer Support</t>
        </is>
      </c>
      <c r="G2458" s="5" t="inlineStr">
        <is>
          <t>Escalation Specialist</t>
        </is>
      </c>
      <c r="H2458" s="5" t="inlineStr">
        <is>
          <t>3</t>
        </is>
      </c>
      <c r="I2458" s="5" t="inlineStr">
        <is>
          <t>Hyderabad</t>
        </is>
      </c>
      <c r="J2458" s="5" t="inlineStr">
        <is>
          <t>Full-Time</t>
        </is>
      </c>
      <c r="K2458" s="7" t="n">
        <v>45513</v>
      </c>
      <c r="L2458" s="7" t="inlineStr"/>
      <c r="M2458" s="5" t="inlineStr">
        <is>
          <t>Yes</t>
        </is>
      </c>
      <c r="N2458" s="5" t="inlineStr"/>
      <c r="O2458" s="8" t="inlineStr">
        <is>
          <t>64000</t>
        </is>
      </c>
      <c r="P2458" s="5" t="inlineStr">
        <is>
          <t>0</t>
        </is>
      </c>
      <c r="Q2458" s="5" t="inlineStr">
        <is>
          <t>5</t>
        </is>
      </c>
      <c r="R2458" s="5" t="inlineStr">
        <is>
          <t>6</t>
        </is>
      </c>
      <c r="S2458" s="5" t="inlineStr">
        <is>
          <t>16</t>
        </is>
      </c>
      <c r="T2458" s="5" t="inlineStr">
        <is>
          <t>3</t>
        </is>
      </c>
      <c r="U2458" s="5">
        <f>IFS(C2458&lt;30,"Under 30",C2458&lt;40,"30-39",C2458&lt;50,"40-49",TRUE,"50+")</f>
        <v/>
      </c>
      <c r="V2458" s="5">
        <f>IFS(O2458&lt;60000,"Low (&lt;60k)",O2458&lt;100000,"Mid (60-100k)",TRUE,"High (100k+)")</f>
        <v/>
      </c>
      <c r="W2458" s="5">
        <f>IF(M2458="No","Attrited","Active")</f>
        <v/>
      </c>
    </row>
    <row r="2459">
      <c r="A2459" s="5" t="inlineStr">
        <is>
          <t>E02458</t>
        </is>
      </c>
      <c r="B2459" s="5" t="inlineStr">
        <is>
          <t>Female</t>
        </is>
      </c>
      <c r="C2459" s="6" t="inlineStr">
        <is>
          <t>40</t>
        </is>
      </c>
      <c r="D2459" s="5" t="inlineStr">
        <is>
          <t>Single</t>
        </is>
      </c>
      <c r="E2459" s="5" t="inlineStr">
        <is>
          <t>Master</t>
        </is>
      </c>
      <c r="F2459" s="5" t="inlineStr">
        <is>
          <t>Customer Support</t>
        </is>
      </c>
      <c r="G2459" s="5" t="inlineStr">
        <is>
          <t>Support Agent</t>
        </is>
      </c>
      <c r="H2459" s="5" t="inlineStr">
        <is>
          <t>6</t>
        </is>
      </c>
      <c r="I2459" s="5" t="inlineStr">
        <is>
          <t>Remote</t>
        </is>
      </c>
      <c r="J2459" s="5" t="inlineStr">
        <is>
          <t>Contract</t>
        </is>
      </c>
      <c r="K2459" s="7" t="n">
        <v>45170</v>
      </c>
      <c r="L2459" s="7" t="inlineStr"/>
      <c r="M2459" s="5" t="inlineStr">
        <is>
          <t>Yes</t>
        </is>
      </c>
      <c r="N2459" s="5" t="inlineStr"/>
      <c r="O2459" s="8" t="inlineStr">
        <is>
          <t>71500</t>
        </is>
      </c>
      <c r="P2459" s="5" t="inlineStr">
        <is>
          <t>10</t>
        </is>
      </c>
      <c r="Q2459" s="5" t="inlineStr">
        <is>
          <t>4</t>
        </is>
      </c>
      <c r="R2459" s="5" t="inlineStr">
        <is>
          <t>4</t>
        </is>
      </c>
      <c r="S2459" s="5" t="inlineStr">
        <is>
          <t>28</t>
        </is>
      </c>
      <c r="T2459" s="5" t="inlineStr">
        <is>
          <t>9</t>
        </is>
      </c>
      <c r="U2459" s="5">
        <f>IFS(C2459&lt;30,"Under 30",C2459&lt;40,"30-39",C2459&lt;50,"40-49",TRUE,"50+")</f>
        <v/>
      </c>
      <c r="V2459" s="5">
        <f>IFS(O2459&lt;60000,"Low (&lt;60k)",O2459&lt;100000,"Mid (60-100k)",TRUE,"High (100k+)")</f>
        <v/>
      </c>
      <c r="W2459" s="5">
        <f>IF(M2459="No","Attrited","Active")</f>
        <v/>
      </c>
    </row>
    <row r="2460">
      <c r="A2460" s="5" t="inlineStr">
        <is>
          <t>E02459</t>
        </is>
      </c>
      <c r="B2460" s="5" t="inlineStr">
        <is>
          <t>Female</t>
        </is>
      </c>
      <c r="C2460" s="6" t="inlineStr">
        <is>
          <t>30</t>
        </is>
      </c>
      <c r="D2460" s="5" t="inlineStr">
        <is>
          <t>Married</t>
        </is>
      </c>
      <c r="E2460" s="5" t="inlineStr">
        <is>
          <t>PhD</t>
        </is>
      </c>
      <c r="F2460" s="5" t="inlineStr">
        <is>
          <t>Research &amp; Development</t>
        </is>
      </c>
      <c r="G2460" s="5" t="inlineStr">
        <is>
          <t>Product Engineer</t>
        </is>
      </c>
      <c r="H2460" s="5" t="inlineStr">
        <is>
          <t>3</t>
        </is>
      </c>
      <c r="I2460" s="5" t="inlineStr">
        <is>
          <t>Hyderabad</t>
        </is>
      </c>
      <c r="J2460" s="5" t="inlineStr">
        <is>
          <t>Full-Time</t>
        </is>
      </c>
      <c r="K2460" s="7" t="n">
        <v>45588</v>
      </c>
      <c r="L2460" s="7" t="inlineStr"/>
      <c r="M2460" s="5" t="inlineStr">
        <is>
          <t>Yes</t>
        </is>
      </c>
      <c r="N2460" s="5" t="inlineStr"/>
      <c r="O2460" s="8" t="inlineStr">
        <is>
          <t>209000</t>
        </is>
      </c>
      <c r="P2460" s="5" t="inlineStr">
        <is>
          <t>0</t>
        </is>
      </c>
      <c r="Q2460" s="5" t="inlineStr">
        <is>
          <t>5</t>
        </is>
      </c>
      <c r="R2460" s="5" t="inlineStr">
        <is>
          <t>9</t>
        </is>
      </c>
      <c r="S2460" s="5" t="inlineStr">
        <is>
          <t>14</t>
        </is>
      </c>
      <c r="T2460" s="5" t="inlineStr">
        <is>
          <t>1</t>
        </is>
      </c>
      <c r="U2460" s="5">
        <f>IFS(C2460&lt;30,"Under 30",C2460&lt;40,"30-39",C2460&lt;50,"40-49",TRUE,"50+")</f>
        <v/>
      </c>
      <c r="V2460" s="5">
        <f>IFS(O2460&lt;60000,"Low (&lt;60k)",O2460&lt;100000,"Mid (60-100k)",TRUE,"High (100k+)")</f>
        <v/>
      </c>
      <c r="W2460" s="5">
        <f>IF(M2460="No","Attrited","Active")</f>
        <v/>
      </c>
    </row>
    <row r="2461">
      <c r="A2461" s="5" t="inlineStr">
        <is>
          <t>E02460</t>
        </is>
      </c>
      <c r="B2461" s="5" t="inlineStr">
        <is>
          <t>Female</t>
        </is>
      </c>
      <c r="C2461" s="6" t="inlineStr">
        <is>
          <t>35</t>
        </is>
      </c>
      <c r="D2461" s="5" t="inlineStr">
        <is>
          <t>Single</t>
        </is>
      </c>
      <c r="E2461" s="5" t="inlineStr">
        <is>
          <t>PhD</t>
        </is>
      </c>
      <c r="F2461" s="5" t="inlineStr">
        <is>
          <t>IT</t>
        </is>
      </c>
      <c r="G2461" s="5" t="inlineStr">
        <is>
          <t>Data Analyst</t>
        </is>
      </c>
      <c r="H2461" s="5" t="inlineStr">
        <is>
          <t>3</t>
        </is>
      </c>
      <c r="I2461" s="5" t="inlineStr">
        <is>
          <t>Hyderabad</t>
        </is>
      </c>
      <c r="J2461" s="5" t="inlineStr">
        <is>
          <t>Full-Time</t>
        </is>
      </c>
      <c r="K2461" s="7" t="n">
        <v>45958</v>
      </c>
      <c r="L2461" s="7" t="inlineStr"/>
      <c r="M2461" s="5" t="inlineStr">
        <is>
          <t>Yes</t>
        </is>
      </c>
      <c r="N2461" s="5" t="inlineStr"/>
      <c r="O2461" s="8" t="inlineStr">
        <is>
          <t>175000</t>
        </is>
      </c>
      <c r="P2461" s="5" t="inlineStr">
        <is>
          <t>5</t>
        </is>
      </c>
      <c r="Q2461" s="5" t="inlineStr">
        <is>
          <t>3</t>
        </is>
      </c>
      <c r="R2461" s="5" t="inlineStr">
        <is>
          <t>7</t>
        </is>
      </c>
      <c r="S2461" s="5" t="inlineStr">
        <is>
          <t>2</t>
        </is>
      </c>
      <c r="T2461" s="5" t="inlineStr">
        <is>
          <t>10</t>
        </is>
      </c>
      <c r="U2461" s="5">
        <f>IFS(C2461&lt;30,"Under 30",C2461&lt;40,"30-39",C2461&lt;50,"40-49",TRUE,"50+")</f>
        <v/>
      </c>
      <c r="V2461" s="5">
        <f>IFS(O2461&lt;60000,"Low (&lt;60k)",O2461&lt;100000,"Mid (60-100k)",TRUE,"High (100k+)")</f>
        <v/>
      </c>
      <c r="W2461" s="5">
        <f>IF(M2461="No","Attrited","Active")</f>
        <v/>
      </c>
    </row>
    <row r="2462">
      <c r="A2462" s="5" t="inlineStr">
        <is>
          <t>E02461</t>
        </is>
      </c>
      <c r="B2462" s="5" t="inlineStr">
        <is>
          <t>Female</t>
        </is>
      </c>
      <c r="C2462" s="6" t="inlineStr">
        <is>
          <t>32</t>
        </is>
      </c>
      <c r="D2462" s="5" t="inlineStr">
        <is>
          <t>Single</t>
        </is>
      </c>
      <c r="E2462" s="5" t="inlineStr">
        <is>
          <t>High School</t>
        </is>
      </c>
      <c r="F2462" s="5" t="inlineStr">
        <is>
          <t>Human Resources</t>
        </is>
      </c>
      <c r="G2462" s="5" t="inlineStr">
        <is>
          <t>Recruiter</t>
        </is>
      </c>
      <c r="H2462" s="5" t="inlineStr">
        <is>
          <t>5</t>
        </is>
      </c>
      <c r="I2462" s="5" t="inlineStr">
        <is>
          <t>Chennai</t>
        </is>
      </c>
      <c r="J2462" s="5" t="inlineStr">
        <is>
          <t>Full-Time</t>
        </is>
      </c>
      <c r="K2462" s="7" t="n">
        <v>44107</v>
      </c>
      <c r="L2462" s="7" t="inlineStr"/>
      <c r="M2462" s="5" t="inlineStr">
        <is>
          <t>Yes</t>
        </is>
      </c>
      <c r="N2462" s="5" t="inlineStr"/>
      <c r="O2462" s="8" t="inlineStr">
        <is>
          <t>89500</t>
        </is>
      </c>
      <c r="P2462" s="5" t="inlineStr">
        <is>
          <t>0</t>
        </is>
      </c>
      <c r="Q2462" s="5" t="inlineStr">
        <is>
          <t>4</t>
        </is>
      </c>
      <c r="R2462" s="5" t="inlineStr">
        <is>
          <t>6</t>
        </is>
      </c>
      <c r="S2462" s="5" t="inlineStr">
        <is>
          <t>63</t>
        </is>
      </c>
      <c r="T2462" s="5" t="inlineStr">
        <is>
          <t>8</t>
        </is>
      </c>
      <c r="U2462" s="5">
        <f>IFS(C2462&lt;30,"Under 30",C2462&lt;40,"30-39",C2462&lt;50,"40-49",TRUE,"50+")</f>
        <v/>
      </c>
      <c r="V2462" s="5">
        <f>IFS(O2462&lt;60000,"Low (&lt;60k)",O2462&lt;100000,"Mid (60-100k)",TRUE,"High (100k+)")</f>
        <v/>
      </c>
      <c r="W2462" s="5">
        <f>IF(M2462="No","Attrited","Active")</f>
        <v/>
      </c>
    </row>
    <row r="2463">
      <c r="A2463" s="5" t="inlineStr">
        <is>
          <t>E02462</t>
        </is>
      </c>
      <c r="B2463" s="5" t="inlineStr">
        <is>
          <t>Male</t>
        </is>
      </c>
      <c r="C2463" s="6" t="inlineStr">
        <is>
          <t>33</t>
        </is>
      </c>
      <c r="D2463" s="5" t="inlineStr">
        <is>
          <t>Married</t>
        </is>
      </c>
      <c r="E2463" s="5" t="inlineStr">
        <is>
          <t>Diploma</t>
        </is>
      </c>
      <c r="F2463" s="5" t="inlineStr">
        <is>
          <t>Operations</t>
        </is>
      </c>
      <c r="G2463" s="5" t="inlineStr">
        <is>
          <t>Quality Analyst</t>
        </is>
      </c>
      <c r="H2463" s="5" t="inlineStr">
        <is>
          <t>3</t>
        </is>
      </c>
      <c r="I2463" s="5" t="inlineStr">
        <is>
          <t>Delhi</t>
        </is>
      </c>
      <c r="J2463" s="5" t="inlineStr">
        <is>
          <t>Full-Time</t>
        </is>
      </c>
      <c r="K2463" s="7" t="n">
        <v>45855</v>
      </c>
      <c r="L2463" s="7" t="inlineStr"/>
      <c r="M2463" s="5" t="inlineStr">
        <is>
          <t>Yes</t>
        </is>
      </c>
      <c r="N2463" s="5" t="inlineStr"/>
      <c r="O2463" s="8" t="inlineStr">
        <is>
          <t>104000</t>
        </is>
      </c>
      <c r="P2463" s="5" t="inlineStr">
        <is>
          <t>10</t>
        </is>
      </c>
      <c r="Q2463" s="5" t="inlineStr">
        <is>
          <t>1</t>
        </is>
      </c>
      <c r="R2463" s="5" t="inlineStr">
        <is>
          <t>3</t>
        </is>
      </c>
      <c r="S2463" s="5" t="inlineStr">
        <is>
          <t>5</t>
        </is>
      </c>
      <c r="T2463" s="5" t="inlineStr">
        <is>
          <t>0</t>
        </is>
      </c>
      <c r="U2463" s="5">
        <f>IFS(C2463&lt;30,"Under 30",C2463&lt;40,"30-39",C2463&lt;50,"40-49",TRUE,"50+")</f>
        <v/>
      </c>
      <c r="V2463" s="5">
        <f>IFS(O2463&lt;60000,"Low (&lt;60k)",O2463&lt;100000,"Mid (60-100k)",TRUE,"High (100k+)")</f>
        <v/>
      </c>
      <c r="W2463" s="5">
        <f>IF(M2463="No","Attrited","Active")</f>
        <v/>
      </c>
    </row>
    <row r="2464">
      <c r="A2464" s="5" t="inlineStr">
        <is>
          <t>E02463</t>
        </is>
      </c>
      <c r="B2464" s="5" t="inlineStr">
        <is>
          <t>Male</t>
        </is>
      </c>
      <c r="C2464" s="6" t="inlineStr">
        <is>
          <t>36</t>
        </is>
      </c>
      <c r="D2464" s="5" t="inlineStr">
        <is>
          <t>Married</t>
        </is>
      </c>
      <c r="E2464" s="5" t="inlineStr">
        <is>
          <t>Bachelor</t>
        </is>
      </c>
      <c r="F2464" s="5" t="inlineStr">
        <is>
          <t>Customer Support</t>
        </is>
      </c>
      <c r="G2464" s="5" t="inlineStr">
        <is>
          <t>Escalation Specialist</t>
        </is>
      </c>
      <c r="H2464" s="5" t="inlineStr">
        <is>
          <t>6</t>
        </is>
      </c>
      <c r="I2464" s="5" t="inlineStr">
        <is>
          <t>Chennai</t>
        </is>
      </c>
      <c r="J2464" s="5" t="inlineStr">
        <is>
          <t>Full-Time</t>
        </is>
      </c>
      <c r="K2464" s="7" t="n">
        <v>45290</v>
      </c>
      <c r="L2464" s="7" t="n">
        <v>45331</v>
      </c>
      <c r="M2464" s="5" t="inlineStr">
        <is>
          <t>No</t>
        </is>
      </c>
      <c r="N2464" s="5" t="inlineStr">
        <is>
          <t>Relocation</t>
        </is>
      </c>
      <c r="O2464" s="8" t="inlineStr">
        <is>
          <t>125500</t>
        </is>
      </c>
      <c r="P2464" s="5" t="inlineStr">
        <is>
          <t>10</t>
        </is>
      </c>
      <c r="Q2464" s="5" t="inlineStr">
        <is>
          <t>3</t>
        </is>
      </c>
      <c r="R2464" s="5" t="inlineStr">
        <is>
          <t>5</t>
        </is>
      </c>
      <c r="S2464" s="5" t="inlineStr">
        <is>
          <t>1</t>
        </is>
      </c>
      <c r="T2464" s="5" t="inlineStr">
        <is>
          <t>11</t>
        </is>
      </c>
      <c r="U2464" s="5">
        <f>IFS(C2464&lt;30,"Under 30",C2464&lt;40,"30-39",C2464&lt;50,"40-49",TRUE,"50+")</f>
        <v/>
      </c>
      <c r="V2464" s="5">
        <f>IFS(O2464&lt;60000,"Low (&lt;60k)",O2464&lt;100000,"Mid (60-100k)",TRUE,"High (100k+)")</f>
        <v/>
      </c>
      <c r="W2464" s="5">
        <f>IF(M2464="No","Attrited","Active")</f>
        <v/>
      </c>
    </row>
    <row r="2465">
      <c r="A2465" s="5" t="inlineStr">
        <is>
          <t>E02464</t>
        </is>
      </c>
      <c r="B2465" s="5" t="inlineStr">
        <is>
          <t>Male</t>
        </is>
      </c>
      <c r="C2465" s="6" t="inlineStr">
        <is>
          <t>34</t>
        </is>
      </c>
      <c r="D2465" s="5" t="inlineStr">
        <is>
          <t>Married</t>
        </is>
      </c>
      <c r="E2465" s="5" t="inlineStr">
        <is>
          <t>Diploma</t>
        </is>
      </c>
      <c r="F2465" s="5" t="inlineStr">
        <is>
          <t>Marketing</t>
        </is>
      </c>
      <c r="G2465" s="5" t="inlineStr">
        <is>
          <t>Marketing Analyst</t>
        </is>
      </c>
      <c r="H2465" s="5" t="inlineStr">
        <is>
          <t>3</t>
        </is>
      </c>
      <c r="I2465" s="5" t="inlineStr">
        <is>
          <t>Mumbai</t>
        </is>
      </c>
      <c r="J2465" s="5" t="inlineStr">
        <is>
          <t>Full-Time</t>
        </is>
      </c>
      <c r="K2465" s="7" t="n">
        <v>46019</v>
      </c>
      <c r="L2465" s="7" t="inlineStr"/>
      <c r="M2465" s="5" t="inlineStr">
        <is>
          <t>Yes</t>
        </is>
      </c>
      <c r="N2465" s="5" t="inlineStr"/>
      <c r="O2465" s="8" t="inlineStr">
        <is>
          <t>74000</t>
        </is>
      </c>
      <c r="P2465" s="5" t="inlineStr">
        <is>
          <t>0</t>
        </is>
      </c>
      <c r="Q2465" s="5" t="inlineStr">
        <is>
          <t>3</t>
        </is>
      </c>
      <c r="R2465" s="5" t="inlineStr">
        <is>
          <t>4</t>
        </is>
      </c>
      <c r="S2465" s="5" t="inlineStr">
        <is>
          <t>1</t>
        </is>
      </c>
      <c r="T2465" s="5" t="inlineStr">
        <is>
          <t>5</t>
        </is>
      </c>
      <c r="U2465" s="5">
        <f>IFS(C2465&lt;30,"Under 30",C2465&lt;40,"30-39",C2465&lt;50,"40-49",TRUE,"50+")</f>
        <v/>
      </c>
      <c r="V2465" s="5">
        <f>IFS(O2465&lt;60000,"Low (&lt;60k)",O2465&lt;100000,"Mid (60-100k)",TRUE,"High (100k+)")</f>
        <v/>
      </c>
      <c r="W2465" s="5">
        <f>IF(M2465="No","Attrited","Active")</f>
        <v/>
      </c>
    </row>
    <row r="2466">
      <c r="A2466" s="5" t="inlineStr">
        <is>
          <t>E02465</t>
        </is>
      </c>
      <c r="B2466" s="5" t="inlineStr">
        <is>
          <t>Male</t>
        </is>
      </c>
      <c r="C2466" s="6" t="inlineStr">
        <is>
          <t>29</t>
        </is>
      </c>
      <c r="D2466" s="5" t="inlineStr">
        <is>
          <t>Single</t>
        </is>
      </c>
      <c r="E2466" s="5" t="inlineStr">
        <is>
          <t>PhD</t>
        </is>
      </c>
      <c r="F2466" s="5" t="inlineStr">
        <is>
          <t>Sales</t>
        </is>
      </c>
      <c r="G2466" s="5" t="inlineStr">
        <is>
          <t>Business Development</t>
        </is>
      </c>
      <c r="H2466" s="5" t="inlineStr">
        <is>
          <t>3</t>
        </is>
      </c>
      <c r="I2466" s="5" t="inlineStr">
        <is>
          <t>Delhi</t>
        </is>
      </c>
      <c r="J2466" s="5" t="inlineStr">
        <is>
          <t>Contract</t>
        </is>
      </c>
      <c r="K2466" s="7" t="n">
        <v>44624</v>
      </c>
      <c r="L2466" s="7" t="inlineStr"/>
      <c r="M2466" s="5" t="inlineStr">
        <is>
          <t>Yes</t>
        </is>
      </c>
      <c r="N2466" s="5" t="inlineStr"/>
      <c r="O2466" s="8" t="inlineStr">
        <is>
          <t>113500</t>
        </is>
      </c>
      <c r="P2466" s="5" t="inlineStr">
        <is>
          <t>20</t>
        </is>
      </c>
      <c r="Q2466" s="5" t="inlineStr">
        <is>
          <t>5</t>
        </is>
      </c>
      <c r="R2466" s="5" t="inlineStr">
        <is>
          <t>7</t>
        </is>
      </c>
      <c r="S2466" s="5" t="inlineStr">
        <is>
          <t>46</t>
        </is>
      </c>
      <c r="T2466" s="5" t="inlineStr">
        <is>
          <t>8</t>
        </is>
      </c>
      <c r="U2466" s="5">
        <f>IFS(C2466&lt;30,"Under 30",C2466&lt;40,"30-39",C2466&lt;50,"40-49",TRUE,"50+")</f>
        <v/>
      </c>
      <c r="V2466" s="5">
        <f>IFS(O2466&lt;60000,"Low (&lt;60k)",O2466&lt;100000,"Mid (60-100k)",TRUE,"High (100k+)")</f>
        <v/>
      </c>
      <c r="W2466" s="5">
        <f>IF(M2466="No","Attrited","Active")</f>
        <v/>
      </c>
    </row>
    <row r="2467">
      <c r="A2467" s="5" t="inlineStr">
        <is>
          <t>E02466</t>
        </is>
      </c>
      <c r="B2467" s="5" t="inlineStr">
        <is>
          <t>Male</t>
        </is>
      </c>
      <c r="C2467" s="6" t="inlineStr">
        <is>
          <t>29</t>
        </is>
      </c>
      <c r="D2467" s="5" t="inlineStr">
        <is>
          <t>Married</t>
        </is>
      </c>
      <c r="E2467" s="5" t="inlineStr">
        <is>
          <t>PhD</t>
        </is>
      </c>
      <c r="F2467" s="5" t="inlineStr">
        <is>
          <t>Finance</t>
        </is>
      </c>
      <c r="G2467" s="5" t="inlineStr">
        <is>
          <t>Accountant</t>
        </is>
      </c>
      <c r="H2467" s="5" t="inlineStr">
        <is>
          <t>3</t>
        </is>
      </c>
      <c r="I2467" s="5" t="inlineStr">
        <is>
          <t>Hyderabad</t>
        </is>
      </c>
      <c r="J2467" s="5" t="inlineStr">
        <is>
          <t>Full-Time</t>
        </is>
      </c>
      <c r="K2467" s="7" t="n">
        <v>45981</v>
      </c>
      <c r="L2467" s="7" t="inlineStr"/>
      <c r="M2467" s="5" t="inlineStr">
        <is>
          <t>Yes</t>
        </is>
      </c>
      <c r="N2467" s="5" t="inlineStr"/>
      <c r="O2467" s="8" t="inlineStr">
        <is>
          <t>133500</t>
        </is>
      </c>
      <c r="P2467" s="5" t="inlineStr">
        <is>
          <t>10</t>
        </is>
      </c>
      <c r="Q2467" s="5" t="inlineStr">
        <is>
          <t>3</t>
        </is>
      </c>
      <c r="R2467" s="5" t="inlineStr">
        <is>
          <t>4</t>
        </is>
      </c>
      <c r="S2467" s="5" t="inlineStr">
        <is>
          <t>1</t>
        </is>
      </c>
      <c r="T2467" s="5" t="inlineStr">
        <is>
          <t>13</t>
        </is>
      </c>
      <c r="U2467" s="5">
        <f>IFS(C2467&lt;30,"Under 30",C2467&lt;40,"30-39",C2467&lt;50,"40-49",TRUE,"50+")</f>
        <v/>
      </c>
      <c r="V2467" s="5">
        <f>IFS(O2467&lt;60000,"Low (&lt;60k)",O2467&lt;100000,"Mid (60-100k)",TRUE,"High (100k+)")</f>
        <v/>
      </c>
      <c r="W2467" s="5">
        <f>IF(M2467="No","Attrited","Active")</f>
        <v/>
      </c>
    </row>
    <row r="2468">
      <c r="A2468" s="5" t="inlineStr">
        <is>
          <t>E02467</t>
        </is>
      </c>
      <c r="B2468" s="5" t="inlineStr">
        <is>
          <t>Male</t>
        </is>
      </c>
      <c r="C2468" s="6" t="inlineStr">
        <is>
          <t>38</t>
        </is>
      </c>
      <c r="D2468" s="5" t="inlineStr">
        <is>
          <t>Single</t>
        </is>
      </c>
      <c r="E2468" s="5" t="inlineStr">
        <is>
          <t>Bachelor</t>
        </is>
      </c>
      <c r="F2468" s="5" t="inlineStr">
        <is>
          <t>Operations</t>
        </is>
      </c>
      <c r="G2468" s="5" t="inlineStr">
        <is>
          <t>Operations Analyst</t>
        </is>
      </c>
      <c r="H2468" s="5" t="inlineStr">
        <is>
          <t>4</t>
        </is>
      </c>
      <c r="I2468" s="5" t="inlineStr">
        <is>
          <t>Remote</t>
        </is>
      </c>
      <c r="J2468" s="5" t="inlineStr">
        <is>
          <t>Contract</t>
        </is>
      </c>
      <c r="K2468" s="7" t="n">
        <v>45262</v>
      </c>
      <c r="L2468" s="7" t="n">
        <v>45400</v>
      </c>
      <c r="M2468" s="5" t="inlineStr">
        <is>
          <t>No</t>
        </is>
      </c>
      <c r="N2468" s="5" t="inlineStr">
        <is>
          <t>Resigned</t>
        </is>
      </c>
      <c r="O2468" s="8" t="inlineStr">
        <is>
          <t>128500</t>
        </is>
      </c>
      <c r="P2468" s="5" t="inlineStr">
        <is>
          <t>10</t>
        </is>
      </c>
      <c r="Q2468" s="5" t="inlineStr">
        <is>
          <t>4</t>
        </is>
      </c>
      <c r="R2468" s="5" t="inlineStr">
        <is>
          <t>8</t>
        </is>
      </c>
      <c r="S2468" s="5" t="inlineStr">
        <is>
          <t>4</t>
        </is>
      </c>
      <c r="T2468" s="5" t="inlineStr">
        <is>
          <t>7</t>
        </is>
      </c>
      <c r="U2468" s="5">
        <f>IFS(C2468&lt;30,"Under 30",C2468&lt;40,"30-39",C2468&lt;50,"40-49",TRUE,"50+")</f>
        <v/>
      </c>
      <c r="V2468" s="5">
        <f>IFS(O2468&lt;60000,"Low (&lt;60k)",O2468&lt;100000,"Mid (60-100k)",TRUE,"High (100k+)")</f>
        <v/>
      </c>
      <c r="W2468" s="5">
        <f>IF(M2468="No","Attrited","Active")</f>
        <v/>
      </c>
    </row>
    <row r="2469">
      <c r="A2469" s="5" t="inlineStr">
        <is>
          <t>E02468</t>
        </is>
      </c>
      <c r="B2469" s="5" t="inlineStr">
        <is>
          <t>Male</t>
        </is>
      </c>
      <c r="C2469" s="6" t="inlineStr">
        <is>
          <t>41</t>
        </is>
      </c>
      <c r="D2469" s="5" t="inlineStr">
        <is>
          <t>Married</t>
        </is>
      </c>
      <c r="E2469" s="5" t="inlineStr">
        <is>
          <t>Bachelor</t>
        </is>
      </c>
      <c r="F2469" s="5" t="inlineStr">
        <is>
          <t>Operations</t>
        </is>
      </c>
      <c r="G2469" s="5" t="inlineStr">
        <is>
          <t>Logistics Coordinator</t>
        </is>
      </c>
      <c r="H2469" s="5" t="inlineStr">
        <is>
          <t>5</t>
        </is>
      </c>
      <c r="I2469" s="5" t="inlineStr">
        <is>
          <t>Delhi</t>
        </is>
      </c>
      <c r="J2469" s="5" t="inlineStr">
        <is>
          <t>Full-Time</t>
        </is>
      </c>
      <c r="K2469" s="7" t="n">
        <v>44788</v>
      </c>
      <c r="L2469" s="7" t="inlineStr"/>
      <c r="M2469" s="5" t="inlineStr">
        <is>
          <t>Yes</t>
        </is>
      </c>
      <c r="N2469" s="5" t="inlineStr"/>
      <c r="O2469" s="8" t="inlineStr">
        <is>
          <t>87500</t>
        </is>
      </c>
      <c r="P2469" s="5" t="inlineStr">
        <is>
          <t>0</t>
        </is>
      </c>
      <c r="Q2469" s="5" t="inlineStr">
        <is>
          <t>3</t>
        </is>
      </c>
      <c r="R2469" s="5" t="inlineStr">
        <is>
          <t>8</t>
        </is>
      </c>
      <c r="S2469" s="5" t="inlineStr">
        <is>
          <t>41</t>
        </is>
      </c>
      <c r="T2469" s="5" t="inlineStr">
        <is>
          <t>4</t>
        </is>
      </c>
      <c r="U2469" s="5">
        <f>IFS(C2469&lt;30,"Under 30",C2469&lt;40,"30-39",C2469&lt;50,"40-49",TRUE,"50+")</f>
        <v/>
      </c>
      <c r="V2469" s="5">
        <f>IFS(O2469&lt;60000,"Low (&lt;60k)",O2469&lt;100000,"Mid (60-100k)",TRUE,"High (100k+)")</f>
        <v/>
      </c>
      <c r="W2469" s="5">
        <f>IF(M2469="No","Attrited","Active")</f>
        <v/>
      </c>
    </row>
    <row r="2470">
      <c r="A2470" s="5" t="inlineStr">
        <is>
          <t>E02469</t>
        </is>
      </c>
      <c r="B2470" s="5" t="inlineStr">
        <is>
          <t>Female</t>
        </is>
      </c>
      <c r="C2470" s="6" t="inlineStr">
        <is>
          <t>36</t>
        </is>
      </c>
      <c r="D2470" s="5" t="inlineStr">
        <is>
          <t>Married</t>
        </is>
      </c>
      <c r="E2470" s="5" t="inlineStr">
        <is>
          <t>Bachelor</t>
        </is>
      </c>
      <c r="F2470" s="5" t="inlineStr">
        <is>
          <t>Research &amp; Development</t>
        </is>
      </c>
      <c r="G2470" s="5" t="inlineStr">
        <is>
          <t>Product Engineer</t>
        </is>
      </c>
      <c r="H2470" s="5" t="inlineStr">
        <is>
          <t>3</t>
        </is>
      </c>
      <c r="I2470" s="5" t="inlineStr">
        <is>
          <t>Hyderabad</t>
        </is>
      </c>
      <c r="J2470" s="5" t="inlineStr">
        <is>
          <t>Full-Time</t>
        </is>
      </c>
      <c r="K2470" s="7" t="n">
        <v>45134</v>
      </c>
      <c r="L2470" s="7" t="inlineStr"/>
      <c r="M2470" s="5" t="inlineStr">
        <is>
          <t>Yes</t>
        </is>
      </c>
      <c r="N2470" s="5" t="inlineStr"/>
      <c r="O2470" s="8" t="inlineStr">
        <is>
          <t>209000</t>
        </is>
      </c>
      <c r="P2470" s="5" t="inlineStr">
        <is>
          <t>5</t>
        </is>
      </c>
      <c r="Q2470" s="5" t="inlineStr">
        <is>
          <t>5</t>
        </is>
      </c>
      <c r="R2470" s="5" t="inlineStr">
        <is>
          <t>8</t>
        </is>
      </c>
      <c r="S2470" s="5" t="inlineStr">
        <is>
          <t>29</t>
        </is>
      </c>
      <c r="T2470" s="5" t="inlineStr">
        <is>
          <t>2</t>
        </is>
      </c>
      <c r="U2470" s="5">
        <f>IFS(C2470&lt;30,"Under 30",C2470&lt;40,"30-39",C2470&lt;50,"40-49",TRUE,"50+")</f>
        <v/>
      </c>
      <c r="V2470" s="5">
        <f>IFS(O2470&lt;60000,"Low (&lt;60k)",O2470&lt;100000,"Mid (60-100k)",TRUE,"High (100k+)")</f>
        <v/>
      </c>
      <c r="W2470" s="5">
        <f>IF(M2470="No","Attrited","Active")</f>
        <v/>
      </c>
    </row>
    <row r="2471">
      <c r="A2471" s="5" t="inlineStr">
        <is>
          <t>E02470</t>
        </is>
      </c>
      <c r="B2471" s="5" t="inlineStr">
        <is>
          <t>Male</t>
        </is>
      </c>
      <c r="C2471" s="6" t="inlineStr">
        <is>
          <t>33</t>
        </is>
      </c>
      <c r="D2471" s="5" t="inlineStr">
        <is>
          <t>Single</t>
        </is>
      </c>
      <c r="E2471" s="5" t="inlineStr">
        <is>
          <t>PhD</t>
        </is>
      </c>
      <c r="F2471" s="5" t="inlineStr">
        <is>
          <t>Sales</t>
        </is>
      </c>
      <c r="G2471" s="5" t="inlineStr">
        <is>
          <t>Sales Executive</t>
        </is>
      </c>
      <c r="H2471" s="5" t="inlineStr">
        <is>
          <t>1</t>
        </is>
      </c>
      <c r="I2471" s="5" t="inlineStr">
        <is>
          <t>Delhi</t>
        </is>
      </c>
      <c r="J2471" s="5" t="inlineStr">
        <is>
          <t>Full-Time</t>
        </is>
      </c>
      <c r="K2471" s="7" t="n">
        <v>44433</v>
      </c>
      <c r="L2471" s="7" t="n">
        <v>44524</v>
      </c>
      <c r="M2471" s="5" t="inlineStr">
        <is>
          <t>No</t>
        </is>
      </c>
      <c r="N2471" s="5" t="inlineStr">
        <is>
          <t>Performance / Termination</t>
        </is>
      </c>
      <c r="O2471" s="8" t="inlineStr">
        <is>
          <t>92000</t>
        </is>
      </c>
      <c r="P2471" s="5" t="inlineStr">
        <is>
          <t>0</t>
        </is>
      </c>
      <c r="Q2471" s="5" t="inlineStr">
        <is>
          <t>5</t>
        </is>
      </c>
      <c r="R2471" s="5" t="inlineStr">
        <is>
          <t>7</t>
        </is>
      </c>
      <c r="S2471" s="5" t="inlineStr">
        <is>
          <t>3</t>
        </is>
      </c>
      <c r="T2471" s="5" t="inlineStr">
        <is>
          <t>5</t>
        </is>
      </c>
      <c r="U2471" s="5">
        <f>IFS(C2471&lt;30,"Under 30",C2471&lt;40,"30-39",C2471&lt;50,"40-49",TRUE,"50+")</f>
        <v/>
      </c>
      <c r="V2471" s="5">
        <f>IFS(O2471&lt;60000,"Low (&lt;60k)",O2471&lt;100000,"Mid (60-100k)",TRUE,"High (100k+)")</f>
        <v/>
      </c>
      <c r="W2471" s="5">
        <f>IF(M2471="No","Attrited","Active")</f>
        <v/>
      </c>
    </row>
    <row r="2472">
      <c r="A2472" s="5" t="inlineStr">
        <is>
          <t>E02471</t>
        </is>
      </c>
      <c r="B2472" s="5" t="inlineStr">
        <is>
          <t>Female</t>
        </is>
      </c>
      <c r="C2472" s="6" t="inlineStr">
        <is>
          <t>32</t>
        </is>
      </c>
      <c r="D2472" s="5" t="inlineStr">
        <is>
          <t>Married</t>
        </is>
      </c>
      <c r="E2472" s="5" t="inlineStr">
        <is>
          <t>PhD</t>
        </is>
      </c>
      <c r="F2472" s="5" t="inlineStr">
        <is>
          <t>Research &amp; Development</t>
        </is>
      </c>
      <c r="G2472" s="5" t="inlineStr">
        <is>
          <t>Data Scientist</t>
        </is>
      </c>
      <c r="H2472" s="5" t="inlineStr">
        <is>
          <t>1</t>
        </is>
      </c>
      <c r="I2472" s="5" t="inlineStr">
        <is>
          <t>Chennai</t>
        </is>
      </c>
      <c r="J2472" s="5" t="inlineStr">
        <is>
          <t>Full-Time</t>
        </is>
      </c>
      <c r="K2472" s="7" t="n">
        <v>44378</v>
      </c>
      <c r="L2472" s="7" t="inlineStr"/>
      <c r="M2472" s="5" t="inlineStr">
        <is>
          <t>Yes</t>
        </is>
      </c>
      <c r="N2472" s="5" t="inlineStr"/>
      <c r="O2472" s="8" t="inlineStr">
        <is>
          <t>135500</t>
        </is>
      </c>
      <c r="P2472" s="5" t="inlineStr">
        <is>
          <t>10</t>
        </is>
      </c>
      <c r="Q2472" s="5" t="inlineStr">
        <is>
          <t>3</t>
        </is>
      </c>
      <c r="R2472" s="5" t="inlineStr">
        <is>
          <t>4</t>
        </is>
      </c>
      <c r="S2472" s="5" t="inlineStr">
        <is>
          <t>54</t>
        </is>
      </c>
      <c r="T2472" s="5" t="inlineStr">
        <is>
          <t>4</t>
        </is>
      </c>
      <c r="U2472" s="5">
        <f>IFS(C2472&lt;30,"Under 30",C2472&lt;40,"30-39",C2472&lt;50,"40-49",TRUE,"50+")</f>
        <v/>
      </c>
      <c r="V2472" s="5">
        <f>IFS(O2472&lt;60000,"Low (&lt;60k)",O2472&lt;100000,"Mid (60-100k)",TRUE,"High (100k+)")</f>
        <v/>
      </c>
      <c r="W2472" s="5">
        <f>IF(M2472="No","Attrited","Active")</f>
        <v/>
      </c>
    </row>
    <row r="2473">
      <c r="A2473" s="5" t="inlineStr">
        <is>
          <t>E02472</t>
        </is>
      </c>
      <c r="B2473" s="5" t="inlineStr">
        <is>
          <t>Male</t>
        </is>
      </c>
      <c r="C2473" s="6" t="inlineStr">
        <is>
          <t>36</t>
        </is>
      </c>
      <c r="D2473" s="5" t="inlineStr">
        <is>
          <t>Married</t>
        </is>
      </c>
      <c r="E2473" s="5" t="inlineStr">
        <is>
          <t>PhD</t>
        </is>
      </c>
      <c r="F2473" s="5" t="inlineStr">
        <is>
          <t>Marketing</t>
        </is>
      </c>
      <c r="G2473" s="5" t="inlineStr">
        <is>
          <t>Content Writer</t>
        </is>
      </c>
      <c r="H2473" s="5" t="inlineStr">
        <is>
          <t>3</t>
        </is>
      </c>
      <c r="I2473" s="5" t="inlineStr">
        <is>
          <t>Chennai</t>
        </is>
      </c>
      <c r="J2473" s="5" t="inlineStr">
        <is>
          <t>Full-Time</t>
        </is>
      </c>
      <c r="K2473" s="7" t="n">
        <v>45794</v>
      </c>
      <c r="L2473" s="7" t="inlineStr"/>
      <c r="M2473" s="5" t="inlineStr">
        <is>
          <t>Yes</t>
        </is>
      </c>
      <c r="N2473" s="5" t="inlineStr"/>
      <c r="O2473" s="8" t="inlineStr">
        <is>
          <t>68000</t>
        </is>
      </c>
      <c r="P2473" s="5" t="inlineStr">
        <is>
          <t>0</t>
        </is>
      </c>
      <c r="Q2473" s="5" t="inlineStr">
        <is>
          <t>3</t>
        </is>
      </c>
      <c r="R2473" s="5" t="inlineStr">
        <is>
          <t>6</t>
        </is>
      </c>
      <c r="S2473" s="5" t="inlineStr">
        <is>
          <t>7</t>
        </is>
      </c>
      <c r="T2473" s="5" t="inlineStr">
        <is>
          <t>1</t>
        </is>
      </c>
      <c r="U2473" s="5">
        <f>IFS(C2473&lt;30,"Under 30",C2473&lt;40,"30-39",C2473&lt;50,"40-49",TRUE,"50+")</f>
        <v/>
      </c>
      <c r="V2473" s="5">
        <f>IFS(O2473&lt;60000,"Low (&lt;60k)",O2473&lt;100000,"Mid (60-100k)",TRUE,"High (100k+)")</f>
        <v/>
      </c>
      <c r="W2473" s="5">
        <f>IF(M2473="No","Attrited","Active")</f>
        <v/>
      </c>
    </row>
    <row r="2474">
      <c r="A2474" s="5" t="inlineStr">
        <is>
          <t>E02473</t>
        </is>
      </c>
      <c r="B2474" s="5" t="inlineStr">
        <is>
          <t>Female</t>
        </is>
      </c>
      <c r="C2474" s="6" t="inlineStr">
        <is>
          <t>38</t>
        </is>
      </c>
      <c r="D2474" s="5" t="inlineStr">
        <is>
          <t>Married</t>
        </is>
      </c>
      <c r="E2474" s="5" t="inlineStr">
        <is>
          <t>High School</t>
        </is>
      </c>
      <c r="F2474" s="5" t="inlineStr">
        <is>
          <t>Customer Support</t>
        </is>
      </c>
      <c r="G2474" s="5" t="inlineStr">
        <is>
          <t>Support Agent</t>
        </is>
      </c>
      <c r="H2474" s="5" t="inlineStr">
        <is>
          <t>4</t>
        </is>
      </c>
      <c r="I2474" s="5" t="inlineStr">
        <is>
          <t>Chennai</t>
        </is>
      </c>
      <c r="J2474" s="5" t="inlineStr">
        <is>
          <t>Full-Time</t>
        </is>
      </c>
      <c r="K2474" s="7" t="n">
        <v>44586</v>
      </c>
      <c r="L2474" s="7" t="inlineStr"/>
      <c r="M2474" s="5" t="inlineStr">
        <is>
          <t>Yes</t>
        </is>
      </c>
      <c r="N2474" s="5" t="inlineStr"/>
      <c r="O2474" s="8" t="inlineStr">
        <is>
          <t>70500</t>
        </is>
      </c>
      <c r="P2474" s="5" t="inlineStr">
        <is>
          <t>0</t>
        </is>
      </c>
      <c r="Q2474" s="5" t="inlineStr">
        <is>
          <t>4</t>
        </is>
      </c>
      <c r="R2474" s="5" t="inlineStr">
        <is>
          <t>5</t>
        </is>
      </c>
      <c r="S2474" s="5" t="inlineStr">
        <is>
          <t>47</t>
        </is>
      </c>
      <c r="T2474" s="5" t="inlineStr">
        <is>
          <t>5</t>
        </is>
      </c>
      <c r="U2474" s="5">
        <f>IFS(C2474&lt;30,"Under 30",C2474&lt;40,"30-39",C2474&lt;50,"40-49",TRUE,"50+")</f>
        <v/>
      </c>
      <c r="V2474" s="5">
        <f>IFS(O2474&lt;60000,"Low (&lt;60k)",O2474&lt;100000,"Mid (60-100k)",TRUE,"High (100k+)")</f>
        <v/>
      </c>
      <c r="W2474" s="5">
        <f>IF(M2474="No","Attrited","Active")</f>
        <v/>
      </c>
    </row>
    <row r="2475">
      <c r="A2475" s="5" t="inlineStr">
        <is>
          <t>E02474</t>
        </is>
      </c>
      <c r="B2475" s="5" t="inlineStr">
        <is>
          <t>Female</t>
        </is>
      </c>
      <c r="C2475" s="6" t="inlineStr">
        <is>
          <t>28</t>
        </is>
      </c>
      <c r="D2475" s="5" t="inlineStr">
        <is>
          <t>Married</t>
        </is>
      </c>
      <c r="E2475" s="5" t="inlineStr">
        <is>
          <t>Diploma</t>
        </is>
      </c>
      <c r="F2475" s="5" t="inlineStr">
        <is>
          <t>Sales</t>
        </is>
      </c>
      <c r="G2475" s="5" t="inlineStr">
        <is>
          <t>Business Development</t>
        </is>
      </c>
      <c r="H2475" s="5" t="inlineStr">
        <is>
          <t>3</t>
        </is>
      </c>
      <c r="I2475" s="5" t="inlineStr">
        <is>
          <t>Bengaluru</t>
        </is>
      </c>
      <c r="J2475" s="5" t="inlineStr">
        <is>
          <t>Full-Time</t>
        </is>
      </c>
      <c r="K2475" s="7" t="n">
        <v>44996</v>
      </c>
      <c r="L2475" s="7" t="inlineStr"/>
      <c r="M2475" s="5" t="inlineStr">
        <is>
          <t>Yes</t>
        </is>
      </c>
      <c r="N2475" s="5" t="inlineStr"/>
      <c r="O2475" s="8" t="inlineStr">
        <is>
          <t>105500</t>
        </is>
      </c>
      <c r="P2475" s="5" t="inlineStr">
        <is>
          <t>10</t>
        </is>
      </c>
      <c r="Q2475" s="5" t="inlineStr">
        <is>
          <t>3</t>
        </is>
      </c>
      <c r="R2475" s="5" t="inlineStr">
        <is>
          <t>10</t>
        </is>
      </c>
      <c r="S2475" s="5" t="inlineStr">
        <is>
          <t>34</t>
        </is>
      </c>
      <c r="T2475" s="5" t="inlineStr">
        <is>
          <t>12</t>
        </is>
      </c>
      <c r="U2475" s="5">
        <f>IFS(C2475&lt;30,"Under 30",C2475&lt;40,"30-39",C2475&lt;50,"40-49",TRUE,"50+")</f>
        <v/>
      </c>
      <c r="V2475" s="5">
        <f>IFS(O2475&lt;60000,"Low (&lt;60k)",O2475&lt;100000,"Mid (60-100k)",TRUE,"High (100k+)")</f>
        <v/>
      </c>
      <c r="W2475" s="5">
        <f>IF(M2475="No","Attrited","Active")</f>
        <v/>
      </c>
    </row>
    <row r="2476">
      <c r="A2476" s="5" t="inlineStr">
        <is>
          <t>E02475</t>
        </is>
      </c>
      <c r="B2476" s="5" t="inlineStr">
        <is>
          <t>Female</t>
        </is>
      </c>
      <c r="C2476" s="6" t="inlineStr">
        <is>
          <t>30</t>
        </is>
      </c>
      <c r="D2476" s="5" t="inlineStr">
        <is>
          <t>Single</t>
        </is>
      </c>
      <c r="E2476" s="5" t="inlineStr">
        <is>
          <t>High School</t>
        </is>
      </c>
      <c r="F2476" s="5" t="inlineStr">
        <is>
          <t>Finance</t>
        </is>
      </c>
      <c r="G2476" s="5" t="inlineStr">
        <is>
          <t>Financial Analyst</t>
        </is>
      </c>
      <c r="H2476" s="5" t="inlineStr">
        <is>
          <t>1</t>
        </is>
      </c>
      <c r="I2476" s="5" t="inlineStr">
        <is>
          <t>Chennai</t>
        </is>
      </c>
      <c r="J2476" s="5" t="inlineStr">
        <is>
          <t>Contract</t>
        </is>
      </c>
      <c r="K2476" s="7" t="n">
        <v>44171</v>
      </c>
      <c r="L2476" s="7" t="n">
        <v>44310</v>
      </c>
      <c r="M2476" s="5" t="inlineStr">
        <is>
          <t>No</t>
        </is>
      </c>
      <c r="N2476" s="5" t="inlineStr">
        <is>
          <t>Resigned</t>
        </is>
      </c>
      <c r="O2476" s="8" t="inlineStr">
        <is>
          <t>70500</t>
        </is>
      </c>
      <c r="P2476" s="5" t="inlineStr">
        <is>
          <t>5</t>
        </is>
      </c>
      <c r="Q2476" s="5" t="inlineStr">
        <is>
          <t>4</t>
        </is>
      </c>
      <c r="R2476" s="5" t="inlineStr">
        <is>
          <t>6</t>
        </is>
      </c>
      <c r="S2476" s="5" t="inlineStr">
        <is>
          <t>4</t>
        </is>
      </c>
      <c r="T2476" s="5" t="inlineStr">
        <is>
          <t>4</t>
        </is>
      </c>
      <c r="U2476" s="5">
        <f>IFS(C2476&lt;30,"Under 30",C2476&lt;40,"30-39",C2476&lt;50,"40-49",TRUE,"50+")</f>
        <v/>
      </c>
      <c r="V2476" s="5">
        <f>IFS(O2476&lt;60000,"Low (&lt;60k)",O2476&lt;100000,"Mid (60-100k)",TRUE,"High (100k+)")</f>
        <v/>
      </c>
      <c r="W2476" s="5">
        <f>IF(M2476="No","Attrited","Active")</f>
        <v/>
      </c>
    </row>
    <row r="2477">
      <c r="A2477" s="5" t="inlineStr">
        <is>
          <t>E02476</t>
        </is>
      </c>
      <c r="B2477" s="5" t="inlineStr">
        <is>
          <t>Male</t>
        </is>
      </c>
      <c r="C2477" s="6" t="inlineStr">
        <is>
          <t>36</t>
        </is>
      </c>
      <c r="D2477" s="5" t="inlineStr">
        <is>
          <t>Married</t>
        </is>
      </c>
      <c r="E2477" s="5" t="inlineStr">
        <is>
          <t>PhD</t>
        </is>
      </c>
      <c r="F2477" s="5" t="inlineStr">
        <is>
          <t>Marketing</t>
        </is>
      </c>
      <c r="G2477" s="5" t="inlineStr">
        <is>
          <t>Content Writer</t>
        </is>
      </c>
      <c r="H2477" s="5" t="inlineStr">
        <is>
          <t>7</t>
        </is>
      </c>
      <c r="I2477" s="5" t="inlineStr">
        <is>
          <t>Chennai</t>
        </is>
      </c>
      <c r="J2477" s="5" t="inlineStr">
        <is>
          <t>Full-Time</t>
        </is>
      </c>
      <c r="K2477" s="7" t="n">
        <v>43944</v>
      </c>
      <c r="L2477" s="7" t="inlineStr"/>
      <c r="M2477" s="5" t="inlineStr">
        <is>
          <t>Yes</t>
        </is>
      </c>
      <c r="N2477" s="5" t="inlineStr"/>
      <c r="O2477" s="8" t="inlineStr">
        <is>
          <t>137500</t>
        </is>
      </c>
      <c r="P2477" s="5" t="inlineStr">
        <is>
          <t>5</t>
        </is>
      </c>
      <c r="Q2477" s="5" t="inlineStr">
        <is>
          <t>4</t>
        </is>
      </c>
      <c r="R2477" s="5" t="inlineStr">
        <is>
          <t>10</t>
        </is>
      </c>
      <c r="S2477" s="5" t="inlineStr">
        <is>
          <t>69</t>
        </is>
      </c>
      <c r="T2477" s="5" t="inlineStr">
        <is>
          <t>12</t>
        </is>
      </c>
      <c r="U2477" s="5">
        <f>IFS(C2477&lt;30,"Under 30",C2477&lt;40,"30-39",C2477&lt;50,"40-49",TRUE,"50+")</f>
        <v/>
      </c>
      <c r="V2477" s="5">
        <f>IFS(O2477&lt;60000,"Low (&lt;60k)",O2477&lt;100000,"Mid (60-100k)",TRUE,"High (100k+)")</f>
        <v/>
      </c>
      <c r="W2477" s="5">
        <f>IF(M2477="No","Attrited","Active")</f>
        <v/>
      </c>
    </row>
    <row r="2478">
      <c r="A2478" s="5" t="inlineStr">
        <is>
          <t>E02477</t>
        </is>
      </c>
      <c r="B2478" s="5" t="inlineStr">
        <is>
          <t>Male</t>
        </is>
      </c>
      <c r="C2478" s="6" t="inlineStr">
        <is>
          <t>31</t>
        </is>
      </c>
      <c r="D2478" s="5" t="inlineStr">
        <is>
          <t>Married</t>
        </is>
      </c>
      <c r="E2478" s="5" t="inlineStr">
        <is>
          <t>High School</t>
        </is>
      </c>
      <c r="F2478" s="5" t="inlineStr">
        <is>
          <t>Operations</t>
        </is>
      </c>
      <c r="G2478" s="5" t="inlineStr">
        <is>
          <t>Logistics Coordinator</t>
        </is>
      </c>
      <c r="H2478" s="5" t="inlineStr">
        <is>
          <t>1</t>
        </is>
      </c>
      <c r="I2478" s="5" t="inlineStr">
        <is>
          <t>Remote</t>
        </is>
      </c>
      <c r="J2478" s="5" t="inlineStr">
        <is>
          <t>Full-Time</t>
        </is>
      </c>
      <c r="K2478" s="7" t="n">
        <v>45539</v>
      </c>
      <c r="L2478" s="7" t="inlineStr"/>
      <c r="M2478" s="5" t="inlineStr">
        <is>
          <t>Yes</t>
        </is>
      </c>
      <c r="N2478" s="5" t="inlineStr"/>
      <c r="O2478" s="8" t="inlineStr">
        <is>
          <t>89500</t>
        </is>
      </c>
      <c r="P2478" s="5" t="inlineStr">
        <is>
          <t>10</t>
        </is>
      </c>
      <c r="Q2478" s="5" t="inlineStr">
        <is>
          <t>3</t>
        </is>
      </c>
      <c r="R2478" s="5" t="inlineStr">
        <is>
          <t>7</t>
        </is>
      </c>
      <c r="S2478" s="5" t="inlineStr">
        <is>
          <t>16</t>
        </is>
      </c>
      <c r="T2478" s="5" t="inlineStr">
        <is>
          <t>3</t>
        </is>
      </c>
      <c r="U2478" s="5">
        <f>IFS(C2478&lt;30,"Under 30",C2478&lt;40,"30-39",C2478&lt;50,"40-49",TRUE,"50+")</f>
        <v/>
      </c>
      <c r="V2478" s="5">
        <f>IFS(O2478&lt;60000,"Low (&lt;60k)",O2478&lt;100000,"Mid (60-100k)",TRUE,"High (100k+)")</f>
        <v/>
      </c>
      <c r="W2478" s="5">
        <f>IF(M2478="No","Attrited","Active")</f>
        <v/>
      </c>
    </row>
    <row r="2479">
      <c r="A2479" s="5" t="inlineStr">
        <is>
          <t>E02478</t>
        </is>
      </c>
      <c r="B2479" s="5" t="inlineStr">
        <is>
          <t>Male</t>
        </is>
      </c>
      <c r="C2479" s="6" t="inlineStr">
        <is>
          <t>26</t>
        </is>
      </c>
      <c r="D2479" s="5" t="inlineStr">
        <is>
          <t>Married</t>
        </is>
      </c>
      <c r="E2479" s="5" t="inlineStr">
        <is>
          <t>PhD</t>
        </is>
      </c>
      <c r="F2479" s="5" t="inlineStr">
        <is>
          <t>Sales</t>
        </is>
      </c>
      <c r="G2479" s="5" t="inlineStr">
        <is>
          <t>Business Development</t>
        </is>
      </c>
      <c r="H2479" s="5" t="inlineStr">
        <is>
          <t>2</t>
        </is>
      </c>
      <c r="I2479" s="5" t="inlineStr">
        <is>
          <t>Chennai</t>
        </is>
      </c>
      <c r="J2479" s="5" t="inlineStr">
        <is>
          <t>Full-Time</t>
        </is>
      </c>
      <c r="K2479" s="7" t="n">
        <v>45163</v>
      </c>
      <c r="L2479" s="7" t="inlineStr"/>
      <c r="M2479" s="5" t="inlineStr">
        <is>
          <t>Yes</t>
        </is>
      </c>
      <c r="N2479" s="5" t="inlineStr"/>
      <c r="O2479" s="8" t="inlineStr">
        <is>
          <t>69000</t>
        </is>
      </c>
      <c r="P2479" s="5" t="inlineStr">
        <is>
          <t>5</t>
        </is>
      </c>
      <c r="Q2479" s="5" t="inlineStr">
        <is>
          <t>4</t>
        </is>
      </c>
      <c r="R2479" s="5" t="inlineStr">
        <is>
          <t>6</t>
        </is>
      </c>
      <c r="S2479" s="5" t="inlineStr">
        <is>
          <t>28</t>
        </is>
      </c>
      <c r="T2479" s="5" t="inlineStr">
        <is>
          <t>3</t>
        </is>
      </c>
      <c r="U2479" s="5">
        <f>IFS(C2479&lt;30,"Under 30",C2479&lt;40,"30-39",C2479&lt;50,"40-49",TRUE,"50+")</f>
        <v/>
      </c>
      <c r="V2479" s="5">
        <f>IFS(O2479&lt;60000,"Low (&lt;60k)",O2479&lt;100000,"Mid (60-100k)",TRUE,"High (100k+)")</f>
        <v/>
      </c>
      <c r="W2479" s="5">
        <f>IF(M2479="No","Attrited","Active")</f>
        <v/>
      </c>
    </row>
    <row r="2480">
      <c r="A2480" s="5" t="inlineStr">
        <is>
          <t>E02479</t>
        </is>
      </c>
      <c r="B2480" s="5" t="inlineStr">
        <is>
          <t>Female</t>
        </is>
      </c>
      <c r="C2480" s="6" t="inlineStr">
        <is>
          <t>37</t>
        </is>
      </c>
      <c r="D2480" s="5" t="inlineStr">
        <is>
          <t>Married</t>
        </is>
      </c>
      <c r="E2480" s="5" t="inlineStr">
        <is>
          <t>Diploma</t>
        </is>
      </c>
      <c r="F2480" s="5" t="inlineStr">
        <is>
          <t>IT</t>
        </is>
      </c>
      <c r="G2480" s="5" t="inlineStr">
        <is>
          <t>IT Support</t>
        </is>
      </c>
      <c r="H2480" s="5" t="inlineStr">
        <is>
          <t>5</t>
        </is>
      </c>
      <c r="I2480" s="5" t="inlineStr">
        <is>
          <t>Hyderabad</t>
        </is>
      </c>
      <c r="J2480" s="5" t="inlineStr">
        <is>
          <t>Full-Time</t>
        </is>
      </c>
      <c r="K2480" s="7" t="n">
        <v>45067</v>
      </c>
      <c r="L2480" s="7" t="n">
        <v>45151</v>
      </c>
      <c r="M2480" s="5" t="inlineStr">
        <is>
          <t>No</t>
        </is>
      </c>
      <c r="N2480" s="5" t="inlineStr">
        <is>
          <t>Layoff</t>
        </is>
      </c>
      <c r="O2480" s="8" t="inlineStr">
        <is>
          <t>156500</t>
        </is>
      </c>
      <c r="P2480" s="5" t="inlineStr">
        <is>
          <t>5</t>
        </is>
      </c>
      <c r="Q2480" s="5" t="inlineStr">
        <is>
          <t>3</t>
        </is>
      </c>
      <c r="R2480" s="5" t="inlineStr">
        <is>
          <t>5</t>
        </is>
      </c>
      <c r="S2480" s="5" t="inlineStr">
        <is>
          <t>2</t>
        </is>
      </c>
      <c r="T2480" s="5" t="inlineStr">
        <is>
          <t>3</t>
        </is>
      </c>
      <c r="U2480" s="5">
        <f>IFS(C2480&lt;30,"Under 30",C2480&lt;40,"30-39",C2480&lt;50,"40-49",TRUE,"50+")</f>
        <v/>
      </c>
      <c r="V2480" s="5">
        <f>IFS(O2480&lt;60000,"Low (&lt;60k)",O2480&lt;100000,"Mid (60-100k)",TRUE,"High (100k+)")</f>
        <v/>
      </c>
      <c r="W2480" s="5">
        <f>IF(M2480="No","Attrited","Active")</f>
        <v/>
      </c>
    </row>
    <row r="2481">
      <c r="A2481" s="5" t="inlineStr">
        <is>
          <t>E02480</t>
        </is>
      </c>
      <c r="B2481" s="5" t="inlineStr">
        <is>
          <t>Male</t>
        </is>
      </c>
      <c r="C2481" s="6" t="inlineStr">
        <is>
          <t>30</t>
        </is>
      </c>
      <c r="D2481" s="5" t="inlineStr">
        <is>
          <t>Single</t>
        </is>
      </c>
      <c r="E2481" s="5" t="inlineStr">
        <is>
          <t>Diploma</t>
        </is>
      </c>
      <c r="F2481" s="5" t="inlineStr">
        <is>
          <t>Sales</t>
        </is>
      </c>
      <c r="G2481" s="5" t="inlineStr">
        <is>
          <t>Account Executive</t>
        </is>
      </c>
      <c r="H2481" s="5" t="inlineStr">
        <is>
          <t>3</t>
        </is>
      </c>
      <c r="I2481" s="5" t="inlineStr">
        <is>
          <t>Hyderabad</t>
        </is>
      </c>
      <c r="J2481" s="5" t="inlineStr">
        <is>
          <t>Full-Time</t>
        </is>
      </c>
      <c r="K2481" s="7" t="n">
        <v>44857</v>
      </c>
      <c r="L2481" s="7" t="inlineStr"/>
      <c r="M2481" s="5" t="inlineStr">
        <is>
          <t>Yes</t>
        </is>
      </c>
      <c r="N2481" s="5" t="inlineStr"/>
      <c r="O2481" s="8" t="inlineStr">
        <is>
          <t>101500</t>
        </is>
      </c>
      <c r="P2481" s="5" t="inlineStr">
        <is>
          <t>0</t>
        </is>
      </c>
      <c r="Q2481" s="5" t="inlineStr">
        <is>
          <t>4</t>
        </is>
      </c>
      <c r="R2481" s="5" t="inlineStr">
        <is>
          <t>5</t>
        </is>
      </c>
      <c r="S2481" s="5" t="inlineStr">
        <is>
          <t>38</t>
        </is>
      </c>
      <c r="T2481" s="5" t="inlineStr">
        <is>
          <t>9</t>
        </is>
      </c>
      <c r="U2481" s="5">
        <f>IFS(C2481&lt;30,"Under 30",C2481&lt;40,"30-39",C2481&lt;50,"40-49",TRUE,"50+")</f>
        <v/>
      </c>
      <c r="V2481" s="5">
        <f>IFS(O2481&lt;60000,"Low (&lt;60k)",O2481&lt;100000,"Mid (60-100k)",TRUE,"High (100k+)")</f>
        <v/>
      </c>
      <c r="W2481" s="5">
        <f>IF(M2481="No","Attrited","Active")</f>
        <v/>
      </c>
    </row>
    <row r="2482">
      <c r="A2482" s="5" t="inlineStr">
        <is>
          <t>E02481</t>
        </is>
      </c>
      <c r="B2482" s="5" t="inlineStr">
        <is>
          <t>Female</t>
        </is>
      </c>
      <c r="C2482" s="6" t="inlineStr">
        <is>
          <t>34</t>
        </is>
      </c>
      <c r="D2482" s="5" t="inlineStr">
        <is>
          <t>Divorced</t>
        </is>
      </c>
      <c r="E2482" s="5" t="inlineStr">
        <is>
          <t>High School</t>
        </is>
      </c>
      <c r="F2482" s="5" t="inlineStr">
        <is>
          <t>Marketing</t>
        </is>
      </c>
      <c r="G2482" s="5" t="inlineStr">
        <is>
          <t>SEO Specialist</t>
        </is>
      </c>
      <c r="H2482" s="5" t="inlineStr">
        <is>
          <t>2</t>
        </is>
      </c>
      <c r="I2482" s="5" t="inlineStr">
        <is>
          <t>Bengaluru</t>
        </is>
      </c>
      <c r="J2482" s="5" t="inlineStr">
        <is>
          <t>Full-Time</t>
        </is>
      </c>
      <c r="K2482" s="7" t="n">
        <v>45414</v>
      </c>
      <c r="L2482" s="7" t="n">
        <v>45532</v>
      </c>
      <c r="M2482" s="5" t="inlineStr">
        <is>
          <t>No</t>
        </is>
      </c>
      <c r="N2482" s="5" t="inlineStr">
        <is>
          <t>Resigned</t>
        </is>
      </c>
      <c r="O2482" s="8" t="inlineStr">
        <is>
          <t>80000</t>
        </is>
      </c>
      <c r="P2482" s="5" t="inlineStr">
        <is>
          <t>0</t>
        </is>
      </c>
      <c r="Q2482" s="5" t="inlineStr">
        <is>
          <t>3</t>
        </is>
      </c>
      <c r="R2482" s="5" t="inlineStr">
        <is>
          <t>7</t>
        </is>
      </c>
      <c r="S2482" s="5" t="inlineStr">
        <is>
          <t>3</t>
        </is>
      </c>
      <c r="T2482" s="5" t="inlineStr">
        <is>
          <t>9</t>
        </is>
      </c>
      <c r="U2482" s="5">
        <f>IFS(C2482&lt;30,"Under 30",C2482&lt;40,"30-39",C2482&lt;50,"40-49",TRUE,"50+")</f>
        <v/>
      </c>
      <c r="V2482" s="5">
        <f>IFS(O2482&lt;60000,"Low (&lt;60k)",O2482&lt;100000,"Mid (60-100k)",TRUE,"High (100k+)")</f>
        <v/>
      </c>
      <c r="W2482" s="5">
        <f>IF(M2482="No","Attrited","Active")</f>
        <v/>
      </c>
    </row>
    <row r="2483">
      <c r="A2483" s="5" t="inlineStr">
        <is>
          <t>E02482</t>
        </is>
      </c>
      <c r="B2483" s="5" t="inlineStr">
        <is>
          <t>Male</t>
        </is>
      </c>
      <c r="C2483" s="6" t="inlineStr">
        <is>
          <t>46</t>
        </is>
      </c>
      <c r="D2483" s="5" t="inlineStr">
        <is>
          <t>Married</t>
        </is>
      </c>
      <c r="E2483" s="5" t="inlineStr">
        <is>
          <t>Master</t>
        </is>
      </c>
      <c r="F2483" s="5" t="inlineStr">
        <is>
          <t>Customer Support</t>
        </is>
      </c>
      <c r="G2483" s="5" t="inlineStr">
        <is>
          <t>Support Lead</t>
        </is>
      </c>
      <c r="H2483" s="5" t="inlineStr">
        <is>
          <t>7</t>
        </is>
      </c>
      <c r="I2483" s="5" t="inlineStr">
        <is>
          <t>Remote</t>
        </is>
      </c>
      <c r="J2483" s="5" t="inlineStr">
        <is>
          <t>Full-Time</t>
        </is>
      </c>
      <c r="K2483" s="7" t="n">
        <v>44441</v>
      </c>
      <c r="L2483" s="7" t="inlineStr"/>
      <c r="M2483" s="5" t="inlineStr">
        <is>
          <t>Yes</t>
        </is>
      </c>
      <c r="N2483" s="5" t="inlineStr"/>
      <c r="O2483" s="8" t="inlineStr">
        <is>
          <t>103000</t>
        </is>
      </c>
      <c r="P2483" s="5" t="inlineStr">
        <is>
          <t>5</t>
        </is>
      </c>
      <c r="Q2483" s="5" t="inlineStr">
        <is>
          <t>4</t>
        </is>
      </c>
      <c r="R2483" s="5" t="inlineStr">
        <is>
          <t>7</t>
        </is>
      </c>
      <c r="S2483" s="5" t="inlineStr">
        <is>
          <t>52</t>
        </is>
      </c>
      <c r="T2483" s="5" t="inlineStr">
        <is>
          <t>8</t>
        </is>
      </c>
      <c r="U2483" s="5">
        <f>IFS(C2483&lt;30,"Under 30",C2483&lt;40,"30-39",C2483&lt;50,"40-49",TRUE,"50+")</f>
        <v/>
      </c>
      <c r="V2483" s="5">
        <f>IFS(O2483&lt;60000,"Low (&lt;60k)",O2483&lt;100000,"Mid (60-100k)",TRUE,"High (100k+)")</f>
        <v/>
      </c>
      <c r="W2483" s="5">
        <f>IF(M2483="No","Attrited","Active")</f>
        <v/>
      </c>
    </row>
    <row r="2484">
      <c r="A2484" s="5" t="inlineStr">
        <is>
          <t>E02483</t>
        </is>
      </c>
      <c r="B2484" s="5" t="inlineStr">
        <is>
          <t>Male</t>
        </is>
      </c>
      <c r="C2484" s="6" t="inlineStr">
        <is>
          <t>31</t>
        </is>
      </c>
      <c r="D2484" s="5" t="inlineStr">
        <is>
          <t>Married</t>
        </is>
      </c>
      <c r="E2484" s="5" t="inlineStr">
        <is>
          <t>Master</t>
        </is>
      </c>
      <c r="F2484" s="5" t="inlineStr">
        <is>
          <t>Marketing</t>
        </is>
      </c>
      <c r="G2484" s="5" t="inlineStr">
        <is>
          <t>SEO Specialist</t>
        </is>
      </c>
      <c r="H2484" s="5" t="inlineStr">
        <is>
          <t>1</t>
        </is>
      </c>
      <c r="I2484" s="5" t="inlineStr">
        <is>
          <t>Delhi</t>
        </is>
      </c>
      <c r="J2484" s="5" t="inlineStr">
        <is>
          <t>Full-Time</t>
        </is>
      </c>
      <c r="K2484" s="7" t="n">
        <v>45208</v>
      </c>
      <c r="L2484" s="7" t="inlineStr"/>
      <c r="M2484" s="5" t="inlineStr">
        <is>
          <t>Yes</t>
        </is>
      </c>
      <c r="N2484" s="5" t="inlineStr"/>
      <c r="O2484" s="8" t="inlineStr">
        <is>
          <t>66500</t>
        </is>
      </c>
      <c r="P2484" s="5" t="inlineStr">
        <is>
          <t>10</t>
        </is>
      </c>
      <c r="Q2484" s="5" t="inlineStr">
        <is>
          <t>2</t>
        </is>
      </c>
      <c r="R2484" s="5" t="inlineStr">
        <is>
          <t>6</t>
        </is>
      </c>
      <c r="S2484" s="5" t="inlineStr">
        <is>
          <t>27</t>
        </is>
      </c>
      <c r="T2484" s="5" t="inlineStr">
        <is>
          <t>0</t>
        </is>
      </c>
      <c r="U2484" s="5">
        <f>IFS(C2484&lt;30,"Under 30",C2484&lt;40,"30-39",C2484&lt;50,"40-49",TRUE,"50+")</f>
        <v/>
      </c>
      <c r="V2484" s="5">
        <f>IFS(O2484&lt;60000,"Low (&lt;60k)",O2484&lt;100000,"Mid (60-100k)",TRUE,"High (100k+)")</f>
        <v/>
      </c>
      <c r="W2484" s="5">
        <f>IF(M2484="No","Attrited","Active")</f>
        <v/>
      </c>
    </row>
    <row r="2485">
      <c r="A2485" s="5" t="inlineStr">
        <is>
          <t>E02484</t>
        </is>
      </c>
      <c r="B2485" s="5" t="inlineStr">
        <is>
          <t>Female</t>
        </is>
      </c>
      <c r="C2485" s="6" t="inlineStr">
        <is>
          <t>32</t>
        </is>
      </c>
      <c r="D2485" s="5" t="inlineStr">
        <is>
          <t>Married</t>
        </is>
      </c>
      <c r="E2485" s="5" t="inlineStr">
        <is>
          <t>Diploma</t>
        </is>
      </c>
      <c r="F2485" s="5" t="inlineStr">
        <is>
          <t>Operations</t>
        </is>
      </c>
      <c r="G2485" s="5" t="inlineStr">
        <is>
          <t>Quality Analyst</t>
        </is>
      </c>
      <c r="H2485" s="5" t="inlineStr">
        <is>
          <t>1</t>
        </is>
      </c>
      <c r="I2485" s="5" t="inlineStr">
        <is>
          <t>Delhi</t>
        </is>
      </c>
      <c r="J2485" s="5" t="inlineStr">
        <is>
          <t>Full-Time</t>
        </is>
      </c>
      <c r="K2485" s="7" t="n">
        <v>45022</v>
      </c>
      <c r="L2485" s="7" t="inlineStr"/>
      <c r="M2485" s="5" t="inlineStr">
        <is>
          <t>Yes</t>
        </is>
      </c>
      <c r="N2485" s="5" t="inlineStr"/>
      <c r="O2485" s="8" t="inlineStr">
        <is>
          <t>65500</t>
        </is>
      </c>
      <c r="P2485" s="5" t="inlineStr">
        <is>
          <t>0</t>
        </is>
      </c>
      <c r="Q2485" s="5" t="inlineStr">
        <is>
          <t>3</t>
        </is>
      </c>
      <c r="R2485" s="5" t="inlineStr">
        <is>
          <t>6</t>
        </is>
      </c>
      <c r="S2485" s="5" t="inlineStr">
        <is>
          <t>33</t>
        </is>
      </c>
      <c r="T2485" s="5" t="inlineStr">
        <is>
          <t>14</t>
        </is>
      </c>
      <c r="U2485" s="5">
        <f>IFS(C2485&lt;30,"Under 30",C2485&lt;40,"30-39",C2485&lt;50,"40-49",TRUE,"50+")</f>
        <v/>
      </c>
      <c r="V2485" s="5">
        <f>IFS(O2485&lt;60000,"Low (&lt;60k)",O2485&lt;100000,"Mid (60-100k)",TRUE,"High (100k+)")</f>
        <v/>
      </c>
      <c r="W2485" s="5">
        <f>IF(M2485="No","Attrited","Active")</f>
        <v/>
      </c>
    </row>
    <row r="2486">
      <c r="A2486" s="5" t="inlineStr">
        <is>
          <t>E02485</t>
        </is>
      </c>
      <c r="B2486" s="5" t="inlineStr">
        <is>
          <t>Male</t>
        </is>
      </c>
      <c r="C2486" s="6" t="inlineStr">
        <is>
          <t>36</t>
        </is>
      </c>
      <c r="D2486" s="5" t="inlineStr">
        <is>
          <t>Married</t>
        </is>
      </c>
      <c r="E2486" s="5" t="inlineStr">
        <is>
          <t>Master</t>
        </is>
      </c>
      <c r="F2486" s="5" t="inlineStr">
        <is>
          <t>IT</t>
        </is>
      </c>
      <c r="G2486" s="5" t="inlineStr">
        <is>
          <t>Software Engineer</t>
        </is>
      </c>
      <c r="H2486" s="5" t="inlineStr">
        <is>
          <t>3</t>
        </is>
      </c>
      <c r="I2486" s="5" t="inlineStr">
        <is>
          <t>Hyderabad</t>
        </is>
      </c>
      <c r="J2486" s="5" t="inlineStr">
        <is>
          <t>Full-Time</t>
        </is>
      </c>
      <c r="K2486" s="7" t="n">
        <v>44735</v>
      </c>
      <c r="L2486" s="7" t="inlineStr"/>
      <c r="M2486" s="5" t="inlineStr">
        <is>
          <t>Yes</t>
        </is>
      </c>
      <c r="N2486" s="5" t="inlineStr"/>
      <c r="O2486" s="8" t="inlineStr">
        <is>
          <t>114500</t>
        </is>
      </c>
      <c r="P2486" s="5" t="inlineStr">
        <is>
          <t>20</t>
        </is>
      </c>
      <c r="Q2486" s="5" t="inlineStr">
        <is>
          <t>4</t>
        </is>
      </c>
      <c r="R2486" s="5" t="inlineStr">
        <is>
          <t>7</t>
        </is>
      </c>
      <c r="S2486" s="5" t="inlineStr">
        <is>
          <t>42</t>
        </is>
      </c>
      <c r="T2486" s="5" t="inlineStr">
        <is>
          <t>13</t>
        </is>
      </c>
      <c r="U2486" s="5">
        <f>IFS(C2486&lt;30,"Under 30",C2486&lt;40,"30-39",C2486&lt;50,"40-49",TRUE,"50+")</f>
        <v/>
      </c>
      <c r="V2486" s="5">
        <f>IFS(O2486&lt;60000,"Low (&lt;60k)",O2486&lt;100000,"Mid (60-100k)",TRUE,"High (100k+)")</f>
        <v/>
      </c>
      <c r="W2486" s="5">
        <f>IF(M2486="No","Attrited","Active")</f>
        <v/>
      </c>
    </row>
    <row r="2487">
      <c r="A2487" s="5" t="inlineStr">
        <is>
          <t>E02486</t>
        </is>
      </c>
      <c r="B2487" s="5" t="inlineStr">
        <is>
          <t>Female</t>
        </is>
      </c>
      <c r="C2487" s="6" t="inlineStr">
        <is>
          <t>34</t>
        </is>
      </c>
      <c r="D2487" s="5" t="inlineStr">
        <is>
          <t>Single</t>
        </is>
      </c>
      <c r="E2487" s="5" t="inlineStr">
        <is>
          <t>Bachelor</t>
        </is>
      </c>
      <c r="F2487" s="5" t="inlineStr">
        <is>
          <t>Customer Support</t>
        </is>
      </c>
      <c r="G2487" s="5" t="inlineStr">
        <is>
          <t>Escalation Specialist</t>
        </is>
      </c>
      <c r="H2487" s="5" t="inlineStr">
        <is>
          <t>2</t>
        </is>
      </c>
      <c r="I2487" s="5" t="inlineStr">
        <is>
          <t>Chennai</t>
        </is>
      </c>
      <c r="J2487" s="5" t="inlineStr">
        <is>
          <t>Full-Time</t>
        </is>
      </c>
      <c r="K2487" s="7" t="n">
        <v>45933</v>
      </c>
      <c r="L2487" s="7" t="inlineStr"/>
      <c r="M2487" s="5" t="inlineStr">
        <is>
          <t>Yes</t>
        </is>
      </c>
      <c r="N2487" s="5" t="inlineStr"/>
      <c r="O2487" s="8" t="inlineStr">
        <is>
          <t>51500</t>
        </is>
      </c>
      <c r="P2487" s="5" t="inlineStr">
        <is>
          <t>10</t>
        </is>
      </c>
      <c r="Q2487" s="5" t="inlineStr">
        <is>
          <t>4</t>
        </is>
      </c>
      <c r="R2487" s="5" t="inlineStr">
        <is>
          <t>6</t>
        </is>
      </c>
      <c r="S2487" s="5" t="inlineStr">
        <is>
          <t>2</t>
        </is>
      </c>
      <c r="T2487" s="5" t="inlineStr">
        <is>
          <t>2</t>
        </is>
      </c>
      <c r="U2487" s="5">
        <f>IFS(C2487&lt;30,"Under 30",C2487&lt;40,"30-39",C2487&lt;50,"40-49",TRUE,"50+")</f>
        <v/>
      </c>
      <c r="V2487" s="5">
        <f>IFS(O2487&lt;60000,"Low (&lt;60k)",O2487&lt;100000,"Mid (60-100k)",TRUE,"High (100k+)")</f>
        <v/>
      </c>
      <c r="W2487" s="5">
        <f>IF(M2487="No","Attrited","Active")</f>
        <v/>
      </c>
    </row>
    <row r="2488">
      <c r="A2488" s="5" t="inlineStr">
        <is>
          <t>E02487</t>
        </is>
      </c>
      <c r="B2488" s="5" t="inlineStr">
        <is>
          <t>Female</t>
        </is>
      </c>
      <c r="C2488" s="6" t="inlineStr">
        <is>
          <t>27</t>
        </is>
      </c>
      <c r="D2488" s="5" t="inlineStr">
        <is>
          <t>Married</t>
        </is>
      </c>
      <c r="E2488" s="5" t="inlineStr">
        <is>
          <t>Master</t>
        </is>
      </c>
      <c r="F2488" s="5" t="inlineStr">
        <is>
          <t>IT</t>
        </is>
      </c>
      <c r="G2488" s="5" t="inlineStr">
        <is>
          <t>IT Support</t>
        </is>
      </c>
      <c r="H2488" s="5" t="inlineStr">
        <is>
          <t>2</t>
        </is>
      </c>
      <c r="I2488" s="5" t="inlineStr">
        <is>
          <t>Mumbai</t>
        </is>
      </c>
      <c r="J2488" s="5" t="inlineStr">
        <is>
          <t>Full-Time</t>
        </is>
      </c>
      <c r="K2488" s="7" t="n">
        <v>45021</v>
      </c>
      <c r="L2488" s="7" t="inlineStr"/>
      <c r="M2488" s="5" t="inlineStr">
        <is>
          <t>Yes</t>
        </is>
      </c>
      <c r="N2488" s="5" t="inlineStr"/>
      <c r="O2488" s="8" t="inlineStr">
        <is>
          <t>99000</t>
        </is>
      </c>
      <c r="P2488" s="5" t="inlineStr">
        <is>
          <t>0</t>
        </is>
      </c>
      <c r="Q2488" s="5" t="inlineStr">
        <is>
          <t>4</t>
        </is>
      </c>
      <c r="R2488" s="5" t="inlineStr">
        <is>
          <t>5</t>
        </is>
      </c>
      <c r="S2488" s="5" t="inlineStr">
        <is>
          <t>33</t>
        </is>
      </c>
      <c r="T2488" s="5" t="inlineStr">
        <is>
          <t>12</t>
        </is>
      </c>
      <c r="U2488" s="5">
        <f>IFS(C2488&lt;30,"Under 30",C2488&lt;40,"30-39",C2488&lt;50,"40-49",TRUE,"50+")</f>
        <v/>
      </c>
      <c r="V2488" s="5">
        <f>IFS(O2488&lt;60000,"Low (&lt;60k)",O2488&lt;100000,"Mid (60-100k)",TRUE,"High (100k+)")</f>
        <v/>
      </c>
      <c r="W2488" s="5">
        <f>IF(M2488="No","Attrited","Active")</f>
        <v/>
      </c>
    </row>
    <row r="2489">
      <c r="A2489" s="5" t="inlineStr">
        <is>
          <t>E02488</t>
        </is>
      </c>
      <c r="B2489" s="5" t="inlineStr">
        <is>
          <t>Female</t>
        </is>
      </c>
      <c r="C2489" s="6" t="inlineStr">
        <is>
          <t>36</t>
        </is>
      </c>
      <c r="D2489" s="5" t="inlineStr">
        <is>
          <t>Married</t>
        </is>
      </c>
      <c r="E2489" s="5" t="inlineStr">
        <is>
          <t>Master</t>
        </is>
      </c>
      <c r="F2489" s="5" t="inlineStr">
        <is>
          <t>Sales</t>
        </is>
      </c>
      <c r="G2489" s="5" t="inlineStr">
        <is>
          <t>Business Development</t>
        </is>
      </c>
      <c r="H2489" s="5" t="inlineStr">
        <is>
          <t>2</t>
        </is>
      </c>
      <c r="I2489" s="5" t="inlineStr">
        <is>
          <t>Delhi</t>
        </is>
      </c>
      <c r="J2489" s="5" t="inlineStr">
        <is>
          <t>Part-Time</t>
        </is>
      </c>
      <c r="K2489" s="7" t="n">
        <v>46012</v>
      </c>
      <c r="L2489" s="7" t="inlineStr"/>
      <c r="M2489" s="5" t="inlineStr">
        <is>
          <t>Yes</t>
        </is>
      </c>
      <c r="N2489" s="5" t="inlineStr"/>
      <c r="O2489" s="8" t="inlineStr">
        <is>
          <t>69000</t>
        </is>
      </c>
      <c r="P2489" s="5" t="inlineStr">
        <is>
          <t>15</t>
        </is>
      </c>
      <c r="Q2489" s="5" t="inlineStr">
        <is>
          <t>1</t>
        </is>
      </c>
      <c r="R2489" s="5" t="inlineStr">
        <is>
          <t>8</t>
        </is>
      </c>
      <c r="S2489" s="5" t="inlineStr">
        <is>
          <t>1</t>
        </is>
      </c>
      <c r="T2489" s="5" t="inlineStr">
        <is>
          <t>0</t>
        </is>
      </c>
      <c r="U2489" s="5">
        <f>IFS(C2489&lt;30,"Under 30",C2489&lt;40,"30-39",C2489&lt;50,"40-49",TRUE,"50+")</f>
        <v/>
      </c>
      <c r="V2489" s="5">
        <f>IFS(O2489&lt;60000,"Low (&lt;60k)",O2489&lt;100000,"Mid (60-100k)",TRUE,"High (100k+)")</f>
        <v/>
      </c>
      <c r="W2489" s="5">
        <f>IF(M2489="No","Attrited","Active")</f>
        <v/>
      </c>
    </row>
    <row r="2490">
      <c r="A2490" s="5" t="inlineStr">
        <is>
          <t>E02489</t>
        </is>
      </c>
      <c r="B2490" s="5" t="inlineStr">
        <is>
          <t>Male</t>
        </is>
      </c>
      <c r="C2490" s="6" t="inlineStr">
        <is>
          <t>38</t>
        </is>
      </c>
      <c r="D2490" s="5" t="inlineStr">
        <is>
          <t>Married</t>
        </is>
      </c>
      <c r="E2490" s="5" t="inlineStr">
        <is>
          <t>Bachelor</t>
        </is>
      </c>
      <c r="F2490" s="5" t="inlineStr">
        <is>
          <t>Human Resources</t>
        </is>
      </c>
      <c r="G2490" s="5" t="inlineStr">
        <is>
          <t>HR Generalist</t>
        </is>
      </c>
      <c r="H2490" s="5" t="inlineStr">
        <is>
          <t>4</t>
        </is>
      </c>
      <c r="I2490" s="5" t="inlineStr">
        <is>
          <t>Chennai</t>
        </is>
      </c>
      <c r="J2490" s="5" t="inlineStr">
        <is>
          <t>Full-Time</t>
        </is>
      </c>
      <c r="K2490" s="7" t="n">
        <v>44148</v>
      </c>
      <c r="L2490" s="7" t="inlineStr"/>
      <c r="M2490" s="5" t="inlineStr">
        <is>
          <t>Yes</t>
        </is>
      </c>
      <c r="N2490" s="5" t="inlineStr"/>
      <c r="O2490" s="8" t="inlineStr">
        <is>
          <t>117000</t>
        </is>
      </c>
      <c r="P2490" s="5" t="inlineStr">
        <is>
          <t>10</t>
        </is>
      </c>
      <c r="Q2490" s="5" t="inlineStr">
        <is>
          <t>3</t>
        </is>
      </c>
      <c r="R2490" s="5" t="inlineStr">
        <is>
          <t>7</t>
        </is>
      </c>
      <c r="S2490" s="5" t="inlineStr">
        <is>
          <t>62</t>
        </is>
      </c>
      <c r="T2490" s="5" t="inlineStr">
        <is>
          <t>3</t>
        </is>
      </c>
      <c r="U2490" s="5">
        <f>IFS(C2490&lt;30,"Under 30",C2490&lt;40,"30-39",C2490&lt;50,"40-49",TRUE,"50+")</f>
        <v/>
      </c>
      <c r="V2490" s="5">
        <f>IFS(O2490&lt;60000,"Low (&lt;60k)",O2490&lt;100000,"Mid (60-100k)",TRUE,"High (100k+)")</f>
        <v/>
      </c>
      <c r="W2490" s="5">
        <f>IF(M2490="No","Attrited","Active")</f>
        <v/>
      </c>
    </row>
    <row r="2491">
      <c r="A2491" s="5" t="inlineStr">
        <is>
          <t>E02490</t>
        </is>
      </c>
      <c r="B2491" s="5" t="inlineStr">
        <is>
          <t>Female</t>
        </is>
      </c>
      <c r="C2491" s="6" t="inlineStr">
        <is>
          <t>35</t>
        </is>
      </c>
      <c r="D2491" s="5" t="inlineStr">
        <is>
          <t>Married</t>
        </is>
      </c>
      <c r="E2491" s="5" t="inlineStr">
        <is>
          <t>Diploma</t>
        </is>
      </c>
      <c r="F2491" s="5" t="inlineStr">
        <is>
          <t>IT</t>
        </is>
      </c>
      <c r="G2491" s="5" t="inlineStr">
        <is>
          <t>Data Analyst</t>
        </is>
      </c>
      <c r="H2491" s="5" t="inlineStr">
        <is>
          <t>7</t>
        </is>
      </c>
      <c r="I2491" s="5" t="inlineStr">
        <is>
          <t>Mumbai</t>
        </is>
      </c>
      <c r="J2491" s="5" t="inlineStr">
        <is>
          <t>Full-Time</t>
        </is>
      </c>
      <c r="K2491" s="7" t="n">
        <v>44285</v>
      </c>
      <c r="L2491" s="7" t="inlineStr"/>
      <c r="M2491" s="5" t="inlineStr">
        <is>
          <t>Yes</t>
        </is>
      </c>
      <c r="N2491" s="5" t="inlineStr"/>
      <c r="O2491" s="8" t="inlineStr">
        <is>
          <t>212500</t>
        </is>
      </c>
      <c r="P2491" s="5" t="inlineStr">
        <is>
          <t>0</t>
        </is>
      </c>
      <c r="Q2491" s="5" t="inlineStr">
        <is>
          <t>3</t>
        </is>
      </c>
      <c r="R2491" s="5" t="inlineStr">
        <is>
          <t>6</t>
        </is>
      </c>
      <c r="S2491" s="5" t="inlineStr">
        <is>
          <t>57</t>
        </is>
      </c>
      <c r="T2491" s="5" t="inlineStr">
        <is>
          <t>0</t>
        </is>
      </c>
      <c r="U2491" s="5">
        <f>IFS(C2491&lt;30,"Under 30",C2491&lt;40,"30-39",C2491&lt;50,"40-49",TRUE,"50+")</f>
        <v/>
      </c>
      <c r="V2491" s="5">
        <f>IFS(O2491&lt;60000,"Low (&lt;60k)",O2491&lt;100000,"Mid (60-100k)",TRUE,"High (100k+)")</f>
        <v/>
      </c>
      <c r="W2491" s="5">
        <f>IF(M2491="No","Attrited","Active")</f>
        <v/>
      </c>
    </row>
    <row r="2492">
      <c r="A2492" s="5" t="inlineStr">
        <is>
          <t>E02491</t>
        </is>
      </c>
      <c r="B2492" s="5" t="inlineStr">
        <is>
          <t>Female</t>
        </is>
      </c>
      <c r="C2492" s="6" t="inlineStr">
        <is>
          <t>24</t>
        </is>
      </c>
      <c r="D2492" s="5" t="inlineStr">
        <is>
          <t>Single</t>
        </is>
      </c>
      <c r="E2492" s="5" t="inlineStr">
        <is>
          <t>Diploma</t>
        </is>
      </c>
      <c r="F2492" s="5" t="inlineStr">
        <is>
          <t>Research &amp; Development</t>
        </is>
      </c>
      <c r="G2492" s="5" t="inlineStr">
        <is>
          <t>Data Scientist</t>
        </is>
      </c>
      <c r="H2492" s="5" t="inlineStr">
        <is>
          <t>1</t>
        </is>
      </c>
      <c r="I2492" s="5" t="inlineStr">
        <is>
          <t>Mumbai</t>
        </is>
      </c>
      <c r="J2492" s="5" t="inlineStr">
        <is>
          <t>Full-Time</t>
        </is>
      </c>
      <c r="K2492" s="7" t="n">
        <v>45013</v>
      </c>
      <c r="L2492" s="7" t="n">
        <v>45112</v>
      </c>
      <c r="M2492" s="5" t="inlineStr">
        <is>
          <t>No</t>
        </is>
      </c>
      <c r="N2492" s="5" t="inlineStr">
        <is>
          <t>Resigned</t>
        </is>
      </c>
      <c r="O2492" s="8" t="inlineStr">
        <is>
          <t>138000</t>
        </is>
      </c>
      <c r="P2492" s="5" t="inlineStr">
        <is>
          <t>5</t>
        </is>
      </c>
      <c r="Q2492" s="5" t="inlineStr">
        <is>
          <t>4</t>
        </is>
      </c>
      <c r="R2492" s="5" t="inlineStr">
        <is>
          <t>5</t>
        </is>
      </c>
      <c r="S2492" s="5" t="inlineStr">
        <is>
          <t>3</t>
        </is>
      </c>
      <c r="T2492" s="5" t="inlineStr">
        <is>
          <t>0</t>
        </is>
      </c>
      <c r="U2492" s="5">
        <f>IFS(C2492&lt;30,"Under 30",C2492&lt;40,"30-39",C2492&lt;50,"40-49",TRUE,"50+")</f>
        <v/>
      </c>
      <c r="V2492" s="5">
        <f>IFS(O2492&lt;60000,"Low (&lt;60k)",O2492&lt;100000,"Mid (60-100k)",TRUE,"High (100k+)")</f>
        <v/>
      </c>
      <c r="W2492" s="5">
        <f>IF(M2492="No","Attrited","Active")</f>
        <v/>
      </c>
    </row>
    <row r="2493">
      <c r="A2493" s="5" t="inlineStr">
        <is>
          <t>E02492</t>
        </is>
      </c>
      <c r="B2493" s="5" t="inlineStr">
        <is>
          <t>Female</t>
        </is>
      </c>
      <c r="C2493" s="6" t="inlineStr">
        <is>
          <t>25</t>
        </is>
      </c>
      <c r="D2493" s="5" t="inlineStr">
        <is>
          <t>Single</t>
        </is>
      </c>
      <c r="E2493" s="5" t="inlineStr">
        <is>
          <t>High School</t>
        </is>
      </c>
      <c r="F2493" s="5" t="inlineStr">
        <is>
          <t>Finance</t>
        </is>
      </c>
      <c r="G2493" s="5" t="inlineStr">
        <is>
          <t>Credit Analyst</t>
        </is>
      </c>
      <c r="H2493" s="5" t="inlineStr">
        <is>
          <t>1</t>
        </is>
      </c>
      <c r="I2493" s="5" t="inlineStr">
        <is>
          <t>Chennai</t>
        </is>
      </c>
      <c r="J2493" s="5" t="inlineStr">
        <is>
          <t>Full-Time</t>
        </is>
      </c>
      <c r="K2493" s="7" t="n">
        <v>45153</v>
      </c>
      <c r="L2493" s="7" t="inlineStr"/>
      <c r="M2493" s="5" t="inlineStr">
        <is>
          <t>Yes</t>
        </is>
      </c>
      <c r="N2493" s="5" t="inlineStr"/>
      <c r="O2493" s="8" t="inlineStr">
        <is>
          <t>109500</t>
        </is>
      </c>
      <c r="P2493" s="5" t="inlineStr">
        <is>
          <t>15</t>
        </is>
      </c>
      <c r="Q2493" s="5" t="inlineStr">
        <is>
          <t>4</t>
        </is>
      </c>
      <c r="R2493" s="5" t="inlineStr">
        <is>
          <t>5</t>
        </is>
      </c>
      <c r="S2493" s="5" t="inlineStr">
        <is>
          <t>28</t>
        </is>
      </c>
      <c r="T2493" s="5" t="inlineStr">
        <is>
          <t>11</t>
        </is>
      </c>
      <c r="U2493" s="5">
        <f>IFS(C2493&lt;30,"Under 30",C2493&lt;40,"30-39",C2493&lt;50,"40-49",TRUE,"50+")</f>
        <v/>
      </c>
      <c r="V2493" s="5">
        <f>IFS(O2493&lt;60000,"Low (&lt;60k)",O2493&lt;100000,"Mid (60-100k)",TRUE,"High (100k+)")</f>
        <v/>
      </c>
      <c r="W2493" s="5">
        <f>IF(M2493="No","Attrited","Active")</f>
        <v/>
      </c>
    </row>
    <row r="2494">
      <c r="A2494" s="5" t="inlineStr">
        <is>
          <t>E02493</t>
        </is>
      </c>
      <c r="B2494" s="5" t="inlineStr">
        <is>
          <t>Female</t>
        </is>
      </c>
      <c r="C2494" s="6" t="inlineStr">
        <is>
          <t>32</t>
        </is>
      </c>
      <c r="D2494" s="5" t="inlineStr">
        <is>
          <t>Married</t>
        </is>
      </c>
      <c r="E2494" s="5" t="inlineStr">
        <is>
          <t>High School</t>
        </is>
      </c>
      <c r="F2494" s="5" t="inlineStr">
        <is>
          <t>Marketing</t>
        </is>
      </c>
      <c r="G2494" s="5" t="inlineStr">
        <is>
          <t>Marketing Analyst</t>
        </is>
      </c>
      <c r="H2494" s="5" t="inlineStr">
        <is>
          <t>3</t>
        </is>
      </c>
      <c r="I2494" s="5" t="inlineStr">
        <is>
          <t>Bengaluru</t>
        </is>
      </c>
      <c r="J2494" s="5" t="inlineStr">
        <is>
          <t>Full-Time</t>
        </is>
      </c>
      <c r="K2494" s="7" t="n">
        <v>44258</v>
      </c>
      <c r="L2494" s="7" t="inlineStr"/>
      <c r="M2494" s="5" t="inlineStr">
        <is>
          <t>Yes</t>
        </is>
      </c>
      <c r="N2494" s="5" t="inlineStr"/>
      <c r="O2494" s="8" t="inlineStr">
        <is>
          <t>105000</t>
        </is>
      </c>
      <c r="P2494" s="5" t="inlineStr">
        <is>
          <t>0</t>
        </is>
      </c>
      <c r="Q2494" s="5" t="inlineStr">
        <is>
          <t>3</t>
        </is>
      </c>
      <c r="R2494" s="5" t="inlineStr">
        <is>
          <t>9</t>
        </is>
      </c>
      <c r="S2494" s="5" t="inlineStr">
        <is>
          <t>58</t>
        </is>
      </c>
      <c r="T2494" s="5" t="inlineStr">
        <is>
          <t>0</t>
        </is>
      </c>
      <c r="U2494" s="5">
        <f>IFS(C2494&lt;30,"Under 30",C2494&lt;40,"30-39",C2494&lt;50,"40-49",TRUE,"50+")</f>
        <v/>
      </c>
      <c r="V2494" s="5">
        <f>IFS(O2494&lt;60000,"Low (&lt;60k)",O2494&lt;100000,"Mid (60-100k)",TRUE,"High (100k+)")</f>
        <v/>
      </c>
      <c r="W2494" s="5">
        <f>IF(M2494="No","Attrited","Active")</f>
        <v/>
      </c>
    </row>
    <row r="2495">
      <c r="A2495" s="5" t="inlineStr">
        <is>
          <t>E02494</t>
        </is>
      </c>
      <c r="B2495" s="5" t="inlineStr">
        <is>
          <t>Female</t>
        </is>
      </c>
      <c r="C2495" s="6" t="inlineStr">
        <is>
          <t>31</t>
        </is>
      </c>
      <c r="D2495" s="5" t="inlineStr">
        <is>
          <t>Married</t>
        </is>
      </c>
      <c r="E2495" s="5" t="inlineStr">
        <is>
          <t>PhD</t>
        </is>
      </c>
      <c r="F2495" s="5" t="inlineStr">
        <is>
          <t>Customer Support</t>
        </is>
      </c>
      <c r="G2495" s="5" t="inlineStr">
        <is>
          <t>Escalation Specialist</t>
        </is>
      </c>
      <c r="H2495" s="5" t="inlineStr">
        <is>
          <t>2</t>
        </is>
      </c>
      <c r="I2495" s="5" t="inlineStr">
        <is>
          <t>Bengaluru</t>
        </is>
      </c>
      <c r="J2495" s="5" t="inlineStr">
        <is>
          <t>Full-Time</t>
        </is>
      </c>
      <c r="K2495" s="7" t="n">
        <v>45003</v>
      </c>
      <c r="L2495" s="7" t="inlineStr"/>
      <c r="M2495" s="5" t="inlineStr">
        <is>
          <t>Yes</t>
        </is>
      </c>
      <c r="N2495" s="5" t="inlineStr"/>
      <c r="O2495" s="8" t="inlineStr">
        <is>
          <t>51000</t>
        </is>
      </c>
      <c r="P2495" s="5" t="inlineStr">
        <is>
          <t>0</t>
        </is>
      </c>
      <c r="Q2495" s="5" t="inlineStr">
        <is>
          <t>3</t>
        </is>
      </c>
      <c r="R2495" s="5" t="inlineStr">
        <is>
          <t>4</t>
        </is>
      </c>
      <c r="S2495" s="5" t="inlineStr">
        <is>
          <t>33</t>
        </is>
      </c>
      <c r="T2495" s="5" t="inlineStr">
        <is>
          <t>1</t>
        </is>
      </c>
      <c r="U2495" s="5">
        <f>IFS(C2495&lt;30,"Under 30",C2495&lt;40,"30-39",C2495&lt;50,"40-49",TRUE,"50+")</f>
        <v/>
      </c>
      <c r="V2495" s="5">
        <f>IFS(O2495&lt;60000,"Low (&lt;60k)",O2495&lt;100000,"Mid (60-100k)",TRUE,"High (100k+)")</f>
        <v/>
      </c>
      <c r="W2495" s="5">
        <f>IF(M2495="No","Attrited","Active")</f>
        <v/>
      </c>
    </row>
    <row r="2496">
      <c r="A2496" s="5" t="inlineStr">
        <is>
          <t>E02495</t>
        </is>
      </c>
      <c r="B2496" s="5" t="inlineStr">
        <is>
          <t>Female</t>
        </is>
      </c>
      <c r="C2496" s="6" t="inlineStr">
        <is>
          <t>33</t>
        </is>
      </c>
      <c r="D2496" s="5" t="inlineStr">
        <is>
          <t>Married</t>
        </is>
      </c>
      <c r="E2496" s="5" t="inlineStr">
        <is>
          <t>Master</t>
        </is>
      </c>
      <c r="F2496" s="5" t="inlineStr">
        <is>
          <t>Sales</t>
        </is>
      </c>
      <c r="G2496" s="5" t="inlineStr">
        <is>
          <t>Business Development</t>
        </is>
      </c>
      <c r="H2496" s="5" t="inlineStr">
        <is>
          <t>3</t>
        </is>
      </c>
      <c r="I2496" s="5" t="inlineStr">
        <is>
          <t>Hyderabad</t>
        </is>
      </c>
      <c r="J2496" s="5" t="inlineStr">
        <is>
          <t>Full-Time</t>
        </is>
      </c>
      <c r="K2496" s="7" t="n">
        <v>44754</v>
      </c>
      <c r="L2496" s="7" t="inlineStr"/>
      <c r="M2496" s="5" t="inlineStr">
        <is>
          <t>Yes</t>
        </is>
      </c>
      <c r="N2496" s="5" t="inlineStr"/>
      <c r="O2496" s="8" t="inlineStr">
        <is>
          <t>77000</t>
        </is>
      </c>
      <c r="P2496" s="5" t="inlineStr">
        <is>
          <t>5</t>
        </is>
      </c>
      <c r="Q2496" s="5" t="inlineStr">
        <is>
          <t>4</t>
        </is>
      </c>
      <c r="R2496" s="5" t="inlineStr">
        <is>
          <t>3</t>
        </is>
      </c>
      <c r="S2496" s="5" t="inlineStr">
        <is>
          <t>42</t>
        </is>
      </c>
      <c r="T2496" s="5" t="inlineStr">
        <is>
          <t>10</t>
        </is>
      </c>
      <c r="U2496" s="5">
        <f>IFS(C2496&lt;30,"Under 30",C2496&lt;40,"30-39",C2496&lt;50,"40-49",TRUE,"50+")</f>
        <v/>
      </c>
      <c r="V2496" s="5">
        <f>IFS(O2496&lt;60000,"Low (&lt;60k)",O2496&lt;100000,"Mid (60-100k)",TRUE,"High (100k+)")</f>
        <v/>
      </c>
      <c r="W2496" s="5">
        <f>IF(M2496="No","Attrited","Active")</f>
        <v/>
      </c>
    </row>
    <row r="2497">
      <c r="A2497" s="5" t="inlineStr">
        <is>
          <t>E02496</t>
        </is>
      </c>
      <c r="B2497" s="5" t="inlineStr">
        <is>
          <t>Female</t>
        </is>
      </c>
      <c r="C2497" s="6" t="inlineStr">
        <is>
          <t>41</t>
        </is>
      </c>
      <c r="D2497" s="5" t="inlineStr">
        <is>
          <t>Married</t>
        </is>
      </c>
      <c r="E2497" s="5" t="inlineStr">
        <is>
          <t>High School</t>
        </is>
      </c>
      <c r="F2497" s="5" t="inlineStr">
        <is>
          <t>Operations</t>
        </is>
      </c>
      <c r="G2497" s="5" t="inlineStr">
        <is>
          <t>Quality Analyst</t>
        </is>
      </c>
      <c r="H2497" s="5" t="inlineStr">
        <is>
          <t>5</t>
        </is>
      </c>
      <c r="I2497" s="5" t="inlineStr">
        <is>
          <t>Mumbai</t>
        </is>
      </c>
      <c r="J2497" s="5" t="inlineStr">
        <is>
          <t>Full-Time</t>
        </is>
      </c>
      <c r="K2497" s="7" t="n">
        <v>44923</v>
      </c>
      <c r="L2497" s="7" t="n">
        <v>45065</v>
      </c>
      <c r="M2497" s="5" t="inlineStr">
        <is>
          <t>No</t>
        </is>
      </c>
      <c r="N2497" s="5" t="inlineStr">
        <is>
          <t>Performance / Termination</t>
        </is>
      </c>
      <c r="O2497" s="8" t="inlineStr">
        <is>
          <t>108500</t>
        </is>
      </c>
      <c r="P2497" s="5" t="inlineStr">
        <is>
          <t>10</t>
        </is>
      </c>
      <c r="Q2497" s="5" t="inlineStr">
        <is>
          <t>3</t>
        </is>
      </c>
      <c r="R2497" s="5" t="inlineStr">
        <is>
          <t>7</t>
        </is>
      </c>
      <c r="S2497" s="5" t="inlineStr">
        <is>
          <t>4</t>
        </is>
      </c>
      <c r="T2497" s="5" t="inlineStr">
        <is>
          <t>1</t>
        </is>
      </c>
      <c r="U2497" s="5">
        <f>IFS(C2497&lt;30,"Under 30",C2497&lt;40,"30-39",C2497&lt;50,"40-49",TRUE,"50+")</f>
        <v/>
      </c>
      <c r="V2497" s="5">
        <f>IFS(O2497&lt;60000,"Low (&lt;60k)",O2497&lt;100000,"Mid (60-100k)",TRUE,"High (100k+)")</f>
        <v/>
      </c>
      <c r="W2497" s="5">
        <f>IF(M2497="No","Attrited","Active")</f>
        <v/>
      </c>
    </row>
    <row r="2498">
      <c r="A2498" s="5" t="inlineStr">
        <is>
          <t>E02497</t>
        </is>
      </c>
      <c r="B2498" s="5" t="inlineStr">
        <is>
          <t>Male</t>
        </is>
      </c>
      <c r="C2498" s="6" t="inlineStr">
        <is>
          <t>26</t>
        </is>
      </c>
      <c r="D2498" s="5" t="inlineStr">
        <is>
          <t>Married</t>
        </is>
      </c>
      <c r="E2498" s="5" t="inlineStr">
        <is>
          <t>High School</t>
        </is>
      </c>
      <c r="F2498" s="5" t="inlineStr">
        <is>
          <t>Operations</t>
        </is>
      </c>
      <c r="G2498" s="5" t="inlineStr">
        <is>
          <t>Logistics Coordinator</t>
        </is>
      </c>
      <c r="H2498" s="5" t="inlineStr">
        <is>
          <t>1</t>
        </is>
      </c>
      <c r="I2498" s="5" t="inlineStr">
        <is>
          <t>Remote</t>
        </is>
      </c>
      <c r="J2498" s="5" t="inlineStr">
        <is>
          <t>Full-Time</t>
        </is>
      </c>
      <c r="K2498" s="7" t="n">
        <v>45313</v>
      </c>
      <c r="L2498" s="7" t="n">
        <v>45347</v>
      </c>
      <c r="M2498" s="5" t="inlineStr">
        <is>
          <t>No</t>
        </is>
      </c>
      <c r="N2498" s="5" t="inlineStr">
        <is>
          <t>Relocation</t>
        </is>
      </c>
      <c r="O2498" s="8" t="inlineStr">
        <is>
          <t>85000</t>
        </is>
      </c>
      <c r="P2498" s="5" t="inlineStr">
        <is>
          <t>0</t>
        </is>
      </c>
      <c r="Q2498" s="5" t="inlineStr">
        <is>
          <t>4</t>
        </is>
      </c>
      <c r="R2498" s="5" t="inlineStr">
        <is>
          <t>4</t>
        </is>
      </c>
      <c r="S2498" s="5" t="inlineStr">
        <is>
          <t>1</t>
        </is>
      </c>
      <c r="T2498" s="5" t="inlineStr">
        <is>
          <t>10</t>
        </is>
      </c>
      <c r="U2498" s="5">
        <f>IFS(C2498&lt;30,"Under 30",C2498&lt;40,"30-39",C2498&lt;50,"40-49",TRUE,"50+")</f>
        <v/>
      </c>
      <c r="V2498" s="5">
        <f>IFS(O2498&lt;60000,"Low (&lt;60k)",O2498&lt;100000,"Mid (60-100k)",TRUE,"High (100k+)")</f>
        <v/>
      </c>
      <c r="W2498" s="5">
        <f>IF(M2498="No","Attrited","Active")</f>
        <v/>
      </c>
    </row>
    <row r="2499">
      <c r="A2499" s="5" t="inlineStr">
        <is>
          <t>E02498</t>
        </is>
      </c>
      <c r="B2499" s="5" t="inlineStr">
        <is>
          <t>Male</t>
        </is>
      </c>
      <c r="C2499" s="6" t="inlineStr">
        <is>
          <t>40</t>
        </is>
      </c>
      <c r="D2499" s="5" t="inlineStr">
        <is>
          <t>Married</t>
        </is>
      </c>
      <c r="E2499" s="5" t="inlineStr">
        <is>
          <t>Master</t>
        </is>
      </c>
      <c r="F2499" s="5" t="inlineStr">
        <is>
          <t>Sales</t>
        </is>
      </c>
      <c r="G2499" s="5" t="inlineStr">
        <is>
          <t>Business Development</t>
        </is>
      </c>
      <c r="H2499" s="5" t="inlineStr">
        <is>
          <t>5</t>
        </is>
      </c>
      <c r="I2499" s="5" t="inlineStr">
        <is>
          <t>Delhi</t>
        </is>
      </c>
      <c r="J2499" s="5" t="inlineStr">
        <is>
          <t>Full-Time</t>
        </is>
      </c>
      <c r="K2499" s="7" t="n">
        <v>44590</v>
      </c>
      <c r="L2499" s="7" t="n">
        <v>44698</v>
      </c>
      <c r="M2499" s="5" t="inlineStr">
        <is>
          <t>No</t>
        </is>
      </c>
      <c r="N2499" s="5" t="inlineStr">
        <is>
          <t>Resigned</t>
        </is>
      </c>
      <c r="O2499" s="8" t="inlineStr">
        <is>
          <t>136000</t>
        </is>
      </c>
      <c r="P2499" s="5" t="inlineStr">
        <is>
          <t>10</t>
        </is>
      </c>
      <c r="Q2499" s="5" t="inlineStr">
        <is>
          <t>5</t>
        </is>
      </c>
      <c r="R2499" s="5" t="inlineStr">
        <is>
          <t>8</t>
        </is>
      </c>
      <c r="S2499" s="5" t="inlineStr">
        <is>
          <t>3</t>
        </is>
      </c>
      <c r="T2499" s="5" t="inlineStr">
        <is>
          <t>2</t>
        </is>
      </c>
      <c r="U2499" s="5">
        <f>IFS(C2499&lt;30,"Under 30",C2499&lt;40,"30-39",C2499&lt;50,"40-49",TRUE,"50+")</f>
        <v/>
      </c>
      <c r="V2499" s="5">
        <f>IFS(O2499&lt;60000,"Low (&lt;60k)",O2499&lt;100000,"Mid (60-100k)",TRUE,"High (100k+)")</f>
        <v/>
      </c>
      <c r="W2499" s="5">
        <f>IF(M2499="No","Attrited","Active")</f>
        <v/>
      </c>
    </row>
    <row r="2500">
      <c r="A2500" s="5" t="inlineStr">
        <is>
          <t>E02499</t>
        </is>
      </c>
      <c r="B2500" s="5" t="inlineStr">
        <is>
          <t>Male</t>
        </is>
      </c>
      <c r="C2500" s="6" t="inlineStr">
        <is>
          <t>37</t>
        </is>
      </c>
      <c r="D2500" s="5" t="inlineStr">
        <is>
          <t>Married</t>
        </is>
      </c>
      <c r="E2500" s="5" t="inlineStr">
        <is>
          <t>High School</t>
        </is>
      </c>
      <c r="F2500" s="5" t="inlineStr">
        <is>
          <t>Operations</t>
        </is>
      </c>
      <c r="G2500" s="5" t="inlineStr">
        <is>
          <t>Operations Analyst</t>
        </is>
      </c>
      <c r="H2500" s="5" t="inlineStr">
        <is>
          <t>3</t>
        </is>
      </c>
      <c r="I2500" s="5" t="inlineStr">
        <is>
          <t>Remote</t>
        </is>
      </c>
      <c r="J2500" s="5" t="inlineStr">
        <is>
          <t>Full-Time</t>
        </is>
      </c>
      <c r="K2500" s="7" t="n">
        <v>44894</v>
      </c>
      <c r="L2500" s="7" t="inlineStr"/>
      <c r="M2500" s="5" t="inlineStr">
        <is>
          <t>Yes</t>
        </is>
      </c>
      <c r="N2500" s="5" t="inlineStr"/>
      <c r="O2500" s="8" t="inlineStr">
        <is>
          <t>89500</t>
        </is>
      </c>
      <c r="P2500" s="5" t="inlineStr">
        <is>
          <t>0</t>
        </is>
      </c>
      <c r="Q2500" s="5" t="inlineStr">
        <is>
          <t>3</t>
        </is>
      </c>
      <c r="R2500" s="5" t="inlineStr">
        <is>
          <t>3</t>
        </is>
      </c>
      <c r="S2500" s="5" t="inlineStr">
        <is>
          <t>37</t>
        </is>
      </c>
      <c r="T2500" s="5" t="inlineStr">
        <is>
          <t>4</t>
        </is>
      </c>
      <c r="U2500" s="5">
        <f>IFS(C2500&lt;30,"Under 30",C2500&lt;40,"30-39",C2500&lt;50,"40-49",TRUE,"50+")</f>
        <v/>
      </c>
      <c r="V2500" s="5">
        <f>IFS(O2500&lt;60000,"Low (&lt;60k)",O2500&lt;100000,"Mid (60-100k)",TRUE,"High (100k+)")</f>
        <v/>
      </c>
      <c r="W2500" s="5">
        <f>IF(M2500="No","Attrited","Active")</f>
        <v/>
      </c>
    </row>
    <row r="2501">
      <c r="A2501" s="5" t="inlineStr">
        <is>
          <t>E02500</t>
        </is>
      </c>
      <c r="B2501" s="5" t="inlineStr">
        <is>
          <t>Female</t>
        </is>
      </c>
      <c r="C2501" s="6" t="inlineStr">
        <is>
          <t>36</t>
        </is>
      </c>
      <c r="D2501" s="5" t="inlineStr">
        <is>
          <t>Divorced</t>
        </is>
      </c>
      <c r="E2501" s="5" t="inlineStr">
        <is>
          <t>Bachelor</t>
        </is>
      </c>
      <c r="F2501" s="5" t="inlineStr">
        <is>
          <t>Customer Support</t>
        </is>
      </c>
      <c r="G2501" s="5" t="inlineStr">
        <is>
          <t>Support Lead</t>
        </is>
      </c>
      <c r="H2501" s="5" t="inlineStr">
        <is>
          <t>3</t>
        </is>
      </c>
      <c r="I2501" s="5" t="inlineStr">
        <is>
          <t>Chennai</t>
        </is>
      </c>
      <c r="J2501" s="5" t="inlineStr">
        <is>
          <t>Full-Time</t>
        </is>
      </c>
      <c r="K2501" s="7" t="n">
        <v>44508</v>
      </c>
      <c r="L2501" s="7" t="inlineStr"/>
      <c r="M2501" s="5" t="inlineStr">
        <is>
          <t>Yes</t>
        </is>
      </c>
      <c r="N2501" s="5" t="inlineStr"/>
      <c r="O2501" s="8" t="inlineStr">
        <is>
          <t>72500</t>
        </is>
      </c>
      <c r="P2501" s="5" t="inlineStr">
        <is>
          <t>10</t>
        </is>
      </c>
      <c r="Q2501" s="5" t="inlineStr">
        <is>
          <t>3</t>
        </is>
      </c>
      <c r="R2501" s="5" t="inlineStr">
        <is>
          <t>5</t>
        </is>
      </c>
      <c r="S2501" s="5" t="inlineStr">
        <is>
          <t>50</t>
        </is>
      </c>
      <c r="T2501" s="5" t="inlineStr">
        <is>
          <t>7</t>
        </is>
      </c>
      <c r="U2501" s="5">
        <f>IFS(C2501&lt;30,"Under 30",C2501&lt;40,"30-39",C2501&lt;50,"40-49",TRUE,"50+")</f>
        <v/>
      </c>
      <c r="V2501" s="5">
        <f>IFS(O2501&lt;60000,"Low (&lt;60k)",O2501&lt;100000,"Mid (60-100k)",TRUE,"High (100k+)")</f>
        <v/>
      </c>
      <c r="W2501" s="5">
        <f>IF(M2501="No","Attrited","Active")</f>
        <v/>
      </c>
    </row>
    <row r="2502">
      <c r="A2502" s="5" t="inlineStr">
        <is>
          <t>E02501</t>
        </is>
      </c>
      <c r="B2502" s="5" t="inlineStr">
        <is>
          <t>Male</t>
        </is>
      </c>
      <c r="C2502" s="6" t="inlineStr">
        <is>
          <t>35</t>
        </is>
      </c>
      <c r="D2502" s="5" t="inlineStr">
        <is>
          <t>Married</t>
        </is>
      </c>
      <c r="E2502" s="5" t="inlineStr">
        <is>
          <t>Bachelor</t>
        </is>
      </c>
      <c r="F2502" s="5" t="inlineStr">
        <is>
          <t>Customer Support</t>
        </is>
      </c>
      <c r="G2502" s="5" t="inlineStr">
        <is>
          <t>Escalation Specialist</t>
        </is>
      </c>
      <c r="H2502" s="5" t="inlineStr">
        <is>
          <t>3</t>
        </is>
      </c>
      <c r="I2502" s="5" t="inlineStr">
        <is>
          <t>Bengaluru</t>
        </is>
      </c>
      <c r="J2502" s="5" t="inlineStr">
        <is>
          <t>Full-Time</t>
        </is>
      </c>
      <c r="K2502" s="7" t="n">
        <v>44332</v>
      </c>
      <c r="L2502" s="7" t="inlineStr"/>
      <c r="M2502" s="5" t="inlineStr">
        <is>
          <t>Yes</t>
        </is>
      </c>
      <c r="N2502" s="5" t="inlineStr"/>
      <c r="O2502" s="8" t="inlineStr">
        <is>
          <t>91000</t>
        </is>
      </c>
      <c r="P2502" s="5" t="inlineStr">
        <is>
          <t>5</t>
        </is>
      </c>
      <c r="Q2502" s="5" t="inlineStr">
        <is>
          <t>3</t>
        </is>
      </c>
      <c r="R2502" s="5" t="inlineStr">
        <is>
          <t>3</t>
        </is>
      </c>
      <c r="S2502" s="5" t="inlineStr">
        <is>
          <t>56</t>
        </is>
      </c>
      <c r="T2502" s="5" t="inlineStr">
        <is>
          <t>12</t>
        </is>
      </c>
      <c r="U2502" s="5">
        <f>IFS(C2502&lt;30,"Under 30",C2502&lt;40,"30-39",C2502&lt;50,"40-49",TRUE,"50+")</f>
        <v/>
      </c>
      <c r="V2502" s="5">
        <f>IFS(O2502&lt;60000,"Low (&lt;60k)",O2502&lt;100000,"Mid (60-100k)",TRUE,"High (100k+)")</f>
        <v/>
      </c>
      <c r="W2502" s="5">
        <f>IF(M2502="No","Attrited","Active")</f>
        <v/>
      </c>
    </row>
    <row r="2503">
      <c r="A2503" s="5" t="inlineStr">
        <is>
          <t>E02502</t>
        </is>
      </c>
      <c r="B2503" s="5" t="inlineStr">
        <is>
          <t>Female</t>
        </is>
      </c>
      <c r="C2503" s="6" t="inlineStr">
        <is>
          <t>35</t>
        </is>
      </c>
      <c r="D2503" s="5" t="inlineStr">
        <is>
          <t>Single</t>
        </is>
      </c>
      <c r="E2503" s="5" t="inlineStr">
        <is>
          <t>PhD</t>
        </is>
      </c>
      <c r="F2503" s="5" t="inlineStr">
        <is>
          <t>Customer Support</t>
        </is>
      </c>
      <c r="G2503" s="5" t="inlineStr">
        <is>
          <t>Escalation Specialist</t>
        </is>
      </c>
      <c r="H2503" s="5" t="inlineStr">
        <is>
          <t>2</t>
        </is>
      </c>
      <c r="I2503" s="5" t="inlineStr">
        <is>
          <t>Hyderabad</t>
        </is>
      </c>
      <c r="J2503" s="5" t="inlineStr">
        <is>
          <t>Full-Time</t>
        </is>
      </c>
      <c r="K2503" s="7" t="n">
        <v>45463</v>
      </c>
      <c r="L2503" s="7" t="inlineStr"/>
      <c r="M2503" s="5" t="inlineStr">
        <is>
          <t>Yes</t>
        </is>
      </c>
      <c r="N2503" s="5" t="inlineStr"/>
      <c r="O2503" s="8" t="inlineStr">
        <is>
          <t>75500</t>
        </is>
      </c>
      <c r="P2503" s="5" t="inlineStr">
        <is>
          <t>5</t>
        </is>
      </c>
      <c r="Q2503" s="5" t="inlineStr">
        <is>
          <t>3</t>
        </is>
      </c>
      <c r="R2503" s="5" t="inlineStr">
        <is>
          <t>5</t>
        </is>
      </c>
      <c r="S2503" s="5" t="inlineStr">
        <is>
          <t>18</t>
        </is>
      </c>
      <c r="T2503" s="5" t="inlineStr">
        <is>
          <t>6</t>
        </is>
      </c>
      <c r="U2503" s="5">
        <f>IFS(C2503&lt;30,"Under 30",C2503&lt;40,"30-39",C2503&lt;50,"40-49",TRUE,"50+")</f>
        <v/>
      </c>
      <c r="V2503" s="5">
        <f>IFS(O2503&lt;60000,"Low (&lt;60k)",O2503&lt;100000,"Mid (60-100k)",TRUE,"High (100k+)")</f>
        <v/>
      </c>
      <c r="W2503" s="5">
        <f>IF(M2503="No","Attrited","Active")</f>
        <v/>
      </c>
    </row>
    <row r="2504">
      <c r="A2504" s="5" t="inlineStr">
        <is>
          <t>E02503</t>
        </is>
      </c>
      <c r="B2504" s="5" t="inlineStr">
        <is>
          <t>Male</t>
        </is>
      </c>
      <c r="C2504" s="6" t="inlineStr">
        <is>
          <t>36</t>
        </is>
      </c>
      <c r="D2504" s="5" t="inlineStr">
        <is>
          <t>Married</t>
        </is>
      </c>
      <c r="E2504" s="5" t="inlineStr">
        <is>
          <t>Diploma</t>
        </is>
      </c>
      <c r="F2504" s="5" t="inlineStr">
        <is>
          <t>Sales</t>
        </is>
      </c>
      <c r="G2504" s="5" t="inlineStr">
        <is>
          <t>Business Development</t>
        </is>
      </c>
      <c r="H2504" s="5" t="inlineStr">
        <is>
          <t>4</t>
        </is>
      </c>
      <c r="I2504" s="5" t="inlineStr">
        <is>
          <t>Hyderabad</t>
        </is>
      </c>
      <c r="J2504" s="5" t="inlineStr">
        <is>
          <t>Full-Time</t>
        </is>
      </c>
      <c r="K2504" s="7" t="n">
        <v>44914</v>
      </c>
      <c r="L2504" s="7" t="inlineStr"/>
      <c r="M2504" s="5" t="inlineStr">
        <is>
          <t>Yes</t>
        </is>
      </c>
      <c r="N2504" s="5" t="inlineStr"/>
      <c r="O2504" s="8" t="inlineStr">
        <is>
          <t>148500</t>
        </is>
      </c>
      <c r="P2504" s="5" t="inlineStr">
        <is>
          <t>20</t>
        </is>
      </c>
      <c r="Q2504" s="5" t="inlineStr">
        <is>
          <t>2</t>
        </is>
      </c>
      <c r="R2504" s="5" t="inlineStr">
        <is>
          <t>7</t>
        </is>
      </c>
      <c r="S2504" s="5" t="inlineStr">
        <is>
          <t>36</t>
        </is>
      </c>
      <c r="T2504" s="5" t="inlineStr">
        <is>
          <t>6</t>
        </is>
      </c>
      <c r="U2504" s="5">
        <f>IFS(C2504&lt;30,"Under 30",C2504&lt;40,"30-39",C2504&lt;50,"40-49",TRUE,"50+")</f>
        <v/>
      </c>
      <c r="V2504" s="5">
        <f>IFS(O2504&lt;60000,"Low (&lt;60k)",O2504&lt;100000,"Mid (60-100k)",TRUE,"High (100k+)")</f>
        <v/>
      </c>
      <c r="W2504" s="5">
        <f>IF(M2504="No","Attrited","Active")</f>
        <v/>
      </c>
    </row>
    <row r="2505">
      <c r="A2505" s="5" t="inlineStr">
        <is>
          <t>E02504</t>
        </is>
      </c>
      <c r="B2505" s="5" t="inlineStr">
        <is>
          <t>Male</t>
        </is>
      </c>
      <c r="C2505" s="6" t="inlineStr">
        <is>
          <t>30</t>
        </is>
      </c>
      <c r="D2505" s="5" t="inlineStr">
        <is>
          <t>Married</t>
        </is>
      </c>
      <c r="E2505" s="5" t="inlineStr">
        <is>
          <t>PhD</t>
        </is>
      </c>
      <c r="F2505" s="5" t="inlineStr">
        <is>
          <t>Operations</t>
        </is>
      </c>
      <c r="G2505" s="5" t="inlineStr">
        <is>
          <t>Logistics Coordinator</t>
        </is>
      </c>
      <c r="H2505" s="5" t="inlineStr">
        <is>
          <t>2</t>
        </is>
      </c>
      <c r="I2505" s="5" t="inlineStr">
        <is>
          <t>Mumbai</t>
        </is>
      </c>
      <c r="J2505" s="5" t="inlineStr">
        <is>
          <t>Full-Time</t>
        </is>
      </c>
      <c r="K2505" s="7" t="n">
        <v>45498</v>
      </c>
      <c r="L2505" s="7" t="inlineStr"/>
      <c r="M2505" s="5" t="inlineStr">
        <is>
          <t>Yes</t>
        </is>
      </c>
      <c r="N2505" s="5" t="inlineStr"/>
      <c r="O2505" s="8" t="inlineStr">
        <is>
          <t>84000</t>
        </is>
      </c>
      <c r="P2505" s="5" t="inlineStr">
        <is>
          <t>10</t>
        </is>
      </c>
      <c r="Q2505" s="5" t="inlineStr">
        <is>
          <t>4</t>
        </is>
      </c>
      <c r="R2505" s="5" t="inlineStr">
        <is>
          <t>5</t>
        </is>
      </c>
      <c r="S2505" s="5" t="inlineStr">
        <is>
          <t>17</t>
        </is>
      </c>
      <c r="T2505" s="5" t="inlineStr">
        <is>
          <t>6</t>
        </is>
      </c>
      <c r="U2505" s="5">
        <f>IFS(C2505&lt;30,"Under 30",C2505&lt;40,"30-39",C2505&lt;50,"40-49",TRUE,"50+")</f>
        <v/>
      </c>
      <c r="V2505" s="5">
        <f>IFS(O2505&lt;60000,"Low (&lt;60k)",O2505&lt;100000,"Mid (60-100k)",TRUE,"High (100k+)")</f>
        <v/>
      </c>
      <c r="W2505" s="5">
        <f>IF(M2505="No","Attrited","Active")</f>
        <v/>
      </c>
    </row>
    <row r="2506">
      <c r="A2506" s="5" t="inlineStr">
        <is>
          <t>E02505</t>
        </is>
      </c>
      <c r="B2506" s="5" t="inlineStr">
        <is>
          <t>Female</t>
        </is>
      </c>
      <c r="C2506" s="6" t="inlineStr">
        <is>
          <t>36</t>
        </is>
      </c>
      <c r="D2506" s="5" t="inlineStr">
        <is>
          <t>Married</t>
        </is>
      </c>
      <c r="E2506" s="5" t="inlineStr">
        <is>
          <t>Diploma</t>
        </is>
      </c>
      <c r="F2506" s="5" t="inlineStr">
        <is>
          <t>Sales</t>
        </is>
      </c>
      <c r="G2506" s="5" t="inlineStr">
        <is>
          <t>Account Executive</t>
        </is>
      </c>
      <c r="H2506" s="5" t="inlineStr">
        <is>
          <t>2</t>
        </is>
      </c>
      <c r="I2506" s="5" t="inlineStr">
        <is>
          <t>Hyderabad</t>
        </is>
      </c>
      <c r="J2506" s="5" t="inlineStr">
        <is>
          <t>Full-Time</t>
        </is>
      </c>
      <c r="K2506" s="7" t="n">
        <v>45051</v>
      </c>
      <c r="L2506" s="7" t="inlineStr"/>
      <c r="M2506" s="5" t="inlineStr">
        <is>
          <t>Yes</t>
        </is>
      </c>
      <c r="N2506" s="5" t="inlineStr"/>
      <c r="O2506" s="8" t="inlineStr">
        <is>
          <t>110000</t>
        </is>
      </c>
      <c r="P2506" s="5" t="inlineStr">
        <is>
          <t>10</t>
        </is>
      </c>
      <c r="Q2506" s="5" t="inlineStr">
        <is>
          <t>3</t>
        </is>
      </c>
      <c r="R2506" s="5" t="inlineStr">
        <is>
          <t>6</t>
        </is>
      </c>
      <c r="S2506" s="5" t="inlineStr">
        <is>
          <t>32</t>
        </is>
      </c>
      <c r="T2506" s="5" t="inlineStr">
        <is>
          <t>4</t>
        </is>
      </c>
      <c r="U2506" s="5">
        <f>IFS(C2506&lt;30,"Under 30",C2506&lt;40,"30-39",C2506&lt;50,"40-49",TRUE,"50+")</f>
        <v/>
      </c>
      <c r="V2506" s="5">
        <f>IFS(O2506&lt;60000,"Low (&lt;60k)",O2506&lt;100000,"Mid (60-100k)",TRUE,"High (100k+)")</f>
        <v/>
      </c>
      <c r="W2506" s="5">
        <f>IF(M2506="No","Attrited","Active")</f>
        <v/>
      </c>
    </row>
    <row r="2507">
      <c r="A2507" s="5" t="inlineStr">
        <is>
          <t>E02506</t>
        </is>
      </c>
      <c r="B2507" s="5" t="inlineStr">
        <is>
          <t>Female</t>
        </is>
      </c>
      <c r="C2507" s="6" t="inlineStr">
        <is>
          <t>31</t>
        </is>
      </c>
      <c r="D2507" s="5" t="inlineStr">
        <is>
          <t>Married</t>
        </is>
      </c>
      <c r="E2507" s="5" t="inlineStr">
        <is>
          <t>High School</t>
        </is>
      </c>
      <c r="F2507" s="5" t="inlineStr">
        <is>
          <t>Sales</t>
        </is>
      </c>
      <c r="G2507" s="5" t="inlineStr">
        <is>
          <t>Account Executive</t>
        </is>
      </c>
      <c r="H2507" s="5" t="inlineStr">
        <is>
          <t>4</t>
        </is>
      </c>
      <c r="I2507" s="5" t="inlineStr">
        <is>
          <t>Hyderabad</t>
        </is>
      </c>
      <c r="J2507" s="5" t="inlineStr">
        <is>
          <t>Full-Time</t>
        </is>
      </c>
      <c r="K2507" s="7" t="n">
        <v>45220</v>
      </c>
      <c r="L2507" s="7" t="n">
        <v>45353</v>
      </c>
      <c r="M2507" s="5" t="inlineStr">
        <is>
          <t>No</t>
        </is>
      </c>
      <c r="N2507" s="5" t="inlineStr">
        <is>
          <t>Resigned</t>
        </is>
      </c>
      <c r="O2507" s="8" t="inlineStr">
        <is>
          <t>106500</t>
        </is>
      </c>
      <c r="P2507" s="5" t="inlineStr">
        <is>
          <t>10</t>
        </is>
      </c>
      <c r="Q2507" s="5" t="inlineStr">
        <is>
          <t>4</t>
        </is>
      </c>
      <c r="R2507" s="5" t="inlineStr">
        <is>
          <t>6</t>
        </is>
      </c>
      <c r="S2507" s="5" t="inlineStr">
        <is>
          <t>4</t>
        </is>
      </c>
      <c r="T2507" s="5" t="inlineStr">
        <is>
          <t>11</t>
        </is>
      </c>
      <c r="U2507" s="5">
        <f>IFS(C2507&lt;30,"Under 30",C2507&lt;40,"30-39",C2507&lt;50,"40-49",TRUE,"50+")</f>
        <v/>
      </c>
      <c r="V2507" s="5">
        <f>IFS(O2507&lt;60000,"Low (&lt;60k)",O2507&lt;100000,"Mid (60-100k)",TRUE,"High (100k+)")</f>
        <v/>
      </c>
      <c r="W2507" s="5">
        <f>IF(M2507="No","Attrited","Active")</f>
        <v/>
      </c>
    </row>
    <row r="2508">
      <c r="A2508" s="5" t="inlineStr">
        <is>
          <t>E02507</t>
        </is>
      </c>
      <c r="B2508" s="5" t="inlineStr">
        <is>
          <t>Male</t>
        </is>
      </c>
      <c r="C2508" s="6" t="inlineStr">
        <is>
          <t>24</t>
        </is>
      </c>
      <c r="D2508" s="5" t="inlineStr">
        <is>
          <t>Single</t>
        </is>
      </c>
      <c r="E2508" s="5" t="inlineStr">
        <is>
          <t>Master</t>
        </is>
      </c>
      <c r="F2508" s="5" t="inlineStr">
        <is>
          <t>IT</t>
        </is>
      </c>
      <c r="G2508" s="5" t="inlineStr">
        <is>
          <t>Software Engineer</t>
        </is>
      </c>
      <c r="H2508" s="5" t="inlineStr">
        <is>
          <t>1</t>
        </is>
      </c>
      <c r="I2508" s="5" t="inlineStr">
        <is>
          <t>Chennai</t>
        </is>
      </c>
      <c r="J2508" s="5" t="inlineStr">
        <is>
          <t>Full-Time</t>
        </is>
      </c>
      <c r="K2508" s="7" t="n">
        <v>44866</v>
      </c>
      <c r="L2508" s="7" t="inlineStr"/>
      <c r="M2508" s="5" t="inlineStr">
        <is>
          <t>Yes</t>
        </is>
      </c>
      <c r="N2508" s="5" t="inlineStr"/>
      <c r="O2508" s="8" t="inlineStr">
        <is>
          <t>117500</t>
        </is>
      </c>
      <c r="P2508" s="5" t="inlineStr">
        <is>
          <t>10</t>
        </is>
      </c>
      <c r="Q2508" s="5" t="inlineStr">
        <is>
          <t>4</t>
        </is>
      </c>
      <c r="R2508" s="5" t="inlineStr">
        <is>
          <t>3</t>
        </is>
      </c>
      <c r="S2508" s="5" t="inlineStr">
        <is>
          <t>38</t>
        </is>
      </c>
      <c r="T2508" s="5" t="inlineStr">
        <is>
          <t>0</t>
        </is>
      </c>
      <c r="U2508" s="5">
        <f>IFS(C2508&lt;30,"Under 30",C2508&lt;40,"30-39",C2508&lt;50,"40-49",TRUE,"50+")</f>
        <v/>
      </c>
      <c r="V2508" s="5">
        <f>IFS(O2508&lt;60000,"Low (&lt;60k)",O2508&lt;100000,"Mid (60-100k)",TRUE,"High (100k+)")</f>
        <v/>
      </c>
      <c r="W2508" s="5">
        <f>IF(M2508="No","Attrited","Active")</f>
        <v/>
      </c>
    </row>
    <row r="2509">
      <c r="A2509" s="5" t="inlineStr">
        <is>
          <t>E02508</t>
        </is>
      </c>
      <c r="B2509" s="5" t="inlineStr">
        <is>
          <t>Male</t>
        </is>
      </c>
      <c r="C2509" s="6" t="inlineStr">
        <is>
          <t>41</t>
        </is>
      </c>
      <c r="D2509" s="5" t="inlineStr">
        <is>
          <t>Single</t>
        </is>
      </c>
      <c r="E2509" s="5" t="inlineStr">
        <is>
          <t>Master</t>
        </is>
      </c>
      <c r="F2509" s="5" t="inlineStr">
        <is>
          <t>Marketing</t>
        </is>
      </c>
      <c r="G2509" s="5" t="inlineStr">
        <is>
          <t>Marketing Analyst</t>
        </is>
      </c>
      <c r="H2509" s="5" t="inlineStr">
        <is>
          <t>6</t>
        </is>
      </c>
      <c r="I2509" s="5" t="inlineStr">
        <is>
          <t>Mumbai</t>
        </is>
      </c>
      <c r="J2509" s="5" t="inlineStr">
        <is>
          <t>Full-Time</t>
        </is>
      </c>
      <c r="K2509" s="7" t="n">
        <v>44420</v>
      </c>
      <c r="L2509" s="7" t="inlineStr"/>
      <c r="M2509" s="5" t="inlineStr">
        <is>
          <t>Yes</t>
        </is>
      </c>
      <c r="N2509" s="5" t="inlineStr"/>
      <c r="O2509" s="8" t="inlineStr">
        <is>
          <t>89500</t>
        </is>
      </c>
      <c r="P2509" s="5" t="inlineStr">
        <is>
          <t>10</t>
        </is>
      </c>
      <c r="Q2509" s="5" t="inlineStr">
        <is>
          <t>2</t>
        </is>
      </c>
      <c r="R2509" s="5" t="inlineStr">
        <is>
          <t>5</t>
        </is>
      </c>
      <c r="S2509" s="5" t="inlineStr">
        <is>
          <t>53</t>
        </is>
      </c>
      <c r="T2509" s="5" t="inlineStr">
        <is>
          <t>11</t>
        </is>
      </c>
      <c r="U2509" s="5">
        <f>IFS(C2509&lt;30,"Under 30",C2509&lt;40,"30-39",C2509&lt;50,"40-49",TRUE,"50+")</f>
        <v/>
      </c>
      <c r="V2509" s="5">
        <f>IFS(O2509&lt;60000,"Low (&lt;60k)",O2509&lt;100000,"Mid (60-100k)",TRUE,"High (100k+)")</f>
        <v/>
      </c>
      <c r="W2509" s="5">
        <f>IF(M2509="No","Attrited","Active")</f>
        <v/>
      </c>
    </row>
    <row r="2510">
      <c r="A2510" s="5" t="inlineStr">
        <is>
          <t>E02509</t>
        </is>
      </c>
      <c r="B2510" s="5" t="inlineStr">
        <is>
          <t>Female</t>
        </is>
      </c>
      <c r="C2510" s="6" t="inlineStr">
        <is>
          <t>25</t>
        </is>
      </c>
      <c r="D2510" s="5" t="inlineStr">
        <is>
          <t>Married</t>
        </is>
      </c>
      <c r="E2510" s="5" t="inlineStr">
        <is>
          <t>Bachelor</t>
        </is>
      </c>
      <c r="F2510" s="5" t="inlineStr">
        <is>
          <t>IT</t>
        </is>
      </c>
      <c r="G2510" s="5" t="inlineStr">
        <is>
          <t>Data Analyst</t>
        </is>
      </c>
      <c r="H2510" s="5" t="inlineStr">
        <is>
          <t>1</t>
        </is>
      </c>
      <c r="I2510" s="5" t="inlineStr">
        <is>
          <t>Remote</t>
        </is>
      </c>
      <c r="J2510" s="5" t="inlineStr">
        <is>
          <t>Full-Time</t>
        </is>
      </c>
      <c r="K2510" s="7" t="n">
        <v>45926</v>
      </c>
      <c r="L2510" s="7" t="inlineStr"/>
      <c r="M2510" s="5" t="inlineStr">
        <is>
          <t>Yes</t>
        </is>
      </c>
      <c r="N2510" s="5" t="inlineStr"/>
      <c r="O2510" s="8" t="inlineStr">
        <is>
          <t>131000</t>
        </is>
      </c>
      <c r="P2510" s="5" t="inlineStr">
        <is>
          <t>15</t>
        </is>
      </c>
      <c r="Q2510" s="5" t="inlineStr">
        <is>
          <t>3</t>
        </is>
      </c>
      <c r="R2510" s="5" t="inlineStr">
        <is>
          <t>3</t>
        </is>
      </c>
      <c r="S2510" s="5" t="inlineStr">
        <is>
          <t>3</t>
        </is>
      </c>
      <c r="T2510" s="5" t="inlineStr">
        <is>
          <t>18</t>
        </is>
      </c>
      <c r="U2510" s="5">
        <f>IFS(C2510&lt;30,"Under 30",C2510&lt;40,"30-39",C2510&lt;50,"40-49",TRUE,"50+")</f>
        <v/>
      </c>
      <c r="V2510" s="5">
        <f>IFS(O2510&lt;60000,"Low (&lt;60k)",O2510&lt;100000,"Mid (60-100k)",TRUE,"High (100k+)")</f>
        <v/>
      </c>
      <c r="W2510" s="5">
        <f>IF(M2510="No","Attrited","Active")</f>
        <v/>
      </c>
    </row>
    <row r="2511">
      <c r="A2511" s="5" t="inlineStr">
        <is>
          <t>E02510</t>
        </is>
      </c>
      <c r="B2511" s="5" t="inlineStr">
        <is>
          <t>Female</t>
        </is>
      </c>
      <c r="C2511" s="6" t="inlineStr">
        <is>
          <t>35</t>
        </is>
      </c>
      <c r="D2511" s="5" t="inlineStr">
        <is>
          <t>Married</t>
        </is>
      </c>
      <c r="E2511" s="5" t="inlineStr">
        <is>
          <t>Master</t>
        </is>
      </c>
      <c r="F2511" s="5" t="inlineStr">
        <is>
          <t>Customer Support</t>
        </is>
      </c>
      <c r="G2511" s="5" t="inlineStr">
        <is>
          <t>Escalation Specialist</t>
        </is>
      </c>
      <c r="H2511" s="5" t="inlineStr">
        <is>
          <t>2</t>
        </is>
      </c>
      <c r="I2511" s="5" t="inlineStr">
        <is>
          <t>Chennai</t>
        </is>
      </c>
      <c r="J2511" s="5" t="inlineStr">
        <is>
          <t>Full-Time</t>
        </is>
      </c>
      <c r="K2511" s="7" t="n">
        <v>45159</v>
      </c>
      <c r="L2511" s="7" t="inlineStr"/>
      <c r="M2511" s="5" t="inlineStr">
        <is>
          <t>Yes</t>
        </is>
      </c>
      <c r="N2511" s="5" t="inlineStr"/>
      <c r="O2511" s="8" t="inlineStr">
        <is>
          <t>65000</t>
        </is>
      </c>
      <c r="P2511" s="5" t="inlineStr">
        <is>
          <t>5</t>
        </is>
      </c>
      <c r="Q2511" s="5" t="inlineStr">
        <is>
          <t>4</t>
        </is>
      </c>
      <c r="R2511" s="5" t="inlineStr">
        <is>
          <t>7</t>
        </is>
      </c>
      <c r="S2511" s="5" t="inlineStr">
        <is>
          <t>28</t>
        </is>
      </c>
      <c r="T2511" s="5" t="inlineStr">
        <is>
          <t>14</t>
        </is>
      </c>
      <c r="U2511" s="5">
        <f>IFS(C2511&lt;30,"Under 30",C2511&lt;40,"30-39",C2511&lt;50,"40-49",TRUE,"50+")</f>
        <v/>
      </c>
      <c r="V2511" s="5">
        <f>IFS(O2511&lt;60000,"Low (&lt;60k)",O2511&lt;100000,"Mid (60-100k)",TRUE,"High (100k+)")</f>
        <v/>
      </c>
      <c r="W2511" s="5">
        <f>IF(M2511="No","Attrited","Active")</f>
        <v/>
      </c>
    </row>
    <row r="2512">
      <c r="A2512" s="5" t="inlineStr">
        <is>
          <t>E02511</t>
        </is>
      </c>
      <c r="B2512" s="5" t="inlineStr">
        <is>
          <t>Female</t>
        </is>
      </c>
      <c r="C2512" s="6" t="inlineStr">
        <is>
          <t>33</t>
        </is>
      </c>
      <c r="D2512" s="5" t="inlineStr">
        <is>
          <t>Married</t>
        </is>
      </c>
      <c r="E2512" s="5" t="inlineStr">
        <is>
          <t>Bachelor</t>
        </is>
      </c>
      <c r="F2512" s="5" t="inlineStr">
        <is>
          <t>Sales</t>
        </is>
      </c>
      <c r="G2512" s="5" t="inlineStr">
        <is>
          <t>Account Executive</t>
        </is>
      </c>
      <c r="H2512" s="5" t="inlineStr">
        <is>
          <t>1</t>
        </is>
      </c>
      <c r="I2512" s="5" t="inlineStr">
        <is>
          <t>Bengaluru</t>
        </is>
      </c>
      <c r="J2512" s="5" t="inlineStr">
        <is>
          <t>Full-Time</t>
        </is>
      </c>
      <c r="K2512" s="7" t="n">
        <v>44543</v>
      </c>
      <c r="L2512" s="7" t="inlineStr"/>
      <c r="M2512" s="5" t="inlineStr">
        <is>
          <t>Yes</t>
        </is>
      </c>
      <c r="N2512" s="5" t="inlineStr"/>
      <c r="O2512" s="8" t="inlineStr">
        <is>
          <t>90500</t>
        </is>
      </c>
      <c r="P2512" s="5" t="inlineStr">
        <is>
          <t>10</t>
        </is>
      </c>
      <c r="Q2512" s="5" t="inlineStr">
        <is>
          <t>4</t>
        </is>
      </c>
      <c r="R2512" s="5" t="inlineStr">
        <is>
          <t>3</t>
        </is>
      </c>
      <c r="S2512" s="5" t="inlineStr">
        <is>
          <t>49</t>
        </is>
      </c>
      <c r="T2512" s="5" t="inlineStr">
        <is>
          <t>2</t>
        </is>
      </c>
      <c r="U2512" s="5">
        <f>IFS(C2512&lt;30,"Under 30",C2512&lt;40,"30-39",C2512&lt;50,"40-49",TRUE,"50+")</f>
        <v/>
      </c>
      <c r="V2512" s="5">
        <f>IFS(O2512&lt;60000,"Low (&lt;60k)",O2512&lt;100000,"Mid (60-100k)",TRUE,"High (100k+)")</f>
        <v/>
      </c>
      <c r="W2512" s="5">
        <f>IF(M2512="No","Attrited","Active")</f>
        <v/>
      </c>
    </row>
    <row r="2513">
      <c r="A2513" s="5" t="inlineStr">
        <is>
          <t>E02512</t>
        </is>
      </c>
      <c r="B2513" s="5" t="inlineStr">
        <is>
          <t>Male</t>
        </is>
      </c>
      <c r="C2513" s="6" t="inlineStr">
        <is>
          <t>30</t>
        </is>
      </c>
      <c r="D2513" s="5" t="inlineStr">
        <is>
          <t>Married</t>
        </is>
      </c>
      <c r="E2513" s="5" t="inlineStr">
        <is>
          <t>Bachelor</t>
        </is>
      </c>
      <c r="F2513" s="5" t="inlineStr">
        <is>
          <t>Sales</t>
        </is>
      </c>
      <c r="G2513" s="5" t="inlineStr">
        <is>
          <t>Sales Executive</t>
        </is>
      </c>
      <c r="H2513" s="5" t="inlineStr">
        <is>
          <t>4</t>
        </is>
      </c>
      <c r="I2513" s="5" t="inlineStr">
        <is>
          <t>Remote</t>
        </is>
      </c>
      <c r="J2513" s="5" t="inlineStr">
        <is>
          <t>Full-Time</t>
        </is>
      </c>
      <c r="K2513" s="7" t="n">
        <v>44392</v>
      </c>
      <c r="L2513" s="7" t="inlineStr"/>
      <c r="M2513" s="5" t="inlineStr">
        <is>
          <t>Yes</t>
        </is>
      </c>
      <c r="N2513" s="5" t="inlineStr"/>
      <c r="O2513" s="8" t="inlineStr">
        <is>
          <t>138500</t>
        </is>
      </c>
      <c r="P2513" s="5" t="inlineStr">
        <is>
          <t>0</t>
        </is>
      </c>
      <c r="Q2513" s="5" t="inlineStr">
        <is>
          <t>4</t>
        </is>
      </c>
      <c r="R2513" s="5" t="inlineStr">
        <is>
          <t>8</t>
        </is>
      </c>
      <c r="S2513" s="5" t="inlineStr">
        <is>
          <t>54</t>
        </is>
      </c>
      <c r="T2513" s="5" t="inlineStr">
        <is>
          <t>16</t>
        </is>
      </c>
      <c r="U2513" s="5">
        <f>IFS(C2513&lt;30,"Under 30",C2513&lt;40,"30-39",C2513&lt;50,"40-49",TRUE,"50+")</f>
        <v/>
      </c>
      <c r="V2513" s="5">
        <f>IFS(O2513&lt;60000,"Low (&lt;60k)",O2513&lt;100000,"Mid (60-100k)",TRUE,"High (100k+)")</f>
        <v/>
      </c>
      <c r="W2513" s="5">
        <f>IF(M2513="No","Attrited","Active")</f>
        <v/>
      </c>
    </row>
    <row r="2514">
      <c r="A2514" s="5" t="inlineStr">
        <is>
          <t>E02513</t>
        </is>
      </c>
      <c r="B2514" s="5" t="inlineStr">
        <is>
          <t>Female</t>
        </is>
      </c>
      <c r="C2514" s="6" t="inlineStr">
        <is>
          <t>40</t>
        </is>
      </c>
      <c r="D2514" s="5" t="inlineStr">
        <is>
          <t>Married</t>
        </is>
      </c>
      <c r="E2514" s="5" t="inlineStr">
        <is>
          <t>Master</t>
        </is>
      </c>
      <c r="F2514" s="5" t="inlineStr">
        <is>
          <t>Customer Support</t>
        </is>
      </c>
      <c r="G2514" s="5" t="inlineStr">
        <is>
          <t>Escalation Specialist</t>
        </is>
      </c>
      <c r="H2514" s="5" t="inlineStr">
        <is>
          <t>4</t>
        </is>
      </c>
      <c r="I2514" s="5" t="inlineStr">
        <is>
          <t>Bengaluru</t>
        </is>
      </c>
      <c r="J2514" s="5" t="inlineStr">
        <is>
          <t>Full-Time</t>
        </is>
      </c>
      <c r="K2514" s="7" t="n">
        <v>45138</v>
      </c>
      <c r="L2514" s="7" t="inlineStr"/>
      <c r="M2514" s="5" t="inlineStr">
        <is>
          <t>Yes</t>
        </is>
      </c>
      <c r="N2514" s="5" t="inlineStr"/>
      <c r="O2514" s="8" t="inlineStr">
        <is>
          <t>93500</t>
        </is>
      </c>
      <c r="P2514" s="5" t="inlineStr">
        <is>
          <t>0</t>
        </is>
      </c>
      <c r="Q2514" s="5" t="inlineStr">
        <is>
          <t>4</t>
        </is>
      </c>
      <c r="R2514" s="5" t="inlineStr">
        <is>
          <t>6</t>
        </is>
      </c>
      <c r="S2514" s="5" t="inlineStr">
        <is>
          <t>29</t>
        </is>
      </c>
      <c r="T2514" s="5" t="inlineStr">
        <is>
          <t>8</t>
        </is>
      </c>
      <c r="U2514" s="5">
        <f>IFS(C2514&lt;30,"Under 30",C2514&lt;40,"30-39",C2514&lt;50,"40-49",TRUE,"50+")</f>
        <v/>
      </c>
      <c r="V2514" s="5">
        <f>IFS(O2514&lt;60000,"Low (&lt;60k)",O2514&lt;100000,"Mid (60-100k)",TRUE,"High (100k+)")</f>
        <v/>
      </c>
      <c r="W2514" s="5">
        <f>IF(M2514="No","Attrited","Active")</f>
        <v/>
      </c>
    </row>
    <row r="2515">
      <c r="A2515" s="5" t="inlineStr">
        <is>
          <t>E02514</t>
        </is>
      </c>
      <c r="B2515" s="5" t="inlineStr">
        <is>
          <t>Male</t>
        </is>
      </c>
      <c r="C2515" s="6" t="inlineStr">
        <is>
          <t>29</t>
        </is>
      </c>
      <c r="D2515" s="5" t="inlineStr">
        <is>
          <t>Married</t>
        </is>
      </c>
      <c r="E2515" s="5" t="inlineStr">
        <is>
          <t>PhD</t>
        </is>
      </c>
      <c r="F2515" s="5" t="inlineStr">
        <is>
          <t>Human Resources</t>
        </is>
      </c>
      <c r="G2515" s="5" t="inlineStr">
        <is>
          <t>Recruiter</t>
        </is>
      </c>
      <c r="H2515" s="5" t="inlineStr">
        <is>
          <t>2</t>
        </is>
      </c>
      <c r="I2515" s="5" t="inlineStr">
        <is>
          <t>Delhi</t>
        </is>
      </c>
      <c r="J2515" s="5" t="inlineStr">
        <is>
          <t>Full-Time</t>
        </is>
      </c>
      <c r="K2515" s="7" t="n">
        <v>44137</v>
      </c>
      <c r="L2515" s="7" t="inlineStr"/>
      <c r="M2515" s="5" t="inlineStr">
        <is>
          <t>Yes</t>
        </is>
      </c>
      <c r="N2515" s="5" t="inlineStr"/>
      <c r="O2515" s="8" t="inlineStr">
        <is>
          <t>75000</t>
        </is>
      </c>
      <c r="P2515" s="5" t="inlineStr">
        <is>
          <t>0</t>
        </is>
      </c>
      <c r="Q2515" s="5" t="inlineStr">
        <is>
          <t>5</t>
        </is>
      </c>
      <c r="R2515" s="5" t="inlineStr">
        <is>
          <t>8</t>
        </is>
      </c>
      <c r="S2515" s="5" t="inlineStr">
        <is>
          <t>62</t>
        </is>
      </c>
      <c r="T2515" s="5" t="inlineStr">
        <is>
          <t>12</t>
        </is>
      </c>
      <c r="U2515" s="5">
        <f>IFS(C2515&lt;30,"Under 30",C2515&lt;40,"30-39",C2515&lt;50,"40-49",TRUE,"50+")</f>
        <v/>
      </c>
      <c r="V2515" s="5">
        <f>IFS(O2515&lt;60000,"Low (&lt;60k)",O2515&lt;100000,"Mid (60-100k)",TRUE,"High (100k+)")</f>
        <v/>
      </c>
      <c r="W2515" s="5">
        <f>IF(M2515="No","Attrited","Active")</f>
        <v/>
      </c>
    </row>
    <row r="2516">
      <c r="A2516" s="5" t="inlineStr">
        <is>
          <t>E02515</t>
        </is>
      </c>
      <c r="B2516" s="5" t="inlineStr">
        <is>
          <t>Male</t>
        </is>
      </c>
      <c r="C2516" s="6" t="inlineStr">
        <is>
          <t>30</t>
        </is>
      </c>
      <c r="D2516" s="5" t="inlineStr">
        <is>
          <t>Married</t>
        </is>
      </c>
      <c r="E2516" s="5" t="inlineStr">
        <is>
          <t>High School</t>
        </is>
      </c>
      <c r="F2516" s="5" t="inlineStr">
        <is>
          <t>Operations</t>
        </is>
      </c>
      <c r="G2516" s="5" t="inlineStr">
        <is>
          <t>Operations Analyst</t>
        </is>
      </c>
      <c r="H2516" s="5" t="inlineStr">
        <is>
          <t>1</t>
        </is>
      </c>
      <c r="I2516" s="5" t="inlineStr">
        <is>
          <t>Delhi</t>
        </is>
      </c>
      <c r="J2516" s="5" t="inlineStr">
        <is>
          <t>Full-Time</t>
        </is>
      </c>
      <c r="K2516" s="7" t="n">
        <v>45511</v>
      </c>
      <c r="L2516" s="7" t="n">
        <v>45581</v>
      </c>
      <c r="M2516" s="5" t="inlineStr">
        <is>
          <t>No</t>
        </is>
      </c>
      <c r="N2516" s="5" t="inlineStr">
        <is>
          <t>Resigned</t>
        </is>
      </c>
      <c r="O2516" s="8" t="inlineStr">
        <is>
          <t>84500</t>
        </is>
      </c>
      <c r="P2516" s="5" t="inlineStr">
        <is>
          <t>5</t>
        </is>
      </c>
      <c r="Q2516" s="5" t="inlineStr">
        <is>
          <t>3</t>
        </is>
      </c>
      <c r="R2516" s="5" t="inlineStr">
        <is>
          <t>7</t>
        </is>
      </c>
      <c r="S2516" s="5" t="inlineStr">
        <is>
          <t>2</t>
        </is>
      </c>
      <c r="T2516" s="5" t="inlineStr">
        <is>
          <t>6</t>
        </is>
      </c>
      <c r="U2516" s="5">
        <f>IFS(C2516&lt;30,"Under 30",C2516&lt;40,"30-39",C2516&lt;50,"40-49",TRUE,"50+")</f>
        <v/>
      </c>
      <c r="V2516" s="5">
        <f>IFS(O2516&lt;60000,"Low (&lt;60k)",O2516&lt;100000,"Mid (60-100k)",TRUE,"High (100k+)")</f>
        <v/>
      </c>
      <c r="W2516" s="5">
        <f>IF(M2516="No","Attrited","Active")</f>
        <v/>
      </c>
    </row>
    <row r="2517">
      <c r="A2517" s="5" t="inlineStr">
        <is>
          <t>E02516</t>
        </is>
      </c>
      <c r="B2517" s="5" t="inlineStr">
        <is>
          <t>Male</t>
        </is>
      </c>
      <c r="C2517" s="6" t="inlineStr">
        <is>
          <t>29</t>
        </is>
      </c>
      <c r="D2517" s="5" t="inlineStr">
        <is>
          <t>Divorced</t>
        </is>
      </c>
      <c r="E2517" s="5" t="inlineStr">
        <is>
          <t>PhD</t>
        </is>
      </c>
      <c r="F2517" s="5" t="inlineStr">
        <is>
          <t>IT</t>
        </is>
      </c>
      <c r="G2517" s="5" t="inlineStr">
        <is>
          <t>IT Support</t>
        </is>
      </c>
      <c r="H2517" s="5" t="inlineStr">
        <is>
          <t>2</t>
        </is>
      </c>
      <c r="I2517" s="5" t="inlineStr">
        <is>
          <t>Hyderabad</t>
        </is>
      </c>
      <c r="J2517" s="5" t="inlineStr">
        <is>
          <t>Full-Time</t>
        </is>
      </c>
      <c r="K2517" s="7" t="n">
        <v>45538</v>
      </c>
      <c r="L2517" s="7" t="inlineStr"/>
      <c r="M2517" s="5" t="inlineStr">
        <is>
          <t>Yes</t>
        </is>
      </c>
      <c r="N2517" s="5" t="inlineStr"/>
      <c r="O2517" s="8" t="inlineStr">
        <is>
          <t>152500</t>
        </is>
      </c>
      <c r="P2517" s="5" t="inlineStr">
        <is>
          <t>0</t>
        </is>
      </c>
      <c r="Q2517" s="5" t="inlineStr">
        <is>
          <t>4</t>
        </is>
      </c>
      <c r="R2517" s="5" t="inlineStr">
        <is>
          <t>7</t>
        </is>
      </c>
      <c r="S2517" s="5" t="inlineStr">
        <is>
          <t>16</t>
        </is>
      </c>
      <c r="T2517" s="5" t="inlineStr">
        <is>
          <t>6</t>
        </is>
      </c>
      <c r="U2517" s="5">
        <f>IFS(C2517&lt;30,"Under 30",C2517&lt;40,"30-39",C2517&lt;50,"40-49",TRUE,"50+")</f>
        <v/>
      </c>
      <c r="V2517" s="5">
        <f>IFS(O2517&lt;60000,"Low (&lt;60k)",O2517&lt;100000,"Mid (60-100k)",TRUE,"High (100k+)")</f>
        <v/>
      </c>
      <c r="W2517" s="5">
        <f>IF(M2517="No","Attrited","Active")</f>
        <v/>
      </c>
    </row>
    <row r="2518">
      <c r="A2518" s="5" t="inlineStr">
        <is>
          <t>E02517</t>
        </is>
      </c>
      <c r="B2518" s="5" t="inlineStr">
        <is>
          <t>Female</t>
        </is>
      </c>
      <c r="C2518" s="6" t="inlineStr">
        <is>
          <t>28</t>
        </is>
      </c>
      <c r="D2518" s="5" t="inlineStr">
        <is>
          <t>Married</t>
        </is>
      </c>
      <c r="E2518" s="5" t="inlineStr">
        <is>
          <t>High School</t>
        </is>
      </c>
      <c r="F2518" s="5" t="inlineStr">
        <is>
          <t>IT</t>
        </is>
      </c>
      <c r="G2518" s="5" t="inlineStr">
        <is>
          <t>IT Support</t>
        </is>
      </c>
      <c r="H2518" s="5" t="inlineStr">
        <is>
          <t>1</t>
        </is>
      </c>
      <c r="I2518" s="5" t="inlineStr">
        <is>
          <t>Chennai</t>
        </is>
      </c>
      <c r="J2518" s="5" t="inlineStr">
        <is>
          <t>Full-Time</t>
        </is>
      </c>
      <c r="K2518" s="7" t="n">
        <v>45859</v>
      </c>
      <c r="L2518" s="7" t="inlineStr"/>
      <c r="M2518" s="5" t="inlineStr">
        <is>
          <t>Yes</t>
        </is>
      </c>
      <c r="N2518" s="5" t="inlineStr"/>
      <c r="O2518" s="8" t="inlineStr">
        <is>
          <t>108000</t>
        </is>
      </c>
      <c r="P2518" s="5" t="inlineStr">
        <is>
          <t>0</t>
        </is>
      </c>
      <c r="Q2518" s="5" t="inlineStr">
        <is>
          <t>5</t>
        </is>
      </c>
      <c r="R2518" s="5" t="inlineStr">
        <is>
          <t>8</t>
        </is>
      </c>
      <c r="S2518" s="5" t="inlineStr">
        <is>
          <t>5</t>
        </is>
      </c>
      <c r="T2518" s="5" t="inlineStr">
        <is>
          <t>13</t>
        </is>
      </c>
      <c r="U2518" s="5">
        <f>IFS(C2518&lt;30,"Under 30",C2518&lt;40,"30-39",C2518&lt;50,"40-49",TRUE,"50+")</f>
        <v/>
      </c>
      <c r="V2518" s="5">
        <f>IFS(O2518&lt;60000,"Low (&lt;60k)",O2518&lt;100000,"Mid (60-100k)",TRUE,"High (100k+)")</f>
        <v/>
      </c>
      <c r="W2518" s="5">
        <f>IF(M2518="No","Attrited","Active")</f>
        <v/>
      </c>
    </row>
    <row r="2519">
      <c r="A2519" s="5" t="inlineStr">
        <is>
          <t>E02518</t>
        </is>
      </c>
      <c r="B2519" s="5" t="inlineStr">
        <is>
          <t>Male</t>
        </is>
      </c>
      <c r="C2519" s="6" t="inlineStr">
        <is>
          <t>34</t>
        </is>
      </c>
      <c r="D2519" s="5" t="inlineStr">
        <is>
          <t>Married</t>
        </is>
      </c>
      <c r="E2519" s="5" t="inlineStr">
        <is>
          <t>Master</t>
        </is>
      </c>
      <c r="F2519" s="5" t="inlineStr">
        <is>
          <t>Marketing</t>
        </is>
      </c>
      <c r="G2519" s="5" t="inlineStr">
        <is>
          <t>SEO Specialist</t>
        </is>
      </c>
      <c r="H2519" s="5" t="inlineStr">
        <is>
          <t>1</t>
        </is>
      </c>
      <c r="I2519" s="5" t="inlineStr">
        <is>
          <t>Delhi</t>
        </is>
      </c>
      <c r="J2519" s="5" t="inlineStr">
        <is>
          <t>Full-Time</t>
        </is>
      </c>
      <c r="K2519" s="7" t="n">
        <v>44792</v>
      </c>
      <c r="L2519" s="7" t="inlineStr"/>
      <c r="M2519" s="5" t="inlineStr">
        <is>
          <t>Yes</t>
        </is>
      </c>
      <c r="N2519" s="5" t="inlineStr"/>
      <c r="O2519" s="8" t="inlineStr">
        <is>
          <t>77500</t>
        </is>
      </c>
      <c r="P2519" s="5" t="inlineStr">
        <is>
          <t>15</t>
        </is>
      </c>
      <c r="Q2519" s="5" t="inlineStr">
        <is>
          <t>3</t>
        </is>
      </c>
      <c r="R2519" s="5" t="inlineStr">
        <is>
          <t>6</t>
        </is>
      </c>
      <c r="S2519" s="5" t="inlineStr">
        <is>
          <t>41</t>
        </is>
      </c>
      <c r="T2519" s="5" t="inlineStr">
        <is>
          <t>6</t>
        </is>
      </c>
      <c r="U2519" s="5">
        <f>IFS(C2519&lt;30,"Under 30",C2519&lt;40,"30-39",C2519&lt;50,"40-49",TRUE,"50+")</f>
        <v/>
      </c>
      <c r="V2519" s="5">
        <f>IFS(O2519&lt;60000,"Low (&lt;60k)",O2519&lt;100000,"Mid (60-100k)",TRUE,"High (100k+)")</f>
        <v/>
      </c>
      <c r="W2519" s="5">
        <f>IF(M2519="No","Attrited","Active")</f>
        <v/>
      </c>
    </row>
    <row r="2520">
      <c r="A2520" s="5" t="inlineStr">
        <is>
          <t>E02519</t>
        </is>
      </c>
      <c r="B2520" s="5" t="inlineStr">
        <is>
          <t>Male</t>
        </is>
      </c>
      <c r="C2520" s="6" t="inlineStr">
        <is>
          <t>35</t>
        </is>
      </c>
      <c r="D2520" s="5" t="inlineStr">
        <is>
          <t>Single</t>
        </is>
      </c>
      <c r="E2520" s="5" t="inlineStr">
        <is>
          <t>PhD</t>
        </is>
      </c>
      <c r="F2520" s="5" t="inlineStr">
        <is>
          <t>Customer Support</t>
        </is>
      </c>
      <c r="G2520" s="5" t="inlineStr">
        <is>
          <t>Support Lead</t>
        </is>
      </c>
      <c r="H2520" s="5" t="inlineStr">
        <is>
          <t>4</t>
        </is>
      </c>
      <c r="I2520" s="5" t="inlineStr">
        <is>
          <t>Hyderabad</t>
        </is>
      </c>
      <c r="J2520" s="5" t="inlineStr">
        <is>
          <t>Full-Time</t>
        </is>
      </c>
      <c r="K2520" s="7" t="n">
        <v>44326</v>
      </c>
      <c r="L2520" s="7" t="n">
        <v>44399</v>
      </c>
      <c r="M2520" s="5" t="inlineStr">
        <is>
          <t>No</t>
        </is>
      </c>
      <c r="N2520" s="5" t="inlineStr">
        <is>
          <t>Resigned</t>
        </is>
      </c>
      <c r="O2520" s="8" t="inlineStr">
        <is>
          <t>105000</t>
        </is>
      </c>
      <c r="P2520" s="5" t="inlineStr">
        <is>
          <t>0</t>
        </is>
      </c>
      <c r="Q2520" s="5" t="inlineStr">
        <is>
          <t>4</t>
        </is>
      </c>
      <c r="R2520" s="5" t="inlineStr">
        <is>
          <t>8</t>
        </is>
      </c>
      <c r="S2520" s="5" t="inlineStr">
        <is>
          <t>2</t>
        </is>
      </c>
      <c r="T2520" s="5" t="inlineStr">
        <is>
          <t>8</t>
        </is>
      </c>
      <c r="U2520" s="5">
        <f>IFS(C2520&lt;30,"Under 30",C2520&lt;40,"30-39",C2520&lt;50,"40-49",TRUE,"50+")</f>
        <v/>
      </c>
      <c r="V2520" s="5">
        <f>IFS(O2520&lt;60000,"Low (&lt;60k)",O2520&lt;100000,"Mid (60-100k)",TRUE,"High (100k+)")</f>
        <v/>
      </c>
      <c r="W2520" s="5">
        <f>IF(M2520="No","Attrited","Active")</f>
        <v/>
      </c>
    </row>
    <row r="2521">
      <c r="A2521" s="5" t="inlineStr">
        <is>
          <t>E02520</t>
        </is>
      </c>
      <c r="B2521" s="5" t="inlineStr">
        <is>
          <t>Female</t>
        </is>
      </c>
      <c r="C2521" s="6" t="inlineStr">
        <is>
          <t>32</t>
        </is>
      </c>
      <c r="D2521" s="5" t="inlineStr">
        <is>
          <t>Married</t>
        </is>
      </c>
      <c r="E2521" s="5" t="inlineStr">
        <is>
          <t>High School</t>
        </is>
      </c>
      <c r="F2521" s="5" t="inlineStr">
        <is>
          <t>Executive</t>
        </is>
      </c>
      <c r="G2521" s="5" t="inlineStr">
        <is>
          <t>COO</t>
        </is>
      </c>
      <c r="H2521" s="5" t="inlineStr">
        <is>
          <t>5</t>
        </is>
      </c>
      <c r="I2521" s="5" t="inlineStr">
        <is>
          <t>Remote</t>
        </is>
      </c>
      <c r="J2521" s="5" t="inlineStr">
        <is>
          <t>Full-Time</t>
        </is>
      </c>
      <c r="K2521" s="7" t="n">
        <v>44819</v>
      </c>
      <c r="L2521" s="7" t="inlineStr"/>
      <c r="M2521" s="5" t="inlineStr">
        <is>
          <t>Yes</t>
        </is>
      </c>
      <c r="N2521" s="5" t="inlineStr"/>
      <c r="O2521" s="8" t="inlineStr">
        <is>
          <t>311500</t>
        </is>
      </c>
      <c r="P2521" s="5" t="inlineStr">
        <is>
          <t>0</t>
        </is>
      </c>
      <c r="Q2521" s="5" t="inlineStr">
        <is>
          <t>4</t>
        </is>
      </c>
      <c r="R2521" s="5" t="inlineStr">
        <is>
          <t>8</t>
        </is>
      </c>
      <c r="S2521" s="5" t="inlineStr">
        <is>
          <t>40</t>
        </is>
      </c>
      <c r="T2521" s="5" t="inlineStr">
        <is>
          <t>7</t>
        </is>
      </c>
      <c r="U2521" s="5">
        <f>IFS(C2521&lt;30,"Under 30",C2521&lt;40,"30-39",C2521&lt;50,"40-49",TRUE,"50+")</f>
        <v/>
      </c>
      <c r="V2521" s="5">
        <f>IFS(O2521&lt;60000,"Low (&lt;60k)",O2521&lt;100000,"Mid (60-100k)",TRUE,"High (100k+)")</f>
        <v/>
      </c>
      <c r="W2521" s="5">
        <f>IF(M2521="No","Attrited","Active")</f>
        <v/>
      </c>
    </row>
    <row r="2522">
      <c r="A2522" s="5" t="inlineStr">
        <is>
          <t>E02521</t>
        </is>
      </c>
      <c r="B2522" s="5" t="inlineStr">
        <is>
          <t>Female</t>
        </is>
      </c>
      <c r="C2522" s="6" t="inlineStr">
        <is>
          <t>33</t>
        </is>
      </c>
      <c r="D2522" s="5" t="inlineStr">
        <is>
          <t>Single</t>
        </is>
      </c>
      <c r="E2522" s="5" t="inlineStr">
        <is>
          <t>PhD</t>
        </is>
      </c>
      <c r="F2522" s="5" t="inlineStr">
        <is>
          <t>Customer Support</t>
        </is>
      </c>
      <c r="G2522" s="5" t="inlineStr">
        <is>
          <t>Support Agent</t>
        </is>
      </c>
      <c r="H2522" s="5" t="inlineStr">
        <is>
          <t>4</t>
        </is>
      </c>
      <c r="I2522" s="5" t="inlineStr">
        <is>
          <t>Remote</t>
        </is>
      </c>
      <c r="J2522" s="5" t="inlineStr">
        <is>
          <t>Full-Time</t>
        </is>
      </c>
      <c r="K2522" s="7" t="n">
        <v>45038</v>
      </c>
      <c r="L2522" s="7" t="n">
        <v>45074</v>
      </c>
      <c r="M2522" s="5" t="inlineStr">
        <is>
          <t>No</t>
        </is>
      </c>
      <c r="N2522" s="5" t="inlineStr">
        <is>
          <t>Relocation</t>
        </is>
      </c>
      <c r="O2522" s="8" t="inlineStr">
        <is>
          <t>105000</t>
        </is>
      </c>
      <c r="P2522" s="5" t="inlineStr">
        <is>
          <t>0</t>
        </is>
      </c>
      <c r="Q2522" s="5" t="inlineStr">
        <is>
          <t>1</t>
        </is>
      </c>
      <c r="R2522" s="5" t="inlineStr">
        <is>
          <t>4</t>
        </is>
      </c>
      <c r="S2522" s="5" t="inlineStr">
        <is>
          <t>1</t>
        </is>
      </c>
      <c r="T2522" s="5" t="inlineStr">
        <is>
          <t>6</t>
        </is>
      </c>
      <c r="U2522" s="5">
        <f>IFS(C2522&lt;30,"Under 30",C2522&lt;40,"30-39",C2522&lt;50,"40-49",TRUE,"50+")</f>
        <v/>
      </c>
      <c r="V2522" s="5">
        <f>IFS(O2522&lt;60000,"Low (&lt;60k)",O2522&lt;100000,"Mid (60-100k)",TRUE,"High (100k+)")</f>
        <v/>
      </c>
      <c r="W2522" s="5">
        <f>IF(M2522="No","Attrited","Active")</f>
        <v/>
      </c>
    </row>
    <row r="2523">
      <c r="A2523" s="5" t="inlineStr">
        <is>
          <t>E02522</t>
        </is>
      </c>
      <c r="B2523" s="5" t="inlineStr">
        <is>
          <t>Male</t>
        </is>
      </c>
      <c r="C2523" s="6" t="inlineStr">
        <is>
          <t>30</t>
        </is>
      </c>
      <c r="D2523" s="5" t="inlineStr">
        <is>
          <t>Single</t>
        </is>
      </c>
      <c r="E2523" s="5" t="inlineStr">
        <is>
          <t>PhD</t>
        </is>
      </c>
      <c r="F2523" s="5" t="inlineStr">
        <is>
          <t>Operations</t>
        </is>
      </c>
      <c r="G2523" s="5" t="inlineStr">
        <is>
          <t>Quality Analyst</t>
        </is>
      </c>
      <c r="H2523" s="5" t="inlineStr">
        <is>
          <t>1</t>
        </is>
      </c>
      <c r="I2523" s="5" t="inlineStr">
        <is>
          <t>Mumbai</t>
        </is>
      </c>
      <c r="J2523" s="5" t="inlineStr">
        <is>
          <t>Full-Time</t>
        </is>
      </c>
      <c r="K2523" s="7" t="n">
        <v>44631</v>
      </c>
      <c r="L2523" s="7" t="inlineStr"/>
      <c r="M2523" s="5" t="inlineStr">
        <is>
          <t>Yes</t>
        </is>
      </c>
      <c r="N2523" s="5" t="inlineStr"/>
      <c r="O2523" s="8" t="inlineStr">
        <is>
          <t>91500</t>
        </is>
      </c>
      <c r="P2523" s="5" t="inlineStr">
        <is>
          <t>0</t>
        </is>
      </c>
      <c r="Q2523" s="5" t="inlineStr">
        <is>
          <t>4</t>
        </is>
      </c>
      <c r="R2523" s="5" t="inlineStr">
        <is>
          <t>6</t>
        </is>
      </c>
      <c r="S2523" s="5" t="inlineStr">
        <is>
          <t>46</t>
        </is>
      </c>
      <c r="T2523" s="5" t="inlineStr">
        <is>
          <t>8</t>
        </is>
      </c>
      <c r="U2523" s="5">
        <f>IFS(C2523&lt;30,"Under 30",C2523&lt;40,"30-39",C2523&lt;50,"40-49",TRUE,"50+")</f>
        <v/>
      </c>
      <c r="V2523" s="5">
        <f>IFS(O2523&lt;60000,"Low (&lt;60k)",O2523&lt;100000,"Mid (60-100k)",TRUE,"High (100k+)")</f>
        <v/>
      </c>
      <c r="W2523" s="5">
        <f>IF(M2523="No","Attrited","Active")</f>
        <v/>
      </c>
    </row>
    <row r="2524">
      <c r="A2524" s="5" t="inlineStr">
        <is>
          <t>E02523</t>
        </is>
      </c>
      <c r="B2524" s="5" t="inlineStr">
        <is>
          <t>Male</t>
        </is>
      </c>
      <c r="C2524" s="6" t="inlineStr">
        <is>
          <t>30</t>
        </is>
      </c>
      <c r="D2524" s="5" t="inlineStr">
        <is>
          <t>Married</t>
        </is>
      </c>
      <c r="E2524" s="5" t="inlineStr">
        <is>
          <t>PhD</t>
        </is>
      </c>
      <c r="F2524" s="5" t="inlineStr">
        <is>
          <t>IT</t>
        </is>
      </c>
      <c r="G2524" s="5" t="inlineStr">
        <is>
          <t>IT Support</t>
        </is>
      </c>
      <c r="H2524" s="5" t="inlineStr">
        <is>
          <t>4</t>
        </is>
      </c>
      <c r="I2524" s="5" t="inlineStr">
        <is>
          <t>Mumbai</t>
        </is>
      </c>
      <c r="J2524" s="5" t="inlineStr">
        <is>
          <t>Full-Time</t>
        </is>
      </c>
      <c r="K2524" s="7" t="n">
        <v>45863</v>
      </c>
      <c r="L2524" s="7" t="inlineStr"/>
      <c r="M2524" s="5" t="inlineStr">
        <is>
          <t>Yes</t>
        </is>
      </c>
      <c r="N2524" s="5" t="inlineStr"/>
      <c r="O2524" s="8" t="inlineStr">
        <is>
          <t>210500</t>
        </is>
      </c>
      <c r="P2524" s="5" t="inlineStr">
        <is>
          <t>5</t>
        </is>
      </c>
      <c r="Q2524" s="5" t="inlineStr">
        <is>
          <t>3</t>
        </is>
      </c>
      <c r="R2524" s="5" t="inlineStr">
        <is>
          <t>7</t>
        </is>
      </c>
      <c r="S2524" s="5" t="inlineStr">
        <is>
          <t>5</t>
        </is>
      </c>
      <c r="T2524" s="5" t="inlineStr">
        <is>
          <t>6</t>
        </is>
      </c>
      <c r="U2524" s="5">
        <f>IFS(C2524&lt;30,"Under 30",C2524&lt;40,"30-39",C2524&lt;50,"40-49",TRUE,"50+")</f>
        <v/>
      </c>
      <c r="V2524" s="5">
        <f>IFS(O2524&lt;60000,"Low (&lt;60k)",O2524&lt;100000,"Mid (60-100k)",TRUE,"High (100k+)")</f>
        <v/>
      </c>
      <c r="W2524" s="5">
        <f>IF(M2524="No","Attrited","Active")</f>
        <v/>
      </c>
    </row>
    <row r="2525">
      <c r="A2525" s="5" t="inlineStr">
        <is>
          <t>E02524</t>
        </is>
      </c>
      <c r="B2525" s="5" t="inlineStr">
        <is>
          <t>Male</t>
        </is>
      </c>
      <c r="C2525" s="6" t="inlineStr">
        <is>
          <t>30</t>
        </is>
      </c>
      <c r="D2525" s="5" t="inlineStr">
        <is>
          <t>Divorced</t>
        </is>
      </c>
      <c r="E2525" s="5" t="inlineStr">
        <is>
          <t>Diploma</t>
        </is>
      </c>
      <c r="F2525" s="5" t="inlineStr">
        <is>
          <t>Operations</t>
        </is>
      </c>
      <c r="G2525" s="5" t="inlineStr">
        <is>
          <t>Logistics Coordinator</t>
        </is>
      </c>
      <c r="H2525" s="5" t="inlineStr">
        <is>
          <t>1</t>
        </is>
      </c>
      <c r="I2525" s="5" t="inlineStr">
        <is>
          <t>Remote</t>
        </is>
      </c>
      <c r="J2525" s="5" t="inlineStr">
        <is>
          <t>Full-Time</t>
        </is>
      </c>
      <c r="K2525" s="7" t="n">
        <v>44562</v>
      </c>
      <c r="L2525" s="7" t="inlineStr"/>
      <c r="M2525" s="5" t="inlineStr">
        <is>
          <t>Yes</t>
        </is>
      </c>
      <c r="N2525" s="5" t="inlineStr"/>
      <c r="O2525" s="8" t="inlineStr">
        <is>
          <t>96000</t>
        </is>
      </c>
      <c r="P2525" s="5" t="inlineStr">
        <is>
          <t>5</t>
        </is>
      </c>
      <c r="Q2525" s="5" t="inlineStr">
        <is>
          <t>4</t>
        </is>
      </c>
      <c r="R2525" s="5" t="inlineStr">
        <is>
          <t>8</t>
        </is>
      </c>
      <c r="S2525" s="5" t="inlineStr">
        <is>
          <t>48</t>
        </is>
      </c>
      <c r="T2525" s="5" t="inlineStr">
        <is>
          <t>0</t>
        </is>
      </c>
      <c r="U2525" s="5">
        <f>IFS(C2525&lt;30,"Under 30",C2525&lt;40,"30-39",C2525&lt;50,"40-49",TRUE,"50+")</f>
        <v/>
      </c>
      <c r="V2525" s="5">
        <f>IFS(O2525&lt;60000,"Low (&lt;60k)",O2525&lt;100000,"Mid (60-100k)",TRUE,"High (100k+)")</f>
        <v/>
      </c>
      <c r="W2525" s="5">
        <f>IF(M2525="No","Attrited","Active")</f>
        <v/>
      </c>
    </row>
    <row r="2526">
      <c r="A2526" s="5" t="inlineStr">
        <is>
          <t>E02525</t>
        </is>
      </c>
      <c r="B2526" s="5" t="inlineStr">
        <is>
          <t>Female</t>
        </is>
      </c>
      <c r="C2526" s="6" t="inlineStr">
        <is>
          <t>38</t>
        </is>
      </c>
      <c r="D2526" s="5" t="inlineStr">
        <is>
          <t>Married</t>
        </is>
      </c>
      <c r="E2526" s="5" t="inlineStr">
        <is>
          <t>High School</t>
        </is>
      </c>
      <c r="F2526" s="5" t="inlineStr">
        <is>
          <t>Sales</t>
        </is>
      </c>
      <c r="G2526" s="5" t="inlineStr">
        <is>
          <t>Sales Executive</t>
        </is>
      </c>
      <c r="H2526" s="5" t="inlineStr">
        <is>
          <t>6</t>
        </is>
      </c>
      <c r="I2526" s="5" t="inlineStr">
        <is>
          <t>Bengaluru</t>
        </is>
      </c>
      <c r="J2526" s="5" t="inlineStr">
        <is>
          <t>Full-Time</t>
        </is>
      </c>
      <c r="K2526" s="7" t="n">
        <v>44566</v>
      </c>
      <c r="L2526" s="7" t="inlineStr"/>
      <c r="M2526" s="5" t="inlineStr">
        <is>
          <t>Yes</t>
        </is>
      </c>
      <c r="N2526" s="5" t="inlineStr"/>
      <c r="O2526" s="8" t="inlineStr">
        <is>
          <t>183500</t>
        </is>
      </c>
      <c r="P2526" s="5" t="inlineStr">
        <is>
          <t>0</t>
        </is>
      </c>
      <c r="Q2526" s="5" t="inlineStr">
        <is>
          <t>3</t>
        </is>
      </c>
      <c r="R2526" s="5" t="inlineStr">
        <is>
          <t>4</t>
        </is>
      </c>
      <c r="S2526" s="5" t="inlineStr">
        <is>
          <t>48</t>
        </is>
      </c>
      <c r="T2526" s="5" t="inlineStr">
        <is>
          <t>3</t>
        </is>
      </c>
      <c r="U2526" s="5">
        <f>IFS(C2526&lt;30,"Under 30",C2526&lt;40,"30-39",C2526&lt;50,"40-49",TRUE,"50+")</f>
        <v/>
      </c>
      <c r="V2526" s="5">
        <f>IFS(O2526&lt;60000,"Low (&lt;60k)",O2526&lt;100000,"Mid (60-100k)",TRUE,"High (100k+)")</f>
        <v/>
      </c>
      <c r="W2526" s="5">
        <f>IF(M2526="No","Attrited","Active")</f>
        <v/>
      </c>
    </row>
    <row r="2527">
      <c r="A2527" s="5" t="inlineStr">
        <is>
          <t>E02526</t>
        </is>
      </c>
      <c r="B2527" s="5" t="inlineStr">
        <is>
          <t>Male</t>
        </is>
      </c>
      <c r="C2527" s="6" t="inlineStr">
        <is>
          <t>27</t>
        </is>
      </c>
      <c r="D2527" s="5" t="inlineStr">
        <is>
          <t>Married</t>
        </is>
      </c>
      <c r="E2527" s="5" t="inlineStr">
        <is>
          <t>PhD</t>
        </is>
      </c>
      <c r="F2527" s="5" t="inlineStr">
        <is>
          <t>IT</t>
        </is>
      </c>
      <c r="G2527" s="5" t="inlineStr">
        <is>
          <t>Data Analyst</t>
        </is>
      </c>
      <c r="H2527" s="5" t="inlineStr">
        <is>
          <t>3</t>
        </is>
      </c>
      <c r="I2527" s="5" t="inlineStr">
        <is>
          <t>Bengaluru</t>
        </is>
      </c>
      <c r="J2527" s="5" t="inlineStr">
        <is>
          <t>Full-Time</t>
        </is>
      </c>
      <c r="K2527" s="7" t="n">
        <v>45346</v>
      </c>
      <c r="L2527" s="7" t="inlineStr"/>
      <c r="M2527" s="5" t="inlineStr">
        <is>
          <t>Yes</t>
        </is>
      </c>
      <c r="N2527" s="5" t="inlineStr"/>
      <c r="O2527" s="8" t="inlineStr">
        <is>
          <t>157000</t>
        </is>
      </c>
      <c r="P2527" s="5" t="inlineStr">
        <is>
          <t>5</t>
        </is>
      </c>
      <c r="Q2527" s="5" t="inlineStr">
        <is>
          <t>1</t>
        </is>
      </c>
      <c r="R2527" s="5" t="inlineStr">
        <is>
          <t>6</t>
        </is>
      </c>
      <c r="S2527" s="5" t="inlineStr">
        <is>
          <t>22</t>
        </is>
      </c>
      <c r="T2527" s="5" t="inlineStr">
        <is>
          <t>0</t>
        </is>
      </c>
      <c r="U2527" s="5">
        <f>IFS(C2527&lt;30,"Under 30",C2527&lt;40,"30-39",C2527&lt;50,"40-49",TRUE,"50+")</f>
        <v/>
      </c>
      <c r="V2527" s="5">
        <f>IFS(O2527&lt;60000,"Low (&lt;60k)",O2527&lt;100000,"Mid (60-100k)",TRUE,"High (100k+)")</f>
        <v/>
      </c>
      <c r="W2527" s="5">
        <f>IF(M2527="No","Attrited","Active")</f>
        <v/>
      </c>
    </row>
    <row r="2528">
      <c r="A2528" s="5" t="inlineStr">
        <is>
          <t>E02527</t>
        </is>
      </c>
      <c r="B2528" s="5" t="inlineStr">
        <is>
          <t>Male</t>
        </is>
      </c>
      <c r="C2528" s="6" t="inlineStr">
        <is>
          <t>38</t>
        </is>
      </c>
      <c r="D2528" s="5" t="inlineStr">
        <is>
          <t>Married</t>
        </is>
      </c>
      <c r="E2528" s="5" t="inlineStr">
        <is>
          <t>PhD</t>
        </is>
      </c>
      <c r="F2528" s="5" t="inlineStr">
        <is>
          <t>Human Resources</t>
        </is>
      </c>
      <c r="G2528" s="5" t="inlineStr">
        <is>
          <t>HR Analyst</t>
        </is>
      </c>
      <c r="H2528" s="5" t="inlineStr">
        <is>
          <t>6</t>
        </is>
      </c>
      <c r="I2528" s="5" t="inlineStr">
        <is>
          <t>Chennai</t>
        </is>
      </c>
      <c r="J2528" s="5" t="inlineStr">
        <is>
          <t>Full-Time</t>
        </is>
      </c>
      <c r="K2528" s="7" t="n">
        <v>44508</v>
      </c>
      <c r="L2528" s="7" t="inlineStr"/>
      <c r="M2528" s="5" t="inlineStr">
        <is>
          <t>Yes</t>
        </is>
      </c>
      <c r="N2528" s="5" t="inlineStr"/>
      <c r="O2528" s="8" t="inlineStr">
        <is>
          <t>103500</t>
        </is>
      </c>
      <c r="P2528" s="5" t="inlineStr">
        <is>
          <t>0</t>
        </is>
      </c>
      <c r="Q2528" s="5" t="inlineStr">
        <is>
          <t>3</t>
        </is>
      </c>
      <c r="R2528" s="5" t="inlineStr">
        <is>
          <t>5</t>
        </is>
      </c>
      <c r="S2528" s="5" t="inlineStr">
        <is>
          <t>50</t>
        </is>
      </c>
      <c r="T2528" s="5" t="inlineStr">
        <is>
          <t>15</t>
        </is>
      </c>
      <c r="U2528" s="5">
        <f>IFS(C2528&lt;30,"Under 30",C2528&lt;40,"30-39",C2528&lt;50,"40-49",TRUE,"50+")</f>
        <v/>
      </c>
      <c r="V2528" s="5">
        <f>IFS(O2528&lt;60000,"Low (&lt;60k)",O2528&lt;100000,"Mid (60-100k)",TRUE,"High (100k+)")</f>
        <v/>
      </c>
      <c r="W2528" s="5">
        <f>IF(M2528="No","Attrited","Active")</f>
        <v/>
      </c>
    </row>
    <row r="2529">
      <c r="A2529" s="5" t="inlineStr">
        <is>
          <t>E02528</t>
        </is>
      </c>
      <c r="B2529" s="5" t="inlineStr">
        <is>
          <t>Female</t>
        </is>
      </c>
      <c r="C2529" s="6" t="inlineStr">
        <is>
          <t>33</t>
        </is>
      </c>
      <c r="D2529" s="5" t="inlineStr">
        <is>
          <t>Divorced</t>
        </is>
      </c>
      <c r="E2529" s="5" t="inlineStr">
        <is>
          <t>Bachelor</t>
        </is>
      </c>
      <c r="F2529" s="5" t="inlineStr">
        <is>
          <t>Human Resources</t>
        </is>
      </c>
      <c r="G2529" s="5" t="inlineStr">
        <is>
          <t>HR Analyst</t>
        </is>
      </c>
      <c r="H2529" s="5" t="inlineStr">
        <is>
          <t>4</t>
        </is>
      </c>
      <c r="I2529" s="5" t="inlineStr">
        <is>
          <t>Chennai</t>
        </is>
      </c>
      <c r="J2529" s="5" t="inlineStr">
        <is>
          <t>Full-Time</t>
        </is>
      </c>
      <c r="K2529" s="7" t="n">
        <v>44207</v>
      </c>
      <c r="L2529" s="7" t="inlineStr"/>
      <c r="M2529" s="5" t="inlineStr">
        <is>
          <t>Yes</t>
        </is>
      </c>
      <c r="N2529" s="5" t="inlineStr"/>
      <c r="O2529" s="8" t="inlineStr">
        <is>
          <t>99000</t>
        </is>
      </c>
      <c r="P2529" s="5" t="inlineStr">
        <is>
          <t>0</t>
        </is>
      </c>
      <c r="Q2529" s="5" t="inlineStr">
        <is>
          <t>4</t>
        </is>
      </c>
      <c r="R2529" s="5" t="inlineStr">
        <is>
          <t>7</t>
        </is>
      </c>
      <c r="S2529" s="5" t="inlineStr">
        <is>
          <t>60</t>
        </is>
      </c>
      <c r="T2529" s="5" t="inlineStr">
        <is>
          <t>11</t>
        </is>
      </c>
      <c r="U2529" s="5">
        <f>IFS(C2529&lt;30,"Under 30",C2529&lt;40,"30-39",C2529&lt;50,"40-49",TRUE,"50+")</f>
        <v/>
      </c>
      <c r="V2529" s="5">
        <f>IFS(O2529&lt;60000,"Low (&lt;60k)",O2529&lt;100000,"Mid (60-100k)",TRUE,"High (100k+)")</f>
        <v/>
      </c>
      <c r="W2529" s="5">
        <f>IF(M2529="No","Attrited","Active")</f>
        <v/>
      </c>
    </row>
    <row r="2530">
      <c r="A2530" s="5" t="inlineStr">
        <is>
          <t>E02529</t>
        </is>
      </c>
      <c r="B2530" s="5" t="inlineStr">
        <is>
          <t>Male</t>
        </is>
      </c>
      <c r="C2530" s="6" t="inlineStr">
        <is>
          <t>36</t>
        </is>
      </c>
      <c r="D2530" s="5" t="inlineStr">
        <is>
          <t>Married</t>
        </is>
      </c>
      <c r="E2530" s="5" t="inlineStr">
        <is>
          <t>High School</t>
        </is>
      </c>
      <c r="F2530" s="5" t="inlineStr">
        <is>
          <t>Operations</t>
        </is>
      </c>
      <c r="G2530" s="5" t="inlineStr">
        <is>
          <t>Logistics Coordinator</t>
        </is>
      </c>
      <c r="H2530" s="5" t="inlineStr">
        <is>
          <t>7</t>
        </is>
      </c>
      <c r="I2530" s="5" t="inlineStr">
        <is>
          <t>Delhi</t>
        </is>
      </c>
      <c r="J2530" s="5" t="inlineStr">
        <is>
          <t>Full-Time</t>
        </is>
      </c>
      <c r="K2530" s="7" t="n">
        <v>45261</v>
      </c>
      <c r="L2530" s="7" t="n">
        <v>45339</v>
      </c>
      <c r="M2530" s="5" t="inlineStr">
        <is>
          <t>No</t>
        </is>
      </c>
      <c r="N2530" s="5" t="inlineStr">
        <is>
          <t>Resigned</t>
        </is>
      </c>
      <c r="O2530" s="8" t="inlineStr">
        <is>
          <t>179500</t>
        </is>
      </c>
      <c r="P2530" s="5" t="inlineStr">
        <is>
          <t>10</t>
        </is>
      </c>
      <c r="Q2530" s="5" t="inlineStr">
        <is>
          <t>3</t>
        </is>
      </c>
      <c r="R2530" s="5" t="inlineStr">
        <is>
          <t>2</t>
        </is>
      </c>
      <c r="S2530" s="5" t="inlineStr">
        <is>
          <t>2</t>
        </is>
      </c>
      <c r="T2530" s="5" t="inlineStr">
        <is>
          <t>0</t>
        </is>
      </c>
      <c r="U2530" s="5">
        <f>IFS(C2530&lt;30,"Under 30",C2530&lt;40,"30-39",C2530&lt;50,"40-49",TRUE,"50+")</f>
        <v/>
      </c>
      <c r="V2530" s="5">
        <f>IFS(O2530&lt;60000,"Low (&lt;60k)",O2530&lt;100000,"Mid (60-100k)",TRUE,"High (100k+)")</f>
        <v/>
      </c>
      <c r="W2530" s="5">
        <f>IF(M2530="No","Attrited","Active")</f>
        <v/>
      </c>
    </row>
    <row r="2531">
      <c r="A2531" s="5" t="inlineStr">
        <is>
          <t>E02530</t>
        </is>
      </c>
      <c r="B2531" s="5" t="inlineStr">
        <is>
          <t>Female</t>
        </is>
      </c>
      <c r="C2531" s="6" t="inlineStr">
        <is>
          <t>34</t>
        </is>
      </c>
      <c r="D2531" s="5" t="inlineStr">
        <is>
          <t>Married</t>
        </is>
      </c>
      <c r="E2531" s="5" t="inlineStr">
        <is>
          <t>Diploma</t>
        </is>
      </c>
      <c r="F2531" s="5" t="inlineStr">
        <is>
          <t>Customer Support</t>
        </is>
      </c>
      <c r="G2531" s="5" t="inlineStr">
        <is>
          <t>Support Agent</t>
        </is>
      </c>
      <c r="H2531" s="5" t="inlineStr">
        <is>
          <t>1</t>
        </is>
      </c>
      <c r="I2531" s="5" t="inlineStr">
        <is>
          <t>Chennai</t>
        </is>
      </c>
      <c r="J2531" s="5" t="inlineStr">
        <is>
          <t>Contract</t>
        </is>
      </c>
      <c r="K2531" s="7" t="n">
        <v>44912</v>
      </c>
      <c r="L2531" s="7" t="n">
        <v>45054</v>
      </c>
      <c r="M2531" s="5" t="inlineStr">
        <is>
          <t>No</t>
        </is>
      </c>
      <c r="N2531" s="5" t="inlineStr">
        <is>
          <t>Retirement</t>
        </is>
      </c>
      <c r="O2531" s="8" t="inlineStr">
        <is>
          <t>69500</t>
        </is>
      </c>
      <c r="P2531" s="5" t="inlineStr">
        <is>
          <t>15</t>
        </is>
      </c>
      <c r="Q2531" s="5" t="inlineStr">
        <is>
          <t>3</t>
        </is>
      </c>
      <c r="R2531" s="5" t="inlineStr">
        <is>
          <t>4</t>
        </is>
      </c>
      <c r="S2531" s="5" t="inlineStr">
        <is>
          <t>4</t>
        </is>
      </c>
      <c r="T2531" s="5" t="inlineStr">
        <is>
          <t>0</t>
        </is>
      </c>
      <c r="U2531" s="5">
        <f>IFS(C2531&lt;30,"Under 30",C2531&lt;40,"30-39",C2531&lt;50,"40-49",TRUE,"50+")</f>
        <v/>
      </c>
      <c r="V2531" s="5">
        <f>IFS(O2531&lt;60000,"Low (&lt;60k)",O2531&lt;100000,"Mid (60-100k)",TRUE,"High (100k+)")</f>
        <v/>
      </c>
      <c r="W2531" s="5">
        <f>IF(M2531="No","Attrited","Active")</f>
        <v/>
      </c>
    </row>
    <row r="2532">
      <c r="A2532" s="5" t="inlineStr">
        <is>
          <t>E02531</t>
        </is>
      </c>
      <c r="B2532" s="5" t="inlineStr">
        <is>
          <t>Female</t>
        </is>
      </c>
      <c r="C2532" s="6" t="inlineStr">
        <is>
          <t>35</t>
        </is>
      </c>
      <c r="D2532" s="5" t="inlineStr">
        <is>
          <t>Single</t>
        </is>
      </c>
      <c r="E2532" s="5" t="inlineStr">
        <is>
          <t>Diploma</t>
        </is>
      </c>
      <c r="F2532" s="5" t="inlineStr">
        <is>
          <t>Sales</t>
        </is>
      </c>
      <c r="G2532" s="5" t="inlineStr">
        <is>
          <t>Business Development</t>
        </is>
      </c>
      <c r="H2532" s="5" t="inlineStr">
        <is>
          <t>5</t>
        </is>
      </c>
      <c r="I2532" s="5" t="inlineStr">
        <is>
          <t>Chennai</t>
        </is>
      </c>
      <c r="J2532" s="5" t="inlineStr">
        <is>
          <t>Full-Time</t>
        </is>
      </c>
      <c r="K2532" s="7" t="n">
        <v>44333</v>
      </c>
      <c r="L2532" s="7" t="inlineStr"/>
      <c r="M2532" s="5" t="inlineStr">
        <is>
          <t>Yes</t>
        </is>
      </c>
      <c r="N2532" s="5" t="inlineStr"/>
      <c r="O2532" s="8" t="inlineStr">
        <is>
          <t>130500</t>
        </is>
      </c>
      <c r="P2532" s="5" t="inlineStr">
        <is>
          <t>15</t>
        </is>
      </c>
      <c r="Q2532" s="5" t="inlineStr">
        <is>
          <t>3</t>
        </is>
      </c>
      <c r="R2532" s="5" t="inlineStr">
        <is>
          <t>10</t>
        </is>
      </c>
      <c r="S2532" s="5" t="inlineStr">
        <is>
          <t>56</t>
        </is>
      </c>
      <c r="T2532" s="5" t="inlineStr">
        <is>
          <t>4</t>
        </is>
      </c>
      <c r="U2532" s="5">
        <f>IFS(C2532&lt;30,"Under 30",C2532&lt;40,"30-39",C2532&lt;50,"40-49",TRUE,"50+")</f>
        <v/>
      </c>
      <c r="V2532" s="5">
        <f>IFS(O2532&lt;60000,"Low (&lt;60k)",O2532&lt;100000,"Mid (60-100k)",TRUE,"High (100k+)")</f>
        <v/>
      </c>
      <c r="W2532" s="5">
        <f>IF(M2532="No","Attrited","Active")</f>
        <v/>
      </c>
    </row>
    <row r="2533">
      <c r="A2533" s="5" t="inlineStr">
        <is>
          <t>E02532</t>
        </is>
      </c>
      <c r="B2533" s="5" t="inlineStr">
        <is>
          <t>Male</t>
        </is>
      </c>
      <c r="C2533" s="6" t="inlineStr">
        <is>
          <t>34</t>
        </is>
      </c>
      <c r="D2533" s="5" t="inlineStr">
        <is>
          <t>Married</t>
        </is>
      </c>
      <c r="E2533" s="5" t="inlineStr">
        <is>
          <t>Master</t>
        </is>
      </c>
      <c r="F2533" s="5" t="inlineStr">
        <is>
          <t>Operations</t>
        </is>
      </c>
      <c r="G2533" s="5" t="inlineStr">
        <is>
          <t>Quality Analyst</t>
        </is>
      </c>
      <c r="H2533" s="5" t="inlineStr">
        <is>
          <t>4</t>
        </is>
      </c>
      <c r="I2533" s="5" t="inlineStr">
        <is>
          <t>Hyderabad</t>
        </is>
      </c>
      <c r="J2533" s="5" t="inlineStr">
        <is>
          <t>Full-Time</t>
        </is>
      </c>
      <c r="K2533" s="7" t="n">
        <v>44287</v>
      </c>
      <c r="L2533" s="7" t="inlineStr"/>
      <c r="M2533" s="5" t="inlineStr">
        <is>
          <t>Yes</t>
        </is>
      </c>
      <c r="N2533" s="5" t="inlineStr"/>
      <c r="O2533" s="8" t="inlineStr">
        <is>
          <t>84000</t>
        </is>
      </c>
      <c r="P2533" s="5" t="inlineStr">
        <is>
          <t>5</t>
        </is>
      </c>
      <c r="Q2533" s="5" t="inlineStr">
        <is>
          <t>4</t>
        </is>
      </c>
      <c r="R2533" s="5" t="inlineStr">
        <is>
          <t>8</t>
        </is>
      </c>
      <c r="S2533" s="5" t="inlineStr">
        <is>
          <t>57</t>
        </is>
      </c>
      <c r="T2533" s="5" t="inlineStr">
        <is>
          <t>6</t>
        </is>
      </c>
      <c r="U2533" s="5">
        <f>IFS(C2533&lt;30,"Under 30",C2533&lt;40,"30-39",C2533&lt;50,"40-49",TRUE,"50+")</f>
        <v/>
      </c>
      <c r="V2533" s="5">
        <f>IFS(O2533&lt;60000,"Low (&lt;60k)",O2533&lt;100000,"Mid (60-100k)",TRUE,"High (100k+)")</f>
        <v/>
      </c>
      <c r="W2533" s="5">
        <f>IF(M2533="No","Attrited","Active")</f>
        <v/>
      </c>
    </row>
    <row r="2534">
      <c r="A2534" s="5" t="inlineStr">
        <is>
          <t>E02533</t>
        </is>
      </c>
      <c r="B2534" s="5" t="inlineStr">
        <is>
          <t>Male</t>
        </is>
      </c>
      <c r="C2534" s="6" t="inlineStr">
        <is>
          <t>36</t>
        </is>
      </c>
      <c r="D2534" s="5" t="inlineStr">
        <is>
          <t>Married</t>
        </is>
      </c>
      <c r="E2534" s="5" t="inlineStr">
        <is>
          <t>High School</t>
        </is>
      </c>
      <c r="F2534" s="5" t="inlineStr">
        <is>
          <t>Finance</t>
        </is>
      </c>
      <c r="G2534" s="5" t="inlineStr">
        <is>
          <t>Credit Analyst</t>
        </is>
      </c>
      <c r="H2534" s="5" t="inlineStr">
        <is>
          <t>6</t>
        </is>
      </c>
      <c r="I2534" s="5" t="inlineStr">
        <is>
          <t>Hyderabad</t>
        </is>
      </c>
      <c r="J2534" s="5" t="inlineStr">
        <is>
          <t>Full-Time</t>
        </is>
      </c>
      <c r="K2534" s="7" t="n">
        <v>45536</v>
      </c>
      <c r="L2534" s="7" t="inlineStr"/>
      <c r="M2534" s="5" t="inlineStr">
        <is>
          <t>Yes</t>
        </is>
      </c>
      <c r="N2534" s="5" t="inlineStr"/>
      <c r="O2534" s="8" t="inlineStr">
        <is>
          <t>140000</t>
        </is>
      </c>
      <c r="P2534" s="5" t="inlineStr">
        <is>
          <t>10</t>
        </is>
      </c>
      <c r="Q2534" s="5" t="inlineStr">
        <is>
          <t>3</t>
        </is>
      </c>
      <c r="R2534" s="5" t="inlineStr">
        <is>
          <t>6</t>
        </is>
      </c>
      <c r="S2534" s="5" t="inlineStr">
        <is>
          <t>16</t>
        </is>
      </c>
      <c r="T2534" s="5" t="inlineStr">
        <is>
          <t>1</t>
        </is>
      </c>
      <c r="U2534" s="5">
        <f>IFS(C2534&lt;30,"Under 30",C2534&lt;40,"30-39",C2534&lt;50,"40-49",TRUE,"50+")</f>
        <v/>
      </c>
      <c r="V2534" s="5">
        <f>IFS(O2534&lt;60000,"Low (&lt;60k)",O2534&lt;100000,"Mid (60-100k)",TRUE,"High (100k+)")</f>
        <v/>
      </c>
      <c r="W2534" s="5">
        <f>IF(M2534="No","Attrited","Active")</f>
        <v/>
      </c>
    </row>
    <row r="2535">
      <c r="A2535" s="5" t="inlineStr">
        <is>
          <t>E02534</t>
        </is>
      </c>
      <c r="B2535" s="5" t="inlineStr">
        <is>
          <t>Male</t>
        </is>
      </c>
      <c r="C2535" s="6" t="inlineStr">
        <is>
          <t>27</t>
        </is>
      </c>
      <c r="D2535" s="5" t="inlineStr">
        <is>
          <t>Married</t>
        </is>
      </c>
      <c r="E2535" s="5" t="inlineStr">
        <is>
          <t>Master</t>
        </is>
      </c>
      <c r="F2535" s="5" t="inlineStr">
        <is>
          <t>Marketing</t>
        </is>
      </c>
      <c r="G2535" s="5" t="inlineStr">
        <is>
          <t>SEO Specialist</t>
        </is>
      </c>
      <c r="H2535" s="5" t="inlineStr">
        <is>
          <t>2</t>
        </is>
      </c>
      <c r="I2535" s="5" t="inlineStr">
        <is>
          <t>Mumbai</t>
        </is>
      </c>
      <c r="J2535" s="5" t="inlineStr">
        <is>
          <t>Part-Time</t>
        </is>
      </c>
      <c r="K2535" s="7" t="n">
        <v>44793</v>
      </c>
      <c r="L2535" s="7" t="inlineStr"/>
      <c r="M2535" s="5" t="inlineStr">
        <is>
          <t>Yes</t>
        </is>
      </c>
      <c r="N2535" s="5" t="inlineStr"/>
      <c r="O2535" s="8" t="inlineStr">
        <is>
          <t>62500</t>
        </is>
      </c>
      <c r="P2535" s="5" t="inlineStr">
        <is>
          <t>5</t>
        </is>
      </c>
      <c r="Q2535" s="5" t="inlineStr">
        <is>
          <t>4</t>
        </is>
      </c>
      <c r="R2535" s="5" t="inlineStr">
        <is>
          <t>10</t>
        </is>
      </c>
      <c r="S2535" s="5" t="inlineStr">
        <is>
          <t>40</t>
        </is>
      </c>
      <c r="T2535" s="5" t="inlineStr">
        <is>
          <t>7</t>
        </is>
      </c>
      <c r="U2535" s="5">
        <f>IFS(C2535&lt;30,"Under 30",C2535&lt;40,"30-39",C2535&lt;50,"40-49",TRUE,"50+")</f>
        <v/>
      </c>
      <c r="V2535" s="5">
        <f>IFS(O2535&lt;60000,"Low (&lt;60k)",O2535&lt;100000,"Mid (60-100k)",TRUE,"High (100k+)")</f>
        <v/>
      </c>
      <c r="W2535" s="5">
        <f>IF(M2535="No","Attrited","Active")</f>
        <v/>
      </c>
    </row>
    <row r="2536">
      <c r="A2536" s="5" t="inlineStr">
        <is>
          <t>E02535</t>
        </is>
      </c>
      <c r="B2536" s="5" t="inlineStr">
        <is>
          <t>Female</t>
        </is>
      </c>
      <c r="C2536" s="6" t="inlineStr">
        <is>
          <t>33</t>
        </is>
      </c>
      <c r="D2536" s="5" t="inlineStr">
        <is>
          <t>Divorced</t>
        </is>
      </c>
      <c r="E2536" s="5" t="inlineStr">
        <is>
          <t>Master</t>
        </is>
      </c>
      <c r="F2536" s="5" t="inlineStr">
        <is>
          <t>Human Resources</t>
        </is>
      </c>
      <c r="G2536" s="5" t="inlineStr">
        <is>
          <t>Recruiter</t>
        </is>
      </c>
      <c r="H2536" s="5" t="inlineStr">
        <is>
          <t>1</t>
        </is>
      </c>
      <c r="I2536" s="5" t="inlineStr">
        <is>
          <t>Remote</t>
        </is>
      </c>
      <c r="J2536" s="5" t="inlineStr">
        <is>
          <t>Full-Time</t>
        </is>
      </c>
      <c r="K2536" s="7" t="n">
        <v>44273</v>
      </c>
      <c r="L2536" s="7" t="n">
        <v>44327</v>
      </c>
      <c r="M2536" s="5" t="inlineStr">
        <is>
          <t>No</t>
        </is>
      </c>
      <c r="N2536" s="5" t="inlineStr">
        <is>
          <t>Retirement</t>
        </is>
      </c>
      <c r="O2536" s="8" t="inlineStr">
        <is>
          <t>79500</t>
        </is>
      </c>
      <c r="P2536" s="5" t="inlineStr">
        <is>
          <t>0</t>
        </is>
      </c>
      <c r="Q2536" s="5" t="inlineStr">
        <is>
          <t>4</t>
        </is>
      </c>
      <c r="R2536" s="5" t="inlineStr">
        <is>
          <t>7</t>
        </is>
      </c>
      <c r="S2536" s="5" t="inlineStr">
        <is>
          <t>1</t>
        </is>
      </c>
      <c r="T2536" s="5" t="inlineStr">
        <is>
          <t>8</t>
        </is>
      </c>
      <c r="U2536" s="5">
        <f>IFS(C2536&lt;30,"Under 30",C2536&lt;40,"30-39",C2536&lt;50,"40-49",TRUE,"50+")</f>
        <v/>
      </c>
      <c r="V2536" s="5">
        <f>IFS(O2536&lt;60000,"Low (&lt;60k)",O2536&lt;100000,"Mid (60-100k)",TRUE,"High (100k+)")</f>
        <v/>
      </c>
      <c r="W2536" s="5">
        <f>IF(M2536="No","Attrited","Active")</f>
        <v/>
      </c>
    </row>
    <row r="2537">
      <c r="A2537" s="5" t="inlineStr">
        <is>
          <t>E02536</t>
        </is>
      </c>
      <c r="B2537" s="5" t="inlineStr">
        <is>
          <t>Male</t>
        </is>
      </c>
      <c r="C2537" s="6" t="inlineStr">
        <is>
          <t>25</t>
        </is>
      </c>
      <c r="D2537" s="5" t="inlineStr">
        <is>
          <t>Married</t>
        </is>
      </c>
      <c r="E2537" s="5" t="inlineStr">
        <is>
          <t>Master</t>
        </is>
      </c>
      <c r="F2537" s="5" t="inlineStr">
        <is>
          <t>Research &amp; Development</t>
        </is>
      </c>
      <c r="G2537" s="5" t="inlineStr">
        <is>
          <t>Research Scientist</t>
        </is>
      </c>
      <c r="H2537" s="5" t="inlineStr">
        <is>
          <t>2</t>
        </is>
      </c>
      <c r="I2537" s="5" t="inlineStr">
        <is>
          <t>Hyderabad</t>
        </is>
      </c>
      <c r="J2537" s="5" t="inlineStr">
        <is>
          <t>Full-Time</t>
        </is>
      </c>
      <c r="K2537" s="7" t="n">
        <v>44443</v>
      </c>
      <c r="L2537" s="7" t="inlineStr"/>
      <c r="M2537" s="5" t="inlineStr">
        <is>
          <t>Yes</t>
        </is>
      </c>
      <c r="N2537" s="5" t="inlineStr"/>
      <c r="O2537" s="8" t="inlineStr">
        <is>
          <t>167500</t>
        </is>
      </c>
      <c r="P2537" s="5" t="inlineStr">
        <is>
          <t>10</t>
        </is>
      </c>
      <c r="Q2537" s="5" t="inlineStr">
        <is>
          <t>3</t>
        </is>
      </c>
      <c r="R2537" s="5" t="inlineStr">
        <is>
          <t>6</t>
        </is>
      </c>
      <c r="S2537" s="5" t="inlineStr">
        <is>
          <t>52</t>
        </is>
      </c>
      <c r="T2537" s="5" t="inlineStr">
        <is>
          <t>12</t>
        </is>
      </c>
      <c r="U2537" s="5">
        <f>IFS(C2537&lt;30,"Under 30",C2537&lt;40,"30-39",C2537&lt;50,"40-49",TRUE,"50+")</f>
        <v/>
      </c>
      <c r="V2537" s="5">
        <f>IFS(O2537&lt;60000,"Low (&lt;60k)",O2537&lt;100000,"Mid (60-100k)",TRUE,"High (100k+)")</f>
        <v/>
      </c>
      <c r="W2537" s="5">
        <f>IF(M2537="No","Attrited","Active")</f>
        <v/>
      </c>
    </row>
    <row r="2538">
      <c r="A2538" s="5" t="inlineStr">
        <is>
          <t>E02537</t>
        </is>
      </c>
      <c r="B2538" s="5" t="inlineStr">
        <is>
          <t>Female</t>
        </is>
      </c>
      <c r="C2538" s="6" t="inlineStr">
        <is>
          <t>26</t>
        </is>
      </c>
      <c r="D2538" s="5" t="inlineStr">
        <is>
          <t>Single</t>
        </is>
      </c>
      <c r="E2538" s="5" t="inlineStr">
        <is>
          <t>Master</t>
        </is>
      </c>
      <c r="F2538" s="5" t="inlineStr">
        <is>
          <t>Operations</t>
        </is>
      </c>
      <c r="G2538" s="5" t="inlineStr">
        <is>
          <t>Quality Analyst</t>
        </is>
      </c>
      <c r="H2538" s="5" t="inlineStr">
        <is>
          <t>1</t>
        </is>
      </c>
      <c r="I2538" s="5" t="inlineStr">
        <is>
          <t>Bengaluru</t>
        </is>
      </c>
      <c r="J2538" s="5" t="inlineStr">
        <is>
          <t>Full-Time</t>
        </is>
      </c>
      <c r="K2538" s="7" t="n">
        <v>44052</v>
      </c>
      <c r="L2538" s="7" t="inlineStr"/>
      <c r="M2538" s="5" t="inlineStr">
        <is>
          <t>Yes</t>
        </is>
      </c>
      <c r="N2538" s="5" t="inlineStr"/>
      <c r="O2538" s="8" t="inlineStr">
        <is>
          <t>55000</t>
        </is>
      </c>
      <c r="P2538" s="5" t="inlineStr">
        <is>
          <t>5</t>
        </is>
      </c>
      <c r="Q2538" s="5" t="inlineStr">
        <is>
          <t>5</t>
        </is>
      </c>
      <c r="R2538" s="5" t="inlineStr">
        <is>
          <t>6</t>
        </is>
      </c>
      <c r="S2538" s="5" t="inlineStr">
        <is>
          <t>65</t>
        </is>
      </c>
      <c r="T2538" s="5" t="inlineStr">
        <is>
          <t>10</t>
        </is>
      </c>
      <c r="U2538" s="5">
        <f>IFS(C2538&lt;30,"Under 30",C2538&lt;40,"30-39",C2538&lt;50,"40-49",TRUE,"50+")</f>
        <v/>
      </c>
      <c r="V2538" s="5">
        <f>IFS(O2538&lt;60000,"Low (&lt;60k)",O2538&lt;100000,"Mid (60-100k)",TRUE,"High (100k+)")</f>
        <v/>
      </c>
      <c r="W2538" s="5">
        <f>IF(M2538="No","Attrited","Active")</f>
        <v/>
      </c>
    </row>
    <row r="2539">
      <c r="A2539" s="5" t="inlineStr">
        <is>
          <t>E02538</t>
        </is>
      </c>
      <c r="B2539" s="5" t="inlineStr">
        <is>
          <t>Male</t>
        </is>
      </c>
      <c r="C2539" s="6" t="inlineStr">
        <is>
          <t>26</t>
        </is>
      </c>
      <c r="D2539" s="5" t="inlineStr">
        <is>
          <t>Married</t>
        </is>
      </c>
      <c r="E2539" s="5" t="inlineStr">
        <is>
          <t>High School</t>
        </is>
      </c>
      <c r="F2539" s="5" t="inlineStr">
        <is>
          <t>Finance</t>
        </is>
      </c>
      <c r="G2539" s="5" t="inlineStr">
        <is>
          <t>Financial Analyst</t>
        </is>
      </c>
      <c r="H2539" s="5" t="inlineStr">
        <is>
          <t>2</t>
        </is>
      </c>
      <c r="I2539" s="5" t="inlineStr">
        <is>
          <t>Hyderabad</t>
        </is>
      </c>
      <c r="J2539" s="5" t="inlineStr">
        <is>
          <t>Part-Time</t>
        </is>
      </c>
      <c r="K2539" s="7" t="n">
        <v>45091</v>
      </c>
      <c r="L2539" s="7" t="inlineStr"/>
      <c r="M2539" s="5" t="inlineStr">
        <is>
          <t>Yes</t>
        </is>
      </c>
      <c r="N2539" s="5" t="inlineStr"/>
      <c r="O2539" s="8" t="inlineStr">
        <is>
          <t>113500</t>
        </is>
      </c>
      <c r="P2539" s="5" t="inlineStr">
        <is>
          <t>10</t>
        </is>
      </c>
      <c r="Q2539" s="5" t="inlineStr">
        <is>
          <t>3</t>
        </is>
      </c>
      <c r="R2539" s="5" t="inlineStr">
        <is>
          <t>6</t>
        </is>
      </c>
      <c r="S2539" s="5" t="inlineStr">
        <is>
          <t>31</t>
        </is>
      </c>
      <c r="T2539" s="5" t="inlineStr">
        <is>
          <t>7</t>
        </is>
      </c>
      <c r="U2539" s="5">
        <f>IFS(C2539&lt;30,"Under 30",C2539&lt;40,"30-39",C2539&lt;50,"40-49",TRUE,"50+")</f>
        <v/>
      </c>
      <c r="V2539" s="5">
        <f>IFS(O2539&lt;60000,"Low (&lt;60k)",O2539&lt;100000,"Mid (60-100k)",TRUE,"High (100k+)")</f>
        <v/>
      </c>
      <c r="W2539" s="5">
        <f>IF(M2539="No","Attrited","Active")</f>
        <v/>
      </c>
    </row>
    <row r="2540">
      <c r="A2540" s="5" t="inlineStr">
        <is>
          <t>E02539</t>
        </is>
      </c>
      <c r="B2540" s="5" t="inlineStr">
        <is>
          <t>Male</t>
        </is>
      </c>
      <c r="C2540" s="6" t="inlineStr">
        <is>
          <t>36</t>
        </is>
      </c>
      <c r="D2540" s="5" t="inlineStr">
        <is>
          <t>Single</t>
        </is>
      </c>
      <c r="E2540" s="5" t="inlineStr">
        <is>
          <t>Bachelor</t>
        </is>
      </c>
      <c r="F2540" s="5" t="inlineStr">
        <is>
          <t>Operations</t>
        </is>
      </c>
      <c r="G2540" s="5" t="inlineStr">
        <is>
          <t>Operations Analyst</t>
        </is>
      </c>
      <c r="H2540" s="5" t="inlineStr">
        <is>
          <t>4</t>
        </is>
      </c>
      <c r="I2540" s="5" t="inlineStr">
        <is>
          <t>Hyderabad</t>
        </is>
      </c>
      <c r="J2540" s="5" t="inlineStr">
        <is>
          <t>Full-Time</t>
        </is>
      </c>
      <c r="K2540" s="7" t="n">
        <v>45075</v>
      </c>
      <c r="L2540" s="7" t="inlineStr"/>
      <c r="M2540" s="5" t="inlineStr">
        <is>
          <t>Yes</t>
        </is>
      </c>
      <c r="N2540" s="5" t="inlineStr"/>
      <c r="O2540" s="8" t="inlineStr">
        <is>
          <t>139500</t>
        </is>
      </c>
      <c r="P2540" s="5" t="inlineStr">
        <is>
          <t>0</t>
        </is>
      </c>
      <c r="Q2540" s="5" t="inlineStr">
        <is>
          <t>3</t>
        </is>
      </c>
      <c r="R2540" s="5" t="inlineStr">
        <is>
          <t>6</t>
        </is>
      </c>
      <c r="S2540" s="5" t="inlineStr">
        <is>
          <t>31</t>
        </is>
      </c>
      <c r="T2540" s="5" t="inlineStr">
        <is>
          <t>3</t>
        </is>
      </c>
      <c r="U2540" s="5">
        <f>IFS(C2540&lt;30,"Under 30",C2540&lt;40,"30-39",C2540&lt;50,"40-49",TRUE,"50+")</f>
        <v/>
      </c>
      <c r="V2540" s="5">
        <f>IFS(O2540&lt;60000,"Low (&lt;60k)",O2540&lt;100000,"Mid (60-100k)",TRUE,"High (100k+)")</f>
        <v/>
      </c>
      <c r="W2540" s="5">
        <f>IF(M2540="No","Attrited","Active")</f>
        <v/>
      </c>
    </row>
    <row r="2541">
      <c r="A2541" s="5" t="inlineStr">
        <is>
          <t>E02540</t>
        </is>
      </c>
      <c r="B2541" s="5" t="inlineStr">
        <is>
          <t>Female</t>
        </is>
      </c>
      <c r="C2541" s="6" t="inlineStr">
        <is>
          <t>42</t>
        </is>
      </c>
      <c r="D2541" s="5" t="inlineStr">
        <is>
          <t>Married</t>
        </is>
      </c>
      <c r="E2541" s="5" t="inlineStr">
        <is>
          <t>Master</t>
        </is>
      </c>
      <c r="F2541" s="5" t="inlineStr">
        <is>
          <t>Sales</t>
        </is>
      </c>
      <c r="G2541" s="5" t="inlineStr">
        <is>
          <t>Sales Executive</t>
        </is>
      </c>
      <c r="H2541" s="5" t="inlineStr">
        <is>
          <t>6</t>
        </is>
      </c>
      <c r="I2541" s="5" t="inlineStr">
        <is>
          <t>Delhi</t>
        </is>
      </c>
      <c r="J2541" s="5" t="inlineStr">
        <is>
          <t>Full-Time</t>
        </is>
      </c>
      <c r="K2541" s="7" t="n">
        <v>43938</v>
      </c>
      <c r="L2541" s="7" t="inlineStr"/>
      <c r="M2541" s="5" t="inlineStr">
        <is>
          <t>Yes</t>
        </is>
      </c>
      <c r="N2541" s="5" t="inlineStr"/>
      <c r="O2541" s="8" t="inlineStr">
        <is>
          <t>154500</t>
        </is>
      </c>
      <c r="P2541" s="5" t="inlineStr">
        <is>
          <t>10</t>
        </is>
      </c>
      <c r="Q2541" s="5" t="inlineStr">
        <is>
          <t>2</t>
        </is>
      </c>
      <c r="R2541" s="5" t="inlineStr">
        <is>
          <t>6</t>
        </is>
      </c>
      <c r="S2541" s="5" t="inlineStr">
        <is>
          <t>69</t>
        </is>
      </c>
      <c r="T2541" s="5" t="inlineStr">
        <is>
          <t>0</t>
        </is>
      </c>
      <c r="U2541" s="5">
        <f>IFS(C2541&lt;30,"Under 30",C2541&lt;40,"30-39",C2541&lt;50,"40-49",TRUE,"50+")</f>
        <v/>
      </c>
      <c r="V2541" s="5">
        <f>IFS(O2541&lt;60000,"Low (&lt;60k)",O2541&lt;100000,"Mid (60-100k)",TRUE,"High (100k+)")</f>
        <v/>
      </c>
      <c r="W2541" s="5">
        <f>IF(M2541="No","Attrited","Active")</f>
        <v/>
      </c>
    </row>
    <row r="2542">
      <c r="A2542" s="5" t="inlineStr">
        <is>
          <t>E02541</t>
        </is>
      </c>
      <c r="B2542" s="5" t="inlineStr">
        <is>
          <t>Female</t>
        </is>
      </c>
      <c r="C2542" s="6" t="inlineStr">
        <is>
          <t>38</t>
        </is>
      </c>
      <c r="D2542" s="5" t="inlineStr">
        <is>
          <t>Married</t>
        </is>
      </c>
      <c r="E2542" s="5" t="inlineStr">
        <is>
          <t>Diploma</t>
        </is>
      </c>
      <c r="F2542" s="5" t="inlineStr">
        <is>
          <t>Sales</t>
        </is>
      </c>
      <c r="G2542" s="5" t="inlineStr">
        <is>
          <t>Account Executive</t>
        </is>
      </c>
      <c r="H2542" s="5" t="inlineStr">
        <is>
          <t>7</t>
        </is>
      </c>
      <c r="I2542" s="5" t="inlineStr">
        <is>
          <t>Chennai</t>
        </is>
      </c>
      <c r="J2542" s="5" t="inlineStr">
        <is>
          <t>Full-Time</t>
        </is>
      </c>
      <c r="K2542" s="7" t="n">
        <v>45138</v>
      </c>
      <c r="L2542" s="7" t="inlineStr"/>
      <c r="M2542" s="5" t="inlineStr">
        <is>
          <t>Yes</t>
        </is>
      </c>
      <c r="N2542" s="5" t="inlineStr"/>
      <c r="O2542" s="8" t="inlineStr">
        <is>
          <t>158500</t>
        </is>
      </c>
      <c r="P2542" s="5" t="inlineStr">
        <is>
          <t>0</t>
        </is>
      </c>
      <c r="Q2542" s="5" t="inlineStr">
        <is>
          <t>5</t>
        </is>
      </c>
      <c r="R2542" s="5" t="inlineStr">
        <is>
          <t>6</t>
        </is>
      </c>
      <c r="S2542" s="5" t="inlineStr">
        <is>
          <t>29</t>
        </is>
      </c>
      <c r="T2542" s="5" t="inlineStr">
        <is>
          <t>4</t>
        </is>
      </c>
      <c r="U2542" s="5">
        <f>IFS(C2542&lt;30,"Under 30",C2542&lt;40,"30-39",C2542&lt;50,"40-49",TRUE,"50+")</f>
        <v/>
      </c>
      <c r="V2542" s="5">
        <f>IFS(O2542&lt;60000,"Low (&lt;60k)",O2542&lt;100000,"Mid (60-100k)",TRUE,"High (100k+)")</f>
        <v/>
      </c>
      <c r="W2542" s="5">
        <f>IF(M2542="No","Attrited","Active")</f>
        <v/>
      </c>
    </row>
    <row r="2543">
      <c r="A2543" s="5" t="inlineStr">
        <is>
          <t>E02542</t>
        </is>
      </c>
      <c r="B2543" s="5" t="inlineStr">
        <is>
          <t>Male</t>
        </is>
      </c>
      <c r="C2543" s="6" t="inlineStr">
        <is>
          <t>25</t>
        </is>
      </c>
      <c r="D2543" s="5" t="inlineStr">
        <is>
          <t>Single</t>
        </is>
      </c>
      <c r="E2543" s="5" t="inlineStr">
        <is>
          <t>PhD</t>
        </is>
      </c>
      <c r="F2543" s="5" t="inlineStr">
        <is>
          <t>Operations</t>
        </is>
      </c>
      <c r="G2543" s="5" t="inlineStr">
        <is>
          <t>Quality Analyst</t>
        </is>
      </c>
      <c r="H2543" s="5" t="inlineStr">
        <is>
          <t>2</t>
        </is>
      </c>
      <c r="I2543" s="5" t="inlineStr">
        <is>
          <t>Hyderabad</t>
        </is>
      </c>
      <c r="J2543" s="5" t="inlineStr">
        <is>
          <t>Full-Time</t>
        </is>
      </c>
      <c r="K2543" s="7" t="n">
        <v>45106</v>
      </c>
      <c r="L2543" s="7" t="n">
        <v>45228</v>
      </c>
      <c r="M2543" s="5" t="inlineStr">
        <is>
          <t>No</t>
        </is>
      </c>
      <c r="N2543" s="5" t="inlineStr">
        <is>
          <t>Resigned</t>
        </is>
      </c>
      <c r="O2543" s="8" t="inlineStr">
        <is>
          <t>64000</t>
        </is>
      </c>
      <c r="P2543" s="5" t="inlineStr">
        <is>
          <t>5</t>
        </is>
      </c>
      <c r="Q2543" s="5" t="inlineStr">
        <is>
          <t>2</t>
        </is>
      </c>
      <c r="R2543" s="5" t="inlineStr">
        <is>
          <t>5</t>
        </is>
      </c>
      <c r="S2543" s="5" t="inlineStr">
        <is>
          <t>4</t>
        </is>
      </c>
      <c r="T2543" s="5" t="inlineStr">
        <is>
          <t>1</t>
        </is>
      </c>
      <c r="U2543" s="5">
        <f>IFS(C2543&lt;30,"Under 30",C2543&lt;40,"30-39",C2543&lt;50,"40-49",TRUE,"50+")</f>
        <v/>
      </c>
      <c r="V2543" s="5">
        <f>IFS(O2543&lt;60000,"Low (&lt;60k)",O2543&lt;100000,"Mid (60-100k)",TRUE,"High (100k+)")</f>
        <v/>
      </c>
      <c r="W2543" s="5">
        <f>IF(M2543="No","Attrited","Active")</f>
        <v/>
      </c>
    </row>
    <row r="2544">
      <c r="A2544" s="5" t="inlineStr">
        <is>
          <t>E02543</t>
        </is>
      </c>
      <c r="B2544" s="5" t="inlineStr">
        <is>
          <t>Male</t>
        </is>
      </c>
      <c r="C2544" s="6" t="inlineStr">
        <is>
          <t>28</t>
        </is>
      </c>
      <c r="D2544" s="5" t="inlineStr">
        <is>
          <t>Single</t>
        </is>
      </c>
      <c r="E2544" s="5" t="inlineStr">
        <is>
          <t>High School</t>
        </is>
      </c>
      <c r="F2544" s="5" t="inlineStr">
        <is>
          <t>IT</t>
        </is>
      </c>
      <c r="G2544" s="5" t="inlineStr">
        <is>
          <t>Data Analyst</t>
        </is>
      </c>
      <c r="H2544" s="5" t="inlineStr">
        <is>
          <t>3</t>
        </is>
      </c>
      <c r="I2544" s="5" t="inlineStr">
        <is>
          <t>Chennai</t>
        </is>
      </c>
      <c r="J2544" s="5" t="inlineStr">
        <is>
          <t>Full-Time</t>
        </is>
      </c>
      <c r="K2544" s="7" t="n">
        <v>44109</v>
      </c>
      <c r="L2544" s="7" t="inlineStr"/>
      <c r="M2544" s="5" t="inlineStr">
        <is>
          <t>Yes</t>
        </is>
      </c>
      <c r="N2544" s="5" t="inlineStr"/>
      <c r="O2544" s="8" t="inlineStr">
        <is>
          <t>121500</t>
        </is>
      </c>
      <c r="P2544" s="5" t="inlineStr">
        <is>
          <t>0</t>
        </is>
      </c>
      <c r="Q2544" s="5" t="inlineStr">
        <is>
          <t>2</t>
        </is>
      </c>
      <c r="R2544" s="5" t="inlineStr">
        <is>
          <t>5</t>
        </is>
      </c>
      <c r="S2544" s="5" t="inlineStr">
        <is>
          <t>63</t>
        </is>
      </c>
      <c r="T2544" s="5" t="inlineStr">
        <is>
          <t>11</t>
        </is>
      </c>
      <c r="U2544" s="5">
        <f>IFS(C2544&lt;30,"Under 30",C2544&lt;40,"30-39",C2544&lt;50,"40-49",TRUE,"50+")</f>
        <v/>
      </c>
      <c r="V2544" s="5">
        <f>IFS(O2544&lt;60000,"Low (&lt;60k)",O2544&lt;100000,"Mid (60-100k)",TRUE,"High (100k+)")</f>
        <v/>
      </c>
      <c r="W2544" s="5">
        <f>IF(M2544="No","Attrited","Active")</f>
        <v/>
      </c>
    </row>
    <row r="2545">
      <c r="A2545" s="5" t="inlineStr">
        <is>
          <t>E02544</t>
        </is>
      </c>
      <c r="B2545" s="5" t="inlineStr">
        <is>
          <t>Female</t>
        </is>
      </c>
      <c r="C2545" s="6" t="inlineStr">
        <is>
          <t>36</t>
        </is>
      </c>
      <c r="D2545" s="5" t="inlineStr">
        <is>
          <t>Married</t>
        </is>
      </c>
      <c r="E2545" s="5" t="inlineStr">
        <is>
          <t>Master</t>
        </is>
      </c>
      <c r="F2545" s="5" t="inlineStr">
        <is>
          <t>IT</t>
        </is>
      </c>
      <c r="G2545" s="5" t="inlineStr">
        <is>
          <t>Software Engineer</t>
        </is>
      </c>
      <c r="H2545" s="5" t="inlineStr">
        <is>
          <t>4</t>
        </is>
      </c>
      <c r="I2545" s="5" t="inlineStr">
        <is>
          <t>Delhi</t>
        </is>
      </c>
      <c r="J2545" s="5" t="inlineStr">
        <is>
          <t>Contract</t>
        </is>
      </c>
      <c r="K2545" s="7" t="n">
        <v>44544</v>
      </c>
      <c r="L2545" s="7" t="inlineStr"/>
      <c r="M2545" s="5" t="inlineStr">
        <is>
          <t>Yes</t>
        </is>
      </c>
      <c r="N2545" s="5" t="inlineStr"/>
      <c r="O2545" s="8" t="inlineStr">
        <is>
          <t>166000</t>
        </is>
      </c>
      <c r="P2545" s="5" t="inlineStr">
        <is>
          <t>0</t>
        </is>
      </c>
      <c r="Q2545" s="5" t="inlineStr">
        <is>
          <t>2</t>
        </is>
      </c>
      <c r="R2545" s="5" t="inlineStr">
        <is>
          <t>8</t>
        </is>
      </c>
      <c r="S2545" s="5" t="inlineStr">
        <is>
          <t>49</t>
        </is>
      </c>
      <c r="T2545" s="5" t="inlineStr">
        <is>
          <t>15</t>
        </is>
      </c>
      <c r="U2545" s="5">
        <f>IFS(C2545&lt;30,"Under 30",C2545&lt;40,"30-39",C2545&lt;50,"40-49",TRUE,"50+")</f>
        <v/>
      </c>
      <c r="V2545" s="5">
        <f>IFS(O2545&lt;60000,"Low (&lt;60k)",O2545&lt;100000,"Mid (60-100k)",TRUE,"High (100k+)")</f>
        <v/>
      </c>
      <c r="W2545" s="5">
        <f>IF(M2545="No","Attrited","Active")</f>
        <v/>
      </c>
    </row>
    <row r="2546">
      <c r="A2546" s="5" t="inlineStr">
        <is>
          <t>E02545</t>
        </is>
      </c>
      <c r="B2546" s="5" t="inlineStr">
        <is>
          <t>Male</t>
        </is>
      </c>
      <c r="C2546" s="6" t="inlineStr">
        <is>
          <t>34</t>
        </is>
      </c>
      <c r="D2546" s="5" t="inlineStr">
        <is>
          <t>Married</t>
        </is>
      </c>
      <c r="E2546" s="5" t="inlineStr">
        <is>
          <t>Bachelor</t>
        </is>
      </c>
      <c r="F2546" s="5" t="inlineStr">
        <is>
          <t>Customer Support</t>
        </is>
      </c>
      <c r="G2546" s="5" t="inlineStr">
        <is>
          <t>Escalation Specialist</t>
        </is>
      </c>
      <c r="H2546" s="5" t="inlineStr">
        <is>
          <t>4</t>
        </is>
      </c>
      <c r="I2546" s="5" t="inlineStr">
        <is>
          <t>Mumbai</t>
        </is>
      </c>
      <c r="J2546" s="5" t="inlineStr">
        <is>
          <t>Full-Time</t>
        </is>
      </c>
      <c r="K2546" s="7" t="n">
        <v>45561</v>
      </c>
      <c r="L2546" s="7" t="n">
        <v>45641</v>
      </c>
      <c r="M2546" s="5" t="inlineStr">
        <is>
          <t>No</t>
        </is>
      </c>
      <c r="N2546" s="5" t="inlineStr">
        <is>
          <t>Resigned</t>
        </is>
      </c>
      <c r="O2546" s="8" t="inlineStr">
        <is>
          <t>89500</t>
        </is>
      </c>
      <c r="P2546" s="5" t="inlineStr">
        <is>
          <t>5</t>
        </is>
      </c>
      <c r="Q2546" s="5" t="inlineStr">
        <is>
          <t>5</t>
        </is>
      </c>
      <c r="R2546" s="5" t="inlineStr">
        <is>
          <t>7</t>
        </is>
      </c>
      <c r="S2546" s="5" t="inlineStr">
        <is>
          <t>2</t>
        </is>
      </c>
      <c r="T2546" s="5" t="inlineStr">
        <is>
          <t>7</t>
        </is>
      </c>
      <c r="U2546" s="5">
        <f>IFS(C2546&lt;30,"Under 30",C2546&lt;40,"30-39",C2546&lt;50,"40-49",TRUE,"50+")</f>
        <v/>
      </c>
      <c r="V2546" s="5">
        <f>IFS(O2546&lt;60000,"Low (&lt;60k)",O2546&lt;100000,"Mid (60-100k)",TRUE,"High (100k+)")</f>
        <v/>
      </c>
      <c r="W2546" s="5">
        <f>IF(M2546="No","Attrited","Active")</f>
        <v/>
      </c>
    </row>
    <row r="2547">
      <c r="A2547" s="5" t="inlineStr">
        <is>
          <t>E02546</t>
        </is>
      </c>
      <c r="B2547" s="5" t="inlineStr">
        <is>
          <t>Male</t>
        </is>
      </c>
      <c r="C2547" s="6" t="inlineStr">
        <is>
          <t>28</t>
        </is>
      </c>
      <c r="D2547" s="5" t="inlineStr">
        <is>
          <t>Married</t>
        </is>
      </c>
      <c r="E2547" s="5" t="inlineStr">
        <is>
          <t>PhD</t>
        </is>
      </c>
      <c r="F2547" s="5" t="inlineStr">
        <is>
          <t>Finance</t>
        </is>
      </c>
      <c r="G2547" s="5" t="inlineStr">
        <is>
          <t>Credit Analyst</t>
        </is>
      </c>
      <c r="H2547" s="5" t="inlineStr">
        <is>
          <t>2</t>
        </is>
      </c>
      <c r="I2547" s="5" t="inlineStr">
        <is>
          <t>Mumbai</t>
        </is>
      </c>
      <c r="J2547" s="5" t="inlineStr">
        <is>
          <t>Full-Time</t>
        </is>
      </c>
      <c r="K2547" s="7" t="n">
        <v>44886</v>
      </c>
      <c r="L2547" s="7" t="inlineStr"/>
      <c r="M2547" s="5" t="inlineStr">
        <is>
          <t>Yes</t>
        </is>
      </c>
      <c r="N2547" s="5" t="inlineStr"/>
      <c r="O2547" s="8" t="inlineStr">
        <is>
          <t>108000</t>
        </is>
      </c>
      <c r="P2547" s="5" t="inlineStr">
        <is>
          <t>5</t>
        </is>
      </c>
      <c r="Q2547" s="5" t="inlineStr">
        <is>
          <t>4</t>
        </is>
      </c>
      <c r="R2547" s="5" t="inlineStr">
        <is>
          <t>6</t>
        </is>
      </c>
      <c r="S2547" s="5" t="inlineStr">
        <is>
          <t>37</t>
        </is>
      </c>
      <c r="T2547" s="5" t="inlineStr">
        <is>
          <t>0</t>
        </is>
      </c>
      <c r="U2547" s="5">
        <f>IFS(C2547&lt;30,"Under 30",C2547&lt;40,"30-39",C2547&lt;50,"40-49",TRUE,"50+")</f>
        <v/>
      </c>
      <c r="V2547" s="5">
        <f>IFS(O2547&lt;60000,"Low (&lt;60k)",O2547&lt;100000,"Mid (60-100k)",TRUE,"High (100k+)")</f>
        <v/>
      </c>
      <c r="W2547" s="5">
        <f>IF(M2547="No","Attrited","Active")</f>
        <v/>
      </c>
    </row>
    <row r="2548">
      <c r="A2548" s="5" t="inlineStr">
        <is>
          <t>E02547</t>
        </is>
      </c>
      <c r="B2548" s="5" t="inlineStr">
        <is>
          <t>Male</t>
        </is>
      </c>
      <c r="C2548" s="6" t="inlineStr">
        <is>
          <t>31</t>
        </is>
      </c>
      <c r="D2548" s="5" t="inlineStr">
        <is>
          <t>Divorced</t>
        </is>
      </c>
      <c r="E2548" s="5" t="inlineStr">
        <is>
          <t>PhD</t>
        </is>
      </c>
      <c r="F2548" s="5" t="inlineStr">
        <is>
          <t>Finance</t>
        </is>
      </c>
      <c r="G2548" s="5" t="inlineStr">
        <is>
          <t>Financial Analyst</t>
        </is>
      </c>
      <c r="H2548" s="5" t="inlineStr">
        <is>
          <t>1</t>
        </is>
      </c>
      <c r="I2548" s="5" t="inlineStr">
        <is>
          <t>Remote</t>
        </is>
      </c>
      <c r="J2548" s="5" t="inlineStr">
        <is>
          <t>Full-Time</t>
        </is>
      </c>
      <c r="K2548" s="7" t="n">
        <v>44777</v>
      </c>
      <c r="L2548" s="7" t="inlineStr"/>
      <c r="M2548" s="5" t="inlineStr">
        <is>
          <t>Yes</t>
        </is>
      </c>
      <c r="N2548" s="5" t="inlineStr"/>
      <c r="O2548" s="8" t="inlineStr">
        <is>
          <t>111000</t>
        </is>
      </c>
      <c r="P2548" s="5" t="inlineStr">
        <is>
          <t>0</t>
        </is>
      </c>
      <c r="Q2548" s="5" t="inlineStr">
        <is>
          <t>4</t>
        </is>
      </c>
      <c r="R2548" s="5" t="inlineStr">
        <is>
          <t>6</t>
        </is>
      </c>
      <c r="S2548" s="5" t="inlineStr">
        <is>
          <t>41</t>
        </is>
      </c>
      <c r="T2548" s="5" t="inlineStr">
        <is>
          <t>6</t>
        </is>
      </c>
      <c r="U2548" s="5">
        <f>IFS(C2548&lt;30,"Under 30",C2548&lt;40,"30-39",C2548&lt;50,"40-49",TRUE,"50+")</f>
        <v/>
      </c>
      <c r="V2548" s="5">
        <f>IFS(O2548&lt;60000,"Low (&lt;60k)",O2548&lt;100000,"Mid (60-100k)",TRUE,"High (100k+)")</f>
        <v/>
      </c>
      <c r="W2548" s="5">
        <f>IF(M2548="No","Attrited","Active")</f>
        <v/>
      </c>
    </row>
    <row r="2549">
      <c r="A2549" s="5" t="inlineStr">
        <is>
          <t>E02548</t>
        </is>
      </c>
      <c r="B2549" s="5" t="inlineStr">
        <is>
          <t>Male</t>
        </is>
      </c>
      <c r="C2549" s="6" t="inlineStr">
        <is>
          <t>23</t>
        </is>
      </c>
      <c r="D2549" s="5" t="inlineStr">
        <is>
          <t>Single</t>
        </is>
      </c>
      <c r="E2549" s="5" t="inlineStr">
        <is>
          <t>High School</t>
        </is>
      </c>
      <c r="F2549" s="5" t="inlineStr">
        <is>
          <t>Sales</t>
        </is>
      </c>
      <c r="G2549" s="5" t="inlineStr">
        <is>
          <t>Business Development</t>
        </is>
      </c>
      <c r="H2549" s="5" t="inlineStr">
        <is>
          <t>1</t>
        </is>
      </c>
      <c r="I2549" s="5" t="inlineStr">
        <is>
          <t>Bengaluru</t>
        </is>
      </c>
      <c r="J2549" s="5" t="inlineStr">
        <is>
          <t>Full-Time</t>
        </is>
      </c>
      <c r="K2549" s="7" t="n">
        <v>44036</v>
      </c>
      <c r="L2549" s="7" t="n">
        <v>44165</v>
      </c>
      <c r="M2549" s="5" t="inlineStr">
        <is>
          <t>No</t>
        </is>
      </c>
      <c r="N2549" s="5" t="inlineStr">
        <is>
          <t>Resigned</t>
        </is>
      </c>
      <c r="O2549" s="8" t="inlineStr">
        <is>
          <t>83500</t>
        </is>
      </c>
      <c r="P2549" s="5" t="inlineStr">
        <is>
          <t>0</t>
        </is>
      </c>
      <c r="Q2549" s="5" t="inlineStr">
        <is>
          <t>5</t>
        </is>
      </c>
      <c r="R2549" s="5" t="inlineStr">
        <is>
          <t>7</t>
        </is>
      </c>
      <c r="S2549" s="5" t="inlineStr">
        <is>
          <t>4</t>
        </is>
      </c>
      <c r="T2549" s="5" t="inlineStr">
        <is>
          <t>5</t>
        </is>
      </c>
      <c r="U2549" s="5">
        <f>IFS(C2549&lt;30,"Under 30",C2549&lt;40,"30-39",C2549&lt;50,"40-49",TRUE,"50+")</f>
        <v/>
      </c>
      <c r="V2549" s="5">
        <f>IFS(O2549&lt;60000,"Low (&lt;60k)",O2549&lt;100000,"Mid (60-100k)",TRUE,"High (100k+)")</f>
        <v/>
      </c>
      <c r="W2549" s="5">
        <f>IF(M2549="No","Attrited","Active")</f>
        <v/>
      </c>
    </row>
    <row r="2550">
      <c r="A2550" s="5" t="inlineStr">
        <is>
          <t>E02549</t>
        </is>
      </c>
      <c r="B2550" s="5" t="inlineStr">
        <is>
          <t>Female</t>
        </is>
      </c>
      <c r="C2550" s="6" t="inlineStr">
        <is>
          <t>32</t>
        </is>
      </c>
      <c r="D2550" s="5" t="inlineStr">
        <is>
          <t>Single</t>
        </is>
      </c>
      <c r="E2550" s="5" t="inlineStr">
        <is>
          <t>Bachelor</t>
        </is>
      </c>
      <c r="F2550" s="5" t="inlineStr">
        <is>
          <t>Operations</t>
        </is>
      </c>
      <c r="G2550" s="5" t="inlineStr">
        <is>
          <t>Operations Analyst</t>
        </is>
      </c>
      <c r="H2550" s="5" t="inlineStr">
        <is>
          <t>2</t>
        </is>
      </c>
      <c r="I2550" s="5" t="inlineStr">
        <is>
          <t>Mumbai</t>
        </is>
      </c>
      <c r="J2550" s="5" t="inlineStr">
        <is>
          <t>Full-Time</t>
        </is>
      </c>
      <c r="K2550" s="7" t="n">
        <v>45709</v>
      </c>
      <c r="L2550" s="7" t="n">
        <v>45844</v>
      </c>
      <c r="M2550" s="5" t="inlineStr">
        <is>
          <t>No</t>
        </is>
      </c>
      <c r="N2550" s="5" t="inlineStr">
        <is>
          <t>Resigned</t>
        </is>
      </c>
      <c r="O2550" s="8" t="inlineStr">
        <is>
          <t>110000</t>
        </is>
      </c>
      <c r="P2550" s="5" t="inlineStr">
        <is>
          <t>0</t>
        </is>
      </c>
      <c r="Q2550" s="5" t="inlineStr">
        <is>
          <t>3</t>
        </is>
      </c>
      <c r="R2550" s="5" t="inlineStr">
        <is>
          <t>4</t>
        </is>
      </c>
      <c r="S2550" s="5" t="inlineStr">
        <is>
          <t>4</t>
        </is>
      </c>
      <c r="T2550" s="5" t="inlineStr">
        <is>
          <t>18</t>
        </is>
      </c>
      <c r="U2550" s="5">
        <f>IFS(C2550&lt;30,"Under 30",C2550&lt;40,"30-39",C2550&lt;50,"40-49",TRUE,"50+")</f>
        <v/>
      </c>
      <c r="V2550" s="5">
        <f>IFS(O2550&lt;60000,"Low (&lt;60k)",O2550&lt;100000,"Mid (60-100k)",TRUE,"High (100k+)")</f>
        <v/>
      </c>
      <c r="W2550" s="5">
        <f>IF(M2550="No","Attrited","Active")</f>
        <v/>
      </c>
    </row>
    <row r="2551">
      <c r="A2551" s="5" t="inlineStr">
        <is>
          <t>E02550</t>
        </is>
      </c>
      <c r="B2551" s="5" t="inlineStr">
        <is>
          <t>Male</t>
        </is>
      </c>
      <c r="C2551" s="6" t="inlineStr">
        <is>
          <t>44</t>
        </is>
      </c>
      <c r="D2551" s="5" t="inlineStr">
        <is>
          <t>Divorced</t>
        </is>
      </c>
      <c r="E2551" s="5" t="inlineStr">
        <is>
          <t>Diploma</t>
        </is>
      </c>
      <c r="F2551" s="5" t="inlineStr">
        <is>
          <t>Sales</t>
        </is>
      </c>
      <c r="G2551" s="5" t="inlineStr">
        <is>
          <t>Account Executive</t>
        </is>
      </c>
      <c r="H2551" s="5" t="inlineStr">
        <is>
          <t>6</t>
        </is>
      </c>
      <c r="I2551" s="5" t="inlineStr">
        <is>
          <t>Bengaluru</t>
        </is>
      </c>
      <c r="J2551" s="5" t="inlineStr">
        <is>
          <t>Full-Time</t>
        </is>
      </c>
      <c r="K2551" s="7" t="n">
        <v>45451</v>
      </c>
      <c r="L2551" s="7" t="inlineStr"/>
      <c r="M2551" s="5" t="inlineStr">
        <is>
          <t>Yes</t>
        </is>
      </c>
      <c r="N2551" s="5" t="inlineStr"/>
      <c r="O2551" s="8" t="inlineStr">
        <is>
          <t>165500</t>
        </is>
      </c>
      <c r="P2551" s="5" t="inlineStr">
        <is>
          <t>0</t>
        </is>
      </c>
      <c r="Q2551" s="5" t="inlineStr">
        <is>
          <t>3</t>
        </is>
      </c>
      <c r="R2551" s="5" t="inlineStr">
        <is>
          <t>8</t>
        </is>
      </c>
      <c r="S2551" s="5" t="inlineStr">
        <is>
          <t>19</t>
        </is>
      </c>
      <c r="T2551" s="5" t="inlineStr">
        <is>
          <t>5</t>
        </is>
      </c>
      <c r="U2551" s="5">
        <f>IFS(C2551&lt;30,"Under 30",C2551&lt;40,"30-39",C2551&lt;50,"40-49",TRUE,"50+")</f>
        <v/>
      </c>
      <c r="V2551" s="5">
        <f>IFS(O2551&lt;60000,"Low (&lt;60k)",O2551&lt;100000,"Mid (60-100k)",TRUE,"High (100k+)")</f>
        <v/>
      </c>
      <c r="W2551" s="5">
        <f>IF(M2551="No","Attrited","Active")</f>
        <v/>
      </c>
    </row>
    <row r="2552">
      <c r="A2552" s="5" t="inlineStr">
        <is>
          <t>E02551</t>
        </is>
      </c>
      <c r="B2552" s="5" t="inlineStr">
        <is>
          <t>Female</t>
        </is>
      </c>
      <c r="C2552" s="6" t="inlineStr">
        <is>
          <t>30</t>
        </is>
      </c>
      <c r="D2552" s="5" t="inlineStr">
        <is>
          <t>Married</t>
        </is>
      </c>
      <c r="E2552" s="5" t="inlineStr">
        <is>
          <t>High School</t>
        </is>
      </c>
      <c r="F2552" s="5" t="inlineStr">
        <is>
          <t>Human Resources</t>
        </is>
      </c>
      <c r="G2552" s="5" t="inlineStr">
        <is>
          <t>HR Generalist</t>
        </is>
      </c>
      <c r="H2552" s="5" t="inlineStr">
        <is>
          <t>3</t>
        </is>
      </c>
      <c r="I2552" s="5" t="inlineStr">
        <is>
          <t>Chennai</t>
        </is>
      </c>
      <c r="J2552" s="5" t="inlineStr">
        <is>
          <t>Full-Time</t>
        </is>
      </c>
      <c r="K2552" s="7" t="n">
        <v>44679</v>
      </c>
      <c r="L2552" s="7" t="inlineStr"/>
      <c r="M2552" s="5" t="inlineStr">
        <is>
          <t>Yes</t>
        </is>
      </c>
      <c r="N2552" s="5" t="inlineStr"/>
      <c r="O2552" s="8" t="inlineStr">
        <is>
          <t>88000</t>
        </is>
      </c>
      <c r="P2552" s="5" t="inlineStr">
        <is>
          <t>0</t>
        </is>
      </c>
      <c r="Q2552" s="5" t="inlineStr">
        <is>
          <t>3</t>
        </is>
      </c>
      <c r="R2552" s="5" t="inlineStr">
        <is>
          <t>5</t>
        </is>
      </c>
      <c r="S2552" s="5" t="inlineStr">
        <is>
          <t>44</t>
        </is>
      </c>
      <c r="T2552" s="5" t="inlineStr">
        <is>
          <t>0</t>
        </is>
      </c>
      <c r="U2552" s="5">
        <f>IFS(C2552&lt;30,"Under 30",C2552&lt;40,"30-39",C2552&lt;50,"40-49",TRUE,"50+")</f>
        <v/>
      </c>
      <c r="V2552" s="5">
        <f>IFS(O2552&lt;60000,"Low (&lt;60k)",O2552&lt;100000,"Mid (60-100k)",TRUE,"High (100k+)")</f>
        <v/>
      </c>
      <c r="W2552" s="5">
        <f>IF(M2552="No","Attrited","Active")</f>
        <v/>
      </c>
    </row>
    <row r="2553">
      <c r="A2553" s="5" t="inlineStr">
        <is>
          <t>E02552</t>
        </is>
      </c>
      <c r="B2553" s="5" t="inlineStr">
        <is>
          <t>Female</t>
        </is>
      </c>
      <c r="C2553" s="6" t="inlineStr">
        <is>
          <t>28</t>
        </is>
      </c>
      <c r="D2553" s="5" t="inlineStr">
        <is>
          <t>Married</t>
        </is>
      </c>
      <c r="E2553" s="5" t="inlineStr">
        <is>
          <t>Diploma</t>
        </is>
      </c>
      <c r="F2553" s="5" t="inlineStr">
        <is>
          <t>Research &amp; Development</t>
        </is>
      </c>
      <c r="G2553" s="5" t="inlineStr">
        <is>
          <t>Product Engineer</t>
        </is>
      </c>
      <c r="H2553" s="5" t="inlineStr">
        <is>
          <t>2</t>
        </is>
      </c>
      <c r="I2553" s="5" t="inlineStr">
        <is>
          <t>Remote</t>
        </is>
      </c>
      <c r="J2553" s="5" t="inlineStr">
        <is>
          <t>Full-Time</t>
        </is>
      </c>
      <c r="K2553" s="7" t="n">
        <v>45492</v>
      </c>
      <c r="L2553" s="7" t="inlineStr"/>
      <c r="M2553" s="5" t="inlineStr">
        <is>
          <t>Yes</t>
        </is>
      </c>
      <c r="N2553" s="5" t="inlineStr"/>
      <c r="O2553" s="8" t="inlineStr">
        <is>
          <t>179000</t>
        </is>
      </c>
      <c r="P2553" s="5" t="inlineStr">
        <is>
          <t>0</t>
        </is>
      </c>
      <c r="Q2553" s="5" t="inlineStr">
        <is>
          <t>4</t>
        </is>
      </c>
      <c r="R2553" s="5" t="inlineStr">
        <is>
          <t>8</t>
        </is>
      </c>
      <c r="S2553" s="5" t="inlineStr">
        <is>
          <t>17</t>
        </is>
      </c>
      <c r="T2553" s="5" t="inlineStr">
        <is>
          <t>0</t>
        </is>
      </c>
      <c r="U2553" s="5">
        <f>IFS(C2553&lt;30,"Under 30",C2553&lt;40,"30-39",C2553&lt;50,"40-49",TRUE,"50+")</f>
        <v/>
      </c>
      <c r="V2553" s="5">
        <f>IFS(O2553&lt;60000,"Low (&lt;60k)",O2553&lt;100000,"Mid (60-100k)",TRUE,"High (100k+)")</f>
        <v/>
      </c>
      <c r="W2553" s="5">
        <f>IF(M2553="No","Attrited","Active")</f>
        <v/>
      </c>
    </row>
    <row r="2554">
      <c r="A2554" s="5" t="inlineStr">
        <is>
          <t>E02553</t>
        </is>
      </c>
      <c r="B2554" s="5" t="inlineStr">
        <is>
          <t>Female</t>
        </is>
      </c>
      <c r="C2554" s="6" t="inlineStr">
        <is>
          <t>26</t>
        </is>
      </c>
      <c r="D2554" s="5" t="inlineStr">
        <is>
          <t>Single</t>
        </is>
      </c>
      <c r="E2554" s="5" t="inlineStr">
        <is>
          <t>High School</t>
        </is>
      </c>
      <c r="F2554" s="5" t="inlineStr">
        <is>
          <t>Sales</t>
        </is>
      </c>
      <c r="G2554" s="5" t="inlineStr">
        <is>
          <t>Business Development</t>
        </is>
      </c>
      <c r="H2554" s="5" t="inlineStr">
        <is>
          <t>1</t>
        </is>
      </c>
      <c r="I2554" s="5" t="inlineStr">
        <is>
          <t>Bengaluru</t>
        </is>
      </c>
      <c r="J2554" s="5" t="inlineStr">
        <is>
          <t>Full-Time</t>
        </is>
      </c>
      <c r="K2554" s="7" t="n">
        <v>45673</v>
      </c>
      <c r="L2554" s="7" t="inlineStr"/>
      <c r="M2554" s="5" t="inlineStr">
        <is>
          <t>Yes</t>
        </is>
      </c>
      <c r="N2554" s="5" t="inlineStr"/>
      <c r="O2554" s="8" t="inlineStr">
        <is>
          <t>81000</t>
        </is>
      </c>
      <c r="P2554" s="5" t="inlineStr">
        <is>
          <t>5</t>
        </is>
      </c>
      <c r="Q2554" s="5" t="inlineStr">
        <is>
          <t>3</t>
        </is>
      </c>
      <c r="R2554" s="5" t="inlineStr">
        <is>
          <t>9</t>
        </is>
      </c>
      <c r="S2554" s="5" t="inlineStr">
        <is>
          <t>11</t>
        </is>
      </c>
      <c r="T2554" s="5" t="inlineStr">
        <is>
          <t>12</t>
        </is>
      </c>
      <c r="U2554" s="5">
        <f>IFS(C2554&lt;30,"Under 30",C2554&lt;40,"30-39",C2554&lt;50,"40-49",TRUE,"50+")</f>
        <v/>
      </c>
      <c r="V2554" s="5">
        <f>IFS(O2554&lt;60000,"Low (&lt;60k)",O2554&lt;100000,"Mid (60-100k)",TRUE,"High (100k+)")</f>
        <v/>
      </c>
      <c r="W2554" s="5">
        <f>IF(M2554="No","Attrited","Active")</f>
        <v/>
      </c>
    </row>
    <row r="2555">
      <c r="A2555" s="5" t="inlineStr">
        <is>
          <t>E02554</t>
        </is>
      </c>
      <c r="B2555" s="5" t="inlineStr">
        <is>
          <t>Female</t>
        </is>
      </c>
      <c r="C2555" s="6" t="inlineStr">
        <is>
          <t>26</t>
        </is>
      </c>
      <c r="D2555" s="5" t="inlineStr">
        <is>
          <t>Married</t>
        </is>
      </c>
      <c r="E2555" s="5" t="inlineStr">
        <is>
          <t>High School</t>
        </is>
      </c>
      <c r="F2555" s="5" t="inlineStr">
        <is>
          <t>Human Resources</t>
        </is>
      </c>
      <c r="G2555" s="5" t="inlineStr">
        <is>
          <t>HR Analyst</t>
        </is>
      </c>
      <c r="H2555" s="5" t="inlineStr">
        <is>
          <t>2</t>
        </is>
      </c>
      <c r="I2555" s="5" t="inlineStr">
        <is>
          <t>Hyderabad</t>
        </is>
      </c>
      <c r="J2555" s="5" t="inlineStr">
        <is>
          <t>Full-Time</t>
        </is>
      </c>
      <c r="K2555" s="7" t="n">
        <v>44557</v>
      </c>
      <c r="L2555" s="7" t="inlineStr"/>
      <c r="M2555" s="5" t="inlineStr">
        <is>
          <t>Yes</t>
        </is>
      </c>
      <c r="N2555" s="5" t="inlineStr"/>
      <c r="O2555" s="8" t="inlineStr">
        <is>
          <t>106000</t>
        </is>
      </c>
      <c r="P2555" s="5" t="inlineStr">
        <is>
          <t>10</t>
        </is>
      </c>
      <c r="Q2555" s="5" t="inlineStr">
        <is>
          <t>4</t>
        </is>
      </c>
      <c r="R2555" s="5" t="inlineStr">
        <is>
          <t>4</t>
        </is>
      </c>
      <c r="S2555" s="5" t="inlineStr">
        <is>
          <t>48</t>
        </is>
      </c>
      <c r="T2555" s="5" t="inlineStr">
        <is>
          <t>6</t>
        </is>
      </c>
      <c r="U2555" s="5">
        <f>IFS(C2555&lt;30,"Under 30",C2555&lt;40,"30-39",C2555&lt;50,"40-49",TRUE,"50+")</f>
        <v/>
      </c>
      <c r="V2555" s="5">
        <f>IFS(O2555&lt;60000,"Low (&lt;60k)",O2555&lt;100000,"Mid (60-100k)",TRUE,"High (100k+)")</f>
        <v/>
      </c>
      <c r="W2555" s="5">
        <f>IF(M2555="No","Attrited","Active")</f>
        <v/>
      </c>
    </row>
    <row r="2556">
      <c r="A2556" s="5" t="inlineStr">
        <is>
          <t>E02555</t>
        </is>
      </c>
      <c r="B2556" s="5" t="inlineStr">
        <is>
          <t>Male</t>
        </is>
      </c>
      <c r="C2556" s="6" t="inlineStr">
        <is>
          <t>33</t>
        </is>
      </c>
      <c r="D2556" s="5" t="inlineStr">
        <is>
          <t>Divorced</t>
        </is>
      </c>
      <c r="E2556" s="5" t="inlineStr">
        <is>
          <t>Master</t>
        </is>
      </c>
      <c r="F2556" s="5" t="inlineStr">
        <is>
          <t>Sales</t>
        </is>
      </c>
      <c r="G2556" s="5" t="inlineStr">
        <is>
          <t>Business Development</t>
        </is>
      </c>
      <c r="H2556" s="5" t="inlineStr">
        <is>
          <t>3</t>
        </is>
      </c>
      <c r="I2556" s="5" t="inlineStr">
        <is>
          <t>Mumbai</t>
        </is>
      </c>
      <c r="J2556" s="5" t="inlineStr">
        <is>
          <t>Full-Time</t>
        </is>
      </c>
      <c r="K2556" s="7" t="n">
        <v>44801</v>
      </c>
      <c r="L2556" s="7" t="inlineStr"/>
      <c r="M2556" s="5" t="inlineStr">
        <is>
          <t>Yes</t>
        </is>
      </c>
      <c r="N2556" s="5" t="inlineStr"/>
      <c r="O2556" s="8" t="inlineStr">
        <is>
          <t>98000</t>
        </is>
      </c>
      <c r="P2556" s="5" t="inlineStr">
        <is>
          <t>0</t>
        </is>
      </c>
      <c r="Q2556" s="5" t="inlineStr">
        <is>
          <t>3</t>
        </is>
      </c>
      <c r="R2556" s="5" t="inlineStr">
        <is>
          <t>4</t>
        </is>
      </c>
      <c r="S2556" s="5" t="inlineStr">
        <is>
          <t>40</t>
        </is>
      </c>
      <c r="T2556" s="5" t="inlineStr">
        <is>
          <t>5</t>
        </is>
      </c>
      <c r="U2556" s="5">
        <f>IFS(C2556&lt;30,"Under 30",C2556&lt;40,"30-39",C2556&lt;50,"40-49",TRUE,"50+")</f>
        <v/>
      </c>
      <c r="V2556" s="5">
        <f>IFS(O2556&lt;60000,"Low (&lt;60k)",O2556&lt;100000,"Mid (60-100k)",TRUE,"High (100k+)")</f>
        <v/>
      </c>
      <c r="W2556" s="5">
        <f>IF(M2556="No","Attrited","Active")</f>
        <v/>
      </c>
    </row>
    <row r="2557">
      <c r="A2557" s="5" t="inlineStr">
        <is>
          <t>E02556</t>
        </is>
      </c>
      <c r="B2557" s="5" t="inlineStr">
        <is>
          <t>Male</t>
        </is>
      </c>
      <c r="C2557" s="6" t="inlineStr">
        <is>
          <t>32</t>
        </is>
      </c>
      <c r="D2557" s="5" t="inlineStr">
        <is>
          <t>Married</t>
        </is>
      </c>
      <c r="E2557" s="5" t="inlineStr">
        <is>
          <t>High School</t>
        </is>
      </c>
      <c r="F2557" s="5" t="inlineStr">
        <is>
          <t>Operations</t>
        </is>
      </c>
      <c r="G2557" s="5" t="inlineStr">
        <is>
          <t>Quality Analyst</t>
        </is>
      </c>
      <c r="H2557" s="5" t="inlineStr">
        <is>
          <t>3</t>
        </is>
      </c>
      <c r="I2557" s="5" t="inlineStr">
        <is>
          <t>Remote</t>
        </is>
      </c>
      <c r="J2557" s="5" t="inlineStr">
        <is>
          <t>Full-Time</t>
        </is>
      </c>
      <c r="K2557" s="7" t="n">
        <v>44488</v>
      </c>
      <c r="L2557" s="7" t="n">
        <v>44545</v>
      </c>
      <c r="M2557" s="5" t="inlineStr">
        <is>
          <t>No</t>
        </is>
      </c>
      <c r="N2557" s="5" t="inlineStr">
        <is>
          <t>Relocation</t>
        </is>
      </c>
      <c r="O2557" s="8" t="inlineStr">
        <is>
          <t>111500</t>
        </is>
      </c>
      <c r="P2557" s="5" t="inlineStr">
        <is>
          <t>0</t>
        </is>
      </c>
      <c r="Q2557" s="5" t="inlineStr">
        <is>
          <t>2</t>
        </is>
      </c>
      <c r="R2557" s="5" t="inlineStr">
        <is>
          <t>6</t>
        </is>
      </c>
      <c r="S2557" s="5" t="inlineStr">
        <is>
          <t>1</t>
        </is>
      </c>
      <c r="T2557" s="5" t="inlineStr">
        <is>
          <t>0</t>
        </is>
      </c>
      <c r="U2557" s="5">
        <f>IFS(C2557&lt;30,"Under 30",C2557&lt;40,"30-39",C2557&lt;50,"40-49",TRUE,"50+")</f>
        <v/>
      </c>
      <c r="V2557" s="5">
        <f>IFS(O2557&lt;60000,"Low (&lt;60k)",O2557&lt;100000,"Mid (60-100k)",TRUE,"High (100k+)")</f>
        <v/>
      </c>
      <c r="W2557" s="5">
        <f>IF(M2557="No","Attrited","Active")</f>
        <v/>
      </c>
    </row>
    <row r="2558">
      <c r="A2558" s="5" t="inlineStr">
        <is>
          <t>E02557</t>
        </is>
      </c>
      <c r="B2558" s="5" t="inlineStr">
        <is>
          <t>Female</t>
        </is>
      </c>
      <c r="C2558" s="6" t="inlineStr">
        <is>
          <t>28</t>
        </is>
      </c>
      <c r="D2558" s="5" t="inlineStr">
        <is>
          <t>Married</t>
        </is>
      </c>
      <c r="E2558" s="5" t="inlineStr">
        <is>
          <t>Diploma</t>
        </is>
      </c>
      <c r="F2558" s="5" t="inlineStr">
        <is>
          <t>Sales</t>
        </is>
      </c>
      <c r="G2558" s="5" t="inlineStr">
        <is>
          <t>Business Development</t>
        </is>
      </c>
      <c r="H2558" s="5" t="inlineStr">
        <is>
          <t>2</t>
        </is>
      </c>
      <c r="I2558" s="5" t="inlineStr">
        <is>
          <t>Delhi</t>
        </is>
      </c>
      <c r="J2558" s="5" t="inlineStr">
        <is>
          <t>Full-Time</t>
        </is>
      </c>
      <c r="K2558" s="7" t="n">
        <v>44049</v>
      </c>
      <c r="L2558" s="7" t="inlineStr"/>
      <c r="M2558" s="5" t="inlineStr">
        <is>
          <t>Yes</t>
        </is>
      </c>
      <c r="N2558" s="5" t="inlineStr"/>
      <c r="O2558" s="8" t="inlineStr">
        <is>
          <t>86500</t>
        </is>
      </c>
      <c r="P2558" s="5" t="inlineStr">
        <is>
          <t>20</t>
        </is>
      </c>
      <c r="Q2558" s="5" t="inlineStr">
        <is>
          <t>3</t>
        </is>
      </c>
      <c r="R2558" s="5" t="inlineStr">
        <is>
          <t>2</t>
        </is>
      </c>
      <c r="S2558" s="5" t="inlineStr">
        <is>
          <t>65</t>
        </is>
      </c>
      <c r="T2558" s="5" t="inlineStr">
        <is>
          <t>5</t>
        </is>
      </c>
      <c r="U2558" s="5">
        <f>IFS(C2558&lt;30,"Under 30",C2558&lt;40,"30-39",C2558&lt;50,"40-49",TRUE,"50+")</f>
        <v/>
      </c>
      <c r="V2558" s="5">
        <f>IFS(O2558&lt;60000,"Low (&lt;60k)",O2558&lt;100000,"Mid (60-100k)",TRUE,"High (100k+)")</f>
        <v/>
      </c>
      <c r="W2558" s="5">
        <f>IF(M2558="No","Attrited","Active")</f>
        <v/>
      </c>
    </row>
    <row r="2559">
      <c r="A2559" s="5" t="inlineStr">
        <is>
          <t>E02558</t>
        </is>
      </c>
      <c r="B2559" s="5" t="inlineStr">
        <is>
          <t>Male</t>
        </is>
      </c>
      <c r="C2559" s="6" t="inlineStr">
        <is>
          <t>31</t>
        </is>
      </c>
      <c r="D2559" s="5" t="inlineStr">
        <is>
          <t>Married</t>
        </is>
      </c>
      <c r="E2559" s="5" t="inlineStr">
        <is>
          <t>Diploma</t>
        </is>
      </c>
      <c r="F2559" s="5" t="inlineStr">
        <is>
          <t>Sales</t>
        </is>
      </c>
      <c r="G2559" s="5" t="inlineStr">
        <is>
          <t>Account Executive</t>
        </is>
      </c>
      <c r="H2559" s="5" t="inlineStr">
        <is>
          <t>3</t>
        </is>
      </c>
      <c r="I2559" s="5" t="inlineStr">
        <is>
          <t>Mumbai</t>
        </is>
      </c>
      <c r="J2559" s="5" t="inlineStr">
        <is>
          <t>Full-Time</t>
        </is>
      </c>
      <c r="K2559" s="7" t="n">
        <v>43853</v>
      </c>
      <c r="L2559" s="7" t="inlineStr"/>
      <c r="M2559" s="5" t="inlineStr">
        <is>
          <t>Yes</t>
        </is>
      </c>
      <c r="N2559" s="5" t="inlineStr"/>
      <c r="O2559" s="8" t="inlineStr">
        <is>
          <t>90500</t>
        </is>
      </c>
      <c r="P2559" s="5" t="inlineStr">
        <is>
          <t>10</t>
        </is>
      </c>
      <c r="Q2559" s="5" t="inlineStr">
        <is>
          <t>3</t>
        </is>
      </c>
      <c r="R2559" s="5" t="inlineStr">
        <is>
          <t>4</t>
        </is>
      </c>
      <c r="S2559" s="5" t="inlineStr">
        <is>
          <t>72</t>
        </is>
      </c>
      <c r="T2559" s="5" t="inlineStr">
        <is>
          <t>2</t>
        </is>
      </c>
      <c r="U2559" s="5">
        <f>IFS(C2559&lt;30,"Under 30",C2559&lt;40,"30-39",C2559&lt;50,"40-49",TRUE,"50+")</f>
        <v/>
      </c>
      <c r="V2559" s="5">
        <f>IFS(O2559&lt;60000,"Low (&lt;60k)",O2559&lt;100000,"Mid (60-100k)",TRUE,"High (100k+)")</f>
        <v/>
      </c>
      <c r="W2559" s="5">
        <f>IF(M2559="No","Attrited","Active")</f>
        <v/>
      </c>
    </row>
    <row r="2560">
      <c r="A2560" s="5" t="inlineStr">
        <is>
          <t>E02559</t>
        </is>
      </c>
      <c r="B2560" s="5" t="inlineStr">
        <is>
          <t>Male</t>
        </is>
      </c>
      <c r="C2560" s="6" t="inlineStr">
        <is>
          <t>29</t>
        </is>
      </c>
      <c r="D2560" s="5" t="inlineStr">
        <is>
          <t>Married</t>
        </is>
      </c>
      <c r="E2560" s="5" t="inlineStr">
        <is>
          <t>Bachelor</t>
        </is>
      </c>
      <c r="F2560" s="5" t="inlineStr">
        <is>
          <t>Research &amp; Development</t>
        </is>
      </c>
      <c r="G2560" s="5" t="inlineStr">
        <is>
          <t>Product Engineer</t>
        </is>
      </c>
      <c r="H2560" s="5" t="inlineStr">
        <is>
          <t>4</t>
        </is>
      </c>
      <c r="I2560" s="5" t="inlineStr">
        <is>
          <t>Mumbai</t>
        </is>
      </c>
      <c r="J2560" s="5" t="inlineStr">
        <is>
          <t>Full-Time</t>
        </is>
      </c>
      <c r="K2560" s="7" t="n">
        <v>44840</v>
      </c>
      <c r="L2560" s="7" t="inlineStr"/>
      <c r="M2560" s="5" t="inlineStr">
        <is>
          <t>Yes</t>
        </is>
      </c>
      <c r="N2560" s="5" t="inlineStr"/>
      <c r="O2560" s="8" t="inlineStr">
        <is>
          <t>234000</t>
        </is>
      </c>
      <c r="P2560" s="5" t="inlineStr">
        <is>
          <t>5</t>
        </is>
      </c>
      <c r="Q2560" s="5" t="inlineStr">
        <is>
          <t>3</t>
        </is>
      </c>
      <c r="R2560" s="5" t="inlineStr">
        <is>
          <t>6</t>
        </is>
      </c>
      <c r="S2560" s="5" t="inlineStr">
        <is>
          <t>39</t>
        </is>
      </c>
      <c r="T2560" s="5" t="inlineStr">
        <is>
          <t>12</t>
        </is>
      </c>
      <c r="U2560" s="5">
        <f>IFS(C2560&lt;30,"Under 30",C2560&lt;40,"30-39",C2560&lt;50,"40-49",TRUE,"50+")</f>
        <v/>
      </c>
      <c r="V2560" s="5">
        <f>IFS(O2560&lt;60000,"Low (&lt;60k)",O2560&lt;100000,"Mid (60-100k)",TRUE,"High (100k+)")</f>
        <v/>
      </c>
      <c r="W2560" s="5">
        <f>IF(M2560="No","Attrited","Active")</f>
        <v/>
      </c>
    </row>
    <row r="2561">
      <c r="A2561" s="5" t="inlineStr">
        <is>
          <t>E02560</t>
        </is>
      </c>
      <c r="B2561" s="5" t="inlineStr">
        <is>
          <t>Female</t>
        </is>
      </c>
      <c r="C2561" s="6" t="inlineStr">
        <is>
          <t>31</t>
        </is>
      </c>
      <c r="D2561" s="5" t="inlineStr">
        <is>
          <t>Divorced</t>
        </is>
      </c>
      <c r="E2561" s="5" t="inlineStr">
        <is>
          <t>High School</t>
        </is>
      </c>
      <c r="F2561" s="5" t="inlineStr">
        <is>
          <t>Customer Support</t>
        </is>
      </c>
      <c r="G2561" s="5" t="inlineStr">
        <is>
          <t>Support Lead</t>
        </is>
      </c>
      <c r="H2561" s="5" t="inlineStr">
        <is>
          <t>4</t>
        </is>
      </c>
      <c r="I2561" s="5" t="inlineStr">
        <is>
          <t>Chennai</t>
        </is>
      </c>
      <c r="J2561" s="5" t="inlineStr">
        <is>
          <t>Full-Time</t>
        </is>
      </c>
      <c r="K2561" s="7" t="n">
        <v>45574</v>
      </c>
      <c r="L2561" s="7" t="n">
        <v>45639</v>
      </c>
      <c r="M2561" s="5" t="inlineStr">
        <is>
          <t>No</t>
        </is>
      </c>
      <c r="N2561" s="5" t="inlineStr">
        <is>
          <t>Resigned</t>
        </is>
      </c>
      <c r="O2561" s="8" t="inlineStr">
        <is>
          <t>91500</t>
        </is>
      </c>
      <c r="P2561" s="5" t="inlineStr">
        <is>
          <t>0</t>
        </is>
      </c>
      <c r="Q2561" s="5" t="inlineStr">
        <is>
          <t>2</t>
        </is>
      </c>
      <c r="R2561" s="5" t="inlineStr">
        <is>
          <t>8</t>
        </is>
      </c>
      <c r="S2561" s="5" t="inlineStr">
        <is>
          <t>2</t>
        </is>
      </c>
      <c r="T2561" s="5" t="inlineStr">
        <is>
          <t>7</t>
        </is>
      </c>
      <c r="U2561" s="5">
        <f>IFS(C2561&lt;30,"Under 30",C2561&lt;40,"30-39",C2561&lt;50,"40-49",TRUE,"50+")</f>
        <v/>
      </c>
      <c r="V2561" s="5">
        <f>IFS(O2561&lt;60000,"Low (&lt;60k)",O2561&lt;100000,"Mid (60-100k)",TRUE,"High (100k+)")</f>
        <v/>
      </c>
      <c r="W2561" s="5">
        <f>IF(M2561="No","Attrited","Active")</f>
        <v/>
      </c>
    </row>
    <row r="2562">
      <c r="A2562" s="5" t="inlineStr">
        <is>
          <t>E02561</t>
        </is>
      </c>
      <c r="B2562" s="5" t="inlineStr">
        <is>
          <t>Male</t>
        </is>
      </c>
      <c r="C2562" s="6" t="inlineStr">
        <is>
          <t>31</t>
        </is>
      </c>
      <c r="D2562" s="5" t="inlineStr">
        <is>
          <t>Married</t>
        </is>
      </c>
      <c r="E2562" s="5" t="inlineStr">
        <is>
          <t>Master</t>
        </is>
      </c>
      <c r="F2562" s="5" t="inlineStr">
        <is>
          <t>Sales</t>
        </is>
      </c>
      <c r="G2562" s="5" t="inlineStr">
        <is>
          <t>Business Development</t>
        </is>
      </c>
      <c r="H2562" s="5" t="inlineStr">
        <is>
          <t>1</t>
        </is>
      </c>
      <c r="I2562" s="5" t="inlineStr">
        <is>
          <t>Remote</t>
        </is>
      </c>
      <c r="J2562" s="5" t="inlineStr">
        <is>
          <t>Full-Time</t>
        </is>
      </c>
      <c r="K2562" s="7" t="n">
        <v>44371</v>
      </c>
      <c r="L2562" s="7" t="inlineStr"/>
      <c r="M2562" s="5" t="inlineStr">
        <is>
          <t>Yes</t>
        </is>
      </c>
      <c r="N2562" s="5" t="inlineStr"/>
      <c r="O2562" s="8" t="inlineStr">
        <is>
          <t>72000</t>
        </is>
      </c>
      <c r="P2562" s="5" t="inlineStr">
        <is>
          <t>15</t>
        </is>
      </c>
      <c r="Q2562" s="5" t="inlineStr">
        <is>
          <t>3</t>
        </is>
      </c>
      <c r="R2562" s="5" t="inlineStr">
        <is>
          <t>8</t>
        </is>
      </c>
      <c r="S2562" s="5" t="inlineStr">
        <is>
          <t>55</t>
        </is>
      </c>
      <c r="T2562" s="5" t="inlineStr">
        <is>
          <t>2</t>
        </is>
      </c>
      <c r="U2562" s="5">
        <f>IFS(C2562&lt;30,"Under 30",C2562&lt;40,"30-39",C2562&lt;50,"40-49",TRUE,"50+")</f>
        <v/>
      </c>
      <c r="V2562" s="5">
        <f>IFS(O2562&lt;60000,"Low (&lt;60k)",O2562&lt;100000,"Mid (60-100k)",TRUE,"High (100k+)")</f>
        <v/>
      </c>
      <c r="W2562" s="5">
        <f>IF(M2562="No","Attrited","Active")</f>
        <v/>
      </c>
    </row>
    <row r="2563">
      <c r="A2563" s="5" t="inlineStr">
        <is>
          <t>E02562</t>
        </is>
      </c>
      <c r="B2563" s="5" t="inlineStr">
        <is>
          <t>Male</t>
        </is>
      </c>
      <c r="C2563" s="6" t="inlineStr">
        <is>
          <t>35</t>
        </is>
      </c>
      <c r="D2563" s="5" t="inlineStr">
        <is>
          <t>Married</t>
        </is>
      </c>
      <c r="E2563" s="5" t="inlineStr">
        <is>
          <t>Bachelor</t>
        </is>
      </c>
      <c r="F2563" s="5" t="inlineStr">
        <is>
          <t>IT</t>
        </is>
      </c>
      <c r="G2563" s="5" t="inlineStr">
        <is>
          <t>Data Analyst</t>
        </is>
      </c>
      <c r="H2563" s="5" t="inlineStr">
        <is>
          <t>4</t>
        </is>
      </c>
      <c r="I2563" s="5" t="inlineStr">
        <is>
          <t>Hyderabad</t>
        </is>
      </c>
      <c r="J2563" s="5" t="inlineStr">
        <is>
          <t>Full-Time</t>
        </is>
      </c>
      <c r="K2563" s="7" t="n">
        <v>45614</v>
      </c>
      <c r="L2563" s="7" t="inlineStr"/>
      <c r="M2563" s="5" t="inlineStr">
        <is>
          <t>Yes</t>
        </is>
      </c>
      <c r="N2563" s="5" t="inlineStr"/>
      <c r="O2563" s="8" t="inlineStr">
        <is>
          <t>156000</t>
        </is>
      </c>
      <c r="P2563" s="5" t="inlineStr">
        <is>
          <t>10</t>
        </is>
      </c>
      <c r="Q2563" s="5" t="inlineStr">
        <is>
          <t>4</t>
        </is>
      </c>
      <c r="R2563" s="5" t="inlineStr">
        <is>
          <t>9</t>
        </is>
      </c>
      <c r="S2563" s="5" t="inlineStr">
        <is>
          <t>13</t>
        </is>
      </c>
      <c r="T2563" s="5" t="inlineStr">
        <is>
          <t>8</t>
        </is>
      </c>
      <c r="U2563" s="5">
        <f>IFS(C2563&lt;30,"Under 30",C2563&lt;40,"30-39",C2563&lt;50,"40-49",TRUE,"50+")</f>
        <v/>
      </c>
      <c r="V2563" s="5">
        <f>IFS(O2563&lt;60000,"Low (&lt;60k)",O2563&lt;100000,"Mid (60-100k)",TRUE,"High (100k+)")</f>
        <v/>
      </c>
      <c r="W2563" s="5">
        <f>IF(M2563="No","Attrited","Active")</f>
        <v/>
      </c>
    </row>
    <row r="2564">
      <c r="A2564" s="5" t="inlineStr">
        <is>
          <t>E02563</t>
        </is>
      </c>
      <c r="B2564" s="5" t="inlineStr">
        <is>
          <t>Female</t>
        </is>
      </c>
      <c r="C2564" s="6" t="inlineStr">
        <is>
          <t>23</t>
        </is>
      </c>
      <c r="D2564" s="5" t="inlineStr">
        <is>
          <t>Married</t>
        </is>
      </c>
      <c r="E2564" s="5" t="inlineStr">
        <is>
          <t>Master</t>
        </is>
      </c>
      <c r="F2564" s="5" t="inlineStr">
        <is>
          <t>Marketing</t>
        </is>
      </c>
      <c r="G2564" s="5" t="inlineStr">
        <is>
          <t>SEO Specialist</t>
        </is>
      </c>
      <c r="H2564" s="5" t="inlineStr">
        <is>
          <t>1</t>
        </is>
      </c>
      <c r="I2564" s="5" t="inlineStr">
        <is>
          <t>Bengaluru</t>
        </is>
      </c>
      <c r="J2564" s="5" t="inlineStr">
        <is>
          <t>Full-Time</t>
        </is>
      </c>
      <c r="K2564" s="7" t="n">
        <v>45538</v>
      </c>
      <c r="L2564" s="7" t="inlineStr"/>
      <c r="M2564" s="5" t="inlineStr">
        <is>
          <t>Yes</t>
        </is>
      </c>
      <c r="N2564" s="5" t="inlineStr"/>
      <c r="O2564" s="8" t="inlineStr">
        <is>
          <t>76000</t>
        </is>
      </c>
      <c r="P2564" s="5" t="inlineStr">
        <is>
          <t>0</t>
        </is>
      </c>
      <c r="Q2564" s="5" t="inlineStr">
        <is>
          <t>5</t>
        </is>
      </c>
      <c r="R2564" s="5" t="inlineStr">
        <is>
          <t>4</t>
        </is>
      </c>
      <c r="S2564" s="5" t="inlineStr">
        <is>
          <t>16</t>
        </is>
      </c>
      <c r="T2564" s="5" t="inlineStr">
        <is>
          <t>7</t>
        </is>
      </c>
      <c r="U2564" s="5">
        <f>IFS(C2564&lt;30,"Under 30",C2564&lt;40,"30-39",C2564&lt;50,"40-49",TRUE,"50+")</f>
        <v/>
      </c>
      <c r="V2564" s="5">
        <f>IFS(O2564&lt;60000,"Low (&lt;60k)",O2564&lt;100000,"Mid (60-100k)",TRUE,"High (100k+)")</f>
        <v/>
      </c>
      <c r="W2564" s="5">
        <f>IF(M2564="No","Attrited","Active")</f>
        <v/>
      </c>
    </row>
    <row r="2565">
      <c r="A2565" s="5" t="inlineStr">
        <is>
          <t>E02564</t>
        </is>
      </c>
      <c r="B2565" s="5" t="inlineStr">
        <is>
          <t>Female</t>
        </is>
      </c>
      <c r="C2565" s="6" t="inlineStr">
        <is>
          <t>30</t>
        </is>
      </c>
      <c r="D2565" s="5" t="inlineStr">
        <is>
          <t>Married</t>
        </is>
      </c>
      <c r="E2565" s="5" t="inlineStr">
        <is>
          <t>PhD</t>
        </is>
      </c>
      <c r="F2565" s="5" t="inlineStr">
        <is>
          <t>Customer Support</t>
        </is>
      </c>
      <c r="G2565" s="5" t="inlineStr">
        <is>
          <t>Support Agent</t>
        </is>
      </c>
      <c r="H2565" s="5" t="inlineStr">
        <is>
          <t>3</t>
        </is>
      </c>
      <c r="I2565" s="5" t="inlineStr">
        <is>
          <t>Mumbai</t>
        </is>
      </c>
      <c r="J2565" s="5" t="inlineStr">
        <is>
          <t>Full-Time</t>
        </is>
      </c>
      <c r="K2565" s="7" t="n">
        <v>44834</v>
      </c>
      <c r="L2565" s="7" t="inlineStr"/>
      <c r="M2565" s="5" t="inlineStr">
        <is>
          <t>Yes</t>
        </is>
      </c>
      <c r="N2565" s="5" t="inlineStr"/>
      <c r="O2565" s="8" t="inlineStr">
        <is>
          <t>82500</t>
        </is>
      </c>
      <c r="P2565" s="5" t="inlineStr">
        <is>
          <t>10</t>
        </is>
      </c>
      <c r="Q2565" s="5" t="inlineStr">
        <is>
          <t>3</t>
        </is>
      </c>
      <c r="R2565" s="5" t="inlineStr">
        <is>
          <t>6</t>
        </is>
      </c>
      <c r="S2565" s="5" t="inlineStr">
        <is>
          <t>39</t>
        </is>
      </c>
      <c r="T2565" s="5" t="inlineStr">
        <is>
          <t>6</t>
        </is>
      </c>
      <c r="U2565" s="5">
        <f>IFS(C2565&lt;30,"Under 30",C2565&lt;40,"30-39",C2565&lt;50,"40-49",TRUE,"50+")</f>
        <v/>
      </c>
      <c r="V2565" s="5">
        <f>IFS(O2565&lt;60000,"Low (&lt;60k)",O2565&lt;100000,"Mid (60-100k)",TRUE,"High (100k+)")</f>
        <v/>
      </c>
      <c r="W2565" s="5">
        <f>IF(M2565="No","Attrited","Active")</f>
        <v/>
      </c>
    </row>
    <row r="2566">
      <c r="A2566" s="5" t="inlineStr">
        <is>
          <t>E02565</t>
        </is>
      </c>
      <c r="B2566" s="5" t="inlineStr">
        <is>
          <t>Female</t>
        </is>
      </c>
      <c r="C2566" s="6" t="inlineStr">
        <is>
          <t>31</t>
        </is>
      </c>
      <c r="D2566" s="5" t="inlineStr">
        <is>
          <t>Married</t>
        </is>
      </c>
      <c r="E2566" s="5" t="inlineStr">
        <is>
          <t>Diploma</t>
        </is>
      </c>
      <c r="F2566" s="5" t="inlineStr">
        <is>
          <t>Sales</t>
        </is>
      </c>
      <c r="G2566" s="5" t="inlineStr">
        <is>
          <t>Business Development</t>
        </is>
      </c>
      <c r="H2566" s="5" t="inlineStr">
        <is>
          <t>1</t>
        </is>
      </c>
      <c r="I2566" s="5" t="inlineStr">
        <is>
          <t>Bengaluru</t>
        </is>
      </c>
      <c r="J2566" s="5" t="inlineStr">
        <is>
          <t>Full-Time</t>
        </is>
      </c>
      <c r="K2566" s="7" t="n">
        <v>44140</v>
      </c>
      <c r="L2566" s="7" t="inlineStr"/>
      <c r="M2566" s="5" t="inlineStr">
        <is>
          <t>Yes</t>
        </is>
      </c>
      <c r="N2566" s="5" t="inlineStr"/>
      <c r="O2566" s="8" t="inlineStr">
        <is>
          <t>90500</t>
        </is>
      </c>
      <c r="P2566" s="5" t="inlineStr">
        <is>
          <t>0</t>
        </is>
      </c>
      <c r="Q2566" s="5" t="inlineStr">
        <is>
          <t>2</t>
        </is>
      </c>
      <c r="R2566" s="5" t="inlineStr">
        <is>
          <t>1</t>
        </is>
      </c>
      <c r="S2566" s="5" t="inlineStr">
        <is>
          <t>62</t>
        </is>
      </c>
      <c r="T2566" s="5" t="inlineStr">
        <is>
          <t>11</t>
        </is>
      </c>
      <c r="U2566" s="5">
        <f>IFS(C2566&lt;30,"Under 30",C2566&lt;40,"30-39",C2566&lt;50,"40-49",TRUE,"50+")</f>
        <v/>
      </c>
      <c r="V2566" s="5">
        <f>IFS(O2566&lt;60000,"Low (&lt;60k)",O2566&lt;100000,"Mid (60-100k)",TRUE,"High (100k+)")</f>
        <v/>
      </c>
      <c r="W2566" s="5">
        <f>IF(M2566="No","Attrited","Active")</f>
        <v/>
      </c>
    </row>
    <row r="2567">
      <c r="A2567" s="5" t="inlineStr">
        <is>
          <t>E02566</t>
        </is>
      </c>
      <c r="B2567" s="5" t="inlineStr">
        <is>
          <t>Male</t>
        </is>
      </c>
      <c r="C2567" s="6" t="inlineStr">
        <is>
          <t>29</t>
        </is>
      </c>
      <c r="D2567" s="5" t="inlineStr">
        <is>
          <t>Married</t>
        </is>
      </c>
      <c r="E2567" s="5" t="inlineStr">
        <is>
          <t>PhD</t>
        </is>
      </c>
      <c r="F2567" s="5" t="inlineStr">
        <is>
          <t>IT</t>
        </is>
      </c>
      <c r="G2567" s="5" t="inlineStr">
        <is>
          <t>Software Engineer</t>
        </is>
      </c>
      <c r="H2567" s="5" t="inlineStr">
        <is>
          <t>1</t>
        </is>
      </c>
      <c r="I2567" s="5" t="inlineStr">
        <is>
          <t>Bengaluru</t>
        </is>
      </c>
      <c r="J2567" s="5" t="inlineStr">
        <is>
          <t>Contract</t>
        </is>
      </c>
      <c r="K2567" s="7" t="n">
        <v>45236</v>
      </c>
      <c r="L2567" s="7" t="inlineStr"/>
      <c r="M2567" s="5" t="inlineStr">
        <is>
          <t>Yes</t>
        </is>
      </c>
      <c r="N2567" s="5" t="inlineStr"/>
      <c r="O2567" s="8" t="inlineStr">
        <is>
          <t>108000</t>
        </is>
      </c>
      <c r="P2567" s="5" t="inlineStr">
        <is>
          <t>10</t>
        </is>
      </c>
      <c r="Q2567" s="5" t="inlineStr">
        <is>
          <t>3</t>
        </is>
      </c>
      <c r="R2567" s="5" t="inlineStr">
        <is>
          <t>5</t>
        </is>
      </c>
      <c r="S2567" s="5" t="inlineStr">
        <is>
          <t>26</t>
        </is>
      </c>
      <c r="T2567" s="5" t="inlineStr">
        <is>
          <t>0</t>
        </is>
      </c>
      <c r="U2567" s="5">
        <f>IFS(C2567&lt;30,"Under 30",C2567&lt;40,"30-39",C2567&lt;50,"40-49",TRUE,"50+")</f>
        <v/>
      </c>
      <c r="V2567" s="5">
        <f>IFS(O2567&lt;60000,"Low (&lt;60k)",O2567&lt;100000,"Mid (60-100k)",TRUE,"High (100k+)")</f>
        <v/>
      </c>
      <c r="W2567" s="5">
        <f>IF(M2567="No","Attrited","Active")</f>
        <v/>
      </c>
    </row>
    <row r="2568">
      <c r="A2568" s="5" t="inlineStr">
        <is>
          <t>E02567</t>
        </is>
      </c>
      <c r="B2568" s="5" t="inlineStr">
        <is>
          <t>Female</t>
        </is>
      </c>
      <c r="C2568" s="6" t="inlineStr">
        <is>
          <t>30</t>
        </is>
      </c>
      <c r="D2568" s="5" t="inlineStr">
        <is>
          <t>Single</t>
        </is>
      </c>
      <c r="E2568" s="5" t="inlineStr">
        <is>
          <t>PhD</t>
        </is>
      </c>
      <c r="F2568" s="5" t="inlineStr">
        <is>
          <t>Sales</t>
        </is>
      </c>
      <c r="G2568" s="5" t="inlineStr">
        <is>
          <t>Account Executive</t>
        </is>
      </c>
      <c r="H2568" s="5" t="inlineStr">
        <is>
          <t>3</t>
        </is>
      </c>
      <c r="I2568" s="5" t="inlineStr">
        <is>
          <t>Mumbai</t>
        </is>
      </c>
      <c r="J2568" s="5" t="inlineStr">
        <is>
          <t>Full-Time</t>
        </is>
      </c>
      <c r="K2568" s="7" t="n">
        <v>45846</v>
      </c>
      <c r="L2568" s="7" t="inlineStr"/>
      <c r="M2568" s="5" t="inlineStr">
        <is>
          <t>Yes</t>
        </is>
      </c>
      <c r="N2568" s="5" t="inlineStr"/>
      <c r="O2568" s="8" t="inlineStr">
        <is>
          <t>78000</t>
        </is>
      </c>
      <c r="P2568" s="5" t="inlineStr">
        <is>
          <t>10</t>
        </is>
      </c>
      <c r="Q2568" s="5" t="inlineStr">
        <is>
          <t>2</t>
        </is>
      </c>
      <c r="R2568" s="5" t="inlineStr">
        <is>
          <t>5</t>
        </is>
      </c>
      <c r="S2568" s="5" t="inlineStr">
        <is>
          <t>5</t>
        </is>
      </c>
      <c r="T2568" s="5" t="inlineStr">
        <is>
          <t>11</t>
        </is>
      </c>
      <c r="U2568" s="5">
        <f>IFS(C2568&lt;30,"Under 30",C2568&lt;40,"30-39",C2568&lt;50,"40-49",TRUE,"50+")</f>
        <v/>
      </c>
      <c r="V2568" s="5">
        <f>IFS(O2568&lt;60000,"Low (&lt;60k)",O2568&lt;100000,"Mid (60-100k)",TRUE,"High (100k+)")</f>
        <v/>
      </c>
      <c r="W2568" s="5">
        <f>IF(M2568="No","Attrited","Active")</f>
        <v/>
      </c>
    </row>
    <row r="2569">
      <c r="A2569" s="5" t="inlineStr">
        <is>
          <t>E02568</t>
        </is>
      </c>
      <c r="B2569" s="5" t="inlineStr">
        <is>
          <t>Female</t>
        </is>
      </c>
      <c r="C2569" s="6" t="inlineStr">
        <is>
          <t>31</t>
        </is>
      </c>
      <c r="D2569" s="5" t="inlineStr">
        <is>
          <t>Married</t>
        </is>
      </c>
      <c r="E2569" s="5" t="inlineStr">
        <is>
          <t>PhD</t>
        </is>
      </c>
      <c r="F2569" s="5" t="inlineStr">
        <is>
          <t>Sales</t>
        </is>
      </c>
      <c r="G2569" s="5" t="inlineStr">
        <is>
          <t>Account Executive</t>
        </is>
      </c>
      <c r="H2569" s="5" t="inlineStr">
        <is>
          <t>2</t>
        </is>
      </c>
      <c r="I2569" s="5" t="inlineStr">
        <is>
          <t>Chennai</t>
        </is>
      </c>
      <c r="J2569" s="5" t="inlineStr">
        <is>
          <t>Full-Time</t>
        </is>
      </c>
      <c r="K2569" s="7" t="n">
        <v>45508</v>
      </c>
      <c r="L2569" s="7" t="inlineStr"/>
      <c r="M2569" s="5" t="inlineStr">
        <is>
          <t>Yes</t>
        </is>
      </c>
      <c r="N2569" s="5" t="inlineStr"/>
      <c r="O2569" s="8" t="inlineStr">
        <is>
          <t>82000</t>
        </is>
      </c>
      <c r="P2569" s="5" t="inlineStr">
        <is>
          <t>0</t>
        </is>
      </c>
      <c r="Q2569" s="5" t="inlineStr">
        <is>
          <t>5</t>
        </is>
      </c>
      <c r="R2569" s="5" t="inlineStr">
        <is>
          <t>7</t>
        </is>
      </c>
      <c r="S2569" s="5" t="inlineStr">
        <is>
          <t>17</t>
        </is>
      </c>
      <c r="T2569" s="5" t="inlineStr">
        <is>
          <t>9</t>
        </is>
      </c>
      <c r="U2569" s="5">
        <f>IFS(C2569&lt;30,"Under 30",C2569&lt;40,"30-39",C2569&lt;50,"40-49",TRUE,"50+")</f>
        <v/>
      </c>
      <c r="V2569" s="5">
        <f>IFS(O2569&lt;60000,"Low (&lt;60k)",O2569&lt;100000,"Mid (60-100k)",TRUE,"High (100k+)")</f>
        <v/>
      </c>
      <c r="W2569" s="5">
        <f>IF(M2569="No","Attrited","Active")</f>
        <v/>
      </c>
    </row>
    <row r="2570">
      <c r="A2570" s="5" t="inlineStr">
        <is>
          <t>E02569</t>
        </is>
      </c>
      <c r="B2570" s="5" t="inlineStr">
        <is>
          <t>Female</t>
        </is>
      </c>
      <c r="C2570" s="6" t="inlineStr">
        <is>
          <t>39</t>
        </is>
      </c>
      <c r="D2570" s="5" t="inlineStr">
        <is>
          <t>Married</t>
        </is>
      </c>
      <c r="E2570" s="5" t="inlineStr">
        <is>
          <t>Master</t>
        </is>
      </c>
      <c r="F2570" s="5" t="inlineStr">
        <is>
          <t>Customer Support</t>
        </is>
      </c>
      <c r="G2570" s="5" t="inlineStr">
        <is>
          <t>Support Lead</t>
        </is>
      </c>
      <c r="H2570" s="5" t="inlineStr">
        <is>
          <t>5</t>
        </is>
      </c>
      <c r="I2570" s="5" t="inlineStr">
        <is>
          <t>Hyderabad</t>
        </is>
      </c>
      <c r="J2570" s="5" t="inlineStr">
        <is>
          <t>Full-Time</t>
        </is>
      </c>
      <c r="K2570" s="7" t="n">
        <v>45139</v>
      </c>
      <c r="L2570" s="7" t="inlineStr"/>
      <c r="M2570" s="5" t="inlineStr">
        <is>
          <t>Yes</t>
        </is>
      </c>
      <c r="N2570" s="5" t="inlineStr"/>
      <c r="O2570" s="8" t="inlineStr">
        <is>
          <t>102000</t>
        </is>
      </c>
      <c r="P2570" s="5" t="inlineStr">
        <is>
          <t>10</t>
        </is>
      </c>
      <c r="Q2570" s="5" t="inlineStr">
        <is>
          <t>5</t>
        </is>
      </c>
      <c r="R2570" s="5" t="inlineStr">
        <is>
          <t>6</t>
        </is>
      </c>
      <c r="S2570" s="5" t="inlineStr">
        <is>
          <t>29</t>
        </is>
      </c>
      <c r="T2570" s="5" t="inlineStr">
        <is>
          <t>6</t>
        </is>
      </c>
      <c r="U2570" s="5">
        <f>IFS(C2570&lt;30,"Under 30",C2570&lt;40,"30-39",C2570&lt;50,"40-49",TRUE,"50+")</f>
        <v/>
      </c>
      <c r="V2570" s="5">
        <f>IFS(O2570&lt;60000,"Low (&lt;60k)",O2570&lt;100000,"Mid (60-100k)",TRUE,"High (100k+)")</f>
        <v/>
      </c>
      <c r="W2570" s="5">
        <f>IF(M2570="No","Attrited","Active")</f>
        <v/>
      </c>
    </row>
    <row r="2571">
      <c r="A2571" s="5" t="inlineStr">
        <is>
          <t>E02570</t>
        </is>
      </c>
      <c r="B2571" s="5" t="inlineStr">
        <is>
          <t>Male</t>
        </is>
      </c>
      <c r="C2571" s="6" t="inlineStr">
        <is>
          <t>30</t>
        </is>
      </c>
      <c r="D2571" s="5" t="inlineStr">
        <is>
          <t>Married</t>
        </is>
      </c>
      <c r="E2571" s="5" t="inlineStr">
        <is>
          <t>Diploma</t>
        </is>
      </c>
      <c r="F2571" s="5" t="inlineStr">
        <is>
          <t>IT</t>
        </is>
      </c>
      <c r="G2571" s="5" t="inlineStr">
        <is>
          <t>DevOps Engineer</t>
        </is>
      </c>
      <c r="H2571" s="5" t="inlineStr">
        <is>
          <t>1</t>
        </is>
      </c>
      <c r="I2571" s="5" t="inlineStr">
        <is>
          <t>Mumbai</t>
        </is>
      </c>
      <c r="J2571" s="5" t="inlineStr">
        <is>
          <t>Full-Time</t>
        </is>
      </c>
      <c r="K2571" s="7" t="n">
        <v>44492</v>
      </c>
      <c r="L2571" s="7" t="inlineStr"/>
      <c r="M2571" s="5" t="inlineStr">
        <is>
          <t>Yes</t>
        </is>
      </c>
      <c r="N2571" s="5" t="inlineStr"/>
      <c r="O2571" s="8" t="inlineStr">
        <is>
          <t>121000</t>
        </is>
      </c>
      <c r="P2571" s="5" t="inlineStr">
        <is>
          <t>10</t>
        </is>
      </c>
      <c r="Q2571" s="5" t="inlineStr">
        <is>
          <t>4</t>
        </is>
      </c>
      <c r="R2571" s="5" t="inlineStr">
        <is>
          <t>5</t>
        </is>
      </c>
      <c r="S2571" s="5" t="inlineStr">
        <is>
          <t>51</t>
        </is>
      </c>
      <c r="T2571" s="5" t="inlineStr">
        <is>
          <t>9</t>
        </is>
      </c>
      <c r="U2571" s="5">
        <f>IFS(C2571&lt;30,"Under 30",C2571&lt;40,"30-39",C2571&lt;50,"40-49",TRUE,"50+")</f>
        <v/>
      </c>
      <c r="V2571" s="5">
        <f>IFS(O2571&lt;60000,"Low (&lt;60k)",O2571&lt;100000,"Mid (60-100k)",TRUE,"High (100k+)")</f>
        <v/>
      </c>
      <c r="W2571" s="5">
        <f>IF(M2571="No","Attrited","Active")</f>
        <v/>
      </c>
    </row>
    <row r="2572">
      <c r="A2572" s="5" t="inlineStr">
        <is>
          <t>E02571</t>
        </is>
      </c>
      <c r="B2572" s="5" t="inlineStr">
        <is>
          <t>Male</t>
        </is>
      </c>
      <c r="C2572" s="6" t="inlineStr">
        <is>
          <t>33</t>
        </is>
      </c>
      <c r="D2572" s="5" t="inlineStr">
        <is>
          <t>Married</t>
        </is>
      </c>
      <c r="E2572" s="5" t="inlineStr">
        <is>
          <t>Master</t>
        </is>
      </c>
      <c r="F2572" s="5" t="inlineStr">
        <is>
          <t>Sales</t>
        </is>
      </c>
      <c r="G2572" s="5" t="inlineStr">
        <is>
          <t>Sales Executive</t>
        </is>
      </c>
      <c r="H2572" s="5" t="inlineStr">
        <is>
          <t>1</t>
        </is>
      </c>
      <c r="I2572" s="5" t="inlineStr">
        <is>
          <t>Hyderabad</t>
        </is>
      </c>
      <c r="J2572" s="5" t="inlineStr">
        <is>
          <t>Full-Time</t>
        </is>
      </c>
      <c r="K2572" s="7" t="n">
        <v>44855</v>
      </c>
      <c r="L2572" s="7" t="inlineStr"/>
      <c r="M2572" s="5" t="inlineStr">
        <is>
          <t>Yes</t>
        </is>
      </c>
      <c r="N2572" s="5" t="inlineStr"/>
      <c r="O2572" s="8" t="inlineStr">
        <is>
          <t>72000</t>
        </is>
      </c>
      <c r="P2572" s="5" t="inlineStr">
        <is>
          <t>5</t>
        </is>
      </c>
      <c r="Q2572" s="5" t="inlineStr">
        <is>
          <t>4</t>
        </is>
      </c>
      <c r="R2572" s="5" t="inlineStr">
        <is>
          <t>7</t>
        </is>
      </c>
      <c r="S2572" s="5" t="inlineStr">
        <is>
          <t>38</t>
        </is>
      </c>
      <c r="T2572" s="5" t="inlineStr">
        <is>
          <t>12</t>
        </is>
      </c>
      <c r="U2572" s="5">
        <f>IFS(C2572&lt;30,"Under 30",C2572&lt;40,"30-39",C2572&lt;50,"40-49",TRUE,"50+")</f>
        <v/>
      </c>
      <c r="V2572" s="5">
        <f>IFS(O2572&lt;60000,"Low (&lt;60k)",O2572&lt;100000,"Mid (60-100k)",TRUE,"High (100k+)")</f>
        <v/>
      </c>
      <c r="W2572" s="5">
        <f>IF(M2572="No","Attrited","Active")</f>
        <v/>
      </c>
    </row>
    <row r="2573">
      <c r="A2573" s="5" t="inlineStr">
        <is>
          <t>E02572</t>
        </is>
      </c>
      <c r="B2573" s="5" t="inlineStr">
        <is>
          <t>Female</t>
        </is>
      </c>
      <c r="C2573" s="6" t="inlineStr">
        <is>
          <t>30</t>
        </is>
      </c>
      <c r="D2573" s="5" t="inlineStr">
        <is>
          <t>Married</t>
        </is>
      </c>
      <c r="E2573" s="5" t="inlineStr">
        <is>
          <t>Master</t>
        </is>
      </c>
      <c r="F2573" s="5" t="inlineStr">
        <is>
          <t>Operations</t>
        </is>
      </c>
      <c r="G2573" s="5" t="inlineStr">
        <is>
          <t>Operations Analyst</t>
        </is>
      </c>
      <c r="H2573" s="5" t="inlineStr">
        <is>
          <t>1</t>
        </is>
      </c>
      <c r="I2573" s="5" t="inlineStr">
        <is>
          <t>Chennai</t>
        </is>
      </c>
      <c r="J2573" s="5" t="inlineStr">
        <is>
          <t>Full-Time</t>
        </is>
      </c>
      <c r="K2573" s="7" t="n">
        <v>44972</v>
      </c>
      <c r="L2573" s="7" t="n">
        <v>45030</v>
      </c>
      <c r="M2573" s="5" t="inlineStr">
        <is>
          <t>No</t>
        </is>
      </c>
      <c r="N2573" s="5" t="inlineStr">
        <is>
          <t>Retirement</t>
        </is>
      </c>
      <c r="O2573" s="8" t="inlineStr">
        <is>
          <t>87500</t>
        </is>
      </c>
      <c r="P2573" s="5" t="inlineStr">
        <is>
          <t>0</t>
        </is>
      </c>
      <c r="Q2573" s="5" t="inlineStr">
        <is>
          <t>3</t>
        </is>
      </c>
      <c r="R2573" s="5" t="inlineStr">
        <is>
          <t>6</t>
        </is>
      </c>
      <c r="S2573" s="5" t="inlineStr">
        <is>
          <t>1</t>
        </is>
      </c>
      <c r="T2573" s="5" t="inlineStr">
        <is>
          <t>2</t>
        </is>
      </c>
      <c r="U2573" s="5">
        <f>IFS(C2573&lt;30,"Under 30",C2573&lt;40,"30-39",C2573&lt;50,"40-49",TRUE,"50+")</f>
        <v/>
      </c>
      <c r="V2573" s="5">
        <f>IFS(O2573&lt;60000,"Low (&lt;60k)",O2573&lt;100000,"Mid (60-100k)",TRUE,"High (100k+)")</f>
        <v/>
      </c>
      <c r="W2573" s="5">
        <f>IF(M2573="No","Attrited","Active")</f>
        <v/>
      </c>
    </row>
    <row r="2574">
      <c r="A2574" s="5" t="inlineStr">
        <is>
          <t>E02573</t>
        </is>
      </c>
      <c r="B2574" s="5" t="inlineStr">
        <is>
          <t>Male</t>
        </is>
      </c>
      <c r="C2574" s="6" t="inlineStr">
        <is>
          <t>25</t>
        </is>
      </c>
      <c r="D2574" s="5" t="inlineStr">
        <is>
          <t>Single</t>
        </is>
      </c>
      <c r="E2574" s="5" t="inlineStr">
        <is>
          <t>PhD</t>
        </is>
      </c>
      <c r="F2574" s="5" t="inlineStr">
        <is>
          <t>Sales</t>
        </is>
      </c>
      <c r="G2574" s="5" t="inlineStr">
        <is>
          <t>Account Executive</t>
        </is>
      </c>
      <c r="H2574" s="5" t="inlineStr">
        <is>
          <t>1</t>
        </is>
      </c>
      <c r="I2574" s="5" t="inlineStr">
        <is>
          <t>Bengaluru</t>
        </is>
      </c>
      <c r="J2574" s="5" t="inlineStr">
        <is>
          <t>Full-Time</t>
        </is>
      </c>
      <c r="K2574" s="7" t="n">
        <v>44459</v>
      </c>
      <c r="L2574" s="7" t="inlineStr"/>
      <c r="M2574" s="5" t="inlineStr">
        <is>
          <t>Yes</t>
        </is>
      </c>
      <c r="N2574" s="5" t="inlineStr"/>
      <c r="O2574" s="8" t="inlineStr">
        <is>
          <t>93000</t>
        </is>
      </c>
      <c r="P2574" s="5" t="inlineStr">
        <is>
          <t>0</t>
        </is>
      </c>
      <c r="Q2574" s="5" t="inlineStr">
        <is>
          <t>4</t>
        </is>
      </c>
      <c r="R2574" s="5" t="inlineStr">
        <is>
          <t>6</t>
        </is>
      </c>
      <c r="S2574" s="5" t="inlineStr">
        <is>
          <t>52</t>
        </is>
      </c>
      <c r="T2574" s="5" t="inlineStr">
        <is>
          <t>2</t>
        </is>
      </c>
      <c r="U2574" s="5">
        <f>IFS(C2574&lt;30,"Under 30",C2574&lt;40,"30-39",C2574&lt;50,"40-49",TRUE,"50+")</f>
        <v/>
      </c>
      <c r="V2574" s="5">
        <f>IFS(O2574&lt;60000,"Low (&lt;60k)",O2574&lt;100000,"Mid (60-100k)",TRUE,"High (100k+)")</f>
        <v/>
      </c>
      <c r="W2574" s="5">
        <f>IF(M2574="No","Attrited","Active")</f>
        <v/>
      </c>
    </row>
    <row r="2575">
      <c r="A2575" s="5" t="inlineStr">
        <is>
          <t>E02574</t>
        </is>
      </c>
      <c r="B2575" s="5" t="inlineStr">
        <is>
          <t>Female</t>
        </is>
      </c>
      <c r="C2575" s="6" t="inlineStr">
        <is>
          <t>35</t>
        </is>
      </c>
      <c r="D2575" s="5" t="inlineStr">
        <is>
          <t>Married</t>
        </is>
      </c>
      <c r="E2575" s="5" t="inlineStr">
        <is>
          <t>PhD</t>
        </is>
      </c>
      <c r="F2575" s="5" t="inlineStr">
        <is>
          <t>Marketing</t>
        </is>
      </c>
      <c r="G2575" s="5" t="inlineStr">
        <is>
          <t>Marketing Analyst</t>
        </is>
      </c>
      <c r="H2575" s="5" t="inlineStr">
        <is>
          <t>5</t>
        </is>
      </c>
      <c r="I2575" s="5" t="inlineStr">
        <is>
          <t>Hyderabad</t>
        </is>
      </c>
      <c r="J2575" s="5" t="inlineStr">
        <is>
          <t>Full-Time</t>
        </is>
      </c>
      <c r="K2575" s="7" t="n">
        <v>44756</v>
      </c>
      <c r="L2575" s="7" t="inlineStr"/>
      <c r="M2575" s="5" t="inlineStr">
        <is>
          <t>Yes</t>
        </is>
      </c>
      <c r="N2575" s="5" t="inlineStr"/>
      <c r="O2575" s="8" t="inlineStr">
        <is>
          <t>138000</t>
        </is>
      </c>
      <c r="P2575" s="5" t="inlineStr">
        <is>
          <t>5</t>
        </is>
      </c>
      <c r="Q2575" s="5" t="inlineStr">
        <is>
          <t>4</t>
        </is>
      </c>
      <c r="R2575" s="5" t="inlineStr">
        <is>
          <t>7</t>
        </is>
      </c>
      <c r="S2575" s="5" t="inlineStr">
        <is>
          <t>42</t>
        </is>
      </c>
      <c r="T2575" s="5" t="inlineStr">
        <is>
          <t>4</t>
        </is>
      </c>
      <c r="U2575" s="5">
        <f>IFS(C2575&lt;30,"Under 30",C2575&lt;40,"30-39",C2575&lt;50,"40-49",TRUE,"50+")</f>
        <v/>
      </c>
      <c r="V2575" s="5">
        <f>IFS(O2575&lt;60000,"Low (&lt;60k)",O2575&lt;100000,"Mid (60-100k)",TRUE,"High (100k+)")</f>
        <v/>
      </c>
      <c r="W2575" s="5">
        <f>IF(M2575="No","Attrited","Active")</f>
        <v/>
      </c>
    </row>
    <row r="2576">
      <c r="A2576" s="5" t="inlineStr">
        <is>
          <t>E02575</t>
        </is>
      </c>
      <c r="B2576" s="5" t="inlineStr">
        <is>
          <t>Male</t>
        </is>
      </c>
      <c r="C2576" s="6" t="inlineStr">
        <is>
          <t>34</t>
        </is>
      </c>
      <c r="D2576" s="5" t="inlineStr">
        <is>
          <t>Single</t>
        </is>
      </c>
      <c r="E2576" s="5" t="inlineStr">
        <is>
          <t>PhD</t>
        </is>
      </c>
      <c r="F2576" s="5" t="inlineStr">
        <is>
          <t>Research &amp; Development</t>
        </is>
      </c>
      <c r="G2576" s="5" t="inlineStr">
        <is>
          <t>Product Engineer</t>
        </is>
      </c>
      <c r="H2576" s="5" t="inlineStr">
        <is>
          <t>5</t>
        </is>
      </c>
      <c r="I2576" s="5" t="inlineStr">
        <is>
          <t>Chennai</t>
        </is>
      </c>
      <c r="J2576" s="5" t="inlineStr">
        <is>
          <t>Full-Time</t>
        </is>
      </c>
      <c r="K2576" s="7" t="n">
        <v>44323</v>
      </c>
      <c r="L2576" s="7" t="inlineStr"/>
      <c r="M2576" s="5" t="inlineStr">
        <is>
          <t>Yes</t>
        </is>
      </c>
      <c r="N2576" s="5" t="inlineStr"/>
      <c r="O2576" s="8" t="inlineStr">
        <is>
          <t>151500</t>
        </is>
      </c>
      <c r="P2576" s="5" t="inlineStr">
        <is>
          <t>0</t>
        </is>
      </c>
      <c r="Q2576" s="5" t="inlineStr">
        <is>
          <t>5</t>
        </is>
      </c>
      <c r="R2576" s="5" t="inlineStr">
        <is>
          <t>8</t>
        </is>
      </c>
      <c r="S2576" s="5" t="inlineStr">
        <is>
          <t>56</t>
        </is>
      </c>
      <c r="T2576" s="5" t="inlineStr">
        <is>
          <t>12</t>
        </is>
      </c>
      <c r="U2576" s="5">
        <f>IFS(C2576&lt;30,"Under 30",C2576&lt;40,"30-39",C2576&lt;50,"40-49",TRUE,"50+")</f>
        <v/>
      </c>
      <c r="V2576" s="5">
        <f>IFS(O2576&lt;60000,"Low (&lt;60k)",O2576&lt;100000,"Mid (60-100k)",TRUE,"High (100k+)")</f>
        <v/>
      </c>
      <c r="W2576" s="5">
        <f>IF(M2576="No","Attrited","Active")</f>
        <v/>
      </c>
    </row>
    <row r="2577">
      <c r="A2577" s="5" t="inlineStr">
        <is>
          <t>E02576</t>
        </is>
      </c>
      <c r="B2577" s="5" t="inlineStr">
        <is>
          <t>Male</t>
        </is>
      </c>
      <c r="C2577" s="6" t="inlineStr">
        <is>
          <t>45</t>
        </is>
      </c>
      <c r="D2577" s="5" t="inlineStr">
        <is>
          <t>Married</t>
        </is>
      </c>
      <c r="E2577" s="5" t="inlineStr">
        <is>
          <t>PhD</t>
        </is>
      </c>
      <c r="F2577" s="5" t="inlineStr">
        <is>
          <t>Customer Support</t>
        </is>
      </c>
      <c r="G2577" s="5" t="inlineStr">
        <is>
          <t>Support Lead</t>
        </is>
      </c>
      <c r="H2577" s="5" t="inlineStr">
        <is>
          <t>7</t>
        </is>
      </c>
      <c r="I2577" s="5" t="inlineStr">
        <is>
          <t>Mumbai</t>
        </is>
      </c>
      <c r="J2577" s="5" t="inlineStr">
        <is>
          <t>Full-Time</t>
        </is>
      </c>
      <c r="K2577" s="7" t="n">
        <v>44969</v>
      </c>
      <c r="L2577" s="7" t="n">
        <v>45107</v>
      </c>
      <c r="M2577" s="5" t="inlineStr">
        <is>
          <t>No</t>
        </is>
      </c>
      <c r="N2577" s="5" t="inlineStr">
        <is>
          <t>Resigned</t>
        </is>
      </c>
      <c r="O2577" s="8" t="inlineStr">
        <is>
          <t>108500</t>
        </is>
      </c>
      <c r="P2577" s="5" t="inlineStr">
        <is>
          <t>0</t>
        </is>
      </c>
      <c r="Q2577" s="5" t="inlineStr">
        <is>
          <t>5</t>
        </is>
      </c>
      <c r="R2577" s="5" t="inlineStr">
        <is>
          <t>6</t>
        </is>
      </c>
      <c r="S2577" s="5" t="inlineStr">
        <is>
          <t>4</t>
        </is>
      </c>
      <c r="T2577" s="5" t="inlineStr">
        <is>
          <t>0</t>
        </is>
      </c>
      <c r="U2577" s="5">
        <f>IFS(C2577&lt;30,"Under 30",C2577&lt;40,"30-39",C2577&lt;50,"40-49",TRUE,"50+")</f>
        <v/>
      </c>
      <c r="V2577" s="5">
        <f>IFS(O2577&lt;60000,"Low (&lt;60k)",O2577&lt;100000,"Mid (60-100k)",TRUE,"High (100k+)")</f>
        <v/>
      </c>
      <c r="W2577" s="5">
        <f>IF(M2577="No","Attrited","Active")</f>
        <v/>
      </c>
    </row>
    <row r="2578">
      <c r="A2578" s="5" t="inlineStr">
        <is>
          <t>E02577</t>
        </is>
      </c>
      <c r="B2578" s="5" t="inlineStr">
        <is>
          <t>Female</t>
        </is>
      </c>
      <c r="C2578" s="6" t="inlineStr">
        <is>
          <t>36</t>
        </is>
      </c>
      <c r="D2578" s="5" t="inlineStr">
        <is>
          <t>Married</t>
        </is>
      </c>
      <c r="E2578" s="5" t="inlineStr">
        <is>
          <t>Master</t>
        </is>
      </c>
      <c r="F2578" s="5" t="inlineStr">
        <is>
          <t>Research &amp; Development</t>
        </is>
      </c>
      <c r="G2578" s="5" t="inlineStr">
        <is>
          <t>Research Scientist</t>
        </is>
      </c>
      <c r="H2578" s="5" t="inlineStr">
        <is>
          <t>2</t>
        </is>
      </c>
      <c r="I2578" s="5" t="inlineStr">
        <is>
          <t>Remote</t>
        </is>
      </c>
      <c r="J2578" s="5" t="inlineStr">
        <is>
          <t>Full-Time</t>
        </is>
      </c>
      <c r="K2578" s="7" t="n">
        <v>44687</v>
      </c>
      <c r="L2578" s="7" t="inlineStr"/>
      <c r="M2578" s="5" t="inlineStr">
        <is>
          <t>Yes</t>
        </is>
      </c>
      <c r="N2578" s="5" t="inlineStr"/>
      <c r="O2578" s="8" t="inlineStr">
        <is>
          <t>118000</t>
        </is>
      </c>
      <c r="P2578" s="5" t="inlineStr">
        <is>
          <t>5</t>
        </is>
      </c>
      <c r="Q2578" s="5" t="inlineStr">
        <is>
          <t>3</t>
        </is>
      </c>
      <c r="R2578" s="5" t="inlineStr">
        <is>
          <t>7</t>
        </is>
      </c>
      <c r="S2578" s="5" t="inlineStr">
        <is>
          <t>44</t>
        </is>
      </c>
      <c r="T2578" s="5" t="inlineStr">
        <is>
          <t>7</t>
        </is>
      </c>
      <c r="U2578" s="5">
        <f>IFS(C2578&lt;30,"Under 30",C2578&lt;40,"30-39",C2578&lt;50,"40-49",TRUE,"50+")</f>
        <v/>
      </c>
      <c r="V2578" s="5">
        <f>IFS(O2578&lt;60000,"Low (&lt;60k)",O2578&lt;100000,"Mid (60-100k)",TRUE,"High (100k+)")</f>
        <v/>
      </c>
      <c r="W2578" s="5">
        <f>IF(M2578="No","Attrited","Active")</f>
        <v/>
      </c>
    </row>
    <row r="2579">
      <c r="A2579" s="5" t="inlineStr">
        <is>
          <t>E02578</t>
        </is>
      </c>
      <c r="B2579" s="5" t="inlineStr">
        <is>
          <t>Female</t>
        </is>
      </c>
      <c r="C2579" s="6" t="inlineStr">
        <is>
          <t>41</t>
        </is>
      </c>
      <c r="D2579" s="5" t="inlineStr">
        <is>
          <t>Single</t>
        </is>
      </c>
      <c r="E2579" s="5" t="inlineStr">
        <is>
          <t>Bachelor</t>
        </is>
      </c>
      <c r="F2579" s="5" t="inlineStr">
        <is>
          <t>Finance</t>
        </is>
      </c>
      <c r="G2579" s="5" t="inlineStr">
        <is>
          <t>Credit Analyst</t>
        </is>
      </c>
      <c r="H2579" s="5" t="inlineStr">
        <is>
          <t>5</t>
        </is>
      </c>
      <c r="I2579" s="5" t="inlineStr">
        <is>
          <t>Chennai</t>
        </is>
      </c>
      <c r="J2579" s="5" t="inlineStr">
        <is>
          <t>Full-Time</t>
        </is>
      </c>
      <c r="K2579" s="7" t="n">
        <v>44193</v>
      </c>
      <c r="L2579" s="7" t="inlineStr"/>
      <c r="M2579" s="5" t="inlineStr">
        <is>
          <t>Yes</t>
        </is>
      </c>
      <c r="N2579" s="5" t="inlineStr"/>
      <c r="O2579" s="8" t="inlineStr">
        <is>
          <t>130500</t>
        </is>
      </c>
      <c r="P2579" s="5" t="inlineStr">
        <is>
          <t>0</t>
        </is>
      </c>
      <c r="Q2579" s="5" t="inlineStr">
        <is>
          <t>3</t>
        </is>
      </c>
      <c r="R2579" s="5" t="inlineStr">
        <is>
          <t>5</t>
        </is>
      </c>
      <c r="S2579" s="5" t="inlineStr">
        <is>
          <t>60</t>
        </is>
      </c>
      <c r="T2579" s="5" t="inlineStr">
        <is>
          <t>8</t>
        </is>
      </c>
      <c r="U2579" s="5">
        <f>IFS(C2579&lt;30,"Under 30",C2579&lt;40,"30-39",C2579&lt;50,"40-49",TRUE,"50+")</f>
        <v/>
      </c>
      <c r="V2579" s="5">
        <f>IFS(O2579&lt;60000,"Low (&lt;60k)",O2579&lt;100000,"Mid (60-100k)",TRUE,"High (100k+)")</f>
        <v/>
      </c>
      <c r="W2579" s="5">
        <f>IF(M2579="No","Attrited","Active")</f>
        <v/>
      </c>
    </row>
    <row r="2580">
      <c r="A2580" s="5" t="inlineStr">
        <is>
          <t>E02579</t>
        </is>
      </c>
      <c r="B2580" s="5" t="inlineStr">
        <is>
          <t>Male</t>
        </is>
      </c>
      <c r="C2580" s="6" t="inlineStr">
        <is>
          <t>46</t>
        </is>
      </c>
      <c r="D2580" s="5" t="inlineStr">
        <is>
          <t>Married</t>
        </is>
      </c>
      <c r="E2580" s="5" t="inlineStr">
        <is>
          <t>High School</t>
        </is>
      </c>
      <c r="F2580" s="5" t="inlineStr">
        <is>
          <t>IT</t>
        </is>
      </c>
      <c r="G2580" s="5" t="inlineStr">
        <is>
          <t>IT Support</t>
        </is>
      </c>
      <c r="H2580" s="5" t="inlineStr">
        <is>
          <t>7</t>
        </is>
      </c>
      <c r="I2580" s="5" t="inlineStr">
        <is>
          <t>Hyderabad</t>
        </is>
      </c>
      <c r="J2580" s="5" t="inlineStr">
        <is>
          <t>Full-Time</t>
        </is>
      </c>
      <c r="K2580" s="7" t="n">
        <v>45115</v>
      </c>
      <c r="L2580" s="7" t="inlineStr"/>
      <c r="M2580" s="5" t="inlineStr">
        <is>
          <t>Yes</t>
        </is>
      </c>
      <c r="N2580" s="5" t="inlineStr"/>
      <c r="O2580" s="8" t="inlineStr">
        <is>
          <t>229000</t>
        </is>
      </c>
      <c r="P2580" s="5" t="inlineStr">
        <is>
          <t>10</t>
        </is>
      </c>
      <c r="Q2580" s="5" t="inlineStr">
        <is>
          <t>3</t>
        </is>
      </c>
      <c r="R2580" s="5" t="inlineStr">
        <is>
          <t>3</t>
        </is>
      </c>
      <c r="S2580" s="5" t="inlineStr">
        <is>
          <t>30</t>
        </is>
      </c>
      <c r="T2580" s="5" t="inlineStr">
        <is>
          <t>13</t>
        </is>
      </c>
      <c r="U2580" s="5">
        <f>IFS(C2580&lt;30,"Under 30",C2580&lt;40,"30-39",C2580&lt;50,"40-49",TRUE,"50+")</f>
        <v/>
      </c>
      <c r="V2580" s="5">
        <f>IFS(O2580&lt;60000,"Low (&lt;60k)",O2580&lt;100000,"Mid (60-100k)",TRUE,"High (100k+)")</f>
        <v/>
      </c>
      <c r="W2580" s="5">
        <f>IF(M2580="No","Attrited","Active")</f>
        <v/>
      </c>
    </row>
    <row r="2581">
      <c r="A2581" s="5" t="inlineStr">
        <is>
          <t>E02580</t>
        </is>
      </c>
      <c r="B2581" s="5" t="inlineStr">
        <is>
          <t>Male</t>
        </is>
      </c>
      <c r="C2581" s="6" t="inlineStr">
        <is>
          <t>27</t>
        </is>
      </c>
      <c r="D2581" s="5" t="inlineStr">
        <is>
          <t>Single</t>
        </is>
      </c>
      <c r="E2581" s="5" t="inlineStr">
        <is>
          <t>Diploma</t>
        </is>
      </c>
      <c r="F2581" s="5" t="inlineStr">
        <is>
          <t>Customer Support</t>
        </is>
      </c>
      <c r="G2581" s="5" t="inlineStr">
        <is>
          <t>Support Lead</t>
        </is>
      </c>
      <c r="H2581" s="5" t="inlineStr">
        <is>
          <t>3</t>
        </is>
      </c>
      <c r="I2581" s="5" t="inlineStr">
        <is>
          <t>Delhi</t>
        </is>
      </c>
      <c r="J2581" s="5" t="inlineStr">
        <is>
          <t>Full-Time</t>
        </is>
      </c>
      <c r="K2581" s="7" t="n">
        <v>44671</v>
      </c>
      <c r="L2581" s="7" t="inlineStr"/>
      <c r="M2581" s="5" t="inlineStr">
        <is>
          <t>Yes</t>
        </is>
      </c>
      <c r="N2581" s="5" t="inlineStr"/>
      <c r="O2581" s="8" t="inlineStr">
        <is>
          <t>63500</t>
        </is>
      </c>
      <c r="P2581" s="5" t="inlineStr">
        <is>
          <t>5</t>
        </is>
      </c>
      <c r="Q2581" s="5" t="inlineStr">
        <is>
          <t>3</t>
        </is>
      </c>
      <c r="R2581" s="5" t="inlineStr">
        <is>
          <t>4</t>
        </is>
      </c>
      <c r="S2581" s="5" t="inlineStr">
        <is>
          <t>45</t>
        </is>
      </c>
      <c r="T2581" s="5" t="inlineStr">
        <is>
          <t>9</t>
        </is>
      </c>
      <c r="U2581" s="5">
        <f>IFS(C2581&lt;30,"Under 30",C2581&lt;40,"30-39",C2581&lt;50,"40-49",TRUE,"50+")</f>
        <v/>
      </c>
      <c r="V2581" s="5">
        <f>IFS(O2581&lt;60000,"Low (&lt;60k)",O2581&lt;100000,"Mid (60-100k)",TRUE,"High (100k+)")</f>
        <v/>
      </c>
      <c r="W2581" s="5">
        <f>IF(M2581="No","Attrited","Active")</f>
        <v/>
      </c>
    </row>
    <row r="2582">
      <c r="A2582" s="5" t="inlineStr">
        <is>
          <t>E02581</t>
        </is>
      </c>
      <c r="B2582" s="5" t="inlineStr">
        <is>
          <t>Male</t>
        </is>
      </c>
      <c r="C2582" s="6" t="inlineStr">
        <is>
          <t>36</t>
        </is>
      </c>
      <c r="D2582" s="5" t="inlineStr">
        <is>
          <t>Married</t>
        </is>
      </c>
      <c r="E2582" s="5" t="inlineStr">
        <is>
          <t>Bachelor</t>
        </is>
      </c>
      <c r="F2582" s="5" t="inlineStr">
        <is>
          <t>Sales</t>
        </is>
      </c>
      <c r="G2582" s="5" t="inlineStr">
        <is>
          <t>Account Executive</t>
        </is>
      </c>
      <c r="H2582" s="5" t="inlineStr">
        <is>
          <t>2</t>
        </is>
      </c>
      <c r="I2582" s="5" t="inlineStr">
        <is>
          <t>Hyderabad</t>
        </is>
      </c>
      <c r="J2582" s="5" t="inlineStr">
        <is>
          <t>Full-Time</t>
        </is>
      </c>
      <c r="K2582" s="7" t="n">
        <v>45987</v>
      </c>
      <c r="L2582" s="7" t="n">
        <v>46002</v>
      </c>
      <c r="M2582" s="5" t="inlineStr">
        <is>
          <t>No</t>
        </is>
      </c>
      <c r="N2582" s="5" t="inlineStr">
        <is>
          <t>Resigned</t>
        </is>
      </c>
      <c r="O2582" s="8" t="inlineStr">
        <is>
          <t>70500</t>
        </is>
      </c>
      <c r="P2582" s="5" t="inlineStr">
        <is>
          <t>10</t>
        </is>
      </c>
      <c r="Q2582" s="5" t="inlineStr">
        <is>
          <t>4</t>
        </is>
      </c>
      <c r="R2582" s="5" t="inlineStr">
        <is>
          <t>4</t>
        </is>
      </c>
      <c r="S2582" s="5" t="inlineStr">
        <is>
          <t>1</t>
        </is>
      </c>
      <c r="T2582" s="5" t="inlineStr">
        <is>
          <t>6</t>
        </is>
      </c>
      <c r="U2582" s="5">
        <f>IFS(C2582&lt;30,"Under 30",C2582&lt;40,"30-39",C2582&lt;50,"40-49",TRUE,"50+")</f>
        <v/>
      </c>
      <c r="V2582" s="5">
        <f>IFS(O2582&lt;60000,"Low (&lt;60k)",O2582&lt;100000,"Mid (60-100k)",TRUE,"High (100k+)")</f>
        <v/>
      </c>
      <c r="W2582" s="5">
        <f>IF(M2582="No","Attrited","Active")</f>
        <v/>
      </c>
    </row>
    <row r="2583">
      <c r="A2583" s="5" t="inlineStr">
        <is>
          <t>E02582</t>
        </is>
      </c>
      <c r="B2583" s="5" t="inlineStr">
        <is>
          <t>Male</t>
        </is>
      </c>
      <c r="C2583" s="6" t="inlineStr">
        <is>
          <t>29</t>
        </is>
      </c>
      <c r="D2583" s="5" t="inlineStr">
        <is>
          <t>Married</t>
        </is>
      </c>
      <c r="E2583" s="5" t="inlineStr">
        <is>
          <t>PhD</t>
        </is>
      </c>
      <c r="F2583" s="5" t="inlineStr">
        <is>
          <t>Sales</t>
        </is>
      </c>
      <c r="G2583" s="5" t="inlineStr">
        <is>
          <t>Account Executive</t>
        </is>
      </c>
      <c r="H2583" s="5" t="inlineStr">
        <is>
          <t>1</t>
        </is>
      </c>
      <c r="I2583" s="5" t="inlineStr">
        <is>
          <t>Bengaluru</t>
        </is>
      </c>
      <c r="J2583" s="5" t="inlineStr">
        <is>
          <t>Full-Time</t>
        </is>
      </c>
      <c r="K2583" s="7" t="n">
        <v>45318</v>
      </c>
      <c r="L2583" s="7" t="inlineStr"/>
      <c r="M2583" s="5" t="inlineStr">
        <is>
          <t>Yes</t>
        </is>
      </c>
      <c r="N2583" s="5" t="inlineStr"/>
      <c r="O2583" s="8" t="inlineStr">
        <is>
          <t>103500</t>
        </is>
      </c>
      <c r="P2583" s="5" t="inlineStr">
        <is>
          <t>10</t>
        </is>
      </c>
      <c r="Q2583" s="5" t="inlineStr">
        <is>
          <t>4</t>
        </is>
      </c>
      <c r="R2583" s="5" t="inlineStr">
        <is>
          <t>6</t>
        </is>
      </c>
      <c r="S2583" s="5" t="inlineStr">
        <is>
          <t>23</t>
        </is>
      </c>
      <c r="T2583" s="5" t="inlineStr">
        <is>
          <t>3</t>
        </is>
      </c>
      <c r="U2583" s="5">
        <f>IFS(C2583&lt;30,"Under 30",C2583&lt;40,"30-39",C2583&lt;50,"40-49",TRUE,"50+")</f>
        <v/>
      </c>
      <c r="V2583" s="5">
        <f>IFS(O2583&lt;60000,"Low (&lt;60k)",O2583&lt;100000,"Mid (60-100k)",TRUE,"High (100k+)")</f>
        <v/>
      </c>
      <c r="W2583" s="5">
        <f>IF(M2583="No","Attrited","Active")</f>
        <v/>
      </c>
    </row>
    <row r="2584">
      <c r="A2584" s="5" t="inlineStr">
        <is>
          <t>E02583</t>
        </is>
      </c>
      <c r="B2584" s="5" t="inlineStr">
        <is>
          <t>Female</t>
        </is>
      </c>
      <c r="C2584" s="6" t="inlineStr">
        <is>
          <t>24</t>
        </is>
      </c>
      <c r="D2584" s="5" t="inlineStr">
        <is>
          <t>Married</t>
        </is>
      </c>
      <c r="E2584" s="5" t="inlineStr">
        <is>
          <t>Bachelor</t>
        </is>
      </c>
      <c r="F2584" s="5" t="inlineStr">
        <is>
          <t>IT</t>
        </is>
      </c>
      <c r="G2584" s="5" t="inlineStr">
        <is>
          <t>Software Engineer</t>
        </is>
      </c>
      <c r="H2584" s="5" t="inlineStr">
        <is>
          <t>1</t>
        </is>
      </c>
      <c r="I2584" s="5" t="inlineStr">
        <is>
          <t>Delhi</t>
        </is>
      </c>
      <c r="J2584" s="5" t="inlineStr">
        <is>
          <t>Full-Time</t>
        </is>
      </c>
      <c r="K2584" s="7" t="n">
        <v>45603</v>
      </c>
      <c r="L2584" s="7" t="n">
        <v>45659</v>
      </c>
      <c r="M2584" s="5" t="inlineStr">
        <is>
          <t>No</t>
        </is>
      </c>
      <c r="N2584" s="5" t="inlineStr">
        <is>
          <t>Resigned</t>
        </is>
      </c>
      <c r="O2584" s="8" t="inlineStr">
        <is>
          <t>111500</t>
        </is>
      </c>
      <c r="P2584" s="5" t="inlineStr">
        <is>
          <t>0</t>
        </is>
      </c>
      <c r="Q2584" s="5" t="inlineStr">
        <is>
          <t>4</t>
        </is>
      </c>
      <c r="R2584" s="5" t="inlineStr">
        <is>
          <t>5</t>
        </is>
      </c>
      <c r="S2584" s="5" t="inlineStr">
        <is>
          <t>1</t>
        </is>
      </c>
      <c r="T2584" s="5" t="inlineStr">
        <is>
          <t>12</t>
        </is>
      </c>
      <c r="U2584" s="5">
        <f>IFS(C2584&lt;30,"Under 30",C2584&lt;40,"30-39",C2584&lt;50,"40-49",TRUE,"50+")</f>
        <v/>
      </c>
      <c r="V2584" s="5">
        <f>IFS(O2584&lt;60000,"Low (&lt;60k)",O2584&lt;100000,"Mid (60-100k)",TRUE,"High (100k+)")</f>
        <v/>
      </c>
      <c r="W2584" s="5">
        <f>IF(M2584="No","Attrited","Active")</f>
        <v/>
      </c>
    </row>
    <row r="2585">
      <c r="A2585" s="5" t="inlineStr">
        <is>
          <t>E02584</t>
        </is>
      </c>
      <c r="B2585" s="5" t="inlineStr">
        <is>
          <t>Female</t>
        </is>
      </c>
      <c r="C2585" s="6" t="inlineStr">
        <is>
          <t>36</t>
        </is>
      </c>
      <c r="D2585" s="5" t="inlineStr">
        <is>
          <t>Married</t>
        </is>
      </c>
      <c r="E2585" s="5" t="inlineStr">
        <is>
          <t>High School</t>
        </is>
      </c>
      <c r="F2585" s="5" t="inlineStr">
        <is>
          <t>Operations</t>
        </is>
      </c>
      <c r="G2585" s="5" t="inlineStr">
        <is>
          <t>Quality Analyst</t>
        </is>
      </c>
      <c r="H2585" s="5" t="inlineStr">
        <is>
          <t>2</t>
        </is>
      </c>
      <c r="I2585" s="5" t="inlineStr">
        <is>
          <t>Delhi</t>
        </is>
      </c>
      <c r="J2585" s="5" t="inlineStr">
        <is>
          <t>Full-Time</t>
        </is>
      </c>
      <c r="K2585" s="7" t="n">
        <v>45212</v>
      </c>
      <c r="L2585" s="7" t="inlineStr"/>
      <c r="M2585" s="5" t="inlineStr">
        <is>
          <t>Yes</t>
        </is>
      </c>
      <c r="N2585" s="5" t="inlineStr"/>
      <c r="O2585" s="8" t="inlineStr">
        <is>
          <t>90500</t>
        </is>
      </c>
      <c r="P2585" s="5" t="inlineStr">
        <is>
          <t>0</t>
        </is>
      </c>
      <c r="Q2585" s="5" t="inlineStr">
        <is>
          <t>5</t>
        </is>
      </c>
      <c r="R2585" s="5" t="inlineStr">
        <is>
          <t>8</t>
        </is>
      </c>
      <c r="S2585" s="5" t="inlineStr">
        <is>
          <t>27</t>
        </is>
      </c>
      <c r="T2585" s="5" t="inlineStr">
        <is>
          <t>6</t>
        </is>
      </c>
      <c r="U2585" s="5">
        <f>IFS(C2585&lt;30,"Under 30",C2585&lt;40,"30-39",C2585&lt;50,"40-49",TRUE,"50+")</f>
        <v/>
      </c>
      <c r="V2585" s="5">
        <f>IFS(O2585&lt;60000,"Low (&lt;60k)",O2585&lt;100000,"Mid (60-100k)",TRUE,"High (100k+)")</f>
        <v/>
      </c>
      <c r="W2585" s="5">
        <f>IF(M2585="No","Attrited","Active")</f>
        <v/>
      </c>
    </row>
    <row r="2586">
      <c r="A2586" s="5" t="inlineStr">
        <is>
          <t>E02585</t>
        </is>
      </c>
      <c r="B2586" s="5" t="inlineStr">
        <is>
          <t>Male</t>
        </is>
      </c>
      <c r="C2586" s="6" t="inlineStr">
        <is>
          <t>35</t>
        </is>
      </c>
      <c r="D2586" s="5" t="inlineStr">
        <is>
          <t>Single</t>
        </is>
      </c>
      <c r="E2586" s="5" t="inlineStr">
        <is>
          <t>Bachelor</t>
        </is>
      </c>
      <c r="F2586" s="5" t="inlineStr">
        <is>
          <t>Customer Support</t>
        </is>
      </c>
      <c r="G2586" s="5" t="inlineStr">
        <is>
          <t>Support Agent</t>
        </is>
      </c>
      <c r="H2586" s="5" t="inlineStr">
        <is>
          <t>2</t>
        </is>
      </c>
      <c r="I2586" s="5" t="inlineStr">
        <is>
          <t>Chennai</t>
        </is>
      </c>
      <c r="J2586" s="5" t="inlineStr">
        <is>
          <t>Full-Time</t>
        </is>
      </c>
      <c r="K2586" s="7" t="n">
        <v>44922</v>
      </c>
      <c r="L2586" s="7" t="inlineStr"/>
      <c r="M2586" s="5" t="inlineStr">
        <is>
          <t>Yes</t>
        </is>
      </c>
      <c r="N2586" s="5" t="inlineStr"/>
      <c r="O2586" s="8" t="inlineStr">
        <is>
          <t>61000</t>
        </is>
      </c>
      <c r="P2586" s="5" t="inlineStr">
        <is>
          <t>0</t>
        </is>
      </c>
      <c r="Q2586" s="5" t="inlineStr">
        <is>
          <t>4</t>
        </is>
      </c>
      <c r="R2586" s="5" t="inlineStr">
        <is>
          <t>7</t>
        </is>
      </c>
      <c r="S2586" s="5" t="inlineStr">
        <is>
          <t>36</t>
        </is>
      </c>
      <c r="T2586" s="5" t="inlineStr">
        <is>
          <t>0</t>
        </is>
      </c>
      <c r="U2586" s="5">
        <f>IFS(C2586&lt;30,"Under 30",C2586&lt;40,"30-39",C2586&lt;50,"40-49",TRUE,"50+")</f>
        <v/>
      </c>
      <c r="V2586" s="5">
        <f>IFS(O2586&lt;60000,"Low (&lt;60k)",O2586&lt;100000,"Mid (60-100k)",TRUE,"High (100k+)")</f>
        <v/>
      </c>
      <c r="W2586" s="5">
        <f>IF(M2586="No","Attrited","Active")</f>
        <v/>
      </c>
    </row>
    <row r="2587">
      <c r="A2587" s="5" t="inlineStr">
        <is>
          <t>E02586</t>
        </is>
      </c>
      <c r="B2587" s="5" t="inlineStr">
        <is>
          <t>Female</t>
        </is>
      </c>
      <c r="C2587" s="6" t="inlineStr">
        <is>
          <t>31</t>
        </is>
      </c>
      <c r="D2587" s="5" t="inlineStr">
        <is>
          <t>Married</t>
        </is>
      </c>
      <c r="E2587" s="5" t="inlineStr">
        <is>
          <t>High School</t>
        </is>
      </c>
      <c r="F2587" s="5" t="inlineStr">
        <is>
          <t>Operations</t>
        </is>
      </c>
      <c r="G2587" s="5" t="inlineStr">
        <is>
          <t>Logistics Coordinator</t>
        </is>
      </c>
      <c r="H2587" s="5" t="inlineStr">
        <is>
          <t>2</t>
        </is>
      </c>
      <c r="I2587" s="5" t="inlineStr">
        <is>
          <t>Hyderabad</t>
        </is>
      </c>
      <c r="J2587" s="5" t="inlineStr">
        <is>
          <t>Full-Time</t>
        </is>
      </c>
      <c r="K2587" s="7" t="n">
        <v>44561</v>
      </c>
      <c r="L2587" s="7" t="inlineStr"/>
      <c r="M2587" s="5" t="inlineStr">
        <is>
          <t>Yes</t>
        </is>
      </c>
      <c r="N2587" s="5" t="inlineStr"/>
      <c r="O2587" s="8" t="inlineStr">
        <is>
          <t>80000</t>
        </is>
      </c>
      <c r="P2587" s="5" t="inlineStr">
        <is>
          <t>0</t>
        </is>
      </c>
      <c r="Q2587" s="5" t="inlineStr">
        <is>
          <t>2</t>
        </is>
      </c>
      <c r="R2587" s="5" t="inlineStr">
        <is>
          <t>5</t>
        </is>
      </c>
      <c r="S2587" s="5" t="inlineStr">
        <is>
          <t>48</t>
        </is>
      </c>
      <c r="T2587" s="5" t="inlineStr">
        <is>
          <t>12</t>
        </is>
      </c>
      <c r="U2587" s="5">
        <f>IFS(C2587&lt;30,"Under 30",C2587&lt;40,"30-39",C2587&lt;50,"40-49",TRUE,"50+")</f>
        <v/>
      </c>
      <c r="V2587" s="5">
        <f>IFS(O2587&lt;60000,"Low (&lt;60k)",O2587&lt;100000,"Mid (60-100k)",TRUE,"High (100k+)")</f>
        <v/>
      </c>
      <c r="W2587" s="5">
        <f>IF(M2587="No","Attrited","Active")</f>
        <v/>
      </c>
    </row>
    <row r="2588">
      <c r="A2588" s="5" t="inlineStr">
        <is>
          <t>E02587</t>
        </is>
      </c>
      <c r="B2588" s="5" t="inlineStr">
        <is>
          <t>Female</t>
        </is>
      </c>
      <c r="C2588" s="6" t="inlineStr">
        <is>
          <t>27</t>
        </is>
      </c>
      <c r="D2588" s="5" t="inlineStr">
        <is>
          <t>Married</t>
        </is>
      </c>
      <c r="E2588" s="5" t="inlineStr">
        <is>
          <t>Master</t>
        </is>
      </c>
      <c r="F2588" s="5" t="inlineStr">
        <is>
          <t>Finance</t>
        </is>
      </c>
      <c r="G2588" s="5" t="inlineStr">
        <is>
          <t>Credit Analyst</t>
        </is>
      </c>
      <c r="H2588" s="5" t="inlineStr">
        <is>
          <t>1</t>
        </is>
      </c>
      <c r="I2588" s="5" t="inlineStr">
        <is>
          <t>Remote</t>
        </is>
      </c>
      <c r="J2588" s="5" t="inlineStr">
        <is>
          <t>Full-Time</t>
        </is>
      </c>
      <c r="K2588" s="7" t="n">
        <v>44730</v>
      </c>
      <c r="L2588" s="7" t="inlineStr"/>
      <c r="M2588" s="5" t="inlineStr">
        <is>
          <t>Yes</t>
        </is>
      </c>
      <c r="N2588" s="5" t="inlineStr"/>
      <c r="O2588" s="8" t="inlineStr">
        <is>
          <t>77000</t>
        </is>
      </c>
      <c r="P2588" s="5" t="inlineStr">
        <is>
          <t>0</t>
        </is>
      </c>
      <c r="Q2588" s="5" t="inlineStr">
        <is>
          <t>3</t>
        </is>
      </c>
      <c r="R2588" s="5" t="inlineStr">
        <is>
          <t>7</t>
        </is>
      </c>
      <c r="S2588" s="5" t="inlineStr">
        <is>
          <t>43</t>
        </is>
      </c>
      <c r="T2588" s="5" t="inlineStr">
        <is>
          <t>6</t>
        </is>
      </c>
      <c r="U2588" s="5">
        <f>IFS(C2588&lt;30,"Under 30",C2588&lt;40,"30-39",C2588&lt;50,"40-49",TRUE,"50+")</f>
        <v/>
      </c>
      <c r="V2588" s="5">
        <f>IFS(O2588&lt;60000,"Low (&lt;60k)",O2588&lt;100000,"Mid (60-100k)",TRUE,"High (100k+)")</f>
        <v/>
      </c>
      <c r="W2588" s="5">
        <f>IF(M2588="No","Attrited","Active")</f>
        <v/>
      </c>
    </row>
    <row r="2589">
      <c r="A2589" s="5" t="inlineStr">
        <is>
          <t>E02588</t>
        </is>
      </c>
      <c r="B2589" s="5" t="inlineStr">
        <is>
          <t>Male</t>
        </is>
      </c>
      <c r="C2589" s="6" t="inlineStr">
        <is>
          <t>33</t>
        </is>
      </c>
      <c r="D2589" s="5" t="inlineStr">
        <is>
          <t>Married</t>
        </is>
      </c>
      <c r="E2589" s="5" t="inlineStr">
        <is>
          <t>Bachelor</t>
        </is>
      </c>
      <c r="F2589" s="5" t="inlineStr">
        <is>
          <t>Sales</t>
        </is>
      </c>
      <c r="G2589" s="5" t="inlineStr">
        <is>
          <t>Account Executive</t>
        </is>
      </c>
      <c r="H2589" s="5" t="inlineStr">
        <is>
          <t>4</t>
        </is>
      </c>
      <c r="I2589" s="5" t="inlineStr">
        <is>
          <t>Remote</t>
        </is>
      </c>
      <c r="J2589" s="5" t="inlineStr">
        <is>
          <t>Full-Time</t>
        </is>
      </c>
      <c r="K2589" s="7" t="n">
        <v>44763</v>
      </c>
      <c r="L2589" s="7" t="inlineStr"/>
      <c r="M2589" s="5" t="inlineStr">
        <is>
          <t>Yes</t>
        </is>
      </c>
      <c r="N2589" s="5" t="inlineStr"/>
      <c r="O2589" s="8" t="inlineStr">
        <is>
          <t>143000</t>
        </is>
      </c>
      <c r="P2589" s="5" t="inlineStr">
        <is>
          <t>0</t>
        </is>
      </c>
      <c r="Q2589" s="5" t="inlineStr">
        <is>
          <t>5</t>
        </is>
      </c>
      <c r="R2589" s="5" t="inlineStr">
        <is>
          <t>5</t>
        </is>
      </c>
      <c r="S2589" s="5" t="inlineStr">
        <is>
          <t>41</t>
        </is>
      </c>
      <c r="T2589" s="5" t="inlineStr">
        <is>
          <t>3</t>
        </is>
      </c>
      <c r="U2589" s="5">
        <f>IFS(C2589&lt;30,"Under 30",C2589&lt;40,"30-39",C2589&lt;50,"40-49",TRUE,"50+")</f>
        <v/>
      </c>
      <c r="V2589" s="5">
        <f>IFS(O2589&lt;60000,"Low (&lt;60k)",O2589&lt;100000,"Mid (60-100k)",TRUE,"High (100k+)")</f>
        <v/>
      </c>
      <c r="W2589" s="5">
        <f>IF(M2589="No","Attrited","Active")</f>
        <v/>
      </c>
    </row>
    <row r="2590">
      <c r="A2590" s="5" t="inlineStr">
        <is>
          <t>E02589</t>
        </is>
      </c>
      <c r="B2590" s="5" t="inlineStr">
        <is>
          <t>Female</t>
        </is>
      </c>
      <c r="C2590" s="6" t="inlineStr">
        <is>
          <t>41</t>
        </is>
      </c>
      <c r="D2590" s="5" t="inlineStr">
        <is>
          <t>Married</t>
        </is>
      </c>
      <c r="E2590" s="5" t="inlineStr">
        <is>
          <t>Diploma</t>
        </is>
      </c>
      <c r="F2590" s="5" t="inlineStr">
        <is>
          <t>Customer Support</t>
        </is>
      </c>
      <c r="G2590" s="5" t="inlineStr">
        <is>
          <t>Support Lead</t>
        </is>
      </c>
      <c r="H2590" s="5" t="inlineStr">
        <is>
          <t>7</t>
        </is>
      </c>
      <c r="I2590" s="5" t="inlineStr">
        <is>
          <t>Remote</t>
        </is>
      </c>
      <c r="J2590" s="5" t="inlineStr">
        <is>
          <t>Full-Time</t>
        </is>
      </c>
      <c r="K2590" s="7" t="n">
        <v>44464</v>
      </c>
      <c r="L2590" s="7" t="inlineStr"/>
      <c r="M2590" s="5" t="inlineStr">
        <is>
          <t>Yes</t>
        </is>
      </c>
      <c r="N2590" s="5" t="inlineStr"/>
      <c r="O2590" s="8" t="inlineStr">
        <is>
          <t>137000</t>
        </is>
      </c>
      <c r="P2590" s="5" t="inlineStr">
        <is>
          <t>0</t>
        </is>
      </c>
      <c r="Q2590" s="5" t="inlineStr">
        <is>
          <t>4</t>
        </is>
      </c>
      <c r="R2590" s="5" t="inlineStr">
        <is>
          <t>7</t>
        </is>
      </c>
      <c r="S2590" s="5" t="inlineStr">
        <is>
          <t>51</t>
        </is>
      </c>
      <c r="T2590" s="5" t="inlineStr">
        <is>
          <t>11</t>
        </is>
      </c>
      <c r="U2590" s="5">
        <f>IFS(C2590&lt;30,"Under 30",C2590&lt;40,"30-39",C2590&lt;50,"40-49",TRUE,"50+")</f>
        <v/>
      </c>
      <c r="V2590" s="5">
        <f>IFS(O2590&lt;60000,"Low (&lt;60k)",O2590&lt;100000,"Mid (60-100k)",TRUE,"High (100k+)")</f>
        <v/>
      </c>
      <c r="W2590" s="5">
        <f>IF(M2590="No","Attrited","Active")</f>
        <v/>
      </c>
    </row>
    <row r="2591">
      <c r="A2591" s="5" t="inlineStr">
        <is>
          <t>E02590</t>
        </is>
      </c>
      <c r="B2591" s="5" t="inlineStr">
        <is>
          <t>Female</t>
        </is>
      </c>
      <c r="C2591" s="6" t="inlineStr">
        <is>
          <t>35</t>
        </is>
      </c>
      <c r="D2591" s="5" t="inlineStr">
        <is>
          <t>Single</t>
        </is>
      </c>
      <c r="E2591" s="5" t="inlineStr">
        <is>
          <t>PhD</t>
        </is>
      </c>
      <c r="F2591" s="5" t="inlineStr">
        <is>
          <t>Customer Support</t>
        </is>
      </c>
      <c r="G2591" s="5" t="inlineStr">
        <is>
          <t>Support Agent</t>
        </is>
      </c>
      <c r="H2591" s="5" t="inlineStr">
        <is>
          <t>2</t>
        </is>
      </c>
      <c r="I2591" s="5" t="inlineStr">
        <is>
          <t>Bengaluru</t>
        </is>
      </c>
      <c r="J2591" s="5" t="inlineStr">
        <is>
          <t>Full-Time</t>
        </is>
      </c>
      <c r="K2591" s="7" t="n">
        <v>45277</v>
      </c>
      <c r="L2591" s="7" t="inlineStr"/>
      <c r="M2591" s="5" t="inlineStr">
        <is>
          <t>Yes</t>
        </is>
      </c>
      <c r="N2591" s="5" t="inlineStr"/>
      <c r="O2591" s="8" t="inlineStr">
        <is>
          <t>73500</t>
        </is>
      </c>
      <c r="P2591" s="5" t="inlineStr">
        <is>
          <t>0</t>
        </is>
      </c>
      <c r="Q2591" s="5" t="inlineStr">
        <is>
          <t>5</t>
        </is>
      </c>
      <c r="R2591" s="5" t="inlineStr">
        <is>
          <t>3</t>
        </is>
      </c>
      <c r="S2591" s="5" t="inlineStr">
        <is>
          <t>24</t>
        </is>
      </c>
      <c r="T2591" s="5" t="inlineStr">
        <is>
          <t>0</t>
        </is>
      </c>
      <c r="U2591" s="5">
        <f>IFS(C2591&lt;30,"Under 30",C2591&lt;40,"30-39",C2591&lt;50,"40-49",TRUE,"50+")</f>
        <v/>
      </c>
      <c r="V2591" s="5">
        <f>IFS(O2591&lt;60000,"Low (&lt;60k)",O2591&lt;100000,"Mid (60-100k)",TRUE,"High (100k+)")</f>
        <v/>
      </c>
      <c r="W2591" s="5">
        <f>IF(M2591="No","Attrited","Active")</f>
        <v/>
      </c>
    </row>
    <row r="2592">
      <c r="A2592" s="5" t="inlineStr">
        <is>
          <t>E02591</t>
        </is>
      </c>
      <c r="B2592" s="5" t="inlineStr">
        <is>
          <t>Male</t>
        </is>
      </c>
      <c r="C2592" s="6" t="inlineStr">
        <is>
          <t>23</t>
        </is>
      </c>
      <c r="D2592" s="5" t="inlineStr">
        <is>
          <t>Married</t>
        </is>
      </c>
      <c r="E2592" s="5" t="inlineStr">
        <is>
          <t>Diploma</t>
        </is>
      </c>
      <c r="F2592" s="5" t="inlineStr">
        <is>
          <t>Marketing</t>
        </is>
      </c>
      <c r="G2592" s="5" t="inlineStr">
        <is>
          <t>Marketing Analyst</t>
        </is>
      </c>
      <c r="H2592" s="5" t="inlineStr">
        <is>
          <t>1</t>
        </is>
      </c>
      <c r="I2592" s="5" t="inlineStr">
        <is>
          <t>Chennai</t>
        </is>
      </c>
      <c r="J2592" s="5" t="inlineStr">
        <is>
          <t>Part-Time</t>
        </is>
      </c>
      <c r="K2592" s="7" t="n">
        <v>45102</v>
      </c>
      <c r="L2592" s="7" t="n">
        <v>45145</v>
      </c>
      <c r="M2592" s="5" t="inlineStr">
        <is>
          <t>No</t>
        </is>
      </c>
      <c r="N2592" s="5" t="inlineStr">
        <is>
          <t>Resigned</t>
        </is>
      </c>
      <c r="O2592" s="8" t="inlineStr">
        <is>
          <t>61500</t>
        </is>
      </c>
      <c r="P2592" s="5" t="inlineStr">
        <is>
          <t>0</t>
        </is>
      </c>
      <c r="Q2592" s="5" t="inlineStr">
        <is>
          <t>4</t>
        </is>
      </c>
      <c r="R2592" s="5" t="inlineStr">
        <is>
          <t>7</t>
        </is>
      </c>
      <c r="S2592" s="5" t="inlineStr">
        <is>
          <t>1</t>
        </is>
      </c>
      <c r="T2592" s="5" t="inlineStr">
        <is>
          <t>4</t>
        </is>
      </c>
      <c r="U2592" s="5">
        <f>IFS(C2592&lt;30,"Under 30",C2592&lt;40,"30-39",C2592&lt;50,"40-49",TRUE,"50+")</f>
        <v/>
      </c>
      <c r="V2592" s="5">
        <f>IFS(O2592&lt;60000,"Low (&lt;60k)",O2592&lt;100000,"Mid (60-100k)",TRUE,"High (100k+)")</f>
        <v/>
      </c>
      <c r="W2592" s="5">
        <f>IF(M2592="No","Attrited","Active")</f>
        <v/>
      </c>
    </row>
    <row r="2593">
      <c r="A2593" s="5" t="inlineStr">
        <is>
          <t>E02592</t>
        </is>
      </c>
      <c r="B2593" s="5" t="inlineStr">
        <is>
          <t>Male</t>
        </is>
      </c>
      <c r="C2593" s="6" t="inlineStr">
        <is>
          <t>34</t>
        </is>
      </c>
      <c r="D2593" s="5" t="inlineStr">
        <is>
          <t>Single</t>
        </is>
      </c>
      <c r="E2593" s="5" t="inlineStr">
        <is>
          <t>Bachelor</t>
        </is>
      </c>
      <c r="F2593" s="5" t="inlineStr">
        <is>
          <t>Finance</t>
        </is>
      </c>
      <c r="G2593" s="5" t="inlineStr">
        <is>
          <t>Accountant</t>
        </is>
      </c>
      <c r="H2593" s="5" t="inlineStr">
        <is>
          <t>1</t>
        </is>
      </c>
      <c r="I2593" s="5" t="inlineStr">
        <is>
          <t>Remote</t>
        </is>
      </c>
      <c r="J2593" s="5" t="inlineStr">
        <is>
          <t>Full-Time</t>
        </is>
      </c>
      <c r="K2593" s="7" t="n">
        <v>44219</v>
      </c>
      <c r="L2593" s="7" t="n">
        <v>44269</v>
      </c>
      <c r="M2593" s="5" t="inlineStr">
        <is>
          <t>No</t>
        </is>
      </c>
      <c r="N2593" s="5" t="inlineStr">
        <is>
          <t>Performance / Termination</t>
        </is>
      </c>
      <c r="O2593" s="8" t="inlineStr">
        <is>
          <t>65500</t>
        </is>
      </c>
      <c r="P2593" s="5" t="inlineStr">
        <is>
          <t>5</t>
        </is>
      </c>
      <c r="Q2593" s="5" t="inlineStr">
        <is>
          <t>3</t>
        </is>
      </c>
      <c r="R2593" s="5" t="inlineStr">
        <is>
          <t>5</t>
        </is>
      </c>
      <c r="S2593" s="5" t="inlineStr">
        <is>
          <t>1</t>
        </is>
      </c>
      <c r="T2593" s="5" t="inlineStr">
        <is>
          <t>5</t>
        </is>
      </c>
      <c r="U2593" s="5">
        <f>IFS(C2593&lt;30,"Under 30",C2593&lt;40,"30-39",C2593&lt;50,"40-49",TRUE,"50+")</f>
        <v/>
      </c>
      <c r="V2593" s="5">
        <f>IFS(O2593&lt;60000,"Low (&lt;60k)",O2593&lt;100000,"Mid (60-100k)",TRUE,"High (100k+)")</f>
        <v/>
      </c>
      <c r="W2593" s="5">
        <f>IF(M2593="No","Attrited","Active")</f>
        <v/>
      </c>
    </row>
    <row r="2594">
      <c r="A2594" s="5" t="inlineStr">
        <is>
          <t>E02593</t>
        </is>
      </c>
      <c r="B2594" s="5" t="inlineStr">
        <is>
          <t>Male</t>
        </is>
      </c>
      <c r="C2594" s="6" t="inlineStr">
        <is>
          <t>34</t>
        </is>
      </c>
      <c r="D2594" s="5" t="inlineStr">
        <is>
          <t>Married</t>
        </is>
      </c>
      <c r="E2594" s="5" t="inlineStr">
        <is>
          <t>High School</t>
        </is>
      </c>
      <c r="F2594" s="5" t="inlineStr">
        <is>
          <t>Operations</t>
        </is>
      </c>
      <c r="G2594" s="5" t="inlineStr">
        <is>
          <t>Operations Analyst</t>
        </is>
      </c>
      <c r="H2594" s="5" t="inlineStr">
        <is>
          <t>5</t>
        </is>
      </c>
      <c r="I2594" s="5" t="inlineStr">
        <is>
          <t>Remote</t>
        </is>
      </c>
      <c r="J2594" s="5" t="inlineStr">
        <is>
          <t>Full-Time</t>
        </is>
      </c>
      <c r="K2594" s="7" t="n">
        <v>44822</v>
      </c>
      <c r="L2594" s="7" t="inlineStr"/>
      <c r="M2594" s="5" t="inlineStr">
        <is>
          <t>Yes</t>
        </is>
      </c>
      <c r="N2594" s="5" t="inlineStr"/>
      <c r="O2594" s="8" t="inlineStr">
        <is>
          <t>107000</t>
        </is>
      </c>
      <c r="P2594" s="5" t="inlineStr">
        <is>
          <t>5</t>
        </is>
      </c>
      <c r="Q2594" s="5" t="inlineStr">
        <is>
          <t>3</t>
        </is>
      </c>
      <c r="R2594" s="5" t="inlineStr">
        <is>
          <t>8</t>
        </is>
      </c>
      <c r="S2594" s="5" t="inlineStr">
        <is>
          <t>40</t>
        </is>
      </c>
      <c r="T2594" s="5" t="inlineStr">
        <is>
          <t>5</t>
        </is>
      </c>
      <c r="U2594" s="5">
        <f>IFS(C2594&lt;30,"Under 30",C2594&lt;40,"30-39",C2594&lt;50,"40-49",TRUE,"50+")</f>
        <v/>
      </c>
      <c r="V2594" s="5">
        <f>IFS(O2594&lt;60000,"Low (&lt;60k)",O2594&lt;100000,"Mid (60-100k)",TRUE,"High (100k+)")</f>
        <v/>
      </c>
      <c r="W2594" s="5">
        <f>IF(M2594="No","Attrited","Active")</f>
        <v/>
      </c>
    </row>
    <row r="2595">
      <c r="A2595" s="5" t="inlineStr">
        <is>
          <t>E02594</t>
        </is>
      </c>
      <c r="B2595" s="5" t="inlineStr">
        <is>
          <t>Female</t>
        </is>
      </c>
      <c r="C2595" s="6" t="inlineStr">
        <is>
          <t>29</t>
        </is>
      </c>
      <c r="D2595" s="5" t="inlineStr">
        <is>
          <t>Married</t>
        </is>
      </c>
      <c r="E2595" s="5" t="inlineStr">
        <is>
          <t>Master</t>
        </is>
      </c>
      <c r="F2595" s="5" t="inlineStr">
        <is>
          <t>IT</t>
        </is>
      </c>
      <c r="G2595" s="5" t="inlineStr">
        <is>
          <t>DevOps Engineer</t>
        </is>
      </c>
      <c r="H2595" s="5" t="inlineStr">
        <is>
          <t>2</t>
        </is>
      </c>
      <c r="I2595" s="5" t="inlineStr">
        <is>
          <t>Mumbai</t>
        </is>
      </c>
      <c r="J2595" s="5" t="inlineStr">
        <is>
          <t>Full-Time</t>
        </is>
      </c>
      <c r="K2595" s="7" t="n">
        <v>45970</v>
      </c>
      <c r="L2595" s="7" t="inlineStr"/>
      <c r="M2595" s="5" t="inlineStr">
        <is>
          <t>Yes</t>
        </is>
      </c>
      <c r="N2595" s="5" t="inlineStr"/>
      <c r="O2595" s="8" t="inlineStr">
        <is>
          <t>148000</t>
        </is>
      </c>
      <c r="P2595" s="5" t="inlineStr">
        <is>
          <t>10</t>
        </is>
      </c>
      <c r="Q2595" s="5" t="inlineStr">
        <is>
          <t>4</t>
        </is>
      </c>
      <c r="R2595" s="5" t="inlineStr">
        <is>
          <t>6</t>
        </is>
      </c>
      <c r="S2595" s="5" t="inlineStr">
        <is>
          <t>1</t>
        </is>
      </c>
      <c r="T2595" s="5" t="inlineStr">
        <is>
          <t>0</t>
        </is>
      </c>
      <c r="U2595" s="5">
        <f>IFS(C2595&lt;30,"Under 30",C2595&lt;40,"30-39",C2595&lt;50,"40-49",TRUE,"50+")</f>
        <v/>
      </c>
      <c r="V2595" s="5">
        <f>IFS(O2595&lt;60000,"Low (&lt;60k)",O2595&lt;100000,"Mid (60-100k)",TRUE,"High (100k+)")</f>
        <v/>
      </c>
      <c r="W2595" s="5">
        <f>IF(M2595="No","Attrited","Active")</f>
        <v/>
      </c>
    </row>
    <row r="2596">
      <c r="A2596" s="5" t="inlineStr">
        <is>
          <t>E02595</t>
        </is>
      </c>
      <c r="B2596" s="5" t="inlineStr">
        <is>
          <t>Male</t>
        </is>
      </c>
      <c r="C2596" s="6" t="inlineStr">
        <is>
          <t>33</t>
        </is>
      </c>
      <c r="D2596" s="5" t="inlineStr">
        <is>
          <t>Married</t>
        </is>
      </c>
      <c r="E2596" s="5" t="inlineStr">
        <is>
          <t>Bachelor</t>
        </is>
      </c>
      <c r="F2596" s="5" t="inlineStr">
        <is>
          <t>Operations</t>
        </is>
      </c>
      <c r="G2596" s="5" t="inlineStr">
        <is>
          <t>Quality Analyst</t>
        </is>
      </c>
      <c r="H2596" s="5" t="inlineStr">
        <is>
          <t>1</t>
        </is>
      </c>
      <c r="I2596" s="5" t="inlineStr">
        <is>
          <t>Remote</t>
        </is>
      </c>
      <c r="J2596" s="5" t="inlineStr">
        <is>
          <t>Full-Time</t>
        </is>
      </c>
      <c r="K2596" s="7" t="n">
        <v>45406</v>
      </c>
      <c r="L2596" s="7" t="n">
        <v>45454</v>
      </c>
      <c r="M2596" s="5" t="inlineStr">
        <is>
          <t>No</t>
        </is>
      </c>
      <c r="N2596" s="5" t="inlineStr">
        <is>
          <t>Performance / Termination</t>
        </is>
      </c>
      <c r="O2596" s="8" t="inlineStr">
        <is>
          <t>72500</t>
        </is>
      </c>
      <c r="P2596" s="5" t="inlineStr">
        <is>
          <t>0</t>
        </is>
      </c>
      <c r="Q2596" s="5" t="inlineStr">
        <is>
          <t>3</t>
        </is>
      </c>
      <c r="R2596" s="5" t="inlineStr">
        <is>
          <t>5</t>
        </is>
      </c>
      <c r="S2596" s="5" t="inlineStr">
        <is>
          <t>1</t>
        </is>
      </c>
      <c r="T2596" s="5" t="inlineStr">
        <is>
          <t>3</t>
        </is>
      </c>
      <c r="U2596" s="5">
        <f>IFS(C2596&lt;30,"Under 30",C2596&lt;40,"30-39",C2596&lt;50,"40-49",TRUE,"50+")</f>
        <v/>
      </c>
      <c r="V2596" s="5">
        <f>IFS(O2596&lt;60000,"Low (&lt;60k)",O2596&lt;100000,"Mid (60-100k)",TRUE,"High (100k+)")</f>
        <v/>
      </c>
      <c r="W2596" s="5">
        <f>IF(M2596="No","Attrited","Active")</f>
        <v/>
      </c>
    </row>
    <row r="2597">
      <c r="A2597" s="5" t="inlineStr">
        <is>
          <t>E02596</t>
        </is>
      </c>
      <c r="B2597" s="5" t="inlineStr">
        <is>
          <t>Male</t>
        </is>
      </c>
      <c r="C2597" s="6" t="inlineStr">
        <is>
          <t>32</t>
        </is>
      </c>
      <c r="D2597" s="5" t="inlineStr">
        <is>
          <t>Married</t>
        </is>
      </c>
      <c r="E2597" s="5" t="inlineStr">
        <is>
          <t>Master</t>
        </is>
      </c>
      <c r="F2597" s="5" t="inlineStr">
        <is>
          <t>Research &amp; Development</t>
        </is>
      </c>
      <c r="G2597" s="5" t="inlineStr">
        <is>
          <t>Product Engineer</t>
        </is>
      </c>
      <c r="H2597" s="5" t="inlineStr">
        <is>
          <t>4</t>
        </is>
      </c>
      <c r="I2597" s="5" t="inlineStr">
        <is>
          <t>Hyderabad</t>
        </is>
      </c>
      <c r="J2597" s="5" t="inlineStr">
        <is>
          <t>Full-Time</t>
        </is>
      </c>
      <c r="K2597" s="7" t="n">
        <v>45107</v>
      </c>
      <c r="L2597" s="7" t="inlineStr"/>
      <c r="M2597" s="5" t="inlineStr">
        <is>
          <t>Yes</t>
        </is>
      </c>
      <c r="N2597" s="5" t="inlineStr"/>
      <c r="O2597" s="8" t="inlineStr">
        <is>
          <t>187500</t>
        </is>
      </c>
      <c r="P2597" s="5" t="inlineStr">
        <is>
          <t>10</t>
        </is>
      </c>
      <c r="Q2597" s="5" t="inlineStr">
        <is>
          <t>3</t>
        </is>
      </c>
      <c r="R2597" s="5" t="inlineStr">
        <is>
          <t>4</t>
        </is>
      </c>
      <c r="S2597" s="5" t="inlineStr">
        <is>
          <t>30</t>
        </is>
      </c>
      <c r="T2597" s="5" t="inlineStr">
        <is>
          <t>6</t>
        </is>
      </c>
      <c r="U2597" s="5">
        <f>IFS(C2597&lt;30,"Under 30",C2597&lt;40,"30-39",C2597&lt;50,"40-49",TRUE,"50+")</f>
        <v/>
      </c>
      <c r="V2597" s="5">
        <f>IFS(O2597&lt;60000,"Low (&lt;60k)",O2597&lt;100000,"Mid (60-100k)",TRUE,"High (100k+)")</f>
        <v/>
      </c>
      <c r="W2597" s="5">
        <f>IF(M2597="No","Attrited","Active")</f>
        <v/>
      </c>
    </row>
    <row r="2598">
      <c r="A2598" s="5" t="inlineStr">
        <is>
          <t>E02597</t>
        </is>
      </c>
      <c r="B2598" s="5" t="inlineStr">
        <is>
          <t>Male</t>
        </is>
      </c>
      <c r="C2598" s="6" t="inlineStr">
        <is>
          <t>40</t>
        </is>
      </c>
      <c r="D2598" s="5" t="inlineStr">
        <is>
          <t>Married</t>
        </is>
      </c>
      <c r="E2598" s="5" t="inlineStr">
        <is>
          <t>PhD</t>
        </is>
      </c>
      <c r="F2598" s="5" t="inlineStr">
        <is>
          <t>Sales</t>
        </is>
      </c>
      <c r="G2598" s="5" t="inlineStr">
        <is>
          <t>Sales Executive</t>
        </is>
      </c>
      <c r="H2598" s="5" t="inlineStr">
        <is>
          <t>4</t>
        </is>
      </c>
      <c r="I2598" s="5" t="inlineStr">
        <is>
          <t>Delhi</t>
        </is>
      </c>
      <c r="J2598" s="5" t="inlineStr">
        <is>
          <t>Full-Time</t>
        </is>
      </c>
      <c r="K2598" s="7" t="n">
        <v>45694</v>
      </c>
      <c r="L2598" s="7" t="inlineStr"/>
      <c r="M2598" s="5" t="inlineStr">
        <is>
          <t>Yes</t>
        </is>
      </c>
      <c r="N2598" s="5" t="inlineStr"/>
      <c r="O2598" s="8" t="inlineStr">
        <is>
          <t>85500</t>
        </is>
      </c>
      <c r="P2598" s="5" t="inlineStr">
        <is>
          <t>5</t>
        </is>
      </c>
      <c r="Q2598" s="5" t="inlineStr">
        <is>
          <t>3</t>
        </is>
      </c>
      <c r="R2598" s="5" t="inlineStr">
        <is>
          <t>5</t>
        </is>
      </c>
      <c r="S2598" s="5" t="inlineStr">
        <is>
          <t>10</t>
        </is>
      </c>
      <c r="T2598" s="5" t="inlineStr">
        <is>
          <t>10</t>
        </is>
      </c>
      <c r="U2598" s="5">
        <f>IFS(C2598&lt;30,"Under 30",C2598&lt;40,"30-39",C2598&lt;50,"40-49",TRUE,"50+")</f>
        <v/>
      </c>
      <c r="V2598" s="5">
        <f>IFS(O2598&lt;60000,"Low (&lt;60k)",O2598&lt;100000,"Mid (60-100k)",TRUE,"High (100k+)")</f>
        <v/>
      </c>
      <c r="W2598" s="5">
        <f>IF(M2598="No","Attrited","Active")</f>
        <v/>
      </c>
    </row>
    <row r="2599">
      <c r="A2599" s="5" t="inlineStr">
        <is>
          <t>E02598</t>
        </is>
      </c>
      <c r="B2599" s="5" t="inlineStr">
        <is>
          <t>Male</t>
        </is>
      </c>
      <c r="C2599" s="6" t="inlineStr">
        <is>
          <t>34</t>
        </is>
      </c>
      <c r="D2599" s="5" t="inlineStr">
        <is>
          <t>Married</t>
        </is>
      </c>
      <c r="E2599" s="5" t="inlineStr">
        <is>
          <t>High School</t>
        </is>
      </c>
      <c r="F2599" s="5" t="inlineStr">
        <is>
          <t>IT</t>
        </is>
      </c>
      <c r="G2599" s="5" t="inlineStr">
        <is>
          <t>Software Engineer</t>
        </is>
      </c>
      <c r="H2599" s="5" t="inlineStr">
        <is>
          <t>3</t>
        </is>
      </c>
      <c r="I2599" s="5" t="inlineStr">
        <is>
          <t>Bengaluru</t>
        </is>
      </c>
      <c r="J2599" s="5" t="inlineStr">
        <is>
          <t>Full-Time</t>
        </is>
      </c>
      <c r="K2599" s="7" t="n">
        <v>44240</v>
      </c>
      <c r="L2599" s="7" t="inlineStr"/>
      <c r="M2599" s="5" t="inlineStr">
        <is>
          <t>Yes</t>
        </is>
      </c>
      <c r="N2599" s="5" t="inlineStr"/>
      <c r="O2599" s="8" t="inlineStr">
        <is>
          <t>148500</t>
        </is>
      </c>
      <c r="P2599" s="5" t="inlineStr">
        <is>
          <t>0</t>
        </is>
      </c>
      <c r="Q2599" s="5" t="inlineStr">
        <is>
          <t>2</t>
        </is>
      </c>
      <c r="R2599" s="5" t="inlineStr">
        <is>
          <t>8</t>
        </is>
      </c>
      <c r="S2599" s="5" t="inlineStr">
        <is>
          <t>59</t>
        </is>
      </c>
      <c r="T2599" s="5" t="inlineStr">
        <is>
          <t>0</t>
        </is>
      </c>
      <c r="U2599" s="5">
        <f>IFS(C2599&lt;30,"Under 30",C2599&lt;40,"30-39",C2599&lt;50,"40-49",TRUE,"50+")</f>
        <v/>
      </c>
      <c r="V2599" s="5">
        <f>IFS(O2599&lt;60000,"Low (&lt;60k)",O2599&lt;100000,"Mid (60-100k)",TRUE,"High (100k+)")</f>
        <v/>
      </c>
      <c r="W2599" s="5">
        <f>IF(M2599="No","Attrited","Active")</f>
        <v/>
      </c>
    </row>
    <row r="2600">
      <c r="A2600" s="5" t="inlineStr">
        <is>
          <t>E02599</t>
        </is>
      </c>
      <c r="B2600" s="5" t="inlineStr">
        <is>
          <t>Female</t>
        </is>
      </c>
      <c r="C2600" s="6" t="inlineStr">
        <is>
          <t>41</t>
        </is>
      </c>
      <c r="D2600" s="5" t="inlineStr">
        <is>
          <t>Married</t>
        </is>
      </c>
      <c r="E2600" s="5" t="inlineStr">
        <is>
          <t>Master</t>
        </is>
      </c>
      <c r="F2600" s="5" t="inlineStr">
        <is>
          <t>IT</t>
        </is>
      </c>
      <c r="G2600" s="5" t="inlineStr">
        <is>
          <t>Data Analyst</t>
        </is>
      </c>
      <c r="H2600" s="5" t="inlineStr">
        <is>
          <t>6</t>
        </is>
      </c>
      <c r="I2600" s="5" t="inlineStr">
        <is>
          <t>Remote</t>
        </is>
      </c>
      <c r="J2600" s="5" t="inlineStr">
        <is>
          <t>Full-Time</t>
        </is>
      </c>
      <c r="K2600" s="7" t="n">
        <v>44059</v>
      </c>
      <c r="L2600" s="7" t="inlineStr"/>
      <c r="M2600" s="5" t="inlineStr">
        <is>
          <t>Yes</t>
        </is>
      </c>
      <c r="N2600" s="5" t="inlineStr"/>
      <c r="O2600" s="8" t="inlineStr">
        <is>
          <t>182000</t>
        </is>
      </c>
      <c r="P2600" s="5" t="inlineStr">
        <is>
          <t>10</t>
        </is>
      </c>
      <c r="Q2600" s="5" t="inlineStr">
        <is>
          <t>3</t>
        </is>
      </c>
      <c r="R2600" s="5" t="inlineStr">
        <is>
          <t>4</t>
        </is>
      </c>
      <c r="S2600" s="5" t="inlineStr">
        <is>
          <t>65</t>
        </is>
      </c>
      <c r="T2600" s="5" t="inlineStr">
        <is>
          <t>4</t>
        </is>
      </c>
      <c r="U2600" s="5">
        <f>IFS(C2600&lt;30,"Under 30",C2600&lt;40,"30-39",C2600&lt;50,"40-49",TRUE,"50+")</f>
        <v/>
      </c>
      <c r="V2600" s="5">
        <f>IFS(O2600&lt;60000,"Low (&lt;60k)",O2600&lt;100000,"Mid (60-100k)",TRUE,"High (100k+)")</f>
        <v/>
      </c>
      <c r="W2600" s="5">
        <f>IF(M2600="No","Attrited","Active")</f>
        <v/>
      </c>
    </row>
    <row r="2601">
      <c r="A2601" s="5" t="inlineStr">
        <is>
          <t>E02600</t>
        </is>
      </c>
      <c r="B2601" s="5" t="inlineStr">
        <is>
          <t>Female</t>
        </is>
      </c>
      <c r="C2601" s="6" t="inlineStr">
        <is>
          <t>35</t>
        </is>
      </c>
      <c r="D2601" s="5" t="inlineStr">
        <is>
          <t>Married</t>
        </is>
      </c>
      <c r="E2601" s="5" t="inlineStr">
        <is>
          <t>High School</t>
        </is>
      </c>
      <c r="F2601" s="5" t="inlineStr">
        <is>
          <t>Marketing</t>
        </is>
      </c>
      <c r="G2601" s="5" t="inlineStr">
        <is>
          <t>SEO Specialist</t>
        </is>
      </c>
      <c r="H2601" s="5" t="inlineStr">
        <is>
          <t>6</t>
        </is>
      </c>
      <c r="I2601" s="5" t="inlineStr">
        <is>
          <t>Hyderabad</t>
        </is>
      </c>
      <c r="J2601" s="5" t="inlineStr">
        <is>
          <t>Part-Time</t>
        </is>
      </c>
      <c r="K2601" s="7" t="n">
        <v>44745</v>
      </c>
      <c r="L2601" s="7" t="inlineStr"/>
      <c r="M2601" s="5" t="inlineStr">
        <is>
          <t>Yes</t>
        </is>
      </c>
      <c r="N2601" s="5" t="inlineStr"/>
      <c r="O2601" s="8" t="inlineStr">
        <is>
          <t>141500</t>
        </is>
      </c>
      <c r="P2601" s="5" t="inlineStr">
        <is>
          <t>0</t>
        </is>
      </c>
      <c r="Q2601" s="5" t="inlineStr">
        <is>
          <t>3</t>
        </is>
      </c>
      <c r="R2601" s="5" t="inlineStr">
        <is>
          <t>6</t>
        </is>
      </c>
      <c r="S2601" s="5" t="inlineStr">
        <is>
          <t>42</t>
        </is>
      </c>
      <c r="T2601" s="5" t="inlineStr">
        <is>
          <t>3</t>
        </is>
      </c>
      <c r="U2601" s="5">
        <f>IFS(C2601&lt;30,"Under 30",C2601&lt;40,"30-39",C2601&lt;50,"40-49",TRUE,"50+")</f>
        <v/>
      </c>
      <c r="V2601" s="5">
        <f>IFS(O2601&lt;60000,"Low (&lt;60k)",O2601&lt;100000,"Mid (60-100k)",TRUE,"High (100k+)")</f>
        <v/>
      </c>
      <c r="W2601" s="5">
        <f>IF(M2601="No","Attrited","Active")</f>
        <v/>
      </c>
    </row>
    <row r="2602">
      <c r="A2602" s="5" t="inlineStr">
        <is>
          <t>E02601</t>
        </is>
      </c>
      <c r="B2602" s="5" t="inlineStr">
        <is>
          <t>Male</t>
        </is>
      </c>
      <c r="C2602" s="6" t="inlineStr">
        <is>
          <t>35</t>
        </is>
      </c>
      <c r="D2602" s="5" t="inlineStr">
        <is>
          <t>Married</t>
        </is>
      </c>
      <c r="E2602" s="5" t="inlineStr">
        <is>
          <t>High School</t>
        </is>
      </c>
      <c r="F2602" s="5" t="inlineStr">
        <is>
          <t>Human Resources</t>
        </is>
      </c>
      <c r="G2602" s="5" t="inlineStr">
        <is>
          <t>HR Generalist</t>
        </is>
      </c>
      <c r="H2602" s="5" t="inlineStr">
        <is>
          <t>2</t>
        </is>
      </c>
      <c r="I2602" s="5" t="inlineStr">
        <is>
          <t>Delhi</t>
        </is>
      </c>
      <c r="J2602" s="5" t="inlineStr">
        <is>
          <t>Full-Time</t>
        </is>
      </c>
      <c r="K2602" s="7" t="n">
        <v>43851</v>
      </c>
      <c r="L2602" s="7" t="inlineStr"/>
      <c r="M2602" s="5" t="inlineStr">
        <is>
          <t>Yes</t>
        </is>
      </c>
      <c r="N2602" s="5" t="inlineStr"/>
      <c r="O2602" s="8" t="inlineStr">
        <is>
          <t>107000</t>
        </is>
      </c>
      <c r="P2602" s="5" t="inlineStr">
        <is>
          <t>0</t>
        </is>
      </c>
      <c r="Q2602" s="5" t="inlineStr">
        <is>
          <t>5</t>
        </is>
      </c>
      <c r="R2602" s="5" t="inlineStr">
        <is>
          <t>8</t>
        </is>
      </c>
      <c r="S2602" s="5" t="inlineStr">
        <is>
          <t>72</t>
        </is>
      </c>
      <c r="T2602" s="5" t="inlineStr">
        <is>
          <t>14</t>
        </is>
      </c>
      <c r="U2602" s="5">
        <f>IFS(C2602&lt;30,"Under 30",C2602&lt;40,"30-39",C2602&lt;50,"40-49",TRUE,"50+")</f>
        <v/>
      </c>
      <c r="V2602" s="5">
        <f>IFS(O2602&lt;60000,"Low (&lt;60k)",O2602&lt;100000,"Mid (60-100k)",TRUE,"High (100k+)")</f>
        <v/>
      </c>
      <c r="W2602" s="5">
        <f>IF(M2602="No","Attrited","Active")</f>
        <v/>
      </c>
    </row>
    <row r="2603">
      <c r="A2603" s="5" t="inlineStr">
        <is>
          <t>E02602</t>
        </is>
      </c>
      <c r="B2603" s="5" t="inlineStr">
        <is>
          <t>Female</t>
        </is>
      </c>
      <c r="C2603" s="6" t="inlineStr">
        <is>
          <t>38</t>
        </is>
      </c>
      <c r="D2603" s="5" t="inlineStr">
        <is>
          <t>Single</t>
        </is>
      </c>
      <c r="E2603" s="5" t="inlineStr">
        <is>
          <t>PhD</t>
        </is>
      </c>
      <c r="F2603" s="5" t="inlineStr">
        <is>
          <t>IT</t>
        </is>
      </c>
      <c r="G2603" s="5" t="inlineStr">
        <is>
          <t>IT Support</t>
        </is>
      </c>
      <c r="H2603" s="5" t="inlineStr">
        <is>
          <t>7</t>
        </is>
      </c>
      <c r="I2603" s="5" t="inlineStr">
        <is>
          <t>Bengaluru</t>
        </is>
      </c>
      <c r="J2603" s="5" t="inlineStr">
        <is>
          <t>Part-Time</t>
        </is>
      </c>
      <c r="K2603" s="7" t="n">
        <v>44074</v>
      </c>
      <c r="L2603" s="7" t="inlineStr"/>
      <c r="M2603" s="5" t="inlineStr">
        <is>
          <t>Yes</t>
        </is>
      </c>
      <c r="N2603" s="5" t="inlineStr"/>
      <c r="O2603" s="8" t="inlineStr">
        <is>
          <t>198000</t>
        </is>
      </c>
      <c r="P2603" s="5" t="inlineStr">
        <is>
          <t>0</t>
        </is>
      </c>
      <c r="Q2603" s="5" t="inlineStr">
        <is>
          <t>3</t>
        </is>
      </c>
      <c r="R2603" s="5" t="inlineStr">
        <is>
          <t>4</t>
        </is>
      </c>
      <c r="S2603" s="5" t="inlineStr">
        <is>
          <t>64</t>
        </is>
      </c>
      <c r="T2603" s="5" t="inlineStr">
        <is>
          <t>2</t>
        </is>
      </c>
      <c r="U2603" s="5">
        <f>IFS(C2603&lt;30,"Under 30",C2603&lt;40,"30-39",C2603&lt;50,"40-49",TRUE,"50+")</f>
        <v/>
      </c>
      <c r="V2603" s="5">
        <f>IFS(O2603&lt;60000,"Low (&lt;60k)",O2603&lt;100000,"Mid (60-100k)",TRUE,"High (100k+)")</f>
        <v/>
      </c>
      <c r="W2603" s="5">
        <f>IF(M2603="No","Attrited","Active")</f>
        <v/>
      </c>
    </row>
    <row r="2604">
      <c r="A2604" s="5" t="inlineStr">
        <is>
          <t>E02603</t>
        </is>
      </c>
      <c r="B2604" s="5" t="inlineStr">
        <is>
          <t>Male</t>
        </is>
      </c>
      <c r="C2604" s="6" t="inlineStr">
        <is>
          <t>25</t>
        </is>
      </c>
      <c r="D2604" s="5" t="inlineStr">
        <is>
          <t>Single</t>
        </is>
      </c>
      <c r="E2604" s="5" t="inlineStr">
        <is>
          <t>High School</t>
        </is>
      </c>
      <c r="F2604" s="5" t="inlineStr">
        <is>
          <t>Marketing</t>
        </is>
      </c>
      <c r="G2604" s="5" t="inlineStr">
        <is>
          <t>Marketing Analyst</t>
        </is>
      </c>
      <c r="H2604" s="5" t="inlineStr">
        <is>
          <t>1</t>
        </is>
      </c>
      <c r="I2604" s="5" t="inlineStr">
        <is>
          <t>Hyderabad</t>
        </is>
      </c>
      <c r="J2604" s="5" t="inlineStr">
        <is>
          <t>Full-Time</t>
        </is>
      </c>
      <c r="K2604" s="7" t="n">
        <v>43876</v>
      </c>
      <c r="L2604" s="7" t="n">
        <v>43916</v>
      </c>
      <c r="M2604" s="5" t="inlineStr">
        <is>
          <t>No</t>
        </is>
      </c>
      <c r="N2604" s="5" t="inlineStr">
        <is>
          <t>Resigned</t>
        </is>
      </c>
      <c r="O2604" s="8" t="inlineStr">
        <is>
          <t>73500</t>
        </is>
      </c>
      <c r="P2604" s="5" t="inlineStr">
        <is>
          <t>0</t>
        </is>
      </c>
      <c r="Q2604" s="5" t="inlineStr">
        <is>
          <t>5</t>
        </is>
      </c>
      <c r="R2604" s="5" t="inlineStr">
        <is>
          <t>8</t>
        </is>
      </c>
      <c r="S2604" s="5" t="inlineStr">
        <is>
          <t>1</t>
        </is>
      </c>
      <c r="T2604" s="5" t="inlineStr">
        <is>
          <t>20</t>
        </is>
      </c>
      <c r="U2604" s="5">
        <f>IFS(C2604&lt;30,"Under 30",C2604&lt;40,"30-39",C2604&lt;50,"40-49",TRUE,"50+")</f>
        <v/>
      </c>
      <c r="V2604" s="5">
        <f>IFS(O2604&lt;60000,"Low (&lt;60k)",O2604&lt;100000,"Mid (60-100k)",TRUE,"High (100k+)")</f>
        <v/>
      </c>
      <c r="W2604" s="5">
        <f>IF(M2604="No","Attrited","Active")</f>
        <v/>
      </c>
    </row>
    <row r="2605">
      <c r="A2605" s="5" t="inlineStr">
        <is>
          <t>E02604</t>
        </is>
      </c>
      <c r="B2605" s="5" t="inlineStr">
        <is>
          <t>Female</t>
        </is>
      </c>
      <c r="C2605" s="6" t="inlineStr">
        <is>
          <t>33</t>
        </is>
      </c>
      <c r="D2605" s="5" t="inlineStr">
        <is>
          <t>Married</t>
        </is>
      </c>
      <c r="E2605" s="5" t="inlineStr">
        <is>
          <t>Master</t>
        </is>
      </c>
      <c r="F2605" s="5" t="inlineStr">
        <is>
          <t>Operations</t>
        </is>
      </c>
      <c r="G2605" s="5" t="inlineStr">
        <is>
          <t>Quality Analyst</t>
        </is>
      </c>
      <c r="H2605" s="5" t="inlineStr">
        <is>
          <t>4</t>
        </is>
      </c>
      <c r="I2605" s="5" t="inlineStr">
        <is>
          <t>Delhi</t>
        </is>
      </c>
      <c r="J2605" s="5" t="inlineStr">
        <is>
          <t>Full-Time</t>
        </is>
      </c>
      <c r="K2605" s="7" t="n">
        <v>44058</v>
      </c>
      <c r="L2605" s="7" t="inlineStr"/>
      <c r="M2605" s="5" t="inlineStr">
        <is>
          <t>Yes</t>
        </is>
      </c>
      <c r="N2605" s="5" t="inlineStr"/>
      <c r="O2605" s="8" t="inlineStr">
        <is>
          <t>119000</t>
        </is>
      </c>
      <c r="P2605" s="5" t="inlineStr">
        <is>
          <t>15</t>
        </is>
      </c>
      <c r="Q2605" s="5" t="inlineStr">
        <is>
          <t>4</t>
        </is>
      </c>
      <c r="R2605" s="5" t="inlineStr">
        <is>
          <t>6</t>
        </is>
      </c>
      <c r="S2605" s="5" t="inlineStr">
        <is>
          <t>65</t>
        </is>
      </c>
      <c r="T2605" s="5" t="inlineStr">
        <is>
          <t>11</t>
        </is>
      </c>
      <c r="U2605" s="5">
        <f>IFS(C2605&lt;30,"Under 30",C2605&lt;40,"30-39",C2605&lt;50,"40-49",TRUE,"50+")</f>
        <v/>
      </c>
      <c r="V2605" s="5">
        <f>IFS(O2605&lt;60000,"Low (&lt;60k)",O2605&lt;100000,"Mid (60-100k)",TRUE,"High (100k+)")</f>
        <v/>
      </c>
      <c r="W2605" s="5">
        <f>IF(M2605="No","Attrited","Active")</f>
        <v/>
      </c>
    </row>
    <row r="2606">
      <c r="A2606" s="5" t="inlineStr">
        <is>
          <t>E02605</t>
        </is>
      </c>
      <c r="B2606" s="5" t="inlineStr">
        <is>
          <t>Female</t>
        </is>
      </c>
      <c r="C2606" s="6" t="inlineStr">
        <is>
          <t>37</t>
        </is>
      </c>
      <c r="D2606" s="5" t="inlineStr">
        <is>
          <t>Single</t>
        </is>
      </c>
      <c r="E2606" s="5" t="inlineStr">
        <is>
          <t>High School</t>
        </is>
      </c>
      <c r="F2606" s="5" t="inlineStr">
        <is>
          <t>Sales</t>
        </is>
      </c>
      <c r="G2606" s="5" t="inlineStr">
        <is>
          <t>Sales Executive</t>
        </is>
      </c>
      <c r="H2606" s="5" t="inlineStr">
        <is>
          <t>7</t>
        </is>
      </c>
      <c r="I2606" s="5" t="inlineStr">
        <is>
          <t>Mumbai</t>
        </is>
      </c>
      <c r="J2606" s="5" t="inlineStr">
        <is>
          <t>Full-Time</t>
        </is>
      </c>
      <c r="K2606" s="7" t="n">
        <v>44691</v>
      </c>
      <c r="L2606" s="7" t="inlineStr"/>
      <c r="M2606" s="5" t="inlineStr">
        <is>
          <t>Yes</t>
        </is>
      </c>
      <c r="N2606" s="5" t="inlineStr"/>
      <c r="O2606" s="8" t="inlineStr">
        <is>
          <t>141500</t>
        </is>
      </c>
      <c r="P2606" s="5" t="inlineStr">
        <is>
          <t>15</t>
        </is>
      </c>
      <c r="Q2606" s="5" t="inlineStr">
        <is>
          <t>4</t>
        </is>
      </c>
      <c r="R2606" s="5" t="inlineStr">
        <is>
          <t>7</t>
        </is>
      </c>
      <c r="S2606" s="5" t="inlineStr">
        <is>
          <t>44</t>
        </is>
      </c>
      <c r="T2606" s="5" t="inlineStr">
        <is>
          <t>1</t>
        </is>
      </c>
      <c r="U2606" s="5">
        <f>IFS(C2606&lt;30,"Under 30",C2606&lt;40,"30-39",C2606&lt;50,"40-49",TRUE,"50+")</f>
        <v/>
      </c>
      <c r="V2606" s="5">
        <f>IFS(O2606&lt;60000,"Low (&lt;60k)",O2606&lt;100000,"Mid (60-100k)",TRUE,"High (100k+)")</f>
        <v/>
      </c>
      <c r="W2606" s="5">
        <f>IF(M2606="No","Attrited","Active")</f>
        <v/>
      </c>
    </row>
    <row r="2607">
      <c r="A2607" s="5" t="inlineStr">
        <is>
          <t>E02606</t>
        </is>
      </c>
      <c r="B2607" s="5" t="inlineStr">
        <is>
          <t>Female</t>
        </is>
      </c>
      <c r="C2607" s="6" t="inlineStr">
        <is>
          <t>36</t>
        </is>
      </c>
      <c r="D2607" s="5" t="inlineStr">
        <is>
          <t>Divorced</t>
        </is>
      </c>
      <c r="E2607" s="5" t="inlineStr">
        <is>
          <t>High School</t>
        </is>
      </c>
      <c r="F2607" s="5" t="inlineStr">
        <is>
          <t>Operations</t>
        </is>
      </c>
      <c r="G2607" s="5" t="inlineStr">
        <is>
          <t>Logistics Coordinator</t>
        </is>
      </c>
      <c r="H2607" s="5" t="inlineStr">
        <is>
          <t>2</t>
        </is>
      </c>
      <c r="I2607" s="5" t="inlineStr">
        <is>
          <t>Hyderabad</t>
        </is>
      </c>
      <c r="J2607" s="5" t="inlineStr">
        <is>
          <t>Full-Time</t>
        </is>
      </c>
      <c r="K2607" s="7" t="n">
        <v>45418</v>
      </c>
      <c r="L2607" s="7" t="inlineStr"/>
      <c r="M2607" s="5" t="inlineStr">
        <is>
          <t>Yes</t>
        </is>
      </c>
      <c r="N2607" s="5" t="inlineStr"/>
      <c r="O2607" s="8" t="inlineStr">
        <is>
          <t>102000</t>
        </is>
      </c>
      <c r="P2607" s="5" t="inlineStr">
        <is>
          <t>5</t>
        </is>
      </c>
      <c r="Q2607" s="5" t="inlineStr">
        <is>
          <t>4</t>
        </is>
      </c>
      <c r="R2607" s="5" t="inlineStr">
        <is>
          <t>6</t>
        </is>
      </c>
      <c r="S2607" s="5" t="inlineStr">
        <is>
          <t>20</t>
        </is>
      </c>
      <c r="T2607" s="5" t="inlineStr">
        <is>
          <t>1</t>
        </is>
      </c>
      <c r="U2607" s="5">
        <f>IFS(C2607&lt;30,"Under 30",C2607&lt;40,"30-39",C2607&lt;50,"40-49",TRUE,"50+")</f>
        <v/>
      </c>
      <c r="V2607" s="5">
        <f>IFS(O2607&lt;60000,"Low (&lt;60k)",O2607&lt;100000,"Mid (60-100k)",TRUE,"High (100k+)")</f>
        <v/>
      </c>
      <c r="W2607" s="5">
        <f>IF(M2607="No","Attrited","Active")</f>
        <v/>
      </c>
    </row>
    <row r="2608">
      <c r="A2608" s="5" t="inlineStr">
        <is>
          <t>E02607</t>
        </is>
      </c>
      <c r="B2608" s="5" t="inlineStr">
        <is>
          <t>Female</t>
        </is>
      </c>
      <c r="C2608" s="6" t="inlineStr">
        <is>
          <t>33</t>
        </is>
      </c>
      <c r="D2608" s="5" t="inlineStr">
        <is>
          <t>Married</t>
        </is>
      </c>
      <c r="E2608" s="5" t="inlineStr">
        <is>
          <t>Diploma</t>
        </is>
      </c>
      <c r="F2608" s="5" t="inlineStr">
        <is>
          <t>Human Resources</t>
        </is>
      </c>
      <c r="G2608" s="5" t="inlineStr">
        <is>
          <t>Recruiter</t>
        </is>
      </c>
      <c r="H2608" s="5" t="inlineStr">
        <is>
          <t>3</t>
        </is>
      </c>
      <c r="I2608" s="5" t="inlineStr">
        <is>
          <t>Chennai</t>
        </is>
      </c>
      <c r="J2608" s="5" t="inlineStr">
        <is>
          <t>Full-Time</t>
        </is>
      </c>
      <c r="K2608" s="7" t="n">
        <v>45049</v>
      </c>
      <c r="L2608" s="7" t="inlineStr"/>
      <c r="M2608" s="5" t="inlineStr">
        <is>
          <t>Yes</t>
        </is>
      </c>
      <c r="N2608" s="5" t="inlineStr"/>
      <c r="O2608" s="8" t="inlineStr">
        <is>
          <t>117000</t>
        </is>
      </c>
      <c r="P2608" s="5" t="inlineStr">
        <is>
          <t>15</t>
        </is>
      </c>
      <c r="Q2608" s="5" t="inlineStr">
        <is>
          <t>4</t>
        </is>
      </c>
      <c r="R2608" s="5" t="inlineStr">
        <is>
          <t>6</t>
        </is>
      </c>
      <c r="S2608" s="5" t="inlineStr">
        <is>
          <t>32</t>
        </is>
      </c>
      <c r="T2608" s="5" t="inlineStr">
        <is>
          <t>3</t>
        </is>
      </c>
      <c r="U2608" s="5">
        <f>IFS(C2608&lt;30,"Under 30",C2608&lt;40,"30-39",C2608&lt;50,"40-49",TRUE,"50+")</f>
        <v/>
      </c>
      <c r="V2608" s="5">
        <f>IFS(O2608&lt;60000,"Low (&lt;60k)",O2608&lt;100000,"Mid (60-100k)",TRUE,"High (100k+)")</f>
        <v/>
      </c>
      <c r="W2608" s="5">
        <f>IF(M2608="No","Attrited","Active")</f>
        <v/>
      </c>
    </row>
    <row r="2609">
      <c r="A2609" s="5" t="inlineStr">
        <is>
          <t>E02608</t>
        </is>
      </c>
      <c r="B2609" s="5" t="inlineStr">
        <is>
          <t>Female</t>
        </is>
      </c>
      <c r="C2609" s="6" t="inlineStr">
        <is>
          <t>42</t>
        </is>
      </c>
      <c r="D2609" s="5" t="inlineStr">
        <is>
          <t>Married</t>
        </is>
      </c>
      <c r="E2609" s="5" t="inlineStr">
        <is>
          <t>Master</t>
        </is>
      </c>
      <c r="F2609" s="5" t="inlineStr">
        <is>
          <t>Finance</t>
        </is>
      </c>
      <c r="G2609" s="5" t="inlineStr">
        <is>
          <t>Financial Analyst</t>
        </is>
      </c>
      <c r="H2609" s="5" t="inlineStr">
        <is>
          <t>5</t>
        </is>
      </c>
      <c r="I2609" s="5" t="inlineStr">
        <is>
          <t>Mumbai</t>
        </is>
      </c>
      <c r="J2609" s="5" t="inlineStr">
        <is>
          <t>Full-Time</t>
        </is>
      </c>
      <c r="K2609" s="7" t="n">
        <v>45418</v>
      </c>
      <c r="L2609" s="7" t="inlineStr"/>
      <c r="M2609" s="5" t="inlineStr">
        <is>
          <t>Yes</t>
        </is>
      </c>
      <c r="N2609" s="5" t="inlineStr"/>
      <c r="O2609" s="8" t="inlineStr">
        <is>
          <t>145000</t>
        </is>
      </c>
      <c r="P2609" s="5" t="inlineStr">
        <is>
          <t>10</t>
        </is>
      </c>
      <c r="Q2609" s="5" t="inlineStr">
        <is>
          <t>3</t>
        </is>
      </c>
      <c r="R2609" s="5" t="inlineStr">
        <is>
          <t>6</t>
        </is>
      </c>
      <c r="S2609" s="5" t="inlineStr">
        <is>
          <t>20</t>
        </is>
      </c>
      <c r="T2609" s="5" t="inlineStr">
        <is>
          <t>25</t>
        </is>
      </c>
      <c r="U2609" s="5">
        <f>IFS(C2609&lt;30,"Under 30",C2609&lt;40,"30-39",C2609&lt;50,"40-49",TRUE,"50+")</f>
        <v/>
      </c>
      <c r="V2609" s="5">
        <f>IFS(O2609&lt;60000,"Low (&lt;60k)",O2609&lt;100000,"Mid (60-100k)",TRUE,"High (100k+)")</f>
        <v/>
      </c>
      <c r="W2609" s="5">
        <f>IF(M2609="No","Attrited","Active")</f>
        <v/>
      </c>
    </row>
    <row r="2610">
      <c r="A2610" s="5" t="inlineStr">
        <is>
          <t>E02609</t>
        </is>
      </c>
      <c r="B2610" s="5" t="inlineStr">
        <is>
          <t>Male</t>
        </is>
      </c>
      <c r="C2610" s="6" t="inlineStr">
        <is>
          <t>32</t>
        </is>
      </c>
      <c r="D2610" s="5" t="inlineStr">
        <is>
          <t>Married</t>
        </is>
      </c>
      <c r="E2610" s="5" t="inlineStr">
        <is>
          <t>High School</t>
        </is>
      </c>
      <c r="F2610" s="5" t="inlineStr">
        <is>
          <t>Finance</t>
        </is>
      </c>
      <c r="G2610" s="5" t="inlineStr">
        <is>
          <t>Credit Analyst</t>
        </is>
      </c>
      <c r="H2610" s="5" t="inlineStr">
        <is>
          <t>5</t>
        </is>
      </c>
      <c r="I2610" s="5" t="inlineStr">
        <is>
          <t>Mumbai</t>
        </is>
      </c>
      <c r="J2610" s="5" t="inlineStr">
        <is>
          <t>Full-Time</t>
        </is>
      </c>
      <c r="K2610" s="7" t="n">
        <v>44338</v>
      </c>
      <c r="L2610" s="7" t="inlineStr"/>
      <c r="M2610" s="5" t="inlineStr">
        <is>
          <t>Yes</t>
        </is>
      </c>
      <c r="N2610" s="5" t="inlineStr"/>
      <c r="O2610" s="8" t="inlineStr">
        <is>
          <t>146000</t>
        </is>
      </c>
      <c r="P2610" s="5" t="inlineStr">
        <is>
          <t>10</t>
        </is>
      </c>
      <c r="Q2610" s="5" t="inlineStr">
        <is>
          <t>4</t>
        </is>
      </c>
      <c r="R2610" s="5" t="inlineStr">
        <is>
          <t>3</t>
        </is>
      </c>
      <c r="S2610" s="5" t="inlineStr">
        <is>
          <t>56</t>
        </is>
      </c>
      <c r="T2610" s="5" t="inlineStr">
        <is>
          <t>7</t>
        </is>
      </c>
      <c r="U2610" s="5">
        <f>IFS(C2610&lt;30,"Under 30",C2610&lt;40,"30-39",C2610&lt;50,"40-49",TRUE,"50+")</f>
        <v/>
      </c>
      <c r="V2610" s="5">
        <f>IFS(O2610&lt;60000,"Low (&lt;60k)",O2610&lt;100000,"Mid (60-100k)",TRUE,"High (100k+)")</f>
        <v/>
      </c>
      <c r="W2610" s="5">
        <f>IF(M2610="No","Attrited","Active")</f>
        <v/>
      </c>
    </row>
    <row r="2611">
      <c r="A2611" s="5" t="inlineStr">
        <is>
          <t>E02610</t>
        </is>
      </c>
      <c r="B2611" s="5" t="inlineStr">
        <is>
          <t>Female</t>
        </is>
      </c>
      <c r="C2611" s="6" t="inlineStr">
        <is>
          <t>31</t>
        </is>
      </c>
      <c r="D2611" s="5" t="inlineStr">
        <is>
          <t>Divorced</t>
        </is>
      </c>
      <c r="E2611" s="5" t="inlineStr">
        <is>
          <t>Bachelor</t>
        </is>
      </c>
      <c r="F2611" s="5" t="inlineStr">
        <is>
          <t>Finance</t>
        </is>
      </c>
      <c r="G2611" s="5" t="inlineStr">
        <is>
          <t>Accountant</t>
        </is>
      </c>
      <c r="H2611" s="5" t="inlineStr">
        <is>
          <t>5</t>
        </is>
      </c>
      <c r="I2611" s="5" t="inlineStr">
        <is>
          <t>Chennai</t>
        </is>
      </c>
      <c r="J2611" s="5" t="inlineStr">
        <is>
          <t>Full-Time</t>
        </is>
      </c>
      <c r="K2611" s="7" t="n">
        <v>44092</v>
      </c>
      <c r="L2611" s="7" t="inlineStr"/>
      <c r="M2611" s="5" t="inlineStr">
        <is>
          <t>Yes</t>
        </is>
      </c>
      <c r="N2611" s="5" t="inlineStr"/>
      <c r="O2611" s="8" t="inlineStr">
        <is>
          <t>171000</t>
        </is>
      </c>
      <c r="P2611" s="5" t="inlineStr">
        <is>
          <t>0</t>
        </is>
      </c>
      <c r="Q2611" s="5" t="inlineStr">
        <is>
          <t>5</t>
        </is>
      </c>
      <c r="R2611" s="5" t="inlineStr">
        <is>
          <t>7</t>
        </is>
      </c>
      <c r="S2611" s="5" t="inlineStr">
        <is>
          <t>64</t>
        </is>
      </c>
      <c r="T2611" s="5" t="inlineStr">
        <is>
          <t>16</t>
        </is>
      </c>
      <c r="U2611" s="5">
        <f>IFS(C2611&lt;30,"Under 30",C2611&lt;40,"30-39",C2611&lt;50,"40-49",TRUE,"50+")</f>
        <v/>
      </c>
      <c r="V2611" s="5">
        <f>IFS(O2611&lt;60000,"Low (&lt;60k)",O2611&lt;100000,"Mid (60-100k)",TRUE,"High (100k+)")</f>
        <v/>
      </c>
      <c r="W2611" s="5">
        <f>IF(M2611="No","Attrited","Active")</f>
        <v/>
      </c>
    </row>
    <row r="2612">
      <c r="A2612" s="5" t="inlineStr">
        <is>
          <t>E02611</t>
        </is>
      </c>
      <c r="B2612" s="5" t="inlineStr">
        <is>
          <t>Female</t>
        </is>
      </c>
      <c r="C2612" s="6" t="inlineStr">
        <is>
          <t>24</t>
        </is>
      </c>
      <c r="D2612" s="5" t="inlineStr">
        <is>
          <t>Married</t>
        </is>
      </c>
      <c r="E2612" s="5" t="inlineStr">
        <is>
          <t>Master</t>
        </is>
      </c>
      <c r="F2612" s="5" t="inlineStr">
        <is>
          <t>Marketing</t>
        </is>
      </c>
      <c r="G2612" s="5" t="inlineStr">
        <is>
          <t>Content Writer</t>
        </is>
      </c>
      <c r="H2612" s="5" t="inlineStr">
        <is>
          <t>1</t>
        </is>
      </c>
      <c r="I2612" s="5" t="inlineStr">
        <is>
          <t>Chennai</t>
        </is>
      </c>
      <c r="J2612" s="5" t="inlineStr">
        <is>
          <t>Full-Time</t>
        </is>
      </c>
      <c r="K2612" s="7" t="n">
        <v>44093</v>
      </c>
      <c r="L2612" s="7" t="inlineStr"/>
      <c r="M2612" s="5" t="inlineStr">
        <is>
          <t>Yes</t>
        </is>
      </c>
      <c r="N2612" s="5" t="inlineStr"/>
      <c r="O2612" s="8" t="inlineStr">
        <is>
          <t>67500</t>
        </is>
      </c>
      <c r="P2612" s="5" t="inlineStr">
        <is>
          <t>15</t>
        </is>
      </c>
      <c r="Q2612" s="5" t="inlineStr">
        <is>
          <t>3</t>
        </is>
      </c>
      <c r="R2612" s="5" t="inlineStr">
        <is>
          <t>4</t>
        </is>
      </c>
      <c r="S2612" s="5" t="inlineStr">
        <is>
          <t>64</t>
        </is>
      </c>
      <c r="T2612" s="5" t="inlineStr">
        <is>
          <t>7</t>
        </is>
      </c>
      <c r="U2612" s="5">
        <f>IFS(C2612&lt;30,"Under 30",C2612&lt;40,"30-39",C2612&lt;50,"40-49",TRUE,"50+")</f>
        <v/>
      </c>
      <c r="V2612" s="5">
        <f>IFS(O2612&lt;60000,"Low (&lt;60k)",O2612&lt;100000,"Mid (60-100k)",TRUE,"High (100k+)")</f>
        <v/>
      </c>
      <c r="W2612" s="5">
        <f>IF(M2612="No","Attrited","Active")</f>
        <v/>
      </c>
    </row>
    <row r="2613">
      <c r="A2613" s="5" t="inlineStr">
        <is>
          <t>E02612</t>
        </is>
      </c>
      <c r="B2613" s="5" t="inlineStr">
        <is>
          <t>Female</t>
        </is>
      </c>
      <c r="C2613" s="6" t="inlineStr">
        <is>
          <t>35</t>
        </is>
      </c>
      <c r="D2613" s="5" t="inlineStr">
        <is>
          <t>Married</t>
        </is>
      </c>
      <c r="E2613" s="5" t="inlineStr">
        <is>
          <t>Bachelor</t>
        </is>
      </c>
      <c r="F2613" s="5" t="inlineStr">
        <is>
          <t>Marketing</t>
        </is>
      </c>
      <c r="G2613" s="5" t="inlineStr">
        <is>
          <t>Content Writer</t>
        </is>
      </c>
      <c r="H2613" s="5" t="inlineStr">
        <is>
          <t>3</t>
        </is>
      </c>
      <c r="I2613" s="5" t="inlineStr">
        <is>
          <t>Bengaluru</t>
        </is>
      </c>
      <c r="J2613" s="5" t="inlineStr">
        <is>
          <t>Full-Time</t>
        </is>
      </c>
      <c r="K2613" s="7" t="n">
        <v>45285</v>
      </c>
      <c r="L2613" s="7" t="n">
        <v>45357</v>
      </c>
      <c r="M2613" s="5" t="inlineStr">
        <is>
          <t>No</t>
        </is>
      </c>
      <c r="N2613" s="5" t="inlineStr">
        <is>
          <t>Resigned</t>
        </is>
      </c>
      <c r="O2613" s="8" t="inlineStr">
        <is>
          <t>102000</t>
        </is>
      </c>
      <c r="P2613" s="5" t="inlineStr">
        <is>
          <t>0</t>
        </is>
      </c>
      <c r="Q2613" s="5" t="inlineStr">
        <is>
          <t>5</t>
        </is>
      </c>
      <c r="R2613" s="5" t="inlineStr">
        <is>
          <t>8</t>
        </is>
      </c>
      <c r="S2613" s="5" t="inlineStr">
        <is>
          <t>2</t>
        </is>
      </c>
      <c r="T2613" s="5" t="inlineStr">
        <is>
          <t>11</t>
        </is>
      </c>
      <c r="U2613" s="5">
        <f>IFS(C2613&lt;30,"Under 30",C2613&lt;40,"30-39",C2613&lt;50,"40-49",TRUE,"50+")</f>
        <v/>
      </c>
      <c r="V2613" s="5">
        <f>IFS(O2613&lt;60000,"Low (&lt;60k)",O2613&lt;100000,"Mid (60-100k)",TRUE,"High (100k+)")</f>
        <v/>
      </c>
      <c r="W2613" s="5">
        <f>IF(M2613="No","Attrited","Active")</f>
        <v/>
      </c>
    </row>
    <row r="2614">
      <c r="A2614" s="5" t="inlineStr">
        <is>
          <t>E02613</t>
        </is>
      </c>
      <c r="B2614" s="5" t="inlineStr">
        <is>
          <t>Male</t>
        </is>
      </c>
      <c r="C2614" s="6" t="inlineStr">
        <is>
          <t>29</t>
        </is>
      </c>
      <c r="D2614" s="5" t="inlineStr">
        <is>
          <t>Married</t>
        </is>
      </c>
      <c r="E2614" s="5" t="inlineStr">
        <is>
          <t>Master</t>
        </is>
      </c>
      <c r="F2614" s="5" t="inlineStr">
        <is>
          <t>IT</t>
        </is>
      </c>
      <c r="G2614" s="5" t="inlineStr">
        <is>
          <t>IT Support</t>
        </is>
      </c>
      <c r="H2614" s="5" t="inlineStr">
        <is>
          <t>2</t>
        </is>
      </c>
      <c r="I2614" s="5" t="inlineStr">
        <is>
          <t>Bengaluru</t>
        </is>
      </c>
      <c r="J2614" s="5" t="inlineStr">
        <is>
          <t>Full-Time</t>
        </is>
      </c>
      <c r="K2614" s="7" t="n">
        <v>44528</v>
      </c>
      <c r="L2614" s="7" t="inlineStr"/>
      <c r="M2614" s="5" t="inlineStr">
        <is>
          <t>Yes</t>
        </is>
      </c>
      <c r="N2614" s="5" t="inlineStr"/>
      <c r="O2614" s="8" t="inlineStr">
        <is>
          <t>96500</t>
        </is>
      </c>
      <c r="P2614" s="5" t="inlineStr">
        <is>
          <t>10</t>
        </is>
      </c>
      <c r="Q2614" s="5" t="inlineStr">
        <is>
          <t>3</t>
        </is>
      </c>
      <c r="R2614" s="5" t="inlineStr">
        <is>
          <t>7</t>
        </is>
      </c>
      <c r="S2614" s="5" t="inlineStr">
        <is>
          <t>49</t>
        </is>
      </c>
      <c r="T2614" s="5" t="inlineStr">
        <is>
          <t>2</t>
        </is>
      </c>
      <c r="U2614" s="5">
        <f>IFS(C2614&lt;30,"Under 30",C2614&lt;40,"30-39",C2614&lt;50,"40-49",TRUE,"50+")</f>
        <v/>
      </c>
      <c r="V2614" s="5">
        <f>IFS(O2614&lt;60000,"Low (&lt;60k)",O2614&lt;100000,"Mid (60-100k)",TRUE,"High (100k+)")</f>
        <v/>
      </c>
      <c r="W2614" s="5">
        <f>IF(M2614="No","Attrited","Active")</f>
        <v/>
      </c>
    </row>
    <row r="2615">
      <c r="A2615" s="5" t="inlineStr">
        <is>
          <t>E02614</t>
        </is>
      </c>
      <c r="B2615" s="5" t="inlineStr">
        <is>
          <t>Male</t>
        </is>
      </c>
      <c r="C2615" s="6" t="inlineStr">
        <is>
          <t>33</t>
        </is>
      </c>
      <c r="D2615" s="5" t="inlineStr">
        <is>
          <t>Single</t>
        </is>
      </c>
      <c r="E2615" s="5" t="inlineStr">
        <is>
          <t>Master</t>
        </is>
      </c>
      <c r="F2615" s="5" t="inlineStr">
        <is>
          <t>Customer Support</t>
        </is>
      </c>
      <c r="G2615" s="5" t="inlineStr">
        <is>
          <t>Support Lead</t>
        </is>
      </c>
      <c r="H2615" s="5" t="inlineStr">
        <is>
          <t>3</t>
        </is>
      </c>
      <c r="I2615" s="5" t="inlineStr">
        <is>
          <t>Remote</t>
        </is>
      </c>
      <c r="J2615" s="5" t="inlineStr">
        <is>
          <t>Full-Time</t>
        </is>
      </c>
      <c r="K2615" s="7" t="n">
        <v>44876</v>
      </c>
      <c r="L2615" s="7" t="inlineStr"/>
      <c r="M2615" s="5" t="inlineStr">
        <is>
          <t>Yes</t>
        </is>
      </c>
      <c r="N2615" s="5" t="inlineStr"/>
      <c r="O2615" s="8" t="inlineStr">
        <is>
          <t>82000</t>
        </is>
      </c>
      <c r="P2615" s="5" t="inlineStr">
        <is>
          <t>5</t>
        </is>
      </c>
      <c r="Q2615" s="5" t="inlineStr">
        <is>
          <t>3</t>
        </is>
      </c>
      <c r="R2615" s="5" t="inlineStr">
        <is>
          <t>7</t>
        </is>
      </c>
      <c r="S2615" s="5" t="inlineStr">
        <is>
          <t>38</t>
        </is>
      </c>
      <c r="T2615" s="5" t="inlineStr">
        <is>
          <t>6</t>
        </is>
      </c>
      <c r="U2615" s="5">
        <f>IFS(C2615&lt;30,"Under 30",C2615&lt;40,"30-39",C2615&lt;50,"40-49",TRUE,"50+")</f>
        <v/>
      </c>
      <c r="V2615" s="5">
        <f>IFS(O2615&lt;60000,"Low (&lt;60k)",O2615&lt;100000,"Mid (60-100k)",TRUE,"High (100k+)")</f>
        <v/>
      </c>
      <c r="W2615" s="5">
        <f>IF(M2615="No","Attrited","Active")</f>
        <v/>
      </c>
    </row>
    <row r="2616">
      <c r="A2616" s="5" t="inlineStr">
        <is>
          <t>E02615</t>
        </is>
      </c>
      <c r="B2616" s="5" t="inlineStr">
        <is>
          <t>Male</t>
        </is>
      </c>
      <c r="C2616" s="6" t="inlineStr">
        <is>
          <t>27</t>
        </is>
      </c>
      <c r="D2616" s="5" t="inlineStr">
        <is>
          <t>Married</t>
        </is>
      </c>
      <c r="E2616" s="5" t="inlineStr">
        <is>
          <t>Diploma</t>
        </is>
      </c>
      <c r="F2616" s="5" t="inlineStr">
        <is>
          <t>IT</t>
        </is>
      </c>
      <c r="G2616" s="5" t="inlineStr">
        <is>
          <t>Software Engineer</t>
        </is>
      </c>
      <c r="H2616" s="5" t="inlineStr">
        <is>
          <t>1</t>
        </is>
      </c>
      <c r="I2616" s="5" t="inlineStr">
        <is>
          <t>Hyderabad</t>
        </is>
      </c>
      <c r="J2616" s="5" t="inlineStr">
        <is>
          <t>Full-Time</t>
        </is>
      </c>
      <c r="K2616" s="7" t="n">
        <v>44459</v>
      </c>
      <c r="L2616" s="7" t="inlineStr"/>
      <c r="M2616" s="5" t="inlineStr">
        <is>
          <t>Yes</t>
        </is>
      </c>
      <c r="N2616" s="5" t="inlineStr"/>
      <c r="O2616" s="8" t="inlineStr">
        <is>
          <t>122500</t>
        </is>
      </c>
      <c r="P2616" s="5" t="inlineStr">
        <is>
          <t>5</t>
        </is>
      </c>
      <c r="Q2616" s="5" t="inlineStr">
        <is>
          <t>4</t>
        </is>
      </c>
      <c r="R2616" s="5" t="inlineStr">
        <is>
          <t>8</t>
        </is>
      </c>
      <c r="S2616" s="5" t="inlineStr">
        <is>
          <t>52</t>
        </is>
      </c>
      <c r="T2616" s="5" t="inlineStr">
        <is>
          <t>10</t>
        </is>
      </c>
      <c r="U2616" s="5">
        <f>IFS(C2616&lt;30,"Under 30",C2616&lt;40,"30-39",C2616&lt;50,"40-49",TRUE,"50+")</f>
        <v/>
      </c>
      <c r="V2616" s="5">
        <f>IFS(O2616&lt;60000,"Low (&lt;60k)",O2616&lt;100000,"Mid (60-100k)",TRUE,"High (100k+)")</f>
        <v/>
      </c>
      <c r="W2616" s="5">
        <f>IF(M2616="No","Attrited","Active")</f>
        <v/>
      </c>
    </row>
    <row r="2617">
      <c r="A2617" s="5" t="inlineStr">
        <is>
          <t>E02616</t>
        </is>
      </c>
      <c r="B2617" s="5" t="inlineStr">
        <is>
          <t>Female</t>
        </is>
      </c>
      <c r="C2617" s="6" t="inlineStr">
        <is>
          <t>28</t>
        </is>
      </c>
      <c r="D2617" s="5" t="inlineStr">
        <is>
          <t>Married</t>
        </is>
      </c>
      <c r="E2617" s="5" t="inlineStr">
        <is>
          <t>Master</t>
        </is>
      </c>
      <c r="F2617" s="5" t="inlineStr">
        <is>
          <t>Operations</t>
        </is>
      </c>
      <c r="G2617" s="5" t="inlineStr">
        <is>
          <t>Operations Analyst</t>
        </is>
      </c>
      <c r="H2617" s="5" t="inlineStr">
        <is>
          <t>2</t>
        </is>
      </c>
      <c r="I2617" s="5" t="inlineStr">
        <is>
          <t>Bengaluru</t>
        </is>
      </c>
      <c r="J2617" s="5" t="inlineStr">
        <is>
          <t>Part-Time</t>
        </is>
      </c>
      <c r="K2617" s="7" t="n">
        <v>45412</v>
      </c>
      <c r="L2617" s="7" t="inlineStr"/>
      <c r="M2617" s="5" t="inlineStr">
        <is>
          <t>Yes</t>
        </is>
      </c>
      <c r="N2617" s="5" t="inlineStr"/>
      <c r="O2617" s="8" t="inlineStr">
        <is>
          <t>100500</t>
        </is>
      </c>
      <c r="P2617" s="5" t="inlineStr">
        <is>
          <t>10</t>
        </is>
      </c>
      <c r="Q2617" s="5" t="inlineStr">
        <is>
          <t>3</t>
        </is>
      </c>
      <c r="R2617" s="5" t="inlineStr">
        <is>
          <t>3</t>
        </is>
      </c>
      <c r="S2617" s="5" t="inlineStr">
        <is>
          <t>20</t>
        </is>
      </c>
      <c r="T2617" s="5" t="inlineStr">
        <is>
          <t>7</t>
        </is>
      </c>
      <c r="U2617" s="5">
        <f>IFS(C2617&lt;30,"Under 30",C2617&lt;40,"30-39",C2617&lt;50,"40-49",TRUE,"50+")</f>
        <v/>
      </c>
      <c r="V2617" s="5">
        <f>IFS(O2617&lt;60000,"Low (&lt;60k)",O2617&lt;100000,"Mid (60-100k)",TRUE,"High (100k+)")</f>
        <v/>
      </c>
      <c r="W2617" s="5">
        <f>IF(M2617="No","Attrited","Active")</f>
        <v/>
      </c>
    </row>
    <row r="2618">
      <c r="A2618" s="5" t="inlineStr">
        <is>
          <t>E02617</t>
        </is>
      </c>
      <c r="B2618" s="5" t="inlineStr">
        <is>
          <t>Female</t>
        </is>
      </c>
      <c r="C2618" s="6" t="inlineStr">
        <is>
          <t>27</t>
        </is>
      </c>
      <c r="D2618" s="5" t="inlineStr">
        <is>
          <t>Married</t>
        </is>
      </c>
      <c r="E2618" s="5" t="inlineStr">
        <is>
          <t>Master</t>
        </is>
      </c>
      <c r="F2618" s="5" t="inlineStr">
        <is>
          <t>Sales</t>
        </is>
      </c>
      <c r="G2618" s="5" t="inlineStr">
        <is>
          <t>Business Development</t>
        </is>
      </c>
      <c r="H2618" s="5" t="inlineStr">
        <is>
          <t>1</t>
        </is>
      </c>
      <c r="I2618" s="5" t="inlineStr">
        <is>
          <t>Delhi</t>
        </is>
      </c>
      <c r="J2618" s="5" t="inlineStr">
        <is>
          <t>Contract</t>
        </is>
      </c>
      <c r="K2618" s="7" t="n">
        <v>44774</v>
      </c>
      <c r="L2618" s="7" t="inlineStr"/>
      <c r="M2618" s="5" t="inlineStr">
        <is>
          <t>Yes</t>
        </is>
      </c>
      <c r="N2618" s="5" t="inlineStr"/>
      <c r="O2618" s="8" t="inlineStr">
        <is>
          <t>75500</t>
        </is>
      </c>
      <c r="P2618" s="5" t="inlineStr">
        <is>
          <t>20</t>
        </is>
      </c>
      <c r="Q2618" s="5" t="inlineStr">
        <is>
          <t>5</t>
        </is>
      </c>
      <c r="R2618" s="5" t="inlineStr">
        <is>
          <t>7</t>
        </is>
      </c>
      <c r="S2618" s="5" t="inlineStr">
        <is>
          <t>41</t>
        </is>
      </c>
      <c r="T2618" s="5" t="inlineStr">
        <is>
          <t>4</t>
        </is>
      </c>
      <c r="U2618" s="5">
        <f>IFS(C2618&lt;30,"Under 30",C2618&lt;40,"30-39",C2618&lt;50,"40-49",TRUE,"50+")</f>
        <v/>
      </c>
      <c r="V2618" s="5">
        <f>IFS(O2618&lt;60000,"Low (&lt;60k)",O2618&lt;100000,"Mid (60-100k)",TRUE,"High (100k+)")</f>
        <v/>
      </c>
      <c r="W2618" s="5">
        <f>IF(M2618="No","Attrited","Active")</f>
        <v/>
      </c>
    </row>
    <row r="2619">
      <c r="A2619" s="5" t="inlineStr">
        <is>
          <t>E02618</t>
        </is>
      </c>
      <c r="B2619" s="5" t="inlineStr">
        <is>
          <t>Male</t>
        </is>
      </c>
      <c r="C2619" s="6" t="inlineStr">
        <is>
          <t>30</t>
        </is>
      </c>
      <c r="D2619" s="5" t="inlineStr">
        <is>
          <t>Married</t>
        </is>
      </c>
      <c r="E2619" s="5" t="inlineStr">
        <is>
          <t>High School</t>
        </is>
      </c>
      <c r="F2619" s="5" t="inlineStr">
        <is>
          <t>Research &amp; Development</t>
        </is>
      </c>
      <c r="G2619" s="5" t="inlineStr">
        <is>
          <t>Research Scientist</t>
        </is>
      </c>
      <c r="H2619" s="5" t="inlineStr">
        <is>
          <t>2</t>
        </is>
      </c>
      <c r="I2619" s="5" t="inlineStr">
        <is>
          <t>Hyderabad</t>
        </is>
      </c>
      <c r="J2619" s="5" t="inlineStr">
        <is>
          <t>Full-Time</t>
        </is>
      </c>
      <c r="K2619" s="7" t="n">
        <v>44100</v>
      </c>
      <c r="L2619" s="7" t="inlineStr"/>
      <c r="M2619" s="5" t="inlineStr">
        <is>
          <t>Yes</t>
        </is>
      </c>
      <c r="N2619" s="5" t="inlineStr"/>
      <c r="O2619" s="8" t="inlineStr">
        <is>
          <t>140500</t>
        </is>
      </c>
      <c r="P2619" s="5" t="inlineStr">
        <is>
          <t>5</t>
        </is>
      </c>
      <c r="Q2619" s="5" t="inlineStr">
        <is>
          <t>3</t>
        </is>
      </c>
      <c r="R2619" s="5" t="inlineStr">
        <is>
          <t>3</t>
        </is>
      </c>
      <c r="S2619" s="5" t="inlineStr">
        <is>
          <t>64</t>
        </is>
      </c>
      <c r="T2619" s="5" t="inlineStr">
        <is>
          <t>6</t>
        </is>
      </c>
      <c r="U2619" s="5">
        <f>IFS(C2619&lt;30,"Under 30",C2619&lt;40,"30-39",C2619&lt;50,"40-49",TRUE,"50+")</f>
        <v/>
      </c>
      <c r="V2619" s="5">
        <f>IFS(O2619&lt;60000,"Low (&lt;60k)",O2619&lt;100000,"Mid (60-100k)",TRUE,"High (100k+)")</f>
        <v/>
      </c>
      <c r="W2619" s="5">
        <f>IF(M2619="No","Attrited","Active")</f>
        <v/>
      </c>
    </row>
    <row r="2620">
      <c r="A2620" s="5" t="inlineStr">
        <is>
          <t>E02619</t>
        </is>
      </c>
      <c r="B2620" s="5" t="inlineStr">
        <is>
          <t>Female</t>
        </is>
      </c>
      <c r="C2620" s="6" t="inlineStr">
        <is>
          <t>30</t>
        </is>
      </c>
      <c r="D2620" s="5" t="inlineStr">
        <is>
          <t>Married</t>
        </is>
      </c>
      <c r="E2620" s="5" t="inlineStr">
        <is>
          <t>Master</t>
        </is>
      </c>
      <c r="F2620" s="5" t="inlineStr">
        <is>
          <t>Executive</t>
        </is>
      </c>
      <c r="G2620" s="5" t="inlineStr">
        <is>
          <t>CEO</t>
        </is>
      </c>
      <c r="H2620" s="5" t="inlineStr">
        <is>
          <t>2</t>
        </is>
      </c>
      <c r="I2620" s="5" t="inlineStr">
        <is>
          <t>Chennai</t>
        </is>
      </c>
      <c r="J2620" s="5" t="inlineStr">
        <is>
          <t>Full-Time</t>
        </is>
      </c>
      <c r="K2620" s="7" t="n">
        <v>45971</v>
      </c>
      <c r="L2620" s="7" t="inlineStr"/>
      <c r="M2620" s="5" t="inlineStr">
        <is>
          <t>Yes</t>
        </is>
      </c>
      <c r="N2620" s="5" t="inlineStr"/>
      <c r="O2620" s="8" t="inlineStr">
        <is>
          <t>286500</t>
        </is>
      </c>
      <c r="P2620" s="5" t="inlineStr">
        <is>
          <t>10</t>
        </is>
      </c>
      <c r="Q2620" s="5" t="inlineStr">
        <is>
          <t>3</t>
        </is>
      </c>
      <c r="R2620" s="5" t="inlineStr">
        <is>
          <t>8</t>
        </is>
      </c>
      <c r="S2620" s="5" t="inlineStr">
        <is>
          <t>1</t>
        </is>
      </c>
      <c r="T2620" s="5" t="inlineStr">
        <is>
          <t>1</t>
        </is>
      </c>
      <c r="U2620" s="5">
        <f>IFS(C2620&lt;30,"Under 30",C2620&lt;40,"30-39",C2620&lt;50,"40-49",TRUE,"50+")</f>
        <v/>
      </c>
      <c r="V2620" s="5">
        <f>IFS(O2620&lt;60000,"Low (&lt;60k)",O2620&lt;100000,"Mid (60-100k)",TRUE,"High (100k+)")</f>
        <v/>
      </c>
      <c r="W2620" s="5">
        <f>IF(M2620="No","Attrited","Active")</f>
        <v/>
      </c>
    </row>
    <row r="2621">
      <c r="A2621" s="5" t="inlineStr">
        <is>
          <t>E02620</t>
        </is>
      </c>
      <c r="B2621" s="5" t="inlineStr">
        <is>
          <t>Female</t>
        </is>
      </c>
      <c r="C2621" s="6" t="inlineStr">
        <is>
          <t>29</t>
        </is>
      </c>
      <c r="D2621" s="5" t="inlineStr">
        <is>
          <t>Married</t>
        </is>
      </c>
      <c r="E2621" s="5" t="inlineStr">
        <is>
          <t>Bachelor</t>
        </is>
      </c>
      <c r="F2621" s="5" t="inlineStr">
        <is>
          <t>Customer Support</t>
        </is>
      </c>
      <c r="G2621" s="5" t="inlineStr">
        <is>
          <t>Support Lead</t>
        </is>
      </c>
      <c r="H2621" s="5" t="inlineStr">
        <is>
          <t>1</t>
        </is>
      </c>
      <c r="I2621" s="5" t="inlineStr">
        <is>
          <t>Chennai</t>
        </is>
      </c>
      <c r="J2621" s="5" t="inlineStr">
        <is>
          <t>Full-Time</t>
        </is>
      </c>
      <c r="K2621" s="7" t="n">
        <v>44906</v>
      </c>
      <c r="L2621" s="7" t="inlineStr"/>
      <c r="M2621" s="5" t="inlineStr">
        <is>
          <t>Yes</t>
        </is>
      </c>
      <c r="N2621" s="5" t="inlineStr"/>
      <c r="O2621" s="8" t="inlineStr">
        <is>
          <t>55500</t>
        </is>
      </c>
      <c r="P2621" s="5" t="inlineStr">
        <is>
          <t>5</t>
        </is>
      </c>
      <c r="Q2621" s="5" t="inlineStr">
        <is>
          <t>3</t>
        </is>
      </c>
      <c r="R2621" s="5" t="inlineStr">
        <is>
          <t>6</t>
        </is>
      </c>
      <c r="S2621" s="5" t="inlineStr">
        <is>
          <t>37</t>
        </is>
      </c>
      <c r="T2621" s="5" t="inlineStr">
        <is>
          <t>0</t>
        </is>
      </c>
      <c r="U2621" s="5">
        <f>IFS(C2621&lt;30,"Under 30",C2621&lt;40,"30-39",C2621&lt;50,"40-49",TRUE,"50+")</f>
        <v/>
      </c>
      <c r="V2621" s="5">
        <f>IFS(O2621&lt;60000,"Low (&lt;60k)",O2621&lt;100000,"Mid (60-100k)",TRUE,"High (100k+)")</f>
        <v/>
      </c>
      <c r="W2621" s="5">
        <f>IF(M2621="No","Attrited","Active")</f>
        <v/>
      </c>
    </row>
    <row r="2622">
      <c r="A2622" s="5" t="inlineStr">
        <is>
          <t>E02621</t>
        </is>
      </c>
      <c r="B2622" s="5" t="inlineStr">
        <is>
          <t>Female</t>
        </is>
      </c>
      <c r="C2622" s="6" t="inlineStr">
        <is>
          <t>29</t>
        </is>
      </c>
      <c r="D2622" s="5" t="inlineStr">
        <is>
          <t>Married</t>
        </is>
      </c>
      <c r="E2622" s="5" t="inlineStr">
        <is>
          <t>Diploma</t>
        </is>
      </c>
      <c r="F2622" s="5" t="inlineStr">
        <is>
          <t>Customer Support</t>
        </is>
      </c>
      <c r="G2622" s="5" t="inlineStr">
        <is>
          <t>Support Lead</t>
        </is>
      </c>
      <c r="H2622" s="5" t="inlineStr">
        <is>
          <t>1</t>
        </is>
      </c>
      <c r="I2622" s="5" t="inlineStr">
        <is>
          <t>Hyderabad</t>
        </is>
      </c>
      <c r="J2622" s="5" t="inlineStr">
        <is>
          <t>Full-Time</t>
        </is>
      </c>
      <c r="K2622" s="7" t="n">
        <v>43883</v>
      </c>
      <c r="L2622" s="7" t="inlineStr"/>
      <c r="M2622" s="5" t="inlineStr">
        <is>
          <t>Yes</t>
        </is>
      </c>
      <c r="N2622" s="5" t="inlineStr"/>
      <c r="O2622" s="8" t="inlineStr">
        <is>
          <t>45000</t>
        </is>
      </c>
      <c r="P2622" s="5" t="inlineStr">
        <is>
          <t>10</t>
        </is>
      </c>
      <c r="Q2622" s="5" t="inlineStr">
        <is>
          <t>3</t>
        </is>
      </c>
      <c r="R2622" s="5" t="inlineStr">
        <is>
          <t>5</t>
        </is>
      </c>
      <c r="S2622" s="5" t="inlineStr">
        <is>
          <t>71</t>
        </is>
      </c>
      <c r="T2622" s="5" t="inlineStr">
        <is>
          <t>7</t>
        </is>
      </c>
      <c r="U2622" s="5">
        <f>IFS(C2622&lt;30,"Under 30",C2622&lt;40,"30-39",C2622&lt;50,"40-49",TRUE,"50+")</f>
        <v/>
      </c>
      <c r="V2622" s="5">
        <f>IFS(O2622&lt;60000,"Low (&lt;60k)",O2622&lt;100000,"Mid (60-100k)",TRUE,"High (100k+)")</f>
        <v/>
      </c>
      <c r="W2622" s="5">
        <f>IF(M2622="No","Attrited","Active")</f>
        <v/>
      </c>
    </row>
    <row r="2623">
      <c r="A2623" s="5" t="inlineStr">
        <is>
          <t>E02622</t>
        </is>
      </c>
      <c r="B2623" s="5" t="inlineStr">
        <is>
          <t>Male</t>
        </is>
      </c>
      <c r="C2623" s="6" t="inlineStr">
        <is>
          <t>27</t>
        </is>
      </c>
      <c r="D2623" s="5" t="inlineStr">
        <is>
          <t>Single</t>
        </is>
      </c>
      <c r="E2623" s="5" t="inlineStr">
        <is>
          <t>High School</t>
        </is>
      </c>
      <c r="F2623" s="5" t="inlineStr">
        <is>
          <t>Operations</t>
        </is>
      </c>
      <c r="G2623" s="5" t="inlineStr">
        <is>
          <t>Logistics Coordinator</t>
        </is>
      </c>
      <c r="H2623" s="5" t="inlineStr">
        <is>
          <t>2</t>
        </is>
      </c>
      <c r="I2623" s="5" t="inlineStr">
        <is>
          <t>Delhi</t>
        </is>
      </c>
      <c r="J2623" s="5" t="inlineStr">
        <is>
          <t>Full-Time</t>
        </is>
      </c>
      <c r="K2623" s="7" t="n">
        <v>44928</v>
      </c>
      <c r="L2623" s="7" t="n">
        <v>45025</v>
      </c>
      <c r="M2623" s="5" t="inlineStr">
        <is>
          <t>No</t>
        </is>
      </c>
      <c r="N2623" s="5" t="inlineStr">
        <is>
          <t>Resigned</t>
        </is>
      </c>
      <c r="O2623" s="8" t="inlineStr">
        <is>
          <t>95500</t>
        </is>
      </c>
      <c r="P2623" s="5" t="inlineStr">
        <is>
          <t>0</t>
        </is>
      </c>
      <c r="Q2623" s="5" t="inlineStr">
        <is>
          <t>4</t>
        </is>
      </c>
      <c r="R2623" s="5" t="inlineStr">
        <is>
          <t>6</t>
        </is>
      </c>
      <c r="S2623" s="5" t="inlineStr">
        <is>
          <t>3</t>
        </is>
      </c>
      <c r="T2623" s="5" t="inlineStr">
        <is>
          <t>0</t>
        </is>
      </c>
      <c r="U2623" s="5">
        <f>IFS(C2623&lt;30,"Under 30",C2623&lt;40,"30-39",C2623&lt;50,"40-49",TRUE,"50+")</f>
        <v/>
      </c>
      <c r="V2623" s="5">
        <f>IFS(O2623&lt;60000,"Low (&lt;60k)",O2623&lt;100000,"Mid (60-100k)",TRUE,"High (100k+)")</f>
        <v/>
      </c>
      <c r="W2623" s="5">
        <f>IF(M2623="No","Attrited","Active")</f>
        <v/>
      </c>
    </row>
    <row r="2624">
      <c r="A2624" s="5" t="inlineStr">
        <is>
          <t>E02623</t>
        </is>
      </c>
      <c r="B2624" s="5" t="inlineStr">
        <is>
          <t>Male</t>
        </is>
      </c>
      <c r="C2624" s="6" t="inlineStr">
        <is>
          <t>37</t>
        </is>
      </c>
      <c r="D2624" s="5" t="inlineStr">
        <is>
          <t>Single</t>
        </is>
      </c>
      <c r="E2624" s="5" t="inlineStr">
        <is>
          <t>High School</t>
        </is>
      </c>
      <c r="F2624" s="5" t="inlineStr">
        <is>
          <t>Human Resources</t>
        </is>
      </c>
      <c r="G2624" s="5" t="inlineStr">
        <is>
          <t>Recruiter</t>
        </is>
      </c>
      <c r="H2624" s="5" t="inlineStr">
        <is>
          <t>3</t>
        </is>
      </c>
      <c r="I2624" s="5" t="inlineStr">
        <is>
          <t>Bengaluru</t>
        </is>
      </c>
      <c r="J2624" s="5" t="inlineStr">
        <is>
          <t>Full-Time</t>
        </is>
      </c>
      <c r="K2624" s="7" t="n">
        <v>45183</v>
      </c>
      <c r="L2624" s="7" t="inlineStr"/>
      <c r="M2624" s="5" t="inlineStr">
        <is>
          <t>Yes</t>
        </is>
      </c>
      <c r="N2624" s="5" t="inlineStr"/>
      <c r="O2624" s="8" t="inlineStr">
        <is>
          <t>79000</t>
        </is>
      </c>
      <c r="P2624" s="5" t="inlineStr">
        <is>
          <t>5</t>
        </is>
      </c>
      <c r="Q2624" s="5" t="inlineStr">
        <is>
          <t>3</t>
        </is>
      </c>
      <c r="R2624" s="5" t="inlineStr">
        <is>
          <t>6</t>
        </is>
      </c>
      <c r="S2624" s="5" t="inlineStr">
        <is>
          <t>27</t>
        </is>
      </c>
      <c r="T2624" s="5" t="inlineStr">
        <is>
          <t>3</t>
        </is>
      </c>
      <c r="U2624" s="5">
        <f>IFS(C2624&lt;30,"Under 30",C2624&lt;40,"30-39",C2624&lt;50,"40-49",TRUE,"50+")</f>
        <v/>
      </c>
      <c r="V2624" s="5">
        <f>IFS(O2624&lt;60000,"Low (&lt;60k)",O2624&lt;100000,"Mid (60-100k)",TRUE,"High (100k+)")</f>
        <v/>
      </c>
      <c r="W2624" s="5">
        <f>IF(M2624="No","Attrited","Active")</f>
        <v/>
      </c>
    </row>
    <row r="2625">
      <c r="A2625" s="5" t="inlineStr">
        <is>
          <t>E02624</t>
        </is>
      </c>
      <c r="B2625" s="5" t="inlineStr">
        <is>
          <t>Female</t>
        </is>
      </c>
      <c r="C2625" s="6" t="inlineStr">
        <is>
          <t>32</t>
        </is>
      </c>
      <c r="D2625" s="5" t="inlineStr">
        <is>
          <t>Single</t>
        </is>
      </c>
      <c r="E2625" s="5" t="inlineStr">
        <is>
          <t>Bachelor</t>
        </is>
      </c>
      <c r="F2625" s="5" t="inlineStr">
        <is>
          <t>Operations</t>
        </is>
      </c>
      <c r="G2625" s="5" t="inlineStr">
        <is>
          <t>Quality Analyst</t>
        </is>
      </c>
      <c r="H2625" s="5" t="inlineStr">
        <is>
          <t>3</t>
        </is>
      </c>
      <c r="I2625" s="5" t="inlineStr">
        <is>
          <t>Mumbai</t>
        </is>
      </c>
      <c r="J2625" s="5" t="inlineStr">
        <is>
          <t>Full-Time</t>
        </is>
      </c>
      <c r="K2625" s="7" t="n">
        <v>43857</v>
      </c>
      <c r="L2625" s="7" t="inlineStr"/>
      <c r="M2625" s="5" t="inlineStr">
        <is>
          <t>Yes</t>
        </is>
      </c>
      <c r="N2625" s="5" t="inlineStr"/>
      <c r="O2625" s="8" t="inlineStr">
        <is>
          <t>84500</t>
        </is>
      </c>
      <c r="P2625" s="5" t="inlineStr">
        <is>
          <t>0</t>
        </is>
      </c>
      <c r="Q2625" s="5" t="inlineStr">
        <is>
          <t>4</t>
        </is>
      </c>
      <c r="R2625" s="5" t="inlineStr">
        <is>
          <t>6</t>
        </is>
      </c>
      <c r="S2625" s="5" t="inlineStr">
        <is>
          <t>72</t>
        </is>
      </c>
      <c r="T2625" s="5" t="inlineStr">
        <is>
          <t>12</t>
        </is>
      </c>
      <c r="U2625" s="5">
        <f>IFS(C2625&lt;30,"Under 30",C2625&lt;40,"30-39",C2625&lt;50,"40-49",TRUE,"50+")</f>
        <v/>
      </c>
      <c r="V2625" s="5">
        <f>IFS(O2625&lt;60000,"Low (&lt;60k)",O2625&lt;100000,"Mid (60-100k)",TRUE,"High (100k+)")</f>
        <v/>
      </c>
      <c r="W2625" s="5">
        <f>IF(M2625="No","Attrited","Active")</f>
        <v/>
      </c>
    </row>
    <row r="2626">
      <c r="A2626" s="5" t="inlineStr">
        <is>
          <t>E02625</t>
        </is>
      </c>
      <c r="B2626" s="5" t="inlineStr">
        <is>
          <t>Female</t>
        </is>
      </c>
      <c r="C2626" s="6" t="inlineStr">
        <is>
          <t>31</t>
        </is>
      </c>
      <c r="D2626" s="5" t="inlineStr">
        <is>
          <t>Single</t>
        </is>
      </c>
      <c r="E2626" s="5" t="inlineStr">
        <is>
          <t>Bachelor</t>
        </is>
      </c>
      <c r="F2626" s="5" t="inlineStr">
        <is>
          <t>Sales</t>
        </is>
      </c>
      <c r="G2626" s="5" t="inlineStr">
        <is>
          <t>Sales Executive</t>
        </is>
      </c>
      <c r="H2626" s="5" t="inlineStr">
        <is>
          <t>2</t>
        </is>
      </c>
      <c r="I2626" s="5" t="inlineStr">
        <is>
          <t>Bengaluru</t>
        </is>
      </c>
      <c r="J2626" s="5" t="inlineStr">
        <is>
          <t>Full-Time</t>
        </is>
      </c>
      <c r="K2626" s="7" t="n">
        <v>44392</v>
      </c>
      <c r="L2626" s="7" t="inlineStr"/>
      <c r="M2626" s="5" t="inlineStr">
        <is>
          <t>Yes</t>
        </is>
      </c>
      <c r="N2626" s="5" t="inlineStr"/>
      <c r="O2626" s="8" t="inlineStr">
        <is>
          <t>120500</t>
        </is>
      </c>
      <c r="P2626" s="5" t="inlineStr">
        <is>
          <t>5</t>
        </is>
      </c>
      <c r="Q2626" s="5" t="inlineStr">
        <is>
          <t>1</t>
        </is>
      </c>
      <c r="R2626" s="5" t="inlineStr">
        <is>
          <t>7</t>
        </is>
      </c>
      <c r="S2626" s="5" t="inlineStr">
        <is>
          <t>54</t>
        </is>
      </c>
      <c r="T2626" s="5" t="inlineStr">
        <is>
          <t>11</t>
        </is>
      </c>
      <c r="U2626" s="5">
        <f>IFS(C2626&lt;30,"Under 30",C2626&lt;40,"30-39",C2626&lt;50,"40-49",TRUE,"50+")</f>
        <v/>
      </c>
      <c r="V2626" s="5">
        <f>IFS(O2626&lt;60000,"Low (&lt;60k)",O2626&lt;100000,"Mid (60-100k)",TRUE,"High (100k+)")</f>
        <v/>
      </c>
      <c r="W2626" s="5">
        <f>IF(M2626="No","Attrited","Active")</f>
        <v/>
      </c>
    </row>
    <row r="2627">
      <c r="A2627" s="5" t="inlineStr">
        <is>
          <t>E02626</t>
        </is>
      </c>
      <c r="B2627" s="5" t="inlineStr">
        <is>
          <t>Male</t>
        </is>
      </c>
      <c r="C2627" s="6" t="inlineStr">
        <is>
          <t>33</t>
        </is>
      </c>
      <c r="D2627" s="5" t="inlineStr">
        <is>
          <t>Divorced</t>
        </is>
      </c>
      <c r="E2627" s="5" t="inlineStr">
        <is>
          <t>Bachelor</t>
        </is>
      </c>
      <c r="F2627" s="5" t="inlineStr">
        <is>
          <t>Customer Support</t>
        </is>
      </c>
      <c r="G2627" s="5" t="inlineStr">
        <is>
          <t>Support Agent</t>
        </is>
      </c>
      <c r="H2627" s="5" t="inlineStr">
        <is>
          <t>2</t>
        </is>
      </c>
      <c r="I2627" s="5" t="inlineStr">
        <is>
          <t>Chennai</t>
        </is>
      </c>
      <c r="J2627" s="5" t="inlineStr">
        <is>
          <t>Full-Time</t>
        </is>
      </c>
      <c r="K2627" s="7" t="n">
        <v>44998</v>
      </c>
      <c r="L2627" s="7" t="inlineStr"/>
      <c r="M2627" s="5" t="inlineStr">
        <is>
          <t>Yes</t>
        </is>
      </c>
      <c r="N2627" s="5" t="inlineStr"/>
      <c r="O2627" s="8" t="inlineStr">
        <is>
          <t>57500</t>
        </is>
      </c>
      <c r="P2627" s="5" t="inlineStr">
        <is>
          <t>0</t>
        </is>
      </c>
      <c r="Q2627" s="5" t="inlineStr">
        <is>
          <t>4</t>
        </is>
      </c>
      <c r="R2627" s="5" t="inlineStr">
        <is>
          <t>8</t>
        </is>
      </c>
      <c r="S2627" s="5" t="inlineStr">
        <is>
          <t>34</t>
        </is>
      </c>
      <c r="T2627" s="5" t="inlineStr">
        <is>
          <t>0</t>
        </is>
      </c>
      <c r="U2627" s="5">
        <f>IFS(C2627&lt;30,"Under 30",C2627&lt;40,"30-39",C2627&lt;50,"40-49",TRUE,"50+")</f>
        <v/>
      </c>
      <c r="V2627" s="5">
        <f>IFS(O2627&lt;60000,"Low (&lt;60k)",O2627&lt;100000,"Mid (60-100k)",TRUE,"High (100k+)")</f>
        <v/>
      </c>
      <c r="W2627" s="5">
        <f>IF(M2627="No","Attrited","Active")</f>
        <v/>
      </c>
    </row>
    <row r="2628">
      <c r="A2628" s="5" t="inlineStr">
        <is>
          <t>E02627</t>
        </is>
      </c>
      <c r="B2628" s="5" t="inlineStr">
        <is>
          <t>Female</t>
        </is>
      </c>
      <c r="C2628" s="6" t="inlineStr">
        <is>
          <t>27</t>
        </is>
      </c>
      <c r="D2628" s="5" t="inlineStr">
        <is>
          <t>Married</t>
        </is>
      </c>
      <c r="E2628" s="5" t="inlineStr">
        <is>
          <t>PhD</t>
        </is>
      </c>
      <c r="F2628" s="5" t="inlineStr">
        <is>
          <t>IT</t>
        </is>
      </c>
      <c r="G2628" s="5" t="inlineStr">
        <is>
          <t>Software Engineer</t>
        </is>
      </c>
      <c r="H2628" s="5" t="inlineStr">
        <is>
          <t>1</t>
        </is>
      </c>
      <c r="I2628" s="5" t="inlineStr">
        <is>
          <t>Chennai</t>
        </is>
      </c>
      <c r="J2628" s="5" t="inlineStr">
        <is>
          <t>Contract</t>
        </is>
      </c>
      <c r="K2628" s="7" t="n">
        <v>45669</v>
      </c>
      <c r="L2628" s="7" t="inlineStr"/>
      <c r="M2628" s="5" t="inlineStr">
        <is>
          <t>Yes</t>
        </is>
      </c>
      <c r="N2628" s="5" t="inlineStr"/>
      <c r="O2628" s="8" t="inlineStr">
        <is>
          <t>98000</t>
        </is>
      </c>
      <c r="P2628" s="5" t="inlineStr">
        <is>
          <t>0</t>
        </is>
      </c>
      <c r="Q2628" s="5" t="inlineStr">
        <is>
          <t>4</t>
        </is>
      </c>
      <c r="R2628" s="5" t="inlineStr">
        <is>
          <t>6</t>
        </is>
      </c>
      <c r="S2628" s="5" t="inlineStr">
        <is>
          <t>11</t>
        </is>
      </c>
      <c r="T2628" s="5" t="inlineStr">
        <is>
          <t>7</t>
        </is>
      </c>
      <c r="U2628" s="5">
        <f>IFS(C2628&lt;30,"Under 30",C2628&lt;40,"30-39",C2628&lt;50,"40-49",TRUE,"50+")</f>
        <v/>
      </c>
      <c r="V2628" s="5">
        <f>IFS(O2628&lt;60000,"Low (&lt;60k)",O2628&lt;100000,"Mid (60-100k)",TRUE,"High (100k+)")</f>
        <v/>
      </c>
      <c r="W2628" s="5">
        <f>IF(M2628="No","Attrited","Active")</f>
        <v/>
      </c>
    </row>
    <row r="2629">
      <c r="A2629" s="5" t="inlineStr">
        <is>
          <t>E02628</t>
        </is>
      </c>
      <c r="B2629" s="5" t="inlineStr">
        <is>
          <t>Male</t>
        </is>
      </c>
      <c r="C2629" s="6" t="inlineStr">
        <is>
          <t>28</t>
        </is>
      </c>
      <c r="D2629" s="5" t="inlineStr">
        <is>
          <t>Married</t>
        </is>
      </c>
      <c r="E2629" s="5" t="inlineStr">
        <is>
          <t>Diploma</t>
        </is>
      </c>
      <c r="F2629" s="5" t="inlineStr">
        <is>
          <t>Sales</t>
        </is>
      </c>
      <c r="G2629" s="5" t="inlineStr">
        <is>
          <t>Sales Executive</t>
        </is>
      </c>
      <c r="H2629" s="5" t="inlineStr">
        <is>
          <t>3</t>
        </is>
      </c>
      <c r="I2629" s="5" t="inlineStr">
        <is>
          <t>Mumbai</t>
        </is>
      </c>
      <c r="J2629" s="5" t="inlineStr">
        <is>
          <t>Full-Time</t>
        </is>
      </c>
      <c r="K2629" s="7" t="n">
        <v>45775</v>
      </c>
      <c r="L2629" s="7" t="n">
        <v>45908</v>
      </c>
      <c r="M2629" s="5" t="inlineStr">
        <is>
          <t>No</t>
        </is>
      </c>
      <c r="N2629" s="5" t="inlineStr">
        <is>
          <t>Retirement</t>
        </is>
      </c>
      <c r="O2629" s="8" t="inlineStr">
        <is>
          <t>127500</t>
        </is>
      </c>
      <c r="P2629" s="5" t="inlineStr">
        <is>
          <t>5</t>
        </is>
      </c>
      <c r="Q2629" s="5" t="inlineStr">
        <is>
          <t>4</t>
        </is>
      </c>
      <c r="R2629" s="5" t="inlineStr">
        <is>
          <t>6</t>
        </is>
      </c>
      <c r="S2629" s="5" t="inlineStr">
        <is>
          <t>4</t>
        </is>
      </c>
      <c r="T2629" s="5" t="inlineStr">
        <is>
          <t>6</t>
        </is>
      </c>
      <c r="U2629" s="5">
        <f>IFS(C2629&lt;30,"Under 30",C2629&lt;40,"30-39",C2629&lt;50,"40-49",TRUE,"50+")</f>
        <v/>
      </c>
      <c r="V2629" s="5">
        <f>IFS(O2629&lt;60000,"Low (&lt;60k)",O2629&lt;100000,"Mid (60-100k)",TRUE,"High (100k+)")</f>
        <v/>
      </c>
      <c r="W2629" s="5">
        <f>IF(M2629="No","Attrited","Active")</f>
        <v/>
      </c>
    </row>
    <row r="2630">
      <c r="A2630" s="5" t="inlineStr">
        <is>
          <t>E02629</t>
        </is>
      </c>
      <c r="B2630" s="5" t="inlineStr">
        <is>
          <t>Female</t>
        </is>
      </c>
      <c r="C2630" s="6" t="inlineStr">
        <is>
          <t>31</t>
        </is>
      </c>
      <c r="D2630" s="5" t="inlineStr">
        <is>
          <t>Married</t>
        </is>
      </c>
      <c r="E2630" s="5" t="inlineStr">
        <is>
          <t>PhD</t>
        </is>
      </c>
      <c r="F2630" s="5" t="inlineStr">
        <is>
          <t>Marketing</t>
        </is>
      </c>
      <c r="G2630" s="5" t="inlineStr">
        <is>
          <t>SEO Specialist</t>
        </is>
      </c>
      <c r="H2630" s="5" t="inlineStr">
        <is>
          <t>2</t>
        </is>
      </c>
      <c r="I2630" s="5" t="inlineStr">
        <is>
          <t>Remote</t>
        </is>
      </c>
      <c r="J2630" s="5" t="inlineStr">
        <is>
          <t>Full-Time</t>
        </is>
      </c>
      <c r="K2630" s="7" t="n">
        <v>44673</v>
      </c>
      <c r="L2630" s="7" t="inlineStr"/>
      <c r="M2630" s="5" t="inlineStr">
        <is>
          <t>Yes</t>
        </is>
      </c>
      <c r="N2630" s="5" t="inlineStr"/>
      <c r="O2630" s="8" t="inlineStr">
        <is>
          <t>93000</t>
        </is>
      </c>
      <c r="P2630" s="5" t="inlineStr">
        <is>
          <t>10</t>
        </is>
      </c>
      <c r="Q2630" s="5" t="inlineStr">
        <is>
          <t>4</t>
        </is>
      </c>
      <c r="R2630" s="5" t="inlineStr">
        <is>
          <t>8</t>
        </is>
      </c>
      <c r="S2630" s="5" t="inlineStr">
        <is>
          <t>44</t>
        </is>
      </c>
      <c r="T2630" s="5" t="inlineStr">
        <is>
          <t>0</t>
        </is>
      </c>
      <c r="U2630" s="5">
        <f>IFS(C2630&lt;30,"Under 30",C2630&lt;40,"30-39",C2630&lt;50,"40-49",TRUE,"50+")</f>
        <v/>
      </c>
      <c r="V2630" s="5">
        <f>IFS(O2630&lt;60000,"Low (&lt;60k)",O2630&lt;100000,"Mid (60-100k)",TRUE,"High (100k+)")</f>
        <v/>
      </c>
      <c r="W2630" s="5">
        <f>IF(M2630="No","Attrited","Active")</f>
        <v/>
      </c>
    </row>
    <row r="2631">
      <c r="A2631" s="5" t="inlineStr">
        <is>
          <t>E02630</t>
        </is>
      </c>
      <c r="B2631" s="5" t="inlineStr">
        <is>
          <t>Female</t>
        </is>
      </c>
      <c r="C2631" s="6" t="inlineStr">
        <is>
          <t>42</t>
        </is>
      </c>
      <c r="D2631" s="5" t="inlineStr">
        <is>
          <t>Married</t>
        </is>
      </c>
      <c r="E2631" s="5" t="inlineStr">
        <is>
          <t>Bachelor</t>
        </is>
      </c>
      <c r="F2631" s="5" t="inlineStr">
        <is>
          <t>Marketing</t>
        </is>
      </c>
      <c r="G2631" s="5" t="inlineStr">
        <is>
          <t>Content Writer</t>
        </is>
      </c>
      <c r="H2631" s="5" t="inlineStr">
        <is>
          <t>7</t>
        </is>
      </c>
      <c r="I2631" s="5" t="inlineStr">
        <is>
          <t>Hyderabad</t>
        </is>
      </c>
      <c r="J2631" s="5" t="inlineStr">
        <is>
          <t>Part-Time</t>
        </is>
      </c>
      <c r="K2631" s="7" t="n">
        <v>45910</v>
      </c>
      <c r="L2631" s="7" t="inlineStr"/>
      <c r="M2631" s="5" t="inlineStr">
        <is>
          <t>Yes</t>
        </is>
      </c>
      <c r="N2631" s="5" t="inlineStr"/>
      <c r="O2631" s="8" t="inlineStr">
        <is>
          <t>124000</t>
        </is>
      </c>
      <c r="P2631" s="5" t="inlineStr">
        <is>
          <t>5</t>
        </is>
      </c>
      <c r="Q2631" s="5" t="inlineStr">
        <is>
          <t>3</t>
        </is>
      </c>
      <c r="R2631" s="5" t="inlineStr">
        <is>
          <t>6</t>
        </is>
      </c>
      <c r="S2631" s="5" t="inlineStr">
        <is>
          <t>3</t>
        </is>
      </c>
      <c r="T2631" s="5" t="inlineStr">
        <is>
          <t>7</t>
        </is>
      </c>
      <c r="U2631" s="5">
        <f>IFS(C2631&lt;30,"Under 30",C2631&lt;40,"30-39",C2631&lt;50,"40-49",TRUE,"50+")</f>
        <v/>
      </c>
      <c r="V2631" s="5">
        <f>IFS(O2631&lt;60000,"Low (&lt;60k)",O2631&lt;100000,"Mid (60-100k)",TRUE,"High (100k+)")</f>
        <v/>
      </c>
      <c r="W2631" s="5">
        <f>IF(M2631="No","Attrited","Active")</f>
        <v/>
      </c>
    </row>
    <row r="2632">
      <c r="A2632" s="5" t="inlineStr">
        <is>
          <t>E02631</t>
        </is>
      </c>
      <c r="B2632" s="5" t="inlineStr">
        <is>
          <t>Male</t>
        </is>
      </c>
      <c r="C2632" s="6" t="inlineStr">
        <is>
          <t>32</t>
        </is>
      </c>
      <c r="D2632" s="5" t="inlineStr">
        <is>
          <t>Single</t>
        </is>
      </c>
      <c r="E2632" s="5" t="inlineStr">
        <is>
          <t>PhD</t>
        </is>
      </c>
      <c r="F2632" s="5" t="inlineStr">
        <is>
          <t>Research &amp; Development</t>
        </is>
      </c>
      <c r="G2632" s="5" t="inlineStr">
        <is>
          <t>Data Scientist</t>
        </is>
      </c>
      <c r="H2632" s="5" t="inlineStr">
        <is>
          <t>3</t>
        </is>
      </c>
      <c r="I2632" s="5" t="inlineStr">
        <is>
          <t>Mumbai</t>
        </is>
      </c>
      <c r="J2632" s="5" t="inlineStr">
        <is>
          <t>Full-Time</t>
        </is>
      </c>
      <c r="K2632" s="7" t="n">
        <v>43950</v>
      </c>
      <c r="L2632" s="7" t="inlineStr"/>
      <c r="M2632" s="5" t="inlineStr">
        <is>
          <t>Yes</t>
        </is>
      </c>
      <c r="N2632" s="5" t="inlineStr"/>
      <c r="O2632" s="8" t="inlineStr">
        <is>
          <t>190000</t>
        </is>
      </c>
      <c r="P2632" s="5" t="inlineStr">
        <is>
          <t>10</t>
        </is>
      </c>
      <c r="Q2632" s="5" t="inlineStr">
        <is>
          <t>2</t>
        </is>
      </c>
      <c r="R2632" s="5" t="inlineStr">
        <is>
          <t>8</t>
        </is>
      </c>
      <c r="S2632" s="5" t="inlineStr">
        <is>
          <t>69</t>
        </is>
      </c>
      <c r="T2632" s="5" t="inlineStr">
        <is>
          <t>7</t>
        </is>
      </c>
      <c r="U2632" s="5">
        <f>IFS(C2632&lt;30,"Under 30",C2632&lt;40,"30-39",C2632&lt;50,"40-49",TRUE,"50+")</f>
        <v/>
      </c>
      <c r="V2632" s="5">
        <f>IFS(O2632&lt;60000,"Low (&lt;60k)",O2632&lt;100000,"Mid (60-100k)",TRUE,"High (100k+)")</f>
        <v/>
      </c>
      <c r="W2632" s="5">
        <f>IF(M2632="No","Attrited","Active")</f>
        <v/>
      </c>
    </row>
    <row r="2633">
      <c r="A2633" s="5" t="inlineStr">
        <is>
          <t>E02632</t>
        </is>
      </c>
      <c r="B2633" s="5" t="inlineStr">
        <is>
          <t>Male</t>
        </is>
      </c>
      <c r="C2633" s="6" t="inlineStr">
        <is>
          <t>38</t>
        </is>
      </c>
      <c r="D2633" s="5" t="inlineStr">
        <is>
          <t>Married</t>
        </is>
      </c>
      <c r="E2633" s="5" t="inlineStr">
        <is>
          <t>Master</t>
        </is>
      </c>
      <c r="F2633" s="5" t="inlineStr">
        <is>
          <t>Customer Support</t>
        </is>
      </c>
      <c r="G2633" s="5" t="inlineStr">
        <is>
          <t>Support Lead</t>
        </is>
      </c>
      <c r="H2633" s="5" t="inlineStr">
        <is>
          <t>5</t>
        </is>
      </c>
      <c r="I2633" s="5" t="inlineStr">
        <is>
          <t>Delhi</t>
        </is>
      </c>
      <c r="J2633" s="5" t="inlineStr">
        <is>
          <t>Contract</t>
        </is>
      </c>
      <c r="K2633" s="7" t="n">
        <v>44967</v>
      </c>
      <c r="L2633" s="7" t="inlineStr"/>
      <c r="M2633" s="5" t="inlineStr">
        <is>
          <t>Yes</t>
        </is>
      </c>
      <c r="N2633" s="5" t="inlineStr"/>
      <c r="O2633" s="8" t="inlineStr">
        <is>
          <t>103500</t>
        </is>
      </c>
      <c r="P2633" s="5" t="inlineStr">
        <is>
          <t>0</t>
        </is>
      </c>
      <c r="Q2633" s="5" t="inlineStr">
        <is>
          <t>3</t>
        </is>
      </c>
      <c r="R2633" s="5" t="inlineStr">
        <is>
          <t>6</t>
        </is>
      </c>
      <c r="S2633" s="5" t="inlineStr">
        <is>
          <t>35</t>
        </is>
      </c>
      <c r="T2633" s="5" t="inlineStr">
        <is>
          <t>4</t>
        </is>
      </c>
      <c r="U2633" s="5">
        <f>IFS(C2633&lt;30,"Under 30",C2633&lt;40,"30-39",C2633&lt;50,"40-49",TRUE,"50+")</f>
        <v/>
      </c>
      <c r="V2633" s="5">
        <f>IFS(O2633&lt;60000,"Low (&lt;60k)",O2633&lt;100000,"Mid (60-100k)",TRUE,"High (100k+)")</f>
        <v/>
      </c>
      <c r="W2633" s="5">
        <f>IF(M2633="No","Attrited","Active")</f>
        <v/>
      </c>
    </row>
    <row r="2634">
      <c r="A2634" s="5" t="inlineStr">
        <is>
          <t>E02633</t>
        </is>
      </c>
      <c r="B2634" s="5" t="inlineStr">
        <is>
          <t>Male</t>
        </is>
      </c>
      <c r="C2634" s="6" t="inlineStr">
        <is>
          <t>38</t>
        </is>
      </c>
      <c r="D2634" s="5" t="inlineStr">
        <is>
          <t>Single</t>
        </is>
      </c>
      <c r="E2634" s="5" t="inlineStr">
        <is>
          <t>Diploma</t>
        </is>
      </c>
      <c r="F2634" s="5" t="inlineStr">
        <is>
          <t>Marketing</t>
        </is>
      </c>
      <c r="G2634" s="5" t="inlineStr">
        <is>
          <t>Marketing Analyst</t>
        </is>
      </c>
      <c r="H2634" s="5" t="inlineStr">
        <is>
          <t>4</t>
        </is>
      </c>
      <c r="I2634" s="5" t="inlineStr">
        <is>
          <t>Hyderabad</t>
        </is>
      </c>
      <c r="J2634" s="5" t="inlineStr">
        <is>
          <t>Full-Time</t>
        </is>
      </c>
      <c r="K2634" s="7" t="n">
        <v>45600</v>
      </c>
      <c r="L2634" s="7" t="inlineStr"/>
      <c r="M2634" s="5" t="inlineStr">
        <is>
          <t>Yes</t>
        </is>
      </c>
      <c r="N2634" s="5" t="inlineStr"/>
      <c r="O2634" s="8" t="inlineStr">
        <is>
          <t>92500</t>
        </is>
      </c>
      <c r="P2634" s="5" t="inlineStr">
        <is>
          <t>5</t>
        </is>
      </c>
      <c r="Q2634" s="5" t="inlineStr">
        <is>
          <t>4</t>
        </is>
      </c>
      <c r="R2634" s="5" t="inlineStr">
        <is>
          <t>6</t>
        </is>
      </c>
      <c r="S2634" s="5" t="inlineStr">
        <is>
          <t>14</t>
        </is>
      </c>
      <c r="T2634" s="5" t="inlineStr">
        <is>
          <t>5</t>
        </is>
      </c>
      <c r="U2634" s="5">
        <f>IFS(C2634&lt;30,"Under 30",C2634&lt;40,"30-39",C2634&lt;50,"40-49",TRUE,"50+")</f>
        <v/>
      </c>
      <c r="V2634" s="5">
        <f>IFS(O2634&lt;60000,"Low (&lt;60k)",O2634&lt;100000,"Mid (60-100k)",TRUE,"High (100k+)")</f>
        <v/>
      </c>
      <c r="W2634" s="5">
        <f>IF(M2634="No","Attrited","Active")</f>
        <v/>
      </c>
    </row>
    <row r="2635">
      <c r="A2635" s="5" t="inlineStr">
        <is>
          <t>E02634</t>
        </is>
      </c>
      <c r="B2635" s="5" t="inlineStr">
        <is>
          <t>Male</t>
        </is>
      </c>
      <c r="C2635" s="6" t="inlineStr">
        <is>
          <t>30</t>
        </is>
      </c>
      <c r="D2635" s="5" t="inlineStr">
        <is>
          <t>Single</t>
        </is>
      </c>
      <c r="E2635" s="5" t="inlineStr">
        <is>
          <t>High School</t>
        </is>
      </c>
      <c r="F2635" s="5" t="inlineStr">
        <is>
          <t>Sales</t>
        </is>
      </c>
      <c r="G2635" s="5" t="inlineStr">
        <is>
          <t>Business Development</t>
        </is>
      </c>
      <c r="H2635" s="5" t="inlineStr">
        <is>
          <t>3</t>
        </is>
      </c>
      <c r="I2635" s="5" t="inlineStr">
        <is>
          <t>Hyderabad</t>
        </is>
      </c>
      <c r="J2635" s="5" t="inlineStr">
        <is>
          <t>Contract</t>
        </is>
      </c>
      <c r="K2635" s="7" t="n">
        <v>44905</v>
      </c>
      <c r="L2635" s="7" t="inlineStr"/>
      <c r="M2635" s="5" t="inlineStr">
        <is>
          <t>Yes</t>
        </is>
      </c>
      <c r="N2635" s="5" t="inlineStr"/>
      <c r="O2635" s="8" t="inlineStr">
        <is>
          <t>91000</t>
        </is>
      </c>
      <c r="P2635" s="5" t="inlineStr">
        <is>
          <t>10</t>
        </is>
      </c>
      <c r="Q2635" s="5" t="inlineStr">
        <is>
          <t>4</t>
        </is>
      </c>
      <c r="R2635" s="5" t="inlineStr">
        <is>
          <t>7</t>
        </is>
      </c>
      <c r="S2635" s="5" t="inlineStr">
        <is>
          <t>37</t>
        </is>
      </c>
      <c r="T2635" s="5" t="inlineStr">
        <is>
          <t>6</t>
        </is>
      </c>
      <c r="U2635" s="5">
        <f>IFS(C2635&lt;30,"Under 30",C2635&lt;40,"30-39",C2635&lt;50,"40-49",TRUE,"50+")</f>
        <v/>
      </c>
      <c r="V2635" s="5">
        <f>IFS(O2635&lt;60000,"Low (&lt;60k)",O2635&lt;100000,"Mid (60-100k)",TRUE,"High (100k+)")</f>
        <v/>
      </c>
      <c r="W2635" s="5">
        <f>IF(M2635="No","Attrited","Active")</f>
        <v/>
      </c>
    </row>
    <row r="2636">
      <c r="A2636" s="5" t="inlineStr">
        <is>
          <t>E02635</t>
        </is>
      </c>
      <c r="B2636" s="5" t="inlineStr">
        <is>
          <t>Female</t>
        </is>
      </c>
      <c r="C2636" s="6" t="inlineStr">
        <is>
          <t>27</t>
        </is>
      </c>
      <c r="D2636" s="5" t="inlineStr">
        <is>
          <t>Married</t>
        </is>
      </c>
      <c r="E2636" s="5" t="inlineStr">
        <is>
          <t>Diploma</t>
        </is>
      </c>
      <c r="F2636" s="5" t="inlineStr">
        <is>
          <t>Finance</t>
        </is>
      </c>
      <c r="G2636" s="5" t="inlineStr">
        <is>
          <t>Accountant</t>
        </is>
      </c>
      <c r="H2636" s="5" t="inlineStr">
        <is>
          <t>3</t>
        </is>
      </c>
      <c r="I2636" s="5" t="inlineStr">
        <is>
          <t>Remote</t>
        </is>
      </c>
      <c r="J2636" s="5" t="inlineStr">
        <is>
          <t>Part-Time</t>
        </is>
      </c>
      <c r="K2636" s="7" t="n">
        <v>44113</v>
      </c>
      <c r="L2636" s="7" t="inlineStr"/>
      <c r="M2636" s="5" t="inlineStr">
        <is>
          <t>Yes</t>
        </is>
      </c>
      <c r="N2636" s="5" t="inlineStr"/>
      <c r="O2636" s="8" t="inlineStr">
        <is>
          <t>138000</t>
        </is>
      </c>
      <c r="P2636" s="5" t="inlineStr">
        <is>
          <t>5</t>
        </is>
      </c>
      <c r="Q2636" s="5" t="inlineStr">
        <is>
          <t>5</t>
        </is>
      </c>
      <c r="R2636" s="5" t="inlineStr">
        <is>
          <t>7</t>
        </is>
      </c>
      <c r="S2636" s="5" t="inlineStr">
        <is>
          <t>63</t>
        </is>
      </c>
      <c r="T2636" s="5" t="inlineStr">
        <is>
          <t>13</t>
        </is>
      </c>
      <c r="U2636" s="5">
        <f>IFS(C2636&lt;30,"Under 30",C2636&lt;40,"30-39",C2636&lt;50,"40-49",TRUE,"50+")</f>
        <v/>
      </c>
      <c r="V2636" s="5">
        <f>IFS(O2636&lt;60000,"Low (&lt;60k)",O2636&lt;100000,"Mid (60-100k)",TRUE,"High (100k+)")</f>
        <v/>
      </c>
      <c r="W2636" s="5">
        <f>IF(M2636="No","Attrited","Active")</f>
        <v/>
      </c>
    </row>
    <row r="2637">
      <c r="A2637" s="5" t="inlineStr">
        <is>
          <t>E02636</t>
        </is>
      </c>
      <c r="B2637" s="5" t="inlineStr">
        <is>
          <t>Male</t>
        </is>
      </c>
      <c r="C2637" s="6" t="inlineStr">
        <is>
          <t>33</t>
        </is>
      </c>
      <c r="D2637" s="5" t="inlineStr">
        <is>
          <t>Married</t>
        </is>
      </c>
      <c r="E2637" s="5" t="inlineStr">
        <is>
          <t>Diploma</t>
        </is>
      </c>
      <c r="F2637" s="5" t="inlineStr">
        <is>
          <t>Human Resources</t>
        </is>
      </c>
      <c r="G2637" s="5" t="inlineStr">
        <is>
          <t>Recruiter</t>
        </is>
      </c>
      <c r="H2637" s="5" t="inlineStr">
        <is>
          <t>4</t>
        </is>
      </c>
      <c r="I2637" s="5" t="inlineStr">
        <is>
          <t>Bengaluru</t>
        </is>
      </c>
      <c r="J2637" s="5" t="inlineStr">
        <is>
          <t>Full-Time</t>
        </is>
      </c>
      <c r="K2637" s="7" t="n">
        <v>45139</v>
      </c>
      <c r="L2637" s="7" t="n">
        <v>45258</v>
      </c>
      <c r="M2637" s="5" t="inlineStr">
        <is>
          <t>No</t>
        </is>
      </c>
      <c r="N2637" s="5" t="inlineStr">
        <is>
          <t>Resigned</t>
        </is>
      </c>
      <c r="O2637" s="8" t="inlineStr">
        <is>
          <t>136000</t>
        </is>
      </c>
      <c r="P2637" s="5" t="inlineStr">
        <is>
          <t>0</t>
        </is>
      </c>
      <c r="Q2637" s="5" t="inlineStr">
        <is>
          <t>5</t>
        </is>
      </c>
      <c r="R2637" s="5" t="inlineStr">
        <is>
          <t>10</t>
        </is>
      </c>
      <c r="S2637" s="5" t="inlineStr">
        <is>
          <t>3</t>
        </is>
      </c>
      <c r="T2637" s="5" t="inlineStr">
        <is>
          <t>0</t>
        </is>
      </c>
      <c r="U2637" s="5">
        <f>IFS(C2637&lt;30,"Under 30",C2637&lt;40,"30-39",C2637&lt;50,"40-49",TRUE,"50+")</f>
        <v/>
      </c>
      <c r="V2637" s="5">
        <f>IFS(O2637&lt;60000,"Low (&lt;60k)",O2637&lt;100000,"Mid (60-100k)",TRUE,"High (100k+)")</f>
        <v/>
      </c>
      <c r="W2637" s="5">
        <f>IF(M2637="No","Attrited","Active")</f>
        <v/>
      </c>
    </row>
    <row r="2638">
      <c r="A2638" s="5" t="inlineStr">
        <is>
          <t>E02637</t>
        </is>
      </c>
      <c r="B2638" s="5" t="inlineStr">
        <is>
          <t>Male</t>
        </is>
      </c>
      <c r="C2638" s="6" t="inlineStr">
        <is>
          <t>32</t>
        </is>
      </c>
      <c r="D2638" s="5" t="inlineStr">
        <is>
          <t>Married</t>
        </is>
      </c>
      <c r="E2638" s="5" t="inlineStr">
        <is>
          <t>Bachelor</t>
        </is>
      </c>
      <c r="F2638" s="5" t="inlineStr">
        <is>
          <t>Operations</t>
        </is>
      </c>
      <c r="G2638" s="5" t="inlineStr">
        <is>
          <t>Operations Analyst</t>
        </is>
      </c>
      <c r="H2638" s="5" t="inlineStr">
        <is>
          <t>2</t>
        </is>
      </c>
      <c r="I2638" s="5" t="inlineStr">
        <is>
          <t>Mumbai</t>
        </is>
      </c>
      <c r="J2638" s="5" t="inlineStr">
        <is>
          <t>Part-Time</t>
        </is>
      </c>
      <c r="K2638" s="7" t="n">
        <v>45747</v>
      </c>
      <c r="L2638" s="7" t="n">
        <v>45877</v>
      </c>
      <c r="M2638" s="5" t="inlineStr">
        <is>
          <t>No</t>
        </is>
      </c>
      <c r="N2638" s="5" t="inlineStr">
        <is>
          <t>Resigned</t>
        </is>
      </c>
      <c r="O2638" s="8" t="inlineStr">
        <is>
          <t>72000</t>
        </is>
      </c>
      <c r="P2638" s="5" t="inlineStr">
        <is>
          <t>5</t>
        </is>
      </c>
      <c r="Q2638" s="5" t="inlineStr">
        <is>
          <t>4</t>
        </is>
      </c>
      <c r="R2638" s="5" t="inlineStr">
        <is>
          <t>3</t>
        </is>
      </c>
      <c r="S2638" s="5" t="inlineStr">
        <is>
          <t>4</t>
        </is>
      </c>
      <c r="T2638" s="5" t="inlineStr">
        <is>
          <t>1</t>
        </is>
      </c>
      <c r="U2638" s="5">
        <f>IFS(C2638&lt;30,"Under 30",C2638&lt;40,"30-39",C2638&lt;50,"40-49",TRUE,"50+")</f>
        <v/>
      </c>
      <c r="V2638" s="5">
        <f>IFS(O2638&lt;60000,"Low (&lt;60k)",O2638&lt;100000,"Mid (60-100k)",TRUE,"High (100k+)")</f>
        <v/>
      </c>
      <c r="W2638" s="5">
        <f>IF(M2638="No","Attrited","Active")</f>
        <v/>
      </c>
    </row>
    <row r="2639">
      <c r="A2639" s="5" t="inlineStr">
        <is>
          <t>E02638</t>
        </is>
      </c>
      <c r="B2639" s="5" t="inlineStr">
        <is>
          <t>Male</t>
        </is>
      </c>
      <c r="C2639" s="6" t="inlineStr">
        <is>
          <t>42</t>
        </is>
      </c>
      <c r="D2639" s="5" t="inlineStr">
        <is>
          <t>Divorced</t>
        </is>
      </c>
      <c r="E2639" s="5" t="inlineStr">
        <is>
          <t>Diploma</t>
        </is>
      </c>
      <c r="F2639" s="5" t="inlineStr">
        <is>
          <t>Customer Support</t>
        </is>
      </c>
      <c r="G2639" s="5" t="inlineStr">
        <is>
          <t>Support Lead</t>
        </is>
      </c>
      <c r="H2639" s="5" t="inlineStr">
        <is>
          <t>5</t>
        </is>
      </c>
      <c r="I2639" s="5" t="inlineStr">
        <is>
          <t>Hyderabad</t>
        </is>
      </c>
      <c r="J2639" s="5" t="inlineStr">
        <is>
          <t>Part-Time</t>
        </is>
      </c>
      <c r="K2639" s="7" t="n">
        <v>45748</v>
      </c>
      <c r="L2639" s="7" t="inlineStr"/>
      <c r="M2639" s="5" t="inlineStr">
        <is>
          <t>Yes</t>
        </is>
      </c>
      <c r="N2639" s="5" t="inlineStr"/>
      <c r="O2639" s="8" t="inlineStr">
        <is>
          <t>77500</t>
        </is>
      </c>
      <c r="P2639" s="5" t="inlineStr">
        <is>
          <t>0</t>
        </is>
      </c>
      <c r="Q2639" s="5" t="inlineStr">
        <is>
          <t>3</t>
        </is>
      </c>
      <c r="R2639" s="5" t="inlineStr">
        <is>
          <t>6</t>
        </is>
      </c>
      <c r="S2639" s="5" t="inlineStr">
        <is>
          <t>9</t>
        </is>
      </c>
      <c r="T2639" s="5" t="inlineStr">
        <is>
          <t>11</t>
        </is>
      </c>
      <c r="U2639" s="5">
        <f>IFS(C2639&lt;30,"Under 30",C2639&lt;40,"30-39",C2639&lt;50,"40-49",TRUE,"50+")</f>
        <v/>
      </c>
      <c r="V2639" s="5">
        <f>IFS(O2639&lt;60000,"Low (&lt;60k)",O2639&lt;100000,"Mid (60-100k)",TRUE,"High (100k+)")</f>
        <v/>
      </c>
      <c r="W2639" s="5">
        <f>IF(M2639="No","Attrited","Active")</f>
        <v/>
      </c>
    </row>
    <row r="2640">
      <c r="A2640" s="5" t="inlineStr">
        <is>
          <t>E02639</t>
        </is>
      </c>
      <c r="B2640" s="5" t="inlineStr">
        <is>
          <t>Female</t>
        </is>
      </c>
      <c r="C2640" s="6" t="inlineStr">
        <is>
          <t>30</t>
        </is>
      </c>
      <c r="D2640" s="5" t="inlineStr">
        <is>
          <t>Married</t>
        </is>
      </c>
      <c r="E2640" s="5" t="inlineStr">
        <is>
          <t>Bachelor</t>
        </is>
      </c>
      <c r="F2640" s="5" t="inlineStr">
        <is>
          <t>Human Resources</t>
        </is>
      </c>
      <c r="G2640" s="5" t="inlineStr">
        <is>
          <t>HR Generalist</t>
        </is>
      </c>
      <c r="H2640" s="5" t="inlineStr">
        <is>
          <t>4</t>
        </is>
      </c>
      <c r="I2640" s="5" t="inlineStr">
        <is>
          <t>Delhi</t>
        </is>
      </c>
      <c r="J2640" s="5" t="inlineStr">
        <is>
          <t>Full-Time</t>
        </is>
      </c>
      <c r="K2640" s="7" t="n">
        <v>45253</v>
      </c>
      <c r="L2640" s="7" t="inlineStr"/>
      <c r="M2640" s="5" t="inlineStr">
        <is>
          <t>Yes</t>
        </is>
      </c>
      <c r="N2640" s="5" t="inlineStr"/>
      <c r="O2640" s="8" t="inlineStr">
        <is>
          <t>85500</t>
        </is>
      </c>
      <c r="P2640" s="5" t="inlineStr">
        <is>
          <t>0</t>
        </is>
      </c>
      <c r="Q2640" s="5" t="inlineStr">
        <is>
          <t>3</t>
        </is>
      </c>
      <c r="R2640" s="5" t="inlineStr">
        <is>
          <t>10</t>
        </is>
      </c>
      <c r="S2640" s="5" t="inlineStr">
        <is>
          <t>25</t>
        </is>
      </c>
      <c r="T2640" s="5" t="inlineStr">
        <is>
          <t>0</t>
        </is>
      </c>
      <c r="U2640" s="5">
        <f>IFS(C2640&lt;30,"Under 30",C2640&lt;40,"30-39",C2640&lt;50,"40-49",TRUE,"50+")</f>
        <v/>
      </c>
      <c r="V2640" s="5">
        <f>IFS(O2640&lt;60000,"Low (&lt;60k)",O2640&lt;100000,"Mid (60-100k)",TRUE,"High (100k+)")</f>
        <v/>
      </c>
      <c r="W2640" s="5">
        <f>IF(M2640="No","Attrited","Active")</f>
        <v/>
      </c>
    </row>
    <row r="2641">
      <c r="A2641" s="5" t="inlineStr">
        <is>
          <t>E02640</t>
        </is>
      </c>
      <c r="B2641" s="5" t="inlineStr">
        <is>
          <t>Female</t>
        </is>
      </c>
      <c r="C2641" s="6" t="inlineStr">
        <is>
          <t>37</t>
        </is>
      </c>
      <c r="D2641" s="5" t="inlineStr">
        <is>
          <t>Married</t>
        </is>
      </c>
      <c r="E2641" s="5" t="inlineStr">
        <is>
          <t>PhD</t>
        </is>
      </c>
      <c r="F2641" s="5" t="inlineStr">
        <is>
          <t>IT</t>
        </is>
      </c>
      <c r="G2641" s="5" t="inlineStr">
        <is>
          <t>DevOps Engineer</t>
        </is>
      </c>
      <c r="H2641" s="5" t="inlineStr">
        <is>
          <t>3</t>
        </is>
      </c>
      <c r="I2641" s="5" t="inlineStr">
        <is>
          <t>Mumbai</t>
        </is>
      </c>
      <c r="J2641" s="5" t="inlineStr">
        <is>
          <t>Full-Time</t>
        </is>
      </c>
      <c r="K2641" s="7" t="n">
        <v>44001</v>
      </c>
      <c r="L2641" s="7" t="inlineStr"/>
      <c r="M2641" s="5" t="inlineStr">
        <is>
          <t>Yes</t>
        </is>
      </c>
      <c r="N2641" s="5" t="inlineStr"/>
      <c r="O2641" s="8" t="inlineStr">
        <is>
          <t>130000</t>
        </is>
      </c>
      <c r="P2641" s="5" t="inlineStr">
        <is>
          <t>10</t>
        </is>
      </c>
      <c r="Q2641" s="5" t="inlineStr">
        <is>
          <t>3</t>
        </is>
      </c>
      <c r="R2641" s="5" t="inlineStr">
        <is>
          <t>5</t>
        </is>
      </c>
      <c r="S2641" s="5" t="inlineStr">
        <is>
          <t>67</t>
        </is>
      </c>
      <c r="T2641" s="5" t="inlineStr">
        <is>
          <t>0</t>
        </is>
      </c>
      <c r="U2641" s="5">
        <f>IFS(C2641&lt;30,"Under 30",C2641&lt;40,"30-39",C2641&lt;50,"40-49",TRUE,"50+")</f>
        <v/>
      </c>
      <c r="V2641" s="5">
        <f>IFS(O2641&lt;60000,"Low (&lt;60k)",O2641&lt;100000,"Mid (60-100k)",TRUE,"High (100k+)")</f>
        <v/>
      </c>
      <c r="W2641" s="5">
        <f>IF(M2641="No","Attrited","Active")</f>
        <v/>
      </c>
    </row>
    <row r="2642">
      <c r="A2642" s="5" t="inlineStr">
        <is>
          <t>E02641</t>
        </is>
      </c>
      <c r="B2642" s="5" t="inlineStr">
        <is>
          <t>Male</t>
        </is>
      </c>
      <c r="C2642" s="6" t="inlineStr">
        <is>
          <t>36</t>
        </is>
      </c>
      <c r="D2642" s="5" t="inlineStr">
        <is>
          <t>Married</t>
        </is>
      </c>
      <c r="E2642" s="5" t="inlineStr">
        <is>
          <t>High School</t>
        </is>
      </c>
      <c r="F2642" s="5" t="inlineStr">
        <is>
          <t>Customer Support</t>
        </is>
      </c>
      <c r="G2642" s="5" t="inlineStr">
        <is>
          <t>Escalation Specialist</t>
        </is>
      </c>
      <c r="H2642" s="5" t="inlineStr">
        <is>
          <t>3</t>
        </is>
      </c>
      <c r="I2642" s="5" t="inlineStr">
        <is>
          <t>Chennai</t>
        </is>
      </c>
      <c r="J2642" s="5" t="inlineStr">
        <is>
          <t>Full-Time</t>
        </is>
      </c>
      <c r="K2642" s="7" t="n">
        <v>45533</v>
      </c>
      <c r="L2642" s="7" t="inlineStr"/>
      <c r="M2642" s="5" t="inlineStr">
        <is>
          <t>Yes</t>
        </is>
      </c>
      <c r="N2642" s="5" t="inlineStr"/>
      <c r="O2642" s="8" t="inlineStr">
        <is>
          <t>91500</t>
        </is>
      </c>
      <c r="P2642" s="5" t="inlineStr">
        <is>
          <t>5</t>
        </is>
      </c>
      <c r="Q2642" s="5" t="inlineStr">
        <is>
          <t>2</t>
        </is>
      </c>
      <c r="R2642" s="5" t="inlineStr">
        <is>
          <t>5</t>
        </is>
      </c>
      <c r="S2642" s="5" t="inlineStr">
        <is>
          <t>16</t>
        </is>
      </c>
      <c r="T2642" s="5" t="inlineStr">
        <is>
          <t>10</t>
        </is>
      </c>
      <c r="U2642" s="5">
        <f>IFS(C2642&lt;30,"Under 30",C2642&lt;40,"30-39",C2642&lt;50,"40-49",TRUE,"50+")</f>
        <v/>
      </c>
      <c r="V2642" s="5">
        <f>IFS(O2642&lt;60000,"Low (&lt;60k)",O2642&lt;100000,"Mid (60-100k)",TRUE,"High (100k+)")</f>
        <v/>
      </c>
      <c r="W2642" s="5">
        <f>IF(M2642="No","Attrited","Active")</f>
        <v/>
      </c>
    </row>
    <row r="2643">
      <c r="A2643" s="5" t="inlineStr">
        <is>
          <t>E02642</t>
        </is>
      </c>
      <c r="B2643" s="5" t="inlineStr">
        <is>
          <t>Male</t>
        </is>
      </c>
      <c r="C2643" s="6" t="inlineStr">
        <is>
          <t>33</t>
        </is>
      </c>
      <c r="D2643" s="5" t="inlineStr">
        <is>
          <t>Married</t>
        </is>
      </c>
      <c r="E2643" s="5" t="inlineStr">
        <is>
          <t>PhD</t>
        </is>
      </c>
      <c r="F2643" s="5" t="inlineStr">
        <is>
          <t>Marketing</t>
        </is>
      </c>
      <c r="G2643" s="5" t="inlineStr">
        <is>
          <t>Marketing Analyst</t>
        </is>
      </c>
      <c r="H2643" s="5" t="inlineStr">
        <is>
          <t>4</t>
        </is>
      </c>
      <c r="I2643" s="5" t="inlineStr">
        <is>
          <t>Remote</t>
        </is>
      </c>
      <c r="J2643" s="5" t="inlineStr">
        <is>
          <t>Full-Time</t>
        </is>
      </c>
      <c r="K2643" s="7" t="n">
        <v>44783</v>
      </c>
      <c r="L2643" s="7" t="inlineStr"/>
      <c r="M2643" s="5" t="inlineStr">
        <is>
          <t>Yes</t>
        </is>
      </c>
      <c r="N2643" s="5" t="inlineStr"/>
      <c r="O2643" s="8" t="inlineStr">
        <is>
          <t>103000</t>
        </is>
      </c>
      <c r="P2643" s="5" t="inlineStr">
        <is>
          <t>10</t>
        </is>
      </c>
      <c r="Q2643" s="5" t="inlineStr">
        <is>
          <t>4</t>
        </is>
      </c>
      <c r="R2643" s="5" t="inlineStr">
        <is>
          <t>5</t>
        </is>
      </c>
      <c r="S2643" s="5" t="inlineStr">
        <is>
          <t>41</t>
        </is>
      </c>
      <c r="T2643" s="5" t="inlineStr">
        <is>
          <t>1</t>
        </is>
      </c>
      <c r="U2643" s="5">
        <f>IFS(C2643&lt;30,"Under 30",C2643&lt;40,"30-39",C2643&lt;50,"40-49",TRUE,"50+")</f>
        <v/>
      </c>
      <c r="V2643" s="5">
        <f>IFS(O2643&lt;60000,"Low (&lt;60k)",O2643&lt;100000,"Mid (60-100k)",TRUE,"High (100k+)")</f>
        <v/>
      </c>
      <c r="W2643" s="5">
        <f>IF(M2643="No","Attrited","Active")</f>
        <v/>
      </c>
    </row>
    <row r="2644">
      <c r="A2644" s="5" t="inlineStr">
        <is>
          <t>E02643</t>
        </is>
      </c>
      <c r="B2644" s="5" t="inlineStr">
        <is>
          <t>Male</t>
        </is>
      </c>
      <c r="C2644" s="6" t="inlineStr">
        <is>
          <t>31</t>
        </is>
      </c>
      <c r="D2644" s="5" t="inlineStr">
        <is>
          <t>Divorced</t>
        </is>
      </c>
      <c r="E2644" s="5" t="inlineStr">
        <is>
          <t>Diploma</t>
        </is>
      </c>
      <c r="F2644" s="5" t="inlineStr">
        <is>
          <t>Human Resources</t>
        </is>
      </c>
      <c r="G2644" s="5" t="inlineStr">
        <is>
          <t>HR Analyst</t>
        </is>
      </c>
      <c r="H2644" s="5" t="inlineStr">
        <is>
          <t>2</t>
        </is>
      </c>
      <c r="I2644" s="5" t="inlineStr">
        <is>
          <t>Bengaluru</t>
        </is>
      </c>
      <c r="J2644" s="5" t="inlineStr">
        <is>
          <t>Full-Time</t>
        </is>
      </c>
      <c r="K2644" s="7" t="n">
        <v>44201</v>
      </c>
      <c r="L2644" s="7" t="inlineStr"/>
      <c r="M2644" s="5" t="inlineStr">
        <is>
          <t>Yes</t>
        </is>
      </c>
      <c r="N2644" s="5" t="inlineStr"/>
      <c r="O2644" s="8" t="inlineStr">
        <is>
          <t>98000</t>
        </is>
      </c>
      <c r="P2644" s="5" t="inlineStr">
        <is>
          <t>20</t>
        </is>
      </c>
      <c r="Q2644" s="5" t="inlineStr">
        <is>
          <t>1</t>
        </is>
      </c>
      <c r="R2644" s="5" t="inlineStr">
        <is>
          <t>7</t>
        </is>
      </c>
      <c r="S2644" s="5" t="inlineStr">
        <is>
          <t>60</t>
        </is>
      </c>
      <c r="T2644" s="5" t="inlineStr">
        <is>
          <t>1</t>
        </is>
      </c>
      <c r="U2644" s="5">
        <f>IFS(C2644&lt;30,"Under 30",C2644&lt;40,"30-39",C2644&lt;50,"40-49",TRUE,"50+")</f>
        <v/>
      </c>
      <c r="V2644" s="5">
        <f>IFS(O2644&lt;60000,"Low (&lt;60k)",O2644&lt;100000,"Mid (60-100k)",TRUE,"High (100k+)")</f>
        <v/>
      </c>
      <c r="W2644" s="5">
        <f>IF(M2644="No","Attrited","Active")</f>
        <v/>
      </c>
    </row>
    <row r="2645">
      <c r="A2645" s="5" t="inlineStr">
        <is>
          <t>E02644</t>
        </is>
      </c>
      <c r="B2645" s="5" t="inlineStr">
        <is>
          <t>Female</t>
        </is>
      </c>
      <c r="C2645" s="6" t="inlineStr">
        <is>
          <t>33</t>
        </is>
      </c>
      <c r="D2645" s="5" t="inlineStr">
        <is>
          <t>Married</t>
        </is>
      </c>
      <c r="E2645" s="5" t="inlineStr">
        <is>
          <t>High School</t>
        </is>
      </c>
      <c r="F2645" s="5" t="inlineStr">
        <is>
          <t>IT</t>
        </is>
      </c>
      <c r="G2645" s="5" t="inlineStr">
        <is>
          <t>Data Analyst</t>
        </is>
      </c>
      <c r="H2645" s="5" t="inlineStr">
        <is>
          <t>2</t>
        </is>
      </c>
      <c r="I2645" s="5" t="inlineStr">
        <is>
          <t>Chennai</t>
        </is>
      </c>
      <c r="J2645" s="5" t="inlineStr">
        <is>
          <t>Contract</t>
        </is>
      </c>
      <c r="K2645" s="7" t="n">
        <v>45142</v>
      </c>
      <c r="L2645" s="7" t="inlineStr"/>
      <c r="M2645" s="5" t="inlineStr">
        <is>
          <t>Yes</t>
        </is>
      </c>
      <c r="N2645" s="5" t="inlineStr"/>
      <c r="O2645" s="8" t="inlineStr">
        <is>
          <t>162000</t>
        </is>
      </c>
      <c r="P2645" s="5" t="inlineStr">
        <is>
          <t>0</t>
        </is>
      </c>
      <c r="Q2645" s="5" t="inlineStr">
        <is>
          <t>4</t>
        </is>
      </c>
      <c r="R2645" s="5" t="inlineStr">
        <is>
          <t>8</t>
        </is>
      </c>
      <c r="S2645" s="5" t="inlineStr">
        <is>
          <t>29</t>
        </is>
      </c>
      <c r="T2645" s="5" t="inlineStr">
        <is>
          <t>0</t>
        </is>
      </c>
      <c r="U2645" s="5">
        <f>IFS(C2645&lt;30,"Under 30",C2645&lt;40,"30-39",C2645&lt;50,"40-49",TRUE,"50+")</f>
        <v/>
      </c>
      <c r="V2645" s="5">
        <f>IFS(O2645&lt;60000,"Low (&lt;60k)",O2645&lt;100000,"Mid (60-100k)",TRUE,"High (100k+)")</f>
        <v/>
      </c>
      <c r="W2645" s="5">
        <f>IF(M2645="No","Attrited","Active")</f>
        <v/>
      </c>
    </row>
    <row r="2646">
      <c r="A2646" s="5" t="inlineStr">
        <is>
          <t>E02645</t>
        </is>
      </c>
      <c r="B2646" s="5" t="inlineStr">
        <is>
          <t>Female</t>
        </is>
      </c>
      <c r="C2646" s="6" t="inlineStr">
        <is>
          <t>40</t>
        </is>
      </c>
      <c r="D2646" s="5" t="inlineStr">
        <is>
          <t>Married</t>
        </is>
      </c>
      <c r="E2646" s="5" t="inlineStr">
        <is>
          <t>Bachelor</t>
        </is>
      </c>
      <c r="F2646" s="5" t="inlineStr">
        <is>
          <t>IT</t>
        </is>
      </c>
      <c r="G2646" s="5" t="inlineStr">
        <is>
          <t>Data Analyst</t>
        </is>
      </c>
      <c r="H2646" s="5" t="inlineStr">
        <is>
          <t>7</t>
        </is>
      </c>
      <c r="I2646" s="5" t="inlineStr">
        <is>
          <t>Remote</t>
        </is>
      </c>
      <c r="J2646" s="5" t="inlineStr">
        <is>
          <t>Full-Time</t>
        </is>
      </c>
      <c r="K2646" s="7" t="n">
        <v>45220</v>
      </c>
      <c r="L2646" s="7" t="inlineStr"/>
      <c r="M2646" s="5" t="inlineStr">
        <is>
          <t>Yes</t>
        </is>
      </c>
      <c r="N2646" s="5" t="inlineStr"/>
      <c r="O2646" s="8" t="inlineStr">
        <is>
          <t>156500</t>
        </is>
      </c>
      <c r="P2646" s="5" t="inlineStr">
        <is>
          <t>10</t>
        </is>
      </c>
      <c r="Q2646" s="5" t="inlineStr">
        <is>
          <t>3</t>
        </is>
      </c>
      <c r="R2646" s="5" t="inlineStr">
        <is>
          <t>7</t>
        </is>
      </c>
      <c r="S2646" s="5" t="inlineStr">
        <is>
          <t>26</t>
        </is>
      </c>
      <c r="T2646" s="5" t="inlineStr">
        <is>
          <t>9</t>
        </is>
      </c>
      <c r="U2646" s="5">
        <f>IFS(C2646&lt;30,"Under 30",C2646&lt;40,"30-39",C2646&lt;50,"40-49",TRUE,"50+")</f>
        <v/>
      </c>
      <c r="V2646" s="5">
        <f>IFS(O2646&lt;60000,"Low (&lt;60k)",O2646&lt;100000,"Mid (60-100k)",TRUE,"High (100k+)")</f>
        <v/>
      </c>
      <c r="W2646" s="5">
        <f>IF(M2646="No","Attrited","Active")</f>
        <v/>
      </c>
    </row>
    <row r="2647">
      <c r="A2647" s="5" t="inlineStr">
        <is>
          <t>E02646</t>
        </is>
      </c>
      <c r="B2647" s="5" t="inlineStr">
        <is>
          <t>Female</t>
        </is>
      </c>
      <c r="C2647" s="6" t="inlineStr">
        <is>
          <t>25</t>
        </is>
      </c>
      <c r="D2647" s="5" t="inlineStr">
        <is>
          <t>Single</t>
        </is>
      </c>
      <c r="E2647" s="5" t="inlineStr">
        <is>
          <t>High School</t>
        </is>
      </c>
      <c r="F2647" s="5" t="inlineStr">
        <is>
          <t>Finance</t>
        </is>
      </c>
      <c r="G2647" s="5" t="inlineStr">
        <is>
          <t>Financial Analyst</t>
        </is>
      </c>
      <c r="H2647" s="5" t="inlineStr">
        <is>
          <t>1</t>
        </is>
      </c>
      <c r="I2647" s="5" t="inlineStr">
        <is>
          <t>Delhi</t>
        </is>
      </c>
      <c r="J2647" s="5" t="inlineStr">
        <is>
          <t>Full-Time</t>
        </is>
      </c>
      <c r="K2647" s="7" t="n">
        <v>46014</v>
      </c>
      <c r="L2647" s="7" t="n">
        <v>46021</v>
      </c>
      <c r="M2647" s="5" t="inlineStr">
        <is>
          <t>No</t>
        </is>
      </c>
      <c r="N2647" s="5" t="inlineStr">
        <is>
          <t>Layoff</t>
        </is>
      </c>
      <c r="O2647" s="8" t="inlineStr">
        <is>
          <t>83000</t>
        </is>
      </c>
      <c r="P2647" s="5" t="inlineStr">
        <is>
          <t>0</t>
        </is>
      </c>
      <c r="Q2647" s="5" t="inlineStr">
        <is>
          <t>3</t>
        </is>
      </c>
      <c r="R2647" s="5" t="inlineStr">
        <is>
          <t>9</t>
        </is>
      </c>
      <c r="S2647" s="5" t="inlineStr">
        <is>
          <t>1</t>
        </is>
      </c>
      <c r="T2647" s="5" t="inlineStr">
        <is>
          <t>8</t>
        </is>
      </c>
      <c r="U2647" s="5">
        <f>IFS(C2647&lt;30,"Under 30",C2647&lt;40,"30-39",C2647&lt;50,"40-49",TRUE,"50+")</f>
        <v/>
      </c>
      <c r="V2647" s="5">
        <f>IFS(O2647&lt;60000,"Low (&lt;60k)",O2647&lt;100000,"Mid (60-100k)",TRUE,"High (100k+)")</f>
        <v/>
      </c>
      <c r="W2647" s="5">
        <f>IF(M2647="No","Attrited","Active")</f>
        <v/>
      </c>
    </row>
    <row r="2648">
      <c r="A2648" s="5" t="inlineStr">
        <is>
          <t>E02647</t>
        </is>
      </c>
      <c r="B2648" s="5" t="inlineStr">
        <is>
          <t>Male</t>
        </is>
      </c>
      <c r="C2648" s="6" t="inlineStr">
        <is>
          <t>31</t>
        </is>
      </c>
      <c r="D2648" s="5" t="inlineStr">
        <is>
          <t>Married</t>
        </is>
      </c>
      <c r="E2648" s="5" t="inlineStr">
        <is>
          <t>PhD</t>
        </is>
      </c>
      <c r="F2648" s="5" t="inlineStr">
        <is>
          <t>Customer Support</t>
        </is>
      </c>
      <c r="G2648" s="5" t="inlineStr">
        <is>
          <t>Support Lead</t>
        </is>
      </c>
      <c r="H2648" s="5" t="inlineStr">
        <is>
          <t>4</t>
        </is>
      </c>
      <c r="I2648" s="5" t="inlineStr">
        <is>
          <t>Mumbai</t>
        </is>
      </c>
      <c r="J2648" s="5" t="inlineStr">
        <is>
          <t>Full-Time</t>
        </is>
      </c>
      <c r="K2648" s="7" t="n">
        <v>45602</v>
      </c>
      <c r="L2648" s="7" t="inlineStr"/>
      <c r="M2648" s="5" t="inlineStr">
        <is>
          <t>Yes</t>
        </is>
      </c>
      <c r="N2648" s="5" t="inlineStr"/>
      <c r="O2648" s="8" t="inlineStr">
        <is>
          <t>59500</t>
        </is>
      </c>
      <c r="P2648" s="5" t="inlineStr">
        <is>
          <t>15</t>
        </is>
      </c>
      <c r="Q2648" s="5" t="inlineStr">
        <is>
          <t>4</t>
        </is>
      </c>
      <c r="R2648" s="5" t="inlineStr">
        <is>
          <t>8</t>
        </is>
      </c>
      <c r="S2648" s="5" t="inlineStr">
        <is>
          <t>14</t>
        </is>
      </c>
      <c r="T2648" s="5" t="inlineStr">
        <is>
          <t>8</t>
        </is>
      </c>
      <c r="U2648" s="5">
        <f>IFS(C2648&lt;30,"Under 30",C2648&lt;40,"30-39",C2648&lt;50,"40-49",TRUE,"50+")</f>
        <v/>
      </c>
      <c r="V2648" s="5">
        <f>IFS(O2648&lt;60000,"Low (&lt;60k)",O2648&lt;100000,"Mid (60-100k)",TRUE,"High (100k+)")</f>
        <v/>
      </c>
      <c r="W2648" s="5">
        <f>IF(M2648="No","Attrited","Active")</f>
        <v/>
      </c>
    </row>
    <row r="2649">
      <c r="A2649" s="5" t="inlineStr">
        <is>
          <t>E02648</t>
        </is>
      </c>
      <c r="B2649" s="5" t="inlineStr">
        <is>
          <t>Female</t>
        </is>
      </c>
      <c r="C2649" s="6" t="inlineStr">
        <is>
          <t>32</t>
        </is>
      </c>
      <c r="D2649" s="5" t="inlineStr">
        <is>
          <t>Married</t>
        </is>
      </c>
      <c r="E2649" s="5" t="inlineStr">
        <is>
          <t>Diploma</t>
        </is>
      </c>
      <c r="F2649" s="5" t="inlineStr">
        <is>
          <t>IT</t>
        </is>
      </c>
      <c r="G2649" s="5" t="inlineStr">
        <is>
          <t>Software Engineer</t>
        </is>
      </c>
      <c r="H2649" s="5" t="inlineStr">
        <is>
          <t>2</t>
        </is>
      </c>
      <c r="I2649" s="5" t="inlineStr">
        <is>
          <t>Mumbai</t>
        </is>
      </c>
      <c r="J2649" s="5" t="inlineStr">
        <is>
          <t>Full-Time</t>
        </is>
      </c>
      <c r="K2649" s="7" t="n">
        <v>45280</v>
      </c>
      <c r="L2649" s="7" t="inlineStr"/>
      <c r="M2649" s="5" t="inlineStr">
        <is>
          <t>Yes</t>
        </is>
      </c>
      <c r="N2649" s="5" t="inlineStr"/>
      <c r="O2649" s="8" t="inlineStr">
        <is>
          <t>132000</t>
        </is>
      </c>
      <c r="P2649" s="5" t="inlineStr">
        <is>
          <t>15</t>
        </is>
      </c>
      <c r="Q2649" s="5" t="inlineStr">
        <is>
          <t>4</t>
        </is>
      </c>
      <c r="R2649" s="5" t="inlineStr">
        <is>
          <t>7</t>
        </is>
      </c>
      <c r="S2649" s="5" t="inlineStr">
        <is>
          <t>24</t>
        </is>
      </c>
      <c r="T2649" s="5" t="inlineStr">
        <is>
          <t>7</t>
        </is>
      </c>
      <c r="U2649" s="5">
        <f>IFS(C2649&lt;30,"Under 30",C2649&lt;40,"30-39",C2649&lt;50,"40-49",TRUE,"50+")</f>
        <v/>
      </c>
      <c r="V2649" s="5">
        <f>IFS(O2649&lt;60000,"Low (&lt;60k)",O2649&lt;100000,"Mid (60-100k)",TRUE,"High (100k+)")</f>
        <v/>
      </c>
      <c r="W2649" s="5">
        <f>IF(M2649="No","Attrited","Active")</f>
        <v/>
      </c>
    </row>
    <row r="2650">
      <c r="A2650" s="5" t="inlineStr">
        <is>
          <t>E02649</t>
        </is>
      </c>
      <c r="B2650" s="5" t="inlineStr">
        <is>
          <t>Female</t>
        </is>
      </c>
      <c r="C2650" s="6" t="inlineStr">
        <is>
          <t>27</t>
        </is>
      </c>
      <c r="D2650" s="5" t="inlineStr">
        <is>
          <t>Married</t>
        </is>
      </c>
      <c r="E2650" s="5" t="inlineStr">
        <is>
          <t>PhD</t>
        </is>
      </c>
      <c r="F2650" s="5" t="inlineStr">
        <is>
          <t>Customer Support</t>
        </is>
      </c>
      <c r="G2650" s="5" t="inlineStr">
        <is>
          <t>Escalation Specialist</t>
        </is>
      </c>
      <c r="H2650" s="5" t="inlineStr">
        <is>
          <t>2</t>
        </is>
      </c>
      <c r="I2650" s="5" t="inlineStr">
        <is>
          <t>Mumbai</t>
        </is>
      </c>
      <c r="J2650" s="5" t="inlineStr">
        <is>
          <t>Full-Time</t>
        </is>
      </c>
      <c r="K2650" s="7" t="n">
        <v>45837</v>
      </c>
      <c r="L2650" s="7" t="n">
        <v>45943</v>
      </c>
      <c r="M2650" s="5" t="inlineStr">
        <is>
          <t>No</t>
        </is>
      </c>
      <c r="N2650" s="5" t="inlineStr">
        <is>
          <t>Retirement</t>
        </is>
      </c>
      <c r="O2650" s="8" t="inlineStr">
        <is>
          <t>50000</t>
        </is>
      </c>
      <c r="P2650" s="5" t="inlineStr">
        <is>
          <t>0</t>
        </is>
      </c>
      <c r="Q2650" s="5" t="inlineStr">
        <is>
          <t>2</t>
        </is>
      </c>
      <c r="R2650" s="5" t="inlineStr">
        <is>
          <t>8</t>
        </is>
      </c>
      <c r="S2650" s="5" t="inlineStr">
        <is>
          <t>3</t>
        </is>
      </c>
      <c r="T2650" s="5" t="inlineStr">
        <is>
          <t>8</t>
        </is>
      </c>
      <c r="U2650" s="5">
        <f>IFS(C2650&lt;30,"Under 30",C2650&lt;40,"30-39",C2650&lt;50,"40-49",TRUE,"50+")</f>
        <v/>
      </c>
      <c r="V2650" s="5">
        <f>IFS(O2650&lt;60000,"Low (&lt;60k)",O2650&lt;100000,"Mid (60-100k)",TRUE,"High (100k+)")</f>
        <v/>
      </c>
      <c r="W2650" s="5">
        <f>IF(M2650="No","Attrited","Active")</f>
        <v/>
      </c>
    </row>
    <row r="2651">
      <c r="A2651" s="5" t="inlineStr">
        <is>
          <t>E02650</t>
        </is>
      </c>
      <c r="B2651" s="5" t="inlineStr">
        <is>
          <t>Male</t>
        </is>
      </c>
      <c r="C2651" s="6" t="inlineStr">
        <is>
          <t>25</t>
        </is>
      </c>
      <c r="D2651" s="5" t="inlineStr">
        <is>
          <t>Married</t>
        </is>
      </c>
      <c r="E2651" s="5" t="inlineStr">
        <is>
          <t>PhD</t>
        </is>
      </c>
      <c r="F2651" s="5" t="inlineStr">
        <is>
          <t>Operations</t>
        </is>
      </c>
      <c r="G2651" s="5" t="inlineStr">
        <is>
          <t>Logistics Coordinator</t>
        </is>
      </c>
      <c r="H2651" s="5" t="inlineStr">
        <is>
          <t>2</t>
        </is>
      </c>
      <c r="I2651" s="5" t="inlineStr">
        <is>
          <t>Mumbai</t>
        </is>
      </c>
      <c r="J2651" s="5" t="inlineStr">
        <is>
          <t>Full-Time</t>
        </is>
      </c>
      <c r="K2651" s="7" t="n">
        <v>44221</v>
      </c>
      <c r="L2651" s="7" t="inlineStr"/>
      <c r="M2651" s="5" t="inlineStr">
        <is>
          <t>Yes</t>
        </is>
      </c>
      <c r="N2651" s="5" t="inlineStr"/>
      <c r="O2651" s="8" t="inlineStr">
        <is>
          <t>109000</t>
        </is>
      </c>
      <c r="P2651" s="5" t="inlineStr">
        <is>
          <t>0</t>
        </is>
      </c>
      <c r="Q2651" s="5" t="inlineStr">
        <is>
          <t>3</t>
        </is>
      </c>
      <c r="R2651" s="5" t="inlineStr">
        <is>
          <t>6</t>
        </is>
      </c>
      <c r="S2651" s="5" t="inlineStr">
        <is>
          <t>60</t>
        </is>
      </c>
      <c r="T2651" s="5" t="inlineStr">
        <is>
          <t>5</t>
        </is>
      </c>
      <c r="U2651" s="5">
        <f>IFS(C2651&lt;30,"Under 30",C2651&lt;40,"30-39",C2651&lt;50,"40-49",TRUE,"50+")</f>
        <v/>
      </c>
      <c r="V2651" s="5">
        <f>IFS(O2651&lt;60000,"Low (&lt;60k)",O2651&lt;100000,"Mid (60-100k)",TRUE,"High (100k+)")</f>
        <v/>
      </c>
      <c r="W2651" s="5">
        <f>IF(M2651="No","Attrited","Active")</f>
        <v/>
      </c>
    </row>
    <row r="2652">
      <c r="A2652" s="5" t="inlineStr">
        <is>
          <t>E02651</t>
        </is>
      </c>
      <c r="B2652" s="5" t="inlineStr">
        <is>
          <t>Male</t>
        </is>
      </c>
      <c r="C2652" s="6" t="inlineStr">
        <is>
          <t>32</t>
        </is>
      </c>
      <c r="D2652" s="5" t="inlineStr">
        <is>
          <t>Married</t>
        </is>
      </c>
      <c r="E2652" s="5" t="inlineStr">
        <is>
          <t>PhD</t>
        </is>
      </c>
      <c r="F2652" s="5" t="inlineStr">
        <is>
          <t>IT</t>
        </is>
      </c>
      <c r="G2652" s="5" t="inlineStr">
        <is>
          <t>Software Engineer</t>
        </is>
      </c>
      <c r="H2652" s="5" t="inlineStr">
        <is>
          <t>5</t>
        </is>
      </c>
      <c r="I2652" s="5" t="inlineStr">
        <is>
          <t>Mumbai</t>
        </is>
      </c>
      <c r="J2652" s="5" t="inlineStr">
        <is>
          <t>Full-Time</t>
        </is>
      </c>
      <c r="K2652" s="7" t="n">
        <v>44757</v>
      </c>
      <c r="L2652" s="7" t="inlineStr"/>
      <c r="M2652" s="5" t="inlineStr">
        <is>
          <t>Yes</t>
        </is>
      </c>
      <c r="N2652" s="5" t="inlineStr"/>
      <c r="O2652" s="8" t="inlineStr">
        <is>
          <t>135500</t>
        </is>
      </c>
      <c r="P2652" s="5" t="inlineStr">
        <is>
          <t>0</t>
        </is>
      </c>
      <c r="Q2652" s="5" t="inlineStr">
        <is>
          <t>3</t>
        </is>
      </c>
      <c r="R2652" s="5" t="inlineStr">
        <is>
          <t>3</t>
        </is>
      </c>
      <c r="S2652" s="5" t="inlineStr">
        <is>
          <t>42</t>
        </is>
      </c>
      <c r="T2652" s="5" t="inlineStr">
        <is>
          <t>15</t>
        </is>
      </c>
      <c r="U2652" s="5">
        <f>IFS(C2652&lt;30,"Under 30",C2652&lt;40,"30-39",C2652&lt;50,"40-49",TRUE,"50+")</f>
        <v/>
      </c>
      <c r="V2652" s="5">
        <f>IFS(O2652&lt;60000,"Low (&lt;60k)",O2652&lt;100000,"Mid (60-100k)",TRUE,"High (100k+)")</f>
        <v/>
      </c>
      <c r="W2652" s="5">
        <f>IF(M2652="No","Attrited","Active")</f>
        <v/>
      </c>
    </row>
    <row r="2653">
      <c r="A2653" s="5" t="inlineStr">
        <is>
          <t>E02652</t>
        </is>
      </c>
      <c r="B2653" s="5" t="inlineStr">
        <is>
          <t>Male</t>
        </is>
      </c>
      <c r="C2653" s="6" t="inlineStr">
        <is>
          <t>36</t>
        </is>
      </c>
      <c r="D2653" s="5" t="inlineStr">
        <is>
          <t>Single</t>
        </is>
      </c>
      <c r="E2653" s="5" t="inlineStr">
        <is>
          <t>High School</t>
        </is>
      </c>
      <c r="F2653" s="5" t="inlineStr">
        <is>
          <t>Customer Support</t>
        </is>
      </c>
      <c r="G2653" s="5" t="inlineStr">
        <is>
          <t>Support Agent</t>
        </is>
      </c>
      <c r="H2653" s="5" t="inlineStr">
        <is>
          <t>3</t>
        </is>
      </c>
      <c r="I2653" s="5" t="inlineStr">
        <is>
          <t>Bengaluru</t>
        </is>
      </c>
      <c r="J2653" s="5" t="inlineStr">
        <is>
          <t>Full-Time</t>
        </is>
      </c>
      <c r="K2653" s="7" t="n">
        <v>44782</v>
      </c>
      <c r="L2653" s="7" t="n">
        <v>44920</v>
      </c>
      <c r="M2653" s="5" t="inlineStr">
        <is>
          <t>No</t>
        </is>
      </c>
      <c r="N2653" s="5" t="inlineStr">
        <is>
          <t>Retirement</t>
        </is>
      </c>
      <c r="O2653" s="8" t="inlineStr">
        <is>
          <t>71000</t>
        </is>
      </c>
      <c r="P2653" s="5" t="inlineStr">
        <is>
          <t>5</t>
        </is>
      </c>
      <c r="Q2653" s="5" t="inlineStr">
        <is>
          <t>5</t>
        </is>
      </c>
      <c r="R2653" s="5" t="inlineStr">
        <is>
          <t>10</t>
        </is>
      </c>
      <c r="S2653" s="5" t="inlineStr">
        <is>
          <t>4</t>
        </is>
      </c>
      <c r="T2653" s="5" t="inlineStr">
        <is>
          <t>0</t>
        </is>
      </c>
      <c r="U2653" s="5">
        <f>IFS(C2653&lt;30,"Under 30",C2653&lt;40,"30-39",C2653&lt;50,"40-49",TRUE,"50+")</f>
        <v/>
      </c>
      <c r="V2653" s="5">
        <f>IFS(O2653&lt;60000,"Low (&lt;60k)",O2653&lt;100000,"Mid (60-100k)",TRUE,"High (100k+)")</f>
        <v/>
      </c>
      <c r="W2653" s="5">
        <f>IF(M2653="No","Attrited","Active")</f>
        <v/>
      </c>
    </row>
    <row r="2654">
      <c r="A2654" s="5" t="inlineStr">
        <is>
          <t>E02653</t>
        </is>
      </c>
      <c r="B2654" s="5" t="inlineStr">
        <is>
          <t>Male</t>
        </is>
      </c>
      <c r="C2654" s="6" t="inlineStr">
        <is>
          <t>30</t>
        </is>
      </c>
      <c r="D2654" s="5" t="inlineStr">
        <is>
          <t>Single</t>
        </is>
      </c>
      <c r="E2654" s="5" t="inlineStr">
        <is>
          <t>Master</t>
        </is>
      </c>
      <c r="F2654" s="5" t="inlineStr">
        <is>
          <t>Sales</t>
        </is>
      </c>
      <c r="G2654" s="5" t="inlineStr">
        <is>
          <t>Business Development</t>
        </is>
      </c>
      <c r="H2654" s="5" t="inlineStr">
        <is>
          <t>1</t>
        </is>
      </c>
      <c r="I2654" s="5" t="inlineStr">
        <is>
          <t>Mumbai</t>
        </is>
      </c>
      <c r="J2654" s="5" t="inlineStr">
        <is>
          <t>Full-Time</t>
        </is>
      </c>
      <c r="K2654" s="7" t="n">
        <v>45870</v>
      </c>
      <c r="L2654" s="7" t="n">
        <v>45900</v>
      </c>
      <c r="M2654" s="5" t="inlineStr">
        <is>
          <t>No</t>
        </is>
      </c>
      <c r="N2654" s="5" t="inlineStr">
        <is>
          <t>Layoff</t>
        </is>
      </c>
      <c r="O2654" s="8" t="inlineStr">
        <is>
          <t>99500</t>
        </is>
      </c>
      <c r="P2654" s="5" t="inlineStr">
        <is>
          <t>15</t>
        </is>
      </c>
      <c r="Q2654" s="5" t="inlineStr">
        <is>
          <t>4</t>
        </is>
      </c>
      <c r="R2654" s="5" t="inlineStr">
        <is>
          <t>10</t>
        </is>
      </c>
      <c r="S2654" s="5" t="inlineStr">
        <is>
          <t>1</t>
        </is>
      </c>
      <c r="T2654" s="5" t="inlineStr">
        <is>
          <t>8</t>
        </is>
      </c>
      <c r="U2654" s="5">
        <f>IFS(C2654&lt;30,"Under 30",C2654&lt;40,"30-39",C2654&lt;50,"40-49",TRUE,"50+")</f>
        <v/>
      </c>
      <c r="V2654" s="5">
        <f>IFS(O2654&lt;60000,"Low (&lt;60k)",O2654&lt;100000,"Mid (60-100k)",TRUE,"High (100k+)")</f>
        <v/>
      </c>
      <c r="W2654" s="5">
        <f>IF(M2654="No","Attrited","Active")</f>
        <v/>
      </c>
    </row>
    <row r="2655">
      <c r="A2655" s="5" t="inlineStr">
        <is>
          <t>E02654</t>
        </is>
      </c>
      <c r="B2655" s="5" t="inlineStr">
        <is>
          <t>Female</t>
        </is>
      </c>
      <c r="C2655" s="6" t="inlineStr">
        <is>
          <t>35</t>
        </is>
      </c>
      <c r="D2655" s="5" t="inlineStr">
        <is>
          <t>Single</t>
        </is>
      </c>
      <c r="E2655" s="5" t="inlineStr">
        <is>
          <t>Bachelor</t>
        </is>
      </c>
      <c r="F2655" s="5" t="inlineStr">
        <is>
          <t>Sales</t>
        </is>
      </c>
      <c r="G2655" s="5" t="inlineStr">
        <is>
          <t>Account Executive</t>
        </is>
      </c>
      <c r="H2655" s="5" t="inlineStr">
        <is>
          <t>5</t>
        </is>
      </c>
      <c r="I2655" s="5" t="inlineStr">
        <is>
          <t>Mumbai</t>
        </is>
      </c>
      <c r="J2655" s="5" t="inlineStr">
        <is>
          <t>Full-Time</t>
        </is>
      </c>
      <c r="K2655" s="7" t="n">
        <v>44995</v>
      </c>
      <c r="L2655" s="7" t="inlineStr"/>
      <c r="M2655" s="5" t="inlineStr">
        <is>
          <t>Yes</t>
        </is>
      </c>
      <c r="N2655" s="5" t="inlineStr"/>
      <c r="O2655" s="8" t="inlineStr">
        <is>
          <t>161000</t>
        </is>
      </c>
      <c r="P2655" s="5" t="inlineStr">
        <is>
          <t>10</t>
        </is>
      </c>
      <c r="Q2655" s="5" t="inlineStr">
        <is>
          <t>4</t>
        </is>
      </c>
      <c r="R2655" s="5" t="inlineStr">
        <is>
          <t>10</t>
        </is>
      </c>
      <c r="S2655" s="5" t="inlineStr">
        <is>
          <t>34</t>
        </is>
      </c>
      <c r="T2655" s="5" t="inlineStr">
        <is>
          <t>0</t>
        </is>
      </c>
      <c r="U2655" s="5">
        <f>IFS(C2655&lt;30,"Under 30",C2655&lt;40,"30-39",C2655&lt;50,"40-49",TRUE,"50+")</f>
        <v/>
      </c>
      <c r="V2655" s="5">
        <f>IFS(O2655&lt;60000,"Low (&lt;60k)",O2655&lt;100000,"Mid (60-100k)",TRUE,"High (100k+)")</f>
        <v/>
      </c>
      <c r="W2655" s="5">
        <f>IF(M2655="No","Attrited","Active")</f>
        <v/>
      </c>
    </row>
    <row r="2656">
      <c r="A2656" s="5" t="inlineStr">
        <is>
          <t>E02655</t>
        </is>
      </c>
      <c r="B2656" s="5" t="inlineStr">
        <is>
          <t>Male</t>
        </is>
      </c>
      <c r="C2656" s="6" t="inlineStr">
        <is>
          <t>34</t>
        </is>
      </c>
      <c r="D2656" s="5" t="inlineStr">
        <is>
          <t>Single</t>
        </is>
      </c>
      <c r="E2656" s="5" t="inlineStr">
        <is>
          <t>Master</t>
        </is>
      </c>
      <c r="F2656" s="5" t="inlineStr">
        <is>
          <t>Human Resources</t>
        </is>
      </c>
      <c r="G2656" s="5" t="inlineStr">
        <is>
          <t>Recruiter</t>
        </is>
      </c>
      <c r="H2656" s="5" t="inlineStr">
        <is>
          <t>1</t>
        </is>
      </c>
      <c r="I2656" s="5" t="inlineStr">
        <is>
          <t>Delhi</t>
        </is>
      </c>
      <c r="J2656" s="5" t="inlineStr">
        <is>
          <t>Full-Time</t>
        </is>
      </c>
      <c r="K2656" s="7" t="n">
        <v>45597</v>
      </c>
      <c r="L2656" s="7" t="inlineStr"/>
      <c r="M2656" s="5" t="inlineStr">
        <is>
          <t>Yes</t>
        </is>
      </c>
      <c r="N2656" s="5" t="inlineStr"/>
      <c r="O2656" s="8" t="inlineStr">
        <is>
          <t>81500</t>
        </is>
      </c>
      <c r="P2656" s="5" t="inlineStr">
        <is>
          <t>10</t>
        </is>
      </c>
      <c r="Q2656" s="5" t="inlineStr">
        <is>
          <t>5</t>
        </is>
      </c>
      <c r="R2656" s="5" t="inlineStr">
        <is>
          <t>3</t>
        </is>
      </c>
      <c r="S2656" s="5" t="inlineStr">
        <is>
          <t>14</t>
        </is>
      </c>
      <c r="T2656" s="5" t="inlineStr">
        <is>
          <t>0</t>
        </is>
      </c>
      <c r="U2656" s="5">
        <f>IFS(C2656&lt;30,"Under 30",C2656&lt;40,"30-39",C2656&lt;50,"40-49",TRUE,"50+")</f>
        <v/>
      </c>
      <c r="V2656" s="5">
        <f>IFS(O2656&lt;60000,"Low (&lt;60k)",O2656&lt;100000,"Mid (60-100k)",TRUE,"High (100k+)")</f>
        <v/>
      </c>
      <c r="W2656" s="5">
        <f>IF(M2656="No","Attrited","Active")</f>
        <v/>
      </c>
    </row>
    <row r="2657">
      <c r="A2657" s="5" t="inlineStr">
        <is>
          <t>E02656</t>
        </is>
      </c>
      <c r="B2657" s="5" t="inlineStr">
        <is>
          <t>Female</t>
        </is>
      </c>
      <c r="C2657" s="6" t="inlineStr">
        <is>
          <t>24</t>
        </is>
      </c>
      <c r="D2657" s="5" t="inlineStr">
        <is>
          <t>Divorced</t>
        </is>
      </c>
      <c r="E2657" s="5" t="inlineStr">
        <is>
          <t>Bachelor</t>
        </is>
      </c>
      <c r="F2657" s="5" t="inlineStr">
        <is>
          <t>Marketing</t>
        </is>
      </c>
      <c r="G2657" s="5" t="inlineStr">
        <is>
          <t>SEO Specialist</t>
        </is>
      </c>
      <c r="H2657" s="5" t="inlineStr">
        <is>
          <t>1</t>
        </is>
      </c>
      <c r="I2657" s="5" t="inlineStr">
        <is>
          <t>Mumbai</t>
        </is>
      </c>
      <c r="J2657" s="5" t="inlineStr">
        <is>
          <t>Contract</t>
        </is>
      </c>
      <c r="K2657" s="7" t="n">
        <v>45229</v>
      </c>
      <c r="L2657" s="7" t="inlineStr"/>
      <c r="M2657" s="5" t="inlineStr">
        <is>
          <t>Yes</t>
        </is>
      </c>
      <c r="N2657" s="5" t="inlineStr"/>
      <c r="O2657" s="8" t="inlineStr">
        <is>
          <t>78500</t>
        </is>
      </c>
      <c r="P2657" s="5" t="inlineStr">
        <is>
          <t>0</t>
        </is>
      </c>
      <c r="Q2657" s="5" t="inlineStr">
        <is>
          <t>3</t>
        </is>
      </c>
      <c r="R2657" s="5" t="inlineStr">
        <is>
          <t>5</t>
        </is>
      </c>
      <c r="S2657" s="5" t="inlineStr">
        <is>
          <t>26</t>
        </is>
      </c>
      <c r="T2657" s="5" t="inlineStr">
        <is>
          <t>7</t>
        </is>
      </c>
      <c r="U2657" s="5">
        <f>IFS(C2657&lt;30,"Under 30",C2657&lt;40,"30-39",C2657&lt;50,"40-49",TRUE,"50+")</f>
        <v/>
      </c>
      <c r="V2657" s="5">
        <f>IFS(O2657&lt;60000,"Low (&lt;60k)",O2657&lt;100000,"Mid (60-100k)",TRUE,"High (100k+)")</f>
        <v/>
      </c>
      <c r="W2657" s="5">
        <f>IF(M2657="No","Attrited","Active")</f>
        <v/>
      </c>
    </row>
    <row r="2658">
      <c r="A2658" s="5" t="inlineStr">
        <is>
          <t>E02657</t>
        </is>
      </c>
      <c r="B2658" s="5" t="inlineStr">
        <is>
          <t>Male</t>
        </is>
      </c>
      <c r="C2658" s="6" t="inlineStr">
        <is>
          <t>30</t>
        </is>
      </c>
      <c r="D2658" s="5" t="inlineStr">
        <is>
          <t>Married</t>
        </is>
      </c>
      <c r="E2658" s="5" t="inlineStr">
        <is>
          <t>PhD</t>
        </is>
      </c>
      <c r="F2658" s="5" t="inlineStr">
        <is>
          <t>Sales</t>
        </is>
      </c>
      <c r="G2658" s="5" t="inlineStr">
        <is>
          <t>Account Executive</t>
        </is>
      </c>
      <c r="H2658" s="5" t="inlineStr">
        <is>
          <t>2</t>
        </is>
      </c>
      <c r="I2658" s="5" t="inlineStr">
        <is>
          <t>Mumbai</t>
        </is>
      </c>
      <c r="J2658" s="5" t="inlineStr">
        <is>
          <t>Full-Time</t>
        </is>
      </c>
      <c r="K2658" s="7" t="n">
        <v>45507</v>
      </c>
      <c r="L2658" s="7" t="inlineStr"/>
      <c r="M2658" s="5" t="inlineStr">
        <is>
          <t>Yes</t>
        </is>
      </c>
      <c r="N2658" s="5" t="inlineStr"/>
      <c r="O2658" s="8" t="inlineStr">
        <is>
          <t>68500</t>
        </is>
      </c>
      <c r="P2658" s="5" t="inlineStr">
        <is>
          <t>0</t>
        </is>
      </c>
      <c r="Q2658" s="5" t="inlineStr">
        <is>
          <t>4</t>
        </is>
      </c>
      <c r="R2658" s="5" t="inlineStr">
        <is>
          <t>5</t>
        </is>
      </c>
      <c r="S2658" s="5" t="inlineStr">
        <is>
          <t>17</t>
        </is>
      </c>
      <c r="T2658" s="5" t="inlineStr">
        <is>
          <t>11</t>
        </is>
      </c>
      <c r="U2658" s="5">
        <f>IFS(C2658&lt;30,"Under 30",C2658&lt;40,"30-39",C2658&lt;50,"40-49",TRUE,"50+")</f>
        <v/>
      </c>
      <c r="V2658" s="5">
        <f>IFS(O2658&lt;60000,"Low (&lt;60k)",O2658&lt;100000,"Mid (60-100k)",TRUE,"High (100k+)")</f>
        <v/>
      </c>
      <c r="W2658" s="5">
        <f>IF(M2658="No","Attrited","Active")</f>
        <v/>
      </c>
    </row>
    <row r="2659">
      <c r="A2659" s="5" t="inlineStr">
        <is>
          <t>E02658</t>
        </is>
      </c>
      <c r="B2659" s="5" t="inlineStr">
        <is>
          <t>Female</t>
        </is>
      </c>
      <c r="C2659" s="6" t="inlineStr">
        <is>
          <t>29</t>
        </is>
      </c>
      <c r="D2659" s="5" t="inlineStr">
        <is>
          <t>Married</t>
        </is>
      </c>
      <c r="E2659" s="5" t="inlineStr">
        <is>
          <t>Master</t>
        </is>
      </c>
      <c r="F2659" s="5" t="inlineStr">
        <is>
          <t>IT</t>
        </is>
      </c>
      <c r="G2659" s="5" t="inlineStr">
        <is>
          <t>DevOps Engineer</t>
        </is>
      </c>
      <c r="H2659" s="5" t="inlineStr">
        <is>
          <t>1</t>
        </is>
      </c>
      <c r="I2659" s="5" t="inlineStr">
        <is>
          <t>Delhi</t>
        </is>
      </c>
      <c r="J2659" s="5" t="inlineStr">
        <is>
          <t>Full-Time</t>
        </is>
      </c>
      <c r="K2659" s="7" t="n">
        <v>44609</v>
      </c>
      <c r="L2659" s="7" t="inlineStr"/>
      <c r="M2659" s="5" t="inlineStr">
        <is>
          <t>Yes</t>
        </is>
      </c>
      <c r="N2659" s="5" t="inlineStr"/>
      <c r="O2659" s="8" t="inlineStr">
        <is>
          <t>138500</t>
        </is>
      </c>
      <c r="P2659" s="5" t="inlineStr">
        <is>
          <t>10</t>
        </is>
      </c>
      <c r="Q2659" s="5" t="inlineStr">
        <is>
          <t>4</t>
        </is>
      </c>
      <c r="R2659" s="5" t="inlineStr">
        <is>
          <t>5</t>
        </is>
      </c>
      <c r="S2659" s="5" t="inlineStr">
        <is>
          <t>47</t>
        </is>
      </c>
      <c r="T2659" s="5" t="inlineStr">
        <is>
          <t>3</t>
        </is>
      </c>
      <c r="U2659" s="5">
        <f>IFS(C2659&lt;30,"Under 30",C2659&lt;40,"30-39",C2659&lt;50,"40-49",TRUE,"50+")</f>
        <v/>
      </c>
      <c r="V2659" s="5">
        <f>IFS(O2659&lt;60000,"Low (&lt;60k)",O2659&lt;100000,"Mid (60-100k)",TRUE,"High (100k+)")</f>
        <v/>
      </c>
      <c r="W2659" s="5">
        <f>IF(M2659="No","Attrited","Active")</f>
        <v/>
      </c>
    </row>
    <row r="2660">
      <c r="A2660" s="5" t="inlineStr">
        <is>
          <t>E02659</t>
        </is>
      </c>
      <c r="B2660" s="5" t="inlineStr">
        <is>
          <t>Male</t>
        </is>
      </c>
      <c r="C2660" s="6" t="inlineStr">
        <is>
          <t>30</t>
        </is>
      </c>
      <c r="D2660" s="5" t="inlineStr">
        <is>
          <t>Married</t>
        </is>
      </c>
      <c r="E2660" s="5" t="inlineStr">
        <is>
          <t>PhD</t>
        </is>
      </c>
      <c r="F2660" s="5" t="inlineStr">
        <is>
          <t>Research &amp; Development</t>
        </is>
      </c>
      <c r="G2660" s="5" t="inlineStr">
        <is>
          <t>Research Scientist</t>
        </is>
      </c>
      <c r="H2660" s="5" t="inlineStr">
        <is>
          <t>1</t>
        </is>
      </c>
      <c r="I2660" s="5" t="inlineStr">
        <is>
          <t>Chennai</t>
        </is>
      </c>
      <c r="J2660" s="5" t="inlineStr">
        <is>
          <t>Full-Time</t>
        </is>
      </c>
      <c r="K2660" s="7" t="n">
        <v>44397</v>
      </c>
      <c r="L2660" s="7" t="inlineStr"/>
      <c r="M2660" s="5" t="inlineStr">
        <is>
          <t>Yes</t>
        </is>
      </c>
      <c r="N2660" s="5" t="inlineStr"/>
      <c r="O2660" s="8" t="inlineStr">
        <is>
          <t>154000</t>
        </is>
      </c>
      <c r="P2660" s="5" t="inlineStr">
        <is>
          <t>5</t>
        </is>
      </c>
      <c r="Q2660" s="5" t="inlineStr">
        <is>
          <t>5</t>
        </is>
      </c>
      <c r="R2660" s="5" t="inlineStr">
        <is>
          <t>7</t>
        </is>
      </c>
      <c r="S2660" s="5" t="inlineStr">
        <is>
          <t>54</t>
        </is>
      </c>
      <c r="T2660" s="5" t="inlineStr">
        <is>
          <t>2</t>
        </is>
      </c>
      <c r="U2660" s="5">
        <f>IFS(C2660&lt;30,"Under 30",C2660&lt;40,"30-39",C2660&lt;50,"40-49",TRUE,"50+")</f>
        <v/>
      </c>
      <c r="V2660" s="5">
        <f>IFS(O2660&lt;60000,"Low (&lt;60k)",O2660&lt;100000,"Mid (60-100k)",TRUE,"High (100k+)")</f>
        <v/>
      </c>
      <c r="W2660" s="5">
        <f>IF(M2660="No","Attrited","Active")</f>
        <v/>
      </c>
    </row>
    <row r="2661">
      <c r="A2661" s="5" t="inlineStr">
        <is>
          <t>E02660</t>
        </is>
      </c>
      <c r="B2661" s="5" t="inlineStr">
        <is>
          <t>Male</t>
        </is>
      </c>
      <c r="C2661" s="6" t="inlineStr">
        <is>
          <t>29</t>
        </is>
      </c>
      <c r="D2661" s="5" t="inlineStr">
        <is>
          <t>Married</t>
        </is>
      </c>
      <c r="E2661" s="5" t="inlineStr">
        <is>
          <t>Diploma</t>
        </is>
      </c>
      <c r="F2661" s="5" t="inlineStr">
        <is>
          <t>Marketing</t>
        </is>
      </c>
      <c r="G2661" s="5" t="inlineStr">
        <is>
          <t>Content Writer</t>
        </is>
      </c>
      <c r="H2661" s="5" t="inlineStr">
        <is>
          <t>2</t>
        </is>
      </c>
      <c r="I2661" s="5" t="inlineStr">
        <is>
          <t>Hyderabad</t>
        </is>
      </c>
      <c r="J2661" s="5" t="inlineStr">
        <is>
          <t>Full-Time</t>
        </is>
      </c>
      <c r="K2661" s="7" t="n">
        <v>45758</v>
      </c>
      <c r="L2661" s="7" t="n">
        <v>45800</v>
      </c>
      <c r="M2661" s="5" t="inlineStr">
        <is>
          <t>No</t>
        </is>
      </c>
      <c r="N2661" s="5" t="inlineStr">
        <is>
          <t>Layoff</t>
        </is>
      </c>
      <c r="O2661" s="8" t="inlineStr">
        <is>
          <t>60500</t>
        </is>
      </c>
      <c r="P2661" s="5" t="inlineStr">
        <is>
          <t>5</t>
        </is>
      </c>
      <c r="Q2661" s="5" t="inlineStr">
        <is>
          <t>4</t>
        </is>
      </c>
      <c r="R2661" s="5" t="inlineStr">
        <is>
          <t>6</t>
        </is>
      </c>
      <c r="S2661" s="5" t="inlineStr">
        <is>
          <t>1</t>
        </is>
      </c>
      <c r="T2661" s="5" t="inlineStr">
        <is>
          <t>13</t>
        </is>
      </c>
      <c r="U2661" s="5">
        <f>IFS(C2661&lt;30,"Under 30",C2661&lt;40,"30-39",C2661&lt;50,"40-49",TRUE,"50+")</f>
        <v/>
      </c>
      <c r="V2661" s="5">
        <f>IFS(O2661&lt;60000,"Low (&lt;60k)",O2661&lt;100000,"Mid (60-100k)",TRUE,"High (100k+)")</f>
        <v/>
      </c>
      <c r="W2661" s="5">
        <f>IF(M2661="No","Attrited","Active")</f>
        <v/>
      </c>
    </row>
    <row r="2662">
      <c r="A2662" s="5" t="inlineStr">
        <is>
          <t>E02661</t>
        </is>
      </c>
      <c r="B2662" s="5" t="inlineStr">
        <is>
          <t>Female</t>
        </is>
      </c>
      <c r="C2662" s="6" t="inlineStr">
        <is>
          <t>26</t>
        </is>
      </c>
      <c r="D2662" s="5" t="inlineStr">
        <is>
          <t>Married</t>
        </is>
      </c>
      <c r="E2662" s="5" t="inlineStr">
        <is>
          <t>Diploma</t>
        </is>
      </c>
      <c r="F2662" s="5" t="inlineStr">
        <is>
          <t>Research &amp; Development</t>
        </is>
      </c>
      <c r="G2662" s="5" t="inlineStr">
        <is>
          <t>Product Engineer</t>
        </is>
      </c>
      <c r="H2662" s="5" t="inlineStr">
        <is>
          <t>1</t>
        </is>
      </c>
      <c r="I2662" s="5" t="inlineStr">
        <is>
          <t>Bengaluru</t>
        </is>
      </c>
      <c r="J2662" s="5" t="inlineStr">
        <is>
          <t>Full-Time</t>
        </is>
      </c>
      <c r="K2662" s="7" t="n">
        <v>44929</v>
      </c>
      <c r="L2662" s="7" t="inlineStr"/>
      <c r="M2662" s="5" t="inlineStr">
        <is>
          <t>Yes</t>
        </is>
      </c>
      <c r="N2662" s="5" t="inlineStr"/>
      <c r="O2662" s="8" t="inlineStr">
        <is>
          <t>138000</t>
        </is>
      </c>
      <c r="P2662" s="5" t="inlineStr">
        <is>
          <t>5</t>
        </is>
      </c>
      <c r="Q2662" s="5" t="inlineStr">
        <is>
          <t>4</t>
        </is>
      </c>
      <c r="R2662" s="5" t="inlineStr">
        <is>
          <t>6</t>
        </is>
      </c>
      <c r="S2662" s="5" t="inlineStr">
        <is>
          <t>36</t>
        </is>
      </c>
      <c r="T2662" s="5" t="inlineStr">
        <is>
          <t>7</t>
        </is>
      </c>
      <c r="U2662" s="5">
        <f>IFS(C2662&lt;30,"Under 30",C2662&lt;40,"30-39",C2662&lt;50,"40-49",TRUE,"50+")</f>
        <v/>
      </c>
      <c r="V2662" s="5">
        <f>IFS(O2662&lt;60000,"Low (&lt;60k)",O2662&lt;100000,"Mid (60-100k)",TRUE,"High (100k+)")</f>
        <v/>
      </c>
      <c r="W2662" s="5">
        <f>IF(M2662="No","Attrited","Active")</f>
        <v/>
      </c>
    </row>
    <row r="2663">
      <c r="A2663" s="5" t="inlineStr">
        <is>
          <t>E02662</t>
        </is>
      </c>
      <c r="B2663" s="5" t="inlineStr">
        <is>
          <t>Female</t>
        </is>
      </c>
      <c r="C2663" s="6" t="inlineStr">
        <is>
          <t>40</t>
        </is>
      </c>
      <c r="D2663" s="5" t="inlineStr">
        <is>
          <t>Single</t>
        </is>
      </c>
      <c r="E2663" s="5" t="inlineStr">
        <is>
          <t>Bachelor</t>
        </is>
      </c>
      <c r="F2663" s="5" t="inlineStr">
        <is>
          <t>Research &amp; Development</t>
        </is>
      </c>
      <c r="G2663" s="5" t="inlineStr">
        <is>
          <t>Research Scientist</t>
        </is>
      </c>
      <c r="H2663" s="5" t="inlineStr">
        <is>
          <t>4</t>
        </is>
      </c>
      <c r="I2663" s="5" t="inlineStr">
        <is>
          <t>Chennai</t>
        </is>
      </c>
      <c r="J2663" s="5" t="inlineStr">
        <is>
          <t>Full-Time</t>
        </is>
      </c>
      <c r="K2663" s="7" t="n">
        <v>44188</v>
      </c>
      <c r="L2663" s="7" t="inlineStr"/>
      <c r="M2663" s="5" t="inlineStr">
        <is>
          <t>Yes</t>
        </is>
      </c>
      <c r="N2663" s="5" t="inlineStr"/>
      <c r="O2663" s="8" t="inlineStr">
        <is>
          <t>221000</t>
        </is>
      </c>
      <c r="P2663" s="5" t="inlineStr">
        <is>
          <t>5</t>
        </is>
      </c>
      <c r="Q2663" s="5" t="inlineStr">
        <is>
          <t>5</t>
        </is>
      </c>
      <c r="R2663" s="5" t="inlineStr">
        <is>
          <t>5</t>
        </is>
      </c>
      <c r="S2663" s="5" t="inlineStr">
        <is>
          <t>61</t>
        </is>
      </c>
      <c r="T2663" s="5" t="inlineStr">
        <is>
          <t>8</t>
        </is>
      </c>
      <c r="U2663" s="5">
        <f>IFS(C2663&lt;30,"Under 30",C2663&lt;40,"30-39",C2663&lt;50,"40-49",TRUE,"50+")</f>
        <v/>
      </c>
      <c r="V2663" s="5">
        <f>IFS(O2663&lt;60000,"Low (&lt;60k)",O2663&lt;100000,"Mid (60-100k)",TRUE,"High (100k+)")</f>
        <v/>
      </c>
      <c r="W2663" s="5">
        <f>IF(M2663="No","Attrited","Active")</f>
        <v/>
      </c>
    </row>
    <row r="2664">
      <c r="A2664" s="5" t="inlineStr">
        <is>
          <t>E02663</t>
        </is>
      </c>
      <c r="B2664" s="5" t="inlineStr">
        <is>
          <t>Male</t>
        </is>
      </c>
      <c r="C2664" s="6" t="inlineStr">
        <is>
          <t>25</t>
        </is>
      </c>
      <c r="D2664" s="5" t="inlineStr">
        <is>
          <t>Married</t>
        </is>
      </c>
      <c r="E2664" s="5" t="inlineStr">
        <is>
          <t>Bachelor</t>
        </is>
      </c>
      <c r="F2664" s="5" t="inlineStr">
        <is>
          <t>Executive</t>
        </is>
      </c>
      <c r="G2664" s="5" t="inlineStr">
        <is>
          <t>CEO</t>
        </is>
      </c>
      <c r="H2664" s="5" t="inlineStr">
        <is>
          <t>2</t>
        </is>
      </c>
      <c r="I2664" s="5" t="inlineStr">
        <is>
          <t>Delhi</t>
        </is>
      </c>
      <c r="J2664" s="5" t="inlineStr">
        <is>
          <t>Full-Time</t>
        </is>
      </c>
      <c r="K2664" s="7" t="n">
        <v>44452</v>
      </c>
      <c r="L2664" s="7" t="inlineStr"/>
      <c r="M2664" s="5" t="inlineStr">
        <is>
          <t>Yes</t>
        </is>
      </c>
      <c r="N2664" s="5" t="inlineStr"/>
      <c r="O2664" s="8" t="inlineStr">
        <is>
          <t>186000</t>
        </is>
      </c>
      <c r="P2664" s="5" t="inlineStr">
        <is>
          <t>15</t>
        </is>
      </c>
      <c r="Q2664" s="5" t="inlineStr">
        <is>
          <t>4</t>
        </is>
      </c>
      <c r="R2664" s="5" t="inlineStr">
        <is>
          <t>4</t>
        </is>
      </c>
      <c r="S2664" s="5" t="inlineStr">
        <is>
          <t>52</t>
        </is>
      </c>
      <c r="T2664" s="5" t="inlineStr">
        <is>
          <t>16</t>
        </is>
      </c>
      <c r="U2664" s="5">
        <f>IFS(C2664&lt;30,"Under 30",C2664&lt;40,"30-39",C2664&lt;50,"40-49",TRUE,"50+")</f>
        <v/>
      </c>
      <c r="V2664" s="5">
        <f>IFS(O2664&lt;60000,"Low (&lt;60k)",O2664&lt;100000,"Mid (60-100k)",TRUE,"High (100k+)")</f>
        <v/>
      </c>
      <c r="W2664" s="5">
        <f>IF(M2664="No","Attrited","Active")</f>
        <v/>
      </c>
    </row>
    <row r="2665">
      <c r="A2665" s="5" t="inlineStr">
        <is>
          <t>E02664</t>
        </is>
      </c>
      <c r="B2665" s="5" t="inlineStr">
        <is>
          <t>Male</t>
        </is>
      </c>
      <c r="C2665" s="6" t="inlineStr">
        <is>
          <t>39</t>
        </is>
      </c>
      <c r="D2665" s="5" t="inlineStr">
        <is>
          <t>Married</t>
        </is>
      </c>
      <c r="E2665" s="5" t="inlineStr">
        <is>
          <t>Master</t>
        </is>
      </c>
      <c r="F2665" s="5" t="inlineStr">
        <is>
          <t>IT</t>
        </is>
      </c>
      <c r="G2665" s="5" t="inlineStr">
        <is>
          <t>Software Engineer</t>
        </is>
      </c>
      <c r="H2665" s="5" t="inlineStr">
        <is>
          <t>5</t>
        </is>
      </c>
      <c r="I2665" s="5" t="inlineStr">
        <is>
          <t>Mumbai</t>
        </is>
      </c>
      <c r="J2665" s="5" t="inlineStr">
        <is>
          <t>Full-Time</t>
        </is>
      </c>
      <c r="K2665" s="7" t="n">
        <v>44090</v>
      </c>
      <c r="L2665" s="7" t="inlineStr"/>
      <c r="M2665" s="5" t="inlineStr">
        <is>
          <t>Yes</t>
        </is>
      </c>
      <c r="N2665" s="5" t="inlineStr"/>
      <c r="O2665" s="8" t="inlineStr">
        <is>
          <t>223500</t>
        </is>
      </c>
      <c r="P2665" s="5" t="inlineStr">
        <is>
          <t>0</t>
        </is>
      </c>
      <c r="Q2665" s="5" t="inlineStr">
        <is>
          <t>4</t>
        </is>
      </c>
      <c r="R2665" s="5" t="inlineStr">
        <is>
          <t>3</t>
        </is>
      </c>
      <c r="S2665" s="5" t="inlineStr">
        <is>
          <t>64</t>
        </is>
      </c>
      <c r="T2665" s="5" t="inlineStr">
        <is>
          <t>4</t>
        </is>
      </c>
      <c r="U2665" s="5">
        <f>IFS(C2665&lt;30,"Under 30",C2665&lt;40,"30-39",C2665&lt;50,"40-49",TRUE,"50+")</f>
        <v/>
      </c>
      <c r="V2665" s="5">
        <f>IFS(O2665&lt;60000,"Low (&lt;60k)",O2665&lt;100000,"Mid (60-100k)",TRUE,"High (100k+)")</f>
        <v/>
      </c>
      <c r="W2665" s="5">
        <f>IF(M2665="No","Attrited","Active")</f>
        <v/>
      </c>
    </row>
    <row r="2666">
      <c r="A2666" s="5" t="inlineStr">
        <is>
          <t>E02665</t>
        </is>
      </c>
      <c r="B2666" s="5" t="inlineStr">
        <is>
          <t>Female</t>
        </is>
      </c>
      <c r="C2666" s="6" t="inlineStr">
        <is>
          <t>28</t>
        </is>
      </c>
      <c r="D2666" s="5" t="inlineStr">
        <is>
          <t>Married</t>
        </is>
      </c>
      <c r="E2666" s="5" t="inlineStr">
        <is>
          <t>PhD</t>
        </is>
      </c>
      <c r="F2666" s="5" t="inlineStr">
        <is>
          <t>Sales</t>
        </is>
      </c>
      <c r="G2666" s="5" t="inlineStr">
        <is>
          <t>Account Executive</t>
        </is>
      </c>
      <c r="H2666" s="5" t="inlineStr">
        <is>
          <t>2</t>
        </is>
      </c>
      <c r="I2666" s="5" t="inlineStr">
        <is>
          <t>Hyderabad</t>
        </is>
      </c>
      <c r="J2666" s="5" t="inlineStr">
        <is>
          <t>Full-Time</t>
        </is>
      </c>
      <c r="K2666" s="7" t="n">
        <v>43851</v>
      </c>
      <c r="L2666" s="7" t="n">
        <v>43909</v>
      </c>
      <c r="M2666" s="5" t="inlineStr">
        <is>
          <t>No</t>
        </is>
      </c>
      <c r="N2666" s="5" t="inlineStr">
        <is>
          <t>Resigned</t>
        </is>
      </c>
      <c r="O2666" s="8" t="inlineStr">
        <is>
          <t>120500</t>
        </is>
      </c>
      <c r="P2666" s="5" t="inlineStr">
        <is>
          <t>5</t>
        </is>
      </c>
      <c r="Q2666" s="5" t="inlineStr">
        <is>
          <t>3</t>
        </is>
      </c>
      <c r="R2666" s="5" t="inlineStr">
        <is>
          <t>7</t>
        </is>
      </c>
      <c r="S2666" s="5" t="inlineStr">
        <is>
          <t>1</t>
        </is>
      </c>
      <c r="T2666" s="5" t="inlineStr">
        <is>
          <t>8</t>
        </is>
      </c>
      <c r="U2666" s="5">
        <f>IFS(C2666&lt;30,"Under 30",C2666&lt;40,"30-39",C2666&lt;50,"40-49",TRUE,"50+")</f>
        <v/>
      </c>
      <c r="V2666" s="5">
        <f>IFS(O2666&lt;60000,"Low (&lt;60k)",O2666&lt;100000,"Mid (60-100k)",TRUE,"High (100k+)")</f>
        <v/>
      </c>
      <c r="W2666" s="5">
        <f>IF(M2666="No","Attrited","Active")</f>
        <v/>
      </c>
    </row>
    <row r="2667">
      <c r="A2667" s="5" t="inlineStr">
        <is>
          <t>E02666</t>
        </is>
      </c>
      <c r="B2667" s="5" t="inlineStr">
        <is>
          <t>Female</t>
        </is>
      </c>
      <c r="C2667" s="6" t="inlineStr">
        <is>
          <t>25</t>
        </is>
      </c>
      <c r="D2667" s="5" t="inlineStr">
        <is>
          <t>Divorced</t>
        </is>
      </c>
      <c r="E2667" s="5" t="inlineStr">
        <is>
          <t>PhD</t>
        </is>
      </c>
      <c r="F2667" s="5" t="inlineStr">
        <is>
          <t>Sales</t>
        </is>
      </c>
      <c r="G2667" s="5" t="inlineStr">
        <is>
          <t>Sales Executive</t>
        </is>
      </c>
      <c r="H2667" s="5" t="inlineStr">
        <is>
          <t>2</t>
        </is>
      </c>
      <c r="I2667" s="5" t="inlineStr">
        <is>
          <t>Mumbai</t>
        </is>
      </c>
      <c r="J2667" s="5" t="inlineStr">
        <is>
          <t>Full-Time</t>
        </is>
      </c>
      <c r="K2667" s="7" t="n">
        <v>44362</v>
      </c>
      <c r="L2667" s="7" t="n">
        <v>44453</v>
      </c>
      <c r="M2667" s="5" t="inlineStr">
        <is>
          <t>No</t>
        </is>
      </c>
      <c r="N2667" s="5" t="inlineStr">
        <is>
          <t>Resigned</t>
        </is>
      </c>
      <c r="O2667" s="8" t="inlineStr">
        <is>
          <t>119500</t>
        </is>
      </c>
      <c r="P2667" s="5" t="inlineStr">
        <is>
          <t>0</t>
        </is>
      </c>
      <c r="Q2667" s="5" t="inlineStr">
        <is>
          <t>2</t>
        </is>
      </c>
      <c r="R2667" s="5" t="inlineStr">
        <is>
          <t>7</t>
        </is>
      </c>
      <c r="S2667" s="5" t="inlineStr">
        <is>
          <t>3</t>
        </is>
      </c>
      <c r="T2667" s="5" t="inlineStr">
        <is>
          <t>0</t>
        </is>
      </c>
      <c r="U2667" s="5">
        <f>IFS(C2667&lt;30,"Under 30",C2667&lt;40,"30-39",C2667&lt;50,"40-49",TRUE,"50+")</f>
        <v/>
      </c>
      <c r="V2667" s="5">
        <f>IFS(O2667&lt;60000,"Low (&lt;60k)",O2667&lt;100000,"Mid (60-100k)",TRUE,"High (100k+)")</f>
        <v/>
      </c>
      <c r="W2667" s="5">
        <f>IF(M2667="No","Attrited","Active")</f>
        <v/>
      </c>
    </row>
    <row r="2668">
      <c r="A2668" s="5" t="inlineStr">
        <is>
          <t>E02667</t>
        </is>
      </c>
      <c r="B2668" s="5" t="inlineStr">
        <is>
          <t>Male</t>
        </is>
      </c>
      <c r="C2668" s="6" t="inlineStr">
        <is>
          <t>40</t>
        </is>
      </c>
      <c r="D2668" s="5" t="inlineStr">
        <is>
          <t>Single</t>
        </is>
      </c>
      <c r="E2668" s="5" t="inlineStr">
        <is>
          <t>Diploma</t>
        </is>
      </c>
      <c r="F2668" s="5" t="inlineStr">
        <is>
          <t>Operations</t>
        </is>
      </c>
      <c r="G2668" s="5" t="inlineStr">
        <is>
          <t>Logistics Coordinator</t>
        </is>
      </c>
      <c r="H2668" s="5" t="inlineStr">
        <is>
          <t>5</t>
        </is>
      </c>
      <c r="I2668" s="5" t="inlineStr">
        <is>
          <t>Remote</t>
        </is>
      </c>
      <c r="J2668" s="5" t="inlineStr">
        <is>
          <t>Full-Time</t>
        </is>
      </c>
      <c r="K2668" s="7" t="n">
        <v>45831</v>
      </c>
      <c r="L2668" s="7" t="inlineStr"/>
      <c r="M2668" s="5" t="inlineStr">
        <is>
          <t>Yes</t>
        </is>
      </c>
      <c r="N2668" s="5" t="inlineStr"/>
      <c r="O2668" s="8" t="inlineStr">
        <is>
          <t>137500</t>
        </is>
      </c>
      <c r="P2668" s="5" t="inlineStr">
        <is>
          <t>10</t>
        </is>
      </c>
      <c r="Q2668" s="5" t="inlineStr">
        <is>
          <t>3</t>
        </is>
      </c>
      <c r="R2668" s="5" t="inlineStr">
        <is>
          <t>7</t>
        </is>
      </c>
      <c r="S2668" s="5" t="inlineStr">
        <is>
          <t>6</t>
        </is>
      </c>
      <c r="T2668" s="5" t="inlineStr">
        <is>
          <t>11</t>
        </is>
      </c>
      <c r="U2668" s="5">
        <f>IFS(C2668&lt;30,"Under 30",C2668&lt;40,"30-39",C2668&lt;50,"40-49",TRUE,"50+")</f>
        <v/>
      </c>
      <c r="V2668" s="5">
        <f>IFS(O2668&lt;60000,"Low (&lt;60k)",O2668&lt;100000,"Mid (60-100k)",TRUE,"High (100k+)")</f>
        <v/>
      </c>
      <c r="W2668" s="5">
        <f>IF(M2668="No","Attrited","Active")</f>
        <v/>
      </c>
    </row>
    <row r="2669">
      <c r="A2669" s="5" t="inlineStr">
        <is>
          <t>E02668</t>
        </is>
      </c>
      <c r="B2669" s="5" t="inlineStr">
        <is>
          <t>Male</t>
        </is>
      </c>
      <c r="C2669" s="6" t="inlineStr">
        <is>
          <t>33</t>
        </is>
      </c>
      <c r="D2669" s="5" t="inlineStr">
        <is>
          <t>Married</t>
        </is>
      </c>
      <c r="E2669" s="5" t="inlineStr">
        <is>
          <t>Bachelor</t>
        </is>
      </c>
      <c r="F2669" s="5" t="inlineStr">
        <is>
          <t>IT</t>
        </is>
      </c>
      <c r="G2669" s="5" t="inlineStr">
        <is>
          <t>Software Engineer</t>
        </is>
      </c>
      <c r="H2669" s="5" t="inlineStr">
        <is>
          <t>2</t>
        </is>
      </c>
      <c r="I2669" s="5" t="inlineStr">
        <is>
          <t>Bengaluru</t>
        </is>
      </c>
      <c r="J2669" s="5" t="inlineStr">
        <is>
          <t>Full-Time</t>
        </is>
      </c>
      <c r="K2669" s="7" t="n">
        <v>44998</v>
      </c>
      <c r="L2669" s="7" t="n">
        <v>45143</v>
      </c>
      <c r="M2669" s="5" t="inlineStr">
        <is>
          <t>No</t>
        </is>
      </c>
      <c r="N2669" s="5" t="inlineStr">
        <is>
          <t>Relocation</t>
        </is>
      </c>
      <c r="O2669" s="8" t="inlineStr">
        <is>
          <t>117500</t>
        </is>
      </c>
      <c r="P2669" s="5" t="inlineStr">
        <is>
          <t>0</t>
        </is>
      </c>
      <c r="Q2669" s="5" t="inlineStr">
        <is>
          <t>3</t>
        </is>
      </c>
      <c r="R2669" s="5" t="inlineStr">
        <is>
          <t>8</t>
        </is>
      </c>
      <c r="S2669" s="5" t="inlineStr">
        <is>
          <t>4</t>
        </is>
      </c>
      <c r="T2669" s="5" t="inlineStr">
        <is>
          <t>9</t>
        </is>
      </c>
      <c r="U2669" s="5">
        <f>IFS(C2669&lt;30,"Under 30",C2669&lt;40,"30-39",C2669&lt;50,"40-49",TRUE,"50+")</f>
        <v/>
      </c>
      <c r="V2669" s="5">
        <f>IFS(O2669&lt;60000,"Low (&lt;60k)",O2669&lt;100000,"Mid (60-100k)",TRUE,"High (100k+)")</f>
        <v/>
      </c>
      <c r="W2669" s="5">
        <f>IF(M2669="No","Attrited","Active")</f>
        <v/>
      </c>
    </row>
    <row r="2670">
      <c r="A2670" s="5" t="inlineStr">
        <is>
          <t>E02669</t>
        </is>
      </c>
      <c r="B2670" s="5" t="inlineStr">
        <is>
          <t>Female</t>
        </is>
      </c>
      <c r="C2670" s="6" t="inlineStr">
        <is>
          <t>36</t>
        </is>
      </c>
      <c r="D2670" s="5" t="inlineStr">
        <is>
          <t>Married</t>
        </is>
      </c>
      <c r="E2670" s="5" t="inlineStr">
        <is>
          <t>PhD</t>
        </is>
      </c>
      <c r="F2670" s="5" t="inlineStr">
        <is>
          <t>Research &amp; Development</t>
        </is>
      </c>
      <c r="G2670" s="5" t="inlineStr">
        <is>
          <t>Research Scientist</t>
        </is>
      </c>
      <c r="H2670" s="5" t="inlineStr">
        <is>
          <t>5</t>
        </is>
      </c>
      <c r="I2670" s="5" t="inlineStr">
        <is>
          <t>Delhi</t>
        </is>
      </c>
      <c r="J2670" s="5" t="inlineStr">
        <is>
          <t>Full-Time</t>
        </is>
      </c>
      <c r="K2670" s="7" t="n">
        <v>44141</v>
      </c>
      <c r="L2670" s="7" t="n">
        <v>44184</v>
      </c>
      <c r="M2670" s="5" t="inlineStr">
        <is>
          <t>No</t>
        </is>
      </c>
      <c r="N2670" s="5" t="inlineStr">
        <is>
          <t>Layoff</t>
        </is>
      </c>
      <c r="O2670" s="8" t="inlineStr">
        <is>
          <t>213000</t>
        </is>
      </c>
      <c r="P2670" s="5" t="inlineStr">
        <is>
          <t>10</t>
        </is>
      </c>
      <c r="Q2670" s="5" t="inlineStr">
        <is>
          <t>5</t>
        </is>
      </c>
      <c r="R2670" s="5" t="inlineStr">
        <is>
          <t>3</t>
        </is>
      </c>
      <c r="S2670" s="5" t="inlineStr">
        <is>
          <t>1</t>
        </is>
      </c>
      <c r="T2670" s="5" t="inlineStr">
        <is>
          <t>1</t>
        </is>
      </c>
      <c r="U2670" s="5">
        <f>IFS(C2670&lt;30,"Under 30",C2670&lt;40,"30-39",C2670&lt;50,"40-49",TRUE,"50+")</f>
        <v/>
      </c>
      <c r="V2670" s="5">
        <f>IFS(O2670&lt;60000,"Low (&lt;60k)",O2670&lt;100000,"Mid (60-100k)",TRUE,"High (100k+)")</f>
        <v/>
      </c>
      <c r="W2670" s="5">
        <f>IF(M2670="No","Attrited","Active")</f>
        <v/>
      </c>
    </row>
    <row r="2671">
      <c r="A2671" s="5" t="inlineStr">
        <is>
          <t>E02670</t>
        </is>
      </c>
      <c r="B2671" s="5" t="inlineStr">
        <is>
          <t>Female</t>
        </is>
      </c>
      <c r="C2671" s="6" t="inlineStr">
        <is>
          <t>30</t>
        </is>
      </c>
      <c r="D2671" s="5" t="inlineStr">
        <is>
          <t>Single</t>
        </is>
      </c>
      <c r="E2671" s="5" t="inlineStr">
        <is>
          <t>Diploma</t>
        </is>
      </c>
      <c r="F2671" s="5" t="inlineStr">
        <is>
          <t>Marketing</t>
        </is>
      </c>
      <c r="G2671" s="5" t="inlineStr">
        <is>
          <t>Marketing Analyst</t>
        </is>
      </c>
      <c r="H2671" s="5" t="inlineStr">
        <is>
          <t>2</t>
        </is>
      </c>
      <c r="I2671" s="5" t="inlineStr">
        <is>
          <t>Chennai</t>
        </is>
      </c>
      <c r="J2671" s="5" t="inlineStr">
        <is>
          <t>Full-Time</t>
        </is>
      </c>
      <c r="K2671" s="7" t="n">
        <v>45368</v>
      </c>
      <c r="L2671" s="7" t="inlineStr"/>
      <c r="M2671" s="5" t="inlineStr">
        <is>
          <t>Yes</t>
        </is>
      </c>
      <c r="N2671" s="5" t="inlineStr"/>
      <c r="O2671" s="8" t="inlineStr">
        <is>
          <t>63500</t>
        </is>
      </c>
      <c r="P2671" s="5" t="inlineStr">
        <is>
          <t>10</t>
        </is>
      </c>
      <c r="Q2671" s="5" t="inlineStr">
        <is>
          <t>3</t>
        </is>
      </c>
      <c r="R2671" s="5" t="inlineStr">
        <is>
          <t>6</t>
        </is>
      </c>
      <c r="S2671" s="5" t="inlineStr">
        <is>
          <t>21</t>
        </is>
      </c>
      <c r="T2671" s="5" t="inlineStr">
        <is>
          <t>7</t>
        </is>
      </c>
      <c r="U2671" s="5">
        <f>IFS(C2671&lt;30,"Under 30",C2671&lt;40,"30-39",C2671&lt;50,"40-49",TRUE,"50+")</f>
        <v/>
      </c>
      <c r="V2671" s="5">
        <f>IFS(O2671&lt;60000,"Low (&lt;60k)",O2671&lt;100000,"Mid (60-100k)",TRUE,"High (100k+)")</f>
        <v/>
      </c>
      <c r="W2671" s="5">
        <f>IF(M2671="No","Attrited","Active")</f>
        <v/>
      </c>
    </row>
    <row r="2672">
      <c r="A2672" s="5" t="inlineStr">
        <is>
          <t>E02671</t>
        </is>
      </c>
      <c r="B2672" s="5" t="inlineStr">
        <is>
          <t>Female</t>
        </is>
      </c>
      <c r="C2672" s="6" t="inlineStr">
        <is>
          <t>25</t>
        </is>
      </c>
      <c r="D2672" s="5" t="inlineStr">
        <is>
          <t>Single</t>
        </is>
      </c>
      <c r="E2672" s="5" t="inlineStr">
        <is>
          <t>PhD</t>
        </is>
      </c>
      <c r="F2672" s="5" t="inlineStr">
        <is>
          <t>Finance</t>
        </is>
      </c>
      <c r="G2672" s="5" t="inlineStr">
        <is>
          <t>Credit Analyst</t>
        </is>
      </c>
      <c r="H2672" s="5" t="inlineStr">
        <is>
          <t>1</t>
        </is>
      </c>
      <c r="I2672" s="5" t="inlineStr">
        <is>
          <t>Chennai</t>
        </is>
      </c>
      <c r="J2672" s="5" t="inlineStr">
        <is>
          <t>Full-Time</t>
        </is>
      </c>
      <c r="K2672" s="7" t="n">
        <v>44614</v>
      </c>
      <c r="L2672" s="7" t="n">
        <v>44732</v>
      </c>
      <c r="M2672" s="5" t="inlineStr">
        <is>
          <t>No</t>
        </is>
      </c>
      <c r="N2672" s="5" t="inlineStr">
        <is>
          <t>Resigned</t>
        </is>
      </c>
      <c r="O2672" s="8" t="inlineStr">
        <is>
          <t>110000</t>
        </is>
      </c>
      <c r="P2672" s="5" t="inlineStr">
        <is>
          <t>0</t>
        </is>
      </c>
      <c r="Q2672" s="5" t="inlineStr">
        <is>
          <t>4</t>
        </is>
      </c>
      <c r="R2672" s="5" t="inlineStr">
        <is>
          <t>5</t>
        </is>
      </c>
      <c r="S2672" s="5" t="inlineStr">
        <is>
          <t>3</t>
        </is>
      </c>
      <c r="T2672" s="5" t="inlineStr">
        <is>
          <t>8</t>
        </is>
      </c>
      <c r="U2672" s="5">
        <f>IFS(C2672&lt;30,"Under 30",C2672&lt;40,"30-39",C2672&lt;50,"40-49",TRUE,"50+")</f>
        <v/>
      </c>
      <c r="V2672" s="5">
        <f>IFS(O2672&lt;60000,"Low (&lt;60k)",O2672&lt;100000,"Mid (60-100k)",TRUE,"High (100k+)")</f>
        <v/>
      </c>
      <c r="W2672" s="5">
        <f>IF(M2672="No","Attrited","Active")</f>
        <v/>
      </c>
    </row>
    <row r="2673">
      <c r="A2673" s="5" t="inlineStr">
        <is>
          <t>E02672</t>
        </is>
      </c>
      <c r="B2673" s="5" t="inlineStr">
        <is>
          <t>Male</t>
        </is>
      </c>
      <c r="C2673" s="6" t="inlineStr">
        <is>
          <t>34</t>
        </is>
      </c>
      <c r="D2673" s="5" t="inlineStr">
        <is>
          <t>Married</t>
        </is>
      </c>
      <c r="E2673" s="5" t="inlineStr">
        <is>
          <t>Master</t>
        </is>
      </c>
      <c r="F2673" s="5" t="inlineStr">
        <is>
          <t>Sales</t>
        </is>
      </c>
      <c r="G2673" s="5" t="inlineStr">
        <is>
          <t>Account Executive</t>
        </is>
      </c>
      <c r="H2673" s="5" t="inlineStr">
        <is>
          <t>1</t>
        </is>
      </c>
      <c r="I2673" s="5" t="inlineStr">
        <is>
          <t>Mumbai</t>
        </is>
      </c>
      <c r="J2673" s="5" t="inlineStr">
        <is>
          <t>Full-Time</t>
        </is>
      </c>
      <c r="K2673" s="7" t="n">
        <v>44247</v>
      </c>
      <c r="L2673" s="7" t="inlineStr"/>
      <c r="M2673" s="5" t="inlineStr">
        <is>
          <t>Yes</t>
        </is>
      </c>
      <c r="N2673" s="5" t="inlineStr"/>
      <c r="O2673" s="8" t="inlineStr">
        <is>
          <t>69500</t>
        </is>
      </c>
      <c r="P2673" s="5" t="inlineStr">
        <is>
          <t>0</t>
        </is>
      </c>
      <c r="Q2673" s="5" t="inlineStr">
        <is>
          <t>2</t>
        </is>
      </c>
      <c r="R2673" s="5" t="inlineStr">
        <is>
          <t>7</t>
        </is>
      </c>
      <c r="S2673" s="5" t="inlineStr">
        <is>
          <t>59</t>
        </is>
      </c>
      <c r="T2673" s="5" t="inlineStr">
        <is>
          <t>0</t>
        </is>
      </c>
      <c r="U2673" s="5">
        <f>IFS(C2673&lt;30,"Under 30",C2673&lt;40,"30-39",C2673&lt;50,"40-49",TRUE,"50+")</f>
        <v/>
      </c>
      <c r="V2673" s="5">
        <f>IFS(O2673&lt;60000,"Low (&lt;60k)",O2673&lt;100000,"Mid (60-100k)",TRUE,"High (100k+)")</f>
        <v/>
      </c>
      <c r="W2673" s="5">
        <f>IF(M2673="No","Attrited","Active")</f>
        <v/>
      </c>
    </row>
    <row r="2674">
      <c r="A2674" s="5" t="inlineStr">
        <is>
          <t>E02673</t>
        </is>
      </c>
      <c r="B2674" s="5" t="inlineStr">
        <is>
          <t>Female</t>
        </is>
      </c>
      <c r="C2674" s="6" t="inlineStr">
        <is>
          <t>29</t>
        </is>
      </c>
      <c r="D2674" s="5" t="inlineStr">
        <is>
          <t>Single</t>
        </is>
      </c>
      <c r="E2674" s="5" t="inlineStr">
        <is>
          <t>Diploma</t>
        </is>
      </c>
      <c r="F2674" s="5" t="inlineStr">
        <is>
          <t>Research &amp; Development</t>
        </is>
      </c>
      <c r="G2674" s="5" t="inlineStr">
        <is>
          <t>Product Engineer</t>
        </is>
      </c>
      <c r="H2674" s="5" t="inlineStr">
        <is>
          <t>1</t>
        </is>
      </c>
      <c r="I2674" s="5" t="inlineStr">
        <is>
          <t>Chennai</t>
        </is>
      </c>
      <c r="J2674" s="5" t="inlineStr">
        <is>
          <t>Full-Time</t>
        </is>
      </c>
      <c r="K2674" s="7" t="n">
        <v>43863</v>
      </c>
      <c r="L2674" s="7" t="n">
        <v>43944</v>
      </c>
      <c r="M2674" s="5" t="inlineStr">
        <is>
          <t>No</t>
        </is>
      </c>
      <c r="N2674" s="5" t="inlineStr">
        <is>
          <t>Resigned</t>
        </is>
      </c>
      <c r="O2674" s="8" t="inlineStr">
        <is>
          <t>138500</t>
        </is>
      </c>
      <c r="P2674" s="5" t="inlineStr">
        <is>
          <t>10</t>
        </is>
      </c>
      <c r="Q2674" s="5" t="inlineStr">
        <is>
          <t>4</t>
        </is>
      </c>
      <c r="R2674" s="5" t="inlineStr">
        <is>
          <t>7</t>
        </is>
      </c>
      <c r="S2674" s="5" t="inlineStr">
        <is>
          <t>2</t>
        </is>
      </c>
      <c r="T2674" s="5" t="inlineStr">
        <is>
          <t>0</t>
        </is>
      </c>
      <c r="U2674" s="5">
        <f>IFS(C2674&lt;30,"Under 30",C2674&lt;40,"30-39",C2674&lt;50,"40-49",TRUE,"50+")</f>
        <v/>
      </c>
      <c r="V2674" s="5">
        <f>IFS(O2674&lt;60000,"Low (&lt;60k)",O2674&lt;100000,"Mid (60-100k)",TRUE,"High (100k+)")</f>
        <v/>
      </c>
      <c r="W2674" s="5">
        <f>IF(M2674="No","Attrited","Active")</f>
        <v/>
      </c>
    </row>
    <row r="2675">
      <c r="A2675" s="5" t="inlineStr">
        <is>
          <t>E02674</t>
        </is>
      </c>
      <c r="B2675" s="5" t="inlineStr">
        <is>
          <t>Male</t>
        </is>
      </c>
      <c r="C2675" s="6" t="inlineStr">
        <is>
          <t>31</t>
        </is>
      </c>
      <c r="D2675" s="5" t="inlineStr">
        <is>
          <t>Divorced</t>
        </is>
      </c>
      <c r="E2675" s="5" t="inlineStr">
        <is>
          <t>Bachelor</t>
        </is>
      </c>
      <c r="F2675" s="5" t="inlineStr">
        <is>
          <t>Human Resources</t>
        </is>
      </c>
      <c r="G2675" s="5" t="inlineStr">
        <is>
          <t>HR Analyst</t>
        </is>
      </c>
      <c r="H2675" s="5" t="inlineStr">
        <is>
          <t>4</t>
        </is>
      </c>
      <c r="I2675" s="5" t="inlineStr">
        <is>
          <t>Delhi</t>
        </is>
      </c>
      <c r="J2675" s="5" t="inlineStr">
        <is>
          <t>Full-Time</t>
        </is>
      </c>
      <c r="K2675" s="7" t="n">
        <v>44390</v>
      </c>
      <c r="L2675" s="7" t="inlineStr"/>
      <c r="M2675" s="5" t="inlineStr">
        <is>
          <t>Yes</t>
        </is>
      </c>
      <c r="N2675" s="5" t="inlineStr"/>
      <c r="O2675" s="8" t="inlineStr">
        <is>
          <t>116500</t>
        </is>
      </c>
      <c r="P2675" s="5" t="inlineStr">
        <is>
          <t>20</t>
        </is>
      </c>
      <c r="Q2675" s="5" t="inlineStr">
        <is>
          <t>3</t>
        </is>
      </c>
      <c r="R2675" s="5" t="inlineStr">
        <is>
          <t>6</t>
        </is>
      </c>
      <c r="S2675" s="5" t="inlineStr">
        <is>
          <t>54</t>
        </is>
      </c>
      <c r="T2675" s="5" t="inlineStr">
        <is>
          <t>3</t>
        </is>
      </c>
      <c r="U2675" s="5">
        <f>IFS(C2675&lt;30,"Under 30",C2675&lt;40,"30-39",C2675&lt;50,"40-49",TRUE,"50+")</f>
        <v/>
      </c>
      <c r="V2675" s="5">
        <f>IFS(O2675&lt;60000,"Low (&lt;60k)",O2675&lt;100000,"Mid (60-100k)",TRUE,"High (100k+)")</f>
        <v/>
      </c>
      <c r="W2675" s="5">
        <f>IF(M2675="No","Attrited","Active")</f>
        <v/>
      </c>
    </row>
    <row r="2676">
      <c r="A2676" s="5" t="inlineStr">
        <is>
          <t>E02675</t>
        </is>
      </c>
      <c r="B2676" s="5" t="inlineStr">
        <is>
          <t>Male</t>
        </is>
      </c>
      <c r="C2676" s="6" t="inlineStr">
        <is>
          <t>32</t>
        </is>
      </c>
      <c r="D2676" s="5" t="inlineStr">
        <is>
          <t>Married</t>
        </is>
      </c>
      <c r="E2676" s="5" t="inlineStr">
        <is>
          <t>Diploma</t>
        </is>
      </c>
      <c r="F2676" s="5" t="inlineStr">
        <is>
          <t>IT</t>
        </is>
      </c>
      <c r="G2676" s="5" t="inlineStr">
        <is>
          <t>Data Analyst</t>
        </is>
      </c>
      <c r="H2676" s="5" t="inlineStr">
        <is>
          <t>3</t>
        </is>
      </c>
      <c r="I2676" s="5" t="inlineStr">
        <is>
          <t>Remote</t>
        </is>
      </c>
      <c r="J2676" s="5" t="inlineStr">
        <is>
          <t>Full-Time</t>
        </is>
      </c>
      <c r="K2676" s="7" t="n">
        <v>45436</v>
      </c>
      <c r="L2676" s="7" t="inlineStr"/>
      <c r="M2676" s="5" t="inlineStr">
        <is>
          <t>Yes</t>
        </is>
      </c>
      <c r="N2676" s="5" t="inlineStr"/>
      <c r="O2676" s="8" t="inlineStr">
        <is>
          <t>173500</t>
        </is>
      </c>
      <c r="P2676" s="5" t="inlineStr">
        <is>
          <t>20</t>
        </is>
      </c>
      <c r="Q2676" s="5" t="inlineStr">
        <is>
          <t>4</t>
        </is>
      </c>
      <c r="R2676" s="5" t="inlineStr">
        <is>
          <t>7</t>
        </is>
      </c>
      <c r="S2676" s="5" t="inlineStr">
        <is>
          <t>19</t>
        </is>
      </c>
      <c r="T2676" s="5" t="inlineStr">
        <is>
          <t>0</t>
        </is>
      </c>
      <c r="U2676" s="5">
        <f>IFS(C2676&lt;30,"Under 30",C2676&lt;40,"30-39",C2676&lt;50,"40-49",TRUE,"50+")</f>
        <v/>
      </c>
      <c r="V2676" s="5">
        <f>IFS(O2676&lt;60000,"Low (&lt;60k)",O2676&lt;100000,"Mid (60-100k)",TRUE,"High (100k+)")</f>
        <v/>
      </c>
      <c r="W2676" s="5">
        <f>IF(M2676="No","Attrited","Active")</f>
        <v/>
      </c>
    </row>
    <row r="2677">
      <c r="A2677" s="5" t="inlineStr">
        <is>
          <t>E02676</t>
        </is>
      </c>
      <c r="B2677" s="5" t="inlineStr">
        <is>
          <t>Female</t>
        </is>
      </c>
      <c r="C2677" s="6" t="inlineStr">
        <is>
          <t>33</t>
        </is>
      </c>
      <c r="D2677" s="5" t="inlineStr">
        <is>
          <t>Single</t>
        </is>
      </c>
      <c r="E2677" s="5" t="inlineStr">
        <is>
          <t>Bachelor</t>
        </is>
      </c>
      <c r="F2677" s="5" t="inlineStr">
        <is>
          <t>Sales</t>
        </is>
      </c>
      <c r="G2677" s="5" t="inlineStr">
        <is>
          <t>Account Executive</t>
        </is>
      </c>
      <c r="H2677" s="5" t="inlineStr">
        <is>
          <t>1</t>
        </is>
      </c>
      <c r="I2677" s="5" t="inlineStr">
        <is>
          <t>Chennai</t>
        </is>
      </c>
      <c r="J2677" s="5" t="inlineStr">
        <is>
          <t>Full-Time</t>
        </is>
      </c>
      <c r="K2677" s="7" t="n">
        <v>44817</v>
      </c>
      <c r="L2677" s="7" t="n">
        <v>44859</v>
      </c>
      <c r="M2677" s="5" t="inlineStr">
        <is>
          <t>No</t>
        </is>
      </c>
      <c r="N2677" s="5" t="inlineStr">
        <is>
          <t>Retirement</t>
        </is>
      </c>
      <c r="O2677" s="8" t="inlineStr">
        <is>
          <t>88000</t>
        </is>
      </c>
      <c r="P2677" s="5" t="inlineStr">
        <is>
          <t>10</t>
        </is>
      </c>
      <c r="Q2677" s="5" t="inlineStr">
        <is>
          <t>4</t>
        </is>
      </c>
      <c r="R2677" s="5" t="inlineStr">
        <is>
          <t>7</t>
        </is>
      </c>
      <c r="S2677" s="5" t="inlineStr">
        <is>
          <t>1</t>
        </is>
      </c>
      <c r="T2677" s="5" t="inlineStr">
        <is>
          <t>9</t>
        </is>
      </c>
      <c r="U2677" s="5">
        <f>IFS(C2677&lt;30,"Under 30",C2677&lt;40,"30-39",C2677&lt;50,"40-49",TRUE,"50+")</f>
        <v/>
      </c>
      <c r="V2677" s="5">
        <f>IFS(O2677&lt;60000,"Low (&lt;60k)",O2677&lt;100000,"Mid (60-100k)",TRUE,"High (100k+)")</f>
        <v/>
      </c>
      <c r="W2677" s="5">
        <f>IF(M2677="No","Attrited","Active")</f>
        <v/>
      </c>
    </row>
    <row r="2678">
      <c r="A2678" s="5" t="inlineStr">
        <is>
          <t>E02677</t>
        </is>
      </c>
      <c r="B2678" s="5" t="inlineStr">
        <is>
          <t>Female</t>
        </is>
      </c>
      <c r="C2678" s="6" t="inlineStr">
        <is>
          <t>24</t>
        </is>
      </c>
      <c r="D2678" s="5" t="inlineStr">
        <is>
          <t>Single</t>
        </is>
      </c>
      <c r="E2678" s="5" t="inlineStr">
        <is>
          <t>Bachelor</t>
        </is>
      </c>
      <c r="F2678" s="5" t="inlineStr">
        <is>
          <t>IT</t>
        </is>
      </c>
      <c r="G2678" s="5" t="inlineStr">
        <is>
          <t>Data Analyst</t>
        </is>
      </c>
      <c r="H2678" s="5" t="inlineStr">
        <is>
          <t>1</t>
        </is>
      </c>
      <c r="I2678" s="5" t="inlineStr">
        <is>
          <t>Chennai</t>
        </is>
      </c>
      <c r="J2678" s="5" t="inlineStr">
        <is>
          <t>Full-Time</t>
        </is>
      </c>
      <c r="K2678" s="7" t="n">
        <v>44531</v>
      </c>
      <c r="L2678" s="7" t="inlineStr"/>
      <c r="M2678" s="5" t="inlineStr">
        <is>
          <t>Yes</t>
        </is>
      </c>
      <c r="N2678" s="5" t="inlineStr"/>
      <c r="O2678" s="8" t="inlineStr">
        <is>
          <t>90000</t>
        </is>
      </c>
      <c r="P2678" s="5" t="inlineStr">
        <is>
          <t>0</t>
        </is>
      </c>
      <c r="Q2678" s="5" t="inlineStr">
        <is>
          <t>5</t>
        </is>
      </c>
      <c r="R2678" s="5" t="inlineStr">
        <is>
          <t>6</t>
        </is>
      </c>
      <c r="S2678" s="5" t="inlineStr">
        <is>
          <t>49</t>
        </is>
      </c>
      <c r="T2678" s="5" t="inlineStr">
        <is>
          <t>8</t>
        </is>
      </c>
      <c r="U2678" s="5">
        <f>IFS(C2678&lt;30,"Under 30",C2678&lt;40,"30-39",C2678&lt;50,"40-49",TRUE,"50+")</f>
        <v/>
      </c>
      <c r="V2678" s="5">
        <f>IFS(O2678&lt;60000,"Low (&lt;60k)",O2678&lt;100000,"Mid (60-100k)",TRUE,"High (100k+)")</f>
        <v/>
      </c>
      <c r="W2678" s="5">
        <f>IF(M2678="No","Attrited","Active")</f>
        <v/>
      </c>
    </row>
    <row r="2679">
      <c r="A2679" s="5" t="inlineStr">
        <is>
          <t>E02678</t>
        </is>
      </c>
      <c r="B2679" s="5" t="inlineStr">
        <is>
          <t>Female</t>
        </is>
      </c>
      <c r="C2679" s="6" t="inlineStr">
        <is>
          <t>35</t>
        </is>
      </c>
      <c r="D2679" s="5" t="inlineStr">
        <is>
          <t>Married</t>
        </is>
      </c>
      <c r="E2679" s="5" t="inlineStr">
        <is>
          <t>Bachelor</t>
        </is>
      </c>
      <c r="F2679" s="5" t="inlineStr">
        <is>
          <t>Research &amp; Development</t>
        </is>
      </c>
      <c r="G2679" s="5" t="inlineStr">
        <is>
          <t>Product Engineer</t>
        </is>
      </c>
      <c r="H2679" s="5" t="inlineStr">
        <is>
          <t>2</t>
        </is>
      </c>
      <c r="I2679" s="5" t="inlineStr">
        <is>
          <t>Bengaluru</t>
        </is>
      </c>
      <c r="J2679" s="5" t="inlineStr">
        <is>
          <t>Full-Time</t>
        </is>
      </c>
      <c r="K2679" s="7" t="n">
        <v>45149</v>
      </c>
      <c r="L2679" s="7" t="inlineStr"/>
      <c r="M2679" s="5" t="inlineStr">
        <is>
          <t>Yes</t>
        </is>
      </c>
      <c r="N2679" s="5" t="inlineStr"/>
      <c r="O2679" s="8" t="inlineStr">
        <is>
          <t>109000</t>
        </is>
      </c>
      <c r="P2679" s="5" t="inlineStr">
        <is>
          <t>0</t>
        </is>
      </c>
      <c r="Q2679" s="5" t="inlineStr">
        <is>
          <t>4</t>
        </is>
      </c>
      <c r="R2679" s="5" t="inlineStr">
        <is>
          <t>5</t>
        </is>
      </c>
      <c r="S2679" s="5" t="inlineStr">
        <is>
          <t>29</t>
        </is>
      </c>
      <c r="T2679" s="5" t="inlineStr">
        <is>
          <t>0</t>
        </is>
      </c>
      <c r="U2679" s="5">
        <f>IFS(C2679&lt;30,"Under 30",C2679&lt;40,"30-39",C2679&lt;50,"40-49",TRUE,"50+")</f>
        <v/>
      </c>
      <c r="V2679" s="5">
        <f>IFS(O2679&lt;60000,"Low (&lt;60k)",O2679&lt;100000,"Mid (60-100k)",TRUE,"High (100k+)")</f>
        <v/>
      </c>
      <c r="W2679" s="5">
        <f>IF(M2679="No","Attrited","Active")</f>
        <v/>
      </c>
    </row>
    <row r="2680">
      <c r="A2680" s="5" t="inlineStr">
        <is>
          <t>E02679</t>
        </is>
      </c>
      <c r="B2680" s="5" t="inlineStr">
        <is>
          <t>Female</t>
        </is>
      </c>
      <c r="C2680" s="6" t="inlineStr">
        <is>
          <t>43</t>
        </is>
      </c>
      <c r="D2680" s="5" t="inlineStr">
        <is>
          <t>Married</t>
        </is>
      </c>
      <c r="E2680" s="5" t="inlineStr">
        <is>
          <t>Diploma</t>
        </is>
      </c>
      <c r="F2680" s="5" t="inlineStr">
        <is>
          <t>Marketing</t>
        </is>
      </c>
      <c r="G2680" s="5" t="inlineStr">
        <is>
          <t>Marketing Analyst</t>
        </is>
      </c>
      <c r="H2680" s="5" t="inlineStr">
        <is>
          <t>7</t>
        </is>
      </c>
      <c r="I2680" s="5" t="inlineStr">
        <is>
          <t>Bengaluru</t>
        </is>
      </c>
      <c r="J2680" s="5" t="inlineStr">
        <is>
          <t>Part-Time</t>
        </is>
      </c>
      <c r="K2680" s="7" t="n">
        <v>45871</v>
      </c>
      <c r="L2680" s="7" t="inlineStr"/>
      <c r="M2680" s="5" t="inlineStr">
        <is>
          <t>Yes</t>
        </is>
      </c>
      <c r="N2680" s="5" t="inlineStr"/>
      <c r="O2680" s="8" t="inlineStr">
        <is>
          <t>99000</t>
        </is>
      </c>
      <c r="P2680" s="5" t="inlineStr">
        <is>
          <t>5</t>
        </is>
      </c>
      <c r="Q2680" s="5" t="inlineStr">
        <is>
          <t>5</t>
        </is>
      </c>
      <c r="R2680" s="5" t="inlineStr">
        <is>
          <t>5</t>
        </is>
      </c>
      <c r="S2680" s="5" t="inlineStr">
        <is>
          <t>5</t>
        </is>
      </c>
      <c r="T2680" s="5" t="inlineStr">
        <is>
          <t>7</t>
        </is>
      </c>
      <c r="U2680" s="5">
        <f>IFS(C2680&lt;30,"Under 30",C2680&lt;40,"30-39",C2680&lt;50,"40-49",TRUE,"50+")</f>
        <v/>
      </c>
      <c r="V2680" s="5">
        <f>IFS(O2680&lt;60000,"Low (&lt;60k)",O2680&lt;100000,"Mid (60-100k)",TRUE,"High (100k+)")</f>
        <v/>
      </c>
      <c r="W2680" s="5">
        <f>IF(M2680="No","Attrited","Active")</f>
        <v/>
      </c>
    </row>
    <row r="2681">
      <c r="A2681" s="5" t="inlineStr">
        <is>
          <t>E02680</t>
        </is>
      </c>
      <c r="B2681" s="5" t="inlineStr">
        <is>
          <t>Male</t>
        </is>
      </c>
      <c r="C2681" s="6" t="inlineStr">
        <is>
          <t>28</t>
        </is>
      </c>
      <c r="D2681" s="5" t="inlineStr">
        <is>
          <t>Single</t>
        </is>
      </c>
      <c r="E2681" s="5" t="inlineStr">
        <is>
          <t>PhD</t>
        </is>
      </c>
      <c r="F2681" s="5" t="inlineStr">
        <is>
          <t>Human Resources</t>
        </is>
      </c>
      <c r="G2681" s="5" t="inlineStr">
        <is>
          <t>Recruiter</t>
        </is>
      </c>
      <c r="H2681" s="5" t="inlineStr">
        <is>
          <t>1</t>
        </is>
      </c>
      <c r="I2681" s="5" t="inlineStr">
        <is>
          <t>Hyderabad</t>
        </is>
      </c>
      <c r="J2681" s="5" t="inlineStr">
        <is>
          <t>Full-Time</t>
        </is>
      </c>
      <c r="K2681" s="7" t="n">
        <v>44697</v>
      </c>
      <c r="L2681" s="7" t="inlineStr"/>
      <c r="M2681" s="5" t="inlineStr">
        <is>
          <t>Yes</t>
        </is>
      </c>
      <c r="N2681" s="5" t="inlineStr"/>
      <c r="O2681" s="8" t="inlineStr">
        <is>
          <t>63500</t>
        </is>
      </c>
      <c r="P2681" s="5" t="inlineStr">
        <is>
          <t>0</t>
        </is>
      </c>
      <c r="Q2681" s="5" t="inlineStr">
        <is>
          <t>3</t>
        </is>
      </c>
      <c r="R2681" s="5" t="inlineStr">
        <is>
          <t>9</t>
        </is>
      </c>
      <c r="S2681" s="5" t="inlineStr">
        <is>
          <t>44</t>
        </is>
      </c>
      <c r="T2681" s="5" t="inlineStr">
        <is>
          <t>0</t>
        </is>
      </c>
      <c r="U2681" s="5">
        <f>IFS(C2681&lt;30,"Under 30",C2681&lt;40,"30-39",C2681&lt;50,"40-49",TRUE,"50+")</f>
        <v/>
      </c>
      <c r="V2681" s="5">
        <f>IFS(O2681&lt;60000,"Low (&lt;60k)",O2681&lt;100000,"Mid (60-100k)",TRUE,"High (100k+)")</f>
        <v/>
      </c>
      <c r="W2681" s="5">
        <f>IF(M2681="No","Attrited","Active")</f>
        <v/>
      </c>
    </row>
    <row r="2682">
      <c r="A2682" s="5" t="inlineStr">
        <is>
          <t>E02681</t>
        </is>
      </c>
      <c r="B2682" s="5" t="inlineStr">
        <is>
          <t>Female</t>
        </is>
      </c>
      <c r="C2682" s="6" t="inlineStr">
        <is>
          <t>33</t>
        </is>
      </c>
      <c r="D2682" s="5" t="inlineStr">
        <is>
          <t>Single</t>
        </is>
      </c>
      <c r="E2682" s="5" t="inlineStr">
        <is>
          <t>Diploma</t>
        </is>
      </c>
      <c r="F2682" s="5" t="inlineStr">
        <is>
          <t>Customer Support</t>
        </is>
      </c>
      <c r="G2682" s="5" t="inlineStr">
        <is>
          <t>Support Lead</t>
        </is>
      </c>
      <c r="H2682" s="5" t="inlineStr">
        <is>
          <t>4</t>
        </is>
      </c>
      <c r="I2682" s="5" t="inlineStr">
        <is>
          <t>Bengaluru</t>
        </is>
      </c>
      <c r="J2682" s="5" t="inlineStr">
        <is>
          <t>Contract</t>
        </is>
      </c>
      <c r="K2682" s="7" t="n">
        <v>44560</v>
      </c>
      <c r="L2682" s="7" t="inlineStr"/>
      <c r="M2682" s="5" t="inlineStr">
        <is>
          <t>Yes</t>
        </is>
      </c>
      <c r="N2682" s="5" t="inlineStr"/>
      <c r="O2682" s="8" t="inlineStr">
        <is>
          <t>90500</t>
        </is>
      </c>
      <c r="P2682" s="5" t="inlineStr">
        <is>
          <t>10</t>
        </is>
      </c>
      <c r="Q2682" s="5" t="inlineStr">
        <is>
          <t>3</t>
        </is>
      </c>
      <c r="R2682" s="5" t="inlineStr">
        <is>
          <t>8</t>
        </is>
      </c>
      <c r="S2682" s="5" t="inlineStr">
        <is>
          <t>48</t>
        </is>
      </c>
      <c r="T2682" s="5" t="inlineStr">
        <is>
          <t>10</t>
        </is>
      </c>
      <c r="U2682" s="5">
        <f>IFS(C2682&lt;30,"Under 30",C2682&lt;40,"30-39",C2682&lt;50,"40-49",TRUE,"50+")</f>
        <v/>
      </c>
      <c r="V2682" s="5">
        <f>IFS(O2682&lt;60000,"Low (&lt;60k)",O2682&lt;100000,"Mid (60-100k)",TRUE,"High (100k+)")</f>
        <v/>
      </c>
      <c r="W2682" s="5">
        <f>IF(M2682="No","Attrited","Active")</f>
        <v/>
      </c>
    </row>
    <row r="2683">
      <c r="A2683" s="5" t="inlineStr">
        <is>
          <t>E02682</t>
        </is>
      </c>
      <c r="B2683" s="5" t="inlineStr">
        <is>
          <t>Male</t>
        </is>
      </c>
      <c r="C2683" s="6" t="inlineStr">
        <is>
          <t>28</t>
        </is>
      </c>
      <c r="D2683" s="5" t="inlineStr">
        <is>
          <t>Divorced</t>
        </is>
      </c>
      <c r="E2683" s="5" t="inlineStr">
        <is>
          <t>Diploma</t>
        </is>
      </c>
      <c r="F2683" s="5" t="inlineStr">
        <is>
          <t>IT</t>
        </is>
      </c>
      <c r="G2683" s="5" t="inlineStr">
        <is>
          <t>DevOps Engineer</t>
        </is>
      </c>
      <c r="H2683" s="5" t="inlineStr">
        <is>
          <t>2</t>
        </is>
      </c>
      <c r="I2683" s="5" t="inlineStr">
        <is>
          <t>Remote</t>
        </is>
      </c>
      <c r="J2683" s="5" t="inlineStr">
        <is>
          <t>Full-Time</t>
        </is>
      </c>
      <c r="K2683" s="7" t="n">
        <v>45340</v>
      </c>
      <c r="L2683" s="7" t="inlineStr"/>
      <c r="M2683" s="5" t="inlineStr">
        <is>
          <t>Yes</t>
        </is>
      </c>
      <c r="N2683" s="5" t="inlineStr"/>
      <c r="O2683" s="8" t="inlineStr">
        <is>
          <t>158000</t>
        </is>
      </c>
      <c r="P2683" s="5" t="inlineStr">
        <is>
          <t>10</t>
        </is>
      </c>
      <c r="Q2683" s="5" t="inlineStr">
        <is>
          <t>4</t>
        </is>
      </c>
      <c r="R2683" s="5" t="inlineStr">
        <is>
          <t>3</t>
        </is>
      </c>
      <c r="S2683" s="5" t="inlineStr">
        <is>
          <t>22</t>
        </is>
      </c>
      <c r="T2683" s="5" t="inlineStr">
        <is>
          <t>3</t>
        </is>
      </c>
      <c r="U2683" s="5">
        <f>IFS(C2683&lt;30,"Under 30",C2683&lt;40,"30-39",C2683&lt;50,"40-49",TRUE,"50+")</f>
        <v/>
      </c>
      <c r="V2683" s="5">
        <f>IFS(O2683&lt;60000,"Low (&lt;60k)",O2683&lt;100000,"Mid (60-100k)",TRUE,"High (100k+)")</f>
        <v/>
      </c>
      <c r="W2683" s="5">
        <f>IF(M2683="No","Attrited","Active")</f>
        <v/>
      </c>
    </row>
    <row r="2684">
      <c r="A2684" s="5" t="inlineStr">
        <is>
          <t>E02683</t>
        </is>
      </c>
      <c r="B2684" s="5" t="inlineStr">
        <is>
          <t>Male</t>
        </is>
      </c>
      <c r="C2684" s="6" t="inlineStr">
        <is>
          <t>26</t>
        </is>
      </c>
      <c r="D2684" s="5" t="inlineStr">
        <is>
          <t>Single</t>
        </is>
      </c>
      <c r="E2684" s="5" t="inlineStr">
        <is>
          <t>Master</t>
        </is>
      </c>
      <c r="F2684" s="5" t="inlineStr">
        <is>
          <t>Customer Support</t>
        </is>
      </c>
      <c r="G2684" s="5" t="inlineStr">
        <is>
          <t>Escalation Specialist</t>
        </is>
      </c>
      <c r="H2684" s="5" t="inlineStr">
        <is>
          <t>2</t>
        </is>
      </c>
      <c r="I2684" s="5" t="inlineStr">
        <is>
          <t>Remote</t>
        </is>
      </c>
      <c r="J2684" s="5" t="inlineStr">
        <is>
          <t>Part-Time</t>
        </is>
      </c>
      <c r="K2684" s="7" t="n">
        <v>43886</v>
      </c>
      <c r="L2684" s="7" t="inlineStr"/>
      <c r="M2684" s="5" t="inlineStr">
        <is>
          <t>Yes</t>
        </is>
      </c>
      <c r="N2684" s="5" t="inlineStr"/>
      <c r="O2684" s="8" t="inlineStr">
        <is>
          <t>62000</t>
        </is>
      </c>
      <c r="P2684" s="5" t="inlineStr">
        <is>
          <t>0</t>
        </is>
      </c>
      <c r="Q2684" s="5" t="inlineStr">
        <is>
          <t>3</t>
        </is>
      </c>
      <c r="R2684" s="5" t="inlineStr">
        <is>
          <t>5</t>
        </is>
      </c>
      <c r="S2684" s="5" t="inlineStr">
        <is>
          <t>71</t>
        </is>
      </c>
      <c r="T2684" s="5" t="inlineStr">
        <is>
          <t>0</t>
        </is>
      </c>
      <c r="U2684" s="5">
        <f>IFS(C2684&lt;30,"Under 30",C2684&lt;40,"30-39",C2684&lt;50,"40-49",TRUE,"50+")</f>
        <v/>
      </c>
      <c r="V2684" s="5">
        <f>IFS(O2684&lt;60000,"Low (&lt;60k)",O2684&lt;100000,"Mid (60-100k)",TRUE,"High (100k+)")</f>
        <v/>
      </c>
      <c r="W2684" s="5">
        <f>IF(M2684="No","Attrited","Active")</f>
        <v/>
      </c>
    </row>
    <row r="2685">
      <c r="A2685" s="5" t="inlineStr">
        <is>
          <t>E02684</t>
        </is>
      </c>
      <c r="B2685" s="5" t="inlineStr">
        <is>
          <t>Male</t>
        </is>
      </c>
      <c r="C2685" s="6" t="inlineStr">
        <is>
          <t>33</t>
        </is>
      </c>
      <c r="D2685" s="5" t="inlineStr">
        <is>
          <t>Married</t>
        </is>
      </c>
      <c r="E2685" s="5" t="inlineStr">
        <is>
          <t>Master</t>
        </is>
      </c>
      <c r="F2685" s="5" t="inlineStr">
        <is>
          <t>Operations</t>
        </is>
      </c>
      <c r="G2685" s="5" t="inlineStr">
        <is>
          <t>Logistics Coordinator</t>
        </is>
      </c>
      <c r="H2685" s="5" t="inlineStr">
        <is>
          <t>5</t>
        </is>
      </c>
      <c r="I2685" s="5" t="inlineStr">
        <is>
          <t>Bengaluru</t>
        </is>
      </c>
      <c r="J2685" s="5" t="inlineStr">
        <is>
          <t>Full-Time</t>
        </is>
      </c>
      <c r="K2685" s="7" t="n">
        <v>44438</v>
      </c>
      <c r="L2685" s="7" t="n">
        <v>44488</v>
      </c>
      <c r="M2685" s="5" t="inlineStr">
        <is>
          <t>No</t>
        </is>
      </c>
      <c r="N2685" s="5" t="inlineStr">
        <is>
          <t>Layoff</t>
        </is>
      </c>
      <c r="O2685" s="8" t="inlineStr">
        <is>
          <t>141500</t>
        </is>
      </c>
      <c r="P2685" s="5" t="inlineStr">
        <is>
          <t>10</t>
        </is>
      </c>
      <c r="Q2685" s="5" t="inlineStr">
        <is>
          <t>4</t>
        </is>
      </c>
      <c r="R2685" s="5" t="inlineStr">
        <is>
          <t>6</t>
        </is>
      </c>
      <c r="S2685" s="5" t="inlineStr">
        <is>
          <t>1</t>
        </is>
      </c>
      <c r="T2685" s="5" t="inlineStr">
        <is>
          <t>0</t>
        </is>
      </c>
      <c r="U2685" s="5">
        <f>IFS(C2685&lt;30,"Under 30",C2685&lt;40,"30-39",C2685&lt;50,"40-49",TRUE,"50+")</f>
        <v/>
      </c>
      <c r="V2685" s="5">
        <f>IFS(O2685&lt;60000,"Low (&lt;60k)",O2685&lt;100000,"Mid (60-100k)",TRUE,"High (100k+)")</f>
        <v/>
      </c>
      <c r="W2685" s="5">
        <f>IF(M2685="No","Attrited","Active")</f>
        <v/>
      </c>
    </row>
    <row r="2686">
      <c r="A2686" s="5" t="inlineStr">
        <is>
          <t>E02685</t>
        </is>
      </c>
      <c r="B2686" s="5" t="inlineStr">
        <is>
          <t>Female</t>
        </is>
      </c>
      <c r="C2686" s="6" t="inlineStr">
        <is>
          <t>30</t>
        </is>
      </c>
      <c r="D2686" s="5" t="inlineStr">
        <is>
          <t>Married</t>
        </is>
      </c>
      <c r="E2686" s="5" t="inlineStr">
        <is>
          <t>Diploma</t>
        </is>
      </c>
      <c r="F2686" s="5" t="inlineStr">
        <is>
          <t>IT</t>
        </is>
      </c>
      <c r="G2686" s="5" t="inlineStr">
        <is>
          <t>Software Engineer</t>
        </is>
      </c>
      <c r="H2686" s="5" t="inlineStr">
        <is>
          <t>1</t>
        </is>
      </c>
      <c r="I2686" s="5" t="inlineStr">
        <is>
          <t>Hyderabad</t>
        </is>
      </c>
      <c r="J2686" s="5" t="inlineStr">
        <is>
          <t>Full-Time</t>
        </is>
      </c>
      <c r="K2686" s="7" t="n">
        <v>44838</v>
      </c>
      <c r="L2686" s="7" t="n">
        <v>44978</v>
      </c>
      <c r="M2686" s="5" t="inlineStr">
        <is>
          <t>No</t>
        </is>
      </c>
      <c r="N2686" s="5" t="inlineStr">
        <is>
          <t>Resigned</t>
        </is>
      </c>
      <c r="O2686" s="8" t="inlineStr">
        <is>
          <t>144000</t>
        </is>
      </c>
      <c r="P2686" s="5" t="inlineStr">
        <is>
          <t>20</t>
        </is>
      </c>
      <c r="Q2686" s="5" t="inlineStr">
        <is>
          <t>4</t>
        </is>
      </c>
      <c r="R2686" s="5" t="inlineStr">
        <is>
          <t>6</t>
        </is>
      </c>
      <c r="S2686" s="5" t="inlineStr">
        <is>
          <t>4</t>
        </is>
      </c>
      <c r="T2686" s="5" t="inlineStr">
        <is>
          <t>2</t>
        </is>
      </c>
      <c r="U2686" s="5">
        <f>IFS(C2686&lt;30,"Under 30",C2686&lt;40,"30-39",C2686&lt;50,"40-49",TRUE,"50+")</f>
        <v/>
      </c>
      <c r="V2686" s="5">
        <f>IFS(O2686&lt;60000,"Low (&lt;60k)",O2686&lt;100000,"Mid (60-100k)",TRUE,"High (100k+)")</f>
        <v/>
      </c>
      <c r="W2686" s="5">
        <f>IF(M2686="No","Attrited","Active")</f>
        <v/>
      </c>
    </row>
    <row r="2687">
      <c r="A2687" s="5" t="inlineStr">
        <is>
          <t>E02686</t>
        </is>
      </c>
      <c r="B2687" s="5" t="inlineStr">
        <is>
          <t>Male</t>
        </is>
      </c>
      <c r="C2687" s="6" t="inlineStr">
        <is>
          <t>37</t>
        </is>
      </c>
      <c r="D2687" s="5" t="inlineStr">
        <is>
          <t>Married</t>
        </is>
      </c>
      <c r="E2687" s="5" t="inlineStr">
        <is>
          <t>PhD</t>
        </is>
      </c>
      <c r="F2687" s="5" t="inlineStr">
        <is>
          <t>Research &amp; Development</t>
        </is>
      </c>
      <c r="G2687" s="5" t="inlineStr">
        <is>
          <t>Research Scientist</t>
        </is>
      </c>
      <c r="H2687" s="5" t="inlineStr">
        <is>
          <t>7</t>
        </is>
      </c>
      <c r="I2687" s="5" t="inlineStr">
        <is>
          <t>Hyderabad</t>
        </is>
      </c>
      <c r="J2687" s="5" t="inlineStr">
        <is>
          <t>Full-Time</t>
        </is>
      </c>
      <c r="K2687" s="7" t="n">
        <v>44965</v>
      </c>
      <c r="L2687" s="7" t="n">
        <v>45044</v>
      </c>
      <c r="M2687" s="5" t="inlineStr">
        <is>
          <t>No</t>
        </is>
      </c>
      <c r="N2687" s="5" t="inlineStr">
        <is>
          <t>Relocation</t>
        </is>
      </c>
      <c r="O2687" s="8" t="inlineStr">
        <is>
          <t>250000</t>
        </is>
      </c>
      <c r="P2687" s="5" t="inlineStr">
        <is>
          <t>10</t>
        </is>
      </c>
      <c r="Q2687" s="5" t="inlineStr">
        <is>
          <t>4</t>
        </is>
      </c>
      <c r="R2687" s="5" t="inlineStr">
        <is>
          <t>8</t>
        </is>
      </c>
      <c r="S2687" s="5" t="inlineStr">
        <is>
          <t>2</t>
        </is>
      </c>
      <c r="T2687" s="5" t="inlineStr">
        <is>
          <t>0</t>
        </is>
      </c>
      <c r="U2687" s="5">
        <f>IFS(C2687&lt;30,"Under 30",C2687&lt;40,"30-39",C2687&lt;50,"40-49",TRUE,"50+")</f>
        <v/>
      </c>
      <c r="V2687" s="5">
        <f>IFS(O2687&lt;60000,"Low (&lt;60k)",O2687&lt;100000,"Mid (60-100k)",TRUE,"High (100k+)")</f>
        <v/>
      </c>
      <c r="W2687" s="5">
        <f>IF(M2687="No","Attrited","Active")</f>
        <v/>
      </c>
    </row>
    <row r="2688">
      <c r="A2688" s="5" t="inlineStr">
        <is>
          <t>E02687</t>
        </is>
      </c>
      <c r="B2688" s="5" t="inlineStr">
        <is>
          <t>Male</t>
        </is>
      </c>
      <c r="C2688" s="6" t="inlineStr">
        <is>
          <t>34</t>
        </is>
      </c>
      <c r="D2688" s="5" t="inlineStr">
        <is>
          <t>Married</t>
        </is>
      </c>
      <c r="E2688" s="5" t="inlineStr">
        <is>
          <t>Bachelor</t>
        </is>
      </c>
      <c r="F2688" s="5" t="inlineStr">
        <is>
          <t>Operations</t>
        </is>
      </c>
      <c r="G2688" s="5" t="inlineStr">
        <is>
          <t>Logistics Coordinator</t>
        </is>
      </c>
      <c r="H2688" s="5" t="inlineStr">
        <is>
          <t>4</t>
        </is>
      </c>
      <c r="I2688" s="5" t="inlineStr">
        <is>
          <t>Remote</t>
        </is>
      </c>
      <c r="J2688" s="5" t="inlineStr">
        <is>
          <t>Full-Time</t>
        </is>
      </c>
      <c r="K2688" s="7" t="n">
        <v>45842</v>
      </c>
      <c r="L2688" s="7" t="n">
        <v>45913</v>
      </c>
      <c r="M2688" s="5" t="inlineStr">
        <is>
          <t>No</t>
        </is>
      </c>
      <c r="N2688" s="5" t="inlineStr">
        <is>
          <t>Performance / Termination</t>
        </is>
      </c>
      <c r="O2688" s="8" t="inlineStr">
        <is>
          <t>119500</t>
        </is>
      </c>
      <c r="P2688" s="5" t="inlineStr">
        <is>
          <t>5</t>
        </is>
      </c>
      <c r="Q2688" s="5" t="inlineStr">
        <is>
          <t>2</t>
        </is>
      </c>
      <c r="R2688" s="5" t="inlineStr">
        <is>
          <t>8</t>
        </is>
      </c>
      <c r="S2688" s="5" t="inlineStr">
        <is>
          <t>2</t>
        </is>
      </c>
      <c r="T2688" s="5" t="inlineStr">
        <is>
          <t>6</t>
        </is>
      </c>
      <c r="U2688" s="5">
        <f>IFS(C2688&lt;30,"Under 30",C2688&lt;40,"30-39",C2688&lt;50,"40-49",TRUE,"50+")</f>
        <v/>
      </c>
      <c r="V2688" s="5">
        <f>IFS(O2688&lt;60000,"Low (&lt;60k)",O2688&lt;100000,"Mid (60-100k)",TRUE,"High (100k+)")</f>
        <v/>
      </c>
      <c r="W2688" s="5">
        <f>IF(M2688="No","Attrited","Active")</f>
        <v/>
      </c>
    </row>
    <row r="2689">
      <c r="A2689" s="5" t="inlineStr">
        <is>
          <t>E02688</t>
        </is>
      </c>
      <c r="B2689" s="5" t="inlineStr">
        <is>
          <t>Male</t>
        </is>
      </c>
      <c r="C2689" s="6" t="inlineStr">
        <is>
          <t>34</t>
        </is>
      </c>
      <c r="D2689" s="5" t="inlineStr">
        <is>
          <t>Married</t>
        </is>
      </c>
      <c r="E2689" s="5" t="inlineStr">
        <is>
          <t>High School</t>
        </is>
      </c>
      <c r="F2689" s="5" t="inlineStr">
        <is>
          <t>Operations</t>
        </is>
      </c>
      <c r="G2689" s="5" t="inlineStr">
        <is>
          <t>Operations Analyst</t>
        </is>
      </c>
      <c r="H2689" s="5" t="inlineStr">
        <is>
          <t>6</t>
        </is>
      </c>
      <c r="I2689" s="5" t="inlineStr">
        <is>
          <t>Chennai</t>
        </is>
      </c>
      <c r="J2689" s="5" t="inlineStr">
        <is>
          <t>Full-Time</t>
        </is>
      </c>
      <c r="K2689" s="7" t="n">
        <v>44886</v>
      </c>
      <c r="L2689" s="7" t="inlineStr"/>
      <c r="M2689" s="5" t="inlineStr">
        <is>
          <t>Yes</t>
        </is>
      </c>
      <c r="N2689" s="5" t="inlineStr"/>
      <c r="O2689" s="8" t="inlineStr">
        <is>
          <t>142000</t>
        </is>
      </c>
      <c r="P2689" s="5" t="inlineStr">
        <is>
          <t>10</t>
        </is>
      </c>
      <c r="Q2689" s="5" t="inlineStr">
        <is>
          <t>4</t>
        </is>
      </c>
      <c r="R2689" s="5" t="inlineStr">
        <is>
          <t>7</t>
        </is>
      </c>
      <c r="S2689" s="5" t="inlineStr">
        <is>
          <t>37</t>
        </is>
      </c>
      <c r="T2689" s="5" t="inlineStr">
        <is>
          <t>14</t>
        </is>
      </c>
      <c r="U2689" s="5">
        <f>IFS(C2689&lt;30,"Under 30",C2689&lt;40,"30-39",C2689&lt;50,"40-49",TRUE,"50+")</f>
        <v/>
      </c>
      <c r="V2689" s="5">
        <f>IFS(O2689&lt;60000,"Low (&lt;60k)",O2689&lt;100000,"Mid (60-100k)",TRUE,"High (100k+)")</f>
        <v/>
      </c>
      <c r="W2689" s="5">
        <f>IF(M2689="No","Attrited","Active")</f>
        <v/>
      </c>
    </row>
    <row r="2690">
      <c r="A2690" s="5" t="inlineStr">
        <is>
          <t>E02689</t>
        </is>
      </c>
      <c r="B2690" s="5" t="inlineStr">
        <is>
          <t>Female</t>
        </is>
      </c>
      <c r="C2690" s="6" t="inlineStr">
        <is>
          <t>30</t>
        </is>
      </c>
      <c r="D2690" s="5" t="inlineStr">
        <is>
          <t>Married</t>
        </is>
      </c>
      <c r="E2690" s="5" t="inlineStr">
        <is>
          <t>High School</t>
        </is>
      </c>
      <c r="F2690" s="5" t="inlineStr">
        <is>
          <t>Executive</t>
        </is>
      </c>
      <c r="G2690" s="5" t="inlineStr">
        <is>
          <t>CEO</t>
        </is>
      </c>
      <c r="H2690" s="5" t="inlineStr">
        <is>
          <t>1</t>
        </is>
      </c>
      <c r="I2690" s="5" t="inlineStr">
        <is>
          <t>Hyderabad</t>
        </is>
      </c>
      <c r="J2690" s="5" t="inlineStr">
        <is>
          <t>Full-Time</t>
        </is>
      </c>
      <c r="K2690" s="7" t="n">
        <v>45511</v>
      </c>
      <c r="L2690" s="7" t="n">
        <v>45640</v>
      </c>
      <c r="M2690" s="5" t="inlineStr">
        <is>
          <t>No</t>
        </is>
      </c>
      <c r="N2690" s="5" t="inlineStr">
        <is>
          <t>Resigned</t>
        </is>
      </c>
      <c r="O2690" s="8" t="inlineStr">
        <is>
          <t>262000</t>
        </is>
      </c>
      <c r="P2690" s="5" t="inlineStr">
        <is>
          <t>10</t>
        </is>
      </c>
      <c r="Q2690" s="5" t="inlineStr">
        <is>
          <t>2</t>
        </is>
      </c>
      <c r="R2690" s="5" t="inlineStr">
        <is>
          <t>7</t>
        </is>
      </c>
      <c r="S2690" s="5" t="inlineStr">
        <is>
          <t>4</t>
        </is>
      </c>
      <c r="T2690" s="5" t="inlineStr">
        <is>
          <t>0</t>
        </is>
      </c>
      <c r="U2690" s="5">
        <f>IFS(C2690&lt;30,"Under 30",C2690&lt;40,"30-39",C2690&lt;50,"40-49",TRUE,"50+")</f>
        <v/>
      </c>
      <c r="V2690" s="5">
        <f>IFS(O2690&lt;60000,"Low (&lt;60k)",O2690&lt;100000,"Mid (60-100k)",TRUE,"High (100k+)")</f>
        <v/>
      </c>
      <c r="W2690" s="5">
        <f>IF(M2690="No","Attrited","Active")</f>
        <v/>
      </c>
    </row>
    <row r="2691">
      <c r="A2691" s="5" t="inlineStr">
        <is>
          <t>E02690</t>
        </is>
      </c>
      <c r="B2691" s="5" t="inlineStr">
        <is>
          <t>Female</t>
        </is>
      </c>
      <c r="C2691" s="6" t="inlineStr">
        <is>
          <t>31</t>
        </is>
      </c>
      <c r="D2691" s="5" t="inlineStr">
        <is>
          <t>Married</t>
        </is>
      </c>
      <c r="E2691" s="5" t="inlineStr">
        <is>
          <t>Master</t>
        </is>
      </c>
      <c r="F2691" s="5" t="inlineStr">
        <is>
          <t>Human Resources</t>
        </is>
      </c>
      <c r="G2691" s="5" t="inlineStr">
        <is>
          <t>HR Analyst</t>
        </is>
      </c>
      <c r="H2691" s="5" t="inlineStr">
        <is>
          <t>5</t>
        </is>
      </c>
      <c r="I2691" s="5" t="inlineStr">
        <is>
          <t>Bengaluru</t>
        </is>
      </c>
      <c r="J2691" s="5" t="inlineStr">
        <is>
          <t>Full-Time</t>
        </is>
      </c>
      <c r="K2691" s="7" t="n">
        <v>44277</v>
      </c>
      <c r="L2691" s="7" t="inlineStr"/>
      <c r="M2691" s="5" t="inlineStr">
        <is>
          <t>Yes</t>
        </is>
      </c>
      <c r="N2691" s="5" t="inlineStr"/>
      <c r="O2691" s="8" t="inlineStr">
        <is>
          <t>130000</t>
        </is>
      </c>
      <c r="P2691" s="5" t="inlineStr">
        <is>
          <t>0</t>
        </is>
      </c>
      <c r="Q2691" s="5" t="inlineStr">
        <is>
          <t>5</t>
        </is>
      </c>
      <c r="R2691" s="5" t="inlineStr">
        <is>
          <t>8</t>
        </is>
      </c>
      <c r="S2691" s="5" t="inlineStr">
        <is>
          <t>58</t>
        </is>
      </c>
      <c r="T2691" s="5" t="inlineStr">
        <is>
          <t>1</t>
        </is>
      </c>
      <c r="U2691" s="5">
        <f>IFS(C2691&lt;30,"Under 30",C2691&lt;40,"30-39",C2691&lt;50,"40-49",TRUE,"50+")</f>
        <v/>
      </c>
      <c r="V2691" s="5">
        <f>IFS(O2691&lt;60000,"Low (&lt;60k)",O2691&lt;100000,"Mid (60-100k)",TRUE,"High (100k+)")</f>
        <v/>
      </c>
      <c r="W2691" s="5">
        <f>IF(M2691="No","Attrited","Active")</f>
        <v/>
      </c>
    </row>
    <row r="2692">
      <c r="A2692" s="5" t="inlineStr">
        <is>
          <t>E02691</t>
        </is>
      </c>
      <c r="B2692" s="5" t="inlineStr">
        <is>
          <t>Male</t>
        </is>
      </c>
      <c r="C2692" s="6" t="inlineStr">
        <is>
          <t>36</t>
        </is>
      </c>
      <c r="D2692" s="5" t="inlineStr">
        <is>
          <t>Married</t>
        </is>
      </c>
      <c r="E2692" s="5" t="inlineStr">
        <is>
          <t>Diploma</t>
        </is>
      </c>
      <c r="F2692" s="5" t="inlineStr">
        <is>
          <t>Marketing</t>
        </is>
      </c>
      <c r="G2692" s="5" t="inlineStr">
        <is>
          <t>Content Writer</t>
        </is>
      </c>
      <c r="H2692" s="5" t="inlineStr">
        <is>
          <t>5</t>
        </is>
      </c>
      <c r="I2692" s="5" t="inlineStr">
        <is>
          <t>Chennai</t>
        </is>
      </c>
      <c r="J2692" s="5" t="inlineStr">
        <is>
          <t>Full-Time</t>
        </is>
      </c>
      <c r="K2692" s="7" t="n">
        <v>44297</v>
      </c>
      <c r="L2692" s="7" t="inlineStr"/>
      <c r="M2692" s="5" t="inlineStr">
        <is>
          <t>Yes</t>
        </is>
      </c>
      <c r="N2692" s="5" t="inlineStr"/>
      <c r="O2692" s="8" t="inlineStr">
        <is>
          <t>86000</t>
        </is>
      </c>
      <c r="P2692" s="5" t="inlineStr">
        <is>
          <t>10</t>
        </is>
      </c>
      <c r="Q2692" s="5" t="inlineStr">
        <is>
          <t>4</t>
        </is>
      </c>
      <c r="R2692" s="5" t="inlineStr">
        <is>
          <t>4</t>
        </is>
      </c>
      <c r="S2692" s="5" t="inlineStr">
        <is>
          <t>57</t>
        </is>
      </c>
      <c r="T2692" s="5" t="inlineStr">
        <is>
          <t>0</t>
        </is>
      </c>
      <c r="U2692" s="5">
        <f>IFS(C2692&lt;30,"Under 30",C2692&lt;40,"30-39",C2692&lt;50,"40-49",TRUE,"50+")</f>
        <v/>
      </c>
      <c r="V2692" s="5">
        <f>IFS(O2692&lt;60000,"Low (&lt;60k)",O2692&lt;100000,"Mid (60-100k)",TRUE,"High (100k+)")</f>
        <v/>
      </c>
      <c r="W2692" s="5">
        <f>IF(M2692="No","Attrited","Active")</f>
        <v/>
      </c>
    </row>
    <row r="2693">
      <c r="A2693" s="5" t="inlineStr">
        <is>
          <t>E02692</t>
        </is>
      </c>
      <c r="B2693" s="5" t="inlineStr">
        <is>
          <t>Male</t>
        </is>
      </c>
      <c r="C2693" s="6" t="inlineStr">
        <is>
          <t>29</t>
        </is>
      </c>
      <c r="D2693" s="5" t="inlineStr">
        <is>
          <t>Married</t>
        </is>
      </c>
      <c r="E2693" s="5" t="inlineStr">
        <is>
          <t>Master</t>
        </is>
      </c>
      <c r="F2693" s="5" t="inlineStr">
        <is>
          <t>Finance</t>
        </is>
      </c>
      <c r="G2693" s="5" t="inlineStr">
        <is>
          <t>Accountant</t>
        </is>
      </c>
      <c r="H2693" s="5" t="inlineStr">
        <is>
          <t>3</t>
        </is>
      </c>
      <c r="I2693" s="5" t="inlineStr">
        <is>
          <t>Chennai</t>
        </is>
      </c>
      <c r="J2693" s="5" t="inlineStr">
        <is>
          <t>Full-Time</t>
        </is>
      </c>
      <c r="K2693" s="7" t="n">
        <v>44965</v>
      </c>
      <c r="L2693" s="7" t="inlineStr"/>
      <c r="M2693" s="5" t="inlineStr">
        <is>
          <t>Yes</t>
        </is>
      </c>
      <c r="N2693" s="5" t="inlineStr"/>
      <c r="O2693" s="8" t="inlineStr">
        <is>
          <t>130000</t>
        </is>
      </c>
      <c r="P2693" s="5" t="inlineStr">
        <is>
          <t>10</t>
        </is>
      </c>
      <c r="Q2693" s="5" t="inlineStr">
        <is>
          <t>3</t>
        </is>
      </c>
      <c r="R2693" s="5" t="inlineStr">
        <is>
          <t>7</t>
        </is>
      </c>
      <c r="S2693" s="5" t="inlineStr">
        <is>
          <t>35</t>
        </is>
      </c>
      <c r="T2693" s="5" t="inlineStr">
        <is>
          <t>13</t>
        </is>
      </c>
      <c r="U2693" s="5">
        <f>IFS(C2693&lt;30,"Under 30",C2693&lt;40,"30-39",C2693&lt;50,"40-49",TRUE,"50+")</f>
        <v/>
      </c>
      <c r="V2693" s="5">
        <f>IFS(O2693&lt;60000,"Low (&lt;60k)",O2693&lt;100000,"Mid (60-100k)",TRUE,"High (100k+)")</f>
        <v/>
      </c>
      <c r="W2693" s="5">
        <f>IF(M2693="No","Attrited","Active")</f>
        <v/>
      </c>
    </row>
    <row r="2694">
      <c r="A2694" s="5" t="inlineStr">
        <is>
          <t>E02693</t>
        </is>
      </c>
      <c r="B2694" s="5" t="inlineStr">
        <is>
          <t>Male</t>
        </is>
      </c>
      <c r="C2694" s="6" t="inlineStr">
        <is>
          <t>29</t>
        </is>
      </c>
      <c r="D2694" s="5" t="inlineStr">
        <is>
          <t>Single</t>
        </is>
      </c>
      <c r="E2694" s="5" t="inlineStr">
        <is>
          <t>PhD</t>
        </is>
      </c>
      <c r="F2694" s="5" t="inlineStr">
        <is>
          <t>Research &amp; Development</t>
        </is>
      </c>
      <c r="G2694" s="5" t="inlineStr">
        <is>
          <t>Research Scientist</t>
        </is>
      </c>
      <c r="H2694" s="5" t="inlineStr">
        <is>
          <t>4</t>
        </is>
      </c>
      <c r="I2694" s="5" t="inlineStr">
        <is>
          <t>Chennai</t>
        </is>
      </c>
      <c r="J2694" s="5" t="inlineStr">
        <is>
          <t>Full-Time</t>
        </is>
      </c>
      <c r="K2694" s="7" t="n">
        <v>44579</v>
      </c>
      <c r="L2694" s="7" t="inlineStr"/>
      <c r="M2694" s="5" t="inlineStr">
        <is>
          <t>Yes</t>
        </is>
      </c>
      <c r="N2694" s="5" t="inlineStr"/>
      <c r="O2694" s="8" t="inlineStr">
        <is>
          <t>192500</t>
        </is>
      </c>
      <c r="P2694" s="5" t="inlineStr">
        <is>
          <t>0</t>
        </is>
      </c>
      <c r="Q2694" s="5" t="inlineStr">
        <is>
          <t>3</t>
        </is>
      </c>
      <c r="R2694" s="5" t="inlineStr">
        <is>
          <t>8</t>
        </is>
      </c>
      <c r="S2694" s="5" t="inlineStr">
        <is>
          <t>48</t>
        </is>
      </c>
      <c r="T2694" s="5" t="inlineStr">
        <is>
          <t>4</t>
        </is>
      </c>
      <c r="U2694" s="5">
        <f>IFS(C2694&lt;30,"Under 30",C2694&lt;40,"30-39",C2694&lt;50,"40-49",TRUE,"50+")</f>
        <v/>
      </c>
      <c r="V2694" s="5">
        <f>IFS(O2694&lt;60000,"Low (&lt;60k)",O2694&lt;100000,"Mid (60-100k)",TRUE,"High (100k+)")</f>
        <v/>
      </c>
      <c r="W2694" s="5">
        <f>IF(M2694="No","Attrited","Active")</f>
        <v/>
      </c>
    </row>
    <row r="2695">
      <c r="A2695" s="5" t="inlineStr">
        <is>
          <t>E02694</t>
        </is>
      </c>
      <c r="B2695" s="5" t="inlineStr">
        <is>
          <t>Male</t>
        </is>
      </c>
      <c r="C2695" s="6" t="inlineStr">
        <is>
          <t>29</t>
        </is>
      </c>
      <c r="D2695" s="5" t="inlineStr">
        <is>
          <t>Married</t>
        </is>
      </c>
      <c r="E2695" s="5" t="inlineStr">
        <is>
          <t>Bachelor</t>
        </is>
      </c>
      <c r="F2695" s="5" t="inlineStr">
        <is>
          <t>Customer Support</t>
        </is>
      </c>
      <c r="G2695" s="5" t="inlineStr">
        <is>
          <t>Support Lead</t>
        </is>
      </c>
      <c r="H2695" s="5" t="inlineStr">
        <is>
          <t>2</t>
        </is>
      </c>
      <c r="I2695" s="5" t="inlineStr">
        <is>
          <t>Remote</t>
        </is>
      </c>
      <c r="J2695" s="5" t="inlineStr">
        <is>
          <t>Full-Time</t>
        </is>
      </c>
      <c r="K2695" s="7" t="n">
        <v>45016</v>
      </c>
      <c r="L2695" s="7" t="inlineStr"/>
      <c r="M2695" s="5" t="inlineStr">
        <is>
          <t>Yes</t>
        </is>
      </c>
      <c r="N2695" s="5" t="inlineStr"/>
      <c r="O2695" s="8" t="inlineStr">
        <is>
          <t>73500</t>
        </is>
      </c>
      <c r="P2695" s="5" t="inlineStr">
        <is>
          <t>10</t>
        </is>
      </c>
      <c r="Q2695" s="5" t="inlineStr">
        <is>
          <t>3</t>
        </is>
      </c>
      <c r="R2695" s="5" t="inlineStr">
        <is>
          <t>2</t>
        </is>
      </c>
      <c r="S2695" s="5" t="inlineStr">
        <is>
          <t>33</t>
        </is>
      </c>
      <c r="T2695" s="5" t="inlineStr">
        <is>
          <t>8</t>
        </is>
      </c>
      <c r="U2695" s="5">
        <f>IFS(C2695&lt;30,"Under 30",C2695&lt;40,"30-39",C2695&lt;50,"40-49",TRUE,"50+")</f>
        <v/>
      </c>
      <c r="V2695" s="5">
        <f>IFS(O2695&lt;60000,"Low (&lt;60k)",O2695&lt;100000,"Mid (60-100k)",TRUE,"High (100k+)")</f>
        <v/>
      </c>
      <c r="W2695" s="5">
        <f>IF(M2695="No","Attrited","Active")</f>
        <v/>
      </c>
    </row>
    <row r="2696">
      <c r="A2696" s="5" t="inlineStr">
        <is>
          <t>E02695</t>
        </is>
      </c>
      <c r="B2696" s="5" t="inlineStr">
        <is>
          <t>Male</t>
        </is>
      </c>
      <c r="C2696" s="6" t="inlineStr">
        <is>
          <t>37</t>
        </is>
      </c>
      <c r="D2696" s="5" t="inlineStr">
        <is>
          <t>Married</t>
        </is>
      </c>
      <c r="E2696" s="5" t="inlineStr">
        <is>
          <t>Master</t>
        </is>
      </c>
      <c r="F2696" s="5" t="inlineStr">
        <is>
          <t>Finance</t>
        </is>
      </c>
      <c r="G2696" s="5" t="inlineStr">
        <is>
          <t>Financial Analyst</t>
        </is>
      </c>
      <c r="H2696" s="5" t="inlineStr">
        <is>
          <t>4</t>
        </is>
      </c>
      <c r="I2696" s="5" t="inlineStr">
        <is>
          <t>Hyderabad</t>
        </is>
      </c>
      <c r="J2696" s="5" t="inlineStr">
        <is>
          <t>Full-Time</t>
        </is>
      </c>
      <c r="K2696" s="7" t="n">
        <v>44397</v>
      </c>
      <c r="L2696" s="7" t="inlineStr"/>
      <c r="M2696" s="5" t="inlineStr">
        <is>
          <t>Yes</t>
        </is>
      </c>
      <c r="N2696" s="5" t="inlineStr"/>
      <c r="O2696" s="8" t="inlineStr">
        <is>
          <t>154500</t>
        </is>
      </c>
      <c r="P2696" s="5" t="inlineStr">
        <is>
          <t>0</t>
        </is>
      </c>
      <c r="Q2696" s="5" t="inlineStr">
        <is>
          <t>4</t>
        </is>
      </c>
      <c r="R2696" s="5" t="inlineStr">
        <is>
          <t>4</t>
        </is>
      </c>
      <c r="S2696" s="5" t="inlineStr">
        <is>
          <t>54</t>
        </is>
      </c>
      <c r="T2696" s="5" t="inlineStr">
        <is>
          <t>11</t>
        </is>
      </c>
      <c r="U2696" s="5">
        <f>IFS(C2696&lt;30,"Under 30",C2696&lt;40,"30-39",C2696&lt;50,"40-49",TRUE,"50+")</f>
        <v/>
      </c>
      <c r="V2696" s="5">
        <f>IFS(O2696&lt;60000,"Low (&lt;60k)",O2696&lt;100000,"Mid (60-100k)",TRUE,"High (100k+)")</f>
        <v/>
      </c>
      <c r="W2696" s="5">
        <f>IF(M2696="No","Attrited","Active")</f>
        <v/>
      </c>
    </row>
    <row r="2697">
      <c r="A2697" s="5" t="inlineStr">
        <is>
          <t>E02696</t>
        </is>
      </c>
      <c r="B2697" s="5" t="inlineStr">
        <is>
          <t>Male</t>
        </is>
      </c>
      <c r="C2697" s="6" t="inlineStr">
        <is>
          <t>28</t>
        </is>
      </c>
      <c r="D2697" s="5" t="inlineStr">
        <is>
          <t>Single</t>
        </is>
      </c>
      <c r="E2697" s="5" t="inlineStr">
        <is>
          <t>Master</t>
        </is>
      </c>
      <c r="F2697" s="5" t="inlineStr">
        <is>
          <t>Operations</t>
        </is>
      </c>
      <c r="G2697" s="5" t="inlineStr">
        <is>
          <t>Logistics Coordinator</t>
        </is>
      </c>
      <c r="H2697" s="5" t="inlineStr">
        <is>
          <t>1</t>
        </is>
      </c>
      <c r="I2697" s="5" t="inlineStr">
        <is>
          <t>Chennai</t>
        </is>
      </c>
      <c r="J2697" s="5" t="inlineStr">
        <is>
          <t>Full-Time</t>
        </is>
      </c>
      <c r="K2697" s="7" t="n">
        <v>45290</v>
      </c>
      <c r="L2697" s="7" t="inlineStr"/>
      <c r="M2697" s="5" t="inlineStr">
        <is>
          <t>Yes</t>
        </is>
      </c>
      <c r="N2697" s="5" t="inlineStr"/>
      <c r="O2697" s="8" t="inlineStr">
        <is>
          <t>89500</t>
        </is>
      </c>
      <c r="P2697" s="5" t="inlineStr">
        <is>
          <t>0</t>
        </is>
      </c>
      <c r="Q2697" s="5" t="inlineStr">
        <is>
          <t>4</t>
        </is>
      </c>
      <c r="R2697" s="5" t="inlineStr">
        <is>
          <t>8</t>
        </is>
      </c>
      <c r="S2697" s="5" t="inlineStr">
        <is>
          <t>24</t>
        </is>
      </c>
      <c r="T2697" s="5" t="inlineStr">
        <is>
          <t>7</t>
        </is>
      </c>
      <c r="U2697" s="5">
        <f>IFS(C2697&lt;30,"Under 30",C2697&lt;40,"30-39",C2697&lt;50,"40-49",TRUE,"50+")</f>
        <v/>
      </c>
      <c r="V2697" s="5">
        <f>IFS(O2697&lt;60000,"Low (&lt;60k)",O2697&lt;100000,"Mid (60-100k)",TRUE,"High (100k+)")</f>
        <v/>
      </c>
      <c r="W2697" s="5">
        <f>IF(M2697="No","Attrited","Active")</f>
        <v/>
      </c>
    </row>
    <row r="2698">
      <c r="A2698" s="5" t="inlineStr">
        <is>
          <t>E02697</t>
        </is>
      </c>
      <c r="B2698" s="5" t="inlineStr">
        <is>
          <t>Female</t>
        </is>
      </c>
      <c r="C2698" s="6" t="inlineStr">
        <is>
          <t>29</t>
        </is>
      </c>
      <c r="D2698" s="5" t="inlineStr">
        <is>
          <t>Single</t>
        </is>
      </c>
      <c r="E2698" s="5" t="inlineStr">
        <is>
          <t>Diploma</t>
        </is>
      </c>
      <c r="F2698" s="5" t="inlineStr">
        <is>
          <t>Sales</t>
        </is>
      </c>
      <c r="G2698" s="5" t="inlineStr">
        <is>
          <t>Business Development</t>
        </is>
      </c>
      <c r="H2698" s="5" t="inlineStr">
        <is>
          <t>1</t>
        </is>
      </c>
      <c r="I2698" s="5" t="inlineStr">
        <is>
          <t>Mumbai</t>
        </is>
      </c>
      <c r="J2698" s="5" t="inlineStr">
        <is>
          <t>Full-Time</t>
        </is>
      </c>
      <c r="K2698" s="7" t="n">
        <v>45474</v>
      </c>
      <c r="L2698" s="7" t="inlineStr"/>
      <c r="M2698" s="5" t="inlineStr">
        <is>
          <t>Yes</t>
        </is>
      </c>
      <c r="N2698" s="5" t="inlineStr"/>
      <c r="O2698" s="8" t="inlineStr">
        <is>
          <t>101000</t>
        </is>
      </c>
      <c r="P2698" s="5" t="inlineStr">
        <is>
          <t>5</t>
        </is>
      </c>
      <c r="Q2698" s="5" t="inlineStr">
        <is>
          <t>3</t>
        </is>
      </c>
      <c r="R2698" s="5" t="inlineStr">
        <is>
          <t>7</t>
        </is>
      </c>
      <c r="S2698" s="5" t="inlineStr">
        <is>
          <t>18</t>
        </is>
      </c>
      <c r="T2698" s="5" t="inlineStr">
        <is>
          <t>4</t>
        </is>
      </c>
      <c r="U2698" s="5">
        <f>IFS(C2698&lt;30,"Under 30",C2698&lt;40,"30-39",C2698&lt;50,"40-49",TRUE,"50+")</f>
        <v/>
      </c>
      <c r="V2698" s="5">
        <f>IFS(O2698&lt;60000,"Low (&lt;60k)",O2698&lt;100000,"Mid (60-100k)",TRUE,"High (100k+)")</f>
        <v/>
      </c>
      <c r="W2698" s="5">
        <f>IF(M2698="No","Attrited","Active")</f>
        <v/>
      </c>
    </row>
    <row r="2699">
      <c r="A2699" s="5" t="inlineStr">
        <is>
          <t>E02698</t>
        </is>
      </c>
      <c r="B2699" s="5" t="inlineStr">
        <is>
          <t>Female</t>
        </is>
      </c>
      <c r="C2699" s="6" t="inlineStr">
        <is>
          <t>27</t>
        </is>
      </c>
      <c r="D2699" s="5" t="inlineStr">
        <is>
          <t>Married</t>
        </is>
      </c>
      <c r="E2699" s="5" t="inlineStr">
        <is>
          <t>Master</t>
        </is>
      </c>
      <c r="F2699" s="5" t="inlineStr">
        <is>
          <t>IT</t>
        </is>
      </c>
      <c r="G2699" s="5" t="inlineStr">
        <is>
          <t>IT Support</t>
        </is>
      </c>
      <c r="H2699" s="5" t="inlineStr">
        <is>
          <t>1</t>
        </is>
      </c>
      <c r="I2699" s="5" t="inlineStr">
        <is>
          <t>Delhi</t>
        </is>
      </c>
      <c r="J2699" s="5" t="inlineStr">
        <is>
          <t>Full-Time</t>
        </is>
      </c>
      <c r="K2699" s="7" t="n">
        <v>46001</v>
      </c>
      <c r="L2699" s="7" t="inlineStr"/>
      <c r="M2699" s="5" t="inlineStr">
        <is>
          <t>Yes</t>
        </is>
      </c>
      <c r="N2699" s="5" t="inlineStr"/>
      <c r="O2699" s="8" t="inlineStr">
        <is>
          <t>108500</t>
        </is>
      </c>
      <c r="P2699" s="5" t="inlineStr">
        <is>
          <t>0</t>
        </is>
      </c>
      <c r="Q2699" s="5" t="inlineStr">
        <is>
          <t>4</t>
        </is>
      </c>
      <c r="R2699" s="5" t="inlineStr">
        <is>
          <t>7</t>
        </is>
      </c>
      <c r="S2699" s="5" t="inlineStr">
        <is>
          <t>1</t>
        </is>
      </c>
      <c r="T2699" s="5" t="inlineStr">
        <is>
          <t>2</t>
        </is>
      </c>
      <c r="U2699" s="5">
        <f>IFS(C2699&lt;30,"Under 30",C2699&lt;40,"30-39",C2699&lt;50,"40-49",TRUE,"50+")</f>
        <v/>
      </c>
      <c r="V2699" s="5">
        <f>IFS(O2699&lt;60000,"Low (&lt;60k)",O2699&lt;100000,"Mid (60-100k)",TRUE,"High (100k+)")</f>
        <v/>
      </c>
      <c r="W2699" s="5">
        <f>IF(M2699="No","Attrited","Active")</f>
        <v/>
      </c>
    </row>
    <row r="2700">
      <c r="A2700" s="5" t="inlineStr">
        <is>
          <t>E02699</t>
        </is>
      </c>
      <c r="B2700" s="5" t="inlineStr">
        <is>
          <t>Female</t>
        </is>
      </c>
      <c r="C2700" s="6" t="inlineStr">
        <is>
          <t>34</t>
        </is>
      </c>
      <c r="D2700" s="5" t="inlineStr">
        <is>
          <t>Single</t>
        </is>
      </c>
      <c r="E2700" s="5" t="inlineStr">
        <is>
          <t>PhD</t>
        </is>
      </c>
      <c r="F2700" s="5" t="inlineStr">
        <is>
          <t>Finance</t>
        </is>
      </c>
      <c r="G2700" s="5" t="inlineStr">
        <is>
          <t>Financial Analyst</t>
        </is>
      </c>
      <c r="H2700" s="5" t="inlineStr">
        <is>
          <t>1</t>
        </is>
      </c>
      <c r="I2700" s="5" t="inlineStr">
        <is>
          <t>Bengaluru</t>
        </is>
      </c>
      <c r="J2700" s="5" t="inlineStr">
        <is>
          <t>Full-Time</t>
        </is>
      </c>
      <c r="K2700" s="7" t="n">
        <v>43862</v>
      </c>
      <c r="L2700" s="7" t="inlineStr"/>
      <c r="M2700" s="5" t="inlineStr">
        <is>
          <t>Yes</t>
        </is>
      </c>
      <c r="N2700" s="5" t="inlineStr"/>
      <c r="O2700" s="8" t="inlineStr">
        <is>
          <t>76500</t>
        </is>
      </c>
      <c r="P2700" s="5" t="inlineStr">
        <is>
          <t>0</t>
        </is>
      </c>
      <c r="Q2700" s="5" t="inlineStr">
        <is>
          <t>5</t>
        </is>
      </c>
      <c r="R2700" s="5" t="inlineStr">
        <is>
          <t>6</t>
        </is>
      </c>
      <c r="S2700" s="5" t="inlineStr">
        <is>
          <t>72</t>
        </is>
      </c>
      <c r="T2700" s="5" t="inlineStr">
        <is>
          <t>0</t>
        </is>
      </c>
      <c r="U2700" s="5">
        <f>IFS(C2700&lt;30,"Under 30",C2700&lt;40,"30-39",C2700&lt;50,"40-49",TRUE,"50+")</f>
        <v/>
      </c>
      <c r="V2700" s="5">
        <f>IFS(O2700&lt;60000,"Low (&lt;60k)",O2700&lt;100000,"Mid (60-100k)",TRUE,"High (100k+)")</f>
        <v/>
      </c>
      <c r="W2700" s="5">
        <f>IF(M2700="No","Attrited","Active")</f>
        <v/>
      </c>
    </row>
    <row r="2701">
      <c r="A2701" s="5" t="inlineStr">
        <is>
          <t>E02700</t>
        </is>
      </c>
      <c r="B2701" s="5" t="inlineStr">
        <is>
          <t>Female</t>
        </is>
      </c>
      <c r="C2701" s="6" t="inlineStr">
        <is>
          <t>30</t>
        </is>
      </c>
      <c r="D2701" s="5" t="inlineStr">
        <is>
          <t>Married</t>
        </is>
      </c>
      <c r="E2701" s="5" t="inlineStr">
        <is>
          <t>Diploma</t>
        </is>
      </c>
      <c r="F2701" s="5" t="inlineStr">
        <is>
          <t>Marketing</t>
        </is>
      </c>
      <c r="G2701" s="5" t="inlineStr">
        <is>
          <t>SEO Specialist</t>
        </is>
      </c>
      <c r="H2701" s="5" t="inlineStr">
        <is>
          <t>1</t>
        </is>
      </c>
      <c r="I2701" s="5" t="inlineStr">
        <is>
          <t>Chennai</t>
        </is>
      </c>
      <c r="J2701" s="5" t="inlineStr">
        <is>
          <t>Full-Time</t>
        </is>
      </c>
      <c r="K2701" s="7" t="n">
        <v>44862</v>
      </c>
      <c r="L2701" s="7" t="inlineStr"/>
      <c r="M2701" s="5" t="inlineStr">
        <is>
          <t>Yes</t>
        </is>
      </c>
      <c r="N2701" s="5" t="inlineStr"/>
      <c r="O2701" s="8" t="inlineStr">
        <is>
          <t>80500</t>
        </is>
      </c>
      <c r="P2701" s="5" t="inlineStr">
        <is>
          <t>5</t>
        </is>
      </c>
      <c r="Q2701" s="5" t="inlineStr">
        <is>
          <t>3</t>
        </is>
      </c>
      <c r="R2701" s="5" t="inlineStr">
        <is>
          <t>7</t>
        </is>
      </c>
      <c r="S2701" s="5" t="inlineStr">
        <is>
          <t>38</t>
        </is>
      </c>
      <c r="T2701" s="5" t="inlineStr">
        <is>
          <t>10</t>
        </is>
      </c>
      <c r="U2701" s="5">
        <f>IFS(C2701&lt;30,"Under 30",C2701&lt;40,"30-39",C2701&lt;50,"40-49",TRUE,"50+")</f>
        <v/>
      </c>
      <c r="V2701" s="5">
        <f>IFS(O2701&lt;60000,"Low (&lt;60k)",O2701&lt;100000,"Mid (60-100k)",TRUE,"High (100k+)")</f>
        <v/>
      </c>
      <c r="W2701" s="5">
        <f>IF(M2701="No","Attrited","Active")</f>
        <v/>
      </c>
    </row>
    <row r="2702">
      <c r="A2702" s="5" t="inlineStr">
        <is>
          <t>E02701</t>
        </is>
      </c>
      <c r="B2702" s="5" t="inlineStr">
        <is>
          <t>Male</t>
        </is>
      </c>
      <c r="C2702" s="6" t="inlineStr">
        <is>
          <t>31</t>
        </is>
      </c>
      <c r="D2702" s="5" t="inlineStr">
        <is>
          <t>Single</t>
        </is>
      </c>
      <c r="E2702" s="5" t="inlineStr">
        <is>
          <t>High School</t>
        </is>
      </c>
      <c r="F2702" s="5" t="inlineStr">
        <is>
          <t>Customer Support</t>
        </is>
      </c>
      <c r="G2702" s="5" t="inlineStr">
        <is>
          <t>Support Agent</t>
        </is>
      </c>
      <c r="H2702" s="5" t="inlineStr">
        <is>
          <t>5</t>
        </is>
      </c>
      <c r="I2702" s="5" t="inlineStr">
        <is>
          <t>Hyderabad</t>
        </is>
      </c>
      <c r="J2702" s="5" t="inlineStr">
        <is>
          <t>Full-Time</t>
        </is>
      </c>
      <c r="K2702" s="7" t="n">
        <v>44177</v>
      </c>
      <c r="L2702" s="7" t="inlineStr"/>
      <c r="M2702" s="5" t="inlineStr">
        <is>
          <t>Yes</t>
        </is>
      </c>
      <c r="N2702" s="5" t="inlineStr"/>
      <c r="O2702" s="8" t="inlineStr">
        <is>
          <t>105000</t>
        </is>
      </c>
      <c r="P2702" s="5" t="inlineStr">
        <is>
          <t>0</t>
        </is>
      </c>
      <c r="Q2702" s="5" t="inlineStr">
        <is>
          <t>3</t>
        </is>
      </c>
      <c r="R2702" s="5" t="inlineStr">
        <is>
          <t>6</t>
        </is>
      </c>
      <c r="S2702" s="5" t="inlineStr">
        <is>
          <t>61</t>
        </is>
      </c>
      <c r="T2702" s="5" t="inlineStr">
        <is>
          <t>5</t>
        </is>
      </c>
      <c r="U2702" s="5">
        <f>IFS(C2702&lt;30,"Under 30",C2702&lt;40,"30-39",C2702&lt;50,"40-49",TRUE,"50+")</f>
        <v/>
      </c>
      <c r="V2702" s="5">
        <f>IFS(O2702&lt;60000,"Low (&lt;60k)",O2702&lt;100000,"Mid (60-100k)",TRUE,"High (100k+)")</f>
        <v/>
      </c>
      <c r="W2702" s="5">
        <f>IF(M2702="No","Attrited","Active")</f>
        <v/>
      </c>
    </row>
    <row r="2703">
      <c r="A2703" s="5" t="inlineStr">
        <is>
          <t>E02702</t>
        </is>
      </c>
      <c r="B2703" s="5" t="inlineStr">
        <is>
          <t>Male</t>
        </is>
      </c>
      <c r="C2703" s="6" t="inlineStr">
        <is>
          <t>39</t>
        </is>
      </c>
      <c r="D2703" s="5" t="inlineStr">
        <is>
          <t>Married</t>
        </is>
      </c>
      <c r="E2703" s="5" t="inlineStr">
        <is>
          <t>High School</t>
        </is>
      </c>
      <c r="F2703" s="5" t="inlineStr">
        <is>
          <t>Customer Support</t>
        </is>
      </c>
      <c r="G2703" s="5" t="inlineStr">
        <is>
          <t>Support Lead</t>
        </is>
      </c>
      <c r="H2703" s="5" t="inlineStr">
        <is>
          <t>4</t>
        </is>
      </c>
      <c r="I2703" s="5" t="inlineStr">
        <is>
          <t>Remote</t>
        </is>
      </c>
      <c r="J2703" s="5" t="inlineStr">
        <is>
          <t>Part-Time</t>
        </is>
      </c>
      <c r="K2703" s="7" t="n">
        <v>44063</v>
      </c>
      <c r="L2703" s="7" t="inlineStr"/>
      <c r="M2703" s="5" t="inlineStr">
        <is>
          <t>Yes</t>
        </is>
      </c>
      <c r="N2703" s="5" t="inlineStr"/>
      <c r="O2703" s="8" t="inlineStr">
        <is>
          <t>101000</t>
        </is>
      </c>
      <c r="P2703" s="5" t="inlineStr">
        <is>
          <t>0</t>
        </is>
      </c>
      <c r="Q2703" s="5" t="inlineStr">
        <is>
          <t>5</t>
        </is>
      </c>
      <c r="R2703" s="5" t="inlineStr">
        <is>
          <t>4</t>
        </is>
      </c>
      <c r="S2703" s="5" t="inlineStr">
        <is>
          <t>65</t>
        </is>
      </c>
      <c r="T2703" s="5" t="inlineStr">
        <is>
          <t>10</t>
        </is>
      </c>
      <c r="U2703" s="5">
        <f>IFS(C2703&lt;30,"Under 30",C2703&lt;40,"30-39",C2703&lt;50,"40-49",TRUE,"50+")</f>
        <v/>
      </c>
      <c r="V2703" s="5">
        <f>IFS(O2703&lt;60000,"Low (&lt;60k)",O2703&lt;100000,"Mid (60-100k)",TRUE,"High (100k+)")</f>
        <v/>
      </c>
      <c r="W2703" s="5">
        <f>IF(M2703="No","Attrited","Active")</f>
        <v/>
      </c>
    </row>
    <row r="2704">
      <c r="A2704" s="5" t="inlineStr">
        <is>
          <t>E02703</t>
        </is>
      </c>
      <c r="B2704" s="5" t="inlineStr">
        <is>
          <t>Male</t>
        </is>
      </c>
      <c r="C2704" s="6" t="inlineStr">
        <is>
          <t>39</t>
        </is>
      </c>
      <c r="D2704" s="5" t="inlineStr">
        <is>
          <t>Married</t>
        </is>
      </c>
      <c r="E2704" s="5" t="inlineStr">
        <is>
          <t>PhD</t>
        </is>
      </c>
      <c r="F2704" s="5" t="inlineStr">
        <is>
          <t>Marketing</t>
        </is>
      </c>
      <c r="G2704" s="5" t="inlineStr">
        <is>
          <t>Content Writer</t>
        </is>
      </c>
      <c r="H2704" s="5" t="inlineStr">
        <is>
          <t>4</t>
        </is>
      </c>
      <c r="I2704" s="5" t="inlineStr">
        <is>
          <t>Bengaluru</t>
        </is>
      </c>
      <c r="J2704" s="5" t="inlineStr">
        <is>
          <t>Full-Time</t>
        </is>
      </c>
      <c r="K2704" s="7" t="n">
        <v>44200</v>
      </c>
      <c r="L2704" s="7" t="inlineStr"/>
      <c r="M2704" s="5" t="inlineStr">
        <is>
          <t>Yes</t>
        </is>
      </c>
      <c r="N2704" s="5" t="inlineStr"/>
      <c r="O2704" s="8" t="inlineStr">
        <is>
          <t>122500</t>
        </is>
      </c>
      <c r="P2704" s="5" t="inlineStr">
        <is>
          <t>0</t>
        </is>
      </c>
      <c r="Q2704" s="5" t="inlineStr">
        <is>
          <t>5</t>
        </is>
      </c>
      <c r="R2704" s="5" t="inlineStr">
        <is>
          <t>6</t>
        </is>
      </c>
      <c r="S2704" s="5" t="inlineStr">
        <is>
          <t>60</t>
        </is>
      </c>
      <c r="T2704" s="5" t="inlineStr">
        <is>
          <t>6</t>
        </is>
      </c>
      <c r="U2704" s="5">
        <f>IFS(C2704&lt;30,"Under 30",C2704&lt;40,"30-39",C2704&lt;50,"40-49",TRUE,"50+")</f>
        <v/>
      </c>
      <c r="V2704" s="5">
        <f>IFS(O2704&lt;60000,"Low (&lt;60k)",O2704&lt;100000,"Mid (60-100k)",TRUE,"High (100k+)")</f>
        <v/>
      </c>
      <c r="W2704" s="5">
        <f>IF(M2704="No","Attrited","Active")</f>
        <v/>
      </c>
    </row>
    <row r="2705">
      <c r="A2705" s="5" t="inlineStr">
        <is>
          <t>E02704</t>
        </is>
      </c>
      <c r="B2705" s="5" t="inlineStr">
        <is>
          <t>Female</t>
        </is>
      </c>
      <c r="C2705" s="6" t="inlineStr">
        <is>
          <t>33</t>
        </is>
      </c>
      <c r="D2705" s="5" t="inlineStr">
        <is>
          <t>Married</t>
        </is>
      </c>
      <c r="E2705" s="5" t="inlineStr">
        <is>
          <t>Bachelor</t>
        </is>
      </c>
      <c r="F2705" s="5" t="inlineStr">
        <is>
          <t>IT</t>
        </is>
      </c>
      <c r="G2705" s="5" t="inlineStr">
        <is>
          <t>Data Analyst</t>
        </is>
      </c>
      <c r="H2705" s="5" t="inlineStr">
        <is>
          <t>1</t>
        </is>
      </c>
      <c r="I2705" s="5" t="inlineStr">
        <is>
          <t>Bengaluru</t>
        </is>
      </c>
      <c r="J2705" s="5" t="inlineStr">
        <is>
          <t>Full-Time</t>
        </is>
      </c>
      <c r="K2705" s="7" t="n">
        <v>44398</v>
      </c>
      <c r="L2705" s="7" t="inlineStr"/>
      <c r="M2705" s="5" t="inlineStr">
        <is>
          <t>Yes</t>
        </is>
      </c>
      <c r="N2705" s="5" t="inlineStr"/>
      <c r="O2705" s="8" t="inlineStr">
        <is>
          <t>109500</t>
        </is>
      </c>
      <c r="P2705" s="5" t="inlineStr">
        <is>
          <t>10</t>
        </is>
      </c>
      <c r="Q2705" s="5" t="inlineStr">
        <is>
          <t>5</t>
        </is>
      </c>
      <c r="R2705" s="5" t="inlineStr">
        <is>
          <t>6</t>
        </is>
      </c>
      <c r="S2705" s="5" t="inlineStr">
        <is>
          <t>54</t>
        </is>
      </c>
      <c r="T2705" s="5" t="inlineStr">
        <is>
          <t>8</t>
        </is>
      </c>
      <c r="U2705" s="5">
        <f>IFS(C2705&lt;30,"Under 30",C2705&lt;40,"30-39",C2705&lt;50,"40-49",TRUE,"50+")</f>
        <v/>
      </c>
      <c r="V2705" s="5">
        <f>IFS(O2705&lt;60000,"Low (&lt;60k)",O2705&lt;100000,"Mid (60-100k)",TRUE,"High (100k+)")</f>
        <v/>
      </c>
      <c r="W2705" s="5">
        <f>IF(M2705="No","Attrited","Active")</f>
        <v/>
      </c>
    </row>
    <row r="2706">
      <c r="A2706" s="5" t="inlineStr">
        <is>
          <t>E02705</t>
        </is>
      </c>
      <c r="B2706" s="5" t="inlineStr">
        <is>
          <t>Female</t>
        </is>
      </c>
      <c r="C2706" s="6" t="inlineStr">
        <is>
          <t>25</t>
        </is>
      </c>
      <c r="D2706" s="5" t="inlineStr">
        <is>
          <t>Married</t>
        </is>
      </c>
      <c r="E2706" s="5" t="inlineStr">
        <is>
          <t>Diploma</t>
        </is>
      </c>
      <c r="F2706" s="5" t="inlineStr">
        <is>
          <t>Customer Support</t>
        </is>
      </c>
      <c r="G2706" s="5" t="inlineStr">
        <is>
          <t>Escalation Specialist</t>
        </is>
      </c>
      <c r="H2706" s="5" t="inlineStr">
        <is>
          <t>1</t>
        </is>
      </c>
      <c r="I2706" s="5" t="inlineStr">
        <is>
          <t>Bengaluru</t>
        </is>
      </c>
      <c r="J2706" s="5" t="inlineStr">
        <is>
          <t>Full-Time</t>
        </is>
      </c>
      <c r="K2706" s="7" t="n">
        <v>44261</v>
      </c>
      <c r="L2706" s="7" t="n">
        <v>44307</v>
      </c>
      <c r="M2706" s="5" t="inlineStr">
        <is>
          <t>No</t>
        </is>
      </c>
      <c r="N2706" s="5" t="inlineStr">
        <is>
          <t>Layoff</t>
        </is>
      </c>
      <c r="O2706" s="8" t="inlineStr">
        <is>
          <t>64500</t>
        </is>
      </c>
      <c r="P2706" s="5" t="inlineStr">
        <is>
          <t>0</t>
        </is>
      </c>
      <c r="Q2706" s="5" t="inlineStr">
        <is>
          <t>1</t>
        </is>
      </c>
      <c r="R2706" s="5" t="inlineStr">
        <is>
          <t>4</t>
        </is>
      </c>
      <c r="S2706" s="5" t="inlineStr">
        <is>
          <t>1</t>
        </is>
      </c>
      <c r="T2706" s="5" t="inlineStr">
        <is>
          <t>10</t>
        </is>
      </c>
      <c r="U2706" s="5">
        <f>IFS(C2706&lt;30,"Under 30",C2706&lt;40,"30-39",C2706&lt;50,"40-49",TRUE,"50+")</f>
        <v/>
      </c>
      <c r="V2706" s="5">
        <f>IFS(O2706&lt;60000,"Low (&lt;60k)",O2706&lt;100000,"Mid (60-100k)",TRUE,"High (100k+)")</f>
        <v/>
      </c>
      <c r="W2706" s="5">
        <f>IF(M2706="No","Attrited","Active")</f>
        <v/>
      </c>
    </row>
    <row r="2707">
      <c r="A2707" s="5" t="inlineStr">
        <is>
          <t>E02706</t>
        </is>
      </c>
      <c r="B2707" s="5" t="inlineStr">
        <is>
          <t>Female</t>
        </is>
      </c>
      <c r="C2707" s="6" t="inlineStr">
        <is>
          <t>42</t>
        </is>
      </c>
      <c r="D2707" s="5" t="inlineStr">
        <is>
          <t>Married</t>
        </is>
      </c>
      <c r="E2707" s="5" t="inlineStr">
        <is>
          <t>PhD</t>
        </is>
      </c>
      <c r="F2707" s="5" t="inlineStr">
        <is>
          <t>Operations</t>
        </is>
      </c>
      <c r="G2707" s="5" t="inlineStr">
        <is>
          <t>Operations Analyst</t>
        </is>
      </c>
      <c r="H2707" s="5" t="inlineStr">
        <is>
          <t>6</t>
        </is>
      </c>
      <c r="I2707" s="5" t="inlineStr">
        <is>
          <t>Remote</t>
        </is>
      </c>
      <c r="J2707" s="5" t="inlineStr">
        <is>
          <t>Full-Time</t>
        </is>
      </c>
      <c r="K2707" s="7" t="n">
        <v>44190</v>
      </c>
      <c r="L2707" s="7" t="inlineStr"/>
      <c r="M2707" s="5" t="inlineStr">
        <is>
          <t>Yes</t>
        </is>
      </c>
      <c r="N2707" s="5" t="inlineStr"/>
      <c r="O2707" s="8" t="inlineStr">
        <is>
          <t>122000</t>
        </is>
      </c>
      <c r="P2707" s="5" t="inlineStr">
        <is>
          <t>15</t>
        </is>
      </c>
      <c r="Q2707" s="5" t="inlineStr">
        <is>
          <t>3</t>
        </is>
      </c>
      <c r="R2707" s="5" t="inlineStr">
        <is>
          <t>5</t>
        </is>
      </c>
      <c r="S2707" s="5" t="inlineStr">
        <is>
          <t>61</t>
        </is>
      </c>
      <c r="T2707" s="5" t="inlineStr">
        <is>
          <t>3</t>
        </is>
      </c>
      <c r="U2707" s="5">
        <f>IFS(C2707&lt;30,"Under 30",C2707&lt;40,"30-39",C2707&lt;50,"40-49",TRUE,"50+")</f>
        <v/>
      </c>
      <c r="V2707" s="5">
        <f>IFS(O2707&lt;60000,"Low (&lt;60k)",O2707&lt;100000,"Mid (60-100k)",TRUE,"High (100k+)")</f>
        <v/>
      </c>
      <c r="W2707" s="5">
        <f>IF(M2707="No","Attrited","Active")</f>
        <v/>
      </c>
    </row>
    <row r="2708">
      <c r="A2708" s="5" t="inlineStr">
        <is>
          <t>E02707</t>
        </is>
      </c>
      <c r="B2708" s="5" t="inlineStr">
        <is>
          <t>Female</t>
        </is>
      </c>
      <c r="C2708" s="6" t="inlineStr">
        <is>
          <t>30</t>
        </is>
      </c>
      <c r="D2708" s="5" t="inlineStr">
        <is>
          <t>Married</t>
        </is>
      </c>
      <c r="E2708" s="5" t="inlineStr">
        <is>
          <t>Master</t>
        </is>
      </c>
      <c r="F2708" s="5" t="inlineStr">
        <is>
          <t>Operations</t>
        </is>
      </c>
      <c r="G2708" s="5" t="inlineStr">
        <is>
          <t>Operations Analyst</t>
        </is>
      </c>
      <c r="H2708" s="5" t="inlineStr">
        <is>
          <t>1</t>
        </is>
      </c>
      <c r="I2708" s="5" t="inlineStr">
        <is>
          <t>Remote</t>
        </is>
      </c>
      <c r="J2708" s="5" t="inlineStr">
        <is>
          <t>Part-Time</t>
        </is>
      </c>
      <c r="K2708" s="7" t="n">
        <v>45023</v>
      </c>
      <c r="L2708" s="7" t="inlineStr"/>
      <c r="M2708" s="5" t="inlineStr">
        <is>
          <t>Yes</t>
        </is>
      </c>
      <c r="N2708" s="5" t="inlineStr"/>
      <c r="O2708" s="8" t="inlineStr">
        <is>
          <t>60500</t>
        </is>
      </c>
      <c r="P2708" s="5" t="inlineStr">
        <is>
          <t>5</t>
        </is>
      </c>
      <c r="Q2708" s="5" t="inlineStr">
        <is>
          <t>3</t>
        </is>
      </c>
      <c r="R2708" s="5" t="inlineStr">
        <is>
          <t>10</t>
        </is>
      </c>
      <c r="S2708" s="5" t="inlineStr">
        <is>
          <t>33</t>
        </is>
      </c>
      <c r="T2708" s="5" t="inlineStr">
        <is>
          <t>3</t>
        </is>
      </c>
      <c r="U2708" s="5">
        <f>IFS(C2708&lt;30,"Under 30",C2708&lt;40,"30-39",C2708&lt;50,"40-49",TRUE,"50+")</f>
        <v/>
      </c>
      <c r="V2708" s="5">
        <f>IFS(O2708&lt;60000,"Low (&lt;60k)",O2708&lt;100000,"Mid (60-100k)",TRUE,"High (100k+)")</f>
        <v/>
      </c>
      <c r="W2708" s="5">
        <f>IF(M2708="No","Attrited","Active")</f>
        <v/>
      </c>
    </row>
    <row r="2709">
      <c r="A2709" s="5" t="inlineStr">
        <is>
          <t>E02708</t>
        </is>
      </c>
      <c r="B2709" s="5" t="inlineStr">
        <is>
          <t>Female</t>
        </is>
      </c>
      <c r="C2709" s="6" t="inlineStr">
        <is>
          <t>34</t>
        </is>
      </c>
      <c r="D2709" s="5" t="inlineStr">
        <is>
          <t>Single</t>
        </is>
      </c>
      <c r="E2709" s="5" t="inlineStr">
        <is>
          <t>Master</t>
        </is>
      </c>
      <c r="F2709" s="5" t="inlineStr">
        <is>
          <t>Customer Support</t>
        </is>
      </c>
      <c r="G2709" s="5" t="inlineStr">
        <is>
          <t>Support Lead</t>
        </is>
      </c>
      <c r="H2709" s="5" t="inlineStr">
        <is>
          <t>4</t>
        </is>
      </c>
      <c r="I2709" s="5" t="inlineStr">
        <is>
          <t>Delhi</t>
        </is>
      </c>
      <c r="J2709" s="5" t="inlineStr">
        <is>
          <t>Full-Time</t>
        </is>
      </c>
      <c r="K2709" s="7" t="n">
        <v>45754</v>
      </c>
      <c r="L2709" s="7" t="inlineStr"/>
      <c r="M2709" s="5" t="inlineStr">
        <is>
          <t>Yes</t>
        </is>
      </c>
      <c r="N2709" s="5" t="inlineStr"/>
      <c r="O2709" s="8" t="inlineStr">
        <is>
          <t>74500</t>
        </is>
      </c>
      <c r="P2709" s="5" t="inlineStr">
        <is>
          <t>5</t>
        </is>
      </c>
      <c r="Q2709" s="5" t="inlineStr">
        <is>
          <t>4</t>
        </is>
      </c>
      <c r="R2709" s="5" t="inlineStr">
        <is>
          <t>3</t>
        </is>
      </c>
      <c r="S2709" s="5" t="inlineStr">
        <is>
          <t>8</t>
        </is>
      </c>
      <c r="T2709" s="5" t="inlineStr">
        <is>
          <t>0</t>
        </is>
      </c>
      <c r="U2709" s="5">
        <f>IFS(C2709&lt;30,"Under 30",C2709&lt;40,"30-39",C2709&lt;50,"40-49",TRUE,"50+")</f>
        <v/>
      </c>
      <c r="V2709" s="5">
        <f>IFS(O2709&lt;60000,"Low (&lt;60k)",O2709&lt;100000,"Mid (60-100k)",TRUE,"High (100k+)")</f>
        <v/>
      </c>
      <c r="W2709" s="5">
        <f>IF(M2709="No","Attrited","Active")</f>
        <v/>
      </c>
    </row>
    <row r="2710">
      <c r="A2710" s="5" t="inlineStr">
        <is>
          <t>E02709</t>
        </is>
      </c>
      <c r="B2710" s="5" t="inlineStr">
        <is>
          <t>Male</t>
        </is>
      </c>
      <c r="C2710" s="6" t="inlineStr">
        <is>
          <t>33</t>
        </is>
      </c>
      <c r="D2710" s="5" t="inlineStr">
        <is>
          <t>Married</t>
        </is>
      </c>
      <c r="E2710" s="5" t="inlineStr">
        <is>
          <t>Master</t>
        </is>
      </c>
      <c r="F2710" s="5" t="inlineStr">
        <is>
          <t>Finance</t>
        </is>
      </c>
      <c r="G2710" s="5" t="inlineStr">
        <is>
          <t>Financial Analyst</t>
        </is>
      </c>
      <c r="H2710" s="5" t="inlineStr">
        <is>
          <t>4</t>
        </is>
      </c>
      <c r="I2710" s="5" t="inlineStr">
        <is>
          <t>Remote</t>
        </is>
      </c>
      <c r="J2710" s="5" t="inlineStr">
        <is>
          <t>Full-Time</t>
        </is>
      </c>
      <c r="K2710" s="7" t="n">
        <v>45492</v>
      </c>
      <c r="L2710" s="7" t="inlineStr"/>
      <c r="M2710" s="5" t="inlineStr">
        <is>
          <t>Yes</t>
        </is>
      </c>
      <c r="N2710" s="5" t="inlineStr"/>
      <c r="O2710" s="8" t="inlineStr">
        <is>
          <t>142500</t>
        </is>
      </c>
      <c r="P2710" s="5" t="inlineStr">
        <is>
          <t>0</t>
        </is>
      </c>
      <c r="Q2710" s="5" t="inlineStr">
        <is>
          <t>4</t>
        </is>
      </c>
      <c r="R2710" s="5" t="inlineStr">
        <is>
          <t>8</t>
        </is>
      </c>
      <c r="S2710" s="5" t="inlineStr">
        <is>
          <t>17</t>
        </is>
      </c>
      <c r="T2710" s="5" t="inlineStr">
        <is>
          <t>4</t>
        </is>
      </c>
      <c r="U2710" s="5">
        <f>IFS(C2710&lt;30,"Under 30",C2710&lt;40,"30-39",C2710&lt;50,"40-49",TRUE,"50+")</f>
        <v/>
      </c>
      <c r="V2710" s="5">
        <f>IFS(O2710&lt;60000,"Low (&lt;60k)",O2710&lt;100000,"Mid (60-100k)",TRUE,"High (100k+)")</f>
        <v/>
      </c>
      <c r="W2710" s="5">
        <f>IF(M2710="No","Attrited","Active")</f>
        <v/>
      </c>
    </row>
    <row r="2711">
      <c r="A2711" s="5" t="inlineStr">
        <is>
          <t>E02710</t>
        </is>
      </c>
      <c r="B2711" s="5" t="inlineStr">
        <is>
          <t>Male</t>
        </is>
      </c>
      <c r="C2711" s="6" t="inlineStr">
        <is>
          <t>27</t>
        </is>
      </c>
      <c r="D2711" s="5" t="inlineStr">
        <is>
          <t>Married</t>
        </is>
      </c>
      <c r="E2711" s="5" t="inlineStr">
        <is>
          <t>Diploma</t>
        </is>
      </c>
      <c r="F2711" s="5" t="inlineStr">
        <is>
          <t>Finance</t>
        </is>
      </c>
      <c r="G2711" s="5" t="inlineStr">
        <is>
          <t>Accountant</t>
        </is>
      </c>
      <c r="H2711" s="5" t="inlineStr">
        <is>
          <t>3</t>
        </is>
      </c>
      <c r="I2711" s="5" t="inlineStr">
        <is>
          <t>Remote</t>
        </is>
      </c>
      <c r="J2711" s="5" t="inlineStr">
        <is>
          <t>Full-Time</t>
        </is>
      </c>
      <c r="K2711" s="7" t="n">
        <v>45017</v>
      </c>
      <c r="L2711" s="7" t="inlineStr"/>
      <c r="M2711" s="5" t="inlineStr">
        <is>
          <t>Yes</t>
        </is>
      </c>
      <c r="N2711" s="5" t="inlineStr"/>
      <c r="O2711" s="8" t="inlineStr">
        <is>
          <t>138500</t>
        </is>
      </c>
      <c r="P2711" s="5" t="inlineStr">
        <is>
          <t>5</t>
        </is>
      </c>
      <c r="Q2711" s="5" t="inlineStr">
        <is>
          <t>5</t>
        </is>
      </c>
      <c r="R2711" s="5" t="inlineStr">
        <is>
          <t>5</t>
        </is>
      </c>
      <c r="S2711" s="5" t="inlineStr">
        <is>
          <t>33</t>
        </is>
      </c>
      <c r="T2711" s="5" t="inlineStr">
        <is>
          <t>8</t>
        </is>
      </c>
      <c r="U2711" s="5">
        <f>IFS(C2711&lt;30,"Under 30",C2711&lt;40,"30-39",C2711&lt;50,"40-49",TRUE,"50+")</f>
        <v/>
      </c>
      <c r="V2711" s="5">
        <f>IFS(O2711&lt;60000,"Low (&lt;60k)",O2711&lt;100000,"Mid (60-100k)",TRUE,"High (100k+)")</f>
        <v/>
      </c>
      <c r="W2711" s="5">
        <f>IF(M2711="No","Attrited","Active")</f>
        <v/>
      </c>
    </row>
    <row r="2712">
      <c r="A2712" s="5" t="inlineStr">
        <is>
          <t>E02711</t>
        </is>
      </c>
      <c r="B2712" s="5" t="inlineStr">
        <is>
          <t>Female</t>
        </is>
      </c>
      <c r="C2712" s="6" t="inlineStr">
        <is>
          <t>44</t>
        </is>
      </c>
      <c r="D2712" s="5" t="inlineStr">
        <is>
          <t>Married</t>
        </is>
      </c>
      <c r="E2712" s="5" t="inlineStr">
        <is>
          <t>Master</t>
        </is>
      </c>
      <c r="F2712" s="5" t="inlineStr">
        <is>
          <t>Sales</t>
        </is>
      </c>
      <c r="G2712" s="5" t="inlineStr">
        <is>
          <t>Account Executive</t>
        </is>
      </c>
      <c r="H2712" s="5" t="inlineStr">
        <is>
          <t>7</t>
        </is>
      </c>
      <c r="I2712" s="5" t="inlineStr">
        <is>
          <t>Hyderabad</t>
        </is>
      </c>
      <c r="J2712" s="5" t="inlineStr">
        <is>
          <t>Full-Time</t>
        </is>
      </c>
      <c r="K2712" s="7" t="n">
        <v>45981</v>
      </c>
      <c r="L2712" s="7" t="inlineStr"/>
      <c r="M2712" s="5" t="inlineStr">
        <is>
          <t>Yes</t>
        </is>
      </c>
      <c r="N2712" s="5" t="inlineStr"/>
      <c r="O2712" s="8" t="inlineStr">
        <is>
          <t>195500</t>
        </is>
      </c>
      <c r="P2712" s="5" t="inlineStr">
        <is>
          <t>10</t>
        </is>
      </c>
      <c r="Q2712" s="5" t="inlineStr">
        <is>
          <t>4</t>
        </is>
      </c>
      <c r="R2712" s="5" t="inlineStr">
        <is>
          <t>5</t>
        </is>
      </c>
      <c r="S2712" s="5" t="inlineStr">
        <is>
          <t>1</t>
        </is>
      </c>
      <c r="T2712" s="5" t="inlineStr">
        <is>
          <t>5</t>
        </is>
      </c>
      <c r="U2712" s="5">
        <f>IFS(C2712&lt;30,"Under 30",C2712&lt;40,"30-39",C2712&lt;50,"40-49",TRUE,"50+")</f>
        <v/>
      </c>
      <c r="V2712" s="5">
        <f>IFS(O2712&lt;60000,"Low (&lt;60k)",O2712&lt;100000,"Mid (60-100k)",TRUE,"High (100k+)")</f>
        <v/>
      </c>
      <c r="W2712" s="5">
        <f>IF(M2712="No","Attrited","Active")</f>
        <v/>
      </c>
    </row>
    <row r="2713">
      <c r="A2713" s="5" t="inlineStr">
        <is>
          <t>E02712</t>
        </is>
      </c>
      <c r="B2713" s="5" t="inlineStr">
        <is>
          <t>Female</t>
        </is>
      </c>
      <c r="C2713" s="6" t="inlineStr">
        <is>
          <t>44</t>
        </is>
      </c>
      <c r="D2713" s="5" t="inlineStr">
        <is>
          <t>Married</t>
        </is>
      </c>
      <c r="E2713" s="5" t="inlineStr">
        <is>
          <t>High School</t>
        </is>
      </c>
      <c r="F2713" s="5" t="inlineStr">
        <is>
          <t>Finance</t>
        </is>
      </c>
      <c r="G2713" s="5" t="inlineStr">
        <is>
          <t>Credit Analyst</t>
        </is>
      </c>
      <c r="H2713" s="5" t="inlineStr">
        <is>
          <t>6</t>
        </is>
      </c>
      <c r="I2713" s="5" t="inlineStr">
        <is>
          <t>Mumbai</t>
        </is>
      </c>
      <c r="J2713" s="5" t="inlineStr">
        <is>
          <t>Full-Time</t>
        </is>
      </c>
      <c r="K2713" s="7" t="n">
        <v>45365</v>
      </c>
      <c r="L2713" s="7" t="inlineStr"/>
      <c r="M2713" s="5" t="inlineStr">
        <is>
          <t>Yes</t>
        </is>
      </c>
      <c r="N2713" s="5" t="inlineStr"/>
      <c r="O2713" s="8" t="inlineStr">
        <is>
          <t>111500</t>
        </is>
      </c>
      <c r="P2713" s="5" t="inlineStr">
        <is>
          <t>20</t>
        </is>
      </c>
      <c r="Q2713" s="5" t="inlineStr">
        <is>
          <t>3</t>
        </is>
      </c>
      <c r="R2713" s="5" t="inlineStr">
        <is>
          <t>7</t>
        </is>
      </c>
      <c r="S2713" s="5" t="inlineStr">
        <is>
          <t>21</t>
        </is>
      </c>
      <c r="T2713" s="5" t="inlineStr">
        <is>
          <t>5</t>
        </is>
      </c>
      <c r="U2713" s="5">
        <f>IFS(C2713&lt;30,"Under 30",C2713&lt;40,"30-39",C2713&lt;50,"40-49",TRUE,"50+")</f>
        <v/>
      </c>
      <c r="V2713" s="5">
        <f>IFS(O2713&lt;60000,"Low (&lt;60k)",O2713&lt;100000,"Mid (60-100k)",TRUE,"High (100k+)")</f>
        <v/>
      </c>
      <c r="W2713" s="5">
        <f>IF(M2713="No","Attrited","Active")</f>
        <v/>
      </c>
    </row>
    <row r="2714">
      <c r="A2714" s="5" t="inlineStr">
        <is>
          <t>E02713</t>
        </is>
      </c>
      <c r="B2714" s="5" t="inlineStr">
        <is>
          <t>Female</t>
        </is>
      </c>
      <c r="C2714" s="6" t="inlineStr">
        <is>
          <t>28</t>
        </is>
      </c>
      <c r="D2714" s="5" t="inlineStr">
        <is>
          <t>Married</t>
        </is>
      </c>
      <c r="E2714" s="5" t="inlineStr">
        <is>
          <t>PhD</t>
        </is>
      </c>
      <c r="F2714" s="5" t="inlineStr">
        <is>
          <t>Sales</t>
        </is>
      </c>
      <c r="G2714" s="5" t="inlineStr">
        <is>
          <t>Account Executive</t>
        </is>
      </c>
      <c r="H2714" s="5" t="inlineStr">
        <is>
          <t>1</t>
        </is>
      </c>
      <c r="I2714" s="5" t="inlineStr">
        <is>
          <t>Delhi</t>
        </is>
      </c>
      <c r="J2714" s="5" t="inlineStr">
        <is>
          <t>Full-Time</t>
        </is>
      </c>
      <c r="K2714" s="7" t="n">
        <v>44328</v>
      </c>
      <c r="L2714" s="7" t="inlineStr"/>
      <c r="M2714" s="5" t="inlineStr">
        <is>
          <t>Yes</t>
        </is>
      </c>
      <c r="N2714" s="5" t="inlineStr"/>
      <c r="O2714" s="8" t="inlineStr">
        <is>
          <t>70500</t>
        </is>
      </c>
      <c r="P2714" s="5" t="inlineStr">
        <is>
          <t>0</t>
        </is>
      </c>
      <c r="Q2714" s="5" t="inlineStr">
        <is>
          <t>3</t>
        </is>
      </c>
      <c r="R2714" s="5" t="inlineStr">
        <is>
          <t>6</t>
        </is>
      </c>
      <c r="S2714" s="5" t="inlineStr">
        <is>
          <t>56</t>
        </is>
      </c>
      <c r="T2714" s="5" t="inlineStr">
        <is>
          <t>0</t>
        </is>
      </c>
      <c r="U2714" s="5">
        <f>IFS(C2714&lt;30,"Under 30",C2714&lt;40,"30-39",C2714&lt;50,"40-49",TRUE,"50+")</f>
        <v/>
      </c>
      <c r="V2714" s="5">
        <f>IFS(O2714&lt;60000,"Low (&lt;60k)",O2714&lt;100000,"Mid (60-100k)",TRUE,"High (100k+)")</f>
        <v/>
      </c>
      <c r="W2714" s="5">
        <f>IF(M2714="No","Attrited","Active")</f>
        <v/>
      </c>
    </row>
    <row r="2715">
      <c r="A2715" s="5" t="inlineStr">
        <is>
          <t>E02714</t>
        </is>
      </c>
      <c r="B2715" s="5" t="inlineStr">
        <is>
          <t>Male</t>
        </is>
      </c>
      <c r="C2715" s="6" t="inlineStr">
        <is>
          <t>25</t>
        </is>
      </c>
      <c r="D2715" s="5" t="inlineStr">
        <is>
          <t>Single</t>
        </is>
      </c>
      <c r="E2715" s="5" t="inlineStr">
        <is>
          <t>Master</t>
        </is>
      </c>
      <c r="F2715" s="5" t="inlineStr">
        <is>
          <t>Finance</t>
        </is>
      </c>
      <c r="G2715" s="5" t="inlineStr">
        <is>
          <t>Accountant</t>
        </is>
      </c>
      <c r="H2715" s="5" t="inlineStr">
        <is>
          <t>1</t>
        </is>
      </c>
      <c r="I2715" s="5" t="inlineStr">
        <is>
          <t>Hyderabad</t>
        </is>
      </c>
      <c r="J2715" s="5" t="inlineStr">
        <is>
          <t>Full-Time</t>
        </is>
      </c>
      <c r="K2715" s="7" t="n">
        <v>45902</v>
      </c>
      <c r="L2715" s="7" t="n">
        <v>45950</v>
      </c>
      <c r="M2715" s="5" t="inlineStr">
        <is>
          <t>No</t>
        </is>
      </c>
      <c r="N2715" s="5" t="inlineStr">
        <is>
          <t>Performance / Termination</t>
        </is>
      </c>
      <c r="O2715" s="8" t="inlineStr">
        <is>
          <t>69500</t>
        </is>
      </c>
      <c r="P2715" s="5" t="inlineStr">
        <is>
          <t>0</t>
        </is>
      </c>
      <c r="Q2715" s="5" t="inlineStr">
        <is>
          <t>3</t>
        </is>
      </c>
      <c r="R2715" s="5" t="inlineStr">
        <is>
          <t>4</t>
        </is>
      </c>
      <c r="S2715" s="5" t="inlineStr">
        <is>
          <t>1</t>
        </is>
      </c>
      <c r="T2715" s="5" t="inlineStr">
        <is>
          <t>5</t>
        </is>
      </c>
      <c r="U2715" s="5">
        <f>IFS(C2715&lt;30,"Under 30",C2715&lt;40,"30-39",C2715&lt;50,"40-49",TRUE,"50+")</f>
        <v/>
      </c>
      <c r="V2715" s="5">
        <f>IFS(O2715&lt;60000,"Low (&lt;60k)",O2715&lt;100000,"Mid (60-100k)",TRUE,"High (100k+)")</f>
        <v/>
      </c>
      <c r="W2715" s="5">
        <f>IF(M2715="No","Attrited","Active")</f>
        <v/>
      </c>
    </row>
    <row r="2716">
      <c r="A2716" s="5" t="inlineStr">
        <is>
          <t>E02715</t>
        </is>
      </c>
      <c r="B2716" s="5" t="inlineStr">
        <is>
          <t>Male</t>
        </is>
      </c>
      <c r="C2716" s="6" t="inlineStr">
        <is>
          <t>33</t>
        </is>
      </c>
      <c r="D2716" s="5" t="inlineStr">
        <is>
          <t>Single</t>
        </is>
      </c>
      <c r="E2716" s="5" t="inlineStr">
        <is>
          <t>PhD</t>
        </is>
      </c>
      <c r="F2716" s="5" t="inlineStr">
        <is>
          <t>IT</t>
        </is>
      </c>
      <c r="G2716" s="5" t="inlineStr">
        <is>
          <t>DevOps Engineer</t>
        </is>
      </c>
      <c r="H2716" s="5" t="inlineStr">
        <is>
          <t>1</t>
        </is>
      </c>
      <c r="I2716" s="5" t="inlineStr">
        <is>
          <t>Chennai</t>
        </is>
      </c>
      <c r="J2716" s="5" t="inlineStr">
        <is>
          <t>Full-Time</t>
        </is>
      </c>
      <c r="K2716" s="7" t="n">
        <v>45174</v>
      </c>
      <c r="L2716" s="7" t="inlineStr"/>
      <c r="M2716" s="5" t="inlineStr">
        <is>
          <t>Yes</t>
        </is>
      </c>
      <c r="N2716" s="5" t="inlineStr"/>
      <c r="O2716" s="8" t="inlineStr">
        <is>
          <t>125500</t>
        </is>
      </c>
      <c r="P2716" s="5" t="inlineStr">
        <is>
          <t>10</t>
        </is>
      </c>
      <c r="Q2716" s="5" t="inlineStr">
        <is>
          <t>4</t>
        </is>
      </c>
      <c r="R2716" s="5" t="inlineStr">
        <is>
          <t>6</t>
        </is>
      </c>
      <c r="S2716" s="5" t="inlineStr">
        <is>
          <t>28</t>
        </is>
      </c>
      <c r="T2716" s="5" t="inlineStr">
        <is>
          <t>0</t>
        </is>
      </c>
      <c r="U2716" s="5">
        <f>IFS(C2716&lt;30,"Under 30",C2716&lt;40,"30-39",C2716&lt;50,"40-49",TRUE,"50+")</f>
        <v/>
      </c>
      <c r="V2716" s="5">
        <f>IFS(O2716&lt;60000,"Low (&lt;60k)",O2716&lt;100000,"Mid (60-100k)",TRUE,"High (100k+)")</f>
        <v/>
      </c>
      <c r="W2716" s="5">
        <f>IF(M2716="No","Attrited","Active")</f>
        <v/>
      </c>
    </row>
    <row r="2717">
      <c r="A2717" s="5" t="inlineStr">
        <is>
          <t>E02716</t>
        </is>
      </c>
      <c r="B2717" s="5" t="inlineStr">
        <is>
          <t>Male</t>
        </is>
      </c>
      <c r="C2717" s="6" t="inlineStr">
        <is>
          <t>29</t>
        </is>
      </c>
      <c r="D2717" s="5" t="inlineStr">
        <is>
          <t>Single</t>
        </is>
      </c>
      <c r="E2717" s="5" t="inlineStr">
        <is>
          <t>Master</t>
        </is>
      </c>
      <c r="F2717" s="5" t="inlineStr">
        <is>
          <t>Research &amp; Development</t>
        </is>
      </c>
      <c r="G2717" s="5" t="inlineStr">
        <is>
          <t>Data Scientist</t>
        </is>
      </c>
      <c r="H2717" s="5" t="inlineStr">
        <is>
          <t>2</t>
        </is>
      </c>
      <c r="I2717" s="5" t="inlineStr">
        <is>
          <t>Chennai</t>
        </is>
      </c>
      <c r="J2717" s="5" t="inlineStr">
        <is>
          <t>Full-Time</t>
        </is>
      </c>
      <c r="K2717" s="7" t="n">
        <v>44327</v>
      </c>
      <c r="L2717" s="7" t="n">
        <v>44366</v>
      </c>
      <c r="M2717" s="5" t="inlineStr">
        <is>
          <t>No</t>
        </is>
      </c>
      <c r="N2717" s="5" t="inlineStr">
        <is>
          <t>Retirement</t>
        </is>
      </c>
      <c r="O2717" s="8" t="inlineStr">
        <is>
          <t>174500</t>
        </is>
      </c>
      <c r="P2717" s="5" t="inlineStr">
        <is>
          <t>20</t>
        </is>
      </c>
      <c r="Q2717" s="5" t="inlineStr">
        <is>
          <t>3</t>
        </is>
      </c>
      <c r="R2717" s="5" t="inlineStr">
        <is>
          <t>8</t>
        </is>
      </c>
      <c r="S2717" s="5" t="inlineStr">
        <is>
          <t>1</t>
        </is>
      </c>
      <c r="T2717" s="5" t="inlineStr">
        <is>
          <t>4</t>
        </is>
      </c>
      <c r="U2717" s="5">
        <f>IFS(C2717&lt;30,"Under 30",C2717&lt;40,"30-39",C2717&lt;50,"40-49",TRUE,"50+")</f>
        <v/>
      </c>
      <c r="V2717" s="5">
        <f>IFS(O2717&lt;60000,"Low (&lt;60k)",O2717&lt;100000,"Mid (60-100k)",TRUE,"High (100k+)")</f>
        <v/>
      </c>
      <c r="W2717" s="5">
        <f>IF(M2717="No","Attrited","Active")</f>
        <v/>
      </c>
    </row>
    <row r="2718">
      <c r="A2718" s="5" t="inlineStr">
        <is>
          <t>E02717</t>
        </is>
      </c>
      <c r="B2718" s="5" t="inlineStr">
        <is>
          <t>Female</t>
        </is>
      </c>
      <c r="C2718" s="6" t="inlineStr">
        <is>
          <t>25</t>
        </is>
      </c>
      <c r="D2718" s="5" t="inlineStr">
        <is>
          <t>Married</t>
        </is>
      </c>
      <c r="E2718" s="5" t="inlineStr">
        <is>
          <t>Diploma</t>
        </is>
      </c>
      <c r="F2718" s="5" t="inlineStr">
        <is>
          <t>Operations</t>
        </is>
      </c>
      <c r="G2718" s="5" t="inlineStr">
        <is>
          <t>Operations Analyst</t>
        </is>
      </c>
      <c r="H2718" s="5" t="inlineStr">
        <is>
          <t>2</t>
        </is>
      </c>
      <c r="I2718" s="5" t="inlineStr">
        <is>
          <t>Mumbai</t>
        </is>
      </c>
      <c r="J2718" s="5" t="inlineStr">
        <is>
          <t>Full-Time</t>
        </is>
      </c>
      <c r="K2718" s="7" t="n">
        <v>45982</v>
      </c>
      <c r="L2718" s="7" t="n">
        <v>45997</v>
      </c>
      <c r="M2718" s="5" t="inlineStr">
        <is>
          <t>No</t>
        </is>
      </c>
      <c r="N2718" s="5" t="inlineStr">
        <is>
          <t>Resigned</t>
        </is>
      </c>
      <c r="O2718" s="8" t="inlineStr">
        <is>
          <t>110000</t>
        </is>
      </c>
      <c r="P2718" s="5" t="inlineStr">
        <is>
          <t>0</t>
        </is>
      </c>
      <c r="Q2718" s="5" t="inlineStr">
        <is>
          <t>2</t>
        </is>
      </c>
      <c r="R2718" s="5" t="inlineStr">
        <is>
          <t>5</t>
        </is>
      </c>
      <c r="S2718" s="5" t="inlineStr">
        <is>
          <t>1</t>
        </is>
      </c>
      <c r="T2718" s="5" t="inlineStr">
        <is>
          <t>6</t>
        </is>
      </c>
      <c r="U2718" s="5">
        <f>IFS(C2718&lt;30,"Under 30",C2718&lt;40,"30-39",C2718&lt;50,"40-49",TRUE,"50+")</f>
        <v/>
      </c>
      <c r="V2718" s="5">
        <f>IFS(O2718&lt;60000,"Low (&lt;60k)",O2718&lt;100000,"Mid (60-100k)",TRUE,"High (100k+)")</f>
        <v/>
      </c>
      <c r="W2718" s="5">
        <f>IF(M2718="No","Attrited","Active")</f>
        <v/>
      </c>
    </row>
    <row r="2719">
      <c r="A2719" s="5" t="inlineStr">
        <is>
          <t>E02718</t>
        </is>
      </c>
      <c r="B2719" s="5" t="inlineStr">
        <is>
          <t>Female</t>
        </is>
      </c>
      <c r="C2719" s="6" t="inlineStr">
        <is>
          <t>42</t>
        </is>
      </c>
      <c r="D2719" s="5" t="inlineStr">
        <is>
          <t>Married</t>
        </is>
      </c>
      <c r="E2719" s="5" t="inlineStr">
        <is>
          <t>Master</t>
        </is>
      </c>
      <c r="F2719" s="5" t="inlineStr">
        <is>
          <t>Operations</t>
        </is>
      </c>
      <c r="G2719" s="5" t="inlineStr">
        <is>
          <t>Operations Analyst</t>
        </is>
      </c>
      <c r="H2719" s="5" t="inlineStr">
        <is>
          <t>7</t>
        </is>
      </c>
      <c r="I2719" s="5" t="inlineStr">
        <is>
          <t>Hyderabad</t>
        </is>
      </c>
      <c r="J2719" s="5" t="inlineStr">
        <is>
          <t>Full-Time</t>
        </is>
      </c>
      <c r="K2719" s="7" t="n">
        <v>45117</v>
      </c>
      <c r="L2719" s="7" t="inlineStr"/>
      <c r="M2719" s="5" t="inlineStr">
        <is>
          <t>Yes</t>
        </is>
      </c>
      <c r="N2719" s="5" t="inlineStr"/>
      <c r="O2719" s="8" t="inlineStr">
        <is>
          <t>159500</t>
        </is>
      </c>
      <c r="P2719" s="5" t="inlineStr">
        <is>
          <t>5</t>
        </is>
      </c>
      <c r="Q2719" s="5" t="inlineStr">
        <is>
          <t>3</t>
        </is>
      </c>
      <c r="R2719" s="5" t="inlineStr">
        <is>
          <t>8</t>
        </is>
      </c>
      <c r="S2719" s="5" t="inlineStr">
        <is>
          <t>30</t>
        </is>
      </c>
      <c r="T2719" s="5" t="inlineStr">
        <is>
          <t>1</t>
        </is>
      </c>
      <c r="U2719" s="5">
        <f>IFS(C2719&lt;30,"Under 30",C2719&lt;40,"30-39",C2719&lt;50,"40-49",TRUE,"50+")</f>
        <v/>
      </c>
      <c r="V2719" s="5">
        <f>IFS(O2719&lt;60000,"Low (&lt;60k)",O2719&lt;100000,"Mid (60-100k)",TRUE,"High (100k+)")</f>
        <v/>
      </c>
      <c r="W2719" s="5">
        <f>IF(M2719="No","Attrited","Active")</f>
        <v/>
      </c>
    </row>
    <row r="2720">
      <c r="A2720" s="5" t="inlineStr">
        <is>
          <t>E02719</t>
        </is>
      </c>
      <c r="B2720" s="5" t="inlineStr">
        <is>
          <t>Female</t>
        </is>
      </c>
      <c r="C2720" s="6" t="inlineStr">
        <is>
          <t>34</t>
        </is>
      </c>
      <c r="D2720" s="5" t="inlineStr">
        <is>
          <t>Married</t>
        </is>
      </c>
      <c r="E2720" s="5" t="inlineStr">
        <is>
          <t>Bachelor</t>
        </is>
      </c>
      <c r="F2720" s="5" t="inlineStr">
        <is>
          <t>IT</t>
        </is>
      </c>
      <c r="G2720" s="5" t="inlineStr">
        <is>
          <t>Data Analyst</t>
        </is>
      </c>
      <c r="H2720" s="5" t="inlineStr">
        <is>
          <t>1</t>
        </is>
      </c>
      <c r="I2720" s="5" t="inlineStr">
        <is>
          <t>Chennai</t>
        </is>
      </c>
      <c r="J2720" s="5" t="inlineStr">
        <is>
          <t>Full-Time</t>
        </is>
      </c>
      <c r="K2720" s="7" t="n">
        <v>43873</v>
      </c>
      <c r="L2720" s="7" t="inlineStr"/>
      <c r="M2720" s="5" t="inlineStr">
        <is>
          <t>Yes</t>
        </is>
      </c>
      <c r="N2720" s="5" t="inlineStr"/>
      <c r="O2720" s="8" t="inlineStr">
        <is>
          <t>129500</t>
        </is>
      </c>
      <c r="P2720" s="5" t="inlineStr">
        <is>
          <t>5</t>
        </is>
      </c>
      <c r="Q2720" s="5" t="inlineStr">
        <is>
          <t>3</t>
        </is>
      </c>
      <c r="R2720" s="5" t="inlineStr">
        <is>
          <t>8</t>
        </is>
      </c>
      <c r="S2720" s="5" t="inlineStr">
        <is>
          <t>71</t>
        </is>
      </c>
      <c r="T2720" s="5" t="inlineStr">
        <is>
          <t>8</t>
        </is>
      </c>
      <c r="U2720" s="5">
        <f>IFS(C2720&lt;30,"Under 30",C2720&lt;40,"30-39",C2720&lt;50,"40-49",TRUE,"50+")</f>
        <v/>
      </c>
      <c r="V2720" s="5">
        <f>IFS(O2720&lt;60000,"Low (&lt;60k)",O2720&lt;100000,"Mid (60-100k)",TRUE,"High (100k+)")</f>
        <v/>
      </c>
      <c r="W2720" s="5">
        <f>IF(M2720="No","Attrited","Active")</f>
        <v/>
      </c>
    </row>
    <row r="2721">
      <c r="A2721" s="5" t="inlineStr">
        <is>
          <t>E02720</t>
        </is>
      </c>
      <c r="B2721" s="5" t="inlineStr">
        <is>
          <t>Male</t>
        </is>
      </c>
      <c r="C2721" s="6" t="inlineStr">
        <is>
          <t>33</t>
        </is>
      </c>
      <c r="D2721" s="5" t="inlineStr">
        <is>
          <t>Single</t>
        </is>
      </c>
      <c r="E2721" s="5" t="inlineStr">
        <is>
          <t>PhD</t>
        </is>
      </c>
      <c r="F2721" s="5" t="inlineStr">
        <is>
          <t>Research &amp; Development</t>
        </is>
      </c>
      <c r="G2721" s="5" t="inlineStr">
        <is>
          <t>Product Engineer</t>
        </is>
      </c>
      <c r="H2721" s="5" t="inlineStr">
        <is>
          <t>1</t>
        </is>
      </c>
      <c r="I2721" s="5" t="inlineStr">
        <is>
          <t>Hyderabad</t>
        </is>
      </c>
      <c r="J2721" s="5" t="inlineStr">
        <is>
          <t>Full-Time</t>
        </is>
      </c>
      <c r="K2721" s="7" t="n">
        <v>44135</v>
      </c>
      <c r="L2721" s="7" t="inlineStr"/>
      <c r="M2721" s="5" t="inlineStr">
        <is>
          <t>Yes</t>
        </is>
      </c>
      <c r="N2721" s="5" t="inlineStr"/>
      <c r="O2721" s="8" t="inlineStr">
        <is>
          <t>155500</t>
        </is>
      </c>
      <c r="P2721" s="5" t="inlineStr">
        <is>
          <t>0</t>
        </is>
      </c>
      <c r="Q2721" s="5" t="inlineStr">
        <is>
          <t>3</t>
        </is>
      </c>
      <c r="R2721" s="5" t="inlineStr">
        <is>
          <t>7</t>
        </is>
      </c>
      <c r="S2721" s="5" t="inlineStr">
        <is>
          <t>62</t>
        </is>
      </c>
      <c r="T2721" s="5" t="inlineStr">
        <is>
          <t>11</t>
        </is>
      </c>
      <c r="U2721" s="5">
        <f>IFS(C2721&lt;30,"Under 30",C2721&lt;40,"30-39",C2721&lt;50,"40-49",TRUE,"50+")</f>
        <v/>
      </c>
      <c r="V2721" s="5">
        <f>IFS(O2721&lt;60000,"Low (&lt;60k)",O2721&lt;100000,"Mid (60-100k)",TRUE,"High (100k+)")</f>
        <v/>
      </c>
      <c r="W2721" s="5">
        <f>IF(M2721="No","Attrited","Active")</f>
        <v/>
      </c>
    </row>
    <row r="2722">
      <c r="A2722" s="5" t="inlineStr">
        <is>
          <t>E02721</t>
        </is>
      </c>
      <c r="B2722" s="5" t="inlineStr">
        <is>
          <t>Female</t>
        </is>
      </c>
      <c r="C2722" s="6" t="inlineStr">
        <is>
          <t>38</t>
        </is>
      </c>
      <c r="D2722" s="5" t="inlineStr">
        <is>
          <t>Single</t>
        </is>
      </c>
      <c r="E2722" s="5" t="inlineStr">
        <is>
          <t>Bachelor</t>
        </is>
      </c>
      <c r="F2722" s="5" t="inlineStr">
        <is>
          <t>IT</t>
        </is>
      </c>
      <c r="G2722" s="5" t="inlineStr">
        <is>
          <t>Data Analyst</t>
        </is>
      </c>
      <c r="H2722" s="5" t="inlineStr">
        <is>
          <t>3</t>
        </is>
      </c>
      <c r="I2722" s="5" t="inlineStr">
        <is>
          <t>Mumbai</t>
        </is>
      </c>
      <c r="J2722" s="5" t="inlineStr">
        <is>
          <t>Full-Time</t>
        </is>
      </c>
      <c r="K2722" s="7" t="n">
        <v>44688</v>
      </c>
      <c r="L2722" s="7" t="n">
        <v>44833</v>
      </c>
      <c r="M2722" s="5" t="inlineStr">
        <is>
          <t>No</t>
        </is>
      </c>
      <c r="N2722" s="5" t="inlineStr">
        <is>
          <t>Resigned</t>
        </is>
      </c>
      <c r="O2722" s="8" t="inlineStr">
        <is>
          <t>138000</t>
        </is>
      </c>
      <c r="P2722" s="5" t="inlineStr">
        <is>
          <t>5</t>
        </is>
      </c>
      <c r="Q2722" s="5" t="inlineStr">
        <is>
          <t>3</t>
        </is>
      </c>
      <c r="R2722" s="5" t="inlineStr">
        <is>
          <t>8</t>
        </is>
      </c>
      <c r="S2722" s="5" t="inlineStr">
        <is>
          <t>4</t>
        </is>
      </c>
      <c r="T2722" s="5" t="inlineStr">
        <is>
          <t>0</t>
        </is>
      </c>
      <c r="U2722" s="5">
        <f>IFS(C2722&lt;30,"Under 30",C2722&lt;40,"30-39",C2722&lt;50,"40-49",TRUE,"50+")</f>
        <v/>
      </c>
      <c r="V2722" s="5">
        <f>IFS(O2722&lt;60000,"Low (&lt;60k)",O2722&lt;100000,"Mid (60-100k)",TRUE,"High (100k+)")</f>
        <v/>
      </c>
      <c r="W2722" s="5">
        <f>IF(M2722="No","Attrited","Active")</f>
        <v/>
      </c>
    </row>
    <row r="2723">
      <c r="A2723" s="5" t="inlineStr">
        <is>
          <t>E02722</t>
        </is>
      </c>
      <c r="B2723" s="5" t="inlineStr">
        <is>
          <t>Male</t>
        </is>
      </c>
      <c r="C2723" s="6" t="inlineStr">
        <is>
          <t>31</t>
        </is>
      </c>
      <c r="D2723" s="5" t="inlineStr">
        <is>
          <t>Married</t>
        </is>
      </c>
      <c r="E2723" s="5" t="inlineStr">
        <is>
          <t>PhD</t>
        </is>
      </c>
      <c r="F2723" s="5" t="inlineStr">
        <is>
          <t>Operations</t>
        </is>
      </c>
      <c r="G2723" s="5" t="inlineStr">
        <is>
          <t>Operations Analyst</t>
        </is>
      </c>
      <c r="H2723" s="5" t="inlineStr">
        <is>
          <t>1</t>
        </is>
      </c>
      <c r="I2723" s="5" t="inlineStr">
        <is>
          <t>Hyderabad</t>
        </is>
      </c>
      <c r="J2723" s="5" t="inlineStr">
        <is>
          <t>Full-Time</t>
        </is>
      </c>
      <c r="K2723" s="7" t="n">
        <v>43886</v>
      </c>
      <c r="L2723" s="7" t="n">
        <v>43957</v>
      </c>
      <c r="M2723" s="5" t="inlineStr">
        <is>
          <t>No</t>
        </is>
      </c>
      <c r="N2723" s="5" t="inlineStr">
        <is>
          <t>Performance / Termination</t>
        </is>
      </c>
      <c r="O2723" s="8" t="inlineStr">
        <is>
          <t>96000</t>
        </is>
      </c>
      <c r="P2723" s="5" t="inlineStr">
        <is>
          <t>5</t>
        </is>
      </c>
      <c r="Q2723" s="5" t="inlineStr">
        <is>
          <t>4</t>
        </is>
      </c>
      <c r="R2723" s="5" t="inlineStr">
        <is>
          <t>10</t>
        </is>
      </c>
      <c r="S2723" s="5" t="inlineStr">
        <is>
          <t>2</t>
        </is>
      </c>
      <c r="T2723" s="5" t="inlineStr">
        <is>
          <t>0</t>
        </is>
      </c>
      <c r="U2723" s="5">
        <f>IFS(C2723&lt;30,"Under 30",C2723&lt;40,"30-39",C2723&lt;50,"40-49",TRUE,"50+")</f>
        <v/>
      </c>
      <c r="V2723" s="5">
        <f>IFS(O2723&lt;60000,"Low (&lt;60k)",O2723&lt;100000,"Mid (60-100k)",TRUE,"High (100k+)")</f>
        <v/>
      </c>
      <c r="W2723" s="5">
        <f>IF(M2723="No","Attrited","Active")</f>
        <v/>
      </c>
    </row>
    <row r="2724">
      <c r="A2724" s="5" t="inlineStr">
        <is>
          <t>E02723</t>
        </is>
      </c>
      <c r="B2724" s="5" t="inlineStr">
        <is>
          <t>Female</t>
        </is>
      </c>
      <c r="C2724" s="6" t="inlineStr">
        <is>
          <t>29</t>
        </is>
      </c>
      <c r="D2724" s="5" t="inlineStr">
        <is>
          <t>Single</t>
        </is>
      </c>
      <c r="E2724" s="5" t="inlineStr">
        <is>
          <t>Master</t>
        </is>
      </c>
      <c r="F2724" s="5" t="inlineStr">
        <is>
          <t>Operations</t>
        </is>
      </c>
      <c r="G2724" s="5" t="inlineStr">
        <is>
          <t>Quality Analyst</t>
        </is>
      </c>
      <c r="H2724" s="5" t="inlineStr">
        <is>
          <t>1</t>
        </is>
      </c>
      <c r="I2724" s="5" t="inlineStr">
        <is>
          <t>Chennai</t>
        </is>
      </c>
      <c r="J2724" s="5" t="inlineStr">
        <is>
          <t>Contract</t>
        </is>
      </c>
      <c r="K2724" s="7" t="n">
        <v>45277</v>
      </c>
      <c r="L2724" s="7" t="inlineStr"/>
      <c r="M2724" s="5" t="inlineStr">
        <is>
          <t>Yes</t>
        </is>
      </c>
      <c r="N2724" s="5" t="inlineStr"/>
      <c r="O2724" s="8" t="inlineStr">
        <is>
          <t>75500</t>
        </is>
      </c>
      <c r="P2724" s="5" t="inlineStr">
        <is>
          <t>0</t>
        </is>
      </c>
      <c r="Q2724" s="5" t="inlineStr">
        <is>
          <t>4</t>
        </is>
      </c>
      <c r="R2724" s="5" t="inlineStr">
        <is>
          <t>4</t>
        </is>
      </c>
      <c r="S2724" s="5" t="inlineStr">
        <is>
          <t>24</t>
        </is>
      </c>
      <c r="T2724" s="5" t="inlineStr">
        <is>
          <t>7</t>
        </is>
      </c>
      <c r="U2724" s="5">
        <f>IFS(C2724&lt;30,"Under 30",C2724&lt;40,"30-39",C2724&lt;50,"40-49",TRUE,"50+")</f>
        <v/>
      </c>
      <c r="V2724" s="5">
        <f>IFS(O2724&lt;60000,"Low (&lt;60k)",O2724&lt;100000,"Mid (60-100k)",TRUE,"High (100k+)")</f>
        <v/>
      </c>
      <c r="W2724" s="5">
        <f>IF(M2724="No","Attrited","Active")</f>
        <v/>
      </c>
    </row>
    <row r="2725">
      <c r="A2725" s="5" t="inlineStr">
        <is>
          <t>E02724</t>
        </is>
      </c>
      <c r="B2725" s="5" t="inlineStr">
        <is>
          <t>Male</t>
        </is>
      </c>
      <c r="C2725" s="6" t="inlineStr">
        <is>
          <t>34</t>
        </is>
      </c>
      <c r="D2725" s="5" t="inlineStr">
        <is>
          <t>Married</t>
        </is>
      </c>
      <c r="E2725" s="5" t="inlineStr">
        <is>
          <t>High School</t>
        </is>
      </c>
      <c r="F2725" s="5" t="inlineStr">
        <is>
          <t>IT</t>
        </is>
      </c>
      <c r="G2725" s="5" t="inlineStr">
        <is>
          <t>DevOps Engineer</t>
        </is>
      </c>
      <c r="H2725" s="5" t="inlineStr">
        <is>
          <t>5</t>
        </is>
      </c>
      <c r="I2725" s="5" t="inlineStr">
        <is>
          <t>Mumbai</t>
        </is>
      </c>
      <c r="J2725" s="5" t="inlineStr">
        <is>
          <t>Part-Time</t>
        </is>
      </c>
      <c r="K2725" s="7" t="n">
        <v>44403</v>
      </c>
      <c r="L2725" s="7" t="inlineStr"/>
      <c r="M2725" s="5" t="inlineStr">
        <is>
          <t>Yes</t>
        </is>
      </c>
      <c r="N2725" s="5" t="inlineStr"/>
      <c r="O2725" s="8" t="inlineStr">
        <is>
          <t>158000</t>
        </is>
      </c>
      <c r="P2725" s="5" t="inlineStr">
        <is>
          <t>10</t>
        </is>
      </c>
      <c r="Q2725" s="5" t="inlineStr">
        <is>
          <t>5</t>
        </is>
      </c>
      <c r="R2725" s="5" t="inlineStr">
        <is>
          <t>3</t>
        </is>
      </c>
      <c r="S2725" s="5" t="inlineStr">
        <is>
          <t>53</t>
        </is>
      </c>
      <c r="T2725" s="5" t="inlineStr">
        <is>
          <t>0</t>
        </is>
      </c>
      <c r="U2725" s="5">
        <f>IFS(C2725&lt;30,"Under 30",C2725&lt;40,"30-39",C2725&lt;50,"40-49",TRUE,"50+")</f>
        <v/>
      </c>
      <c r="V2725" s="5">
        <f>IFS(O2725&lt;60000,"Low (&lt;60k)",O2725&lt;100000,"Mid (60-100k)",TRUE,"High (100k+)")</f>
        <v/>
      </c>
      <c r="W2725" s="5">
        <f>IF(M2725="No","Attrited","Active")</f>
        <v/>
      </c>
    </row>
    <row r="2726">
      <c r="A2726" s="5" t="inlineStr">
        <is>
          <t>E02725</t>
        </is>
      </c>
      <c r="B2726" s="5" t="inlineStr">
        <is>
          <t>Male</t>
        </is>
      </c>
      <c r="C2726" s="6" t="inlineStr">
        <is>
          <t>29</t>
        </is>
      </c>
      <c r="D2726" s="5" t="inlineStr">
        <is>
          <t>Married</t>
        </is>
      </c>
      <c r="E2726" s="5" t="inlineStr">
        <is>
          <t>Diploma</t>
        </is>
      </c>
      <c r="F2726" s="5" t="inlineStr">
        <is>
          <t>Sales</t>
        </is>
      </c>
      <c r="G2726" s="5" t="inlineStr">
        <is>
          <t>Sales Executive</t>
        </is>
      </c>
      <c r="H2726" s="5" t="inlineStr">
        <is>
          <t>3</t>
        </is>
      </c>
      <c r="I2726" s="5" t="inlineStr">
        <is>
          <t>Chennai</t>
        </is>
      </c>
      <c r="J2726" s="5" t="inlineStr">
        <is>
          <t>Full-Time</t>
        </is>
      </c>
      <c r="K2726" s="7" t="n">
        <v>45690</v>
      </c>
      <c r="L2726" s="7" t="inlineStr"/>
      <c r="M2726" s="5" t="inlineStr">
        <is>
          <t>Yes</t>
        </is>
      </c>
      <c r="N2726" s="5" t="inlineStr"/>
      <c r="O2726" s="8" t="inlineStr">
        <is>
          <t>91000</t>
        </is>
      </c>
      <c r="P2726" s="5" t="inlineStr">
        <is>
          <t>10</t>
        </is>
      </c>
      <c r="Q2726" s="5" t="inlineStr">
        <is>
          <t>3</t>
        </is>
      </c>
      <c r="R2726" s="5" t="inlineStr">
        <is>
          <t>4</t>
        </is>
      </c>
      <c r="S2726" s="5" t="inlineStr">
        <is>
          <t>11</t>
        </is>
      </c>
      <c r="T2726" s="5" t="inlineStr">
        <is>
          <t>3</t>
        </is>
      </c>
      <c r="U2726" s="5">
        <f>IFS(C2726&lt;30,"Under 30",C2726&lt;40,"30-39",C2726&lt;50,"40-49",TRUE,"50+")</f>
        <v/>
      </c>
      <c r="V2726" s="5">
        <f>IFS(O2726&lt;60000,"Low (&lt;60k)",O2726&lt;100000,"Mid (60-100k)",TRUE,"High (100k+)")</f>
        <v/>
      </c>
      <c r="W2726" s="5">
        <f>IF(M2726="No","Attrited","Active")</f>
        <v/>
      </c>
    </row>
    <row r="2727">
      <c r="A2727" s="5" t="inlineStr">
        <is>
          <t>E02726</t>
        </is>
      </c>
      <c r="B2727" s="5" t="inlineStr">
        <is>
          <t>Male</t>
        </is>
      </c>
      <c r="C2727" s="6" t="inlineStr">
        <is>
          <t>23</t>
        </is>
      </c>
      <c r="D2727" s="5" t="inlineStr">
        <is>
          <t>Married</t>
        </is>
      </c>
      <c r="E2727" s="5" t="inlineStr">
        <is>
          <t>Bachelor</t>
        </is>
      </c>
      <c r="F2727" s="5" t="inlineStr">
        <is>
          <t>Sales</t>
        </is>
      </c>
      <c r="G2727" s="5" t="inlineStr">
        <is>
          <t>Account Executive</t>
        </is>
      </c>
      <c r="H2727" s="5" t="inlineStr">
        <is>
          <t>1</t>
        </is>
      </c>
      <c r="I2727" s="5" t="inlineStr">
        <is>
          <t>Chennai</t>
        </is>
      </c>
      <c r="J2727" s="5" t="inlineStr">
        <is>
          <t>Full-Time</t>
        </is>
      </c>
      <c r="K2727" s="7" t="n">
        <v>44336</v>
      </c>
      <c r="L2727" s="7" t="inlineStr"/>
      <c r="M2727" s="5" t="inlineStr">
        <is>
          <t>Yes</t>
        </is>
      </c>
      <c r="N2727" s="5" t="inlineStr"/>
      <c r="O2727" s="8" t="inlineStr">
        <is>
          <t>94500</t>
        </is>
      </c>
      <c r="P2727" s="5" t="inlineStr">
        <is>
          <t>10</t>
        </is>
      </c>
      <c r="Q2727" s="5" t="inlineStr">
        <is>
          <t>3</t>
        </is>
      </c>
      <c r="R2727" s="5" t="inlineStr">
        <is>
          <t>7</t>
        </is>
      </c>
      <c r="S2727" s="5" t="inlineStr">
        <is>
          <t>56</t>
        </is>
      </c>
      <c r="T2727" s="5" t="inlineStr">
        <is>
          <t>6</t>
        </is>
      </c>
      <c r="U2727" s="5">
        <f>IFS(C2727&lt;30,"Under 30",C2727&lt;40,"30-39",C2727&lt;50,"40-49",TRUE,"50+")</f>
        <v/>
      </c>
      <c r="V2727" s="5">
        <f>IFS(O2727&lt;60000,"Low (&lt;60k)",O2727&lt;100000,"Mid (60-100k)",TRUE,"High (100k+)")</f>
        <v/>
      </c>
      <c r="W2727" s="5">
        <f>IF(M2727="No","Attrited","Active")</f>
        <v/>
      </c>
    </row>
    <row r="2728">
      <c r="A2728" s="5" t="inlineStr">
        <is>
          <t>E02727</t>
        </is>
      </c>
      <c r="B2728" s="5" t="inlineStr">
        <is>
          <t>Female</t>
        </is>
      </c>
      <c r="C2728" s="6" t="inlineStr">
        <is>
          <t>33</t>
        </is>
      </c>
      <c r="D2728" s="5" t="inlineStr">
        <is>
          <t>Married</t>
        </is>
      </c>
      <c r="E2728" s="5" t="inlineStr">
        <is>
          <t>Bachelor</t>
        </is>
      </c>
      <c r="F2728" s="5" t="inlineStr">
        <is>
          <t>Customer Support</t>
        </is>
      </c>
      <c r="G2728" s="5" t="inlineStr">
        <is>
          <t>Support Lead</t>
        </is>
      </c>
      <c r="H2728" s="5" t="inlineStr">
        <is>
          <t>1</t>
        </is>
      </c>
      <c r="I2728" s="5" t="inlineStr">
        <is>
          <t>Chennai</t>
        </is>
      </c>
      <c r="J2728" s="5" t="inlineStr">
        <is>
          <t>Contract</t>
        </is>
      </c>
      <c r="K2728" s="7" t="n">
        <v>45281</v>
      </c>
      <c r="L2728" s="7" t="inlineStr"/>
      <c r="M2728" s="5" t="inlineStr">
        <is>
          <t>Yes</t>
        </is>
      </c>
      <c r="N2728" s="5" t="inlineStr"/>
      <c r="O2728" s="8" t="inlineStr">
        <is>
          <t>52500</t>
        </is>
      </c>
      <c r="P2728" s="5" t="inlineStr">
        <is>
          <t>0</t>
        </is>
      </c>
      <c r="Q2728" s="5" t="inlineStr">
        <is>
          <t>3</t>
        </is>
      </c>
      <c r="R2728" s="5" t="inlineStr">
        <is>
          <t>6</t>
        </is>
      </c>
      <c r="S2728" s="5" t="inlineStr">
        <is>
          <t>24</t>
        </is>
      </c>
      <c r="T2728" s="5" t="inlineStr">
        <is>
          <t>6</t>
        </is>
      </c>
      <c r="U2728" s="5">
        <f>IFS(C2728&lt;30,"Under 30",C2728&lt;40,"30-39",C2728&lt;50,"40-49",TRUE,"50+")</f>
        <v/>
      </c>
      <c r="V2728" s="5">
        <f>IFS(O2728&lt;60000,"Low (&lt;60k)",O2728&lt;100000,"Mid (60-100k)",TRUE,"High (100k+)")</f>
        <v/>
      </c>
      <c r="W2728" s="5">
        <f>IF(M2728="No","Attrited","Active")</f>
        <v/>
      </c>
    </row>
    <row r="2729">
      <c r="A2729" s="5" t="inlineStr">
        <is>
          <t>E02728</t>
        </is>
      </c>
      <c r="B2729" s="5" t="inlineStr">
        <is>
          <t>Female</t>
        </is>
      </c>
      <c r="C2729" s="6" t="inlineStr">
        <is>
          <t>40</t>
        </is>
      </c>
      <c r="D2729" s="5" t="inlineStr">
        <is>
          <t>Married</t>
        </is>
      </c>
      <c r="E2729" s="5" t="inlineStr">
        <is>
          <t>High School</t>
        </is>
      </c>
      <c r="F2729" s="5" t="inlineStr">
        <is>
          <t>Sales</t>
        </is>
      </c>
      <c r="G2729" s="5" t="inlineStr">
        <is>
          <t>Business Development</t>
        </is>
      </c>
      <c r="H2729" s="5" t="inlineStr">
        <is>
          <t>6</t>
        </is>
      </c>
      <c r="I2729" s="5" t="inlineStr">
        <is>
          <t>Remote</t>
        </is>
      </c>
      <c r="J2729" s="5" t="inlineStr">
        <is>
          <t>Part-Time</t>
        </is>
      </c>
      <c r="K2729" s="7" t="n">
        <v>44239</v>
      </c>
      <c r="L2729" s="7" t="inlineStr"/>
      <c r="M2729" s="5" t="inlineStr">
        <is>
          <t>Yes</t>
        </is>
      </c>
      <c r="N2729" s="5" t="inlineStr"/>
      <c r="O2729" s="8" t="inlineStr">
        <is>
          <t>134500</t>
        </is>
      </c>
      <c r="P2729" s="5" t="inlineStr">
        <is>
          <t>20</t>
        </is>
      </c>
      <c r="Q2729" s="5" t="inlineStr">
        <is>
          <t>4</t>
        </is>
      </c>
      <c r="R2729" s="5" t="inlineStr">
        <is>
          <t>6</t>
        </is>
      </c>
      <c r="S2729" s="5" t="inlineStr">
        <is>
          <t>59</t>
        </is>
      </c>
      <c r="T2729" s="5" t="inlineStr">
        <is>
          <t>0</t>
        </is>
      </c>
      <c r="U2729" s="5">
        <f>IFS(C2729&lt;30,"Under 30",C2729&lt;40,"30-39",C2729&lt;50,"40-49",TRUE,"50+")</f>
        <v/>
      </c>
      <c r="V2729" s="5">
        <f>IFS(O2729&lt;60000,"Low (&lt;60k)",O2729&lt;100000,"Mid (60-100k)",TRUE,"High (100k+)")</f>
        <v/>
      </c>
      <c r="W2729" s="5">
        <f>IF(M2729="No","Attrited","Active")</f>
        <v/>
      </c>
    </row>
    <row r="2730">
      <c r="A2730" s="5" t="inlineStr">
        <is>
          <t>E02729</t>
        </is>
      </c>
      <c r="B2730" s="5" t="inlineStr">
        <is>
          <t>Male</t>
        </is>
      </c>
      <c r="C2730" s="6" t="inlineStr">
        <is>
          <t>27</t>
        </is>
      </c>
      <c r="D2730" s="5" t="inlineStr">
        <is>
          <t>Married</t>
        </is>
      </c>
      <c r="E2730" s="5" t="inlineStr">
        <is>
          <t>High School</t>
        </is>
      </c>
      <c r="F2730" s="5" t="inlineStr">
        <is>
          <t>Human Resources</t>
        </is>
      </c>
      <c r="G2730" s="5" t="inlineStr">
        <is>
          <t>HR Generalist</t>
        </is>
      </c>
      <c r="H2730" s="5" t="inlineStr">
        <is>
          <t>1</t>
        </is>
      </c>
      <c r="I2730" s="5" t="inlineStr">
        <is>
          <t>Bengaluru</t>
        </is>
      </c>
      <c r="J2730" s="5" t="inlineStr">
        <is>
          <t>Full-Time</t>
        </is>
      </c>
      <c r="K2730" s="7" t="n">
        <v>43993</v>
      </c>
      <c r="L2730" s="7" t="inlineStr"/>
      <c r="M2730" s="5" t="inlineStr">
        <is>
          <t>Yes</t>
        </is>
      </c>
      <c r="N2730" s="5" t="inlineStr"/>
      <c r="O2730" s="8" t="inlineStr">
        <is>
          <t>70000</t>
        </is>
      </c>
      <c r="P2730" s="5" t="inlineStr">
        <is>
          <t>10</t>
        </is>
      </c>
      <c r="Q2730" s="5" t="inlineStr">
        <is>
          <t>3</t>
        </is>
      </c>
      <c r="R2730" s="5" t="inlineStr">
        <is>
          <t>7</t>
        </is>
      </c>
      <c r="S2730" s="5" t="inlineStr">
        <is>
          <t>67</t>
        </is>
      </c>
      <c r="T2730" s="5" t="inlineStr">
        <is>
          <t>6</t>
        </is>
      </c>
      <c r="U2730" s="5">
        <f>IFS(C2730&lt;30,"Under 30",C2730&lt;40,"30-39",C2730&lt;50,"40-49",TRUE,"50+")</f>
        <v/>
      </c>
      <c r="V2730" s="5">
        <f>IFS(O2730&lt;60000,"Low (&lt;60k)",O2730&lt;100000,"Mid (60-100k)",TRUE,"High (100k+)")</f>
        <v/>
      </c>
      <c r="W2730" s="5">
        <f>IF(M2730="No","Attrited","Active")</f>
        <v/>
      </c>
    </row>
    <row r="2731">
      <c r="A2731" s="5" t="inlineStr">
        <is>
          <t>E02730</t>
        </is>
      </c>
      <c r="B2731" s="5" t="inlineStr">
        <is>
          <t>Male</t>
        </is>
      </c>
      <c r="C2731" s="6" t="inlineStr">
        <is>
          <t>32</t>
        </is>
      </c>
      <c r="D2731" s="5" t="inlineStr">
        <is>
          <t>Divorced</t>
        </is>
      </c>
      <c r="E2731" s="5" t="inlineStr">
        <is>
          <t>Master</t>
        </is>
      </c>
      <c r="F2731" s="5" t="inlineStr">
        <is>
          <t>Operations</t>
        </is>
      </c>
      <c r="G2731" s="5" t="inlineStr">
        <is>
          <t>Operations Analyst</t>
        </is>
      </c>
      <c r="H2731" s="5" t="inlineStr">
        <is>
          <t>1</t>
        </is>
      </c>
      <c r="I2731" s="5" t="inlineStr">
        <is>
          <t>Bengaluru</t>
        </is>
      </c>
      <c r="J2731" s="5" t="inlineStr">
        <is>
          <t>Full-Time</t>
        </is>
      </c>
      <c r="K2731" s="7" t="n">
        <v>44097</v>
      </c>
      <c r="L2731" s="7" t="n">
        <v>44177</v>
      </c>
      <c r="M2731" s="5" t="inlineStr">
        <is>
          <t>No</t>
        </is>
      </c>
      <c r="N2731" s="5" t="inlineStr">
        <is>
          <t>Retirement</t>
        </is>
      </c>
      <c r="O2731" s="8" t="inlineStr">
        <is>
          <t>88000</t>
        </is>
      </c>
      <c r="P2731" s="5" t="inlineStr">
        <is>
          <t>0</t>
        </is>
      </c>
      <c r="Q2731" s="5" t="inlineStr">
        <is>
          <t>5</t>
        </is>
      </c>
      <c r="R2731" s="5" t="inlineStr">
        <is>
          <t>8</t>
        </is>
      </c>
      <c r="S2731" s="5" t="inlineStr">
        <is>
          <t>2</t>
        </is>
      </c>
      <c r="T2731" s="5" t="inlineStr">
        <is>
          <t>4</t>
        </is>
      </c>
      <c r="U2731" s="5">
        <f>IFS(C2731&lt;30,"Under 30",C2731&lt;40,"30-39",C2731&lt;50,"40-49",TRUE,"50+")</f>
        <v/>
      </c>
      <c r="V2731" s="5">
        <f>IFS(O2731&lt;60000,"Low (&lt;60k)",O2731&lt;100000,"Mid (60-100k)",TRUE,"High (100k+)")</f>
        <v/>
      </c>
      <c r="W2731" s="5">
        <f>IF(M2731="No","Attrited","Active")</f>
        <v/>
      </c>
    </row>
    <row r="2732">
      <c r="A2732" s="5" t="inlineStr">
        <is>
          <t>E02731</t>
        </is>
      </c>
      <c r="B2732" s="5" t="inlineStr">
        <is>
          <t>Female</t>
        </is>
      </c>
      <c r="C2732" s="6" t="inlineStr">
        <is>
          <t>30</t>
        </is>
      </c>
      <c r="D2732" s="5" t="inlineStr">
        <is>
          <t>Single</t>
        </is>
      </c>
      <c r="E2732" s="5" t="inlineStr">
        <is>
          <t>PhD</t>
        </is>
      </c>
      <c r="F2732" s="5" t="inlineStr">
        <is>
          <t>Research &amp; Development</t>
        </is>
      </c>
      <c r="G2732" s="5" t="inlineStr">
        <is>
          <t>Product Engineer</t>
        </is>
      </c>
      <c r="H2732" s="5" t="inlineStr">
        <is>
          <t>1</t>
        </is>
      </c>
      <c r="I2732" s="5" t="inlineStr">
        <is>
          <t>Hyderabad</t>
        </is>
      </c>
      <c r="J2732" s="5" t="inlineStr">
        <is>
          <t>Full-Time</t>
        </is>
      </c>
      <c r="K2732" s="7" t="n">
        <v>45811</v>
      </c>
      <c r="L2732" s="7" t="inlineStr"/>
      <c r="M2732" s="5" t="inlineStr">
        <is>
          <t>Yes</t>
        </is>
      </c>
      <c r="N2732" s="5" t="inlineStr"/>
      <c r="O2732" s="8" t="inlineStr">
        <is>
          <t>156000</t>
        </is>
      </c>
      <c r="P2732" s="5" t="inlineStr">
        <is>
          <t>5</t>
        </is>
      </c>
      <c r="Q2732" s="5" t="inlineStr">
        <is>
          <t>5</t>
        </is>
      </c>
      <c r="R2732" s="5" t="inlineStr">
        <is>
          <t>7</t>
        </is>
      </c>
      <c r="S2732" s="5" t="inlineStr">
        <is>
          <t>7</t>
        </is>
      </c>
      <c r="T2732" s="5" t="inlineStr">
        <is>
          <t>7</t>
        </is>
      </c>
      <c r="U2732" s="5">
        <f>IFS(C2732&lt;30,"Under 30",C2732&lt;40,"30-39",C2732&lt;50,"40-49",TRUE,"50+")</f>
        <v/>
      </c>
      <c r="V2732" s="5">
        <f>IFS(O2732&lt;60000,"Low (&lt;60k)",O2732&lt;100000,"Mid (60-100k)",TRUE,"High (100k+)")</f>
        <v/>
      </c>
      <c r="W2732" s="5">
        <f>IF(M2732="No","Attrited","Active")</f>
        <v/>
      </c>
    </row>
    <row r="2733">
      <c r="A2733" s="5" t="inlineStr">
        <is>
          <t>E02732</t>
        </is>
      </c>
      <c r="B2733" s="5" t="inlineStr">
        <is>
          <t>Male</t>
        </is>
      </c>
      <c r="C2733" s="6" t="inlineStr">
        <is>
          <t>28</t>
        </is>
      </c>
      <c r="D2733" s="5" t="inlineStr">
        <is>
          <t>Married</t>
        </is>
      </c>
      <c r="E2733" s="5" t="inlineStr">
        <is>
          <t>Diploma</t>
        </is>
      </c>
      <c r="F2733" s="5" t="inlineStr">
        <is>
          <t>Operations</t>
        </is>
      </c>
      <c r="G2733" s="5" t="inlineStr">
        <is>
          <t>Logistics Coordinator</t>
        </is>
      </c>
      <c r="H2733" s="5" t="inlineStr">
        <is>
          <t>3</t>
        </is>
      </c>
      <c r="I2733" s="5" t="inlineStr">
        <is>
          <t>Chennai</t>
        </is>
      </c>
      <c r="J2733" s="5" t="inlineStr">
        <is>
          <t>Full-Time</t>
        </is>
      </c>
      <c r="K2733" s="7" t="n">
        <v>45483</v>
      </c>
      <c r="L2733" s="7" t="inlineStr"/>
      <c r="M2733" s="5" t="inlineStr">
        <is>
          <t>Yes</t>
        </is>
      </c>
      <c r="N2733" s="5" t="inlineStr"/>
      <c r="O2733" s="8" t="inlineStr">
        <is>
          <t>107000</t>
        </is>
      </c>
      <c r="P2733" s="5" t="inlineStr">
        <is>
          <t>0</t>
        </is>
      </c>
      <c r="Q2733" s="5" t="inlineStr">
        <is>
          <t>3</t>
        </is>
      </c>
      <c r="R2733" s="5" t="inlineStr">
        <is>
          <t>7</t>
        </is>
      </c>
      <c r="S2733" s="5" t="inlineStr">
        <is>
          <t>17</t>
        </is>
      </c>
      <c r="T2733" s="5" t="inlineStr">
        <is>
          <t>8</t>
        </is>
      </c>
      <c r="U2733" s="5">
        <f>IFS(C2733&lt;30,"Under 30",C2733&lt;40,"30-39",C2733&lt;50,"40-49",TRUE,"50+")</f>
        <v/>
      </c>
      <c r="V2733" s="5">
        <f>IFS(O2733&lt;60000,"Low (&lt;60k)",O2733&lt;100000,"Mid (60-100k)",TRUE,"High (100k+)")</f>
        <v/>
      </c>
      <c r="W2733" s="5">
        <f>IF(M2733="No","Attrited","Active")</f>
        <v/>
      </c>
    </row>
    <row r="2734">
      <c r="A2734" s="5" t="inlineStr">
        <is>
          <t>E02733</t>
        </is>
      </c>
      <c r="B2734" s="5" t="inlineStr">
        <is>
          <t>Male</t>
        </is>
      </c>
      <c r="C2734" s="6" t="inlineStr">
        <is>
          <t>29</t>
        </is>
      </c>
      <c r="D2734" s="5" t="inlineStr">
        <is>
          <t>Married</t>
        </is>
      </c>
      <c r="E2734" s="5" t="inlineStr">
        <is>
          <t>Master</t>
        </is>
      </c>
      <c r="F2734" s="5" t="inlineStr">
        <is>
          <t>Finance</t>
        </is>
      </c>
      <c r="G2734" s="5" t="inlineStr">
        <is>
          <t>Accountant</t>
        </is>
      </c>
      <c r="H2734" s="5" t="inlineStr">
        <is>
          <t>3</t>
        </is>
      </c>
      <c r="I2734" s="5" t="inlineStr">
        <is>
          <t>Chennai</t>
        </is>
      </c>
      <c r="J2734" s="5" t="inlineStr">
        <is>
          <t>Full-Time</t>
        </is>
      </c>
      <c r="K2734" s="7" t="n">
        <v>43984</v>
      </c>
      <c r="L2734" s="7" t="n">
        <v>44081</v>
      </c>
      <c r="M2734" s="5" t="inlineStr">
        <is>
          <t>No</t>
        </is>
      </c>
      <c r="N2734" s="5" t="inlineStr">
        <is>
          <t>Resigned</t>
        </is>
      </c>
      <c r="O2734" s="8" t="inlineStr">
        <is>
          <t>98500</t>
        </is>
      </c>
      <c r="P2734" s="5" t="inlineStr">
        <is>
          <t>10</t>
        </is>
      </c>
      <c r="Q2734" s="5" t="inlineStr">
        <is>
          <t>4</t>
        </is>
      </c>
      <c r="R2734" s="5" t="inlineStr">
        <is>
          <t>7</t>
        </is>
      </c>
      <c r="S2734" s="5" t="inlineStr">
        <is>
          <t>3</t>
        </is>
      </c>
      <c r="T2734" s="5" t="inlineStr">
        <is>
          <t>0</t>
        </is>
      </c>
      <c r="U2734" s="5">
        <f>IFS(C2734&lt;30,"Under 30",C2734&lt;40,"30-39",C2734&lt;50,"40-49",TRUE,"50+")</f>
        <v/>
      </c>
      <c r="V2734" s="5">
        <f>IFS(O2734&lt;60000,"Low (&lt;60k)",O2734&lt;100000,"Mid (60-100k)",TRUE,"High (100k+)")</f>
        <v/>
      </c>
      <c r="W2734" s="5">
        <f>IF(M2734="No","Attrited","Active")</f>
        <v/>
      </c>
    </row>
    <row r="2735">
      <c r="A2735" s="5" t="inlineStr">
        <is>
          <t>E02734</t>
        </is>
      </c>
      <c r="B2735" s="5" t="inlineStr">
        <is>
          <t>Female</t>
        </is>
      </c>
      <c r="C2735" s="6" t="inlineStr">
        <is>
          <t>30</t>
        </is>
      </c>
      <c r="D2735" s="5" t="inlineStr">
        <is>
          <t>Married</t>
        </is>
      </c>
      <c r="E2735" s="5" t="inlineStr">
        <is>
          <t>PhD</t>
        </is>
      </c>
      <c r="F2735" s="5" t="inlineStr">
        <is>
          <t>Operations</t>
        </is>
      </c>
      <c r="G2735" s="5" t="inlineStr">
        <is>
          <t>Quality Analyst</t>
        </is>
      </c>
      <c r="H2735" s="5" t="inlineStr">
        <is>
          <t>1</t>
        </is>
      </c>
      <c r="I2735" s="5" t="inlineStr">
        <is>
          <t>Hyderabad</t>
        </is>
      </c>
      <c r="J2735" s="5" t="inlineStr">
        <is>
          <t>Full-Time</t>
        </is>
      </c>
      <c r="K2735" s="7" t="n">
        <v>44708</v>
      </c>
      <c r="L2735" s="7" t="inlineStr"/>
      <c r="M2735" s="5" t="inlineStr">
        <is>
          <t>Yes</t>
        </is>
      </c>
      <c r="N2735" s="5" t="inlineStr"/>
      <c r="O2735" s="8" t="inlineStr">
        <is>
          <t>93500</t>
        </is>
      </c>
      <c r="P2735" s="5" t="inlineStr">
        <is>
          <t>0</t>
        </is>
      </c>
      <c r="Q2735" s="5" t="inlineStr">
        <is>
          <t>5</t>
        </is>
      </c>
      <c r="R2735" s="5" t="inlineStr">
        <is>
          <t>6</t>
        </is>
      </c>
      <c r="S2735" s="5" t="inlineStr">
        <is>
          <t>43</t>
        </is>
      </c>
      <c r="T2735" s="5" t="inlineStr">
        <is>
          <t>5</t>
        </is>
      </c>
      <c r="U2735" s="5">
        <f>IFS(C2735&lt;30,"Under 30",C2735&lt;40,"30-39",C2735&lt;50,"40-49",TRUE,"50+")</f>
        <v/>
      </c>
      <c r="V2735" s="5">
        <f>IFS(O2735&lt;60000,"Low (&lt;60k)",O2735&lt;100000,"Mid (60-100k)",TRUE,"High (100k+)")</f>
        <v/>
      </c>
      <c r="W2735" s="5">
        <f>IF(M2735="No","Attrited","Active")</f>
        <v/>
      </c>
    </row>
    <row r="2736">
      <c r="A2736" s="5" t="inlineStr">
        <is>
          <t>E02735</t>
        </is>
      </c>
      <c r="B2736" s="5" t="inlineStr">
        <is>
          <t>Male</t>
        </is>
      </c>
      <c r="C2736" s="6" t="inlineStr">
        <is>
          <t>34</t>
        </is>
      </c>
      <c r="D2736" s="5" t="inlineStr">
        <is>
          <t>Married</t>
        </is>
      </c>
      <c r="E2736" s="5" t="inlineStr">
        <is>
          <t>High School</t>
        </is>
      </c>
      <c r="F2736" s="5" t="inlineStr">
        <is>
          <t>IT</t>
        </is>
      </c>
      <c r="G2736" s="5" t="inlineStr">
        <is>
          <t>Software Engineer</t>
        </is>
      </c>
      <c r="H2736" s="5" t="inlineStr">
        <is>
          <t>1</t>
        </is>
      </c>
      <c r="I2736" s="5" t="inlineStr">
        <is>
          <t>Chennai</t>
        </is>
      </c>
      <c r="J2736" s="5" t="inlineStr">
        <is>
          <t>Full-Time</t>
        </is>
      </c>
      <c r="K2736" s="7" t="n">
        <v>43846</v>
      </c>
      <c r="L2736" s="7" t="inlineStr"/>
      <c r="M2736" s="5" t="inlineStr">
        <is>
          <t>Yes</t>
        </is>
      </c>
      <c r="N2736" s="5" t="inlineStr"/>
      <c r="O2736" s="8" t="inlineStr">
        <is>
          <t>127500</t>
        </is>
      </c>
      <c r="P2736" s="5" t="inlineStr">
        <is>
          <t>0</t>
        </is>
      </c>
      <c r="Q2736" s="5" t="inlineStr">
        <is>
          <t>5</t>
        </is>
      </c>
      <c r="R2736" s="5" t="inlineStr">
        <is>
          <t>7</t>
        </is>
      </c>
      <c r="S2736" s="5" t="inlineStr">
        <is>
          <t>72</t>
        </is>
      </c>
      <c r="T2736" s="5" t="inlineStr">
        <is>
          <t>0</t>
        </is>
      </c>
      <c r="U2736" s="5">
        <f>IFS(C2736&lt;30,"Under 30",C2736&lt;40,"30-39",C2736&lt;50,"40-49",TRUE,"50+")</f>
        <v/>
      </c>
      <c r="V2736" s="5">
        <f>IFS(O2736&lt;60000,"Low (&lt;60k)",O2736&lt;100000,"Mid (60-100k)",TRUE,"High (100k+)")</f>
        <v/>
      </c>
      <c r="W2736" s="5">
        <f>IF(M2736="No","Attrited","Active")</f>
        <v/>
      </c>
    </row>
    <row r="2737">
      <c r="A2737" s="5" t="inlineStr">
        <is>
          <t>E02736</t>
        </is>
      </c>
      <c r="B2737" s="5" t="inlineStr">
        <is>
          <t>Female</t>
        </is>
      </c>
      <c r="C2737" s="6" t="inlineStr">
        <is>
          <t>27</t>
        </is>
      </c>
      <c r="D2737" s="5" t="inlineStr">
        <is>
          <t>Married</t>
        </is>
      </c>
      <c r="E2737" s="5" t="inlineStr">
        <is>
          <t>PhD</t>
        </is>
      </c>
      <c r="F2737" s="5" t="inlineStr">
        <is>
          <t>IT</t>
        </is>
      </c>
      <c r="G2737" s="5" t="inlineStr">
        <is>
          <t>IT Support</t>
        </is>
      </c>
      <c r="H2737" s="5" t="inlineStr">
        <is>
          <t>1</t>
        </is>
      </c>
      <c r="I2737" s="5" t="inlineStr">
        <is>
          <t>Bengaluru</t>
        </is>
      </c>
      <c r="J2737" s="5" t="inlineStr">
        <is>
          <t>Full-Time</t>
        </is>
      </c>
      <c r="K2737" s="7" t="n">
        <v>45375</v>
      </c>
      <c r="L2737" s="7" t="inlineStr"/>
      <c r="M2737" s="5" t="inlineStr">
        <is>
          <t>Yes</t>
        </is>
      </c>
      <c r="N2737" s="5" t="inlineStr"/>
      <c r="O2737" s="8" t="inlineStr">
        <is>
          <t>107500</t>
        </is>
      </c>
      <c r="P2737" s="5" t="inlineStr">
        <is>
          <t>15</t>
        </is>
      </c>
      <c r="Q2737" s="5" t="inlineStr">
        <is>
          <t>5</t>
        </is>
      </c>
      <c r="R2737" s="5" t="inlineStr">
        <is>
          <t>6</t>
        </is>
      </c>
      <c r="S2737" s="5" t="inlineStr">
        <is>
          <t>21</t>
        </is>
      </c>
      <c r="T2737" s="5" t="inlineStr">
        <is>
          <t>1</t>
        </is>
      </c>
      <c r="U2737" s="5">
        <f>IFS(C2737&lt;30,"Under 30",C2737&lt;40,"30-39",C2737&lt;50,"40-49",TRUE,"50+")</f>
        <v/>
      </c>
      <c r="V2737" s="5">
        <f>IFS(O2737&lt;60000,"Low (&lt;60k)",O2737&lt;100000,"Mid (60-100k)",TRUE,"High (100k+)")</f>
        <v/>
      </c>
      <c r="W2737" s="5">
        <f>IF(M2737="No","Attrited","Active")</f>
        <v/>
      </c>
    </row>
    <row r="2738">
      <c r="A2738" s="5" t="inlineStr">
        <is>
          <t>E02737</t>
        </is>
      </c>
      <c r="B2738" s="5" t="inlineStr">
        <is>
          <t>Male</t>
        </is>
      </c>
      <c r="C2738" s="6" t="inlineStr">
        <is>
          <t>33</t>
        </is>
      </c>
      <c r="D2738" s="5" t="inlineStr">
        <is>
          <t>Divorced</t>
        </is>
      </c>
      <c r="E2738" s="5" t="inlineStr">
        <is>
          <t>Master</t>
        </is>
      </c>
      <c r="F2738" s="5" t="inlineStr">
        <is>
          <t>Sales</t>
        </is>
      </c>
      <c r="G2738" s="5" t="inlineStr">
        <is>
          <t>Account Executive</t>
        </is>
      </c>
      <c r="H2738" s="5" t="inlineStr">
        <is>
          <t>1</t>
        </is>
      </c>
      <c r="I2738" s="5" t="inlineStr">
        <is>
          <t>Bengaluru</t>
        </is>
      </c>
      <c r="J2738" s="5" t="inlineStr">
        <is>
          <t>Full-Time</t>
        </is>
      </c>
      <c r="K2738" s="7" t="n">
        <v>44707</v>
      </c>
      <c r="L2738" s="7" t="inlineStr"/>
      <c r="M2738" s="5" t="inlineStr">
        <is>
          <t>Yes</t>
        </is>
      </c>
      <c r="N2738" s="5" t="inlineStr"/>
      <c r="O2738" s="8" t="inlineStr">
        <is>
          <t>97500</t>
        </is>
      </c>
      <c r="P2738" s="5" t="inlineStr">
        <is>
          <t>15</t>
        </is>
      </c>
      <c r="Q2738" s="5" t="inlineStr">
        <is>
          <t>2</t>
        </is>
      </c>
      <c r="R2738" s="5" t="inlineStr">
        <is>
          <t>5</t>
        </is>
      </c>
      <c r="S2738" s="5" t="inlineStr">
        <is>
          <t>43</t>
        </is>
      </c>
      <c r="T2738" s="5" t="inlineStr">
        <is>
          <t>9</t>
        </is>
      </c>
      <c r="U2738" s="5">
        <f>IFS(C2738&lt;30,"Under 30",C2738&lt;40,"30-39",C2738&lt;50,"40-49",TRUE,"50+")</f>
        <v/>
      </c>
      <c r="V2738" s="5">
        <f>IFS(O2738&lt;60000,"Low (&lt;60k)",O2738&lt;100000,"Mid (60-100k)",TRUE,"High (100k+)")</f>
        <v/>
      </c>
      <c r="W2738" s="5">
        <f>IF(M2738="No","Attrited","Active")</f>
        <v/>
      </c>
    </row>
    <row r="2739">
      <c r="A2739" s="5" t="inlineStr">
        <is>
          <t>E02738</t>
        </is>
      </c>
      <c r="B2739" s="5" t="inlineStr">
        <is>
          <t>Male</t>
        </is>
      </c>
      <c r="C2739" s="6" t="inlineStr">
        <is>
          <t>29</t>
        </is>
      </c>
      <c r="D2739" s="5" t="inlineStr">
        <is>
          <t>Married</t>
        </is>
      </c>
      <c r="E2739" s="5" t="inlineStr">
        <is>
          <t>PhD</t>
        </is>
      </c>
      <c r="F2739" s="5" t="inlineStr">
        <is>
          <t>Sales</t>
        </is>
      </c>
      <c r="G2739" s="5" t="inlineStr">
        <is>
          <t>Business Development</t>
        </is>
      </c>
      <c r="H2739" s="5" t="inlineStr">
        <is>
          <t>4</t>
        </is>
      </c>
      <c r="I2739" s="5" t="inlineStr">
        <is>
          <t>Hyderabad</t>
        </is>
      </c>
      <c r="J2739" s="5" t="inlineStr">
        <is>
          <t>Full-Time</t>
        </is>
      </c>
      <c r="K2739" s="7" t="n">
        <v>45807</v>
      </c>
      <c r="L2739" s="7" t="n">
        <v>45858</v>
      </c>
      <c r="M2739" s="5" t="inlineStr">
        <is>
          <t>No</t>
        </is>
      </c>
      <c r="N2739" s="5" t="inlineStr">
        <is>
          <t>Resigned</t>
        </is>
      </c>
      <c r="O2739" s="8" t="inlineStr">
        <is>
          <t>152000</t>
        </is>
      </c>
      <c r="P2739" s="5" t="inlineStr">
        <is>
          <t>5</t>
        </is>
      </c>
      <c r="Q2739" s="5" t="inlineStr">
        <is>
          <t>1</t>
        </is>
      </c>
      <c r="R2739" s="5" t="inlineStr">
        <is>
          <t>9</t>
        </is>
      </c>
      <c r="S2739" s="5" t="inlineStr">
        <is>
          <t>1</t>
        </is>
      </c>
      <c r="T2739" s="5" t="inlineStr">
        <is>
          <t>9</t>
        </is>
      </c>
      <c r="U2739" s="5">
        <f>IFS(C2739&lt;30,"Under 30",C2739&lt;40,"30-39",C2739&lt;50,"40-49",TRUE,"50+")</f>
        <v/>
      </c>
      <c r="V2739" s="5">
        <f>IFS(O2739&lt;60000,"Low (&lt;60k)",O2739&lt;100000,"Mid (60-100k)",TRUE,"High (100k+)")</f>
        <v/>
      </c>
      <c r="W2739" s="5">
        <f>IF(M2739="No","Attrited","Active")</f>
        <v/>
      </c>
    </row>
    <row r="2740">
      <c r="A2740" s="5" t="inlineStr">
        <is>
          <t>E02739</t>
        </is>
      </c>
      <c r="B2740" s="5" t="inlineStr">
        <is>
          <t>Female</t>
        </is>
      </c>
      <c r="C2740" s="6" t="inlineStr">
        <is>
          <t>30</t>
        </is>
      </c>
      <c r="D2740" s="5" t="inlineStr">
        <is>
          <t>Single</t>
        </is>
      </c>
      <c r="E2740" s="5" t="inlineStr">
        <is>
          <t>Bachelor</t>
        </is>
      </c>
      <c r="F2740" s="5" t="inlineStr">
        <is>
          <t>Operations</t>
        </is>
      </c>
      <c r="G2740" s="5" t="inlineStr">
        <is>
          <t>Operations Analyst</t>
        </is>
      </c>
      <c r="H2740" s="5" t="inlineStr">
        <is>
          <t>1</t>
        </is>
      </c>
      <c r="I2740" s="5" t="inlineStr">
        <is>
          <t>Mumbai</t>
        </is>
      </c>
      <c r="J2740" s="5" t="inlineStr">
        <is>
          <t>Full-Time</t>
        </is>
      </c>
      <c r="K2740" s="7" t="n">
        <v>45717</v>
      </c>
      <c r="L2740" s="7" t="n">
        <v>45786</v>
      </c>
      <c r="M2740" s="5" t="inlineStr">
        <is>
          <t>No</t>
        </is>
      </c>
      <c r="N2740" s="5" t="inlineStr">
        <is>
          <t>Resigned</t>
        </is>
      </c>
      <c r="O2740" s="8" t="inlineStr">
        <is>
          <t>68000</t>
        </is>
      </c>
      <c r="P2740" s="5" t="inlineStr">
        <is>
          <t>0</t>
        </is>
      </c>
      <c r="Q2740" s="5" t="inlineStr">
        <is>
          <t>4</t>
        </is>
      </c>
      <c r="R2740" s="5" t="inlineStr">
        <is>
          <t>5</t>
        </is>
      </c>
      <c r="S2740" s="5" t="inlineStr">
        <is>
          <t>2</t>
        </is>
      </c>
      <c r="T2740" s="5" t="inlineStr">
        <is>
          <t>9</t>
        </is>
      </c>
      <c r="U2740" s="5">
        <f>IFS(C2740&lt;30,"Under 30",C2740&lt;40,"30-39",C2740&lt;50,"40-49",TRUE,"50+")</f>
        <v/>
      </c>
      <c r="V2740" s="5">
        <f>IFS(O2740&lt;60000,"Low (&lt;60k)",O2740&lt;100000,"Mid (60-100k)",TRUE,"High (100k+)")</f>
        <v/>
      </c>
      <c r="W2740" s="5">
        <f>IF(M2740="No","Attrited","Active")</f>
        <v/>
      </c>
    </row>
    <row r="2741">
      <c r="A2741" s="5" t="inlineStr">
        <is>
          <t>E02740</t>
        </is>
      </c>
      <c r="B2741" s="5" t="inlineStr">
        <is>
          <t>Male</t>
        </is>
      </c>
      <c r="C2741" s="6" t="inlineStr">
        <is>
          <t>40</t>
        </is>
      </c>
      <c r="D2741" s="5" t="inlineStr">
        <is>
          <t>Married</t>
        </is>
      </c>
      <c r="E2741" s="5" t="inlineStr">
        <is>
          <t>Master</t>
        </is>
      </c>
      <c r="F2741" s="5" t="inlineStr">
        <is>
          <t>Human Resources</t>
        </is>
      </c>
      <c r="G2741" s="5" t="inlineStr">
        <is>
          <t>Recruiter</t>
        </is>
      </c>
      <c r="H2741" s="5" t="inlineStr">
        <is>
          <t>7</t>
        </is>
      </c>
      <c r="I2741" s="5" t="inlineStr">
        <is>
          <t>Remote</t>
        </is>
      </c>
      <c r="J2741" s="5" t="inlineStr">
        <is>
          <t>Full-Time</t>
        </is>
      </c>
      <c r="K2741" s="7" t="n">
        <v>44209</v>
      </c>
      <c r="L2741" s="7" t="inlineStr"/>
      <c r="M2741" s="5" t="inlineStr">
        <is>
          <t>Yes</t>
        </is>
      </c>
      <c r="N2741" s="5" t="inlineStr"/>
      <c r="O2741" s="8" t="inlineStr">
        <is>
          <t>178500</t>
        </is>
      </c>
      <c r="P2741" s="5" t="inlineStr">
        <is>
          <t>5</t>
        </is>
      </c>
      <c r="Q2741" s="5" t="inlineStr">
        <is>
          <t>3</t>
        </is>
      </c>
      <c r="R2741" s="5" t="inlineStr">
        <is>
          <t>5</t>
        </is>
      </c>
      <c r="S2741" s="5" t="inlineStr">
        <is>
          <t>60</t>
        </is>
      </c>
      <c r="T2741" s="5" t="inlineStr">
        <is>
          <t>0</t>
        </is>
      </c>
      <c r="U2741" s="5">
        <f>IFS(C2741&lt;30,"Under 30",C2741&lt;40,"30-39",C2741&lt;50,"40-49",TRUE,"50+")</f>
        <v/>
      </c>
      <c r="V2741" s="5">
        <f>IFS(O2741&lt;60000,"Low (&lt;60k)",O2741&lt;100000,"Mid (60-100k)",TRUE,"High (100k+)")</f>
        <v/>
      </c>
      <c r="W2741" s="5">
        <f>IF(M2741="No","Attrited","Active")</f>
        <v/>
      </c>
    </row>
    <row r="2742">
      <c r="A2742" s="5" t="inlineStr">
        <is>
          <t>E02741</t>
        </is>
      </c>
      <c r="B2742" s="5" t="inlineStr">
        <is>
          <t>Male</t>
        </is>
      </c>
      <c r="C2742" s="6" t="inlineStr">
        <is>
          <t>30</t>
        </is>
      </c>
      <c r="D2742" s="5" t="inlineStr">
        <is>
          <t>Married</t>
        </is>
      </c>
      <c r="E2742" s="5" t="inlineStr">
        <is>
          <t>High School</t>
        </is>
      </c>
      <c r="F2742" s="5" t="inlineStr">
        <is>
          <t>Operations</t>
        </is>
      </c>
      <c r="G2742" s="5" t="inlineStr">
        <is>
          <t>Logistics Coordinator</t>
        </is>
      </c>
      <c r="H2742" s="5" t="inlineStr">
        <is>
          <t>3</t>
        </is>
      </c>
      <c r="I2742" s="5" t="inlineStr">
        <is>
          <t>Delhi</t>
        </is>
      </c>
      <c r="J2742" s="5" t="inlineStr">
        <is>
          <t>Full-Time</t>
        </is>
      </c>
      <c r="K2742" s="7" t="n">
        <v>44186</v>
      </c>
      <c r="L2742" s="7" t="inlineStr"/>
      <c r="M2742" s="5" t="inlineStr">
        <is>
          <t>Yes</t>
        </is>
      </c>
      <c r="N2742" s="5" t="inlineStr"/>
      <c r="O2742" s="8" t="inlineStr">
        <is>
          <t>80000</t>
        </is>
      </c>
      <c r="P2742" s="5" t="inlineStr">
        <is>
          <t>0</t>
        </is>
      </c>
      <c r="Q2742" s="5" t="inlineStr">
        <is>
          <t>5</t>
        </is>
      </c>
      <c r="R2742" s="5" t="inlineStr">
        <is>
          <t>7</t>
        </is>
      </c>
      <c r="S2742" s="5" t="inlineStr">
        <is>
          <t>61</t>
        </is>
      </c>
      <c r="T2742" s="5" t="inlineStr">
        <is>
          <t>9</t>
        </is>
      </c>
      <c r="U2742" s="5">
        <f>IFS(C2742&lt;30,"Under 30",C2742&lt;40,"30-39",C2742&lt;50,"40-49",TRUE,"50+")</f>
        <v/>
      </c>
      <c r="V2742" s="5">
        <f>IFS(O2742&lt;60000,"Low (&lt;60k)",O2742&lt;100000,"Mid (60-100k)",TRUE,"High (100k+)")</f>
        <v/>
      </c>
      <c r="W2742" s="5">
        <f>IF(M2742="No","Attrited","Active")</f>
        <v/>
      </c>
    </row>
    <row r="2743">
      <c r="A2743" s="5" t="inlineStr">
        <is>
          <t>E02742</t>
        </is>
      </c>
      <c r="B2743" s="5" t="inlineStr">
        <is>
          <t>Female</t>
        </is>
      </c>
      <c r="C2743" s="6" t="inlineStr">
        <is>
          <t>33</t>
        </is>
      </c>
      <c r="D2743" s="5" t="inlineStr">
        <is>
          <t>Single</t>
        </is>
      </c>
      <c r="E2743" s="5" t="inlineStr">
        <is>
          <t>High School</t>
        </is>
      </c>
      <c r="F2743" s="5" t="inlineStr">
        <is>
          <t>Customer Support</t>
        </is>
      </c>
      <c r="G2743" s="5" t="inlineStr">
        <is>
          <t>Support Agent</t>
        </is>
      </c>
      <c r="H2743" s="5" t="inlineStr">
        <is>
          <t>1</t>
        </is>
      </c>
      <c r="I2743" s="5" t="inlineStr">
        <is>
          <t>Remote</t>
        </is>
      </c>
      <c r="J2743" s="5" t="inlineStr">
        <is>
          <t>Full-Time</t>
        </is>
      </c>
      <c r="K2743" s="7" t="n">
        <v>45667</v>
      </c>
      <c r="L2743" s="7" t="n">
        <v>45808</v>
      </c>
      <c r="M2743" s="5" t="inlineStr">
        <is>
          <t>No</t>
        </is>
      </c>
      <c r="N2743" s="5" t="inlineStr">
        <is>
          <t>Relocation</t>
        </is>
      </c>
      <c r="O2743" s="8" t="inlineStr">
        <is>
          <t>42500</t>
        </is>
      </c>
      <c r="P2743" s="5" t="inlineStr">
        <is>
          <t>5</t>
        </is>
      </c>
      <c r="Q2743" s="5" t="inlineStr">
        <is>
          <t>3</t>
        </is>
      </c>
      <c r="R2743" s="5" t="inlineStr">
        <is>
          <t>7</t>
        </is>
      </c>
      <c r="S2743" s="5" t="inlineStr">
        <is>
          <t>4</t>
        </is>
      </c>
      <c r="T2743" s="5" t="inlineStr">
        <is>
          <t>6</t>
        </is>
      </c>
      <c r="U2743" s="5">
        <f>IFS(C2743&lt;30,"Under 30",C2743&lt;40,"30-39",C2743&lt;50,"40-49",TRUE,"50+")</f>
        <v/>
      </c>
      <c r="V2743" s="5">
        <f>IFS(O2743&lt;60000,"Low (&lt;60k)",O2743&lt;100000,"Mid (60-100k)",TRUE,"High (100k+)")</f>
        <v/>
      </c>
      <c r="W2743" s="5">
        <f>IF(M2743="No","Attrited","Active")</f>
        <v/>
      </c>
    </row>
    <row r="2744">
      <c r="A2744" s="5" t="inlineStr">
        <is>
          <t>E02743</t>
        </is>
      </c>
      <c r="B2744" s="5" t="inlineStr">
        <is>
          <t>Female</t>
        </is>
      </c>
      <c r="C2744" s="6" t="inlineStr">
        <is>
          <t>32</t>
        </is>
      </c>
      <c r="D2744" s="5" t="inlineStr">
        <is>
          <t>Divorced</t>
        </is>
      </c>
      <c r="E2744" s="5" t="inlineStr">
        <is>
          <t>PhD</t>
        </is>
      </c>
      <c r="F2744" s="5" t="inlineStr">
        <is>
          <t>Sales</t>
        </is>
      </c>
      <c r="G2744" s="5" t="inlineStr">
        <is>
          <t>Sales Executive</t>
        </is>
      </c>
      <c r="H2744" s="5" t="inlineStr">
        <is>
          <t>3</t>
        </is>
      </c>
      <c r="I2744" s="5" t="inlineStr">
        <is>
          <t>Mumbai</t>
        </is>
      </c>
      <c r="J2744" s="5" t="inlineStr">
        <is>
          <t>Full-Time</t>
        </is>
      </c>
      <c r="K2744" s="7" t="n">
        <v>45309</v>
      </c>
      <c r="L2744" s="7" t="inlineStr"/>
      <c r="M2744" s="5" t="inlineStr">
        <is>
          <t>Yes</t>
        </is>
      </c>
      <c r="N2744" s="5" t="inlineStr"/>
      <c r="O2744" s="8" t="inlineStr">
        <is>
          <t>102000</t>
        </is>
      </c>
      <c r="P2744" s="5" t="inlineStr">
        <is>
          <t>5</t>
        </is>
      </c>
      <c r="Q2744" s="5" t="inlineStr">
        <is>
          <t>3</t>
        </is>
      </c>
      <c r="R2744" s="5" t="inlineStr">
        <is>
          <t>5</t>
        </is>
      </c>
      <c r="S2744" s="5" t="inlineStr">
        <is>
          <t>23</t>
        </is>
      </c>
      <c r="T2744" s="5" t="inlineStr">
        <is>
          <t>6</t>
        </is>
      </c>
      <c r="U2744" s="5">
        <f>IFS(C2744&lt;30,"Under 30",C2744&lt;40,"30-39",C2744&lt;50,"40-49",TRUE,"50+")</f>
        <v/>
      </c>
      <c r="V2744" s="5">
        <f>IFS(O2744&lt;60000,"Low (&lt;60k)",O2744&lt;100000,"Mid (60-100k)",TRUE,"High (100k+)")</f>
        <v/>
      </c>
      <c r="W2744" s="5">
        <f>IF(M2744="No","Attrited","Active")</f>
        <v/>
      </c>
    </row>
    <row r="2745">
      <c r="A2745" s="5" t="inlineStr">
        <is>
          <t>E02744</t>
        </is>
      </c>
      <c r="B2745" s="5" t="inlineStr">
        <is>
          <t>Female</t>
        </is>
      </c>
      <c r="C2745" s="6" t="inlineStr">
        <is>
          <t>36</t>
        </is>
      </c>
      <c r="D2745" s="5" t="inlineStr">
        <is>
          <t>Married</t>
        </is>
      </c>
      <c r="E2745" s="5" t="inlineStr">
        <is>
          <t>Diploma</t>
        </is>
      </c>
      <c r="F2745" s="5" t="inlineStr">
        <is>
          <t>Sales</t>
        </is>
      </c>
      <c r="G2745" s="5" t="inlineStr">
        <is>
          <t>Account Executive</t>
        </is>
      </c>
      <c r="H2745" s="5" t="inlineStr">
        <is>
          <t>4</t>
        </is>
      </c>
      <c r="I2745" s="5" t="inlineStr">
        <is>
          <t>Chennai</t>
        </is>
      </c>
      <c r="J2745" s="5" t="inlineStr">
        <is>
          <t>Full-Time</t>
        </is>
      </c>
      <c r="K2745" s="7" t="n">
        <v>45795</v>
      </c>
      <c r="L2745" s="7" t="inlineStr"/>
      <c r="M2745" s="5" t="inlineStr">
        <is>
          <t>Yes</t>
        </is>
      </c>
      <c r="N2745" s="5" t="inlineStr"/>
      <c r="O2745" s="8" t="inlineStr">
        <is>
          <t>143000</t>
        </is>
      </c>
      <c r="P2745" s="5" t="inlineStr">
        <is>
          <t>5</t>
        </is>
      </c>
      <c r="Q2745" s="5" t="inlineStr">
        <is>
          <t>3</t>
        </is>
      </c>
      <c r="R2745" s="5" t="inlineStr">
        <is>
          <t>9</t>
        </is>
      </c>
      <c r="S2745" s="5" t="inlineStr">
        <is>
          <t>7</t>
        </is>
      </c>
      <c r="T2745" s="5" t="inlineStr">
        <is>
          <t>6</t>
        </is>
      </c>
      <c r="U2745" s="5">
        <f>IFS(C2745&lt;30,"Under 30",C2745&lt;40,"30-39",C2745&lt;50,"40-49",TRUE,"50+")</f>
        <v/>
      </c>
      <c r="V2745" s="5">
        <f>IFS(O2745&lt;60000,"Low (&lt;60k)",O2745&lt;100000,"Mid (60-100k)",TRUE,"High (100k+)")</f>
        <v/>
      </c>
      <c r="W2745" s="5">
        <f>IF(M2745="No","Attrited","Active")</f>
        <v/>
      </c>
    </row>
    <row r="2746">
      <c r="A2746" s="5" t="inlineStr">
        <is>
          <t>E02745</t>
        </is>
      </c>
      <c r="B2746" s="5" t="inlineStr">
        <is>
          <t>Male</t>
        </is>
      </c>
      <c r="C2746" s="6" t="inlineStr">
        <is>
          <t>42</t>
        </is>
      </c>
      <c r="D2746" s="5" t="inlineStr">
        <is>
          <t>Single</t>
        </is>
      </c>
      <c r="E2746" s="5" t="inlineStr">
        <is>
          <t>High School</t>
        </is>
      </c>
      <c r="F2746" s="5" t="inlineStr">
        <is>
          <t>Customer Support</t>
        </is>
      </c>
      <c r="G2746" s="5" t="inlineStr">
        <is>
          <t>Support Lead</t>
        </is>
      </c>
      <c r="H2746" s="5" t="inlineStr">
        <is>
          <t>5</t>
        </is>
      </c>
      <c r="I2746" s="5" t="inlineStr">
        <is>
          <t>Mumbai</t>
        </is>
      </c>
      <c r="J2746" s="5" t="inlineStr">
        <is>
          <t>Full-Time</t>
        </is>
      </c>
      <c r="K2746" s="7" t="n">
        <v>45532</v>
      </c>
      <c r="L2746" s="7" t="inlineStr"/>
      <c r="M2746" s="5" t="inlineStr">
        <is>
          <t>Yes</t>
        </is>
      </c>
      <c r="N2746" s="5" t="inlineStr"/>
      <c r="O2746" s="8" t="inlineStr">
        <is>
          <t>71500</t>
        </is>
      </c>
      <c r="P2746" s="5" t="inlineStr">
        <is>
          <t>20</t>
        </is>
      </c>
      <c r="Q2746" s="5" t="inlineStr">
        <is>
          <t>3</t>
        </is>
      </c>
      <c r="R2746" s="5" t="inlineStr">
        <is>
          <t>4</t>
        </is>
      </c>
      <c r="S2746" s="5" t="inlineStr">
        <is>
          <t>16</t>
        </is>
      </c>
      <c r="T2746" s="5" t="inlineStr">
        <is>
          <t>6</t>
        </is>
      </c>
      <c r="U2746" s="5">
        <f>IFS(C2746&lt;30,"Under 30",C2746&lt;40,"30-39",C2746&lt;50,"40-49",TRUE,"50+")</f>
        <v/>
      </c>
      <c r="V2746" s="5">
        <f>IFS(O2746&lt;60000,"Low (&lt;60k)",O2746&lt;100000,"Mid (60-100k)",TRUE,"High (100k+)")</f>
        <v/>
      </c>
      <c r="W2746" s="5">
        <f>IF(M2746="No","Attrited","Active")</f>
        <v/>
      </c>
    </row>
    <row r="2747">
      <c r="A2747" s="5" t="inlineStr">
        <is>
          <t>E02746</t>
        </is>
      </c>
      <c r="B2747" s="5" t="inlineStr">
        <is>
          <t>Male</t>
        </is>
      </c>
      <c r="C2747" s="6" t="inlineStr">
        <is>
          <t>31</t>
        </is>
      </c>
      <c r="D2747" s="5" t="inlineStr">
        <is>
          <t>Married</t>
        </is>
      </c>
      <c r="E2747" s="5" t="inlineStr">
        <is>
          <t>Master</t>
        </is>
      </c>
      <c r="F2747" s="5" t="inlineStr">
        <is>
          <t>Finance</t>
        </is>
      </c>
      <c r="G2747" s="5" t="inlineStr">
        <is>
          <t>Financial Analyst</t>
        </is>
      </c>
      <c r="H2747" s="5" t="inlineStr">
        <is>
          <t>3</t>
        </is>
      </c>
      <c r="I2747" s="5" t="inlineStr">
        <is>
          <t>Delhi</t>
        </is>
      </c>
      <c r="J2747" s="5" t="inlineStr">
        <is>
          <t>Full-Time</t>
        </is>
      </c>
      <c r="K2747" s="7" t="n">
        <v>44122</v>
      </c>
      <c r="L2747" s="7" t="inlineStr"/>
      <c r="M2747" s="5" t="inlineStr">
        <is>
          <t>Yes</t>
        </is>
      </c>
      <c r="N2747" s="5" t="inlineStr"/>
      <c r="O2747" s="8" t="inlineStr">
        <is>
          <t>114000</t>
        </is>
      </c>
      <c r="P2747" s="5" t="inlineStr">
        <is>
          <t>5</t>
        </is>
      </c>
      <c r="Q2747" s="5" t="inlineStr">
        <is>
          <t>3</t>
        </is>
      </c>
      <c r="R2747" s="5" t="inlineStr">
        <is>
          <t>5</t>
        </is>
      </c>
      <c r="S2747" s="5" t="inlineStr">
        <is>
          <t>63</t>
        </is>
      </c>
      <c r="T2747" s="5" t="inlineStr">
        <is>
          <t>0</t>
        </is>
      </c>
      <c r="U2747" s="5">
        <f>IFS(C2747&lt;30,"Under 30",C2747&lt;40,"30-39",C2747&lt;50,"40-49",TRUE,"50+")</f>
        <v/>
      </c>
      <c r="V2747" s="5">
        <f>IFS(O2747&lt;60000,"Low (&lt;60k)",O2747&lt;100000,"Mid (60-100k)",TRUE,"High (100k+)")</f>
        <v/>
      </c>
      <c r="W2747" s="5">
        <f>IF(M2747="No","Attrited","Active")</f>
        <v/>
      </c>
    </row>
    <row r="2748">
      <c r="A2748" s="5" t="inlineStr">
        <is>
          <t>E02747</t>
        </is>
      </c>
      <c r="B2748" s="5" t="inlineStr">
        <is>
          <t>Female</t>
        </is>
      </c>
      <c r="C2748" s="6" t="inlineStr">
        <is>
          <t>33</t>
        </is>
      </c>
      <c r="D2748" s="5" t="inlineStr">
        <is>
          <t>Single</t>
        </is>
      </c>
      <c r="E2748" s="5" t="inlineStr">
        <is>
          <t>Bachelor</t>
        </is>
      </c>
      <c r="F2748" s="5" t="inlineStr">
        <is>
          <t>Operations</t>
        </is>
      </c>
      <c r="G2748" s="5" t="inlineStr">
        <is>
          <t>Logistics Coordinator</t>
        </is>
      </c>
      <c r="H2748" s="5" t="inlineStr">
        <is>
          <t>4</t>
        </is>
      </c>
      <c r="I2748" s="5" t="inlineStr">
        <is>
          <t>Hyderabad</t>
        </is>
      </c>
      <c r="J2748" s="5" t="inlineStr">
        <is>
          <t>Contract</t>
        </is>
      </c>
      <c r="K2748" s="7" t="n">
        <v>44526</v>
      </c>
      <c r="L2748" s="7" t="inlineStr"/>
      <c r="M2748" s="5" t="inlineStr">
        <is>
          <t>Yes</t>
        </is>
      </c>
      <c r="N2748" s="5" t="inlineStr"/>
      <c r="O2748" s="8" t="inlineStr">
        <is>
          <t>115000</t>
        </is>
      </c>
      <c r="P2748" s="5" t="inlineStr">
        <is>
          <t>0</t>
        </is>
      </c>
      <c r="Q2748" s="5" t="inlineStr">
        <is>
          <t>3</t>
        </is>
      </c>
      <c r="R2748" s="5" t="inlineStr">
        <is>
          <t>4</t>
        </is>
      </c>
      <c r="S2748" s="5" t="inlineStr">
        <is>
          <t>49</t>
        </is>
      </c>
      <c r="T2748" s="5" t="inlineStr">
        <is>
          <t>1</t>
        </is>
      </c>
      <c r="U2748" s="5">
        <f>IFS(C2748&lt;30,"Under 30",C2748&lt;40,"30-39",C2748&lt;50,"40-49",TRUE,"50+")</f>
        <v/>
      </c>
      <c r="V2748" s="5">
        <f>IFS(O2748&lt;60000,"Low (&lt;60k)",O2748&lt;100000,"Mid (60-100k)",TRUE,"High (100k+)")</f>
        <v/>
      </c>
      <c r="W2748" s="5">
        <f>IF(M2748="No","Attrited","Active")</f>
        <v/>
      </c>
    </row>
    <row r="2749">
      <c r="A2749" s="5" t="inlineStr">
        <is>
          <t>E02748</t>
        </is>
      </c>
      <c r="B2749" s="5" t="inlineStr">
        <is>
          <t>Female</t>
        </is>
      </c>
      <c r="C2749" s="6" t="inlineStr">
        <is>
          <t>38</t>
        </is>
      </c>
      <c r="D2749" s="5" t="inlineStr">
        <is>
          <t>Divorced</t>
        </is>
      </c>
      <c r="E2749" s="5" t="inlineStr">
        <is>
          <t>High School</t>
        </is>
      </c>
      <c r="F2749" s="5" t="inlineStr">
        <is>
          <t>Research &amp; Development</t>
        </is>
      </c>
      <c r="G2749" s="5" t="inlineStr">
        <is>
          <t>Research Scientist</t>
        </is>
      </c>
      <c r="H2749" s="5" t="inlineStr">
        <is>
          <t>3</t>
        </is>
      </c>
      <c r="I2749" s="5" t="inlineStr">
        <is>
          <t>Remote</t>
        </is>
      </c>
      <c r="J2749" s="5" t="inlineStr">
        <is>
          <t>Full-Time</t>
        </is>
      </c>
      <c r="K2749" s="7" t="n">
        <v>45532</v>
      </c>
      <c r="L2749" s="7" t="inlineStr"/>
      <c r="M2749" s="5" t="inlineStr">
        <is>
          <t>Yes</t>
        </is>
      </c>
      <c r="N2749" s="5" t="inlineStr"/>
      <c r="O2749" s="8" t="inlineStr">
        <is>
          <t>199000</t>
        </is>
      </c>
      <c r="P2749" s="5" t="inlineStr">
        <is>
          <t>5</t>
        </is>
      </c>
      <c r="Q2749" s="5" t="inlineStr">
        <is>
          <t>2</t>
        </is>
      </c>
      <c r="R2749" s="5" t="inlineStr">
        <is>
          <t>7</t>
        </is>
      </c>
      <c r="S2749" s="5" t="inlineStr">
        <is>
          <t>16</t>
        </is>
      </c>
      <c r="T2749" s="5" t="inlineStr">
        <is>
          <t>0</t>
        </is>
      </c>
      <c r="U2749" s="5">
        <f>IFS(C2749&lt;30,"Under 30",C2749&lt;40,"30-39",C2749&lt;50,"40-49",TRUE,"50+")</f>
        <v/>
      </c>
      <c r="V2749" s="5">
        <f>IFS(O2749&lt;60000,"Low (&lt;60k)",O2749&lt;100000,"Mid (60-100k)",TRUE,"High (100k+)")</f>
        <v/>
      </c>
      <c r="W2749" s="5">
        <f>IF(M2749="No","Attrited","Active")</f>
        <v/>
      </c>
    </row>
    <row r="2750">
      <c r="A2750" s="5" t="inlineStr">
        <is>
          <t>E02749</t>
        </is>
      </c>
      <c r="B2750" s="5" t="inlineStr">
        <is>
          <t>Male</t>
        </is>
      </c>
      <c r="C2750" s="6" t="inlineStr">
        <is>
          <t>39</t>
        </is>
      </c>
      <c r="D2750" s="5" t="inlineStr">
        <is>
          <t>Married</t>
        </is>
      </c>
      <c r="E2750" s="5" t="inlineStr">
        <is>
          <t>Bachelor</t>
        </is>
      </c>
      <c r="F2750" s="5" t="inlineStr">
        <is>
          <t>Sales</t>
        </is>
      </c>
      <c r="G2750" s="5" t="inlineStr">
        <is>
          <t>Business Development</t>
        </is>
      </c>
      <c r="H2750" s="5" t="inlineStr">
        <is>
          <t>5</t>
        </is>
      </c>
      <c r="I2750" s="5" t="inlineStr">
        <is>
          <t>Delhi</t>
        </is>
      </c>
      <c r="J2750" s="5" t="inlineStr">
        <is>
          <t>Full-Time</t>
        </is>
      </c>
      <c r="K2750" s="7" t="n">
        <v>44022</v>
      </c>
      <c r="L2750" s="7" t="n">
        <v>44119</v>
      </c>
      <c r="M2750" s="5" t="inlineStr">
        <is>
          <t>No</t>
        </is>
      </c>
      <c r="N2750" s="5" t="inlineStr">
        <is>
          <t>Layoff</t>
        </is>
      </c>
      <c r="O2750" s="8" t="inlineStr">
        <is>
          <t>124000</t>
        </is>
      </c>
      <c r="P2750" s="5" t="inlineStr">
        <is>
          <t>20</t>
        </is>
      </c>
      <c r="Q2750" s="5" t="inlineStr">
        <is>
          <t>4</t>
        </is>
      </c>
      <c r="R2750" s="5" t="inlineStr">
        <is>
          <t>6</t>
        </is>
      </c>
      <c r="S2750" s="5" t="inlineStr">
        <is>
          <t>3</t>
        </is>
      </c>
      <c r="T2750" s="5" t="inlineStr">
        <is>
          <t>11</t>
        </is>
      </c>
      <c r="U2750" s="5">
        <f>IFS(C2750&lt;30,"Under 30",C2750&lt;40,"30-39",C2750&lt;50,"40-49",TRUE,"50+")</f>
        <v/>
      </c>
      <c r="V2750" s="5">
        <f>IFS(O2750&lt;60000,"Low (&lt;60k)",O2750&lt;100000,"Mid (60-100k)",TRUE,"High (100k+)")</f>
        <v/>
      </c>
      <c r="W2750" s="5">
        <f>IF(M2750="No","Attrited","Active")</f>
        <v/>
      </c>
    </row>
    <row r="2751">
      <c r="A2751" s="5" t="inlineStr">
        <is>
          <t>E02750</t>
        </is>
      </c>
      <c r="B2751" s="5" t="inlineStr">
        <is>
          <t>Female</t>
        </is>
      </c>
      <c r="C2751" s="6" t="inlineStr">
        <is>
          <t>24</t>
        </is>
      </c>
      <c r="D2751" s="5" t="inlineStr">
        <is>
          <t>Married</t>
        </is>
      </c>
      <c r="E2751" s="5" t="inlineStr">
        <is>
          <t>High School</t>
        </is>
      </c>
      <c r="F2751" s="5" t="inlineStr">
        <is>
          <t>Operations</t>
        </is>
      </c>
      <c r="G2751" s="5" t="inlineStr">
        <is>
          <t>Logistics Coordinator</t>
        </is>
      </c>
      <c r="H2751" s="5" t="inlineStr">
        <is>
          <t>1</t>
        </is>
      </c>
      <c r="I2751" s="5" t="inlineStr">
        <is>
          <t>Hyderabad</t>
        </is>
      </c>
      <c r="J2751" s="5" t="inlineStr">
        <is>
          <t>Full-Time</t>
        </is>
      </c>
      <c r="K2751" s="7" t="n">
        <v>45493</v>
      </c>
      <c r="L2751" s="7" t="inlineStr"/>
      <c r="M2751" s="5" t="inlineStr">
        <is>
          <t>Yes</t>
        </is>
      </c>
      <c r="N2751" s="5" t="inlineStr"/>
      <c r="O2751" s="8" t="inlineStr">
        <is>
          <t>65500</t>
        </is>
      </c>
      <c r="P2751" s="5" t="inlineStr">
        <is>
          <t>15</t>
        </is>
      </c>
      <c r="Q2751" s="5" t="inlineStr">
        <is>
          <t>3</t>
        </is>
      </c>
      <c r="R2751" s="5" t="inlineStr">
        <is>
          <t>9</t>
        </is>
      </c>
      <c r="S2751" s="5" t="inlineStr">
        <is>
          <t>17</t>
        </is>
      </c>
      <c r="T2751" s="5" t="inlineStr">
        <is>
          <t>0</t>
        </is>
      </c>
      <c r="U2751" s="5">
        <f>IFS(C2751&lt;30,"Under 30",C2751&lt;40,"30-39",C2751&lt;50,"40-49",TRUE,"50+")</f>
        <v/>
      </c>
      <c r="V2751" s="5">
        <f>IFS(O2751&lt;60000,"Low (&lt;60k)",O2751&lt;100000,"Mid (60-100k)",TRUE,"High (100k+)")</f>
        <v/>
      </c>
      <c r="W2751" s="5">
        <f>IF(M2751="No","Attrited","Active")</f>
        <v/>
      </c>
    </row>
    <row r="2752">
      <c r="A2752" s="5" t="inlineStr">
        <is>
          <t>E02751</t>
        </is>
      </c>
      <c r="B2752" s="5" t="inlineStr">
        <is>
          <t>Female</t>
        </is>
      </c>
      <c r="C2752" s="6" t="inlineStr">
        <is>
          <t>30</t>
        </is>
      </c>
      <c r="D2752" s="5" t="inlineStr">
        <is>
          <t>Married</t>
        </is>
      </c>
      <c r="E2752" s="5" t="inlineStr">
        <is>
          <t>High School</t>
        </is>
      </c>
      <c r="F2752" s="5" t="inlineStr">
        <is>
          <t>Customer Support</t>
        </is>
      </c>
      <c r="G2752" s="5" t="inlineStr">
        <is>
          <t>Support Agent</t>
        </is>
      </c>
      <c r="H2752" s="5" t="inlineStr">
        <is>
          <t>2</t>
        </is>
      </c>
      <c r="I2752" s="5" t="inlineStr">
        <is>
          <t>Delhi</t>
        </is>
      </c>
      <c r="J2752" s="5" t="inlineStr">
        <is>
          <t>Full-Time</t>
        </is>
      </c>
      <c r="K2752" s="7" t="n">
        <v>45639</v>
      </c>
      <c r="L2752" s="7" t="n">
        <v>45779</v>
      </c>
      <c r="M2752" s="5" t="inlineStr">
        <is>
          <t>No</t>
        </is>
      </c>
      <c r="N2752" s="5" t="inlineStr">
        <is>
          <t>Relocation</t>
        </is>
      </c>
      <c r="O2752" s="8" t="inlineStr">
        <is>
          <t>53000</t>
        </is>
      </c>
      <c r="P2752" s="5" t="inlineStr">
        <is>
          <t>5</t>
        </is>
      </c>
      <c r="Q2752" s="5" t="inlineStr">
        <is>
          <t>2</t>
        </is>
      </c>
      <c r="R2752" s="5" t="inlineStr">
        <is>
          <t>8</t>
        </is>
      </c>
      <c r="S2752" s="5" t="inlineStr">
        <is>
          <t>4</t>
        </is>
      </c>
      <c r="T2752" s="5" t="inlineStr">
        <is>
          <t>10</t>
        </is>
      </c>
      <c r="U2752" s="5">
        <f>IFS(C2752&lt;30,"Under 30",C2752&lt;40,"30-39",C2752&lt;50,"40-49",TRUE,"50+")</f>
        <v/>
      </c>
      <c r="V2752" s="5">
        <f>IFS(O2752&lt;60000,"Low (&lt;60k)",O2752&lt;100000,"Mid (60-100k)",TRUE,"High (100k+)")</f>
        <v/>
      </c>
      <c r="W2752" s="5">
        <f>IF(M2752="No","Attrited","Active")</f>
        <v/>
      </c>
    </row>
    <row r="2753">
      <c r="A2753" s="5" t="inlineStr">
        <is>
          <t>E02752</t>
        </is>
      </c>
      <c r="B2753" s="5" t="inlineStr">
        <is>
          <t>Male</t>
        </is>
      </c>
      <c r="C2753" s="6" t="inlineStr">
        <is>
          <t>34</t>
        </is>
      </c>
      <c r="D2753" s="5" t="inlineStr">
        <is>
          <t>Single</t>
        </is>
      </c>
      <c r="E2753" s="5" t="inlineStr">
        <is>
          <t>PhD</t>
        </is>
      </c>
      <c r="F2753" s="5" t="inlineStr">
        <is>
          <t>Marketing</t>
        </is>
      </c>
      <c r="G2753" s="5" t="inlineStr">
        <is>
          <t>SEO Specialist</t>
        </is>
      </c>
      <c r="H2753" s="5" t="inlineStr">
        <is>
          <t>6</t>
        </is>
      </c>
      <c r="I2753" s="5" t="inlineStr">
        <is>
          <t>Mumbai</t>
        </is>
      </c>
      <c r="J2753" s="5" t="inlineStr">
        <is>
          <t>Full-Time</t>
        </is>
      </c>
      <c r="K2753" s="7" t="n">
        <v>45078</v>
      </c>
      <c r="L2753" s="7" t="inlineStr"/>
      <c r="M2753" s="5" t="inlineStr">
        <is>
          <t>Yes</t>
        </is>
      </c>
      <c r="N2753" s="5" t="inlineStr"/>
      <c r="O2753" s="8" t="inlineStr">
        <is>
          <t>106500</t>
        </is>
      </c>
      <c r="P2753" s="5" t="inlineStr">
        <is>
          <t>10</t>
        </is>
      </c>
      <c r="Q2753" s="5" t="inlineStr">
        <is>
          <t>3</t>
        </is>
      </c>
      <c r="R2753" s="5" t="inlineStr">
        <is>
          <t>6</t>
        </is>
      </c>
      <c r="S2753" s="5" t="inlineStr">
        <is>
          <t>31</t>
        </is>
      </c>
      <c r="T2753" s="5" t="inlineStr">
        <is>
          <t>8</t>
        </is>
      </c>
      <c r="U2753" s="5">
        <f>IFS(C2753&lt;30,"Under 30",C2753&lt;40,"30-39",C2753&lt;50,"40-49",TRUE,"50+")</f>
        <v/>
      </c>
      <c r="V2753" s="5">
        <f>IFS(O2753&lt;60000,"Low (&lt;60k)",O2753&lt;100000,"Mid (60-100k)",TRUE,"High (100k+)")</f>
        <v/>
      </c>
      <c r="W2753" s="5">
        <f>IF(M2753="No","Attrited","Active")</f>
        <v/>
      </c>
    </row>
    <row r="2754">
      <c r="A2754" s="5" t="inlineStr">
        <is>
          <t>E02753</t>
        </is>
      </c>
      <c r="B2754" s="5" t="inlineStr">
        <is>
          <t>Male</t>
        </is>
      </c>
      <c r="C2754" s="6" t="inlineStr">
        <is>
          <t>28</t>
        </is>
      </c>
      <c r="D2754" s="5" t="inlineStr">
        <is>
          <t>Single</t>
        </is>
      </c>
      <c r="E2754" s="5" t="inlineStr">
        <is>
          <t>Diploma</t>
        </is>
      </c>
      <c r="F2754" s="5" t="inlineStr">
        <is>
          <t>Operations</t>
        </is>
      </c>
      <c r="G2754" s="5" t="inlineStr">
        <is>
          <t>Logistics Coordinator</t>
        </is>
      </c>
      <c r="H2754" s="5" t="inlineStr">
        <is>
          <t>1</t>
        </is>
      </c>
      <c r="I2754" s="5" t="inlineStr">
        <is>
          <t>Bengaluru</t>
        </is>
      </c>
      <c r="J2754" s="5" t="inlineStr">
        <is>
          <t>Full-Time</t>
        </is>
      </c>
      <c r="K2754" s="7" t="n">
        <v>45906</v>
      </c>
      <c r="L2754" s="7" t="n">
        <v>45988</v>
      </c>
      <c r="M2754" s="5" t="inlineStr">
        <is>
          <t>No</t>
        </is>
      </c>
      <c r="N2754" s="5" t="inlineStr">
        <is>
          <t>Performance / Termination</t>
        </is>
      </c>
      <c r="O2754" s="8" t="inlineStr">
        <is>
          <t>89000</t>
        </is>
      </c>
      <c r="P2754" s="5" t="inlineStr">
        <is>
          <t>0</t>
        </is>
      </c>
      <c r="Q2754" s="5" t="inlineStr">
        <is>
          <t>4</t>
        </is>
      </c>
      <c r="R2754" s="5" t="inlineStr">
        <is>
          <t>6</t>
        </is>
      </c>
      <c r="S2754" s="5" t="inlineStr">
        <is>
          <t>2</t>
        </is>
      </c>
      <c r="T2754" s="5" t="inlineStr">
        <is>
          <t>8</t>
        </is>
      </c>
      <c r="U2754" s="5">
        <f>IFS(C2754&lt;30,"Under 30",C2754&lt;40,"30-39",C2754&lt;50,"40-49",TRUE,"50+")</f>
        <v/>
      </c>
      <c r="V2754" s="5">
        <f>IFS(O2754&lt;60000,"Low (&lt;60k)",O2754&lt;100000,"Mid (60-100k)",TRUE,"High (100k+)")</f>
        <v/>
      </c>
      <c r="W2754" s="5">
        <f>IF(M2754="No","Attrited","Active")</f>
        <v/>
      </c>
    </row>
    <row r="2755">
      <c r="A2755" s="5" t="inlineStr">
        <is>
          <t>E02754</t>
        </is>
      </c>
      <c r="B2755" s="5" t="inlineStr">
        <is>
          <t>Female</t>
        </is>
      </c>
      <c r="C2755" s="6" t="inlineStr">
        <is>
          <t>35</t>
        </is>
      </c>
      <c r="D2755" s="5" t="inlineStr">
        <is>
          <t>Single</t>
        </is>
      </c>
      <c r="E2755" s="5" t="inlineStr">
        <is>
          <t>Diploma</t>
        </is>
      </c>
      <c r="F2755" s="5" t="inlineStr">
        <is>
          <t>IT</t>
        </is>
      </c>
      <c r="G2755" s="5" t="inlineStr">
        <is>
          <t>Data Analyst</t>
        </is>
      </c>
      <c r="H2755" s="5" t="inlineStr">
        <is>
          <t>3</t>
        </is>
      </c>
      <c r="I2755" s="5" t="inlineStr">
        <is>
          <t>Hyderabad</t>
        </is>
      </c>
      <c r="J2755" s="5" t="inlineStr">
        <is>
          <t>Part-Time</t>
        </is>
      </c>
      <c r="K2755" s="7" t="n">
        <v>44775</v>
      </c>
      <c r="L2755" s="7" t="inlineStr"/>
      <c r="M2755" s="5" t="inlineStr">
        <is>
          <t>Yes</t>
        </is>
      </c>
      <c r="N2755" s="5" t="inlineStr"/>
      <c r="O2755" s="8" t="inlineStr">
        <is>
          <t>177000</t>
        </is>
      </c>
      <c r="P2755" s="5" t="inlineStr">
        <is>
          <t>0</t>
        </is>
      </c>
      <c r="Q2755" s="5" t="inlineStr">
        <is>
          <t>5</t>
        </is>
      </c>
      <c r="R2755" s="5" t="inlineStr">
        <is>
          <t>5</t>
        </is>
      </c>
      <c r="S2755" s="5" t="inlineStr">
        <is>
          <t>41</t>
        </is>
      </c>
      <c r="T2755" s="5" t="inlineStr">
        <is>
          <t>2</t>
        </is>
      </c>
      <c r="U2755" s="5">
        <f>IFS(C2755&lt;30,"Under 30",C2755&lt;40,"30-39",C2755&lt;50,"40-49",TRUE,"50+")</f>
        <v/>
      </c>
      <c r="V2755" s="5">
        <f>IFS(O2755&lt;60000,"Low (&lt;60k)",O2755&lt;100000,"Mid (60-100k)",TRUE,"High (100k+)")</f>
        <v/>
      </c>
      <c r="W2755" s="5">
        <f>IF(M2755="No","Attrited","Active")</f>
        <v/>
      </c>
    </row>
    <row r="2756">
      <c r="A2756" s="5" t="inlineStr">
        <is>
          <t>E02755</t>
        </is>
      </c>
      <c r="B2756" s="5" t="inlineStr">
        <is>
          <t>Male</t>
        </is>
      </c>
      <c r="C2756" s="6" t="inlineStr">
        <is>
          <t>30</t>
        </is>
      </c>
      <c r="D2756" s="5" t="inlineStr">
        <is>
          <t>Married</t>
        </is>
      </c>
      <c r="E2756" s="5" t="inlineStr">
        <is>
          <t>PhD</t>
        </is>
      </c>
      <c r="F2756" s="5" t="inlineStr">
        <is>
          <t>Operations</t>
        </is>
      </c>
      <c r="G2756" s="5" t="inlineStr">
        <is>
          <t>Operations Analyst</t>
        </is>
      </c>
      <c r="H2756" s="5" t="inlineStr">
        <is>
          <t>2</t>
        </is>
      </c>
      <c r="I2756" s="5" t="inlineStr">
        <is>
          <t>Bengaluru</t>
        </is>
      </c>
      <c r="J2756" s="5" t="inlineStr">
        <is>
          <t>Full-Time</t>
        </is>
      </c>
      <c r="K2756" s="7" t="n">
        <v>45462</v>
      </c>
      <c r="L2756" s="7" t="inlineStr"/>
      <c r="M2756" s="5" t="inlineStr">
        <is>
          <t>Yes</t>
        </is>
      </c>
      <c r="N2756" s="5" t="inlineStr"/>
      <c r="O2756" s="8" t="inlineStr">
        <is>
          <t>71500</t>
        </is>
      </c>
      <c r="P2756" s="5" t="inlineStr">
        <is>
          <t>0</t>
        </is>
      </c>
      <c r="Q2756" s="5" t="inlineStr">
        <is>
          <t>4</t>
        </is>
      </c>
      <c r="R2756" s="5" t="inlineStr">
        <is>
          <t>9</t>
        </is>
      </c>
      <c r="S2756" s="5" t="inlineStr">
        <is>
          <t>18</t>
        </is>
      </c>
      <c r="T2756" s="5" t="inlineStr">
        <is>
          <t>10</t>
        </is>
      </c>
      <c r="U2756" s="5">
        <f>IFS(C2756&lt;30,"Under 30",C2756&lt;40,"30-39",C2756&lt;50,"40-49",TRUE,"50+")</f>
        <v/>
      </c>
      <c r="V2756" s="5">
        <f>IFS(O2756&lt;60000,"Low (&lt;60k)",O2756&lt;100000,"Mid (60-100k)",TRUE,"High (100k+)")</f>
        <v/>
      </c>
      <c r="W2756" s="5">
        <f>IF(M2756="No","Attrited","Active")</f>
        <v/>
      </c>
    </row>
    <row r="2757">
      <c r="A2757" s="5" t="inlineStr">
        <is>
          <t>E02756</t>
        </is>
      </c>
      <c r="B2757" s="5" t="inlineStr">
        <is>
          <t>Female</t>
        </is>
      </c>
      <c r="C2757" s="6" t="inlineStr">
        <is>
          <t>25</t>
        </is>
      </c>
      <c r="D2757" s="5" t="inlineStr">
        <is>
          <t>Married</t>
        </is>
      </c>
      <c r="E2757" s="5" t="inlineStr">
        <is>
          <t>High School</t>
        </is>
      </c>
      <c r="F2757" s="5" t="inlineStr">
        <is>
          <t>Customer Support</t>
        </is>
      </c>
      <c r="G2757" s="5" t="inlineStr">
        <is>
          <t>Escalation Specialist</t>
        </is>
      </c>
      <c r="H2757" s="5" t="inlineStr">
        <is>
          <t>2</t>
        </is>
      </c>
      <c r="I2757" s="5" t="inlineStr">
        <is>
          <t>Mumbai</t>
        </is>
      </c>
      <c r="J2757" s="5" t="inlineStr">
        <is>
          <t>Part-Time</t>
        </is>
      </c>
      <c r="K2757" s="7" t="n">
        <v>43998</v>
      </c>
      <c r="L2757" s="7" t="inlineStr"/>
      <c r="M2757" s="5" t="inlineStr">
        <is>
          <t>Yes</t>
        </is>
      </c>
      <c r="N2757" s="5" t="inlineStr"/>
      <c r="O2757" s="8" t="inlineStr">
        <is>
          <t>63000</t>
        </is>
      </c>
      <c r="P2757" s="5" t="inlineStr">
        <is>
          <t>10</t>
        </is>
      </c>
      <c r="Q2757" s="5" t="inlineStr">
        <is>
          <t>3</t>
        </is>
      </c>
      <c r="R2757" s="5" t="inlineStr">
        <is>
          <t>8</t>
        </is>
      </c>
      <c r="S2757" s="5" t="inlineStr">
        <is>
          <t>67</t>
        </is>
      </c>
      <c r="T2757" s="5" t="inlineStr">
        <is>
          <t>5</t>
        </is>
      </c>
      <c r="U2757" s="5">
        <f>IFS(C2757&lt;30,"Under 30",C2757&lt;40,"30-39",C2757&lt;50,"40-49",TRUE,"50+")</f>
        <v/>
      </c>
      <c r="V2757" s="5">
        <f>IFS(O2757&lt;60000,"Low (&lt;60k)",O2757&lt;100000,"Mid (60-100k)",TRUE,"High (100k+)")</f>
        <v/>
      </c>
      <c r="W2757" s="5">
        <f>IF(M2757="No","Attrited","Active")</f>
        <v/>
      </c>
    </row>
    <row r="2758">
      <c r="A2758" s="5" t="inlineStr">
        <is>
          <t>E02757</t>
        </is>
      </c>
      <c r="B2758" s="5" t="inlineStr">
        <is>
          <t>Male</t>
        </is>
      </c>
      <c r="C2758" s="6" t="inlineStr">
        <is>
          <t>25</t>
        </is>
      </c>
      <c r="D2758" s="5" t="inlineStr">
        <is>
          <t>Married</t>
        </is>
      </c>
      <c r="E2758" s="5" t="inlineStr">
        <is>
          <t>Master</t>
        </is>
      </c>
      <c r="F2758" s="5" t="inlineStr">
        <is>
          <t>Customer Support</t>
        </is>
      </c>
      <c r="G2758" s="5" t="inlineStr">
        <is>
          <t>Support Lead</t>
        </is>
      </c>
      <c r="H2758" s="5" t="inlineStr">
        <is>
          <t>1</t>
        </is>
      </c>
      <c r="I2758" s="5" t="inlineStr">
        <is>
          <t>Delhi</t>
        </is>
      </c>
      <c r="J2758" s="5" t="inlineStr">
        <is>
          <t>Full-Time</t>
        </is>
      </c>
      <c r="K2758" s="7" t="n">
        <v>43955</v>
      </c>
      <c r="L2758" s="7" t="n">
        <v>44053</v>
      </c>
      <c r="M2758" s="5" t="inlineStr">
        <is>
          <t>No</t>
        </is>
      </c>
      <c r="N2758" s="5" t="inlineStr">
        <is>
          <t>Layoff</t>
        </is>
      </c>
      <c r="O2758" s="8" t="inlineStr">
        <is>
          <t>66500</t>
        </is>
      </c>
      <c r="P2758" s="5" t="inlineStr">
        <is>
          <t>0</t>
        </is>
      </c>
      <c r="Q2758" s="5" t="inlineStr">
        <is>
          <t>5</t>
        </is>
      </c>
      <c r="R2758" s="5" t="inlineStr">
        <is>
          <t>8</t>
        </is>
      </c>
      <c r="S2758" s="5" t="inlineStr">
        <is>
          <t>3</t>
        </is>
      </c>
      <c r="T2758" s="5" t="inlineStr">
        <is>
          <t>5</t>
        </is>
      </c>
      <c r="U2758" s="5">
        <f>IFS(C2758&lt;30,"Under 30",C2758&lt;40,"30-39",C2758&lt;50,"40-49",TRUE,"50+")</f>
        <v/>
      </c>
      <c r="V2758" s="5">
        <f>IFS(O2758&lt;60000,"Low (&lt;60k)",O2758&lt;100000,"Mid (60-100k)",TRUE,"High (100k+)")</f>
        <v/>
      </c>
      <c r="W2758" s="5">
        <f>IF(M2758="No","Attrited","Active")</f>
        <v/>
      </c>
    </row>
    <row r="2759">
      <c r="A2759" s="5" t="inlineStr">
        <is>
          <t>E02758</t>
        </is>
      </c>
      <c r="B2759" s="5" t="inlineStr">
        <is>
          <t>Male</t>
        </is>
      </c>
      <c r="C2759" s="6" t="inlineStr">
        <is>
          <t>37</t>
        </is>
      </c>
      <c r="D2759" s="5" t="inlineStr">
        <is>
          <t>Single</t>
        </is>
      </c>
      <c r="E2759" s="5" t="inlineStr">
        <is>
          <t>Master</t>
        </is>
      </c>
      <c r="F2759" s="5" t="inlineStr">
        <is>
          <t>Research &amp; Development</t>
        </is>
      </c>
      <c r="G2759" s="5" t="inlineStr">
        <is>
          <t>Product Engineer</t>
        </is>
      </c>
      <c r="H2759" s="5" t="inlineStr">
        <is>
          <t>7</t>
        </is>
      </c>
      <c r="I2759" s="5" t="inlineStr">
        <is>
          <t>Delhi</t>
        </is>
      </c>
      <c r="J2759" s="5" t="inlineStr">
        <is>
          <t>Full-Time</t>
        </is>
      </c>
      <c r="K2759" s="7" t="n">
        <v>44460</v>
      </c>
      <c r="L2759" s="7" t="inlineStr"/>
      <c r="M2759" s="5" t="inlineStr">
        <is>
          <t>Yes</t>
        </is>
      </c>
      <c r="N2759" s="5" t="inlineStr"/>
      <c r="O2759" s="8" t="inlineStr">
        <is>
          <t>224000</t>
        </is>
      </c>
      <c r="P2759" s="5" t="inlineStr">
        <is>
          <t>5</t>
        </is>
      </c>
      <c r="Q2759" s="5" t="inlineStr">
        <is>
          <t>5</t>
        </is>
      </c>
      <c r="R2759" s="5" t="inlineStr">
        <is>
          <t>4</t>
        </is>
      </c>
      <c r="S2759" s="5" t="inlineStr">
        <is>
          <t>52</t>
        </is>
      </c>
      <c r="T2759" s="5" t="inlineStr">
        <is>
          <t>3</t>
        </is>
      </c>
      <c r="U2759" s="5">
        <f>IFS(C2759&lt;30,"Under 30",C2759&lt;40,"30-39",C2759&lt;50,"40-49",TRUE,"50+")</f>
        <v/>
      </c>
      <c r="V2759" s="5">
        <f>IFS(O2759&lt;60000,"Low (&lt;60k)",O2759&lt;100000,"Mid (60-100k)",TRUE,"High (100k+)")</f>
        <v/>
      </c>
      <c r="W2759" s="5">
        <f>IF(M2759="No","Attrited","Active")</f>
        <v/>
      </c>
    </row>
    <row r="2760">
      <c r="A2760" s="5" t="inlineStr">
        <is>
          <t>E02759</t>
        </is>
      </c>
      <c r="B2760" s="5" t="inlineStr">
        <is>
          <t>Female</t>
        </is>
      </c>
      <c r="C2760" s="6" t="inlineStr">
        <is>
          <t>30</t>
        </is>
      </c>
      <c r="D2760" s="5" t="inlineStr">
        <is>
          <t>Married</t>
        </is>
      </c>
      <c r="E2760" s="5" t="inlineStr">
        <is>
          <t>Master</t>
        </is>
      </c>
      <c r="F2760" s="5" t="inlineStr">
        <is>
          <t>Sales</t>
        </is>
      </c>
      <c r="G2760" s="5" t="inlineStr">
        <is>
          <t>Sales Executive</t>
        </is>
      </c>
      <c r="H2760" s="5" t="inlineStr">
        <is>
          <t>4</t>
        </is>
      </c>
      <c r="I2760" s="5" t="inlineStr">
        <is>
          <t>Remote</t>
        </is>
      </c>
      <c r="J2760" s="5" t="inlineStr">
        <is>
          <t>Full-Time</t>
        </is>
      </c>
      <c r="K2760" s="7" t="n">
        <v>44655</v>
      </c>
      <c r="L2760" s="7" t="inlineStr"/>
      <c r="M2760" s="5" t="inlineStr">
        <is>
          <t>Yes</t>
        </is>
      </c>
      <c r="N2760" s="5" t="inlineStr"/>
      <c r="O2760" s="8" t="inlineStr">
        <is>
          <t>86500</t>
        </is>
      </c>
      <c r="P2760" s="5" t="inlineStr">
        <is>
          <t>5</t>
        </is>
      </c>
      <c r="Q2760" s="5" t="inlineStr">
        <is>
          <t>3</t>
        </is>
      </c>
      <c r="R2760" s="5" t="inlineStr">
        <is>
          <t>1</t>
        </is>
      </c>
      <c r="S2760" s="5" t="inlineStr">
        <is>
          <t>45</t>
        </is>
      </c>
      <c r="T2760" s="5" t="inlineStr">
        <is>
          <t>0</t>
        </is>
      </c>
      <c r="U2760" s="5">
        <f>IFS(C2760&lt;30,"Under 30",C2760&lt;40,"30-39",C2760&lt;50,"40-49",TRUE,"50+")</f>
        <v/>
      </c>
      <c r="V2760" s="5">
        <f>IFS(O2760&lt;60000,"Low (&lt;60k)",O2760&lt;100000,"Mid (60-100k)",TRUE,"High (100k+)")</f>
        <v/>
      </c>
      <c r="W2760" s="5">
        <f>IF(M2760="No","Attrited","Active")</f>
        <v/>
      </c>
    </row>
    <row r="2761">
      <c r="A2761" s="5" t="inlineStr">
        <is>
          <t>E02760</t>
        </is>
      </c>
      <c r="B2761" s="5" t="inlineStr">
        <is>
          <t>Male</t>
        </is>
      </c>
      <c r="C2761" s="6" t="inlineStr">
        <is>
          <t>34</t>
        </is>
      </c>
      <c r="D2761" s="5" t="inlineStr">
        <is>
          <t>Married</t>
        </is>
      </c>
      <c r="E2761" s="5" t="inlineStr">
        <is>
          <t>High School</t>
        </is>
      </c>
      <c r="F2761" s="5" t="inlineStr">
        <is>
          <t>IT</t>
        </is>
      </c>
      <c r="G2761" s="5" t="inlineStr">
        <is>
          <t>Software Engineer</t>
        </is>
      </c>
      <c r="H2761" s="5" t="inlineStr">
        <is>
          <t>3</t>
        </is>
      </c>
      <c r="I2761" s="5" t="inlineStr">
        <is>
          <t>Hyderabad</t>
        </is>
      </c>
      <c r="J2761" s="5" t="inlineStr">
        <is>
          <t>Full-Time</t>
        </is>
      </c>
      <c r="K2761" s="7" t="n">
        <v>45537</v>
      </c>
      <c r="L2761" s="7" t="inlineStr"/>
      <c r="M2761" s="5" t="inlineStr">
        <is>
          <t>Yes</t>
        </is>
      </c>
      <c r="N2761" s="5" t="inlineStr"/>
      <c r="O2761" s="8" t="inlineStr">
        <is>
          <t>111000</t>
        </is>
      </c>
      <c r="P2761" s="5" t="inlineStr">
        <is>
          <t>0</t>
        </is>
      </c>
      <c r="Q2761" s="5" t="inlineStr">
        <is>
          <t>4</t>
        </is>
      </c>
      <c r="R2761" s="5" t="inlineStr">
        <is>
          <t>6</t>
        </is>
      </c>
      <c r="S2761" s="5" t="inlineStr">
        <is>
          <t>16</t>
        </is>
      </c>
      <c r="T2761" s="5" t="inlineStr">
        <is>
          <t>0</t>
        </is>
      </c>
      <c r="U2761" s="5">
        <f>IFS(C2761&lt;30,"Under 30",C2761&lt;40,"30-39",C2761&lt;50,"40-49",TRUE,"50+")</f>
        <v/>
      </c>
      <c r="V2761" s="5">
        <f>IFS(O2761&lt;60000,"Low (&lt;60k)",O2761&lt;100000,"Mid (60-100k)",TRUE,"High (100k+)")</f>
        <v/>
      </c>
      <c r="W2761" s="5">
        <f>IF(M2761="No","Attrited","Active")</f>
        <v/>
      </c>
    </row>
    <row r="2762">
      <c r="A2762" s="5" t="inlineStr">
        <is>
          <t>E02761</t>
        </is>
      </c>
      <c r="B2762" s="5" t="inlineStr">
        <is>
          <t>Male</t>
        </is>
      </c>
      <c r="C2762" s="6" t="inlineStr">
        <is>
          <t>31</t>
        </is>
      </c>
      <c r="D2762" s="5" t="inlineStr">
        <is>
          <t>Married</t>
        </is>
      </c>
      <c r="E2762" s="5" t="inlineStr">
        <is>
          <t>PhD</t>
        </is>
      </c>
      <c r="F2762" s="5" t="inlineStr">
        <is>
          <t>Sales</t>
        </is>
      </c>
      <c r="G2762" s="5" t="inlineStr">
        <is>
          <t>Account Executive</t>
        </is>
      </c>
      <c r="H2762" s="5" t="inlineStr">
        <is>
          <t>2</t>
        </is>
      </c>
      <c r="I2762" s="5" t="inlineStr">
        <is>
          <t>Hyderabad</t>
        </is>
      </c>
      <c r="J2762" s="5" t="inlineStr">
        <is>
          <t>Contract</t>
        </is>
      </c>
      <c r="K2762" s="7" t="n">
        <v>44669</v>
      </c>
      <c r="L2762" s="7" t="inlineStr"/>
      <c r="M2762" s="5" t="inlineStr">
        <is>
          <t>Yes</t>
        </is>
      </c>
      <c r="N2762" s="5" t="inlineStr"/>
      <c r="O2762" s="8" t="inlineStr">
        <is>
          <t>69000</t>
        </is>
      </c>
      <c r="P2762" s="5" t="inlineStr">
        <is>
          <t>10</t>
        </is>
      </c>
      <c r="Q2762" s="5" t="inlineStr">
        <is>
          <t>3</t>
        </is>
      </c>
      <c r="R2762" s="5" t="inlineStr">
        <is>
          <t>6</t>
        </is>
      </c>
      <c r="S2762" s="5" t="inlineStr">
        <is>
          <t>45</t>
        </is>
      </c>
      <c r="T2762" s="5" t="inlineStr">
        <is>
          <t>0</t>
        </is>
      </c>
      <c r="U2762" s="5">
        <f>IFS(C2762&lt;30,"Under 30",C2762&lt;40,"30-39",C2762&lt;50,"40-49",TRUE,"50+")</f>
        <v/>
      </c>
      <c r="V2762" s="5">
        <f>IFS(O2762&lt;60000,"Low (&lt;60k)",O2762&lt;100000,"Mid (60-100k)",TRUE,"High (100k+)")</f>
        <v/>
      </c>
      <c r="W2762" s="5">
        <f>IF(M2762="No","Attrited","Active")</f>
        <v/>
      </c>
    </row>
    <row r="2763">
      <c r="A2763" s="5" t="inlineStr">
        <is>
          <t>E02762</t>
        </is>
      </c>
      <c r="B2763" s="5" t="inlineStr">
        <is>
          <t>Male</t>
        </is>
      </c>
      <c r="C2763" s="6" t="inlineStr">
        <is>
          <t>30</t>
        </is>
      </c>
      <c r="D2763" s="5" t="inlineStr">
        <is>
          <t>Single</t>
        </is>
      </c>
      <c r="E2763" s="5" t="inlineStr">
        <is>
          <t>Master</t>
        </is>
      </c>
      <c r="F2763" s="5" t="inlineStr">
        <is>
          <t>Research &amp; Development</t>
        </is>
      </c>
      <c r="G2763" s="5" t="inlineStr">
        <is>
          <t>Product Engineer</t>
        </is>
      </c>
      <c r="H2763" s="5" t="inlineStr">
        <is>
          <t>2</t>
        </is>
      </c>
      <c r="I2763" s="5" t="inlineStr">
        <is>
          <t>Remote</t>
        </is>
      </c>
      <c r="J2763" s="5" t="inlineStr">
        <is>
          <t>Full-Time</t>
        </is>
      </c>
      <c r="K2763" s="7" t="n">
        <v>43921</v>
      </c>
      <c r="L2763" s="7" t="inlineStr"/>
      <c r="M2763" s="5" t="inlineStr">
        <is>
          <t>Yes</t>
        </is>
      </c>
      <c r="N2763" s="5" t="inlineStr"/>
      <c r="O2763" s="8" t="inlineStr">
        <is>
          <t>161000</t>
        </is>
      </c>
      <c r="P2763" s="5" t="inlineStr">
        <is>
          <t>5</t>
        </is>
      </c>
      <c r="Q2763" s="5" t="inlineStr">
        <is>
          <t>4</t>
        </is>
      </c>
      <c r="R2763" s="5" t="inlineStr">
        <is>
          <t>6</t>
        </is>
      </c>
      <c r="S2763" s="5" t="inlineStr">
        <is>
          <t>70</t>
        </is>
      </c>
      <c r="T2763" s="5" t="inlineStr">
        <is>
          <t>3</t>
        </is>
      </c>
      <c r="U2763" s="5">
        <f>IFS(C2763&lt;30,"Under 30",C2763&lt;40,"30-39",C2763&lt;50,"40-49",TRUE,"50+")</f>
        <v/>
      </c>
      <c r="V2763" s="5">
        <f>IFS(O2763&lt;60000,"Low (&lt;60k)",O2763&lt;100000,"Mid (60-100k)",TRUE,"High (100k+)")</f>
        <v/>
      </c>
      <c r="W2763" s="5">
        <f>IF(M2763="No","Attrited","Active")</f>
        <v/>
      </c>
    </row>
    <row r="2764">
      <c r="A2764" s="5" t="inlineStr">
        <is>
          <t>E02763</t>
        </is>
      </c>
      <c r="B2764" s="5" t="inlineStr">
        <is>
          <t>Male</t>
        </is>
      </c>
      <c r="C2764" s="6" t="inlineStr">
        <is>
          <t>34</t>
        </is>
      </c>
      <c r="D2764" s="5" t="inlineStr">
        <is>
          <t>Divorced</t>
        </is>
      </c>
      <c r="E2764" s="5" t="inlineStr">
        <is>
          <t>Master</t>
        </is>
      </c>
      <c r="F2764" s="5" t="inlineStr">
        <is>
          <t>Operations</t>
        </is>
      </c>
      <c r="G2764" s="5" t="inlineStr">
        <is>
          <t>Quality Analyst</t>
        </is>
      </c>
      <c r="H2764" s="5" t="inlineStr">
        <is>
          <t>2</t>
        </is>
      </c>
      <c r="I2764" s="5" t="inlineStr">
        <is>
          <t>Mumbai</t>
        </is>
      </c>
      <c r="J2764" s="5" t="inlineStr">
        <is>
          <t>Full-Time</t>
        </is>
      </c>
      <c r="K2764" s="7" t="n">
        <v>45312</v>
      </c>
      <c r="L2764" s="7" t="n">
        <v>45364</v>
      </c>
      <c r="M2764" s="5" t="inlineStr">
        <is>
          <t>No</t>
        </is>
      </c>
      <c r="N2764" s="5" t="inlineStr">
        <is>
          <t>Retirement</t>
        </is>
      </c>
      <c r="O2764" s="8" t="inlineStr">
        <is>
          <t>64500</t>
        </is>
      </c>
      <c r="P2764" s="5" t="inlineStr">
        <is>
          <t>0</t>
        </is>
      </c>
      <c r="Q2764" s="5" t="inlineStr">
        <is>
          <t>4</t>
        </is>
      </c>
      <c r="R2764" s="5" t="inlineStr">
        <is>
          <t>5</t>
        </is>
      </c>
      <c r="S2764" s="5" t="inlineStr">
        <is>
          <t>1</t>
        </is>
      </c>
      <c r="T2764" s="5" t="inlineStr">
        <is>
          <t>2</t>
        </is>
      </c>
      <c r="U2764" s="5">
        <f>IFS(C2764&lt;30,"Under 30",C2764&lt;40,"30-39",C2764&lt;50,"40-49",TRUE,"50+")</f>
        <v/>
      </c>
      <c r="V2764" s="5">
        <f>IFS(O2764&lt;60000,"Low (&lt;60k)",O2764&lt;100000,"Mid (60-100k)",TRUE,"High (100k+)")</f>
        <v/>
      </c>
      <c r="W2764" s="5">
        <f>IF(M2764="No","Attrited","Active")</f>
        <v/>
      </c>
    </row>
    <row r="2765">
      <c r="A2765" s="5" t="inlineStr">
        <is>
          <t>E02764</t>
        </is>
      </c>
      <c r="B2765" s="5" t="inlineStr">
        <is>
          <t>Female</t>
        </is>
      </c>
      <c r="C2765" s="6" t="inlineStr">
        <is>
          <t>25</t>
        </is>
      </c>
      <c r="D2765" s="5" t="inlineStr">
        <is>
          <t>Married</t>
        </is>
      </c>
      <c r="E2765" s="5" t="inlineStr">
        <is>
          <t>Diploma</t>
        </is>
      </c>
      <c r="F2765" s="5" t="inlineStr">
        <is>
          <t>Customer Support</t>
        </is>
      </c>
      <c r="G2765" s="5" t="inlineStr">
        <is>
          <t>Support Lead</t>
        </is>
      </c>
      <c r="H2765" s="5" t="inlineStr">
        <is>
          <t>2</t>
        </is>
      </c>
      <c r="I2765" s="5" t="inlineStr">
        <is>
          <t>Bengaluru</t>
        </is>
      </c>
      <c r="J2765" s="5" t="inlineStr">
        <is>
          <t>Full-Time</t>
        </is>
      </c>
      <c r="K2765" s="7" t="n">
        <v>44010</v>
      </c>
      <c r="L2765" s="7" t="n">
        <v>44091</v>
      </c>
      <c r="M2765" s="5" t="inlineStr">
        <is>
          <t>No</t>
        </is>
      </c>
      <c r="N2765" s="5" t="inlineStr">
        <is>
          <t>Resigned</t>
        </is>
      </c>
      <c r="O2765" s="8" t="inlineStr">
        <is>
          <t>74500</t>
        </is>
      </c>
      <c r="P2765" s="5" t="inlineStr">
        <is>
          <t>0</t>
        </is>
      </c>
      <c r="Q2765" s="5" t="inlineStr">
        <is>
          <t>3</t>
        </is>
      </c>
      <c r="R2765" s="5" t="inlineStr">
        <is>
          <t>10</t>
        </is>
      </c>
      <c r="S2765" s="5" t="inlineStr">
        <is>
          <t>2</t>
        </is>
      </c>
      <c r="T2765" s="5" t="inlineStr">
        <is>
          <t>1</t>
        </is>
      </c>
      <c r="U2765" s="5">
        <f>IFS(C2765&lt;30,"Under 30",C2765&lt;40,"30-39",C2765&lt;50,"40-49",TRUE,"50+")</f>
        <v/>
      </c>
      <c r="V2765" s="5">
        <f>IFS(O2765&lt;60000,"Low (&lt;60k)",O2765&lt;100000,"Mid (60-100k)",TRUE,"High (100k+)")</f>
        <v/>
      </c>
      <c r="W2765" s="5">
        <f>IF(M2765="No","Attrited","Active")</f>
        <v/>
      </c>
    </row>
    <row r="2766">
      <c r="A2766" s="5" t="inlineStr">
        <is>
          <t>E02765</t>
        </is>
      </c>
      <c r="B2766" s="5" t="inlineStr">
        <is>
          <t>Female</t>
        </is>
      </c>
      <c r="C2766" s="6" t="inlineStr">
        <is>
          <t>43</t>
        </is>
      </c>
      <c r="D2766" s="5" t="inlineStr">
        <is>
          <t>Married</t>
        </is>
      </c>
      <c r="E2766" s="5" t="inlineStr">
        <is>
          <t>Master</t>
        </is>
      </c>
      <c r="F2766" s="5" t="inlineStr">
        <is>
          <t>Sales</t>
        </is>
      </c>
      <c r="G2766" s="5" t="inlineStr">
        <is>
          <t>Sales Executive</t>
        </is>
      </c>
      <c r="H2766" s="5" t="inlineStr">
        <is>
          <t>6</t>
        </is>
      </c>
      <c r="I2766" s="5" t="inlineStr">
        <is>
          <t>Bengaluru</t>
        </is>
      </c>
      <c r="J2766" s="5" t="inlineStr">
        <is>
          <t>Full-Time</t>
        </is>
      </c>
      <c r="K2766" s="7" t="n">
        <v>44228</v>
      </c>
      <c r="L2766" s="7" t="inlineStr"/>
      <c r="M2766" s="5" t="inlineStr">
        <is>
          <t>Yes</t>
        </is>
      </c>
      <c r="N2766" s="5" t="inlineStr"/>
      <c r="O2766" s="8" t="inlineStr">
        <is>
          <t>181500</t>
        </is>
      </c>
      <c r="P2766" s="5" t="inlineStr">
        <is>
          <t>0</t>
        </is>
      </c>
      <c r="Q2766" s="5" t="inlineStr">
        <is>
          <t>4</t>
        </is>
      </c>
      <c r="R2766" s="5" t="inlineStr">
        <is>
          <t>6</t>
        </is>
      </c>
      <c r="S2766" s="5" t="inlineStr">
        <is>
          <t>59</t>
        </is>
      </c>
      <c r="T2766" s="5" t="inlineStr">
        <is>
          <t>14</t>
        </is>
      </c>
      <c r="U2766" s="5">
        <f>IFS(C2766&lt;30,"Under 30",C2766&lt;40,"30-39",C2766&lt;50,"40-49",TRUE,"50+")</f>
        <v/>
      </c>
      <c r="V2766" s="5">
        <f>IFS(O2766&lt;60000,"Low (&lt;60k)",O2766&lt;100000,"Mid (60-100k)",TRUE,"High (100k+)")</f>
        <v/>
      </c>
      <c r="W2766" s="5">
        <f>IF(M2766="No","Attrited","Active")</f>
        <v/>
      </c>
    </row>
    <row r="2767">
      <c r="A2767" s="5" t="inlineStr">
        <is>
          <t>E02766</t>
        </is>
      </c>
      <c r="B2767" s="5" t="inlineStr">
        <is>
          <t>Female</t>
        </is>
      </c>
      <c r="C2767" s="6" t="inlineStr">
        <is>
          <t>39</t>
        </is>
      </c>
      <c r="D2767" s="5" t="inlineStr">
        <is>
          <t>Married</t>
        </is>
      </c>
      <c r="E2767" s="5" t="inlineStr">
        <is>
          <t>PhD</t>
        </is>
      </c>
      <c r="F2767" s="5" t="inlineStr">
        <is>
          <t>Research &amp; Development</t>
        </is>
      </c>
      <c r="G2767" s="5" t="inlineStr">
        <is>
          <t>Research Scientist</t>
        </is>
      </c>
      <c r="H2767" s="5" t="inlineStr">
        <is>
          <t>4</t>
        </is>
      </c>
      <c r="I2767" s="5" t="inlineStr">
        <is>
          <t>Remote</t>
        </is>
      </c>
      <c r="J2767" s="5" t="inlineStr">
        <is>
          <t>Full-Time</t>
        </is>
      </c>
      <c r="K2767" s="7" t="n">
        <v>45037</v>
      </c>
      <c r="L2767" s="7" t="n">
        <v>45130</v>
      </c>
      <c r="M2767" s="5" t="inlineStr">
        <is>
          <t>No</t>
        </is>
      </c>
      <c r="N2767" s="5" t="inlineStr">
        <is>
          <t>Resigned</t>
        </is>
      </c>
      <c r="O2767" s="8" t="inlineStr">
        <is>
          <t>216000</t>
        </is>
      </c>
      <c r="P2767" s="5" t="inlineStr">
        <is>
          <t>0</t>
        </is>
      </c>
      <c r="Q2767" s="5" t="inlineStr">
        <is>
          <t>4</t>
        </is>
      </c>
      <c r="R2767" s="5" t="inlineStr">
        <is>
          <t>6</t>
        </is>
      </c>
      <c r="S2767" s="5" t="inlineStr">
        <is>
          <t>3</t>
        </is>
      </c>
      <c r="T2767" s="5" t="inlineStr">
        <is>
          <t>7</t>
        </is>
      </c>
      <c r="U2767" s="5">
        <f>IFS(C2767&lt;30,"Under 30",C2767&lt;40,"30-39",C2767&lt;50,"40-49",TRUE,"50+")</f>
        <v/>
      </c>
      <c r="V2767" s="5">
        <f>IFS(O2767&lt;60000,"Low (&lt;60k)",O2767&lt;100000,"Mid (60-100k)",TRUE,"High (100k+)")</f>
        <v/>
      </c>
      <c r="W2767" s="5">
        <f>IF(M2767="No","Attrited","Active")</f>
        <v/>
      </c>
    </row>
    <row r="2768">
      <c r="A2768" s="5" t="inlineStr">
        <is>
          <t>E02767</t>
        </is>
      </c>
      <c r="B2768" s="5" t="inlineStr">
        <is>
          <t>Male</t>
        </is>
      </c>
      <c r="C2768" s="6" t="inlineStr">
        <is>
          <t>37</t>
        </is>
      </c>
      <c r="D2768" s="5" t="inlineStr">
        <is>
          <t>Married</t>
        </is>
      </c>
      <c r="E2768" s="5" t="inlineStr">
        <is>
          <t>PhD</t>
        </is>
      </c>
      <c r="F2768" s="5" t="inlineStr">
        <is>
          <t>Customer Support</t>
        </is>
      </c>
      <c r="G2768" s="5" t="inlineStr">
        <is>
          <t>Support Agent</t>
        </is>
      </c>
      <c r="H2768" s="5" t="inlineStr">
        <is>
          <t>4</t>
        </is>
      </c>
      <c r="I2768" s="5" t="inlineStr">
        <is>
          <t>Mumbai</t>
        </is>
      </c>
      <c r="J2768" s="5" t="inlineStr">
        <is>
          <t>Full-Time</t>
        </is>
      </c>
      <c r="K2768" s="7" t="n">
        <v>44635</v>
      </c>
      <c r="L2768" s="7" t="inlineStr"/>
      <c r="M2768" s="5" t="inlineStr">
        <is>
          <t>Yes</t>
        </is>
      </c>
      <c r="N2768" s="5" t="inlineStr"/>
      <c r="O2768" s="8" t="inlineStr">
        <is>
          <t>72500</t>
        </is>
      </c>
      <c r="P2768" s="5" t="inlineStr">
        <is>
          <t>5</t>
        </is>
      </c>
      <c r="Q2768" s="5" t="inlineStr">
        <is>
          <t>3</t>
        </is>
      </c>
      <c r="R2768" s="5" t="inlineStr">
        <is>
          <t>5</t>
        </is>
      </c>
      <c r="S2768" s="5" t="inlineStr">
        <is>
          <t>46</t>
        </is>
      </c>
      <c r="T2768" s="5" t="inlineStr">
        <is>
          <t>2</t>
        </is>
      </c>
      <c r="U2768" s="5">
        <f>IFS(C2768&lt;30,"Under 30",C2768&lt;40,"30-39",C2768&lt;50,"40-49",TRUE,"50+")</f>
        <v/>
      </c>
      <c r="V2768" s="5">
        <f>IFS(O2768&lt;60000,"Low (&lt;60k)",O2768&lt;100000,"Mid (60-100k)",TRUE,"High (100k+)")</f>
        <v/>
      </c>
      <c r="W2768" s="5">
        <f>IF(M2768="No","Attrited","Active")</f>
        <v/>
      </c>
    </row>
    <row r="2769">
      <c r="A2769" s="5" t="inlineStr">
        <is>
          <t>E02768</t>
        </is>
      </c>
      <c r="B2769" s="5" t="inlineStr">
        <is>
          <t>Male</t>
        </is>
      </c>
      <c r="C2769" s="6" t="inlineStr">
        <is>
          <t>40</t>
        </is>
      </c>
      <c r="D2769" s="5" t="inlineStr">
        <is>
          <t>Married</t>
        </is>
      </c>
      <c r="E2769" s="5" t="inlineStr">
        <is>
          <t>High School</t>
        </is>
      </c>
      <c r="F2769" s="5" t="inlineStr">
        <is>
          <t>IT</t>
        </is>
      </c>
      <c r="G2769" s="5" t="inlineStr">
        <is>
          <t>DevOps Engineer</t>
        </is>
      </c>
      <c r="H2769" s="5" t="inlineStr">
        <is>
          <t>4</t>
        </is>
      </c>
      <c r="I2769" s="5" t="inlineStr">
        <is>
          <t>Delhi</t>
        </is>
      </c>
      <c r="J2769" s="5" t="inlineStr">
        <is>
          <t>Full-Time</t>
        </is>
      </c>
      <c r="K2769" s="7" t="n">
        <v>45738</v>
      </c>
      <c r="L2769" s="7" t="inlineStr"/>
      <c r="M2769" s="5" t="inlineStr">
        <is>
          <t>Yes</t>
        </is>
      </c>
      <c r="N2769" s="5" t="inlineStr"/>
      <c r="O2769" s="8" t="inlineStr">
        <is>
          <t>168500</t>
        </is>
      </c>
      <c r="P2769" s="5" t="inlineStr">
        <is>
          <t>0</t>
        </is>
      </c>
      <c r="Q2769" s="5" t="inlineStr">
        <is>
          <t>3</t>
        </is>
      </c>
      <c r="R2769" s="5" t="inlineStr">
        <is>
          <t>6</t>
        </is>
      </c>
      <c r="S2769" s="5" t="inlineStr">
        <is>
          <t>9</t>
        </is>
      </c>
      <c r="T2769" s="5" t="inlineStr">
        <is>
          <t>9</t>
        </is>
      </c>
      <c r="U2769" s="5">
        <f>IFS(C2769&lt;30,"Under 30",C2769&lt;40,"30-39",C2769&lt;50,"40-49",TRUE,"50+")</f>
        <v/>
      </c>
      <c r="V2769" s="5">
        <f>IFS(O2769&lt;60000,"Low (&lt;60k)",O2769&lt;100000,"Mid (60-100k)",TRUE,"High (100k+)")</f>
        <v/>
      </c>
      <c r="W2769" s="5">
        <f>IF(M2769="No","Attrited","Active")</f>
        <v/>
      </c>
    </row>
    <row r="2770">
      <c r="A2770" s="5" t="inlineStr">
        <is>
          <t>E02769</t>
        </is>
      </c>
      <c r="B2770" s="5" t="inlineStr">
        <is>
          <t>Female</t>
        </is>
      </c>
      <c r="C2770" s="6" t="inlineStr">
        <is>
          <t>25</t>
        </is>
      </c>
      <c r="D2770" s="5" t="inlineStr">
        <is>
          <t>Single</t>
        </is>
      </c>
      <c r="E2770" s="5" t="inlineStr">
        <is>
          <t>PhD</t>
        </is>
      </c>
      <c r="F2770" s="5" t="inlineStr">
        <is>
          <t>Sales</t>
        </is>
      </c>
      <c r="G2770" s="5" t="inlineStr">
        <is>
          <t>Account Executive</t>
        </is>
      </c>
      <c r="H2770" s="5" t="inlineStr">
        <is>
          <t>2</t>
        </is>
      </c>
      <c r="I2770" s="5" t="inlineStr">
        <is>
          <t>Hyderabad</t>
        </is>
      </c>
      <c r="J2770" s="5" t="inlineStr">
        <is>
          <t>Full-Time</t>
        </is>
      </c>
      <c r="K2770" s="7" t="n">
        <v>44993</v>
      </c>
      <c r="L2770" s="7" t="inlineStr"/>
      <c r="M2770" s="5" t="inlineStr">
        <is>
          <t>Yes</t>
        </is>
      </c>
      <c r="N2770" s="5" t="inlineStr"/>
      <c r="O2770" s="8" t="inlineStr">
        <is>
          <t>74000</t>
        </is>
      </c>
      <c r="P2770" s="5" t="inlineStr">
        <is>
          <t>0</t>
        </is>
      </c>
      <c r="Q2770" s="5" t="inlineStr">
        <is>
          <t>2</t>
        </is>
      </c>
      <c r="R2770" s="5" t="inlineStr">
        <is>
          <t>10</t>
        </is>
      </c>
      <c r="S2770" s="5" t="inlineStr">
        <is>
          <t>34</t>
        </is>
      </c>
      <c r="T2770" s="5" t="inlineStr">
        <is>
          <t>0</t>
        </is>
      </c>
      <c r="U2770" s="5">
        <f>IFS(C2770&lt;30,"Under 30",C2770&lt;40,"30-39",C2770&lt;50,"40-49",TRUE,"50+")</f>
        <v/>
      </c>
      <c r="V2770" s="5">
        <f>IFS(O2770&lt;60000,"Low (&lt;60k)",O2770&lt;100000,"Mid (60-100k)",TRUE,"High (100k+)")</f>
        <v/>
      </c>
      <c r="W2770" s="5">
        <f>IF(M2770="No","Attrited","Active")</f>
        <v/>
      </c>
    </row>
    <row r="2771">
      <c r="A2771" s="5" t="inlineStr">
        <is>
          <t>E02770</t>
        </is>
      </c>
      <c r="B2771" s="5" t="inlineStr">
        <is>
          <t>Male</t>
        </is>
      </c>
      <c r="C2771" s="6" t="inlineStr">
        <is>
          <t>23</t>
        </is>
      </c>
      <c r="D2771" s="5" t="inlineStr">
        <is>
          <t>Married</t>
        </is>
      </c>
      <c r="E2771" s="5" t="inlineStr">
        <is>
          <t>Diploma</t>
        </is>
      </c>
      <c r="F2771" s="5" t="inlineStr">
        <is>
          <t>Finance</t>
        </is>
      </c>
      <c r="G2771" s="5" t="inlineStr">
        <is>
          <t>Credit Analyst</t>
        </is>
      </c>
      <c r="H2771" s="5" t="inlineStr">
        <is>
          <t>1</t>
        </is>
      </c>
      <c r="I2771" s="5" t="inlineStr">
        <is>
          <t>Remote</t>
        </is>
      </c>
      <c r="J2771" s="5" t="inlineStr">
        <is>
          <t>Full-Time</t>
        </is>
      </c>
      <c r="K2771" s="7" t="n">
        <v>44548</v>
      </c>
      <c r="L2771" s="7" t="inlineStr"/>
      <c r="M2771" s="5" t="inlineStr">
        <is>
          <t>Yes</t>
        </is>
      </c>
      <c r="N2771" s="5" t="inlineStr"/>
      <c r="O2771" s="8" t="inlineStr">
        <is>
          <t>69000</t>
        </is>
      </c>
      <c r="P2771" s="5" t="inlineStr">
        <is>
          <t>10</t>
        </is>
      </c>
      <c r="Q2771" s="5" t="inlineStr">
        <is>
          <t>2</t>
        </is>
      </c>
      <c r="R2771" s="5" t="inlineStr">
        <is>
          <t>2</t>
        </is>
      </c>
      <c r="S2771" s="5" t="inlineStr">
        <is>
          <t>49</t>
        </is>
      </c>
      <c r="T2771" s="5" t="inlineStr">
        <is>
          <t>14</t>
        </is>
      </c>
      <c r="U2771" s="5">
        <f>IFS(C2771&lt;30,"Under 30",C2771&lt;40,"30-39",C2771&lt;50,"40-49",TRUE,"50+")</f>
        <v/>
      </c>
      <c r="V2771" s="5">
        <f>IFS(O2771&lt;60000,"Low (&lt;60k)",O2771&lt;100000,"Mid (60-100k)",TRUE,"High (100k+)")</f>
        <v/>
      </c>
      <c r="W2771" s="5">
        <f>IF(M2771="No","Attrited","Active")</f>
        <v/>
      </c>
    </row>
    <row r="2772">
      <c r="A2772" s="5" t="inlineStr">
        <is>
          <t>E02771</t>
        </is>
      </c>
      <c r="B2772" s="5" t="inlineStr">
        <is>
          <t>Female</t>
        </is>
      </c>
      <c r="C2772" s="6" t="inlineStr">
        <is>
          <t>36</t>
        </is>
      </c>
      <c r="D2772" s="5" t="inlineStr">
        <is>
          <t>Married</t>
        </is>
      </c>
      <c r="E2772" s="5" t="inlineStr">
        <is>
          <t>High School</t>
        </is>
      </c>
      <c r="F2772" s="5" t="inlineStr">
        <is>
          <t>Human Resources</t>
        </is>
      </c>
      <c r="G2772" s="5" t="inlineStr">
        <is>
          <t>Recruiter</t>
        </is>
      </c>
      <c r="H2772" s="5" t="inlineStr">
        <is>
          <t>2</t>
        </is>
      </c>
      <c r="I2772" s="5" t="inlineStr">
        <is>
          <t>Chennai</t>
        </is>
      </c>
      <c r="J2772" s="5" t="inlineStr">
        <is>
          <t>Full-Time</t>
        </is>
      </c>
      <c r="K2772" s="7" t="n">
        <v>45034</v>
      </c>
      <c r="L2772" s="7" t="inlineStr"/>
      <c r="M2772" s="5" t="inlineStr">
        <is>
          <t>Yes</t>
        </is>
      </c>
      <c r="N2772" s="5" t="inlineStr"/>
      <c r="O2772" s="8" t="inlineStr">
        <is>
          <t>65000</t>
        </is>
      </c>
      <c r="P2772" s="5" t="inlineStr">
        <is>
          <t>10</t>
        </is>
      </c>
      <c r="Q2772" s="5" t="inlineStr">
        <is>
          <t>4</t>
        </is>
      </c>
      <c r="R2772" s="5" t="inlineStr">
        <is>
          <t>8</t>
        </is>
      </c>
      <c r="S2772" s="5" t="inlineStr">
        <is>
          <t>32</t>
        </is>
      </c>
      <c r="T2772" s="5" t="inlineStr">
        <is>
          <t>0</t>
        </is>
      </c>
      <c r="U2772" s="5">
        <f>IFS(C2772&lt;30,"Under 30",C2772&lt;40,"30-39",C2772&lt;50,"40-49",TRUE,"50+")</f>
        <v/>
      </c>
      <c r="V2772" s="5">
        <f>IFS(O2772&lt;60000,"Low (&lt;60k)",O2772&lt;100000,"Mid (60-100k)",TRUE,"High (100k+)")</f>
        <v/>
      </c>
      <c r="W2772" s="5">
        <f>IF(M2772="No","Attrited","Active")</f>
        <v/>
      </c>
    </row>
    <row r="2773">
      <c r="A2773" s="5" t="inlineStr">
        <is>
          <t>E02772</t>
        </is>
      </c>
      <c r="B2773" s="5" t="inlineStr">
        <is>
          <t>Female</t>
        </is>
      </c>
      <c r="C2773" s="6" t="inlineStr">
        <is>
          <t>40</t>
        </is>
      </c>
      <c r="D2773" s="5" t="inlineStr">
        <is>
          <t>Single</t>
        </is>
      </c>
      <c r="E2773" s="5" t="inlineStr">
        <is>
          <t>Bachelor</t>
        </is>
      </c>
      <c r="F2773" s="5" t="inlineStr">
        <is>
          <t>Marketing</t>
        </is>
      </c>
      <c r="G2773" s="5" t="inlineStr">
        <is>
          <t>Content Writer</t>
        </is>
      </c>
      <c r="H2773" s="5" t="inlineStr">
        <is>
          <t>4</t>
        </is>
      </c>
      <c r="I2773" s="5" t="inlineStr">
        <is>
          <t>Chennai</t>
        </is>
      </c>
      <c r="J2773" s="5" t="inlineStr">
        <is>
          <t>Full-Time</t>
        </is>
      </c>
      <c r="K2773" s="7" t="n">
        <v>45793</v>
      </c>
      <c r="L2773" s="7" t="inlineStr"/>
      <c r="M2773" s="5" t="inlineStr">
        <is>
          <t>Yes</t>
        </is>
      </c>
      <c r="N2773" s="5" t="inlineStr"/>
      <c r="O2773" s="8" t="inlineStr">
        <is>
          <t>80500</t>
        </is>
      </c>
      <c r="P2773" s="5" t="inlineStr">
        <is>
          <t>10</t>
        </is>
      </c>
      <c r="Q2773" s="5" t="inlineStr">
        <is>
          <t>4</t>
        </is>
      </c>
      <c r="R2773" s="5" t="inlineStr">
        <is>
          <t>7</t>
        </is>
      </c>
      <c r="S2773" s="5" t="inlineStr">
        <is>
          <t>7</t>
        </is>
      </c>
      <c r="T2773" s="5" t="inlineStr">
        <is>
          <t>23</t>
        </is>
      </c>
      <c r="U2773" s="5">
        <f>IFS(C2773&lt;30,"Under 30",C2773&lt;40,"30-39",C2773&lt;50,"40-49",TRUE,"50+")</f>
        <v/>
      </c>
      <c r="V2773" s="5">
        <f>IFS(O2773&lt;60000,"Low (&lt;60k)",O2773&lt;100000,"Mid (60-100k)",TRUE,"High (100k+)")</f>
        <v/>
      </c>
      <c r="W2773" s="5">
        <f>IF(M2773="No","Attrited","Active")</f>
        <v/>
      </c>
    </row>
    <row r="2774">
      <c r="A2774" s="5" t="inlineStr">
        <is>
          <t>E02773</t>
        </is>
      </c>
      <c r="B2774" s="5" t="inlineStr">
        <is>
          <t>Male</t>
        </is>
      </c>
      <c r="C2774" s="6" t="inlineStr">
        <is>
          <t>33</t>
        </is>
      </c>
      <c r="D2774" s="5" t="inlineStr">
        <is>
          <t>Married</t>
        </is>
      </c>
      <c r="E2774" s="5" t="inlineStr">
        <is>
          <t>Diploma</t>
        </is>
      </c>
      <c r="F2774" s="5" t="inlineStr">
        <is>
          <t>Finance</t>
        </is>
      </c>
      <c r="G2774" s="5" t="inlineStr">
        <is>
          <t>Credit Analyst</t>
        </is>
      </c>
      <c r="H2774" s="5" t="inlineStr">
        <is>
          <t>1</t>
        </is>
      </c>
      <c r="I2774" s="5" t="inlineStr">
        <is>
          <t>Delhi</t>
        </is>
      </c>
      <c r="J2774" s="5" t="inlineStr">
        <is>
          <t>Full-Time</t>
        </is>
      </c>
      <c r="K2774" s="7" t="n">
        <v>45934</v>
      </c>
      <c r="L2774" s="7" t="inlineStr"/>
      <c r="M2774" s="5" t="inlineStr">
        <is>
          <t>Yes</t>
        </is>
      </c>
      <c r="N2774" s="5" t="inlineStr"/>
      <c r="O2774" s="8" t="inlineStr">
        <is>
          <t>104500</t>
        </is>
      </c>
      <c r="P2774" s="5" t="inlineStr">
        <is>
          <t>10</t>
        </is>
      </c>
      <c r="Q2774" s="5" t="inlineStr">
        <is>
          <t>5</t>
        </is>
      </c>
      <c r="R2774" s="5" t="inlineStr">
        <is>
          <t>6</t>
        </is>
      </c>
      <c r="S2774" s="5" t="inlineStr">
        <is>
          <t>2</t>
        </is>
      </c>
      <c r="T2774" s="5" t="inlineStr">
        <is>
          <t>14</t>
        </is>
      </c>
      <c r="U2774" s="5">
        <f>IFS(C2774&lt;30,"Under 30",C2774&lt;40,"30-39",C2774&lt;50,"40-49",TRUE,"50+")</f>
        <v/>
      </c>
      <c r="V2774" s="5">
        <f>IFS(O2774&lt;60000,"Low (&lt;60k)",O2774&lt;100000,"Mid (60-100k)",TRUE,"High (100k+)")</f>
        <v/>
      </c>
      <c r="W2774" s="5">
        <f>IF(M2774="No","Attrited","Active")</f>
        <v/>
      </c>
    </row>
    <row r="2775">
      <c r="A2775" s="5" t="inlineStr">
        <is>
          <t>E02774</t>
        </is>
      </c>
      <c r="B2775" s="5" t="inlineStr">
        <is>
          <t>Female</t>
        </is>
      </c>
      <c r="C2775" s="6" t="inlineStr">
        <is>
          <t>37</t>
        </is>
      </c>
      <c r="D2775" s="5" t="inlineStr">
        <is>
          <t>Single</t>
        </is>
      </c>
      <c r="E2775" s="5" t="inlineStr">
        <is>
          <t>Diploma</t>
        </is>
      </c>
      <c r="F2775" s="5" t="inlineStr">
        <is>
          <t>Operations</t>
        </is>
      </c>
      <c r="G2775" s="5" t="inlineStr">
        <is>
          <t>Operations Analyst</t>
        </is>
      </c>
      <c r="H2775" s="5" t="inlineStr">
        <is>
          <t>4</t>
        </is>
      </c>
      <c r="I2775" s="5" t="inlineStr">
        <is>
          <t>Mumbai</t>
        </is>
      </c>
      <c r="J2775" s="5" t="inlineStr">
        <is>
          <t>Full-Time</t>
        </is>
      </c>
      <c r="K2775" s="7" t="n">
        <v>44581</v>
      </c>
      <c r="L2775" s="7" t="inlineStr"/>
      <c r="M2775" s="5" t="inlineStr">
        <is>
          <t>Yes</t>
        </is>
      </c>
      <c r="N2775" s="5" t="inlineStr"/>
      <c r="O2775" s="8" t="inlineStr">
        <is>
          <t>139500</t>
        </is>
      </c>
      <c r="P2775" s="5" t="inlineStr">
        <is>
          <t>10</t>
        </is>
      </c>
      <c r="Q2775" s="5" t="inlineStr">
        <is>
          <t>3</t>
        </is>
      </c>
      <c r="R2775" s="5" t="inlineStr">
        <is>
          <t>5</t>
        </is>
      </c>
      <c r="S2775" s="5" t="inlineStr">
        <is>
          <t>48</t>
        </is>
      </c>
      <c r="T2775" s="5" t="inlineStr">
        <is>
          <t>15</t>
        </is>
      </c>
      <c r="U2775" s="5">
        <f>IFS(C2775&lt;30,"Under 30",C2775&lt;40,"30-39",C2775&lt;50,"40-49",TRUE,"50+")</f>
        <v/>
      </c>
      <c r="V2775" s="5">
        <f>IFS(O2775&lt;60000,"Low (&lt;60k)",O2775&lt;100000,"Mid (60-100k)",TRUE,"High (100k+)")</f>
        <v/>
      </c>
      <c r="W2775" s="5">
        <f>IF(M2775="No","Attrited","Active")</f>
        <v/>
      </c>
    </row>
    <row r="2776">
      <c r="A2776" s="5" t="inlineStr">
        <is>
          <t>E02775</t>
        </is>
      </c>
      <c r="B2776" s="5" t="inlineStr">
        <is>
          <t>Male</t>
        </is>
      </c>
      <c r="C2776" s="6" t="inlineStr">
        <is>
          <t>27</t>
        </is>
      </c>
      <c r="D2776" s="5" t="inlineStr">
        <is>
          <t>Married</t>
        </is>
      </c>
      <c r="E2776" s="5" t="inlineStr">
        <is>
          <t>Master</t>
        </is>
      </c>
      <c r="F2776" s="5" t="inlineStr">
        <is>
          <t>Sales</t>
        </is>
      </c>
      <c r="G2776" s="5" t="inlineStr">
        <is>
          <t>Business Development</t>
        </is>
      </c>
      <c r="H2776" s="5" t="inlineStr">
        <is>
          <t>3</t>
        </is>
      </c>
      <c r="I2776" s="5" t="inlineStr">
        <is>
          <t>Bengaluru</t>
        </is>
      </c>
      <c r="J2776" s="5" t="inlineStr">
        <is>
          <t>Full-Time</t>
        </is>
      </c>
      <c r="K2776" s="7" t="n">
        <v>45981</v>
      </c>
      <c r="L2776" s="7" t="n">
        <v>45996</v>
      </c>
      <c r="M2776" s="5" t="inlineStr">
        <is>
          <t>No</t>
        </is>
      </c>
      <c r="N2776" s="5" t="inlineStr">
        <is>
          <t>Resigned</t>
        </is>
      </c>
      <c r="O2776" s="8" t="inlineStr">
        <is>
          <t>108500</t>
        </is>
      </c>
      <c r="P2776" s="5" t="inlineStr">
        <is>
          <t>0</t>
        </is>
      </c>
      <c r="Q2776" s="5" t="inlineStr">
        <is>
          <t>3</t>
        </is>
      </c>
      <c r="R2776" s="5" t="inlineStr">
        <is>
          <t>5</t>
        </is>
      </c>
      <c r="S2776" s="5" t="inlineStr">
        <is>
          <t>1</t>
        </is>
      </c>
      <c r="T2776" s="5" t="inlineStr">
        <is>
          <t>9</t>
        </is>
      </c>
      <c r="U2776" s="5">
        <f>IFS(C2776&lt;30,"Under 30",C2776&lt;40,"30-39",C2776&lt;50,"40-49",TRUE,"50+")</f>
        <v/>
      </c>
      <c r="V2776" s="5">
        <f>IFS(O2776&lt;60000,"Low (&lt;60k)",O2776&lt;100000,"Mid (60-100k)",TRUE,"High (100k+)")</f>
        <v/>
      </c>
      <c r="W2776" s="5">
        <f>IF(M2776="No","Attrited","Active")</f>
        <v/>
      </c>
    </row>
    <row r="2777">
      <c r="A2777" s="5" t="inlineStr">
        <is>
          <t>E02776</t>
        </is>
      </c>
      <c r="B2777" s="5" t="inlineStr">
        <is>
          <t>Female</t>
        </is>
      </c>
      <c r="C2777" s="6" t="inlineStr">
        <is>
          <t>31</t>
        </is>
      </c>
      <c r="D2777" s="5" t="inlineStr">
        <is>
          <t>Married</t>
        </is>
      </c>
      <c r="E2777" s="5" t="inlineStr">
        <is>
          <t>Bachelor</t>
        </is>
      </c>
      <c r="F2777" s="5" t="inlineStr">
        <is>
          <t>Customer Support</t>
        </is>
      </c>
      <c r="G2777" s="5" t="inlineStr">
        <is>
          <t>Escalation Specialist</t>
        </is>
      </c>
      <c r="H2777" s="5" t="inlineStr">
        <is>
          <t>3</t>
        </is>
      </c>
      <c r="I2777" s="5" t="inlineStr">
        <is>
          <t>Mumbai</t>
        </is>
      </c>
      <c r="J2777" s="5" t="inlineStr">
        <is>
          <t>Full-Time</t>
        </is>
      </c>
      <c r="K2777" s="7" t="n">
        <v>43886</v>
      </c>
      <c r="L2777" s="7" t="n">
        <v>43956</v>
      </c>
      <c r="M2777" s="5" t="inlineStr">
        <is>
          <t>No</t>
        </is>
      </c>
      <c r="N2777" s="5" t="inlineStr">
        <is>
          <t>Retirement</t>
        </is>
      </c>
      <c r="O2777" s="8" t="inlineStr">
        <is>
          <t>76500</t>
        </is>
      </c>
      <c r="P2777" s="5" t="inlineStr">
        <is>
          <t>15</t>
        </is>
      </c>
      <c r="Q2777" s="5" t="inlineStr">
        <is>
          <t>4</t>
        </is>
      </c>
      <c r="R2777" s="5" t="inlineStr">
        <is>
          <t>6</t>
        </is>
      </c>
      <c r="S2777" s="5" t="inlineStr">
        <is>
          <t>2</t>
        </is>
      </c>
      <c r="T2777" s="5" t="inlineStr">
        <is>
          <t>0</t>
        </is>
      </c>
      <c r="U2777" s="5">
        <f>IFS(C2777&lt;30,"Under 30",C2777&lt;40,"30-39",C2777&lt;50,"40-49",TRUE,"50+")</f>
        <v/>
      </c>
      <c r="V2777" s="5">
        <f>IFS(O2777&lt;60000,"Low (&lt;60k)",O2777&lt;100000,"Mid (60-100k)",TRUE,"High (100k+)")</f>
        <v/>
      </c>
      <c r="W2777" s="5">
        <f>IF(M2777="No","Attrited","Active")</f>
        <v/>
      </c>
    </row>
    <row r="2778">
      <c r="A2778" s="5" t="inlineStr">
        <is>
          <t>E02777</t>
        </is>
      </c>
      <c r="B2778" s="5" t="inlineStr">
        <is>
          <t>Male</t>
        </is>
      </c>
      <c r="C2778" s="6" t="inlineStr">
        <is>
          <t>26</t>
        </is>
      </c>
      <c r="D2778" s="5" t="inlineStr">
        <is>
          <t>Married</t>
        </is>
      </c>
      <c r="E2778" s="5" t="inlineStr">
        <is>
          <t>PhD</t>
        </is>
      </c>
      <c r="F2778" s="5" t="inlineStr">
        <is>
          <t>Sales</t>
        </is>
      </c>
      <c r="G2778" s="5" t="inlineStr">
        <is>
          <t>Sales Executive</t>
        </is>
      </c>
      <c r="H2778" s="5" t="inlineStr">
        <is>
          <t>2</t>
        </is>
      </c>
      <c r="I2778" s="5" t="inlineStr">
        <is>
          <t>Chennai</t>
        </is>
      </c>
      <c r="J2778" s="5" t="inlineStr">
        <is>
          <t>Full-Time</t>
        </is>
      </c>
      <c r="K2778" s="7" t="n">
        <v>44167</v>
      </c>
      <c r="L2778" s="7" t="inlineStr"/>
      <c r="M2778" s="5" t="inlineStr">
        <is>
          <t>Yes</t>
        </is>
      </c>
      <c r="N2778" s="5" t="inlineStr"/>
      <c r="O2778" s="8" t="inlineStr">
        <is>
          <t>104000</t>
        </is>
      </c>
      <c r="P2778" s="5" t="inlineStr">
        <is>
          <t>0</t>
        </is>
      </c>
      <c r="Q2778" s="5" t="inlineStr">
        <is>
          <t>3</t>
        </is>
      </c>
      <c r="R2778" s="5" t="inlineStr">
        <is>
          <t>5</t>
        </is>
      </c>
      <c r="S2778" s="5" t="inlineStr">
        <is>
          <t>61</t>
        </is>
      </c>
      <c r="T2778" s="5" t="inlineStr">
        <is>
          <t>5</t>
        </is>
      </c>
      <c r="U2778" s="5">
        <f>IFS(C2778&lt;30,"Under 30",C2778&lt;40,"30-39",C2778&lt;50,"40-49",TRUE,"50+")</f>
        <v/>
      </c>
      <c r="V2778" s="5">
        <f>IFS(O2778&lt;60000,"Low (&lt;60k)",O2778&lt;100000,"Mid (60-100k)",TRUE,"High (100k+)")</f>
        <v/>
      </c>
      <c r="W2778" s="5">
        <f>IF(M2778="No","Attrited","Active")</f>
        <v/>
      </c>
    </row>
    <row r="2779">
      <c r="A2779" s="5" t="inlineStr">
        <is>
          <t>E02778</t>
        </is>
      </c>
      <c r="B2779" s="5" t="inlineStr">
        <is>
          <t>Male</t>
        </is>
      </c>
      <c r="C2779" s="6" t="inlineStr">
        <is>
          <t>25</t>
        </is>
      </c>
      <c r="D2779" s="5" t="inlineStr">
        <is>
          <t>Single</t>
        </is>
      </c>
      <c r="E2779" s="5" t="inlineStr">
        <is>
          <t>Master</t>
        </is>
      </c>
      <c r="F2779" s="5" t="inlineStr">
        <is>
          <t>Research &amp; Development</t>
        </is>
      </c>
      <c r="G2779" s="5" t="inlineStr">
        <is>
          <t>Product Engineer</t>
        </is>
      </c>
      <c r="H2779" s="5" t="inlineStr">
        <is>
          <t>2</t>
        </is>
      </c>
      <c r="I2779" s="5" t="inlineStr">
        <is>
          <t>Hyderabad</t>
        </is>
      </c>
      <c r="J2779" s="5" t="inlineStr">
        <is>
          <t>Full-Time</t>
        </is>
      </c>
      <c r="K2779" s="7" t="n">
        <v>43894</v>
      </c>
      <c r="L2779" s="7" t="inlineStr"/>
      <c r="M2779" s="5" t="inlineStr">
        <is>
          <t>Yes</t>
        </is>
      </c>
      <c r="N2779" s="5" t="inlineStr"/>
      <c r="O2779" s="8" t="inlineStr">
        <is>
          <t>161500</t>
        </is>
      </c>
      <c r="P2779" s="5" t="inlineStr">
        <is>
          <t>0</t>
        </is>
      </c>
      <c r="Q2779" s="5" t="inlineStr">
        <is>
          <t>4</t>
        </is>
      </c>
      <c r="R2779" s="5" t="inlineStr">
        <is>
          <t>5</t>
        </is>
      </c>
      <c r="S2779" s="5" t="inlineStr">
        <is>
          <t>70</t>
        </is>
      </c>
      <c r="T2779" s="5" t="inlineStr">
        <is>
          <t>9</t>
        </is>
      </c>
      <c r="U2779" s="5">
        <f>IFS(C2779&lt;30,"Under 30",C2779&lt;40,"30-39",C2779&lt;50,"40-49",TRUE,"50+")</f>
        <v/>
      </c>
      <c r="V2779" s="5">
        <f>IFS(O2779&lt;60000,"Low (&lt;60k)",O2779&lt;100000,"Mid (60-100k)",TRUE,"High (100k+)")</f>
        <v/>
      </c>
      <c r="W2779" s="5">
        <f>IF(M2779="No","Attrited","Active")</f>
        <v/>
      </c>
    </row>
    <row r="2780">
      <c r="A2780" s="5" t="inlineStr">
        <is>
          <t>E02779</t>
        </is>
      </c>
      <c r="B2780" s="5" t="inlineStr">
        <is>
          <t>Female</t>
        </is>
      </c>
      <c r="C2780" s="6" t="inlineStr">
        <is>
          <t>30</t>
        </is>
      </c>
      <c r="D2780" s="5" t="inlineStr">
        <is>
          <t>Married</t>
        </is>
      </c>
      <c r="E2780" s="5" t="inlineStr">
        <is>
          <t>Bachelor</t>
        </is>
      </c>
      <c r="F2780" s="5" t="inlineStr">
        <is>
          <t>Executive</t>
        </is>
      </c>
      <c r="G2780" s="5" t="inlineStr">
        <is>
          <t>COO</t>
        </is>
      </c>
      <c r="H2780" s="5" t="inlineStr">
        <is>
          <t>1</t>
        </is>
      </c>
      <c r="I2780" s="5" t="inlineStr">
        <is>
          <t>Remote</t>
        </is>
      </c>
      <c r="J2780" s="5" t="inlineStr">
        <is>
          <t>Full-Time</t>
        </is>
      </c>
      <c r="K2780" s="7" t="n">
        <v>45331</v>
      </c>
      <c r="L2780" s="7" t="inlineStr"/>
      <c r="M2780" s="5" t="inlineStr">
        <is>
          <t>Yes</t>
        </is>
      </c>
      <c r="N2780" s="5" t="inlineStr"/>
      <c r="O2780" s="8" t="inlineStr">
        <is>
          <t>157500</t>
        </is>
      </c>
      <c r="P2780" s="5" t="inlineStr">
        <is>
          <t>10</t>
        </is>
      </c>
      <c r="Q2780" s="5" t="inlineStr">
        <is>
          <t>3</t>
        </is>
      </c>
      <c r="R2780" s="5" t="inlineStr">
        <is>
          <t>6</t>
        </is>
      </c>
      <c r="S2780" s="5" t="inlineStr">
        <is>
          <t>23</t>
        </is>
      </c>
      <c r="T2780" s="5" t="inlineStr">
        <is>
          <t>5</t>
        </is>
      </c>
      <c r="U2780" s="5">
        <f>IFS(C2780&lt;30,"Under 30",C2780&lt;40,"30-39",C2780&lt;50,"40-49",TRUE,"50+")</f>
        <v/>
      </c>
      <c r="V2780" s="5">
        <f>IFS(O2780&lt;60000,"Low (&lt;60k)",O2780&lt;100000,"Mid (60-100k)",TRUE,"High (100k+)")</f>
        <v/>
      </c>
      <c r="W2780" s="5">
        <f>IF(M2780="No","Attrited","Active")</f>
        <v/>
      </c>
    </row>
    <row r="2781">
      <c r="A2781" s="5" t="inlineStr">
        <is>
          <t>E02780</t>
        </is>
      </c>
      <c r="B2781" s="5" t="inlineStr">
        <is>
          <t>Female</t>
        </is>
      </c>
      <c r="C2781" s="6" t="inlineStr">
        <is>
          <t>32</t>
        </is>
      </c>
      <c r="D2781" s="5" t="inlineStr">
        <is>
          <t>Married</t>
        </is>
      </c>
      <c r="E2781" s="5" t="inlineStr">
        <is>
          <t>PhD</t>
        </is>
      </c>
      <c r="F2781" s="5" t="inlineStr">
        <is>
          <t>Sales</t>
        </is>
      </c>
      <c r="G2781" s="5" t="inlineStr">
        <is>
          <t>Business Development</t>
        </is>
      </c>
      <c r="H2781" s="5" t="inlineStr">
        <is>
          <t>3</t>
        </is>
      </c>
      <c r="I2781" s="5" t="inlineStr">
        <is>
          <t>Remote</t>
        </is>
      </c>
      <c r="J2781" s="5" t="inlineStr">
        <is>
          <t>Full-Time</t>
        </is>
      </c>
      <c r="K2781" s="7" t="n">
        <v>45875</v>
      </c>
      <c r="L2781" s="7" t="n">
        <v>45937</v>
      </c>
      <c r="M2781" s="5" t="inlineStr">
        <is>
          <t>No</t>
        </is>
      </c>
      <c r="N2781" s="5" t="inlineStr">
        <is>
          <t>Resigned</t>
        </is>
      </c>
      <c r="O2781" s="8" t="inlineStr">
        <is>
          <t>129000</t>
        </is>
      </c>
      <c r="P2781" s="5" t="inlineStr">
        <is>
          <t>10</t>
        </is>
      </c>
      <c r="Q2781" s="5" t="inlineStr">
        <is>
          <t>2</t>
        </is>
      </c>
      <c r="R2781" s="5" t="inlineStr">
        <is>
          <t>7</t>
        </is>
      </c>
      <c r="S2781" s="5" t="inlineStr">
        <is>
          <t>2</t>
        </is>
      </c>
      <c r="T2781" s="5" t="inlineStr">
        <is>
          <t>3</t>
        </is>
      </c>
      <c r="U2781" s="5">
        <f>IFS(C2781&lt;30,"Under 30",C2781&lt;40,"30-39",C2781&lt;50,"40-49",TRUE,"50+")</f>
        <v/>
      </c>
      <c r="V2781" s="5">
        <f>IFS(O2781&lt;60000,"Low (&lt;60k)",O2781&lt;100000,"Mid (60-100k)",TRUE,"High (100k+)")</f>
        <v/>
      </c>
      <c r="W2781" s="5">
        <f>IF(M2781="No","Attrited","Active")</f>
        <v/>
      </c>
    </row>
    <row r="2782">
      <c r="A2782" s="5" t="inlineStr">
        <is>
          <t>E02781</t>
        </is>
      </c>
      <c r="B2782" s="5" t="inlineStr">
        <is>
          <t>Male</t>
        </is>
      </c>
      <c r="C2782" s="6" t="inlineStr">
        <is>
          <t>24</t>
        </is>
      </c>
      <c r="D2782" s="5" t="inlineStr">
        <is>
          <t>Married</t>
        </is>
      </c>
      <c r="E2782" s="5" t="inlineStr">
        <is>
          <t>Master</t>
        </is>
      </c>
      <c r="F2782" s="5" t="inlineStr">
        <is>
          <t>IT</t>
        </is>
      </c>
      <c r="G2782" s="5" t="inlineStr">
        <is>
          <t>DevOps Engineer</t>
        </is>
      </c>
      <c r="H2782" s="5" t="inlineStr">
        <is>
          <t>1</t>
        </is>
      </c>
      <c r="I2782" s="5" t="inlineStr">
        <is>
          <t>Hyderabad</t>
        </is>
      </c>
      <c r="J2782" s="5" t="inlineStr">
        <is>
          <t>Full-Time</t>
        </is>
      </c>
      <c r="K2782" s="7" t="n">
        <v>44840</v>
      </c>
      <c r="L2782" s="7" t="n">
        <v>44989</v>
      </c>
      <c r="M2782" s="5" t="inlineStr">
        <is>
          <t>No</t>
        </is>
      </c>
      <c r="N2782" s="5" t="inlineStr">
        <is>
          <t>Retirement</t>
        </is>
      </c>
      <c r="O2782" s="8" t="inlineStr">
        <is>
          <t>88500</t>
        </is>
      </c>
      <c r="P2782" s="5" t="inlineStr">
        <is>
          <t>5</t>
        </is>
      </c>
      <c r="Q2782" s="5" t="inlineStr">
        <is>
          <t>4</t>
        </is>
      </c>
      <c r="R2782" s="5" t="inlineStr">
        <is>
          <t>6</t>
        </is>
      </c>
      <c r="S2782" s="5" t="inlineStr">
        <is>
          <t>4</t>
        </is>
      </c>
      <c r="T2782" s="5" t="inlineStr">
        <is>
          <t>2</t>
        </is>
      </c>
      <c r="U2782" s="5">
        <f>IFS(C2782&lt;30,"Under 30",C2782&lt;40,"30-39",C2782&lt;50,"40-49",TRUE,"50+")</f>
        <v/>
      </c>
      <c r="V2782" s="5">
        <f>IFS(O2782&lt;60000,"Low (&lt;60k)",O2782&lt;100000,"Mid (60-100k)",TRUE,"High (100k+)")</f>
        <v/>
      </c>
      <c r="W2782" s="5">
        <f>IF(M2782="No","Attrited","Active")</f>
        <v/>
      </c>
    </row>
    <row r="2783">
      <c r="A2783" s="5" t="inlineStr">
        <is>
          <t>E02782</t>
        </is>
      </c>
      <c r="B2783" s="5" t="inlineStr">
        <is>
          <t>Female</t>
        </is>
      </c>
      <c r="C2783" s="6" t="inlineStr">
        <is>
          <t>29</t>
        </is>
      </c>
      <c r="D2783" s="5" t="inlineStr">
        <is>
          <t>Married</t>
        </is>
      </c>
      <c r="E2783" s="5" t="inlineStr">
        <is>
          <t>Master</t>
        </is>
      </c>
      <c r="F2783" s="5" t="inlineStr">
        <is>
          <t>Finance</t>
        </is>
      </c>
      <c r="G2783" s="5" t="inlineStr">
        <is>
          <t>Financial Analyst</t>
        </is>
      </c>
      <c r="H2783" s="5" t="inlineStr">
        <is>
          <t>1</t>
        </is>
      </c>
      <c r="I2783" s="5" t="inlineStr">
        <is>
          <t>Hyderabad</t>
        </is>
      </c>
      <c r="J2783" s="5" t="inlineStr">
        <is>
          <t>Full-Time</t>
        </is>
      </c>
      <c r="K2783" s="7" t="n">
        <v>45125</v>
      </c>
      <c r="L2783" s="7" t="inlineStr"/>
      <c r="M2783" s="5" t="inlineStr">
        <is>
          <t>Yes</t>
        </is>
      </c>
      <c r="N2783" s="5" t="inlineStr"/>
      <c r="O2783" s="8" t="inlineStr">
        <is>
          <t>111000</t>
        </is>
      </c>
      <c r="P2783" s="5" t="inlineStr">
        <is>
          <t>5</t>
        </is>
      </c>
      <c r="Q2783" s="5" t="inlineStr">
        <is>
          <t>3</t>
        </is>
      </c>
      <c r="R2783" s="5" t="inlineStr">
        <is>
          <t>7</t>
        </is>
      </c>
      <c r="S2783" s="5" t="inlineStr">
        <is>
          <t>29</t>
        </is>
      </c>
      <c r="T2783" s="5" t="inlineStr">
        <is>
          <t>0</t>
        </is>
      </c>
      <c r="U2783" s="5">
        <f>IFS(C2783&lt;30,"Under 30",C2783&lt;40,"30-39",C2783&lt;50,"40-49",TRUE,"50+")</f>
        <v/>
      </c>
      <c r="V2783" s="5">
        <f>IFS(O2783&lt;60000,"Low (&lt;60k)",O2783&lt;100000,"Mid (60-100k)",TRUE,"High (100k+)")</f>
        <v/>
      </c>
      <c r="W2783" s="5">
        <f>IF(M2783="No","Attrited","Active")</f>
        <v/>
      </c>
    </row>
    <row r="2784">
      <c r="A2784" s="5" t="inlineStr">
        <is>
          <t>E02783</t>
        </is>
      </c>
      <c r="B2784" s="5" t="inlineStr">
        <is>
          <t>Female</t>
        </is>
      </c>
      <c r="C2784" s="6" t="inlineStr">
        <is>
          <t>37</t>
        </is>
      </c>
      <c r="D2784" s="5" t="inlineStr">
        <is>
          <t>Single</t>
        </is>
      </c>
      <c r="E2784" s="5" t="inlineStr">
        <is>
          <t>PhD</t>
        </is>
      </c>
      <c r="F2784" s="5" t="inlineStr">
        <is>
          <t>Human Resources</t>
        </is>
      </c>
      <c r="G2784" s="5" t="inlineStr">
        <is>
          <t>HR Generalist</t>
        </is>
      </c>
      <c r="H2784" s="5" t="inlineStr">
        <is>
          <t>3</t>
        </is>
      </c>
      <c r="I2784" s="5" t="inlineStr">
        <is>
          <t>Hyderabad</t>
        </is>
      </c>
      <c r="J2784" s="5" t="inlineStr">
        <is>
          <t>Full-Time</t>
        </is>
      </c>
      <c r="K2784" s="7" t="n">
        <v>44460</v>
      </c>
      <c r="L2784" s="7" t="n">
        <v>44552</v>
      </c>
      <c r="M2784" s="5" t="inlineStr">
        <is>
          <t>No</t>
        </is>
      </c>
      <c r="N2784" s="5" t="inlineStr">
        <is>
          <t>Resigned</t>
        </is>
      </c>
      <c r="O2784" s="8" t="inlineStr">
        <is>
          <t>122500</t>
        </is>
      </c>
      <c r="P2784" s="5" t="inlineStr">
        <is>
          <t>10</t>
        </is>
      </c>
      <c r="Q2784" s="5" t="inlineStr">
        <is>
          <t>3</t>
        </is>
      </c>
      <c r="R2784" s="5" t="inlineStr">
        <is>
          <t>4</t>
        </is>
      </c>
      <c r="S2784" s="5" t="inlineStr">
        <is>
          <t>3</t>
        </is>
      </c>
      <c r="T2784" s="5" t="inlineStr">
        <is>
          <t>9</t>
        </is>
      </c>
      <c r="U2784" s="5">
        <f>IFS(C2784&lt;30,"Under 30",C2784&lt;40,"30-39",C2784&lt;50,"40-49",TRUE,"50+")</f>
        <v/>
      </c>
      <c r="V2784" s="5">
        <f>IFS(O2784&lt;60000,"Low (&lt;60k)",O2784&lt;100000,"Mid (60-100k)",TRUE,"High (100k+)")</f>
        <v/>
      </c>
      <c r="W2784" s="5">
        <f>IF(M2784="No","Attrited","Active")</f>
        <v/>
      </c>
    </row>
    <row r="2785">
      <c r="A2785" s="5" t="inlineStr">
        <is>
          <t>E02784</t>
        </is>
      </c>
      <c r="B2785" s="5" t="inlineStr">
        <is>
          <t>Male</t>
        </is>
      </c>
      <c r="C2785" s="6" t="inlineStr">
        <is>
          <t>27</t>
        </is>
      </c>
      <c r="D2785" s="5" t="inlineStr">
        <is>
          <t>Married</t>
        </is>
      </c>
      <c r="E2785" s="5" t="inlineStr">
        <is>
          <t>Diploma</t>
        </is>
      </c>
      <c r="F2785" s="5" t="inlineStr">
        <is>
          <t>Research &amp; Development</t>
        </is>
      </c>
      <c r="G2785" s="5" t="inlineStr">
        <is>
          <t>Data Scientist</t>
        </is>
      </c>
      <c r="H2785" s="5" t="inlineStr">
        <is>
          <t>2</t>
        </is>
      </c>
      <c r="I2785" s="5" t="inlineStr">
        <is>
          <t>Bengaluru</t>
        </is>
      </c>
      <c r="J2785" s="5" t="inlineStr">
        <is>
          <t>Full-Time</t>
        </is>
      </c>
      <c r="K2785" s="7" t="n">
        <v>45420</v>
      </c>
      <c r="L2785" s="7" t="inlineStr"/>
      <c r="M2785" s="5" t="inlineStr">
        <is>
          <t>Yes</t>
        </is>
      </c>
      <c r="N2785" s="5" t="inlineStr"/>
      <c r="O2785" s="8" t="inlineStr">
        <is>
          <t>155500</t>
        </is>
      </c>
      <c r="P2785" s="5" t="inlineStr">
        <is>
          <t>0</t>
        </is>
      </c>
      <c r="Q2785" s="5" t="inlineStr">
        <is>
          <t>3</t>
        </is>
      </c>
      <c r="R2785" s="5" t="inlineStr">
        <is>
          <t>3</t>
        </is>
      </c>
      <c r="S2785" s="5" t="inlineStr">
        <is>
          <t>20</t>
        </is>
      </c>
      <c r="T2785" s="5" t="inlineStr">
        <is>
          <t>8</t>
        </is>
      </c>
      <c r="U2785" s="5">
        <f>IFS(C2785&lt;30,"Under 30",C2785&lt;40,"30-39",C2785&lt;50,"40-49",TRUE,"50+")</f>
        <v/>
      </c>
      <c r="V2785" s="5">
        <f>IFS(O2785&lt;60000,"Low (&lt;60k)",O2785&lt;100000,"Mid (60-100k)",TRUE,"High (100k+)")</f>
        <v/>
      </c>
      <c r="W2785" s="5">
        <f>IF(M2785="No","Attrited","Active")</f>
        <v/>
      </c>
    </row>
    <row r="2786">
      <c r="A2786" s="5" t="inlineStr">
        <is>
          <t>E02785</t>
        </is>
      </c>
      <c r="B2786" s="5" t="inlineStr">
        <is>
          <t>Male</t>
        </is>
      </c>
      <c r="C2786" s="6" t="inlineStr">
        <is>
          <t>26</t>
        </is>
      </c>
      <c r="D2786" s="5" t="inlineStr">
        <is>
          <t>Married</t>
        </is>
      </c>
      <c r="E2786" s="5" t="inlineStr">
        <is>
          <t>PhD</t>
        </is>
      </c>
      <c r="F2786" s="5" t="inlineStr">
        <is>
          <t>IT</t>
        </is>
      </c>
      <c r="G2786" s="5" t="inlineStr">
        <is>
          <t>IT Support</t>
        </is>
      </c>
      <c r="H2786" s="5" t="inlineStr">
        <is>
          <t>1</t>
        </is>
      </c>
      <c r="I2786" s="5" t="inlineStr">
        <is>
          <t>Hyderabad</t>
        </is>
      </c>
      <c r="J2786" s="5" t="inlineStr">
        <is>
          <t>Full-Time</t>
        </is>
      </c>
      <c r="K2786" s="7" t="n">
        <v>45032</v>
      </c>
      <c r="L2786" s="7" t="inlineStr"/>
      <c r="M2786" s="5" t="inlineStr">
        <is>
          <t>Yes</t>
        </is>
      </c>
      <c r="N2786" s="5" t="inlineStr"/>
      <c r="O2786" s="8" t="inlineStr">
        <is>
          <t>137500</t>
        </is>
      </c>
      <c r="P2786" s="5" t="inlineStr">
        <is>
          <t>5</t>
        </is>
      </c>
      <c r="Q2786" s="5" t="inlineStr">
        <is>
          <t>3</t>
        </is>
      </c>
      <c r="R2786" s="5" t="inlineStr">
        <is>
          <t>7</t>
        </is>
      </c>
      <c r="S2786" s="5" t="inlineStr">
        <is>
          <t>33</t>
        </is>
      </c>
      <c r="T2786" s="5" t="inlineStr">
        <is>
          <t>9</t>
        </is>
      </c>
      <c r="U2786" s="5">
        <f>IFS(C2786&lt;30,"Under 30",C2786&lt;40,"30-39",C2786&lt;50,"40-49",TRUE,"50+")</f>
        <v/>
      </c>
      <c r="V2786" s="5">
        <f>IFS(O2786&lt;60000,"Low (&lt;60k)",O2786&lt;100000,"Mid (60-100k)",TRUE,"High (100k+)")</f>
        <v/>
      </c>
      <c r="W2786" s="5">
        <f>IF(M2786="No","Attrited","Active")</f>
        <v/>
      </c>
    </row>
    <row r="2787">
      <c r="A2787" s="5" t="inlineStr">
        <is>
          <t>E02786</t>
        </is>
      </c>
      <c r="B2787" s="5" t="inlineStr">
        <is>
          <t>Male</t>
        </is>
      </c>
      <c r="C2787" s="6" t="inlineStr">
        <is>
          <t>31</t>
        </is>
      </c>
      <c r="D2787" s="5" t="inlineStr">
        <is>
          <t>Married</t>
        </is>
      </c>
      <c r="E2787" s="5" t="inlineStr">
        <is>
          <t>Diploma</t>
        </is>
      </c>
      <c r="F2787" s="5" t="inlineStr">
        <is>
          <t>Operations</t>
        </is>
      </c>
      <c r="G2787" s="5" t="inlineStr">
        <is>
          <t>Logistics Coordinator</t>
        </is>
      </c>
      <c r="H2787" s="5" t="inlineStr">
        <is>
          <t>4</t>
        </is>
      </c>
      <c r="I2787" s="5" t="inlineStr">
        <is>
          <t>Mumbai</t>
        </is>
      </c>
      <c r="J2787" s="5" t="inlineStr">
        <is>
          <t>Part-Time</t>
        </is>
      </c>
      <c r="K2787" s="7" t="n">
        <v>44202</v>
      </c>
      <c r="L2787" s="7" t="inlineStr"/>
      <c r="M2787" s="5" t="inlineStr">
        <is>
          <t>Yes</t>
        </is>
      </c>
      <c r="N2787" s="5" t="inlineStr"/>
      <c r="O2787" s="8" t="inlineStr">
        <is>
          <t>133500</t>
        </is>
      </c>
      <c r="P2787" s="5" t="inlineStr">
        <is>
          <t>0</t>
        </is>
      </c>
      <c r="Q2787" s="5" t="inlineStr">
        <is>
          <t>4</t>
        </is>
      </c>
      <c r="R2787" s="5" t="inlineStr">
        <is>
          <t>7</t>
        </is>
      </c>
      <c r="S2787" s="5" t="inlineStr">
        <is>
          <t>60</t>
        </is>
      </c>
      <c r="T2787" s="5" t="inlineStr">
        <is>
          <t>0</t>
        </is>
      </c>
      <c r="U2787" s="5">
        <f>IFS(C2787&lt;30,"Under 30",C2787&lt;40,"30-39",C2787&lt;50,"40-49",TRUE,"50+")</f>
        <v/>
      </c>
      <c r="V2787" s="5">
        <f>IFS(O2787&lt;60000,"Low (&lt;60k)",O2787&lt;100000,"Mid (60-100k)",TRUE,"High (100k+)")</f>
        <v/>
      </c>
      <c r="W2787" s="5">
        <f>IF(M2787="No","Attrited","Active")</f>
        <v/>
      </c>
    </row>
    <row r="2788">
      <c r="A2788" s="5" t="inlineStr">
        <is>
          <t>E02787</t>
        </is>
      </c>
      <c r="B2788" s="5" t="inlineStr">
        <is>
          <t>Male</t>
        </is>
      </c>
      <c r="C2788" s="6" t="inlineStr">
        <is>
          <t>31</t>
        </is>
      </c>
      <c r="D2788" s="5" t="inlineStr">
        <is>
          <t>Married</t>
        </is>
      </c>
      <c r="E2788" s="5" t="inlineStr">
        <is>
          <t>Diploma</t>
        </is>
      </c>
      <c r="F2788" s="5" t="inlineStr">
        <is>
          <t>IT</t>
        </is>
      </c>
      <c r="G2788" s="5" t="inlineStr">
        <is>
          <t>Data Analyst</t>
        </is>
      </c>
      <c r="H2788" s="5" t="inlineStr">
        <is>
          <t>5</t>
        </is>
      </c>
      <c r="I2788" s="5" t="inlineStr">
        <is>
          <t>Hyderabad</t>
        </is>
      </c>
      <c r="J2788" s="5" t="inlineStr">
        <is>
          <t>Full-Time</t>
        </is>
      </c>
      <c r="K2788" s="7" t="n">
        <v>45497</v>
      </c>
      <c r="L2788" s="7" t="inlineStr"/>
      <c r="M2788" s="5" t="inlineStr">
        <is>
          <t>Yes</t>
        </is>
      </c>
      <c r="N2788" s="5" t="inlineStr"/>
      <c r="O2788" s="8" t="inlineStr">
        <is>
          <t>159500</t>
        </is>
      </c>
      <c r="P2788" s="5" t="inlineStr">
        <is>
          <t>0</t>
        </is>
      </c>
      <c r="Q2788" s="5" t="inlineStr">
        <is>
          <t>4</t>
        </is>
      </c>
      <c r="R2788" s="5" t="inlineStr">
        <is>
          <t>8</t>
        </is>
      </c>
      <c r="S2788" s="5" t="inlineStr">
        <is>
          <t>17</t>
        </is>
      </c>
      <c r="T2788" s="5" t="inlineStr">
        <is>
          <t>4</t>
        </is>
      </c>
      <c r="U2788" s="5">
        <f>IFS(C2788&lt;30,"Under 30",C2788&lt;40,"30-39",C2788&lt;50,"40-49",TRUE,"50+")</f>
        <v/>
      </c>
      <c r="V2788" s="5">
        <f>IFS(O2788&lt;60000,"Low (&lt;60k)",O2788&lt;100000,"Mid (60-100k)",TRUE,"High (100k+)")</f>
        <v/>
      </c>
      <c r="W2788" s="5">
        <f>IF(M2788="No","Attrited","Active")</f>
        <v/>
      </c>
    </row>
    <row r="2789">
      <c r="A2789" s="5" t="inlineStr">
        <is>
          <t>E02788</t>
        </is>
      </c>
      <c r="B2789" s="5" t="inlineStr">
        <is>
          <t>Female</t>
        </is>
      </c>
      <c r="C2789" s="6" t="inlineStr">
        <is>
          <t>33</t>
        </is>
      </c>
      <c r="D2789" s="5" t="inlineStr">
        <is>
          <t>Single</t>
        </is>
      </c>
      <c r="E2789" s="5" t="inlineStr">
        <is>
          <t>High School</t>
        </is>
      </c>
      <c r="F2789" s="5" t="inlineStr">
        <is>
          <t>Human Resources</t>
        </is>
      </c>
      <c r="G2789" s="5" t="inlineStr">
        <is>
          <t>HR Analyst</t>
        </is>
      </c>
      <c r="H2789" s="5" t="inlineStr">
        <is>
          <t>3</t>
        </is>
      </c>
      <c r="I2789" s="5" t="inlineStr">
        <is>
          <t>Hyderabad</t>
        </is>
      </c>
      <c r="J2789" s="5" t="inlineStr">
        <is>
          <t>Full-Time</t>
        </is>
      </c>
      <c r="K2789" s="7" t="n">
        <v>43995</v>
      </c>
      <c r="L2789" s="7" t="inlineStr"/>
      <c r="M2789" s="5" t="inlineStr">
        <is>
          <t>Yes</t>
        </is>
      </c>
      <c r="N2789" s="5" t="inlineStr"/>
      <c r="O2789" s="8" t="inlineStr">
        <is>
          <t>93000</t>
        </is>
      </c>
      <c r="P2789" s="5" t="inlineStr">
        <is>
          <t>10</t>
        </is>
      </c>
      <c r="Q2789" s="5" t="inlineStr">
        <is>
          <t>2</t>
        </is>
      </c>
      <c r="R2789" s="5" t="inlineStr">
        <is>
          <t>9</t>
        </is>
      </c>
      <c r="S2789" s="5" t="inlineStr">
        <is>
          <t>67</t>
        </is>
      </c>
      <c r="T2789" s="5" t="inlineStr">
        <is>
          <t>14</t>
        </is>
      </c>
      <c r="U2789" s="5">
        <f>IFS(C2789&lt;30,"Under 30",C2789&lt;40,"30-39",C2789&lt;50,"40-49",TRUE,"50+")</f>
        <v/>
      </c>
      <c r="V2789" s="5">
        <f>IFS(O2789&lt;60000,"Low (&lt;60k)",O2789&lt;100000,"Mid (60-100k)",TRUE,"High (100k+)")</f>
        <v/>
      </c>
      <c r="W2789" s="5">
        <f>IF(M2789="No","Attrited","Active")</f>
        <v/>
      </c>
    </row>
    <row r="2790">
      <c r="A2790" s="5" t="inlineStr">
        <is>
          <t>E02789</t>
        </is>
      </c>
      <c r="B2790" s="5" t="inlineStr">
        <is>
          <t>Male</t>
        </is>
      </c>
      <c r="C2790" s="6" t="inlineStr">
        <is>
          <t>32</t>
        </is>
      </c>
      <c r="D2790" s="5" t="inlineStr">
        <is>
          <t>Single</t>
        </is>
      </c>
      <c r="E2790" s="5" t="inlineStr">
        <is>
          <t>PhD</t>
        </is>
      </c>
      <c r="F2790" s="5" t="inlineStr">
        <is>
          <t>Sales</t>
        </is>
      </c>
      <c r="G2790" s="5" t="inlineStr">
        <is>
          <t>Business Development</t>
        </is>
      </c>
      <c r="H2790" s="5" t="inlineStr">
        <is>
          <t>4</t>
        </is>
      </c>
      <c r="I2790" s="5" t="inlineStr">
        <is>
          <t>Remote</t>
        </is>
      </c>
      <c r="J2790" s="5" t="inlineStr">
        <is>
          <t>Full-Time</t>
        </is>
      </c>
      <c r="K2790" s="7" t="n">
        <v>45937</v>
      </c>
      <c r="L2790" s="7" t="inlineStr"/>
      <c r="M2790" s="5" t="inlineStr">
        <is>
          <t>Yes</t>
        </is>
      </c>
      <c r="N2790" s="5" t="inlineStr"/>
      <c r="O2790" s="8" t="inlineStr">
        <is>
          <t>135500</t>
        </is>
      </c>
      <c r="P2790" s="5" t="inlineStr">
        <is>
          <t>5</t>
        </is>
      </c>
      <c r="Q2790" s="5" t="inlineStr">
        <is>
          <t>5</t>
        </is>
      </c>
      <c r="R2790" s="5" t="inlineStr">
        <is>
          <t>8</t>
        </is>
      </c>
      <c r="S2790" s="5" t="inlineStr">
        <is>
          <t>2</t>
        </is>
      </c>
      <c r="T2790" s="5" t="inlineStr">
        <is>
          <t>0</t>
        </is>
      </c>
      <c r="U2790" s="5">
        <f>IFS(C2790&lt;30,"Under 30",C2790&lt;40,"30-39",C2790&lt;50,"40-49",TRUE,"50+")</f>
        <v/>
      </c>
      <c r="V2790" s="5">
        <f>IFS(O2790&lt;60000,"Low (&lt;60k)",O2790&lt;100000,"Mid (60-100k)",TRUE,"High (100k+)")</f>
        <v/>
      </c>
      <c r="W2790" s="5">
        <f>IF(M2790="No","Attrited","Active")</f>
        <v/>
      </c>
    </row>
    <row r="2791">
      <c r="A2791" s="5" t="inlineStr">
        <is>
          <t>E02790</t>
        </is>
      </c>
      <c r="B2791" s="5" t="inlineStr">
        <is>
          <t>Male</t>
        </is>
      </c>
      <c r="C2791" s="6" t="inlineStr">
        <is>
          <t>29</t>
        </is>
      </c>
      <c r="D2791" s="5" t="inlineStr">
        <is>
          <t>Single</t>
        </is>
      </c>
      <c r="E2791" s="5" t="inlineStr">
        <is>
          <t>Diploma</t>
        </is>
      </c>
      <c r="F2791" s="5" t="inlineStr">
        <is>
          <t>Human Resources</t>
        </is>
      </c>
      <c r="G2791" s="5" t="inlineStr">
        <is>
          <t>HR Analyst</t>
        </is>
      </c>
      <c r="H2791" s="5" t="inlineStr">
        <is>
          <t>2</t>
        </is>
      </c>
      <c r="I2791" s="5" t="inlineStr">
        <is>
          <t>Mumbai</t>
        </is>
      </c>
      <c r="J2791" s="5" t="inlineStr">
        <is>
          <t>Full-Time</t>
        </is>
      </c>
      <c r="K2791" s="7" t="n">
        <v>45652</v>
      </c>
      <c r="L2791" s="7" t="inlineStr"/>
      <c r="M2791" s="5" t="inlineStr">
        <is>
          <t>Yes</t>
        </is>
      </c>
      <c r="N2791" s="5" t="inlineStr"/>
      <c r="O2791" s="8" t="inlineStr">
        <is>
          <t>108500</t>
        </is>
      </c>
      <c r="P2791" s="5" t="inlineStr">
        <is>
          <t>0</t>
        </is>
      </c>
      <c r="Q2791" s="5" t="inlineStr">
        <is>
          <t>4</t>
        </is>
      </c>
      <c r="R2791" s="5" t="inlineStr">
        <is>
          <t>9</t>
        </is>
      </c>
      <c r="S2791" s="5" t="inlineStr">
        <is>
          <t>12</t>
        </is>
      </c>
      <c r="T2791" s="5" t="inlineStr">
        <is>
          <t>8</t>
        </is>
      </c>
      <c r="U2791" s="5">
        <f>IFS(C2791&lt;30,"Under 30",C2791&lt;40,"30-39",C2791&lt;50,"40-49",TRUE,"50+")</f>
        <v/>
      </c>
      <c r="V2791" s="5">
        <f>IFS(O2791&lt;60000,"Low (&lt;60k)",O2791&lt;100000,"Mid (60-100k)",TRUE,"High (100k+)")</f>
        <v/>
      </c>
      <c r="W2791" s="5">
        <f>IF(M2791="No","Attrited","Active")</f>
        <v/>
      </c>
    </row>
    <row r="2792">
      <c r="A2792" s="5" t="inlineStr">
        <is>
          <t>E02791</t>
        </is>
      </c>
      <c r="B2792" s="5" t="inlineStr">
        <is>
          <t>Male</t>
        </is>
      </c>
      <c r="C2792" s="6" t="inlineStr">
        <is>
          <t>33</t>
        </is>
      </c>
      <c r="D2792" s="5" t="inlineStr">
        <is>
          <t>Married</t>
        </is>
      </c>
      <c r="E2792" s="5" t="inlineStr">
        <is>
          <t>PhD</t>
        </is>
      </c>
      <c r="F2792" s="5" t="inlineStr">
        <is>
          <t>Marketing</t>
        </is>
      </c>
      <c r="G2792" s="5" t="inlineStr">
        <is>
          <t>Content Writer</t>
        </is>
      </c>
      <c r="H2792" s="5" t="inlineStr">
        <is>
          <t>1</t>
        </is>
      </c>
      <c r="I2792" s="5" t="inlineStr">
        <is>
          <t>Mumbai</t>
        </is>
      </c>
      <c r="J2792" s="5" t="inlineStr">
        <is>
          <t>Full-Time</t>
        </is>
      </c>
      <c r="K2792" s="7" t="n">
        <v>45808</v>
      </c>
      <c r="L2792" s="7" t="inlineStr"/>
      <c r="M2792" s="5" t="inlineStr">
        <is>
          <t>Yes</t>
        </is>
      </c>
      <c r="N2792" s="5" t="inlineStr"/>
      <c r="O2792" s="8" t="inlineStr">
        <is>
          <t>75000</t>
        </is>
      </c>
      <c r="P2792" s="5" t="inlineStr">
        <is>
          <t>5</t>
        </is>
      </c>
      <c r="Q2792" s="5" t="inlineStr">
        <is>
          <t>3</t>
        </is>
      </c>
      <c r="R2792" s="5" t="inlineStr">
        <is>
          <t>7</t>
        </is>
      </c>
      <c r="S2792" s="5" t="inlineStr">
        <is>
          <t>7</t>
        </is>
      </c>
      <c r="T2792" s="5" t="inlineStr">
        <is>
          <t>6</t>
        </is>
      </c>
      <c r="U2792" s="5">
        <f>IFS(C2792&lt;30,"Under 30",C2792&lt;40,"30-39",C2792&lt;50,"40-49",TRUE,"50+")</f>
        <v/>
      </c>
      <c r="V2792" s="5">
        <f>IFS(O2792&lt;60000,"Low (&lt;60k)",O2792&lt;100000,"Mid (60-100k)",TRUE,"High (100k+)")</f>
        <v/>
      </c>
      <c r="W2792" s="5">
        <f>IF(M2792="No","Attrited","Active")</f>
        <v/>
      </c>
    </row>
    <row r="2793">
      <c r="A2793" s="5" t="inlineStr">
        <is>
          <t>E02792</t>
        </is>
      </c>
      <c r="B2793" s="5" t="inlineStr">
        <is>
          <t>Male</t>
        </is>
      </c>
      <c r="C2793" s="6" t="inlineStr">
        <is>
          <t>28</t>
        </is>
      </c>
      <c r="D2793" s="5" t="inlineStr">
        <is>
          <t>Married</t>
        </is>
      </c>
      <c r="E2793" s="5" t="inlineStr">
        <is>
          <t>Bachelor</t>
        </is>
      </c>
      <c r="F2793" s="5" t="inlineStr">
        <is>
          <t>IT</t>
        </is>
      </c>
      <c r="G2793" s="5" t="inlineStr">
        <is>
          <t>IT Support</t>
        </is>
      </c>
      <c r="H2793" s="5" t="inlineStr">
        <is>
          <t>3</t>
        </is>
      </c>
      <c r="I2793" s="5" t="inlineStr">
        <is>
          <t>Hyderabad</t>
        </is>
      </c>
      <c r="J2793" s="5" t="inlineStr">
        <is>
          <t>Full-Time</t>
        </is>
      </c>
      <c r="K2793" s="7" t="n">
        <v>44811</v>
      </c>
      <c r="L2793" s="7" t="inlineStr"/>
      <c r="M2793" s="5" t="inlineStr">
        <is>
          <t>Yes</t>
        </is>
      </c>
      <c r="N2793" s="5" t="inlineStr"/>
      <c r="O2793" s="8" t="inlineStr">
        <is>
          <t>159000</t>
        </is>
      </c>
      <c r="P2793" s="5" t="inlineStr">
        <is>
          <t>10</t>
        </is>
      </c>
      <c r="Q2793" s="5" t="inlineStr">
        <is>
          <t>3</t>
        </is>
      </c>
      <c r="R2793" s="5" t="inlineStr">
        <is>
          <t>6</t>
        </is>
      </c>
      <c r="S2793" s="5" t="inlineStr">
        <is>
          <t>40</t>
        </is>
      </c>
      <c r="T2793" s="5" t="inlineStr">
        <is>
          <t>17</t>
        </is>
      </c>
      <c r="U2793" s="5">
        <f>IFS(C2793&lt;30,"Under 30",C2793&lt;40,"30-39",C2793&lt;50,"40-49",TRUE,"50+")</f>
        <v/>
      </c>
      <c r="V2793" s="5">
        <f>IFS(O2793&lt;60000,"Low (&lt;60k)",O2793&lt;100000,"Mid (60-100k)",TRUE,"High (100k+)")</f>
        <v/>
      </c>
      <c r="W2793" s="5">
        <f>IF(M2793="No","Attrited","Active")</f>
        <v/>
      </c>
    </row>
    <row r="2794">
      <c r="A2794" s="5" t="inlineStr">
        <is>
          <t>E02793</t>
        </is>
      </c>
      <c r="B2794" s="5" t="inlineStr">
        <is>
          <t>Male</t>
        </is>
      </c>
      <c r="C2794" s="6" t="inlineStr">
        <is>
          <t>34</t>
        </is>
      </c>
      <c r="D2794" s="5" t="inlineStr">
        <is>
          <t>Single</t>
        </is>
      </c>
      <c r="E2794" s="5" t="inlineStr">
        <is>
          <t>High School</t>
        </is>
      </c>
      <c r="F2794" s="5" t="inlineStr">
        <is>
          <t>Research &amp; Development</t>
        </is>
      </c>
      <c r="G2794" s="5" t="inlineStr">
        <is>
          <t>Research Scientist</t>
        </is>
      </c>
      <c r="H2794" s="5" t="inlineStr">
        <is>
          <t>2</t>
        </is>
      </c>
      <c r="I2794" s="5" t="inlineStr">
        <is>
          <t>Mumbai</t>
        </is>
      </c>
      <c r="J2794" s="5" t="inlineStr">
        <is>
          <t>Full-Time</t>
        </is>
      </c>
      <c r="K2794" s="7" t="n">
        <v>45156</v>
      </c>
      <c r="L2794" s="7" t="inlineStr"/>
      <c r="M2794" s="5" t="inlineStr">
        <is>
          <t>Yes</t>
        </is>
      </c>
      <c r="N2794" s="5" t="inlineStr"/>
      <c r="O2794" s="8" t="inlineStr">
        <is>
          <t>182000</t>
        </is>
      </c>
      <c r="P2794" s="5" t="inlineStr">
        <is>
          <t>0</t>
        </is>
      </c>
      <c r="Q2794" s="5" t="inlineStr">
        <is>
          <t>4</t>
        </is>
      </c>
      <c r="R2794" s="5" t="inlineStr">
        <is>
          <t>6</t>
        </is>
      </c>
      <c r="S2794" s="5" t="inlineStr">
        <is>
          <t>28</t>
        </is>
      </c>
      <c r="T2794" s="5" t="inlineStr">
        <is>
          <t>6</t>
        </is>
      </c>
      <c r="U2794" s="5">
        <f>IFS(C2794&lt;30,"Under 30",C2794&lt;40,"30-39",C2794&lt;50,"40-49",TRUE,"50+")</f>
        <v/>
      </c>
      <c r="V2794" s="5">
        <f>IFS(O2794&lt;60000,"Low (&lt;60k)",O2794&lt;100000,"Mid (60-100k)",TRUE,"High (100k+)")</f>
        <v/>
      </c>
      <c r="W2794" s="5">
        <f>IF(M2794="No","Attrited","Active")</f>
        <v/>
      </c>
    </row>
    <row r="2795">
      <c r="A2795" s="5" t="inlineStr">
        <is>
          <t>E02794</t>
        </is>
      </c>
      <c r="B2795" s="5" t="inlineStr">
        <is>
          <t>Female</t>
        </is>
      </c>
      <c r="C2795" s="6" t="inlineStr">
        <is>
          <t>38</t>
        </is>
      </c>
      <c r="D2795" s="5" t="inlineStr">
        <is>
          <t>Married</t>
        </is>
      </c>
      <c r="E2795" s="5" t="inlineStr">
        <is>
          <t>Bachelor</t>
        </is>
      </c>
      <c r="F2795" s="5" t="inlineStr">
        <is>
          <t>Marketing</t>
        </is>
      </c>
      <c r="G2795" s="5" t="inlineStr">
        <is>
          <t>Marketing Analyst</t>
        </is>
      </c>
      <c r="H2795" s="5" t="inlineStr">
        <is>
          <t>4</t>
        </is>
      </c>
      <c r="I2795" s="5" t="inlineStr">
        <is>
          <t>Remote</t>
        </is>
      </c>
      <c r="J2795" s="5" t="inlineStr">
        <is>
          <t>Full-Time</t>
        </is>
      </c>
      <c r="K2795" s="7" t="n">
        <v>45519</v>
      </c>
      <c r="L2795" s="7" t="inlineStr"/>
      <c r="M2795" s="5" t="inlineStr">
        <is>
          <t>Yes</t>
        </is>
      </c>
      <c r="N2795" s="5" t="inlineStr"/>
      <c r="O2795" s="8" t="inlineStr">
        <is>
          <t>126500</t>
        </is>
      </c>
      <c r="P2795" s="5" t="inlineStr">
        <is>
          <t>20</t>
        </is>
      </c>
      <c r="Q2795" s="5" t="inlineStr">
        <is>
          <t>3</t>
        </is>
      </c>
      <c r="R2795" s="5" t="inlineStr">
        <is>
          <t>7</t>
        </is>
      </c>
      <c r="S2795" s="5" t="inlineStr">
        <is>
          <t>16</t>
        </is>
      </c>
      <c r="T2795" s="5" t="inlineStr">
        <is>
          <t>14</t>
        </is>
      </c>
      <c r="U2795" s="5">
        <f>IFS(C2795&lt;30,"Under 30",C2795&lt;40,"30-39",C2795&lt;50,"40-49",TRUE,"50+")</f>
        <v/>
      </c>
      <c r="V2795" s="5">
        <f>IFS(O2795&lt;60000,"Low (&lt;60k)",O2795&lt;100000,"Mid (60-100k)",TRUE,"High (100k+)")</f>
        <v/>
      </c>
      <c r="W2795" s="5">
        <f>IF(M2795="No","Attrited","Active")</f>
        <v/>
      </c>
    </row>
    <row r="2796">
      <c r="A2796" s="5" t="inlineStr">
        <is>
          <t>E02795</t>
        </is>
      </c>
      <c r="B2796" s="5" t="inlineStr">
        <is>
          <t>Male</t>
        </is>
      </c>
      <c r="C2796" s="6" t="inlineStr">
        <is>
          <t>26</t>
        </is>
      </c>
      <c r="D2796" s="5" t="inlineStr">
        <is>
          <t>Single</t>
        </is>
      </c>
      <c r="E2796" s="5" t="inlineStr">
        <is>
          <t>Diploma</t>
        </is>
      </c>
      <c r="F2796" s="5" t="inlineStr">
        <is>
          <t>Marketing</t>
        </is>
      </c>
      <c r="G2796" s="5" t="inlineStr">
        <is>
          <t>SEO Specialist</t>
        </is>
      </c>
      <c r="H2796" s="5" t="inlineStr">
        <is>
          <t>2</t>
        </is>
      </c>
      <c r="I2796" s="5" t="inlineStr">
        <is>
          <t>Remote</t>
        </is>
      </c>
      <c r="J2796" s="5" t="inlineStr">
        <is>
          <t>Full-Time</t>
        </is>
      </c>
      <c r="K2796" s="7" t="n">
        <v>44630</v>
      </c>
      <c r="L2796" s="7" t="inlineStr"/>
      <c r="M2796" s="5" t="inlineStr">
        <is>
          <t>Yes</t>
        </is>
      </c>
      <c r="N2796" s="5" t="inlineStr"/>
      <c r="O2796" s="8" t="inlineStr">
        <is>
          <t>100500</t>
        </is>
      </c>
      <c r="P2796" s="5" t="inlineStr">
        <is>
          <t>10</t>
        </is>
      </c>
      <c r="Q2796" s="5" t="inlineStr">
        <is>
          <t>4</t>
        </is>
      </c>
      <c r="R2796" s="5" t="inlineStr">
        <is>
          <t>3</t>
        </is>
      </c>
      <c r="S2796" s="5" t="inlineStr">
        <is>
          <t>46</t>
        </is>
      </c>
      <c r="T2796" s="5" t="inlineStr">
        <is>
          <t>9</t>
        </is>
      </c>
      <c r="U2796" s="5">
        <f>IFS(C2796&lt;30,"Under 30",C2796&lt;40,"30-39",C2796&lt;50,"40-49",TRUE,"50+")</f>
        <v/>
      </c>
      <c r="V2796" s="5">
        <f>IFS(O2796&lt;60000,"Low (&lt;60k)",O2796&lt;100000,"Mid (60-100k)",TRUE,"High (100k+)")</f>
        <v/>
      </c>
      <c r="W2796" s="5">
        <f>IF(M2796="No","Attrited","Active")</f>
        <v/>
      </c>
    </row>
    <row r="2797">
      <c r="A2797" s="5" t="inlineStr">
        <is>
          <t>E02796</t>
        </is>
      </c>
      <c r="B2797" s="5" t="inlineStr">
        <is>
          <t>Female</t>
        </is>
      </c>
      <c r="C2797" s="6" t="inlineStr">
        <is>
          <t>32</t>
        </is>
      </c>
      <c r="D2797" s="5" t="inlineStr">
        <is>
          <t>Married</t>
        </is>
      </c>
      <c r="E2797" s="5" t="inlineStr">
        <is>
          <t>High School</t>
        </is>
      </c>
      <c r="F2797" s="5" t="inlineStr">
        <is>
          <t>Marketing</t>
        </is>
      </c>
      <c r="G2797" s="5" t="inlineStr">
        <is>
          <t>SEO Specialist</t>
        </is>
      </c>
      <c r="H2797" s="5" t="inlineStr">
        <is>
          <t>2</t>
        </is>
      </c>
      <c r="I2797" s="5" t="inlineStr">
        <is>
          <t>Delhi</t>
        </is>
      </c>
      <c r="J2797" s="5" t="inlineStr">
        <is>
          <t>Full-Time</t>
        </is>
      </c>
      <c r="K2797" s="7" t="n">
        <v>45096</v>
      </c>
      <c r="L2797" s="7" t="inlineStr"/>
      <c r="M2797" s="5" t="inlineStr">
        <is>
          <t>Yes</t>
        </is>
      </c>
      <c r="N2797" s="5" t="inlineStr"/>
      <c r="O2797" s="8" t="inlineStr">
        <is>
          <t>101000</t>
        </is>
      </c>
      <c r="P2797" s="5" t="inlineStr">
        <is>
          <t>5</t>
        </is>
      </c>
      <c r="Q2797" s="5" t="inlineStr">
        <is>
          <t>4</t>
        </is>
      </c>
      <c r="R2797" s="5" t="inlineStr">
        <is>
          <t>7</t>
        </is>
      </c>
      <c r="S2797" s="5" t="inlineStr">
        <is>
          <t>30</t>
        </is>
      </c>
      <c r="T2797" s="5" t="inlineStr">
        <is>
          <t>4</t>
        </is>
      </c>
      <c r="U2797" s="5">
        <f>IFS(C2797&lt;30,"Under 30",C2797&lt;40,"30-39",C2797&lt;50,"40-49",TRUE,"50+")</f>
        <v/>
      </c>
      <c r="V2797" s="5">
        <f>IFS(O2797&lt;60000,"Low (&lt;60k)",O2797&lt;100000,"Mid (60-100k)",TRUE,"High (100k+)")</f>
        <v/>
      </c>
      <c r="W2797" s="5">
        <f>IF(M2797="No","Attrited","Active")</f>
        <v/>
      </c>
    </row>
    <row r="2798">
      <c r="A2798" s="5" t="inlineStr">
        <is>
          <t>E02797</t>
        </is>
      </c>
      <c r="B2798" s="5" t="inlineStr">
        <is>
          <t>Male</t>
        </is>
      </c>
      <c r="C2798" s="6" t="inlineStr">
        <is>
          <t>25</t>
        </is>
      </c>
      <c r="D2798" s="5" t="inlineStr">
        <is>
          <t>Single</t>
        </is>
      </c>
      <c r="E2798" s="5" t="inlineStr">
        <is>
          <t>PhD</t>
        </is>
      </c>
      <c r="F2798" s="5" t="inlineStr">
        <is>
          <t>Research &amp; Development</t>
        </is>
      </c>
      <c r="G2798" s="5" t="inlineStr">
        <is>
          <t>Research Scientist</t>
        </is>
      </c>
      <c r="H2798" s="5" t="inlineStr">
        <is>
          <t>2</t>
        </is>
      </c>
      <c r="I2798" s="5" t="inlineStr">
        <is>
          <t>Hyderabad</t>
        </is>
      </c>
      <c r="J2798" s="5" t="inlineStr">
        <is>
          <t>Full-Time</t>
        </is>
      </c>
      <c r="K2798" s="7" t="n">
        <v>44577</v>
      </c>
      <c r="L2798" s="7" t="inlineStr"/>
      <c r="M2798" s="5" t="inlineStr">
        <is>
          <t>Yes</t>
        </is>
      </c>
      <c r="N2798" s="5" t="inlineStr"/>
      <c r="O2798" s="8" t="inlineStr">
        <is>
          <t>181500</t>
        </is>
      </c>
      <c r="P2798" s="5" t="inlineStr">
        <is>
          <t>0</t>
        </is>
      </c>
      <c r="Q2798" s="5" t="inlineStr">
        <is>
          <t>5</t>
        </is>
      </c>
      <c r="R2798" s="5" t="inlineStr">
        <is>
          <t>8</t>
        </is>
      </c>
      <c r="S2798" s="5" t="inlineStr">
        <is>
          <t>48</t>
        </is>
      </c>
      <c r="T2798" s="5" t="inlineStr">
        <is>
          <t>21</t>
        </is>
      </c>
      <c r="U2798" s="5">
        <f>IFS(C2798&lt;30,"Under 30",C2798&lt;40,"30-39",C2798&lt;50,"40-49",TRUE,"50+")</f>
        <v/>
      </c>
      <c r="V2798" s="5">
        <f>IFS(O2798&lt;60000,"Low (&lt;60k)",O2798&lt;100000,"Mid (60-100k)",TRUE,"High (100k+)")</f>
        <v/>
      </c>
      <c r="W2798" s="5">
        <f>IF(M2798="No","Attrited","Active")</f>
        <v/>
      </c>
    </row>
    <row r="2799">
      <c r="A2799" s="5" t="inlineStr">
        <is>
          <t>E02798</t>
        </is>
      </c>
      <c r="B2799" s="5" t="inlineStr">
        <is>
          <t>Male</t>
        </is>
      </c>
      <c r="C2799" s="6" t="inlineStr">
        <is>
          <t>29</t>
        </is>
      </c>
      <c r="D2799" s="5" t="inlineStr">
        <is>
          <t>Single</t>
        </is>
      </c>
      <c r="E2799" s="5" t="inlineStr">
        <is>
          <t>Diploma</t>
        </is>
      </c>
      <c r="F2799" s="5" t="inlineStr">
        <is>
          <t>Finance</t>
        </is>
      </c>
      <c r="G2799" s="5" t="inlineStr">
        <is>
          <t>Financial Analyst</t>
        </is>
      </c>
      <c r="H2799" s="5" t="inlineStr">
        <is>
          <t>2</t>
        </is>
      </c>
      <c r="I2799" s="5" t="inlineStr">
        <is>
          <t>Delhi</t>
        </is>
      </c>
      <c r="J2799" s="5" t="inlineStr">
        <is>
          <t>Full-Time</t>
        </is>
      </c>
      <c r="K2799" s="7" t="n">
        <v>45825</v>
      </c>
      <c r="L2799" s="7" t="inlineStr"/>
      <c r="M2799" s="5" t="inlineStr">
        <is>
          <t>Yes</t>
        </is>
      </c>
      <c r="N2799" s="5" t="inlineStr"/>
      <c r="O2799" s="8" t="inlineStr">
        <is>
          <t>105500</t>
        </is>
      </c>
      <c r="P2799" s="5" t="inlineStr">
        <is>
          <t>10</t>
        </is>
      </c>
      <c r="Q2799" s="5" t="inlineStr">
        <is>
          <t>4</t>
        </is>
      </c>
      <c r="R2799" s="5" t="inlineStr">
        <is>
          <t>9</t>
        </is>
      </c>
      <c r="S2799" s="5" t="inlineStr">
        <is>
          <t>6</t>
        </is>
      </c>
      <c r="T2799" s="5" t="inlineStr">
        <is>
          <t>13</t>
        </is>
      </c>
      <c r="U2799" s="5">
        <f>IFS(C2799&lt;30,"Under 30",C2799&lt;40,"30-39",C2799&lt;50,"40-49",TRUE,"50+")</f>
        <v/>
      </c>
      <c r="V2799" s="5">
        <f>IFS(O2799&lt;60000,"Low (&lt;60k)",O2799&lt;100000,"Mid (60-100k)",TRUE,"High (100k+)")</f>
        <v/>
      </c>
      <c r="W2799" s="5">
        <f>IF(M2799="No","Attrited","Active")</f>
        <v/>
      </c>
    </row>
    <row r="2800">
      <c r="A2800" s="5" t="inlineStr">
        <is>
          <t>E02799</t>
        </is>
      </c>
      <c r="B2800" s="5" t="inlineStr">
        <is>
          <t>Male</t>
        </is>
      </c>
      <c r="C2800" s="6" t="inlineStr">
        <is>
          <t>35</t>
        </is>
      </c>
      <c r="D2800" s="5" t="inlineStr">
        <is>
          <t>Married</t>
        </is>
      </c>
      <c r="E2800" s="5" t="inlineStr">
        <is>
          <t>Bachelor</t>
        </is>
      </c>
      <c r="F2800" s="5" t="inlineStr">
        <is>
          <t>Marketing</t>
        </is>
      </c>
      <c r="G2800" s="5" t="inlineStr">
        <is>
          <t>Content Writer</t>
        </is>
      </c>
      <c r="H2800" s="5" t="inlineStr">
        <is>
          <t>3</t>
        </is>
      </c>
      <c r="I2800" s="5" t="inlineStr">
        <is>
          <t>Hyderabad</t>
        </is>
      </c>
      <c r="J2800" s="5" t="inlineStr">
        <is>
          <t>Full-Time</t>
        </is>
      </c>
      <c r="K2800" s="7" t="n">
        <v>45827</v>
      </c>
      <c r="L2800" s="7" t="inlineStr"/>
      <c r="M2800" s="5" t="inlineStr">
        <is>
          <t>Yes</t>
        </is>
      </c>
      <c r="N2800" s="5" t="inlineStr"/>
      <c r="O2800" s="8" t="inlineStr">
        <is>
          <t>71000</t>
        </is>
      </c>
      <c r="P2800" s="5" t="inlineStr">
        <is>
          <t>15</t>
        </is>
      </c>
      <c r="Q2800" s="5" t="inlineStr">
        <is>
          <t>4</t>
        </is>
      </c>
      <c r="R2800" s="5" t="inlineStr">
        <is>
          <t>7</t>
        </is>
      </c>
      <c r="S2800" s="5" t="inlineStr">
        <is>
          <t>6</t>
        </is>
      </c>
      <c r="T2800" s="5" t="inlineStr">
        <is>
          <t>9</t>
        </is>
      </c>
      <c r="U2800" s="5">
        <f>IFS(C2800&lt;30,"Under 30",C2800&lt;40,"30-39",C2800&lt;50,"40-49",TRUE,"50+")</f>
        <v/>
      </c>
      <c r="V2800" s="5">
        <f>IFS(O2800&lt;60000,"Low (&lt;60k)",O2800&lt;100000,"Mid (60-100k)",TRUE,"High (100k+)")</f>
        <v/>
      </c>
      <c r="W2800" s="5">
        <f>IF(M2800="No","Attrited","Active")</f>
        <v/>
      </c>
    </row>
    <row r="2801">
      <c r="A2801" s="5" t="inlineStr">
        <is>
          <t>E02800</t>
        </is>
      </c>
      <c r="B2801" s="5" t="inlineStr">
        <is>
          <t>Male</t>
        </is>
      </c>
      <c r="C2801" s="6" t="inlineStr">
        <is>
          <t>34</t>
        </is>
      </c>
      <c r="D2801" s="5" t="inlineStr">
        <is>
          <t>Divorced</t>
        </is>
      </c>
      <c r="E2801" s="5" t="inlineStr">
        <is>
          <t>Diploma</t>
        </is>
      </c>
      <c r="F2801" s="5" t="inlineStr">
        <is>
          <t>Sales</t>
        </is>
      </c>
      <c r="G2801" s="5" t="inlineStr">
        <is>
          <t>Account Executive</t>
        </is>
      </c>
      <c r="H2801" s="5" t="inlineStr">
        <is>
          <t>2</t>
        </is>
      </c>
      <c r="I2801" s="5" t="inlineStr">
        <is>
          <t>Delhi</t>
        </is>
      </c>
      <c r="J2801" s="5" t="inlineStr">
        <is>
          <t>Full-Time</t>
        </is>
      </c>
      <c r="K2801" s="7" t="n">
        <v>45512</v>
      </c>
      <c r="L2801" s="7" t="inlineStr"/>
      <c r="M2801" s="5" t="inlineStr">
        <is>
          <t>Yes</t>
        </is>
      </c>
      <c r="N2801" s="5" t="inlineStr"/>
      <c r="O2801" s="8" t="inlineStr">
        <is>
          <t>109500</t>
        </is>
      </c>
      <c r="P2801" s="5" t="inlineStr">
        <is>
          <t>5</t>
        </is>
      </c>
      <c r="Q2801" s="5" t="inlineStr">
        <is>
          <t>4</t>
        </is>
      </c>
      <c r="R2801" s="5" t="inlineStr">
        <is>
          <t>7</t>
        </is>
      </c>
      <c r="S2801" s="5" t="inlineStr">
        <is>
          <t>17</t>
        </is>
      </c>
      <c r="T2801" s="5" t="inlineStr">
        <is>
          <t>6</t>
        </is>
      </c>
      <c r="U2801" s="5">
        <f>IFS(C2801&lt;30,"Under 30",C2801&lt;40,"30-39",C2801&lt;50,"40-49",TRUE,"50+")</f>
        <v/>
      </c>
      <c r="V2801" s="5">
        <f>IFS(O2801&lt;60000,"Low (&lt;60k)",O2801&lt;100000,"Mid (60-100k)",TRUE,"High (100k+)")</f>
        <v/>
      </c>
      <c r="W2801" s="5">
        <f>IF(M2801="No","Attrited","Active")</f>
        <v/>
      </c>
    </row>
    <row r="2802">
      <c r="A2802" s="5" t="inlineStr">
        <is>
          <t>E02801</t>
        </is>
      </c>
      <c r="B2802" s="5" t="inlineStr">
        <is>
          <t>Male</t>
        </is>
      </c>
      <c r="C2802" s="6" t="inlineStr">
        <is>
          <t>32</t>
        </is>
      </c>
      <c r="D2802" s="5" t="inlineStr">
        <is>
          <t>Married</t>
        </is>
      </c>
      <c r="E2802" s="5" t="inlineStr">
        <is>
          <t>PhD</t>
        </is>
      </c>
      <c r="F2802" s="5" t="inlineStr">
        <is>
          <t>Human Resources</t>
        </is>
      </c>
      <c r="G2802" s="5" t="inlineStr">
        <is>
          <t>HR Analyst</t>
        </is>
      </c>
      <c r="H2802" s="5" t="inlineStr">
        <is>
          <t>4</t>
        </is>
      </c>
      <c r="I2802" s="5" t="inlineStr">
        <is>
          <t>Mumbai</t>
        </is>
      </c>
      <c r="J2802" s="5" t="inlineStr">
        <is>
          <t>Full-Time</t>
        </is>
      </c>
      <c r="K2802" s="7" t="n">
        <v>44209</v>
      </c>
      <c r="L2802" s="7" t="n">
        <v>44317</v>
      </c>
      <c r="M2802" s="5" t="inlineStr">
        <is>
          <t>No</t>
        </is>
      </c>
      <c r="N2802" s="5" t="inlineStr">
        <is>
          <t>Resigned</t>
        </is>
      </c>
      <c r="O2802" s="8" t="inlineStr">
        <is>
          <t>115500</t>
        </is>
      </c>
      <c r="P2802" s="5" t="inlineStr">
        <is>
          <t>10</t>
        </is>
      </c>
      <c r="Q2802" s="5" t="inlineStr">
        <is>
          <t>5</t>
        </is>
      </c>
      <c r="R2802" s="5" t="inlineStr">
        <is>
          <t>8</t>
        </is>
      </c>
      <c r="S2802" s="5" t="inlineStr">
        <is>
          <t>3</t>
        </is>
      </c>
      <c r="T2802" s="5" t="inlineStr">
        <is>
          <t>0</t>
        </is>
      </c>
      <c r="U2802" s="5">
        <f>IFS(C2802&lt;30,"Under 30",C2802&lt;40,"30-39",C2802&lt;50,"40-49",TRUE,"50+")</f>
        <v/>
      </c>
      <c r="V2802" s="5">
        <f>IFS(O2802&lt;60000,"Low (&lt;60k)",O2802&lt;100000,"Mid (60-100k)",TRUE,"High (100k+)")</f>
        <v/>
      </c>
      <c r="W2802" s="5">
        <f>IF(M2802="No","Attrited","Active")</f>
        <v/>
      </c>
    </row>
    <row r="2803">
      <c r="A2803" s="5" t="inlineStr">
        <is>
          <t>E02802</t>
        </is>
      </c>
      <c r="B2803" s="5" t="inlineStr">
        <is>
          <t>Female</t>
        </is>
      </c>
      <c r="C2803" s="6" t="inlineStr">
        <is>
          <t>34</t>
        </is>
      </c>
      <c r="D2803" s="5" t="inlineStr">
        <is>
          <t>Single</t>
        </is>
      </c>
      <c r="E2803" s="5" t="inlineStr">
        <is>
          <t>PhD</t>
        </is>
      </c>
      <c r="F2803" s="5" t="inlineStr">
        <is>
          <t>IT</t>
        </is>
      </c>
      <c r="G2803" s="5" t="inlineStr">
        <is>
          <t>Software Engineer</t>
        </is>
      </c>
      <c r="H2803" s="5" t="inlineStr">
        <is>
          <t>3</t>
        </is>
      </c>
      <c r="I2803" s="5" t="inlineStr">
        <is>
          <t>Chennai</t>
        </is>
      </c>
      <c r="J2803" s="5" t="inlineStr">
        <is>
          <t>Full-Time</t>
        </is>
      </c>
      <c r="K2803" s="7" t="n">
        <v>44424</v>
      </c>
      <c r="L2803" s="7" t="inlineStr"/>
      <c r="M2803" s="5" t="inlineStr">
        <is>
          <t>Yes</t>
        </is>
      </c>
      <c r="N2803" s="5" t="inlineStr"/>
      <c r="O2803" s="8" t="inlineStr">
        <is>
          <t>159500</t>
        </is>
      </c>
      <c r="P2803" s="5" t="inlineStr">
        <is>
          <t>5</t>
        </is>
      </c>
      <c r="Q2803" s="5" t="inlineStr">
        <is>
          <t>2</t>
        </is>
      </c>
      <c r="R2803" s="5" t="inlineStr">
        <is>
          <t>5</t>
        </is>
      </c>
      <c r="S2803" s="5" t="inlineStr">
        <is>
          <t>53</t>
        </is>
      </c>
      <c r="T2803" s="5" t="inlineStr">
        <is>
          <t>4</t>
        </is>
      </c>
      <c r="U2803" s="5">
        <f>IFS(C2803&lt;30,"Under 30",C2803&lt;40,"30-39",C2803&lt;50,"40-49",TRUE,"50+")</f>
        <v/>
      </c>
      <c r="V2803" s="5">
        <f>IFS(O2803&lt;60000,"Low (&lt;60k)",O2803&lt;100000,"Mid (60-100k)",TRUE,"High (100k+)")</f>
        <v/>
      </c>
      <c r="W2803" s="5">
        <f>IF(M2803="No","Attrited","Active")</f>
        <v/>
      </c>
    </row>
    <row r="2804">
      <c r="A2804" s="5" t="inlineStr">
        <is>
          <t>E02803</t>
        </is>
      </c>
      <c r="B2804" s="5" t="inlineStr">
        <is>
          <t>Female</t>
        </is>
      </c>
      <c r="C2804" s="6" t="inlineStr">
        <is>
          <t>33</t>
        </is>
      </c>
      <c r="D2804" s="5" t="inlineStr">
        <is>
          <t>Married</t>
        </is>
      </c>
      <c r="E2804" s="5" t="inlineStr">
        <is>
          <t>High School</t>
        </is>
      </c>
      <c r="F2804" s="5" t="inlineStr">
        <is>
          <t>Operations</t>
        </is>
      </c>
      <c r="G2804" s="5" t="inlineStr">
        <is>
          <t>Quality Analyst</t>
        </is>
      </c>
      <c r="H2804" s="5" t="inlineStr">
        <is>
          <t>6</t>
        </is>
      </c>
      <c r="I2804" s="5" t="inlineStr">
        <is>
          <t>Remote</t>
        </is>
      </c>
      <c r="J2804" s="5" t="inlineStr">
        <is>
          <t>Full-Time</t>
        </is>
      </c>
      <c r="K2804" s="7" t="n">
        <v>45042</v>
      </c>
      <c r="L2804" s="7" t="inlineStr"/>
      <c r="M2804" s="5" t="inlineStr">
        <is>
          <t>Yes</t>
        </is>
      </c>
      <c r="N2804" s="5" t="inlineStr"/>
      <c r="O2804" s="8" t="inlineStr">
        <is>
          <t>140000</t>
        </is>
      </c>
      <c r="P2804" s="5" t="inlineStr">
        <is>
          <t>0</t>
        </is>
      </c>
      <c r="Q2804" s="5" t="inlineStr">
        <is>
          <t>4</t>
        </is>
      </c>
      <c r="R2804" s="5" t="inlineStr">
        <is>
          <t>5</t>
        </is>
      </c>
      <c r="S2804" s="5" t="inlineStr">
        <is>
          <t>32</t>
        </is>
      </c>
      <c r="T2804" s="5" t="inlineStr">
        <is>
          <t>7</t>
        </is>
      </c>
      <c r="U2804" s="5">
        <f>IFS(C2804&lt;30,"Under 30",C2804&lt;40,"30-39",C2804&lt;50,"40-49",TRUE,"50+")</f>
        <v/>
      </c>
      <c r="V2804" s="5">
        <f>IFS(O2804&lt;60000,"Low (&lt;60k)",O2804&lt;100000,"Mid (60-100k)",TRUE,"High (100k+)")</f>
        <v/>
      </c>
      <c r="W2804" s="5">
        <f>IF(M2804="No","Attrited","Active")</f>
        <v/>
      </c>
    </row>
    <row r="2805">
      <c r="A2805" s="5" t="inlineStr">
        <is>
          <t>E02804</t>
        </is>
      </c>
      <c r="B2805" s="5" t="inlineStr">
        <is>
          <t>Female</t>
        </is>
      </c>
      <c r="C2805" s="6" t="inlineStr">
        <is>
          <t>35</t>
        </is>
      </c>
      <c r="D2805" s="5" t="inlineStr">
        <is>
          <t>Single</t>
        </is>
      </c>
      <c r="E2805" s="5" t="inlineStr">
        <is>
          <t>Master</t>
        </is>
      </c>
      <c r="F2805" s="5" t="inlineStr">
        <is>
          <t>Operations</t>
        </is>
      </c>
      <c r="G2805" s="5" t="inlineStr">
        <is>
          <t>Operations Analyst</t>
        </is>
      </c>
      <c r="H2805" s="5" t="inlineStr">
        <is>
          <t>2</t>
        </is>
      </c>
      <c r="I2805" s="5" t="inlineStr">
        <is>
          <t>Chennai</t>
        </is>
      </c>
      <c r="J2805" s="5" t="inlineStr">
        <is>
          <t>Full-Time</t>
        </is>
      </c>
      <c r="K2805" s="7" t="n">
        <v>45304</v>
      </c>
      <c r="L2805" s="7" t="n">
        <v>45425</v>
      </c>
      <c r="M2805" s="5" t="inlineStr">
        <is>
          <t>No</t>
        </is>
      </c>
      <c r="N2805" s="5" t="inlineStr">
        <is>
          <t>Performance / Termination</t>
        </is>
      </c>
      <c r="O2805" s="8" t="inlineStr">
        <is>
          <t>83500</t>
        </is>
      </c>
      <c r="P2805" s="5" t="inlineStr">
        <is>
          <t>0</t>
        </is>
      </c>
      <c r="Q2805" s="5" t="inlineStr">
        <is>
          <t>4</t>
        </is>
      </c>
      <c r="R2805" s="5" t="inlineStr">
        <is>
          <t>9</t>
        </is>
      </c>
      <c r="S2805" s="5" t="inlineStr">
        <is>
          <t>4</t>
        </is>
      </c>
      <c r="T2805" s="5" t="inlineStr">
        <is>
          <t>14</t>
        </is>
      </c>
      <c r="U2805" s="5">
        <f>IFS(C2805&lt;30,"Under 30",C2805&lt;40,"30-39",C2805&lt;50,"40-49",TRUE,"50+")</f>
        <v/>
      </c>
      <c r="V2805" s="5">
        <f>IFS(O2805&lt;60000,"Low (&lt;60k)",O2805&lt;100000,"Mid (60-100k)",TRUE,"High (100k+)")</f>
        <v/>
      </c>
      <c r="W2805" s="5">
        <f>IF(M2805="No","Attrited","Active")</f>
        <v/>
      </c>
    </row>
    <row r="2806">
      <c r="A2806" s="5" t="inlineStr">
        <is>
          <t>E02805</t>
        </is>
      </c>
      <c r="B2806" s="5" t="inlineStr">
        <is>
          <t>Female</t>
        </is>
      </c>
      <c r="C2806" s="6" t="inlineStr">
        <is>
          <t>37</t>
        </is>
      </c>
      <c r="D2806" s="5" t="inlineStr">
        <is>
          <t>Single</t>
        </is>
      </c>
      <c r="E2806" s="5" t="inlineStr">
        <is>
          <t>Bachelor</t>
        </is>
      </c>
      <c r="F2806" s="5" t="inlineStr">
        <is>
          <t>Marketing</t>
        </is>
      </c>
      <c r="G2806" s="5" t="inlineStr">
        <is>
          <t>Marketing Analyst</t>
        </is>
      </c>
      <c r="H2806" s="5" t="inlineStr">
        <is>
          <t>4</t>
        </is>
      </c>
      <c r="I2806" s="5" t="inlineStr">
        <is>
          <t>Chennai</t>
        </is>
      </c>
      <c r="J2806" s="5" t="inlineStr">
        <is>
          <t>Full-Time</t>
        </is>
      </c>
      <c r="K2806" s="7" t="n">
        <v>44612</v>
      </c>
      <c r="L2806" s="7" t="inlineStr"/>
      <c r="M2806" s="5" t="inlineStr">
        <is>
          <t>Yes</t>
        </is>
      </c>
      <c r="N2806" s="5" t="inlineStr"/>
      <c r="O2806" s="8" t="inlineStr">
        <is>
          <t>125000</t>
        </is>
      </c>
      <c r="P2806" s="5" t="inlineStr">
        <is>
          <t>0</t>
        </is>
      </c>
      <c r="Q2806" s="5" t="inlineStr">
        <is>
          <t>3</t>
        </is>
      </c>
      <c r="R2806" s="5" t="inlineStr">
        <is>
          <t>7</t>
        </is>
      </c>
      <c r="S2806" s="5" t="inlineStr">
        <is>
          <t>47</t>
        </is>
      </c>
      <c r="T2806" s="5" t="inlineStr">
        <is>
          <t>0</t>
        </is>
      </c>
      <c r="U2806" s="5">
        <f>IFS(C2806&lt;30,"Under 30",C2806&lt;40,"30-39",C2806&lt;50,"40-49",TRUE,"50+")</f>
        <v/>
      </c>
      <c r="V2806" s="5">
        <f>IFS(O2806&lt;60000,"Low (&lt;60k)",O2806&lt;100000,"Mid (60-100k)",TRUE,"High (100k+)")</f>
        <v/>
      </c>
      <c r="W2806" s="5">
        <f>IF(M2806="No","Attrited","Active")</f>
        <v/>
      </c>
    </row>
    <row r="2807">
      <c r="A2807" s="5" t="inlineStr">
        <is>
          <t>E02806</t>
        </is>
      </c>
      <c r="B2807" s="5" t="inlineStr">
        <is>
          <t>Female</t>
        </is>
      </c>
      <c r="C2807" s="6" t="inlineStr">
        <is>
          <t>23</t>
        </is>
      </c>
      <c r="D2807" s="5" t="inlineStr">
        <is>
          <t>Married</t>
        </is>
      </c>
      <c r="E2807" s="5" t="inlineStr">
        <is>
          <t>PhD</t>
        </is>
      </c>
      <c r="F2807" s="5" t="inlineStr">
        <is>
          <t>Operations</t>
        </is>
      </c>
      <c r="G2807" s="5" t="inlineStr">
        <is>
          <t>Operations Analyst</t>
        </is>
      </c>
      <c r="H2807" s="5" t="inlineStr">
        <is>
          <t>1</t>
        </is>
      </c>
      <c r="I2807" s="5" t="inlineStr">
        <is>
          <t>Delhi</t>
        </is>
      </c>
      <c r="J2807" s="5" t="inlineStr">
        <is>
          <t>Full-Time</t>
        </is>
      </c>
      <c r="K2807" s="7" t="n">
        <v>43926</v>
      </c>
      <c r="L2807" s="7" t="n">
        <v>43961</v>
      </c>
      <c r="M2807" s="5" t="inlineStr">
        <is>
          <t>No</t>
        </is>
      </c>
      <c r="N2807" s="5" t="inlineStr">
        <is>
          <t>Resigned</t>
        </is>
      </c>
      <c r="O2807" s="8" t="inlineStr">
        <is>
          <t>59000</t>
        </is>
      </c>
      <c r="P2807" s="5" t="inlineStr">
        <is>
          <t>0</t>
        </is>
      </c>
      <c r="Q2807" s="5" t="inlineStr">
        <is>
          <t>4</t>
        </is>
      </c>
      <c r="R2807" s="5" t="inlineStr">
        <is>
          <t>6</t>
        </is>
      </c>
      <c r="S2807" s="5" t="inlineStr">
        <is>
          <t>1</t>
        </is>
      </c>
      <c r="T2807" s="5" t="inlineStr">
        <is>
          <t>0</t>
        </is>
      </c>
      <c r="U2807" s="5">
        <f>IFS(C2807&lt;30,"Under 30",C2807&lt;40,"30-39",C2807&lt;50,"40-49",TRUE,"50+")</f>
        <v/>
      </c>
      <c r="V2807" s="5">
        <f>IFS(O2807&lt;60000,"Low (&lt;60k)",O2807&lt;100000,"Mid (60-100k)",TRUE,"High (100k+)")</f>
        <v/>
      </c>
      <c r="W2807" s="5">
        <f>IF(M2807="No","Attrited","Active")</f>
        <v/>
      </c>
    </row>
    <row r="2808">
      <c r="A2808" s="5" t="inlineStr">
        <is>
          <t>E02807</t>
        </is>
      </c>
      <c r="B2808" s="5" t="inlineStr">
        <is>
          <t>Male</t>
        </is>
      </c>
      <c r="C2808" s="6" t="inlineStr">
        <is>
          <t>26</t>
        </is>
      </c>
      <c r="D2808" s="5" t="inlineStr">
        <is>
          <t>Divorced</t>
        </is>
      </c>
      <c r="E2808" s="5" t="inlineStr">
        <is>
          <t>Master</t>
        </is>
      </c>
      <c r="F2808" s="5" t="inlineStr">
        <is>
          <t>Research &amp; Development</t>
        </is>
      </c>
      <c r="G2808" s="5" t="inlineStr">
        <is>
          <t>Research Scientist</t>
        </is>
      </c>
      <c r="H2808" s="5" t="inlineStr">
        <is>
          <t>1</t>
        </is>
      </c>
      <c r="I2808" s="5" t="inlineStr">
        <is>
          <t>Chennai</t>
        </is>
      </c>
      <c r="J2808" s="5" t="inlineStr">
        <is>
          <t>Full-Time</t>
        </is>
      </c>
      <c r="K2808" s="7" t="n">
        <v>45439</v>
      </c>
      <c r="L2808" s="7" t="n">
        <v>45579</v>
      </c>
      <c r="M2808" s="5" t="inlineStr">
        <is>
          <t>No</t>
        </is>
      </c>
      <c r="N2808" s="5" t="inlineStr">
        <is>
          <t>Resigned</t>
        </is>
      </c>
      <c r="O2808" s="8" t="inlineStr">
        <is>
          <t>130000</t>
        </is>
      </c>
      <c r="P2808" s="5" t="inlineStr">
        <is>
          <t>5</t>
        </is>
      </c>
      <c r="Q2808" s="5" t="inlineStr">
        <is>
          <t>4</t>
        </is>
      </c>
      <c r="R2808" s="5" t="inlineStr">
        <is>
          <t>4</t>
        </is>
      </c>
      <c r="S2808" s="5" t="inlineStr">
        <is>
          <t>4</t>
        </is>
      </c>
      <c r="T2808" s="5" t="inlineStr">
        <is>
          <t>3</t>
        </is>
      </c>
      <c r="U2808" s="5">
        <f>IFS(C2808&lt;30,"Under 30",C2808&lt;40,"30-39",C2808&lt;50,"40-49",TRUE,"50+")</f>
        <v/>
      </c>
      <c r="V2808" s="5">
        <f>IFS(O2808&lt;60000,"Low (&lt;60k)",O2808&lt;100000,"Mid (60-100k)",TRUE,"High (100k+)")</f>
        <v/>
      </c>
      <c r="W2808" s="5">
        <f>IF(M2808="No","Attrited","Active")</f>
        <v/>
      </c>
    </row>
    <row r="2809">
      <c r="A2809" s="5" t="inlineStr">
        <is>
          <t>E02808</t>
        </is>
      </c>
      <c r="B2809" s="5" t="inlineStr">
        <is>
          <t>Male</t>
        </is>
      </c>
      <c r="C2809" s="6" t="inlineStr">
        <is>
          <t>28</t>
        </is>
      </c>
      <c r="D2809" s="5" t="inlineStr">
        <is>
          <t>Single</t>
        </is>
      </c>
      <c r="E2809" s="5" t="inlineStr">
        <is>
          <t>Master</t>
        </is>
      </c>
      <c r="F2809" s="5" t="inlineStr">
        <is>
          <t>Operations</t>
        </is>
      </c>
      <c r="G2809" s="5" t="inlineStr">
        <is>
          <t>Quality Analyst</t>
        </is>
      </c>
      <c r="H2809" s="5" t="inlineStr">
        <is>
          <t>1</t>
        </is>
      </c>
      <c r="I2809" s="5" t="inlineStr">
        <is>
          <t>Mumbai</t>
        </is>
      </c>
      <c r="J2809" s="5" t="inlineStr">
        <is>
          <t>Full-Time</t>
        </is>
      </c>
      <c r="K2809" s="7" t="n">
        <v>45144</v>
      </c>
      <c r="L2809" s="7" t="inlineStr"/>
      <c r="M2809" s="5" t="inlineStr">
        <is>
          <t>Yes</t>
        </is>
      </c>
      <c r="N2809" s="5" t="inlineStr"/>
      <c r="O2809" s="8" t="inlineStr">
        <is>
          <t>89000</t>
        </is>
      </c>
      <c r="P2809" s="5" t="inlineStr">
        <is>
          <t>0</t>
        </is>
      </c>
      <c r="Q2809" s="5" t="inlineStr">
        <is>
          <t>4</t>
        </is>
      </c>
      <c r="R2809" s="5" t="inlineStr">
        <is>
          <t>7</t>
        </is>
      </c>
      <c r="S2809" s="5" t="inlineStr">
        <is>
          <t>29</t>
        </is>
      </c>
      <c r="T2809" s="5" t="inlineStr">
        <is>
          <t>0</t>
        </is>
      </c>
      <c r="U2809" s="5">
        <f>IFS(C2809&lt;30,"Under 30",C2809&lt;40,"30-39",C2809&lt;50,"40-49",TRUE,"50+")</f>
        <v/>
      </c>
      <c r="V2809" s="5">
        <f>IFS(O2809&lt;60000,"Low (&lt;60k)",O2809&lt;100000,"Mid (60-100k)",TRUE,"High (100k+)")</f>
        <v/>
      </c>
      <c r="W2809" s="5">
        <f>IF(M2809="No","Attrited","Active")</f>
        <v/>
      </c>
    </row>
    <row r="2810">
      <c r="A2810" s="5" t="inlineStr">
        <is>
          <t>E02809</t>
        </is>
      </c>
      <c r="B2810" s="5" t="inlineStr">
        <is>
          <t>Male</t>
        </is>
      </c>
      <c r="C2810" s="6" t="inlineStr">
        <is>
          <t>36</t>
        </is>
      </c>
      <c r="D2810" s="5" t="inlineStr">
        <is>
          <t>Married</t>
        </is>
      </c>
      <c r="E2810" s="5" t="inlineStr">
        <is>
          <t>Master</t>
        </is>
      </c>
      <c r="F2810" s="5" t="inlineStr">
        <is>
          <t>Sales</t>
        </is>
      </c>
      <c r="G2810" s="5" t="inlineStr">
        <is>
          <t>Account Executive</t>
        </is>
      </c>
      <c r="H2810" s="5" t="inlineStr">
        <is>
          <t>3</t>
        </is>
      </c>
      <c r="I2810" s="5" t="inlineStr">
        <is>
          <t>Remote</t>
        </is>
      </c>
      <c r="J2810" s="5" t="inlineStr">
        <is>
          <t>Full-Time</t>
        </is>
      </c>
      <c r="K2810" s="7" t="n">
        <v>45361</v>
      </c>
      <c r="L2810" s="7" t="inlineStr"/>
      <c r="M2810" s="5" t="inlineStr">
        <is>
          <t>Yes</t>
        </is>
      </c>
      <c r="N2810" s="5" t="inlineStr"/>
      <c r="O2810" s="8" t="inlineStr">
        <is>
          <t>101500</t>
        </is>
      </c>
      <c r="P2810" s="5" t="inlineStr">
        <is>
          <t>0</t>
        </is>
      </c>
      <c r="Q2810" s="5" t="inlineStr">
        <is>
          <t>5</t>
        </is>
      </c>
      <c r="R2810" s="5" t="inlineStr">
        <is>
          <t>6</t>
        </is>
      </c>
      <c r="S2810" s="5" t="inlineStr">
        <is>
          <t>22</t>
        </is>
      </c>
      <c r="T2810" s="5" t="inlineStr">
        <is>
          <t>4</t>
        </is>
      </c>
      <c r="U2810" s="5">
        <f>IFS(C2810&lt;30,"Under 30",C2810&lt;40,"30-39",C2810&lt;50,"40-49",TRUE,"50+")</f>
        <v/>
      </c>
      <c r="V2810" s="5">
        <f>IFS(O2810&lt;60000,"Low (&lt;60k)",O2810&lt;100000,"Mid (60-100k)",TRUE,"High (100k+)")</f>
        <v/>
      </c>
      <c r="W2810" s="5">
        <f>IF(M2810="No","Attrited","Active")</f>
        <v/>
      </c>
    </row>
    <row r="2811">
      <c r="A2811" s="5" t="inlineStr">
        <is>
          <t>E02810</t>
        </is>
      </c>
      <c r="B2811" s="5" t="inlineStr">
        <is>
          <t>Female</t>
        </is>
      </c>
      <c r="C2811" s="6" t="inlineStr">
        <is>
          <t>23</t>
        </is>
      </c>
      <c r="D2811" s="5" t="inlineStr">
        <is>
          <t>Single</t>
        </is>
      </c>
      <c r="E2811" s="5" t="inlineStr">
        <is>
          <t>Bachelor</t>
        </is>
      </c>
      <c r="F2811" s="5" t="inlineStr">
        <is>
          <t>Sales</t>
        </is>
      </c>
      <c r="G2811" s="5" t="inlineStr">
        <is>
          <t>Sales Executive</t>
        </is>
      </c>
      <c r="H2811" s="5" t="inlineStr">
        <is>
          <t>1</t>
        </is>
      </c>
      <c r="I2811" s="5" t="inlineStr">
        <is>
          <t>Chennai</t>
        </is>
      </c>
      <c r="J2811" s="5" t="inlineStr">
        <is>
          <t>Full-Time</t>
        </is>
      </c>
      <c r="K2811" s="7" t="n">
        <v>44302</v>
      </c>
      <c r="L2811" s="7" t="n">
        <v>44431</v>
      </c>
      <c r="M2811" s="5" t="inlineStr">
        <is>
          <t>No</t>
        </is>
      </c>
      <c r="N2811" s="5" t="inlineStr">
        <is>
          <t>Resigned</t>
        </is>
      </c>
      <c r="O2811" s="8" t="inlineStr">
        <is>
          <t>88500</t>
        </is>
      </c>
      <c r="P2811" s="5" t="inlineStr">
        <is>
          <t>0</t>
        </is>
      </c>
      <c r="Q2811" s="5" t="inlineStr">
        <is>
          <t>2</t>
        </is>
      </c>
      <c r="R2811" s="5" t="inlineStr">
        <is>
          <t>6</t>
        </is>
      </c>
      <c r="S2811" s="5" t="inlineStr">
        <is>
          <t>4</t>
        </is>
      </c>
      <c r="T2811" s="5" t="inlineStr">
        <is>
          <t>10</t>
        </is>
      </c>
      <c r="U2811" s="5">
        <f>IFS(C2811&lt;30,"Under 30",C2811&lt;40,"30-39",C2811&lt;50,"40-49",TRUE,"50+")</f>
        <v/>
      </c>
      <c r="V2811" s="5">
        <f>IFS(O2811&lt;60000,"Low (&lt;60k)",O2811&lt;100000,"Mid (60-100k)",TRUE,"High (100k+)")</f>
        <v/>
      </c>
      <c r="W2811" s="5">
        <f>IF(M2811="No","Attrited","Active")</f>
        <v/>
      </c>
    </row>
    <row r="2812">
      <c r="A2812" s="5" t="inlineStr">
        <is>
          <t>E02811</t>
        </is>
      </c>
      <c r="B2812" s="5" t="inlineStr">
        <is>
          <t>Male</t>
        </is>
      </c>
      <c r="C2812" s="6" t="inlineStr">
        <is>
          <t>30</t>
        </is>
      </c>
      <c r="D2812" s="5" t="inlineStr">
        <is>
          <t>Married</t>
        </is>
      </c>
      <c r="E2812" s="5" t="inlineStr">
        <is>
          <t>Bachelor</t>
        </is>
      </c>
      <c r="F2812" s="5" t="inlineStr">
        <is>
          <t>Sales</t>
        </is>
      </c>
      <c r="G2812" s="5" t="inlineStr">
        <is>
          <t>Account Executive</t>
        </is>
      </c>
      <c r="H2812" s="5" t="inlineStr">
        <is>
          <t>2</t>
        </is>
      </c>
      <c r="I2812" s="5" t="inlineStr">
        <is>
          <t>Delhi</t>
        </is>
      </c>
      <c r="J2812" s="5" t="inlineStr">
        <is>
          <t>Full-Time</t>
        </is>
      </c>
      <c r="K2812" s="7" t="n">
        <v>45489</v>
      </c>
      <c r="L2812" s="7" t="n">
        <v>45620</v>
      </c>
      <c r="M2812" s="5" t="inlineStr">
        <is>
          <t>No</t>
        </is>
      </c>
      <c r="N2812" s="5" t="inlineStr">
        <is>
          <t>Resigned</t>
        </is>
      </c>
      <c r="O2812" s="8" t="inlineStr">
        <is>
          <t>118500</t>
        </is>
      </c>
      <c r="P2812" s="5" t="inlineStr">
        <is>
          <t>20</t>
        </is>
      </c>
      <c r="Q2812" s="5" t="inlineStr">
        <is>
          <t>3</t>
        </is>
      </c>
      <c r="R2812" s="5" t="inlineStr">
        <is>
          <t>6</t>
        </is>
      </c>
      <c r="S2812" s="5" t="inlineStr">
        <is>
          <t>4</t>
        </is>
      </c>
      <c r="T2812" s="5" t="inlineStr">
        <is>
          <t>15</t>
        </is>
      </c>
      <c r="U2812" s="5">
        <f>IFS(C2812&lt;30,"Under 30",C2812&lt;40,"30-39",C2812&lt;50,"40-49",TRUE,"50+")</f>
        <v/>
      </c>
      <c r="V2812" s="5">
        <f>IFS(O2812&lt;60000,"Low (&lt;60k)",O2812&lt;100000,"Mid (60-100k)",TRUE,"High (100k+)")</f>
        <v/>
      </c>
      <c r="W2812" s="5">
        <f>IF(M2812="No","Attrited","Active")</f>
        <v/>
      </c>
    </row>
    <row r="2813">
      <c r="A2813" s="5" t="inlineStr">
        <is>
          <t>E02812</t>
        </is>
      </c>
      <c r="B2813" s="5" t="inlineStr">
        <is>
          <t>Male</t>
        </is>
      </c>
      <c r="C2813" s="6" t="inlineStr">
        <is>
          <t>34</t>
        </is>
      </c>
      <c r="D2813" s="5" t="inlineStr">
        <is>
          <t>Single</t>
        </is>
      </c>
      <c r="E2813" s="5" t="inlineStr">
        <is>
          <t>High School</t>
        </is>
      </c>
      <c r="F2813" s="5" t="inlineStr">
        <is>
          <t>Finance</t>
        </is>
      </c>
      <c r="G2813" s="5" t="inlineStr">
        <is>
          <t>Accountant</t>
        </is>
      </c>
      <c r="H2813" s="5" t="inlineStr">
        <is>
          <t>3</t>
        </is>
      </c>
      <c r="I2813" s="5" t="inlineStr">
        <is>
          <t>Mumbai</t>
        </is>
      </c>
      <c r="J2813" s="5" t="inlineStr">
        <is>
          <t>Full-Time</t>
        </is>
      </c>
      <c r="K2813" s="7" t="n">
        <v>45457</v>
      </c>
      <c r="L2813" s="7" t="inlineStr"/>
      <c r="M2813" s="5" t="inlineStr">
        <is>
          <t>Yes</t>
        </is>
      </c>
      <c r="N2813" s="5" t="inlineStr"/>
      <c r="O2813" s="8" t="inlineStr">
        <is>
          <t>117000</t>
        </is>
      </c>
      <c r="P2813" s="5" t="inlineStr">
        <is>
          <t>5</t>
        </is>
      </c>
      <c r="Q2813" s="5" t="inlineStr">
        <is>
          <t>4</t>
        </is>
      </c>
      <c r="R2813" s="5" t="inlineStr">
        <is>
          <t>5</t>
        </is>
      </c>
      <c r="S2813" s="5" t="inlineStr">
        <is>
          <t>18</t>
        </is>
      </c>
      <c r="T2813" s="5" t="inlineStr">
        <is>
          <t>6</t>
        </is>
      </c>
      <c r="U2813" s="5">
        <f>IFS(C2813&lt;30,"Under 30",C2813&lt;40,"30-39",C2813&lt;50,"40-49",TRUE,"50+")</f>
        <v/>
      </c>
      <c r="V2813" s="5">
        <f>IFS(O2813&lt;60000,"Low (&lt;60k)",O2813&lt;100000,"Mid (60-100k)",TRUE,"High (100k+)")</f>
        <v/>
      </c>
      <c r="W2813" s="5">
        <f>IF(M2813="No","Attrited","Active")</f>
        <v/>
      </c>
    </row>
    <row r="2814">
      <c r="A2814" s="5" t="inlineStr">
        <is>
          <t>E02813</t>
        </is>
      </c>
      <c r="B2814" s="5" t="inlineStr">
        <is>
          <t>Female</t>
        </is>
      </c>
      <c r="C2814" s="6" t="inlineStr">
        <is>
          <t>25</t>
        </is>
      </c>
      <c r="D2814" s="5" t="inlineStr">
        <is>
          <t>Married</t>
        </is>
      </c>
      <c r="E2814" s="5" t="inlineStr">
        <is>
          <t>Master</t>
        </is>
      </c>
      <c r="F2814" s="5" t="inlineStr">
        <is>
          <t>IT</t>
        </is>
      </c>
      <c r="G2814" s="5" t="inlineStr">
        <is>
          <t>Software Engineer</t>
        </is>
      </c>
      <c r="H2814" s="5" t="inlineStr">
        <is>
          <t>2</t>
        </is>
      </c>
      <c r="I2814" s="5" t="inlineStr">
        <is>
          <t>Hyderabad</t>
        </is>
      </c>
      <c r="J2814" s="5" t="inlineStr">
        <is>
          <t>Full-Time</t>
        </is>
      </c>
      <c r="K2814" s="7" t="n">
        <v>45634</v>
      </c>
      <c r="L2814" s="7" t="n">
        <v>45744</v>
      </c>
      <c r="M2814" s="5" t="inlineStr">
        <is>
          <t>No</t>
        </is>
      </c>
      <c r="N2814" s="5" t="inlineStr">
        <is>
          <t>Resigned</t>
        </is>
      </c>
      <c r="O2814" s="8" t="inlineStr">
        <is>
          <t>99500</t>
        </is>
      </c>
      <c r="P2814" s="5" t="inlineStr">
        <is>
          <t>10</t>
        </is>
      </c>
      <c r="Q2814" s="5" t="inlineStr">
        <is>
          <t>4</t>
        </is>
      </c>
      <c r="R2814" s="5" t="inlineStr">
        <is>
          <t>5</t>
        </is>
      </c>
      <c r="S2814" s="5" t="inlineStr">
        <is>
          <t>3</t>
        </is>
      </c>
      <c r="T2814" s="5" t="inlineStr">
        <is>
          <t>0</t>
        </is>
      </c>
      <c r="U2814" s="5">
        <f>IFS(C2814&lt;30,"Under 30",C2814&lt;40,"30-39",C2814&lt;50,"40-49",TRUE,"50+")</f>
        <v/>
      </c>
      <c r="V2814" s="5">
        <f>IFS(O2814&lt;60000,"Low (&lt;60k)",O2814&lt;100000,"Mid (60-100k)",TRUE,"High (100k+)")</f>
        <v/>
      </c>
      <c r="W2814" s="5">
        <f>IF(M2814="No","Attrited","Active")</f>
        <v/>
      </c>
    </row>
    <row r="2815">
      <c r="A2815" s="5" t="inlineStr">
        <is>
          <t>E02814</t>
        </is>
      </c>
      <c r="B2815" s="5" t="inlineStr">
        <is>
          <t>Male</t>
        </is>
      </c>
      <c r="C2815" s="6" t="inlineStr">
        <is>
          <t>37</t>
        </is>
      </c>
      <c r="D2815" s="5" t="inlineStr">
        <is>
          <t>Married</t>
        </is>
      </c>
      <c r="E2815" s="5" t="inlineStr">
        <is>
          <t>Bachelor</t>
        </is>
      </c>
      <c r="F2815" s="5" t="inlineStr">
        <is>
          <t>Operations</t>
        </is>
      </c>
      <c r="G2815" s="5" t="inlineStr">
        <is>
          <t>Operations Analyst</t>
        </is>
      </c>
      <c r="H2815" s="5" t="inlineStr">
        <is>
          <t>4</t>
        </is>
      </c>
      <c r="I2815" s="5" t="inlineStr">
        <is>
          <t>Chennai</t>
        </is>
      </c>
      <c r="J2815" s="5" t="inlineStr">
        <is>
          <t>Full-Time</t>
        </is>
      </c>
      <c r="K2815" s="7" t="n">
        <v>44806</v>
      </c>
      <c r="L2815" s="7" t="inlineStr"/>
      <c r="M2815" s="5" t="inlineStr">
        <is>
          <t>Yes</t>
        </is>
      </c>
      <c r="N2815" s="5" t="inlineStr"/>
      <c r="O2815" s="8" t="inlineStr">
        <is>
          <t>114500</t>
        </is>
      </c>
      <c r="P2815" s="5" t="inlineStr">
        <is>
          <t>0</t>
        </is>
      </c>
      <c r="Q2815" s="5" t="inlineStr">
        <is>
          <t>4</t>
        </is>
      </c>
      <c r="R2815" s="5" t="inlineStr">
        <is>
          <t>6</t>
        </is>
      </c>
      <c r="S2815" s="5" t="inlineStr">
        <is>
          <t>40</t>
        </is>
      </c>
      <c r="T2815" s="5" t="inlineStr">
        <is>
          <t>0</t>
        </is>
      </c>
      <c r="U2815" s="5">
        <f>IFS(C2815&lt;30,"Under 30",C2815&lt;40,"30-39",C2815&lt;50,"40-49",TRUE,"50+")</f>
        <v/>
      </c>
      <c r="V2815" s="5">
        <f>IFS(O2815&lt;60000,"Low (&lt;60k)",O2815&lt;100000,"Mid (60-100k)",TRUE,"High (100k+)")</f>
        <v/>
      </c>
      <c r="W2815" s="5">
        <f>IF(M2815="No","Attrited","Active")</f>
        <v/>
      </c>
    </row>
    <row r="2816">
      <c r="A2816" s="5" t="inlineStr">
        <is>
          <t>E02815</t>
        </is>
      </c>
      <c r="B2816" s="5" t="inlineStr">
        <is>
          <t>Female</t>
        </is>
      </c>
      <c r="C2816" s="6" t="inlineStr">
        <is>
          <t>27</t>
        </is>
      </c>
      <c r="D2816" s="5" t="inlineStr">
        <is>
          <t>Married</t>
        </is>
      </c>
      <c r="E2816" s="5" t="inlineStr">
        <is>
          <t>PhD</t>
        </is>
      </c>
      <c r="F2816" s="5" t="inlineStr">
        <is>
          <t>Sales</t>
        </is>
      </c>
      <c r="G2816" s="5" t="inlineStr">
        <is>
          <t>Account Executive</t>
        </is>
      </c>
      <c r="H2816" s="5" t="inlineStr">
        <is>
          <t>3</t>
        </is>
      </c>
      <c r="I2816" s="5" t="inlineStr">
        <is>
          <t>Mumbai</t>
        </is>
      </c>
      <c r="J2816" s="5" t="inlineStr">
        <is>
          <t>Full-Time</t>
        </is>
      </c>
      <c r="K2816" s="7" t="n">
        <v>45680</v>
      </c>
      <c r="L2816" s="7" t="inlineStr"/>
      <c r="M2816" s="5" t="inlineStr">
        <is>
          <t>Yes</t>
        </is>
      </c>
      <c r="N2816" s="5" t="inlineStr"/>
      <c r="O2816" s="8" t="inlineStr">
        <is>
          <t>129000</t>
        </is>
      </c>
      <c r="P2816" s="5" t="inlineStr">
        <is>
          <t>10</t>
        </is>
      </c>
      <c r="Q2816" s="5" t="inlineStr">
        <is>
          <t>4</t>
        </is>
      </c>
      <c r="R2816" s="5" t="inlineStr">
        <is>
          <t>8</t>
        </is>
      </c>
      <c r="S2816" s="5" t="inlineStr">
        <is>
          <t>11</t>
        </is>
      </c>
      <c r="T2816" s="5" t="inlineStr">
        <is>
          <t>12</t>
        </is>
      </c>
      <c r="U2816" s="5">
        <f>IFS(C2816&lt;30,"Under 30",C2816&lt;40,"30-39",C2816&lt;50,"40-49",TRUE,"50+")</f>
        <v/>
      </c>
      <c r="V2816" s="5">
        <f>IFS(O2816&lt;60000,"Low (&lt;60k)",O2816&lt;100000,"Mid (60-100k)",TRUE,"High (100k+)")</f>
        <v/>
      </c>
      <c r="W2816" s="5">
        <f>IF(M2816="No","Attrited","Active")</f>
        <v/>
      </c>
    </row>
    <row r="2817">
      <c r="A2817" s="5" t="inlineStr">
        <is>
          <t>E02816</t>
        </is>
      </c>
      <c r="B2817" s="5" t="inlineStr">
        <is>
          <t>Female</t>
        </is>
      </c>
      <c r="C2817" s="6" t="inlineStr">
        <is>
          <t>38</t>
        </is>
      </c>
      <c r="D2817" s="5" t="inlineStr">
        <is>
          <t>Married</t>
        </is>
      </c>
      <c r="E2817" s="5" t="inlineStr">
        <is>
          <t>High School</t>
        </is>
      </c>
      <c r="F2817" s="5" t="inlineStr">
        <is>
          <t>IT</t>
        </is>
      </c>
      <c r="G2817" s="5" t="inlineStr">
        <is>
          <t>Data Analyst</t>
        </is>
      </c>
      <c r="H2817" s="5" t="inlineStr">
        <is>
          <t>6</t>
        </is>
      </c>
      <c r="I2817" s="5" t="inlineStr">
        <is>
          <t>Bengaluru</t>
        </is>
      </c>
      <c r="J2817" s="5" t="inlineStr">
        <is>
          <t>Full-Time</t>
        </is>
      </c>
      <c r="K2817" s="7" t="n">
        <v>45221</v>
      </c>
      <c r="L2817" s="7" t="inlineStr"/>
      <c r="M2817" s="5" t="inlineStr">
        <is>
          <t>Yes</t>
        </is>
      </c>
      <c r="N2817" s="5" t="inlineStr"/>
      <c r="O2817" s="8" t="inlineStr">
        <is>
          <t>203500</t>
        </is>
      </c>
      <c r="P2817" s="5" t="inlineStr">
        <is>
          <t>5</t>
        </is>
      </c>
      <c r="Q2817" s="5" t="inlineStr">
        <is>
          <t>4</t>
        </is>
      </c>
      <c r="R2817" s="5" t="inlineStr">
        <is>
          <t>7</t>
        </is>
      </c>
      <c r="S2817" s="5" t="inlineStr">
        <is>
          <t>26</t>
        </is>
      </c>
      <c r="T2817" s="5" t="inlineStr">
        <is>
          <t>12</t>
        </is>
      </c>
      <c r="U2817" s="5">
        <f>IFS(C2817&lt;30,"Under 30",C2817&lt;40,"30-39",C2817&lt;50,"40-49",TRUE,"50+")</f>
        <v/>
      </c>
      <c r="V2817" s="5">
        <f>IFS(O2817&lt;60000,"Low (&lt;60k)",O2817&lt;100000,"Mid (60-100k)",TRUE,"High (100k+)")</f>
        <v/>
      </c>
      <c r="W2817" s="5">
        <f>IF(M2817="No","Attrited","Active")</f>
        <v/>
      </c>
    </row>
    <row r="2818">
      <c r="A2818" s="5" t="inlineStr">
        <is>
          <t>E02817</t>
        </is>
      </c>
      <c r="B2818" s="5" t="inlineStr">
        <is>
          <t>Female</t>
        </is>
      </c>
      <c r="C2818" s="6" t="inlineStr">
        <is>
          <t>26</t>
        </is>
      </c>
      <c r="D2818" s="5" t="inlineStr">
        <is>
          <t>Married</t>
        </is>
      </c>
      <c r="E2818" s="5" t="inlineStr">
        <is>
          <t>Diploma</t>
        </is>
      </c>
      <c r="F2818" s="5" t="inlineStr">
        <is>
          <t>Customer Support</t>
        </is>
      </c>
      <c r="G2818" s="5" t="inlineStr">
        <is>
          <t>Support Agent</t>
        </is>
      </c>
      <c r="H2818" s="5" t="inlineStr">
        <is>
          <t>1</t>
        </is>
      </c>
      <c r="I2818" s="5" t="inlineStr">
        <is>
          <t>Remote</t>
        </is>
      </c>
      <c r="J2818" s="5" t="inlineStr">
        <is>
          <t>Full-Time</t>
        </is>
      </c>
      <c r="K2818" s="7" t="n">
        <v>45693</v>
      </c>
      <c r="L2818" s="7" t="n">
        <v>45751</v>
      </c>
      <c r="M2818" s="5" t="inlineStr">
        <is>
          <t>No</t>
        </is>
      </c>
      <c r="N2818" s="5" t="inlineStr">
        <is>
          <t>Resigned</t>
        </is>
      </c>
      <c r="O2818" s="8" t="inlineStr">
        <is>
          <t>43000</t>
        </is>
      </c>
      <c r="P2818" s="5" t="inlineStr">
        <is>
          <t>20</t>
        </is>
      </c>
      <c r="Q2818" s="5" t="inlineStr">
        <is>
          <t>4</t>
        </is>
      </c>
      <c r="R2818" s="5" t="inlineStr">
        <is>
          <t>3</t>
        </is>
      </c>
      <c r="S2818" s="5" t="inlineStr">
        <is>
          <t>1</t>
        </is>
      </c>
      <c r="T2818" s="5" t="inlineStr">
        <is>
          <t>12</t>
        </is>
      </c>
      <c r="U2818" s="5">
        <f>IFS(C2818&lt;30,"Under 30",C2818&lt;40,"30-39",C2818&lt;50,"40-49",TRUE,"50+")</f>
        <v/>
      </c>
      <c r="V2818" s="5">
        <f>IFS(O2818&lt;60000,"Low (&lt;60k)",O2818&lt;100000,"Mid (60-100k)",TRUE,"High (100k+)")</f>
        <v/>
      </c>
      <c r="W2818" s="5">
        <f>IF(M2818="No","Attrited","Active")</f>
        <v/>
      </c>
    </row>
    <row r="2819">
      <c r="A2819" s="5" t="inlineStr">
        <is>
          <t>E02818</t>
        </is>
      </c>
      <c r="B2819" s="5" t="inlineStr">
        <is>
          <t>Male</t>
        </is>
      </c>
      <c r="C2819" s="6" t="inlineStr">
        <is>
          <t>30</t>
        </is>
      </c>
      <c r="D2819" s="5" t="inlineStr">
        <is>
          <t>Married</t>
        </is>
      </c>
      <c r="E2819" s="5" t="inlineStr">
        <is>
          <t>High School</t>
        </is>
      </c>
      <c r="F2819" s="5" t="inlineStr">
        <is>
          <t>Research &amp; Development</t>
        </is>
      </c>
      <c r="G2819" s="5" t="inlineStr">
        <is>
          <t>Research Scientist</t>
        </is>
      </c>
      <c r="H2819" s="5" t="inlineStr">
        <is>
          <t>2</t>
        </is>
      </c>
      <c r="I2819" s="5" t="inlineStr">
        <is>
          <t>Bengaluru</t>
        </is>
      </c>
      <c r="J2819" s="5" t="inlineStr">
        <is>
          <t>Full-Time</t>
        </is>
      </c>
      <c r="K2819" s="7" t="n">
        <v>44029</v>
      </c>
      <c r="L2819" s="7" t="n">
        <v>44177</v>
      </c>
      <c r="M2819" s="5" t="inlineStr">
        <is>
          <t>No</t>
        </is>
      </c>
      <c r="N2819" s="5" t="inlineStr">
        <is>
          <t>Resigned</t>
        </is>
      </c>
      <c r="O2819" s="8" t="inlineStr">
        <is>
          <t>122500</t>
        </is>
      </c>
      <c r="P2819" s="5" t="inlineStr">
        <is>
          <t>15</t>
        </is>
      </c>
      <c r="Q2819" s="5" t="inlineStr">
        <is>
          <t>4</t>
        </is>
      </c>
      <c r="R2819" s="5" t="inlineStr">
        <is>
          <t>8</t>
        </is>
      </c>
      <c r="S2819" s="5" t="inlineStr">
        <is>
          <t>4</t>
        </is>
      </c>
      <c r="T2819" s="5" t="inlineStr">
        <is>
          <t>18</t>
        </is>
      </c>
      <c r="U2819" s="5">
        <f>IFS(C2819&lt;30,"Under 30",C2819&lt;40,"30-39",C2819&lt;50,"40-49",TRUE,"50+")</f>
        <v/>
      </c>
      <c r="V2819" s="5">
        <f>IFS(O2819&lt;60000,"Low (&lt;60k)",O2819&lt;100000,"Mid (60-100k)",TRUE,"High (100k+)")</f>
        <v/>
      </c>
      <c r="W2819" s="5">
        <f>IF(M2819="No","Attrited","Active")</f>
        <v/>
      </c>
    </row>
    <row r="2820">
      <c r="A2820" s="5" t="inlineStr">
        <is>
          <t>E02819</t>
        </is>
      </c>
      <c r="B2820" s="5" t="inlineStr">
        <is>
          <t>Male</t>
        </is>
      </c>
      <c r="C2820" s="6" t="inlineStr">
        <is>
          <t>39</t>
        </is>
      </c>
      <c r="D2820" s="5" t="inlineStr">
        <is>
          <t>Married</t>
        </is>
      </c>
      <c r="E2820" s="5" t="inlineStr">
        <is>
          <t>Diploma</t>
        </is>
      </c>
      <c r="F2820" s="5" t="inlineStr">
        <is>
          <t>Finance</t>
        </is>
      </c>
      <c r="G2820" s="5" t="inlineStr">
        <is>
          <t>Accountant</t>
        </is>
      </c>
      <c r="H2820" s="5" t="inlineStr">
        <is>
          <t>6</t>
        </is>
      </c>
      <c r="I2820" s="5" t="inlineStr">
        <is>
          <t>Hyderabad</t>
        </is>
      </c>
      <c r="J2820" s="5" t="inlineStr">
        <is>
          <t>Full-Time</t>
        </is>
      </c>
      <c r="K2820" s="7" t="n">
        <v>44464</v>
      </c>
      <c r="L2820" s="7" t="n">
        <v>44604</v>
      </c>
      <c r="M2820" s="5" t="inlineStr">
        <is>
          <t>No</t>
        </is>
      </c>
      <c r="N2820" s="5" t="inlineStr">
        <is>
          <t>Retirement</t>
        </is>
      </c>
      <c r="O2820" s="8" t="inlineStr">
        <is>
          <t>155500</t>
        </is>
      </c>
      <c r="P2820" s="5" t="inlineStr">
        <is>
          <t>0</t>
        </is>
      </c>
      <c r="Q2820" s="5" t="inlineStr">
        <is>
          <t>4</t>
        </is>
      </c>
      <c r="R2820" s="5" t="inlineStr">
        <is>
          <t>6</t>
        </is>
      </c>
      <c r="S2820" s="5" t="inlineStr">
        <is>
          <t>4</t>
        </is>
      </c>
      <c r="T2820" s="5" t="inlineStr">
        <is>
          <t>9</t>
        </is>
      </c>
      <c r="U2820" s="5">
        <f>IFS(C2820&lt;30,"Under 30",C2820&lt;40,"30-39",C2820&lt;50,"40-49",TRUE,"50+")</f>
        <v/>
      </c>
      <c r="V2820" s="5">
        <f>IFS(O2820&lt;60000,"Low (&lt;60k)",O2820&lt;100000,"Mid (60-100k)",TRUE,"High (100k+)")</f>
        <v/>
      </c>
      <c r="W2820" s="5">
        <f>IF(M2820="No","Attrited","Active")</f>
        <v/>
      </c>
    </row>
    <row r="2821">
      <c r="A2821" s="5" t="inlineStr">
        <is>
          <t>E02820</t>
        </is>
      </c>
      <c r="B2821" s="5" t="inlineStr">
        <is>
          <t>Female</t>
        </is>
      </c>
      <c r="C2821" s="6" t="inlineStr">
        <is>
          <t>32</t>
        </is>
      </c>
      <c r="D2821" s="5" t="inlineStr">
        <is>
          <t>Married</t>
        </is>
      </c>
      <c r="E2821" s="5" t="inlineStr">
        <is>
          <t>High School</t>
        </is>
      </c>
      <c r="F2821" s="5" t="inlineStr">
        <is>
          <t>Sales</t>
        </is>
      </c>
      <c r="G2821" s="5" t="inlineStr">
        <is>
          <t>Account Executive</t>
        </is>
      </c>
      <c r="H2821" s="5" t="inlineStr">
        <is>
          <t>2</t>
        </is>
      </c>
      <c r="I2821" s="5" t="inlineStr">
        <is>
          <t>Remote</t>
        </is>
      </c>
      <c r="J2821" s="5" t="inlineStr">
        <is>
          <t>Full-Time</t>
        </is>
      </c>
      <c r="K2821" s="7" t="n">
        <v>45896</v>
      </c>
      <c r="L2821" s="7" t="inlineStr"/>
      <c r="M2821" s="5" t="inlineStr">
        <is>
          <t>Yes</t>
        </is>
      </c>
      <c r="N2821" s="5" t="inlineStr"/>
      <c r="O2821" s="8" t="inlineStr">
        <is>
          <t>72000</t>
        </is>
      </c>
      <c r="P2821" s="5" t="inlineStr">
        <is>
          <t>5</t>
        </is>
      </c>
      <c r="Q2821" s="5" t="inlineStr">
        <is>
          <t>5</t>
        </is>
      </c>
      <c r="R2821" s="5" t="inlineStr">
        <is>
          <t>8</t>
        </is>
      </c>
      <c r="S2821" s="5" t="inlineStr">
        <is>
          <t>4</t>
        </is>
      </c>
      <c r="T2821" s="5" t="inlineStr">
        <is>
          <t>1</t>
        </is>
      </c>
      <c r="U2821" s="5">
        <f>IFS(C2821&lt;30,"Under 30",C2821&lt;40,"30-39",C2821&lt;50,"40-49",TRUE,"50+")</f>
        <v/>
      </c>
      <c r="V2821" s="5">
        <f>IFS(O2821&lt;60000,"Low (&lt;60k)",O2821&lt;100000,"Mid (60-100k)",TRUE,"High (100k+)")</f>
        <v/>
      </c>
      <c r="W2821" s="5">
        <f>IF(M2821="No","Attrited","Active")</f>
        <v/>
      </c>
    </row>
    <row r="2822">
      <c r="A2822" s="5" t="inlineStr">
        <is>
          <t>E02821</t>
        </is>
      </c>
      <c r="B2822" s="5" t="inlineStr">
        <is>
          <t>Male</t>
        </is>
      </c>
      <c r="C2822" s="6" t="inlineStr">
        <is>
          <t>34</t>
        </is>
      </c>
      <c r="D2822" s="5" t="inlineStr">
        <is>
          <t>Single</t>
        </is>
      </c>
      <c r="E2822" s="5" t="inlineStr">
        <is>
          <t>High School</t>
        </is>
      </c>
      <c r="F2822" s="5" t="inlineStr">
        <is>
          <t>IT</t>
        </is>
      </c>
      <c r="G2822" s="5" t="inlineStr">
        <is>
          <t>Software Engineer</t>
        </is>
      </c>
      <c r="H2822" s="5" t="inlineStr">
        <is>
          <t>2</t>
        </is>
      </c>
      <c r="I2822" s="5" t="inlineStr">
        <is>
          <t>Chennai</t>
        </is>
      </c>
      <c r="J2822" s="5" t="inlineStr">
        <is>
          <t>Part-Time</t>
        </is>
      </c>
      <c r="K2822" s="7" t="n">
        <v>46011</v>
      </c>
      <c r="L2822" s="7" t="inlineStr"/>
      <c r="M2822" s="5" t="inlineStr">
        <is>
          <t>Yes</t>
        </is>
      </c>
      <c r="N2822" s="5" t="inlineStr"/>
      <c r="O2822" s="8" t="inlineStr">
        <is>
          <t>149000</t>
        </is>
      </c>
      <c r="P2822" s="5" t="inlineStr">
        <is>
          <t>0</t>
        </is>
      </c>
      <c r="Q2822" s="5" t="inlineStr">
        <is>
          <t>5</t>
        </is>
      </c>
      <c r="R2822" s="5" t="inlineStr">
        <is>
          <t>6</t>
        </is>
      </c>
      <c r="S2822" s="5" t="inlineStr">
        <is>
          <t>1</t>
        </is>
      </c>
      <c r="T2822" s="5" t="inlineStr">
        <is>
          <t>9</t>
        </is>
      </c>
      <c r="U2822" s="5">
        <f>IFS(C2822&lt;30,"Under 30",C2822&lt;40,"30-39",C2822&lt;50,"40-49",TRUE,"50+")</f>
        <v/>
      </c>
      <c r="V2822" s="5">
        <f>IFS(O2822&lt;60000,"Low (&lt;60k)",O2822&lt;100000,"Mid (60-100k)",TRUE,"High (100k+)")</f>
        <v/>
      </c>
      <c r="W2822" s="5">
        <f>IF(M2822="No","Attrited","Active")</f>
        <v/>
      </c>
    </row>
    <row r="2823">
      <c r="A2823" s="5" t="inlineStr">
        <is>
          <t>E02822</t>
        </is>
      </c>
      <c r="B2823" s="5" t="inlineStr">
        <is>
          <t>Female</t>
        </is>
      </c>
      <c r="C2823" s="6" t="inlineStr">
        <is>
          <t>39</t>
        </is>
      </c>
      <c r="D2823" s="5" t="inlineStr">
        <is>
          <t>Single</t>
        </is>
      </c>
      <c r="E2823" s="5" t="inlineStr">
        <is>
          <t>High School</t>
        </is>
      </c>
      <c r="F2823" s="5" t="inlineStr">
        <is>
          <t>Operations</t>
        </is>
      </c>
      <c r="G2823" s="5" t="inlineStr">
        <is>
          <t>Quality Analyst</t>
        </is>
      </c>
      <c r="H2823" s="5" t="inlineStr">
        <is>
          <t>5</t>
        </is>
      </c>
      <c r="I2823" s="5" t="inlineStr">
        <is>
          <t>Chennai</t>
        </is>
      </c>
      <c r="J2823" s="5" t="inlineStr">
        <is>
          <t>Full-Time</t>
        </is>
      </c>
      <c r="K2823" s="7" t="n">
        <v>45990</v>
      </c>
      <c r="L2823" s="7" t="inlineStr"/>
      <c r="M2823" s="5" t="inlineStr">
        <is>
          <t>Yes</t>
        </is>
      </c>
      <c r="N2823" s="5" t="inlineStr"/>
      <c r="O2823" s="8" t="inlineStr">
        <is>
          <t>144000</t>
        </is>
      </c>
      <c r="P2823" s="5" t="inlineStr">
        <is>
          <t>15</t>
        </is>
      </c>
      <c r="Q2823" s="5" t="inlineStr">
        <is>
          <t>4</t>
        </is>
      </c>
      <c r="R2823" s="5" t="inlineStr">
        <is>
          <t>6</t>
        </is>
      </c>
      <c r="S2823" s="5" t="inlineStr">
        <is>
          <t>1</t>
        </is>
      </c>
      <c r="T2823" s="5" t="inlineStr">
        <is>
          <t>6</t>
        </is>
      </c>
      <c r="U2823" s="5">
        <f>IFS(C2823&lt;30,"Under 30",C2823&lt;40,"30-39",C2823&lt;50,"40-49",TRUE,"50+")</f>
        <v/>
      </c>
      <c r="V2823" s="5">
        <f>IFS(O2823&lt;60000,"Low (&lt;60k)",O2823&lt;100000,"Mid (60-100k)",TRUE,"High (100k+)")</f>
        <v/>
      </c>
      <c r="W2823" s="5">
        <f>IF(M2823="No","Attrited","Active")</f>
        <v/>
      </c>
    </row>
    <row r="2824">
      <c r="A2824" s="5" t="inlineStr">
        <is>
          <t>E02823</t>
        </is>
      </c>
      <c r="B2824" s="5" t="inlineStr">
        <is>
          <t>Male</t>
        </is>
      </c>
      <c r="C2824" s="6" t="inlineStr">
        <is>
          <t>37</t>
        </is>
      </c>
      <c r="D2824" s="5" t="inlineStr">
        <is>
          <t>Married</t>
        </is>
      </c>
      <c r="E2824" s="5" t="inlineStr">
        <is>
          <t>High School</t>
        </is>
      </c>
      <c r="F2824" s="5" t="inlineStr">
        <is>
          <t>Human Resources</t>
        </is>
      </c>
      <c r="G2824" s="5" t="inlineStr">
        <is>
          <t>HR Generalist</t>
        </is>
      </c>
      <c r="H2824" s="5" t="inlineStr">
        <is>
          <t>3</t>
        </is>
      </c>
      <c r="I2824" s="5" t="inlineStr">
        <is>
          <t>Hyderabad</t>
        </is>
      </c>
      <c r="J2824" s="5" t="inlineStr">
        <is>
          <t>Full-Time</t>
        </is>
      </c>
      <c r="K2824" s="7" t="n">
        <v>45016</v>
      </c>
      <c r="L2824" s="7" t="inlineStr"/>
      <c r="M2824" s="5" t="inlineStr">
        <is>
          <t>Yes</t>
        </is>
      </c>
      <c r="N2824" s="5" t="inlineStr"/>
      <c r="O2824" s="8" t="inlineStr">
        <is>
          <t>75500</t>
        </is>
      </c>
      <c r="P2824" s="5" t="inlineStr">
        <is>
          <t>0</t>
        </is>
      </c>
      <c r="Q2824" s="5" t="inlineStr">
        <is>
          <t>3</t>
        </is>
      </c>
      <c r="R2824" s="5" t="inlineStr">
        <is>
          <t>8</t>
        </is>
      </c>
      <c r="S2824" s="5" t="inlineStr">
        <is>
          <t>33</t>
        </is>
      </c>
      <c r="T2824" s="5" t="inlineStr">
        <is>
          <t>0</t>
        </is>
      </c>
      <c r="U2824" s="5">
        <f>IFS(C2824&lt;30,"Under 30",C2824&lt;40,"30-39",C2824&lt;50,"40-49",TRUE,"50+")</f>
        <v/>
      </c>
      <c r="V2824" s="5">
        <f>IFS(O2824&lt;60000,"Low (&lt;60k)",O2824&lt;100000,"Mid (60-100k)",TRUE,"High (100k+)")</f>
        <v/>
      </c>
      <c r="W2824" s="5">
        <f>IF(M2824="No","Attrited","Active")</f>
        <v/>
      </c>
    </row>
    <row r="2825">
      <c r="A2825" s="5" t="inlineStr">
        <is>
          <t>E02824</t>
        </is>
      </c>
      <c r="B2825" s="5" t="inlineStr">
        <is>
          <t>Female</t>
        </is>
      </c>
      <c r="C2825" s="6" t="inlineStr">
        <is>
          <t>26</t>
        </is>
      </c>
      <c r="D2825" s="5" t="inlineStr">
        <is>
          <t>Single</t>
        </is>
      </c>
      <c r="E2825" s="5" t="inlineStr">
        <is>
          <t>PhD</t>
        </is>
      </c>
      <c r="F2825" s="5" t="inlineStr">
        <is>
          <t>Marketing</t>
        </is>
      </c>
      <c r="G2825" s="5" t="inlineStr">
        <is>
          <t>Marketing Analyst</t>
        </is>
      </c>
      <c r="H2825" s="5" t="inlineStr">
        <is>
          <t>2</t>
        </is>
      </c>
      <c r="I2825" s="5" t="inlineStr">
        <is>
          <t>Mumbai</t>
        </is>
      </c>
      <c r="J2825" s="5" t="inlineStr">
        <is>
          <t>Full-Time</t>
        </is>
      </c>
      <c r="K2825" s="7" t="n">
        <v>45947</v>
      </c>
      <c r="L2825" s="7" t="inlineStr"/>
      <c r="M2825" s="5" t="inlineStr">
        <is>
          <t>Yes</t>
        </is>
      </c>
      <c r="N2825" s="5" t="inlineStr"/>
      <c r="O2825" s="8" t="inlineStr">
        <is>
          <t>94000</t>
        </is>
      </c>
      <c r="P2825" s="5" t="inlineStr">
        <is>
          <t>0</t>
        </is>
      </c>
      <c r="Q2825" s="5" t="inlineStr">
        <is>
          <t>4</t>
        </is>
      </c>
      <c r="R2825" s="5" t="inlineStr">
        <is>
          <t>7</t>
        </is>
      </c>
      <c r="S2825" s="5" t="inlineStr">
        <is>
          <t>2</t>
        </is>
      </c>
      <c r="T2825" s="5" t="inlineStr">
        <is>
          <t>14</t>
        </is>
      </c>
      <c r="U2825" s="5">
        <f>IFS(C2825&lt;30,"Under 30",C2825&lt;40,"30-39",C2825&lt;50,"40-49",TRUE,"50+")</f>
        <v/>
      </c>
      <c r="V2825" s="5">
        <f>IFS(O2825&lt;60000,"Low (&lt;60k)",O2825&lt;100000,"Mid (60-100k)",TRUE,"High (100k+)")</f>
        <v/>
      </c>
      <c r="W2825" s="5">
        <f>IF(M2825="No","Attrited","Active")</f>
        <v/>
      </c>
    </row>
    <row r="2826">
      <c r="A2826" s="5" t="inlineStr">
        <is>
          <t>E02825</t>
        </is>
      </c>
      <c r="B2826" s="5" t="inlineStr">
        <is>
          <t>Female</t>
        </is>
      </c>
      <c r="C2826" s="6" t="inlineStr">
        <is>
          <t>25</t>
        </is>
      </c>
      <c r="D2826" s="5" t="inlineStr">
        <is>
          <t>Married</t>
        </is>
      </c>
      <c r="E2826" s="5" t="inlineStr">
        <is>
          <t>PhD</t>
        </is>
      </c>
      <c r="F2826" s="5" t="inlineStr">
        <is>
          <t>IT</t>
        </is>
      </c>
      <c r="G2826" s="5" t="inlineStr">
        <is>
          <t>IT Support</t>
        </is>
      </c>
      <c r="H2826" s="5" t="inlineStr">
        <is>
          <t>2</t>
        </is>
      </c>
      <c r="I2826" s="5" t="inlineStr">
        <is>
          <t>Mumbai</t>
        </is>
      </c>
      <c r="J2826" s="5" t="inlineStr">
        <is>
          <t>Full-Time</t>
        </is>
      </c>
      <c r="K2826" s="7" t="n">
        <v>45348</v>
      </c>
      <c r="L2826" s="7" t="inlineStr"/>
      <c r="M2826" s="5" t="inlineStr">
        <is>
          <t>Yes</t>
        </is>
      </c>
      <c r="N2826" s="5" t="inlineStr"/>
      <c r="O2826" s="8" t="inlineStr">
        <is>
          <t>169000</t>
        </is>
      </c>
      <c r="P2826" s="5" t="inlineStr">
        <is>
          <t>0</t>
        </is>
      </c>
      <c r="Q2826" s="5" t="inlineStr">
        <is>
          <t>4</t>
        </is>
      </c>
      <c r="R2826" s="5" t="inlineStr">
        <is>
          <t>6</t>
        </is>
      </c>
      <c r="S2826" s="5" t="inlineStr">
        <is>
          <t>22</t>
        </is>
      </c>
      <c r="T2826" s="5" t="inlineStr">
        <is>
          <t>13</t>
        </is>
      </c>
      <c r="U2826" s="5">
        <f>IFS(C2826&lt;30,"Under 30",C2826&lt;40,"30-39",C2826&lt;50,"40-49",TRUE,"50+")</f>
        <v/>
      </c>
      <c r="V2826" s="5">
        <f>IFS(O2826&lt;60000,"Low (&lt;60k)",O2826&lt;100000,"Mid (60-100k)",TRUE,"High (100k+)")</f>
        <v/>
      </c>
      <c r="W2826" s="5">
        <f>IF(M2826="No","Attrited","Active")</f>
        <v/>
      </c>
    </row>
    <row r="2827">
      <c r="A2827" s="5" t="inlineStr">
        <is>
          <t>E02826</t>
        </is>
      </c>
      <c r="B2827" s="5" t="inlineStr">
        <is>
          <t>Female</t>
        </is>
      </c>
      <c r="C2827" s="6" t="inlineStr">
        <is>
          <t>36</t>
        </is>
      </c>
      <c r="D2827" s="5" t="inlineStr">
        <is>
          <t>Married</t>
        </is>
      </c>
      <c r="E2827" s="5" t="inlineStr">
        <is>
          <t>Diploma</t>
        </is>
      </c>
      <c r="F2827" s="5" t="inlineStr">
        <is>
          <t>Human Resources</t>
        </is>
      </c>
      <c r="G2827" s="5" t="inlineStr">
        <is>
          <t>Recruiter</t>
        </is>
      </c>
      <c r="H2827" s="5" t="inlineStr">
        <is>
          <t>5</t>
        </is>
      </c>
      <c r="I2827" s="5" t="inlineStr">
        <is>
          <t>Bengaluru</t>
        </is>
      </c>
      <c r="J2827" s="5" t="inlineStr">
        <is>
          <t>Full-Time</t>
        </is>
      </c>
      <c r="K2827" s="7" t="n">
        <v>45613</v>
      </c>
      <c r="L2827" s="7" t="inlineStr"/>
      <c r="M2827" s="5" t="inlineStr">
        <is>
          <t>Yes</t>
        </is>
      </c>
      <c r="N2827" s="5" t="inlineStr"/>
      <c r="O2827" s="8" t="inlineStr">
        <is>
          <t>120000</t>
        </is>
      </c>
      <c r="P2827" s="5" t="inlineStr">
        <is>
          <t>10</t>
        </is>
      </c>
      <c r="Q2827" s="5" t="inlineStr">
        <is>
          <t>4</t>
        </is>
      </c>
      <c r="R2827" s="5" t="inlineStr">
        <is>
          <t>3</t>
        </is>
      </c>
      <c r="S2827" s="5" t="inlineStr">
        <is>
          <t>13</t>
        </is>
      </c>
      <c r="T2827" s="5" t="inlineStr">
        <is>
          <t>12</t>
        </is>
      </c>
      <c r="U2827" s="5">
        <f>IFS(C2827&lt;30,"Under 30",C2827&lt;40,"30-39",C2827&lt;50,"40-49",TRUE,"50+")</f>
        <v/>
      </c>
      <c r="V2827" s="5">
        <f>IFS(O2827&lt;60000,"Low (&lt;60k)",O2827&lt;100000,"Mid (60-100k)",TRUE,"High (100k+)")</f>
        <v/>
      </c>
      <c r="W2827" s="5">
        <f>IF(M2827="No","Attrited","Active")</f>
        <v/>
      </c>
    </row>
    <row r="2828">
      <c r="A2828" s="5" t="inlineStr">
        <is>
          <t>E02827</t>
        </is>
      </c>
      <c r="B2828" s="5" t="inlineStr">
        <is>
          <t>Male</t>
        </is>
      </c>
      <c r="C2828" s="6" t="inlineStr">
        <is>
          <t>30</t>
        </is>
      </c>
      <c r="D2828" s="5" t="inlineStr">
        <is>
          <t>Single</t>
        </is>
      </c>
      <c r="E2828" s="5" t="inlineStr">
        <is>
          <t>High School</t>
        </is>
      </c>
      <c r="F2828" s="5" t="inlineStr">
        <is>
          <t>Customer Support</t>
        </is>
      </c>
      <c r="G2828" s="5" t="inlineStr">
        <is>
          <t>Support Lead</t>
        </is>
      </c>
      <c r="H2828" s="5" t="inlineStr">
        <is>
          <t>2</t>
        </is>
      </c>
      <c r="I2828" s="5" t="inlineStr">
        <is>
          <t>Mumbai</t>
        </is>
      </c>
      <c r="J2828" s="5" t="inlineStr">
        <is>
          <t>Full-Time</t>
        </is>
      </c>
      <c r="K2828" s="7" t="n">
        <v>45368</v>
      </c>
      <c r="L2828" s="7" t="inlineStr"/>
      <c r="M2828" s="5" t="inlineStr">
        <is>
          <t>Yes</t>
        </is>
      </c>
      <c r="N2828" s="5" t="inlineStr"/>
      <c r="O2828" s="8" t="inlineStr">
        <is>
          <t>50500</t>
        </is>
      </c>
      <c r="P2828" s="5" t="inlineStr">
        <is>
          <t>10</t>
        </is>
      </c>
      <c r="Q2828" s="5" t="inlineStr">
        <is>
          <t>3</t>
        </is>
      </c>
      <c r="R2828" s="5" t="inlineStr">
        <is>
          <t>8</t>
        </is>
      </c>
      <c r="S2828" s="5" t="inlineStr">
        <is>
          <t>21</t>
        </is>
      </c>
      <c r="T2828" s="5" t="inlineStr">
        <is>
          <t>16</t>
        </is>
      </c>
      <c r="U2828" s="5">
        <f>IFS(C2828&lt;30,"Under 30",C2828&lt;40,"30-39",C2828&lt;50,"40-49",TRUE,"50+")</f>
        <v/>
      </c>
      <c r="V2828" s="5">
        <f>IFS(O2828&lt;60000,"Low (&lt;60k)",O2828&lt;100000,"Mid (60-100k)",TRUE,"High (100k+)")</f>
        <v/>
      </c>
      <c r="W2828" s="5">
        <f>IF(M2828="No","Attrited","Active")</f>
        <v/>
      </c>
    </row>
    <row r="2829">
      <c r="A2829" s="5" t="inlineStr">
        <is>
          <t>E02828</t>
        </is>
      </c>
      <c r="B2829" s="5" t="inlineStr">
        <is>
          <t>Male</t>
        </is>
      </c>
      <c r="C2829" s="6" t="inlineStr">
        <is>
          <t>35</t>
        </is>
      </c>
      <c r="D2829" s="5" t="inlineStr">
        <is>
          <t>Married</t>
        </is>
      </c>
      <c r="E2829" s="5" t="inlineStr">
        <is>
          <t>PhD</t>
        </is>
      </c>
      <c r="F2829" s="5" t="inlineStr">
        <is>
          <t>Sales</t>
        </is>
      </c>
      <c r="G2829" s="5" t="inlineStr">
        <is>
          <t>Sales Executive</t>
        </is>
      </c>
      <c r="H2829" s="5" t="inlineStr">
        <is>
          <t>3</t>
        </is>
      </c>
      <c r="I2829" s="5" t="inlineStr">
        <is>
          <t>Delhi</t>
        </is>
      </c>
      <c r="J2829" s="5" t="inlineStr">
        <is>
          <t>Full-Time</t>
        </is>
      </c>
      <c r="K2829" s="7" t="n">
        <v>44043</v>
      </c>
      <c r="L2829" s="7" t="inlineStr"/>
      <c r="M2829" s="5" t="inlineStr">
        <is>
          <t>Yes</t>
        </is>
      </c>
      <c r="N2829" s="5" t="inlineStr"/>
      <c r="O2829" s="8" t="inlineStr">
        <is>
          <t>97500</t>
        </is>
      </c>
      <c r="P2829" s="5" t="inlineStr">
        <is>
          <t>5</t>
        </is>
      </c>
      <c r="Q2829" s="5" t="inlineStr">
        <is>
          <t>4</t>
        </is>
      </c>
      <c r="R2829" s="5" t="inlineStr">
        <is>
          <t>8</t>
        </is>
      </c>
      <c r="S2829" s="5" t="inlineStr">
        <is>
          <t>65</t>
        </is>
      </c>
      <c r="T2829" s="5" t="inlineStr">
        <is>
          <t>5</t>
        </is>
      </c>
      <c r="U2829" s="5">
        <f>IFS(C2829&lt;30,"Under 30",C2829&lt;40,"30-39",C2829&lt;50,"40-49",TRUE,"50+")</f>
        <v/>
      </c>
      <c r="V2829" s="5">
        <f>IFS(O2829&lt;60000,"Low (&lt;60k)",O2829&lt;100000,"Mid (60-100k)",TRUE,"High (100k+)")</f>
        <v/>
      </c>
      <c r="W2829" s="5">
        <f>IF(M2829="No","Attrited","Active")</f>
        <v/>
      </c>
    </row>
    <row r="2830">
      <c r="A2830" s="5" t="inlineStr">
        <is>
          <t>E02829</t>
        </is>
      </c>
      <c r="B2830" s="5" t="inlineStr">
        <is>
          <t>Female</t>
        </is>
      </c>
      <c r="C2830" s="6" t="inlineStr">
        <is>
          <t>39</t>
        </is>
      </c>
      <c r="D2830" s="5" t="inlineStr">
        <is>
          <t>Married</t>
        </is>
      </c>
      <c r="E2830" s="5" t="inlineStr">
        <is>
          <t>Diploma</t>
        </is>
      </c>
      <c r="F2830" s="5" t="inlineStr">
        <is>
          <t>Customer Support</t>
        </is>
      </c>
      <c r="G2830" s="5" t="inlineStr">
        <is>
          <t>Support Lead</t>
        </is>
      </c>
      <c r="H2830" s="5" t="inlineStr">
        <is>
          <t>5</t>
        </is>
      </c>
      <c r="I2830" s="5" t="inlineStr">
        <is>
          <t>Bengaluru</t>
        </is>
      </c>
      <c r="J2830" s="5" t="inlineStr">
        <is>
          <t>Full-Time</t>
        </is>
      </c>
      <c r="K2830" s="7" t="n">
        <v>45681</v>
      </c>
      <c r="L2830" s="7" t="n">
        <v>45762</v>
      </c>
      <c r="M2830" s="5" t="inlineStr">
        <is>
          <t>No</t>
        </is>
      </c>
      <c r="N2830" s="5" t="inlineStr">
        <is>
          <t>Layoff</t>
        </is>
      </c>
      <c r="O2830" s="8" t="inlineStr">
        <is>
          <t>75000</t>
        </is>
      </c>
      <c r="P2830" s="5" t="inlineStr">
        <is>
          <t>0</t>
        </is>
      </c>
      <c r="Q2830" s="5" t="inlineStr">
        <is>
          <t>4</t>
        </is>
      </c>
      <c r="R2830" s="5" t="inlineStr">
        <is>
          <t>10</t>
        </is>
      </c>
      <c r="S2830" s="5" t="inlineStr">
        <is>
          <t>2</t>
        </is>
      </c>
      <c r="T2830" s="5" t="inlineStr">
        <is>
          <t>0</t>
        </is>
      </c>
      <c r="U2830" s="5">
        <f>IFS(C2830&lt;30,"Under 30",C2830&lt;40,"30-39",C2830&lt;50,"40-49",TRUE,"50+")</f>
        <v/>
      </c>
      <c r="V2830" s="5">
        <f>IFS(O2830&lt;60000,"Low (&lt;60k)",O2830&lt;100000,"Mid (60-100k)",TRUE,"High (100k+)")</f>
        <v/>
      </c>
      <c r="W2830" s="5">
        <f>IF(M2830="No","Attrited","Active")</f>
        <v/>
      </c>
    </row>
    <row r="2831">
      <c r="A2831" s="5" t="inlineStr">
        <is>
          <t>E02830</t>
        </is>
      </c>
      <c r="B2831" s="5" t="inlineStr">
        <is>
          <t>Female</t>
        </is>
      </c>
      <c r="C2831" s="6" t="inlineStr">
        <is>
          <t>40</t>
        </is>
      </c>
      <c r="D2831" s="5" t="inlineStr">
        <is>
          <t>Married</t>
        </is>
      </c>
      <c r="E2831" s="5" t="inlineStr">
        <is>
          <t>Master</t>
        </is>
      </c>
      <c r="F2831" s="5" t="inlineStr">
        <is>
          <t>IT</t>
        </is>
      </c>
      <c r="G2831" s="5" t="inlineStr">
        <is>
          <t>Data Analyst</t>
        </is>
      </c>
      <c r="H2831" s="5" t="inlineStr">
        <is>
          <t>7</t>
        </is>
      </c>
      <c r="I2831" s="5" t="inlineStr">
        <is>
          <t>Bengaluru</t>
        </is>
      </c>
      <c r="J2831" s="5" t="inlineStr">
        <is>
          <t>Full-Time</t>
        </is>
      </c>
      <c r="K2831" s="7" t="n">
        <v>44830</v>
      </c>
      <c r="L2831" s="7" t="inlineStr"/>
      <c r="M2831" s="5" t="inlineStr">
        <is>
          <t>Yes</t>
        </is>
      </c>
      <c r="N2831" s="5" t="inlineStr"/>
      <c r="O2831" s="8" t="inlineStr">
        <is>
          <t>208000</t>
        </is>
      </c>
      <c r="P2831" s="5" t="inlineStr">
        <is>
          <t>20</t>
        </is>
      </c>
      <c r="Q2831" s="5" t="inlineStr">
        <is>
          <t>5</t>
        </is>
      </c>
      <c r="R2831" s="5" t="inlineStr">
        <is>
          <t>3</t>
        </is>
      </c>
      <c r="S2831" s="5" t="inlineStr">
        <is>
          <t>39</t>
        </is>
      </c>
      <c r="T2831" s="5" t="inlineStr">
        <is>
          <t>0</t>
        </is>
      </c>
      <c r="U2831" s="5">
        <f>IFS(C2831&lt;30,"Under 30",C2831&lt;40,"30-39",C2831&lt;50,"40-49",TRUE,"50+")</f>
        <v/>
      </c>
      <c r="V2831" s="5">
        <f>IFS(O2831&lt;60000,"Low (&lt;60k)",O2831&lt;100000,"Mid (60-100k)",TRUE,"High (100k+)")</f>
        <v/>
      </c>
      <c r="W2831" s="5">
        <f>IF(M2831="No","Attrited","Active")</f>
        <v/>
      </c>
    </row>
    <row r="2832">
      <c r="A2832" s="5" t="inlineStr">
        <is>
          <t>E02831</t>
        </is>
      </c>
      <c r="B2832" s="5" t="inlineStr">
        <is>
          <t>Female</t>
        </is>
      </c>
      <c r="C2832" s="6" t="inlineStr">
        <is>
          <t>30</t>
        </is>
      </c>
      <c r="D2832" s="5" t="inlineStr">
        <is>
          <t>Married</t>
        </is>
      </c>
      <c r="E2832" s="5" t="inlineStr">
        <is>
          <t>Master</t>
        </is>
      </c>
      <c r="F2832" s="5" t="inlineStr">
        <is>
          <t>Operations</t>
        </is>
      </c>
      <c r="G2832" s="5" t="inlineStr">
        <is>
          <t>Operations Analyst</t>
        </is>
      </c>
      <c r="H2832" s="5" t="inlineStr">
        <is>
          <t>2</t>
        </is>
      </c>
      <c r="I2832" s="5" t="inlineStr">
        <is>
          <t>Delhi</t>
        </is>
      </c>
      <c r="J2832" s="5" t="inlineStr">
        <is>
          <t>Full-Time</t>
        </is>
      </c>
      <c r="K2832" s="7" t="n">
        <v>44393</v>
      </c>
      <c r="L2832" s="7" t="inlineStr"/>
      <c r="M2832" s="5" t="inlineStr">
        <is>
          <t>Yes</t>
        </is>
      </c>
      <c r="N2832" s="5" t="inlineStr"/>
      <c r="O2832" s="8" t="inlineStr">
        <is>
          <t>79500</t>
        </is>
      </c>
      <c r="P2832" s="5" t="inlineStr">
        <is>
          <t>20</t>
        </is>
      </c>
      <c r="Q2832" s="5" t="inlineStr">
        <is>
          <t>5</t>
        </is>
      </c>
      <c r="R2832" s="5" t="inlineStr">
        <is>
          <t>5</t>
        </is>
      </c>
      <c r="S2832" s="5" t="inlineStr">
        <is>
          <t>54</t>
        </is>
      </c>
      <c r="T2832" s="5" t="inlineStr">
        <is>
          <t>10</t>
        </is>
      </c>
      <c r="U2832" s="5">
        <f>IFS(C2832&lt;30,"Under 30",C2832&lt;40,"30-39",C2832&lt;50,"40-49",TRUE,"50+")</f>
        <v/>
      </c>
      <c r="V2832" s="5">
        <f>IFS(O2832&lt;60000,"Low (&lt;60k)",O2832&lt;100000,"Mid (60-100k)",TRUE,"High (100k+)")</f>
        <v/>
      </c>
      <c r="W2832" s="5">
        <f>IF(M2832="No","Attrited","Active")</f>
        <v/>
      </c>
    </row>
    <row r="2833">
      <c r="A2833" s="5" t="inlineStr">
        <is>
          <t>E02832</t>
        </is>
      </c>
      <c r="B2833" s="5" t="inlineStr">
        <is>
          <t>Male</t>
        </is>
      </c>
      <c r="C2833" s="6" t="inlineStr">
        <is>
          <t>40</t>
        </is>
      </c>
      <c r="D2833" s="5" t="inlineStr">
        <is>
          <t>Married</t>
        </is>
      </c>
      <c r="E2833" s="5" t="inlineStr">
        <is>
          <t>PhD</t>
        </is>
      </c>
      <c r="F2833" s="5" t="inlineStr">
        <is>
          <t>IT</t>
        </is>
      </c>
      <c r="G2833" s="5" t="inlineStr">
        <is>
          <t>DevOps Engineer</t>
        </is>
      </c>
      <c r="H2833" s="5" t="inlineStr">
        <is>
          <t>5</t>
        </is>
      </c>
      <c r="I2833" s="5" t="inlineStr">
        <is>
          <t>Hyderabad</t>
        </is>
      </c>
      <c r="J2833" s="5" t="inlineStr">
        <is>
          <t>Full-Time</t>
        </is>
      </c>
      <c r="K2833" s="7" t="n">
        <v>44866</v>
      </c>
      <c r="L2833" s="7" t="inlineStr"/>
      <c r="M2833" s="5" t="inlineStr">
        <is>
          <t>Yes</t>
        </is>
      </c>
      <c r="N2833" s="5" t="inlineStr"/>
      <c r="O2833" s="8" t="inlineStr">
        <is>
          <t>188000</t>
        </is>
      </c>
      <c r="P2833" s="5" t="inlineStr">
        <is>
          <t>0</t>
        </is>
      </c>
      <c r="Q2833" s="5" t="inlineStr">
        <is>
          <t>3</t>
        </is>
      </c>
      <c r="R2833" s="5" t="inlineStr">
        <is>
          <t>5</t>
        </is>
      </c>
      <c r="S2833" s="5" t="inlineStr">
        <is>
          <t>38</t>
        </is>
      </c>
      <c r="T2833" s="5" t="inlineStr">
        <is>
          <t>11</t>
        </is>
      </c>
      <c r="U2833" s="5">
        <f>IFS(C2833&lt;30,"Under 30",C2833&lt;40,"30-39",C2833&lt;50,"40-49",TRUE,"50+")</f>
        <v/>
      </c>
      <c r="V2833" s="5">
        <f>IFS(O2833&lt;60000,"Low (&lt;60k)",O2833&lt;100000,"Mid (60-100k)",TRUE,"High (100k+)")</f>
        <v/>
      </c>
      <c r="W2833" s="5">
        <f>IF(M2833="No","Attrited","Active")</f>
        <v/>
      </c>
    </row>
    <row r="2834">
      <c r="A2834" s="5" t="inlineStr">
        <is>
          <t>E02833</t>
        </is>
      </c>
      <c r="B2834" s="5" t="inlineStr">
        <is>
          <t>Male</t>
        </is>
      </c>
      <c r="C2834" s="6" t="inlineStr">
        <is>
          <t>30</t>
        </is>
      </c>
      <c r="D2834" s="5" t="inlineStr">
        <is>
          <t>Married</t>
        </is>
      </c>
      <c r="E2834" s="5" t="inlineStr">
        <is>
          <t>Bachelor</t>
        </is>
      </c>
      <c r="F2834" s="5" t="inlineStr">
        <is>
          <t>Operations</t>
        </is>
      </c>
      <c r="G2834" s="5" t="inlineStr">
        <is>
          <t>Operations Analyst</t>
        </is>
      </c>
      <c r="H2834" s="5" t="inlineStr">
        <is>
          <t>1</t>
        </is>
      </c>
      <c r="I2834" s="5" t="inlineStr">
        <is>
          <t>Bengaluru</t>
        </is>
      </c>
      <c r="J2834" s="5" t="inlineStr">
        <is>
          <t>Full-Time</t>
        </is>
      </c>
      <c r="K2834" s="7" t="n">
        <v>44772</v>
      </c>
      <c r="L2834" s="7" t="n">
        <v>44819</v>
      </c>
      <c r="M2834" s="5" t="inlineStr">
        <is>
          <t>No</t>
        </is>
      </c>
      <c r="N2834" s="5" t="inlineStr">
        <is>
          <t>Resigned</t>
        </is>
      </c>
      <c r="O2834" s="8" t="inlineStr">
        <is>
          <t>92000</t>
        </is>
      </c>
      <c r="P2834" s="5" t="inlineStr">
        <is>
          <t>10</t>
        </is>
      </c>
      <c r="Q2834" s="5" t="inlineStr">
        <is>
          <t>3</t>
        </is>
      </c>
      <c r="R2834" s="5" t="inlineStr">
        <is>
          <t>5</t>
        </is>
      </c>
      <c r="S2834" s="5" t="inlineStr">
        <is>
          <t>1</t>
        </is>
      </c>
      <c r="T2834" s="5" t="inlineStr">
        <is>
          <t>7</t>
        </is>
      </c>
      <c r="U2834" s="5">
        <f>IFS(C2834&lt;30,"Under 30",C2834&lt;40,"30-39",C2834&lt;50,"40-49",TRUE,"50+")</f>
        <v/>
      </c>
      <c r="V2834" s="5">
        <f>IFS(O2834&lt;60000,"Low (&lt;60k)",O2834&lt;100000,"Mid (60-100k)",TRUE,"High (100k+)")</f>
        <v/>
      </c>
      <c r="W2834" s="5">
        <f>IF(M2834="No","Attrited","Active")</f>
        <v/>
      </c>
    </row>
    <row r="2835">
      <c r="A2835" s="5" t="inlineStr">
        <is>
          <t>E02834</t>
        </is>
      </c>
      <c r="B2835" s="5" t="inlineStr">
        <is>
          <t>Female</t>
        </is>
      </c>
      <c r="C2835" s="6" t="inlineStr">
        <is>
          <t>42</t>
        </is>
      </c>
      <c r="D2835" s="5" t="inlineStr">
        <is>
          <t>Single</t>
        </is>
      </c>
      <c r="E2835" s="5" t="inlineStr">
        <is>
          <t>PhD</t>
        </is>
      </c>
      <c r="F2835" s="5" t="inlineStr">
        <is>
          <t>IT</t>
        </is>
      </c>
      <c r="G2835" s="5" t="inlineStr">
        <is>
          <t>IT Support</t>
        </is>
      </c>
      <c r="H2835" s="5" t="inlineStr">
        <is>
          <t>5</t>
        </is>
      </c>
      <c r="I2835" s="5" t="inlineStr">
        <is>
          <t>Delhi</t>
        </is>
      </c>
      <c r="J2835" s="5" t="inlineStr">
        <is>
          <t>Part-Time</t>
        </is>
      </c>
      <c r="K2835" s="7" t="n">
        <v>45484</v>
      </c>
      <c r="L2835" s="7" t="n">
        <v>45516</v>
      </c>
      <c r="M2835" s="5" t="inlineStr">
        <is>
          <t>No</t>
        </is>
      </c>
      <c r="N2835" s="5" t="inlineStr">
        <is>
          <t>Resigned</t>
        </is>
      </c>
      <c r="O2835" s="8" t="inlineStr">
        <is>
          <t>159500</t>
        </is>
      </c>
      <c r="P2835" s="5" t="inlineStr">
        <is>
          <t>15</t>
        </is>
      </c>
      <c r="Q2835" s="5" t="inlineStr">
        <is>
          <t>5</t>
        </is>
      </c>
      <c r="R2835" s="5" t="inlineStr">
        <is>
          <t>5</t>
        </is>
      </c>
      <c r="S2835" s="5" t="inlineStr">
        <is>
          <t>1</t>
        </is>
      </c>
      <c r="T2835" s="5" t="inlineStr">
        <is>
          <t>2</t>
        </is>
      </c>
      <c r="U2835" s="5">
        <f>IFS(C2835&lt;30,"Under 30",C2835&lt;40,"30-39",C2835&lt;50,"40-49",TRUE,"50+")</f>
        <v/>
      </c>
      <c r="V2835" s="5">
        <f>IFS(O2835&lt;60000,"Low (&lt;60k)",O2835&lt;100000,"Mid (60-100k)",TRUE,"High (100k+)")</f>
        <v/>
      </c>
      <c r="W2835" s="5">
        <f>IF(M2835="No","Attrited","Active")</f>
        <v/>
      </c>
    </row>
    <row r="2836">
      <c r="A2836" s="5" t="inlineStr">
        <is>
          <t>E02835</t>
        </is>
      </c>
      <c r="B2836" s="5" t="inlineStr">
        <is>
          <t>Female</t>
        </is>
      </c>
      <c r="C2836" s="6" t="inlineStr">
        <is>
          <t>27</t>
        </is>
      </c>
      <c r="D2836" s="5" t="inlineStr">
        <is>
          <t>Single</t>
        </is>
      </c>
      <c r="E2836" s="5" t="inlineStr">
        <is>
          <t>Diploma</t>
        </is>
      </c>
      <c r="F2836" s="5" t="inlineStr">
        <is>
          <t>Customer Support</t>
        </is>
      </c>
      <c r="G2836" s="5" t="inlineStr">
        <is>
          <t>Escalation Specialist</t>
        </is>
      </c>
      <c r="H2836" s="5" t="inlineStr">
        <is>
          <t>3</t>
        </is>
      </c>
      <c r="I2836" s="5" t="inlineStr">
        <is>
          <t>Bengaluru</t>
        </is>
      </c>
      <c r="J2836" s="5" t="inlineStr">
        <is>
          <t>Full-Time</t>
        </is>
      </c>
      <c r="K2836" s="7" t="n">
        <v>45301</v>
      </c>
      <c r="L2836" s="7" t="inlineStr"/>
      <c r="M2836" s="5" t="inlineStr">
        <is>
          <t>Yes</t>
        </is>
      </c>
      <c r="N2836" s="5" t="inlineStr"/>
      <c r="O2836" s="8" t="inlineStr">
        <is>
          <t>80000</t>
        </is>
      </c>
      <c r="P2836" s="5" t="inlineStr">
        <is>
          <t>10</t>
        </is>
      </c>
      <c r="Q2836" s="5" t="inlineStr">
        <is>
          <t>4</t>
        </is>
      </c>
      <c r="R2836" s="5" t="inlineStr">
        <is>
          <t>5</t>
        </is>
      </c>
      <c r="S2836" s="5" t="inlineStr">
        <is>
          <t>24</t>
        </is>
      </c>
      <c r="T2836" s="5" t="inlineStr">
        <is>
          <t>10</t>
        </is>
      </c>
      <c r="U2836" s="5">
        <f>IFS(C2836&lt;30,"Under 30",C2836&lt;40,"30-39",C2836&lt;50,"40-49",TRUE,"50+")</f>
        <v/>
      </c>
      <c r="V2836" s="5">
        <f>IFS(O2836&lt;60000,"Low (&lt;60k)",O2836&lt;100000,"Mid (60-100k)",TRUE,"High (100k+)")</f>
        <v/>
      </c>
      <c r="W2836" s="5">
        <f>IF(M2836="No","Attrited","Active")</f>
        <v/>
      </c>
    </row>
    <row r="2837">
      <c r="A2837" s="5" t="inlineStr">
        <is>
          <t>E02836</t>
        </is>
      </c>
      <c r="B2837" s="5" t="inlineStr">
        <is>
          <t>Male</t>
        </is>
      </c>
      <c r="C2837" s="6" t="inlineStr">
        <is>
          <t>24</t>
        </is>
      </c>
      <c r="D2837" s="5" t="inlineStr">
        <is>
          <t>Married</t>
        </is>
      </c>
      <c r="E2837" s="5" t="inlineStr">
        <is>
          <t>PhD</t>
        </is>
      </c>
      <c r="F2837" s="5" t="inlineStr">
        <is>
          <t>Sales</t>
        </is>
      </c>
      <c r="G2837" s="5" t="inlineStr">
        <is>
          <t>Sales Executive</t>
        </is>
      </c>
      <c r="H2837" s="5" t="inlineStr">
        <is>
          <t>1</t>
        </is>
      </c>
      <c r="I2837" s="5" t="inlineStr">
        <is>
          <t>Hyderabad</t>
        </is>
      </c>
      <c r="J2837" s="5" t="inlineStr">
        <is>
          <t>Full-Time</t>
        </is>
      </c>
      <c r="K2837" s="7" t="n">
        <v>45015</v>
      </c>
      <c r="L2837" s="7" t="inlineStr"/>
      <c r="M2837" s="5" t="inlineStr">
        <is>
          <t>Yes</t>
        </is>
      </c>
      <c r="N2837" s="5" t="inlineStr"/>
      <c r="O2837" s="8" t="inlineStr">
        <is>
          <t>71500</t>
        </is>
      </c>
      <c r="P2837" s="5" t="inlineStr">
        <is>
          <t>0</t>
        </is>
      </c>
      <c r="Q2837" s="5" t="inlineStr">
        <is>
          <t>4</t>
        </is>
      </c>
      <c r="R2837" s="5" t="inlineStr">
        <is>
          <t>8</t>
        </is>
      </c>
      <c r="S2837" s="5" t="inlineStr">
        <is>
          <t>33</t>
        </is>
      </c>
      <c r="T2837" s="5" t="inlineStr">
        <is>
          <t>2</t>
        </is>
      </c>
      <c r="U2837" s="5">
        <f>IFS(C2837&lt;30,"Under 30",C2837&lt;40,"30-39",C2837&lt;50,"40-49",TRUE,"50+")</f>
        <v/>
      </c>
      <c r="V2837" s="5">
        <f>IFS(O2837&lt;60000,"Low (&lt;60k)",O2837&lt;100000,"Mid (60-100k)",TRUE,"High (100k+)")</f>
        <v/>
      </c>
      <c r="W2837" s="5">
        <f>IF(M2837="No","Attrited","Active")</f>
        <v/>
      </c>
    </row>
    <row r="2838">
      <c r="A2838" s="5" t="inlineStr">
        <is>
          <t>E02837</t>
        </is>
      </c>
      <c r="B2838" s="5" t="inlineStr">
        <is>
          <t>Female</t>
        </is>
      </c>
      <c r="C2838" s="6" t="inlineStr">
        <is>
          <t>33</t>
        </is>
      </c>
      <c r="D2838" s="5" t="inlineStr">
        <is>
          <t>Married</t>
        </is>
      </c>
      <c r="E2838" s="5" t="inlineStr">
        <is>
          <t>PhD</t>
        </is>
      </c>
      <c r="F2838" s="5" t="inlineStr">
        <is>
          <t>Finance</t>
        </is>
      </c>
      <c r="G2838" s="5" t="inlineStr">
        <is>
          <t>Credit Analyst</t>
        </is>
      </c>
      <c r="H2838" s="5" t="inlineStr">
        <is>
          <t>5</t>
        </is>
      </c>
      <c r="I2838" s="5" t="inlineStr">
        <is>
          <t>Chennai</t>
        </is>
      </c>
      <c r="J2838" s="5" t="inlineStr">
        <is>
          <t>Full-Time</t>
        </is>
      </c>
      <c r="K2838" s="7" t="n">
        <v>44008</v>
      </c>
      <c r="L2838" s="7" t="inlineStr"/>
      <c r="M2838" s="5" t="inlineStr">
        <is>
          <t>Yes</t>
        </is>
      </c>
      <c r="N2838" s="5" t="inlineStr"/>
      <c r="O2838" s="8" t="inlineStr">
        <is>
          <t>170000</t>
        </is>
      </c>
      <c r="P2838" s="5" t="inlineStr">
        <is>
          <t>20</t>
        </is>
      </c>
      <c r="Q2838" s="5" t="inlineStr">
        <is>
          <t>3</t>
        </is>
      </c>
      <c r="R2838" s="5" t="inlineStr">
        <is>
          <t>5</t>
        </is>
      </c>
      <c r="S2838" s="5" t="inlineStr">
        <is>
          <t>67</t>
        </is>
      </c>
      <c r="T2838" s="5" t="inlineStr">
        <is>
          <t>0</t>
        </is>
      </c>
      <c r="U2838" s="5">
        <f>IFS(C2838&lt;30,"Under 30",C2838&lt;40,"30-39",C2838&lt;50,"40-49",TRUE,"50+")</f>
        <v/>
      </c>
      <c r="V2838" s="5">
        <f>IFS(O2838&lt;60000,"Low (&lt;60k)",O2838&lt;100000,"Mid (60-100k)",TRUE,"High (100k+)")</f>
        <v/>
      </c>
      <c r="W2838" s="5">
        <f>IF(M2838="No","Attrited","Active")</f>
        <v/>
      </c>
    </row>
    <row r="2839">
      <c r="A2839" s="5" t="inlineStr">
        <is>
          <t>E02838</t>
        </is>
      </c>
      <c r="B2839" s="5" t="inlineStr">
        <is>
          <t>Male</t>
        </is>
      </c>
      <c r="C2839" s="6" t="inlineStr">
        <is>
          <t>41</t>
        </is>
      </c>
      <c r="D2839" s="5" t="inlineStr">
        <is>
          <t>Divorced</t>
        </is>
      </c>
      <c r="E2839" s="5" t="inlineStr">
        <is>
          <t>Master</t>
        </is>
      </c>
      <c r="F2839" s="5" t="inlineStr">
        <is>
          <t>Finance</t>
        </is>
      </c>
      <c r="G2839" s="5" t="inlineStr">
        <is>
          <t>Financial Analyst</t>
        </is>
      </c>
      <c r="H2839" s="5" t="inlineStr">
        <is>
          <t>5</t>
        </is>
      </c>
      <c r="I2839" s="5" t="inlineStr">
        <is>
          <t>Mumbai</t>
        </is>
      </c>
      <c r="J2839" s="5" t="inlineStr">
        <is>
          <t>Full-Time</t>
        </is>
      </c>
      <c r="K2839" s="7" t="n">
        <v>45585</v>
      </c>
      <c r="L2839" s="7" t="inlineStr"/>
      <c r="M2839" s="5" t="inlineStr">
        <is>
          <t>Yes</t>
        </is>
      </c>
      <c r="N2839" s="5" t="inlineStr"/>
      <c r="O2839" s="8" t="inlineStr">
        <is>
          <t>168500</t>
        </is>
      </c>
      <c r="P2839" s="5" t="inlineStr">
        <is>
          <t>15</t>
        </is>
      </c>
      <c r="Q2839" s="5" t="inlineStr">
        <is>
          <t>3</t>
        </is>
      </c>
      <c r="R2839" s="5" t="inlineStr">
        <is>
          <t>4</t>
        </is>
      </c>
      <c r="S2839" s="5" t="inlineStr">
        <is>
          <t>14</t>
        </is>
      </c>
      <c r="T2839" s="5" t="inlineStr">
        <is>
          <t>13</t>
        </is>
      </c>
      <c r="U2839" s="5">
        <f>IFS(C2839&lt;30,"Under 30",C2839&lt;40,"30-39",C2839&lt;50,"40-49",TRUE,"50+")</f>
        <v/>
      </c>
      <c r="V2839" s="5">
        <f>IFS(O2839&lt;60000,"Low (&lt;60k)",O2839&lt;100000,"Mid (60-100k)",TRUE,"High (100k+)")</f>
        <v/>
      </c>
      <c r="W2839" s="5">
        <f>IF(M2839="No","Attrited","Active")</f>
        <v/>
      </c>
    </row>
    <row r="2840">
      <c r="A2840" s="5" t="inlineStr">
        <is>
          <t>E02839</t>
        </is>
      </c>
      <c r="B2840" s="5" t="inlineStr">
        <is>
          <t>Female</t>
        </is>
      </c>
      <c r="C2840" s="6" t="inlineStr">
        <is>
          <t>38</t>
        </is>
      </c>
      <c r="D2840" s="5" t="inlineStr">
        <is>
          <t>Married</t>
        </is>
      </c>
      <c r="E2840" s="5" t="inlineStr">
        <is>
          <t>Diploma</t>
        </is>
      </c>
      <c r="F2840" s="5" t="inlineStr">
        <is>
          <t>Marketing</t>
        </is>
      </c>
      <c r="G2840" s="5" t="inlineStr">
        <is>
          <t>Content Writer</t>
        </is>
      </c>
      <c r="H2840" s="5" t="inlineStr">
        <is>
          <t>7</t>
        </is>
      </c>
      <c r="I2840" s="5" t="inlineStr">
        <is>
          <t>Bengaluru</t>
        </is>
      </c>
      <c r="J2840" s="5" t="inlineStr">
        <is>
          <t>Full-Time</t>
        </is>
      </c>
      <c r="K2840" s="7" t="n">
        <v>45188</v>
      </c>
      <c r="L2840" s="7" t="n">
        <v>45230</v>
      </c>
      <c r="M2840" s="5" t="inlineStr">
        <is>
          <t>No</t>
        </is>
      </c>
      <c r="N2840" s="5" t="inlineStr">
        <is>
          <t>Layoff</t>
        </is>
      </c>
      <c r="O2840" s="8" t="inlineStr">
        <is>
          <t>149500</t>
        </is>
      </c>
      <c r="P2840" s="5" t="inlineStr">
        <is>
          <t>5</t>
        </is>
      </c>
      <c r="Q2840" s="5" t="inlineStr">
        <is>
          <t>2</t>
        </is>
      </c>
      <c r="R2840" s="5" t="inlineStr">
        <is>
          <t>4</t>
        </is>
      </c>
      <c r="S2840" s="5" t="inlineStr">
        <is>
          <t>1</t>
        </is>
      </c>
      <c r="T2840" s="5" t="inlineStr">
        <is>
          <t>13</t>
        </is>
      </c>
      <c r="U2840" s="5">
        <f>IFS(C2840&lt;30,"Under 30",C2840&lt;40,"30-39",C2840&lt;50,"40-49",TRUE,"50+")</f>
        <v/>
      </c>
      <c r="V2840" s="5">
        <f>IFS(O2840&lt;60000,"Low (&lt;60k)",O2840&lt;100000,"Mid (60-100k)",TRUE,"High (100k+)")</f>
        <v/>
      </c>
      <c r="W2840" s="5">
        <f>IF(M2840="No","Attrited","Active")</f>
        <v/>
      </c>
    </row>
    <row r="2841">
      <c r="A2841" s="5" t="inlineStr">
        <is>
          <t>E02840</t>
        </is>
      </c>
      <c r="B2841" s="5" t="inlineStr">
        <is>
          <t>Male</t>
        </is>
      </c>
      <c r="C2841" s="6" t="inlineStr">
        <is>
          <t>31</t>
        </is>
      </c>
      <c r="D2841" s="5" t="inlineStr">
        <is>
          <t>Divorced</t>
        </is>
      </c>
      <c r="E2841" s="5" t="inlineStr">
        <is>
          <t>Master</t>
        </is>
      </c>
      <c r="F2841" s="5" t="inlineStr">
        <is>
          <t>Finance</t>
        </is>
      </c>
      <c r="G2841" s="5" t="inlineStr">
        <is>
          <t>Credit Analyst</t>
        </is>
      </c>
      <c r="H2841" s="5" t="inlineStr">
        <is>
          <t>1</t>
        </is>
      </c>
      <c r="I2841" s="5" t="inlineStr">
        <is>
          <t>Bengaluru</t>
        </is>
      </c>
      <c r="J2841" s="5" t="inlineStr">
        <is>
          <t>Full-Time</t>
        </is>
      </c>
      <c r="K2841" s="7" t="n">
        <v>44178</v>
      </c>
      <c r="L2841" s="7" t="inlineStr"/>
      <c r="M2841" s="5" t="inlineStr">
        <is>
          <t>Yes</t>
        </is>
      </c>
      <c r="N2841" s="5" t="inlineStr"/>
      <c r="O2841" s="8" t="inlineStr">
        <is>
          <t>100500</t>
        </is>
      </c>
      <c r="P2841" s="5" t="inlineStr">
        <is>
          <t>0</t>
        </is>
      </c>
      <c r="Q2841" s="5" t="inlineStr">
        <is>
          <t>4</t>
        </is>
      </c>
      <c r="R2841" s="5" t="inlineStr">
        <is>
          <t>4</t>
        </is>
      </c>
      <c r="S2841" s="5" t="inlineStr">
        <is>
          <t>61</t>
        </is>
      </c>
      <c r="T2841" s="5" t="inlineStr">
        <is>
          <t>5</t>
        </is>
      </c>
      <c r="U2841" s="5">
        <f>IFS(C2841&lt;30,"Under 30",C2841&lt;40,"30-39",C2841&lt;50,"40-49",TRUE,"50+")</f>
        <v/>
      </c>
      <c r="V2841" s="5">
        <f>IFS(O2841&lt;60000,"Low (&lt;60k)",O2841&lt;100000,"Mid (60-100k)",TRUE,"High (100k+)")</f>
        <v/>
      </c>
      <c r="W2841" s="5">
        <f>IF(M2841="No","Attrited","Active")</f>
        <v/>
      </c>
    </row>
    <row r="2842">
      <c r="A2842" s="5" t="inlineStr">
        <is>
          <t>E02841</t>
        </is>
      </c>
      <c r="B2842" s="5" t="inlineStr">
        <is>
          <t>Female</t>
        </is>
      </c>
      <c r="C2842" s="6" t="inlineStr">
        <is>
          <t>31</t>
        </is>
      </c>
      <c r="D2842" s="5" t="inlineStr">
        <is>
          <t>Single</t>
        </is>
      </c>
      <c r="E2842" s="5" t="inlineStr">
        <is>
          <t>PhD</t>
        </is>
      </c>
      <c r="F2842" s="5" t="inlineStr">
        <is>
          <t>Operations</t>
        </is>
      </c>
      <c r="G2842" s="5" t="inlineStr">
        <is>
          <t>Quality Analyst</t>
        </is>
      </c>
      <c r="H2842" s="5" t="inlineStr">
        <is>
          <t>1</t>
        </is>
      </c>
      <c r="I2842" s="5" t="inlineStr">
        <is>
          <t>Chennai</t>
        </is>
      </c>
      <c r="J2842" s="5" t="inlineStr">
        <is>
          <t>Full-Time</t>
        </is>
      </c>
      <c r="K2842" s="7" t="n">
        <v>45297</v>
      </c>
      <c r="L2842" s="7" t="inlineStr"/>
      <c r="M2842" s="5" t="inlineStr">
        <is>
          <t>Yes</t>
        </is>
      </c>
      <c r="N2842" s="5" t="inlineStr"/>
      <c r="O2842" s="8" t="inlineStr">
        <is>
          <t>67000</t>
        </is>
      </c>
      <c r="P2842" s="5" t="inlineStr">
        <is>
          <t>0</t>
        </is>
      </c>
      <c r="Q2842" s="5" t="inlineStr">
        <is>
          <t>3</t>
        </is>
      </c>
      <c r="R2842" s="5" t="inlineStr">
        <is>
          <t>7</t>
        </is>
      </c>
      <c r="S2842" s="5" t="inlineStr">
        <is>
          <t>24</t>
        </is>
      </c>
      <c r="T2842" s="5" t="inlineStr">
        <is>
          <t>9</t>
        </is>
      </c>
      <c r="U2842" s="5">
        <f>IFS(C2842&lt;30,"Under 30",C2842&lt;40,"30-39",C2842&lt;50,"40-49",TRUE,"50+")</f>
        <v/>
      </c>
      <c r="V2842" s="5">
        <f>IFS(O2842&lt;60000,"Low (&lt;60k)",O2842&lt;100000,"Mid (60-100k)",TRUE,"High (100k+)")</f>
        <v/>
      </c>
      <c r="W2842" s="5">
        <f>IF(M2842="No","Attrited","Active")</f>
        <v/>
      </c>
    </row>
    <row r="2843">
      <c r="A2843" s="5" t="inlineStr">
        <is>
          <t>E02842</t>
        </is>
      </c>
      <c r="B2843" s="5" t="inlineStr">
        <is>
          <t>Female</t>
        </is>
      </c>
      <c r="C2843" s="6" t="inlineStr">
        <is>
          <t>34</t>
        </is>
      </c>
      <c r="D2843" s="5" t="inlineStr">
        <is>
          <t>Married</t>
        </is>
      </c>
      <c r="E2843" s="5" t="inlineStr">
        <is>
          <t>Diploma</t>
        </is>
      </c>
      <c r="F2843" s="5" t="inlineStr">
        <is>
          <t>Customer Support</t>
        </is>
      </c>
      <c r="G2843" s="5" t="inlineStr">
        <is>
          <t>Escalation Specialist</t>
        </is>
      </c>
      <c r="H2843" s="5" t="inlineStr">
        <is>
          <t>6</t>
        </is>
      </c>
      <c r="I2843" s="5" t="inlineStr">
        <is>
          <t>Hyderabad</t>
        </is>
      </c>
      <c r="J2843" s="5" t="inlineStr">
        <is>
          <t>Full-Time</t>
        </is>
      </c>
      <c r="K2843" s="7" t="n">
        <v>45473</v>
      </c>
      <c r="L2843" s="7" t="n">
        <v>45542</v>
      </c>
      <c r="M2843" s="5" t="inlineStr">
        <is>
          <t>No</t>
        </is>
      </c>
      <c r="N2843" s="5" t="inlineStr">
        <is>
          <t>Resigned</t>
        </is>
      </c>
      <c r="O2843" s="8" t="inlineStr">
        <is>
          <t>123000</t>
        </is>
      </c>
      <c r="P2843" s="5" t="inlineStr">
        <is>
          <t>0</t>
        </is>
      </c>
      <c r="Q2843" s="5" t="inlineStr">
        <is>
          <t>4</t>
        </is>
      </c>
      <c r="R2843" s="5" t="inlineStr">
        <is>
          <t>5</t>
        </is>
      </c>
      <c r="S2843" s="5" t="inlineStr">
        <is>
          <t>2</t>
        </is>
      </c>
      <c r="T2843" s="5" t="inlineStr">
        <is>
          <t>7</t>
        </is>
      </c>
      <c r="U2843" s="5">
        <f>IFS(C2843&lt;30,"Under 30",C2843&lt;40,"30-39",C2843&lt;50,"40-49",TRUE,"50+")</f>
        <v/>
      </c>
      <c r="V2843" s="5">
        <f>IFS(O2843&lt;60000,"Low (&lt;60k)",O2843&lt;100000,"Mid (60-100k)",TRUE,"High (100k+)")</f>
        <v/>
      </c>
      <c r="W2843" s="5">
        <f>IF(M2843="No","Attrited","Active")</f>
        <v/>
      </c>
    </row>
    <row r="2844">
      <c r="A2844" s="5" t="inlineStr">
        <is>
          <t>E02843</t>
        </is>
      </c>
      <c r="B2844" s="5" t="inlineStr">
        <is>
          <t>Female</t>
        </is>
      </c>
      <c r="C2844" s="6" t="inlineStr">
        <is>
          <t>25</t>
        </is>
      </c>
      <c r="D2844" s="5" t="inlineStr">
        <is>
          <t>Married</t>
        </is>
      </c>
      <c r="E2844" s="5" t="inlineStr">
        <is>
          <t>Master</t>
        </is>
      </c>
      <c r="F2844" s="5" t="inlineStr">
        <is>
          <t>Operations</t>
        </is>
      </c>
      <c r="G2844" s="5" t="inlineStr">
        <is>
          <t>Quality Analyst</t>
        </is>
      </c>
      <c r="H2844" s="5" t="inlineStr">
        <is>
          <t>1</t>
        </is>
      </c>
      <c r="I2844" s="5" t="inlineStr">
        <is>
          <t>Remote</t>
        </is>
      </c>
      <c r="J2844" s="5" t="inlineStr">
        <is>
          <t>Full-Time</t>
        </is>
      </c>
      <c r="K2844" s="7" t="n">
        <v>45065</v>
      </c>
      <c r="L2844" s="7" t="inlineStr"/>
      <c r="M2844" s="5" t="inlineStr">
        <is>
          <t>Yes</t>
        </is>
      </c>
      <c r="N2844" s="5" t="inlineStr"/>
      <c r="O2844" s="8" t="inlineStr">
        <is>
          <t>72000</t>
        </is>
      </c>
      <c r="P2844" s="5" t="inlineStr">
        <is>
          <t>15</t>
        </is>
      </c>
      <c r="Q2844" s="5" t="inlineStr">
        <is>
          <t>4</t>
        </is>
      </c>
      <c r="R2844" s="5" t="inlineStr">
        <is>
          <t>6</t>
        </is>
      </c>
      <c r="S2844" s="5" t="inlineStr">
        <is>
          <t>31</t>
        </is>
      </c>
      <c r="T2844" s="5" t="inlineStr">
        <is>
          <t>11</t>
        </is>
      </c>
      <c r="U2844" s="5">
        <f>IFS(C2844&lt;30,"Under 30",C2844&lt;40,"30-39",C2844&lt;50,"40-49",TRUE,"50+")</f>
        <v/>
      </c>
      <c r="V2844" s="5">
        <f>IFS(O2844&lt;60000,"Low (&lt;60k)",O2844&lt;100000,"Mid (60-100k)",TRUE,"High (100k+)")</f>
        <v/>
      </c>
      <c r="W2844" s="5">
        <f>IF(M2844="No","Attrited","Active")</f>
        <v/>
      </c>
    </row>
    <row r="2845">
      <c r="A2845" s="5" t="inlineStr">
        <is>
          <t>E02844</t>
        </is>
      </c>
      <c r="B2845" s="5" t="inlineStr">
        <is>
          <t>Male</t>
        </is>
      </c>
      <c r="C2845" s="6" t="inlineStr">
        <is>
          <t>30</t>
        </is>
      </c>
      <c r="D2845" s="5" t="inlineStr">
        <is>
          <t>Married</t>
        </is>
      </c>
      <c r="E2845" s="5" t="inlineStr">
        <is>
          <t>Master</t>
        </is>
      </c>
      <c r="F2845" s="5" t="inlineStr">
        <is>
          <t>Customer Support</t>
        </is>
      </c>
      <c r="G2845" s="5" t="inlineStr">
        <is>
          <t>Support Agent</t>
        </is>
      </c>
      <c r="H2845" s="5" t="inlineStr">
        <is>
          <t>2</t>
        </is>
      </c>
      <c r="I2845" s="5" t="inlineStr">
        <is>
          <t>Hyderabad</t>
        </is>
      </c>
      <c r="J2845" s="5" t="inlineStr">
        <is>
          <t>Full-Time</t>
        </is>
      </c>
      <c r="K2845" s="7" t="n">
        <v>45650</v>
      </c>
      <c r="L2845" s="7" t="inlineStr"/>
      <c r="M2845" s="5" t="inlineStr">
        <is>
          <t>Yes</t>
        </is>
      </c>
      <c r="N2845" s="5" t="inlineStr"/>
      <c r="O2845" s="8" t="inlineStr">
        <is>
          <t>62500</t>
        </is>
      </c>
      <c r="P2845" s="5" t="inlineStr">
        <is>
          <t>0</t>
        </is>
      </c>
      <c r="Q2845" s="5" t="inlineStr">
        <is>
          <t>3</t>
        </is>
      </c>
      <c r="R2845" s="5" t="inlineStr">
        <is>
          <t>7</t>
        </is>
      </c>
      <c r="S2845" s="5" t="inlineStr">
        <is>
          <t>12</t>
        </is>
      </c>
      <c r="T2845" s="5" t="inlineStr">
        <is>
          <t>6</t>
        </is>
      </c>
      <c r="U2845" s="5">
        <f>IFS(C2845&lt;30,"Under 30",C2845&lt;40,"30-39",C2845&lt;50,"40-49",TRUE,"50+")</f>
        <v/>
      </c>
      <c r="V2845" s="5">
        <f>IFS(O2845&lt;60000,"Low (&lt;60k)",O2845&lt;100000,"Mid (60-100k)",TRUE,"High (100k+)")</f>
        <v/>
      </c>
      <c r="W2845" s="5">
        <f>IF(M2845="No","Attrited","Active")</f>
        <v/>
      </c>
    </row>
    <row r="2846">
      <c r="A2846" s="5" t="inlineStr">
        <is>
          <t>E02845</t>
        </is>
      </c>
      <c r="B2846" s="5" t="inlineStr">
        <is>
          <t>Male</t>
        </is>
      </c>
      <c r="C2846" s="6" t="inlineStr">
        <is>
          <t>25</t>
        </is>
      </c>
      <c r="D2846" s="5" t="inlineStr">
        <is>
          <t>Married</t>
        </is>
      </c>
      <c r="E2846" s="5" t="inlineStr">
        <is>
          <t>Bachelor</t>
        </is>
      </c>
      <c r="F2846" s="5" t="inlineStr">
        <is>
          <t>Operations</t>
        </is>
      </c>
      <c r="G2846" s="5" t="inlineStr">
        <is>
          <t>Operations Analyst</t>
        </is>
      </c>
      <c r="H2846" s="5" t="inlineStr">
        <is>
          <t>2</t>
        </is>
      </c>
      <c r="I2846" s="5" t="inlineStr">
        <is>
          <t>Remote</t>
        </is>
      </c>
      <c r="J2846" s="5" t="inlineStr">
        <is>
          <t>Full-Time</t>
        </is>
      </c>
      <c r="K2846" s="7" t="n">
        <v>45022</v>
      </c>
      <c r="L2846" s="7" t="inlineStr"/>
      <c r="M2846" s="5" t="inlineStr">
        <is>
          <t>Yes</t>
        </is>
      </c>
      <c r="N2846" s="5" t="inlineStr"/>
      <c r="O2846" s="8" t="inlineStr">
        <is>
          <t>93500</t>
        </is>
      </c>
      <c r="P2846" s="5" t="inlineStr">
        <is>
          <t>0</t>
        </is>
      </c>
      <c r="Q2846" s="5" t="inlineStr">
        <is>
          <t>3</t>
        </is>
      </c>
      <c r="R2846" s="5" t="inlineStr">
        <is>
          <t>10</t>
        </is>
      </c>
      <c r="S2846" s="5" t="inlineStr">
        <is>
          <t>33</t>
        </is>
      </c>
      <c r="T2846" s="5" t="inlineStr">
        <is>
          <t>8</t>
        </is>
      </c>
      <c r="U2846" s="5">
        <f>IFS(C2846&lt;30,"Under 30",C2846&lt;40,"30-39",C2846&lt;50,"40-49",TRUE,"50+")</f>
        <v/>
      </c>
      <c r="V2846" s="5">
        <f>IFS(O2846&lt;60000,"Low (&lt;60k)",O2846&lt;100000,"Mid (60-100k)",TRUE,"High (100k+)")</f>
        <v/>
      </c>
      <c r="W2846" s="5">
        <f>IF(M2846="No","Attrited","Active")</f>
        <v/>
      </c>
    </row>
    <row r="2847">
      <c r="A2847" s="5" t="inlineStr">
        <is>
          <t>E02846</t>
        </is>
      </c>
      <c r="B2847" s="5" t="inlineStr">
        <is>
          <t>Male</t>
        </is>
      </c>
      <c r="C2847" s="6" t="inlineStr">
        <is>
          <t>23</t>
        </is>
      </c>
      <c r="D2847" s="5" t="inlineStr">
        <is>
          <t>Single</t>
        </is>
      </c>
      <c r="E2847" s="5" t="inlineStr">
        <is>
          <t>Master</t>
        </is>
      </c>
      <c r="F2847" s="5" t="inlineStr">
        <is>
          <t>Customer Support</t>
        </is>
      </c>
      <c r="G2847" s="5" t="inlineStr">
        <is>
          <t>Support Agent</t>
        </is>
      </c>
      <c r="H2847" s="5" t="inlineStr">
        <is>
          <t>1</t>
        </is>
      </c>
      <c r="I2847" s="5" t="inlineStr">
        <is>
          <t>Mumbai</t>
        </is>
      </c>
      <c r="J2847" s="5" t="inlineStr">
        <is>
          <t>Full-Time</t>
        </is>
      </c>
      <c r="K2847" s="7" t="n">
        <v>44441</v>
      </c>
      <c r="L2847" s="7" t="n">
        <v>44555</v>
      </c>
      <c r="M2847" s="5" t="inlineStr">
        <is>
          <t>No</t>
        </is>
      </c>
      <c r="N2847" s="5" t="inlineStr">
        <is>
          <t>Resigned</t>
        </is>
      </c>
      <c r="O2847" s="8" t="inlineStr">
        <is>
          <t>68500</t>
        </is>
      </c>
      <c r="P2847" s="5" t="inlineStr">
        <is>
          <t>20</t>
        </is>
      </c>
      <c r="Q2847" s="5" t="inlineStr">
        <is>
          <t>4</t>
        </is>
      </c>
      <c r="R2847" s="5" t="inlineStr">
        <is>
          <t>3</t>
        </is>
      </c>
      <c r="S2847" s="5" t="inlineStr">
        <is>
          <t>3</t>
        </is>
      </c>
      <c r="T2847" s="5" t="inlineStr">
        <is>
          <t>7</t>
        </is>
      </c>
      <c r="U2847" s="5">
        <f>IFS(C2847&lt;30,"Under 30",C2847&lt;40,"30-39",C2847&lt;50,"40-49",TRUE,"50+")</f>
        <v/>
      </c>
      <c r="V2847" s="5">
        <f>IFS(O2847&lt;60000,"Low (&lt;60k)",O2847&lt;100000,"Mid (60-100k)",TRUE,"High (100k+)")</f>
        <v/>
      </c>
      <c r="W2847" s="5">
        <f>IF(M2847="No","Attrited","Active")</f>
        <v/>
      </c>
    </row>
    <row r="2848">
      <c r="A2848" s="5" t="inlineStr">
        <is>
          <t>E02847</t>
        </is>
      </c>
      <c r="B2848" s="5" t="inlineStr">
        <is>
          <t>Male</t>
        </is>
      </c>
      <c r="C2848" s="6" t="inlineStr">
        <is>
          <t>30</t>
        </is>
      </c>
      <c r="D2848" s="5" t="inlineStr">
        <is>
          <t>Divorced</t>
        </is>
      </c>
      <c r="E2848" s="5" t="inlineStr">
        <is>
          <t>Bachelor</t>
        </is>
      </c>
      <c r="F2848" s="5" t="inlineStr">
        <is>
          <t>Operations</t>
        </is>
      </c>
      <c r="G2848" s="5" t="inlineStr">
        <is>
          <t>Operations Analyst</t>
        </is>
      </c>
      <c r="H2848" s="5" t="inlineStr">
        <is>
          <t>2</t>
        </is>
      </c>
      <c r="I2848" s="5" t="inlineStr">
        <is>
          <t>Remote</t>
        </is>
      </c>
      <c r="J2848" s="5" t="inlineStr">
        <is>
          <t>Full-Time</t>
        </is>
      </c>
      <c r="K2848" s="7" t="n">
        <v>43964</v>
      </c>
      <c r="L2848" s="7" t="n">
        <v>44071</v>
      </c>
      <c r="M2848" s="5" t="inlineStr">
        <is>
          <t>No</t>
        </is>
      </c>
      <c r="N2848" s="5" t="inlineStr">
        <is>
          <t>Resigned</t>
        </is>
      </c>
      <c r="O2848" s="8" t="inlineStr">
        <is>
          <t>78500</t>
        </is>
      </c>
      <c r="P2848" s="5" t="inlineStr">
        <is>
          <t>0</t>
        </is>
      </c>
      <c r="Q2848" s="5" t="inlineStr">
        <is>
          <t>5</t>
        </is>
      </c>
      <c r="R2848" s="5" t="inlineStr">
        <is>
          <t>9</t>
        </is>
      </c>
      <c r="S2848" s="5" t="inlineStr">
        <is>
          <t>3</t>
        </is>
      </c>
      <c r="T2848" s="5" t="inlineStr">
        <is>
          <t>1</t>
        </is>
      </c>
      <c r="U2848" s="5">
        <f>IFS(C2848&lt;30,"Under 30",C2848&lt;40,"30-39",C2848&lt;50,"40-49",TRUE,"50+")</f>
        <v/>
      </c>
      <c r="V2848" s="5">
        <f>IFS(O2848&lt;60000,"Low (&lt;60k)",O2848&lt;100000,"Mid (60-100k)",TRUE,"High (100k+)")</f>
        <v/>
      </c>
      <c r="W2848" s="5">
        <f>IF(M2848="No","Attrited","Active")</f>
        <v/>
      </c>
    </row>
    <row r="2849">
      <c r="A2849" s="5" t="inlineStr">
        <is>
          <t>E02848</t>
        </is>
      </c>
      <c r="B2849" s="5" t="inlineStr">
        <is>
          <t>Male</t>
        </is>
      </c>
      <c r="C2849" s="6" t="inlineStr">
        <is>
          <t>38</t>
        </is>
      </c>
      <c r="D2849" s="5" t="inlineStr">
        <is>
          <t>Married</t>
        </is>
      </c>
      <c r="E2849" s="5" t="inlineStr">
        <is>
          <t>High School</t>
        </is>
      </c>
      <c r="F2849" s="5" t="inlineStr">
        <is>
          <t>Finance</t>
        </is>
      </c>
      <c r="G2849" s="5" t="inlineStr">
        <is>
          <t>Accountant</t>
        </is>
      </c>
      <c r="H2849" s="5" t="inlineStr">
        <is>
          <t>5</t>
        </is>
      </c>
      <c r="I2849" s="5" t="inlineStr">
        <is>
          <t>Bengaluru</t>
        </is>
      </c>
      <c r="J2849" s="5" t="inlineStr">
        <is>
          <t>Full-Time</t>
        </is>
      </c>
      <c r="K2849" s="7" t="n">
        <v>44273</v>
      </c>
      <c r="L2849" s="7" t="inlineStr"/>
      <c r="M2849" s="5" t="inlineStr">
        <is>
          <t>Yes</t>
        </is>
      </c>
      <c r="N2849" s="5" t="inlineStr"/>
      <c r="O2849" s="8" t="inlineStr">
        <is>
          <t>117500</t>
        </is>
      </c>
      <c r="P2849" s="5" t="inlineStr">
        <is>
          <t>5</t>
        </is>
      </c>
      <c r="Q2849" s="5" t="inlineStr">
        <is>
          <t>3</t>
        </is>
      </c>
      <c r="R2849" s="5" t="inlineStr">
        <is>
          <t>8</t>
        </is>
      </c>
      <c r="S2849" s="5" t="inlineStr">
        <is>
          <t>58</t>
        </is>
      </c>
      <c r="T2849" s="5" t="inlineStr">
        <is>
          <t>2</t>
        </is>
      </c>
      <c r="U2849" s="5">
        <f>IFS(C2849&lt;30,"Under 30",C2849&lt;40,"30-39",C2849&lt;50,"40-49",TRUE,"50+")</f>
        <v/>
      </c>
      <c r="V2849" s="5">
        <f>IFS(O2849&lt;60000,"Low (&lt;60k)",O2849&lt;100000,"Mid (60-100k)",TRUE,"High (100k+)")</f>
        <v/>
      </c>
      <c r="W2849" s="5">
        <f>IF(M2849="No","Attrited","Active")</f>
        <v/>
      </c>
    </row>
    <row r="2850">
      <c r="A2850" s="5" t="inlineStr">
        <is>
          <t>E02849</t>
        </is>
      </c>
      <c r="B2850" s="5" t="inlineStr">
        <is>
          <t>Male</t>
        </is>
      </c>
      <c r="C2850" s="6" t="inlineStr">
        <is>
          <t>33</t>
        </is>
      </c>
      <c r="D2850" s="5" t="inlineStr">
        <is>
          <t>Married</t>
        </is>
      </c>
      <c r="E2850" s="5" t="inlineStr">
        <is>
          <t>PhD</t>
        </is>
      </c>
      <c r="F2850" s="5" t="inlineStr">
        <is>
          <t>IT</t>
        </is>
      </c>
      <c r="G2850" s="5" t="inlineStr">
        <is>
          <t>IT Support</t>
        </is>
      </c>
      <c r="H2850" s="5" t="inlineStr">
        <is>
          <t>3</t>
        </is>
      </c>
      <c r="I2850" s="5" t="inlineStr">
        <is>
          <t>Mumbai</t>
        </is>
      </c>
      <c r="J2850" s="5" t="inlineStr">
        <is>
          <t>Full-Time</t>
        </is>
      </c>
      <c r="K2850" s="7" t="n">
        <v>44416</v>
      </c>
      <c r="L2850" s="7" t="inlineStr"/>
      <c r="M2850" s="5" t="inlineStr">
        <is>
          <t>Yes</t>
        </is>
      </c>
      <c r="N2850" s="5" t="inlineStr"/>
      <c r="O2850" s="8" t="inlineStr">
        <is>
          <t>121500</t>
        </is>
      </c>
      <c r="P2850" s="5" t="inlineStr">
        <is>
          <t>0</t>
        </is>
      </c>
      <c r="Q2850" s="5" t="inlineStr">
        <is>
          <t>4</t>
        </is>
      </c>
      <c r="R2850" s="5" t="inlineStr">
        <is>
          <t>5</t>
        </is>
      </c>
      <c r="S2850" s="5" t="inlineStr">
        <is>
          <t>53</t>
        </is>
      </c>
      <c r="T2850" s="5" t="inlineStr">
        <is>
          <t>1</t>
        </is>
      </c>
      <c r="U2850" s="5">
        <f>IFS(C2850&lt;30,"Under 30",C2850&lt;40,"30-39",C2850&lt;50,"40-49",TRUE,"50+")</f>
        <v/>
      </c>
      <c r="V2850" s="5">
        <f>IFS(O2850&lt;60000,"Low (&lt;60k)",O2850&lt;100000,"Mid (60-100k)",TRUE,"High (100k+)")</f>
        <v/>
      </c>
      <c r="W2850" s="5">
        <f>IF(M2850="No","Attrited","Active")</f>
        <v/>
      </c>
    </row>
    <row r="2851">
      <c r="A2851" s="5" t="inlineStr">
        <is>
          <t>E02850</t>
        </is>
      </c>
      <c r="B2851" s="5" t="inlineStr">
        <is>
          <t>Female</t>
        </is>
      </c>
      <c r="C2851" s="6" t="inlineStr">
        <is>
          <t>32</t>
        </is>
      </c>
      <c r="D2851" s="5" t="inlineStr">
        <is>
          <t>Married</t>
        </is>
      </c>
      <c r="E2851" s="5" t="inlineStr">
        <is>
          <t>Master</t>
        </is>
      </c>
      <c r="F2851" s="5" t="inlineStr">
        <is>
          <t>Human Resources</t>
        </is>
      </c>
      <c r="G2851" s="5" t="inlineStr">
        <is>
          <t>HR Analyst</t>
        </is>
      </c>
      <c r="H2851" s="5" t="inlineStr">
        <is>
          <t>2</t>
        </is>
      </c>
      <c r="I2851" s="5" t="inlineStr">
        <is>
          <t>Hyderabad</t>
        </is>
      </c>
      <c r="J2851" s="5" t="inlineStr">
        <is>
          <t>Full-Time</t>
        </is>
      </c>
      <c r="K2851" s="7" t="n">
        <v>44226</v>
      </c>
      <c r="L2851" s="7" t="inlineStr"/>
      <c r="M2851" s="5" t="inlineStr">
        <is>
          <t>Yes</t>
        </is>
      </c>
      <c r="N2851" s="5" t="inlineStr"/>
      <c r="O2851" s="8" t="inlineStr">
        <is>
          <t>100500</t>
        </is>
      </c>
      <c r="P2851" s="5" t="inlineStr">
        <is>
          <t>15</t>
        </is>
      </c>
      <c r="Q2851" s="5" t="inlineStr">
        <is>
          <t>4</t>
        </is>
      </c>
      <c r="R2851" s="5" t="inlineStr">
        <is>
          <t>6</t>
        </is>
      </c>
      <c r="S2851" s="5" t="inlineStr">
        <is>
          <t>59</t>
        </is>
      </c>
      <c r="T2851" s="5" t="inlineStr">
        <is>
          <t>18</t>
        </is>
      </c>
      <c r="U2851" s="5">
        <f>IFS(C2851&lt;30,"Under 30",C2851&lt;40,"30-39",C2851&lt;50,"40-49",TRUE,"50+")</f>
        <v/>
      </c>
      <c r="V2851" s="5">
        <f>IFS(O2851&lt;60000,"Low (&lt;60k)",O2851&lt;100000,"Mid (60-100k)",TRUE,"High (100k+)")</f>
        <v/>
      </c>
      <c r="W2851" s="5">
        <f>IF(M2851="No","Attrited","Active")</f>
        <v/>
      </c>
    </row>
    <row r="2852">
      <c r="A2852" s="5" t="inlineStr">
        <is>
          <t>E02851</t>
        </is>
      </c>
      <c r="B2852" s="5" t="inlineStr">
        <is>
          <t>Male</t>
        </is>
      </c>
      <c r="C2852" s="6" t="inlineStr">
        <is>
          <t>30</t>
        </is>
      </c>
      <c r="D2852" s="5" t="inlineStr">
        <is>
          <t>Divorced</t>
        </is>
      </c>
      <c r="E2852" s="5" t="inlineStr">
        <is>
          <t>PhD</t>
        </is>
      </c>
      <c r="F2852" s="5" t="inlineStr">
        <is>
          <t>Human Resources</t>
        </is>
      </c>
      <c r="G2852" s="5" t="inlineStr">
        <is>
          <t>HR Analyst</t>
        </is>
      </c>
      <c r="H2852" s="5" t="inlineStr">
        <is>
          <t>2</t>
        </is>
      </c>
      <c r="I2852" s="5" t="inlineStr">
        <is>
          <t>Delhi</t>
        </is>
      </c>
      <c r="J2852" s="5" t="inlineStr">
        <is>
          <t>Full-Time</t>
        </is>
      </c>
      <c r="K2852" s="7" t="n">
        <v>45525</v>
      </c>
      <c r="L2852" s="7" t="n">
        <v>45646</v>
      </c>
      <c r="M2852" s="5" t="inlineStr">
        <is>
          <t>No</t>
        </is>
      </c>
      <c r="N2852" s="5" t="inlineStr">
        <is>
          <t>Resigned</t>
        </is>
      </c>
      <c r="O2852" s="8" t="inlineStr">
        <is>
          <t>93500</t>
        </is>
      </c>
      <c r="P2852" s="5" t="inlineStr">
        <is>
          <t>5</t>
        </is>
      </c>
      <c r="Q2852" s="5" t="inlineStr">
        <is>
          <t>5</t>
        </is>
      </c>
      <c r="R2852" s="5" t="inlineStr">
        <is>
          <t>4</t>
        </is>
      </c>
      <c r="S2852" s="5" t="inlineStr">
        <is>
          <t>4</t>
        </is>
      </c>
      <c r="T2852" s="5" t="inlineStr">
        <is>
          <t>6</t>
        </is>
      </c>
      <c r="U2852" s="5">
        <f>IFS(C2852&lt;30,"Under 30",C2852&lt;40,"30-39",C2852&lt;50,"40-49",TRUE,"50+")</f>
        <v/>
      </c>
      <c r="V2852" s="5">
        <f>IFS(O2852&lt;60000,"Low (&lt;60k)",O2852&lt;100000,"Mid (60-100k)",TRUE,"High (100k+)")</f>
        <v/>
      </c>
      <c r="W2852" s="5">
        <f>IF(M2852="No","Attrited","Active")</f>
        <v/>
      </c>
    </row>
    <row r="2853">
      <c r="A2853" s="5" t="inlineStr">
        <is>
          <t>E02852</t>
        </is>
      </c>
      <c r="B2853" s="5" t="inlineStr">
        <is>
          <t>Female</t>
        </is>
      </c>
      <c r="C2853" s="6" t="inlineStr">
        <is>
          <t>37</t>
        </is>
      </c>
      <c r="D2853" s="5" t="inlineStr">
        <is>
          <t>Married</t>
        </is>
      </c>
      <c r="E2853" s="5" t="inlineStr">
        <is>
          <t>PhD</t>
        </is>
      </c>
      <c r="F2853" s="5" t="inlineStr">
        <is>
          <t>Customer Support</t>
        </is>
      </c>
      <c r="G2853" s="5" t="inlineStr">
        <is>
          <t>Support Lead</t>
        </is>
      </c>
      <c r="H2853" s="5" t="inlineStr">
        <is>
          <t>5</t>
        </is>
      </c>
      <c r="I2853" s="5" t="inlineStr">
        <is>
          <t>Chennai</t>
        </is>
      </c>
      <c r="J2853" s="5" t="inlineStr">
        <is>
          <t>Full-Time</t>
        </is>
      </c>
      <c r="K2853" s="7" t="n">
        <v>44497</v>
      </c>
      <c r="L2853" s="7" t="inlineStr"/>
      <c r="M2853" s="5" t="inlineStr">
        <is>
          <t>Yes</t>
        </is>
      </c>
      <c r="N2853" s="5" t="inlineStr"/>
      <c r="O2853" s="8" t="inlineStr">
        <is>
          <t>76500</t>
        </is>
      </c>
      <c r="P2853" s="5" t="inlineStr">
        <is>
          <t>20</t>
        </is>
      </c>
      <c r="Q2853" s="5" t="inlineStr">
        <is>
          <t>3</t>
        </is>
      </c>
      <c r="R2853" s="5" t="inlineStr">
        <is>
          <t>8</t>
        </is>
      </c>
      <c r="S2853" s="5" t="inlineStr">
        <is>
          <t>50</t>
        </is>
      </c>
      <c r="T2853" s="5" t="inlineStr">
        <is>
          <t>0</t>
        </is>
      </c>
      <c r="U2853" s="5">
        <f>IFS(C2853&lt;30,"Under 30",C2853&lt;40,"30-39",C2853&lt;50,"40-49",TRUE,"50+")</f>
        <v/>
      </c>
      <c r="V2853" s="5">
        <f>IFS(O2853&lt;60000,"Low (&lt;60k)",O2853&lt;100000,"Mid (60-100k)",TRUE,"High (100k+)")</f>
        <v/>
      </c>
      <c r="W2853" s="5">
        <f>IF(M2853="No","Attrited","Active")</f>
        <v/>
      </c>
    </row>
    <row r="2854">
      <c r="A2854" s="5" t="inlineStr">
        <is>
          <t>E02853</t>
        </is>
      </c>
      <c r="B2854" s="5" t="inlineStr">
        <is>
          <t>Female</t>
        </is>
      </c>
      <c r="C2854" s="6" t="inlineStr">
        <is>
          <t>35</t>
        </is>
      </c>
      <c r="D2854" s="5" t="inlineStr">
        <is>
          <t>Married</t>
        </is>
      </c>
      <c r="E2854" s="5" t="inlineStr">
        <is>
          <t>Bachelor</t>
        </is>
      </c>
      <c r="F2854" s="5" t="inlineStr">
        <is>
          <t>Operations</t>
        </is>
      </c>
      <c r="G2854" s="5" t="inlineStr">
        <is>
          <t>Quality Analyst</t>
        </is>
      </c>
      <c r="H2854" s="5" t="inlineStr">
        <is>
          <t>2</t>
        </is>
      </c>
      <c r="I2854" s="5" t="inlineStr">
        <is>
          <t>Bengaluru</t>
        </is>
      </c>
      <c r="J2854" s="5" t="inlineStr">
        <is>
          <t>Full-Time</t>
        </is>
      </c>
      <c r="K2854" s="7" t="n">
        <v>44558</v>
      </c>
      <c r="L2854" s="7" t="inlineStr"/>
      <c r="M2854" s="5" t="inlineStr">
        <is>
          <t>Yes</t>
        </is>
      </c>
      <c r="N2854" s="5" t="inlineStr"/>
      <c r="O2854" s="8" t="inlineStr">
        <is>
          <t>69500</t>
        </is>
      </c>
      <c r="P2854" s="5" t="inlineStr">
        <is>
          <t>10</t>
        </is>
      </c>
      <c r="Q2854" s="5" t="inlineStr">
        <is>
          <t>1</t>
        </is>
      </c>
      <c r="R2854" s="5" t="inlineStr">
        <is>
          <t>7</t>
        </is>
      </c>
      <c r="S2854" s="5" t="inlineStr">
        <is>
          <t>48</t>
        </is>
      </c>
      <c r="T2854" s="5" t="inlineStr">
        <is>
          <t>0</t>
        </is>
      </c>
      <c r="U2854" s="5">
        <f>IFS(C2854&lt;30,"Under 30",C2854&lt;40,"30-39",C2854&lt;50,"40-49",TRUE,"50+")</f>
        <v/>
      </c>
      <c r="V2854" s="5">
        <f>IFS(O2854&lt;60000,"Low (&lt;60k)",O2854&lt;100000,"Mid (60-100k)",TRUE,"High (100k+)")</f>
        <v/>
      </c>
      <c r="W2854" s="5">
        <f>IF(M2854="No","Attrited","Active")</f>
        <v/>
      </c>
    </row>
    <row r="2855">
      <c r="A2855" s="5" t="inlineStr">
        <is>
          <t>E02854</t>
        </is>
      </c>
      <c r="B2855" s="5" t="inlineStr">
        <is>
          <t>Female</t>
        </is>
      </c>
      <c r="C2855" s="6" t="inlineStr">
        <is>
          <t>34</t>
        </is>
      </c>
      <c r="D2855" s="5" t="inlineStr">
        <is>
          <t>Married</t>
        </is>
      </c>
      <c r="E2855" s="5" t="inlineStr">
        <is>
          <t>PhD</t>
        </is>
      </c>
      <c r="F2855" s="5" t="inlineStr">
        <is>
          <t>IT</t>
        </is>
      </c>
      <c r="G2855" s="5" t="inlineStr">
        <is>
          <t>DevOps Engineer</t>
        </is>
      </c>
      <c r="H2855" s="5" t="inlineStr">
        <is>
          <t>3</t>
        </is>
      </c>
      <c r="I2855" s="5" t="inlineStr">
        <is>
          <t>Remote</t>
        </is>
      </c>
      <c r="J2855" s="5" t="inlineStr">
        <is>
          <t>Full-Time</t>
        </is>
      </c>
      <c r="K2855" s="7" t="n">
        <v>45460</v>
      </c>
      <c r="L2855" s="7" t="inlineStr"/>
      <c r="M2855" s="5" t="inlineStr">
        <is>
          <t>Yes</t>
        </is>
      </c>
      <c r="N2855" s="5" t="inlineStr"/>
      <c r="O2855" s="8" t="inlineStr">
        <is>
          <t>135500</t>
        </is>
      </c>
      <c r="P2855" s="5" t="inlineStr">
        <is>
          <t>5</t>
        </is>
      </c>
      <c r="Q2855" s="5" t="inlineStr">
        <is>
          <t>5</t>
        </is>
      </c>
      <c r="R2855" s="5" t="inlineStr">
        <is>
          <t>10</t>
        </is>
      </c>
      <c r="S2855" s="5" t="inlineStr">
        <is>
          <t>18</t>
        </is>
      </c>
      <c r="T2855" s="5" t="inlineStr">
        <is>
          <t>3</t>
        </is>
      </c>
      <c r="U2855" s="5">
        <f>IFS(C2855&lt;30,"Under 30",C2855&lt;40,"30-39",C2855&lt;50,"40-49",TRUE,"50+")</f>
        <v/>
      </c>
      <c r="V2855" s="5">
        <f>IFS(O2855&lt;60000,"Low (&lt;60k)",O2855&lt;100000,"Mid (60-100k)",TRUE,"High (100k+)")</f>
        <v/>
      </c>
      <c r="W2855" s="5">
        <f>IF(M2855="No","Attrited","Active")</f>
        <v/>
      </c>
    </row>
    <row r="2856">
      <c r="A2856" s="5" t="inlineStr">
        <is>
          <t>E02855</t>
        </is>
      </c>
      <c r="B2856" s="5" t="inlineStr">
        <is>
          <t>Female</t>
        </is>
      </c>
      <c r="C2856" s="6" t="inlineStr">
        <is>
          <t>29</t>
        </is>
      </c>
      <c r="D2856" s="5" t="inlineStr">
        <is>
          <t>Married</t>
        </is>
      </c>
      <c r="E2856" s="5" t="inlineStr">
        <is>
          <t>Diploma</t>
        </is>
      </c>
      <c r="F2856" s="5" t="inlineStr">
        <is>
          <t>Marketing</t>
        </is>
      </c>
      <c r="G2856" s="5" t="inlineStr">
        <is>
          <t>Marketing Analyst</t>
        </is>
      </c>
      <c r="H2856" s="5" t="inlineStr">
        <is>
          <t>3</t>
        </is>
      </c>
      <c r="I2856" s="5" t="inlineStr">
        <is>
          <t>Mumbai</t>
        </is>
      </c>
      <c r="J2856" s="5" t="inlineStr">
        <is>
          <t>Full-Time</t>
        </is>
      </c>
      <c r="K2856" s="7" t="n">
        <v>45797</v>
      </c>
      <c r="L2856" s="7" t="inlineStr"/>
      <c r="M2856" s="5" t="inlineStr">
        <is>
          <t>Yes</t>
        </is>
      </c>
      <c r="N2856" s="5" t="inlineStr"/>
      <c r="O2856" s="8" t="inlineStr">
        <is>
          <t>105000</t>
        </is>
      </c>
      <c r="P2856" s="5" t="inlineStr">
        <is>
          <t>5</t>
        </is>
      </c>
      <c r="Q2856" s="5" t="inlineStr">
        <is>
          <t>3</t>
        </is>
      </c>
      <c r="R2856" s="5" t="inlineStr">
        <is>
          <t>4</t>
        </is>
      </c>
      <c r="S2856" s="5" t="inlineStr">
        <is>
          <t>7</t>
        </is>
      </c>
      <c r="T2856" s="5" t="inlineStr">
        <is>
          <t>7</t>
        </is>
      </c>
      <c r="U2856" s="5">
        <f>IFS(C2856&lt;30,"Under 30",C2856&lt;40,"30-39",C2856&lt;50,"40-49",TRUE,"50+")</f>
        <v/>
      </c>
      <c r="V2856" s="5">
        <f>IFS(O2856&lt;60000,"Low (&lt;60k)",O2856&lt;100000,"Mid (60-100k)",TRUE,"High (100k+)")</f>
        <v/>
      </c>
      <c r="W2856" s="5">
        <f>IF(M2856="No","Attrited","Active")</f>
        <v/>
      </c>
    </row>
    <row r="2857">
      <c r="A2857" s="5" t="inlineStr">
        <is>
          <t>E02856</t>
        </is>
      </c>
      <c r="B2857" s="5" t="inlineStr">
        <is>
          <t>Male</t>
        </is>
      </c>
      <c r="C2857" s="6" t="inlineStr">
        <is>
          <t>27</t>
        </is>
      </c>
      <c r="D2857" s="5" t="inlineStr">
        <is>
          <t>Married</t>
        </is>
      </c>
      <c r="E2857" s="5" t="inlineStr">
        <is>
          <t>PhD</t>
        </is>
      </c>
      <c r="F2857" s="5" t="inlineStr">
        <is>
          <t>Human Resources</t>
        </is>
      </c>
      <c r="G2857" s="5" t="inlineStr">
        <is>
          <t>HR Analyst</t>
        </is>
      </c>
      <c r="H2857" s="5" t="inlineStr">
        <is>
          <t>1</t>
        </is>
      </c>
      <c r="I2857" s="5" t="inlineStr">
        <is>
          <t>Mumbai</t>
        </is>
      </c>
      <c r="J2857" s="5" t="inlineStr">
        <is>
          <t>Part-Time</t>
        </is>
      </c>
      <c r="K2857" s="7" t="n">
        <v>44972</v>
      </c>
      <c r="L2857" s="7" t="inlineStr"/>
      <c r="M2857" s="5" t="inlineStr">
        <is>
          <t>Yes</t>
        </is>
      </c>
      <c r="N2857" s="5" t="inlineStr"/>
      <c r="O2857" s="8" t="inlineStr">
        <is>
          <t>72000</t>
        </is>
      </c>
      <c r="P2857" s="5" t="inlineStr">
        <is>
          <t>5</t>
        </is>
      </c>
      <c r="Q2857" s="5" t="inlineStr">
        <is>
          <t>3</t>
        </is>
      </c>
      <c r="R2857" s="5" t="inlineStr">
        <is>
          <t>5</t>
        </is>
      </c>
      <c r="S2857" s="5" t="inlineStr">
        <is>
          <t>35</t>
        </is>
      </c>
      <c r="T2857" s="5" t="inlineStr">
        <is>
          <t>1</t>
        </is>
      </c>
      <c r="U2857" s="5">
        <f>IFS(C2857&lt;30,"Under 30",C2857&lt;40,"30-39",C2857&lt;50,"40-49",TRUE,"50+")</f>
        <v/>
      </c>
      <c r="V2857" s="5">
        <f>IFS(O2857&lt;60000,"Low (&lt;60k)",O2857&lt;100000,"Mid (60-100k)",TRUE,"High (100k+)")</f>
        <v/>
      </c>
      <c r="W2857" s="5">
        <f>IF(M2857="No","Attrited","Active")</f>
        <v/>
      </c>
    </row>
    <row r="2858">
      <c r="A2858" s="5" t="inlineStr">
        <is>
          <t>E02857</t>
        </is>
      </c>
      <c r="B2858" s="5" t="inlineStr">
        <is>
          <t>Male</t>
        </is>
      </c>
      <c r="C2858" s="6" t="inlineStr">
        <is>
          <t>23</t>
        </is>
      </c>
      <c r="D2858" s="5" t="inlineStr">
        <is>
          <t>Divorced</t>
        </is>
      </c>
      <c r="E2858" s="5" t="inlineStr">
        <is>
          <t>High School</t>
        </is>
      </c>
      <c r="F2858" s="5" t="inlineStr">
        <is>
          <t>Customer Support</t>
        </is>
      </c>
      <c r="G2858" s="5" t="inlineStr">
        <is>
          <t>Support Agent</t>
        </is>
      </c>
      <c r="H2858" s="5" t="inlineStr">
        <is>
          <t>1</t>
        </is>
      </c>
      <c r="I2858" s="5" t="inlineStr">
        <is>
          <t>Remote</t>
        </is>
      </c>
      <c r="J2858" s="5" t="inlineStr">
        <is>
          <t>Full-Time</t>
        </is>
      </c>
      <c r="K2858" s="7" t="n">
        <v>45955</v>
      </c>
      <c r="L2858" s="7" t="inlineStr"/>
      <c r="M2858" s="5" t="inlineStr">
        <is>
          <t>Yes</t>
        </is>
      </c>
      <c r="N2858" s="5" t="inlineStr"/>
      <c r="O2858" s="8" t="inlineStr">
        <is>
          <t>46500</t>
        </is>
      </c>
      <c r="P2858" s="5" t="inlineStr">
        <is>
          <t>0</t>
        </is>
      </c>
      <c r="Q2858" s="5" t="inlineStr">
        <is>
          <t>4</t>
        </is>
      </c>
      <c r="R2858" s="5" t="inlineStr">
        <is>
          <t>5</t>
        </is>
      </c>
      <c r="S2858" s="5" t="inlineStr">
        <is>
          <t>2</t>
        </is>
      </c>
      <c r="T2858" s="5" t="inlineStr">
        <is>
          <t>11</t>
        </is>
      </c>
      <c r="U2858" s="5">
        <f>IFS(C2858&lt;30,"Under 30",C2858&lt;40,"30-39",C2858&lt;50,"40-49",TRUE,"50+")</f>
        <v/>
      </c>
      <c r="V2858" s="5">
        <f>IFS(O2858&lt;60000,"Low (&lt;60k)",O2858&lt;100000,"Mid (60-100k)",TRUE,"High (100k+)")</f>
        <v/>
      </c>
      <c r="W2858" s="5">
        <f>IF(M2858="No","Attrited","Active")</f>
        <v/>
      </c>
    </row>
    <row r="2859">
      <c r="A2859" s="5" t="inlineStr">
        <is>
          <t>E02858</t>
        </is>
      </c>
      <c r="B2859" s="5" t="inlineStr">
        <is>
          <t>Male</t>
        </is>
      </c>
      <c r="C2859" s="6" t="inlineStr">
        <is>
          <t>31</t>
        </is>
      </c>
      <c r="D2859" s="5" t="inlineStr">
        <is>
          <t>Married</t>
        </is>
      </c>
      <c r="E2859" s="5" t="inlineStr">
        <is>
          <t>Diploma</t>
        </is>
      </c>
      <c r="F2859" s="5" t="inlineStr">
        <is>
          <t>IT</t>
        </is>
      </c>
      <c r="G2859" s="5" t="inlineStr">
        <is>
          <t>DevOps Engineer</t>
        </is>
      </c>
      <c r="H2859" s="5" t="inlineStr">
        <is>
          <t>2</t>
        </is>
      </c>
      <c r="I2859" s="5" t="inlineStr">
        <is>
          <t>Chennai</t>
        </is>
      </c>
      <c r="J2859" s="5" t="inlineStr">
        <is>
          <t>Full-Time</t>
        </is>
      </c>
      <c r="K2859" s="7" t="n">
        <v>45517</v>
      </c>
      <c r="L2859" s="7" t="inlineStr"/>
      <c r="M2859" s="5" t="inlineStr">
        <is>
          <t>Yes</t>
        </is>
      </c>
      <c r="N2859" s="5" t="inlineStr"/>
      <c r="O2859" s="8" t="inlineStr">
        <is>
          <t>113000</t>
        </is>
      </c>
      <c r="P2859" s="5" t="inlineStr">
        <is>
          <t>20</t>
        </is>
      </c>
      <c r="Q2859" s="5" t="inlineStr">
        <is>
          <t>2</t>
        </is>
      </c>
      <c r="R2859" s="5" t="inlineStr">
        <is>
          <t>10</t>
        </is>
      </c>
      <c r="S2859" s="5" t="inlineStr">
        <is>
          <t>16</t>
        </is>
      </c>
      <c r="T2859" s="5" t="inlineStr">
        <is>
          <t>10</t>
        </is>
      </c>
      <c r="U2859" s="5">
        <f>IFS(C2859&lt;30,"Under 30",C2859&lt;40,"30-39",C2859&lt;50,"40-49",TRUE,"50+")</f>
        <v/>
      </c>
      <c r="V2859" s="5">
        <f>IFS(O2859&lt;60000,"Low (&lt;60k)",O2859&lt;100000,"Mid (60-100k)",TRUE,"High (100k+)")</f>
        <v/>
      </c>
      <c r="W2859" s="5">
        <f>IF(M2859="No","Attrited","Active")</f>
        <v/>
      </c>
    </row>
    <row r="2860">
      <c r="A2860" s="5" t="inlineStr">
        <is>
          <t>E02859</t>
        </is>
      </c>
      <c r="B2860" s="5" t="inlineStr">
        <is>
          <t>Female</t>
        </is>
      </c>
      <c r="C2860" s="6" t="inlineStr">
        <is>
          <t>38</t>
        </is>
      </c>
      <c r="D2860" s="5" t="inlineStr">
        <is>
          <t>Single</t>
        </is>
      </c>
      <c r="E2860" s="5" t="inlineStr">
        <is>
          <t>Diploma</t>
        </is>
      </c>
      <c r="F2860" s="5" t="inlineStr">
        <is>
          <t>Customer Support</t>
        </is>
      </c>
      <c r="G2860" s="5" t="inlineStr">
        <is>
          <t>Support Agent</t>
        </is>
      </c>
      <c r="H2860" s="5" t="inlineStr">
        <is>
          <t>4</t>
        </is>
      </c>
      <c r="I2860" s="5" t="inlineStr">
        <is>
          <t>Chennai</t>
        </is>
      </c>
      <c r="J2860" s="5" t="inlineStr">
        <is>
          <t>Full-Time</t>
        </is>
      </c>
      <c r="K2860" s="7" t="n">
        <v>45434</v>
      </c>
      <c r="L2860" s="7" t="n">
        <v>45508</v>
      </c>
      <c r="M2860" s="5" t="inlineStr">
        <is>
          <t>No</t>
        </is>
      </c>
      <c r="N2860" s="5" t="inlineStr">
        <is>
          <t>Performance / Termination</t>
        </is>
      </c>
      <c r="O2860" s="8" t="inlineStr">
        <is>
          <t>98000</t>
        </is>
      </c>
      <c r="P2860" s="5" t="inlineStr">
        <is>
          <t>0</t>
        </is>
      </c>
      <c r="Q2860" s="5" t="inlineStr">
        <is>
          <t>3</t>
        </is>
      </c>
      <c r="R2860" s="5" t="inlineStr">
        <is>
          <t>7</t>
        </is>
      </c>
      <c r="S2860" s="5" t="inlineStr">
        <is>
          <t>2</t>
        </is>
      </c>
      <c r="T2860" s="5" t="inlineStr">
        <is>
          <t>2</t>
        </is>
      </c>
      <c r="U2860" s="5">
        <f>IFS(C2860&lt;30,"Under 30",C2860&lt;40,"30-39",C2860&lt;50,"40-49",TRUE,"50+")</f>
        <v/>
      </c>
      <c r="V2860" s="5">
        <f>IFS(O2860&lt;60000,"Low (&lt;60k)",O2860&lt;100000,"Mid (60-100k)",TRUE,"High (100k+)")</f>
        <v/>
      </c>
      <c r="W2860" s="5">
        <f>IF(M2860="No","Attrited","Active")</f>
        <v/>
      </c>
    </row>
    <row r="2861">
      <c r="A2861" s="5" t="inlineStr">
        <is>
          <t>E02860</t>
        </is>
      </c>
      <c r="B2861" s="5" t="inlineStr">
        <is>
          <t>Female</t>
        </is>
      </c>
      <c r="C2861" s="6" t="inlineStr">
        <is>
          <t>33</t>
        </is>
      </c>
      <c r="D2861" s="5" t="inlineStr">
        <is>
          <t>Married</t>
        </is>
      </c>
      <c r="E2861" s="5" t="inlineStr">
        <is>
          <t>Diploma</t>
        </is>
      </c>
      <c r="F2861" s="5" t="inlineStr">
        <is>
          <t>Marketing</t>
        </is>
      </c>
      <c r="G2861" s="5" t="inlineStr">
        <is>
          <t>Content Writer</t>
        </is>
      </c>
      <c r="H2861" s="5" t="inlineStr">
        <is>
          <t>5</t>
        </is>
      </c>
      <c r="I2861" s="5" t="inlineStr">
        <is>
          <t>Mumbai</t>
        </is>
      </c>
      <c r="J2861" s="5" t="inlineStr">
        <is>
          <t>Full-Time</t>
        </is>
      </c>
      <c r="K2861" s="7" t="n">
        <v>45876</v>
      </c>
      <c r="L2861" s="7" t="inlineStr"/>
      <c r="M2861" s="5" t="inlineStr">
        <is>
          <t>Yes</t>
        </is>
      </c>
      <c r="N2861" s="5" t="inlineStr"/>
      <c r="O2861" s="8" t="inlineStr">
        <is>
          <t>97500</t>
        </is>
      </c>
      <c r="P2861" s="5" t="inlineStr">
        <is>
          <t>5</t>
        </is>
      </c>
      <c r="Q2861" s="5" t="inlineStr">
        <is>
          <t>3</t>
        </is>
      </c>
      <c r="R2861" s="5" t="inlineStr">
        <is>
          <t>7</t>
        </is>
      </c>
      <c r="S2861" s="5" t="inlineStr">
        <is>
          <t>4</t>
        </is>
      </c>
      <c r="T2861" s="5" t="inlineStr">
        <is>
          <t>4</t>
        </is>
      </c>
      <c r="U2861" s="5">
        <f>IFS(C2861&lt;30,"Under 30",C2861&lt;40,"30-39",C2861&lt;50,"40-49",TRUE,"50+")</f>
        <v/>
      </c>
      <c r="V2861" s="5">
        <f>IFS(O2861&lt;60000,"Low (&lt;60k)",O2861&lt;100000,"Mid (60-100k)",TRUE,"High (100k+)")</f>
        <v/>
      </c>
      <c r="W2861" s="5">
        <f>IF(M2861="No","Attrited","Active")</f>
        <v/>
      </c>
    </row>
    <row r="2862">
      <c r="A2862" s="5" t="inlineStr">
        <is>
          <t>E02861</t>
        </is>
      </c>
      <c r="B2862" s="5" t="inlineStr">
        <is>
          <t>Male</t>
        </is>
      </c>
      <c r="C2862" s="6" t="inlineStr">
        <is>
          <t>35</t>
        </is>
      </c>
      <c r="D2862" s="5" t="inlineStr">
        <is>
          <t>Married</t>
        </is>
      </c>
      <c r="E2862" s="5" t="inlineStr">
        <is>
          <t>Master</t>
        </is>
      </c>
      <c r="F2862" s="5" t="inlineStr">
        <is>
          <t>Finance</t>
        </is>
      </c>
      <c r="G2862" s="5" t="inlineStr">
        <is>
          <t>Credit Analyst</t>
        </is>
      </c>
      <c r="H2862" s="5" t="inlineStr">
        <is>
          <t>2</t>
        </is>
      </c>
      <c r="I2862" s="5" t="inlineStr">
        <is>
          <t>Bengaluru</t>
        </is>
      </c>
      <c r="J2862" s="5" t="inlineStr">
        <is>
          <t>Full-Time</t>
        </is>
      </c>
      <c r="K2862" s="7" t="n">
        <v>44445</v>
      </c>
      <c r="L2862" s="7" t="n">
        <v>44559</v>
      </c>
      <c r="M2862" s="5" t="inlineStr">
        <is>
          <t>No</t>
        </is>
      </c>
      <c r="N2862" s="5" t="inlineStr">
        <is>
          <t>Resigned</t>
        </is>
      </c>
      <c r="O2862" s="8" t="inlineStr">
        <is>
          <t>74500</t>
        </is>
      </c>
      <c r="P2862" s="5" t="inlineStr">
        <is>
          <t>10</t>
        </is>
      </c>
      <c r="Q2862" s="5" t="inlineStr">
        <is>
          <t>2</t>
        </is>
      </c>
      <c r="R2862" s="5" t="inlineStr">
        <is>
          <t>6</t>
        </is>
      </c>
      <c r="S2862" s="5" t="inlineStr">
        <is>
          <t>3</t>
        </is>
      </c>
      <c r="T2862" s="5" t="inlineStr">
        <is>
          <t>9</t>
        </is>
      </c>
      <c r="U2862" s="5">
        <f>IFS(C2862&lt;30,"Under 30",C2862&lt;40,"30-39",C2862&lt;50,"40-49",TRUE,"50+")</f>
        <v/>
      </c>
      <c r="V2862" s="5">
        <f>IFS(O2862&lt;60000,"Low (&lt;60k)",O2862&lt;100000,"Mid (60-100k)",TRUE,"High (100k+)")</f>
        <v/>
      </c>
      <c r="W2862" s="5">
        <f>IF(M2862="No","Attrited","Active")</f>
        <v/>
      </c>
    </row>
    <row r="2863">
      <c r="A2863" s="5" t="inlineStr">
        <is>
          <t>E02862</t>
        </is>
      </c>
      <c r="B2863" s="5" t="inlineStr">
        <is>
          <t>Female</t>
        </is>
      </c>
      <c r="C2863" s="6" t="inlineStr">
        <is>
          <t>27</t>
        </is>
      </c>
      <c r="D2863" s="5" t="inlineStr">
        <is>
          <t>Single</t>
        </is>
      </c>
      <c r="E2863" s="5" t="inlineStr">
        <is>
          <t>Master</t>
        </is>
      </c>
      <c r="F2863" s="5" t="inlineStr">
        <is>
          <t>Customer Support</t>
        </is>
      </c>
      <c r="G2863" s="5" t="inlineStr">
        <is>
          <t>Support Agent</t>
        </is>
      </c>
      <c r="H2863" s="5" t="inlineStr">
        <is>
          <t>3</t>
        </is>
      </c>
      <c r="I2863" s="5" t="inlineStr">
        <is>
          <t>Delhi</t>
        </is>
      </c>
      <c r="J2863" s="5" t="inlineStr">
        <is>
          <t>Full-Time</t>
        </is>
      </c>
      <c r="K2863" s="7" t="n">
        <v>44256</v>
      </c>
      <c r="L2863" s="7" t="n">
        <v>44365</v>
      </c>
      <c r="M2863" s="5" t="inlineStr">
        <is>
          <t>No</t>
        </is>
      </c>
      <c r="N2863" s="5" t="inlineStr">
        <is>
          <t>Resigned</t>
        </is>
      </c>
      <c r="O2863" s="8" t="inlineStr">
        <is>
          <t>86500</t>
        </is>
      </c>
      <c r="P2863" s="5" t="inlineStr">
        <is>
          <t>15</t>
        </is>
      </c>
      <c r="Q2863" s="5" t="inlineStr">
        <is>
          <t>3</t>
        </is>
      </c>
      <c r="R2863" s="5" t="inlineStr">
        <is>
          <t>7</t>
        </is>
      </c>
      <c r="S2863" s="5" t="inlineStr">
        <is>
          <t>3</t>
        </is>
      </c>
      <c r="T2863" s="5" t="inlineStr">
        <is>
          <t>0</t>
        </is>
      </c>
      <c r="U2863" s="5">
        <f>IFS(C2863&lt;30,"Under 30",C2863&lt;40,"30-39",C2863&lt;50,"40-49",TRUE,"50+")</f>
        <v/>
      </c>
      <c r="V2863" s="5">
        <f>IFS(O2863&lt;60000,"Low (&lt;60k)",O2863&lt;100000,"Mid (60-100k)",TRUE,"High (100k+)")</f>
        <v/>
      </c>
      <c r="W2863" s="5">
        <f>IF(M2863="No","Attrited","Active")</f>
        <v/>
      </c>
    </row>
    <row r="2864">
      <c r="A2864" s="5" t="inlineStr">
        <is>
          <t>E02863</t>
        </is>
      </c>
      <c r="B2864" s="5" t="inlineStr">
        <is>
          <t>Female</t>
        </is>
      </c>
      <c r="C2864" s="6" t="inlineStr">
        <is>
          <t>32</t>
        </is>
      </c>
      <c r="D2864" s="5" t="inlineStr">
        <is>
          <t>Single</t>
        </is>
      </c>
      <c r="E2864" s="5" t="inlineStr">
        <is>
          <t>Master</t>
        </is>
      </c>
      <c r="F2864" s="5" t="inlineStr">
        <is>
          <t>Operations</t>
        </is>
      </c>
      <c r="G2864" s="5" t="inlineStr">
        <is>
          <t>Operations Analyst</t>
        </is>
      </c>
      <c r="H2864" s="5" t="inlineStr">
        <is>
          <t>5</t>
        </is>
      </c>
      <c r="I2864" s="5" t="inlineStr">
        <is>
          <t>Chennai</t>
        </is>
      </c>
      <c r="J2864" s="5" t="inlineStr">
        <is>
          <t>Part-Time</t>
        </is>
      </c>
      <c r="K2864" s="7" t="n">
        <v>44848</v>
      </c>
      <c r="L2864" s="7" t="inlineStr"/>
      <c r="M2864" s="5" t="inlineStr">
        <is>
          <t>Yes</t>
        </is>
      </c>
      <c r="N2864" s="5" t="inlineStr"/>
      <c r="O2864" s="8" t="inlineStr">
        <is>
          <t>130500</t>
        </is>
      </c>
      <c r="P2864" s="5" t="inlineStr">
        <is>
          <t>0</t>
        </is>
      </c>
      <c r="Q2864" s="5" t="inlineStr">
        <is>
          <t>4</t>
        </is>
      </c>
      <c r="R2864" s="5" t="inlineStr">
        <is>
          <t>7</t>
        </is>
      </c>
      <c r="S2864" s="5" t="inlineStr">
        <is>
          <t>39</t>
        </is>
      </c>
      <c r="T2864" s="5" t="inlineStr">
        <is>
          <t>6</t>
        </is>
      </c>
      <c r="U2864" s="5">
        <f>IFS(C2864&lt;30,"Under 30",C2864&lt;40,"30-39",C2864&lt;50,"40-49",TRUE,"50+")</f>
        <v/>
      </c>
      <c r="V2864" s="5">
        <f>IFS(O2864&lt;60000,"Low (&lt;60k)",O2864&lt;100000,"Mid (60-100k)",TRUE,"High (100k+)")</f>
        <v/>
      </c>
      <c r="W2864" s="5">
        <f>IF(M2864="No","Attrited","Active")</f>
        <v/>
      </c>
    </row>
    <row r="2865">
      <c r="A2865" s="5" t="inlineStr">
        <is>
          <t>E02864</t>
        </is>
      </c>
      <c r="B2865" s="5" t="inlineStr">
        <is>
          <t>Female</t>
        </is>
      </c>
      <c r="C2865" s="6" t="inlineStr">
        <is>
          <t>29</t>
        </is>
      </c>
      <c r="D2865" s="5" t="inlineStr">
        <is>
          <t>Married</t>
        </is>
      </c>
      <c r="E2865" s="5" t="inlineStr">
        <is>
          <t>Diploma</t>
        </is>
      </c>
      <c r="F2865" s="5" t="inlineStr">
        <is>
          <t>Finance</t>
        </is>
      </c>
      <c r="G2865" s="5" t="inlineStr">
        <is>
          <t>Financial Analyst</t>
        </is>
      </c>
      <c r="H2865" s="5" t="inlineStr">
        <is>
          <t>4</t>
        </is>
      </c>
      <c r="I2865" s="5" t="inlineStr">
        <is>
          <t>Chennai</t>
        </is>
      </c>
      <c r="J2865" s="5" t="inlineStr">
        <is>
          <t>Full-Time</t>
        </is>
      </c>
      <c r="K2865" s="7" t="n">
        <v>45637</v>
      </c>
      <c r="L2865" s="7" t="inlineStr"/>
      <c r="M2865" s="5" t="inlineStr">
        <is>
          <t>Yes</t>
        </is>
      </c>
      <c r="N2865" s="5" t="inlineStr"/>
      <c r="O2865" s="8" t="inlineStr">
        <is>
          <t>93500</t>
        </is>
      </c>
      <c r="P2865" s="5" t="inlineStr">
        <is>
          <t>5</t>
        </is>
      </c>
      <c r="Q2865" s="5" t="inlineStr">
        <is>
          <t>4</t>
        </is>
      </c>
      <c r="R2865" s="5" t="inlineStr">
        <is>
          <t>6</t>
        </is>
      </c>
      <c r="S2865" s="5" t="inlineStr">
        <is>
          <t>12</t>
        </is>
      </c>
      <c r="T2865" s="5" t="inlineStr">
        <is>
          <t>11</t>
        </is>
      </c>
      <c r="U2865" s="5">
        <f>IFS(C2865&lt;30,"Under 30",C2865&lt;40,"30-39",C2865&lt;50,"40-49",TRUE,"50+")</f>
        <v/>
      </c>
      <c r="V2865" s="5">
        <f>IFS(O2865&lt;60000,"Low (&lt;60k)",O2865&lt;100000,"Mid (60-100k)",TRUE,"High (100k+)")</f>
        <v/>
      </c>
      <c r="W2865" s="5">
        <f>IF(M2865="No","Attrited","Active")</f>
        <v/>
      </c>
    </row>
    <row r="2866">
      <c r="A2866" s="5" t="inlineStr">
        <is>
          <t>E02865</t>
        </is>
      </c>
      <c r="B2866" s="5" t="inlineStr">
        <is>
          <t>Male</t>
        </is>
      </c>
      <c r="C2866" s="6" t="inlineStr">
        <is>
          <t>35</t>
        </is>
      </c>
      <c r="D2866" s="5" t="inlineStr">
        <is>
          <t>Married</t>
        </is>
      </c>
      <c r="E2866" s="5" t="inlineStr">
        <is>
          <t>Diploma</t>
        </is>
      </c>
      <c r="F2866" s="5" t="inlineStr">
        <is>
          <t>Sales</t>
        </is>
      </c>
      <c r="G2866" s="5" t="inlineStr">
        <is>
          <t>Business Development</t>
        </is>
      </c>
      <c r="H2866" s="5" t="inlineStr">
        <is>
          <t>7</t>
        </is>
      </c>
      <c r="I2866" s="5" t="inlineStr">
        <is>
          <t>Chennai</t>
        </is>
      </c>
      <c r="J2866" s="5" t="inlineStr">
        <is>
          <t>Full-Time</t>
        </is>
      </c>
      <c r="K2866" s="7" t="n">
        <v>45291</v>
      </c>
      <c r="L2866" s="7" t="inlineStr"/>
      <c r="M2866" s="5" t="inlineStr">
        <is>
          <t>Yes</t>
        </is>
      </c>
      <c r="N2866" s="5" t="inlineStr"/>
      <c r="O2866" s="8" t="inlineStr">
        <is>
          <t>193500</t>
        </is>
      </c>
      <c r="P2866" s="5" t="inlineStr">
        <is>
          <t>0</t>
        </is>
      </c>
      <c r="Q2866" s="5" t="inlineStr">
        <is>
          <t>3</t>
        </is>
      </c>
      <c r="R2866" s="5" t="inlineStr">
        <is>
          <t>7</t>
        </is>
      </c>
      <c r="S2866" s="5" t="inlineStr">
        <is>
          <t>24</t>
        </is>
      </c>
      <c r="T2866" s="5" t="inlineStr">
        <is>
          <t>22</t>
        </is>
      </c>
      <c r="U2866" s="5">
        <f>IFS(C2866&lt;30,"Under 30",C2866&lt;40,"30-39",C2866&lt;50,"40-49",TRUE,"50+")</f>
        <v/>
      </c>
      <c r="V2866" s="5">
        <f>IFS(O2866&lt;60000,"Low (&lt;60k)",O2866&lt;100000,"Mid (60-100k)",TRUE,"High (100k+)")</f>
        <v/>
      </c>
      <c r="W2866" s="5">
        <f>IF(M2866="No","Attrited","Active")</f>
        <v/>
      </c>
    </row>
    <row r="2867">
      <c r="A2867" s="5" t="inlineStr">
        <is>
          <t>E02866</t>
        </is>
      </c>
      <c r="B2867" s="5" t="inlineStr">
        <is>
          <t>Male</t>
        </is>
      </c>
      <c r="C2867" s="6" t="inlineStr">
        <is>
          <t>29</t>
        </is>
      </c>
      <c r="D2867" s="5" t="inlineStr">
        <is>
          <t>Single</t>
        </is>
      </c>
      <c r="E2867" s="5" t="inlineStr">
        <is>
          <t>High School</t>
        </is>
      </c>
      <c r="F2867" s="5" t="inlineStr">
        <is>
          <t>Finance</t>
        </is>
      </c>
      <c r="G2867" s="5" t="inlineStr">
        <is>
          <t>Accountant</t>
        </is>
      </c>
      <c r="H2867" s="5" t="inlineStr">
        <is>
          <t>3</t>
        </is>
      </c>
      <c r="I2867" s="5" t="inlineStr">
        <is>
          <t>Remote</t>
        </is>
      </c>
      <c r="J2867" s="5" t="inlineStr">
        <is>
          <t>Full-Time</t>
        </is>
      </c>
      <c r="K2867" s="7" t="n">
        <v>44620</v>
      </c>
      <c r="L2867" s="7" t="inlineStr"/>
      <c r="M2867" s="5" t="inlineStr">
        <is>
          <t>Yes</t>
        </is>
      </c>
      <c r="N2867" s="5" t="inlineStr"/>
      <c r="O2867" s="8" t="inlineStr">
        <is>
          <t>128000</t>
        </is>
      </c>
      <c r="P2867" s="5" t="inlineStr">
        <is>
          <t>0</t>
        </is>
      </c>
      <c r="Q2867" s="5" t="inlineStr">
        <is>
          <t>4</t>
        </is>
      </c>
      <c r="R2867" s="5" t="inlineStr">
        <is>
          <t>8</t>
        </is>
      </c>
      <c r="S2867" s="5" t="inlineStr">
        <is>
          <t>46</t>
        </is>
      </c>
      <c r="T2867" s="5" t="inlineStr">
        <is>
          <t>2</t>
        </is>
      </c>
      <c r="U2867" s="5">
        <f>IFS(C2867&lt;30,"Under 30",C2867&lt;40,"30-39",C2867&lt;50,"40-49",TRUE,"50+")</f>
        <v/>
      </c>
      <c r="V2867" s="5">
        <f>IFS(O2867&lt;60000,"Low (&lt;60k)",O2867&lt;100000,"Mid (60-100k)",TRUE,"High (100k+)")</f>
        <v/>
      </c>
      <c r="W2867" s="5">
        <f>IF(M2867="No","Attrited","Active")</f>
        <v/>
      </c>
    </row>
    <row r="2868">
      <c r="A2868" s="5" t="inlineStr">
        <is>
          <t>E02867</t>
        </is>
      </c>
      <c r="B2868" s="5" t="inlineStr">
        <is>
          <t>Female</t>
        </is>
      </c>
      <c r="C2868" s="6" t="inlineStr">
        <is>
          <t>33</t>
        </is>
      </c>
      <c r="D2868" s="5" t="inlineStr">
        <is>
          <t>Married</t>
        </is>
      </c>
      <c r="E2868" s="5" t="inlineStr">
        <is>
          <t>PhD</t>
        </is>
      </c>
      <c r="F2868" s="5" t="inlineStr">
        <is>
          <t>Marketing</t>
        </is>
      </c>
      <c r="G2868" s="5" t="inlineStr">
        <is>
          <t>SEO Specialist</t>
        </is>
      </c>
      <c r="H2868" s="5" t="inlineStr">
        <is>
          <t>1</t>
        </is>
      </c>
      <c r="I2868" s="5" t="inlineStr">
        <is>
          <t>Hyderabad</t>
        </is>
      </c>
      <c r="J2868" s="5" t="inlineStr">
        <is>
          <t>Full-Time</t>
        </is>
      </c>
      <c r="K2868" s="7" t="n">
        <v>45686</v>
      </c>
      <c r="L2868" s="7" t="inlineStr"/>
      <c r="M2868" s="5" t="inlineStr">
        <is>
          <t>Yes</t>
        </is>
      </c>
      <c r="N2868" s="5" t="inlineStr"/>
      <c r="O2868" s="8" t="inlineStr">
        <is>
          <t>60000</t>
        </is>
      </c>
      <c r="P2868" s="5" t="inlineStr">
        <is>
          <t>0</t>
        </is>
      </c>
      <c r="Q2868" s="5" t="inlineStr">
        <is>
          <t>4</t>
        </is>
      </c>
      <c r="R2868" s="5" t="inlineStr">
        <is>
          <t>9</t>
        </is>
      </c>
      <c r="S2868" s="5" t="inlineStr">
        <is>
          <t>11</t>
        </is>
      </c>
      <c r="T2868" s="5" t="inlineStr">
        <is>
          <t>11</t>
        </is>
      </c>
      <c r="U2868" s="5">
        <f>IFS(C2868&lt;30,"Under 30",C2868&lt;40,"30-39",C2868&lt;50,"40-49",TRUE,"50+")</f>
        <v/>
      </c>
      <c r="V2868" s="5">
        <f>IFS(O2868&lt;60000,"Low (&lt;60k)",O2868&lt;100000,"Mid (60-100k)",TRUE,"High (100k+)")</f>
        <v/>
      </c>
      <c r="W2868" s="5">
        <f>IF(M2868="No","Attrited","Active")</f>
        <v/>
      </c>
    </row>
    <row r="2869">
      <c r="A2869" s="5" t="inlineStr">
        <is>
          <t>E02868</t>
        </is>
      </c>
      <c r="B2869" s="5" t="inlineStr">
        <is>
          <t>Female</t>
        </is>
      </c>
      <c r="C2869" s="6" t="inlineStr">
        <is>
          <t>29</t>
        </is>
      </c>
      <c r="D2869" s="5" t="inlineStr">
        <is>
          <t>Married</t>
        </is>
      </c>
      <c r="E2869" s="5" t="inlineStr">
        <is>
          <t>High School</t>
        </is>
      </c>
      <c r="F2869" s="5" t="inlineStr">
        <is>
          <t>Marketing</t>
        </is>
      </c>
      <c r="G2869" s="5" t="inlineStr">
        <is>
          <t>Marketing Analyst</t>
        </is>
      </c>
      <c r="H2869" s="5" t="inlineStr">
        <is>
          <t>2</t>
        </is>
      </c>
      <c r="I2869" s="5" t="inlineStr">
        <is>
          <t>Delhi</t>
        </is>
      </c>
      <c r="J2869" s="5" t="inlineStr">
        <is>
          <t>Full-Time</t>
        </is>
      </c>
      <c r="K2869" s="7" t="n">
        <v>44297</v>
      </c>
      <c r="L2869" s="7" t="n">
        <v>44342</v>
      </c>
      <c r="M2869" s="5" t="inlineStr">
        <is>
          <t>No</t>
        </is>
      </c>
      <c r="N2869" s="5" t="inlineStr">
        <is>
          <t>Relocation</t>
        </is>
      </c>
      <c r="O2869" s="8" t="inlineStr">
        <is>
          <t>103000</t>
        </is>
      </c>
      <c r="P2869" s="5" t="inlineStr">
        <is>
          <t>0</t>
        </is>
      </c>
      <c r="Q2869" s="5" t="inlineStr">
        <is>
          <t>3</t>
        </is>
      </c>
      <c r="R2869" s="5" t="inlineStr">
        <is>
          <t>6</t>
        </is>
      </c>
      <c r="S2869" s="5" t="inlineStr">
        <is>
          <t>1</t>
        </is>
      </c>
      <c r="T2869" s="5" t="inlineStr">
        <is>
          <t>8</t>
        </is>
      </c>
      <c r="U2869" s="5">
        <f>IFS(C2869&lt;30,"Under 30",C2869&lt;40,"30-39",C2869&lt;50,"40-49",TRUE,"50+")</f>
        <v/>
      </c>
      <c r="V2869" s="5">
        <f>IFS(O2869&lt;60000,"Low (&lt;60k)",O2869&lt;100000,"Mid (60-100k)",TRUE,"High (100k+)")</f>
        <v/>
      </c>
      <c r="W2869" s="5">
        <f>IF(M2869="No","Attrited","Active")</f>
        <v/>
      </c>
    </row>
    <row r="2870">
      <c r="A2870" s="5" t="inlineStr">
        <is>
          <t>E02869</t>
        </is>
      </c>
      <c r="B2870" s="5" t="inlineStr">
        <is>
          <t>Female</t>
        </is>
      </c>
      <c r="C2870" s="6" t="inlineStr">
        <is>
          <t>35</t>
        </is>
      </c>
      <c r="D2870" s="5" t="inlineStr">
        <is>
          <t>Married</t>
        </is>
      </c>
      <c r="E2870" s="5" t="inlineStr">
        <is>
          <t>Bachelor</t>
        </is>
      </c>
      <c r="F2870" s="5" t="inlineStr">
        <is>
          <t>Operations</t>
        </is>
      </c>
      <c r="G2870" s="5" t="inlineStr">
        <is>
          <t>Quality Analyst</t>
        </is>
      </c>
      <c r="H2870" s="5" t="inlineStr">
        <is>
          <t>2</t>
        </is>
      </c>
      <c r="I2870" s="5" t="inlineStr">
        <is>
          <t>Delhi</t>
        </is>
      </c>
      <c r="J2870" s="5" t="inlineStr">
        <is>
          <t>Full-Time</t>
        </is>
      </c>
      <c r="K2870" s="7" t="n">
        <v>45730</v>
      </c>
      <c r="L2870" s="7" t="inlineStr"/>
      <c r="M2870" s="5" t="inlineStr">
        <is>
          <t>Yes</t>
        </is>
      </c>
      <c r="N2870" s="5" t="inlineStr"/>
      <c r="O2870" s="8" t="inlineStr">
        <is>
          <t>69500</t>
        </is>
      </c>
      <c r="P2870" s="5" t="inlineStr">
        <is>
          <t>20</t>
        </is>
      </c>
      <c r="Q2870" s="5" t="inlineStr">
        <is>
          <t>5</t>
        </is>
      </c>
      <c r="R2870" s="5" t="inlineStr">
        <is>
          <t>8</t>
        </is>
      </c>
      <c r="S2870" s="5" t="inlineStr">
        <is>
          <t>9</t>
        </is>
      </c>
      <c r="T2870" s="5" t="inlineStr">
        <is>
          <t>2</t>
        </is>
      </c>
      <c r="U2870" s="5">
        <f>IFS(C2870&lt;30,"Under 30",C2870&lt;40,"30-39",C2870&lt;50,"40-49",TRUE,"50+")</f>
        <v/>
      </c>
      <c r="V2870" s="5">
        <f>IFS(O2870&lt;60000,"Low (&lt;60k)",O2870&lt;100000,"Mid (60-100k)",TRUE,"High (100k+)")</f>
        <v/>
      </c>
      <c r="W2870" s="5">
        <f>IF(M2870="No","Attrited","Active")</f>
        <v/>
      </c>
    </row>
    <row r="2871">
      <c r="A2871" s="5" t="inlineStr">
        <is>
          <t>E02870</t>
        </is>
      </c>
      <c r="B2871" s="5" t="inlineStr">
        <is>
          <t>Male</t>
        </is>
      </c>
      <c r="C2871" s="6" t="inlineStr">
        <is>
          <t>32</t>
        </is>
      </c>
      <c r="D2871" s="5" t="inlineStr">
        <is>
          <t>Married</t>
        </is>
      </c>
      <c r="E2871" s="5" t="inlineStr">
        <is>
          <t>High School</t>
        </is>
      </c>
      <c r="F2871" s="5" t="inlineStr">
        <is>
          <t>Research &amp; Development</t>
        </is>
      </c>
      <c r="G2871" s="5" t="inlineStr">
        <is>
          <t>Product Engineer</t>
        </is>
      </c>
      <c r="H2871" s="5" t="inlineStr">
        <is>
          <t>2</t>
        </is>
      </c>
      <c r="I2871" s="5" t="inlineStr">
        <is>
          <t>Chennai</t>
        </is>
      </c>
      <c r="J2871" s="5" t="inlineStr">
        <is>
          <t>Full-Time</t>
        </is>
      </c>
      <c r="K2871" s="7" t="n">
        <v>45526</v>
      </c>
      <c r="L2871" s="7" t="inlineStr"/>
      <c r="M2871" s="5" t="inlineStr">
        <is>
          <t>Yes</t>
        </is>
      </c>
      <c r="N2871" s="5" t="inlineStr"/>
      <c r="O2871" s="8" t="inlineStr">
        <is>
          <t>178500</t>
        </is>
      </c>
      <c r="P2871" s="5" t="inlineStr">
        <is>
          <t>10</t>
        </is>
      </c>
      <c r="Q2871" s="5" t="inlineStr">
        <is>
          <t>5</t>
        </is>
      </c>
      <c r="R2871" s="5" t="inlineStr">
        <is>
          <t>8</t>
        </is>
      </c>
      <c r="S2871" s="5" t="inlineStr">
        <is>
          <t>16</t>
        </is>
      </c>
      <c r="T2871" s="5" t="inlineStr">
        <is>
          <t>0</t>
        </is>
      </c>
      <c r="U2871" s="5">
        <f>IFS(C2871&lt;30,"Under 30",C2871&lt;40,"30-39",C2871&lt;50,"40-49",TRUE,"50+")</f>
        <v/>
      </c>
      <c r="V2871" s="5">
        <f>IFS(O2871&lt;60000,"Low (&lt;60k)",O2871&lt;100000,"Mid (60-100k)",TRUE,"High (100k+)")</f>
        <v/>
      </c>
      <c r="W2871" s="5">
        <f>IF(M2871="No","Attrited","Active")</f>
        <v/>
      </c>
    </row>
    <row r="2872">
      <c r="A2872" s="5" t="inlineStr">
        <is>
          <t>E02871</t>
        </is>
      </c>
      <c r="B2872" s="5" t="inlineStr">
        <is>
          <t>Female</t>
        </is>
      </c>
      <c r="C2872" s="6" t="inlineStr">
        <is>
          <t>33</t>
        </is>
      </c>
      <c r="D2872" s="5" t="inlineStr">
        <is>
          <t>Single</t>
        </is>
      </c>
      <c r="E2872" s="5" t="inlineStr">
        <is>
          <t>High School</t>
        </is>
      </c>
      <c r="F2872" s="5" t="inlineStr">
        <is>
          <t>IT</t>
        </is>
      </c>
      <c r="G2872" s="5" t="inlineStr">
        <is>
          <t>Software Engineer</t>
        </is>
      </c>
      <c r="H2872" s="5" t="inlineStr">
        <is>
          <t>5</t>
        </is>
      </c>
      <c r="I2872" s="5" t="inlineStr">
        <is>
          <t>Delhi</t>
        </is>
      </c>
      <c r="J2872" s="5" t="inlineStr">
        <is>
          <t>Contract</t>
        </is>
      </c>
      <c r="K2872" s="7" t="n">
        <v>46002</v>
      </c>
      <c r="L2872" s="7" t="inlineStr"/>
      <c r="M2872" s="5" t="inlineStr">
        <is>
          <t>Yes</t>
        </is>
      </c>
      <c r="N2872" s="5" t="inlineStr"/>
      <c r="O2872" s="8" t="inlineStr">
        <is>
          <t>154500</t>
        </is>
      </c>
      <c r="P2872" s="5" t="inlineStr">
        <is>
          <t>0</t>
        </is>
      </c>
      <c r="Q2872" s="5" t="inlineStr">
        <is>
          <t>4</t>
        </is>
      </c>
      <c r="R2872" s="5" t="inlineStr">
        <is>
          <t>8</t>
        </is>
      </c>
      <c r="S2872" s="5" t="inlineStr">
        <is>
          <t>1</t>
        </is>
      </c>
      <c r="T2872" s="5" t="inlineStr">
        <is>
          <t>5</t>
        </is>
      </c>
      <c r="U2872" s="5">
        <f>IFS(C2872&lt;30,"Under 30",C2872&lt;40,"30-39",C2872&lt;50,"40-49",TRUE,"50+")</f>
        <v/>
      </c>
      <c r="V2872" s="5">
        <f>IFS(O2872&lt;60000,"Low (&lt;60k)",O2872&lt;100000,"Mid (60-100k)",TRUE,"High (100k+)")</f>
        <v/>
      </c>
      <c r="W2872" s="5">
        <f>IF(M2872="No","Attrited","Active")</f>
        <v/>
      </c>
    </row>
    <row r="2873">
      <c r="A2873" s="5" t="inlineStr">
        <is>
          <t>E02872</t>
        </is>
      </c>
      <c r="B2873" s="5" t="inlineStr">
        <is>
          <t>Female</t>
        </is>
      </c>
      <c r="C2873" s="6" t="inlineStr">
        <is>
          <t>27</t>
        </is>
      </c>
      <c r="D2873" s="5" t="inlineStr">
        <is>
          <t>Married</t>
        </is>
      </c>
      <c r="E2873" s="5" t="inlineStr">
        <is>
          <t>Master</t>
        </is>
      </c>
      <c r="F2873" s="5" t="inlineStr">
        <is>
          <t>Human Resources</t>
        </is>
      </c>
      <c r="G2873" s="5" t="inlineStr">
        <is>
          <t>HR Analyst</t>
        </is>
      </c>
      <c r="H2873" s="5" t="inlineStr">
        <is>
          <t>3</t>
        </is>
      </c>
      <c r="I2873" s="5" t="inlineStr">
        <is>
          <t>Hyderabad</t>
        </is>
      </c>
      <c r="J2873" s="5" t="inlineStr">
        <is>
          <t>Full-Time</t>
        </is>
      </c>
      <c r="K2873" s="7" t="n">
        <v>45216</v>
      </c>
      <c r="L2873" s="7" t="inlineStr"/>
      <c r="M2873" s="5" t="inlineStr">
        <is>
          <t>Yes</t>
        </is>
      </c>
      <c r="N2873" s="5" t="inlineStr"/>
      <c r="O2873" s="8" t="inlineStr">
        <is>
          <t>79000</t>
        </is>
      </c>
      <c r="P2873" s="5" t="inlineStr">
        <is>
          <t>0</t>
        </is>
      </c>
      <c r="Q2873" s="5" t="inlineStr">
        <is>
          <t>5</t>
        </is>
      </c>
      <c r="R2873" s="5" t="inlineStr">
        <is>
          <t>8</t>
        </is>
      </c>
      <c r="S2873" s="5" t="inlineStr">
        <is>
          <t>26</t>
        </is>
      </c>
      <c r="T2873" s="5" t="inlineStr">
        <is>
          <t>17</t>
        </is>
      </c>
      <c r="U2873" s="5">
        <f>IFS(C2873&lt;30,"Under 30",C2873&lt;40,"30-39",C2873&lt;50,"40-49",TRUE,"50+")</f>
        <v/>
      </c>
      <c r="V2873" s="5">
        <f>IFS(O2873&lt;60000,"Low (&lt;60k)",O2873&lt;100000,"Mid (60-100k)",TRUE,"High (100k+)")</f>
        <v/>
      </c>
      <c r="W2873" s="5">
        <f>IF(M2873="No","Attrited","Active")</f>
        <v/>
      </c>
    </row>
    <row r="2874">
      <c r="A2874" s="5" t="inlineStr">
        <is>
          <t>E02873</t>
        </is>
      </c>
      <c r="B2874" s="5" t="inlineStr">
        <is>
          <t>Male</t>
        </is>
      </c>
      <c r="C2874" s="6" t="inlineStr">
        <is>
          <t>35</t>
        </is>
      </c>
      <c r="D2874" s="5" t="inlineStr">
        <is>
          <t>Married</t>
        </is>
      </c>
      <c r="E2874" s="5" t="inlineStr">
        <is>
          <t>High School</t>
        </is>
      </c>
      <c r="F2874" s="5" t="inlineStr">
        <is>
          <t>IT</t>
        </is>
      </c>
      <c r="G2874" s="5" t="inlineStr">
        <is>
          <t>Software Engineer</t>
        </is>
      </c>
      <c r="H2874" s="5" t="inlineStr">
        <is>
          <t>3</t>
        </is>
      </c>
      <c r="I2874" s="5" t="inlineStr">
        <is>
          <t>Bengaluru</t>
        </is>
      </c>
      <c r="J2874" s="5" t="inlineStr">
        <is>
          <t>Contract</t>
        </is>
      </c>
      <c r="K2874" s="7" t="n">
        <v>45758</v>
      </c>
      <c r="L2874" s="7" t="inlineStr"/>
      <c r="M2874" s="5" t="inlineStr">
        <is>
          <t>Yes</t>
        </is>
      </c>
      <c r="N2874" s="5" t="inlineStr"/>
      <c r="O2874" s="8" t="inlineStr">
        <is>
          <t>160000</t>
        </is>
      </c>
      <c r="P2874" s="5" t="inlineStr">
        <is>
          <t>5</t>
        </is>
      </c>
      <c r="Q2874" s="5" t="inlineStr">
        <is>
          <t>3</t>
        </is>
      </c>
      <c r="R2874" s="5" t="inlineStr">
        <is>
          <t>6</t>
        </is>
      </c>
      <c r="S2874" s="5" t="inlineStr">
        <is>
          <t>8</t>
        </is>
      </c>
      <c r="T2874" s="5" t="inlineStr">
        <is>
          <t>0</t>
        </is>
      </c>
      <c r="U2874" s="5">
        <f>IFS(C2874&lt;30,"Under 30",C2874&lt;40,"30-39",C2874&lt;50,"40-49",TRUE,"50+")</f>
        <v/>
      </c>
      <c r="V2874" s="5">
        <f>IFS(O2874&lt;60000,"Low (&lt;60k)",O2874&lt;100000,"Mid (60-100k)",TRUE,"High (100k+)")</f>
        <v/>
      </c>
      <c r="W2874" s="5">
        <f>IF(M2874="No","Attrited","Active")</f>
        <v/>
      </c>
    </row>
    <row r="2875">
      <c r="A2875" s="5" t="inlineStr">
        <is>
          <t>E02874</t>
        </is>
      </c>
      <c r="B2875" s="5" t="inlineStr">
        <is>
          <t>Male</t>
        </is>
      </c>
      <c r="C2875" s="6" t="inlineStr">
        <is>
          <t>35</t>
        </is>
      </c>
      <c r="D2875" s="5" t="inlineStr">
        <is>
          <t>Married</t>
        </is>
      </c>
      <c r="E2875" s="5" t="inlineStr">
        <is>
          <t>PhD</t>
        </is>
      </c>
      <c r="F2875" s="5" t="inlineStr">
        <is>
          <t>Sales</t>
        </is>
      </c>
      <c r="G2875" s="5" t="inlineStr">
        <is>
          <t>Business Development</t>
        </is>
      </c>
      <c r="H2875" s="5" t="inlineStr">
        <is>
          <t>5</t>
        </is>
      </c>
      <c r="I2875" s="5" t="inlineStr">
        <is>
          <t>Hyderabad</t>
        </is>
      </c>
      <c r="J2875" s="5" t="inlineStr">
        <is>
          <t>Full-Time</t>
        </is>
      </c>
      <c r="K2875" s="7" t="n">
        <v>44294</v>
      </c>
      <c r="L2875" s="7" t="inlineStr"/>
      <c r="M2875" s="5" t="inlineStr">
        <is>
          <t>Yes</t>
        </is>
      </c>
      <c r="N2875" s="5" t="inlineStr"/>
      <c r="O2875" s="8" t="inlineStr">
        <is>
          <t>147000</t>
        </is>
      </c>
      <c r="P2875" s="5" t="inlineStr">
        <is>
          <t>5</t>
        </is>
      </c>
      <c r="Q2875" s="5" t="inlineStr">
        <is>
          <t>4</t>
        </is>
      </c>
      <c r="R2875" s="5" t="inlineStr">
        <is>
          <t>8</t>
        </is>
      </c>
      <c r="S2875" s="5" t="inlineStr">
        <is>
          <t>57</t>
        </is>
      </c>
      <c r="T2875" s="5" t="inlineStr">
        <is>
          <t>7</t>
        </is>
      </c>
      <c r="U2875" s="5">
        <f>IFS(C2875&lt;30,"Under 30",C2875&lt;40,"30-39",C2875&lt;50,"40-49",TRUE,"50+")</f>
        <v/>
      </c>
      <c r="V2875" s="5">
        <f>IFS(O2875&lt;60000,"Low (&lt;60k)",O2875&lt;100000,"Mid (60-100k)",TRUE,"High (100k+)")</f>
        <v/>
      </c>
      <c r="W2875" s="5">
        <f>IF(M2875="No","Attrited","Active")</f>
        <v/>
      </c>
    </row>
    <row r="2876">
      <c r="A2876" s="5" t="inlineStr">
        <is>
          <t>E02875</t>
        </is>
      </c>
      <c r="B2876" s="5" t="inlineStr">
        <is>
          <t>Female</t>
        </is>
      </c>
      <c r="C2876" s="6" t="inlineStr">
        <is>
          <t>28</t>
        </is>
      </c>
      <c r="D2876" s="5" t="inlineStr">
        <is>
          <t>Married</t>
        </is>
      </c>
      <c r="E2876" s="5" t="inlineStr">
        <is>
          <t>Bachelor</t>
        </is>
      </c>
      <c r="F2876" s="5" t="inlineStr">
        <is>
          <t>Finance</t>
        </is>
      </c>
      <c r="G2876" s="5" t="inlineStr">
        <is>
          <t>Financial Analyst</t>
        </is>
      </c>
      <c r="H2876" s="5" t="inlineStr">
        <is>
          <t>2</t>
        </is>
      </c>
      <c r="I2876" s="5" t="inlineStr">
        <is>
          <t>Mumbai</t>
        </is>
      </c>
      <c r="J2876" s="5" t="inlineStr">
        <is>
          <t>Full-Time</t>
        </is>
      </c>
      <c r="K2876" s="7" t="n">
        <v>45010</v>
      </c>
      <c r="L2876" s="7" t="inlineStr"/>
      <c r="M2876" s="5" t="inlineStr">
        <is>
          <t>Yes</t>
        </is>
      </c>
      <c r="N2876" s="5" t="inlineStr"/>
      <c r="O2876" s="8" t="inlineStr">
        <is>
          <t>121000</t>
        </is>
      </c>
      <c r="P2876" s="5" t="inlineStr">
        <is>
          <t>5</t>
        </is>
      </c>
      <c r="Q2876" s="5" t="inlineStr">
        <is>
          <t>5</t>
        </is>
      </c>
      <c r="R2876" s="5" t="inlineStr">
        <is>
          <t>2</t>
        </is>
      </c>
      <c r="S2876" s="5" t="inlineStr">
        <is>
          <t>33</t>
        </is>
      </c>
      <c r="T2876" s="5" t="inlineStr">
        <is>
          <t>6</t>
        </is>
      </c>
      <c r="U2876" s="5">
        <f>IFS(C2876&lt;30,"Under 30",C2876&lt;40,"30-39",C2876&lt;50,"40-49",TRUE,"50+")</f>
        <v/>
      </c>
      <c r="V2876" s="5">
        <f>IFS(O2876&lt;60000,"Low (&lt;60k)",O2876&lt;100000,"Mid (60-100k)",TRUE,"High (100k+)")</f>
        <v/>
      </c>
      <c r="W2876" s="5">
        <f>IF(M2876="No","Attrited","Active")</f>
        <v/>
      </c>
    </row>
    <row r="2877">
      <c r="A2877" s="5" t="inlineStr">
        <is>
          <t>E02876</t>
        </is>
      </c>
      <c r="B2877" s="5" t="inlineStr">
        <is>
          <t>Male</t>
        </is>
      </c>
      <c r="C2877" s="6" t="inlineStr">
        <is>
          <t>29</t>
        </is>
      </c>
      <c r="D2877" s="5" t="inlineStr">
        <is>
          <t>Married</t>
        </is>
      </c>
      <c r="E2877" s="5" t="inlineStr">
        <is>
          <t>Diploma</t>
        </is>
      </c>
      <c r="F2877" s="5" t="inlineStr">
        <is>
          <t>Operations</t>
        </is>
      </c>
      <c r="G2877" s="5" t="inlineStr">
        <is>
          <t>Logistics Coordinator</t>
        </is>
      </c>
      <c r="H2877" s="5" t="inlineStr">
        <is>
          <t>3</t>
        </is>
      </c>
      <c r="I2877" s="5" t="inlineStr">
        <is>
          <t>Delhi</t>
        </is>
      </c>
      <c r="J2877" s="5" t="inlineStr">
        <is>
          <t>Full-Time</t>
        </is>
      </c>
      <c r="K2877" s="7" t="n">
        <v>44980</v>
      </c>
      <c r="L2877" s="7" t="n">
        <v>45090</v>
      </c>
      <c r="M2877" s="5" t="inlineStr">
        <is>
          <t>No</t>
        </is>
      </c>
      <c r="N2877" s="5" t="inlineStr">
        <is>
          <t>Resigned</t>
        </is>
      </c>
      <c r="O2877" s="8" t="inlineStr">
        <is>
          <t>109000</t>
        </is>
      </c>
      <c r="P2877" s="5" t="inlineStr">
        <is>
          <t>0</t>
        </is>
      </c>
      <c r="Q2877" s="5" t="inlineStr">
        <is>
          <t>4</t>
        </is>
      </c>
      <c r="R2877" s="5" t="inlineStr">
        <is>
          <t>7</t>
        </is>
      </c>
      <c r="S2877" s="5" t="inlineStr">
        <is>
          <t>3</t>
        </is>
      </c>
      <c r="T2877" s="5" t="inlineStr">
        <is>
          <t>18</t>
        </is>
      </c>
      <c r="U2877" s="5">
        <f>IFS(C2877&lt;30,"Under 30",C2877&lt;40,"30-39",C2877&lt;50,"40-49",TRUE,"50+")</f>
        <v/>
      </c>
      <c r="V2877" s="5">
        <f>IFS(O2877&lt;60000,"Low (&lt;60k)",O2877&lt;100000,"Mid (60-100k)",TRUE,"High (100k+)")</f>
        <v/>
      </c>
      <c r="W2877" s="5">
        <f>IF(M2877="No","Attrited","Active")</f>
        <v/>
      </c>
    </row>
    <row r="2878">
      <c r="A2878" s="5" t="inlineStr">
        <is>
          <t>E02877</t>
        </is>
      </c>
      <c r="B2878" s="5" t="inlineStr">
        <is>
          <t>Female</t>
        </is>
      </c>
      <c r="C2878" s="6" t="inlineStr">
        <is>
          <t>29</t>
        </is>
      </c>
      <c r="D2878" s="5" t="inlineStr">
        <is>
          <t>Married</t>
        </is>
      </c>
      <c r="E2878" s="5" t="inlineStr">
        <is>
          <t>High School</t>
        </is>
      </c>
      <c r="F2878" s="5" t="inlineStr">
        <is>
          <t>Finance</t>
        </is>
      </c>
      <c r="G2878" s="5" t="inlineStr">
        <is>
          <t>Financial Analyst</t>
        </is>
      </c>
      <c r="H2878" s="5" t="inlineStr">
        <is>
          <t>3</t>
        </is>
      </c>
      <c r="I2878" s="5" t="inlineStr">
        <is>
          <t>Hyderabad</t>
        </is>
      </c>
      <c r="J2878" s="5" t="inlineStr">
        <is>
          <t>Full-Time</t>
        </is>
      </c>
      <c r="K2878" s="7" t="n">
        <v>44524</v>
      </c>
      <c r="L2878" s="7" t="inlineStr"/>
      <c r="M2878" s="5" t="inlineStr">
        <is>
          <t>Yes</t>
        </is>
      </c>
      <c r="N2878" s="5" t="inlineStr"/>
      <c r="O2878" s="8" t="inlineStr">
        <is>
          <t>143000</t>
        </is>
      </c>
      <c r="P2878" s="5" t="inlineStr">
        <is>
          <t>10</t>
        </is>
      </c>
      <c r="Q2878" s="5" t="inlineStr">
        <is>
          <t>3</t>
        </is>
      </c>
      <c r="R2878" s="5" t="inlineStr">
        <is>
          <t>10</t>
        </is>
      </c>
      <c r="S2878" s="5" t="inlineStr">
        <is>
          <t>49</t>
        </is>
      </c>
      <c r="T2878" s="5" t="inlineStr">
        <is>
          <t>7</t>
        </is>
      </c>
      <c r="U2878" s="5">
        <f>IFS(C2878&lt;30,"Under 30",C2878&lt;40,"30-39",C2878&lt;50,"40-49",TRUE,"50+")</f>
        <v/>
      </c>
      <c r="V2878" s="5">
        <f>IFS(O2878&lt;60000,"Low (&lt;60k)",O2878&lt;100000,"Mid (60-100k)",TRUE,"High (100k+)")</f>
        <v/>
      </c>
      <c r="W2878" s="5">
        <f>IF(M2878="No","Attrited","Active")</f>
        <v/>
      </c>
    </row>
    <row r="2879">
      <c r="A2879" s="5" t="inlineStr">
        <is>
          <t>E02878</t>
        </is>
      </c>
      <c r="B2879" s="5" t="inlineStr">
        <is>
          <t>Female</t>
        </is>
      </c>
      <c r="C2879" s="6" t="inlineStr">
        <is>
          <t>33</t>
        </is>
      </c>
      <c r="D2879" s="5" t="inlineStr">
        <is>
          <t>Married</t>
        </is>
      </c>
      <c r="E2879" s="5" t="inlineStr">
        <is>
          <t>Bachelor</t>
        </is>
      </c>
      <c r="F2879" s="5" t="inlineStr">
        <is>
          <t>Customer Support</t>
        </is>
      </c>
      <c r="G2879" s="5" t="inlineStr">
        <is>
          <t>Support Lead</t>
        </is>
      </c>
      <c r="H2879" s="5" t="inlineStr">
        <is>
          <t>4</t>
        </is>
      </c>
      <c r="I2879" s="5" t="inlineStr">
        <is>
          <t>Delhi</t>
        </is>
      </c>
      <c r="J2879" s="5" t="inlineStr">
        <is>
          <t>Full-Time</t>
        </is>
      </c>
      <c r="K2879" s="7" t="n">
        <v>44766</v>
      </c>
      <c r="L2879" s="7" t="inlineStr"/>
      <c r="M2879" s="5" t="inlineStr">
        <is>
          <t>Yes</t>
        </is>
      </c>
      <c r="N2879" s="5" t="inlineStr"/>
      <c r="O2879" s="8" t="inlineStr">
        <is>
          <t>69000</t>
        </is>
      </c>
      <c r="P2879" s="5" t="inlineStr">
        <is>
          <t>0</t>
        </is>
      </c>
      <c r="Q2879" s="5" t="inlineStr">
        <is>
          <t>3</t>
        </is>
      </c>
      <c r="R2879" s="5" t="inlineStr">
        <is>
          <t>8</t>
        </is>
      </c>
      <c r="S2879" s="5" t="inlineStr">
        <is>
          <t>41</t>
        </is>
      </c>
      <c r="T2879" s="5" t="inlineStr">
        <is>
          <t>8</t>
        </is>
      </c>
      <c r="U2879" s="5">
        <f>IFS(C2879&lt;30,"Under 30",C2879&lt;40,"30-39",C2879&lt;50,"40-49",TRUE,"50+")</f>
        <v/>
      </c>
      <c r="V2879" s="5">
        <f>IFS(O2879&lt;60000,"Low (&lt;60k)",O2879&lt;100000,"Mid (60-100k)",TRUE,"High (100k+)")</f>
        <v/>
      </c>
      <c r="W2879" s="5">
        <f>IF(M2879="No","Attrited","Active")</f>
        <v/>
      </c>
    </row>
    <row r="2880">
      <c r="A2880" s="5" t="inlineStr">
        <is>
          <t>E02879</t>
        </is>
      </c>
      <c r="B2880" s="5" t="inlineStr">
        <is>
          <t>Female</t>
        </is>
      </c>
      <c r="C2880" s="6" t="inlineStr">
        <is>
          <t>25</t>
        </is>
      </c>
      <c r="D2880" s="5" t="inlineStr">
        <is>
          <t>Married</t>
        </is>
      </c>
      <c r="E2880" s="5" t="inlineStr">
        <is>
          <t>High School</t>
        </is>
      </c>
      <c r="F2880" s="5" t="inlineStr">
        <is>
          <t>Customer Support</t>
        </is>
      </c>
      <c r="G2880" s="5" t="inlineStr">
        <is>
          <t>Support Lead</t>
        </is>
      </c>
      <c r="H2880" s="5" t="inlineStr">
        <is>
          <t>1</t>
        </is>
      </c>
      <c r="I2880" s="5" t="inlineStr">
        <is>
          <t>Chennai</t>
        </is>
      </c>
      <c r="J2880" s="5" t="inlineStr">
        <is>
          <t>Full-Time</t>
        </is>
      </c>
      <c r="K2880" s="7" t="n">
        <v>45445</v>
      </c>
      <c r="L2880" s="7" t="inlineStr"/>
      <c r="M2880" s="5" t="inlineStr">
        <is>
          <t>Yes</t>
        </is>
      </c>
      <c r="N2880" s="5" t="inlineStr"/>
      <c r="O2880" s="8" t="inlineStr">
        <is>
          <t>65500</t>
        </is>
      </c>
      <c r="P2880" s="5" t="inlineStr">
        <is>
          <t>0</t>
        </is>
      </c>
      <c r="Q2880" s="5" t="inlineStr">
        <is>
          <t>3</t>
        </is>
      </c>
      <c r="R2880" s="5" t="inlineStr">
        <is>
          <t>5</t>
        </is>
      </c>
      <c r="S2880" s="5" t="inlineStr">
        <is>
          <t>19</t>
        </is>
      </c>
      <c r="T2880" s="5" t="inlineStr">
        <is>
          <t>5</t>
        </is>
      </c>
      <c r="U2880" s="5">
        <f>IFS(C2880&lt;30,"Under 30",C2880&lt;40,"30-39",C2880&lt;50,"40-49",TRUE,"50+")</f>
        <v/>
      </c>
      <c r="V2880" s="5">
        <f>IFS(O2880&lt;60000,"Low (&lt;60k)",O2880&lt;100000,"Mid (60-100k)",TRUE,"High (100k+)")</f>
        <v/>
      </c>
      <c r="W2880" s="5">
        <f>IF(M2880="No","Attrited","Active")</f>
        <v/>
      </c>
    </row>
    <row r="2881">
      <c r="A2881" s="5" t="inlineStr">
        <is>
          <t>E02880</t>
        </is>
      </c>
      <c r="B2881" s="5" t="inlineStr">
        <is>
          <t>Male</t>
        </is>
      </c>
      <c r="C2881" s="6" t="inlineStr">
        <is>
          <t>28</t>
        </is>
      </c>
      <c r="D2881" s="5" t="inlineStr">
        <is>
          <t>Married</t>
        </is>
      </c>
      <c r="E2881" s="5" t="inlineStr">
        <is>
          <t>High School</t>
        </is>
      </c>
      <c r="F2881" s="5" t="inlineStr">
        <is>
          <t>Marketing</t>
        </is>
      </c>
      <c r="G2881" s="5" t="inlineStr">
        <is>
          <t>Marketing Analyst</t>
        </is>
      </c>
      <c r="H2881" s="5" t="inlineStr">
        <is>
          <t>3</t>
        </is>
      </c>
      <c r="I2881" s="5" t="inlineStr">
        <is>
          <t>Hyderabad</t>
        </is>
      </c>
      <c r="J2881" s="5" t="inlineStr">
        <is>
          <t>Part-Time</t>
        </is>
      </c>
      <c r="K2881" s="7" t="n">
        <v>44628</v>
      </c>
      <c r="L2881" s="7" t="inlineStr"/>
      <c r="M2881" s="5" t="inlineStr">
        <is>
          <t>Yes</t>
        </is>
      </c>
      <c r="N2881" s="5" t="inlineStr"/>
      <c r="O2881" s="8" t="inlineStr">
        <is>
          <t>78000</t>
        </is>
      </c>
      <c r="P2881" s="5" t="inlineStr">
        <is>
          <t>0</t>
        </is>
      </c>
      <c r="Q2881" s="5" t="inlineStr">
        <is>
          <t>4</t>
        </is>
      </c>
      <c r="R2881" s="5" t="inlineStr">
        <is>
          <t>7</t>
        </is>
      </c>
      <c r="S2881" s="5" t="inlineStr">
        <is>
          <t>46</t>
        </is>
      </c>
      <c r="T2881" s="5" t="inlineStr">
        <is>
          <t>8</t>
        </is>
      </c>
      <c r="U2881" s="5">
        <f>IFS(C2881&lt;30,"Under 30",C2881&lt;40,"30-39",C2881&lt;50,"40-49",TRUE,"50+")</f>
        <v/>
      </c>
      <c r="V2881" s="5">
        <f>IFS(O2881&lt;60000,"Low (&lt;60k)",O2881&lt;100000,"Mid (60-100k)",TRUE,"High (100k+)")</f>
        <v/>
      </c>
      <c r="W2881" s="5">
        <f>IF(M2881="No","Attrited","Active")</f>
        <v/>
      </c>
    </row>
    <row r="2882">
      <c r="A2882" s="5" t="inlineStr">
        <is>
          <t>E02881</t>
        </is>
      </c>
      <c r="B2882" s="5" t="inlineStr">
        <is>
          <t>Male</t>
        </is>
      </c>
      <c r="C2882" s="6" t="inlineStr">
        <is>
          <t>35</t>
        </is>
      </c>
      <c r="D2882" s="5" t="inlineStr">
        <is>
          <t>Married</t>
        </is>
      </c>
      <c r="E2882" s="5" t="inlineStr">
        <is>
          <t>PhD</t>
        </is>
      </c>
      <c r="F2882" s="5" t="inlineStr">
        <is>
          <t>Finance</t>
        </is>
      </c>
      <c r="G2882" s="5" t="inlineStr">
        <is>
          <t>Financial Analyst</t>
        </is>
      </c>
      <c r="H2882" s="5" t="inlineStr">
        <is>
          <t>2</t>
        </is>
      </c>
      <c r="I2882" s="5" t="inlineStr">
        <is>
          <t>Remote</t>
        </is>
      </c>
      <c r="J2882" s="5" t="inlineStr">
        <is>
          <t>Full-Time</t>
        </is>
      </c>
      <c r="K2882" s="7" t="n">
        <v>44006</v>
      </c>
      <c r="L2882" s="7" t="inlineStr"/>
      <c r="M2882" s="5" t="inlineStr">
        <is>
          <t>Yes</t>
        </is>
      </c>
      <c r="N2882" s="5" t="inlineStr"/>
      <c r="O2882" s="8" t="inlineStr">
        <is>
          <t>122000</t>
        </is>
      </c>
      <c r="P2882" s="5" t="inlineStr">
        <is>
          <t>15</t>
        </is>
      </c>
      <c r="Q2882" s="5" t="inlineStr">
        <is>
          <t>4</t>
        </is>
      </c>
      <c r="R2882" s="5" t="inlineStr">
        <is>
          <t>10</t>
        </is>
      </c>
      <c r="S2882" s="5" t="inlineStr">
        <is>
          <t>67</t>
        </is>
      </c>
      <c r="T2882" s="5" t="inlineStr">
        <is>
          <t>11</t>
        </is>
      </c>
      <c r="U2882" s="5">
        <f>IFS(C2882&lt;30,"Under 30",C2882&lt;40,"30-39",C2882&lt;50,"40-49",TRUE,"50+")</f>
        <v/>
      </c>
      <c r="V2882" s="5">
        <f>IFS(O2882&lt;60000,"Low (&lt;60k)",O2882&lt;100000,"Mid (60-100k)",TRUE,"High (100k+)")</f>
        <v/>
      </c>
      <c r="W2882" s="5">
        <f>IF(M2882="No","Attrited","Active")</f>
        <v/>
      </c>
    </row>
    <row r="2883">
      <c r="A2883" s="5" t="inlineStr">
        <is>
          <t>E02882</t>
        </is>
      </c>
      <c r="B2883" s="5" t="inlineStr">
        <is>
          <t>Female</t>
        </is>
      </c>
      <c r="C2883" s="6" t="inlineStr">
        <is>
          <t>43</t>
        </is>
      </c>
      <c r="D2883" s="5" t="inlineStr">
        <is>
          <t>Single</t>
        </is>
      </c>
      <c r="E2883" s="5" t="inlineStr">
        <is>
          <t>Diploma</t>
        </is>
      </c>
      <c r="F2883" s="5" t="inlineStr">
        <is>
          <t>IT</t>
        </is>
      </c>
      <c r="G2883" s="5" t="inlineStr">
        <is>
          <t>IT Support</t>
        </is>
      </c>
      <c r="H2883" s="5" t="inlineStr">
        <is>
          <t>7</t>
        </is>
      </c>
      <c r="I2883" s="5" t="inlineStr">
        <is>
          <t>Chennai</t>
        </is>
      </c>
      <c r="J2883" s="5" t="inlineStr">
        <is>
          <t>Full-Time</t>
        </is>
      </c>
      <c r="K2883" s="7" t="n">
        <v>44218</v>
      </c>
      <c r="L2883" s="7" t="inlineStr"/>
      <c r="M2883" s="5" t="inlineStr">
        <is>
          <t>Yes</t>
        </is>
      </c>
      <c r="N2883" s="5" t="inlineStr"/>
      <c r="O2883" s="8" t="inlineStr">
        <is>
          <t>166500</t>
        </is>
      </c>
      <c r="P2883" s="5" t="inlineStr">
        <is>
          <t>0</t>
        </is>
      </c>
      <c r="Q2883" s="5" t="inlineStr">
        <is>
          <t>4</t>
        </is>
      </c>
      <c r="R2883" s="5" t="inlineStr">
        <is>
          <t>7</t>
        </is>
      </c>
      <c r="S2883" s="5" t="inlineStr">
        <is>
          <t>60</t>
        </is>
      </c>
      <c r="T2883" s="5" t="inlineStr">
        <is>
          <t>13</t>
        </is>
      </c>
      <c r="U2883" s="5">
        <f>IFS(C2883&lt;30,"Under 30",C2883&lt;40,"30-39",C2883&lt;50,"40-49",TRUE,"50+")</f>
        <v/>
      </c>
      <c r="V2883" s="5">
        <f>IFS(O2883&lt;60000,"Low (&lt;60k)",O2883&lt;100000,"Mid (60-100k)",TRUE,"High (100k+)")</f>
        <v/>
      </c>
      <c r="W2883" s="5">
        <f>IF(M2883="No","Attrited","Active")</f>
        <v/>
      </c>
    </row>
    <row r="2884">
      <c r="A2884" s="5" t="inlineStr">
        <is>
          <t>E02883</t>
        </is>
      </c>
      <c r="B2884" s="5" t="inlineStr">
        <is>
          <t>Female</t>
        </is>
      </c>
      <c r="C2884" s="6" t="inlineStr">
        <is>
          <t>37</t>
        </is>
      </c>
      <c r="D2884" s="5" t="inlineStr">
        <is>
          <t>Married</t>
        </is>
      </c>
      <c r="E2884" s="5" t="inlineStr">
        <is>
          <t>Bachelor</t>
        </is>
      </c>
      <c r="F2884" s="5" t="inlineStr">
        <is>
          <t>Finance</t>
        </is>
      </c>
      <c r="G2884" s="5" t="inlineStr">
        <is>
          <t>Accountant</t>
        </is>
      </c>
      <c r="H2884" s="5" t="inlineStr">
        <is>
          <t>3</t>
        </is>
      </c>
      <c r="I2884" s="5" t="inlineStr">
        <is>
          <t>Bengaluru</t>
        </is>
      </c>
      <c r="J2884" s="5" t="inlineStr">
        <is>
          <t>Full-Time</t>
        </is>
      </c>
      <c r="K2884" s="7" t="n">
        <v>45974</v>
      </c>
      <c r="L2884" s="7" t="inlineStr"/>
      <c r="M2884" s="5" t="inlineStr">
        <is>
          <t>Yes</t>
        </is>
      </c>
      <c r="N2884" s="5" t="inlineStr"/>
      <c r="O2884" s="8" t="inlineStr">
        <is>
          <t>93500</t>
        </is>
      </c>
      <c r="P2884" s="5" t="inlineStr">
        <is>
          <t>0</t>
        </is>
      </c>
      <c r="Q2884" s="5" t="inlineStr">
        <is>
          <t>4</t>
        </is>
      </c>
      <c r="R2884" s="5" t="inlineStr">
        <is>
          <t>6</t>
        </is>
      </c>
      <c r="S2884" s="5" t="inlineStr">
        <is>
          <t>1</t>
        </is>
      </c>
      <c r="T2884" s="5" t="inlineStr">
        <is>
          <t>5</t>
        </is>
      </c>
      <c r="U2884" s="5">
        <f>IFS(C2884&lt;30,"Under 30",C2884&lt;40,"30-39",C2884&lt;50,"40-49",TRUE,"50+")</f>
        <v/>
      </c>
      <c r="V2884" s="5">
        <f>IFS(O2884&lt;60000,"Low (&lt;60k)",O2884&lt;100000,"Mid (60-100k)",TRUE,"High (100k+)")</f>
        <v/>
      </c>
      <c r="W2884" s="5">
        <f>IF(M2884="No","Attrited","Active")</f>
        <v/>
      </c>
    </row>
    <row r="2885">
      <c r="A2885" s="5" t="inlineStr">
        <is>
          <t>E02884</t>
        </is>
      </c>
      <c r="B2885" s="5" t="inlineStr">
        <is>
          <t>Male</t>
        </is>
      </c>
      <c r="C2885" s="6" t="inlineStr">
        <is>
          <t>30</t>
        </is>
      </c>
      <c r="D2885" s="5" t="inlineStr">
        <is>
          <t>Single</t>
        </is>
      </c>
      <c r="E2885" s="5" t="inlineStr">
        <is>
          <t>Diploma</t>
        </is>
      </c>
      <c r="F2885" s="5" t="inlineStr">
        <is>
          <t>Research &amp; Development</t>
        </is>
      </c>
      <c r="G2885" s="5" t="inlineStr">
        <is>
          <t>Research Scientist</t>
        </is>
      </c>
      <c r="H2885" s="5" t="inlineStr">
        <is>
          <t>4</t>
        </is>
      </c>
      <c r="I2885" s="5" t="inlineStr">
        <is>
          <t>Delhi</t>
        </is>
      </c>
      <c r="J2885" s="5" t="inlineStr">
        <is>
          <t>Full-Time</t>
        </is>
      </c>
      <c r="K2885" s="7" t="n">
        <v>45188</v>
      </c>
      <c r="L2885" s="7" t="inlineStr"/>
      <c r="M2885" s="5" t="inlineStr">
        <is>
          <t>Yes</t>
        </is>
      </c>
      <c r="N2885" s="5" t="inlineStr"/>
      <c r="O2885" s="8" t="inlineStr">
        <is>
          <t>212500</t>
        </is>
      </c>
      <c r="P2885" s="5" t="inlineStr">
        <is>
          <t>10</t>
        </is>
      </c>
      <c r="Q2885" s="5" t="inlineStr">
        <is>
          <t>5</t>
        </is>
      </c>
      <c r="R2885" s="5" t="inlineStr">
        <is>
          <t>8</t>
        </is>
      </c>
      <c r="S2885" s="5" t="inlineStr">
        <is>
          <t>27</t>
        </is>
      </c>
      <c r="T2885" s="5" t="inlineStr">
        <is>
          <t>9</t>
        </is>
      </c>
      <c r="U2885" s="5">
        <f>IFS(C2885&lt;30,"Under 30",C2885&lt;40,"30-39",C2885&lt;50,"40-49",TRUE,"50+")</f>
        <v/>
      </c>
      <c r="V2885" s="5">
        <f>IFS(O2885&lt;60000,"Low (&lt;60k)",O2885&lt;100000,"Mid (60-100k)",TRUE,"High (100k+)")</f>
        <v/>
      </c>
      <c r="W2885" s="5">
        <f>IF(M2885="No","Attrited","Active")</f>
        <v/>
      </c>
    </row>
    <row r="2886">
      <c r="A2886" s="5" t="inlineStr">
        <is>
          <t>E02885</t>
        </is>
      </c>
      <c r="B2886" s="5" t="inlineStr">
        <is>
          <t>Female</t>
        </is>
      </c>
      <c r="C2886" s="6" t="inlineStr">
        <is>
          <t>32</t>
        </is>
      </c>
      <c r="D2886" s="5" t="inlineStr">
        <is>
          <t>Married</t>
        </is>
      </c>
      <c r="E2886" s="5" t="inlineStr">
        <is>
          <t>Bachelor</t>
        </is>
      </c>
      <c r="F2886" s="5" t="inlineStr">
        <is>
          <t>Finance</t>
        </is>
      </c>
      <c r="G2886" s="5" t="inlineStr">
        <is>
          <t>Financial Analyst</t>
        </is>
      </c>
      <c r="H2886" s="5" t="inlineStr">
        <is>
          <t>3</t>
        </is>
      </c>
      <c r="I2886" s="5" t="inlineStr">
        <is>
          <t>Remote</t>
        </is>
      </c>
      <c r="J2886" s="5" t="inlineStr">
        <is>
          <t>Full-Time</t>
        </is>
      </c>
      <c r="K2886" s="7" t="n">
        <v>44528</v>
      </c>
      <c r="L2886" s="7" t="inlineStr"/>
      <c r="M2886" s="5" t="inlineStr">
        <is>
          <t>Yes</t>
        </is>
      </c>
      <c r="N2886" s="5" t="inlineStr"/>
      <c r="O2886" s="8" t="inlineStr">
        <is>
          <t>90500</t>
        </is>
      </c>
      <c r="P2886" s="5" t="inlineStr">
        <is>
          <t>0</t>
        </is>
      </c>
      <c r="Q2886" s="5" t="inlineStr">
        <is>
          <t>4</t>
        </is>
      </c>
      <c r="R2886" s="5" t="inlineStr">
        <is>
          <t>4</t>
        </is>
      </c>
      <c r="S2886" s="5" t="inlineStr">
        <is>
          <t>49</t>
        </is>
      </c>
      <c r="T2886" s="5" t="inlineStr">
        <is>
          <t>12</t>
        </is>
      </c>
      <c r="U2886" s="5">
        <f>IFS(C2886&lt;30,"Under 30",C2886&lt;40,"30-39",C2886&lt;50,"40-49",TRUE,"50+")</f>
        <v/>
      </c>
      <c r="V2886" s="5">
        <f>IFS(O2886&lt;60000,"Low (&lt;60k)",O2886&lt;100000,"Mid (60-100k)",TRUE,"High (100k+)")</f>
        <v/>
      </c>
      <c r="W2886" s="5">
        <f>IF(M2886="No","Attrited","Active")</f>
        <v/>
      </c>
    </row>
    <row r="2887">
      <c r="A2887" s="5" t="inlineStr">
        <is>
          <t>E02886</t>
        </is>
      </c>
      <c r="B2887" s="5" t="inlineStr">
        <is>
          <t>Female</t>
        </is>
      </c>
      <c r="C2887" s="6" t="inlineStr">
        <is>
          <t>25</t>
        </is>
      </c>
      <c r="D2887" s="5" t="inlineStr">
        <is>
          <t>Married</t>
        </is>
      </c>
      <c r="E2887" s="5" t="inlineStr">
        <is>
          <t>High School</t>
        </is>
      </c>
      <c r="F2887" s="5" t="inlineStr">
        <is>
          <t>Finance</t>
        </is>
      </c>
      <c r="G2887" s="5" t="inlineStr">
        <is>
          <t>Financial Analyst</t>
        </is>
      </c>
      <c r="H2887" s="5" t="inlineStr">
        <is>
          <t>1</t>
        </is>
      </c>
      <c r="I2887" s="5" t="inlineStr">
        <is>
          <t>Remote</t>
        </is>
      </c>
      <c r="J2887" s="5" t="inlineStr">
        <is>
          <t>Full-Time</t>
        </is>
      </c>
      <c r="K2887" s="7" t="n">
        <v>44356</v>
      </c>
      <c r="L2887" s="7" t="inlineStr"/>
      <c r="M2887" s="5" t="inlineStr">
        <is>
          <t>Yes</t>
        </is>
      </c>
      <c r="N2887" s="5" t="inlineStr"/>
      <c r="O2887" s="8" t="inlineStr">
        <is>
          <t>111000</t>
        </is>
      </c>
      <c r="P2887" s="5" t="inlineStr">
        <is>
          <t>0</t>
        </is>
      </c>
      <c r="Q2887" s="5" t="inlineStr">
        <is>
          <t>5</t>
        </is>
      </c>
      <c r="R2887" s="5" t="inlineStr">
        <is>
          <t>5</t>
        </is>
      </c>
      <c r="S2887" s="5" t="inlineStr">
        <is>
          <t>55</t>
        </is>
      </c>
      <c r="T2887" s="5" t="inlineStr">
        <is>
          <t>11</t>
        </is>
      </c>
      <c r="U2887" s="5">
        <f>IFS(C2887&lt;30,"Under 30",C2887&lt;40,"30-39",C2887&lt;50,"40-49",TRUE,"50+")</f>
        <v/>
      </c>
      <c r="V2887" s="5">
        <f>IFS(O2887&lt;60000,"Low (&lt;60k)",O2887&lt;100000,"Mid (60-100k)",TRUE,"High (100k+)")</f>
        <v/>
      </c>
      <c r="W2887" s="5">
        <f>IF(M2887="No","Attrited","Active")</f>
        <v/>
      </c>
    </row>
    <row r="2888">
      <c r="A2888" s="5" t="inlineStr">
        <is>
          <t>E02887</t>
        </is>
      </c>
      <c r="B2888" s="5" t="inlineStr">
        <is>
          <t>Male</t>
        </is>
      </c>
      <c r="C2888" s="6" t="inlineStr">
        <is>
          <t>28</t>
        </is>
      </c>
      <c r="D2888" s="5" t="inlineStr">
        <is>
          <t>Married</t>
        </is>
      </c>
      <c r="E2888" s="5" t="inlineStr">
        <is>
          <t>High School</t>
        </is>
      </c>
      <c r="F2888" s="5" t="inlineStr">
        <is>
          <t>Research &amp; Development</t>
        </is>
      </c>
      <c r="G2888" s="5" t="inlineStr">
        <is>
          <t>Product Engineer</t>
        </is>
      </c>
      <c r="H2888" s="5" t="inlineStr">
        <is>
          <t>3</t>
        </is>
      </c>
      <c r="I2888" s="5" t="inlineStr">
        <is>
          <t>Delhi</t>
        </is>
      </c>
      <c r="J2888" s="5" t="inlineStr">
        <is>
          <t>Full-Time</t>
        </is>
      </c>
      <c r="K2888" s="7" t="n">
        <v>44727</v>
      </c>
      <c r="L2888" s="7" t="inlineStr"/>
      <c r="M2888" s="5" t="inlineStr">
        <is>
          <t>Yes</t>
        </is>
      </c>
      <c r="N2888" s="5" t="inlineStr"/>
      <c r="O2888" s="8" t="inlineStr">
        <is>
          <t>184500</t>
        </is>
      </c>
      <c r="P2888" s="5" t="inlineStr">
        <is>
          <t>5</t>
        </is>
      </c>
      <c r="Q2888" s="5" t="inlineStr">
        <is>
          <t>4</t>
        </is>
      </c>
      <c r="R2888" s="5" t="inlineStr">
        <is>
          <t>5</t>
        </is>
      </c>
      <c r="S2888" s="5" t="inlineStr">
        <is>
          <t>43</t>
        </is>
      </c>
      <c r="T2888" s="5" t="inlineStr">
        <is>
          <t>6</t>
        </is>
      </c>
      <c r="U2888" s="5">
        <f>IFS(C2888&lt;30,"Under 30",C2888&lt;40,"30-39",C2888&lt;50,"40-49",TRUE,"50+")</f>
        <v/>
      </c>
      <c r="V2888" s="5">
        <f>IFS(O2888&lt;60000,"Low (&lt;60k)",O2888&lt;100000,"Mid (60-100k)",TRUE,"High (100k+)")</f>
        <v/>
      </c>
      <c r="W2888" s="5">
        <f>IF(M2888="No","Attrited","Active")</f>
        <v/>
      </c>
    </row>
    <row r="2889">
      <c r="A2889" s="5" t="inlineStr">
        <is>
          <t>E02888</t>
        </is>
      </c>
      <c r="B2889" s="5" t="inlineStr">
        <is>
          <t>Female</t>
        </is>
      </c>
      <c r="C2889" s="6" t="inlineStr">
        <is>
          <t>34</t>
        </is>
      </c>
      <c r="D2889" s="5" t="inlineStr">
        <is>
          <t>Married</t>
        </is>
      </c>
      <c r="E2889" s="5" t="inlineStr">
        <is>
          <t>Bachelor</t>
        </is>
      </c>
      <c r="F2889" s="5" t="inlineStr">
        <is>
          <t>Finance</t>
        </is>
      </c>
      <c r="G2889" s="5" t="inlineStr">
        <is>
          <t>Financial Analyst</t>
        </is>
      </c>
      <c r="H2889" s="5" t="inlineStr">
        <is>
          <t>1</t>
        </is>
      </c>
      <c r="I2889" s="5" t="inlineStr">
        <is>
          <t>Remote</t>
        </is>
      </c>
      <c r="J2889" s="5" t="inlineStr">
        <is>
          <t>Full-Time</t>
        </is>
      </c>
      <c r="K2889" s="7" t="n">
        <v>45986</v>
      </c>
      <c r="L2889" s="7" t="n">
        <v>46001</v>
      </c>
      <c r="M2889" s="5" t="inlineStr">
        <is>
          <t>No</t>
        </is>
      </c>
      <c r="N2889" s="5" t="inlineStr">
        <is>
          <t>Resigned</t>
        </is>
      </c>
      <c r="O2889" s="8" t="inlineStr">
        <is>
          <t>98000</t>
        </is>
      </c>
      <c r="P2889" s="5" t="inlineStr">
        <is>
          <t>5</t>
        </is>
      </c>
      <c r="Q2889" s="5" t="inlineStr">
        <is>
          <t>3</t>
        </is>
      </c>
      <c r="R2889" s="5" t="inlineStr">
        <is>
          <t>5</t>
        </is>
      </c>
      <c r="S2889" s="5" t="inlineStr">
        <is>
          <t>1</t>
        </is>
      </c>
      <c r="T2889" s="5" t="inlineStr">
        <is>
          <t>11</t>
        </is>
      </c>
      <c r="U2889" s="5">
        <f>IFS(C2889&lt;30,"Under 30",C2889&lt;40,"30-39",C2889&lt;50,"40-49",TRUE,"50+")</f>
        <v/>
      </c>
      <c r="V2889" s="5">
        <f>IFS(O2889&lt;60000,"Low (&lt;60k)",O2889&lt;100000,"Mid (60-100k)",TRUE,"High (100k+)")</f>
        <v/>
      </c>
      <c r="W2889" s="5">
        <f>IF(M2889="No","Attrited","Active")</f>
        <v/>
      </c>
    </row>
    <row r="2890">
      <c r="A2890" s="5" t="inlineStr">
        <is>
          <t>E02889</t>
        </is>
      </c>
      <c r="B2890" s="5" t="inlineStr">
        <is>
          <t>Female</t>
        </is>
      </c>
      <c r="C2890" s="6" t="inlineStr">
        <is>
          <t>32</t>
        </is>
      </c>
      <c r="D2890" s="5" t="inlineStr">
        <is>
          <t>Single</t>
        </is>
      </c>
      <c r="E2890" s="5" t="inlineStr">
        <is>
          <t>Diploma</t>
        </is>
      </c>
      <c r="F2890" s="5" t="inlineStr">
        <is>
          <t>Marketing</t>
        </is>
      </c>
      <c r="G2890" s="5" t="inlineStr">
        <is>
          <t>Marketing Analyst</t>
        </is>
      </c>
      <c r="H2890" s="5" t="inlineStr">
        <is>
          <t>3</t>
        </is>
      </c>
      <c r="I2890" s="5" t="inlineStr">
        <is>
          <t>Chennai</t>
        </is>
      </c>
      <c r="J2890" s="5" t="inlineStr">
        <is>
          <t>Full-Time</t>
        </is>
      </c>
      <c r="K2890" s="7" t="n">
        <v>45225</v>
      </c>
      <c r="L2890" s="7" t="inlineStr"/>
      <c r="M2890" s="5" t="inlineStr">
        <is>
          <t>Yes</t>
        </is>
      </c>
      <c r="N2890" s="5" t="inlineStr"/>
      <c r="O2890" s="8" t="inlineStr">
        <is>
          <t>112500</t>
        </is>
      </c>
      <c r="P2890" s="5" t="inlineStr">
        <is>
          <t>15</t>
        </is>
      </c>
      <c r="Q2890" s="5" t="inlineStr">
        <is>
          <t>3</t>
        </is>
      </c>
      <c r="R2890" s="5" t="inlineStr">
        <is>
          <t>3</t>
        </is>
      </c>
      <c r="S2890" s="5" t="inlineStr">
        <is>
          <t>26</t>
        </is>
      </c>
      <c r="T2890" s="5" t="inlineStr">
        <is>
          <t>1</t>
        </is>
      </c>
      <c r="U2890" s="5">
        <f>IFS(C2890&lt;30,"Under 30",C2890&lt;40,"30-39",C2890&lt;50,"40-49",TRUE,"50+")</f>
        <v/>
      </c>
      <c r="V2890" s="5">
        <f>IFS(O2890&lt;60000,"Low (&lt;60k)",O2890&lt;100000,"Mid (60-100k)",TRUE,"High (100k+)")</f>
        <v/>
      </c>
      <c r="W2890" s="5">
        <f>IF(M2890="No","Attrited","Active")</f>
        <v/>
      </c>
    </row>
    <row r="2891">
      <c r="A2891" s="5" t="inlineStr">
        <is>
          <t>E02890</t>
        </is>
      </c>
      <c r="B2891" s="5" t="inlineStr">
        <is>
          <t>Female</t>
        </is>
      </c>
      <c r="C2891" s="6" t="inlineStr">
        <is>
          <t>34</t>
        </is>
      </c>
      <c r="D2891" s="5" t="inlineStr">
        <is>
          <t>Married</t>
        </is>
      </c>
      <c r="E2891" s="5" t="inlineStr">
        <is>
          <t>Diploma</t>
        </is>
      </c>
      <c r="F2891" s="5" t="inlineStr">
        <is>
          <t>Customer Support</t>
        </is>
      </c>
      <c r="G2891" s="5" t="inlineStr">
        <is>
          <t>Escalation Specialist</t>
        </is>
      </c>
      <c r="H2891" s="5" t="inlineStr">
        <is>
          <t>5</t>
        </is>
      </c>
      <c r="I2891" s="5" t="inlineStr">
        <is>
          <t>Delhi</t>
        </is>
      </c>
      <c r="J2891" s="5" t="inlineStr">
        <is>
          <t>Full-Time</t>
        </is>
      </c>
      <c r="K2891" s="7" t="n">
        <v>45645</v>
      </c>
      <c r="L2891" s="7" t="inlineStr"/>
      <c r="M2891" s="5" t="inlineStr">
        <is>
          <t>Yes</t>
        </is>
      </c>
      <c r="N2891" s="5" t="inlineStr"/>
      <c r="O2891" s="8" t="inlineStr">
        <is>
          <t>109500</t>
        </is>
      </c>
      <c r="P2891" s="5" t="inlineStr">
        <is>
          <t>5</t>
        </is>
      </c>
      <c r="Q2891" s="5" t="inlineStr">
        <is>
          <t>4</t>
        </is>
      </c>
      <c r="R2891" s="5" t="inlineStr">
        <is>
          <t>4</t>
        </is>
      </c>
      <c r="S2891" s="5" t="inlineStr">
        <is>
          <t>12</t>
        </is>
      </c>
      <c r="T2891" s="5" t="inlineStr">
        <is>
          <t>16</t>
        </is>
      </c>
      <c r="U2891" s="5">
        <f>IFS(C2891&lt;30,"Under 30",C2891&lt;40,"30-39",C2891&lt;50,"40-49",TRUE,"50+")</f>
        <v/>
      </c>
      <c r="V2891" s="5">
        <f>IFS(O2891&lt;60000,"Low (&lt;60k)",O2891&lt;100000,"Mid (60-100k)",TRUE,"High (100k+)")</f>
        <v/>
      </c>
      <c r="W2891" s="5">
        <f>IF(M2891="No","Attrited","Active")</f>
        <v/>
      </c>
    </row>
    <row r="2892">
      <c r="A2892" s="5" t="inlineStr">
        <is>
          <t>E02891</t>
        </is>
      </c>
      <c r="B2892" s="5" t="inlineStr">
        <is>
          <t>Male</t>
        </is>
      </c>
      <c r="C2892" s="6" t="inlineStr">
        <is>
          <t>32</t>
        </is>
      </c>
      <c r="D2892" s="5" t="inlineStr">
        <is>
          <t>Single</t>
        </is>
      </c>
      <c r="E2892" s="5" t="inlineStr">
        <is>
          <t>Master</t>
        </is>
      </c>
      <c r="F2892" s="5" t="inlineStr">
        <is>
          <t>Marketing</t>
        </is>
      </c>
      <c r="G2892" s="5" t="inlineStr">
        <is>
          <t>Content Writer</t>
        </is>
      </c>
      <c r="H2892" s="5" t="inlineStr">
        <is>
          <t>3</t>
        </is>
      </c>
      <c r="I2892" s="5" t="inlineStr">
        <is>
          <t>Delhi</t>
        </is>
      </c>
      <c r="J2892" s="5" t="inlineStr">
        <is>
          <t>Full-Time</t>
        </is>
      </c>
      <c r="K2892" s="7" t="n">
        <v>44293</v>
      </c>
      <c r="L2892" s="7" t="inlineStr"/>
      <c r="M2892" s="5" t="inlineStr">
        <is>
          <t>Yes</t>
        </is>
      </c>
      <c r="N2892" s="5" t="inlineStr"/>
      <c r="O2892" s="8" t="inlineStr">
        <is>
          <t>97500</t>
        </is>
      </c>
      <c r="P2892" s="5" t="inlineStr">
        <is>
          <t>0</t>
        </is>
      </c>
      <c r="Q2892" s="5" t="inlineStr">
        <is>
          <t>4</t>
        </is>
      </c>
      <c r="R2892" s="5" t="inlineStr">
        <is>
          <t>8</t>
        </is>
      </c>
      <c r="S2892" s="5" t="inlineStr">
        <is>
          <t>57</t>
        </is>
      </c>
      <c r="T2892" s="5" t="inlineStr">
        <is>
          <t>16</t>
        </is>
      </c>
      <c r="U2892" s="5">
        <f>IFS(C2892&lt;30,"Under 30",C2892&lt;40,"30-39",C2892&lt;50,"40-49",TRUE,"50+")</f>
        <v/>
      </c>
      <c r="V2892" s="5">
        <f>IFS(O2892&lt;60000,"Low (&lt;60k)",O2892&lt;100000,"Mid (60-100k)",TRUE,"High (100k+)")</f>
        <v/>
      </c>
      <c r="W2892" s="5">
        <f>IF(M2892="No","Attrited","Active")</f>
        <v/>
      </c>
    </row>
    <row r="2893">
      <c r="A2893" s="5" t="inlineStr">
        <is>
          <t>E02892</t>
        </is>
      </c>
      <c r="B2893" s="5" t="inlineStr">
        <is>
          <t>Female</t>
        </is>
      </c>
      <c r="C2893" s="6" t="inlineStr">
        <is>
          <t>25</t>
        </is>
      </c>
      <c r="D2893" s="5" t="inlineStr">
        <is>
          <t>Married</t>
        </is>
      </c>
      <c r="E2893" s="5" t="inlineStr">
        <is>
          <t>PhD</t>
        </is>
      </c>
      <c r="F2893" s="5" t="inlineStr">
        <is>
          <t>Human Resources</t>
        </is>
      </c>
      <c r="G2893" s="5" t="inlineStr">
        <is>
          <t>Recruiter</t>
        </is>
      </c>
      <c r="H2893" s="5" t="inlineStr">
        <is>
          <t>1</t>
        </is>
      </c>
      <c r="I2893" s="5" t="inlineStr">
        <is>
          <t>Remote</t>
        </is>
      </c>
      <c r="J2893" s="5" t="inlineStr">
        <is>
          <t>Full-Time</t>
        </is>
      </c>
      <c r="K2893" s="7" t="n">
        <v>44347</v>
      </c>
      <c r="L2893" s="7" t="inlineStr"/>
      <c r="M2893" s="5" t="inlineStr">
        <is>
          <t>Yes</t>
        </is>
      </c>
      <c r="N2893" s="5" t="inlineStr"/>
      <c r="O2893" s="8" t="inlineStr">
        <is>
          <t>58500</t>
        </is>
      </c>
      <c r="P2893" s="5" t="inlineStr">
        <is>
          <t>15</t>
        </is>
      </c>
      <c r="Q2893" s="5" t="inlineStr">
        <is>
          <t>3</t>
        </is>
      </c>
      <c r="R2893" s="5" t="inlineStr">
        <is>
          <t>7</t>
        </is>
      </c>
      <c r="S2893" s="5" t="inlineStr">
        <is>
          <t>55</t>
        </is>
      </c>
      <c r="T2893" s="5" t="inlineStr">
        <is>
          <t>13</t>
        </is>
      </c>
      <c r="U2893" s="5">
        <f>IFS(C2893&lt;30,"Under 30",C2893&lt;40,"30-39",C2893&lt;50,"40-49",TRUE,"50+")</f>
        <v/>
      </c>
      <c r="V2893" s="5">
        <f>IFS(O2893&lt;60000,"Low (&lt;60k)",O2893&lt;100000,"Mid (60-100k)",TRUE,"High (100k+)")</f>
        <v/>
      </c>
      <c r="W2893" s="5">
        <f>IF(M2893="No","Attrited","Active")</f>
        <v/>
      </c>
    </row>
    <row r="2894">
      <c r="A2894" s="5" t="inlineStr">
        <is>
          <t>E02893</t>
        </is>
      </c>
      <c r="B2894" s="5" t="inlineStr">
        <is>
          <t>Male</t>
        </is>
      </c>
      <c r="C2894" s="6" t="inlineStr">
        <is>
          <t>28</t>
        </is>
      </c>
      <c r="D2894" s="5" t="inlineStr">
        <is>
          <t>Married</t>
        </is>
      </c>
      <c r="E2894" s="5" t="inlineStr">
        <is>
          <t>Master</t>
        </is>
      </c>
      <c r="F2894" s="5" t="inlineStr">
        <is>
          <t>IT</t>
        </is>
      </c>
      <c r="G2894" s="5" t="inlineStr">
        <is>
          <t>Data Analyst</t>
        </is>
      </c>
      <c r="H2894" s="5" t="inlineStr">
        <is>
          <t>1</t>
        </is>
      </c>
      <c r="I2894" s="5" t="inlineStr">
        <is>
          <t>Delhi</t>
        </is>
      </c>
      <c r="J2894" s="5" t="inlineStr">
        <is>
          <t>Full-Time</t>
        </is>
      </c>
      <c r="K2894" s="7" t="n">
        <v>45298</v>
      </c>
      <c r="L2894" s="7" t="inlineStr"/>
      <c r="M2894" s="5" t="inlineStr">
        <is>
          <t>Yes</t>
        </is>
      </c>
      <c r="N2894" s="5" t="inlineStr"/>
      <c r="O2894" s="8" t="inlineStr">
        <is>
          <t>133500</t>
        </is>
      </c>
      <c r="P2894" s="5" t="inlineStr">
        <is>
          <t>5</t>
        </is>
      </c>
      <c r="Q2894" s="5" t="inlineStr">
        <is>
          <t>3</t>
        </is>
      </c>
      <c r="R2894" s="5" t="inlineStr">
        <is>
          <t>9</t>
        </is>
      </c>
      <c r="S2894" s="5" t="inlineStr">
        <is>
          <t>24</t>
        </is>
      </c>
      <c r="T2894" s="5" t="inlineStr">
        <is>
          <t>5</t>
        </is>
      </c>
      <c r="U2894" s="5">
        <f>IFS(C2894&lt;30,"Under 30",C2894&lt;40,"30-39",C2894&lt;50,"40-49",TRUE,"50+")</f>
        <v/>
      </c>
      <c r="V2894" s="5">
        <f>IFS(O2894&lt;60000,"Low (&lt;60k)",O2894&lt;100000,"Mid (60-100k)",TRUE,"High (100k+)")</f>
        <v/>
      </c>
      <c r="W2894" s="5">
        <f>IF(M2894="No","Attrited","Active")</f>
        <v/>
      </c>
    </row>
    <row r="2895">
      <c r="A2895" s="5" t="inlineStr">
        <is>
          <t>E02894</t>
        </is>
      </c>
      <c r="B2895" s="5" t="inlineStr">
        <is>
          <t>Male</t>
        </is>
      </c>
      <c r="C2895" s="6" t="inlineStr">
        <is>
          <t>42</t>
        </is>
      </c>
      <c r="D2895" s="5" t="inlineStr">
        <is>
          <t>Single</t>
        </is>
      </c>
      <c r="E2895" s="5" t="inlineStr">
        <is>
          <t>Bachelor</t>
        </is>
      </c>
      <c r="F2895" s="5" t="inlineStr">
        <is>
          <t>Research &amp; Development</t>
        </is>
      </c>
      <c r="G2895" s="5" t="inlineStr">
        <is>
          <t>Product Engineer</t>
        </is>
      </c>
      <c r="H2895" s="5" t="inlineStr">
        <is>
          <t>7</t>
        </is>
      </c>
      <c r="I2895" s="5" t="inlineStr">
        <is>
          <t>Mumbai</t>
        </is>
      </c>
      <c r="J2895" s="5" t="inlineStr">
        <is>
          <t>Full-Time</t>
        </is>
      </c>
      <c r="K2895" s="7" t="n">
        <v>44243</v>
      </c>
      <c r="L2895" s="7" t="inlineStr"/>
      <c r="M2895" s="5" t="inlineStr">
        <is>
          <t>Yes</t>
        </is>
      </c>
      <c r="N2895" s="5" t="inlineStr"/>
      <c r="O2895" s="8" t="inlineStr">
        <is>
          <t>224000</t>
        </is>
      </c>
      <c r="P2895" s="5" t="inlineStr">
        <is>
          <t>5</t>
        </is>
      </c>
      <c r="Q2895" s="5" t="inlineStr">
        <is>
          <t>5</t>
        </is>
      </c>
      <c r="R2895" s="5" t="inlineStr">
        <is>
          <t>4</t>
        </is>
      </c>
      <c r="S2895" s="5" t="inlineStr">
        <is>
          <t>59</t>
        </is>
      </c>
      <c r="T2895" s="5" t="inlineStr">
        <is>
          <t>5</t>
        </is>
      </c>
      <c r="U2895" s="5">
        <f>IFS(C2895&lt;30,"Under 30",C2895&lt;40,"30-39",C2895&lt;50,"40-49",TRUE,"50+")</f>
        <v/>
      </c>
      <c r="V2895" s="5">
        <f>IFS(O2895&lt;60000,"Low (&lt;60k)",O2895&lt;100000,"Mid (60-100k)",TRUE,"High (100k+)")</f>
        <v/>
      </c>
      <c r="W2895" s="5">
        <f>IF(M2895="No","Attrited","Active")</f>
        <v/>
      </c>
    </row>
    <row r="2896">
      <c r="A2896" s="5" t="inlineStr">
        <is>
          <t>E02895</t>
        </is>
      </c>
      <c r="B2896" s="5" t="inlineStr">
        <is>
          <t>Male</t>
        </is>
      </c>
      <c r="C2896" s="6" t="inlineStr">
        <is>
          <t>28</t>
        </is>
      </c>
      <c r="D2896" s="5" t="inlineStr">
        <is>
          <t>Married</t>
        </is>
      </c>
      <c r="E2896" s="5" t="inlineStr">
        <is>
          <t>Master</t>
        </is>
      </c>
      <c r="F2896" s="5" t="inlineStr">
        <is>
          <t>Operations</t>
        </is>
      </c>
      <c r="G2896" s="5" t="inlineStr">
        <is>
          <t>Quality Analyst</t>
        </is>
      </c>
      <c r="H2896" s="5" t="inlineStr">
        <is>
          <t>1</t>
        </is>
      </c>
      <c r="I2896" s="5" t="inlineStr">
        <is>
          <t>Remote</t>
        </is>
      </c>
      <c r="J2896" s="5" t="inlineStr">
        <is>
          <t>Full-Time</t>
        </is>
      </c>
      <c r="K2896" s="7" t="n">
        <v>45518</v>
      </c>
      <c r="L2896" s="7" t="n">
        <v>45585</v>
      </c>
      <c r="M2896" s="5" t="inlineStr">
        <is>
          <t>No</t>
        </is>
      </c>
      <c r="N2896" s="5" t="inlineStr">
        <is>
          <t>Relocation</t>
        </is>
      </c>
      <c r="O2896" s="8" t="inlineStr">
        <is>
          <t>94500</t>
        </is>
      </c>
      <c r="P2896" s="5" t="inlineStr">
        <is>
          <t>15</t>
        </is>
      </c>
      <c r="Q2896" s="5" t="inlineStr">
        <is>
          <t>4</t>
        </is>
      </c>
      <c r="R2896" s="5" t="inlineStr">
        <is>
          <t>2</t>
        </is>
      </c>
      <c r="S2896" s="5" t="inlineStr">
        <is>
          <t>2</t>
        </is>
      </c>
      <c r="T2896" s="5" t="inlineStr">
        <is>
          <t>0</t>
        </is>
      </c>
      <c r="U2896" s="5">
        <f>IFS(C2896&lt;30,"Under 30",C2896&lt;40,"30-39",C2896&lt;50,"40-49",TRUE,"50+")</f>
        <v/>
      </c>
      <c r="V2896" s="5">
        <f>IFS(O2896&lt;60000,"Low (&lt;60k)",O2896&lt;100000,"Mid (60-100k)",TRUE,"High (100k+)")</f>
        <v/>
      </c>
      <c r="W2896" s="5">
        <f>IF(M2896="No","Attrited","Active")</f>
        <v/>
      </c>
    </row>
    <row r="2897">
      <c r="A2897" s="5" t="inlineStr">
        <is>
          <t>E02896</t>
        </is>
      </c>
      <c r="B2897" s="5" t="inlineStr">
        <is>
          <t>Male</t>
        </is>
      </c>
      <c r="C2897" s="6" t="inlineStr">
        <is>
          <t>30</t>
        </is>
      </c>
      <c r="D2897" s="5" t="inlineStr">
        <is>
          <t>Married</t>
        </is>
      </c>
      <c r="E2897" s="5" t="inlineStr">
        <is>
          <t>High School</t>
        </is>
      </c>
      <c r="F2897" s="5" t="inlineStr">
        <is>
          <t>IT</t>
        </is>
      </c>
      <c r="G2897" s="5" t="inlineStr">
        <is>
          <t>Software Engineer</t>
        </is>
      </c>
      <c r="H2897" s="5" t="inlineStr">
        <is>
          <t>3</t>
        </is>
      </c>
      <c r="I2897" s="5" t="inlineStr">
        <is>
          <t>Mumbai</t>
        </is>
      </c>
      <c r="J2897" s="5" t="inlineStr">
        <is>
          <t>Full-Time</t>
        </is>
      </c>
      <c r="K2897" s="7" t="n">
        <v>45701</v>
      </c>
      <c r="L2897" s="7" t="inlineStr"/>
      <c r="M2897" s="5" t="inlineStr">
        <is>
          <t>Yes</t>
        </is>
      </c>
      <c r="N2897" s="5" t="inlineStr"/>
      <c r="O2897" s="8" t="inlineStr">
        <is>
          <t>181500</t>
        </is>
      </c>
      <c r="P2897" s="5" t="inlineStr">
        <is>
          <t>0</t>
        </is>
      </c>
      <c r="Q2897" s="5" t="inlineStr">
        <is>
          <t>5</t>
        </is>
      </c>
      <c r="R2897" s="5" t="inlineStr">
        <is>
          <t>5</t>
        </is>
      </c>
      <c r="S2897" s="5" t="inlineStr">
        <is>
          <t>10</t>
        </is>
      </c>
      <c r="T2897" s="5" t="inlineStr">
        <is>
          <t>14</t>
        </is>
      </c>
      <c r="U2897" s="5">
        <f>IFS(C2897&lt;30,"Under 30",C2897&lt;40,"30-39",C2897&lt;50,"40-49",TRUE,"50+")</f>
        <v/>
      </c>
      <c r="V2897" s="5">
        <f>IFS(O2897&lt;60000,"Low (&lt;60k)",O2897&lt;100000,"Mid (60-100k)",TRUE,"High (100k+)")</f>
        <v/>
      </c>
      <c r="W2897" s="5">
        <f>IF(M2897="No","Attrited","Active")</f>
        <v/>
      </c>
    </row>
    <row r="2898">
      <c r="A2898" s="5" t="inlineStr">
        <is>
          <t>E02897</t>
        </is>
      </c>
      <c r="B2898" s="5" t="inlineStr">
        <is>
          <t>Female</t>
        </is>
      </c>
      <c r="C2898" s="6" t="inlineStr">
        <is>
          <t>32</t>
        </is>
      </c>
      <c r="D2898" s="5" t="inlineStr">
        <is>
          <t>Married</t>
        </is>
      </c>
      <c r="E2898" s="5" t="inlineStr">
        <is>
          <t>Bachelor</t>
        </is>
      </c>
      <c r="F2898" s="5" t="inlineStr">
        <is>
          <t>Sales</t>
        </is>
      </c>
      <c r="G2898" s="5" t="inlineStr">
        <is>
          <t>Business Development</t>
        </is>
      </c>
      <c r="H2898" s="5" t="inlineStr">
        <is>
          <t>3</t>
        </is>
      </c>
      <c r="I2898" s="5" t="inlineStr">
        <is>
          <t>Remote</t>
        </is>
      </c>
      <c r="J2898" s="5" t="inlineStr">
        <is>
          <t>Full-Time</t>
        </is>
      </c>
      <c r="K2898" s="7" t="n">
        <v>43940</v>
      </c>
      <c r="L2898" s="7" t="inlineStr"/>
      <c r="M2898" s="5" t="inlineStr">
        <is>
          <t>Yes</t>
        </is>
      </c>
      <c r="N2898" s="5" t="inlineStr"/>
      <c r="O2898" s="8" t="inlineStr">
        <is>
          <t>99000</t>
        </is>
      </c>
      <c r="P2898" s="5" t="inlineStr">
        <is>
          <t>5</t>
        </is>
      </c>
      <c r="Q2898" s="5" t="inlineStr">
        <is>
          <t>4</t>
        </is>
      </c>
      <c r="R2898" s="5" t="inlineStr">
        <is>
          <t>4</t>
        </is>
      </c>
      <c r="S2898" s="5" t="inlineStr">
        <is>
          <t>69</t>
        </is>
      </c>
      <c r="T2898" s="5" t="inlineStr">
        <is>
          <t>5</t>
        </is>
      </c>
      <c r="U2898" s="5">
        <f>IFS(C2898&lt;30,"Under 30",C2898&lt;40,"30-39",C2898&lt;50,"40-49",TRUE,"50+")</f>
        <v/>
      </c>
      <c r="V2898" s="5">
        <f>IFS(O2898&lt;60000,"Low (&lt;60k)",O2898&lt;100000,"Mid (60-100k)",TRUE,"High (100k+)")</f>
        <v/>
      </c>
      <c r="W2898" s="5">
        <f>IF(M2898="No","Attrited","Active")</f>
        <v/>
      </c>
    </row>
    <row r="2899">
      <c r="A2899" s="5" t="inlineStr">
        <is>
          <t>E02898</t>
        </is>
      </c>
      <c r="B2899" s="5" t="inlineStr">
        <is>
          <t>Male</t>
        </is>
      </c>
      <c r="C2899" s="6" t="inlineStr">
        <is>
          <t>29</t>
        </is>
      </c>
      <c r="D2899" s="5" t="inlineStr">
        <is>
          <t>Single</t>
        </is>
      </c>
      <c r="E2899" s="5" t="inlineStr">
        <is>
          <t>High School</t>
        </is>
      </c>
      <c r="F2899" s="5" t="inlineStr">
        <is>
          <t>Customer Support</t>
        </is>
      </c>
      <c r="G2899" s="5" t="inlineStr">
        <is>
          <t>Escalation Specialist</t>
        </is>
      </c>
      <c r="H2899" s="5" t="inlineStr">
        <is>
          <t>4</t>
        </is>
      </c>
      <c r="I2899" s="5" t="inlineStr">
        <is>
          <t>Hyderabad</t>
        </is>
      </c>
      <c r="J2899" s="5" t="inlineStr">
        <is>
          <t>Full-Time</t>
        </is>
      </c>
      <c r="K2899" s="7" t="n">
        <v>45675</v>
      </c>
      <c r="L2899" s="7" t="n">
        <v>45726</v>
      </c>
      <c r="M2899" s="5" t="inlineStr">
        <is>
          <t>No</t>
        </is>
      </c>
      <c r="N2899" s="5" t="inlineStr">
        <is>
          <t>Resigned</t>
        </is>
      </c>
      <c r="O2899" s="8" t="inlineStr">
        <is>
          <t>59500</t>
        </is>
      </c>
      <c r="P2899" s="5" t="inlineStr">
        <is>
          <t>0</t>
        </is>
      </c>
      <c r="Q2899" s="5" t="inlineStr">
        <is>
          <t>3</t>
        </is>
      </c>
      <c r="R2899" s="5" t="inlineStr">
        <is>
          <t>3</t>
        </is>
      </c>
      <c r="S2899" s="5" t="inlineStr">
        <is>
          <t>1</t>
        </is>
      </c>
      <c r="T2899" s="5" t="inlineStr">
        <is>
          <t>12</t>
        </is>
      </c>
      <c r="U2899" s="5">
        <f>IFS(C2899&lt;30,"Under 30",C2899&lt;40,"30-39",C2899&lt;50,"40-49",TRUE,"50+")</f>
        <v/>
      </c>
      <c r="V2899" s="5">
        <f>IFS(O2899&lt;60000,"Low (&lt;60k)",O2899&lt;100000,"Mid (60-100k)",TRUE,"High (100k+)")</f>
        <v/>
      </c>
      <c r="W2899" s="5">
        <f>IF(M2899="No","Attrited","Active")</f>
        <v/>
      </c>
    </row>
    <row r="2900">
      <c r="A2900" s="5" t="inlineStr">
        <is>
          <t>E02899</t>
        </is>
      </c>
      <c r="B2900" s="5" t="inlineStr">
        <is>
          <t>Male</t>
        </is>
      </c>
      <c r="C2900" s="6" t="inlineStr">
        <is>
          <t>39</t>
        </is>
      </c>
      <c r="D2900" s="5" t="inlineStr">
        <is>
          <t>Single</t>
        </is>
      </c>
      <c r="E2900" s="5" t="inlineStr">
        <is>
          <t>PhD</t>
        </is>
      </c>
      <c r="F2900" s="5" t="inlineStr">
        <is>
          <t>Sales</t>
        </is>
      </c>
      <c r="G2900" s="5" t="inlineStr">
        <is>
          <t>Sales Executive</t>
        </is>
      </c>
      <c r="H2900" s="5" t="inlineStr">
        <is>
          <t>6</t>
        </is>
      </c>
      <c r="I2900" s="5" t="inlineStr">
        <is>
          <t>Hyderabad</t>
        </is>
      </c>
      <c r="J2900" s="5" t="inlineStr">
        <is>
          <t>Full-Time</t>
        </is>
      </c>
      <c r="K2900" s="7" t="n">
        <v>44104</v>
      </c>
      <c r="L2900" s="7" t="inlineStr"/>
      <c r="M2900" s="5" t="inlineStr">
        <is>
          <t>Yes</t>
        </is>
      </c>
      <c r="N2900" s="5" t="inlineStr"/>
      <c r="O2900" s="8" t="inlineStr">
        <is>
          <t>144000</t>
        </is>
      </c>
      <c r="P2900" s="5" t="inlineStr">
        <is>
          <t>5</t>
        </is>
      </c>
      <c r="Q2900" s="5" t="inlineStr">
        <is>
          <t>3</t>
        </is>
      </c>
      <c r="R2900" s="5" t="inlineStr">
        <is>
          <t>7</t>
        </is>
      </c>
      <c r="S2900" s="5" t="inlineStr">
        <is>
          <t>63</t>
        </is>
      </c>
      <c r="T2900" s="5" t="inlineStr">
        <is>
          <t>0</t>
        </is>
      </c>
      <c r="U2900" s="5">
        <f>IFS(C2900&lt;30,"Under 30",C2900&lt;40,"30-39",C2900&lt;50,"40-49",TRUE,"50+")</f>
        <v/>
      </c>
      <c r="V2900" s="5">
        <f>IFS(O2900&lt;60000,"Low (&lt;60k)",O2900&lt;100000,"Mid (60-100k)",TRUE,"High (100k+)")</f>
        <v/>
      </c>
      <c r="W2900" s="5">
        <f>IF(M2900="No","Attrited","Active")</f>
        <v/>
      </c>
    </row>
    <row r="2901">
      <c r="A2901" s="5" t="inlineStr">
        <is>
          <t>E02900</t>
        </is>
      </c>
      <c r="B2901" s="5" t="inlineStr">
        <is>
          <t>Female</t>
        </is>
      </c>
      <c r="C2901" s="6" t="inlineStr">
        <is>
          <t>30</t>
        </is>
      </c>
      <c r="D2901" s="5" t="inlineStr">
        <is>
          <t>Married</t>
        </is>
      </c>
      <c r="E2901" s="5" t="inlineStr">
        <is>
          <t>PhD</t>
        </is>
      </c>
      <c r="F2901" s="5" t="inlineStr">
        <is>
          <t>Human Resources</t>
        </is>
      </c>
      <c r="G2901" s="5" t="inlineStr">
        <is>
          <t>HR Analyst</t>
        </is>
      </c>
      <c r="H2901" s="5" t="inlineStr">
        <is>
          <t>3</t>
        </is>
      </c>
      <c r="I2901" s="5" t="inlineStr">
        <is>
          <t>Hyderabad</t>
        </is>
      </c>
      <c r="J2901" s="5" t="inlineStr">
        <is>
          <t>Full-Time</t>
        </is>
      </c>
      <c r="K2901" s="7" t="n">
        <v>45428</v>
      </c>
      <c r="L2901" s="7" t="inlineStr"/>
      <c r="M2901" s="5" t="inlineStr">
        <is>
          <t>Yes</t>
        </is>
      </c>
      <c r="N2901" s="5" t="inlineStr"/>
      <c r="O2901" s="8" t="inlineStr">
        <is>
          <t>91500</t>
        </is>
      </c>
      <c r="P2901" s="5" t="inlineStr">
        <is>
          <t>0</t>
        </is>
      </c>
      <c r="Q2901" s="5" t="inlineStr">
        <is>
          <t>5</t>
        </is>
      </c>
      <c r="R2901" s="5" t="inlineStr">
        <is>
          <t>7</t>
        </is>
      </c>
      <c r="S2901" s="5" t="inlineStr">
        <is>
          <t>19</t>
        </is>
      </c>
      <c r="T2901" s="5" t="inlineStr">
        <is>
          <t>5</t>
        </is>
      </c>
      <c r="U2901" s="5">
        <f>IFS(C2901&lt;30,"Under 30",C2901&lt;40,"30-39",C2901&lt;50,"40-49",TRUE,"50+")</f>
        <v/>
      </c>
      <c r="V2901" s="5">
        <f>IFS(O2901&lt;60000,"Low (&lt;60k)",O2901&lt;100000,"Mid (60-100k)",TRUE,"High (100k+)")</f>
        <v/>
      </c>
      <c r="W2901" s="5">
        <f>IF(M2901="No","Attrited","Active")</f>
        <v/>
      </c>
    </row>
    <row r="2902">
      <c r="A2902" s="5" t="inlineStr">
        <is>
          <t>E02901</t>
        </is>
      </c>
      <c r="B2902" s="5" t="inlineStr">
        <is>
          <t>Male</t>
        </is>
      </c>
      <c r="C2902" s="6" t="inlineStr">
        <is>
          <t>28</t>
        </is>
      </c>
      <c r="D2902" s="5" t="inlineStr">
        <is>
          <t>Single</t>
        </is>
      </c>
      <c r="E2902" s="5" t="inlineStr">
        <is>
          <t>Diploma</t>
        </is>
      </c>
      <c r="F2902" s="5" t="inlineStr">
        <is>
          <t>Customer Support</t>
        </is>
      </c>
      <c r="G2902" s="5" t="inlineStr">
        <is>
          <t>Support Agent</t>
        </is>
      </c>
      <c r="H2902" s="5" t="inlineStr">
        <is>
          <t>3</t>
        </is>
      </c>
      <c r="I2902" s="5" t="inlineStr">
        <is>
          <t>Delhi</t>
        </is>
      </c>
      <c r="J2902" s="5" t="inlineStr">
        <is>
          <t>Full-Time</t>
        </is>
      </c>
      <c r="K2902" s="7" t="n">
        <v>44677</v>
      </c>
      <c r="L2902" s="7" t="inlineStr"/>
      <c r="M2902" s="5" t="inlineStr">
        <is>
          <t>Yes</t>
        </is>
      </c>
      <c r="N2902" s="5" t="inlineStr"/>
      <c r="O2902" s="8" t="inlineStr">
        <is>
          <t>91500</t>
        </is>
      </c>
      <c r="P2902" s="5" t="inlineStr">
        <is>
          <t>5</t>
        </is>
      </c>
      <c r="Q2902" s="5" t="inlineStr">
        <is>
          <t>3</t>
        </is>
      </c>
      <c r="R2902" s="5" t="inlineStr">
        <is>
          <t>6</t>
        </is>
      </c>
      <c r="S2902" s="5" t="inlineStr">
        <is>
          <t>44</t>
        </is>
      </c>
      <c r="T2902" s="5" t="inlineStr">
        <is>
          <t>16</t>
        </is>
      </c>
      <c r="U2902" s="5">
        <f>IFS(C2902&lt;30,"Under 30",C2902&lt;40,"30-39",C2902&lt;50,"40-49",TRUE,"50+")</f>
        <v/>
      </c>
      <c r="V2902" s="5">
        <f>IFS(O2902&lt;60000,"Low (&lt;60k)",O2902&lt;100000,"Mid (60-100k)",TRUE,"High (100k+)")</f>
        <v/>
      </c>
      <c r="W2902" s="5">
        <f>IF(M2902="No","Attrited","Active")</f>
        <v/>
      </c>
    </row>
    <row r="2903">
      <c r="A2903" s="5" t="inlineStr">
        <is>
          <t>E02902</t>
        </is>
      </c>
      <c r="B2903" s="5" t="inlineStr">
        <is>
          <t>Male</t>
        </is>
      </c>
      <c r="C2903" s="6" t="inlineStr">
        <is>
          <t>33</t>
        </is>
      </c>
      <c r="D2903" s="5" t="inlineStr">
        <is>
          <t>Married</t>
        </is>
      </c>
      <c r="E2903" s="5" t="inlineStr">
        <is>
          <t>PhD</t>
        </is>
      </c>
      <c r="F2903" s="5" t="inlineStr">
        <is>
          <t>Research &amp; Development</t>
        </is>
      </c>
      <c r="G2903" s="5" t="inlineStr">
        <is>
          <t>Product Engineer</t>
        </is>
      </c>
      <c r="H2903" s="5" t="inlineStr">
        <is>
          <t>4</t>
        </is>
      </c>
      <c r="I2903" s="5" t="inlineStr">
        <is>
          <t>Hyderabad</t>
        </is>
      </c>
      <c r="J2903" s="5" t="inlineStr">
        <is>
          <t>Full-Time</t>
        </is>
      </c>
      <c r="K2903" s="7" t="n">
        <v>45269</v>
      </c>
      <c r="L2903" s="7" t="inlineStr"/>
      <c r="M2903" s="5" t="inlineStr">
        <is>
          <t>Yes</t>
        </is>
      </c>
      <c r="N2903" s="5" t="inlineStr"/>
      <c r="O2903" s="8" t="inlineStr">
        <is>
          <t>139000</t>
        </is>
      </c>
      <c r="P2903" s="5" t="inlineStr">
        <is>
          <t>15</t>
        </is>
      </c>
      <c r="Q2903" s="5" t="inlineStr">
        <is>
          <t>3</t>
        </is>
      </c>
      <c r="R2903" s="5" t="inlineStr">
        <is>
          <t>5</t>
        </is>
      </c>
      <c r="S2903" s="5" t="inlineStr">
        <is>
          <t>25</t>
        </is>
      </c>
      <c r="T2903" s="5" t="inlineStr">
        <is>
          <t>11</t>
        </is>
      </c>
      <c r="U2903" s="5">
        <f>IFS(C2903&lt;30,"Under 30",C2903&lt;40,"30-39",C2903&lt;50,"40-49",TRUE,"50+")</f>
        <v/>
      </c>
      <c r="V2903" s="5">
        <f>IFS(O2903&lt;60000,"Low (&lt;60k)",O2903&lt;100000,"Mid (60-100k)",TRUE,"High (100k+)")</f>
        <v/>
      </c>
      <c r="W2903" s="5">
        <f>IF(M2903="No","Attrited","Active")</f>
        <v/>
      </c>
    </row>
    <row r="2904">
      <c r="A2904" s="5" t="inlineStr">
        <is>
          <t>E02903</t>
        </is>
      </c>
      <c r="B2904" s="5" t="inlineStr">
        <is>
          <t>Female</t>
        </is>
      </c>
      <c r="C2904" s="6" t="inlineStr">
        <is>
          <t>28</t>
        </is>
      </c>
      <c r="D2904" s="5" t="inlineStr">
        <is>
          <t>Married</t>
        </is>
      </c>
      <c r="E2904" s="5" t="inlineStr">
        <is>
          <t>High School</t>
        </is>
      </c>
      <c r="F2904" s="5" t="inlineStr">
        <is>
          <t>IT</t>
        </is>
      </c>
      <c r="G2904" s="5" t="inlineStr">
        <is>
          <t>IT Support</t>
        </is>
      </c>
      <c r="H2904" s="5" t="inlineStr">
        <is>
          <t>3</t>
        </is>
      </c>
      <c r="I2904" s="5" t="inlineStr">
        <is>
          <t>Chennai</t>
        </is>
      </c>
      <c r="J2904" s="5" t="inlineStr">
        <is>
          <t>Full-Time</t>
        </is>
      </c>
      <c r="K2904" s="7" t="n">
        <v>44747</v>
      </c>
      <c r="L2904" s="7" t="inlineStr"/>
      <c r="M2904" s="5" t="inlineStr">
        <is>
          <t>Yes</t>
        </is>
      </c>
      <c r="N2904" s="5" t="inlineStr"/>
      <c r="O2904" s="8" t="inlineStr">
        <is>
          <t>167000</t>
        </is>
      </c>
      <c r="P2904" s="5" t="inlineStr">
        <is>
          <t>0</t>
        </is>
      </c>
      <c r="Q2904" s="5" t="inlineStr">
        <is>
          <t>3</t>
        </is>
      </c>
      <c r="R2904" s="5" t="inlineStr">
        <is>
          <t>6</t>
        </is>
      </c>
      <c r="S2904" s="5" t="inlineStr">
        <is>
          <t>42</t>
        </is>
      </c>
      <c r="T2904" s="5" t="inlineStr">
        <is>
          <t>0</t>
        </is>
      </c>
      <c r="U2904" s="5">
        <f>IFS(C2904&lt;30,"Under 30",C2904&lt;40,"30-39",C2904&lt;50,"40-49",TRUE,"50+")</f>
        <v/>
      </c>
      <c r="V2904" s="5">
        <f>IFS(O2904&lt;60000,"Low (&lt;60k)",O2904&lt;100000,"Mid (60-100k)",TRUE,"High (100k+)")</f>
        <v/>
      </c>
      <c r="W2904" s="5">
        <f>IF(M2904="No","Attrited","Active")</f>
        <v/>
      </c>
    </row>
    <row r="2905">
      <c r="A2905" s="5" t="inlineStr">
        <is>
          <t>E02904</t>
        </is>
      </c>
      <c r="B2905" s="5" t="inlineStr">
        <is>
          <t>Female</t>
        </is>
      </c>
      <c r="C2905" s="6" t="inlineStr">
        <is>
          <t>30</t>
        </is>
      </c>
      <c r="D2905" s="5" t="inlineStr">
        <is>
          <t>Married</t>
        </is>
      </c>
      <c r="E2905" s="5" t="inlineStr">
        <is>
          <t>Master</t>
        </is>
      </c>
      <c r="F2905" s="5" t="inlineStr">
        <is>
          <t>Research &amp; Development</t>
        </is>
      </c>
      <c r="G2905" s="5" t="inlineStr">
        <is>
          <t>Research Scientist</t>
        </is>
      </c>
      <c r="H2905" s="5" t="inlineStr">
        <is>
          <t>3</t>
        </is>
      </c>
      <c r="I2905" s="5" t="inlineStr">
        <is>
          <t>Hyderabad</t>
        </is>
      </c>
      <c r="J2905" s="5" t="inlineStr">
        <is>
          <t>Full-Time</t>
        </is>
      </c>
      <c r="K2905" s="7" t="n">
        <v>45244</v>
      </c>
      <c r="L2905" s="7" t="n">
        <v>45338</v>
      </c>
      <c r="M2905" s="5" t="inlineStr">
        <is>
          <t>No</t>
        </is>
      </c>
      <c r="N2905" s="5" t="inlineStr">
        <is>
          <t>Relocation</t>
        </is>
      </c>
      <c r="O2905" s="8" t="inlineStr">
        <is>
          <t>122000</t>
        </is>
      </c>
      <c r="P2905" s="5" t="inlineStr">
        <is>
          <t>0</t>
        </is>
      </c>
      <c r="Q2905" s="5" t="inlineStr">
        <is>
          <t>4</t>
        </is>
      </c>
      <c r="R2905" s="5" t="inlineStr">
        <is>
          <t>2</t>
        </is>
      </c>
      <c r="S2905" s="5" t="inlineStr">
        <is>
          <t>3</t>
        </is>
      </c>
      <c r="T2905" s="5" t="inlineStr">
        <is>
          <t>0</t>
        </is>
      </c>
      <c r="U2905" s="5">
        <f>IFS(C2905&lt;30,"Under 30",C2905&lt;40,"30-39",C2905&lt;50,"40-49",TRUE,"50+")</f>
        <v/>
      </c>
      <c r="V2905" s="5">
        <f>IFS(O2905&lt;60000,"Low (&lt;60k)",O2905&lt;100000,"Mid (60-100k)",TRUE,"High (100k+)")</f>
        <v/>
      </c>
      <c r="W2905" s="5">
        <f>IF(M2905="No","Attrited","Active")</f>
        <v/>
      </c>
    </row>
    <row r="2906">
      <c r="A2906" s="5" t="inlineStr">
        <is>
          <t>E02905</t>
        </is>
      </c>
      <c r="B2906" s="5" t="inlineStr">
        <is>
          <t>Female</t>
        </is>
      </c>
      <c r="C2906" s="6" t="inlineStr">
        <is>
          <t>30</t>
        </is>
      </c>
      <c r="D2906" s="5" t="inlineStr">
        <is>
          <t>Divorced</t>
        </is>
      </c>
      <c r="E2906" s="5" t="inlineStr">
        <is>
          <t>Diploma</t>
        </is>
      </c>
      <c r="F2906" s="5" t="inlineStr">
        <is>
          <t>Marketing</t>
        </is>
      </c>
      <c r="G2906" s="5" t="inlineStr">
        <is>
          <t>Marketing Analyst</t>
        </is>
      </c>
      <c r="H2906" s="5" t="inlineStr">
        <is>
          <t>4</t>
        </is>
      </c>
      <c r="I2906" s="5" t="inlineStr">
        <is>
          <t>Bengaluru</t>
        </is>
      </c>
      <c r="J2906" s="5" t="inlineStr">
        <is>
          <t>Full-Time</t>
        </is>
      </c>
      <c r="K2906" s="7" t="n">
        <v>44153</v>
      </c>
      <c r="L2906" s="7" t="inlineStr"/>
      <c r="M2906" s="5" t="inlineStr">
        <is>
          <t>Yes</t>
        </is>
      </c>
      <c r="N2906" s="5" t="inlineStr"/>
      <c r="O2906" s="8" t="inlineStr">
        <is>
          <t>96000</t>
        </is>
      </c>
      <c r="P2906" s="5" t="inlineStr">
        <is>
          <t>0</t>
        </is>
      </c>
      <c r="Q2906" s="5" t="inlineStr">
        <is>
          <t>3</t>
        </is>
      </c>
      <c r="R2906" s="5" t="inlineStr">
        <is>
          <t>2</t>
        </is>
      </c>
      <c r="S2906" s="5" t="inlineStr">
        <is>
          <t>62</t>
        </is>
      </c>
      <c r="T2906" s="5" t="inlineStr">
        <is>
          <t>8</t>
        </is>
      </c>
      <c r="U2906" s="5">
        <f>IFS(C2906&lt;30,"Under 30",C2906&lt;40,"30-39",C2906&lt;50,"40-49",TRUE,"50+")</f>
        <v/>
      </c>
      <c r="V2906" s="5">
        <f>IFS(O2906&lt;60000,"Low (&lt;60k)",O2906&lt;100000,"Mid (60-100k)",TRUE,"High (100k+)")</f>
        <v/>
      </c>
      <c r="W2906" s="5">
        <f>IF(M2906="No","Attrited","Active")</f>
        <v/>
      </c>
    </row>
    <row r="2907">
      <c r="A2907" s="5" t="inlineStr">
        <is>
          <t>E02906</t>
        </is>
      </c>
      <c r="B2907" s="5" t="inlineStr">
        <is>
          <t>Male</t>
        </is>
      </c>
      <c r="C2907" s="6" t="inlineStr">
        <is>
          <t>34</t>
        </is>
      </c>
      <c r="D2907" s="5" t="inlineStr">
        <is>
          <t>Divorced</t>
        </is>
      </c>
      <c r="E2907" s="5" t="inlineStr">
        <is>
          <t>Master</t>
        </is>
      </c>
      <c r="F2907" s="5" t="inlineStr">
        <is>
          <t>Finance</t>
        </is>
      </c>
      <c r="G2907" s="5" t="inlineStr">
        <is>
          <t>Accountant</t>
        </is>
      </c>
      <c r="H2907" s="5" t="inlineStr">
        <is>
          <t>3</t>
        </is>
      </c>
      <c r="I2907" s="5" t="inlineStr">
        <is>
          <t>Remote</t>
        </is>
      </c>
      <c r="J2907" s="5" t="inlineStr">
        <is>
          <t>Full-Time</t>
        </is>
      </c>
      <c r="K2907" s="7" t="n">
        <v>45742</v>
      </c>
      <c r="L2907" s="7" t="inlineStr"/>
      <c r="M2907" s="5" t="inlineStr">
        <is>
          <t>Yes</t>
        </is>
      </c>
      <c r="N2907" s="5" t="inlineStr"/>
      <c r="O2907" s="8" t="inlineStr">
        <is>
          <t>117500</t>
        </is>
      </c>
      <c r="P2907" s="5" t="inlineStr">
        <is>
          <t>0</t>
        </is>
      </c>
      <c r="Q2907" s="5" t="inlineStr">
        <is>
          <t>5</t>
        </is>
      </c>
      <c r="R2907" s="5" t="inlineStr">
        <is>
          <t>5</t>
        </is>
      </c>
      <c r="S2907" s="5" t="inlineStr">
        <is>
          <t>9</t>
        </is>
      </c>
      <c r="T2907" s="5" t="inlineStr">
        <is>
          <t>8</t>
        </is>
      </c>
      <c r="U2907" s="5">
        <f>IFS(C2907&lt;30,"Under 30",C2907&lt;40,"30-39",C2907&lt;50,"40-49",TRUE,"50+")</f>
        <v/>
      </c>
      <c r="V2907" s="5">
        <f>IFS(O2907&lt;60000,"Low (&lt;60k)",O2907&lt;100000,"Mid (60-100k)",TRUE,"High (100k+)")</f>
        <v/>
      </c>
      <c r="W2907" s="5">
        <f>IF(M2907="No","Attrited","Active")</f>
        <v/>
      </c>
    </row>
    <row r="2908">
      <c r="A2908" s="5" t="inlineStr">
        <is>
          <t>E02907</t>
        </is>
      </c>
      <c r="B2908" s="5" t="inlineStr">
        <is>
          <t>Male</t>
        </is>
      </c>
      <c r="C2908" s="6" t="inlineStr">
        <is>
          <t>25</t>
        </is>
      </c>
      <c r="D2908" s="5" t="inlineStr">
        <is>
          <t>Married</t>
        </is>
      </c>
      <c r="E2908" s="5" t="inlineStr">
        <is>
          <t>Bachelor</t>
        </is>
      </c>
      <c r="F2908" s="5" t="inlineStr">
        <is>
          <t>Customer Support</t>
        </is>
      </c>
      <c r="G2908" s="5" t="inlineStr">
        <is>
          <t>Escalation Specialist</t>
        </is>
      </c>
      <c r="H2908" s="5" t="inlineStr">
        <is>
          <t>1</t>
        </is>
      </c>
      <c r="I2908" s="5" t="inlineStr">
        <is>
          <t>Chennai</t>
        </is>
      </c>
      <c r="J2908" s="5" t="inlineStr">
        <is>
          <t>Full-Time</t>
        </is>
      </c>
      <c r="K2908" s="7" t="n">
        <v>44806</v>
      </c>
      <c r="L2908" s="7" t="n">
        <v>44858</v>
      </c>
      <c r="M2908" s="5" t="inlineStr">
        <is>
          <t>No</t>
        </is>
      </c>
      <c r="N2908" s="5" t="inlineStr">
        <is>
          <t>Retirement</t>
        </is>
      </c>
      <c r="O2908" s="8" t="inlineStr">
        <is>
          <t>62000</t>
        </is>
      </c>
      <c r="P2908" s="5" t="inlineStr">
        <is>
          <t>0</t>
        </is>
      </c>
      <c r="Q2908" s="5" t="inlineStr">
        <is>
          <t>5</t>
        </is>
      </c>
      <c r="R2908" s="5" t="inlineStr">
        <is>
          <t>8</t>
        </is>
      </c>
      <c r="S2908" s="5" t="inlineStr">
        <is>
          <t>1</t>
        </is>
      </c>
      <c r="T2908" s="5" t="inlineStr">
        <is>
          <t>10</t>
        </is>
      </c>
      <c r="U2908" s="5">
        <f>IFS(C2908&lt;30,"Under 30",C2908&lt;40,"30-39",C2908&lt;50,"40-49",TRUE,"50+")</f>
        <v/>
      </c>
      <c r="V2908" s="5">
        <f>IFS(O2908&lt;60000,"Low (&lt;60k)",O2908&lt;100000,"Mid (60-100k)",TRUE,"High (100k+)")</f>
        <v/>
      </c>
      <c r="W2908" s="5">
        <f>IF(M2908="No","Attrited","Active")</f>
        <v/>
      </c>
    </row>
    <row r="2909">
      <c r="A2909" s="5" t="inlineStr">
        <is>
          <t>E02908</t>
        </is>
      </c>
      <c r="B2909" s="5" t="inlineStr">
        <is>
          <t>Female</t>
        </is>
      </c>
      <c r="C2909" s="6" t="inlineStr">
        <is>
          <t>35</t>
        </is>
      </c>
      <c r="D2909" s="5" t="inlineStr">
        <is>
          <t>Single</t>
        </is>
      </c>
      <c r="E2909" s="5" t="inlineStr">
        <is>
          <t>Master</t>
        </is>
      </c>
      <c r="F2909" s="5" t="inlineStr">
        <is>
          <t>Operations</t>
        </is>
      </c>
      <c r="G2909" s="5" t="inlineStr">
        <is>
          <t>Operations Analyst</t>
        </is>
      </c>
      <c r="H2909" s="5" t="inlineStr">
        <is>
          <t>5</t>
        </is>
      </c>
      <c r="I2909" s="5" t="inlineStr">
        <is>
          <t>Bengaluru</t>
        </is>
      </c>
      <c r="J2909" s="5" t="inlineStr">
        <is>
          <t>Full-Time</t>
        </is>
      </c>
      <c r="K2909" s="7" t="n">
        <v>45833</v>
      </c>
      <c r="L2909" s="7" t="inlineStr"/>
      <c r="M2909" s="5" t="inlineStr">
        <is>
          <t>Yes</t>
        </is>
      </c>
      <c r="N2909" s="5" t="inlineStr"/>
      <c r="O2909" s="8" t="inlineStr">
        <is>
          <t>104000</t>
        </is>
      </c>
      <c r="P2909" s="5" t="inlineStr">
        <is>
          <t>20</t>
        </is>
      </c>
      <c r="Q2909" s="5" t="inlineStr">
        <is>
          <t>3</t>
        </is>
      </c>
      <c r="R2909" s="5" t="inlineStr">
        <is>
          <t>8</t>
        </is>
      </c>
      <c r="S2909" s="5" t="inlineStr">
        <is>
          <t>6</t>
        </is>
      </c>
      <c r="T2909" s="5" t="inlineStr">
        <is>
          <t>0</t>
        </is>
      </c>
      <c r="U2909" s="5">
        <f>IFS(C2909&lt;30,"Under 30",C2909&lt;40,"30-39",C2909&lt;50,"40-49",TRUE,"50+")</f>
        <v/>
      </c>
      <c r="V2909" s="5">
        <f>IFS(O2909&lt;60000,"Low (&lt;60k)",O2909&lt;100000,"Mid (60-100k)",TRUE,"High (100k+)")</f>
        <v/>
      </c>
      <c r="W2909" s="5">
        <f>IF(M2909="No","Attrited","Active")</f>
        <v/>
      </c>
    </row>
    <row r="2910">
      <c r="A2910" s="5" t="inlineStr">
        <is>
          <t>E02909</t>
        </is>
      </c>
      <c r="B2910" s="5" t="inlineStr">
        <is>
          <t>Female</t>
        </is>
      </c>
      <c r="C2910" s="6" t="inlineStr">
        <is>
          <t>29</t>
        </is>
      </c>
      <c r="D2910" s="5" t="inlineStr">
        <is>
          <t>Single</t>
        </is>
      </c>
      <c r="E2910" s="5" t="inlineStr">
        <is>
          <t>PhD</t>
        </is>
      </c>
      <c r="F2910" s="5" t="inlineStr">
        <is>
          <t>Operations</t>
        </is>
      </c>
      <c r="G2910" s="5" t="inlineStr">
        <is>
          <t>Operations Analyst</t>
        </is>
      </c>
      <c r="H2910" s="5" t="inlineStr">
        <is>
          <t>3</t>
        </is>
      </c>
      <c r="I2910" s="5" t="inlineStr">
        <is>
          <t>Mumbai</t>
        </is>
      </c>
      <c r="J2910" s="5" t="inlineStr">
        <is>
          <t>Full-Time</t>
        </is>
      </c>
      <c r="K2910" s="7" t="n">
        <v>45745</v>
      </c>
      <c r="L2910" s="7" t="inlineStr"/>
      <c r="M2910" s="5" t="inlineStr">
        <is>
          <t>Yes</t>
        </is>
      </c>
      <c r="N2910" s="5" t="inlineStr"/>
      <c r="O2910" s="8" t="inlineStr">
        <is>
          <t>123000</t>
        </is>
      </c>
      <c r="P2910" s="5" t="inlineStr">
        <is>
          <t>20</t>
        </is>
      </c>
      <c r="Q2910" s="5" t="inlineStr">
        <is>
          <t>3</t>
        </is>
      </c>
      <c r="R2910" s="5" t="inlineStr">
        <is>
          <t>6</t>
        </is>
      </c>
      <c r="S2910" s="5" t="inlineStr">
        <is>
          <t>9</t>
        </is>
      </c>
      <c r="T2910" s="5" t="inlineStr">
        <is>
          <t>13</t>
        </is>
      </c>
      <c r="U2910" s="5">
        <f>IFS(C2910&lt;30,"Under 30",C2910&lt;40,"30-39",C2910&lt;50,"40-49",TRUE,"50+")</f>
        <v/>
      </c>
      <c r="V2910" s="5">
        <f>IFS(O2910&lt;60000,"Low (&lt;60k)",O2910&lt;100000,"Mid (60-100k)",TRUE,"High (100k+)")</f>
        <v/>
      </c>
      <c r="W2910" s="5">
        <f>IF(M2910="No","Attrited","Active")</f>
        <v/>
      </c>
    </row>
    <row r="2911">
      <c r="A2911" s="5" t="inlineStr">
        <is>
          <t>E02910</t>
        </is>
      </c>
      <c r="B2911" s="5" t="inlineStr">
        <is>
          <t>Female</t>
        </is>
      </c>
      <c r="C2911" s="6" t="inlineStr">
        <is>
          <t>35</t>
        </is>
      </c>
      <c r="D2911" s="5" t="inlineStr">
        <is>
          <t>Married</t>
        </is>
      </c>
      <c r="E2911" s="5" t="inlineStr">
        <is>
          <t>Bachelor</t>
        </is>
      </c>
      <c r="F2911" s="5" t="inlineStr">
        <is>
          <t>Finance</t>
        </is>
      </c>
      <c r="G2911" s="5" t="inlineStr">
        <is>
          <t>Credit Analyst</t>
        </is>
      </c>
      <c r="H2911" s="5" t="inlineStr">
        <is>
          <t>4</t>
        </is>
      </c>
      <c r="I2911" s="5" t="inlineStr">
        <is>
          <t>Hyderabad</t>
        </is>
      </c>
      <c r="J2911" s="5" t="inlineStr">
        <is>
          <t>Full-Time</t>
        </is>
      </c>
      <c r="K2911" s="7" t="n">
        <v>45071</v>
      </c>
      <c r="L2911" s="7" t="inlineStr"/>
      <c r="M2911" s="5" t="inlineStr">
        <is>
          <t>Yes</t>
        </is>
      </c>
      <c r="N2911" s="5" t="inlineStr"/>
      <c r="O2911" s="8" t="inlineStr">
        <is>
          <t>108500</t>
        </is>
      </c>
      <c r="P2911" s="5" t="inlineStr">
        <is>
          <t>0</t>
        </is>
      </c>
      <c r="Q2911" s="5" t="inlineStr">
        <is>
          <t>4</t>
        </is>
      </c>
      <c r="R2911" s="5" t="inlineStr">
        <is>
          <t>7</t>
        </is>
      </c>
      <c r="S2911" s="5" t="inlineStr">
        <is>
          <t>31</t>
        </is>
      </c>
      <c r="T2911" s="5" t="inlineStr">
        <is>
          <t>1</t>
        </is>
      </c>
      <c r="U2911" s="5">
        <f>IFS(C2911&lt;30,"Under 30",C2911&lt;40,"30-39",C2911&lt;50,"40-49",TRUE,"50+")</f>
        <v/>
      </c>
      <c r="V2911" s="5">
        <f>IFS(O2911&lt;60000,"Low (&lt;60k)",O2911&lt;100000,"Mid (60-100k)",TRUE,"High (100k+)")</f>
        <v/>
      </c>
      <c r="W2911" s="5">
        <f>IF(M2911="No","Attrited","Active")</f>
        <v/>
      </c>
    </row>
    <row r="2912">
      <c r="A2912" s="5" t="inlineStr">
        <is>
          <t>E02911</t>
        </is>
      </c>
      <c r="B2912" s="5" t="inlineStr">
        <is>
          <t>Male</t>
        </is>
      </c>
      <c r="C2912" s="6" t="inlineStr">
        <is>
          <t>35</t>
        </is>
      </c>
      <c r="D2912" s="5" t="inlineStr">
        <is>
          <t>Single</t>
        </is>
      </c>
      <c r="E2912" s="5" t="inlineStr">
        <is>
          <t>Diploma</t>
        </is>
      </c>
      <c r="F2912" s="5" t="inlineStr">
        <is>
          <t>Sales</t>
        </is>
      </c>
      <c r="G2912" s="5" t="inlineStr">
        <is>
          <t>Account Executive</t>
        </is>
      </c>
      <c r="H2912" s="5" t="inlineStr">
        <is>
          <t>4</t>
        </is>
      </c>
      <c r="I2912" s="5" t="inlineStr">
        <is>
          <t>Mumbai</t>
        </is>
      </c>
      <c r="J2912" s="5" t="inlineStr">
        <is>
          <t>Full-Time</t>
        </is>
      </c>
      <c r="K2912" s="7" t="n">
        <v>44286</v>
      </c>
      <c r="L2912" s="7" t="inlineStr"/>
      <c r="M2912" s="5" t="inlineStr">
        <is>
          <t>Yes</t>
        </is>
      </c>
      <c r="N2912" s="5" t="inlineStr"/>
      <c r="O2912" s="8" t="inlineStr">
        <is>
          <t>107000</t>
        </is>
      </c>
      <c r="P2912" s="5" t="inlineStr">
        <is>
          <t>10</t>
        </is>
      </c>
      <c r="Q2912" s="5" t="inlineStr">
        <is>
          <t>3</t>
        </is>
      </c>
      <c r="R2912" s="5" t="inlineStr">
        <is>
          <t>10</t>
        </is>
      </c>
      <c r="S2912" s="5" t="inlineStr">
        <is>
          <t>57</t>
        </is>
      </c>
      <c r="T2912" s="5" t="inlineStr">
        <is>
          <t>7</t>
        </is>
      </c>
      <c r="U2912" s="5">
        <f>IFS(C2912&lt;30,"Under 30",C2912&lt;40,"30-39",C2912&lt;50,"40-49",TRUE,"50+")</f>
        <v/>
      </c>
      <c r="V2912" s="5">
        <f>IFS(O2912&lt;60000,"Low (&lt;60k)",O2912&lt;100000,"Mid (60-100k)",TRUE,"High (100k+)")</f>
        <v/>
      </c>
      <c r="W2912" s="5">
        <f>IF(M2912="No","Attrited","Active")</f>
        <v/>
      </c>
    </row>
    <row r="2913">
      <c r="A2913" s="5" t="inlineStr">
        <is>
          <t>E02912</t>
        </is>
      </c>
      <c r="B2913" s="5" t="inlineStr">
        <is>
          <t>Male</t>
        </is>
      </c>
      <c r="C2913" s="6" t="inlineStr">
        <is>
          <t>27</t>
        </is>
      </c>
      <c r="D2913" s="5" t="inlineStr">
        <is>
          <t>Married</t>
        </is>
      </c>
      <c r="E2913" s="5" t="inlineStr">
        <is>
          <t>Bachelor</t>
        </is>
      </c>
      <c r="F2913" s="5" t="inlineStr">
        <is>
          <t>Marketing</t>
        </is>
      </c>
      <c r="G2913" s="5" t="inlineStr">
        <is>
          <t>Marketing Analyst</t>
        </is>
      </c>
      <c r="H2913" s="5" t="inlineStr">
        <is>
          <t>1</t>
        </is>
      </c>
      <c r="I2913" s="5" t="inlineStr">
        <is>
          <t>Hyderabad</t>
        </is>
      </c>
      <c r="J2913" s="5" t="inlineStr">
        <is>
          <t>Full-Time</t>
        </is>
      </c>
      <c r="K2913" s="7" t="n">
        <v>45429</v>
      </c>
      <c r="L2913" s="7" t="inlineStr"/>
      <c r="M2913" s="5" t="inlineStr">
        <is>
          <t>Yes</t>
        </is>
      </c>
      <c r="N2913" s="5" t="inlineStr"/>
      <c r="O2913" s="8" t="inlineStr">
        <is>
          <t>64000</t>
        </is>
      </c>
      <c r="P2913" s="5" t="inlineStr">
        <is>
          <t>0</t>
        </is>
      </c>
      <c r="Q2913" s="5" t="inlineStr">
        <is>
          <t>5</t>
        </is>
      </c>
      <c r="R2913" s="5" t="inlineStr">
        <is>
          <t>3</t>
        </is>
      </c>
      <c r="S2913" s="5" t="inlineStr">
        <is>
          <t>19</t>
        </is>
      </c>
      <c r="T2913" s="5" t="inlineStr">
        <is>
          <t>0</t>
        </is>
      </c>
      <c r="U2913" s="5">
        <f>IFS(C2913&lt;30,"Under 30",C2913&lt;40,"30-39",C2913&lt;50,"40-49",TRUE,"50+")</f>
        <v/>
      </c>
      <c r="V2913" s="5">
        <f>IFS(O2913&lt;60000,"Low (&lt;60k)",O2913&lt;100000,"Mid (60-100k)",TRUE,"High (100k+)")</f>
        <v/>
      </c>
      <c r="W2913" s="5">
        <f>IF(M2913="No","Attrited","Active")</f>
        <v/>
      </c>
    </row>
    <row r="2914">
      <c r="A2914" s="5" t="inlineStr">
        <is>
          <t>E02913</t>
        </is>
      </c>
      <c r="B2914" s="5" t="inlineStr">
        <is>
          <t>Male</t>
        </is>
      </c>
      <c r="C2914" s="6" t="inlineStr">
        <is>
          <t>30</t>
        </is>
      </c>
      <c r="D2914" s="5" t="inlineStr">
        <is>
          <t>Single</t>
        </is>
      </c>
      <c r="E2914" s="5" t="inlineStr">
        <is>
          <t>PhD</t>
        </is>
      </c>
      <c r="F2914" s="5" t="inlineStr">
        <is>
          <t>IT</t>
        </is>
      </c>
      <c r="G2914" s="5" t="inlineStr">
        <is>
          <t>Data Analyst</t>
        </is>
      </c>
      <c r="H2914" s="5" t="inlineStr">
        <is>
          <t>2</t>
        </is>
      </c>
      <c r="I2914" s="5" t="inlineStr">
        <is>
          <t>Remote</t>
        </is>
      </c>
      <c r="J2914" s="5" t="inlineStr">
        <is>
          <t>Full-Time</t>
        </is>
      </c>
      <c r="K2914" s="7" t="n">
        <v>46008</v>
      </c>
      <c r="L2914" s="7" t="inlineStr"/>
      <c r="M2914" s="5" t="inlineStr">
        <is>
          <t>Yes</t>
        </is>
      </c>
      <c r="N2914" s="5" t="inlineStr"/>
      <c r="O2914" s="8" t="inlineStr">
        <is>
          <t>159000</t>
        </is>
      </c>
      <c r="P2914" s="5" t="inlineStr">
        <is>
          <t>0</t>
        </is>
      </c>
      <c r="Q2914" s="5" t="inlineStr">
        <is>
          <t>4</t>
        </is>
      </c>
      <c r="R2914" s="5" t="inlineStr">
        <is>
          <t>7</t>
        </is>
      </c>
      <c r="S2914" s="5" t="inlineStr">
        <is>
          <t>1</t>
        </is>
      </c>
      <c r="T2914" s="5" t="inlineStr">
        <is>
          <t>5</t>
        </is>
      </c>
      <c r="U2914" s="5">
        <f>IFS(C2914&lt;30,"Under 30",C2914&lt;40,"30-39",C2914&lt;50,"40-49",TRUE,"50+")</f>
        <v/>
      </c>
      <c r="V2914" s="5">
        <f>IFS(O2914&lt;60000,"Low (&lt;60k)",O2914&lt;100000,"Mid (60-100k)",TRUE,"High (100k+)")</f>
        <v/>
      </c>
      <c r="W2914" s="5">
        <f>IF(M2914="No","Attrited","Active")</f>
        <v/>
      </c>
    </row>
    <row r="2915">
      <c r="A2915" s="5" t="inlineStr">
        <is>
          <t>E02914</t>
        </is>
      </c>
      <c r="B2915" s="5" t="inlineStr">
        <is>
          <t>Female</t>
        </is>
      </c>
      <c r="C2915" s="6" t="inlineStr">
        <is>
          <t>34</t>
        </is>
      </c>
      <c r="D2915" s="5" t="inlineStr">
        <is>
          <t>Married</t>
        </is>
      </c>
      <c r="E2915" s="5" t="inlineStr">
        <is>
          <t>Diploma</t>
        </is>
      </c>
      <c r="F2915" s="5" t="inlineStr">
        <is>
          <t>Marketing</t>
        </is>
      </c>
      <c r="G2915" s="5" t="inlineStr">
        <is>
          <t>Marketing Analyst</t>
        </is>
      </c>
      <c r="H2915" s="5" t="inlineStr">
        <is>
          <t>1</t>
        </is>
      </c>
      <c r="I2915" s="5" t="inlineStr">
        <is>
          <t>Chennai</t>
        </is>
      </c>
      <c r="J2915" s="5" t="inlineStr">
        <is>
          <t>Full-Time</t>
        </is>
      </c>
      <c r="K2915" s="7" t="n">
        <v>45131</v>
      </c>
      <c r="L2915" s="7" t="inlineStr"/>
      <c r="M2915" s="5" t="inlineStr">
        <is>
          <t>Yes</t>
        </is>
      </c>
      <c r="N2915" s="5" t="inlineStr"/>
      <c r="O2915" s="8" t="inlineStr">
        <is>
          <t>51000</t>
        </is>
      </c>
      <c r="P2915" s="5" t="inlineStr">
        <is>
          <t>15</t>
        </is>
      </c>
      <c r="Q2915" s="5" t="inlineStr">
        <is>
          <t>5</t>
        </is>
      </c>
      <c r="R2915" s="5" t="inlineStr">
        <is>
          <t>5</t>
        </is>
      </c>
      <c r="S2915" s="5" t="inlineStr">
        <is>
          <t>29</t>
        </is>
      </c>
      <c r="T2915" s="5" t="inlineStr">
        <is>
          <t>0</t>
        </is>
      </c>
      <c r="U2915" s="5">
        <f>IFS(C2915&lt;30,"Under 30",C2915&lt;40,"30-39",C2915&lt;50,"40-49",TRUE,"50+")</f>
        <v/>
      </c>
      <c r="V2915" s="5">
        <f>IFS(O2915&lt;60000,"Low (&lt;60k)",O2915&lt;100000,"Mid (60-100k)",TRUE,"High (100k+)")</f>
        <v/>
      </c>
      <c r="W2915" s="5">
        <f>IF(M2915="No","Attrited","Active")</f>
        <v/>
      </c>
    </row>
    <row r="2916">
      <c r="A2916" s="5" t="inlineStr">
        <is>
          <t>E02915</t>
        </is>
      </c>
      <c r="B2916" s="5" t="inlineStr">
        <is>
          <t>Male</t>
        </is>
      </c>
      <c r="C2916" s="6" t="inlineStr">
        <is>
          <t>29</t>
        </is>
      </c>
      <c r="D2916" s="5" t="inlineStr">
        <is>
          <t>Divorced</t>
        </is>
      </c>
      <c r="E2916" s="5" t="inlineStr">
        <is>
          <t>Diploma</t>
        </is>
      </c>
      <c r="F2916" s="5" t="inlineStr">
        <is>
          <t>Customer Support</t>
        </is>
      </c>
      <c r="G2916" s="5" t="inlineStr">
        <is>
          <t>Support Lead</t>
        </is>
      </c>
      <c r="H2916" s="5" t="inlineStr">
        <is>
          <t>3</t>
        </is>
      </c>
      <c r="I2916" s="5" t="inlineStr">
        <is>
          <t>Remote</t>
        </is>
      </c>
      <c r="J2916" s="5" t="inlineStr">
        <is>
          <t>Full-Time</t>
        </is>
      </c>
      <c r="K2916" s="7" t="n">
        <v>45183</v>
      </c>
      <c r="L2916" s="7" t="inlineStr"/>
      <c r="M2916" s="5" t="inlineStr">
        <is>
          <t>Yes</t>
        </is>
      </c>
      <c r="N2916" s="5" t="inlineStr"/>
      <c r="O2916" s="8" t="inlineStr">
        <is>
          <t>55500</t>
        </is>
      </c>
      <c r="P2916" s="5" t="inlineStr">
        <is>
          <t>0</t>
        </is>
      </c>
      <c r="Q2916" s="5" t="inlineStr">
        <is>
          <t>3</t>
        </is>
      </c>
      <c r="R2916" s="5" t="inlineStr">
        <is>
          <t>6</t>
        </is>
      </c>
      <c r="S2916" s="5" t="inlineStr">
        <is>
          <t>27</t>
        </is>
      </c>
      <c r="T2916" s="5" t="inlineStr">
        <is>
          <t>9</t>
        </is>
      </c>
      <c r="U2916" s="5">
        <f>IFS(C2916&lt;30,"Under 30",C2916&lt;40,"30-39",C2916&lt;50,"40-49",TRUE,"50+")</f>
        <v/>
      </c>
      <c r="V2916" s="5">
        <f>IFS(O2916&lt;60000,"Low (&lt;60k)",O2916&lt;100000,"Mid (60-100k)",TRUE,"High (100k+)")</f>
        <v/>
      </c>
      <c r="W2916" s="5">
        <f>IF(M2916="No","Attrited","Active")</f>
        <v/>
      </c>
    </row>
    <row r="2917">
      <c r="A2917" s="5" t="inlineStr">
        <is>
          <t>E02916</t>
        </is>
      </c>
      <c r="B2917" s="5" t="inlineStr">
        <is>
          <t>Female</t>
        </is>
      </c>
      <c r="C2917" s="6" t="inlineStr">
        <is>
          <t>38</t>
        </is>
      </c>
      <c r="D2917" s="5" t="inlineStr">
        <is>
          <t>Single</t>
        </is>
      </c>
      <c r="E2917" s="5" t="inlineStr">
        <is>
          <t>High School</t>
        </is>
      </c>
      <c r="F2917" s="5" t="inlineStr">
        <is>
          <t>Operations</t>
        </is>
      </c>
      <c r="G2917" s="5" t="inlineStr">
        <is>
          <t>Operations Analyst</t>
        </is>
      </c>
      <c r="H2917" s="5" t="inlineStr">
        <is>
          <t>6</t>
        </is>
      </c>
      <c r="I2917" s="5" t="inlineStr">
        <is>
          <t>Delhi</t>
        </is>
      </c>
      <c r="J2917" s="5" t="inlineStr">
        <is>
          <t>Full-Time</t>
        </is>
      </c>
      <c r="K2917" s="7" t="n">
        <v>43939</v>
      </c>
      <c r="L2917" s="7" t="n">
        <v>44004</v>
      </c>
      <c r="M2917" s="5" t="inlineStr">
        <is>
          <t>No</t>
        </is>
      </c>
      <c r="N2917" s="5" t="inlineStr">
        <is>
          <t>Layoff</t>
        </is>
      </c>
      <c r="O2917" s="8" t="inlineStr">
        <is>
          <t>117000</t>
        </is>
      </c>
      <c r="P2917" s="5" t="inlineStr">
        <is>
          <t>0</t>
        </is>
      </c>
      <c r="Q2917" s="5" t="inlineStr">
        <is>
          <t>3</t>
        </is>
      </c>
      <c r="R2917" s="5" t="inlineStr">
        <is>
          <t>5</t>
        </is>
      </c>
      <c r="S2917" s="5" t="inlineStr">
        <is>
          <t>2</t>
        </is>
      </c>
      <c r="T2917" s="5" t="inlineStr">
        <is>
          <t>9</t>
        </is>
      </c>
      <c r="U2917" s="5">
        <f>IFS(C2917&lt;30,"Under 30",C2917&lt;40,"30-39",C2917&lt;50,"40-49",TRUE,"50+")</f>
        <v/>
      </c>
      <c r="V2917" s="5">
        <f>IFS(O2917&lt;60000,"Low (&lt;60k)",O2917&lt;100000,"Mid (60-100k)",TRUE,"High (100k+)")</f>
        <v/>
      </c>
      <c r="W2917" s="5">
        <f>IF(M2917="No","Attrited","Active")</f>
        <v/>
      </c>
    </row>
    <row r="2918">
      <c r="A2918" s="5" t="inlineStr">
        <is>
          <t>E02917</t>
        </is>
      </c>
      <c r="B2918" s="5" t="inlineStr">
        <is>
          <t>Female</t>
        </is>
      </c>
      <c r="C2918" s="6" t="inlineStr">
        <is>
          <t>31</t>
        </is>
      </c>
      <c r="D2918" s="5" t="inlineStr">
        <is>
          <t>Divorced</t>
        </is>
      </c>
      <c r="E2918" s="5" t="inlineStr">
        <is>
          <t>High School</t>
        </is>
      </c>
      <c r="F2918" s="5" t="inlineStr">
        <is>
          <t>Marketing</t>
        </is>
      </c>
      <c r="G2918" s="5" t="inlineStr">
        <is>
          <t>SEO Specialist</t>
        </is>
      </c>
      <c r="H2918" s="5" t="inlineStr">
        <is>
          <t>4</t>
        </is>
      </c>
      <c r="I2918" s="5" t="inlineStr">
        <is>
          <t>Mumbai</t>
        </is>
      </c>
      <c r="J2918" s="5" t="inlineStr">
        <is>
          <t>Full-Time</t>
        </is>
      </c>
      <c r="K2918" s="7" t="n">
        <v>43949</v>
      </c>
      <c r="L2918" s="7" t="inlineStr"/>
      <c r="M2918" s="5" t="inlineStr">
        <is>
          <t>Yes</t>
        </is>
      </c>
      <c r="N2918" s="5" t="inlineStr"/>
      <c r="O2918" s="8" t="inlineStr">
        <is>
          <t>100000</t>
        </is>
      </c>
      <c r="P2918" s="5" t="inlineStr">
        <is>
          <t>0</t>
        </is>
      </c>
      <c r="Q2918" s="5" t="inlineStr">
        <is>
          <t>4</t>
        </is>
      </c>
      <c r="R2918" s="5" t="inlineStr">
        <is>
          <t>5</t>
        </is>
      </c>
      <c r="S2918" s="5" t="inlineStr">
        <is>
          <t>69</t>
        </is>
      </c>
      <c r="T2918" s="5" t="inlineStr">
        <is>
          <t>0</t>
        </is>
      </c>
      <c r="U2918" s="5">
        <f>IFS(C2918&lt;30,"Under 30",C2918&lt;40,"30-39",C2918&lt;50,"40-49",TRUE,"50+")</f>
        <v/>
      </c>
      <c r="V2918" s="5">
        <f>IFS(O2918&lt;60000,"Low (&lt;60k)",O2918&lt;100000,"Mid (60-100k)",TRUE,"High (100k+)")</f>
        <v/>
      </c>
      <c r="W2918" s="5">
        <f>IF(M2918="No","Attrited","Active")</f>
        <v/>
      </c>
    </row>
    <row r="2919">
      <c r="A2919" s="5" t="inlineStr">
        <is>
          <t>E02918</t>
        </is>
      </c>
      <c r="B2919" s="5" t="inlineStr">
        <is>
          <t>Female</t>
        </is>
      </c>
      <c r="C2919" s="6" t="inlineStr">
        <is>
          <t>43</t>
        </is>
      </c>
      <c r="D2919" s="5" t="inlineStr">
        <is>
          <t>Married</t>
        </is>
      </c>
      <c r="E2919" s="5" t="inlineStr">
        <is>
          <t>High School</t>
        </is>
      </c>
      <c r="F2919" s="5" t="inlineStr">
        <is>
          <t>Operations</t>
        </is>
      </c>
      <c r="G2919" s="5" t="inlineStr">
        <is>
          <t>Logistics Coordinator</t>
        </is>
      </c>
      <c r="H2919" s="5" t="inlineStr">
        <is>
          <t>6</t>
        </is>
      </c>
      <c r="I2919" s="5" t="inlineStr">
        <is>
          <t>Delhi</t>
        </is>
      </c>
      <c r="J2919" s="5" t="inlineStr">
        <is>
          <t>Full-Time</t>
        </is>
      </c>
      <c r="K2919" s="7" t="n">
        <v>45818</v>
      </c>
      <c r="L2919" s="7" t="inlineStr"/>
      <c r="M2919" s="5" t="inlineStr">
        <is>
          <t>Yes</t>
        </is>
      </c>
      <c r="N2919" s="5" t="inlineStr"/>
      <c r="O2919" s="8" t="inlineStr">
        <is>
          <t>140000</t>
        </is>
      </c>
      <c r="P2919" s="5" t="inlineStr">
        <is>
          <t>0</t>
        </is>
      </c>
      <c r="Q2919" s="5" t="inlineStr">
        <is>
          <t>3</t>
        </is>
      </c>
      <c r="R2919" s="5" t="inlineStr">
        <is>
          <t>8</t>
        </is>
      </c>
      <c r="S2919" s="5" t="inlineStr">
        <is>
          <t>6</t>
        </is>
      </c>
      <c r="T2919" s="5" t="inlineStr">
        <is>
          <t>6</t>
        </is>
      </c>
      <c r="U2919" s="5">
        <f>IFS(C2919&lt;30,"Under 30",C2919&lt;40,"30-39",C2919&lt;50,"40-49",TRUE,"50+")</f>
        <v/>
      </c>
      <c r="V2919" s="5">
        <f>IFS(O2919&lt;60000,"Low (&lt;60k)",O2919&lt;100000,"Mid (60-100k)",TRUE,"High (100k+)")</f>
        <v/>
      </c>
      <c r="W2919" s="5">
        <f>IF(M2919="No","Attrited","Active")</f>
        <v/>
      </c>
    </row>
    <row r="2920">
      <c r="A2920" s="5" t="inlineStr">
        <is>
          <t>E02919</t>
        </is>
      </c>
      <c r="B2920" s="5" t="inlineStr">
        <is>
          <t>Female</t>
        </is>
      </c>
      <c r="C2920" s="6" t="inlineStr">
        <is>
          <t>26</t>
        </is>
      </c>
      <c r="D2920" s="5" t="inlineStr">
        <is>
          <t>Married</t>
        </is>
      </c>
      <c r="E2920" s="5" t="inlineStr">
        <is>
          <t>High School</t>
        </is>
      </c>
      <c r="F2920" s="5" t="inlineStr">
        <is>
          <t>Customer Support</t>
        </is>
      </c>
      <c r="G2920" s="5" t="inlineStr">
        <is>
          <t>Escalation Specialist</t>
        </is>
      </c>
      <c r="H2920" s="5" t="inlineStr">
        <is>
          <t>2</t>
        </is>
      </c>
      <c r="I2920" s="5" t="inlineStr">
        <is>
          <t>Bengaluru</t>
        </is>
      </c>
      <c r="J2920" s="5" t="inlineStr">
        <is>
          <t>Full-Time</t>
        </is>
      </c>
      <c r="K2920" s="7" t="n">
        <v>43848</v>
      </c>
      <c r="L2920" s="7" t="inlineStr"/>
      <c r="M2920" s="5" t="inlineStr">
        <is>
          <t>Yes</t>
        </is>
      </c>
      <c r="N2920" s="5" t="inlineStr"/>
      <c r="O2920" s="8" t="inlineStr">
        <is>
          <t>55500</t>
        </is>
      </c>
      <c r="P2920" s="5" t="inlineStr">
        <is>
          <t>0</t>
        </is>
      </c>
      <c r="Q2920" s="5" t="inlineStr">
        <is>
          <t>4</t>
        </is>
      </c>
      <c r="R2920" s="5" t="inlineStr">
        <is>
          <t>4</t>
        </is>
      </c>
      <c r="S2920" s="5" t="inlineStr">
        <is>
          <t>72</t>
        </is>
      </c>
      <c r="T2920" s="5" t="inlineStr">
        <is>
          <t>10</t>
        </is>
      </c>
      <c r="U2920" s="5">
        <f>IFS(C2920&lt;30,"Under 30",C2920&lt;40,"30-39",C2920&lt;50,"40-49",TRUE,"50+")</f>
        <v/>
      </c>
      <c r="V2920" s="5">
        <f>IFS(O2920&lt;60000,"Low (&lt;60k)",O2920&lt;100000,"Mid (60-100k)",TRUE,"High (100k+)")</f>
        <v/>
      </c>
      <c r="W2920" s="5">
        <f>IF(M2920="No","Attrited","Active")</f>
        <v/>
      </c>
    </row>
    <row r="2921">
      <c r="A2921" s="5" t="inlineStr">
        <is>
          <t>E02920</t>
        </is>
      </c>
      <c r="B2921" s="5" t="inlineStr">
        <is>
          <t>Female</t>
        </is>
      </c>
      <c r="C2921" s="6" t="inlineStr">
        <is>
          <t>27</t>
        </is>
      </c>
      <c r="D2921" s="5" t="inlineStr">
        <is>
          <t>Married</t>
        </is>
      </c>
      <c r="E2921" s="5" t="inlineStr">
        <is>
          <t>Bachelor</t>
        </is>
      </c>
      <c r="F2921" s="5" t="inlineStr">
        <is>
          <t>Sales</t>
        </is>
      </c>
      <c r="G2921" s="5" t="inlineStr">
        <is>
          <t>Account Executive</t>
        </is>
      </c>
      <c r="H2921" s="5" t="inlineStr">
        <is>
          <t>3</t>
        </is>
      </c>
      <c r="I2921" s="5" t="inlineStr">
        <is>
          <t>Mumbai</t>
        </is>
      </c>
      <c r="J2921" s="5" t="inlineStr">
        <is>
          <t>Full-Time</t>
        </is>
      </c>
      <c r="K2921" s="7" t="n">
        <v>44603</v>
      </c>
      <c r="L2921" s="7" t="inlineStr"/>
      <c r="M2921" s="5" t="inlineStr">
        <is>
          <t>Yes</t>
        </is>
      </c>
      <c r="N2921" s="5" t="inlineStr"/>
      <c r="O2921" s="8" t="inlineStr">
        <is>
          <t>106500</t>
        </is>
      </c>
      <c r="P2921" s="5" t="inlineStr">
        <is>
          <t>10</t>
        </is>
      </c>
      <c r="Q2921" s="5" t="inlineStr">
        <is>
          <t>5</t>
        </is>
      </c>
      <c r="R2921" s="5" t="inlineStr">
        <is>
          <t>6</t>
        </is>
      </c>
      <c r="S2921" s="5" t="inlineStr">
        <is>
          <t>47</t>
        </is>
      </c>
      <c r="T2921" s="5" t="inlineStr">
        <is>
          <t>10</t>
        </is>
      </c>
      <c r="U2921" s="5">
        <f>IFS(C2921&lt;30,"Under 30",C2921&lt;40,"30-39",C2921&lt;50,"40-49",TRUE,"50+")</f>
        <v/>
      </c>
      <c r="V2921" s="5">
        <f>IFS(O2921&lt;60000,"Low (&lt;60k)",O2921&lt;100000,"Mid (60-100k)",TRUE,"High (100k+)")</f>
        <v/>
      </c>
      <c r="W2921" s="5">
        <f>IF(M2921="No","Attrited","Active")</f>
        <v/>
      </c>
    </row>
    <row r="2922">
      <c r="A2922" s="5" t="inlineStr">
        <is>
          <t>E02921</t>
        </is>
      </c>
      <c r="B2922" s="5" t="inlineStr">
        <is>
          <t>Female</t>
        </is>
      </c>
      <c r="C2922" s="6" t="inlineStr">
        <is>
          <t>33</t>
        </is>
      </c>
      <c r="D2922" s="5" t="inlineStr">
        <is>
          <t>Divorced</t>
        </is>
      </c>
      <c r="E2922" s="5" t="inlineStr">
        <is>
          <t>Bachelor</t>
        </is>
      </c>
      <c r="F2922" s="5" t="inlineStr">
        <is>
          <t>IT</t>
        </is>
      </c>
      <c r="G2922" s="5" t="inlineStr">
        <is>
          <t>IT Support</t>
        </is>
      </c>
      <c r="H2922" s="5" t="inlineStr">
        <is>
          <t>3</t>
        </is>
      </c>
      <c r="I2922" s="5" t="inlineStr">
        <is>
          <t>Remote</t>
        </is>
      </c>
      <c r="J2922" s="5" t="inlineStr">
        <is>
          <t>Full-Time</t>
        </is>
      </c>
      <c r="K2922" s="7" t="n">
        <v>44257</v>
      </c>
      <c r="L2922" s="7" t="inlineStr"/>
      <c r="M2922" s="5" t="inlineStr">
        <is>
          <t>Yes</t>
        </is>
      </c>
      <c r="N2922" s="5" t="inlineStr"/>
      <c r="O2922" s="8" t="inlineStr">
        <is>
          <t>183500</t>
        </is>
      </c>
      <c r="P2922" s="5" t="inlineStr">
        <is>
          <t>5</t>
        </is>
      </c>
      <c r="Q2922" s="5" t="inlineStr">
        <is>
          <t>3</t>
        </is>
      </c>
      <c r="R2922" s="5" t="inlineStr">
        <is>
          <t>8</t>
        </is>
      </c>
      <c r="S2922" s="5" t="inlineStr">
        <is>
          <t>58</t>
        </is>
      </c>
      <c r="T2922" s="5" t="inlineStr">
        <is>
          <t>2</t>
        </is>
      </c>
      <c r="U2922" s="5">
        <f>IFS(C2922&lt;30,"Under 30",C2922&lt;40,"30-39",C2922&lt;50,"40-49",TRUE,"50+")</f>
        <v/>
      </c>
      <c r="V2922" s="5">
        <f>IFS(O2922&lt;60000,"Low (&lt;60k)",O2922&lt;100000,"Mid (60-100k)",TRUE,"High (100k+)")</f>
        <v/>
      </c>
      <c r="W2922" s="5">
        <f>IF(M2922="No","Attrited","Active")</f>
        <v/>
      </c>
    </row>
    <row r="2923">
      <c r="A2923" s="5" t="inlineStr">
        <is>
          <t>E02922</t>
        </is>
      </c>
      <c r="B2923" s="5" t="inlineStr">
        <is>
          <t>Female</t>
        </is>
      </c>
      <c r="C2923" s="6" t="inlineStr">
        <is>
          <t>27</t>
        </is>
      </c>
      <c r="D2923" s="5" t="inlineStr">
        <is>
          <t>Married</t>
        </is>
      </c>
      <c r="E2923" s="5" t="inlineStr">
        <is>
          <t>High School</t>
        </is>
      </c>
      <c r="F2923" s="5" t="inlineStr">
        <is>
          <t>Operations</t>
        </is>
      </c>
      <c r="G2923" s="5" t="inlineStr">
        <is>
          <t>Logistics Coordinator</t>
        </is>
      </c>
      <c r="H2923" s="5" t="inlineStr">
        <is>
          <t>2</t>
        </is>
      </c>
      <c r="I2923" s="5" t="inlineStr">
        <is>
          <t>Bengaluru</t>
        </is>
      </c>
      <c r="J2923" s="5" t="inlineStr">
        <is>
          <t>Full-Time</t>
        </is>
      </c>
      <c r="K2923" s="7" t="n">
        <v>44911</v>
      </c>
      <c r="L2923" s="7" t="n">
        <v>45048</v>
      </c>
      <c r="M2923" s="5" t="inlineStr">
        <is>
          <t>No</t>
        </is>
      </c>
      <c r="N2923" s="5" t="inlineStr">
        <is>
          <t>Retirement</t>
        </is>
      </c>
      <c r="O2923" s="8" t="inlineStr">
        <is>
          <t>64000</t>
        </is>
      </c>
      <c r="P2923" s="5" t="inlineStr">
        <is>
          <t>10</t>
        </is>
      </c>
      <c r="Q2923" s="5" t="inlineStr">
        <is>
          <t>4</t>
        </is>
      </c>
      <c r="R2923" s="5" t="inlineStr">
        <is>
          <t>7</t>
        </is>
      </c>
      <c r="S2923" s="5" t="inlineStr">
        <is>
          <t>4</t>
        </is>
      </c>
      <c r="T2923" s="5" t="inlineStr">
        <is>
          <t>8</t>
        </is>
      </c>
      <c r="U2923" s="5">
        <f>IFS(C2923&lt;30,"Under 30",C2923&lt;40,"30-39",C2923&lt;50,"40-49",TRUE,"50+")</f>
        <v/>
      </c>
      <c r="V2923" s="5">
        <f>IFS(O2923&lt;60000,"Low (&lt;60k)",O2923&lt;100000,"Mid (60-100k)",TRUE,"High (100k+)")</f>
        <v/>
      </c>
      <c r="W2923" s="5">
        <f>IF(M2923="No","Attrited","Active")</f>
        <v/>
      </c>
    </row>
    <row r="2924">
      <c r="A2924" s="5" t="inlineStr">
        <is>
          <t>E02923</t>
        </is>
      </c>
      <c r="B2924" s="5" t="inlineStr">
        <is>
          <t>Male</t>
        </is>
      </c>
      <c r="C2924" s="6" t="inlineStr">
        <is>
          <t>46</t>
        </is>
      </c>
      <c r="D2924" s="5" t="inlineStr">
        <is>
          <t>Married</t>
        </is>
      </c>
      <c r="E2924" s="5" t="inlineStr">
        <is>
          <t>Master</t>
        </is>
      </c>
      <c r="F2924" s="5" t="inlineStr">
        <is>
          <t>IT</t>
        </is>
      </c>
      <c r="G2924" s="5" t="inlineStr">
        <is>
          <t>DevOps Engineer</t>
        </is>
      </c>
      <c r="H2924" s="5" t="inlineStr">
        <is>
          <t>7</t>
        </is>
      </c>
      <c r="I2924" s="5" t="inlineStr">
        <is>
          <t>Remote</t>
        </is>
      </c>
      <c r="J2924" s="5" t="inlineStr">
        <is>
          <t>Full-Time</t>
        </is>
      </c>
      <c r="K2924" s="7" t="n">
        <v>45627</v>
      </c>
      <c r="L2924" s="7" t="inlineStr"/>
      <c r="M2924" s="5" t="inlineStr">
        <is>
          <t>Yes</t>
        </is>
      </c>
      <c r="N2924" s="5" t="inlineStr"/>
      <c r="O2924" s="8" t="inlineStr">
        <is>
          <t>163000</t>
        </is>
      </c>
      <c r="P2924" s="5" t="inlineStr">
        <is>
          <t>5</t>
        </is>
      </c>
      <c r="Q2924" s="5" t="inlineStr">
        <is>
          <t>5</t>
        </is>
      </c>
      <c r="R2924" s="5" t="inlineStr">
        <is>
          <t>3</t>
        </is>
      </c>
      <c r="S2924" s="5" t="inlineStr">
        <is>
          <t>13</t>
        </is>
      </c>
      <c r="T2924" s="5" t="inlineStr">
        <is>
          <t>6</t>
        </is>
      </c>
      <c r="U2924" s="5">
        <f>IFS(C2924&lt;30,"Under 30",C2924&lt;40,"30-39",C2924&lt;50,"40-49",TRUE,"50+")</f>
        <v/>
      </c>
      <c r="V2924" s="5">
        <f>IFS(O2924&lt;60000,"Low (&lt;60k)",O2924&lt;100000,"Mid (60-100k)",TRUE,"High (100k+)")</f>
        <v/>
      </c>
      <c r="W2924" s="5">
        <f>IF(M2924="No","Attrited","Active")</f>
        <v/>
      </c>
    </row>
    <row r="2925">
      <c r="A2925" s="5" t="inlineStr">
        <is>
          <t>E02924</t>
        </is>
      </c>
      <c r="B2925" s="5" t="inlineStr">
        <is>
          <t>Female</t>
        </is>
      </c>
      <c r="C2925" s="6" t="inlineStr">
        <is>
          <t>29</t>
        </is>
      </c>
      <c r="D2925" s="5" t="inlineStr">
        <is>
          <t>Married</t>
        </is>
      </c>
      <c r="E2925" s="5" t="inlineStr">
        <is>
          <t>Bachelor</t>
        </is>
      </c>
      <c r="F2925" s="5" t="inlineStr">
        <is>
          <t>Customer Support</t>
        </is>
      </c>
      <c r="G2925" s="5" t="inlineStr">
        <is>
          <t>Support Lead</t>
        </is>
      </c>
      <c r="H2925" s="5" t="inlineStr">
        <is>
          <t>1</t>
        </is>
      </c>
      <c r="I2925" s="5" t="inlineStr">
        <is>
          <t>Mumbai</t>
        </is>
      </c>
      <c r="J2925" s="5" t="inlineStr">
        <is>
          <t>Full-Time</t>
        </is>
      </c>
      <c r="K2925" s="7" t="n">
        <v>44539</v>
      </c>
      <c r="L2925" s="7" t="inlineStr"/>
      <c r="M2925" s="5" t="inlineStr">
        <is>
          <t>Yes</t>
        </is>
      </c>
      <c r="N2925" s="5" t="inlineStr"/>
      <c r="O2925" s="8" t="inlineStr">
        <is>
          <t>61000</t>
        </is>
      </c>
      <c r="P2925" s="5" t="inlineStr">
        <is>
          <t>20</t>
        </is>
      </c>
      <c r="Q2925" s="5" t="inlineStr">
        <is>
          <t>5</t>
        </is>
      </c>
      <c r="R2925" s="5" t="inlineStr">
        <is>
          <t>4</t>
        </is>
      </c>
      <c r="S2925" s="5" t="inlineStr">
        <is>
          <t>49</t>
        </is>
      </c>
      <c r="T2925" s="5" t="inlineStr">
        <is>
          <t>0</t>
        </is>
      </c>
      <c r="U2925" s="5">
        <f>IFS(C2925&lt;30,"Under 30",C2925&lt;40,"30-39",C2925&lt;50,"40-49",TRUE,"50+")</f>
        <v/>
      </c>
      <c r="V2925" s="5">
        <f>IFS(O2925&lt;60000,"Low (&lt;60k)",O2925&lt;100000,"Mid (60-100k)",TRUE,"High (100k+)")</f>
        <v/>
      </c>
      <c r="W2925" s="5">
        <f>IF(M2925="No","Attrited","Active")</f>
        <v/>
      </c>
    </row>
    <row r="2926">
      <c r="A2926" s="5" t="inlineStr">
        <is>
          <t>E02925</t>
        </is>
      </c>
      <c r="B2926" s="5" t="inlineStr">
        <is>
          <t>Female</t>
        </is>
      </c>
      <c r="C2926" s="6" t="inlineStr">
        <is>
          <t>37</t>
        </is>
      </c>
      <c r="D2926" s="5" t="inlineStr">
        <is>
          <t>Married</t>
        </is>
      </c>
      <c r="E2926" s="5" t="inlineStr">
        <is>
          <t>High School</t>
        </is>
      </c>
      <c r="F2926" s="5" t="inlineStr">
        <is>
          <t>Customer Support</t>
        </is>
      </c>
      <c r="G2926" s="5" t="inlineStr">
        <is>
          <t>Support Agent</t>
        </is>
      </c>
      <c r="H2926" s="5" t="inlineStr">
        <is>
          <t>4</t>
        </is>
      </c>
      <c r="I2926" s="5" t="inlineStr">
        <is>
          <t>Chennai</t>
        </is>
      </c>
      <c r="J2926" s="5" t="inlineStr">
        <is>
          <t>Full-Time</t>
        </is>
      </c>
      <c r="K2926" s="7" t="n">
        <v>44933</v>
      </c>
      <c r="L2926" s="7" t="inlineStr"/>
      <c r="M2926" s="5" t="inlineStr">
        <is>
          <t>Yes</t>
        </is>
      </c>
      <c r="N2926" s="5" t="inlineStr"/>
      <c r="O2926" s="8" t="inlineStr">
        <is>
          <t>71000</t>
        </is>
      </c>
      <c r="P2926" s="5" t="inlineStr">
        <is>
          <t>5</t>
        </is>
      </c>
      <c r="Q2926" s="5" t="inlineStr">
        <is>
          <t>5</t>
        </is>
      </c>
      <c r="R2926" s="5" t="inlineStr">
        <is>
          <t>4</t>
        </is>
      </c>
      <c r="S2926" s="5" t="inlineStr">
        <is>
          <t>36</t>
        </is>
      </c>
      <c r="T2926" s="5" t="inlineStr">
        <is>
          <t>0</t>
        </is>
      </c>
      <c r="U2926" s="5">
        <f>IFS(C2926&lt;30,"Under 30",C2926&lt;40,"30-39",C2926&lt;50,"40-49",TRUE,"50+")</f>
        <v/>
      </c>
      <c r="V2926" s="5">
        <f>IFS(O2926&lt;60000,"Low (&lt;60k)",O2926&lt;100000,"Mid (60-100k)",TRUE,"High (100k+)")</f>
        <v/>
      </c>
      <c r="W2926" s="5">
        <f>IF(M2926="No","Attrited","Active")</f>
        <v/>
      </c>
    </row>
    <row r="2927">
      <c r="A2927" s="5" t="inlineStr">
        <is>
          <t>E02926</t>
        </is>
      </c>
      <c r="B2927" s="5" t="inlineStr">
        <is>
          <t>Female</t>
        </is>
      </c>
      <c r="C2927" s="6" t="inlineStr">
        <is>
          <t>44</t>
        </is>
      </c>
      <c r="D2927" s="5" t="inlineStr">
        <is>
          <t>Married</t>
        </is>
      </c>
      <c r="E2927" s="5" t="inlineStr">
        <is>
          <t>Master</t>
        </is>
      </c>
      <c r="F2927" s="5" t="inlineStr">
        <is>
          <t>IT</t>
        </is>
      </c>
      <c r="G2927" s="5" t="inlineStr">
        <is>
          <t>Software Engineer</t>
        </is>
      </c>
      <c r="H2927" s="5" t="inlineStr">
        <is>
          <t>6</t>
        </is>
      </c>
      <c r="I2927" s="5" t="inlineStr">
        <is>
          <t>Remote</t>
        </is>
      </c>
      <c r="J2927" s="5" t="inlineStr">
        <is>
          <t>Full-Time</t>
        </is>
      </c>
      <c r="K2927" s="7" t="n">
        <v>44192</v>
      </c>
      <c r="L2927" s="7" t="inlineStr"/>
      <c r="M2927" s="5" t="inlineStr">
        <is>
          <t>Yes</t>
        </is>
      </c>
      <c r="N2927" s="5" t="inlineStr"/>
      <c r="O2927" s="8" t="inlineStr">
        <is>
          <t>167500</t>
        </is>
      </c>
      <c r="P2927" s="5" t="inlineStr">
        <is>
          <t>0</t>
        </is>
      </c>
      <c r="Q2927" s="5" t="inlineStr">
        <is>
          <t>3</t>
        </is>
      </c>
      <c r="R2927" s="5" t="inlineStr">
        <is>
          <t>6</t>
        </is>
      </c>
      <c r="S2927" s="5" t="inlineStr">
        <is>
          <t>61</t>
        </is>
      </c>
      <c r="T2927" s="5" t="inlineStr">
        <is>
          <t>4</t>
        </is>
      </c>
      <c r="U2927" s="5">
        <f>IFS(C2927&lt;30,"Under 30",C2927&lt;40,"30-39",C2927&lt;50,"40-49",TRUE,"50+")</f>
        <v/>
      </c>
      <c r="V2927" s="5">
        <f>IFS(O2927&lt;60000,"Low (&lt;60k)",O2927&lt;100000,"Mid (60-100k)",TRUE,"High (100k+)")</f>
        <v/>
      </c>
      <c r="W2927" s="5">
        <f>IF(M2927="No","Attrited","Active")</f>
        <v/>
      </c>
    </row>
    <row r="2928">
      <c r="A2928" s="5" t="inlineStr">
        <is>
          <t>E02927</t>
        </is>
      </c>
      <c r="B2928" s="5" t="inlineStr">
        <is>
          <t>Female</t>
        </is>
      </c>
      <c r="C2928" s="6" t="inlineStr">
        <is>
          <t>30</t>
        </is>
      </c>
      <c r="D2928" s="5" t="inlineStr">
        <is>
          <t>Single</t>
        </is>
      </c>
      <c r="E2928" s="5" t="inlineStr">
        <is>
          <t>High School</t>
        </is>
      </c>
      <c r="F2928" s="5" t="inlineStr">
        <is>
          <t>Operations</t>
        </is>
      </c>
      <c r="G2928" s="5" t="inlineStr">
        <is>
          <t>Quality Analyst</t>
        </is>
      </c>
      <c r="H2928" s="5" t="inlineStr">
        <is>
          <t>2</t>
        </is>
      </c>
      <c r="I2928" s="5" t="inlineStr">
        <is>
          <t>Mumbai</t>
        </is>
      </c>
      <c r="J2928" s="5" t="inlineStr">
        <is>
          <t>Full-Time</t>
        </is>
      </c>
      <c r="K2928" s="7" t="n">
        <v>44611</v>
      </c>
      <c r="L2928" s="7" t="inlineStr"/>
      <c r="M2928" s="5" t="inlineStr">
        <is>
          <t>Yes</t>
        </is>
      </c>
      <c r="N2928" s="5" t="inlineStr"/>
      <c r="O2928" s="8" t="inlineStr">
        <is>
          <t>95000</t>
        </is>
      </c>
      <c r="P2928" s="5" t="inlineStr">
        <is>
          <t>15</t>
        </is>
      </c>
      <c r="Q2928" s="5" t="inlineStr">
        <is>
          <t>3</t>
        </is>
      </c>
      <c r="R2928" s="5" t="inlineStr">
        <is>
          <t>5</t>
        </is>
      </c>
      <c r="S2928" s="5" t="inlineStr">
        <is>
          <t>47</t>
        </is>
      </c>
      <c r="T2928" s="5" t="inlineStr">
        <is>
          <t>0</t>
        </is>
      </c>
      <c r="U2928" s="5">
        <f>IFS(C2928&lt;30,"Under 30",C2928&lt;40,"30-39",C2928&lt;50,"40-49",TRUE,"50+")</f>
        <v/>
      </c>
      <c r="V2928" s="5">
        <f>IFS(O2928&lt;60000,"Low (&lt;60k)",O2928&lt;100000,"Mid (60-100k)",TRUE,"High (100k+)")</f>
        <v/>
      </c>
      <c r="W2928" s="5">
        <f>IF(M2928="No","Attrited","Active")</f>
        <v/>
      </c>
    </row>
    <row r="2929">
      <c r="A2929" s="5" t="inlineStr">
        <is>
          <t>E02928</t>
        </is>
      </c>
      <c r="B2929" s="5" t="inlineStr">
        <is>
          <t>Male</t>
        </is>
      </c>
      <c r="C2929" s="6" t="inlineStr">
        <is>
          <t>30</t>
        </is>
      </c>
      <c r="D2929" s="5" t="inlineStr">
        <is>
          <t>Single</t>
        </is>
      </c>
      <c r="E2929" s="5" t="inlineStr">
        <is>
          <t>Bachelor</t>
        </is>
      </c>
      <c r="F2929" s="5" t="inlineStr">
        <is>
          <t>Sales</t>
        </is>
      </c>
      <c r="G2929" s="5" t="inlineStr">
        <is>
          <t>Sales Executive</t>
        </is>
      </c>
      <c r="H2929" s="5" t="inlineStr">
        <is>
          <t>3</t>
        </is>
      </c>
      <c r="I2929" s="5" t="inlineStr">
        <is>
          <t>Chennai</t>
        </is>
      </c>
      <c r="J2929" s="5" t="inlineStr">
        <is>
          <t>Full-Time</t>
        </is>
      </c>
      <c r="K2929" s="7" t="n">
        <v>44231</v>
      </c>
      <c r="L2929" s="7" t="inlineStr"/>
      <c r="M2929" s="5" t="inlineStr">
        <is>
          <t>Yes</t>
        </is>
      </c>
      <c r="N2929" s="5" t="inlineStr"/>
      <c r="O2929" s="8" t="inlineStr">
        <is>
          <t>110500</t>
        </is>
      </c>
      <c r="P2929" s="5" t="inlineStr">
        <is>
          <t>10</t>
        </is>
      </c>
      <c r="Q2929" s="5" t="inlineStr">
        <is>
          <t>2</t>
        </is>
      </c>
      <c r="R2929" s="5" t="inlineStr">
        <is>
          <t>9</t>
        </is>
      </c>
      <c r="S2929" s="5" t="inlineStr">
        <is>
          <t>59</t>
        </is>
      </c>
      <c r="T2929" s="5" t="inlineStr">
        <is>
          <t>6</t>
        </is>
      </c>
      <c r="U2929" s="5">
        <f>IFS(C2929&lt;30,"Under 30",C2929&lt;40,"30-39",C2929&lt;50,"40-49",TRUE,"50+")</f>
        <v/>
      </c>
      <c r="V2929" s="5">
        <f>IFS(O2929&lt;60000,"Low (&lt;60k)",O2929&lt;100000,"Mid (60-100k)",TRUE,"High (100k+)")</f>
        <v/>
      </c>
      <c r="W2929" s="5">
        <f>IF(M2929="No","Attrited","Active")</f>
        <v/>
      </c>
    </row>
    <row r="2930">
      <c r="A2930" s="5" t="inlineStr">
        <is>
          <t>E02929</t>
        </is>
      </c>
      <c r="B2930" s="5" t="inlineStr">
        <is>
          <t>Female</t>
        </is>
      </c>
      <c r="C2930" s="6" t="inlineStr">
        <is>
          <t>30</t>
        </is>
      </c>
      <c r="D2930" s="5" t="inlineStr">
        <is>
          <t>Single</t>
        </is>
      </c>
      <c r="E2930" s="5" t="inlineStr">
        <is>
          <t>Diploma</t>
        </is>
      </c>
      <c r="F2930" s="5" t="inlineStr">
        <is>
          <t>Sales</t>
        </is>
      </c>
      <c r="G2930" s="5" t="inlineStr">
        <is>
          <t>Sales Executive</t>
        </is>
      </c>
      <c r="H2930" s="5" t="inlineStr">
        <is>
          <t>2</t>
        </is>
      </c>
      <c r="I2930" s="5" t="inlineStr">
        <is>
          <t>Chennai</t>
        </is>
      </c>
      <c r="J2930" s="5" t="inlineStr">
        <is>
          <t>Full-Time</t>
        </is>
      </c>
      <c r="K2930" s="7" t="n">
        <v>44133</v>
      </c>
      <c r="L2930" s="7" t="inlineStr"/>
      <c r="M2930" s="5" t="inlineStr">
        <is>
          <t>Yes</t>
        </is>
      </c>
      <c r="N2930" s="5" t="inlineStr"/>
      <c r="O2930" s="8" t="inlineStr">
        <is>
          <t>69000</t>
        </is>
      </c>
      <c r="P2930" s="5" t="inlineStr">
        <is>
          <t>20</t>
        </is>
      </c>
      <c r="Q2930" s="5" t="inlineStr">
        <is>
          <t>4</t>
        </is>
      </c>
      <c r="R2930" s="5" t="inlineStr">
        <is>
          <t>6</t>
        </is>
      </c>
      <c r="S2930" s="5" t="inlineStr">
        <is>
          <t>62</t>
        </is>
      </c>
      <c r="T2930" s="5" t="inlineStr">
        <is>
          <t>0</t>
        </is>
      </c>
      <c r="U2930" s="5">
        <f>IFS(C2930&lt;30,"Under 30",C2930&lt;40,"30-39",C2930&lt;50,"40-49",TRUE,"50+")</f>
        <v/>
      </c>
      <c r="V2930" s="5">
        <f>IFS(O2930&lt;60000,"Low (&lt;60k)",O2930&lt;100000,"Mid (60-100k)",TRUE,"High (100k+)")</f>
        <v/>
      </c>
      <c r="W2930" s="5">
        <f>IF(M2930="No","Attrited","Active")</f>
        <v/>
      </c>
    </row>
    <row r="2931">
      <c r="A2931" s="5" t="inlineStr">
        <is>
          <t>E02930</t>
        </is>
      </c>
      <c r="B2931" s="5" t="inlineStr">
        <is>
          <t>Female</t>
        </is>
      </c>
      <c r="C2931" s="6" t="inlineStr">
        <is>
          <t>29</t>
        </is>
      </c>
      <c r="D2931" s="5" t="inlineStr">
        <is>
          <t>Married</t>
        </is>
      </c>
      <c r="E2931" s="5" t="inlineStr">
        <is>
          <t>Master</t>
        </is>
      </c>
      <c r="F2931" s="5" t="inlineStr">
        <is>
          <t>IT</t>
        </is>
      </c>
      <c r="G2931" s="5" t="inlineStr">
        <is>
          <t>Software Engineer</t>
        </is>
      </c>
      <c r="H2931" s="5" t="inlineStr">
        <is>
          <t>2</t>
        </is>
      </c>
      <c r="I2931" s="5" t="inlineStr">
        <is>
          <t>Chennai</t>
        </is>
      </c>
      <c r="J2931" s="5" t="inlineStr">
        <is>
          <t>Full-Time</t>
        </is>
      </c>
      <c r="K2931" s="7" t="n">
        <v>45261</v>
      </c>
      <c r="L2931" s="7" t="n">
        <v>45362</v>
      </c>
      <c r="M2931" s="5" t="inlineStr">
        <is>
          <t>No</t>
        </is>
      </c>
      <c r="N2931" s="5" t="inlineStr">
        <is>
          <t>Retirement</t>
        </is>
      </c>
      <c r="O2931" s="8" t="inlineStr">
        <is>
          <t>137000</t>
        </is>
      </c>
      <c r="P2931" s="5" t="inlineStr">
        <is>
          <t>0</t>
        </is>
      </c>
      <c r="Q2931" s="5" t="inlineStr">
        <is>
          <t>3</t>
        </is>
      </c>
      <c r="R2931" s="5" t="inlineStr">
        <is>
          <t>6</t>
        </is>
      </c>
      <c r="S2931" s="5" t="inlineStr">
        <is>
          <t>3</t>
        </is>
      </c>
      <c r="T2931" s="5" t="inlineStr">
        <is>
          <t>8</t>
        </is>
      </c>
      <c r="U2931" s="5">
        <f>IFS(C2931&lt;30,"Under 30",C2931&lt;40,"30-39",C2931&lt;50,"40-49",TRUE,"50+")</f>
        <v/>
      </c>
      <c r="V2931" s="5">
        <f>IFS(O2931&lt;60000,"Low (&lt;60k)",O2931&lt;100000,"Mid (60-100k)",TRUE,"High (100k+)")</f>
        <v/>
      </c>
      <c r="W2931" s="5">
        <f>IF(M2931="No","Attrited","Active")</f>
        <v/>
      </c>
    </row>
    <row r="2932">
      <c r="A2932" s="5" t="inlineStr">
        <is>
          <t>E02931</t>
        </is>
      </c>
      <c r="B2932" s="5" t="inlineStr">
        <is>
          <t>Male</t>
        </is>
      </c>
      <c r="C2932" s="6" t="inlineStr">
        <is>
          <t>34</t>
        </is>
      </c>
      <c r="D2932" s="5" t="inlineStr">
        <is>
          <t>Married</t>
        </is>
      </c>
      <c r="E2932" s="5" t="inlineStr">
        <is>
          <t>Bachelor</t>
        </is>
      </c>
      <c r="F2932" s="5" t="inlineStr">
        <is>
          <t>Customer Support</t>
        </is>
      </c>
      <c r="G2932" s="5" t="inlineStr">
        <is>
          <t>Escalation Specialist</t>
        </is>
      </c>
      <c r="H2932" s="5" t="inlineStr">
        <is>
          <t>3</t>
        </is>
      </c>
      <c r="I2932" s="5" t="inlineStr">
        <is>
          <t>Hyderabad</t>
        </is>
      </c>
      <c r="J2932" s="5" t="inlineStr">
        <is>
          <t>Full-Time</t>
        </is>
      </c>
      <c r="K2932" s="7" t="n">
        <v>45205</v>
      </c>
      <c r="L2932" s="7" t="inlineStr"/>
      <c r="M2932" s="5" t="inlineStr">
        <is>
          <t>Yes</t>
        </is>
      </c>
      <c r="N2932" s="5" t="inlineStr"/>
      <c r="O2932" s="8" t="inlineStr">
        <is>
          <t>64500</t>
        </is>
      </c>
      <c r="P2932" s="5" t="inlineStr">
        <is>
          <t>0</t>
        </is>
      </c>
      <c r="Q2932" s="5" t="inlineStr">
        <is>
          <t>4</t>
        </is>
      </c>
      <c r="R2932" s="5" t="inlineStr">
        <is>
          <t>7</t>
        </is>
      </c>
      <c r="S2932" s="5" t="inlineStr">
        <is>
          <t>27</t>
        </is>
      </c>
      <c r="T2932" s="5" t="inlineStr">
        <is>
          <t>6</t>
        </is>
      </c>
      <c r="U2932" s="5">
        <f>IFS(C2932&lt;30,"Under 30",C2932&lt;40,"30-39",C2932&lt;50,"40-49",TRUE,"50+")</f>
        <v/>
      </c>
      <c r="V2932" s="5">
        <f>IFS(O2932&lt;60000,"Low (&lt;60k)",O2932&lt;100000,"Mid (60-100k)",TRUE,"High (100k+)")</f>
        <v/>
      </c>
      <c r="W2932" s="5">
        <f>IF(M2932="No","Attrited","Active")</f>
        <v/>
      </c>
    </row>
    <row r="2933">
      <c r="A2933" s="5" t="inlineStr">
        <is>
          <t>E02932</t>
        </is>
      </c>
      <c r="B2933" s="5" t="inlineStr">
        <is>
          <t>Male</t>
        </is>
      </c>
      <c r="C2933" s="6" t="inlineStr">
        <is>
          <t>34</t>
        </is>
      </c>
      <c r="D2933" s="5" t="inlineStr">
        <is>
          <t>Single</t>
        </is>
      </c>
      <c r="E2933" s="5" t="inlineStr">
        <is>
          <t>Master</t>
        </is>
      </c>
      <c r="F2933" s="5" t="inlineStr">
        <is>
          <t>Human Resources</t>
        </is>
      </c>
      <c r="G2933" s="5" t="inlineStr">
        <is>
          <t>Recruiter</t>
        </is>
      </c>
      <c r="H2933" s="5" t="inlineStr">
        <is>
          <t>6</t>
        </is>
      </c>
      <c r="I2933" s="5" t="inlineStr">
        <is>
          <t>Bengaluru</t>
        </is>
      </c>
      <c r="J2933" s="5" t="inlineStr">
        <is>
          <t>Full-Time</t>
        </is>
      </c>
      <c r="K2933" s="7" t="n">
        <v>44108</v>
      </c>
      <c r="L2933" s="7" t="inlineStr"/>
      <c r="M2933" s="5" t="inlineStr">
        <is>
          <t>Yes</t>
        </is>
      </c>
      <c r="N2933" s="5" t="inlineStr"/>
      <c r="O2933" s="8" t="inlineStr">
        <is>
          <t>170500</t>
        </is>
      </c>
      <c r="P2933" s="5" t="inlineStr">
        <is>
          <t>15</t>
        </is>
      </c>
      <c r="Q2933" s="5" t="inlineStr">
        <is>
          <t>2</t>
        </is>
      </c>
      <c r="R2933" s="5" t="inlineStr">
        <is>
          <t>4</t>
        </is>
      </c>
      <c r="S2933" s="5" t="inlineStr">
        <is>
          <t>63</t>
        </is>
      </c>
      <c r="T2933" s="5" t="inlineStr">
        <is>
          <t>0</t>
        </is>
      </c>
      <c r="U2933" s="5">
        <f>IFS(C2933&lt;30,"Under 30",C2933&lt;40,"30-39",C2933&lt;50,"40-49",TRUE,"50+")</f>
        <v/>
      </c>
      <c r="V2933" s="5">
        <f>IFS(O2933&lt;60000,"Low (&lt;60k)",O2933&lt;100000,"Mid (60-100k)",TRUE,"High (100k+)")</f>
        <v/>
      </c>
      <c r="W2933" s="5">
        <f>IF(M2933="No","Attrited","Active")</f>
        <v/>
      </c>
    </row>
    <row r="2934">
      <c r="A2934" s="5" t="inlineStr">
        <is>
          <t>E02933</t>
        </is>
      </c>
      <c r="B2934" s="5" t="inlineStr">
        <is>
          <t>Female</t>
        </is>
      </c>
      <c r="C2934" s="6" t="inlineStr">
        <is>
          <t>33</t>
        </is>
      </c>
      <c r="D2934" s="5" t="inlineStr">
        <is>
          <t>Married</t>
        </is>
      </c>
      <c r="E2934" s="5" t="inlineStr">
        <is>
          <t>Diploma</t>
        </is>
      </c>
      <c r="F2934" s="5" t="inlineStr">
        <is>
          <t>Sales</t>
        </is>
      </c>
      <c r="G2934" s="5" t="inlineStr">
        <is>
          <t>Sales Executive</t>
        </is>
      </c>
      <c r="H2934" s="5" t="inlineStr">
        <is>
          <t>3</t>
        </is>
      </c>
      <c r="I2934" s="5" t="inlineStr">
        <is>
          <t>Remote</t>
        </is>
      </c>
      <c r="J2934" s="5" t="inlineStr">
        <is>
          <t>Full-Time</t>
        </is>
      </c>
      <c r="K2934" s="7" t="n">
        <v>44958</v>
      </c>
      <c r="L2934" s="7" t="inlineStr"/>
      <c r="M2934" s="5" t="inlineStr">
        <is>
          <t>Yes</t>
        </is>
      </c>
      <c r="N2934" s="5" t="inlineStr"/>
      <c r="O2934" s="8" t="inlineStr">
        <is>
          <t>133500</t>
        </is>
      </c>
      <c r="P2934" s="5" t="inlineStr">
        <is>
          <t>5</t>
        </is>
      </c>
      <c r="Q2934" s="5" t="inlineStr">
        <is>
          <t>4</t>
        </is>
      </c>
      <c r="R2934" s="5" t="inlineStr">
        <is>
          <t>5</t>
        </is>
      </c>
      <c r="S2934" s="5" t="inlineStr">
        <is>
          <t>35</t>
        </is>
      </c>
      <c r="T2934" s="5" t="inlineStr">
        <is>
          <t>13</t>
        </is>
      </c>
      <c r="U2934" s="5">
        <f>IFS(C2934&lt;30,"Under 30",C2934&lt;40,"30-39",C2934&lt;50,"40-49",TRUE,"50+")</f>
        <v/>
      </c>
      <c r="V2934" s="5">
        <f>IFS(O2934&lt;60000,"Low (&lt;60k)",O2934&lt;100000,"Mid (60-100k)",TRUE,"High (100k+)")</f>
        <v/>
      </c>
      <c r="W2934" s="5">
        <f>IF(M2934="No","Attrited","Active")</f>
        <v/>
      </c>
    </row>
    <row r="2935">
      <c r="A2935" s="5" t="inlineStr">
        <is>
          <t>E02934</t>
        </is>
      </c>
      <c r="B2935" s="5" t="inlineStr">
        <is>
          <t>Female</t>
        </is>
      </c>
      <c r="C2935" s="6" t="inlineStr">
        <is>
          <t>31</t>
        </is>
      </c>
      <c r="D2935" s="5" t="inlineStr">
        <is>
          <t>Married</t>
        </is>
      </c>
      <c r="E2935" s="5" t="inlineStr">
        <is>
          <t>Master</t>
        </is>
      </c>
      <c r="F2935" s="5" t="inlineStr">
        <is>
          <t>IT</t>
        </is>
      </c>
      <c r="G2935" s="5" t="inlineStr">
        <is>
          <t>Data Analyst</t>
        </is>
      </c>
      <c r="H2935" s="5" t="inlineStr">
        <is>
          <t>3</t>
        </is>
      </c>
      <c r="I2935" s="5" t="inlineStr">
        <is>
          <t>Hyderabad</t>
        </is>
      </c>
      <c r="J2935" s="5" t="inlineStr">
        <is>
          <t>Full-Time</t>
        </is>
      </c>
      <c r="K2935" s="7" t="n">
        <v>45081</v>
      </c>
      <c r="L2935" s="7" t="inlineStr"/>
      <c r="M2935" s="5" t="inlineStr">
        <is>
          <t>Yes</t>
        </is>
      </c>
      <c r="N2935" s="5" t="inlineStr"/>
      <c r="O2935" s="8" t="inlineStr">
        <is>
          <t>116500</t>
        </is>
      </c>
      <c r="P2935" s="5" t="inlineStr">
        <is>
          <t>0</t>
        </is>
      </c>
      <c r="Q2935" s="5" t="inlineStr">
        <is>
          <t>3</t>
        </is>
      </c>
      <c r="R2935" s="5" t="inlineStr">
        <is>
          <t>4</t>
        </is>
      </c>
      <c r="S2935" s="5" t="inlineStr">
        <is>
          <t>31</t>
        </is>
      </c>
      <c r="T2935" s="5" t="inlineStr">
        <is>
          <t>6</t>
        </is>
      </c>
      <c r="U2935" s="5">
        <f>IFS(C2935&lt;30,"Under 30",C2935&lt;40,"30-39",C2935&lt;50,"40-49",TRUE,"50+")</f>
        <v/>
      </c>
      <c r="V2935" s="5">
        <f>IFS(O2935&lt;60000,"Low (&lt;60k)",O2935&lt;100000,"Mid (60-100k)",TRUE,"High (100k+)")</f>
        <v/>
      </c>
      <c r="W2935" s="5">
        <f>IF(M2935="No","Attrited","Active")</f>
        <v/>
      </c>
    </row>
    <row r="2936">
      <c r="A2936" s="5" t="inlineStr">
        <is>
          <t>E02935</t>
        </is>
      </c>
      <c r="B2936" s="5" t="inlineStr">
        <is>
          <t>Female</t>
        </is>
      </c>
      <c r="C2936" s="6" t="inlineStr">
        <is>
          <t>40</t>
        </is>
      </c>
      <c r="D2936" s="5" t="inlineStr">
        <is>
          <t>Married</t>
        </is>
      </c>
      <c r="E2936" s="5" t="inlineStr">
        <is>
          <t>High School</t>
        </is>
      </c>
      <c r="F2936" s="5" t="inlineStr">
        <is>
          <t>Finance</t>
        </is>
      </c>
      <c r="G2936" s="5" t="inlineStr">
        <is>
          <t>Credit Analyst</t>
        </is>
      </c>
      <c r="H2936" s="5" t="inlineStr">
        <is>
          <t>4</t>
        </is>
      </c>
      <c r="I2936" s="5" t="inlineStr">
        <is>
          <t>Chennai</t>
        </is>
      </c>
      <c r="J2936" s="5" t="inlineStr">
        <is>
          <t>Full-Time</t>
        </is>
      </c>
      <c r="K2936" s="7" t="n">
        <v>44837</v>
      </c>
      <c r="L2936" s="7" t="n">
        <v>44967</v>
      </c>
      <c r="M2936" s="5" t="inlineStr">
        <is>
          <t>No</t>
        </is>
      </c>
      <c r="N2936" s="5" t="inlineStr">
        <is>
          <t>Retirement</t>
        </is>
      </c>
      <c r="O2936" s="8" t="inlineStr">
        <is>
          <t>121500</t>
        </is>
      </c>
      <c r="P2936" s="5" t="inlineStr">
        <is>
          <t>20</t>
        </is>
      </c>
      <c r="Q2936" s="5" t="inlineStr">
        <is>
          <t>4</t>
        </is>
      </c>
      <c r="R2936" s="5" t="inlineStr">
        <is>
          <t>8</t>
        </is>
      </c>
      <c r="S2936" s="5" t="inlineStr">
        <is>
          <t>4</t>
        </is>
      </c>
      <c r="T2936" s="5" t="inlineStr">
        <is>
          <t>3</t>
        </is>
      </c>
      <c r="U2936" s="5">
        <f>IFS(C2936&lt;30,"Under 30",C2936&lt;40,"30-39",C2936&lt;50,"40-49",TRUE,"50+")</f>
        <v/>
      </c>
      <c r="V2936" s="5">
        <f>IFS(O2936&lt;60000,"Low (&lt;60k)",O2936&lt;100000,"Mid (60-100k)",TRUE,"High (100k+)")</f>
        <v/>
      </c>
      <c r="W2936" s="5">
        <f>IF(M2936="No","Attrited","Active")</f>
        <v/>
      </c>
    </row>
    <row r="2937">
      <c r="A2937" s="5" t="inlineStr">
        <is>
          <t>E02936</t>
        </is>
      </c>
      <c r="B2937" s="5" t="inlineStr">
        <is>
          <t>Female</t>
        </is>
      </c>
      <c r="C2937" s="6" t="inlineStr">
        <is>
          <t>35</t>
        </is>
      </c>
      <c r="D2937" s="5" t="inlineStr">
        <is>
          <t>Married</t>
        </is>
      </c>
      <c r="E2937" s="5" t="inlineStr">
        <is>
          <t>High School</t>
        </is>
      </c>
      <c r="F2937" s="5" t="inlineStr">
        <is>
          <t>Finance</t>
        </is>
      </c>
      <c r="G2937" s="5" t="inlineStr">
        <is>
          <t>Financial Analyst</t>
        </is>
      </c>
      <c r="H2937" s="5" t="inlineStr">
        <is>
          <t>3</t>
        </is>
      </c>
      <c r="I2937" s="5" t="inlineStr">
        <is>
          <t>Delhi</t>
        </is>
      </c>
      <c r="J2937" s="5" t="inlineStr">
        <is>
          <t>Full-Time</t>
        </is>
      </c>
      <c r="K2937" s="7" t="n">
        <v>45848</v>
      </c>
      <c r="L2937" s="7" t="inlineStr"/>
      <c r="M2937" s="5" t="inlineStr">
        <is>
          <t>Yes</t>
        </is>
      </c>
      <c r="N2937" s="5" t="inlineStr"/>
      <c r="O2937" s="8" t="inlineStr">
        <is>
          <t>112500</t>
        </is>
      </c>
      <c r="P2937" s="5" t="inlineStr">
        <is>
          <t>10</t>
        </is>
      </c>
      <c r="Q2937" s="5" t="inlineStr">
        <is>
          <t>3</t>
        </is>
      </c>
      <c r="R2937" s="5" t="inlineStr">
        <is>
          <t>6</t>
        </is>
      </c>
      <c r="S2937" s="5" t="inlineStr">
        <is>
          <t>5</t>
        </is>
      </c>
      <c r="T2937" s="5" t="inlineStr">
        <is>
          <t>10</t>
        </is>
      </c>
      <c r="U2937" s="5">
        <f>IFS(C2937&lt;30,"Under 30",C2937&lt;40,"30-39",C2937&lt;50,"40-49",TRUE,"50+")</f>
        <v/>
      </c>
      <c r="V2937" s="5">
        <f>IFS(O2937&lt;60000,"Low (&lt;60k)",O2937&lt;100000,"Mid (60-100k)",TRUE,"High (100k+)")</f>
        <v/>
      </c>
      <c r="W2937" s="5">
        <f>IF(M2937="No","Attrited","Active")</f>
        <v/>
      </c>
    </row>
    <row r="2938">
      <c r="A2938" s="5" t="inlineStr">
        <is>
          <t>E02937</t>
        </is>
      </c>
      <c r="B2938" s="5" t="inlineStr">
        <is>
          <t>Female</t>
        </is>
      </c>
      <c r="C2938" s="6" t="inlineStr">
        <is>
          <t>29</t>
        </is>
      </c>
      <c r="D2938" s="5" t="inlineStr">
        <is>
          <t>Married</t>
        </is>
      </c>
      <c r="E2938" s="5" t="inlineStr">
        <is>
          <t>High School</t>
        </is>
      </c>
      <c r="F2938" s="5" t="inlineStr">
        <is>
          <t>Executive</t>
        </is>
      </c>
      <c r="G2938" s="5" t="inlineStr">
        <is>
          <t>CFO</t>
        </is>
      </c>
      <c r="H2938" s="5" t="inlineStr">
        <is>
          <t>2</t>
        </is>
      </c>
      <c r="I2938" s="5" t="inlineStr">
        <is>
          <t>Bengaluru</t>
        </is>
      </c>
      <c r="J2938" s="5" t="inlineStr">
        <is>
          <t>Full-Time</t>
        </is>
      </c>
      <c r="K2938" s="7" t="n">
        <v>45149</v>
      </c>
      <c r="L2938" s="7" t="inlineStr"/>
      <c r="M2938" s="5" t="inlineStr">
        <is>
          <t>Yes</t>
        </is>
      </c>
      <c r="N2938" s="5" t="inlineStr"/>
      <c r="O2938" s="8" t="inlineStr">
        <is>
          <t>204000</t>
        </is>
      </c>
      <c r="P2938" s="5" t="inlineStr">
        <is>
          <t>0</t>
        </is>
      </c>
      <c r="Q2938" s="5" t="inlineStr">
        <is>
          <t>4</t>
        </is>
      </c>
      <c r="R2938" s="5" t="inlineStr">
        <is>
          <t>6</t>
        </is>
      </c>
      <c r="S2938" s="5" t="inlineStr">
        <is>
          <t>29</t>
        </is>
      </c>
      <c r="T2938" s="5" t="inlineStr">
        <is>
          <t>0</t>
        </is>
      </c>
      <c r="U2938" s="5">
        <f>IFS(C2938&lt;30,"Under 30",C2938&lt;40,"30-39",C2938&lt;50,"40-49",TRUE,"50+")</f>
        <v/>
      </c>
      <c r="V2938" s="5">
        <f>IFS(O2938&lt;60000,"Low (&lt;60k)",O2938&lt;100000,"Mid (60-100k)",TRUE,"High (100k+)")</f>
        <v/>
      </c>
      <c r="W2938" s="5">
        <f>IF(M2938="No","Attrited","Active")</f>
        <v/>
      </c>
    </row>
    <row r="2939">
      <c r="A2939" s="5" t="inlineStr">
        <is>
          <t>E02938</t>
        </is>
      </c>
      <c r="B2939" s="5" t="inlineStr">
        <is>
          <t>Female</t>
        </is>
      </c>
      <c r="C2939" s="6" t="inlineStr">
        <is>
          <t>30</t>
        </is>
      </c>
      <c r="D2939" s="5" t="inlineStr">
        <is>
          <t>Married</t>
        </is>
      </c>
      <c r="E2939" s="5" t="inlineStr">
        <is>
          <t>High School</t>
        </is>
      </c>
      <c r="F2939" s="5" t="inlineStr">
        <is>
          <t>Customer Support</t>
        </is>
      </c>
      <c r="G2939" s="5" t="inlineStr">
        <is>
          <t>Support Lead</t>
        </is>
      </c>
      <c r="H2939" s="5" t="inlineStr">
        <is>
          <t>2</t>
        </is>
      </c>
      <c r="I2939" s="5" t="inlineStr">
        <is>
          <t>Delhi</t>
        </is>
      </c>
      <c r="J2939" s="5" t="inlineStr">
        <is>
          <t>Full-Time</t>
        </is>
      </c>
      <c r="K2939" s="7" t="n">
        <v>45877</v>
      </c>
      <c r="L2939" s="7" t="inlineStr"/>
      <c r="M2939" s="5" t="inlineStr">
        <is>
          <t>Yes</t>
        </is>
      </c>
      <c r="N2939" s="5" t="inlineStr"/>
      <c r="O2939" s="8" t="inlineStr">
        <is>
          <t>81000</t>
        </is>
      </c>
      <c r="P2939" s="5" t="inlineStr">
        <is>
          <t>5</t>
        </is>
      </c>
      <c r="Q2939" s="5" t="inlineStr">
        <is>
          <t>2</t>
        </is>
      </c>
      <c r="R2939" s="5" t="inlineStr">
        <is>
          <t>2</t>
        </is>
      </c>
      <c r="S2939" s="5" t="inlineStr">
        <is>
          <t>4</t>
        </is>
      </c>
      <c r="T2939" s="5" t="inlineStr">
        <is>
          <t>7</t>
        </is>
      </c>
      <c r="U2939" s="5">
        <f>IFS(C2939&lt;30,"Under 30",C2939&lt;40,"30-39",C2939&lt;50,"40-49",TRUE,"50+")</f>
        <v/>
      </c>
      <c r="V2939" s="5">
        <f>IFS(O2939&lt;60000,"Low (&lt;60k)",O2939&lt;100000,"Mid (60-100k)",TRUE,"High (100k+)")</f>
        <v/>
      </c>
      <c r="W2939" s="5">
        <f>IF(M2939="No","Attrited","Active")</f>
        <v/>
      </c>
    </row>
    <row r="2940">
      <c r="A2940" s="5" t="inlineStr">
        <is>
          <t>E02939</t>
        </is>
      </c>
      <c r="B2940" s="5" t="inlineStr">
        <is>
          <t>Male</t>
        </is>
      </c>
      <c r="C2940" s="6" t="inlineStr">
        <is>
          <t>31</t>
        </is>
      </c>
      <c r="D2940" s="5" t="inlineStr">
        <is>
          <t>Married</t>
        </is>
      </c>
      <c r="E2940" s="5" t="inlineStr">
        <is>
          <t>PhD</t>
        </is>
      </c>
      <c r="F2940" s="5" t="inlineStr">
        <is>
          <t>Finance</t>
        </is>
      </c>
      <c r="G2940" s="5" t="inlineStr">
        <is>
          <t>Credit Analyst</t>
        </is>
      </c>
      <c r="H2940" s="5" t="inlineStr">
        <is>
          <t>5</t>
        </is>
      </c>
      <c r="I2940" s="5" t="inlineStr">
        <is>
          <t>Mumbai</t>
        </is>
      </c>
      <c r="J2940" s="5" t="inlineStr">
        <is>
          <t>Part-Time</t>
        </is>
      </c>
      <c r="K2940" s="7" t="n">
        <v>45635</v>
      </c>
      <c r="L2940" s="7" t="inlineStr"/>
      <c r="M2940" s="5" t="inlineStr">
        <is>
          <t>Yes</t>
        </is>
      </c>
      <c r="N2940" s="5" t="inlineStr"/>
      <c r="O2940" s="8" t="inlineStr">
        <is>
          <t>142000</t>
        </is>
      </c>
      <c r="P2940" s="5" t="inlineStr">
        <is>
          <t>5</t>
        </is>
      </c>
      <c r="Q2940" s="5" t="inlineStr">
        <is>
          <t>4</t>
        </is>
      </c>
      <c r="R2940" s="5" t="inlineStr">
        <is>
          <t>6</t>
        </is>
      </c>
      <c r="S2940" s="5" t="inlineStr">
        <is>
          <t>12</t>
        </is>
      </c>
      <c r="T2940" s="5" t="inlineStr">
        <is>
          <t>11</t>
        </is>
      </c>
      <c r="U2940" s="5">
        <f>IFS(C2940&lt;30,"Under 30",C2940&lt;40,"30-39",C2940&lt;50,"40-49",TRUE,"50+")</f>
        <v/>
      </c>
      <c r="V2940" s="5">
        <f>IFS(O2940&lt;60000,"Low (&lt;60k)",O2940&lt;100000,"Mid (60-100k)",TRUE,"High (100k+)")</f>
        <v/>
      </c>
      <c r="W2940" s="5">
        <f>IF(M2940="No","Attrited","Active")</f>
        <v/>
      </c>
    </row>
    <row r="2941">
      <c r="A2941" s="5" t="inlineStr">
        <is>
          <t>E02940</t>
        </is>
      </c>
      <c r="B2941" s="5" t="inlineStr">
        <is>
          <t>Male</t>
        </is>
      </c>
      <c r="C2941" s="6" t="inlineStr">
        <is>
          <t>23</t>
        </is>
      </c>
      <c r="D2941" s="5" t="inlineStr">
        <is>
          <t>Married</t>
        </is>
      </c>
      <c r="E2941" s="5" t="inlineStr">
        <is>
          <t>Diploma</t>
        </is>
      </c>
      <c r="F2941" s="5" t="inlineStr">
        <is>
          <t>IT</t>
        </is>
      </c>
      <c r="G2941" s="5" t="inlineStr">
        <is>
          <t>Data Analyst</t>
        </is>
      </c>
      <c r="H2941" s="5" t="inlineStr">
        <is>
          <t>1</t>
        </is>
      </c>
      <c r="I2941" s="5" t="inlineStr">
        <is>
          <t>Bengaluru</t>
        </is>
      </c>
      <c r="J2941" s="5" t="inlineStr">
        <is>
          <t>Full-Time</t>
        </is>
      </c>
      <c r="K2941" s="7" t="n">
        <v>44065</v>
      </c>
      <c r="L2941" s="7" t="inlineStr"/>
      <c r="M2941" s="5" t="inlineStr">
        <is>
          <t>Yes</t>
        </is>
      </c>
      <c r="N2941" s="5" t="inlineStr"/>
      <c r="O2941" s="8" t="inlineStr">
        <is>
          <t>110000</t>
        </is>
      </c>
      <c r="P2941" s="5" t="inlineStr">
        <is>
          <t>0</t>
        </is>
      </c>
      <c r="Q2941" s="5" t="inlineStr">
        <is>
          <t>2</t>
        </is>
      </c>
      <c r="R2941" s="5" t="inlineStr">
        <is>
          <t>8</t>
        </is>
      </c>
      <c r="S2941" s="5" t="inlineStr">
        <is>
          <t>65</t>
        </is>
      </c>
      <c r="T2941" s="5" t="inlineStr">
        <is>
          <t>8</t>
        </is>
      </c>
      <c r="U2941" s="5">
        <f>IFS(C2941&lt;30,"Under 30",C2941&lt;40,"30-39",C2941&lt;50,"40-49",TRUE,"50+")</f>
        <v/>
      </c>
      <c r="V2941" s="5">
        <f>IFS(O2941&lt;60000,"Low (&lt;60k)",O2941&lt;100000,"Mid (60-100k)",TRUE,"High (100k+)")</f>
        <v/>
      </c>
      <c r="W2941" s="5">
        <f>IF(M2941="No","Attrited","Active")</f>
        <v/>
      </c>
    </row>
    <row r="2942">
      <c r="A2942" s="5" t="inlineStr">
        <is>
          <t>E02941</t>
        </is>
      </c>
      <c r="B2942" s="5" t="inlineStr">
        <is>
          <t>Male</t>
        </is>
      </c>
      <c r="C2942" s="6" t="inlineStr">
        <is>
          <t>41</t>
        </is>
      </c>
      <c r="D2942" s="5" t="inlineStr">
        <is>
          <t>Married</t>
        </is>
      </c>
      <c r="E2942" s="5" t="inlineStr">
        <is>
          <t>PhD</t>
        </is>
      </c>
      <c r="F2942" s="5" t="inlineStr">
        <is>
          <t>Human Resources</t>
        </is>
      </c>
      <c r="G2942" s="5" t="inlineStr">
        <is>
          <t>HR Generalist</t>
        </is>
      </c>
      <c r="H2942" s="5" t="inlineStr">
        <is>
          <t>5</t>
        </is>
      </c>
      <c r="I2942" s="5" t="inlineStr">
        <is>
          <t>Chennai</t>
        </is>
      </c>
      <c r="J2942" s="5" t="inlineStr">
        <is>
          <t>Full-Time</t>
        </is>
      </c>
      <c r="K2942" s="7" t="n">
        <v>43855</v>
      </c>
      <c r="L2942" s="7" t="inlineStr"/>
      <c r="M2942" s="5" t="inlineStr">
        <is>
          <t>Yes</t>
        </is>
      </c>
      <c r="N2942" s="5" t="inlineStr"/>
      <c r="O2942" s="8" t="inlineStr">
        <is>
          <t>113000</t>
        </is>
      </c>
      <c r="P2942" s="5" t="inlineStr">
        <is>
          <t>5</t>
        </is>
      </c>
      <c r="Q2942" s="5" t="inlineStr">
        <is>
          <t>4</t>
        </is>
      </c>
      <c r="R2942" s="5" t="inlineStr">
        <is>
          <t>10</t>
        </is>
      </c>
      <c r="S2942" s="5" t="inlineStr">
        <is>
          <t>72</t>
        </is>
      </c>
      <c r="T2942" s="5" t="inlineStr">
        <is>
          <t>3</t>
        </is>
      </c>
      <c r="U2942" s="5">
        <f>IFS(C2942&lt;30,"Under 30",C2942&lt;40,"30-39",C2942&lt;50,"40-49",TRUE,"50+")</f>
        <v/>
      </c>
      <c r="V2942" s="5">
        <f>IFS(O2942&lt;60000,"Low (&lt;60k)",O2942&lt;100000,"Mid (60-100k)",TRUE,"High (100k+)")</f>
        <v/>
      </c>
      <c r="W2942" s="5">
        <f>IF(M2942="No","Attrited","Active")</f>
        <v/>
      </c>
    </row>
    <row r="2943">
      <c r="A2943" s="5" t="inlineStr">
        <is>
          <t>E02942</t>
        </is>
      </c>
      <c r="B2943" s="5" t="inlineStr">
        <is>
          <t>Male</t>
        </is>
      </c>
      <c r="C2943" s="6" t="inlineStr">
        <is>
          <t>26</t>
        </is>
      </c>
      <c r="D2943" s="5" t="inlineStr">
        <is>
          <t>Single</t>
        </is>
      </c>
      <c r="E2943" s="5" t="inlineStr">
        <is>
          <t>PhD</t>
        </is>
      </c>
      <c r="F2943" s="5" t="inlineStr">
        <is>
          <t>Marketing</t>
        </is>
      </c>
      <c r="G2943" s="5" t="inlineStr">
        <is>
          <t>Content Writer</t>
        </is>
      </c>
      <c r="H2943" s="5" t="inlineStr">
        <is>
          <t>1</t>
        </is>
      </c>
      <c r="I2943" s="5" t="inlineStr">
        <is>
          <t>Chennai</t>
        </is>
      </c>
      <c r="J2943" s="5" t="inlineStr">
        <is>
          <t>Full-Time</t>
        </is>
      </c>
      <c r="K2943" s="7" t="n">
        <v>43903</v>
      </c>
      <c r="L2943" s="7" t="inlineStr"/>
      <c r="M2943" s="5" t="inlineStr">
        <is>
          <t>Yes</t>
        </is>
      </c>
      <c r="N2943" s="5" t="inlineStr"/>
      <c r="O2943" s="8" t="inlineStr">
        <is>
          <t>66000</t>
        </is>
      </c>
      <c r="P2943" s="5" t="inlineStr">
        <is>
          <t>0</t>
        </is>
      </c>
      <c r="Q2943" s="5" t="inlineStr">
        <is>
          <t>5</t>
        </is>
      </c>
      <c r="R2943" s="5" t="inlineStr">
        <is>
          <t>4</t>
        </is>
      </c>
      <c r="S2943" s="5" t="inlineStr">
        <is>
          <t>70</t>
        </is>
      </c>
      <c r="T2943" s="5" t="inlineStr">
        <is>
          <t>5</t>
        </is>
      </c>
      <c r="U2943" s="5">
        <f>IFS(C2943&lt;30,"Under 30",C2943&lt;40,"30-39",C2943&lt;50,"40-49",TRUE,"50+")</f>
        <v/>
      </c>
      <c r="V2943" s="5">
        <f>IFS(O2943&lt;60000,"Low (&lt;60k)",O2943&lt;100000,"Mid (60-100k)",TRUE,"High (100k+)")</f>
        <v/>
      </c>
      <c r="W2943" s="5">
        <f>IF(M2943="No","Attrited","Active")</f>
        <v/>
      </c>
    </row>
    <row r="2944">
      <c r="A2944" s="5" t="inlineStr">
        <is>
          <t>E02943</t>
        </is>
      </c>
      <c r="B2944" s="5" t="inlineStr">
        <is>
          <t>Male</t>
        </is>
      </c>
      <c r="C2944" s="6" t="inlineStr">
        <is>
          <t>35</t>
        </is>
      </c>
      <c r="D2944" s="5" t="inlineStr">
        <is>
          <t>Single</t>
        </is>
      </c>
      <c r="E2944" s="5" t="inlineStr">
        <is>
          <t>Diploma</t>
        </is>
      </c>
      <c r="F2944" s="5" t="inlineStr">
        <is>
          <t>Operations</t>
        </is>
      </c>
      <c r="G2944" s="5" t="inlineStr">
        <is>
          <t>Logistics Coordinator</t>
        </is>
      </c>
      <c r="H2944" s="5" t="inlineStr">
        <is>
          <t>4</t>
        </is>
      </c>
      <c r="I2944" s="5" t="inlineStr">
        <is>
          <t>Remote</t>
        </is>
      </c>
      <c r="J2944" s="5" t="inlineStr">
        <is>
          <t>Full-Time</t>
        </is>
      </c>
      <c r="K2944" s="7" t="n">
        <v>44802</v>
      </c>
      <c r="L2944" s="7" t="inlineStr"/>
      <c r="M2944" s="5" t="inlineStr">
        <is>
          <t>Yes</t>
        </is>
      </c>
      <c r="N2944" s="5" t="inlineStr"/>
      <c r="O2944" s="8" t="inlineStr">
        <is>
          <t>119000</t>
        </is>
      </c>
      <c r="P2944" s="5" t="inlineStr">
        <is>
          <t>0</t>
        </is>
      </c>
      <c r="Q2944" s="5" t="inlineStr">
        <is>
          <t>3</t>
        </is>
      </c>
      <c r="R2944" s="5" t="inlineStr">
        <is>
          <t>6</t>
        </is>
      </c>
      <c r="S2944" s="5" t="inlineStr">
        <is>
          <t>40</t>
        </is>
      </c>
      <c r="T2944" s="5" t="inlineStr">
        <is>
          <t>3</t>
        </is>
      </c>
      <c r="U2944" s="5">
        <f>IFS(C2944&lt;30,"Under 30",C2944&lt;40,"30-39",C2944&lt;50,"40-49",TRUE,"50+")</f>
        <v/>
      </c>
      <c r="V2944" s="5">
        <f>IFS(O2944&lt;60000,"Low (&lt;60k)",O2944&lt;100000,"Mid (60-100k)",TRUE,"High (100k+)")</f>
        <v/>
      </c>
      <c r="W2944" s="5">
        <f>IF(M2944="No","Attrited","Active")</f>
        <v/>
      </c>
    </row>
    <row r="2945">
      <c r="A2945" s="5" t="inlineStr">
        <is>
          <t>E02944</t>
        </is>
      </c>
      <c r="B2945" s="5" t="inlineStr">
        <is>
          <t>Female</t>
        </is>
      </c>
      <c r="C2945" s="6" t="inlineStr">
        <is>
          <t>37</t>
        </is>
      </c>
      <c r="D2945" s="5" t="inlineStr">
        <is>
          <t>Married</t>
        </is>
      </c>
      <c r="E2945" s="5" t="inlineStr">
        <is>
          <t>High School</t>
        </is>
      </c>
      <c r="F2945" s="5" t="inlineStr">
        <is>
          <t>Operations</t>
        </is>
      </c>
      <c r="G2945" s="5" t="inlineStr">
        <is>
          <t>Quality Analyst</t>
        </is>
      </c>
      <c r="H2945" s="5" t="inlineStr">
        <is>
          <t>3</t>
        </is>
      </c>
      <c r="I2945" s="5" t="inlineStr">
        <is>
          <t>Remote</t>
        </is>
      </c>
      <c r="J2945" s="5" t="inlineStr">
        <is>
          <t>Contract</t>
        </is>
      </c>
      <c r="K2945" s="7" t="n">
        <v>45559</v>
      </c>
      <c r="L2945" s="7" t="inlineStr"/>
      <c r="M2945" s="5" t="inlineStr">
        <is>
          <t>Yes</t>
        </is>
      </c>
      <c r="N2945" s="5" t="inlineStr"/>
      <c r="O2945" s="8" t="inlineStr">
        <is>
          <t>100000</t>
        </is>
      </c>
      <c r="P2945" s="5" t="inlineStr">
        <is>
          <t>5</t>
        </is>
      </c>
      <c r="Q2945" s="5" t="inlineStr">
        <is>
          <t>4</t>
        </is>
      </c>
      <c r="R2945" s="5" t="inlineStr">
        <is>
          <t>10</t>
        </is>
      </c>
      <c r="S2945" s="5" t="inlineStr">
        <is>
          <t>15</t>
        </is>
      </c>
      <c r="T2945" s="5" t="inlineStr">
        <is>
          <t>0</t>
        </is>
      </c>
      <c r="U2945" s="5">
        <f>IFS(C2945&lt;30,"Under 30",C2945&lt;40,"30-39",C2945&lt;50,"40-49",TRUE,"50+")</f>
        <v/>
      </c>
      <c r="V2945" s="5">
        <f>IFS(O2945&lt;60000,"Low (&lt;60k)",O2945&lt;100000,"Mid (60-100k)",TRUE,"High (100k+)")</f>
        <v/>
      </c>
      <c r="W2945" s="5">
        <f>IF(M2945="No","Attrited","Active")</f>
        <v/>
      </c>
    </row>
    <row r="2946">
      <c r="A2946" s="5" t="inlineStr">
        <is>
          <t>E02945</t>
        </is>
      </c>
      <c r="B2946" s="5" t="inlineStr">
        <is>
          <t>Male</t>
        </is>
      </c>
      <c r="C2946" s="6" t="inlineStr">
        <is>
          <t>32</t>
        </is>
      </c>
      <c r="D2946" s="5" t="inlineStr">
        <is>
          <t>Divorced</t>
        </is>
      </c>
      <c r="E2946" s="5" t="inlineStr">
        <is>
          <t>High School</t>
        </is>
      </c>
      <c r="F2946" s="5" t="inlineStr">
        <is>
          <t>Customer Support</t>
        </is>
      </c>
      <c r="G2946" s="5" t="inlineStr">
        <is>
          <t>Escalation Specialist</t>
        </is>
      </c>
      <c r="H2946" s="5" t="inlineStr">
        <is>
          <t>3</t>
        </is>
      </c>
      <c r="I2946" s="5" t="inlineStr">
        <is>
          <t>Delhi</t>
        </is>
      </c>
      <c r="J2946" s="5" t="inlineStr">
        <is>
          <t>Part-Time</t>
        </is>
      </c>
      <c r="K2946" s="7" t="n">
        <v>43859</v>
      </c>
      <c r="L2946" s="7" t="n">
        <v>43952</v>
      </c>
      <c r="M2946" s="5" t="inlineStr">
        <is>
          <t>No</t>
        </is>
      </c>
      <c r="N2946" s="5" t="inlineStr">
        <is>
          <t>Resigned</t>
        </is>
      </c>
      <c r="O2946" s="8" t="inlineStr">
        <is>
          <t>58000</t>
        </is>
      </c>
      <c r="P2946" s="5" t="inlineStr">
        <is>
          <t>5</t>
        </is>
      </c>
      <c r="Q2946" s="5" t="inlineStr">
        <is>
          <t>3</t>
        </is>
      </c>
      <c r="R2946" s="5" t="inlineStr">
        <is>
          <t>5</t>
        </is>
      </c>
      <c r="S2946" s="5" t="inlineStr">
        <is>
          <t>3</t>
        </is>
      </c>
      <c r="T2946" s="5" t="inlineStr">
        <is>
          <t>8</t>
        </is>
      </c>
      <c r="U2946" s="5">
        <f>IFS(C2946&lt;30,"Under 30",C2946&lt;40,"30-39",C2946&lt;50,"40-49",TRUE,"50+")</f>
        <v/>
      </c>
      <c r="V2946" s="5">
        <f>IFS(O2946&lt;60000,"Low (&lt;60k)",O2946&lt;100000,"Mid (60-100k)",TRUE,"High (100k+)")</f>
        <v/>
      </c>
      <c r="W2946" s="5">
        <f>IF(M2946="No","Attrited","Active")</f>
        <v/>
      </c>
    </row>
    <row r="2947">
      <c r="A2947" s="5" t="inlineStr">
        <is>
          <t>E02946</t>
        </is>
      </c>
      <c r="B2947" s="5" t="inlineStr">
        <is>
          <t>Male</t>
        </is>
      </c>
      <c r="C2947" s="6" t="inlineStr">
        <is>
          <t>34</t>
        </is>
      </c>
      <c r="D2947" s="5" t="inlineStr">
        <is>
          <t>Married</t>
        </is>
      </c>
      <c r="E2947" s="5" t="inlineStr">
        <is>
          <t>Bachelor</t>
        </is>
      </c>
      <c r="F2947" s="5" t="inlineStr">
        <is>
          <t>Human Resources</t>
        </is>
      </c>
      <c r="G2947" s="5" t="inlineStr">
        <is>
          <t>HR Generalist</t>
        </is>
      </c>
      <c r="H2947" s="5" t="inlineStr">
        <is>
          <t>3</t>
        </is>
      </c>
      <c r="I2947" s="5" t="inlineStr">
        <is>
          <t>Bengaluru</t>
        </is>
      </c>
      <c r="J2947" s="5" t="inlineStr">
        <is>
          <t>Full-Time</t>
        </is>
      </c>
      <c r="K2947" s="7" t="n">
        <v>44422</v>
      </c>
      <c r="L2947" s="7" t="inlineStr"/>
      <c r="M2947" s="5" t="inlineStr">
        <is>
          <t>Yes</t>
        </is>
      </c>
      <c r="N2947" s="5" t="inlineStr"/>
      <c r="O2947" s="8" t="inlineStr">
        <is>
          <t>112500</t>
        </is>
      </c>
      <c r="P2947" s="5" t="inlineStr">
        <is>
          <t>10</t>
        </is>
      </c>
      <c r="Q2947" s="5" t="inlineStr">
        <is>
          <t>3</t>
        </is>
      </c>
      <c r="R2947" s="5" t="inlineStr">
        <is>
          <t>9</t>
        </is>
      </c>
      <c r="S2947" s="5" t="inlineStr">
        <is>
          <t>53</t>
        </is>
      </c>
      <c r="T2947" s="5" t="inlineStr">
        <is>
          <t>14</t>
        </is>
      </c>
      <c r="U2947" s="5">
        <f>IFS(C2947&lt;30,"Under 30",C2947&lt;40,"30-39",C2947&lt;50,"40-49",TRUE,"50+")</f>
        <v/>
      </c>
      <c r="V2947" s="5">
        <f>IFS(O2947&lt;60000,"Low (&lt;60k)",O2947&lt;100000,"Mid (60-100k)",TRUE,"High (100k+)")</f>
        <v/>
      </c>
      <c r="W2947" s="5">
        <f>IF(M2947="No","Attrited","Active")</f>
        <v/>
      </c>
    </row>
    <row r="2948">
      <c r="A2948" s="5" t="inlineStr">
        <is>
          <t>E02947</t>
        </is>
      </c>
      <c r="B2948" s="5" t="inlineStr">
        <is>
          <t>Female</t>
        </is>
      </c>
      <c r="C2948" s="6" t="inlineStr">
        <is>
          <t>25</t>
        </is>
      </c>
      <c r="D2948" s="5" t="inlineStr">
        <is>
          <t>Single</t>
        </is>
      </c>
      <c r="E2948" s="5" t="inlineStr">
        <is>
          <t>Diploma</t>
        </is>
      </c>
      <c r="F2948" s="5" t="inlineStr">
        <is>
          <t>IT</t>
        </is>
      </c>
      <c r="G2948" s="5" t="inlineStr">
        <is>
          <t>Data Analyst</t>
        </is>
      </c>
      <c r="H2948" s="5" t="inlineStr">
        <is>
          <t>1</t>
        </is>
      </c>
      <c r="I2948" s="5" t="inlineStr">
        <is>
          <t>Delhi</t>
        </is>
      </c>
      <c r="J2948" s="5" t="inlineStr">
        <is>
          <t>Full-Time</t>
        </is>
      </c>
      <c r="K2948" s="7" t="n">
        <v>44254</v>
      </c>
      <c r="L2948" s="7" t="n">
        <v>44390</v>
      </c>
      <c r="M2948" s="5" t="inlineStr">
        <is>
          <t>No</t>
        </is>
      </c>
      <c r="N2948" s="5" t="inlineStr">
        <is>
          <t>Layoff</t>
        </is>
      </c>
      <c r="O2948" s="8" t="inlineStr">
        <is>
          <t>90000</t>
        </is>
      </c>
      <c r="P2948" s="5" t="inlineStr">
        <is>
          <t>15</t>
        </is>
      </c>
      <c r="Q2948" s="5" t="inlineStr">
        <is>
          <t>3</t>
        </is>
      </c>
      <c r="R2948" s="5" t="inlineStr">
        <is>
          <t>7</t>
        </is>
      </c>
      <c r="S2948" s="5" t="inlineStr">
        <is>
          <t>4</t>
        </is>
      </c>
      <c r="T2948" s="5" t="inlineStr">
        <is>
          <t>4</t>
        </is>
      </c>
      <c r="U2948" s="5">
        <f>IFS(C2948&lt;30,"Under 30",C2948&lt;40,"30-39",C2948&lt;50,"40-49",TRUE,"50+")</f>
        <v/>
      </c>
      <c r="V2948" s="5">
        <f>IFS(O2948&lt;60000,"Low (&lt;60k)",O2948&lt;100000,"Mid (60-100k)",TRUE,"High (100k+)")</f>
        <v/>
      </c>
      <c r="W2948" s="5">
        <f>IF(M2948="No","Attrited","Active")</f>
        <v/>
      </c>
    </row>
    <row r="2949">
      <c r="A2949" s="5" t="inlineStr">
        <is>
          <t>E02948</t>
        </is>
      </c>
      <c r="B2949" s="5" t="inlineStr">
        <is>
          <t>Male</t>
        </is>
      </c>
      <c r="C2949" s="6" t="inlineStr">
        <is>
          <t>32</t>
        </is>
      </c>
      <c r="D2949" s="5" t="inlineStr">
        <is>
          <t>Single</t>
        </is>
      </c>
      <c r="E2949" s="5" t="inlineStr">
        <is>
          <t>Bachelor</t>
        </is>
      </c>
      <c r="F2949" s="5" t="inlineStr">
        <is>
          <t>Finance</t>
        </is>
      </c>
      <c r="G2949" s="5" t="inlineStr">
        <is>
          <t>Credit Analyst</t>
        </is>
      </c>
      <c r="H2949" s="5" t="inlineStr">
        <is>
          <t>3</t>
        </is>
      </c>
      <c r="I2949" s="5" t="inlineStr">
        <is>
          <t>Bengaluru</t>
        </is>
      </c>
      <c r="J2949" s="5" t="inlineStr">
        <is>
          <t>Full-Time</t>
        </is>
      </c>
      <c r="K2949" s="7" t="n">
        <v>45875</v>
      </c>
      <c r="L2949" s="7" t="inlineStr"/>
      <c r="M2949" s="5" t="inlineStr">
        <is>
          <t>Yes</t>
        </is>
      </c>
      <c r="N2949" s="5" t="inlineStr"/>
      <c r="O2949" s="8" t="inlineStr">
        <is>
          <t>106000</t>
        </is>
      </c>
      <c r="P2949" s="5" t="inlineStr">
        <is>
          <t>0</t>
        </is>
      </c>
      <c r="Q2949" s="5" t="inlineStr">
        <is>
          <t>5</t>
        </is>
      </c>
      <c r="R2949" s="5" t="inlineStr">
        <is>
          <t>4</t>
        </is>
      </c>
      <c r="S2949" s="5" t="inlineStr">
        <is>
          <t>4</t>
        </is>
      </c>
      <c r="T2949" s="5" t="inlineStr">
        <is>
          <t>12</t>
        </is>
      </c>
      <c r="U2949" s="5">
        <f>IFS(C2949&lt;30,"Under 30",C2949&lt;40,"30-39",C2949&lt;50,"40-49",TRUE,"50+")</f>
        <v/>
      </c>
      <c r="V2949" s="5">
        <f>IFS(O2949&lt;60000,"Low (&lt;60k)",O2949&lt;100000,"Mid (60-100k)",TRUE,"High (100k+)")</f>
        <v/>
      </c>
      <c r="W2949" s="5">
        <f>IF(M2949="No","Attrited","Active")</f>
        <v/>
      </c>
    </row>
    <row r="2950">
      <c r="A2950" s="5" t="inlineStr">
        <is>
          <t>E02949</t>
        </is>
      </c>
      <c r="B2950" s="5" t="inlineStr">
        <is>
          <t>Male</t>
        </is>
      </c>
      <c r="C2950" s="6" t="inlineStr">
        <is>
          <t>30</t>
        </is>
      </c>
      <c r="D2950" s="5" t="inlineStr">
        <is>
          <t>Single</t>
        </is>
      </c>
      <c r="E2950" s="5" t="inlineStr">
        <is>
          <t>Diploma</t>
        </is>
      </c>
      <c r="F2950" s="5" t="inlineStr">
        <is>
          <t>Marketing</t>
        </is>
      </c>
      <c r="G2950" s="5" t="inlineStr">
        <is>
          <t>Marketing Analyst</t>
        </is>
      </c>
      <c r="H2950" s="5" t="inlineStr">
        <is>
          <t>2</t>
        </is>
      </c>
      <c r="I2950" s="5" t="inlineStr">
        <is>
          <t>Bengaluru</t>
        </is>
      </c>
      <c r="J2950" s="5" t="inlineStr">
        <is>
          <t>Full-Time</t>
        </is>
      </c>
      <c r="K2950" s="7" t="n">
        <v>45473</v>
      </c>
      <c r="L2950" s="7" t="inlineStr"/>
      <c r="M2950" s="5" t="inlineStr">
        <is>
          <t>Yes</t>
        </is>
      </c>
      <c r="N2950" s="5" t="inlineStr"/>
      <c r="O2950" s="8" t="inlineStr">
        <is>
          <t>85500</t>
        </is>
      </c>
      <c r="P2950" s="5" t="inlineStr">
        <is>
          <t>5</t>
        </is>
      </c>
      <c r="Q2950" s="5" t="inlineStr">
        <is>
          <t>3</t>
        </is>
      </c>
      <c r="R2950" s="5" t="inlineStr">
        <is>
          <t>6</t>
        </is>
      </c>
      <c r="S2950" s="5" t="inlineStr">
        <is>
          <t>18</t>
        </is>
      </c>
      <c r="T2950" s="5" t="inlineStr">
        <is>
          <t>4</t>
        </is>
      </c>
      <c r="U2950" s="5">
        <f>IFS(C2950&lt;30,"Under 30",C2950&lt;40,"30-39",C2950&lt;50,"40-49",TRUE,"50+")</f>
        <v/>
      </c>
      <c r="V2950" s="5">
        <f>IFS(O2950&lt;60000,"Low (&lt;60k)",O2950&lt;100000,"Mid (60-100k)",TRUE,"High (100k+)")</f>
        <v/>
      </c>
      <c r="W2950" s="5">
        <f>IF(M2950="No","Attrited","Active")</f>
        <v/>
      </c>
    </row>
    <row r="2951">
      <c r="A2951" s="5" t="inlineStr">
        <is>
          <t>E02950</t>
        </is>
      </c>
      <c r="B2951" s="5" t="inlineStr">
        <is>
          <t>Female</t>
        </is>
      </c>
      <c r="C2951" s="6" t="inlineStr">
        <is>
          <t>29</t>
        </is>
      </c>
      <c r="D2951" s="5" t="inlineStr">
        <is>
          <t>Married</t>
        </is>
      </c>
      <c r="E2951" s="5" t="inlineStr">
        <is>
          <t>Diploma</t>
        </is>
      </c>
      <c r="F2951" s="5" t="inlineStr">
        <is>
          <t>Research &amp; Development</t>
        </is>
      </c>
      <c r="G2951" s="5" t="inlineStr">
        <is>
          <t>Research Scientist</t>
        </is>
      </c>
      <c r="H2951" s="5" t="inlineStr">
        <is>
          <t>4</t>
        </is>
      </c>
      <c r="I2951" s="5" t="inlineStr">
        <is>
          <t>Remote</t>
        </is>
      </c>
      <c r="J2951" s="5" t="inlineStr">
        <is>
          <t>Full-Time</t>
        </is>
      </c>
      <c r="K2951" s="7" t="n">
        <v>43913</v>
      </c>
      <c r="L2951" s="7" t="inlineStr"/>
      <c r="M2951" s="5" t="inlineStr">
        <is>
          <t>Yes</t>
        </is>
      </c>
      <c r="N2951" s="5" t="inlineStr"/>
      <c r="O2951" s="8" t="inlineStr">
        <is>
          <t>186500</t>
        </is>
      </c>
      <c r="P2951" s="5" t="inlineStr">
        <is>
          <t>15</t>
        </is>
      </c>
      <c r="Q2951" s="5" t="inlineStr">
        <is>
          <t>3</t>
        </is>
      </c>
      <c r="R2951" s="5" t="inlineStr">
        <is>
          <t>7</t>
        </is>
      </c>
      <c r="S2951" s="5" t="inlineStr">
        <is>
          <t>70</t>
        </is>
      </c>
      <c r="T2951" s="5" t="inlineStr">
        <is>
          <t>0</t>
        </is>
      </c>
      <c r="U2951" s="5">
        <f>IFS(C2951&lt;30,"Under 30",C2951&lt;40,"30-39",C2951&lt;50,"40-49",TRUE,"50+")</f>
        <v/>
      </c>
      <c r="V2951" s="5">
        <f>IFS(O2951&lt;60000,"Low (&lt;60k)",O2951&lt;100000,"Mid (60-100k)",TRUE,"High (100k+)")</f>
        <v/>
      </c>
      <c r="W2951" s="5">
        <f>IF(M2951="No","Attrited","Active")</f>
        <v/>
      </c>
    </row>
    <row r="2952">
      <c r="A2952" s="5" t="inlineStr">
        <is>
          <t>E02951</t>
        </is>
      </c>
      <c r="B2952" s="5" t="inlineStr">
        <is>
          <t>Female</t>
        </is>
      </c>
      <c r="C2952" s="6" t="inlineStr">
        <is>
          <t>46</t>
        </is>
      </c>
      <c r="D2952" s="5" t="inlineStr">
        <is>
          <t>Married</t>
        </is>
      </c>
      <c r="E2952" s="5" t="inlineStr">
        <is>
          <t>Bachelor</t>
        </is>
      </c>
      <c r="F2952" s="5" t="inlineStr">
        <is>
          <t>Operations</t>
        </is>
      </c>
      <c r="G2952" s="5" t="inlineStr">
        <is>
          <t>Operations Analyst</t>
        </is>
      </c>
      <c r="H2952" s="5" t="inlineStr">
        <is>
          <t>7</t>
        </is>
      </c>
      <c r="I2952" s="5" t="inlineStr">
        <is>
          <t>Bengaluru</t>
        </is>
      </c>
      <c r="J2952" s="5" t="inlineStr">
        <is>
          <t>Full-Time</t>
        </is>
      </c>
      <c r="K2952" s="7" t="n">
        <v>45923</v>
      </c>
      <c r="L2952" s="7" t="n">
        <v>46021</v>
      </c>
      <c r="M2952" s="5" t="inlineStr">
        <is>
          <t>No</t>
        </is>
      </c>
      <c r="N2952" s="5" t="inlineStr">
        <is>
          <t>Relocation</t>
        </is>
      </c>
      <c r="O2952" s="8" t="inlineStr">
        <is>
          <t>125000</t>
        </is>
      </c>
      <c r="P2952" s="5" t="inlineStr">
        <is>
          <t>0</t>
        </is>
      </c>
      <c r="Q2952" s="5" t="inlineStr">
        <is>
          <t>2</t>
        </is>
      </c>
      <c r="R2952" s="5" t="inlineStr">
        <is>
          <t>4</t>
        </is>
      </c>
      <c r="S2952" s="5" t="inlineStr">
        <is>
          <t>3</t>
        </is>
      </c>
      <c r="T2952" s="5" t="inlineStr">
        <is>
          <t>6</t>
        </is>
      </c>
      <c r="U2952" s="5">
        <f>IFS(C2952&lt;30,"Under 30",C2952&lt;40,"30-39",C2952&lt;50,"40-49",TRUE,"50+")</f>
        <v/>
      </c>
      <c r="V2952" s="5">
        <f>IFS(O2952&lt;60000,"Low (&lt;60k)",O2952&lt;100000,"Mid (60-100k)",TRUE,"High (100k+)")</f>
        <v/>
      </c>
      <c r="W2952" s="5">
        <f>IF(M2952="No","Attrited","Active")</f>
        <v/>
      </c>
    </row>
    <row r="2953">
      <c r="A2953" s="5" t="inlineStr">
        <is>
          <t>E02952</t>
        </is>
      </c>
      <c r="B2953" s="5" t="inlineStr">
        <is>
          <t>Male</t>
        </is>
      </c>
      <c r="C2953" s="6" t="inlineStr">
        <is>
          <t>29</t>
        </is>
      </c>
      <c r="D2953" s="5" t="inlineStr">
        <is>
          <t>Married</t>
        </is>
      </c>
      <c r="E2953" s="5" t="inlineStr">
        <is>
          <t>Diploma</t>
        </is>
      </c>
      <c r="F2953" s="5" t="inlineStr">
        <is>
          <t>IT</t>
        </is>
      </c>
      <c r="G2953" s="5" t="inlineStr">
        <is>
          <t>Software Engineer</t>
        </is>
      </c>
      <c r="H2953" s="5" t="inlineStr">
        <is>
          <t>3</t>
        </is>
      </c>
      <c r="I2953" s="5" t="inlineStr">
        <is>
          <t>Mumbai</t>
        </is>
      </c>
      <c r="J2953" s="5" t="inlineStr">
        <is>
          <t>Full-Time</t>
        </is>
      </c>
      <c r="K2953" s="7" t="n">
        <v>43941</v>
      </c>
      <c r="L2953" s="7" t="n">
        <v>44011</v>
      </c>
      <c r="M2953" s="5" t="inlineStr">
        <is>
          <t>No</t>
        </is>
      </c>
      <c r="N2953" s="5" t="inlineStr">
        <is>
          <t>Retirement</t>
        </is>
      </c>
      <c r="O2953" s="8" t="inlineStr">
        <is>
          <t>163000</t>
        </is>
      </c>
      <c r="P2953" s="5" t="inlineStr">
        <is>
          <t>5</t>
        </is>
      </c>
      <c r="Q2953" s="5" t="inlineStr">
        <is>
          <t>4</t>
        </is>
      </c>
      <c r="R2953" s="5" t="inlineStr">
        <is>
          <t>4</t>
        </is>
      </c>
      <c r="S2953" s="5" t="inlineStr">
        <is>
          <t>2</t>
        </is>
      </c>
      <c r="T2953" s="5" t="inlineStr">
        <is>
          <t>7</t>
        </is>
      </c>
      <c r="U2953" s="5">
        <f>IFS(C2953&lt;30,"Under 30",C2953&lt;40,"30-39",C2953&lt;50,"40-49",TRUE,"50+")</f>
        <v/>
      </c>
      <c r="V2953" s="5">
        <f>IFS(O2953&lt;60000,"Low (&lt;60k)",O2953&lt;100000,"Mid (60-100k)",TRUE,"High (100k+)")</f>
        <v/>
      </c>
      <c r="W2953" s="5">
        <f>IF(M2953="No","Attrited","Active")</f>
        <v/>
      </c>
    </row>
    <row r="2954">
      <c r="A2954" s="5" t="inlineStr">
        <is>
          <t>E02953</t>
        </is>
      </c>
      <c r="B2954" s="5" t="inlineStr">
        <is>
          <t>Female</t>
        </is>
      </c>
      <c r="C2954" s="6" t="inlineStr">
        <is>
          <t>41</t>
        </is>
      </c>
      <c r="D2954" s="5" t="inlineStr">
        <is>
          <t>Divorced</t>
        </is>
      </c>
      <c r="E2954" s="5" t="inlineStr">
        <is>
          <t>PhD</t>
        </is>
      </c>
      <c r="F2954" s="5" t="inlineStr">
        <is>
          <t>Operations</t>
        </is>
      </c>
      <c r="G2954" s="5" t="inlineStr">
        <is>
          <t>Operations Analyst</t>
        </is>
      </c>
      <c r="H2954" s="5" t="inlineStr">
        <is>
          <t>7</t>
        </is>
      </c>
      <c r="I2954" s="5" t="inlineStr">
        <is>
          <t>Chennai</t>
        </is>
      </c>
      <c r="J2954" s="5" t="inlineStr">
        <is>
          <t>Full-Time</t>
        </is>
      </c>
      <c r="K2954" s="7" t="n">
        <v>45423</v>
      </c>
      <c r="L2954" s="7" t="inlineStr"/>
      <c r="M2954" s="5" t="inlineStr">
        <is>
          <t>Yes</t>
        </is>
      </c>
      <c r="N2954" s="5" t="inlineStr"/>
      <c r="O2954" s="8" t="inlineStr">
        <is>
          <t>151500</t>
        </is>
      </c>
      <c r="P2954" s="5" t="inlineStr">
        <is>
          <t>0</t>
        </is>
      </c>
      <c r="Q2954" s="5" t="inlineStr">
        <is>
          <t>4</t>
        </is>
      </c>
      <c r="R2954" s="5" t="inlineStr">
        <is>
          <t>5</t>
        </is>
      </c>
      <c r="S2954" s="5" t="inlineStr">
        <is>
          <t>19</t>
        </is>
      </c>
      <c r="T2954" s="5" t="inlineStr">
        <is>
          <t>6</t>
        </is>
      </c>
      <c r="U2954" s="5">
        <f>IFS(C2954&lt;30,"Under 30",C2954&lt;40,"30-39",C2954&lt;50,"40-49",TRUE,"50+")</f>
        <v/>
      </c>
      <c r="V2954" s="5">
        <f>IFS(O2954&lt;60000,"Low (&lt;60k)",O2954&lt;100000,"Mid (60-100k)",TRUE,"High (100k+)")</f>
        <v/>
      </c>
      <c r="W2954" s="5">
        <f>IF(M2954="No","Attrited","Active")</f>
        <v/>
      </c>
    </row>
    <row r="2955">
      <c r="A2955" s="5" t="inlineStr">
        <is>
          <t>E02954</t>
        </is>
      </c>
      <c r="B2955" s="5" t="inlineStr">
        <is>
          <t>Female</t>
        </is>
      </c>
      <c r="C2955" s="6" t="inlineStr">
        <is>
          <t>39</t>
        </is>
      </c>
      <c r="D2955" s="5" t="inlineStr">
        <is>
          <t>Married</t>
        </is>
      </c>
      <c r="E2955" s="5" t="inlineStr">
        <is>
          <t>Diploma</t>
        </is>
      </c>
      <c r="F2955" s="5" t="inlineStr">
        <is>
          <t>Customer Support</t>
        </is>
      </c>
      <c r="G2955" s="5" t="inlineStr">
        <is>
          <t>Support Lead</t>
        </is>
      </c>
      <c r="H2955" s="5" t="inlineStr">
        <is>
          <t>4</t>
        </is>
      </c>
      <c r="I2955" s="5" t="inlineStr">
        <is>
          <t>Chennai</t>
        </is>
      </c>
      <c r="J2955" s="5" t="inlineStr">
        <is>
          <t>Full-Time</t>
        </is>
      </c>
      <c r="K2955" s="7" t="n">
        <v>44862</v>
      </c>
      <c r="L2955" s="7" t="inlineStr"/>
      <c r="M2955" s="5" t="inlineStr">
        <is>
          <t>Yes</t>
        </is>
      </c>
      <c r="N2955" s="5" t="inlineStr"/>
      <c r="O2955" s="8" t="inlineStr">
        <is>
          <t>86000</t>
        </is>
      </c>
      <c r="P2955" s="5" t="inlineStr">
        <is>
          <t>0</t>
        </is>
      </c>
      <c r="Q2955" s="5" t="inlineStr">
        <is>
          <t>2</t>
        </is>
      </c>
      <c r="R2955" s="5" t="inlineStr">
        <is>
          <t>2</t>
        </is>
      </c>
      <c r="S2955" s="5" t="inlineStr">
        <is>
          <t>38</t>
        </is>
      </c>
      <c r="T2955" s="5" t="inlineStr">
        <is>
          <t>2</t>
        </is>
      </c>
      <c r="U2955" s="5">
        <f>IFS(C2955&lt;30,"Under 30",C2955&lt;40,"30-39",C2955&lt;50,"40-49",TRUE,"50+")</f>
        <v/>
      </c>
      <c r="V2955" s="5">
        <f>IFS(O2955&lt;60000,"Low (&lt;60k)",O2955&lt;100000,"Mid (60-100k)",TRUE,"High (100k+)")</f>
        <v/>
      </c>
      <c r="W2955" s="5">
        <f>IF(M2955="No","Attrited","Active")</f>
        <v/>
      </c>
    </row>
    <row r="2956">
      <c r="A2956" s="5" t="inlineStr">
        <is>
          <t>E02955</t>
        </is>
      </c>
      <c r="B2956" s="5" t="inlineStr">
        <is>
          <t>Male</t>
        </is>
      </c>
      <c r="C2956" s="6" t="inlineStr">
        <is>
          <t>29</t>
        </is>
      </c>
      <c r="D2956" s="5" t="inlineStr">
        <is>
          <t>Single</t>
        </is>
      </c>
      <c r="E2956" s="5" t="inlineStr">
        <is>
          <t>Master</t>
        </is>
      </c>
      <c r="F2956" s="5" t="inlineStr">
        <is>
          <t>Customer Support</t>
        </is>
      </c>
      <c r="G2956" s="5" t="inlineStr">
        <is>
          <t>Escalation Specialist</t>
        </is>
      </c>
      <c r="H2956" s="5" t="inlineStr">
        <is>
          <t>2</t>
        </is>
      </c>
      <c r="I2956" s="5" t="inlineStr">
        <is>
          <t>Remote</t>
        </is>
      </c>
      <c r="J2956" s="5" t="inlineStr">
        <is>
          <t>Full-Time</t>
        </is>
      </c>
      <c r="K2956" s="7" t="n">
        <v>44562</v>
      </c>
      <c r="L2956" s="7" t="n">
        <v>44653</v>
      </c>
      <c r="M2956" s="5" t="inlineStr">
        <is>
          <t>No</t>
        </is>
      </c>
      <c r="N2956" s="5" t="inlineStr">
        <is>
          <t>Retirement</t>
        </is>
      </c>
      <c r="O2956" s="8" t="inlineStr">
        <is>
          <t>70500</t>
        </is>
      </c>
      <c r="P2956" s="5" t="inlineStr">
        <is>
          <t>0</t>
        </is>
      </c>
      <c r="Q2956" s="5" t="inlineStr">
        <is>
          <t>4</t>
        </is>
      </c>
      <c r="R2956" s="5" t="inlineStr">
        <is>
          <t>3</t>
        </is>
      </c>
      <c r="S2956" s="5" t="inlineStr">
        <is>
          <t>3</t>
        </is>
      </c>
      <c r="T2956" s="5" t="inlineStr">
        <is>
          <t>6</t>
        </is>
      </c>
      <c r="U2956" s="5">
        <f>IFS(C2956&lt;30,"Under 30",C2956&lt;40,"30-39",C2956&lt;50,"40-49",TRUE,"50+")</f>
        <v/>
      </c>
      <c r="V2956" s="5">
        <f>IFS(O2956&lt;60000,"Low (&lt;60k)",O2956&lt;100000,"Mid (60-100k)",TRUE,"High (100k+)")</f>
        <v/>
      </c>
      <c r="W2956" s="5">
        <f>IF(M2956="No","Attrited","Active")</f>
        <v/>
      </c>
    </row>
    <row r="2957">
      <c r="A2957" s="5" t="inlineStr">
        <is>
          <t>E02956</t>
        </is>
      </c>
      <c r="B2957" s="5" t="inlineStr">
        <is>
          <t>Female</t>
        </is>
      </c>
      <c r="C2957" s="6" t="inlineStr">
        <is>
          <t>32</t>
        </is>
      </c>
      <c r="D2957" s="5" t="inlineStr">
        <is>
          <t>Married</t>
        </is>
      </c>
      <c r="E2957" s="5" t="inlineStr">
        <is>
          <t>High School</t>
        </is>
      </c>
      <c r="F2957" s="5" t="inlineStr">
        <is>
          <t>Sales</t>
        </is>
      </c>
      <c r="G2957" s="5" t="inlineStr">
        <is>
          <t>Account Executive</t>
        </is>
      </c>
      <c r="H2957" s="5" t="inlineStr">
        <is>
          <t>5</t>
        </is>
      </c>
      <c r="I2957" s="5" t="inlineStr">
        <is>
          <t>Mumbai</t>
        </is>
      </c>
      <c r="J2957" s="5" t="inlineStr">
        <is>
          <t>Full-Time</t>
        </is>
      </c>
      <c r="K2957" s="7" t="n">
        <v>43871</v>
      </c>
      <c r="L2957" s="7" t="inlineStr"/>
      <c r="M2957" s="5" t="inlineStr">
        <is>
          <t>Yes</t>
        </is>
      </c>
      <c r="N2957" s="5" t="inlineStr"/>
      <c r="O2957" s="8" t="inlineStr">
        <is>
          <t>148000</t>
        </is>
      </c>
      <c r="P2957" s="5" t="inlineStr">
        <is>
          <t>10</t>
        </is>
      </c>
      <c r="Q2957" s="5" t="inlineStr">
        <is>
          <t>2</t>
        </is>
      </c>
      <c r="R2957" s="5" t="inlineStr">
        <is>
          <t>6</t>
        </is>
      </c>
      <c r="S2957" s="5" t="inlineStr">
        <is>
          <t>71</t>
        </is>
      </c>
      <c r="T2957" s="5" t="inlineStr">
        <is>
          <t>0</t>
        </is>
      </c>
      <c r="U2957" s="5">
        <f>IFS(C2957&lt;30,"Under 30",C2957&lt;40,"30-39",C2957&lt;50,"40-49",TRUE,"50+")</f>
        <v/>
      </c>
      <c r="V2957" s="5">
        <f>IFS(O2957&lt;60000,"Low (&lt;60k)",O2957&lt;100000,"Mid (60-100k)",TRUE,"High (100k+)")</f>
        <v/>
      </c>
      <c r="W2957" s="5">
        <f>IF(M2957="No","Attrited","Active")</f>
        <v/>
      </c>
    </row>
    <row r="2958">
      <c r="A2958" s="5" t="inlineStr">
        <is>
          <t>E02957</t>
        </is>
      </c>
      <c r="B2958" s="5" t="inlineStr">
        <is>
          <t>Female</t>
        </is>
      </c>
      <c r="C2958" s="6" t="inlineStr">
        <is>
          <t>33</t>
        </is>
      </c>
      <c r="D2958" s="5" t="inlineStr">
        <is>
          <t>Married</t>
        </is>
      </c>
      <c r="E2958" s="5" t="inlineStr">
        <is>
          <t>Diploma</t>
        </is>
      </c>
      <c r="F2958" s="5" t="inlineStr">
        <is>
          <t>Operations</t>
        </is>
      </c>
      <c r="G2958" s="5" t="inlineStr">
        <is>
          <t>Logistics Coordinator</t>
        </is>
      </c>
      <c r="H2958" s="5" t="inlineStr">
        <is>
          <t>1</t>
        </is>
      </c>
      <c r="I2958" s="5" t="inlineStr">
        <is>
          <t>Remote</t>
        </is>
      </c>
      <c r="J2958" s="5" t="inlineStr">
        <is>
          <t>Full-Time</t>
        </is>
      </c>
      <c r="K2958" s="7" t="n">
        <v>44333</v>
      </c>
      <c r="L2958" s="7" t="inlineStr"/>
      <c r="M2958" s="5" t="inlineStr">
        <is>
          <t>Yes</t>
        </is>
      </c>
      <c r="N2958" s="5" t="inlineStr"/>
      <c r="O2958" s="8" t="inlineStr">
        <is>
          <t>72500</t>
        </is>
      </c>
      <c r="P2958" s="5" t="inlineStr">
        <is>
          <t>15</t>
        </is>
      </c>
      <c r="Q2958" s="5" t="inlineStr">
        <is>
          <t>5</t>
        </is>
      </c>
      <c r="R2958" s="5" t="inlineStr">
        <is>
          <t>7</t>
        </is>
      </c>
      <c r="S2958" s="5" t="inlineStr">
        <is>
          <t>56</t>
        </is>
      </c>
      <c r="T2958" s="5" t="inlineStr">
        <is>
          <t>4</t>
        </is>
      </c>
      <c r="U2958" s="5">
        <f>IFS(C2958&lt;30,"Under 30",C2958&lt;40,"30-39",C2958&lt;50,"40-49",TRUE,"50+")</f>
        <v/>
      </c>
      <c r="V2958" s="5">
        <f>IFS(O2958&lt;60000,"Low (&lt;60k)",O2958&lt;100000,"Mid (60-100k)",TRUE,"High (100k+)")</f>
        <v/>
      </c>
      <c r="W2958" s="5">
        <f>IF(M2958="No","Attrited","Active")</f>
        <v/>
      </c>
    </row>
    <row r="2959">
      <c r="A2959" s="5" t="inlineStr">
        <is>
          <t>E02958</t>
        </is>
      </c>
      <c r="B2959" s="5" t="inlineStr">
        <is>
          <t>Male</t>
        </is>
      </c>
      <c r="C2959" s="6" t="inlineStr">
        <is>
          <t>33</t>
        </is>
      </c>
      <c r="D2959" s="5" t="inlineStr">
        <is>
          <t>Married</t>
        </is>
      </c>
      <c r="E2959" s="5" t="inlineStr">
        <is>
          <t>Master</t>
        </is>
      </c>
      <c r="F2959" s="5" t="inlineStr">
        <is>
          <t>IT</t>
        </is>
      </c>
      <c r="G2959" s="5" t="inlineStr">
        <is>
          <t>Software Engineer</t>
        </is>
      </c>
      <c r="H2959" s="5" t="inlineStr">
        <is>
          <t>4</t>
        </is>
      </c>
      <c r="I2959" s="5" t="inlineStr">
        <is>
          <t>Bengaluru</t>
        </is>
      </c>
      <c r="J2959" s="5" t="inlineStr">
        <is>
          <t>Full-Time</t>
        </is>
      </c>
      <c r="K2959" s="7" t="n">
        <v>44272</v>
      </c>
      <c r="L2959" s="7" t="inlineStr"/>
      <c r="M2959" s="5" t="inlineStr">
        <is>
          <t>Yes</t>
        </is>
      </c>
      <c r="N2959" s="5" t="inlineStr"/>
      <c r="O2959" s="8" t="inlineStr">
        <is>
          <t>177000</t>
        </is>
      </c>
      <c r="P2959" s="5" t="inlineStr">
        <is>
          <t>0</t>
        </is>
      </c>
      <c r="Q2959" s="5" t="inlineStr">
        <is>
          <t>4</t>
        </is>
      </c>
      <c r="R2959" s="5" t="inlineStr">
        <is>
          <t>7</t>
        </is>
      </c>
      <c r="S2959" s="5" t="inlineStr">
        <is>
          <t>58</t>
        </is>
      </c>
      <c r="T2959" s="5" t="inlineStr">
        <is>
          <t>13</t>
        </is>
      </c>
      <c r="U2959" s="5">
        <f>IFS(C2959&lt;30,"Under 30",C2959&lt;40,"30-39",C2959&lt;50,"40-49",TRUE,"50+")</f>
        <v/>
      </c>
      <c r="V2959" s="5">
        <f>IFS(O2959&lt;60000,"Low (&lt;60k)",O2959&lt;100000,"Mid (60-100k)",TRUE,"High (100k+)")</f>
        <v/>
      </c>
      <c r="W2959" s="5">
        <f>IF(M2959="No","Attrited","Active")</f>
        <v/>
      </c>
    </row>
    <row r="2960">
      <c r="A2960" s="5" t="inlineStr">
        <is>
          <t>E02959</t>
        </is>
      </c>
      <c r="B2960" s="5" t="inlineStr">
        <is>
          <t>Male</t>
        </is>
      </c>
      <c r="C2960" s="6" t="inlineStr">
        <is>
          <t>28</t>
        </is>
      </c>
      <c r="D2960" s="5" t="inlineStr">
        <is>
          <t>Single</t>
        </is>
      </c>
      <c r="E2960" s="5" t="inlineStr">
        <is>
          <t>Bachelor</t>
        </is>
      </c>
      <c r="F2960" s="5" t="inlineStr">
        <is>
          <t>Operations</t>
        </is>
      </c>
      <c r="G2960" s="5" t="inlineStr">
        <is>
          <t>Operations Analyst</t>
        </is>
      </c>
      <c r="H2960" s="5" t="inlineStr">
        <is>
          <t>1</t>
        </is>
      </c>
      <c r="I2960" s="5" t="inlineStr">
        <is>
          <t>Chennai</t>
        </is>
      </c>
      <c r="J2960" s="5" t="inlineStr">
        <is>
          <t>Full-Time</t>
        </is>
      </c>
      <c r="K2960" s="7" t="n">
        <v>45446</v>
      </c>
      <c r="L2960" s="7" t="inlineStr"/>
      <c r="M2960" s="5" t="inlineStr">
        <is>
          <t>Yes</t>
        </is>
      </c>
      <c r="N2960" s="5" t="inlineStr"/>
      <c r="O2960" s="8" t="inlineStr">
        <is>
          <t>62500</t>
        </is>
      </c>
      <c r="P2960" s="5" t="inlineStr">
        <is>
          <t>0</t>
        </is>
      </c>
      <c r="Q2960" s="5" t="inlineStr">
        <is>
          <t>4</t>
        </is>
      </c>
      <c r="R2960" s="5" t="inlineStr">
        <is>
          <t>7</t>
        </is>
      </c>
      <c r="S2960" s="5" t="inlineStr">
        <is>
          <t>19</t>
        </is>
      </c>
      <c r="T2960" s="5" t="inlineStr">
        <is>
          <t>0</t>
        </is>
      </c>
      <c r="U2960" s="5">
        <f>IFS(C2960&lt;30,"Under 30",C2960&lt;40,"30-39",C2960&lt;50,"40-49",TRUE,"50+")</f>
        <v/>
      </c>
      <c r="V2960" s="5">
        <f>IFS(O2960&lt;60000,"Low (&lt;60k)",O2960&lt;100000,"Mid (60-100k)",TRUE,"High (100k+)")</f>
        <v/>
      </c>
      <c r="W2960" s="5">
        <f>IF(M2960="No","Attrited","Active")</f>
        <v/>
      </c>
    </row>
    <row r="2961">
      <c r="A2961" s="5" t="inlineStr">
        <is>
          <t>E02960</t>
        </is>
      </c>
      <c r="B2961" s="5" t="inlineStr">
        <is>
          <t>Female</t>
        </is>
      </c>
      <c r="C2961" s="6" t="inlineStr">
        <is>
          <t>28</t>
        </is>
      </c>
      <c r="D2961" s="5" t="inlineStr">
        <is>
          <t>Single</t>
        </is>
      </c>
      <c r="E2961" s="5" t="inlineStr">
        <is>
          <t>Master</t>
        </is>
      </c>
      <c r="F2961" s="5" t="inlineStr">
        <is>
          <t>Customer Support</t>
        </is>
      </c>
      <c r="G2961" s="5" t="inlineStr">
        <is>
          <t>Escalation Specialist</t>
        </is>
      </c>
      <c r="H2961" s="5" t="inlineStr">
        <is>
          <t>1</t>
        </is>
      </c>
      <c r="I2961" s="5" t="inlineStr">
        <is>
          <t>Mumbai</t>
        </is>
      </c>
      <c r="J2961" s="5" t="inlineStr">
        <is>
          <t>Full-Time</t>
        </is>
      </c>
      <c r="K2961" s="7" t="n">
        <v>45900</v>
      </c>
      <c r="L2961" s="7" t="n">
        <v>45966</v>
      </c>
      <c r="M2961" s="5" t="inlineStr">
        <is>
          <t>No</t>
        </is>
      </c>
      <c r="N2961" s="5" t="inlineStr">
        <is>
          <t>Performance / Termination</t>
        </is>
      </c>
      <c r="O2961" s="8" t="inlineStr">
        <is>
          <t>52000</t>
        </is>
      </c>
      <c r="P2961" s="5" t="inlineStr">
        <is>
          <t>5</t>
        </is>
      </c>
      <c r="Q2961" s="5" t="inlineStr">
        <is>
          <t>4</t>
        </is>
      </c>
      <c r="R2961" s="5" t="inlineStr">
        <is>
          <t>7</t>
        </is>
      </c>
      <c r="S2961" s="5" t="inlineStr">
        <is>
          <t>2</t>
        </is>
      </c>
      <c r="T2961" s="5" t="inlineStr">
        <is>
          <t>13</t>
        </is>
      </c>
      <c r="U2961" s="5">
        <f>IFS(C2961&lt;30,"Under 30",C2961&lt;40,"30-39",C2961&lt;50,"40-49",TRUE,"50+")</f>
        <v/>
      </c>
      <c r="V2961" s="5">
        <f>IFS(O2961&lt;60000,"Low (&lt;60k)",O2961&lt;100000,"Mid (60-100k)",TRUE,"High (100k+)")</f>
        <v/>
      </c>
      <c r="W2961" s="5">
        <f>IF(M2961="No","Attrited","Active")</f>
        <v/>
      </c>
    </row>
    <row r="2962">
      <c r="A2962" s="5" t="inlineStr">
        <is>
          <t>E02961</t>
        </is>
      </c>
      <c r="B2962" s="5" t="inlineStr">
        <is>
          <t>Male</t>
        </is>
      </c>
      <c r="C2962" s="6" t="inlineStr">
        <is>
          <t>27</t>
        </is>
      </c>
      <c r="D2962" s="5" t="inlineStr">
        <is>
          <t>Single</t>
        </is>
      </c>
      <c r="E2962" s="5" t="inlineStr">
        <is>
          <t>Diploma</t>
        </is>
      </c>
      <c r="F2962" s="5" t="inlineStr">
        <is>
          <t>Customer Support</t>
        </is>
      </c>
      <c r="G2962" s="5" t="inlineStr">
        <is>
          <t>Support Lead</t>
        </is>
      </c>
      <c r="H2962" s="5" t="inlineStr">
        <is>
          <t>1</t>
        </is>
      </c>
      <c r="I2962" s="5" t="inlineStr">
        <is>
          <t>Bengaluru</t>
        </is>
      </c>
      <c r="J2962" s="5" t="inlineStr">
        <is>
          <t>Full-Time</t>
        </is>
      </c>
      <c r="K2962" s="7" t="n">
        <v>45761</v>
      </c>
      <c r="L2962" s="7" t="inlineStr"/>
      <c r="M2962" s="5" t="inlineStr">
        <is>
          <t>Yes</t>
        </is>
      </c>
      <c r="N2962" s="5" t="inlineStr"/>
      <c r="O2962" s="8" t="inlineStr">
        <is>
          <t>47000</t>
        </is>
      </c>
      <c r="P2962" s="5" t="inlineStr">
        <is>
          <t>20</t>
        </is>
      </c>
      <c r="Q2962" s="5" t="inlineStr">
        <is>
          <t>3</t>
        </is>
      </c>
      <c r="R2962" s="5" t="inlineStr">
        <is>
          <t>5</t>
        </is>
      </c>
      <c r="S2962" s="5" t="inlineStr">
        <is>
          <t>8</t>
        </is>
      </c>
      <c r="T2962" s="5" t="inlineStr">
        <is>
          <t>4</t>
        </is>
      </c>
      <c r="U2962" s="5">
        <f>IFS(C2962&lt;30,"Under 30",C2962&lt;40,"30-39",C2962&lt;50,"40-49",TRUE,"50+")</f>
        <v/>
      </c>
      <c r="V2962" s="5">
        <f>IFS(O2962&lt;60000,"Low (&lt;60k)",O2962&lt;100000,"Mid (60-100k)",TRUE,"High (100k+)")</f>
        <v/>
      </c>
      <c r="W2962" s="5">
        <f>IF(M2962="No","Attrited","Active")</f>
        <v/>
      </c>
    </row>
    <row r="2963">
      <c r="A2963" s="5" t="inlineStr">
        <is>
          <t>E02962</t>
        </is>
      </c>
      <c r="B2963" s="5" t="inlineStr">
        <is>
          <t>Female</t>
        </is>
      </c>
      <c r="C2963" s="6" t="inlineStr">
        <is>
          <t>28</t>
        </is>
      </c>
      <c r="D2963" s="5" t="inlineStr">
        <is>
          <t>Single</t>
        </is>
      </c>
      <c r="E2963" s="5" t="inlineStr">
        <is>
          <t>Master</t>
        </is>
      </c>
      <c r="F2963" s="5" t="inlineStr">
        <is>
          <t>IT</t>
        </is>
      </c>
      <c r="G2963" s="5" t="inlineStr">
        <is>
          <t>Data Analyst</t>
        </is>
      </c>
      <c r="H2963" s="5" t="inlineStr">
        <is>
          <t>3</t>
        </is>
      </c>
      <c r="I2963" s="5" t="inlineStr">
        <is>
          <t>Mumbai</t>
        </is>
      </c>
      <c r="J2963" s="5" t="inlineStr">
        <is>
          <t>Contract</t>
        </is>
      </c>
      <c r="K2963" s="7" t="n">
        <v>43884</v>
      </c>
      <c r="L2963" s="7" t="inlineStr"/>
      <c r="M2963" s="5" t="inlineStr">
        <is>
          <t>Yes</t>
        </is>
      </c>
      <c r="N2963" s="5" t="inlineStr"/>
      <c r="O2963" s="8" t="inlineStr">
        <is>
          <t>183000</t>
        </is>
      </c>
      <c r="P2963" s="5" t="inlineStr">
        <is>
          <t>10</t>
        </is>
      </c>
      <c r="Q2963" s="5" t="inlineStr">
        <is>
          <t>4</t>
        </is>
      </c>
      <c r="R2963" s="5" t="inlineStr">
        <is>
          <t>6</t>
        </is>
      </c>
      <c r="S2963" s="5" t="inlineStr">
        <is>
          <t>71</t>
        </is>
      </c>
      <c r="T2963" s="5" t="inlineStr">
        <is>
          <t>8</t>
        </is>
      </c>
      <c r="U2963" s="5">
        <f>IFS(C2963&lt;30,"Under 30",C2963&lt;40,"30-39",C2963&lt;50,"40-49",TRUE,"50+")</f>
        <v/>
      </c>
      <c r="V2963" s="5">
        <f>IFS(O2963&lt;60000,"Low (&lt;60k)",O2963&lt;100000,"Mid (60-100k)",TRUE,"High (100k+)")</f>
        <v/>
      </c>
      <c r="W2963" s="5">
        <f>IF(M2963="No","Attrited","Active")</f>
        <v/>
      </c>
    </row>
    <row r="2964">
      <c r="A2964" s="5" t="inlineStr">
        <is>
          <t>E02963</t>
        </is>
      </c>
      <c r="B2964" s="5" t="inlineStr">
        <is>
          <t>Female</t>
        </is>
      </c>
      <c r="C2964" s="6" t="inlineStr">
        <is>
          <t>33</t>
        </is>
      </c>
      <c r="D2964" s="5" t="inlineStr">
        <is>
          <t>Married</t>
        </is>
      </c>
      <c r="E2964" s="5" t="inlineStr">
        <is>
          <t>Bachelor</t>
        </is>
      </c>
      <c r="F2964" s="5" t="inlineStr">
        <is>
          <t>Human Resources</t>
        </is>
      </c>
      <c r="G2964" s="5" t="inlineStr">
        <is>
          <t>HR Generalist</t>
        </is>
      </c>
      <c r="H2964" s="5" t="inlineStr">
        <is>
          <t>3</t>
        </is>
      </c>
      <c r="I2964" s="5" t="inlineStr">
        <is>
          <t>Remote</t>
        </is>
      </c>
      <c r="J2964" s="5" t="inlineStr">
        <is>
          <t>Full-Time</t>
        </is>
      </c>
      <c r="K2964" s="7" t="n">
        <v>45016</v>
      </c>
      <c r="L2964" s="7" t="inlineStr"/>
      <c r="M2964" s="5" t="inlineStr">
        <is>
          <t>Yes</t>
        </is>
      </c>
      <c r="N2964" s="5" t="inlineStr"/>
      <c r="O2964" s="8" t="inlineStr">
        <is>
          <t>111500</t>
        </is>
      </c>
      <c r="P2964" s="5" t="inlineStr">
        <is>
          <t>5</t>
        </is>
      </c>
      <c r="Q2964" s="5" t="inlineStr">
        <is>
          <t>3</t>
        </is>
      </c>
      <c r="R2964" s="5" t="inlineStr">
        <is>
          <t>4</t>
        </is>
      </c>
      <c r="S2964" s="5" t="inlineStr">
        <is>
          <t>33</t>
        </is>
      </c>
      <c r="T2964" s="5" t="inlineStr">
        <is>
          <t>9</t>
        </is>
      </c>
      <c r="U2964" s="5">
        <f>IFS(C2964&lt;30,"Under 30",C2964&lt;40,"30-39",C2964&lt;50,"40-49",TRUE,"50+")</f>
        <v/>
      </c>
      <c r="V2964" s="5">
        <f>IFS(O2964&lt;60000,"Low (&lt;60k)",O2964&lt;100000,"Mid (60-100k)",TRUE,"High (100k+)")</f>
        <v/>
      </c>
      <c r="W2964" s="5">
        <f>IF(M2964="No","Attrited","Active")</f>
        <v/>
      </c>
    </row>
    <row r="2965">
      <c r="A2965" s="5" t="inlineStr">
        <is>
          <t>E02964</t>
        </is>
      </c>
      <c r="B2965" s="5" t="inlineStr">
        <is>
          <t>Female</t>
        </is>
      </c>
      <c r="C2965" s="6" t="inlineStr">
        <is>
          <t>34</t>
        </is>
      </c>
      <c r="D2965" s="5" t="inlineStr">
        <is>
          <t>Married</t>
        </is>
      </c>
      <c r="E2965" s="5" t="inlineStr">
        <is>
          <t>Bachelor</t>
        </is>
      </c>
      <c r="F2965" s="5" t="inlineStr">
        <is>
          <t>Marketing</t>
        </is>
      </c>
      <c r="G2965" s="5" t="inlineStr">
        <is>
          <t>SEO Specialist</t>
        </is>
      </c>
      <c r="H2965" s="5" t="inlineStr">
        <is>
          <t>2</t>
        </is>
      </c>
      <c r="I2965" s="5" t="inlineStr">
        <is>
          <t>Remote</t>
        </is>
      </c>
      <c r="J2965" s="5" t="inlineStr">
        <is>
          <t>Full-Time</t>
        </is>
      </c>
      <c r="K2965" s="7" t="n">
        <v>45020</v>
      </c>
      <c r="L2965" s="7" t="inlineStr"/>
      <c r="M2965" s="5" t="inlineStr">
        <is>
          <t>Yes</t>
        </is>
      </c>
      <c r="N2965" s="5" t="inlineStr"/>
      <c r="O2965" s="8" t="inlineStr">
        <is>
          <t>102000</t>
        </is>
      </c>
      <c r="P2965" s="5" t="inlineStr">
        <is>
          <t>10</t>
        </is>
      </c>
      <c r="Q2965" s="5" t="inlineStr">
        <is>
          <t>3</t>
        </is>
      </c>
      <c r="R2965" s="5" t="inlineStr">
        <is>
          <t>3</t>
        </is>
      </c>
      <c r="S2965" s="5" t="inlineStr">
        <is>
          <t>33</t>
        </is>
      </c>
      <c r="T2965" s="5" t="inlineStr">
        <is>
          <t>2</t>
        </is>
      </c>
      <c r="U2965" s="5">
        <f>IFS(C2965&lt;30,"Under 30",C2965&lt;40,"30-39",C2965&lt;50,"40-49",TRUE,"50+")</f>
        <v/>
      </c>
      <c r="V2965" s="5">
        <f>IFS(O2965&lt;60000,"Low (&lt;60k)",O2965&lt;100000,"Mid (60-100k)",TRUE,"High (100k+)")</f>
        <v/>
      </c>
      <c r="W2965" s="5">
        <f>IF(M2965="No","Attrited","Active")</f>
        <v/>
      </c>
    </row>
    <row r="2966">
      <c r="A2966" s="5" t="inlineStr">
        <is>
          <t>E02965</t>
        </is>
      </c>
      <c r="B2966" s="5" t="inlineStr">
        <is>
          <t>Female</t>
        </is>
      </c>
      <c r="C2966" s="6" t="inlineStr">
        <is>
          <t>42</t>
        </is>
      </c>
      <c r="D2966" s="5" t="inlineStr">
        <is>
          <t>Married</t>
        </is>
      </c>
      <c r="E2966" s="5" t="inlineStr">
        <is>
          <t>Bachelor</t>
        </is>
      </c>
      <c r="F2966" s="5" t="inlineStr">
        <is>
          <t>Sales</t>
        </is>
      </c>
      <c r="G2966" s="5" t="inlineStr">
        <is>
          <t>Account Executive</t>
        </is>
      </c>
      <c r="H2966" s="5" t="inlineStr">
        <is>
          <t>5</t>
        </is>
      </c>
      <c r="I2966" s="5" t="inlineStr">
        <is>
          <t>Bengaluru</t>
        </is>
      </c>
      <c r="J2966" s="5" t="inlineStr">
        <is>
          <t>Full-Time</t>
        </is>
      </c>
      <c r="K2966" s="7" t="n">
        <v>44032</v>
      </c>
      <c r="L2966" s="7" t="inlineStr"/>
      <c r="M2966" s="5" t="inlineStr">
        <is>
          <t>Yes</t>
        </is>
      </c>
      <c r="N2966" s="5" t="inlineStr"/>
      <c r="O2966" s="8" t="inlineStr">
        <is>
          <t>100000</t>
        </is>
      </c>
      <c r="P2966" s="5" t="inlineStr">
        <is>
          <t>5</t>
        </is>
      </c>
      <c r="Q2966" s="5" t="inlineStr">
        <is>
          <t>4</t>
        </is>
      </c>
      <c r="R2966" s="5" t="inlineStr">
        <is>
          <t>7</t>
        </is>
      </c>
      <c r="S2966" s="5" t="inlineStr">
        <is>
          <t>66</t>
        </is>
      </c>
      <c r="T2966" s="5" t="inlineStr">
        <is>
          <t>5</t>
        </is>
      </c>
      <c r="U2966" s="5">
        <f>IFS(C2966&lt;30,"Under 30",C2966&lt;40,"30-39",C2966&lt;50,"40-49",TRUE,"50+")</f>
        <v/>
      </c>
      <c r="V2966" s="5">
        <f>IFS(O2966&lt;60000,"Low (&lt;60k)",O2966&lt;100000,"Mid (60-100k)",TRUE,"High (100k+)")</f>
        <v/>
      </c>
      <c r="W2966" s="5">
        <f>IF(M2966="No","Attrited","Active")</f>
        <v/>
      </c>
    </row>
    <row r="2967">
      <c r="A2967" s="5" t="inlineStr">
        <is>
          <t>E02966</t>
        </is>
      </c>
      <c r="B2967" s="5" t="inlineStr">
        <is>
          <t>Male</t>
        </is>
      </c>
      <c r="C2967" s="6" t="inlineStr">
        <is>
          <t>44</t>
        </is>
      </c>
      <c r="D2967" s="5" t="inlineStr">
        <is>
          <t>Married</t>
        </is>
      </c>
      <c r="E2967" s="5" t="inlineStr">
        <is>
          <t>Master</t>
        </is>
      </c>
      <c r="F2967" s="5" t="inlineStr">
        <is>
          <t>Marketing</t>
        </is>
      </c>
      <c r="G2967" s="5" t="inlineStr">
        <is>
          <t>SEO Specialist</t>
        </is>
      </c>
      <c r="H2967" s="5" t="inlineStr">
        <is>
          <t>6</t>
        </is>
      </c>
      <c r="I2967" s="5" t="inlineStr">
        <is>
          <t>Hyderabad</t>
        </is>
      </c>
      <c r="J2967" s="5" t="inlineStr">
        <is>
          <t>Full-Time</t>
        </is>
      </c>
      <c r="K2967" s="7" t="n">
        <v>44693</v>
      </c>
      <c r="L2967" s="7" t="n">
        <v>44731</v>
      </c>
      <c r="M2967" s="5" t="inlineStr">
        <is>
          <t>No</t>
        </is>
      </c>
      <c r="N2967" s="5" t="inlineStr">
        <is>
          <t>Performance / Termination</t>
        </is>
      </c>
      <c r="O2967" s="8" t="inlineStr">
        <is>
          <t>98000</t>
        </is>
      </c>
      <c r="P2967" s="5" t="inlineStr">
        <is>
          <t>20</t>
        </is>
      </c>
      <c r="Q2967" s="5" t="inlineStr">
        <is>
          <t>4</t>
        </is>
      </c>
      <c r="R2967" s="5" t="inlineStr">
        <is>
          <t>7</t>
        </is>
      </c>
      <c r="S2967" s="5" t="inlineStr">
        <is>
          <t>1</t>
        </is>
      </c>
      <c r="T2967" s="5" t="inlineStr">
        <is>
          <t>16</t>
        </is>
      </c>
      <c r="U2967" s="5">
        <f>IFS(C2967&lt;30,"Under 30",C2967&lt;40,"30-39",C2967&lt;50,"40-49",TRUE,"50+")</f>
        <v/>
      </c>
      <c r="V2967" s="5">
        <f>IFS(O2967&lt;60000,"Low (&lt;60k)",O2967&lt;100000,"Mid (60-100k)",TRUE,"High (100k+)")</f>
        <v/>
      </c>
      <c r="W2967" s="5">
        <f>IF(M2967="No","Attrited","Active")</f>
        <v/>
      </c>
    </row>
    <row r="2968">
      <c r="A2968" s="5" t="inlineStr">
        <is>
          <t>E02967</t>
        </is>
      </c>
      <c r="B2968" s="5" t="inlineStr">
        <is>
          <t>Female</t>
        </is>
      </c>
      <c r="C2968" s="6" t="inlineStr">
        <is>
          <t>29</t>
        </is>
      </c>
      <c r="D2968" s="5" t="inlineStr">
        <is>
          <t>Married</t>
        </is>
      </c>
      <c r="E2968" s="5" t="inlineStr">
        <is>
          <t>Master</t>
        </is>
      </c>
      <c r="F2968" s="5" t="inlineStr">
        <is>
          <t>Operations</t>
        </is>
      </c>
      <c r="G2968" s="5" t="inlineStr">
        <is>
          <t>Operations Analyst</t>
        </is>
      </c>
      <c r="H2968" s="5" t="inlineStr">
        <is>
          <t>4</t>
        </is>
      </c>
      <c r="I2968" s="5" t="inlineStr">
        <is>
          <t>Delhi</t>
        </is>
      </c>
      <c r="J2968" s="5" t="inlineStr">
        <is>
          <t>Full-Time</t>
        </is>
      </c>
      <c r="K2968" s="7" t="n">
        <v>44943</v>
      </c>
      <c r="L2968" s="7" t="inlineStr"/>
      <c r="M2968" s="5" t="inlineStr">
        <is>
          <t>Yes</t>
        </is>
      </c>
      <c r="N2968" s="5" t="inlineStr"/>
      <c r="O2968" s="8" t="inlineStr">
        <is>
          <t>107500</t>
        </is>
      </c>
      <c r="P2968" s="5" t="inlineStr">
        <is>
          <t>0</t>
        </is>
      </c>
      <c r="Q2968" s="5" t="inlineStr">
        <is>
          <t>4</t>
        </is>
      </c>
      <c r="R2968" s="5" t="inlineStr">
        <is>
          <t>6</t>
        </is>
      </c>
      <c r="S2968" s="5" t="inlineStr">
        <is>
          <t>35</t>
        </is>
      </c>
      <c r="T2968" s="5" t="inlineStr">
        <is>
          <t>1</t>
        </is>
      </c>
      <c r="U2968" s="5">
        <f>IFS(C2968&lt;30,"Under 30",C2968&lt;40,"30-39",C2968&lt;50,"40-49",TRUE,"50+")</f>
        <v/>
      </c>
      <c r="V2968" s="5">
        <f>IFS(O2968&lt;60000,"Low (&lt;60k)",O2968&lt;100000,"Mid (60-100k)",TRUE,"High (100k+)")</f>
        <v/>
      </c>
      <c r="W2968" s="5">
        <f>IF(M2968="No","Attrited","Active")</f>
        <v/>
      </c>
    </row>
    <row r="2969">
      <c r="A2969" s="5" t="inlineStr">
        <is>
          <t>E02968</t>
        </is>
      </c>
      <c r="B2969" s="5" t="inlineStr">
        <is>
          <t>Male</t>
        </is>
      </c>
      <c r="C2969" s="6" t="inlineStr">
        <is>
          <t>31</t>
        </is>
      </c>
      <c r="D2969" s="5" t="inlineStr">
        <is>
          <t>Single</t>
        </is>
      </c>
      <c r="E2969" s="5" t="inlineStr">
        <is>
          <t>Bachelor</t>
        </is>
      </c>
      <c r="F2969" s="5" t="inlineStr">
        <is>
          <t>Operations</t>
        </is>
      </c>
      <c r="G2969" s="5" t="inlineStr">
        <is>
          <t>Quality Analyst</t>
        </is>
      </c>
      <c r="H2969" s="5" t="inlineStr">
        <is>
          <t>5</t>
        </is>
      </c>
      <c r="I2969" s="5" t="inlineStr">
        <is>
          <t>Bengaluru</t>
        </is>
      </c>
      <c r="J2969" s="5" t="inlineStr">
        <is>
          <t>Full-Time</t>
        </is>
      </c>
      <c r="K2969" s="7" t="n">
        <v>44101</v>
      </c>
      <c r="L2969" s="7" t="inlineStr"/>
      <c r="M2969" s="5" t="inlineStr">
        <is>
          <t>Yes</t>
        </is>
      </c>
      <c r="N2969" s="5" t="inlineStr"/>
      <c r="O2969" s="8" t="inlineStr">
        <is>
          <t>103500</t>
        </is>
      </c>
      <c r="P2969" s="5" t="inlineStr">
        <is>
          <t>0</t>
        </is>
      </c>
      <c r="Q2969" s="5" t="inlineStr">
        <is>
          <t>3</t>
        </is>
      </c>
      <c r="R2969" s="5" t="inlineStr">
        <is>
          <t>7</t>
        </is>
      </c>
      <c r="S2969" s="5" t="inlineStr">
        <is>
          <t>64</t>
        </is>
      </c>
      <c r="T2969" s="5" t="inlineStr">
        <is>
          <t>4</t>
        </is>
      </c>
      <c r="U2969" s="5">
        <f>IFS(C2969&lt;30,"Under 30",C2969&lt;40,"30-39",C2969&lt;50,"40-49",TRUE,"50+")</f>
        <v/>
      </c>
      <c r="V2969" s="5">
        <f>IFS(O2969&lt;60000,"Low (&lt;60k)",O2969&lt;100000,"Mid (60-100k)",TRUE,"High (100k+)")</f>
        <v/>
      </c>
      <c r="W2969" s="5">
        <f>IF(M2969="No","Attrited","Active")</f>
        <v/>
      </c>
    </row>
    <row r="2970">
      <c r="A2970" s="5" t="inlineStr">
        <is>
          <t>E02969</t>
        </is>
      </c>
      <c r="B2970" s="5" t="inlineStr">
        <is>
          <t>Male</t>
        </is>
      </c>
      <c r="C2970" s="6" t="inlineStr">
        <is>
          <t>30</t>
        </is>
      </c>
      <c r="D2970" s="5" t="inlineStr">
        <is>
          <t>Married</t>
        </is>
      </c>
      <c r="E2970" s="5" t="inlineStr">
        <is>
          <t>High School</t>
        </is>
      </c>
      <c r="F2970" s="5" t="inlineStr">
        <is>
          <t>Sales</t>
        </is>
      </c>
      <c r="G2970" s="5" t="inlineStr">
        <is>
          <t>Account Executive</t>
        </is>
      </c>
      <c r="H2970" s="5" t="inlineStr">
        <is>
          <t>1</t>
        </is>
      </c>
      <c r="I2970" s="5" t="inlineStr">
        <is>
          <t>Bengaluru</t>
        </is>
      </c>
      <c r="J2970" s="5" t="inlineStr">
        <is>
          <t>Full-Time</t>
        </is>
      </c>
      <c r="K2970" s="7" t="n">
        <v>44558</v>
      </c>
      <c r="L2970" s="7" t="inlineStr"/>
      <c r="M2970" s="5" t="inlineStr">
        <is>
          <t>Yes</t>
        </is>
      </c>
      <c r="N2970" s="5" t="inlineStr"/>
      <c r="O2970" s="8" t="inlineStr">
        <is>
          <t>106000</t>
        </is>
      </c>
      <c r="P2970" s="5" t="inlineStr">
        <is>
          <t>15</t>
        </is>
      </c>
      <c r="Q2970" s="5" t="inlineStr">
        <is>
          <t>2</t>
        </is>
      </c>
      <c r="R2970" s="5" t="inlineStr">
        <is>
          <t>4</t>
        </is>
      </c>
      <c r="S2970" s="5" t="inlineStr">
        <is>
          <t>48</t>
        </is>
      </c>
      <c r="T2970" s="5" t="inlineStr">
        <is>
          <t>3</t>
        </is>
      </c>
      <c r="U2970" s="5">
        <f>IFS(C2970&lt;30,"Under 30",C2970&lt;40,"30-39",C2970&lt;50,"40-49",TRUE,"50+")</f>
        <v/>
      </c>
      <c r="V2970" s="5">
        <f>IFS(O2970&lt;60000,"Low (&lt;60k)",O2970&lt;100000,"Mid (60-100k)",TRUE,"High (100k+)")</f>
        <v/>
      </c>
      <c r="W2970" s="5">
        <f>IF(M2970="No","Attrited","Active")</f>
        <v/>
      </c>
    </row>
    <row r="2971">
      <c r="A2971" s="5" t="inlineStr">
        <is>
          <t>E02970</t>
        </is>
      </c>
      <c r="B2971" s="5" t="inlineStr">
        <is>
          <t>Female</t>
        </is>
      </c>
      <c r="C2971" s="6" t="inlineStr">
        <is>
          <t>39</t>
        </is>
      </c>
      <c r="D2971" s="5" t="inlineStr">
        <is>
          <t>Married</t>
        </is>
      </c>
      <c r="E2971" s="5" t="inlineStr">
        <is>
          <t>High School</t>
        </is>
      </c>
      <c r="F2971" s="5" t="inlineStr">
        <is>
          <t>Finance</t>
        </is>
      </c>
      <c r="G2971" s="5" t="inlineStr">
        <is>
          <t>Financial Analyst</t>
        </is>
      </c>
      <c r="H2971" s="5" t="inlineStr">
        <is>
          <t>5</t>
        </is>
      </c>
      <c r="I2971" s="5" t="inlineStr">
        <is>
          <t>Hyderabad</t>
        </is>
      </c>
      <c r="J2971" s="5" t="inlineStr">
        <is>
          <t>Full-Time</t>
        </is>
      </c>
      <c r="K2971" s="7" t="n">
        <v>44889</v>
      </c>
      <c r="L2971" s="7" t="n">
        <v>44961</v>
      </c>
      <c r="M2971" s="5" t="inlineStr">
        <is>
          <t>No</t>
        </is>
      </c>
      <c r="N2971" s="5" t="inlineStr">
        <is>
          <t>Relocation</t>
        </is>
      </c>
      <c r="O2971" s="8" t="inlineStr">
        <is>
          <t>138500</t>
        </is>
      </c>
      <c r="P2971" s="5" t="inlineStr">
        <is>
          <t>5</t>
        </is>
      </c>
      <c r="Q2971" s="5" t="inlineStr">
        <is>
          <t>4</t>
        </is>
      </c>
      <c r="R2971" s="5" t="inlineStr">
        <is>
          <t>6</t>
        </is>
      </c>
      <c r="S2971" s="5" t="inlineStr">
        <is>
          <t>2</t>
        </is>
      </c>
      <c r="T2971" s="5" t="inlineStr">
        <is>
          <t>16</t>
        </is>
      </c>
      <c r="U2971" s="5">
        <f>IFS(C2971&lt;30,"Under 30",C2971&lt;40,"30-39",C2971&lt;50,"40-49",TRUE,"50+")</f>
        <v/>
      </c>
      <c r="V2971" s="5">
        <f>IFS(O2971&lt;60000,"Low (&lt;60k)",O2971&lt;100000,"Mid (60-100k)",TRUE,"High (100k+)")</f>
        <v/>
      </c>
      <c r="W2971" s="5">
        <f>IF(M2971="No","Attrited","Active")</f>
        <v/>
      </c>
    </row>
    <row r="2972">
      <c r="A2972" s="5" t="inlineStr">
        <is>
          <t>E02971</t>
        </is>
      </c>
      <c r="B2972" s="5" t="inlineStr">
        <is>
          <t>Male</t>
        </is>
      </c>
      <c r="C2972" s="6" t="inlineStr">
        <is>
          <t>35</t>
        </is>
      </c>
      <c r="D2972" s="5" t="inlineStr">
        <is>
          <t>Married</t>
        </is>
      </c>
      <c r="E2972" s="5" t="inlineStr">
        <is>
          <t>Master</t>
        </is>
      </c>
      <c r="F2972" s="5" t="inlineStr">
        <is>
          <t>Finance</t>
        </is>
      </c>
      <c r="G2972" s="5" t="inlineStr">
        <is>
          <t>Accountant</t>
        </is>
      </c>
      <c r="H2972" s="5" t="inlineStr">
        <is>
          <t>3</t>
        </is>
      </c>
      <c r="I2972" s="5" t="inlineStr">
        <is>
          <t>Remote</t>
        </is>
      </c>
      <c r="J2972" s="5" t="inlineStr">
        <is>
          <t>Full-Time</t>
        </is>
      </c>
      <c r="K2972" s="7" t="n">
        <v>45776</v>
      </c>
      <c r="L2972" s="7" t="inlineStr"/>
      <c r="M2972" s="5" t="inlineStr">
        <is>
          <t>Yes</t>
        </is>
      </c>
      <c r="N2972" s="5" t="inlineStr"/>
      <c r="O2972" s="8" t="inlineStr">
        <is>
          <t>95500</t>
        </is>
      </c>
      <c r="P2972" s="5" t="inlineStr">
        <is>
          <t>20</t>
        </is>
      </c>
      <c r="Q2972" s="5" t="inlineStr">
        <is>
          <t>3</t>
        </is>
      </c>
      <c r="R2972" s="5" t="inlineStr">
        <is>
          <t>7</t>
        </is>
      </c>
      <c r="S2972" s="5" t="inlineStr">
        <is>
          <t>8</t>
        </is>
      </c>
      <c r="T2972" s="5" t="inlineStr">
        <is>
          <t>8</t>
        </is>
      </c>
      <c r="U2972" s="5">
        <f>IFS(C2972&lt;30,"Under 30",C2972&lt;40,"30-39",C2972&lt;50,"40-49",TRUE,"50+")</f>
        <v/>
      </c>
      <c r="V2972" s="5">
        <f>IFS(O2972&lt;60000,"Low (&lt;60k)",O2972&lt;100000,"Mid (60-100k)",TRUE,"High (100k+)")</f>
        <v/>
      </c>
      <c r="W2972" s="5">
        <f>IF(M2972="No","Attrited","Active")</f>
        <v/>
      </c>
    </row>
    <row r="2973">
      <c r="A2973" s="5" t="inlineStr">
        <is>
          <t>E02972</t>
        </is>
      </c>
      <c r="B2973" s="5" t="inlineStr">
        <is>
          <t>Male</t>
        </is>
      </c>
      <c r="C2973" s="6" t="inlineStr">
        <is>
          <t>30</t>
        </is>
      </c>
      <c r="D2973" s="5" t="inlineStr">
        <is>
          <t>Single</t>
        </is>
      </c>
      <c r="E2973" s="5" t="inlineStr">
        <is>
          <t>PhD</t>
        </is>
      </c>
      <c r="F2973" s="5" t="inlineStr">
        <is>
          <t>Human Resources</t>
        </is>
      </c>
      <c r="G2973" s="5" t="inlineStr">
        <is>
          <t>HR Analyst</t>
        </is>
      </c>
      <c r="H2973" s="5" t="inlineStr">
        <is>
          <t>2</t>
        </is>
      </c>
      <c r="I2973" s="5" t="inlineStr">
        <is>
          <t>Hyderabad</t>
        </is>
      </c>
      <c r="J2973" s="5" t="inlineStr">
        <is>
          <t>Contract</t>
        </is>
      </c>
      <c r="K2973" s="7" t="n">
        <v>44037</v>
      </c>
      <c r="L2973" s="7" t="inlineStr"/>
      <c r="M2973" s="5" t="inlineStr">
        <is>
          <t>Yes</t>
        </is>
      </c>
      <c r="N2973" s="5" t="inlineStr"/>
      <c r="O2973" s="8" t="inlineStr">
        <is>
          <t>111500</t>
        </is>
      </c>
      <c r="P2973" s="5" t="inlineStr">
        <is>
          <t>10</t>
        </is>
      </c>
      <c r="Q2973" s="5" t="inlineStr">
        <is>
          <t>4</t>
        </is>
      </c>
      <c r="R2973" s="5" t="inlineStr">
        <is>
          <t>7</t>
        </is>
      </c>
      <c r="S2973" s="5" t="inlineStr">
        <is>
          <t>66</t>
        </is>
      </c>
      <c r="T2973" s="5" t="inlineStr">
        <is>
          <t>9</t>
        </is>
      </c>
      <c r="U2973" s="5">
        <f>IFS(C2973&lt;30,"Under 30",C2973&lt;40,"30-39",C2973&lt;50,"40-49",TRUE,"50+")</f>
        <v/>
      </c>
      <c r="V2973" s="5">
        <f>IFS(O2973&lt;60000,"Low (&lt;60k)",O2973&lt;100000,"Mid (60-100k)",TRUE,"High (100k+)")</f>
        <v/>
      </c>
      <c r="W2973" s="5">
        <f>IF(M2973="No","Attrited","Active")</f>
        <v/>
      </c>
    </row>
    <row r="2974">
      <c r="A2974" s="5" t="inlineStr">
        <is>
          <t>E02973</t>
        </is>
      </c>
      <c r="B2974" s="5" t="inlineStr">
        <is>
          <t>Female</t>
        </is>
      </c>
      <c r="C2974" s="6" t="inlineStr">
        <is>
          <t>31</t>
        </is>
      </c>
      <c r="D2974" s="5" t="inlineStr">
        <is>
          <t>Married</t>
        </is>
      </c>
      <c r="E2974" s="5" t="inlineStr">
        <is>
          <t>High School</t>
        </is>
      </c>
      <c r="F2974" s="5" t="inlineStr">
        <is>
          <t>IT</t>
        </is>
      </c>
      <c r="G2974" s="5" t="inlineStr">
        <is>
          <t>IT Support</t>
        </is>
      </c>
      <c r="H2974" s="5" t="inlineStr">
        <is>
          <t>2</t>
        </is>
      </c>
      <c r="I2974" s="5" t="inlineStr">
        <is>
          <t>Remote</t>
        </is>
      </c>
      <c r="J2974" s="5" t="inlineStr">
        <is>
          <t>Full-Time</t>
        </is>
      </c>
      <c r="K2974" s="7" t="n">
        <v>45598</v>
      </c>
      <c r="L2974" s="7" t="n">
        <v>45641</v>
      </c>
      <c r="M2974" s="5" t="inlineStr">
        <is>
          <t>No</t>
        </is>
      </c>
      <c r="N2974" s="5" t="inlineStr">
        <is>
          <t>Resigned</t>
        </is>
      </c>
      <c r="O2974" s="8" t="inlineStr">
        <is>
          <t>126000</t>
        </is>
      </c>
      <c r="P2974" s="5" t="inlineStr">
        <is>
          <t>10</t>
        </is>
      </c>
      <c r="Q2974" s="5" t="inlineStr">
        <is>
          <t>4</t>
        </is>
      </c>
      <c r="R2974" s="5" t="inlineStr">
        <is>
          <t>5</t>
        </is>
      </c>
      <c r="S2974" s="5" t="inlineStr">
        <is>
          <t>1</t>
        </is>
      </c>
      <c r="T2974" s="5" t="inlineStr">
        <is>
          <t>3</t>
        </is>
      </c>
      <c r="U2974" s="5">
        <f>IFS(C2974&lt;30,"Under 30",C2974&lt;40,"30-39",C2974&lt;50,"40-49",TRUE,"50+")</f>
        <v/>
      </c>
      <c r="V2974" s="5">
        <f>IFS(O2974&lt;60000,"Low (&lt;60k)",O2974&lt;100000,"Mid (60-100k)",TRUE,"High (100k+)")</f>
        <v/>
      </c>
      <c r="W2974" s="5">
        <f>IF(M2974="No","Attrited","Active")</f>
        <v/>
      </c>
    </row>
    <row r="2975">
      <c r="A2975" s="5" t="inlineStr">
        <is>
          <t>E02974</t>
        </is>
      </c>
      <c r="B2975" s="5" t="inlineStr">
        <is>
          <t>Female</t>
        </is>
      </c>
      <c r="C2975" s="6" t="inlineStr">
        <is>
          <t>30</t>
        </is>
      </c>
      <c r="D2975" s="5" t="inlineStr">
        <is>
          <t>Single</t>
        </is>
      </c>
      <c r="E2975" s="5" t="inlineStr">
        <is>
          <t>High School</t>
        </is>
      </c>
      <c r="F2975" s="5" t="inlineStr">
        <is>
          <t>Customer Support</t>
        </is>
      </c>
      <c r="G2975" s="5" t="inlineStr">
        <is>
          <t>Support Agent</t>
        </is>
      </c>
      <c r="H2975" s="5" t="inlineStr">
        <is>
          <t>3</t>
        </is>
      </c>
      <c r="I2975" s="5" t="inlineStr">
        <is>
          <t>Delhi</t>
        </is>
      </c>
      <c r="J2975" s="5" t="inlineStr">
        <is>
          <t>Full-Time</t>
        </is>
      </c>
      <c r="K2975" s="7" t="n">
        <v>44280</v>
      </c>
      <c r="L2975" s="7" t="inlineStr"/>
      <c r="M2975" s="5" t="inlineStr">
        <is>
          <t>Yes</t>
        </is>
      </c>
      <c r="N2975" s="5" t="inlineStr"/>
      <c r="O2975" s="8" t="inlineStr">
        <is>
          <t>61500</t>
        </is>
      </c>
      <c r="P2975" s="5" t="inlineStr">
        <is>
          <t>0</t>
        </is>
      </c>
      <c r="Q2975" s="5" t="inlineStr">
        <is>
          <t>4</t>
        </is>
      </c>
      <c r="R2975" s="5" t="inlineStr">
        <is>
          <t>5</t>
        </is>
      </c>
      <c r="S2975" s="5" t="inlineStr">
        <is>
          <t>58</t>
        </is>
      </c>
      <c r="T2975" s="5" t="inlineStr">
        <is>
          <t>6</t>
        </is>
      </c>
      <c r="U2975" s="5">
        <f>IFS(C2975&lt;30,"Under 30",C2975&lt;40,"30-39",C2975&lt;50,"40-49",TRUE,"50+")</f>
        <v/>
      </c>
      <c r="V2975" s="5">
        <f>IFS(O2975&lt;60000,"Low (&lt;60k)",O2975&lt;100000,"Mid (60-100k)",TRUE,"High (100k+)")</f>
        <v/>
      </c>
      <c r="W2975" s="5">
        <f>IF(M2975="No","Attrited","Active")</f>
        <v/>
      </c>
    </row>
    <row r="2976">
      <c r="A2976" s="5" t="inlineStr">
        <is>
          <t>E02975</t>
        </is>
      </c>
      <c r="B2976" s="5" t="inlineStr">
        <is>
          <t>Female</t>
        </is>
      </c>
      <c r="C2976" s="6" t="inlineStr">
        <is>
          <t>29</t>
        </is>
      </c>
      <c r="D2976" s="5" t="inlineStr">
        <is>
          <t>Married</t>
        </is>
      </c>
      <c r="E2976" s="5" t="inlineStr">
        <is>
          <t>Bachelor</t>
        </is>
      </c>
      <c r="F2976" s="5" t="inlineStr">
        <is>
          <t>Operations</t>
        </is>
      </c>
      <c r="G2976" s="5" t="inlineStr">
        <is>
          <t>Logistics Coordinator</t>
        </is>
      </c>
      <c r="H2976" s="5" t="inlineStr">
        <is>
          <t>1</t>
        </is>
      </c>
      <c r="I2976" s="5" t="inlineStr">
        <is>
          <t>Bengaluru</t>
        </is>
      </c>
      <c r="J2976" s="5" t="inlineStr">
        <is>
          <t>Full-Time</t>
        </is>
      </c>
      <c r="K2976" s="7" t="n">
        <v>44509</v>
      </c>
      <c r="L2976" s="7" t="n">
        <v>44593</v>
      </c>
      <c r="M2976" s="5" t="inlineStr">
        <is>
          <t>No</t>
        </is>
      </c>
      <c r="N2976" s="5" t="inlineStr">
        <is>
          <t>Resigned</t>
        </is>
      </c>
      <c r="O2976" s="8" t="inlineStr">
        <is>
          <t>61000</t>
        </is>
      </c>
      <c r="P2976" s="5" t="inlineStr">
        <is>
          <t>5</t>
        </is>
      </c>
      <c r="Q2976" s="5" t="inlineStr">
        <is>
          <t>4</t>
        </is>
      </c>
      <c r="R2976" s="5" t="inlineStr">
        <is>
          <t>2</t>
        </is>
      </c>
      <c r="S2976" s="5" t="inlineStr">
        <is>
          <t>2</t>
        </is>
      </c>
      <c r="T2976" s="5" t="inlineStr">
        <is>
          <t>17</t>
        </is>
      </c>
      <c r="U2976" s="5">
        <f>IFS(C2976&lt;30,"Under 30",C2976&lt;40,"30-39",C2976&lt;50,"40-49",TRUE,"50+")</f>
        <v/>
      </c>
      <c r="V2976" s="5">
        <f>IFS(O2976&lt;60000,"Low (&lt;60k)",O2976&lt;100000,"Mid (60-100k)",TRUE,"High (100k+)")</f>
        <v/>
      </c>
      <c r="W2976" s="5">
        <f>IF(M2976="No","Attrited","Active")</f>
        <v/>
      </c>
    </row>
    <row r="2977">
      <c r="A2977" s="5" t="inlineStr">
        <is>
          <t>E02976</t>
        </is>
      </c>
      <c r="B2977" s="5" t="inlineStr">
        <is>
          <t>Female</t>
        </is>
      </c>
      <c r="C2977" s="6" t="inlineStr">
        <is>
          <t>35</t>
        </is>
      </c>
      <c r="D2977" s="5" t="inlineStr">
        <is>
          <t>Single</t>
        </is>
      </c>
      <c r="E2977" s="5" t="inlineStr">
        <is>
          <t>Master</t>
        </is>
      </c>
      <c r="F2977" s="5" t="inlineStr">
        <is>
          <t>Finance</t>
        </is>
      </c>
      <c r="G2977" s="5" t="inlineStr">
        <is>
          <t>Financial Analyst</t>
        </is>
      </c>
      <c r="H2977" s="5" t="inlineStr">
        <is>
          <t>4</t>
        </is>
      </c>
      <c r="I2977" s="5" t="inlineStr">
        <is>
          <t>Mumbai</t>
        </is>
      </c>
      <c r="J2977" s="5" t="inlineStr">
        <is>
          <t>Contract</t>
        </is>
      </c>
      <c r="K2977" s="7" t="n">
        <v>44206</v>
      </c>
      <c r="L2977" s="7" t="inlineStr"/>
      <c r="M2977" s="5" t="inlineStr">
        <is>
          <t>Yes</t>
        </is>
      </c>
      <c r="N2977" s="5" t="inlineStr"/>
      <c r="O2977" s="8" t="inlineStr">
        <is>
          <t>156000</t>
        </is>
      </c>
      <c r="P2977" s="5" t="inlineStr">
        <is>
          <t>10</t>
        </is>
      </c>
      <c r="Q2977" s="5" t="inlineStr">
        <is>
          <t>3</t>
        </is>
      </c>
      <c r="R2977" s="5" t="inlineStr">
        <is>
          <t>8</t>
        </is>
      </c>
      <c r="S2977" s="5" t="inlineStr">
        <is>
          <t>60</t>
        </is>
      </c>
      <c r="T2977" s="5" t="inlineStr">
        <is>
          <t>10</t>
        </is>
      </c>
      <c r="U2977" s="5">
        <f>IFS(C2977&lt;30,"Under 30",C2977&lt;40,"30-39",C2977&lt;50,"40-49",TRUE,"50+")</f>
        <v/>
      </c>
      <c r="V2977" s="5">
        <f>IFS(O2977&lt;60000,"Low (&lt;60k)",O2977&lt;100000,"Mid (60-100k)",TRUE,"High (100k+)")</f>
        <v/>
      </c>
      <c r="W2977" s="5">
        <f>IF(M2977="No","Attrited","Active")</f>
        <v/>
      </c>
    </row>
    <row r="2978">
      <c r="A2978" s="5" t="inlineStr">
        <is>
          <t>E02977</t>
        </is>
      </c>
      <c r="B2978" s="5" t="inlineStr">
        <is>
          <t>Female</t>
        </is>
      </c>
      <c r="C2978" s="6" t="inlineStr">
        <is>
          <t>34</t>
        </is>
      </c>
      <c r="D2978" s="5" t="inlineStr">
        <is>
          <t>Single</t>
        </is>
      </c>
      <c r="E2978" s="5" t="inlineStr">
        <is>
          <t>Diploma</t>
        </is>
      </c>
      <c r="F2978" s="5" t="inlineStr">
        <is>
          <t>Sales</t>
        </is>
      </c>
      <c r="G2978" s="5" t="inlineStr">
        <is>
          <t>Business Development</t>
        </is>
      </c>
      <c r="H2978" s="5" t="inlineStr">
        <is>
          <t>5</t>
        </is>
      </c>
      <c r="I2978" s="5" t="inlineStr">
        <is>
          <t>Bengaluru</t>
        </is>
      </c>
      <c r="J2978" s="5" t="inlineStr">
        <is>
          <t>Full-Time</t>
        </is>
      </c>
      <c r="K2978" s="7" t="n">
        <v>44754</v>
      </c>
      <c r="L2978" s="7" t="inlineStr"/>
      <c r="M2978" s="5" t="inlineStr">
        <is>
          <t>Yes</t>
        </is>
      </c>
      <c r="N2978" s="5" t="inlineStr"/>
      <c r="O2978" s="8" t="inlineStr">
        <is>
          <t>144500</t>
        </is>
      </c>
      <c r="P2978" s="5" t="inlineStr">
        <is>
          <t>5</t>
        </is>
      </c>
      <c r="Q2978" s="5" t="inlineStr">
        <is>
          <t>2</t>
        </is>
      </c>
      <c r="R2978" s="5" t="inlineStr">
        <is>
          <t>4</t>
        </is>
      </c>
      <c r="S2978" s="5" t="inlineStr">
        <is>
          <t>42</t>
        </is>
      </c>
      <c r="T2978" s="5" t="inlineStr">
        <is>
          <t>10</t>
        </is>
      </c>
      <c r="U2978" s="5">
        <f>IFS(C2978&lt;30,"Under 30",C2978&lt;40,"30-39",C2978&lt;50,"40-49",TRUE,"50+")</f>
        <v/>
      </c>
      <c r="V2978" s="5">
        <f>IFS(O2978&lt;60000,"Low (&lt;60k)",O2978&lt;100000,"Mid (60-100k)",TRUE,"High (100k+)")</f>
        <v/>
      </c>
      <c r="W2978" s="5">
        <f>IF(M2978="No","Attrited","Active")</f>
        <v/>
      </c>
    </row>
    <row r="2979">
      <c r="A2979" s="5" t="inlineStr">
        <is>
          <t>E02978</t>
        </is>
      </c>
      <c r="B2979" s="5" t="inlineStr">
        <is>
          <t>Male</t>
        </is>
      </c>
      <c r="C2979" s="6" t="inlineStr">
        <is>
          <t>33</t>
        </is>
      </c>
      <c r="D2979" s="5" t="inlineStr">
        <is>
          <t>Married</t>
        </is>
      </c>
      <c r="E2979" s="5" t="inlineStr">
        <is>
          <t>PhD</t>
        </is>
      </c>
      <c r="F2979" s="5" t="inlineStr">
        <is>
          <t>Customer Support</t>
        </is>
      </c>
      <c r="G2979" s="5" t="inlineStr">
        <is>
          <t>Support Agent</t>
        </is>
      </c>
      <c r="H2979" s="5" t="inlineStr">
        <is>
          <t>1</t>
        </is>
      </c>
      <c r="I2979" s="5" t="inlineStr">
        <is>
          <t>Chennai</t>
        </is>
      </c>
      <c r="J2979" s="5" t="inlineStr">
        <is>
          <t>Full-Time</t>
        </is>
      </c>
      <c r="K2979" s="7" t="n">
        <v>45972</v>
      </c>
      <c r="L2979" s="7" t="n">
        <v>45987</v>
      </c>
      <c r="M2979" s="5" t="inlineStr">
        <is>
          <t>No</t>
        </is>
      </c>
      <c r="N2979" s="5" t="inlineStr">
        <is>
          <t>Retirement</t>
        </is>
      </c>
      <c r="O2979" s="8" t="inlineStr">
        <is>
          <t>65000</t>
        </is>
      </c>
      <c r="P2979" s="5" t="inlineStr">
        <is>
          <t>0</t>
        </is>
      </c>
      <c r="Q2979" s="5" t="inlineStr">
        <is>
          <t>3</t>
        </is>
      </c>
      <c r="R2979" s="5" t="inlineStr">
        <is>
          <t>8</t>
        </is>
      </c>
      <c r="S2979" s="5" t="inlineStr">
        <is>
          <t>1</t>
        </is>
      </c>
      <c r="T2979" s="5" t="inlineStr">
        <is>
          <t>2</t>
        </is>
      </c>
      <c r="U2979" s="5">
        <f>IFS(C2979&lt;30,"Under 30",C2979&lt;40,"30-39",C2979&lt;50,"40-49",TRUE,"50+")</f>
        <v/>
      </c>
      <c r="V2979" s="5">
        <f>IFS(O2979&lt;60000,"Low (&lt;60k)",O2979&lt;100000,"Mid (60-100k)",TRUE,"High (100k+)")</f>
        <v/>
      </c>
      <c r="W2979" s="5">
        <f>IF(M2979="No","Attrited","Active")</f>
        <v/>
      </c>
    </row>
    <row r="2980">
      <c r="A2980" s="5" t="inlineStr">
        <is>
          <t>E02979</t>
        </is>
      </c>
      <c r="B2980" s="5" t="inlineStr">
        <is>
          <t>Female</t>
        </is>
      </c>
      <c r="C2980" s="6" t="inlineStr">
        <is>
          <t>40</t>
        </is>
      </c>
      <c r="D2980" s="5" t="inlineStr">
        <is>
          <t>Single</t>
        </is>
      </c>
      <c r="E2980" s="5" t="inlineStr">
        <is>
          <t>PhD</t>
        </is>
      </c>
      <c r="F2980" s="5" t="inlineStr">
        <is>
          <t>Operations</t>
        </is>
      </c>
      <c r="G2980" s="5" t="inlineStr">
        <is>
          <t>Quality Analyst</t>
        </is>
      </c>
      <c r="H2980" s="5" t="inlineStr">
        <is>
          <t>5</t>
        </is>
      </c>
      <c r="I2980" s="5" t="inlineStr">
        <is>
          <t>Chennai</t>
        </is>
      </c>
      <c r="J2980" s="5" t="inlineStr">
        <is>
          <t>Full-Time</t>
        </is>
      </c>
      <c r="K2980" s="7" t="n">
        <v>45746</v>
      </c>
      <c r="L2980" s="7" t="inlineStr"/>
      <c r="M2980" s="5" t="inlineStr">
        <is>
          <t>Yes</t>
        </is>
      </c>
      <c r="N2980" s="5" t="inlineStr"/>
      <c r="O2980" s="8" t="inlineStr">
        <is>
          <t>121500</t>
        </is>
      </c>
      <c r="P2980" s="5" t="inlineStr">
        <is>
          <t>5</t>
        </is>
      </c>
      <c r="Q2980" s="5" t="inlineStr">
        <is>
          <t>5</t>
        </is>
      </c>
      <c r="R2980" s="5" t="inlineStr">
        <is>
          <t>5</t>
        </is>
      </c>
      <c r="S2980" s="5" t="inlineStr">
        <is>
          <t>9</t>
        </is>
      </c>
      <c r="T2980" s="5" t="inlineStr">
        <is>
          <t>11</t>
        </is>
      </c>
      <c r="U2980" s="5">
        <f>IFS(C2980&lt;30,"Under 30",C2980&lt;40,"30-39",C2980&lt;50,"40-49",TRUE,"50+")</f>
        <v/>
      </c>
      <c r="V2980" s="5">
        <f>IFS(O2980&lt;60000,"Low (&lt;60k)",O2980&lt;100000,"Mid (60-100k)",TRUE,"High (100k+)")</f>
        <v/>
      </c>
      <c r="W2980" s="5">
        <f>IF(M2980="No","Attrited","Active")</f>
        <v/>
      </c>
    </row>
    <row r="2981">
      <c r="A2981" s="5" t="inlineStr">
        <is>
          <t>E02980</t>
        </is>
      </c>
      <c r="B2981" s="5" t="inlineStr">
        <is>
          <t>Female</t>
        </is>
      </c>
      <c r="C2981" s="6" t="inlineStr">
        <is>
          <t>31</t>
        </is>
      </c>
      <c r="D2981" s="5" t="inlineStr">
        <is>
          <t>Married</t>
        </is>
      </c>
      <c r="E2981" s="5" t="inlineStr">
        <is>
          <t>High School</t>
        </is>
      </c>
      <c r="F2981" s="5" t="inlineStr">
        <is>
          <t>Finance</t>
        </is>
      </c>
      <c r="G2981" s="5" t="inlineStr">
        <is>
          <t>Financial Analyst</t>
        </is>
      </c>
      <c r="H2981" s="5" t="inlineStr">
        <is>
          <t>3</t>
        </is>
      </c>
      <c r="I2981" s="5" t="inlineStr">
        <is>
          <t>Chennai</t>
        </is>
      </c>
      <c r="J2981" s="5" t="inlineStr">
        <is>
          <t>Full-Time</t>
        </is>
      </c>
      <c r="K2981" s="7" t="n">
        <v>44536</v>
      </c>
      <c r="L2981" s="7" t="inlineStr"/>
      <c r="M2981" s="5" t="inlineStr">
        <is>
          <t>Yes</t>
        </is>
      </c>
      <c r="N2981" s="5" t="inlineStr"/>
      <c r="O2981" s="8" t="inlineStr">
        <is>
          <t>134000</t>
        </is>
      </c>
      <c r="P2981" s="5" t="inlineStr">
        <is>
          <t>5</t>
        </is>
      </c>
      <c r="Q2981" s="5" t="inlineStr">
        <is>
          <t>5</t>
        </is>
      </c>
      <c r="R2981" s="5" t="inlineStr">
        <is>
          <t>6</t>
        </is>
      </c>
      <c r="S2981" s="5" t="inlineStr">
        <is>
          <t>49</t>
        </is>
      </c>
      <c r="T2981" s="5" t="inlineStr">
        <is>
          <t>8</t>
        </is>
      </c>
      <c r="U2981" s="5">
        <f>IFS(C2981&lt;30,"Under 30",C2981&lt;40,"30-39",C2981&lt;50,"40-49",TRUE,"50+")</f>
        <v/>
      </c>
      <c r="V2981" s="5">
        <f>IFS(O2981&lt;60000,"Low (&lt;60k)",O2981&lt;100000,"Mid (60-100k)",TRUE,"High (100k+)")</f>
        <v/>
      </c>
      <c r="W2981" s="5">
        <f>IF(M2981="No","Attrited","Active")</f>
        <v/>
      </c>
    </row>
    <row r="2982">
      <c r="A2982" s="5" t="inlineStr">
        <is>
          <t>E02981</t>
        </is>
      </c>
      <c r="B2982" s="5" t="inlineStr">
        <is>
          <t>Female</t>
        </is>
      </c>
      <c r="C2982" s="6" t="inlineStr">
        <is>
          <t>25</t>
        </is>
      </c>
      <c r="D2982" s="5" t="inlineStr">
        <is>
          <t>Single</t>
        </is>
      </c>
      <c r="E2982" s="5" t="inlineStr">
        <is>
          <t>Bachelor</t>
        </is>
      </c>
      <c r="F2982" s="5" t="inlineStr">
        <is>
          <t>IT</t>
        </is>
      </c>
      <c r="G2982" s="5" t="inlineStr">
        <is>
          <t>Software Engineer</t>
        </is>
      </c>
      <c r="H2982" s="5" t="inlineStr">
        <is>
          <t>2</t>
        </is>
      </c>
      <c r="I2982" s="5" t="inlineStr">
        <is>
          <t>Mumbai</t>
        </is>
      </c>
      <c r="J2982" s="5" t="inlineStr">
        <is>
          <t>Full-Time</t>
        </is>
      </c>
      <c r="K2982" s="7" t="n">
        <v>44977</v>
      </c>
      <c r="L2982" s="7" t="inlineStr"/>
      <c r="M2982" s="5" t="inlineStr">
        <is>
          <t>Yes</t>
        </is>
      </c>
      <c r="N2982" s="5" t="inlineStr"/>
      <c r="O2982" s="8" t="inlineStr">
        <is>
          <t>162500</t>
        </is>
      </c>
      <c r="P2982" s="5" t="inlineStr">
        <is>
          <t>5</t>
        </is>
      </c>
      <c r="Q2982" s="5" t="inlineStr">
        <is>
          <t>5</t>
        </is>
      </c>
      <c r="R2982" s="5" t="inlineStr">
        <is>
          <t>4</t>
        </is>
      </c>
      <c r="S2982" s="5" t="inlineStr">
        <is>
          <t>34</t>
        </is>
      </c>
      <c r="T2982" s="5" t="inlineStr">
        <is>
          <t>0</t>
        </is>
      </c>
      <c r="U2982" s="5">
        <f>IFS(C2982&lt;30,"Under 30",C2982&lt;40,"30-39",C2982&lt;50,"40-49",TRUE,"50+")</f>
        <v/>
      </c>
      <c r="V2982" s="5">
        <f>IFS(O2982&lt;60000,"Low (&lt;60k)",O2982&lt;100000,"Mid (60-100k)",TRUE,"High (100k+)")</f>
        <v/>
      </c>
      <c r="W2982" s="5">
        <f>IF(M2982="No","Attrited","Active")</f>
        <v/>
      </c>
    </row>
    <row r="2983">
      <c r="A2983" s="5" t="inlineStr">
        <is>
          <t>E02982</t>
        </is>
      </c>
      <c r="B2983" s="5" t="inlineStr">
        <is>
          <t>Female</t>
        </is>
      </c>
      <c r="C2983" s="6" t="inlineStr">
        <is>
          <t>31</t>
        </is>
      </c>
      <c r="D2983" s="5" t="inlineStr">
        <is>
          <t>Married</t>
        </is>
      </c>
      <c r="E2983" s="5" t="inlineStr">
        <is>
          <t>Bachelor</t>
        </is>
      </c>
      <c r="F2983" s="5" t="inlineStr">
        <is>
          <t>Operations</t>
        </is>
      </c>
      <c r="G2983" s="5" t="inlineStr">
        <is>
          <t>Operations Analyst</t>
        </is>
      </c>
      <c r="H2983" s="5" t="inlineStr">
        <is>
          <t>3</t>
        </is>
      </c>
      <c r="I2983" s="5" t="inlineStr">
        <is>
          <t>Chennai</t>
        </is>
      </c>
      <c r="J2983" s="5" t="inlineStr">
        <is>
          <t>Full-Time</t>
        </is>
      </c>
      <c r="K2983" s="7" t="n">
        <v>45631</v>
      </c>
      <c r="L2983" s="7" t="n">
        <v>45706</v>
      </c>
      <c r="M2983" s="5" t="inlineStr">
        <is>
          <t>No</t>
        </is>
      </c>
      <c r="N2983" s="5" t="inlineStr">
        <is>
          <t>Layoff</t>
        </is>
      </c>
      <c r="O2983" s="8" t="inlineStr">
        <is>
          <t>91000</t>
        </is>
      </c>
      <c r="P2983" s="5" t="inlineStr">
        <is>
          <t>0</t>
        </is>
      </c>
      <c r="Q2983" s="5" t="inlineStr">
        <is>
          <t>3</t>
        </is>
      </c>
      <c r="R2983" s="5" t="inlineStr">
        <is>
          <t>5</t>
        </is>
      </c>
      <c r="S2983" s="5" t="inlineStr">
        <is>
          <t>2</t>
        </is>
      </c>
      <c r="T2983" s="5" t="inlineStr">
        <is>
          <t>8</t>
        </is>
      </c>
      <c r="U2983" s="5">
        <f>IFS(C2983&lt;30,"Under 30",C2983&lt;40,"30-39",C2983&lt;50,"40-49",TRUE,"50+")</f>
        <v/>
      </c>
      <c r="V2983" s="5">
        <f>IFS(O2983&lt;60000,"Low (&lt;60k)",O2983&lt;100000,"Mid (60-100k)",TRUE,"High (100k+)")</f>
        <v/>
      </c>
      <c r="W2983" s="5">
        <f>IF(M2983="No","Attrited","Active")</f>
        <v/>
      </c>
    </row>
    <row r="2984">
      <c r="A2984" s="5" t="inlineStr">
        <is>
          <t>E02983</t>
        </is>
      </c>
      <c r="B2984" s="5" t="inlineStr">
        <is>
          <t>Female</t>
        </is>
      </c>
      <c r="C2984" s="6" t="inlineStr">
        <is>
          <t>37</t>
        </is>
      </c>
      <c r="D2984" s="5" t="inlineStr">
        <is>
          <t>Divorced</t>
        </is>
      </c>
      <c r="E2984" s="5" t="inlineStr">
        <is>
          <t>Diploma</t>
        </is>
      </c>
      <c r="F2984" s="5" t="inlineStr">
        <is>
          <t>Operations</t>
        </is>
      </c>
      <c r="G2984" s="5" t="inlineStr">
        <is>
          <t>Operations Analyst</t>
        </is>
      </c>
      <c r="H2984" s="5" t="inlineStr">
        <is>
          <t>4</t>
        </is>
      </c>
      <c r="I2984" s="5" t="inlineStr">
        <is>
          <t>Chennai</t>
        </is>
      </c>
      <c r="J2984" s="5" t="inlineStr">
        <is>
          <t>Full-Time</t>
        </is>
      </c>
      <c r="K2984" s="7" t="n">
        <v>44423</v>
      </c>
      <c r="L2984" s="7" t="inlineStr"/>
      <c r="M2984" s="5" t="inlineStr">
        <is>
          <t>Yes</t>
        </is>
      </c>
      <c r="N2984" s="5" t="inlineStr"/>
      <c r="O2984" s="8" t="inlineStr">
        <is>
          <t>137500</t>
        </is>
      </c>
      <c r="P2984" s="5" t="inlineStr">
        <is>
          <t>15</t>
        </is>
      </c>
      <c r="Q2984" s="5" t="inlineStr">
        <is>
          <t>3</t>
        </is>
      </c>
      <c r="R2984" s="5" t="inlineStr">
        <is>
          <t>6</t>
        </is>
      </c>
      <c r="S2984" s="5" t="inlineStr">
        <is>
          <t>53</t>
        </is>
      </c>
      <c r="T2984" s="5" t="inlineStr">
        <is>
          <t>6</t>
        </is>
      </c>
      <c r="U2984" s="5">
        <f>IFS(C2984&lt;30,"Under 30",C2984&lt;40,"30-39",C2984&lt;50,"40-49",TRUE,"50+")</f>
        <v/>
      </c>
      <c r="V2984" s="5">
        <f>IFS(O2984&lt;60000,"Low (&lt;60k)",O2984&lt;100000,"Mid (60-100k)",TRUE,"High (100k+)")</f>
        <v/>
      </c>
      <c r="W2984" s="5">
        <f>IF(M2984="No","Attrited","Active")</f>
        <v/>
      </c>
    </row>
    <row r="2985">
      <c r="A2985" s="5" t="inlineStr">
        <is>
          <t>E02984</t>
        </is>
      </c>
      <c r="B2985" s="5" t="inlineStr">
        <is>
          <t>Male</t>
        </is>
      </c>
      <c r="C2985" s="6" t="inlineStr">
        <is>
          <t>29</t>
        </is>
      </c>
      <c r="D2985" s="5" t="inlineStr">
        <is>
          <t>Single</t>
        </is>
      </c>
      <c r="E2985" s="5" t="inlineStr">
        <is>
          <t>Diploma</t>
        </is>
      </c>
      <c r="F2985" s="5" t="inlineStr">
        <is>
          <t>Research &amp; Development</t>
        </is>
      </c>
      <c r="G2985" s="5" t="inlineStr">
        <is>
          <t>Data Scientist</t>
        </is>
      </c>
      <c r="H2985" s="5" t="inlineStr">
        <is>
          <t>4</t>
        </is>
      </c>
      <c r="I2985" s="5" t="inlineStr">
        <is>
          <t>Hyderabad</t>
        </is>
      </c>
      <c r="J2985" s="5" t="inlineStr">
        <is>
          <t>Part-Time</t>
        </is>
      </c>
      <c r="K2985" s="7" t="n">
        <v>45686</v>
      </c>
      <c r="L2985" s="7" t="inlineStr"/>
      <c r="M2985" s="5" t="inlineStr">
        <is>
          <t>Yes</t>
        </is>
      </c>
      <c r="N2985" s="5" t="inlineStr"/>
      <c r="O2985" s="8" t="inlineStr">
        <is>
          <t>211500</t>
        </is>
      </c>
      <c r="P2985" s="5" t="inlineStr">
        <is>
          <t>10</t>
        </is>
      </c>
      <c r="Q2985" s="5" t="inlineStr">
        <is>
          <t>3</t>
        </is>
      </c>
      <c r="R2985" s="5" t="inlineStr">
        <is>
          <t>5</t>
        </is>
      </c>
      <c r="S2985" s="5" t="inlineStr">
        <is>
          <t>11</t>
        </is>
      </c>
      <c r="T2985" s="5" t="inlineStr">
        <is>
          <t>0</t>
        </is>
      </c>
      <c r="U2985" s="5">
        <f>IFS(C2985&lt;30,"Under 30",C2985&lt;40,"30-39",C2985&lt;50,"40-49",TRUE,"50+")</f>
        <v/>
      </c>
      <c r="V2985" s="5">
        <f>IFS(O2985&lt;60000,"Low (&lt;60k)",O2985&lt;100000,"Mid (60-100k)",TRUE,"High (100k+)")</f>
        <v/>
      </c>
      <c r="W2985" s="5">
        <f>IF(M2985="No","Attrited","Active")</f>
        <v/>
      </c>
    </row>
    <row r="2986">
      <c r="A2986" s="5" t="inlineStr">
        <is>
          <t>E02985</t>
        </is>
      </c>
      <c r="B2986" s="5" t="inlineStr">
        <is>
          <t>Female</t>
        </is>
      </c>
      <c r="C2986" s="6" t="inlineStr">
        <is>
          <t>34</t>
        </is>
      </c>
      <c r="D2986" s="5" t="inlineStr">
        <is>
          <t>Married</t>
        </is>
      </c>
      <c r="E2986" s="5" t="inlineStr">
        <is>
          <t>Bachelor</t>
        </is>
      </c>
      <c r="F2986" s="5" t="inlineStr">
        <is>
          <t>Marketing</t>
        </is>
      </c>
      <c r="G2986" s="5" t="inlineStr">
        <is>
          <t>Marketing Analyst</t>
        </is>
      </c>
      <c r="H2986" s="5" t="inlineStr">
        <is>
          <t>1</t>
        </is>
      </c>
      <c r="I2986" s="5" t="inlineStr">
        <is>
          <t>Bengaluru</t>
        </is>
      </c>
      <c r="J2986" s="5" t="inlineStr">
        <is>
          <t>Full-Time</t>
        </is>
      </c>
      <c r="K2986" s="7" t="n">
        <v>44059</v>
      </c>
      <c r="L2986" s="7" t="inlineStr"/>
      <c r="M2986" s="5" t="inlineStr">
        <is>
          <t>Yes</t>
        </is>
      </c>
      <c r="N2986" s="5" t="inlineStr"/>
      <c r="O2986" s="8" t="inlineStr">
        <is>
          <t>88500</t>
        </is>
      </c>
      <c r="P2986" s="5" t="inlineStr">
        <is>
          <t>0</t>
        </is>
      </c>
      <c r="Q2986" s="5" t="inlineStr">
        <is>
          <t>3</t>
        </is>
      </c>
      <c r="R2986" s="5" t="inlineStr">
        <is>
          <t>5</t>
        </is>
      </c>
      <c r="S2986" s="5" t="inlineStr">
        <is>
          <t>65</t>
        </is>
      </c>
      <c r="T2986" s="5" t="inlineStr">
        <is>
          <t>7</t>
        </is>
      </c>
      <c r="U2986" s="5">
        <f>IFS(C2986&lt;30,"Under 30",C2986&lt;40,"30-39",C2986&lt;50,"40-49",TRUE,"50+")</f>
        <v/>
      </c>
      <c r="V2986" s="5">
        <f>IFS(O2986&lt;60000,"Low (&lt;60k)",O2986&lt;100000,"Mid (60-100k)",TRUE,"High (100k+)")</f>
        <v/>
      </c>
      <c r="W2986" s="5">
        <f>IF(M2986="No","Attrited","Active")</f>
        <v/>
      </c>
    </row>
    <row r="2987">
      <c r="A2987" s="5" t="inlineStr">
        <is>
          <t>E02986</t>
        </is>
      </c>
      <c r="B2987" s="5" t="inlineStr">
        <is>
          <t>Female</t>
        </is>
      </c>
      <c r="C2987" s="6" t="inlineStr">
        <is>
          <t>38</t>
        </is>
      </c>
      <c r="D2987" s="5" t="inlineStr">
        <is>
          <t>Married</t>
        </is>
      </c>
      <c r="E2987" s="5" t="inlineStr">
        <is>
          <t>High School</t>
        </is>
      </c>
      <c r="F2987" s="5" t="inlineStr">
        <is>
          <t>Finance</t>
        </is>
      </c>
      <c r="G2987" s="5" t="inlineStr">
        <is>
          <t>Credit Analyst</t>
        </is>
      </c>
      <c r="H2987" s="5" t="inlineStr">
        <is>
          <t>3</t>
        </is>
      </c>
      <c r="I2987" s="5" t="inlineStr">
        <is>
          <t>Remote</t>
        </is>
      </c>
      <c r="J2987" s="5" t="inlineStr">
        <is>
          <t>Full-Time</t>
        </is>
      </c>
      <c r="K2987" s="7" t="n">
        <v>44891</v>
      </c>
      <c r="L2987" s="7" t="inlineStr"/>
      <c r="M2987" s="5" t="inlineStr">
        <is>
          <t>Yes</t>
        </is>
      </c>
      <c r="N2987" s="5" t="inlineStr"/>
      <c r="O2987" s="8" t="inlineStr">
        <is>
          <t>124000</t>
        </is>
      </c>
      <c r="P2987" s="5" t="inlineStr">
        <is>
          <t>10</t>
        </is>
      </c>
      <c r="Q2987" s="5" t="inlineStr">
        <is>
          <t>5</t>
        </is>
      </c>
      <c r="R2987" s="5" t="inlineStr">
        <is>
          <t>4</t>
        </is>
      </c>
      <c r="S2987" s="5" t="inlineStr">
        <is>
          <t>37</t>
        </is>
      </c>
      <c r="T2987" s="5" t="inlineStr">
        <is>
          <t>9</t>
        </is>
      </c>
      <c r="U2987" s="5">
        <f>IFS(C2987&lt;30,"Under 30",C2987&lt;40,"30-39",C2987&lt;50,"40-49",TRUE,"50+")</f>
        <v/>
      </c>
      <c r="V2987" s="5">
        <f>IFS(O2987&lt;60000,"Low (&lt;60k)",O2987&lt;100000,"Mid (60-100k)",TRUE,"High (100k+)")</f>
        <v/>
      </c>
      <c r="W2987" s="5">
        <f>IF(M2987="No","Attrited","Active")</f>
        <v/>
      </c>
    </row>
    <row r="2988">
      <c r="A2988" s="5" t="inlineStr">
        <is>
          <t>E02987</t>
        </is>
      </c>
      <c r="B2988" s="5" t="inlineStr">
        <is>
          <t>Female</t>
        </is>
      </c>
      <c r="C2988" s="6" t="inlineStr">
        <is>
          <t>33</t>
        </is>
      </c>
      <c r="D2988" s="5" t="inlineStr">
        <is>
          <t>Single</t>
        </is>
      </c>
      <c r="E2988" s="5" t="inlineStr">
        <is>
          <t>High School</t>
        </is>
      </c>
      <c r="F2988" s="5" t="inlineStr">
        <is>
          <t>Human Resources</t>
        </is>
      </c>
      <c r="G2988" s="5" t="inlineStr">
        <is>
          <t>Recruiter</t>
        </is>
      </c>
      <c r="H2988" s="5" t="inlineStr">
        <is>
          <t>1</t>
        </is>
      </c>
      <c r="I2988" s="5" t="inlineStr">
        <is>
          <t>Remote</t>
        </is>
      </c>
      <c r="J2988" s="5" t="inlineStr">
        <is>
          <t>Part-Time</t>
        </is>
      </c>
      <c r="K2988" s="7" t="n">
        <v>45874</v>
      </c>
      <c r="L2988" s="7" t="inlineStr"/>
      <c r="M2988" s="5" t="inlineStr">
        <is>
          <t>Yes</t>
        </is>
      </c>
      <c r="N2988" s="5" t="inlineStr"/>
      <c r="O2988" s="8" t="inlineStr">
        <is>
          <t>77000</t>
        </is>
      </c>
      <c r="P2988" s="5" t="inlineStr">
        <is>
          <t>0</t>
        </is>
      </c>
      <c r="Q2988" s="5" t="inlineStr">
        <is>
          <t>4</t>
        </is>
      </c>
      <c r="R2988" s="5" t="inlineStr">
        <is>
          <t>7</t>
        </is>
      </c>
      <c r="S2988" s="5" t="inlineStr">
        <is>
          <t>4</t>
        </is>
      </c>
      <c r="T2988" s="5" t="inlineStr">
        <is>
          <t>0</t>
        </is>
      </c>
      <c r="U2988" s="5">
        <f>IFS(C2988&lt;30,"Under 30",C2988&lt;40,"30-39",C2988&lt;50,"40-49",TRUE,"50+")</f>
        <v/>
      </c>
      <c r="V2988" s="5">
        <f>IFS(O2988&lt;60000,"Low (&lt;60k)",O2988&lt;100000,"Mid (60-100k)",TRUE,"High (100k+)")</f>
        <v/>
      </c>
      <c r="W2988" s="5">
        <f>IF(M2988="No","Attrited","Active")</f>
        <v/>
      </c>
    </row>
    <row r="2989">
      <c r="A2989" s="5" t="inlineStr">
        <is>
          <t>E02988</t>
        </is>
      </c>
      <c r="B2989" s="5" t="inlineStr">
        <is>
          <t>Female</t>
        </is>
      </c>
      <c r="C2989" s="6" t="inlineStr">
        <is>
          <t>31</t>
        </is>
      </c>
      <c r="D2989" s="5" t="inlineStr">
        <is>
          <t>Single</t>
        </is>
      </c>
      <c r="E2989" s="5" t="inlineStr">
        <is>
          <t>High School</t>
        </is>
      </c>
      <c r="F2989" s="5" t="inlineStr">
        <is>
          <t>Sales</t>
        </is>
      </c>
      <c r="G2989" s="5" t="inlineStr">
        <is>
          <t>Business Development</t>
        </is>
      </c>
      <c r="H2989" s="5" t="inlineStr">
        <is>
          <t>1</t>
        </is>
      </c>
      <c r="I2989" s="5" t="inlineStr">
        <is>
          <t>Remote</t>
        </is>
      </c>
      <c r="J2989" s="5" t="inlineStr">
        <is>
          <t>Full-Time</t>
        </is>
      </c>
      <c r="K2989" s="7" t="n">
        <v>45911</v>
      </c>
      <c r="L2989" s="7" t="n">
        <v>46021</v>
      </c>
      <c r="M2989" s="5" t="inlineStr">
        <is>
          <t>No</t>
        </is>
      </c>
      <c r="N2989" s="5" t="inlineStr">
        <is>
          <t>Resigned</t>
        </is>
      </c>
      <c r="O2989" s="8" t="inlineStr">
        <is>
          <t>70000</t>
        </is>
      </c>
      <c r="P2989" s="5" t="inlineStr">
        <is>
          <t>10</t>
        </is>
      </c>
      <c r="Q2989" s="5" t="inlineStr">
        <is>
          <t>2</t>
        </is>
      </c>
      <c r="R2989" s="5" t="inlineStr">
        <is>
          <t>9</t>
        </is>
      </c>
      <c r="S2989" s="5" t="inlineStr">
        <is>
          <t>3</t>
        </is>
      </c>
      <c r="T2989" s="5" t="inlineStr">
        <is>
          <t>2</t>
        </is>
      </c>
      <c r="U2989" s="5">
        <f>IFS(C2989&lt;30,"Under 30",C2989&lt;40,"30-39",C2989&lt;50,"40-49",TRUE,"50+")</f>
        <v/>
      </c>
      <c r="V2989" s="5">
        <f>IFS(O2989&lt;60000,"Low (&lt;60k)",O2989&lt;100000,"Mid (60-100k)",TRUE,"High (100k+)")</f>
        <v/>
      </c>
      <c r="W2989" s="5">
        <f>IF(M2989="No","Attrited","Active")</f>
        <v/>
      </c>
    </row>
    <row r="2990">
      <c r="A2990" s="5" t="inlineStr">
        <is>
          <t>E02989</t>
        </is>
      </c>
      <c r="B2990" s="5" t="inlineStr">
        <is>
          <t>Male</t>
        </is>
      </c>
      <c r="C2990" s="6" t="inlineStr">
        <is>
          <t>26</t>
        </is>
      </c>
      <c r="D2990" s="5" t="inlineStr">
        <is>
          <t>Married</t>
        </is>
      </c>
      <c r="E2990" s="5" t="inlineStr">
        <is>
          <t>PhD</t>
        </is>
      </c>
      <c r="F2990" s="5" t="inlineStr">
        <is>
          <t>IT</t>
        </is>
      </c>
      <c r="G2990" s="5" t="inlineStr">
        <is>
          <t>IT Support</t>
        </is>
      </c>
      <c r="H2990" s="5" t="inlineStr">
        <is>
          <t>1</t>
        </is>
      </c>
      <c r="I2990" s="5" t="inlineStr">
        <is>
          <t>Bengaluru</t>
        </is>
      </c>
      <c r="J2990" s="5" t="inlineStr">
        <is>
          <t>Full-Time</t>
        </is>
      </c>
      <c r="K2990" s="7" t="n">
        <v>45762</v>
      </c>
      <c r="L2990" s="7" t="n">
        <v>45879</v>
      </c>
      <c r="M2990" s="5" t="inlineStr">
        <is>
          <t>No</t>
        </is>
      </c>
      <c r="N2990" s="5" t="inlineStr">
        <is>
          <t>Resigned</t>
        </is>
      </c>
      <c r="O2990" s="8" t="inlineStr">
        <is>
          <t>83500</t>
        </is>
      </c>
      <c r="P2990" s="5" t="inlineStr">
        <is>
          <t>5</t>
        </is>
      </c>
      <c r="Q2990" s="5" t="inlineStr">
        <is>
          <t>3</t>
        </is>
      </c>
      <c r="R2990" s="5" t="inlineStr">
        <is>
          <t>5</t>
        </is>
      </c>
      <c r="S2990" s="5" t="inlineStr">
        <is>
          <t>3</t>
        </is>
      </c>
      <c r="T2990" s="5" t="inlineStr">
        <is>
          <t>12</t>
        </is>
      </c>
      <c r="U2990" s="5">
        <f>IFS(C2990&lt;30,"Under 30",C2990&lt;40,"30-39",C2990&lt;50,"40-49",TRUE,"50+")</f>
        <v/>
      </c>
      <c r="V2990" s="5">
        <f>IFS(O2990&lt;60000,"Low (&lt;60k)",O2990&lt;100000,"Mid (60-100k)",TRUE,"High (100k+)")</f>
        <v/>
      </c>
      <c r="W2990" s="5">
        <f>IF(M2990="No","Attrited","Active")</f>
        <v/>
      </c>
    </row>
    <row r="2991">
      <c r="A2991" s="5" t="inlineStr">
        <is>
          <t>E02990</t>
        </is>
      </c>
      <c r="B2991" s="5" t="inlineStr">
        <is>
          <t>Female</t>
        </is>
      </c>
      <c r="C2991" s="6" t="inlineStr">
        <is>
          <t>27</t>
        </is>
      </c>
      <c r="D2991" s="5" t="inlineStr">
        <is>
          <t>Single</t>
        </is>
      </c>
      <c r="E2991" s="5" t="inlineStr">
        <is>
          <t>PhD</t>
        </is>
      </c>
      <c r="F2991" s="5" t="inlineStr">
        <is>
          <t>Customer Support</t>
        </is>
      </c>
      <c r="G2991" s="5" t="inlineStr">
        <is>
          <t>Support Agent</t>
        </is>
      </c>
      <c r="H2991" s="5" t="inlineStr">
        <is>
          <t>3</t>
        </is>
      </c>
      <c r="I2991" s="5" t="inlineStr">
        <is>
          <t>Bengaluru</t>
        </is>
      </c>
      <c r="J2991" s="5" t="inlineStr">
        <is>
          <t>Full-Time</t>
        </is>
      </c>
      <c r="K2991" s="7" t="n">
        <v>45242</v>
      </c>
      <c r="L2991" s="7" t="inlineStr"/>
      <c r="M2991" s="5" t="inlineStr">
        <is>
          <t>Yes</t>
        </is>
      </c>
      <c r="N2991" s="5" t="inlineStr"/>
      <c r="O2991" s="8" t="inlineStr">
        <is>
          <t>95500</t>
        </is>
      </c>
      <c r="P2991" s="5" t="inlineStr">
        <is>
          <t>0</t>
        </is>
      </c>
      <c r="Q2991" s="5" t="inlineStr">
        <is>
          <t>3</t>
        </is>
      </c>
      <c r="R2991" s="5" t="inlineStr">
        <is>
          <t>6</t>
        </is>
      </c>
      <c r="S2991" s="5" t="inlineStr">
        <is>
          <t>26</t>
        </is>
      </c>
      <c r="T2991" s="5" t="inlineStr">
        <is>
          <t>22</t>
        </is>
      </c>
      <c r="U2991" s="5">
        <f>IFS(C2991&lt;30,"Under 30",C2991&lt;40,"30-39",C2991&lt;50,"40-49",TRUE,"50+")</f>
        <v/>
      </c>
      <c r="V2991" s="5">
        <f>IFS(O2991&lt;60000,"Low (&lt;60k)",O2991&lt;100000,"Mid (60-100k)",TRUE,"High (100k+)")</f>
        <v/>
      </c>
      <c r="W2991" s="5">
        <f>IF(M2991="No","Attrited","Active")</f>
        <v/>
      </c>
    </row>
    <row r="2992">
      <c r="A2992" s="5" t="inlineStr">
        <is>
          <t>E02991</t>
        </is>
      </c>
      <c r="B2992" s="5" t="inlineStr">
        <is>
          <t>Female</t>
        </is>
      </c>
      <c r="C2992" s="6" t="inlineStr">
        <is>
          <t>27</t>
        </is>
      </c>
      <c r="D2992" s="5" t="inlineStr">
        <is>
          <t>Married</t>
        </is>
      </c>
      <c r="E2992" s="5" t="inlineStr">
        <is>
          <t>Bachelor</t>
        </is>
      </c>
      <c r="F2992" s="5" t="inlineStr">
        <is>
          <t>Finance</t>
        </is>
      </c>
      <c r="G2992" s="5" t="inlineStr">
        <is>
          <t>Financial Analyst</t>
        </is>
      </c>
      <c r="H2992" s="5" t="inlineStr">
        <is>
          <t>1</t>
        </is>
      </c>
      <c r="I2992" s="5" t="inlineStr">
        <is>
          <t>Mumbai</t>
        </is>
      </c>
      <c r="J2992" s="5" t="inlineStr">
        <is>
          <t>Full-Time</t>
        </is>
      </c>
      <c r="K2992" s="7" t="n">
        <v>45759</v>
      </c>
      <c r="L2992" s="7" t="n">
        <v>45903</v>
      </c>
      <c r="M2992" s="5" t="inlineStr">
        <is>
          <t>No</t>
        </is>
      </c>
      <c r="N2992" s="5" t="inlineStr">
        <is>
          <t>Resigned</t>
        </is>
      </c>
      <c r="O2992" s="8" t="inlineStr">
        <is>
          <t>88500</t>
        </is>
      </c>
      <c r="P2992" s="5" t="inlineStr">
        <is>
          <t>20</t>
        </is>
      </c>
      <c r="Q2992" s="5" t="inlineStr">
        <is>
          <t>3</t>
        </is>
      </c>
      <c r="R2992" s="5" t="inlineStr">
        <is>
          <t>6</t>
        </is>
      </c>
      <c r="S2992" s="5" t="inlineStr">
        <is>
          <t>4</t>
        </is>
      </c>
      <c r="T2992" s="5" t="inlineStr">
        <is>
          <t>1</t>
        </is>
      </c>
      <c r="U2992" s="5">
        <f>IFS(C2992&lt;30,"Under 30",C2992&lt;40,"30-39",C2992&lt;50,"40-49",TRUE,"50+")</f>
        <v/>
      </c>
      <c r="V2992" s="5">
        <f>IFS(O2992&lt;60000,"Low (&lt;60k)",O2992&lt;100000,"Mid (60-100k)",TRUE,"High (100k+)")</f>
        <v/>
      </c>
      <c r="W2992" s="5">
        <f>IF(M2992="No","Attrited","Active")</f>
        <v/>
      </c>
    </row>
    <row r="2993">
      <c r="A2993" s="5" t="inlineStr">
        <is>
          <t>E02992</t>
        </is>
      </c>
      <c r="B2993" s="5" t="inlineStr">
        <is>
          <t>Male</t>
        </is>
      </c>
      <c r="C2993" s="6" t="inlineStr">
        <is>
          <t>28</t>
        </is>
      </c>
      <c r="D2993" s="5" t="inlineStr">
        <is>
          <t>Married</t>
        </is>
      </c>
      <c r="E2993" s="5" t="inlineStr">
        <is>
          <t>PhD</t>
        </is>
      </c>
      <c r="F2993" s="5" t="inlineStr">
        <is>
          <t>IT</t>
        </is>
      </c>
      <c r="G2993" s="5" t="inlineStr">
        <is>
          <t>DevOps Engineer</t>
        </is>
      </c>
      <c r="H2993" s="5" t="inlineStr">
        <is>
          <t>3</t>
        </is>
      </c>
      <c r="I2993" s="5" t="inlineStr">
        <is>
          <t>Chennai</t>
        </is>
      </c>
      <c r="J2993" s="5" t="inlineStr">
        <is>
          <t>Full-Time</t>
        </is>
      </c>
      <c r="K2993" s="7" t="n">
        <v>44660</v>
      </c>
      <c r="L2993" s="7" t="inlineStr"/>
      <c r="M2993" s="5" t="inlineStr">
        <is>
          <t>Yes</t>
        </is>
      </c>
      <c r="N2993" s="5" t="inlineStr"/>
      <c r="O2993" s="8" t="inlineStr">
        <is>
          <t>165000</t>
        </is>
      </c>
      <c r="P2993" s="5" t="inlineStr">
        <is>
          <t>0</t>
        </is>
      </c>
      <c r="Q2993" s="5" t="inlineStr">
        <is>
          <t>2</t>
        </is>
      </c>
      <c r="R2993" s="5" t="inlineStr">
        <is>
          <t>8</t>
        </is>
      </c>
      <c r="S2993" s="5" t="inlineStr">
        <is>
          <t>45</t>
        </is>
      </c>
      <c r="T2993" s="5" t="inlineStr">
        <is>
          <t>7</t>
        </is>
      </c>
      <c r="U2993" s="5">
        <f>IFS(C2993&lt;30,"Under 30",C2993&lt;40,"30-39",C2993&lt;50,"40-49",TRUE,"50+")</f>
        <v/>
      </c>
      <c r="V2993" s="5">
        <f>IFS(O2993&lt;60000,"Low (&lt;60k)",O2993&lt;100000,"Mid (60-100k)",TRUE,"High (100k+)")</f>
        <v/>
      </c>
      <c r="W2993" s="5">
        <f>IF(M2993="No","Attrited","Active")</f>
        <v/>
      </c>
    </row>
    <row r="2994">
      <c r="A2994" s="5" t="inlineStr">
        <is>
          <t>E02993</t>
        </is>
      </c>
      <c r="B2994" s="5" t="inlineStr">
        <is>
          <t>Male</t>
        </is>
      </c>
      <c r="C2994" s="6" t="inlineStr">
        <is>
          <t>35</t>
        </is>
      </c>
      <c r="D2994" s="5" t="inlineStr">
        <is>
          <t>Married</t>
        </is>
      </c>
      <c r="E2994" s="5" t="inlineStr">
        <is>
          <t>Diploma</t>
        </is>
      </c>
      <c r="F2994" s="5" t="inlineStr">
        <is>
          <t>Human Resources</t>
        </is>
      </c>
      <c r="G2994" s="5" t="inlineStr">
        <is>
          <t>HR Generalist</t>
        </is>
      </c>
      <c r="H2994" s="5" t="inlineStr">
        <is>
          <t>4</t>
        </is>
      </c>
      <c r="I2994" s="5" t="inlineStr">
        <is>
          <t>Bengaluru</t>
        </is>
      </c>
      <c r="J2994" s="5" t="inlineStr">
        <is>
          <t>Full-Time</t>
        </is>
      </c>
      <c r="K2994" s="7" t="n">
        <v>44648</v>
      </c>
      <c r="L2994" s="7" t="inlineStr"/>
      <c r="M2994" s="5" t="inlineStr">
        <is>
          <t>Yes</t>
        </is>
      </c>
      <c r="N2994" s="5" t="inlineStr"/>
      <c r="O2994" s="8" t="inlineStr">
        <is>
          <t>108500</t>
        </is>
      </c>
      <c r="P2994" s="5" t="inlineStr">
        <is>
          <t>20</t>
        </is>
      </c>
      <c r="Q2994" s="5" t="inlineStr">
        <is>
          <t>4</t>
        </is>
      </c>
      <c r="R2994" s="5" t="inlineStr">
        <is>
          <t>8</t>
        </is>
      </c>
      <c r="S2994" s="5" t="inlineStr">
        <is>
          <t>45</t>
        </is>
      </c>
      <c r="T2994" s="5" t="inlineStr">
        <is>
          <t>0</t>
        </is>
      </c>
      <c r="U2994" s="5">
        <f>IFS(C2994&lt;30,"Under 30",C2994&lt;40,"30-39",C2994&lt;50,"40-49",TRUE,"50+")</f>
        <v/>
      </c>
      <c r="V2994" s="5">
        <f>IFS(O2994&lt;60000,"Low (&lt;60k)",O2994&lt;100000,"Mid (60-100k)",TRUE,"High (100k+)")</f>
        <v/>
      </c>
      <c r="W2994" s="5">
        <f>IF(M2994="No","Attrited","Active")</f>
        <v/>
      </c>
    </row>
    <row r="2995">
      <c r="A2995" s="5" t="inlineStr">
        <is>
          <t>E02994</t>
        </is>
      </c>
      <c r="B2995" s="5" t="inlineStr">
        <is>
          <t>Female</t>
        </is>
      </c>
      <c r="C2995" s="6" t="inlineStr">
        <is>
          <t>31</t>
        </is>
      </c>
      <c r="D2995" s="5" t="inlineStr">
        <is>
          <t>Divorced</t>
        </is>
      </c>
      <c r="E2995" s="5" t="inlineStr">
        <is>
          <t>Master</t>
        </is>
      </c>
      <c r="F2995" s="5" t="inlineStr">
        <is>
          <t>Customer Support</t>
        </is>
      </c>
      <c r="G2995" s="5" t="inlineStr">
        <is>
          <t>Escalation Specialist</t>
        </is>
      </c>
      <c r="H2995" s="5" t="inlineStr">
        <is>
          <t>2</t>
        </is>
      </c>
      <c r="I2995" s="5" t="inlineStr">
        <is>
          <t>Bengaluru</t>
        </is>
      </c>
      <c r="J2995" s="5" t="inlineStr">
        <is>
          <t>Full-Time</t>
        </is>
      </c>
      <c r="K2995" s="7" t="n">
        <v>43854</v>
      </c>
      <c r="L2995" s="7" t="inlineStr"/>
      <c r="M2995" s="5" t="inlineStr">
        <is>
          <t>Yes</t>
        </is>
      </c>
      <c r="N2995" s="5" t="inlineStr"/>
      <c r="O2995" s="8" t="inlineStr">
        <is>
          <t>66000</t>
        </is>
      </c>
      <c r="P2995" s="5" t="inlineStr">
        <is>
          <t>10</t>
        </is>
      </c>
      <c r="Q2995" s="5" t="inlineStr">
        <is>
          <t>5</t>
        </is>
      </c>
      <c r="R2995" s="5" t="inlineStr">
        <is>
          <t>5</t>
        </is>
      </c>
      <c r="S2995" s="5" t="inlineStr">
        <is>
          <t>72</t>
        </is>
      </c>
      <c r="T2995" s="5" t="inlineStr">
        <is>
          <t>0</t>
        </is>
      </c>
      <c r="U2995" s="5">
        <f>IFS(C2995&lt;30,"Under 30",C2995&lt;40,"30-39",C2995&lt;50,"40-49",TRUE,"50+")</f>
        <v/>
      </c>
      <c r="V2995" s="5">
        <f>IFS(O2995&lt;60000,"Low (&lt;60k)",O2995&lt;100000,"Mid (60-100k)",TRUE,"High (100k+)")</f>
        <v/>
      </c>
      <c r="W2995" s="5">
        <f>IF(M2995="No","Attrited","Active")</f>
        <v/>
      </c>
    </row>
    <row r="2996">
      <c r="A2996" s="5" t="inlineStr">
        <is>
          <t>E02995</t>
        </is>
      </c>
      <c r="B2996" s="5" t="inlineStr">
        <is>
          <t>Male</t>
        </is>
      </c>
      <c r="C2996" s="6" t="inlineStr">
        <is>
          <t>30</t>
        </is>
      </c>
      <c r="D2996" s="5" t="inlineStr">
        <is>
          <t>Married</t>
        </is>
      </c>
      <c r="E2996" s="5" t="inlineStr">
        <is>
          <t>Diploma</t>
        </is>
      </c>
      <c r="F2996" s="5" t="inlineStr">
        <is>
          <t>Sales</t>
        </is>
      </c>
      <c r="G2996" s="5" t="inlineStr">
        <is>
          <t>Account Executive</t>
        </is>
      </c>
      <c r="H2996" s="5" t="inlineStr">
        <is>
          <t>4</t>
        </is>
      </c>
      <c r="I2996" s="5" t="inlineStr">
        <is>
          <t>Hyderabad</t>
        </is>
      </c>
      <c r="J2996" s="5" t="inlineStr">
        <is>
          <t>Full-Time</t>
        </is>
      </c>
      <c r="K2996" s="7" t="n">
        <v>44608</v>
      </c>
      <c r="L2996" s="7" t="inlineStr"/>
      <c r="M2996" s="5" t="inlineStr">
        <is>
          <t>Yes</t>
        </is>
      </c>
      <c r="N2996" s="5" t="inlineStr"/>
      <c r="O2996" s="8" t="inlineStr">
        <is>
          <t>101500</t>
        </is>
      </c>
      <c r="P2996" s="5" t="inlineStr">
        <is>
          <t>10</t>
        </is>
      </c>
      <c r="Q2996" s="5" t="inlineStr">
        <is>
          <t>3</t>
        </is>
      </c>
      <c r="R2996" s="5" t="inlineStr">
        <is>
          <t>3</t>
        </is>
      </c>
      <c r="S2996" s="5" t="inlineStr">
        <is>
          <t>47</t>
        </is>
      </c>
      <c r="T2996" s="5" t="inlineStr">
        <is>
          <t>0</t>
        </is>
      </c>
      <c r="U2996" s="5">
        <f>IFS(C2996&lt;30,"Under 30",C2996&lt;40,"30-39",C2996&lt;50,"40-49",TRUE,"50+")</f>
        <v/>
      </c>
      <c r="V2996" s="5">
        <f>IFS(O2996&lt;60000,"Low (&lt;60k)",O2996&lt;100000,"Mid (60-100k)",TRUE,"High (100k+)")</f>
        <v/>
      </c>
      <c r="W2996" s="5">
        <f>IF(M2996="No","Attrited","Active")</f>
        <v/>
      </c>
    </row>
    <row r="2997">
      <c r="A2997" s="5" t="inlineStr">
        <is>
          <t>E02996</t>
        </is>
      </c>
      <c r="B2997" s="5" t="inlineStr">
        <is>
          <t>Female</t>
        </is>
      </c>
      <c r="C2997" s="6" t="inlineStr">
        <is>
          <t>35</t>
        </is>
      </c>
      <c r="D2997" s="5" t="inlineStr">
        <is>
          <t>Married</t>
        </is>
      </c>
      <c r="E2997" s="5" t="inlineStr">
        <is>
          <t>High School</t>
        </is>
      </c>
      <c r="F2997" s="5" t="inlineStr">
        <is>
          <t>Customer Support</t>
        </is>
      </c>
      <c r="G2997" s="5" t="inlineStr">
        <is>
          <t>Escalation Specialist</t>
        </is>
      </c>
      <c r="H2997" s="5" t="inlineStr">
        <is>
          <t>6</t>
        </is>
      </c>
      <c r="I2997" s="5" t="inlineStr">
        <is>
          <t>Delhi</t>
        </is>
      </c>
      <c r="J2997" s="5" t="inlineStr">
        <is>
          <t>Full-Time</t>
        </is>
      </c>
      <c r="K2997" s="7" t="n">
        <v>44279</v>
      </c>
      <c r="L2997" s="7" t="inlineStr"/>
      <c r="M2997" s="5" t="inlineStr">
        <is>
          <t>Yes</t>
        </is>
      </c>
      <c r="N2997" s="5" t="inlineStr"/>
      <c r="O2997" s="8" t="inlineStr">
        <is>
          <t>128000</t>
        </is>
      </c>
      <c r="P2997" s="5" t="inlineStr">
        <is>
          <t>20</t>
        </is>
      </c>
      <c r="Q2997" s="5" t="inlineStr">
        <is>
          <t>3</t>
        </is>
      </c>
      <c r="R2997" s="5" t="inlineStr">
        <is>
          <t>4</t>
        </is>
      </c>
      <c r="S2997" s="5" t="inlineStr">
        <is>
          <t>58</t>
        </is>
      </c>
      <c r="T2997" s="5" t="inlineStr">
        <is>
          <t>0</t>
        </is>
      </c>
      <c r="U2997" s="5">
        <f>IFS(C2997&lt;30,"Under 30",C2997&lt;40,"30-39",C2997&lt;50,"40-49",TRUE,"50+")</f>
        <v/>
      </c>
      <c r="V2997" s="5">
        <f>IFS(O2997&lt;60000,"Low (&lt;60k)",O2997&lt;100000,"Mid (60-100k)",TRUE,"High (100k+)")</f>
        <v/>
      </c>
      <c r="W2997" s="5">
        <f>IF(M2997="No","Attrited","Active")</f>
        <v/>
      </c>
    </row>
    <row r="2998">
      <c r="A2998" s="5" t="inlineStr">
        <is>
          <t>E02997</t>
        </is>
      </c>
      <c r="B2998" s="5" t="inlineStr">
        <is>
          <t>Male</t>
        </is>
      </c>
      <c r="C2998" s="6" t="inlineStr">
        <is>
          <t>43</t>
        </is>
      </c>
      <c r="D2998" s="5" t="inlineStr">
        <is>
          <t>Married</t>
        </is>
      </c>
      <c r="E2998" s="5" t="inlineStr">
        <is>
          <t>Diploma</t>
        </is>
      </c>
      <c r="F2998" s="5" t="inlineStr">
        <is>
          <t>Sales</t>
        </is>
      </c>
      <c r="G2998" s="5" t="inlineStr">
        <is>
          <t>Sales Executive</t>
        </is>
      </c>
      <c r="H2998" s="5" t="inlineStr">
        <is>
          <t>6</t>
        </is>
      </c>
      <c r="I2998" s="5" t="inlineStr">
        <is>
          <t>Delhi</t>
        </is>
      </c>
      <c r="J2998" s="5" t="inlineStr">
        <is>
          <t>Full-Time</t>
        </is>
      </c>
      <c r="K2998" s="7" t="n">
        <v>45046</v>
      </c>
      <c r="L2998" s="7" t="inlineStr"/>
      <c r="M2998" s="5" t="inlineStr">
        <is>
          <t>Yes</t>
        </is>
      </c>
      <c r="N2998" s="5" t="inlineStr"/>
      <c r="O2998" s="8" t="inlineStr">
        <is>
          <t>184500</t>
        </is>
      </c>
      <c r="P2998" s="5" t="inlineStr">
        <is>
          <t>10</t>
        </is>
      </c>
      <c r="Q2998" s="5" t="inlineStr">
        <is>
          <t>5</t>
        </is>
      </c>
      <c r="R2998" s="5" t="inlineStr">
        <is>
          <t>8</t>
        </is>
      </c>
      <c r="S2998" s="5" t="inlineStr">
        <is>
          <t>32</t>
        </is>
      </c>
      <c r="T2998" s="5" t="inlineStr">
        <is>
          <t>0</t>
        </is>
      </c>
      <c r="U2998" s="5">
        <f>IFS(C2998&lt;30,"Under 30",C2998&lt;40,"30-39",C2998&lt;50,"40-49",TRUE,"50+")</f>
        <v/>
      </c>
      <c r="V2998" s="5">
        <f>IFS(O2998&lt;60000,"Low (&lt;60k)",O2998&lt;100000,"Mid (60-100k)",TRUE,"High (100k+)")</f>
        <v/>
      </c>
      <c r="W2998" s="5">
        <f>IF(M2998="No","Attrited","Active")</f>
        <v/>
      </c>
    </row>
    <row r="2999">
      <c r="A2999" s="5" t="inlineStr">
        <is>
          <t>E02998</t>
        </is>
      </c>
      <c r="B2999" s="5" t="inlineStr">
        <is>
          <t>Female</t>
        </is>
      </c>
      <c r="C2999" s="6" t="inlineStr">
        <is>
          <t>37</t>
        </is>
      </c>
      <c r="D2999" s="5" t="inlineStr">
        <is>
          <t>Married</t>
        </is>
      </c>
      <c r="E2999" s="5" t="inlineStr">
        <is>
          <t>Diploma</t>
        </is>
      </c>
      <c r="F2999" s="5" t="inlineStr">
        <is>
          <t>Customer Support</t>
        </is>
      </c>
      <c r="G2999" s="5" t="inlineStr">
        <is>
          <t>Escalation Specialist</t>
        </is>
      </c>
      <c r="H2999" s="5" t="inlineStr">
        <is>
          <t>4</t>
        </is>
      </c>
      <c r="I2999" s="5" t="inlineStr">
        <is>
          <t>Hyderabad</t>
        </is>
      </c>
      <c r="J2999" s="5" t="inlineStr">
        <is>
          <t>Full-Time</t>
        </is>
      </c>
      <c r="K2999" s="7" t="n">
        <v>44031</v>
      </c>
      <c r="L2999" s="7" t="inlineStr"/>
      <c r="M2999" s="5" t="inlineStr">
        <is>
          <t>Yes</t>
        </is>
      </c>
      <c r="N2999" s="5" t="inlineStr"/>
      <c r="O2999" s="8" t="inlineStr">
        <is>
          <t>94500</t>
        </is>
      </c>
      <c r="P2999" s="5" t="inlineStr">
        <is>
          <t>20</t>
        </is>
      </c>
      <c r="Q2999" s="5" t="inlineStr">
        <is>
          <t>3</t>
        </is>
      </c>
      <c r="R2999" s="5" t="inlineStr">
        <is>
          <t>8</t>
        </is>
      </c>
      <c r="S2999" s="5" t="inlineStr">
        <is>
          <t>66</t>
        </is>
      </c>
      <c r="T2999" s="5" t="inlineStr">
        <is>
          <t>0</t>
        </is>
      </c>
      <c r="U2999" s="5">
        <f>IFS(C2999&lt;30,"Under 30",C2999&lt;40,"30-39",C2999&lt;50,"40-49",TRUE,"50+")</f>
        <v/>
      </c>
      <c r="V2999" s="5">
        <f>IFS(O2999&lt;60000,"Low (&lt;60k)",O2999&lt;100000,"Mid (60-100k)",TRUE,"High (100k+)")</f>
        <v/>
      </c>
      <c r="W2999" s="5">
        <f>IF(M2999="No","Attrited","Active")</f>
        <v/>
      </c>
    </row>
    <row r="3000">
      <c r="A3000" s="5" t="inlineStr">
        <is>
          <t>E02999</t>
        </is>
      </c>
      <c r="B3000" s="5" t="inlineStr">
        <is>
          <t>Male</t>
        </is>
      </c>
      <c r="C3000" s="6" t="inlineStr">
        <is>
          <t>26</t>
        </is>
      </c>
      <c r="D3000" s="5" t="inlineStr">
        <is>
          <t>Married</t>
        </is>
      </c>
      <c r="E3000" s="5" t="inlineStr">
        <is>
          <t>Master</t>
        </is>
      </c>
      <c r="F3000" s="5" t="inlineStr">
        <is>
          <t>Marketing</t>
        </is>
      </c>
      <c r="G3000" s="5" t="inlineStr">
        <is>
          <t>SEO Specialist</t>
        </is>
      </c>
      <c r="H3000" s="5" t="inlineStr">
        <is>
          <t>2</t>
        </is>
      </c>
      <c r="I3000" s="5" t="inlineStr">
        <is>
          <t>Remote</t>
        </is>
      </c>
      <c r="J3000" s="5" t="inlineStr">
        <is>
          <t>Full-Time</t>
        </is>
      </c>
      <c r="K3000" s="7" t="n">
        <v>45580</v>
      </c>
      <c r="L3000" s="7" t="inlineStr"/>
      <c r="M3000" s="5" t="inlineStr">
        <is>
          <t>Yes</t>
        </is>
      </c>
      <c r="N3000" s="5" t="inlineStr"/>
      <c r="O3000" s="8" t="inlineStr">
        <is>
          <t>96500</t>
        </is>
      </c>
      <c r="P3000" s="5" t="inlineStr">
        <is>
          <t>0</t>
        </is>
      </c>
      <c r="Q3000" s="5" t="inlineStr">
        <is>
          <t>4</t>
        </is>
      </c>
      <c r="R3000" s="5" t="inlineStr">
        <is>
          <t>9</t>
        </is>
      </c>
      <c r="S3000" s="5" t="inlineStr">
        <is>
          <t>14</t>
        </is>
      </c>
      <c r="T3000" s="5" t="inlineStr">
        <is>
          <t>3</t>
        </is>
      </c>
      <c r="U3000" s="5">
        <f>IFS(C3000&lt;30,"Under 30",C3000&lt;40,"30-39",C3000&lt;50,"40-49",TRUE,"50+")</f>
        <v/>
      </c>
      <c r="V3000" s="5">
        <f>IFS(O3000&lt;60000,"Low (&lt;60k)",O3000&lt;100000,"Mid (60-100k)",TRUE,"High (100k+)")</f>
        <v/>
      </c>
      <c r="W3000" s="5">
        <f>IF(M3000="No","Attrited","Active")</f>
        <v/>
      </c>
    </row>
    <row r="3001">
      <c r="A3001" s="5" t="inlineStr">
        <is>
          <t>E03000</t>
        </is>
      </c>
      <c r="B3001" s="5" t="inlineStr">
        <is>
          <t>Female</t>
        </is>
      </c>
      <c r="C3001" s="6" t="inlineStr">
        <is>
          <t>30</t>
        </is>
      </c>
      <c r="D3001" s="5" t="inlineStr">
        <is>
          <t>Married</t>
        </is>
      </c>
      <c r="E3001" s="5" t="inlineStr">
        <is>
          <t>PhD</t>
        </is>
      </c>
      <c r="F3001" s="5" t="inlineStr">
        <is>
          <t>Research &amp; Development</t>
        </is>
      </c>
      <c r="G3001" s="5" t="inlineStr">
        <is>
          <t>Research Scientist</t>
        </is>
      </c>
      <c r="H3001" s="5" t="inlineStr">
        <is>
          <t>1</t>
        </is>
      </c>
      <c r="I3001" s="5" t="inlineStr">
        <is>
          <t>Chennai</t>
        </is>
      </c>
      <c r="J3001" s="5" t="inlineStr">
        <is>
          <t>Full-Time</t>
        </is>
      </c>
      <c r="K3001" s="7" t="n">
        <v>45132</v>
      </c>
      <c r="L3001" s="7" t="inlineStr"/>
      <c r="M3001" s="5" t="inlineStr">
        <is>
          <t>Yes</t>
        </is>
      </c>
      <c r="N3001" s="5" t="inlineStr"/>
      <c r="O3001" s="8" t="inlineStr">
        <is>
          <t>98500</t>
        </is>
      </c>
      <c r="P3001" s="5" t="inlineStr">
        <is>
          <t>5</t>
        </is>
      </c>
      <c r="Q3001" s="5" t="inlineStr">
        <is>
          <t>4</t>
        </is>
      </c>
      <c r="R3001" s="5" t="inlineStr">
        <is>
          <t>1</t>
        </is>
      </c>
      <c r="S3001" s="5" t="inlineStr">
        <is>
          <t>29</t>
        </is>
      </c>
      <c r="T3001" s="5" t="inlineStr">
        <is>
          <t>3</t>
        </is>
      </c>
      <c r="U3001" s="5">
        <f>IFS(C3001&lt;30,"Under 30",C3001&lt;40,"30-39",C3001&lt;50,"40-49",TRUE,"50+")</f>
        <v/>
      </c>
      <c r="V3001" s="5">
        <f>IFS(O3001&lt;60000,"Low (&lt;60k)",O3001&lt;100000,"Mid (60-100k)",TRUE,"High (100k+)")</f>
        <v/>
      </c>
      <c r="W3001" s="5">
        <f>IF(M3001="No","Attrited","Active")</f>
        <v/>
      </c>
    </row>
  </sheetData>
  <autoFilter ref="A1:W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3" customWidth="1" min="3" max="3"/>
    <col width="11" customWidth="1" min="4" max="4"/>
    <col width="14" customWidth="1" min="5" max="5"/>
    <col width="3" customWidth="1" min="6" max="6"/>
  </cols>
  <sheetData>
    <row r="1">
      <c r="A1" s="9" t="inlineStr">
        <is>
          <t>1) Headcount and attrition rate by department</t>
        </is>
      </c>
    </row>
    <row r="2">
      <c r="A2" s="4" t="inlineStr">
        <is>
          <t>Department</t>
        </is>
      </c>
      <c r="B2" s="4" t="inlineStr">
        <is>
          <t>Headcount</t>
        </is>
      </c>
      <c r="C2" s="4" t="inlineStr">
        <is>
          <t>Avg Salary</t>
        </is>
      </c>
      <c r="D2" s="4" t="inlineStr">
        <is>
          <t>Attrited</t>
        </is>
      </c>
      <c r="E2" s="4" t="inlineStr">
        <is>
          <t>Attrition Rate</t>
        </is>
      </c>
    </row>
    <row r="3">
      <c r="A3" s="5" t="inlineStr">
        <is>
          <t>Executive</t>
        </is>
      </c>
      <c r="B3" s="5">
        <f>COUNTIF('Clean Data'!$F$2:$F$3001,A3)</f>
        <v/>
      </c>
      <c r="C3" s="8">
        <f>IF(B3=0,0,ROUND(AVERAGEIFS('Clean Data'!$O$2:$O$3001,'Clean Data'!$F$2:$F$3001,A3),0))</f>
        <v/>
      </c>
      <c r="D3" s="5">
        <f>COUNTIFS('Clean Data'!$F$2:$F$3001,A3,'Clean Data'!$M$2:$M$3001,"No")</f>
        <v/>
      </c>
      <c r="E3" s="10">
        <f>IF(B3=0,0,D3/B3)</f>
        <v/>
      </c>
    </row>
    <row r="4">
      <c r="A4" s="5" t="inlineStr">
        <is>
          <t>Finance</t>
        </is>
      </c>
      <c r="B4" s="5">
        <f>COUNTIF('Clean Data'!$F$2:$F$3001,A4)</f>
        <v/>
      </c>
      <c r="C4" s="8">
        <f>IF(B4=0,0,ROUND(AVERAGEIFS('Clean Data'!$O$2:$O$3001,'Clean Data'!$F$2:$F$3001,A4),0))</f>
        <v/>
      </c>
      <c r="D4" s="5">
        <f>COUNTIFS('Clean Data'!$F$2:$F$3001,A4,'Clean Data'!$M$2:$M$3001,"No")</f>
        <v/>
      </c>
      <c r="E4" s="10">
        <f>IF(B4=0,0,D4/B4)</f>
        <v/>
      </c>
    </row>
    <row r="5">
      <c r="A5" s="5" t="inlineStr">
        <is>
          <t>Human Resources</t>
        </is>
      </c>
      <c r="B5" s="5">
        <f>COUNTIF('Clean Data'!$F$2:$F$3001,A5)</f>
        <v/>
      </c>
      <c r="C5" s="8">
        <f>IF(B5=0,0,ROUND(AVERAGEIFS('Clean Data'!$O$2:$O$3001,'Clean Data'!$F$2:$F$3001,A5),0))</f>
        <v/>
      </c>
      <c r="D5" s="5">
        <f>COUNTIFS('Clean Data'!$F$2:$F$3001,A5,'Clean Data'!$M$2:$M$3001,"No")</f>
        <v/>
      </c>
      <c r="E5" s="10">
        <f>IF(B5=0,0,D5/B5)</f>
        <v/>
      </c>
    </row>
    <row r="6">
      <c r="A6" s="5" t="inlineStr">
        <is>
          <t>IT</t>
        </is>
      </c>
      <c r="B6" s="5">
        <f>COUNTIF('Clean Data'!$F$2:$F$3001,A6)</f>
        <v/>
      </c>
      <c r="C6" s="8">
        <f>IF(B6=0,0,ROUND(AVERAGEIFS('Clean Data'!$O$2:$O$3001,'Clean Data'!$F$2:$F$3001,A6),0))</f>
        <v/>
      </c>
      <c r="D6" s="5">
        <f>COUNTIFS('Clean Data'!$F$2:$F$3001,A6,'Clean Data'!$M$2:$M$3001,"No")</f>
        <v/>
      </c>
      <c r="E6" s="10">
        <f>IF(B6=0,0,D6/B6)</f>
        <v/>
      </c>
    </row>
    <row r="7">
      <c r="A7" s="5" t="inlineStr">
        <is>
          <t>Operations</t>
        </is>
      </c>
      <c r="B7" s="5">
        <f>COUNTIF('Clean Data'!$F$2:$F$3001,A7)</f>
        <v/>
      </c>
      <c r="C7" s="8">
        <f>IF(B7=0,0,ROUND(AVERAGEIFS('Clean Data'!$O$2:$O$3001,'Clean Data'!$F$2:$F$3001,A7),0))</f>
        <v/>
      </c>
      <c r="D7" s="5">
        <f>COUNTIFS('Clean Data'!$F$2:$F$3001,A7,'Clean Data'!$M$2:$M$3001,"No")</f>
        <v/>
      </c>
      <c r="E7" s="10">
        <f>IF(B7=0,0,D7/B7)</f>
        <v/>
      </c>
    </row>
    <row r="8">
      <c r="A8" s="5" t="inlineStr">
        <is>
          <t>Marketing</t>
        </is>
      </c>
      <c r="B8" s="5">
        <f>COUNTIF('Clean Data'!$F$2:$F$3001,A8)</f>
        <v/>
      </c>
      <c r="C8" s="8">
        <f>IF(B8=0,0,ROUND(AVERAGEIFS('Clean Data'!$O$2:$O$3001,'Clean Data'!$F$2:$F$3001,A8),0))</f>
        <v/>
      </c>
      <c r="D8" s="5">
        <f>COUNTIFS('Clean Data'!$F$2:$F$3001,A8,'Clean Data'!$M$2:$M$3001,"No")</f>
        <v/>
      </c>
      <c r="E8" s="10">
        <f>IF(B8=0,0,D8/B8)</f>
        <v/>
      </c>
    </row>
    <row r="9">
      <c r="A9" s="5" t="inlineStr">
        <is>
          <t>Sales</t>
        </is>
      </c>
      <c r="B9" s="5">
        <f>COUNTIF('Clean Data'!$F$2:$F$3001,A9)</f>
        <v/>
      </c>
      <c r="C9" s="8">
        <f>IF(B9=0,0,ROUND(AVERAGEIFS('Clean Data'!$O$2:$O$3001,'Clean Data'!$F$2:$F$3001,A9),0))</f>
        <v/>
      </c>
      <c r="D9" s="5">
        <f>COUNTIFS('Clean Data'!$F$2:$F$3001,A9,'Clean Data'!$M$2:$M$3001,"No")</f>
        <v/>
      </c>
      <c r="E9" s="10">
        <f>IF(B9=0,0,D9/B9)</f>
        <v/>
      </c>
    </row>
    <row r="10">
      <c r="A10" s="5" t="inlineStr">
        <is>
          <t>Customer Support</t>
        </is>
      </c>
      <c r="B10" s="5">
        <f>COUNTIF('Clean Data'!$F$2:$F$3001,A10)</f>
        <v/>
      </c>
      <c r="C10" s="8">
        <f>IF(B10=0,0,ROUND(AVERAGEIFS('Clean Data'!$O$2:$O$3001,'Clean Data'!$F$2:$F$3001,A10),0))</f>
        <v/>
      </c>
      <c r="D10" s="5">
        <f>COUNTIFS('Clean Data'!$F$2:$F$3001,A10,'Clean Data'!$M$2:$M$3001,"No")</f>
        <v/>
      </c>
      <c r="E10" s="10">
        <f>IF(B10=0,0,D10/B10)</f>
        <v/>
      </c>
    </row>
    <row r="11">
      <c r="A11" s="5" t="inlineStr">
        <is>
          <t>Research &amp; Development</t>
        </is>
      </c>
      <c r="B11" s="5">
        <f>COUNTIF('Clean Data'!$F$2:$F$3001,A11)</f>
        <v/>
      </c>
      <c r="C11" s="8">
        <f>IF(B11=0,0,ROUND(AVERAGEIFS('Clean Data'!$O$2:$O$3001,'Clean Data'!$F$2:$F$3001,A11),0))</f>
        <v/>
      </c>
      <c r="D11" s="5">
        <f>COUNTIFS('Clean Data'!$F$2:$F$3001,A11,'Clean Data'!$M$2:$M$3001,"No")</f>
        <v/>
      </c>
      <c r="E11" s="10">
        <f>IF(B11=0,0,D11/B11)</f>
        <v/>
      </c>
    </row>
    <row r="12">
      <c r="A12" s="11" t="inlineStr">
        <is>
          <t>Total</t>
        </is>
      </c>
      <c r="B12" s="12">
        <f>SUM(B3:B11)</f>
        <v/>
      </c>
      <c r="C12" s="13">
        <f>ROUND(AVERAGE('Clean Data'!$O$2:$O$3001),0)</f>
        <v/>
      </c>
      <c r="D12" s="12">
        <f>SUM(D3:D11)</f>
        <v/>
      </c>
      <c r="E12" s="14">
        <f>IF(B12=0,0,D12/B12)</f>
        <v/>
      </c>
    </row>
    <row r="14">
      <c r="A14" s="9" t="inlineStr">
        <is>
          <t>2) Average salary by gender and job level (pay-gap snapshot)</t>
        </is>
      </c>
    </row>
    <row r="15">
      <c r="A15" s="4" t="inlineStr">
        <is>
          <t>Job Level</t>
        </is>
      </c>
      <c r="B15" s="4" t="inlineStr">
        <is>
          <t>Female</t>
        </is>
      </c>
      <c r="C15" s="4" t="inlineStr">
        <is>
          <t>Male</t>
        </is>
      </c>
      <c r="D15" s="4" t="inlineStr">
        <is>
          <t>Pay Gap (M vs F)</t>
        </is>
      </c>
    </row>
    <row r="16">
      <c r="A16" s="5" t="inlineStr">
        <is>
          <t>Level 1</t>
        </is>
      </c>
      <c r="B16" s="8">
        <f>ROUND(AVERAGEIFS('Clean Data'!$O$2:$O$3001,'Clean Data'!$H$2:$H$3001,"Level 1",'Clean Data'!$B$2:$B$3001,"Female"),0)</f>
        <v/>
      </c>
      <c r="C16" s="8">
        <f>ROUND(AVERAGEIFS('Clean Data'!$O$2:$O$3001,'Clean Data'!$H$2:$H$3001,"Level 1",'Clean Data'!$B$2:$B$3001,"Male"),0)</f>
        <v/>
      </c>
      <c r="D16" s="10">
        <f>IF(B16=0,0,(C16-B16)/B16)</f>
        <v/>
      </c>
    </row>
    <row r="17">
      <c r="A17" s="5" t="inlineStr">
        <is>
          <t>Level 2</t>
        </is>
      </c>
      <c r="B17" s="8">
        <f>ROUND(AVERAGEIFS('Clean Data'!$O$2:$O$3001,'Clean Data'!$H$2:$H$3001,"Level 2",'Clean Data'!$B$2:$B$3001,"Female"),0)</f>
        <v/>
      </c>
      <c r="C17" s="8">
        <f>ROUND(AVERAGEIFS('Clean Data'!$O$2:$O$3001,'Clean Data'!$H$2:$H$3001,"Level 2",'Clean Data'!$B$2:$B$3001,"Male"),0)</f>
        <v/>
      </c>
      <c r="D17" s="10">
        <f>IF(B17=0,0,(C17-B17)/B17)</f>
        <v/>
      </c>
    </row>
    <row r="18">
      <c r="A18" s="5" t="inlineStr">
        <is>
          <t>Level 3</t>
        </is>
      </c>
      <c r="B18" s="8">
        <f>ROUND(AVERAGEIFS('Clean Data'!$O$2:$O$3001,'Clean Data'!$H$2:$H$3001,"Level 3",'Clean Data'!$B$2:$B$3001,"Female"),0)</f>
        <v/>
      </c>
      <c r="C18" s="8">
        <f>ROUND(AVERAGEIFS('Clean Data'!$O$2:$O$3001,'Clean Data'!$H$2:$H$3001,"Level 3",'Clean Data'!$B$2:$B$3001,"Male"),0)</f>
        <v/>
      </c>
      <c r="D18" s="10">
        <f>IF(B18=0,0,(C18-B18)/B18)</f>
        <v/>
      </c>
    </row>
    <row r="19">
      <c r="A19" s="5" t="inlineStr">
        <is>
          <t>Level 4</t>
        </is>
      </c>
      <c r="B19" s="8">
        <f>ROUND(AVERAGEIFS('Clean Data'!$O$2:$O$3001,'Clean Data'!$H$2:$H$3001,"Level 4",'Clean Data'!$B$2:$B$3001,"Female"),0)</f>
        <v/>
      </c>
      <c r="C19" s="8">
        <f>ROUND(AVERAGEIFS('Clean Data'!$O$2:$O$3001,'Clean Data'!$H$2:$H$3001,"Level 4",'Clean Data'!$B$2:$B$3001,"Male"),0)</f>
        <v/>
      </c>
      <c r="D19" s="10">
        <f>IF(B19=0,0,(C19-B19)/B19)</f>
        <v/>
      </c>
    </row>
    <row r="20">
      <c r="A20" s="5" t="inlineStr">
        <is>
          <t>Level 5</t>
        </is>
      </c>
      <c r="B20" s="8">
        <f>ROUND(AVERAGEIFS('Clean Data'!$O$2:$O$3001,'Clean Data'!$H$2:$H$3001,"Level 5",'Clean Data'!$B$2:$B$3001,"Female"),0)</f>
        <v/>
      </c>
      <c r="C20" s="8">
        <f>ROUND(AVERAGEIFS('Clean Data'!$O$2:$O$3001,'Clean Data'!$H$2:$H$3001,"Level 5",'Clean Data'!$B$2:$B$3001,"Male"),0)</f>
        <v/>
      </c>
      <c r="D20" s="10">
        <f>IF(B20=0,0,(C20-B20)/B20)</f>
        <v/>
      </c>
    </row>
    <row r="21">
      <c r="A21" s="5" t="inlineStr">
        <is>
          <t>Level 6</t>
        </is>
      </c>
      <c r="B21" s="8">
        <f>ROUND(AVERAGEIFS('Clean Data'!$O$2:$O$3001,'Clean Data'!$H$2:$H$3001,"Level 6",'Clean Data'!$B$2:$B$3001,"Female"),0)</f>
        <v/>
      </c>
      <c r="C21" s="8">
        <f>ROUND(AVERAGEIFS('Clean Data'!$O$2:$O$3001,'Clean Data'!$H$2:$H$3001,"Level 6",'Clean Data'!$B$2:$B$3001,"Male"),0)</f>
        <v/>
      </c>
      <c r="D21" s="10">
        <f>IF(B21=0,0,(C21-B21)/B21)</f>
        <v/>
      </c>
    </row>
    <row r="22">
      <c r="A22" s="5" t="inlineStr">
        <is>
          <t>Level 7</t>
        </is>
      </c>
      <c r="B22" s="8">
        <f>ROUND(AVERAGEIFS('Clean Data'!$O$2:$O$3001,'Clean Data'!$H$2:$H$3001,"Level 7",'Clean Data'!$B$2:$B$3001,"Female"),0)</f>
        <v/>
      </c>
      <c r="C22" s="8">
        <f>ROUND(AVERAGEIFS('Clean Data'!$O$2:$O$3001,'Clean Data'!$H$2:$H$3001,"Level 7",'Clean Data'!$B$2:$B$3001,"Male"),0)</f>
        <v/>
      </c>
      <c r="D22" s="10">
        <f>IF(B22=0,0,(C22-B22)/B22)</f>
        <v/>
      </c>
    </row>
    <row r="25">
      <c r="A25" s="9" t="inlineStr">
        <is>
          <t>3) Hiring trend by year</t>
        </is>
      </c>
    </row>
    <row r="26">
      <c r="A26" s="4" t="inlineStr">
        <is>
          <t>Year</t>
        </is>
      </c>
      <c r="B26" s="4" t="inlineStr">
        <is>
          <t>Hires</t>
        </is>
      </c>
    </row>
    <row r="27">
      <c r="A27" s="5" t="n">
        <v>2020</v>
      </c>
      <c r="B27" s="5">
        <f>COUNTIFS('Clean Data'!$K$2:$K$3001,"&gt;="&amp;DATE(2020,1,1),'Clean Data'!$K$2:$K$3001,"&lt;="&amp;DATE(2020,12,31))</f>
        <v/>
      </c>
    </row>
    <row r="28">
      <c r="A28" s="5" t="n">
        <v>2021</v>
      </c>
      <c r="B28" s="5">
        <f>COUNTIFS('Clean Data'!$K$2:$K$3001,"&gt;="&amp;DATE(2021,1,1),'Clean Data'!$K$2:$K$3001,"&lt;="&amp;DATE(2021,12,31))</f>
        <v/>
      </c>
    </row>
    <row r="29">
      <c r="A29" s="5" t="n">
        <v>2022</v>
      </c>
      <c r="B29" s="5">
        <f>COUNTIFS('Clean Data'!$K$2:$K$3001,"&gt;="&amp;DATE(2022,1,1),'Clean Data'!$K$2:$K$3001,"&lt;="&amp;DATE(2022,12,31))</f>
        <v/>
      </c>
    </row>
    <row r="30">
      <c r="A30" s="5" t="n">
        <v>2023</v>
      </c>
      <c r="B30" s="5">
        <f>COUNTIFS('Clean Data'!$K$2:$K$3001,"&gt;="&amp;DATE(2023,1,1),'Clean Data'!$K$2:$K$3001,"&lt;="&amp;DATE(2023,12,31))</f>
        <v/>
      </c>
    </row>
    <row r="31">
      <c r="A31" s="5" t="n">
        <v>2024</v>
      </c>
      <c r="B31" s="5">
        <f>COUNTIFS('Clean Data'!$K$2:$K$3001,"&gt;="&amp;DATE(2024,1,1),'Clean Data'!$K$2:$K$3001,"&lt;="&amp;DATE(2024,12,31))</f>
        <v/>
      </c>
    </row>
    <row r="32">
      <c r="A32" s="5" t="n">
        <v>2025</v>
      </c>
      <c r="B32" s="5">
        <f>COUNTIFS('Clean Data'!$K$2:$K$3001,"&gt;="&amp;DATE(2025,1,1),'Clean Data'!$K$2:$K$3001,"&lt;="&amp;DATE(2025,12,31))</f>
        <v/>
      </c>
    </row>
    <row r="36">
      <c r="A36" s="9" t="inlineStr">
        <is>
          <t>4) Departures by exit reason</t>
        </is>
      </c>
    </row>
    <row r="37">
      <c r="A37" s="4" t="inlineStr">
        <is>
          <t>Exit Reason</t>
        </is>
      </c>
      <c r="B37" s="4" t="inlineStr">
        <is>
          <t>Count</t>
        </is>
      </c>
    </row>
    <row r="38">
      <c r="A38" s="5" t="inlineStr">
        <is>
          <t>Resigned</t>
        </is>
      </c>
      <c r="B38" s="5">
        <f>COUNTIF('Clean Data'!$N$2:$N$3001,A38)</f>
        <v/>
      </c>
    </row>
    <row r="39">
      <c r="A39" s="5" t="inlineStr">
        <is>
          <t>Retirement</t>
        </is>
      </c>
      <c r="B39" s="5">
        <f>COUNTIF('Clean Data'!$N$2:$N$3001,A39)</f>
        <v/>
      </c>
    </row>
    <row r="40">
      <c r="A40" s="5" t="inlineStr">
        <is>
          <t>Performance / Termination</t>
        </is>
      </c>
      <c r="B40" s="5">
        <f>COUNTIF('Clean Data'!$N$2:$N$3001,A40)</f>
        <v/>
      </c>
    </row>
    <row r="41">
      <c r="A41" s="5" t="inlineStr">
        <is>
          <t>Layoff</t>
        </is>
      </c>
      <c r="B41" s="5">
        <f>COUNTIF('Clean Data'!$N$2:$N$3001,A41)</f>
        <v/>
      </c>
    </row>
    <row r="42">
      <c r="A42" s="5" t="inlineStr">
        <is>
          <t>Relocation</t>
        </is>
      </c>
      <c r="B42" s="5">
        <f>COUNTIF('Clean Data'!$N$2:$N$3001,A42)</f>
        <v/>
      </c>
    </row>
  </sheetData>
  <conditionalFormatting sqref="E3:E11">
    <cfRule type="colorScale" priority="1">
      <colorScale>
        <cfvo type="num" val="0"/>
        <cfvo type="num" val="0.5"/>
        <color rgb="00C6EFCE"/>
        <color rgb="00FFC7CE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15" t="inlineStr">
        <is>
          <t>HR WORKFORCE DASHBOARD</t>
        </is>
      </c>
    </row>
    <row r="2">
      <c r="A2" s="16" t="inlineStr">
        <is>
          <t>Snapshot: 31-Dec-2025   |   Synthetic HR data   |   Built in Excel, Power BI-ready</t>
        </is>
      </c>
    </row>
    <row r="4" ht="22" customHeight="1">
      <c r="A4" s="17" t="inlineStr">
        <is>
          <t>TOTAL HEADCOUNT</t>
        </is>
      </c>
      <c r="C4" s="18" t="inlineStr">
        <is>
          <t>ACTIVE EMPLOYEES</t>
        </is>
      </c>
      <c r="E4" s="19" t="inlineStr">
        <is>
          <t>ATTRITION RATE</t>
        </is>
      </c>
      <c r="G4" s="20" t="inlineStr">
        <is>
          <t>AVG SALARY (USD)</t>
        </is>
      </c>
      <c r="I4" s="18" t="inlineStr">
        <is>
          <t>AVG TENURE (MONTHS)</t>
        </is>
      </c>
      <c r="K4" s="20" t="inlineStr">
        <is>
          <t>AVG SATISFACTION (/10)</t>
        </is>
      </c>
    </row>
    <row r="5" ht="30" customHeight="1">
      <c r="A5" s="21">
        <f>COUNTA('Clean Data'!$A$2:$A$3001)</f>
        <v/>
      </c>
      <c r="C5" s="21">
        <f>COUNTIF('Clean Data'!$M$2:$M$3001,"Yes")</f>
        <v/>
      </c>
      <c r="E5" s="22">
        <f>1-COUNTIF('Clean Data'!$M$2:$M$3001,"Yes")/COUNTA('Clean Data'!$A$2:$A$3001)</f>
        <v/>
      </c>
      <c r="G5" s="23">
        <f>ROUND(AVERAGE('Clean Data'!$O$2:$O$3001),0)</f>
        <v/>
      </c>
      <c r="I5" s="24">
        <f>ROUND(AVERAGE('Clean Data'!$S$2:$S$3001),1)</f>
        <v/>
      </c>
      <c r="K5" s="24">
        <f>ROUND(AVERAGE('Clean Data'!$R$2:$R$3001),1)</f>
        <v/>
      </c>
    </row>
    <row r="8">
      <c r="A8" s="2" t="inlineStr">
        <is>
          <t>Workforce snapshots (live formulas, see Insights)</t>
        </is>
      </c>
    </row>
    <row r="22">
      <c r="A22" s="9" t="inlineStr">
        <is>
          <t>KEY FINDINGS &amp; RECOMMENDATIONS</t>
        </is>
      </c>
    </row>
    <row r="23">
      <c r="A23" t="inlineStr">
        <is>
          <t>* Headcount 3000 (active 2381, attrition 20.6%).</t>
        </is>
      </c>
    </row>
    <row r="24">
      <c r="A24" t="inlineStr">
        <is>
          <t>* Attrition skews to Sales, Customer Support and Operations - review comp and workload there.</t>
        </is>
      </c>
    </row>
    <row r="25">
      <c r="A25" t="inlineStr">
        <is>
          <t>* Exits concentrate in short tenures (&lt;18 months) and junior levels - strengthen onboarding.</t>
        </is>
      </c>
    </row>
    <row r="26">
      <c r="A26" t="inlineStr">
        <is>
          <t>* Run the pay-gap table (Insights sheet) each quarter; flag any level where gap &gt; 10%.</t>
        </is>
      </c>
    </row>
    <row r="27">
      <c r="A27" t="inlineStr">
        <is>
          <t>* Use exit-reason trend (Insights) to target retention: e.g. offer flexibility to reduce 'Relocation'.</t>
        </is>
      </c>
    </row>
  </sheetData>
  <mergeCells count="14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K5:L5"/>
    <mergeCell ref="I5:J5"/>
    <mergeCell ref="A2:J2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2026-09-09T10:04:07Z</dcterms:created>
  <dcterms:modified xsi:type="dcterms:W3CDTF">2026-09-09T10:04:09Z</dcterms:modified>
</cp:coreProperties>
</file>